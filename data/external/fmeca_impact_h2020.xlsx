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mkamidelivand\Dropbox\IMPACT Project\IMPACT research data\"/>
    </mc:Choice>
  </mc:AlternateContent>
  <xr:revisionPtr revIDLastSave="5" documentId="13_ncr:1_{16AA6A5D-001A-4AFD-886C-30CC028CE43E}" xr6:coauthVersionLast="47" xr6:coauthVersionMax="47" xr10:uidLastSave="{BD3FCE46-AE4B-4696-9BD0-87B8C7B8CD18}"/>
  <bookViews>
    <workbookView xWindow="-120" yWindow="-120" windowWidth="20730" windowHeight="11160" activeTab="5" xr2:uid="{04253C3B-6E09-467F-ACAC-4CE2BC75A5D4}"/>
  </bookViews>
  <sheets>
    <sheet name="AllRopePulleyPTO" sheetId="46" r:id="rId1"/>
    <sheet name="AllBallScrewPTO" sheetId="50" r:id="rId2"/>
    <sheet name="AllRack&amp;PinionPTO" sheetId="51" r:id="rId3"/>
    <sheet name=" AllHydraulicPTO w Ele.Generat" sheetId="52" r:id="rId4"/>
    <sheet name="All PowerTransmission &amp; Control" sheetId="58" r:id="rId5"/>
    <sheet name="AllReaction&amp;Stationing" sheetId="6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44" i="51" l="1"/>
  <c r="I44" i="51"/>
  <c r="G44" i="51"/>
  <c r="E44"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tc={03878B58-F9A7-4782-81C1-912C47C72F06}</author>
  </authors>
  <commentList>
    <comment ref="H2" authorId="0" shapeId="0" xr:uid="{03878B58-F9A7-4782-81C1-912C47C72F06}">
      <text>
        <t>[Threaded comment]
Your version of Excel allows you to read this threaded comment; however, any edits to it will get removed if the file is opened in a newer version of Excel. Learn more: https://go.microsoft.com/fwlink/?linkid=870924
Comment:
    Side loading occurs when a mass or external force pushes the rod to the side, up or down.
from:
https://www.fluidpowerworld.com/how-do-hydraulic-cylinders-fail-side-loads/#:~:text=Side%20loading%20occurs%20when%20a,itself%20inside%20the%20cylinder%20bore.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tc={8C706040-039E-4784-8C73-9EDAC5951E85}</author>
  </authors>
  <commentList>
    <comment ref="H2" authorId="0" shapeId="0" xr:uid="{8C706040-039E-4784-8C73-9EDAC5951E85}">
      <text>
        <t>[Threaded comment]
Your version of Excel allows you to read this threaded comment; however, any edits to it will get removed if the file is opened in a newer version of Excel. Learn more: https://go.microsoft.com/fwlink/?linkid=870924
Comment:
    Side loading occurs when a mass or external force pushes the rod to the side, up or down.
from:
https://www.fluidpowerworld.com/how-do-hydraulic-cylinders-fail-side-loads/#:~:text=Side%20loading%20occurs%20when%20a,itself%20inside%20the%20cylinder%20bore.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tc={14450042-ACB7-4622-8D41-8FB61E4AD02B}</author>
  </authors>
  <commentList>
    <comment ref="H2" authorId="0" shapeId="0" xr:uid="{14450042-ACB7-4622-8D41-8FB61E4AD02B}">
      <text>
        <t>[Threaded comment]
Your version of Excel allows you to read this threaded comment; however, any edits to it will get removed if the file is opened in a newer version of Excel. Learn more: https://go.microsoft.com/fwlink/?linkid=870924
Comment:
    Side loading occurs when a mass or external force pushes the rod to the side, up or down.
from:
https://www.fluidpowerworld.com/how-do-hydraulic-cylinders-fail-side-loads/#:~:text=Side%20loading%20occurs%20when%20a,itself%20inside%20the%20cylinder%20bore.</t>
      </text>
    </comment>
  </commentList>
</comments>
</file>

<file path=xl/sharedStrings.xml><?xml version="1.0" encoding="utf-8"?>
<sst xmlns="http://schemas.openxmlformats.org/spreadsheetml/2006/main" count="929" uniqueCount="403">
  <si>
    <t>Sub-system</t>
  </si>
  <si>
    <t>Component</t>
  </si>
  <si>
    <t>Annual Failure Rate</t>
  </si>
  <si>
    <t>Part</t>
  </si>
  <si>
    <t>Failure rate ratio for parts</t>
  </si>
  <si>
    <t>Failure mode</t>
  </si>
  <si>
    <t xml:space="preserve">Annual failure rate </t>
  </si>
  <si>
    <t>Failure Mechanism</t>
  </si>
  <si>
    <t>Annual failure rate due to the failure mechanism</t>
  </si>
  <si>
    <t>Occurance (O)</t>
  </si>
  <si>
    <t xml:space="preserve">Manhour repair </t>
  </si>
  <si>
    <t>Severity (S)</t>
  </si>
  <si>
    <t xml:space="preserve">Risk priority </t>
  </si>
  <si>
    <t>Failure effect ranking</t>
  </si>
  <si>
    <t>Criticality number</t>
  </si>
  <si>
    <t>Summary</t>
  </si>
  <si>
    <t>Note &amp; Recommendation</t>
  </si>
  <si>
    <t>Rope &amp; Pulley PTO</t>
  </si>
  <si>
    <t>Belt</t>
  </si>
  <si>
    <t>Deformation</t>
  </si>
  <si>
    <t>Fatigue</t>
  </si>
  <si>
    <r>
      <rPr>
        <b/>
        <sz val="11"/>
        <color theme="1"/>
        <rFont val="Calibri"/>
        <family val="2"/>
        <scheme val="minor"/>
      </rPr>
      <t xml:space="preserve">Dominant failure modes: </t>
    </r>
    <r>
      <rPr>
        <sz val="11"/>
        <color theme="1"/>
        <rFont val="Calibri"/>
        <family val="2"/>
        <scheme val="minor"/>
      </rPr>
      <t xml:space="preserve">Surface damage                                              </t>
    </r>
    <r>
      <rPr>
        <b/>
        <sz val="11"/>
        <color theme="1"/>
        <rFont val="Calibri"/>
        <family val="2"/>
        <scheme val="minor"/>
      </rPr>
      <t xml:space="preserve">Dominant failure mechanism: </t>
    </r>
    <r>
      <rPr>
        <sz val="11"/>
        <color theme="1"/>
        <rFont val="Calibri"/>
        <family val="2"/>
        <scheme val="minor"/>
      </rPr>
      <t xml:space="preserve"> Wear followed equally by Fatigue and Creep failure mechanism</t>
    </r>
  </si>
  <si>
    <r>
      <rPr>
        <b/>
        <sz val="11"/>
        <color theme="1"/>
        <rFont val="Calibri"/>
        <family val="2"/>
        <scheme val="minor"/>
      </rPr>
      <t>Risk:</t>
    </r>
    <r>
      <rPr>
        <sz val="11"/>
        <color theme="1"/>
        <rFont val="Calibri"/>
        <family val="2"/>
        <scheme val="minor"/>
      </rPr>
      <t xml:space="preserve"> Low to medium risk for all failure modes of the component's parts                                          </t>
    </r>
    <r>
      <rPr>
        <b/>
        <sz val="11"/>
        <color theme="1"/>
        <rFont val="Calibri"/>
        <family val="2"/>
        <scheme val="minor"/>
      </rPr>
      <t>Criticality</t>
    </r>
    <r>
      <rPr>
        <sz val="11"/>
        <color theme="1"/>
        <rFont val="Calibri"/>
        <family val="2"/>
        <scheme val="minor"/>
      </rPr>
      <t xml:space="preserve">: Surface damage failrue mode  followed by Separation failure mode for all parts of the component         </t>
    </r>
    <r>
      <rPr>
        <b/>
        <sz val="11"/>
        <color theme="1"/>
        <rFont val="Calibri"/>
        <family val="2"/>
        <scheme val="minor"/>
      </rPr>
      <t>Recommendation:</t>
    </r>
    <r>
      <rPr>
        <sz val="11"/>
        <color theme="1"/>
        <rFont val="Calibri"/>
        <family val="2"/>
        <scheme val="minor"/>
      </rPr>
      <t xml:space="preserve"> Ensure sufficient lubrication (e.g. by adapting an axilary lubraication system)</t>
    </r>
  </si>
  <si>
    <t>Fracture/Separation</t>
  </si>
  <si>
    <t>Wear</t>
  </si>
  <si>
    <t>Surface Damage</t>
  </si>
  <si>
    <t>Creep</t>
  </si>
  <si>
    <t>UV Radiation</t>
  </si>
  <si>
    <t>Misalignment</t>
  </si>
  <si>
    <t>Corrosion</t>
  </si>
  <si>
    <t>Contamination ingress</t>
  </si>
  <si>
    <t>Sum</t>
  </si>
  <si>
    <t>Pulley</t>
  </si>
  <si>
    <r>
      <rPr>
        <b/>
        <sz val="11"/>
        <color theme="1"/>
        <rFont val="Calibri"/>
        <family val="2"/>
        <scheme val="minor"/>
      </rPr>
      <t>Dominant failure mode(s)</t>
    </r>
    <r>
      <rPr>
        <sz val="11"/>
        <color theme="1"/>
        <rFont val="Calibri"/>
        <family val="2"/>
        <scheme val="minor"/>
      </rPr>
      <t xml:space="preserve">: Surface damage                                             </t>
    </r>
    <r>
      <rPr>
        <b/>
        <sz val="11"/>
        <color theme="1"/>
        <rFont val="Calibri"/>
        <family val="2"/>
        <scheme val="minor"/>
      </rPr>
      <t xml:space="preserve"> Dominant failure mechanism(s)</t>
    </r>
    <r>
      <rPr>
        <sz val="11"/>
        <color theme="1"/>
        <rFont val="Calibri"/>
        <family val="2"/>
        <scheme val="minor"/>
      </rPr>
      <t>: Wear followed by  Fatigue</t>
    </r>
  </si>
  <si>
    <t>Foreign Material</t>
  </si>
  <si>
    <t>Rotary bearing unit</t>
  </si>
  <si>
    <t>Spherical Bearing</t>
  </si>
  <si>
    <r>
      <rPr>
        <b/>
        <sz val="11"/>
        <color theme="1"/>
        <rFont val="Calibri"/>
        <family val="2"/>
        <scheme val="minor"/>
      </rPr>
      <t>Dominant failure mode(s)</t>
    </r>
    <r>
      <rPr>
        <sz val="11"/>
        <color theme="1"/>
        <rFont val="Calibri"/>
        <family val="2"/>
        <scheme val="minor"/>
      </rPr>
      <t xml:space="preserve">: Surface damage                                              </t>
    </r>
    <r>
      <rPr>
        <b/>
        <sz val="11"/>
        <color theme="1"/>
        <rFont val="Calibri"/>
        <family val="2"/>
        <scheme val="minor"/>
      </rPr>
      <t>Dominant failure mechanism(s):</t>
    </r>
    <r>
      <rPr>
        <sz val="11"/>
        <color theme="1"/>
        <rFont val="Calibri"/>
        <family val="2"/>
        <scheme val="minor"/>
      </rPr>
      <t xml:space="preserve"> Wear followed by Fatigue failure mechanism</t>
    </r>
  </si>
  <si>
    <t xml:space="preserve">Seal </t>
  </si>
  <si>
    <t xml:space="preserve">Fracture/Separation </t>
  </si>
  <si>
    <t>Housing</t>
  </si>
  <si>
    <t xml:space="preserve">Misalignment </t>
  </si>
  <si>
    <t xml:space="preserve">Corrosion </t>
  </si>
  <si>
    <t xml:space="preserve">Vibration </t>
  </si>
  <si>
    <t>Lubrication Failed</t>
  </si>
  <si>
    <t>Current Path (Spark)</t>
  </si>
  <si>
    <t>Shaft</t>
  </si>
  <si>
    <r>
      <rPr>
        <b/>
        <sz val="11"/>
        <color theme="1"/>
        <rFont val="Calibri"/>
        <family val="2"/>
        <scheme val="minor"/>
      </rPr>
      <t xml:space="preserve">Dominant failure mode(s): </t>
    </r>
    <r>
      <rPr>
        <sz val="11"/>
        <color theme="1"/>
        <rFont val="Calibri"/>
        <family val="2"/>
        <scheme val="minor"/>
      </rPr>
      <t xml:space="preserve">Surface damage                                              </t>
    </r>
    <r>
      <rPr>
        <b/>
        <sz val="11"/>
        <rFont val="Calibri"/>
        <family val="2"/>
        <scheme val="minor"/>
      </rPr>
      <t>Most common f</t>
    </r>
    <r>
      <rPr>
        <b/>
        <sz val="11"/>
        <color theme="1"/>
        <rFont val="Calibri"/>
        <family val="2"/>
        <scheme val="minor"/>
      </rPr>
      <t>ailure mechanism(s)</t>
    </r>
    <r>
      <rPr>
        <sz val="11"/>
        <color theme="1"/>
        <rFont val="Calibri"/>
        <family val="2"/>
        <scheme val="minor"/>
      </rPr>
      <t>: Fatigue followed equally  by Corrosion and Wear failure meachanims</t>
    </r>
  </si>
  <si>
    <t>Vibration</t>
  </si>
  <si>
    <t>FailureMechanism</t>
  </si>
  <si>
    <t>Risk priority (O*S)</t>
  </si>
  <si>
    <t>Failure effect</t>
  </si>
  <si>
    <t>Recommendation</t>
  </si>
  <si>
    <t>Ball Screw PTO</t>
  </si>
  <si>
    <t>Screw nut assembly</t>
  </si>
  <si>
    <t>Thrust Bearing</t>
  </si>
  <si>
    <r>
      <t xml:space="preserve">Most common part failure: </t>
    </r>
    <r>
      <rPr>
        <sz val="11"/>
        <color theme="1"/>
        <rFont val="Calibri"/>
        <family val="2"/>
        <scheme val="minor"/>
      </rPr>
      <t xml:space="preserve">Thrust bearing, Worm Wheel             </t>
    </r>
    <r>
      <rPr>
        <b/>
        <sz val="11"/>
        <color theme="1"/>
        <rFont val="Calibri"/>
        <family val="2"/>
        <scheme val="minor"/>
      </rPr>
      <t xml:space="preserve">                       Most common failure mode(s):</t>
    </r>
    <r>
      <rPr>
        <sz val="11"/>
        <color theme="1"/>
        <rFont val="Calibri"/>
        <family val="2"/>
        <scheme val="minor"/>
      </rPr>
      <t xml:space="preserve"> Fracture/separation   </t>
    </r>
    <r>
      <rPr>
        <b/>
        <sz val="11"/>
        <color theme="1"/>
        <rFont val="Calibri"/>
        <family val="2"/>
        <scheme val="minor"/>
      </rPr>
      <t xml:space="preserve">                              Most common failure mechanism(s): </t>
    </r>
    <r>
      <rPr>
        <sz val="11"/>
        <color theme="1"/>
        <rFont val="Calibri"/>
        <family val="2"/>
        <scheme val="minor"/>
      </rPr>
      <t xml:space="preserve"> Fatigue, Foreign material, Wear</t>
    </r>
  </si>
  <si>
    <t xml:space="preserve">An annual failure rate of 0.27 for a generic Ball Screw PTO. Medium risk for all components. Higher criticality numbers for the failure modes of fracture and surface damage in the FMECA result. </t>
  </si>
  <si>
    <t>Nut Screw</t>
  </si>
  <si>
    <t>Worm Wheel</t>
  </si>
  <si>
    <t>Seals</t>
  </si>
  <si>
    <t>Balls</t>
  </si>
  <si>
    <t>Lubrication Failure</t>
  </si>
  <si>
    <t>Current Path(Spark)</t>
  </si>
  <si>
    <t>Gear</t>
  </si>
  <si>
    <r>
      <rPr>
        <b/>
        <sz val="11"/>
        <color theme="1"/>
        <rFont val="Calibri"/>
        <family val="2"/>
        <scheme val="minor"/>
      </rPr>
      <t>Most common failure mode(s)</t>
    </r>
    <r>
      <rPr>
        <sz val="11"/>
        <color theme="1"/>
        <rFont val="Calibri"/>
        <family val="2"/>
        <scheme val="minor"/>
      </rPr>
      <t xml:space="preserve">: Surface damage                                                 </t>
    </r>
    <r>
      <rPr>
        <b/>
        <sz val="11"/>
        <color theme="1"/>
        <rFont val="Calibri"/>
        <family val="2"/>
        <scheme val="minor"/>
      </rPr>
      <t xml:space="preserve"> Most common failure mechanism(s)</t>
    </r>
    <r>
      <rPr>
        <sz val="11"/>
        <color theme="1"/>
        <rFont val="Calibri"/>
        <family val="2"/>
        <scheme val="minor"/>
      </rPr>
      <t>: Fatigue, Foreign material</t>
    </r>
  </si>
  <si>
    <t>Screw and rail assembly</t>
  </si>
  <si>
    <t>Screw</t>
  </si>
  <si>
    <r>
      <rPr>
        <b/>
        <sz val="11"/>
        <color theme="1"/>
        <rFont val="Calibri"/>
        <family val="2"/>
        <scheme val="minor"/>
      </rPr>
      <t>Most common part failure:</t>
    </r>
    <r>
      <rPr>
        <sz val="11"/>
        <color theme="1"/>
        <rFont val="Calibri"/>
        <family val="2"/>
        <scheme val="minor"/>
      </rPr>
      <t xml:space="preserve"> Rotary bearing                                                    </t>
    </r>
    <r>
      <rPr>
        <b/>
        <sz val="11"/>
        <color theme="1"/>
        <rFont val="Calibri"/>
        <family val="2"/>
        <scheme val="minor"/>
      </rPr>
      <t>Most common failure mode(s):</t>
    </r>
    <r>
      <rPr>
        <sz val="11"/>
        <color theme="1"/>
        <rFont val="Calibri"/>
        <family val="2"/>
        <scheme val="minor"/>
      </rPr>
      <t xml:space="preserve"> Surface damage                                                 </t>
    </r>
    <r>
      <rPr>
        <b/>
        <sz val="11"/>
        <color theme="1"/>
        <rFont val="Calibri"/>
        <family val="2"/>
        <scheme val="minor"/>
      </rPr>
      <t>Most common failure mechanism(s)</t>
    </r>
    <r>
      <rPr>
        <sz val="11"/>
        <color theme="1"/>
        <rFont val="Calibri"/>
        <family val="2"/>
        <scheme val="minor"/>
      </rPr>
      <t>: Wear, Fatigue</t>
    </r>
  </si>
  <si>
    <t>Guide Rail</t>
  </si>
  <si>
    <t>Rortary Bearing</t>
  </si>
  <si>
    <t>Most common part failure: Shaft                                            Dominant failure modes: Surface damage, Fracture/separation                            Dominant failure mechanism: Wear, Fatigue</t>
  </si>
  <si>
    <t>Conclusion /Recommendation</t>
  </si>
  <si>
    <t>Rack &amp; Pinion PTO</t>
  </si>
  <si>
    <r>
      <t xml:space="preserve">Most common part(s) failure: </t>
    </r>
    <r>
      <rPr>
        <sz val="11"/>
        <color theme="1"/>
        <rFont val="Calibri"/>
        <family val="2"/>
        <scheme val="minor"/>
      </rPr>
      <t xml:space="preserve">Spherial bearing                                   </t>
    </r>
    <r>
      <rPr>
        <b/>
        <sz val="11"/>
        <color theme="1"/>
        <rFont val="Calibri"/>
        <family val="2"/>
        <scheme val="minor"/>
      </rPr>
      <t xml:space="preserve">                            Most common failure modes: </t>
    </r>
    <r>
      <rPr>
        <sz val="11"/>
        <color theme="1"/>
        <rFont val="Calibri"/>
        <family val="2"/>
        <scheme val="minor"/>
      </rPr>
      <t xml:space="preserve">Surface damage  </t>
    </r>
    <r>
      <rPr>
        <b/>
        <sz val="11"/>
        <color theme="1"/>
        <rFont val="Calibri"/>
        <family val="2"/>
        <scheme val="minor"/>
      </rPr>
      <t xml:space="preserve"> Most common failure mechanism: </t>
    </r>
    <r>
      <rPr>
        <sz val="11"/>
        <color theme="1"/>
        <rFont val="Calibri"/>
        <family val="2"/>
        <scheme val="minor"/>
      </rPr>
      <t>Wear, Fatigue</t>
    </r>
  </si>
  <si>
    <t xml:space="preserve">An annual failure rate of 0.25 for a generic Rack &amp; Pinion PTO. Rack and Pinion PTO lies in a medium risk category range of 6 to 12 (orange colour)  for all its components. However, Rail assembly compoenent is in the border toward a red color risk category. The Rail assembly component, in particular, Bearing Rail and Rack Gear component got the highest criticality number in the FMECA result. </t>
  </si>
  <si>
    <r>
      <rPr>
        <b/>
        <sz val="11"/>
        <color theme="1"/>
        <rFont val="Calibri"/>
        <family val="2"/>
        <scheme val="minor"/>
      </rPr>
      <t>Most common failure mode(s)</t>
    </r>
    <r>
      <rPr>
        <sz val="11"/>
        <color theme="1"/>
        <rFont val="Calibri"/>
        <family val="2"/>
        <scheme val="minor"/>
      </rPr>
      <t>: Fracture             Most common</t>
    </r>
    <r>
      <rPr>
        <b/>
        <sz val="11"/>
        <color theme="1"/>
        <rFont val="Calibri"/>
        <family val="2"/>
        <scheme val="minor"/>
      </rPr>
      <t xml:space="preserve"> failure mechanism(s)</t>
    </r>
    <r>
      <rPr>
        <sz val="11"/>
        <color theme="1"/>
        <rFont val="Calibri"/>
        <family val="2"/>
        <scheme val="minor"/>
      </rPr>
      <t>: Fatigue, Foreign material</t>
    </r>
  </si>
  <si>
    <t>Linear bearing unit</t>
  </si>
  <si>
    <r>
      <t xml:space="preserve">Most common part(s) failure: </t>
    </r>
    <r>
      <rPr>
        <sz val="11"/>
        <color theme="1"/>
        <rFont val="Calibri"/>
        <family val="2"/>
        <scheme val="minor"/>
      </rPr>
      <t xml:space="preserve">Balls        </t>
    </r>
    <r>
      <rPr>
        <b/>
        <sz val="11"/>
        <color theme="1"/>
        <rFont val="Calibri"/>
        <family val="2"/>
        <scheme val="minor"/>
      </rPr>
      <t xml:space="preserve">         Most common failure mode(s): </t>
    </r>
    <r>
      <rPr>
        <sz val="11"/>
        <color theme="1"/>
        <rFont val="Calibri"/>
        <family val="2"/>
        <scheme val="minor"/>
      </rPr>
      <t>Surface damage</t>
    </r>
    <r>
      <rPr>
        <b/>
        <sz val="11"/>
        <color theme="1"/>
        <rFont val="Calibri"/>
        <family val="2"/>
        <scheme val="minor"/>
      </rPr>
      <t xml:space="preserve">   Dominant failure mechanism(s): </t>
    </r>
    <r>
      <rPr>
        <sz val="11"/>
        <color theme="1"/>
        <rFont val="Calibri"/>
        <family val="2"/>
        <scheme val="minor"/>
      </rPr>
      <t>Wear, Fatigue</t>
    </r>
  </si>
  <si>
    <t>Seal</t>
  </si>
  <si>
    <r>
      <rPr>
        <b/>
        <sz val="11"/>
        <color theme="1"/>
        <rFont val="Calibri"/>
        <family val="2"/>
        <scheme val="minor"/>
      </rPr>
      <t xml:space="preserve">Dominant failure mode(s): </t>
    </r>
    <r>
      <rPr>
        <sz val="11"/>
        <color theme="1"/>
        <rFont val="Calibri"/>
        <family val="2"/>
        <scheme val="minor"/>
      </rPr>
      <t xml:space="preserve">Surface damage   </t>
    </r>
    <r>
      <rPr>
        <b/>
        <sz val="11"/>
        <color theme="1"/>
        <rFont val="Calibri"/>
        <family val="2"/>
        <scheme val="minor"/>
      </rPr>
      <t xml:space="preserve">Dominant failure mechanism(s): </t>
    </r>
    <r>
      <rPr>
        <sz val="11"/>
        <color theme="1"/>
        <rFont val="Calibri"/>
        <family val="2"/>
        <scheme val="minor"/>
      </rPr>
      <t>Fatigue</t>
    </r>
  </si>
  <si>
    <t>Rail Assembly</t>
  </si>
  <si>
    <t>Rack Beam</t>
  </si>
  <si>
    <t>Most common parts failure: Bearing rail, Rack gear  Dominant failure modes: Fracture                                                    Dominant failure mechanism:  Fatigue, Foreign material</t>
  </si>
  <si>
    <t>Bearing Rail</t>
  </si>
  <si>
    <t>End Stop Bumper</t>
  </si>
  <si>
    <t>Rack Gear</t>
  </si>
  <si>
    <t>Failure effecct ranking</t>
  </si>
  <si>
    <t>Summary (Part, Failure modes, Failure mechnisms)</t>
  </si>
  <si>
    <t>Conclusion/ Remarkds</t>
  </si>
  <si>
    <t>HYDRAULIC PTO</t>
  </si>
  <si>
    <t xml:space="preserve">Hydraulic linear actuator </t>
  </si>
  <si>
    <t>Piston</t>
  </si>
  <si>
    <t>External Leakage</t>
  </si>
  <si>
    <t xml:space="preserve">Excessive Side Load </t>
  </si>
  <si>
    <r>
      <t xml:space="preserve">Most common part(s) failure: </t>
    </r>
    <r>
      <rPr>
        <sz val="11"/>
        <color theme="1"/>
        <rFont val="Calibri"/>
        <family val="2"/>
        <scheme val="minor"/>
      </rPr>
      <t xml:space="preserve">Seals, Clevis, Bearing                                                      </t>
    </r>
    <r>
      <rPr>
        <b/>
        <sz val="11"/>
        <color theme="1"/>
        <rFont val="Calibri"/>
        <family val="2"/>
        <scheme val="minor"/>
      </rPr>
      <t xml:space="preserve"> Most common failure mechanism(s): </t>
    </r>
    <r>
      <rPr>
        <sz val="11"/>
        <color theme="1"/>
        <rFont val="Calibri"/>
        <family val="2"/>
        <scheme val="minor"/>
      </rPr>
      <t>Seals</t>
    </r>
    <r>
      <rPr>
        <b/>
        <sz val="11"/>
        <color theme="1"/>
        <rFont val="Calibri"/>
        <family val="2"/>
        <scheme val="minor"/>
      </rPr>
      <t xml:space="preserve"> </t>
    </r>
    <r>
      <rPr>
        <sz val="11"/>
        <color theme="1"/>
        <rFont val="Calibri"/>
        <family val="2"/>
        <scheme val="minor"/>
      </rPr>
      <t>failure, Rod corrosion</t>
    </r>
  </si>
  <si>
    <r>
      <rPr>
        <b/>
        <sz val="11"/>
        <color theme="1"/>
        <rFont val="Calibri"/>
        <family val="2"/>
        <scheme val="minor"/>
      </rPr>
      <t>Risk:</t>
    </r>
    <r>
      <rPr>
        <sz val="11"/>
        <color theme="1"/>
        <rFont val="Calibri"/>
        <family val="2"/>
        <scheme val="minor"/>
      </rPr>
      <t xml:space="preserve"> Medium risks for all failure modes                                                    </t>
    </r>
    <r>
      <rPr>
        <b/>
        <sz val="11"/>
        <color theme="1"/>
        <rFont val="Calibri"/>
        <family val="2"/>
        <scheme val="minor"/>
      </rPr>
      <t>Criticality:</t>
    </r>
    <r>
      <rPr>
        <sz val="11"/>
        <color theme="1"/>
        <rFont val="Calibri"/>
        <family val="2"/>
        <scheme val="minor"/>
      </rPr>
      <t xml:space="preserve"> External and Internal Leakage have the highest criticality numbers followed by Bearing failure failure mode. Spurious Position Change failure mode and Jamming have the lowest criticality numbers.</t>
    </r>
    <r>
      <rPr>
        <b/>
        <sz val="11"/>
        <color theme="1"/>
        <rFont val="Calibri"/>
        <family val="2"/>
        <scheme val="minor"/>
      </rPr>
      <t xml:space="preserve">                                Recomendation: </t>
    </r>
    <r>
      <rPr>
        <sz val="11"/>
        <color theme="1"/>
        <rFont val="Calibri"/>
        <family val="2"/>
        <scheme val="minor"/>
      </rPr>
      <t>Maintain Hydraulic Seals</t>
    </r>
  </si>
  <si>
    <t>Cylinder</t>
  </si>
  <si>
    <t>Internal Leakage</t>
  </si>
  <si>
    <t xml:space="preserve">Seals Failure </t>
  </si>
  <si>
    <t>Rod</t>
  </si>
  <si>
    <t>Spurious Position Change</t>
  </si>
  <si>
    <t xml:space="preserve">Rod Corrosion </t>
  </si>
  <si>
    <t>Clevis</t>
  </si>
  <si>
    <t>Jamming</t>
  </si>
  <si>
    <t xml:space="preserve">Fatigue </t>
  </si>
  <si>
    <t xml:space="preserve">Aeration </t>
  </si>
  <si>
    <t xml:space="preserve">Contamination </t>
  </si>
  <si>
    <t>Bearing</t>
  </si>
  <si>
    <t xml:space="preserve">Mechanical Failure </t>
  </si>
  <si>
    <t>High Pressure</t>
  </si>
  <si>
    <t>Bearing Failure</t>
  </si>
  <si>
    <t>Valves (general)</t>
  </si>
  <si>
    <t>Actuating device</t>
  </si>
  <si>
    <t>Abnormal instrument reading</t>
  </si>
  <si>
    <t>Clearance/alignment failure</t>
  </si>
  <si>
    <r>
      <rPr>
        <b/>
        <sz val="11"/>
        <color theme="1"/>
        <rFont val="Calibri"/>
        <family val="2"/>
        <scheme val="minor"/>
      </rPr>
      <t>Dominant failure mode(s)</t>
    </r>
    <r>
      <rPr>
        <sz val="11"/>
        <color theme="1"/>
        <rFont val="Calibri"/>
        <family val="2"/>
        <scheme val="minor"/>
      </rPr>
      <t xml:space="preserve">: Internal and external leakage, Fail to open on demand             </t>
    </r>
    <r>
      <rPr>
        <b/>
        <sz val="11"/>
        <color theme="1"/>
        <rFont val="Calibri"/>
        <family val="2"/>
        <scheme val="minor"/>
      </rPr>
      <t>Dominant failure mechanism(s)</t>
    </r>
    <r>
      <rPr>
        <sz val="11"/>
        <color theme="1"/>
        <rFont val="Calibri"/>
        <family val="2"/>
        <scheme val="minor"/>
      </rPr>
      <t>: Leakage</t>
    </r>
  </si>
  <si>
    <r>
      <t xml:space="preserve">Annual failure rate of 0.337 for generic valves. OREDA database is mainly for oil and gas industires that operate in extreme environmental conditions. It is expected that the failure rate of valves is lower for the WECs. For instance literautre provides an annual failure rate of  0.20 for relief valves and 0.05 for the check valves (Neary et al., 2014) and mean annual failure rate of 0.02 for general failure of non-return valve (Thies, 2012).                                                                            </t>
    </r>
    <r>
      <rPr>
        <b/>
        <sz val="11"/>
        <color theme="1"/>
        <rFont val="Calibri"/>
        <family val="2"/>
        <scheme val="minor"/>
      </rPr>
      <t>Risks:</t>
    </r>
    <r>
      <rPr>
        <sz val="11"/>
        <color theme="1"/>
        <rFont val="Calibri"/>
        <family val="2"/>
        <scheme val="minor"/>
      </rPr>
      <t xml:space="preserve"> In general valves show a low to medium risks for all failure modes except the failure modes related to leakages.                                          </t>
    </r>
    <r>
      <rPr>
        <b/>
        <sz val="11"/>
        <color theme="1"/>
        <rFont val="Calibri"/>
        <family val="2"/>
        <scheme val="minor"/>
      </rPr>
      <t xml:space="preserve">Criticality: </t>
    </r>
    <r>
      <rPr>
        <sz val="11"/>
        <color theme="1"/>
        <rFont val="Calibri"/>
        <family val="2"/>
        <scheme val="minor"/>
      </rPr>
      <t>Most critical failure modes are 'External and Interal leakage' and Instrument</t>
    </r>
  </si>
  <si>
    <t>Bonnet</t>
  </si>
  <si>
    <t>Delayed operation</t>
  </si>
  <si>
    <t>Combined causes</t>
  </si>
  <si>
    <t>Closure member(ball/gate/disc.etc)</t>
  </si>
  <si>
    <t>External leakage- Process medium</t>
  </si>
  <si>
    <t>Contamination</t>
  </si>
  <si>
    <t>Control unit</t>
  </si>
  <si>
    <t>External leakage- utility medium</t>
  </si>
  <si>
    <t>Control failure</t>
  </si>
  <si>
    <t>Flange</t>
  </si>
  <si>
    <t>Fail to close on demand</t>
  </si>
  <si>
    <t>Instrument, general</t>
  </si>
  <si>
    <t>Fail to open on demand</t>
  </si>
  <si>
    <t>Instrument, position</t>
  </si>
  <si>
    <t>Fail to regulate</t>
  </si>
  <si>
    <t>Electrical failure-general</t>
  </si>
  <si>
    <t>Monitoring</t>
  </si>
  <si>
    <t>Interal leakage</t>
  </si>
  <si>
    <t>Faulty signal/indication/alarm</t>
  </si>
  <si>
    <t>Other</t>
  </si>
  <si>
    <t>Minor in-service problems</t>
  </si>
  <si>
    <t>Instrument failure-genera</t>
  </si>
  <si>
    <t>Other actuator components</t>
  </si>
  <si>
    <t>other</t>
  </si>
  <si>
    <t>Leakage</t>
  </si>
  <si>
    <t>Other valve component</t>
  </si>
  <si>
    <t>Spurious operation</t>
  </si>
  <si>
    <t>Losseness</t>
  </si>
  <si>
    <t>Packing</t>
  </si>
  <si>
    <t>Structural deficiency</t>
  </si>
  <si>
    <t>Material failure-general</t>
  </si>
  <si>
    <t>Pilot valve</t>
  </si>
  <si>
    <t>Unknown</t>
  </si>
  <si>
    <t>Mechanical failure-general</t>
  </si>
  <si>
    <t>Valve leakage in closed position</t>
  </si>
  <si>
    <t>Miscellaneous-general</t>
  </si>
  <si>
    <t>Seals (gaskets)</t>
  </si>
  <si>
    <t>No cause found</t>
  </si>
  <si>
    <t>Spring</t>
  </si>
  <si>
    <t>No signal/indicaiton/alarm</t>
  </si>
  <si>
    <t>Stem</t>
  </si>
  <si>
    <t>Subunit</t>
  </si>
  <si>
    <t>Out of adjustment</t>
  </si>
  <si>
    <t>Unkown</t>
  </si>
  <si>
    <t>Stichking</t>
  </si>
  <si>
    <t>Valve body with inernals</t>
  </si>
  <si>
    <t xml:space="preserve">Filter </t>
  </si>
  <si>
    <t>Abnormal Instrument Reading</t>
  </si>
  <si>
    <t>Blocked/Plugged</t>
  </si>
  <si>
    <r>
      <t xml:space="preserve">Most common part failure: </t>
    </r>
    <r>
      <rPr>
        <sz val="11"/>
        <color theme="1"/>
        <rFont val="Calibri"/>
        <family val="2"/>
        <scheme val="minor"/>
      </rPr>
      <t xml:space="preserve">Balls        </t>
    </r>
    <r>
      <rPr>
        <b/>
        <sz val="11"/>
        <color theme="1"/>
        <rFont val="Calibri"/>
        <family val="2"/>
        <scheme val="minor"/>
      </rPr>
      <t xml:space="preserve">         Dominant failure modes: </t>
    </r>
    <r>
      <rPr>
        <sz val="11"/>
        <color theme="1"/>
        <rFont val="Calibri"/>
        <family val="2"/>
        <scheme val="minor"/>
      </rPr>
      <t>Surface damage</t>
    </r>
    <r>
      <rPr>
        <b/>
        <sz val="11"/>
        <color theme="1"/>
        <rFont val="Calibri"/>
        <family val="2"/>
        <scheme val="minor"/>
      </rPr>
      <t xml:space="preserve">   Dominant failure mechanism: </t>
    </r>
    <r>
      <rPr>
        <sz val="11"/>
        <color theme="1"/>
        <rFont val="Calibri"/>
        <family val="2"/>
        <scheme val="minor"/>
      </rPr>
      <t>Wear, Fatigue</t>
    </r>
  </si>
  <si>
    <r>
      <rPr>
        <b/>
        <sz val="11"/>
        <color theme="1"/>
        <rFont val="Calibri"/>
        <family val="2"/>
        <scheme val="minor"/>
      </rPr>
      <t>Risk</t>
    </r>
    <r>
      <rPr>
        <sz val="11"/>
        <color theme="1"/>
        <rFont val="Calibri"/>
        <family val="2"/>
        <scheme val="minor"/>
      </rPr>
      <t xml:space="preserve">: Medium risks for all failure modes                                            </t>
    </r>
    <r>
      <rPr>
        <b/>
        <sz val="11"/>
        <color theme="1"/>
        <rFont val="Calibri"/>
        <family val="2"/>
        <scheme val="minor"/>
      </rPr>
      <t>Criticality:</t>
    </r>
    <r>
      <rPr>
        <sz val="11"/>
        <color theme="1"/>
        <rFont val="Calibri"/>
        <family val="2"/>
        <scheme val="minor"/>
      </rPr>
      <t xml:space="preserve"> Fail to clean has the highest criticality numbers followed by External leakage. </t>
    </r>
  </si>
  <si>
    <t>Filter Element</t>
  </si>
  <si>
    <t>Material Failure</t>
  </si>
  <si>
    <t>Fail to Clean</t>
  </si>
  <si>
    <t>Instrument Failure</t>
  </si>
  <si>
    <t>Bypass Valve</t>
  </si>
  <si>
    <t>Looseness</t>
  </si>
  <si>
    <t>Instrument</t>
  </si>
  <si>
    <t xml:space="preserve"> Manifold (connector &amp; Valve isolation)</t>
  </si>
  <si>
    <t>Connector</t>
  </si>
  <si>
    <r>
      <t xml:space="preserve">Most common part(s) part fialure: </t>
    </r>
    <r>
      <rPr>
        <sz val="11"/>
        <color theme="1"/>
        <rFont val="Calibri"/>
        <family val="2"/>
        <scheme val="minor"/>
      </rPr>
      <t xml:space="preserve">Valve isolation                                                        </t>
    </r>
    <r>
      <rPr>
        <b/>
        <sz val="11"/>
        <color theme="1"/>
        <rFont val="Calibri"/>
        <family val="2"/>
        <scheme val="minor"/>
      </rPr>
      <t xml:space="preserve"> Critical failure modes: </t>
    </r>
    <r>
      <rPr>
        <sz val="11"/>
        <color theme="1"/>
        <rFont val="Calibri"/>
        <family val="2"/>
        <scheme val="minor"/>
      </rPr>
      <t>External leakage</t>
    </r>
    <r>
      <rPr>
        <b/>
        <sz val="11"/>
        <color theme="1"/>
        <rFont val="Calibri"/>
        <family val="2"/>
        <scheme val="minor"/>
      </rPr>
      <t xml:space="preserve">      Dominant failure mechanism: </t>
    </r>
    <r>
      <rPr>
        <sz val="11"/>
        <color theme="1"/>
        <rFont val="Calibri"/>
        <family val="2"/>
        <scheme val="minor"/>
      </rPr>
      <t>Wear</t>
    </r>
  </si>
  <si>
    <r>
      <rPr>
        <b/>
        <sz val="11"/>
        <color theme="1"/>
        <rFont val="Calibri"/>
        <family val="2"/>
        <scheme val="minor"/>
      </rPr>
      <t xml:space="preserve">Risk: </t>
    </r>
    <r>
      <rPr>
        <sz val="11"/>
        <color theme="1"/>
        <rFont val="Calibri"/>
        <family val="2"/>
        <scheme val="minor"/>
      </rPr>
      <t xml:space="preserve">low                                                   </t>
    </r>
    <r>
      <rPr>
        <b/>
        <sz val="11"/>
        <color theme="1"/>
        <rFont val="Calibri"/>
        <family val="2"/>
        <scheme val="minor"/>
      </rPr>
      <t>Criticality:</t>
    </r>
    <r>
      <rPr>
        <sz val="11"/>
        <color theme="1"/>
        <rFont val="Calibri"/>
        <family val="2"/>
        <scheme val="minor"/>
      </rPr>
      <t xml:space="preserve"> low</t>
    </r>
  </si>
  <si>
    <t>Valve, process isolation</t>
  </si>
  <si>
    <t>Reciprocating pump</t>
  </si>
  <si>
    <t>Blockage/plugged</t>
  </si>
  <si>
    <r>
      <t xml:space="preserve">Common part(s) failure: </t>
    </r>
    <r>
      <rPr>
        <sz val="11"/>
        <color theme="1"/>
        <rFont val="Calibri"/>
        <family val="2"/>
        <scheme val="minor"/>
      </rPr>
      <t xml:space="preserve">Subunit, Casting, Oil, Seals                                                        </t>
    </r>
    <r>
      <rPr>
        <b/>
        <sz val="11"/>
        <color theme="1"/>
        <rFont val="Calibri"/>
        <family val="2"/>
        <scheme val="minor"/>
      </rPr>
      <t xml:space="preserve">    Most failure mode(s): </t>
    </r>
    <r>
      <rPr>
        <sz val="11"/>
        <color theme="1"/>
        <rFont val="Calibri"/>
        <family val="2"/>
        <scheme val="minor"/>
      </rPr>
      <t xml:space="preserve">External &amp; internal leakage, Breakdown, Parameter deviation </t>
    </r>
    <r>
      <rPr>
        <b/>
        <sz val="11"/>
        <color theme="1"/>
        <rFont val="Calibri"/>
        <family val="2"/>
        <scheme val="minor"/>
      </rPr>
      <t xml:space="preserve">                  Most failure mechanism(s): </t>
    </r>
    <r>
      <rPr>
        <sz val="11"/>
        <color theme="1"/>
        <rFont val="Calibri"/>
        <family val="2"/>
        <scheme val="minor"/>
      </rPr>
      <t>Wear, Material failure, Leakage</t>
    </r>
  </si>
  <si>
    <r>
      <rPr>
        <b/>
        <sz val="11"/>
        <color theme="1"/>
        <rFont val="Calibri"/>
        <family val="2"/>
        <scheme val="minor"/>
      </rPr>
      <t>Risk:</t>
    </r>
    <r>
      <rPr>
        <sz val="11"/>
        <color theme="1"/>
        <rFont val="Calibri"/>
        <family val="2"/>
        <scheme val="minor"/>
      </rPr>
      <t xml:space="preserve"> Low to medium risks for all failure modes except Breakage and Leakage that are in the high risk category area.  </t>
    </r>
    <r>
      <rPr>
        <b/>
        <sz val="11"/>
        <color theme="1"/>
        <rFont val="Calibri"/>
        <family val="2"/>
        <scheme val="minor"/>
      </rPr>
      <t>Criticality:</t>
    </r>
    <r>
      <rPr>
        <sz val="11"/>
        <color theme="1"/>
        <rFont val="Calibri"/>
        <family val="2"/>
        <scheme val="minor"/>
      </rPr>
      <t xml:space="preserve"> External leakage (process) has the highest criticality number followed by Breakdown failure mode.</t>
    </r>
  </si>
  <si>
    <t>Casting</t>
  </si>
  <si>
    <t>Breakdown</t>
  </si>
  <si>
    <t>Breakage</t>
  </si>
  <si>
    <t>Coupling to driven unit</t>
  </si>
  <si>
    <t>Erratic output</t>
  </si>
  <si>
    <t>Burst</t>
  </si>
  <si>
    <t>Coupling to driver</t>
  </si>
  <si>
    <t>External leakage-process</t>
  </si>
  <si>
    <t>Clearance/alignment</t>
  </si>
  <si>
    <t>Cylinder liner</t>
  </si>
  <si>
    <t>Eternal leakage- Utility medium</t>
  </si>
  <si>
    <t>Diaphragm</t>
  </si>
  <si>
    <t>Fail to star on demand</t>
  </si>
  <si>
    <t>Filter(s)</t>
  </si>
  <si>
    <t>Internal leakage</t>
  </si>
  <si>
    <t>Gearbox/var.drive</t>
  </si>
  <si>
    <t>Low output</t>
  </si>
  <si>
    <t>Instrument, pressure</t>
  </si>
  <si>
    <t>Lubrication</t>
  </si>
  <si>
    <t>Noise</t>
  </si>
  <si>
    <t>Miscellaneous- general</t>
  </si>
  <si>
    <t>Oil</t>
  </si>
  <si>
    <t>Parameter deviation</t>
  </si>
  <si>
    <t>Piston(s)</t>
  </si>
  <si>
    <t>Plugged/chocked</t>
  </si>
  <si>
    <t>Overheating</t>
  </si>
  <si>
    <t>Pulsation damper</t>
  </si>
  <si>
    <t>Spurious stop</t>
  </si>
  <si>
    <t>Thrust bearing</t>
  </si>
  <si>
    <t>Valves</t>
  </si>
  <si>
    <t>Centrifugal Pump</t>
  </si>
  <si>
    <r>
      <t xml:space="preserve">Common part(s) failure: </t>
    </r>
    <r>
      <rPr>
        <sz val="11"/>
        <color theme="1"/>
        <rFont val="Calibri"/>
        <family val="2"/>
        <scheme val="minor"/>
      </rPr>
      <t xml:space="preserve">Insrument         </t>
    </r>
    <r>
      <rPr>
        <b/>
        <sz val="11"/>
        <color theme="1"/>
        <rFont val="Calibri"/>
        <family val="2"/>
        <scheme val="minor"/>
      </rPr>
      <t xml:space="preserve">                                                   Most common failure mode(s): </t>
    </r>
    <r>
      <rPr>
        <sz val="11"/>
        <color theme="1"/>
        <rFont val="Calibri"/>
        <family val="2"/>
        <scheme val="minor"/>
      </rPr>
      <t xml:space="preserve">Abnormal instrument reading,  External &amp; internal leakage                               </t>
    </r>
    <r>
      <rPr>
        <b/>
        <sz val="11"/>
        <color theme="1"/>
        <rFont val="Calibri"/>
        <family val="2"/>
        <scheme val="minor"/>
      </rPr>
      <t xml:space="preserve">                                        Most failure mechanism(s): </t>
    </r>
    <r>
      <rPr>
        <sz val="11"/>
        <color theme="1"/>
        <rFont val="Calibri"/>
        <family val="2"/>
        <scheme val="minor"/>
      </rPr>
      <t>Leakage</t>
    </r>
  </si>
  <si>
    <r>
      <t xml:space="preserve">Annual failure rate of 0.337 for generic valves. OREDA database is mainly for oil and gas industires that operate in extreme environmental conditions. It is expected that the failure S100:S107rate of valves is lower for the WECs. For instance the annual failure rate of  0.20 for relief valves and 0.05 for the check valves (Neary et al., 2014) and mean annual failure rate of 0.02 for general failure of non-return valve (Thies, 2012).                                                                            </t>
    </r>
    <r>
      <rPr>
        <b/>
        <sz val="11"/>
        <color theme="1"/>
        <rFont val="Calibri"/>
        <family val="2"/>
        <scheme val="minor"/>
      </rPr>
      <t>Risks:</t>
    </r>
    <r>
      <rPr>
        <sz val="11"/>
        <color theme="1"/>
        <rFont val="Calibri"/>
        <family val="2"/>
        <scheme val="minor"/>
      </rPr>
      <t xml:space="preserve"> In general valves show a low to medium risks for all failure modes except the failure modes related to leakages.                                          For recommendation see paper Sotoudeh, 2021.                                                         </t>
    </r>
    <r>
      <rPr>
        <b/>
        <sz val="11"/>
        <color theme="1"/>
        <rFont val="Calibri"/>
        <family val="2"/>
        <scheme val="minor"/>
      </rPr>
      <t xml:space="preserve">Criticality: </t>
    </r>
    <r>
      <rPr>
        <sz val="11"/>
        <color theme="1"/>
        <rFont val="Calibri"/>
        <family val="2"/>
        <scheme val="minor"/>
      </rPr>
      <t>Most critical failure modes are 'External and Interal leakage' and Instrument</t>
    </r>
  </si>
  <si>
    <t>Casing</t>
  </si>
  <si>
    <t>Cleanrance/alignment failure</t>
  </si>
  <si>
    <t>Cooler(s)</t>
  </si>
  <si>
    <t>Colling/heating system</t>
  </si>
  <si>
    <t>External leakage- utility</t>
  </si>
  <si>
    <t>Fail to stop</t>
  </si>
  <si>
    <t>Erosion</t>
  </si>
  <si>
    <t>Filter, cyclone</t>
  </si>
  <si>
    <t>High output</t>
  </si>
  <si>
    <t>Instrument failure-genral</t>
  </si>
  <si>
    <t>Impeller</t>
  </si>
  <si>
    <t>Minor in service problem</t>
  </si>
  <si>
    <t xml:space="preserve">Other </t>
  </si>
  <si>
    <t xml:space="preserve">Parameter deviatio </t>
  </si>
  <si>
    <t>No signal/indication/alarm</t>
  </si>
  <si>
    <t>Piping</t>
  </si>
  <si>
    <t>Pump</t>
  </si>
  <si>
    <t>Purge air</t>
  </si>
  <si>
    <t>Structrual deficiency</t>
  </si>
  <si>
    <t>Radial bearing</t>
  </si>
  <si>
    <t>Piston Accumulator</t>
  </si>
  <si>
    <t>Pressure Vessel</t>
  </si>
  <si>
    <r>
      <rPr>
        <b/>
        <sz val="11"/>
        <color theme="1"/>
        <rFont val="Calibri"/>
        <family val="2"/>
        <scheme val="minor"/>
      </rPr>
      <t>Most common part(s) failure:</t>
    </r>
    <r>
      <rPr>
        <sz val="11"/>
        <color theme="1"/>
        <rFont val="Calibri"/>
        <family val="2"/>
        <scheme val="minor"/>
      </rPr>
      <t xml:space="preserve"> Seal                                                        </t>
    </r>
    <r>
      <rPr>
        <b/>
        <sz val="11"/>
        <color theme="1"/>
        <rFont val="Calibri"/>
        <family val="2"/>
        <scheme val="minor"/>
      </rPr>
      <t>Most common failure mod(s):</t>
    </r>
    <r>
      <rPr>
        <sz val="11"/>
        <color theme="1"/>
        <rFont val="Calibri"/>
        <family val="2"/>
        <scheme val="minor"/>
      </rPr>
      <t xml:space="preserve"> Pressure loss, Gas &amp; Oil mixture                                                        </t>
    </r>
    <r>
      <rPr>
        <b/>
        <sz val="11"/>
        <color theme="1"/>
        <rFont val="Calibri"/>
        <family val="2"/>
        <scheme val="minor"/>
      </rPr>
      <t>Most common failure mechanism(s):</t>
    </r>
    <r>
      <rPr>
        <sz val="11"/>
        <color theme="1"/>
        <rFont val="Calibri"/>
        <family val="2"/>
        <scheme val="minor"/>
      </rPr>
      <t xml:space="preserve"> Leakage</t>
    </r>
  </si>
  <si>
    <r>
      <rPr>
        <b/>
        <sz val="11"/>
        <color theme="1"/>
        <rFont val="Calibri"/>
        <family val="2"/>
        <scheme val="minor"/>
      </rPr>
      <t>Risk:</t>
    </r>
    <r>
      <rPr>
        <sz val="11"/>
        <color theme="1"/>
        <rFont val="Calibri"/>
        <family val="2"/>
        <scheme val="minor"/>
      </rPr>
      <t xml:space="preserve"> Low risks for failure modes                                                        </t>
    </r>
    <r>
      <rPr>
        <b/>
        <sz val="11"/>
        <color theme="1"/>
        <rFont val="Calibri"/>
        <family val="2"/>
        <scheme val="minor"/>
      </rPr>
      <t xml:space="preserve"> Criticality:</t>
    </r>
    <r>
      <rPr>
        <sz val="11"/>
        <color theme="1"/>
        <rFont val="Calibri"/>
        <family val="2"/>
        <scheme val="minor"/>
      </rPr>
      <t xml:space="preserve"> The failure mode of pressure loss has the highest criticality number</t>
    </r>
  </si>
  <si>
    <t>Cylinder Damage</t>
  </si>
  <si>
    <t>Oil Valve</t>
  </si>
  <si>
    <t>Pressure Loss</t>
  </si>
  <si>
    <t>Gas Valve</t>
  </si>
  <si>
    <t>Gas &amp; Oil Mixture</t>
  </si>
  <si>
    <t>Piston Jammed</t>
  </si>
  <si>
    <t>Jammed Valve</t>
  </si>
  <si>
    <t>Bladder Accumlator</t>
  </si>
  <si>
    <r>
      <rPr>
        <b/>
        <sz val="11"/>
        <color theme="1"/>
        <rFont val="Calibri"/>
        <family val="2"/>
        <scheme val="minor"/>
      </rPr>
      <t>Most common part(s) failure:</t>
    </r>
    <r>
      <rPr>
        <sz val="11"/>
        <color theme="1"/>
        <rFont val="Calibri"/>
        <family val="2"/>
        <scheme val="minor"/>
      </rPr>
      <t xml:space="preserve"> Oil &amp; Gas Valves                                                                  </t>
    </r>
    <r>
      <rPr>
        <b/>
        <sz val="11"/>
        <color theme="1"/>
        <rFont val="Calibri"/>
        <family val="2"/>
        <scheme val="minor"/>
      </rPr>
      <t>Most common failure mod(s):</t>
    </r>
    <r>
      <rPr>
        <sz val="11"/>
        <color theme="1"/>
        <rFont val="Calibri"/>
        <family val="2"/>
        <scheme val="minor"/>
      </rPr>
      <t xml:space="preserve"> Pressure loss                                                                       </t>
    </r>
    <r>
      <rPr>
        <b/>
        <sz val="11"/>
        <color theme="1"/>
        <rFont val="Calibri"/>
        <family val="2"/>
        <scheme val="minor"/>
      </rPr>
      <t>Most common failure mechanism(s):</t>
    </r>
    <r>
      <rPr>
        <sz val="11"/>
        <color theme="1"/>
        <rFont val="Calibri"/>
        <family val="2"/>
        <scheme val="minor"/>
      </rPr>
      <t xml:space="preserve"> Leakage</t>
    </r>
  </si>
  <si>
    <r>
      <rPr>
        <b/>
        <sz val="11"/>
        <color theme="1"/>
        <rFont val="Calibri"/>
        <family val="2"/>
        <scheme val="minor"/>
      </rPr>
      <t>Risk</t>
    </r>
    <r>
      <rPr>
        <sz val="11"/>
        <color theme="1"/>
        <rFont val="Calibri"/>
        <family val="2"/>
        <scheme val="minor"/>
      </rPr>
      <t xml:space="preserve">: Low risks for failure modes                                                         </t>
    </r>
    <r>
      <rPr>
        <b/>
        <sz val="11"/>
        <color theme="1"/>
        <rFont val="Calibri"/>
        <family val="2"/>
        <scheme val="minor"/>
      </rPr>
      <t>Criticality:</t>
    </r>
    <r>
      <rPr>
        <sz val="11"/>
        <color theme="1"/>
        <rFont val="Calibri"/>
        <family val="2"/>
        <scheme val="minor"/>
      </rPr>
      <t xml:space="preserve"> The failure mode of pressure loss has the highest criticality number</t>
    </r>
  </si>
  <si>
    <t>Bladder</t>
  </si>
  <si>
    <t>Failed Bladder</t>
  </si>
  <si>
    <t>Heat Exchanger (generic)</t>
  </si>
  <si>
    <t>Body/shell</t>
  </si>
  <si>
    <r>
      <rPr>
        <b/>
        <sz val="11"/>
        <color theme="1"/>
        <rFont val="Calibri"/>
        <family val="2"/>
        <scheme val="minor"/>
      </rPr>
      <t>Most common failure mod(s):</t>
    </r>
    <r>
      <rPr>
        <sz val="11"/>
        <color theme="1"/>
        <rFont val="Calibri"/>
        <family val="2"/>
        <scheme val="minor"/>
      </rPr>
      <t xml:space="preserve"> Abnormal instrument reading mixture                                                        </t>
    </r>
    <r>
      <rPr>
        <b/>
        <sz val="11"/>
        <color theme="1"/>
        <rFont val="Calibri"/>
        <family val="2"/>
        <scheme val="minor"/>
      </rPr>
      <t>Most common failure mechanism(s):</t>
    </r>
    <r>
      <rPr>
        <sz val="11"/>
        <color theme="1"/>
        <rFont val="Calibri"/>
        <family val="2"/>
        <scheme val="minor"/>
      </rPr>
      <t xml:space="preserve"> Blockage</t>
    </r>
  </si>
  <si>
    <r>
      <rPr>
        <b/>
        <sz val="11"/>
        <color theme="1"/>
        <rFont val="Calibri"/>
        <family val="2"/>
        <scheme val="minor"/>
      </rPr>
      <t>Risk:</t>
    </r>
    <r>
      <rPr>
        <sz val="11"/>
        <color theme="1"/>
        <rFont val="Calibri"/>
        <family val="2"/>
        <scheme val="minor"/>
      </rPr>
      <t xml:space="preserve"> Medium to high risks for all failure modes.                                          </t>
    </r>
    <r>
      <rPr>
        <b/>
        <sz val="11"/>
        <color theme="1"/>
        <rFont val="Calibri"/>
        <family val="2"/>
        <scheme val="minor"/>
      </rPr>
      <t>Criticality:</t>
    </r>
    <r>
      <rPr>
        <sz val="11"/>
        <color theme="1"/>
        <rFont val="Calibri"/>
        <family val="2"/>
        <scheme val="minor"/>
      </rPr>
      <t xml:space="preserve"> Failure mode of Internal leakage has the highest criticality number followed by the failure mode of Insufficient heat transfer.</t>
    </r>
  </si>
  <si>
    <t>External leakage process medium</t>
  </si>
  <si>
    <t>Instrument, flow</t>
  </si>
  <si>
    <t>External leage- utility medium</t>
  </si>
  <si>
    <t>Instrument, level</t>
  </si>
  <si>
    <t>Insufficient heat transfer</t>
  </si>
  <si>
    <t>Faulty signal/indication-general</t>
  </si>
  <si>
    <t>Instrument, temperature</t>
  </si>
  <si>
    <t>Instrument failure-general</t>
  </si>
  <si>
    <t>Plugged/Chocked</t>
  </si>
  <si>
    <t>Plates</t>
  </si>
  <si>
    <t>No signal/indication</t>
  </si>
  <si>
    <t>Tubes</t>
  </si>
  <si>
    <t>Electric generator</t>
  </si>
  <si>
    <t>Generator-motor dirven</t>
  </si>
  <si>
    <r>
      <rPr>
        <b/>
        <sz val="11"/>
        <color theme="1"/>
        <rFont val="Calibri"/>
        <family val="2"/>
        <scheme val="minor"/>
      </rPr>
      <t>Most common part(s) failure:</t>
    </r>
    <r>
      <rPr>
        <sz val="11"/>
        <color theme="1"/>
        <rFont val="Calibri"/>
        <family val="2"/>
        <scheme val="minor"/>
      </rPr>
      <t xml:space="preserve"> Unknown, Control unit                                                       </t>
    </r>
    <r>
      <rPr>
        <b/>
        <sz val="11"/>
        <color theme="1"/>
        <rFont val="Calibri"/>
        <family val="2"/>
        <scheme val="minor"/>
      </rPr>
      <t>Most common failure mode(s):</t>
    </r>
    <r>
      <rPr>
        <sz val="11"/>
        <color theme="1"/>
        <rFont val="Calibri"/>
        <family val="2"/>
        <scheme val="minor"/>
      </rPr>
      <t xml:space="preserve"> Abnormal instrument reading, External leakage, Fail to synchronize, Faulty output voltage                                   </t>
    </r>
    <r>
      <rPr>
        <b/>
        <sz val="11"/>
        <color theme="1"/>
        <rFont val="Calibri"/>
        <family val="2"/>
        <scheme val="minor"/>
      </rPr>
      <t>Most common failure mechanism(s):</t>
    </r>
    <r>
      <rPr>
        <sz val="11"/>
        <color theme="1"/>
        <rFont val="Calibri"/>
        <family val="2"/>
        <scheme val="minor"/>
      </rPr>
      <t xml:space="preserve"> Unknown, Electrical failure (general), Faulty signal/indication      </t>
    </r>
  </si>
  <si>
    <r>
      <rPr>
        <b/>
        <sz val="11"/>
        <color theme="1"/>
        <rFont val="Calibri"/>
        <family val="2"/>
        <scheme val="minor"/>
      </rPr>
      <t>Risks:</t>
    </r>
    <r>
      <rPr>
        <sz val="11"/>
        <color theme="1"/>
        <rFont val="Calibri"/>
        <family val="2"/>
        <scheme val="minor"/>
      </rPr>
      <t xml:space="preserve"> In general all failure modes are in the low to medium risk category matrix.                                               </t>
    </r>
    <r>
      <rPr>
        <b/>
        <sz val="11"/>
        <color theme="1"/>
        <rFont val="Calibri"/>
        <family val="2"/>
        <scheme val="minor"/>
      </rPr>
      <t>Criticality:</t>
    </r>
    <r>
      <rPr>
        <sz val="11"/>
        <color theme="1"/>
        <rFont val="Calibri"/>
        <family val="2"/>
        <scheme val="minor"/>
      </rPr>
      <t xml:space="preserve"> The failure mode with the highest criticality number is External leakage followed by the failure mode of Fail to synchronise                        </t>
    </r>
  </si>
  <si>
    <t>External leakage Utility medium</t>
  </si>
  <si>
    <t>Instrument, frequency</t>
  </si>
  <si>
    <t>Fail to start on demand</t>
  </si>
  <si>
    <t>Fail to stop on demand</t>
  </si>
  <si>
    <t>Fail to synchronize</t>
  </si>
  <si>
    <t>External influence-general</t>
  </si>
  <si>
    <t>Instrument, voltage</t>
  </si>
  <si>
    <t>Faulty output voltage</t>
  </si>
  <si>
    <t>Faulty power/voltage</t>
  </si>
  <si>
    <t>Generator Trubine driven</t>
  </si>
  <si>
    <t>Contril unit</t>
  </si>
  <si>
    <r>
      <rPr>
        <b/>
        <sz val="11"/>
        <color theme="1"/>
        <rFont val="Calibri"/>
        <family val="2"/>
        <scheme val="minor"/>
      </rPr>
      <t xml:space="preserve">Most common part(s) failure: </t>
    </r>
    <r>
      <rPr>
        <sz val="11"/>
        <color theme="1"/>
        <rFont val="Calibri"/>
        <family val="2"/>
        <scheme val="minor"/>
      </rPr>
      <t xml:space="preserve">Piping                                                       </t>
    </r>
    <r>
      <rPr>
        <b/>
        <sz val="11"/>
        <color theme="1"/>
        <rFont val="Calibri"/>
        <family val="2"/>
        <scheme val="minor"/>
      </rPr>
      <t>Most common failure mode(s):</t>
    </r>
    <r>
      <rPr>
        <sz val="11"/>
        <color theme="1"/>
        <rFont val="Calibri"/>
        <family val="2"/>
        <scheme val="minor"/>
      </rPr>
      <t xml:space="preserve"> External leakage , Abnormal instrument reading, Minor in service propblem                 </t>
    </r>
    <r>
      <rPr>
        <b/>
        <sz val="11"/>
        <color theme="1"/>
        <rFont val="Calibri"/>
        <family val="2"/>
        <scheme val="minor"/>
      </rPr>
      <t xml:space="preserve">                  Most common failure mechanism(s):</t>
    </r>
    <r>
      <rPr>
        <sz val="11"/>
        <color theme="1"/>
        <rFont val="Calibri"/>
        <family val="2"/>
        <scheme val="minor"/>
      </rPr>
      <t xml:space="preserve"> Electrical failure (general), Mechanical failure (general), Leakag,   </t>
    </r>
  </si>
  <si>
    <r>
      <rPr>
        <b/>
        <sz val="11"/>
        <color theme="1"/>
        <rFont val="Calibri"/>
        <family val="2"/>
        <scheme val="minor"/>
      </rPr>
      <t xml:space="preserve">Risks: </t>
    </r>
    <r>
      <rPr>
        <sz val="11"/>
        <color theme="1"/>
        <rFont val="Calibri"/>
        <family val="2"/>
        <scheme val="minor"/>
      </rPr>
      <t xml:space="preserve">In general The component has has a low to high risk. The failure modes of   'Breakage', 'External leakage' have the highest risk ranks while failure modes of 'Vibration' and 'Fail to cynchoronize' have the lower risk ranks.                            </t>
    </r>
    <r>
      <rPr>
        <b/>
        <sz val="11"/>
        <color theme="1"/>
        <rFont val="Calibri"/>
        <family val="2"/>
        <scheme val="minor"/>
      </rPr>
      <t>Criticality: Most critical failure mode is  'External leakage'.</t>
    </r>
  </si>
  <si>
    <t>Excitation</t>
  </si>
  <si>
    <t>Fan</t>
  </si>
  <si>
    <t>External leakage utility medium</t>
  </si>
  <si>
    <t>Caviation</t>
  </si>
  <si>
    <t>Fails to start on demand</t>
  </si>
  <si>
    <t>Clearance/alighnement failure</t>
  </si>
  <si>
    <t>Gearbox</t>
  </si>
  <si>
    <t>Heat exchanger</t>
  </si>
  <si>
    <t>Instrument, current</t>
  </si>
  <si>
    <t>Earth/isolation fault</t>
  </si>
  <si>
    <t>Instrument , temperature</t>
  </si>
  <si>
    <t>Instrument, vibration</t>
  </si>
  <si>
    <t>Faulty signal/indication</t>
  </si>
  <si>
    <t>Monitroing</t>
  </si>
  <si>
    <t>Reserviou incl. heating</t>
  </si>
  <si>
    <t>Rotor</t>
  </si>
  <si>
    <t>Open circuit</t>
  </si>
  <si>
    <t>Stator</t>
  </si>
  <si>
    <t>Software failure</t>
  </si>
  <si>
    <t>Wirign</t>
  </si>
  <si>
    <t>POWER TRANSMISSION &amp; CONTROL</t>
  </si>
  <si>
    <t>Frequency Converter (HV)</t>
  </si>
  <si>
    <t>Brake choppers</t>
  </si>
  <si>
    <r>
      <t xml:space="preserve">Most common part(s) failure: </t>
    </r>
    <r>
      <rPr>
        <sz val="11"/>
        <color theme="1"/>
        <rFont val="Calibri"/>
        <family val="2"/>
        <scheme val="minor"/>
      </rPr>
      <t xml:space="preserve">Pump                                                      </t>
    </r>
    <r>
      <rPr>
        <b/>
        <sz val="11"/>
        <color theme="1"/>
        <rFont val="Calibri"/>
        <family val="2"/>
        <scheme val="minor"/>
      </rPr>
      <t xml:space="preserve"> Most common failure mode(s): </t>
    </r>
    <r>
      <rPr>
        <sz val="11"/>
        <color theme="1"/>
        <rFont val="Calibri"/>
        <family val="2"/>
        <scheme val="minor"/>
      </rPr>
      <t>Spurious stop followed by Fail to start on demand</t>
    </r>
    <r>
      <rPr>
        <b/>
        <sz val="11"/>
        <color theme="1"/>
        <rFont val="Calibri"/>
        <family val="2"/>
        <scheme val="minor"/>
      </rPr>
      <t xml:space="preserve">                             Most common failure mechanism(s): </t>
    </r>
    <r>
      <rPr>
        <sz val="11"/>
        <color theme="1"/>
        <rFont val="Calibri"/>
        <family val="2"/>
        <scheme val="minor"/>
      </rPr>
      <t>Unknown followed by Shor circuiting and Electrical failure-general</t>
    </r>
  </si>
  <si>
    <r>
      <rPr>
        <b/>
        <sz val="11"/>
        <color theme="1"/>
        <rFont val="Calibri"/>
        <family val="2"/>
        <scheme val="minor"/>
      </rPr>
      <t>Risk:</t>
    </r>
    <r>
      <rPr>
        <sz val="11"/>
        <color theme="1"/>
        <rFont val="Calibri"/>
        <family val="2"/>
        <scheme val="minor"/>
      </rPr>
      <t xml:space="preserve"> High risk for the failure mode of Electrical failure                                      </t>
    </r>
    <r>
      <rPr>
        <b/>
        <sz val="11"/>
        <color theme="1"/>
        <rFont val="Calibri"/>
        <family val="2"/>
        <scheme val="minor"/>
      </rPr>
      <t xml:space="preserve">Criticality: </t>
    </r>
    <r>
      <rPr>
        <sz val="11"/>
        <color theme="1"/>
        <rFont val="Calibri"/>
        <family val="2"/>
        <scheme val="minor"/>
      </rPr>
      <t>The highest critic</t>
    </r>
    <r>
      <rPr>
        <b/>
        <sz val="11"/>
        <color theme="1"/>
        <rFont val="Calibri"/>
        <family val="2"/>
        <scheme val="minor"/>
      </rPr>
      <t xml:space="preserve">ality number for </t>
    </r>
    <r>
      <rPr>
        <sz val="11"/>
        <color theme="1"/>
        <rFont val="Calibri"/>
        <family val="2"/>
        <scheme val="minor"/>
      </rPr>
      <t xml:space="preserve"> Electrical failure mode followed by Sorious stop</t>
    </r>
  </si>
  <si>
    <t>Communication cards</t>
  </si>
  <si>
    <t>External leakage- Utility medium</t>
  </si>
  <si>
    <t>Enclosure fixtures and fittings</t>
  </si>
  <si>
    <t>Fail to function as intended</t>
  </si>
  <si>
    <t>Fail to function on demand</t>
  </si>
  <si>
    <t>Harmonic filter</t>
  </si>
  <si>
    <t>Electrical failure- general</t>
  </si>
  <si>
    <t>Instrument, power</t>
  </si>
  <si>
    <t>Instrument, speed</t>
  </si>
  <si>
    <t>Instrument failure- general</t>
  </si>
  <si>
    <t>Internal circuit breaker or disconnector</t>
  </si>
  <si>
    <t>Output filters</t>
  </si>
  <si>
    <t>Mechanical failure- general</t>
  </si>
  <si>
    <t>parameter deviation</t>
  </si>
  <si>
    <t>No power/voltage</t>
  </si>
  <si>
    <t>Protective devices</t>
  </si>
  <si>
    <t>Short circuiting</t>
  </si>
  <si>
    <t>Wiring</t>
  </si>
  <si>
    <t>Switchgear (low voltage)</t>
  </si>
  <si>
    <t>Control power supply</t>
  </si>
  <si>
    <t>Faile to function as intended</t>
  </si>
  <si>
    <r>
      <rPr>
        <b/>
        <sz val="11"/>
        <color theme="1"/>
        <rFont val="Calibri"/>
        <family val="2"/>
        <scheme val="minor"/>
      </rPr>
      <t xml:space="preserve">Most common part(s) failure: </t>
    </r>
    <r>
      <rPr>
        <sz val="11"/>
        <color theme="1"/>
        <rFont val="Calibri"/>
        <family val="2"/>
        <scheme val="minor"/>
      </rPr>
      <t>Motor starters and Peripheral Interfact control</t>
    </r>
    <r>
      <rPr>
        <b/>
        <sz val="11"/>
        <color theme="1"/>
        <rFont val="Calibri"/>
        <family val="2"/>
        <scheme val="minor"/>
      </rPr>
      <t xml:space="preserve">                        Most common failure mode(s)</t>
    </r>
    <r>
      <rPr>
        <sz val="11"/>
        <color theme="1"/>
        <rFont val="Calibri"/>
        <family val="2"/>
        <scheme val="minor"/>
      </rPr>
      <t>: Other failure mode followed by Fail to funciton on demand      Most common failure mechanism(s):  Electrical failure</t>
    </r>
  </si>
  <si>
    <r>
      <rPr>
        <b/>
        <sz val="11"/>
        <color theme="1"/>
        <rFont val="Calibri"/>
        <family val="2"/>
        <scheme val="minor"/>
      </rPr>
      <t>Risk</t>
    </r>
    <r>
      <rPr>
        <sz val="11"/>
        <color theme="1"/>
        <rFont val="Calibri"/>
        <family val="2"/>
        <scheme val="minor"/>
      </rPr>
      <t xml:space="preserve">: Low to medirum risk for all failure modes                                      </t>
    </r>
    <r>
      <rPr>
        <b/>
        <sz val="11"/>
        <color theme="1"/>
        <rFont val="Calibri"/>
        <family val="2"/>
        <scheme val="minor"/>
      </rPr>
      <t>Criticality:</t>
    </r>
    <r>
      <rPr>
        <sz val="11"/>
        <color theme="1"/>
        <rFont val="Calibri"/>
        <family val="2"/>
        <scheme val="minor"/>
      </rPr>
      <t xml:space="preserve"> The highest criticality number for  Electrical failure mode followed by Sprious stop</t>
    </r>
  </si>
  <si>
    <t>Earthing switch</t>
  </si>
  <si>
    <t>Earth/isolaton fault</t>
  </si>
  <si>
    <t>Interface cabinet</t>
  </si>
  <si>
    <t>Metering</t>
  </si>
  <si>
    <t>Sputious stop</t>
  </si>
  <si>
    <t>Miniature circuit breaker</t>
  </si>
  <si>
    <t>Motor starters (contactor)</t>
  </si>
  <si>
    <t>Material failure- general</t>
  </si>
  <si>
    <t>Peripheral interface controler (PIC)</t>
  </si>
  <si>
    <t>Protection relay and interlock</t>
  </si>
  <si>
    <t>Sotfware failure</t>
  </si>
  <si>
    <t>Sensor</t>
  </si>
  <si>
    <t>Pressure sensor</t>
  </si>
  <si>
    <t>Control/signal failure</t>
  </si>
  <si>
    <t>Blockage</t>
  </si>
  <si>
    <r>
      <rPr>
        <b/>
        <sz val="11"/>
        <color theme="1"/>
        <rFont val="Calibri"/>
        <family val="2"/>
        <scheme val="minor"/>
      </rPr>
      <t>Most common failure mode(s):</t>
    </r>
    <r>
      <rPr>
        <sz val="11"/>
        <color theme="1"/>
        <rFont val="Calibri"/>
        <family val="2"/>
        <scheme val="minor"/>
      </rPr>
      <t xml:space="preserve"> Contol/signal failure      </t>
    </r>
    <r>
      <rPr>
        <b/>
        <sz val="11"/>
        <color theme="1"/>
        <rFont val="Calibri"/>
        <family val="2"/>
        <scheme val="minor"/>
      </rPr>
      <t>Most common failure mechanism(s):</t>
    </r>
    <r>
      <rPr>
        <sz val="11"/>
        <color theme="1"/>
        <rFont val="Calibri"/>
        <family val="2"/>
        <scheme val="minor"/>
      </rPr>
      <t xml:space="preserve"> No signal/indication/alarm</t>
    </r>
  </si>
  <si>
    <r>
      <rPr>
        <b/>
        <sz val="11"/>
        <color theme="1"/>
        <rFont val="Calibri"/>
        <family val="2"/>
        <scheme val="minor"/>
      </rPr>
      <t xml:space="preserve">Risk: </t>
    </r>
    <r>
      <rPr>
        <sz val="11"/>
        <color theme="1"/>
        <rFont val="Calibri"/>
        <family val="2"/>
        <scheme val="minor"/>
      </rPr>
      <t xml:space="preserve">Low to medirum risk for all failure modes                                     </t>
    </r>
    <r>
      <rPr>
        <b/>
        <sz val="11"/>
        <color theme="1"/>
        <rFont val="Calibri"/>
        <family val="2"/>
        <scheme val="minor"/>
      </rPr>
      <t xml:space="preserve"> Criticality</t>
    </r>
    <r>
      <rPr>
        <sz val="11"/>
        <color theme="1"/>
        <rFont val="Calibri"/>
        <family val="2"/>
        <scheme val="minor"/>
      </rPr>
      <t>: The highest criticality number for  Control/signal failure followed by Erratic output</t>
    </r>
  </si>
  <si>
    <t>Electricl failure-general</t>
  </si>
  <si>
    <t>Faulty signal/indication/alamr</t>
  </si>
  <si>
    <t>Valve positioning sensor</t>
  </si>
  <si>
    <t>Valve position sensor</t>
  </si>
  <si>
    <r>
      <rPr>
        <b/>
        <sz val="11"/>
        <color theme="1"/>
        <rFont val="Calibri"/>
        <family val="2"/>
        <scheme val="minor"/>
      </rPr>
      <t xml:space="preserve">Most common failure mode(s): </t>
    </r>
    <r>
      <rPr>
        <sz val="11"/>
        <color theme="1"/>
        <rFont val="Calibri"/>
        <family val="2"/>
        <scheme val="minor"/>
      </rPr>
      <t xml:space="preserve">Contol/signal failure      </t>
    </r>
    <r>
      <rPr>
        <b/>
        <sz val="11"/>
        <color theme="1"/>
        <rFont val="Calibri"/>
        <family val="2"/>
        <scheme val="minor"/>
      </rPr>
      <t>Most common failure mechanism(s):</t>
    </r>
    <r>
      <rPr>
        <sz val="11"/>
        <color theme="1"/>
        <rFont val="Calibri"/>
        <family val="2"/>
        <scheme val="minor"/>
      </rPr>
      <t xml:space="preserve"> Faulty signal/indication/alarm signal/indication/alarm</t>
    </r>
  </si>
  <si>
    <r>
      <rPr>
        <b/>
        <sz val="11"/>
        <color theme="1"/>
        <rFont val="Calibri"/>
        <family val="2"/>
        <scheme val="minor"/>
      </rPr>
      <t>Risk</t>
    </r>
    <r>
      <rPr>
        <sz val="11"/>
        <color theme="1"/>
        <rFont val="Calibri"/>
        <family val="2"/>
        <scheme val="minor"/>
      </rPr>
      <t xml:space="preserve">: Low to medium                                </t>
    </r>
    <r>
      <rPr>
        <b/>
        <sz val="11"/>
        <color theme="1"/>
        <rFont val="Calibri"/>
        <family val="2"/>
        <scheme val="minor"/>
      </rPr>
      <t>Criticality</t>
    </r>
    <r>
      <rPr>
        <sz val="11"/>
        <color theme="1"/>
        <rFont val="Calibri"/>
        <family val="2"/>
        <scheme val="minor"/>
      </rPr>
      <t>: The failure mode of Control/signal failure has the highest criticality number</t>
    </r>
  </si>
  <si>
    <t>Programmable Logic Controller (PLC)</t>
  </si>
  <si>
    <t>CPU</t>
  </si>
  <si>
    <r>
      <rPr>
        <b/>
        <sz val="11"/>
        <color theme="1"/>
        <rFont val="Calibri"/>
        <family val="2"/>
        <scheme val="minor"/>
      </rPr>
      <t xml:space="preserve">Most common part(s) failure: </t>
    </r>
    <r>
      <rPr>
        <sz val="11"/>
        <color theme="1"/>
        <rFont val="Calibri"/>
        <family val="2"/>
        <scheme val="minor"/>
      </rPr>
      <t xml:space="preserve">Other followed by Subunit                                        </t>
    </r>
    <r>
      <rPr>
        <b/>
        <sz val="11"/>
        <color theme="1"/>
        <rFont val="Calibri"/>
        <family val="2"/>
        <scheme val="minor"/>
      </rPr>
      <t xml:space="preserve">Most common failure mode(s): </t>
    </r>
    <r>
      <rPr>
        <sz val="11"/>
        <color theme="1"/>
        <rFont val="Calibri"/>
        <family val="2"/>
        <scheme val="minor"/>
      </rPr>
      <t xml:space="preserve">Minor in-service problem                  </t>
    </r>
    <r>
      <rPr>
        <b/>
        <sz val="11"/>
        <color theme="1"/>
        <rFont val="Calibri"/>
        <family val="2"/>
        <scheme val="minor"/>
      </rPr>
      <t>Most common failure mechanism(s):</t>
    </r>
    <r>
      <rPr>
        <sz val="11"/>
        <color theme="1"/>
        <rFont val="Calibri"/>
        <family val="2"/>
        <scheme val="minor"/>
      </rPr>
      <t xml:space="preserve"> Faulity signal/indicaiton/alarm</t>
    </r>
  </si>
  <si>
    <r>
      <rPr>
        <b/>
        <sz val="11"/>
        <color theme="1"/>
        <rFont val="Calibri"/>
        <family val="2"/>
        <scheme val="minor"/>
      </rPr>
      <t>Risk:</t>
    </r>
    <r>
      <rPr>
        <sz val="11"/>
        <color theme="1"/>
        <rFont val="Calibri"/>
        <family val="2"/>
        <scheme val="minor"/>
      </rPr>
      <t xml:space="preserve"> Low risk rank for all parts                     </t>
    </r>
    <r>
      <rPr>
        <b/>
        <sz val="11"/>
        <color theme="1"/>
        <rFont val="Calibri"/>
        <family val="2"/>
        <scheme val="minor"/>
      </rPr>
      <t xml:space="preserve">Criticality: </t>
    </r>
    <r>
      <rPr>
        <sz val="11"/>
        <color theme="1"/>
        <rFont val="Calibri"/>
        <family val="2"/>
        <scheme val="minor"/>
      </rPr>
      <t>The failure modes of Sporious operation has the highest criticality number followed by Minor-in-servcie problems</t>
    </r>
  </si>
  <si>
    <t>Input card</t>
  </si>
  <si>
    <t>Software</t>
  </si>
  <si>
    <t>Fault power/voltage</t>
  </si>
  <si>
    <t>Instument failure-general</t>
  </si>
  <si>
    <t>Watchdog/dianostics</t>
  </si>
  <si>
    <t>Software/voltage</t>
  </si>
  <si>
    <t>Reaction &amp; Stationing</t>
  </si>
  <si>
    <t>Fiber Rope</t>
  </si>
  <si>
    <t xml:space="preserve">Rope </t>
  </si>
  <si>
    <t>Most common part failure: Bearing                                            Dominant failure modes: Surface damage, Fracture/separation                            Dominant failure mechanism: Wear, Fatigue</t>
  </si>
  <si>
    <r>
      <rPr>
        <b/>
        <sz val="11"/>
        <color theme="1"/>
        <rFont val="Calibri"/>
        <family val="2"/>
        <scheme val="minor"/>
      </rPr>
      <t>Risk:</t>
    </r>
    <r>
      <rPr>
        <sz val="11"/>
        <color theme="1"/>
        <rFont val="Calibri"/>
        <family val="2"/>
        <scheme val="minor"/>
      </rPr>
      <t xml:space="preserve"> Medium risk                                      </t>
    </r>
  </si>
  <si>
    <t>Termination Point</t>
  </si>
  <si>
    <t>Ultimate Limit State Tension</t>
  </si>
  <si>
    <t xml:space="preserve">Accidental Limit State Tension </t>
  </si>
  <si>
    <t>Capacity Reduction</t>
  </si>
  <si>
    <t>Chain</t>
  </si>
  <si>
    <t>Link</t>
  </si>
  <si>
    <t>Risk: Low to medirum risk for all failure modes                                      Criticality: The highest criticality number for  Electrical failure mode followed by Sorious stop</t>
  </si>
  <si>
    <t>ULS Tension</t>
  </si>
  <si>
    <t xml:space="preserve">ALS Tension </t>
  </si>
  <si>
    <t>Joints &amp; Connections</t>
  </si>
  <si>
    <t>Body</t>
  </si>
  <si>
    <t>Connection Point</t>
  </si>
  <si>
    <t>Marine Growth</t>
  </si>
  <si>
    <t>ULS Load</t>
  </si>
  <si>
    <t>ALS Load</t>
  </si>
  <si>
    <t>Floating Support Structure</t>
  </si>
  <si>
    <t>Primary Member</t>
  </si>
  <si>
    <t>Instability</t>
  </si>
  <si>
    <t>Most common part(s) failure:   Primary Member followed by Connetion points to PTO/Hydrodynamic System                                 Most common failure mode(s): Loss of support                              Most common failure mechanism: Ultimate limit state</t>
  </si>
  <si>
    <t>Risk: Low risk rank for all parts                     Criticality: The failure modes of Sporious operation has the highest criticality number followed by Minor-in-servcie problems</t>
  </si>
  <si>
    <t>Secondary Members</t>
  </si>
  <si>
    <t>Change in Bouyancy</t>
  </si>
  <si>
    <t>Connection Points to PTO/HS</t>
  </si>
  <si>
    <t>Change in Hydrodynamic Properties</t>
  </si>
  <si>
    <t>Foundation</t>
  </si>
  <si>
    <t>Loss of Support</t>
  </si>
  <si>
    <t>Ultimate Limit State</t>
  </si>
  <si>
    <t>Water tight cavities and ballast tank</t>
  </si>
  <si>
    <t>Accidental Limit State Load Limit</t>
  </si>
  <si>
    <t>Fixed Support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</si>
</sst>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9">
    <font>
      <sz val="11"/>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name val="Calibri"/>
      <family val="2"/>
      <scheme val="minor"/>
    </font>
    <font>
      <b/>
      <sz val="11"/>
      <name val="Calibri"/>
      <family val="2"/>
      <scheme val="minor"/>
    </font>
    <font>
      <b/>
      <sz val="12"/>
      <color theme="0"/>
      <name val="Calibri"/>
      <family val="2"/>
      <scheme val="minor"/>
    </font>
    <font>
      <sz val="11"/>
      <color theme="1"/>
      <name val="Calibri"/>
      <family val="2"/>
      <scheme val="minor"/>
    </font>
    <font>
      <b/>
      <sz val="13"/>
      <color theme="1"/>
      <name val="Calibri"/>
      <family val="2"/>
      <scheme val="minor"/>
    </font>
    <font>
      <b/>
      <sz val="13"/>
      <color theme="0"/>
      <name val="Calibri"/>
      <family val="2"/>
      <scheme val="minor"/>
    </font>
    <font>
      <sz val="13"/>
      <color theme="1"/>
      <name val="Calibri"/>
      <family val="2"/>
      <scheme val="minor"/>
    </font>
    <font>
      <sz val="14"/>
      <color theme="0"/>
      <name val="Calibri"/>
      <family val="2"/>
      <scheme val="minor"/>
    </font>
    <font>
      <b/>
      <sz val="14"/>
      <color theme="1"/>
      <name val="Calibri"/>
      <family val="2"/>
      <scheme val="minor"/>
    </font>
    <font>
      <sz val="14"/>
      <color theme="1"/>
      <name val="Calibri"/>
      <family val="2"/>
      <scheme val="minor"/>
    </font>
    <font>
      <b/>
      <sz val="14"/>
      <color theme="0"/>
      <name val="Calibri"/>
      <family val="2"/>
      <scheme val="minor"/>
    </font>
    <font>
      <sz val="14"/>
      <color theme="0"/>
      <name val="Times New Roman"/>
      <family val="1"/>
    </font>
    <font>
      <b/>
      <sz val="14"/>
      <color theme="1"/>
      <name val="Times New Roman"/>
      <family val="1"/>
    </font>
    <font>
      <sz val="14"/>
      <color theme="1"/>
      <name val="Times New Roman"/>
      <family val="1"/>
    </font>
    <font>
      <b/>
      <sz val="14"/>
      <color theme="0"/>
      <name val="Times New Roman"/>
      <family val="1"/>
    </font>
  </fonts>
  <fills count="9">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1" tint="0.14999847407452621"/>
        <bgColor indexed="64"/>
      </patternFill>
    </fill>
    <fill>
      <patternFill patternType="solid">
        <fgColor theme="0"/>
        <bgColor indexed="64"/>
      </patternFill>
    </fill>
    <fill>
      <patternFill patternType="solid">
        <fgColor theme="1" tint="4.9989318521683403E-2"/>
        <bgColor indexed="64"/>
      </patternFill>
    </fill>
    <fill>
      <patternFill patternType="solid">
        <fgColor theme="1"/>
        <bgColor indexed="64"/>
      </patternFill>
    </fill>
    <fill>
      <patternFill patternType="solid">
        <fgColor theme="0" tint="-0.499984740745262"/>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style="medium">
        <color indexed="64"/>
      </right>
      <top style="medium">
        <color indexed="64"/>
      </top>
      <bottom/>
      <diagonal/>
    </border>
    <border>
      <left/>
      <right style="medium">
        <color theme="1"/>
      </right>
      <top style="medium">
        <color indexed="64"/>
      </top>
      <bottom/>
      <diagonal/>
    </border>
    <border>
      <left style="medium">
        <color theme="1"/>
      </left>
      <right style="medium">
        <color indexed="64"/>
      </right>
      <top/>
      <bottom/>
      <diagonal/>
    </border>
    <border>
      <left/>
      <right style="medium">
        <color theme="1"/>
      </right>
      <top/>
      <bottom/>
      <diagonal/>
    </border>
    <border>
      <left/>
      <right style="medium">
        <color theme="1"/>
      </right>
      <top/>
      <bottom style="medium">
        <color indexed="64"/>
      </bottom>
      <diagonal/>
    </border>
    <border>
      <left style="medium">
        <color theme="1"/>
      </left>
      <right style="medium">
        <color indexed="64"/>
      </right>
      <top/>
      <bottom style="medium">
        <color theme="1"/>
      </bottom>
      <diagonal/>
    </border>
    <border>
      <left/>
      <right/>
      <top/>
      <bottom style="medium">
        <color theme="1"/>
      </bottom>
      <diagonal/>
    </border>
    <border>
      <left/>
      <right style="medium">
        <color theme="1"/>
      </right>
      <top/>
      <bottom style="medium">
        <color theme="1"/>
      </bottom>
      <diagonal/>
    </border>
  </borders>
  <cellStyleXfs count="2">
    <xf numFmtId="0" fontId="0" fillId="0" borderId="0"/>
    <xf numFmtId="9" fontId="7" fillId="0" borderId="0" applyFont="0" applyFill="0" applyBorder="0" applyAlignment="0" applyProtection="0"/>
  </cellStyleXfs>
  <cellXfs count="312">
    <xf numFmtId="0" fontId="0" fillId="0" borderId="0" xfId="0"/>
    <xf numFmtId="0" fontId="1" fillId="3" borderId="0" xfId="0" applyFont="1" applyFill="1" applyAlignment="1">
      <alignment vertical="top" textRotation="255"/>
    </xf>
    <xf numFmtId="0" fontId="1" fillId="0" borderId="0" xfId="0" applyFont="1" applyAlignment="1">
      <alignment vertical="top" textRotation="255"/>
    </xf>
    <xf numFmtId="0" fontId="2" fillId="4" borderId="0" xfId="0" applyFont="1" applyFill="1" applyAlignment="1">
      <alignment vertical="center" wrapText="1"/>
    </xf>
    <xf numFmtId="0" fontId="0" fillId="5" borderId="4" xfId="0" applyFill="1" applyBorder="1"/>
    <xf numFmtId="0" fontId="0" fillId="5" borderId="10" xfId="0" applyFill="1" applyBorder="1"/>
    <xf numFmtId="0" fontId="0" fillId="0" borderId="0" xfId="0" applyAlignment="1">
      <alignment horizontal="left"/>
    </xf>
    <xf numFmtId="165" fontId="0" fillId="0" borderId="0" xfId="0" applyNumberFormat="1"/>
    <xf numFmtId="0" fontId="2" fillId="7" borderId="0" xfId="0" applyFont="1" applyFill="1" applyAlignment="1">
      <alignment vertical="center"/>
    </xf>
    <xf numFmtId="0" fontId="2" fillId="7" borderId="0" xfId="0" applyFont="1" applyFill="1"/>
    <xf numFmtId="0" fontId="2" fillId="7" borderId="8" xfId="0" applyFont="1" applyFill="1" applyBorder="1" applyAlignment="1">
      <alignment vertical="center"/>
    </xf>
    <xf numFmtId="0" fontId="0" fillId="7" borderId="11" xfId="0" applyFill="1" applyBorder="1" applyAlignment="1">
      <alignment wrapText="1"/>
    </xf>
    <xf numFmtId="0" fontId="0" fillId="7" borderId="10" xfId="0" applyFill="1" applyBorder="1" applyAlignment="1">
      <alignment wrapText="1"/>
    </xf>
    <xf numFmtId="0" fontId="2" fillId="7" borderId="15" xfId="0" applyFont="1" applyFill="1" applyBorder="1"/>
    <xf numFmtId="0" fontId="2" fillId="7" borderId="16" xfId="0" applyFont="1" applyFill="1" applyBorder="1"/>
    <xf numFmtId="0" fontId="2" fillId="7" borderId="3" xfId="0" applyFont="1" applyFill="1" applyBorder="1"/>
    <xf numFmtId="0" fontId="2" fillId="7" borderId="8" xfId="0" applyFont="1" applyFill="1" applyBorder="1"/>
    <xf numFmtId="0" fontId="2" fillId="7" borderId="5" xfId="0" applyFont="1" applyFill="1" applyBorder="1"/>
    <xf numFmtId="0" fontId="0" fillId="7" borderId="13" xfId="0" applyFill="1" applyBorder="1" applyAlignment="1">
      <alignment wrapText="1"/>
    </xf>
    <xf numFmtId="0" fontId="0" fillId="0" borderId="0" xfId="0" applyAlignment="1">
      <alignment horizontal="center"/>
    </xf>
    <xf numFmtId="0" fontId="2" fillId="4" borderId="9" xfId="0" applyFont="1" applyFill="1" applyBorder="1" applyAlignment="1">
      <alignment vertical="center" wrapText="1"/>
    </xf>
    <xf numFmtId="0" fontId="2" fillId="7" borderId="10" xfId="0" applyFont="1" applyFill="1" applyBorder="1" applyAlignment="1">
      <alignment vertical="center"/>
    </xf>
    <xf numFmtId="0" fontId="2" fillId="7" borderId="10" xfId="0" applyFont="1" applyFill="1" applyBorder="1"/>
    <xf numFmtId="0" fontId="0" fillId="7" borderId="0" xfId="0" applyFill="1"/>
    <xf numFmtId="0" fontId="1" fillId="5" borderId="9" xfId="0" applyFont="1" applyFill="1" applyBorder="1" applyAlignment="1">
      <alignment vertical="top" wrapText="1"/>
    </xf>
    <xf numFmtId="0" fontId="0" fillId="5" borderId="1" xfId="0" applyFill="1" applyBorder="1" applyAlignment="1">
      <alignment vertical="top" wrapText="1"/>
    </xf>
    <xf numFmtId="0" fontId="0" fillId="5" borderId="4" xfId="0" applyFill="1" applyBorder="1" applyAlignment="1">
      <alignment vertical="top" wrapText="1"/>
    </xf>
    <xf numFmtId="0" fontId="1" fillId="5" borderId="6" xfId="0" applyFont="1" applyFill="1" applyBorder="1" applyAlignment="1">
      <alignment vertical="top" wrapText="1"/>
    </xf>
    <xf numFmtId="0" fontId="0" fillId="7" borderId="8" xfId="0" applyFill="1" applyBorder="1"/>
    <xf numFmtId="0" fontId="11" fillId="4" borderId="0" xfId="0" applyFont="1" applyFill="1" applyAlignment="1">
      <alignment vertical="center" wrapText="1"/>
    </xf>
    <xf numFmtId="2" fontId="11" fillId="4" borderId="0" xfId="0" applyNumberFormat="1" applyFont="1" applyFill="1" applyAlignment="1">
      <alignment vertical="center" wrapText="1"/>
    </xf>
    <xf numFmtId="0" fontId="12" fillId="2" borderId="0" xfId="0" applyFont="1" applyFill="1" applyAlignment="1">
      <alignment vertical="top" wrapText="1"/>
    </xf>
    <xf numFmtId="165" fontId="12" fillId="2" borderId="0" xfId="0" applyNumberFormat="1" applyFont="1" applyFill="1" applyAlignment="1">
      <alignment vertical="top" wrapText="1"/>
    </xf>
    <xf numFmtId="0" fontId="13" fillId="5" borderId="0" xfId="0" applyFont="1" applyFill="1"/>
    <xf numFmtId="165" fontId="13" fillId="5" borderId="0" xfId="0" applyNumberFormat="1" applyFont="1" applyFill="1" applyAlignment="1">
      <alignment horizontal="left" vertical="top"/>
    </xf>
    <xf numFmtId="165" fontId="13" fillId="5" borderId="0" xfId="0" applyNumberFormat="1" applyFont="1" applyFill="1" applyAlignment="1">
      <alignment horizontal="left"/>
    </xf>
    <xf numFmtId="2" fontId="13" fillId="5" borderId="0" xfId="0" applyNumberFormat="1" applyFont="1" applyFill="1"/>
    <xf numFmtId="1" fontId="13" fillId="5" borderId="0" xfId="0" applyNumberFormat="1" applyFont="1" applyFill="1" applyAlignment="1">
      <alignment horizontal="center"/>
    </xf>
    <xf numFmtId="1" fontId="13" fillId="5" borderId="0" xfId="0" applyNumberFormat="1" applyFont="1" applyFill="1" applyAlignment="1">
      <alignment horizontal="left"/>
    </xf>
    <xf numFmtId="0" fontId="13" fillId="5" borderId="0" xfId="0" applyFont="1" applyFill="1" applyAlignment="1">
      <alignment horizontal="center"/>
    </xf>
    <xf numFmtId="0" fontId="13" fillId="5" borderId="0" xfId="0" applyFont="1" applyFill="1" applyAlignment="1">
      <alignment horizontal="left"/>
    </xf>
    <xf numFmtId="0" fontId="14" fillId="7" borderId="0" xfId="0" applyFont="1" applyFill="1" applyAlignment="1">
      <alignment vertical="center" wrapText="1"/>
    </xf>
    <xf numFmtId="0" fontId="14" fillId="7" borderId="0" xfId="0" applyFont="1" applyFill="1" applyAlignment="1">
      <alignment horizontal="center" vertical="center" textRotation="255"/>
    </xf>
    <xf numFmtId="2" fontId="14" fillId="7" borderId="0" xfId="0" applyNumberFormat="1" applyFont="1" applyFill="1" applyAlignment="1">
      <alignment vertical="center"/>
    </xf>
    <xf numFmtId="165" fontId="14" fillId="7" borderId="0" xfId="0" applyNumberFormat="1" applyFont="1" applyFill="1" applyAlignment="1">
      <alignment vertical="center"/>
    </xf>
    <xf numFmtId="0" fontId="12" fillId="2" borderId="0" xfId="0" applyFont="1" applyFill="1" applyAlignment="1">
      <alignment vertical="top"/>
    </xf>
    <xf numFmtId="165" fontId="12" fillId="2" borderId="0" xfId="0" applyNumberFormat="1" applyFont="1" applyFill="1" applyAlignment="1">
      <alignment vertical="top"/>
    </xf>
    <xf numFmtId="0" fontId="13" fillId="5" borderId="0" xfId="0" applyFont="1" applyFill="1" applyAlignment="1">
      <alignment horizontal="left" vertical="top"/>
    </xf>
    <xf numFmtId="2" fontId="13" fillId="5" borderId="0" xfId="0" applyNumberFormat="1" applyFont="1" applyFill="1" applyAlignment="1">
      <alignment horizontal="right" vertical="top"/>
    </xf>
    <xf numFmtId="2" fontId="13" fillId="5" borderId="0" xfId="0" applyNumberFormat="1" applyFont="1" applyFill="1" applyAlignment="1">
      <alignment horizontal="left" vertical="top"/>
    </xf>
    <xf numFmtId="1" fontId="13" fillId="5" borderId="0" xfId="0" applyNumberFormat="1" applyFont="1" applyFill="1" applyAlignment="1">
      <alignment horizontal="center" vertical="top"/>
    </xf>
    <xf numFmtId="0" fontId="12" fillId="5" borderId="0" xfId="0" applyFont="1" applyFill="1" applyAlignment="1">
      <alignment horizontal="right" vertical="top"/>
    </xf>
    <xf numFmtId="0" fontId="13" fillId="5" borderId="0" xfId="0" applyFont="1" applyFill="1" applyAlignment="1">
      <alignment horizontal="right"/>
    </xf>
    <xf numFmtId="1" fontId="13" fillId="5" borderId="0" xfId="0" applyNumberFormat="1" applyFont="1" applyFill="1"/>
    <xf numFmtId="0" fontId="12" fillId="5" borderId="0" xfId="0" applyFont="1" applyFill="1" applyAlignment="1">
      <alignment horizontal="center" vertical="top"/>
    </xf>
    <xf numFmtId="0" fontId="14" fillId="7" borderId="0" xfId="0" applyFont="1" applyFill="1" applyAlignment="1">
      <alignment vertical="top" wrapText="1"/>
    </xf>
    <xf numFmtId="0" fontId="14" fillId="7" borderId="0" xfId="0" applyFont="1" applyFill="1" applyAlignment="1">
      <alignment horizontal="center" vertical="top" textRotation="255"/>
    </xf>
    <xf numFmtId="2" fontId="14" fillId="7" borderId="0" xfId="0" applyNumberFormat="1" applyFont="1" applyFill="1"/>
    <xf numFmtId="165" fontId="14" fillId="7" borderId="0" xfId="0" applyNumberFormat="1" applyFont="1" applyFill="1"/>
    <xf numFmtId="165" fontId="13" fillId="5" borderId="0" xfId="0" applyNumberFormat="1" applyFont="1" applyFill="1"/>
    <xf numFmtId="1" fontId="12" fillId="5" borderId="0" xfId="0" applyNumberFormat="1" applyFont="1" applyFill="1"/>
    <xf numFmtId="0" fontId="12" fillId="5" borderId="0" xfId="0" applyFont="1" applyFill="1"/>
    <xf numFmtId="2" fontId="14" fillId="7" borderId="0" xfId="1" applyNumberFormat="1" applyFont="1" applyFill="1" applyBorder="1"/>
    <xf numFmtId="0" fontId="11" fillId="7" borderId="0" xfId="0" applyFont="1" applyFill="1"/>
    <xf numFmtId="0" fontId="12" fillId="2" borderId="0" xfId="0" applyFont="1" applyFill="1"/>
    <xf numFmtId="165" fontId="12" fillId="2" borderId="0" xfId="0" applyNumberFormat="1" applyFont="1" applyFill="1"/>
    <xf numFmtId="0" fontId="13" fillId="2" borderId="0" xfId="0" applyFont="1" applyFill="1"/>
    <xf numFmtId="0" fontId="12" fillId="0" borderId="0" xfId="0" applyFont="1" applyAlignment="1">
      <alignment vertical="top" textRotation="255"/>
    </xf>
    <xf numFmtId="0" fontId="15" fillId="4" borderId="0" xfId="0" applyFont="1" applyFill="1" applyAlignment="1">
      <alignment vertical="center" wrapText="1"/>
    </xf>
    <xf numFmtId="2" fontId="15" fillId="4" borderId="0" xfId="0" applyNumberFormat="1" applyFont="1" applyFill="1" applyAlignment="1">
      <alignment vertical="center" wrapText="1"/>
    </xf>
    <xf numFmtId="0" fontId="16" fillId="2" borderId="0" xfId="0" applyFont="1" applyFill="1" applyAlignment="1">
      <alignment vertical="top" wrapText="1"/>
    </xf>
    <xf numFmtId="165" fontId="16" fillId="2" borderId="0" xfId="0" applyNumberFormat="1" applyFont="1" applyFill="1" applyAlignment="1">
      <alignment vertical="top" wrapText="1"/>
    </xf>
    <xf numFmtId="0" fontId="17" fillId="5" borderId="0" xfId="0" applyFont="1" applyFill="1"/>
    <xf numFmtId="165" fontId="17" fillId="5" borderId="0" xfId="0" applyNumberFormat="1" applyFont="1" applyFill="1" applyAlignment="1">
      <alignment horizontal="left" vertical="top"/>
    </xf>
    <xf numFmtId="165" fontId="17" fillId="5" borderId="0" xfId="0" applyNumberFormat="1" applyFont="1" applyFill="1" applyAlignment="1">
      <alignment horizontal="left"/>
    </xf>
    <xf numFmtId="2" fontId="17" fillId="5" borderId="0" xfId="0" applyNumberFormat="1" applyFont="1" applyFill="1"/>
    <xf numFmtId="1" fontId="17" fillId="5" borderId="0" xfId="0" applyNumberFormat="1" applyFont="1" applyFill="1" applyAlignment="1">
      <alignment horizontal="center"/>
    </xf>
    <xf numFmtId="1" fontId="17" fillId="5" borderId="0" xfId="0" applyNumberFormat="1" applyFont="1" applyFill="1" applyAlignment="1">
      <alignment horizontal="left"/>
    </xf>
    <xf numFmtId="0" fontId="17" fillId="5" borderId="0" xfId="0" applyFont="1" applyFill="1" applyAlignment="1">
      <alignment horizontal="center"/>
    </xf>
    <xf numFmtId="0" fontId="17" fillId="5" borderId="0" xfId="0" applyFont="1" applyFill="1" applyAlignment="1">
      <alignment horizontal="left"/>
    </xf>
    <xf numFmtId="0" fontId="18" fillId="7" borderId="0" xfId="0" applyFont="1" applyFill="1" applyAlignment="1">
      <alignment vertical="center" wrapText="1"/>
    </xf>
    <xf numFmtId="0" fontId="18" fillId="7" borderId="0" xfId="0" applyFont="1" applyFill="1" applyAlignment="1">
      <alignment horizontal="center" vertical="center" textRotation="255"/>
    </xf>
    <xf numFmtId="2" fontId="18" fillId="7" borderId="0" xfId="0" applyNumberFormat="1" applyFont="1" applyFill="1" applyAlignment="1">
      <alignment vertical="center"/>
    </xf>
    <xf numFmtId="165" fontId="18" fillId="7" borderId="0" xfId="0" applyNumberFormat="1" applyFont="1" applyFill="1" applyAlignment="1">
      <alignment vertical="center"/>
    </xf>
    <xf numFmtId="165" fontId="18" fillId="7" borderId="0" xfId="0" applyNumberFormat="1" applyFont="1" applyFill="1" applyAlignment="1">
      <alignment horizontal="center" vertical="center"/>
    </xf>
    <xf numFmtId="165" fontId="18" fillId="7" borderId="0" xfId="0" applyNumberFormat="1" applyFont="1" applyFill="1" applyAlignment="1">
      <alignment horizontal="left" vertical="center"/>
    </xf>
    <xf numFmtId="0" fontId="16" fillId="2" borderId="0" xfId="0" applyFont="1" applyFill="1" applyAlignment="1">
      <alignment vertical="top"/>
    </xf>
    <xf numFmtId="165" fontId="16" fillId="2" borderId="0" xfId="0" applyNumberFormat="1" applyFont="1" applyFill="1" applyAlignment="1">
      <alignment vertical="top"/>
    </xf>
    <xf numFmtId="0" fontId="17" fillId="5" borderId="0" xfId="0" applyFont="1" applyFill="1" applyAlignment="1">
      <alignment horizontal="left" vertical="top"/>
    </xf>
    <xf numFmtId="2" fontId="17" fillId="5" borderId="0" xfId="0" applyNumberFormat="1" applyFont="1" applyFill="1" applyAlignment="1">
      <alignment horizontal="right" vertical="top"/>
    </xf>
    <xf numFmtId="2" fontId="17" fillId="5" borderId="0" xfId="0" applyNumberFormat="1" applyFont="1" applyFill="1" applyAlignment="1">
      <alignment horizontal="left" vertical="top"/>
    </xf>
    <xf numFmtId="1" fontId="17" fillId="5" borderId="0" xfId="0" applyNumberFormat="1" applyFont="1" applyFill="1" applyAlignment="1">
      <alignment horizontal="center" vertical="top"/>
    </xf>
    <xf numFmtId="0" fontId="17" fillId="5" borderId="0" xfId="0" applyFont="1" applyFill="1" applyAlignment="1">
      <alignment horizontal="center" vertical="top"/>
    </xf>
    <xf numFmtId="0" fontId="16" fillId="5" borderId="0" xfId="0" applyFont="1" applyFill="1" applyAlignment="1">
      <alignment horizontal="right" vertical="top"/>
    </xf>
    <xf numFmtId="0" fontId="17" fillId="5" borderId="0" xfId="0" applyFont="1" applyFill="1" applyAlignment="1">
      <alignment horizontal="right"/>
    </xf>
    <xf numFmtId="164" fontId="17" fillId="5" borderId="0" xfId="0" applyNumberFormat="1" applyFont="1" applyFill="1" applyAlignment="1">
      <alignment horizontal="left"/>
    </xf>
    <xf numFmtId="1" fontId="17" fillId="5" borderId="0" xfId="0" applyNumberFormat="1" applyFont="1" applyFill="1"/>
    <xf numFmtId="0" fontId="16" fillId="5" borderId="0" xfId="0" applyFont="1" applyFill="1" applyAlignment="1">
      <alignment horizontal="center" vertical="top"/>
    </xf>
    <xf numFmtId="0" fontId="18" fillId="7" borderId="0" xfId="0" applyFont="1" applyFill="1" applyAlignment="1">
      <alignment vertical="top" wrapText="1"/>
    </xf>
    <xf numFmtId="0" fontId="18" fillId="7" borderId="0" xfId="0" applyFont="1" applyFill="1" applyAlignment="1">
      <alignment horizontal="center" vertical="top" textRotation="255"/>
    </xf>
    <xf numFmtId="2" fontId="18" fillId="7" borderId="0" xfId="0" applyNumberFormat="1" applyFont="1" applyFill="1"/>
    <xf numFmtId="165" fontId="18" fillId="7" borderId="0" xfId="0" applyNumberFormat="1" applyFont="1" applyFill="1"/>
    <xf numFmtId="165" fontId="18" fillId="7" borderId="0" xfId="0" applyNumberFormat="1" applyFont="1" applyFill="1" applyAlignment="1">
      <alignment horizontal="center"/>
    </xf>
    <xf numFmtId="165" fontId="17" fillId="5" borderId="0" xfId="0" applyNumberFormat="1" applyFont="1" applyFill="1"/>
    <xf numFmtId="164" fontId="16" fillId="5" borderId="0" xfId="0" applyNumberFormat="1" applyFont="1" applyFill="1" applyAlignment="1">
      <alignment horizontal="left"/>
    </xf>
    <xf numFmtId="1" fontId="16" fillId="5" borderId="0" xfId="0" applyNumberFormat="1" applyFont="1" applyFill="1" applyAlignment="1">
      <alignment horizontal="center"/>
    </xf>
    <xf numFmtId="1" fontId="16" fillId="5" borderId="0" xfId="0" applyNumberFormat="1" applyFont="1" applyFill="1"/>
    <xf numFmtId="0" fontId="16" fillId="5" borderId="0" xfId="0" applyFont="1" applyFill="1"/>
    <xf numFmtId="2" fontId="18" fillId="7" borderId="0" xfId="1" applyNumberFormat="1" applyFont="1" applyFill="1" applyBorder="1"/>
    <xf numFmtId="2" fontId="18" fillId="7" borderId="0" xfId="0" applyNumberFormat="1" applyFont="1" applyFill="1" applyAlignment="1">
      <alignment horizontal="center"/>
    </xf>
    <xf numFmtId="0" fontId="15" fillId="7" borderId="0" xfId="0" applyFont="1" applyFill="1"/>
    <xf numFmtId="0" fontId="16" fillId="2" borderId="0" xfId="0" applyFont="1" applyFill="1"/>
    <xf numFmtId="165" fontId="16" fillId="2" borderId="0" xfId="0" applyNumberFormat="1" applyFont="1" applyFill="1"/>
    <xf numFmtId="0" fontId="17" fillId="2" borderId="0" xfId="0" applyFont="1" applyFill="1"/>
    <xf numFmtId="0" fontId="16" fillId="0" borderId="0" xfId="0" applyFont="1" applyAlignment="1">
      <alignment vertical="top" textRotation="255"/>
    </xf>
    <xf numFmtId="0" fontId="12" fillId="2" borderId="1" xfId="0" applyFont="1" applyFill="1" applyBorder="1" applyAlignment="1">
      <alignment vertical="top" wrapText="1"/>
    </xf>
    <xf numFmtId="165" fontId="12" fillId="2" borderId="2" xfId="0" applyNumberFormat="1" applyFont="1" applyFill="1" applyBorder="1" applyAlignment="1">
      <alignment vertical="top" wrapText="1"/>
    </xf>
    <xf numFmtId="0" fontId="12" fillId="2" borderId="4" xfId="0" applyFont="1" applyFill="1" applyBorder="1" applyAlignment="1">
      <alignment vertical="top" wrapText="1"/>
    </xf>
    <xf numFmtId="1" fontId="13" fillId="5" borderId="12" xfId="0" applyNumberFormat="1" applyFont="1" applyFill="1" applyBorder="1"/>
    <xf numFmtId="165" fontId="13" fillId="5" borderId="0" xfId="0" applyNumberFormat="1" applyFont="1" applyFill="1" applyAlignment="1">
      <alignment horizontal="right" vertical="top"/>
    </xf>
    <xf numFmtId="1" fontId="13" fillId="5" borderId="0" xfId="0" applyNumberFormat="1" applyFont="1" applyFill="1" applyAlignment="1">
      <alignment horizontal="right" vertical="top"/>
    </xf>
    <xf numFmtId="0" fontId="13" fillId="5" borderId="0" xfId="0" applyFont="1" applyFill="1" applyAlignment="1">
      <alignment horizontal="right" vertical="top"/>
    </xf>
    <xf numFmtId="164" fontId="13" fillId="5" borderId="0" xfId="0" applyNumberFormat="1" applyFont="1" applyFill="1" applyAlignment="1">
      <alignment horizontal="right"/>
    </xf>
    <xf numFmtId="1" fontId="13" fillId="5" borderId="0" xfId="0" applyNumberFormat="1" applyFont="1" applyFill="1" applyAlignment="1">
      <alignment horizontal="right"/>
    </xf>
    <xf numFmtId="164" fontId="13" fillId="5" borderId="0" xfId="0" applyNumberFormat="1" applyFont="1" applyFill="1"/>
    <xf numFmtId="164" fontId="12" fillId="5" borderId="0" xfId="0" applyNumberFormat="1" applyFont="1" applyFill="1"/>
    <xf numFmtId="164" fontId="12" fillId="2" borderId="0" xfId="0" applyNumberFormat="1" applyFont="1" applyFill="1"/>
    <xf numFmtId="0" fontId="13" fillId="0" borderId="0" xfId="0" applyFont="1"/>
    <xf numFmtId="165" fontId="13" fillId="5" borderId="2" xfId="0" applyNumberFormat="1" applyFont="1" applyFill="1" applyBorder="1"/>
    <xf numFmtId="0" fontId="13" fillId="5" borderId="7" xfId="0" applyFont="1" applyFill="1" applyBorder="1"/>
    <xf numFmtId="0" fontId="16" fillId="2" borderId="1" xfId="0" applyFont="1" applyFill="1" applyBorder="1" applyAlignment="1">
      <alignment vertical="top" wrapText="1"/>
    </xf>
    <xf numFmtId="0" fontId="16" fillId="2" borderId="2" xfId="0" applyFont="1" applyFill="1" applyBorder="1" applyAlignment="1">
      <alignment vertical="top" wrapText="1"/>
    </xf>
    <xf numFmtId="0" fontId="17" fillId="5" borderId="2" xfId="0" applyFont="1" applyFill="1" applyBorder="1"/>
    <xf numFmtId="2" fontId="17" fillId="0" borderId="2" xfId="0" applyNumberFormat="1" applyFont="1" applyBorder="1" applyAlignment="1">
      <alignment horizontal="left"/>
    </xf>
    <xf numFmtId="164" fontId="17" fillId="5" borderId="2" xfId="0" applyNumberFormat="1" applyFont="1" applyFill="1" applyBorder="1" applyAlignment="1">
      <alignment horizontal="left"/>
    </xf>
    <xf numFmtId="165" fontId="17" fillId="5" borderId="2" xfId="0" applyNumberFormat="1" applyFont="1" applyFill="1" applyBorder="1" applyAlignment="1">
      <alignment horizontal="left"/>
    </xf>
    <xf numFmtId="1" fontId="17" fillId="5" borderId="2" xfId="0" applyNumberFormat="1" applyFont="1" applyFill="1" applyBorder="1"/>
    <xf numFmtId="1" fontId="17" fillId="5" borderId="2" xfId="0" applyNumberFormat="1" applyFont="1" applyFill="1" applyBorder="1" applyAlignment="1">
      <alignment horizontal="center"/>
    </xf>
    <xf numFmtId="1" fontId="17" fillId="5" borderId="2" xfId="0" applyNumberFormat="1" applyFont="1" applyFill="1" applyBorder="1" applyAlignment="1">
      <alignment horizontal="left"/>
    </xf>
    <xf numFmtId="0" fontId="17" fillId="5" borderId="2" xfId="0" applyFont="1" applyFill="1" applyBorder="1" applyAlignment="1">
      <alignment horizontal="center"/>
    </xf>
    <xf numFmtId="0" fontId="16" fillId="2" borderId="4" xfId="0" applyFont="1" applyFill="1" applyBorder="1" applyAlignment="1">
      <alignment vertical="top" wrapText="1"/>
    </xf>
    <xf numFmtId="0" fontId="16" fillId="2" borderId="6" xfId="0" applyFont="1" applyFill="1" applyBorder="1" applyAlignment="1">
      <alignment vertical="top" wrapText="1"/>
    </xf>
    <xf numFmtId="0" fontId="16" fillId="2" borderId="7" xfId="0" applyFont="1" applyFill="1" applyBorder="1" applyAlignment="1">
      <alignment vertical="top" wrapText="1"/>
    </xf>
    <xf numFmtId="0" fontId="17" fillId="5" borderId="7" xfId="0" applyFont="1" applyFill="1" applyBorder="1"/>
    <xf numFmtId="2" fontId="17" fillId="5" borderId="7" xfId="0" applyNumberFormat="1" applyFont="1" applyFill="1" applyBorder="1"/>
    <xf numFmtId="165" fontId="17" fillId="5" borderId="7" xfId="0" applyNumberFormat="1" applyFont="1" applyFill="1" applyBorder="1"/>
    <xf numFmtId="164" fontId="17" fillId="5" borderId="7" xfId="0" applyNumberFormat="1" applyFont="1" applyFill="1" applyBorder="1"/>
    <xf numFmtId="1" fontId="17" fillId="5" borderId="7" xfId="0" applyNumberFormat="1" applyFont="1" applyFill="1" applyBorder="1"/>
    <xf numFmtId="0" fontId="17" fillId="5" borderId="7" xfId="0" applyFont="1" applyFill="1" applyBorder="1" applyAlignment="1">
      <alignment horizontal="center"/>
    </xf>
    <xf numFmtId="0" fontId="17" fillId="5" borderId="0" xfId="0" applyFont="1" applyFill="1" applyAlignment="1">
      <alignment horizontal="right" vertical="top"/>
    </xf>
    <xf numFmtId="1" fontId="17" fillId="5" borderId="0" xfId="0" applyNumberFormat="1" applyFont="1" applyFill="1" applyAlignment="1">
      <alignment horizontal="right"/>
    </xf>
    <xf numFmtId="164" fontId="17" fillId="5" borderId="0" xfId="0" applyNumberFormat="1" applyFont="1" applyFill="1" applyAlignment="1">
      <alignment horizontal="right"/>
    </xf>
    <xf numFmtId="164" fontId="17" fillId="5" borderId="0" xfId="0" applyNumberFormat="1" applyFont="1" applyFill="1"/>
    <xf numFmtId="2" fontId="16" fillId="5" borderId="0" xfId="0" applyNumberFormat="1" applyFont="1" applyFill="1"/>
    <xf numFmtId="164" fontId="16" fillId="5" borderId="0" xfId="0" applyNumberFormat="1" applyFont="1" applyFill="1"/>
    <xf numFmtId="0" fontId="2" fillId="4" borderId="3" xfId="0" applyFont="1" applyFill="1" applyBorder="1" applyAlignment="1">
      <alignment vertical="center" wrapText="1"/>
    </xf>
    <xf numFmtId="0" fontId="2" fillId="7" borderId="5" xfId="0" applyFont="1" applyFill="1" applyBorder="1" applyAlignment="1">
      <alignment vertical="center"/>
    </xf>
    <xf numFmtId="0" fontId="15" fillId="4" borderId="17" xfId="0" applyFont="1" applyFill="1" applyBorder="1" applyAlignment="1">
      <alignment vertical="center" wrapText="1"/>
    </xf>
    <xf numFmtId="0" fontId="15" fillId="4" borderId="18" xfId="0" applyFont="1" applyFill="1" applyBorder="1" applyAlignment="1">
      <alignment vertical="center" wrapText="1"/>
    </xf>
    <xf numFmtId="2" fontId="15" fillId="4" borderId="18" xfId="0" applyNumberFormat="1" applyFont="1" applyFill="1" applyBorder="1" applyAlignment="1">
      <alignment vertical="center" wrapText="1"/>
    </xf>
    <xf numFmtId="0" fontId="15" fillId="4" borderId="19" xfId="0" applyFont="1" applyFill="1" applyBorder="1" applyAlignment="1">
      <alignment vertical="center" wrapText="1"/>
    </xf>
    <xf numFmtId="165" fontId="17" fillId="5" borderId="21" xfId="0" applyNumberFormat="1" applyFont="1" applyFill="1" applyBorder="1" applyAlignment="1">
      <alignment horizontal="left"/>
    </xf>
    <xf numFmtId="165" fontId="17" fillId="5" borderId="23" xfId="0" applyNumberFormat="1" applyFont="1" applyFill="1" applyBorder="1" applyAlignment="1">
      <alignment horizontal="left"/>
    </xf>
    <xf numFmtId="0" fontId="17" fillId="5" borderId="23" xfId="0" applyFont="1" applyFill="1" applyBorder="1" applyAlignment="1">
      <alignment horizontal="left"/>
    </xf>
    <xf numFmtId="0" fontId="17" fillId="5" borderId="24" xfId="0" applyFont="1" applyFill="1" applyBorder="1"/>
    <xf numFmtId="165" fontId="18" fillId="7" borderId="23" xfId="0" applyNumberFormat="1" applyFont="1" applyFill="1" applyBorder="1" applyAlignment="1">
      <alignment vertical="center"/>
    </xf>
    <xf numFmtId="0" fontId="17" fillId="5" borderId="23" xfId="0" applyFont="1" applyFill="1" applyBorder="1"/>
    <xf numFmtId="165" fontId="18" fillId="7" borderId="23" xfId="0" applyNumberFormat="1" applyFont="1" applyFill="1" applyBorder="1"/>
    <xf numFmtId="164" fontId="16" fillId="2" borderId="0" xfId="0" applyNumberFormat="1" applyFont="1" applyFill="1"/>
    <xf numFmtId="2" fontId="17" fillId="5" borderId="0" xfId="0" applyNumberFormat="1" applyFont="1" applyFill="1" applyAlignment="1">
      <alignment horizontal="left"/>
    </xf>
    <xf numFmtId="0" fontId="18" fillId="7" borderId="26" xfId="0" applyFont="1" applyFill="1" applyBorder="1" applyAlignment="1">
      <alignment horizontal="center" vertical="top" textRotation="255"/>
    </xf>
    <xf numFmtId="2" fontId="18" fillId="7" borderId="26" xfId="0" applyNumberFormat="1" applyFont="1" applyFill="1" applyBorder="1"/>
    <xf numFmtId="2" fontId="18" fillId="7" borderId="26" xfId="1" applyNumberFormat="1" applyFont="1" applyFill="1" applyBorder="1"/>
    <xf numFmtId="165" fontId="18" fillId="7" borderId="26" xfId="0" applyNumberFormat="1" applyFont="1" applyFill="1" applyBorder="1"/>
    <xf numFmtId="0" fontId="15" fillId="7" borderId="26" xfId="0" applyFont="1" applyFill="1" applyBorder="1"/>
    <xf numFmtId="165" fontId="18" fillId="7" borderId="27" xfId="0" applyNumberFormat="1" applyFont="1" applyFill="1" applyBorder="1"/>
    <xf numFmtId="0" fontId="11" fillId="4" borderId="0" xfId="0" applyFont="1" applyFill="1" applyAlignment="1">
      <alignment horizontal="left" vertical="center" wrapText="1"/>
    </xf>
    <xf numFmtId="165" fontId="13" fillId="5" borderId="2" xfId="0" applyNumberFormat="1" applyFont="1" applyFill="1" applyBorder="1" applyAlignment="1">
      <alignment horizontal="left" vertical="top"/>
    </xf>
    <xf numFmtId="0" fontId="13" fillId="5" borderId="2" xfId="0" applyFont="1" applyFill="1" applyBorder="1"/>
    <xf numFmtId="2" fontId="13" fillId="5" borderId="2" xfId="0" applyNumberFormat="1" applyFont="1" applyFill="1" applyBorder="1"/>
    <xf numFmtId="165" fontId="13" fillId="5" borderId="2" xfId="0" applyNumberFormat="1" applyFont="1" applyFill="1" applyBorder="1" applyAlignment="1">
      <alignment horizontal="left"/>
    </xf>
    <xf numFmtId="1" fontId="13" fillId="5" borderId="2" xfId="0" applyNumberFormat="1" applyFont="1" applyFill="1" applyBorder="1" applyAlignment="1">
      <alignment horizontal="center"/>
    </xf>
    <xf numFmtId="1" fontId="13" fillId="5" borderId="2" xfId="0" applyNumberFormat="1" applyFont="1" applyFill="1" applyBorder="1"/>
    <xf numFmtId="0" fontId="13" fillId="5" borderId="2" xfId="0" applyFont="1" applyFill="1" applyBorder="1" applyAlignment="1">
      <alignment horizontal="center"/>
    </xf>
    <xf numFmtId="165" fontId="13" fillId="5" borderId="3" xfId="0" applyNumberFormat="1" applyFont="1" applyFill="1" applyBorder="1" applyAlignment="1">
      <alignment horizontal="left"/>
    </xf>
    <xf numFmtId="165" fontId="13" fillId="5" borderId="5" xfId="0" applyNumberFormat="1" applyFont="1" applyFill="1" applyBorder="1" applyAlignment="1">
      <alignment horizontal="left"/>
    </xf>
    <xf numFmtId="2" fontId="13" fillId="5" borderId="7" xfId="0" applyNumberFormat="1" applyFont="1" applyFill="1" applyBorder="1"/>
    <xf numFmtId="165" fontId="13" fillId="5" borderId="7" xfId="0" applyNumberFormat="1" applyFont="1" applyFill="1" applyBorder="1"/>
    <xf numFmtId="165" fontId="13" fillId="5" borderId="7" xfId="0" applyNumberFormat="1" applyFont="1" applyFill="1" applyBorder="1" applyAlignment="1">
      <alignment horizontal="left"/>
    </xf>
    <xf numFmtId="1" fontId="13" fillId="5" borderId="7" xfId="0" applyNumberFormat="1" applyFont="1" applyFill="1" applyBorder="1" applyAlignment="1">
      <alignment horizontal="center"/>
    </xf>
    <xf numFmtId="1" fontId="13" fillId="5" borderId="7" xfId="0" applyNumberFormat="1" applyFont="1" applyFill="1" applyBorder="1"/>
    <xf numFmtId="0" fontId="13" fillId="5" borderId="7" xfId="0" applyFont="1" applyFill="1" applyBorder="1" applyAlignment="1">
      <alignment horizontal="center"/>
    </xf>
    <xf numFmtId="0" fontId="13" fillId="5" borderId="8" xfId="0" applyFont="1" applyFill="1" applyBorder="1" applyAlignment="1">
      <alignment horizontal="left"/>
    </xf>
    <xf numFmtId="0" fontId="14" fillId="7" borderId="6" xfId="0" applyFont="1" applyFill="1" applyBorder="1" applyAlignment="1">
      <alignment vertical="center" wrapText="1"/>
    </xf>
    <xf numFmtId="0" fontId="14" fillId="7" borderId="7" xfId="0" applyFont="1" applyFill="1" applyBorder="1" applyAlignment="1">
      <alignment vertical="center" wrapText="1"/>
    </xf>
    <xf numFmtId="0" fontId="14" fillId="7" borderId="7" xfId="0" applyFont="1" applyFill="1" applyBorder="1" applyAlignment="1">
      <alignment horizontal="center" vertical="center" textRotation="255"/>
    </xf>
    <xf numFmtId="165" fontId="14" fillId="7" borderId="7" xfId="0" applyNumberFormat="1" applyFont="1" applyFill="1" applyBorder="1" applyAlignment="1">
      <alignment vertical="center"/>
    </xf>
    <xf numFmtId="165" fontId="14" fillId="7" borderId="7" xfId="0" applyNumberFormat="1" applyFont="1" applyFill="1" applyBorder="1" applyAlignment="1">
      <alignment horizontal="center" vertical="center"/>
    </xf>
    <xf numFmtId="1" fontId="13" fillId="5" borderId="12" xfId="0" applyNumberFormat="1" applyFont="1" applyFill="1" applyBorder="1" applyAlignment="1">
      <alignment horizontal="left"/>
    </xf>
    <xf numFmtId="1" fontId="13" fillId="5" borderId="0" xfId="0" applyNumberFormat="1" applyFont="1" applyFill="1" applyAlignment="1">
      <alignment horizontal="left" vertical="top"/>
    </xf>
    <xf numFmtId="165" fontId="14" fillId="7" borderId="0" xfId="0" applyNumberFormat="1" applyFont="1" applyFill="1" applyAlignment="1">
      <alignment horizontal="left"/>
    </xf>
    <xf numFmtId="1" fontId="12" fillId="5" borderId="0" xfId="0" applyNumberFormat="1" applyFont="1" applyFill="1" applyAlignment="1">
      <alignment horizontal="left"/>
    </xf>
    <xf numFmtId="0" fontId="12" fillId="5" borderId="0" xfId="0" applyFont="1" applyFill="1" applyAlignment="1">
      <alignment horizontal="left"/>
    </xf>
    <xf numFmtId="2" fontId="14" fillId="7" borderId="0" xfId="0" applyNumberFormat="1" applyFont="1" applyFill="1" applyAlignment="1">
      <alignment horizontal="left"/>
    </xf>
    <xf numFmtId="2" fontId="13" fillId="5" borderId="0" xfId="0" applyNumberFormat="1" applyFont="1" applyFill="1" applyAlignment="1">
      <alignment horizontal="left"/>
    </xf>
    <xf numFmtId="2" fontId="13" fillId="5" borderId="0" xfId="0" applyNumberFormat="1" applyFont="1" applyFill="1" applyAlignment="1">
      <alignment horizontal="center"/>
    </xf>
    <xf numFmtId="0" fontId="13" fillId="0" borderId="0" xfId="0" applyFont="1" applyAlignment="1">
      <alignment horizontal="center"/>
    </xf>
    <xf numFmtId="0" fontId="14" fillId="7" borderId="15" xfId="0" applyFont="1" applyFill="1" applyBorder="1" applyAlignment="1">
      <alignment horizontal="center" vertical="top" textRotation="255"/>
    </xf>
    <xf numFmtId="2" fontId="14" fillId="7" borderId="15" xfId="0" applyNumberFormat="1" applyFont="1" applyFill="1" applyBorder="1"/>
    <xf numFmtId="2" fontId="14" fillId="7" borderId="15" xfId="1" applyNumberFormat="1" applyFont="1" applyFill="1" applyBorder="1"/>
    <xf numFmtId="165" fontId="14" fillId="7" borderId="15" xfId="0" applyNumberFormat="1" applyFont="1" applyFill="1" applyBorder="1"/>
    <xf numFmtId="2" fontId="14" fillId="7" borderId="15" xfId="0" applyNumberFormat="1" applyFont="1" applyFill="1" applyBorder="1" applyAlignment="1">
      <alignment horizontal="left"/>
    </xf>
    <xf numFmtId="0" fontId="11" fillId="7" borderId="15" xfId="0" applyFont="1" applyFill="1" applyBorder="1"/>
    <xf numFmtId="2" fontId="14" fillId="2" borderId="0" xfId="0" applyNumberFormat="1" applyFont="1" applyFill="1"/>
    <xf numFmtId="2" fontId="13" fillId="5" borderId="0" xfId="1" applyNumberFormat="1" applyFont="1" applyFill="1" applyBorder="1" applyAlignment="1">
      <alignment horizontal="left"/>
    </xf>
    <xf numFmtId="165" fontId="11" fillId="5" borderId="0" xfId="0" applyNumberFormat="1" applyFont="1" applyFill="1"/>
    <xf numFmtId="2" fontId="11" fillId="5" borderId="0" xfId="0" applyNumberFormat="1" applyFont="1" applyFill="1" applyAlignment="1">
      <alignment horizontal="center"/>
    </xf>
    <xf numFmtId="2" fontId="14" fillId="5" borderId="0" xfId="0" applyNumberFormat="1" applyFont="1" applyFill="1" applyAlignment="1">
      <alignment horizontal="center"/>
    </xf>
    <xf numFmtId="2" fontId="14" fillId="5" borderId="0" xfId="0" applyNumberFormat="1" applyFont="1" applyFill="1"/>
    <xf numFmtId="0" fontId="11" fillId="5" borderId="0" xfId="0" applyFont="1" applyFill="1"/>
    <xf numFmtId="165" fontId="14" fillId="5" borderId="0" xfId="0" applyNumberFormat="1" applyFont="1" applyFill="1"/>
    <xf numFmtId="2" fontId="11" fillId="5" borderId="0" xfId="0" applyNumberFormat="1" applyFont="1" applyFill="1" applyAlignment="1">
      <alignment horizontal="left"/>
    </xf>
    <xf numFmtId="2" fontId="11" fillId="5" borderId="0" xfId="0" applyNumberFormat="1" applyFont="1" applyFill="1"/>
    <xf numFmtId="0" fontId="12" fillId="8" borderId="10" xfId="0" applyFont="1" applyFill="1" applyBorder="1" applyAlignment="1">
      <alignment vertical="top" textRotation="255" wrapText="1"/>
    </xf>
    <xf numFmtId="2" fontId="14" fillId="7" borderId="15" xfId="1" applyNumberFormat="1" applyFont="1" applyFill="1" applyBorder="1" applyAlignment="1">
      <alignment horizontal="left"/>
    </xf>
    <xf numFmtId="2" fontId="12" fillId="2" borderId="0" xfId="0" applyNumberFormat="1" applyFont="1" applyFill="1"/>
    <xf numFmtId="165" fontId="11" fillId="5" borderId="0" xfId="0" applyNumberFormat="1" applyFont="1" applyFill="1" applyAlignment="1">
      <alignment horizontal="left"/>
    </xf>
    <xf numFmtId="2" fontId="13" fillId="5" borderId="0" xfId="1" applyNumberFormat="1" applyFont="1" applyFill="1" applyBorder="1"/>
    <xf numFmtId="165" fontId="12" fillId="5" borderId="0" xfId="0" applyNumberFormat="1" applyFont="1" applyFill="1" applyAlignment="1">
      <alignment horizontal="left"/>
    </xf>
    <xf numFmtId="2" fontId="14" fillId="5" borderId="0" xfId="1" applyNumberFormat="1" applyFont="1" applyFill="1" applyBorder="1"/>
    <xf numFmtId="165" fontId="14" fillId="5" borderId="0" xfId="0" applyNumberFormat="1" applyFont="1" applyFill="1" applyAlignment="1">
      <alignment horizontal="left"/>
    </xf>
    <xf numFmtId="2" fontId="14" fillId="5" borderId="0" xfId="0" applyNumberFormat="1" applyFont="1" applyFill="1" applyAlignment="1">
      <alignment horizontal="left"/>
    </xf>
    <xf numFmtId="2" fontId="13" fillId="5" borderId="0" xfId="1" applyNumberFormat="1" applyFont="1" applyFill="1" applyBorder="1" applyAlignment="1">
      <alignment horizontal="left" vertical="top"/>
    </xf>
    <xf numFmtId="0" fontId="13" fillId="0" borderId="0" xfId="0" applyFont="1" applyAlignment="1">
      <alignment horizontal="left"/>
    </xf>
    <xf numFmtId="1" fontId="13" fillId="5" borderId="0" xfId="1" applyNumberFormat="1" applyFont="1" applyFill="1" applyBorder="1" applyAlignment="1">
      <alignment horizontal="left"/>
    </xf>
    <xf numFmtId="0" fontId="14" fillId="2" borderId="0" xfId="0" applyFont="1" applyFill="1" applyAlignment="1">
      <alignment horizontal="center" vertical="top" textRotation="255"/>
    </xf>
    <xf numFmtId="2" fontId="14" fillId="7" borderId="7" xfId="0" applyNumberFormat="1" applyFont="1" applyFill="1" applyBorder="1" applyAlignment="1">
      <alignment vertical="center"/>
    </xf>
    <xf numFmtId="165" fontId="14" fillId="7" borderId="14" xfId="0" applyNumberFormat="1" applyFont="1" applyFill="1" applyBorder="1" applyAlignment="1">
      <alignment vertical="center"/>
    </xf>
    <xf numFmtId="165" fontId="14" fillId="7" borderId="15" xfId="0" applyNumberFormat="1" applyFont="1" applyFill="1" applyBorder="1" applyAlignment="1">
      <alignment vertical="center"/>
    </xf>
    <xf numFmtId="2" fontId="14" fillId="7" borderId="16" xfId="0" applyNumberFormat="1" applyFont="1" applyFill="1" applyBorder="1" applyAlignment="1">
      <alignment vertical="center"/>
    </xf>
    <xf numFmtId="0" fontId="14" fillId="7" borderId="15" xfId="0" applyFont="1" applyFill="1" applyBorder="1" applyAlignment="1">
      <alignment vertical="top" wrapText="1"/>
    </xf>
    <xf numFmtId="2" fontId="14" fillId="7" borderId="15" xfId="0" applyNumberFormat="1" applyFont="1" applyFill="1" applyBorder="1" applyAlignment="1">
      <alignment vertical="center"/>
    </xf>
    <xf numFmtId="0" fontId="13" fillId="7" borderId="15" xfId="0" applyFont="1" applyFill="1" applyBorder="1" applyAlignment="1">
      <alignment horizontal="left"/>
    </xf>
    <xf numFmtId="165" fontId="14" fillId="7" borderId="7" xfId="0" applyNumberFormat="1" applyFont="1" applyFill="1" applyBorder="1"/>
    <xf numFmtId="0" fontId="12" fillId="7" borderId="13" xfId="0" applyFont="1" applyFill="1" applyBorder="1" applyAlignment="1">
      <alignment vertical="top" textRotation="255" wrapText="1"/>
    </xf>
    <xf numFmtId="0" fontId="13" fillId="7" borderId="15" xfId="0" applyFont="1" applyFill="1" applyBorder="1"/>
    <xf numFmtId="165" fontId="14" fillId="7" borderId="16" xfId="0" applyNumberFormat="1" applyFont="1" applyFill="1" applyBorder="1" applyAlignment="1">
      <alignment vertical="center"/>
    </xf>
    <xf numFmtId="165" fontId="13" fillId="7" borderId="15" xfId="0" applyNumberFormat="1" applyFont="1" applyFill="1" applyBorder="1" applyAlignment="1">
      <alignment horizontal="left"/>
    </xf>
    <xf numFmtId="165" fontId="14" fillId="7" borderId="15" xfId="0" applyNumberFormat="1" applyFont="1" applyFill="1" applyBorder="1" applyAlignment="1">
      <alignment horizontal="left"/>
    </xf>
    <xf numFmtId="165" fontId="11" fillId="7" borderId="15" xfId="0" applyNumberFormat="1" applyFont="1" applyFill="1" applyBorder="1"/>
    <xf numFmtId="165" fontId="14" fillId="7" borderId="15" xfId="1" applyNumberFormat="1" applyFont="1" applyFill="1" applyBorder="1"/>
    <xf numFmtId="165" fontId="11" fillId="6" borderId="0" xfId="0" applyNumberFormat="1" applyFont="1" applyFill="1"/>
    <xf numFmtId="0" fontId="0" fillId="5" borderId="10" xfId="0" applyFill="1" applyBorder="1" applyAlignment="1">
      <alignment vertical="top" wrapText="1"/>
    </xf>
    <xf numFmtId="0" fontId="0" fillId="5" borderId="9" xfId="0" applyFill="1" applyBorder="1" applyAlignment="1">
      <alignment vertical="top" wrapText="1"/>
    </xf>
    <xf numFmtId="0" fontId="0" fillId="5" borderId="11" xfId="0" applyFill="1" applyBorder="1" applyAlignment="1">
      <alignment vertical="top" wrapText="1"/>
    </xf>
    <xf numFmtId="0" fontId="13" fillId="2" borderId="0" xfId="0" applyFont="1" applyFill="1" applyAlignment="1">
      <alignment vertical="top"/>
    </xf>
    <xf numFmtId="2" fontId="12" fillId="2" borderId="0" xfId="0" applyNumberFormat="1" applyFont="1" applyFill="1" applyAlignment="1">
      <alignment vertical="top"/>
    </xf>
    <xf numFmtId="164" fontId="13" fillId="5" borderId="0" xfId="0" applyNumberFormat="1" applyFont="1" applyFill="1" applyAlignment="1">
      <alignment horizontal="left"/>
    </xf>
    <xf numFmtId="0" fontId="10" fillId="5" borderId="0" xfId="0" applyFont="1" applyFill="1" applyAlignment="1">
      <alignment horizontal="left" vertical="top"/>
    </xf>
    <xf numFmtId="0" fontId="9" fillId="0" borderId="0" xfId="0" applyFont="1" applyAlignment="1">
      <alignment horizontal="center" vertical="center" wrapText="1"/>
    </xf>
    <xf numFmtId="0" fontId="9" fillId="0" borderId="0" xfId="0" applyFont="1" applyAlignment="1">
      <alignment horizontal="center" vertical="center"/>
    </xf>
    <xf numFmtId="0" fontId="3" fillId="0" borderId="0" xfId="0" applyFont="1"/>
    <xf numFmtId="165" fontId="3" fillId="0" borderId="0" xfId="0" applyNumberFormat="1" applyFont="1"/>
    <xf numFmtId="2" fontId="3" fillId="0" borderId="0" xfId="0" applyNumberFormat="1" applyFont="1"/>
    <xf numFmtId="1" fontId="0" fillId="0" borderId="0" xfId="0" applyNumberFormat="1"/>
    <xf numFmtId="2" fontId="0" fillId="0" borderId="0" xfId="1" applyNumberFormat="1" applyFont="1" applyFill="1" applyBorder="1"/>
    <xf numFmtId="0" fontId="6" fillId="0" borderId="0" xfId="0" applyFont="1"/>
    <xf numFmtId="165" fontId="6" fillId="0" borderId="0" xfId="0" applyNumberFormat="1" applyFont="1"/>
    <xf numFmtId="2" fontId="0" fillId="0" borderId="0" xfId="0" applyNumberFormat="1"/>
    <xf numFmtId="1" fontId="4" fillId="0" borderId="0" xfId="0" applyNumberFormat="1" applyFont="1"/>
    <xf numFmtId="0" fontId="2" fillId="0" borderId="0" xfId="0" applyFont="1"/>
    <xf numFmtId="0" fontId="0" fillId="5" borderId="1" xfId="0" applyFill="1" applyBorder="1" applyAlignment="1">
      <alignment horizontal="left" vertical="top" wrapText="1"/>
    </xf>
    <xf numFmtId="0" fontId="0" fillId="5" borderId="4" xfId="0" applyFill="1" applyBorder="1" applyAlignment="1">
      <alignment horizontal="left" vertical="top" wrapText="1"/>
    </xf>
    <xf numFmtId="0" fontId="0" fillId="5" borderId="6" xfId="0" applyFill="1" applyBorder="1" applyAlignment="1">
      <alignment horizontal="left" vertical="top" wrapText="1"/>
    </xf>
    <xf numFmtId="0" fontId="18" fillId="8" borderId="20" xfId="0" applyFont="1" applyFill="1" applyBorder="1" applyAlignment="1">
      <alignment horizontal="center" vertical="top" textRotation="255" wrapText="1"/>
    </xf>
    <xf numFmtId="0" fontId="18" fillId="8" borderId="22" xfId="0" applyFont="1" applyFill="1" applyBorder="1" applyAlignment="1">
      <alignment horizontal="center" vertical="top" textRotation="255" wrapText="1"/>
    </xf>
    <xf numFmtId="0" fontId="18" fillId="8" borderId="25" xfId="0" applyFont="1" applyFill="1" applyBorder="1" applyAlignment="1">
      <alignment horizontal="center" vertical="top" textRotation="255" wrapText="1"/>
    </xf>
    <xf numFmtId="0" fontId="0" fillId="5" borderId="3" xfId="0" applyFill="1" applyBorder="1" applyAlignment="1">
      <alignment horizontal="left" vertical="top" wrapText="1"/>
    </xf>
    <xf numFmtId="0" fontId="0" fillId="5" borderId="5" xfId="0" applyFill="1" applyBorder="1" applyAlignment="1">
      <alignment horizontal="left" vertical="top" wrapText="1"/>
    </xf>
    <xf numFmtId="0" fontId="0" fillId="5" borderId="8" xfId="0" applyFill="1" applyBorder="1" applyAlignment="1">
      <alignment horizontal="left" vertical="top" wrapText="1"/>
    </xf>
    <xf numFmtId="0" fontId="16" fillId="2" borderId="4" xfId="0" applyFont="1" applyFill="1" applyBorder="1" applyAlignment="1">
      <alignment horizontal="left" vertical="top" wrapText="1"/>
    </xf>
    <xf numFmtId="0" fontId="16" fillId="2" borderId="4" xfId="0" applyFont="1" applyFill="1" applyBorder="1" applyAlignment="1">
      <alignment horizontal="left" vertical="top"/>
    </xf>
    <xf numFmtId="0" fontId="14" fillId="8" borderId="9" xfId="0" applyFont="1" applyFill="1" applyBorder="1" applyAlignment="1">
      <alignment horizontal="center" vertical="top" textRotation="255" wrapText="1"/>
    </xf>
    <xf numFmtId="0" fontId="14" fillId="8" borderId="10" xfId="0" applyFont="1" applyFill="1" applyBorder="1" applyAlignment="1">
      <alignment horizontal="center" vertical="top" textRotation="255" wrapText="1"/>
    </xf>
    <xf numFmtId="0" fontId="14" fillId="8" borderId="11" xfId="0" applyFont="1" applyFill="1" applyBorder="1" applyAlignment="1">
      <alignment horizontal="center" vertical="top" textRotation="255" wrapText="1"/>
    </xf>
    <xf numFmtId="0" fontId="1" fillId="5" borderId="9" xfId="0" applyFont="1" applyFill="1" applyBorder="1" applyAlignment="1">
      <alignment horizontal="left" vertical="top" wrapText="1"/>
    </xf>
    <xf numFmtId="0" fontId="0" fillId="5" borderId="10" xfId="0" applyFill="1" applyBorder="1" applyAlignment="1">
      <alignment horizontal="left" vertical="top" wrapText="1"/>
    </xf>
    <xf numFmtId="0" fontId="0" fillId="5" borderId="11" xfId="0" applyFill="1" applyBorder="1" applyAlignment="1">
      <alignment horizontal="left" vertical="top" wrapText="1"/>
    </xf>
    <xf numFmtId="0" fontId="0" fillId="5" borderId="9" xfId="0" applyFill="1" applyBorder="1" applyAlignment="1">
      <alignment horizontal="center" vertical="top" wrapText="1"/>
    </xf>
    <xf numFmtId="0" fontId="0" fillId="5" borderId="10" xfId="0" applyFill="1" applyBorder="1" applyAlignment="1">
      <alignment horizontal="center" vertical="top" wrapText="1"/>
    </xf>
    <xf numFmtId="0" fontId="0" fillId="5" borderId="11" xfId="0" applyFill="1" applyBorder="1" applyAlignment="1">
      <alignment horizontal="center" vertical="top" wrapText="1"/>
    </xf>
    <xf numFmtId="0" fontId="0" fillId="5" borderId="10" xfId="0" applyFill="1" applyBorder="1" applyAlignment="1">
      <alignment vertical="top" wrapText="1"/>
    </xf>
    <xf numFmtId="0" fontId="16" fillId="8" borderId="9" xfId="0" applyFont="1" applyFill="1" applyBorder="1" applyAlignment="1">
      <alignment horizontal="center" vertical="top" textRotation="255" wrapText="1"/>
    </xf>
    <xf numFmtId="0" fontId="16" fillId="8" borderId="10" xfId="0" applyFont="1" applyFill="1" applyBorder="1" applyAlignment="1">
      <alignment horizontal="center" vertical="top" textRotation="255" wrapText="1"/>
    </xf>
    <xf numFmtId="0" fontId="1" fillId="5" borderId="10" xfId="0" applyFont="1" applyFill="1" applyBorder="1" applyAlignment="1">
      <alignment horizontal="left" vertical="top" wrapText="1"/>
    </xf>
    <xf numFmtId="0" fontId="0" fillId="5" borderId="9" xfId="0" applyFill="1" applyBorder="1" applyAlignment="1">
      <alignment vertical="top" wrapText="1"/>
    </xf>
    <xf numFmtId="0" fontId="0" fillId="5" borderId="11" xfId="0" applyFill="1" applyBorder="1" applyAlignment="1">
      <alignment vertical="top" wrapText="1"/>
    </xf>
    <xf numFmtId="0" fontId="0" fillId="5" borderId="9" xfId="0" applyFill="1" applyBorder="1" applyAlignment="1">
      <alignment horizontal="left" vertical="top" wrapText="1"/>
    </xf>
    <xf numFmtId="0" fontId="12" fillId="2" borderId="1" xfId="0" applyFont="1" applyFill="1" applyBorder="1" applyAlignment="1">
      <alignment horizontal="left" vertical="top" wrapText="1"/>
    </xf>
    <xf numFmtId="0" fontId="12" fillId="2" borderId="4" xfId="0" applyFont="1" applyFill="1" applyBorder="1" applyAlignment="1">
      <alignment horizontal="left" vertical="top" wrapText="1"/>
    </xf>
    <xf numFmtId="0" fontId="12" fillId="2" borderId="6" xfId="0" applyFont="1" applyFill="1" applyBorder="1" applyAlignment="1">
      <alignment horizontal="left" vertical="top" wrapText="1"/>
    </xf>
    <xf numFmtId="0" fontId="1" fillId="5" borderId="3" xfId="0" applyFont="1" applyFill="1" applyBorder="1" applyAlignment="1">
      <alignment horizontal="left" vertical="top" wrapText="1"/>
    </xf>
    <xf numFmtId="0" fontId="12" fillId="8" borderId="9" xfId="0" applyFont="1" applyFill="1" applyBorder="1" applyAlignment="1">
      <alignment horizontal="center" vertical="top" textRotation="255" wrapText="1"/>
    </xf>
    <xf numFmtId="0" fontId="12" fillId="8" borderId="10" xfId="0" applyFont="1" applyFill="1" applyBorder="1" applyAlignment="1">
      <alignment horizontal="center" vertical="top" textRotation="255" wrapText="1"/>
    </xf>
    <xf numFmtId="0" fontId="1" fillId="5" borderId="11" xfId="0" applyFont="1" applyFill="1" applyBorder="1" applyAlignment="1">
      <alignment horizontal="left" vertical="top" wrapText="1"/>
    </xf>
    <xf numFmtId="0" fontId="12" fillId="2" borderId="1" xfId="0" applyFont="1" applyFill="1" applyBorder="1" applyAlignment="1">
      <alignment horizontal="center" vertical="top" wrapText="1"/>
    </xf>
    <xf numFmtId="0" fontId="12" fillId="2" borderId="4" xfId="0" applyFont="1" applyFill="1" applyBorder="1" applyAlignment="1">
      <alignment horizontal="center" vertical="top" wrapText="1"/>
    </xf>
    <xf numFmtId="0" fontId="12" fillId="2" borderId="6" xfId="0" applyFont="1" applyFill="1" applyBorder="1" applyAlignment="1">
      <alignment horizontal="center" vertical="top" wrapText="1"/>
    </xf>
    <xf numFmtId="0" fontId="8" fillId="8" borderId="10" xfId="0" applyFont="1" applyFill="1" applyBorder="1" applyAlignment="1">
      <alignment horizontal="center" vertical="top" textRotation="255" wrapText="1"/>
    </xf>
    <xf numFmtId="0" fontId="8" fillId="8" borderId="11" xfId="0" applyFont="1" applyFill="1" applyBorder="1" applyAlignment="1">
      <alignment horizontal="center" vertical="top" textRotation="255" wrapText="1"/>
    </xf>
    <xf numFmtId="0" fontId="12" fillId="2" borderId="0" xfId="0" applyFont="1" applyFill="1" applyAlignment="1">
      <alignment horizontal="center" vertical="top" wrapText="1"/>
    </xf>
    <xf numFmtId="0" fontId="12" fillId="8" borderId="11" xfId="0" applyFont="1" applyFill="1" applyBorder="1" applyAlignment="1">
      <alignment horizontal="center" vertical="top" textRotation="255" wrapText="1"/>
    </xf>
  </cellXfs>
  <cellStyles count="2">
    <cellStyle name="Normal" xfId="0" builtinId="0"/>
    <cellStyle name="Percent" xfId="1" builtinId="5"/>
  </cellStyles>
  <dxfs count="232">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FFC7CE"/>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C000"/>
        </patternFill>
      </fill>
    </dxf>
  </dxfs>
  <tableStyles count="0" defaultTableStyle="TableStyleMedium2" defaultPivotStyle="PivotStyleLight16"/>
  <colors>
    <mruColors>
      <color rgb="FFFF00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mi Delivand, Mitra" id="{0CAEAE46-DCC0-4966-85DA-B882C152F5AE}" userId="S::mitra.kamidelivand@ucc.ie::c9549af8-2f21-4fd6-9f51-51a8dd884a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 dT="2021-10-25T14:27:19.41" personId="{0CAEAE46-DCC0-4966-85DA-B882C152F5AE}" id="{03878B58-F9A7-4782-81C1-912C47C72F06}">
    <text>Side loading occurs when a mass or external force pushes the rod to the side, up or down.
from:
https://www.fluidpowerworld.com/how-do-hydraulic-cylinders-fail-side-loads/#:~:text=Side%20loading%20occurs%20when%20a,itself%20inside%20the%20cylinder%20bore.</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1-10-25T14:27:19.41" personId="{0CAEAE46-DCC0-4966-85DA-B882C152F5AE}" id="{8C706040-039E-4784-8C73-9EDAC5951E85}">
    <text>Side loading occurs when a mass or external force pushes the rod to the side, up or down.
from:
https://www.fluidpowerworld.com/how-do-hydraulic-cylinders-fail-side-loads/#:~:text=Side%20loading%20occurs%20when%20a,itself%20inside%20the%20cylinder%20bore.</text>
  </threadedComment>
</ThreadedComments>
</file>

<file path=xl/threadedComments/threadedComment3.xml><?xml version="1.0" encoding="utf-8"?>
<ThreadedComments xmlns="http://schemas.microsoft.com/office/spreadsheetml/2018/threadedcomments" xmlns:x="http://schemas.openxmlformats.org/spreadsheetml/2006/main">
  <threadedComment ref="H2" dT="2021-10-25T14:27:19.41" personId="{0CAEAE46-DCC0-4966-85DA-B882C152F5AE}" id="{14450042-ACB7-4622-8D41-8FB61E4AD02B}">
    <text>Side loading occurs when a mass or external force pushes the rod to the side, up or down.
from:
https://www.fluidpowerworld.com/how-do-hydraulic-cylinders-fail-side-loads/#:~:text=Side%20loading%20occurs%20when%20a,itself%20inside%20the%20cylinder%20bore.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73D5D-4904-4F11-88FB-41E5C08600C4}">
  <sheetPr>
    <tabColor theme="5" tint="-0.249977111117893"/>
  </sheetPr>
  <dimension ref="A1:AH851"/>
  <sheetViews>
    <sheetView topLeftCell="A19" zoomScale="62" zoomScaleNormal="62" workbookViewId="0">
      <selection activeCell="O27" sqref="O27"/>
    </sheetView>
  </sheetViews>
  <sheetFormatPr defaultRowHeight="15"/>
  <cols>
    <col min="1" max="1" width="9.85546875" customWidth="1"/>
    <col min="2" max="2" width="14.7109375" customWidth="1"/>
    <col min="3" max="3" width="11" customWidth="1"/>
    <col min="4" max="4" width="15" customWidth="1"/>
    <col min="5" max="5" width="14.28515625" customWidth="1"/>
    <col min="6" max="6" width="25.42578125" customWidth="1"/>
    <col min="7" max="7" width="15.42578125" customWidth="1"/>
    <col min="8" max="8" width="26.85546875" customWidth="1"/>
    <col min="9" max="9" width="17.42578125" customWidth="1"/>
    <col min="10" max="10" width="13.85546875" customWidth="1"/>
    <col min="11" max="11" width="12" hidden="1" customWidth="1"/>
    <col min="12" max="12" width="10.85546875" customWidth="1"/>
    <col min="13" max="13" width="13.140625" customWidth="1"/>
    <col min="14" max="14" width="15.42578125" customWidth="1"/>
    <col min="15" max="15" width="15.7109375" customWidth="1"/>
    <col min="16" max="17" width="38.5703125" customWidth="1"/>
    <col min="18" max="18" width="12.42578125" customWidth="1"/>
    <col min="19" max="19" width="9.42578125" customWidth="1"/>
    <col min="20" max="20" width="30" customWidth="1"/>
    <col min="21" max="21" width="12.85546875" customWidth="1"/>
    <col min="22" max="22" width="19.140625" customWidth="1"/>
    <col min="23" max="23" width="24.140625" customWidth="1"/>
    <col min="24" max="24" width="27.28515625" customWidth="1"/>
    <col min="25" max="25" width="26.42578125" customWidth="1"/>
    <col min="26" max="26" width="17.140625" customWidth="1"/>
    <col min="27" max="27" width="33.140625" customWidth="1"/>
  </cols>
  <sheetData>
    <row r="1" spans="1:34" ht="72.75" customHeight="1">
      <c r="A1" s="157" t="s">
        <v>0</v>
      </c>
      <c r="B1" s="158" t="s">
        <v>1</v>
      </c>
      <c r="C1" s="158" t="s">
        <v>2</v>
      </c>
      <c r="D1" s="159" t="s">
        <v>3</v>
      </c>
      <c r="E1" s="158" t="s">
        <v>4</v>
      </c>
      <c r="F1" s="158" t="s">
        <v>5</v>
      </c>
      <c r="G1" s="158" t="s">
        <v>6</v>
      </c>
      <c r="H1" s="158" t="s">
        <v>7</v>
      </c>
      <c r="I1" s="158" t="s">
        <v>8</v>
      </c>
      <c r="J1" s="158" t="s">
        <v>9</v>
      </c>
      <c r="K1" s="158" t="s">
        <v>10</v>
      </c>
      <c r="L1" s="158" t="s">
        <v>11</v>
      </c>
      <c r="M1" s="158" t="s">
        <v>12</v>
      </c>
      <c r="N1" s="158" t="s">
        <v>13</v>
      </c>
      <c r="O1" s="160" t="s">
        <v>14</v>
      </c>
      <c r="P1" s="155" t="s">
        <v>15</v>
      </c>
      <c r="Q1" s="3" t="s">
        <v>16</v>
      </c>
      <c r="T1" s="259"/>
      <c r="U1" s="259"/>
      <c r="V1" s="260"/>
      <c r="W1" s="259"/>
      <c r="X1" s="259"/>
      <c r="Y1" s="259"/>
      <c r="Z1" s="259"/>
    </row>
    <row r="2" spans="1:34" ht="18" customHeight="1">
      <c r="A2" s="274" t="s">
        <v>17</v>
      </c>
      <c r="B2" s="130" t="s">
        <v>18</v>
      </c>
      <c r="C2" s="131">
        <v>0.17286551999999999</v>
      </c>
      <c r="D2" s="132" t="s">
        <v>18</v>
      </c>
      <c r="E2" s="133">
        <v>1</v>
      </c>
      <c r="F2" s="132" t="s">
        <v>19</v>
      </c>
      <c r="G2" s="134">
        <v>1.7286552E-2</v>
      </c>
      <c r="H2" s="132" t="s">
        <v>20</v>
      </c>
      <c r="I2" s="135">
        <v>3.0251465999999998E-2</v>
      </c>
      <c r="J2" s="136">
        <v>4</v>
      </c>
      <c r="K2" s="136"/>
      <c r="L2" s="137">
        <v>1</v>
      </c>
      <c r="M2" s="138">
        <v>4</v>
      </c>
      <c r="N2" s="139">
        <v>3</v>
      </c>
      <c r="O2" s="161">
        <v>0.20743862400000002</v>
      </c>
      <c r="P2" s="277" t="s">
        <v>21</v>
      </c>
      <c r="Q2" s="271" t="s">
        <v>22</v>
      </c>
      <c r="T2" s="261"/>
      <c r="U2" s="262"/>
      <c r="V2" s="261"/>
      <c r="W2" s="261"/>
      <c r="X2" s="261"/>
      <c r="Y2" s="263"/>
      <c r="Z2" s="262"/>
    </row>
    <row r="3" spans="1:34" ht="18" customHeight="1">
      <c r="A3" s="275"/>
      <c r="B3" s="140"/>
      <c r="C3" s="70"/>
      <c r="D3" s="72"/>
      <c r="E3" s="75"/>
      <c r="F3" s="72" t="s">
        <v>23</v>
      </c>
      <c r="G3" s="95">
        <v>5.1859655999999997E-2</v>
      </c>
      <c r="H3" s="72" t="s">
        <v>24</v>
      </c>
      <c r="I3" s="74">
        <v>4.3216379999999999E-2</v>
      </c>
      <c r="J3" s="96">
        <v>4</v>
      </c>
      <c r="K3" s="96"/>
      <c r="L3" s="76">
        <v>1</v>
      </c>
      <c r="M3" s="77">
        <v>4</v>
      </c>
      <c r="N3" s="78">
        <v>3</v>
      </c>
      <c r="O3" s="162">
        <v>0.62231587199999994</v>
      </c>
      <c r="P3" s="278"/>
      <c r="Q3" s="272"/>
      <c r="T3" s="261"/>
      <c r="U3" s="262"/>
      <c r="V3" s="261"/>
      <c r="W3" s="261"/>
      <c r="X3" s="263"/>
      <c r="Y3" s="263"/>
      <c r="Z3" s="262"/>
      <c r="AB3" s="264"/>
    </row>
    <row r="4" spans="1:34" ht="18" customHeight="1">
      <c r="A4" s="275"/>
      <c r="B4" s="140"/>
      <c r="C4" s="70"/>
      <c r="D4" s="72"/>
      <c r="E4" s="75"/>
      <c r="F4" s="72" t="s">
        <v>25</v>
      </c>
      <c r="G4" s="95">
        <v>0.10371931199999999</v>
      </c>
      <c r="H4" s="72" t="s">
        <v>26</v>
      </c>
      <c r="I4" s="74">
        <v>3.0251465999999998E-2</v>
      </c>
      <c r="J4" s="96">
        <v>5</v>
      </c>
      <c r="K4" s="96"/>
      <c r="L4" s="76">
        <v>1</v>
      </c>
      <c r="M4" s="77">
        <v>5</v>
      </c>
      <c r="N4" s="78">
        <v>2</v>
      </c>
      <c r="O4" s="162">
        <v>1.03719312</v>
      </c>
      <c r="P4" s="278"/>
      <c r="Q4" s="272"/>
      <c r="T4" s="261"/>
      <c r="U4" s="262"/>
      <c r="V4" s="261"/>
      <c r="W4" s="261"/>
      <c r="X4" s="263"/>
      <c r="Y4" s="263"/>
      <c r="Z4" s="262"/>
      <c r="AB4" s="264"/>
      <c r="AD4" s="265"/>
    </row>
    <row r="5" spans="1:34" ht="18" customHeight="1">
      <c r="A5" s="275"/>
      <c r="B5" s="140"/>
      <c r="C5" s="70"/>
      <c r="D5" s="72"/>
      <c r="E5" s="75"/>
      <c r="F5" s="72"/>
      <c r="G5" s="74"/>
      <c r="H5" s="72" t="s">
        <v>27</v>
      </c>
      <c r="I5" s="74">
        <v>1.7286552E-2</v>
      </c>
      <c r="J5" s="96"/>
      <c r="K5" s="96"/>
      <c r="L5" s="96"/>
      <c r="M5" s="96"/>
      <c r="N5" s="78"/>
      <c r="O5" s="163"/>
      <c r="P5" s="278"/>
      <c r="Q5" s="272"/>
      <c r="T5" s="261"/>
      <c r="U5" s="262"/>
      <c r="V5" s="261"/>
      <c r="W5" s="261"/>
      <c r="X5" s="261"/>
      <c r="Y5" s="263"/>
      <c r="Z5" s="262"/>
      <c r="AB5" s="264"/>
      <c r="AD5" s="265"/>
    </row>
    <row r="6" spans="1:34" ht="18" customHeight="1">
      <c r="A6" s="275"/>
      <c r="B6" s="140"/>
      <c r="C6" s="70"/>
      <c r="D6" s="72"/>
      <c r="E6" s="75"/>
      <c r="F6" s="72"/>
      <c r="G6" s="103"/>
      <c r="H6" s="72" t="s">
        <v>28</v>
      </c>
      <c r="I6" s="74">
        <v>1.7286552E-2</v>
      </c>
      <c r="J6" s="96"/>
      <c r="K6" s="96"/>
      <c r="L6" s="96"/>
      <c r="M6" s="96"/>
      <c r="N6" s="78"/>
      <c r="O6" s="163"/>
      <c r="P6" s="278"/>
      <c r="Q6" s="272"/>
      <c r="T6" s="266"/>
      <c r="U6" s="267"/>
      <c r="V6" s="266"/>
      <c r="W6" s="266"/>
      <c r="X6" s="266"/>
      <c r="Y6" s="266"/>
      <c r="Z6" s="267"/>
      <c r="AB6" s="264"/>
      <c r="AD6" s="265"/>
    </row>
    <row r="7" spans="1:34" ht="18" customHeight="1">
      <c r="A7" s="275"/>
      <c r="B7" s="140"/>
      <c r="C7" s="70"/>
      <c r="D7" s="72"/>
      <c r="E7" s="75"/>
      <c r="F7" s="72"/>
      <c r="G7" s="103"/>
      <c r="H7" s="72" t="s">
        <v>29</v>
      </c>
      <c r="I7" s="74">
        <v>1.7286552E-2</v>
      </c>
      <c r="J7" s="96"/>
      <c r="K7" s="96"/>
      <c r="L7" s="96"/>
      <c r="M7" s="96"/>
      <c r="N7" s="78"/>
      <c r="O7" s="163"/>
      <c r="P7" s="278"/>
      <c r="Q7" s="272"/>
      <c r="AB7" s="264"/>
      <c r="AD7" s="265"/>
    </row>
    <row r="8" spans="1:34" ht="18" customHeight="1">
      <c r="A8" s="275"/>
      <c r="B8" s="140"/>
      <c r="C8" s="70"/>
      <c r="D8" s="72"/>
      <c r="E8" s="75"/>
      <c r="F8" s="72"/>
      <c r="G8" s="103"/>
      <c r="H8" s="72" t="s">
        <v>30</v>
      </c>
      <c r="I8" s="74">
        <v>1.7286552E-2</v>
      </c>
      <c r="J8" s="96"/>
      <c r="K8" s="96"/>
      <c r="L8" s="96"/>
      <c r="M8" s="96"/>
      <c r="N8" s="78"/>
      <c r="O8" s="163"/>
      <c r="P8" s="278"/>
      <c r="Q8" s="272"/>
      <c r="AG8" s="264"/>
    </row>
    <row r="9" spans="1:34" ht="18" customHeight="1">
      <c r="A9" s="275"/>
      <c r="B9" s="141"/>
      <c r="C9" s="142"/>
      <c r="D9" s="143"/>
      <c r="E9" s="144"/>
      <c r="F9" s="143"/>
      <c r="G9" s="145"/>
      <c r="H9" s="144"/>
      <c r="I9" s="146"/>
      <c r="J9" s="147"/>
      <c r="K9" s="147"/>
      <c r="L9" s="147"/>
      <c r="M9" s="147"/>
      <c r="N9" s="148"/>
      <c r="O9" s="164"/>
      <c r="P9" s="279"/>
      <c r="Q9" s="272"/>
      <c r="AD9" s="268"/>
    </row>
    <row r="10" spans="1:34" ht="18" customHeight="1">
      <c r="A10" s="275"/>
      <c r="B10" s="80"/>
      <c r="C10" s="80" t="s">
        <v>31</v>
      </c>
      <c r="D10" s="81"/>
      <c r="E10" s="82">
        <v>1</v>
      </c>
      <c r="F10" s="83"/>
      <c r="G10" s="83">
        <v>0.17286551999999999</v>
      </c>
      <c r="H10" s="83"/>
      <c r="I10" s="83">
        <v>0.17286552000000002</v>
      </c>
      <c r="J10" s="83"/>
      <c r="K10" s="83"/>
      <c r="L10" s="83"/>
      <c r="M10" s="83"/>
      <c r="N10" s="84"/>
      <c r="O10" s="165">
        <v>1.866947616</v>
      </c>
      <c r="P10" s="156"/>
      <c r="Q10" s="272"/>
    </row>
    <row r="11" spans="1:34" ht="18" customHeight="1">
      <c r="A11" s="275"/>
      <c r="B11" s="281" t="s">
        <v>32</v>
      </c>
      <c r="C11" s="87">
        <v>3.5344512000000002E-2</v>
      </c>
      <c r="D11" s="88" t="s">
        <v>32</v>
      </c>
      <c r="E11" s="90">
        <v>1</v>
      </c>
      <c r="F11" s="88" t="s">
        <v>19</v>
      </c>
      <c r="G11" s="73">
        <v>1.7672256000000001E-3</v>
      </c>
      <c r="H11" s="88" t="s">
        <v>20</v>
      </c>
      <c r="I11" s="73">
        <v>8.8361280000000004E-3</v>
      </c>
      <c r="J11" s="149">
        <v>3</v>
      </c>
      <c r="K11" s="149"/>
      <c r="L11" s="91">
        <v>2</v>
      </c>
      <c r="M11" s="77">
        <v>6</v>
      </c>
      <c r="N11" s="78">
        <v>3</v>
      </c>
      <c r="O11" s="162">
        <v>3.1810060800000005E-2</v>
      </c>
      <c r="P11" s="278" t="s">
        <v>33</v>
      </c>
      <c r="Q11" s="272"/>
      <c r="AB11" s="269"/>
    </row>
    <row r="12" spans="1:34" ht="18" customHeight="1">
      <c r="A12" s="275"/>
      <c r="B12" s="281"/>
      <c r="C12" s="86"/>
      <c r="D12" s="93"/>
      <c r="E12" s="94"/>
      <c r="F12" s="88" t="s">
        <v>23</v>
      </c>
      <c r="G12" s="73">
        <v>8.8361280000000004E-3</v>
      </c>
      <c r="H12" s="88" t="s">
        <v>24</v>
      </c>
      <c r="I12" s="73">
        <v>1.2370579200000001E-2</v>
      </c>
      <c r="J12" s="149">
        <v>3</v>
      </c>
      <c r="K12" s="149"/>
      <c r="L12" s="91">
        <v>2</v>
      </c>
      <c r="M12" s="77">
        <v>6</v>
      </c>
      <c r="N12" s="78">
        <v>3</v>
      </c>
      <c r="O12" s="162">
        <v>0.159050304</v>
      </c>
      <c r="P12" s="278"/>
      <c r="Q12" s="272"/>
      <c r="AH12" s="264"/>
    </row>
    <row r="13" spans="1:34" ht="18" customHeight="1">
      <c r="A13" s="275"/>
      <c r="B13" s="86"/>
      <c r="C13" s="86"/>
      <c r="D13" s="93"/>
      <c r="E13" s="94"/>
      <c r="F13" s="88" t="s">
        <v>25</v>
      </c>
      <c r="G13" s="73">
        <v>2.4741158400000001E-2</v>
      </c>
      <c r="H13" s="88" t="s">
        <v>28</v>
      </c>
      <c r="I13" s="73">
        <v>3.5344512000000002E-3</v>
      </c>
      <c r="J13" s="149">
        <v>4</v>
      </c>
      <c r="K13" s="149"/>
      <c r="L13" s="91">
        <v>2</v>
      </c>
      <c r="M13" s="77">
        <v>8</v>
      </c>
      <c r="N13" s="78">
        <v>2</v>
      </c>
      <c r="O13" s="162">
        <v>0.39585853440000002</v>
      </c>
      <c r="P13" s="278"/>
      <c r="Q13" s="272"/>
    </row>
    <row r="14" spans="1:34" ht="18" customHeight="1">
      <c r="A14" s="275"/>
      <c r="B14" s="86"/>
      <c r="C14" s="86"/>
      <c r="D14" s="93"/>
      <c r="E14" s="94"/>
      <c r="F14" s="94"/>
      <c r="G14" s="95"/>
      <c r="H14" s="88" t="s">
        <v>29</v>
      </c>
      <c r="I14" s="73">
        <v>5.3016768000000002E-3</v>
      </c>
      <c r="J14" s="150"/>
      <c r="K14" s="150"/>
      <c r="L14" s="96"/>
      <c r="M14" s="96"/>
      <c r="N14" s="78"/>
      <c r="O14" s="163"/>
      <c r="P14" s="278"/>
      <c r="Q14" s="272"/>
    </row>
    <row r="15" spans="1:34" ht="18" customHeight="1">
      <c r="A15" s="275"/>
      <c r="B15" s="86"/>
      <c r="C15" s="86"/>
      <c r="D15" s="93"/>
      <c r="E15" s="94"/>
      <c r="F15" s="94"/>
      <c r="G15" s="151"/>
      <c r="H15" s="88" t="s">
        <v>34</v>
      </c>
      <c r="I15" s="73">
        <v>5.3016768000000002E-3</v>
      </c>
      <c r="J15" s="150"/>
      <c r="K15" s="150"/>
      <c r="L15" s="96"/>
      <c r="M15" s="96"/>
      <c r="N15" s="78"/>
      <c r="O15" s="163"/>
      <c r="P15" s="278"/>
      <c r="Q15" s="272"/>
    </row>
    <row r="16" spans="1:34" ht="18" customHeight="1">
      <c r="A16" s="275"/>
      <c r="B16" s="86"/>
      <c r="C16" s="86"/>
      <c r="D16" s="97"/>
      <c r="E16" s="72"/>
      <c r="F16" s="72"/>
      <c r="G16" s="152"/>
      <c r="H16" s="88"/>
      <c r="I16" s="72"/>
      <c r="J16" s="96"/>
      <c r="K16" s="96"/>
      <c r="L16" s="96"/>
      <c r="M16" s="96"/>
      <c r="N16" s="78"/>
      <c r="O16" s="166"/>
      <c r="P16" s="278"/>
      <c r="Q16" s="272"/>
    </row>
    <row r="17" spans="1:18" ht="18" customHeight="1">
      <c r="A17" s="275"/>
      <c r="B17" s="98"/>
      <c r="C17" s="98" t="s">
        <v>31</v>
      </c>
      <c r="D17" s="99"/>
      <c r="E17" s="100">
        <v>1</v>
      </c>
      <c r="F17" s="100"/>
      <c r="G17" s="101">
        <v>3.5344512000000002E-2</v>
      </c>
      <c r="H17" s="101"/>
      <c r="I17" s="101">
        <v>3.5344512000000002E-2</v>
      </c>
      <c r="J17" s="101"/>
      <c r="K17" s="101"/>
      <c r="L17" s="101"/>
      <c r="M17" s="101"/>
      <c r="N17" s="102"/>
      <c r="O17" s="167">
        <v>0.58671889920000009</v>
      </c>
      <c r="P17" s="17"/>
      <c r="Q17" s="272"/>
    </row>
    <row r="18" spans="1:18" ht="18" customHeight="1">
      <c r="A18" s="275"/>
      <c r="B18" s="280" t="s">
        <v>35</v>
      </c>
      <c r="C18" s="87">
        <v>4.9615559999999996E-2</v>
      </c>
      <c r="D18" s="88" t="s">
        <v>36</v>
      </c>
      <c r="E18" s="74">
        <v>0.70250000000000001</v>
      </c>
      <c r="F18" s="75" t="s">
        <v>19</v>
      </c>
      <c r="G18" s="74">
        <v>4.9615559999999998E-3</v>
      </c>
      <c r="H18" s="75" t="s">
        <v>20</v>
      </c>
      <c r="I18" s="74">
        <v>1.2403889999999997E-2</v>
      </c>
      <c r="J18" s="96">
        <v>3</v>
      </c>
      <c r="K18" s="96"/>
      <c r="L18" s="76">
        <v>2</v>
      </c>
      <c r="M18" s="77">
        <v>6</v>
      </c>
      <c r="N18" s="78">
        <v>3</v>
      </c>
      <c r="O18" s="162">
        <v>8.9308007999999994E-2</v>
      </c>
      <c r="P18" s="278" t="s">
        <v>37</v>
      </c>
      <c r="Q18" s="272"/>
      <c r="R18" s="270"/>
    </row>
    <row r="19" spans="1:18" ht="18" customHeight="1">
      <c r="A19" s="275"/>
      <c r="B19" s="280"/>
      <c r="C19" s="86"/>
      <c r="D19" s="88" t="s">
        <v>38</v>
      </c>
      <c r="E19" s="74">
        <v>0.20749999999999999</v>
      </c>
      <c r="F19" s="75" t="s">
        <v>39</v>
      </c>
      <c r="G19" s="74">
        <v>9.9231119999999996E-3</v>
      </c>
      <c r="H19" s="75" t="s">
        <v>24</v>
      </c>
      <c r="I19" s="74">
        <v>1.7365445999999996E-2</v>
      </c>
      <c r="J19" s="96">
        <v>3</v>
      </c>
      <c r="K19" s="96"/>
      <c r="L19" s="76">
        <v>2</v>
      </c>
      <c r="M19" s="77">
        <v>6</v>
      </c>
      <c r="N19" s="78">
        <v>3</v>
      </c>
      <c r="O19" s="162">
        <v>0.17861601599999999</v>
      </c>
      <c r="P19" s="278"/>
      <c r="Q19" s="272"/>
      <c r="R19" s="270"/>
    </row>
    <row r="20" spans="1:18" ht="18" customHeight="1">
      <c r="A20" s="275"/>
      <c r="B20" s="280"/>
      <c r="C20" s="86"/>
      <c r="D20" s="88" t="s">
        <v>40</v>
      </c>
      <c r="E20" s="74">
        <v>0.09</v>
      </c>
      <c r="F20" s="75" t="s">
        <v>25</v>
      </c>
      <c r="G20" s="74">
        <v>3.4730891999999992E-2</v>
      </c>
      <c r="H20" s="75" t="s">
        <v>41</v>
      </c>
      <c r="I20" s="74">
        <v>4.9615559999999989E-3</v>
      </c>
      <c r="J20" s="96">
        <v>4</v>
      </c>
      <c r="K20" s="96"/>
      <c r="L20" s="76">
        <v>2</v>
      </c>
      <c r="M20" s="77">
        <v>8</v>
      </c>
      <c r="N20" s="78">
        <v>2</v>
      </c>
      <c r="O20" s="162">
        <v>0.55569427199999988</v>
      </c>
      <c r="P20" s="278"/>
      <c r="Q20" s="272"/>
      <c r="R20" s="270"/>
    </row>
    <row r="21" spans="1:18" ht="18" customHeight="1">
      <c r="A21" s="275"/>
      <c r="B21" s="280"/>
      <c r="C21" s="86"/>
      <c r="D21" s="92"/>
      <c r="E21" s="72"/>
      <c r="F21" s="72"/>
      <c r="G21" s="152"/>
      <c r="H21" s="75" t="s">
        <v>42</v>
      </c>
      <c r="I21" s="74">
        <v>4.9615559999999989E-3</v>
      </c>
      <c r="J21" s="96"/>
      <c r="K21" s="96"/>
      <c r="L21" s="76"/>
      <c r="M21" s="76"/>
      <c r="N21" s="78"/>
      <c r="O21" s="166"/>
      <c r="P21" s="278"/>
      <c r="Q21" s="272"/>
      <c r="R21" s="270"/>
    </row>
    <row r="22" spans="1:18" ht="18" customHeight="1">
      <c r="A22" s="275"/>
      <c r="B22" s="280"/>
      <c r="C22" s="86"/>
      <c r="D22" s="97"/>
      <c r="E22" s="72"/>
      <c r="F22" s="72"/>
      <c r="G22" s="152"/>
      <c r="H22" s="75" t="s">
        <v>43</v>
      </c>
      <c r="I22" s="74">
        <v>4.9615559999999989E-3</v>
      </c>
      <c r="J22" s="96"/>
      <c r="K22" s="96"/>
      <c r="L22" s="96"/>
      <c r="M22" s="96"/>
      <c r="N22" s="72"/>
      <c r="O22" s="166"/>
      <c r="P22" s="278"/>
      <c r="Q22" s="272"/>
      <c r="R22" s="270"/>
    </row>
    <row r="23" spans="1:18" ht="18" customHeight="1">
      <c r="A23" s="275"/>
      <c r="B23" s="280"/>
      <c r="C23" s="86"/>
      <c r="D23" s="97"/>
      <c r="E23" s="153"/>
      <c r="F23" s="72"/>
      <c r="G23" s="154"/>
      <c r="H23" s="75" t="s">
        <v>44</v>
      </c>
      <c r="I23" s="74">
        <v>2.4807779999999995E-3</v>
      </c>
      <c r="J23" s="106"/>
      <c r="K23" s="106"/>
      <c r="L23" s="106"/>
      <c r="M23" s="106"/>
      <c r="N23" s="72"/>
      <c r="O23" s="166"/>
      <c r="P23" s="278"/>
      <c r="Q23" s="272"/>
      <c r="R23" s="270"/>
    </row>
    <row r="24" spans="1:18" ht="18" customHeight="1">
      <c r="A24" s="275"/>
      <c r="B24" s="280"/>
      <c r="C24" s="86"/>
      <c r="D24" s="97"/>
      <c r="E24" s="107"/>
      <c r="F24" s="72"/>
      <c r="G24" s="152"/>
      <c r="H24" s="75" t="s">
        <v>45</v>
      </c>
      <c r="I24" s="74">
        <v>4.9615559999999985E-4</v>
      </c>
      <c r="J24" s="96"/>
      <c r="K24" s="96"/>
      <c r="L24" s="96"/>
      <c r="M24" s="96"/>
      <c r="N24" s="72"/>
      <c r="O24" s="166"/>
      <c r="P24" s="278"/>
      <c r="Q24" s="272"/>
      <c r="R24" s="270"/>
    </row>
    <row r="25" spans="1:18" ht="18" customHeight="1">
      <c r="A25" s="275"/>
      <c r="B25" s="280"/>
      <c r="C25" s="86"/>
      <c r="D25" s="97"/>
      <c r="E25" s="72"/>
      <c r="F25" s="72"/>
      <c r="G25" s="152"/>
      <c r="H25" s="75" t="s">
        <v>30</v>
      </c>
      <c r="I25" s="74">
        <v>2.4807779999999995E-3</v>
      </c>
      <c r="J25" s="96"/>
      <c r="K25" s="96"/>
      <c r="L25" s="96"/>
      <c r="M25" s="96"/>
      <c r="N25" s="72"/>
      <c r="O25" s="166"/>
      <c r="P25" s="278"/>
      <c r="Q25" s="272"/>
      <c r="R25" s="270"/>
    </row>
    <row r="26" spans="1:18" ht="18" customHeight="1">
      <c r="A26" s="275"/>
      <c r="B26" s="99"/>
      <c r="C26" s="100" t="s">
        <v>31</v>
      </c>
      <c r="D26" s="100"/>
      <c r="E26" s="108">
        <v>1</v>
      </c>
      <c r="F26" s="100"/>
      <c r="G26" s="101">
        <v>4.9615559999999989E-2</v>
      </c>
      <c r="H26" s="100"/>
      <c r="I26" s="101">
        <v>5.0111715599999981E-2</v>
      </c>
      <c r="J26" s="100"/>
      <c r="K26" s="100"/>
      <c r="L26" s="100"/>
      <c r="M26" s="100"/>
      <c r="N26" s="110"/>
      <c r="O26" s="167">
        <v>0.82361829599999981</v>
      </c>
      <c r="P26" s="17"/>
      <c r="Q26" s="272"/>
    </row>
    <row r="27" spans="1:18" ht="18" customHeight="1">
      <c r="A27" s="275"/>
      <c r="B27" s="111" t="s">
        <v>46</v>
      </c>
      <c r="C27" s="168">
        <v>1.2447719999999999E-2</v>
      </c>
      <c r="D27" s="72" t="s">
        <v>46</v>
      </c>
      <c r="E27" s="169">
        <v>1</v>
      </c>
      <c r="F27" s="72" t="s">
        <v>19</v>
      </c>
      <c r="G27" s="74">
        <v>2.4895439999999998E-3</v>
      </c>
      <c r="H27" s="72" t="s">
        <v>20</v>
      </c>
      <c r="I27" s="74">
        <v>4.3567019999999996E-3</v>
      </c>
      <c r="J27" s="96">
        <v>3</v>
      </c>
      <c r="K27" s="72"/>
      <c r="L27" s="76">
        <v>2</v>
      </c>
      <c r="M27" s="77">
        <v>6</v>
      </c>
      <c r="N27" s="78">
        <v>3</v>
      </c>
      <c r="O27" s="162">
        <v>4.4811791999999996E-2</v>
      </c>
      <c r="P27" s="278" t="s">
        <v>47</v>
      </c>
      <c r="Q27" s="272"/>
    </row>
    <row r="28" spans="1:18" ht="18" customHeight="1">
      <c r="A28" s="275"/>
      <c r="B28" s="113"/>
      <c r="C28" s="113"/>
      <c r="D28" s="72"/>
      <c r="E28" s="72"/>
      <c r="F28" s="72" t="s">
        <v>23</v>
      </c>
      <c r="G28" s="74">
        <v>3.7343159999999997E-3</v>
      </c>
      <c r="H28" s="72" t="s">
        <v>24</v>
      </c>
      <c r="I28" s="74">
        <v>2.4895439999999998E-3</v>
      </c>
      <c r="J28" s="96">
        <v>3</v>
      </c>
      <c r="K28" s="72"/>
      <c r="L28" s="76">
        <v>2</v>
      </c>
      <c r="M28" s="77">
        <v>6</v>
      </c>
      <c r="N28" s="78">
        <v>3</v>
      </c>
      <c r="O28" s="162">
        <v>6.7217687999999984E-2</v>
      </c>
      <c r="P28" s="278"/>
      <c r="Q28" s="272"/>
    </row>
    <row r="29" spans="1:18" ht="18" customHeight="1">
      <c r="A29" s="275"/>
      <c r="B29" s="113"/>
      <c r="C29" s="113"/>
      <c r="D29" s="72"/>
      <c r="E29" s="72"/>
      <c r="F29" s="72" t="s">
        <v>25</v>
      </c>
      <c r="G29" s="74">
        <v>6.2238599999999995E-3</v>
      </c>
      <c r="H29" s="72" t="s">
        <v>28</v>
      </c>
      <c r="I29" s="74">
        <v>1.2447719999999999E-3</v>
      </c>
      <c r="J29" s="96">
        <v>3</v>
      </c>
      <c r="K29" s="72"/>
      <c r="L29" s="76">
        <v>2</v>
      </c>
      <c r="M29" s="77">
        <v>6</v>
      </c>
      <c r="N29" s="78">
        <v>2</v>
      </c>
      <c r="O29" s="162">
        <v>7.468632E-2</v>
      </c>
      <c r="P29" s="278"/>
      <c r="Q29" s="272"/>
    </row>
    <row r="30" spans="1:18" ht="18" customHeight="1">
      <c r="A30" s="275"/>
      <c r="B30" s="113"/>
      <c r="C30" s="113"/>
      <c r="D30" s="72"/>
      <c r="E30" s="72"/>
      <c r="F30" s="72"/>
      <c r="G30" s="72"/>
      <c r="H30" s="72" t="s">
        <v>29</v>
      </c>
      <c r="I30" s="74">
        <v>2.4895439999999998E-3</v>
      </c>
      <c r="J30" s="72"/>
      <c r="K30" s="72"/>
      <c r="L30" s="72"/>
      <c r="M30" s="72"/>
      <c r="N30" s="72"/>
      <c r="O30" s="166"/>
      <c r="P30" s="278"/>
      <c r="Q30" s="272"/>
    </row>
    <row r="31" spans="1:18" ht="18" customHeight="1">
      <c r="A31" s="275"/>
      <c r="B31" s="113"/>
      <c r="C31" s="113"/>
      <c r="D31" s="72"/>
      <c r="E31" s="72"/>
      <c r="F31" s="72"/>
      <c r="G31" s="72"/>
      <c r="H31" s="72" t="s">
        <v>48</v>
      </c>
      <c r="I31" s="74">
        <v>1.8671579999999998E-3</v>
      </c>
      <c r="J31" s="72"/>
      <c r="K31" s="72"/>
      <c r="L31" s="72"/>
      <c r="M31" s="72"/>
      <c r="N31" s="72"/>
      <c r="O31" s="166"/>
      <c r="P31" s="278"/>
      <c r="Q31" s="272"/>
    </row>
    <row r="32" spans="1:18" ht="18" customHeight="1">
      <c r="A32" s="275"/>
      <c r="B32" s="113"/>
      <c r="C32" s="113"/>
      <c r="D32" s="72"/>
      <c r="E32" s="72"/>
      <c r="F32" s="72"/>
      <c r="G32" s="72"/>
      <c r="H32" s="72"/>
      <c r="I32" s="72"/>
      <c r="J32" s="72"/>
      <c r="K32" s="72"/>
      <c r="L32" s="72"/>
      <c r="M32" s="72"/>
      <c r="N32" s="72"/>
      <c r="O32" s="166"/>
      <c r="P32" s="278"/>
      <c r="Q32" s="272"/>
    </row>
    <row r="33" spans="1:17" ht="18" customHeight="1">
      <c r="A33" s="276"/>
      <c r="B33" s="170"/>
      <c r="C33" s="171" t="s">
        <v>31</v>
      </c>
      <c r="D33" s="171"/>
      <c r="E33" s="172">
        <v>1</v>
      </c>
      <c r="F33" s="171"/>
      <c r="G33" s="173">
        <v>1.2447719999999999E-2</v>
      </c>
      <c r="H33" s="171"/>
      <c r="I33" s="173">
        <v>1.2447719999999999E-2</v>
      </c>
      <c r="J33" s="171"/>
      <c r="K33" s="171"/>
      <c r="L33" s="171"/>
      <c r="M33" s="171"/>
      <c r="N33" s="174"/>
      <c r="O33" s="175">
        <v>0.14190400799999997</v>
      </c>
      <c r="P33" s="16"/>
      <c r="Q33" s="273"/>
    </row>
    <row r="34" spans="1:17">
      <c r="A34" s="2"/>
    </row>
    <row r="35" spans="1:17">
      <c r="A35" s="2"/>
    </row>
    <row r="36" spans="1:17">
      <c r="A36" s="2"/>
    </row>
    <row r="37" spans="1:17">
      <c r="A37" s="2"/>
    </row>
    <row r="38" spans="1:17">
      <c r="A38" s="2"/>
    </row>
    <row r="39" spans="1:17">
      <c r="A39" s="2"/>
    </row>
    <row r="40" spans="1:17">
      <c r="A40" s="2"/>
    </row>
    <row r="41" spans="1:17">
      <c r="A41" s="2"/>
    </row>
    <row r="42" spans="1:17">
      <c r="A42" s="2"/>
    </row>
    <row r="43" spans="1:17">
      <c r="A43" s="2"/>
    </row>
    <row r="44" spans="1:17">
      <c r="A44" s="2"/>
    </row>
    <row r="45" spans="1:17">
      <c r="A45" s="2"/>
    </row>
    <row r="46" spans="1:17">
      <c r="A46" s="2"/>
    </row>
    <row r="47" spans="1:17">
      <c r="A47" s="2"/>
    </row>
    <row r="48" spans="1:17">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sheetData>
  <mergeCells count="8">
    <mergeCell ref="Q2:Q33"/>
    <mergeCell ref="A2:A33"/>
    <mergeCell ref="P2:P9"/>
    <mergeCell ref="P11:P16"/>
    <mergeCell ref="B18:B25"/>
    <mergeCell ref="P18:P25"/>
    <mergeCell ref="P27:P32"/>
    <mergeCell ref="B11:B12"/>
  </mergeCells>
  <conditionalFormatting sqref="M2:M4">
    <cfRule type="cellIs" dxfId="231" priority="93" operator="between">
      <formula>6</formula>
      <formula>12</formula>
    </cfRule>
    <cfRule type="cellIs" dxfId="230" priority="94" operator="greaterThan">
      <formula>12</formula>
    </cfRule>
    <cfRule type="cellIs" dxfId="229" priority="95" operator="lessThan">
      <formula>6</formula>
    </cfRule>
  </conditionalFormatting>
  <conditionalFormatting sqref="AB11 AG8 AB3:AB7">
    <cfRule type="cellIs" dxfId="228" priority="85" operator="greaterThan">
      <formula>12</formula>
    </cfRule>
  </conditionalFormatting>
  <conditionalFormatting sqref="G5:G9">
    <cfRule type="dataBar" priority="209">
      <dataBar>
        <cfvo type="min"/>
        <cfvo type="max"/>
        <color rgb="FF638EC6"/>
      </dataBar>
      <extLst>
        <ext xmlns:x14="http://schemas.microsoft.com/office/spreadsheetml/2009/9/main" uri="{B025F937-C7B1-47D3-B67F-A62EFF666E3E}">
          <x14:id>{AFA0F82F-3F9B-49AE-B942-58FB7CFB544B}</x14:id>
        </ext>
      </extLst>
    </cfRule>
  </conditionalFormatting>
  <conditionalFormatting sqref="I9">
    <cfRule type="dataBar" priority="210">
      <dataBar>
        <cfvo type="min"/>
        <cfvo type="max"/>
        <color rgb="FF638EC6"/>
      </dataBar>
      <extLst>
        <ext xmlns:x14="http://schemas.microsoft.com/office/spreadsheetml/2009/9/main" uri="{B025F937-C7B1-47D3-B67F-A62EFF666E3E}">
          <x14:id>{F9E4E01F-A5FE-46E7-B9FB-027A931E7ECC}</x14:id>
        </ext>
      </extLst>
    </cfRule>
  </conditionalFormatting>
  <conditionalFormatting sqref="E2:E9">
    <cfRule type="dataBar" priority="211">
      <dataBar>
        <cfvo type="min"/>
        <cfvo type="max"/>
        <color rgb="FF638EC6"/>
      </dataBar>
      <extLst>
        <ext xmlns:x14="http://schemas.microsoft.com/office/spreadsheetml/2009/9/main" uri="{B025F937-C7B1-47D3-B67F-A62EFF666E3E}">
          <x14:id>{F2DA8E1F-630F-4DD5-AE8B-7AC549D19DEF}</x14:id>
        </ext>
      </extLst>
    </cfRule>
    <cfRule type="dataBar" priority="212">
      <dataBar>
        <cfvo type="min"/>
        <cfvo type="max"/>
        <color rgb="FF63C384"/>
      </dataBar>
      <extLst>
        <ext xmlns:x14="http://schemas.microsoft.com/office/spreadsheetml/2009/9/main" uri="{B025F937-C7B1-47D3-B67F-A62EFF666E3E}">
          <x14:id>{2614881E-5121-443B-87A3-334278AF5E6F}</x14:id>
        </ext>
      </extLst>
    </cfRule>
  </conditionalFormatting>
  <conditionalFormatting sqref="M2:M4">
    <cfRule type="cellIs" dxfId="227" priority="218" operator="greaterThan">
      <formula>#REF!</formula>
    </cfRule>
    <cfRule type="cellIs" dxfId="226" priority="219" operator="between">
      <formula>#REF!</formula>
      <formula>#REF!</formula>
    </cfRule>
    <cfRule type="cellIs" dxfId="225" priority="220" operator="lessThan">
      <formula>#REF!</formula>
    </cfRule>
    <cfRule type="cellIs" dxfId="224" priority="221" operator="greaterThan">
      <formula>#REF!</formula>
    </cfRule>
  </conditionalFormatting>
  <conditionalFormatting sqref="I2:I8">
    <cfRule type="dataBar" priority="73">
      <dataBar>
        <cfvo type="min"/>
        <cfvo type="max"/>
        <color rgb="FF63C384"/>
      </dataBar>
      <extLst>
        <ext xmlns:x14="http://schemas.microsoft.com/office/spreadsheetml/2009/9/main" uri="{B025F937-C7B1-47D3-B67F-A62EFF666E3E}">
          <x14:id>{D9967794-6925-4A87-9A87-507D3F80BD0C}</x14:id>
        </ext>
      </extLst>
    </cfRule>
  </conditionalFormatting>
  <conditionalFormatting sqref="E2">
    <cfRule type="dataBar" priority="72">
      <dataBar>
        <cfvo type="min"/>
        <cfvo type="max"/>
        <color rgb="FF63C384"/>
      </dataBar>
      <extLst>
        <ext xmlns:x14="http://schemas.microsoft.com/office/spreadsheetml/2009/9/main" uri="{B025F937-C7B1-47D3-B67F-A62EFF666E3E}">
          <x14:id>{F31A008C-6ED6-4D53-BC1C-DCE06EF76D15}</x14:id>
        </ext>
      </extLst>
    </cfRule>
  </conditionalFormatting>
  <conditionalFormatting sqref="E11">
    <cfRule type="dataBar" priority="71">
      <dataBar>
        <cfvo type="min"/>
        <cfvo type="max"/>
        <color rgb="FF63C384"/>
      </dataBar>
      <extLst>
        <ext xmlns:x14="http://schemas.microsoft.com/office/spreadsheetml/2009/9/main" uri="{B025F937-C7B1-47D3-B67F-A62EFF666E3E}">
          <x14:id>{3E70018A-E300-4D9B-96BB-F613F921F7CA}</x14:id>
        </ext>
      </extLst>
    </cfRule>
  </conditionalFormatting>
  <conditionalFormatting sqref="G2:G4">
    <cfRule type="dataBar" priority="70">
      <dataBar>
        <cfvo type="min"/>
        <cfvo type="max"/>
        <color rgb="FF63C384"/>
      </dataBar>
      <extLst>
        <ext xmlns:x14="http://schemas.microsoft.com/office/spreadsheetml/2009/9/main" uri="{B025F937-C7B1-47D3-B67F-A62EFF666E3E}">
          <x14:id>{5F367989-FC05-4950-8956-8804D1B9F3ED}</x14:id>
        </ext>
      </extLst>
    </cfRule>
  </conditionalFormatting>
  <conditionalFormatting sqref="G11:G13">
    <cfRule type="dataBar" priority="69">
      <dataBar>
        <cfvo type="min"/>
        <cfvo type="max"/>
        <color rgb="FF63C384"/>
      </dataBar>
      <extLst>
        <ext xmlns:x14="http://schemas.microsoft.com/office/spreadsheetml/2009/9/main" uri="{B025F937-C7B1-47D3-B67F-A62EFF666E3E}">
          <x14:id>{E0E91B05-AD3E-4860-B923-4FFB909A68EA}</x14:id>
        </ext>
      </extLst>
    </cfRule>
  </conditionalFormatting>
  <conditionalFormatting sqref="I11:I15">
    <cfRule type="dataBar" priority="68">
      <dataBar>
        <cfvo type="min"/>
        <cfvo type="max"/>
        <color rgb="FF63C384"/>
      </dataBar>
      <extLst>
        <ext xmlns:x14="http://schemas.microsoft.com/office/spreadsheetml/2009/9/main" uri="{B025F937-C7B1-47D3-B67F-A62EFF666E3E}">
          <x14:id>{8F72860A-3CFC-4AD7-A6C6-C464D0CFCF05}</x14:id>
        </ext>
      </extLst>
    </cfRule>
  </conditionalFormatting>
  <conditionalFormatting sqref="M11:M13">
    <cfRule type="cellIs" dxfId="223" priority="54" operator="between">
      <formula>6</formula>
      <formula>12</formula>
    </cfRule>
    <cfRule type="cellIs" dxfId="222" priority="55" operator="greaterThan">
      <formula>12</formula>
    </cfRule>
    <cfRule type="cellIs" dxfId="221" priority="56" operator="lessThan">
      <formula>6</formula>
    </cfRule>
  </conditionalFormatting>
  <conditionalFormatting sqref="M11:M13">
    <cfRule type="cellIs" dxfId="220" priority="57" operator="greaterThan">
      <formula>#REF!</formula>
    </cfRule>
    <cfRule type="cellIs" dxfId="219" priority="58" operator="between">
      <formula>#REF!</formula>
      <formula>#REF!</formula>
    </cfRule>
    <cfRule type="cellIs" dxfId="218" priority="59" operator="lessThan">
      <formula>#REF!</formula>
    </cfRule>
    <cfRule type="cellIs" dxfId="217" priority="60" operator="greaterThan">
      <formula>#REF!</formula>
    </cfRule>
  </conditionalFormatting>
  <conditionalFormatting sqref="O2:O9">
    <cfRule type="dataBar" priority="222">
      <dataBar>
        <cfvo type="min"/>
        <cfvo type="max"/>
        <color rgb="FFD6007B"/>
      </dataBar>
      <extLst>
        <ext xmlns:x14="http://schemas.microsoft.com/office/spreadsheetml/2009/9/main" uri="{B025F937-C7B1-47D3-B67F-A62EFF666E3E}">
          <x14:id>{8B5730F9-14FA-4ABA-963C-A0BCB431FF28}</x14:id>
        </ext>
      </extLst>
    </cfRule>
  </conditionalFormatting>
  <conditionalFormatting sqref="O10 O17">
    <cfRule type="dataBar" priority="224">
      <dataBar>
        <cfvo type="min"/>
        <cfvo type="max"/>
        <color rgb="FFFFB628"/>
      </dataBar>
      <extLst>
        <ext xmlns:x14="http://schemas.microsoft.com/office/spreadsheetml/2009/9/main" uri="{B025F937-C7B1-47D3-B67F-A62EFF666E3E}">
          <x14:id>{15AB5F9D-7E94-430A-87D7-FFF724134954}</x14:id>
        </ext>
      </extLst>
    </cfRule>
  </conditionalFormatting>
  <conditionalFormatting sqref="O11:O13">
    <cfRule type="dataBar" priority="226">
      <dataBar>
        <cfvo type="min"/>
        <cfvo type="max"/>
        <color rgb="FF00B0F0"/>
      </dataBar>
      <extLst>
        <ext xmlns:x14="http://schemas.microsoft.com/office/spreadsheetml/2009/9/main" uri="{B025F937-C7B1-47D3-B67F-A62EFF666E3E}">
          <x14:id>{50C8CA42-94BC-43CD-BAC6-D229DF3040BA}</x14:id>
        </ext>
      </extLst>
    </cfRule>
  </conditionalFormatting>
  <conditionalFormatting sqref="O2:O4">
    <cfRule type="dataBar" priority="4">
      <dataBar>
        <cfvo type="min"/>
        <cfvo type="max"/>
        <color rgb="FF00B0F0"/>
      </dataBar>
      <extLst>
        <ext xmlns:x14="http://schemas.microsoft.com/office/spreadsheetml/2009/9/main" uri="{B025F937-C7B1-47D3-B67F-A62EFF666E3E}">
          <x14:id>{329AE979-5617-4FC4-A59D-F05CB21A1FE0}</x14:id>
        </ext>
      </extLst>
    </cfRule>
    <cfRule type="dataBar" priority="227">
      <dataBar>
        <cfvo type="min"/>
        <cfvo type="max"/>
        <color rgb="FF00B0F0"/>
      </dataBar>
      <extLst>
        <ext xmlns:x14="http://schemas.microsoft.com/office/spreadsheetml/2009/9/main" uri="{B025F937-C7B1-47D3-B67F-A62EFF666E3E}">
          <x14:id>{F77B8327-09F9-4940-878A-F8871D197687}</x14:id>
        </ext>
      </extLst>
    </cfRule>
  </conditionalFormatting>
  <conditionalFormatting sqref="E18:E20 F18:I18 F19:G20 H19:I25">
    <cfRule type="dataBar" priority="40">
      <dataBar>
        <cfvo type="min"/>
        <cfvo type="max"/>
        <color rgb="FF63C384"/>
      </dataBar>
      <extLst>
        <ext xmlns:x14="http://schemas.microsoft.com/office/spreadsheetml/2009/9/main" uri="{B025F937-C7B1-47D3-B67F-A62EFF666E3E}">
          <x14:id>{968B030E-9244-459E-92EA-5A17408DB6C2}</x14:id>
        </ext>
      </extLst>
    </cfRule>
  </conditionalFormatting>
  <conditionalFormatting sqref="M18:M20">
    <cfRule type="cellIs" dxfId="216" priority="33" operator="between">
      <formula>6</formula>
      <formula>12</formula>
    </cfRule>
    <cfRule type="cellIs" dxfId="215" priority="34" operator="greaterThan">
      <formula>12</formula>
    </cfRule>
    <cfRule type="cellIs" dxfId="214" priority="35" operator="lessThan">
      <formula>6</formula>
    </cfRule>
  </conditionalFormatting>
  <conditionalFormatting sqref="M18:M20">
    <cfRule type="cellIs" dxfId="213" priority="36" operator="greaterThan">
      <formula>#REF!</formula>
    </cfRule>
    <cfRule type="cellIs" dxfId="212" priority="37" operator="between">
      <formula>#REF!</formula>
      <formula>#REF!</formula>
    </cfRule>
    <cfRule type="cellIs" dxfId="211" priority="38" operator="lessThan">
      <formula>#REF!</formula>
    </cfRule>
    <cfRule type="cellIs" dxfId="210" priority="39" operator="greaterThan">
      <formula>#REF!</formula>
    </cfRule>
  </conditionalFormatting>
  <conditionalFormatting sqref="O18:O20">
    <cfRule type="dataBar" priority="32">
      <dataBar>
        <cfvo type="min"/>
        <cfvo type="max"/>
        <color rgb="FF00B0F0"/>
      </dataBar>
      <extLst>
        <ext xmlns:x14="http://schemas.microsoft.com/office/spreadsheetml/2009/9/main" uri="{B025F937-C7B1-47D3-B67F-A62EFF666E3E}">
          <x14:id>{BF0DD463-C3D2-4F2C-ABD7-23D4D62CE2B7}</x14:id>
        </ext>
      </extLst>
    </cfRule>
  </conditionalFormatting>
  <conditionalFormatting sqref="M26">
    <cfRule type="dataBar" priority="29">
      <dataBar>
        <cfvo type="min"/>
        <cfvo type="max"/>
        <color theme="1" tint="0.499984740745262"/>
      </dataBar>
      <extLst>
        <ext xmlns:x14="http://schemas.microsoft.com/office/spreadsheetml/2009/9/main" uri="{B025F937-C7B1-47D3-B67F-A62EFF666E3E}">
          <x14:id>{B4639DC9-23BA-4E01-BDC8-F613A8E1B678}</x14:id>
        </ext>
      </extLst>
    </cfRule>
    <cfRule type="dataBar" priority="30">
      <dataBar>
        <cfvo type="min"/>
        <cfvo type="max"/>
        <color theme="0" tint="-0.14999847407452621"/>
      </dataBar>
      <extLst>
        <ext xmlns:x14="http://schemas.microsoft.com/office/spreadsheetml/2009/9/main" uri="{B025F937-C7B1-47D3-B67F-A62EFF666E3E}">
          <x14:id>{3505A74C-EF98-41B3-82F2-5543E75D9DA3}</x14:id>
        </ext>
      </extLst>
    </cfRule>
    <cfRule type="dataBar" priority="31">
      <dataBar>
        <cfvo type="min"/>
        <cfvo type="max"/>
        <color theme="2" tint="-0.499984740745262"/>
      </dataBar>
      <extLst>
        <ext xmlns:x14="http://schemas.microsoft.com/office/spreadsheetml/2009/9/main" uri="{B025F937-C7B1-47D3-B67F-A62EFF666E3E}">
          <x14:id>{7AFD6C9C-637D-4D9A-BEB6-EBAF2F4544E9}</x14:id>
        </ext>
      </extLst>
    </cfRule>
  </conditionalFormatting>
  <conditionalFormatting sqref="O26">
    <cfRule type="dataBar" priority="26">
      <dataBar>
        <cfvo type="min"/>
        <cfvo type="max"/>
        <color theme="1" tint="0.499984740745262"/>
      </dataBar>
      <extLst>
        <ext xmlns:x14="http://schemas.microsoft.com/office/spreadsheetml/2009/9/main" uri="{B025F937-C7B1-47D3-B67F-A62EFF666E3E}">
          <x14:id>{659BBABB-3293-44B7-A346-4BF2634AB24A}</x14:id>
        </ext>
      </extLst>
    </cfRule>
    <cfRule type="dataBar" priority="27">
      <dataBar>
        <cfvo type="min"/>
        <cfvo type="max"/>
        <color theme="0" tint="-0.14999847407452621"/>
      </dataBar>
      <extLst>
        <ext xmlns:x14="http://schemas.microsoft.com/office/spreadsheetml/2009/9/main" uri="{B025F937-C7B1-47D3-B67F-A62EFF666E3E}">
          <x14:id>{EDF3B0CE-310B-4AE6-8FC5-EEBC4A72E5F8}</x14:id>
        </ext>
      </extLst>
    </cfRule>
    <cfRule type="dataBar" priority="28">
      <dataBar>
        <cfvo type="min"/>
        <cfvo type="max"/>
        <color theme="2" tint="-0.499984740745262"/>
      </dataBar>
      <extLst>
        <ext xmlns:x14="http://schemas.microsoft.com/office/spreadsheetml/2009/9/main" uri="{B025F937-C7B1-47D3-B67F-A62EFF666E3E}">
          <x14:id>{29D827D3-12CA-4140-9F3F-7144B70C6F22}</x14:id>
        </ext>
      </extLst>
    </cfRule>
  </conditionalFormatting>
  <conditionalFormatting sqref="G18:G20">
    <cfRule type="dataBar" priority="25">
      <dataBar>
        <cfvo type="min"/>
        <cfvo type="max"/>
        <color rgb="FF63C384"/>
      </dataBar>
      <extLst>
        <ext xmlns:x14="http://schemas.microsoft.com/office/spreadsheetml/2009/9/main" uri="{B025F937-C7B1-47D3-B67F-A62EFF666E3E}">
          <x14:id>{92F7AB13-4AD5-47F7-BA7B-324C3DA251D7}</x14:id>
        </ext>
      </extLst>
    </cfRule>
  </conditionalFormatting>
  <conditionalFormatting sqref="I18:I25">
    <cfRule type="dataBar" priority="24">
      <dataBar>
        <cfvo type="min"/>
        <cfvo type="max"/>
        <color rgb="FF63C384"/>
      </dataBar>
      <extLst>
        <ext xmlns:x14="http://schemas.microsoft.com/office/spreadsheetml/2009/9/main" uri="{B025F937-C7B1-47D3-B67F-A62EFF666E3E}">
          <x14:id>{9E67E27D-1995-4E84-9949-4F7BEBE5D0CD}</x14:id>
        </ext>
      </extLst>
    </cfRule>
  </conditionalFormatting>
  <conditionalFormatting sqref="O10 O17">
    <cfRule type="dataBar" priority="234">
      <dataBar>
        <cfvo type="min"/>
        <cfvo type="max"/>
        <color theme="1" tint="0.499984740745262"/>
      </dataBar>
      <extLst>
        <ext xmlns:x14="http://schemas.microsoft.com/office/spreadsheetml/2009/9/main" uri="{B025F937-C7B1-47D3-B67F-A62EFF666E3E}">
          <x14:id>{FDE520E0-B702-478D-8F02-3B95E146BB23}</x14:id>
        </ext>
      </extLst>
    </cfRule>
    <cfRule type="dataBar" priority="235">
      <dataBar>
        <cfvo type="min"/>
        <cfvo type="max"/>
        <color theme="0" tint="-0.14999847407452621"/>
      </dataBar>
      <extLst>
        <ext xmlns:x14="http://schemas.microsoft.com/office/spreadsheetml/2009/9/main" uri="{B025F937-C7B1-47D3-B67F-A62EFF666E3E}">
          <x14:id>{CE68259B-665C-4731-A433-387888FA0A9D}</x14:id>
        </ext>
      </extLst>
    </cfRule>
    <cfRule type="dataBar" priority="236">
      <dataBar>
        <cfvo type="min"/>
        <cfvo type="max"/>
        <color theme="2" tint="-0.499984740745262"/>
      </dataBar>
      <extLst>
        <ext xmlns:x14="http://schemas.microsoft.com/office/spreadsheetml/2009/9/main" uri="{B025F937-C7B1-47D3-B67F-A62EFF666E3E}">
          <x14:id>{D440E901-B71F-4718-A516-D132D2F1CBEE}</x14:id>
        </ext>
      </extLst>
    </cfRule>
  </conditionalFormatting>
  <conditionalFormatting sqref="M33">
    <cfRule type="dataBar" priority="20">
      <dataBar>
        <cfvo type="min"/>
        <cfvo type="max"/>
        <color theme="1" tint="0.499984740745262"/>
      </dataBar>
      <extLst>
        <ext xmlns:x14="http://schemas.microsoft.com/office/spreadsheetml/2009/9/main" uri="{B025F937-C7B1-47D3-B67F-A62EFF666E3E}">
          <x14:id>{FB2313FE-664E-4D47-91E2-0127045212E1}</x14:id>
        </ext>
      </extLst>
    </cfRule>
    <cfRule type="dataBar" priority="21">
      <dataBar>
        <cfvo type="min"/>
        <cfvo type="max"/>
        <color theme="0" tint="-0.14999847407452621"/>
      </dataBar>
      <extLst>
        <ext xmlns:x14="http://schemas.microsoft.com/office/spreadsheetml/2009/9/main" uri="{B025F937-C7B1-47D3-B67F-A62EFF666E3E}">
          <x14:id>{81F73AF3-C901-411B-AE9E-68547EA66B2F}</x14:id>
        </ext>
      </extLst>
    </cfRule>
    <cfRule type="dataBar" priority="22">
      <dataBar>
        <cfvo type="min"/>
        <cfvo type="max"/>
        <color theme="2" tint="-0.499984740745262"/>
      </dataBar>
      <extLst>
        <ext xmlns:x14="http://schemas.microsoft.com/office/spreadsheetml/2009/9/main" uri="{B025F937-C7B1-47D3-B67F-A62EFF666E3E}">
          <x14:id>{BA45FBF7-7429-40E2-ABE6-07EB6E7D0256}</x14:id>
        </ext>
      </extLst>
    </cfRule>
  </conditionalFormatting>
  <conditionalFormatting sqref="O33">
    <cfRule type="dataBar" priority="17">
      <dataBar>
        <cfvo type="min"/>
        <cfvo type="max"/>
        <color theme="1" tint="0.499984740745262"/>
      </dataBar>
      <extLst>
        <ext xmlns:x14="http://schemas.microsoft.com/office/spreadsheetml/2009/9/main" uri="{B025F937-C7B1-47D3-B67F-A62EFF666E3E}">
          <x14:id>{778B8A7A-D2B8-46FC-8F37-C6350D99B1C5}</x14:id>
        </ext>
      </extLst>
    </cfRule>
    <cfRule type="dataBar" priority="18">
      <dataBar>
        <cfvo type="min"/>
        <cfvo type="max"/>
        <color theme="0" tint="-0.14999847407452621"/>
      </dataBar>
      <extLst>
        <ext xmlns:x14="http://schemas.microsoft.com/office/spreadsheetml/2009/9/main" uri="{B025F937-C7B1-47D3-B67F-A62EFF666E3E}">
          <x14:id>{FA430460-4768-4D69-93C9-3EB167F141D0}</x14:id>
        </ext>
      </extLst>
    </cfRule>
    <cfRule type="dataBar" priority="19">
      <dataBar>
        <cfvo type="min"/>
        <cfvo type="max"/>
        <color theme="2" tint="-0.499984740745262"/>
      </dataBar>
      <extLst>
        <ext xmlns:x14="http://schemas.microsoft.com/office/spreadsheetml/2009/9/main" uri="{B025F937-C7B1-47D3-B67F-A62EFF666E3E}">
          <x14:id>{6883D783-3E0A-4454-ACAC-272AF01F4C91}</x14:id>
        </ext>
      </extLst>
    </cfRule>
  </conditionalFormatting>
  <conditionalFormatting sqref="M27:M29">
    <cfRule type="cellIs" dxfId="209" priority="10" operator="between">
      <formula>6</formula>
      <formula>12</formula>
    </cfRule>
    <cfRule type="cellIs" dxfId="208" priority="11" operator="greaterThan">
      <formula>12</formula>
    </cfRule>
    <cfRule type="cellIs" dxfId="207" priority="12" operator="lessThan">
      <formula>6</formula>
    </cfRule>
  </conditionalFormatting>
  <conditionalFormatting sqref="M27:M29">
    <cfRule type="cellIs" dxfId="206" priority="13" operator="greaterThan">
      <formula>#REF!</formula>
    </cfRule>
    <cfRule type="cellIs" dxfId="205" priority="14" operator="between">
      <formula>#REF!</formula>
      <formula>#REF!</formula>
    </cfRule>
    <cfRule type="cellIs" dxfId="204" priority="15" operator="lessThan">
      <formula>#REF!</formula>
    </cfRule>
    <cfRule type="cellIs" dxfId="203" priority="16" operator="greaterThan">
      <formula>#REF!</formula>
    </cfRule>
  </conditionalFormatting>
  <conditionalFormatting sqref="O27:O29">
    <cfRule type="dataBar" priority="9">
      <dataBar>
        <cfvo type="min"/>
        <cfvo type="max"/>
        <color rgb="FF00B0F0"/>
      </dataBar>
      <extLst>
        <ext xmlns:x14="http://schemas.microsoft.com/office/spreadsheetml/2009/9/main" uri="{B025F937-C7B1-47D3-B67F-A62EFF666E3E}">
          <x14:id>{9B34660E-4593-48D7-B0C9-D9BBBB87A21F}</x14:id>
        </ext>
      </extLst>
    </cfRule>
  </conditionalFormatting>
  <conditionalFormatting sqref="I27:I31">
    <cfRule type="dataBar" priority="8">
      <dataBar>
        <cfvo type="min"/>
        <cfvo type="max"/>
        <color rgb="FF63C384"/>
      </dataBar>
      <extLst>
        <ext xmlns:x14="http://schemas.microsoft.com/office/spreadsheetml/2009/9/main" uri="{B025F937-C7B1-47D3-B67F-A62EFF666E3E}">
          <x14:id>{4F68B224-25D3-447B-871A-DC6A65902FCD}</x14:id>
        </ext>
      </extLst>
    </cfRule>
  </conditionalFormatting>
  <conditionalFormatting sqref="G27:G29">
    <cfRule type="dataBar" priority="7">
      <dataBar>
        <cfvo type="min"/>
        <cfvo type="max"/>
        <color rgb="FF63C384"/>
      </dataBar>
      <extLst>
        <ext xmlns:x14="http://schemas.microsoft.com/office/spreadsheetml/2009/9/main" uri="{B025F937-C7B1-47D3-B67F-A62EFF666E3E}">
          <x14:id>{DA3E1FEA-2505-4B6A-A74E-26FB24FA20DC}</x14:id>
        </ext>
      </extLst>
    </cfRule>
  </conditionalFormatting>
  <conditionalFormatting sqref="E27">
    <cfRule type="dataBar" priority="6">
      <dataBar>
        <cfvo type="min"/>
        <cfvo type="max"/>
        <color rgb="FF63C384"/>
      </dataBar>
      <extLst>
        <ext xmlns:x14="http://schemas.microsoft.com/office/spreadsheetml/2009/9/main" uri="{B025F937-C7B1-47D3-B67F-A62EFF666E3E}">
          <x14:id>{DD089ADF-EB60-4639-876A-18E05331B2DF}</x14:id>
        </ext>
      </extLst>
    </cfRule>
  </conditionalFormatting>
  <conditionalFormatting sqref="O10 O17 O26 O33">
    <cfRule type="dataBar" priority="5">
      <dataBar>
        <cfvo type="min"/>
        <cfvo type="max"/>
        <color theme="0" tint="-0.499984740745262"/>
      </dataBar>
      <extLst>
        <ext xmlns:x14="http://schemas.microsoft.com/office/spreadsheetml/2009/9/main" uri="{B025F937-C7B1-47D3-B67F-A62EFF666E3E}">
          <x14:id>{D8AEE5BC-66FB-45C5-A622-75E21542BF87}</x14:id>
        </ext>
      </extLst>
    </cfRule>
  </conditionalFormatting>
  <conditionalFormatting sqref="O10 O17 O26">
    <cfRule type="dataBar" priority="3">
      <dataBar>
        <cfvo type="min"/>
        <cfvo type="max"/>
        <color theme="2" tint="-0.499984740745262"/>
      </dataBar>
      <extLst>
        <ext xmlns:x14="http://schemas.microsoft.com/office/spreadsheetml/2009/9/main" uri="{B025F937-C7B1-47D3-B67F-A62EFF666E3E}">
          <x14:id>{63A4755D-405E-463B-A58F-57E5467C1C0A}</x14:id>
        </ext>
      </extLst>
    </cfRule>
  </conditionalFormatting>
  <conditionalFormatting sqref="Z2:Z5">
    <cfRule type="dataBar" priority="2">
      <dataBar>
        <cfvo type="min"/>
        <cfvo type="max"/>
        <color rgb="FFFFFF00"/>
      </dataBar>
      <extLst>
        <ext xmlns:x14="http://schemas.microsoft.com/office/spreadsheetml/2009/9/main" uri="{B025F937-C7B1-47D3-B67F-A62EFF666E3E}">
          <x14:id>{13469F0C-458E-4537-BDE5-1B7BD8BECEDA}</x14:id>
        </ext>
      </extLst>
    </cfRule>
  </conditionalFormatting>
  <conditionalFormatting sqref="U2:U5">
    <cfRule type="dataBar" priority="1">
      <dataBar>
        <cfvo type="min"/>
        <cfvo type="max"/>
        <color rgb="FFFFFF00"/>
      </dataBar>
      <extLst>
        <ext xmlns:x14="http://schemas.microsoft.com/office/spreadsheetml/2009/9/main" uri="{B025F937-C7B1-47D3-B67F-A62EFF666E3E}">
          <x14:id>{3E64EE5F-576F-4BEA-B2BB-873281AC6C3D}</x14:id>
        </ext>
      </extLst>
    </cfRule>
  </conditionalFormatting>
  <dataValidations disablePrompts="1" count="1">
    <dataValidation type="list" allowBlank="1" showInputMessage="1" showErrorMessage="1" sqref="J24:L26 J2:L9 J14:L16 J18:L22 J33:L33" xr:uid="{76B30EE0-9939-4846-8D11-9EEA2D5B9189}">
      <formula1>"1, 2, 3, 4, 5"</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FA0F82F-3F9B-49AE-B942-58FB7CFB544B}">
            <x14:dataBar minLength="0" maxLength="100" gradient="0">
              <x14:cfvo type="autoMin"/>
              <x14:cfvo type="autoMax"/>
              <x14:negativeFillColor rgb="FFFF0000"/>
              <x14:axisColor rgb="FF000000"/>
            </x14:dataBar>
          </x14:cfRule>
          <xm:sqref>G5:G9</xm:sqref>
        </x14:conditionalFormatting>
        <x14:conditionalFormatting xmlns:xm="http://schemas.microsoft.com/office/excel/2006/main">
          <x14:cfRule type="dataBar" id="{F9E4E01F-A5FE-46E7-B9FB-027A931E7ECC}">
            <x14:dataBar minLength="0" maxLength="100" gradient="0">
              <x14:cfvo type="autoMin"/>
              <x14:cfvo type="autoMax"/>
              <x14:negativeFillColor rgb="FFFF0000"/>
              <x14:axisColor rgb="FF000000"/>
            </x14:dataBar>
          </x14:cfRule>
          <xm:sqref>I9</xm:sqref>
        </x14:conditionalFormatting>
        <x14:conditionalFormatting xmlns:xm="http://schemas.microsoft.com/office/excel/2006/main">
          <x14:cfRule type="dataBar" id="{F2DA8E1F-630F-4DD5-AE8B-7AC549D19DEF}">
            <x14:dataBar minLength="0" maxLength="100" gradient="0">
              <x14:cfvo type="autoMin"/>
              <x14:cfvo type="autoMax"/>
              <x14:negativeFillColor rgb="FFFF0000"/>
              <x14:axisColor rgb="FF000000"/>
            </x14:dataBar>
          </x14:cfRule>
          <x14:cfRule type="dataBar" id="{2614881E-5121-443B-87A3-334278AF5E6F}">
            <x14:dataBar minLength="0" maxLength="100" border="1" negativeBarBorderColorSameAsPositive="0">
              <x14:cfvo type="autoMin"/>
              <x14:cfvo type="autoMax"/>
              <x14:borderColor rgb="FF63C384"/>
              <x14:negativeFillColor rgb="FFFF0000"/>
              <x14:negativeBorderColor rgb="FFFF0000"/>
              <x14:axisColor rgb="FF000000"/>
            </x14:dataBar>
          </x14:cfRule>
          <xm:sqref>E2:E9</xm:sqref>
        </x14:conditionalFormatting>
        <x14:conditionalFormatting xmlns:xm="http://schemas.microsoft.com/office/excel/2006/main">
          <x14:cfRule type="dataBar" id="{D9967794-6925-4A87-9A87-507D3F80BD0C}">
            <x14:dataBar minLength="0" maxLength="100" gradient="0">
              <x14:cfvo type="autoMin"/>
              <x14:cfvo type="autoMax"/>
              <x14:negativeFillColor rgb="FFFF0000"/>
              <x14:axisColor rgb="FF000000"/>
            </x14:dataBar>
          </x14:cfRule>
          <xm:sqref>I2:I8</xm:sqref>
        </x14:conditionalFormatting>
        <x14:conditionalFormatting xmlns:xm="http://schemas.microsoft.com/office/excel/2006/main">
          <x14:cfRule type="dataBar" id="{F31A008C-6ED6-4D53-BC1C-DCE06EF76D15}">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3E70018A-E300-4D9B-96BB-F613F921F7CA}">
            <x14:dataBar minLength="0" maxLength="100" gradient="0">
              <x14:cfvo type="autoMin"/>
              <x14:cfvo type="autoMax"/>
              <x14:negativeFillColor rgb="FFFF0000"/>
              <x14:axisColor rgb="FF000000"/>
            </x14:dataBar>
          </x14:cfRule>
          <xm:sqref>E11</xm:sqref>
        </x14:conditionalFormatting>
        <x14:conditionalFormatting xmlns:xm="http://schemas.microsoft.com/office/excel/2006/main">
          <x14:cfRule type="dataBar" id="{5F367989-FC05-4950-8956-8804D1B9F3ED}">
            <x14:dataBar minLength="0" maxLength="100" gradient="0">
              <x14:cfvo type="autoMin"/>
              <x14:cfvo type="autoMax"/>
              <x14:negativeFillColor rgb="FFFF0000"/>
              <x14:axisColor rgb="FF000000"/>
            </x14:dataBar>
          </x14:cfRule>
          <xm:sqref>G2:G4</xm:sqref>
        </x14:conditionalFormatting>
        <x14:conditionalFormatting xmlns:xm="http://schemas.microsoft.com/office/excel/2006/main">
          <x14:cfRule type="dataBar" id="{E0E91B05-AD3E-4860-B923-4FFB909A68EA}">
            <x14:dataBar minLength="0" maxLength="100" gradient="0">
              <x14:cfvo type="autoMin"/>
              <x14:cfvo type="autoMax"/>
              <x14:negativeFillColor rgb="FFFF0000"/>
              <x14:axisColor rgb="FF000000"/>
            </x14:dataBar>
          </x14:cfRule>
          <xm:sqref>G11:G13</xm:sqref>
        </x14:conditionalFormatting>
        <x14:conditionalFormatting xmlns:xm="http://schemas.microsoft.com/office/excel/2006/main">
          <x14:cfRule type="dataBar" id="{8F72860A-3CFC-4AD7-A6C6-C464D0CFCF05}">
            <x14:dataBar minLength="0" maxLength="100" gradient="0">
              <x14:cfvo type="autoMin"/>
              <x14:cfvo type="autoMax"/>
              <x14:negativeFillColor rgb="FFFF0000"/>
              <x14:axisColor rgb="FF000000"/>
            </x14:dataBar>
          </x14:cfRule>
          <xm:sqref>I11:I15</xm:sqref>
        </x14:conditionalFormatting>
        <x14:conditionalFormatting xmlns:xm="http://schemas.microsoft.com/office/excel/2006/main">
          <x14:cfRule type="dataBar" id="{8B5730F9-14FA-4ABA-963C-A0BCB431FF28}">
            <x14:dataBar minLength="0" maxLength="100" border="1" negativeBarBorderColorSameAsPositive="0">
              <x14:cfvo type="autoMin"/>
              <x14:cfvo type="autoMax"/>
              <x14:borderColor rgb="FFD6007B"/>
              <x14:negativeFillColor rgb="FFFF0000"/>
              <x14:negativeBorderColor rgb="FFFF0000"/>
              <x14:axisColor rgb="FF000000"/>
            </x14:dataBar>
          </x14:cfRule>
          <xm:sqref>O2:O9</xm:sqref>
        </x14:conditionalFormatting>
        <x14:conditionalFormatting xmlns:xm="http://schemas.microsoft.com/office/excel/2006/main">
          <x14:cfRule type="dataBar" id="{15AB5F9D-7E94-430A-87D7-FFF724134954}">
            <x14:dataBar minLength="0" maxLength="100" gradient="0">
              <x14:cfvo type="autoMin"/>
              <x14:cfvo type="autoMax"/>
              <x14:negativeFillColor rgb="FFFF0000"/>
              <x14:axisColor rgb="FF000000"/>
            </x14:dataBar>
          </x14:cfRule>
          <xm:sqref>O10 O17</xm:sqref>
        </x14:conditionalFormatting>
        <x14:conditionalFormatting xmlns:xm="http://schemas.microsoft.com/office/excel/2006/main">
          <x14:cfRule type="dataBar" id="{50C8CA42-94BC-43CD-BAC6-D229DF3040BA}">
            <x14:dataBar minLength="0" maxLength="100" gradient="0">
              <x14:cfvo type="autoMin"/>
              <x14:cfvo type="autoMax"/>
              <x14:negativeFillColor rgb="FFFF0000"/>
              <x14:axisColor rgb="FF000000"/>
            </x14:dataBar>
          </x14:cfRule>
          <xm:sqref>O11:O13</xm:sqref>
        </x14:conditionalFormatting>
        <x14:conditionalFormatting xmlns:xm="http://schemas.microsoft.com/office/excel/2006/main">
          <x14:cfRule type="dataBar" id="{329AE979-5617-4FC4-A59D-F05CB21A1FE0}">
            <x14:dataBar minLength="0" maxLength="100" gradient="0">
              <x14:cfvo type="autoMin"/>
              <x14:cfvo type="autoMax"/>
              <x14:negativeFillColor rgb="FFFF0000"/>
              <x14:axisColor rgb="FF000000"/>
            </x14:dataBar>
          </x14:cfRule>
          <x14:cfRule type="dataBar" id="{F77B8327-09F9-4940-878A-F8871D197687}">
            <x14:dataBar minLength="0" maxLength="100" gradient="0">
              <x14:cfvo type="autoMin"/>
              <x14:cfvo type="autoMax"/>
              <x14:negativeFillColor rgb="FFFF0000"/>
              <x14:axisColor rgb="FF000000"/>
            </x14:dataBar>
          </x14:cfRule>
          <xm:sqref>O2:O4</xm:sqref>
        </x14:conditionalFormatting>
        <x14:conditionalFormatting xmlns:xm="http://schemas.microsoft.com/office/excel/2006/main">
          <x14:cfRule type="dataBar" id="{968B030E-9244-459E-92EA-5A17408DB6C2}">
            <x14:dataBar minLength="0" maxLength="100" gradient="0">
              <x14:cfvo type="autoMin"/>
              <x14:cfvo type="autoMax"/>
              <x14:negativeFillColor rgb="FFFF0000"/>
              <x14:axisColor rgb="FF000000"/>
            </x14:dataBar>
          </x14:cfRule>
          <xm:sqref>E18:E20 F18:I18 F19:G20 H19:I25</xm:sqref>
        </x14:conditionalFormatting>
        <x14:conditionalFormatting xmlns:xm="http://schemas.microsoft.com/office/excel/2006/main">
          <x14:cfRule type="dataBar" id="{BF0DD463-C3D2-4F2C-ABD7-23D4D62CE2B7}">
            <x14:dataBar minLength="0" maxLength="100" gradient="0">
              <x14:cfvo type="autoMin"/>
              <x14:cfvo type="autoMax"/>
              <x14:negativeFillColor rgb="FFFF0000"/>
              <x14:axisColor rgb="FF000000"/>
            </x14:dataBar>
          </x14:cfRule>
          <xm:sqref>O18:O20</xm:sqref>
        </x14:conditionalFormatting>
        <x14:conditionalFormatting xmlns:xm="http://schemas.microsoft.com/office/excel/2006/main">
          <x14:cfRule type="dataBar" id="{B4639DC9-23BA-4E01-BDC8-F613A8E1B678}">
            <x14:dataBar minLength="0" maxLength="100" gradient="0">
              <x14:cfvo type="autoMin"/>
              <x14:cfvo type="autoMax"/>
              <x14:negativeFillColor rgb="FFFF0000"/>
              <x14:axisColor rgb="FF000000"/>
            </x14:dataBar>
          </x14:cfRule>
          <x14:cfRule type="dataBar" id="{3505A74C-EF98-41B3-82F2-5543E75D9DA3}">
            <x14:dataBar minLength="0" maxLength="100" gradient="0">
              <x14:cfvo type="autoMin"/>
              <x14:cfvo type="autoMax"/>
              <x14:negativeFillColor rgb="FFFF0000"/>
              <x14:axisColor rgb="FF000000"/>
            </x14:dataBar>
          </x14:cfRule>
          <x14:cfRule type="dataBar" id="{7AFD6C9C-637D-4D9A-BEB6-EBAF2F4544E9}">
            <x14:dataBar minLength="0" maxLength="100" gradient="0">
              <x14:cfvo type="autoMin"/>
              <x14:cfvo type="autoMax"/>
              <x14:negativeFillColor rgb="FFFF0000"/>
              <x14:axisColor rgb="FF000000"/>
            </x14:dataBar>
          </x14:cfRule>
          <xm:sqref>M26</xm:sqref>
        </x14:conditionalFormatting>
        <x14:conditionalFormatting xmlns:xm="http://schemas.microsoft.com/office/excel/2006/main">
          <x14:cfRule type="dataBar" id="{659BBABB-3293-44B7-A346-4BF2634AB24A}">
            <x14:dataBar minLength="0" maxLength="100" gradient="0">
              <x14:cfvo type="autoMin"/>
              <x14:cfvo type="autoMax"/>
              <x14:negativeFillColor rgb="FFFF0000"/>
              <x14:axisColor rgb="FF000000"/>
            </x14:dataBar>
          </x14:cfRule>
          <x14:cfRule type="dataBar" id="{EDF3B0CE-310B-4AE6-8FC5-EEBC4A72E5F8}">
            <x14:dataBar minLength="0" maxLength="100" gradient="0">
              <x14:cfvo type="autoMin"/>
              <x14:cfvo type="autoMax"/>
              <x14:negativeFillColor rgb="FFFF0000"/>
              <x14:axisColor rgb="FF000000"/>
            </x14:dataBar>
          </x14:cfRule>
          <x14:cfRule type="dataBar" id="{29D827D3-12CA-4140-9F3F-7144B70C6F22}">
            <x14:dataBar minLength="0" maxLength="100" gradient="0">
              <x14:cfvo type="autoMin"/>
              <x14:cfvo type="autoMax"/>
              <x14:negativeFillColor rgb="FFFF0000"/>
              <x14:axisColor rgb="FF000000"/>
            </x14:dataBar>
          </x14:cfRule>
          <xm:sqref>O26</xm:sqref>
        </x14:conditionalFormatting>
        <x14:conditionalFormatting xmlns:xm="http://schemas.microsoft.com/office/excel/2006/main">
          <x14:cfRule type="dataBar" id="{92F7AB13-4AD5-47F7-BA7B-324C3DA251D7}">
            <x14:dataBar minLength="0" maxLength="100" gradient="0">
              <x14:cfvo type="autoMin"/>
              <x14:cfvo type="autoMax"/>
              <x14:negativeFillColor rgb="FFFF0000"/>
              <x14:axisColor rgb="FF000000"/>
            </x14:dataBar>
          </x14:cfRule>
          <xm:sqref>G18:G20</xm:sqref>
        </x14:conditionalFormatting>
        <x14:conditionalFormatting xmlns:xm="http://schemas.microsoft.com/office/excel/2006/main">
          <x14:cfRule type="dataBar" id="{9E67E27D-1995-4E84-9949-4F7BEBE5D0CD}">
            <x14:dataBar minLength="0" maxLength="100" gradient="0">
              <x14:cfvo type="autoMin"/>
              <x14:cfvo type="autoMax"/>
              <x14:negativeFillColor rgb="FFFF0000"/>
              <x14:axisColor rgb="FF000000"/>
            </x14:dataBar>
          </x14:cfRule>
          <xm:sqref>I18:I25</xm:sqref>
        </x14:conditionalFormatting>
        <x14:conditionalFormatting xmlns:xm="http://schemas.microsoft.com/office/excel/2006/main">
          <x14:cfRule type="dataBar" id="{FDE520E0-B702-478D-8F02-3B95E146BB23}">
            <x14:dataBar minLength="0" maxLength="100" gradient="0">
              <x14:cfvo type="autoMin"/>
              <x14:cfvo type="autoMax"/>
              <x14:negativeFillColor rgb="FFFF0000"/>
              <x14:axisColor rgb="FF000000"/>
            </x14:dataBar>
          </x14:cfRule>
          <x14:cfRule type="dataBar" id="{CE68259B-665C-4731-A433-387888FA0A9D}">
            <x14:dataBar minLength="0" maxLength="100" gradient="0">
              <x14:cfvo type="autoMin"/>
              <x14:cfvo type="autoMax"/>
              <x14:negativeFillColor rgb="FFFF0000"/>
              <x14:axisColor rgb="FF000000"/>
            </x14:dataBar>
          </x14:cfRule>
          <x14:cfRule type="dataBar" id="{D440E901-B71F-4718-A516-D132D2F1CBEE}">
            <x14:dataBar minLength="0" maxLength="100" gradient="0">
              <x14:cfvo type="autoMin"/>
              <x14:cfvo type="autoMax"/>
              <x14:negativeFillColor rgb="FFFF0000"/>
              <x14:axisColor rgb="FF000000"/>
            </x14:dataBar>
          </x14:cfRule>
          <xm:sqref>O10 O17</xm:sqref>
        </x14:conditionalFormatting>
        <x14:conditionalFormatting xmlns:xm="http://schemas.microsoft.com/office/excel/2006/main">
          <x14:cfRule type="dataBar" id="{FB2313FE-664E-4D47-91E2-0127045212E1}">
            <x14:dataBar minLength="0" maxLength="100" gradient="0">
              <x14:cfvo type="autoMin"/>
              <x14:cfvo type="autoMax"/>
              <x14:negativeFillColor rgb="FFFF0000"/>
              <x14:axisColor rgb="FF000000"/>
            </x14:dataBar>
          </x14:cfRule>
          <x14:cfRule type="dataBar" id="{81F73AF3-C901-411B-AE9E-68547EA66B2F}">
            <x14:dataBar minLength="0" maxLength="100" gradient="0">
              <x14:cfvo type="autoMin"/>
              <x14:cfvo type="autoMax"/>
              <x14:negativeFillColor rgb="FFFF0000"/>
              <x14:axisColor rgb="FF000000"/>
            </x14:dataBar>
          </x14:cfRule>
          <x14:cfRule type="dataBar" id="{BA45FBF7-7429-40E2-ABE6-07EB6E7D0256}">
            <x14:dataBar minLength="0" maxLength="100" gradient="0">
              <x14:cfvo type="autoMin"/>
              <x14:cfvo type="autoMax"/>
              <x14:negativeFillColor rgb="FFFF0000"/>
              <x14:axisColor rgb="FF000000"/>
            </x14:dataBar>
          </x14:cfRule>
          <xm:sqref>M33</xm:sqref>
        </x14:conditionalFormatting>
        <x14:conditionalFormatting xmlns:xm="http://schemas.microsoft.com/office/excel/2006/main">
          <x14:cfRule type="dataBar" id="{778B8A7A-D2B8-46FC-8F37-C6350D99B1C5}">
            <x14:dataBar minLength="0" maxLength="100" gradient="0">
              <x14:cfvo type="autoMin"/>
              <x14:cfvo type="autoMax"/>
              <x14:negativeFillColor rgb="FFFF0000"/>
              <x14:axisColor rgb="FF000000"/>
            </x14:dataBar>
          </x14:cfRule>
          <x14:cfRule type="dataBar" id="{FA430460-4768-4D69-93C9-3EB167F141D0}">
            <x14:dataBar minLength="0" maxLength="100" gradient="0">
              <x14:cfvo type="autoMin"/>
              <x14:cfvo type="autoMax"/>
              <x14:negativeFillColor rgb="FFFF0000"/>
              <x14:axisColor rgb="FF000000"/>
            </x14:dataBar>
          </x14:cfRule>
          <x14:cfRule type="dataBar" id="{6883D783-3E0A-4454-ACAC-272AF01F4C91}">
            <x14:dataBar minLength="0" maxLength="100" gradient="0">
              <x14:cfvo type="autoMin"/>
              <x14:cfvo type="autoMax"/>
              <x14:negativeFillColor rgb="FFFF0000"/>
              <x14:axisColor rgb="FF000000"/>
            </x14:dataBar>
          </x14:cfRule>
          <xm:sqref>O33</xm:sqref>
        </x14:conditionalFormatting>
        <x14:conditionalFormatting xmlns:xm="http://schemas.microsoft.com/office/excel/2006/main">
          <x14:cfRule type="dataBar" id="{9B34660E-4593-48D7-B0C9-D9BBBB87A21F}">
            <x14:dataBar minLength="0" maxLength="100" gradient="0">
              <x14:cfvo type="autoMin"/>
              <x14:cfvo type="autoMax"/>
              <x14:negativeFillColor rgb="FFFF0000"/>
              <x14:axisColor rgb="FF000000"/>
            </x14:dataBar>
          </x14:cfRule>
          <xm:sqref>O27:O29</xm:sqref>
        </x14:conditionalFormatting>
        <x14:conditionalFormatting xmlns:xm="http://schemas.microsoft.com/office/excel/2006/main">
          <x14:cfRule type="dataBar" id="{4F68B224-25D3-447B-871A-DC6A65902FCD}">
            <x14:dataBar minLength="0" maxLength="100" gradient="0">
              <x14:cfvo type="autoMin"/>
              <x14:cfvo type="autoMax"/>
              <x14:negativeFillColor rgb="FFFF0000"/>
              <x14:axisColor rgb="FF000000"/>
            </x14:dataBar>
          </x14:cfRule>
          <xm:sqref>I27:I31</xm:sqref>
        </x14:conditionalFormatting>
        <x14:conditionalFormatting xmlns:xm="http://schemas.microsoft.com/office/excel/2006/main">
          <x14:cfRule type="dataBar" id="{DA3E1FEA-2505-4B6A-A74E-26FB24FA20DC}">
            <x14:dataBar minLength="0" maxLength="100" gradient="0">
              <x14:cfvo type="autoMin"/>
              <x14:cfvo type="autoMax"/>
              <x14:negativeFillColor rgb="FFFF0000"/>
              <x14:axisColor rgb="FF000000"/>
            </x14:dataBar>
          </x14:cfRule>
          <xm:sqref>G27:G29</xm:sqref>
        </x14:conditionalFormatting>
        <x14:conditionalFormatting xmlns:xm="http://schemas.microsoft.com/office/excel/2006/main">
          <x14:cfRule type="dataBar" id="{DD089ADF-EB60-4639-876A-18E05331B2DF}">
            <x14:dataBar minLength="0" maxLength="100" gradient="0">
              <x14:cfvo type="autoMin"/>
              <x14:cfvo type="autoMax"/>
              <x14:negativeFillColor rgb="FFFF0000"/>
              <x14:axisColor rgb="FF000000"/>
            </x14:dataBar>
          </x14:cfRule>
          <xm:sqref>E27</xm:sqref>
        </x14:conditionalFormatting>
        <x14:conditionalFormatting xmlns:xm="http://schemas.microsoft.com/office/excel/2006/main">
          <x14:cfRule type="dataBar" id="{D8AEE5BC-66FB-45C5-A622-75E21542BF87}">
            <x14:dataBar minLength="0" maxLength="100" gradient="0">
              <x14:cfvo type="autoMin"/>
              <x14:cfvo type="autoMax"/>
              <x14:negativeFillColor rgb="FFFF0000"/>
              <x14:axisColor rgb="FF000000"/>
            </x14:dataBar>
          </x14:cfRule>
          <xm:sqref>O10 O17 O26 O33</xm:sqref>
        </x14:conditionalFormatting>
        <x14:conditionalFormatting xmlns:xm="http://schemas.microsoft.com/office/excel/2006/main">
          <x14:cfRule type="dataBar" id="{63A4755D-405E-463B-A58F-57E5467C1C0A}">
            <x14:dataBar minLength="0" maxLength="100" gradient="0">
              <x14:cfvo type="autoMin"/>
              <x14:cfvo type="autoMax"/>
              <x14:negativeFillColor rgb="FFFF0000"/>
              <x14:axisColor rgb="FF000000"/>
            </x14:dataBar>
          </x14:cfRule>
          <xm:sqref>O10 O17 O26</xm:sqref>
        </x14:conditionalFormatting>
        <x14:conditionalFormatting xmlns:xm="http://schemas.microsoft.com/office/excel/2006/main">
          <x14:cfRule type="dataBar" id="{13469F0C-458E-4537-BDE5-1B7BD8BECEDA}">
            <x14:dataBar minLength="0" maxLength="100" gradient="0">
              <x14:cfvo type="autoMin"/>
              <x14:cfvo type="autoMax"/>
              <x14:negativeFillColor rgb="FFFF0000"/>
              <x14:axisColor rgb="FF000000"/>
            </x14:dataBar>
          </x14:cfRule>
          <xm:sqref>Z2:Z5</xm:sqref>
        </x14:conditionalFormatting>
        <x14:conditionalFormatting xmlns:xm="http://schemas.microsoft.com/office/excel/2006/main">
          <x14:cfRule type="dataBar" id="{3E64EE5F-576F-4BEA-B2BB-873281AC6C3D}">
            <x14:dataBar minLength="0" maxLength="100" gradient="0">
              <x14:cfvo type="autoMin"/>
              <x14:cfvo type="autoMax"/>
              <x14:negativeFillColor rgb="FFFF0000"/>
              <x14:axisColor rgb="FF000000"/>
            </x14:dataBar>
          </x14:cfRule>
          <xm:sqref>U2:U5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D8043-2AA5-4508-9B2A-488A839B2207}">
  <sheetPr>
    <tabColor rgb="FFFF9933"/>
  </sheetPr>
  <dimension ref="A1:Q842"/>
  <sheetViews>
    <sheetView topLeftCell="A10" zoomScale="60" zoomScaleNormal="60" workbookViewId="0">
      <selection activeCell="E2" sqref="E2"/>
    </sheetView>
  </sheetViews>
  <sheetFormatPr defaultRowHeight="15"/>
  <cols>
    <col min="1" max="1" width="9.42578125" customWidth="1"/>
    <col min="2" max="2" width="16.28515625" customWidth="1"/>
    <col min="3" max="3" width="11" customWidth="1"/>
    <col min="4" max="4" width="21.42578125" customWidth="1"/>
    <col min="5" max="5" width="14.28515625" customWidth="1"/>
    <col min="6" max="6" width="27.7109375" customWidth="1"/>
    <col min="7" max="7" width="15.42578125" customWidth="1"/>
    <col min="8" max="8" width="26.85546875" customWidth="1"/>
    <col min="9" max="9" width="17.42578125" customWidth="1"/>
    <col min="10" max="10" width="16" customWidth="1"/>
    <col min="11" max="11" width="0.5703125" customWidth="1"/>
    <col min="12" max="12" width="11.85546875" customWidth="1"/>
    <col min="13" max="13" width="13.7109375" customWidth="1"/>
    <col min="14" max="14" width="15.28515625" customWidth="1"/>
    <col min="15" max="15" width="14.85546875" customWidth="1"/>
    <col min="16" max="17" width="38.5703125" customWidth="1"/>
    <col min="26" max="26" width="30" customWidth="1"/>
    <col min="31" max="31" width="5.140625" customWidth="1"/>
    <col min="32" max="32" width="18" customWidth="1"/>
    <col min="33" max="33" width="31.5703125" customWidth="1"/>
    <col min="34" max="34" width="18.28515625" customWidth="1"/>
    <col min="35" max="35" width="17.140625" customWidth="1"/>
    <col min="36" max="36" width="12.140625" customWidth="1"/>
    <col min="37" max="37" width="15.85546875" customWidth="1"/>
    <col min="38" max="38" width="14.28515625" customWidth="1"/>
    <col min="39" max="39" width="12.28515625" customWidth="1"/>
    <col min="40" max="40" width="23.5703125" customWidth="1"/>
    <col min="41" max="41" width="40.28515625" customWidth="1"/>
    <col min="42" max="42" width="31.42578125" customWidth="1"/>
    <col min="43" max="43" width="30.140625" customWidth="1"/>
  </cols>
  <sheetData>
    <row r="1" spans="1:17" ht="77.25" customHeight="1" thickBot="1">
      <c r="A1" s="29" t="s">
        <v>0</v>
      </c>
      <c r="B1" s="29" t="s">
        <v>1</v>
      </c>
      <c r="C1" s="29" t="s">
        <v>2</v>
      </c>
      <c r="D1" s="30" t="s">
        <v>3</v>
      </c>
      <c r="E1" s="29" t="s">
        <v>4</v>
      </c>
      <c r="F1" s="29" t="s">
        <v>5</v>
      </c>
      <c r="G1" s="29" t="s">
        <v>6</v>
      </c>
      <c r="H1" s="29" t="s">
        <v>49</v>
      </c>
      <c r="I1" s="29" t="s">
        <v>8</v>
      </c>
      <c r="J1" s="29" t="s">
        <v>9</v>
      </c>
      <c r="K1" s="29" t="s">
        <v>10</v>
      </c>
      <c r="L1" s="29" t="s">
        <v>11</v>
      </c>
      <c r="M1" s="29" t="s">
        <v>50</v>
      </c>
      <c r="N1" s="29" t="s">
        <v>51</v>
      </c>
      <c r="O1" s="29" t="s">
        <v>14</v>
      </c>
      <c r="P1" s="3" t="s">
        <v>15</v>
      </c>
      <c r="Q1" s="3" t="s">
        <v>52</v>
      </c>
    </row>
    <row r="2" spans="1:17" ht="18.75" customHeight="1">
      <c r="A2" s="282" t="s">
        <v>53</v>
      </c>
      <c r="B2" s="31" t="s">
        <v>54</v>
      </c>
      <c r="C2" s="32">
        <v>0.10137879</v>
      </c>
      <c r="D2" s="33" t="s">
        <v>55</v>
      </c>
      <c r="E2" s="34">
        <v>3.4874303759999996E-2</v>
      </c>
      <c r="F2" s="33" t="s">
        <v>19</v>
      </c>
      <c r="G2" s="59">
        <v>4.0551516000000001E-3</v>
      </c>
      <c r="H2" s="36" t="s">
        <v>20</v>
      </c>
      <c r="I2" s="59">
        <v>2.5344697499999999E-2</v>
      </c>
      <c r="J2" s="53">
        <v>3</v>
      </c>
      <c r="K2" s="53"/>
      <c r="L2" s="53">
        <v>3</v>
      </c>
      <c r="M2" s="53">
        <v>9</v>
      </c>
      <c r="N2" s="33">
        <v>3</v>
      </c>
      <c r="O2" s="128">
        <v>0.1094890932</v>
      </c>
      <c r="P2" s="285" t="s">
        <v>56</v>
      </c>
      <c r="Q2" s="288" t="s">
        <v>57</v>
      </c>
    </row>
    <row r="3" spans="1:17" ht="18.75" customHeight="1">
      <c r="A3" s="283"/>
      <c r="B3" s="31"/>
      <c r="C3" s="31"/>
      <c r="D3" s="33" t="s">
        <v>58</v>
      </c>
      <c r="E3" s="34">
        <v>3.7712909879999996E-3</v>
      </c>
      <c r="F3" s="33" t="s">
        <v>23</v>
      </c>
      <c r="G3" s="59">
        <v>6.6910001400000002E-2</v>
      </c>
      <c r="H3" s="36" t="s">
        <v>24</v>
      </c>
      <c r="I3" s="59">
        <v>1.4193030600000002E-2</v>
      </c>
      <c r="J3" s="53">
        <v>4</v>
      </c>
      <c r="K3" s="53"/>
      <c r="L3" s="53">
        <v>3</v>
      </c>
      <c r="M3" s="53">
        <v>12</v>
      </c>
      <c r="N3" s="33">
        <v>3</v>
      </c>
      <c r="O3" s="59">
        <v>2.4087600504000002</v>
      </c>
      <c r="P3" s="286"/>
      <c r="Q3" s="289"/>
    </row>
    <row r="4" spans="1:17" ht="18.75" customHeight="1">
      <c r="A4" s="283"/>
      <c r="B4" s="31"/>
      <c r="C4" s="31"/>
      <c r="D4" s="33" t="s">
        <v>59</v>
      </c>
      <c r="E4" s="34">
        <v>3.3576655247999999E-2</v>
      </c>
      <c r="F4" s="33" t="s">
        <v>25</v>
      </c>
      <c r="G4" s="59">
        <v>3.0413636999999997E-2</v>
      </c>
      <c r="H4" s="36" t="s">
        <v>28</v>
      </c>
      <c r="I4" s="59">
        <v>1.0137879000000001E-2</v>
      </c>
      <c r="J4" s="53">
        <v>4</v>
      </c>
      <c r="K4" s="53"/>
      <c r="L4" s="53">
        <v>3</v>
      </c>
      <c r="M4" s="53">
        <v>12</v>
      </c>
      <c r="N4" s="33">
        <v>2</v>
      </c>
      <c r="O4" s="59">
        <v>0.72992728799999995</v>
      </c>
      <c r="P4" s="286"/>
      <c r="Q4" s="289"/>
    </row>
    <row r="5" spans="1:17" ht="18.75" customHeight="1">
      <c r="A5" s="283"/>
      <c r="B5" s="31"/>
      <c r="C5" s="31"/>
      <c r="D5" s="33" t="s">
        <v>60</v>
      </c>
      <c r="E5" s="34">
        <v>1.0401463853999999E-2</v>
      </c>
      <c r="F5" s="33"/>
      <c r="G5" s="59"/>
      <c r="H5" s="36" t="s">
        <v>29</v>
      </c>
      <c r="I5" s="59">
        <v>1.0137879000000001E-2</v>
      </c>
      <c r="J5" s="53"/>
      <c r="K5" s="53"/>
      <c r="L5" s="53"/>
      <c r="M5" s="53"/>
      <c r="N5" s="33"/>
      <c r="O5" s="33"/>
      <c r="P5" s="286"/>
      <c r="Q5" s="289"/>
    </row>
    <row r="6" spans="1:17" ht="18.75" customHeight="1">
      <c r="A6" s="283"/>
      <c r="B6" s="31"/>
      <c r="C6" s="31"/>
      <c r="D6" s="33" t="s">
        <v>61</v>
      </c>
      <c r="E6" s="34">
        <v>1.4375512422000001E-2</v>
      </c>
      <c r="F6" s="33"/>
      <c r="G6" s="59"/>
      <c r="H6" s="36" t="s">
        <v>34</v>
      </c>
      <c r="I6" s="59">
        <v>2.5344697499999999E-2</v>
      </c>
      <c r="J6" s="53"/>
      <c r="K6" s="53"/>
      <c r="L6" s="53"/>
      <c r="M6" s="53"/>
      <c r="N6" s="33"/>
      <c r="O6" s="33"/>
      <c r="P6" s="286"/>
      <c r="Q6" s="289"/>
    </row>
    <row r="7" spans="1:17" ht="18.75" customHeight="1">
      <c r="A7" s="283"/>
      <c r="B7" s="31"/>
      <c r="C7" s="31"/>
      <c r="D7" s="33" t="s">
        <v>40</v>
      </c>
      <c r="E7" s="34">
        <v>4.3795637280000001E-3</v>
      </c>
      <c r="F7" s="33"/>
      <c r="G7" s="59"/>
      <c r="H7" s="36" t="s">
        <v>62</v>
      </c>
      <c r="I7" s="59">
        <v>5.0689395000000003E-3</v>
      </c>
      <c r="J7" s="53"/>
      <c r="K7" s="53"/>
      <c r="L7" s="53"/>
      <c r="M7" s="53"/>
      <c r="N7" s="33"/>
      <c r="O7" s="33"/>
      <c r="P7" s="286"/>
      <c r="Q7" s="289"/>
    </row>
    <row r="8" spans="1:17" ht="18.75" customHeight="1">
      <c r="A8" s="283"/>
      <c r="B8" s="31"/>
      <c r="C8" s="31"/>
      <c r="D8" s="33"/>
      <c r="E8" s="36"/>
      <c r="F8" s="33"/>
      <c r="G8" s="59"/>
      <c r="H8" s="36" t="s">
        <v>63</v>
      </c>
      <c r="I8" s="59">
        <v>1.0137879E-3</v>
      </c>
      <c r="J8" s="53"/>
      <c r="K8" s="53"/>
      <c r="L8" s="53"/>
      <c r="M8" s="53"/>
      <c r="N8" s="33"/>
      <c r="O8" s="33"/>
      <c r="P8" s="286"/>
      <c r="Q8" s="289"/>
    </row>
    <row r="9" spans="1:17" ht="18.75" customHeight="1" thickBot="1">
      <c r="A9" s="283"/>
      <c r="B9" s="31"/>
      <c r="C9" s="31"/>
      <c r="D9" s="33"/>
      <c r="E9" s="36"/>
      <c r="F9" s="33"/>
      <c r="G9" s="59"/>
      <c r="H9" s="36" t="s">
        <v>48</v>
      </c>
      <c r="I9" s="59">
        <v>1.0137879000000001E-2</v>
      </c>
      <c r="J9" s="53"/>
      <c r="K9" s="53"/>
      <c r="L9" s="53"/>
      <c r="M9" s="53"/>
      <c r="N9" s="33"/>
      <c r="O9" s="129"/>
      <c r="P9" s="287"/>
      <c r="Q9" s="289"/>
    </row>
    <row r="10" spans="1:17" ht="18.75" customHeight="1">
      <c r="A10" s="283"/>
      <c r="B10" s="41"/>
      <c r="C10" s="41" t="s">
        <v>31</v>
      </c>
      <c r="D10" s="42"/>
      <c r="E10" s="43">
        <v>1</v>
      </c>
      <c r="F10" s="44"/>
      <c r="G10" s="44">
        <v>0.10137879</v>
      </c>
      <c r="H10" s="44"/>
      <c r="I10" s="44">
        <v>0.17286552000000002</v>
      </c>
      <c r="J10" s="44"/>
      <c r="K10" s="44"/>
      <c r="L10" s="44"/>
      <c r="M10" s="44"/>
      <c r="N10" s="44"/>
      <c r="O10" s="44">
        <v>3.2481764316000001</v>
      </c>
      <c r="P10" s="21"/>
      <c r="Q10" s="289"/>
    </row>
    <row r="11" spans="1:17" ht="18.75" customHeight="1">
      <c r="A11" s="283"/>
      <c r="B11" s="45" t="s">
        <v>64</v>
      </c>
      <c r="C11" s="46">
        <v>4.9703219999999999E-2</v>
      </c>
      <c r="D11" s="47" t="s">
        <v>64</v>
      </c>
      <c r="E11" s="48">
        <v>1</v>
      </c>
      <c r="F11" s="47" t="s">
        <v>19</v>
      </c>
      <c r="G11" s="119">
        <v>1.9881287999999999E-3</v>
      </c>
      <c r="H11" s="49" t="s">
        <v>20</v>
      </c>
      <c r="I11" s="119">
        <v>1.2425805E-2</v>
      </c>
      <c r="J11" s="120">
        <v>3</v>
      </c>
      <c r="K11" s="121"/>
      <c r="L11" s="120">
        <v>2</v>
      </c>
      <c r="M11" s="118">
        <v>6</v>
      </c>
      <c r="N11" s="33">
        <v>3</v>
      </c>
      <c r="O11" s="59">
        <v>3.5786318400000003E-2</v>
      </c>
      <c r="P11" s="291" t="s">
        <v>65</v>
      </c>
      <c r="Q11" s="289"/>
    </row>
    <row r="12" spans="1:17" ht="18.75" customHeight="1">
      <c r="A12" s="283"/>
      <c r="B12" s="45"/>
      <c r="C12" s="45"/>
      <c r="D12" s="51"/>
      <c r="E12" s="52"/>
      <c r="F12" s="47" t="s">
        <v>23</v>
      </c>
      <c r="G12" s="119">
        <v>3.2804125199999999E-2</v>
      </c>
      <c r="H12" s="49" t="s">
        <v>24</v>
      </c>
      <c r="I12" s="119">
        <v>6.9584508000000008E-3</v>
      </c>
      <c r="J12" s="120">
        <v>4</v>
      </c>
      <c r="K12" s="121"/>
      <c r="L12" s="120">
        <v>2</v>
      </c>
      <c r="M12" s="118">
        <v>8</v>
      </c>
      <c r="N12" s="33">
        <v>3</v>
      </c>
      <c r="O12" s="59">
        <v>0.78729900480000004</v>
      </c>
      <c r="P12" s="291"/>
      <c r="Q12" s="289"/>
    </row>
    <row r="13" spans="1:17" ht="18.75" customHeight="1">
      <c r="A13" s="283"/>
      <c r="B13" s="45"/>
      <c r="C13" s="45"/>
      <c r="D13" s="51"/>
      <c r="E13" s="52"/>
      <c r="F13" s="47" t="s">
        <v>25</v>
      </c>
      <c r="G13" s="119">
        <v>1.4910965999999999E-2</v>
      </c>
      <c r="H13" s="49" t="s">
        <v>28</v>
      </c>
      <c r="I13" s="119">
        <v>4.9703220000000001E-3</v>
      </c>
      <c r="J13" s="120">
        <v>4</v>
      </c>
      <c r="K13" s="121"/>
      <c r="L13" s="120">
        <v>2</v>
      </c>
      <c r="M13" s="118">
        <v>8</v>
      </c>
      <c r="N13" s="33">
        <v>2</v>
      </c>
      <c r="O13" s="59">
        <v>0.23857545599999999</v>
      </c>
      <c r="P13" s="291"/>
      <c r="Q13" s="289"/>
    </row>
    <row r="14" spans="1:17" ht="18.75" customHeight="1">
      <c r="A14" s="283"/>
      <c r="B14" s="45"/>
      <c r="C14" s="45"/>
      <c r="D14" s="51"/>
      <c r="E14" s="52"/>
      <c r="F14" s="52"/>
      <c r="G14" s="122"/>
      <c r="H14" s="49" t="s">
        <v>29</v>
      </c>
      <c r="I14" s="119">
        <v>4.9703220000000001E-3</v>
      </c>
      <c r="J14" s="123"/>
      <c r="K14" s="123"/>
      <c r="L14" s="123"/>
      <c r="M14" s="53"/>
      <c r="N14" s="33"/>
      <c r="O14" s="33"/>
      <c r="P14" s="291"/>
      <c r="Q14" s="289"/>
    </row>
    <row r="15" spans="1:17" ht="18.75" customHeight="1">
      <c r="A15" s="283"/>
      <c r="B15" s="45"/>
      <c r="C15" s="45"/>
      <c r="D15" s="51"/>
      <c r="E15" s="52"/>
      <c r="F15" s="52"/>
      <c r="G15" s="122"/>
      <c r="H15" s="49" t="s">
        <v>34</v>
      </c>
      <c r="I15" s="119">
        <v>1.2425805E-2</v>
      </c>
      <c r="J15" s="123"/>
      <c r="K15" s="123"/>
      <c r="L15" s="123"/>
      <c r="M15" s="53"/>
      <c r="N15" s="33"/>
      <c r="O15" s="33"/>
      <c r="P15" s="291"/>
      <c r="Q15" s="289"/>
    </row>
    <row r="16" spans="1:17" ht="18.75" customHeight="1">
      <c r="A16" s="283"/>
      <c r="B16" s="45"/>
      <c r="C16" s="45"/>
      <c r="D16" s="51"/>
      <c r="E16" s="52"/>
      <c r="F16" s="52"/>
      <c r="G16" s="122"/>
      <c r="H16" s="49" t="s">
        <v>62</v>
      </c>
      <c r="I16" s="119">
        <v>2.4851610000000001E-3</v>
      </c>
      <c r="J16" s="123"/>
      <c r="K16" s="123"/>
      <c r="L16" s="53"/>
      <c r="M16" s="53"/>
      <c r="N16" s="33"/>
      <c r="O16" s="33"/>
      <c r="P16" s="291"/>
      <c r="Q16" s="289"/>
    </row>
    <row r="17" spans="1:17" ht="18.75" customHeight="1">
      <c r="A17" s="283"/>
      <c r="B17" s="45"/>
      <c r="C17" s="45"/>
      <c r="D17" s="51"/>
      <c r="E17" s="52"/>
      <c r="F17" s="52"/>
      <c r="G17" s="122"/>
      <c r="H17" s="49" t="s">
        <v>63</v>
      </c>
      <c r="I17" s="119">
        <v>4.9703219999999997E-4</v>
      </c>
      <c r="J17" s="123"/>
      <c r="K17" s="123"/>
      <c r="L17" s="53"/>
      <c r="M17" s="53"/>
      <c r="N17" s="33"/>
      <c r="O17" s="33"/>
      <c r="P17" s="291"/>
      <c r="Q17" s="289"/>
    </row>
    <row r="18" spans="1:17" ht="18.75" customHeight="1">
      <c r="A18" s="283"/>
      <c r="B18" s="45"/>
      <c r="C18" s="45"/>
      <c r="D18" s="54"/>
      <c r="E18" s="33"/>
      <c r="F18" s="33"/>
      <c r="G18" s="124"/>
      <c r="H18" s="49" t="s">
        <v>48</v>
      </c>
      <c r="I18" s="119">
        <v>4.9703220000000001E-3</v>
      </c>
      <c r="J18" s="53"/>
      <c r="K18" s="53"/>
      <c r="L18" s="53"/>
      <c r="M18" s="53"/>
      <c r="N18" s="33"/>
      <c r="O18" s="33"/>
      <c r="P18" s="291"/>
      <c r="Q18" s="289"/>
    </row>
    <row r="19" spans="1:17" ht="18.75" customHeight="1">
      <c r="A19" s="283"/>
      <c r="B19" s="55"/>
      <c r="C19" s="55" t="s">
        <v>31</v>
      </c>
      <c r="D19" s="56"/>
      <c r="E19" s="57">
        <v>1</v>
      </c>
      <c r="F19" s="57"/>
      <c r="G19" s="58">
        <v>3.5344512000000002E-2</v>
      </c>
      <c r="H19" s="58"/>
      <c r="I19" s="58">
        <v>3.5344512000000002E-2</v>
      </c>
      <c r="J19" s="58"/>
      <c r="K19" s="58"/>
      <c r="L19" s="58"/>
      <c r="M19" s="58"/>
      <c r="N19" s="58"/>
      <c r="O19" s="58">
        <v>0.58671889920000009</v>
      </c>
      <c r="P19" s="22"/>
      <c r="Q19" s="289"/>
    </row>
    <row r="20" spans="1:17" ht="18.75" customHeight="1">
      <c r="A20" s="283"/>
      <c r="B20" s="45" t="s">
        <v>66</v>
      </c>
      <c r="C20" s="46">
        <v>0.10137879</v>
      </c>
      <c r="D20" s="47" t="s">
        <v>67</v>
      </c>
      <c r="E20" s="59">
        <v>0.17610000000000001</v>
      </c>
      <c r="F20" s="36" t="s">
        <v>19</v>
      </c>
      <c r="G20" s="59">
        <v>2.4895439999999998E-3</v>
      </c>
      <c r="H20" s="36" t="s">
        <v>20</v>
      </c>
      <c r="I20" s="59">
        <v>6.2238599999999995E-3</v>
      </c>
      <c r="J20" s="53">
        <v>3</v>
      </c>
      <c r="K20" s="53"/>
      <c r="L20" s="53">
        <v>2</v>
      </c>
      <c r="M20" s="118">
        <v>6</v>
      </c>
      <c r="N20" s="53">
        <v>3</v>
      </c>
      <c r="O20" s="59">
        <v>4.4811791999999996E-2</v>
      </c>
      <c r="P20" s="286" t="s">
        <v>68</v>
      </c>
      <c r="Q20" s="289"/>
    </row>
    <row r="21" spans="1:17" ht="18.75" customHeight="1">
      <c r="A21" s="283"/>
      <c r="B21" s="45"/>
      <c r="C21" s="45"/>
      <c r="D21" s="47" t="s">
        <v>69</v>
      </c>
      <c r="E21" s="59">
        <v>0.1056</v>
      </c>
      <c r="F21" s="36" t="s">
        <v>23</v>
      </c>
      <c r="G21" s="59">
        <v>4.9790879999999996E-3</v>
      </c>
      <c r="H21" s="36" t="s">
        <v>24</v>
      </c>
      <c r="I21" s="59">
        <v>8.7134039999999992E-3</v>
      </c>
      <c r="J21" s="53">
        <v>3</v>
      </c>
      <c r="K21" s="53"/>
      <c r="L21" s="53">
        <v>2</v>
      </c>
      <c r="M21" s="118">
        <v>6</v>
      </c>
      <c r="N21" s="53">
        <v>3</v>
      </c>
      <c r="O21" s="59">
        <v>8.9623583999999992E-2</v>
      </c>
      <c r="P21" s="286"/>
      <c r="Q21" s="289"/>
    </row>
    <row r="22" spans="1:17" ht="18.75">
      <c r="A22" s="283"/>
      <c r="B22" s="45"/>
      <c r="C22" s="45"/>
      <c r="D22" s="47" t="s">
        <v>40</v>
      </c>
      <c r="E22" s="59">
        <v>0.14080000000000001</v>
      </c>
      <c r="F22" s="36" t="s">
        <v>25</v>
      </c>
      <c r="G22" s="59">
        <v>1.7426807999999998E-2</v>
      </c>
      <c r="H22" s="36" t="s">
        <v>28</v>
      </c>
      <c r="I22" s="59">
        <v>2.4895439999999998E-3</v>
      </c>
      <c r="J22" s="53">
        <v>4</v>
      </c>
      <c r="K22" s="53"/>
      <c r="L22" s="53">
        <v>2</v>
      </c>
      <c r="M22" s="118">
        <v>8</v>
      </c>
      <c r="N22" s="53">
        <v>2</v>
      </c>
      <c r="O22" s="59">
        <v>0.27882892799999998</v>
      </c>
      <c r="P22" s="286"/>
      <c r="Q22" s="289"/>
    </row>
    <row r="23" spans="1:17" ht="18.75">
      <c r="A23" s="283"/>
      <c r="B23" s="45"/>
      <c r="C23" s="45"/>
      <c r="D23" s="47" t="s">
        <v>70</v>
      </c>
      <c r="E23" s="59">
        <v>0.57750000000000001</v>
      </c>
      <c r="F23" s="33"/>
      <c r="G23" s="124"/>
      <c r="H23" s="36" t="s">
        <v>29</v>
      </c>
      <c r="I23" s="59">
        <v>2.4895439999999998E-3</v>
      </c>
      <c r="J23" s="53"/>
      <c r="K23" s="53"/>
      <c r="L23" s="53"/>
      <c r="M23" s="53"/>
      <c r="N23" s="33"/>
      <c r="O23" s="33"/>
      <c r="P23" s="286"/>
      <c r="Q23" s="289"/>
    </row>
    <row r="24" spans="1:17" ht="18.75">
      <c r="A24" s="283"/>
      <c r="B24" s="45"/>
      <c r="C24" s="45"/>
      <c r="D24" s="47"/>
      <c r="E24" s="59"/>
      <c r="F24" s="33"/>
      <c r="G24" s="124"/>
      <c r="H24" s="36" t="s">
        <v>48</v>
      </c>
      <c r="I24" s="59">
        <v>2.4895439999999998E-3</v>
      </c>
      <c r="J24" s="53"/>
      <c r="K24" s="53"/>
      <c r="L24" s="53"/>
      <c r="M24" s="53"/>
      <c r="N24" s="33"/>
      <c r="O24" s="33"/>
      <c r="P24" s="286"/>
      <c r="Q24" s="289"/>
    </row>
    <row r="25" spans="1:17" ht="18.75">
      <c r="A25" s="283"/>
      <c r="B25" s="45"/>
      <c r="C25" s="45"/>
      <c r="D25" s="47"/>
      <c r="E25" s="59"/>
      <c r="F25" s="33"/>
      <c r="G25" s="125"/>
      <c r="H25" s="36" t="s">
        <v>44</v>
      </c>
      <c r="I25" s="59">
        <v>1.2447719999999999E-3</v>
      </c>
      <c r="J25" s="60"/>
      <c r="K25" s="60"/>
      <c r="L25" s="60"/>
      <c r="M25" s="60"/>
      <c r="N25" s="33"/>
      <c r="O25" s="33"/>
      <c r="P25" s="286"/>
      <c r="Q25" s="289"/>
    </row>
    <row r="26" spans="1:17" ht="18.75">
      <c r="A26" s="283"/>
      <c r="B26" s="45"/>
      <c r="C26" s="45"/>
      <c r="D26" s="47"/>
      <c r="E26" s="61"/>
      <c r="F26" s="33"/>
      <c r="G26" s="124"/>
      <c r="H26" s="36" t="s">
        <v>45</v>
      </c>
      <c r="I26" s="59">
        <v>2.4895439999999999E-4</v>
      </c>
      <c r="J26" s="53"/>
      <c r="K26" s="53"/>
      <c r="L26" s="53"/>
      <c r="M26" s="53"/>
      <c r="N26" s="33"/>
      <c r="O26" s="33"/>
      <c r="P26" s="286"/>
      <c r="Q26" s="289"/>
    </row>
    <row r="27" spans="1:17" ht="18.75">
      <c r="A27" s="283"/>
      <c r="B27" s="45"/>
      <c r="C27" s="45"/>
      <c r="D27" s="54"/>
      <c r="E27" s="33"/>
      <c r="F27" s="33"/>
      <c r="G27" s="124"/>
      <c r="H27" s="36" t="s">
        <v>30</v>
      </c>
      <c r="I27" s="59">
        <v>1.2447719999999999E-3</v>
      </c>
      <c r="J27" s="53"/>
      <c r="K27" s="53"/>
      <c r="L27" s="53"/>
      <c r="M27" s="53"/>
      <c r="N27" s="33"/>
      <c r="O27" s="33"/>
      <c r="P27" s="286"/>
      <c r="Q27" s="289"/>
    </row>
    <row r="28" spans="1:17" ht="18.75">
      <c r="A28" s="283"/>
      <c r="B28" s="56"/>
      <c r="C28" s="57" t="s">
        <v>31</v>
      </c>
      <c r="D28" s="57"/>
      <c r="E28" s="62">
        <v>1</v>
      </c>
      <c r="F28" s="57"/>
      <c r="G28" s="58">
        <v>2.4895439999999998E-2</v>
      </c>
      <c r="H28" s="57"/>
      <c r="I28" s="58">
        <v>2.5144394399999999E-2</v>
      </c>
      <c r="J28" s="57"/>
      <c r="K28" s="57"/>
      <c r="L28" s="57"/>
      <c r="M28" s="57"/>
      <c r="N28" s="63"/>
      <c r="O28" s="58">
        <v>0.41326430399999997</v>
      </c>
      <c r="P28" s="22"/>
      <c r="Q28" s="289"/>
    </row>
    <row r="29" spans="1:17" ht="18.75">
      <c r="A29" s="283"/>
      <c r="B29" s="64" t="s">
        <v>46</v>
      </c>
      <c r="C29" s="126">
        <v>1.2447719999999999E-2</v>
      </c>
      <c r="D29" s="33" t="s">
        <v>46</v>
      </c>
      <c r="E29" s="36">
        <v>1</v>
      </c>
      <c r="F29" s="33" t="s">
        <v>19</v>
      </c>
      <c r="G29" s="59">
        <v>2.4895439999999998E-3</v>
      </c>
      <c r="H29" s="33" t="s">
        <v>20</v>
      </c>
      <c r="I29" s="59">
        <v>4.3567019999999996E-3</v>
      </c>
      <c r="J29" s="53">
        <v>3</v>
      </c>
      <c r="K29" s="33"/>
      <c r="L29" s="53">
        <v>2</v>
      </c>
      <c r="M29" s="118">
        <v>6</v>
      </c>
      <c r="N29" s="33">
        <v>3</v>
      </c>
      <c r="O29" s="59">
        <v>4.4811791999999996E-2</v>
      </c>
      <c r="P29" s="286" t="s">
        <v>71</v>
      </c>
      <c r="Q29" s="289"/>
    </row>
    <row r="30" spans="1:17" ht="18.75">
      <c r="A30" s="283"/>
      <c r="B30" s="66"/>
      <c r="C30" s="66"/>
      <c r="D30" s="33"/>
      <c r="E30" s="33"/>
      <c r="F30" s="33" t="s">
        <v>23</v>
      </c>
      <c r="G30" s="59">
        <v>3.7343159999999997E-3</v>
      </c>
      <c r="H30" s="33" t="s">
        <v>24</v>
      </c>
      <c r="I30" s="59">
        <v>2.4895439999999998E-3</v>
      </c>
      <c r="J30" s="53">
        <v>3</v>
      </c>
      <c r="K30" s="33"/>
      <c r="L30" s="53">
        <v>2</v>
      </c>
      <c r="M30" s="118">
        <v>6</v>
      </c>
      <c r="N30" s="33">
        <v>3</v>
      </c>
      <c r="O30" s="59">
        <v>6.7217687999999984E-2</v>
      </c>
      <c r="P30" s="286"/>
      <c r="Q30" s="289"/>
    </row>
    <row r="31" spans="1:17" ht="18.75">
      <c r="A31" s="283"/>
      <c r="B31" s="66"/>
      <c r="C31" s="66"/>
      <c r="D31" s="33"/>
      <c r="E31" s="33"/>
      <c r="F31" s="33" t="s">
        <v>25</v>
      </c>
      <c r="G31" s="59">
        <v>6.2238599999999995E-3</v>
      </c>
      <c r="H31" s="33" t="s">
        <v>28</v>
      </c>
      <c r="I31" s="59">
        <v>1.2447719999999999E-3</v>
      </c>
      <c r="J31" s="53">
        <v>3</v>
      </c>
      <c r="K31" s="33"/>
      <c r="L31" s="53">
        <v>2</v>
      </c>
      <c r="M31" s="118">
        <v>6</v>
      </c>
      <c r="N31" s="33">
        <v>2</v>
      </c>
      <c r="O31" s="59">
        <v>7.468632E-2</v>
      </c>
      <c r="P31" s="286"/>
      <c r="Q31" s="289"/>
    </row>
    <row r="32" spans="1:17" ht="18.75">
      <c r="A32" s="283"/>
      <c r="B32" s="66"/>
      <c r="C32" s="66"/>
      <c r="D32" s="33"/>
      <c r="E32" s="33"/>
      <c r="F32" s="33"/>
      <c r="G32" s="33"/>
      <c r="H32" s="33" t="s">
        <v>29</v>
      </c>
      <c r="I32" s="59">
        <v>2.4895439999999998E-3</v>
      </c>
      <c r="J32" s="33"/>
      <c r="K32" s="33"/>
      <c r="L32" s="33"/>
      <c r="M32" s="33"/>
      <c r="N32" s="33"/>
      <c r="O32" s="33"/>
      <c r="P32" s="286"/>
      <c r="Q32" s="289"/>
    </row>
    <row r="33" spans="1:17" ht="18.75">
      <c r="A33" s="283"/>
      <c r="B33" s="66"/>
      <c r="C33" s="66"/>
      <c r="D33" s="33"/>
      <c r="E33" s="33"/>
      <c r="F33" s="33"/>
      <c r="G33" s="33"/>
      <c r="H33" s="33" t="s">
        <v>48</v>
      </c>
      <c r="I33" s="59">
        <v>1.8671579999999998E-3</v>
      </c>
      <c r="J33" s="33"/>
      <c r="K33" s="33"/>
      <c r="L33" s="33"/>
      <c r="M33" s="33"/>
      <c r="N33" s="33"/>
      <c r="O33" s="33"/>
      <c r="P33" s="286"/>
      <c r="Q33" s="289"/>
    </row>
    <row r="34" spans="1:17" ht="19.5" thickBot="1">
      <c r="A34" s="283"/>
      <c r="B34" s="66"/>
      <c r="C34" s="66"/>
      <c r="D34" s="33"/>
      <c r="E34" s="33"/>
      <c r="F34" s="33"/>
      <c r="G34" s="33"/>
      <c r="H34" s="33"/>
      <c r="I34" s="33"/>
      <c r="J34" s="33"/>
      <c r="K34" s="33"/>
      <c r="L34" s="33"/>
      <c r="M34" s="33"/>
      <c r="N34" s="33"/>
      <c r="O34" s="33"/>
      <c r="P34" s="287"/>
      <c r="Q34" s="289"/>
    </row>
    <row r="35" spans="1:17" ht="19.5" thickBot="1">
      <c r="A35" s="284"/>
      <c r="B35" s="56"/>
      <c r="C35" s="57" t="s">
        <v>31</v>
      </c>
      <c r="D35" s="57"/>
      <c r="E35" s="62">
        <v>1</v>
      </c>
      <c r="F35" s="57"/>
      <c r="G35" s="58">
        <v>1.2447719999999999E-2</v>
      </c>
      <c r="H35" s="57"/>
      <c r="I35" s="58">
        <v>1.2447719999999999E-2</v>
      </c>
      <c r="J35" s="57"/>
      <c r="K35" s="57"/>
      <c r="L35" s="57"/>
      <c r="M35" s="57"/>
      <c r="N35" s="63"/>
      <c r="O35" s="58">
        <v>0.14190400799999997</v>
      </c>
      <c r="P35" s="9"/>
      <c r="Q35" s="290"/>
    </row>
    <row r="36" spans="1:17" ht="18.75">
      <c r="A36" s="67"/>
      <c r="B36" s="127"/>
      <c r="C36" s="127"/>
      <c r="D36" s="127"/>
      <c r="E36" s="127"/>
      <c r="F36" s="127"/>
      <c r="G36" s="127"/>
      <c r="H36" s="127"/>
      <c r="I36" s="127"/>
      <c r="J36" s="127"/>
      <c r="K36" s="127"/>
      <c r="L36" s="127"/>
      <c r="M36" s="127"/>
      <c r="N36" s="127"/>
      <c r="O36" s="127"/>
    </row>
    <row r="37" spans="1:17">
      <c r="A37" s="2"/>
    </row>
    <row r="38" spans="1:17">
      <c r="A38" s="2"/>
    </row>
    <row r="39" spans="1:17">
      <c r="A39" s="2"/>
    </row>
    <row r="40" spans="1:17">
      <c r="A40" s="2"/>
    </row>
    <row r="41" spans="1:17">
      <c r="A41" s="2"/>
    </row>
    <row r="42" spans="1:17">
      <c r="A42" s="2"/>
    </row>
    <row r="43" spans="1:17">
      <c r="A43" s="2"/>
    </row>
    <row r="44" spans="1:17">
      <c r="A44" s="2"/>
    </row>
    <row r="45" spans="1:17">
      <c r="A45" s="2"/>
    </row>
    <row r="46" spans="1:17">
      <c r="A46" s="2"/>
    </row>
    <row r="47" spans="1:17">
      <c r="A47" s="2"/>
    </row>
    <row r="48" spans="1:17">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sheetData>
  <mergeCells count="6">
    <mergeCell ref="A2:A35"/>
    <mergeCell ref="P2:P9"/>
    <mergeCell ref="Q2:Q35"/>
    <mergeCell ref="P11:P18"/>
    <mergeCell ref="P20:P27"/>
    <mergeCell ref="P29:P34"/>
  </mergeCells>
  <conditionalFormatting sqref="M2:M4">
    <cfRule type="cellIs" dxfId="202" priority="57" operator="between">
      <formula>6</formula>
      <formula>12</formula>
    </cfRule>
    <cfRule type="cellIs" dxfId="201" priority="58" operator="greaterThan">
      <formula>12</formula>
    </cfRule>
    <cfRule type="cellIs" dxfId="200" priority="59" operator="lessThan">
      <formula>6</formula>
    </cfRule>
  </conditionalFormatting>
  <conditionalFormatting sqref="G5:G9">
    <cfRule type="dataBar" priority="64">
      <dataBar>
        <cfvo type="min"/>
        <cfvo type="max"/>
        <color rgb="FF638EC6"/>
      </dataBar>
      <extLst>
        <ext xmlns:x14="http://schemas.microsoft.com/office/spreadsheetml/2009/9/main" uri="{B025F937-C7B1-47D3-B67F-A62EFF666E3E}">
          <x14:id>{C255377A-9FFC-4E36-9D42-F31DA28A1A57}</x14:id>
        </ext>
      </extLst>
    </cfRule>
  </conditionalFormatting>
  <conditionalFormatting sqref="E2:E9">
    <cfRule type="dataBar" priority="66">
      <dataBar>
        <cfvo type="min"/>
        <cfvo type="max"/>
        <color rgb="FF638EC6"/>
      </dataBar>
      <extLst>
        <ext xmlns:x14="http://schemas.microsoft.com/office/spreadsheetml/2009/9/main" uri="{B025F937-C7B1-47D3-B67F-A62EFF666E3E}">
          <x14:id>{BC2FE766-7873-45D3-8BA2-3D12B6474D57}</x14:id>
        </ext>
      </extLst>
    </cfRule>
    <cfRule type="dataBar" priority="67">
      <dataBar>
        <cfvo type="min"/>
        <cfvo type="max"/>
        <color rgb="FF63C384"/>
      </dataBar>
      <extLst>
        <ext xmlns:x14="http://schemas.microsoft.com/office/spreadsheetml/2009/9/main" uri="{B025F937-C7B1-47D3-B67F-A62EFF666E3E}">
          <x14:id>{15C71536-AB3F-4587-9C6C-852D6F450A8D}</x14:id>
        </ext>
      </extLst>
    </cfRule>
  </conditionalFormatting>
  <conditionalFormatting sqref="M2:M4">
    <cfRule type="cellIs" dxfId="199" priority="68" operator="greaterThan">
      <formula>#REF!</formula>
    </cfRule>
    <cfRule type="cellIs" dxfId="198" priority="69" operator="between">
      <formula>#REF!</formula>
      <formula>#REF!</formula>
    </cfRule>
    <cfRule type="cellIs" dxfId="197" priority="70" operator="lessThan">
      <formula>#REF!</formula>
    </cfRule>
    <cfRule type="cellIs" dxfId="196" priority="71" operator="greaterThan">
      <formula>#REF!</formula>
    </cfRule>
  </conditionalFormatting>
  <conditionalFormatting sqref="I2:I9">
    <cfRule type="dataBar" priority="55">
      <dataBar>
        <cfvo type="min"/>
        <cfvo type="max"/>
        <color rgb="FF63C384"/>
      </dataBar>
      <extLst>
        <ext xmlns:x14="http://schemas.microsoft.com/office/spreadsheetml/2009/9/main" uri="{B025F937-C7B1-47D3-B67F-A62EFF666E3E}">
          <x14:id>{9DC510C8-D1EF-434B-98FE-AB50C9C03CAE}</x14:id>
        </ext>
      </extLst>
    </cfRule>
  </conditionalFormatting>
  <conditionalFormatting sqref="E2:E7">
    <cfRule type="dataBar" priority="54">
      <dataBar>
        <cfvo type="min"/>
        <cfvo type="max"/>
        <color rgb="FF63C384"/>
      </dataBar>
      <extLst>
        <ext xmlns:x14="http://schemas.microsoft.com/office/spreadsheetml/2009/9/main" uri="{B025F937-C7B1-47D3-B67F-A62EFF666E3E}">
          <x14:id>{4B65D112-5C69-4B89-BCD3-E708409D1892}</x14:id>
        </ext>
      </extLst>
    </cfRule>
  </conditionalFormatting>
  <conditionalFormatting sqref="E11">
    <cfRule type="dataBar" priority="53">
      <dataBar>
        <cfvo type="min"/>
        <cfvo type="max"/>
        <color rgb="FF63C384"/>
      </dataBar>
      <extLst>
        <ext xmlns:x14="http://schemas.microsoft.com/office/spreadsheetml/2009/9/main" uri="{B025F937-C7B1-47D3-B67F-A62EFF666E3E}">
          <x14:id>{1A7BDAF0-A1CB-4F09-90E9-5B93C0765C3A}</x14:id>
        </ext>
      </extLst>
    </cfRule>
  </conditionalFormatting>
  <conditionalFormatting sqref="G2:G4">
    <cfRule type="dataBar" priority="52">
      <dataBar>
        <cfvo type="min"/>
        <cfvo type="max"/>
        <color rgb="FF63C384"/>
      </dataBar>
      <extLst>
        <ext xmlns:x14="http://schemas.microsoft.com/office/spreadsheetml/2009/9/main" uri="{B025F937-C7B1-47D3-B67F-A62EFF666E3E}">
          <x14:id>{53A4DD89-D6CA-4E08-A23F-1A56F855A001}</x14:id>
        </ext>
      </extLst>
    </cfRule>
  </conditionalFormatting>
  <conditionalFormatting sqref="G11:G13">
    <cfRule type="dataBar" priority="51">
      <dataBar>
        <cfvo type="min"/>
        <cfvo type="max"/>
        <color rgb="FF63C384"/>
      </dataBar>
      <extLst>
        <ext xmlns:x14="http://schemas.microsoft.com/office/spreadsheetml/2009/9/main" uri="{B025F937-C7B1-47D3-B67F-A62EFF666E3E}">
          <x14:id>{4D92C131-5A9E-49EC-A24A-94CC66AC16AF}</x14:id>
        </ext>
      </extLst>
    </cfRule>
  </conditionalFormatting>
  <conditionalFormatting sqref="I11:I18">
    <cfRule type="dataBar" priority="50">
      <dataBar>
        <cfvo type="min"/>
        <cfvo type="max"/>
        <color rgb="FF63C384"/>
      </dataBar>
      <extLst>
        <ext xmlns:x14="http://schemas.microsoft.com/office/spreadsheetml/2009/9/main" uri="{B025F937-C7B1-47D3-B67F-A62EFF666E3E}">
          <x14:id>{875572A7-BDD5-4C9E-816F-5B9E926B8B8F}</x14:id>
        </ext>
      </extLst>
    </cfRule>
  </conditionalFormatting>
  <conditionalFormatting sqref="M11:M13">
    <cfRule type="cellIs" dxfId="195" priority="43" operator="between">
      <formula>6</formula>
      <formula>12</formula>
    </cfRule>
    <cfRule type="cellIs" dxfId="194" priority="44" operator="greaterThan">
      <formula>12</formula>
    </cfRule>
    <cfRule type="cellIs" dxfId="193" priority="45" operator="lessThan">
      <formula>6</formula>
    </cfRule>
  </conditionalFormatting>
  <conditionalFormatting sqref="M11:M13">
    <cfRule type="cellIs" dxfId="192" priority="46" operator="greaterThan">
      <formula>#REF!</formula>
    </cfRule>
    <cfRule type="cellIs" dxfId="191" priority="47" operator="between">
      <formula>#REF!</formula>
      <formula>#REF!</formula>
    </cfRule>
    <cfRule type="cellIs" dxfId="190" priority="48" operator="lessThan">
      <formula>#REF!</formula>
    </cfRule>
    <cfRule type="cellIs" dxfId="189" priority="49" operator="greaterThan">
      <formula>#REF!</formula>
    </cfRule>
  </conditionalFormatting>
  <conditionalFormatting sqref="O2:O9">
    <cfRule type="dataBar" priority="72">
      <dataBar>
        <cfvo type="min"/>
        <cfvo type="max"/>
        <color rgb="FFD6007B"/>
      </dataBar>
      <extLst>
        <ext xmlns:x14="http://schemas.microsoft.com/office/spreadsheetml/2009/9/main" uri="{B025F937-C7B1-47D3-B67F-A62EFF666E3E}">
          <x14:id>{3D1030D7-507D-4F37-A8ED-7942893F2B03}</x14:id>
        </ext>
      </extLst>
    </cfRule>
  </conditionalFormatting>
  <conditionalFormatting sqref="O10 O19">
    <cfRule type="dataBar" priority="73">
      <dataBar>
        <cfvo type="min"/>
        <cfvo type="max"/>
        <color rgb="FFFFB628"/>
      </dataBar>
      <extLst>
        <ext xmlns:x14="http://schemas.microsoft.com/office/spreadsheetml/2009/9/main" uri="{B025F937-C7B1-47D3-B67F-A62EFF666E3E}">
          <x14:id>{7BAC0B7F-5D9B-40C5-8F93-30C7900BE62E}</x14:id>
        </ext>
      </extLst>
    </cfRule>
  </conditionalFormatting>
  <conditionalFormatting sqref="O11:O13">
    <cfRule type="dataBar" priority="74">
      <dataBar>
        <cfvo type="min"/>
        <cfvo type="max"/>
        <color rgb="FF00B0F0"/>
      </dataBar>
      <extLst>
        <ext xmlns:x14="http://schemas.microsoft.com/office/spreadsheetml/2009/9/main" uri="{B025F937-C7B1-47D3-B67F-A62EFF666E3E}">
          <x14:id>{4B115812-1901-4442-BBAD-B8CE07AC6571}</x14:id>
        </ext>
      </extLst>
    </cfRule>
  </conditionalFormatting>
  <conditionalFormatting sqref="O2:O4">
    <cfRule type="dataBar" priority="7">
      <dataBar>
        <cfvo type="min"/>
        <cfvo type="max"/>
        <color rgb="FF00B0F0"/>
      </dataBar>
      <extLst>
        <ext xmlns:x14="http://schemas.microsoft.com/office/spreadsheetml/2009/9/main" uri="{B025F937-C7B1-47D3-B67F-A62EFF666E3E}">
          <x14:id>{3CA5A9EA-4E57-459A-ACCF-FF0CAB7EAAA4}</x14:id>
        </ext>
      </extLst>
    </cfRule>
    <cfRule type="dataBar" priority="75">
      <dataBar>
        <cfvo type="min"/>
        <cfvo type="max"/>
        <color rgb="FF00B0F0"/>
      </dataBar>
      <extLst>
        <ext xmlns:x14="http://schemas.microsoft.com/office/spreadsheetml/2009/9/main" uri="{B025F937-C7B1-47D3-B67F-A62EFF666E3E}">
          <x14:id>{19B45F56-680C-4FF8-A3F5-F4BF79247616}</x14:id>
        </ext>
      </extLst>
    </cfRule>
  </conditionalFormatting>
  <conditionalFormatting sqref="E20:I20 E21:E25 E21:G22 H21:I27">
    <cfRule type="dataBar" priority="42">
      <dataBar>
        <cfvo type="min"/>
        <cfvo type="max"/>
        <color rgb="FF63C384"/>
      </dataBar>
      <extLst>
        <ext xmlns:x14="http://schemas.microsoft.com/office/spreadsheetml/2009/9/main" uri="{B025F937-C7B1-47D3-B67F-A62EFF666E3E}">
          <x14:id>{DFA745C7-3FB0-433A-9AA6-AD01E89CDA00}</x14:id>
        </ext>
      </extLst>
    </cfRule>
  </conditionalFormatting>
  <conditionalFormatting sqref="M20:M22">
    <cfRule type="cellIs" dxfId="188" priority="35" operator="between">
      <formula>6</formula>
      <formula>12</formula>
    </cfRule>
    <cfRule type="cellIs" dxfId="187" priority="36" operator="greaterThan">
      <formula>12</formula>
    </cfRule>
    <cfRule type="cellIs" dxfId="186" priority="37" operator="lessThan">
      <formula>6</formula>
    </cfRule>
  </conditionalFormatting>
  <conditionalFormatting sqref="M20:M22">
    <cfRule type="cellIs" dxfId="185" priority="38" operator="greaterThan">
      <formula>#REF!</formula>
    </cfRule>
    <cfRule type="cellIs" dxfId="184" priority="39" operator="between">
      <formula>#REF!</formula>
      <formula>#REF!</formula>
    </cfRule>
    <cfRule type="cellIs" dxfId="183" priority="40" operator="lessThan">
      <formula>#REF!</formula>
    </cfRule>
    <cfRule type="cellIs" dxfId="182" priority="41" operator="greaterThan">
      <formula>#REF!</formula>
    </cfRule>
  </conditionalFormatting>
  <conditionalFormatting sqref="O20:O22">
    <cfRule type="dataBar" priority="34">
      <dataBar>
        <cfvo type="min"/>
        <cfvo type="max"/>
        <color rgb="FF00B0F0"/>
      </dataBar>
      <extLst>
        <ext xmlns:x14="http://schemas.microsoft.com/office/spreadsheetml/2009/9/main" uri="{B025F937-C7B1-47D3-B67F-A62EFF666E3E}">
          <x14:id>{77227C0C-9035-4A51-BAFD-79941F9C159B}</x14:id>
        </ext>
      </extLst>
    </cfRule>
  </conditionalFormatting>
  <conditionalFormatting sqref="M28">
    <cfRule type="dataBar" priority="31">
      <dataBar>
        <cfvo type="min"/>
        <cfvo type="max"/>
        <color theme="1" tint="0.499984740745262"/>
      </dataBar>
      <extLst>
        <ext xmlns:x14="http://schemas.microsoft.com/office/spreadsheetml/2009/9/main" uri="{B025F937-C7B1-47D3-B67F-A62EFF666E3E}">
          <x14:id>{9EE92551-5782-4EE9-A5B2-5992A6D6D156}</x14:id>
        </ext>
      </extLst>
    </cfRule>
    <cfRule type="dataBar" priority="32">
      <dataBar>
        <cfvo type="min"/>
        <cfvo type="max"/>
        <color theme="0" tint="-0.14999847407452621"/>
      </dataBar>
      <extLst>
        <ext xmlns:x14="http://schemas.microsoft.com/office/spreadsheetml/2009/9/main" uri="{B025F937-C7B1-47D3-B67F-A62EFF666E3E}">
          <x14:id>{05CF83C7-67BB-457D-AE22-08FF6637FC2E}</x14:id>
        </ext>
      </extLst>
    </cfRule>
    <cfRule type="dataBar" priority="33">
      <dataBar>
        <cfvo type="min"/>
        <cfvo type="max"/>
        <color theme="2" tint="-0.499984740745262"/>
      </dataBar>
      <extLst>
        <ext xmlns:x14="http://schemas.microsoft.com/office/spreadsheetml/2009/9/main" uri="{B025F937-C7B1-47D3-B67F-A62EFF666E3E}">
          <x14:id>{8629F912-A3B3-4197-94F5-FBF5DE014FC6}</x14:id>
        </ext>
      </extLst>
    </cfRule>
  </conditionalFormatting>
  <conditionalFormatting sqref="O28">
    <cfRule type="dataBar" priority="28">
      <dataBar>
        <cfvo type="min"/>
        <cfvo type="max"/>
        <color theme="1" tint="0.499984740745262"/>
      </dataBar>
      <extLst>
        <ext xmlns:x14="http://schemas.microsoft.com/office/spreadsheetml/2009/9/main" uri="{B025F937-C7B1-47D3-B67F-A62EFF666E3E}">
          <x14:id>{76A2A5BA-4512-442F-94BA-ED670869E8E2}</x14:id>
        </ext>
      </extLst>
    </cfRule>
    <cfRule type="dataBar" priority="29">
      <dataBar>
        <cfvo type="min"/>
        <cfvo type="max"/>
        <color theme="0" tint="-0.14999847407452621"/>
      </dataBar>
      <extLst>
        <ext xmlns:x14="http://schemas.microsoft.com/office/spreadsheetml/2009/9/main" uri="{B025F937-C7B1-47D3-B67F-A62EFF666E3E}">
          <x14:id>{CA283D15-C7BF-4BC5-BBAC-423428816AE4}</x14:id>
        </ext>
      </extLst>
    </cfRule>
    <cfRule type="dataBar" priority="30">
      <dataBar>
        <cfvo type="min"/>
        <cfvo type="max"/>
        <color theme="2" tint="-0.499984740745262"/>
      </dataBar>
      <extLst>
        <ext xmlns:x14="http://schemas.microsoft.com/office/spreadsheetml/2009/9/main" uri="{B025F937-C7B1-47D3-B67F-A62EFF666E3E}">
          <x14:id>{651275C3-1515-49B4-9BA4-403BD8F7B7B1}</x14:id>
        </ext>
      </extLst>
    </cfRule>
  </conditionalFormatting>
  <conditionalFormatting sqref="G20:G22">
    <cfRule type="dataBar" priority="27">
      <dataBar>
        <cfvo type="min"/>
        <cfvo type="max"/>
        <color rgb="FF63C384"/>
      </dataBar>
      <extLst>
        <ext xmlns:x14="http://schemas.microsoft.com/office/spreadsheetml/2009/9/main" uri="{B025F937-C7B1-47D3-B67F-A62EFF666E3E}">
          <x14:id>{2A205E34-CC54-483C-BA33-FF80E4BFC547}</x14:id>
        </ext>
      </extLst>
    </cfRule>
  </conditionalFormatting>
  <conditionalFormatting sqref="I20:I27">
    <cfRule type="dataBar" priority="26">
      <dataBar>
        <cfvo type="min"/>
        <cfvo type="max"/>
        <color rgb="FF63C384"/>
      </dataBar>
      <extLst>
        <ext xmlns:x14="http://schemas.microsoft.com/office/spreadsheetml/2009/9/main" uri="{B025F937-C7B1-47D3-B67F-A62EFF666E3E}">
          <x14:id>{7E88206B-D7BC-467A-B498-010FAC597E2F}</x14:id>
        </ext>
      </extLst>
    </cfRule>
  </conditionalFormatting>
  <conditionalFormatting sqref="O10 O19">
    <cfRule type="dataBar" priority="78">
      <dataBar>
        <cfvo type="min"/>
        <cfvo type="max"/>
        <color theme="1" tint="0.499984740745262"/>
      </dataBar>
      <extLst>
        <ext xmlns:x14="http://schemas.microsoft.com/office/spreadsheetml/2009/9/main" uri="{B025F937-C7B1-47D3-B67F-A62EFF666E3E}">
          <x14:id>{B5C25C31-D808-41EF-B0D8-F0CA50621BF4}</x14:id>
        </ext>
      </extLst>
    </cfRule>
    <cfRule type="dataBar" priority="79">
      <dataBar>
        <cfvo type="min"/>
        <cfvo type="max"/>
        <color theme="0" tint="-0.14999847407452621"/>
      </dataBar>
      <extLst>
        <ext xmlns:x14="http://schemas.microsoft.com/office/spreadsheetml/2009/9/main" uri="{B025F937-C7B1-47D3-B67F-A62EFF666E3E}">
          <x14:id>{8F70BF3F-BBC7-48A5-B171-58FCE5FC3AF7}</x14:id>
        </ext>
      </extLst>
    </cfRule>
    <cfRule type="dataBar" priority="80">
      <dataBar>
        <cfvo type="min"/>
        <cfvo type="max"/>
        <color theme="2" tint="-0.499984740745262"/>
      </dataBar>
      <extLst>
        <ext xmlns:x14="http://schemas.microsoft.com/office/spreadsheetml/2009/9/main" uri="{B025F937-C7B1-47D3-B67F-A62EFF666E3E}">
          <x14:id>{E3AA9CEB-B1C2-46F4-AE8E-30B1764F9827}</x14:id>
        </ext>
      </extLst>
    </cfRule>
  </conditionalFormatting>
  <conditionalFormatting sqref="M35">
    <cfRule type="dataBar" priority="23">
      <dataBar>
        <cfvo type="min"/>
        <cfvo type="max"/>
        <color theme="1" tint="0.499984740745262"/>
      </dataBar>
      <extLst>
        <ext xmlns:x14="http://schemas.microsoft.com/office/spreadsheetml/2009/9/main" uri="{B025F937-C7B1-47D3-B67F-A62EFF666E3E}">
          <x14:id>{C7D83D82-C6B4-4E94-84C6-6C2C460CCF5D}</x14:id>
        </ext>
      </extLst>
    </cfRule>
    <cfRule type="dataBar" priority="24">
      <dataBar>
        <cfvo type="min"/>
        <cfvo type="max"/>
        <color theme="0" tint="-0.14999847407452621"/>
      </dataBar>
      <extLst>
        <ext xmlns:x14="http://schemas.microsoft.com/office/spreadsheetml/2009/9/main" uri="{B025F937-C7B1-47D3-B67F-A62EFF666E3E}">
          <x14:id>{7BEEEC58-E775-46F5-980D-74D2A16B3AB1}</x14:id>
        </ext>
      </extLst>
    </cfRule>
    <cfRule type="dataBar" priority="25">
      <dataBar>
        <cfvo type="min"/>
        <cfvo type="max"/>
        <color theme="2" tint="-0.499984740745262"/>
      </dataBar>
      <extLst>
        <ext xmlns:x14="http://schemas.microsoft.com/office/spreadsheetml/2009/9/main" uri="{B025F937-C7B1-47D3-B67F-A62EFF666E3E}">
          <x14:id>{0F6766B2-66BA-4406-B9D3-DC8A3FB8E27C}</x14:id>
        </ext>
      </extLst>
    </cfRule>
  </conditionalFormatting>
  <conditionalFormatting sqref="O35">
    <cfRule type="dataBar" priority="20">
      <dataBar>
        <cfvo type="min"/>
        <cfvo type="max"/>
        <color theme="1" tint="0.499984740745262"/>
      </dataBar>
      <extLst>
        <ext xmlns:x14="http://schemas.microsoft.com/office/spreadsheetml/2009/9/main" uri="{B025F937-C7B1-47D3-B67F-A62EFF666E3E}">
          <x14:id>{351DD90F-F14A-4F7A-BBD2-5490D475E46E}</x14:id>
        </ext>
      </extLst>
    </cfRule>
    <cfRule type="dataBar" priority="21">
      <dataBar>
        <cfvo type="min"/>
        <cfvo type="max"/>
        <color theme="0" tint="-0.14999847407452621"/>
      </dataBar>
      <extLst>
        <ext xmlns:x14="http://schemas.microsoft.com/office/spreadsheetml/2009/9/main" uri="{B025F937-C7B1-47D3-B67F-A62EFF666E3E}">
          <x14:id>{2D7E319D-D658-4382-85BC-0358BDC1E565}</x14:id>
        </ext>
      </extLst>
    </cfRule>
    <cfRule type="dataBar" priority="22">
      <dataBar>
        <cfvo type="min"/>
        <cfvo type="max"/>
        <color theme="2" tint="-0.499984740745262"/>
      </dataBar>
      <extLst>
        <ext xmlns:x14="http://schemas.microsoft.com/office/spreadsheetml/2009/9/main" uri="{B025F937-C7B1-47D3-B67F-A62EFF666E3E}">
          <x14:id>{7A362C34-11E4-455F-8BA1-E25BFA81BDC1}</x14:id>
        </ext>
      </extLst>
    </cfRule>
  </conditionalFormatting>
  <conditionalFormatting sqref="M29:M31">
    <cfRule type="cellIs" dxfId="181" priority="13" operator="between">
      <formula>6</formula>
      <formula>12</formula>
    </cfRule>
    <cfRule type="cellIs" dxfId="180" priority="14" operator="greaterThan">
      <formula>12</formula>
    </cfRule>
    <cfRule type="cellIs" dxfId="179" priority="15" operator="lessThan">
      <formula>6</formula>
    </cfRule>
  </conditionalFormatting>
  <conditionalFormatting sqref="M29:M31">
    <cfRule type="cellIs" dxfId="178" priority="16" operator="greaterThan">
      <formula>#REF!</formula>
    </cfRule>
    <cfRule type="cellIs" dxfId="177" priority="17" operator="between">
      <formula>#REF!</formula>
      <formula>#REF!</formula>
    </cfRule>
    <cfRule type="cellIs" dxfId="176" priority="18" operator="lessThan">
      <formula>#REF!</formula>
    </cfRule>
    <cfRule type="cellIs" dxfId="175" priority="19" operator="greaterThan">
      <formula>#REF!</formula>
    </cfRule>
  </conditionalFormatting>
  <conditionalFormatting sqref="O29:O31">
    <cfRule type="dataBar" priority="12">
      <dataBar>
        <cfvo type="min"/>
        <cfvo type="max"/>
        <color rgb="FF00B0F0"/>
      </dataBar>
      <extLst>
        <ext xmlns:x14="http://schemas.microsoft.com/office/spreadsheetml/2009/9/main" uri="{B025F937-C7B1-47D3-B67F-A62EFF666E3E}">
          <x14:id>{720AF189-AD54-4521-8FC5-86C8FA893F3A}</x14:id>
        </ext>
      </extLst>
    </cfRule>
  </conditionalFormatting>
  <conditionalFormatting sqref="I29:I33">
    <cfRule type="dataBar" priority="11">
      <dataBar>
        <cfvo type="min"/>
        <cfvo type="max"/>
        <color rgb="FF63C384"/>
      </dataBar>
      <extLst>
        <ext xmlns:x14="http://schemas.microsoft.com/office/spreadsheetml/2009/9/main" uri="{B025F937-C7B1-47D3-B67F-A62EFF666E3E}">
          <x14:id>{66198AD7-A646-466A-BE1E-2405DE426AF2}</x14:id>
        </ext>
      </extLst>
    </cfRule>
  </conditionalFormatting>
  <conditionalFormatting sqref="G29:G31">
    <cfRule type="dataBar" priority="10">
      <dataBar>
        <cfvo type="min"/>
        <cfvo type="max"/>
        <color rgb="FF63C384"/>
      </dataBar>
      <extLst>
        <ext xmlns:x14="http://schemas.microsoft.com/office/spreadsheetml/2009/9/main" uri="{B025F937-C7B1-47D3-B67F-A62EFF666E3E}">
          <x14:id>{59AB8C90-5F4F-4DF6-9171-F5BC395AE5AE}</x14:id>
        </ext>
      </extLst>
    </cfRule>
  </conditionalFormatting>
  <conditionalFormatting sqref="E29">
    <cfRule type="dataBar" priority="9">
      <dataBar>
        <cfvo type="min"/>
        <cfvo type="max"/>
        <color rgb="FF63C384"/>
      </dataBar>
      <extLst>
        <ext xmlns:x14="http://schemas.microsoft.com/office/spreadsheetml/2009/9/main" uri="{B025F937-C7B1-47D3-B67F-A62EFF666E3E}">
          <x14:id>{EB2E8010-D418-435D-8848-9CA8A2EF2035}</x14:id>
        </ext>
      </extLst>
    </cfRule>
  </conditionalFormatting>
  <conditionalFormatting sqref="O10 O19 O28 O35">
    <cfRule type="dataBar" priority="8">
      <dataBar>
        <cfvo type="min"/>
        <cfvo type="max"/>
        <color theme="0" tint="-0.499984740745262"/>
      </dataBar>
      <extLst>
        <ext xmlns:x14="http://schemas.microsoft.com/office/spreadsheetml/2009/9/main" uri="{B025F937-C7B1-47D3-B67F-A62EFF666E3E}">
          <x14:id>{9087C791-954E-4954-8237-32EED3B0B8CF}</x14:id>
        </ext>
      </extLst>
    </cfRule>
  </conditionalFormatting>
  <conditionalFormatting sqref="E20:E23">
    <cfRule type="dataBar" priority="6">
      <dataBar>
        <cfvo type="min"/>
        <cfvo type="max"/>
        <color rgb="FF63C384"/>
      </dataBar>
      <extLst>
        <ext xmlns:x14="http://schemas.microsoft.com/office/spreadsheetml/2009/9/main" uri="{B025F937-C7B1-47D3-B67F-A62EFF666E3E}">
          <x14:id>{8C9B77A1-4BCE-44FA-8D25-DBB58958041F}</x14:id>
        </ext>
      </extLst>
    </cfRule>
  </conditionalFormatting>
  <dataValidations count="1">
    <dataValidation type="list" allowBlank="1" showInputMessage="1" showErrorMessage="1" sqref="J26:L28 J35:L35 J14:L18 J2:L9 J20:L24" xr:uid="{D52A3A59-10BF-4F27-AE1C-D7B9E16C4CA8}">
      <formula1>"1, 2, 3, 4, 5"</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255377A-9FFC-4E36-9D42-F31DA28A1A57}">
            <x14:dataBar minLength="0" maxLength="100" gradient="0">
              <x14:cfvo type="autoMin"/>
              <x14:cfvo type="autoMax"/>
              <x14:negativeFillColor rgb="FFFF0000"/>
              <x14:axisColor rgb="FF000000"/>
            </x14:dataBar>
          </x14:cfRule>
          <xm:sqref>G5:G9</xm:sqref>
        </x14:conditionalFormatting>
        <x14:conditionalFormatting xmlns:xm="http://schemas.microsoft.com/office/excel/2006/main">
          <x14:cfRule type="dataBar" id="{BC2FE766-7873-45D3-8BA2-3D12B6474D57}">
            <x14:dataBar minLength="0" maxLength="100" gradient="0">
              <x14:cfvo type="autoMin"/>
              <x14:cfvo type="autoMax"/>
              <x14:negativeFillColor rgb="FFFF0000"/>
              <x14:axisColor rgb="FF000000"/>
            </x14:dataBar>
          </x14:cfRule>
          <x14:cfRule type="dataBar" id="{15C71536-AB3F-4587-9C6C-852D6F450A8D}">
            <x14:dataBar minLength="0" maxLength="100" border="1" negativeBarBorderColorSameAsPositive="0">
              <x14:cfvo type="autoMin"/>
              <x14:cfvo type="autoMax"/>
              <x14:borderColor rgb="FF63C384"/>
              <x14:negativeFillColor rgb="FFFF0000"/>
              <x14:negativeBorderColor rgb="FFFF0000"/>
              <x14:axisColor rgb="FF000000"/>
            </x14:dataBar>
          </x14:cfRule>
          <xm:sqref>E2:E9</xm:sqref>
        </x14:conditionalFormatting>
        <x14:conditionalFormatting xmlns:xm="http://schemas.microsoft.com/office/excel/2006/main">
          <x14:cfRule type="dataBar" id="{9DC510C8-D1EF-434B-98FE-AB50C9C03CAE}">
            <x14:dataBar minLength="0" maxLength="100" gradient="0">
              <x14:cfvo type="autoMin"/>
              <x14:cfvo type="autoMax"/>
              <x14:negativeFillColor rgb="FFFF0000"/>
              <x14:axisColor rgb="FF000000"/>
            </x14:dataBar>
          </x14:cfRule>
          <xm:sqref>I2:I9</xm:sqref>
        </x14:conditionalFormatting>
        <x14:conditionalFormatting xmlns:xm="http://schemas.microsoft.com/office/excel/2006/main">
          <x14:cfRule type="dataBar" id="{4B65D112-5C69-4B89-BCD3-E708409D1892}">
            <x14:dataBar minLength="0" maxLength="100" gradient="0">
              <x14:cfvo type="autoMin"/>
              <x14:cfvo type="autoMax"/>
              <x14:negativeFillColor rgb="FFFF0000"/>
              <x14:axisColor rgb="FF000000"/>
            </x14:dataBar>
          </x14:cfRule>
          <xm:sqref>E2:E7</xm:sqref>
        </x14:conditionalFormatting>
        <x14:conditionalFormatting xmlns:xm="http://schemas.microsoft.com/office/excel/2006/main">
          <x14:cfRule type="dataBar" id="{1A7BDAF0-A1CB-4F09-90E9-5B93C0765C3A}">
            <x14:dataBar minLength="0" maxLength="100" gradient="0">
              <x14:cfvo type="autoMin"/>
              <x14:cfvo type="autoMax"/>
              <x14:negativeFillColor rgb="FFFF0000"/>
              <x14:axisColor rgb="FF000000"/>
            </x14:dataBar>
          </x14:cfRule>
          <xm:sqref>E11</xm:sqref>
        </x14:conditionalFormatting>
        <x14:conditionalFormatting xmlns:xm="http://schemas.microsoft.com/office/excel/2006/main">
          <x14:cfRule type="dataBar" id="{53A4DD89-D6CA-4E08-A23F-1A56F855A001}">
            <x14:dataBar minLength="0" maxLength="100" gradient="0">
              <x14:cfvo type="autoMin"/>
              <x14:cfvo type="autoMax"/>
              <x14:negativeFillColor rgb="FFFF0000"/>
              <x14:axisColor rgb="FF000000"/>
            </x14:dataBar>
          </x14:cfRule>
          <xm:sqref>G2:G4</xm:sqref>
        </x14:conditionalFormatting>
        <x14:conditionalFormatting xmlns:xm="http://schemas.microsoft.com/office/excel/2006/main">
          <x14:cfRule type="dataBar" id="{4D92C131-5A9E-49EC-A24A-94CC66AC16AF}">
            <x14:dataBar minLength="0" maxLength="100" gradient="0">
              <x14:cfvo type="autoMin"/>
              <x14:cfvo type="autoMax"/>
              <x14:negativeFillColor rgb="FFFF0000"/>
              <x14:axisColor rgb="FF000000"/>
            </x14:dataBar>
          </x14:cfRule>
          <xm:sqref>G11:G13</xm:sqref>
        </x14:conditionalFormatting>
        <x14:conditionalFormatting xmlns:xm="http://schemas.microsoft.com/office/excel/2006/main">
          <x14:cfRule type="dataBar" id="{875572A7-BDD5-4C9E-816F-5B9E926B8B8F}">
            <x14:dataBar minLength="0" maxLength="100" gradient="0">
              <x14:cfvo type="autoMin"/>
              <x14:cfvo type="autoMax"/>
              <x14:negativeFillColor rgb="FFFF0000"/>
              <x14:axisColor rgb="FF000000"/>
            </x14:dataBar>
          </x14:cfRule>
          <xm:sqref>I11:I18</xm:sqref>
        </x14:conditionalFormatting>
        <x14:conditionalFormatting xmlns:xm="http://schemas.microsoft.com/office/excel/2006/main">
          <x14:cfRule type="dataBar" id="{3D1030D7-507D-4F37-A8ED-7942893F2B03}">
            <x14:dataBar minLength="0" maxLength="100" border="1" negativeBarBorderColorSameAsPositive="0">
              <x14:cfvo type="autoMin"/>
              <x14:cfvo type="autoMax"/>
              <x14:borderColor rgb="FFD6007B"/>
              <x14:negativeFillColor rgb="FFFF0000"/>
              <x14:negativeBorderColor rgb="FFFF0000"/>
              <x14:axisColor rgb="FF000000"/>
            </x14:dataBar>
          </x14:cfRule>
          <xm:sqref>O2:O9</xm:sqref>
        </x14:conditionalFormatting>
        <x14:conditionalFormatting xmlns:xm="http://schemas.microsoft.com/office/excel/2006/main">
          <x14:cfRule type="dataBar" id="{7BAC0B7F-5D9B-40C5-8F93-30C7900BE62E}">
            <x14:dataBar minLength="0" maxLength="100" gradient="0">
              <x14:cfvo type="autoMin"/>
              <x14:cfvo type="autoMax"/>
              <x14:negativeFillColor rgb="FFFF0000"/>
              <x14:axisColor rgb="FF000000"/>
            </x14:dataBar>
          </x14:cfRule>
          <xm:sqref>O10 O19</xm:sqref>
        </x14:conditionalFormatting>
        <x14:conditionalFormatting xmlns:xm="http://schemas.microsoft.com/office/excel/2006/main">
          <x14:cfRule type="dataBar" id="{4B115812-1901-4442-BBAD-B8CE07AC6571}">
            <x14:dataBar minLength="0" maxLength="100" gradient="0">
              <x14:cfvo type="autoMin"/>
              <x14:cfvo type="autoMax"/>
              <x14:negativeFillColor rgb="FFFF0000"/>
              <x14:axisColor rgb="FF000000"/>
            </x14:dataBar>
          </x14:cfRule>
          <xm:sqref>O11:O13</xm:sqref>
        </x14:conditionalFormatting>
        <x14:conditionalFormatting xmlns:xm="http://schemas.microsoft.com/office/excel/2006/main">
          <x14:cfRule type="dataBar" id="{3CA5A9EA-4E57-459A-ACCF-FF0CAB7EAAA4}">
            <x14:dataBar minLength="0" maxLength="100" gradient="0">
              <x14:cfvo type="autoMin"/>
              <x14:cfvo type="autoMax"/>
              <x14:negativeFillColor rgb="FFFF0000"/>
              <x14:axisColor rgb="FF000000"/>
            </x14:dataBar>
          </x14:cfRule>
          <x14:cfRule type="dataBar" id="{19B45F56-680C-4FF8-A3F5-F4BF79247616}">
            <x14:dataBar minLength="0" maxLength="100" gradient="0">
              <x14:cfvo type="autoMin"/>
              <x14:cfvo type="autoMax"/>
              <x14:negativeFillColor rgb="FFFF0000"/>
              <x14:axisColor rgb="FF000000"/>
            </x14:dataBar>
          </x14:cfRule>
          <xm:sqref>O2:O4</xm:sqref>
        </x14:conditionalFormatting>
        <x14:conditionalFormatting xmlns:xm="http://schemas.microsoft.com/office/excel/2006/main">
          <x14:cfRule type="dataBar" id="{DFA745C7-3FB0-433A-9AA6-AD01E89CDA00}">
            <x14:dataBar minLength="0" maxLength="100" gradient="0">
              <x14:cfvo type="autoMin"/>
              <x14:cfvo type="autoMax"/>
              <x14:negativeFillColor rgb="FFFF0000"/>
              <x14:axisColor rgb="FF000000"/>
            </x14:dataBar>
          </x14:cfRule>
          <xm:sqref>E20:I20 E21:E25 E21:G22 H21:I27</xm:sqref>
        </x14:conditionalFormatting>
        <x14:conditionalFormatting xmlns:xm="http://schemas.microsoft.com/office/excel/2006/main">
          <x14:cfRule type="dataBar" id="{77227C0C-9035-4A51-BAFD-79941F9C159B}">
            <x14:dataBar minLength="0" maxLength="100" gradient="0">
              <x14:cfvo type="autoMin"/>
              <x14:cfvo type="autoMax"/>
              <x14:negativeFillColor rgb="FFFF0000"/>
              <x14:axisColor rgb="FF000000"/>
            </x14:dataBar>
          </x14:cfRule>
          <xm:sqref>O20:O22</xm:sqref>
        </x14:conditionalFormatting>
        <x14:conditionalFormatting xmlns:xm="http://schemas.microsoft.com/office/excel/2006/main">
          <x14:cfRule type="dataBar" id="{9EE92551-5782-4EE9-A5B2-5992A6D6D156}">
            <x14:dataBar minLength="0" maxLength="100" gradient="0">
              <x14:cfvo type="autoMin"/>
              <x14:cfvo type="autoMax"/>
              <x14:negativeFillColor rgb="FFFF0000"/>
              <x14:axisColor rgb="FF000000"/>
            </x14:dataBar>
          </x14:cfRule>
          <x14:cfRule type="dataBar" id="{05CF83C7-67BB-457D-AE22-08FF6637FC2E}">
            <x14:dataBar minLength="0" maxLength="100" gradient="0">
              <x14:cfvo type="autoMin"/>
              <x14:cfvo type="autoMax"/>
              <x14:negativeFillColor rgb="FFFF0000"/>
              <x14:axisColor rgb="FF000000"/>
            </x14:dataBar>
          </x14:cfRule>
          <x14:cfRule type="dataBar" id="{8629F912-A3B3-4197-94F5-FBF5DE014FC6}">
            <x14:dataBar minLength="0" maxLength="100" gradient="0">
              <x14:cfvo type="autoMin"/>
              <x14:cfvo type="autoMax"/>
              <x14:negativeFillColor rgb="FFFF0000"/>
              <x14:axisColor rgb="FF000000"/>
            </x14:dataBar>
          </x14:cfRule>
          <xm:sqref>M28</xm:sqref>
        </x14:conditionalFormatting>
        <x14:conditionalFormatting xmlns:xm="http://schemas.microsoft.com/office/excel/2006/main">
          <x14:cfRule type="dataBar" id="{76A2A5BA-4512-442F-94BA-ED670869E8E2}">
            <x14:dataBar minLength="0" maxLength="100" gradient="0">
              <x14:cfvo type="autoMin"/>
              <x14:cfvo type="autoMax"/>
              <x14:negativeFillColor rgb="FFFF0000"/>
              <x14:axisColor rgb="FF000000"/>
            </x14:dataBar>
          </x14:cfRule>
          <x14:cfRule type="dataBar" id="{CA283D15-C7BF-4BC5-BBAC-423428816AE4}">
            <x14:dataBar minLength="0" maxLength="100" gradient="0">
              <x14:cfvo type="autoMin"/>
              <x14:cfvo type="autoMax"/>
              <x14:negativeFillColor rgb="FFFF0000"/>
              <x14:axisColor rgb="FF000000"/>
            </x14:dataBar>
          </x14:cfRule>
          <x14:cfRule type="dataBar" id="{651275C3-1515-49B4-9BA4-403BD8F7B7B1}">
            <x14:dataBar minLength="0" maxLength="100" gradient="0">
              <x14:cfvo type="autoMin"/>
              <x14:cfvo type="autoMax"/>
              <x14:negativeFillColor rgb="FFFF0000"/>
              <x14:axisColor rgb="FF000000"/>
            </x14:dataBar>
          </x14:cfRule>
          <xm:sqref>O28</xm:sqref>
        </x14:conditionalFormatting>
        <x14:conditionalFormatting xmlns:xm="http://schemas.microsoft.com/office/excel/2006/main">
          <x14:cfRule type="dataBar" id="{2A205E34-CC54-483C-BA33-FF80E4BFC547}">
            <x14:dataBar minLength="0" maxLength="100" gradient="0">
              <x14:cfvo type="autoMin"/>
              <x14:cfvo type="autoMax"/>
              <x14:negativeFillColor rgb="FFFF0000"/>
              <x14:axisColor rgb="FF000000"/>
            </x14:dataBar>
          </x14:cfRule>
          <xm:sqref>G20:G22</xm:sqref>
        </x14:conditionalFormatting>
        <x14:conditionalFormatting xmlns:xm="http://schemas.microsoft.com/office/excel/2006/main">
          <x14:cfRule type="dataBar" id="{7E88206B-D7BC-467A-B498-010FAC597E2F}">
            <x14:dataBar minLength="0" maxLength="100" gradient="0">
              <x14:cfvo type="autoMin"/>
              <x14:cfvo type="autoMax"/>
              <x14:negativeFillColor rgb="FFFF0000"/>
              <x14:axisColor rgb="FF000000"/>
            </x14:dataBar>
          </x14:cfRule>
          <xm:sqref>I20:I27</xm:sqref>
        </x14:conditionalFormatting>
        <x14:conditionalFormatting xmlns:xm="http://schemas.microsoft.com/office/excel/2006/main">
          <x14:cfRule type="dataBar" id="{B5C25C31-D808-41EF-B0D8-F0CA50621BF4}">
            <x14:dataBar minLength="0" maxLength="100" gradient="0">
              <x14:cfvo type="autoMin"/>
              <x14:cfvo type="autoMax"/>
              <x14:negativeFillColor rgb="FFFF0000"/>
              <x14:axisColor rgb="FF000000"/>
            </x14:dataBar>
          </x14:cfRule>
          <x14:cfRule type="dataBar" id="{8F70BF3F-BBC7-48A5-B171-58FCE5FC3AF7}">
            <x14:dataBar minLength="0" maxLength="100" gradient="0">
              <x14:cfvo type="autoMin"/>
              <x14:cfvo type="autoMax"/>
              <x14:negativeFillColor rgb="FFFF0000"/>
              <x14:axisColor rgb="FF000000"/>
            </x14:dataBar>
          </x14:cfRule>
          <x14:cfRule type="dataBar" id="{E3AA9CEB-B1C2-46F4-AE8E-30B1764F9827}">
            <x14:dataBar minLength="0" maxLength="100" gradient="0">
              <x14:cfvo type="autoMin"/>
              <x14:cfvo type="autoMax"/>
              <x14:negativeFillColor rgb="FFFF0000"/>
              <x14:axisColor rgb="FF000000"/>
            </x14:dataBar>
          </x14:cfRule>
          <xm:sqref>O10 O19</xm:sqref>
        </x14:conditionalFormatting>
        <x14:conditionalFormatting xmlns:xm="http://schemas.microsoft.com/office/excel/2006/main">
          <x14:cfRule type="dataBar" id="{C7D83D82-C6B4-4E94-84C6-6C2C460CCF5D}">
            <x14:dataBar minLength="0" maxLength="100" gradient="0">
              <x14:cfvo type="autoMin"/>
              <x14:cfvo type="autoMax"/>
              <x14:negativeFillColor rgb="FFFF0000"/>
              <x14:axisColor rgb="FF000000"/>
            </x14:dataBar>
          </x14:cfRule>
          <x14:cfRule type="dataBar" id="{7BEEEC58-E775-46F5-980D-74D2A16B3AB1}">
            <x14:dataBar minLength="0" maxLength="100" gradient="0">
              <x14:cfvo type="autoMin"/>
              <x14:cfvo type="autoMax"/>
              <x14:negativeFillColor rgb="FFFF0000"/>
              <x14:axisColor rgb="FF000000"/>
            </x14:dataBar>
          </x14:cfRule>
          <x14:cfRule type="dataBar" id="{0F6766B2-66BA-4406-B9D3-DC8A3FB8E27C}">
            <x14:dataBar minLength="0" maxLength="100" gradient="0">
              <x14:cfvo type="autoMin"/>
              <x14:cfvo type="autoMax"/>
              <x14:negativeFillColor rgb="FFFF0000"/>
              <x14:axisColor rgb="FF000000"/>
            </x14:dataBar>
          </x14:cfRule>
          <xm:sqref>M35</xm:sqref>
        </x14:conditionalFormatting>
        <x14:conditionalFormatting xmlns:xm="http://schemas.microsoft.com/office/excel/2006/main">
          <x14:cfRule type="dataBar" id="{351DD90F-F14A-4F7A-BBD2-5490D475E46E}">
            <x14:dataBar minLength="0" maxLength="100" gradient="0">
              <x14:cfvo type="autoMin"/>
              <x14:cfvo type="autoMax"/>
              <x14:negativeFillColor rgb="FFFF0000"/>
              <x14:axisColor rgb="FF000000"/>
            </x14:dataBar>
          </x14:cfRule>
          <x14:cfRule type="dataBar" id="{2D7E319D-D658-4382-85BC-0358BDC1E565}">
            <x14:dataBar minLength="0" maxLength="100" gradient="0">
              <x14:cfvo type="autoMin"/>
              <x14:cfvo type="autoMax"/>
              <x14:negativeFillColor rgb="FFFF0000"/>
              <x14:axisColor rgb="FF000000"/>
            </x14:dataBar>
          </x14:cfRule>
          <x14:cfRule type="dataBar" id="{7A362C34-11E4-455F-8BA1-E25BFA81BDC1}">
            <x14:dataBar minLength="0" maxLength="100" gradient="0">
              <x14:cfvo type="autoMin"/>
              <x14:cfvo type="autoMax"/>
              <x14:negativeFillColor rgb="FFFF0000"/>
              <x14:axisColor rgb="FF000000"/>
            </x14:dataBar>
          </x14:cfRule>
          <xm:sqref>O35</xm:sqref>
        </x14:conditionalFormatting>
        <x14:conditionalFormatting xmlns:xm="http://schemas.microsoft.com/office/excel/2006/main">
          <x14:cfRule type="dataBar" id="{720AF189-AD54-4521-8FC5-86C8FA893F3A}">
            <x14:dataBar minLength="0" maxLength="100" gradient="0">
              <x14:cfvo type="autoMin"/>
              <x14:cfvo type="autoMax"/>
              <x14:negativeFillColor rgb="FFFF0000"/>
              <x14:axisColor rgb="FF000000"/>
            </x14:dataBar>
          </x14:cfRule>
          <xm:sqref>O29:O31</xm:sqref>
        </x14:conditionalFormatting>
        <x14:conditionalFormatting xmlns:xm="http://schemas.microsoft.com/office/excel/2006/main">
          <x14:cfRule type="dataBar" id="{66198AD7-A646-466A-BE1E-2405DE426AF2}">
            <x14:dataBar minLength="0" maxLength="100" gradient="0">
              <x14:cfvo type="autoMin"/>
              <x14:cfvo type="autoMax"/>
              <x14:negativeFillColor rgb="FFFF0000"/>
              <x14:axisColor rgb="FF000000"/>
            </x14:dataBar>
          </x14:cfRule>
          <xm:sqref>I29:I33</xm:sqref>
        </x14:conditionalFormatting>
        <x14:conditionalFormatting xmlns:xm="http://schemas.microsoft.com/office/excel/2006/main">
          <x14:cfRule type="dataBar" id="{59AB8C90-5F4F-4DF6-9171-F5BC395AE5AE}">
            <x14:dataBar minLength="0" maxLength="100" gradient="0">
              <x14:cfvo type="autoMin"/>
              <x14:cfvo type="autoMax"/>
              <x14:negativeFillColor rgb="FFFF0000"/>
              <x14:axisColor rgb="FF000000"/>
            </x14:dataBar>
          </x14:cfRule>
          <xm:sqref>G29:G31</xm:sqref>
        </x14:conditionalFormatting>
        <x14:conditionalFormatting xmlns:xm="http://schemas.microsoft.com/office/excel/2006/main">
          <x14:cfRule type="dataBar" id="{EB2E8010-D418-435D-8848-9CA8A2EF2035}">
            <x14:dataBar minLength="0" maxLength="100" gradient="0">
              <x14:cfvo type="autoMin"/>
              <x14:cfvo type="autoMax"/>
              <x14:negativeFillColor rgb="FFFF0000"/>
              <x14:axisColor rgb="FF000000"/>
            </x14:dataBar>
          </x14:cfRule>
          <xm:sqref>E29</xm:sqref>
        </x14:conditionalFormatting>
        <x14:conditionalFormatting xmlns:xm="http://schemas.microsoft.com/office/excel/2006/main">
          <x14:cfRule type="dataBar" id="{9087C791-954E-4954-8237-32EED3B0B8CF}">
            <x14:dataBar minLength="0" maxLength="100" gradient="0">
              <x14:cfvo type="autoMin"/>
              <x14:cfvo type="autoMax"/>
              <x14:negativeFillColor rgb="FFFF0000"/>
              <x14:axisColor rgb="FF000000"/>
            </x14:dataBar>
          </x14:cfRule>
          <xm:sqref>O10 O19 O28 O35</xm:sqref>
        </x14:conditionalFormatting>
        <x14:conditionalFormatting xmlns:xm="http://schemas.microsoft.com/office/excel/2006/main">
          <x14:cfRule type="dataBar" id="{8C9B77A1-4BCE-44FA-8D25-DBB58958041F}">
            <x14:dataBar minLength="0" maxLength="100" gradient="0">
              <x14:cfvo type="autoMin"/>
              <x14:cfvo type="autoMax"/>
              <x14:negativeFillColor rgb="FFFF0000"/>
              <x14:axisColor rgb="FF000000"/>
            </x14:dataBar>
          </x14:cfRule>
          <xm:sqref>E20:E23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7BDB-FD8A-4FC2-991F-10CA4BF7A27C}">
  <sheetPr>
    <tabColor rgb="FFFF9933"/>
  </sheetPr>
  <dimension ref="A1:Q842"/>
  <sheetViews>
    <sheetView zoomScale="60" zoomScaleNormal="60" workbookViewId="0">
      <selection activeCell="S39" sqref="S39"/>
    </sheetView>
  </sheetViews>
  <sheetFormatPr defaultRowHeight="15"/>
  <cols>
    <col min="1" max="1" width="10.85546875" customWidth="1"/>
    <col min="2" max="2" width="16.28515625" customWidth="1"/>
    <col min="3" max="3" width="11.5703125" customWidth="1"/>
    <col min="4" max="4" width="21.42578125" customWidth="1"/>
    <col min="5" max="5" width="14.28515625" customWidth="1"/>
    <col min="6" max="6" width="27" customWidth="1"/>
    <col min="7" max="7" width="15.42578125" customWidth="1"/>
    <col min="8" max="8" width="30.140625" customWidth="1"/>
    <col min="9" max="9" width="21.140625" customWidth="1"/>
    <col min="10" max="10" width="15.42578125" customWidth="1"/>
    <col min="11" max="11" width="0.42578125" customWidth="1"/>
    <col min="12" max="12" width="12.140625" customWidth="1"/>
    <col min="13" max="13" width="13.140625" customWidth="1"/>
    <col min="14" max="14" width="15.42578125" customWidth="1"/>
    <col min="15" max="15" width="16.42578125" customWidth="1"/>
    <col min="16" max="17" width="38.5703125" customWidth="1"/>
  </cols>
  <sheetData>
    <row r="1" spans="1:17" ht="81.75" customHeight="1" thickBot="1">
      <c r="A1" s="68" t="s">
        <v>0</v>
      </c>
      <c r="B1" s="68" t="s">
        <v>1</v>
      </c>
      <c r="C1" s="68" t="s">
        <v>2</v>
      </c>
      <c r="D1" s="69" t="s">
        <v>3</v>
      </c>
      <c r="E1" s="68" t="s">
        <v>4</v>
      </c>
      <c r="F1" s="68" t="s">
        <v>5</v>
      </c>
      <c r="G1" s="68" t="s">
        <v>6</v>
      </c>
      <c r="H1" s="68" t="s">
        <v>49</v>
      </c>
      <c r="I1" s="68" t="s">
        <v>8</v>
      </c>
      <c r="J1" s="68" t="s">
        <v>9</v>
      </c>
      <c r="K1" s="68" t="s">
        <v>10</v>
      </c>
      <c r="L1" s="68" t="s">
        <v>11</v>
      </c>
      <c r="M1" s="68" t="s">
        <v>50</v>
      </c>
      <c r="N1" s="68" t="s">
        <v>13</v>
      </c>
      <c r="O1" s="68" t="s">
        <v>14</v>
      </c>
      <c r="P1" s="20" t="s">
        <v>15</v>
      </c>
      <c r="Q1" s="3" t="s">
        <v>72</v>
      </c>
    </row>
    <row r="2" spans="1:17" ht="18" customHeight="1">
      <c r="A2" s="292" t="s">
        <v>73</v>
      </c>
      <c r="B2" s="70" t="s">
        <v>35</v>
      </c>
      <c r="C2" s="71">
        <v>4.9615559999999996E-2</v>
      </c>
      <c r="D2" s="72" t="s">
        <v>36</v>
      </c>
      <c r="E2" s="73">
        <v>0.70250000000000001</v>
      </c>
      <c r="F2" s="72" t="s">
        <v>19</v>
      </c>
      <c r="G2" s="74">
        <v>4.9615559999999998E-3</v>
      </c>
      <c r="H2" s="75" t="s">
        <v>20</v>
      </c>
      <c r="I2" s="74">
        <v>1.2403889999999997E-2</v>
      </c>
      <c r="J2" s="76">
        <v>3</v>
      </c>
      <c r="K2" s="76"/>
      <c r="L2" s="76">
        <v>2</v>
      </c>
      <c r="M2" s="77">
        <v>6</v>
      </c>
      <c r="N2" s="78">
        <v>3</v>
      </c>
      <c r="O2" s="74">
        <v>8.9308007999999994E-2</v>
      </c>
      <c r="P2" s="294" t="s">
        <v>74</v>
      </c>
      <c r="Q2" s="288" t="s">
        <v>75</v>
      </c>
    </row>
    <row r="3" spans="1:17" ht="18" customHeight="1">
      <c r="A3" s="293"/>
      <c r="B3" s="70"/>
      <c r="C3" s="70"/>
      <c r="D3" s="72" t="s">
        <v>38</v>
      </c>
      <c r="E3" s="73">
        <v>0.20749999999999999</v>
      </c>
      <c r="F3" s="72" t="s">
        <v>39</v>
      </c>
      <c r="G3" s="74">
        <v>9.9231119999999996E-3</v>
      </c>
      <c r="H3" s="75" t="s">
        <v>24</v>
      </c>
      <c r="I3" s="74">
        <v>1.7365445999999996E-2</v>
      </c>
      <c r="J3" s="76">
        <v>3</v>
      </c>
      <c r="K3" s="76"/>
      <c r="L3" s="76">
        <v>2</v>
      </c>
      <c r="M3" s="77">
        <v>6</v>
      </c>
      <c r="N3" s="78">
        <v>3</v>
      </c>
      <c r="O3" s="74">
        <v>0.17861601599999999</v>
      </c>
      <c r="P3" s="286"/>
      <c r="Q3" s="289"/>
    </row>
    <row r="4" spans="1:17" ht="18" customHeight="1">
      <c r="A4" s="293"/>
      <c r="B4" s="70"/>
      <c r="C4" s="70"/>
      <c r="D4" s="72" t="s">
        <v>40</v>
      </c>
      <c r="E4" s="73">
        <v>0.09</v>
      </c>
      <c r="F4" s="72" t="s">
        <v>25</v>
      </c>
      <c r="G4" s="74">
        <v>3.4730891999999992E-2</v>
      </c>
      <c r="H4" s="75" t="s">
        <v>41</v>
      </c>
      <c r="I4" s="74">
        <v>4.9615559999999989E-3</v>
      </c>
      <c r="J4" s="76">
        <v>4</v>
      </c>
      <c r="K4" s="76"/>
      <c r="L4" s="76">
        <v>2</v>
      </c>
      <c r="M4" s="77">
        <v>8</v>
      </c>
      <c r="N4" s="78">
        <v>2</v>
      </c>
      <c r="O4" s="74">
        <v>0.55569427199999988</v>
      </c>
      <c r="P4" s="286"/>
      <c r="Q4" s="289"/>
    </row>
    <row r="5" spans="1:17" ht="18" customHeight="1">
      <c r="A5" s="293"/>
      <c r="B5" s="70"/>
      <c r="C5" s="70"/>
      <c r="D5" s="72"/>
      <c r="E5" s="73"/>
      <c r="F5" s="72"/>
      <c r="G5" s="74"/>
      <c r="H5" s="75" t="s">
        <v>42</v>
      </c>
      <c r="I5" s="74">
        <v>4.9615559999999989E-3</v>
      </c>
      <c r="J5" s="76"/>
      <c r="K5" s="76"/>
      <c r="L5" s="76"/>
      <c r="M5" s="77"/>
      <c r="N5" s="78"/>
      <c r="O5" s="79"/>
      <c r="P5" s="286"/>
      <c r="Q5" s="289"/>
    </row>
    <row r="6" spans="1:17" ht="18" customHeight="1">
      <c r="A6" s="293"/>
      <c r="B6" s="70"/>
      <c r="C6" s="70"/>
      <c r="D6" s="72"/>
      <c r="E6" s="75"/>
      <c r="F6" s="72"/>
      <c r="G6" s="74"/>
      <c r="H6" s="75" t="s">
        <v>43</v>
      </c>
      <c r="I6" s="74">
        <v>4.9615559999999989E-3</v>
      </c>
      <c r="J6" s="76"/>
      <c r="K6" s="76"/>
      <c r="L6" s="76"/>
      <c r="M6" s="77"/>
      <c r="N6" s="78"/>
      <c r="O6" s="79"/>
      <c r="P6" s="286"/>
      <c r="Q6" s="289"/>
    </row>
    <row r="7" spans="1:17" ht="18" customHeight="1">
      <c r="A7" s="293"/>
      <c r="B7" s="70"/>
      <c r="C7" s="70"/>
      <c r="D7" s="72"/>
      <c r="E7" s="75"/>
      <c r="F7" s="72"/>
      <c r="G7" s="74"/>
      <c r="H7" s="75" t="s">
        <v>44</v>
      </c>
      <c r="I7" s="74">
        <v>2.4807779999999995E-3</v>
      </c>
      <c r="J7" s="76"/>
      <c r="K7" s="76"/>
      <c r="L7" s="76"/>
      <c r="M7" s="77"/>
      <c r="N7" s="78"/>
      <c r="O7" s="79"/>
      <c r="P7" s="286"/>
      <c r="Q7" s="289"/>
    </row>
    <row r="8" spans="1:17" ht="15.75" customHeight="1">
      <c r="A8" s="293"/>
      <c r="B8" s="70"/>
      <c r="C8" s="70"/>
      <c r="D8" s="72"/>
      <c r="E8" s="75"/>
      <c r="F8" s="72"/>
      <c r="G8" s="74"/>
      <c r="H8" s="75" t="s">
        <v>45</v>
      </c>
      <c r="I8" s="74">
        <v>4.9615559999999985E-4</v>
      </c>
      <c r="J8" s="76"/>
      <c r="K8" s="76"/>
      <c r="L8" s="76"/>
      <c r="M8" s="77"/>
      <c r="N8" s="78"/>
      <c r="O8" s="79"/>
      <c r="P8" s="286"/>
      <c r="Q8" s="289"/>
    </row>
    <row r="9" spans="1:17" ht="16.5" customHeight="1" thickBot="1">
      <c r="A9" s="293"/>
      <c r="B9" s="70"/>
      <c r="C9" s="70"/>
      <c r="D9" s="72"/>
      <c r="E9" s="75"/>
      <c r="F9" s="72"/>
      <c r="G9" s="74"/>
      <c r="H9" s="75" t="s">
        <v>30</v>
      </c>
      <c r="I9" s="74">
        <v>2.4807779999999995E-3</v>
      </c>
      <c r="J9" s="76"/>
      <c r="K9" s="76"/>
      <c r="L9" s="76"/>
      <c r="M9" s="77"/>
      <c r="N9" s="78"/>
      <c r="O9" s="79"/>
      <c r="P9" s="287"/>
      <c r="Q9" s="289"/>
    </row>
    <row r="10" spans="1:17" ht="14.25" customHeight="1" thickBot="1">
      <c r="A10" s="293"/>
      <c r="B10" s="80"/>
      <c r="C10" s="80" t="s">
        <v>31</v>
      </c>
      <c r="D10" s="81"/>
      <c r="E10" s="82">
        <v>1</v>
      </c>
      <c r="F10" s="83"/>
      <c r="G10" s="83">
        <v>4.9615559999999989E-2</v>
      </c>
      <c r="H10" s="83"/>
      <c r="I10" s="83">
        <v>5.0111715599999981E-2</v>
      </c>
      <c r="J10" s="84"/>
      <c r="K10" s="84"/>
      <c r="L10" s="84"/>
      <c r="M10" s="85"/>
      <c r="N10" s="84"/>
      <c r="O10" s="85">
        <v>0.82361829599999981</v>
      </c>
      <c r="P10" s="8"/>
      <c r="Q10" s="289"/>
    </row>
    <row r="11" spans="1:17" ht="18.75">
      <c r="A11" s="293"/>
      <c r="B11" s="86" t="s">
        <v>64</v>
      </c>
      <c r="C11" s="87">
        <v>4.9703219999999999E-2</v>
      </c>
      <c r="D11" s="88" t="s">
        <v>64</v>
      </c>
      <c r="E11" s="89">
        <v>1</v>
      </c>
      <c r="F11" s="88" t="s">
        <v>19</v>
      </c>
      <c r="G11" s="73">
        <v>1.9881287999999999E-3</v>
      </c>
      <c r="H11" s="90" t="s">
        <v>20</v>
      </c>
      <c r="I11" s="73">
        <v>1.2425805E-2</v>
      </c>
      <c r="J11" s="91">
        <v>3</v>
      </c>
      <c r="K11" s="92"/>
      <c r="L11" s="91">
        <v>2</v>
      </c>
      <c r="M11" s="77">
        <v>6</v>
      </c>
      <c r="N11" s="78">
        <v>3</v>
      </c>
      <c r="O11" s="74">
        <v>3.5786318400000003E-2</v>
      </c>
      <c r="P11" s="295" t="s">
        <v>76</v>
      </c>
      <c r="Q11" s="289"/>
    </row>
    <row r="12" spans="1:17" ht="18.75">
      <c r="A12" s="293"/>
      <c r="B12" s="86"/>
      <c r="C12" s="86"/>
      <c r="D12" s="93"/>
      <c r="E12" s="94"/>
      <c r="F12" s="88" t="s">
        <v>23</v>
      </c>
      <c r="G12" s="73">
        <v>3.2804125199999999E-2</v>
      </c>
      <c r="H12" s="90" t="s">
        <v>24</v>
      </c>
      <c r="I12" s="73">
        <v>6.9584508000000008E-3</v>
      </c>
      <c r="J12" s="91">
        <v>4</v>
      </c>
      <c r="K12" s="92"/>
      <c r="L12" s="91">
        <v>2</v>
      </c>
      <c r="M12" s="77">
        <v>8</v>
      </c>
      <c r="N12" s="78">
        <v>3</v>
      </c>
      <c r="O12" s="74">
        <v>0.78729900480000004</v>
      </c>
      <c r="P12" s="291"/>
      <c r="Q12" s="289"/>
    </row>
    <row r="13" spans="1:17" ht="18.75">
      <c r="A13" s="293"/>
      <c r="B13" s="86"/>
      <c r="C13" s="86"/>
      <c r="D13" s="93"/>
      <c r="E13" s="94"/>
      <c r="F13" s="88" t="s">
        <v>25</v>
      </c>
      <c r="G13" s="73">
        <v>1.4910965999999999E-2</v>
      </c>
      <c r="H13" s="90" t="s">
        <v>28</v>
      </c>
      <c r="I13" s="73">
        <v>4.9703220000000001E-3</v>
      </c>
      <c r="J13" s="91">
        <v>4</v>
      </c>
      <c r="K13" s="92"/>
      <c r="L13" s="91">
        <v>2</v>
      </c>
      <c r="M13" s="77">
        <v>8</v>
      </c>
      <c r="N13" s="78">
        <v>2</v>
      </c>
      <c r="O13" s="74">
        <v>0.23857545599999999</v>
      </c>
      <c r="P13" s="291"/>
      <c r="Q13" s="289"/>
    </row>
    <row r="14" spans="1:17" ht="18.75">
      <c r="A14" s="293"/>
      <c r="B14" s="86"/>
      <c r="C14" s="86"/>
      <c r="D14" s="93"/>
      <c r="E14" s="94"/>
      <c r="F14" s="94"/>
      <c r="G14" s="95"/>
      <c r="H14" s="90" t="s">
        <v>29</v>
      </c>
      <c r="I14" s="73">
        <v>4.9703220000000001E-3</v>
      </c>
      <c r="J14" s="76"/>
      <c r="K14" s="76"/>
      <c r="L14" s="76"/>
      <c r="M14" s="96"/>
      <c r="N14" s="72"/>
      <c r="O14" s="72"/>
      <c r="P14" s="291"/>
      <c r="Q14" s="289"/>
    </row>
    <row r="15" spans="1:17" ht="18.75">
      <c r="A15" s="293"/>
      <c r="B15" s="86"/>
      <c r="C15" s="86"/>
      <c r="D15" s="93"/>
      <c r="E15" s="94"/>
      <c r="F15" s="94"/>
      <c r="G15" s="95"/>
      <c r="H15" s="90" t="s">
        <v>34</v>
      </c>
      <c r="I15" s="73">
        <v>1.2425805E-2</v>
      </c>
      <c r="J15" s="76"/>
      <c r="K15" s="76"/>
      <c r="L15" s="76"/>
      <c r="M15" s="96"/>
      <c r="N15" s="72"/>
      <c r="O15" s="72"/>
      <c r="P15" s="291"/>
      <c r="Q15" s="289"/>
    </row>
    <row r="16" spans="1:17" ht="18.75">
      <c r="A16" s="293"/>
      <c r="B16" s="86"/>
      <c r="C16" s="86"/>
      <c r="D16" s="93"/>
      <c r="E16" s="94"/>
      <c r="F16" s="94"/>
      <c r="G16" s="95"/>
      <c r="H16" s="90" t="s">
        <v>62</v>
      </c>
      <c r="I16" s="73">
        <v>2.4851610000000001E-3</v>
      </c>
      <c r="J16" s="76"/>
      <c r="K16" s="76"/>
      <c r="L16" s="76"/>
      <c r="M16" s="96"/>
      <c r="N16" s="72"/>
      <c r="O16" s="72"/>
      <c r="P16" s="291"/>
      <c r="Q16" s="289"/>
    </row>
    <row r="17" spans="1:17" ht="18.75">
      <c r="A17" s="293"/>
      <c r="B17" s="86"/>
      <c r="C17" s="86"/>
      <c r="D17" s="93"/>
      <c r="E17" s="94"/>
      <c r="F17" s="94"/>
      <c r="G17" s="95"/>
      <c r="H17" s="90" t="s">
        <v>63</v>
      </c>
      <c r="I17" s="73">
        <v>4.9703219999999997E-4</v>
      </c>
      <c r="J17" s="76"/>
      <c r="K17" s="76"/>
      <c r="L17" s="76"/>
      <c r="M17" s="96"/>
      <c r="N17" s="72"/>
      <c r="O17" s="72"/>
      <c r="P17" s="291"/>
      <c r="Q17" s="289"/>
    </row>
    <row r="18" spans="1:17" ht="19.5" thickBot="1">
      <c r="A18" s="293"/>
      <c r="B18" s="86"/>
      <c r="C18" s="86"/>
      <c r="D18" s="97"/>
      <c r="E18" s="72"/>
      <c r="F18" s="72"/>
      <c r="G18" s="95"/>
      <c r="H18" s="90" t="s">
        <v>48</v>
      </c>
      <c r="I18" s="73">
        <v>4.9703220000000001E-3</v>
      </c>
      <c r="J18" s="76"/>
      <c r="K18" s="76"/>
      <c r="L18" s="76"/>
      <c r="M18" s="96"/>
      <c r="N18" s="72"/>
      <c r="O18" s="72"/>
      <c r="P18" s="296"/>
      <c r="Q18" s="289"/>
    </row>
    <row r="19" spans="1:17" ht="17.25" customHeight="1" thickBot="1">
      <c r="A19" s="293"/>
      <c r="B19" s="98"/>
      <c r="C19" s="98" t="s">
        <v>31</v>
      </c>
      <c r="D19" s="99"/>
      <c r="E19" s="100">
        <v>1</v>
      </c>
      <c r="F19" s="100"/>
      <c r="G19" s="101">
        <v>4.9703219999999999E-2</v>
      </c>
      <c r="H19" s="101"/>
      <c r="I19" s="101">
        <v>4.9703219999999992E-2</v>
      </c>
      <c r="J19" s="102"/>
      <c r="K19" s="102"/>
      <c r="L19" s="102"/>
      <c r="M19" s="101"/>
      <c r="N19" s="101"/>
      <c r="O19" s="101">
        <v>1.0616607792000001</v>
      </c>
      <c r="P19" s="9"/>
      <c r="Q19" s="289"/>
    </row>
    <row r="20" spans="1:17" ht="18.75">
      <c r="A20" s="293"/>
      <c r="B20" s="86" t="s">
        <v>77</v>
      </c>
      <c r="C20" s="87">
        <v>2.875248E-2</v>
      </c>
      <c r="D20" s="88" t="s">
        <v>61</v>
      </c>
      <c r="E20" s="103">
        <v>1.437624E-2</v>
      </c>
      <c r="F20" s="75" t="s">
        <v>19</v>
      </c>
      <c r="G20" s="74">
        <v>2.8752480000000004E-3</v>
      </c>
      <c r="H20" s="75" t="s">
        <v>20</v>
      </c>
      <c r="I20" s="74">
        <v>7.1881200000000001E-3</v>
      </c>
      <c r="J20" s="76">
        <v>3</v>
      </c>
      <c r="K20" s="76"/>
      <c r="L20" s="76">
        <v>2</v>
      </c>
      <c r="M20" s="77">
        <v>6</v>
      </c>
      <c r="N20" s="96">
        <v>3</v>
      </c>
      <c r="O20" s="74">
        <v>5.1754464E-2</v>
      </c>
      <c r="P20" s="285" t="s">
        <v>78</v>
      </c>
      <c r="Q20" s="289"/>
    </row>
    <row r="21" spans="1:17" ht="18.75">
      <c r="A21" s="293"/>
      <c r="B21" s="86"/>
      <c r="C21" s="86"/>
      <c r="D21" s="88" t="s">
        <v>79</v>
      </c>
      <c r="E21" s="103">
        <v>1.0350892799999999E-2</v>
      </c>
      <c r="F21" s="75" t="s">
        <v>23</v>
      </c>
      <c r="G21" s="74">
        <v>5.7504960000000008E-3</v>
      </c>
      <c r="H21" s="75" t="s">
        <v>24</v>
      </c>
      <c r="I21" s="74">
        <v>1.0063368E-2</v>
      </c>
      <c r="J21" s="76">
        <v>3</v>
      </c>
      <c r="K21" s="76"/>
      <c r="L21" s="76">
        <v>2</v>
      </c>
      <c r="M21" s="77">
        <v>6</v>
      </c>
      <c r="N21" s="96">
        <v>3</v>
      </c>
      <c r="O21" s="74">
        <v>0.103508928</v>
      </c>
      <c r="P21" s="286"/>
      <c r="Q21" s="289"/>
    </row>
    <row r="22" spans="1:17" ht="18.75">
      <c r="A22" s="293"/>
      <c r="B22" s="86"/>
      <c r="C22" s="86"/>
      <c r="D22" s="88" t="s">
        <v>40</v>
      </c>
      <c r="E22" s="103">
        <v>4.0253472000000004E-3</v>
      </c>
      <c r="F22" s="75" t="s">
        <v>25</v>
      </c>
      <c r="G22" s="74">
        <v>2.0126735999999999E-2</v>
      </c>
      <c r="H22" s="75" t="s">
        <v>28</v>
      </c>
      <c r="I22" s="74">
        <v>2.8752480000000004E-3</v>
      </c>
      <c r="J22" s="76">
        <v>4</v>
      </c>
      <c r="K22" s="76"/>
      <c r="L22" s="76">
        <v>2</v>
      </c>
      <c r="M22" s="77">
        <v>8</v>
      </c>
      <c r="N22" s="96">
        <v>2</v>
      </c>
      <c r="O22" s="74">
        <v>0.32202777599999999</v>
      </c>
      <c r="P22" s="286"/>
      <c r="Q22" s="289"/>
    </row>
    <row r="23" spans="1:17" ht="18.75">
      <c r="A23" s="293"/>
      <c r="B23" s="86"/>
      <c r="C23" s="86"/>
      <c r="D23" s="88"/>
      <c r="E23" s="103"/>
      <c r="F23" s="72"/>
      <c r="G23" s="95"/>
      <c r="H23" s="75" t="s">
        <v>29</v>
      </c>
      <c r="I23" s="74">
        <v>2.8752480000000004E-3</v>
      </c>
      <c r="J23" s="76"/>
      <c r="K23" s="76"/>
      <c r="L23" s="76"/>
      <c r="M23" s="96"/>
      <c r="N23" s="72"/>
      <c r="O23" s="72"/>
      <c r="P23" s="286"/>
      <c r="Q23" s="289"/>
    </row>
    <row r="24" spans="1:17" ht="18.75">
      <c r="A24" s="293"/>
      <c r="B24" s="86"/>
      <c r="C24" s="86"/>
      <c r="D24" s="88"/>
      <c r="E24" s="103"/>
      <c r="F24" s="72"/>
      <c r="G24" s="95"/>
      <c r="H24" s="75" t="s">
        <v>48</v>
      </c>
      <c r="I24" s="74">
        <v>2.8752480000000004E-3</v>
      </c>
      <c r="J24" s="76"/>
      <c r="K24" s="76"/>
      <c r="L24" s="76"/>
      <c r="M24" s="96"/>
      <c r="N24" s="72"/>
      <c r="O24" s="72"/>
      <c r="P24" s="286"/>
      <c r="Q24" s="289"/>
    </row>
    <row r="25" spans="1:17" ht="18.75">
      <c r="A25" s="293"/>
      <c r="B25" s="86"/>
      <c r="C25" s="86"/>
      <c r="D25" s="88"/>
      <c r="E25" s="103"/>
      <c r="F25" s="72"/>
      <c r="G25" s="104"/>
      <c r="H25" s="75" t="s">
        <v>44</v>
      </c>
      <c r="I25" s="74">
        <v>0</v>
      </c>
      <c r="J25" s="105"/>
      <c r="K25" s="105"/>
      <c r="L25" s="105"/>
      <c r="M25" s="106"/>
      <c r="N25" s="72"/>
      <c r="O25" s="72"/>
      <c r="P25" s="286"/>
      <c r="Q25" s="289"/>
    </row>
    <row r="26" spans="1:17" ht="18.75">
      <c r="A26" s="293"/>
      <c r="B26" s="86"/>
      <c r="C26" s="86"/>
      <c r="D26" s="88"/>
      <c r="E26" s="107"/>
      <c r="F26" s="72"/>
      <c r="G26" s="95"/>
      <c r="H26" s="75" t="s">
        <v>45</v>
      </c>
      <c r="I26" s="74">
        <v>2.875248E-4</v>
      </c>
      <c r="J26" s="76"/>
      <c r="K26" s="76"/>
      <c r="L26" s="76"/>
      <c r="M26" s="96"/>
      <c r="N26" s="72"/>
      <c r="O26" s="72"/>
      <c r="P26" s="286"/>
      <c r="Q26" s="289"/>
    </row>
    <row r="27" spans="1:17" ht="19.5" thickBot="1">
      <c r="A27" s="293"/>
      <c r="B27" s="86"/>
      <c r="C27" s="86"/>
      <c r="D27" s="97"/>
      <c r="E27" s="72"/>
      <c r="F27" s="72"/>
      <c r="G27" s="95"/>
      <c r="H27" s="75" t="s">
        <v>30</v>
      </c>
      <c r="I27" s="74">
        <v>1.1500992E-3</v>
      </c>
      <c r="J27" s="76"/>
      <c r="K27" s="76"/>
      <c r="L27" s="76"/>
      <c r="M27" s="96"/>
      <c r="N27" s="72"/>
      <c r="O27" s="72"/>
      <c r="P27" s="287"/>
      <c r="Q27" s="289"/>
    </row>
    <row r="28" spans="1:17" ht="19.5" thickBot="1">
      <c r="A28" s="293"/>
      <c r="B28" s="99"/>
      <c r="C28" s="100" t="s">
        <v>31</v>
      </c>
      <c r="D28" s="100"/>
      <c r="E28" s="108">
        <v>2.875248E-2</v>
      </c>
      <c r="F28" s="100"/>
      <c r="G28" s="101">
        <v>2.875248E-2</v>
      </c>
      <c r="H28" s="100"/>
      <c r="I28" s="101">
        <v>2.7314856000000002E-2</v>
      </c>
      <c r="J28" s="109"/>
      <c r="K28" s="109"/>
      <c r="L28" s="109"/>
      <c r="M28" s="100"/>
      <c r="N28" s="110"/>
      <c r="O28" s="101">
        <v>0.47729116799999999</v>
      </c>
      <c r="P28" s="9"/>
      <c r="Q28" s="289"/>
    </row>
    <row r="29" spans="1:17" ht="18.75">
      <c r="A29" s="293"/>
      <c r="B29" s="111" t="s">
        <v>46</v>
      </c>
      <c r="C29" s="112">
        <v>1.2447719999999999E-2</v>
      </c>
      <c r="D29" s="72" t="s">
        <v>46</v>
      </c>
      <c r="E29" s="75">
        <v>1</v>
      </c>
      <c r="F29" s="72" t="s">
        <v>19</v>
      </c>
      <c r="G29" s="74">
        <v>2.4895439999999998E-3</v>
      </c>
      <c r="H29" s="72" t="s">
        <v>20</v>
      </c>
      <c r="I29" s="74">
        <v>4.3567019999999996E-3</v>
      </c>
      <c r="J29" s="76">
        <v>3</v>
      </c>
      <c r="K29" s="78"/>
      <c r="L29" s="76">
        <v>2</v>
      </c>
      <c r="M29" s="77">
        <v>6</v>
      </c>
      <c r="N29" s="72">
        <v>3</v>
      </c>
      <c r="O29" s="74">
        <v>4.4811791999999996E-2</v>
      </c>
      <c r="P29" s="297" t="s">
        <v>80</v>
      </c>
      <c r="Q29" s="289"/>
    </row>
    <row r="30" spans="1:17" ht="18.75">
      <c r="A30" s="293"/>
      <c r="B30" s="113"/>
      <c r="C30" s="113"/>
      <c r="D30" s="72"/>
      <c r="E30" s="72"/>
      <c r="F30" s="72" t="s">
        <v>23</v>
      </c>
      <c r="G30" s="74">
        <v>3.7343159999999997E-3</v>
      </c>
      <c r="H30" s="72" t="s">
        <v>24</v>
      </c>
      <c r="I30" s="74">
        <v>2.4895439999999998E-3</v>
      </c>
      <c r="J30" s="76">
        <v>3</v>
      </c>
      <c r="K30" s="78"/>
      <c r="L30" s="76">
        <v>2</v>
      </c>
      <c r="M30" s="77">
        <v>6</v>
      </c>
      <c r="N30" s="72">
        <v>3</v>
      </c>
      <c r="O30" s="74">
        <v>6.7217687999999984E-2</v>
      </c>
      <c r="P30" s="286"/>
      <c r="Q30" s="289"/>
    </row>
    <row r="31" spans="1:17" ht="18.75">
      <c r="A31" s="293"/>
      <c r="B31" s="113"/>
      <c r="C31" s="113"/>
      <c r="D31" s="72"/>
      <c r="E31" s="72"/>
      <c r="F31" s="72" t="s">
        <v>25</v>
      </c>
      <c r="G31" s="74">
        <v>6.2238599999999995E-3</v>
      </c>
      <c r="H31" s="72" t="s">
        <v>28</v>
      </c>
      <c r="I31" s="74">
        <v>1.2447719999999999E-3</v>
      </c>
      <c r="J31" s="76">
        <v>3</v>
      </c>
      <c r="K31" s="78"/>
      <c r="L31" s="76">
        <v>2</v>
      </c>
      <c r="M31" s="77">
        <v>6</v>
      </c>
      <c r="N31" s="72">
        <v>2</v>
      </c>
      <c r="O31" s="74">
        <v>7.468632E-2</v>
      </c>
      <c r="P31" s="286"/>
      <c r="Q31" s="289"/>
    </row>
    <row r="32" spans="1:17" ht="18.75">
      <c r="A32" s="293"/>
      <c r="B32" s="113"/>
      <c r="C32" s="113"/>
      <c r="D32" s="72"/>
      <c r="E32" s="72"/>
      <c r="F32" s="72"/>
      <c r="G32" s="79"/>
      <c r="H32" s="72" t="s">
        <v>29</v>
      </c>
      <c r="I32" s="74">
        <v>2.4895439999999998E-3</v>
      </c>
      <c r="J32" s="78"/>
      <c r="K32" s="78"/>
      <c r="L32" s="78"/>
      <c r="M32" s="72"/>
      <c r="N32" s="72"/>
      <c r="O32" s="72"/>
      <c r="P32" s="286"/>
      <c r="Q32" s="289"/>
    </row>
    <row r="33" spans="1:17" ht="18.75">
      <c r="A33" s="293"/>
      <c r="B33" s="113"/>
      <c r="C33" s="113"/>
      <c r="D33" s="72"/>
      <c r="E33" s="72"/>
      <c r="F33" s="72"/>
      <c r="G33" s="79"/>
      <c r="H33" s="72" t="s">
        <v>48</v>
      </c>
      <c r="I33" s="74">
        <v>1.8671579999999998E-3</v>
      </c>
      <c r="J33" s="78"/>
      <c r="K33" s="78"/>
      <c r="L33" s="78"/>
      <c r="M33" s="72"/>
      <c r="N33" s="72"/>
      <c r="O33" s="72"/>
      <c r="P33" s="286"/>
      <c r="Q33" s="289"/>
    </row>
    <row r="34" spans="1:17" ht="19.5" thickBot="1">
      <c r="A34" s="293"/>
      <c r="B34" s="113"/>
      <c r="C34" s="113"/>
      <c r="D34" s="72"/>
      <c r="E34" s="72"/>
      <c r="F34" s="72"/>
      <c r="G34" s="79"/>
      <c r="H34" s="72"/>
      <c r="I34" s="79"/>
      <c r="J34" s="78"/>
      <c r="K34" s="78"/>
      <c r="L34" s="78"/>
      <c r="M34" s="72"/>
      <c r="N34" s="72"/>
      <c r="O34" s="72"/>
      <c r="P34" s="287"/>
      <c r="Q34" s="289"/>
    </row>
    <row r="35" spans="1:17" ht="19.5" thickBot="1">
      <c r="A35" s="293"/>
      <c r="B35" s="99"/>
      <c r="C35" s="100" t="s">
        <v>31</v>
      </c>
      <c r="D35" s="100"/>
      <c r="E35" s="108">
        <v>1</v>
      </c>
      <c r="F35" s="100"/>
      <c r="G35" s="101">
        <v>1.2447719999999999E-2</v>
      </c>
      <c r="H35" s="100"/>
      <c r="I35" s="101">
        <v>1.2447719999999999E-2</v>
      </c>
      <c r="J35" s="109"/>
      <c r="K35" s="109"/>
      <c r="L35" s="109"/>
      <c r="M35" s="100"/>
      <c r="N35" s="110"/>
      <c r="O35" s="101">
        <v>0.14190400799999997</v>
      </c>
      <c r="P35" s="9"/>
      <c r="Q35" s="289"/>
    </row>
    <row r="36" spans="1:17" ht="37.5">
      <c r="A36" s="293"/>
      <c r="B36" s="70" t="s">
        <v>81</v>
      </c>
      <c r="C36" s="71">
        <v>0.1104516</v>
      </c>
      <c r="D36" s="72" t="s">
        <v>82</v>
      </c>
      <c r="E36" s="73">
        <v>5.52258E-3</v>
      </c>
      <c r="F36" s="72" t="s">
        <v>19</v>
      </c>
      <c r="G36" s="74">
        <v>4.4180640000000002E-3</v>
      </c>
      <c r="H36" s="75" t="s">
        <v>20</v>
      </c>
      <c r="I36" s="74">
        <v>2.7612899999999999E-2</v>
      </c>
      <c r="J36" s="76">
        <v>3</v>
      </c>
      <c r="K36" s="76"/>
      <c r="L36" s="76">
        <v>3</v>
      </c>
      <c r="M36" s="77">
        <v>9</v>
      </c>
      <c r="N36" s="72">
        <v>3</v>
      </c>
      <c r="O36" s="74">
        <v>0.119287728</v>
      </c>
      <c r="P36" s="285" t="s">
        <v>83</v>
      </c>
      <c r="Q36" s="289"/>
    </row>
    <row r="37" spans="1:17" ht="18.75">
      <c r="A37" s="293"/>
      <c r="B37" s="70"/>
      <c r="C37" s="70"/>
      <c r="D37" s="72" t="s">
        <v>84</v>
      </c>
      <c r="E37" s="73">
        <v>4.9703219999999999E-2</v>
      </c>
      <c r="F37" s="72" t="s">
        <v>23</v>
      </c>
      <c r="G37" s="74">
        <v>7.2898056000000003E-2</v>
      </c>
      <c r="H37" s="75" t="s">
        <v>24</v>
      </c>
      <c r="I37" s="74">
        <v>1.5463224000000001E-2</v>
      </c>
      <c r="J37" s="76">
        <v>4</v>
      </c>
      <c r="K37" s="76"/>
      <c r="L37" s="76">
        <v>3</v>
      </c>
      <c r="M37" s="77">
        <v>12</v>
      </c>
      <c r="N37" s="72">
        <v>3</v>
      </c>
      <c r="O37" s="74">
        <v>2.624330016</v>
      </c>
      <c r="P37" s="286"/>
      <c r="Q37" s="289"/>
    </row>
    <row r="38" spans="1:17" ht="18.75">
      <c r="A38" s="293"/>
      <c r="B38" s="70"/>
      <c r="C38" s="70"/>
      <c r="D38" s="72" t="s">
        <v>85</v>
      </c>
      <c r="E38" s="73">
        <v>5.52258E-3</v>
      </c>
      <c r="F38" s="72" t="s">
        <v>25</v>
      </c>
      <c r="G38" s="74">
        <v>3.3135479999999995E-2</v>
      </c>
      <c r="H38" s="75" t="s">
        <v>28</v>
      </c>
      <c r="I38" s="74">
        <v>1.104516E-2</v>
      </c>
      <c r="J38" s="76">
        <v>4</v>
      </c>
      <c r="K38" s="76"/>
      <c r="L38" s="76">
        <v>3</v>
      </c>
      <c r="M38" s="77">
        <v>12</v>
      </c>
      <c r="N38" s="72">
        <v>2</v>
      </c>
      <c r="O38" s="74">
        <v>0.79525151999999999</v>
      </c>
      <c r="P38" s="286"/>
      <c r="Q38" s="289"/>
    </row>
    <row r="39" spans="1:17" ht="18.75">
      <c r="A39" s="293"/>
      <c r="B39" s="70"/>
      <c r="C39" s="70"/>
      <c r="D39" s="72" t="s">
        <v>86</v>
      </c>
      <c r="E39" s="73">
        <v>4.9703219999999999E-2</v>
      </c>
      <c r="F39" s="72"/>
      <c r="G39" s="74"/>
      <c r="H39" s="75" t="s">
        <v>29</v>
      </c>
      <c r="I39" s="74">
        <v>1.104516E-2</v>
      </c>
      <c r="J39" s="76"/>
      <c r="K39" s="76"/>
      <c r="L39" s="76"/>
      <c r="M39" s="96"/>
      <c r="N39" s="72"/>
      <c r="O39" s="72"/>
      <c r="P39" s="286"/>
      <c r="Q39" s="289"/>
    </row>
    <row r="40" spans="1:17" ht="18.75">
      <c r="A40" s="293"/>
      <c r="B40" s="70"/>
      <c r="C40" s="70"/>
      <c r="D40" s="72"/>
      <c r="E40" s="75"/>
      <c r="F40" s="72"/>
      <c r="G40" s="74"/>
      <c r="H40" s="75" t="s">
        <v>34</v>
      </c>
      <c r="I40" s="74">
        <v>2.7612899999999999E-2</v>
      </c>
      <c r="J40" s="76"/>
      <c r="K40" s="76"/>
      <c r="L40" s="76"/>
      <c r="M40" s="96"/>
      <c r="N40" s="72"/>
      <c r="O40" s="72"/>
      <c r="P40" s="286"/>
      <c r="Q40" s="289"/>
    </row>
    <row r="41" spans="1:17" ht="18.75">
      <c r="A41" s="293"/>
      <c r="B41" s="70"/>
      <c r="C41" s="70"/>
      <c r="D41" s="72"/>
      <c r="E41" s="75"/>
      <c r="F41" s="72"/>
      <c r="G41" s="74"/>
      <c r="H41" s="75" t="s">
        <v>62</v>
      </c>
      <c r="I41" s="74">
        <v>5.52258E-3</v>
      </c>
      <c r="J41" s="76"/>
      <c r="K41" s="76"/>
      <c r="L41" s="76"/>
      <c r="M41" s="96"/>
      <c r="N41" s="72"/>
      <c r="O41" s="72"/>
      <c r="P41" s="286"/>
      <c r="Q41" s="289"/>
    </row>
    <row r="42" spans="1:17" ht="18.75">
      <c r="A42" s="293"/>
      <c r="B42" s="70"/>
      <c r="C42" s="70"/>
      <c r="D42" s="72"/>
      <c r="E42" s="75"/>
      <c r="F42" s="72"/>
      <c r="G42" s="74"/>
      <c r="H42" s="75" t="s">
        <v>63</v>
      </c>
      <c r="I42" s="74">
        <v>1.104516E-3</v>
      </c>
      <c r="J42" s="76"/>
      <c r="K42" s="76"/>
      <c r="L42" s="76"/>
      <c r="M42" s="96"/>
      <c r="N42" s="72"/>
      <c r="O42" s="72"/>
      <c r="P42" s="286"/>
      <c r="Q42" s="289"/>
    </row>
    <row r="43" spans="1:17" ht="19.5" thickBot="1">
      <c r="A43" s="293"/>
      <c r="B43" s="70"/>
      <c r="C43" s="70"/>
      <c r="D43" s="72"/>
      <c r="E43" s="75"/>
      <c r="F43" s="72"/>
      <c r="G43" s="74"/>
      <c r="H43" s="75" t="s">
        <v>48</v>
      </c>
      <c r="I43" s="74">
        <v>1.104516E-2</v>
      </c>
      <c r="J43" s="76"/>
      <c r="K43" s="76"/>
      <c r="L43" s="76"/>
      <c r="M43" s="96"/>
      <c r="N43" s="72"/>
      <c r="O43" s="72"/>
      <c r="P43" s="287"/>
      <c r="Q43" s="290"/>
    </row>
    <row r="44" spans="1:17" ht="18.75">
      <c r="A44" s="114"/>
      <c r="B44" s="99"/>
      <c r="C44" s="100" t="s">
        <v>31</v>
      </c>
      <c r="D44" s="100"/>
      <c r="E44" s="108">
        <f>SUM(E36:E39)</f>
        <v>0.1104516</v>
      </c>
      <c r="F44" s="100"/>
      <c r="G44" s="101">
        <f>SUM(G36:G43)</f>
        <v>0.1104516</v>
      </c>
      <c r="H44" s="100"/>
      <c r="I44" s="101">
        <f>SUM(I36:I43)</f>
        <v>0.1104516</v>
      </c>
      <c r="J44" s="109"/>
      <c r="K44" s="109"/>
      <c r="L44" s="109"/>
      <c r="M44" s="100"/>
      <c r="N44" s="110"/>
      <c r="O44" s="101">
        <f>SUM(O36:O43)</f>
        <v>3.5388692640000001</v>
      </c>
      <c r="P44" s="9"/>
      <c r="Q44" s="23"/>
    </row>
    <row r="45" spans="1:17">
      <c r="A45" s="2"/>
      <c r="J45" s="19"/>
      <c r="K45" s="19"/>
      <c r="L45" s="19"/>
    </row>
    <row r="46" spans="1:17">
      <c r="A46" s="2"/>
    </row>
    <row r="47" spans="1:17">
      <c r="A47" s="2"/>
      <c r="J47" s="19"/>
      <c r="K47" s="19"/>
      <c r="L47" s="19"/>
    </row>
    <row r="48" spans="1:17">
      <c r="A48" s="2"/>
      <c r="J48" s="19"/>
      <c r="K48" s="19"/>
      <c r="L48" s="19"/>
    </row>
    <row r="49" spans="1:12">
      <c r="A49" s="2"/>
      <c r="J49" s="19"/>
      <c r="K49" s="19"/>
      <c r="L49" s="19"/>
    </row>
    <row r="50" spans="1:12">
      <c r="A50" s="2"/>
      <c r="J50" s="19"/>
      <c r="K50" s="19"/>
      <c r="L50" s="19"/>
    </row>
    <row r="51" spans="1:12">
      <c r="A51" s="2"/>
      <c r="J51" s="19"/>
      <c r="K51" s="19"/>
      <c r="L51" s="19"/>
    </row>
    <row r="52" spans="1:12">
      <c r="A52" s="2"/>
      <c r="J52" s="19"/>
      <c r="K52" s="19"/>
      <c r="L52" s="19"/>
    </row>
    <row r="53" spans="1:12">
      <c r="A53" s="2"/>
      <c r="J53" s="19"/>
      <c r="K53" s="19"/>
      <c r="L53" s="19"/>
    </row>
    <row r="54" spans="1:12">
      <c r="A54" s="2"/>
      <c r="J54" s="19"/>
      <c r="K54" s="19"/>
      <c r="L54" s="19"/>
    </row>
    <row r="55" spans="1:12">
      <c r="A55" s="2"/>
      <c r="J55" s="19"/>
      <c r="K55" s="19"/>
      <c r="L55" s="19"/>
    </row>
    <row r="56" spans="1:12">
      <c r="A56" s="2"/>
      <c r="J56" s="19"/>
      <c r="K56" s="19"/>
      <c r="L56" s="19"/>
    </row>
    <row r="57" spans="1:12">
      <c r="A57" s="2"/>
      <c r="J57" s="19"/>
      <c r="K57" s="19"/>
      <c r="L57" s="19"/>
    </row>
    <row r="58" spans="1:12">
      <c r="A58" s="2"/>
      <c r="J58" s="19"/>
      <c r="K58" s="19"/>
      <c r="L58" s="19"/>
    </row>
    <row r="59" spans="1:12">
      <c r="A59" s="2"/>
      <c r="J59" s="19"/>
      <c r="K59" s="19"/>
      <c r="L59" s="19"/>
    </row>
    <row r="60" spans="1:12">
      <c r="A60" s="2"/>
      <c r="J60" s="19"/>
      <c r="K60" s="19"/>
      <c r="L60" s="19"/>
    </row>
    <row r="61" spans="1:12">
      <c r="A61" s="2"/>
      <c r="J61" s="19"/>
      <c r="K61" s="19"/>
      <c r="L61" s="19"/>
    </row>
    <row r="62" spans="1:12">
      <c r="A62" s="2"/>
      <c r="J62" s="19"/>
      <c r="K62" s="19"/>
      <c r="L62" s="19"/>
    </row>
    <row r="63" spans="1:12">
      <c r="A63" s="2"/>
      <c r="J63" s="19"/>
      <c r="K63" s="19"/>
      <c r="L63" s="19"/>
    </row>
    <row r="64" spans="1:12">
      <c r="A64" s="2"/>
      <c r="J64" s="19"/>
      <c r="K64" s="19"/>
      <c r="L64" s="19"/>
    </row>
    <row r="65" spans="1:12">
      <c r="A65" s="2"/>
      <c r="J65" s="19"/>
      <c r="K65" s="19"/>
      <c r="L65" s="19"/>
    </row>
    <row r="66" spans="1:12">
      <c r="A66" s="2"/>
      <c r="J66" s="19"/>
      <c r="K66" s="19"/>
      <c r="L66" s="19"/>
    </row>
    <row r="67" spans="1:12">
      <c r="A67" s="2"/>
      <c r="J67" s="19"/>
      <c r="K67" s="19"/>
      <c r="L67" s="19"/>
    </row>
    <row r="68" spans="1:12">
      <c r="A68" s="2"/>
      <c r="J68" s="19"/>
      <c r="K68" s="19"/>
      <c r="L68" s="19"/>
    </row>
    <row r="69" spans="1:12">
      <c r="A69" s="2"/>
      <c r="J69" s="19"/>
      <c r="K69" s="19"/>
      <c r="L69" s="19"/>
    </row>
    <row r="70" spans="1:12">
      <c r="A70" s="2"/>
      <c r="J70" s="19"/>
      <c r="K70" s="19"/>
      <c r="L70" s="19"/>
    </row>
    <row r="71" spans="1:12">
      <c r="A71" s="2"/>
      <c r="J71" s="19"/>
      <c r="K71" s="19"/>
      <c r="L71" s="19"/>
    </row>
    <row r="72" spans="1:12">
      <c r="A72" s="2"/>
      <c r="J72" s="19"/>
      <c r="K72" s="19"/>
      <c r="L72" s="19"/>
    </row>
    <row r="73" spans="1:12">
      <c r="A73" s="2"/>
      <c r="J73" s="19"/>
      <c r="K73" s="19"/>
      <c r="L73" s="19"/>
    </row>
    <row r="74" spans="1:12">
      <c r="A74" s="2"/>
      <c r="J74" s="19"/>
      <c r="K74" s="19"/>
      <c r="L74" s="19"/>
    </row>
    <row r="75" spans="1:12">
      <c r="A75" s="2"/>
      <c r="J75" s="19"/>
      <c r="K75" s="19"/>
      <c r="L75" s="19"/>
    </row>
    <row r="76" spans="1:12">
      <c r="A76" s="2"/>
    </row>
    <row r="77" spans="1:12">
      <c r="A77" s="2"/>
    </row>
    <row r="78" spans="1:12">
      <c r="A78" s="2"/>
    </row>
    <row r="79" spans="1:12">
      <c r="A79" s="2"/>
    </row>
    <row r="80" spans="1:12">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sheetData>
  <mergeCells count="7">
    <mergeCell ref="A2:A43"/>
    <mergeCell ref="Q2:Q43"/>
    <mergeCell ref="P36:P43"/>
    <mergeCell ref="P2:P9"/>
    <mergeCell ref="P11:P18"/>
    <mergeCell ref="P20:P27"/>
    <mergeCell ref="P29:P34"/>
  </mergeCells>
  <conditionalFormatting sqref="M2:M4">
    <cfRule type="cellIs" dxfId="174" priority="80" operator="between">
      <formula>6</formula>
      <formula>12</formula>
    </cfRule>
    <cfRule type="cellIs" dxfId="173" priority="81" operator="greaterThan">
      <formula>12</formula>
    </cfRule>
    <cfRule type="cellIs" dxfId="172" priority="82" operator="lessThan">
      <formula>6</formula>
    </cfRule>
  </conditionalFormatting>
  <conditionalFormatting sqref="G5:G9">
    <cfRule type="dataBar" priority="87">
      <dataBar>
        <cfvo type="min"/>
        <cfvo type="max"/>
        <color rgb="FF638EC6"/>
      </dataBar>
      <extLst>
        <ext xmlns:x14="http://schemas.microsoft.com/office/spreadsheetml/2009/9/main" uri="{B025F937-C7B1-47D3-B67F-A62EFF666E3E}">
          <x14:id>{CD8D3707-09FF-4CB3-93F3-2C1F2E8DA97B}</x14:id>
        </ext>
      </extLst>
    </cfRule>
  </conditionalFormatting>
  <conditionalFormatting sqref="E2:E9">
    <cfRule type="dataBar" priority="88">
      <dataBar>
        <cfvo type="min"/>
        <cfvo type="max"/>
        <color rgb="FF638EC6"/>
      </dataBar>
      <extLst>
        <ext xmlns:x14="http://schemas.microsoft.com/office/spreadsheetml/2009/9/main" uri="{B025F937-C7B1-47D3-B67F-A62EFF666E3E}">
          <x14:id>{536085B4-3483-47BF-8C2B-356AE7B10FDC}</x14:id>
        </ext>
      </extLst>
    </cfRule>
    <cfRule type="dataBar" priority="89">
      <dataBar>
        <cfvo type="min"/>
        <cfvo type="max"/>
        <color rgb="FF63C384"/>
      </dataBar>
      <extLst>
        <ext xmlns:x14="http://schemas.microsoft.com/office/spreadsheetml/2009/9/main" uri="{B025F937-C7B1-47D3-B67F-A62EFF666E3E}">
          <x14:id>{EA8692F3-BA77-4F61-9739-01AAD3B0A074}</x14:id>
        </ext>
      </extLst>
    </cfRule>
  </conditionalFormatting>
  <conditionalFormatting sqref="M2:M4">
    <cfRule type="cellIs" dxfId="171" priority="90" operator="greaterThan">
      <formula>#REF!</formula>
    </cfRule>
    <cfRule type="cellIs" dxfId="170" priority="91" operator="between">
      <formula>#REF!</formula>
      <formula>#REF!</formula>
    </cfRule>
    <cfRule type="cellIs" dxfId="169" priority="92" operator="lessThan">
      <formula>#REF!</formula>
    </cfRule>
    <cfRule type="cellIs" dxfId="168" priority="93" operator="greaterThan">
      <formula>#REF!</formula>
    </cfRule>
  </conditionalFormatting>
  <conditionalFormatting sqref="I2:I9">
    <cfRule type="dataBar" priority="78">
      <dataBar>
        <cfvo type="min"/>
        <cfvo type="max"/>
        <color rgb="FF63C384"/>
      </dataBar>
      <extLst>
        <ext xmlns:x14="http://schemas.microsoft.com/office/spreadsheetml/2009/9/main" uri="{B025F937-C7B1-47D3-B67F-A62EFF666E3E}">
          <x14:id>{2A907AF7-CCCD-4013-A133-D610CE06C2B1}</x14:id>
        </ext>
      </extLst>
    </cfRule>
  </conditionalFormatting>
  <conditionalFormatting sqref="E2:E5">
    <cfRule type="dataBar" priority="77">
      <dataBar>
        <cfvo type="min"/>
        <cfvo type="max"/>
        <color rgb="FF63C384"/>
      </dataBar>
      <extLst>
        <ext xmlns:x14="http://schemas.microsoft.com/office/spreadsheetml/2009/9/main" uri="{B025F937-C7B1-47D3-B67F-A62EFF666E3E}">
          <x14:id>{1D28BA64-192D-4D90-8D8B-BA0260E000AC}</x14:id>
        </ext>
      </extLst>
    </cfRule>
  </conditionalFormatting>
  <conditionalFormatting sqref="E11">
    <cfRule type="dataBar" priority="76">
      <dataBar>
        <cfvo type="min"/>
        <cfvo type="max"/>
        <color rgb="FF63C384"/>
      </dataBar>
      <extLst>
        <ext xmlns:x14="http://schemas.microsoft.com/office/spreadsheetml/2009/9/main" uri="{B025F937-C7B1-47D3-B67F-A62EFF666E3E}">
          <x14:id>{0443F4FA-13FD-469E-B3B4-08C8897DF76D}</x14:id>
        </ext>
      </extLst>
    </cfRule>
  </conditionalFormatting>
  <conditionalFormatting sqref="G2:G4">
    <cfRule type="dataBar" priority="75">
      <dataBar>
        <cfvo type="min"/>
        <cfvo type="max"/>
        <color rgb="FF63C384"/>
      </dataBar>
      <extLst>
        <ext xmlns:x14="http://schemas.microsoft.com/office/spreadsheetml/2009/9/main" uri="{B025F937-C7B1-47D3-B67F-A62EFF666E3E}">
          <x14:id>{54D21BAD-7150-490B-BFAC-1BE036FF3BE5}</x14:id>
        </ext>
      </extLst>
    </cfRule>
  </conditionalFormatting>
  <conditionalFormatting sqref="G11:G13">
    <cfRule type="dataBar" priority="74">
      <dataBar>
        <cfvo type="min"/>
        <cfvo type="max"/>
        <color rgb="FF63C384"/>
      </dataBar>
      <extLst>
        <ext xmlns:x14="http://schemas.microsoft.com/office/spreadsheetml/2009/9/main" uri="{B025F937-C7B1-47D3-B67F-A62EFF666E3E}">
          <x14:id>{BC09F0BA-3046-44E8-AFC5-AA9E0D9BF4E3}</x14:id>
        </ext>
      </extLst>
    </cfRule>
  </conditionalFormatting>
  <conditionalFormatting sqref="I11:I18">
    <cfRule type="dataBar" priority="73">
      <dataBar>
        <cfvo type="min"/>
        <cfvo type="max"/>
        <color rgb="FF63C384"/>
      </dataBar>
      <extLst>
        <ext xmlns:x14="http://schemas.microsoft.com/office/spreadsheetml/2009/9/main" uri="{B025F937-C7B1-47D3-B67F-A62EFF666E3E}">
          <x14:id>{ADB5AA15-D871-4A79-BC94-43244982AA33}</x14:id>
        </ext>
      </extLst>
    </cfRule>
  </conditionalFormatting>
  <conditionalFormatting sqref="M11:M13">
    <cfRule type="cellIs" dxfId="167" priority="66" operator="between">
      <formula>6</formula>
      <formula>12</formula>
    </cfRule>
    <cfRule type="cellIs" dxfId="166" priority="67" operator="greaterThan">
      <formula>12</formula>
    </cfRule>
    <cfRule type="cellIs" dxfId="165" priority="68" operator="lessThan">
      <formula>6</formula>
    </cfRule>
  </conditionalFormatting>
  <conditionalFormatting sqref="M11:M13">
    <cfRule type="cellIs" dxfId="164" priority="69" operator="greaterThan">
      <formula>#REF!</formula>
    </cfRule>
    <cfRule type="cellIs" dxfId="163" priority="70" operator="between">
      <formula>#REF!</formula>
      <formula>#REF!</formula>
    </cfRule>
    <cfRule type="cellIs" dxfId="162" priority="71" operator="lessThan">
      <formula>#REF!</formula>
    </cfRule>
    <cfRule type="cellIs" dxfId="161" priority="72" operator="greaterThan">
      <formula>#REF!</formula>
    </cfRule>
  </conditionalFormatting>
  <conditionalFormatting sqref="O2:O9">
    <cfRule type="dataBar" priority="94">
      <dataBar>
        <cfvo type="min"/>
        <cfvo type="max"/>
        <color rgb="FFD6007B"/>
      </dataBar>
      <extLst>
        <ext xmlns:x14="http://schemas.microsoft.com/office/spreadsheetml/2009/9/main" uri="{B025F937-C7B1-47D3-B67F-A62EFF666E3E}">
          <x14:id>{1FD3BE70-D1D8-47D4-8656-9DD243AD6BDA}</x14:id>
        </ext>
      </extLst>
    </cfRule>
  </conditionalFormatting>
  <conditionalFormatting sqref="O10 O19">
    <cfRule type="dataBar" priority="95">
      <dataBar>
        <cfvo type="min"/>
        <cfvo type="max"/>
        <color rgb="FFFFB628"/>
      </dataBar>
      <extLst>
        <ext xmlns:x14="http://schemas.microsoft.com/office/spreadsheetml/2009/9/main" uri="{B025F937-C7B1-47D3-B67F-A62EFF666E3E}">
          <x14:id>{9FCA171F-4D8B-425A-B6FB-6C2BD282A985}</x14:id>
        </ext>
      </extLst>
    </cfRule>
  </conditionalFormatting>
  <conditionalFormatting sqref="O11:O13">
    <cfRule type="dataBar" priority="96">
      <dataBar>
        <cfvo type="min"/>
        <cfvo type="max"/>
        <color rgb="FF00B0F0"/>
      </dataBar>
      <extLst>
        <ext xmlns:x14="http://schemas.microsoft.com/office/spreadsheetml/2009/9/main" uri="{B025F937-C7B1-47D3-B67F-A62EFF666E3E}">
          <x14:id>{6CBDD456-A54A-4D39-97D3-C0F3CFB13D71}</x14:id>
        </ext>
      </extLst>
    </cfRule>
  </conditionalFormatting>
  <conditionalFormatting sqref="O2:O4">
    <cfRule type="dataBar" priority="30">
      <dataBar>
        <cfvo type="min"/>
        <cfvo type="max"/>
        <color rgb="FF00B0F0"/>
      </dataBar>
      <extLst>
        <ext xmlns:x14="http://schemas.microsoft.com/office/spreadsheetml/2009/9/main" uri="{B025F937-C7B1-47D3-B67F-A62EFF666E3E}">
          <x14:id>{3ADF5E57-D8F9-4102-B46E-B10F5BFCAFFC}</x14:id>
        </ext>
      </extLst>
    </cfRule>
    <cfRule type="dataBar" priority="97">
      <dataBar>
        <cfvo type="min"/>
        <cfvo type="max"/>
        <color rgb="FF00B0F0"/>
      </dataBar>
      <extLst>
        <ext xmlns:x14="http://schemas.microsoft.com/office/spreadsheetml/2009/9/main" uri="{B025F937-C7B1-47D3-B67F-A62EFF666E3E}">
          <x14:id>{DF777BDD-DEA9-410C-8C81-749D94F9A532}</x14:id>
        </ext>
      </extLst>
    </cfRule>
  </conditionalFormatting>
  <conditionalFormatting sqref="E20:I20 E21:E25 E21:G22 H21:I27">
    <cfRule type="dataBar" priority="65">
      <dataBar>
        <cfvo type="min"/>
        <cfvo type="max"/>
        <color rgb="FF63C384"/>
      </dataBar>
      <extLst>
        <ext xmlns:x14="http://schemas.microsoft.com/office/spreadsheetml/2009/9/main" uri="{B025F937-C7B1-47D3-B67F-A62EFF666E3E}">
          <x14:id>{4E124CB0-717B-43CD-92E1-31F8B2C91FDF}</x14:id>
        </ext>
      </extLst>
    </cfRule>
  </conditionalFormatting>
  <conditionalFormatting sqref="M20:M22">
    <cfRule type="cellIs" dxfId="160" priority="58" operator="between">
      <formula>6</formula>
      <formula>12</formula>
    </cfRule>
    <cfRule type="cellIs" dxfId="159" priority="59" operator="greaterThan">
      <formula>12</formula>
    </cfRule>
    <cfRule type="cellIs" dxfId="158" priority="60" operator="lessThan">
      <formula>6</formula>
    </cfRule>
  </conditionalFormatting>
  <conditionalFormatting sqref="M20:M22">
    <cfRule type="cellIs" dxfId="157" priority="61" operator="greaterThan">
      <formula>#REF!</formula>
    </cfRule>
    <cfRule type="cellIs" dxfId="156" priority="62" operator="between">
      <formula>#REF!</formula>
      <formula>#REF!</formula>
    </cfRule>
    <cfRule type="cellIs" dxfId="155" priority="63" operator="lessThan">
      <formula>#REF!</formula>
    </cfRule>
    <cfRule type="cellIs" dxfId="154" priority="64" operator="greaterThan">
      <formula>#REF!</formula>
    </cfRule>
  </conditionalFormatting>
  <conditionalFormatting sqref="O20:O22">
    <cfRule type="dataBar" priority="57">
      <dataBar>
        <cfvo type="min"/>
        <cfvo type="max"/>
        <color rgb="FF00B0F0"/>
      </dataBar>
      <extLst>
        <ext xmlns:x14="http://schemas.microsoft.com/office/spreadsheetml/2009/9/main" uri="{B025F937-C7B1-47D3-B67F-A62EFF666E3E}">
          <x14:id>{EA1D9E52-1875-4F6C-B12C-41A0FF2B24C3}</x14:id>
        </ext>
      </extLst>
    </cfRule>
  </conditionalFormatting>
  <conditionalFormatting sqref="M28">
    <cfRule type="dataBar" priority="54">
      <dataBar>
        <cfvo type="min"/>
        <cfvo type="max"/>
        <color theme="1" tint="0.499984740745262"/>
      </dataBar>
      <extLst>
        <ext xmlns:x14="http://schemas.microsoft.com/office/spreadsheetml/2009/9/main" uri="{B025F937-C7B1-47D3-B67F-A62EFF666E3E}">
          <x14:id>{09AF1E86-9484-4A8E-89B9-21B0629504B8}</x14:id>
        </ext>
      </extLst>
    </cfRule>
    <cfRule type="dataBar" priority="55">
      <dataBar>
        <cfvo type="min"/>
        <cfvo type="max"/>
        <color theme="0" tint="-0.14999847407452621"/>
      </dataBar>
      <extLst>
        <ext xmlns:x14="http://schemas.microsoft.com/office/spreadsheetml/2009/9/main" uri="{B025F937-C7B1-47D3-B67F-A62EFF666E3E}">
          <x14:id>{6D1F7E9D-E4A6-44E8-8A05-2DD13E1862E0}</x14:id>
        </ext>
      </extLst>
    </cfRule>
    <cfRule type="dataBar" priority="56">
      <dataBar>
        <cfvo type="min"/>
        <cfvo type="max"/>
        <color theme="2" tint="-0.499984740745262"/>
      </dataBar>
      <extLst>
        <ext xmlns:x14="http://schemas.microsoft.com/office/spreadsheetml/2009/9/main" uri="{B025F937-C7B1-47D3-B67F-A62EFF666E3E}">
          <x14:id>{2439483A-233F-486D-9027-1C6F2FEB798C}</x14:id>
        </ext>
      </extLst>
    </cfRule>
  </conditionalFormatting>
  <conditionalFormatting sqref="O28">
    <cfRule type="dataBar" priority="51">
      <dataBar>
        <cfvo type="min"/>
        <cfvo type="max"/>
        <color theme="1" tint="0.499984740745262"/>
      </dataBar>
      <extLst>
        <ext xmlns:x14="http://schemas.microsoft.com/office/spreadsheetml/2009/9/main" uri="{B025F937-C7B1-47D3-B67F-A62EFF666E3E}">
          <x14:id>{9BB12729-D558-48FB-A785-34493B1D3A39}</x14:id>
        </ext>
      </extLst>
    </cfRule>
    <cfRule type="dataBar" priority="52">
      <dataBar>
        <cfvo type="min"/>
        <cfvo type="max"/>
        <color theme="0" tint="-0.14999847407452621"/>
      </dataBar>
      <extLst>
        <ext xmlns:x14="http://schemas.microsoft.com/office/spreadsheetml/2009/9/main" uri="{B025F937-C7B1-47D3-B67F-A62EFF666E3E}">
          <x14:id>{8E3B07F2-10D5-40A7-8F5E-754C4718E1DD}</x14:id>
        </ext>
      </extLst>
    </cfRule>
    <cfRule type="dataBar" priority="53">
      <dataBar>
        <cfvo type="min"/>
        <cfvo type="max"/>
        <color theme="2" tint="-0.499984740745262"/>
      </dataBar>
      <extLst>
        <ext xmlns:x14="http://schemas.microsoft.com/office/spreadsheetml/2009/9/main" uri="{B025F937-C7B1-47D3-B67F-A62EFF666E3E}">
          <x14:id>{AA80FBA6-5886-46E7-849E-1F25FBD45D5F}</x14:id>
        </ext>
      </extLst>
    </cfRule>
  </conditionalFormatting>
  <conditionalFormatting sqref="G20:G22">
    <cfRule type="dataBar" priority="50">
      <dataBar>
        <cfvo type="min"/>
        <cfvo type="max"/>
        <color rgb="FF63C384"/>
      </dataBar>
      <extLst>
        <ext xmlns:x14="http://schemas.microsoft.com/office/spreadsheetml/2009/9/main" uri="{B025F937-C7B1-47D3-B67F-A62EFF666E3E}">
          <x14:id>{4792390C-C514-4557-ABDA-EBAB7CA2013D}</x14:id>
        </ext>
      </extLst>
    </cfRule>
  </conditionalFormatting>
  <conditionalFormatting sqref="I20:I27">
    <cfRule type="dataBar" priority="49">
      <dataBar>
        <cfvo type="min"/>
        <cfvo type="max"/>
        <color rgb="FF63C384"/>
      </dataBar>
      <extLst>
        <ext xmlns:x14="http://schemas.microsoft.com/office/spreadsheetml/2009/9/main" uri="{B025F937-C7B1-47D3-B67F-A62EFF666E3E}">
          <x14:id>{38047A30-C6EE-4BDE-8F6B-6267ADAC9CEF}</x14:id>
        </ext>
      </extLst>
    </cfRule>
  </conditionalFormatting>
  <conditionalFormatting sqref="O10 O19">
    <cfRule type="dataBar" priority="100">
      <dataBar>
        <cfvo type="min"/>
        <cfvo type="max"/>
        <color theme="1" tint="0.499984740745262"/>
      </dataBar>
      <extLst>
        <ext xmlns:x14="http://schemas.microsoft.com/office/spreadsheetml/2009/9/main" uri="{B025F937-C7B1-47D3-B67F-A62EFF666E3E}">
          <x14:id>{6935D40F-A0D0-47EE-802A-85043040BAEB}</x14:id>
        </ext>
      </extLst>
    </cfRule>
    <cfRule type="dataBar" priority="101">
      <dataBar>
        <cfvo type="min"/>
        <cfvo type="max"/>
        <color theme="0" tint="-0.14999847407452621"/>
      </dataBar>
      <extLst>
        <ext xmlns:x14="http://schemas.microsoft.com/office/spreadsheetml/2009/9/main" uri="{B025F937-C7B1-47D3-B67F-A62EFF666E3E}">
          <x14:id>{51A25B4F-C716-4EB2-83FF-D9A884AD4586}</x14:id>
        </ext>
      </extLst>
    </cfRule>
    <cfRule type="dataBar" priority="102">
      <dataBar>
        <cfvo type="min"/>
        <cfvo type="max"/>
        <color theme="2" tint="-0.499984740745262"/>
      </dataBar>
      <extLst>
        <ext xmlns:x14="http://schemas.microsoft.com/office/spreadsheetml/2009/9/main" uri="{B025F937-C7B1-47D3-B67F-A62EFF666E3E}">
          <x14:id>{E31F17A3-4DD2-4F06-9852-58D4F8195521}</x14:id>
        </ext>
      </extLst>
    </cfRule>
  </conditionalFormatting>
  <conditionalFormatting sqref="M35">
    <cfRule type="dataBar" priority="46">
      <dataBar>
        <cfvo type="min"/>
        <cfvo type="max"/>
        <color theme="1" tint="0.499984740745262"/>
      </dataBar>
      <extLst>
        <ext xmlns:x14="http://schemas.microsoft.com/office/spreadsheetml/2009/9/main" uri="{B025F937-C7B1-47D3-B67F-A62EFF666E3E}">
          <x14:id>{ED5C7B98-903B-47B7-8586-4E80DE50CCF2}</x14:id>
        </ext>
      </extLst>
    </cfRule>
    <cfRule type="dataBar" priority="47">
      <dataBar>
        <cfvo type="min"/>
        <cfvo type="max"/>
        <color theme="0" tint="-0.14999847407452621"/>
      </dataBar>
      <extLst>
        <ext xmlns:x14="http://schemas.microsoft.com/office/spreadsheetml/2009/9/main" uri="{B025F937-C7B1-47D3-B67F-A62EFF666E3E}">
          <x14:id>{3026D369-8A1F-4359-9BDC-52EADB248C18}</x14:id>
        </ext>
      </extLst>
    </cfRule>
    <cfRule type="dataBar" priority="48">
      <dataBar>
        <cfvo type="min"/>
        <cfvo type="max"/>
        <color theme="2" tint="-0.499984740745262"/>
      </dataBar>
      <extLst>
        <ext xmlns:x14="http://schemas.microsoft.com/office/spreadsheetml/2009/9/main" uri="{B025F937-C7B1-47D3-B67F-A62EFF666E3E}">
          <x14:id>{B91363EC-D083-4BE1-85C0-34E44D08054E}</x14:id>
        </ext>
      </extLst>
    </cfRule>
  </conditionalFormatting>
  <conditionalFormatting sqref="O35">
    <cfRule type="dataBar" priority="43">
      <dataBar>
        <cfvo type="min"/>
        <cfvo type="max"/>
        <color theme="1" tint="0.499984740745262"/>
      </dataBar>
      <extLst>
        <ext xmlns:x14="http://schemas.microsoft.com/office/spreadsheetml/2009/9/main" uri="{B025F937-C7B1-47D3-B67F-A62EFF666E3E}">
          <x14:id>{D489B011-D97D-4788-AB11-4878F61B3BCF}</x14:id>
        </ext>
      </extLst>
    </cfRule>
    <cfRule type="dataBar" priority="44">
      <dataBar>
        <cfvo type="min"/>
        <cfvo type="max"/>
        <color theme="0" tint="-0.14999847407452621"/>
      </dataBar>
      <extLst>
        <ext xmlns:x14="http://schemas.microsoft.com/office/spreadsheetml/2009/9/main" uri="{B025F937-C7B1-47D3-B67F-A62EFF666E3E}">
          <x14:id>{EC148796-C5BA-4A11-9F58-21A8293168E4}</x14:id>
        </ext>
      </extLst>
    </cfRule>
    <cfRule type="dataBar" priority="45">
      <dataBar>
        <cfvo type="min"/>
        <cfvo type="max"/>
        <color theme="2" tint="-0.499984740745262"/>
      </dataBar>
      <extLst>
        <ext xmlns:x14="http://schemas.microsoft.com/office/spreadsheetml/2009/9/main" uri="{B025F937-C7B1-47D3-B67F-A62EFF666E3E}">
          <x14:id>{05A57637-5ACF-457B-AA77-9B22FE3BDD6E}</x14:id>
        </ext>
      </extLst>
    </cfRule>
  </conditionalFormatting>
  <conditionalFormatting sqref="M29:M31">
    <cfRule type="cellIs" dxfId="153" priority="36" operator="between">
      <formula>6</formula>
      <formula>12</formula>
    </cfRule>
    <cfRule type="cellIs" dxfId="152" priority="37" operator="greaterThan">
      <formula>12</formula>
    </cfRule>
    <cfRule type="cellIs" dxfId="151" priority="38" operator="lessThan">
      <formula>6</formula>
    </cfRule>
  </conditionalFormatting>
  <conditionalFormatting sqref="M29:M31">
    <cfRule type="cellIs" dxfId="150" priority="39" operator="greaterThan">
      <formula>#REF!</formula>
    </cfRule>
    <cfRule type="cellIs" dxfId="149" priority="40" operator="between">
      <formula>#REF!</formula>
      <formula>#REF!</formula>
    </cfRule>
    <cfRule type="cellIs" dxfId="148" priority="41" operator="lessThan">
      <formula>#REF!</formula>
    </cfRule>
    <cfRule type="cellIs" dxfId="147" priority="42" operator="greaterThan">
      <formula>#REF!</formula>
    </cfRule>
  </conditionalFormatting>
  <conditionalFormatting sqref="O29:O31">
    <cfRule type="dataBar" priority="35">
      <dataBar>
        <cfvo type="min"/>
        <cfvo type="max"/>
        <color rgb="FF00B0F0"/>
      </dataBar>
      <extLst>
        <ext xmlns:x14="http://schemas.microsoft.com/office/spreadsheetml/2009/9/main" uri="{B025F937-C7B1-47D3-B67F-A62EFF666E3E}">
          <x14:id>{7DBDED1D-2688-4859-A892-A282BA6C2960}</x14:id>
        </ext>
      </extLst>
    </cfRule>
  </conditionalFormatting>
  <conditionalFormatting sqref="I29:I33">
    <cfRule type="dataBar" priority="34">
      <dataBar>
        <cfvo type="min"/>
        <cfvo type="max"/>
        <color rgb="FF63C384"/>
      </dataBar>
      <extLst>
        <ext xmlns:x14="http://schemas.microsoft.com/office/spreadsheetml/2009/9/main" uri="{B025F937-C7B1-47D3-B67F-A62EFF666E3E}">
          <x14:id>{37AF8DC0-CE20-4852-AADE-41F78B69D32C}</x14:id>
        </ext>
      </extLst>
    </cfRule>
  </conditionalFormatting>
  <conditionalFormatting sqref="G29:G31">
    <cfRule type="dataBar" priority="33">
      <dataBar>
        <cfvo type="min"/>
        <cfvo type="max"/>
        <color rgb="FF63C384"/>
      </dataBar>
      <extLst>
        <ext xmlns:x14="http://schemas.microsoft.com/office/spreadsheetml/2009/9/main" uri="{B025F937-C7B1-47D3-B67F-A62EFF666E3E}">
          <x14:id>{0CC25E33-FB59-473B-83F5-266CE14495F2}</x14:id>
        </ext>
      </extLst>
    </cfRule>
  </conditionalFormatting>
  <conditionalFormatting sqref="E29">
    <cfRule type="dataBar" priority="32">
      <dataBar>
        <cfvo type="min"/>
        <cfvo type="max"/>
        <color rgb="FF63C384"/>
      </dataBar>
      <extLst>
        <ext xmlns:x14="http://schemas.microsoft.com/office/spreadsheetml/2009/9/main" uri="{B025F937-C7B1-47D3-B67F-A62EFF666E3E}">
          <x14:id>{8D4C00E8-7FF8-4D3B-B010-80E5954AF63F}</x14:id>
        </ext>
      </extLst>
    </cfRule>
  </conditionalFormatting>
  <conditionalFormatting sqref="O10 O19 O28 O35">
    <cfRule type="dataBar" priority="31">
      <dataBar>
        <cfvo type="min"/>
        <cfvo type="max"/>
        <color theme="0" tint="-0.499984740745262"/>
      </dataBar>
      <extLst>
        <ext xmlns:x14="http://schemas.microsoft.com/office/spreadsheetml/2009/9/main" uri="{B025F937-C7B1-47D3-B67F-A62EFF666E3E}">
          <x14:id>{06A31BA4-D5B7-4D93-BECB-F3B14E9F22E8}</x14:id>
        </ext>
      </extLst>
    </cfRule>
  </conditionalFormatting>
  <conditionalFormatting sqref="E20:E22">
    <cfRule type="dataBar" priority="29">
      <dataBar>
        <cfvo type="min"/>
        <cfvo type="max"/>
        <color rgb="FF63C384"/>
      </dataBar>
      <extLst>
        <ext xmlns:x14="http://schemas.microsoft.com/office/spreadsheetml/2009/9/main" uri="{B025F937-C7B1-47D3-B67F-A62EFF666E3E}">
          <x14:id>{59202D20-D152-4B84-9C8B-E5C7C26ACE96}</x14:id>
        </ext>
      </extLst>
    </cfRule>
  </conditionalFormatting>
  <conditionalFormatting sqref="M36:M38">
    <cfRule type="cellIs" dxfId="146" priority="17" operator="between">
      <formula>6</formula>
      <formula>12</formula>
    </cfRule>
    <cfRule type="cellIs" dxfId="145" priority="18" operator="greaterThan">
      <formula>12</formula>
    </cfRule>
    <cfRule type="cellIs" dxfId="144" priority="19" operator="lessThan">
      <formula>6</formula>
    </cfRule>
  </conditionalFormatting>
  <conditionalFormatting sqref="G39:G43">
    <cfRule type="dataBar" priority="20">
      <dataBar>
        <cfvo type="min"/>
        <cfvo type="max"/>
        <color rgb="FF638EC6"/>
      </dataBar>
      <extLst>
        <ext xmlns:x14="http://schemas.microsoft.com/office/spreadsheetml/2009/9/main" uri="{B025F937-C7B1-47D3-B67F-A62EFF666E3E}">
          <x14:id>{13E4519D-F7AC-48AD-8985-BF5960DF039E}</x14:id>
        </ext>
      </extLst>
    </cfRule>
  </conditionalFormatting>
  <conditionalFormatting sqref="E36:E43">
    <cfRule type="dataBar" priority="21">
      <dataBar>
        <cfvo type="min"/>
        <cfvo type="max"/>
        <color rgb="FF638EC6"/>
      </dataBar>
      <extLst>
        <ext xmlns:x14="http://schemas.microsoft.com/office/spreadsheetml/2009/9/main" uri="{B025F937-C7B1-47D3-B67F-A62EFF666E3E}">
          <x14:id>{06604B15-F0D5-46F9-BE99-5B5581767E8E}</x14:id>
        </ext>
      </extLst>
    </cfRule>
    <cfRule type="dataBar" priority="22">
      <dataBar>
        <cfvo type="min"/>
        <cfvo type="max"/>
        <color rgb="FF63C384"/>
      </dataBar>
      <extLst>
        <ext xmlns:x14="http://schemas.microsoft.com/office/spreadsheetml/2009/9/main" uri="{B025F937-C7B1-47D3-B67F-A62EFF666E3E}">
          <x14:id>{9F6C3E51-D871-4B85-9196-D6F5AACF0C52}</x14:id>
        </ext>
      </extLst>
    </cfRule>
  </conditionalFormatting>
  <conditionalFormatting sqref="M36:M38">
    <cfRule type="cellIs" dxfId="143" priority="23" operator="greaterThan">
      <formula>#REF!</formula>
    </cfRule>
    <cfRule type="cellIs" dxfId="142" priority="24" operator="between">
      <formula>#REF!</formula>
      <formula>#REF!</formula>
    </cfRule>
    <cfRule type="cellIs" dxfId="141" priority="25" operator="lessThan">
      <formula>#REF!</formula>
    </cfRule>
    <cfRule type="cellIs" dxfId="140" priority="26" operator="greaterThan">
      <formula>#REF!</formula>
    </cfRule>
  </conditionalFormatting>
  <conditionalFormatting sqref="I36:I43">
    <cfRule type="dataBar" priority="16">
      <dataBar>
        <cfvo type="min"/>
        <cfvo type="max"/>
        <color rgb="FF63C384"/>
      </dataBar>
      <extLst>
        <ext xmlns:x14="http://schemas.microsoft.com/office/spreadsheetml/2009/9/main" uri="{B025F937-C7B1-47D3-B67F-A62EFF666E3E}">
          <x14:id>{578A073A-4493-414E-8F55-D33E52427113}</x14:id>
        </ext>
      </extLst>
    </cfRule>
  </conditionalFormatting>
  <conditionalFormatting sqref="E36:E39">
    <cfRule type="dataBar" priority="15">
      <dataBar>
        <cfvo type="min"/>
        <cfvo type="max"/>
        <color rgb="FF63C384"/>
      </dataBar>
      <extLst>
        <ext xmlns:x14="http://schemas.microsoft.com/office/spreadsheetml/2009/9/main" uri="{B025F937-C7B1-47D3-B67F-A62EFF666E3E}">
          <x14:id>{18AE0E08-76EC-462B-ADFD-389E349B1AB9}</x14:id>
        </ext>
      </extLst>
    </cfRule>
  </conditionalFormatting>
  <conditionalFormatting sqref="G36:G38">
    <cfRule type="dataBar" priority="14">
      <dataBar>
        <cfvo type="min"/>
        <cfvo type="max"/>
        <color rgb="FF63C384"/>
      </dataBar>
      <extLst>
        <ext xmlns:x14="http://schemas.microsoft.com/office/spreadsheetml/2009/9/main" uri="{B025F937-C7B1-47D3-B67F-A62EFF666E3E}">
          <x14:id>{6955D367-7C63-4177-A366-7D08EE3E340B}</x14:id>
        </ext>
      </extLst>
    </cfRule>
  </conditionalFormatting>
  <conditionalFormatting sqref="O36:O43">
    <cfRule type="dataBar" priority="27">
      <dataBar>
        <cfvo type="min"/>
        <cfvo type="max"/>
        <color rgb="FFD6007B"/>
      </dataBar>
      <extLst>
        <ext xmlns:x14="http://schemas.microsoft.com/office/spreadsheetml/2009/9/main" uri="{B025F937-C7B1-47D3-B67F-A62EFF666E3E}">
          <x14:id>{9789383E-D426-4F81-A167-908FCCFCB969}</x14:id>
        </ext>
      </extLst>
    </cfRule>
  </conditionalFormatting>
  <conditionalFormatting sqref="O36:O38">
    <cfRule type="dataBar" priority="13">
      <dataBar>
        <cfvo type="min"/>
        <cfvo type="max"/>
        <color rgb="FF00B0F0"/>
      </dataBar>
      <extLst>
        <ext xmlns:x14="http://schemas.microsoft.com/office/spreadsheetml/2009/9/main" uri="{B025F937-C7B1-47D3-B67F-A62EFF666E3E}">
          <x14:id>{F88D97FD-4A9F-4BC0-9B6A-02AB03C02F6D}</x14:id>
        </ext>
      </extLst>
    </cfRule>
    <cfRule type="dataBar" priority="28">
      <dataBar>
        <cfvo type="min"/>
        <cfvo type="max"/>
        <color rgb="FF00B0F0"/>
      </dataBar>
      <extLst>
        <ext xmlns:x14="http://schemas.microsoft.com/office/spreadsheetml/2009/9/main" uri="{B025F937-C7B1-47D3-B67F-A62EFF666E3E}">
          <x14:id>{197F372A-559D-4A68-BA2B-7CC68ADEB3C7}</x14:id>
        </ext>
      </extLst>
    </cfRule>
  </conditionalFormatting>
  <conditionalFormatting sqref="M44">
    <cfRule type="dataBar" priority="10">
      <dataBar>
        <cfvo type="min"/>
        <cfvo type="max"/>
        <color theme="1" tint="0.499984740745262"/>
      </dataBar>
      <extLst>
        <ext xmlns:x14="http://schemas.microsoft.com/office/spreadsheetml/2009/9/main" uri="{B025F937-C7B1-47D3-B67F-A62EFF666E3E}">
          <x14:id>{4C83967A-306D-4336-A071-DC9A07770C81}</x14:id>
        </ext>
      </extLst>
    </cfRule>
    <cfRule type="dataBar" priority="11">
      <dataBar>
        <cfvo type="min"/>
        <cfvo type="max"/>
        <color theme="0" tint="-0.14999847407452621"/>
      </dataBar>
      <extLst>
        <ext xmlns:x14="http://schemas.microsoft.com/office/spreadsheetml/2009/9/main" uri="{B025F937-C7B1-47D3-B67F-A62EFF666E3E}">
          <x14:id>{E1051346-5107-43A6-B5C8-B531915570DA}</x14:id>
        </ext>
      </extLst>
    </cfRule>
    <cfRule type="dataBar" priority="12">
      <dataBar>
        <cfvo type="min"/>
        <cfvo type="max"/>
        <color theme="2" tint="-0.499984740745262"/>
      </dataBar>
      <extLst>
        <ext xmlns:x14="http://schemas.microsoft.com/office/spreadsheetml/2009/9/main" uri="{B025F937-C7B1-47D3-B67F-A62EFF666E3E}">
          <x14:id>{8828177A-403D-45EA-832B-3A72BC190094}</x14:id>
        </ext>
      </extLst>
    </cfRule>
  </conditionalFormatting>
  <conditionalFormatting sqref="O44">
    <cfRule type="dataBar" priority="7">
      <dataBar>
        <cfvo type="min"/>
        <cfvo type="max"/>
        <color theme="1" tint="0.499984740745262"/>
      </dataBar>
      <extLst>
        <ext xmlns:x14="http://schemas.microsoft.com/office/spreadsheetml/2009/9/main" uri="{B025F937-C7B1-47D3-B67F-A62EFF666E3E}">
          <x14:id>{EC6BB3ED-78B0-44AF-9B5F-10E99C436FE0}</x14:id>
        </ext>
      </extLst>
    </cfRule>
    <cfRule type="dataBar" priority="8">
      <dataBar>
        <cfvo type="min"/>
        <cfvo type="max"/>
        <color theme="0" tint="-0.14999847407452621"/>
      </dataBar>
      <extLst>
        <ext xmlns:x14="http://schemas.microsoft.com/office/spreadsheetml/2009/9/main" uri="{B025F937-C7B1-47D3-B67F-A62EFF666E3E}">
          <x14:id>{B70800CC-DB45-4082-A982-605B1C7B7D94}</x14:id>
        </ext>
      </extLst>
    </cfRule>
    <cfRule type="dataBar" priority="9">
      <dataBar>
        <cfvo type="min"/>
        <cfvo type="max"/>
        <color theme="2" tint="-0.499984740745262"/>
      </dataBar>
      <extLst>
        <ext xmlns:x14="http://schemas.microsoft.com/office/spreadsheetml/2009/9/main" uri="{B025F937-C7B1-47D3-B67F-A62EFF666E3E}">
          <x14:id>{9D752FA9-24C8-46C3-99BA-92D2E40A50DF}</x14:id>
        </ext>
      </extLst>
    </cfRule>
  </conditionalFormatting>
  <conditionalFormatting sqref="O44">
    <cfRule type="dataBar" priority="6">
      <dataBar>
        <cfvo type="min"/>
        <cfvo type="max"/>
        <color theme="0" tint="-0.499984740745262"/>
      </dataBar>
      <extLst>
        <ext xmlns:x14="http://schemas.microsoft.com/office/spreadsheetml/2009/9/main" uri="{B025F937-C7B1-47D3-B67F-A62EFF666E3E}">
          <x14:id>{48E3A597-7020-466F-A849-51998B34A893}</x14:id>
        </ext>
      </extLst>
    </cfRule>
  </conditionalFormatting>
  <dataValidations count="1">
    <dataValidation type="list" allowBlank="1" showInputMessage="1" showErrorMessage="1" sqref="J26:L28 J35:L35 J14:L18 J2:L9 J20:L24 J44:L44" xr:uid="{7FFA550A-E2E2-4179-BF45-5EB6DEB2D8EF}">
      <formula1>"1, 2, 3, 4, 5"</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D8D3707-09FF-4CB3-93F3-2C1F2E8DA97B}">
            <x14:dataBar minLength="0" maxLength="100" gradient="0">
              <x14:cfvo type="autoMin"/>
              <x14:cfvo type="autoMax"/>
              <x14:negativeFillColor rgb="FFFF0000"/>
              <x14:axisColor rgb="FF000000"/>
            </x14:dataBar>
          </x14:cfRule>
          <xm:sqref>G5:G9</xm:sqref>
        </x14:conditionalFormatting>
        <x14:conditionalFormatting xmlns:xm="http://schemas.microsoft.com/office/excel/2006/main">
          <x14:cfRule type="dataBar" id="{536085B4-3483-47BF-8C2B-356AE7B10FDC}">
            <x14:dataBar minLength="0" maxLength="100" gradient="0">
              <x14:cfvo type="autoMin"/>
              <x14:cfvo type="autoMax"/>
              <x14:negativeFillColor rgb="FFFF0000"/>
              <x14:axisColor rgb="FF000000"/>
            </x14:dataBar>
          </x14:cfRule>
          <x14:cfRule type="dataBar" id="{EA8692F3-BA77-4F61-9739-01AAD3B0A074}">
            <x14:dataBar minLength="0" maxLength="100" border="1" negativeBarBorderColorSameAsPositive="0">
              <x14:cfvo type="autoMin"/>
              <x14:cfvo type="autoMax"/>
              <x14:borderColor rgb="FF63C384"/>
              <x14:negativeFillColor rgb="FFFF0000"/>
              <x14:negativeBorderColor rgb="FFFF0000"/>
              <x14:axisColor rgb="FF000000"/>
            </x14:dataBar>
          </x14:cfRule>
          <xm:sqref>E2:E9</xm:sqref>
        </x14:conditionalFormatting>
        <x14:conditionalFormatting xmlns:xm="http://schemas.microsoft.com/office/excel/2006/main">
          <x14:cfRule type="dataBar" id="{2A907AF7-CCCD-4013-A133-D610CE06C2B1}">
            <x14:dataBar minLength="0" maxLength="100" gradient="0">
              <x14:cfvo type="autoMin"/>
              <x14:cfvo type="autoMax"/>
              <x14:negativeFillColor rgb="FFFF0000"/>
              <x14:axisColor rgb="FF000000"/>
            </x14:dataBar>
          </x14:cfRule>
          <xm:sqref>I2:I9</xm:sqref>
        </x14:conditionalFormatting>
        <x14:conditionalFormatting xmlns:xm="http://schemas.microsoft.com/office/excel/2006/main">
          <x14:cfRule type="dataBar" id="{1D28BA64-192D-4D90-8D8B-BA0260E000AC}">
            <x14:dataBar minLength="0" maxLength="100" gradient="0">
              <x14:cfvo type="autoMin"/>
              <x14:cfvo type="autoMax"/>
              <x14:negativeFillColor rgb="FFFF0000"/>
              <x14:axisColor rgb="FF000000"/>
            </x14:dataBar>
          </x14:cfRule>
          <xm:sqref>E2:E5</xm:sqref>
        </x14:conditionalFormatting>
        <x14:conditionalFormatting xmlns:xm="http://schemas.microsoft.com/office/excel/2006/main">
          <x14:cfRule type="dataBar" id="{0443F4FA-13FD-469E-B3B4-08C8897DF76D}">
            <x14:dataBar minLength="0" maxLength="100" gradient="0">
              <x14:cfvo type="autoMin"/>
              <x14:cfvo type="autoMax"/>
              <x14:negativeFillColor rgb="FFFF0000"/>
              <x14:axisColor rgb="FF000000"/>
            </x14:dataBar>
          </x14:cfRule>
          <xm:sqref>E11</xm:sqref>
        </x14:conditionalFormatting>
        <x14:conditionalFormatting xmlns:xm="http://schemas.microsoft.com/office/excel/2006/main">
          <x14:cfRule type="dataBar" id="{54D21BAD-7150-490B-BFAC-1BE036FF3BE5}">
            <x14:dataBar minLength="0" maxLength="100" gradient="0">
              <x14:cfvo type="autoMin"/>
              <x14:cfvo type="autoMax"/>
              <x14:negativeFillColor rgb="FFFF0000"/>
              <x14:axisColor rgb="FF000000"/>
            </x14:dataBar>
          </x14:cfRule>
          <xm:sqref>G2:G4</xm:sqref>
        </x14:conditionalFormatting>
        <x14:conditionalFormatting xmlns:xm="http://schemas.microsoft.com/office/excel/2006/main">
          <x14:cfRule type="dataBar" id="{BC09F0BA-3046-44E8-AFC5-AA9E0D9BF4E3}">
            <x14:dataBar minLength="0" maxLength="100" gradient="0">
              <x14:cfvo type="autoMin"/>
              <x14:cfvo type="autoMax"/>
              <x14:negativeFillColor rgb="FFFF0000"/>
              <x14:axisColor rgb="FF000000"/>
            </x14:dataBar>
          </x14:cfRule>
          <xm:sqref>G11:G13</xm:sqref>
        </x14:conditionalFormatting>
        <x14:conditionalFormatting xmlns:xm="http://schemas.microsoft.com/office/excel/2006/main">
          <x14:cfRule type="dataBar" id="{ADB5AA15-D871-4A79-BC94-43244982AA33}">
            <x14:dataBar minLength="0" maxLength="100" gradient="0">
              <x14:cfvo type="autoMin"/>
              <x14:cfvo type="autoMax"/>
              <x14:negativeFillColor rgb="FFFF0000"/>
              <x14:axisColor rgb="FF000000"/>
            </x14:dataBar>
          </x14:cfRule>
          <xm:sqref>I11:I18</xm:sqref>
        </x14:conditionalFormatting>
        <x14:conditionalFormatting xmlns:xm="http://schemas.microsoft.com/office/excel/2006/main">
          <x14:cfRule type="dataBar" id="{1FD3BE70-D1D8-47D4-8656-9DD243AD6BDA}">
            <x14:dataBar minLength="0" maxLength="100" border="1" negativeBarBorderColorSameAsPositive="0">
              <x14:cfvo type="autoMin"/>
              <x14:cfvo type="autoMax"/>
              <x14:borderColor rgb="FFD6007B"/>
              <x14:negativeFillColor rgb="FFFF0000"/>
              <x14:negativeBorderColor rgb="FFFF0000"/>
              <x14:axisColor rgb="FF000000"/>
            </x14:dataBar>
          </x14:cfRule>
          <xm:sqref>O2:O9</xm:sqref>
        </x14:conditionalFormatting>
        <x14:conditionalFormatting xmlns:xm="http://schemas.microsoft.com/office/excel/2006/main">
          <x14:cfRule type="dataBar" id="{9FCA171F-4D8B-425A-B6FB-6C2BD282A985}">
            <x14:dataBar minLength="0" maxLength="100" gradient="0">
              <x14:cfvo type="autoMin"/>
              <x14:cfvo type="autoMax"/>
              <x14:negativeFillColor rgb="FFFF0000"/>
              <x14:axisColor rgb="FF000000"/>
            </x14:dataBar>
          </x14:cfRule>
          <xm:sqref>O10 O19</xm:sqref>
        </x14:conditionalFormatting>
        <x14:conditionalFormatting xmlns:xm="http://schemas.microsoft.com/office/excel/2006/main">
          <x14:cfRule type="dataBar" id="{6CBDD456-A54A-4D39-97D3-C0F3CFB13D71}">
            <x14:dataBar minLength="0" maxLength="100" gradient="0">
              <x14:cfvo type="autoMin"/>
              <x14:cfvo type="autoMax"/>
              <x14:negativeFillColor rgb="FFFF0000"/>
              <x14:axisColor rgb="FF000000"/>
            </x14:dataBar>
          </x14:cfRule>
          <xm:sqref>O11:O13</xm:sqref>
        </x14:conditionalFormatting>
        <x14:conditionalFormatting xmlns:xm="http://schemas.microsoft.com/office/excel/2006/main">
          <x14:cfRule type="dataBar" id="{3ADF5E57-D8F9-4102-B46E-B10F5BFCAFFC}">
            <x14:dataBar minLength="0" maxLength="100" gradient="0">
              <x14:cfvo type="autoMin"/>
              <x14:cfvo type="autoMax"/>
              <x14:negativeFillColor rgb="FFFF0000"/>
              <x14:axisColor rgb="FF000000"/>
            </x14:dataBar>
          </x14:cfRule>
          <x14:cfRule type="dataBar" id="{DF777BDD-DEA9-410C-8C81-749D94F9A532}">
            <x14:dataBar minLength="0" maxLength="100" gradient="0">
              <x14:cfvo type="autoMin"/>
              <x14:cfvo type="autoMax"/>
              <x14:negativeFillColor rgb="FFFF0000"/>
              <x14:axisColor rgb="FF000000"/>
            </x14:dataBar>
          </x14:cfRule>
          <xm:sqref>O2:O4</xm:sqref>
        </x14:conditionalFormatting>
        <x14:conditionalFormatting xmlns:xm="http://schemas.microsoft.com/office/excel/2006/main">
          <x14:cfRule type="dataBar" id="{4E124CB0-717B-43CD-92E1-31F8B2C91FDF}">
            <x14:dataBar minLength="0" maxLength="100" gradient="0">
              <x14:cfvo type="autoMin"/>
              <x14:cfvo type="autoMax"/>
              <x14:negativeFillColor rgb="FFFF0000"/>
              <x14:axisColor rgb="FF000000"/>
            </x14:dataBar>
          </x14:cfRule>
          <xm:sqref>E20:I20 E21:E25 E21:G22 H21:I27</xm:sqref>
        </x14:conditionalFormatting>
        <x14:conditionalFormatting xmlns:xm="http://schemas.microsoft.com/office/excel/2006/main">
          <x14:cfRule type="dataBar" id="{EA1D9E52-1875-4F6C-B12C-41A0FF2B24C3}">
            <x14:dataBar minLength="0" maxLength="100" gradient="0">
              <x14:cfvo type="autoMin"/>
              <x14:cfvo type="autoMax"/>
              <x14:negativeFillColor rgb="FFFF0000"/>
              <x14:axisColor rgb="FF000000"/>
            </x14:dataBar>
          </x14:cfRule>
          <xm:sqref>O20:O22</xm:sqref>
        </x14:conditionalFormatting>
        <x14:conditionalFormatting xmlns:xm="http://schemas.microsoft.com/office/excel/2006/main">
          <x14:cfRule type="dataBar" id="{09AF1E86-9484-4A8E-89B9-21B0629504B8}">
            <x14:dataBar minLength="0" maxLength="100" gradient="0">
              <x14:cfvo type="autoMin"/>
              <x14:cfvo type="autoMax"/>
              <x14:negativeFillColor rgb="FFFF0000"/>
              <x14:axisColor rgb="FF000000"/>
            </x14:dataBar>
          </x14:cfRule>
          <x14:cfRule type="dataBar" id="{6D1F7E9D-E4A6-44E8-8A05-2DD13E1862E0}">
            <x14:dataBar minLength="0" maxLength="100" gradient="0">
              <x14:cfvo type="autoMin"/>
              <x14:cfvo type="autoMax"/>
              <x14:negativeFillColor rgb="FFFF0000"/>
              <x14:axisColor rgb="FF000000"/>
            </x14:dataBar>
          </x14:cfRule>
          <x14:cfRule type="dataBar" id="{2439483A-233F-486D-9027-1C6F2FEB798C}">
            <x14:dataBar minLength="0" maxLength="100" gradient="0">
              <x14:cfvo type="autoMin"/>
              <x14:cfvo type="autoMax"/>
              <x14:negativeFillColor rgb="FFFF0000"/>
              <x14:axisColor rgb="FF000000"/>
            </x14:dataBar>
          </x14:cfRule>
          <xm:sqref>M28</xm:sqref>
        </x14:conditionalFormatting>
        <x14:conditionalFormatting xmlns:xm="http://schemas.microsoft.com/office/excel/2006/main">
          <x14:cfRule type="dataBar" id="{9BB12729-D558-48FB-A785-34493B1D3A39}">
            <x14:dataBar minLength="0" maxLength="100" gradient="0">
              <x14:cfvo type="autoMin"/>
              <x14:cfvo type="autoMax"/>
              <x14:negativeFillColor rgb="FFFF0000"/>
              <x14:axisColor rgb="FF000000"/>
            </x14:dataBar>
          </x14:cfRule>
          <x14:cfRule type="dataBar" id="{8E3B07F2-10D5-40A7-8F5E-754C4718E1DD}">
            <x14:dataBar minLength="0" maxLength="100" gradient="0">
              <x14:cfvo type="autoMin"/>
              <x14:cfvo type="autoMax"/>
              <x14:negativeFillColor rgb="FFFF0000"/>
              <x14:axisColor rgb="FF000000"/>
            </x14:dataBar>
          </x14:cfRule>
          <x14:cfRule type="dataBar" id="{AA80FBA6-5886-46E7-849E-1F25FBD45D5F}">
            <x14:dataBar minLength="0" maxLength="100" gradient="0">
              <x14:cfvo type="autoMin"/>
              <x14:cfvo type="autoMax"/>
              <x14:negativeFillColor rgb="FFFF0000"/>
              <x14:axisColor rgb="FF000000"/>
            </x14:dataBar>
          </x14:cfRule>
          <xm:sqref>O28</xm:sqref>
        </x14:conditionalFormatting>
        <x14:conditionalFormatting xmlns:xm="http://schemas.microsoft.com/office/excel/2006/main">
          <x14:cfRule type="dataBar" id="{4792390C-C514-4557-ABDA-EBAB7CA2013D}">
            <x14:dataBar minLength="0" maxLength="100" gradient="0">
              <x14:cfvo type="autoMin"/>
              <x14:cfvo type="autoMax"/>
              <x14:negativeFillColor rgb="FFFF0000"/>
              <x14:axisColor rgb="FF000000"/>
            </x14:dataBar>
          </x14:cfRule>
          <xm:sqref>G20:G22</xm:sqref>
        </x14:conditionalFormatting>
        <x14:conditionalFormatting xmlns:xm="http://schemas.microsoft.com/office/excel/2006/main">
          <x14:cfRule type="dataBar" id="{38047A30-C6EE-4BDE-8F6B-6267ADAC9CEF}">
            <x14:dataBar minLength="0" maxLength="100" gradient="0">
              <x14:cfvo type="autoMin"/>
              <x14:cfvo type="autoMax"/>
              <x14:negativeFillColor rgb="FFFF0000"/>
              <x14:axisColor rgb="FF000000"/>
            </x14:dataBar>
          </x14:cfRule>
          <xm:sqref>I20:I27</xm:sqref>
        </x14:conditionalFormatting>
        <x14:conditionalFormatting xmlns:xm="http://schemas.microsoft.com/office/excel/2006/main">
          <x14:cfRule type="dataBar" id="{6935D40F-A0D0-47EE-802A-85043040BAEB}">
            <x14:dataBar minLength="0" maxLength="100" gradient="0">
              <x14:cfvo type="autoMin"/>
              <x14:cfvo type="autoMax"/>
              <x14:negativeFillColor rgb="FFFF0000"/>
              <x14:axisColor rgb="FF000000"/>
            </x14:dataBar>
          </x14:cfRule>
          <x14:cfRule type="dataBar" id="{51A25B4F-C716-4EB2-83FF-D9A884AD4586}">
            <x14:dataBar minLength="0" maxLength="100" gradient="0">
              <x14:cfvo type="autoMin"/>
              <x14:cfvo type="autoMax"/>
              <x14:negativeFillColor rgb="FFFF0000"/>
              <x14:axisColor rgb="FF000000"/>
            </x14:dataBar>
          </x14:cfRule>
          <x14:cfRule type="dataBar" id="{E31F17A3-4DD2-4F06-9852-58D4F8195521}">
            <x14:dataBar minLength="0" maxLength="100" gradient="0">
              <x14:cfvo type="autoMin"/>
              <x14:cfvo type="autoMax"/>
              <x14:negativeFillColor rgb="FFFF0000"/>
              <x14:axisColor rgb="FF000000"/>
            </x14:dataBar>
          </x14:cfRule>
          <xm:sqref>O10 O19</xm:sqref>
        </x14:conditionalFormatting>
        <x14:conditionalFormatting xmlns:xm="http://schemas.microsoft.com/office/excel/2006/main">
          <x14:cfRule type="dataBar" id="{ED5C7B98-903B-47B7-8586-4E80DE50CCF2}">
            <x14:dataBar minLength="0" maxLength="100" gradient="0">
              <x14:cfvo type="autoMin"/>
              <x14:cfvo type="autoMax"/>
              <x14:negativeFillColor rgb="FFFF0000"/>
              <x14:axisColor rgb="FF000000"/>
            </x14:dataBar>
          </x14:cfRule>
          <x14:cfRule type="dataBar" id="{3026D369-8A1F-4359-9BDC-52EADB248C18}">
            <x14:dataBar minLength="0" maxLength="100" gradient="0">
              <x14:cfvo type="autoMin"/>
              <x14:cfvo type="autoMax"/>
              <x14:negativeFillColor rgb="FFFF0000"/>
              <x14:axisColor rgb="FF000000"/>
            </x14:dataBar>
          </x14:cfRule>
          <x14:cfRule type="dataBar" id="{B91363EC-D083-4BE1-85C0-34E44D08054E}">
            <x14:dataBar minLength="0" maxLength="100" gradient="0">
              <x14:cfvo type="autoMin"/>
              <x14:cfvo type="autoMax"/>
              <x14:negativeFillColor rgb="FFFF0000"/>
              <x14:axisColor rgb="FF000000"/>
            </x14:dataBar>
          </x14:cfRule>
          <xm:sqref>M35</xm:sqref>
        </x14:conditionalFormatting>
        <x14:conditionalFormatting xmlns:xm="http://schemas.microsoft.com/office/excel/2006/main">
          <x14:cfRule type="dataBar" id="{D489B011-D97D-4788-AB11-4878F61B3BCF}">
            <x14:dataBar minLength="0" maxLength="100" gradient="0">
              <x14:cfvo type="autoMin"/>
              <x14:cfvo type="autoMax"/>
              <x14:negativeFillColor rgb="FFFF0000"/>
              <x14:axisColor rgb="FF000000"/>
            </x14:dataBar>
          </x14:cfRule>
          <x14:cfRule type="dataBar" id="{EC148796-C5BA-4A11-9F58-21A8293168E4}">
            <x14:dataBar minLength="0" maxLength="100" gradient="0">
              <x14:cfvo type="autoMin"/>
              <x14:cfvo type="autoMax"/>
              <x14:negativeFillColor rgb="FFFF0000"/>
              <x14:axisColor rgb="FF000000"/>
            </x14:dataBar>
          </x14:cfRule>
          <x14:cfRule type="dataBar" id="{05A57637-5ACF-457B-AA77-9B22FE3BDD6E}">
            <x14:dataBar minLength="0" maxLength="100" gradient="0">
              <x14:cfvo type="autoMin"/>
              <x14:cfvo type="autoMax"/>
              <x14:negativeFillColor rgb="FFFF0000"/>
              <x14:axisColor rgb="FF000000"/>
            </x14:dataBar>
          </x14:cfRule>
          <xm:sqref>O35</xm:sqref>
        </x14:conditionalFormatting>
        <x14:conditionalFormatting xmlns:xm="http://schemas.microsoft.com/office/excel/2006/main">
          <x14:cfRule type="dataBar" id="{7DBDED1D-2688-4859-A892-A282BA6C2960}">
            <x14:dataBar minLength="0" maxLength="100" gradient="0">
              <x14:cfvo type="autoMin"/>
              <x14:cfvo type="autoMax"/>
              <x14:negativeFillColor rgb="FFFF0000"/>
              <x14:axisColor rgb="FF000000"/>
            </x14:dataBar>
          </x14:cfRule>
          <xm:sqref>O29:O31</xm:sqref>
        </x14:conditionalFormatting>
        <x14:conditionalFormatting xmlns:xm="http://schemas.microsoft.com/office/excel/2006/main">
          <x14:cfRule type="dataBar" id="{37AF8DC0-CE20-4852-AADE-41F78B69D32C}">
            <x14:dataBar minLength="0" maxLength="100" gradient="0">
              <x14:cfvo type="autoMin"/>
              <x14:cfvo type="autoMax"/>
              <x14:negativeFillColor rgb="FFFF0000"/>
              <x14:axisColor rgb="FF000000"/>
            </x14:dataBar>
          </x14:cfRule>
          <xm:sqref>I29:I33</xm:sqref>
        </x14:conditionalFormatting>
        <x14:conditionalFormatting xmlns:xm="http://schemas.microsoft.com/office/excel/2006/main">
          <x14:cfRule type="dataBar" id="{0CC25E33-FB59-473B-83F5-266CE14495F2}">
            <x14:dataBar minLength="0" maxLength="100" gradient="0">
              <x14:cfvo type="autoMin"/>
              <x14:cfvo type="autoMax"/>
              <x14:negativeFillColor rgb="FFFF0000"/>
              <x14:axisColor rgb="FF000000"/>
            </x14:dataBar>
          </x14:cfRule>
          <xm:sqref>G29:G31</xm:sqref>
        </x14:conditionalFormatting>
        <x14:conditionalFormatting xmlns:xm="http://schemas.microsoft.com/office/excel/2006/main">
          <x14:cfRule type="dataBar" id="{8D4C00E8-7FF8-4D3B-B010-80E5954AF63F}">
            <x14:dataBar minLength="0" maxLength="100" gradient="0">
              <x14:cfvo type="autoMin"/>
              <x14:cfvo type="autoMax"/>
              <x14:negativeFillColor rgb="FFFF0000"/>
              <x14:axisColor rgb="FF000000"/>
            </x14:dataBar>
          </x14:cfRule>
          <xm:sqref>E29</xm:sqref>
        </x14:conditionalFormatting>
        <x14:conditionalFormatting xmlns:xm="http://schemas.microsoft.com/office/excel/2006/main">
          <x14:cfRule type="dataBar" id="{06A31BA4-D5B7-4D93-BECB-F3B14E9F22E8}">
            <x14:dataBar minLength="0" maxLength="100" gradient="0">
              <x14:cfvo type="autoMin"/>
              <x14:cfvo type="autoMax"/>
              <x14:negativeFillColor rgb="FFFF0000"/>
              <x14:axisColor rgb="FF000000"/>
            </x14:dataBar>
          </x14:cfRule>
          <xm:sqref>O10 O19 O28 O35</xm:sqref>
        </x14:conditionalFormatting>
        <x14:conditionalFormatting xmlns:xm="http://schemas.microsoft.com/office/excel/2006/main">
          <x14:cfRule type="dataBar" id="{59202D20-D152-4B84-9C8B-E5C7C26ACE96}">
            <x14:dataBar minLength="0" maxLength="100" gradient="0">
              <x14:cfvo type="autoMin"/>
              <x14:cfvo type="autoMax"/>
              <x14:negativeFillColor rgb="FFFF0000"/>
              <x14:axisColor rgb="FF000000"/>
            </x14:dataBar>
          </x14:cfRule>
          <xm:sqref>E20:E22</xm:sqref>
        </x14:conditionalFormatting>
        <x14:conditionalFormatting xmlns:xm="http://schemas.microsoft.com/office/excel/2006/main">
          <x14:cfRule type="dataBar" id="{13E4519D-F7AC-48AD-8985-BF5960DF039E}">
            <x14:dataBar minLength="0" maxLength="100" gradient="0">
              <x14:cfvo type="autoMin"/>
              <x14:cfvo type="autoMax"/>
              <x14:negativeFillColor rgb="FFFF0000"/>
              <x14:axisColor rgb="FF000000"/>
            </x14:dataBar>
          </x14:cfRule>
          <xm:sqref>G39:G43</xm:sqref>
        </x14:conditionalFormatting>
        <x14:conditionalFormatting xmlns:xm="http://schemas.microsoft.com/office/excel/2006/main">
          <x14:cfRule type="dataBar" id="{06604B15-F0D5-46F9-BE99-5B5581767E8E}">
            <x14:dataBar minLength="0" maxLength="100" gradient="0">
              <x14:cfvo type="autoMin"/>
              <x14:cfvo type="autoMax"/>
              <x14:negativeFillColor rgb="FFFF0000"/>
              <x14:axisColor rgb="FF000000"/>
            </x14:dataBar>
          </x14:cfRule>
          <x14:cfRule type="dataBar" id="{9F6C3E51-D871-4B85-9196-D6F5AACF0C52}">
            <x14:dataBar minLength="0" maxLength="100" border="1" negativeBarBorderColorSameAsPositive="0">
              <x14:cfvo type="autoMin"/>
              <x14:cfvo type="autoMax"/>
              <x14:borderColor rgb="FF63C384"/>
              <x14:negativeFillColor rgb="FFFF0000"/>
              <x14:negativeBorderColor rgb="FFFF0000"/>
              <x14:axisColor rgb="FF000000"/>
            </x14:dataBar>
          </x14:cfRule>
          <xm:sqref>E36:E43</xm:sqref>
        </x14:conditionalFormatting>
        <x14:conditionalFormatting xmlns:xm="http://schemas.microsoft.com/office/excel/2006/main">
          <x14:cfRule type="dataBar" id="{578A073A-4493-414E-8F55-D33E52427113}">
            <x14:dataBar minLength="0" maxLength="100" gradient="0">
              <x14:cfvo type="autoMin"/>
              <x14:cfvo type="autoMax"/>
              <x14:negativeFillColor rgb="FFFF0000"/>
              <x14:axisColor rgb="FF000000"/>
            </x14:dataBar>
          </x14:cfRule>
          <xm:sqref>I36:I43</xm:sqref>
        </x14:conditionalFormatting>
        <x14:conditionalFormatting xmlns:xm="http://schemas.microsoft.com/office/excel/2006/main">
          <x14:cfRule type="dataBar" id="{18AE0E08-76EC-462B-ADFD-389E349B1AB9}">
            <x14:dataBar minLength="0" maxLength="100" gradient="0">
              <x14:cfvo type="autoMin"/>
              <x14:cfvo type="autoMax"/>
              <x14:negativeFillColor rgb="FFFF0000"/>
              <x14:axisColor rgb="FF000000"/>
            </x14:dataBar>
          </x14:cfRule>
          <xm:sqref>E36:E39</xm:sqref>
        </x14:conditionalFormatting>
        <x14:conditionalFormatting xmlns:xm="http://schemas.microsoft.com/office/excel/2006/main">
          <x14:cfRule type="dataBar" id="{6955D367-7C63-4177-A366-7D08EE3E340B}">
            <x14:dataBar minLength="0" maxLength="100" gradient="0">
              <x14:cfvo type="autoMin"/>
              <x14:cfvo type="autoMax"/>
              <x14:negativeFillColor rgb="FFFF0000"/>
              <x14:axisColor rgb="FF000000"/>
            </x14:dataBar>
          </x14:cfRule>
          <xm:sqref>G36:G38</xm:sqref>
        </x14:conditionalFormatting>
        <x14:conditionalFormatting xmlns:xm="http://schemas.microsoft.com/office/excel/2006/main">
          <x14:cfRule type="dataBar" id="{9789383E-D426-4F81-A167-908FCCFCB969}">
            <x14:dataBar minLength="0" maxLength="100" border="1" negativeBarBorderColorSameAsPositive="0">
              <x14:cfvo type="autoMin"/>
              <x14:cfvo type="autoMax"/>
              <x14:borderColor rgb="FFD6007B"/>
              <x14:negativeFillColor rgb="FFFF0000"/>
              <x14:negativeBorderColor rgb="FFFF0000"/>
              <x14:axisColor rgb="FF000000"/>
            </x14:dataBar>
          </x14:cfRule>
          <xm:sqref>O36:O43</xm:sqref>
        </x14:conditionalFormatting>
        <x14:conditionalFormatting xmlns:xm="http://schemas.microsoft.com/office/excel/2006/main">
          <x14:cfRule type="dataBar" id="{F88D97FD-4A9F-4BC0-9B6A-02AB03C02F6D}">
            <x14:dataBar minLength="0" maxLength="100" gradient="0">
              <x14:cfvo type="autoMin"/>
              <x14:cfvo type="autoMax"/>
              <x14:negativeFillColor rgb="FFFF0000"/>
              <x14:axisColor rgb="FF000000"/>
            </x14:dataBar>
          </x14:cfRule>
          <x14:cfRule type="dataBar" id="{197F372A-559D-4A68-BA2B-7CC68ADEB3C7}">
            <x14:dataBar minLength="0" maxLength="100" gradient="0">
              <x14:cfvo type="autoMin"/>
              <x14:cfvo type="autoMax"/>
              <x14:negativeFillColor rgb="FFFF0000"/>
              <x14:axisColor rgb="FF000000"/>
            </x14:dataBar>
          </x14:cfRule>
          <xm:sqref>O36:O38</xm:sqref>
        </x14:conditionalFormatting>
        <x14:conditionalFormatting xmlns:xm="http://schemas.microsoft.com/office/excel/2006/main">
          <x14:cfRule type="dataBar" id="{4C83967A-306D-4336-A071-DC9A07770C81}">
            <x14:dataBar minLength="0" maxLength="100" gradient="0">
              <x14:cfvo type="autoMin"/>
              <x14:cfvo type="autoMax"/>
              <x14:negativeFillColor rgb="FFFF0000"/>
              <x14:axisColor rgb="FF000000"/>
            </x14:dataBar>
          </x14:cfRule>
          <x14:cfRule type="dataBar" id="{E1051346-5107-43A6-B5C8-B531915570DA}">
            <x14:dataBar minLength="0" maxLength="100" gradient="0">
              <x14:cfvo type="autoMin"/>
              <x14:cfvo type="autoMax"/>
              <x14:negativeFillColor rgb="FFFF0000"/>
              <x14:axisColor rgb="FF000000"/>
            </x14:dataBar>
          </x14:cfRule>
          <x14:cfRule type="dataBar" id="{8828177A-403D-45EA-832B-3A72BC190094}">
            <x14:dataBar minLength="0" maxLength="100" gradient="0">
              <x14:cfvo type="autoMin"/>
              <x14:cfvo type="autoMax"/>
              <x14:negativeFillColor rgb="FFFF0000"/>
              <x14:axisColor rgb="FF000000"/>
            </x14:dataBar>
          </x14:cfRule>
          <xm:sqref>M44</xm:sqref>
        </x14:conditionalFormatting>
        <x14:conditionalFormatting xmlns:xm="http://schemas.microsoft.com/office/excel/2006/main">
          <x14:cfRule type="dataBar" id="{EC6BB3ED-78B0-44AF-9B5F-10E99C436FE0}">
            <x14:dataBar minLength="0" maxLength="100" gradient="0">
              <x14:cfvo type="autoMin"/>
              <x14:cfvo type="autoMax"/>
              <x14:negativeFillColor rgb="FFFF0000"/>
              <x14:axisColor rgb="FF000000"/>
            </x14:dataBar>
          </x14:cfRule>
          <x14:cfRule type="dataBar" id="{B70800CC-DB45-4082-A982-605B1C7B7D94}">
            <x14:dataBar minLength="0" maxLength="100" gradient="0">
              <x14:cfvo type="autoMin"/>
              <x14:cfvo type="autoMax"/>
              <x14:negativeFillColor rgb="FFFF0000"/>
              <x14:axisColor rgb="FF000000"/>
            </x14:dataBar>
          </x14:cfRule>
          <x14:cfRule type="dataBar" id="{9D752FA9-24C8-46C3-99BA-92D2E40A50DF}">
            <x14:dataBar minLength="0" maxLength="100" gradient="0">
              <x14:cfvo type="autoMin"/>
              <x14:cfvo type="autoMax"/>
              <x14:negativeFillColor rgb="FFFF0000"/>
              <x14:axisColor rgb="FF000000"/>
            </x14:dataBar>
          </x14:cfRule>
          <xm:sqref>O44</xm:sqref>
        </x14:conditionalFormatting>
        <x14:conditionalFormatting xmlns:xm="http://schemas.microsoft.com/office/excel/2006/main">
          <x14:cfRule type="dataBar" id="{48E3A597-7020-466F-A849-51998B34A893}">
            <x14:dataBar minLength="0" maxLength="100" gradient="0">
              <x14:cfvo type="autoMin"/>
              <x14:cfvo type="autoMax"/>
              <x14:negativeFillColor rgb="FFFF0000"/>
              <x14:axisColor rgb="FF000000"/>
            </x14:dataBar>
          </x14:cfRule>
          <xm:sqref>O44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92C4-8EB6-4DDF-8859-5225410981D2}">
  <sheetPr>
    <tabColor rgb="FFFFC000"/>
  </sheetPr>
  <dimension ref="A1:Q941"/>
  <sheetViews>
    <sheetView topLeftCell="F139" zoomScale="63" zoomScaleNormal="65" workbookViewId="0">
      <selection activeCell="F6" sqref="F6"/>
    </sheetView>
  </sheetViews>
  <sheetFormatPr defaultRowHeight="15" outlineLevelRow="1"/>
  <cols>
    <col min="1" max="1" width="10" customWidth="1"/>
    <col min="2" max="2" width="16.140625" customWidth="1"/>
    <col min="3" max="3" width="11" customWidth="1"/>
    <col min="4" max="4" width="24.7109375" customWidth="1"/>
    <col min="5" max="5" width="14.28515625" customWidth="1"/>
    <col min="6" max="6" width="31.85546875" customWidth="1"/>
    <col min="7" max="7" width="15.42578125" customWidth="1"/>
    <col min="8" max="8" width="29.85546875" customWidth="1"/>
    <col min="9" max="9" width="18.5703125" customWidth="1"/>
    <col min="10" max="10" width="14.7109375" style="6" customWidth="1"/>
    <col min="11" max="11" width="13.85546875" customWidth="1"/>
    <col min="12" max="12" width="10.85546875" customWidth="1"/>
    <col min="13" max="13" width="13.140625" customWidth="1"/>
    <col min="14" max="14" width="15.42578125" customWidth="1"/>
    <col min="15" max="15" width="16.42578125" customWidth="1"/>
    <col min="16" max="16" width="34.5703125" customWidth="1"/>
    <col min="17" max="17" width="41.140625" customWidth="1"/>
  </cols>
  <sheetData>
    <row r="1" spans="1:17" ht="56.25" customHeight="1" thickBot="1">
      <c r="A1" s="29" t="s">
        <v>0</v>
      </c>
      <c r="B1" s="29" t="s">
        <v>1</v>
      </c>
      <c r="C1" s="29" t="s">
        <v>2</v>
      </c>
      <c r="D1" s="30" t="s">
        <v>3</v>
      </c>
      <c r="E1" s="29" t="s">
        <v>4</v>
      </c>
      <c r="F1" s="29" t="s">
        <v>5</v>
      </c>
      <c r="G1" s="29" t="s">
        <v>6</v>
      </c>
      <c r="H1" s="29" t="s">
        <v>49</v>
      </c>
      <c r="I1" s="29" t="s">
        <v>8</v>
      </c>
      <c r="J1" s="176" t="s">
        <v>9</v>
      </c>
      <c r="K1" s="29" t="s">
        <v>10</v>
      </c>
      <c r="L1" s="29" t="s">
        <v>11</v>
      </c>
      <c r="M1" s="29" t="s">
        <v>50</v>
      </c>
      <c r="N1" s="29" t="s">
        <v>87</v>
      </c>
      <c r="O1" s="29" t="s">
        <v>14</v>
      </c>
      <c r="P1" s="3" t="s">
        <v>88</v>
      </c>
      <c r="Q1" s="3" t="s">
        <v>89</v>
      </c>
    </row>
    <row r="2" spans="1:17" ht="17.25" customHeight="1" outlineLevel="1">
      <c r="A2" s="302" t="s">
        <v>90</v>
      </c>
      <c r="B2" s="298" t="s">
        <v>91</v>
      </c>
      <c r="C2" s="32">
        <v>0.39034997999999999</v>
      </c>
      <c r="D2" s="33" t="s">
        <v>92</v>
      </c>
      <c r="E2" s="177">
        <v>9.7587495000000003E-3</v>
      </c>
      <c r="F2" s="178" t="s">
        <v>93</v>
      </c>
      <c r="G2" s="177">
        <v>9.7587494999999996E-2</v>
      </c>
      <c r="H2" s="179" t="s">
        <v>94</v>
      </c>
      <c r="I2" s="180">
        <v>1.2403889999999997E-2</v>
      </c>
      <c r="J2" s="181">
        <v>4</v>
      </c>
      <c r="K2" s="181"/>
      <c r="L2" s="181">
        <v>2</v>
      </c>
      <c r="M2" s="182">
        <v>8</v>
      </c>
      <c r="N2" s="183">
        <v>3</v>
      </c>
      <c r="O2" s="184">
        <v>2.3420998800000001</v>
      </c>
      <c r="P2" s="301" t="s">
        <v>95</v>
      </c>
      <c r="Q2" s="297" t="s">
        <v>96</v>
      </c>
    </row>
    <row r="3" spans="1:17" ht="17.25" customHeight="1" outlineLevel="1">
      <c r="A3" s="303"/>
      <c r="B3" s="299"/>
      <c r="C3" s="31"/>
      <c r="D3" s="33" t="s">
        <v>97</v>
      </c>
      <c r="E3" s="34">
        <v>9.7587495000000003E-3</v>
      </c>
      <c r="F3" s="33" t="s">
        <v>98</v>
      </c>
      <c r="G3" s="34">
        <v>9.7587494999999996E-2</v>
      </c>
      <c r="H3" s="36" t="s">
        <v>99</v>
      </c>
      <c r="I3" s="35">
        <v>1.7365445999999996E-2</v>
      </c>
      <c r="J3" s="37">
        <v>4</v>
      </c>
      <c r="K3" s="37"/>
      <c r="L3" s="37">
        <v>2</v>
      </c>
      <c r="M3" s="53">
        <v>8</v>
      </c>
      <c r="N3" s="39">
        <v>3</v>
      </c>
      <c r="O3" s="185">
        <v>2.3420998800000001</v>
      </c>
      <c r="P3" s="278"/>
      <c r="Q3" s="286"/>
    </row>
    <row r="4" spans="1:17" ht="17.25" customHeight="1" outlineLevel="1">
      <c r="A4" s="303"/>
      <c r="B4" s="299"/>
      <c r="C4" s="31"/>
      <c r="D4" s="33" t="s">
        <v>100</v>
      </c>
      <c r="E4" s="34">
        <v>3.9034998000000001E-2</v>
      </c>
      <c r="F4" s="33" t="s">
        <v>101</v>
      </c>
      <c r="G4" s="34">
        <v>3.9034997999999998E-3</v>
      </c>
      <c r="H4" s="36" t="s">
        <v>102</v>
      </c>
      <c r="I4" s="35">
        <v>4.9615559999999989E-3</v>
      </c>
      <c r="J4" s="37">
        <v>3</v>
      </c>
      <c r="K4" s="37"/>
      <c r="L4" s="37">
        <v>2</v>
      </c>
      <c r="M4" s="53">
        <v>6</v>
      </c>
      <c r="N4" s="39">
        <v>2</v>
      </c>
      <c r="O4" s="185">
        <v>4.6841997600000004E-2</v>
      </c>
      <c r="P4" s="278"/>
      <c r="Q4" s="286"/>
    </row>
    <row r="5" spans="1:17" ht="17.25" customHeight="1" outlineLevel="1">
      <c r="A5" s="303"/>
      <c r="B5" s="299"/>
      <c r="C5" s="31"/>
      <c r="D5" s="33" t="s">
        <v>103</v>
      </c>
      <c r="E5" s="34">
        <v>9.7587494999999996E-2</v>
      </c>
      <c r="F5" s="33" t="s">
        <v>104</v>
      </c>
      <c r="G5" s="34">
        <v>3.9034997999999998E-3</v>
      </c>
      <c r="H5" s="36" t="s">
        <v>105</v>
      </c>
      <c r="I5" s="35">
        <v>4.9615559999999989E-3</v>
      </c>
      <c r="J5" s="37">
        <v>3</v>
      </c>
      <c r="K5" s="37"/>
      <c r="L5" s="37">
        <v>2</v>
      </c>
      <c r="M5" s="53">
        <v>6</v>
      </c>
      <c r="N5" s="39">
        <v>3</v>
      </c>
      <c r="O5" s="185">
        <v>4.6841997600000004E-2</v>
      </c>
      <c r="P5" s="278"/>
      <c r="Q5" s="286"/>
    </row>
    <row r="6" spans="1:17" ht="17.25" customHeight="1" outlineLevel="1">
      <c r="A6" s="303"/>
      <c r="B6" s="299"/>
      <c r="C6" s="31"/>
      <c r="D6" s="33" t="s">
        <v>60</v>
      </c>
      <c r="E6" s="34">
        <v>0.13662249299999998</v>
      </c>
      <c r="F6" s="33" t="s">
        <v>106</v>
      </c>
      <c r="G6" s="34">
        <v>5.46489972E-2</v>
      </c>
      <c r="H6" s="36" t="s">
        <v>107</v>
      </c>
      <c r="I6" s="35">
        <v>4.9615559999999989E-3</v>
      </c>
      <c r="J6" s="37">
        <v>4</v>
      </c>
      <c r="K6" s="37"/>
      <c r="L6" s="37">
        <v>2</v>
      </c>
      <c r="M6" s="53">
        <v>8</v>
      </c>
      <c r="N6" s="39">
        <v>2</v>
      </c>
      <c r="O6" s="185">
        <v>0.87438395520000001</v>
      </c>
      <c r="P6" s="278"/>
      <c r="Q6" s="286"/>
    </row>
    <row r="7" spans="1:17" ht="17.25" customHeight="1" outlineLevel="1">
      <c r="A7" s="303"/>
      <c r="B7" s="299"/>
      <c r="C7" s="31"/>
      <c r="D7" s="33" t="s">
        <v>108</v>
      </c>
      <c r="E7" s="34">
        <v>9.7587494999999996E-2</v>
      </c>
      <c r="F7" s="33" t="s">
        <v>109</v>
      </c>
      <c r="G7" s="34">
        <v>5.46489972E-2</v>
      </c>
      <c r="H7" s="36" t="s">
        <v>110</v>
      </c>
      <c r="I7" s="35">
        <v>2.4807779999999995E-3</v>
      </c>
      <c r="J7" s="37">
        <v>4</v>
      </c>
      <c r="K7" s="37"/>
      <c r="L7" s="37">
        <v>2</v>
      </c>
      <c r="M7" s="53">
        <v>8</v>
      </c>
      <c r="N7" s="39">
        <v>3</v>
      </c>
      <c r="O7" s="185">
        <v>1.3115759328000003</v>
      </c>
      <c r="P7" s="278"/>
      <c r="Q7" s="286"/>
    </row>
    <row r="8" spans="1:17" ht="17.25" customHeight="1" outlineLevel="1">
      <c r="A8" s="303"/>
      <c r="B8" s="299"/>
      <c r="C8" s="31"/>
      <c r="D8" s="33"/>
      <c r="E8" s="36"/>
      <c r="F8" s="33" t="s">
        <v>111</v>
      </c>
      <c r="G8" s="34">
        <v>7.8069996000000003E-2</v>
      </c>
      <c r="H8" s="36"/>
      <c r="I8" s="35">
        <v>4.9615559999999985E-4</v>
      </c>
      <c r="J8" s="37">
        <v>4</v>
      </c>
      <c r="K8" s="37"/>
      <c r="L8" s="37">
        <v>2</v>
      </c>
      <c r="M8" s="53">
        <v>8</v>
      </c>
      <c r="N8" s="39">
        <v>3</v>
      </c>
      <c r="O8" s="185">
        <v>1.8736799040000003</v>
      </c>
      <c r="P8" s="278"/>
      <c r="Q8" s="286"/>
    </row>
    <row r="9" spans="1:17" ht="17.25" customHeight="1" outlineLevel="1" thickBot="1">
      <c r="A9" s="303"/>
      <c r="B9" s="299"/>
      <c r="C9" s="31"/>
      <c r="D9" s="33"/>
      <c r="E9" s="186"/>
      <c r="F9" s="129"/>
      <c r="G9" s="187"/>
      <c r="H9" s="186"/>
      <c r="I9" s="188">
        <v>2.4807779999999995E-3</v>
      </c>
      <c r="J9" s="189"/>
      <c r="K9" s="189"/>
      <c r="L9" s="189"/>
      <c r="M9" s="190"/>
      <c r="N9" s="191"/>
      <c r="O9" s="192"/>
      <c r="P9" s="278"/>
      <c r="Q9" s="286"/>
    </row>
    <row r="10" spans="1:17" ht="17.25" customHeight="1" outlineLevel="1" thickBot="1">
      <c r="A10" s="303"/>
      <c r="B10" s="193"/>
      <c r="C10" s="194" t="s">
        <v>31</v>
      </c>
      <c r="D10" s="195"/>
      <c r="E10" s="196">
        <v>0.39034997999999999</v>
      </c>
      <c r="F10" s="196"/>
      <c r="G10" s="196">
        <v>0.39034997999999999</v>
      </c>
      <c r="H10" s="196"/>
      <c r="I10" s="196">
        <v>5.0111715599999981E-2</v>
      </c>
      <c r="J10" s="197"/>
      <c r="K10" s="197"/>
      <c r="L10" s="197"/>
      <c r="M10" s="196"/>
      <c r="N10" s="197"/>
      <c r="O10" s="58">
        <v>8.8375235472</v>
      </c>
      <c r="P10" s="10"/>
      <c r="Q10" s="11"/>
    </row>
    <row r="11" spans="1:17" ht="17.25" customHeight="1" outlineLevel="1">
      <c r="A11" s="303"/>
      <c r="B11" s="298" t="s">
        <v>112</v>
      </c>
      <c r="C11" s="46">
        <v>0.33700000000000002</v>
      </c>
      <c r="D11" s="47" t="s">
        <v>113</v>
      </c>
      <c r="E11" s="49">
        <v>4.3E-3</v>
      </c>
      <c r="F11" s="47" t="s">
        <v>114</v>
      </c>
      <c r="G11" s="34">
        <v>3.6279786725366393E-2</v>
      </c>
      <c r="H11" s="49" t="s">
        <v>115</v>
      </c>
      <c r="I11" s="34">
        <v>1.4498118337672706E-3</v>
      </c>
      <c r="J11" s="50">
        <v>4</v>
      </c>
      <c r="K11" s="50">
        <v>5.6212499999999999</v>
      </c>
      <c r="L11" s="50">
        <v>2</v>
      </c>
      <c r="M11" s="198">
        <v>8</v>
      </c>
      <c r="N11" s="39">
        <v>1</v>
      </c>
      <c r="O11" s="35">
        <v>0.29023829380293115</v>
      </c>
      <c r="P11" s="295" t="s">
        <v>116</v>
      </c>
      <c r="Q11" s="297" t="s">
        <v>117</v>
      </c>
    </row>
    <row r="12" spans="1:17" ht="17.25" customHeight="1" outlineLevel="1">
      <c r="A12" s="303"/>
      <c r="B12" s="299"/>
      <c r="C12" s="45"/>
      <c r="D12" s="47" t="s">
        <v>118</v>
      </c>
      <c r="E12" s="49">
        <v>4.3E-3</v>
      </c>
      <c r="F12" s="47" t="s">
        <v>119</v>
      </c>
      <c r="G12" s="34">
        <v>1.7603457814896688E-2</v>
      </c>
      <c r="H12" s="49" t="s">
        <v>120</v>
      </c>
      <c r="I12" s="34">
        <v>2.8996236675345411E-3</v>
      </c>
      <c r="J12" s="50">
        <v>4</v>
      </c>
      <c r="K12" s="50">
        <v>82.25833333333334</v>
      </c>
      <c r="L12" s="50">
        <v>4</v>
      </c>
      <c r="M12" s="198">
        <v>16</v>
      </c>
      <c r="N12" s="39">
        <v>2</v>
      </c>
      <c r="O12" s="35">
        <v>0.56331065007669401</v>
      </c>
      <c r="P12" s="291"/>
      <c r="Q12" s="286"/>
    </row>
    <row r="13" spans="1:17" ht="18.75" outlineLevel="1">
      <c r="A13" s="303"/>
      <c r="B13" s="299"/>
      <c r="C13" s="45"/>
      <c r="D13" s="47" t="s">
        <v>121</v>
      </c>
      <c r="E13" s="49">
        <v>5.1499999999999997E-2</v>
      </c>
      <c r="F13" s="47" t="s">
        <v>122</v>
      </c>
      <c r="G13" s="34">
        <v>6.0633756861006333E-2</v>
      </c>
      <c r="H13" s="49" t="s">
        <v>123</v>
      </c>
      <c r="I13" s="34">
        <v>1.4498118337672706E-3</v>
      </c>
      <c r="J13" s="50">
        <v>4</v>
      </c>
      <c r="K13" s="50">
        <v>43.304583333333333</v>
      </c>
      <c r="L13" s="50">
        <v>4</v>
      </c>
      <c r="M13" s="198">
        <v>16</v>
      </c>
      <c r="N13" s="39">
        <v>3</v>
      </c>
      <c r="O13" s="35">
        <v>2.9104203293283044</v>
      </c>
      <c r="P13" s="291"/>
      <c r="Q13" s="286"/>
    </row>
    <row r="14" spans="1:17" ht="18.75" outlineLevel="1">
      <c r="A14" s="303"/>
      <c r="B14" s="299"/>
      <c r="C14" s="45"/>
      <c r="D14" s="47" t="s">
        <v>124</v>
      </c>
      <c r="E14" s="49">
        <v>8.6E-3</v>
      </c>
      <c r="F14" s="47" t="s">
        <v>125</v>
      </c>
      <c r="G14" s="34">
        <v>5.3250248215270052E-2</v>
      </c>
      <c r="H14" s="49" t="s">
        <v>126</v>
      </c>
      <c r="I14" s="34">
        <v>2.8996236675345411E-3</v>
      </c>
      <c r="J14" s="50">
        <v>4</v>
      </c>
      <c r="K14" s="50">
        <v>43.495000000000005</v>
      </c>
      <c r="L14" s="50">
        <v>4</v>
      </c>
      <c r="M14" s="198">
        <v>16</v>
      </c>
      <c r="N14" s="39">
        <v>3</v>
      </c>
      <c r="O14" s="35">
        <v>2.5560119143329625</v>
      </c>
      <c r="P14" s="291"/>
      <c r="Q14" s="286"/>
    </row>
    <row r="15" spans="1:17" ht="18.75" outlineLevel="1">
      <c r="A15" s="303"/>
      <c r="B15" s="299"/>
      <c r="C15" s="45"/>
      <c r="D15" s="47" t="s">
        <v>127</v>
      </c>
      <c r="E15" s="49">
        <v>4.3E-3</v>
      </c>
      <c r="F15" s="47" t="s">
        <v>128</v>
      </c>
      <c r="G15" s="34">
        <v>7.4985002999400112E-3</v>
      </c>
      <c r="H15" s="49" t="s">
        <v>29</v>
      </c>
      <c r="I15" s="34">
        <v>1.4498118337672705E-2</v>
      </c>
      <c r="J15" s="50">
        <v>3</v>
      </c>
      <c r="K15" s="50">
        <v>2.5750000000000002</v>
      </c>
      <c r="L15" s="50">
        <v>1</v>
      </c>
      <c r="M15" s="198">
        <v>3</v>
      </c>
      <c r="N15" s="39">
        <v>2</v>
      </c>
      <c r="O15" s="35">
        <v>4.4991001799640072E-2</v>
      </c>
      <c r="P15" s="291"/>
      <c r="Q15" s="286"/>
    </row>
    <row r="16" spans="1:17" ht="18.75" outlineLevel="1">
      <c r="A16" s="303"/>
      <c r="B16" s="299"/>
      <c r="C16" s="45"/>
      <c r="D16" s="47" t="s">
        <v>129</v>
      </c>
      <c r="E16" s="49">
        <v>3.4300000000000004E-2</v>
      </c>
      <c r="F16" s="47" t="s">
        <v>130</v>
      </c>
      <c r="G16" s="34">
        <v>5.706254948177035E-2</v>
      </c>
      <c r="H16" s="49" t="s">
        <v>19</v>
      </c>
      <c r="I16" s="34">
        <v>1.4498118337672706E-3</v>
      </c>
      <c r="J16" s="50">
        <v>4</v>
      </c>
      <c r="K16" s="50">
        <v>55.90625</v>
      </c>
      <c r="L16" s="50">
        <v>4</v>
      </c>
      <c r="M16" s="198">
        <v>16</v>
      </c>
      <c r="N16" s="39">
        <v>2</v>
      </c>
      <c r="O16" s="35">
        <v>1.8260015834166514</v>
      </c>
      <c r="P16" s="291"/>
      <c r="Q16" s="286"/>
    </row>
    <row r="17" spans="1:17" ht="18.75" outlineLevel="1">
      <c r="A17" s="303"/>
      <c r="B17" s="299"/>
      <c r="C17" s="45"/>
      <c r="D17" s="47" t="s">
        <v>131</v>
      </c>
      <c r="E17" s="49">
        <v>8.6E-3</v>
      </c>
      <c r="F17" s="47" t="s">
        <v>132</v>
      </c>
      <c r="G17" s="34">
        <v>3.7390166386240421E-3</v>
      </c>
      <c r="H17" s="49" t="s">
        <v>133</v>
      </c>
      <c r="I17" s="34">
        <v>5.7992473350690823E-3</v>
      </c>
      <c r="J17" s="50">
        <v>3</v>
      </c>
      <c r="K17" s="50">
        <v>0.29166666666666669</v>
      </c>
      <c r="L17" s="50">
        <v>1</v>
      </c>
      <c r="M17" s="198">
        <v>3</v>
      </c>
      <c r="N17" s="39">
        <v>2</v>
      </c>
      <c r="O17" s="35">
        <v>2.2434099831744256E-2</v>
      </c>
      <c r="P17" s="291"/>
      <c r="Q17" s="286"/>
    </row>
    <row r="18" spans="1:17" ht="18.75" outlineLevel="1">
      <c r="A18" s="303"/>
      <c r="B18" s="299"/>
      <c r="C18" s="45"/>
      <c r="D18" s="47" t="s">
        <v>134</v>
      </c>
      <c r="E18" s="49">
        <v>8.8999999999999999E-3</v>
      </c>
      <c r="F18" s="47" t="s">
        <v>135</v>
      </c>
      <c r="G18" s="34">
        <v>2.3837504788171898E-2</v>
      </c>
      <c r="H18" s="49" t="s">
        <v>136</v>
      </c>
      <c r="I18" s="34">
        <v>1.598164672571363E-2</v>
      </c>
      <c r="J18" s="50">
        <v>4</v>
      </c>
      <c r="K18" s="50">
        <v>58.041249999999998</v>
      </c>
      <c r="L18" s="50">
        <v>4</v>
      </c>
      <c r="M18" s="198">
        <v>16</v>
      </c>
      <c r="N18" s="39">
        <v>3</v>
      </c>
      <c r="O18" s="35">
        <v>1.1442002298322511</v>
      </c>
      <c r="P18" s="291"/>
      <c r="Q18" s="286"/>
    </row>
    <row r="19" spans="1:17" ht="18.75" outlineLevel="1">
      <c r="A19" s="303"/>
      <c r="B19" s="299"/>
      <c r="C19" s="45"/>
      <c r="D19" s="47" t="s">
        <v>137</v>
      </c>
      <c r="E19" s="49">
        <v>2.1499999999999998E-2</v>
      </c>
      <c r="F19" s="47" t="s">
        <v>138</v>
      </c>
      <c r="G19" s="34">
        <v>3.0125893404736516E-2</v>
      </c>
      <c r="H19" s="49" t="s">
        <v>139</v>
      </c>
      <c r="I19" s="34">
        <v>1.8847553838974521E-2</v>
      </c>
      <c r="J19" s="50">
        <v>4</v>
      </c>
      <c r="K19" s="50">
        <v>12.9375</v>
      </c>
      <c r="L19" s="50">
        <v>3</v>
      </c>
      <c r="M19" s="198">
        <v>12</v>
      </c>
      <c r="N19" s="39">
        <v>1</v>
      </c>
      <c r="O19" s="35">
        <v>0.36151072085683816</v>
      </c>
      <c r="P19" s="291"/>
      <c r="Q19" s="286"/>
    </row>
    <row r="20" spans="1:17" ht="18.75" outlineLevel="1">
      <c r="A20" s="303"/>
      <c r="B20" s="299"/>
      <c r="C20" s="45"/>
      <c r="D20" s="47" t="s">
        <v>140</v>
      </c>
      <c r="E20" s="49">
        <v>2.1499999999999998E-2</v>
      </c>
      <c r="F20" s="47" t="s">
        <v>141</v>
      </c>
      <c r="G20" s="34">
        <v>1.6595792159323448E-2</v>
      </c>
      <c r="H20" s="49" t="s">
        <v>142</v>
      </c>
      <c r="I20" s="34">
        <v>0.10027303240985727</v>
      </c>
      <c r="J20" s="50">
        <v>4</v>
      </c>
      <c r="K20" s="50">
        <v>22.082916666666666</v>
      </c>
      <c r="L20" s="50">
        <v>3</v>
      </c>
      <c r="M20" s="198">
        <v>12</v>
      </c>
      <c r="N20" s="39">
        <v>2</v>
      </c>
      <c r="O20" s="35">
        <v>0.39829901182376276</v>
      </c>
      <c r="P20" s="291"/>
      <c r="Q20" s="286"/>
    </row>
    <row r="21" spans="1:17" ht="18.75" outlineLevel="1">
      <c r="A21" s="303"/>
      <c r="B21" s="299"/>
      <c r="C21" s="45"/>
      <c r="D21" s="47" t="s">
        <v>143</v>
      </c>
      <c r="E21" s="49">
        <v>2.1499999999999998E-2</v>
      </c>
      <c r="F21" s="47" t="s">
        <v>144</v>
      </c>
      <c r="G21" s="34">
        <v>1.4002040993235942E-2</v>
      </c>
      <c r="H21" s="49" t="s">
        <v>145</v>
      </c>
      <c r="I21" s="34">
        <v>4.3494355013018121E-3</v>
      </c>
      <c r="J21" s="50">
        <v>4</v>
      </c>
      <c r="K21" s="50">
        <v>4.7487500000000002</v>
      </c>
      <c r="L21" s="50">
        <v>2</v>
      </c>
      <c r="M21" s="198">
        <v>8</v>
      </c>
      <c r="N21" s="39">
        <v>2</v>
      </c>
      <c r="O21" s="35">
        <v>0.2240326558917751</v>
      </c>
      <c r="P21" s="291"/>
      <c r="Q21" s="286"/>
    </row>
    <row r="22" spans="1:17" ht="18.75" outlineLevel="1">
      <c r="A22" s="303"/>
      <c r="B22" s="299"/>
      <c r="C22" s="45"/>
      <c r="D22" s="47" t="s">
        <v>146</v>
      </c>
      <c r="E22" s="49">
        <v>2.1499999999999998E-2</v>
      </c>
      <c r="F22" s="47" t="s">
        <v>147</v>
      </c>
      <c r="G22" s="34">
        <v>7.4283051483804074E-3</v>
      </c>
      <c r="H22" s="49" t="s">
        <v>148</v>
      </c>
      <c r="I22" s="34">
        <v>1.5947930171439976E-2</v>
      </c>
      <c r="J22" s="50">
        <v>3</v>
      </c>
      <c r="K22" s="50">
        <v>1.875</v>
      </c>
      <c r="L22" s="50">
        <v>1</v>
      </c>
      <c r="M22" s="198">
        <v>3</v>
      </c>
      <c r="N22" s="39">
        <v>3</v>
      </c>
      <c r="O22" s="35">
        <v>6.6854746335423668E-2</v>
      </c>
      <c r="P22" s="291"/>
      <c r="Q22" s="286"/>
    </row>
    <row r="23" spans="1:17" ht="18.75" outlineLevel="1">
      <c r="A23" s="303"/>
      <c r="B23" s="299"/>
      <c r="C23" s="45"/>
      <c r="D23" s="47" t="s">
        <v>149</v>
      </c>
      <c r="E23" s="49">
        <v>8.6E-3</v>
      </c>
      <c r="F23" s="47" t="s">
        <v>150</v>
      </c>
      <c r="G23" s="34">
        <v>4.24048159674437E-3</v>
      </c>
      <c r="H23" s="49" t="s">
        <v>151</v>
      </c>
      <c r="I23" s="34">
        <v>4.2078259733524491E-2</v>
      </c>
      <c r="J23" s="50">
        <v>3</v>
      </c>
      <c r="K23" s="50">
        <v>1.3058333333333334</v>
      </c>
      <c r="L23" s="50">
        <v>1</v>
      </c>
      <c r="M23" s="198">
        <v>3</v>
      </c>
      <c r="N23" s="39">
        <v>2</v>
      </c>
      <c r="O23" s="35">
        <v>2.5442889580466223E-2</v>
      </c>
      <c r="P23" s="291"/>
      <c r="Q23" s="286"/>
    </row>
    <row r="24" spans="1:17" ht="18.75" outlineLevel="1">
      <c r="A24" s="303"/>
      <c r="B24" s="299"/>
      <c r="C24" s="45"/>
      <c r="D24" s="47" t="s">
        <v>60</v>
      </c>
      <c r="E24" s="49">
        <v>3.8700000000000005E-2</v>
      </c>
      <c r="F24" s="47" t="s">
        <v>152</v>
      </c>
      <c r="G24" s="34">
        <v>4.8682086091081092E-3</v>
      </c>
      <c r="H24" s="49" t="s">
        <v>153</v>
      </c>
      <c r="I24" s="34">
        <v>2.8996236675345411E-3</v>
      </c>
      <c r="J24" s="50">
        <v>3</v>
      </c>
      <c r="K24" s="50">
        <v>4.416666666666667</v>
      </c>
      <c r="L24" s="50">
        <v>2</v>
      </c>
      <c r="M24" s="198">
        <v>6</v>
      </c>
      <c r="N24" s="39">
        <v>3</v>
      </c>
      <c r="O24" s="35">
        <v>8.7627754963945967E-2</v>
      </c>
      <c r="P24" s="291"/>
      <c r="Q24" s="286"/>
    </row>
    <row r="25" spans="1:17" ht="18.75" outlineLevel="1">
      <c r="A25" s="303"/>
      <c r="B25" s="299"/>
      <c r="C25" s="45"/>
      <c r="D25" s="47" t="s">
        <v>154</v>
      </c>
      <c r="E25" s="49">
        <v>3.0100000000000002E-2</v>
      </c>
      <c r="F25" s="52"/>
      <c r="G25" s="122"/>
      <c r="H25" s="49" t="s">
        <v>155</v>
      </c>
      <c r="I25" s="34">
        <v>7.2827757231100111E-3</v>
      </c>
      <c r="J25" s="199"/>
      <c r="K25" s="123"/>
      <c r="L25" s="53"/>
      <c r="M25" s="53"/>
      <c r="N25" s="33"/>
      <c r="O25" s="33"/>
      <c r="P25" s="291"/>
      <c r="Q25" s="286"/>
    </row>
    <row r="26" spans="1:17" ht="18.75" outlineLevel="1">
      <c r="A26" s="303"/>
      <c r="B26" s="299"/>
      <c r="C26" s="45"/>
      <c r="D26" s="47" t="s">
        <v>156</v>
      </c>
      <c r="E26" s="49">
        <v>4.3E-3</v>
      </c>
      <c r="F26" s="52"/>
      <c r="G26" s="122"/>
      <c r="H26" s="49" t="s">
        <v>157</v>
      </c>
      <c r="I26" s="34">
        <v>1.4498118337672706E-3</v>
      </c>
      <c r="J26" s="199"/>
      <c r="K26" s="123"/>
      <c r="L26" s="53"/>
      <c r="M26" s="53"/>
      <c r="N26" s="33"/>
      <c r="O26" s="33"/>
      <c r="P26" s="291"/>
      <c r="Q26" s="286"/>
    </row>
    <row r="27" spans="1:17" ht="18.75" outlineLevel="1">
      <c r="A27" s="303"/>
      <c r="B27" s="299"/>
      <c r="C27" s="45"/>
      <c r="D27" s="47" t="s">
        <v>158</v>
      </c>
      <c r="E27" s="49">
        <v>4.3E-3</v>
      </c>
      <c r="F27" s="52"/>
      <c r="G27" s="122"/>
      <c r="H27" s="49" t="s">
        <v>137</v>
      </c>
      <c r="I27" s="34">
        <v>7.2490591688363524E-3</v>
      </c>
      <c r="J27" s="199"/>
      <c r="K27" s="123"/>
      <c r="L27" s="53"/>
      <c r="M27" s="53"/>
      <c r="N27" s="33"/>
      <c r="O27" s="33"/>
      <c r="P27" s="291"/>
      <c r="Q27" s="286"/>
    </row>
    <row r="28" spans="1:17" ht="18.75" outlineLevel="1">
      <c r="A28" s="303"/>
      <c r="B28" s="299"/>
      <c r="C28" s="45"/>
      <c r="D28" s="47" t="s">
        <v>159</v>
      </c>
      <c r="E28" s="49">
        <v>0.1032</v>
      </c>
      <c r="F28" s="52"/>
      <c r="G28" s="122"/>
      <c r="H28" s="49" t="s">
        <v>160</v>
      </c>
      <c r="I28" s="34">
        <v>1.4531834891946366E-2</v>
      </c>
      <c r="J28" s="199"/>
      <c r="K28" s="123"/>
      <c r="L28" s="53"/>
      <c r="M28" s="53"/>
      <c r="N28" s="33"/>
      <c r="O28" s="33"/>
      <c r="P28" s="291"/>
      <c r="Q28" s="286"/>
    </row>
    <row r="29" spans="1:17" ht="18.75" outlineLevel="1">
      <c r="A29" s="303"/>
      <c r="B29" s="299"/>
      <c r="C29" s="45"/>
      <c r="D29" s="47" t="s">
        <v>161</v>
      </c>
      <c r="E29" s="49">
        <v>0.57950000000000002</v>
      </c>
      <c r="F29" s="52"/>
      <c r="G29" s="122"/>
      <c r="H29" s="49" t="s">
        <v>162</v>
      </c>
      <c r="I29" s="34">
        <v>8.6988710026036243E-3</v>
      </c>
      <c r="J29" s="199"/>
      <c r="K29" s="123"/>
      <c r="L29" s="53"/>
      <c r="M29" s="53"/>
      <c r="N29" s="33"/>
      <c r="O29" s="33"/>
      <c r="P29" s="291"/>
      <c r="Q29" s="286"/>
    </row>
    <row r="30" spans="1:17" ht="18.75" outlineLevel="1">
      <c r="A30" s="303"/>
      <c r="B30" s="299"/>
      <c r="C30" s="45"/>
      <c r="D30" s="47" t="s">
        <v>163</v>
      </c>
      <c r="E30" s="49">
        <v>2.1499999999999998E-2</v>
      </c>
      <c r="F30" s="52"/>
      <c r="G30" s="122"/>
      <c r="H30" s="49" t="s">
        <v>150</v>
      </c>
      <c r="I30" s="34">
        <v>6.5376398736621794E-2</v>
      </c>
      <c r="J30" s="199"/>
      <c r="K30" s="123"/>
      <c r="L30" s="53"/>
      <c r="M30" s="53"/>
      <c r="N30" s="33"/>
      <c r="O30" s="33"/>
      <c r="P30" s="291"/>
      <c r="Q30" s="286"/>
    </row>
    <row r="31" spans="1:17" ht="18.75" outlineLevel="1">
      <c r="A31" s="303"/>
      <c r="B31" s="299"/>
      <c r="C31" s="45"/>
      <c r="D31" s="33"/>
      <c r="E31" s="52"/>
      <c r="F31" s="52"/>
      <c r="G31" s="122"/>
      <c r="H31" s="49" t="s">
        <v>24</v>
      </c>
      <c r="I31" s="34">
        <v>1.4498118337672706E-3</v>
      </c>
      <c r="J31" s="199"/>
      <c r="K31" s="123"/>
      <c r="L31" s="53"/>
      <c r="M31" s="53"/>
      <c r="N31" s="33"/>
      <c r="O31" s="33"/>
      <c r="P31" s="291"/>
      <c r="Q31" s="286"/>
    </row>
    <row r="32" spans="1:17" ht="19.5" outlineLevel="1" thickBot="1">
      <c r="A32" s="303"/>
      <c r="B32" s="299"/>
      <c r="C32" s="45"/>
      <c r="D32" s="33"/>
      <c r="E32" s="33"/>
      <c r="F32" s="33"/>
      <c r="G32" s="124"/>
      <c r="H32" s="49"/>
      <c r="I32" s="119"/>
      <c r="J32" s="38"/>
      <c r="K32" s="53"/>
      <c r="L32" s="53"/>
      <c r="M32" s="53"/>
      <c r="N32" s="33"/>
      <c r="O32" s="33"/>
      <c r="P32" s="296"/>
      <c r="Q32" s="286"/>
    </row>
    <row r="33" spans="1:17" ht="17.25" customHeight="1" outlineLevel="1" thickBot="1">
      <c r="A33" s="303"/>
      <c r="B33" s="55"/>
      <c r="C33" s="55" t="s">
        <v>31</v>
      </c>
      <c r="D33" s="56"/>
      <c r="E33" s="57">
        <v>1.0010000000000001</v>
      </c>
      <c r="F33" s="57"/>
      <c r="G33" s="58">
        <v>0.33716554273657456</v>
      </c>
      <c r="H33" s="58"/>
      <c r="I33" s="58">
        <v>0.3368620937481116</v>
      </c>
      <c r="J33" s="200"/>
      <c r="K33" s="58"/>
      <c r="L33" s="58"/>
      <c r="M33" s="58"/>
      <c r="N33" s="58"/>
      <c r="O33" s="58">
        <v>10.521375881873389</v>
      </c>
      <c r="P33" s="9"/>
      <c r="Q33" s="12"/>
    </row>
    <row r="34" spans="1:17" ht="19.5" customHeight="1">
      <c r="A34" s="303" t="s">
        <v>90</v>
      </c>
      <c r="B34" s="299" t="s">
        <v>164</v>
      </c>
      <c r="C34" s="46">
        <v>0.28577160000000001</v>
      </c>
      <c r="D34" s="47" t="s">
        <v>40</v>
      </c>
      <c r="E34" s="35">
        <v>0.05</v>
      </c>
      <c r="F34" s="36" t="s">
        <v>165</v>
      </c>
      <c r="G34" s="59">
        <v>5.7154320000000008E-2</v>
      </c>
      <c r="H34" s="36" t="s">
        <v>166</v>
      </c>
      <c r="I34" s="35">
        <v>0.14288580000000001</v>
      </c>
      <c r="J34" s="37">
        <v>4</v>
      </c>
      <c r="K34" s="37"/>
      <c r="L34" s="37">
        <v>2</v>
      </c>
      <c r="M34" s="198">
        <v>8</v>
      </c>
      <c r="N34" s="37">
        <v>3</v>
      </c>
      <c r="O34" s="35">
        <v>1.3717036800000002</v>
      </c>
      <c r="P34" s="285" t="s">
        <v>167</v>
      </c>
      <c r="Q34" s="286" t="s">
        <v>168</v>
      </c>
    </row>
    <row r="35" spans="1:17" ht="18.75" outlineLevel="1">
      <c r="A35" s="303"/>
      <c r="B35" s="299"/>
      <c r="C35" s="45"/>
      <c r="D35" s="47" t="s">
        <v>169</v>
      </c>
      <c r="E35" s="35">
        <v>0.5</v>
      </c>
      <c r="F35" s="36" t="s">
        <v>93</v>
      </c>
      <c r="G35" s="59">
        <v>8.5731479999999999E-2</v>
      </c>
      <c r="H35" s="36" t="s">
        <v>170</v>
      </c>
      <c r="I35" s="35">
        <v>5.7154320000000008E-2</v>
      </c>
      <c r="J35" s="37">
        <v>4</v>
      </c>
      <c r="K35" s="37"/>
      <c r="L35" s="37">
        <v>2</v>
      </c>
      <c r="M35" s="198">
        <v>8</v>
      </c>
      <c r="N35" s="37">
        <v>3</v>
      </c>
      <c r="O35" s="35">
        <v>2.0575555200000002</v>
      </c>
      <c r="P35" s="286"/>
      <c r="Q35" s="286"/>
    </row>
    <row r="36" spans="1:17" ht="18.75" outlineLevel="1">
      <c r="A36" s="303"/>
      <c r="B36" s="299"/>
      <c r="C36" s="45"/>
      <c r="D36" s="47" t="s">
        <v>60</v>
      </c>
      <c r="E36" s="35">
        <v>0.3</v>
      </c>
      <c r="F36" s="36" t="s">
        <v>171</v>
      </c>
      <c r="G36" s="59">
        <v>0.14288580000000001</v>
      </c>
      <c r="H36" s="36" t="s">
        <v>172</v>
      </c>
      <c r="I36" s="35">
        <v>2.8577160000000004E-2</v>
      </c>
      <c r="J36" s="37">
        <v>5</v>
      </c>
      <c r="K36" s="37"/>
      <c r="L36" s="37">
        <v>2</v>
      </c>
      <c r="M36" s="198">
        <v>10</v>
      </c>
      <c r="N36" s="37">
        <v>2</v>
      </c>
      <c r="O36" s="35">
        <v>2.8577159999999999</v>
      </c>
      <c r="P36" s="286"/>
      <c r="Q36" s="286"/>
    </row>
    <row r="37" spans="1:17" ht="18.75" outlineLevel="1">
      <c r="A37" s="303"/>
      <c r="B37" s="299"/>
      <c r="C37" s="45"/>
      <c r="D37" s="47" t="s">
        <v>173</v>
      </c>
      <c r="E37" s="35">
        <v>0.05</v>
      </c>
      <c r="F37" s="33"/>
      <c r="G37" s="124"/>
      <c r="H37" s="36" t="s">
        <v>174</v>
      </c>
      <c r="I37" s="35">
        <v>2.8577160000000004E-2</v>
      </c>
      <c r="J37" s="37"/>
      <c r="K37" s="37"/>
      <c r="L37" s="37"/>
      <c r="M37" s="53"/>
      <c r="N37" s="33"/>
      <c r="O37" s="33"/>
      <c r="P37" s="286"/>
      <c r="Q37" s="286"/>
    </row>
    <row r="38" spans="1:17" ht="18.75" outlineLevel="1">
      <c r="A38" s="303"/>
      <c r="B38" s="299"/>
      <c r="C38" s="45"/>
      <c r="D38" s="47" t="s">
        <v>175</v>
      </c>
      <c r="E38" s="35">
        <v>0.1</v>
      </c>
      <c r="F38" s="33"/>
      <c r="G38" s="124"/>
      <c r="H38" s="36" t="s">
        <v>142</v>
      </c>
      <c r="I38" s="35">
        <v>2.8577160000000004E-2</v>
      </c>
      <c r="J38" s="38"/>
      <c r="K38" s="53"/>
      <c r="L38" s="53"/>
      <c r="M38" s="53"/>
      <c r="N38" s="33"/>
      <c r="O38" s="33"/>
      <c r="P38" s="286"/>
      <c r="Q38" s="286"/>
    </row>
    <row r="39" spans="1:17" ht="18.75" outlineLevel="1">
      <c r="A39" s="303"/>
      <c r="B39" s="299"/>
      <c r="C39" s="45"/>
      <c r="D39" s="47"/>
      <c r="E39" s="35"/>
      <c r="F39" s="33"/>
      <c r="G39" s="125"/>
      <c r="H39" s="36"/>
      <c r="I39" s="35"/>
      <c r="J39" s="201"/>
      <c r="K39" s="60"/>
      <c r="L39" s="60"/>
      <c r="M39" s="60"/>
      <c r="N39" s="33"/>
      <c r="O39" s="33"/>
      <c r="P39" s="286"/>
      <c r="Q39" s="286"/>
    </row>
    <row r="40" spans="1:17" ht="18.75" outlineLevel="1">
      <c r="A40" s="303"/>
      <c r="B40" s="299"/>
      <c r="C40" s="45"/>
      <c r="D40" s="47"/>
      <c r="E40" s="202"/>
      <c r="F40" s="33"/>
      <c r="G40" s="124"/>
      <c r="H40" s="36"/>
      <c r="I40" s="35"/>
      <c r="J40" s="38"/>
      <c r="K40" s="53"/>
      <c r="L40" s="53"/>
      <c r="M40" s="53"/>
      <c r="N40" s="33"/>
      <c r="O40" s="33"/>
      <c r="P40" s="286"/>
      <c r="Q40" s="286"/>
    </row>
    <row r="41" spans="1:17" ht="19.5" outlineLevel="1" thickBot="1">
      <c r="A41" s="303"/>
      <c r="B41" s="299"/>
      <c r="C41" s="45"/>
      <c r="D41" s="54"/>
      <c r="E41" s="40"/>
      <c r="F41" s="33"/>
      <c r="G41" s="124"/>
      <c r="H41" s="36"/>
      <c r="I41" s="35"/>
      <c r="J41" s="38"/>
      <c r="K41" s="53"/>
      <c r="L41" s="53"/>
      <c r="M41" s="53"/>
      <c r="N41" s="33"/>
      <c r="O41" s="33"/>
      <c r="P41" s="287"/>
      <c r="Q41" s="287"/>
    </row>
    <row r="42" spans="1:17" ht="19.5" outlineLevel="1" thickBot="1">
      <c r="A42" s="303"/>
      <c r="B42" s="56"/>
      <c r="C42" s="57" t="s">
        <v>31</v>
      </c>
      <c r="D42" s="57"/>
      <c r="E42" s="62">
        <v>1.0000000000000002</v>
      </c>
      <c r="F42" s="57"/>
      <c r="G42" s="58">
        <v>0.28577160000000001</v>
      </c>
      <c r="H42" s="57"/>
      <c r="I42" s="200">
        <v>0.28577160000000001</v>
      </c>
      <c r="J42" s="203"/>
      <c r="K42" s="57"/>
      <c r="L42" s="57"/>
      <c r="M42" s="57"/>
      <c r="N42" s="63"/>
      <c r="O42" s="58">
        <v>6.2869752000000005</v>
      </c>
      <c r="P42" s="9"/>
      <c r="Q42" s="18"/>
    </row>
    <row r="43" spans="1:17" ht="18" customHeight="1" outlineLevel="1">
      <c r="A43" s="303"/>
      <c r="B43" s="299" t="s">
        <v>176</v>
      </c>
      <c r="C43" s="65">
        <v>1.9454845465357379E-2</v>
      </c>
      <c r="D43" s="33" t="s">
        <v>177</v>
      </c>
      <c r="E43" s="204">
        <v>0.33333333333333331</v>
      </c>
      <c r="F43" s="33" t="s">
        <v>122</v>
      </c>
      <c r="G43" s="59">
        <v>1.9454845465357379E-2</v>
      </c>
      <c r="H43" s="36" t="s">
        <v>145</v>
      </c>
      <c r="I43" s="35">
        <v>6.4849484884524598E-3</v>
      </c>
      <c r="J43" s="37">
        <v>4</v>
      </c>
      <c r="K43" s="205">
        <v>0.16666666666666666</v>
      </c>
      <c r="L43" s="37">
        <v>1</v>
      </c>
      <c r="M43" s="198">
        <v>4</v>
      </c>
      <c r="N43" s="39">
        <v>3</v>
      </c>
      <c r="O43" s="35">
        <v>0.23345814558428857</v>
      </c>
      <c r="P43" s="285" t="s">
        <v>178</v>
      </c>
      <c r="Q43" s="297" t="s">
        <v>179</v>
      </c>
    </row>
    <row r="44" spans="1:17" ht="18" customHeight="1" outlineLevel="1">
      <c r="A44" s="303"/>
      <c r="B44" s="299"/>
      <c r="C44" s="66"/>
      <c r="D44" s="33" t="s">
        <v>180</v>
      </c>
      <c r="E44" s="204">
        <v>0.66666666666666663</v>
      </c>
      <c r="F44" s="33"/>
      <c r="G44" s="59"/>
      <c r="H44" s="36" t="s">
        <v>24</v>
      </c>
      <c r="I44" s="35">
        <v>1.296989697690492E-2</v>
      </c>
      <c r="J44" s="37"/>
      <c r="K44" s="206"/>
      <c r="L44" s="37"/>
      <c r="M44" s="38"/>
      <c r="N44" s="40"/>
      <c r="O44" s="35"/>
      <c r="P44" s="294"/>
      <c r="Q44" s="286"/>
    </row>
    <row r="45" spans="1:17" ht="18.75" outlineLevel="1">
      <c r="A45" s="303"/>
      <c r="B45" s="299"/>
      <c r="C45" s="66"/>
      <c r="D45" s="33"/>
      <c r="E45" s="40"/>
      <c r="F45" s="33"/>
      <c r="G45" s="59"/>
      <c r="H45" s="33"/>
      <c r="I45" s="35"/>
      <c r="J45" s="38"/>
      <c r="K45" s="33"/>
      <c r="L45" s="38"/>
      <c r="M45" s="38"/>
      <c r="N45" s="40"/>
      <c r="O45" s="35"/>
      <c r="P45" s="294"/>
      <c r="Q45" s="286"/>
    </row>
    <row r="46" spans="1:17" ht="23.25" customHeight="1" outlineLevel="1" thickBot="1">
      <c r="A46" s="303"/>
      <c r="B46" s="300"/>
      <c r="C46" s="66"/>
      <c r="D46" s="33"/>
      <c r="E46" s="40"/>
      <c r="F46" s="33"/>
      <c r="G46" s="33"/>
      <c r="H46" s="33"/>
      <c r="I46" s="35"/>
      <c r="J46" s="40"/>
      <c r="K46" s="33"/>
      <c r="L46" s="40"/>
      <c r="M46" s="40"/>
      <c r="N46" s="40"/>
      <c r="O46" s="40"/>
      <c r="P46" s="294"/>
      <c r="Q46" s="287"/>
    </row>
    <row r="47" spans="1:17" ht="16.5" customHeight="1" outlineLevel="1" thickBot="1">
      <c r="A47" s="303"/>
      <c r="B47" s="207"/>
      <c r="C47" s="208" t="s">
        <v>31</v>
      </c>
      <c r="D47" s="208"/>
      <c r="E47" s="209">
        <v>1</v>
      </c>
      <c r="F47" s="208"/>
      <c r="G47" s="210">
        <v>1.9454845465357379E-2</v>
      </c>
      <c r="H47" s="208"/>
      <c r="I47" s="210">
        <v>1.9454845465357379E-2</v>
      </c>
      <c r="J47" s="211"/>
      <c r="K47" s="208"/>
      <c r="L47" s="208"/>
      <c r="M47" s="208"/>
      <c r="N47" s="212"/>
      <c r="O47" s="210">
        <v>0.23345814558428857</v>
      </c>
      <c r="P47" s="14"/>
      <c r="Q47" s="18"/>
    </row>
    <row r="48" spans="1:17" ht="16.5" customHeight="1" outlineLevel="1">
      <c r="A48" s="303"/>
      <c r="B48" s="298" t="s">
        <v>181</v>
      </c>
      <c r="C48" s="65">
        <v>0.84548070000000008</v>
      </c>
      <c r="D48" s="33" t="s">
        <v>113</v>
      </c>
      <c r="E48" s="204">
        <v>1.3300000000000001E-2</v>
      </c>
      <c r="F48" s="33" t="s">
        <v>114</v>
      </c>
      <c r="G48" s="59">
        <v>1.0829542993285682E-2</v>
      </c>
      <c r="H48" s="36" t="s">
        <v>182</v>
      </c>
      <c r="I48" s="35">
        <v>1.1341194527697785E-2</v>
      </c>
      <c r="J48" s="37">
        <v>4</v>
      </c>
      <c r="K48" s="37">
        <v>0.16666666666666666</v>
      </c>
      <c r="L48" s="37">
        <v>1</v>
      </c>
      <c r="M48" s="198">
        <v>4</v>
      </c>
      <c r="N48" s="39">
        <v>1</v>
      </c>
      <c r="O48" s="35">
        <v>4.3318171973142729E-2</v>
      </c>
      <c r="P48" s="285" t="s">
        <v>183</v>
      </c>
      <c r="Q48" s="297" t="s">
        <v>184</v>
      </c>
    </row>
    <row r="49" spans="1:17" ht="16.5" customHeight="1" outlineLevel="1">
      <c r="A49" s="303"/>
      <c r="B49" s="299"/>
      <c r="C49" s="66"/>
      <c r="D49" s="33" t="s">
        <v>185</v>
      </c>
      <c r="E49" s="204">
        <v>0.12</v>
      </c>
      <c r="F49" s="33" t="s">
        <v>186</v>
      </c>
      <c r="G49" s="59">
        <v>0.1172332942555686</v>
      </c>
      <c r="H49" s="36" t="s">
        <v>187</v>
      </c>
      <c r="I49" s="35">
        <v>4.5450050250097136E-2</v>
      </c>
      <c r="J49" s="37">
        <v>5</v>
      </c>
      <c r="K49" s="37">
        <v>27.208333333333332</v>
      </c>
      <c r="L49" s="37">
        <v>3</v>
      </c>
      <c r="M49" s="198">
        <v>15</v>
      </c>
      <c r="N49" s="39">
        <v>3</v>
      </c>
      <c r="O49" s="35">
        <v>5.2754982415005864</v>
      </c>
      <c r="P49" s="294"/>
      <c r="Q49" s="286"/>
    </row>
    <row r="50" spans="1:17" ht="16.5" customHeight="1" outlineLevel="1">
      <c r="A50" s="303"/>
      <c r="B50" s="299"/>
      <c r="C50" s="66"/>
      <c r="D50" s="33" t="s">
        <v>188</v>
      </c>
      <c r="E50" s="40">
        <v>1.3300000000000001E-2</v>
      </c>
      <c r="F50" s="33" t="s">
        <v>189</v>
      </c>
      <c r="G50" s="59">
        <v>5.7504312823461759E-2</v>
      </c>
      <c r="H50" s="33" t="s">
        <v>190</v>
      </c>
      <c r="I50" s="35">
        <v>2.2767661194701565E-2</v>
      </c>
      <c r="J50" s="37">
        <v>4</v>
      </c>
      <c r="K50" s="37">
        <v>13.375833333333333</v>
      </c>
      <c r="L50" s="37">
        <v>2</v>
      </c>
      <c r="M50" s="198">
        <v>8</v>
      </c>
      <c r="N50" s="39">
        <v>3</v>
      </c>
      <c r="O50" s="35">
        <v>1.3801035077630823</v>
      </c>
      <c r="P50" s="294"/>
      <c r="Q50" s="286"/>
    </row>
    <row r="51" spans="1:17" ht="16.5" customHeight="1" outlineLevel="1">
      <c r="A51" s="303"/>
      <c r="B51" s="299"/>
      <c r="C51" s="66"/>
      <c r="D51" s="33" t="s">
        <v>191</v>
      </c>
      <c r="E51" s="40">
        <v>2.6600000000000002E-2</v>
      </c>
      <c r="F51" s="33" t="s">
        <v>192</v>
      </c>
      <c r="G51" s="59">
        <v>0.15827110784449483</v>
      </c>
      <c r="H51" s="33" t="s">
        <v>193</v>
      </c>
      <c r="I51" s="35">
        <v>2.2682389055395571E-2</v>
      </c>
      <c r="J51" s="37">
        <v>5</v>
      </c>
      <c r="K51" s="37">
        <v>31.635000000000002</v>
      </c>
      <c r="L51" s="37">
        <v>3</v>
      </c>
      <c r="M51" s="198">
        <v>15</v>
      </c>
      <c r="N51" s="39">
        <v>3</v>
      </c>
      <c r="O51" s="35">
        <v>7.1221998530022681</v>
      </c>
      <c r="P51" s="294"/>
      <c r="Q51" s="286"/>
    </row>
    <row r="52" spans="1:17" ht="16.5" customHeight="1" outlineLevel="1">
      <c r="A52" s="303"/>
      <c r="B52" s="299"/>
      <c r="C52" s="213"/>
      <c r="D52" s="36" t="s">
        <v>194</v>
      </c>
      <c r="E52" s="214">
        <v>0.04</v>
      </c>
      <c r="F52" s="36" t="s">
        <v>195</v>
      </c>
      <c r="G52" s="35">
        <v>7.8735093944718948E-2</v>
      </c>
      <c r="H52" s="36" t="s">
        <v>136</v>
      </c>
      <c r="I52" s="35">
        <v>2.2682389055395571E-2</v>
      </c>
      <c r="J52" s="37">
        <v>4</v>
      </c>
      <c r="K52" s="37">
        <v>6.0408333333333326</v>
      </c>
      <c r="L52" s="37">
        <v>3</v>
      </c>
      <c r="M52" s="198">
        <v>12</v>
      </c>
      <c r="N52" s="39">
        <v>3</v>
      </c>
      <c r="O52" s="35">
        <v>2.8344633820098823</v>
      </c>
      <c r="P52" s="294"/>
      <c r="Q52" s="286"/>
    </row>
    <row r="53" spans="1:17" ht="16.5" customHeight="1" outlineLevel="1">
      <c r="A53" s="303"/>
      <c r="B53" s="299"/>
      <c r="C53" s="213"/>
      <c r="D53" s="36" t="s">
        <v>196</v>
      </c>
      <c r="E53" s="214">
        <v>5.33E-2</v>
      </c>
      <c r="F53" s="36" t="s">
        <v>197</v>
      </c>
      <c r="G53" s="35">
        <v>1.1070519207350825E-2</v>
      </c>
      <c r="H53" s="36" t="s">
        <v>142</v>
      </c>
      <c r="I53" s="35">
        <v>0.1364354228895974</v>
      </c>
      <c r="J53" s="37">
        <v>4</v>
      </c>
      <c r="K53" s="37">
        <v>0.25</v>
      </c>
      <c r="L53" s="37">
        <v>3</v>
      </c>
      <c r="M53" s="198">
        <v>12</v>
      </c>
      <c r="N53" s="39">
        <v>2</v>
      </c>
      <c r="O53" s="35">
        <v>0.2656924609764198</v>
      </c>
      <c r="P53" s="294"/>
      <c r="Q53" s="286"/>
    </row>
    <row r="54" spans="1:17" ht="16.5" customHeight="1" outlineLevel="1">
      <c r="A54" s="303"/>
      <c r="B54" s="299"/>
      <c r="C54" s="213"/>
      <c r="D54" s="36" t="s">
        <v>198</v>
      </c>
      <c r="E54" s="214">
        <v>0.04</v>
      </c>
      <c r="F54" s="36" t="s">
        <v>199</v>
      </c>
      <c r="G54" s="35">
        <v>3.5612535612535613E-2</v>
      </c>
      <c r="H54" s="36" t="s">
        <v>145</v>
      </c>
      <c r="I54" s="35">
        <v>2.2682389055395571E-2</v>
      </c>
      <c r="J54" s="37">
        <v>4</v>
      </c>
      <c r="K54" s="37">
        <v>17.541666666666668</v>
      </c>
      <c r="L54" s="37">
        <v>3</v>
      </c>
      <c r="M54" s="198">
        <v>12</v>
      </c>
      <c r="N54" s="39">
        <v>3</v>
      </c>
      <c r="O54" s="35">
        <v>1.2820512820512822</v>
      </c>
      <c r="P54" s="294"/>
      <c r="Q54" s="286"/>
    </row>
    <row r="55" spans="1:17" ht="16.5" customHeight="1" outlineLevel="1">
      <c r="A55" s="303"/>
      <c r="B55" s="299"/>
      <c r="C55" s="213"/>
      <c r="D55" s="36" t="s">
        <v>200</v>
      </c>
      <c r="E55" s="214">
        <v>0.04</v>
      </c>
      <c r="F55" s="36" t="s">
        <v>201</v>
      </c>
      <c r="G55" s="35">
        <v>2.9744199881023201E-2</v>
      </c>
      <c r="H55" s="36" t="s">
        <v>148</v>
      </c>
      <c r="I55" s="35">
        <v>0.13635015075029142</v>
      </c>
      <c r="J55" s="37">
        <v>4</v>
      </c>
      <c r="K55" s="37">
        <v>1.5</v>
      </c>
      <c r="L55" s="37">
        <v>2</v>
      </c>
      <c r="M55" s="198">
        <v>8</v>
      </c>
      <c r="N55" s="39">
        <v>2</v>
      </c>
      <c r="O55" s="35">
        <v>0.47590719809637128</v>
      </c>
      <c r="P55" s="294"/>
      <c r="Q55" s="286"/>
    </row>
    <row r="56" spans="1:17" ht="16.5" customHeight="1" outlineLevel="1">
      <c r="A56" s="303"/>
      <c r="B56" s="299"/>
      <c r="C56" s="213"/>
      <c r="D56" s="36" t="s">
        <v>202</v>
      </c>
      <c r="E56" s="214">
        <v>2.6600000000000002E-2</v>
      </c>
      <c r="F56" s="36" t="s">
        <v>138</v>
      </c>
      <c r="G56" s="35">
        <v>1.1070519207350825E-2</v>
      </c>
      <c r="H56" s="36" t="s">
        <v>151</v>
      </c>
      <c r="I56" s="35">
        <v>6.8217711444798698E-2</v>
      </c>
      <c r="J56" s="37">
        <v>4</v>
      </c>
      <c r="K56" s="37">
        <v>4.1666666666666664E-2</v>
      </c>
      <c r="L56" s="37">
        <v>1</v>
      </c>
      <c r="M56" s="198">
        <v>4</v>
      </c>
      <c r="N56" s="39">
        <v>1</v>
      </c>
      <c r="O56" s="35">
        <v>4.42820768294033E-2</v>
      </c>
      <c r="P56" s="294"/>
      <c r="Q56" s="286"/>
    </row>
    <row r="57" spans="1:17" ht="16.5" customHeight="1" outlineLevel="1">
      <c r="A57" s="303"/>
      <c r="B57" s="299"/>
      <c r="C57" s="213"/>
      <c r="D57" s="36" t="s">
        <v>203</v>
      </c>
      <c r="E57" s="214">
        <v>1.3300000000000001E-2</v>
      </c>
      <c r="F57" s="36" t="s">
        <v>204</v>
      </c>
      <c r="G57" s="35">
        <v>4.8254692693884486E-2</v>
      </c>
      <c r="H57" s="36" t="s">
        <v>205</v>
      </c>
      <c r="I57" s="35">
        <v>3.4108855722399349E-2</v>
      </c>
      <c r="J57" s="37">
        <v>4</v>
      </c>
      <c r="K57" s="37">
        <v>16.553750000000001</v>
      </c>
      <c r="L57" s="37">
        <v>2</v>
      </c>
      <c r="M57" s="198">
        <v>8</v>
      </c>
      <c r="N57" s="39">
        <v>2</v>
      </c>
      <c r="O57" s="35">
        <v>0.77207508310215178</v>
      </c>
      <c r="P57" s="294"/>
      <c r="Q57" s="286"/>
    </row>
    <row r="58" spans="1:17" ht="16.5" customHeight="1" outlineLevel="1">
      <c r="A58" s="303"/>
      <c r="B58" s="299"/>
      <c r="C58" s="213"/>
      <c r="D58" s="36" t="s">
        <v>206</v>
      </c>
      <c r="E58" s="214">
        <v>9.3299999999999994E-2</v>
      </c>
      <c r="F58" s="36" t="s">
        <v>141</v>
      </c>
      <c r="G58" s="35">
        <v>7.9302141157811271E-2</v>
      </c>
      <c r="H58" s="36" t="s">
        <v>155</v>
      </c>
      <c r="I58" s="35">
        <v>1.1341194527697785E-2</v>
      </c>
      <c r="J58" s="37">
        <v>4</v>
      </c>
      <c r="K58" s="37">
        <v>2.1666666666666665</v>
      </c>
      <c r="L58" s="37">
        <v>2</v>
      </c>
      <c r="M58" s="198">
        <v>8</v>
      </c>
      <c r="N58" s="39">
        <v>2</v>
      </c>
      <c r="O58" s="35">
        <v>1.2688342585249803</v>
      </c>
      <c r="P58" s="294"/>
      <c r="Q58" s="286"/>
    </row>
    <row r="59" spans="1:17" ht="16.5" customHeight="1" outlineLevel="1">
      <c r="A59" s="303"/>
      <c r="B59" s="299"/>
      <c r="C59" s="213"/>
      <c r="D59" s="36" t="s">
        <v>137</v>
      </c>
      <c r="E59" s="214">
        <v>3.9900000000000005E-2</v>
      </c>
      <c r="F59" s="36" t="s">
        <v>207</v>
      </c>
      <c r="G59" s="35">
        <v>0.10810383507515048</v>
      </c>
      <c r="H59" s="36" t="s">
        <v>137</v>
      </c>
      <c r="I59" s="35">
        <v>1.1341194527697785E-2</v>
      </c>
      <c r="J59" s="37">
        <v>5</v>
      </c>
      <c r="K59" s="37">
        <v>22.7</v>
      </c>
      <c r="L59" s="37">
        <v>2</v>
      </c>
      <c r="M59" s="198">
        <v>10</v>
      </c>
      <c r="N59" s="39">
        <v>2</v>
      </c>
      <c r="O59" s="35">
        <v>2.1620767015030093</v>
      </c>
      <c r="P59" s="294"/>
      <c r="Q59" s="286"/>
    </row>
    <row r="60" spans="1:17" ht="16.5" customHeight="1" outlineLevel="1">
      <c r="A60" s="303"/>
      <c r="B60" s="299"/>
      <c r="C60" s="213"/>
      <c r="D60" s="36" t="s">
        <v>208</v>
      </c>
      <c r="E60" s="214">
        <v>2.6600000000000002E-2</v>
      </c>
      <c r="F60" s="36" t="s">
        <v>209</v>
      </c>
      <c r="G60" s="35">
        <v>1.0829542993285682E-2</v>
      </c>
      <c r="H60" s="36" t="s">
        <v>210</v>
      </c>
      <c r="I60" s="35">
        <v>1.1341194527697785E-2</v>
      </c>
      <c r="J60" s="37">
        <v>4</v>
      </c>
      <c r="K60" s="37">
        <v>0.16666666666666666</v>
      </c>
      <c r="L60" s="37">
        <v>3</v>
      </c>
      <c r="M60" s="198">
        <v>12</v>
      </c>
      <c r="N60" s="39">
        <v>3</v>
      </c>
      <c r="O60" s="35">
        <v>0.38986354775828458</v>
      </c>
      <c r="P60" s="294"/>
      <c r="Q60" s="286"/>
    </row>
    <row r="61" spans="1:17" ht="16.5" customHeight="1" outlineLevel="1">
      <c r="A61" s="303"/>
      <c r="B61" s="299"/>
      <c r="C61" s="213"/>
      <c r="D61" s="36" t="s">
        <v>211</v>
      </c>
      <c r="E61" s="214">
        <v>5.33E-2</v>
      </c>
      <c r="F61" s="36" t="s">
        <v>212</v>
      </c>
      <c r="G61" s="35">
        <v>1.3180440226703571E-2</v>
      </c>
      <c r="H61" s="36" t="s">
        <v>150</v>
      </c>
      <c r="I61" s="35">
        <v>2.2682389055395571E-2</v>
      </c>
      <c r="J61" s="37">
        <v>4</v>
      </c>
      <c r="K61" s="37">
        <v>0.25</v>
      </c>
      <c r="L61" s="37">
        <v>3</v>
      </c>
      <c r="M61" s="198">
        <v>12</v>
      </c>
      <c r="N61" s="39">
        <v>3</v>
      </c>
      <c r="O61" s="35">
        <v>0.47449584816132861</v>
      </c>
      <c r="P61" s="294"/>
      <c r="Q61" s="286"/>
    </row>
    <row r="62" spans="1:17" ht="16.5" customHeight="1" outlineLevel="1">
      <c r="A62" s="303"/>
      <c r="B62" s="299"/>
      <c r="C62" s="213"/>
      <c r="D62" s="36" t="s">
        <v>60</v>
      </c>
      <c r="E62" s="214">
        <v>9.3399999999999997E-2</v>
      </c>
      <c r="F62" s="36" t="s">
        <v>48</v>
      </c>
      <c r="G62" s="35">
        <v>8.2979615143357846E-2</v>
      </c>
      <c r="H62" s="36" t="s">
        <v>48</v>
      </c>
      <c r="I62" s="35">
        <v>1.1341194527697785E-2</v>
      </c>
      <c r="J62" s="37">
        <v>4</v>
      </c>
      <c r="K62" s="37">
        <v>8.9991666666666656</v>
      </c>
      <c r="L62" s="37">
        <v>2</v>
      </c>
      <c r="M62" s="198">
        <v>8</v>
      </c>
      <c r="N62" s="39">
        <v>3</v>
      </c>
      <c r="O62" s="35">
        <v>1.9915107634405884</v>
      </c>
      <c r="P62" s="294"/>
      <c r="Q62" s="286"/>
    </row>
    <row r="63" spans="1:17" ht="16.5" customHeight="1" outlineLevel="1">
      <c r="A63" s="303"/>
      <c r="B63" s="299"/>
      <c r="C63" s="213"/>
      <c r="D63" s="36" t="s">
        <v>159</v>
      </c>
      <c r="E63" s="214">
        <v>0.1467</v>
      </c>
      <c r="F63" s="36"/>
      <c r="G63" s="215"/>
      <c r="H63" s="36" t="s">
        <v>24</v>
      </c>
      <c r="I63" s="35">
        <v>0.26152965125149702</v>
      </c>
      <c r="J63" s="37"/>
      <c r="K63" s="216"/>
      <c r="L63" s="217"/>
      <c r="M63" s="218"/>
      <c r="N63" s="219"/>
      <c r="O63" s="220"/>
      <c r="P63" s="294"/>
      <c r="Q63" s="286"/>
    </row>
    <row r="64" spans="1:17" ht="16.5" customHeight="1" outlineLevel="1">
      <c r="A64" s="303"/>
      <c r="B64" s="299"/>
      <c r="C64" s="213"/>
      <c r="D64" s="36" t="s">
        <v>213</v>
      </c>
      <c r="E64" s="214">
        <v>1.3300000000000001E-2</v>
      </c>
      <c r="F64" s="36"/>
      <c r="G64" s="215"/>
      <c r="H64" s="36"/>
      <c r="I64" s="215"/>
      <c r="J64" s="221"/>
      <c r="K64" s="222"/>
      <c r="L64" s="218"/>
      <c r="M64" s="218"/>
      <c r="N64" s="219"/>
      <c r="O64" s="220"/>
      <c r="P64" s="294"/>
      <c r="Q64" s="286"/>
    </row>
    <row r="65" spans="1:17" ht="16.5" customHeight="1" outlineLevel="1">
      <c r="A65" s="303"/>
      <c r="B65" s="299"/>
      <c r="C65" s="213"/>
      <c r="D65" s="36" t="s">
        <v>161</v>
      </c>
      <c r="E65" s="214">
        <v>6.6600000000000006E-2</v>
      </c>
      <c r="F65" s="222"/>
      <c r="G65" s="215"/>
      <c r="H65" s="222"/>
      <c r="I65" s="215"/>
      <c r="J65" s="221"/>
      <c r="K65" s="222"/>
      <c r="L65" s="218"/>
      <c r="M65" s="218"/>
      <c r="N65" s="219"/>
      <c r="O65" s="220"/>
      <c r="P65" s="294"/>
      <c r="Q65" s="286"/>
    </row>
    <row r="66" spans="1:17" ht="16.5" customHeight="1" outlineLevel="1" thickBot="1">
      <c r="A66" s="303"/>
      <c r="B66" s="300"/>
      <c r="C66" s="213"/>
      <c r="D66" s="36" t="s">
        <v>214</v>
      </c>
      <c r="E66" s="214">
        <v>0.08</v>
      </c>
      <c r="F66" s="222"/>
      <c r="G66" s="215"/>
      <c r="H66" s="222"/>
      <c r="I66" s="215"/>
      <c r="J66" s="221"/>
      <c r="K66" s="222"/>
      <c r="L66" s="218"/>
      <c r="M66" s="218"/>
      <c r="N66" s="219"/>
      <c r="O66" s="220"/>
      <c r="P66" s="304"/>
      <c r="Q66" s="287"/>
    </row>
    <row r="67" spans="1:17" ht="16.5" customHeight="1" outlineLevel="1" thickBot="1">
      <c r="A67" s="223"/>
      <c r="B67" s="207"/>
      <c r="C67" s="208" t="s">
        <v>31</v>
      </c>
      <c r="D67" s="208"/>
      <c r="E67" s="209">
        <v>0.99949999999999983</v>
      </c>
      <c r="F67" s="209"/>
      <c r="G67" s="209">
        <v>0.85272139305998373</v>
      </c>
      <c r="H67" s="209"/>
      <c r="I67" s="209">
        <v>0.85229503236345372</v>
      </c>
      <c r="J67" s="224"/>
      <c r="K67" s="209"/>
      <c r="L67" s="209"/>
      <c r="M67" s="209"/>
      <c r="N67" s="209"/>
      <c r="O67" s="209">
        <v>25.782372376692784</v>
      </c>
      <c r="P67" s="15"/>
      <c r="Q67" s="18"/>
    </row>
    <row r="68" spans="1:17" ht="18" customHeight="1">
      <c r="A68" s="303" t="s">
        <v>90</v>
      </c>
      <c r="B68" s="298" t="s">
        <v>215</v>
      </c>
      <c r="C68" s="225">
        <v>1.4648250875034643</v>
      </c>
      <c r="D68" s="204" t="s">
        <v>113</v>
      </c>
      <c r="E68" s="204">
        <v>6.6E-3</v>
      </c>
      <c r="F68" s="36" t="s">
        <v>114</v>
      </c>
      <c r="G68" s="59">
        <v>0.37600999223507592</v>
      </c>
      <c r="H68" s="36" t="s">
        <v>182</v>
      </c>
      <c r="I68" s="35">
        <v>8.8914882811460288E-2</v>
      </c>
      <c r="J68" s="37">
        <v>5</v>
      </c>
      <c r="K68" s="37">
        <v>0.53383713136729216</v>
      </c>
      <c r="L68" s="37">
        <v>1</v>
      </c>
      <c r="M68" s="198">
        <v>5</v>
      </c>
      <c r="N68" s="39">
        <v>1</v>
      </c>
      <c r="O68" s="35">
        <v>1.8800499611753796</v>
      </c>
      <c r="P68" s="285" t="s">
        <v>216</v>
      </c>
      <c r="Q68" s="297" t="s">
        <v>217</v>
      </c>
    </row>
    <row r="69" spans="1:17" ht="17.25" customHeight="1">
      <c r="A69" s="303"/>
      <c r="B69" s="299"/>
      <c r="C69" s="213"/>
      <c r="D69" s="204" t="s">
        <v>218</v>
      </c>
      <c r="E69" s="204">
        <v>7.700000000000002E-3</v>
      </c>
      <c r="F69" s="36" t="s">
        <v>186</v>
      </c>
      <c r="G69" s="59">
        <v>1.6279976355045672E-2</v>
      </c>
      <c r="H69" s="36" t="s">
        <v>187</v>
      </c>
      <c r="I69" s="35">
        <v>1.5966593453787762E-2</v>
      </c>
      <c r="J69" s="37">
        <v>4</v>
      </c>
      <c r="K69" s="37">
        <v>6.1658723958333335</v>
      </c>
      <c r="L69" s="37">
        <v>2</v>
      </c>
      <c r="M69" s="198">
        <v>8</v>
      </c>
      <c r="N69" s="39">
        <v>3</v>
      </c>
      <c r="O69" s="35">
        <v>0.13023981084036537</v>
      </c>
      <c r="P69" s="294"/>
      <c r="Q69" s="286"/>
    </row>
    <row r="70" spans="1:17" ht="16.5" customHeight="1" outlineLevel="1">
      <c r="A70" s="303"/>
      <c r="B70" s="299"/>
      <c r="C70" s="213"/>
      <c r="D70" s="204" t="s">
        <v>124</v>
      </c>
      <c r="E70" s="204">
        <v>2.8000000000000008E-2</v>
      </c>
      <c r="F70" s="36" t="s">
        <v>189</v>
      </c>
      <c r="G70" s="59">
        <v>1.7000301799354627E-2</v>
      </c>
      <c r="H70" s="36" t="s">
        <v>219</v>
      </c>
      <c r="I70" s="35">
        <v>2.7538711645065123E-2</v>
      </c>
      <c r="J70" s="37">
        <v>4</v>
      </c>
      <c r="K70" s="37">
        <v>0.505</v>
      </c>
      <c r="L70" s="37">
        <v>1</v>
      </c>
      <c r="M70" s="198">
        <v>4</v>
      </c>
      <c r="N70" s="39">
        <v>3</v>
      </c>
      <c r="O70" s="35">
        <v>6.8001207197418506E-2</v>
      </c>
      <c r="P70" s="294"/>
      <c r="Q70" s="286"/>
    </row>
    <row r="71" spans="1:17" ht="16.5" customHeight="1" outlineLevel="1">
      <c r="A71" s="303"/>
      <c r="B71" s="299"/>
      <c r="C71" s="213"/>
      <c r="D71" s="204" t="s">
        <v>220</v>
      </c>
      <c r="E71" s="204">
        <v>1.2500000000000001E-2</v>
      </c>
      <c r="F71" s="36" t="s">
        <v>192</v>
      </c>
      <c r="G71" s="59">
        <v>0.20726279056395552</v>
      </c>
      <c r="H71" s="36" t="s">
        <v>123</v>
      </c>
      <c r="I71" s="35">
        <v>4.9804052975117787E-2</v>
      </c>
      <c r="J71" s="37">
        <v>5</v>
      </c>
      <c r="K71" s="37">
        <v>2.3744332210998875</v>
      </c>
      <c r="L71" s="37">
        <v>1</v>
      </c>
      <c r="M71" s="198">
        <v>5</v>
      </c>
      <c r="N71" s="39">
        <v>3</v>
      </c>
      <c r="O71" s="35">
        <v>1.0363139528197776</v>
      </c>
      <c r="P71" s="294"/>
      <c r="Q71" s="286"/>
    </row>
    <row r="72" spans="1:17" ht="16.5" customHeight="1" outlineLevel="1">
      <c r="A72" s="303"/>
      <c r="B72" s="299"/>
      <c r="C72" s="213"/>
      <c r="D72" s="204" t="s">
        <v>221</v>
      </c>
      <c r="E72" s="204">
        <v>1.1299999999999999E-2</v>
      </c>
      <c r="F72" s="36" t="s">
        <v>222</v>
      </c>
      <c r="G72" s="59">
        <v>0.2247488356396613</v>
      </c>
      <c r="H72" s="36" t="s">
        <v>126</v>
      </c>
      <c r="I72" s="35">
        <v>2.9296501750069287E-2</v>
      </c>
      <c r="J72" s="37">
        <v>5</v>
      </c>
      <c r="K72" s="37">
        <v>1.391310028248588</v>
      </c>
      <c r="L72" s="37">
        <v>1</v>
      </c>
      <c r="M72" s="198">
        <v>5</v>
      </c>
      <c r="N72" s="39">
        <v>3</v>
      </c>
      <c r="O72" s="35">
        <v>1.1237441781983066</v>
      </c>
      <c r="P72" s="294"/>
      <c r="Q72" s="286"/>
    </row>
    <row r="73" spans="1:17" ht="16.5" customHeight="1" outlineLevel="1">
      <c r="A73" s="303"/>
      <c r="B73" s="299"/>
      <c r="C73" s="213"/>
      <c r="D73" s="204" t="s">
        <v>191</v>
      </c>
      <c r="E73" s="204">
        <v>6.5999999999999991E-3</v>
      </c>
      <c r="F73" s="36" t="s">
        <v>197</v>
      </c>
      <c r="G73" s="59">
        <v>2.420135527589545E-2</v>
      </c>
      <c r="H73" s="36" t="s">
        <v>29</v>
      </c>
      <c r="I73" s="35">
        <v>4.6288472765109473E-2</v>
      </c>
      <c r="J73" s="37">
        <v>4</v>
      </c>
      <c r="K73" s="37">
        <v>4.6379166666666665</v>
      </c>
      <c r="L73" s="37">
        <v>2</v>
      </c>
      <c r="M73" s="198">
        <v>8</v>
      </c>
      <c r="N73" s="39">
        <v>2</v>
      </c>
      <c r="O73" s="35">
        <v>0.19361084220716362</v>
      </c>
      <c r="P73" s="294"/>
      <c r="Q73" s="286"/>
    </row>
    <row r="74" spans="1:17" ht="16.5" customHeight="1" outlineLevel="1">
      <c r="A74" s="303"/>
      <c r="B74" s="299"/>
      <c r="C74" s="213"/>
      <c r="D74" s="204" t="s">
        <v>198</v>
      </c>
      <c r="E74" s="204">
        <v>1.2E-2</v>
      </c>
      <c r="F74" s="36" t="s">
        <v>223</v>
      </c>
      <c r="G74" s="59">
        <v>2.6881720430107529E-3</v>
      </c>
      <c r="H74" s="36" t="s">
        <v>224</v>
      </c>
      <c r="I74" s="35">
        <v>2.9296501750069287E-2</v>
      </c>
      <c r="J74" s="37">
        <v>3</v>
      </c>
      <c r="K74" s="37">
        <v>0.60083333333333333</v>
      </c>
      <c r="L74" s="37">
        <v>1</v>
      </c>
      <c r="M74" s="198">
        <v>3</v>
      </c>
      <c r="N74" s="39">
        <v>2</v>
      </c>
      <c r="O74" s="35">
        <v>8.0645161290322578E-3</v>
      </c>
      <c r="P74" s="294"/>
      <c r="Q74" s="286"/>
    </row>
    <row r="75" spans="1:17" ht="16.5" customHeight="1" outlineLevel="1">
      <c r="A75" s="303"/>
      <c r="B75" s="299"/>
      <c r="C75" s="213"/>
      <c r="D75" s="204" t="s">
        <v>225</v>
      </c>
      <c r="E75" s="204">
        <v>8.8999999999999999E-3</v>
      </c>
      <c r="F75" s="36" t="s">
        <v>226</v>
      </c>
      <c r="G75" s="59">
        <v>5.7690779622877504E-3</v>
      </c>
      <c r="H75" s="36" t="s">
        <v>136</v>
      </c>
      <c r="I75" s="35">
        <v>0.17153101774665569</v>
      </c>
      <c r="J75" s="37">
        <v>3</v>
      </c>
      <c r="K75" s="37">
        <v>4.6848437499999998</v>
      </c>
      <c r="L75" s="37">
        <v>2</v>
      </c>
      <c r="M75" s="198">
        <v>6</v>
      </c>
      <c r="N75" s="39">
        <v>2</v>
      </c>
      <c r="O75" s="35">
        <v>3.4614467773726496E-2</v>
      </c>
      <c r="P75" s="294"/>
      <c r="Q75" s="286"/>
    </row>
    <row r="76" spans="1:17" ht="16.5" customHeight="1" outlineLevel="1">
      <c r="A76" s="303"/>
      <c r="B76" s="299"/>
      <c r="C76" s="213"/>
      <c r="D76" s="204" t="s">
        <v>200</v>
      </c>
      <c r="E76" s="204">
        <v>5.4000000000000003E-3</v>
      </c>
      <c r="F76" s="36" t="s">
        <v>199</v>
      </c>
      <c r="G76" s="59">
        <v>4.2683624989999981E-2</v>
      </c>
      <c r="H76" s="36" t="s">
        <v>227</v>
      </c>
      <c r="I76" s="35">
        <v>7.6463869567680837E-2</v>
      </c>
      <c r="J76" s="37">
        <v>4</v>
      </c>
      <c r="K76" s="37">
        <v>1.8296028645833335</v>
      </c>
      <c r="L76" s="37">
        <v>1</v>
      </c>
      <c r="M76" s="198">
        <v>4</v>
      </c>
      <c r="N76" s="39">
        <v>3</v>
      </c>
      <c r="O76" s="35">
        <v>0.17073449995999992</v>
      </c>
      <c r="P76" s="294"/>
      <c r="Q76" s="286"/>
    </row>
    <row r="77" spans="1:17" ht="16.5" customHeight="1" outlineLevel="1">
      <c r="A77" s="303"/>
      <c r="B77" s="299"/>
      <c r="C77" s="213"/>
      <c r="D77" s="204" t="s">
        <v>228</v>
      </c>
      <c r="E77" s="204">
        <v>7.2000000000000007E-3</v>
      </c>
      <c r="F77" s="36" t="s">
        <v>201</v>
      </c>
      <c r="G77" s="59">
        <v>2.1868541249967659E-2</v>
      </c>
      <c r="H77" s="36" t="s">
        <v>142</v>
      </c>
      <c r="I77" s="35">
        <v>0.28710571715067901</v>
      </c>
      <c r="J77" s="37">
        <v>4</v>
      </c>
      <c r="K77" s="37">
        <v>1.5885618279569889</v>
      </c>
      <c r="L77" s="37">
        <v>1</v>
      </c>
      <c r="M77" s="198">
        <v>4</v>
      </c>
      <c r="N77" s="39">
        <v>2</v>
      </c>
      <c r="O77" s="35">
        <v>8.7474164999870638E-2</v>
      </c>
      <c r="P77" s="294"/>
      <c r="Q77" s="286"/>
    </row>
    <row r="78" spans="1:17" ht="16.5" customHeight="1" outlineLevel="1">
      <c r="A78" s="303"/>
      <c r="B78" s="299"/>
      <c r="C78" s="213"/>
      <c r="D78" s="204" t="s">
        <v>175</v>
      </c>
      <c r="E78" s="204">
        <v>0.2495</v>
      </c>
      <c r="F78" s="36" t="s">
        <v>229</v>
      </c>
      <c r="G78" s="59">
        <v>0.10777346250552776</v>
      </c>
      <c r="H78" s="36" t="s">
        <v>174</v>
      </c>
      <c r="I78" s="35">
        <v>2.5780921540060973E-2</v>
      </c>
      <c r="J78" s="37">
        <v>5</v>
      </c>
      <c r="K78" s="37">
        <v>0.73054878048780481</v>
      </c>
      <c r="L78" s="37">
        <v>1</v>
      </c>
      <c r="M78" s="198">
        <v>5</v>
      </c>
      <c r="N78" s="39">
        <v>1</v>
      </c>
      <c r="O78" s="35">
        <v>0.53886731252763875</v>
      </c>
      <c r="P78" s="294"/>
      <c r="Q78" s="286"/>
    </row>
    <row r="79" spans="1:17" ht="16.5" customHeight="1" outlineLevel="1">
      <c r="A79" s="303"/>
      <c r="B79" s="299"/>
      <c r="C79" s="213"/>
      <c r="D79" s="204" t="s">
        <v>134</v>
      </c>
      <c r="E79" s="204">
        <v>1.1899999999999999E-2</v>
      </c>
      <c r="F79" s="36" t="s">
        <v>204</v>
      </c>
      <c r="G79" s="59">
        <v>9.2628167286164294E-3</v>
      </c>
      <c r="H79" s="36" t="s">
        <v>148</v>
      </c>
      <c r="I79" s="35">
        <v>2.665981659256305E-2</v>
      </c>
      <c r="J79" s="37">
        <v>3</v>
      </c>
      <c r="K79" s="37">
        <v>1.2692307692307692</v>
      </c>
      <c r="L79" s="37">
        <v>1</v>
      </c>
      <c r="M79" s="198">
        <v>3</v>
      </c>
      <c r="N79" s="39">
        <v>2</v>
      </c>
      <c r="O79" s="35">
        <v>2.7788450185849287E-2</v>
      </c>
      <c r="P79" s="294"/>
      <c r="Q79" s="286"/>
    </row>
    <row r="80" spans="1:17" ht="16.5" customHeight="1" outlineLevel="1">
      <c r="A80" s="303"/>
      <c r="B80" s="299"/>
      <c r="C80" s="213"/>
      <c r="D80" s="204" t="s">
        <v>206</v>
      </c>
      <c r="E80" s="204">
        <v>4.4500000000000005E-2</v>
      </c>
      <c r="F80" s="36" t="s">
        <v>210</v>
      </c>
      <c r="G80" s="59">
        <v>2.7644118956563456E-2</v>
      </c>
      <c r="H80" s="36" t="s">
        <v>151</v>
      </c>
      <c r="I80" s="35">
        <v>0.1315412928578111</v>
      </c>
      <c r="J80" s="37">
        <v>4</v>
      </c>
      <c r="K80" s="37">
        <v>2.2994927536231886</v>
      </c>
      <c r="L80" s="37">
        <v>1</v>
      </c>
      <c r="M80" s="198">
        <v>4</v>
      </c>
      <c r="N80" s="39">
        <v>3</v>
      </c>
      <c r="O80" s="35">
        <v>0.11057647582625382</v>
      </c>
      <c r="P80" s="294"/>
      <c r="Q80" s="286"/>
    </row>
    <row r="81" spans="1:17" ht="16.5" customHeight="1" outlineLevel="1">
      <c r="A81" s="303"/>
      <c r="B81" s="299"/>
      <c r="C81" s="213"/>
      <c r="D81" s="204" t="s">
        <v>230</v>
      </c>
      <c r="E81" s="204">
        <v>0.1007</v>
      </c>
      <c r="F81" s="36" t="s">
        <v>231</v>
      </c>
      <c r="G81" s="59">
        <v>5.3047910587459932E-2</v>
      </c>
      <c r="H81" s="36" t="s">
        <v>232</v>
      </c>
      <c r="I81" s="35">
        <v>5.0682948027619863E-2</v>
      </c>
      <c r="J81" s="37">
        <v>4</v>
      </c>
      <c r="K81" s="37">
        <v>1.1079017857142857</v>
      </c>
      <c r="L81" s="37">
        <v>1</v>
      </c>
      <c r="M81" s="198">
        <v>4</v>
      </c>
      <c r="N81" s="39">
        <v>2</v>
      </c>
      <c r="O81" s="35">
        <v>0.21219164234983973</v>
      </c>
      <c r="P81" s="294"/>
      <c r="Q81" s="286"/>
    </row>
    <row r="82" spans="1:17" ht="16.5" customHeight="1" outlineLevel="1">
      <c r="A82" s="303"/>
      <c r="B82" s="299"/>
      <c r="C82" s="213"/>
      <c r="D82" s="204" t="s">
        <v>233</v>
      </c>
      <c r="E82" s="204">
        <v>4.7500000000000001E-2</v>
      </c>
      <c r="F82" s="36" t="s">
        <v>209</v>
      </c>
      <c r="G82" s="59">
        <v>2.4604150168042439E-2</v>
      </c>
      <c r="H82" s="36" t="s">
        <v>160</v>
      </c>
      <c r="I82" s="35">
        <v>6.2255066218897238E-2</v>
      </c>
      <c r="J82" s="37">
        <v>4</v>
      </c>
      <c r="K82" s="37">
        <v>0.55265624999999996</v>
      </c>
      <c r="L82" s="37">
        <v>1</v>
      </c>
      <c r="M82" s="198">
        <v>4</v>
      </c>
      <c r="N82" s="39">
        <v>3</v>
      </c>
      <c r="O82" s="35">
        <v>9.8416600672169771E-2</v>
      </c>
      <c r="P82" s="294"/>
      <c r="Q82" s="286"/>
    </row>
    <row r="83" spans="1:17" ht="16.5" customHeight="1" outlineLevel="1">
      <c r="A83" s="303"/>
      <c r="B83" s="299"/>
      <c r="C83" s="213"/>
      <c r="D83" s="204" t="s">
        <v>234</v>
      </c>
      <c r="E83" s="204">
        <v>6.5999999999999991E-3</v>
      </c>
      <c r="F83" s="36" t="s">
        <v>212</v>
      </c>
      <c r="G83" s="59">
        <v>3.6101083032490974E-2</v>
      </c>
      <c r="H83" s="36" t="s">
        <v>48</v>
      </c>
      <c r="I83" s="35">
        <v>4.716736781761155E-2</v>
      </c>
      <c r="J83" s="37">
        <v>4</v>
      </c>
      <c r="K83" s="37">
        <v>2.0058333333333334</v>
      </c>
      <c r="L83" s="37">
        <v>1</v>
      </c>
      <c r="M83" s="198">
        <v>4</v>
      </c>
      <c r="N83" s="39">
        <v>2</v>
      </c>
      <c r="O83" s="35">
        <v>0.1444043321299639</v>
      </c>
      <c r="P83" s="294"/>
      <c r="Q83" s="286"/>
    </row>
    <row r="84" spans="1:17" ht="16.5" customHeight="1" outlineLevel="1">
      <c r="A84" s="303"/>
      <c r="B84" s="299"/>
      <c r="C84" s="213"/>
      <c r="D84" s="204" t="s">
        <v>235</v>
      </c>
      <c r="E84" s="204">
        <v>7.1999999999999998E-3</v>
      </c>
      <c r="F84" s="36" t="s">
        <v>236</v>
      </c>
      <c r="G84" s="59">
        <v>2.22169661192392E-2</v>
      </c>
      <c r="H84" s="36" t="s">
        <v>24</v>
      </c>
      <c r="I84" s="35">
        <v>0.11205911919401501</v>
      </c>
      <c r="J84" s="37">
        <v>4</v>
      </c>
      <c r="K84" s="37">
        <v>2.7680555555555557</v>
      </c>
      <c r="L84" s="37">
        <v>1</v>
      </c>
      <c r="M84" s="198">
        <v>4</v>
      </c>
      <c r="N84" s="39">
        <v>3</v>
      </c>
      <c r="O84" s="35">
        <v>8.8867864476956798E-2</v>
      </c>
      <c r="P84" s="294"/>
      <c r="Q84" s="286"/>
    </row>
    <row r="85" spans="1:17" ht="16.5" customHeight="1" outlineLevel="1">
      <c r="A85" s="303"/>
      <c r="B85" s="299"/>
      <c r="C85" s="213"/>
      <c r="D85" s="204" t="s">
        <v>237</v>
      </c>
      <c r="E85" s="204">
        <v>1.5499999999999998E-2</v>
      </c>
      <c r="F85" s="36" t="s">
        <v>150</v>
      </c>
      <c r="G85" s="59">
        <v>1.5322321194041926E-2</v>
      </c>
      <c r="H85" s="36" t="s">
        <v>137</v>
      </c>
      <c r="I85" s="35">
        <v>0.09</v>
      </c>
      <c r="J85" s="37">
        <v>4</v>
      </c>
      <c r="K85" s="37">
        <v>1.3750208333333334</v>
      </c>
      <c r="L85" s="37">
        <v>1</v>
      </c>
      <c r="M85" s="198">
        <v>4</v>
      </c>
      <c r="N85" s="39">
        <v>2</v>
      </c>
      <c r="O85" s="35">
        <v>6.1289284776167706E-2</v>
      </c>
      <c r="P85" s="294"/>
      <c r="Q85" s="286"/>
    </row>
    <row r="86" spans="1:17" ht="16.5" customHeight="1" outlineLevel="1">
      <c r="A86" s="303"/>
      <c r="B86" s="299"/>
      <c r="C86" s="213"/>
      <c r="D86" s="204" t="s">
        <v>60</v>
      </c>
      <c r="E86" s="204">
        <v>0.1328</v>
      </c>
      <c r="F86" s="36" t="s">
        <v>48</v>
      </c>
      <c r="G86" s="59">
        <v>7.6481181112810395E-2</v>
      </c>
      <c r="H86" s="36" t="s">
        <v>150</v>
      </c>
      <c r="I86" s="35">
        <v>9.5067148178974825E-2</v>
      </c>
      <c r="J86" s="37">
        <v>4</v>
      </c>
      <c r="K86" s="37">
        <v>2.928461174242424</v>
      </c>
      <c r="L86" s="37">
        <v>2</v>
      </c>
      <c r="M86" s="198">
        <v>8</v>
      </c>
      <c r="N86" s="39">
        <v>3</v>
      </c>
      <c r="O86" s="35">
        <v>0.61184944890248316</v>
      </c>
      <c r="P86" s="294"/>
      <c r="Q86" s="286"/>
    </row>
    <row r="87" spans="1:17" ht="16.5" customHeight="1" outlineLevel="1">
      <c r="A87" s="303"/>
      <c r="B87" s="299"/>
      <c r="C87" s="213"/>
      <c r="D87" s="204" t="s">
        <v>159</v>
      </c>
      <c r="E87" s="204">
        <v>4.0999999999999995E-2</v>
      </c>
      <c r="F87" s="36" t="s">
        <v>137</v>
      </c>
      <c r="G87" s="59">
        <v>0.15385840898441716</v>
      </c>
      <c r="H87" s="222"/>
      <c r="I87" s="226"/>
      <c r="J87" s="37">
        <v>5</v>
      </c>
      <c r="K87" s="37">
        <v>1.2937872023809525</v>
      </c>
      <c r="L87" s="37">
        <v>1</v>
      </c>
      <c r="M87" s="198">
        <v>5</v>
      </c>
      <c r="N87" s="39">
        <v>2</v>
      </c>
      <c r="O87" s="35">
        <v>0.7692920449220858</v>
      </c>
      <c r="P87" s="294"/>
      <c r="Q87" s="286"/>
    </row>
    <row r="88" spans="1:17" ht="16.5" customHeight="1" outlineLevel="1">
      <c r="A88" s="303"/>
      <c r="B88" s="299"/>
      <c r="C88" s="213"/>
      <c r="D88" s="204" t="s">
        <v>213</v>
      </c>
      <c r="E88" s="204">
        <v>1.61E-2</v>
      </c>
      <c r="F88" s="36"/>
      <c r="G88" s="215"/>
      <c r="H88" s="222"/>
      <c r="I88" s="226"/>
      <c r="J88" s="221"/>
      <c r="K88" s="218"/>
      <c r="L88" s="127"/>
      <c r="M88" s="218"/>
      <c r="N88" s="219"/>
      <c r="O88" s="220"/>
      <c r="P88" s="294"/>
      <c r="Q88" s="286"/>
    </row>
    <row r="89" spans="1:17" ht="16.5" customHeight="1" outlineLevel="1">
      <c r="A89" s="303"/>
      <c r="B89" s="299"/>
      <c r="C89" s="213"/>
      <c r="D89" s="204" t="s">
        <v>150</v>
      </c>
      <c r="E89" s="204">
        <v>0.15079999999999999</v>
      </c>
      <c r="F89" s="36"/>
      <c r="G89" s="215"/>
      <c r="H89" s="222"/>
      <c r="I89" s="226"/>
      <c r="J89" s="221"/>
      <c r="K89" s="222"/>
      <c r="L89" s="218"/>
      <c r="M89" s="218"/>
      <c r="N89" s="219"/>
      <c r="O89" s="220"/>
      <c r="P89" s="294"/>
      <c r="Q89" s="286"/>
    </row>
    <row r="90" spans="1:17" ht="16.5" customHeight="1" outlineLevel="1">
      <c r="A90" s="303"/>
      <c r="B90" s="299"/>
      <c r="C90" s="213"/>
      <c r="D90" s="204" t="s">
        <v>214</v>
      </c>
      <c r="E90" s="204">
        <v>6.7599999999999993E-2</v>
      </c>
      <c r="F90" s="36"/>
      <c r="G90" s="215"/>
      <c r="H90" s="222"/>
      <c r="I90" s="226"/>
      <c r="J90" s="221"/>
      <c r="K90" s="222"/>
      <c r="L90" s="218"/>
      <c r="M90" s="218"/>
      <c r="N90" s="219"/>
      <c r="O90" s="220"/>
      <c r="P90" s="294"/>
      <c r="Q90" s="286"/>
    </row>
    <row r="91" spans="1:17" ht="16.5" customHeight="1" outlineLevel="1" thickBot="1">
      <c r="A91" s="303"/>
      <c r="B91" s="300"/>
      <c r="C91" s="213"/>
      <c r="D91" s="204"/>
      <c r="E91" s="204"/>
      <c r="F91" s="36"/>
      <c r="G91" s="215"/>
      <c r="H91" s="222"/>
      <c r="I91" s="226"/>
      <c r="J91" s="221"/>
      <c r="K91" s="222"/>
      <c r="L91" s="218"/>
      <c r="M91" s="218"/>
      <c r="N91" s="219"/>
      <c r="O91" s="220"/>
      <c r="P91" s="304"/>
      <c r="Q91" s="287"/>
    </row>
    <row r="92" spans="1:17" ht="16.5" customHeight="1" outlineLevel="1" thickBot="1">
      <c r="A92" s="303"/>
      <c r="B92" s="207"/>
      <c r="C92" s="208" t="s">
        <v>31</v>
      </c>
      <c r="D92" s="208"/>
      <c r="E92" s="209">
        <v>0.99790000000000012</v>
      </c>
      <c r="F92" s="209"/>
      <c r="G92" s="209">
        <v>1.4648250875034643</v>
      </c>
      <c r="H92" s="209"/>
      <c r="I92" s="209">
        <v>1.463420002043248</v>
      </c>
      <c r="J92" s="224"/>
      <c r="K92" s="209"/>
      <c r="L92" s="209"/>
      <c r="M92" s="209"/>
      <c r="N92" s="209"/>
      <c r="O92" s="209">
        <v>7.3963910580704519</v>
      </c>
      <c r="P92" s="17"/>
      <c r="Q92" s="18"/>
    </row>
    <row r="93" spans="1:17" ht="15.75" customHeight="1" outlineLevel="1">
      <c r="A93" s="303"/>
      <c r="B93" s="298" t="s">
        <v>238</v>
      </c>
      <c r="C93" s="225">
        <v>0.33538715999999996</v>
      </c>
      <c r="D93" s="36" t="s">
        <v>239</v>
      </c>
      <c r="E93" s="214">
        <v>0.01</v>
      </c>
      <c r="F93" s="227" t="s">
        <v>93</v>
      </c>
      <c r="G93" s="214">
        <v>8.384678999999999E-2</v>
      </c>
      <c r="H93" s="227" t="s">
        <v>123</v>
      </c>
      <c r="I93" s="214">
        <v>8.384678999999999E-2</v>
      </c>
      <c r="J93" s="37">
        <v>4</v>
      </c>
      <c r="K93" s="39"/>
      <c r="L93" s="37">
        <v>1</v>
      </c>
      <c r="M93" s="198">
        <v>4</v>
      </c>
      <c r="N93" s="39">
        <v>3</v>
      </c>
      <c r="O93" s="228">
        <v>1.0061614800000001</v>
      </c>
      <c r="P93" s="286" t="s">
        <v>240</v>
      </c>
      <c r="Q93" s="297" t="s">
        <v>241</v>
      </c>
    </row>
    <row r="94" spans="1:17" ht="15.75" customHeight="1" outlineLevel="1">
      <c r="A94" s="303"/>
      <c r="B94" s="299"/>
      <c r="C94" s="225"/>
      <c r="D94" s="36" t="s">
        <v>92</v>
      </c>
      <c r="E94" s="214">
        <v>0.05</v>
      </c>
      <c r="F94" s="227" t="s">
        <v>242</v>
      </c>
      <c r="G94" s="214">
        <v>3.3538715999999998E-3</v>
      </c>
      <c r="H94" s="227" t="s">
        <v>24</v>
      </c>
      <c r="I94" s="214">
        <v>1.6769357999999998E-2</v>
      </c>
      <c r="J94" s="37">
        <v>3</v>
      </c>
      <c r="K94" s="39"/>
      <c r="L94" s="37">
        <v>1</v>
      </c>
      <c r="M94" s="198">
        <v>3</v>
      </c>
      <c r="N94" s="39">
        <v>2</v>
      </c>
      <c r="O94" s="228">
        <v>2.01232296E-2</v>
      </c>
      <c r="P94" s="286"/>
      <c r="Q94" s="286"/>
    </row>
    <row r="95" spans="1:17" ht="15.75" customHeight="1" outlineLevel="1">
      <c r="A95" s="303"/>
      <c r="B95" s="299"/>
      <c r="C95" s="225"/>
      <c r="D95" s="36" t="s">
        <v>243</v>
      </c>
      <c r="E95" s="214">
        <v>0.27500000000000002</v>
      </c>
      <c r="F95" s="227" t="s">
        <v>244</v>
      </c>
      <c r="G95" s="214">
        <v>0.11738550599999997</v>
      </c>
      <c r="H95" s="227" t="s">
        <v>29</v>
      </c>
      <c r="I95" s="214">
        <v>1.6769357999999998E-2</v>
      </c>
      <c r="J95" s="37">
        <v>5</v>
      </c>
      <c r="K95" s="39"/>
      <c r="L95" s="37">
        <v>1</v>
      </c>
      <c r="M95" s="198">
        <v>5</v>
      </c>
      <c r="N95" s="39">
        <v>2</v>
      </c>
      <c r="O95" s="228">
        <v>1.17385506</v>
      </c>
      <c r="P95" s="286"/>
      <c r="Q95" s="286"/>
    </row>
    <row r="96" spans="1:17" ht="16.5" customHeight="1" outlineLevel="1">
      <c r="A96" s="303"/>
      <c r="B96" s="299"/>
      <c r="C96" s="225"/>
      <c r="D96" s="36" t="s">
        <v>245</v>
      </c>
      <c r="E96" s="214">
        <v>0.27500000000000002</v>
      </c>
      <c r="F96" s="227" t="s">
        <v>246</v>
      </c>
      <c r="G96" s="214">
        <v>0.10061614799999999</v>
      </c>
      <c r="H96" s="227" t="s">
        <v>247</v>
      </c>
      <c r="I96" s="214">
        <v>8.384678999999999E-2</v>
      </c>
      <c r="J96" s="37">
        <v>5</v>
      </c>
      <c r="K96" s="39"/>
      <c r="L96" s="37">
        <v>1</v>
      </c>
      <c r="M96" s="198">
        <v>5</v>
      </c>
      <c r="N96" s="39">
        <v>2</v>
      </c>
      <c r="O96" s="228">
        <v>1.0061614800000001</v>
      </c>
      <c r="P96" s="286"/>
      <c r="Q96" s="286"/>
    </row>
    <row r="97" spans="1:17" ht="16.5" customHeight="1" outlineLevel="1">
      <c r="A97" s="303"/>
      <c r="B97" s="299"/>
      <c r="C97" s="213"/>
      <c r="D97" s="36" t="s">
        <v>79</v>
      </c>
      <c r="E97" s="214">
        <v>0.39</v>
      </c>
      <c r="F97" s="227" t="s">
        <v>186</v>
      </c>
      <c r="G97" s="214">
        <v>3.0184844399999994E-2</v>
      </c>
      <c r="H97" s="227" t="s">
        <v>248</v>
      </c>
      <c r="I97" s="214">
        <v>1.6769357999999998E-2</v>
      </c>
      <c r="J97" s="37">
        <v>4</v>
      </c>
      <c r="K97" s="39"/>
      <c r="L97" s="37">
        <v>1</v>
      </c>
      <c r="M97" s="198">
        <v>4</v>
      </c>
      <c r="N97" s="39">
        <v>3</v>
      </c>
      <c r="O97" s="228">
        <v>0.36221813280000004</v>
      </c>
      <c r="P97" s="286"/>
      <c r="Q97" s="286"/>
    </row>
    <row r="98" spans="1:17" ht="16.5" customHeight="1" outlineLevel="1">
      <c r="A98" s="303"/>
      <c r="B98" s="299"/>
      <c r="C98" s="213"/>
      <c r="D98" s="36"/>
      <c r="E98" s="227"/>
      <c r="F98" s="227"/>
      <c r="G98" s="214"/>
      <c r="H98" s="227" t="s">
        <v>142</v>
      </c>
      <c r="I98" s="214">
        <v>0.11738550599999997</v>
      </c>
      <c r="J98" s="37"/>
      <c r="K98" s="39"/>
      <c r="L98" s="217"/>
      <c r="M98" s="218"/>
      <c r="N98" s="219"/>
      <c r="O98" s="220"/>
      <c r="P98" s="286"/>
      <c r="Q98" s="286"/>
    </row>
    <row r="99" spans="1:17" ht="16.5" customHeight="1" outlineLevel="1" thickBot="1">
      <c r="A99" s="303"/>
      <c r="B99" s="300"/>
      <c r="C99" s="213"/>
      <c r="D99" s="218"/>
      <c r="E99" s="229"/>
      <c r="F99" s="218"/>
      <c r="G99" s="220"/>
      <c r="H99" s="218"/>
      <c r="I99" s="230"/>
      <c r="J99" s="231"/>
      <c r="K99" s="231"/>
      <c r="L99" s="218"/>
      <c r="M99" s="218"/>
      <c r="N99" s="219"/>
      <c r="O99" s="220"/>
      <c r="P99" s="287"/>
      <c r="Q99" s="286"/>
    </row>
    <row r="100" spans="1:17" ht="16.5" customHeight="1" outlineLevel="1" thickBot="1">
      <c r="A100" s="303"/>
      <c r="B100" s="207"/>
      <c r="C100" s="208" t="s">
        <v>31</v>
      </c>
      <c r="D100" s="208"/>
      <c r="E100" s="209">
        <v>1</v>
      </c>
      <c r="F100" s="209"/>
      <c r="G100" s="209">
        <v>0.33538716000000002</v>
      </c>
      <c r="H100" s="209"/>
      <c r="I100" s="224">
        <v>0.33538715999999996</v>
      </c>
      <c r="J100" s="224"/>
      <c r="K100" s="224"/>
      <c r="L100" s="209"/>
      <c r="M100" s="209"/>
      <c r="N100" s="209"/>
      <c r="O100" s="209">
        <v>3.5685193823999999</v>
      </c>
      <c r="P100" s="16"/>
      <c r="Q100" s="12"/>
    </row>
    <row r="101" spans="1:17" ht="16.5" customHeight="1" outlineLevel="1">
      <c r="A101" s="303"/>
      <c r="B101" s="298" t="s">
        <v>249</v>
      </c>
      <c r="C101" s="225">
        <v>0.33538715999999996</v>
      </c>
      <c r="D101" s="36" t="s">
        <v>239</v>
      </c>
      <c r="E101" s="232">
        <v>0.01</v>
      </c>
      <c r="F101" s="227" t="s">
        <v>93</v>
      </c>
      <c r="G101" s="214">
        <v>8.384678999999999E-2</v>
      </c>
      <c r="H101" s="227" t="s">
        <v>123</v>
      </c>
      <c r="I101" s="214">
        <v>8.384678999999999E-2</v>
      </c>
      <c r="J101" s="37">
        <v>4</v>
      </c>
      <c r="K101" s="206"/>
      <c r="L101" s="37">
        <v>1</v>
      </c>
      <c r="M101" s="198">
        <v>4</v>
      </c>
      <c r="N101" s="39">
        <v>3</v>
      </c>
      <c r="O101" s="228">
        <v>1.0061614799999998</v>
      </c>
      <c r="P101" s="297" t="s">
        <v>250</v>
      </c>
      <c r="Q101" s="286" t="s">
        <v>251</v>
      </c>
    </row>
    <row r="102" spans="1:17" ht="16.5" customHeight="1" outlineLevel="1">
      <c r="A102" s="303"/>
      <c r="B102" s="299"/>
      <c r="C102" s="213"/>
      <c r="D102" s="36" t="s">
        <v>252</v>
      </c>
      <c r="E102" s="232">
        <v>0.2</v>
      </c>
      <c r="F102" s="227" t="s">
        <v>242</v>
      </c>
      <c r="G102" s="214">
        <v>3.3538715999999998E-3</v>
      </c>
      <c r="H102" s="227" t="s">
        <v>24</v>
      </c>
      <c r="I102" s="214">
        <v>1.6769357999999998E-2</v>
      </c>
      <c r="J102" s="37">
        <v>3</v>
      </c>
      <c r="K102" s="39"/>
      <c r="L102" s="37">
        <v>1</v>
      </c>
      <c r="M102" s="198">
        <v>3</v>
      </c>
      <c r="N102" s="39">
        <v>2</v>
      </c>
      <c r="O102" s="228">
        <v>2.0123229599999994E-2</v>
      </c>
      <c r="P102" s="286"/>
      <c r="Q102" s="286"/>
    </row>
    <row r="103" spans="1:17" ht="16.5" customHeight="1" outlineLevel="1">
      <c r="A103" s="303"/>
      <c r="B103" s="299"/>
      <c r="C103" s="213"/>
      <c r="D103" s="36" t="s">
        <v>243</v>
      </c>
      <c r="E103" s="232">
        <v>0.27500000000000002</v>
      </c>
      <c r="F103" s="227" t="s">
        <v>244</v>
      </c>
      <c r="G103" s="214">
        <v>0.16769357999999998</v>
      </c>
      <c r="H103" s="227" t="s">
        <v>29</v>
      </c>
      <c r="I103" s="214">
        <v>1.6769357999999998E-2</v>
      </c>
      <c r="J103" s="37">
        <v>5</v>
      </c>
      <c r="K103" s="39"/>
      <c r="L103" s="37">
        <v>1</v>
      </c>
      <c r="M103" s="198">
        <v>5</v>
      </c>
      <c r="N103" s="39">
        <v>2</v>
      </c>
      <c r="O103" s="228">
        <v>1.6769357999999994</v>
      </c>
      <c r="P103" s="286"/>
      <c r="Q103" s="286"/>
    </row>
    <row r="104" spans="1:17" ht="16.5" customHeight="1" outlineLevel="1">
      <c r="A104" s="303"/>
      <c r="B104" s="299"/>
      <c r="C104" s="213"/>
      <c r="D104" s="36" t="s">
        <v>245</v>
      </c>
      <c r="E104" s="232">
        <v>0.27500000000000002</v>
      </c>
      <c r="F104" s="227" t="s">
        <v>246</v>
      </c>
      <c r="G104" s="214">
        <v>5.0308073999999994E-2</v>
      </c>
      <c r="H104" s="227" t="s">
        <v>253</v>
      </c>
      <c r="I104" s="214">
        <v>6.7077431999999992E-2</v>
      </c>
      <c r="J104" s="37">
        <v>4</v>
      </c>
      <c r="K104" s="39"/>
      <c r="L104" s="37">
        <v>1</v>
      </c>
      <c r="M104" s="198">
        <v>4</v>
      </c>
      <c r="N104" s="39">
        <v>2</v>
      </c>
      <c r="O104" s="228">
        <v>0.4024645919999999</v>
      </c>
      <c r="P104" s="286"/>
      <c r="Q104" s="286"/>
    </row>
    <row r="105" spans="1:17" ht="16.5" customHeight="1" outlineLevel="1">
      <c r="A105" s="303"/>
      <c r="B105" s="299"/>
      <c r="C105" s="213"/>
      <c r="D105" s="36" t="s">
        <v>79</v>
      </c>
      <c r="E105" s="232">
        <v>0.24</v>
      </c>
      <c r="F105" s="227" t="s">
        <v>186</v>
      </c>
      <c r="G105" s="214">
        <v>3.0184844399999994E-2</v>
      </c>
      <c r="H105" s="227" t="s">
        <v>248</v>
      </c>
      <c r="I105" s="214">
        <v>1.6769357999999998E-2</v>
      </c>
      <c r="J105" s="37">
        <v>4</v>
      </c>
      <c r="K105" s="206"/>
      <c r="L105" s="37">
        <v>1</v>
      </c>
      <c r="M105" s="198">
        <v>4</v>
      </c>
      <c r="N105" s="39">
        <v>3</v>
      </c>
      <c r="O105" s="228">
        <v>0.36221813279999987</v>
      </c>
      <c r="P105" s="286"/>
      <c r="Q105" s="286"/>
    </row>
    <row r="106" spans="1:17" ht="16.5" customHeight="1" outlineLevel="1">
      <c r="A106" s="303"/>
      <c r="B106" s="299"/>
      <c r="C106" s="213"/>
      <c r="D106" s="218"/>
      <c r="E106" s="227"/>
      <c r="F106" s="227"/>
      <c r="G106" s="227"/>
      <c r="H106" s="227" t="s">
        <v>142</v>
      </c>
      <c r="I106" s="214">
        <v>0.13415486399999998</v>
      </c>
      <c r="J106" s="217"/>
      <c r="K106" s="217"/>
      <c r="L106" s="217"/>
      <c r="M106" s="218"/>
      <c r="N106" s="219"/>
      <c r="O106" s="220"/>
      <c r="P106" s="286"/>
      <c r="Q106" s="286"/>
    </row>
    <row r="107" spans="1:17" ht="16.5" customHeight="1" outlineLevel="1" thickBot="1">
      <c r="A107" s="303"/>
      <c r="B107" s="300"/>
      <c r="C107" s="213"/>
      <c r="D107" s="218"/>
      <c r="E107" s="227"/>
      <c r="F107" s="227"/>
      <c r="G107" s="227"/>
      <c r="H107" s="227"/>
      <c r="I107" s="214"/>
      <c r="J107" s="231"/>
      <c r="K107" s="218"/>
      <c r="L107" s="218"/>
      <c r="M107" s="218"/>
      <c r="N107" s="219"/>
      <c r="O107" s="220"/>
      <c r="P107" s="287"/>
      <c r="Q107" s="287"/>
    </row>
    <row r="108" spans="1:17" ht="16.5" customHeight="1" outlineLevel="1" thickBot="1">
      <c r="A108" s="303"/>
      <c r="B108" s="207"/>
      <c r="C108" s="208" t="s">
        <v>31</v>
      </c>
      <c r="D108" s="208"/>
      <c r="E108" s="209">
        <v>1</v>
      </c>
      <c r="F108" s="209"/>
      <c r="G108" s="209">
        <v>0.33538715999999991</v>
      </c>
      <c r="H108" s="209"/>
      <c r="I108" s="209">
        <v>0.33538715999999996</v>
      </c>
      <c r="J108" s="224"/>
      <c r="K108" s="209"/>
      <c r="L108" s="209"/>
      <c r="M108" s="209"/>
      <c r="N108" s="209"/>
      <c r="O108" s="209">
        <v>3.4679032343999991</v>
      </c>
      <c r="P108" s="14"/>
      <c r="Q108" s="18"/>
    </row>
    <row r="109" spans="1:17" ht="16.5" customHeight="1" outlineLevel="1">
      <c r="A109" s="303"/>
      <c r="B109" s="298" t="s">
        <v>254</v>
      </c>
      <c r="C109" s="225">
        <v>0.29707973999999998</v>
      </c>
      <c r="D109" s="204" t="s">
        <v>255</v>
      </c>
      <c r="E109" s="204">
        <v>4.6199999999999998E-2</v>
      </c>
      <c r="F109" s="214" t="s">
        <v>114</v>
      </c>
      <c r="G109" s="214">
        <v>7.3605770836001422E-2</v>
      </c>
      <c r="H109" s="214" t="s">
        <v>182</v>
      </c>
      <c r="I109" s="214">
        <v>4.5892430456157096E-2</v>
      </c>
      <c r="J109" s="37">
        <v>4</v>
      </c>
      <c r="K109" s="37">
        <v>24.912916666666664</v>
      </c>
      <c r="L109" s="37">
        <v>3</v>
      </c>
      <c r="M109" s="198">
        <v>12</v>
      </c>
      <c r="N109" s="39">
        <v>1</v>
      </c>
      <c r="O109" s="35">
        <v>0.88326925003201706</v>
      </c>
      <c r="P109" s="297" t="s">
        <v>256</v>
      </c>
      <c r="Q109" s="297" t="s">
        <v>257</v>
      </c>
    </row>
    <row r="110" spans="1:17" ht="16.5" customHeight="1" outlineLevel="1">
      <c r="A110" s="303"/>
      <c r="B110" s="299"/>
      <c r="C110" s="213"/>
      <c r="D110" s="204" t="s">
        <v>124</v>
      </c>
      <c r="E110" s="204">
        <v>8.3999999999999995E-3</v>
      </c>
      <c r="F110" s="214" t="s">
        <v>258</v>
      </c>
      <c r="G110" s="214">
        <v>3.5011607036226342E-2</v>
      </c>
      <c r="H110" s="214" t="s">
        <v>187</v>
      </c>
      <c r="I110" s="214">
        <v>8.9235281442527695E-3</v>
      </c>
      <c r="J110" s="37">
        <v>4</v>
      </c>
      <c r="K110" s="37">
        <v>44.040416666666665</v>
      </c>
      <c r="L110" s="37">
        <v>4</v>
      </c>
      <c r="M110" s="198">
        <v>16</v>
      </c>
      <c r="N110" s="39">
        <v>3</v>
      </c>
      <c r="O110" s="35">
        <v>1.6805571377388644</v>
      </c>
      <c r="P110" s="286"/>
      <c r="Q110" s="286"/>
    </row>
    <row r="111" spans="1:17" ht="16.5" customHeight="1" outlineLevel="1">
      <c r="A111" s="303"/>
      <c r="B111" s="299"/>
      <c r="C111" s="213"/>
      <c r="D111" s="204" t="s">
        <v>259</v>
      </c>
      <c r="E111" s="204">
        <v>1.6799999999999999E-2</v>
      </c>
      <c r="F111" s="214" t="s">
        <v>260</v>
      </c>
      <c r="G111" s="214">
        <v>1.8226703440480985E-2</v>
      </c>
      <c r="H111" s="214" t="s">
        <v>126</v>
      </c>
      <c r="I111" s="214">
        <v>1.402268708382578E-2</v>
      </c>
      <c r="J111" s="37">
        <v>4</v>
      </c>
      <c r="K111" s="37">
        <v>19.745416666666667</v>
      </c>
      <c r="L111" s="37">
        <v>3</v>
      </c>
      <c r="M111" s="198">
        <v>12</v>
      </c>
      <c r="N111" s="39">
        <v>3</v>
      </c>
      <c r="O111" s="35">
        <v>0.6561613238573154</v>
      </c>
      <c r="P111" s="286"/>
      <c r="Q111" s="286"/>
    </row>
    <row r="112" spans="1:17" ht="16.5" customHeight="1" outlineLevel="1">
      <c r="A112" s="303"/>
      <c r="B112" s="299"/>
      <c r="C112" s="213"/>
      <c r="D112" s="204" t="s">
        <v>261</v>
      </c>
      <c r="E112" s="204">
        <v>1.26E-2</v>
      </c>
      <c r="F112" s="214" t="s">
        <v>262</v>
      </c>
      <c r="G112" s="214">
        <v>4.9801640696576763E-2</v>
      </c>
      <c r="H112" s="214" t="s">
        <v>29</v>
      </c>
      <c r="I112" s="214">
        <v>2.6770584432758308E-2</v>
      </c>
      <c r="J112" s="37">
        <v>4</v>
      </c>
      <c r="K112" s="37">
        <v>102.19916666666666</v>
      </c>
      <c r="L112" s="37">
        <v>4</v>
      </c>
      <c r="M112" s="198">
        <v>16</v>
      </c>
      <c r="N112" s="39">
        <v>2</v>
      </c>
      <c r="O112" s="35">
        <v>1.5936525022904566</v>
      </c>
      <c r="P112" s="286"/>
      <c r="Q112" s="286"/>
    </row>
    <row r="113" spans="1:17" ht="16.5" customHeight="1" outlineLevel="1">
      <c r="A113" s="303"/>
      <c r="B113" s="299"/>
      <c r="C113" s="213"/>
      <c r="D113" s="204" t="s">
        <v>202</v>
      </c>
      <c r="E113" s="204">
        <v>9.6600000000000005E-2</v>
      </c>
      <c r="F113" s="214" t="s">
        <v>199</v>
      </c>
      <c r="G113" s="214">
        <v>4.5639778357062462E-2</v>
      </c>
      <c r="H113" s="214" t="s">
        <v>263</v>
      </c>
      <c r="I113" s="214">
        <v>2.6770584432758308E-2</v>
      </c>
      <c r="J113" s="37">
        <v>4</v>
      </c>
      <c r="K113" s="37">
        <v>193.45416666666665</v>
      </c>
      <c r="L113" s="37">
        <v>5</v>
      </c>
      <c r="M113" s="198">
        <v>20</v>
      </c>
      <c r="N113" s="39">
        <v>3</v>
      </c>
      <c r="O113" s="35">
        <v>2.7383867014237477</v>
      </c>
      <c r="P113" s="286"/>
      <c r="Q113" s="286"/>
    </row>
    <row r="114" spans="1:17" ht="16.5" customHeight="1" outlineLevel="1">
      <c r="A114" s="303"/>
      <c r="B114" s="299"/>
      <c r="C114" s="213"/>
      <c r="D114" s="204" t="s">
        <v>264</v>
      </c>
      <c r="E114" s="204">
        <v>9.2399999999999996E-2</v>
      </c>
      <c r="F114" s="214" t="s">
        <v>207</v>
      </c>
      <c r="G114" s="214">
        <v>1.1032660664915383E-2</v>
      </c>
      <c r="H114" s="214" t="s">
        <v>265</v>
      </c>
      <c r="I114" s="214">
        <v>1.9121846023398791E-2</v>
      </c>
      <c r="J114" s="37">
        <v>4</v>
      </c>
      <c r="K114" s="37">
        <v>23.083333333333332</v>
      </c>
      <c r="L114" s="37">
        <v>3</v>
      </c>
      <c r="M114" s="198">
        <v>12</v>
      </c>
      <c r="N114" s="39">
        <v>2</v>
      </c>
      <c r="O114" s="35">
        <v>0.26478385595796922</v>
      </c>
      <c r="P114" s="286"/>
      <c r="Q114" s="286"/>
    </row>
    <row r="115" spans="1:17" ht="16.5" customHeight="1" outlineLevel="1">
      <c r="A115" s="303"/>
      <c r="B115" s="299"/>
      <c r="C115" s="213"/>
      <c r="D115" s="204" t="s">
        <v>137</v>
      </c>
      <c r="E115" s="204">
        <v>0.105</v>
      </c>
      <c r="F115" s="214" t="s">
        <v>266</v>
      </c>
      <c r="G115" s="214">
        <v>2.2275623280933018E-2</v>
      </c>
      <c r="H115" s="214" t="s">
        <v>142</v>
      </c>
      <c r="I115" s="214">
        <v>2.5495794697865056E-2</v>
      </c>
      <c r="J115" s="37">
        <v>4</v>
      </c>
      <c r="K115" s="37">
        <v>23.814166666666665</v>
      </c>
      <c r="L115" s="37">
        <v>3</v>
      </c>
      <c r="M115" s="198">
        <v>12</v>
      </c>
      <c r="N115" s="39">
        <v>3</v>
      </c>
      <c r="O115" s="35">
        <v>0.80192243811358876</v>
      </c>
      <c r="P115" s="286"/>
      <c r="Q115" s="286"/>
    </row>
    <row r="116" spans="1:17" ht="16.5" customHeight="1" outlineLevel="1">
      <c r="A116" s="303"/>
      <c r="B116" s="299"/>
      <c r="C116" s="213"/>
      <c r="D116" s="204" t="s">
        <v>233</v>
      </c>
      <c r="E116" s="204">
        <v>5.04E-2</v>
      </c>
      <c r="F116" s="214" t="s">
        <v>147</v>
      </c>
      <c r="G116" s="214">
        <v>6.5301793953308285E-3</v>
      </c>
      <c r="H116" s="214" t="s">
        <v>145</v>
      </c>
      <c r="I116" s="214">
        <v>1.2747897348932528E-2</v>
      </c>
      <c r="J116" s="37">
        <v>3</v>
      </c>
      <c r="K116" s="37">
        <v>16.308333333333334</v>
      </c>
      <c r="L116" s="37">
        <v>3</v>
      </c>
      <c r="M116" s="198">
        <v>9</v>
      </c>
      <c r="N116" s="39">
        <v>3</v>
      </c>
      <c r="O116" s="35">
        <v>0.17631484367393235</v>
      </c>
      <c r="P116" s="286"/>
      <c r="Q116" s="286"/>
    </row>
    <row r="117" spans="1:17" ht="16.5" customHeight="1" outlineLevel="1">
      <c r="A117" s="303"/>
      <c r="B117" s="299"/>
      <c r="C117" s="213"/>
      <c r="D117" s="204" t="s">
        <v>267</v>
      </c>
      <c r="E117" s="204">
        <v>0.1134</v>
      </c>
      <c r="F117" s="214" t="s">
        <v>138</v>
      </c>
      <c r="G117" s="214">
        <v>1.9157088122605363E-2</v>
      </c>
      <c r="H117" s="214" t="s">
        <v>148</v>
      </c>
      <c r="I117" s="214">
        <v>2.2946215228078548E-2</v>
      </c>
      <c r="J117" s="37">
        <v>4</v>
      </c>
      <c r="K117" s="37">
        <v>14.241666666666667</v>
      </c>
      <c r="L117" s="37">
        <v>3</v>
      </c>
      <c r="M117" s="198">
        <v>12</v>
      </c>
      <c r="N117" s="39">
        <v>1</v>
      </c>
      <c r="O117" s="35">
        <v>0.22988505747126434</v>
      </c>
      <c r="P117" s="286"/>
      <c r="Q117" s="286"/>
    </row>
    <row r="118" spans="1:17" ht="16.5" customHeight="1" outlineLevel="1">
      <c r="A118" s="303"/>
      <c r="B118" s="299"/>
      <c r="C118" s="213"/>
      <c r="D118" s="204" t="s">
        <v>154</v>
      </c>
      <c r="E118" s="204">
        <v>4.1999999999999997E-3</v>
      </c>
      <c r="F118" s="214" t="s">
        <v>137</v>
      </c>
      <c r="G118" s="214">
        <v>2.2240313620641872E-2</v>
      </c>
      <c r="H118" s="214" t="s">
        <v>151</v>
      </c>
      <c r="I118" s="214">
        <v>1.402268708382578E-2</v>
      </c>
      <c r="J118" s="37">
        <v>4</v>
      </c>
      <c r="K118" s="37">
        <v>166.16666666666666</v>
      </c>
      <c r="L118" s="37">
        <v>5</v>
      </c>
      <c r="M118" s="198">
        <v>20</v>
      </c>
      <c r="N118" s="39">
        <v>2</v>
      </c>
      <c r="O118" s="35">
        <v>0.88961254482567498</v>
      </c>
      <c r="P118" s="286"/>
      <c r="Q118" s="286"/>
    </row>
    <row r="119" spans="1:17" ht="16.5" customHeight="1" outlineLevel="1">
      <c r="A119" s="303"/>
      <c r="B119" s="299"/>
      <c r="C119" s="213"/>
      <c r="D119" s="204" t="s">
        <v>159</v>
      </c>
      <c r="E119" s="204">
        <v>3.78E-2</v>
      </c>
      <c r="F119" s="227"/>
      <c r="G119" s="227"/>
      <c r="H119" s="214" t="s">
        <v>268</v>
      </c>
      <c r="I119" s="214">
        <v>6.373948674466264E-3</v>
      </c>
      <c r="J119" s="38"/>
      <c r="K119" s="38"/>
      <c r="L119" s="218"/>
      <c r="M119" s="218"/>
      <c r="N119" s="219"/>
      <c r="O119" s="35"/>
      <c r="P119" s="286"/>
      <c r="Q119" s="286"/>
    </row>
    <row r="120" spans="1:17" ht="16.5" customHeight="1" outlineLevel="1">
      <c r="A120" s="303"/>
      <c r="B120" s="299"/>
      <c r="C120" s="213"/>
      <c r="D120" s="204" t="s">
        <v>269</v>
      </c>
      <c r="E120" s="204">
        <v>6.7199999999999996E-2</v>
      </c>
      <c r="F120" s="227"/>
      <c r="G120" s="227"/>
      <c r="H120" s="214" t="s">
        <v>160</v>
      </c>
      <c r="I120" s="214">
        <v>1.5297476818719033E-2</v>
      </c>
      <c r="J120" s="231"/>
      <c r="K120" s="218"/>
      <c r="L120" s="218"/>
      <c r="M120" s="218"/>
      <c r="N120" s="219"/>
      <c r="O120" s="35"/>
      <c r="P120" s="286"/>
      <c r="Q120" s="286"/>
    </row>
    <row r="121" spans="1:17" ht="16.5" customHeight="1" outlineLevel="1">
      <c r="A121" s="303"/>
      <c r="B121" s="299"/>
      <c r="C121" s="213"/>
      <c r="D121" s="204" t="s">
        <v>150</v>
      </c>
      <c r="E121" s="204">
        <v>0.28560000000000002</v>
      </c>
      <c r="F121" s="227"/>
      <c r="G121" s="227"/>
      <c r="H121" s="214" t="s">
        <v>24</v>
      </c>
      <c r="I121" s="214">
        <v>7.6487384093595163E-3</v>
      </c>
      <c r="J121" s="231"/>
      <c r="K121" s="218"/>
      <c r="L121" s="218"/>
      <c r="M121" s="218"/>
      <c r="N121" s="219"/>
      <c r="O121" s="35"/>
      <c r="P121" s="286"/>
      <c r="Q121" s="286"/>
    </row>
    <row r="122" spans="1:17" ht="16.5" customHeight="1" outlineLevel="1">
      <c r="A122" s="303"/>
      <c r="B122" s="299"/>
      <c r="C122" s="213"/>
      <c r="D122" s="218"/>
      <c r="E122" s="227"/>
      <c r="F122" s="227"/>
      <c r="G122" s="227"/>
      <c r="H122" s="214" t="s">
        <v>137</v>
      </c>
      <c r="I122" s="214">
        <v>1.9E-2</v>
      </c>
      <c r="J122" s="231"/>
      <c r="K122" s="218"/>
      <c r="L122" s="218"/>
      <c r="M122" s="218"/>
      <c r="N122" s="219"/>
      <c r="O122" s="220"/>
      <c r="P122" s="286"/>
      <c r="Q122" s="286"/>
    </row>
    <row r="123" spans="1:17" ht="16.5" customHeight="1" outlineLevel="1" thickBot="1">
      <c r="A123" s="303"/>
      <c r="B123" s="300"/>
      <c r="C123" s="213"/>
      <c r="D123" s="218"/>
      <c r="E123" s="227"/>
      <c r="F123" s="227"/>
      <c r="G123" s="227"/>
      <c r="H123" s="214" t="s">
        <v>150</v>
      </c>
      <c r="I123" s="214">
        <v>3.9518481781690831E-2</v>
      </c>
      <c r="J123" s="231"/>
      <c r="K123" s="218"/>
      <c r="L123" s="218"/>
      <c r="M123" s="218"/>
      <c r="N123" s="219"/>
      <c r="O123" s="220"/>
      <c r="P123" s="287"/>
      <c r="Q123" s="286"/>
    </row>
    <row r="124" spans="1:17" ht="16.5" customHeight="1" outlineLevel="1" thickBot="1">
      <c r="A124" s="223"/>
      <c r="B124" s="207"/>
      <c r="C124" s="208" t="s">
        <v>31</v>
      </c>
      <c r="D124" s="208"/>
      <c r="E124" s="209">
        <v>0.93659999999999988</v>
      </c>
      <c r="F124" s="209"/>
      <c r="G124" s="209">
        <v>0.30352136545077446</v>
      </c>
      <c r="H124" s="209"/>
      <c r="I124" s="209">
        <v>0.30455290061608858</v>
      </c>
      <c r="J124" s="209"/>
      <c r="K124" s="209"/>
      <c r="L124" s="209"/>
      <c r="M124" s="209"/>
      <c r="N124" s="209"/>
      <c r="O124" s="209">
        <v>9.9145456553848312</v>
      </c>
      <c r="P124" s="14"/>
      <c r="Q124" s="12"/>
    </row>
    <row r="125" spans="1:17" ht="16.5" customHeight="1" outlineLevel="1">
      <c r="A125" s="67"/>
      <c r="B125" s="127"/>
      <c r="C125" s="127"/>
      <c r="D125" s="127"/>
      <c r="E125" s="127"/>
      <c r="F125" s="127"/>
      <c r="G125" s="127"/>
      <c r="H125" s="127"/>
      <c r="I125" s="127"/>
      <c r="J125" s="233"/>
      <c r="K125" s="127"/>
      <c r="L125" s="127"/>
      <c r="M125" s="127"/>
      <c r="N125" s="127"/>
      <c r="O125" s="127"/>
    </row>
    <row r="126" spans="1:17" ht="15" customHeight="1">
      <c r="A126" s="303" t="s">
        <v>270</v>
      </c>
      <c r="B126" s="299" t="s">
        <v>271</v>
      </c>
      <c r="C126" s="225">
        <v>0.57415595701410593</v>
      </c>
      <c r="D126" s="204" t="s">
        <v>124</v>
      </c>
      <c r="E126" s="204">
        <v>0.1764</v>
      </c>
      <c r="F126" s="214" t="s">
        <v>114</v>
      </c>
      <c r="G126" s="214">
        <v>9.5378418824825673E-2</v>
      </c>
      <c r="H126" s="234" t="s">
        <v>182</v>
      </c>
      <c r="I126" s="214">
        <v>1.1253456757476476E-2</v>
      </c>
      <c r="J126" s="37">
        <v>4</v>
      </c>
      <c r="K126" s="37">
        <v>5.3754166666666663</v>
      </c>
      <c r="L126" s="37">
        <v>2</v>
      </c>
      <c r="M126" s="198">
        <v>8</v>
      </c>
      <c r="N126" s="39">
        <v>1</v>
      </c>
      <c r="O126" s="35">
        <v>0.63047734347639361</v>
      </c>
      <c r="P126" s="286" t="s">
        <v>272</v>
      </c>
      <c r="Q126" s="286" t="s">
        <v>273</v>
      </c>
    </row>
    <row r="127" spans="1:17" ht="16.5" customHeight="1">
      <c r="A127" s="303"/>
      <c r="B127" s="299"/>
      <c r="C127" s="213"/>
      <c r="D127" s="204" t="s">
        <v>198</v>
      </c>
      <c r="E127" s="204">
        <v>1.9599999999999999E-2</v>
      </c>
      <c r="F127" s="214" t="s">
        <v>274</v>
      </c>
      <c r="G127" s="214">
        <v>7.9443799335812304E-2</v>
      </c>
      <c r="H127" s="234" t="s">
        <v>120</v>
      </c>
      <c r="I127" s="214">
        <v>1.1253456757476476E-2</v>
      </c>
      <c r="J127" s="37">
        <v>4</v>
      </c>
      <c r="K127" s="37">
        <v>3.6458333333333335</v>
      </c>
      <c r="L127" s="37">
        <v>2</v>
      </c>
      <c r="M127" s="198">
        <v>8</v>
      </c>
      <c r="N127" s="39">
        <v>3</v>
      </c>
      <c r="O127" s="35">
        <v>1.5754354971927111</v>
      </c>
      <c r="P127" s="286"/>
      <c r="Q127" s="286"/>
    </row>
    <row r="128" spans="1:17" ht="18.75">
      <c r="A128" s="303"/>
      <c r="B128" s="299"/>
      <c r="C128" s="213"/>
      <c r="D128" s="204" t="s">
        <v>275</v>
      </c>
      <c r="E128" s="204">
        <v>1.9599999999999999E-2</v>
      </c>
      <c r="F128" s="214" t="s">
        <v>276</v>
      </c>
      <c r="G128" s="214">
        <v>3.9432176656151417E-2</v>
      </c>
      <c r="H128" s="234" t="s">
        <v>126</v>
      </c>
      <c r="I128" s="214">
        <v>3.3760370272429431E-2</v>
      </c>
      <c r="J128" s="37">
        <v>4</v>
      </c>
      <c r="K128" s="37">
        <v>6.52</v>
      </c>
      <c r="L128" s="37">
        <v>2</v>
      </c>
      <c r="M128" s="198">
        <v>8</v>
      </c>
      <c r="N128" s="39">
        <v>2</v>
      </c>
      <c r="O128" s="35">
        <v>0.52131486958958073</v>
      </c>
      <c r="P128" s="286"/>
      <c r="Q128" s="286"/>
    </row>
    <row r="129" spans="1:17" ht="18.75">
      <c r="A129" s="303"/>
      <c r="B129" s="299"/>
      <c r="C129" s="213"/>
      <c r="D129" s="204" t="s">
        <v>129</v>
      </c>
      <c r="E129" s="204">
        <v>1.9599999999999999E-2</v>
      </c>
      <c r="F129" s="214" t="s">
        <v>277</v>
      </c>
      <c r="G129" s="214">
        <v>2.4570024570024569E-2</v>
      </c>
      <c r="H129" s="234" t="s">
        <v>133</v>
      </c>
      <c r="I129" s="214">
        <v>9.0027654059811821E-2</v>
      </c>
      <c r="J129" s="37">
        <v>4</v>
      </c>
      <c r="K129" s="37">
        <v>7.166666666666667</v>
      </c>
      <c r="L129" s="37">
        <v>2</v>
      </c>
      <c r="M129" s="198">
        <v>8</v>
      </c>
      <c r="N129" s="39">
        <v>2</v>
      </c>
      <c r="O129" s="35">
        <v>0.32482911775901152</v>
      </c>
      <c r="P129" s="286"/>
      <c r="Q129" s="286"/>
    </row>
    <row r="130" spans="1:17" ht="18.75">
      <c r="A130" s="303"/>
      <c r="B130" s="299"/>
      <c r="C130" s="213"/>
      <c r="D130" s="204" t="s">
        <v>264</v>
      </c>
      <c r="E130" s="204">
        <v>0.11760000000000001</v>
      </c>
      <c r="F130" s="214" t="s">
        <v>278</v>
      </c>
      <c r="G130" s="214">
        <v>7.2660438131082111E-2</v>
      </c>
      <c r="H130" s="234" t="s">
        <v>279</v>
      </c>
      <c r="I130" s="214">
        <v>1.1253456757476476E-2</v>
      </c>
      <c r="J130" s="37">
        <v>4</v>
      </c>
      <c r="K130" s="37">
        <v>8.625</v>
      </c>
      <c r="L130" s="37">
        <v>3</v>
      </c>
      <c r="M130" s="198">
        <v>12</v>
      </c>
      <c r="N130" s="39">
        <v>2</v>
      </c>
      <c r="O130" s="35">
        <v>1.4409158981609662</v>
      </c>
      <c r="P130" s="286"/>
      <c r="Q130" s="286"/>
    </row>
    <row r="131" spans="1:17" ht="18.75">
      <c r="A131" s="303"/>
      <c r="B131" s="299"/>
      <c r="C131" s="213"/>
      <c r="D131" s="204" t="s">
        <v>280</v>
      </c>
      <c r="E131" s="204">
        <v>1.9599999999999999E-2</v>
      </c>
      <c r="F131" s="214" t="s">
        <v>281</v>
      </c>
      <c r="G131" s="214">
        <v>7.4485441310404701E-2</v>
      </c>
      <c r="H131" s="234" t="s">
        <v>282</v>
      </c>
      <c r="I131" s="214">
        <v>3.3760370272429431E-2</v>
      </c>
      <c r="J131" s="37">
        <v>4</v>
      </c>
      <c r="K131" s="37">
        <v>7.4162500000000007</v>
      </c>
      <c r="L131" s="37">
        <v>2</v>
      </c>
      <c r="M131" s="198">
        <v>8</v>
      </c>
      <c r="N131" s="39">
        <v>2</v>
      </c>
      <c r="O131" s="35">
        <v>0.98473813560070012</v>
      </c>
      <c r="P131" s="286"/>
      <c r="Q131" s="286"/>
    </row>
    <row r="132" spans="1:17" ht="18.75">
      <c r="A132" s="303"/>
      <c r="B132" s="299"/>
      <c r="C132" s="213"/>
      <c r="D132" s="204" t="s">
        <v>134</v>
      </c>
      <c r="E132" s="204">
        <v>1.9599999999999999E-2</v>
      </c>
      <c r="F132" s="214" t="s">
        <v>201</v>
      </c>
      <c r="G132" s="214">
        <v>4.3936731107205619E-2</v>
      </c>
      <c r="H132" s="234" t="s">
        <v>136</v>
      </c>
      <c r="I132" s="214">
        <v>9.0085069655513231E-2</v>
      </c>
      <c r="J132" s="37">
        <v>4</v>
      </c>
      <c r="K132" s="37">
        <v>4.5</v>
      </c>
      <c r="L132" s="37">
        <v>2</v>
      </c>
      <c r="M132" s="198">
        <v>8</v>
      </c>
      <c r="N132" s="39">
        <v>2</v>
      </c>
      <c r="O132" s="35">
        <v>0.58086753483267872</v>
      </c>
      <c r="P132" s="286"/>
      <c r="Q132" s="286"/>
    </row>
    <row r="133" spans="1:17" ht="18.75">
      <c r="A133" s="303"/>
      <c r="B133" s="299"/>
      <c r="C133" s="213"/>
      <c r="D133" s="204" t="s">
        <v>137</v>
      </c>
      <c r="E133" s="204">
        <v>0.11760000000000001</v>
      </c>
      <c r="F133" s="214" t="s">
        <v>138</v>
      </c>
      <c r="G133" s="214">
        <v>1.9043991620643689E-2</v>
      </c>
      <c r="H133" s="234" t="s">
        <v>139</v>
      </c>
      <c r="I133" s="214">
        <v>6.7520740544858862E-2</v>
      </c>
      <c r="J133" s="37">
        <v>4</v>
      </c>
      <c r="K133" s="37">
        <v>1.6666666666666667</v>
      </c>
      <c r="L133" s="37">
        <v>1</v>
      </c>
      <c r="M133" s="198">
        <v>4</v>
      </c>
      <c r="N133" s="39">
        <v>1</v>
      </c>
      <c r="O133" s="35">
        <v>6.2942987491867122E-2</v>
      </c>
      <c r="P133" s="286"/>
      <c r="Q133" s="286"/>
    </row>
    <row r="134" spans="1:17" ht="18.75">
      <c r="A134" s="303"/>
      <c r="B134" s="299"/>
      <c r="C134" s="213"/>
      <c r="D134" s="204" t="s">
        <v>234</v>
      </c>
      <c r="E134" s="204">
        <v>1.9599999999999999E-2</v>
      </c>
      <c r="F134" s="214" t="s">
        <v>137</v>
      </c>
      <c r="G134" s="214">
        <v>2.3342670401493928E-2</v>
      </c>
      <c r="H134" s="234" t="s">
        <v>142</v>
      </c>
      <c r="I134" s="214">
        <v>3.3760370272429431E-2</v>
      </c>
      <c r="J134" s="37">
        <v>4</v>
      </c>
      <c r="K134" s="37">
        <v>1.7916666666666667</v>
      </c>
      <c r="L134" s="37">
        <v>1</v>
      </c>
      <c r="M134" s="198">
        <v>4</v>
      </c>
      <c r="N134" s="39">
        <v>2</v>
      </c>
      <c r="O134" s="35">
        <v>0.1543014133145631</v>
      </c>
      <c r="P134" s="286"/>
      <c r="Q134" s="286"/>
    </row>
    <row r="135" spans="1:17" ht="18.75">
      <c r="A135" s="303"/>
      <c r="B135" s="299"/>
      <c r="C135" s="213"/>
      <c r="D135" s="204" t="s">
        <v>159</v>
      </c>
      <c r="E135" s="204">
        <v>1.9599999999999999E-2</v>
      </c>
      <c r="F135" s="214" t="s">
        <v>210</v>
      </c>
      <c r="G135" s="214">
        <v>6.0383548711223978E-2</v>
      </c>
      <c r="H135" s="234" t="s">
        <v>151</v>
      </c>
      <c r="I135" s="214">
        <v>1.1253456757476476E-2</v>
      </c>
      <c r="J135" s="37">
        <v>4</v>
      </c>
      <c r="K135" s="37">
        <v>3.1199999999999997</v>
      </c>
      <c r="L135" s="37">
        <v>1</v>
      </c>
      <c r="M135" s="198">
        <v>4</v>
      </c>
      <c r="N135" s="39">
        <v>3</v>
      </c>
      <c r="O135" s="35">
        <v>0.59872757144964361</v>
      </c>
      <c r="P135" s="286"/>
      <c r="Q135" s="286"/>
    </row>
    <row r="136" spans="1:17" ht="18.75">
      <c r="A136" s="303"/>
      <c r="B136" s="299"/>
      <c r="C136" s="213"/>
      <c r="D136" s="204" t="s">
        <v>161</v>
      </c>
      <c r="E136" s="204">
        <v>0.43120000000000003</v>
      </c>
      <c r="F136" s="214" t="s">
        <v>207</v>
      </c>
      <c r="G136" s="214">
        <v>1.0370216737529813E-2</v>
      </c>
      <c r="H136" s="234" t="s">
        <v>155</v>
      </c>
      <c r="I136" s="214">
        <v>1.1253456757476476E-2</v>
      </c>
      <c r="J136" s="37">
        <v>4</v>
      </c>
      <c r="K136" s="37">
        <v>0.83333333333333337</v>
      </c>
      <c r="L136" s="37">
        <v>1</v>
      </c>
      <c r="M136" s="198">
        <v>4</v>
      </c>
      <c r="N136" s="39">
        <v>2</v>
      </c>
      <c r="O136" s="35">
        <v>6.8549959000268418E-2</v>
      </c>
      <c r="P136" s="286"/>
      <c r="Q136" s="286"/>
    </row>
    <row r="137" spans="1:17" ht="18.75">
      <c r="A137" s="303"/>
      <c r="B137" s="299"/>
      <c r="C137" s="213"/>
      <c r="D137" s="204" t="s">
        <v>214</v>
      </c>
      <c r="E137" s="204">
        <v>1.9599999999999999E-2</v>
      </c>
      <c r="F137" s="214" t="s">
        <v>147</v>
      </c>
      <c r="G137" s="214">
        <v>1.0370216737529813E-2</v>
      </c>
      <c r="H137" s="234" t="s">
        <v>157</v>
      </c>
      <c r="I137" s="214">
        <v>1.1253456757476476E-2</v>
      </c>
      <c r="J137" s="37">
        <v>4</v>
      </c>
      <c r="K137" s="37">
        <v>0.79166666666666663</v>
      </c>
      <c r="L137" s="37">
        <v>1</v>
      </c>
      <c r="M137" s="198">
        <v>4</v>
      </c>
      <c r="N137" s="39">
        <v>3</v>
      </c>
      <c r="O137" s="35">
        <v>0.10282493850040263</v>
      </c>
      <c r="P137" s="286"/>
      <c r="Q137" s="286"/>
    </row>
    <row r="138" spans="1:17" ht="18.75">
      <c r="A138" s="303"/>
      <c r="B138" s="299"/>
      <c r="C138" s="213"/>
      <c r="D138" s="204"/>
      <c r="E138" s="204"/>
      <c r="F138" s="214" t="s">
        <v>150</v>
      </c>
      <c r="G138" s="214">
        <v>2.073828287017835E-2</v>
      </c>
      <c r="H138" s="234" t="s">
        <v>210</v>
      </c>
      <c r="I138" s="214">
        <v>3.3760370272429431E-2</v>
      </c>
      <c r="J138" s="37">
        <v>4</v>
      </c>
      <c r="K138" s="37">
        <v>0.22916666666666666</v>
      </c>
      <c r="L138" s="37">
        <v>1</v>
      </c>
      <c r="M138" s="198">
        <v>4</v>
      </c>
      <c r="N138" s="39">
        <v>2</v>
      </c>
      <c r="O138" s="35">
        <v>0.13708570191613198</v>
      </c>
      <c r="P138" s="286"/>
      <c r="Q138" s="286"/>
    </row>
    <row r="139" spans="1:17" ht="18.75">
      <c r="A139" s="303"/>
      <c r="B139" s="299"/>
      <c r="C139" s="213"/>
      <c r="D139" s="218"/>
      <c r="E139" s="227"/>
      <c r="F139" s="227"/>
      <c r="G139" s="227"/>
      <c r="H139" s="234" t="s">
        <v>150</v>
      </c>
      <c r="I139" s="214">
        <v>0.11253456757476477</v>
      </c>
      <c r="J139" s="37"/>
      <c r="K139" s="37"/>
      <c r="L139" s="37"/>
      <c r="M139" s="218"/>
      <c r="N139" s="219"/>
      <c r="O139" s="220"/>
      <c r="P139" s="286"/>
      <c r="Q139" s="286"/>
    </row>
    <row r="140" spans="1:17" ht="19.5" thickBot="1">
      <c r="A140" s="303"/>
      <c r="B140" s="300"/>
      <c r="C140" s="213"/>
      <c r="D140" s="218"/>
      <c r="E140" s="227"/>
      <c r="F140" s="227"/>
      <c r="G140" s="227"/>
      <c r="H140" s="234" t="s">
        <v>48</v>
      </c>
      <c r="I140" s="214">
        <v>1.1253456757476476E-2</v>
      </c>
      <c r="J140" s="38"/>
      <c r="K140" s="38"/>
      <c r="L140" s="38"/>
      <c r="M140" s="218"/>
      <c r="N140" s="219"/>
      <c r="O140" s="220"/>
      <c r="P140" s="287"/>
      <c r="Q140" s="286"/>
    </row>
    <row r="141" spans="1:17" ht="19.5" thickBot="1">
      <c r="A141" s="303"/>
      <c r="B141" s="207"/>
      <c r="C141" s="208" t="s">
        <v>31</v>
      </c>
      <c r="D141" s="208"/>
      <c r="E141" s="209">
        <v>0.99959999999999993</v>
      </c>
      <c r="F141" s="209"/>
      <c r="G141" s="209">
        <v>0.57415595701410593</v>
      </c>
      <c r="H141" s="209"/>
      <c r="I141" s="209">
        <v>0.57398371022700179</v>
      </c>
      <c r="J141" s="209"/>
      <c r="K141" s="209"/>
      <c r="L141" s="209"/>
      <c r="M141" s="209"/>
      <c r="N141" s="209"/>
      <c r="O141" s="209">
        <v>7.1830109682849193</v>
      </c>
      <c r="P141" s="14"/>
      <c r="Q141" s="12"/>
    </row>
    <row r="142" spans="1:17" ht="15" customHeight="1">
      <c r="A142" s="223"/>
      <c r="B142" s="298" t="s">
        <v>283</v>
      </c>
      <c r="C142" s="225">
        <v>0.72832471359658479</v>
      </c>
      <c r="D142" s="204" t="s">
        <v>284</v>
      </c>
      <c r="E142" s="204">
        <v>6.6000000000000003E-2</v>
      </c>
      <c r="F142" s="214" t="s">
        <v>114</v>
      </c>
      <c r="G142" s="214">
        <v>0.13043304141339909</v>
      </c>
      <c r="H142" s="234" t="s">
        <v>182</v>
      </c>
      <c r="I142" s="214">
        <v>2.0611589394783351E-2</v>
      </c>
      <c r="J142" s="37">
        <v>5</v>
      </c>
      <c r="K142" s="37">
        <v>11.801250000000001</v>
      </c>
      <c r="L142" s="37">
        <v>3</v>
      </c>
      <c r="M142" s="198">
        <v>15</v>
      </c>
      <c r="N142" s="39">
        <v>1</v>
      </c>
      <c r="O142" s="35">
        <v>1.9564956212009863</v>
      </c>
      <c r="P142" s="297" t="s">
        <v>285</v>
      </c>
      <c r="Q142" s="286" t="s">
        <v>286</v>
      </c>
    </row>
    <row r="143" spans="1:17" ht="18.75">
      <c r="A143" s="223"/>
      <c r="B143" s="299"/>
      <c r="C143" s="213"/>
      <c r="D143" s="204" t="s">
        <v>287</v>
      </c>
      <c r="E143" s="204">
        <v>8.4799999999999986E-2</v>
      </c>
      <c r="F143" s="214" t="s">
        <v>187</v>
      </c>
      <c r="G143" s="214">
        <v>4.3066322136089581E-2</v>
      </c>
      <c r="H143" s="234" t="s">
        <v>187</v>
      </c>
      <c r="I143" s="214">
        <v>2.053875692342369E-2</v>
      </c>
      <c r="J143" s="37">
        <v>4</v>
      </c>
      <c r="K143" s="37">
        <v>361.3</v>
      </c>
      <c r="L143" s="37">
        <v>5</v>
      </c>
      <c r="M143" s="198">
        <v>20</v>
      </c>
      <c r="N143" s="39">
        <v>3</v>
      </c>
      <c r="O143" s="35">
        <v>2.5839793281653747</v>
      </c>
      <c r="P143" s="286"/>
      <c r="Q143" s="286"/>
    </row>
    <row r="144" spans="1:17" ht="18.75">
      <c r="A144" s="223"/>
      <c r="B144" s="299"/>
      <c r="C144" s="213"/>
      <c r="D144" s="204" t="s">
        <v>288</v>
      </c>
      <c r="E144" s="204">
        <v>9.3999999999999986E-3</v>
      </c>
      <c r="F144" s="214" t="s">
        <v>289</v>
      </c>
      <c r="G144" s="214">
        <v>0.20233271834145927</v>
      </c>
      <c r="H144" s="234" t="s">
        <v>290</v>
      </c>
      <c r="I144" s="214">
        <v>6.8462523078078961E-3</v>
      </c>
      <c r="J144" s="37">
        <v>5</v>
      </c>
      <c r="K144" s="37">
        <v>45.772500000000001</v>
      </c>
      <c r="L144" s="37">
        <v>4</v>
      </c>
      <c r="M144" s="198">
        <v>20</v>
      </c>
      <c r="N144" s="39">
        <v>3</v>
      </c>
      <c r="O144" s="35">
        <v>12.139963100487556</v>
      </c>
      <c r="P144" s="286"/>
      <c r="Q144" s="286"/>
    </row>
    <row r="145" spans="1:17" ht="18.75">
      <c r="A145" s="223"/>
      <c r="B145" s="299"/>
      <c r="C145" s="213"/>
      <c r="D145" s="204" t="s">
        <v>198</v>
      </c>
      <c r="E145" s="204">
        <v>9.3999999999999986E-3</v>
      </c>
      <c r="F145" s="214" t="s">
        <v>291</v>
      </c>
      <c r="G145" s="214">
        <v>1.4669209329617133E-2</v>
      </c>
      <c r="H145" s="234" t="s">
        <v>292</v>
      </c>
      <c r="I145" s="214">
        <v>6.8462523078078961E-3</v>
      </c>
      <c r="J145" s="37">
        <v>4</v>
      </c>
      <c r="K145" s="37">
        <v>2.1666666666666665</v>
      </c>
      <c r="L145" s="37">
        <v>1</v>
      </c>
      <c r="M145" s="198">
        <v>4</v>
      </c>
      <c r="N145" s="39">
        <v>2</v>
      </c>
      <c r="O145" s="35">
        <v>0.11735367463693706</v>
      </c>
      <c r="P145" s="286"/>
      <c r="Q145" s="286"/>
    </row>
    <row r="146" spans="1:17" ht="18.75">
      <c r="A146" s="223"/>
      <c r="B146" s="299"/>
      <c r="C146" s="213"/>
      <c r="D146" s="204" t="s">
        <v>293</v>
      </c>
      <c r="E146" s="204">
        <v>4.7100000000000003E-2</v>
      </c>
      <c r="F146" s="214" t="s">
        <v>278</v>
      </c>
      <c r="G146" s="214">
        <v>7.0511916513890851E-3</v>
      </c>
      <c r="H146" s="234" t="s">
        <v>123</v>
      </c>
      <c r="I146" s="214">
        <v>1.3692504615615792E-2</v>
      </c>
      <c r="J146" s="37">
        <v>3</v>
      </c>
      <c r="K146" s="37">
        <v>4.1666666666666666E-3</v>
      </c>
      <c r="L146" s="37">
        <v>1</v>
      </c>
      <c r="M146" s="198">
        <v>3</v>
      </c>
      <c r="N146" s="39">
        <v>2</v>
      </c>
      <c r="O146" s="35">
        <v>4.2307149908334514E-2</v>
      </c>
      <c r="P146" s="286"/>
      <c r="Q146" s="286"/>
    </row>
    <row r="147" spans="1:17" ht="18.75">
      <c r="A147" s="223"/>
      <c r="B147" s="299"/>
      <c r="C147" s="213"/>
      <c r="D147" s="204" t="s">
        <v>294</v>
      </c>
      <c r="E147" s="204">
        <v>9.3999999999999986E-3</v>
      </c>
      <c r="F147" s="214" t="s">
        <v>281</v>
      </c>
      <c r="G147" s="214">
        <v>4.3920497163860844E-2</v>
      </c>
      <c r="H147" s="234" t="s">
        <v>126</v>
      </c>
      <c r="I147" s="214">
        <v>2.0611589394783351E-2</v>
      </c>
      <c r="J147" s="37">
        <v>4</v>
      </c>
      <c r="K147" s="37">
        <v>9.5837500000000002</v>
      </c>
      <c r="L147" s="37">
        <v>3</v>
      </c>
      <c r="M147" s="198">
        <v>12</v>
      </c>
      <c r="N147" s="39">
        <v>2</v>
      </c>
      <c r="O147" s="35">
        <v>1.0540919319326603</v>
      </c>
      <c r="P147" s="286"/>
      <c r="Q147" s="286"/>
    </row>
    <row r="148" spans="1:17" ht="18.75">
      <c r="A148" s="223"/>
      <c r="B148" s="299"/>
      <c r="C148" s="213"/>
      <c r="D148" s="204" t="s">
        <v>295</v>
      </c>
      <c r="E148" s="204">
        <v>3.7699999999999997E-2</v>
      </c>
      <c r="F148" s="214" t="s">
        <v>138</v>
      </c>
      <c r="G148" s="214">
        <v>0.10715079673443353</v>
      </c>
      <c r="H148" s="234" t="s">
        <v>29</v>
      </c>
      <c r="I148" s="214">
        <v>3.4376926481758802E-2</v>
      </c>
      <c r="J148" s="37">
        <v>5</v>
      </c>
      <c r="K148" s="37">
        <v>4.5049999999999999</v>
      </c>
      <c r="L148" s="37">
        <v>3</v>
      </c>
      <c r="M148" s="198">
        <v>15</v>
      </c>
      <c r="N148" s="39">
        <v>1</v>
      </c>
      <c r="O148" s="35">
        <v>1.6072619510165032</v>
      </c>
      <c r="P148" s="286"/>
      <c r="Q148" s="286"/>
    </row>
    <row r="149" spans="1:17" ht="18.75">
      <c r="A149" s="223"/>
      <c r="B149" s="299"/>
      <c r="C149" s="213"/>
      <c r="D149" s="204" t="s">
        <v>275</v>
      </c>
      <c r="E149" s="204">
        <v>1.8799999999999997E-2</v>
      </c>
      <c r="F149" s="214" t="s">
        <v>137</v>
      </c>
      <c r="G149" s="214">
        <v>3.6802113866891951E-2</v>
      </c>
      <c r="H149" s="234" t="s">
        <v>296</v>
      </c>
      <c r="I149" s="214">
        <v>1.3765337086975452E-2</v>
      </c>
      <c r="J149" s="37">
        <v>4</v>
      </c>
      <c r="K149" s="37">
        <v>144.29124999999999</v>
      </c>
      <c r="L149" s="37">
        <v>4</v>
      </c>
      <c r="M149" s="198">
        <v>16</v>
      </c>
      <c r="N149" s="39">
        <v>2</v>
      </c>
      <c r="O149" s="35">
        <v>1.1776676437405424</v>
      </c>
      <c r="P149" s="286"/>
      <c r="Q149" s="286"/>
    </row>
    <row r="150" spans="1:17" ht="18.75">
      <c r="A150" s="223"/>
      <c r="B150" s="299"/>
      <c r="C150" s="213"/>
      <c r="D150" s="204" t="s">
        <v>129</v>
      </c>
      <c r="E150" s="204">
        <v>1.8799999999999997E-2</v>
      </c>
      <c r="F150" s="214" t="s">
        <v>210</v>
      </c>
      <c r="G150" s="214">
        <v>1.2741288144231382E-2</v>
      </c>
      <c r="H150" s="234" t="s">
        <v>133</v>
      </c>
      <c r="I150" s="214">
        <v>0.11684513380230009</v>
      </c>
      <c r="J150" s="37">
        <v>4</v>
      </c>
      <c r="K150" s="37">
        <v>1.0833333333333333</v>
      </c>
      <c r="L150" s="37">
        <v>1</v>
      </c>
      <c r="M150" s="198">
        <v>4</v>
      </c>
      <c r="N150" s="39">
        <v>3</v>
      </c>
      <c r="O150" s="35">
        <v>0.15289545773077662</v>
      </c>
      <c r="P150" s="286"/>
      <c r="Q150" s="286"/>
    </row>
    <row r="151" spans="1:17" ht="18.75">
      <c r="A151" s="223"/>
      <c r="B151" s="299"/>
      <c r="C151" s="213"/>
      <c r="D151" s="204" t="s">
        <v>297</v>
      </c>
      <c r="E151" s="204">
        <v>4.7199999999999999E-2</v>
      </c>
      <c r="F151" s="214" t="s">
        <v>207</v>
      </c>
      <c r="G151" s="214">
        <v>8.6413783222293858E-2</v>
      </c>
      <c r="H151" s="234" t="s">
        <v>282</v>
      </c>
      <c r="I151" s="214">
        <v>4.8069431097374597E-2</v>
      </c>
      <c r="J151" s="37">
        <v>4</v>
      </c>
      <c r="K151" s="37">
        <v>10.52</v>
      </c>
      <c r="L151" s="37">
        <v>3</v>
      </c>
      <c r="M151" s="198">
        <v>12</v>
      </c>
      <c r="N151" s="39">
        <v>2</v>
      </c>
      <c r="O151" s="35">
        <v>2.0739307973350529</v>
      </c>
      <c r="P151" s="286"/>
      <c r="Q151" s="286"/>
    </row>
    <row r="152" spans="1:17" ht="18.75">
      <c r="A152" s="223"/>
      <c r="B152" s="299"/>
      <c r="C152" s="213"/>
      <c r="D152" s="204" t="s">
        <v>298</v>
      </c>
      <c r="E152" s="204">
        <v>9.3999999999999986E-3</v>
      </c>
      <c r="F152" s="214" t="s">
        <v>212</v>
      </c>
      <c r="G152" s="214">
        <v>2.197802197802198E-2</v>
      </c>
      <c r="H152" s="234" t="s">
        <v>299</v>
      </c>
      <c r="I152" s="214">
        <v>6.1834768184350054E-2</v>
      </c>
      <c r="J152" s="37">
        <v>4</v>
      </c>
      <c r="K152" s="37">
        <v>3.4162499999999998</v>
      </c>
      <c r="L152" s="37">
        <v>1</v>
      </c>
      <c r="M152" s="198">
        <v>4</v>
      </c>
      <c r="N152" s="39">
        <v>2</v>
      </c>
      <c r="O152" s="35">
        <v>0.17582417582417584</v>
      </c>
      <c r="P152" s="286"/>
      <c r="Q152" s="286"/>
    </row>
    <row r="153" spans="1:17" ht="18.75">
      <c r="A153" s="223"/>
      <c r="B153" s="299"/>
      <c r="C153" s="213"/>
      <c r="D153" s="204" t="s">
        <v>280</v>
      </c>
      <c r="E153" s="204">
        <v>3.7699999999999997E-2</v>
      </c>
      <c r="F153" s="214" t="s">
        <v>147</v>
      </c>
      <c r="G153" s="214">
        <v>1.4714537963507947E-2</v>
      </c>
      <c r="H153" s="234" t="s">
        <v>265</v>
      </c>
      <c r="I153" s="214">
        <v>3.4449758953118463E-2</v>
      </c>
      <c r="J153" s="37">
        <v>4</v>
      </c>
      <c r="K153" s="37">
        <v>22</v>
      </c>
      <c r="L153" s="37">
        <v>3</v>
      </c>
      <c r="M153" s="198">
        <v>12</v>
      </c>
      <c r="N153" s="39">
        <v>3</v>
      </c>
      <c r="O153" s="35">
        <v>0.52972336668628606</v>
      </c>
      <c r="P153" s="286"/>
      <c r="Q153" s="286"/>
    </row>
    <row r="154" spans="1:17" ht="18.75">
      <c r="A154" s="223"/>
      <c r="B154" s="299"/>
      <c r="C154" s="213"/>
      <c r="D154" s="204" t="s">
        <v>300</v>
      </c>
      <c r="E154" s="204">
        <v>3.7699999999999997E-2</v>
      </c>
      <c r="F154" s="214" t="s">
        <v>48</v>
      </c>
      <c r="G154" s="214">
        <v>7.0511916513890851E-3</v>
      </c>
      <c r="H154" s="234" t="s">
        <v>142</v>
      </c>
      <c r="I154" s="214">
        <v>7.5527272799965836E-2</v>
      </c>
      <c r="J154" s="37">
        <v>3</v>
      </c>
      <c r="K154" s="37">
        <v>4.1666666666666666E-3</v>
      </c>
      <c r="L154" s="37">
        <v>1</v>
      </c>
      <c r="M154" s="198">
        <v>3</v>
      </c>
      <c r="N154" s="39">
        <v>2</v>
      </c>
      <c r="O154" s="35">
        <v>4.2307149908334514E-2</v>
      </c>
      <c r="P154" s="286"/>
      <c r="Q154" s="286"/>
    </row>
    <row r="155" spans="1:17" ht="18.75">
      <c r="A155" s="223"/>
      <c r="B155" s="299"/>
      <c r="C155" s="213"/>
      <c r="D155" s="204" t="s">
        <v>137</v>
      </c>
      <c r="E155" s="204">
        <v>6.6000000000000003E-2</v>
      </c>
      <c r="F155" s="214"/>
      <c r="G155" s="214"/>
      <c r="H155" s="234" t="s">
        <v>174</v>
      </c>
      <c r="I155" s="214">
        <v>2.0611589394783351E-2</v>
      </c>
      <c r="J155" s="38"/>
      <c r="K155" s="38"/>
      <c r="L155" s="38"/>
      <c r="M155" s="38"/>
      <c r="N155" s="40"/>
      <c r="O155" s="35"/>
      <c r="P155" s="286"/>
      <c r="Q155" s="286"/>
    </row>
    <row r="156" spans="1:17" ht="18.75">
      <c r="A156" s="223"/>
      <c r="B156" s="299"/>
      <c r="C156" s="213"/>
      <c r="D156" s="204" t="s">
        <v>233</v>
      </c>
      <c r="E156" s="204">
        <v>0.17920000000000003</v>
      </c>
      <c r="F156" s="214"/>
      <c r="G156" s="214"/>
      <c r="H156" s="234" t="s">
        <v>148</v>
      </c>
      <c r="I156" s="214">
        <v>6.1834768184350054E-2</v>
      </c>
      <c r="J156" s="38"/>
      <c r="K156" s="38"/>
      <c r="L156" s="38"/>
      <c r="M156" s="38"/>
      <c r="N156" s="40"/>
      <c r="O156" s="35"/>
      <c r="P156" s="286"/>
      <c r="Q156" s="286"/>
    </row>
    <row r="157" spans="1:17" ht="18.75">
      <c r="A157" s="223"/>
      <c r="B157" s="299"/>
      <c r="C157" s="213"/>
      <c r="D157" s="204" t="s">
        <v>234</v>
      </c>
      <c r="E157" s="204">
        <v>1.8799999999999997E-2</v>
      </c>
      <c r="F157" s="214"/>
      <c r="G157" s="214"/>
      <c r="H157" s="234" t="s">
        <v>151</v>
      </c>
      <c r="I157" s="214">
        <v>6.8681020492157949E-2</v>
      </c>
      <c r="J157" s="38"/>
      <c r="K157" s="38"/>
      <c r="L157" s="38"/>
      <c r="M157" s="38"/>
      <c r="N157" s="40"/>
      <c r="O157" s="35"/>
      <c r="P157" s="286"/>
      <c r="Q157" s="286"/>
    </row>
    <row r="158" spans="1:17" ht="18.75">
      <c r="A158" s="223"/>
      <c r="B158" s="299"/>
      <c r="C158" s="213"/>
      <c r="D158" s="204" t="s">
        <v>301</v>
      </c>
      <c r="E158" s="204">
        <v>2.8300000000000002E-2</v>
      </c>
      <c r="F158" s="214"/>
      <c r="G158" s="214"/>
      <c r="H158" s="234" t="s">
        <v>232</v>
      </c>
      <c r="I158" s="214">
        <v>2.0611589394783351E-2</v>
      </c>
      <c r="J158" s="38"/>
      <c r="K158" s="38"/>
      <c r="L158" s="38"/>
      <c r="M158" s="38"/>
      <c r="N158" s="40"/>
      <c r="O158" s="35"/>
      <c r="P158" s="286"/>
      <c r="Q158" s="286"/>
    </row>
    <row r="159" spans="1:17" ht="18.75">
      <c r="A159" s="223"/>
      <c r="B159" s="299"/>
      <c r="C159" s="213"/>
      <c r="D159" s="204" t="s">
        <v>302</v>
      </c>
      <c r="E159" s="204">
        <v>9.3999999999999986E-3</v>
      </c>
      <c r="F159" s="214"/>
      <c r="G159" s="214"/>
      <c r="H159" s="234" t="s">
        <v>303</v>
      </c>
      <c r="I159" s="214">
        <v>2.0611589394783351E-2</v>
      </c>
      <c r="J159" s="38"/>
      <c r="K159" s="38"/>
      <c r="L159" s="38"/>
      <c r="M159" s="38"/>
      <c r="N159" s="40"/>
      <c r="O159" s="35"/>
      <c r="P159" s="286"/>
      <c r="Q159" s="286"/>
    </row>
    <row r="160" spans="1:17" ht="18.75">
      <c r="A160" s="223"/>
      <c r="B160" s="299"/>
      <c r="C160" s="213"/>
      <c r="D160" s="204" t="s">
        <v>60</v>
      </c>
      <c r="E160" s="204">
        <v>9.3999999999999986E-3</v>
      </c>
      <c r="F160" s="214"/>
      <c r="G160" s="214"/>
      <c r="H160" s="234" t="s">
        <v>137</v>
      </c>
      <c r="I160" s="214">
        <v>6.8462523078078961E-3</v>
      </c>
      <c r="J160" s="38"/>
      <c r="K160" s="38"/>
      <c r="L160" s="38"/>
      <c r="M160" s="38"/>
      <c r="N160" s="40"/>
      <c r="O160" s="35"/>
      <c r="P160" s="286"/>
      <c r="Q160" s="286"/>
    </row>
    <row r="161" spans="1:17" ht="18.75">
      <c r="A161" s="223"/>
      <c r="B161" s="299"/>
      <c r="C161" s="213"/>
      <c r="D161" s="204" t="s">
        <v>304</v>
      </c>
      <c r="E161" s="204">
        <v>3.7699999999999997E-2</v>
      </c>
      <c r="F161" s="214"/>
      <c r="G161" s="214"/>
      <c r="H161" s="234" t="s">
        <v>210</v>
      </c>
      <c r="I161" s="214">
        <v>6.8462523078078961E-3</v>
      </c>
      <c r="J161" s="38"/>
      <c r="K161" s="38"/>
      <c r="L161" s="38"/>
      <c r="M161" s="38"/>
      <c r="N161" s="40"/>
      <c r="O161" s="35"/>
      <c r="P161" s="286"/>
      <c r="Q161" s="286"/>
    </row>
    <row r="162" spans="1:17" ht="18.75">
      <c r="A162" s="223"/>
      <c r="B162" s="299"/>
      <c r="C162" s="213"/>
      <c r="D162" s="204" t="s">
        <v>159</v>
      </c>
      <c r="E162" s="204">
        <v>4.7100000000000003E-2</v>
      </c>
      <c r="F162" s="214"/>
      <c r="G162" s="214"/>
      <c r="H162" s="234" t="s">
        <v>305</v>
      </c>
      <c r="I162" s="214">
        <v>6.8462523078078961E-3</v>
      </c>
      <c r="J162" s="38"/>
      <c r="K162" s="38"/>
      <c r="L162" s="38"/>
      <c r="M162" s="38"/>
      <c r="N162" s="40"/>
      <c r="O162" s="35"/>
      <c r="P162" s="286"/>
      <c r="Q162" s="286"/>
    </row>
    <row r="163" spans="1:17" ht="18.75">
      <c r="A163" s="223"/>
      <c r="B163" s="299"/>
      <c r="C163" s="213"/>
      <c r="D163" s="204" t="s">
        <v>150</v>
      </c>
      <c r="E163" s="204">
        <v>6.6000000000000003E-2</v>
      </c>
      <c r="F163" s="214"/>
      <c r="G163" s="214"/>
      <c r="H163" s="234" t="s">
        <v>150</v>
      </c>
      <c r="I163" s="214">
        <v>1.3692504615615792E-2</v>
      </c>
      <c r="J163" s="38"/>
      <c r="K163" s="38"/>
      <c r="L163" s="38"/>
      <c r="M163" s="38"/>
      <c r="N163" s="40"/>
      <c r="O163" s="35"/>
      <c r="P163" s="286"/>
      <c r="Q163" s="286"/>
    </row>
    <row r="164" spans="1:17" ht="18.75">
      <c r="A164" s="223"/>
      <c r="B164" s="299"/>
      <c r="C164" s="213"/>
      <c r="D164" s="204" t="s">
        <v>214</v>
      </c>
      <c r="E164" s="204">
        <v>2.8300000000000002E-2</v>
      </c>
      <c r="F164" s="214"/>
      <c r="G164" s="214"/>
      <c r="H164" s="234" t="s">
        <v>48</v>
      </c>
      <c r="I164" s="214">
        <v>1.3692504615615792E-2</v>
      </c>
      <c r="J164" s="38"/>
      <c r="K164" s="38"/>
      <c r="L164" s="38"/>
      <c r="M164" s="38"/>
      <c r="N164" s="40"/>
      <c r="O164" s="35"/>
      <c r="P164" s="286"/>
      <c r="Q164" s="286"/>
    </row>
    <row r="165" spans="1:17" ht="19.5" thickBot="1">
      <c r="A165" s="223"/>
      <c r="B165" s="235"/>
      <c r="C165" s="213"/>
      <c r="D165" s="204" t="s">
        <v>306</v>
      </c>
      <c r="E165" s="204">
        <v>7.5499999999999998E-2</v>
      </c>
      <c r="F165" s="227"/>
      <c r="G165" s="214"/>
      <c r="H165" s="234" t="s">
        <v>24</v>
      </c>
      <c r="I165" s="214">
        <v>1.3692504615615792E-2</v>
      </c>
      <c r="J165" s="38"/>
      <c r="K165" s="38"/>
      <c r="L165" s="38"/>
      <c r="M165" s="218"/>
      <c r="N165" s="219"/>
      <c r="O165" s="220"/>
      <c r="P165" s="287"/>
      <c r="Q165" s="286"/>
    </row>
    <row r="166" spans="1:17" ht="19.5" thickBot="1">
      <c r="A166" s="223"/>
      <c r="B166" s="207"/>
      <c r="C166" s="208" t="s">
        <v>31</v>
      </c>
      <c r="D166" s="208"/>
      <c r="E166" s="209">
        <v>0.99909999999999999</v>
      </c>
      <c r="F166" s="209"/>
      <c r="G166" s="209">
        <v>0.72832471359658479</v>
      </c>
      <c r="H166" s="209"/>
      <c r="I166" s="209">
        <v>0.72798240098119438</v>
      </c>
      <c r="J166" s="209"/>
      <c r="K166" s="209"/>
      <c r="L166" s="209"/>
      <c r="M166" s="209"/>
      <c r="N166" s="209"/>
      <c r="O166" s="209">
        <v>23.653801348573523</v>
      </c>
      <c r="P166" s="14"/>
      <c r="Q166" s="12"/>
    </row>
    <row r="167" spans="1:17">
      <c r="A167" s="2"/>
    </row>
    <row r="168" spans="1:17">
      <c r="A168" s="2"/>
    </row>
    <row r="169" spans="1:17">
      <c r="A169" s="2"/>
    </row>
    <row r="170" spans="1:17">
      <c r="A170" s="2"/>
    </row>
    <row r="171" spans="1:17">
      <c r="A171" s="2"/>
    </row>
    <row r="172" spans="1:17">
      <c r="A172" s="2"/>
    </row>
    <row r="173" spans="1:17">
      <c r="A173" s="2"/>
    </row>
    <row r="174" spans="1:17">
      <c r="A174" s="2"/>
    </row>
    <row r="175" spans="1:17">
      <c r="A175" s="2"/>
    </row>
    <row r="176" spans="1:17">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sheetData>
  <mergeCells count="37">
    <mergeCell ref="A2:A33"/>
    <mergeCell ref="A34:A66"/>
    <mergeCell ref="A68:A123"/>
    <mergeCell ref="P126:P140"/>
    <mergeCell ref="P93:P99"/>
    <mergeCell ref="B93:B99"/>
    <mergeCell ref="P48:P66"/>
    <mergeCell ref="P68:P91"/>
    <mergeCell ref="B48:B66"/>
    <mergeCell ref="P43:P46"/>
    <mergeCell ref="P34:P41"/>
    <mergeCell ref="B34:B41"/>
    <mergeCell ref="B43:B46"/>
    <mergeCell ref="B126:B140"/>
    <mergeCell ref="A126:A141"/>
    <mergeCell ref="Q2:Q9"/>
    <mergeCell ref="Q11:Q32"/>
    <mergeCell ref="P2:P9"/>
    <mergeCell ref="P11:P32"/>
    <mergeCell ref="B2:B9"/>
    <mergeCell ref="B11:B32"/>
    <mergeCell ref="Q142:Q165"/>
    <mergeCell ref="P109:P123"/>
    <mergeCell ref="Q34:Q41"/>
    <mergeCell ref="Q48:Q66"/>
    <mergeCell ref="Q43:Q46"/>
    <mergeCell ref="Q126:Q140"/>
    <mergeCell ref="Q68:Q91"/>
    <mergeCell ref="P101:P107"/>
    <mergeCell ref="Q93:Q99"/>
    <mergeCell ref="Q101:Q107"/>
    <mergeCell ref="Q109:Q123"/>
    <mergeCell ref="B142:B164"/>
    <mergeCell ref="B109:B123"/>
    <mergeCell ref="B101:B107"/>
    <mergeCell ref="B68:B91"/>
    <mergeCell ref="P142:P165"/>
  </mergeCells>
  <conditionalFormatting sqref="M2:M8">
    <cfRule type="cellIs" dxfId="139" priority="216" operator="between">
      <formula>6</formula>
      <formula>12</formula>
    </cfRule>
    <cfRule type="cellIs" dxfId="138" priority="217" operator="greaterThan">
      <formula>12</formula>
    </cfRule>
    <cfRule type="cellIs" dxfId="137" priority="218" operator="lessThan">
      <formula>6</formula>
    </cfRule>
  </conditionalFormatting>
  <conditionalFormatting sqref="G9">
    <cfRule type="dataBar" priority="223">
      <dataBar>
        <cfvo type="min"/>
        <cfvo type="max"/>
        <color rgb="FF638EC6"/>
      </dataBar>
      <extLst>
        <ext xmlns:x14="http://schemas.microsoft.com/office/spreadsheetml/2009/9/main" uri="{B025F937-C7B1-47D3-B67F-A62EFF666E3E}">
          <x14:id>{F0367311-11E6-4217-B09F-F0627402C289}</x14:id>
        </ext>
      </extLst>
    </cfRule>
  </conditionalFormatting>
  <conditionalFormatting sqref="E2:E9">
    <cfRule type="dataBar" priority="224">
      <dataBar>
        <cfvo type="min"/>
        <cfvo type="max"/>
        <color rgb="FF638EC6"/>
      </dataBar>
      <extLst>
        <ext xmlns:x14="http://schemas.microsoft.com/office/spreadsheetml/2009/9/main" uri="{B025F937-C7B1-47D3-B67F-A62EFF666E3E}">
          <x14:id>{B6D18BE5-8220-4A5A-992C-C988E83B3FAF}</x14:id>
        </ext>
      </extLst>
    </cfRule>
    <cfRule type="dataBar" priority="225">
      <dataBar>
        <cfvo type="min"/>
        <cfvo type="max"/>
        <color rgb="FF63C384"/>
      </dataBar>
      <extLst>
        <ext xmlns:x14="http://schemas.microsoft.com/office/spreadsheetml/2009/9/main" uri="{B025F937-C7B1-47D3-B67F-A62EFF666E3E}">
          <x14:id>{74E0F185-4FBB-4861-A02D-76EA9330A9A6}</x14:id>
        </ext>
      </extLst>
    </cfRule>
  </conditionalFormatting>
  <conditionalFormatting sqref="M2:M8">
    <cfRule type="cellIs" dxfId="136" priority="226" operator="greaterThan">
      <formula>#REF!</formula>
    </cfRule>
    <cfRule type="cellIs" dxfId="135" priority="227" operator="between">
      <formula>#REF!</formula>
      <formula>#REF!</formula>
    </cfRule>
    <cfRule type="cellIs" dxfId="134" priority="228" operator="lessThan">
      <formula>#REF!</formula>
    </cfRule>
    <cfRule type="cellIs" dxfId="133" priority="229" operator="greaterThan">
      <formula>#REF!</formula>
    </cfRule>
  </conditionalFormatting>
  <conditionalFormatting sqref="I2:I9">
    <cfRule type="dataBar" priority="214">
      <dataBar>
        <cfvo type="min"/>
        <cfvo type="max"/>
        <color rgb="FF63C384"/>
      </dataBar>
      <extLst>
        <ext xmlns:x14="http://schemas.microsoft.com/office/spreadsheetml/2009/9/main" uri="{B025F937-C7B1-47D3-B67F-A62EFF666E3E}">
          <x14:id>{A11E04E9-E39E-4B37-A114-A2B57D4B0C4B}</x14:id>
        </ext>
      </extLst>
    </cfRule>
  </conditionalFormatting>
  <conditionalFormatting sqref="E2:E7">
    <cfRule type="dataBar" priority="213">
      <dataBar>
        <cfvo type="min"/>
        <cfvo type="max"/>
        <color rgb="FF63C384"/>
      </dataBar>
      <extLst>
        <ext xmlns:x14="http://schemas.microsoft.com/office/spreadsheetml/2009/9/main" uri="{B025F937-C7B1-47D3-B67F-A62EFF666E3E}">
          <x14:id>{8C5A8889-82E9-4B00-8049-5B230935D86B}</x14:id>
        </ext>
      </extLst>
    </cfRule>
  </conditionalFormatting>
  <conditionalFormatting sqref="E11:E30">
    <cfRule type="dataBar" priority="212">
      <dataBar>
        <cfvo type="min"/>
        <cfvo type="max"/>
        <color rgb="FF63C384"/>
      </dataBar>
      <extLst>
        <ext xmlns:x14="http://schemas.microsoft.com/office/spreadsheetml/2009/9/main" uri="{B025F937-C7B1-47D3-B67F-A62EFF666E3E}">
          <x14:id>{DE74CE8E-CF86-47B0-9ACF-A2EFC508C466}</x14:id>
        </ext>
      </extLst>
    </cfRule>
  </conditionalFormatting>
  <conditionalFormatting sqref="G2:G8">
    <cfRule type="dataBar" priority="211">
      <dataBar>
        <cfvo type="min"/>
        <cfvo type="max"/>
        <color rgb="FF63C384"/>
      </dataBar>
      <extLst>
        <ext xmlns:x14="http://schemas.microsoft.com/office/spreadsheetml/2009/9/main" uri="{B025F937-C7B1-47D3-B67F-A62EFF666E3E}">
          <x14:id>{930696CB-9DDC-4465-B6C7-872CB8B33637}</x14:id>
        </ext>
      </extLst>
    </cfRule>
  </conditionalFormatting>
  <conditionalFormatting sqref="G11:G24">
    <cfRule type="dataBar" priority="210">
      <dataBar>
        <cfvo type="min"/>
        <cfvo type="max"/>
        <color rgb="FF63C384"/>
      </dataBar>
      <extLst>
        <ext xmlns:x14="http://schemas.microsoft.com/office/spreadsheetml/2009/9/main" uri="{B025F937-C7B1-47D3-B67F-A62EFF666E3E}">
          <x14:id>{371C6DBA-F78B-4F14-97C3-0FD78F4A72B5}</x14:id>
        </ext>
      </extLst>
    </cfRule>
  </conditionalFormatting>
  <conditionalFormatting sqref="I11:I32">
    <cfRule type="dataBar" priority="209">
      <dataBar>
        <cfvo type="min"/>
        <cfvo type="max"/>
        <color rgb="FF63C384"/>
      </dataBar>
      <extLst>
        <ext xmlns:x14="http://schemas.microsoft.com/office/spreadsheetml/2009/9/main" uri="{B025F937-C7B1-47D3-B67F-A62EFF666E3E}">
          <x14:id>{75DC5B90-3283-4A43-B48F-48D937EEC3D0}</x14:id>
        </ext>
      </extLst>
    </cfRule>
  </conditionalFormatting>
  <conditionalFormatting sqref="M11:M24">
    <cfRule type="cellIs" dxfId="132" priority="202" operator="between">
      <formula>6</formula>
      <formula>12</formula>
    </cfRule>
    <cfRule type="cellIs" dxfId="131" priority="203" operator="greaterThan">
      <formula>12</formula>
    </cfRule>
    <cfRule type="cellIs" dxfId="130" priority="204" operator="lessThan">
      <formula>6</formula>
    </cfRule>
  </conditionalFormatting>
  <conditionalFormatting sqref="M11:M24">
    <cfRule type="cellIs" dxfId="129" priority="205" operator="greaterThan">
      <formula>#REF!</formula>
    </cfRule>
    <cfRule type="cellIs" dxfId="128" priority="206" operator="between">
      <formula>#REF!</formula>
      <formula>#REF!</formula>
    </cfRule>
    <cfRule type="cellIs" dxfId="127" priority="207" operator="lessThan">
      <formula>#REF!</formula>
    </cfRule>
    <cfRule type="cellIs" dxfId="126" priority="208" operator="greaterThan">
      <formula>#REF!</formula>
    </cfRule>
  </conditionalFormatting>
  <conditionalFormatting sqref="O2:O9">
    <cfRule type="dataBar" priority="230">
      <dataBar>
        <cfvo type="min"/>
        <cfvo type="max"/>
        <color rgb="FFD6007B"/>
      </dataBar>
      <extLst>
        <ext xmlns:x14="http://schemas.microsoft.com/office/spreadsheetml/2009/9/main" uri="{B025F937-C7B1-47D3-B67F-A62EFF666E3E}">
          <x14:id>{5D03F144-825D-457B-B2F6-B6623586D599}</x14:id>
        </ext>
      </extLst>
    </cfRule>
  </conditionalFormatting>
  <conditionalFormatting sqref="O10 O33">
    <cfRule type="dataBar" priority="231">
      <dataBar>
        <cfvo type="min"/>
        <cfvo type="max"/>
        <color rgb="FFFFB628"/>
      </dataBar>
      <extLst>
        <ext xmlns:x14="http://schemas.microsoft.com/office/spreadsheetml/2009/9/main" uri="{B025F937-C7B1-47D3-B67F-A62EFF666E3E}">
          <x14:id>{D37BC99E-9476-49D8-AF5F-48E081161CC8}</x14:id>
        </ext>
      </extLst>
    </cfRule>
  </conditionalFormatting>
  <conditionalFormatting sqref="O11:O24">
    <cfRule type="dataBar" priority="232">
      <dataBar>
        <cfvo type="min"/>
        <cfvo type="max"/>
        <color rgb="FF00B0F0"/>
      </dataBar>
      <extLst>
        <ext xmlns:x14="http://schemas.microsoft.com/office/spreadsheetml/2009/9/main" uri="{B025F937-C7B1-47D3-B67F-A62EFF666E3E}">
          <x14:id>{12B72BAF-F71D-4554-8310-9688F7EF0882}</x14:id>
        </ext>
      </extLst>
    </cfRule>
  </conditionalFormatting>
  <conditionalFormatting sqref="O2:O8">
    <cfRule type="dataBar" priority="166">
      <dataBar>
        <cfvo type="min"/>
        <cfvo type="max"/>
        <color rgb="FF00B0F0"/>
      </dataBar>
      <extLst>
        <ext xmlns:x14="http://schemas.microsoft.com/office/spreadsheetml/2009/9/main" uri="{B025F937-C7B1-47D3-B67F-A62EFF666E3E}">
          <x14:id>{6C0107DC-0BDE-492F-BE1B-2C5D6A8BA612}</x14:id>
        </ext>
      </extLst>
    </cfRule>
    <cfRule type="dataBar" priority="233">
      <dataBar>
        <cfvo type="min"/>
        <cfvo type="max"/>
        <color rgb="FF00B0F0"/>
      </dataBar>
      <extLst>
        <ext xmlns:x14="http://schemas.microsoft.com/office/spreadsheetml/2009/9/main" uri="{B025F937-C7B1-47D3-B67F-A62EFF666E3E}">
          <x14:id>{9D16D4A0-FBBA-473E-A47B-5DBF3CA297C1}</x14:id>
        </ext>
      </extLst>
    </cfRule>
  </conditionalFormatting>
  <conditionalFormatting sqref="E34:I34 E35:E39 F35:G36 H35:I41">
    <cfRule type="dataBar" priority="201">
      <dataBar>
        <cfvo type="min"/>
        <cfvo type="max"/>
        <color rgb="FF63C384"/>
      </dataBar>
      <extLst>
        <ext xmlns:x14="http://schemas.microsoft.com/office/spreadsheetml/2009/9/main" uri="{B025F937-C7B1-47D3-B67F-A62EFF666E3E}">
          <x14:id>{24358510-647F-4AB8-AD30-71CE0100CCFD}</x14:id>
        </ext>
      </extLst>
    </cfRule>
  </conditionalFormatting>
  <conditionalFormatting sqref="M34:M36">
    <cfRule type="cellIs" dxfId="125" priority="194" operator="between">
      <formula>6</formula>
      <formula>12</formula>
    </cfRule>
    <cfRule type="cellIs" dxfId="124" priority="195" operator="greaterThan">
      <formula>12</formula>
    </cfRule>
    <cfRule type="cellIs" dxfId="123" priority="196" operator="lessThan">
      <formula>6</formula>
    </cfRule>
  </conditionalFormatting>
  <conditionalFormatting sqref="M34:M36">
    <cfRule type="cellIs" dxfId="122" priority="197" operator="greaterThan">
      <formula>#REF!</formula>
    </cfRule>
    <cfRule type="cellIs" dxfId="121" priority="198" operator="between">
      <formula>#REF!</formula>
      <formula>#REF!</formula>
    </cfRule>
    <cfRule type="cellIs" dxfId="120" priority="199" operator="lessThan">
      <formula>#REF!</formula>
    </cfRule>
    <cfRule type="cellIs" dxfId="119" priority="200" operator="greaterThan">
      <formula>#REF!</formula>
    </cfRule>
  </conditionalFormatting>
  <conditionalFormatting sqref="O34:O36">
    <cfRule type="dataBar" priority="193">
      <dataBar>
        <cfvo type="min"/>
        <cfvo type="max"/>
        <color rgb="FF00B0F0"/>
      </dataBar>
      <extLst>
        <ext xmlns:x14="http://schemas.microsoft.com/office/spreadsheetml/2009/9/main" uri="{B025F937-C7B1-47D3-B67F-A62EFF666E3E}">
          <x14:id>{C403E2A2-724F-41AC-A7D4-1BA2BEB6CD82}</x14:id>
        </ext>
      </extLst>
    </cfRule>
  </conditionalFormatting>
  <conditionalFormatting sqref="M42">
    <cfRule type="dataBar" priority="190">
      <dataBar>
        <cfvo type="min"/>
        <cfvo type="max"/>
        <color theme="1" tint="0.499984740745262"/>
      </dataBar>
      <extLst>
        <ext xmlns:x14="http://schemas.microsoft.com/office/spreadsheetml/2009/9/main" uri="{B025F937-C7B1-47D3-B67F-A62EFF666E3E}">
          <x14:id>{F7AF6D20-3C9A-4D7C-81F2-EE51F6E9C65E}</x14:id>
        </ext>
      </extLst>
    </cfRule>
    <cfRule type="dataBar" priority="191">
      <dataBar>
        <cfvo type="min"/>
        <cfvo type="max"/>
        <color theme="0" tint="-0.14999847407452621"/>
      </dataBar>
      <extLst>
        <ext xmlns:x14="http://schemas.microsoft.com/office/spreadsheetml/2009/9/main" uri="{B025F937-C7B1-47D3-B67F-A62EFF666E3E}">
          <x14:id>{3F96E129-30DB-469E-B289-EF498C463649}</x14:id>
        </ext>
      </extLst>
    </cfRule>
    <cfRule type="dataBar" priority="192">
      <dataBar>
        <cfvo type="min"/>
        <cfvo type="max"/>
        <color theme="2" tint="-0.499984740745262"/>
      </dataBar>
      <extLst>
        <ext xmlns:x14="http://schemas.microsoft.com/office/spreadsheetml/2009/9/main" uri="{B025F937-C7B1-47D3-B67F-A62EFF666E3E}">
          <x14:id>{CB35452B-8D07-498D-ABA4-67D4D01F8767}</x14:id>
        </ext>
      </extLst>
    </cfRule>
  </conditionalFormatting>
  <conditionalFormatting sqref="O42">
    <cfRule type="dataBar" priority="187">
      <dataBar>
        <cfvo type="min"/>
        <cfvo type="max"/>
        <color theme="1" tint="0.499984740745262"/>
      </dataBar>
      <extLst>
        <ext xmlns:x14="http://schemas.microsoft.com/office/spreadsheetml/2009/9/main" uri="{B025F937-C7B1-47D3-B67F-A62EFF666E3E}">
          <x14:id>{0E218DDD-E9BB-4440-B3D0-1B3FA7B625E4}</x14:id>
        </ext>
      </extLst>
    </cfRule>
    <cfRule type="dataBar" priority="188">
      <dataBar>
        <cfvo type="min"/>
        <cfvo type="max"/>
        <color theme="0" tint="-0.14999847407452621"/>
      </dataBar>
      <extLst>
        <ext xmlns:x14="http://schemas.microsoft.com/office/spreadsheetml/2009/9/main" uri="{B025F937-C7B1-47D3-B67F-A62EFF666E3E}">
          <x14:id>{FF1886D7-B8D4-4AC7-B8F8-3687387FBB00}</x14:id>
        </ext>
      </extLst>
    </cfRule>
    <cfRule type="dataBar" priority="189">
      <dataBar>
        <cfvo type="min"/>
        <cfvo type="max"/>
        <color theme="2" tint="-0.499984740745262"/>
      </dataBar>
      <extLst>
        <ext xmlns:x14="http://schemas.microsoft.com/office/spreadsheetml/2009/9/main" uri="{B025F937-C7B1-47D3-B67F-A62EFF666E3E}">
          <x14:id>{E0578FA1-77FA-49A0-99C8-3CFE20B78FEC}</x14:id>
        </ext>
      </extLst>
    </cfRule>
  </conditionalFormatting>
  <conditionalFormatting sqref="G34:G36">
    <cfRule type="dataBar" priority="186">
      <dataBar>
        <cfvo type="min"/>
        <cfvo type="max"/>
        <color rgb="FF63C384"/>
      </dataBar>
      <extLst>
        <ext xmlns:x14="http://schemas.microsoft.com/office/spreadsheetml/2009/9/main" uri="{B025F937-C7B1-47D3-B67F-A62EFF666E3E}">
          <x14:id>{13664A87-156D-4683-A098-0F8866569E57}</x14:id>
        </ext>
      </extLst>
    </cfRule>
  </conditionalFormatting>
  <conditionalFormatting sqref="I34:I41">
    <cfRule type="dataBar" priority="185">
      <dataBar>
        <cfvo type="min"/>
        <cfvo type="max"/>
        <color rgb="FF63C384"/>
      </dataBar>
      <extLst>
        <ext xmlns:x14="http://schemas.microsoft.com/office/spreadsheetml/2009/9/main" uri="{B025F937-C7B1-47D3-B67F-A62EFF666E3E}">
          <x14:id>{E8F70669-19D2-4EBA-96E4-542AE9915A84}</x14:id>
        </ext>
      </extLst>
    </cfRule>
  </conditionalFormatting>
  <conditionalFormatting sqref="O10 O33">
    <cfRule type="dataBar" priority="236">
      <dataBar>
        <cfvo type="min"/>
        <cfvo type="max"/>
        <color theme="1" tint="0.499984740745262"/>
      </dataBar>
      <extLst>
        <ext xmlns:x14="http://schemas.microsoft.com/office/spreadsheetml/2009/9/main" uri="{B025F937-C7B1-47D3-B67F-A62EFF666E3E}">
          <x14:id>{B7534EB3-5AE5-44B5-8705-505260AE9185}</x14:id>
        </ext>
      </extLst>
    </cfRule>
    <cfRule type="dataBar" priority="237">
      <dataBar>
        <cfvo type="min"/>
        <cfvo type="max"/>
        <color theme="0" tint="-0.14999847407452621"/>
      </dataBar>
      <extLst>
        <ext xmlns:x14="http://schemas.microsoft.com/office/spreadsheetml/2009/9/main" uri="{B025F937-C7B1-47D3-B67F-A62EFF666E3E}">
          <x14:id>{19DA0E6F-4FA2-46A0-88AF-5332E19F9832}</x14:id>
        </ext>
      </extLst>
    </cfRule>
    <cfRule type="dataBar" priority="238">
      <dataBar>
        <cfvo type="min"/>
        <cfvo type="max"/>
        <color theme="2" tint="-0.499984740745262"/>
      </dataBar>
      <extLst>
        <ext xmlns:x14="http://schemas.microsoft.com/office/spreadsheetml/2009/9/main" uri="{B025F937-C7B1-47D3-B67F-A62EFF666E3E}">
          <x14:id>{9F728B07-0A3A-4BC5-9231-E850F6F9B39F}</x14:id>
        </ext>
      </extLst>
    </cfRule>
  </conditionalFormatting>
  <conditionalFormatting sqref="M43">
    <cfRule type="cellIs" dxfId="118" priority="172" operator="between">
      <formula>6</formula>
      <formula>12</formula>
    </cfRule>
    <cfRule type="cellIs" dxfId="117" priority="173" operator="greaterThan">
      <formula>12</formula>
    </cfRule>
    <cfRule type="cellIs" dxfId="116" priority="174" operator="lessThan">
      <formula>6</formula>
    </cfRule>
  </conditionalFormatting>
  <conditionalFormatting sqref="M43">
    <cfRule type="cellIs" dxfId="115" priority="175" operator="greaterThan">
      <formula>#REF!</formula>
    </cfRule>
    <cfRule type="cellIs" dxfId="114" priority="176" operator="between">
      <formula>#REF!</formula>
      <formula>#REF!</formula>
    </cfRule>
    <cfRule type="cellIs" dxfId="113" priority="177" operator="lessThan">
      <formula>#REF!</formula>
    </cfRule>
    <cfRule type="cellIs" dxfId="112" priority="178" operator="greaterThan">
      <formula>#REF!</formula>
    </cfRule>
  </conditionalFormatting>
  <conditionalFormatting sqref="E34:E38">
    <cfRule type="dataBar" priority="165">
      <dataBar>
        <cfvo type="min"/>
        <cfvo type="max"/>
        <color rgb="FF63C384"/>
      </dataBar>
      <extLst>
        <ext xmlns:x14="http://schemas.microsoft.com/office/spreadsheetml/2009/9/main" uri="{B025F937-C7B1-47D3-B67F-A62EFF666E3E}">
          <x14:id>{B5097E5A-B91A-43E6-850D-ED8E8B291B3B}</x14:id>
        </ext>
      </extLst>
    </cfRule>
  </conditionalFormatting>
  <conditionalFormatting sqref="O43:O45">
    <cfRule type="dataBar" priority="404">
      <dataBar>
        <cfvo type="min"/>
        <cfvo type="max"/>
        <color rgb="FF00B0F0"/>
      </dataBar>
      <extLst>
        <ext xmlns:x14="http://schemas.microsoft.com/office/spreadsheetml/2009/9/main" uri="{B025F937-C7B1-47D3-B67F-A62EFF666E3E}">
          <x14:id>{C76910F6-7007-45CD-B1C8-0B9130A22953}</x14:id>
        </ext>
      </extLst>
    </cfRule>
  </conditionalFormatting>
  <conditionalFormatting sqref="I43:I46">
    <cfRule type="dataBar" priority="406">
      <dataBar>
        <cfvo type="min"/>
        <cfvo type="max"/>
        <color rgb="FF63C384"/>
      </dataBar>
      <extLst>
        <ext xmlns:x14="http://schemas.microsoft.com/office/spreadsheetml/2009/9/main" uri="{B025F937-C7B1-47D3-B67F-A62EFF666E3E}">
          <x14:id>{36AD8A04-3A87-4812-AD85-BBC5C1F0DDB1}</x14:id>
        </ext>
      </extLst>
    </cfRule>
  </conditionalFormatting>
  <conditionalFormatting sqref="G43:G45">
    <cfRule type="dataBar" priority="408">
      <dataBar>
        <cfvo type="min"/>
        <cfvo type="max"/>
        <color rgb="FF63C384"/>
      </dataBar>
      <extLst>
        <ext xmlns:x14="http://schemas.microsoft.com/office/spreadsheetml/2009/9/main" uri="{B025F937-C7B1-47D3-B67F-A62EFF666E3E}">
          <x14:id>{E2A7B953-07AA-4F68-AF2C-0C9BA7762CBA}</x14:id>
        </ext>
      </extLst>
    </cfRule>
  </conditionalFormatting>
  <conditionalFormatting sqref="E43">
    <cfRule type="dataBar" priority="410">
      <dataBar>
        <cfvo type="min"/>
        <cfvo type="max"/>
        <color rgb="FF63C384"/>
      </dataBar>
      <extLst>
        <ext xmlns:x14="http://schemas.microsoft.com/office/spreadsheetml/2009/9/main" uri="{B025F937-C7B1-47D3-B67F-A62EFF666E3E}">
          <x14:id>{1333B028-3261-4FA3-AE8B-D3DC4F3FF7ED}</x14:id>
        </ext>
      </extLst>
    </cfRule>
  </conditionalFormatting>
  <conditionalFormatting sqref="E43:E44">
    <cfRule type="dataBar" priority="414">
      <dataBar>
        <cfvo type="min"/>
        <cfvo type="max"/>
        <color rgb="FF63C384"/>
      </dataBar>
      <extLst>
        <ext xmlns:x14="http://schemas.microsoft.com/office/spreadsheetml/2009/9/main" uri="{B025F937-C7B1-47D3-B67F-A62EFF666E3E}">
          <x14:id>{E378347B-983E-46F6-97ED-FA89FD9B8A94}</x14:id>
        </ext>
      </extLst>
    </cfRule>
  </conditionalFormatting>
  <conditionalFormatting sqref="G52:G62">
    <cfRule type="dataBar" priority="163">
      <dataBar>
        <cfvo type="min"/>
        <cfvo type="max"/>
        <color rgb="FF63C384"/>
      </dataBar>
      <extLst>
        <ext xmlns:x14="http://schemas.microsoft.com/office/spreadsheetml/2009/9/main" uri="{B025F937-C7B1-47D3-B67F-A62EFF666E3E}">
          <x14:id>{B1CB6226-279B-459C-927D-BFD388081947}</x14:id>
        </ext>
      </extLst>
    </cfRule>
  </conditionalFormatting>
  <conditionalFormatting sqref="I52:I63">
    <cfRule type="dataBar" priority="162">
      <dataBar>
        <cfvo type="min"/>
        <cfvo type="max"/>
        <color rgb="FF63C384"/>
      </dataBar>
      <extLst>
        <ext xmlns:x14="http://schemas.microsoft.com/office/spreadsheetml/2009/9/main" uri="{B025F937-C7B1-47D3-B67F-A62EFF666E3E}">
          <x14:id>{228E5DE6-E2F4-4C8A-98CD-1A1D7BFFD471}</x14:id>
        </ext>
      </extLst>
    </cfRule>
  </conditionalFormatting>
  <conditionalFormatting sqref="M48:M62">
    <cfRule type="cellIs" dxfId="111" priority="150" operator="between">
      <formula>6</formula>
      <formula>12</formula>
    </cfRule>
    <cfRule type="cellIs" dxfId="110" priority="151" operator="greaterThan">
      <formula>12</formula>
    </cfRule>
    <cfRule type="cellIs" dxfId="109" priority="152" operator="lessThan">
      <formula>6</formula>
    </cfRule>
  </conditionalFormatting>
  <conditionalFormatting sqref="M48:M62">
    <cfRule type="cellIs" dxfId="108" priority="153" operator="greaterThan">
      <formula>#REF!</formula>
    </cfRule>
    <cfRule type="cellIs" dxfId="107" priority="154" operator="between">
      <formula>#REF!</formula>
      <formula>#REF!</formula>
    </cfRule>
    <cfRule type="cellIs" dxfId="106" priority="155" operator="lessThan">
      <formula>#REF!</formula>
    </cfRule>
    <cfRule type="cellIs" dxfId="105" priority="156" operator="greaterThan">
      <formula>#REF!</formula>
    </cfRule>
  </conditionalFormatting>
  <conditionalFormatting sqref="O48:O62">
    <cfRule type="dataBar" priority="157">
      <dataBar>
        <cfvo type="min"/>
        <cfvo type="max"/>
        <color rgb="FF00B0F0"/>
      </dataBar>
      <extLst>
        <ext xmlns:x14="http://schemas.microsoft.com/office/spreadsheetml/2009/9/main" uri="{B025F937-C7B1-47D3-B67F-A62EFF666E3E}">
          <x14:id>{B70A2650-CC59-45D5-8122-98580897E9EC}</x14:id>
        </ext>
      </extLst>
    </cfRule>
  </conditionalFormatting>
  <conditionalFormatting sqref="I48:I51">
    <cfRule type="dataBar" priority="158">
      <dataBar>
        <cfvo type="min"/>
        <cfvo type="max"/>
        <color rgb="FF63C384"/>
      </dataBar>
      <extLst>
        <ext xmlns:x14="http://schemas.microsoft.com/office/spreadsheetml/2009/9/main" uri="{B025F937-C7B1-47D3-B67F-A62EFF666E3E}">
          <x14:id>{C58DE780-5743-4ABE-9C62-E061E527A562}</x14:id>
        </ext>
      </extLst>
    </cfRule>
  </conditionalFormatting>
  <conditionalFormatting sqref="G48:G50">
    <cfRule type="dataBar" priority="159">
      <dataBar>
        <cfvo type="min"/>
        <cfvo type="max"/>
        <color rgb="FF63C384"/>
      </dataBar>
      <extLst>
        <ext xmlns:x14="http://schemas.microsoft.com/office/spreadsheetml/2009/9/main" uri="{B025F937-C7B1-47D3-B67F-A62EFF666E3E}">
          <x14:id>{EE8ADB54-D675-4D4C-84FA-9F148629BC0B}</x14:id>
        </ext>
      </extLst>
    </cfRule>
  </conditionalFormatting>
  <conditionalFormatting sqref="E48">
    <cfRule type="dataBar" priority="160">
      <dataBar>
        <cfvo type="min"/>
        <cfvo type="max"/>
        <color rgb="FF63C384"/>
      </dataBar>
      <extLst>
        <ext xmlns:x14="http://schemas.microsoft.com/office/spreadsheetml/2009/9/main" uri="{B025F937-C7B1-47D3-B67F-A62EFF666E3E}">
          <x14:id>{BCEF259C-17B5-4DBA-9E0A-6341812C19F7}</x14:id>
        </ext>
      </extLst>
    </cfRule>
  </conditionalFormatting>
  <conditionalFormatting sqref="E48:E49">
    <cfRule type="dataBar" priority="161">
      <dataBar>
        <cfvo type="min"/>
        <cfvo type="max"/>
        <color rgb="FF63C384"/>
      </dataBar>
      <extLst>
        <ext xmlns:x14="http://schemas.microsoft.com/office/spreadsheetml/2009/9/main" uri="{B025F937-C7B1-47D3-B67F-A62EFF666E3E}">
          <x14:id>{0D1BF694-02A2-4CF0-9BE5-BB226AB0609D}</x14:id>
        </ext>
      </extLst>
    </cfRule>
  </conditionalFormatting>
  <conditionalFormatting sqref="I48:I63">
    <cfRule type="dataBar" priority="149">
      <dataBar>
        <cfvo type="min"/>
        <cfvo type="max"/>
        <color rgb="FF63C384"/>
      </dataBar>
      <extLst>
        <ext xmlns:x14="http://schemas.microsoft.com/office/spreadsheetml/2009/9/main" uri="{B025F937-C7B1-47D3-B67F-A62EFF666E3E}">
          <x14:id>{0EF3BDB2-040A-468C-BE75-49CD7A09AD2A}</x14:id>
        </ext>
      </extLst>
    </cfRule>
  </conditionalFormatting>
  <conditionalFormatting sqref="M93:M97">
    <cfRule type="cellIs" dxfId="104" priority="127" operator="between">
      <formula>6</formula>
      <formula>12</formula>
    </cfRule>
    <cfRule type="cellIs" dxfId="103" priority="128" operator="greaterThan">
      <formula>12</formula>
    </cfRule>
    <cfRule type="cellIs" dxfId="102" priority="129" operator="lessThan">
      <formula>6</formula>
    </cfRule>
  </conditionalFormatting>
  <conditionalFormatting sqref="M93:M97">
    <cfRule type="cellIs" dxfId="101" priority="130" operator="greaterThan">
      <formula>#REF!</formula>
    </cfRule>
    <cfRule type="cellIs" dxfId="100" priority="131" operator="between">
      <formula>#REF!</formula>
      <formula>#REF!</formula>
    </cfRule>
    <cfRule type="cellIs" dxfId="99" priority="132" operator="lessThan">
      <formula>#REF!</formula>
    </cfRule>
    <cfRule type="cellIs" dxfId="98" priority="133" operator="greaterThan">
      <formula>#REF!</formula>
    </cfRule>
  </conditionalFormatting>
  <conditionalFormatting sqref="O93:O97">
    <cfRule type="dataBar" priority="126">
      <dataBar>
        <cfvo type="min"/>
        <cfvo type="max"/>
        <color rgb="FF00B0F0"/>
      </dataBar>
      <extLst>
        <ext xmlns:x14="http://schemas.microsoft.com/office/spreadsheetml/2009/9/main" uri="{B025F937-C7B1-47D3-B67F-A62EFF666E3E}">
          <x14:id>{D64561AE-A5FB-4194-B8EA-6A30C3AFFDFC}</x14:id>
        </ext>
      </extLst>
    </cfRule>
  </conditionalFormatting>
  <conditionalFormatting sqref="I93:I98">
    <cfRule type="dataBar" priority="125">
      <dataBar>
        <cfvo type="min"/>
        <cfvo type="max"/>
        <color rgb="FF63C384"/>
      </dataBar>
      <extLst>
        <ext xmlns:x14="http://schemas.microsoft.com/office/spreadsheetml/2009/9/main" uri="{B025F937-C7B1-47D3-B67F-A62EFF666E3E}">
          <x14:id>{C665D090-1DDD-449C-AF69-C763930DDACB}</x14:id>
        </ext>
      </extLst>
    </cfRule>
  </conditionalFormatting>
  <conditionalFormatting sqref="G93:G98">
    <cfRule type="dataBar" priority="124">
      <dataBar>
        <cfvo type="min"/>
        <cfvo type="max"/>
        <color rgb="FF63C384"/>
      </dataBar>
      <extLst>
        <ext xmlns:x14="http://schemas.microsoft.com/office/spreadsheetml/2009/9/main" uri="{B025F937-C7B1-47D3-B67F-A62EFF666E3E}">
          <x14:id>{362A52E3-6DE4-49C4-AF32-27FA68F759A4}</x14:id>
        </ext>
      </extLst>
    </cfRule>
  </conditionalFormatting>
  <conditionalFormatting sqref="E93:E97">
    <cfRule type="dataBar" priority="123">
      <dataBar>
        <cfvo type="min"/>
        <cfvo type="max"/>
        <color rgb="FF63C384"/>
      </dataBar>
      <extLst>
        <ext xmlns:x14="http://schemas.microsoft.com/office/spreadsheetml/2009/9/main" uri="{B025F937-C7B1-47D3-B67F-A62EFF666E3E}">
          <x14:id>{1F7E9A32-2A21-4C5C-BDEC-5222FB5B49CE}</x14:id>
        </ext>
      </extLst>
    </cfRule>
  </conditionalFormatting>
  <conditionalFormatting sqref="M101:M105">
    <cfRule type="cellIs" dxfId="97" priority="116" operator="between">
      <formula>6</formula>
      <formula>12</formula>
    </cfRule>
    <cfRule type="cellIs" dxfId="96" priority="117" operator="greaterThan">
      <formula>12</formula>
    </cfRule>
    <cfRule type="cellIs" dxfId="95" priority="118" operator="lessThan">
      <formula>6</formula>
    </cfRule>
  </conditionalFormatting>
  <conditionalFormatting sqref="M101:M105">
    <cfRule type="cellIs" dxfId="94" priority="119" operator="greaterThan">
      <formula>#REF!</formula>
    </cfRule>
    <cfRule type="cellIs" dxfId="93" priority="120" operator="between">
      <formula>#REF!</formula>
      <formula>#REF!</formula>
    </cfRule>
    <cfRule type="cellIs" dxfId="92" priority="121" operator="lessThan">
      <formula>#REF!</formula>
    </cfRule>
    <cfRule type="cellIs" dxfId="91" priority="122" operator="greaterThan">
      <formula>#REF!</formula>
    </cfRule>
  </conditionalFormatting>
  <conditionalFormatting sqref="O101:O105">
    <cfRule type="dataBar" priority="115">
      <dataBar>
        <cfvo type="min"/>
        <cfvo type="max"/>
        <color rgb="FF00B0F0"/>
      </dataBar>
      <extLst>
        <ext xmlns:x14="http://schemas.microsoft.com/office/spreadsheetml/2009/9/main" uri="{B025F937-C7B1-47D3-B67F-A62EFF666E3E}">
          <x14:id>{ADE37E52-C982-4A87-A797-0A33D85333CB}</x14:id>
        </ext>
      </extLst>
    </cfRule>
  </conditionalFormatting>
  <conditionalFormatting sqref="G101:G105">
    <cfRule type="dataBar" priority="114">
      <dataBar>
        <cfvo type="min"/>
        <cfvo type="max"/>
        <color rgb="FF63C384"/>
      </dataBar>
      <extLst>
        <ext xmlns:x14="http://schemas.microsoft.com/office/spreadsheetml/2009/9/main" uri="{B025F937-C7B1-47D3-B67F-A62EFF666E3E}">
          <x14:id>{B5F3179E-ECD5-43D7-A52E-2FAD5511CA21}</x14:id>
        </ext>
      </extLst>
    </cfRule>
  </conditionalFormatting>
  <conditionalFormatting sqref="E48:E66">
    <cfRule type="dataBar" priority="9">
      <dataBar>
        <cfvo type="min"/>
        <cfvo type="max"/>
        <color rgb="FF63C384"/>
      </dataBar>
      <extLst>
        <ext xmlns:x14="http://schemas.microsoft.com/office/spreadsheetml/2009/9/main" uri="{B025F937-C7B1-47D3-B67F-A62EFF666E3E}">
          <x14:id>{FF264C57-233C-445A-A885-2E99C06D467A}</x14:id>
        </ext>
      </extLst>
    </cfRule>
  </conditionalFormatting>
  <conditionalFormatting sqref="M88:M91">
    <cfRule type="dataBar" priority="105">
      <dataBar>
        <cfvo type="min"/>
        <cfvo type="max"/>
        <color theme="1" tint="0.499984740745262"/>
      </dataBar>
      <extLst>
        <ext xmlns:x14="http://schemas.microsoft.com/office/spreadsheetml/2009/9/main" uri="{B025F937-C7B1-47D3-B67F-A62EFF666E3E}">
          <x14:id>{BEB15FB9-7E92-440F-880E-F9F3D2D11B86}</x14:id>
        </ext>
      </extLst>
    </cfRule>
    <cfRule type="dataBar" priority="106">
      <dataBar>
        <cfvo type="min"/>
        <cfvo type="max"/>
        <color theme="0" tint="-0.14999847407452621"/>
      </dataBar>
      <extLst>
        <ext xmlns:x14="http://schemas.microsoft.com/office/spreadsheetml/2009/9/main" uri="{B025F937-C7B1-47D3-B67F-A62EFF666E3E}">
          <x14:id>{C5F2FC62-27AE-4EFF-81E3-8980AEF10BBD}</x14:id>
        </ext>
      </extLst>
    </cfRule>
    <cfRule type="dataBar" priority="107">
      <dataBar>
        <cfvo type="min"/>
        <cfvo type="max"/>
        <color theme="2" tint="-0.499984740745262"/>
      </dataBar>
      <extLst>
        <ext xmlns:x14="http://schemas.microsoft.com/office/spreadsheetml/2009/9/main" uri="{B025F937-C7B1-47D3-B67F-A62EFF666E3E}">
          <x14:id>{A3717326-CA2D-46AD-9E21-B2F183F942B1}</x14:id>
        </ext>
      </extLst>
    </cfRule>
  </conditionalFormatting>
  <conditionalFormatting sqref="O68:O91">
    <cfRule type="dataBar" priority="108">
      <dataBar>
        <cfvo type="min"/>
        <cfvo type="max"/>
        <color theme="1" tint="0.499984740745262"/>
      </dataBar>
      <extLst>
        <ext xmlns:x14="http://schemas.microsoft.com/office/spreadsheetml/2009/9/main" uri="{B025F937-C7B1-47D3-B67F-A62EFF666E3E}">
          <x14:id>{0C16BF3C-6005-413D-85F7-C81F8FDA0C58}</x14:id>
        </ext>
      </extLst>
    </cfRule>
    <cfRule type="dataBar" priority="109">
      <dataBar>
        <cfvo type="min"/>
        <cfvo type="max"/>
        <color theme="0" tint="-0.14999847407452621"/>
      </dataBar>
      <extLst>
        <ext xmlns:x14="http://schemas.microsoft.com/office/spreadsheetml/2009/9/main" uri="{B025F937-C7B1-47D3-B67F-A62EFF666E3E}">
          <x14:id>{F30E4520-06D8-46E7-B7E5-A0648457E3E1}</x14:id>
        </ext>
      </extLst>
    </cfRule>
    <cfRule type="dataBar" priority="110">
      <dataBar>
        <cfvo type="min"/>
        <cfvo type="max"/>
        <color theme="2" tint="-0.499984740745262"/>
      </dataBar>
      <extLst>
        <ext xmlns:x14="http://schemas.microsoft.com/office/spreadsheetml/2009/9/main" uri="{B025F937-C7B1-47D3-B67F-A62EFF666E3E}">
          <x14:id>{33FB807F-B661-4E18-BCA0-65C62009579C}</x14:id>
        </ext>
      </extLst>
    </cfRule>
  </conditionalFormatting>
  <conditionalFormatting sqref="O68:O91">
    <cfRule type="dataBar" priority="111">
      <dataBar>
        <cfvo type="min"/>
        <cfvo type="max"/>
        <color theme="0" tint="-0.499984740745262"/>
      </dataBar>
      <extLst>
        <ext xmlns:x14="http://schemas.microsoft.com/office/spreadsheetml/2009/9/main" uri="{B025F937-C7B1-47D3-B67F-A62EFF666E3E}">
          <x14:id>{484C6C81-27C0-47AC-A74C-342A665CDA6D}</x14:id>
        </ext>
      </extLst>
    </cfRule>
  </conditionalFormatting>
  <conditionalFormatting sqref="E68:E90">
    <cfRule type="dataBar" priority="96">
      <dataBar>
        <cfvo type="min"/>
        <cfvo type="max"/>
        <color rgb="FF63C384"/>
      </dataBar>
      <extLst>
        <ext xmlns:x14="http://schemas.microsoft.com/office/spreadsheetml/2009/9/main" uri="{B025F937-C7B1-47D3-B67F-A62EFF666E3E}">
          <x14:id>{962189FE-7CD9-40F1-8E78-6CB9F1C3DC37}</x14:id>
        </ext>
      </extLst>
    </cfRule>
  </conditionalFormatting>
  <conditionalFormatting sqref="I68:I86">
    <cfRule type="dataBar" priority="95">
      <dataBar>
        <cfvo type="min"/>
        <cfvo type="max"/>
        <color rgb="FF63C384"/>
      </dataBar>
      <extLst>
        <ext xmlns:x14="http://schemas.microsoft.com/office/spreadsheetml/2009/9/main" uri="{B025F937-C7B1-47D3-B67F-A62EFF666E3E}">
          <x14:id>{92202A6B-E00C-4CD2-AB94-86639B3C8795}</x14:id>
        </ext>
      </extLst>
    </cfRule>
  </conditionalFormatting>
  <conditionalFormatting sqref="G68:G87">
    <cfRule type="dataBar" priority="94">
      <dataBar>
        <cfvo type="min"/>
        <cfvo type="max"/>
        <color rgb="FF63C384"/>
      </dataBar>
      <extLst>
        <ext xmlns:x14="http://schemas.microsoft.com/office/spreadsheetml/2009/9/main" uri="{B025F937-C7B1-47D3-B67F-A62EFF666E3E}">
          <x14:id>{619C3046-4085-4FC2-8CD7-C881369852D7}</x14:id>
        </ext>
      </extLst>
    </cfRule>
  </conditionalFormatting>
  <conditionalFormatting sqref="M68:M87">
    <cfRule type="cellIs" dxfId="90" priority="87" operator="between">
      <formula>6</formula>
      <formula>12</formula>
    </cfRule>
    <cfRule type="cellIs" dxfId="89" priority="88" operator="greaterThan">
      <formula>12</formula>
    </cfRule>
    <cfRule type="cellIs" dxfId="88" priority="89" operator="lessThan">
      <formula>6</formula>
    </cfRule>
  </conditionalFormatting>
  <conditionalFormatting sqref="M68:M87">
    <cfRule type="cellIs" dxfId="87" priority="90" operator="greaterThan">
      <formula>#REF!</formula>
    </cfRule>
    <cfRule type="cellIs" dxfId="86" priority="91" operator="between">
      <formula>#REF!</formula>
      <formula>#REF!</formula>
    </cfRule>
    <cfRule type="cellIs" dxfId="85" priority="92" operator="lessThan">
      <formula>#REF!</formula>
    </cfRule>
    <cfRule type="cellIs" dxfId="84" priority="93" operator="greaterThan">
      <formula>#REF!</formula>
    </cfRule>
  </conditionalFormatting>
  <conditionalFormatting sqref="O68:O87">
    <cfRule type="dataBar" priority="79">
      <dataBar>
        <cfvo type="min"/>
        <cfvo type="max"/>
        <color rgb="FF00B0F0"/>
      </dataBar>
      <extLst>
        <ext xmlns:x14="http://schemas.microsoft.com/office/spreadsheetml/2009/9/main" uri="{B025F937-C7B1-47D3-B67F-A62EFF666E3E}">
          <x14:id>{18243FCE-CDF8-461F-883E-C0A9616B1C68}</x14:id>
        </ext>
      </extLst>
    </cfRule>
  </conditionalFormatting>
  <conditionalFormatting sqref="E101:E105">
    <cfRule type="dataBar" priority="78">
      <dataBar>
        <cfvo type="min"/>
        <cfvo type="max"/>
        <color rgb="FF63C384"/>
      </dataBar>
      <extLst>
        <ext xmlns:x14="http://schemas.microsoft.com/office/spreadsheetml/2009/9/main" uri="{B025F937-C7B1-47D3-B67F-A62EFF666E3E}">
          <x14:id>{6306D3F2-3FF3-43C6-98FE-985BD0D60F42}</x14:id>
        </ext>
      </extLst>
    </cfRule>
  </conditionalFormatting>
  <conditionalFormatting sqref="M109:M118">
    <cfRule type="cellIs" dxfId="83" priority="71" operator="between">
      <formula>6</formula>
      <formula>12</formula>
    </cfRule>
    <cfRule type="cellIs" dxfId="82" priority="72" operator="greaterThan">
      <formula>12</formula>
    </cfRule>
    <cfRule type="cellIs" dxfId="81" priority="73" operator="lessThan">
      <formula>6</formula>
    </cfRule>
  </conditionalFormatting>
  <conditionalFormatting sqref="M109:M118">
    <cfRule type="cellIs" dxfId="80" priority="74" operator="greaterThan">
      <formula>#REF!</formula>
    </cfRule>
    <cfRule type="cellIs" dxfId="79" priority="75" operator="between">
      <formula>#REF!</formula>
      <formula>#REF!</formula>
    </cfRule>
    <cfRule type="cellIs" dxfId="78" priority="76" operator="lessThan">
      <formula>#REF!</formula>
    </cfRule>
    <cfRule type="cellIs" dxfId="77" priority="77" operator="greaterThan">
      <formula>#REF!</formula>
    </cfRule>
  </conditionalFormatting>
  <conditionalFormatting sqref="O109:O121">
    <cfRule type="dataBar" priority="66">
      <dataBar>
        <cfvo type="min"/>
        <cfvo type="max"/>
        <color theme="1" tint="0.499984740745262"/>
      </dataBar>
      <extLst>
        <ext xmlns:x14="http://schemas.microsoft.com/office/spreadsheetml/2009/9/main" uri="{B025F937-C7B1-47D3-B67F-A62EFF666E3E}">
          <x14:id>{720354EC-B41E-42E0-B9D7-E8E3E311503F}</x14:id>
        </ext>
      </extLst>
    </cfRule>
    <cfRule type="dataBar" priority="67">
      <dataBar>
        <cfvo type="min"/>
        <cfvo type="max"/>
        <color theme="0" tint="-0.14999847407452621"/>
      </dataBar>
      <extLst>
        <ext xmlns:x14="http://schemas.microsoft.com/office/spreadsheetml/2009/9/main" uri="{B025F937-C7B1-47D3-B67F-A62EFF666E3E}">
          <x14:id>{C61201C7-6EAA-4ABE-9B36-4D966F31D9ED}</x14:id>
        </ext>
      </extLst>
    </cfRule>
    <cfRule type="dataBar" priority="68">
      <dataBar>
        <cfvo type="min"/>
        <cfvo type="max"/>
        <color theme="2" tint="-0.499984740745262"/>
      </dataBar>
      <extLst>
        <ext xmlns:x14="http://schemas.microsoft.com/office/spreadsheetml/2009/9/main" uri="{B025F937-C7B1-47D3-B67F-A62EFF666E3E}">
          <x14:id>{8F3153DB-C299-4F0E-9A15-725F997EFF78}</x14:id>
        </ext>
      </extLst>
    </cfRule>
  </conditionalFormatting>
  <conditionalFormatting sqref="O109:O121">
    <cfRule type="dataBar" priority="69">
      <dataBar>
        <cfvo type="min"/>
        <cfvo type="max"/>
        <color theme="0" tint="-0.499984740745262"/>
      </dataBar>
      <extLst>
        <ext xmlns:x14="http://schemas.microsoft.com/office/spreadsheetml/2009/9/main" uri="{B025F937-C7B1-47D3-B67F-A62EFF666E3E}">
          <x14:id>{A9293CA8-B2F3-4FDB-89EF-6754FD848998}</x14:id>
        </ext>
      </extLst>
    </cfRule>
  </conditionalFormatting>
  <conditionalFormatting sqref="O109:O121">
    <cfRule type="dataBar" priority="65">
      <dataBar>
        <cfvo type="min"/>
        <cfvo type="max"/>
        <color rgb="FF00B0F0"/>
      </dataBar>
      <extLst>
        <ext xmlns:x14="http://schemas.microsoft.com/office/spreadsheetml/2009/9/main" uri="{B025F937-C7B1-47D3-B67F-A62EFF666E3E}">
          <x14:id>{A9949DDE-F193-4EE5-8448-7DDE47E7F7E5}</x14:id>
        </ext>
      </extLst>
    </cfRule>
  </conditionalFormatting>
  <conditionalFormatting sqref="G109:G118">
    <cfRule type="dataBar" priority="64">
      <dataBar>
        <cfvo type="min"/>
        <cfvo type="max"/>
        <color rgb="FF63C384"/>
      </dataBar>
      <extLst>
        <ext xmlns:x14="http://schemas.microsoft.com/office/spreadsheetml/2009/9/main" uri="{B025F937-C7B1-47D3-B67F-A62EFF666E3E}">
          <x14:id>{D0CB88AB-86AC-4FD6-971B-DF0E154412AC}</x14:id>
        </ext>
      </extLst>
    </cfRule>
  </conditionalFormatting>
  <conditionalFormatting sqref="E109:E121">
    <cfRule type="dataBar" priority="63">
      <dataBar>
        <cfvo type="min"/>
        <cfvo type="max"/>
        <color rgb="FF63C384"/>
      </dataBar>
      <extLst>
        <ext xmlns:x14="http://schemas.microsoft.com/office/spreadsheetml/2009/9/main" uri="{B025F937-C7B1-47D3-B67F-A62EFF666E3E}">
          <x14:id>{A0CF7406-2C91-4DAA-8378-83072A5A6E03}</x14:id>
        </ext>
      </extLst>
    </cfRule>
  </conditionalFormatting>
  <conditionalFormatting sqref="M139:M140">
    <cfRule type="dataBar" priority="56">
      <dataBar>
        <cfvo type="min"/>
        <cfvo type="max"/>
        <color theme="1" tint="0.499984740745262"/>
      </dataBar>
      <extLst>
        <ext xmlns:x14="http://schemas.microsoft.com/office/spreadsheetml/2009/9/main" uri="{B025F937-C7B1-47D3-B67F-A62EFF666E3E}">
          <x14:id>{B0193C74-DE39-4A2A-8379-A7CE3C435862}</x14:id>
        </ext>
      </extLst>
    </cfRule>
    <cfRule type="dataBar" priority="57">
      <dataBar>
        <cfvo type="min"/>
        <cfvo type="max"/>
        <color theme="0" tint="-0.14999847407452621"/>
      </dataBar>
      <extLst>
        <ext xmlns:x14="http://schemas.microsoft.com/office/spreadsheetml/2009/9/main" uri="{B025F937-C7B1-47D3-B67F-A62EFF666E3E}">
          <x14:id>{5E6805FC-C509-40A0-8676-12E3A50EE87E}</x14:id>
        </ext>
      </extLst>
    </cfRule>
    <cfRule type="dataBar" priority="58">
      <dataBar>
        <cfvo type="min"/>
        <cfvo type="max"/>
        <color theme="2" tint="-0.499984740745262"/>
      </dataBar>
      <extLst>
        <ext xmlns:x14="http://schemas.microsoft.com/office/spreadsheetml/2009/9/main" uri="{B025F937-C7B1-47D3-B67F-A62EFF666E3E}">
          <x14:id>{DF69C629-C251-4AC0-BF9C-EC3C97171ECD}</x14:id>
        </ext>
      </extLst>
    </cfRule>
  </conditionalFormatting>
  <conditionalFormatting sqref="O139:O140">
    <cfRule type="dataBar" priority="59">
      <dataBar>
        <cfvo type="min"/>
        <cfvo type="max"/>
        <color theme="1" tint="0.499984740745262"/>
      </dataBar>
      <extLst>
        <ext xmlns:x14="http://schemas.microsoft.com/office/spreadsheetml/2009/9/main" uri="{B025F937-C7B1-47D3-B67F-A62EFF666E3E}">
          <x14:id>{CE807A64-FE7C-4812-B30E-7D399C1B7BF3}</x14:id>
        </ext>
      </extLst>
    </cfRule>
    <cfRule type="dataBar" priority="60">
      <dataBar>
        <cfvo type="min"/>
        <cfvo type="max"/>
        <color theme="0" tint="-0.14999847407452621"/>
      </dataBar>
      <extLst>
        <ext xmlns:x14="http://schemas.microsoft.com/office/spreadsheetml/2009/9/main" uri="{B025F937-C7B1-47D3-B67F-A62EFF666E3E}">
          <x14:id>{FC55C6F3-9C6C-4CC5-98F8-298638CBA550}</x14:id>
        </ext>
      </extLst>
    </cfRule>
    <cfRule type="dataBar" priority="61">
      <dataBar>
        <cfvo type="min"/>
        <cfvo type="max"/>
        <color theme="2" tint="-0.499984740745262"/>
      </dataBar>
      <extLst>
        <ext xmlns:x14="http://schemas.microsoft.com/office/spreadsheetml/2009/9/main" uri="{B025F937-C7B1-47D3-B67F-A62EFF666E3E}">
          <x14:id>{BB3F43A3-2993-4CA9-90A3-1E3444C41525}</x14:id>
        </ext>
      </extLst>
    </cfRule>
  </conditionalFormatting>
  <conditionalFormatting sqref="O139:O140">
    <cfRule type="dataBar" priority="62">
      <dataBar>
        <cfvo type="min"/>
        <cfvo type="max"/>
        <color theme="0" tint="-0.499984740745262"/>
      </dataBar>
      <extLst>
        <ext xmlns:x14="http://schemas.microsoft.com/office/spreadsheetml/2009/9/main" uri="{B025F937-C7B1-47D3-B67F-A62EFF666E3E}">
          <x14:id>{9DA96027-E64D-463C-88E1-DE90869FB8BF}</x14:id>
        </ext>
      </extLst>
    </cfRule>
  </conditionalFormatting>
  <conditionalFormatting sqref="M126:M138">
    <cfRule type="cellIs" dxfId="76" priority="49" operator="between">
      <formula>6</formula>
      <formula>12</formula>
    </cfRule>
    <cfRule type="cellIs" dxfId="75" priority="50" operator="greaterThan">
      <formula>12</formula>
    </cfRule>
    <cfRule type="cellIs" dxfId="74" priority="51" operator="lessThan">
      <formula>6</formula>
    </cfRule>
  </conditionalFormatting>
  <conditionalFormatting sqref="M126:M138">
    <cfRule type="cellIs" dxfId="73" priority="52" operator="greaterThan">
      <formula>#REF!</formula>
    </cfRule>
    <cfRule type="cellIs" dxfId="72" priority="53" operator="between">
      <formula>#REF!</formula>
      <formula>#REF!</formula>
    </cfRule>
    <cfRule type="cellIs" dxfId="71" priority="54" operator="lessThan">
      <formula>#REF!</formula>
    </cfRule>
    <cfRule type="cellIs" dxfId="70" priority="55" operator="greaterThan">
      <formula>#REF!</formula>
    </cfRule>
  </conditionalFormatting>
  <conditionalFormatting sqref="O126:O138">
    <cfRule type="dataBar" priority="45">
      <dataBar>
        <cfvo type="min"/>
        <cfvo type="max"/>
        <color theme="1" tint="0.499984740745262"/>
      </dataBar>
      <extLst>
        <ext xmlns:x14="http://schemas.microsoft.com/office/spreadsheetml/2009/9/main" uri="{B025F937-C7B1-47D3-B67F-A62EFF666E3E}">
          <x14:id>{3E415595-80A1-40B0-B1BD-3EFFB36A6F49}</x14:id>
        </ext>
      </extLst>
    </cfRule>
    <cfRule type="dataBar" priority="46">
      <dataBar>
        <cfvo type="min"/>
        <cfvo type="max"/>
        <color theme="0" tint="-0.14999847407452621"/>
      </dataBar>
      <extLst>
        <ext xmlns:x14="http://schemas.microsoft.com/office/spreadsheetml/2009/9/main" uri="{B025F937-C7B1-47D3-B67F-A62EFF666E3E}">
          <x14:id>{C6822D92-FEC0-45AF-8AFD-B69B0219AFCE}</x14:id>
        </ext>
      </extLst>
    </cfRule>
    <cfRule type="dataBar" priority="47">
      <dataBar>
        <cfvo type="min"/>
        <cfvo type="max"/>
        <color theme="2" tint="-0.499984740745262"/>
      </dataBar>
      <extLst>
        <ext xmlns:x14="http://schemas.microsoft.com/office/spreadsheetml/2009/9/main" uri="{B025F937-C7B1-47D3-B67F-A62EFF666E3E}">
          <x14:id>{449DC78B-1727-47AF-8D7C-2D89471C297D}</x14:id>
        </ext>
      </extLst>
    </cfRule>
  </conditionalFormatting>
  <conditionalFormatting sqref="O126:O138">
    <cfRule type="dataBar" priority="48">
      <dataBar>
        <cfvo type="min"/>
        <cfvo type="max"/>
        <color theme="0" tint="-0.499984740745262"/>
      </dataBar>
      <extLst>
        <ext xmlns:x14="http://schemas.microsoft.com/office/spreadsheetml/2009/9/main" uri="{B025F937-C7B1-47D3-B67F-A62EFF666E3E}">
          <x14:id>{9DF7A1E6-3B5A-468E-A061-946D168E708B}</x14:id>
        </ext>
      </extLst>
    </cfRule>
  </conditionalFormatting>
  <conditionalFormatting sqref="O126:O138">
    <cfRule type="dataBar" priority="44">
      <dataBar>
        <cfvo type="min"/>
        <cfvo type="max"/>
        <color rgb="FF00B0F0"/>
      </dataBar>
      <extLst>
        <ext xmlns:x14="http://schemas.microsoft.com/office/spreadsheetml/2009/9/main" uri="{B025F937-C7B1-47D3-B67F-A62EFF666E3E}">
          <x14:id>{F7192A44-536A-4532-999B-A72CBCBE1A75}</x14:id>
        </ext>
      </extLst>
    </cfRule>
  </conditionalFormatting>
  <conditionalFormatting sqref="G126:G138">
    <cfRule type="dataBar" priority="43">
      <dataBar>
        <cfvo type="min"/>
        <cfvo type="max"/>
        <color rgb="FF63C384"/>
      </dataBar>
      <extLst>
        <ext xmlns:x14="http://schemas.microsoft.com/office/spreadsheetml/2009/9/main" uri="{B025F937-C7B1-47D3-B67F-A62EFF666E3E}">
          <x14:id>{ED750E8E-6664-40EF-9BE0-3A2183C3A5D2}</x14:id>
        </ext>
      </extLst>
    </cfRule>
  </conditionalFormatting>
  <conditionalFormatting sqref="E126:E138">
    <cfRule type="dataBar" priority="42">
      <dataBar>
        <cfvo type="min"/>
        <cfvo type="max"/>
        <color rgb="FF63C384"/>
      </dataBar>
      <extLst>
        <ext xmlns:x14="http://schemas.microsoft.com/office/spreadsheetml/2009/9/main" uri="{B025F937-C7B1-47D3-B67F-A62EFF666E3E}">
          <x14:id>{6141DA7D-CA90-49CF-8A4E-C5D4AB69D1EC}</x14:id>
        </ext>
      </extLst>
    </cfRule>
  </conditionalFormatting>
  <conditionalFormatting sqref="O10">
    <cfRule type="dataBar" priority="39">
      <dataBar>
        <cfvo type="min"/>
        <cfvo type="max"/>
        <color theme="1" tint="0.499984740745262"/>
      </dataBar>
      <extLst>
        <ext xmlns:x14="http://schemas.microsoft.com/office/spreadsheetml/2009/9/main" uri="{B025F937-C7B1-47D3-B67F-A62EFF666E3E}">
          <x14:id>{F5E5F3C1-EC09-40CD-99A9-6E781DA158D2}</x14:id>
        </ext>
      </extLst>
    </cfRule>
    <cfRule type="dataBar" priority="40">
      <dataBar>
        <cfvo type="min"/>
        <cfvo type="max"/>
        <color theme="0" tint="-0.14999847407452621"/>
      </dataBar>
      <extLst>
        <ext xmlns:x14="http://schemas.microsoft.com/office/spreadsheetml/2009/9/main" uri="{B025F937-C7B1-47D3-B67F-A62EFF666E3E}">
          <x14:id>{EAD9E6BD-328F-4C7D-A70B-A0F70D2D0CB4}</x14:id>
        </ext>
      </extLst>
    </cfRule>
    <cfRule type="dataBar" priority="41">
      <dataBar>
        <cfvo type="min"/>
        <cfvo type="max"/>
        <color theme="2" tint="-0.499984740745262"/>
      </dataBar>
      <extLst>
        <ext xmlns:x14="http://schemas.microsoft.com/office/spreadsheetml/2009/9/main" uri="{B025F937-C7B1-47D3-B67F-A62EFF666E3E}">
          <x14:id>{EC555536-19B2-4156-BF63-504933BBB2F4}</x14:id>
        </ext>
      </extLst>
    </cfRule>
  </conditionalFormatting>
  <conditionalFormatting sqref="O33">
    <cfRule type="dataBar" priority="36">
      <dataBar>
        <cfvo type="min"/>
        <cfvo type="max"/>
        <color theme="1" tint="0.499984740745262"/>
      </dataBar>
      <extLst>
        <ext xmlns:x14="http://schemas.microsoft.com/office/spreadsheetml/2009/9/main" uri="{B025F937-C7B1-47D3-B67F-A62EFF666E3E}">
          <x14:id>{9315D0FD-E6C9-4471-9779-AFD1406B2189}</x14:id>
        </ext>
      </extLst>
    </cfRule>
    <cfRule type="dataBar" priority="37">
      <dataBar>
        <cfvo type="min"/>
        <cfvo type="max"/>
        <color theme="0" tint="-0.14999847407452621"/>
      </dataBar>
      <extLst>
        <ext xmlns:x14="http://schemas.microsoft.com/office/spreadsheetml/2009/9/main" uri="{B025F937-C7B1-47D3-B67F-A62EFF666E3E}">
          <x14:id>{D4DE24CE-F66E-4BB0-9B1D-84863F81351E}</x14:id>
        </ext>
      </extLst>
    </cfRule>
    <cfRule type="dataBar" priority="38">
      <dataBar>
        <cfvo type="min"/>
        <cfvo type="max"/>
        <color theme="2" tint="-0.499984740745262"/>
      </dataBar>
      <extLst>
        <ext xmlns:x14="http://schemas.microsoft.com/office/spreadsheetml/2009/9/main" uri="{B025F937-C7B1-47D3-B67F-A62EFF666E3E}">
          <x14:id>{2380DC18-8452-40F6-9C5C-AF5AF0721621}</x14:id>
        </ext>
      </extLst>
    </cfRule>
  </conditionalFormatting>
  <conditionalFormatting sqref="O10 O124 O33 O42 O47 O67 O92 O100 O108">
    <cfRule type="dataBar" priority="35">
      <dataBar>
        <cfvo type="min"/>
        <cfvo type="max"/>
        <color theme="2" tint="-0.499984740745262"/>
      </dataBar>
      <extLst>
        <ext xmlns:x14="http://schemas.microsoft.com/office/spreadsheetml/2009/9/main" uri="{B025F937-C7B1-47D3-B67F-A62EFF666E3E}">
          <x14:id>{DB44959F-F39E-4E81-9D6F-7847E25E6081}</x14:id>
        </ext>
      </extLst>
    </cfRule>
  </conditionalFormatting>
  <conditionalFormatting sqref="I126:I140">
    <cfRule type="dataBar" priority="34">
      <dataBar>
        <cfvo type="min"/>
        <cfvo type="max"/>
        <color rgb="FF63C384"/>
      </dataBar>
      <extLst>
        <ext xmlns:x14="http://schemas.microsoft.com/office/spreadsheetml/2009/9/main" uri="{B025F937-C7B1-47D3-B67F-A62EFF666E3E}">
          <x14:id>{29785632-D310-4B1F-BFC6-C1EAB13573F5}</x14:id>
        </ext>
      </extLst>
    </cfRule>
  </conditionalFormatting>
  <conditionalFormatting sqref="M142:M154">
    <cfRule type="cellIs" dxfId="69" priority="20" operator="between">
      <formula>6</formula>
      <formula>12</formula>
    </cfRule>
    <cfRule type="cellIs" dxfId="68" priority="21" operator="greaterThan">
      <formula>12</formula>
    </cfRule>
    <cfRule type="cellIs" dxfId="67" priority="22" operator="lessThan">
      <formula>6</formula>
    </cfRule>
  </conditionalFormatting>
  <conditionalFormatting sqref="M142:M154">
    <cfRule type="cellIs" dxfId="66" priority="23" operator="greaterThan">
      <formula>#REF!</formula>
    </cfRule>
    <cfRule type="cellIs" dxfId="65" priority="24" operator="between">
      <formula>#REF!</formula>
      <formula>#REF!</formula>
    </cfRule>
    <cfRule type="cellIs" dxfId="64" priority="25" operator="lessThan">
      <formula>#REF!</formula>
    </cfRule>
    <cfRule type="cellIs" dxfId="63" priority="26" operator="greaterThan">
      <formula>#REF!</formula>
    </cfRule>
  </conditionalFormatting>
  <conditionalFormatting sqref="O142:O164">
    <cfRule type="dataBar" priority="16">
      <dataBar>
        <cfvo type="min"/>
        <cfvo type="max"/>
        <color theme="1" tint="0.499984740745262"/>
      </dataBar>
      <extLst>
        <ext xmlns:x14="http://schemas.microsoft.com/office/spreadsheetml/2009/9/main" uri="{B025F937-C7B1-47D3-B67F-A62EFF666E3E}">
          <x14:id>{B9EFC6B0-8D67-405D-96EE-C2AC1197B486}</x14:id>
        </ext>
      </extLst>
    </cfRule>
    <cfRule type="dataBar" priority="17">
      <dataBar>
        <cfvo type="min"/>
        <cfvo type="max"/>
        <color theme="0" tint="-0.14999847407452621"/>
      </dataBar>
      <extLst>
        <ext xmlns:x14="http://schemas.microsoft.com/office/spreadsheetml/2009/9/main" uri="{B025F937-C7B1-47D3-B67F-A62EFF666E3E}">
          <x14:id>{4C7FD9D1-D1BC-49FD-A191-406A6F7D0CA1}</x14:id>
        </ext>
      </extLst>
    </cfRule>
    <cfRule type="dataBar" priority="18">
      <dataBar>
        <cfvo type="min"/>
        <cfvo type="max"/>
        <color theme="2" tint="-0.499984740745262"/>
      </dataBar>
      <extLst>
        <ext xmlns:x14="http://schemas.microsoft.com/office/spreadsheetml/2009/9/main" uri="{B025F937-C7B1-47D3-B67F-A62EFF666E3E}">
          <x14:id>{D7C01E64-20EA-4B4E-AC40-F26BFA59B763}</x14:id>
        </ext>
      </extLst>
    </cfRule>
  </conditionalFormatting>
  <conditionalFormatting sqref="O142:O164">
    <cfRule type="dataBar" priority="19">
      <dataBar>
        <cfvo type="min"/>
        <cfvo type="max"/>
        <color theme="0" tint="-0.499984740745262"/>
      </dataBar>
      <extLst>
        <ext xmlns:x14="http://schemas.microsoft.com/office/spreadsheetml/2009/9/main" uri="{B025F937-C7B1-47D3-B67F-A62EFF666E3E}">
          <x14:id>{D7A63687-2D53-45CA-B2B4-852D0114D96D}</x14:id>
        </ext>
      </extLst>
    </cfRule>
  </conditionalFormatting>
  <conditionalFormatting sqref="O142:O164">
    <cfRule type="dataBar" priority="15">
      <dataBar>
        <cfvo type="min"/>
        <cfvo type="max"/>
        <color rgb="FF00B0F0"/>
      </dataBar>
      <extLst>
        <ext xmlns:x14="http://schemas.microsoft.com/office/spreadsheetml/2009/9/main" uri="{B025F937-C7B1-47D3-B67F-A62EFF666E3E}">
          <x14:id>{96827E69-F675-4FC9-B27B-90FE8CAF98FC}</x14:id>
        </ext>
      </extLst>
    </cfRule>
  </conditionalFormatting>
  <conditionalFormatting sqref="O165">
    <cfRule type="dataBar" priority="455">
      <dataBar>
        <cfvo type="min"/>
        <cfvo type="max"/>
        <color theme="1" tint="0.499984740745262"/>
      </dataBar>
      <extLst>
        <ext xmlns:x14="http://schemas.microsoft.com/office/spreadsheetml/2009/9/main" uri="{B025F937-C7B1-47D3-B67F-A62EFF666E3E}">
          <x14:id>{C4BADE31-BFFB-4A37-8AC8-13AFB8ED373E}</x14:id>
        </ext>
      </extLst>
    </cfRule>
    <cfRule type="dataBar" priority="456">
      <dataBar>
        <cfvo type="min"/>
        <cfvo type="max"/>
        <color theme="0" tint="-0.14999847407452621"/>
      </dataBar>
      <extLst>
        <ext xmlns:x14="http://schemas.microsoft.com/office/spreadsheetml/2009/9/main" uri="{B025F937-C7B1-47D3-B67F-A62EFF666E3E}">
          <x14:id>{B5E425F0-0A4A-49C6-8FD0-F805AFCCCE30}</x14:id>
        </ext>
      </extLst>
    </cfRule>
    <cfRule type="dataBar" priority="457">
      <dataBar>
        <cfvo type="min"/>
        <cfvo type="max"/>
        <color theme="2" tint="-0.499984740745262"/>
      </dataBar>
      <extLst>
        <ext xmlns:x14="http://schemas.microsoft.com/office/spreadsheetml/2009/9/main" uri="{B025F937-C7B1-47D3-B67F-A62EFF666E3E}">
          <x14:id>{5663526D-1B9D-46C1-957A-6B04345EF11E}</x14:id>
        </ext>
      </extLst>
    </cfRule>
  </conditionalFormatting>
  <conditionalFormatting sqref="O165">
    <cfRule type="dataBar" priority="458">
      <dataBar>
        <cfvo type="min"/>
        <cfvo type="max"/>
        <color theme="0" tint="-0.499984740745262"/>
      </dataBar>
      <extLst>
        <ext xmlns:x14="http://schemas.microsoft.com/office/spreadsheetml/2009/9/main" uri="{B025F937-C7B1-47D3-B67F-A62EFF666E3E}">
          <x14:id>{6AC85161-3645-4BA8-B637-9C87188CC42F}</x14:id>
        </ext>
      </extLst>
    </cfRule>
  </conditionalFormatting>
  <conditionalFormatting sqref="G142:G165">
    <cfRule type="dataBar" priority="459">
      <dataBar>
        <cfvo type="min"/>
        <cfvo type="max"/>
        <color rgb="FF63C384"/>
      </dataBar>
      <extLst>
        <ext xmlns:x14="http://schemas.microsoft.com/office/spreadsheetml/2009/9/main" uri="{B025F937-C7B1-47D3-B67F-A62EFF666E3E}">
          <x14:id>{39387634-7918-47AA-983F-0B16C654C950}</x14:id>
        </ext>
      </extLst>
    </cfRule>
  </conditionalFormatting>
  <conditionalFormatting sqref="E142:E165">
    <cfRule type="dataBar" priority="460">
      <dataBar>
        <cfvo type="min"/>
        <cfvo type="max"/>
        <color rgb="FF63C384"/>
      </dataBar>
      <extLst>
        <ext xmlns:x14="http://schemas.microsoft.com/office/spreadsheetml/2009/9/main" uri="{B025F937-C7B1-47D3-B67F-A62EFF666E3E}">
          <x14:id>{F817CB0D-2B02-46B9-B950-F294776A356D}</x14:id>
        </ext>
      </extLst>
    </cfRule>
  </conditionalFormatting>
  <conditionalFormatting sqref="I142:I165">
    <cfRule type="dataBar" priority="461">
      <dataBar>
        <cfvo type="min"/>
        <cfvo type="max"/>
        <color rgb="FF63C384"/>
      </dataBar>
      <extLst>
        <ext xmlns:x14="http://schemas.microsoft.com/office/spreadsheetml/2009/9/main" uri="{B025F937-C7B1-47D3-B67F-A62EFF666E3E}">
          <x14:id>{826AB673-0FA7-446D-9F63-FCF1E628E9AE}</x14:id>
        </ext>
      </extLst>
    </cfRule>
  </conditionalFormatting>
  <conditionalFormatting sqref="M63:M66 M47 M98:M99 M106:M107 M119:M123">
    <cfRule type="dataBar" priority="462">
      <dataBar>
        <cfvo type="min"/>
        <cfvo type="max"/>
        <color theme="1" tint="0.499984740745262"/>
      </dataBar>
      <extLst>
        <ext xmlns:x14="http://schemas.microsoft.com/office/spreadsheetml/2009/9/main" uri="{B025F937-C7B1-47D3-B67F-A62EFF666E3E}">
          <x14:id>{FB0C5551-4592-466D-BA66-671260DE8A3C}</x14:id>
        </ext>
      </extLst>
    </cfRule>
    <cfRule type="dataBar" priority="463">
      <dataBar>
        <cfvo type="min"/>
        <cfvo type="max"/>
        <color theme="0" tint="-0.14999847407452621"/>
      </dataBar>
      <extLst>
        <ext xmlns:x14="http://schemas.microsoft.com/office/spreadsheetml/2009/9/main" uri="{B025F937-C7B1-47D3-B67F-A62EFF666E3E}">
          <x14:id>{D1E38DB7-9BD5-4BBA-A726-6CCBE8FCADCC}</x14:id>
        </ext>
      </extLst>
    </cfRule>
    <cfRule type="dataBar" priority="464">
      <dataBar>
        <cfvo type="min"/>
        <cfvo type="max"/>
        <color theme="2" tint="-0.499984740745262"/>
      </dataBar>
      <extLst>
        <ext xmlns:x14="http://schemas.microsoft.com/office/spreadsheetml/2009/9/main" uri="{B025F937-C7B1-47D3-B67F-A62EFF666E3E}">
          <x14:id>{A9941C5B-B3A2-4120-ABD5-D61944696966}</x14:id>
        </ext>
      </extLst>
    </cfRule>
  </conditionalFormatting>
  <conditionalFormatting sqref="O63:O66 O47 O93:O99 O101:O107 O122:O123">
    <cfRule type="dataBar" priority="477">
      <dataBar>
        <cfvo type="min"/>
        <cfvo type="max"/>
        <color theme="1" tint="0.499984740745262"/>
      </dataBar>
      <extLst>
        <ext xmlns:x14="http://schemas.microsoft.com/office/spreadsheetml/2009/9/main" uri="{B025F937-C7B1-47D3-B67F-A62EFF666E3E}">
          <x14:id>{EFC3D7AC-EF6F-457C-9D74-999BC3B07C21}</x14:id>
        </ext>
      </extLst>
    </cfRule>
    <cfRule type="dataBar" priority="478">
      <dataBar>
        <cfvo type="min"/>
        <cfvo type="max"/>
        <color theme="0" tint="-0.14999847407452621"/>
      </dataBar>
      <extLst>
        <ext xmlns:x14="http://schemas.microsoft.com/office/spreadsheetml/2009/9/main" uri="{B025F937-C7B1-47D3-B67F-A62EFF666E3E}">
          <x14:id>{0F80E248-15B7-4476-ADBC-9991B4CC48C2}</x14:id>
        </ext>
      </extLst>
    </cfRule>
    <cfRule type="dataBar" priority="479">
      <dataBar>
        <cfvo type="min"/>
        <cfvo type="max"/>
        <color theme="2" tint="-0.499984740745262"/>
      </dataBar>
      <extLst>
        <ext xmlns:x14="http://schemas.microsoft.com/office/spreadsheetml/2009/9/main" uri="{B025F937-C7B1-47D3-B67F-A62EFF666E3E}">
          <x14:id>{485CF677-0131-4392-8474-00BD92B37A63}</x14:id>
        </ext>
      </extLst>
    </cfRule>
  </conditionalFormatting>
  <conditionalFormatting sqref="O42 O47 O63:O66 O93:O99 O101:O107 O122:O123 O10 O33">
    <cfRule type="dataBar" priority="492">
      <dataBar>
        <cfvo type="min"/>
        <cfvo type="max"/>
        <color theme="0" tint="-0.499984740745262"/>
      </dataBar>
      <extLst>
        <ext xmlns:x14="http://schemas.microsoft.com/office/spreadsheetml/2009/9/main" uri="{B025F937-C7B1-47D3-B67F-A62EFF666E3E}">
          <x14:id>{6581B615-440A-4889-83B6-FA7423705A84}</x14:id>
        </ext>
      </extLst>
    </cfRule>
  </conditionalFormatting>
  <conditionalFormatting sqref="I101:I107">
    <cfRule type="dataBar" priority="500">
      <dataBar>
        <cfvo type="min"/>
        <cfvo type="max"/>
        <color rgb="FF63C384"/>
      </dataBar>
      <extLst>
        <ext xmlns:x14="http://schemas.microsoft.com/office/spreadsheetml/2009/9/main" uri="{B025F937-C7B1-47D3-B67F-A62EFF666E3E}">
          <x14:id>{72B67414-7AE0-479E-B590-BD80FCF025B9}</x14:id>
        </ext>
      </extLst>
    </cfRule>
  </conditionalFormatting>
  <conditionalFormatting sqref="I43:I44">
    <cfRule type="dataBar" priority="11">
      <dataBar>
        <cfvo type="min"/>
        <cfvo type="max"/>
        <color rgb="FF63C384"/>
      </dataBar>
      <extLst>
        <ext xmlns:x14="http://schemas.microsoft.com/office/spreadsheetml/2009/9/main" uri="{B025F937-C7B1-47D3-B67F-A62EFF666E3E}">
          <x14:id>{01B206C0-172D-4E71-BCD4-7D2C627845C5}</x14:id>
        </ext>
      </extLst>
    </cfRule>
  </conditionalFormatting>
  <conditionalFormatting sqref="G48:G62">
    <cfRule type="dataBar" priority="10">
      <dataBar>
        <cfvo type="min"/>
        <cfvo type="max"/>
        <color rgb="FF63C384"/>
      </dataBar>
      <extLst>
        <ext xmlns:x14="http://schemas.microsoft.com/office/spreadsheetml/2009/9/main" uri="{B025F937-C7B1-47D3-B67F-A62EFF666E3E}">
          <x14:id>{0E35E440-FEBB-4DC9-A910-4D43173DF0F4}</x14:id>
        </ext>
      </extLst>
    </cfRule>
  </conditionalFormatting>
  <conditionalFormatting sqref="I109:I123">
    <cfRule type="dataBar" priority="8">
      <dataBar>
        <cfvo type="min"/>
        <cfvo type="max"/>
        <color rgb="FF63C384"/>
      </dataBar>
      <extLst>
        <ext xmlns:x14="http://schemas.microsoft.com/office/spreadsheetml/2009/9/main" uri="{B025F937-C7B1-47D3-B67F-A62EFF666E3E}">
          <x14:id>{B1955E1E-BEDE-4114-AD82-D8F3E7BA38FD}</x14:id>
        </ext>
      </extLst>
    </cfRule>
  </conditionalFormatting>
  <dataValidations disablePrompts="1" count="1">
    <dataValidation type="list" allowBlank="1" showInputMessage="1" showErrorMessage="1" sqref="J40:L42 J34:L38 J2:L9 K25:L32 J32 K47:L47 L98:L99 J92:L92 J47:J67 K64:K67 L63:L67 K106:L107 J101:J107 K120:L140 J123:J140" xr:uid="{D0CF8E14-AE78-48E4-8EDB-5B11768DEDA4}">
      <formula1>"1, 2, 3, 4, 5"</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0367311-11E6-4217-B09F-F0627402C289}">
            <x14:dataBar minLength="0" maxLength="100" gradient="0">
              <x14:cfvo type="autoMin"/>
              <x14:cfvo type="autoMax"/>
              <x14:negativeFillColor rgb="FFFF0000"/>
              <x14:axisColor rgb="FF000000"/>
            </x14:dataBar>
          </x14:cfRule>
          <xm:sqref>G9</xm:sqref>
        </x14:conditionalFormatting>
        <x14:conditionalFormatting xmlns:xm="http://schemas.microsoft.com/office/excel/2006/main">
          <x14:cfRule type="dataBar" id="{B6D18BE5-8220-4A5A-992C-C988E83B3FAF}">
            <x14:dataBar minLength="0" maxLength="100" gradient="0">
              <x14:cfvo type="autoMin"/>
              <x14:cfvo type="autoMax"/>
              <x14:negativeFillColor rgb="FFFF0000"/>
              <x14:axisColor rgb="FF000000"/>
            </x14:dataBar>
          </x14:cfRule>
          <x14:cfRule type="dataBar" id="{74E0F185-4FBB-4861-A02D-76EA9330A9A6}">
            <x14:dataBar minLength="0" maxLength="100" border="1" negativeBarBorderColorSameAsPositive="0">
              <x14:cfvo type="autoMin"/>
              <x14:cfvo type="autoMax"/>
              <x14:borderColor rgb="FF63C384"/>
              <x14:negativeFillColor rgb="FFFF0000"/>
              <x14:negativeBorderColor rgb="FFFF0000"/>
              <x14:axisColor rgb="FF000000"/>
            </x14:dataBar>
          </x14:cfRule>
          <xm:sqref>E2:E9</xm:sqref>
        </x14:conditionalFormatting>
        <x14:conditionalFormatting xmlns:xm="http://schemas.microsoft.com/office/excel/2006/main">
          <x14:cfRule type="dataBar" id="{A11E04E9-E39E-4B37-A114-A2B57D4B0C4B}">
            <x14:dataBar minLength="0" maxLength="100" gradient="0">
              <x14:cfvo type="autoMin"/>
              <x14:cfvo type="autoMax"/>
              <x14:negativeFillColor rgb="FFFF0000"/>
              <x14:axisColor rgb="FF000000"/>
            </x14:dataBar>
          </x14:cfRule>
          <xm:sqref>I2:I9</xm:sqref>
        </x14:conditionalFormatting>
        <x14:conditionalFormatting xmlns:xm="http://schemas.microsoft.com/office/excel/2006/main">
          <x14:cfRule type="dataBar" id="{8C5A8889-82E9-4B00-8049-5B230935D86B}">
            <x14:dataBar minLength="0" maxLength="100" gradient="0">
              <x14:cfvo type="autoMin"/>
              <x14:cfvo type="autoMax"/>
              <x14:negativeFillColor rgb="FFFF0000"/>
              <x14:axisColor rgb="FF000000"/>
            </x14:dataBar>
          </x14:cfRule>
          <xm:sqref>E2:E7</xm:sqref>
        </x14:conditionalFormatting>
        <x14:conditionalFormatting xmlns:xm="http://schemas.microsoft.com/office/excel/2006/main">
          <x14:cfRule type="dataBar" id="{DE74CE8E-CF86-47B0-9ACF-A2EFC508C466}">
            <x14:dataBar minLength="0" maxLength="100" gradient="0">
              <x14:cfvo type="autoMin"/>
              <x14:cfvo type="autoMax"/>
              <x14:negativeFillColor rgb="FFFF0000"/>
              <x14:axisColor rgb="FF000000"/>
            </x14:dataBar>
          </x14:cfRule>
          <xm:sqref>E11:E30</xm:sqref>
        </x14:conditionalFormatting>
        <x14:conditionalFormatting xmlns:xm="http://schemas.microsoft.com/office/excel/2006/main">
          <x14:cfRule type="dataBar" id="{930696CB-9DDC-4465-B6C7-872CB8B33637}">
            <x14:dataBar minLength="0" maxLength="100" gradient="0">
              <x14:cfvo type="autoMin"/>
              <x14:cfvo type="autoMax"/>
              <x14:negativeFillColor rgb="FFFF0000"/>
              <x14:axisColor rgb="FF000000"/>
            </x14:dataBar>
          </x14:cfRule>
          <xm:sqref>G2:G8</xm:sqref>
        </x14:conditionalFormatting>
        <x14:conditionalFormatting xmlns:xm="http://schemas.microsoft.com/office/excel/2006/main">
          <x14:cfRule type="dataBar" id="{371C6DBA-F78B-4F14-97C3-0FD78F4A72B5}">
            <x14:dataBar minLength="0" maxLength="100" gradient="0">
              <x14:cfvo type="autoMin"/>
              <x14:cfvo type="autoMax"/>
              <x14:negativeFillColor rgb="FFFF0000"/>
              <x14:axisColor rgb="FF000000"/>
            </x14:dataBar>
          </x14:cfRule>
          <xm:sqref>G11:G24</xm:sqref>
        </x14:conditionalFormatting>
        <x14:conditionalFormatting xmlns:xm="http://schemas.microsoft.com/office/excel/2006/main">
          <x14:cfRule type="dataBar" id="{75DC5B90-3283-4A43-B48F-48D937EEC3D0}">
            <x14:dataBar minLength="0" maxLength="100" gradient="0">
              <x14:cfvo type="autoMin"/>
              <x14:cfvo type="autoMax"/>
              <x14:negativeFillColor rgb="FFFF0000"/>
              <x14:axisColor rgb="FF000000"/>
            </x14:dataBar>
          </x14:cfRule>
          <xm:sqref>I11:I32</xm:sqref>
        </x14:conditionalFormatting>
        <x14:conditionalFormatting xmlns:xm="http://schemas.microsoft.com/office/excel/2006/main">
          <x14:cfRule type="dataBar" id="{5D03F144-825D-457B-B2F6-B6623586D599}">
            <x14:dataBar minLength="0" maxLength="100" border="1" negativeBarBorderColorSameAsPositive="0">
              <x14:cfvo type="autoMin"/>
              <x14:cfvo type="autoMax"/>
              <x14:borderColor rgb="FFD6007B"/>
              <x14:negativeFillColor rgb="FFFF0000"/>
              <x14:negativeBorderColor rgb="FFFF0000"/>
              <x14:axisColor rgb="FF000000"/>
            </x14:dataBar>
          </x14:cfRule>
          <xm:sqref>O2:O9</xm:sqref>
        </x14:conditionalFormatting>
        <x14:conditionalFormatting xmlns:xm="http://schemas.microsoft.com/office/excel/2006/main">
          <x14:cfRule type="dataBar" id="{D37BC99E-9476-49D8-AF5F-48E081161CC8}">
            <x14:dataBar minLength="0" maxLength="100" gradient="0">
              <x14:cfvo type="autoMin"/>
              <x14:cfvo type="autoMax"/>
              <x14:negativeFillColor rgb="FFFF0000"/>
              <x14:axisColor rgb="FF000000"/>
            </x14:dataBar>
          </x14:cfRule>
          <xm:sqref>O10 O33</xm:sqref>
        </x14:conditionalFormatting>
        <x14:conditionalFormatting xmlns:xm="http://schemas.microsoft.com/office/excel/2006/main">
          <x14:cfRule type="dataBar" id="{12B72BAF-F71D-4554-8310-9688F7EF0882}">
            <x14:dataBar minLength="0" maxLength="100" gradient="0">
              <x14:cfvo type="autoMin"/>
              <x14:cfvo type="autoMax"/>
              <x14:negativeFillColor rgb="FFFF0000"/>
              <x14:axisColor rgb="FF000000"/>
            </x14:dataBar>
          </x14:cfRule>
          <xm:sqref>O11:O24</xm:sqref>
        </x14:conditionalFormatting>
        <x14:conditionalFormatting xmlns:xm="http://schemas.microsoft.com/office/excel/2006/main">
          <x14:cfRule type="dataBar" id="{6C0107DC-0BDE-492F-BE1B-2C5D6A8BA612}">
            <x14:dataBar minLength="0" maxLength="100" gradient="0">
              <x14:cfvo type="autoMin"/>
              <x14:cfvo type="autoMax"/>
              <x14:negativeFillColor rgb="FFFF0000"/>
              <x14:axisColor rgb="FF000000"/>
            </x14:dataBar>
          </x14:cfRule>
          <x14:cfRule type="dataBar" id="{9D16D4A0-FBBA-473E-A47B-5DBF3CA297C1}">
            <x14:dataBar minLength="0" maxLength="100" gradient="0">
              <x14:cfvo type="autoMin"/>
              <x14:cfvo type="autoMax"/>
              <x14:negativeFillColor rgb="FFFF0000"/>
              <x14:axisColor rgb="FF000000"/>
            </x14:dataBar>
          </x14:cfRule>
          <xm:sqref>O2:O8</xm:sqref>
        </x14:conditionalFormatting>
        <x14:conditionalFormatting xmlns:xm="http://schemas.microsoft.com/office/excel/2006/main">
          <x14:cfRule type="dataBar" id="{24358510-647F-4AB8-AD30-71CE0100CCFD}">
            <x14:dataBar minLength="0" maxLength="100" gradient="0">
              <x14:cfvo type="autoMin"/>
              <x14:cfvo type="autoMax"/>
              <x14:negativeFillColor rgb="FFFF0000"/>
              <x14:axisColor rgb="FF000000"/>
            </x14:dataBar>
          </x14:cfRule>
          <xm:sqref>E34:I34 E35:E39 F35:G36 H35:I41</xm:sqref>
        </x14:conditionalFormatting>
        <x14:conditionalFormatting xmlns:xm="http://schemas.microsoft.com/office/excel/2006/main">
          <x14:cfRule type="dataBar" id="{C403E2A2-724F-41AC-A7D4-1BA2BEB6CD82}">
            <x14:dataBar minLength="0" maxLength="100" gradient="0">
              <x14:cfvo type="autoMin"/>
              <x14:cfvo type="autoMax"/>
              <x14:negativeFillColor rgb="FFFF0000"/>
              <x14:axisColor rgb="FF000000"/>
            </x14:dataBar>
          </x14:cfRule>
          <xm:sqref>O34:O36</xm:sqref>
        </x14:conditionalFormatting>
        <x14:conditionalFormatting xmlns:xm="http://schemas.microsoft.com/office/excel/2006/main">
          <x14:cfRule type="dataBar" id="{F7AF6D20-3C9A-4D7C-81F2-EE51F6E9C65E}">
            <x14:dataBar minLength="0" maxLength="100" gradient="0">
              <x14:cfvo type="autoMin"/>
              <x14:cfvo type="autoMax"/>
              <x14:negativeFillColor rgb="FFFF0000"/>
              <x14:axisColor rgb="FF000000"/>
            </x14:dataBar>
          </x14:cfRule>
          <x14:cfRule type="dataBar" id="{3F96E129-30DB-469E-B289-EF498C463649}">
            <x14:dataBar minLength="0" maxLength="100" gradient="0">
              <x14:cfvo type="autoMin"/>
              <x14:cfvo type="autoMax"/>
              <x14:negativeFillColor rgb="FFFF0000"/>
              <x14:axisColor rgb="FF000000"/>
            </x14:dataBar>
          </x14:cfRule>
          <x14:cfRule type="dataBar" id="{CB35452B-8D07-498D-ABA4-67D4D01F8767}">
            <x14:dataBar minLength="0" maxLength="100" gradient="0">
              <x14:cfvo type="autoMin"/>
              <x14:cfvo type="autoMax"/>
              <x14:negativeFillColor rgb="FFFF0000"/>
              <x14:axisColor rgb="FF000000"/>
            </x14:dataBar>
          </x14:cfRule>
          <xm:sqref>M42</xm:sqref>
        </x14:conditionalFormatting>
        <x14:conditionalFormatting xmlns:xm="http://schemas.microsoft.com/office/excel/2006/main">
          <x14:cfRule type="dataBar" id="{0E218DDD-E9BB-4440-B3D0-1B3FA7B625E4}">
            <x14:dataBar minLength="0" maxLength="100" gradient="0">
              <x14:cfvo type="autoMin"/>
              <x14:cfvo type="autoMax"/>
              <x14:negativeFillColor rgb="FFFF0000"/>
              <x14:axisColor rgb="FF000000"/>
            </x14:dataBar>
          </x14:cfRule>
          <x14:cfRule type="dataBar" id="{FF1886D7-B8D4-4AC7-B8F8-3687387FBB00}">
            <x14:dataBar minLength="0" maxLength="100" gradient="0">
              <x14:cfvo type="autoMin"/>
              <x14:cfvo type="autoMax"/>
              <x14:negativeFillColor rgb="FFFF0000"/>
              <x14:axisColor rgb="FF000000"/>
            </x14:dataBar>
          </x14:cfRule>
          <x14:cfRule type="dataBar" id="{E0578FA1-77FA-49A0-99C8-3CFE20B78FEC}">
            <x14:dataBar minLength="0" maxLength="100" gradient="0">
              <x14:cfvo type="autoMin"/>
              <x14:cfvo type="autoMax"/>
              <x14:negativeFillColor rgb="FFFF0000"/>
              <x14:axisColor rgb="FF000000"/>
            </x14:dataBar>
          </x14:cfRule>
          <xm:sqref>O42</xm:sqref>
        </x14:conditionalFormatting>
        <x14:conditionalFormatting xmlns:xm="http://schemas.microsoft.com/office/excel/2006/main">
          <x14:cfRule type="dataBar" id="{13664A87-156D-4683-A098-0F8866569E57}">
            <x14:dataBar minLength="0" maxLength="100" gradient="0">
              <x14:cfvo type="autoMin"/>
              <x14:cfvo type="autoMax"/>
              <x14:negativeFillColor rgb="FFFF0000"/>
              <x14:axisColor rgb="FF000000"/>
            </x14:dataBar>
          </x14:cfRule>
          <xm:sqref>G34:G36</xm:sqref>
        </x14:conditionalFormatting>
        <x14:conditionalFormatting xmlns:xm="http://schemas.microsoft.com/office/excel/2006/main">
          <x14:cfRule type="dataBar" id="{E8F70669-19D2-4EBA-96E4-542AE9915A84}">
            <x14:dataBar minLength="0" maxLength="100" gradient="0">
              <x14:cfvo type="autoMin"/>
              <x14:cfvo type="autoMax"/>
              <x14:negativeFillColor rgb="FFFF0000"/>
              <x14:axisColor rgb="FF000000"/>
            </x14:dataBar>
          </x14:cfRule>
          <xm:sqref>I34:I41</xm:sqref>
        </x14:conditionalFormatting>
        <x14:conditionalFormatting xmlns:xm="http://schemas.microsoft.com/office/excel/2006/main">
          <x14:cfRule type="dataBar" id="{B7534EB3-5AE5-44B5-8705-505260AE9185}">
            <x14:dataBar minLength="0" maxLength="100" gradient="0">
              <x14:cfvo type="autoMin"/>
              <x14:cfvo type="autoMax"/>
              <x14:negativeFillColor rgb="FFFF0000"/>
              <x14:axisColor rgb="FF000000"/>
            </x14:dataBar>
          </x14:cfRule>
          <x14:cfRule type="dataBar" id="{19DA0E6F-4FA2-46A0-88AF-5332E19F9832}">
            <x14:dataBar minLength="0" maxLength="100" gradient="0">
              <x14:cfvo type="autoMin"/>
              <x14:cfvo type="autoMax"/>
              <x14:negativeFillColor rgb="FFFF0000"/>
              <x14:axisColor rgb="FF000000"/>
            </x14:dataBar>
          </x14:cfRule>
          <x14:cfRule type="dataBar" id="{9F728B07-0A3A-4BC5-9231-E850F6F9B39F}">
            <x14:dataBar minLength="0" maxLength="100" gradient="0">
              <x14:cfvo type="autoMin"/>
              <x14:cfvo type="autoMax"/>
              <x14:negativeFillColor rgb="FFFF0000"/>
              <x14:axisColor rgb="FF000000"/>
            </x14:dataBar>
          </x14:cfRule>
          <xm:sqref>O10 O33</xm:sqref>
        </x14:conditionalFormatting>
        <x14:conditionalFormatting xmlns:xm="http://schemas.microsoft.com/office/excel/2006/main">
          <x14:cfRule type="dataBar" id="{B5097E5A-B91A-43E6-850D-ED8E8B291B3B}">
            <x14:dataBar minLength="0" maxLength="100" gradient="0">
              <x14:cfvo type="autoMin"/>
              <x14:cfvo type="autoMax"/>
              <x14:negativeFillColor rgb="FFFF0000"/>
              <x14:axisColor rgb="FF000000"/>
            </x14:dataBar>
          </x14:cfRule>
          <xm:sqref>E34:E38</xm:sqref>
        </x14:conditionalFormatting>
        <x14:conditionalFormatting xmlns:xm="http://schemas.microsoft.com/office/excel/2006/main">
          <x14:cfRule type="dataBar" id="{C76910F6-7007-45CD-B1C8-0B9130A22953}">
            <x14:dataBar minLength="0" maxLength="100" gradient="0">
              <x14:cfvo type="autoMin"/>
              <x14:cfvo type="autoMax"/>
              <x14:negativeFillColor rgb="FFFF0000"/>
              <x14:axisColor rgb="FF000000"/>
            </x14:dataBar>
          </x14:cfRule>
          <xm:sqref>O43:O45</xm:sqref>
        </x14:conditionalFormatting>
        <x14:conditionalFormatting xmlns:xm="http://schemas.microsoft.com/office/excel/2006/main">
          <x14:cfRule type="dataBar" id="{36AD8A04-3A87-4812-AD85-BBC5C1F0DDB1}">
            <x14:dataBar minLength="0" maxLength="100" gradient="0">
              <x14:cfvo type="autoMin"/>
              <x14:cfvo type="autoMax"/>
              <x14:negativeFillColor rgb="FFFF0000"/>
              <x14:axisColor rgb="FF000000"/>
            </x14:dataBar>
          </x14:cfRule>
          <xm:sqref>I43:I46</xm:sqref>
        </x14:conditionalFormatting>
        <x14:conditionalFormatting xmlns:xm="http://schemas.microsoft.com/office/excel/2006/main">
          <x14:cfRule type="dataBar" id="{E2A7B953-07AA-4F68-AF2C-0C9BA7762CBA}">
            <x14:dataBar minLength="0" maxLength="100" gradient="0">
              <x14:cfvo type="autoMin"/>
              <x14:cfvo type="autoMax"/>
              <x14:negativeFillColor rgb="FFFF0000"/>
              <x14:axisColor rgb="FF000000"/>
            </x14:dataBar>
          </x14:cfRule>
          <xm:sqref>G43:G45</xm:sqref>
        </x14:conditionalFormatting>
        <x14:conditionalFormatting xmlns:xm="http://schemas.microsoft.com/office/excel/2006/main">
          <x14:cfRule type="dataBar" id="{1333B028-3261-4FA3-AE8B-D3DC4F3FF7ED}">
            <x14:dataBar minLength="0" maxLength="100" gradient="0">
              <x14:cfvo type="autoMin"/>
              <x14:cfvo type="autoMax"/>
              <x14:negativeFillColor rgb="FFFF0000"/>
              <x14:axisColor rgb="FF000000"/>
            </x14:dataBar>
          </x14:cfRule>
          <xm:sqref>E43</xm:sqref>
        </x14:conditionalFormatting>
        <x14:conditionalFormatting xmlns:xm="http://schemas.microsoft.com/office/excel/2006/main">
          <x14:cfRule type="dataBar" id="{E378347B-983E-46F6-97ED-FA89FD9B8A94}">
            <x14:dataBar minLength="0" maxLength="100" gradient="0">
              <x14:cfvo type="autoMin"/>
              <x14:cfvo type="autoMax"/>
              <x14:negativeFillColor rgb="FFFF0000"/>
              <x14:axisColor rgb="FF000000"/>
            </x14:dataBar>
          </x14:cfRule>
          <xm:sqref>E43:E44</xm:sqref>
        </x14:conditionalFormatting>
        <x14:conditionalFormatting xmlns:xm="http://schemas.microsoft.com/office/excel/2006/main">
          <x14:cfRule type="dataBar" id="{B1CB6226-279B-459C-927D-BFD388081947}">
            <x14:dataBar minLength="0" maxLength="100" gradient="0">
              <x14:cfvo type="autoMin"/>
              <x14:cfvo type="autoMax"/>
              <x14:negativeFillColor rgb="FFFF0000"/>
              <x14:axisColor rgb="FF000000"/>
            </x14:dataBar>
          </x14:cfRule>
          <xm:sqref>G52:G62</xm:sqref>
        </x14:conditionalFormatting>
        <x14:conditionalFormatting xmlns:xm="http://schemas.microsoft.com/office/excel/2006/main">
          <x14:cfRule type="dataBar" id="{228E5DE6-E2F4-4C8A-98CD-1A1D7BFFD471}">
            <x14:dataBar minLength="0" maxLength="100" gradient="0">
              <x14:cfvo type="autoMin"/>
              <x14:cfvo type="autoMax"/>
              <x14:negativeFillColor rgb="FFFF0000"/>
              <x14:axisColor rgb="FF000000"/>
            </x14:dataBar>
          </x14:cfRule>
          <xm:sqref>I52:I63</xm:sqref>
        </x14:conditionalFormatting>
        <x14:conditionalFormatting xmlns:xm="http://schemas.microsoft.com/office/excel/2006/main">
          <x14:cfRule type="dataBar" id="{B70A2650-CC59-45D5-8122-98580897E9EC}">
            <x14:dataBar minLength="0" maxLength="100" gradient="0">
              <x14:cfvo type="autoMin"/>
              <x14:cfvo type="autoMax"/>
              <x14:negativeFillColor rgb="FFFF0000"/>
              <x14:axisColor rgb="FF000000"/>
            </x14:dataBar>
          </x14:cfRule>
          <xm:sqref>O48:O62</xm:sqref>
        </x14:conditionalFormatting>
        <x14:conditionalFormatting xmlns:xm="http://schemas.microsoft.com/office/excel/2006/main">
          <x14:cfRule type="dataBar" id="{C58DE780-5743-4ABE-9C62-E061E527A562}">
            <x14:dataBar minLength="0" maxLength="100" gradient="0">
              <x14:cfvo type="autoMin"/>
              <x14:cfvo type="autoMax"/>
              <x14:negativeFillColor rgb="FFFF0000"/>
              <x14:axisColor rgb="FF000000"/>
            </x14:dataBar>
          </x14:cfRule>
          <xm:sqref>I48:I51</xm:sqref>
        </x14:conditionalFormatting>
        <x14:conditionalFormatting xmlns:xm="http://schemas.microsoft.com/office/excel/2006/main">
          <x14:cfRule type="dataBar" id="{EE8ADB54-D675-4D4C-84FA-9F148629BC0B}">
            <x14:dataBar minLength="0" maxLength="100" gradient="0">
              <x14:cfvo type="autoMin"/>
              <x14:cfvo type="autoMax"/>
              <x14:negativeFillColor rgb="FFFF0000"/>
              <x14:axisColor rgb="FF000000"/>
            </x14:dataBar>
          </x14:cfRule>
          <xm:sqref>G48:G50</xm:sqref>
        </x14:conditionalFormatting>
        <x14:conditionalFormatting xmlns:xm="http://schemas.microsoft.com/office/excel/2006/main">
          <x14:cfRule type="dataBar" id="{BCEF259C-17B5-4DBA-9E0A-6341812C19F7}">
            <x14:dataBar minLength="0" maxLength="100" gradient="0">
              <x14:cfvo type="autoMin"/>
              <x14:cfvo type="autoMax"/>
              <x14:negativeFillColor rgb="FFFF0000"/>
              <x14:axisColor rgb="FF000000"/>
            </x14:dataBar>
          </x14:cfRule>
          <xm:sqref>E48</xm:sqref>
        </x14:conditionalFormatting>
        <x14:conditionalFormatting xmlns:xm="http://schemas.microsoft.com/office/excel/2006/main">
          <x14:cfRule type="dataBar" id="{0D1BF694-02A2-4CF0-9BE5-BB226AB0609D}">
            <x14:dataBar minLength="0" maxLength="100" gradient="0">
              <x14:cfvo type="autoMin"/>
              <x14:cfvo type="autoMax"/>
              <x14:negativeFillColor rgb="FFFF0000"/>
              <x14:axisColor rgb="FF000000"/>
            </x14:dataBar>
          </x14:cfRule>
          <xm:sqref>E48:E49</xm:sqref>
        </x14:conditionalFormatting>
        <x14:conditionalFormatting xmlns:xm="http://schemas.microsoft.com/office/excel/2006/main">
          <x14:cfRule type="dataBar" id="{0EF3BDB2-040A-468C-BE75-49CD7A09AD2A}">
            <x14:dataBar minLength="0" maxLength="100" gradient="0">
              <x14:cfvo type="autoMin"/>
              <x14:cfvo type="autoMax"/>
              <x14:negativeFillColor rgb="FFFF0000"/>
              <x14:axisColor rgb="FF000000"/>
            </x14:dataBar>
          </x14:cfRule>
          <xm:sqref>I48:I63</xm:sqref>
        </x14:conditionalFormatting>
        <x14:conditionalFormatting xmlns:xm="http://schemas.microsoft.com/office/excel/2006/main">
          <x14:cfRule type="dataBar" id="{D64561AE-A5FB-4194-B8EA-6A30C3AFFDFC}">
            <x14:dataBar minLength="0" maxLength="100" gradient="0">
              <x14:cfvo type="autoMin"/>
              <x14:cfvo type="autoMax"/>
              <x14:negativeFillColor rgb="FFFF0000"/>
              <x14:axisColor rgb="FF000000"/>
            </x14:dataBar>
          </x14:cfRule>
          <xm:sqref>O93:O97</xm:sqref>
        </x14:conditionalFormatting>
        <x14:conditionalFormatting xmlns:xm="http://schemas.microsoft.com/office/excel/2006/main">
          <x14:cfRule type="dataBar" id="{C665D090-1DDD-449C-AF69-C763930DDACB}">
            <x14:dataBar minLength="0" maxLength="100" gradient="0">
              <x14:cfvo type="autoMin"/>
              <x14:cfvo type="autoMax"/>
              <x14:negativeFillColor rgb="FFFF0000"/>
              <x14:axisColor rgb="FF000000"/>
            </x14:dataBar>
          </x14:cfRule>
          <xm:sqref>I93:I98</xm:sqref>
        </x14:conditionalFormatting>
        <x14:conditionalFormatting xmlns:xm="http://schemas.microsoft.com/office/excel/2006/main">
          <x14:cfRule type="dataBar" id="{362A52E3-6DE4-49C4-AF32-27FA68F759A4}">
            <x14:dataBar minLength="0" maxLength="100" gradient="0">
              <x14:cfvo type="autoMin"/>
              <x14:cfvo type="autoMax"/>
              <x14:negativeFillColor rgb="FFFF0000"/>
              <x14:axisColor rgb="FF000000"/>
            </x14:dataBar>
          </x14:cfRule>
          <xm:sqref>G93:G98</xm:sqref>
        </x14:conditionalFormatting>
        <x14:conditionalFormatting xmlns:xm="http://schemas.microsoft.com/office/excel/2006/main">
          <x14:cfRule type="dataBar" id="{1F7E9A32-2A21-4C5C-BDEC-5222FB5B49CE}">
            <x14:dataBar minLength="0" maxLength="100" gradient="0">
              <x14:cfvo type="autoMin"/>
              <x14:cfvo type="autoMax"/>
              <x14:negativeFillColor rgb="FFFF0000"/>
              <x14:axisColor rgb="FF000000"/>
            </x14:dataBar>
          </x14:cfRule>
          <xm:sqref>E93:E97</xm:sqref>
        </x14:conditionalFormatting>
        <x14:conditionalFormatting xmlns:xm="http://schemas.microsoft.com/office/excel/2006/main">
          <x14:cfRule type="dataBar" id="{ADE37E52-C982-4A87-A797-0A33D85333CB}">
            <x14:dataBar minLength="0" maxLength="100" gradient="0">
              <x14:cfvo type="autoMin"/>
              <x14:cfvo type="autoMax"/>
              <x14:negativeFillColor rgb="FFFF0000"/>
              <x14:axisColor rgb="FF000000"/>
            </x14:dataBar>
          </x14:cfRule>
          <xm:sqref>O101:O105</xm:sqref>
        </x14:conditionalFormatting>
        <x14:conditionalFormatting xmlns:xm="http://schemas.microsoft.com/office/excel/2006/main">
          <x14:cfRule type="dataBar" id="{B5F3179E-ECD5-43D7-A52E-2FAD5511CA21}">
            <x14:dataBar minLength="0" maxLength="100" gradient="0">
              <x14:cfvo type="autoMin"/>
              <x14:cfvo type="autoMax"/>
              <x14:negativeFillColor rgb="FFFF0000"/>
              <x14:axisColor rgb="FF000000"/>
            </x14:dataBar>
          </x14:cfRule>
          <xm:sqref>G101:G105</xm:sqref>
        </x14:conditionalFormatting>
        <x14:conditionalFormatting xmlns:xm="http://schemas.microsoft.com/office/excel/2006/main">
          <x14:cfRule type="dataBar" id="{FF264C57-233C-445A-A885-2E99C06D467A}">
            <x14:dataBar minLength="0" maxLength="100" gradient="0">
              <x14:cfvo type="autoMin"/>
              <x14:cfvo type="autoMax"/>
              <x14:negativeFillColor rgb="FFFF0000"/>
              <x14:axisColor rgb="FF000000"/>
            </x14:dataBar>
          </x14:cfRule>
          <xm:sqref>E48:E66</xm:sqref>
        </x14:conditionalFormatting>
        <x14:conditionalFormatting xmlns:xm="http://schemas.microsoft.com/office/excel/2006/main">
          <x14:cfRule type="dataBar" id="{BEB15FB9-7E92-440F-880E-F9F3D2D11B86}">
            <x14:dataBar minLength="0" maxLength="100" gradient="0">
              <x14:cfvo type="autoMin"/>
              <x14:cfvo type="autoMax"/>
              <x14:negativeFillColor rgb="FFFF0000"/>
              <x14:axisColor rgb="FF000000"/>
            </x14:dataBar>
          </x14:cfRule>
          <x14:cfRule type="dataBar" id="{C5F2FC62-27AE-4EFF-81E3-8980AEF10BBD}">
            <x14:dataBar minLength="0" maxLength="100" gradient="0">
              <x14:cfvo type="autoMin"/>
              <x14:cfvo type="autoMax"/>
              <x14:negativeFillColor rgb="FFFF0000"/>
              <x14:axisColor rgb="FF000000"/>
            </x14:dataBar>
          </x14:cfRule>
          <x14:cfRule type="dataBar" id="{A3717326-CA2D-46AD-9E21-B2F183F942B1}">
            <x14:dataBar minLength="0" maxLength="100" gradient="0">
              <x14:cfvo type="autoMin"/>
              <x14:cfvo type="autoMax"/>
              <x14:negativeFillColor rgb="FFFF0000"/>
              <x14:axisColor rgb="FF000000"/>
            </x14:dataBar>
          </x14:cfRule>
          <xm:sqref>M88:M91</xm:sqref>
        </x14:conditionalFormatting>
        <x14:conditionalFormatting xmlns:xm="http://schemas.microsoft.com/office/excel/2006/main">
          <x14:cfRule type="dataBar" id="{0C16BF3C-6005-413D-85F7-C81F8FDA0C58}">
            <x14:dataBar minLength="0" maxLength="100" gradient="0">
              <x14:cfvo type="autoMin"/>
              <x14:cfvo type="autoMax"/>
              <x14:negativeFillColor rgb="FFFF0000"/>
              <x14:axisColor rgb="FF000000"/>
            </x14:dataBar>
          </x14:cfRule>
          <x14:cfRule type="dataBar" id="{F30E4520-06D8-46E7-B7E5-A0648457E3E1}">
            <x14:dataBar minLength="0" maxLength="100" gradient="0">
              <x14:cfvo type="autoMin"/>
              <x14:cfvo type="autoMax"/>
              <x14:negativeFillColor rgb="FFFF0000"/>
              <x14:axisColor rgb="FF000000"/>
            </x14:dataBar>
          </x14:cfRule>
          <x14:cfRule type="dataBar" id="{33FB807F-B661-4E18-BCA0-65C62009579C}">
            <x14:dataBar minLength="0" maxLength="100" gradient="0">
              <x14:cfvo type="autoMin"/>
              <x14:cfvo type="autoMax"/>
              <x14:negativeFillColor rgb="FFFF0000"/>
              <x14:axisColor rgb="FF000000"/>
            </x14:dataBar>
          </x14:cfRule>
          <xm:sqref>O68:O91</xm:sqref>
        </x14:conditionalFormatting>
        <x14:conditionalFormatting xmlns:xm="http://schemas.microsoft.com/office/excel/2006/main">
          <x14:cfRule type="dataBar" id="{484C6C81-27C0-47AC-A74C-342A665CDA6D}">
            <x14:dataBar minLength="0" maxLength="100" gradient="0">
              <x14:cfvo type="autoMin"/>
              <x14:cfvo type="autoMax"/>
              <x14:negativeFillColor rgb="FFFF0000"/>
              <x14:axisColor rgb="FF000000"/>
            </x14:dataBar>
          </x14:cfRule>
          <xm:sqref>O68:O91</xm:sqref>
        </x14:conditionalFormatting>
        <x14:conditionalFormatting xmlns:xm="http://schemas.microsoft.com/office/excel/2006/main">
          <x14:cfRule type="dataBar" id="{962189FE-7CD9-40F1-8E78-6CB9F1C3DC37}">
            <x14:dataBar minLength="0" maxLength="100" gradient="0">
              <x14:cfvo type="autoMin"/>
              <x14:cfvo type="autoMax"/>
              <x14:negativeFillColor rgb="FFFF0000"/>
              <x14:axisColor rgb="FF000000"/>
            </x14:dataBar>
          </x14:cfRule>
          <xm:sqref>E68:E90</xm:sqref>
        </x14:conditionalFormatting>
        <x14:conditionalFormatting xmlns:xm="http://schemas.microsoft.com/office/excel/2006/main">
          <x14:cfRule type="dataBar" id="{92202A6B-E00C-4CD2-AB94-86639B3C8795}">
            <x14:dataBar minLength="0" maxLength="100" gradient="0">
              <x14:cfvo type="autoMin"/>
              <x14:cfvo type="autoMax"/>
              <x14:negativeFillColor rgb="FFFF0000"/>
              <x14:axisColor rgb="FF000000"/>
            </x14:dataBar>
          </x14:cfRule>
          <xm:sqref>I68:I86</xm:sqref>
        </x14:conditionalFormatting>
        <x14:conditionalFormatting xmlns:xm="http://schemas.microsoft.com/office/excel/2006/main">
          <x14:cfRule type="dataBar" id="{619C3046-4085-4FC2-8CD7-C881369852D7}">
            <x14:dataBar minLength="0" maxLength="100" gradient="0">
              <x14:cfvo type="autoMin"/>
              <x14:cfvo type="autoMax"/>
              <x14:negativeFillColor rgb="FFFF0000"/>
              <x14:axisColor rgb="FF000000"/>
            </x14:dataBar>
          </x14:cfRule>
          <xm:sqref>G68:G87</xm:sqref>
        </x14:conditionalFormatting>
        <x14:conditionalFormatting xmlns:xm="http://schemas.microsoft.com/office/excel/2006/main">
          <x14:cfRule type="dataBar" id="{18243FCE-CDF8-461F-883E-C0A9616B1C68}">
            <x14:dataBar minLength="0" maxLength="100" gradient="0">
              <x14:cfvo type="autoMin"/>
              <x14:cfvo type="autoMax"/>
              <x14:negativeFillColor rgb="FFFF0000"/>
              <x14:axisColor rgb="FF000000"/>
            </x14:dataBar>
          </x14:cfRule>
          <xm:sqref>O68:O87</xm:sqref>
        </x14:conditionalFormatting>
        <x14:conditionalFormatting xmlns:xm="http://schemas.microsoft.com/office/excel/2006/main">
          <x14:cfRule type="dataBar" id="{6306D3F2-3FF3-43C6-98FE-985BD0D60F42}">
            <x14:dataBar minLength="0" maxLength="100" gradient="0">
              <x14:cfvo type="autoMin"/>
              <x14:cfvo type="autoMax"/>
              <x14:negativeFillColor rgb="FFFF0000"/>
              <x14:axisColor rgb="FF000000"/>
            </x14:dataBar>
          </x14:cfRule>
          <xm:sqref>E101:E105</xm:sqref>
        </x14:conditionalFormatting>
        <x14:conditionalFormatting xmlns:xm="http://schemas.microsoft.com/office/excel/2006/main">
          <x14:cfRule type="dataBar" id="{720354EC-B41E-42E0-B9D7-E8E3E311503F}">
            <x14:dataBar minLength="0" maxLength="100" gradient="0">
              <x14:cfvo type="autoMin"/>
              <x14:cfvo type="autoMax"/>
              <x14:negativeFillColor rgb="FFFF0000"/>
              <x14:axisColor rgb="FF000000"/>
            </x14:dataBar>
          </x14:cfRule>
          <x14:cfRule type="dataBar" id="{C61201C7-6EAA-4ABE-9B36-4D966F31D9ED}">
            <x14:dataBar minLength="0" maxLength="100" gradient="0">
              <x14:cfvo type="autoMin"/>
              <x14:cfvo type="autoMax"/>
              <x14:negativeFillColor rgb="FFFF0000"/>
              <x14:axisColor rgb="FF000000"/>
            </x14:dataBar>
          </x14:cfRule>
          <x14:cfRule type="dataBar" id="{8F3153DB-C299-4F0E-9A15-725F997EFF78}">
            <x14:dataBar minLength="0" maxLength="100" gradient="0">
              <x14:cfvo type="autoMin"/>
              <x14:cfvo type="autoMax"/>
              <x14:negativeFillColor rgb="FFFF0000"/>
              <x14:axisColor rgb="FF000000"/>
            </x14:dataBar>
          </x14:cfRule>
          <xm:sqref>O109:O121</xm:sqref>
        </x14:conditionalFormatting>
        <x14:conditionalFormatting xmlns:xm="http://schemas.microsoft.com/office/excel/2006/main">
          <x14:cfRule type="dataBar" id="{A9293CA8-B2F3-4FDB-89EF-6754FD848998}">
            <x14:dataBar minLength="0" maxLength="100" gradient="0">
              <x14:cfvo type="autoMin"/>
              <x14:cfvo type="autoMax"/>
              <x14:negativeFillColor rgb="FFFF0000"/>
              <x14:axisColor rgb="FF000000"/>
            </x14:dataBar>
          </x14:cfRule>
          <xm:sqref>O109:O121</xm:sqref>
        </x14:conditionalFormatting>
        <x14:conditionalFormatting xmlns:xm="http://schemas.microsoft.com/office/excel/2006/main">
          <x14:cfRule type="dataBar" id="{A9949DDE-F193-4EE5-8448-7DDE47E7F7E5}">
            <x14:dataBar minLength="0" maxLength="100" gradient="0">
              <x14:cfvo type="autoMin"/>
              <x14:cfvo type="autoMax"/>
              <x14:negativeFillColor rgb="FFFF0000"/>
              <x14:axisColor rgb="FF000000"/>
            </x14:dataBar>
          </x14:cfRule>
          <xm:sqref>O109:O121</xm:sqref>
        </x14:conditionalFormatting>
        <x14:conditionalFormatting xmlns:xm="http://schemas.microsoft.com/office/excel/2006/main">
          <x14:cfRule type="dataBar" id="{D0CB88AB-86AC-4FD6-971B-DF0E154412AC}">
            <x14:dataBar minLength="0" maxLength="100" gradient="0">
              <x14:cfvo type="autoMin"/>
              <x14:cfvo type="autoMax"/>
              <x14:negativeFillColor rgb="FFFF0000"/>
              <x14:axisColor rgb="FF000000"/>
            </x14:dataBar>
          </x14:cfRule>
          <xm:sqref>G109:G118</xm:sqref>
        </x14:conditionalFormatting>
        <x14:conditionalFormatting xmlns:xm="http://schemas.microsoft.com/office/excel/2006/main">
          <x14:cfRule type="dataBar" id="{A0CF7406-2C91-4DAA-8378-83072A5A6E03}">
            <x14:dataBar minLength="0" maxLength="100" gradient="0">
              <x14:cfvo type="autoMin"/>
              <x14:cfvo type="autoMax"/>
              <x14:negativeFillColor rgb="FFFF0000"/>
              <x14:axisColor rgb="FF000000"/>
            </x14:dataBar>
          </x14:cfRule>
          <xm:sqref>E109:E121</xm:sqref>
        </x14:conditionalFormatting>
        <x14:conditionalFormatting xmlns:xm="http://schemas.microsoft.com/office/excel/2006/main">
          <x14:cfRule type="dataBar" id="{B0193C74-DE39-4A2A-8379-A7CE3C435862}">
            <x14:dataBar minLength="0" maxLength="100" gradient="0">
              <x14:cfvo type="autoMin"/>
              <x14:cfvo type="autoMax"/>
              <x14:negativeFillColor rgb="FFFF0000"/>
              <x14:axisColor rgb="FF000000"/>
            </x14:dataBar>
          </x14:cfRule>
          <x14:cfRule type="dataBar" id="{5E6805FC-C509-40A0-8676-12E3A50EE87E}">
            <x14:dataBar minLength="0" maxLength="100" gradient="0">
              <x14:cfvo type="autoMin"/>
              <x14:cfvo type="autoMax"/>
              <x14:negativeFillColor rgb="FFFF0000"/>
              <x14:axisColor rgb="FF000000"/>
            </x14:dataBar>
          </x14:cfRule>
          <x14:cfRule type="dataBar" id="{DF69C629-C251-4AC0-BF9C-EC3C97171ECD}">
            <x14:dataBar minLength="0" maxLength="100" gradient="0">
              <x14:cfvo type="autoMin"/>
              <x14:cfvo type="autoMax"/>
              <x14:negativeFillColor rgb="FFFF0000"/>
              <x14:axisColor rgb="FF000000"/>
            </x14:dataBar>
          </x14:cfRule>
          <xm:sqref>M139:M140</xm:sqref>
        </x14:conditionalFormatting>
        <x14:conditionalFormatting xmlns:xm="http://schemas.microsoft.com/office/excel/2006/main">
          <x14:cfRule type="dataBar" id="{CE807A64-FE7C-4812-B30E-7D399C1B7BF3}">
            <x14:dataBar minLength="0" maxLength="100" gradient="0">
              <x14:cfvo type="autoMin"/>
              <x14:cfvo type="autoMax"/>
              <x14:negativeFillColor rgb="FFFF0000"/>
              <x14:axisColor rgb="FF000000"/>
            </x14:dataBar>
          </x14:cfRule>
          <x14:cfRule type="dataBar" id="{FC55C6F3-9C6C-4CC5-98F8-298638CBA550}">
            <x14:dataBar minLength="0" maxLength="100" gradient="0">
              <x14:cfvo type="autoMin"/>
              <x14:cfvo type="autoMax"/>
              <x14:negativeFillColor rgb="FFFF0000"/>
              <x14:axisColor rgb="FF000000"/>
            </x14:dataBar>
          </x14:cfRule>
          <x14:cfRule type="dataBar" id="{BB3F43A3-2993-4CA9-90A3-1E3444C41525}">
            <x14:dataBar minLength="0" maxLength="100" gradient="0">
              <x14:cfvo type="autoMin"/>
              <x14:cfvo type="autoMax"/>
              <x14:negativeFillColor rgb="FFFF0000"/>
              <x14:axisColor rgb="FF000000"/>
            </x14:dataBar>
          </x14:cfRule>
          <xm:sqref>O139:O140</xm:sqref>
        </x14:conditionalFormatting>
        <x14:conditionalFormatting xmlns:xm="http://schemas.microsoft.com/office/excel/2006/main">
          <x14:cfRule type="dataBar" id="{9DA96027-E64D-463C-88E1-DE90869FB8BF}">
            <x14:dataBar minLength="0" maxLength="100" gradient="0">
              <x14:cfvo type="autoMin"/>
              <x14:cfvo type="autoMax"/>
              <x14:negativeFillColor rgb="FFFF0000"/>
              <x14:axisColor rgb="FF000000"/>
            </x14:dataBar>
          </x14:cfRule>
          <xm:sqref>O139:O140</xm:sqref>
        </x14:conditionalFormatting>
        <x14:conditionalFormatting xmlns:xm="http://schemas.microsoft.com/office/excel/2006/main">
          <x14:cfRule type="dataBar" id="{3E415595-80A1-40B0-B1BD-3EFFB36A6F49}">
            <x14:dataBar minLength="0" maxLength="100" gradient="0">
              <x14:cfvo type="autoMin"/>
              <x14:cfvo type="autoMax"/>
              <x14:negativeFillColor rgb="FFFF0000"/>
              <x14:axisColor rgb="FF000000"/>
            </x14:dataBar>
          </x14:cfRule>
          <x14:cfRule type="dataBar" id="{C6822D92-FEC0-45AF-8AFD-B69B0219AFCE}">
            <x14:dataBar minLength="0" maxLength="100" gradient="0">
              <x14:cfvo type="autoMin"/>
              <x14:cfvo type="autoMax"/>
              <x14:negativeFillColor rgb="FFFF0000"/>
              <x14:axisColor rgb="FF000000"/>
            </x14:dataBar>
          </x14:cfRule>
          <x14:cfRule type="dataBar" id="{449DC78B-1727-47AF-8D7C-2D89471C297D}">
            <x14:dataBar minLength="0" maxLength="100" gradient="0">
              <x14:cfvo type="autoMin"/>
              <x14:cfvo type="autoMax"/>
              <x14:negativeFillColor rgb="FFFF0000"/>
              <x14:axisColor rgb="FF000000"/>
            </x14:dataBar>
          </x14:cfRule>
          <xm:sqref>O126:O138</xm:sqref>
        </x14:conditionalFormatting>
        <x14:conditionalFormatting xmlns:xm="http://schemas.microsoft.com/office/excel/2006/main">
          <x14:cfRule type="dataBar" id="{9DF7A1E6-3B5A-468E-A061-946D168E708B}">
            <x14:dataBar minLength="0" maxLength="100" gradient="0">
              <x14:cfvo type="autoMin"/>
              <x14:cfvo type="autoMax"/>
              <x14:negativeFillColor rgb="FFFF0000"/>
              <x14:axisColor rgb="FF000000"/>
            </x14:dataBar>
          </x14:cfRule>
          <xm:sqref>O126:O138</xm:sqref>
        </x14:conditionalFormatting>
        <x14:conditionalFormatting xmlns:xm="http://schemas.microsoft.com/office/excel/2006/main">
          <x14:cfRule type="dataBar" id="{F7192A44-536A-4532-999B-A72CBCBE1A75}">
            <x14:dataBar minLength="0" maxLength="100" gradient="0">
              <x14:cfvo type="autoMin"/>
              <x14:cfvo type="autoMax"/>
              <x14:negativeFillColor rgb="FFFF0000"/>
              <x14:axisColor rgb="FF000000"/>
            </x14:dataBar>
          </x14:cfRule>
          <xm:sqref>O126:O138</xm:sqref>
        </x14:conditionalFormatting>
        <x14:conditionalFormatting xmlns:xm="http://schemas.microsoft.com/office/excel/2006/main">
          <x14:cfRule type="dataBar" id="{ED750E8E-6664-40EF-9BE0-3A2183C3A5D2}">
            <x14:dataBar minLength="0" maxLength="100" gradient="0">
              <x14:cfvo type="autoMin"/>
              <x14:cfvo type="autoMax"/>
              <x14:negativeFillColor rgb="FFFF0000"/>
              <x14:axisColor rgb="FF000000"/>
            </x14:dataBar>
          </x14:cfRule>
          <xm:sqref>G126:G138</xm:sqref>
        </x14:conditionalFormatting>
        <x14:conditionalFormatting xmlns:xm="http://schemas.microsoft.com/office/excel/2006/main">
          <x14:cfRule type="dataBar" id="{6141DA7D-CA90-49CF-8A4E-C5D4AB69D1EC}">
            <x14:dataBar minLength="0" maxLength="100" gradient="0">
              <x14:cfvo type="autoMin"/>
              <x14:cfvo type="autoMax"/>
              <x14:negativeFillColor rgb="FFFF0000"/>
              <x14:axisColor rgb="FF000000"/>
            </x14:dataBar>
          </x14:cfRule>
          <xm:sqref>E126:E138</xm:sqref>
        </x14:conditionalFormatting>
        <x14:conditionalFormatting xmlns:xm="http://schemas.microsoft.com/office/excel/2006/main">
          <x14:cfRule type="dataBar" id="{F5E5F3C1-EC09-40CD-99A9-6E781DA158D2}">
            <x14:dataBar minLength="0" maxLength="100" gradient="0">
              <x14:cfvo type="autoMin"/>
              <x14:cfvo type="autoMax"/>
              <x14:negativeFillColor rgb="FFFF0000"/>
              <x14:axisColor rgb="FF000000"/>
            </x14:dataBar>
          </x14:cfRule>
          <x14:cfRule type="dataBar" id="{EAD9E6BD-328F-4C7D-A70B-A0F70D2D0CB4}">
            <x14:dataBar minLength="0" maxLength="100" gradient="0">
              <x14:cfvo type="autoMin"/>
              <x14:cfvo type="autoMax"/>
              <x14:negativeFillColor rgb="FFFF0000"/>
              <x14:axisColor rgb="FF000000"/>
            </x14:dataBar>
          </x14:cfRule>
          <x14:cfRule type="dataBar" id="{EC555536-19B2-4156-BF63-504933BBB2F4}">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9315D0FD-E6C9-4471-9779-AFD1406B2189}">
            <x14:dataBar minLength="0" maxLength="100" gradient="0">
              <x14:cfvo type="autoMin"/>
              <x14:cfvo type="autoMax"/>
              <x14:negativeFillColor rgb="FFFF0000"/>
              <x14:axisColor rgb="FF000000"/>
            </x14:dataBar>
          </x14:cfRule>
          <x14:cfRule type="dataBar" id="{D4DE24CE-F66E-4BB0-9B1D-84863F81351E}">
            <x14:dataBar minLength="0" maxLength="100" gradient="0">
              <x14:cfvo type="autoMin"/>
              <x14:cfvo type="autoMax"/>
              <x14:negativeFillColor rgb="FFFF0000"/>
              <x14:axisColor rgb="FF000000"/>
            </x14:dataBar>
          </x14:cfRule>
          <x14:cfRule type="dataBar" id="{2380DC18-8452-40F6-9C5C-AF5AF0721621}">
            <x14:dataBar minLength="0" maxLength="100" gradient="0">
              <x14:cfvo type="autoMin"/>
              <x14:cfvo type="autoMax"/>
              <x14:negativeFillColor rgb="FFFF0000"/>
              <x14:axisColor rgb="FF000000"/>
            </x14:dataBar>
          </x14:cfRule>
          <xm:sqref>O33</xm:sqref>
        </x14:conditionalFormatting>
        <x14:conditionalFormatting xmlns:xm="http://schemas.microsoft.com/office/excel/2006/main">
          <x14:cfRule type="dataBar" id="{DB44959F-F39E-4E81-9D6F-7847E25E6081}">
            <x14:dataBar minLength="0" maxLength="100" gradient="0">
              <x14:cfvo type="autoMin"/>
              <x14:cfvo type="autoMax"/>
              <x14:negativeFillColor rgb="FFFF0000"/>
              <x14:axisColor rgb="FF000000"/>
            </x14:dataBar>
          </x14:cfRule>
          <xm:sqref>O10 O124 O33 O42 O47 O67 O92 O100 O108</xm:sqref>
        </x14:conditionalFormatting>
        <x14:conditionalFormatting xmlns:xm="http://schemas.microsoft.com/office/excel/2006/main">
          <x14:cfRule type="dataBar" id="{29785632-D310-4B1F-BFC6-C1EAB13573F5}">
            <x14:dataBar minLength="0" maxLength="100" gradient="0">
              <x14:cfvo type="autoMin"/>
              <x14:cfvo type="autoMax"/>
              <x14:negativeFillColor rgb="FFFF0000"/>
              <x14:axisColor rgb="FF000000"/>
            </x14:dataBar>
          </x14:cfRule>
          <xm:sqref>I126:I140</xm:sqref>
        </x14:conditionalFormatting>
        <x14:conditionalFormatting xmlns:xm="http://schemas.microsoft.com/office/excel/2006/main">
          <x14:cfRule type="dataBar" id="{B9EFC6B0-8D67-405D-96EE-C2AC1197B486}">
            <x14:dataBar minLength="0" maxLength="100" gradient="0">
              <x14:cfvo type="autoMin"/>
              <x14:cfvo type="autoMax"/>
              <x14:negativeFillColor rgb="FFFF0000"/>
              <x14:axisColor rgb="FF000000"/>
            </x14:dataBar>
          </x14:cfRule>
          <x14:cfRule type="dataBar" id="{4C7FD9D1-D1BC-49FD-A191-406A6F7D0CA1}">
            <x14:dataBar minLength="0" maxLength="100" gradient="0">
              <x14:cfvo type="autoMin"/>
              <x14:cfvo type="autoMax"/>
              <x14:negativeFillColor rgb="FFFF0000"/>
              <x14:axisColor rgb="FF000000"/>
            </x14:dataBar>
          </x14:cfRule>
          <x14:cfRule type="dataBar" id="{D7C01E64-20EA-4B4E-AC40-F26BFA59B763}">
            <x14:dataBar minLength="0" maxLength="100" gradient="0">
              <x14:cfvo type="autoMin"/>
              <x14:cfvo type="autoMax"/>
              <x14:negativeFillColor rgb="FFFF0000"/>
              <x14:axisColor rgb="FF000000"/>
            </x14:dataBar>
          </x14:cfRule>
          <xm:sqref>O142:O164</xm:sqref>
        </x14:conditionalFormatting>
        <x14:conditionalFormatting xmlns:xm="http://schemas.microsoft.com/office/excel/2006/main">
          <x14:cfRule type="dataBar" id="{D7A63687-2D53-45CA-B2B4-852D0114D96D}">
            <x14:dataBar minLength="0" maxLength="100" gradient="0">
              <x14:cfvo type="autoMin"/>
              <x14:cfvo type="autoMax"/>
              <x14:negativeFillColor rgb="FFFF0000"/>
              <x14:axisColor rgb="FF000000"/>
            </x14:dataBar>
          </x14:cfRule>
          <xm:sqref>O142:O164</xm:sqref>
        </x14:conditionalFormatting>
        <x14:conditionalFormatting xmlns:xm="http://schemas.microsoft.com/office/excel/2006/main">
          <x14:cfRule type="dataBar" id="{96827E69-F675-4FC9-B27B-90FE8CAF98FC}">
            <x14:dataBar minLength="0" maxLength="100" gradient="0">
              <x14:cfvo type="autoMin"/>
              <x14:cfvo type="autoMax"/>
              <x14:negativeFillColor rgb="FFFF0000"/>
              <x14:axisColor rgb="FF000000"/>
            </x14:dataBar>
          </x14:cfRule>
          <xm:sqref>O142:O164</xm:sqref>
        </x14:conditionalFormatting>
        <x14:conditionalFormatting xmlns:xm="http://schemas.microsoft.com/office/excel/2006/main">
          <x14:cfRule type="dataBar" id="{C4BADE31-BFFB-4A37-8AC8-13AFB8ED373E}">
            <x14:dataBar minLength="0" maxLength="100" gradient="0">
              <x14:cfvo type="autoMin"/>
              <x14:cfvo type="autoMax"/>
              <x14:negativeFillColor rgb="FFFF0000"/>
              <x14:axisColor rgb="FF000000"/>
            </x14:dataBar>
          </x14:cfRule>
          <x14:cfRule type="dataBar" id="{B5E425F0-0A4A-49C6-8FD0-F805AFCCCE30}">
            <x14:dataBar minLength="0" maxLength="100" gradient="0">
              <x14:cfvo type="autoMin"/>
              <x14:cfvo type="autoMax"/>
              <x14:negativeFillColor rgb="FFFF0000"/>
              <x14:axisColor rgb="FF000000"/>
            </x14:dataBar>
          </x14:cfRule>
          <x14:cfRule type="dataBar" id="{5663526D-1B9D-46C1-957A-6B04345EF11E}">
            <x14:dataBar minLength="0" maxLength="100" gradient="0">
              <x14:cfvo type="autoMin"/>
              <x14:cfvo type="autoMax"/>
              <x14:negativeFillColor rgb="FFFF0000"/>
              <x14:axisColor rgb="FF000000"/>
            </x14:dataBar>
          </x14:cfRule>
          <xm:sqref>O165</xm:sqref>
        </x14:conditionalFormatting>
        <x14:conditionalFormatting xmlns:xm="http://schemas.microsoft.com/office/excel/2006/main">
          <x14:cfRule type="dataBar" id="{6AC85161-3645-4BA8-B637-9C87188CC42F}">
            <x14:dataBar minLength="0" maxLength="100" gradient="0">
              <x14:cfvo type="autoMin"/>
              <x14:cfvo type="autoMax"/>
              <x14:negativeFillColor rgb="FFFF0000"/>
              <x14:axisColor rgb="FF000000"/>
            </x14:dataBar>
          </x14:cfRule>
          <xm:sqref>O165</xm:sqref>
        </x14:conditionalFormatting>
        <x14:conditionalFormatting xmlns:xm="http://schemas.microsoft.com/office/excel/2006/main">
          <x14:cfRule type="dataBar" id="{39387634-7918-47AA-983F-0B16C654C950}">
            <x14:dataBar minLength="0" maxLength="100" gradient="0">
              <x14:cfvo type="autoMin"/>
              <x14:cfvo type="autoMax"/>
              <x14:negativeFillColor rgb="FFFF0000"/>
              <x14:axisColor rgb="FF000000"/>
            </x14:dataBar>
          </x14:cfRule>
          <xm:sqref>G142:G165</xm:sqref>
        </x14:conditionalFormatting>
        <x14:conditionalFormatting xmlns:xm="http://schemas.microsoft.com/office/excel/2006/main">
          <x14:cfRule type="dataBar" id="{F817CB0D-2B02-46B9-B950-F294776A356D}">
            <x14:dataBar minLength="0" maxLength="100" gradient="0">
              <x14:cfvo type="autoMin"/>
              <x14:cfvo type="autoMax"/>
              <x14:negativeFillColor rgb="FFFF0000"/>
              <x14:axisColor rgb="FF000000"/>
            </x14:dataBar>
          </x14:cfRule>
          <xm:sqref>E142:E165</xm:sqref>
        </x14:conditionalFormatting>
        <x14:conditionalFormatting xmlns:xm="http://schemas.microsoft.com/office/excel/2006/main">
          <x14:cfRule type="dataBar" id="{826AB673-0FA7-446D-9F63-FCF1E628E9AE}">
            <x14:dataBar minLength="0" maxLength="100" gradient="0">
              <x14:cfvo type="autoMin"/>
              <x14:cfvo type="autoMax"/>
              <x14:negativeFillColor rgb="FFFF0000"/>
              <x14:axisColor rgb="FF000000"/>
            </x14:dataBar>
          </x14:cfRule>
          <xm:sqref>I142:I165</xm:sqref>
        </x14:conditionalFormatting>
        <x14:conditionalFormatting xmlns:xm="http://schemas.microsoft.com/office/excel/2006/main">
          <x14:cfRule type="dataBar" id="{FB0C5551-4592-466D-BA66-671260DE8A3C}">
            <x14:dataBar minLength="0" maxLength="100" gradient="0">
              <x14:cfvo type="autoMin"/>
              <x14:cfvo type="autoMax"/>
              <x14:negativeFillColor rgb="FFFF0000"/>
              <x14:axisColor rgb="FF000000"/>
            </x14:dataBar>
          </x14:cfRule>
          <x14:cfRule type="dataBar" id="{D1E38DB7-9BD5-4BBA-A726-6CCBE8FCADCC}">
            <x14:dataBar minLength="0" maxLength="100" gradient="0">
              <x14:cfvo type="autoMin"/>
              <x14:cfvo type="autoMax"/>
              <x14:negativeFillColor rgb="FFFF0000"/>
              <x14:axisColor rgb="FF000000"/>
            </x14:dataBar>
          </x14:cfRule>
          <x14:cfRule type="dataBar" id="{A9941C5B-B3A2-4120-ABD5-D61944696966}">
            <x14:dataBar minLength="0" maxLength="100" gradient="0">
              <x14:cfvo type="autoMin"/>
              <x14:cfvo type="autoMax"/>
              <x14:negativeFillColor rgb="FFFF0000"/>
              <x14:axisColor rgb="FF000000"/>
            </x14:dataBar>
          </x14:cfRule>
          <xm:sqref>M63:M66 M47 M98:M99 M106:M107 M119:M123</xm:sqref>
        </x14:conditionalFormatting>
        <x14:conditionalFormatting xmlns:xm="http://schemas.microsoft.com/office/excel/2006/main">
          <x14:cfRule type="dataBar" id="{EFC3D7AC-EF6F-457C-9D74-999BC3B07C21}">
            <x14:dataBar minLength="0" maxLength="100" gradient="0">
              <x14:cfvo type="autoMin"/>
              <x14:cfvo type="autoMax"/>
              <x14:negativeFillColor rgb="FFFF0000"/>
              <x14:axisColor rgb="FF000000"/>
            </x14:dataBar>
          </x14:cfRule>
          <x14:cfRule type="dataBar" id="{0F80E248-15B7-4476-ADBC-9991B4CC48C2}">
            <x14:dataBar minLength="0" maxLength="100" gradient="0">
              <x14:cfvo type="autoMin"/>
              <x14:cfvo type="autoMax"/>
              <x14:negativeFillColor rgb="FFFF0000"/>
              <x14:axisColor rgb="FF000000"/>
            </x14:dataBar>
          </x14:cfRule>
          <x14:cfRule type="dataBar" id="{485CF677-0131-4392-8474-00BD92B37A63}">
            <x14:dataBar minLength="0" maxLength="100" gradient="0">
              <x14:cfvo type="autoMin"/>
              <x14:cfvo type="autoMax"/>
              <x14:negativeFillColor rgb="FFFF0000"/>
              <x14:axisColor rgb="FF000000"/>
            </x14:dataBar>
          </x14:cfRule>
          <xm:sqref>O63:O66 O47 O93:O99 O101:O107 O122:O123</xm:sqref>
        </x14:conditionalFormatting>
        <x14:conditionalFormatting xmlns:xm="http://schemas.microsoft.com/office/excel/2006/main">
          <x14:cfRule type="dataBar" id="{6581B615-440A-4889-83B6-FA7423705A84}">
            <x14:dataBar minLength="0" maxLength="100" gradient="0">
              <x14:cfvo type="autoMin"/>
              <x14:cfvo type="autoMax"/>
              <x14:negativeFillColor rgb="FFFF0000"/>
              <x14:axisColor rgb="FF000000"/>
            </x14:dataBar>
          </x14:cfRule>
          <xm:sqref>O42 O47 O63:O66 O93:O99 O101:O107 O122:O123 O10 O33</xm:sqref>
        </x14:conditionalFormatting>
        <x14:conditionalFormatting xmlns:xm="http://schemas.microsoft.com/office/excel/2006/main">
          <x14:cfRule type="dataBar" id="{72B67414-7AE0-479E-B590-BD80FCF025B9}">
            <x14:dataBar minLength="0" maxLength="100" gradient="0">
              <x14:cfvo type="autoMin"/>
              <x14:cfvo type="autoMax"/>
              <x14:negativeFillColor rgb="FFFF0000"/>
              <x14:axisColor rgb="FF000000"/>
            </x14:dataBar>
          </x14:cfRule>
          <xm:sqref>I101:I107</xm:sqref>
        </x14:conditionalFormatting>
        <x14:conditionalFormatting xmlns:xm="http://schemas.microsoft.com/office/excel/2006/main">
          <x14:cfRule type="dataBar" id="{01B206C0-172D-4E71-BCD4-7D2C627845C5}">
            <x14:dataBar minLength="0" maxLength="100" gradient="0">
              <x14:cfvo type="autoMin"/>
              <x14:cfvo type="autoMax"/>
              <x14:negativeFillColor rgb="FFFF0000"/>
              <x14:axisColor rgb="FF000000"/>
            </x14:dataBar>
          </x14:cfRule>
          <xm:sqref>I43:I44</xm:sqref>
        </x14:conditionalFormatting>
        <x14:conditionalFormatting xmlns:xm="http://schemas.microsoft.com/office/excel/2006/main">
          <x14:cfRule type="dataBar" id="{0E35E440-FEBB-4DC9-A910-4D43173DF0F4}">
            <x14:dataBar minLength="0" maxLength="100" gradient="0">
              <x14:cfvo type="autoMin"/>
              <x14:cfvo type="autoMax"/>
              <x14:negativeFillColor rgb="FFFF0000"/>
              <x14:axisColor rgb="FF000000"/>
            </x14:dataBar>
          </x14:cfRule>
          <xm:sqref>G48:G62</xm:sqref>
        </x14:conditionalFormatting>
        <x14:conditionalFormatting xmlns:xm="http://schemas.microsoft.com/office/excel/2006/main">
          <x14:cfRule type="dataBar" id="{B1955E1E-BEDE-4114-AD82-D8F3E7BA38FD}">
            <x14:dataBar minLength="0" maxLength="100" gradient="0">
              <x14:cfvo type="autoMin"/>
              <x14:cfvo type="autoMax"/>
              <x14:negativeFillColor rgb="FFFF0000"/>
              <x14:axisColor rgb="FF000000"/>
            </x14:dataBar>
          </x14:cfRule>
          <xm:sqref>I109:I123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58A7-99D7-4E9C-9415-50B2C70B13BA}">
  <sheetPr>
    <tabColor rgb="FFFFC000"/>
  </sheetPr>
  <dimension ref="A1:Q835"/>
  <sheetViews>
    <sheetView topLeftCell="A42" zoomScale="61" zoomScaleNormal="61" workbookViewId="0">
      <selection activeCell="T19" sqref="T19"/>
    </sheetView>
  </sheetViews>
  <sheetFormatPr defaultRowHeight="15" outlineLevelRow="1"/>
  <cols>
    <col min="1" max="1" width="9.28515625" customWidth="1"/>
    <col min="2" max="2" width="14.7109375" customWidth="1"/>
    <col min="3" max="3" width="11" customWidth="1"/>
    <col min="4" max="4" width="37.140625" customWidth="1"/>
    <col min="5" max="5" width="14.28515625" customWidth="1"/>
    <col min="6" max="6" width="31.28515625" customWidth="1"/>
    <col min="7" max="7" width="15.42578125" customWidth="1"/>
    <col min="8" max="8" width="28.28515625" customWidth="1"/>
    <col min="9" max="9" width="16" customWidth="1"/>
    <col min="10" max="10" width="12.85546875" style="6" customWidth="1"/>
    <col min="11" max="11" width="12.28515625" customWidth="1"/>
    <col min="12" max="12" width="9.7109375" customWidth="1"/>
    <col min="13" max="13" width="12.7109375" customWidth="1"/>
    <col min="14" max="14" width="14.5703125" customWidth="1"/>
    <col min="15" max="15" width="12.5703125" customWidth="1"/>
    <col min="16" max="17" width="38.5703125" customWidth="1"/>
  </cols>
  <sheetData>
    <row r="1" spans="1:17" ht="97.5" customHeight="1" thickBot="1">
      <c r="A1" s="29" t="s">
        <v>0</v>
      </c>
      <c r="B1" s="29" t="s">
        <v>1</v>
      </c>
      <c r="C1" s="29" t="s">
        <v>2</v>
      </c>
      <c r="D1" s="30" t="s">
        <v>3</v>
      </c>
      <c r="E1" s="29" t="s">
        <v>4</v>
      </c>
      <c r="F1" s="29" t="s">
        <v>5</v>
      </c>
      <c r="G1" s="29" t="s">
        <v>6</v>
      </c>
      <c r="H1" s="29" t="s">
        <v>49</v>
      </c>
      <c r="I1" s="29" t="s">
        <v>8</v>
      </c>
      <c r="J1" s="176" t="s">
        <v>9</v>
      </c>
      <c r="K1" s="29" t="s">
        <v>10</v>
      </c>
      <c r="L1" s="29" t="s">
        <v>11</v>
      </c>
      <c r="M1" s="29" t="s">
        <v>50</v>
      </c>
      <c r="N1" s="29" t="s">
        <v>13</v>
      </c>
      <c r="O1" s="29" t="s">
        <v>14</v>
      </c>
      <c r="P1" s="3" t="s">
        <v>88</v>
      </c>
      <c r="Q1" s="3" t="s">
        <v>16</v>
      </c>
    </row>
    <row r="2" spans="1:17" ht="18.75" customHeight="1" outlineLevel="1">
      <c r="A2" s="302" t="s">
        <v>307</v>
      </c>
      <c r="B2" s="310" t="s">
        <v>308</v>
      </c>
      <c r="C2" s="116">
        <v>1.4477390444774607</v>
      </c>
      <c r="D2" s="33" t="s">
        <v>309</v>
      </c>
      <c r="E2" s="34">
        <v>6.2600000000000003E-2</v>
      </c>
      <c r="F2" s="33" t="s">
        <v>114</v>
      </c>
      <c r="G2" s="34">
        <v>9.9900099900099903E-2</v>
      </c>
      <c r="H2" s="36" t="s">
        <v>182</v>
      </c>
      <c r="I2" s="35">
        <v>4.9523809523809526E-2</v>
      </c>
      <c r="J2" s="37">
        <v>4</v>
      </c>
      <c r="K2" s="37">
        <v>4</v>
      </c>
      <c r="L2" s="37">
        <v>2</v>
      </c>
      <c r="M2" s="53">
        <v>8</v>
      </c>
      <c r="N2" s="39">
        <v>1</v>
      </c>
      <c r="O2" s="35">
        <v>0.87624403167353793</v>
      </c>
      <c r="P2" s="285" t="s">
        <v>310</v>
      </c>
      <c r="Q2" s="297" t="s">
        <v>311</v>
      </c>
    </row>
    <row r="3" spans="1:17" ht="18.75" customHeight="1" outlineLevel="1">
      <c r="A3" s="303"/>
      <c r="B3" s="310"/>
      <c r="C3" s="31"/>
      <c r="D3" s="33" t="s">
        <v>312</v>
      </c>
      <c r="E3" s="34">
        <v>3.1200000000000002E-2</v>
      </c>
      <c r="F3" s="33" t="s">
        <v>186</v>
      </c>
      <c r="G3" s="34">
        <v>4.9975012493753121E-2</v>
      </c>
      <c r="H3" s="36" t="s">
        <v>187</v>
      </c>
      <c r="I3" s="35">
        <v>4.5169458187696777E-2</v>
      </c>
      <c r="J3" s="37">
        <v>4</v>
      </c>
      <c r="K3" s="37">
        <v>0.64583333333333337</v>
      </c>
      <c r="L3" s="37">
        <v>1</v>
      </c>
      <c r="M3" s="53">
        <v>4</v>
      </c>
      <c r="N3" s="39">
        <v>3</v>
      </c>
      <c r="O3" s="35">
        <v>0.65751145105338193</v>
      </c>
      <c r="P3" s="294"/>
      <c r="Q3" s="286"/>
    </row>
    <row r="4" spans="1:17" ht="18.75" customHeight="1" outlineLevel="1">
      <c r="A4" s="303"/>
      <c r="B4" s="310"/>
      <c r="C4" s="31"/>
      <c r="D4" s="33" t="s">
        <v>124</v>
      </c>
      <c r="E4" s="34">
        <v>3.1200000000000002E-2</v>
      </c>
      <c r="F4" s="33" t="s">
        <v>313</v>
      </c>
      <c r="G4" s="34">
        <v>4.9975012493753121E-2</v>
      </c>
      <c r="H4" s="36" t="s">
        <v>120</v>
      </c>
      <c r="I4" s="35">
        <v>4.5169458187696777E-2</v>
      </c>
      <c r="J4" s="37">
        <v>4</v>
      </c>
      <c r="K4" s="37">
        <v>0.125</v>
      </c>
      <c r="L4" s="37">
        <v>1</v>
      </c>
      <c r="M4" s="53">
        <v>4</v>
      </c>
      <c r="N4" s="39">
        <v>3</v>
      </c>
      <c r="O4" s="35">
        <v>0.65751145105338193</v>
      </c>
      <c r="P4" s="294"/>
      <c r="Q4" s="286"/>
    </row>
    <row r="5" spans="1:17" ht="18.75" customHeight="1" outlineLevel="1">
      <c r="A5" s="303"/>
      <c r="B5" s="310"/>
      <c r="C5" s="31"/>
      <c r="D5" s="33" t="s">
        <v>314</v>
      </c>
      <c r="E5" s="34">
        <v>3.1200000000000002E-2</v>
      </c>
      <c r="F5" s="33" t="s">
        <v>315</v>
      </c>
      <c r="G5" s="34">
        <v>9.9950024987506242E-2</v>
      </c>
      <c r="H5" s="36" t="s">
        <v>123</v>
      </c>
      <c r="I5" s="35">
        <v>4.5169458187696777E-2</v>
      </c>
      <c r="J5" s="37">
        <v>4</v>
      </c>
      <c r="K5" s="37">
        <v>2.9583333333333335</v>
      </c>
      <c r="L5" s="37">
        <v>1</v>
      </c>
      <c r="M5" s="53">
        <v>4</v>
      </c>
      <c r="N5" s="39">
        <v>2</v>
      </c>
      <c r="O5" s="35">
        <v>0.87668193473784262</v>
      </c>
      <c r="P5" s="294"/>
      <c r="Q5" s="286"/>
    </row>
    <row r="6" spans="1:17" ht="18.75" customHeight="1" outlineLevel="1">
      <c r="A6" s="303"/>
      <c r="B6" s="310"/>
      <c r="C6" s="31"/>
      <c r="D6" s="33" t="s">
        <v>198</v>
      </c>
      <c r="E6" s="34">
        <v>6.2400000000000004E-2</v>
      </c>
      <c r="F6" s="33" t="s">
        <v>316</v>
      </c>
      <c r="G6" s="34">
        <v>9.9726256274847644E-2</v>
      </c>
      <c r="H6" s="36" t="s">
        <v>296</v>
      </c>
      <c r="I6" s="35">
        <v>4.5169458187696777E-2</v>
      </c>
      <c r="J6" s="37">
        <v>4</v>
      </c>
      <c r="K6" s="37">
        <v>0.5</v>
      </c>
      <c r="L6" s="37">
        <v>1</v>
      </c>
      <c r="M6" s="53">
        <v>4</v>
      </c>
      <c r="N6" s="39">
        <v>3</v>
      </c>
      <c r="O6" s="35">
        <v>1.3120788209826439</v>
      </c>
      <c r="P6" s="294"/>
      <c r="Q6" s="286"/>
    </row>
    <row r="7" spans="1:17" ht="15" customHeight="1" outlineLevel="1">
      <c r="A7" s="303"/>
      <c r="B7" s="310"/>
      <c r="C7" s="31"/>
      <c r="D7" s="33" t="s">
        <v>317</v>
      </c>
      <c r="E7" s="34">
        <v>3.1300000000000001E-2</v>
      </c>
      <c r="F7" s="33" t="s">
        <v>276</v>
      </c>
      <c r="G7" s="34">
        <v>0.25</v>
      </c>
      <c r="H7" s="36" t="s">
        <v>318</v>
      </c>
      <c r="I7" s="35">
        <v>0.13550837456309031</v>
      </c>
      <c r="J7" s="37">
        <v>5</v>
      </c>
      <c r="K7" s="37">
        <v>10.604166666666666</v>
      </c>
      <c r="L7" s="37">
        <v>3</v>
      </c>
      <c r="M7" s="53">
        <v>15</v>
      </c>
      <c r="N7" s="39">
        <v>3</v>
      </c>
      <c r="O7" s="35">
        <v>12.334503877104535</v>
      </c>
      <c r="P7" s="294"/>
      <c r="Q7" s="286"/>
    </row>
    <row r="8" spans="1:17" ht="16.5" customHeight="1" outlineLevel="1">
      <c r="A8" s="303"/>
      <c r="B8" s="310"/>
      <c r="C8" s="31"/>
      <c r="D8" s="33" t="s">
        <v>319</v>
      </c>
      <c r="E8" s="34">
        <v>3.1200000000000002E-2</v>
      </c>
      <c r="F8" s="33" t="s">
        <v>201</v>
      </c>
      <c r="G8" s="34">
        <v>0.14965134368119443</v>
      </c>
      <c r="H8" s="36" t="s">
        <v>136</v>
      </c>
      <c r="I8" s="35">
        <v>4.5169458187696777E-2</v>
      </c>
      <c r="J8" s="37">
        <v>5</v>
      </c>
      <c r="K8" s="37">
        <v>1.2083333333333333</v>
      </c>
      <c r="L8" s="37">
        <v>1</v>
      </c>
      <c r="M8" s="53">
        <v>5</v>
      </c>
      <c r="N8" s="39">
        <v>2</v>
      </c>
      <c r="O8" s="35">
        <v>1.6407778478663078</v>
      </c>
      <c r="P8" s="294"/>
      <c r="Q8" s="286"/>
    </row>
    <row r="9" spans="1:17" ht="16.5" customHeight="1" outlineLevel="1">
      <c r="A9" s="303"/>
      <c r="B9" s="310"/>
      <c r="C9" s="31"/>
      <c r="D9" s="33" t="s">
        <v>320</v>
      </c>
      <c r="E9" s="34">
        <v>6.2400000000000004E-2</v>
      </c>
      <c r="F9" s="33" t="s">
        <v>138</v>
      </c>
      <c r="G9" s="34">
        <v>4.9975012493753121E-2</v>
      </c>
      <c r="H9" s="36" t="s">
        <v>321</v>
      </c>
      <c r="I9" s="35">
        <v>4.5169458187696777E-2</v>
      </c>
      <c r="J9" s="37">
        <v>4</v>
      </c>
      <c r="K9" s="37">
        <v>1.0208333333333333</v>
      </c>
      <c r="L9" s="37">
        <v>1</v>
      </c>
      <c r="M9" s="53">
        <v>4</v>
      </c>
      <c r="N9" s="39">
        <v>1</v>
      </c>
      <c r="O9" s="35">
        <v>0.21917048368446065</v>
      </c>
      <c r="P9" s="294"/>
      <c r="Q9" s="286"/>
    </row>
    <row r="10" spans="1:17" ht="16.5" customHeight="1" outlineLevel="1">
      <c r="A10" s="303"/>
      <c r="B10" s="310"/>
      <c r="C10" s="31"/>
      <c r="D10" s="33" t="s">
        <v>322</v>
      </c>
      <c r="E10" s="34">
        <v>3.1300000000000001E-2</v>
      </c>
      <c r="F10" s="33" t="s">
        <v>204</v>
      </c>
      <c r="G10" s="34">
        <v>4.9751243781094523E-2</v>
      </c>
      <c r="H10" s="36" t="s">
        <v>142</v>
      </c>
      <c r="I10" s="35">
        <v>9.0483690279841295E-2</v>
      </c>
      <c r="J10" s="37">
        <v>4</v>
      </c>
      <c r="K10" s="37">
        <v>2.3333333333333335</v>
      </c>
      <c r="L10" s="37">
        <v>1</v>
      </c>
      <c r="M10" s="53">
        <v>4</v>
      </c>
      <c r="N10" s="39">
        <v>3</v>
      </c>
      <c r="O10" s="35">
        <v>0.65456736992926223</v>
      </c>
      <c r="P10" s="294"/>
      <c r="Q10" s="286"/>
    </row>
    <row r="11" spans="1:17" ht="16.5" customHeight="1" outlineLevel="1">
      <c r="A11" s="303"/>
      <c r="B11" s="310"/>
      <c r="C11" s="31"/>
      <c r="D11" s="33" t="s">
        <v>134</v>
      </c>
      <c r="E11" s="34">
        <v>6.2400000000000004E-2</v>
      </c>
      <c r="F11" s="33" t="s">
        <v>137</v>
      </c>
      <c r="G11" s="34">
        <v>4.9975012493753121E-2</v>
      </c>
      <c r="H11" s="36" t="s">
        <v>174</v>
      </c>
      <c r="I11" s="35">
        <v>4.5169458187696777E-2</v>
      </c>
      <c r="J11" s="37">
        <v>4</v>
      </c>
      <c r="K11" s="37">
        <v>0.75</v>
      </c>
      <c r="L11" s="37">
        <v>1</v>
      </c>
      <c r="M11" s="53">
        <v>4</v>
      </c>
      <c r="N11" s="39">
        <v>2</v>
      </c>
      <c r="O11" s="35">
        <v>0.43834096736892131</v>
      </c>
      <c r="P11" s="294"/>
      <c r="Q11" s="286"/>
    </row>
    <row r="12" spans="1:17" ht="16.5" customHeight="1" outlineLevel="1">
      <c r="A12" s="303"/>
      <c r="B12" s="310"/>
      <c r="C12" s="31"/>
      <c r="D12" s="33" t="s">
        <v>323</v>
      </c>
      <c r="E12" s="34">
        <v>3.1200000000000002E-2</v>
      </c>
      <c r="F12" s="33" t="s">
        <v>210</v>
      </c>
      <c r="G12" s="34">
        <v>4.9975012493753121E-2</v>
      </c>
      <c r="H12" s="36" t="s">
        <v>324</v>
      </c>
      <c r="I12" s="35">
        <v>9.0338916375393555E-2</v>
      </c>
      <c r="J12" s="37">
        <v>4</v>
      </c>
      <c r="K12" s="37">
        <v>1.7708333333333333</v>
      </c>
      <c r="L12" s="37">
        <v>1</v>
      </c>
      <c r="M12" s="53">
        <v>4</v>
      </c>
      <c r="N12" s="39">
        <v>3</v>
      </c>
      <c r="O12" s="35">
        <v>0.65751145105338193</v>
      </c>
      <c r="P12" s="294"/>
      <c r="Q12" s="286"/>
    </row>
    <row r="13" spans="1:17" ht="16.5" customHeight="1" outlineLevel="1">
      <c r="A13" s="303"/>
      <c r="B13" s="310"/>
      <c r="C13" s="31"/>
      <c r="D13" s="33" t="s">
        <v>233</v>
      </c>
      <c r="E13" s="34">
        <v>9.3799999999999994E-2</v>
      </c>
      <c r="F13" s="33" t="s">
        <v>325</v>
      </c>
      <c r="G13" s="34">
        <v>9.9900099900099903E-2</v>
      </c>
      <c r="H13" s="36" t="s">
        <v>326</v>
      </c>
      <c r="I13" s="35">
        <v>4.5169458187696777E-2</v>
      </c>
      <c r="J13" s="37">
        <v>4</v>
      </c>
      <c r="K13" s="37">
        <v>0.35416666666666669</v>
      </c>
      <c r="L13" s="37">
        <v>1</v>
      </c>
      <c r="M13" s="53">
        <v>4</v>
      </c>
      <c r="N13" s="39">
        <v>2</v>
      </c>
      <c r="O13" s="35">
        <v>0.87624403167353793</v>
      </c>
      <c r="P13" s="294"/>
      <c r="Q13" s="286"/>
    </row>
    <row r="14" spans="1:17" ht="16.5" customHeight="1" outlineLevel="1">
      <c r="A14" s="303"/>
      <c r="B14" s="310"/>
      <c r="C14" s="31"/>
      <c r="D14" s="33" t="s">
        <v>327</v>
      </c>
      <c r="E14" s="34">
        <v>3.1200000000000002E-2</v>
      </c>
      <c r="F14" s="33" t="s">
        <v>212</v>
      </c>
      <c r="G14" s="34">
        <v>0.34898491348385219</v>
      </c>
      <c r="H14" s="36" t="s">
        <v>303</v>
      </c>
      <c r="I14" s="35">
        <v>4.5169458187696777E-2</v>
      </c>
      <c r="J14" s="37">
        <v>5</v>
      </c>
      <c r="K14" s="37">
        <v>1.1458333333333333</v>
      </c>
      <c r="L14" s="37">
        <v>1</v>
      </c>
      <c r="M14" s="53">
        <v>5</v>
      </c>
      <c r="N14" s="39">
        <v>3</v>
      </c>
      <c r="O14" s="35">
        <v>5.7394076912234215</v>
      </c>
      <c r="P14" s="294"/>
      <c r="Q14" s="286"/>
    </row>
    <row r="15" spans="1:17" ht="15.75" customHeight="1" outlineLevel="1">
      <c r="A15" s="303"/>
      <c r="B15" s="310"/>
      <c r="C15" s="31"/>
      <c r="D15" s="33" t="s">
        <v>234</v>
      </c>
      <c r="E15" s="34">
        <v>0.21890000000000001</v>
      </c>
      <c r="F15" s="33"/>
      <c r="G15" s="34"/>
      <c r="H15" s="36" t="s">
        <v>160</v>
      </c>
      <c r="I15" s="35">
        <v>4.5169458187696777E-2</v>
      </c>
      <c r="J15" s="37"/>
      <c r="K15" s="37"/>
      <c r="L15" s="37"/>
      <c r="M15" s="53"/>
      <c r="N15" s="39"/>
      <c r="O15" s="35"/>
      <c r="P15" s="294"/>
      <c r="Q15" s="286"/>
    </row>
    <row r="16" spans="1:17" ht="17.25" customHeight="1" outlineLevel="1">
      <c r="A16" s="303"/>
      <c r="B16" s="310"/>
      <c r="C16" s="31"/>
      <c r="D16" s="33" t="s">
        <v>150</v>
      </c>
      <c r="E16" s="34">
        <v>9.3599999999999989E-2</v>
      </c>
      <c r="F16" s="33"/>
      <c r="G16" s="34"/>
      <c r="H16" s="36" t="s">
        <v>328</v>
      </c>
      <c r="I16" s="35">
        <v>0.18082260665523484</v>
      </c>
      <c r="J16" s="37"/>
      <c r="K16" s="37"/>
      <c r="L16" s="37"/>
      <c r="M16" s="53"/>
      <c r="N16" s="39"/>
      <c r="O16" s="35"/>
      <c r="P16" s="294"/>
      <c r="Q16" s="286"/>
    </row>
    <row r="17" spans="1:17" ht="15.75" customHeight="1" outlineLevel="1">
      <c r="A17" s="303"/>
      <c r="B17" s="310"/>
      <c r="C17" s="31"/>
      <c r="D17" s="33" t="s">
        <v>214</v>
      </c>
      <c r="E17" s="34">
        <v>6.2400000000000004E-2</v>
      </c>
      <c r="F17" s="33"/>
      <c r="G17" s="34"/>
      <c r="H17" s="36" t="s">
        <v>305</v>
      </c>
      <c r="I17" s="35">
        <v>4.5169458187696777E-2</v>
      </c>
      <c r="J17" s="37"/>
      <c r="K17" s="37"/>
      <c r="L17" s="37"/>
      <c r="M17" s="53"/>
      <c r="N17" s="39"/>
      <c r="O17" s="35"/>
      <c r="P17" s="294"/>
      <c r="Q17" s="286"/>
    </row>
    <row r="18" spans="1:17" ht="15.75" customHeight="1" outlineLevel="1">
      <c r="A18" s="303"/>
      <c r="B18" s="310"/>
      <c r="C18" s="31"/>
      <c r="D18" s="33" t="s">
        <v>329</v>
      </c>
      <c r="E18" s="34">
        <v>3.1200000000000002E-2</v>
      </c>
      <c r="F18" s="33"/>
      <c r="G18" s="34"/>
      <c r="H18" s="36" t="s">
        <v>150</v>
      </c>
      <c r="I18" s="35">
        <v>0.36178998721491745</v>
      </c>
      <c r="J18" s="37"/>
      <c r="K18" s="37"/>
      <c r="L18" s="37"/>
      <c r="M18" s="53"/>
      <c r="N18" s="39"/>
      <c r="O18" s="35"/>
      <c r="P18" s="294"/>
      <c r="Q18" s="286"/>
    </row>
    <row r="19" spans="1:17" ht="16.5" customHeight="1" outlineLevel="1" thickBot="1">
      <c r="A19" s="303"/>
      <c r="B19" s="310"/>
      <c r="C19" s="31"/>
      <c r="D19" s="33"/>
      <c r="E19" s="127"/>
      <c r="F19" s="129"/>
      <c r="G19" s="59"/>
      <c r="H19" s="36" t="s">
        <v>24</v>
      </c>
      <c r="I19" s="35">
        <v>4.5169458187696777E-2</v>
      </c>
      <c r="J19" s="37"/>
      <c r="K19" s="37"/>
      <c r="L19" s="37"/>
      <c r="M19" s="53"/>
      <c r="N19" s="39"/>
      <c r="O19" s="40"/>
      <c r="P19" s="304"/>
      <c r="Q19" s="286"/>
    </row>
    <row r="20" spans="1:17" ht="14.25" customHeight="1" outlineLevel="1" thickBot="1">
      <c r="A20" s="303"/>
      <c r="B20" s="193"/>
      <c r="C20" s="194" t="s">
        <v>31</v>
      </c>
      <c r="D20" s="195"/>
      <c r="E20" s="236">
        <v>0.99950000000000006</v>
      </c>
      <c r="F20" s="196"/>
      <c r="G20" s="236">
        <v>1.4477390444774607</v>
      </c>
      <c r="H20" s="196"/>
      <c r="I20" s="236">
        <v>1.4505008828646484</v>
      </c>
      <c r="J20" s="237"/>
      <c r="K20" s="238"/>
      <c r="L20" s="238"/>
      <c r="M20" s="238"/>
      <c r="N20" s="238"/>
      <c r="O20" s="239">
        <v>26.940551409404613</v>
      </c>
      <c r="P20" s="10"/>
      <c r="Q20" s="11"/>
    </row>
    <row r="21" spans="1:17" ht="15.75" customHeight="1" outlineLevel="1">
      <c r="A21" s="303"/>
      <c r="B21" s="305" t="s">
        <v>330</v>
      </c>
      <c r="C21" s="46">
        <v>0.94351985396969629</v>
      </c>
      <c r="D21" s="47" t="s">
        <v>331</v>
      </c>
      <c r="E21" s="47">
        <v>5.8799999999999998E-2</v>
      </c>
      <c r="F21" s="47" t="s">
        <v>332</v>
      </c>
      <c r="G21" s="34">
        <v>0.11098779134295228</v>
      </c>
      <c r="H21" s="34" t="s">
        <v>187</v>
      </c>
      <c r="I21" s="35">
        <v>0.11095793482683627</v>
      </c>
      <c r="J21" s="50">
        <v>5</v>
      </c>
      <c r="K21" s="53">
        <v>2.1666666666666665</v>
      </c>
      <c r="L21" s="50">
        <v>1</v>
      </c>
      <c r="M21" s="123">
        <v>5</v>
      </c>
      <c r="N21" s="39">
        <v>2</v>
      </c>
      <c r="O21" s="35">
        <v>1.1097324883049036</v>
      </c>
      <c r="P21" s="297" t="s">
        <v>333</v>
      </c>
      <c r="Q21" s="297" t="s">
        <v>334</v>
      </c>
    </row>
    <row r="22" spans="1:17" ht="18.75" outlineLevel="1">
      <c r="A22" s="303"/>
      <c r="B22" s="306"/>
      <c r="C22" s="45"/>
      <c r="D22" s="47" t="s">
        <v>335</v>
      </c>
      <c r="E22" s="47">
        <v>0.1176</v>
      </c>
      <c r="F22" s="47" t="s">
        <v>316</v>
      </c>
      <c r="G22" s="34">
        <v>0.22188324675300694</v>
      </c>
      <c r="H22" s="34" t="s">
        <v>336</v>
      </c>
      <c r="I22" s="35">
        <v>0.11095793482683627</v>
      </c>
      <c r="J22" s="50">
        <v>5</v>
      </c>
      <c r="K22" s="53">
        <v>0.43041666666666667</v>
      </c>
      <c r="L22" s="50">
        <v>1</v>
      </c>
      <c r="M22" s="123">
        <v>5</v>
      </c>
      <c r="N22" s="39">
        <v>3</v>
      </c>
      <c r="O22" s="35">
        <v>3.3278126074001877</v>
      </c>
      <c r="P22" s="286"/>
      <c r="Q22" s="286"/>
    </row>
    <row r="23" spans="1:17" ht="18.75" outlineLevel="1">
      <c r="A23" s="303"/>
      <c r="B23" s="306"/>
      <c r="C23" s="45"/>
      <c r="D23" s="47" t="s">
        <v>337</v>
      </c>
      <c r="E23" s="47">
        <v>0.1176</v>
      </c>
      <c r="F23" s="47" t="s">
        <v>137</v>
      </c>
      <c r="G23" s="34">
        <v>0.44425946479220624</v>
      </c>
      <c r="H23" s="34" t="s">
        <v>133</v>
      </c>
      <c r="I23" s="35">
        <v>0.27748918905248765</v>
      </c>
      <c r="J23" s="50">
        <v>5</v>
      </c>
      <c r="K23" s="53">
        <v>3.5500000000000003</v>
      </c>
      <c r="L23" s="50">
        <v>2</v>
      </c>
      <c r="M23" s="123">
        <v>10</v>
      </c>
      <c r="N23" s="39">
        <v>2</v>
      </c>
      <c r="O23" s="35">
        <v>8.8840250869298139</v>
      </c>
      <c r="P23" s="286"/>
      <c r="Q23" s="286"/>
    </row>
    <row r="24" spans="1:17" ht="18.75" outlineLevel="1">
      <c r="A24" s="303"/>
      <c r="B24" s="306"/>
      <c r="C24" s="45"/>
      <c r="D24" s="47" t="s">
        <v>338</v>
      </c>
      <c r="E24" s="47">
        <v>5.8799999999999998E-2</v>
      </c>
      <c r="F24" s="47" t="s">
        <v>339</v>
      </c>
      <c r="G24" s="34">
        <v>0.1663893510815308</v>
      </c>
      <c r="H24" s="34" t="s">
        <v>136</v>
      </c>
      <c r="I24" s="35">
        <v>0.16653125422565138</v>
      </c>
      <c r="J24" s="50">
        <v>5</v>
      </c>
      <c r="K24" s="53">
        <v>0.95833333333333337</v>
      </c>
      <c r="L24" s="50">
        <v>1</v>
      </c>
      <c r="M24" s="123">
        <v>5</v>
      </c>
      <c r="N24" s="39">
        <v>3</v>
      </c>
      <c r="O24" s="35">
        <v>2.4955132411715097</v>
      </c>
      <c r="P24" s="286"/>
      <c r="Q24" s="286"/>
    </row>
    <row r="25" spans="1:17" ht="18.75" outlineLevel="1">
      <c r="A25" s="303"/>
      <c r="B25" s="306"/>
      <c r="C25" s="45"/>
      <c r="D25" s="47" t="s">
        <v>340</v>
      </c>
      <c r="E25" s="47">
        <v>5.8799999999999998E-2</v>
      </c>
      <c r="F25" s="47"/>
      <c r="G25" s="34"/>
      <c r="H25" s="34" t="s">
        <v>145</v>
      </c>
      <c r="I25" s="35">
        <v>5.5478967413418137E-2</v>
      </c>
      <c r="J25" s="40"/>
      <c r="K25" s="50"/>
      <c r="L25" s="50"/>
      <c r="M25" s="38"/>
      <c r="N25" s="39"/>
      <c r="O25" s="35"/>
      <c r="P25" s="286"/>
      <c r="Q25" s="286"/>
    </row>
    <row r="26" spans="1:17" ht="18.75" outlineLevel="1">
      <c r="A26" s="303"/>
      <c r="B26" s="306"/>
      <c r="C26" s="45"/>
      <c r="D26" s="47" t="s">
        <v>341</v>
      </c>
      <c r="E26" s="47">
        <v>0.23529999999999998</v>
      </c>
      <c r="F26" s="47"/>
      <c r="G26" s="34"/>
      <c r="H26" s="34" t="s">
        <v>342</v>
      </c>
      <c r="I26" s="35">
        <v>5.5478967413418137E-2</v>
      </c>
      <c r="J26" s="40"/>
      <c r="K26" s="50"/>
      <c r="L26" s="50"/>
      <c r="M26" s="38"/>
      <c r="N26" s="39"/>
      <c r="O26" s="35"/>
      <c r="P26" s="286"/>
      <c r="Q26" s="286"/>
    </row>
    <row r="27" spans="1:17" ht="18.75" outlineLevel="1">
      <c r="A27" s="303"/>
      <c r="B27" s="306"/>
      <c r="C27" s="45"/>
      <c r="D27" s="47" t="s">
        <v>343</v>
      </c>
      <c r="E27" s="47">
        <v>0.23519999999999999</v>
      </c>
      <c r="F27" s="47"/>
      <c r="G27" s="34"/>
      <c r="H27" s="34" t="s">
        <v>232</v>
      </c>
      <c r="I27" s="35">
        <v>0.11095793482683627</v>
      </c>
      <c r="J27" s="40"/>
      <c r="K27" s="50"/>
      <c r="L27" s="50"/>
      <c r="M27" s="38"/>
      <c r="N27" s="39"/>
      <c r="O27" s="35"/>
      <c r="P27" s="286"/>
      <c r="Q27" s="286"/>
    </row>
    <row r="28" spans="1:17" ht="19.5" outlineLevel="1" thickBot="1">
      <c r="A28" s="303"/>
      <c r="B28" s="307"/>
      <c r="C28" s="45"/>
      <c r="D28" s="47" t="s">
        <v>344</v>
      </c>
      <c r="E28" s="47">
        <v>0.1176</v>
      </c>
      <c r="F28" s="47"/>
      <c r="G28" s="34"/>
      <c r="H28" s="34" t="s">
        <v>345</v>
      </c>
      <c r="I28" s="35">
        <v>5.5478967413418137E-2</v>
      </c>
      <c r="J28" s="40"/>
      <c r="K28" s="50"/>
      <c r="L28" s="50"/>
      <c r="M28" s="38"/>
      <c r="N28" s="39"/>
      <c r="O28" s="35"/>
      <c r="P28" s="252"/>
      <c r="Q28" s="287"/>
    </row>
    <row r="29" spans="1:17" ht="19.5" customHeight="1" outlineLevel="1" thickBot="1">
      <c r="A29" s="223"/>
      <c r="B29" s="240"/>
      <c r="C29" s="240"/>
      <c r="D29" s="207"/>
      <c r="E29" s="241">
        <v>0.99970000000000003</v>
      </c>
      <c r="F29" s="208"/>
      <c r="G29" s="241">
        <v>0.94351985396969629</v>
      </c>
      <c r="H29" s="241"/>
      <c r="I29" s="241">
        <v>0.94333114999890233</v>
      </c>
      <c r="J29" s="242"/>
      <c r="K29" s="210"/>
      <c r="L29" s="243"/>
      <c r="M29" s="243"/>
      <c r="N29" s="243"/>
      <c r="O29" s="241">
        <v>15.817083423806414</v>
      </c>
      <c r="P29" s="13"/>
      <c r="Q29" s="18"/>
    </row>
    <row r="30" spans="1:17" ht="17.25" customHeight="1">
      <c r="A30" s="308" t="s">
        <v>307</v>
      </c>
      <c r="B30" s="305" t="s">
        <v>346</v>
      </c>
      <c r="C30" s="46">
        <v>7.874822529672483E-3</v>
      </c>
      <c r="D30" s="47" t="s">
        <v>347</v>
      </c>
      <c r="E30" s="49">
        <v>1</v>
      </c>
      <c r="F30" s="47" t="s">
        <v>348</v>
      </c>
      <c r="G30" s="34">
        <v>3.7300178972248096E-3</v>
      </c>
      <c r="H30" s="49" t="s">
        <v>349</v>
      </c>
      <c r="I30" s="34">
        <v>7.8748225296724832E-4</v>
      </c>
      <c r="J30" s="50">
        <v>3</v>
      </c>
      <c r="K30" s="50">
        <v>16.23</v>
      </c>
      <c r="L30" s="50">
        <v>3</v>
      </c>
      <c r="M30" s="198">
        <v>9</v>
      </c>
      <c r="N30" s="39">
        <v>2</v>
      </c>
      <c r="O30" s="35">
        <v>6.7140322150046561E-2</v>
      </c>
      <c r="P30" s="297" t="s">
        <v>350</v>
      </c>
      <c r="Q30" s="297" t="s">
        <v>351</v>
      </c>
    </row>
    <row r="31" spans="1:17" ht="18.75">
      <c r="A31" s="308"/>
      <c r="B31" s="306"/>
      <c r="C31" s="45"/>
      <c r="D31" s="47"/>
      <c r="E31" s="49"/>
      <c r="F31" s="47" t="s">
        <v>189</v>
      </c>
      <c r="G31" s="34">
        <v>3.384226055363912E-3</v>
      </c>
      <c r="H31" s="49" t="s">
        <v>126</v>
      </c>
      <c r="I31" s="34">
        <v>2.3624467589017449E-4</v>
      </c>
      <c r="J31" s="50">
        <v>3</v>
      </c>
      <c r="K31" s="50">
        <v>10.940833333333332</v>
      </c>
      <c r="L31" s="50">
        <v>3</v>
      </c>
      <c r="M31" s="198">
        <v>9</v>
      </c>
      <c r="N31" s="39">
        <v>2</v>
      </c>
      <c r="O31" s="35">
        <v>6.0916068996550408E-2</v>
      </c>
      <c r="P31" s="286"/>
      <c r="Q31" s="286"/>
    </row>
    <row r="32" spans="1:17" ht="18.75">
      <c r="A32" s="308"/>
      <c r="B32" s="306"/>
      <c r="C32" s="45"/>
      <c r="D32" s="47"/>
      <c r="E32" s="49"/>
      <c r="F32" s="47" t="s">
        <v>316</v>
      </c>
      <c r="G32" s="34">
        <v>3.7609962126768142E-4</v>
      </c>
      <c r="H32" s="49" t="s">
        <v>352</v>
      </c>
      <c r="I32" s="34">
        <v>3.1499290118689935E-4</v>
      </c>
      <c r="J32" s="50">
        <v>2</v>
      </c>
      <c r="K32" s="50">
        <v>0.75583333333333336</v>
      </c>
      <c r="L32" s="50">
        <v>1</v>
      </c>
      <c r="M32" s="198">
        <v>2</v>
      </c>
      <c r="N32" s="39">
        <v>2</v>
      </c>
      <c r="O32" s="35">
        <v>1.5043984850707257E-3</v>
      </c>
      <c r="P32" s="286"/>
      <c r="Q32" s="286"/>
    </row>
    <row r="33" spans="1:17" ht="18.75">
      <c r="A33" s="308"/>
      <c r="B33" s="306"/>
      <c r="C33" s="45"/>
      <c r="D33" s="47"/>
      <c r="E33" s="49"/>
      <c r="F33" s="47" t="s">
        <v>137</v>
      </c>
      <c r="G33" s="34">
        <v>1.0972877242033144E-4</v>
      </c>
      <c r="H33" s="49" t="s">
        <v>353</v>
      </c>
      <c r="I33" s="34">
        <v>8.6623047826397319E-4</v>
      </c>
      <c r="J33" s="50">
        <v>2</v>
      </c>
      <c r="K33" s="50">
        <v>0</v>
      </c>
      <c r="L33" s="50">
        <v>1</v>
      </c>
      <c r="M33" s="198">
        <v>2</v>
      </c>
      <c r="N33" s="39">
        <v>2</v>
      </c>
      <c r="O33" s="35">
        <v>4.3891508968132574E-4</v>
      </c>
      <c r="P33" s="286"/>
      <c r="Q33" s="286"/>
    </row>
    <row r="34" spans="1:17" ht="18.75">
      <c r="A34" s="308"/>
      <c r="B34" s="306"/>
      <c r="C34" s="45"/>
      <c r="D34" s="47"/>
      <c r="E34" s="49"/>
      <c r="F34" s="47" t="s">
        <v>144</v>
      </c>
      <c r="G34" s="34">
        <v>2.7475018339574741E-4</v>
      </c>
      <c r="H34" s="49" t="s">
        <v>265</v>
      </c>
      <c r="I34" s="34">
        <v>1.0237269288574228E-3</v>
      </c>
      <c r="J34" s="50">
        <v>2</v>
      </c>
      <c r="K34" s="50">
        <v>0</v>
      </c>
      <c r="L34" s="50">
        <v>1</v>
      </c>
      <c r="M34" s="198">
        <v>2</v>
      </c>
      <c r="N34" s="39"/>
      <c r="O34" s="35">
        <v>1.0990007335829896E-3</v>
      </c>
      <c r="P34" s="286"/>
      <c r="Q34" s="286"/>
    </row>
    <row r="35" spans="1:17" ht="18.75">
      <c r="A35" s="308"/>
      <c r="B35" s="306"/>
      <c r="C35" s="45"/>
      <c r="D35" s="47"/>
      <c r="E35" s="49"/>
      <c r="F35" s="47"/>
      <c r="G35" s="122"/>
      <c r="H35" s="49" t="s">
        <v>232</v>
      </c>
      <c r="I35" s="34">
        <v>1.1812233794508723E-3</v>
      </c>
      <c r="J35" s="199"/>
      <c r="K35" s="123"/>
      <c r="L35" s="53"/>
      <c r="M35" s="53"/>
      <c r="N35" s="33"/>
      <c r="O35" s="33"/>
      <c r="P35" s="286"/>
      <c r="Q35" s="286"/>
    </row>
    <row r="36" spans="1:17" ht="18.75">
      <c r="A36" s="308"/>
      <c r="B36" s="306"/>
      <c r="C36" s="45"/>
      <c r="D36" s="47"/>
      <c r="E36" s="49"/>
      <c r="F36" s="52"/>
      <c r="G36" s="122"/>
      <c r="H36" s="49" t="s">
        <v>160</v>
      </c>
      <c r="I36" s="34">
        <v>3.1499290118689935E-4</v>
      </c>
      <c r="J36" s="199"/>
      <c r="K36" s="123"/>
      <c r="L36" s="53"/>
      <c r="M36" s="53"/>
      <c r="N36" s="33"/>
      <c r="O36" s="33"/>
      <c r="P36" s="286"/>
      <c r="Q36" s="286"/>
    </row>
    <row r="37" spans="1:17" ht="19.5" thickBot="1">
      <c r="A37" s="308"/>
      <c r="B37" s="307"/>
      <c r="C37" s="45"/>
      <c r="D37" s="47"/>
      <c r="E37" s="49"/>
      <c r="F37" s="52"/>
      <c r="G37" s="122"/>
      <c r="H37" s="49" t="s">
        <v>150</v>
      </c>
      <c r="I37" s="34">
        <v>4.7248935178034897E-4</v>
      </c>
      <c r="J37" s="199"/>
      <c r="K37" s="123"/>
      <c r="L37" s="53"/>
      <c r="M37" s="53"/>
      <c r="N37" s="33"/>
      <c r="O37" s="33"/>
      <c r="P37" s="287"/>
      <c r="Q37" s="252"/>
    </row>
    <row r="38" spans="1:17" ht="19.5" thickBot="1">
      <c r="A38" s="308"/>
      <c r="B38" s="207"/>
      <c r="C38" s="208"/>
      <c r="D38" s="208"/>
      <c r="E38" s="241">
        <v>1</v>
      </c>
      <c r="F38" s="208"/>
      <c r="G38" s="241">
        <v>7.874822529672483E-3</v>
      </c>
      <c r="H38" s="208"/>
      <c r="I38" s="241">
        <v>5.1973828695838394E-3</v>
      </c>
      <c r="J38" s="211"/>
      <c r="K38" s="208"/>
      <c r="L38" s="208"/>
      <c r="M38" s="208"/>
      <c r="N38" s="212"/>
      <c r="O38" s="241">
        <v>0.13109870545493202</v>
      </c>
      <c r="P38" s="13"/>
      <c r="Q38" s="18"/>
    </row>
    <row r="39" spans="1:17" ht="15" customHeight="1">
      <c r="A39" s="308"/>
      <c r="B39" s="305" t="s">
        <v>354</v>
      </c>
      <c r="C39" s="45">
        <v>1.8815686110401748E-2</v>
      </c>
      <c r="D39" s="47" t="s">
        <v>355</v>
      </c>
      <c r="E39" s="34">
        <v>1</v>
      </c>
      <c r="F39" s="204" t="s">
        <v>348</v>
      </c>
      <c r="G39" s="34">
        <v>1.6504046538556246E-2</v>
      </c>
      <c r="H39" s="49" t="s">
        <v>349</v>
      </c>
      <c r="I39" s="34">
        <v>4.7039215276004374E-4</v>
      </c>
      <c r="J39" s="199">
        <v>4</v>
      </c>
      <c r="K39" s="123">
        <v>19.414999999999999</v>
      </c>
      <c r="L39" s="53">
        <v>2</v>
      </c>
      <c r="M39" s="198">
        <v>8</v>
      </c>
      <c r="N39" s="39">
        <v>3</v>
      </c>
      <c r="O39" s="35">
        <v>0.39609711692534988</v>
      </c>
      <c r="P39" s="297" t="s">
        <v>356</v>
      </c>
      <c r="Q39" s="297" t="s">
        <v>357</v>
      </c>
    </row>
    <row r="40" spans="1:17" ht="18.75">
      <c r="A40" s="308"/>
      <c r="B40" s="306"/>
      <c r="C40" s="45"/>
      <c r="D40" s="47"/>
      <c r="E40" s="34"/>
      <c r="F40" s="204" t="s">
        <v>189</v>
      </c>
      <c r="G40" s="34">
        <v>1.4316802199060817E-3</v>
      </c>
      <c r="H40" s="49" t="s">
        <v>126</v>
      </c>
      <c r="I40" s="34">
        <v>1.881568611040175E-3</v>
      </c>
      <c r="J40" s="199">
        <v>3</v>
      </c>
      <c r="K40" s="123">
        <v>3.9166666666666665</v>
      </c>
      <c r="L40" s="53">
        <v>3</v>
      </c>
      <c r="M40" s="198">
        <v>9</v>
      </c>
      <c r="N40" s="39">
        <v>2</v>
      </c>
      <c r="O40" s="35">
        <v>2.5770243958309468E-2</v>
      </c>
      <c r="P40" s="286"/>
      <c r="Q40" s="286"/>
    </row>
    <row r="41" spans="1:17" ht="18.75">
      <c r="A41" s="308"/>
      <c r="B41" s="306"/>
      <c r="C41" s="45"/>
      <c r="D41" s="47"/>
      <c r="E41" s="34"/>
      <c r="F41" s="204" t="s">
        <v>209</v>
      </c>
      <c r="G41" s="34">
        <v>4.5308323138960627E-4</v>
      </c>
      <c r="H41" s="49" t="s">
        <v>133</v>
      </c>
      <c r="I41" s="34">
        <v>4.7039215276004374E-4</v>
      </c>
      <c r="J41" s="199">
        <v>2</v>
      </c>
      <c r="K41" s="123">
        <v>4.1666666666666664E-2</v>
      </c>
      <c r="L41" s="53">
        <v>1</v>
      </c>
      <c r="M41" s="198">
        <v>2</v>
      </c>
      <c r="N41" s="39">
        <v>3</v>
      </c>
      <c r="O41" s="35">
        <v>2.7184993883376382E-3</v>
      </c>
      <c r="P41" s="286"/>
      <c r="Q41" s="286"/>
    </row>
    <row r="42" spans="1:17" ht="18.75">
      <c r="A42" s="308"/>
      <c r="B42" s="306"/>
      <c r="C42" s="45"/>
      <c r="D42" s="47"/>
      <c r="E42" s="34"/>
      <c r="F42" s="204" t="s">
        <v>144</v>
      </c>
      <c r="G42" s="34">
        <v>4.2687612054981646E-4</v>
      </c>
      <c r="H42" s="49" t="s">
        <v>136</v>
      </c>
      <c r="I42" s="34">
        <v>1.1759803819001095E-2</v>
      </c>
      <c r="J42" s="199">
        <v>2</v>
      </c>
      <c r="K42" s="123">
        <v>0</v>
      </c>
      <c r="L42" s="53">
        <v>1</v>
      </c>
      <c r="M42" s="198">
        <v>2</v>
      </c>
      <c r="N42" s="39">
        <v>2</v>
      </c>
      <c r="O42" s="35">
        <v>1.7075044821992659E-3</v>
      </c>
      <c r="P42" s="286"/>
      <c r="Q42" s="286"/>
    </row>
    <row r="43" spans="1:17" ht="17.25" customHeight="1">
      <c r="A43" s="308"/>
      <c r="B43" s="306"/>
      <c r="C43" s="45"/>
      <c r="D43" s="47"/>
      <c r="E43" s="127"/>
      <c r="F43" s="204"/>
      <c r="G43" s="257"/>
      <c r="H43" s="49" t="s">
        <v>265</v>
      </c>
      <c r="I43" s="34">
        <v>3.7444151463486065E-4</v>
      </c>
      <c r="J43" s="233"/>
      <c r="K43" s="33"/>
      <c r="L43" s="33"/>
      <c r="M43" s="33"/>
      <c r="N43" s="33"/>
      <c r="O43" s="33"/>
      <c r="P43" s="286"/>
      <c r="Q43" s="286"/>
    </row>
    <row r="44" spans="1:17" ht="16.5" customHeight="1" thickBot="1">
      <c r="A44" s="308"/>
      <c r="B44" s="307"/>
      <c r="C44" s="45"/>
      <c r="D44" s="47"/>
      <c r="E44" s="35"/>
      <c r="F44" s="204"/>
      <c r="G44" s="257"/>
      <c r="H44" s="49" t="s">
        <v>160</v>
      </c>
      <c r="I44" s="34">
        <v>4.7039215276004374E-4</v>
      </c>
      <c r="J44" s="37"/>
      <c r="K44" s="37"/>
      <c r="L44" s="37"/>
      <c r="M44" s="38"/>
      <c r="N44" s="37"/>
      <c r="O44" s="35"/>
      <c r="P44" s="287"/>
      <c r="Q44" s="287"/>
    </row>
    <row r="45" spans="1:17" ht="19.5" thickBot="1">
      <c r="A45" s="308"/>
      <c r="B45" s="207"/>
      <c r="C45" s="208"/>
      <c r="D45" s="208"/>
      <c r="E45" s="241">
        <v>1</v>
      </c>
      <c r="F45" s="208"/>
      <c r="G45" s="241">
        <v>1.8815686110401748E-2</v>
      </c>
      <c r="H45" s="208"/>
      <c r="I45" s="241">
        <v>1.5426990402956262E-2</v>
      </c>
      <c r="J45" s="211"/>
      <c r="K45" s="208"/>
      <c r="L45" s="208"/>
      <c r="M45" s="208"/>
      <c r="N45" s="212"/>
      <c r="O45" s="241">
        <v>0.42629336475419621</v>
      </c>
      <c r="P45" s="17"/>
      <c r="Q45" s="12"/>
    </row>
    <row r="46" spans="1:17" ht="18" customHeight="1">
      <c r="A46" s="308"/>
      <c r="B46" s="305" t="s">
        <v>358</v>
      </c>
      <c r="C46" s="45">
        <v>0.13559747123580024</v>
      </c>
      <c r="D46" s="47" t="s">
        <v>359</v>
      </c>
      <c r="E46" s="34">
        <v>8.6999999999999994E-2</v>
      </c>
      <c r="F46" s="204" t="s">
        <v>316</v>
      </c>
      <c r="G46" s="34">
        <v>1.650982334489021E-2</v>
      </c>
      <c r="H46" s="49" t="s">
        <v>115</v>
      </c>
      <c r="I46" s="35">
        <v>1.179697999751462E-2</v>
      </c>
      <c r="J46" s="37">
        <v>4</v>
      </c>
      <c r="K46" s="37">
        <v>0.125</v>
      </c>
      <c r="L46" s="37">
        <v>1</v>
      </c>
      <c r="M46" s="198">
        <v>4</v>
      </c>
      <c r="N46" s="37">
        <v>2</v>
      </c>
      <c r="O46" s="35">
        <v>0.13207858675912168</v>
      </c>
      <c r="P46" s="297" t="s">
        <v>360</v>
      </c>
      <c r="Q46" s="297" t="s">
        <v>361</v>
      </c>
    </row>
    <row r="47" spans="1:17" ht="18.75">
      <c r="A47" s="308"/>
      <c r="B47" s="306"/>
      <c r="C47" s="45"/>
      <c r="D47" s="47" t="s">
        <v>362</v>
      </c>
      <c r="E47" s="34">
        <v>8.6999999999999994E-2</v>
      </c>
      <c r="F47" s="204" t="s">
        <v>201</v>
      </c>
      <c r="G47" s="34">
        <v>2.0466639377814164E-2</v>
      </c>
      <c r="H47" s="49" t="s">
        <v>126</v>
      </c>
      <c r="I47" s="35">
        <v>1.1769860503267461E-2</v>
      </c>
      <c r="J47" s="37">
        <v>4</v>
      </c>
      <c r="K47" s="37">
        <v>2.1662499999999998</v>
      </c>
      <c r="L47" s="37">
        <v>1</v>
      </c>
      <c r="M47" s="198">
        <v>4</v>
      </c>
      <c r="N47" s="37">
        <v>2</v>
      </c>
      <c r="O47" s="35">
        <v>0.16373311502251331</v>
      </c>
      <c r="P47" s="286"/>
      <c r="Q47" s="286"/>
    </row>
    <row r="48" spans="1:17" ht="18.75">
      <c r="A48" s="308"/>
      <c r="B48" s="306"/>
      <c r="C48" s="45"/>
      <c r="D48" s="47" t="s">
        <v>137</v>
      </c>
      <c r="E48" s="34">
        <v>0.34789999999999999</v>
      </c>
      <c r="F48" s="204" t="s">
        <v>138</v>
      </c>
      <c r="G48" s="34">
        <v>6.3568055536312243E-2</v>
      </c>
      <c r="H48" s="49" t="s">
        <v>296</v>
      </c>
      <c r="I48" s="35">
        <v>1.179697999751462E-2</v>
      </c>
      <c r="J48" s="37">
        <v>4</v>
      </c>
      <c r="K48" s="37">
        <v>1.8958333333333333</v>
      </c>
      <c r="L48" s="37">
        <v>1</v>
      </c>
      <c r="M48" s="198">
        <v>4</v>
      </c>
      <c r="N48" s="37">
        <v>1</v>
      </c>
      <c r="O48" s="35">
        <v>0.25427222214524897</v>
      </c>
      <c r="P48" s="286"/>
      <c r="Q48" s="286"/>
    </row>
    <row r="49" spans="1:17" ht="18.75">
      <c r="A49" s="308"/>
      <c r="B49" s="306"/>
      <c r="C49" s="45"/>
      <c r="D49" s="47" t="s">
        <v>363</v>
      </c>
      <c r="E49" s="34">
        <v>4.3499999999999997E-2</v>
      </c>
      <c r="F49" s="204" t="s">
        <v>144</v>
      </c>
      <c r="G49" s="34">
        <v>3.5052952976783611E-2</v>
      </c>
      <c r="H49" s="49" t="s">
        <v>364</v>
      </c>
      <c r="I49" s="35">
        <v>1.179697999751462E-2</v>
      </c>
      <c r="J49" s="37">
        <v>4</v>
      </c>
      <c r="K49" s="37">
        <v>1.02125</v>
      </c>
      <c r="L49" s="37">
        <v>1</v>
      </c>
      <c r="M49" s="198">
        <v>4</v>
      </c>
      <c r="N49" s="37">
        <v>2</v>
      </c>
      <c r="O49" s="35">
        <v>0.28042362381426889</v>
      </c>
      <c r="P49" s="286"/>
      <c r="Q49" s="286"/>
    </row>
    <row r="50" spans="1:17" ht="18.75">
      <c r="A50" s="308"/>
      <c r="B50" s="306"/>
      <c r="C50" s="45"/>
      <c r="D50" s="47" t="s">
        <v>159</v>
      </c>
      <c r="E50" s="127">
        <v>0.26099999999999995</v>
      </c>
      <c r="F50" s="204"/>
      <c r="G50" s="257"/>
      <c r="H50" s="49" t="s">
        <v>136</v>
      </c>
      <c r="I50" s="35">
        <v>3.5377380245420288E-2</v>
      </c>
      <c r="J50" s="38"/>
      <c r="K50" s="53"/>
      <c r="L50" s="53"/>
      <c r="M50" s="53"/>
      <c r="N50" s="33"/>
      <c r="O50" s="33"/>
      <c r="P50" s="286"/>
      <c r="Q50" s="286"/>
    </row>
    <row r="51" spans="1:17" ht="18.75">
      <c r="A51" s="308"/>
      <c r="B51" s="306"/>
      <c r="C51" s="45"/>
      <c r="D51" s="47" t="s">
        <v>161</v>
      </c>
      <c r="E51" s="35">
        <v>4.3499999999999997E-2</v>
      </c>
      <c r="F51" s="204"/>
      <c r="G51" s="257"/>
      <c r="H51" s="49" t="s">
        <v>365</v>
      </c>
      <c r="I51" s="35">
        <v>1.179697999751462E-2</v>
      </c>
      <c r="J51" s="38"/>
      <c r="K51" s="53"/>
      <c r="L51" s="53"/>
      <c r="M51" s="53"/>
      <c r="N51" s="33"/>
      <c r="O51" s="33"/>
      <c r="P51" s="286"/>
      <c r="Q51" s="286"/>
    </row>
    <row r="52" spans="1:17" ht="18.75">
      <c r="A52" s="308"/>
      <c r="B52" s="306"/>
      <c r="C52" s="45"/>
      <c r="D52" s="47" t="s">
        <v>366</v>
      </c>
      <c r="E52" s="35">
        <v>0.13039999999999999</v>
      </c>
      <c r="F52" s="127"/>
      <c r="G52" s="127"/>
      <c r="H52" s="36" t="s">
        <v>174</v>
      </c>
      <c r="I52" s="35">
        <v>1.179697999751462E-2</v>
      </c>
      <c r="J52" s="33"/>
      <c r="K52" s="33"/>
      <c r="L52" s="33"/>
      <c r="M52" s="33"/>
      <c r="N52" s="33"/>
      <c r="O52" s="33"/>
      <c r="P52" s="286"/>
      <c r="Q52" s="286"/>
    </row>
    <row r="53" spans="1:17" ht="18" customHeight="1">
      <c r="A53" s="308"/>
      <c r="B53" s="306"/>
      <c r="C53" s="45"/>
      <c r="D53" s="33"/>
      <c r="E53" s="204"/>
      <c r="F53" s="33"/>
      <c r="G53" s="59"/>
      <c r="H53" s="36" t="s">
        <v>155</v>
      </c>
      <c r="I53" s="35">
        <v>5.8984899987573102E-3</v>
      </c>
      <c r="J53" s="37"/>
      <c r="K53" s="205"/>
      <c r="L53" s="37"/>
      <c r="M53" s="38"/>
      <c r="N53" s="39"/>
      <c r="O53" s="35"/>
      <c r="P53" s="286"/>
      <c r="Q53" s="286"/>
    </row>
    <row r="54" spans="1:17" ht="18.75">
      <c r="A54" s="308"/>
      <c r="B54" s="306"/>
      <c r="C54" s="45"/>
      <c r="D54" s="33"/>
      <c r="E54" s="204"/>
      <c r="F54" s="33"/>
      <c r="G54" s="59"/>
      <c r="H54" s="36" t="s">
        <v>326</v>
      </c>
      <c r="I54" s="35">
        <v>5.8984899987573102E-3</v>
      </c>
      <c r="J54" s="37"/>
      <c r="K54" s="39"/>
      <c r="L54" s="37"/>
      <c r="M54" s="38"/>
      <c r="N54" s="40"/>
      <c r="O54" s="35"/>
      <c r="P54" s="286"/>
      <c r="Q54" s="286"/>
    </row>
    <row r="55" spans="1:17" ht="18.75">
      <c r="A55" s="308"/>
      <c r="B55" s="306"/>
      <c r="C55" s="45"/>
      <c r="D55" s="33"/>
      <c r="E55" s="40"/>
      <c r="F55" s="33"/>
      <c r="G55" s="59"/>
      <c r="H55" s="36" t="s">
        <v>367</v>
      </c>
      <c r="I55" s="35">
        <v>1.179697999751462E-2</v>
      </c>
      <c r="J55" s="38"/>
      <c r="K55" s="33"/>
      <c r="L55" s="38"/>
      <c r="M55" s="38"/>
      <c r="N55" s="40"/>
      <c r="O55" s="35"/>
      <c r="P55" s="286"/>
      <c r="Q55" s="286"/>
    </row>
    <row r="56" spans="1:17" ht="19.5" thickBot="1">
      <c r="A56" s="309"/>
      <c r="B56" s="307"/>
      <c r="C56" s="45"/>
      <c r="D56" s="33"/>
      <c r="E56" s="40"/>
      <c r="F56" s="33"/>
      <c r="G56" s="33"/>
      <c r="H56" s="36" t="s">
        <v>150</v>
      </c>
      <c r="I56" s="35">
        <v>5.8984899987573102E-3</v>
      </c>
      <c r="J56" s="40"/>
      <c r="K56" s="33"/>
      <c r="L56" s="40"/>
      <c r="M56" s="40"/>
      <c r="N56" s="40"/>
      <c r="O56" s="40"/>
      <c r="P56" s="287"/>
      <c r="Q56" s="287"/>
    </row>
    <row r="57" spans="1:17" ht="16.5" customHeight="1" thickBot="1">
      <c r="A57" s="244"/>
      <c r="B57" s="245"/>
      <c r="C57" s="208"/>
      <c r="D57" s="209"/>
      <c r="E57" s="241">
        <v>1.0003</v>
      </c>
      <c r="F57" s="209"/>
      <c r="G57" s="241">
        <v>0.13559747123580024</v>
      </c>
      <c r="H57" s="209"/>
      <c r="I57" s="241">
        <v>0.1356245907300474</v>
      </c>
      <c r="J57" s="209"/>
      <c r="K57" s="209"/>
      <c r="L57" s="209"/>
      <c r="M57" s="209"/>
      <c r="N57" s="209"/>
      <c r="O57" s="241">
        <v>0.83050754774115287</v>
      </c>
      <c r="P57" s="11"/>
      <c r="Q57" s="28"/>
    </row>
    <row r="58" spans="1:17">
      <c r="A58" s="2"/>
    </row>
    <row r="59" spans="1:17">
      <c r="A59" s="2"/>
      <c r="C59" s="7"/>
    </row>
    <row r="60" spans="1:17">
      <c r="A60" s="2"/>
    </row>
    <row r="61" spans="1:17">
      <c r="A61" s="2"/>
    </row>
    <row r="62" spans="1:17">
      <c r="A62" s="2"/>
    </row>
    <row r="63" spans="1:17">
      <c r="A63" s="2"/>
    </row>
    <row r="64" spans="1:17">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sheetData>
  <mergeCells count="17">
    <mergeCell ref="B39:B44"/>
    <mergeCell ref="B46:B56"/>
    <mergeCell ref="A2:A28"/>
    <mergeCell ref="A30:A56"/>
    <mergeCell ref="B2:B19"/>
    <mergeCell ref="B21:B28"/>
    <mergeCell ref="B30:B37"/>
    <mergeCell ref="Q46:Q56"/>
    <mergeCell ref="P2:P19"/>
    <mergeCell ref="Q2:Q19"/>
    <mergeCell ref="P21:P27"/>
    <mergeCell ref="Q21:Q28"/>
    <mergeCell ref="P30:P37"/>
    <mergeCell ref="Q30:Q36"/>
    <mergeCell ref="P39:P44"/>
    <mergeCell ref="Q39:Q44"/>
    <mergeCell ref="P46:P56"/>
  </mergeCells>
  <conditionalFormatting sqref="M39:M42">
    <cfRule type="cellIs" dxfId="62" priority="23" operator="between">
      <formula>6</formula>
      <formula>12</formula>
    </cfRule>
    <cfRule type="cellIs" dxfId="61" priority="24" operator="greaterThan">
      <formula>12</formula>
    </cfRule>
    <cfRule type="cellIs" dxfId="60" priority="25" operator="lessThan">
      <formula>6</formula>
    </cfRule>
  </conditionalFormatting>
  <conditionalFormatting sqref="M39:M42">
    <cfRule type="cellIs" dxfId="59" priority="26" operator="greaterThan">
      <formula>#REF!</formula>
    </cfRule>
    <cfRule type="cellIs" dxfId="58" priority="27" operator="between">
      <formula>#REF!</formula>
      <formula>#REF!</formula>
    </cfRule>
    <cfRule type="cellIs" dxfId="57" priority="28" operator="lessThan">
      <formula>#REF!</formula>
    </cfRule>
    <cfRule type="cellIs" dxfId="56" priority="29" operator="greaterThan">
      <formula>#REF!</formula>
    </cfRule>
  </conditionalFormatting>
  <conditionalFormatting sqref="M46:M49">
    <cfRule type="cellIs" dxfId="55" priority="15" operator="between">
      <formula>6</formula>
      <formula>12</formula>
    </cfRule>
    <cfRule type="cellIs" dxfId="54" priority="16" operator="greaterThan">
      <formula>12</formula>
    </cfRule>
    <cfRule type="cellIs" dxfId="53" priority="17" operator="lessThan">
      <formula>6</formula>
    </cfRule>
  </conditionalFormatting>
  <conditionalFormatting sqref="M46:M49">
    <cfRule type="cellIs" dxfId="52" priority="18" operator="greaterThan">
      <formula>#REF!</formula>
    </cfRule>
    <cfRule type="cellIs" dxfId="51" priority="19" operator="between">
      <formula>#REF!</formula>
      <formula>#REF!</formula>
    </cfRule>
    <cfRule type="cellIs" dxfId="50" priority="20" operator="lessThan">
      <formula>#REF!</formula>
    </cfRule>
    <cfRule type="cellIs" dxfId="49" priority="21" operator="greaterThan">
      <formula>#REF!</formula>
    </cfRule>
  </conditionalFormatting>
  <conditionalFormatting sqref="M2:M14">
    <cfRule type="cellIs" dxfId="48" priority="55" operator="between">
      <formula>6</formula>
      <formula>12</formula>
    </cfRule>
    <cfRule type="cellIs" dxfId="47" priority="56" operator="greaterThan">
      <formula>12</formula>
    </cfRule>
    <cfRule type="cellIs" dxfId="46" priority="57" operator="lessThan">
      <formula>6</formula>
    </cfRule>
  </conditionalFormatting>
  <conditionalFormatting sqref="G19">
    <cfRule type="dataBar" priority="62">
      <dataBar>
        <cfvo type="min"/>
        <cfvo type="max"/>
        <color rgb="FF638EC6"/>
      </dataBar>
      <extLst>
        <ext xmlns:x14="http://schemas.microsoft.com/office/spreadsheetml/2009/9/main" uri="{B025F937-C7B1-47D3-B67F-A62EFF666E3E}">
          <x14:id>{68D11841-CFC6-4C6D-88F3-846895564909}</x14:id>
        </ext>
      </extLst>
    </cfRule>
  </conditionalFormatting>
  <conditionalFormatting sqref="M2:M14">
    <cfRule type="cellIs" dxfId="45" priority="63" operator="greaterThan">
      <formula>#REF!</formula>
    </cfRule>
    <cfRule type="cellIs" dxfId="44" priority="64" operator="between">
      <formula>#REF!</formula>
      <formula>#REF!</formula>
    </cfRule>
    <cfRule type="cellIs" dxfId="43" priority="65" operator="lessThan">
      <formula>#REF!</formula>
    </cfRule>
    <cfRule type="cellIs" dxfId="42" priority="66" operator="greaterThan">
      <formula>#REF!</formula>
    </cfRule>
  </conditionalFormatting>
  <conditionalFormatting sqref="I2:I19">
    <cfRule type="dataBar" priority="53">
      <dataBar>
        <cfvo type="min"/>
        <cfvo type="max"/>
        <color rgb="FF63C384"/>
      </dataBar>
      <extLst>
        <ext xmlns:x14="http://schemas.microsoft.com/office/spreadsheetml/2009/9/main" uri="{B025F937-C7B1-47D3-B67F-A62EFF666E3E}">
          <x14:id>{E9018092-E8E2-41D9-B974-7BAD6AEDBCE3}</x14:id>
        </ext>
      </extLst>
    </cfRule>
  </conditionalFormatting>
  <conditionalFormatting sqref="E30:E37 E39:E42">
    <cfRule type="dataBar" priority="52">
      <dataBar>
        <cfvo type="min"/>
        <cfvo type="max"/>
        <color rgb="FF63C384"/>
      </dataBar>
      <extLst>
        <ext xmlns:x14="http://schemas.microsoft.com/office/spreadsheetml/2009/9/main" uri="{B025F937-C7B1-47D3-B67F-A62EFF666E3E}">
          <x14:id>{F1E49A53-8ADB-4E96-821D-AFAF370E2D8B}</x14:id>
        </ext>
      </extLst>
    </cfRule>
  </conditionalFormatting>
  <conditionalFormatting sqref="G2:G18">
    <cfRule type="dataBar" priority="51">
      <dataBar>
        <cfvo type="min"/>
        <cfvo type="max"/>
        <color rgb="FF63C384"/>
      </dataBar>
      <extLst>
        <ext xmlns:x14="http://schemas.microsoft.com/office/spreadsheetml/2009/9/main" uri="{B025F937-C7B1-47D3-B67F-A62EFF666E3E}">
          <x14:id>{64734B60-793F-4ECD-A0BE-EC1BBFF30191}</x14:id>
        </ext>
      </extLst>
    </cfRule>
  </conditionalFormatting>
  <conditionalFormatting sqref="G25:G28 G30:G34">
    <cfRule type="dataBar" priority="50">
      <dataBar>
        <cfvo type="min"/>
        <cfvo type="max"/>
        <color rgb="FF63C384"/>
      </dataBar>
      <extLst>
        <ext xmlns:x14="http://schemas.microsoft.com/office/spreadsheetml/2009/9/main" uri="{B025F937-C7B1-47D3-B67F-A62EFF666E3E}">
          <x14:id>{96ABB8B3-00A6-4D9D-B1DE-E26FD800D8AB}</x14:id>
        </ext>
      </extLst>
    </cfRule>
  </conditionalFormatting>
  <conditionalFormatting sqref="H21:H28 I30:I37 I39:I44">
    <cfRule type="dataBar" priority="49">
      <dataBar>
        <cfvo type="min"/>
        <cfvo type="max"/>
        <color rgb="FF63C384"/>
      </dataBar>
      <extLst>
        <ext xmlns:x14="http://schemas.microsoft.com/office/spreadsheetml/2009/9/main" uri="{B025F937-C7B1-47D3-B67F-A62EFF666E3E}">
          <x14:id>{4469E1F6-38C1-485D-83B7-DB223772C208}</x14:id>
        </ext>
      </extLst>
    </cfRule>
  </conditionalFormatting>
  <conditionalFormatting sqref="M21:M24 M30:M34">
    <cfRule type="cellIs" dxfId="41" priority="42" operator="between">
      <formula>6</formula>
      <formula>12</formula>
    </cfRule>
    <cfRule type="cellIs" dxfId="40" priority="43" operator="greaterThan">
      <formula>12</formula>
    </cfRule>
    <cfRule type="cellIs" dxfId="39" priority="44" operator="lessThan">
      <formula>6</formula>
    </cfRule>
  </conditionalFormatting>
  <conditionalFormatting sqref="M21:M24 M30:M34">
    <cfRule type="cellIs" dxfId="38" priority="45" operator="greaterThan">
      <formula>#REF!</formula>
    </cfRule>
    <cfRule type="cellIs" dxfId="37" priority="46" operator="between">
      <formula>#REF!</formula>
      <formula>#REF!</formula>
    </cfRule>
    <cfRule type="cellIs" dxfId="36" priority="47" operator="lessThan">
      <formula>#REF!</formula>
    </cfRule>
    <cfRule type="cellIs" dxfId="35" priority="48" operator="greaterThan">
      <formula>#REF!</formula>
    </cfRule>
  </conditionalFormatting>
  <conditionalFormatting sqref="O2:O19">
    <cfRule type="dataBar" priority="67">
      <dataBar>
        <cfvo type="min"/>
        <cfvo type="max"/>
        <color rgb="FFD6007B"/>
      </dataBar>
      <extLst>
        <ext xmlns:x14="http://schemas.microsoft.com/office/spreadsheetml/2009/9/main" uri="{B025F937-C7B1-47D3-B67F-A62EFF666E3E}">
          <x14:id>{CE040B9F-2240-44CB-9C2C-4472E975DD2C}</x14:id>
        </ext>
      </extLst>
    </cfRule>
  </conditionalFormatting>
  <conditionalFormatting sqref="O21:O28 O30:O34">
    <cfRule type="dataBar" priority="68">
      <dataBar>
        <cfvo type="min"/>
        <cfvo type="max"/>
        <color rgb="FF00B0F0"/>
      </dataBar>
      <extLst>
        <ext xmlns:x14="http://schemas.microsoft.com/office/spreadsheetml/2009/9/main" uri="{B025F937-C7B1-47D3-B67F-A62EFF666E3E}">
          <x14:id>{EBD61D3E-2CB5-4587-B01D-97D4834780A8}</x14:id>
        </ext>
      </extLst>
    </cfRule>
  </conditionalFormatting>
  <conditionalFormatting sqref="O2:O18">
    <cfRule type="dataBar" priority="35">
      <dataBar>
        <cfvo type="min"/>
        <cfvo type="max"/>
        <color rgb="FF00B0F0"/>
      </dataBar>
      <extLst>
        <ext xmlns:x14="http://schemas.microsoft.com/office/spreadsheetml/2009/9/main" uri="{B025F937-C7B1-47D3-B67F-A62EFF666E3E}">
          <x14:id>{F56384F8-3556-4E0F-A3CB-371E262AFED2}</x14:id>
        </ext>
      </extLst>
    </cfRule>
    <cfRule type="dataBar" priority="69">
      <dataBar>
        <cfvo type="min"/>
        <cfvo type="max"/>
        <color rgb="FF00B0F0"/>
      </dataBar>
      <extLst>
        <ext xmlns:x14="http://schemas.microsoft.com/office/spreadsheetml/2009/9/main" uri="{B025F937-C7B1-47D3-B67F-A62EFF666E3E}">
          <x14:id>{D4EB29B1-0F58-4F4F-B86D-3E74806400AB}</x14:id>
        </ext>
      </extLst>
    </cfRule>
  </conditionalFormatting>
  <conditionalFormatting sqref="E44 E52 H52:I56 I46:I51">
    <cfRule type="dataBar" priority="41">
      <dataBar>
        <cfvo type="min"/>
        <cfvo type="max"/>
        <color rgb="FF63C384"/>
      </dataBar>
      <extLst>
        <ext xmlns:x14="http://schemas.microsoft.com/office/spreadsheetml/2009/9/main" uri="{B025F937-C7B1-47D3-B67F-A62EFF666E3E}">
          <x14:id>{6A2F25A2-908F-41BB-B84A-34D2D40EE86D}</x14:id>
        </ext>
      </extLst>
    </cfRule>
  </conditionalFormatting>
  <conditionalFormatting sqref="O46:O49 O44">
    <cfRule type="dataBar" priority="40">
      <dataBar>
        <cfvo type="min"/>
        <cfvo type="max"/>
        <color rgb="FF00B0F0"/>
      </dataBar>
      <extLst>
        <ext xmlns:x14="http://schemas.microsoft.com/office/spreadsheetml/2009/9/main" uri="{B025F937-C7B1-47D3-B67F-A62EFF666E3E}">
          <x14:id>{67121CE9-4861-4A55-911D-9FE0E4EEF81F}</x14:id>
        </ext>
      </extLst>
    </cfRule>
  </conditionalFormatting>
  <conditionalFormatting sqref="M38">
    <cfRule type="dataBar" priority="37">
      <dataBar>
        <cfvo type="min"/>
        <cfvo type="max"/>
        <color theme="1" tint="0.499984740745262"/>
      </dataBar>
      <extLst>
        <ext xmlns:x14="http://schemas.microsoft.com/office/spreadsheetml/2009/9/main" uri="{B025F937-C7B1-47D3-B67F-A62EFF666E3E}">
          <x14:id>{DB1DFB9F-EAD1-4EE4-94B9-74B810866348}</x14:id>
        </ext>
      </extLst>
    </cfRule>
    <cfRule type="dataBar" priority="38">
      <dataBar>
        <cfvo type="min"/>
        <cfvo type="max"/>
        <color theme="0" tint="-0.14999847407452621"/>
      </dataBar>
      <extLst>
        <ext xmlns:x14="http://schemas.microsoft.com/office/spreadsheetml/2009/9/main" uri="{B025F937-C7B1-47D3-B67F-A62EFF666E3E}">
          <x14:id>{E3D3FBA0-6822-4E86-98F7-6E9F8F1B6825}</x14:id>
        </ext>
      </extLst>
    </cfRule>
    <cfRule type="dataBar" priority="39">
      <dataBar>
        <cfvo type="min"/>
        <cfvo type="max"/>
        <color theme="2" tint="-0.499984740745262"/>
      </dataBar>
      <extLst>
        <ext xmlns:x14="http://schemas.microsoft.com/office/spreadsheetml/2009/9/main" uri="{B025F937-C7B1-47D3-B67F-A62EFF666E3E}">
          <x14:id>{1FFC7BEA-07CD-483D-A909-74DA5873C746}</x14:id>
        </ext>
      </extLst>
    </cfRule>
  </conditionalFormatting>
  <conditionalFormatting sqref="I46:I56">
    <cfRule type="dataBar" priority="36">
      <dataBar>
        <cfvo type="min"/>
        <cfvo type="max"/>
        <color rgb="FF63C384"/>
      </dataBar>
      <extLst>
        <ext xmlns:x14="http://schemas.microsoft.com/office/spreadsheetml/2009/9/main" uri="{B025F937-C7B1-47D3-B67F-A62EFF666E3E}">
          <x14:id>{7EDB8211-0DD1-4CD7-A52D-672F74CDDEB4}</x14:id>
        </ext>
      </extLst>
    </cfRule>
  </conditionalFormatting>
  <conditionalFormatting sqref="E44 E52">
    <cfRule type="dataBar" priority="34">
      <dataBar>
        <cfvo type="min"/>
        <cfvo type="max"/>
        <color rgb="FF63C384"/>
      </dataBar>
      <extLst>
        <ext xmlns:x14="http://schemas.microsoft.com/office/spreadsheetml/2009/9/main" uri="{B025F937-C7B1-47D3-B67F-A62EFF666E3E}">
          <x14:id>{C8F016E5-D75D-4542-AC6E-A1489CC9235C}</x14:id>
        </ext>
      </extLst>
    </cfRule>
  </conditionalFormatting>
  <conditionalFormatting sqref="O53:O55">
    <cfRule type="dataBar" priority="72">
      <dataBar>
        <cfvo type="min"/>
        <cfvo type="max"/>
        <color rgb="FF00B0F0"/>
      </dataBar>
      <extLst>
        <ext xmlns:x14="http://schemas.microsoft.com/office/spreadsheetml/2009/9/main" uri="{B025F937-C7B1-47D3-B67F-A62EFF666E3E}">
          <x14:id>{8EECB86A-A34B-4F9C-9D94-C4CFF93C71A1}</x14:id>
        </ext>
      </extLst>
    </cfRule>
  </conditionalFormatting>
  <conditionalFormatting sqref="G53:G55">
    <cfRule type="dataBar" priority="73">
      <dataBar>
        <cfvo type="min"/>
        <cfvo type="max"/>
        <color rgb="FF63C384"/>
      </dataBar>
      <extLst>
        <ext xmlns:x14="http://schemas.microsoft.com/office/spreadsheetml/2009/9/main" uri="{B025F937-C7B1-47D3-B67F-A62EFF666E3E}">
          <x14:id>{688055C9-096D-48FE-A14A-B25B1E4A4BA3}</x14:id>
        </ext>
      </extLst>
    </cfRule>
  </conditionalFormatting>
  <conditionalFormatting sqref="E53">
    <cfRule type="dataBar" priority="74">
      <dataBar>
        <cfvo type="min"/>
        <cfvo type="max"/>
        <color rgb="FF63C384"/>
      </dataBar>
      <extLst>
        <ext xmlns:x14="http://schemas.microsoft.com/office/spreadsheetml/2009/9/main" uri="{B025F937-C7B1-47D3-B67F-A62EFF666E3E}">
          <x14:id>{43D5912E-CFA2-4F1D-B432-DE4AD5FABFC5}</x14:id>
        </ext>
      </extLst>
    </cfRule>
  </conditionalFormatting>
  <conditionalFormatting sqref="E53:E54">
    <cfRule type="dataBar" priority="75">
      <dataBar>
        <cfvo type="min"/>
        <cfvo type="max"/>
        <color rgb="FF63C384"/>
      </dataBar>
      <extLst>
        <ext xmlns:x14="http://schemas.microsoft.com/office/spreadsheetml/2009/9/main" uri="{B025F937-C7B1-47D3-B67F-A62EFF666E3E}">
          <x14:id>{8955BCBF-1071-4269-B31A-79548CCB8E03}</x14:id>
        </ext>
      </extLst>
    </cfRule>
  </conditionalFormatting>
  <conditionalFormatting sqref="E2:E18">
    <cfRule type="dataBar" priority="33">
      <dataBar>
        <cfvo type="min"/>
        <cfvo type="max"/>
        <color rgb="FF63C384"/>
      </dataBar>
      <extLst>
        <ext xmlns:x14="http://schemas.microsoft.com/office/spreadsheetml/2009/9/main" uri="{B025F937-C7B1-47D3-B67F-A62EFF666E3E}">
          <x14:id>{EA20A966-8023-4139-834A-6295F898B2BE}</x14:id>
        </ext>
      </extLst>
    </cfRule>
    <cfRule type="dataBar" priority="76">
      <dataBar>
        <cfvo type="min"/>
        <cfvo type="max"/>
        <color rgb="FF63C384"/>
      </dataBar>
      <extLst>
        <ext xmlns:x14="http://schemas.microsoft.com/office/spreadsheetml/2009/9/main" uri="{B025F937-C7B1-47D3-B67F-A62EFF666E3E}">
          <x14:id>{FD7596D6-F458-4078-B35D-567C4504BDA4}</x14:id>
        </ext>
      </extLst>
    </cfRule>
  </conditionalFormatting>
  <conditionalFormatting sqref="E2:E18">
    <cfRule type="dataBar" priority="77">
      <dataBar>
        <cfvo type="min"/>
        <cfvo type="max"/>
        <color rgb="FF63C384"/>
      </dataBar>
      <extLst>
        <ext xmlns:x14="http://schemas.microsoft.com/office/spreadsheetml/2009/9/main" uri="{B025F937-C7B1-47D3-B67F-A62EFF666E3E}">
          <x14:id>{4BCE775E-69E8-4D7B-94FF-C27861ED4B80}</x14:id>
        </ext>
      </extLst>
    </cfRule>
  </conditionalFormatting>
  <conditionalFormatting sqref="E21:E28">
    <cfRule type="dataBar" priority="32">
      <dataBar>
        <cfvo type="min"/>
        <cfvo type="max"/>
        <color rgb="FF63C384"/>
      </dataBar>
      <extLst>
        <ext xmlns:x14="http://schemas.microsoft.com/office/spreadsheetml/2009/9/main" uri="{B025F937-C7B1-47D3-B67F-A62EFF666E3E}">
          <x14:id>{BC6420BC-5E90-4723-A444-289465451421}</x14:id>
        </ext>
      </extLst>
    </cfRule>
  </conditionalFormatting>
  <conditionalFormatting sqref="O30:O34">
    <cfRule type="dataBar" priority="31">
      <dataBar>
        <cfvo type="min"/>
        <cfvo type="max"/>
        <color rgb="FF00B0F0"/>
      </dataBar>
      <extLst>
        <ext xmlns:x14="http://schemas.microsoft.com/office/spreadsheetml/2009/9/main" uri="{B025F937-C7B1-47D3-B67F-A62EFF666E3E}">
          <x14:id>{235EE926-92CA-4E2B-9F57-40CC07057E0B}</x14:id>
        </ext>
      </extLst>
    </cfRule>
  </conditionalFormatting>
  <conditionalFormatting sqref="E39:E42">
    <cfRule type="dataBar" priority="30">
      <dataBar>
        <cfvo type="min"/>
        <cfvo type="max"/>
        <color rgb="FF63C384"/>
      </dataBar>
      <extLst>
        <ext xmlns:x14="http://schemas.microsoft.com/office/spreadsheetml/2009/9/main" uri="{B025F937-C7B1-47D3-B67F-A62EFF666E3E}">
          <x14:id>{0A5FADC8-4CF0-4106-9A97-55620855748F}</x14:id>
        </ext>
      </extLst>
    </cfRule>
  </conditionalFormatting>
  <conditionalFormatting sqref="O39:O42">
    <cfRule type="dataBar" priority="22">
      <dataBar>
        <cfvo type="min"/>
        <cfvo type="max"/>
        <color rgb="FF008AEF"/>
      </dataBar>
      <extLst>
        <ext xmlns:x14="http://schemas.microsoft.com/office/spreadsheetml/2009/9/main" uri="{B025F937-C7B1-47D3-B67F-A62EFF666E3E}">
          <x14:id>{2D039D88-15AA-4A7B-A5B2-E99FD567E54D}</x14:id>
        </ext>
      </extLst>
    </cfRule>
  </conditionalFormatting>
  <conditionalFormatting sqref="N57">
    <cfRule type="dataBar" priority="78">
      <dataBar>
        <cfvo type="min"/>
        <cfvo type="max"/>
        <color theme="2" tint="-0.499984740745262"/>
      </dataBar>
      <extLst>
        <ext xmlns:x14="http://schemas.microsoft.com/office/spreadsheetml/2009/9/main" uri="{B025F937-C7B1-47D3-B67F-A62EFF666E3E}">
          <x14:id>{CF4F0EBB-9342-4F84-AE84-D832DEFF8A2C}</x14:id>
        </ext>
      </extLst>
    </cfRule>
  </conditionalFormatting>
  <conditionalFormatting sqref="M45">
    <cfRule type="dataBar" priority="79">
      <dataBar>
        <cfvo type="min"/>
        <cfvo type="max"/>
        <color theme="1" tint="0.499984740745262"/>
      </dataBar>
      <extLst>
        <ext xmlns:x14="http://schemas.microsoft.com/office/spreadsheetml/2009/9/main" uri="{B025F937-C7B1-47D3-B67F-A62EFF666E3E}">
          <x14:id>{5FD75D34-1CB1-42BE-8AE2-42B4CB76D3BD}</x14:id>
        </ext>
      </extLst>
    </cfRule>
    <cfRule type="dataBar" priority="80">
      <dataBar>
        <cfvo type="min"/>
        <cfvo type="max"/>
        <color theme="0" tint="-0.14999847407452621"/>
      </dataBar>
      <extLst>
        <ext xmlns:x14="http://schemas.microsoft.com/office/spreadsheetml/2009/9/main" uri="{B025F937-C7B1-47D3-B67F-A62EFF666E3E}">
          <x14:id>{1287E35F-6F61-4CA6-A8C4-6DCE83CDA7F0}</x14:id>
        </ext>
      </extLst>
    </cfRule>
    <cfRule type="dataBar" priority="81">
      <dataBar>
        <cfvo type="min"/>
        <cfvo type="max"/>
        <color theme="2" tint="-0.499984740745262"/>
      </dataBar>
      <extLst>
        <ext xmlns:x14="http://schemas.microsoft.com/office/spreadsheetml/2009/9/main" uri="{B025F937-C7B1-47D3-B67F-A62EFF666E3E}">
          <x14:id>{C2956E02-6893-4044-9874-7748B13886F5}</x14:id>
        </ext>
      </extLst>
    </cfRule>
  </conditionalFormatting>
  <conditionalFormatting sqref="G21:G24">
    <cfRule type="dataBar" priority="14">
      <dataBar>
        <cfvo type="min"/>
        <cfvo type="max"/>
        <color rgb="FF63C384"/>
      </dataBar>
      <extLst>
        <ext xmlns:x14="http://schemas.microsoft.com/office/spreadsheetml/2009/9/main" uri="{B025F937-C7B1-47D3-B67F-A62EFF666E3E}">
          <x14:id>{36882184-B6AB-4E65-A067-3E602C1DC3B0}</x14:id>
        </ext>
      </extLst>
    </cfRule>
  </conditionalFormatting>
  <conditionalFormatting sqref="I21:I28">
    <cfRule type="dataBar" priority="13">
      <dataBar>
        <cfvo type="min"/>
        <cfvo type="max"/>
        <color rgb="FF63C384"/>
      </dataBar>
      <extLst>
        <ext xmlns:x14="http://schemas.microsoft.com/office/spreadsheetml/2009/9/main" uri="{B025F937-C7B1-47D3-B67F-A62EFF666E3E}">
          <x14:id>{28998826-E5B3-4B45-8D5C-87B0D5DFCCB0}</x14:id>
        </ext>
      </extLst>
    </cfRule>
  </conditionalFormatting>
  <conditionalFormatting sqref="G39:G42">
    <cfRule type="dataBar" priority="12">
      <dataBar>
        <cfvo type="min"/>
        <cfvo type="max"/>
        <color rgb="FF63C384"/>
      </dataBar>
      <extLst>
        <ext xmlns:x14="http://schemas.microsoft.com/office/spreadsheetml/2009/9/main" uri="{B025F937-C7B1-47D3-B67F-A62EFF666E3E}">
          <x14:id>{C4813BF5-217D-4126-8AED-EA4E2C9618BC}</x14:id>
        </ext>
      </extLst>
    </cfRule>
  </conditionalFormatting>
  <conditionalFormatting sqref="E46:E49">
    <cfRule type="dataBar" priority="11">
      <dataBar>
        <cfvo type="min"/>
        <cfvo type="max"/>
        <color rgb="FF63C384"/>
      </dataBar>
      <extLst>
        <ext xmlns:x14="http://schemas.microsoft.com/office/spreadsheetml/2009/9/main" uri="{B025F937-C7B1-47D3-B67F-A62EFF666E3E}">
          <x14:id>{59440583-A37C-4C7C-8BAD-D5B18805E032}</x14:id>
        </ext>
      </extLst>
    </cfRule>
  </conditionalFormatting>
  <conditionalFormatting sqref="E51">
    <cfRule type="dataBar" priority="10">
      <dataBar>
        <cfvo type="min"/>
        <cfvo type="max"/>
        <color rgb="FF63C384"/>
      </dataBar>
      <extLst>
        <ext xmlns:x14="http://schemas.microsoft.com/office/spreadsheetml/2009/9/main" uri="{B025F937-C7B1-47D3-B67F-A62EFF666E3E}">
          <x14:id>{C58C3B5B-EC79-4F1F-9BF5-613EE1E70486}</x14:id>
        </ext>
      </extLst>
    </cfRule>
  </conditionalFormatting>
  <conditionalFormatting sqref="E51">
    <cfRule type="dataBar" priority="9">
      <dataBar>
        <cfvo type="min"/>
        <cfvo type="max"/>
        <color rgb="FF63C384"/>
      </dataBar>
      <extLst>
        <ext xmlns:x14="http://schemas.microsoft.com/office/spreadsheetml/2009/9/main" uri="{B025F937-C7B1-47D3-B67F-A62EFF666E3E}">
          <x14:id>{1F51AB02-D67E-4EE4-85FD-12DDD6F8BF7A}</x14:id>
        </ext>
      </extLst>
    </cfRule>
  </conditionalFormatting>
  <conditionalFormatting sqref="E46:E49">
    <cfRule type="dataBar" priority="8">
      <dataBar>
        <cfvo type="min"/>
        <cfvo type="max"/>
        <color rgb="FF63C384"/>
      </dataBar>
      <extLst>
        <ext xmlns:x14="http://schemas.microsoft.com/office/spreadsheetml/2009/9/main" uri="{B025F937-C7B1-47D3-B67F-A62EFF666E3E}">
          <x14:id>{58CDFC30-CF2D-4B90-B01F-F11DD8048ECF}</x14:id>
        </ext>
      </extLst>
    </cfRule>
  </conditionalFormatting>
  <conditionalFormatting sqref="G46:G49">
    <cfRule type="dataBar" priority="7">
      <dataBar>
        <cfvo type="min"/>
        <cfvo type="max"/>
        <color rgb="FF63C384"/>
      </dataBar>
      <extLst>
        <ext xmlns:x14="http://schemas.microsoft.com/office/spreadsheetml/2009/9/main" uri="{B025F937-C7B1-47D3-B67F-A62EFF666E3E}">
          <x14:id>{0BE6BC5D-62CD-4FCC-A8B7-B3D34C2D97BE}</x14:id>
        </ext>
      </extLst>
    </cfRule>
  </conditionalFormatting>
  <conditionalFormatting sqref="E46:E52">
    <cfRule type="dataBar" priority="6">
      <dataBar>
        <cfvo type="min"/>
        <cfvo type="max"/>
        <color rgb="FF63C384"/>
      </dataBar>
      <extLst>
        <ext xmlns:x14="http://schemas.microsoft.com/office/spreadsheetml/2009/9/main" uri="{B025F937-C7B1-47D3-B67F-A62EFF666E3E}">
          <x14:id>{4AF2C4DA-F15A-4CC9-A325-B2510CB7A560}</x14:id>
        </ext>
      </extLst>
    </cfRule>
  </conditionalFormatting>
  <conditionalFormatting sqref="I30:I37">
    <cfRule type="dataBar" priority="2">
      <dataBar>
        <cfvo type="min"/>
        <cfvo type="max"/>
        <color rgb="FF63C384"/>
      </dataBar>
      <extLst>
        <ext xmlns:x14="http://schemas.microsoft.com/office/spreadsheetml/2009/9/main" uri="{B025F937-C7B1-47D3-B67F-A62EFF666E3E}">
          <x14:id>{4620912B-0E62-4F0E-8E02-73D196F096DF}</x14:id>
        </ext>
      </extLst>
    </cfRule>
  </conditionalFormatting>
  <dataValidations count="1">
    <dataValidation type="list" allowBlank="1" showInputMessage="1" showErrorMessage="1" sqref="J44:J49 K45:L45 J2:L19 J38:L38 J50:L51 K35:K38 L35:L42 L44:L49 J57:K57" xr:uid="{AA31EE28-486A-49E4-A533-56B7BD639421}">
      <formula1>"1, 2, 3, 4, 5"</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68D11841-CFC6-4C6D-88F3-846895564909}">
            <x14:dataBar minLength="0" maxLength="100" gradient="0">
              <x14:cfvo type="autoMin"/>
              <x14:cfvo type="autoMax"/>
              <x14:negativeFillColor rgb="FFFF0000"/>
              <x14:axisColor rgb="FF000000"/>
            </x14:dataBar>
          </x14:cfRule>
          <xm:sqref>G19</xm:sqref>
        </x14:conditionalFormatting>
        <x14:conditionalFormatting xmlns:xm="http://schemas.microsoft.com/office/excel/2006/main">
          <x14:cfRule type="dataBar" id="{E9018092-E8E2-41D9-B974-7BAD6AEDBCE3}">
            <x14:dataBar minLength="0" maxLength="100" gradient="0">
              <x14:cfvo type="autoMin"/>
              <x14:cfvo type="autoMax"/>
              <x14:negativeFillColor rgb="FFFF0000"/>
              <x14:axisColor rgb="FF000000"/>
            </x14:dataBar>
          </x14:cfRule>
          <xm:sqref>I2:I19</xm:sqref>
        </x14:conditionalFormatting>
        <x14:conditionalFormatting xmlns:xm="http://schemas.microsoft.com/office/excel/2006/main">
          <x14:cfRule type="dataBar" id="{F1E49A53-8ADB-4E96-821D-AFAF370E2D8B}">
            <x14:dataBar minLength="0" maxLength="100" gradient="0">
              <x14:cfvo type="autoMin"/>
              <x14:cfvo type="autoMax"/>
              <x14:negativeFillColor rgb="FFFF0000"/>
              <x14:axisColor rgb="FF000000"/>
            </x14:dataBar>
          </x14:cfRule>
          <xm:sqref>E30:E37 E39:E42</xm:sqref>
        </x14:conditionalFormatting>
        <x14:conditionalFormatting xmlns:xm="http://schemas.microsoft.com/office/excel/2006/main">
          <x14:cfRule type="dataBar" id="{64734B60-793F-4ECD-A0BE-EC1BBFF30191}">
            <x14:dataBar minLength="0" maxLength="100" gradient="0">
              <x14:cfvo type="autoMin"/>
              <x14:cfvo type="autoMax"/>
              <x14:negativeFillColor rgb="FFFF0000"/>
              <x14:axisColor rgb="FF000000"/>
            </x14:dataBar>
          </x14:cfRule>
          <xm:sqref>G2:G18</xm:sqref>
        </x14:conditionalFormatting>
        <x14:conditionalFormatting xmlns:xm="http://schemas.microsoft.com/office/excel/2006/main">
          <x14:cfRule type="dataBar" id="{96ABB8B3-00A6-4D9D-B1DE-E26FD800D8AB}">
            <x14:dataBar minLength="0" maxLength="100" gradient="0">
              <x14:cfvo type="autoMin"/>
              <x14:cfvo type="autoMax"/>
              <x14:negativeFillColor rgb="FFFF0000"/>
              <x14:axisColor rgb="FF000000"/>
            </x14:dataBar>
          </x14:cfRule>
          <xm:sqref>G25:G28 G30:G34</xm:sqref>
        </x14:conditionalFormatting>
        <x14:conditionalFormatting xmlns:xm="http://schemas.microsoft.com/office/excel/2006/main">
          <x14:cfRule type="dataBar" id="{4469E1F6-38C1-485D-83B7-DB223772C208}">
            <x14:dataBar minLength="0" maxLength="100" gradient="0">
              <x14:cfvo type="autoMin"/>
              <x14:cfvo type="autoMax"/>
              <x14:negativeFillColor rgb="FFFF0000"/>
              <x14:axisColor rgb="FF000000"/>
            </x14:dataBar>
          </x14:cfRule>
          <xm:sqref>H21:H28 I30:I37 I39:I44</xm:sqref>
        </x14:conditionalFormatting>
        <x14:conditionalFormatting xmlns:xm="http://schemas.microsoft.com/office/excel/2006/main">
          <x14:cfRule type="dataBar" id="{CE040B9F-2240-44CB-9C2C-4472E975DD2C}">
            <x14:dataBar minLength="0" maxLength="100" border="1" negativeBarBorderColorSameAsPositive="0">
              <x14:cfvo type="autoMin"/>
              <x14:cfvo type="autoMax"/>
              <x14:borderColor rgb="FFD6007B"/>
              <x14:negativeFillColor rgb="FFFF0000"/>
              <x14:negativeBorderColor rgb="FFFF0000"/>
              <x14:axisColor rgb="FF000000"/>
            </x14:dataBar>
          </x14:cfRule>
          <xm:sqref>O2:O19</xm:sqref>
        </x14:conditionalFormatting>
        <x14:conditionalFormatting xmlns:xm="http://schemas.microsoft.com/office/excel/2006/main">
          <x14:cfRule type="dataBar" id="{EBD61D3E-2CB5-4587-B01D-97D4834780A8}">
            <x14:dataBar minLength="0" maxLength="100" gradient="0">
              <x14:cfvo type="autoMin"/>
              <x14:cfvo type="autoMax"/>
              <x14:negativeFillColor rgb="FFFF0000"/>
              <x14:axisColor rgb="FF000000"/>
            </x14:dataBar>
          </x14:cfRule>
          <xm:sqref>O21:O28 O30:O34</xm:sqref>
        </x14:conditionalFormatting>
        <x14:conditionalFormatting xmlns:xm="http://schemas.microsoft.com/office/excel/2006/main">
          <x14:cfRule type="dataBar" id="{F56384F8-3556-4E0F-A3CB-371E262AFED2}">
            <x14:dataBar minLength="0" maxLength="100" gradient="0">
              <x14:cfvo type="autoMin"/>
              <x14:cfvo type="autoMax"/>
              <x14:negativeFillColor rgb="FFFF0000"/>
              <x14:axisColor rgb="FF000000"/>
            </x14:dataBar>
          </x14:cfRule>
          <x14:cfRule type="dataBar" id="{D4EB29B1-0F58-4F4F-B86D-3E74806400AB}">
            <x14:dataBar minLength="0" maxLength="100" gradient="0">
              <x14:cfvo type="autoMin"/>
              <x14:cfvo type="autoMax"/>
              <x14:negativeFillColor rgb="FFFF0000"/>
              <x14:axisColor rgb="FF000000"/>
            </x14:dataBar>
          </x14:cfRule>
          <xm:sqref>O2:O18</xm:sqref>
        </x14:conditionalFormatting>
        <x14:conditionalFormatting xmlns:xm="http://schemas.microsoft.com/office/excel/2006/main">
          <x14:cfRule type="dataBar" id="{6A2F25A2-908F-41BB-B84A-34D2D40EE86D}">
            <x14:dataBar minLength="0" maxLength="100" gradient="0">
              <x14:cfvo type="autoMin"/>
              <x14:cfvo type="autoMax"/>
              <x14:negativeFillColor rgb="FFFF0000"/>
              <x14:axisColor rgb="FF000000"/>
            </x14:dataBar>
          </x14:cfRule>
          <xm:sqref>E44 E52 H52:I56 I46:I51</xm:sqref>
        </x14:conditionalFormatting>
        <x14:conditionalFormatting xmlns:xm="http://schemas.microsoft.com/office/excel/2006/main">
          <x14:cfRule type="dataBar" id="{67121CE9-4861-4A55-911D-9FE0E4EEF81F}">
            <x14:dataBar minLength="0" maxLength="100" gradient="0">
              <x14:cfvo type="autoMin"/>
              <x14:cfvo type="autoMax"/>
              <x14:negativeFillColor rgb="FFFF0000"/>
              <x14:axisColor rgb="FF000000"/>
            </x14:dataBar>
          </x14:cfRule>
          <xm:sqref>O46:O49 O44</xm:sqref>
        </x14:conditionalFormatting>
        <x14:conditionalFormatting xmlns:xm="http://schemas.microsoft.com/office/excel/2006/main">
          <x14:cfRule type="dataBar" id="{DB1DFB9F-EAD1-4EE4-94B9-74B810866348}">
            <x14:dataBar minLength="0" maxLength="100" gradient="0">
              <x14:cfvo type="autoMin"/>
              <x14:cfvo type="autoMax"/>
              <x14:negativeFillColor rgb="FFFF0000"/>
              <x14:axisColor rgb="FF000000"/>
            </x14:dataBar>
          </x14:cfRule>
          <x14:cfRule type="dataBar" id="{E3D3FBA0-6822-4E86-98F7-6E9F8F1B6825}">
            <x14:dataBar minLength="0" maxLength="100" gradient="0">
              <x14:cfvo type="autoMin"/>
              <x14:cfvo type="autoMax"/>
              <x14:negativeFillColor rgb="FFFF0000"/>
              <x14:axisColor rgb="FF000000"/>
            </x14:dataBar>
          </x14:cfRule>
          <x14:cfRule type="dataBar" id="{1FFC7BEA-07CD-483D-A909-74DA5873C746}">
            <x14:dataBar minLength="0" maxLength="100" gradient="0">
              <x14:cfvo type="autoMin"/>
              <x14:cfvo type="autoMax"/>
              <x14:negativeFillColor rgb="FFFF0000"/>
              <x14:axisColor rgb="FF000000"/>
            </x14:dataBar>
          </x14:cfRule>
          <xm:sqref>M38</xm:sqref>
        </x14:conditionalFormatting>
        <x14:conditionalFormatting xmlns:xm="http://schemas.microsoft.com/office/excel/2006/main">
          <x14:cfRule type="dataBar" id="{7EDB8211-0DD1-4CD7-A52D-672F74CDDEB4}">
            <x14:dataBar minLength="0" maxLength="100" gradient="0">
              <x14:cfvo type="autoMin"/>
              <x14:cfvo type="autoMax"/>
              <x14:negativeFillColor rgb="FFFF0000"/>
              <x14:axisColor rgb="FF000000"/>
            </x14:dataBar>
          </x14:cfRule>
          <xm:sqref>I46:I56</xm:sqref>
        </x14:conditionalFormatting>
        <x14:conditionalFormatting xmlns:xm="http://schemas.microsoft.com/office/excel/2006/main">
          <x14:cfRule type="dataBar" id="{C8F016E5-D75D-4542-AC6E-A1489CC9235C}">
            <x14:dataBar minLength="0" maxLength="100" gradient="0">
              <x14:cfvo type="autoMin"/>
              <x14:cfvo type="autoMax"/>
              <x14:negativeFillColor rgb="FFFF0000"/>
              <x14:axisColor rgb="FF000000"/>
            </x14:dataBar>
          </x14:cfRule>
          <xm:sqref>E44 E52</xm:sqref>
        </x14:conditionalFormatting>
        <x14:conditionalFormatting xmlns:xm="http://schemas.microsoft.com/office/excel/2006/main">
          <x14:cfRule type="dataBar" id="{8EECB86A-A34B-4F9C-9D94-C4CFF93C71A1}">
            <x14:dataBar minLength="0" maxLength="100" gradient="0">
              <x14:cfvo type="autoMin"/>
              <x14:cfvo type="autoMax"/>
              <x14:negativeFillColor rgb="FFFF0000"/>
              <x14:axisColor rgb="FF000000"/>
            </x14:dataBar>
          </x14:cfRule>
          <xm:sqref>O53:O55</xm:sqref>
        </x14:conditionalFormatting>
        <x14:conditionalFormatting xmlns:xm="http://schemas.microsoft.com/office/excel/2006/main">
          <x14:cfRule type="dataBar" id="{688055C9-096D-48FE-A14A-B25B1E4A4BA3}">
            <x14:dataBar minLength="0" maxLength="100" gradient="0">
              <x14:cfvo type="autoMin"/>
              <x14:cfvo type="autoMax"/>
              <x14:negativeFillColor rgb="FFFF0000"/>
              <x14:axisColor rgb="FF000000"/>
            </x14:dataBar>
          </x14:cfRule>
          <xm:sqref>G53:G55</xm:sqref>
        </x14:conditionalFormatting>
        <x14:conditionalFormatting xmlns:xm="http://schemas.microsoft.com/office/excel/2006/main">
          <x14:cfRule type="dataBar" id="{43D5912E-CFA2-4F1D-B432-DE4AD5FABFC5}">
            <x14:dataBar minLength="0" maxLength="100" gradient="0">
              <x14:cfvo type="autoMin"/>
              <x14:cfvo type="autoMax"/>
              <x14:negativeFillColor rgb="FFFF0000"/>
              <x14:axisColor rgb="FF000000"/>
            </x14:dataBar>
          </x14:cfRule>
          <xm:sqref>E53</xm:sqref>
        </x14:conditionalFormatting>
        <x14:conditionalFormatting xmlns:xm="http://schemas.microsoft.com/office/excel/2006/main">
          <x14:cfRule type="dataBar" id="{8955BCBF-1071-4269-B31A-79548CCB8E03}">
            <x14:dataBar minLength="0" maxLength="100" gradient="0">
              <x14:cfvo type="autoMin"/>
              <x14:cfvo type="autoMax"/>
              <x14:negativeFillColor rgb="FFFF0000"/>
              <x14:axisColor rgb="FF000000"/>
            </x14:dataBar>
          </x14:cfRule>
          <xm:sqref>E53:E54</xm:sqref>
        </x14:conditionalFormatting>
        <x14:conditionalFormatting xmlns:xm="http://schemas.microsoft.com/office/excel/2006/main">
          <x14:cfRule type="dataBar" id="{EA20A966-8023-4139-834A-6295F898B2BE}">
            <x14:dataBar minLength="0" maxLength="100" gradient="0">
              <x14:cfvo type="autoMin"/>
              <x14:cfvo type="autoMax"/>
              <x14:negativeFillColor rgb="FFFF0000"/>
              <x14:axisColor rgb="FF000000"/>
            </x14:dataBar>
          </x14:cfRule>
          <x14:cfRule type="dataBar" id="{FD7596D6-F458-4078-B35D-567C4504BDA4}">
            <x14:dataBar minLength="0" maxLength="100" border="1" negativeBarBorderColorSameAsPositive="0">
              <x14:cfvo type="autoMin"/>
              <x14:cfvo type="autoMax"/>
              <x14:borderColor rgb="FF63C384"/>
              <x14:negativeFillColor rgb="FFFF0000"/>
              <x14:negativeBorderColor rgb="FFFF0000"/>
              <x14:axisColor rgb="FF000000"/>
            </x14:dataBar>
          </x14:cfRule>
          <xm:sqref>E2:E18</xm:sqref>
        </x14:conditionalFormatting>
        <x14:conditionalFormatting xmlns:xm="http://schemas.microsoft.com/office/excel/2006/main">
          <x14:cfRule type="dataBar" id="{4BCE775E-69E8-4D7B-94FF-C27861ED4B80}">
            <x14:dataBar minLength="0" maxLength="100" gradient="0">
              <x14:cfvo type="autoMin"/>
              <x14:cfvo type="autoMax"/>
              <x14:negativeFillColor rgb="FFFF0000"/>
              <x14:axisColor rgb="FF000000"/>
            </x14:dataBar>
          </x14:cfRule>
          <xm:sqref>E2:E18</xm:sqref>
        </x14:conditionalFormatting>
        <x14:conditionalFormatting xmlns:xm="http://schemas.microsoft.com/office/excel/2006/main">
          <x14:cfRule type="dataBar" id="{BC6420BC-5E90-4723-A444-289465451421}">
            <x14:dataBar minLength="0" maxLength="100" gradient="0">
              <x14:cfvo type="autoMin"/>
              <x14:cfvo type="autoMax"/>
              <x14:negativeFillColor rgb="FFFF0000"/>
              <x14:axisColor rgb="FF000000"/>
            </x14:dataBar>
          </x14:cfRule>
          <xm:sqref>E21:E28</xm:sqref>
        </x14:conditionalFormatting>
        <x14:conditionalFormatting xmlns:xm="http://schemas.microsoft.com/office/excel/2006/main">
          <x14:cfRule type="dataBar" id="{235EE926-92CA-4E2B-9F57-40CC07057E0B}">
            <x14:dataBar minLength="0" maxLength="100" gradient="0">
              <x14:cfvo type="autoMin"/>
              <x14:cfvo type="autoMax"/>
              <x14:negativeFillColor rgb="FFFF0000"/>
              <x14:axisColor rgb="FF000000"/>
            </x14:dataBar>
          </x14:cfRule>
          <xm:sqref>O30:O34</xm:sqref>
        </x14:conditionalFormatting>
        <x14:conditionalFormatting xmlns:xm="http://schemas.microsoft.com/office/excel/2006/main">
          <x14:cfRule type="dataBar" id="{0A5FADC8-4CF0-4106-9A97-55620855748F}">
            <x14:dataBar minLength="0" maxLength="100" gradient="0">
              <x14:cfvo type="autoMin"/>
              <x14:cfvo type="autoMax"/>
              <x14:negativeFillColor rgb="FFFF0000"/>
              <x14:axisColor rgb="FF000000"/>
            </x14:dataBar>
          </x14:cfRule>
          <xm:sqref>E39:E42</xm:sqref>
        </x14:conditionalFormatting>
        <x14:conditionalFormatting xmlns:xm="http://schemas.microsoft.com/office/excel/2006/main">
          <x14:cfRule type="dataBar" id="{2D039D88-15AA-4A7B-A5B2-E99FD567E54D}">
            <x14:dataBar minLength="0" maxLength="100" gradient="0">
              <x14:cfvo type="autoMin"/>
              <x14:cfvo type="autoMax"/>
              <x14:negativeFillColor rgb="FFFF0000"/>
              <x14:axisColor rgb="FF000000"/>
            </x14:dataBar>
          </x14:cfRule>
          <xm:sqref>O39:O42</xm:sqref>
        </x14:conditionalFormatting>
        <x14:conditionalFormatting xmlns:xm="http://schemas.microsoft.com/office/excel/2006/main">
          <x14:cfRule type="dataBar" id="{CF4F0EBB-9342-4F84-AE84-D832DEFF8A2C}">
            <x14:dataBar minLength="0" maxLength="100" gradient="0">
              <x14:cfvo type="autoMin"/>
              <x14:cfvo type="autoMax"/>
              <x14:negativeFillColor rgb="FFFF0000"/>
              <x14:axisColor rgb="FF000000"/>
            </x14:dataBar>
          </x14:cfRule>
          <xm:sqref>N57</xm:sqref>
        </x14:conditionalFormatting>
        <x14:conditionalFormatting xmlns:xm="http://schemas.microsoft.com/office/excel/2006/main">
          <x14:cfRule type="dataBar" id="{5FD75D34-1CB1-42BE-8AE2-42B4CB76D3BD}">
            <x14:dataBar minLength="0" maxLength="100" gradient="0">
              <x14:cfvo type="autoMin"/>
              <x14:cfvo type="autoMax"/>
              <x14:negativeFillColor rgb="FFFF0000"/>
              <x14:axisColor rgb="FF000000"/>
            </x14:dataBar>
          </x14:cfRule>
          <x14:cfRule type="dataBar" id="{1287E35F-6F61-4CA6-A8C4-6DCE83CDA7F0}">
            <x14:dataBar minLength="0" maxLength="100" gradient="0">
              <x14:cfvo type="autoMin"/>
              <x14:cfvo type="autoMax"/>
              <x14:negativeFillColor rgb="FFFF0000"/>
              <x14:axisColor rgb="FF000000"/>
            </x14:dataBar>
          </x14:cfRule>
          <x14:cfRule type="dataBar" id="{C2956E02-6893-4044-9874-7748B13886F5}">
            <x14:dataBar minLength="0" maxLength="100" gradient="0">
              <x14:cfvo type="autoMin"/>
              <x14:cfvo type="autoMax"/>
              <x14:negativeFillColor rgb="FFFF0000"/>
              <x14:axisColor rgb="FF000000"/>
            </x14:dataBar>
          </x14:cfRule>
          <xm:sqref>M45</xm:sqref>
        </x14:conditionalFormatting>
        <x14:conditionalFormatting xmlns:xm="http://schemas.microsoft.com/office/excel/2006/main">
          <x14:cfRule type="dataBar" id="{36882184-B6AB-4E65-A067-3E602C1DC3B0}">
            <x14:dataBar minLength="0" maxLength="100" gradient="0">
              <x14:cfvo type="autoMin"/>
              <x14:cfvo type="autoMax"/>
              <x14:negativeFillColor rgb="FFFF0000"/>
              <x14:axisColor rgb="FF000000"/>
            </x14:dataBar>
          </x14:cfRule>
          <xm:sqref>G21:G24</xm:sqref>
        </x14:conditionalFormatting>
        <x14:conditionalFormatting xmlns:xm="http://schemas.microsoft.com/office/excel/2006/main">
          <x14:cfRule type="dataBar" id="{28998826-E5B3-4B45-8D5C-87B0D5DFCCB0}">
            <x14:dataBar minLength="0" maxLength="100" gradient="0">
              <x14:cfvo type="autoMin"/>
              <x14:cfvo type="autoMax"/>
              <x14:negativeFillColor rgb="FFFF0000"/>
              <x14:axisColor rgb="FF000000"/>
            </x14:dataBar>
          </x14:cfRule>
          <xm:sqref>I21:I28</xm:sqref>
        </x14:conditionalFormatting>
        <x14:conditionalFormatting xmlns:xm="http://schemas.microsoft.com/office/excel/2006/main">
          <x14:cfRule type="dataBar" id="{C4813BF5-217D-4126-8AED-EA4E2C9618BC}">
            <x14:dataBar minLength="0" maxLength="100" gradient="0">
              <x14:cfvo type="autoMin"/>
              <x14:cfvo type="autoMax"/>
              <x14:negativeFillColor rgb="FFFF0000"/>
              <x14:axisColor rgb="FF000000"/>
            </x14:dataBar>
          </x14:cfRule>
          <xm:sqref>G39:G42</xm:sqref>
        </x14:conditionalFormatting>
        <x14:conditionalFormatting xmlns:xm="http://schemas.microsoft.com/office/excel/2006/main">
          <x14:cfRule type="dataBar" id="{59440583-A37C-4C7C-8BAD-D5B18805E032}">
            <x14:dataBar minLength="0" maxLength="100" gradient="0">
              <x14:cfvo type="autoMin"/>
              <x14:cfvo type="autoMax"/>
              <x14:negativeFillColor rgb="FFFF0000"/>
              <x14:axisColor rgb="FF000000"/>
            </x14:dataBar>
          </x14:cfRule>
          <xm:sqref>E46:E49</xm:sqref>
        </x14:conditionalFormatting>
        <x14:conditionalFormatting xmlns:xm="http://schemas.microsoft.com/office/excel/2006/main">
          <x14:cfRule type="dataBar" id="{C58C3B5B-EC79-4F1F-9BF5-613EE1E70486}">
            <x14:dataBar minLength="0" maxLength="100" gradient="0">
              <x14:cfvo type="autoMin"/>
              <x14:cfvo type="autoMax"/>
              <x14:negativeFillColor rgb="FFFF0000"/>
              <x14:axisColor rgb="FF000000"/>
            </x14:dataBar>
          </x14:cfRule>
          <xm:sqref>E51</xm:sqref>
        </x14:conditionalFormatting>
        <x14:conditionalFormatting xmlns:xm="http://schemas.microsoft.com/office/excel/2006/main">
          <x14:cfRule type="dataBar" id="{1F51AB02-D67E-4EE4-85FD-12DDD6F8BF7A}">
            <x14:dataBar minLength="0" maxLength="100" gradient="0">
              <x14:cfvo type="autoMin"/>
              <x14:cfvo type="autoMax"/>
              <x14:negativeFillColor rgb="FFFF0000"/>
              <x14:axisColor rgb="FF000000"/>
            </x14:dataBar>
          </x14:cfRule>
          <xm:sqref>E51</xm:sqref>
        </x14:conditionalFormatting>
        <x14:conditionalFormatting xmlns:xm="http://schemas.microsoft.com/office/excel/2006/main">
          <x14:cfRule type="dataBar" id="{58CDFC30-CF2D-4B90-B01F-F11DD8048ECF}">
            <x14:dataBar minLength="0" maxLength="100" gradient="0">
              <x14:cfvo type="autoMin"/>
              <x14:cfvo type="autoMax"/>
              <x14:negativeFillColor rgb="FFFF0000"/>
              <x14:axisColor rgb="FF000000"/>
            </x14:dataBar>
          </x14:cfRule>
          <xm:sqref>E46:E49</xm:sqref>
        </x14:conditionalFormatting>
        <x14:conditionalFormatting xmlns:xm="http://schemas.microsoft.com/office/excel/2006/main">
          <x14:cfRule type="dataBar" id="{0BE6BC5D-62CD-4FCC-A8B7-B3D34C2D97BE}">
            <x14:dataBar minLength="0" maxLength="100" gradient="0">
              <x14:cfvo type="autoMin"/>
              <x14:cfvo type="autoMax"/>
              <x14:negativeFillColor rgb="FFFF0000"/>
              <x14:axisColor rgb="FF000000"/>
            </x14:dataBar>
          </x14:cfRule>
          <xm:sqref>G46:G49</xm:sqref>
        </x14:conditionalFormatting>
        <x14:conditionalFormatting xmlns:xm="http://schemas.microsoft.com/office/excel/2006/main">
          <x14:cfRule type="dataBar" id="{4AF2C4DA-F15A-4CC9-A325-B2510CB7A560}">
            <x14:dataBar minLength="0" maxLength="100" gradient="0">
              <x14:cfvo type="autoMin"/>
              <x14:cfvo type="autoMax"/>
              <x14:negativeFillColor rgb="FFFF0000"/>
              <x14:axisColor rgb="FF000000"/>
            </x14:dataBar>
          </x14:cfRule>
          <xm:sqref>E46:E52</xm:sqref>
        </x14:conditionalFormatting>
        <x14:conditionalFormatting xmlns:xm="http://schemas.microsoft.com/office/excel/2006/main">
          <x14:cfRule type="dataBar" id="{4620912B-0E62-4F0E-8E02-73D196F096DF}">
            <x14:dataBar minLength="0" maxLength="100" gradient="0">
              <x14:cfvo type="autoMin"/>
              <x14:cfvo type="autoMax"/>
              <x14:negativeFillColor rgb="FFFF0000"/>
              <x14:axisColor rgb="FF000000"/>
            </x14:dataBar>
          </x14:cfRule>
          <xm:sqref>I30:I37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6BCF-6587-40AB-BC75-EFD2578A401A}">
  <sheetPr>
    <tabColor rgb="FFFFC000"/>
  </sheetPr>
  <dimension ref="A1:Q807"/>
  <sheetViews>
    <sheetView tabSelected="1" topLeftCell="A28" zoomScale="63" zoomScaleNormal="85" workbookViewId="0">
      <selection activeCell="H43" sqref="H43"/>
    </sheetView>
  </sheetViews>
  <sheetFormatPr defaultRowHeight="15"/>
  <cols>
    <col min="1" max="1" width="12.85546875" customWidth="1"/>
    <col min="2" max="2" width="16.28515625" customWidth="1"/>
    <col min="3" max="3" width="11" customWidth="1"/>
    <col min="4" max="4" width="37.28515625" customWidth="1"/>
    <col min="5" max="5" width="14.28515625" customWidth="1"/>
    <col min="6" max="6" width="37.7109375" customWidth="1"/>
    <col min="7" max="7" width="15.42578125" customWidth="1"/>
    <col min="8" max="8" width="34.42578125" customWidth="1"/>
    <col min="9" max="9" width="17.42578125" customWidth="1"/>
    <col min="10" max="10" width="13" style="6" customWidth="1"/>
    <col min="11" max="11" width="0.28515625" customWidth="1"/>
    <col min="12" max="12" width="10.85546875" customWidth="1"/>
    <col min="13" max="13" width="12.140625" customWidth="1"/>
    <col min="14" max="14" width="14" customWidth="1"/>
    <col min="15" max="15" width="12.85546875" customWidth="1"/>
    <col min="16" max="17" width="38.5703125" customWidth="1"/>
  </cols>
  <sheetData>
    <row r="1" spans="1:17" ht="70.5" customHeight="1" thickBot="1">
      <c r="A1" s="29" t="s">
        <v>0</v>
      </c>
      <c r="B1" s="29" t="s">
        <v>1</v>
      </c>
      <c r="C1" s="29" t="s">
        <v>2</v>
      </c>
      <c r="D1" s="30" t="s">
        <v>3</v>
      </c>
      <c r="E1" s="29" t="s">
        <v>4</v>
      </c>
      <c r="F1" s="29" t="s">
        <v>5</v>
      </c>
      <c r="G1" s="29" t="s">
        <v>6</v>
      </c>
      <c r="H1" s="29" t="s">
        <v>49</v>
      </c>
      <c r="I1" s="29" t="s">
        <v>8</v>
      </c>
      <c r="J1" s="176" t="s">
        <v>9</v>
      </c>
      <c r="K1" s="29" t="s">
        <v>10</v>
      </c>
      <c r="L1" s="29" t="s">
        <v>11</v>
      </c>
      <c r="M1" s="29" t="s">
        <v>50</v>
      </c>
      <c r="N1" s="29" t="s">
        <v>13</v>
      </c>
      <c r="O1" s="29" t="s">
        <v>14</v>
      </c>
      <c r="P1" s="3" t="s">
        <v>88</v>
      </c>
      <c r="Q1" s="3" t="s">
        <v>16</v>
      </c>
    </row>
    <row r="2" spans="1:17" ht="16.5" customHeight="1">
      <c r="A2" s="302" t="s">
        <v>368</v>
      </c>
      <c r="B2" s="45" t="s">
        <v>369</v>
      </c>
      <c r="C2" s="116">
        <v>0.02</v>
      </c>
      <c r="D2" s="33" t="s">
        <v>370</v>
      </c>
      <c r="E2" s="34">
        <v>0.4</v>
      </c>
      <c r="F2" s="33" t="s">
        <v>170</v>
      </c>
      <c r="G2" s="34">
        <v>0.02</v>
      </c>
      <c r="H2" s="36" t="s">
        <v>20</v>
      </c>
      <c r="I2" s="35">
        <v>5.7999999999999996E-3</v>
      </c>
      <c r="J2" s="37">
        <v>4</v>
      </c>
      <c r="K2" s="37"/>
      <c r="L2" s="37">
        <v>3</v>
      </c>
      <c r="M2" s="53">
        <v>12</v>
      </c>
      <c r="N2" s="39">
        <v>3</v>
      </c>
      <c r="O2" s="35">
        <v>0.72</v>
      </c>
      <c r="P2" s="24" t="s">
        <v>371</v>
      </c>
      <c r="Q2" s="253" t="s">
        <v>372</v>
      </c>
    </row>
    <row r="3" spans="1:17" ht="16.5" customHeight="1">
      <c r="A3" s="303"/>
      <c r="B3" s="255"/>
      <c r="C3" s="31"/>
      <c r="D3" s="33" t="s">
        <v>373</v>
      </c>
      <c r="E3" s="34">
        <v>0.6</v>
      </c>
      <c r="F3" s="33"/>
      <c r="G3" s="34"/>
      <c r="H3" s="36" t="s">
        <v>26</v>
      </c>
      <c r="I3" s="35">
        <v>5.7999999999999996E-3</v>
      </c>
      <c r="J3" s="37"/>
      <c r="K3" s="37"/>
      <c r="L3" s="37"/>
      <c r="M3" s="53"/>
      <c r="N3" s="39"/>
      <c r="O3" s="35"/>
      <c r="P3" s="252"/>
      <c r="Q3" s="252"/>
    </row>
    <row r="4" spans="1:17" ht="16.5" customHeight="1">
      <c r="A4" s="303"/>
      <c r="B4" s="255"/>
      <c r="C4" s="31"/>
      <c r="D4" s="33"/>
      <c r="E4" s="34"/>
      <c r="F4" s="33"/>
      <c r="G4" s="34"/>
      <c r="H4" s="36" t="s">
        <v>24</v>
      </c>
      <c r="I4" s="35">
        <v>5.7999999999999996E-3</v>
      </c>
      <c r="J4" s="37"/>
      <c r="K4" s="37"/>
      <c r="L4" s="37"/>
      <c r="M4" s="53"/>
      <c r="N4" s="39"/>
      <c r="O4" s="35"/>
      <c r="P4" s="252"/>
      <c r="Q4" s="252"/>
    </row>
    <row r="5" spans="1:17" ht="16.5" customHeight="1">
      <c r="A5" s="303"/>
      <c r="B5" s="255"/>
      <c r="C5" s="31"/>
      <c r="D5" s="33"/>
      <c r="E5" s="34"/>
      <c r="F5" s="33"/>
      <c r="G5" s="34"/>
      <c r="H5" s="36" t="s">
        <v>374</v>
      </c>
      <c r="I5" s="35">
        <v>1.4000000000000002E-3</v>
      </c>
      <c r="J5" s="37"/>
      <c r="K5" s="37"/>
      <c r="L5" s="37"/>
      <c r="M5" s="53"/>
      <c r="N5" s="39"/>
      <c r="O5" s="35"/>
      <c r="P5" s="252"/>
      <c r="Q5" s="252"/>
    </row>
    <row r="6" spans="1:17" ht="16.5" customHeight="1">
      <c r="A6" s="303"/>
      <c r="B6" s="255"/>
      <c r="C6" s="31"/>
      <c r="D6" s="33"/>
      <c r="E6" s="34"/>
      <c r="F6" s="33"/>
      <c r="G6" s="34"/>
      <c r="H6" s="36" t="s">
        <v>375</v>
      </c>
      <c r="I6" s="35">
        <v>2.0000000000000001E-4</v>
      </c>
      <c r="J6" s="37"/>
      <c r="K6" s="37"/>
      <c r="L6" s="37"/>
      <c r="M6" s="53"/>
      <c r="N6" s="39"/>
      <c r="O6" s="35"/>
      <c r="P6" s="252"/>
      <c r="Q6" s="252"/>
    </row>
    <row r="7" spans="1:17" ht="16.5" customHeight="1" thickBot="1">
      <c r="A7" s="303"/>
      <c r="B7" s="255"/>
      <c r="C7" s="31"/>
      <c r="D7" s="33"/>
      <c r="E7" s="34"/>
      <c r="F7" s="33"/>
      <c r="G7" s="34"/>
      <c r="H7" s="36" t="s">
        <v>376</v>
      </c>
      <c r="I7" s="35">
        <v>1E-3</v>
      </c>
      <c r="J7" s="37"/>
      <c r="K7" s="37"/>
      <c r="L7" s="37"/>
      <c r="M7" s="53"/>
      <c r="N7" s="39"/>
      <c r="O7" s="35"/>
      <c r="P7" s="252"/>
      <c r="Q7" s="252"/>
    </row>
    <row r="8" spans="1:17" ht="16.5" customHeight="1" thickBot="1">
      <c r="A8" s="303"/>
      <c r="B8" s="193"/>
      <c r="C8" s="194" t="s">
        <v>31</v>
      </c>
      <c r="D8" s="195"/>
      <c r="E8" s="196"/>
      <c r="F8" s="196"/>
      <c r="G8" s="196">
        <v>0.02</v>
      </c>
      <c r="H8" s="196"/>
      <c r="I8" s="196">
        <v>1.9999999999999997E-2</v>
      </c>
      <c r="J8" s="237"/>
      <c r="K8" s="238"/>
      <c r="L8" s="238"/>
      <c r="M8" s="238"/>
      <c r="N8" s="238"/>
      <c r="O8" s="246">
        <v>0.72</v>
      </c>
      <c r="P8" s="10"/>
      <c r="Q8" s="11"/>
    </row>
    <row r="9" spans="1:17" ht="16.5" customHeight="1">
      <c r="A9" s="303"/>
      <c r="B9" s="115" t="s">
        <v>377</v>
      </c>
      <c r="C9" s="46">
        <v>0.02</v>
      </c>
      <c r="D9" s="47" t="s">
        <v>378</v>
      </c>
      <c r="E9" s="47">
        <v>0.4</v>
      </c>
      <c r="F9" s="47" t="s">
        <v>170</v>
      </c>
      <c r="G9" s="34">
        <v>0.02</v>
      </c>
      <c r="H9" s="34" t="s">
        <v>20</v>
      </c>
      <c r="I9" s="35">
        <v>5.7999999999999996E-3</v>
      </c>
      <c r="J9" s="50">
        <v>5</v>
      </c>
      <c r="K9" s="53"/>
      <c r="L9" s="50">
        <v>3</v>
      </c>
      <c r="M9" s="123">
        <v>12</v>
      </c>
      <c r="N9" s="39">
        <v>3</v>
      </c>
      <c r="O9" s="35">
        <v>0.72</v>
      </c>
      <c r="P9" s="253"/>
      <c r="Q9" s="253" t="s">
        <v>379</v>
      </c>
    </row>
    <row r="10" spans="1:17" ht="16.5" customHeight="1">
      <c r="A10" s="303"/>
      <c r="B10" s="117"/>
      <c r="C10" s="45"/>
      <c r="D10" s="47" t="s">
        <v>373</v>
      </c>
      <c r="E10" s="47">
        <v>0.6</v>
      </c>
      <c r="F10" s="47"/>
      <c r="G10" s="34"/>
      <c r="H10" s="34" t="s">
        <v>29</v>
      </c>
      <c r="I10" s="35">
        <v>8.0000000000000002E-3</v>
      </c>
      <c r="J10" s="50"/>
      <c r="K10" s="53"/>
      <c r="L10" s="50"/>
      <c r="M10" s="123"/>
      <c r="N10" s="39"/>
      <c r="O10" s="35"/>
      <c r="P10" s="252"/>
      <c r="Q10" s="252"/>
    </row>
    <row r="11" spans="1:17" ht="16.5" customHeight="1">
      <c r="A11" s="303"/>
      <c r="B11" s="117"/>
      <c r="C11" s="45"/>
      <c r="D11" s="47"/>
      <c r="E11" s="47"/>
      <c r="F11" s="47"/>
      <c r="G11" s="34"/>
      <c r="H11" s="34" t="s">
        <v>24</v>
      </c>
      <c r="I11" s="35">
        <v>3.5999999999999999E-3</v>
      </c>
      <c r="J11" s="50"/>
      <c r="K11" s="53"/>
      <c r="L11" s="50"/>
      <c r="M11" s="123"/>
      <c r="N11" s="39"/>
      <c r="O11" s="35"/>
      <c r="P11" s="252"/>
      <c r="Q11" s="252"/>
    </row>
    <row r="12" spans="1:17" ht="16.5" customHeight="1">
      <c r="A12" s="303"/>
      <c r="B12" s="117"/>
      <c r="C12" s="45"/>
      <c r="D12" s="47"/>
      <c r="E12" s="47"/>
      <c r="F12" s="47"/>
      <c r="G12" s="34"/>
      <c r="H12" s="34" t="s">
        <v>380</v>
      </c>
      <c r="I12" s="35">
        <v>1.4000000000000002E-3</v>
      </c>
      <c r="J12" s="50"/>
      <c r="K12" s="53"/>
      <c r="L12" s="50"/>
      <c r="M12" s="123"/>
      <c r="N12" s="39"/>
      <c r="O12" s="35"/>
      <c r="P12" s="252"/>
      <c r="Q12" s="252"/>
    </row>
    <row r="13" spans="1:17" ht="16.5" customHeight="1">
      <c r="A13" s="303"/>
      <c r="B13" s="117"/>
      <c r="C13" s="45"/>
      <c r="D13" s="47"/>
      <c r="E13" s="47"/>
      <c r="F13" s="47"/>
      <c r="G13" s="34"/>
      <c r="H13" s="34" t="s">
        <v>381</v>
      </c>
      <c r="I13" s="35">
        <v>2.0000000000000001E-4</v>
      </c>
      <c r="J13" s="40"/>
      <c r="K13" s="50"/>
      <c r="L13" s="50"/>
      <c r="M13" s="38"/>
      <c r="N13" s="39"/>
      <c r="O13" s="35"/>
      <c r="P13" s="252"/>
      <c r="Q13" s="252"/>
    </row>
    <row r="14" spans="1:17" ht="16.5" customHeight="1" thickBot="1">
      <c r="A14" s="303"/>
      <c r="B14" s="117"/>
      <c r="C14" s="45"/>
      <c r="D14" s="47"/>
      <c r="E14" s="47"/>
      <c r="F14" s="47"/>
      <c r="G14" s="34"/>
      <c r="H14" s="34" t="s">
        <v>376</v>
      </c>
      <c r="I14" s="35">
        <v>1E-3</v>
      </c>
      <c r="J14" s="40"/>
      <c r="K14" s="50"/>
      <c r="L14" s="50"/>
      <c r="M14" s="38"/>
      <c r="N14" s="39"/>
      <c r="O14" s="35"/>
      <c r="P14" s="252"/>
      <c r="Q14" s="252"/>
    </row>
    <row r="15" spans="1:17" ht="16.5" customHeight="1" thickBot="1">
      <c r="A15" s="303"/>
      <c r="B15" s="240"/>
      <c r="C15" s="240"/>
      <c r="D15" s="207"/>
      <c r="E15" s="238">
        <v>1</v>
      </c>
      <c r="F15" s="210"/>
      <c r="G15" s="238">
        <v>0.02</v>
      </c>
      <c r="H15" s="238"/>
      <c r="I15" s="238">
        <v>1.9999999999999997E-2</v>
      </c>
      <c r="J15" s="247"/>
      <c r="K15" s="210"/>
      <c r="L15" s="243"/>
      <c r="M15" s="243"/>
      <c r="N15" s="243"/>
      <c r="O15" s="238">
        <v>0.72</v>
      </c>
      <c r="P15" s="13"/>
      <c r="Q15" s="18"/>
    </row>
    <row r="16" spans="1:17" ht="16.5" customHeight="1">
      <c r="A16" s="303"/>
      <c r="B16" s="305" t="s">
        <v>382</v>
      </c>
      <c r="C16" s="256">
        <v>0.1</v>
      </c>
      <c r="D16" s="47" t="s">
        <v>383</v>
      </c>
      <c r="E16" s="34">
        <v>0.05</v>
      </c>
      <c r="F16" s="204" t="s">
        <v>170</v>
      </c>
      <c r="G16" s="34">
        <v>0.1</v>
      </c>
      <c r="H16" s="35" t="s">
        <v>20</v>
      </c>
      <c r="I16" s="34">
        <v>2.5000000000000001E-2</v>
      </c>
      <c r="J16" s="50">
        <v>4</v>
      </c>
      <c r="K16" s="123"/>
      <c r="L16" s="37">
        <v>3</v>
      </c>
      <c r="M16" s="198">
        <v>12</v>
      </c>
      <c r="N16" s="39">
        <v>3</v>
      </c>
      <c r="O16" s="35">
        <v>3.6</v>
      </c>
      <c r="P16" s="26"/>
      <c r="Q16" s="252"/>
    </row>
    <row r="17" spans="1:17" ht="16.5" customHeight="1">
      <c r="A17" s="303"/>
      <c r="B17" s="306"/>
      <c r="C17" s="45"/>
      <c r="D17" s="47" t="s">
        <v>384</v>
      </c>
      <c r="E17" s="34">
        <v>0.05</v>
      </c>
      <c r="F17" s="204"/>
      <c r="G17" s="34"/>
      <c r="H17" s="35" t="s">
        <v>29</v>
      </c>
      <c r="I17" s="34">
        <v>2.5000000000000001E-2</v>
      </c>
      <c r="J17" s="199"/>
      <c r="K17" s="123"/>
      <c r="L17" s="53"/>
      <c r="M17" s="38"/>
      <c r="N17" s="39"/>
      <c r="O17" s="35"/>
      <c r="P17" s="4"/>
      <c r="Q17" s="5"/>
    </row>
    <row r="18" spans="1:17" ht="16.5" customHeight="1">
      <c r="A18" s="303"/>
      <c r="B18" s="306"/>
      <c r="C18" s="45"/>
      <c r="D18" s="47"/>
      <c r="E18" s="34"/>
      <c r="F18" s="204"/>
      <c r="G18" s="34"/>
      <c r="H18" s="35" t="s">
        <v>385</v>
      </c>
      <c r="I18" s="34">
        <v>3.4999999999999996E-2</v>
      </c>
      <c r="J18" s="199"/>
      <c r="K18" s="123"/>
      <c r="L18" s="53"/>
      <c r="M18" s="38"/>
      <c r="N18" s="39"/>
      <c r="O18" s="35"/>
      <c r="P18" s="26"/>
      <c r="Q18" s="252"/>
    </row>
    <row r="19" spans="1:17" ht="16.5" customHeight="1">
      <c r="A19" s="303"/>
      <c r="B19" s="306"/>
      <c r="C19" s="45"/>
      <c r="D19" s="47"/>
      <c r="E19" s="34"/>
      <c r="F19" s="204"/>
      <c r="G19" s="34"/>
      <c r="H19" s="35" t="s">
        <v>386</v>
      </c>
      <c r="I19" s="34">
        <v>1.0000000000000002E-2</v>
      </c>
      <c r="J19" s="199"/>
      <c r="K19" s="123"/>
      <c r="L19" s="53"/>
      <c r="M19" s="38"/>
      <c r="N19" s="39"/>
      <c r="O19" s="35"/>
      <c r="P19" s="4"/>
      <c r="Q19" s="5"/>
    </row>
    <row r="20" spans="1:17" ht="16.5" customHeight="1">
      <c r="A20" s="303"/>
      <c r="B20" s="306"/>
      <c r="C20" s="45"/>
      <c r="D20" s="47"/>
      <c r="E20" s="127"/>
      <c r="F20" s="204"/>
      <c r="G20" s="257"/>
      <c r="H20" s="35" t="s">
        <v>387</v>
      </c>
      <c r="I20" s="34">
        <v>1E-3</v>
      </c>
      <c r="J20" s="233"/>
      <c r="K20" s="33"/>
      <c r="L20" s="33"/>
      <c r="M20" s="33"/>
      <c r="N20" s="33"/>
      <c r="O20" s="33"/>
      <c r="P20" s="4"/>
      <c r="Q20" s="5"/>
    </row>
    <row r="21" spans="1:17" ht="16.5" customHeight="1" thickBot="1">
      <c r="A21" s="303"/>
      <c r="B21" s="307"/>
      <c r="C21" s="45"/>
      <c r="D21" s="47"/>
      <c r="E21" s="35"/>
      <c r="F21" s="204"/>
      <c r="G21" s="257"/>
      <c r="H21" s="35" t="s">
        <v>376</v>
      </c>
      <c r="I21" s="34">
        <v>4.0000000000000001E-3</v>
      </c>
      <c r="J21" s="37"/>
      <c r="K21" s="37"/>
      <c r="L21" s="37"/>
      <c r="M21" s="38"/>
      <c r="N21" s="37"/>
      <c r="O21" s="35"/>
      <c r="P21" s="27"/>
      <c r="Q21" s="254"/>
    </row>
    <row r="22" spans="1:17" ht="16.5" customHeight="1" thickBot="1">
      <c r="A22" s="303"/>
      <c r="B22" s="207"/>
      <c r="C22" s="208"/>
      <c r="D22" s="208"/>
      <c r="E22" s="238">
        <v>0.1</v>
      </c>
      <c r="F22" s="210"/>
      <c r="G22" s="238">
        <v>0.1</v>
      </c>
      <c r="H22" s="210"/>
      <c r="I22" s="238">
        <v>0.1</v>
      </c>
      <c r="J22" s="248"/>
      <c r="K22" s="210"/>
      <c r="L22" s="210"/>
      <c r="M22" s="210"/>
      <c r="N22" s="249"/>
      <c r="O22" s="238">
        <v>3.6</v>
      </c>
      <c r="P22" s="17"/>
      <c r="Q22" s="12"/>
    </row>
    <row r="23" spans="1:17" ht="16.5" customHeight="1">
      <c r="A23" s="303"/>
      <c r="B23" s="305" t="s">
        <v>388</v>
      </c>
      <c r="C23" s="45">
        <v>6.1000000000000004E-3</v>
      </c>
      <c r="D23" s="47" t="s">
        <v>389</v>
      </c>
      <c r="E23" s="34">
        <v>1.83E-3</v>
      </c>
      <c r="F23" s="47" t="s">
        <v>390</v>
      </c>
      <c r="G23" s="34">
        <v>9.1500000000000001E-4</v>
      </c>
      <c r="H23" s="47" t="s">
        <v>20</v>
      </c>
      <c r="I23" s="34">
        <v>1.5250000000000001E-3</v>
      </c>
      <c r="J23" s="47">
        <v>2</v>
      </c>
      <c r="K23" s="37"/>
      <c r="L23" s="37">
        <v>3</v>
      </c>
      <c r="M23" s="198">
        <v>6</v>
      </c>
      <c r="N23" s="37">
        <v>3</v>
      </c>
      <c r="O23" s="35">
        <v>1.6470000000000002E-2</v>
      </c>
      <c r="P23" s="25" t="s">
        <v>391</v>
      </c>
      <c r="Q23" s="253" t="s">
        <v>392</v>
      </c>
    </row>
    <row r="24" spans="1:17" ht="16.5" customHeight="1">
      <c r="A24" s="303"/>
      <c r="B24" s="306"/>
      <c r="C24" s="45"/>
      <c r="D24" s="47" t="s">
        <v>393</v>
      </c>
      <c r="E24" s="34">
        <v>6.1000000000000008E-4</v>
      </c>
      <c r="F24" s="47" t="s">
        <v>394</v>
      </c>
      <c r="G24" s="34">
        <v>9.1500000000000001E-4</v>
      </c>
      <c r="H24" s="47" t="s">
        <v>29</v>
      </c>
      <c r="I24" s="34">
        <v>9.4550000000000005E-4</v>
      </c>
      <c r="J24" s="47">
        <v>2</v>
      </c>
      <c r="K24" s="37"/>
      <c r="L24" s="37">
        <v>3</v>
      </c>
      <c r="M24" s="198">
        <v>6</v>
      </c>
      <c r="N24" s="37">
        <v>2</v>
      </c>
      <c r="O24" s="35">
        <v>1.098E-2</v>
      </c>
      <c r="P24" s="26"/>
      <c r="Q24" s="252"/>
    </row>
    <row r="25" spans="1:17" ht="16.5" customHeight="1">
      <c r="A25" s="303"/>
      <c r="B25" s="306"/>
      <c r="C25" s="45"/>
      <c r="D25" s="47" t="s">
        <v>395</v>
      </c>
      <c r="E25" s="34">
        <v>1.5250000000000001E-3</v>
      </c>
      <c r="F25" s="47" t="s">
        <v>396</v>
      </c>
      <c r="G25" s="34">
        <v>9.1500000000000001E-4</v>
      </c>
      <c r="H25" s="47" t="s">
        <v>24</v>
      </c>
      <c r="I25" s="34">
        <v>1.5250000000000002E-4</v>
      </c>
      <c r="J25" s="47">
        <v>2</v>
      </c>
      <c r="K25" s="37"/>
      <c r="L25" s="37">
        <v>2</v>
      </c>
      <c r="M25" s="198">
        <v>4</v>
      </c>
      <c r="N25" s="37">
        <v>2</v>
      </c>
      <c r="O25" s="35">
        <v>7.3200000000000001E-3</v>
      </c>
      <c r="P25" s="26"/>
      <c r="Q25" s="252"/>
    </row>
    <row r="26" spans="1:17" ht="16.5" customHeight="1">
      <c r="A26" s="303"/>
      <c r="B26" s="306"/>
      <c r="C26" s="45"/>
      <c r="D26" s="47" t="s">
        <v>397</v>
      </c>
      <c r="E26" s="34">
        <v>9.1500000000000001E-4</v>
      </c>
      <c r="F26" s="47" t="s">
        <v>398</v>
      </c>
      <c r="G26" s="34">
        <v>3.3550000000000003E-3</v>
      </c>
      <c r="H26" s="47" t="s">
        <v>399</v>
      </c>
      <c r="I26" s="34">
        <v>2.745E-3</v>
      </c>
      <c r="J26" s="47">
        <v>3</v>
      </c>
      <c r="K26" s="37"/>
      <c r="L26" s="37">
        <v>5</v>
      </c>
      <c r="M26" s="198">
        <v>15</v>
      </c>
      <c r="N26" s="37">
        <v>3</v>
      </c>
      <c r="O26" s="35">
        <v>0.15097500000000003</v>
      </c>
      <c r="P26" s="26"/>
      <c r="Q26" s="252"/>
    </row>
    <row r="27" spans="1:17" ht="16.5" customHeight="1">
      <c r="A27" s="303"/>
      <c r="B27" s="306"/>
      <c r="C27" s="45"/>
      <c r="D27" s="258" t="s">
        <v>400</v>
      </c>
      <c r="E27" s="34">
        <v>1.2200000000000002E-3</v>
      </c>
      <c r="F27" s="204"/>
      <c r="G27" s="257"/>
      <c r="H27" s="47" t="s">
        <v>401</v>
      </c>
      <c r="I27" s="34">
        <v>6.1000000000000008E-4</v>
      </c>
      <c r="J27" s="38"/>
      <c r="K27" s="53"/>
      <c r="L27" s="53"/>
      <c r="M27" s="53"/>
      <c r="N27" s="33"/>
      <c r="O27" s="33"/>
      <c r="P27" s="26"/>
      <c r="Q27" s="252"/>
    </row>
    <row r="28" spans="1:17" ht="16.5" customHeight="1" thickBot="1">
      <c r="A28" s="303"/>
      <c r="B28" s="307"/>
      <c r="C28" s="45"/>
      <c r="D28" s="47"/>
      <c r="E28" s="35"/>
      <c r="F28" s="204"/>
      <c r="G28" s="257"/>
      <c r="H28" s="47" t="s">
        <v>376</v>
      </c>
      <c r="I28" s="34">
        <v>1.5250000000000002E-4</v>
      </c>
      <c r="J28" s="38"/>
      <c r="K28" s="53"/>
      <c r="L28" s="53"/>
      <c r="M28" s="53"/>
      <c r="N28" s="33"/>
      <c r="O28" s="33"/>
      <c r="P28" s="26"/>
      <c r="Q28" s="252"/>
    </row>
    <row r="29" spans="1:17" ht="16.5" customHeight="1" thickBot="1">
      <c r="A29" s="303"/>
      <c r="B29" s="245"/>
      <c r="C29" s="208"/>
      <c r="D29" s="209"/>
      <c r="E29" s="238">
        <v>6.1000000000000013E-3</v>
      </c>
      <c r="F29" s="250"/>
      <c r="G29" s="238">
        <v>6.1000000000000004E-3</v>
      </c>
      <c r="H29" s="250"/>
      <c r="I29" s="238">
        <v>6.1304999999999997E-3</v>
      </c>
      <c r="J29" s="250"/>
      <c r="K29" s="250"/>
      <c r="L29" s="250"/>
      <c r="M29" s="250"/>
      <c r="N29" s="250"/>
      <c r="O29" s="238">
        <v>0.18574500000000002</v>
      </c>
      <c r="P29" s="11"/>
      <c r="Q29" s="28"/>
    </row>
    <row r="30" spans="1:17" ht="16.5" customHeight="1">
      <c r="A30" s="303"/>
      <c r="B30" s="305" t="s">
        <v>402</v>
      </c>
      <c r="C30" s="45">
        <v>6.9999999999999999E-4</v>
      </c>
      <c r="D30" s="47" t="s">
        <v>389</v>
      </c>
      <c r="E30" s="34">
        <v>0.4</v>
      </c>
      <c r="F30" s="47" t="s">
        <v>398</v>
      </c>
      <c r="G30" s="34">
        <v>6.9999999999999999E-4</v>
      </c>
      <c r="H30" s="47" t="s">
        <v>20</v>
      </c>
      <c r="I30" s="34">
        <v>2.0999999999999998E-4</v>
      </c>
      <c r="J30" s="47">
        <v>2</v>
      </c>
      <c r="K30" s="37"/>
      <c r="L30" s="37">
        <v>5</v>
      </c>
      <c r="M30" s="198">
        <v>10</v>
      </c>
      <c r="N30" s="37">
        <v>3</v>
      </c>
      <c r="O30" s="35">
        <v>2.1000000000000001E-2</v>
      </c>
      <c r="P30" s="25"/>
      <c r="Q30" s="253"/>
    </row>
    <row r="31" spans="1:17" ht="16.5" customHeight="1">
      <c r="A31" s="303"/>
      <c r="B31" s="306"/>
      <c r="C31" s="45"/>
      <c r="D31" s="47" t="s">
        <v>393</v>
      </c>
      <c r="E31" s="34">
        <v>0.1</v>
      </c>
      <c r="F31" s="47"/>
      <c r="G31" s="34"/>
      <c r="H31" s="47" t="s">
        <v>29</v>
      </c>
      <c r="I31" s="34">
        <v>1.75E-4</v>
      </c>
      <c r="J31" s="47"/>
      <c r="K31" s="37"/>
      <c r="L31" s="37"/>
      <c r="M31" s="38"/>
      <c r="N31" s="37"/>
      <c r="O31" s="35"/>
      <c r="P31" s="26"/>
      <c r="Q31" s="252"/>
    </row>
    <row r="32" spans="1:17" ht="16.5" customHeight="1">
      <c r="A32" s="303"/>
      <c r="B32" s="306"/>
      <c r="C32" s="45"/>
      <c r="D32" s="47" t="s">
        <v>395</v>
      </c>
      <c r="E32" s="34">
        <v>0.3</v>
      </c>
      <c r="F32" s="47"/>
      <c r="G32" s="34"/>
      <c r="H32" s="47" t="s">
        <v>24</v>
      </c>
      <c r="I32" s="34">
        <v>1.0499999999999999E-4</v>
      </c>
      <c r="J32" s="47"/>
      <c r="K32" s="37"/>
      <c r="L32" s="37"/>
      <c r="M32" s="38"/>
      <c r="N32" s="37"/>
      <c r="O32" s="35"/>
      <c r="P32" s="26"/>
      <c r="Q32" s="252"/>
    </row>
    <row r="33" spans="1:17" ht="16.5" customHeight="1">
      <c r="A33" s="303"/>
      <c r="B33" s="306"/>
      <c r="C33" s="45"/>
      <c r="D33" s="47" t="s">
        <v>397</v>
      </c>
      <c r="E33" s="34">
        <v>0.1</v>
      </c>
      <c r="F33" s="47"/>
      <c r="G33" s="34"/>
      <c r="H33" s="47" t="s">
        <v>386</v>
      </c>
      <c r="I33" s="34">
        <v>6.9999999999999999E-6</v>
      </c>
      <c r="J33" s="47"/>
      <c r="K33" s="37"/>
      <c r="L33" s="37"/>
      <c r="M33" s="38"/>
      <c r="N33" s="37"/>
      <c r="O33" s="35"/>
      <c r="P33" s="26"/>
      <c r="Q33" s="252"/>
    </row>
    <row r="34" spans="1:17" ht="16.5" customHeight="1">
      <c r="A34" s="303"/>
      <c r="B34" s="306"/>
      <c r="C34" s="45"/>
      <c r="D34" s="47" t="s">
        <v>400</v>
      </c>
      <c r="E34" s="34">
        <v>0.1</v>
      </c>
      <c r="F34" s="204"/>
      <c r="G34" s="257"/>
      <c r="H34" s="47" t="s">
        <v>387</v>
      </c>
      <c r="I34" s="34">
        <v>1.3300000000000001E-4</v>
      </c>
      <c r="J34" s="38"/>
      <c r="K34" s="53"/>
      <c r="L34" s="53"/>
      <c r="M34" s="53"/>
      <c r="N34" s="33"/>
      <c r="O34" s="33"/>
      <c r="P34" s="26"/>
      <c r="Q34" s="252"/>
    </row>
    <row r="35" spans="1:17" ht="16.5" customHeight="1" thickBot="1">
      <c r="A35" s="311"/>
      <c r="B35" s="307"/>
      <c r="C35" s="45"/>
      <c r="D35" s="47"/>
      <c r="E35" s="35"/>
      <c r="F35" s="204"/>
      <c r="G35" s="257"/>
      <c r="H35" s="47" t="s">
        <v>376</v>
      </c>
      <c r="I35" s="34">
        <v>7.0000000000000007E-5</v>
      </c>
      <c r="J35" s="38"/>
      <c r="K35" s="53"/>
      <c r="L35" s="53"/>
      <c r="M35" s="53"/>
      <c r="N35" s="33"/>
      <c r="O35" s="33"/>
      <c r="P35" s="26"/>
      <c r="Q35" s="252"/>
    </row>
    <row r="36" spans="1:17" ht="12.75" customHeight="1" thickBot="1">
      <c r="A36" s="244"/>
      <c r="B36" s="245"/>
      <c r="C36" s="208"/>
      <c r="D36" s="209"/>
      <c r="E36" s="238">
        <v>1</v>
      </c>
      <c r="F36" s="250"/>
      <c r="G36" s="238">
        <v>6.9999999999999999E-4</v>
      </c>
      <c r="H36" s="250"/>
      <c r="I36" s="238">
        <v>6.9999999999999988E-4</v>
      </c>
      <c r="J36" s="250"/>
      <c r="K36" s="250"/>
      <c r="L36" s="250"/>
      <c r="M36" s="250"/>
      <c r="N36" s="250"/>
      <c r="O36" s="238">
        <v>2.1000000000000001E-2</v>
      </c>
      <c r="P36" s="11"/>
      <c r="Q36" s="28"/>
    </row>
    <row r="37" spans="1:17" ht="15" customHeight="1">
      <c r="A37" s="67"/>
      <c r="B37" s="127"/>
      <c r="C37" s="251">
        <v>0.14680000000000001</v>
      </c>
      <c r="D37" s="127"/>
      <c r="E37" s="127"/>
      <c r="F37" s="127"/>
      <c r="G37" s="127"/>
      <c r="H37" s="127"/>
      <c r="I37" s="127"/>
      <c r="J37" s="233"/>
      <c r="K37" s="127"/>
      <c r="L37" s="127"/>
      <c r="M37" s="127"/>
      <c r="N37" s="127"/>
      <c r="O37" s="251">
        <v>5.2467449999999998</v>
      </c>
    </row>
    <row r="38" spans="1:17" ht="12.75" customHeight="1">
      <c r="A38" s="2"/>
      <c r="J38"/>
    </row>
    <row r="39" spans="1:17" ht="12.75" customHeight="1">
      <c r="A39" s="2"/>
      <c r="J39"/>
    </row>
    <row r="40" spans="1:17" ht="12.75" customHeight="1">
      <c r="A40" s="2"/>
    </row>
    <row r="41" spans="1:17">
      <c r="A41" s="2"/>
    </row>
    <row r="42" spans="1:17">
      <c r="A42" s="2"/>
    </row>
    <row r="43" spans="1:17">
      <c r="A43" s="2"/>
    </row>
    <row r="44" spans="1:17">
      <c r="A44" s="2"/>
    </row>
    <row r="45" spans="1:17">
      <c r="A45" s="2"/>
    </row>
    <row r="46" spans="1:17">
      <c r="A46" s="2"/>
    </row>
    <row r="47" spans="1:17">
      <c r="A47" s="2"/>
    </row>
    <row r="48" spans="1:17">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sheetData>
  <mergeCells count="4">
    <mergeCell ref="A2:A35"/>
    <mergeCell ref="B23:B28"/>
    <mergeCell ref="B30:B35"/>
    <mergeCell ref="B16:B21"/>
  </mergeCells>
  <conditionalFormatting sqref="E16:E19">
    <cfRule type="dataBar" priority="50">
      <dataBar>
        <cfvo type="min"/>
        <cfvo type="max"/>
        <color rgb="FF63C384"/>
      </dataBar>
      <extLst>
        <ext xmlns:x14="http://schemas.microsoft.com/office/spreadsheetml/2009/9/main" uri="{B025F937-C7B1-47D3-B67F-A62EFF666E3E}">
          <x14:id>{A53893CA-EDF9-4790-9007-13D6D44F021F}</x14:id>
        </ext>
      </extLst>
    </cfRule>
  </conditionalFormatting>
  <conditionalFormatting sqref="M9">
    <cfRule type="cellIs" dxfId="34" priority="43" operator="between">
      <formula>6</formula>
      <formula>12</formula>
    </cfRule>
    <cfRule type="cellIs" dxfId="33" priority="44" operator="greaterThan">
      <formula>12</formula>
    </cfRule>
    <cfRule type="cellIs" dxfId="32" priority="45" operator="lessThan">
      <formula>6</formula>
    </cfRule>
  </conditionalFormatting>
  <conditionalFormatting sqref="M9">
    <cfRule type="cellIs" dxfId="31" priority="46" operator="greaterThan">
      <formula>#REF!</formula>
    </cfRule>
    <cfRule type="cellIs" dxfId="30" priority="47" operator="between">
      <formula>#REF!</formula>
      <formula>#REF!</formula>
    </cfRule>
    <cfRule type="cellIs" dxfId="29" priority="48" operator="lessThan">
      <formula>#REF!</formula>
    </cfRule>
    <cfRule type="cellIs" dxfId="28" priority="49" operator="greaterThan">
      <formula>#REF!</formula>
    </cfRule>
  </conditionalFormatting>
  <conditionalFormatting sqref="N36">
    <cfRule type="dataBar" priority="21">
      <dataBar>
        <cfvo type="min"/>
        <cfvo type="max"/>
        <color theme="2" tint="-0.499984740745262"/>
      </dataBar>
      <extLst>
        <ext xmlns:x14="http://schemas.microsoft.com/office/spreadsheetml/2009/9/main" uri="{B025F937-C7B1-47D3-B67F-A62EFF666E3E}">
          <x14:id>{1EA2997C-F79A-4A32-8708-C7363C52DECA}</x14:id>
        </ext>
      </extLst>
    </cfRule>
  </conditionalFormatting>
  <conditionalFormatting sqref="G16">
    <cfRule type="dataBar" priority="20">
      <dataBar>
        <cfvo type="min"/>
        <cfvo type="max"/>
        <color rgb="FF63C384"/>
      </dataBar>
      <extLst>
        <ext xmlns:x14="http://schemas.microsoft.com/office/spreadsheetml/2009/9/main" uri="{B025F937-C7B1-47D3-B67F-A62EFF666E3E}">
          <x14:id>{3C8130AB-89C9-40CF-B75A-71D5AC8B8F51}</x14:id>
        </ext>
      </extLst>
    </cfRule>
  </conditionalFormatting>
  <conditionalFormatting sqref="I16:I21">
    <cfRule type="dataBar" priority="18">
      <dataBar>
        <cfvo type="min"/>
        <cfvo type="max"/>
        <color rgb="FF63C384"/>
      </dataBar>
      <extLst>
        <ext xmlns:x14="http://schemas.microsoft.com/office/spreadsheetml/2009/9/main" uri="{B025F937-C7B1-47D3-B67F-A62EFF666E3E}">
          <x14:id>{1044F8B6-2272-4279-89E6-E0B204B49026}</x14:id>
        </ext>
      </extLst>
    </cfRule>
  </conditionalFormatting>
  <conditionalFormatting sqref="I16:I21">
    <cfRule type="dataBar" priority="19">
      <dataBar>
        <cfvo type="min"/>
        <cfvo type="max"/>
        <color rgb="FF63C384"/>
      </dataBar>
      <extLst>
        <ext xmlns:x14="http://schemas.microsoft.com/office/spreadsheetml/2009/9/main" uri="{B025F937-C7B1-47D3-B67F-A62EFF666E3E}">
          <x14:id>{C5D0D76E-D873-47D4-A2F9-AC48FC466819}</x14:id>
        </ext>
      </extLst>
    </cfRule>
  </conditionalFormatting>
  <conditionalFormatting sqref="I23:I28">
    <cfRule type="dataBar" priority="17">
      <dataBar>
        <cfvo type="min"/>
        <cfvo type="max"/>
        <color rgb="FF63C384"/>
      </dataBar>
      <extLst>
        <ext xmlns:x14="http://schemas.microsoft.com/office/spreadsheetml/2009/9/main" uri="{B025F937-C7B1-47D3-B67F-A62EFF666E3E}">
          <x14:id>{94C9DA14-38C5-4D5B-83FE-F240E4E0958F}</x14:id>
        </ext>
      </extLst>
    </cfRule>
  </conditionalFormatting>
  <conditionalFormatting sqref="G23:G26">
    <cfRule type="dataBar" priority="16">
      <dataBar>
        <cfvo type="min"/>
        <cfvo type="max"/>
        <color rgb="FF63C384"/>
      </dataBar>
      <extLst>
        <ext xmlns:x14="http://schemas.microsoft.com/office/spreadsheetml/2009/9/main" uri="{B025F937-C7B1-47D3-B67F-A62EFF666E3E}">
          <x14:id>{F86BA549-EE9B-4D98-A98A-C4E82297935D}</x14:id>
        </ext>
      </extLst>
    </cfRule>
  </conditionalFormatting>
  <conditionalFormatting sqref="E23:E27">
    <cfRule type="dataBar" priority="15">
      <dataBar>
        <cfvo type="min"/>
        <cfvo type="max"/>
        <color rgb="FF63C384"/>
      </dataBar>
      <extLst>
        <ext xmlns:x14="http://schemas.microsoft.com/office/spreadsheetml/2009/9/main" uri="{B025F937-C7B1-47D3-B67F-A62EFF666E3E}">
          <x14:id>{BEE966DB-13B7-4318-9979-B4308578385A}</x14:id>
        </ext>
      </extLst>
    </cfRule>
  </conditionalFormatting>
  <conditionalFormatting sqref="O30:O33">
    <cfRule type="dataBar" priority="14">
      <dataBar>
        <cfvo type="min"/>
        <cfvo type="max"/>
        <color rgb="FF00B0F0"/>
      </dataBar>
      <extLst>
        <ext xmlns:x14="http://schemas.microsoft.com/office/spreadsheetml/2009/9/main" uri="{B025F937-C7B1-47D3-B67F-A62EFF666E3E}">
          <x14:id>{1A311DB8-D2D6-4A1D-A7F5-8036A525072A}</x14:id>
        </ext>
      </extLst>
    </cfRule>
  </conditionalFormatting>
  <conditionalFormatting sqref="M30">
    <cfRule type="cellIs" dxfId="27" priority="7" operator="between">
      <formula>6</formula>
      <formula>12</formula>
    </cfRule>
    <cfRule type="cellIs" dxfId="26" priority="8" operator="greaterThan">
      <formula>12</formula>
    </cfRule>
    <cfRule type="cellIs" dxfId="25" priority="9" operator="lessThan">
      <formula>6</formula>
    </cfRule>
  </conditionalFormatting>
  <conditionalFormatting sqref="M30">
    <cfRule type="cellIs" dxfId="24" priority="10" operator="greaterThan">
      <formula>#REF!</formula>
    </cfRule>
    <cfRule type="cellIs" dxfId="23" priority="11" operator="between">
      <formula>#REF!</formula>
      <formula>#REF!</formula>
    </cfRule>
    <cfRule type="cellIs" dxfId="22" priority="12" operator="lessThan">
      <formula>#REF!</formula>
    </cfRule>
    <cfRule type="cellIs" dxfId="21" priority="13" operator="greaterThan">
      <formula>#REF!</formula>
    </cfRule>
  </conditionalFormatting>
  <conditionalFormatting sqref="E35">
    <cfRule type="dataBar" priority="6">
      <dataBar>
        <cfvo type="min"/>
        <cfvo type="max"/>
        <color rgb="FF63C384"/>
      </dataBar>
      <extLst>
        <ext xmlns:x14="http://schemas.microsoft.com/office/spreadsheetml/2009/9/main" uri="{B025F937-C7B1-47D3-B67F-A62EFF666E3E}">
          <x14:id>{591CE80E-6B7D-408D-9219-1F326B3549F1}</x14:id>
        </ext>
      </extLst>
    </cfRule>
  </conditionalFormatting>
  <conditionalFormatting sqref="E35">
    <cfRule type="dataBar" priority="5">
      <dataBar>
        <cfvo type="min"/>
        <cfvo type="max"/>
        <color rgb="FF63C384"/>
      </dataBar>
      <extLst>
        <ext xmlns:x14="http://schemas.microsoft.com/office/spreadsheetml/2009/9/main" uri="{B025F937-C7B1-47D3-B67F-A62EFF666E3E}">
          <x14:id>{18339E98-4C35-4F5D-9339-AD51CB14C510}</x14:id>
        </ext>
      </extLst>
    </cfRule>
  </conditionalFormatting>
  <conditionalFormatting sqref="I30:I35">
    <cfRule type="dataBar" priority="4">
      <dataBar>
        <cfvo type="min"/>
        <cfvo type="max"/>
        <color rgb="FF63C384"/>
      </dataBar>
      <extLst>
        <ext xmlns:x14="http://schemas.microsoft.com/office/spreadsheetml/2009/9/main" uri="{B025F937-C7B1-47D3-B67F-A62EFF666E3E}">
          <x14:id>{B6A0FAE9-BAE0-49C9-95F1-C79B214B181D}</x14:id>
        </ext>
      </extLst>
    </cfRule>
  </conditionalFormatting>
  <conditionalFormatting sqref="G30:G33">
    <cfRule type="dataBar" priority="3">
      <dataBar>
        <cfvo type="min"/>
        <cfvo type="max"/>
        <color rgb="FF63C384"/>
      </dataBar>
      <extLst>
        <ext xmlns:x14="http://schemas.microsoft.com/office/spreadsheetml/2009/9/main" uri="{B025F937-C7B1-47D3-B67F-A62EFF666E3E}">
          <x14:id>{FC9DF21D-D1DE-4C08-8E7F-7FD4FA49B286}</x14:id>
        </ext>
      </extLst>
    </cfRule>
  </conditionalFormatting>
  <conditionalFormatting sqref="E30:E34">
    <cfRule type="dataBar" priority="2">
      <dataBar>
        <cfvo type="min"/>
        <cfvo type="max"/>
        <color rgb="FF63C384"/>
      </dataBar>
      <extLst>
        <ext xmlns:x14="http://schemas.microsoft.com/office/spreadsheetml/2009/9/main" uri="{B025F937-C7B1-47D3-B67F-A62EFF666E3E}">
          <x14:id>{7A0253FD-B00F-492B-9B83-8B2D314C7313}</x14:id>
        </ext>
      </extLst>
    </cfRule>
  </conditionalFormatting>
  <conditionalFormatting sqref="M2">
    <cfRule type="cellIs" dxfId="20" priority="51" operator="between">
      <formula>6</formula>
      <formula>12</formula>
    </cfRule>
    <cfRule type="cellIs" dxfId="19" priority="52" operator="greaterThan">
      <formula>12</formula>
    </cfRule>
    <cfRule type="cellIs" dxfId="18" priority="53" operator="lessThan">
      <formula>6</formula>
    </cfRule>
  </conditionalFormatting>
  <conditionalFormatting sqref="M2">
    <cfRule type="cellIs" dxfId="17" priority="58" operator="greaterThan">
      <formula>#REF!</formula>
    </cfRule>
    <cfRule type="cellIs" dxfId="16" priority="59" operator="between">
      <formula>#REF!</formula>
      <formula>#REF!</formula>
    </cfRule>
    <cfRule type="cellIs" dxfId="15" priority="60" operator="lessThan">
      <formula>#REF!</formula>
    </cfRule>
    <cfRule type="cellIs" dxfId="14" priority="61" operator="greaterThan">
      <formula>#REF!</formula>
    </cfRule>
  </conditionalFormatting>
  <conditionalFormatting sqref="O23:O26 O21">
    <cfRule type="dataBar" priority="42">
      <dataBar>
        <cfvo type="min"/>
        <cfvo type="max"/>
        <color rgb="FF00B0F0"/>
      </dataBar>
      <extLst>
        <ext xmlns:x14="http://schemas.microsoft.com/office/spreadsheetml/2009/9/main" uri="{B025F937-C7B1-47D3-B67F-A62EFF666E3E}">
          <x14:id>{4D3CF1A5-BE52-4964-BCC1-DE259909A078}</x14:id>
        </ext>
      </extLst>
    </cfRule>
  </conditionalFormatting>
  <conditionalFormatting sqref="E16:E19">
    <cfRule type="dataBar" priority="41">
      <dataBar>
        <cfvo type="min"/>
        <cfvo type="max"/>
        <color rgb="FF63C384"/>
      </dataBar>
      <extLst>
        <ext xmlns:x14="http://schemas.microsoft.com/office/spreadsheetml/2009/9/main" uri="{B025F937-C7B1-47D3-B67F-A62EFF666E3E}">
          <x14:id>{566BF78E-3029-4CA5-A735-55C41801C698}</x14:id>
        </ext>
      </extLst>
    </cfRule>
  </conditionalFormatting>
  <conditionalFormatting sqref="M16">
    <cfRule type="cellIs" dxfId="13" priority="34" operator="between">
      <formula>6</formula>
      <formula>12</formula>
    </cfRule>
    <cfRule type="cellIs" dxfId="12" priority="35" operator="greaterThan">
      <formula>12</formula>
    </cfRule>
    <cfRule type="cellIs" dxfId="11" priority="36" operator="lessThan">
      <formula>6</formula>
    </cfRule>
  </conditionalFormatting>
  <conditionalFormatting sqref="M16">
    <cfRule type="cellIs" dxfId="10" priority="37" operator="greaterThan">
      <formula>#REF!</formula>
    </cfRule>
    <cfRule type="cellIs" dxfId="9" priority="38" operator="between">
      <formula>#REF!</formula>
      <formula>#REF!</formula>
    </cfRule>
    <cfRule type="cellIs" dxfId="8" priority="39" operator="lessThan">
      <formula>#REF!</formula>
    </cfRule>
    <cfRule type="cellIs" dxfId="7" priority="40" operator="greaterThan">
      <formula>#REF!</formula>
    </cfRule>
  </conditionalFormatting>
  <conditionalFormatting sqref="O16:O19">
    <cfRule type="dataBar" priority="33">
      <dataBar>
        <cfvo type="min"/>
        <cfvo type="max"/>
        <color rgb="FF008AEF"/>
      </dataBar>
      <extLst>
        <ext xmlns:x14="http://schemas.microsoft.com/office/spreadsheetml/2009/9/main" uri="{B025F937-C7B1-47D3-B67F-A62EFF666E3E}">
          <x14:id>{21A54892-496F-4360-9434-8A16E5B84E7B}</x14:id>
        </ext>
      </extLst>
    </cfRule>
  </conditionalFormatting>
  <conditionalFormatting sqref="M23:M26">
    <cfRule type="cellIs" dxfId="6" priority="26" operator="between">
      <formula>6</formula>
      <formula>12</formula>
    </cfRule>
    <cfRule type="cellIs" dxfId="5" priority="27" operator="greaterThan">
      <formula>12</formula>
    </cfRule>
    <cfRule type="cellIs" dxfId="4" priority="28" operator="lessThan">
      <formula>6</formula>
    </cfRule>
  </conditionalFormatting>
  <conditionalFormatting sqref="M23:M26">
    <cfRule type="cellIs" dxfId="3" priority="29" operator="greaterThan">
      <formula>#REF!</formula>
    </cfRule>
    <cfRule type="cellIs" dxfId="2" priority="30" operator="between">
      <formula>#REF!</formula>
      <formula>#REF!</formula>
    </cfRule>
    <cfRule type="cellIs" dxfId="1" priority="31" operator="lessThan">
      <formula>#REF!</formula>
    </cfRule>
    <cfRule type="cellIs" dxfId="0" priority="32" operator="greaterThan">
      <formula>#REF!</formula>
    </cfRule>
  </conditionalFormatting>
  <conditionalFormatting sqref="N29">
    <cfRule type="dataBar" priority="64">
      <dataBar>
        <cfvo type="min"/>
        <cfvo type="max"/>
        <color theme="2" tint="-0.499984740745262"/>
      </dataBar>
      <extLst>
        <ext xmlns:x14="http://schemas.microsoft.com/office/spreadsheetml/2009/9/main" uri="{B025F937-C7B1-47D3-B67F-A62EFF666E3E}">
          <x14:id>{4926D5F9-F1C6-4420-87E2-489A06DE8603}</x14:id>
        </ext>
      </extLst>
    </cfRule>
  </conditionalFormatting>
  <conditionalFormatting sqref="M22">
    <cfRule type="dataBar" priority="65">
      <dataBar>
        <cfvo type="min"/>
        <cfvo type="max"/>
        <color theme="1" tint="0.499984740745262"/>
      </dataBar>
      <extLst>
        <ext xmlns:x14="http://schemas.microsoft.com/office/spreadsheetml/2009/9/main" uri="{B025F937-C7B1-47D3-B67F-A62EFF666E3E}">
          <x14:id>{338BD93E-9E2F-4E38-8DD4-7CCB22150484}</x14:id>
        </ext>
      </extLst>
    </cfRule>
    <cfRule type="dataBar" priority="66">
      <dataBar>
        <cfvo type="min"/>
        <cfvo type="max"/>
        <color theme="0" tint="-0.14999847407452621"/>
      </dataBar>
      <extLst>
        <ext xmlns:x14="http://schemas.microsoft.com/office/spreadsheetml/2009/9/main" uri="{B025F937-C7B1-47D3-B67F-A62EFF666E3E}">
          <x14:id>{33024C5D-FE21-4B29-8321-7E02A0925F02}</x14:id>
        </ext>
      </extLst>
    </cfRule>
    <cfRule type="dataBar" priority="67">
      <dataBar>
        <cfvo type="min"/>
        <cfvo type="max"/>
        <color theme="2" tint="-0.499984740745262"/>
      </dataBar>
      <extLst>
        <ext xmlns:x14="http://schemas.microsoft.com/office/spreadsheetml/2009/9/main" uri="{B025F937-C7B1-47D3-B67F-A62EFF666E3E}">
          <x14:id>{17DC1DFF-05A9-4C50-AE6A-85641EE9E14E}</x14:id>
        </ext>
      </extLst>
    </cfRule>
  </conditionalFormatting>
  <conditionalFormatting sqref="G9:G12">
    <cfRule type="dataBar" priority="25">
      <dataBar>
        <cfvo type="min"/>
        <cfvo type="max"/>
        <color rgb="FF63C384"/>
      </dataBar>
      <extLst>
        <ext xmlns:x14="http://schemas.microsoft.com/office/spreadsheetml/2009/9/main" uri="{B025F937-C7B1-47D3-B67F-A62EFF666E3E}">
          <x14:id>{799D7F78-84B4-403A-B046-951EA031BF0C}</x14:id>
        </ext>
      </extLst>
    </cfRule>
  </conditionalFormatting>
  <conditionalFormatting sqref="G17:G19">
    <cfRule type="dataBar" priority="24">
      <dataBar>
        <cfvo type="min"/>
        <cfvo type="max"/>
        <color rgb="FF63C384"/>
      </dataBar>
      <extLst>
        <ext xmlns:x14="http://schemas.microsoft.com/office/spreadsheetml/2009/9/main" uri="{B025F937-C7B1-47D3-B67F-A62EFF666E3E}">
          <x14:id>{313853DC-3813-41E6-BA97-D67504BA8AA3}</x14:id>
        </ext>
      </extLst>
    </cfRule>
  </conditionalFormatting>
  <conditionalFormatting sqref="E28">
    <cfRule type="dataBar" priority="23">
      <dataBar>
        <cfvo type="min"/>
        <cfvo type="max"/>
        <color rgb="FF63C384"/>
      </dataBar>
      <extLst>
        <ext xmlns:x14="http://schemas.microsoft.com/office/spreadsheetml/2009/9/main" uri="{B025F937-C7B1-47D3-B67F-A62EFF666E3E}">
          <x14:id>{E0354329-E0C6-4F15-97B8-58CA87E73D01}</x14:id>
        </ext>
      </extLst>
    </cfRule>
  </conditionalFormatting>
  <conditionalFormatting sqref="E28">
    <cfRule type="dataBar" priority="22">
      <dataBar>
        <cfvo type="min"/>
        <cfvo type="max"/>
        <color rgb="FF63C384"/>
      </dataBar>
      <extLst>
        <ext xmlns:x14="http://schemas.microsoft.com/office/spreadsheetml/2009/9/main" uri="{B025F937-C7B1-47D3-B67F-A62EFF666E3E}">
          <x14:id>{3B3D1F89-A6FC-48F1-903A-71BA6CFF5199}</x14:id>
        </ext>
      </extLst>
    </cfRule>
  </conditionalFormatting>
  <conditionalFormatting sqref="I2:I7">
    <cfRule type="dataBar" priority="69">
      <dataBar>
        <cfvo type="min"/>
        <cfvo type="max"/>
        <color rgb="FF63C384"/>
      </dataBar>
      <extLst>
        <ext xmlns:x14="http://schemas.microsoft.com/office/spreadsheetml/2009/9/main" uri="{B025F937-C7B1-47D3-B67F-A62EFF666E3E}">
          <x14:id>{E18E4CEC-9EFB-4044-984B-E974A8B91371}</x14:id>
        </ext>
      </extLst>
    </cfRule>
  </conditionalFormatting>
  <conditionalFormatting sqref="G2:G7">
    <cfRule type="dataBar" priority="70">
      <dataBar>
        <cfvo type="min"/>
        <cfvo type="max"/>
        <color rgb="FF63C384"/>
      </dataBar>
      <extLst>
        <ext xmlns:x14="http://schemas.microsoft.com/office/spreadsheetml/2009/9/main" uri="{B025F937-C7B1-47D3-B67F-A62EFF666E3E}">
          <x14:id>{DFF04535-B08D-4279-B3A5-430180155222}</x14:id>
        </ext>
      </extLst>
    </cfRule>
  </conditionalFormatting>
  <conditionalFormatting sqref="O2:O7">
    <cfRule type="dataBar" priority="71">
      <dataBar>
        <cfvo type="min"/>
        <cfvo type="max"/>
        <color rgb="FFD6007B"/>
      </dataBar>
      <extLst>
        <ext xmlns:x14="http://schemas.microsoft.com/office/spreadsheetml/2009/9/main" uri="{B025F937-C7B1-47D3-B67F-A62EFF666E3E}">
          <x14:id>{3BBF6B7F-69CC-42BD-B514-ADC3D1936949}</x14:id>
        </ext>
      </extLst>
    </cfRule>
  </conditionalFormatting>
  <conditionalFormatting sqref="O2:O7">
    <cfRule type="dataBar" priority="72">
      <dataBar>
        <cfvo type="min"/>
        <cfvo type="max"/>
        <color rgb="FF00B0F0"/>
      </dataBar>
      <extLst>
        <ext xmlns:x14="http://schemas.microsoft.com/office/spreadsheetml/2009/9/main" uri="{B025F937-C7B1-47D3-B67F-A62EFF666E3E}">
          <x14:id>{1F95AF4C-9896-454C-AEBB-8F66111CCBE4}</x14:id>
        </ext>
      </extLst>
    </cfRule>
    <cfRule type="dataBar" priority="73">
      <dataBar>
        <cfvo type="min"/>
        <cfvo type="max"/>
        <color rgb="FF00B0F0"/>
      </dataBar>
      <extLst>
        <ext xmlns:x14="http://schemas.microsoft.com/office/spreadsheetml/2009/9/main" uri="{B025F937-C7B1-47D3-B67F-A62EFF666E3E}">
          <x14:id>{89C092BE-185B-4F0B-B437-3F87409B51E4}</x14:id>
        </ext>
      </extLst>
    </cfRule>
  </conditionalFormatting>
  <conditionalFormatting sqref="E2:E7">
    <cfRule type="dataBar" priority="74">
      <dataBar>
        <cfvo type="min"/>
        <cfvo type="max"/>
        <color rgb="FF63C384"/>
      </dataBar>
      <extLst>
        <ext xmlns:x14="http://schemas.microsoft.com/office/spreadsheetml/2009/9/main" uri="{B025F937-C7B1-47D3-B67F-A62EFF666E3E}">
          <x14:id>{388DB711-6B5D-4D9D-A752-937DC7322E2E}</x14:id>
        </ext>
      </extLst>
    </cfRule>
    <cfRule type="dataBar" priority="75">
      <dataBar>
        <cfvo type="min"/>
        <cfvo type="max"/>
        <color rgb="FF63C384"/>
      </dataBar>
      <extLst>
        <ext xmlns:x14="http://schemas.microsoft.com/office/spreadsheetml/2009/9/main" uri="{B025F937-C7B1-47D3-B67F-A62EFF666E3E}">
          <x14:id>{AC9546A9-F328-43C2-90C0-04101AD845E5}</x14:id>
        </ext>
      </extLst>
    </cfRule>
  </conditionalFormatting>
  <conditionalFormatting sqref="E2:E7">
    <cfRule type="dataBar" priority="76">
      <dataBar>
        <cfvo type="min"/>
        <cfvo type="max"/>
        <color rgb="FF63C384"/>
      </dataBar>
      <extLst>
        <ext xmlns:x14="http://schemas.microsoft.com/office/spreadsheetml/2009/9/main" uri="{B025F937-C7B1-47D3-B67F-A62EFF666E3E}">
          <x14:id>{08559DAC-8566-42B5-8623-8128E2D04C58}</x14:id>
        </ext>
      </extLst>
    </cfRule>
  </conditionalFormatting>
  <conditionalFormatting sqref="E11:E14">
    <cfRule type="dataBar" priority="77">
      <dataBar>
        <cfvo type="min"/>
        <cfvo type="max"/>
        <color rgb="FF63C384"/>
      </dataBar>
      <extLst>
        <ext xmlns:x14="http://schemas.microsoft.com/office/spreadsheetml/2009/9/main" uri="{B025F937-C7B1-47D3-B67F-A62EFF666E3E}">
          <x14:id>{EA676A2C-FAB9-415E-BE6E-E17080F1ECDB}</x14:id>
        </ext>
      </extLst>
    </cfRule>
  </conditionalFormatting>
  <conditionalFormatting sqref="I9:I14">
    <cfRule type="dataBar" priority="78">
      <dataBar>
        <cfvo type="min"/>
        <cfvo type="max"/>
        <color rgb="FF63C384"/>
      </dataBar>
      <extLst>
        <ext xmlns:x14="http://schemas.microsoft.com/office/spreadsheetml/2009/9/main" uri="{B025F937-C7B1-47D3-B67F-A62EFF666E3E}">
          <x14:id>{ACAEC3D0-DFB3-488C-B855-E04125DCA38E}</x14:id>
        </ext>
      </extLst>
    </cfRule>
  </conditionalFormatting>
  <conditionalFormatting sqref="E21">
    <cfRule type="dataBar" priority="79">
      <dataBar>
        <cfvo type="min"/>
        <cfvo type="max"/>
        <color rgb="FF63C384"/>
      </dataBar>
      <extLst>
        <ext xmlns:x14="http://schemas.microsoft.com/office/spreadsheetml/2009/9/main" uri="{B025F937-C7B1-47D3-B67F-A62EFF666E3E}">
          <x14:id>{6FECAD99-CB6A-4926-B255-EC86513C1D82}</x14:id>
        </ext>
      </extLst>
    </cfRule>
  </conditionalFormatting>
  <conditionalFormatting sqref="E21">
    <cfRule type="dataBar" priority="80">
      <dataBar>
        <cfvo type="min"/>
        <cfvo type="max"/>
        <color rgb="FF63C384"/>
      </dataBar>
      <extLst>
        <ext xmlns:x14="http://schemas.microsoft.com/office/spreadsheetml/2009/9/main" uri="{B025F937-C7B1-47D3-B67F-A62EFF666E3E}">
          <x14:id>{45449ABF-F093-44AF-9BA0-3EF7EFAD8741}</x14:id>
        </ext>
      </extLst>
    </cfRule>
  </conditionalFormatting>
  <conditionalFormatting sqref="G13:G14">
    <cfRule type="dataBar" priority="81">
      <dataBar>
        <cfvo type="min"/>
        <cfvo type="max"/>
        <color rgb="FF63C384"/>
      </dataBar>
      <extLst>
        <ext xmlns:x14="http://schemas.microsoft.com/office/spreadsheetml/2009/9/main" uri="{B025F937-C7B1-47D3-B67F-A62EFF666E3E}">
          <x14:id>{CF4E34F3-E3B9-41BB-A4FB-19B7CF89D8CF}</x14:id>
        </ext>
      </extLst>
    </cfRule>
  </conditionalFormatting>
  <conditionalFormatting sqref="O9:O14">
    <cfRule type="dataBar" priority="82">
      <dataBar>
        <cfvo type="min"/>
        <cfvo type="max"/>
        <color rgb="FF00B0F0"/>
      </dataBar>
      <extLst>
        <ext xmlns:x14="http://schemas.microsoft.com/office/spreadsheetml/2009/9/main" uri="{B025F937-C7B1-47D3-B67F-A62EFF666E3E}">
          <x14:id>{97E36CCD-8319-4C40-9EF2-1A45947171C7}</x14:id>
        </ext>
      </extLst>
    </cfRule>
  </conditionalFormatting>
  <conditionalFormatting sqref="H9:H14">
    <cfRule type="dataBar" priority="83">
      <dataBar>
        <cfvo type="min"/>
        <cfvo type="max"/>
        <color rgb="FF63C384"/>
      </dataBar>
      <extLst>
        <ext xmlns:x14="http://schemas.microsoft.com/office/spreadsheetml/2009/9/main" uri="{B025F937-C7B1-47D3-B67F-A62EFF666E3E}">
          <x14:id>{8FA5CCD9-D5C4-42CF-BB3B-C271F439CA09}</x14:id>
        </ext>
      </extLst>
    </cfRule>
  </conditionalFormatting>
  <dataValidations count="1">
    <dataValidation type="list" allowBlank="1" showInputMessage="1" showErrorMessage="1" sqref="J29:K29 K22:L22 J2:L7 J27:L28 J21:J22 L21:L26 J36:K36 L16:L19" xr:uid="{00309295-BC1C-4D60-9747-C2C215FB6754}">
      <formula1>"1, 2, 3, 4, 5"</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A53893CA-EDF9-4790-9007-13D6D44F021F}">
            <x14:dataBar minLength="0" maxLength="100" gradient="0">
              <x14:cfvo type="autoMin"/>
              <x14:cfvo type="autoMax"/>
              <x14:negativeFillColor rgb="FFFF0000"/>
              <x14:axisColor rgb="FF000000"/>
            </x14:dataBar>
          </x14:cfRule>
          <xm:sqref>E16:E19</xm:sqref>
        </x14:conditionalFormatting>
        <x14:conditionalFormatting xmlns:xm="http://schemas.microsoft.com/office/excel/2006/main">
          <x14:cfRule type="dataBar" id="{1EA2997C-F79A-4A32-8708-C7363C52DECA}">
            <x14:dataBar minLength="0" maxLength="100" gradient="0">
              <x14:cfvo type="autoMin"/>
              <x14:cfvo type="autoMax"/>
              <x14:negativeFillColor rgb="FFFF0000"/>
              <x14:axisColor rgb="FF000000"/>
            </x14:dataBar>
          </x14:cfRule>
          <xm:sqref>N36</xm:sqref>
        </x14:conditionalFormatting>
        <x14:conditionalFormatting xmlns:xm="http://schemas.microsoft.com/office/excel/2006/main">
          <x14:cfRule type="dataBar" id="{3C8130AB-89C9-40CF-B75A-71D5AC8B8F51}">
            <x14:dataBar minLength="0" maxLength="100" gradient="0">
              <x14:cfvo type="autoMin"/>
              <x14:cfvo type="autoMax"/>
              <x14:negativeFillColor rgb="FFFF0000"/>
              <x14:axisColor rgb="FF000000"/>
            </x14:dataBar>
          </x14:cfRule>
          <xm:sqref>G16</xm:sqref>
        </x14:conditionalFormatting>
        <x14:conditionalFormatting xmlns:xm="http://schemas.microsoft.com/office/excel/2006/main">
          <x14:cfRule type="dataBar" id="{1044F8B6-2272-4279-89E6-E0B204B49026}">
            <x14:dataBar minLength="0" maxLength="100" gradient="0">
              <x14:cfvo type="autoMin"/>
              <x14:cfvo type="autoMax"/>
              <x14:negativeFillColor rgb="FFFF0000"/>
              <x14:axisColor rgb="FF000000"/>
            </x14:dataBar>
          </x14:cfRule>
          <xm:sqref>I16:I21</xm:sqref>
        </x14:conditionalFormatting>
        <x14:conditionalFormatting xmlns:xm="http://schemas.microsoft.com/office/excel/2006/main">
          <x14:cfRule type="dataBar" id="{C5D0D76E-D873-47D4-A2F9-AC48FC466819}">
            <x14:dataBar minLength="0" maxLength="100" gradient="0">
              <x14:cfvo type="autoMin"/>
              <x14:cfvo type="autoMax"/>
              <x14:negativeFillColor rgb="FFFF0000"/>
              <x14:axisColor rgb="FF000000"/>
            </x14:dataBar>
          </x14:cfRule>
          <xm:sqref>I16:I21</xm:sqref>
        </x14:conditionalFormatting>
        <x14:conditionalFormatting xmlns:xm="http://schemas.microsoft.com/office/excel/2006/main">
          <x14:cfRule type="dataBar" id="{94C9DA14-38C5-4D5B-83FE-F240E4E0958F}">
            <x14:dataBar minLength="0" maxLength="100" gradient="0">
              <x14:cfvo type="autoMin"/>
              <x14:cfvo type="autoMax"/>
              <x14:negativeFillColor rgb="FFFF0000"/>
              <x14:axisColor rgb="FF000000"/>
            </x14:dataBar>
          </x14:cfRule>
          <xm:sqref>I23:I28</xm:sqref>
        </x14:conditionalFormatting>
        <x14:conditionalFormatting xmlns:xm="http://schemas.microsoft.com/office/excel/2006/main">
          <x14:cfRule type="dataBar" id="{F86BA549-EE9B-4D98-A98A-C4E82297935D}">
            <x14:dataBar minLength="0" maxLength="100" gradient="0">
              <x14:cfvo type="autoMin"/>
              <x14:cfvo type="autoMax"/>
              <x14:negativeFillColor rgb="FFFF0000"/>
              <x14:axisColor rgb="FF000000"/>
            </x14:dataBar>
          </x14:cfRule>
          <xm:sqref>G23:G26</xm:sqref>
        </x14:conditionalFormatting>
        <x14:conditionalFormatting xmlns:xm="http://schemas.microsoft.com/office/excel/2006/main">
          <x14:cfRule type="dataBar" id="{BEE966DB-13B7-4318-9979-B4308578385A}">
            <x14:dataBar minLength="0" maxLength="100" gradient="0">
              <x14:cfvo type="autoMin"/>
              <x14:cfvo type="autoMax"/>
              <x14:negativeFillColor rgb="FFFF0000"/>
              <x14:axisColor rgb="FF000000"/>
            </x14:dataBar>
          </x14:cfRule>
          <xm:sqref>E23:E27</xm:sqref>
        </x14:conditionalFormatting>
        <x14:conditionalFormatting xmlns:xm="http://schemas.microsoft.com/office/excel/2006/main">
          <x14:cfRule type="dataBar" id="{1A311DB8-D2D6-4A1D-A7F5-8036A525072A}">
            <x14:dataBar minLength="0" maxLength="100" gradient="0">
              <x14:cfvo type="autoMin"/>
              <x14:cfvo type="autoMax"/>
              <x14:negativeFillColor rgb="FFFF0000"/>
              <x14:axisColor rgb="FF000000"/>
            </x14:dataBar>
          </x14:cfRule>
          <xm:sqref>O30:O33</xm:sqref>
        </x14:conditionalFormatting>
        <x14:conditionalFormatting xmlns:xm="http://schemas.microsoft.com/office/excel/2006/main">
          <x14:cfRule type="dataBar" id="{591CE80E-6B7D-408D-9219-1F326B3549F1}">
            <x14:dataBar minLength="0" maxLength="100" gradient="0">
              <x14:cfvo type="autoMin"/>
              <x14:cfvo type="autoMax"/>
              <x14:negativeFillColor rgb="FFFF0000"/>
              <x14:axisColor rgb="FF000000"/>
            </x14:dataBar>
          </x14:cfRule>
          <xm:sqref>E35</xm:sqref>
        </x14:conditionalFormatting>
        <x14:conditionalFormatting xmlns:xm="http://schemas.microsoft.com/office/excel/2006/main">
          <x14:cfRule type="dataBar" id="{18339E98-4C35-4F5D-9339-AD51CB14C510}">
            <x14:dataBar minLength="0" maxLength="100" gradient="0">
              <x14:cfvo type="autoMin"/>
              <x14:cfvo type="autoMax"/>
              <x14:negativeFillColor rgb="FFFF0000"/>
              <x14:axisColor rgb="FF000000"/>
            </x14:dataBar>
          </x14:cfRule>
          <xm:sqref>E35</xm:sqref>
        </x14:conditionalFormatting>
        <x14:conditionalFormatting xmlns:xm="http://schemas.microsoft.com/office/excel/2006/main">
          <x14:cfRule type="dataBar" id="{B6A0FAE9-BAE0-49C9-95F1-C79B214B181D}">
            <x14:dataBar minLength="0" maxLength="100" gradient="0">
              <x14:cfvo type="autoMin"/>
              <x14:cfvo type="autoMax"/>
              <x14:negativeFillColor rgb="FFFF0000"/>
              <x14:axisColor rgb="FF000000"/>
            </x14:dataBar>
          </x14:cfRule>
          <xm:sqref>I30:I35</xm:sqref>
        </x14:conditionalFormatting>
        <x14:conditionalFormatting xmlns:xm="http://schemas.microsoft.com/office/excel/2006/main">
          <x14:cfRule type="dataBar" id="{FC9DF21D-D1DE-4C08-8E7F-7FD4FA49B286}">
            <x14:dataBar minLength="0" maxLength="100" gradient="0">
              <x14:cfvo type="autoMin"/>
              <x14:cfvo type="autoMax"/>
              <x14:negativeFillColor rgb="FFFF0000"/>
              <x14:axisColor rgb="FF000000"/>
            </x14:dataBar>
          </x14:cfRule>
          <xm:sqref>G30:G33</xm:sqref>
        </x14:conditionalFormatting>
        <x14:conditionalFormatting xmlns:xm="http://schemas.microsoft.com/office/excel/2006/main">
          <x14:cfRule type="dataBar" id="{7A0253FD-B00F-492B-9B83-8B2D314C7313}">
            <x14:dataBar minLength="0" maxLength="100" gradient="0">
              <x14:cfvo type="autoMin"/>
              <x14:cfvo type="autoMax"/>
              <x14:negativeFillColor rgb="FFFF0000"/>
              <x14:axisColor rgb="FF000000"/>
            </x14:dataBar>
          </x14:cfRule>
          <xm:sqref>E30:E34</xm:sqref>
        </x14:conditionalFormatting>
        <x14:conditionalFormatting xmlns:xm="http://schemas.microsoft.com/office/excel/2006/main">
          <x14:cfRule type="dataBar" id="{4D3CF1A5-BE52-4964-BCC1-DE259909A078}">
            <x14:dataBar minLength="0" maxLength="100" gradient="0">
              <x14:cfvo type="autoMin"/>
              <x14:cfvo type="autoMax"/>
              <x14:negativeFillColor rgb="FFFF0000"/>
              <x14:axisColor rgb="FF000000"/>
            </x14:dataBar>
          </x14:cfRule>
          <xm:sqref>O23:O26 O21</xm:sqref>
        </x14:conditionalFormatting>
        <x14:conditionalFormatting xmlns:xm="http://schemas.microsoft.com/office/excel/2006/main">
          <x14:cfRule type="dataBar" id="{566BF78E-3029-4CA5-A735-55C41801C698}">
            <x14:dataBar minLength="0" maxLength="100" gradient="0">
              <x14:cfvo type="autoMin"/>
              <x14:cfvo type="autoMax"/>
              <x14:negativeFillColor rgb="FFFF0000"/>
              <x14:axisColor rgb="FF000000"/>
            </x14:dataBar>
          </x14:cfRule>
          <xm:sqref>E16:E19</xm:sqref>
        </x14:conditionalFormatting>
        <x14:conditionalFormatting xmlns:xm="http://schemas.microsoft.com/office/excel/2006/main">
          <x14:cfRule type="dataBar" id="{21A54892-496F-4360-9434-8A16E5B84E7B}">
            <x14:dataBar minLength="0" maxLength="100" gradient="0">
              <x14:cfvo type="autoMin"/>
              <x14:cfvo type="autoMax"/>
              <x14:negativeFillColor rgb="FFFF0000"/>
              <x14:axisColor rgb="FF000000"/>
            </x14:dataBar>
          </x14:cfRule>
          <xm:sqref>O16:O19</xm:sqref>
        </x14:conditionalFormatting>
        <x14:conditionalFormatting xmlns:xm="http://schemas.microsoft.com/office/excel/2006/main">
          <x14:cfRule type="dataBar" id="{4926D5F9-F1C6-4420-87E2-489A06DE8603}">
            <x14:dataBar minLength="0" maxLength="100" gradient="0">
              <x14:cfvo type="autoMin"/>
              <x14:cfvo type="autoMax"/>
              <x14:negativeFillColor rgb="FFFF0000"/>
              <x14:axisColor rgb="FF000000"/>
            </x14:dataBar>
          </x14:cfRule>
          <xm:sqref>N29</xm:sqref>
        </x14:conditionalFormatting>
        <x14:conditionalFormatting xmlns:xm="http://schemas.microsoft.com/office/excel/2006/main">
          <x14:cfRule type="dataBar" id="{338BD93E-9E2F-4E38-8DD4-7CCB22150484}">
            <x14:dataBar minLength="0" maxLength="100" gradient="0">
              <x14:cfvo type="autoMin"/>
              <x14:cfvo type="autoMax"/>
              <x14:negativeFillColor rgb="FFFF0000"/>
              <x14:axisColor rgb="FF000000"/>
            </x14:dataBar>
          </x14:cfRule>
          <x14:cfRule type="dataBar" id="{33024C5D-FE21-4B29-8321-7E02A0925F02}">
            <x14:dataBar minLength="0" maxLength="100" gradient="0">
              <x14:cfvo type="autoMin"/>
              <x14:cfvo type="autoMax"/>
              <x14:negativeFillColor rgb="FFFF0000"/>
              <x14:axisColor rgb="FF000000"/>
            </x14:dataBar>
          </x14:cfRule>
          <x14:cfRule type="dataBar" id="{17DC1DFF-05A9-4C50-AE6A-85641EE9E14E}">
            <x14:dataBar minLength="0" maxLength="100" gradient="0">
              <x14:cfvo type="autoMin"/>
              <x14:cfvo type="autoMax"/>
              <x14:negativeFillColor rgb="FFFF0000"/>
              <x14:axisColor rgb="FF000000"/>
            </x14:dataBar>
          </x14:cfRule>
          <xm:sqref>M22</xm:sqref>
        </x14:conditionalFormatting>
        <x14:conditionalFormatting xmlns:xm="http://schemas.microsoft.com/office/excel/2006/main">
          <x14:cfRule type="dataBar" id="{799D7F78-84B4-403A-B046-951EA031BF0C}">
            <x14:dataBar minLength="0" maxLength="100" gradient="0">
              <x14:cfvo type="autoMin"/>
              <x14:cfvo type="autoMax"/>
              <x14:negativeFillColor rgb="FFFF0000"/>
              <x14:axisColor rgb="FF000000"/>
            </x14:dataBar>
          </x14:cfRule>
          <xm:sqref>G9:G12</xm:sqref>
        </x14:conditionalFormatting>
        <x14:conditionalFormatting xmlns:xm="http://schemas.microsoft.com/office/excel/2006/main">
          <x14:cfRule type="dataBar" id="{313853DC-3813-41E6-BA97-D67504BA8AA3}">
            <x14:dataBar minLength="0" maxLength="100" gradient="0">
              <x14:cfvo type="autoMin"/>
              <x14:cfvo type="autoMax"/>
              <x14:negativeFillColor rgb="FFFF0000"/>
              <x14:axisColor rgb="FF000000"/>
            </x14:dataBar>
          </x14:cfRule>
          <xm:sqref>G17:G19</xm:sqref>
        </x14:conditionalFormatting>
        <x14:conditionalFormatting xmlns:xm="http://schemas.microsoft.com/office/excel/2006/main">
          <x14:cfRule type="dataBar" id="{E0354329-E0C6-4F15-97B8-58CA87E73D01}">
            <x14:dataBar minLength="0" maxLength="100" gradient="0">
              <x14:cfvo type="autoMin"/>
              <x14:cfvo type="autoMax"/>
              <x14:negativeFillColor rgb="FFFF0000"/>
              <x14:axisColor rgb="FF000000"/>
            </x14:dataBar>
          </x14:cfRule>
          <xm:sqref>E28</xm:sqref>
        </x14:conditionalFormatting>
        <x14:conditionalFormatting xmlns:xm="http://schemas.microsoft.com/office/excel/2006/main">
          <x14:cfRule type="dataBar" id="{3B3D1F89-A6FC-48F1-903A-71BA6CFF5199}">
            <x14:dataBar minLength="0" maxLength="100" gradient="0">
              <x14:cfvo type="autoMin"/>
              <x14:cfvo type="autoMax"/>
              <x14:negativeFillColor rgb="FFFF0000"/>
              <x14:axisColor rgb="FF000000"/>
            </x14:dataBar>
          </x14:cfRule>
          <xm:sqref>E28</xm:sqref>
        </x14:conditionalFormatting>
        <x14:conditionalFormatting xmlns:xm="http://schemas.microsoft.com/office/excel/2006/main">
          <x14:cfRule type="dataBar" id="{E18E4CEC-9EFB-4044-984B-E974A8B91371}">
            <x14:dataBar minLength="0" maxLength="100" gradient="0">
              <x14:cfvo type="autoMin"/>
              <x14:cfvo type="autoMax"/>
              <x14:negativeFillColor rgb="FFFF0000"/>
              <x14:axisColor rgb="FF000000"/>
            </x14:dataBar>
          </x14:cfRule>
          <xm:sqref>I2:I7</xm:sqref>
        </x14:conditionalFormatting>
        <x14:conditionalFormatting xmlns:xm="http://schemas.microsoft.com/office/excel/2006/main">
          <x14:cfRule type="dataBar" id="{DFF04535-B08D-4279-B3A5-430180155222}">
            <x14:dataBar minLength="0" maxLength="100" gradient="0">
              <x14:cfvo type="autoMin"/>
              <x14:cfvo type="autoMax"/>
              <x14:negativeFillColor rgb="FFFF0000"/>
              <x14:axisColor rgb="FF000000"/>
            </x14:dataBar>
          </x14:cfRule>
          <xm:sqref>G2:G7</xm:sqref>
        </x14:conditionalFormatting>
        <x14:conditionalFormatting xmlns:xm="http://schemas.microsoft.com/office/excel/2006/main">
          <x14:cfRule type="dataBar" id="{3BBF6B7F-69CC-42BD-B514-ADC3D1936949}">
            <x14:dataBar minLength="0" maxLength="100" border="1" negativeBarBorderColorSameAsPositive="0">
              <x14:cfvo type="autoMin"/>
              <x14:cfvo type="autoMax"/>
              <x14:borderColor rgb="FFD6007B"/>
              <x14:negativeFillColor rgb="FFFF0000"/>
              <x14:negativeBorderColor rgb="FFFF0000"/>
              <x14:axisColor rgb="FF000000"/>
            </x14:dataBar>
          </x14:cfRule>
          <xm:sqref>O2:O7</xm:sqref>
        </x14:conditionalFormatting>
        <x14:conditionalFormatting xmlns:xm="http://schemas.microsoft.com/office/excel/2006/main">
          <x14:cfRule type="dataBar" id="{1F95AF4C-9896-454C-AEBB-8F66111CCBE4}">
            <x14:dataBar minLength="0" maxLength="100" gradient="0">
              <x14:cfvo type="autoMin"/>
              <x14:cfvo type="autoMax"/>
              <x14:negativeFillColor rgb="FFFF0000"/>
              <x14:axisColor rgb="FF000000"/>
            </x14:dataBar>
          </x14:cfRule>
          <x14:cfRule type="dataBar" id="{89C092BE-185B-4F0B-B437-3F87409B51E4}">
            <x14:dataBar minLength="0" maxLength="100" gradient="0">
              <x14:cfvo type="autoMin"/>
              <x14:cfvo type="autoMax"/>
              <x14:negativeFillColor rgb="FFFF0000"/>
              <x14:axisColor rgb="FF000000"/>
            </x14:dataBar>
          </x14:cfRule>
          <xm:sqref>O2:O7</xm:sqref>
        </x14:conditionalFormatting>
        <x14:conditionalFormatting xmlns:xm="http://schemas.microsoft.com/office/excel/2006/main">
          <x14:cfRule type="dataBar" id="{388DB711-6B5D-4D9D-A752-937DC7322E2E}">
            <x14:dataBar minLength="0" maxLength="100" gradient="0">
              <x14:cfvo type="autoMin"/>
              <x14:cfvo type="autoMax"/>
              <x14:negativeFillColor rgb="FFFF0000"/>
              <x14:axisColor rgb="FF000000"/>
            </x14:dataBar>
          </x14:cfRule>
          <x14:cfRule type="dataBar" id="{AC9546A9-F328-43C2-90C0-04101AD845E5}">
            <x14:dataBar minLength="0" maxLength="100" border="1" negativeBarBorderColorSameAsPositive="0">
              <x14:cfvo type="autoMin"/>
              <x14:cfvo type="autoMax"/>
              <x14:borderColor rgb="FF63C384"/>
              <x14:negativeFillColor rgb="FFFF0000"/>
              <x14:negativeBorderColor rgb="FFFF0000"/>
              <x14:axisColor rgb="FF000000"/>
            </x14:dataBar>
          </x14:cfRule>
          <xm:sqref>E2:E7</xm:sqref>
        </x14:conditionalFormatting>
        <x14:conditionalFormatting xmlns:xm="http://schemas.microsoft.com/office/excel/2006/main">
          <x14:cfRule type="dataBar" id="{08559DAC-8566-42B5-8623-8128E2D04C58}">
            <x14:dataBar minLength="0" maxLength="100" gradient="0">
              <x14:cfvo type="autoMin"/>
              <x14:cfvo type="autoMax"/>
              <x14:negativeFillColor rgb="FFFF0000"/>
              <x14:axisColor rgb="FF000000"/>
            </x14:dataBar>
          </x14:cfRule>
          <xm:sqref>E2:E7</xm:sqref>
        </x14:conditionalFormatting>
        <x14:conditionalFormatting xmlns:xm="http://schemas.microsoft.com/office/excel/2006/main">
          <x14:cfRule type="dataBar" id="{EA676A2C-FAB9-415E-BE6E-E17080F1ECDB}">
            <x14:dataBar minLength="0" maxLength="100" gradient="0">
              <x14:cfvo type="autoMin"/>
              <x14:cfvo type="autoMax"/>
              <x14:negativeFillColor rgb="FFFF0000"/>
              <x14:axisColor rgb="FF000000"/>
            </x14:dataBar>
          </x14:cfRule>
          <xm:sqref>E11:E14</xm:sqref>
        </x14:conditionalFormatting>
        <x14:conditionalFormatting xmlns:xm="http://schemas.microsoft.com/office/excel/2006/main">
          <x14:cfRule type="dataBar" id="{ACAEC3D0-DFB3-488C-B855-E04125DCA38E}">
            <x14:dataBar minLength="0" maxLength="100" gradient="0">
              <x14:cfvo type="autoMin"/>
              <x14:cfvo type="autoMax"/>
              <x14:negativeFillColor rgb="FFFF0000"/>
              <x14:axisColor rgb="FF000000"/>
            </x14:dataBar>
          </x14:cfRule>
          <xm:sqref>I9:I14</xm:sqref>
        </x14:conditionalFormatting>
        <x14:conditionalFormatting xmlns:xm="http://schemas.microsoft.com/office/excel/2006/main">
          <x14:cfRule type="dataBar" id="{6FECAD99-CB6A-4926-B255-EC86513C1D82}">
            <x14:dataBar minLength="0" maxLength="100" gradient="0">
              <x14:cfvo type="autoMin"/>
              <x14:cfvo type="autoMax"/>
              <x14:negativeFillColor rgb="FFFF0000"/>
              <x14:axisColor rgb="FF000000"/>
            </x14:dataBar>
          </x14:cfRule>
          <xm:sqref>E21</xm:sqref>
        </x14:conditionalFormatting>
        <x14:conditionalFormatting xmlns:xm="http://schemas.microsoft.com/office/excel/2006/main">
          <x14:cfRule type="dataBar" id="{45449ABF-F093-44AF-9BA0-3EF7EFAD8741}">
            <x14:dataBar minLength="0" maxLength="100" gradient="0">
              <x14:cfvo type="autoMin"/>
              <x14:cfvo type="autoMax"/>
              <x14:negativeFillColor rgb="FFFF0000"/>
              <x14:axisColor rgb="FF000000"/>
            </x14:dataBar>
          </x14:cfRule>
          <xm:sqref>E21</xm:sqref>
        </x14:conditionalFormatting>
        <x14:conditionalFormatting xmlns:xm="http://schemas.microsoft.com/office/excel/2006/main">
          <x14:cfRule type="dataBar" id="{CF4E34F3-E3B9-41BB-A4FB-19B7CF89D8CF}">
            <x14:dataBar minLength="0" maxLength="100" gradient="0">
              <x14:cfvo type="autoMin"/>
              <x14:cfvo type="autoMax"/>
              <x14:negativeFillColor rgb="FFFF0000"/>
              <x14:axisColor rgb="FF000000"/>
            </x14:dataBar>
          </x14:cfRule>
          <xm:sqref>G13:G14</xm:sqref>
        </x14:conditionalFormatting>
        <x14:conditionalFormatting xmlns:xm="http://schemas.microsoft.com/office/excel/2006/main">
          <x14:cfRule type="dataBar" id="{97E36CCD-8319-4C40-9EF2-1A45947171C7}">
            <x14:dataBar minLength="0" maxLength="100" gradient="0">
              <x14:cfvo type="autoMin"/>
              <x14:cfvo type="autoMax"/>
              <x14:negativeFillColor rgb="FFFF0000"/>
              <x14:axisColor rgb="FF000000"/>
            </x14:dataBar>
          </x14:cfRule>
          <xm:sqref>O9:O14</xm:sqref>
        </x14:conditionalFormatting>
        <x14:conditionalFormatting xmlns:xm="http://schemas.microsoft.com/office/excel/2006/main">
          <x14:cfRule type="dataBar" id="{8FA5CCD9-D5C4-42CF-BB3B-C271F439CA09}">
            <x14:dataBar minLength="0" maxLength="100" gradient="0">
              <x14:cfvo type="autoMin"/>
              <x14:cfvo type="autoMax"/>
              <x14:negativeFillColor rgb="FFFF0000"/>
              <x14:axisColor rgb="FF000000"/>
            </x14:dataBar>
          </x14:cfRule>
          <xm:sqref>H9:H14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745E8C50916E0A4E81BA8F18A363FC59" ma:contentTypeVersion="49" ma:contentTypeDescription="Opprett et nytt dokument." ma:contentTypeScope="" ma:versionID="41d9e85354f94ab4bc152dd44d5a3b2e">
  <xsd:schema xmlns:xsd="http://www.w3.org/2001/XMLSchema" xmlns:xs="http://www.w3.org/2001/XMLSchema" xmlns:p="http://schemas.microsoft.com/office/2006/metadata/properties" xmlns:ns2="8bbd4995-53b7-43e2-b62f-10947586ac31" xmlns:ns3="9d36e6d4-4554-48de-8448-e050a3dd00b9" xmlns:ns4="ac186eb3-d6cc-40cf-86ce-4795770f149c" targetNamespace="http://schemas.microsoft.com/office/2006/metadata/properties" ma:root="true" ma:fieldsID="35993789a349dcbbae010cd53e05fe8a" ns2:_="" ns3:_="" ns4:_="">
    <xsd:import namespace="8bbd4995-53b7-43e2-b62f-10947586ac31"/>
    <xsd:import namespace="9d36e6d4-4554-48de-8448-e050a3dd00b9"/>
    <xsd:import namespace="ac186eb3-d6cc-40cf-86ce-4795770f149c"/>
    <xsd:element name="properties">
      <xsd:complexType>
        <xsd:sequence>
          <xsd:element name="documentManagement">
            <xsd:complexType>
              <xsd:all>
                <xsd:element ref="ns2:ArchiveStatus" minOccurs="0"/>
                <xsd:element ref="ns2:CorpWorkflowApproval" minOccurs="0"/>
                <xsd:element ref="ns2:CorpWorkflowFeedback" minOccurs="0"/>
                <xsd:element ref="ns2:CorpSiteProjectNumber" minOccurs="0"/>
                <xsd:element ref="ns2:CorpSiteProjectName" minOccurs="0"/>
                <xsd:element ref="ns2:CorpSiteSubTitle" minOccurs="0"/>
                <xsd:element ref="ns2:CorpSiteAccess" minOccurs="0"/>
                <xsd:element ref="ns2:CorpSiteClassification" minOccurs="0"/>
                <xsd:element ref="ns2:CorpSiteTags" minOccurs="0"/>
                <xsd:element ref="ns2:CorpSiteProjectQA" minOccurs="0"/>
                <xsd:element ref="ns2:CorpSiteProjectOwner" minOccurs="0"/>
                <xsd:element ref="ns2:CorpSiteProjectLeader" minOccurs="0"/>
                <xsd:element ref="ns2:CorpSiteReportNumber" minOccurs="0"/>
                <xsd:element ref="ns2:CorpSiteISBN" minOccurs="0"/>
                <xsd:element ref="ns2:CorpSiteCoAuthors" minOccurs="0"/>
                <xsd:element ref="ns2:CorpSiteRecipientCompany" minOccurs="0"/>
                <xsd:element ref="ns2:CorpSiteRecipientPerson" minOccurs="0"/>
                <xsd:element ref="ns2:CorpSiteOurRef" minOccurs="0"/>
                <xsd:element ref="ns2:CorpSiteDocumentAuthor"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2:CorpWorkflowStatus" minOccurs="0"/>
                <xsd:element ref="ns4:SharedWithUsers" minOccurs="0"/>
                <xsd:element ref="ns4:SharedWithDetails" minOccurs="0"/>
                <xsd:element ref="ns3:MediaServiceDateTaken"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ArchiveStatus" ma:index="8" nillable="true" ma:displayName="Arkivstatus" ma:internalName="ArchiveStatus">
      <xsd:simpleType>
        <xsd:restriction base="dms:Text">
          <xsd:maxLength value="255"/>
        </xsd:restriction>
      </xsd:simpleType>
    </xsd:element>
    <xsd:element name="CorpWorkflowApproval" ma:index="9" nillable="true" ma:displayName="Status godkjenning" ma:internalName="CorpWorkflowApproval">
      <xsd:simpleType>
        <xsd:restriction base="dms:Text">
          <xsd:maxLength value="255"/>
        </xsd:restriction>
      </xsd:simpleType>
    </xsd:element>
    <xsd:element name="CorpWorkflowFeedback" ma:index="10" nillable="true" ma:displayName="Status kvalitetssikring" ma:internalName="CorpWorkflowFeedback">
      <xsd:simpleType>
        <xsd:restriction base="dms:Text">
          <xsd:maxLength value="255"/>
        </xsd:restriction>
      </xsd:simpleType>
    </xsd:element>
    <xsd:element name="CorpSiteProjectNumber" ma:index="11" nillable="true" ma:displayName="Prosjektnummer" ma:default="" ma:internalName="CorpSiteProjectNumber">
      <xsd:simpleType>
        <xsd:restriction base="dms:Text">
          <xsd:maxLength value="255"/>
        </xsd:restriction>
      </xsd:simpleType>
    </xsd:element>
    <xsd:element name="CorpSiteProjectName" ma:index="12" nillable="true" ma:displayName="Prosjektnavn" ma:internalName="CorpSiteProjectName">
      <xsd:simpleType>
        <xsd:restriction base="dms:Text">
          <xsd:maxLength value="255"/>
        </xsd:restriction>
      </xsd:simpleType>
    </xsd:element>
    <xsd:element name="CorpSiteSubTitle" ma:index="13" nillable="true" ma:displayName="Undertittel" ma:internalName="CorpSiteSubTitle">
      <xsd:simpleType>
        <xsd:restriction base="dms:Text">
          <xsd:maxLength value="255"/>
        </xsd:restriction>
      </xsd:simpleType>
    </xsd:element>
    <xsd:element name="CorpSiteAccess" ma:index="1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15"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16" nillable="true" ma:displayName="Tags" ma:internalName="CorpSiteTags">
      <xsd:simpleType>
        <xsd:restriction base="dms:Text">
          <xsd:maxLength value="255"/>
        </xsd:restriction>
      </xsd:simpleType>
    </xsd:element>
    <xsd:element name="CorpSiteProjectQA" ma:index="17"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18"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19"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ReportNumber" ma:index="20" nillable="true" ma:displayName="Rapport nummer" ma:internalName="CorpSiteReportNumber">
      <xsd:simpleType>
        <xsd:restriction base="dms:Text">
          <xsd:maxLength value="255"/>
        </xsd:restriction>
      </xsd:simpleType>
    </xsd:element>
    <xsd:element name="CorpSiteISBN" ma:index="21" nillable="true" ma:displayName="ISBN" ma:internalName="CorpSiteISBN">
      <xsd:simpleType>
        <xsd:restriction base="dms:Text">
          <xsd:maxLength value="255"/>
        </xsd:restriction>
      </xsd:simpleType>
    </xsd:element>
    <xsd:element name="CorpSiteCoAuthors" ma:index="22" nillable="true" ma:displayName="Medforfattere" ma:internalName="CorpSiteCoAuthors">
      <xsd:simpleType>
        <xsd:restriction base="dms:Text">
          <xsd:maxLength value="255"/>
        </xsd:restriction>
      </xsd:simpleType>
    </xsd:element>
    <xsd:element name="CorpSiteRecipientCompany" ma:index="23" nillable="true" ma:displayName="Mottakende selskap" ma:internalName="CorpSiteRecipientCompany">
      <xsd:simpleType>
        <xsd:restriction base="dms:Text">
          <xsd:maxLength value="255"/>
        </xsd:restriction>
      </xsd:simpleType>
    </xsd:element>
    <xsd:element name="CorpSiteRecipientPerson" ma:index="24" nillable="true" ma:displayName="Mottakende person" ma:internalName="CorpSiteRecipientPerson">
      <xsd:simpleType>
        <xsd:restriction base="dms:Text">
          <xsd:maxLength value="255"/>
        </xsd:restriction>
      </xsd:simpleType>
    </xsd:element>
    <xsd:element name="CorpSiteOurRef" ma:index="25" nillable="true" ma:displayName="Vår ref" ma:internalName="CorpSiteOurRef">
      <xsd:simpleType>
        <xsd:restriction base="dms:Text">
          <xsd:maxLength value="255"/>
        </xsd:restriction>
      </xsd:simpleType>
    </xsd:element>
    <xsd:element name="CorpSiteDocumentAuthor" ma:index="26" nillable="true" ma:displayName="Hovedforfatter"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ZipAddress" ma:index="27" nillable="true" ma:displayName="Adresse" ma:internalName="CorpSiteZipAddress">
      <xsd:simpleType>
        <xsd:restriction base="dms:Note">
          <xsd:maxLength value="255"/>
        </xsd:restriction>
      </xsd:simpleType>
    </xsd:element>
    <xsd:element name="CorpSiteZipContact" ma:index="28" nillable="true" ma:displayName="Kontakt" ma:internalName="CorpSiteZipContact">
      <xsd:simpleType>
        <xsd:restriction base="dms:Note">
          <xsd:maxLength value="255"/>
        </xsd:restriction>
      </xsd:simpleType>
    </xsd:element>
    <xsd:element name="CorpSiteVATNumber" ma:index="29" nillable="true" ma:displayName="Foretaksnummer" ma:internalName="CorpSiteVATNumber">
      <xsd:simpleType>
        <xsd:restriction base="dms:Text">
          <xsd:maxLength value="255"/>
        </xsd:restriction>
      </xsd:simpleType>
    </xsd:element>
    <xsd:element name="CorpSiteInstituteEmail" ma:index="30" nillable="true" ma:displayName="E-post institutt" ma:internalName="CorpSiteInstituteEmail">
      <xsd:simpleType>
        <xsd:restriction base="dms:Text">
          <xsd:maxLength value="255"/>
        </xsd:restriction>
      </xsd:simpleType>
    </xsd:element>
    <xsd:element name="CorpDocPageClassificationNbNo" ma:index="31"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32"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33"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34"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35" nillable="true" ma:displayName="InstituteEng" ma:internalName="CorpSiteInstituteEnUs">
      <xsd:simpleType>
        <xsd:restriction base="dms:Text">
          <xsd:maxLength value="255"/>
        </xsd:restriction>
      </xsd:simpleType>
    </xsd:element>
    <xsd:element name="CorpSiteInstitutePhone" ma:index="36" nillable="true" ma:displayName="Institutt telefon" ma:internalName="CorpSiteInstitutePhone">
      <xsd:simpleType>
        <xsd:restriction base="dms:Text">
          <xsd:maxLength value="255"/>
        </xsd:restriction>
      </xsd:simpleType>
    </xsd:element>
    <xsd:element name="CorpSiteDocLanguage" ma:index="37" nillable="true" ma:displayName="Språk" ma:internalName="CorpSiteDocLanguage">
      <xsd:simpleType>
        <xsd:restriction base="dms:Text">
          <xsd:maxLength value="255"/>
        </xsd:restriction>
      </xsd:simpleType>
    </xsd:element>
    <xsd:element name="CorpDocInstitute" ma:index="38" nillable="true" ma:displayName="Institutt" ma:internalName="CorpDocInstitute">
      <xsd:simpleType>
        <xsd:restriction base="dms:Text">
          <xsd:maxLength value="255"/>
        </xsd:restriction>
      </xsd:simpleType>
    </xsd:element>
    <xsd:element name="CorpDocVersion" ma:index="39" nillable="true" ma:displayName="Versjon" ma:internalName="CorpDocVersion">
      <xsd:simpleType>
        <xsd:restriction base="dms:Text">
          <xsd:maxLength value="255"/>
        </xsd:restriction>
      </xsd:simpleType>
    </xsd:element>
    <xsd:element name="CorpWorkflowStatus" ma:index="48" nillable="true" ma:displayName="Status arbeidsflyt" ma:internalName="CorpWorkflow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36e6d4-4554-48de-8448-e050a3dd00b9" elementFormDefault="qualified">
    <xsd:import namespace="http://schemas.microsoft.com/office/2006/documentManagement/types"/>
    <xsd:import namespace="http://schemas.microsoft.com/office/infopath/2007/PartnerControls"/>
    <xsd:element name="MediaServiceMetadata" ma:index="40" nillable="true" ma:displayName="MediaServiceMetadata" ma:hidden="true" ma:internalName="MediaServiceMetadata" ma:readOnly="true">
      <xsd:simpleType>
        <xsd:restriction base="dms:Note"/>
      </xsd:simpleType>
    </xsd:element>
    <xsd:element name="MediaServiceFastMetadata" ma:index="41" nillable="true" ma:displayName="MediaServiceFastMetadata" ma:hidden="true" ma:internalName="MediaServiceFastMetadata" ma:readOnly="true">
      <xsd:simpleType>
        <xsd:restriction base="dms:Note"/>
      </xsd:simpleType>
    </xsd:element>
    <xsd:element name="MediaServiceAutoKeyPoints" ma:index="42" nillable="true" ma:displayName="MediaServiceAutoKeyPoints" ma:hidden="true" ma:internalName="MediaServiceAutoKeyPoints" ma:readOnly="true">
      <xsd:simpleType>
        <xsd:restriction base="dms:Note"/>
      </xsd:simpleType>
    </xsd:element>
    <xsd:element name="MediaServiceKeyPoints" ma:index="43" nillable="true" ma:displayName="KeyPoints" ma:internalName="MediaServiceKeyPoints" ma:readOnly="true">
      <xsd:simpleType>
        <xsd:restriction base="dms:Note">
          <xsd:maxLength value="255"/>
        </xsd:restriction>
      </xsd:simpleType>
    </xsd:element>
    <xsd:element name="MediaServiceAutoTags" ma:index="44" nillable="true" ma:displayName="Tags" ma:internalName="MediaServiceAutoTags" ma:readOnly="true">
      <xsd:simpleType>
        <xsd:restriction base="dms:Text"/>
      </xsd:simpleType>
    </xsd:element>
    <xsd:element name="MediaServiceOCR" ma:index="45" nillable="true" ma:displayName="Extracted Text" ma:internalName="MediaServiceOCR" ma:readOnly="true">
      <xsd:simpleType>
        <xsd:restriction base="dms:Note">
          <xsd:maxLength value="255"/>
        </xsd:restriction>
      </xsd:simpleType>
    </xsd:element>
    <xsd:element name="MediaServiceGenerationTime" ma:index="46" nillable="true" ma:displayName="MediaServiceGenerationTime" ma:hidden="true" ma:internalName="MediaServiceGenerationTime" ma:readOnly="true">
      <xsd:simpleType>
        <xsd:restriction base="dms:Text"/>
      </xsd:simpleType>
    </xsd:element>
    <xsd:element name="MediaServiceEventHashCode" ma:index="47" nillable="true" ma:displayName="MediaServiceEventHashCode" ma:hidden="true" ma:internalName="MediaServiceEventHashCode" ma:readOnly="true">
      <xsd:simpleType>
        <xsd:restriction base="dms:Text"/>
      </xsd:simpleType>
    </xsd:element>
    <xsd:element name="MediaServiceDateTaken" ma:index="51" nillable="true" ma:displayName="MediaServiceDateTaken" ma:hidden="true" ma:internalName="MediaServiceDateTaken" ma:readOnly="true">
      <xsd:simpleType>
        <xsd:restriction base="dms:Text"/>
      </xsd:simpleType>
    </xsd:element>
    <xsd:element name="lcf76f155ced4ddcb4097134ff3c332f" ma:index="53"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c186eb3-d6cc-40cf-86ce-4795770f149c" elementFormDefault="qualified">
    <xsd:import namespace="http://schemas.microsoft.com/office/2006/documentManagement/types"/>
    <xsd:import namespace="http://schemas.microsoft.com/office/infopath/2007/PartnerControls"/>
    <xsd:element name="SharedWithUsers" ma:index="4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0" nillable="true" ma:displayName="Delingsdetaljer" ma:internalName="SharedWithDetails" ma:readOnly="true">
      <xsd:simpleType>
        <xsd:restriction base="dms:Note">
          <xsd:maxLength value="255"/>
        </xsd:restriction>
      </xsd:simpleType>
    </xsd:element>
    <xsd:element name="TaxCatchAll" ma:index="54" nillable="true" ma:displayName="Taxonomy Catch All Column" ma:hidden="true" ma:list="{6e5ea3eb-5f85-4253-a342-f8e08f428c12}" ma:internalName="TaxCatchAll" ma:showField="CatchAllData" ma:web="ac186eb3-d6cc-40cf-86ce-4795770f14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WorkflowFeedback xmlns="8bbd4995-53b7-43e2-b62f-10947586ac31" xsi:nil="true"/>
    <CorpSiteAccess xmlns="8bbd4995-53b7-43e2-b62f-10947586ac31">Kun navngitte medlemmer</CorpSiteAccess>
    <CorpSiteRecipientPerson xmlns="8bbd4995-53b7-43e2-b62f-10947586ac31" xsi:nil="true"/>
    <CorpSiteProjectNumber xmlns="8bbd4995-53b7-43e2-b62f-10947586ac31" xsi:nil="true"/>
    <TaxCatchAll xmlns="ac186eb3-d6cc-40cf-86ce-4795770f149c" xsi:nil="true"/>
    <CorpSiteProjectName xmlns="8bbd4995-53b7-43e2-b62f-10947586ac31" xsi:nil="true"/>
    <CorpDocInstitute xmlns="8bbd4995-53b7-43e2-b62f-10947586ac31" xsi:nil="true"/>
    <CorpSiteInstitutePhone xmlns="8bbd4995-53b7-43e2-b62f-10947586ac31" xsi:nil="true"/>
    <CorpSiteProjectOwner xmlns="8bbd4995-53b7-43e2-b62f-10947586ac31">
      <UserInfo>
        <DisplayName/>
        <AccountId xsi:nil="true"/>
        <AccountType/>
      </UserInfo>
    </CorpSiteProjectOwner>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WorkflowStatus xmlns="8bbd4995-53b7-43e2-b62f-10947586ac31" xsi:nil="true"/>
    <CorpSiteClassification xmlns="8bbd4995-53b7-43e2-b62f-10947586ac31">Åpen</CorpSiteClassification>
    <CorpSiteInstituteEmail xmlns="8bbd4995-53b7-43e2-b62f-10947586ac31" xsi:nil="true"/>
    <CorpSiteCoAuthors xmlns="8bbd4995-53b7-43e2-b62f-10947586ac31" xsi:nil="true"/>
    <CorpSiteDocumentAuthor xmlns="8bbd4995-53b7-43e2-b62f-10947586ac31">
      <UserInfo>
        <DisplayName/>
        <AccountId xsi:nil="true"/>
        <AccountType/>
      </UserInfo>
    </CorpSiteDocumentAuthor>
    <CorpSiteInstituteEnUs xmlns="8bbd4995-53b7-43e2-b62f-10947586ac31" xsi:nil="true"/>
    <lcf76f155ced4ddcb4097134ff3c332f xmlns="9d36e6d4-4554-48de-8448-e050a3dd00b9">
      <Terms xmlns="http://schemas.microsoft.com/office/infopath/2007/PartnerControls"/>
    </lcf76f155ced4ddcb4097134ff3c332f>
    <CorpSiteRecipientCompany xmlns="8bbd4995-53b7-43e2-b62f-10947586ac31" xsi:nil="true"/>
    <CorpSiteDocLanguage xmlns="8bbd4995-53b7-43e2-b62f-10947586ac31" xsi:nil="true"/>
    <CorpDocVersion xmlns="8bbd4995-53b7-43e2-b62f-10947586ac31" xsi:nil="true"/>
    <CorpWorkflowApproval xmlns="8bbd4995-53b7-43e2-b62f-10947586ac31" xsi:nil="true"/>
    <ArchiveStatus xmlns="8bbd4995-53b7-43e2-b62f-10947586ac31" xsi:nil="true"/>
    <CorpSiteProjectQA xmlns="8bbd4995-53b7-43e2-b62f-10947586ac31">
      <UserInfo>
        <DisplayName/>
        <AccountId xsi:nil="true"/>
        <AccountType/>
      </UserInfo>
    </CorpSiteProjectQA>
    <CorpSiteZipAddress xmlns="8bbd4995-53b7-43e2-b62f-10947586ac31" xsi:nil="true"/>
    <CorpSiteVATNumber xmlns="8bbd4995-53b7-43e2-b62f-10947586ac31" xsi:nil="true"/>
    <CorpSiteReportNumber xmlns="8bbd4995-53b7-43e2-b62f-10947586ac31" xsi:nil="true"/>
    <CorpSiteOurRef xmlns="8bbd4995-53b7-43e2-b62f-10947586ac31" xsi:nil="true"/>
    <CorpDocPageClassificationEnUs xmlns="8bbd4995-53b7-43e2-b62f-10947586ac31">Unrestricted</CorpDocPageClassificationEnUs>
  </documentManagement>
</p:properties>
</file>

<file path=customXml/itemProps1.xml><?xml version="1.0" encoding="utf-8"?>
<ds:datastoreItem xmlns:ds="http://schemas.openxmlformats.org/officeDocument/2006/customXml" ds:itemID="{D18074A7-F258-4645-A3AA-D3DEE06D3B95}"/>
</file>

<file path=customXml/itemProps2.xml><?xml version="1.0" encoding="utf-8"?>
<ds:datastoreItem xmlns:ds="http://schemas.openxmlformats.org/officeDocument/2006/customXml" ds:itemID="{D3DA72F5-54D5-4997-BE58-FAF67A0FC1B8}"/>
</file>

<file path=customXml/itemProps3.xml><?xml version="1.0" encoding="utf-8"?>
<ds:datastoreItem xmlns:ds="http://schemas.openxmlformats.org/officeDocument/2006/customXml" ds:itemID="{AB2CCB6C-1824-49C9-90AB-04B60E1501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Kami Delivand, Mitra</dc:creator>
  <cp:keywords/>
  <dc:description/>
  <cp:lastModifiedBy>Kami Delivand, Mitra</cp:lastModifiedBy>
  <cp:revision/>
  <dcterms:created xsi:type="dcterms:W3CDTF">2021-09-18T20:16:12Z</dcterms:created>
  <dcterms:modified xsi:type="dcterms:W3CDTF">2022-08-02T17:39:03Z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0x01010031B82B69D2361148B4D8F7EC156802130800745E8C50916E0A4E81BA8F18A363FC59</vt:lpwstr>
  </property>
  <property fmtid="{D5CDD505-2E9C-101B-9397-08002B2CF9AE}" pid="3" name="MediaServiceImageTags">
    <vt:lpwstr/>
  </property>
</Properties>
</file>