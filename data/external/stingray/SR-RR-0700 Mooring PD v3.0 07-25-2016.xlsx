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4000" windowHeight="10095"/>
  </bookViews>
  <sheets>
    <sheet name="Data Rights Notice" sheetId="9" r:id="rId1"/>
    <sheet name="0700 Mooring"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'0700 Mooring'!$B$5:$AW$97</definedName>
    <definedName name="_xlnm.Print_Area" localSheetId="3">'set up'!$B$2:$Q$27</definedName>
    <definedName name="RiskMatrixRef" localSheetId="0">'[2]set up'!$C$14</definedName>
    <definedName name="RiskMatrixRef">'set up'!$C$14</definedName>
    <definedName name="Z_B34B7122_C738_4555_8537_3B6E30D60D80_.wvu.FilterData" localSheetId="1" hidden="1">'0700 Mooring'!$B$5:$W$93</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A1" i="8" s="1"/>
  <c r="D1" i="8"/>
  <c r="F1" i="8"/>
  <c r="J1" i="8"/>
  <c r="K1" i="8"/>
  <c r="O1" i="8"/>
  <c r="P1" i="8"/>
  <c r="C2" i="8"/>
  <c r="E2" i="8"/>
  <c r="I2" i="8"/>
  <c r="J2" i="8"/>
  <c r="N2" i="8"/>
  <c r="O2" i="8"/>
  <c r="B3" i="8"/>
  <c r="D3" i="8"/>
  <c r="H3" i="8"/>
  <c r="I3" i="8"/>
  <c r="M3" i="8"/>
  <c r="N3" i="8"/>
  <c r="A4" i="8"/>
  <c r="C4" i="8"/>
  <c r="G4" i="8"/>
  <c r="H4" i="8"/>
  <c r="L4" i="8"/>
  <c r="M4" i="8"/>
  <c r="Q4" i="8"/>
  <c r="B5" i="8"/>
  <c r="F5" i="8"/>
  <c r="G5" i="8"/>
  <c r="K5" i="8"/>
  <c r="L5" i="8"/>
  <c r="P5" i="8"/>
  <c r="A6" i="8"/>
  <c r="E6" i="8"/>
  <c r="F6" i="8"/>
  <c r="J6" i="8"/>
  <c r="K6" i="8"/>
  <c r="O6" i="8"/>
  <c r="Q6" i="8"/>
  <c r="D7" i="8"/>
  <c r="E7" i="8"/>
  <c r="I7" i="8"/>
  <c r="J7" i="8"/>
  <c r="N7" i="8"/>
  <c r="P7" i="8"/>
  <c r="C8" i="8"/>
  <c r="D8" i="8"/>
  <c r="H8" i="8"/>
  <c r="I8" i="8"/>
  <c r="M8" i="8"/>
  <c r="O8" i="8"/>
  <c r="B9" i="8"/>
  <c r="C9" i="8"/>
  <c r="G9" i="8"/>
  <c r="H9" i="8"/>
  <c r="L9" i="8"/>
  <c r="N9" i="8"/>
  <c r="A10" i="8"/>
  <c r="B10" i="8"/>
  <c r="F10" i="8"/>
  <c r="G10" i="8"/>
  <c r="K10" i="8"/>
  <c r="M10" i="8"/>
  <c r="Q10" i="8"/>
  <c r="A11" i="8"/>
  <c r="E11" i="8"/>
  <c r="F11" i="8"/>
  <c r="J11" i="8"/>
  <c r="L11" i="8"/>
  <c r="P11" i="8"/>
  <c r="Q11" i="8"/>
  <c r="D12" i="8"/>
  <c r="E12" i="8"/>
  <c r="I12" i="8"/>
  <c r="K12" i="8"/>
  <c r="O12" i="8"/>
  <c r="P12" i="8"/>
  <c r="C13" i="8"/>
  <c r="D13" i="8"/>
  <c r="H13" i="8"/>
  <c r="J13" i="8"/>
  <c r="N13" i="8"/>
  <c r="O13" i="8"/>
  <c r="B14" i="8"/>
  <c r="C14" i="8"/>
  <c r="G14" i="8"/>
  <c r="I14" i="8"/>
  <c r="M14" i="8"/>
  <c r="N14" i="8"/>
  <c r="A15" i="8"/>
  <c r="B15" i="8"/>
  <c r="F15" i="8"/>
  <c r="H15" i="8"/>
  <c r="L15" i="8"/>
  <c r="M15" i="8"/>
  <c r="Q15" i="8"/>
  <c r="A16" i="8"/>
  <c r="E16" i="8"/>
  <c r="G16" i="8"/>
  <c r="K16" i="8"/>
  <c r="L16" i="8"/>
  <c r="P16" i="8"/>
  <c r="Q16" i="8"/>
  <c r="D17" i="8"/>
  <c r="F17" i="8"/>
  <c r="J17" i="8"/>
  <c r="K17" i="8"/>
  <c r="O17" i="8"/>
  <c r="P17" i="8"/>
  <c r="C18" i="8"/>
  <c r="E18" i="8"/>
  <c r="I18" i="8"/>
  <c r="J18" i="8"/>
  <c r="K18" i="8"/>
  <c r="M18" i="8"/>
  <c r="N18" i="8"/>
  <c r="O18" i="8"/>
  <c r="B19" i="8"/>
  <c r="D19" i="8"/>
  <c r="E19" i="8"/>
  <c r="F19" i="8"/>
  <c r="H19" i="8"/>
  <c r="I19" i="8"/>
  <c r="M19" i="8"/>
  <c r="N19" i="8"/>
  <c r="P19" i="8"/>
  <c r="Q19" i="8"/>
  <c r="A20" i="8"/>
  <c r="C20" i="8"/>
  <c r="G20" i="8"/>
  <c r="H20" i="8"/>
  <c r="I20" i="8"/>
  <c r="K20" i="8"/>
  <c r="L20" i="8"/>
  <c r="M20" i="8"/>
  <c r="Q20" i="8"/>
  <c r="A21" i="8"/>
  <c r="B21" i="8"/>
  <c r="C21" i="8"/>
  <c r="D21" i="8"/>
  <c r="E21" i="8"/>
  <c r="H21" i="8"/>
  <c r="I21" i="8"/>
  <c r="J21" i="8"/>
  <c r="K21" i="8"/>
  <c r="L21" i="8"/>
  <c r="M21" i="8"/>
  <c r="P21" i="8"/>
  <c r="Q21" i="8"/>
  <c r="A22" i="8"/>
  <c r="B22" i="8"/>
  <c r="C22" i="8"/>
  <c r="D22" i="8"/>
  <c r="G22" i="8"/>
  <c r="H22" i="8"/>
  <c r="I22" i="8"/>
  <c r="J22" i="8"/>
  <c r="K22" i="8"/>
  <c r="L22" i="8"/>
  <c r="O22" i="8"/>
  <c r="P22" i="8"/>
  <c r="Q22" i="8"/>
  <c r="A23" i="8"/>
  <c r="B23" i="8"/>
  <c r="C23" i="8"/>
  <c r="F23" i="8"/>
  <c r="G23" i="8"/>
  <c r="H23" i="8"/>
  <c r="I23" i="8"/>
  <c r="J23" i="8"/>
  <c r="K23" i="8"/>
  <c r="N23" i="8"/>
  <c r="O23" i="8"/>
  <c r="P23" i="8"/>
  <c r="Q23" i="8"/>
  <c r="A24" i="8"/>
  <c r="B24" i="8"/>
  <c r="D24" i="8"/>
  <c r="E24" i="8"/>
  <c r="F24" i="8"/>
  <c r="G24" i="8"/>
  <c r="H24" i="8"/>
  <c r="I24" i="8"/>
  <c r="J24" i="8"/>
  <c r="L24" i="8"/>
  <c r="M24" i="8"/>
  <c r="N24" i="8"/>
  <c r="O24" i="8"/>
  <c r="P24" i="8"/>
  <c r="Q24" i="8"/>
  <c r="A25" i="8"/>
  <c r="C25" i="8"/>
  <c r="D25" i="8"/>
  <c r="E25" i="8"/>
  <c r="F25" i="8"/>
  <c r="G25" i="8"/>
  <c r="H25" i="8"/>
  <c r="I25" i="8"/>
  <c r="K25" i="8"/>
  <c r="L25" i="8"/>
  <c r="M25" i="8"/>
  <c r="N25" i="8"/>
  <c r="O25" i="8"/>
  <c r="P25" i="8"/>
  <c r="Q25" i="8"/>
  <c r="B26" i="8"/>
  <c r="C26" i="8"/>
  <c r="D26" i="8"/>
  <c r="E26" i="8"/>
  <c r="F26" i="8"/>
  <c r="G26" i="8"/>
  <c r="H26" i="8"/>
  <c r="J26" i="8"/>
  <c r="K26" i="8"/>
  <c r="L26" i="8"/>
  <c r="M26" i="8"/>
  <c r="N26" i="8"/>
  <c r="O26" i="8"/>
  <c r="P26" i="8"/>
  <c r="A27" i="8"/>
  <c r="B27" i="8"/>
  <c r="C27" i="8"/>
  <c r="D27" i="8"/>
  <c r="E27" i="8"/>
  <c r="F27" i="8"/>
  <c r="G27" i="8"/>
  <c r="I27" i="8"/>
  <c r="J27" i="8"/>
  <c r="K27" i="8"/>
  <c r="L27" i="8"/>
  <c r="M27" i="8"/>
  <c r="N27" i="8"/>
  <c r="O27" i="8"/>
  <c r="Q27" i="8"/>
  <c r="M23" i="8" l="1"/>
  <c r="E23" i="8"/>
  <c r="N22" i="8"/>
  <c r="F22" i="8"/>
  <c r="O21" i="8"/>
  <c r="G21" i="8"/>
  <c r="P20" i="8"/>
  <c r="E20" i="8"/>
  <c r="L19" i="8"/>
  <c r="A19" i="8"/>
  <c r="G18" i="8"/>
  <c r="N17" i="8"/>
  <c r="C17" i="8"/>
  <c r="I16" i="8"/>
  <c r="P15" i="8"/>
  <c r="E15" i="8"/>
  <c r="K14" i="8"/>
  <c r="A14" i="8"/>
  <c r="G13" i="8"/>
  <c r="M12" i="8"/>
  <c r="C12" i="8"/>
  <c r="I11" i="8"/>
  <c r="O10" i="8"/>
  <c r="E10" i="8"/>
  <c r="K9" i="8"/>
  <c r="Q8" i="8"/>
  <c r="G8" i="8"/>
  <c r="M7" i="8"/>
  <c r="B7" i="8"/>
  <c r="I6" i="8"/>
  <c r="O5" i="8"/>
  <c r="D5" i="8"/>
  <c r="K4" i="8"/>
  <c r="Q3" i="8"/>
  <c r="F3" i="8"/>
  <c r="M2" i="8"/>
  <c r="B2" i="8"/>
  <c r="H1" i="8"/>
  <c r="P27" i="8"/>
  <c r="H27" i="8"/>
  <c r="Q26" i="8"/>
  <c r="I26" i="8"/>
  <c r="A26" i="8"/>
  <c r="J25" i="8"/>
  <c r="B25" i="8"/>
  <c r="K24" i="8"/>
  <c r="C24" i="8"/>
  <c r="L23" i="8"/>
  <c r="D23" i="8"/>
  <c r="M22" i="8"/>
  <c r="E22" i="8"/>
  <c r="N21" i="8"/>
  <c r="F21" i="8"/>
  <c r="O20" i="8"/>
  <c r="D20" i="8"/>
  <c r="J19" i="8"/>
  <c r="Q18" i="8"/>
  <c r="F18" i="8"/>
  <c r="L17" i="8"/>
  <c r="B17" i="8"/>
  <c r="H16" i="8"/>
  <c r="N15" i="8"/>
  <c r="D15" i="8"/>
  <c r="J14" i="8"/>
  <c r="P13" i="8"/>
  <c r="F13" i="8"/>
  <c r="L12" i="8"/>
  <c r="A12" i="8"/>
  <c r="H11" i="8"/>
  <c r="N10" i="8"/>
  <c r="C10" i="8"/>
  <c r="J9" i="8"/>
  <c r="P8" i="8"/>
  <c r="E8" i="8"/>
  <c r="L7" i="8"/>
  <c r="A7" i="8"/>
  <c r="G6" i="8"/>
  <c r="N5" i="8"/>
  <c r="C5" i="8"/>
  <c r="I4" i="8"/>
  <c r="P3" i="8"/>
  <c r="E3" i="8"/>
  <c r="K2" i="8"/>
  <c r="A2" i="8"/>
  <c r="G1" i="8"/>
  <c r="B18" i="8"/>
  <c r="H17" i="8"/>
  <c r="O16" i="8"/>
  <c r="D16" i="8"/>
  <c r="J15" i="8"/>
  <c r="Q14" i="8"/>
  <c r="F14" i="8"/>
  <c r="L13" i="8"/>
  <c r="B13" i="8"/>
  <c r="H12" i="8"/>
  <c r="N11" i="8"/>
  <c r="D11" i="8"/>
  <c r="J10" i="8"/>
  <c r="P9" i="8"/>
  <c r="F9" i="8"/>
  <c r="L8" i="8"/>
  <c r="A8" i="8"/>
  <c r="H7" i="8"/>
  <c r="N6" i="8"/>
  <c r="C6" i="8"/>
  <c r="J5" i="8"/>
  <c r="P4" i="8"/>
  <c r="E4" i="8"/>
  <c r="L3" i="8"/>
  <c r="A3" i="8"/>
  <c r="G2" i="8"/>
  <c r="N1" i="8"/>
  <c r="C1" i="8"/>
  <c r="A18" i="8"/>
  <c r="G17" i="8"/>
  <c r="M16" i="8"/>
  <c r="C16" i="8"/>
  <c r="I15" i="8"/>
  <c r="O14" i="8"/>
  <c r="E14" i="8"/>
  <c r="K13" i="8"/>
  <c r="Q12" i="8"/>
  <c r="G12" i="8"/>
  <c r="M11" i="8"/>
  <c r="B11" i="8"/>
  <c r="I10" i="8"/>
  <c r="O9" i="8"/>
  <c r="D9" i="8"/>
  <c r="K8" i="8"/>
  <c r="Q7" i="8"/>
  <c r="F7" i="8"/>
  <c r="M6" i="8"/>
  <c r="B6" i="8"/>
  <c r="H5" i="8"/>
  <c r="O4" i="8"/>
  <c r="D4" i="8"/>
  <c r="J3" i="8"/>
  <c r="Q2" i="8"/>
  <c r="F2" i="8"/>
  <c r="L1" i="8"/>
  <c r="B1" i="8"/>
  <c r="N20" i="8"/>
  <c r="J20" i="8"/>
  <c r="F20" i="8"/>
  <c r="B20" i="8"/>
  <c r="O19" i="8"/>
  <c r="K19" i="8"/>
  <c r="G19" i="8"/>
  <c r="C19" i="8"/>
  <c r="P18" i="8"/>
  <c r="L18" i="8"/>
  <c r="H18" i="8"/>
  <c r="D18" i="8"/>
  <c r="Q17" i="8"/>
  <c r="M17" i="8"/>
  <c r="I17" i="8"/>
  <c r="E17" i="8"/>
  <c r="A17" i="8"/>
  <c r="N16" i="8"/>
  <c r="J16" i="8"/>
  <c r="F16" i="8"/>
  <c r="B16" i="8"/>
  <c r="O15" i="8"/>
  <c r="K15" i="8"/>
  <c r="G15" i="8"/>
  <c r="C15" i="8"/>
  <c r="P14" i="8"/>
  <c r="L14" i="8"/>
  <c r="H14" i="8"/>
  <c r="D14" i="8"/>
  <c r="Q13" i="8"/>
  <c r="M13" i="8"/>
  <c r="I13" i="8"/>
  <c r="E13" i="8"/>
  <c r="A13" i="8"/>
  <c r="N12" i="8"/>
  <c r="J12" i="8"/>
  <c r="F12" i="8"/>
  <c r="B12" i="8"/>
  <c r="O11" i="8"/>
  <c r="K11" i="8"/>
  <c r="G11" i="8"/>
  <c r="C11" i="8"/>
  <c r="P10" i="8"/>
  <c r="L10" i="8"/>
  <c r="H10" i="8"/>
  <c r="D10" i="8"/>
  <c r="Q9" i="8"/>
  <c r="M9" i="8"/>
  <c r="I9" i="8"/>
  <c r="E9" i="8"/>
  <c r="A9" i="8"/>
  <c r="N8" i="8"/>
  <c r="J8" i="8"/>
  <c r="F8" i="8"/>
  <c r="B8" i="8"/>
  <c r="O7" i="8"/>
  <c r="K7" i="8"/>
  <c r="G7" i="8"/>
  <c r="C7" i="8"/>
  <c r="P6" i="8"/>
  <c r="L6" i="8"/>
  <c r="H6" i="8"/>
  <c r="D6" i="8"/>
  <c r="Q5" i="8"/>
  <c r="M5" i="8"/>
  <c r="I5" i="8"/>
  <c r="E5" i="8"/>
  <c r="A5" i="8"/>
  <c r="N4" i="8"/>
  <c r="J4" i="8"/>
  <c r="F4" i="8"/>
  <c r="B4" i="8"/>
  <c r="O3" i="8"/>
  <c r="K3" i="8"/>
  <c r="G3" i="8"/>
  <c r="C3" i="8"/>
  <c r="P2" i="8"/>
  <c r="L2" i="8"/>
  <c r="H2" i="8"/>
  <c r="D2" i="8"/>
  <c r="Q1" i="8"/>
  <c r="M1" i="8"/>
  <c r="I1" i="8"/>
  <c r="E1" i="8"/>
  <c r="O4" i="6" l="1"/>
  <c r="O3" i="6"/>
  <c r="O2" i="6"/>
  <c r="W6" i="2" l="1"/>
  <c r="V6" i="2"/>
  <c r="U6" i="2"/>
  <c r="T6" i="2"/>
  <c r="AU53" i="2" l="1"/>
  <c r="AT53" i="2"/>
  <c r="AS53" i="2"/>
  <c r="AR53" i="2"/>
  <c r="AI53" i="2"/>
  <c r="AH53" i="2"/>
  <c r="AG53" i="2"/>
  <c r="AF53" i="2"/>
  <c r="AU50" i="2"/>
  <c r="AT50" i="2"/>
  <c r="AS50" i="2"/>
  <c r="AR50" i="2"/>
  <c r="AI50" i="2"/>
  <c r="AH50" i="2"/>
  <c r="AG50" i="2"/>
  <c r="AF50" i="2"/>
  <c r="AU54" i="2"/>
  <c r="AT54" i="2"/>
  <c r="AS54" i="2"/>
  <c r="AR54" i="2"/>
  <c r="AI54" i="2"/>
  <c r="AH54" i="2"/>
  <c r="AG54" i="2"/>
  <c r="AF54" i="2"/>
  <c r="AU55" i="2"/>
  <c r="AT55" i="2"/>
  <c r="AS55" i="2"/>
  <c r="AR55" i="2"/>
  <c r="AI55" i="2"/>
  <c r="AH55" i="2"/>
  <c r="AG55" i="2"/>
  <c r="AF55" i="2"/>
  <c r="AU42" i="2"/>
  <c r="AT42" i="2"/>
  <c r="AS42" i="2"/>
  <c r="AR42" i="2"/>
  <c r="AI42" i="2"/>
  <c r="AH42" i="2"/>
  <c r="AG42" i="2"/>
  <c r="AF42" i="2"/>
  <c r="AU45" i="2"/>
  <c r="AT45" i="2"/>
  <c r="AS45" i="2"/>
  <c r="AR45" i="2"/>
  <c r="AI45" i="2"/>
  <c r="AH45" i="2"/>
  <c r="AG45" i="2"/>
  <c r="AF45" i="2"/>
  <c r="AU31" i="2"/>
  <c r="AT31" i="2"/>
  <c r="AS31" i="2"/>
  <c r="AR31" i="2"/>
  <c r="AI31" i="2"/>
  <c r="AH31" i="2"/>
  <c r="AG31" i="2"/>
  <c r="AF31" i="2"/>
  <c r="AU17" i="2"/>
  <c r="AT17" i="2"/>
  <c r="AS17" i="2"/>
  <c r="AR17" i="2"/>
  <c r="AI17" i="2"/>
  <c r="AH17" i="2"/>
  <c r="AG17" i="2"/>
  <c r="AF17" i="2"/>
  <c r="AU41" i="2" l="1"/>
  <c r="AT41" i="2"/>
  <c r="AS41" i="2"/>
  <c r="AR41" i="2"/>
  <c r="AI41" i="2"/>
  <c r="AH41" i="2"/>
  <c r="AG41" i="2"/>
  <c r="AF41" i="2"/>
  <c r="AU37" i="2"/>
  <c r="AT37" i="2"/>
  <c r="AS37" i="2"/>
  <c r="AR37" i="2"/>
  <c r="AI37" i="2"/>
  <c r="AH37" i="2"/>
  <c r="AG37" i="2"/>
  <c r="AF37" i="2"/>
  <c r="AU39" i="2"/>
  <c r="AT39" i="2"/>
  <c r="AS39" i="2"/>
  <c r="AR39" i="2"/>
  <c r="AI39" i="2"/>
  <c r="AH39" i="2"/>
  <c r="AG39" i="2"/>
  <c r="AF39" i="2"/>
  <c r="AU40" i="2"/>
  <c r="AT40" i="2"/>
  <c r="AS40" i="2"/>
  <c r="AR40" i="2"/>
  <c r="AI40" i="2"/>
  <c r="AH40" i="2"/>
  <c r="AG40" i="2"/>
  <c r="AF40" i="2"/>
  <c r="AU75" i="2" l="1"/>
  <c r="AT75" i="2"/>
  <c r="AS75" i="2"/>
  <c r="AR75" i="2"/>
  <c r="AU77" i="2"/>
  <c r="AT77" i="2"/>
  <c r="AS77" i="2"/>
  <c r="AR77" i="2"/>
  <c r="AU76" i="2"/>
  <c r="AT76" i="2"/>
  <c r="AS76" i="2"/>
  <c r="AR76" i="2"/>
  <c r="AI75" i="2"/>
  <c r="AH75" i="2"/>
  <c r="AG75" i="2"/>
  <c r="AF75" i="2"/>
  <c r="AI77" i="2"/>
  <c r="AH77" i="2"/>
  <c r="AG77" i="2"/>
  <c r="AF77" i="2"/>
  <c r="AI76" i="2"/>
  <c r="AH76" i="2"/>
  <c r="AG76" i="2"/>
  <c r="AF76" i="2"/>
  <c r="O11" i="6" l="1"/>
  <c r="F22" i="6"/>
  <c r="M12" i="6"/>
  <c r="D5" i="6"/>
  <c r="Q26" i="6"/>
  <c r="I18" i="6"/>
  <c r="F9" i="6"/>
  <c r="N24" i="6"/>
  <c r="L7" i="6"/>
  <c r="L21" i="6"/>
  <c r="I8" i="6"/>
  <c r="F4" i="6"/>
  <c r="I26" i="6"/>
  <c r="D24" i="6"/>
  <c r="P27" i="6"/>
  <c r="J23" i="6"/>
  <c r="M17" i="6"/>
  <c r="G14" i="6"/>
  <c r="H27" i="6"/>
  <c r="H25" i="6"/>
  <c r="P22" i="6"/>
  <c r="E20" i="6"/>
  <c r="I13" i="6"/>
  <c r="U10" i="2" s="1"/>
  <c r="D10" i="6"/>
  <c r="O6" i="6"/>
  <c r="C4" i="6"/>
  <c r="I4" i="6"/>
  <c r="N4" i="6"/>
  <c r="B5" i="6"/>
  <c r="H5" i="6"/>
  <c r="M5" i="6"/>
  <c r="G6" i="6"/>
  <c r="L6" i="6"/>
  <c r="F7" i="6"/>
  <c r="K7" i="6"/>
  <c r="V46" i="2" s="1"/>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T10" i="2" s="1"/>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V92" i="2" s="1"/>
  <c r="M9" i="6"/>
  <c r="B8" i="6"/>
  <c r="D7" i="6"/>
  <c r="H6" i="6"/>
  <c r="J5" i="6"/>
  <c r="M4" i="6"/>
  <c r="K27" i="6"/>
  <c r="C27" i="6"/>
  <c r="L26" i="6"/>
  <c r="D26" i="6"/>
  <c r="L25" i="6"/>
  <c r="H24" i="6"/>
  <c r="N23" i="6"/>
  <c r="C23" i="6"/>
  <c r="J22" i="6"/>
  <c r="P21" i="6"/>
  <c r="E21" i="6"/>
  <c r="J20" i="6"/>
  <c r="L19" i="6"/>
  <c r="O18" i="6"/>
  <c r="D17" i="6"/>
  <c r="L14" i="6"/>
  <c r="N13" i="6"/>
  <c r="C12" i="6"/>
  <c r="F11" i="6"/>
  <c r="I10" i="6"/>
  <c r="W92" i="2" s="1"/>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W46" i="2" s="1"/>
  <c r="E7" i="6"/>
  <c r="N6" i="6"/>
  <c r="J6" i="6"/>
  <c r="F6" i="6"/>
  <c r="B6" i="6"/>
  <c r="O5" i="6"/>
  <c r="K5" i="6"/>
  <c r="G5" i="6"/>
  <c r="C5" i="6"/>
  <c r="L4" i="6"/>
  <c r="H4" i="6"/>
  <c r="D4" i="6"/>
  <c r="U92" i="2" l="1"/>
  <c r="T92" i="2"/>
  <c r="U46" i="2"/>
  <c r="T46" i="2"/>
  <c r="W65" i="2"/>
  <c r="W21" i="2"/>
  <c r="U27" i="2"/>
  <c r="T27" i="2"/>
  <c r="T12" i="2"/>
  <c r="U12" i="2"/>
  <c r="V77" i="2"/>
  <c r="V75" i="2"/>
  <c r="V66" i="2"/>
  <c r="V62" i="2"/>
  <c r="V57" i="2"/>
  <c r="V73" i="2"/>
  <c r="V70" i="2"/>
  <c r="W13" i="2"/>
  <c r="V13" i="2"/>
  <c r="V80" i="2"/>
  <c r="V78" i="2"/>
  <c r="V32" i="2"/>
  <c r="V18" i="2"/>
  <c r="V22" i="2"/>
  <c r="V35" i="2"/>
  <c r="W37" i="2"/>
  <c r="W39" i="2"/>
  <c r="W11" i="2"/>
  <c r="V11" i="2"/>
  <c r="V37" i="2"/>
  <c r="V39" i="2"/>
  <c r="T16" i="2"/>
  <c r="T29" i="2"/>
  <c r="T14" i="2"/>
  <c r="U29" i="2"/>
  <c r="W26" i="2"/>
  <c r="U16" i="2"/>
  <c r="U14" i="2"/>
  <c r="V26" i="2"/>
  <c r="W52" i="2"/>
  <c r="W55" i="2"/>
  <c r="W44" i="2"/>
  <c r="W48" i="2"/>
  <c r="W49" i="2"/>
  <c r="V63" i="2"/>
  <c r="V67" i="2"/>
  <c r="V68" i="2"/>
  <c r="V58" i="2"/>
  <c r="V60" i="2"/>
  <c r="V71" i="2"/>
  <c r="V74" i="2"/>
  <c r="V95" i="2"/>
  <c r="V97" i="2"/>
  <c r="W16" i="2"/>
  <c r="W14" i="2"/>
  <c r="V16" i="2"/>
  <c r="V14" i="2"/>
  <c r="V88" i="2"/>
  <c r="V90" i="2"/>
  <c r="V83" i="2"/>
  <c r="V87" i="2"/>
  <c r="V19" i="2"/>
  <c r="V24" i="2"/>
  <c r="V81" i="2"/>
  <c r="V79" i="2"/>
  <c r="V36" i="2"/>
  <c r="V23" i="2"/>
  <c r="V33" i="2"/>
  <c r="W53" i="2"/>
  <c r="W45" i="2"/>
  <c r="V53" i="2"/>
  <c r="V45" i="2"/>
  <c r="U40" i="2"/>
  <c r="U41" i="2"/>
  <c r="W66" i="2"/>
  <c r="W62" i="2"/>
  <c r="W57" i="2"/>
  <c r="W73" i="2"/>
  <c r="W70" i="2"/>
  <c r="V28" i="2"/>
  <c r="W28" i="2"/>
  <c r="W78" i="2"/>
  <c r="W51" i="2"/>
  <c r="W32" i="2"/>
  <c r="W80" i="2"/>
  <c r="V51" i="2"/>
  <c r="W43" i="2"/>
  <c r="W18" i="2"/>
  <c r="W22" i="2"/>
  <c r="W35" i="2"/>
  <c r="V43" i="2"/>
  <c r="U37" i="2"/>
  <c r="U11" i="2"/>
  <c r="U39" i="2"/>
  <c r="W54" i="2"/>
  <c r="W47" i="2"/>
  <c r="T41" i="2"/>
  <c r="T40" i="2"/>
  <c r="V76" i="2"/>
  <c r="U65" i="2"/>
  <c r="T65" i="2"/>
  <c r="T21" i="2"/>
  <c r="U21" i="2"/>
  <c r="W61" i="2"/>
  <c r="W56" i="2"/>
  <c r="W69" i="2"/>
  <c r="W27" i="2"/>
  <c r="V27" i="2"/>
  <c r="W93" i="2"/>
  <c r="W94" i="2"/>
  <c r="W91" i="2"/>
  <c r="W89" i="2"/>
  <c r="W50" i="2"/>
  <c r="W42" i="2"/>
  <c r="W31" i="2"/>
  <c r="W17" i="2"/>
  <c r="V50" i="2"/>
  <c r="V42" i="2"/>
  <c r="W85" i="2"/>
  <c r="W82" i="2"/>
  <c r="W84" i="2"/>
  <c r="V61" i="2"/>
  <c r="V56" i="2"/>
  <c r="V69" i="2"/>
  <c r="V93" i="2"/>
  <c r="V94" i="2"/>
  <c r="V12" i="2"/>
  <c r="W12" i="2"/>
  <c r="V91" i="2"/>
  <c r="V89" i="2"/>
  <c r="V82" i="2"/>
  <c r="V17" i="2"/>
  <c r="V84" i="2"/>
  <c r="V31" i="2"/>
  <c r="V85" i="2"/>
  <c r="W41" i="2"/>
  <c r="W40" i="2"/>
  <c r="V41" i="2"/>
  <c r="V40" i="2"/>
  <c r="U63" i="2"/>
  <c r="U67" i="2"/>
  <c r="U68" i="2"/>
  <c r="U58" i="2"/>
  <c r="U60" i="2"/>
  <c r="U71" i="2"/>
  <c r="U74" i="2"/>
  <c r="T63" i="2"/>
  <c r="T67" i="2"/>
  <c r="T68" i="2"/>
  <c r="T58" i="2"/>
  <c r="T60" i="2"/>
  <c r="T71" i="2"/>
  <c r="T74" i="2"/>
  <c r="T95" i="2"/>
  <c r="T97" i="2"/>
  <c r="U95" i="2"/>
  <c r="U97" i="2"/>
  <c r="T26" i="2"/>
  <c r="U26" i="2"/>
  <c r="T88" i="2"/>
  <c r="T90" i="2"/>
  <c r="U88" i="2"/>
  <c r="U90" i="2"/>
  <c r="U79" i="2"/>
  <c r="T44" i="2"/>
  <c r="T48" i="2"/>
  <c r="T49" i="2"/>
  <c r="T36" i="2"/>
  <c r="T23" i="2"/>
  <c r="T33" i="2"/>
  <c r="T81" i="2"/>
  <c r="U44" i="2"/>
  <c r="U49" i="2"/>
  <c r="U36" i="2"/>
  <c r="U23" i="2"/>
  <c r="U33" i="2"/>
  <c r="U87" i="2"/>
  <c r="U52" i="2"/>
  <c r="T87" i="2"/>
  <c r="U83" i="2"/>
  <c r="T79" i="2"/>
  <c r="T52" i="2"/>
  <c r="T55" i="2"/>
  <c r="T19" i="2"/>
  <c r="T24" i="2"/>
  <c r="U48" i="2"/>
  <c r="U19" i="2"/>
  <c r="U24" i="2"/>
  <c r="T83" i="2"/>
  <c r="U81" i="2"/>
  <c r="U55" i="2"/>
  <c r="T53" i="2"/>
  <c r="T45" i="2"/>
  <c r="T76" i="2"/>
  <c r="W10" i="2"/>
  <c r="V10" i="2"/>
  <c r="T13" i="2"/>
  <c r="T28" i="2"/>
  <c r="U28" i="2"/>
  <c r="U13" i="2"/>
  <c r="T37" i="2"/>
  <c r="T39" i="2"/>
  <c r="T11" i="2"/>
  <c r="V52" i="2"/>
  <c r="V44" i="2"/>
  <c r="V49" i="2"/>
  <c r="V55" i="2"/>
  <c r="V48" i="2"/>
  <c r="T47" i="2"/>
  <c r="U53" i="2"/>
  <c r="U54" i="2"/>
  <c r="U45" i="2"/>
  <c r="T54" i="2"/>
  <c r="U47" i="2"/>
  <c r="U76" i="2"/>
  <c r="W64" i="2"/>
  <c r="W59" i="2"/>
  <c r="W72" i="2"/>
  <c r="U38" i="2"/>
  <c r="W96" i="2"/>
  <c r="W30" i="2"/>
  <c r="W25" i="2"/>
  <c r="V30" i="2"/>
  <c r="W86" i="2"/>
  <c r="W20" i="2"/>
  <c r="W34" i="2"/>
  <c r="U8" i="2"/>
  <c r="U9" i="2"/>
  <c r="U7" i="2"/>
  <c r="U66" i="2"/>
  <c r="U62" i="2"/>
  <c r="U57" i="2"/>
  <c r="U73" i="2"/>
  <c r="U70" i="2"/>
  <c r="T66" i="2"/>
  <c r="T62" i="2"/>
  <c r="T57" i="2"/>
  <c r="T73" i="2"/>
  <c r="T70" i="2"/>
  <c r="T43" i="2"/>
  <c r="T22" i="2"/>
  <c r="U22" i="2"/>
  <c r="T80" i="2"/>
  <c r="U78" i="2"/>
  <c r="U32" i="2"/>
  <c r="U80" i="2"/>
  <c r="T78" i="2"/>
  <c r="T32" i="2"/>
  <c r="T18" i="2"/>
  <c r="T35" i="2"/>
  <c r="T51" i="2"/>
  <c r="U43" i="2"/>
  <c r="U18" i="2"/>
  <c r="U35" i="2"/>
  <c r="U51" i="2"/>
  <c r="V59" i="2"/>
  <c r="V72" i="2"/>
  <c r="V64" i="2"/>
  <c r="W38" i="2"/>
  <c r="V38" i="2"/>
  <c r="V96" i="2"/>
  <c r="V15" i="2"/>
  <c r="V25" i="2"/>
  <c r="W15" i="2"/>
  <c r="V86" i="2"/>
  <c r="V34" i="2"/>
  <c r="W8" i="2"/>
  <c r="V8" i="2"/>
  <c r="V20" i="2"/>
  <c r="W7" i="2"/>
  <c r="W9" i="2"/>
  <c r="V9" i="2"/>
  <c r="V7" i="2"/>
  <c r="U61" i="2"/>
  <c r="U56" i="2"/>
  <c r="U69" i="2"/>
  <c r="T61" i="2"/>
  <c r="T56" i="2"/>
  <c r="T69" i="2"/>
  <c r="T93" i="2"/>
  <c r="T94" i="2"/>
  <c r="U93" i="2"/>
  <c r="U94" i="2"/>
  <c r="T91" i="2"/>
  <c r="T89" i="2"/>
  <c r="U91" i="2"/>
  <c r="U89" i="2"/>
  <c r="U82" i="2"/>
  <c r="T85" i="2"/>
  <c r="U85" i="2"/>
  <c r="U84" i="2"/>
  <c r="U42" i="2"/>
  <c r="T82" i="2"/>
  <c r="T50" i="2"/>
  <c r="T42" i="2"/>
  <c r="T31" i="2"/>
  <c r="T17" i="2"/>
  <c r="T84" i="2"/>
  <c r="U50" i="2"/>
  <c r="U31" i="2"/>
  <c r="U17" i="2"/>
  <c r="U75" i="2"/>
  <c r="U77" i="2"/>
  <c r="T75" i="2"/>
  <c r="T77" i="2"/>
  <c r="V65" i="2"/>
  <c r="V21" i="2"/>
  <c r="V54" i="2"/>
  <c r="V47" i="2"/>
  <c r="W76" i="2"/>
  <c r="T64" i="2"/>
  <c r="U64" i="2"/>
  <c r="U59" i="2"/>
  <c r="U72" i="2"/>
  <c r="T59" i="2"/>
  <c r="T72" i="2"/>
  <c r="T96" i="2"/>
  <c r="U96" i="2"/>
  <c r="T25" i="2"/>
  <c r="U25" i="2"/>
  <c r="T86" i="2"/>
  <c r="T20" i="2"/>
  <c r="U20" i="2"/>
  <c r="T34" i="2"/>
  <c r="U86" i="2"/>
  <c r="U34" i="2"/>
  <c r="W75" i="2"/>
  <c r="W77" i="2"/>
  <c r="T38" i="2"/>
  <c r="T15" i="2"/>
  <c r="T30" i="2"/>
  <c r="U15" i="2"/>
  <c r="U30" i="2"/>
  <c r="T8" i="2"/>
  <c r="T7" i="2"/>
  <c r="T9" i="2"/>
  <c r="W63" i="2"/>
  <c r="W67" i="2"/>
  <c r="W68" i="2"/>
  <c r="W58" i="2"/>
  <c r="W60" i="2"/>
  <c r="W71" i="2"/>
  <c r="W74" i="2"/>
  <c r="W95" i="2"/>
  <c r="W97" i="2"/>
  <c r="V29" i="2"/>
  <c r="W29" i="2"/>
  <c r="W88" i="2"/>
  <c r="W90" i="2"/>
  <c r="W87" i="2"/>
  <c r="W79" i="2"/>
  <c r="W83" i="2"/>
  <c r="W36" i="2"/>
  <c r="W19" i="2"/>
  <c r="W23" i="2"/>
  <c r="W24" i="2"/>
  <c r="W33" i="2"/>
  <c r="W81" i="2"/>
</calcChain>
</file>

<file path=xl/sharedStrings.xml><?xml version="1.0" encoding="utf-8"?>
<sst xmlns="http://schemas.openxmlformats.org/spreadsheetml/2006/main" count="1325" uniqueCount="373">
  <si>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</si>
  <si>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</si>
  <si>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</si>
  <si>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</si>
  <si>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</si>
  <si>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</si>
  <si>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</si>
  <si>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</si>
  <si>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</si>
  <si>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</si>
  <si>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</si>
  <si>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</si>
  <si>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</si>
  <si>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</si>
  <si>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</si>
  <si>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</si>
  <si>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</si>
  <si>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</si>
  <si>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</si>
  <si>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</si>
  <si>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</si>
  <si>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</si>
  <si>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</si>
  <si>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</si>
  <si>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</si>
  <si>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</si>
  <si>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</si>
  <si>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</si>
  <si>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</si>
  <si>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</si>
  <si>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</si>
  <si>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</si>
  <si>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</si>
  <si>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</si>
  <si>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</si>
  <si>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</si>
  <si>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</si>
  <si>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</si>
  <si>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</si>
  <si>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</si>
  <si>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 xml:space="preserve">Fish bite
</t>
  </si>
  <si>
    <t>Corrosion, wear, fatigue induced damage</t>
  </si>
  <si>
    <t>Extreme load induced damage</t>
  </si>
  <si>
    <t>Normal</t>
  </si>
  <si>
    <t>none</t>
  </si>
  <si>
    <t>Regularly scheduled visual inspection</t>
  </si>
  <si>
    <t>1) Yaw direction detection
2) Mooring load cell
3) Visual detection</t>
  </si>
  <si>
    <t>Repair/replace on site</t>
  </si>
  <si>
    <t>0720-1</t>
  </si>
  <si>
    <t>0720-2</t>
  </si>
  <si>
    <t>0720-3</t>
  </si>
  <si>
    <t>0720-4</t>
  </si>
  <si>
    <t>0720-5</t>
  </si>
  <si>
    <t>Constrain WEC to weathervane about the single point
Yaw stability</t>
  </si>
  <si>
    <t>Loading</t>
  </si>
  <si>
    <t>Primary station keeping</t>
  </si>
  <si>
    <t>0747-1</t>
  </si>
  <si>
    <t>Mooring load cell</t>
  </si>
  <si>
    <t>0700 Mooring FMECA Table</t>
  </si>
  <si>
    <t>1) Redundant system</t>
  </si>
  <si>
    <t>Regularly scheduled visual inspection, with repair/ replacement as needed</t>
  </si>
  <si>
    <t>1) Loss of station keeping
2) Loss of umbilical connectivity (see 0800)
3) BOB - buoy on beach or BOTS - buoy out to sea
4) Entanglement of WEC in mooring system</t>
  </si>
  <si>
    <t>Measure mooring line tension</t>
  </si>
  <si>
    <t>None</t>
  </si>
  <si>
    <t>1) No mooring tension data for this line
2) Lanyard takes load</t>
  </si>
  <si>
    <t>0747-2</t>
  </si>
  <si>
    <t>0747-3</t>
  </si>
  <si>
    <t>Structural failure</t>
  </si>
  <si>
    <t>Non-service ship strike</t>
  </si>
  <si>
    <t>1) Mooring load cell diagnostics</t>
  </si>
  <si>
    <t>Replace on site</t>
  </si>
  <si>
    <t>Vandalism/ negligence</t>
  </si>
  <si>
    <t>Single bridle line failure</t>
  </si>
  <si>
    <t>Corrosion, fatigue induced damage</t>
  </si>
  <si>
    <t>Double hawser failure (including hardware failure)</t>
  </si>
  <si>
    <t>1) Redundant system (WEC remains moored)</t>
  </si>
  <si>
    <t>1) Redundant system (WEC remains moored)
2) Lights, radar reflectors (e.g. visibility)
3) Hawsers and hardware below ship draft (~4m)</t>
  </si>
  <si>
    <t>1) Redundant system (WEC remains moored)
2) Material selection  and component sizing
3) Conservative design (partial safety factors)</t>
  </si>
  <si>
    <t>1) Redundant system (WEC remains moored)
2) Conservative design (partial safety factors)</t>
  </si>
  <si>
    <t>1) Redundant system (WEC remains moored)
2) Surveillance system
3) Hawsers and hardware below easy access (~4m)</t>
  </si>
  <si>
    <t>1) GPS watch circle alarm
2) Visual detection</t>
  </si>
  <si>
    <t>1) Redundant system
2) Lights, radar reflectors (e.g. visibility)
3) Bridle is below ship draft (~19m)</t>
  </si>
  <si>
    <t>1) Redundant system
2) Surveillance system
3) Bridle is below easy access (~19m)</t>
  </si>
  <si>
    <t>1) Lights, radar reflectors (e.g. visibility)
2) Hawsers and hardware below ship draft (~4m)</t>
  </si>
  <si>
    <t>1) Surveillance system
2) Hawsers and hardware below easy access (~4m)</t>
  </si>
  <si>
    <t>1) Lights, radar reflectors (e.g. visibility)
2) Bridle is below ship draft (~19m)</t>
  </si>
  <si>
    <t>1) Surveillance system
2) Bridle is below easy access (~19m)</t>
  </si>
  <si>
    <t>Mooring: Repair/replace on site
Umbilical: Repair/replace on site… but long lead time (~12mo)</t>
  </si>
  <si>
    <t>1) Change in mooring system response and loads
2)Loss of umbilical connectivity (see 0800)</t>
  </si>
  <si>
    <t>1) Change in mooring system response and loads
2) Significantly greater watch circle
3) Loss of aft mooring line
4) Loss of umbilical connectivity (see 0800)</t>
  </si>
  <si>
    <t>2.0</t>
  </si>
  <si>
    <t>1.0</t>
  </si>
  <si>
    <t>Released to GH for review</t>
  </si>
  <si>
    <t>Edits following GH review</t>
  </si>
  <si>
    <t>New format and risk ranking, additional input</t>
  </si>
  <si>
    <t>StingRAY Mooring FMECA</t>
  </si>
  <si>
    <t>SR-0700-RR</t>
  </si>
  <si>
    <t>P Lenee-Bluhm</t>
  </si>
  <si>
    <t>E Hammagren, J Prudell, A Schacher, Z Zhang, K Rhinefrank, M Ondusko</t>
  </si>
  <si>
    <t>1) Marine contractor
2) Marine contractor feasibility study</t>
  </si>
  <si>
    <t>1) Marine contractor</t>
  </si>
  <si>
    <t>1) Marine contractor feasibility study
2) Marine contractor</t>
  </si>
  <si>
    <t>1) Marine contractor feasibility study</t>
  </si>
  <si>
    <t>Expert Review</t>
  </si>
  <si>
    <t>Eng man Appr</t>
  </si>
  <si>
    <t>Corp Appr</t>
  </si>
  <si>
    <t>Existing Anchors</t>
  </si>
  <si>
    <t>fatigue induced damage</t>
  </si>
  <si>
    <t>Corrosion</t>
  </si>
  <si>
    <t>Material degradation due to exposure to UV</t>
  </si>
  <si>
    <t>Degradation due to Marine growth</t>
  </si>
  <si>
    <t>Fatigue</t>
  </si>
  <si>
    <t>Single hawser failure</t>
  </si>
  <si>
    <t>Load transfer from Bridle to WETS moorings
Provide restoring forces for position keeping</t>
  </si>
  <si>
    <t>1) Change in buoy orientation
2) Reduction in power production
3) Increased load on intact line</t>
  </si>
  <si>
    <t>Yield/crack</t>
  </si>
  <si>
    <t>Yield (ULS)</t>
  </si>
  <si>
    <t>Crack (FLS)</t>
  </si>
  <si>
    <t>Anchoring point to the sea bed</t>
  </si>
  <si>
    <t>Provide restoring force for the mooring system</t>
  </si>
  <si>
    <t>Provide buoyancy to maintain tension in mooring lines</t>
  </si>
  <si>
    <t>Reduce uplift</t>
  </si>
  <si>
    <t>Connection points between mooring lines, mooring lines and buoy.</t>
  </si>
  <si>
    <t>Loading
Long term seabed conditions</t>
  </si>
  <si>
    <t>Extreme load</t>
  </si>
  <si>
    <t>sediment loss</t>
  </si>
  <si>
    <t>Fatigue/cyclic loading</t>
  </si>
  <si>
    <t>Anchor failure (material failure)</t>
  </si>
  <si>
    <t>Excessive load due to higher seabed friction</t>
  </si>
  <si>
    <t>Existing Floats</t>
  </si>
  <si>
    <t>Existing Sinkers</t>
  </si>
  <si>
    <t>Existing Shackles</t>
  </si>
  <si>
    <t>1) GPS watch circle alarm
2) Visual detection
3) Loss of umbilical connectivity</t>
  </si>
  <si>
    <t>1) GPS watch circle alarm
2) Yaw direction detection
3) Mooring load cells
4) Visual detection
5) Loss of umbilical connectivity</t>
  </si>
  <si>
    <t>Existing Chains</t>
  </si>
  <si>
    <t>Collapse/loss of buoyancy</t>
  </si>
  <si>
    <t>Fracture</t>
  </si>
  <si>
    <t>Abrasion</t>
  </si>
  <si>
    <t>Impact on the sea floor</t>
  </si>
  <si>
    <t>Redistribution of load to other sinkers
Increased uplift force at achor, leading to anchor failure</t>
  </si>
  <si>
    <t>Connection points for Hawser lines to chain, pendant and buoy
Load transfer</t>
  </si>
  <si>
    <t>Provide buoyancy to the mooring system, maintain tension in the mooring lines and geometric configuration of the mooring system</t>
  </si>
  <si>
    <t>Crack/Loss of mass</t>
  </si>
  <si>
    <t>Provide weight to foam buoy. 
Connection point between Brindle and single point mooring</t>
  </si>
  <si>
    <t>Keep foam buoy in position
Connecting sinker to buoy</t>
  </si>
  <si>
    <t>Line break</t>
  </si>
  <si>
    <t>Material degradation leading to loss of buoyancy</t>
  </si>
  <si>
    <t>Loss of buoyancy</t>
  </si>
  <si>
    <t>Extreme loading (overload)</t>
  </si>
  <si>
    <t>1) Loss of WEC orientation and equilibrium position
2) Possible loss of umbilical connectivity (see 0800)
3) Possible loss of buoy, BOB - buoy on beach or BOTS - buoy out to sea
4) Possible damage to WEC</t>
  </si>
  <si>
    <t>Extreme load induced damage (Overload)</t>
  </si>
  <si>
    <t xml:space="preserve">1) Change in buoy orientation
2) Reduction in power production
3) Increased load on intact line
</t>
  </si>
  <si>
    <t>1) Repair/replace on site
2) Recover WEC, dry doc repair of hull area</t>
  </si>
  <si>
    <t>Tether Chain</t>
  </si>
  <si>
    <t>Tether Shackles and pendant</t>
  </si>
  <si>
    <t>Connection points for polyester lines to chain, pendant and buoy
Load transfer</t>
  </si>
  <si>
    <t>Load transfer from WEC to WETS moorings
Provide restoring force for position keeping</t>
  </si>
  <si>
    <t>Excessive load on the chain due to embedment of mooring chain into the seabed</t>
  </si>
  <si>
    <t xml:space="preserve">1) design of umibilical to incorporate repairable weak link to allow for shorter repair time and reduced cost of failure
2) analysis: expected fish bite failures and detectability with regular inspections
3) protective sheath on the lines at risk for fish bite, if warranted
</t>
  </si>
  <si>
    <t>1) design of umibilical to incorporate repairable weak link to allow for shorter repair time and reduced cost of failure</t>
  </si>
  <si>
    <t>Single point hawser lines</t>
  </si>
  <si>
    <t>Snap loads</t>
  </si>
  <si>
    <t>Fatigue induced damage</t>
  </si>
  <si>
    <t>Degradation due to marine growth</t>
  </si>
  <si>
    <t>1) design of umibilical to incorporate repairable weak link to allow for shorter repair time and reduced cost of failure
2) Load derivation methodology to take into account the uncertainties in the loading due to site characterisation measurements and hydrodynamic modelling. 
3) CPwr to demonstrate the derivation of loading is conservative for the site, including providing evidence from site assessment and validation of the overall loading upon deployment.</t>
  </si>
  <si>
    <t>1) design of umibilical to incorporate repairable weak link to allow for shorter repair time and reduced cost of failure
2) load cases to include investigation of snap loading</t>
  </si>
  <si>
    <t>0713-1</t>
  </si>
  <si>
    <t>0713-2</t>
  </si>
  <si>
    <t>0713-3</t>
  </si>
  <si>
    <t>0713-4</t>
  </si>
  <si>
    <t>0713-5</t>
  </si>
  <si>
    <t>0713-6</t>
  </si>
  <si>
    <t>0713-7</t>
  </si>
  <si>
    <t>0713-8</t>
  </si>
  <si>
    <t>0716-1</t>
  </si>
  <si>
    <t>0716-2</t>
  </si>
  <si>
    <t>0716-3</t>
  </si>
  <si>
    <t>0716-4</t>
  </si>
  <si>
    <t>0716-5</t>
  </si>
  <si>
    <t>0716-6</t>
  </si>
  <si>
    <t>Single point shackles, pendants</t>
  </si>
  <si>
    <t xml:space="preserve">Assume pendant is made of steel, hence failure cause related to polyester material is not considered. </t>
  </si>
  <si>
    <t>1) CPwr to confirm that corrosion allowance has been considered in the structural design; if not, corrosion allowance to be defined as per DNV-OS-E301 with annual inspection</t>
  </si>
  <si>
    <t>0714-1</t>
  </si>
  <si>
    <t>0714-2</t>
  </si>
  <si>
    <t>0715-1</t>
  </si>
  <si>
    <t>0715-2</t>
  </si>
  <si>
    <t>0715-3</t>
  </si>
  <si>
    <t>0715-4</t>
  </si>
  <si>
    <t>0712-1</t>
  </si>
  <si>
    <t>0712-2</t>
  </si>
  <si>
    <t>0712-3</t>
  </si>
  <si>
    <t>0712-4</t>
  </si>
  <si>
    <t>0712-5</t>
  </si>
  <si>
    <t>0710-1</t>
  </si>
  <si>
    <t>0710-2</t>
  </si>
  <si>
    <t>0710-3</t>
  </si>
  <si>
    <t>0710-4</t>
  </si>
  <si>
    <t>0710-5</t>
  </si>
  <si>
    <t>Single point MB-225 foam buoy</t>
  </si>
  <si>
    <t>1) Change to WEC orientation
2) Sub-optimal WEC response
3) Possible entaglement between single point sinker and umbilical</t>
  </si>
  <si>
    <t>1) Lights, radar reflectors (e.g. visibility)</t>
  </si>
  <si>
    <t>1) Visual detection</t>
  </si>
  <si>
    <t>Single point sinker</t>
  </si>
  <si>
    <t>Single point chain (vertical)</t>
  </si>
  <si>
    <t>1) design of umibilical to incorporate repairable weak link to allow for shorter repair time and reduced cost of failure
2)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t>
  </si>
  <si>
    <t>0723-4</t>
  </si>
  <si>
    <t>0723-1</t>
  </si>
  <si>
    <t>0723-2</t>
  </si>
  <si>
    <t>0723-3</t>
  </si>
  <si>
    <t>0723-7</t>
  </si>
  <si>
    <t>0723-8</t>
  </si>
  <si>
    <t>0723-6</t>
  </si>
  <si>
    <t>Bridle hawser lines</t>
  </si>
  <si>
    <t>0723-5</t>
  </si>
  <si>
    <t>0726-4</t>
  </si>
  <si>
    <t>0726-1</t>
  </si>
  <si>
    <t>0726-2</t>
  </si>
  <si>
    <t>0726-3</t>
  </si>
  <si>
    <t>0726-5</t>
  </si>
  <si>
    <t>0726-6</t>
  </si>
  <si>
    <t>Connection points for bridle hawser lines to WEC
Load transfer from WEC to mooring system</t>
  </si>
  <si>
    <t>0733-5</t>
  </si>
  <si>
    <t>0733-4</t>
  </si>
  <si>
    <t>0733-1</t>
  </si>
  <si>
    <t>0733-3</t>
  </si>
  <si>
    <t>0733-2</t>
  </si>
  <si>
    <t>0733-7</t>
  </si>
  <si>
    <t>0733-8</t>
  </si>
  <si>
    <t>0733-6</t>
  </si>
  <si>
    <t>0732-3</t>
  </si>
  <si>
    <t>0732-4</t>
  </si>
  <si>
    <t>0732-2</t>
  </si>
  <si>
    <t>0732-1</t>
  </si>
  <si>
    <t>0732-5</t>
  </si>
  <si>
    <t>0736-1</t>
  </si>
  <si>
    <t>0736-3</t>
  </si>
  <si>
    <t>0736-2</t>
  </si>
  <si>
    <t>0736-4</t>
  </si>
  <si>
    <t>0736-5</t>
  </si>
  <si>
    <t>0736-6</t>
  </si>
  <si>
    <t>0781-1</t>
  </si>
  <si>
    <t>0781-2</t>
  </si>
  <si>
    <t>0781-3</t>
  </si>
  <si>
    <t>0781-4</t>
  </si>
  <si>
    <t>0782-1</t>
  </si>
  <si>
    <t>0782-2</t>
  </si>
  <si>
    <t>0782-3</t>
  </si>
  <si>
    <t>0782-4</t>
  </si>
  <si>
    <t>0784-1</t>
  </si>
  <si>
    <t>0784-2</t>
  </si>
  <si>
    <t>0785-1</t>
  </si>
  <si>
    <t>0785-2</t>
  </si>
  <si>
    <t>0785-3</t>
  </si>
  <si>
    <t>0785-4</t>
  </si>
  <si>
    <t>0786-4</t>
  </si>
  <si>
    <t>0786-1</t>
  </si>
  <si>
    <t>0786-3</t>
  </si>
  <si>
    <t>0786-2</t>
  </si>
  <si>
    <t>0786-5</t>
  </si>
  <si>
    <t>1) design of umibilical to incorporate repairable weak link to allow for shorter repair time and reduced cost of failure
2)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
3) Design to demonstrate that the mooring lines are to break first in the event of excessive loading in order to prevent any damage to the connection points on the WEC hull area such that dry dock repair is not necessary in the event of line failure</t>
  </si>
  <si>
    <t>1) Loss of station keeping
2) Loss of umbilical (see 0800)
4) BOB - buoy on beach or BOTS - buoy out to sea
5) Loss of primary fiber communications</t>
  </si>
  <si>
    <t>1) load cases to include investigation of snap loading</t>
  </si>
  <si>
    <t>4.5 ton sinker (0715) will be supported by WEC reserve buoyancy in event of single point chain failure rather than by buoy (0714). WEC performance will be negatively effected, but no stability issues expected</t>
  </si>
  <si>
    <t>1) design of umibilical to incorporate repairable weak link to allow for shorter repair time and reduced cost of failure
2) establish exclusion zone at deployed area</t>
  </si>
  <si>
    <t>probability of occurrence to be reviewed; if there are likely to be ships in the area with draft more than 3-4 m, then the occurrence will be higher than 3</t>
  </si>
  <si>
    <t>CPwr to provide recommended actions to reduce risk of failure due to UV exposure, if warranted</t>
  </si>
  <si>
    <t>CPwr to provide recommended actions to reduce risk of failure due to marine growth, if warranted</t>
  </si>
  <si>
    <t>1) establish exclusion zone at deployed area</t>
  </si>
  <si>
    <t xml:space="preserve">1) design of umibilical to incorporate repairable weak link to allow for shorter repair time and reduced cost of failure
2)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
</t>
  </si>
  <si>
    <t>1) design of umibilical to incorporate repairable weak link to allow for shorter repair time and reduced cost of failure
2)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
3) establish exclusion zone at deployed area</t>
  </si>
  <si>
    <t>1) design of umibilical to incorporate repairable weak link to allow for shorter repair time and reduced cost of failure
2)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
3) Design to demonstrate that the mooring lines are to break first in the event of excessive loading in order to prevent any damage to the connection points on the WEC hull area such that dry dock repair is not necessary in the event of line failure
4) establish exclusion zone at deployed area</t>
  </si>
  <si>
    <t>1) design of umibilical to incorporate repairable weak link to allow for shorter repair time and reduced cost of failure
2) CPwr to confirm that corrosion allowance has been considered in the structural design; if not, corrosion allowance to be defined as per DNV-OS-E301 with annual inspection</t>
  </si>
  <si>
    <t xml:space="preserve">1) Material selection  and component sizing
</t>
  </si>
  <si>
    <t>1) Material selection  and component sizing</t>
  </si>
  <si>
    <t>1) Load derivation methodology to take into account the uncertainties in the loading due to site characterisation measurements and hydrodynamic modelling. 
2) CPwr to demonstrate the derivation of loading is conservative for the site, including providing evidence from site assessment and validation of the overall loading upon deployment.</t>
  </si>
  <si>
    <t>1) Load derivation methodology to take into account the uncertainties in the loading due to site characterisation measurements and hydrodynamic modelling. 
2) CPwr to demonstrate the derivation of loading is conservative for the site, including providing evidence from site assessment and validation of the overall loading upon deployment.
3) Design to demonstrate that the mooring lines are to break first in the event of excessive loading in order to prevent any damage to the connection points on the WEC hull area such that dry dock repair is not necessary in the event of line failure</t>
  </si>
  <si>
    <t>1) establish exclusion zone at deployed area
2) Design to demonstrate that the mooring lines are to break first in the event of excessive loading in order to prevent any damage to the connection points on the WEC hull area such that dry dock repair is not necessary in the event of line failure</t>
  </si>
  <si>
    <t xml:space="preserve">1) analysis: expected fish bite failures and detectability with regular inspections
2) protective sheath on the lines at risk for fish bite, if warranted
</t>
  </si>
  <si>
    <t>Bridle shackles</t>
  </si>
  <si>
    <t>varies</t>
  </si>
  <si>
    <t>crack/yield</t>
  </si>
  <si>
    <t>crack / yield</t>
  </si>
  <si>
    <t>1) Redundant system
2) Material selection  and component sizing</t>
  </si>
  <si>
    <t>Connecting tether line poly line segments
Provide restoring force in the mooring system</t>
  </si>
  <si>
    <t>1) Loss of WEC orientation and equilibrium position
2) Entanglement of WEC in mooring system
3) Possible loss of umbilical connectivity (see 0800)</t>
  </si>
  <si>
    <t>Tether lines</t>
  </si>
  <si>
    <t>1) design of umibilical to incorporate repairable weak link to allow for shorter repair time and reduced cost of failure
2) Load derivation methodology to take into account the uncertainties in the loading due to site characterisation measurements and hydrodynamic modelling. 
3) CPwr to demonstrate the derivation of loading is conservative for the site, including providing evidence from site assessment and validation of the overall loading upon deployment.
4) Design to demonstrate that the mooring lines are to break first in the event of excessive loading in order to prevent any damage to the connection points on the WEC hull area such that dry dock repair is not necessary in the event of line failure</t>
  </si>
  <si>
    <t>1) design of umibilical to incorporate repairable weak link to allow for shorter repair time and reduced cost of failure
2) load cases to include investigation of snap loading
3) Design to demonstrate that the mooring lines are to break first in the event of excessive loading in order to prevent any damage to the connection points on the WEC hull area such that dry dock repair is not necessary in the event of line failure</t>
  </si>
  <si>
    <t>1) design of umibilical to incorporate repairable weak link to allow for shorter repair time and reduced cost of failure
2) establish exclusion zone at deployed area
3) Design to demonstrate that the mooring lines are to break first in the event of excessive loading in order to prevent any damage to the connection points on the WEC hull area such that dry dock repair is not necessary in the event of line failure</t>
  </si>
  <si>
    <t>1) tether is 4+ meters below surface, difficult to access</t>
  </si>
  <si>
    <t>1) design of umibilical to incorporate repairable weak link to allow for shorter repair time and reduced cost of failure
2) Load derivation methodology to take into account the uncertainties in the loading due to site characterisation measurements and hydrodynamic modelling. 
3) CPwr to demonstrate the derivation of loading is conservative for the site, including providing evidence from site assessment and validation of the overall loading upon deployment.
4) Design to demonstrate that the mooring lines are to break first in the event of excessive loading in order to prevent any damage to the connection points on the WEC hull area such that dry dock repair is not necessary in the event of line failure
5)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t>
  </si>
  <si>
    <t>1) design of umibilical to incorporate repairable weak link to allow for shorter repair time and reduced cost of failure
2)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
3) Design to demonstrate that the mooring lines are to break first in the event of excessive loading in order to prevent any damage to the connection points on the WEC hull area such that dry dock repair is not necessary in the event of line failure
4) load cases to include investigation of snap loading</t>
  </si>
  <si>
    <t>1) load cases to include investigation of snap loading
2) Design to demonstrate that the mooring lines are to break first in the event of excessive loading in order to prevent any damage to the connection points on the WEC hull area such that dry dock repair is not necessary in the event of line failure</t>
  </si>
  <si>
    <t>1) design of umibilical to incorporate repairable weak link to allow for shorter repair time and reduced cost of failure
2) load cases to include investigation of snap loading
3) Design to demonstrate that the mooring lines are to break first in the event of excessive loading in order to prevent any damage to the connection points on the WEC hull area such that dry dock repair is not necessary in the event of line failure
4)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t>
  </si>
  <si>
    <t>1) design of umibilical to incorporate repairable weak link to allow for shorter repair time and reduced cost of failure
2) Design to demonstrate that the mooring lines are to break first in the event of excessive loading in order to prevent any damage to the connection points on the WEC hull area such that dry dock repair is not necessary in the event of line failure
3) establish exclusion zone at deployed area</t>
  </si>
  <si>
    <t>1) design of umibilical to incorporate repairable weak link to allow for shorter repair time and reduced cost of failure
2) Design to demonstrate that the mooring lines are to break first in the event of excessive loading in order to prevent any damage to the connection points on the WEC hull area such that dry dock repair is not necessary in the event of line failure
3) analysis: expected fish bite failures and detectability with regular inspections
4) protective sheath on the lines at risk for fish bite, if warranted</t>
  </si>
  <si>
    <t>1) design of umibilical to incorporate repairable weak link to allow for shorter repair time and reduced cost of failure
2)  establish exclusion zone at deployed area</t>
  </si>
  <si>
    <t>1) Mechanically backed up by lanyard (0749)
2) Lights, radar reflectors (e.g. visibility)</t>
  </si>
  <si>
    <t>1) Mechanically backed up by lanyard (0749)
2) Material selection  and component sizing</t>
  </si>
  <si>
    <t>1) Mechanically backed up by lanyard (0749)</t>
  </si>
  <si>
    <t>1)  establish exclusion zone at deployed area</t>
  </si>
  <si>
    <t>Loss in anchoring capacity</t>
  </si>
  <si>
    <t>1) design of umibilical to incorporate repairable weak link to allow for shorter repair time and reduced cost of failure
2) Load derivation methodology to take into account the uncertainties in the loading due to site characterisation measurements and hydrodynamic modelling. 
3) CPwr to demonstrate the derivation of loading is conservative for the site, including providing evidence from site assessment and validation of the overall loading upon deployment.
4) Evidence of anchor capacity at deployed site (via full scale testing after installation) to be provided to demonstrate the capacity is within the design criteria.</t>
  </si>
  <si>
    <t>1) design of umibilical to incorporate repairable weak link to allow for shorter repair time and reduced cost of failure
2) Definition of different levels of acceptance criteria for embedment of drag anchors with the associate action plan depending on the severity of the issue. Regular inspection of the anchors shall be checked against the acceptance criteria.</t>
  </si>
  <si>
    <t>1) design of umibilical to incorporate repairable weak link to allow for shorter repair time and reduced cost of failure
2) Load derivation methodology to take into account the uncertainties in the loading due to site characterisation measurements and hydrodynamic modelling. 
3) CPwr to demonstrate the derivation of loading is conservative for the site, including providing evidence from site assessment and validation of the overall loading upon deployment.
4) Definition of different levels of acceptance criteria for embedment of drag anchors with the associate action plan depending on the severity of the issue. Regular inspection of the anchors shall be checked against the acceptance criteria</t>
  </si>
  <si>
    <t>Yield/ Crack</t>
  </si>
  <si>
    <t>1) GPS watch circle alarm
2) Mooring load cell
3) Visual detection
4) loss of umibilical connectivity</t>
  </si>
  <si>
    <t>1) GPS position alarm
2) Visual detection
3) loss of umibilical connectivity</t>
  </si>
  <si>
    <t>1) tether is 4+ meters below surface, below most ship's hulls
2) Lights, radar reflectors (e.g. visibility)</t>
  </si>
  <si>
    <t>1) surveillance system</t>
  </si>
  <si>
    <t>1) Redundant system
2) Lights, radar reflectors (e.g. visibility)</t>
  </si>
  <si>
    <t>Snap load</t>
  </si>
  <si>
    <t xml:space="preserve">Mooring: Repair/replace on site
Umbilical: Repair/replace on site… but long lead time (~12mo)
</t>
  </si>
  <si>
    <t>1) Inspection of buoy to detect loss of buoyancy or damage to be implemented</t>
  </si>
  <si>
    <t>0700</t>
  </si>
  <si>
    <t>Mooring system (this line is a placeholder for notes)</t>
  </si>
  <si>
    <t>1) mooring system for the prototype deployment is an adaptation to an existing 'universal' mooring system… mooring for future systems not expected to be similar, aside from perhaps the bridle</t>
  </si>
  <si>
    <t>Assumes that buoy on beach results in significant damage to the structure</t>
  </si>
  <si>
    <t>1) design of umibilical to incorporate repairable weak link to allow for shorter repair time and reduced cost of failure
2) A salvage/emergency response plan to be defined prior to first deployment, stating the mitigating actions for the failure and the expected time window for the  operation(s) to be carried out. It needs to be demonstrated that the expected time window is achievable for the sudden occurrence of the event
3) load cases to include investigation of snap loading</t>
  </si>
  <si>
    <t>1) Assumes that if the sinker fails, the WEC bridle will no longer be connected to the existing mooring
2) Assumes that buoy on beach results in significant damage to the structure</t>
  </si>
  <si>
    <t>1) Assumes that buoy on beach results in significant damage to the structure</t>
  </si>
  <si>
    <t>1) Assumes that buoy on beach results in significant damage to the structure
2) CPwr to clarify the maximum draft of ships in the area</t>
  </si>
  <si>
    <t>1) note that, by design, mooring chain will be in contact with sea bed after installation</t>
  </si>
  <si>
    <t>Major revision following DNVGL RC review</t>
  </si>
  <si>
    <t>0785-5</t>
  </si>
  <si>
    <t>Excessive load on the sinker chain due to embedment of sinker into the seabed</t>
  </si>
  <si>
    <t>Regular</t>
  </si>
  <si>
    <t>inspection</t>
  </si>
  <si>
    <t>to</t>
  </si>
  <si>
    <t>be</t>
  </si>
  <si>
    <t>carried</t>
  </si>
  <si>
    <t>out</t>
  </si>
  <si>
    <t>ensure</t>
  </si>
  <si>
    <t>embedment</t>
  </si>
  <si>
    <t>of</t>
  </si>
  <si>
    <t>the</t>
  </si>
  <si>
    <t>mooring</t>
  </si>
  <si>
    <t>chain</t>
  </si>
  <si>
    <t>is</t>
  </si>
  <si>
    <t>within</t>
  </si>
  <si>
    <t>acceptable</t>
  </si>
  <si>
    <t>limits.</t>
  </si>
  <si>
    <t>1) design of umibilical to incorporate repairable weak link to allow for shorter repair time and reduced cost of failure
2) Load derivation methodology to take into account the uncertainties in the loading due to site characterisation measurements and hydrodynamic modelling. 
3) CPwr to demonstrate the derivation of loading is conservative for the site, including providing evidence from site assessment and validation of the overall loading upon deployment.
4) 3rd party certification of characteristics of used mooring components to be provided</t>
  </si>
  <si>
    <t>1) design of umibilical to incorporate repairable weak link to allow for shorter repair time and reduced cost of failure
2) Seabed friction to take into account the uncertainties of the long term soil characteristics.
3) CPwr to demonstrate the seabed friction in the mooring load derivation is conservative for the site, including evidence from site assessment.
4) 3rd party certification of characteristics of used mooring components to be provided</t>
  </si>
  <si>
    <t>1) design of umibilical to incorporate repairable weak link to allow for shorter repair time and reduced cost of failure
2) Derivation of mooring load to take into account the embedment of mooring chain into the sea bed. The definition of level of embedment need to correlate with the soil characteristics on the sea bed from the site assessment.
3) Regular inspection to be carried out to ensure embedment of the mooring chain is within the acceptable limits. 
4) 3rd party certification of characteristics of used mooring components to be provided</t>
  </si>
  <si>
    <t>1) design of umibilical to incorporate repairable weak link to allow for shorter repair time and reduced cost of failure
2) Inspection of buoy to detect loss of buoyancy or damage to be implemented
3) 3rd party certification of characteristics of used mooring components to be provided</t>
  </si>
  <si>
    <t>1) design to show that hawser line to fail before anchor uplift
2) 3rd party certification of characteristics of used mooring components to be provided</t>
  </si>
  <si>
    <t>1) load cases to include investigation of snap loading
2) 3rd party certification of characteristics of used mooring components to be provided</t>
  </si>
  <si>
    <t>1) Load derivation methodology to take into account the uncertainties in the loading due to site characterisation measurements and hydrodynamic modelling. 
2) CPwr to demonstrate the derivation of loading is conservative for the site, including providing evidence from site assessment and validation of the overall loading upon deployment.
3) 3rd party certification of characteristics of used mooring components to be provided</t>
  </si>
  <si>
    <t>1) Regular inspection to be carried out to ensure embedment of the sinkers are within the acceptable limits. 
2) 3rd party certification of characteristics of used mooring components to be provided</t>
  </si>
  <si>
    <t>1) design of umibilical to incorporate repairable weak link to allow for shorter repair time and reduced cost of failure
2) establish exclusion zone at deployed area
3) 3rd party certification of characteristics of used mooring components to be provided</t>
  </si>
  <si>
    <t>1) design of umibilical to incorporate repairable weak link to allow for shorter repair time and reduced cost of failure
2) CPwr to confirm that corrosion allowance has been considered in the structural design; if not, corrosion allowance to be defined as per DNV-OS-E301 with annual inspection
3) 3rd party certification of characteristics of used mooring components to be provided</t>
  </si>
  <si>
    <t>3.0</t>
  </si>
  <si>
    <t>Updated risk matrix, updated for WEC v3.3 technology</t>
  </si>
  <si>
    <t>- 'set up' and 'linkedPage' are both linked to workbook 'FMECA Master v3.xlsx'</t>
  </si>
  <si>
    <t>- changes to the tables, risk scores, etc must be made in 'FMECA Master v3.xlsx'</t>
  </si>
  <si>
    <t>Single point (Hawser lines, Shackles and Pendants)</t>
  </si>
  <si>
    <t>Mooring: Repair/replace on site
Umbilical: Repair/replace on site… but long lead time (~12mo)
WEC Hull: recover WEC, dry dock repair</t>
  </si>
  <si>
    <t>Loading
Material integrity subjected to marine environment: Exposure to UV, marine growth control</t>
  </si>
  <si>
    <t>Loading
Long term buoyancy loss</t>
  </si>
  <si>
    <t>Loading
Local bending of chain link</t>
  </si>
  <si>
    <t>Bridle (hawswer lines and hardware)</t>
  </si>
  <si>
    <t>Double bridle line failure (including hardware failure)</t>
  </si>
  <si>
    <t>1) Loss of station keeping
2) Loss of umbilical connectivity (see 0800)
3) BOB - buoy on beach or BOTS - buoy out to sea
4) Entanglement of WEC in mooring system
5) Damage to mooring connection point at the hull area</t>
  </si>
  <si>
    <t xml:space="preserve">1) Change in buoy orientation
2) Reduction in power production
3) Increased load on intact line
4) Damage to mooring connection point at the hull area
</t>
  </si>
  <si>
    <t>1) Loss of WEC orientation and equilibrium position
2) Entanglement of WEC in mooring system
3) Possible loss of umbilical connectivity (see 0800)
4) Damage to mooring connection point at the hull area</t>
  </si>
  <si>
    <t>1) Loss of WEC orientation and equilibrium position
2) Entanglement of WEC in mooring system
3) Possible loss of umbilical connectivity (see 0800)
4) Possible damage to WEC</t>
  </si>
  <si>
    <t>Loading
Sea bed conditions (long term)</t>
  </si>
  <si>
    <t>1) Change in mooring system response and loads
2)Loss of umbilical connectivity (see 0800)
3) WEC drifts and collide with buoy, causes damage to WEC or sinking of Buoy.</t>
  </si>
  <si>
    <t>Mooring: Repair/replace on site
Umbilical: Repair/replace on site… but long lead time (~12mo)
Dry dock inspection and repair of WEC.</t>
  </si>
  <si>
    <t>Loading
Sea bed friction</t>
  </si>
  <si>
    <t xml:space="preserve">1) design of umibilical to incorporate repairable weak link to allow for shorter repair time and reduced cost of failure
2) load cases to include investigation of snap loading
3) 3rd party certification of characteristics of used mooring components to be provided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</si>
</sst>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3"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b/>
      <sz val="14"/>
      <color theme="1"/>
      <name val="Calibri"/>
      <family val="2"/>
      <scheme val="minor"/>
    </font>
    <font>
      <sz val="14"/>
      <color theme="1"/>
      <name val="Calibri"/>
      <family val="2"/>
      <scheme val="minor"/>
    </font>
    <font>
      <b/>
      <sz val="12"/>
      <color rgb="FFFF0000"/>
      <name val="Times New Roman"/>
      <family val="1"/>
    </font>
    <font>
      <b/>
      <sz val="12"/>
      <name val="Times New Roman"/>
      <family val="1"/>
    </font>
    <font>
      <sz val="11"/>
      <name val="Calibri"/>
      <family val="2"/>
      <scheme val="minor"/>
    </font>
    <font>
      <b/>
      <sz val="11"/>
      <name val="Times New Roman"/>
      <family val="2"/>
    </font>
    <font>
      <sz val="11"/>
      <name val="Times New Roman"/>
      <family val="2"/>
    </font>
    <font>
      <sz val="16"/>
      <name val="Calibri"/>
      <family val="2"/>
      <scheme val="minor"/>
    </font>
    <font>
      <b/>
      <sz val="16"/>
      <name val="Times New Roman"/>
      <family val="2"/>
    </font>
    <font>
      <sz val="9"/>
      <name val="Times New Roman"/>
      <family val="2"/>
    </font>
  </fonts>
  <fills count="6">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8" fillId="0" borderId="0" applyFont="0" applyFill="0" applyBorder="0" applyAlignment="0" applyProtection="0"/>
  </cellStyleXfs>
  <cellXfs count="210">
    <xf numFmtId="0" fontId="0" fillId="0" borderId="0" xfId="0"/>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1" fillId="0" borderId="7" xfId="0" applyFont="1" applyFill="1" applyBorder="1" applyAlignment="1">
      <alignment horizontal="center" vertical="center"/>
    </xf>
    <xf numFmtId="0" fontId="4" fillId="0" borderId="7" xfId="0" applyFont="1" applyBorder="1" applyAlignment="1">
      <alignment horizontal="center" vertical="center" wrapText="1"/>
    </xf>
    <xf numFmtId="0" fontId="1" fillId="0" borderId="11" xfId="0" applyFont="1" applyFill="1" applyBorder="1" applyAlignment="1">
      <alignment horizontal="center" vertical="center"/>
    </xf>
    <xf numFmtId="0" fontId="1" fillId="0" borderId="14" xfId="0" applyFont="1" applyFill="1" applyBorder="1" applyAlignment="1">
      <alignment horizontal="center" vertical="center"/>
    </xf>
    <xf numFmtId="0" fontId="3" fillId="0" borderId="2" xfId="0" applyFont="1" applyBorder="1" applyAlignment="1">
      <alignment horizontal="center" vertical="center" textRotation="90" wrapText="1"/>
    </xf>
    <xf numFmtId="0" fontId="3" fillId="0" borderId="5"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0" fillId="0" borderId="0" xfId="0" applyBorder="1" applyAlignment="1">
      <alignment wrapText="1"/>
    </xf>
    <xf numFmtId="0" fontId="0" fillId="0" borderId="0" xfId="0" applyFont="1" applyAlignment="1">
      <alignment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left"/>
    </xf>
    <xf numFmtId="0" fontId="1" fillId="0" borderId="7" xfId="0" applyFont="1" applyBorder="1" applyAlignment="1">
      <alignment horizontal="left"/>
    </xf>
    <xf numFmtId="14" fontId="0" fillId="0" borderId="7" xfId="0" applyNumberFormat="1" applyBorder="1" applyAlignment="1">
      <alignment horizontal="left"/>
    </xf>
    <xf numFmtId="0" fontId="0" fillId="0" borderId="7" xfId="0" applyBorder="1"/>
    <xf numFmtId="0" fontId="5" fillId="0" borderId="0" xfId="0" applyFont="1"/>
    <xf numFmtId="0" fontId="0" fillId="0" borderId="0" xfId="0"/>
    <xf numFmtId="0" fontId="0" fillId="0" borderId="0" xfId="0" applyBorder="1" applyAlignment="1">
      <alignment horizontal="center" wrapText="1"/>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0" fillId="0" borderId="0" xfId="0" applyFont="1" applyBorder="1" applyAlignment="1">
      <alignment wrapText="1"/>
    </xf>
    <xf numFmtId="0" fontId="12" fillId="0" borderId="0" xfId="0" applyFont="1"/>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7"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0" fillId="0" borderId="0" xfId="0" applyFont="1" applyBorder="1" applyAlignment="1">
      <alignment horizontal="right" wrapText="1"/>
    </xf>
    <xf numFmtId="0" fontId="10" fillId="0" borderId="0" xfId="0" applyFont="1" applyBorder="1" applyAlignment="1">
      <alignment horizontal="left" wrapText="1"/>
    </xf>
    <xf numFmtId="0" fontId="1" fillId="0" borderId="0" xfId="0" applyFont="1" applyAlignment="1">
      <alignment horizontal="center"/>
    </xf>
    <xf numFmtId="0" fontId="9" fillId="0" borderId="0" xfId="0" applyFont="1" applyAlignment="1">
      <alignment horizontal="center"/>
    </xf>
    <xf numFmtId="0" fontId="12" fillId="0" borderId="22"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2" xfId="0" applyFont="1" applyBorder="1" applyAlignment="1">
      <alignment horizontal="center" vertical="center"/>
    </xf>
    <xf numFmtId="0" fontId="0" fillId="0" borderId="0" xfId="0" applyFill="1" applyBorder="1"/>
    <xf numFmtId="0" fontId="11" fillId="0" borderId="0" xfId="0" applyFont="1" applyFill="1" applyBorder="1" applyAlignment="1">
      <alignment horizontal="center" wrapText="1"/>
    </xf>
    <xf numFmtId="0" fontId="12" fillId="0" borderId="0" xfId="0" applyFont="1" applyFill="1" applyBorder="1" applyAlignment="1">
      <alignment horizontal="center" vertical="center" wrapText="1"/>
    </xf>
    <xf numFmtId="43" fontId="12" fillId="0" borderId="0" xfId="1" applyFont="1" applyFill="1" applyBorder="1" applyAlignment="1">
      <alignment horizontal="center" vertical="center" wrapText="1"/>
    </xf>
    <xf numFmtId="0" fontId="1" fillId="0" borderId="7" xfId="0" applyFont="1" applyBorder="1" applyAlignment="1">
      <alignment horizontal="center"/>
    </xf>
    <xf numFmtId="168" fontId="12" fillId="0" borderId="17" xfId="0" applyNumberFormat="1" applyFont="1" applyBorder="1" applyAlignment="1">
      <alignment horizontal="center" vertical="center"/>
    </xf>
    <xf numFmtId="168" fontId="12" fillId="0" borderId="14" xfId="0" applyNumberFormat="1" applyFont="1" applyBorder="1" applyAlignment="1">
      <alignment horizontal="center" vertical="center"/>
    </xf>
    <xf numFmtId="167" fontId="12" fillId="0" borderId="14" xfId="0" applyNumberFormat="1" applyFont="1" applyBorder="1" applyAlignment="1">
      <alignment horizontal="center" vertical="center"/>
    </xf>
    <xf numFmtId="165" fontId="12" fillId="0" borderId="14" xfId="0" applyNumberFormat="1" applyFont="1" applyBorder="1" applyAlignment="1">
      <alignment horizontal="center" vertical="center"/>
    </xf>
    <xf numFmtId="164" fontId="12" fillId="0" borderId="14" xfId="0" applyNumberFormat="1" applyFont="1" applyBorder="1" applyAlignment="1">
      <alignment horizontal="center" vertical="center"/>
    </xf>
    <xf numFmtId="166" fontId="12" fillId="0" borderId="14" xfId="0" applyNumberFormat="1" applyFont="1" applyBorder="1" applyAlignment="1">
      <alignment horizontal="center" vertical="center"/>
    </xf>
    <xf numFmtId="166" fontId="12" fillId="0" borderId="15" xfId="0" applyNumberFormat="1" applyFont="1" applyBorder="1" applyAlignment="1">
      <alignment horizontal="center" vertical="center"/>
    </xf>
    <xf numFmtId="0" fontId="12" fillId="0" borderId="24" xfId="0" applyFont="1" applyBorder="1" applyAlignment="1">
      <alignment horizontal="center" vertical="center" wrapText="1"/>
    </xf>
    <xf numFmtId="0" fontId="3" fillId="0" borderId="19" xfId="0" applyFont="1" applyBorder="1" applyAlignment="1">
      <alignment vertical="center" textRotation="90" wrapText="1"/>
    </xf>
    <xf numFmtId="0" fontId="3" fillId="0" borderId="20" xfId="0" applyFont="1" applyBorder="1" applyAlignment="1">
      <alignment vertical="center" textRotation="90" wrapText="1"/>
    </xf>
    <xf numFmtId="0" fontId="3" fillId="0" borderId="21" xfId="0" applyFont="1" applyBorder="1" applyAlignment="1">
      <alignment vertical="center" textRotation="90" wrapText="1"/>
    </xf>
    <xf numFmtId="3" fontId="12" fillId="0" borderId="18" xfId="1" applyNumberFormat="1" applyFont="1" applyBorder="1" applyAlignment="1">
      <alignment horizontal="center" vertical="center"/>
    </xf>
    <xf numFmtId="3" fontId="12" fillId="0" borderId="11" xfId="1" applyNumberFormat="1" applyFont="1" applyBorder="1" applyAlignment="1">
      <alignment horizontal="center" vertical="center"/>
    </xf>
    <xf numFmtId="3" fontId="12" fillId="0" borderId="16" xfId="1" applyNumberFormat="1" applyFont="1" applyBorder="1" applyAlignment="1">
      <alignment horizontal="center" vertical="center"/>
    </xf>
    <xf numFmtId="3" fontId="0" fillId="0" borderId="0" xfId="0" applyNumberFormat="1"/>
    <xf numFmtId="0" fontId="13" fillId="0" borderId="0" xfId="0" applyFont="1"/>
    <xf numFmtId="0" fontId="14" fillId="0" borderId="0" xfId="0" applyFont="1"/>
    <xf numFmtId="0" fontId="13" fillId="0" borderId="19" xfId="0" applyFont="1" applyBorder="1" applyAlignment="1">
      <alignment horizontal="center" wrapText="1"/>
    </xf>
    <xf numFmtId="0" fontId="13" fillId="0" borderId="21" xfId="0" applyFont="1" applyBorder="1" applyAlignment="1">
      <alignment horizontal="center" wrapText="1"/>
    </xf>
    <xf numFmtId="0" fontId="13" fillId="0" borderId="27" xfId="0" applyFont="1" applyBorder="1" applyAlignment="1">
      <alignment horizontal="center"/>
    </xf>
    <xf numFmtId="0" fontId="13" fillId="0" borderId="28" xfId="0" applyFont="1" applyBorder="1" applyAlignment="1">
      <alignment horizontal="center" wrapText="1"/>
    </xf>
    <xf numFmtId="0" fontId="13" fillId="0" borderId="7" xfId="0" applyFont="1" applyBorder="1" applyAlignment="1">
      <alignment horizontal="center"/>
    </xf>
    <xf numFmtId="0" fontId="0" fillId="0" borderId="0" xfId="0" quotePrefix="1"/>
    <xf numFmtId="0" fontId="4" fillId="0" borderId="32" xfId="0" applyFont="1" applyBorder="1" applyAlignment="1">
      <alignment horizontal="center" vertical="center" wrapText="1"/>
    </xf>
    <xf numFmtId="0" fontId="2" fillId="0" borderId="1" xfId="0" applyFont="1" applyFill="1" applyBorder="1" applyAlignment="1">
      <alignment horizontal="left" vertical="top" wrapText="1"/>
    </xf>
    <xf numFmtId="0" fontId="0" fillId="0" borderId="0" xfId="0" applyFill="1" applyAlignment="1">
      <alignment wrapText="1"/>
    </xf>
    <xf numFmtId="0" fontId="4" fillId="0" borderId="32"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2" xfId="0" applyFont="1" applyFill="1" applyBorder="1" applyAlignment="1">
      <alignment horizontal="left" vertical="top" wrapText="1"/>
    </xf>
    <xf numFmtId="0" fontId="2" fillId="0" borderId="32" xfId="0" applyFont="1" applyBorder="1" applyAlignment="1">
      <alignment horizontal="left" vertical="top" wrapText="1"/>
    </xf>
    <xf numFmtId="0" fontId="3" fillId="0" borderId="35" xfId="0" applyFont="1" applyBorder="1" applyAlignment="1">
      <alignment horizontal="center" vertical="center" wrapText="1"/>
    </xf>
    <xf numFmtId="0" fontId="2" fillId="0" borderId="11" xfId="0" applyFont="1" applyFill="1" applyBorder="1" applyAlignment="1">
      <alignment horizontal="left" vertical="top" wrapText="1"/>
    </xf>
    <xf numFmtId="0" fontId="0" fillId="0" borderId="7" xfId="0" applyBorder="1" applyAlignment="1">
      <alignment horizontal="left"/>
    </xf>
    <xf numFmtId="0" fontId="0" fillId="0" borderId="7" xfId="0" quotePrefix="1" applyBorder="1" applyAlignment="1">
      <alignment horizontal="left"/>
    </xf>
    <xf numFmtId="0" fontId="4" fillId="0" borderId="17" xfId="0" applyFont="1" applyFill="1" applyBorder="1" applyAlignment="1">
      <alignment horizontal="center" vertical="center" wrapText="1"/>
    </xf>
    <xf numFmtId="0" fontId="4" fillId="0" borderId="38"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1" fillId="0" borderId="17" xfId="0" applyFont="1" applyFill="1" applyBorder="1" applyAlignment="1">
      <alignment horizontal="center" vertical="center"/>
    </xf>
    <xf numFmtId="0" fontId="1" fillId="0" borderId="38" xfId="0" applyFont="1" applyFill="1" applyBorder="1" applyAlignment="1">
      <alignment horizontal="center" vertical="center"/>
    </xf>
    <xf numFmtId="0" fontId="1" fillId="0" borderId="18" xfId="0" applyFont="1" applyFill="1" applyBorder="1" applyAlignment="1">
      <alignment horizontal="center" vertical="center"/>
    </xf>
    <xf numFmtId="0" fontId="2" fillId="0" borderId="18" xfId="0" applyFont="1" applyFill="1" applyBorder="1" applyAlignment="1">
      <alignment horizontal="left" vertical="top" wrapText="1"/>
    </xf>
    <xf numFmtId="0" fontId="2" fillId="0" borderId="37" xfId="0" applyFont="1" applyFill="1" applyBorder="1" applyAlignment="1">
      <alignment horizontal="left" vertical="top" wrapText="1"/>
    </xf>
    <xf numFmtId="0" fontId="4" fillId="0" borderId="36" xfId="0" applyFont="1" applyFill="1" applyBorder="1" applyAlignment="1">
      <alignment horizontal="center" vertical="center" wrapText="1"/>
    </xf>
    <xf numFmtId="0" fontId="2" fillId="0" borderId="36" xfId="0" applyFont="1" applyFill="1" applyBorder="1" applyAlignment="1">
      <alignment horizontal="left" vertical="top" wrapText="1"/>
    </xf>
    <xf numFmtId="0" fontId="2" fillId="0" borderId="36"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2" fillId="0" borderId="34" xfId="0" applyFont="1" applyBorder="1" applyAlignment="1">
      <alignment horizontal="left" vertical="top" wrapText="1"/>
    </xf>
    <xf numFmtId="0" fontId="2" fillId="0" borderId="8" xfId="0" applyFont="1" applyBorder="1" applyAlignment="1">
      <alignment horizontal="left" vertical="top" wrapText="1"/>
    </xf>
    <xf numFmtId="0" fontId="2" fillId="0" borderId="8" xfId="0" applyFont="1" applyBorder="1" applyAlignment="1">
      <alignment horizontal="center" vertical="center" wrapText="1"/>
    </xf>
    <xf numFmtId="0" fontId="16" fillId="0" borderId="1" xfId="0" applyFont="1" applyBorder="1" applyAlignment="1">
      <alignment horizontal="center" vertical="center" wrapText="1"/>
    </xf>
    <xf numFmtId="0" fontId="2" fillId="0" borderId="37" xfId="0" applyFont="1" applyBorder="1" applyAlignment="1">
      <alignment horizontal="left" vertical="top" wrapText="1"/>
    </xf>
    <xf numFmtId="0" fontId="4" fillId="0" borderId="3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18" xfId="0" applyFont="1" applyBorder="1" applyAlignment="1">
      <alignment horizontal="center" vertical="center" wrapText="1"/>
    </xf>
    <xf numFmtId="0" fontId="2" fillId="0" borderId="36" xfId="0" applyFont="1" applyBorder="1" applyAlignment="1">
      <alignment horizontal="left" vertical="top" wrapText="1"/>
    </xf>
    <xf numFmtId="0" fontId="2" fillId="0" borderId="36" xfId="0" applyFont="1" applyBorder="1" applyAlignment="1">
      <alignment horizontal="center" vertical="center" wrapText="1"/>
    </xf>
    <xf numFmtId="0" fontId="15" fillId="0" borderId="32" xfId="0" applyFont="1" applyBorder="1" applyAlignment="1">
      <alignment horizontal="center" vertical="center" wrapText="1"/>
    </xf>
    <xf numFmtId="0" fontId="0" fillId="0" borderId="7" xfId="0" applyBorder="1" applyAlignment="1">
      <alignment horizontal="left"/>
    </xf>
    <xf numFmtId="0" fontId="4" fillId="5" borderId="1"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1" fillId="5" borderId="14"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11" xfId="0" applyFont="1" applyFill="1" applyBorder="1" applyAlignment="1">
      <alignment horizontal="center" vertical="center"/>
    </xf>
    <xf numFmtId="0" fontId="15" fillId="0" borderId="7"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0" fillId="0" borderId="7" xfId="0" quotePrefix="1" applyBorder="1"/>
    <xf numFmtId="0" fontId="17" fillId="0" borderId="0" xfId="0" applyFont="1" applyFill="1" applyAlignment="1">
      <alignment wrapText="1"/>
    </xf>
    <xf numFmtId="0" fontId="18" fillId="0" borderId="5" xfId="0" applyFont="1" applyFill="1" applyBorder="1" applyAlignment="1">
      <alignment horizontal="center" vertical="center" wrapText="1"/>
    </xf>
    <xf numFmtId="0" fontId="19" fillId="0" borderId="36" xfId="0" applyFont="1" applyFill="1" applyBorder="1" applyAlignment="1">
      <alignment horizontal="left" vertical="top" wrapText="1"/>
    </xf>
    <xf numFmtId="0" fontId="19" fillId="0" borderId="1" xfId="0" applyFont="1" applyFill="1" applyBorder="1" applyAlignment="1">
      <alignment horizontal="left" vertical="top" wrapText="1"/>
    </xf>
    <xf numFmtId="0" fontId="19" fillId="0" borderId="8" xfId="0" applyFont="1" applyFill="1" applyBorder="1" applyAlignment="1">
      <alignment horizontal="left" vertical="top" wrapText="1"/>
    </xf>
    <xf numFmtId="0" fontId="17" fillId="0" borderId="0" xfId="0" applyFont="1" applyFill="1" applyAlignment="1">
      <alignment horizontal="center" wrapText="1"/>
    </xf>
    <xf numFmtId="0" fontId="20" fillId="0" borderId="0" xfId="0" applyFont="1" applyFill="1" applyAlignment="1">
      <alignment wrapText="1"/>
    </xf>
    <xf numFmtId="0" fontId="21" fillId="0" borderId="0" xfId="0" applyFont="1" applyFill="1" applyAlignment="1"/>
    <xf numFmtId="0" fontId="18" fillId="0" borderId="2" xfId="0" applyFont="1" applyFill="1" applyBorder="1" applyAlignment="1">
      <alignment horizontal="center" vertical="center" wrapText="1"/>
    </xf>
    <xf numFmtId="49" fontId="19" fillId="0" borderId="36" xfId="0" applyNumberFormat="1" applyFont="1" applyFill="1" applyBorder="1" applyAlignment="1">
      <alignment vertical="top" wrapText="1"/>
    </xf>
    <xf numFmtId="0" fontId="19" fillId="0" borderId="36" xfId="0" applyFont="1" applyFill="1" applyBorder="1" applyAlignment="1">
      <alignment vertical="top" wrapText="1"/>
    </xf>
    <xf numFmtId="0" fontId="19" fillId="0" borderId="36" xfId="0" applyFont="1" applyFill="1" applyBorder="1" applyAlignment="1">
      <alignment horizontal="center" vertical="top" wrapText="1"/>
    </xf>
    <xf numFmtId="0" fontId="19" fillId="0" borderId="1" xfId="0" applyFont="1" applyFill="1" applyBorder="1" applyAlignment="1">
      <alignment vertical="top" wrapText="1"/>
    </xf>
    <xf numFmtId="49" fontId="19" fillId="0" borderId="1" xfId="0" applyNumberFormat="1" applyFont="1" applyFill="1" applyBorder="1" applyAlignment="1">
      <alignment vertical="top" wrapText="1"/>
    </xf>
    <xf numFmtId="0" fontId="19" fillId="0" borderId="1" xfId="0" applyFont="1" applyFill="1" applyBorder="1" applyAlignment="1">
      <alignment horizontal="center" vertical="top" wrapText="1"/>
    </xf>
    <xf numFmtId="0" fontId="22" fillId="0" borderId="0" xfId="0" applyFont="1" applyFill="1" applyAlignment="1">
      <alignment vertical="center"/>
    </xf>
    <xf numFmtId="0" fontId="17" fillId="0" borderId="0" xfId="0" applyFont="1" applyFill="1" applyBorder="1" applyAlignment="1">
      <alignment wrapText="1"/>
    </xf>
    <xf numFmtId="0" fontId="18" fillId="0" borderId="35" xfId="0" applyFont="1" applyFill="1" applyBorder="1" applyAlignment="1">
      <alignment horizontal="center" vertical="center" wrapText="1"/>
    </xf>
    <xf numFmtId="0" fontId="19" fillId="0" borderId="14" xfId="0" applyFont="1" applyFill="1" applyBorder="1" applyAlignment="1">
      <alignment horizontal="left" vertical="top" wrapText="1"/>
    </xf>
    <xf numFmtId="0" fontId="19" fillId="0" borderId="17" xfId="0" applyFont="1" applyFill="1" applyBorder="1" applyAlignment="1">
      <alignment horizontal="left" vertical="top" wrapText="1"/>
    </xf>
    <xf numFmtId="0" fontId="19" fillId="5" borderId="36" xfId="0" applyFont="1" applyFill="1" applyBorder="1" applyAlignment="1">
      <alignment horizontal="left" vertical="top" wrapText="1"/>
    </xf>
    <xf numFmtId="0" fontId="19" fillId="5" borderId="36" xfId="0" applyFont="1" applyFill="1" applyBorder="1" applyAlignment="1">
      <alignment horizontal="center" vertical="top" wrapText="1"/>
    </xf>
    <xf numFmtId="0" fontId="19" fillId="5" borderId="36" xfId="0" applyFont="1" applyFill="1" applyBorder="1" applyAlignment="1">
      <alignment vertical="top" wrapText="1"/>
    </xf>
    <xf numFmtId="0" fontId="19" fillId="5" borderId="1" xfId="0" applyFont="1" applyFill="1" applyBorder="1" applyAlignment="1">
      <alignment vertical="top" wrapText="1"/>
    </xf>
    <xf numFmtId="0" fontId="19" fillId="5" borderId="6" xfId="0" applyFont="1" applyFill="1" applyBorder="1" applyAlignment="1">
      <alignment vertical="top" wrapText="1"/>
    </xf>
    <xf numFmtId="0" fontId="19" fillId="5" borderId="14" xfId="0" applyFont="1" applyFill="1" applyBorder="1" applyAlignment="1">
      <alignment horizontal="left" vertical="top" wrapText="1"/>
    </xf>
    <xf numFmtId="0" fontId="2" fillId="5" borderId="11" xfId="0" applyFont="1" applyFill="1" applyBorder="1" applyAlignment="1">
      <alignment horizontal="left" vertical="top" wrapText="1"/>
    </xf>
    <xf numFmtId="0" fontId="2" fillId="5" borderId="37" xfId="0" applyFont="1" applyFill="1" applyBorder="1" applyAlignment="1">
      <alignment horizontal="left" vertical="top" wrapText="1"/>
    </xf>
    <xf numFmtId="0" fontId="4" fillId="5" borderId="36"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38"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1" fillId="5" borderId="17" xfId="0" applyFont="1" applyFill="1" applyBorder="1" applyAlignment="1">
      <alignment horizontal="center" vertical="center"/>
    </xf>
    <xf numFmtId="0" fontId="1" fillId="5" borderId="38" xfId="0" applyFont="1" applyFill="1" applyBorder="1" applyAlignment="1">
      <alignment horizontal="center" vertical="center"/>
    </xf>
    <xf numFmtId="0" fontId="1" fillId="5" borderId="18" xfId="0" applyFont="1" applyFill="1" applyBorder="1" applyAlignment="1">
      <alignment horizontal="center" vertical="center"/>
    </xf>
    <xf numFmtId="0" fontId="2" fillId="5" borderId="36" xfId="0" applyFont="1" applyFill="1" applyBorder="1" applyAlignment="1">
      <alignment horizontal="left" vertical="top" wrapText="1"/>
    </xf>
    <xf numFmtId="0" fontId="2" fillId="5" borderId="36" xfId="0" applyFont="1" applyFill="1" applyBorder="1" applyAlignment="1">
      <alignment horizontal="center" vertical="center" wrapText="1"/>
    </xf>
    <xf numFmtId="0" fontId="19" fillId="0" borderId="0" xfId="0" applyFont="1" applyFill="1" applyBorder="1" applyAlignment="1">
      <alignment horizontal="left" vertical="top" wrapText="1"/>
    </xf>
    <xf numFmtId="0" fontId="7" fillId="0" borderId="0" xfId="0" applyFont="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7" xfId="0" applyBorder="1" applyAlignment="1">
      <alignment horizontal="left"/>
    </xf>
    <xf numFmtId="0" fontId="0" fillId="0" borderId="7" xfId="0" quotePrefix="1" applyBorder="1" applyAlignment="1">
      <alignment horizontal="left"/>
    </xf>
    <xf numFmtId="0" fontId="13" fillId="0" borderId="7" xfId="0" applyFont="1" applyBorder="1" applyAlignment="1">
      <alignment horizontal="center"/>
    </xf>
    <xf numFmtId="0" fontId="13" fillId="0" borderId="0" xfId="0" applyFont="1" applyAlignment="1">
      <alignment horizontal="center"/>
    </xf>
    <xf numFmtId="0" fontId="12" fillId="0" borderId="14"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22" xfId="0" applyFont="1" applyFill="1" applyBorder="1" applyAlignment="1">
      <alignment horizontal="center" vertical="center" wrapText="1"/>
    </xf>
    <xf numFmtId="0" fontId="12" fillId="0" borderId="31"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2" fillId="0" borderId="32" xfId="0" applyFont="1" applyFill="1" applyBorder="1" applyAlignment="1">
      <alignment horizontal="center" vertical="center" wrapText="1"/>
    </xf>
    <xf numFmtId="0" fontId="12" fillId="0" borderId="12"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10" xfId="0" applyFont="1" applyBorder="1" applyAlignment="1">
      <alignment horizontal="center" vertical="center" wrapText="1"/>
    </xf>
    <xf numFmtId="0" fontId="12" fillId="5" borderId="15" xfId="0" applyFont="1" applyFill="1" applyBorder="1" applyAlignment="1">
      <alignment horizontal="center" vertical="center" wrapText="1"/>
    </xf>
    <xf numFmtId="0" fontId="12" fillId="5" borderId="16" xfId="0" applyFont="1" applyFill="1" applyBorder="1" applyAlignment="1">
      <alignment horizontal="center" vertical="center" wrapText="1"/>
    </xf>
    <xf numFmtId="0" fontId="13" fillId="0" borderId="27" xfId="0" applyFont="1" applyBorder="1" applyAlignment="1">
      <alignment horizontal="center" wrapText="1"/>
    </xf>
    <xf numFmtId="0" fontId="13" fillId="0" borderId="28" xfId="0" applyFont="1" applyBorder="1" applyAlignment="1">
      <alignment horizontal="center" wrapText="1"/>
    </xf>
    <xf numFmtId="0" fontId="13" fillId="0" borderId="29" xfId="0" applyFont="1" applyBorder="1" applyAlignment="1">
      <alignment horizontal="center" wrapText="1"/>
    </xf>
    <xf numFmtId="0" fontId="13" fillId="0" borderId="30" xfId="0" applyFont="1" applyBorder="1" applyAlignment="1">
      <alignment horizontal="center" wrapText="1"/>
    </xf>
    <xf numFmtId="0" fontId="13" fillId="0" borderId="26" xfId="0" applyFont="1" applyFill="1" applyBorder="1" applyAlignment="1">
      <alignment horizontal="center" wrapText="1"/>
    </xf>
    <xf numFmtId="0" fontId="13" fillId="0" borderId="3" xfId="0" applyFont="1" applyFill="1" applyBorder="1" applyAlignment="1">
      <alignment horizontal="center" wrapText="1"/>
    </xf>
    <xf numFmtId="0" fontId="13" fillId="0" borderId="2" xfId="0" applyFont="1" applyBorder="1" applyAlignment="1">
      <alignment horizontal="center" wrapText="1"/>
    </xf>
    <xf numFmtId="0" fontId="13" fillId="0" borderId="4" xfId="0" applyFont="1" applyBorder="1" applyAlignment="1">
      <alignment horizontal="center" wrapText="1"/>
    </xf>
    <xf numFmtId="0" fontId="12" fillId="0" borderId="13"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24" xfId="0" applyFont="1" applyFill="1" applyBorder="1" applyAlignment="1">
      <alignment horizontal="center" vertical="center" wrapText="1"/>
    </xf>
    <xf numFmtId="0" fontId="12" fillId="0" borderId="33" xfId="0" applyFont="1" applyFill="1" applyBorder="1" applyAlignment="1">
      <alignment horizontal="center" vertical="center" wrapText="1"/>
    </xf>
    <xf numFmtId="0" fontId="12" fillId="0" borderId="15" xfId="0" applyFont="1" applyBorder="1" applyAlignment="1">
      <alignment horizontal="center" vertical="center" wrapText="1"/>
    </xf>
    <xf numFmtId="0" fontId="12" fillId="0" borderId="24" xfId="0" applyFont="1" applyBorder="1" applyAlignment="1">
      <alignment horizontal="center" vertical="center" wrapText="1"/>
    </xf>
    <xf numFmtId="0" fontId="12" fillId="5" borderId="25" xfId="0" applyFont="1" applyFill="1" applyBorder="1" applyAlignment="1">
      <alignment horizontal="center" vertical="center" wrapText="1"/>
    </xf>
    <xf numFmtId="0" fontId="12" fillId="5" borderId="24"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69">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99D6F0"/>
      <color rgb="FFFCC5C4"/>
      <color rgb="FFFFFF99"/>
      <color rgb="FF009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7896624F-FC12-499B-8118-5DEA35B9B153}"/>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22"/>
  </cols>
  <sheetData>
    <row r="1" spans="7:7" x14ac:dyDescent="0.25">
      <c r="G1" s="20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2:AY108"/>
  <sheetViews>
    <sheetView showZeros="0" zoomScale="60" zoomScaleNormal="60" workbookViewId="0">
      <pane xSplit="9" ySplit="5" topLeftCell="J6" activePane="bottomRight" state="frozen"/>
      <selection pane="topRight" activeCell="J1" sqref="J1"/>
      <selection pane="bottomLeft" activeCell="A6" sqref="A6"/>
      <selection pane="bottomRight" activeCell="I8" sqref="I8"/>
    </sheetView>
  </sheetViews>
  <sheetFormatPr defaultRowHeight="15" x14ac:dyDescent="0.25"/>
  <cols>
    <col min="1" max="1" width="1.7109375" style="9" customWidth="1"/>
    <col min="2" max="2" width="9.140625" style="130" customWidth="1"/>
    <col min="3" max="3" width="22.28515625" style="130" customWidth="1"/>
    <col min="4" max="4" width="29.7109375" style="130" customWidth="1"/>
    <col min="5" max="5" width="6.42578125" style="130" customWidth="1"/>
    <col min="6" max="6" width="21.28515625" style="130" customWidth="1"/>
    <col min="7" max="7" width="15.7109375" style="130" customWidth="1"/>
    <col min="8" max="9" width="26.85546875" style="130" customWidth="1"/>
    <col min="10" max="10" width="15" style="130" customWidth="1"/>
    <col min="11" max="14" width="26.85546875" style="130" customWidth="1"/>
    <col min="15" max="15" width="4.85546875" style="9" customWidth="1"/>
    <col min="16" max="19" width="4.85546875" style="10" customWidth="1"/>
    <col min="20" max="23" width="4.85546875" style="9" customWidth="1"/>
    <col min="24" max="24" width="66" style="130" customWidth="1"/>
    <col min="25" max="25" width="15" style="9" customWidth="1"/>
    <col min="26" max="26" width="25.7109375" style="9" hidden="1" customWidth="1"/>
    <col min="27" max="27" width="4.85546875" style="9" hidden="1" customWidth="1"/>
    <col min="28" max="31" width="4.85546875" style="10" hidden="1" customWidth="1"/>
    <col min="32" max="35" width="4.85546875" style="9" hidden="1" customWidth="1"/>
    <col min="36" max="36" width="33.5703125" style="9" hidden="1" customWidth="1"/>
    <col min="37" max="37" width="15" style="9" hidden="1" customWidth="1"/>
    <col min="38" max="38" width="25.7109375" style="9" hidden="1" customWidth="1"/>
    <col min="39" max="39" width="4.85546875" style="9" hidden="1" customWidth="1"/>
    <col min="40" max="43" width="4.85546875" style="10" hidden="1" customWidth="1"/>
    <col min="44" max="46" width="4.85546875" style="9" hidden="1" customWidth="1"/>
    <col min="47" max="47" width="4.7109375" style="9" hidden="1" customWidth="1"/>
    <col min="48" max="48" width="4.5703125" style="9" hidden="1" customWidth="1"/>
    <col min="49" max="49" width="44.140625" style="130" customWidth="1"/>
    <col min="50" max="16384" width="9.140625" style="9"/>
  </cols>
  <sheetData>
    <row r="2" spans="2:49" x14ac:dyDescent="0.25">
      <c r="B2" s="135"/>
      <c r="O2" s="168" t="s">
        <v>25</v>
      </c>
      <c r="P2" s="168"/>
      <c r="Q2" s="168"/>
      <c r="R2" s="168"/>
      <c r="S2" s="168"/>
      <c r="T2" s="168"/>
      <c r="U2" s="168"/>
      <c r="V2" s="168"/>
      <c r="W2" s="168"/>
      <c r="AA2" s="168" t="s">
        <v>24</v>
      </c>
      <c r="AB2" s="168"/>
      <c r="AC2" s="168"/>
      <c r="AD2" s="168"/>
      <c r="AE2" s="168"/>
      <c r="AF2" s="168"/>
      <c r="AG2" s="168"/>
      <c r="AH2" s="168"/>
      <c r="AI2" s="168"/>
      <c r="AM2" s="168" t="s">
        <v>38</v>
      </c>
      <c r="AN2" s="168"/>
      <c r="AO2" s="168"/>
      <c r="AP2" s="168"/>
      <c r="AQ2" s="168"/>
      <c r="AR2" s="168"/>
      <c r="AS2" s="168"/>
      <c r="AT2" s="168"/>
      <c r="AU2" s="168"/>
    </row>
    <row r="3" spans="2:49" ht="15.75" thickBot="1" x14ac:dyDescent="0.3">
      <c r="O3" s="168"/>
      <c r="P3" s="168"/>
      <c r="Q3" s="168"/>
      <c r="R3" s="168"/>
      <c r="S3" s="168"/>
      <c r="T3" s="168"/>
      <c r="U3" s="168"/>
      <c r="V3" s="168"/>
      <c r="W3" s="168"/>
      <c r="AA3" s="168"/>
      <c r="AB3" s="168"/>
      <c r="AC3" s="168"/>
      <c r="AD3" s="168"/>
      <c r="AE3" s="168"/>
      <c r="AF3" s="168"/>
      <c r="AG3" s="168"/>
      <c r="AH3" s="168"/>
      <c r="AI3" s="168"/>
      <c r="AM3" s="168"/>
      <c r="AN3" s="168"/>
      <c r="AO3" s="168"/>
      <c r="AP3" s="168"/>
      <c r="AQ3" s="168"/>
      <c r="AR3" s="168"/>
      <c r="AS3" s="168"/>
      <c r="AT3" s="168"/>
      <c r="AU3" s="168"/>
    </row>
    <row r="4" spans="2:49" ht="21.75" thickBot="1" x14ac:dyDescent="0.4">
      <c r="B4" s="137" t="s">
        <v>58</v>
      </c>
      <c r="C4" s="136"/>
      <c r="P4" s="169" t="s">
        <v>30</v>
      </c>
      <c r="Q4" s="170"/>
      <c r="R4" s="170"/>
      <c r="S4" s="171"/>
      <c r="T4" s="172" t="s">
        <v>31</v>
      </c>
      <c r="U4" s="173"/>
      <c r="V4" s="173"/>
      <c r="W4" s="174"/>
      <c r="AB4" s="169" t="s">
        <v>30</v>
      </c>
      <c r="AC4" s="170"/>
      <c r="AD4" s="170"/>
      <c r="AE4" s="171"/>
      <c r="AF4" s="172" t="s">
        <v>31</v>
      </c>
      <c r="AG4" s="173"/>
      <c r="AH4" s="173"/>
      <c r="AI4" s="174"/>
      <c r="AN4" s="169" t="s">
        <v>30</v>
      </c>
      <c r="AO4" s="170"/>
      <c r="AP4" s="170"/>
      <c r="AQ4" s="171"/>
      <c r="AR4" s="172" t="s">
        <v>31</v>
      </c>
      <c r="AS4" s="173"/>
      <c r="AT4" s="173"/>
      <c r="AU4" s="174"/>
    </row>
    <row r="5" spans="2:49" s="11" customFormat="1" ht="114.75" thickBot="1" x14ac:dyDescent="0.3">
      <c r="B5" s="131" t="s">
        <v>32</v>
      </c>
      <c r="C5" s="131" t="s">
        <v>2</v>
      </c>
      <c r="D5" s="131" t="s">
        <v>1</v>
      </c>
      <c r="E5" s="131" t="s">
        <v>20</v>
      </c>
      <c r="F5" s="131" t="s">
        <v>19</v>
      </c>
      <c r="G5" s="131" t="s">
        <v>3</v>
      </c>
      <c r="H5" s="131" t="s">
        <v>5</v>
      </c>
      <c r="I5" s="138" t="s">
        <v>11</v>
      </c>
      <c r="J5" s="131" t="s">
        <v>8</v>
      </c>
      <c r="K5" s="131" t="s">
        <v>7</v>
      </c>
      <c r="L5" s="131" t="s">
        <v>21</v>
      </c>
      <c r="M5" s="131" t="s">
        <v>22</v>
      </c>
      <c r="N5" s="131" t="s">
        <v>9</v>
      </c>
      <c r="O5" s="7" t="s">
        <v>28</v>
      </c>
      <c r="P5" s="64" t="s">
        <v>33</v>
      </c>
      <c r="Q5" s="65" t="s">
        <v>29</v>
      </c>
      <c r="R5" s="65" t="s">
        <v>26</v>
      </c>
      <c r="S5" s="66" t="s">
        <v>27</v>
      </c>
      <c r="T5" s="64" t="s">
        <v>33</v>
      </c>
      <c r="U5" s="65" t="s">
        <v>29</v>
      </c>
      <c r="V5" s="65" t="s">
        <v>26</v>
      </c>
      <c r="W5" s="66" t="s">
        <v>27</v>
      </c>
      <c r="X5" s="147" t="s">
        <v>4</v>
      </c>
      <c r="Y5" s="90" t="s">
        <v>23</v>
      </c>
      <c r="Z5" s="8" t="s">
        <v>37</v>
      </c>
      <c r="AA5" s="7" t="s">
        <v>28</v>
      </c>
      <c r="AB5" s="64" t="s">
        <v>33</v>
      </c>
      <c r="AC5" s="65" t="s">
        <v>29</v>
      </c>
      <c r="AD5" s="65" t="s">
        <v>26</v>
      </c>
      <c r="AE5" s="66" t="s">
        <v>27</v>
      </c>
      <c r="AF5" s="64" t="s">
        <v>33</v>
      </c>
      <c r="AG5" s="65" t="s">
        <v>29</v>
      </c>
      <c r="AH5" s="65" t="s">
        <v>26</v>
      </c>
      <c r="AI5" s="66" t="s">
        <v>27</v>
      </c>
      <c r="AJ5" s="8" t="s">
        <v>34</v>
      </c>
      <c r="AK5" s="8" t="s">
        <v>35</v>
      </c>
      <c r="AL5" s="8" t="s">
        <v>36</v>
      </c>
      <c r="AM5" s="7" t="s">
        <v>28</v>
      </c>
      <c r="AN5" s="64" t="s">
        <v>33</v>
      </c>
      <c r="AO5" s="65" t="s">
        <v>29</v>
      </c>
      <c r="AP5" s="65" t="s">
        <v>26</v>
      </c>
      <c r="AQ5" s="66" t="s">
        <v>27</v>
      </c>
      <c r="AR5" s="64" t="s">
        <v>33</v>
      </c>
      <c r="AS5" s="65" t="s">
        <v>29</v>
      </c>
      <c r="AT5" s="65" t="s">
        <v>26</v>
      </c>
      <c r="AU5" s="66" t="s">
        <v>27</v>
      </c>
      <c r="AV5" s="8" t="s">
        <v>10</v>
      </c>
      <c r="AW5" s="131" t="s">
        <v>6</v>
      </c>
    </row>
    <row r="6" spans="2:49" s="81" customFormat="1" ht="154.5" customHeight="1" x14ac:dyDescent="0.25">
      <c r="B6" s="139" t="s">
        <v>315</v>
      </c>
      <c r="C6" s="140" t="s">
        <v>316</v>
      </c>
      <c r="D6" s="150"/>
      <c r="E6" s="151"/>
      <c r="F6" s="152"/>
      <c r="G6" s="152"/>
      <c r="H6" s="153"/>
      <c r="I6" s="153"/>
      <c r="J6" s="152"/>
      <c r="K6" s="153"/>
      <c r="L6" s="153"/>
      <c r="M6" s="152"/>
      <c r="N6" s="154"/>
      <c r="O6" s="119"/>
      <c r="P6" s="120"/>
      <c r="Q6" s="121"/>
      <c r="R6" s="121"/>
      <c r="S6" s="122"/>
      <c r="T6" s="123" t="str">
        <f t="shared" ref="T6" ca="1" si="0">IF(AND(ISNUMBER(P6),ISNUMBER($O6)),OFFSET(RiskMatrixRef,-$O6+1,P6-1),"")</f>
        <v/>
      </c>
      <c r="U6" s="124" t="str">
        <f t="shared" ref="U6" ca="1" si="1">IF(AND(ISNUMBER(Q6),ISNUMBER($O6)),OFFSET(RiskMatrixRef,-$O6+1,Q6-1),"")</f>
        <v/>
      </c>
      <c r="V6" s="124" t="str">
        <f t="shared" ref="V6" ca="1" si="2">IF(AND(ISNUMBER(R6),ISNUMBER($O6)),OFFSET(RiskMatrixRef,-$O6+1,R6-1),"")</f>
        <v/>
      </c>
      <c r="W6" s="125" t="str">
        <f t="shared" ref="W6" ca="1" si="3">IF(AND(ISNUMBER(S6),ISNUMBER($O6)),OFFSET(RiskMatrixRef,-$O6+1,S6-1),"")</f>
        <v/>
      </c>
      <c r="X6" s="155"/>
      <c r="Y6" s="156"/>
      <c r="Z6" s="157"/>
      <c r="AA6" s="158"/>
      <c r="AB6" s="159"/>
      <c r="AC6" s="160"/>
      <c r="AD6" s="160"/>
      <c r="AE6" s="161"/>
      <c r="AF6" s="162"/>
      <c r="AG6" s="163"/>
      <c r="AH6" s="163"/>
      <c r="AI6" s="164"/>
      <c r="AJ6" s="165"/>
      <c r="AK6" s="165"/>
      <c r="AL6" s="165"/>
      <c r="AM6" s="158"/>
      <c r="AN6" s="159"/>
      <c r="AO6" s="160"/>
      <c r="AP6" s="160"/>
      <c r="AQ6" s="161"/>
      <c r="AR6" s="162"/>
      <c r="AS6" s="163"/>
      <c r="AT6" s="163"/>
      <c r="AU6" s="164"/>
      <c r="AV6" s="166"/>
      <c r="AW6" s="132" t="s">
        <v>317</v>
      </c>
    </row>
    <row r="7" spans="2:49" s="81" customFormat="1" ht="125.25" customHeight="1" x14ac:dyDescent="0.25">
      <c r="B7" s="139" t="s">
        <v>194</v>
      </c>
      <c r="C7" s="140" t="s">
        <v>357</v>
      </c>
      <c r="D7" s="132" t="s">
        <v>55</v>
      </c>
      <c r="E7" s="141">
        <v>2</v>
      </c>
      <c r="F7" s="140" t="s">
        <v>54</v>
      </c>
      <c r="G7" s="140" t="s">
        <v>74</v>
      </c>
      <c r="H7" s="142" t="s">
        <v>261</v>
      </c>
      <c r="I7" s="140" t="s">
        <v>150</v>
      </c>
      <c r="J7" s="142" t="s">
        <v>43</v>
      </c>
      <c r="K7" s="140" t="s">
        <v>44</v>
      </c>
      <c r="L7" s="142" t="s">
        <v>44</v>
      </c>
      <c r="M7" s="140" t="s">
        <v>133</v>
      </c>
      <c r="N7" s="142" t="s">
        <v>358</v>
      </c>
      <c r="O7" s="15">
        <v>3</v>
      </c>
      <c r="P7" s="2">
        <v>4</v>
      </c>
      <c r="Q7" s="4">
        <v>7</v>
      </c>
      <c r="R7" s="4">
        <v>9</v>
      </c>
      <c r="S7" s="85">
        <v>9</v>
      </c>
      <c r="T7" s="6" t="str">
        <f t="shared" ref="T7:T38" ca="1" si="4">IF(AND(ISNUMBER(P7),ISNUMBER($O7)),OFFSET(RiskMatrixRef,-$O7+1,P7-1),"")</f>
        <v>Low</v>
      </c>
      <c r="U7" s="3" t="str">
        <f t="shared" ref="U7:U38" ca="1" si="5">IF(AND(ISNUMBER(Q7),ISNUMBER($O7)),OFFSET(RiskMatrixRef,-$O7+1,Q7-1),"")</f>
        <v>Low</v>
      </c>
      <c r="V7" s="3" t="str">
        <f t="shared" ref="V7:V38" ca="1" si="6">IF(AND(ISNUMBER(R7),ISNUMBER($O7)),OFFSET(RiskMatrixRef,-$O7+1,R7-1),"")</f>
        <v>Med</v>
      </c>
      <c r="W7" s="5" t="str">
        <f t="shared" ref="W7:W38" ca="1" si="7">IF(AND(ISNUMBER(S7),ISNUMBER($O7)),OFFSET(RiskMatrixRef,-$O7+1,S7-1),"")</f>
        <v>Med</v>
      </c>
      <c r="X7" s="148" t="s">
        <v>205</v>
      </c>
      <c r="Y7" s="91" t="s">
        <v>101</v>
      </c>
      <c r="Z7" s="110"/>
      <c r="AA7" s="111"/>
      <c r="AB7" s="112"/>
      <c r="AC7" s="113"/>
      <c r="AD7" s="113"/>
      <c r="AE7" s="114"/>
      <c r="AF7" s="97"/>
      <c r="AG7" s="98"/>
      <c r="AH7" s="98"/>
      <c r="AI7" s="99"/>
      <c r="AJ7" s="115"/>
      <c r="AK7" s="115"/>
      <c r="AL7" s="115"/>
      <c r="AM7" s="111"/>
      <c r="AN7" s="112"/>
      <c r="AO7" s="113"/>
      <c r="AP7" s="113"/>
      <c r="AQ7" s="114"/>
      <c r="AR7" s="97"/>
      <c r="AS7" s="98"/>
      <c r="AT7" s="98"/>
      <c r="AU7" s="99"/>
      <c r="AV7" s="116"/>
      <c r="AW7" s="132" t="s">
        <v>318</v>
      </c>
    </row>
    <row r="8" spans="2:49" s="81" customFormat="1" ht="120" x14ac:dyDescent="0.25">
      <c r="B8" s="139" t="s">
        <v>195</v>
      </c>
      <c r="C8" s="140" t="s">
        <v>357</v>
      </c>
      <c r="D8" s="132" t="s">
        <v>55</v>
      </c>
      <c r="E8" s="141">
        <v>2</v>
      </c>
      <c r="F8" s="140" t="s">
        <v>54</v>
      </c>
      <c r="G8" s="140" t="s">
        <v>74</v>
      </c>
      <c r="H8" s="142" t="s">
        <v>261</v>
      </c>
      <c r="I8" s="142" t="s">
        <v>161</v>
      </c>
      <c r="J8" s="142" t="s">
        <v>43</v>
      </c>
      <c r="K8" s="142" t="s">
        <v>44</v>
      </c>
      <c r="L8" s="142" t="s">
        <v>44</v>
      </c>
      <c r="M8" s="140" t="s">
        <v>133</v>
      </c>
      <c r="N8" s="142" t="s">
        <v>358</v>
      </c>
      <c r="O8" s="15">
        <v>3</v>
      </c>
      <c r="P8" s="2">
        <v>4</v>
      </c>
      <c r="Q8" s="4">
        <v>7</v>
      </c>
      <c r="R8" s="4">
        <v>9</v>
      </c>
      <c r="S8" s="85">
        <v>9</v>
      </c>
      <c r="T8" s="6" t="str">
        <f t="shared" ca="1" si="4"/>
        <v>Low</v>
      </c>
      <c r="U8" s="3" t="str">
        <f t="shared" ca="1" si="5"/>
        <v>Low</v>
      </c>
      <c r="V8" s="3" t="str">
        <f t="shared" ca="1" si="6"/>
        <v>Med</v>
      </c>
      <c r="W8" s="5" t="str">
        <f t="shared" ca="1" si="7"/>
        <v>Med</v>
      </c>
      <c r="X8" s="148" t="s">
        <v>319</v>
      </c>
      <c r="Y8" s="91"/>
      <c r="Z8" s="110"/>
      <c r="AA8" s="111"/>
      <c r="AB8" s="112"/>
      <c r="AC8" s="113"/>
      <c r="AD8" s="113"/>
      <c r="AE8" s="114"/>
      <c r="AF8" s="97"/>
      <c r="AG8" s="98"/>
      <c r="AH8" s="98"/>
      <c r="AI8" s="99"/>
      <c r="AJ8" s="115"/>
      <c r="AK8" s="115"/>
      <c r="AL8" s="115"/>
      <c r="AM8" s="111"/>
      <c r="AN8" s="112"/>
      <c r="AO8" s="113"/>
      <c r="AP8" s="113"/>
      <c r="AQ8" s="114"/>
      <c r="AR8" s="97"/>
      <c r="AS8" s="98"/>
      <c r="AT8" s="98"/>
      <c r="AU8" s="99"/>
      <c r="AV8" s="116"/>
      <c r="AW8" s="132" t="s">
        <v>318</v>
      </c>
    </row>
    <row r="9" spans="2:49" s="81" customFormat="1" ht="118.5" customHeight="1" x14ac:dyDescent="0.25">
      <c r="B9" s="139" t="s">
        <v>196</v>
      </c>
      <c r="C9" s="140" t="s">
        <v>357</v>
      </c>
      <c r="D9" s="132" t="s">
        <v>55</v>
      </c>
      <c r="E9" s="141">
        <v>2</v>
      </c>
      <c r="F9" s="140" t="s">
        <v>54</v>
      </c>
      <c r="G9" s="140" t="s">
        <v>74</v>
      </c>
      <c r="H9" s="142" t="s">
        <v>261</v>
      </c>
      <c r="I9" s="142" t="s">
        <v>107</v>
      </c>
      <c r="J9" s="142" t="s">
        <v>43</v>
      </c>
      <c r="K9" s="142" t="s">
        <v>273</v>
      </c>
      <c r="L9" s="142" t="s">
        <v>60</v>
      </c>
      <c r="M9" s="142" t="s">
        <v>133</v>
      </c>
      <c r="N9" s="142" t="s">
        <v>358</v>
      </c>
      <c r="O9" s="15">
        <v>3</v>
      </c>
      <c r="P9" s="2">
        <v>4</v>
      </c>
      <c r="Q9" s="4">
        <v>7</v>
      </c>
      <c r="R9" s="4">
        <v>9</v>
      </c>
      <c r="S9" s="85">
        <v>9</v>
      </c>
      <c r="T9" s="6" t="str">
        <f t="shared" ca="1" si="4"/>
        <v>Low</v>
      </c>
      <c r="U9" s="3" t="str">
        <f t="shared" ca="1" si="5"/>
        <v>Low</v>
      </c>
      <c r="V9" s="3" t="str">
        <f t="shared" ca="1" si="6"/>
        <v>Med</v>
      </c>
      <c r="W9" s="5" t="str">
        <f t="shared" ca="1" si="7"/>
        <v>Med</v>
      </c>
      <c r="X9" s="148" t="s">
        <v>205</v>
      </c>
      <c r="Y9" s="91" t="s">
        <v>101</v>
      </c>
      <c r="Z9" s="89"/>
      <c r="AA9" s="15"/>
      <c r="AB9" s="2"/>
      <c r="AC9" s="4"/>
      <c r="AD9" s="4"/>
      <c r="AE9" s="1"/>
      <c r="AF9" s="6"/>
      <c r="AG9" s="3"/>
      <c r="AH9" s="3"/>
      <c r="AI9" s="5"/>
      <c r="AJ9" s="12"/>
      <c r="AK9" s="12"/>
      <c r="AL9" s="12"/>
      <c r="AM9" s="15"/>
      <c r="AN9" s="2"/>
      <c r="AO9" s="4"/>
      <c r="AP9" s="4"/>
      <c r="AQ9" s="1"/>
      <c r="AR9" s="6"/>
      <c r="AS9" s="3"/>
      <c r="AT9" s="3"/>
      <c r="AU9" s="5"/>
      <c r="AV9" s="16"/>
      <c r="AW9" s="132" t="s">
        <v>318</v>
      </c>
    </row>
    <row r="10" spans="2:49" s="81" customFormat="1" ht="120" x14ac:dyDescent="0.25">
      <c r="B10" s="139" t="s">
        <v>197</v>
      </c>
      <c r="C10" s="140" t="s">
        <v>357</v>
      </c>
      <c r="D10" s="132" t="s">
        <v>55</v>
      </c>
      <c r="E10" s="141">
        <v>2</v>
      </c>
      <c r="F10" s="140" t="s">
        <v>54</v>
      </c>
      <c r="G10" s="140" t="s">
        <v>74</v>
      </c>
      <c r="H10" s="142" t="s">
        <v>261</v>
      </c>
      <c r="I10" s="142" t="s">
        <v>68</v>
      </c>
      <c r="J10" s="142" t="s">
        <v>43</v>
      </c>
      <c r="K10" s="142" t="s">
        <v>83</v>
      </c>
      <c r="L10" s="142" t="s">
        <v>44</v>
      </c>
      <c r="M10" s="142" t="s">
        <v>133</v>
      </c>
      <c r="N10" s="142" t="s">
        <v>358</v>
      </c>
      <c r="O10" s="109">
        <v>2</v>
      </c>
      <c r="P10" s="2">
        <v>4</v>
      </c>
      <c r="Q10" s="4">
        <v>7</v>
      </c>
      <c r="R10" s="4">
        <v>9</v>
      </c>
      <c r="S10" s="85">
        <v>9</v>
      </c>
      <c r="T10" s="6" t="str">
        <f t="shared" ca="1" si="4"/>
        <v>Low</v>
      </c>
      <c r="U10" s="3" t="str">
        <f t="shared" ca="1" si="5"/>
        <v>Low</v>
      </c>
      <c r="V10" s="3" t="str">
        <f t="shared" ca="1" si="6"/>
        <v>Low</v>
      </c>
      <c r="W10" s="5" t="str">
        <f t="shared" ca="1" si="7"/>
        <v>Low</v>
      </c>
      <c r="X10" s="148" t="s">
        <v>270</v>
      </c>
      <c r="Y10" s="100" t="s">
        <v>100</v>
      </c>
      <c r="Z10" s="110"/>
      <c r="AA10" s="111"/>
      <c r="AB10" s="112"/>
      <c r="AC10" s="113"/>
      <c r="AD10" s="113"/>
      <c r="AE10" s="114"/>
      <c r="AF10" s="97"/>
      <c r="AG10" s="98"/>
      <c r="AH10" s="98"/>
      <c r="AI10" s="99"/>
      <c r="AJ10" s="115"/>
      <c r="AK10" s="115"/>
      <c r="AL10" s="115"/>
      <c r="AM10" s="111"/>
      <c r="AN10" s="112"/>
      <c r="AO10" s="113"/>
      <c r="AP10" s="113"/>
      <c r="AQ10" s="114"/>
      <c r="AR10" s="97"/>
      <c r="AS10" s="98"/>
      <c r="AT10" s="98"/>
      <c r="AU10" s="99"/>
      <c r="AV10" s="116"/>
      <c r="AW10" s="132" t="s">
        <v>318</v>
      </c>
    </row>
    <row r="11" spans="2:49" s="81" customFormat="1" ht="120" customHeight="1" x14ac:dyDescent="0.25">
      <c r="B11" s="139" t="s">
        <v>198</v>
      </c>
      <c r="C11" s="140" t="s">
        <v>357</v>
      </c>
      <c r="D11" s="132" t="s">
        <v>55</v>
      </c>
      <c r="E11" s="141">
        <v>2</v>
      </c>
      <c r="F11" s="140" t="s">
        <v>54</v>
      </c>
      <c r="G11" s="140" t="s">
        <v>74</v>
      </c>
      <c r="H11" s="142" t="s">
        <v>261</v>
      </c>
      <c r="I11" s="142" t="s">
        <v>71</v>
      </c>
      <c r="J11" s="142" t="s">
        <v>43</v>
      </c>
      <c r="K11" s="142" t="s">
        <v>84</v>
      </c>
      <c r="L11" s="142" t="s">
        <v>44</v>
      </c>
      <c r="M11" s="142" t="s">
        <v>133</v>
      </c>
      <c r="N11" s="142" t="s">
        <v>358</v>
      </c>
      <c r="O11" s="15">
        <v>4</v>
      </c>
      <c r="P11" s="2">
        <v>4</v>
      </c>
      <c r="Q11" s="4">
        <v>7</v>
      </c>
      <c r="R11" s="4">
        <v>9</v>
      </c>
      <c r="S11" s="85">
        <v>9</v>
      </c>
      <c r="T11" s="6" t="str">
        <f t="shared" ca="1" si="4"/>
        <v>Low</v>
      </c>
      <c r="U11" s="3" t="str">
        <f t="shared" ca="1" si="5"/>
        <v>Low</v>
      </c>
      <c r="V11" s="3" t="str">
        <f t="shared" ca="1" si="6"/>
        <v>Med</v>
      </c>
      <c r="W11" s="5" t="str">
        <f t="shared" ca="1" si="7"/>
        <v>Med</v>
      </c>
      <c r="X11" s="148" t="s">
        <v>205</v>
      </c>
      <c r="Y11" s="100" t="s">
        <v>102</v>
      </c>
      <c r="Z11" s="110"/>
      <c r="AA11" s="111"/>
      <c r="AB11" s="112"/>
      <c r="AC11" s="113"/>
      <c r="AD11" s="113"/>
      <c r="AE11" s="114"/>
      <c r="AF11" s="97"/>
      <c r="AG11" s="98"/>
      <c r="AH11" s="98"/>
      <c r="AI11" s="99"/>
      <c r="AJ11" s="115"/>
      <c r="AK11" s="115"/>
      <c r="AL11" s="115"/>
      <c r="AM11" s="111"/>
      <c r="AN11" s="112"/>
      <c r="AO11" s="113"/>
      <c r="AP11" s="113"/>
      <c r="AQ11" s="114"/>
      <c r="AR11" s="97"/>
      <c r="AS11" s="98"/>
      <c r="AT11" s="98"/>
      <c r="AU11" s="99"/>
      <c r="AV11" s="116"/>
      <c r="AW11" s="132" t="s">
        <v>318</v>
      </c>
    </row>
    <row r="12" spans="2:49" s="81" customFormat="1" ht="105" x14ac:dyDescent="0.25">
      <c r="B12" s="139" t="s">
        <v>189</v>
      </c>
      <c r="C12" s="140" t="s">
        <v>204</v>
      </c>
      <c r="D12" s="132" t="s">
        <v>144</v>
      </c>
      <c r="E12" s="141">
        <v>2</v>
      </c>
      <c r="F12" s="140" t="s">
        <v>54</v>
      </c>
      <c r="G12" s="142" t="s">
        <v>145</v>
      </c>
      <c r="H12" s="142" t="s">
        <v>200</v>
      </c>
      <c r="I12" s="142" t="s">
        <v>42</v>
      </c>
      <c r="J12" s="142" t="s">
        <v>43</v>
      </c>
      <c r="K12" s="142" t="s">
        <v>44</v>
      </c>
      <c r="L12" s="142" t="s">
        <v>44</v>
      </c>
      <c r="M12" s="142" t="s">
        <v>202</v>
      </c>
      <c r="N12" s="142" t="s">
        <v>70</v>
      </c>
      <c r="O12" s="86">
        <v>5</v>
      </c>
      <c r="P12" s="2">
        <v>1</v>
      </c>
      <c r="Q12" s="4">
        <v>1</v>
      </c>
      <c r="R12" s="4">
        <v>4</v>
      </c>
      <c r="S12" s="85">
        <v>4</v>
      </c>
      <c r="T12" s="6" t="str">
        <f t="shared" ca="1" si="4"/>
        <v>Low</v>
      </c>
      <c r="U12" s="3" t="str">
        <f t="shared" ca="1" si="5"/>
        <v>Low</v>
      </c>
      <c r="V12" s="3" t="str">
        <f t="shared" ca="1" si="6"/>
        <v>Low</v>
      </c>
      <c r="W12" s="5" t="str">
        <f t="shared" ca="1" si="7"/>
        <v>Low</v>
      </c>
      <c r="X12" s="148" t="s">
        <v>44</v>
      </c>
      <c r="Y12" s="100"/>
      <c r="Z12" s="101"/>
      <c r="AA12" s="102"/>
      <c r="AB12" s="94"/>
      <c r="AC12" s="95"/>
      <c r="AD12" s="95"/>
      <c r="AE12" s="96"/>
      <c r="AF12" s="97"/>
      <c r="AG12" s="98"/>
      <c r="AH12" s="98"/>
      <c r="AI12" s="99"/>
      <c r="AJ12" s="103"/>
      <c r="AK12" s="103"/>
      <c r="AL12" s="103"/>
      <c r="AM12" s="102"/>
      <c r="AN12" s="94"/>
      <c r="AO12" s="95"/>
      <c r="AP12" s="95"/>
      <c r="AQ12" s="96"/>
      <c r="AR12" s="97"/>
      <c r="AS12" s="98"/>
      <c r="AT12" s="98"/>
      <c r="AU12" s="99"/>
      <c r="AV12" s="104"/>
      <c r="AW12" s="132" t="s">
        <v>263</v>
      </c>
    </row>
    <row r="13" spans="2:49" s="81" customFormat="1" ht="105" x14ac:dyDescent="0.25">
      <c r="B13" s="139" t="s">
        <v>190</v>
      </c>
      <c r="C13" s="140" t="s">
        <v>204</v>
      </c>
      <c r="D13" s="132" t="s">
        <v>144</v>
      </c>
      <c r="E13" s="141">
        <v>2</v>
      </c>
      <c r="F13" s="140" t="s">
        <v>54</v>
      </c>
      <c r="G13" s="140" t="s">
        <v>145</v>
      </c>
      <c r="H13" s="142" t="s">
        <v>200</v>
      </c>
      <c r="I13" s="140" t="s">
        <v>161</v>
      </c>
      <c r="J13" s="142" t="s">
        <v>43</v>
      </c>
      <c r="K13" s="142" t="s">
        <v>44</v>
      </c>
      <c r="L13" s="142" t="s">
        <v>44</v>
      </c>
      <c r="M13" s="142" t="s">
        <v>202</v>
      </c>
      <c r="N13" s="142" t="s">
        <v>70</v>
      </c>
      <c r="O13" s="86">
        <v>4</v>
      </c>
      <c r="P13" s="2">
        <v>1</v>
      </c>
      <c r="Q13" s="4">
        <v>1</v>
      </c>
      <c r="R13" s="4">
        <v>4</v>
      </c>
      <c r="S13" s="85">
        <v>4</v>
      </c>
      <c r="T13" s="6" t="str">
        <f t="shared" ca="1" si="4"/>
        <v>Low</v>
      </c>
      <c r="U13" s="3" t="str">
        <f t="shared" ca="1" si="5"/>
        <v>Low</v>
      </c>
      <c r="V13" s="3" t="str">
        <f t="shared" ca="1" si="6"/>
        <v>Low</v>
      </c>
      <c r="W13" s="5" t="str">
        <f t="shared" ca="1" si="7"/>
        <v>Low</v>
      </c>
      <c r="X13" s="132" t="s">
        <v>262</v>
      </c>
      <c r="Y13" s="91"/>
      <c r="Z13" s="101"/>
      <c r="AA13" s="102"/>
      <c r="AB13" s="94"/>
      <c r="AC13" s="95"/>
      <c r="AD13" s="95"/>
      <c r="AE13" s="96"/>
      <c r="AF13" s="97"/>
      <c r="AG13" s="98"/>
      <c r="AH13" s="98"/>
      <c r="AI13" s="99"/>
      <c r="AJ13" s="103"/>
      <c r="AK13" s="103"/>
      <c r="AL13" s="103"/>
      <c r="AM13" s="102"/>
      <c r="AN13" s="94"/>
      <c r="AO13" s="95"/>
      <c r="AP13" s="95"/>
      <c r="AQ13" s="96"/>
      <c r="AR13" s="97"/>
      <c r="AS13" s="98"/>
      <c r="AT13" s="98"/>
      <c r="AU13" s="99"/>
      <c r="AV13" s="104"/>
      <c r="AW13" s="132"/>
    </row>
    <row r="14" spans="2:49" s="81" customFormat="1" ht="105" x14ac:dyDescent="0.25">
      <c r="B14" s="139" t="s">
        <v>191</v>
      </c>
      <c r="C14" s="140" t="s">
        <v>204</v>
      </c>
      <c r="D14" s="132" t="s">
        <v>144</v>
      </c>
      <c r="E14" s="141">
        <v>2</v>
      </c>
      <c r="F14" s="140" t="s">
        <v>54</v>
      </c>
      <c r="G14" s="140" t="s">
        <v>145</v>
      </c>
      <c r="H14" s="142" t="s">
        <v>200</v>
      </c>
      <c r="I14" s="142" t="s">
        <v>107</v>
      </c>
      <c r="J14" s="142" t="s">
        <v>43</v>
      </c>
      <c r="K14" s="142" t="s">
        <v>44</v>
      </c>
      <c r="L14" s="140" t="s">
        <v>60</v>
      </c>
      <c r="M14" s="142" t="s">
        <v>202</v>
      </c>
      <c r="N14" s="142" t="s">
        <v>70</v>
      </c>
      <c r="O14" s="86">
        <v>7</v>
      </c>
      <c r="P14" s="2">
        <v>1</v>
      </c>
      <c r="Q14" s="4">
        <v>1</v>
      </c>
      <c r="R14" s="4">
        <v>4</v>
      </c>
      <c r="S14" s="85">
        <v>4</v>
      </c>
      <c r="T14" s="6" t="str">
        <f t="shared" ca="1" si="4"/>
        <v>Low</v>
      </c>
      <c r="U14" s="3" t="str">
        <f t="shared" ca="1" si="5"/>
        <v>Low</v>
      </c>
      <c r="V14" s="3" t="str">
        <f t="shared" ca="1" si="6"/>
        <v>Low</v>
      </c>
      <c r="W14" s="5" t="str">
        <f t="shared" ca="1" si="7"/>
        <v>Low</v>
      </c>
      <c r="X14" s="148" t="s">
        <v>44</v>
      </c>
      <c r="Y14" s="100"/>
      <c r="Z14" s="101"/>
      <c r="AA14" s="102"/>
      <c r="AB14" s="94"/>
      <c r="AC14" s="95"/>
      <c r="AD14" s="95"/>
      <c r="AE14" s="96"/>
      <c r="AF14" s="97"/>
      <c r="AG14" s="98"/>
      <c r="AH14" s="98"/>
      <c r="AI14" s="99"/>
      <c r="AJ14" s="103"/>
      <c r="AK14" s="103"/>
      <c r="AL14" s="103"/>
      <c r="AM14" s="102"/>
      <c r="AN14" s="94"/>
      <c r="AO14" s="95"/>
      <c r="AP14" s="95"/>
      <c r="AQ14" s="96"/>
      <c r="AR14" s="97"/>
      <c r="AS14" s="98"/>
      <c r="AT14" s="98"/>
      <c r="AU14" s="99"/>
      <c r="AV14" s="104"/>
      <c r="AW14" s="132"/>
    </row>
    <row r="15" spans="2:49" s="81" customFormat="1" ht="105" x14ac:dyDescent="0.25">
      <c r="B15" s="139" t="s">
        <v>192</v>
      </c>
      <c r="C15" s="140" t="s">
        <v>204</v>
      </c>
      <c r="D15" s="132" t="s">
        <v>144</v>
      </c>
      <c r="E15" s="141">
        <v>2</v>
      </c>
      <c r="F15" s="140" t="s">
        <v>54</v>
      </c>
      <c r="G15" s="140" t="s">
        <v>145</v>
      </c>
      <c r="H15" s="142" t="s">
        <v>200</v>
      </c>
      <c r="I15" s="142" t="s">
        <v>68</v>
      </c>
      <c r="J15" s="142" t="s">
        <v>43</v>
      </c>
      <c r="K15" s="142" t="s">
        <v>201</v>
      </c>
      <c r="L15" s="142" t="s">
        <v>44</v>
      </c>
      <c r="M15" s="142" t="s">
        <v>202</v>
      </c>
      <c r="N15" s="142" t="s">
        <v>70</v>
      </c>
      <c r="O15" s="86">
        <v>3</v>
      </c>
      <c r="P15" s="2">
        <v>4</v>
      </c>
      <c r="Q15" s="4">
        <v>1</v>
      </c>
      <c r="R15" s="4">
        <v>4</v>
      </c>
      <c r="S15" s="85">
        <v>4</v>
      </c>
      <c r="T15" s="6" t="str">
        <f t="shared" ca="1" si="4"/>
        <v>Low</v>
      </c>
      <c r="U15" s="3" t="str">
        <f t="shared" ca="1" si="5"/>
        <v>Low</v>
      </c>
      <c r="V15" s="3" t="str">
        <f t="shared" ca="1" si="6"/>
        <v>Low</v>
      </c>
      <c r="W15" s="5" t="str">
        <f t="shared" ca="1" si="7"/>
        <v>Low</v>
      </c>
      <c r="X15" s="148" t="s">
        <v>268</v>
      </c>
      <c r="Y15" s="91"/>
      <c r="Z15" s="101"/>
      <c r="AA15" s="102"/>
      <c r="AB15" s="94"/>
      <c r="AC15" s="95"/>
      <c r="AD15" s="95"/>
      <c r="AE15" s="96"/>
      <c r="AF15" s="97"/>
      <c r="AG15" s="98"/>
      <c r="AH15" s="98"/>
      <c r="AI15" s="99"/>
      <c r="AJ15" s="103"/>
      <c r="AK15" s="103"/>
      <c r="AL15" s="103"/>
      <c r="AM15" s="102"/>
      <c r="AN15" s="94"/>
      <c r="AO15" s="95"/>
      <c r="AP15" s="95"/>
      <c r="AQ15" s="96"/>
      <c r="AR15" s="97"/>
      <c r="AS15" s="98"/>
      <c r="AT15" s="98"/>
      <c r="AU15" s="99"/>
      <c r="AV15" s="104"/>
      <c r="AW15" s="132"/>
    </row>
    <row r="16" spans="2:49" s="81" customFormat="1" ht="105" x14ac:dyDescent="0.25">
      <c r="B16" s="139" t="s">
        <v>193</v>
      </c>
      <c r="C16" s="140" t="s">
        <v>204</v>
      </c>
      <c r="D16" s="132" t="s">
        <v>144</v>
      </c>
      <c r="E16" s="141">
        <v>2</v>
      </c>
      <c r="F16" s="140" t="s">
        <v>54</v>
      </c>
      <c r="G16" s="140" t="s">
        <v>145</v>
      </c>
      <c r="H16" s="142" t="s">
        <v>200</v>
      </c>
      <c r="I16" s="142" t="s">
        <v>108</v>
      </c>
      <c r="J16" s="142" t="s">
        <v>43</v>
      </c>
      <c r="K16" s="142" t="s">
        <v>44</v>
      </c>
      <c r="L16" s="142" t="s">
        <v>60</v>
      </c>
      <c r="M16" s="142" t="s">
        <v>202</v>
      </c>
      <c r="N16" s="142" t="s">
        <v>70</v>
      </c>
      <c r="O16" s="86">
        <v>7</v>
      </c>
      <c r="P16" s="2">
        <v>1</v>
      </c>
      <c r="Q16" s="4">
        <v>1</v>
      </c>
      <c r="R16" s="4">
        <v>4</v>
      </c>
      <c r="S16" s="85">
        <v>4</v>
      </c>
      <c r="T16" s="6" t="str">
        <f t="shared" ca="1" si="4"/>
        <v>Low</v>
      </c>
      <c r="U16" s="3" t="str">
        <f t="shared" ca="1" si="5"/>
        <v>Low</v>
      </c>
      <c r="V16" s="3" t="str">
        <f t="shared" ca="1" si="6"/>
        <v>Low</v>
      </c>
      <c r="W16" s="5" t="str">
        <f t="shared" ca="1" si="7"/>
        <v>Low</v>
      </c>
      <c r="X16" s="148" t="s">
        <v>44</v>
      </c>
      <c r="Y16" s="91"/>
      <c r="Z16" s="88"/>
      <c r="AA16" s="86"/>
      <c r="AB16" s="83"/>
      <c r="AC16" s="84"/>
      <c r="AD16" s="84"/>
      <c r="AE16" s="85"/>
      <c r="AF16" s="6"/>
      <c r="AG16" s="3"/>
      <c r="AH16" s="3"/>
      <c r="AI16" s="5"/>
      <c r="AJ16" s="80"/>
      <c r="AK16" s="80"/>
      <c r="AL16" s="80"/>
      <c r="AM16" s="86"/>
      <c r="AN16" s="83"/>
      <c r="AO16" s="84"/>
      <c r="AP16" s="84"/>
      <c r="AQ16" s="85"/>
      <c r="AR16" s="6"/>
      <c r="AS16" s="3"/>
      <c r="AT16" s="3"/>
      <c r="AU16" s="5"/>
      <c r="AV16" s="87"/>
      <c r="AW16" s="133"/>
    </row>
    <row r="17" spans="2:51" s="81" customFormat="1" ht="120" x14ac:dyDescent="0.25">
      <c r="B17" s="139" t="s">
        <v>166</v>
      </c>
      <c r="C17" s="140" t="s">
        <v>160</v>
      </c>
      <c r="D17" s="132" t="s">
        <v>113</v>
      </c>
      <c r="E17" s="141">
        <v>2</v>
      </c>
      <c r="F17" s="140" t="s">
        <v>359</v>
      </c>
      <c r="G17" s="140" t="s">
        <v>112</v>
      </c>
      <c r="H17" s="142" t="s">
        <v>89</v>
      </c>
      <c r="I17" s="142" t="s">
        <v>150</v>
      </c>
      <c r="J17" s="142" t="s">
        <v>43</v>
      </c>
      <c r="K17" s="142" t="s">
        <v>75</v>
      </c>
      <c r="L17" s="142" t="s">
        <v>44</v>
      </c>
      <c r="M17" s="142" t="s">
        <v>132</v>
      </c>
      <c r="N17" s="142" t="s">
        <v>87</v>
      </c>
      <c r="O17" s="86">
        <v>5</v>
      </c>
      <c r="P17" s="83">
        <v>1</v>
      </c>
      <c r="Q17" s="84">
        <v>1</v>
      </c>
      <c r="R17" s="84">
        <v>9</v>
      </c>
      <c r="S17" s="85">
        <v>7</v>
      </c>
      <c r="T17" s="6" t="str">
        <f t="shared" ca="1" si="4"/>
        <v>Low</v>
      </c>
      <c r="U17" s="3" t="str">
        <f t="shared" ca="1" si="5"/>
        <v>Low</v>
      </c>
      <c r="V17" s="3" t="str">
        <f t="shared" ca="1" si="6"/>
        <v>Med</v>
      </c>
      <c r="W17" s="5" t="str">
        <f t="shared" ca="1" si="7"/>
        <v>Med</v>
      </c>
      <c r="X17" s="148" t="s">
        <v>164</v>
      </c>
      <c r="Y17" s="100"/>
      <c r="Z17" s="101"/>
      <c r="AA17" s="102"/>
      <c r="AB17" s="94"/>
      <c r="AC17" s="95"/>
      <c r="AD17" s="95"/>
      <c r="AE17" s="96"/>
      <c r="AF17" s="97" t="str">
        <f ca="1">IF(AND(ISNUMBER(AB17),ISNUMBER($AA17)),OFFSET(RiskMatrixRef,-$AA17+1,AB17-1),"")</f>
        <v/>
      </c>
      <c r="AG17" s="98" t="str">
        <f ca="1">IF(AND(ISNUMBER(AC17),ISNUMBER($AA17)),OFFSET(RiskMatrixRef,-$AA17+1,AC17-1),"")</f>
        <v/>
      </c>
      <c r="AH17" s="98" t="str">
        <f ca="1">IF(AND(ISNUMBER(AD17),ISNUMBER($AA17)),OFFSET(RiskMatrixRef,-$AA17+1,AD17-1),"")</f>
        <v/>
      </c>
      <c r="AI17" s="99" t="str">
        <f ca="1">IF(AND(ISNUMBER(AE17),ISNUMBER($AA17)),OFFSET(RiskMatrixRef,-$AA17+1,AE17-1),"")</f>
        <v/>
      </c>
      <c r="AJ17" s="103"/>
      <c r="AK17" s="103"/>
      <c r="AL17" s="103"/>
      <c r="AM17" s="102"/>
      <c r="AN17" s="94"/>
      <c r="AO17" s="95"/>
      <c r="AP17" s="95"/>
      <c r="AQ17" s="96"/>
      <c r="AR17" s="97" t="str">
        <f ca="1">IF(AND(ISNUMBER(AN17),ISNUMBER($AM17)),OFFSET(RiskMatrixRef,-$AM17+1,AN17-1),"")</f>
        <v/>
      </c>
      <c r="AS17" s="98" t="str">
        <f ca="1">IF(AND(ISNUMBER(AO17),ISNUMBER($AM17)),OFFSET(RiskMatrixRef,-$AM17+1,AO17-1),"")</f>
        <v/>
      </c>
      <c r="AT17" s="98" t="str">
        <f ca="1">IF(AND(ISNUMBER(AP17),ISNUMBER($AM17)),OFFSET(RiskMatrixRef,-$AM17+1,AP17-1),"")</f>
        <v/>
      </c>
      <c r="AU17" s="99" t="str">
        <f ca="1">IF(AND(ISNUMBER(AQ17),ISNUMBER($AM17)),OFFSET(RiskMatrixRef,-$AM17+1,AQ17-1),"")</f>
        <v/>
      </c>
      <c r="AV17" s="104"/>
      <c r="AW17" s="132"/>
      <c r="AY17" s="167"/>
    </row>
    <row r="18" spans="2:51" s="81" customFormat="1" ht="105" x14ac:dyDescent="0.25">
      <c r="B18" s="139" t="s">
        <v>167</v>
      </c>
      <c r="C18" s="140" t="s">
        <v>160</v>
      </c>
      <c r="D18" s="132" t="s">
        <v>113</v>
      </c>
      <c r="E18" s="141">
        <v>2</v>
      </c>
      <c r="F18" s="140" t="s">
        <v>359</v>
      </c>
      <c r="G18" s="140" t="s">
        <v>112</v>
      </c>
      <c r="H18" s="142" t="s">
        <v>89</v>
      </c>
      <c r="I18" s="140" t="s">
        <v>161</v>
      </c>
      <c r="J18" s="142" t="s">
        <v>43</v>
      </c>
      <c r="K18" s="142" t="s">
        <v>75</v>
      </c>
      <c r="L18" s="142" t="s">
        <v>44</v>
      </c>
      <c r="M18" s="142" t="s">
        <v>132</v>
      </c>
      <c r="N18" s="142" t="s">
        <v>87</v>
      </c>
      <c r="O18" s="86">
        <v>4</v>
      </c>
      <c r="P18" s="83">
        <v>1</v>
      </c>
      <c r="Q18" s="84">
        <v>1</v>
      </c>
      <c r="R18" s="84">
        <v>9</v>
      </c>
      <c r="S18" s="85">
        <v>7</v>
      </c>
      <c r="T18" s="6" t="str">
        <f t="shared" ca="1" si="4"/>
        <v>Low</v>
      </c>
      <c r="U18" s="3" t="str">
        <f t="shared" ca="1" si="5"/>
        <v>Low</v>
      </c>
      <c r="V18" s="3" t="str">
        <f t="shared" ca="1" si="6"/>
        <v>Med</v>
      </c>
      <c r="W18" s="5" t="str">
        <f t="shared" ca="1" si="7"/>
        <v>Low</v>
      </c>
      <c r="X18" s="148" t="s">
        <v>165</v>
      </c>
      <c r="Y18" s="100"/>
      <c r="Z18" s="101"/>
      <c r="AA18" s="102"/>
      <c r="AB18" s="94"/>
      <c r="AC18" s="95"/>
      <c r="AD18" s="95"/>
      <c r="AE18" s="96"/>
      <c r="AF18" s="97"/>
      <c r="AG18" s="98"/>
      <c r="AH18" s="98"/>
      <c r="AI18" s="99"/>
      <c r="AJ18" s="103"/>
      <c r="AK18" s="103"/>
      <c r="AL18" s="103"/>
      <c r="AM18" s="102"/>
      <c r="AN18" s="94"/>
      <c r="AO18" s="95"/>
      <c r="AP18" s="95"/>
      <c r="AQ18" s="96"/>
      <c r="AR18" s="97"/>
      <c r="AS18" s="98"/>
      <c r="AT18" s="98"/>
      <c r="AU18" s="99"/>
      <c r="AV18" s="104"/>
      <c r="AW18" s="132"/>
    </row>
    <row r="19" spans="2:51" s="81" customFormat="1" ht="120" x14ac:dyDescent="0.25">
      <c r="B19" s="139" t="s">
        <v>168</v>
      </c>
      <c r="C19" s="140" t="s">
        <v>160</v>
      </c>
      <c r="D19" s="132" t="s">
        <v>113</v>
      </c>
      <c r="E19" s="141">
        <v>2</v>
      </c>
      <c r="F19" s="140" t="s">
        <v>359</v>
      </c>
      <c r="G19" s="140" t="s">
        <v>112</v>
      </c>
      <c r="H19" s="142" t="s">
        <v>89</v>
      </c>
      <c r="I19" s="142" t="s">
        <v>162</v>
      </c>
      <c r="J19" s="142" t="s">
        <v>43</v>
      </c>
      <c r="K19" s="142" t="s">
        <v>75</v>
      </c>
      <c r="L19" s="140" t="s">
        <v>60</v>
      </c>
      <c r="M19" s="142" t="s">
        <v>132</v>
      </c>
      <c r="N19" s="142" t="s">
        <v>87</v>
      </c>
      <c r="O19" s="105">
        <v>7</v>
      </c>
      <c r="P19" s="83">
        <v>1</v>
      </c>
      <c r="Q19" s="84">
        <v>1</v>
      </c>
      <c r="R19" s="84">
        <v>9</v>
      </c>
      <c r="S19" s="85">
        <v>7</v>
      </c>
      <c r="T19" s="6" t="str">
        <f t="shared" ca="1" si="4"/>
        <v>Low</v>
      </c>
      <c r="U19" s="3" t="str">
        <f t="shared" ca="1" si="5"/>
        <v>Low</v>
      </c>
      <c r="V19" s="3" t="str">
        <f t="shared" ca="1" si="6"/>
        <v>High</v>
      </c>
      <c r="W19" s="5" t="str">
        <f t="shared" ca="1" si="7"/>
        <v>Med</v>
      </c>
      <c r="X19" s="148" t="s">
        <v>164</v>
      </c>
      <c r="Y19" s="100"/>
      <c r="Z19" s="101"/>
      <c r="AA19" s="102"/>
      <c r="AB19" s="94"/>
      <c r="AC19" s="95"/>
      <c r="AD19" s="95"/>
      <c r="AE19" s="96"/>
      <c r="AF19" s="97"/>
      <c r="AG19" s="98"/>
      <c r="AH19" s="98"/>
      <c r="AI19" s="99"/>
      <c r="AJ19" s="103"/>
      <c r="AK19" s="103"/>
      <c r="AL19" s="103"/>
      <c r="AM19" s="102"/>
      <c r="AN19" s="94"/>
      <c r="AO19" s="95"/>
      <c r="AP19" s="95"/>
      <c r="AQ19" s="96"/>
      <c r="AR19" s="97"/>
      <c r="AS19" s="98"/>
      <c r="AT19" s="98"/>
      <c r="AU19" s="99"/>
      <c r="AV19" s="104"/>
      <c r="AW19" s="132"/>
    </row>
    <row r="20" spans="2:51" s="81" customFormat="1" ht="105" x14ac:dyDescent="0.25">
      <c r="B20" s="139" t="s">
        <v>169</v>
      </c>
      <c r="C20" s="140" t="s">
        <v>160</v>
      </c>
      <c r="D20" s="132" t="s">
        <v>113</v>
      </c>
      <c r="E20" s="141">
        <v>2</v>
      </c>
      <c r="F20" s="140" t="s">
        <v>359</v>
      </c>
      <c r="G20" s="140" t="s">
        <v>112</v>
      </c>
      <c r="H20" s="142" t="s">
        <v>89</v>
      </c>
      <c r="I20" s="142" t="s">
        <v>68</v>
      </c>
      <c r="J20" s="142" t="s">
        <v>43</v>
      </c>
      <c r="K20" s="142" t="s">
        <v>76</v>
      </c>
      <c r="L20" s="142" t="s">
        <v>44</v>
      </c>
      <c r="M20" s="142" t="s">
        <v>132</v>
      </c>
      <c r="N20" s="142" t="s">
        <v>87</v>
      </c>
      <c r="O20" s="86">
        <v>3</v>
      </c>
      <c r="P20" s="83">
        <v>1</v>
      </c>
      <c r="Q20" s="84">
        <v>1</v>
      </c>
      <c r="R20" s="84">
        <v>9</v>
      </c>
      <c r="S20" s="85">
        <v>7</v>
      </c>
      <c r="T20" s="6" t="str">
        <f t="shared" ca="1" si="4"/>
        <v>Low</v>
      </c>
      <c r="U20" s="3" t="str">
        <f t="shared" ca="1" si="5"/>
        <v>Low</v>
      </c>
      <c r="V20" s="3" t="str">
        <f t="shared" ca="1" si="6"/>
        <v>Med</v>
      </c>
      <c r="W20" s="5" t="str">
        <f t="shared" ca="1" si="7"/>
        <v>Low</v>
      </c>
      <c r="X20" s="149" t="s">
        <v>264</v>
      </c>
      <c r="Y20" s="100"/>
      <c r="Z20" s="101"/>
      <c r="AA20" s="102"/>
      <c r="AB20" s="94"/>
      <c r="AC20" s="95"/>
      <c r="AD20" s="95"/>
      <c r="AE20" s="96"/>
      <c r="AF20" s="97"/>
      <c r="AG20" s="98"/>
      <c r="AH20" s="98"/>
      <c r="AI20" s="99"/>
      <c r="AJ20" s="103"/>
      <c r="AK20" s="103"/>
      <c r="AL20" s="103"/>
      <c r="AM20" s="102"/>
      <c r="AN20" s="94"/>
      <c r="AO20" s="95"/>
      <c r="AP20" s="95"/>
      <c r="AQ20" s="96"/>
      <c r="AR20" s="97"/>
      <c r="AS20" s="98"/>
      <c r="AT20" s="98"/>
      <c r="AU20" s="99"/>
      <c r="AV20" s="104"/>
      <c r="AW20" s="132" t="s">
        <v>265</v>
      </c>
    </row>
    <row r="21" spans="2:51" s="81" customFormat="1" ht="105" x14ac:dyDescent="0.25">
      <c r="B21" s="139" t="s">
        <v>170</v>
      </c>
      <c r="C21" s="140" t="s">
        <v>160</v>
      </c>
      <c r="D21" s="132" t="s">
        <v>113</v>
      </c>
      <c r="E21" s="141">
        <v>2</v>
      </c>
      <c r="F21" s="140" t="s">
        <v>359</v>
      </c>
      <c r="G21" s="140" t="s">
        <v>112</v>
      </c>
      <c r="H21" s="142" t="s">
        <v>89</v>
      </c>
      <c r="I21" s="142" t="s">
        <v>40</v>
      </c>
      <c r="J21" s="142" t="s">
        <v>43</v>
      </c>
      <c r="K21" s="142" t="s">
        <v>75</v>
      </c>
      <c r="L21" s="142" t="s">
        <v>60</v>
      </c>
      <c r="M21" s="142" t="s">
        <v>80</v>
      </c>
      <c r="N21" s="142" t="s">
        <v>87</v>
      </c>
      <c r="O21" s="86">
        <v>8</v>
      </c>
      <c r="P21" s="83">
        <v>1</v>
      </c>
      <c r="Q21" s="84">
        <v>1</v>
      </c>
      <c r="R21" s="84">
        <v>9</v>
      </c>
      <c r="S21" s="85">
        <v>7</v>
      </c>
      <c r="T21" s="6" t="str">
        <f t="shared" ca="1" si="4"/>
        <v>Low</v>
      </c>
      <c r="U21" s="3" t="str">
        <f t="shared" ca="1" si="5"/>
        <v>Low</v>
      </c>
      <c r="V21" s="3" t="str">
        <f t="shared" ca="1" si="6"/>
        <v>High</v>
      </c>
      <c r="W21" s="5" t="str">
        <f t="shared" ca="1" si="7"/>
        <v>Med</v>
      </c>
      <c r="X21" s="148" t="s">
        <v>158</v>
      </c>
      <c r="Y21" s="100" t="s">
        <v>99</v>
      </c>
      <c r="Z21" s="101"/>
      <c r="AA21" s="102"/>
      <c r="AB21" s="94"/>
      <c r="AC21" s="95"/>
      <c r="AD21" s="95"/>
      <c r="AE21" s="96"/>
      <c r="AF21" s="97"/>
      <c r="AG21" s="98"/>
      <c r="AH21" s="98"/>
      <c r="AI21" s="99"/>
      <c r="AJ21" s="103"/>
      <c r="AK21" s="103"/>
      <c r="AL21" s="103"/>
      <c r="AM21" s="102"/>
      <c r="AN21" s="94"/>
      <c r="AO21" s="95"/>
      <c r="AP21" s="95"/>
      <c r="AQ21" s="96"/>
      <c r="AR21" s="97"/>
      <c r="AS21" s="98"/>
      <c r="AT21" s="98"/>
      <c r="AU21" s="99"/>
      <c r="AV21" s="104"/>
      <c r="AW21" s="132"/>
    </row>
    <row r="22" spans="2:51" s="81" customFormat="1" ht="105" x14ac:dyDescent="0.25">
      <c r="B22" s="139" t="s">
        <v>171</v>
      </c>
      <c r="C22" s="140" t="s">
        <v>160</v>
      </c>
      <c r="D22" s="132" t="s">
        <v>113</v>
      </c>
      <c r="E22" s="141">
        <v>2</v>
      </c>
      <c r="F22" s="140" t="s">
        <v>359</v>
      </c>
      <c r="G22" s="142" t="s">
        <v>112</v>
      </c>
      <c r="H22" s="142" t="s">
        <v>89</v>
      </c>
      <c r="I22" s="142" t="s">
        <v>71</v>
      </c>
      <c r="J22" s="142" t="s">
        <v>43</v>
      </c>
      <c r="K22" s="142" t="s">
        <v>79</v>
      </c>
      <c r="L22" s="142" t="s">
        <v>44</v>
      </c>
      <c r="M22" s="142" t="s">
        <v>132</v>
      </c>
      <c r="N22" s="142" t="s">
        <v>87</v>
      </c>
      <c r="O22" s="82">
        <v>4</v>
      </c>
      <c r="P22" s="83">
        <v>1</v>
      </c>
      <c r="Q22" s="84">
        <v>1</v>
      </c>
      <c r="R22" s="84">
        <v>9</v>
      </c>
      <c r="S22" s="85">
        <v>7</v>
      </c>
      <c r="T22" s="6" t="str">
        <f t="shared" ca="1" si="4"/>
        <v>Low</v>
      </c>
      <c r="U22" s="3" t="str">
        <f t="shared" ca="1" si="5"/>
        <v>Low</v>
      </c>
      <c r="V22" s="3" t="str">
        <f t="shared" ca="1" si="6"/>
        <v>Med</v>
      </c>
      <c r="W22" s="5" t="str">
        <f t="shared" ca="1" si="7"/>
        <v>Low</v>
      </c>
      <c r="X22" s="149" t="s">
        <v>159</v>
      </c>
      <c r="Y22" s="100" t="s">
        <v>99</v>
      </c>
      <c r="Z22" s="101"/>
      <c r="AA22" s="102"/>
      <c r="AB22" s="94"/>
      <c r="AC22" s="95"/>
      <c r="AD22" s="95"/>
      <c r="AE22" s="96"/>
      <c r="AF22" s="97"/>
      <c r="AG22" s="98"/>
      <c r="AH22" s="98"/>
      <c r="AI22" s="99"/>
      <c r="AJ22" s="103"/>
      <c r="AK22" s="103"/>
      <c r="AL22" s="103"/>
      <c r="AM22" s="102"/>
      <c r="AN22" s="94"/>
      <c r="AO22" s="95"/>
      <c r="AP22" s="95"/>
      <c r="AQ22" s="96"/>
      <c r="AR22" s="97"/>
      <c r="AS22" s="98"/>
      <c r="AT22" s="98"/>
      <c r="AU22" s="99"/>
      <c r="AV22" s="104"/>
      <c r="AW22" s="132"/>
    </row>
    <row r="23" spans="2:51" s="81" customFormat="1" ht="105" x14ac:dyDescent="0.25">
      <c r="B23" s="139" t="s">
        <v>172</v>
      </c>
      <c r="C23" s="140" t="s">
        <v>160</v>
      </c>
      <c r="D23" s="132" t="s">
        <v>113</v>
      </c>
      <c r="E23" s="141">
        <v>2</v>
      </c>
      <c r="F23" s="140" t="s">
        <v>359</v>
      </c>
      <c r="G23" s="140" t="s">
        <v>112</v>
      </c>
      <c r="H23" s="142" t="s">
        <v>89</v>
      </c>
      <c r="I23" s="142" t="s">
        <v>109</v>
      </c>
      <c r="J23" s="142" t="s">
        <v>43</v>
      </c>
      <c r="K23" s="140" t="s">
        <v>75</v>
      </c>
      <c r="L23" s="142" t="s">
        <v>60</v>
      </c>
      <c r="M23" s="142" t="s">
        <v>132</v>
      </c>
      <c r="N23" s="142" t="s">
        <v>87</v>
      </c>
      <c r="O23" s="82">
        <v>7</v>
      </c>
      <c r="P23" s="83">
        <v>1</v>
      </c>
      <c r="Q23" s="84">
        <v>1</v>
      </c>
      <c r="R23" s="84">
        <v>9</v>
      </c>
      <c r="S23" s="85">
        <v>7</v>
      </c>
      <c r="T23" s="6" t="str">
        <f t="shared" ca="1" si="4"/>
        <v>Low</v>
      </c>
      <c r="U23" s="3" t="str">
        <f t="shared" ca="1" si="5"/>
        <v>Low</v>
      </c>
      <c r="V23" s="3" t="str">
        <f t="shared" ca="1" si="6"/>
        <v>High</v>
      </c>
      <c r="W23" s="5" t="str">
        <f t="shared" ca="1" si="7"/>
        <v>Med</v>
      </c>
      <c r="X23" s="148" t="s">
        <v>159</v>
      </c>
      <c r="Y23" s="100"/>
      <c r="Z23" s="101"/>
      <c r="AA23" s="102"/>
      <c r="AB23" s="94"/>
      <c r="AC23" s="95"/>
      <c r="AD23" s="95"/>
      <c r="AE23" s="96"/>
      <c r="AF23" s="97"/>
      <c r="AG23" s="98"/>
      <c r="AH23" s="98"/>
      <c r="AI23" s="99"/>
      <c r="AJ23" s="103"/>
      <c r="AK23" s="103"/>
      <c r="AL23" s="103"/>
      <c r="AM23" s="102"/>
      <c r="AN23" s="94"/>
      <c r="AO23" s="95"/>
      <c r="AP23" s="95"/>
      <c r="AQ23" s="96"/>
      <c r="AR23" s="97"/>
      <c r="AS23" s="98"/>
      <c r="AT23" s="98"/>
      <c r="AU23" s="99"/>
      <c r="AV23" s="104"/>
      <c r="AW23" s="133" t="s">
        <v>266</v>
      </c>
    </row>
    <row r="24" spans="2:51" s="81" customFormat="1" ht="105" x14ac:dyDescent="0.25">
      <c r="B24" s="139" t="s">
        <v>173</v>
      </c>
      <c r="C24" s="140" t="s">
        <v>160</v>
      </c>
      <c r="D24" s="132" t="s">
        <v>113</v>
      </c>
      <c r="E24" s="141">
        <v>2</v>
      </c>
      <c r="F24" s="140" t="s">
        <v>359</v>
      </c>
      <c r="G24" s="140" t="s">
        <v>112</v>
      </c>
      <c r="H24" s="142" t="s">
        <v>89</v>
      </c>
      <c r="I24" s="142" t="s">
        <v>163</v>
      </c>
      <c r="J24" s="142" t="s">
        <v>43</v>
      </c>
      <c r="K24" s="140" t="s">
        <v>75</v>
      </c>
      <c r="L24" s="140" t="s">
        <v>60</v>
      </c>
      <c r="M24" s="142" t="s">
        <v>132</v>
      </c>
      <c r="N24" s="142" t="s">
        <v>87</v>
      </c>
      <c r="O24" s="82">
        <v>7</v>
      </c>
      <c r="P24" s="83">
        <v>1</v>
      </c>
      <c r="Q24" s="84">
        <v>1</v>
      </c>
      <c r="R24" s="84">
        <v>9</v>
      </c>
      <c r="S24" s="85">
        <v>7</v>
      </c>
      <c r="T24" s="6" t="str">
        <f t="shared" ca="1" si="4"/>
        <v>Low</v>
      </c>
      <c r="U24" s="3" t="str">
        <f t="shared" ca="1" si="5"/>
        <v>Low</v>
      </c>
      <c r="V24" s="3" t="str">
        <f t="shared" ca="1" si="6"/>
        <v>High</v>
      </c>
      <c r="W24" s="5" t="str">
        <f t="shared" ca="1" si="7"/>
        <v>Med</v>
      </c>
      <c r="X24" s="148" t="s">
        <v>159</v>
      </c>
      <c r="Y24" s="100"/>
      <c r="Z24" s="101"/>
      <c r="AA24" s="102"/>
      <c r="AB24" s="94"/>
      <c r="AC24" s="95"/>
      <c r="AD24" s="95"/>
      <c r="AE24" s="96"/>
      <c r="AF24" s="97"/>
      <c r="AG24" s="98"/>
      <c r="AH24" s="98"/>
      <c r="AI24" s="99"/>
      <c r="AJ24" s="103"/>
      <c r="AK24" s="103"/>
      <c r="AL24" s="103"/>
      <c r="AM24" s="102"/>
      <c r="AN24" s="94"/>
      <c r="AO24" s="95"/>
      <c r="AP24" s="95"/>
      <c r="AQ24" s="96"/>
      <c r="AR24" s="97"/>
      <c r="AS24" s="98"/>
      <c r="AT24" s="98"/>
      <c r="AU24" s="99"/>
      <c r="AV24" s="104"/>
      <c r="AW24" s="133" t="s">
        <v>267</v>
      </c>
    </row>
    <row r="25" spans="2:51" s="81" customFormat="1" ht="105" x14ac:dyDescent="0.25">
      <c r="B25" s="139" t="s">
        <v>183</v>
      </c>
      <c r="C25" s="140" t="s">
        <v>199</v>
      </c>
      <c r="D25" s="132" t="s">
        <v>141</v>
      </c>
      <c r="E25" s="141">
        <v>2</v>
      </c>
      <c r="F25" s="140" t="s">
        <v>360</v>
      </c>
      <c r="G25" s="140" t="s">
        <v>135</v>
      </c>
      <c r="H25" s="142" t="s">
        <v>200</v>
      </c>
      <c r="I25" s="142" t="s">
        <v>68</v>
      </c>
      <c r="J25" s="142" t="s">
        <v>43</v>
      </c>
      <c r="K25" s="140" t="s">
        <v>201</v>
      </c>
      <c r="L25" s="140" t="s">
        <v>44</v>
      </c>
      <c r="M25" s="142" t="s">
        <v>202</v>
      </c>
      <c r="N25" s="142" t="s">
        <v>70</v>
      </c>
      <c r="O25" s="82">
        <v>3</v>
      </c>
      <c r="P25" s="83">
        <v>1</v>
      </c>
      <c r="Q25" s="84">
        <v>1</v>
      </c>
      <c r="R25" s="84">
        <v>4</v>
      </c>
      <c r="S25" s="85">
        <v>4</v>
      </c>
      <c r="T25" s="6" t="str">
        <f t="shared" ca="1" si="4"/>
        <v>Low</v>
      </c>
      <c r="U25" s="3" t="str">
        <f t="shared" ca="1" si="5"/>
        <v>Low</v>
      </c>
      <c r="V25" s="3" t="str">
        <f t="shared" ca="1" si="6"/>
        <v>Low</v>
      </c>
      <c r="W25" s="5" t="str">
        <f t="shared" ca="1" si="7"/>
        <v>Low</v>
      </c>
      <c r="X25" s="148" t="s">
        <v>268</v>
      </c>
      <c r="Y25" s="100"/>
      <c r="Z25" s="101"/>
      <c r="AA25" s="102"/>
      <c r="AB25" s="94"/>
      <c r="AC25" s="95"/>
      <c r="AD25" s="95"/>
      <c r="AE25" s="96"/>
      <c r="AF25" s="97"/>
      <c r="AG25" s="98"/>
      <c r="AH25" s="98"/>
      <c r="AI25" s="99"/>
      <c r="AJ25" s="103"/>
      <c r="AK25" s="103"/>
      <c r="AL25" s="103"/>
      <c r="AM25" s="102"/>
      <c r="AN25" s="94"/>
      <c r="AO25" s="95"/>
      <c r="AP25" s="95"/>
      <c r="AQ25" s="96"/>
      <c r="AR25" s="97"/>
      <c r="AS25" s="98"/>
      <c r="AT25" s="98"/>
      <c r="AU25" s="99"/>
      <c r="AV25" s="104"/>
      <c r="AW25" s="133"/>
    </row>
    <row r="26" spans="2:51" s="81" customFormat="1" ht="105" x14ac:dyDescent="0.25">
      <c r="B26" s="139" t="s">
        <v>184</v>
      </c>
      <c r="C26" s="140" t="s">
        <v>199</v>
      </c>
      <c r="D26" s="132" t="s">
        <v>141</v>
      </c>
      <c r="E26" s="141">
        <v>2</v>
      </c>
      <c r="F26" s="140" t="s">
        <v>360</v>
      </c>
      <c r="G26" s="140" t="s">
        <v>147</v>
      </c>
      <c r="H26" s="142" t="s">
        <v>200</v>
      </c>
      <c r="I26" s="142" t="s">
        <v>146</v>
      </c>
      <c r="J26" s="142" t="s">
        <v>43</v>
      </c>
      <c r="K26" s="140" t="s">
        <v>44</v>
      </c>
      <c r="L26" s="140" t="s">
        <v>60</v>
      </c>
      <c r="M26" s="142" t="s">
        <v>202</v>
      </c>
      <c r="N26" s="142" t="s">
        <v>70</v>
      </c>
      <c r="O26" s="82">
        <v>7</v>
      </c>
      <c r="P26" s="83">
        <v>1</v>
      </c>
      <c r="Q26" s="84">
        <v>1</v>
      </c>
      <c r="R26" s="84">
        <v>4</v>
      </c>
      <c r="S26" s="85">
        <v>4</v>
      </c>
      <c r="T26" s="6" t="str">
        <f t="shared" ca="1" si="4"/>
        <v>Low</v>
      </c>
      <c r="U26" s="3" t="str">
        <f t="shared" ca="1" si="5"/>
        <v>Low</v>
      </c>
      <c r="V26" s="3" t="str">
        <f t="shared" ca="1" si="6"/>
        <v>Low</v>
      </c>
      <c r="W26" s="5" t="str">
        <f t="shared" ca="1" si="7"/>
        <v>Low</v>
      </c>
      <c r="X26" s="148" t="s">
        <v>314</v>
      </c>
      <c r="Y26" s="100"/>
      <c r="Z26" s="101"/>
      <c r="AA26" s="102"/>
      <c r="AB26" s="94"/>
      <c r="AC26" s="95"/>
      <c r="AD26" s="95"/>
      <c r="AE26" s="96"/>
      <c r="AF26" s="97"/>
      <c r="AG26" s="98"/>
      <c r="AH26" s="98"/>
      <c r="AI26" s="99"/>
      <c r="AJ26" s="103"/>
      <c r="AK26" s="103"/>
      <c r="AL26" s="103"/>
      <c r="AM26" s="102"/>
      <c r="AN26" s="94"/>
      <c r="AO26" s="95"/>
      <c r="AP26" s="95"/>
      <c r="AQ26" s="96"/>
      <c r="AR26" s="97"/>
      <c r="AS26" s="98"/>
      <c r="AT26" s="98"/>
      <c r="AU26" s="99"/>
      <c r="AV26" s="104"/>
      <c r="AW26" s="133"/>
    </row>
    <row r="27" spans="2:51" s="81" customFormat="1" ht="120" x14ac:dyDescent="0.25">
      <c r="B27" s="139" t="s">
        <v>185</v>
      </c>
      <c r="C27" s="140" t="s">
        <v>203</v>
      </c>
      <c r="D27" s="132" t="s">
        <v>143</v>
      </c>
      <c r="E27" s="141">
        <v>2</v>
      </c>
      <c r="F27" s="140" t="s">
        <v>361</v>
      </c>
      <c r="G27" s="140" t="s">
        <v>142</v>
      </c>
      <c r="H27" s="142" t="s">
        <v>149</v>
      </c>
      <c r="I27" s="142" t="s">
        <v>148</v>
      </c>
      <c r="J27" s="142" t="s">
        <v>43</v>
      </c>
      <c r="K27" s="142" t="s">
        <v>44</v>
      </c>
      <c r="L27" s="142" t="s">
        <v>44</v>
      </c>
      <c r="M27" s="142" t="s">
        <v>133</v>
      </c>
      <c r="N27" s="142" t="s">
        <v>358</v>
      </c>
      <c r="O27" s="82">
        <v>5</v>
      </c>
      <c r="P27" s="83">
        <v>4</v>
      </c>
      <c r="Q27" s="126">
        <v>7</v>
      </c>
      <c r="R27" s="126">
        <v>9</v>
      </c>
      <c r="S27" s="127">
        <v>9</v>
      </c>
      <c r="T27" s="6" t="str">
        <f t="shared" ca="1" si="4"/>
        <v>Low</v>
      </c>
      <c r="U27" s="3" t="str">
        <f t="shared" ca="1" si="5"/>
        <v>Med</v>
      </c>
      <c r="V27" s="3" t="str">
        <f t="shared" ca="1" si="6"/>
        <v>Med</v>
      </c>
      <c r="W27" s="5" t="str">
        <f t="shared" ca="1" si="7"/>
        <v>Med</v>
      </c>
      <c r="X27" s="149" t="s">
        <v>164</v>
      </c>
      <c r="Y27" s="100"/>
      <c r="Z27" s="101"/>
      <c r="AA27" s="102"/>
      <c r="AB27" s="94"/>
      <c r="AC27" s="95"/>
      <c r="AD27" s="95"/>
      <c r="AE27" s="96"/>
      <c r="AF27" s="97"/>
      <c r="AG27" s="98"/>
      <c r="AH27" s="98"/>
      <c r="AI27" s="99"/>
      <c r="AJ27" s="103"/>
      <c r="AK27" s="103"/>
      <c r="AL27" s="103"/>
      <c r="AM27" s="102"/>
      <c r="AN27" s="94"/>
      <c r="AO27" s="95"/>
      <c r="AP27" s="95"/>
      <c r="AQ27" s="96"/>
      <c r="AR27" s="97"/>
      <c r="AS27" s="98"/>
      <c r="AT27" s="98"/>
      <c r="AU27" s="99"/>
      <c r="AV27" s="104"/>
      <c r="AW27" s="133" t="s">
        <v>320</v>
      </c>
    </row>
    <row r="28" spans="2:51" s="81" customFormat="1" ht="120" x14ac:dyDescent="0.25">
      <c r="B28" s="139" t="s">
        <v>186</v>
      </c>
      <c r="C28" s="140" t="s">
        <v>203</v>
      </c>
      <c r="D28" s="132" t="s">
        <v>143</v>
      </c>
      <c r="E28" s="141">
        <v>2</v>
      </c>
      <c r="F28" s="140" t="s">
        <v>361</v>
      </c>
      <c r="G28" s="140" t="s">
        <v>142</v>
      </c>
      <c r="H28" s="142" t="s">
        <v>149</v>
      </c>
      <c r="I28" s="142" t="s">
        <v>161</v>
      </c>
      <c r="J28" s="142" t="s">
        <v>43</v>
      </c>
      <c r="K28" s="142" t="s">
        <v>44</v>
      </c>
      <c r="L28" s="140" t="s">
        <v>44</v>
      </c>
      <c r="M28" s="142" t="s">
        <v>133</v>
      </c>
      <c r="N28" s="142" t="s">
        <v>358</v>
      </c>
      <c r="O28" s="82">
        <v>4</v>
      </c>
      <c r="P28" s="83">
        <v>4</v>
      </c>
      <c r="Q28" s="126">
        <v>7</v>
      </c>
      <c r="R28" s="126">
        <v>9</v>
      </c>
      <c r="S28" s="127">
        <v>9</v>
      </c>
      <c r="T28" s="6" t="str">
        <f t="shared" ca="1" si="4"/>
        <v>Low</v>
      </c>
      <c r="U28" s="3" t="str">
        <f t="shared" ca="1" si="5"/>
        <v>Low</v>
      </c>
      <c r="V28" s="3" t="str">
        <f t="shared" ca="1" si="6"/>
        <v>Med</v>
      </c>
      <c r="W28" s="5" t="str">
        <f t="shared" ca="1" si="7"/>
        <v>Med</v>
      </c>
      <c r="X28" s="149" t="s">
        <v>165</v>
      </c>
      <c r="Y28" s="100"/>
      <c r="Z28" s="101"/>
      <c r="AA28" s="102"/>
      <c r="AB28" s="94"/>
      <c r="AC28" s="95"/>
      <c r="AD28" s="95"/>
      <c r="AE28" s="96"/>
      <c r="AF28" s="97"/>
      <c r="AG28" s="98"/>
      <c r="AH28" s="98"/>
      <c r="AI28" s="99"/>
      <c r="AJ28" s="103"/>
      <c r="AK28" s="103"/>
      <c r="AL28" s="103"/>
      <c r="AM28" s="102"/>
      <c r="AN28" s="94"/>
      <c r="AO28" s="95"/>
      <c r="AP28" s="95"/>
      <c r="AQ28" s="96"/>
      <c r="AR28" s="97"/>
      <c r="AS28" s="98"/>
      <c r="AT28" s="98"/>
      <c r="AU28" s="99"/>
      <c r="AV28" s="104"/>
      <c r="AW28" s="133" t="s">
        <v>320</v>
      </c>
    </row>
    <row r="29" spans="2:51" s="81" customFormat="1" ht="120" x14ac:dyDescent="0.25">
      <c r="B29" s="139" t="s">
        <v>187</v>
      </c>
      <c r="C29" s="140" t="s">
        <v>203</v>
      </c>
      <c r="D29" s="132" t="s">
        <v>143</v>
      </c>
      <c r="E29" s="141">
        <v>2</v>
      </c>
      <c r="F29" s="140" t="s">
        <v>361</v>
      </c>
      <c r="G29" s="140" t="s">
        <v>142</v>
      </c>
      <c r="H29" s="142" t="s">
        <v>149</v>
      </c>
      <c r="I29" s="142" t="s">
        <v>162</v>
      </c>
      <c r="J29" s="142" t="s">
        <v>43</v>
      </c>
      <c r="K29" s="140" t="s">
        <v>44</v>
      </c>
      <c r="L29" s="140" t="s">
        <v>60</v>
      </c>
      <c r="M29" s="142" t="s">
        <v>133</v>
      </c>
      <c r="N29" s="142" t="s">
        <v>358</v>
      </c>
      <c r="O29" s="82">
        <v>7</v>
      </c>
      <c r="P29" s="83">
        <v>4</v>
      </c>
      <c r="Q29" s="126">
        <v>7</v>
      </c>
      <c r="R29" s="126">
        <v>9</v>
      </c>
      <c r="S29" s="127">
        <v>9</v>
      </c>
      <c r="T29" s="6" t="str">
        <f t="shared" ca="1" si="4"/>
        <v>Low</v>
      </c>
      <c r="U29" s="3" t="str">
        <f t="shared" ca="1" si="5"/>
        <v>Med</v>
      </c>
      <c r="V29" s="3" t="str">
        <f t="shared" ca="1" si="6"/>
        <v>High</v>
      </c>
      <c r="W29" s="5" t="str">
        <f t="shared" ca="1" si="7"/>
        <v>High</v>
      </c>
      <c r="X29" s="149" t="s">
        <v>164</v>
      </c>
      <c r="Y29" s="100"/>
      <c r="Z29" s="101"/>
      <c r="AA29" s="102"/>
      <c r="AB29" s="94"/>
      <c r="AC29" s="95"/>
      <c r="AD29" s="95"/>
      <c r="AE29" s="96"/>
      <c r="AF29" s="97"/>
      <c r="AG29" s="98"/>
      <c r="AH29" s="98"/>
      <c r="AI29" s="99"/>
      <c r="AJ29" s="103"/>
      <c r="AK29" s="103"/>
      <c r="AL29" s="103"/>
      <c r="AM29" s="102"/>
      <c r="AN29" s="94"/>
      <c r="AO29" s="95"/>
      <c r="AP29" s="95"/>
      <c r="AQ29" s="96"/>
      <c r="AR29" s="97"/>
      <c r="AS29" s="98"/>
      <c r="AT29" s="98"/>
      <c r="AU29" s="99"/>
      <c r="AV29" s="104"/>
      <c r="AW29" s="133" t="s">
        <v>320</v>
      </c>
    </row>
    <row r="30" spans="2:51" s="81" customFormat="1" ht="120" x14ac:dyDescent="0.25">
      <c r="B30" s="139" t="s">
        <v>188</v>
      </c>
      <c r="C30" s="140" t="s">
        <v>203</v>
      </c>
      <c r="D30" s="132" t="s">
        <v>143</v>
      </c>
      <c r="E30" s="141">
        <v>2</v>
      </c>
      <c r="F30" s="140" t="s">
        <v>361</v>
      </c>
      <c r="G30" s="140" t="s">
        <v>142</v>
      </c>
      <c r="H30" s="142" t="s">
        <v>149</v>
      </c>
      <c r="I30" s="142" t="s">
        <v>68</v>
      </c>
      <c r="J30" s="142" t="s">
        <v>43</v>
      </c>
      <c r="K30" s="140" t="s">
        <v>44</v>
      </c>
      <c r="L30" s="140" t="s">
        <v>44</v>
      </c>
      <c r="M30" s="142" t="s">
        <v>133</v>
      </c>
      <c r="N30" s="142" t="s">
        <v>358</v>
      </c>
      <c r="O30" s="82">
        <v>3</v>
      </c>
      <c r="P30" s="83">
        <v>4</v>
      </c>
      <c r="Q30" s="126">
        <v>7</v>
      </c>
      <c r="R30" s="126">
        <v>9</v>
      </c>
      <c r="S30" s="127">
        <v>9</v>
      </c>
      <c r="T30" s="6" t="str">
        <f t="shared" ca="1" si="4"/>
        <v>Low</v>
      </c>
      <c r="U30" s="3" t="str">
        <f t="shared" ca="1" si="5"/>
        <v>Low</v>
      </c>
      <c r="V30" s="3" t="str">
        <f t="shared" ca="1" si="6"/>
        <v>Med</v>
      </c>
      <c r="W30" s="5" t="str">
        <f t="shared" ca="1" si="7"/>
        <v>Med</v>
      </c>
      <c r="X30" s="149" t="s">
        <v>264</v>
      </c>
      <c r="Y30" s="100"/>
      <c r="Z30" s="101"/>
      <c r="AA30" s="102"/>
      <c r="AB30" s="94"/>
      <c r="AC30" s="95"/>
      <c r="AD30" s="95"/>
      <c r="AE30" s="96"/>
      <c r="AF30" s="97"/>
      <c r="AG30" s="98"/>
      <c r="AH30" s="98"/>
      <c r="AI30" s="99"/>
      <c r="AJ30" s="103"/>
      <c r="AK30" s="103"/>
      <c r="AL30" s="103"/>
      <c r="AM30" s="102"/>
      <c r="AN30" s="94"/>
      <c r="AO30" s="95"/>
      <c r="AP30" s="95"/>
      <c r="AQ30" s="96"/>
      <c r="AR30" s="97"/>
      <c r="AS30" s="98"/>
      <c r="AT30" s="98"/>
      <c r="AU30" s="99"/>
      <c r="AV30" s="104"/>
      <c r="AW30" s="133" t="s">
        <v>320</v>
      </c>
    </row>
    <row r="31" spans="2:51" s="81" customFormat="1" ht="120" x14ac:dyDescent="0.25">
      <c r="B31" s="139" t="s">
        <v>174</v>
      </c>
      <c r="C31" s="140" t="s">
        <v>180</v>
      </c>
      <c r="D31" s="132" t="s">
        <v>140</v>
      </c>
      <c r="E31" s="141">
        <v>2</v>
      </c>
      <c r="F31" s="140" t="s">
        <v>54</v>
      </c>
      <c r="G31" s="140" t="s">
        <v>115</v>
      </c>
      <c r="H31" s="142" t="s">
        <v>89</v>
      </c>
      <c r="I31" s="142" t="s">
        <v>150</v>
      </c>
      <c r="J31" s="142" t="s">
        <v>43</v>
      </c>
      <c r="K31" s="140" t="s">
        <v>78</v>
      </c>
      <c r="L31" s="142" t="s">
        <v>44</v>
      </c>
      <c r="M31" s="142" t="s">
        <v>132</v>
      </c>
      <c r="N31" s="142" t="s">
        <v>87</v>
      </c>
      <c r="O31" s="82">
        <v>5</v>
      </c>
      <c r="P31" s="83">
        <v>1</v>
      </c>
      <c r="Q31" s="84">
        <v>1</v>
      </c>
      <c r="R31" s="84">
        <v>9</v>
      </c>
      <c r="S31" s="85">
        <v>7</v>
      </c>
      <c r="T31" s="6" t="str">
        <f t="shared" ca="1" si="4"/>
        <v>Low</v>
      </c>
      <c r="U31" s="3" t="str">
        <f t="shared" ca="1" si="5"/>
        <v>Low</v>
      </c>
      <c r="V31" s="3" t="str">
        <f t="shared" ca="1" si="6"/>
        <v>Med</v>
      </c>
      <c r="W31" s="5" t="str">
        <f t="shared" ca="1" si="7"/>
        <v>Med</v>
      </c>
      <c r="X31" s="149" t="s">
        <v>164</v>
      </c>
      <c r="Y31" s="100" t="s">
        <v>99</v>
      </c>
      <c r="Z31" s="101"/>
      <c r="AA31" s="102"/>
      <c r="AB31" s="94"/>
      <c r="AC31" s="95"/>
      <c r="AD31" s="95"/>
      <c r="AE31" s="96"/>
      <c r="AF31" s="97" t="str">
        <f ca="1">IF(AND(ISNUMBER(AB31),ISNUMBER($AA31)),OFFSET(RiskMatrixRef,-$AA31+1,AB31-1),"")</f>
        <v/>
      </c>
      <c r="AG31" s="98" t="str">
        <f ca="1">IF(AND(ISNUMBER(AC31),ISNUMBER($AA31)),OFFSET(RiskMatrixRef,-$AA31+1,AC31-1),"")</f>
        <v/>
      </c>
      <c r="AH31" s="98" t="str">
        <f ca="1">IF(AND(ISNUMBER(AD31),ISNUMBER($AA31)),OFFSET(RiskMatrixRef,-$AA31+1,AD31-1),"")</f>
        <v/>
      </c>
      <c r="AI31" s="99" t="str">
        <f ca="1">IF(AND(ISNUMBER(AE31),ISNUMBER($AA31)),OFFSET(RiskMatrixRef,-$AA31+1,AE31-1),"")</f>
        <v/>
      </c>
      <c r="AJ31" s="103"/>
      <c r="AK31" s="103"/>
      <c r="AL31" s="103"/>
      <c r="AM31" s="102"/>
      <c r="AN31" s="94"/>
      <c r="AO31" s="95"/>
      <c r="AP31" s="95"/>
      <c r="AQ31" s="96"/>
      <c r="AR31" s="97" t="str">
        <f ca="1">IF(AND(ISNUMBER(AN31),ISNUMBER($AM31)),OFFSET(RiskMatrixRef,-$AM31+1,AN31-1),"")</f>
        <v/>
      </c>
      <c r="AS31" s="98" t="str">
        <f ca="1">IF(AND(ISNUMBER(AO31),ISNUMBER($AM31)),OFFSET(RiskMatrixRef,-$AM31+1,AO31-1),"")</f>
        <v/>
      </c>
      <c r="AT31" s="98" t="str">
        <f ca="1">IF(AND(ISNUMBER(AP31),ISNUMBER($AM31)),OFFSET(RiskMatrixRef,-$AM31+1,AP31-1),"")</f>
        <v/>
      </c>
      <c r="AU31" s="99" t="str">
        <f ca="1">IF(AND(ISNUMBER(AQ31),ISNUMBER($AM31)),OFFSET(RiskMatrixRef,-$AM31+1,AQ31-1),"")</f>
        <v/>
      </c>
      <c r="AV31" s="104"/>
      <c r="AW31" s="132"/>
    </row>
    <row r="32" spans="2:51" ht="105" x14ac:dyDescent="0.25">
      <c r="B32" s="143" t="s">
        <v>175</v>
      </c>
      <c r="C32" s="142" t="s">
        <v>180</v>
      </c>
      <c r="D32" s="133" t="s">
        <v>140</v>
      </c>
      <c r="E32" s="144">
        <v>2</v>
      </c>
      <c r="F32" s="142" t="s">
        <v>54</v>
      </c>
      <c r="G32" s="142" t="s">
        <v>115</v>
      </c>
      <c r="H32" s="142" t="s">
        <v>89</v>
      </c>
      <c r="I32" s="142" t="s">
        <v>161</v>
      </c>
      <c r="J32" s="142" t="s">
        <v>43</v>
      </c>
      <c r="K32" s="142" t="s">
        <v>75</v>
      </c>
      <c r="L32" s="142" t="s">
        <v>44</v>
      </c>
      <c r="M32" s="142" t="s">
        <v>132</v>
      </c>
      <c r="N32" s="142" t="s">
        <v>87</v>
      </c>
      <c r="O32" s="82">
        <v>4</v>
      </c>
      <c r="P32" s="83">
        <v>1</v>
      </c>
      <c r="Q32" s="84">
        <v>1</v>
      </c>
      <c r="R32" s="84">
        <v>9</v>
      </c>
      <c r="S32" s="85">
        <v>7</v>
      </c>
      <c r="T32" s="6" t="str">
        <f t="shared" ca="1" si="4"/>
        <v>Low</v>
      </c>
      <c r="U32" s="3" t="str">
        <f t="shared" ca="1" si="5"/>
        <v>Low</v>
      </c>
      <c r="V32" s="3" t="str">
        <f t="shared" ca="1" si="6"/>
        <v>Med</v>
      </c>
      <c r="W32" s="5" t="str">
        <f t="shared" ca="1" si="7"/>
        <v>Low</v>
      </c>
      <c r="X32" s="148" t="s">
        <v>165</v>
      </c>
      <c r="Y32" s="91"/>
      <c r="Z32" s="88"/>
      <c r="AA32" s="86"/>
      <c r="AB32" s="83"/>
      <c r="AC32" s="84"/>
      <c r="AD32" s="84"/>
      <c r="AE32" s="85"/>
      <c r="AF32" s="6"/>
      <c r="AG32" s="3"/>
      <c r="AH32" s="3"/>
      <c r="AI32" s="5"/>
      <c r="AJ32" s="80"/>
      <c r="AK32" s="80"/>
      <c r="AL32" s="80"/>
      <c r="AM32" s="86"/>
      <c r="AN32" s="83"/>
      <c r="AO32" s="84"/>
      <c r="AP32" s="84"/>
      <c r="AQ32" s="85"/>
      <c r="AR32" s="6"/>
      <c r="AS32" s="3"/>
      <c r="AT32" s="3"/>
      <c r="AU32" s="5"/>
      <c r="AV32" s="87"/>
      <c r="AW32" s="133"/>
    </row>
    <row r="33" spans="2:49" ht="120" x14ac:dyDescent="0.25">
      <c r="B33" s="143" t="s">
        <v>176</v>
      </c>
      <c r="C33" s="142" t="s">
        <v>180</v>
      </c>
      <c r="D33" s="133" t="s">
        <v>140</v>
      </c>
      <c r="E33" s="144">
        <v>2</v>
      </c>
      <c r="F33" s="142" t="s">
        <v>54</v>
      </c>
      <c r="G33" s="142" t="s">
        <v>115</v>
      </c>
      <c r="H33" s="142" t="s">
        <v>89</v>
      </c>
      <c r="I33" s="142" t="s">
        <v>162</v>
      </c>
      <c r="J33" s="142" t="s">
        <v>43</v>
      </c>
      <c r="K33" s="142" t="s">
        <v>77</v>
      </c>
      <c r="L33" s="142" t="s">
        <v>60</v>
      </c>
      <c r="M33" s="142" t="s">
        <v>132</v>
      </c>
      <c r="N33" s="142" t="s">
        <v>87</v>
      </c>
      <c r="O33" s="128">
        <v>7</v>
      </c>
      <c r="P33" s="83">
        <v>1</v>
      </c>
      <c r="Q33" s="84">
        <v>1</v>
      </c>
      <c r="R33" s="84">
        <v>9</v>
      </c>
      <c r="S33" s="85">
        <v>7</v>
      </c>
      <c r="T33" s="6" t="str">
        <f t="shared" ca="1" si="4"/>
        <v>Low</v>
      </c>
      <c r="U33" s="3" t="str">
        <f t="shared" ca="1" si="5"/>
        <v>Low</v>
      </c>
      <c r="V33" s="3" t="str">
        <f t="shared" ca="1" si="6"/>
        <v>High</v>
      </c>
      <c r="W33" s="5" t="str">
        <f t="shared" ca="1" si="7"/>
        <v>Med</v>
      </c>
      <c r="X33" s="148" t="s">
        <v>164</v>
      </c>
      <c r="Y33" s="91"/>
      <c r="Z33" s="88"/>
      <c r="AA33" s="86"/>
      <c r="AB33" s="83"/>
      <c r="AC33" s="84"/>
      <c r="AD33" s="84"/>
      <c r="AE33" s="85"/>
      <c r="AF33" s="6"/>
      <c r="AG33" s="3"/>
      <c r="AH33" s="3"/>
      <c r="AI33" s="5"/>
      <c r="AJ33" s="80"/>
      <c r="AK33" s="80"/>
      <c r="AL33" s="80"/>
      <c r="AM33" s="86"/>
      <c r="AN33" s="83"/>
      <c r="AO33" s="84"/>
      <c r="AP33" s="84"/>
      <c r="AQ33" s="85"/>
      <c r="AR33" s="6"/>
      <c r="AS33" s="3"/>
      <c r="AT33" s="3"/>
      <c r="AU33" s="5"/>
      <c r="AV33" s="87"/>
      <c r="AW33" s="133"/>
    </row>
    <row r="34" spans="2:49" ht="105" x14ac:dyDescent="0.25">
      <c r="B34" s="143" t="s">
        <v>177</v>
      </c>
      <c r="C34" s="142" t="s">
        <v>180</v>
      </c>
      <c r="D34" s="133" t="s">
        <v>140</v>
      </c>
      <c r="E34" s="144">
        <v>2</v>
      </c>
      <c r="F34" s="142" t="s">
        <v>54</v>
      </c>
      <c r="G34" s="142" t="s">
        <v>115</v>
      </c>
      <c r="H34" s="142" t="s">
        <v>89</v>
      </c>
      <c r="I34" s="142" t="s">
        <v>68</v>
      </c>
      <c r="J34" s="142" t="s">
        <v>43</v>
      </c>
      <c r="K34" s="142" t="s">
        <v>76</v>
      </c>
      <c r="L34" s="142" t="s">
        <v>44</v>
      </c>
      <c r="M34" s="142" t="s">
        <v>132</v>
      </c>
      <c r="N34" s="142" t="s">
        <v>87</v>
      </c>
      <c r="O34" s="82">
        <v>3</v>
      </c>
      <c r="P34" s="83">
        <v>1</v>
      </c>
      <c r="Q34" s="84">
        <v>1</v>
      </c>
      <c r="R34" s="84">
        <v>9</v>
      </c>
      <c r="S34" s="85">
        <v>7</v>
      </c>
      <c r="T34" s="6" t="str">
        <f t="shared" ca="1" si="4"/>
        <v>Low</v>
      </c>
      <c r="U34" s="3" t="str">
        <f t="shared" ca="1" si="5"/>
        <v>Low</v>
      </c>
      <c r="V34" s="3" t="str">
        <f t="shared" ca="1" si="6"/>
        <v>Med</v>
      </c>
      <c r="W34" s="5" t="str">
        <f t="shared" ca="1" si="7"/>
        <v>Low</v>
      </c>
      <c r="X34" s="148" t="s">
        <v>264</v>
      </c>
      <c r="Y34" s="91" t="s">
        <v>99</v>
      </c>
      <c r="Z34" s="88"/>
      <c r="AA34" s="86"/>
      <c r="AB34" s="83"/>
      <c r="AC34" s="84"/>
      <c r="AD34" s="84"/>
      <c r="AE34" s="85"/>
      <c r="AF34" s="6"/>
      <c r="AG34" s="3"/>
      <c r="AH34" s="3"/>
      <c r="AI34" s="5"/>
      <c r="AJ34" s="80"/>
      <c r="AK34" s="80"/>
      <c r="AL34" s="80"/>
      <c r="AM34" s="86"/>
      <c r="AN34" s="83"/>
      <c r="AO34" s="84"/>
      <c r="AP34" s="84"/>
      <c r="AQ34" s="85"/>
      <c r="AR34" s="6"/>
      <c r="AS34" s="3"/>
      <c r="AT34" s="3"/>
      <c r="AU34" s="5"/>
      <c r="AV34" s="87"/>
      <c r="AW34" s="133" t="s">
        <v>181</v>
      </c>
    </row>
    <row r="35" spans="2:49" ht="105" x14ac:dyDescent="0.25">
      <c r="B35" s="143" t="s">
        <v>178</v>
      </c>
      <c r="C35" s="142" t="s">
        <v>180</v>
      </c>
      <c r="D35" s="133" t="s">
        <v>140</v>
      </c>
      <c r="E35" s="144">
        <v>2</v>
      </c>
      <c r="F35" s="142" t="s">
        <v>54</v>
      </c>
      <c r="G35" s="142" t="s">
        <v>115</v>
      </c>
      <c r="H35" s="142" t="s">
        <v>89</v>
      </c>
      <c r="I35" s="142" t="s">
        <v>71</v>
      </c>
      <c r="J35" s="142" t="s">
        <v>43</v>
      </c>
      <c r="K35" s="142" t="s">
        <v>79</v>
      </c>
      <c r="L35" s="142" t="s">
        <v>44</v>
      </c>
      <c r="M35" s="142" t="s">
        <v>132</v>
      </c>
      <c r="N35" s="142" t="s">
        <v>87</v>
      </c>
      <c r="O35" s="82">
        <v>4</v>
      </c>
      <c r="P35" s="83">
        <v>1</v>
      </c>
      <c r="Q35" s="84">
        <v>1</v>
      </c>
      <c r="R35" s="84">
        <v>9</v>
      </c>
      <c r="S35" s="85">
        <v>7</v>
      </c>
      <c r="T35" s="6" t="str">
        <f t="shared" ca="1" si="4"/>
        <v>Low</v>
      </c>
      <c r="U35" s="3" t="str">
        <f t="shared" ca="1" si="5"/>
        <v>Low</v>
      </c>
      <c r="V35" s="3" t="str">
        <f t="shared" ca="1" si="6"/>
        <v>Med</v>
      </c>
      <c r="W35" s="5" t="str">
        <f t="shared" ca="1" si="7"/>
        <v>Low</v>
      </c>
      <c r="X35" s="148" t="s">
        <v>159</v>
      </c>
      <c r="Y35" s="91"/>
      <c r="Z35" s="88"/>
      <c r="AA35" s="86"/>
      <c r="AB35" s="83"/>
      <c r="AC35" s="84"/>
      <c r="AD35" s="84"/>
      <c r="AE35" s="85"/>
      <c r="AF35" s="6"/>
      <c r="AG35" s="3"/>
      <c r="AH35" s="3"/>
      <c r="AI35" s="5"/>
      <c r="AJ35" s="80"/>
      <c r="AK35" s="80"/>
      <c r="AL35" s="80"/>
      <c r="AM35" s="86"/>
      <c r="AN35" s="83"/>
      <c r="AO35" s="84"/>
      <c r="AP35" s="84"/>
      <c r="AQ35" s="85"/>
      <c r="AR35" s="6"/>
      <c r="AS35" s="3"/>
      <c r="AT35" s="3"/>
      <c r="AU35" s="5"/>
      <c r="AV35" s="87"/>
      <c r="AW35" s="133"/>
    </row>
    <row r="36" spans="2:49" ht="105" x14ac:dyDescent="0.25">
      <c r="B36" s="143" t="s">
        <v>179</v>
      </c>
      <c r="C36" s="142" t="s">
        <v>180</v>
      </c>
      <c r="D36" s="133" t="s">
        <v>140</v>
      </c>
      <c r="E36" s="144">
        <v>2</v>
      </c>
      <c r="F36" s="142" t="s">
        <v>54</v>
      </c>
      <c r="G36" s="142" t="s">
        <v>115</v>
      </c>
      <c r="H36" s="142" t="s">
        <v>89</v>
      </c>
      <c r="I36" s="142" t="s">
        <v>108</v>
      </c>
      <c r="J36" s="142" t="s">
        <v>43</v>
      </c>
      <c r="K36" s="142" t="s">
        <v>75</v>
      </c>
      <c r="L36" s="142" t="s">
        <v>60</v>
      </c>
      <c r="M36" s="142" t="s">
        <v>132</v>
      </c>
      <c r="N36" s="142" t="s">
        <v>87</v>
      </c>
      <c r="O36" s="82">
        <v>7</v>
      </c>
      <c r="P36" s="83">
        <v>1</v>
      </c>
      <c r="Q36" s="84">
        <v>1</v>
      </c>
      <c r="R36" s="84">
        <v>9</v>
      </c>
      <c r="S36" s="85">
        <v>7</v>
      </c>
      <c r="T36" s="6" t="str">
        <f t="shared" ca="1" si="4"/>
        <v>Low</v>
      </c>
      <c r="U36" s="3" t="str">
        <f t="shared" ca="1" si="5"/>
        <v>Low</v>
      </c>
      <c r="V36" s="3" t="str">
        <f t="shared" ca="1" si="6"/>
        <v>High</v>
      </c>
      <c r="W36" s="5" t="str">
        <f t="shared" ca="1" si="7"/>
        <v>Med</v>
      </c>
      <c r="X36" s="148" t="s">
        <v>272</v>
      </c>
      <c r="Y36" s="91"/>
      <c r="Z36" s="88"/>
      <c r="AA36" s="86"/>
      <c r="AB36" s="83"/>
      <c r="AC36" s="84"/>
      <c r="AD36" s="84"/>
      <c r="AE36" s="85"/>
      <c r="AF36" s="6"/>
      <c r="AG36" s="3"/>
      <c r="AH36" s="3"/>
      <c r="AI36" s="5"/>
      <c r="AJ36" s="80"/>
      <c r="AK36" s="80"/>
      <c r="AL36" s="80"/>
      <c r="AM36" s="86"/>
      <c r="AN36" s="83"/>
      <c r="AO36" s="84"/>
      <c r="AP36" s="84"/>
      <c r="AQ36" s="85"/>
      <c r="AR36" s="6"/>
      <c r="AS36" s="3"/>
      <c r="AT36" s="3"/>
      <c r="AU36" s="5"/>
      <c r="AV36" s="87"/>
      <c r="AW36" s="133"/>
    </row>
    <row r="37" spans="2:49" ht="165" x14ac:dyDescent="0.25">
      <c r="B37" s="143" t="s">
        <v>48</v>
      </c>
      <c r="C37" s="142" t="s">
        <v>362</v>
      </c>
      <c r="D37" s="142" t="s">
        <v>53</v>
      </c>
      <c r="E37" s="144">
        <v>2</v>
      </c>
      <c r="F37" s="142" t="s">
        <v>54</v>
      </c>
      <c r="G37" s="142" t="s">
        <v>363</v>
      </c>
      <c r="H37" s="142" t="s">
        <v>364</v>
      </c>
      <c r="I37" s="142" t="s">
        <v>42</v>
      </c>
      <c r="J37" s="142" t="s">
        <v>43</v>
      </c>
      <c r="K37" s="142" t="s">
        <v>44</v>
      </c>
      <c r="L37" s="142" t="s">
        <v>44</v>
      </c>
      <c r="M37" s="142" t="s">
        <v>133</v>
      </c>
      <c r="N37" s="142" t="s">
        <v>358</v>
      </c>
      <c r="O37" s="79">
        <v>4</v>
      </c>
      <c r="P37" s="2">
        <v>4</v>
      </c>
      <c r="Q37" s="4">
        <v>7</v>
      </c>
      <c r="R37" s="4">
        <v>9</v>
      </c>
      <c r="S37" s="85">
        <v>9</v>
      </c>
      <c r="T37" s="6" t="str">
        <f t="shared" ca="1" si="4"/>
        <v>Low</v>
      </c>
      <c r="U37" s="3" t="str">
        <f t="shared" ca="1" si="5"/>
        <v>Low</v>
      </c>
      <c r="V37" s="3" t="str">
        <f t="shared" ca="1" si="6"/>
        <v>Med</v>
      </c>
      <c r="W37" s="5" t="str">
        <f t="shared" ca="1" si="7"/>
        <v>Med</v>
      </c>
      <c r="X37" s="148" t="s">
        <v>260</v>
      </c>
      <c r="Y37" s="91" t="s">
        <v>101</v>
      </c>
      <c r="Z37" s="89"/>
      <c r="AA37" s="15"/>
      <c r="AB37" s="2"/>
      <c r="AC37" s="4"/>
      <c r="AD37" s="4"/>
      <c r="AE37" s="1"/>
      <c r="AF37" s="6" t="str">
        <f ca="1">IF(AND(ISNUMBER(AB37),ISNUMBER($AA37)),OFFSET(RiskMatrixRef,-$AA37+1,AB37-1),"")</f>
        <v/>
      </c>
      <c r="AG37" s="3" t="str">
        <f ca="1">IF(AND(ISNUMBER(AC37),ISNUMBER($AA37)),OFFSET(RiskMatrixRef,-$AA37+1,AC37-1),"")</f>
        <v/>
      </c>
      <c r="AH37" s="3" t="str">
        <f ca="1">IF(AND(ISNUMBER(AD37),ISNUMBER($AA37)),OFFSET(RiskMatrixRef,-$AA37+1,AD37-1),"")</f>
        <v/>
      </c>
      <c r="AI37" s="5" t="str">
        <f ca="1">IF(AND(ISNUMBER(AE37),ISNUMBER($AA37)),OFFSET(RiskMatrixRef,-$AA37+1,AE37-1),"")</f>
        <v/>
      </c>
      <c r="AJ37" s="12"/>
      <c r="AK37" s="12"/>
      <c r="AL37" s="12"/>
      <c r="AM37" s="15"/>
      <c r="AN37" s="2"/>
      <c r="AO37" s="4"/>
      <c r="AP37" s="4"/>
      <c r="AQ37" s="1"/>
      <c r="AR37" s="6" t="str">
        <f ca="1">IF(AND(ISNUMBER(AN37),ISNUMBER($AM37)),OFFSET(RiskMatrixRef,-$AM37+1,AN37-1),"")</f>
        <v/>
      </c>
      <c r="AS37" s="3" t="str">
        <f ca="1">IF(AND(ISNUMBER(AO37),ISNUMBER($AM37)),OFFSET(RiskMatrixRef,-$AM37+1,AO37-1),"")</f>
        <v/>
      </c>
      <c r="AT37" s="3" t="str">
        <f ca="1">IF(AND(ISNUMBER(AP37),ISNUMBER($AM37)),OFFSET(RiskMatrixRef,-$AM37+1,AP37-1),"")</f>
        <v/>
      </c>
      <c r="AU37" s="5" t="str">
        <f ca="1">IF(AND(ISNUMBER(AQ37),ISNUMBER($AM37)),OFFSET(RiskMatrixRef,-$AM37+1,AQ37-1),"")</f>
        <v/>
      </c>
      <c r="AV37" s="16"/>
      <c r="AW37" s="133" t="s">
        <v>321</v>
      </c>
    </row>
    <row r="38" spans="2:49" ht="180" x14ac:dyDescent="0.25">
      <c r="B38" s="143" t="s">
        <v>49</v>
      </c>
      <c r="C38" s="142" t="s">
        <v>362</v>
      </c>
      <c r="D38" s="142" t="s">
        <v>53</v>
      </c>
      <c r="E38" s="144">
        <v>2</v>
      </c>
      <c r="F38" s="142" t="s">
        <v>54</v>
      </c>
      <c r="G38" s="142" t="s">
        <v>363</v>
      </c>
      <c r="H38" s="142" t="s">
        <v>364</v>
      </c>
      <c r="I38" s="142" t="s">
        <v>161</v>
      </c>
      <c r="J38" s="142" t="s">
        <v>43</v>
      </c>
      <c r="K38" s="142" t="s">
        <v>44</v>
      </c>
      <c r="L38" s="142" t="s">
        <v>44</v>
      </c>
      <c r="M38" s="142" t="s">
        <v>133</v>
      </c>
      <c r="N38" s="142" t="s">
        <v>358</v>
      </c>
      <c r="O38" s="79">
        <v>3</v>
      </c>
      <c r="P38" s="2">
        <v>4</v>
      </c>
      <c r="Q38" s="4">
        <v>7</v>
      </c>
      <c r="R38" s="4">
        <v>9</v>
      </c>
      <c r="S38" s="85">
        <v>9</v>
      </c>
      <c r="T38" s="6" t="str">
        <f t="shared" ca="1" si="4"/>
        <v>Low</v>
      </c>
      <c r="U38" s="3" t="str">
        <f t="shared" ca="1" si="5"/>
        <v>Low</v>
      </c>
      <c r="V38" s="3" t="str">
        <f t="shared" ca="1" si="6"/>
        <v>Med</v>
      </c>
      <c r="W38" s="5" t="str">
        <f t="shared" ca="1" si="7"/>
        <v>Med</v>
      </c>
      <c r="X38" s="148" t="s">
        <v>292</v>
      </c>
      <c r="Y38" s="91"/>
      <c r="Z38" s="89"/>
      <c r="AA38" s="15"/>
      <c r="AB38" s="2"/>
      <c r="AC38" s="4"/>
      <c r="AD38" s="4"/>
      <c r="AE38" s="1"/>
      <c r="AF38" s="6"/>
      <c r="AG38" s="3"/>
      <c r="AH38" s="3"/>
      <c r="AI38" s="5"/>
      <c r="AJ38" s="12"/>
      <c r="AK38" s="12"/>
      <c r="AL38" s="12"/>
      <c r="AM38" s="15"/>
      <c r="AN38" s="2"/>
      <c r="AO38" s="4"/>
      <c r="AP38" s="4"/>
      <c r="AQ38" s="1"/>
      <c r="AR38" s="6"/>
      <c r="AS38" s="3"/>
      <c r="AT38" s="3"/>
      <c r="AU38" s="5"/>
      <c r="AV38" s="16"/>
      <c r="AW38" s="133" t="s">
        <v>321</v>
      </c>
    </row>
    <row r="39" spans="2:49" ht="120" x14ac:dyDescent="0.25">
      <c r="B39" s="143" t="s">
        <v>50</v>
      </c>
      <c r="C39" s="142" t="s">
        <v>362</v>
      </c>
      <c r="D39" s="142" t="s">
        <v>53</v>
      </c>
      <c r="E39" s="144">
        <v>2</v>
      </c>
      <c r="F39" s="142" t="s">
        <v>54</v>
      </c>
      <c r="G39" s="142" t="s">
        <v>363</v>
      </c>
      <c r="H39" s="142" t="s">
        <v>61</v>
      </c>
      <c r="I39" s="142" t="s">
        <v>41</v>
      </c>
      <c r="J39" s="142" t="s">
        <v>43</v>
      </c>
      <c r="K39" s="142" t="s">
        <v>274</v>
      </c>
      <c r="L39" s="142" t="s">
        <v>60</v>
      </c>
      <c r="M39" s="142" t="s">
        <v>133</v>
      </c>
      <c r="N39" s="142" t="s">
        <v>87</v>
      </c>
      <c r="O39" s="117">
        <v>7</v>
      </c>
      <c r="P39" s="2">
        <v>4</v>
      </c>
      <c r="Q39" s="4">
        <v>7</v>
      </c>
      <c r="R39" s="4">
        <v>9</v>
      </c>
      <c r="S39" s="85">
        <v>9</v>
      </c>
      <c r="T39" s="6" t="str">
        <f t="shared" ref="T39:T70" ca="1" si="8">IF(AND(ISNUMBER(P39),ISNUMBER($O39)),OFFSET(RiskMatrixRef,-$O39+1,P39-1),"")</f>
        <v>Low</v>
      </c>
      <c r="U39" s="3" t="str">
        <f t="shared" ref="U39:U70" ca="1" si="9">IF(AND(ISNUMBER(Q39),ISNUMBER($O39)),OFFSET(RiskMatrixRef,-$O39+1,Q39-1),"")</f>
        <v>Med</v>
      </c>
      <c r="V39" s="3" t="str">
        <f t="shared" ref="V39:V70" ca="1" si="10">IF(AND(ISNUMBER(R39),ISNUMBER($O39)),OFFSET(RiskMatrixRef,-$O39+1,R39-1),"")</f>
        <v>High</v>
      </c>
      <c r="W39" s="5" t="str">
        <f t="shared" ref="W39:W70" ca="1" si="11">IF(AND(ISNUMBER(S39),ISNUMBER($O39)),OFFSET(RiskMatrixRef,-$O39+1,S39-1),"")</f>
        <v>High</v>
      </c>
      <c r="X39" s="148" t="s">
        <v>269</v>
      </c>
      <c r="Y39" s="91" t="s">
        <v>101</v>
      </c>
      <c r="Z39" s="89"/>
      <c r="AA39" s="15"/>
      <c r="AB39" s="2"/>
      <c r="AC39" s="4"/>
      <c r="AD39" s="4"/>
      <c r="AE39" s="1"/>
      <c r="AF39" s="6" t="str">
        <f t="shared" ref="AF39:AI42" ca="1" si="12">IF(AND(ISNUMBER(AB39),ISNUMBER($AA39)),OFFSET(RiskMatrixRef,-$AA39+1,AB39-1),"")</f>
        <v/>
      </c>
      <c r="AG39" s="3" t="str">
        <f t="shared" ca="1" si="12"/>
        <v/>
      </c>
      <c r="AH39" s="3" t="str">
        <f t="shared" ca="1" si="12"/>
        <v/>
      </c>
      <c r="AI39" s="5" t="str">
        <f t="shared" ca="1" si="12"/>
        <v/>
      </c>
      <c r="AJ39" s="12"/>
      <c r="AK39" s="12"/>
      <c r="AL39" s="12"/>
      <c r="AM39" s="15"/>
      <c r="AN39" s="2"/>
      <c r="AO39" s="4"/>
      <c r="AP39" s="4"/>
      <c r="AQ39" s="1"/>
      <c r="AR39" s="6" t="str">
        <f t="shared" ref="AR39:AU42" ca="1" si="13">IF(AND(ISNUMBER(AN39),ISNUMBER($AM39)),OFFSET(RiskMatrixRef,-$AM39+1,AN39-1),"")</f>
        <v/>
      </c>
      <c r="AS39" s="3" t="str">
        <f t="shared" ca="1" si="13"/>
        <v/>
      </c>
      <c r="AT39" s="3" t="str">
        <f t="shared" ca="1" si="13"/>
        <v/>
      </c>
      <c r="AU39" s="5" t="str">
        <f t="shared" ca="1" si="13"/>
        <v/>
      </c>
      <c r="AV39" s="16"/>
      <c r="AW39" s="133" t="s">
        <v>321</v>
      </c>
    </row>
    <row r="40" spans="2:49" ht="180" x14ac:dyDescent="0.25">
      <c r="B40" s="143" t="s">
        <v>51</v>
      </c>
      <c r="C40" s="142" t="s">
        <v>362</v>
      </c>
      <c r="D40" s="142" t="s">
        <v>53</v>
      </c>
      <c r="E40" s="144">
        <v>2</v>
      </c>
      <c r="F40" s="142" t="s">
        <v>54</v>
      </c>
      <c r="G40" s="142" t="s">
        <v>363</v>
      </c>
      <c r="H40" s="142" t="s">
        <v>364</v>
      </c>
      <c r="I40" s="142" t="s">
        <v>68</v>
      </c>
      <c r="J40" s="142" t="s">
        <v>43</v>
      </c>
      <c r="K40" s="142" t="s">
        <v>85</v>
      </c>
      <c r="L40" s="142" t="s">
        <v>44</v>
      </c>
      <c r="M40" s="142" t="s">
        <v>133</v>
      </c>
      <c r="N40" s="142" t="s">
        <v>358</v>
      </c>
      <c r="O40" s="79">
        <v>1</v>
      </c>
      <c r="P40" s="2">
        <v>4</v>
      </c>
      <c r="Q40" s="4">
        <v>7</v>
      </c>
      <c r="R40" s="4">
        <v>9</v>
      </c>
      <c r="S40" s="85">
        <v>9</v>
      </c>
      <c r="T40" s="6" t="str">
        <f t="shared" ca="1" si="8"/>
        <v>Low</v>
      </c>
      <c r="U40" s="3" t="str">
        <f t="shared" ca="1" si="9"/>
        <v>Low</v>
      </c>
      <c r="V40" s="3" t="str">
        <f t="shared" ca="1" si="10"/>
        <v>Low</v>
      </c>
      <c r="W40" s="5" t="str">
        <f t="shared" ca="1" si="11"/>
        <v>Low</v>
      </c>
      <c r="X40" s="148" t="s">
        <v>271</v>
      </c>
      <c r="Y40" s="91"/>
      <c r="Z40" s="89"/>
      <c r="AA40" s="15"/>
      <c r="AB40" s="2"/>
      <c r="AC40" s="4"/>
      <c r="AD40" s="4"/>
      <c r="AE40" s="1"/>
      <c r="AF40" s="6" t="str">
        <f t="shared" ca="1" si="12"/>
        <v/>
      </c>
      <c r="AG40" s="3" t="str">
        <f t="shared" ca="1" si="12"/>
        <v/>
      </c>
      <c r="AH40" s="3" t="str">
        <f t="shared" ca="1" si="12"/>
        <v/>
      </c>
      <c r="AI40" s="5" t="str">
        <f t="shared" ca="1" si="12"/>
        <v/>
      </c>
      <c r="AJ40" s="12"/>
      <c r="AK40" s="12"/>
      <c r="AL40" s="12"/>
      <c r="AM40" s="15"/>
      <c r="AN40" s="2"/>
      <c r="AO40" s="4"/>
      <c r="AP40" s="4"/>
      <c r="AQ40" s="1"/>
      <c r="AR40" s="6" t="str">
        <f t="shared" ca="1" si="13"/>
        <v/>
      </c>
      <c r="AS40" s="3" t="str">
        <f t="shared" ca="1" si="13"/>
        <v/>
      </c>
      <c r="AT40" s="3" t="str">
        <f t="shared" ca="1" si="13"/>
        <v/>
      </c>
      <c r="AU40" s="5" t="str">
        <f t="shared" ca="1" si="13"/>
        <v/>
      </c>
      <c r="AV40" s="16"/>
      <c r="AW40" s="133" t="s">
        <v>322</v>
      </c>
    </row>
    <row r="41" spans="2:49" ht="165" x14ac:dyDescent="0.25">
      <c r="B41" s="143" t="s">
        <v>52</v>
      </c>
      <c r="C41" s="142" t="s">
        <v>362</v>
      </c>
      <c r="D41" s="142" t="s">
        <v>53</v>
      </c>
      <c r="E41" s="144">
        <v>2</v>
      </c>
      <c r="F41" s="142" t="s">
        <v>54</v>
      </c>
      <c r="G41" s="142" t="s">
        <v>363</v>
      </c>
      <c r="H41" s="142" t="s">
        <v>364</v>
      </c>
      <c r="I41" s="142" t="s">
        <v>71</v>
      </c>
      <c r="J41" s="142" t="s">
        <v>43</v>
      </c>
      <c r="K41" s="142" t="s">
        <v>86</v>
      </c>
      <c r="L41" s="142" t="s">
        <v>44</v>
      </c>
      <c r="M41" s="142" t="s">
        <v>133</v>
      </c>
      <c r="N41" s="142" t="s">
        <v>358</v>
      </c>
      <c r="O41" s="79">
        <v>1</v>
      </c>
      <c r="P41" s="2">
        <v>4</v>
      </c>
      <c r="Q41" s="4">
        <v>7</v>
      </c>
      <c r="R41" s="4">
        <v>9</v>
      </c>
      <c r="S41" s="85">
        <v>9</v>
      </c>
      <c r="T41" s="6" t="str">
        <f t="shared" ca="1" si="8"/>
        <v>Low</v>
      </c>
      <c r="U41" s="3" t="str">
        <f t="shared" ca="1" si="9"/>
        <v>Low</v>
      </c>
      <c r="V41" s="3" t="str">
        <f t="shared" ca="1" si="10"/>
        <v>Low</v>
      </c>
      <c r="W41" s="5" t="str">
        <f t="shared" ca="1" si="11"/>
        <v>Low</v>
      </c>
      <c r="X41" s="148" t="s">
        <v>260</v>
      </c>
      <c r="Y41" s="91"/>
      <c r="Z41" s="89"/>
      <c r="AA41" s="15"/>
      <c r="AB41" s="2"/>
      <c r="AC41" s="4"/>
      <c r="AD41" s="4"/>
      <c r="AE41" s="1"/>
      <c r="AF41" s="6" t="str">
        <f t="shared" ca="1" si="12"/>
        <v/>
      </c>
      <c r="AG41" s="3" t="str">
        <f t="shared" ca="1" si="12"/>
        <v/>
      </c>
      <c r="AH41" s="3" t="str">
        <f t="shared" ca="1" si="12"/>
        <v/>
      </c>
      <c r="AI41" s="5" t="str">
        <f t="shared" ca="1" si="12"/>
        <v/>
      </c>
      <c r="AJ41" s="12"/>
      <c r="AK41" s="12"/>
      <c r="AL41" s="12"/>
      <c r="AM41" s="15"/>
      <c r="AN41" s="2"/>
      <c r="AO41" s="4"/>
      <c r="AP41" s="4"/>
      <c r="AQ41" s="1"/>
      <c r="AR41" s="6" t="str">
        <f t="shared" ca="1" si="13"/>
        <v/>
      </c>
      <c r="AS41" s="3" t="str">
        <f t="shared" ca="1" si="13"/>
        <v/>
      </c>
      <c r="AT41" s="3" t="str">
        <f t="shared" ca="1" si="13"/>
        <v/>
      </c>
      <c r="AU41" s="5" t="str">
        <f t="shared" ca="1" si="13"/>
        <v/>
      </c>
      <c r="AV41" s="16"/>
      <c r="AW41" s="133" t="s">
        <v>321</v>
      </c>
    </row>
    <row r="42" spans="2:49" ht="150" x14ac:dyDescent="0.25">
      <c r="B42" s="143" t="s">
        <v>207</v>
      </c>
      <c r="C42" s="142" t="s">
        <v>213</v>
      </c>
      <c r="D42" s="142" t="s">
        <v>53</v>
      </c>
      <c r="E42" s="144">
        <v>2</v>
      </c>
      <c r="F42" s="140" t="s">
        <v>359</v>
      </c>
      <c r="G42" s="140" t="s">
        <v>72</v>
      </c>
      <c r="H42" s="142" t="s">
        <v>365</v>
      </c>
      <c r="I42" s="142" t="s">
        <v>150</v>
      </c>
      <c r="J42" s="142" t="s">
        <v>43</v>
      </c>
      <c r="K42" s="142" t="s">
        <v>75</v>
      </c>
      <c r="L42" s="142" t="s">
        <v>44</v>
      </c>
      <c r="M42" s="142" t="s">
        <v>46</v>
      </c>
      <c r="N42" s="142" t="s">
        <v>152</v>
      </c>
      <c r="O42" s="79">
        <v>5</v>
      </c>
      <c r="P42" s="2">
        <v>1</v>
      </c>
      <c r="Q42" s="4">
        <v>1</v>
      </c>
      <c r="R42" s="4">
        <v>7</v>
      </c>
      <c r="S42" s="85">
        <v>7</v>
      </c>
      <c r="T42" s="6" t="str">
        <f t="shared" ca="1" si="8"/>
        <v>Low</v>
      </c>
      <c r="U42" s="3" t="str">
        <f t="shared" ca="1" si="9"/>
        <v>Low</v>
      </c>
      <c r="V42" s="3" t="str">
        <f t="shared" ca="1" si="10"/>
        <v>Med</v>
      </c>
      <c r="W42" s="5" t="str">
        <f t="shared" ca="1" si="11"/>
        <v>Med</v>
      </c>
      <c r="X42" s="148" t="s">
        <v>276</v>
      </c>
      <c r="Y42" s="91"/>
      <c r="Z42" s="89"/>
      <c r="AA42" s="15"/>
      <c r="AB42" s="2"/>
      <c r="AC42" s="4"/>
      <c r="AD42" s="4"/>
      <c r="AE42" s="1"/>
      <c r="AF42" s="6" t="str">
        <f t="shared" ca="1" si="12"/>
        <v/>
      </c>
      <c r="AG42" s="3" t="str">
        <f t="shared" ca="1" si="12"/>
        <v/>
      </c>
      <c r="AH42" s="3" t="str">
        <f t="shared" ca="1" si="12"/>
        <v/>
      </c>
      <c r="AI42" s="5" t="str">
        <f t="shared" ca="1" si="12"/>
        <v/>
      </c>
      <c r="AJ42" s="12"/>
      <c r="AK42" s="12"/>
      <c r="AL42" s="12"/>
      <c r="AM42" s="15"/>
      <c r="AN42" s="2"/>
      <c r="AO42" s="4"/>
      <c r="AP42" s="4"/>
      <c r="AQ42" s="1"/>
      <c r="AR42" s="6" t="str">
        <f t="shared" ca="1" si="13"/>
        <v/>
      </c>
      <c r="AS42" s="3" t="str">
        <f t="shared" ca="1" si="13"/>
        <v/>
      </c>
      <c r="AT42" s="3" t="str">
        <f t="shared" ca="1" si="13"/>
        <v/>
      </c>
      <c r="AU42" s="5" t="str">
        <f t="shared" ca="1" si="13"/>
        <v/>
      </c>
      <c r="AV42" s="16"/>
      <c r="AW42" s="133"/>
    </row>
    <row r="43" spans="2:49" ht="135" x14ac:dyDescent="0.25">
      <c r="B43" s="143" t="s">
        <v>208</v>
      </c>
      <c r="C43" s="142" t="s">
        <v>213</v>
      </c>
      <c r="D43" s="142" t="s">
        <v>53</v>
      </c>
      <c r="E43" s="144">
        <v>2</v>
      </c>
      <c r="F43" s="140" t="s">
        <v>359</v>
      </c>
      <c r="G43" s="140" t="s">
        <v>72</v>
      </c>
      <c r="H43" s="142" t="s">
        <v>365</v>
      </c>
      <c r="I43" s="140" t="s">
        <v>161</v>
      </c>
      <c r="J43" s="142" t="s">
        <v>43</v>
      </c>
      <c r="K43" s="142" t="s">
        <v>75</v>
      </c>
      <c r="L43" s="142" t="s">
        <v>44</v>
      </c>
      <c r="M43" s="142" t="s">
        <v>46</v>
      </c>
      <c r="N43" s="142" t="s">
        <v>152</v>
      </c>
      <c r="O43" s="79">
        <v>4</v>
      </c>
      <c r="P43" s="2">
        <v>1</v>
      </c>
      <c r="Q43" s="4">
        <v>1</v>
      </c>
      <c r="R43" s="4">
        <v>7</v>
      </c>
      <c r="S43" s="85">
        <v>7</v>
      </c>
      <c r="T43" s="6" t="str">
        <f t="shared" ca="1" si="8"/>
        <v>Low</v>
      </c>
      <c r="U43" s="3" t="str">
        <f t="shared" ca="1" si="9"/>
        <v>Low</v>
      </c>
      <c r="V43" s="3" t="str">
        <f t="shared" ca="1" si="10"/>
        <v>Low</v>
      </c>
      <c r="W43" s="5" t="str">
        <f t="shared" ca="1" si="11"/>
        <v>Low</v>
      </c>
      <c r="X43" s="148" t="s">
        <v>293</v>
      </c>
      <c r="Y43" s="91"/>
      <c r="Z43" s="89"/>
      <c r="AA43" s="15"/>
      <c r="AB43" s="2"/>
      <c r="AC43" s="4"/>
      <c r="AD43" s="4"/>
      <c r="AE43" s="1"/>
      <c r="AF43" s="6"/>
      <c r="AG43" s="3"/>
      <c r="AH43" s="3"/>
      <c r="AI43" s="5"/>
      <c r="AJ43" s="12"/>
      <c r="AK43" s="12"/>
      <c r="AL43" s="12"/>
      <c r="AM43" s="15"/>
      <c r="AN43" s="2"/>
      <c r="AO43" s="4"/>
      <c r="AP43" s="4"/>
      <c r="AQ43" s="1"/>
      <c r="AR43" s="6"/>
      <c r="AS43" s="3"/>
      <c r="AT43" s="3"/>
      <c r="AU43" s="5"/>
      <c r="AV43" s="16"/>
      <c r="AW43" s="133"/>
    </row>
    <row r="44" spans="2:49" ht="90" x14ac:dyDescent="0.25">
      <c r="B44" s="143" t="s">
        <v>209</v>
      </c>
      <c r="C44" s="142" t="s">
        <v>213</v>
      </c>
      <c r="D44" s="142" t="s">
        <v>53</v>
      </c>
      <c r="E44" s="144">
        <v>2</v>
      </c>
      <c r="F44" s="140" t="s">
        <v>359</v>
      </c>
      <c r="G44" s="140" t="s">
        <v>72</v>
      </c>
      <c r="H44" s="142" t="s">
        <v>114</v>
      </c>
      <c r="I44" s="140" t="s">
        <v>107</v>
      </c>
      <c r="J44" s="142" t="s">
        <v>43</v>
      </c>
      <c r="K44" s="142" t="s">
        <v>75</v>
      </c>
      <c r="L44" s="142" t="s">
        <v>44</v>
      </c>
      <c r="M44" s="142" t="s">
        <v>46</v>
      </c>
      <c r="N44" s="142" t="s">
        <v>47</v>
      </c>
      <c r="O44" s="117">
        <v>7</v>
      </c>
      <c r="P44" s="2">
        <v>1</v>
      </c>
      <c r="Q44" s="4">
        <v>1</v>
      </c>
      <c r="R44" s="4">
        <v>5</v>
      </c>
      <c r="S44" s="85">
        <v>4</v>
      </c>
      <c r="T44" s="6" t="str">
        <f t="shared" ca="1" si="8"/>
        <v>Low</v>
      </c>
      <c r="U44" s="3" t="str">
        <f t="shared" ca="1" si="9"/>
        <v>Low</v>
      </c>
      <c r="V44" s="3" t="str">
        <f t="shared" ca="1" si="10"/>
        <v>Med</v>
      </c>
      <c r="W44" s="5" t="str">
        <f t="shared" ca="1" si="11"/>
        <v>Low</v>
      </c>
      <c r="X44" s="148" t="s">
        <v>275</v>
      </c>
      <c r="Y44" s="91"/>
      <c r="Z44" s="89"/>
      <c r="AA44" s="15"/>
      <c r="AB44" s="2"/>
      <c r="AC44" s="4"/>
      <c r="AD44" s="4"/>
      <c r="AE44" s="1"/>
      <c r="AF44" s="6"/>
      <c r="AG44" s="3"/>
      <c r="AH44" s="3"/>
      <c r="AI44" s="5"/>
      <c r="AJ44" s="12"/>
      <c r="AK44" s="12"/>
      <c r="AL44" s="12"/>
      <c r="AM44" s="15"/>
      <c r="AN44" s="2"/>
      <c r="AO44" s="4"/>
      <c r="AP44" s="4"/>
      <c r="AQ44" s="1"/>
      <c r="AR44" s="6"/>
      <c r="AS44" s="3"/>
      <c r="AT44" s="3"/>
      <c r="AU44" s="5"/>
      <c r="AV44" s="16"/>
      <c r="AW44" s="133"/>
    </row>
    <row r="45" spans="2:49" ht="135" x14ac:dyDescent="0.25">
      <c r="B45" s="143" t="s">
        <v>206</v>
      </c>
      <c r="C45" s="140" t="s">
        <v>213</v>
      </c>
      <c r="D45" s="140" t="s">
        <v>53</v>
      </c>
      <c r="E45" s="141">
        <v>2</v>
      </c>
      <c r="F45" s="140" t="s">
        <v>359</v>
      </c>
      <c r="G45" s="140" t="s">
        <v>72</v>
      </c>
      <c r="H45" s="142" t="s">
        <v>365</v>
      </c>
      <c r="I45" s="142" t="s">
        <v>68</v>
      </c>
      <c r="J45" s="142" t="s">
        <v>43</v>
      </c>
      <c r="K45" s="142" t="s">
        <v>81</v>
      </c>
      <c r="L45" s="142" t="s">
        <v>44</v>
      </c>
      <c r="M45" s="142" t="s">
        <v>46</v>
      </c>
      <c r="N45" s="142" t="s">
        <v>152</v>
      </c>
      <c r="O45" s="79">
        <v>1</v>
      </c>
      <c r="P45" s="2">
        <v>2</v>
      </c>
      <c r="Q45" s="4">
        <v>1</v>
      </c>
      <c r="R45" s="4">
        <v>7</v>
      </c>
      <c r="S45" s="85">
        <v>7</v>
      </c>
      <c r="T45" s="6" t="str">
        <f t="shared" ca="1" si="8"/>
        <v>Low</v>
      </c>
      <c r="U45" s="3" t="str">
        <f t="shared" ca="1" si="9"/>
        <v>Low</v>
      </c>
      <c r="V45" s="3" t="str">
        <f t="shared" ca="1" si="10"/>
        <v>Low</v>
      </c>
      <c r="W45" s="5" t="str">
        <f t="shared" ca="1" si="11"/>
        <v>Low</v>
      </c>
      <c r="X45" s="148" t="s">
        <v>277</v>
      </c>
      <c r="Y45" s="91"/>
      <c r="Z45" s="89"/>
      <c r="AA45" s="15"/>
      <c r="AB45" s="2"/>
      <c r="AC45" s="4"/>
      <c r="AD45" s="4"/>
      <c r="AE45" s="1"/>
      <c r="AF45" s="6" t="str">
        <f ca="1">IF(AND(ISNUMBER(AB45),ISNUMBER($AA45)),OFFSET(RiskMatrixRef,-$AA45+1,AB45-1),"")</f>
        <v/>
      </c>
      <c r="AG45" s="3" t="str">
        <f ca="1">IF(AND(ISNUMBER(AC45),ISNUMBER($AA45)),OFFSET(RiskMatrixRef,-$AA45+1,AC45-1),"")</f>
        <v/>
      </c>
      <c r="AH45" s="3" t="str">
        <f ca="1">IF(AND(ISNUMBER(AD45),ISNUMBER($AA45)),OFFSET(RiskMatrixRef,-$AA45+1,AD45-1),"")</f>
        <v/>
      </c>
      <c r="AI45" s="5" t="str">
        <f ca="1">IF(AND(ISNUMBER(AE45),ISNUMBER($AA45)),OFFSET(RiskMatrixRef,-$AA45+1,AE45-1),"")</f>
        <v/>
      </c>
      <c r="AJ45" s="12"/>
      <c r="AK45" s="12"/>
      <c r="AL45" s="12"/>
      <c r="AM45" s="15"/>
      <c r="AN45" s="2"/>
      <c r="AO45" s="4"/>
      <c r="AP45" s="4"/>
      <c r="AQ45" s="1"/>
      <c r="AR45" s="6" t="str">
        <f ca="1">IF(AND(ISNUMBER(AN45),ISNUMBER($AM45)),OFFSET(RiskMatrixRef,-$AM45+1,AN45-1),"")</f>
        <v/>
      </c>
      <c r="AS45" s="3" t="str">
        <f ca="1">IF(AND(ISNUMBER(AO45),ISNUMBER($AM45)),OFFSET(RiskMatrixRef,-$AM45+1,AO45-1),"")</f>
        <v/>
      </c>
      <c r="AT45" s="3" t="str">
        <f ca="1">IF(AND(ISNUMBER(AP45),ISNUMBER($AM45)),OFFSET(RiskMatrixRef,-$AM45+1,AP45-1),"")</f>
        <v/>
      </c>
      <c r="AU45" s="5" t="str">
        <f ca="1">IF(AND(ISNUMBER(AQ45),ISNUMBER($AM45)),OFFSET(RiskMatrixRef,-$AM45+1,AQ45-1),"")</f>
        <v/>
      </c>
      <c r="AV45" s="16"/>
      <c r="AW45" s="133"/>
    </row>
    <row r="46" spans="2:49" ht="90" x14ac:dyDescent="0.25">
      <c r="B46" s="143" t="s">
        <v>214</v>
      </c>
      <c r="C46" s="140" t="s">
        <v>213</v>
      </c>
      <c r="D46" s="140" t="s">
        <v>53</v>
      </c>
      <c r="E46" s="141">
        <v>2</v>
      </c>
      <c r="F46" s="140" t="s">
        <v>359</v>
      </c>
      <c r="G46" s="142" t="s">
        <v>72</v>
      </c>
      <c r="H46" s="142" t="s">
        <v>151</v>
      </c>
      <c r="I46" s="142" t="s">
        <v>40</v>
      </c>
      <c r="J46" s="142" t="s">
        <v>43</v>
      </c>
      <c r="K46" s="142" t="s">
        <v>75</v>
      </c>
      <c r="L46" s="142" t="s">
        <v>60</v>
      </c>
      <c r="M46" s="142" t="s">
        <v>46</v>
      </c>
      <c r="N46" s="142" t="s">
        <v>47</v>
      </c>
      <c r="O46" s="82">
        <v>8</v>
      </c>
      <c r="P46" s="83">
        <v>1</v>
      </c>
      <c r="Q46" s="84">
        <v>1</v>
      </c>
      <c r="R46" s="84">
        <v>9</v>
      </c>
      <c r="S46" s="85">
        <v>7</v>
      </c>
      <c r="T46" s="6" t="str">
        <f t="shared" ca="1" si="8"/>
        <v>Low</v>
      </c>
      <c r="U46" s="3" t="str">
        <f t="shared" ca="1" si="9"/>
        <v>Low</v>
      </c>
      <c r="V46" s="3" t="str">
        <f t="shared" ca="1" si="10"/>
        <v>High</v>
      </c>
      <c r="W46" s="5" t="str">
        <f t="shared" ca="1" si="11"/>
        <v>Med</v>
      </c>
      <c r="X46" s="148" t="s">
        <v>278</v>
      </c>
      <c r="Y46" s="91"/>
      <c r="Z46" s="89"/>
      <c r="AA46" s="15"/>
      <c r="AB46" s="2"/>
      <c r="AC46" s="4"/>
      <c r="AD46" s="4"/>
      <c r="AE46" s="1"/>
      <c r="AF46" s="6"/>
      <c r="AG46" s="3"/>
      <c r="AH46" s="3"/>
      <c r="AI46" s="5"/>
      <c r="AJ46" s="12"/>
      <c r="AK46" s="12"/>
      <c r="AL46" s="12"/>
      <c r="AM46" s="15"/>
      <c r="AN46" s="2"/>
      <c r="AO46" s="4"/>
      <c r="AP46" s="4"/>
      <c r="AQ46" s="1"/>
      <c r="AR46" s="6"/>
      <c r="AS46" s="3"/>
      <c r="AT46" s="3"/>
      <c r="AU46" s="5"/>
      <c r="AV46" s="16"/>
      <c r="AW46" s="133"/>
    </row>
    <row r="47" spans="2:49" ht="90" x14ac:dyDescent="0.25">
      <c r="B47" s="143" t="s">
        <v>212</v>
      </c>
      <c r="C47" s="140" t="s">
        <v>213</v>
      </c>
      <c r="D47" s="140" t="s">
        <v>53</v>
      </c>
      <c r="E47" s="141">
        <v>2</v>
      </c>
      <c r="F47" s="140" t="s">
        <v>359</v>
      </c>
      <c r="G47" s="140" t="s">
        <v>72</v>
      </c>
      <c r="H47" s="142" t="s">
        <v>151</v>
      </c>
      <c r="I47" s="142" t="s">
        <v>71</v>
      </c>
      <c r="J47" s="142" t="s">
        <v>43</v>
      </c>
      <c r="K47" s="142" t="s">
        <v>82</v>
      </c>
      <c r="L47" s="142" t="s">
        <v>44</v>
      </c>
      <c r="M47" s="142" t="s">
        <v>46</v>
      </c>
      <c r="N47" s="142" t="s">
        <v>47</v>
      </c>
      <c r="O47" s="79">
        <v>1</v>
      </c>
      <c r="P47" s="2">
        <v>1</v>
      </c>
      <c r="Q47" s="4">
        <v>1</v>
      </c>
      <c r="R47" s="4">
        <v>5</v>
      </c>
      <c r="S47" s="85">
        <v>4</v>
      </c>
      <c r="T47" s="6" t="str">
        <f t="shared" ca="1" si="8"/>
        <v>Low</v>
      </c>
      <c r="U47" s="3" t="str">
        <f t="shared" ca="1" si="9"/>
        <v>Low</v>
      </c>
      <c r="V47" s="3" t="str">
        <f t="shared" ca="1" si="10"/>
        <v>Low</v>
      </c>
      <c r="W47" s="5" t="str">
        <f t="shared" ca="1" si="11"/>
        <v>Low</v>
      </c>
      <c r="X47" s="148" t="s">
        <v>268</v>
      </c>
      <c r="Y47" s="91"/>
      <c r="Z47" s="89"/>
      <c r="AA47" s="15"/>
      <c r="AB47" s="2"/>
      <c r="AC47" s="4"/>
      <c r="AD47" s="4"/>
      <c r="AE47" s="1"/>
      <c r="AF47" s="6"/>
      <c r="AG47" s="3"/>
      <c r="AH47" s="3"/>
      <c r="AI47" s="5"/>
      <c r="AJ47" s="12"/>
      <c r="AK47" s="12"/>
      <c r="AL47" s="12"/>
      <c r="AM47" s="15"/>
      <c r="AN47" s="2"/>
      <c r="AO47" s="4"/>
      <c r="AP47" s="4"/>
      <c r="AQ47" s="1"/>
      <c r="AR47" s="6"/>
      <c r="AS47" s="3"/>
      <c r="AT47" s="3"/>
      <c r="AU47" s="5"/>
      <c r="AV47" s="16"/>
      <c r="AW47" s="133"/>
    </row>
    <row r="48" spans="2:49" ht="90" x14ac:dyDescent="0.25">
      <c r="B48" s="143" t="s">
        <v>210</v>
      </c>
      <c r="C48" s="140" t="s">
        <v>213</v>
      </c>
      <c r="D48" s="140" t="s">
        <v>53</v>
      </c>
      <c r="E48" s="141">
        <v>2</v>
      </c>
      <c r="F48" s="140" t="s">
        <v>359</v>
      </c>
      <c r="G48" s="140" t="s">
        <v>72</v>
      </c>
      <c r="H48" s="142" t="s">
        <v>151</v>
      </c>
      <c r="I48" s="142" t="s">
        <v>109</v>
      </c>
      <c r="J48" s="142" t="s">
        <v>43</v>
      </c>
      <c r="K48" s="142" t="s">
        <v>75</v>
      </c>
      <c r="L48" s="142" t="s">
        <v>60</v>
      </c>
      <c r="M48" s="142" t="s">
        <v>46</v>
      </c>
      <c r="N48" s="142" t="s">
        <v>47</v>
      </c>
      <c r="O48" s="79">
        <v>7</v>
      </c>
      <c r="P48" s="2">
        <v>1</v>
      </c>
      <c r="Q48" s="4">
        <v>1</v>
      </c>
      <c r="R48" s="4">
        <v>5</v>
      </c>
      <c r="S48" s="85">
        <v>4</v>
      </c>
      <c r="T48" s="6" t="str">
        <f t="shared" ca="1" si="8"/>
        <v>Low</v>
      </c>
      <c r="U48" s="3" t="str">
        <f t="shared" ca="1" si="9"/>
        <v>Low</v>
      </c>
      <c r="V48" s="3" t="str">
        <f t="shared" ca="1" si="10"/>
        <v>Med</v>
      </c>
      <c r="W48" s="5" t="str">
        <f t="shared" ca="1" si="11"/>
        <v>Low</v>
      </c>
      <c r="X48" s="148" t="s">
        <v>44</v>
      </c>
      <c r="Y48" s="91"/>
      <c r="Z48" s="89"/>
      <c r="AA48" s="15"/>
      <c r="AB48" s="2"/>
      <c r="AC48" s="4"/>
      <c r="AD48" s="4"/>
      <c r="AE48" s="1"/>
      <c r="AF48" s="6"/>
      <c r="AG48" s="3"/>
      <c r="AH48" s="3"/>
      <c r="AI48" s="5"/>
      <c r="AJ48" s="12"/>
      <c r="AK48" s="12"/>
      <c r="AL48" s="12"/>
      <c r="AM48" s="15"/>
      <c r="AN48" s="2"/>
      <c r="AO48" s="4"/>
      <c r="AP48" s="4"/>
      <c r="AQ48" s="1"/>
      <c r="AR48" s="6"/>
      <c r="AS48" s="3"/>
      <c r="AT48" s="3"/>
      <c r="AU48" s="5"/>
      <c r="AV48" s="16"/>
      <c r="AW48" s="133" t="s">
        <v>266</v>
      </c>
    </row>
    <row r="49" spans="2:49" ht="90" x14ac:dyDescent="0.25">
      <c r="B49" s="143" t="s">
        <v>211</v>
      </c>
      <c r="C49" s="140" t="s">
        <v>213</v>
      </c>
      <c r="D49" s="140" t="s">
        <v>53</v>
      </c>
      <c r="E49" s="141">
        <v>2</v>
      </c>
      <c r="F49" s="140" t="s">
        <v>359</v>
      </c>
      <c r="G49" s="140" t="s">
        <v>72</v>
      </c>
      <c r="H49" s="142" t="s">
        <v>151</v>
      </c>
      <c r="I49" s="140" t="s">
        <v>110</v>
      </c>
      <c r="J49" s="142" t="s">
        <v>43</v>
      </c>
      <c r="K49" s="142" t="s">
        <v>75</v>
      </c>
      <c r="L49" s="142" t="s">
        <v>60</v>
      </c>
      <c r="M49" s="142" t="s">
        <v>46</v>
      </c>
      <c r="N49" s="142" t="s">
        <v>47</v>
      </c>
      <c r="O49" s="79">
        <v>7</v>
      </c>
      <c r="P49" s="2">
        <v>1</v>
      </c>
      <c r="Q49" s="4">
        <v>1</v>
      </c>
      <c r="R49" s="4">
        <v>5</v>
      </c>
      <c r="S49" s="85">
        <v>4</v>
      </c>
      <c r="T49" s="6" t="str">
        <f t="shared" ca="1" si="8"/>
        <v>Low</v>
      </c>
      <c r="U49" s="3" t="str">
        <f t="shared" ca="1" si="9"/>
        <v>Low</v>
      </c>
      <c r="V49" s="3" t="str">
        <f t="shared" ca="1" si="10"/>
        <v>Med</v>
      </c>
      <c r="W49" s="5" t="str">
        <f t="shared" ca="1" si="11"/>
        <v>Low</v>
      </c>
      <c r="X49" s="148" t="s">
        <v>44</v>
      </c>
      <c r="Y49" s="91"/>
      <c r="Z49" s="89"/>
      <c r="AA49" s="15"/>
      <c r="AB49" s="2"/>
      <c r="AC49" s="4"/>
      <c r="AD49" s="4"/>
      <c r="AE49" s="1"/>
      <c r="AF49" s="6"/>
      <c r="AG49" s="3"/>
      <c r="AH49" s="3"/>
      <c r="AI49" s="5"/>
      <c r="AJ49" s="12"/>
      <c r="AK49" s="12"/>
      <c r="AL49" s="12"/>
      <c r="AM49" s="15"/>
      <c r="AN49" s="2"/>
      <c r="AO49" s="4"/>
      <c r="AP49" s="4"/>
      <c r="AQ49" s="1"/>
      <c r="AR49" s="6"/>
      <c r="AS49" s="3"/>
      <c r="AT49" s="3"/>
      <c r="AU49" s="5"/>
      <c r="AV49" s="16"/>
      <c r="AW49" s="133" t="s">
        <v>267</v>
      </c>
    </row>
    <row r="50" spans="2:49" ht="150" x14ac:dyDescent="0.25">
      <c r="B50" s="143" t="s">
        <v>216</v>
      </c>
      <c r="C50" s="140" t="s">
        <v>279</v>
      </c>
      <c r="D50" s="132" t="s">
        <v>221</v>
      </c>
      <c r="E50" s="141">
        <v>2</v>
      </c>
      <c r="F50" s="140" t="s">
        <v>359</v>
      </c>
      <c r="G50" s="142" t="s">
        <v>116</v>
      </c>
      <c r="H50" s="142" t="s">
        <v>365</v>
      </c>
      <c r="I50" s="142" t="s">
        <v>150</v>
      </c>
      <c r="J50" s="142" t="s">
        <v>43</v>
      </c>
      <c r="K50" s="142" t="s">
        <v>59</v>
      </c>
      <c r="L50" s="142" t="s">
        <v>44</v>
      </c>
      <c r="M50" s="142" t="s">
        <v>46</v>
      </c>
      <c r="N50" s="142" t="s">
        <v>152</v>
      </c>
      <c r="O50" s="79">
        <v>5</v>
      </c>
      <c r="P50" s="2">
        <v>1</v>
      </c>
      <c r="Q50" s="4">
        <v>1</v>
      </c>
      <c r="R50" s="4">
        <v>7</v>
      </c>
      <c r="S50" s="85">
        <v>7</v>
      </c>
      <c r="T50" s="6" t="str">
        <f t="shared" ca="1" si="8"/>
        <v>Low</v>
      </c>
      <c r="U50" s="3" t="str">
        <f t="shared" ca="1" si="9"/>
        <v>Low</v>
      </c>
      <c r="V50" s="3" t="str">
        <f t="shared" ca="1" si="10"/>
        <v>Med</v>
      </c>
      <c r="W50" s="5" t="str">
        <f t="shared" ca="1" si="11"/>
        <v>Med</v>
      </c>
      <c r="X50" s="148" t="s">
        <v>276</v>
      </c>
      <c r="Y50" s="91"/>
      <c r="Z50" s="89"/>
      <c r="AA50" s="15"/>
      <c r="AB50" s="2"/>
      <c r="AC50" s="4"/>
      <c r="AD50" s="4"/>
      <c r="AE50" s="1"/>
      <c r="AF50" s="6" t="str">
        <f ca="1">IF(AND(ISNUMBER(AB50),ISNUMBER($AA50)),OFFSET(RiskMatrixRef,-$AA50+1,AB50-1),"")</f>
        <v/>
      </c>
      <c r="AG50" s="3" t="str">
        <f ca="1">IF(AND(ISNUMBER(AC50),ISNUMBER($AA50)),OFFSET(RiskMatrixRef,-$AA50+1,AC50-1),"")</f>
        <v/>
      </c>
      <c r="AH50" s="3" t="str">
        <f ca="1">IF(AND(ISNUMBER(AD50),ISNUMBER($AA50)),OFFSET(RiskMatrixRef,-$AA50+1,AD50-1),"")</f>
        <v/>
      </c>
      <c r="AI50" s="5" t="str">
        <f ca="1">IF(AND(ISNUMBER(AE50),ISNUMBER($AA50)),OFFSET(RiskMatrixRef,-$AA50+1,AE50-1),"")</f>
        <v/>
      </c>
      <c r="AJ50" s="12"/>
      <c r="AK50" s="12"/>
      <c r="AL50" s="12"/>
      <c r="AM50" s="15"/>
      <c r="AN50" s="2"/>
      <c r="AO50" s="4"/>
      <c r="AP50" s="4"/>
      <c r="AQ50" s="1"/>
      <c r="AR50" s="6" t="str">
        <f ca="1">IF(AND(ISNUMBER(AN50),ISNUMBER($AM50)),OFFSET(RiskMatrixRef,-$AM50+1,AN50-1),"")</f>
        <v/>
      </c>
      <c r="AS50" s="3" t="str">
        <f ca="1">IF(AND(ISNUMBER(AO50),ISNUMBER($AM50)),OFFSET(RiskMatrixRef,-$AM50+1,AO50-1),"")</f>
        <v/>
      </c>
      <c r="AT50" s="3" t="str">
        <f ca="1">IF(AND(ISNUMBER(AP50),ISNUMBER($AM50)),OFFSET(RiskMatrixRef,-$AM50+1,AP50-1),"")</f>
        <v/>
      </c>
      <c r="AU50" s="5" t="str">
        <f ca="1">IF(AND(ISNUMBER(AQ50),ISNUMBER($AM50)),OFFSET(RiskMatrixRef,-$AM50+1,AQ50-1),"")</f>
        <v/>
      </c>
      <c r="AV50" s="16"/>
      <c r="AW50" s="133"/>
    </row>
    <row r="51" spans="2:49" ht="135" x14ac:dyDescent="0.25">
      <c r="B51" s="143" t="s">
        <v>217</v>
      </c>
      <c r="C51" s="140" t="s">
        <v>279</v>
      </c>
      <c r="D51" s="133" t="s">
        <v>221</v>
      </c>
      <c r="E51" s="144">
        <v>2</v>
      </c>
      <c r="F51" s="140" t="s">
        <v>359</v>
      </c>
      <c r="G51" s="142" t="s">
        <v>116</v>
      </c>
      <c r="H51" s="142" t="s">
        <v>365</v>
      </c>
      <c r="I51" s="142" t="s">
        <v>161</v>
      </c>
      <c r="J51" s="142" t="s">
        <v>43</v>
      </c>
      <c r="K51" s="142" t="s">
        <v>59</v>
      </c>
      <c r="L51" s="142" t="s">
        <v>44</v>
      </c>
      <c r="M51" s="142" t="s">
        <v>46</v>
      </c>
      <c r="N51" s="142" t="s">
        <v>152</v>
      </c>
      <c r="O51" s="79">
        <v>4</v>
      </c>
      <c r="P51" s="2">
        <v>1</v>
      </c>
      <c r="Q51" s="4">
        <v>1</v>
      </c>
      <c r="R51" s="4">
        <v>7</v>
      </c>
      <c r="S51" s="85">
        <v>7</v>
      </c>
      <c r="T51" s="6" t="str">
        <f t="shared" ca="1" si="8"/>
        <v>Low</v>
      </c>
      <c r="U51" s="3" t="str">
        <f t="shared" ca="1" si="9"/>
        <v>Low</v>
      </c>
      <c r="V51" s="3" t="str">
        <f t="shared" ca="1" si="10"/>
        <v>Low</v>
      </c>
      <c r="W51" s="5" t="str">
        <f t="shared" ca="1" si="11"/>
        <v>Low</v>
      </c>
      <c r="X51" s="148" t="s">
        <v>293</v>
      </c>
      <c r="Y51" s="91"/>
      <c r="Z51" s="89"/>
      <c r="AA51" s="15"/>
      <c r="AB51" s="2"/>
      <c r="AC51" s="4"/>
      <c r="AD51" s="4"/>
      <c r="AE51" s="1"/>
      <c r="AF51" s="6"/>
      <c r="AG51" s="3"/>
      <c r="AH51" s="3"/>
      <c r="AI51" s="5"/>
      <c r="AJ51" s="12"/>
      <c r="AK51" s="12"/>
      <c r="AL51" s="12"/>
      <c r="AM51" s="15"/>
      <c r="AN51" s="2"/>
      <c r="AO51" s="4"/>
      <c r="AP51" s="4"/>
      <c r="AQ51" s="1"/>
      <c r="AR51" s="6"/>
      <c r="AS51" s="3"/>
      <c r="AT51" s="3"/>
      <c r="AU51" s="5"/>
      <c r="AV51" s="16"/>
      <c r="AW51" s="133"/>
    </row>
    <row r="52" spans="2:49" ht="90" x14ac:dyDescent="0.25">
      <c r="B52" s="143" t="s">
        <v>218</v>
      </c>
      <c r="C52" s="140" t="s">
        <v>279</v>
      </c>
      <c r="D52" s="133" t="s">
        <v>221</v>
      </c>
      <c r="E52" s="144">
        <v>2</v>
      </c>
      <c r="F52" s="140" t="s">
        <v>359</v>
      </c>
      <c r="G52" s="142" t="s">
        <v>117</v>
      </c>
      <c r="H52" s="142" t="s">
        <v>151</v>
      </c>
      <c r="I52" s="142" t="s">
        <v>107</v>
      </c>
      <c r="J52" s="142" t="s">
        <v>43</v>
      </c>
      <c r="K52" s="142" t="s">
        <v>59</v>
      </c>
      <c r="L52" s="142" t="s">
        <v>60</v>
      </c>
      <c r="M52" s="142" t="s">
        <v>46</v>
      </c>
      <c r="N52" s="142"/>
      <c r="O52" s="117">
        <v>7</v>
      </c>
      <c r="P52" s="2">
        <v>1</v>
      </c>
      <c r="Q52" s="4">
        <v>1</v>
      </c>
      <c r="R52" s="4">
        <v>5</v>
      </c>
      <c r="S52" s="85">
        <v>4</v>
      </c>
      <c r="T52" s="6" t="str">
        <f t="shared" ca="1" si="8"/>
        <v>Low</v>
      </c>
      <c r="U52" s="3" t="str">
        <f t="shared" ca="1" si="9"/>
        <v>Low</v>
      </c>
      <c r="V52" s="3" t="str">
        <f t="shared" ca="1" si="10"/>
        <v>Med</v>
      </c>
      <c r="W52" s="5" t="str">
        <f t="shared" ca="1" si="11"/>
        <v>Low</v>
      </c>
      <c r="X52" s="148" t="s">
        <v>275</v>
      </c>
      <c r="Y52" s="91"/>
      <c r="Z52" s="89"/>
      <c r="AA52" s="15"/>
      <c r="AB52" s="2"/>
      <c r="AC52" s="4"/>
      <c r="AD52" s="4"/>
      <c r="AE52" s="1"/>
      <c r="AF52" s="6"/>
      <c r="AG52" s="3"/>
      <c r="AH52" s="3"/>
      <c r="AI52" s="5"/>
      <c r="AJ52" s="12"/>
      <c r="AK52" s="12"/>
      <c r="AL52" s="12"/>
      <c r="AM52" s="15"/>
      <c r="AN52" s="2"/>
      <c r="AO52" s="4"/>
      <c r="AP52" s="4"/>
      <c r="AQ52" s="1"/>
      <c r="AR52" s="6"/>
      <c r="AS52" s="3"/>
      <c r="AT52" s="3"/>
      <c r="AU52" s="5"/>
      <c r="AV52" s="16"/>
      <c r="AW52" s="133"/>
    </row>
    <row r="53" spans="2:49" ht="135" x14ac:dyDescent="0.25">
      <c r="B53" s="143" t="s">
        <v>215</v>
      </c>
      <c r="C53" s="140" t="s">
        <v>279</v>
      </c>
      <c r="D53" s="133" t="s">
        <v>221</v>
      </c>
      <c r="E53" s="144">
        <v>2</v>
      </c>
      <c r="F53" s="140" t="s">
        <v>359</v>
      </c>
      <c r="G53" s="142" t="s">
        <v>116</v>
      </c>
      <c r="H53" s="142" t="s">
        <v>365</v>
      </c>
      <c r="I53" s="142" t="s">
        <v>68</v>
      </c>
      <c r="J53" s="142" t="s">
        <v>43</v>
      </c>
      <c r="K53" s="142" t="s">
        <v>81</v>
      </c>
      <c r="L53" s="142" t="s">
        <v>44</v>
      </c>
      <c r="M53" s="142" t="s">
        <v>46</v>
      </c>
      <c r="N53" s="142" t="s">
        <v>152</v>
      </c>
      <c r="O53" s="79">
        <v>1</v>
      </c>
      <c r="P53" s="2">
        <v>2</v>
      </c>
      <c r="Q53" s="4">
        <v>1</v>
      </c>
      <c r="R53" s="4">
        <v>7</v>
      </c>
      <c r="S53" s="85">
        <v>7</v>
      </c>
      <c r="T53" s="6" t="str">
        <f t="shared" ca="1" si="8"/>
        <v>Low</v>
      </c>
      <c r="U53" s="3" t="str">
        <f t="shared" ca="1" si="9"/>
        <v>Low</v>
      </c>
      <c r="V53" s="3" t="str">
        <f t="shared" ca="1" si="10"/>
        <v>Low</v>
      </c>
      <c r="W53" s="5" t="str">
        <f t="shared" ca="1" si="11"/>
        <v>Low</v>
      </c>
      <c r="X53" s="148" t="s">
        <v>277</v>
      </c>
      <c r="Y53" s="91"/>
      <c r="Z53" s="89"/>
      <c r="AA53" s="15"/>
      <c r="AB53" s="2"/>
      <c r="AC53" s="4"/>
      <c r="AD53" s="4"/>
      <c r="AE53" s="1"/>
      <c r="AF53" s="6" t="str">
        <f t="shared" ref="AF53:AI55" ca="1" si="14">IF(AND(ISNUMBER(AB53),ISNUMBER($AA53)),OFFSET(RiskMatrixRef,-$AA53+1,AB53-1),"")</f>
        <v/>
      </c>
      <c r="AG53" s="3" t="str">
        <f t="shared" ca="1" si="14"/>
        <v/>
      </c>
      <c r="AH53" s="3" t="str">
        <f t="shared" ca="1" si="14"/>
        <v/>
      </c>
      <c r="AI53" s="5" t="str">
        <f t="shared" ca="1" si="14"/>
        <v/>
      </c>
      <c r="AJ53" s="12"/>
      <c r="AK53" s="12"/>
      <c r="AL53" s="12"/>
      <c r="AM53" s="15"/>
      <c r="AN53" s="2"/>
      <c r="AO53" s="4"/>
      <c r="AP53" s="4"/>
      <c r="AQ53" s="1"/>
      <c r="AR53" s="6" t="str">
        <f t="shared" ref="AR53:AU55" ca="1" si="15">IF(AND(ISNUMBER(AN53),ISNUMBER($AM53)),OFFSET(RiskMatrixRef,-$AM53+1,AN53-1),"")</f>
        <v/>
      </c>
      <c r="AS53" s="3" t="str">
        <f t="shared" ca="1" si="15"/>
        <v/>
      </c>
      <c r="AT53" s="3" t="str">
        <f t="shared" ca="1" si="15"/>
        <v/>
      </c>
      <c r="AU53" s="5" t="str">
        <f t="shared" ca="1" si="15"/>
        <v/>
      </c>
      <c r="AV53" s="16"/>
      <c r="AW53" s="133"/>
    </row>
    <row r="54" spans="2:49" ht="90" x14ac:dyDescent="0.25">
      <c r="B54" s="143" t="s">
        <v>219</v>
      </c>
      <c r="C54" s="140" t="s">
        <v>279</v>
      </c>
      <c r="D54" s="133" t="s">
        <v>221</v>
      </c>
      <c r="E54" s="144">
        <v>2</v>
      </c>
      <c r="F54" s="140" t="s">
        <v>359</v>
      </c>
      <c r="G54" s="142" t="s">
        <v>280</v>
      </c>
      <c r="H54" s="142" t="s">
        <v>151</v>
      </c>
      <c r="I54" s="142" t="s">
        <v>71</v>
      </c>
      <c r="J54" s="142" t="s">
        <v>43</v>
      </c>
      <c r="K54" s="142" t="s">
        <v>82</v>
      </c>
      <c r="L54" s="142" t="s">
        <v>44</v>
      </c>
      <c r="M54" s="142" t="s">
        <v>46</v>
      </c>
      <c r="N54" s="142" t="s">
        <v>47</v>
      </c>
      <c r="O54" s="79">
        <v>1</v>
      </c>
      <c r="P54" s="2">
        <v>1</v>
      </c>
      <c r="Q54" s="4">
        <v>1</v>
      </c>
      <c r="R54" s="4">
        <v>5</v>
      </c>
      <c r="S54" s="85">
        <v>4</v>
      </c>
      <c r="T54" s="6" t="str">
        <f t="shared" ca="1" si="8"/>
        <v>Low</v>
      </c>
      <c r="U54" s="3" t="str">
        <f t="shared" ca="1" si="9"/>
        <v>Low</v>
      </c>
      <c r="V54" s="3" t="str">
        <f t="shared" ca="1" si="10"/>
        <v>Low</v>
      </c>
      <c r="W54" s="5" t="str">
        <f t="shared" ca="1" si="11"/>
        <v>Low</v>
      </c>
      <c r="X54" s="148" t="s">
        <v>268</v>
      </c>
      <c r="Y54" s="91"/>
      <c r="Z54" s="89"/>
      <c r="AA54" s="15"/>
      <c r="AB54" s="2"/>
      <c r="AC54" s="4"/>
      <c r="AD54" s="4"/>
      <c r="AE54" s="1"/>
      <c r="AF54" s="6" t="str">
        <f t="shared" ca="1" si="14"/>
        <v/>
      </c>
      <c r="AG54" s="3" t="str">
        <f t="shared" ca="1" si="14"/>
        <v/>
      </c>
      <c r="AH54" s="3" t="str">
        <f t="shared" ca="1" si="14"/>
        <v/>
      </c>
      <c r="AI54" s="5" t="str">
        <f t="shared" ca="1" si="14"/>
        <v/>
      </c>
      <c r="AJ54" s="12"/>
      <c r="AK54" s="12"/>
      <c r="AL54" s="12"/>
      <c r="AM54" s="15"/>
      <c r="AN54" s="2"/>
      <c r="AO54" s="4"/>
      <c r="AP54" s="4"/>
      <c r="AQ54" s="1"/>
      <c r="AR54" s="6" t="str">
        <f t="shared" ca="1" si="15"/>
        <v/>
      </c>
      <c r="AS54" s="3" t="str">
        <f t="shared" ca="1" si="15"/>
        <v/>
      </c>
      <c r="AT54" s="3" t="str">
        <f t="shared" ca="1" si="15"/>
        <v/>
      </c>
      <c r="AU54" s="5" t="str">
        <f t="shared" ca="1" si="15"/>
        <v/>
      </c>
      <c r="AV54" s="16"/>
      <c r="AW54" s="133"/>
    </row>
    <row r="55" spans="2:49" ht="90" x14ac:dyDescent="0.25">
      <c r="B55" s="143" t="s">
        <v>220</v>
      </c>
      <c r="C55" s="140" t="s">
        <v>279</v>
      </c>
      <c r="D55" s="133" t="s">
        <v>221</v>
      </c>
      <c r="E55" s="144">
        <v>2</v>
      </c>
      <c r="F55" s="140" t="s">
        <v>359</v>
      </c>
      <c r="G55" s="142" t="s">
        <v>282</v>
      </c>
      <c r="H55" s="142" t="s">
        <v>151</v>
      </c>
      <c r="I55" s="142" t="s">
        <v>108</v>
      </c>
      <c r="J55" s="142" t="s">
        <v>43</v>
      </c>
      <c r="K55" s="142" t="s">
        <v>283</v>
      </c>
      <c r="L55" s="142" t="s">
        <v>60</v>
      </c>
      <c r="M55" s="142" t="s">
        <v>46</v>
      </c>
      <c r="N55" s="142" t="s">
        <v>47</v>
      </c>
      <c r="O55" s="82">
        <v>7</v>
      </c>
      <c r="P55" s="2">
        <v>1</v>
      </c>
      <c r="Q55" s="4">
        <v>1</v>
      </c>
      <c r="R55" s="4">
        <v>5</v>
      </c>
      <c r="S55" s="85">
        <v>4</v>
      </c>
      <c r="T55" s="6" t="str">
        <f t="shared" ca="1" si="8"/>
        <v>Low</v>
      </c>
      <c r="U55" s="3" t="str">
        <f t="shared" ca="1" si="9"/>
        <v>Low</v>
      </c>
      <c r="V55" s="3" t="str">
        <f t="shared" ca="1" si="10"/>
        <v>Med</v>
      </c>
      <c r="W55" s="5" t="str">
        <f t="shared" ca="1" si="11"/>
        <v>Low</v>
      </c>
      <c r="X55" s="148" t="s">
        <v>182</v>
      </c>
      <c r="Y55" s="91"/>
      <c r="Z55" s="89"/>
      <c r="AA55" s="15"/>
      <c r="AB55" s="2"/>
      <c r="AC55" s="4"/>
      <c r="AD55" s="4"/>
      <c r="AE55" s="1"/>
      <c r="AF55" s="6" t="str">
        <f t="shared" ca="1" si="14"/>
        <v/>
      </c>
      <c r="AG55" s="3" t="str">
        <f t="shared" ca="1" si="14"/>
        <v/>
      </c>
      <c r="AH55" s="3" t="str">
        <f t="shared" ca="1" si="14"/>
        <v/>
      </c>
      <c r="AI55" s="5" t="str">
        <f t="shared" ca="1" si="14"/>
        <v/>
      </c>
      <c r="AJ55" s="12"/>
      <c r="AK55" s="12"/>
      <c r="AL55" s="12"/>
      <c r="AM55" s="15"/>
      <c r="AN55" s="2"/>
      <c r="AO55" s="4"/>
      <c r="AP55" s="4"/>
      <c r="AQ55" s="1"/>
      <c r="AR55" s="6" t="str">
        <f t="shared" ca="1" si="15"/>
        <v/>
      </c>
      <c r="AS55" s="3" t="str">
        <f t="shared" ca="1" si="15"/>
        <v/>
      </c>
      <c r="AT55" s="3" t="str">
        <f t="shared" ca="1" si="15"/>
        <v/>
      </c>
      <c r="AU55" s="5" t="str">
        <f t="shared" ca="1" si="15"/>
        <v/>
      </c>
      <c r="AV55" s="16"/>
      <c r="AW55" s="133"/>
    </row>
    <row r="56" spans="2:49" ht="180" x14ac:dyDescent="0.25">
      <c r="B56" s="143" t="s">
        <v>233</v>
      </c>
      <c r="C56" s="142" t="s">
        <v>153</v>
      </c>
      <c r="D56" s="133" t="s">
        <v>284</v>
      </c>
      <c r="E56" s="144">
        <v>2</v>
      </c>
      <c r="F56" s="140" t="s">
        <v>54</v>
      </c>
      <c r="G56" s="140" t="s">
        <v>281</v>
      </c>
      <c r="H56" s="142" t="s">
        <v>366</v>
      </c>
      <c r="I56" s="140" t="s">
        <v>150</v>
      </c>
      <c r="J56" s="142" t="s">
        <v>43</v>
      </c>
      <c r="K56" s="142" t="s">
        <v>44</v>
      </c>
      <c r="L56" s="142" t="s">
        <v>44</v>
      </c>
      <c r="M56" s="142" t="s">
        <v>307</v>
      </c>
      <c r="N56" s="142" t="s">
        <v>87</v>
      </c>
      <c r="O56" s="79">
        <v>5</v>
      </c>
      <c r="P56" s="2">
        <v>1</v>
      </c>
      <c r="Q56" s="4">
        <v>1</v>
      </c>
      <c r="R56" s="4">
        <v>9</v>
      </c>
      <c r="S56" s="85">
        <v>7</v>
      </c>
      <c r="T56" s="6" t="str">
        <f t="shared" ca="1" si="8"/>
        <v>Low</v>
      </c>
      <c r="U56" s="3" t="str">
        <f t="shared" ca="1" si="9"/>
        <v>Low</v>
      </c>
      <c r="V56" s="3" t="str">
        <f t="shared" ca="1" si="10"/>
        <v>Med</v>
      </c>
      <c r="W56" s="5" t="str">
        <f t="shared" ca="1" si="11"/>
        <v>Med</v>
      </c>
      <c r="X56" s="148" t="s">
        <v>287</v>
      </c>
      <c r="Y56" s="91"/>
      <c r="Z56" s="89"/>
      <c r="AA56" s="15"/>
      <c r="AB56" s="2"/>
      <c r="AC56" s="4"/>
      <c r="AD56" s="4"/>
      <c r="AE56" s="1"/>
      <c r="AF56" s="6"/>
      <c r="AG56" s="3"/>
      <c r="AH56" s="3"/>
      <c r="AI56" s="5"/>
      <c r="AJ56" s="12"/>
      <c r="AK56" s="12"/>
      <c r="AL56" s="12"/>
      <c r="AM56" s="15"/>
      <c r="AN56" s="2"/>
      <c r="AO56" s="4"/>
      <c r="AP56" s="4"/>
      <c r="AQ56" s="1"/>
      <c r="AR56" s="6"/>
      <c r="AS56" s="3"/>
      <c r="AT56" s="3"/>
      <c r="AU56" s="5"/>
      <c r="AV56" s="16"/>
      <c r="AW56" s="133"/>
    </row>
    <row r="57" spans="2:49" ht="135" x14ac:dyDescent="0.25">
      <c r="B57" s="143" t="s">
        <v>232</v>
      </c>
      <c r="C57" s="142" t="s">
        <v>153</v>
      </c>
      <c r="D57" s="133" t="s">
        <v>284</v>
      </c>
      <c r="E57" s="144">
        <v>2</v>
      </c>
      <c r="F57" s="140" t="s">
        <v>54</v>
      </c>
      <c r="G57" s="140" t="s">
        <v>281</v>
      </c>
      <c r="H57" s="142" t="s">
        <v>366</v>
      </c>
      <c r="I57" s="142" t="s">
        <v>161</v>
      </c>
      <c r="J57" s="142" t="s">
        <v>43</v>
      </c>
      <c r="K57" s="142" t="s">
        <v>44</v>
      </c>
      <c r="L57" s="142" t="s">
        <v>44</v>
      </c>
      <c r="M57" s="142" t="s">
        <v>307</v>
      </c>
      <c r="N57" s="142" t="s">
        <v>87</v>
      </c>
      <c r="O57" s="79">
        <v>4</v>
      </c>
      <c r="P57" s="2">
        <v>1</v>
      </c>
      <c r="Q57" s="4">
        <v>1</v>
      </c>
      <c r="R57" s="4">
        <v>9</v>
      </c>
      <c r="S57" s="85">
        <v>7</v>
      </c>
      <c r="T57" s="6" t="str">
        <f t="shared" ca="1" si="8"/>
        <v>Low</v>
      </c>
      <c r="U57" s="3" t="str">
        <f t="shared" ca="1" si="9"/>
        <v>Low</v>
      </c>
      <c r="V57" s="3" t="str">
        <f t="shared" ca="1" si="10"/>
        <v>Med</v>
      </c>
      <c r="W57" s="5" t="str">
        <f t="shared" ca="1" si="11"/>
        <v>Low</v>
      </c>
      <c r="X57" s="148" t="s">
        <v>288</v>
      </c>
      <c r="Y57" s="91"/>
      <c r="Z57" s="89"/>
      <c r="AA57" s="15"/>
      <c r="AB57" s="2"/>
      <c r="AC57" s="4"/>
      <c r="AD57" s="4"/>
      <c r="AE57" s="1"/>
      <c r="AF57" s="6"/>
      <c r="AG57" s="3"/>
      <c r="AH57" s="3"/>
      <c r="AI57" s="5"/>
      <c r="AJ57" s="12"/>
      <c r="AK57" s="12"/>
      <c r="AL57" s="12"/>
      <c r="AM57" s="15"/>
      <c r="AN57" s="2"/>
      <c r="AO57" s="4"/>
      <c r="AP57" s="4"/>
      <c r="AQ57" s="1"/>
      <c r="AR57" s="6"/>
      <c r="AS57" s="3"/>
      <c r="AT57" s="3"/>
      <c r="AU57" s="5"/>
      <c r="AV57" s="16"/>
      <c r="AW57" s="133"/>
    </row>
    <row r="58" spans="2:49" ht="180" x14ac:dyDescent="0.25">
      <c r="B58" s="143" t="s">
        <v>230</v>
      </c>
      <c r="C58" s="142" t="s">
        <v>153</v>
      </c>
      <c r="D58" s="133" t="s">
        <v>284</v>
      </c>
      <c r="E58" s="144">
        <v>2</v>
      </c>
      <c r="F58" s="140" t="s">
        <v>54</v>
      </c>
      <c r="G58" s="140" t="s">
        <v>281</v>
      </c>
      <c r="H58" s="142" t="s">
        <v>366</v>
      </c>
      <c r="I58" s="142" t="s">
        <v>107</v>
      </c>
      <c r="J58" s="142" t="s">
        <v>43</v>
      </c>
      <c r="K58" s="142" t="s">
        <v>44</v>
      </c>
      <c r="L58" s="142" t="s">
        <v>60</v>
      </c>
      <c r="M58" s="142" t="s">
        <v>307</v>
      </c>
      <c r="N58" s="142" t="s">
        <v>87</v>
      </c>
      <c r="O58" s="117">
        <v>7</v>
      </c>
      <c r="P58" s="2">
        <v>1</v>
      </c>
      <c r="Q58" s="4">
        <v>1</v>
      </c>
      <c r="R58" s="4">
        <v>9</v>
      </c>
      <c r="S58" s="85">
        <v>7</v>
      </c>
      <c r="T58" s="6" t="str">
        <f t="shared" ca="1" si="8"/>
        <v>Low</v>
      </c>
      <c r="U58" s="3" t="str">
        <f t="shared" ca="1" si="9"/>
        <v>Low</v>
      </c>
      <c r="V58" s="3" t="str">
        <f t="shared" ca="1" si="10"/>
        <v>High</v>
      </c>
      <c r="W58" s="5" t="str">
        <f t="shared" ca="1" si="11"/>
        <v>Med</v>
      </c>
      <c r="X58" s="148" t="s">
        <v>287</v>
      </c>
      <c r="Y58" s="91"/>
      <c r="Z58" s="89"/>
      <c r="AA58" s="15"/>
      <c r="AB58" s="2"/>
      <c r="AC58" s="4"/>
      <c r="AD58" s="4"/>
      <c r="AE58" s="1"/>
      <c r="AF58" s="6"/>
      <c r="AG58" s="3"/>
      <c r="AH58" s="3"/>
      <c r="AI58" s="5"/>
      <c r="AJ58" s="12"/>
      <c r="AK58" s="12"/>
      <c r="AL58" s="12"/>
      <c r="AM58" s="15"/>
      <c r="AN58" s="2"/>
      <c r="AO58" s="4"/>
      <c r="AP58" s="4"/>
      <c r="AQ58" s="1"/>
      <c r="AR58" s="6"/>
      <c r="AS58" s="3"/>
      <c r="AT58" s="3"/>
      <c r="AU58" s="5"/>
      <c r="AV58" s="16"/>
      <c r="AW58" s="133"/>
    </row>
    <row r="59" spans="2:49" ht="135" x14ac:dyDescent="0.25">
      <c r="B59" s="143" t="s">
        <v>231</v>
      </c>
      <c r="C59" s="142" t="s">
        <v>153</v>
      </c>
      <c r="D59" s="133" t="s">
        <v>284</v>
      </c>
      <c r="E59" s="144">
        <v>2</v>
      </c>
      <c r="F59" s="140" t="s">
        <v>54</v>
      </c>
      <c r="G59" s="140" t="s">
        <v>281</v>
      </c>
      <c r="H59" s="142" t="s">
        <v>366</v>
      </c>
      <c r="I59" s="142" t="s">
        <v>68</v>
      </c>
      <c r="J59" s="142" t="s">
        <v>43</v>
      </c>
      <c r="K59" s="142" t="s">
        <v>201</v>
      </c>
      <c r="L59" s="142" t="s">
        <v>44</v>
      </c>
      <c r="M59" s="142" t="s">
        <v>307</v>
      </c>
      <c r="N59" s="142" t="s">
        <v>87</v>
      </c>
      <c r="O59" s="79">
        <v>3</v>
      </c>
      <c r="P59" s="2">
        <v>1</v>
      </c>
      <c r="Q59" s="4">
        <v>1</v>
      </c>
      <c r="R59" s="4">
        <v>9</v>
      </c>
      <c r="S59" s="85">
        <v>7</v>
      </c>
      <c r="T59" s="6" t="str">
        <f t="shared" ca="1" si="8"/>
        <v>Low</v>
      </c>
      <c r="U59" s="3" t="str">
        <f t="shared" ca="1" si="9"/>
        <v>Low</v>
      </c>
      <c r="V59" s="3" t="str">
        <f t="shared" ca="1" si="10"/>
        <v>Med</v>
      </c>
      <c r="W59" s="5" t="str">
        <f t="shared" ca="1" si="11"/>
        <v>Low</v>
      </c>
      <c r="X59" s="149" t="s">
        <v>289</v>
      </c>
      <c r="Y59" s="91"/>
      <c r="Z59" s="89"/>
      <c r="AA59" s="15"/>
      <c r="AB59" s="2"/>
      <c r="AC59" s="4"/>
      <c r="AD59" s="4"/>
      <c r="AE59" s="1"/>
      <c r="AF59" s="6"/>
      <c r="AG59" s="3"/>
      <c r="AH59" s="3"/>
      <c r="AI59" s="5"/>
      <c r="AJ59" s="12"/>
      <c r="AK59" s="12"/>
      <c r="AL59" s="12"/>
      <c r="AM59" s="15"/>
      <c r="AN59" s="2"/>
      <c r="AO59" s="4"/>
      <c r="AP59" s="4"/>
      <c r="AQ59" s="1"/>
      <c r="AR59" s="6"/>
      <c r="AS59" s="3"/>
      <c r="AT59" s="3"/>
      <c r="AU59" s="5"/>
      <c r="AV59" s="16"/>
      <c r="AW59" s="133"/>
    </row>
    <row r="60" spans="2:49" ht="90" x14ac:dyDescent="0.25">
      <c r="B60" s="143" t="s">
        <v>234</v>
      </c>
      <c r="C60" s="142" t="s">
        <v>153</v>
      </c>
      <c r="D60" s="133" t="s">
        <v>284</v>
      </c>
      <c r="E60" s="144">
        <v>2</v>
      </c>
      <c r="F60" s="140" t="s">
        <v>54</v>
      </c>
      <c r="G60" s="140" t="s">
        <v>281</v>
      </c>
      <c r="H60" s="142" t="s">
        <v>285</v>
      </c>
      <c r="I60" s="142" t="s">
        <v>108</v>
      </c>
      <c r="J60" s="142" t="s">
        <v>43</v>
      </c>
      <c r="K60" s="142" t="s">
        <v>274</v>
      </c>
      <c r="L60" s="142" t="s">
        <v>60</v>
      </c>
      <c r="M60" s="142" t="s">
        <v>307</v>
      </c>
      <c r="N60" s="142" t="s">
        <v>87</v>
      </c>
      <c r="O60" s="79">
        <v>7</v>
      </c>
      <c r="P60" s="2">
        <v>1</v>
      </c>
      <c r="Q60" s="4">
        <v>1</v>
      </c>
      <c r="R60" s="4">
        <v>9</v>
      </c>
      <c r="S60" s="85">
        <v>7</v>
      </c>
      <c r="T60" s="6" t="str">
        <f t="shared" ca="1" si="8"/>
        <v>Low</v>
      </c>
      <c r="U60" s="3" t="str">
        <f t="shared" ca="1" si="9"/>
        <v>Low</v>
      </c>
      <c r="V60" s="3" t="str">
        <f t="shared" ca="1" si="10"/>
        <v>High</v>
      </c>
      <c r="W60" s="5" t="str">
        <f t="shared" ca="1" si="11"/>
        <v>Med</v>
      </c>
      <c r="X60" s="148" t="s">
        <v>272</v>
      </c>
      <c r="Y60" s="91"/>
      <c r="Z60" s="89"/>
      <c r="AA60" s="15"/>
      <c r="AB60" s="2"/>
      <c r="AC60" s="4"/>
      <c r="AD60" s="4"/>
      <c r="AE60" s="1"/>
      <c r="AF60" s="6"/>
      <c r="AG60" s="3"/>
      <c r="AH60" s="3"/>
      <c r="AI60" s="5"/>
      <c r="AJ60" s="12"/>
      <c r="AK60" s="12"/>
      <c r="AL60" s="12"/>
      <c r="AM60" s="15"/>
      <c r="AN60" s="2"/>
      <c r="AO60" s="4"/>
      <c r="AP60" s="4"/>
      <c r="AQ60" s="1"/>
      <c r="AR60" s="6"/>
      <c r="AS60" s="3"/>
      <c r="AT60" s="3"/>
      <c r="AU60" s="5"/>
      <c r="AV60" s="16"/>
      <c r="AW60" s="133"/>
    </row>
    <row r="61" spans="2:49" ht="255" x14ac:dyDescent="0.25">
      <c r="B61" s="143" t="s">
        <v>224</v>
      </c>
      <c r="C61" s="142" t="s">
        <v>286</v>
      </c>
      <c r="D61" s="133" t="s">
        <v>156</v>
      </c>
      <c r="E61" s="144">
        <v>2</v>
      </c>
      <c r="F61" s="140" t="s">
        <v>359</v>
      </c>
      <c r="G61" s="140" t="s">
        <v>145</v>
      </c>
      <c r="H61" s="142" t="s">
        <v>367</v>
      </c>
      <c r="I61" s="142" t="s">
        <v>150</v>
      </c>
      <c r="J61" s="142" t="s">
        <v>43</v>
      </c>
      <c r="K61" s="142" t="s">
        <v>44</v>
      </c>
      <c r="L61" s="142" t="s">
        <v>44</v>
      </c>
      <c r="M61" s="142" t="s">
        <v>307</v>
      </c>
      <c r="N61" s="142" t="s">
        <v>358</v>
      </c>
      <c r="O61" s="79">
        <v>5</v>
      </c>
      <c r="P61" s="2">
        <v>1</v>
      </c>
      <c r="Q61" s="4">
        <v>1</v>
      </c>
      <c r="R61" s="4">
        <v>9</v>
      </c>
      <c r="S61" s="85">
        <v>7</v>
      </c>
      <c r="T61" s="6" t="str">
        <f t="shared" ca="1" si="8"/>
        <v>Low</v>
      </c>
      <c r="U61" s="3" t="str">
        <f t="shared" ca="1" si="9"/>
        <v>Low</v>
      </c>
      <c r="V61" s="3" t="str">
        <f t="shared" ca="1" si="10"/>
        <v>Med</v>
      </c>
      <c r="W61" s="5" t="str">
        <f t="shared" ca="1" si="11"/>
        <v>Med</v>
      </c>
      <c r="X61" s="148" t="s">
        <v>291</v>
      </c>
      <c r="Y61" s="91"/>
      <c r="Z61" s="89"/>
      <c r="AA61" s="15"/>
      <c r="AB61" s="2"/>
      <c r="AC61" s="4"/>
      <c r="AD61" s="4"/>
      <c r="AE61" s="1"/>
      <c r="AF61" s="6"/>
      <c r="AG61" s="3"/>
      <c r="AH61" s="3"/>
      <c r="AI61" s="5"/>
      <c r="AJ61" s="12"/>
      <c r="AK61" s="12"/>
      <c r="AL61" s="12"/>
      <c r="AM61" s="15"/>
      <c r="AN61" s="2"/>
      <c r="AO61" s="4"/>
      <c r="AP61" s="4"/>
      <c r="AQ61" s="1"/>
      <c r="AR61" s="6"/>
      <c r="AS61" s="3"/>
      <c r="AT61" s="3"/>
      <c r="AU61" s="5"/>
      <c r="AV61" s="16"/>
      <c r="AW61" s="133"/>
    </row>
    <row r="62" spans="2:49" ht="180" x14ac:dyDescent="0.25">
      <c r="B62" s="143" t="s">
        <v>226</v>
      </c>
      <c r="C62" s="142" t="s">
        <v>286</v>
      </c>
      <c r="D62" s="133" t="s">
        <v>156</v>
      </c>
      <c r="E62" s="144">
        <v>2</v>
      </c>
      <c r="F62" s="140" t="s">
        <v>359</v>
      </c>
      <c r="G62" s="140" t="s">
        <v>145</v>
      </c>
      <c r="H62" s="142" t="s">
        <v>367</v>
      </c>
      <c r="I62" s="140" t="s">
        <v>161</v>
      </c>
      <c r="J62" s="142" t="s">
        <v>43</v>
      </c>
      <c r="K62" s="142" t="s">
        <v>44</v>
      </c>
      <c r="L62" s="142" t="s">
        <v>44</v>
      </c>
      <c r="M62" s="142" t="s">
        <v>307</v>
      </c>
      <c r="N62" s="142" t="s">
        <v>358</v>
      </c>
      <c r="O62" s="79">
        <v>4</v>
      </c>
      <c r="P62" s="2">
        <v>1</v>
      </c>
      <c r="Q62" s="4">
        <v>1</v>
      </c>
      <c r="R62" s="4">
        <v>9</v>
      </c>
      <c r="S62" s="85">
        <v>7</v>
      </c>
      <c r="T62" s="6" t="str">
        <f t="shared" ca="1" si="8"/>
        <v>Low</v>
      </c>
      <c r="U62" s="3" t="str">
        <f t="shared" ca="1" si="9"/>
        <v>Low</v>
      </c>
      <c r="V62" s="3" t="str">
        <f t="shared" ca="1" si="10"/>
        <v>Med</v>
      </c>
      <c r="W62" s="5" t="str">
        <f t="shared" ca="1" si="11"/>
        <v>Low</v>
      </c>
      <c r="X62" s="148" t="s">
        <v>294</v>
      </c>
      <c r="Y62" s="91"/>
      <c r="Z62" s="89"/>
      <c r="AA62" s="15"/>
      <c r="AB62" s="2"/>
      <c r="AC62" s="4"/>
      <c r="AD62" s="4"/>
      <c r="AE62" s="1"/>
      <c r="AF62" s="6"/>
      <c r="AG62" s="3"/>
      <c r="AH62" s="3"/>
      <c r="AI62" s="5"/>
      <c r="AJ62" s="12"/>
      <c r="AK62" s="12"/>
      <c r="AL62" s="12"/>
      <c r="AM62" s="15"/>
      <c r="AN62" s="2"/>
      <c r="AO62" s="4"/>
      <c r="AP62" s="4"/>
      <c r="AQ62" s="1"/>
      <c r="AR62" s="6"/>
      <c r="AS62" s="3"/>
      <c r="AT62" s="3"/>
      <c r="AU62" s="5"/>
      <c r="AV62" s="16"/>
      <c r="AW62" s="133"/>
    </row>
    <row r="63" spans="2:49" ht="255" x14ac:dyDescent="0.25">
      <c r="B63" s="143" t="s">
        <v>225</v>
      </c>
      <c r="C63" s="142" t="s">
        <v>286</v>
      </c>
      <c r="D63" s="133" t="s">
        <v>156</v>
      </c>
      <c r="E63" s="144">
        <v>2</v>
      </c>
      <c r="F63" s="140" t="s">
        <v>359</v>
      </c>
      <c r="G63" s="140" t="s">
        <v>145</v>
      </c>
      <c r="H63" s="142" t="s">
        <v>285</v>
      </c>
      <c r="I63" s="142" t="s">
        <v>107</v>
      </c>
      <c r="J63" s="142" t="s">
        <v>43</v>
      </c>
      <c r="K63" s="142" t="s">
        <v>44</v>
      </c>
      <c r="L63" s="142" t="s">
        <v>44</v>
      </c>
      <c r="M63" s="142" t="s">
        <v>307</v>
      </c>
      <c r="N63" s="142" t="s">
        <v>87</v>
      </c>
      <c r="O63" s="117">
        <v>7</v>
      </c>
      <c r="P63" s="2">
        <v>1</v>
      </c>
      <c r="Q63" s="4">
        <v>1</v>
      </c>
      <c r="R63" s="4">
        <v>9</v>
      </c>
      <c r="S63" s="85">
        <v>7</v>
      </c>
      <c r="T63" s="6" t="str">
        <f t="shared" ca="1" si="8"/>
        <v>Low</v>
      </c>
      <c r="U63" s="3" t="str">
        <f t="shared" ca="1" si="9"/>
        <v>Low</v>
      </c>
      <c r="V63" s="3" t="str">
        <f t="shared" ca="1" si="10"/>
        <v>High</v>
      </c>
      <c r="W63" s="5" t="str">
        <f t="shared" ca="1" si="11"/>
        <v>Med</v>
      </c>
      <c r="X63" s="148" t="s">
        <v>291</v>
      </c>
      <c r="Y63" s="91"/>
      <c r="Z63" s="89"/>
      <c r="AA63" s="15"/>
      <c r="AB63" s="2"/>
      <c r="AC63" s="4"/>
      <c r="AD63" s="4"/>
      <c r="AE63" s="1"/>
      <c r="AF63" s="6"/>
      <c r="AG63" s="3"/>
      <c r="AH63" s="3"/>
      <c r="AI63" s="5"/>
      <c r="AJ63" s="12"/>
      <c r="AK63" s="12"/>
      <c r="AL63" s="12"/>
      <c r="AM63" s="15"/>
      <c r="AN63" s="2"/>
      <c r="AO63" s="4"/>
      <c r="AP63" s="4"/>
      <c r="AQ63" s="1"/>
      <c r="AR63" s="6"/>
      <c r="AS63" s="3"/>
      <c r="AT63" s="3"/>
      <c r="AU63" s="5"/>
      <c r="AV63" s="16"/>
      <c r="AW63" s="133"/>
    </row>
    <row r="64" spans="2:49" ht="105" x14ac:dyDescent="0.25">
      <c r="B64" s="143" t="s">
        <v>223</v>
      </c>
      <c r="C64" s="142" t="s">
        <v>286</v>
      </c>
      <c r="D64" s="133" t="s">
        <v>156</v>
      </c>
      <c r="E64" s="144">
        <v>2</v>
      </c>
      <c r="F64" s="140" t="s">
        <v>359</v>
      </c>
      <c r="G64" s="140" t="s">
        <v>145</v>
      </c>
      <c r="H64" s="142" t="s">
        <v>367</v>
      </c>
      <c r="I64" s="142" t="s">
        <v>68</v>
      </c>
      <c r="J64" s="142" t="s">
        <v>43</v>
      </c>
      <c r="K64" s="142" t="s">
        <v>309</v>
      </c>
      <c r="L64" s="142" t="s">
        <v>44</v>
      </c>
      <c r="M64" s="142" t="s">
        <v>307</v>
      </c>
      <c r="N64" s="142" t="s">
        <v>358</v>
      </c>
      <c r="O64" s="79">
        <v>3</v>
      </c>
      <c r="P64" s="2">
        <v>1</v>
      </c>
      <c r="Q64" s="4">
        <v>1</v>
      </c>
      <c r="R64" s="4">
        <v>9</v>
      </c>
      <c r="S64" s="85">
        <v>7</v>
      </c>
      <c r="T64" s="6" t="str">
        <f t="shared" ca="1" si="8"/>
        <v>Low</v>
      </c>
      <c r="U64" s="3" t="str">
        <f t="shared" ca="1" si="9"/>
        <v>Low</v>
      </c>
      <c r="V64" s="3" t="str">
        <f t="shared" ca="1" si="10"/>
        <v>Med</v>
      </c>
      <c r="W64" s="5" t="str">
        <f t="shared" ca="1" si="11"/>
        <v>Low</v>
      </c>
      <c r="X64" s="148" t="s">
        <v>295</v>
      </c>
      <c r="Y64" s="91"/>
      <c r="Z64" s="89"/>
      <c r="AA64" s="15"/>
      <c r="AB64" s="2"/>
      <c r="AC64" s="4"/>
      <c r="AD64" s="4"/>
      <c r="AE64" s="1"/>
      <c r="AF64" s="6"/>
      <c r="AG64" s="3"/>
      <c r="AH64" s="3"/>
      <c r="AI64" s="5"/>
      <c r="AJ64" s="12"/>
      <c r="AK64" s="12"/>
      <c r="AL64" s="12"/>
      <c r="AM64" s="15"/>
      <c r="AN64" s="2"/>
      <c r="AO64" s="4"/>
      <c r="AP64" s="4"/>
      <c r="AQ64" s="1"/>
      <c r="AR64" s="6"/>
      <c r="AS64" s="3"/>
      <c r="AT64" s="3"/>
      <c r="AU64" s="5"/>
      <c r="AV64" s="16"/>
      <c r="AW64" s="133"/>
    </row>
    <row r="65" spans="2:49" ht="135" x14ac:dyDescent="0.25">
      <c r="B65" s="143" t="s">
        <v>222</v>
      </c>
      <c r="C65" s="142" t="s">
        <v>286</v>
      </c>
      <c r="D65" s="133" t="s">
        <v>156</v>
      </c>
      <c r="E65" s="144">
        <v>2</v>
      </c>
      <c r="F65" s="140" t="s">
        <v>359</v>
      </c>
      <c r="G65" s="140" t="s">
        <v>145</v>
      </c>
      <c r="H65" s="142" t="s">
        <v>285</v>
      </c>
      <c r="I65" s="142" t="s">
        <v>40</v>
      </c>
      <c r="J65" s="142" t="s">
        <v>43</v>
      </c>
      <c r="K65" s="142" t="s">
        <v>44</v>
      </c>
      <c r="L65" s="142" t="s">
        <v>44</v>
      </c>
      <c r="M65" s="142" t="s">
        <v>307</v>
      </c>
      <c r="N65" s="142" t="s">
        <v>87</v>
      </c>
      <c r="O65" s="79">
        <v>8</v>
      </c>
      <c r="P65" s="2">
        <v>1</v>
      </c>
      <c r="Q65" s="4">
        <v>1</v>
      </c>
      <c r="R65" s="4">
        <v>9</v>
      </c>
      <c r="S65" s="85">
        <v>7</v>
      </c>
      <c r="T65" s="6" t="str">
        <f t="shared" ca="1" si="8"/>
        <v>Low</v>
      </c>
      <c r="U65" s="3" t="str">
        <f t="shared" ca="1" si="9"/>
        <v>Low</v>
      </c>
      <c r="V65" s="3" t="str">
        <f t="shared" ca="1" si="10"/>
        <v>High</v>
      </c>
      <c r="W65" s="5" t="str">
        <f t="shared" ca="1" si="11"/>
        <v>Med</v>
      </c>
      <c r="X65" s="148" t="s">
        <v>296</v>
      </c>
      <c r="Y65" s="91"/>
      <c r="Z65" s="89"/>
      <c r="AA65" s="15"/>
      <c r="AB65" s="2"/>
      <c r="AC65" s="4"/>
      <c r="AD65" s="4"/>
      <c r="AE65" s="1"/>
      <c r="AF65" s="6"/>
      <c r="AG65" s="3"/>
      <c r="AH65" s="3"/>
      <c r="AI65" s="5"/>
      <c r="AJ65" s="12"/>
      <c r="AK65" s="12"/>
      <c r="AL65" s="12"/>
      <c r="AM65" s="15"/>
      <c r="AN65" s="2"/>
      <c r="AO65" s="4"/>
      <c r="AP65" s="4"/>
      <c r="AQ65" s="1"/>
      <c r="AR65" s="6"/>
      <c r="AS65" s="3"/>
      <c r="AT65" s="3"/>
      <c r="AU65" s="5"/>
      <c r="AV65" s="16"/>
      <c r="AW65" s="133"/>
    </row>
    <row r="66" spans="2:49" ht="90" x14ac:dyDescent="0.25">
      <c r="B66" s="143" t="s">
        <v>229</v>
      </c>
      <c r="C66" s="142" t="s">
        <v>286</v>
      </c>
      <c r="D66" s="133" t="s">
        <v>156</v>
      </c>
      <c r="E66" s="144">
        <v>2</v>
      </c>
      <c r="F66" s="140" t="s">
        <v>359</v>
      </c>
      <c r="G66" s="140" t="s">
        <v>145</v>
      </c>
      <c r="H66" s="142" t="s">
        <v>285</v>
      </c>
      <c r="I66" s="142" t="s">
        <v>71</v>
      </c>
      <c r="J66" s="142" t="s">
        <v>43</v>
      </c>
      <c r="K66" s="142" t="s">
        <v>290</v>
      </c>
      <c r="L66" s="142" t="s">
        <v>44</v>
      </c>
      <c r="M66" s="142" t="s">
        <v>307</v>
      </c>
      <c r="N66" s="142" t="s">
        <v>87</v>
      </c>
      <c r="O66" s="79">
        <v>4</v>
      </c>
      <c r="P66" s="2">
        <v>1</v>
      </c>
      <c r="Q66" s="4">
        <v>1</v>
      </c>
      <c r="R66" s="4">
        <v>9</v>
      </c>
      <c r="S66" s="85">
        <v>7</v>
      </c>
      <c r="T66" s="6" t="str">
        <f t="shared" ca="1" si="8"/>
        <v>Low</v>
      </c>
      <c r="U66" s="3" t="str">
        <f t="shared" ca="1" si="9"/>
        <v>Low</v>
      </c>
      <c r="V66" s="3" t="str">
        <f t="shared" ca="1" si="10"/>
        <v>Med</v>
      </c>
      <c r="W66" s="5" t="str">
        <f t="shared" ca="1" si="11"/>
        <v>Low</v>
      </c>
      <c r="X66" s="148" t="s">
        <v>297</v>
      </c>
      <c r="Y66" s="91"/>
      <c r="Z66" s="89"/>
      <c r="AA66" s="15"/>
      <c r="AB66" s="2"/>
      <c r="AC66" s="4"/>
      <c r="AD66" s="4"/>
      <c r="AE66" s="1"/>
      <c r="AF66" s="6"/>
      <c r="AG66" s="3"/>
      <c r="AH66" s="3"/>
      <c r="AI66" s="5"/>
      <c r="AJ66" s="12"/>
      <c r="AK66" s="12"/>
      <c r="AL66" s="12"/>
      <c r="AM66" s="15"/>
      <c r="AN66" s="2"/>
      <c r="AO66" s="4"/>
      <c r="AP66" s="4"/>
      <c r="AQ66" s="1"/>
      <c r="AR66" s="6"/>
      <c r="AS66" s="3"/>
      <c r="AT66" s="3"/>
      <c r="AU66" s="5"/>
      <c r="AV66" s="16"/>
      <c r="AW66" s="133"/>
    </row>
    <row r="67" spans="2:49" ht="90" x14ac:dyDescent="0.25">
      <c r="B67" s="143" t="s">
        <v>227</v>
      </c>
      <c r="C67" s="142" t="s">
        <v>286</v>
      </c>
      <c r="D67" s="133" t="s">
        <v>156</v>
      </c>
      <c r="E67" s="144">
        <v>2</v>
      </c>
      <c r="F67" s="140" t="s">
        <v>359</v>
      </c>
      <c r="G67" s="140" t="s">
        <v>145</v>
      </c>
      <c r="H67" s="142" t="s">
        <v>285</v>
      </c>
      <c r="I67" s="142" t="s">
        <v>109</v>
      </c>
      <c r="J67" s="142" t="s">
        <v>43</v>
      </c>
      <c r="K67" s="142" t="s">
        <v>44</v>
      </c>
      <c r="L67" s="142" t="s">
        <v>60</v>
      </c>
      <c r="M67" s="142" t="s">
        <v>307</v>
      </c>
      <c r="N67" s="142" t="s">
        <v>87</v>
      </c>
      <c r="O67" s="79">
        <v>7</v>
      </c>
      <c r="P67" s="2">
        <v>1</v>
      </c>
      <c r="Q67" s="4">
        <v>1</v>
      </c>
      <c r="R67" s="4">
        <v>9</v>
      </c>
      <c r="S67" s="85">
        <v>7</v>
      </c>
      <c r="T67" s="6" t="str">
        <f t="shared" ca="1" si="8"/>
        <v>Low</v>
      </c>
      <c r="U67" s="3" t="str">
        <f t="shared" ca="1" si="9"/>
        <v>Low</v>
      </c>
      <c r="V67" s="3" t="str">
        <f t="shared" ca="1" si="10"/>
        <v>High</v>
      </c>
      <c r="W67" s="5" t="str">
        <f t="shared" ca="1" si="11"/>
        <v>Med</v>
      </c>
      <c r="X67" s="148" t="s">
        <v>159</v>
      </c>
      <c r="Y67" s="91"/>
      <c r="Z67" s="89"/>
      <c r="AA67" s="15"/>
      <c r="AB67" s="2"/>
      <c r="AC67" s="4"/>
      <c r="AD67" s="4"/>
      <c r="AE67" s="1"/>
      <c r="AF67" s="6"/>
      <c r="AG67" s="3"/>
      <c r="AH67" s="3"/>
      <c r="AI67" s="5"/>
      <c r="AJ67" s="12"/>
      <c r="AK67" s="12"/>
      <c r="AL67" s="12"/>
      <c r="AM67" s="15"/>
      <c r="AN67" s="2"/>
      <c r="AO67" s="4"/>
      <c r="AP67" s="4"/>
      <c r="AQ67" s="1"/>
      <c r="AR67" s="6"/>
      <c r="AS67" s="3"/>
      <c r="AT67" s="3"/>
      <c r="AU67" s="5"/>
      <c r="AV67" s="16"/>
      <c r="AW67" s="133" t="s">
        <v>266</v>
      </c>
    </row>
    <row r="68" spans="2:49" ht="90" x14ac:dyDescent="0.25">
      <c r="B68" s="143" t="s">
        <v>228</v>
      </c>
      <c r="C68" s="142" t="s">
        <v>286</v>
      </c>
      <c r="D68" s="133" t="s">
        <v>156</v>
      </c>
      <c r="E68" s="144">
        <v>2</v>
      </c>
      <c r="F68" s="140" t="s">
        <v>359</v>
      </c>
      <c r="G68" s="140" t="s">
        <v>145</v>
      </c>
      <c r="H68" s="142" t="s">
        <v>285</v>
      </c>
      <c r="I68" s="142" t="s">
        <v>163</v>
      </c>
      <c r="J68" s="142" t="s">
        <v>43</v>
      </c>
      <c r="K68" s="142" t="s">
        <v>44</v>
      </c>
      <c r="L68" s="142" t="s">
        <v>60</v>
      </c>
      <c r="M68" s="142" t="s">
        <v>307</v>
      </c>
      <c r="N68" s="142" t="s">
        <v>87</v>
      </c>
      <c r="O68" s="79">
        <v>7</v>
      </c>
      <c r="P68" s="2">
        <v>1</v>
      </c>
      <c r="Q68" s="4">
        <v>1</v>
      </c>
      <c r="R68" s="4">
        <v>9</v>
      </c>
      <c r="S68" s="85">
        <v>7</v>
      </c>
      <c r="T68" s="6" t="str">
        <f t="shared" ca="1" si="8"/>
        <v>Low</v>
      </c>
      <c r="U68" s="3" t="str">
        <f t="shared" ca="1" si="9"/>
        <v>Low</v>
      </c>
      <c r="V68" s="3" t="str">
        <f t="shared" ca="1" si="10"/>
        <v>High</v>
      </c>
      <c r="W68" s="5" t="str">
        <f t="shared" ca="1" si="11"/>
        <v>Med</v>
      </c>
      <c r="X68" s="148" t="s">
        <v>159</v>
      </c>
      <c r="Y68" s="91"/>
      <c r="Z68" s="89"/>
      <c r="AA68" s="15"/>
      <c r="AB68" s="2"/>
      <c r="AC68" s="4"/>
      <c r="AD68" s="4"/>
      <c r="AE68" s="1"/>
      <c r="AF68" s="6"/>
      <c r="AG68" s="3"/>
      <c r="AH68" s="3"/>
      <c r="AI68" s="5"/>
      <c r="AJ68" s="12"/>
      <c r="AK68" s="12"/>
      <c r="AL68" s="12"/>
      <c r="AM68" s="15"/>
      <c r="AN68" s="2"/>
      <c r="AO68" s="4"/>
      <c r="AP68" s="4"/>
      <c r="AQ68" s="1"/>
      <c r="AR68" s="6"/>
      <c r="AS68" s="3"/>
      <c r="AT68" s="3"/>
      <c r="AU68" s="5"/>
      <c r="AV68" s="16"/>
      <c r="AW68" s="133" t="s">
        <v>267</v>
      </c>
    </row>
    <row r="69" spans="2:49" ht="255" x14ac:dyDescent="0.25">
      <c r="B69" s="143" t="s">
        <v>235</v>
      </c>
      <c r="C69" s="142" t="s">
        <v>154</v>
      </c>
      <c r="D69" s="133" t="s">
        <v>155</v>
      </c>
      <c r="E69" s="144">
        <v>2</v>
      </c>
      <c r="F69" s="142" t="s">
        <v>54</v>
      </c>
      <c r="G69" s="140" t="s">
        <v>115</v>
      </c>
      <c r="H69" s="142" t="s">
        <v>367</v>
      </c>
      <c r="I69" s="142" t="s">
        <v>150</v>
      </c>
      <c r="J69" s="142" t="s">
        <v>43</v>
      </c>
      <c r="K69" s="142" t="s">
        <v>44</v>
      </c>
      <c r="L69" s="142" t="s">
        <v>44</v>
      </c>
      <c r="M69" s="142" t="s">
        <v>307</v>
      </c>
      <c r="N69" s="142" t="s">
        <v>358</v>
      </c>
      <c r="O69" s="79">
        <v>5</v>
      </c>
      <c r="P69" s="2">
        <v>1</v>
      </c>
      <c r="Q69" s="4">
        <v>1</v>
      </c>
      <c r="R69" s="4">
        <v>9</v>
      </c>
      <c r="S69" s="85">
        <v>7</v>
      </c>
      <c r="T69" s="6" t="str">
        <f t="shared" ca="1" si="8"/>
        <v>Low</v>
      </c>
      <c r="U69" s="3" t="str">
        <f t="shared" ca="1" si="9"/>
        <v>Low</v>
      </c>
      <c r="V69" s="3" t="str">
        <f t="shared" ca="1" si="10"/>
        <v>Med</v>
      </c>
      <c r="W69" s="5" t="str">
        <f t="shared" ca="1" si="11"/>
        <v>Med</v>
      </c>
      <c r="X69" s="148" t="s">
        <v>291</v>
      </c>
      <c r="Y69" s="91"/>
      <c r="Z69" s="89"/>
      <c r="AA69" s="15"/>
      <c r="AB69" s="2"/>
      <c r="AC69" s="4"/>
      <c r="AD69" s="4"/>
      <c r="AE69" s="1"/>
      <c r="AF69" s="6"/>
      <c r="AG69" s="3"/>
      <c r="AH69" s="3"/>
      <c r="AI69" s="5"/>
      <c r="AJ69" s="12"/>
      <c r="AK69" s="12"/>
      <c r="AL69" s="12"/>
      <c r="AM69" s="15"/>
      <c r="AN69" s="2"/>
      <c r="AO69" s="4"/>
      <c r="AP69" s="4"/>
      <c r="AQ69" s="1"/>
      <c r="AR69" s="6"/>
      <c r="AS69" s="3"/>
      <c r="AT69" s="3"/>
      <c r="AU69" s="5"/>
      <c r="AV69" s="16"/>
      <c r="AW69" s="133"/>
    </row>
    <row r="70" spans="2:49" ht="180" x14ac:dyDescent="0.25">
      <c r="B70" s="143" t="s">
        <v>237</v>
      </c>
      <c r="C70" s="142" t="s">
        <v>154</v>
      </c>
      <c r="D70" s="133" t="s">
        <v>155</v>
      </c>
      <c r="E70" s="144">
        <v>2</v>
      </c>
      <c r="F70" s="142" t="s">
        <v>54</v>
      </c>
      <c r="G70" s="140" t="s">
        <v>115</v>
      </c>
      <c r="H70" s="142" t="s">
        <v>367</v>
      </c>
      <c r="I70" s="142" t="s">
        <v>161</v>
      </c>
      <c r="J70" s="142" t="s">
        <v>43</v>
      </c>
      <c r="K70" s="142" t="s">
        <v>44</v>
      </c>
      <c r="L70" s="142" t="s">
        <v>44</v>
      </c>
      <c r="M70" s="142" t="s">
        <v>307</v>
      </c>
      <c r="N70" s="142" t="s">
        <v>358</v>
      </c>
      <c r="O70" s="79">
        <v>4</v>
      </c>
      <c r="P70" s="2">
        <v>1</v>
      </c>
      <c r="Q70" s="4">
        <v>1</v>
      </c>
      <c r="R70" s="4">
        <v>9</v>
      </c>
      <c r="S70" s="85">
        <v>7</v>
      </c>
      <c r="T70" s="6" t="str">
        <f t="shared" ca="1" si="8"/>
        <v>Low</v>
      </c>
      <c r="U70" s="3" t="str">
        <f t="shared" ca="1" si="9"/>
        <v>Low</v>
      </c>
      <c r="V70" s="3" t="str">
        <f t="shared" ca="1" si="10"/>
        <v>Med</v>
      </c>
      <c r="W70" s="5" t="str">
        <f t="shared" ca="1" si="11"/>
        <v>Low</v>
      </c>
      <c r="X70" s="148" t="s">
        <v>294</v>
      </c>
      <c r="Y70" s="91"/>
      <c r="Z70" s="89"/>
      <c r="AA70" s="15"/>
      <c r="AB70" s="2"/>
      <c r="AC70" s="4"/>
      <c r="AD70" s="4"/>
      <c r="AE70" s="1"/>
      <c r="AF70" s="6"/>
      <c r="AG70" s="3"/>
      <c r="AH70" s="3"/>
      <c r="AI70" s="5"/>
      <c r="AJ70" s="12"/>
      <c r="AK70" s="12"/>
      <c r="AL70" s="12"/>
      <c r="AM70" s="15"/>
      <c r="AN70" s="2"/>
      <c r="AO70" s="4"/>
      <c r="AP70" s="4"/>
      <c r="AQ70" s="1"/>
      <c r="AR70" s="6"/>
      <c r="AS70" s="3"/>
      <c r="AT70" s="3"/>
      <c r="AU70" s="5"/>
      <c r="AV70" s="16"/>
      <c r="AW70" s="133"/>
    </row>
    <row r="71" spans="2:49" ht="255" x14ac:dyDescent="0.25">
      <c r="B71" s="143" t="s">
        <v>236</v>
      </c>
      <c r="C71" s="142" t="s">
        <v>154</v>
      </c>
      <c r="D71" s="133" t="s">
        <v>155</v>
      </c>
      <c r="E71" s="144">
        <v>2</v>
      </c>
      <c r="F71" s="142" t="s">
        <v>54</v>
      </c>
      <c r="G71" s="140" t="s">
        <v>115</v>
      </c>
      <c r="H71" s="142" t="s">
        <v>285</v>
      </c>
      <c r="I71" s="142" t="s">
        <v>107</v>
      </c>
      <c r="J71" s="142" t="s">
        <v>43</v>
      </c>
      <c r="K71" s="142" t="s">
        <v>44</v>
      </c>
      <c r="L71" s="142" t="s">
        <v>44</v>
      </c>
      <c r="M71" s="142" t="s">
        <v>307</v>
      </c>
      <c r="N71" s="142" t="s">
        <v>87</v>
      </c>
      <c r="O71" s="117">
        <v>7</v>
      </c>
      <c r="P71" s="2">
        <v>1</v>
      </c>
      <c r="Q71" s="4">
        <v>1</v>
      </c>
      <c r="R71" s="4">
        <v>9</v>
      </c>
      <c r="S71" s="85">
        <v>7</v>
      </c>
      <c r="T71" s="6" t="str">
        <f t="shared" ref="T71:T97" ca="1" si="16">IF(AND(ISNUMBER(P71),ISNUMBER($O71)),OFFSET(RiskMatrixRef,-$O71+1,P71-1),"")</f>
        <v>Low</v>
      </c>
      <c r="U71" s="3" t="str">
        <f t="shared" ref="U71:U97" ca="1" si="17">IF(AND(ISNUMBER(Q71),ISNUMBER($O71)),OFFSET(RiskMatrixRef,-$O71+1,Q71-1),"")</f>
        <v>Low</v>
      </c>
      <c r="V71" s="3" t="str">
        <f t="shared" ref="V71:V97" ca="1" si="18">IF(AND(ISNUMBER(R71),ISNUMBER($O71)),OFFSET(RiskMatrixRef,-$O71+1,R71-1),"")</f>
        <v>High</v>
      </c>
      <c r="W71" s="5" t="str">
        <f t="shared" ref="W71:W97" ca="1" si="19">IF(AND(ISNUMBER(S71),ISNUMBER($O71)),OFFSET(RiskMatrixRef,-$O71+1,S71-1),"")</f>
        <v>Med</v>
      </c>
      <c r="X71" s="148" t="s">
        <v>291</v>
      </c>
      <c r="Y71" s="91"/>
      <c r="Z71" s="89"/>
      <c r="AA71" s="15"/>
      <c r="AB71" s="2"/>
      <c r="AC71" s="4"/>
      <c r="AD71" s="4"/>
      <c r="AE71" s="1"/>
      <c r="AF71" s="6"/>
      <c r="AG71" s="3"/>
      <c r="AH71" s="3"/>
      <c r="AI71" s="5"/>
      <c r="AJ71" s="12"/>
      <c r="AK71" s="12"/>
      <c r="AL71" s="12"/>
      <c r="AM71" s="15"/>
      <c r="AN71" s="2"/>
      <c r="AO71" s="4"/>
      <c r="AP71" s="4"/>
      <c r="AQ71" s="1"/>
      <c r="AR71" s="6"/>
      <c r="AS71" s="3"/>
      <c r="AT71" s="3"/>
      <c r="AU71" s="5"/>
      <c r="AV71" s="16"/>
      <c r="AW71" s="133"/>
    </row>
    <row r="72" spans="2:49" ht="105" x14ac:dyDescent="0.25">
      <c r="B72" s="143" t="s">
        <v>238</v>
      </c>
      <c r="C72" s="142" t="s">
        <v>154</v>
      </c>
      <c r="D72" s="133" t="s">
        <v>155</v>
      </c>
      <c r="E72" s="144">
        <v>2</v>
      </c>
      <c r="F72" s="142" t="s">
        <v>54</v>
      </c>
      <c r="G72" s="140" t="s">
        <v>115</v>
      </c>
      <c r="H72" s="142" t="s">
        <v>367</v>
      </c>
      <c r="I72" s="140" t="s">
        <v>68</v>
      </c>
      <c r="J72" s="142" t="s">
        <v>43</v>
      </c>
      <c r="K72" s="142" t="s">
        <v>309</v>
      </c>
      <c r="L72" s="142" t="s">
        <v>44</v>
      </c>
      <c r="M72" s="142" t="s">
        <v>307</v>
      </c>
      <c r="N72" s="142" t="s">
        <v>358</v>
      </c>
      <c r="O72" s="79">
        <v>3</v>
      </c>
      <c r="P72" s="2">
        <v>1</v>
      </c>
      <c r="Q72" s="4">
        <v>1</v>
      </c>
      <c r="R72" s="4">
        <v>9</v>
      </c>
      <c r="S72" s="85">
        <v>7</v>
      </c>
      <c r="T72" s="6" t="str">
        <f t="shared" ca="1" si="16"/>
        <v>Low</v>
      </c>
      <c r="U72" s="3" t="str">
        <f t="shared" ca="1" si="17"/>
        <v>Low</v>
      </c>
      <c r="V72" s="3" t="str">
        <f t="shared" ca="1" si="18"/>
        <v>Med</v>
      </c>
      <c r="W72" s="5" t="str">
        <f t="shared" ca="1" si="19"/>
        <v>Low</v>
      </c>
      <c r="X72" s="148" t="s">
        <v>295</v>
      </c>
      <c r="Y72" s="91"/>
      <c r="Z72" s="89"/>
      <c r="AA72" s="15"/>
      <c r="AB72" s="2"/>
      <c r="AC72" s="4"/>
      <c r="AD72" s="4"/>
      <c r="AE72" s="1"/>
      <c r="AF72" s="6"/>
      <c r="AG72" s="3"/>
      <c r="AH72" s="3"/>
      <c r="AI72" s="5"/>
      <c r="AJ72" s="12"/>
      <c r="AK72" s="12"/>
      <c r="AL72" s="12"/>
      <c r="AM72" s="15"/>
      <c r="AN72" s="2"/>
      <c r="AO72" s="4"/>
      <c r="AP72" s="4"/>
      <c r="AQ72" s="1"/>
      <c r="AR72" s="6"/>
      <c r="AS72" s="3"/>
      <c r="AT72" s="3"/>
      <c r="AU72" s="5"/>
      <c r="AV72" s="16"/>
      <c r="AW72" s="133"/>
    </row>
    <row r="73" spans="2:49" ht="90" x14ac:dyDescent="0.25">
      <c r="B73" s="143" t="s">
        <v>239</v>
      </c>
      <c r="C73" s="142" t="s">
        <v>154</v>
      </c>
      <c r="D73" s="133" t="s">
        <v>155</v>
      </c>
      <c r="E73" s="144">
        <v>2</v>
      </c>
      <c r="F73" s="142" t="s">
        <v>54</v>
      </c>
      <c r="G73" s="140" t="s">
        <v>115</v>
      </c>
      <c r="H73" s="142" t="s">
        <v>285</v>
      </c>
      <c r="I73" s="142" t="s">
        <v>71</v>
      </c>
      <c r="J73" s="142" t="s">
        <v>43</v>
      </c>
      <c r="K73" s="142" t="s">
        <v>310</v>
      </c>
      <c r="L73" s="142" t="s">
        <v>60</v>
      </c>
      <c r="M73" s="142" t="s">
        <v>307</v>
      </c>
      <c r="N73" s="142" t="s">
        <v>87</v>
      </c>
      <c r="O73" s="79">
        <v>4</v>
      </c>
      <c r="P73" s="2">
        <v>1</v>
      </c>
      <c r="Q73" s="4">
        <v>1</v>
      </c>
      <c r="R73" s="4">
        <v>9</v>
      </c>
      <c r="S73" s="85">
        <v>7</v>
      </c>
      <c r="T73" s="6" t="str">
        <f t="shared" ca="1" si="16"/>
        <v>Low</v>
      </c>
      <c r="U73" s="3" t="str">
        <f t="shared" ca="1" si="17"/>
        <v>Low</v>
      </c>
      <c r="V73" s="3" t="str">
        <f t="shared" ca="1" si="18"/>
        <v>Med</v>
      </c>
      <c r="W73" s="5" t="str">
        <f t="shared" ca="1" si="19"/>
        <v>Low</v>
      </c>
      <c r="X73" s="148" t="s">
        <v>297</v>
      </c>
      <c r="Y73" s="91"/>
      <c r="Z73" s="89"/>
      <c r="AA73" s="15"/>
      <c r="AB73" s="2"/>
      <c r="AC73" s="4"/>
      <c r="AD73" s="4"/>
      <c r="AE73" s="1"/>
      <c r="AF73" s="6"/>
      <c r="AG73" s="3"/>
      <c r="AH73" s="3"/>
      <c r="AI73" s="5"/>
      <c r="AJ73" s="12"/>
      <c r="AK73" s="12"/>
      <c r="AL73" s="12"/>
      <c r="AM73" s="15"/>
      <c r="AN73" s="2"/>
      <c r="AO73" s="4"/>
      <c r="AP73" s="4"/>
      <c r="AQ73" s="1"/>
      <c r="AR73" s="6"/>
      <c r="AS73" s="3"/>
      <c r="AT73" s="3"/>
      <c r="AU73" s="5"/>
      <c r="AV73" s="16"/>
      <c r="AW73" s="133"/>
    </row>
    <row r="74" spans="2:49" ht="90" x14ac:dyDescent="0.25">
      <c r="B74" s="143" t="s">
        <v>240</v>
      </c>
      <c r="C74" s="142" t="s">
        <v>154</v>
      </c>
      <c r="D74" s="133" t="s">
        <v>155</v>
      </c>
      <c r="E74" s="144">
        <v>2</v>
      </c>
      <c r="F74" s="142" t="s">
        <v>54</v>
      </c>
      <c r="G74" s="140" t="s">
        <v>115</v>
      </c>
      <c r="H74" s="142" t="s">
        <v>285</v>
      </c>
      <c r="I74" s="142" t="s">
        <v>108</v>
      </c>
      <c r="J74" s="142" t="s">
        <v>43</v>
      </c>
      <c r="K74" s="142" t="s">
        <v>274</v>
      </c>
      <c r="L74" s="142" t="s">
        <v>60</v>
      </c>
      <c r="M74" s="142" t="s">
        <v>307</v>
      </c>
      <c r="N74" s="142" t="s">
        <v>87</v>
      </c>
      <c r="O74" s="79">
        <v>7</v>
      </c>
      <c r="P74" s="2">
        <v>1</v>
      </c>
      <c r="Q74" s="4">
        <v>1</v>
      </c>
      <c r="R74" s="4">
        <v>9</v>
      </c>
      <c r="S74" s="85">
        <v>7</v>
      </c>
      <c r="T74" s="6" t="str">
        <f t="shared" ca="1" si="16"/>
        <v>Low</v>
      </c>
      <c r="U74" s="3" t="str">
        <f t="shared" ca="1" si="17"/>
        <v>Low</v>
      </c>
      <c r="V74" s="3" t="str">
        <f t="shared" ca="1" si="18"/>
        <v>High</v>
      </c>
      <c r="W74" s="5" t="str">
        <f t="shared" ca="1" si="19"/>
        <v>Med</v>
      </c>
      <c r="X74" s="148" t="s">
        <v>272</v>
      </c>
      <c r="Y74" s="91"/>
      <c r="Z74" s="89"/>
      <c r="AA74" s="15"/>
      <c r="AB74" s="2"/>
      <c r="AC74" s="4"/>
      <c r="AD74" s="4"/>
      <c r="AE74" s="1"/>
      <c r="AF74" s="6"/>
      <c r="AG74" s="3"/>
      <c r="AH74" s="3"/>
      <c r="AI74" s="5"/>
      <c r="AJ74" s="12"/>
      <c r="AK74" s="12"/>
      <c r="AL74" s="12"/>
      <c r="AM74" s="15"/>
      <c r="AN74" s="2"/>
      <c r="AO74" s="4"/>
      <c r="AP74" s="4"/>
      <c r="AQ74" s="1"/>
      <c r="AR74" s="6"/>
      <c r="AS74" s="3"/>
      <c r="AT74" s="3"/>
      <c r="AU74" s="5"/>
      <c r="AV74" s="16"/>
      <c r="AW74" s="133"/>
    </row>
    <row r="75" spans="2:49" ht="45" x14ac:dyDescent="0.25">
      <c r="B75" s="143" t="s">
        <v>56</v>
      </c>
      <c r="C75" s="142" t="s">
        <v>57</v>
      </c>
      <c r="D75" s="133" t="s">
        <v>62</v>
      </c>
      <c r="E75" s="144">
        <v>1</v>
      </c>
      <c r="F75" s="142" t="s">
        <v>63</v>
      </c>
      <c r="G75" s="142" t="s">
        <v>67</v>
      </c>
      <c r="H75" s="142" t="s">
        <v>64</v>
      </c>
      <c r="I75" s="142" t="s">
        <v>42</v>
      </c>
      <c r="J75" s="142" t="s">
        <v>43</v>
      </c>
      <c r="K75" s="142" t="s">
        <v>300</v>
      </c>
      <c r="L75" s="142" t="s">
        <v>44</v>
      </c>
      <c r="M75" s="142" t="s">
        <v>69</v>
      </c>
      <c r="N75" s="142" t="s">
        <v>70</v>
      </c>
      <c r="O75" s="79">
        <v>5</v>
      </c>
      <c r="P75" s="2">
        <v>1</v>
      </c>
      <c r="Q75" s="4">
        <v>1</v>
      </c>
      <c r="R75" s="4">
        <v>4</v>
      </c>
      <c r="S75" s="85">
        <v>5</v>
      </c>
      <c r="T75" s="6" t="str">
        <f t="shared" ca="1" si="16"/>
        <v>Low</v>
      </c>
      <c r="U75" s="3" t="str">
        <f t="shared" ca="1" si="17"/>
        <v>Low</v>
      </c>
      <c r="V75" s="3" t="str">
        <f t="shared" ca="1" si="18"/>
        <v>Low</v>
      </c>
      <c r="W75" s="5" t="str">
        <f t="shared" ca="1" si="19"/>
        <v>Low</v>
      </c>
      <c r="X75" s="148" t="s">
        <v>44</v>
      </c>
      <c r="Y75" s="91"/>
      <c r="Z75" s="89"/>
      <c r="AA75" s="15"/>
      <c r="AB75" s="2"/>
      <c r="AC75" s="4"/>
      <c r="AD75" s="4"/>
      <c r="AE75" s="1"/>
      <c r="AF75" s="6" t="str">
        <f t="shared" ref="AF75:AI77" ca="1" si="20">IF(AND(ISNUMBER(AB75),ISNUMBER($AA75)),OFFSET(RiskMatrixRef,-$AA75+1,AB75-1),"")</f>
        <v/>
      </c>
      <c r="AG75" s="3" t="str">
        <f t="shared" ca="1" si="20"/>
        <v/>
      </c>
      <c r="AH75" s="3" t="str">
        <f t="shared" ca="1" si="20"/>
        <v/>
      </c>
      <c r="AI75" s="5" t="str">
        <f t="shared" ca="1" si="20"/>
        <v/>
      </c>
      <c r="AJ75" s="12"/>
      <c r="AK75" s="12"/>
      <c r="AL75" s="12"/>
      <c r="AM75" s="15"/>
      <c r="AN75" s="2"/>
      <c r="AO75" s="4"/>
      <c r="AP75" s="4"/>
      <c r="AQ75" s="1"/>
      <c r="AR75" s="6" t="str">
        <f t="shared" ref="AR75:AU77" ca="1" si="21">IF(AND(ISNUMBER(AN75),ISNUMBER($AM75)),OFFSET(RiskMatrixRef,-$AM75+1,AN75-1),"")</f>
        <v/>
      </c>
      <c r="AS75" s="3" t="str">
        <f t="shared" ca="1" si="21"/>
        <v/>
      </c>
      <c r="AT75" s="3" t="str">
        <f t="shared" ca="1" si="21"/>
        <v/>
      </c>
      <c r="AU75" s="5" t="str">
        <f t="shared" ca="1" si="21"/>
        <v/>
      </c>
      <c r="AV75" s="16"/>
      <c r="AW75" s="133"/>
    </row>
    <row r="76" spans="2:49" ht="60" x14ac:dyDescent="0.25">
      <c r="B76" s="143" t="s">
        <v>65</v>
      </c>
      <c r="C76" s="142" t="s">
        <v>57</v>
      </c>
      <c r="D76" s="133" t="s">
        <v>62</v>
      </c>
      <c r="E76" s="144">
        <v>1</v>
      </c>
      <c r="F76" s="142" t="s">
        <v>63</v>
      </c>
      <c r="G76" s="142" t="s">
        <v>67</v>
      </c>
      <c r="H76" s="142" t="s">
        <v>64</v>
      </c>
      <c r="I76" s="142" t="s">
        <v>68</v>
      </c>
      <c r="J76" s="142" t="s">
        <v>43</v>
      </c>
      <c r="K76" s="142" t="s">
        <v>298</v>
      </c>
      <c r="L76" s="142" t="s">
        <v>44</v>
      </c>
      <c r="M76" s="142" t="s">
        <v>69</v>
      </c>
      <c r="N76" s="142" t="s">
        <v>70</v>
      </c>
      <c r="O76" s="79">
        <v>1</v>
      </c>
      <c r="P76" s="2">
        <v>2</v>
      </c>
      <c r="Q76" s="4">
        <v>1</v>
      </c>
      <c r="R76" s="4">
        <v>4</v>
      </c>
      <c r="S76" s="85">
        <v>5</v>
      </c>
      <c r="T76" s="6" t="str">
        <f t="shared" ca="1" si="16"/>
        <v>Low</v>
      </c>
      <c r="U76" s="3" t="str">
        <f t="shared" ca="1" si="17"/>
        <v>Low</v>
      </c>
      <c r="V76" s="3" t="str">
        <f t="shared" ca="1" si="18"/>
        <v>Low</v>
      </c>
      <c r="W76" s="5" t="str">
        <f t="shared" ca="1" si="19"/>
        <v>Low</v>
      </c>
      <c r="X76" s="148" t="s">
        <v>301</v>
      </c>
      <c r="Y76" s="91"/>
      <c r="Z76" s="89"/>
      <c r="AA76" s="15"/>
      <c r="AB76" s="2"/>
      <c r="AC76" s="4"/>
      <c r="AD76" s="4"/>
      <c r="AE76" s="1"/>
      <c r="AF76" s="6" t="str">
        <f t="shared" ca="1" si="20"/>
        <v/>
      </c>
      <c r="AG76" s="3" t="str">
        <f t="shared" ca="1" si="20"/>
        <v/>
      </c>
      <c r="AH76" s="3" t="str">
        <f t="shared" ca="1" si="20"/>
        <v/>
      </c>
      <c r="AI76" s="5" t="str">
        <f t="shared" ca="1" si="20"/>
        <v/>
      </c>
      <c r="AJ76" s="12"/>
      <c r="AK76" s="12"/>
      <c r="AL76" s="12"/>
      <c r="AM76" s="15"/>
      <c r="AN76" s="2"/>
      <c r="AO76" s="4"/>
      <c r="AP76" s="4"/>
      <c r="AQ76" s="1"/>
      <c r="AR76" s="6" t="str">
        <f t="shared" ca="1" si="21"/>
        <v/>
      </c>
      <c r="AS76" s="3" t="str">
        <f t="shared" ca="1" si="21"/>
        <v/>
      </c>
      <c r="AT76" s="3" t="str">
        <f t="shared" ca="1" si="21"/>
        <v/>
      </c>
      <c r="AU76" s="5" t="str">
        <f t="shared" ca="1" si="21"/>
        <v/>
      </c>
      <c r="AV76" s="16"/>
      <c r="AW76" s="133"/>
    </row>
    <row r="77" spans="2:49" ht="60" x14ac:dyDescent="0.25">
      <c r="B77" s="143" t="s">
        <v>66</v>
      </c>
      <c r="C77" s="142" t="s">
        <v>57</v>
      </c>
      <c r="D77" s="133" t="s">
        <v>62</v>
      </c>
      <c r="E77" s="144">
        <v>1</v>
      </c>
      <c r="F77" s="142" t="s">
        <v>63</v>
      </c>
      <c r="G77" s="142" t="s">
        <v>67</v>
      </c>
      <c r="H77" s="142" t="s">
        <v>64</v>
      </c>
      <c r="I77" s="142" t="s">
        <v>73</v>
      </c>
      <c r="J77" s="142" t="s">
        <v>43</v>
      </c>
      <c r="K77" s="142" t="s">
        <v>299</v>
      </c>
      <c r="L77" s="142" t="s">
        <v>60</v>
      </c>
      <c r="M77" s="142" t="s">
        <v>69</v>
      </c>
      <c r="N77" s="142" t="s">
        <v>70</v>
      </c>
      <c r="O77" s="79">
        <v>5</v>
      </c>
      <c r="P77" s="2">
        <v>1</v>
      </c>
      <c r="Q77" s="4">
        <v>1</v>
      </c>
      <c r="R77" s="4">
        <v>4</v>
      </c>
      <c r="S77" s="85">
        <v>5</v>
      </c>
      <c r="T77" s="6" t="str">
        <f t="shared" ca="1" si="16"/>
        <v>Low</v>
      </c>
      <c r="U77" s="3" t="str">
        <f t="shared" ca="1" si="17"/>
        <v>Low</v>
      </c>
      <c r="V77" s="3" t="str">
        <f t="shared" ca="1" si="18"/>
        <v>Low</v>
      </c>
      <c r="W77" s="5" t="str">
        <f t="shared" ca="1" si="19"/>
        <v>Low</v>
      </c>
      <c r="X77" s="148" t="s">
        <v>44</v>
      </c>
      <c r="Y77" s="91"/>
      <c r="Z77" s="89"/>
      <c r="AA77" s="15"/>
      <c r="AB77" s="2"/>
      <c r="AC77" s="4"/>
      <c r="AD77" s="4"/>
      <c r="AE77" s="1"/>
      <c r="AF77" s="6" t="str">
        <f t="shared" ca="1" si="20"/>
        <v/>
      </c>
      <c r="AG77" s="3" t="str">
        <f t="shared" ca="1" si="20"/>
        <v/>
      </c>
      <c r="AH77" s="3" t="str">
        <f t="shared" ca="1" si="20"/>
        <v/>
      </c>
      <c r="AI77" s="5" t="str">
        <f t="shared" ca="1" si="20"/>
        <v/>
      </c>
      <c r="AJ77" s="12"/>
      <c r="AK77" s="12"/>
      <c r="AL77" s="12"/>
      <c r="AM77" s="15"/>
      <c r="AN77" s="2"/>
      <c r="AO77" s="4"/>
      <c r="AP77" s="4"/>
      <c r="AQ77" s="1"/>
      <c r="AR77" s="6" t="str">
        <f t="shared" ca="1" si="21"/>
        <v/>
      </c>
      <c r="AS77" s="3" t="str">
        <f t="shared" ca="1" si="21"/>
        <v/>
      </c>
      <c r="AT77" s="3" t="str">
        <f t="shared" ca="1" si="21"/>
        <v/>
      </c>
      <c r="AU77" s="5" t="str">
        <f t="shared" ca="1" si="21"/>
        <v/>
      </c>
      <c r="AV77" s="16"/>
      <c r="AW77" s="133"/>
    </row>
    <row r="78" spans="2:49" s="14" customFormat="1" ht="165" x14ac:dyDescent="0.25">
      <c r="B78" s="143" t="s">
        <v>241</v>
      </c>
      <c r="C78" s="142" t="s">
        <v>106</v>
      </c>
      <c r="D78" s="133" t="s">
        <v>118</v>
      </c>
      <c r="E78" s="144">
        <v>2</v>
      </c>
      <c r="F78" s="142" t="s">
        <v>123</v>
      </c>
      <c r="G78" s="142" t="s">
        <v>127</v>
      </c>
      <c r="H78" s="142" t="s">
        <v>88</v>
      </c>
      <c r="I78" s="142" t="s">
        <v>124</v>
      </c>
      <c r="J78" s="142" t="s">
        <v>43</v>
      </c>
      <c r="K78" s="142" t="s">
        <v>59</v>
      </c>
      <c r="L78" s="142" t="s">
        <v>44</v>
      </c>
      <c r="M78" s="142" t="s">
        <v>308</v>
      </c>
      <c r="N78" s="142" t="s">
        <v>87</v>
      </c>
      <c r="O78" s="82">
        <v>4</v>
      </c>
      <c r="P78" s="83">
        <v>1</v>
      </c>
      <c r="Q78" s="84">
        <v>1</v>
      </c>
      <c r="R78" s="84">
        <v>9</v>
      </c>
      <c r="S78" s="85">
        <v>7</v>
      </c>
      <c r="T78" s="6" t="str">
        <f t="shared" ca="1" si="16"/>
        <v>Low</v>
      </c>
      <c r="U78" s="3" t="str">
        <f t="shared" ca="1" si="17"/>
        <v>Low</v>
      </c>
      <c r="V78" s="3" t="str">
        <f t="shared" ca="1" si="18"/>
        <v>Med</v>
      </c>
      <c r="W78" s="5" t="str">
        <f t="shared" ca="1" si="19"/>
        <v>Low</v>
      </c>
      <c r="X78" s="148" t="s">
        <v>303</v>
      </c>
      <c r="Y78" s="91" t="s">
        <v>102</v>
      </c>
      <c r="Z78" s="106"/>
      <c r="AA78" s="15"/>
      <c r="AB78" s="2"/>
      <c r="AC78" s="4"/>
      <c r="AD78" s="4"/>
      <c r="AE78" s="1"/>
      <c r="AF78" s="6"/>
      <c r="AG78" s="3"/>
      <c r="AH78" s="3"/>
      <c r="AI78" s="5"/>
      <c r="AJ78" s="107"/>
      <c r="AK78" s="107"/>
      <c r="AL78" s="107"/>
      <c r="AM78" s="15"/>
      <c r="AN78" s="2"/>
      <c r="AO78" s="4"/>
      <c r="AP78" s="4"/>
      <c r="AQ78" s="1"/>
      <c r="AR78" s="6"/>
      <c r="AS78" s="3"/>
      <c r="AT78" s="3"/>
      <c r="AU78" s="5"/>
      <c r="AV78" s="108"/>
      <c r="AW78" s="134"/>
    </row>
    <row r="79" spans="2:49" s="14" customFormat="1" ht="120" x14ac:dyDescent="0.25">
      <c r="B79" s="143" t="s">
        <v>242</v>
      </c>
      <c r="C79" s="142" t="s">
        <v>106</v>
      </c>
      <c r="D79" s="133" t="s">
        <v>118</v>
      </c>
      <c r="E79" s="144">
        <v>2</v>
      </c>
      <c r="F79" s="142" t="s">
        <v>123</v>
      </c>
      <c r="G79" s="142" t="s">
        <v>127</v>
      </c>
      <c r="H79" s="142" t="s">
        <v>88</v>
      </c>
      <c r="I79" s="142" t="s">
        <v>126</v>
      </c>
      <c r="J79" s="142" t="s">
        <v>43</v>
      </c>
      <c r="K79" s="142" t="s">
        <v>59</v>
      </c>
      <c r="L79" s="142" t="s">
        <v>45</v>
      </c>
      <c r="M79" s="142" t="s">
        <v>308</v>
      </c>
      <c r="N79" s="142" t="s">
        <v>87</v>
      </c>
      <c r="O79" s="117">
        <v>7</v>
      </c>
      <c r="P79" s="83">
        <v>1</v>
      </c>
      <c r="Q79" s="84">
        <v>1</v>
      </c>
      <c r="R79" s="84">
        <v>9</v>
      </c>
      <c r="S79" s="85">
        <v>7</v>
      </c>
      <c r="T79" s="6" t="str">
        <f t="shared" ca="1" si="16"/>
        <v>Low</v>
      </c>
      <c r="U79" s="3" t="str">
        <f t="shared" ca="1" si="17"/>
        <v>Low</v>
      </c>
      <c r="V79" s="3" t="str">
        <f t="shared" ca="1" si="18"/>
        <v>High</v>
      </c>
      <c r="W79" s="5" t="str">
        <f t="shared" ca="1" si="19"/>
        <v>Med</v>
      </c>
      <c r="X79" s="148" t="s">
        <v>164</v>
      </c>
      <c r="Y79" s="91"/>
      <c r="Z79" s="106"/>
      <c r="AA79" s="15"/>
      <c r="AB79" s="2"/>
      <c r="AC79" s="4"/>
      <c r="AD79" s="4"/>
      <c r="AE79" s="1"/>
      <c r="AF79" s="6"/>
      <c r="AG79" s="3"/>
      <c r="AH79" s="3"/>
      <c r="AI79" s="5"/>
      <c r="AJ79" s="107"/>
      <c r="AK79" s="107"/>
      <c r="AL79" s="107"/>
      <c r="AM79" s="15"/>
      <c r="AN79" s="2"/>
      <c r="AO79" s="4"/>
      <c r="AP79" s="4"/>
      <c r="AQ79" s="1"/>
      <c r="AR79" s="6"/>
      <c r="AS79" s="3"/>
      <c r="AT79" s="3"/>
      <c r="AU79" s="5"/>
      <c r="AV79" s="108"/>
      <c r="AW79" s="134"/>
    </row>
    <row r="80" spans="2:49" s="14" customFormat="1" ht="90" x14ac:dyDescent="0.25">
      <c r="B80" s="143" t="s">
        <v>243</v>
      </c>
      <c r="C80" s="142" t="s">
        <v>106</v>
      </c>
      <c r="D80" s="133" t="s">
        <v>118</v>
      </c>
      <c r="E80" s="144">
        <v>2</v>
      </c>
      <c r="F80" s="142" t="s">
        <v>123</v>
      </c>
      <c r="G80" s="142" t="s">
        <v>302</v>
      </c>
      <c r="H80" s="142" t="s">
        <v>88</v>
      </c>
      <c r="I80" s="142" t="s">
        <v>125</v>
      </c>
      <c r="J80" s="142" t="s">
        <v>43</v>
      </c>
      <c r="K80" s="142" t="s">
        <v>59</v>
      </c>
      <c r="L80" s="142" t="s">
        <v>45</v>
      </c>
      <c r="M80" s="142" t="s">
        <v>308</v>
      </c>
      <c r="N80" s="142" t="s">
        <v>87</v>
      </c>
      <c r="O80" s="82">
        <v>4</v>
      </c>
      <c r="P80" s="83">
        <v>1</v>
      </c>
      <c r="Q80" s="84">
        <v>1</v>
      </c>
      <c r="R80" s="84">
        <v>9</v>
      </c>
      <c r="S80" s="85">
        <v>7</v>
      </c>
      <c r="T80" s="6" t="str">
        <f t="shared" ca="1" si="16"/>
        <v>Low</v>
      </c>
      <c r="U80" s="3" t="str">
        <f t="shared" ca="1" si="17"/>
        <v>Low</v>
      </c>
      <c r="V80" s="3" t="str">
        <f t="shared" ca="1" si="18"/>
        <v>Med</v>
      </c>
      <c r="W80" s="5" t="str">
        <f t="shared" ca="1" si="19"/>
        <v>Low</v>
      </c>
      <c r="X80" s="148" t="s">
        <v>304</v>
      </c>
      <c r="Y80" s="91"/>
      <c r="Z80" s="106"/>
      <c r="AA80" s="15"/>
      <c r="AB80" s="2"/>
      <c r="AC80" s="4"/>
      <c r="AD80" s="4"/>
      <c r="AE80" s="1"/>
      <c r="AF80" s="6"/>
      <c r="AG80" s="3"/>
      <c r="AH80" s="3"/>
      <c r="AI80" s="5"/>
      <c r="AJ80" s="107"/>
      <c r="AK80" s="107"/>
      <c r="AL80" s="107"/>
      <c r="AM80" s="15"/>
      <c r="AN80" s="2"/>
      <c r="AO80" s="4"/>
      <c r="AP80" s="4"/>
      <c r="AQ80" s="1"/>
      <c r="AR80" s="6"/>
      <c r="AS80" s="3"/>
      <c r="AT80" s="3"/>
      <c r="AU80" s="5"/>
      <c r="AV80" s="108"/>
      <c r="AW80" s="134"/>
    </row>
    <row r="81" spans="2:49" s="14" customFormat="1" ht="180" x14ac:dyDescent="0.25">
      <c r="B81" s="143" t="s">
        <v>244</v>
      </c>
      <c r="C81" s="142" t="s">
        <v>106</v>
      </c>
      <c r="D81" s="133" t="s">
        <v>118</v>
      </c>
      <c r="E81" s="144">
        <v>2</v>
      </c>
      <c r="F81" s="142" t="s">
        <v>123</v>
      </c>
      <c r="G81" s="142" t="s">
        <v>302</v>
      </c>
      <c r="H81" s="142" t="s">
        <v>88</v>
      </c>
      <c r="I81" s="142" t="s">
        <v>126</v>
      </c>
      <c r="J81" s="142" t="s">
        <v>43</v>
      </c>
      <c r="K81" s="142" t="s">
        <v>59</v>
      </c>
      <c r="L81" s="142" t="s">
        <v>45</v>
      </c>
      <c r="M81" s="142" t="s">
        <v>308</v>
      </c>
      <c r="N81" s="142" t="s">
        <v>87</v>
      </c>
      <c r="O81" s="117">
        <v>7</v>
      </c>
      <c r="P81" s="83">
        <v>1</v>
      </c>
      <c r="Q81" s="84">
        <v>1</v>
      </c>
      <c r="R81" s="84">
        <v>9</v>
      </c>
      <c r="S81" s="85">
        <v>7</v>
      </c>
      <c r="T81" s="6" t="str">
        <f t="shared" ca="1" si="16"/>
        <v>Low</v>
      </c>
      <c r="U81" s="3" t="str">
        <f t="shared" ca="1" si="17"/>
        <v>Low</v>
      </c>
      <c r="V81" s="3" t="str">
        <f t="shared" ca="1" si="18"/>
        <v>High</v>
      </c>
      <c r="W81" s="5" t="str">
        <f t="shared" ca="1" si="19"/>
        <v>Med</v>
      </c>
      <c r="X81" s="148" t="s">
        <v>305</v>
      </c>
      <c r="Y81" s="91"/>
      <c r="Z81" s="106"/>
      <c r="AA81" s="15"/>
      <c r="AB81" s="2"/>
      <c r="AC81" s="4"/>
      <c r="AD81" s="4"/>
      <c r="AE81" s="1"/>
      <c r="AF81" s="6"/>
      <c r="AG81" s="3"/>
      <c r="AH81" s="3"/>
      <c r="AI81" s="5"/>
      <c r="AJ81" s="107"/>
      <c r="AK81" s="107"/>
      <c r="AL81" s="107"/>
      <c r="AM81" s="15"/>
      <c r="AN81" s="2"/>
      <c r="AO81" s="4"/>
      <c r="AP81" s="4"/>
      <c r="AQ81" s="1"/>
      <c r="AR81" s="6"/>
      <c r="AS81" s="3"/>
      <c r="AT81" s="3"/>
      <c r="AU81" s="5"/>
      <c r="AV81" s="108"/>
      <c r="AW81" s="134"/>
    </row>
    <row r="82" spans="2:49" s="14" customFormat="1" ht="165" x14ac:dyDescent="0.25">
      <c r="B82" s="143" t="s">
        <v>245</v>
      </c>
      <c r="C82" s="142" t="s">
        <v>134</v>
      </c>
      <c r="D82" s="133" t="s">
        <v>119</v>
      </c>
      <c r="E82" s="144">
        <v>2</v>
      </c>
      <c r="F82" s="142" t="s">
        <v>368</v>
      </c>
      <c r="G82" s="142" t="s">
        <v>306</v>
      </c>
      <c r="H82" s="142" t="s">
        <v>369</v>
      </c>
      <c r="I82" s="142" t="s">
        <v>124</v>
      </c>
      <c r="J82" s="142" t="s">
        <v>43</v>
      </c>
      <c r="K82" s="142" t="s">
        <v>59</v>
      </c>
      <c r="L82" s="142" t="s">
        <v>44</v>
      </c>
      <c r="M82" s="142" t="s">
        <v>308</v>
      </c>
      <c r="N82" s="142" t="s">
        <v>370</v>
      </c>
      <c r="O82" s="79">
        <v>5</v>
      </c>
      <c r="P82" s="2">
        <v>1</v>
      </c>
      <c r="Q82" s="4">
        <v>1</v>
      </c>
      <c r="R82" s="84">
        <v>9</v>
      </c>
      <c r="S82" s="85">
        <v>7</v>
      </c>
      <c r="T82" s="6" t="str">
        <f t="shared" ca="1" si="16"/>
        <v>Low</v>
      </c>
      <c r="U82" s="3" t="str">
        <f t="shared" ca="1" si="17"/>
        <v>Low</v>
      </c>
      <c r="V82" s="3" t="str">
        <f t="shared" ca="1" si="18"/>
        <v>Med</v>
      </c>
      <c r="W82" s="5" t="str">
        <f t="shared" ca="1" si="19"/>
        <v>Med</v>
      </c>
      <c r="X82" s="148" t="s">
        <v>303</v>
      </c>
      <c r="Y82" s="91"/>
      <c r="Z82" s="106"/>
      <c r="AA82" s="15"/>
      <c r="AB82" s="2"/>
      <c r="AC82" s="4"/>
      <c r="AD82" s="4"/>
      <c r="AE82" s="1"/>
      <c r="AF82" s="6"/>
      <c r="AG82" s="3"/>
      <c r="AH82" s="3"/>
      <c r="AI82" s="5"/>
      <c r="AJ82" s="107"/>
      <c r="AK82" s="107"/>
      <c r="AL82" s="107"/>
      <c r="AM82" s="15"/>
      <c r="AN82" s="2"/>
      <c r="AO82" s="4"/>
      <c r="AP82" s="4"/>
      <c r="AQ82" s="1"/>
      <c r="AR82" s="6"/>
      <c r="AS82" s="3"/>
      <c r="AT82" s="3"/>
      <c r="AU82" s="5"/>
      <c r="AV82" s="108"/>
      <c r="AW82" s="134"/>
    </row>
    <row r="83" spans="2:49" s="14" customFormat="1" ht="150" x14ac:dyDescent="0.25">
      <c r="B83" s="143" t="s">
        <v>246</v>
      </c>
      <c r="C83" s="142" t="s">
        <v>134</v>
      </c>
      <c r="D83" s="133" t="s">
        <v>119</v>
      </c>
      <c r="E83" s="144">
        <v>2</v>
      </c>
      <c r="F83" s="142" t="s">
        <v>368</v>
      </c>
      <c r="G83" s="142" t="s">
        <v>306</v>
      </c>
      <c r="H83" s="142" t="s">
        <v>369</v>
      </c>
      <c r="I83" s="142" t="s">
        <v>126</v>
      </c>
      <c r="J83" s="142" t="s">
        <v>43</v>
      </c>
      <c r="K83" s="142" t="s">
        <v>59</v>
      </c>
      <c r="L83" s="142" t="s">
        <v>45</v>
      </c>
      <c r="M83" s="142" t="s">
        <v>308</v>
      </c>
      <c r="N83" s="142" t="s">
        <v>370</v>
      </c>
      <c r="O83" s="117">
        <v>7</v>
      </c>
      <c r="P83" s="2">
        <v>1</v>
      </c>
      <c r="Q83" s="4">
        <v>1</v>
      </c>
      <c r="R83" s="84">
        <v>9</v>
      </c>
      <c r="S83" s="85">
        <v>7</v>
      </c>
      <c r="T83" s="6" t="str">
        <f t="shared" ca="1" si="16"/>
        <v>Low</v>
      </c>
      <c r="U83" s="3" t="str">
        <f t="shared" ca="1" si="17"/>
        <v>Low</v>
      </c>
      <c r="V83" s="3" t="str">
        <f t="shared" ca="1" si="18"/>
        <v>High</v>
      </c>
      <c r="W83" s="5" t="str">
        <f t="shared" ca="1" si="19"/>
        <v>Med</v>
      </c>
      <c r="X83" s="148" t="s">
        <v>343</v>
      </c>
      <c r="Y83" s="91"/>
      <c r="Z83" s="106"/>
      <c r="AA83" s="15"/>
      <c r="AB83" s="2"/>
      <c r="AC83" s="4"/>
      <c r="AD83" s="4"/>
      <c r="AE83" s="1"/>
      <c r="AF83" s="6"/>
      <c r="AG83" s="3"/>
      <c r="AH83" s="3"/>
      <c r="AI83" s="5"/>
      <c r="AJ83" s="107"/>
      <c r="AK83" s="107"/>
      <c r="AL83" s="107"/>
      <c r="AM83" s="15"/>
      <c r="AN83" s="2"/>
      <c r="AO83" s="4"/>
      <c r="AP83" s="4"/>
      <c r="AQ83" s="1"/>
      <c r="AR83" s="6"/>
      <c r="AS83" s="3"/>
      <c r="AT83" s="3"/>
      <c r="AU83" s="5"/>
      <c r="AV83" s="108"/>
      <c r="AW83" s="134"/>
    </row>
    <row r="84" spans="2:49" s="14" customFormat="1" ht="120" x14ac:dyDescent="0.25">
      <c r="B84" s="143" t="s">
        <v>247</v>
      </c>
      <c r="C84" s="142" t="s">
        <v>134</v>
      </c>
      <c r="D84" s="133" t="s">
        <v>119</v>
      </c>
      <c r="E84" s="144">
        <v>2</v>
      </c>
      <c r="F84" s="142" t="s">
        <v>368</v>
      </c>
      <c r="G84" s="142" t="s">
        <v>306</v>
      </c>
      <c r="H84" s="142" t="s">
        <v>369</v>
      </c>
      <c r="I84" s="142" t="s">
        <v>128</v>
      </c>
      <c r="J84" s="142" t="s">
        <v>43</v>
      </c>
      <c r="K84" s="142" t="s">
        <v>59</v>
      </c>
      <c r="L84" s="142" t="s">
        <v>44</v>
      </c>
      <c r="M84" s="142" t="s">
        <v>308</v>
      </c>
      <c r="N84" s="142" t="s">
        <v>370</v>
      </c>
      <c r="O84" s="79">
        <v>5</v>
      </c>
      <c r="P84" s="2">
        <v>1</v>
      </c>
      <c r="Q84" s="4">
        <v>1</v>
      </c>
      <c r="R84" s="84">
        <v>9</v>
      </c>
      <c r="S84" s="85">
        <v>7</v>
      </c>
      <c r="T84" s="6" t="str">
        <f t="shared" ca="1" si="16"/>
        <v>Low</v>
      </c>
      <c r="U84" s="3" t="str">
        <f t="shared" ca="1" si="17"/>
        <v>Low</v>
      </c>
      <c r="V84" s="3" t="str">
        <f t="shared" ca="1" si="18"/>
        <v>Med</v>
      </c>
      <c r="W84" s="5" t="str">
        <f t="shared" ca="1" si="19"/>
        <v>Med</v>
      </c>
      <c r="X84" s="148" t="s">
        <v>344</v>
      </c>
      <c r="Y84" s="91"/>
      <c r="Z84" s="106"/>
      <c r="AA84" s="15"/>
      <c r="AB84" s="2"/>
      <c r="AC84" s="4"/>
      <c r="AD84" s="4"/>
      <c r="AE84" s="1"/>
      <c r="AF84" s="6"/>
      <c r="AG84" s="3"/>
      <c r="AH84" s="3"/>
      <c r="AI84" s="5"/>
      <c r="AJ84" s="107"/>
      <c r="AK84" s="107"/>
      <c r="AL84" s="107"/>
      <c r="AM84" s="15"/>
      <c r="AN84" s="2"/>
      <c r="AO84" s="4"/>
      <c r="AP84" s="4"/>
      <c r="AQ84" s="1"/>
      <c r="AR84" s="6"/>
      <c r="AS84" s="3"/>
      <c r="AT84" s="3"/>
      <c r="AU84" s="5"/>
      <c r="AV84" s="108"/>
      <c r="AW84" s="134" t="s">
        <v>323</v>
      </c>
    </row>
    <row r="85" spans="2:49" s="14" customFormat="1" ht="150" x14ac:dyDescent="0.25">
      <c r="B85" s="143" t="s">
        <v>248</v>
      </c>
      <c r="C85" s="142" t="s">
        <v>134</v>
      </c>
      <c r="D85" s="133" t="s">
        <v>119</v>
      </c>
      <c r="E85" s="144">
        <v>2</v>
      </c>
      <c r="F85" s="142" t="s">
        <v>368</v>
      </c>
      <c r="G85" s="142" t="s">
        <v>306</v>
      </c>
      <c r="H85" s="142" t="s">
        <v>369</v>
      </c>
      <c r="I85" s="142" t="s">
        <v>157</v>
      </c>
      <c r="J85" s="142" t="s">
        <v>43</v>
      </c>
      <c r="K85" s="142" t="s">
        <v>59</v>
      </c>
      <c r="L85" s="142" t="s">
        <v>45</v>
      </c>
      <c r="M85" s="142" t="s">
        <v>308</v>
      </c>
      <c r="N85" s="142" t="s">
        <v>370</v>
      </c>
      <c r="O85" s="79">
        <v>5</v>
      </c>
      <c r="P85" s="2">
        <v>1</v>
      </c>
      <c r="Q85" s="4">
        <v>1</v>
      </c>
      <c r="R85" s="84">
        <v>9</v>
      </c>
      <c r="S85" s="85">
        <v>7</v>
      </c>
      <c r="T85" s="6" t="str">
        <f t="shared" ca="1" si="16"/>
        <v>Low</v>
      </c>
      <c r="U85" s="3" t="str">
        <f t="shared" ca="1" si="17"/>
        <v>Low</v>
      </c>
      <c r="V85" s="3" t="str">
        <f t="shared" ca="1" si="18"/>
        <v>Med</v>
      </c>
      <c r="W85" s="5" t="str">
        <f t="shared" ca="1" si="19"/>
        <v>Med</v>
      </c>
      <c r="X85" s="148" t="s">
        <v>345</v>
      </c>
      <c r="Y85" s="91"/>
      <c r="Z85" s="106"/>
      <c r="AA85" s="15"/>
      <c r="AB85" s="2"/>
      <c r="AC85" s="4"/>
      <c r="AD85" s="4"/>
      <c r="AE85" s="1"/>
      <c r="AF85" s="6"/>
      <c r="AG85" s="3"/>
      <c r="AH85" s="3"/>
      <c r="AI85" s="5"/>
      <c r="AJ85" s="107"/>
      <c r="AK85" s="107"/>
      <c r="AL85" s="107"/>
      <c r="AM85" s="15"/>
      <c r="AN85" s="2"/>
      <c r="AO85" s="4"/>
      <c r="AP85" s="4"/>
      <c r="AQ85" s="1"/>
      <c r="AR85" s="6"/>
      <c r="AS85" s="3"/>
      <c r="AT85" s="3"/>
      <c r="AU85" s="5"/>
      <c r="AV85" s="108"/>
      <c r="AW85" s="134" t="s">
        <v>323</v>
      </c>
    </row>
    <row r="86" spans="2:49" s="14" customFormat="1" ht="90" x14ac:dyDescent="0.25">
      <c r="B86" s="143" t="s">
        <v>249</v>
      </c>
      <c r="C86" s="142" t="s">
        <v>129</v>
      </c>
      <c r="D86" s="133" t="s">
        <v>120</v>
      </c>
      <c r="E86" s="144">
        <v>2</v>
      </c>
      <c r="F86" s="140" t="s">
        <v>360</v>
      </c>
      <c r="G86" s="140" t="s">
        <v>135</v>
      </c>
      <c r="H86" s="142" t="s">
        <v>285</v>
      </c>
      <c r="I86" s="142" t="s">
        <v>68</v>
      </c>
      <c r="J86" s="142" t="s">
        <v>43</v>
      </c>
      <c r="K86" s="142" t="s">
        <v>311</v>
      </c>
      <c r="L86" s="142" t="s">
        <v>44</v>
      </c>
      <c r="M86" s="142" t="s">
        <v>308</v>
      </c>
      <c r="N86" s="142" t="s">
        <v>87</v>
      </c>
      <c r="O86" s="79">
        <v>3</v>
      </c>
      <c r="P86" s="2">
        <v>1</v>
      </c>
      <c r="Q86" s="4">
        <v>1</v>
      </c>
      <c r="R86" s="84">
        <v>9</v>
      </c>
      <c r="S86" s="85">
        <v>7</v>
      </c>
      <c r="T86" s="6" t="str">
        <f t="shared" ca="1" si="16"/>
        <v>Low</v>
      </c>
      <c r="U86" s="3" t="str">
        <f t="shared" ca="1" si="17"/>
        <v>Low</v>
      </c>
      <c r="V86" s="3" t="str">
        <f t="shared" ca="1" si="18"/>
        <v>Med</v>
      </c>
      <c r="W86" s="5" t="str">
        <f t="shared" ca="1" si="19"/>
        <v>Low</v>
      </c>
      <c r="X86" s="149" t="s">
        <v>264</v>
      </c>
      <c r="Y86" s="91"/>
      <c r="Z86" s="106"/>
      <c r="AA86" s="15"/>
      <c r="AB86" s="2"/>
      <c r="AC86" s="4"/>
      <c r="AD86" s="4"/>
      <c r="AE86" s="1"/>
      <c r="AF86" s="6"/>
      <c r="AG86" s="3"/>
      <c r="AH86" s="3"/>
      <c r="AI86" s="5"/>
      <c r="AJ86" s="107"/>
      <c r="AK86" s="107"/>
      <c r="AL86" s="107"/>
      <c r="AM86" s="15"/>
      <c r="AN86" s="2"/>
      <c r="AO86" s="4"/>
      <c r="AP86" s="4"/>
      <c r="AQ86" s="1"/>
      <c r="AR86" s="6"/>
      <c r="AS86" s="3"/>
      <c r="AT86" s="3"/>
      <c r="AU86" s="5"/>
      <c r="AV86" s="108"/>
      <c r="AW86" s="134"/>
    </row>
    <row r="87" spans="2:49" s="14" customFormat="1" ht="90" x14ac:dyDescent="0.25">
      <c r="B87" s="143" t="s">
        <v>250</v>
      </c>
      <c r="C87" s="142" t="s">
        <v>129</v>
      </c>
      <c r="D87" s="133" t="s">
        <v>120</v>
      </c>
      <c r="E87" s="144">
        <v>2</v>
      </c>
      <c r="F87" s="140" t="s">
        <v>360</v>
      </c>
      <c r="G87" s="140" t="s">
        <v>135</v>
      </c>
      <c r="H87" s="142" t="s">
        <v>285</v>
      </c>
      <c r="I87" s="142" t="s">
        <v>146</v>
      </c>
      <c r="J87" s="142" t="s">
        <v>43</v>
      </c>
      <c r="K87" s="142" t="s">
        <v>283</v>
      </c>
      <c r="L87" s="142" t="s">
        <v>45</v>
      </c>
      <c r="M87" s="142" t="s">
        <v>308</v>
      </c>
      <c r="N87" s="142" t="s">
        <v>87</v>
      </c>
      <c r="O87" s="79">
        <v>7</v>
      </c>
      <c r="P87" s="2">
        <v>1</v>
      </c>
      <c r="Q87" s="4">
        <v>1</v>
      </c>
      <c r="R87" s="84">
        <v>9</v>
      </c>
      <c r="S87" s="85">
        <v>7</v>
      </c>
      <c r="T87" s="6" t="str">
        <f t="shared" ca="1" si="16"/>
        <v>Low</v>
      </c>
      <c r="U87" s="3" t="str">
        <f t="shared" ca="1" si="17"/>
        <v>Low</v>
      </c>
      <c r="V87" s="3" t="str">
        <f t="shared" ca="1" si="18"/>
        <v>High</v>
      </c>
      <c r="W87" s="5" t="str">
        <f t="shared" ca="1" si="19"/>
        <v>Med</v>
      </c>
      <c r="X87" s="149" t="s">
        <v>346</v>
      </c>
      <c r="Y87" s="91"/>
      <c r="Z87" s="106"/>
      <c r="AA87" s="15"/>
      <c r="AB87" s="2"/>
      <c r="AC87" s="4"/>
      <c r="AD87" s="4"/>
      <c r="AE87" s="1"/>
      <c r="AF87" s="6"/>
      <c r="AG87" s="3"/>
      <c r="AH87" s="3"/>
      <c r="AI87" s="5"/>
      <c r="AJ87" s="107"/>
      <c r="AK87" s="107"/>
      <c r="AL87" s="107"/>
      <c r="AM87" s="15"/>
      <c r="AN87" s="2"/>
      <c r="AO87" s="4"/>
      <c r="AP87" s="4"/>
      <c r="AQ87" s="1"/>
      <c r="AR87" s="6"/>
      <c r="AS87" s="3"/>
      <c r="AT87" s="3"/>
      <c r="AU87" s="5"/>
      <c r="AV87" s="108"/>
      <c r="AW87" s="134"/>
    </row>
    <row r="88" spans="2:49" s="14" customFormat="1" ht="90" x14ac:dyDescent="0.25">
      <c r="B88" s="143" t="s">
        <v>251</v>
      </c>
      <c r="C88" s="142" t="s">
        <v>130</v>
      </c>
      <c r="D88" s="133" t="s">
        <v>121</v>
      </c>
      <c r="E88" s="144">
        <v>2</v>
      </c>
      <c r="F88" s="142" t="s">
        <v>371</v>
      </c>
      <c r="G88" s="142" t="s">
        <v>136</v>
      </c>
      <c r="H88" s="142" t="s">
        <v>139</v>
      </c>
      <c r="I88" s="142" t="s">
        <v>138</v>
      </c>
      <c r="J88" s="142" t="s">
        <v>43</v>
      </c>
      <c r="K88" s="142" t="s">
        <v>59</v>
      </c>
      <c r="L88" s="142" t="s">
        <v>44</v>
      </c>
      <c r="M88" s="142" t="s">
        <v>308</v>
      </c>
      <c r="N88" s="142" t="s">
        <v>313</v>
      </c>
      <c r="O88" s="82">
        <v>7</v>
      </c>
      <c r="P88" s="2">
        <v>1</v>
      </c>
      <c r="Q88" s="4">
        <v>1</v>
      </c>
      <c r="R88" s="84">
        <v>9</v>
      </c>
      <c r="S88" s="85">
        <v>7</v>
      </c>
      <c r="T88" s="6" t="str">
        <f t="shared" ca="1" si="16"/>
        <v>Low</v>
      </c>
      <c r="U88" s="3" t="str">
        <f t="shared" ca="1" si="17"/>
        <v>Low</v>
      </c>
      <c r="V88" s="3" t="str">
        <f t="shared" ca="1" si="18"/>
        <v>High</v>
      </c>
      <c r="W88" s="5" t="str">
        <f t="shared" ca="1" si="19"/>
        <v>Med</v>
      </c>
      <c r="X88" s="148" t="s">
        <v>347</v>
      </c>
      <c r="Y88" s="91"/>
      <c r="Z88" s="106"/>
      <c r="AA88" s="15"/>
      <c r="AB88" s="2"/>
      <c r="AC88" s="4"/>
      <c r="AD88" s="4"/>
      <c r="AE88" s="1"/>
      <c r="AF88" s="6"/>
      <c r="AG88" s="3"/>
      <c r="AH88" s="3"/>
      <c r="AI88" s="5"/>
      <c r="AJ88" s="107"/>
      <c r="AK88" s="107"/>
      <c r="AL88" s="107"/>
      <c r="AM88" s="15"/>
      <c r="AN88" s="2"/>
      <c r="AO88" s="4"/>
      <c r="AP88" s="4"/>
      <c r="AQ88" s="1"/>
      <c r="AR88" s="6"/>
      <c r="AS88" s="3"/>
      <c r="AT88" s="3"/>
      <c r="AU88" s="5"/>
      <c r="AV88" s="108"/>
      <c r="AW88" s="134"/>
    </row>
    <row r="89" spans="2:49" s="14" customFormat="1" ht="90" x14ac:dyDescent="0.25">
      <c r="B89" s="143" t="s">
        <v>252</v>
      </c>
      <c r="C89" s="142" t="s">
        <v>130</v>
      </c>
      <c r="D89" s="133" t="s">
        <v>121</v>
      </c>
      <c r="E89" s="144">
        <v>2</v>
      </c>
      <c r="F89" s="142" t="s">
        <v>371</v>
      </c>
      <c r="G89" s="142" t="s">
        <v>136</v>
      </c>
      <c r="H89" s="142" t="s">
        <v>139</v>
      </c>
      <c r="I89" s="142" t="s">
        <v>312</v>
      </c>
      <c r="J89" s="142" t="s">
        <v>43</v>
      </c>
      <c r="K89" s="142" t="s">
        <v>59</v>
      </c>
      <c r="L89" s="142" t="s">
        <v>44</v>
      </c>
      <c r="M89" s="142" t="s">
        <v>308</v>
      </c>
      <c r="N89" s="142" t="s">
        <v>313</v>
      </c>
      <c r="O89" s="82">
        <v>5</v>
      </c>
      <c r="P89" s="2">
        <v>1</v>
      </c>
      <c r="Q89" s="4">
        <v>1</v>
      </c>
      <c r="R89" s="84">
        <v>9</v>
      </c>
      <c r="S89" s="85">
        <v>7</v>
      </c>
      <c r="T89" s="6" t="str">
        <f t="shared" ca="1" si="16"/>
        <v>Low</v>
      </c>
      <c r="U89" s="3" t="str">
        <f t="shared" ca="1" si="17"/>
        <v>Low</v>
      </c>
      <c r="V89" s="3" t="str">
        <f t="shared" ca="1" si="18"/>
        <v>Med</v>
      </c>
      <c r="W89" s="5" t="str">
        <f t="shared" ca="1" si="19"/>
        <v>Med</v>
      </c>
      <c r="X89" s="148" t="s">
        <v>348</v>
      </c>
      <c r="Y89" s="91"/>
      <c r="Z89" s="106"/>
      <c r="AA89" s="15"/>
      <c r="AB89" s="2"/>
      <c r="AC89" s="4"/>
      <c r="AD89" s="4"/>
      <c r="AE89" s="1"/>
      <c r="AF89" s="6"/>
      <c r="AG89" s="3"/>
      <c r="AH89" s="3"/>
      <c r="AI89" s="5"/>
      <c r="AJ89" s="107"/>
      <c r="AK89" s="107"/>
      <c r="AL89" s="107"/>
      <c r="AM89" s="15"/>
      <c r="AN89" s="2"/>
      <c r="AO89" s="4"/>
      <c r="AP89" s="4"/>
      <c r="AQ89" s="1"/>
      <c r="AR89" s="6"/>
      <c r="AS89" s="3"/>
      <c r="AT89" s="3"/>
      <c r="AU89" s="5"/>
      <c r="AV89" s="108"/>
      <c r="AW89" s="134"/>
    </row>
    <row r="90" spans="2:49" s="14" customFormat="1" ht="120" x14ac:dyDescent="0.25">
      <c r="B90" s="143" t="s">
        <v>253</v>
      </c>
      <c r="C90" s="142" t="s">
        <v>130</v>
      </c>
      <c r="D90" s="133" t="s">
        <v>121</v>
      </c>
      <c r="E90" s="144">
        <v>2</v>
      </c>
      <c r="F90" s="142" t="s">
        <v>371</v>
      </c>
      <c r="G90" s="142" t="s">
        <v>136</v>
      </c>
      <c r="H90" s="142" t="s">
        <v>139</v>
      </c>
      <c r="I90" s="142" t="s">
        <v>111</v>
      </c>
      <c r="J90" s="142" t="s">
        <v>43</v>
      </c>
      <c r="K90" s="142" t="s">
        <v>59</v>
      </c>
      <c r="L90" s="142" t="s">
        <v>45</v>
      </c>
      <c r="M90" s="142" t="s">
        <v>308</v>
      </c>
      <c r="N90" s="142" t="s">
        <v>313</v>
      </c>
      <c r="O90" s="117">
        <v>7</v>
      </c>
      <c r="P90" s="2">
        <v>1</v>
      </c>
      <c r="Q90" s="4">
        <v>1</v>
      </c>
      <c r="R90" s="84">
        <v>9</v>
      </c>
      <c r="S90" s="85">
        <v>7</v>
      </c>
      <c r="T90" s="6" t="str">
        <f t="shared" ca="1" si="16"/>
        <v>Low</v>
      </c>
      <c r="U90" s="3" t="str">
        <f t="shared" ca="1" si="17"/>
        <v>Low</v>
      </c>
      <c r="V90" s="3" t="str">
        <f t="shared" ca="1" si="18"/>
        <v>High</v>
      </c>
      <c r="W90" s="5" t="str">
        <f t="shared" ca="1" si="19"/>
        <v>Med</v>
      </c>
      <c r="X90" s="148" t="s">
        <v>349</v>
      </c>
      <c r="Y90" s="91"/>
      <c r="Z90" s="106"/>
      <c r="AA90" s="15"/>
      <c r="AB90" s="2"/>
      <c r="AC90" s="4"/>
      <c r="AD90" s="4"/>
      <c r="AE90" s="1"/>
      <c r="AF90" s="6"/>
      <c r="AG90" s="3"/>
      <c r="AH90" s="3"/>
      <c r="AI90" s="5"/>
      <c r="AJ90" s="107"/>
      <c r="AK90" s="107"/>
      <c r="AL90" s="107"/>
      <c r="AM90" s="15"/>
      <c r="AN90" s="2"/>
      <c r="AO90" s="4"/>
      <c r="AP90" s="4"/>
      <c r="AQ90" s="1"/>
      <c r="AR90" s="6"/>
      <c r="AS90" s="3"/>
      <c r="AT90" s="3"/>
      <c r="AU90" s="5"/>
      <c r="AV90" s="108"/>
      <c r="AW90" s="134"/>
    </row>
    <row r="91" spans="2:49" s="14" customFormat="1" ht="90" x14ac:dyDescent="0.25">
      <c r="B91" s="143" t="s">
        <v>254</v>
      </c>
      <c r="C91" s="142" t="s">
        <v>130</v>
      </c>
      <c r="D91" s="133" t="s">
        <v>121</v>
      </c>
      <c r="E91" s="144">
        <v>2</v>
      </c>
      <c r="F91" s="142" t="s">
        <v>371</v>
      </c>
      <c r="G91" s="142" t="s">
        <v>136</v>
      </c>
      <c r="H91" s="142" t="s">
        <v>139</v>
      </c>
      <c r="I91" s="142" t="s">
        <v>137</v>
      </c>
      <c r="J91" s="142" t="s">
        <v>43</v>
      </c>
      <c r="K91" s="142" t="s">
        <v>59</v>
      </c>
      <c r="L91" s="142" t="s">
        <v>45</v>
      </c>
      <c r="M91" s="142" t="s">
        <v>308</v>
      </c>
      <c r="N91" s="142" t="s">
        <v>313</v>
      </c>
      <c r="O91" s="82">
        <v>5</v>
      </c>
      <c r="P91" s="2">
        <v>1</v>
      </c>
      <c r="Q91" s="4">
        <v>1</v>
      </c>
      <c r="R91" s="84">
        <v>9</v>
      </c>
      <c r="S91" s="85">
        <v>7</v>
      </c>
      <c r="T91" s="6" t="str">
        <f t="shared" ca="1" si="16"/>
        <v>Low</v>
      </c>
      <c r="U91" s="3" t="str">
        <f t="shared" ca="1" si="17"/>
        <v>Low</v>
      </c>
      <c r="V91" s="3" t="str">
        <f t="shared" ca="1" si="18"/>
        <v>Med</v>
      </c>
      <c r="W91" s="5" t="str">
        <f t="shared" ca="1" si="19"/>
        <v>Med</v>
      </c>
      <c r="X91" s="148" t="s">
        <v>347</v>
      </c>
      <c r="Y91" s="91"/>
      <c r="Z91" s="106"/>
      <c r="AA91" s="15"/>
      <c r="AB91" s="2"/>
      <c r="AC91" s="4"/>
      <c r="AD91" s="4"/>
      <c r="AE91" s="1"/>
      <c r="AF91" s="6"/>
      <c r="AG91" s="3"/>
      <c r="AH91" s="3"/>
      <c r="AI91" s="5"/>
      <c r="AJ91" s="107"/>
      <c r="AK91" s="107"/>
      <c r="AL91" s="107"/>
      <c r="AM91" s="15"/>
      <c r="AN91" s="2"/>
      <c r="AO91" s="4"/>
      <c r="AP91" s="4"/>
      <c r="AQ91" s="1"/>
      <c r="AR91" s="6"/>
      <c r="AS91" s="3"/>
      <c r="AT91" s="3"/>
      <c r="AU91" s="5"/>
      <c r="AV91" s="108"/>
      <c r="AW91" s="134"/>
    </row>
    <row r="92" spans="2:49" s="14" customFormat="1" ht="90" x14ac:dyDescent="0.25">
      <c r="B92" s="143" t="s">
        <v>325</v>
      </c>
      <c r="C92" s="142" t="s">
        <v>130</v>
      </c>
      <c r="D92" s="133" t="s">
        <v>121</v>
      </c>
      <c r="E92" s="144">
        <v>2</v>
      </c>
      <c r="F92" s="142" t="s">
        <v>371</v>
      </c>
      <c r="G92" s="142" t="s">
        <v>136</v>
      </c>
      <c r="H92" s="142" t="s">
        <v>139</v>
      </c>
      <c r="I92" s="142" t="s">
        <v>326</v>
      </c>
      <c r="J92" s="142" t="s">
        <v>43</v>
      </c>
      <c r="K92" s="142" t="s">
        <v>59</v>
      </c>
      <c r="L92" s="142" t="s">
        <v>45</v>
      </c>
      <c r="M92" s="142" t="s">
        <v>308</v>
      </c>
      <c r="N92" s="142" t="s">
        <v>313</v>
      </c>
      <c r="O92" s="82">
        <v>5</v>
      </c>
      <c r="P92" s="2">
        <v>1</v>
      </c>
      <c r="Q92" s="4">
        <v>1</v>
      </c>
      <c r="R92" s="84">
        <v>9</v>
      </c>
      <c r="S92" s="85">
        <v>7</v>
      </c>
      <c r="T92" s="6" t="str">
        <f t="shared" ref="T92" ca="1" si="22">IF(AND(ISNUMBER(P92),ISNUMBER($O92)),OFFSET(RiskMatrixRef,-$O92+1,P92-1),"")</f>
        <v>Low</v>
      </c>
      <c r="U92" s="3" t="str">
        <f t="shared" ref="U92" ca="1" si="23">IF(AND(ISNUMBER(Q92),ISNUMBER($O92)),OFFSET(RiskMatrixRef,-$O92+1,Q92-1),"")</f>
        <v>Low</v>
      </c>
      <c r="V92" s="3" t="str">
        <f t="shared" ref="V92" ca="1" si="24">IF(AND(ISNUMBER(R92),ISNUMBER($O92)),OFFSET(RiskMatrixRef,-$O92+1,R92-1),"")</f>
        <v>Med</v>
      </c>
      <c r="W92" s="5" t="str">
        <f t="shared" ref="W92" ca="1" si="25">IF(AND(ISNUMBER(S92),ISNUMBER($O92)),OFFSET(RiskMatrixRef,-$O92+1,S92-1),"")</f>
        <v>Med</v>
      </c>
      <c r="X92" s="148" t="s">
        <v>350</v>
      </c>
      <c r="Y92" s="91" t="s">
        <v>327</v>
      </c>
      <c r="Z92" s="106" t="s">
        <v>328</v>
      </c>
      <c r="AA92" s="15" t="s">
        <v>329</v>
      </c>
      <c r="AB92" s="2" t="s">
        <v>330</v>
      </c>
      <c r="AC92" s="4" t="s">
        <v>331</v>
      </c>
      <c r="AD92" s="4" t="s">
        <v>332</v>
      </c>
      <c r="AE92" s="1" t="s">
        <v>329</v>
      </c>
      <c r="AF92" s="6" t="s">
        <v>333</v>
      </c>
      <c r="AG92" s="3" t="s">
        <v>334</v>
      </c>
      <c r="AH92" s="3" t="s">
        <v>335</v>
      </c>
      <c r="AI92" s="5" t="s">
        <v>336</v>
      </c>
      <c r="AJ92" s="107" t="s">
        <v>337</v>
      </c>
      <c r="AK92" s="107" t="s">
        <v>338</v>
      </c>
      <c r="AL92" s="107" t="s">
        <v>339</v>
      </c>
      <c r="AM92" s="15" t="s">
        <v>340</v>
      </c>
      <c r="AN92" s="2" t="s">
        <v>336</v>
      </c>
      <c r="AO92" s="4" t="s">
        <v>341</v>
      </c>
      <c r="AP92" s="4" t="s">
        <v>342</v>
      </c>
      <c r="AQ92" s="1"/>
      <c r="AR92" s="6"/>
      <c r="AS92" s="3"/>
      <c r="AT92" s="3"/>
      <c r="AU92" s="5"/>
      <c r="AV92" s="108"/>
      <c r="AW92" s="134"/>
    </row>
    <row r="93" spans="2:49" s="14" customFormat="1" ht="168.75" customHeight="1" x14ac:dyDescent="0.25">
      <c r="B93" s="143" t="s">
        <v>256</v>
      </c>
      <c r="C93" s="142" t="s">
        <v>131</v>
      </c>
      <c r="D93" s="133" t="s">
        <v>122</v>
      </c>
      <c r="E93" s="144">
        <v>2</v>
      </c>
      <c r="F93" s="142" t="s">
        <v>54</v>
      </c>
      <c r="G93" s="140" t="s">
        <v>115</v>
      </c>
      <c r="H93" s="142" t="s">
        <v>285</v>
      </c>
      <c r="I93" s="142" t="s">
        <v>150</v>
      </c>
      <c r="J93" s="142" t="s">
        <v>43</v>
      </c>
      <c r="K93" s="142" t="s">
        <v>59</v>
      </c>
      <c r="L93" s="142" t="s">
        <v>44</v>
      </c>
      <c r="M93" s="142" t="s">
        <v>308</v>
      </c>
      <c r="N93" s="142" t="s">
        <v>313</v>
      </c>
      <c r="O93" s="82">
        <v>5</v>
      </c>
      <c r="P93" s="2">
        <v>1</v>
      </c>
      <c r="Q93" s="4">
        <v>1</v>
      </c>
      <c r="R93" s="84">
        <v>9</v>
      </c>
      <c r="S93" s="85">
        <v>7</v>
      </c>
      <c r="T93" s="6" t="str">
        <f t="shared" ca="1" si="16"/>
        <v>Low</v>
      </c>
      <c r="U93" s="3" t="str">
        <f t="shared" ca="1" si="17"/>
        <v>Low</v>
      </c>
      <c r="V93" s="3" t="str">
        <f t="shared" ca="1" si="18"/>
        <v>Med</v>
      </c>
      <c r="W93" s="5" t="str">
        <f t="shared" ca="1" si="19"/>
        <v>Med</v>
      </c>
      <c r="X93" s="148" t="s">
        <v>343</v>
      </c>
      <c r="Y93" s="91"/>
      <c r="Z93" s="106"/>
      <c r="AA93" s="15"/>
      <c r="AB93" s="2"/>
      <c r="AC93" s="4"/>
      <c r="AD93" s="4"/>
      <c r="AE93" s="1"/>
      <c r="AF93" s="6"/>
      <c r="AG93" s="3"/>
      <c r="AH93" s="3"/>
      <c r="AI93" s="5"/>
      <c r="AJ93" s="107"/>
      <c r="AK93" s="107"/>
      <c r="AL93" s="107"/>
      <c r="AM93" s="15"/>
      <c r="AN93" s="2"/>
      <c r="AO93" s="4"/>
      <c r="AP93" s="4"/>
      <c r="AQ93" s="1"/>
      <c r="AR93" s="6"/>
      <c r="AS93" s="3"/>
      <c r="AT93" s="3"/>
      <c r="AU93" s="5"/>
      <c r="AV93" s="108"/>
      <c r="AW93" s="134"/>
    </row>
    <row r="94" spans="2:49" ht="90" x14ac:dyDescent="0.25">
      <c r="B94" s="143" t="s">
        <v>258</v>
      </c>
      <c r="C94" s="142" t="s">
        <v>131</v>
      </c>
      <c r="D94" s="133" t="s">
        <v>122</v>
      </c>
      <c r="E94" s="144">
        <v>2</v>
      </c>
      <c r="F94" s="142" t="s">
        <v>54</v>
      </c>
      <c r="G94" s="140" t="s">
        <v>115</v>
      </c>
      <c r="H94" s="142" t="s">
        <v>285</v>
      </c>
      <c r="I94" s="142" t="s">
        <v>161</v>
      </c>
      <c r="J94" s="142" t="s">
        <v>43</v>
      </c>
      <c r="K94" s="142" t="s">
        <v>59</v>
      </c>
      <c r="L94" s="142" t="s">
        <v>44</v>
      </c>
      <c r="M94" s="142" t="s">
        <v>308</v>
      </c>
      <c r="N94" s="142" t="s">
        <v>313</v>
      </c>
      <c r="O94" s="82">
        <v>5</v>
      </c>
      <c r="P94" s="2">
        <v>1</v>
      </c>
      <c r="Q94" s="4">
        <v>1</v>
      </c>
      <c r="R94" s="84">
        <v>9</v>
      </c>
      <c r="S94" s="85">
        <v>7</v>
      </c>
      <c r="T94" s="6" t="str">
        <f t="shared" ca="1" si="16"/>
        <v>Low</v>
      </c>
      <c r="U94" s="3" t="str">
        <f t="shared" ca="1" si="17"/>
        <v>Low</v>
      </c>
      <c r="V94" s="3" t="str">
        <f t="shared" ca="1" si="18"/>
        <v>Med</v>
      </c>
      <c r="W94" s="5" t="str">
        <f t="shared" ca="1" si="19"/>
        <v>Med</v>
      </c>
      <c r="X94" s="148" t="s">
        <v>372</v>
      </c>
      <c r="Y94" s="91"/>
      <c r="Z94" s="106"/>
      <c r="AA94" s="15"/>
      <c r="AB94" s="2"/>
      <c r="AC94" s="4"/>
      <c r="AD94" s="4"/>
      <c r="AE94" s="1"/>
      <c r="AF94" s="6"/>
      <c r="AG94" s="3"/>
      <c r="AH94" s="3"/>
      <c r="AI94" s="5"/>
      <c r="AJ94" s="107"/>
      <c r="AK94" s="107"/>
      <c r="AL94" s="107"/>
      <c r="AM94" s="15"/>
      <c r="AN94" s="2"/>
      <c r="AO94" s="4"/>
      <c r="AP94" s="4"/>
      <c r="AQ94" s="1"/>
      <c r="AR94" s="6"/>
      <c r="AS94" s="3"/>
      <c r="AT94" s="3"/>
      <c r="AU94" s="5"/>
      <c r="AV94" s="108"/>
      <c r="AW94" s="134"/>
    </row>
    <row r="95" spans="2:49" ht="150" x14ac:dyDescent="0.25">
      <c r="B95" s="143" t="s">
        <v>257</v>
      </c>
      <c r="C95" s="142" t="s">
        <v>131</v>
      </c>
      <c r="D95" s="133" t="s">
        <v>122</v>
      </c>
      <c r="E95" s="144">
        <v>2</v>
      </c>
      <c r="F95" s="142" t="s">
        <v>54</v>
      </c>
      <c r="G95" s="140" t="s">
        <v>115</v>
      </c>
      <c r="H95" s="142" t="s">
        <v>285</v>
      </c>
      <c r="I95" s="142" t="s">
        <v>107</v>
      </c>
      <c r="J95" s="142" t="s">
        <v>43</v>
      </c>
      <c r="K95" s="142" t="s">
        <v>59</v>
      </c>
      <c r="L95" s="142" t="s">
        <v>45</v>
      </c>
      <c r="M95" s="142" t="s">
        <v>308</v>
      </c>
      <c r="N95" s="142" t="s">
        <v>313</v>
      </c>
      <c r="O95" s="117">
        <v>7</v>
      </c>
      <c r="P95" s="2">
        <v>1</v>
      </c>
      <c r="Q95" s="4">
        <v>1</v>
      </c>
      <c r="R95" s="84">
        <v>9</v>
      </c>
      <c r="S95" s="85">
        <v>7</v>
      </c>
      <c r="T95" s="6" t="str">
        <f t="shared" ca="1" si="16"/>
        <v>Low</v>
      </c>
      <c r="U95" s="3" t="str">
        <f t="shared" ca="1" si="17"/>
        <v>Low</v>
      </c>
      <c r="V95" s="3" t="str">
        <f t="shared" ca="1" si="18"/>
        <v>High</v>
      </c>
      <c r="W95" s="5" t="str">
        <f t="shared" ca="1" si="19"/>
        <v>Med</v>
      </c>
      <c r="X95" s="148" t="s">
        <v>343</v>
      </c>
      <c r="Y95" s="91"/>
      <c r="Z95" s="106"/>
      <c r="AA95" s="15"/>
      <c r="AB95" s="2"/>
      <c r="AC95" s="4"/>
      <c r="AD95" s="4"/>
      <c r="AE95" s="1"/>
      <c r="AF95" s="6"/>
      <c r="AG95" s="3"/>
      <c r="AH95" s="3"/>
      <c r="AI95" s="5"/>
      <c r="AJ95" s="107"/>
      <c r="AK95" s="107"/>
      <c r="AL95" s="107"/>
      <c r="AM95" s="15"/>
      <c r="AN95" s="2"/>
      <c r="AO95" s="4"/>
      <c r="AP95" s="4"/>
      <c r="AQ95" s="1"/>
      <c r="AR95" s="6"/>
      <c r="AS95" s="3"/>
      <c r="AT95" s="3"/>
      <c r="AU95" s="5"/>
      <c r="AV95" s="108"/>
      <c r="AW95" s="134"/>
    </row>
    <row r="96" spans="2:49" ht="90" x14ac:dyDescent="0.25">
      <c r="B96" s="143" t="s">
        <v>255</v>
      </c>
      <c r="C96" s="142" t="s">
        <v>131</v>
      </c>
      <c r="D96" s="133" t="s">
        <v>122</v>
      </c>
      <c r="E96" s="144">
        <v>2</v>
      </c>
      <c r="F96" s="142" t="s">
        <v>54</v>
      </c>
      <c r="G96" s="140" t="s">
        <v>115</v>
      </c>
      <c r="H96" s="142" t="s">
        <v>285</v>
      </c>
      <c r="I96" s="142" t="s">
        <v>68</v>
      </c>
      <c r="J96" s="142" t="s">
        <v>43</v>
      </c>
      <c r="K96" s="142" t="s">
        <v>311</v>
      </c>
      <c r="L96" s="142" t="s">
        <v>44</v>
      </c>
      <c r="M96" s="142" t="s">
        <v>308</v>
      </c>
      <c r="N96" s="142" t="s">
        <v>313</v>
      </c>
      <c r="O96" s="82">
        <v>3</v>
      </c>
      <c r="P96" s="2">
        <v>1</v>
      </c>
      <c r="Q96" s="4">
        <v>1</v>
      </c>
      <c r="R96" s="84">
        <v>9</v>
      </c>
      <c r="S96" s="85">
        <v>7</v>
      </c>
      <c r="T96" s="6" t="str">
        <f t="shared" ca="1" si="16"/>
        <v>Low</v>
      </c>
      <c r="U96" s="3" t="str">
        <f t="shared" ca="1" si="17"/>
        <v>Low</v>
      </c>
      <c r="V96" s="3" t="str">
        <f t="shared" ca="1" si="18"/>
        <v>Med</v>
      </c>
      <c r="W96" s="5" t="str">
        <f t="shared" ca="1" si="19"/>
        <v>Low</v>
      </c>
      <c r="X96" s="149" t="s">
        <v>351</v>
      </c>
      <c r="Y96" s="91"/>
      <c r="Z96" s="106"/>
      <c r="AA96" s="15"/>
      <c r="AB96" s="2"/>
      <c r="AC96" s="4"/>
      <c r="AD96" s="4"/>
      <c r="AE96" s="1"/>
      <c r="AF96" s="6"/>
      <c r="AG96" s="3"/>
      <c r="AH96" s="3"/>
      <c r="AI96" s="5"/>
      <c r="AJ96" s="107"/>
      <c r="AK96" s="107"/>
      <c r="AL96" s="107"/>
      <c r="AM96" s="15"/>
      <c r="AN96" s="2"/>
      <c r="AO96" s="4"/>
      <c r="AP96" s="4"/>
      <c r="AQ96" s="1"/>
      <c r="AR96" s="6"/>
      <c r="AS96" s="3"/>
      <c r="AT96" s="3"/>
      <c r="AU96" s="5"/>
      <c r="AV96" s="108"/>
      <c r="AW96" s="134"/>
    </row>
    <row r="97" spans="2:49" ht="129" customHeight="1" x14ac:dyDescent="0.25">
      <c r="B97" s="143" t="s">
        <v>259</v>
      </c>
      <c r="C97" s="142" t="s">
        <v>131</v>
      </c>
      <c r="D97" s="133" t="s">
        <v>122</v>
      </c>
      <c r="E97" s="144">
        <v>2</v>
      </c>
      <c r="F97" s="142" t="s">
        <v>54</v>
      </c>
      <c r="G97" s="140" t="s">
        <v>115</v>
      </c>
      <c r="H97" s="142" t="s">
        <v>285</v>
      </c>
      <c r="I97" s="142" t="s">
        <v>108</v>
      </c>
      <c r="J97" s="142" t="s">
        <v>43</v>
      </c>
      <c r="K97" s="142" t="s">
        <v>283</v>
      </c>
      <c r="L97" s="142" t="s">
        <v>45</v>
      </c>
      <c r="M97" s="142" t="s">
        <v>308</v>
      </c>
      <c r="N97" s="142" t="s">
        <v>313</v>
      </c>
      <c r="O97" s="82">
        <v>7</v>
      </c>
      <c r="P97" s="2">
        <v>1</v>
      </c>
      <c r="Q97" s="4">
        <v>1</v>
      </c>
      <c r="R97" s="84">
        <v>9</v>
      </c>
      <c r="S97" s="85">
        <v>7</v>
      </c>
      <c r="T97" s="6" t="str">
        <f t="shared" ca="1" si="16"/>
        <v>Low</v>
      </c>
      <c r="U97" s="3" t="str">
        <f t="shared" ca="1" si="17"/>
        <v>Low</v>
      </c>
      <c r="V97" s="3" t="str">
        <f t="shared" ca="1" si="18"/>
        <v>High</v>
      </c>
      <c r="W97" s="5" t="str">
        <f t="shared" ca="1" si="19"/>
        <v>Med</v>
      </c>
      <c r="X97" s="148" t="s">
        <v>352</v>
      </c>
      <c r="Y97" s="91"/>
      <c r="Z97" s="106"/>
      <c r="AA97" s="15"/>
      <c r="AB97" s="2"/>
      <c r="AC97" s="4"/>
      <c r="AD97" s="4"/>
      <c r="AE97" s="1"/>
      <c r="AF97" s="6"/>
      <c r="AG97" s="3"/>
      <c r="AH97" s="3"/>
      <c r="AI97" s="5"/>
      <c r="AJ97" s="107"/>
      <c r="AK97" s="107"/>
      <c r="AL97" s="107"/>
      <c r="AM97" s="15"/>
      <c r="AN97" s="2"/>
      <c r="AO97" s="4"/>
      <c r="AP97" s="4"/>
      <c r="AQ97" s="1"/>
      <c r="AR97" s="6"/>
      <c r="AS97" s="3"/>
      <c r="AT97" s="3"/>
      <c r="AU97" s="5"/>
      <c r="AV97" s="108"/>
      <c r="AW97" s="134"/>
    </row>
    <row r="98" spans="2:49" x14ac:dyDescent="0.25">
      <c r="B98" s="145"/>
      <c r="J98" s="142"/>
      <c r="K98" s="142"/>
      <c r="L98" s="142"/>
      <c r="R98" s="23"/>
      <c r="S98" s="29"/>
      <c r="T98" s="26"/>
      <c r="U98" s="32"/>
      <c r="V98" s="32"/>
      <c r="W98" s="26"/>
      <c r="X98" s="146"/>
      <c r="AD98" s="23"/>
      <c r="AE98" s="29"/>
      <c r="AF98" s="26"/>
      <c r="AG98" s="32"/>
      <c r="AH98" s="32"/>
      <c r="AI98" s="26"/>
      <c r="AJ98" s="13"/>
      <c r="AP98" s="23"/>
      <c r="AQ98" s="29"/>
      <c r="AR98" s="26"/>
      <c r="AS98" s="32"/>
      <c r="AT98" s="32"/>
      <c r="AU98" s="26"/>
    </row>
    <row r="99" spans="2:49" x14ac:dyDescent="0.25">
      <c r="R99" s="23"/>
      <c r="S99" s="24"/>
      <c r="T99" s="13"/>
      <c r="U99" s="13"/>
      <c r="V99" s="13"/>
      <c r="W99" s="13"/>
      <c r="X99" s="146"/>
      <c r="AD99" s="23"/>
      <c r="AE99" s="24"/>
      <c r="AF99" s="13"/>
      <c r="AG99" s="13"/>
      <c r="AH99" s="13"/>
      <c r="AI99" s="13"/>
      <c r="AJ99" s="13"/>
      <c r="AP99" s="23"/>
      <c r="AQ99" s="24"/>
      <c r="AR99" s="13"/>
      <c r="AS99" s="13"/>
      <c r="AT99" s="13"/>
      <c r="AU99" s="13"/>
    </row>
    <row r="100" spans="2:49" x14ac:dyDescent="0.25">
      <c r="R100" s="23"/>
      <c r="S100" s="29"/>
      <c r="T100" s="26"/>
      <c r="U100" s="30"/>
      <c r="V100" s="30"/>
      <c r="W100" s="26"/>
      <c r="X100" s="146"/>
      <c r="AD100" s="23"/>
      <c r="AE100" s="29"/>
      <c r="AF100" s="26"/>
      <c r="AG100" s="30"/>
      <c r="AH100" s="30"/>
      <c r="AI100" s="26"/>
      <c r="AJ100" s="13"/>
      <c r="AP100" s="23"/>
      <c r="AQ100" s="29"/>
      <c r="AR100" s="26"/>
      <c r="AS100" s="30"/>
      <c r="AT100" s="30"/>
      <c r="AU100" s="26"/>
    </row>
    <row r="101" spans="2:49" x14ac:dyDescent="0.25">
      <c r="R101" s="23"/>
      <c r="S101" s="29"/>
      <c r="T101" s="26"/>
      <c r="U101" s="31"/>
      <c r="V101" s="31"/>
      <c r="W101" s="26"/>
      <c r="X101" s="146"/>
      <c r="AD101" s="23"/>
      <c r="AE101" s="29"/>
      <c r="AF101" s="26"/>
      <c r="AG101" s="31"/>
      <c r="AH101" s="31"/>
      <c r="AI101" s="26"/>
      <c r="AJ101" s="13"/>
      <c r="AP101" s="23"/>
      <c r="AQ101" s="29"/>
      <c r="AR101" s="26"/>
      <c r="AS101" s="31"/>
      <c r="AT101" s="31"/>
      <c r="AU101" s="26"/>
    </row>
    <row r="102" spans="2:49" x14ac:dyDescent="0.25">
      <c r="G102" s="135"/>
      <c r="H102" s="135"/>
      <c r="I102" s="135"/>
      <c r="J102" s="135"/>
      <c r="O102" s="10"/>
      <c r="P102" s="9"/>
      <c r="Q102" s="9"/>
      <c r="R102" s="13"/>
      <c r="S102" s="29"/>
      <c r="T102" s="26"/>
      <c r="U102" s="32"/>
      <c r="V102" s="32"/>
      <c r="W102" s="26"/>
      <c r="X102" s="146"/>
      <c r="AA102" s="10"/>
      <c r="AB102" s="9"/>
      <c r="AC102" s="9"/>
      <c r="AD102" s="13"/>
      <c r="AE102" s="29"/>
      <c r="AF102" s="26"/>
      <c r="AG102" s="32"/>
      <c r="AH102" s="32"/>
      <c r="AI102" s="26"/>
      <c r="AJ102" s="13"/>
      <c r="AM102" s="10"/>
      <c r="AN102" s="9"/>
      <c r="AO102" s="9"/>
      <c r="AP102" s="13"/>
      <c r="AQ102" s="29"/>
      <c r="AR102" s="26"/>
      <c r="AS102" s="32"/>
      <c r="AT102" s="32"/>
      <c r="AU102" s="26"/>
    </row>
    <row r="103" spans="2:49" x14ac:dyDescent="0.25">
      <c r="G103" s="135"/>
      <c r="H103" s="135"/>
      <c r="I103" s="135"/>
      <c r="J103" s="135"/>
      <c r="O103" s="10"/>
      <c r="P103" s="9"/>
      <c r="Q103" s="9"/>
      <c r="R103" s="13"/>
      <c r="S103" s="13"/>
      <c r="T103" s="13"/>
      <c r="U103" s="13"/>
      <c r="V103" s="13"/>
      <c r="W103" s="13"/>
      <c r="X103" s="146"/>
      <c r="AA103" s="10"/>
      <c r="AB103" s="9"/>
      <c r="AC103" s="9"/>
      <c r="AD103" s="13"/>
      <c r="AE103" s="13"/>
      <c r="AF103" s="13"/>
      <c r="AG103" s="13"/>
      <c r="AH103" s="13"/>
      <c r="AI103" s="13"/>
      <c r="AJ103" s="13"/>
      <c r="AM103" s="10"/>
      <c r="AN103" s="9"/>
      <c r="AO103" s="9"/>
      <c r="AP103" s="13"/>
      <c r="AQ103" s="13"/>
      <c r="AR103" s="13"/>
      <c r="AS103" s="13"/>
      <c r="AT103" s="13"/>
      <c r="AU103" s="13"/>
    </row>
    <row r="104" spans="2:49" x14ac:dyDescent="0.25">
      <c r="G104" s="135"/>
      <c r="H104" s="135"/>
      <c r="I104" s="135"/>
      <c r="J104" s="135"/>
      <c r="O104" s="10"/>
      <c r="P104" s="9"/>
      <c r="Q104" s="9"/>
      <c r="R104" s="13"/>
      <c r="S104" s="33"/>
      <c r="T104" s="33"/>
      <c r="U104" s="33"/>
      <c r="V104" s="33"/>
      <c r="W104" s="33"/>
      <c r="X104" s="146"/>
      <c r="AA104" s="10"/>
      <c r="AB104" s="9"/>
      <c r="AC104" s="9"/>
      <c r="AD104" s="13"/>
      <c r="AE104" s="33"/>
      <c r="AF104" s="33"/>
      <c r="AG104" s="33"/>
      <c r="AH104" s="33"/>
      <c r="AI104" s="33"/>
      <c r="AJ104" s="13"/>
      <c r="AM104" s="10"/>
      <c r="AN104" s="9"/>
      <c r="AO104" s="9"/>
      <c r="AP104" s="13"/>
      <c r="AQ104" s="33"/>
      <c r="AR104" s="33"/>
      <c r="AS104" s="33"/>
      <c r="AT104" s="33"/>
      <c r="AU104" s="33"/>
    </row>
    <row r="105" spans="2:49" x14ac:dyDescent="0.25">
      <c r="G105" s="135"/>
      <c r="H105" s="135"/>
      <c r="I105" s="135"/>
      <c r="J105" s="135"/>
      <c r="O105" s="10"/>
      <c r="P105" s="9"/>
      <c r="Q105" s="9"/>
      <c r="R105" s="13"/>
      <c r="S105" s="25"/>
      <c r="T105" s="26"/>
      <c r="U105" s="27"/>
      <c r="V105" s="27"/>
      <c r="W105" s="26"/>
      <c r="X105" s="146"/>
      <c r="AA105" s="10"/>
      <c r="AB105" s="9"/>
      <c r="AC105" s="9"/>
      <c r="AD105" s="13"/>
      <c r="AE105" s="25"/>
      <c r="AF105" s="26"/>
      <c r="AG105" s="27"/>
      <c r="AH105" s="27"/>
      <c r="AI105" s="26"/>
      <c r="AJ105" s="13"/>
      <c r="AM105" s="10"/>
      <c r="AN105" s="9"/>
      <c r="AO105" s="9"/>
      <c r="AP105" s="13"/>
      <c r="AQ105" s="25"/>
      <c r="AR105" s="26"/>
      <c r="AS105" s="27"/>
      <c r="AT105" s="27"/>
      <c r="AU105" s="26"/>
    </row>
    <row r="106" spans="2:49" x14ac:dyDescent="0.25">
      <c r="G106" s="135"/>
      <c r="H106" s="135"/>
      <c r="I106" s="135"/>
      <c r="J106" s="135"/>
      <c r="O106" s="10"/>
      <c r="P106" s="9"/>
      <c r="Q106" s="9"/>
      <c r="R106" s="13"/>
      <c r="S106" s="25"/>
      <c r="T106" s="26"/>
      <c r="U106" s="26"/>
      <c r="V106" s="26"/>
      <c r="W106" s="26"/>
      <c r="X106" s="146"/>
      <c r="AA106" s="10"/>
      <c r="AB106" s="9"/>
      <c r="AC106" s="9"/>
      <c r="AD106" s="13"/>
      <c r="AE106" s="25"/>
      <c r="AF106" s="26"/>
      <c r="AG106" s="26"/>
      <c r="AH106" s="26"/>
      <c r="AI106" s="26"/>
      <c r="AJ106" s="13"/>
      <c r="AM106" s="10"/>
      <c r="AN106" s="9"/>
      <c r="AO106" s="9"/>
      <c r="AP106" s="13"/>
      <c r="AQ106" s="25"/>
      <c r="AR106" s="26"/>
      <c r="AS106" s="26"/>
      <c r="AT106" s="26"/>
      <c r="AU106" s="26"/>
    </row>
    <row r="107" spans="2:49" x14ac:dyDescent="0.25">
      <c r="R107" s="23"/>
      <c r="S107" s="25"/>
      <c r="T107" s="26"/>
      <c r="U107" s="28"/>
      <c r="V107" s="28"/>
      <c r="W107" s="26"/>
      <c r="X107" s="146"/>
      <c r="AD107" s="23"/>
      <c r="AE107" s="25"/>
      <c r="AF107" s="26"/>
      <c r="AG107" s="28"/>
      <c r="AH107" s="28"/>
      <c r="AI107" s="26"/>
      <c r="AJ107" s="13"/>
      <c r="AP107" s="23"/>
      <c r="AQ107" s="25"/>
      <c r="AR107" s="26"/>
      <c r="AS107" s="28"/>
      <c r="AT107" s="28"/>
      <c r="AU107" s="26"/>
    </row>
    <row r="108" spans="2:49" x14ac:dyDescent="0.25">
      <c r="R108" s="23"/>
      <c r="S108" s="23"/>
      <c r="T108" s="13"/>
      <c r="U108" s="13"/>
      <c r="V108" s="13"/>
      <c r="W108" s="13"/>
      <c r="X108" s="146"/>
      <c r="AD108" s="23"/>
      <c r="AE108" s="23"/>
      <c r="AF108" s="13"/>
      <c r="AG108" s="13"/>
      <c r="AH108" s="13"/>
      <c r="AI108" s="13"/>
      <c r="AJ108" s="13"/>
      <c r="AP108" s="23"/>
      <c r="AQ108" s="23"/>
      <c r="AR108" s="13"/>
      <c r="AS108" s="13"/>
      <c r="AT108" s="13"/>
      <c r="AU108" s="13"/>
    </row>
  </sheetData>
  <autoFilter ref="B5:AW97"/>
  <sortState ref="B6:AY95">
    <sortCondition ref="B6:B95"/>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17:W18 T10:W15 AF10:AI15 AR10:AU15 AF42:AI44 AR42:AU44 AR51:AU54 AF51:AI54 T51:W54 AF17:AI36 AR17:AU36 AR7:AU8 AF7:AI8 T7:W8 T20:W44 AF56:AI97 AR56:AU97 T56:W91 T93:W97">
    <cfRule type="cellIs" dxfId="68" priority="125" operator="equal">
      <formula>"High"</formula>
    </cfRule>
    <cfRule type="cellIs" dxfId="67" priority="126" operator="equal">
      <formula>"Med"</formula>
    </cfRule>
    <cfRule type="cellIs" dxfId="66" priority="127" operator="equal">
      <formula>"Low"</formula>
    </cfRule>
  </conditionalFormatting>
  <conditionalFormatting sqref="AF37:AI41 AF48:AI48">
    <cfRule type="cellIs" dxfId="65" priority="99" operator="equal">
      <formula>"High"</formula>
    </cfRule>
    <cfRule type="cellIs" dxfId="64" priority="100" operator="equal">
      <formula>"Med"</formula>
    </cfRule>
    <cfRule type="cellIs" dxfId="63" priority="101" operator="equal">
      <formula>"Low"</formula>
    </cfRule>
  </conditionalFormatting>
  <conditionalFormatting sqref="AR37:AU41 AR48:AU48">
    <cfRule type="cellIs" dxfId="62" priority="95" operator="equal">
      <formula>"High"</formula>
    </cfRule>
    <cfRule type="cellIs" dxfId="61" priority="96" operator="equal">
      <formula>"Med"</formula>
    </cfRule>
    <cfRule type="cellIs" dxfId="60" priority="97" operator="equal">
      <formula>"Low"</formula>
    </cfRule>
  </conditionalFormatting>
  <conditionalFormatting sqref="AR9:AU9 AF9:AI9 T9:W9">
    <cfRule type="cellIs" dxfId="59" priority="85" operator="equal">
      <formula>"High"</formula>
    </cfRule>
    <cfRule type="cellIs" dxfId="58" priority="86" operator="equal">
      <formula>"Med"</formula>
    </cfRule>
    <cfRule type="cellIs" dxfId="57" priority="87" operator="equal">
      <formula>"Low"</formula>
    </cfRule>
  </conditionalFormatting>
  <conditionalFormatting sqref="AR16:AU16 AF16:AI16 T16:W16">
    <cfRule type="cellIs" dxfId="56" priority="82" operator="equal">
      <formula>"High"</formula>
    </cfRule>
    <cfRule type="cellIs" dxfId="55" priority="83" operator="equal">
      <formula>"Med"</formula>
    </cfRule>
    <cfRule type="cellIs" dxfId="54" priority="84" operator="equal">
      <formula>"Low"</formula>
    </cfRule>
  </conditionalFormatting>
  <conditionalFormatting sqref="T19:W19">
    <cfRule type="cellIs" dxfId="53" priority="79" operator="equal">
      <formula>"High"</formula>
    </cfRule>
    <cfRule type="cellIs" dxfId="52" priority="80" operator="equal">
      <formula>"Med"</formula>
    </cfRule>
    <cfRule type="cellIs" dxfId="51" priority="81" operator="equal">
      <formula>"Low"</formula>
    </cfRule>
  </conditionalFormatting>
  <conditionalFormatting sqref="T50:W50">
    <cfRule type="cellIs" dxfId="50" priority="58" operator="equal">
      <formula>"High"</formula>
    </cfRule>
    <cfRule type="cellIs" dxfId="49" priority="59" operator="equal">
      <formula>"Med"</formula>
    </cfRule>
    <cfRule type="cellIs" dxfId="48" priority="60" operator="equal">
      <formula>"Low"</formula>
    </cfRule>
  </conditionalFormatting>
  <conditionalFormatting sqref="AF50:AI50">
    <cfRule type="cellIs" dxfId="47" priority="55" operator="equal">
      <formula>"High"</formula>
    </cfRule>
    <cfRule type="cellIs" dxfId="46" priority="56" operator="equal">
      <formula>"Med"</formula>
    </cfRule>
    <cfRule type="cellIs" dxfId="45" priority="57" operator="equal">
      <formula>"Low"</formula>
    </cfRule>
  </conditionalFormatting>
  <conditionalFormatting sqref="AR50:AU50">
    <cfRule type="cellIs" dxfId="44" priority="52" operator="equal">
      <formula>"High"</formula>
    </cfRule>
    <cfRule type="cellIs" dxfId="43" priority="53" operator="equal">
      <formula>"Med"</formula>
    </cfRule>
    <cfRule type="cellIs" dxfId="42" priority="54" operator="equal">
      <formula>"Low"</formula>
    </cfRule>
  </conditionalFormatting>
  <conditionalFormatting sqref="T49:W49">
    <cfRule type="cellIs" dxfId="41" priority="49" operator="equal">
      <formula>"High"</formula>
    </cfRule>
    <cfRule type="cellIs" dxfId="40" priority="50" operator="equal">
      <formula>"Med"</formula>
    </cfRule>
    <cfRule type="cellIs" dxfId="39" priority="51" operator="equal">
      <formula>"Low"</formula>
    </cfRule>
  </conditionalFormatting>
  <conditionalFormatting sqref="AF49:AI49">
    <cfRule type="cellIs" dxfId="38" priority="46" operator="equal">
      <formula>"High"</formula>
    </cfRule>
    <cfRule type="cellIs" dxfId="37" priority="47" operator="equal">
      <formula>"Med"</formula>
    </cfRule>
    <cfRule type="cellIs" dxfId="36" priority="48" operator="equal">
      <formula>"Low"</formula>
    </cfRule>
  </conditionalFormatting>
  <conditionalFormatting sqref="AR49:AU49">
    <cfRule type="cellIs" dxfId="35" priority="43" operator="equal">
      <formula>"High"</formula>
    </cfRule>
    <cfRule type="cellIs" dxfId="34" priority="44" operator="equal">
      <formula>"Med"</formula>
    </cfRule>
    <cfRule type="cellIs" dxfId="33" priority="45" operator="equal">
      <formula>"Low"</formula>
    </cfRule>
  </conditionalFormatting>
  <conditionalFormatting sqref="T46:W47">
    <cfRule type="cellIs" dxfId="32" priority="40" operator="equal">
      <formula>"High"</formula>
    </cfRule>
    <cfRule type="cellIs" dxfId="31" priority="41" operator="equal">
      <formula>"Med"</formula>
    </cfRule>
    <cfRule type="cellIs" dxfId="30" priority="42" operator="equal">
      <formula>"Low"</formula>
    </cfRule>
  </conditionalFormatting>
  <conditionalFormatting sqref="AF46:AI47">
    <cfRule type="cellIs" dxfId="29" priority="37" operator="equal">
      <formula>"High"</formula>
    </cfRule>
    <cfRule type="cellIs" dxfId="28" priority="38" operator="equal">
      <formula>"Med"</formula>
    </cfRule>
    <cfRule type="cellIs" dxfId="27" priority="39" operator="equal">
      <formula>"Low"</formula>
    </cfRule>
  </conditionalFormatting>
  <conditionalFormatting sqref="AR46:AU47">
    <cfRule type="cellIs" dxfId="26" priority="34" operator="equal">
      <formula>"High"</formula>
    </cfRule>
    <cfRule type="cellIs" dxfId="25" priority="35" operator="equal">
      <formula>"Med"</formula>
    </cfRule>
    <cfRule type="cellIs" dxfId="24" priority="36" operator="equal">
      <formula>"Low"</formula>
    </cfRule>
  </conditionalFormatting>
  <conditionalFormatting sqref="T45:W45">
    <cfRule type="cellIs" dxfId="23" priority="31" operator="equal">
      <formula>"High"</formula>
    </cfRule>
    <cfRule type="cellIs" dxfId="22" priority="32" operator="equal">
      <formula>"Med"</formula>
    </cfRule>
    <cfRule type="cellIs" dxfId="21" priority="33" operator="equal">
      <formula>"Low"</formula>
    </cfRule>
  </conditionalFormatting>
  <conditionalFormatting sqref="AF45:AI45">
    <cfRule type="cellIs" dxfId="20" priority="28" operator="equal">
      <formula>"High"</formula>
    </cfRule>
    <cfRule type="cellIs" dxfId="19" priority="29" operator="equal">
      <formula>"Med"</formula>
    </cfRule>
    <cfRule type="cellIs" dxfId="18" priority="30" operator="equal">
      <formula>"Low"</formula>
    </cfRule>
  </conditionalFormatting>
  <conditionalFormatting sqref="AR45:AU45">
    <cfRule type="cellIs" dxfId="17" priority="25" operator="equal">
      <formula>"High"</formula>
    </cfRule>
    <cfRule type="cellIs" dxfId="16" priority="26" operator="equal">
      <formula>"Med"</formula>
    </cfRule>
    <cfRule type="cellIs" dxfId="15" priority="27" operator="equal">
      <formula>"Low"</formula>
    </cfRule>
  </conditionalFormatting>
  <conditionalFormatting sqref="T48:W48">
    <cfRule type="cellIs" dxfId="14" priority="22" operator="equal">
      <formula>"High"</formula>
    </cfRule>
    <cfRule type="cellIs" dxfId="13" priority="23" operator="equal">
      <formula>"Med"</formula>
    </cfRule>
    <cfRule type="cellIs" dxfId="12" priority="24" operator="equal">
      <formula>"Low"</formula>
    </cfRule>
  </conditionalFormatting>
  <conditionalFormatting sqref="AF55:AI55 AR55:AU55 T55:W55">
    <cfRule type="cellIs" dxfId="11" priority="7" operator="equal">
      <formula>"High"</formula>
    </cfRule>
    <cfRule type="cellIs" dxfId="10" priority="8" operator="equal">
      <formula>"Med"</formula>
    </cfRule>
    <cfRule type="cellIs" dxfId="9" priority="9" operator="equal">
      <formula>"Low"</formula>
    </cfRule>
  </conditionalFormatting>
  <conditionalFormatting sqref="AR6:AU6 AF6:AI6 T6:W6">
    <cfRule type="cellIs" dxfId="8" priority="4" operator="equal">
      <formula>"High"</formula>
    </cfRule>
    <cfRule type="cellIs" dxfId="7" priority="5" operator="equal">
      <formula>"Med"</formula>
    </cfRule>
    <cfRule type="cellIs" dxfId="6" priority="6" operator="equal">
      <formula>"Low"</formula>
    </cfRule>
  </conditionalFormatting>
  <conditionalFormatting sqref="T92:W92">
    <cfRule type="cellIs" dxfId="5" priority="1" operator="equal">
      <formula>"High"</formula>
    </cfRule>
    <cfRule type="cellIs" dxfId="4" priority="2" operator="equal">
      <formula>"Med"</formula>
    </cfRule>
    <cfRule type="cellIs" dxfId="3" priority="3" operator="equal">
      <formula>"Low"</formula>
    </cfRule>
  </conditionalFormatting>
  <pageMargins left="0.25" right="0.25" top="0.75" bottom="0.75" header="0.3" footer="0.3"/>
  <pageSetup scale="26"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3"/>
  <sheetViews>
    <sheetView zoomScaleNormal="100" workbookViewId="0">
      <selection activeCell="C28" sqref="C28"/>
    </sheetView>
  </sheetViews>
  <sheetFormatPr defaultRowHeight="15" x14ac:dyDescent="0.25"/>
  <cols>
    <col min="1" max="1" width="15.42578125" customWidth="1"/>
    <col min="2" max="2" width="17.5703125" customWidth="1"/>
    <col min="3" max="3" width="60.85546875" customWidth="1"/>
  </cols>
  <sheetData>
    <row r="1" spans="1:3" x14ac:dyDescent="0.25">
      <c r="A1" s="18" t="s">
        <v>12</v>
      </c>
      <c r="B1" s="177" t="s">
        <v>95</v>
      </c>
      <c r="C1" s="177"/>
    </row>
    <row r="2" spans="1:3" x14ac:dyDescent="0.25">
      <c r="A2" s="18" t="s">
        <v>13</v>
      </c>
      <c r="B2" s="177" t="s">
        <v>96</v>
      </c>
      <c r="C2" s="177"/>
    </row>
    <row r="3" spans="1:3" x14ac:dyDescent="0.25">
      <c r="A3" s="18" t="s">
        <v>14</v>
      </c>
      <c r="B3" s="178" t="s">
        <v>353</v>
      </c>
      <c r="C3" s="178"/>
    </row>
    <row r="4" spans="1:3" x14ac:dyDescent="0.25">
      <c r="A4" s="18" t="s">
        <v>15</v>
      </c>
      <c r="B4" s="177" t="s">
        <v>97</v>
      </c>
      <c r="C4" s="177"/>
    </row>
    <row r="5" spans="1:3" x14ac:dyDescent="0.25">
      <c r="A5" s="18" t="s">
        <v>16</v>
      </c>
      <c r="B5" s="177" t="s">
        <v>98</v>
      </c>
      <c r="C5" s="177"/>
    </row>
    <row r="6" spans="1:3" x14ac:dyDescent="0.25">
      <c r="A6" s="18" t="s">
        <v>103</v>
      </c>
      <c r="B6" s="175"/>
      <c r="C6" s="176"/>
    </row>
    <row r="7" spans="1:3" x14ac:dyDescent="0.25">
      <c r="A7" s="18" t="s">
        <v>104</v>
      </c>
      <c r="B7" s="175"/>
      <c r="C7" s="176"/>
    </row>
    <row r="8" spans="1:3" x14ac:dyDescent="0.25">
      <c r="A8" s="18" t="s">
        <v>105</v>
      </c>
      <c r="B8" s="175"/>
      <c r="C8" s="176"/>
    </row>
    <row r="9" spans="1:3" x14ac:dyDescent="0.25">
      <c r="A9" s="17"/>
      <c r="B9" s="17"/>
      <c r="C9" s="17"/>
    </row>
    <row r="10" spans="1:3" x14ac:dyDescent="0.25">
      <c r="A10" s="17"/>
      <c r="B10" s="17"/>
      <c r="C10" s="17"/>
    </row>
    <row r="11" spans="1:3" x14ac:dyDescent="0.25">
      <c r="A11" s="18" t="s">
        <v>14</v>
      </c>
      <c r="B11" s="18" t="s">
        <v>0</v>
      </c>
      <c r="C11" s="18" t="s">
        <v>17</v>
      </c>
    </row>
    <row r="12" spans="1:3" x14ac:dyDescent="0.25">
      <c r="A12" s="93" t="s">
        <v>91</v>
      </c>
      <c r="B12" s="19">
        <v>41585</v>
      </c>
      <c r="C12" s="92" t="s">
        <v>92</v>
      </c>
    </row>
    <row r="13" spans="1:3" x14ac:dyDescent="0.25">
      <c r="A13" s="92">
        <v>1.1000000000000001</v>
      </c>
      <c r="B13" s="19">
        <v>41673</v>
      </c>
      <c r="C13" s="92" t="s">
        <v>93</v>
      </c>
    </row>
    <row r="14" spans="1:3" x14ac:dyDescent="0.25">
      <c r="A14" s="93" t="s">
        <v>90</v>
      </c>
      <c r="B14" s="19">
        <v>41942</v>
      </c>
      <c r="C14" s="92" t="s">
        <v>94</v>
      </c>
    </row>
    <row r="15" spans="1:3" x14ac:dyDescent="0.25">
      <c r="A15" s="118">
        <v>2.1</v>
      </c>
      <c r="B15" s="19">
        <v>42388</v>
      </c>
      <c r="C15" s="20" t="s">
        <v>324</v>
      </c>
    </row>
    <row r="16" spans="1:3" x14ac:dyDescent="0.25">
      <c r="A16" s="129" t="s">
        <v>353</v>
      </c>
      <c r="B16" s="19">
        <v>42576</v>
      </c>
      <c r="C16" s="20" t="s">
        <v>354</v>
      </c>
    </row>
    <row r="17" spans="1:3" x14ac:dyDescent="0.25">
      <c r="A17" s="20"/>
      <c r="B17" s="20"/>
      <c r="C17" s="20"/>
    </row>
    <row r="18" spans="1:3" x14ac:dyDescent="0.25">
      <c r="A18" s="20"/>
      <c r="B18" s="20"/>
      <c r="C18" s="20"/>
    </row>
    <row r="19" spans="1:3" x14ac:dyDescent="0.25">
      <c r="A19" s="20"/>
      <c r="B19" s="20"/>
      <c r="C19" s="20"/>
    </row>
    <row r="23" spans="1:3" x14ac:dyDescent="0.25">
      <c r="A23" s="21" t="s">
        <v>18</v>
      </c>
    </row>
  </sheetData>
  <mergeCells count="8">
    <mergeCell ref="B8:C8"/>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2:Z57"/>
  <sheetViews>
    <sheetView topLeftCell="A2" zoomScale="80" zoomScaleNormal="80" workbookViewId="0">
      <selection activeCell="T12" sqref="T12"/>
    </sheetView>
  </sheetViews>
  <sheetFormatPr defaultRowHeight="15" x14ac:dyDescent="0.25"/>
  <cols>
    <col min="1" max="1" width="1.85546875" customWidth="1"/>
    <col min="2" max="3" width="12.7109375" customWidth="1"/>
    <col min="4" max="4" width="12.7109375" style="22" customWidth="1"/>
    <col min="5" max="10" width="12.7109375" customWidth="1"/>
    <col min="11" max="11" width="12.7109375" style="22" customWidth="1"/>
    <col min="12" max="12" width="12.7109375" customWidth="1"/>
    <col min="13" max="13" width="12.7109375" style="22" customWidth="1"/>
    <col min="14" max="14" width="12.7109375" customWidth="1"/>
    <col min="15" max="15" width="12.7109375" style="22" customWidth="1"/>
    <col min="16" max="16" width="12.7109375" customWidth="1"/>
    <col min="17" max="17" width="12.7109375" style="22" customWidth="1"/>
    <col min="18" max="28" width="12.7109375" customWidth="1"/>
  </cols>
  <sheetData>
    <row r="2" spans="2:19" ht="18.75" x14ac:dyDescent="0.3">
      <c r="C2" s="180" t="str">
        <f>linkedPage!C2</f>
        <v>Risk = Occ + Sev</v>
      </c>
      <c r="D2" s="180"/>
      <c r="E2" s="180"/>
      <c r="F2" s="180"/>
      <c r="G2" s="180"/>
      <c r="H2" s="180"/>
      <c r="I2" s="180"/>
      <c r="J2" s="180"/>
      <c r="K2" s="180"/>
      <c r="L2" s="180"/>
      <c r="O2" s="22" t="str">
        <f>linkedPage!T2</f>
        <v>Note:</v>
      </c>
    </row>
    <row r="3" spans="2:19" ht="18.75" x14ac:dyDescent="0.3">
      <c r="B3" s="20"/>
      <c r="C3" s="179" t="str">
        <f>linkedPage!C3</f>
        <v>Severity</v>
      </c>
      <c r="D3" s="179"/>
      <c r="E3" s="179"/>
      <c r="F3" s="179"/>
      <c r="G3" s="179"/>
      <c r="H3" s="179"/>
      <c r="I3" s="179"/>
      <c r="J3" s="179"/>
      <c r="K3" s="179"/>
      <c r="L3" s="179"/>
      <c r="O3" s="22" t="str">
        <f>linkedPage!T3</f>
        <v>- 'set up' and 'linkedPage' are both linked to workbook 'FMECA Master v3.xlsx'</v>
      </c>
    </row>
    <row r="4" spans="2:19" ht="18.75" x14ac:dyDescent="0.3">
      <c r="B4" s="77" t="str">
        <f>IF(linkedPage!B4=0,"",linkedPage!B4)</f>
        <v>Occ</v>
      </c>
      <c r="C4" s="55">
        <f>IF(linkedPage!C4=0,"",linkedPage!C4)</f>
        <v>1</v>
      </c>
      <c r="D4" s="55">
        <f>IF(linkedPage!D4=0,"",linkedPage!D4)</f>
        <v>2</v>
      </c>
      <c r="E4" s="55">
        <f>IF(linkedPage!E4=0,"",linkedPage!E4)</f>
        <v>3</v>
      </c>
      <c r="F4" s="55">
        <f>IF(linkedPage!F4=0,"",linkedPage!F4)</f>
        <v>4</v>
      </c>
      <c r="G4" s="55">
        <f>IF(linkedPage!G4=0,"",linkedPage!G4)</f>
        <v>5</v>
      </c>
      <c r="H4" s="55">
        <f>IF(linkedPage!H4=0,"",linkedPage!H4)</f>
        <v>6</v>
      </c>
      <c r="I4" s="55">
        <f>IF(linkedPage!I4=0,"",linkedPage!I4)</f>
        <v>7</v>
      </c>
      <c r="J4" s="55">
        <f>IF(linkedPage!J4=0,"",linkedPage!J4)</f>
        <v>8</v>
      </c>
      <c r="K4" s="55">
        <f>IF(linkedPage!K4=0,"",linkedPage!K4)</f>
        <v>9</v>
      </c>
      <c r="L4" s="55">
        <f>IF(linkedPage!L4=0,"",linkedPage!L4)</f>
        <v>10</v>
      </c>
      <c r="M4" s="22" t="str">
        <f>IF(linkedPage!M4=0,"",linkedPage!M4)</f>
        <v/>
      </c>
      <c r="N4" t="str">
        <f>IF(linkedPage!N4=0,"",linkedPage!N4)</f>
        <v/>
      </c>
      <c r="O4" s="22" t="str">
        <f>linkedPage!T4</f>
        <v>- changes to the tables, risk scores, etc must be made in 'FMECA Master v3.xlsx'</v>
      </c>
      <c r="P4" s="22"/>
    </row>
    <row r="5" spans="2:19" s="22" customFormat="1" x14ac:dyDescent="0.25">
      <c r="B5" s="55">
        <f>IF(linkedPage!B5=0,"",linkedPage!B5)</f>
        <v>10</v>
      </c>
      <c r="C5" s="20" t="str">
        <f>IF(linkedPage!C5=0,"",linkedPage!C5)</f>
        <v>Low</v>
      </c>
      <c r="D5" s="20" t="str">
        <f>IF(linkedPage!D5=0,"",linkedPage!D5)</f>
        <v>Med</v>
      </c>
      <c r="E5" s="20" t="str">
        <f>IF(linkedPage!E5=0,"",linkedPage!E5)</f>
        <v>Med</v>
      </c>
      <c r="F5" s="20" t="str">
        <f>IF(linkedPage!F5=0,"",linkedPage!F5)</f>
        <v>Med</v>
      </c>
      <c r="G5" s="20" t="str">
        <f>IF(linkedPage!G5=0,"",linkedPage!G5)</f>
        <v>Med</v>
      </c>
      <c r="H5" s="20" t="str">
        <f>IF(linkedPage!H5=0,"",linkedPage!H5)</f>
        <v>High</v>
      </c>
      <c r="I5" s="20" t="str">
        <f>IF(linkedPage!I5=0,"",linkedPage!I5)</f>
        <v>High</v>
      </c>
      <c r="J5" s="20" t="str">
        <f>IF(linkedPage!J5=0,"",linkedPage!J5)</f>
        <v>High</v>
      </c>
      <c r="K5" s="20" t="str">
        <f>IF(linkedPage!K5=0,"",linkedPage!K5)</f>
        <v>High</v>
      </c>
      <c r="L5" s="20" t="str">
        <f>IF(linkedPage!L5=0,"",linkedPage!L5)</f>
        <v>High</v>
      </c>
      <c r="M5" s="22" t="str">
        <f>IF(linkedPage!M5=0,"",linkedPage!M5)</f>
        <v/>
      </c>
      <c r="N5" t="str">
        <f>IF(linkedPage!N5=0,"",linkedPage!N5)</f>
        <v/>
      </c>
      <c r="O5" s="22" t="str">
        <f>IF(linkedPage!O5=0,"",linkedPage!O5)</f>
        <v/>
      </c>
    </row>
    <row r="6" spans="2:19" s="22" customFormat="1" ht="16.5" x14ac:dyDescent="0.35">
      <c r="B6" s="55">
        <f>IF(linkedPage!B6=0,"",linkedPage!B6)</f>
        <v>9</v>
      </c>
      <c r="C6" s="20" t="str">
        <f>IF(linkedPage!C6=0,"",linkedPage!C6)</f>
        <v>Low</v>
      </c>
      <c r="D6" s="20" t="str">
        <f>IF(linkedPage!D6=0,"",linkedPage!D6)</f>
        <v>Low</v>
      </c>
      <c r="E6" s="20" t="str">
        <f>IF(linkedPage!E6=0,"",linkedPage!E6)</f>
        <v>Med</v>
      </c>
      <c r="F6" s="20" t="str">
        <f>IF(linkedPage!F6=0,"",linkedPage!F6)</f>
        <v>Med</v>
      </c>
      <c r="G6" s="20" t="str">
        <f>IF(linkedPage!G6=0,"",linkedPage!G6)</f>
        <v>Med</v>
      </c>
      <c r="H6" s="20" t="str">
        <f>IF(linkedPage!H6=0,"",linkedPage!H6)</f>
        <v>Med</v>
      </c>
      <c r="I6" s="20" t="str">
        <f>IF(linkedPage!I6=0,"",linkedPage!I6)</f>
        <v>High</v>
      </c>
      <c r="J6" s="20" t="str">
        <f>IF(linkedPage!J6=0,"",linkedPage!J6)</f>
        <v>High</v>
      </c>
      <c r="K6" s="20" t="str">
        <f>IF(linkedPage!K6=0,"",linkedPage!K6)</f>
        <v>High</v>
      </c>
      <c r="L6" s="20" t="str">
        <f>IF(linkedPage!L6=0,"",linkedPage!L6)</f>
        <v>High</v>
      </c>
      <c r="M6" s="44" t="str">
        <f>IF(linkedPage!M6=0,"",linkedPage!M6)</f>
        <v>low &lt;=</v>
      </c>
      <c r="N6" s="17">
        <f>IF(linkedPage!N6=0,"",linkedPage!N6)</f>
        <v>11</v>
      </c>
      <c r="O6" s="22" t="str">
        <f>IF(linkedPage!O6=0,"",linkedPage!O6)</f>
        <v/>
      </c>
    </row>
    <row r="7" spans="2:19" s="22" customFormat="1" ht="16.5" x14ac:dyDescent="0.35">
      <c r="B7" s="55">
        <f>IF(linkedPage!B7=0,"",linkedPage!B7)</f>
        <v>8</v>
      </c>
      <c r="C7" s="20" t="str">
        <f>IF(linkedPage!C7=0,"",linkedPage!C7)</f>
        <v>Low</v>
      </c>
      <c r="D7" s="20" t="str">
        <f>IF(linkedPage!D7=0,"",linkedPage!D7)</f>
        <v>Low</v>
      </c>
      <c r="E7" s="20" t="str">
        <f>IF(linkedPage!E7=0,"",linkedPage!E7)</f>
        <v>Low</v>
      </c>
      <c r="F7" s="20" t="str">
        <f>IF(linkedPage!F7=0,"",linkedPage!F7)</f>
        <v>Med</v>
      </c>
      <c r="G7" s="20" t="str">
        <f>IF(linkedPage!G7=0,"",linkedPage!G7)</f>
        <v>Med</v>
      </c>
      <c r="H7" s="20" t="str">
        <f>IF(linkedPage!H7=0,"",linkedPage!H7)</f>
        <v>Med</v>
      </c>
      <c r="I7" s="20" t="str">
        <f>IF(linkedPage!I7=0,"",linkedPage!I7)</f>
        <v>Med</v>
      </c>
      <c r="J7" s="20" t="str">
        <f>IF(linkedPage!J7=0,"",linkedPage!J7)</f>
        <v>High</v>
      </c>
      <c r="K7" s="20" t="str">
        <f>IF(linkedPage!K7=0,"",linkedPage!K7)</f>
        <v>High</v>
      </c>
      <c r="L7" s="20" t="str">
        <f>IF(linkedPage!L7=0,"",linkedPage!L7)</f>
        <v>High</v>
      </c>
      <c r="M7" s="44" t="str">
        <f>IF(linkedPage!M7=0,"",linkedPage!M7)</f>
        <v>high&gt;</v>
      </c>
      <c r="N7" s="17">
        <f>IF(linkedPage!N7=0,"",linkedPage!N7)</f>
        <v>15</v>
      </c>
      <c r="O7" s="22" t="str">
        <f>IF(linkedPage!O7=0,"",linkedPage!O7)</f>
        <v/>
      </c>
    </row>
    <row r="8" spans="2:19" s="22" customFormat="1" x14ac:dyDescent="0.25">
      <c r="B8" s="55">
        <f>IF(linkedPage!B8=0,"",linkedPage!B8)</f>
        <v>7</v>
      </c>
      <c r="C8" s="20" t="str">
        <f>IF(linkedPage!C8=0,"",linkedPage!C8)</f>
        <v>Low</v>
      </c>
      <c r="D8" s="20" t="str">
        <f>IF(linkedPage!D8=0,"",linkedPage!D8)</f>
        <v>Low</v>
      </c>
      <c r="E8" s="20" t="str">
        <f>IF(linkedPage!E8=0,"",linkedPage!E8)</f>
        <v>Low</v>
      </c>
      <c r="F8" s="20" t="str">
        <f>IF(linkedPage!F8=0,"",linkedPage!F8)</f>
        <v>Low</v>
      </c>
      <c r="G8" s="20" t="str">
        <f>IF(linkedPage!G8=0,"",linkedPage!G8)</f>
        <v>Med</v>
      </c>
      <c r="H8" s="20" t="str">
        <f>IF(linkedPage!H8=0,"",linkedPage!H8)</f>
        <v>Med</v>
      </c>
      <c r="I8" s="20" t="str">
        <f>IF(linkedPage!I8=0,"",linkedPage!I8)</f>
        <v>Med</v>
      </c>
      <c r="J8" s="20" t="str">
        <f>IF(linkedPage!J8=0,"",linkedPage!J8)</f>
        <v>Med</v>
      </c>
      <c r="K8" s="20" t="str">
        <f>IF(linkedPage!K8=0,"",linkedPage!K8)</f>
        <v>High</v>
      </c>
      <c r="L8" s="20" t="str">
        <f>IF(linkedPage!L8=0,"",linkedPage!L8)</f>
        <v>High</v>
      </c>
      <c r="M8" s="22" t="str">
        <f>IF(linkedPage!M8=0,"",linkedPage!M8)</f>
        <v/>
      </c>
      <c r="N8" t="str">
        <f>IF(linkedPage!N8=0,"",linkedPage!N8)</f>
        <v/>
      </c>
      <c r="O8" s="22" t="str">
        <f>IF(linkedPage!O8=0,"",linkedPage!O8)</f>
        <v/>
      </c>
    </row>
    <row r="9" spans="2:19" s="22" customFormat="1" x14ac:dyDescent="0.25">
      <c r="B9" s="55">
        <f>IF(linkedPage!B9=0,"",linkedPage!B9)</f>
        <v>6</v>
      </c>
      <c r="C9" s="20" t="str">
        <f>IF(linkedPage!C9=0,"",linkedPage!C9)</f>
        <v>Low</v>
      </c>
      <c r="D9" s="20" t="str">
        <f>IF(linkedPage!D9=0,"",linkedPage!D9)</f>
        <v>Low</v>
      </c>
      <c r="E9" s="20" t="str">
        <f>IF(linkedPage!E9=0,"",linkedPage!E9)</f>
        <v>Low</v>
      </c>
      <c r="F9" s="20" t="str">
        <f>IF(linkedPage!F9=0,"",linkedPage!F9)</f>
        <v>Low</v>
      </c>
      <c r="G9" s="20" t="str">
        <f>IF(linkedPage!G9=0,"",linkedPage!G9)</f>
        <v>Low</v>
      </c>
      <c r="H9" s="20" t="str">
        <f>IF(linkedPage!H9=0,"",linkedPage!H9)</f>
        <v>Med</v>
      </c>
      <c r="I9" s="20" t="str">
        <f>IF(linkedPage!I9=0,"",linkedPage!I9)</f>
        <v>Med</v>
      </c>
      <c r="J9" s="20" t="str">
        <f>IF(linkedPage!J9=0,"",linkedPage!J9)</f>
        <v>Med</v>
      </c>
      <c r="K9" s="20" t="str">
        <f>IF(linkedPage!K9=0,"",linkedPage!K9)</f>
        <v>Med</v>
      </c>
      <c r="L9" s="20" t="str">
        <f>IF(linkedPage!L9=0,"",linkedPage!L9)</f>
        <v>High</v>
      </c>
      <c r="M9" s="22" t="str">
        <f>IF(linkedPage!M9=0,"",linkedPage!M9)</f>
        <v/>
      </c>
      <c r="N9" t="str">
        <f>IF(linkedPage!N9=0,"",linkedPage!N9)</f>
        <v/>
      </c>
      <c r="O9" s="22" t="str">
        <f>IF(linkedPage!O9=0,"",linkedPage!O9)</f>
        <v/>
      </c>
    </row>
    <row r="10" spans="2:19" s="22" customFormat="1" x14ac:dyDescent="0.25">
      <c r="B10" s="55">
        <f>IF(linkedPage!B10=0,"",linkedPage!B10)</f>
        <v>5</v>
      </c>
      <c r="C10" s="20" t="str">
        <f>IF(linkedPage!C10=0,"",linkedPage!C10)</f>
        <v>Low</v>
      </c>
      <c r="D10" s="20" t="str">
        <f>IF(linkedPage!D10=0,"",linkedPage!D10)</f>
        <v>Low</v>
      </c>
      <c r="E10" s="20" t="str">
        <f>IF(linkedPage!E10=0,"",linkedPage!E10)</f>
        <v>Low</v>
      </c>
      <c r="F10" s="20" t="str">
        <f>IF(linkedPage!F10=0,"",linkedPage!F10)</f>
        <v>Low</v>
      </c>
      <c r="G10" s="20" t="str">
        <f>IF(linkedPage!G10=0,"",linkedPage!G10)</f>
        <v>Low</v>
      </c>
      <c r="H10" s="20" t="str">
        <f>IF(linkedPage!H10=0,"",linkedPage!H10)</f>
        <v>Low</v>
      </c>
      <c r="I10" s="20" t="str">
        <f>IF(linkedPage!I10=0,"",linkedPage!I10)</f>
        <v>Med</v>
      </c>
      <c r="J10" s="20" t="str">
        <f>IF(linkedPage!J10=0,"",linkedPage!J10)</f>
        <v>Med</v>
      </c>
      <c r="K10" s="20" t="str">
        <f>IF(linkedPage!K10=0,"",linkedPage!K10)</f>
        <v>Med</v>
      </c>
      <c r="L10" s="20" t="str">
        <f>IF(linkedPage!L10=0,"",linkedPage!L10)</f>
        <v>Med</v>
      </c>
      <c r="M10" s="22" t="str">
        <f>IF(linkedPage!M10=0,"",linkedPage!M10)</f>
        <v/>
      </c>
      <c r="N10" s="22" t="str">
        <f>IF(linkedPage!N10=0,"",linkedPage!N10)</f>
        <v/>
      </c>
      <c r="O10" s="22" t="str">
        <f>IF(linkedPage!O10=0,"",linkedPage!O10)</f>
        <v/>
      </c>
    </row>
    <row r="11" spans="2:19" s="22" customFormat="1" x14ac:dyDescent="0.25">
      <c r="B11" s="55">
        <f>IF(linkedPage!B11=0,"",linkedPage!B11)</f>
        <v>4</v>
      </c>
      <c r="C11" s="20" t="str">
        <f>IF(linkedPage!C11=0,"",linkedPage!C11)</f>
        <v>Low</v>
      </c>
      <c r="D11" s="20" t="str">
        <f>IF(linkedPage!D11=0,"",linkedPage!D11)</f>
        <v>Low</v>
      </c>
      <c r="E11" s="20" t="str">
        <f>IF(linkedPage!E11=0,"",linkedPage!E11)</f>
        <v>Low</v>
      </c>
      <c r="F11" s="20" t="str">
        <f>IF(linkedPage!F11=0,"",linkedPage!F11)</f>
        <v>Low</v>
      </c>
      <c r="G11" s="20" t="str">
        <f>IF(linkedPage!G11=0,"",linkedPage!G11)</f>
        <v>Low</v>
      </c>
      <c r="H11" s="20" t="str">
        <f>IF(linkedPage!H11=0,"",linkedPage!H11)</f>
        <v>Low</v>
      </c>
      <c r="I11" s="20" t="str">
        <f>IF(linkedPage!I11=0,"",linkedPage!I11)</f>
        <v>Low</v>
      </c>
      <c r="J11" s="20" t="str">
        <f>IF(linkedPage!J11=0,"",linkedPage!J11)</f>
        <v>Med</v>
      </c>
      <c r="K11" s="20" t="str">
        <f>IF(linkedPage!K11=0,"",linkedPage!K11)</f>
        <v>Med</v>
      </c>
      <c r="L11" s="20" t="str">
        <f>IF(linkedPage!L11=0,"",linkedPage!L11)</f>
        <v>Med</v>
      </c>
      <c r="M11" s="22" t="str">
        <f>IF(linkedPage!M11=0,"",linkedPage!M11)</f>
        <v/>
      </c>
      <c r="N11" s="41" t="str">
        <f>IF(linkedPage!N11=0,"",linkedPage!N11)</f>
        <v>Low</v>
      </c>
      <c r="O11" s="43" t="str">
        <f>IF(linkedPage!O11=0,"",linkedPage!O11)</f>
        <v>Tolerable, no engineer action required</v>
      </c>
    </row>
    <row r="12" spans="2:19" s="22" customFormat="1" x14ac:dyDescent="0.25">
      <c r="B12" s="55">
        <f>IF(linkedPage!B12=0,"",linkedPage!B12)</f>
        <v>3</v>
      </c>
      <c r="C12" s="20" t="str">
        <f>IF(linkedPage!C12=0,"",linkedPage!C12)</f>
        <v>Low</v>
      </c>
      <c r="D12" s="20" t="str">
        <f>IF(linkedPage!D12=0,"",linkedPage!D12)</f>
        <v>Low</v>
      </c>
      <c r="E12" s="20" t="str">
        <f>IF(linkedPage!E12=0,"",linkedPage!E12)</f>
        <v>Low</v>
      </c>
      <c r="F12" s="20" t="str">
        <f>IF(linkedPage!F12=0,"",linkedPage!F12)</f>
        <v>Low</v>
      </c>
      <c r="G12" s="20" t="str">
        <f>IF(linkedPage!G12=0,"",linkedPage!G12)</f>
        <v>Low</v>
      </c>
      <c r="H12" s="20" t="str">
        <f>IF(linkedPage!H12=0,"",linkedPage!H12)</f>
        <v>Low</v>
      </c>
      <c r="I12" s="20" t="str">
        <f>IF(linkedPage!I12=0,"",linkedPage!I12)</f>
        <v>Low</v>
      </c>
      <c r="J12" s="20" t="str">
        <f>IF(linkedPage!J12=0,"",linkedPage!J12)</f>
        <v>Low</v>
      </c>
      <c r="K12" s="20" t="str">
        <f>IF(linkedPage!K12=0,"",linkedPage!K12)</f>
        <v>Med</v>
      </c>
      <c r="L12" s="20" t="str">
        <f>IF(linkedPage!L12=0,"",linkedPage!L12)</f>
        <v>Med</v>
      </c>
      <c r="M12" s="22" t="str">
        <f>IF(linkedPage!M12=0,"",linkedPage!M12)</f>
        <v/>
      </c>
      <c r="N12" s="39" t="str">
        <f>IF(linkedPage!N12=0,"",linkedPage!N12)</f>
        <v>Med</v>
      </c>
      <c r="O12" s="43" t="str">
        <f>IF(linkedPage!O12=0,"",linkedPage!O12)</f>
        <v>Undesirable, consider engineer actions to mitigate risk</v>
      </c>
    </row>
    <row r="13" spans="2:19" s="22" customFormat="1" x14ac:dyDescent="0.25">
      <c r="B13" s="55">
        <f>IF(linkedPage!B13=0,"",linkedPage!B13)</f>
        <v>2</v>
      </c>
      <c r="C13" s="20" t="str">
        <f>IF(linkedPage!C13=0,"",linkedPage!C13)</f>
        <v>Low</v>
      </c>
      <c r="D13" s="20" t="str">
        <f>IF(linkedPage!D13=0,"",linkedPage!D13)</f>
        <v>Low</v>
      </c>
      <c r="E13" s="20" t="str">
        <f>IF(linkedPage!E13=0,"",linkedPage!E13)</f>
        <v>Low</v>
      </c>
      <c r="F13" s="20" t="str">
        <f>IF(linkedPage!F13=0,"",linkedPage!F13)</f>
        <v>Low</v>
      </c>
      <c r="G13" s="20" t="str">
        <f>IF(linkedPage!G13=0,"",linkedPage!G13)</f>
        <v>Low</v>
      </c>
      <c r="H13" s="20" t="str">
        <f>IF(linkedPage!H13=0,"",linkedPage!H13)</f>
        <v>Low</v>
      </c>
      <c r="I13" s="20" t="str">
        <f>IF(linkedPage!I13=0,"",linkedPage!I13)</f>
        <v>Low</v>
      </c>
      <c r="J13" s="20" t="str">
        <f>IF(linkedPage!J13=0,"",linkedPage!J13)</f>
        <v>Low</v>
      </c>
      <c r="K13" s="20" t="str">
        <f>IF(linkedPage!K13=0,"",linkedPage!K13)</f>
        <v>Low</v>
      </c>
      <c r="L13" s="20" t="str">
        <f>IF(linkedPage!L13=0,"",linkedPage!L13)</f>
        <v>Med</v>
      </c>
      <c r="M13" s="22" t="str">
        <f>IF(linkedPage!M13=0,"",linkedPage!M13)</f>
        <v/>
      </c>
      <c r="N13" s="42" t="str">
        <f>IF(linkedPage!N13=0,"",linkedPage!N13)</f>
        <v>High</v>
      </c>
      <c r="O13" s="43" t="str">
        <f>IF(linkedPage!O13=0,"",linkedPage!O13)</f>
        <v>Intolerable, engineering action required</v>
      </c>
    </row>
    <row r="14" spans="2:19" s="22" customFormat="1" x14ac:dyDescent="0.25">
      <c r="B14" s="55">
        <f>IF(linkedPage!B14=0,"",linkedPage!B14)</f>
        <v>1</v>
      </c>
      <c r="C14" s="20" t="str">
        <f>IF(linkedPage!C14=0,"",linkedPage!C14)</f>
        <v>Low</v>
      </c>
      <c r="D14" s="20" t="str">
        <f>IF(linkedPage!D14=0,"",linkedPage!D14)</f>
        <v>Low</v>
      </c>
      <c r="E14" s="20" t="str">
        <f>IF(linkedPage!E14=0,"",linkedPage!E14)</f>
        <v>Low</v>
      </c>
      <c r="F14" s="20" t="str">
        <f>IF(linkedPage!F14=0,"",linkedPage!F14)</f>
        <v>Low</v>
      </c>
      <c r="G14" s="20" t="str">
        <f>IF(linkedPage!G14=0,"",linkedPage!G14)</f>
        <v>Low</v>
      </c>
      <c r="H14" s="20" t="str">
        <f>IF(linkedPage!H14=0,"",linkedPage!H14)</f>
        <v>Low</v>
      </c>
      <c r="I14" s="20" t="str">
        <f>IF(linkedPage!I14=0,"",linkedPage!I14)</f>
        <v>Low</v>
      </c>
      <c r="J14" s="20" t="str">
        <f>IF(linkedPage!J14=0,"",linkedPage!J14)</f>
        <v>Low</v>
      </c>
      <c r="K14" s="20" t="str">
        <f>IF(linkedPage!K14=0,"",linkedPage!K14)</f>
        <v>Low</v>
      </c>
      <c r="L14" s="20" t="str">
        <f>IF(linkedPage!L14=0,"",linkedPage!L14)</f>
        <v>Low</v>
      </c>
      <c r="M14" s="22" t="str">
        <f>IF(linkedPage!M14=0,"",linkedPage!M14)</f>
        <v/>
      </c>
      <c r="N14" t="str">
        <f>IF(linkedPage!N14=0,"",linkedPage!N14)</f>
        <v/>
      </c>
      <c r="O14" s="22" t="str">
        <f>IF(linkedPage!O14=0,"",linkedPage!O14)</f>
        <v/>
      </c>
    </row>
    <row r="16" spans="2:19" ht="19.5" thickBot="1" x14ac:dyDescent="0.35">
      <c r="B16" s="71" t="str">
        <f>IF(linkedPage!B16=0,"",linkedPage!B16)</f>
        <v>Occurrence</v>
      </c>
      <c r="C16" s="72"/>
      <c r="D16" s="72"/>
      <c r="E16" s="72"/>
      <c r="F16" s="72"/>
      <c r="H16" s="71" t="str">
        <f>IF(linkedPage!H16=0,"",linkedPage!H16)</f>
        <v>Severity</v>
      </c>
      <c r="I16" s="72"/>
      <c r="J16" s="72"/>
      <c r="K16" s="72"/>
      <c r="L16" s="72"/>
      <c r="M16" s="72"/>
      <c r="N16" s="72"/>
      <c r="O16" s="72"/>
      <c r="P16" s="72"/>
      <c r="Q16" s="72"/>
      <c r="R16" s="51"/>
      <c r="S16" s="51"/>
    </row>
    <row r="17" spans="1:23" ht="57" thickBot="1" x14ac:dyDescent="0.35">
      <c r="B17" s="73" t="str">
        <f>IF(linkedPage!B17=0,"",linkedPage!B17)</f>
        <v>Rating</v>
      </c>
      <c r="C17" s="196" t="str">
        <f>IF(linkedPage!C17=0,"",linkedPage!C17)</f>
        <v>Occurrence</v>
      </c>
      <c r="D17" s="197" t="str">
        <f>IF(linkedPage!D17=0,"",linkedPage!D17)</f>
        <v/>
      </c>
      <c r="E17" s="73" t="str">
        <f>IF(linkedPage!E17=0,"",linkedPage!E17)</f>
        <v>Annual Failure Rate</v>
      </c>
      <c r="F17" s="74" t="str">
        <f>IF(linkedPage!F17=0,"",linkedPage!F17)</f>
        <v>Return Period [years]</v>
      </c>
      <c r="G17" s="35"/>
      <c r="H17" s="75" t="str">
        <f>IF(linkedPage!H17=0,"",linkedPage!H17)</f>
        <v>Rating</v>
      </c>
      <c r="I17" s="76" t="str">
        <f>IF(linkedPage!I17=0,"",linkedPage!I17)</f>
        <v>Severity</v>
      </c>
      <c r="J17" s="192" t="str">
        <f>IF(linkedPage!J17=0,"",linkedPage!J17)</f>
        <v>Human Safety</v>
      </c>
      <c r="K17" s="193" t="str">
        <f>IF(linkedPage!K17=0,"",linkedPage!K17)</f>
        <v/>
      </c>
      <c r="L17" s="192" t="str">
        <f>IF(linkedPage!L17=0,"",linkedPage!L17)</f>
        <v>Environment</v>
      </c>
      <c r="M17" s="194" t="str">
        <f>IF(linkedPage!M17=0,"",linkedPage!M17)</f>
        <v/>
      </c>
      <c r="N17" s="195" t="str">
        <f>IF(linkedPage!N17=0,"",linkedPage!N17)</f>
        <v>WEC Operation</v>
      </c>
      <c r="O17" s="193" t="str">
        <f>IF(linkedPage!O17=0,"",linkedPage!O17)</f>
        <v/>
      </c>
      <c r="P17" s="198" t="str">
        <f>IF(linkedPage!P17=0,"",linkedPage!P17)</f>
        <v xml:space="preserve">Assets </v>
      </c>
      <c r="Q17" s="199" t="str">
        <f>IF(linkedPage!Q17=0,"",linkedPage!Q17)</f>
        <v/>
      </c>
      <c r="R17" s="52"/>
      <c r="S17" s="51"/>
    </row>
    <row r="18" spans="1:23" ht="42.75" customHeight="1" x14ac:dyDescent="0.25">
      <c r="A18" s="22"/>
      <c r="B18" s="38">
        <f>IF(linkedPage!B18=0,"",linkedPage!B18)</f>
        <v>1</v>
      </c>
      <c r="C18" s="183" t="str">
        <f>IF(linkedPage!C18=0,"",linkedPage!C18)</f>
        <v>Exceptionally unlikely to occur</v>
      </c>
      <c r="D18" s="184" t="str">
        <f>IF(linkedPage!D18=0,"",linkedPage!D18)</f>
        <v/>
      </c>
      <c r="E18" s="56">
        <f>IF(linkedPage!E18=0,"",linkedPage!E18)</f>
        <v>1.0000000000000001E-5</v>
      </c>
      <c r="F18" s="67">
        <f>IF(linkedPage!F18=0,"",linkedPage!F18)</f>
        <v>100000</v>
      </c>
      <c r="G18" s="35"/>
      <c r="H18" s="50">
        <f>IF(linkedPage!H18=0,"",linkedPage!H18)</f>
        <v>1</v>
      </c>
      <c r="I18" s="48" t="str">
        <f>IF(linkedPage!I18=0,"",linkedPage!I18)</f>
        <v>Insignificant</v>
      </c>
      <c r="J18" s="187" t="str">
        <f>IF(linkedPage!J18=0,"",linkedPage!J18)</f>
        <v>Negligible injury, effect on health (e.g. band aid)</v>
      </c>
      <c r="K18" s="188" t="str">
        <f>IF(linkedPage!K18=0,"",linkedPage!K18)</f>
        <v/>
      </c>
      <c r="L18" s="187" t="str">
        <f>IF(linkedPage!L18=0,"",linkedPage!L18)</f>
        <v>Negligible pollution or no effect on environment</v>
      </c>
      <c r="M18" s="200" t="str">
        <f>IF(linkedPage!M18=0,"",linkedPage!M18)</f>
        <v/>
      </c>
      <c r="N18" s="201" t="str">
        <f>IF(linkedPage!N18=0,"",linkedPage!N18)</f>
        <v>Negligible effect on performance</v>
      </c>
      <c r="O18" s="188" t="str">
        <f>IF(linkedPage!O18=0,"",linkedPage!O18)</f>
        <v/>
      </c>
      <c r="P18" s="187" t="str">
        <f>IF(linkedPage!P18=0,"",linkedPage!P18)</f>
        <v>Negligible</v>
      </c>
      <c r="Q18" s="200" t="str">
        <f>IF(linkedPage!Q18=0,"",linkedPage!Q18)</f>
        <v/>
      </c>
      <c r="R18" s="53"/>
      <c r="S18" s="51"/>
      <c r="U18" s="22"/>
    </row>
    <row r="19" spans="1:23" ht="42.75" customHeight="1" x14ac:dyDescent="0.25">
      <c r="A19" s="22"/>
      <c r="B19" s="36">
        <f>IF(linkedPage!B19=0,"",linkedPage!B19)</f>
        <v>2</v>
      </c>
      <c r="C19" s="185" t="str">
        <f>IF(linkedPage!C19=0,"",linkedPage!C19)</f>
        <v/>
      </c>
      <c r="D19" s="186" t="str">
        <f>IF(linkedPage!D19=0,"",linkedPage!D19)</f>
        <v/>
      </c>
      <c r="E19" s="57">
        <f>IF(linkedPage!E19=0,"",linkedPage!E19)</f>
        <v>3.1622776601683789E-5</v>
      </c>
      <c r="F19" s="68">
        <f>IF(linkedPage!F19=0,"",linkedPage!F19)</f>
        <v>31600</v>
      </c>
      <c r="G19" s="35"/>
      <c r="H19" s="36">
        <f>IF(linkedPage!H19=0,"",linkedPage!H19)</f>
        <v>2</v>
      </c>
      <c r="I19" s="49" t="str">
        <f>IF(linkedPage!I19=0,"",linkedPage!I19)</f>
        <v/>
      </c>
      <c r="J19" s="181" t="str">
        <f>IF(linkedPage!J19=0,"",linkedPage!J19)</f>
        <v/>
      </c>
      <c r="K19" s="189" t="str">
        <f>IF(linkedPage!K19=0,"",linkedPage!K19)</f>
        <v/>
      </c>
      <c r="L19" s="181" t="str">
        <f>IF(linkedPage!L19=0,"",linkedPage!L19)</f>
        <v/>
      </c>
      <c r="M19" s="182" t="str">
        <f>IF(linkedPage!M19=0,"",linkedPage!M19)</f>
        <v/>
      </c>
      <c r="N19" s="202" t="str">
        <f>IF(linkedPage!N19=0,"",linkedPage!N19)</f>
        <v/>
      </c>
      <c r="O19" s="189" t="str">
        <f>IF(linkedPage!O19=0,"",linkedPage!O19)</f>
        <v/>
      </c>
      <c r="P19" s="181" t="str">
        <f>IF(linkedPage!P19=0,"",linkedPage!P19)</f>
        <v>[1.5k USD]</v>
      </c>
      <c r="Q19" s="182" t="str">
        <f>IF(linkedPage!Q19=0,"",linkedPage!Q19)</f>
        <v/>
      </c>
      <c r="R19" s="53"/>
      <c r="S19" s="51"/>
    </row>
    <row r="20" spans="1:23" ht="42.75" customHeight="1" x14ac:dyDescent="0.25">
      <c r="A20" s="22"/>
      <c r="B20" s="36">
        <f>IF(linkedPage!B20=0,"",linkedPage!B20)</f>
        <v>3</v>
      </c>
      <c r="C20" s="185" t="str">
        <f>IF(linkedPage!C20=0,"",linkedPage!C20)</f>
        <v>Extremely unlikely to occur</v>
      </c>
      <c r="D20" s="186" t="str">
        <f>IF(linkedPage!D20=0,"",linkedPage!D20)</f>
        <v/>
      </c>
      <c r="E20" s="58">
        <f>IF(linkedPage!E20=0,"",linkedPage!E20)</f>
        <v>1E-4</v>
      </c>
      <c r="F20" s="68">
        <f>IF(linkedPage!F20=0,"",linkedPage!F20)</f>
        <v>10000</v>
      </c>
      <c r="G20" s="35"/>
      <c r="H20" s="36">
        <f>IF(linkedPage!H20=0,"",linkedPage!H20)</f>
        <v>3</v>
      </c>
      <c r="I20" s="49" t="str">
        <f>IF(linkedPage!I20=0,"",linkedPage!I20)</f>
        <v>Minor</v>
      </c>
      <c r="J20" s="181" t="str">
        <f>IF(linkedPage!J20=0,"",linkedPage!J20)</f>
        <v>Minor injuries, health effects (e.g. stitches)</v>
      </c>
      <c r="K20" s="189" t="str">
        <f>IF(linkedPage!K20=0,"",linkedPage!K20)</f>
        <v/>
      </c>
      <c r="L20" s="181" t="str">
        <f>IF(linkedPage!L20=0,"",linkedPage!L20)</f>
        <v>Minor pollution / slight effect on environment (min disruption on marine life)</v>
      </c>
      <c r="M20" s="182" t="str">
        <f>IF(linkedPage!M20=0,"",linkedPage!M20)</f>
        <v/>
      </c>
      <c r="N20" s="202" t="str">
        <f>IF(linkedPage!N20=0,"",linkedPage!N20)</f>
        <v>Minor system degradation</v>
      </c>
      <c r="O20" s="189" t="str">
        <f>IF(linkedPage!O20=0,"",linkedPage!O20)</f>
        <v/>
      </c>
      <c r="P20" s="181" t="str">
        <f>IF(linkedPage!P20=0,"",linkedPage!P20)</f>
        <v>Repairable in-situ, at next maintenance interval 
[5k USD]</v>
      </c>
      <c r="Q20" s="182" t="str">
        <f>IF(linkedPage!Q20=0,"",linkedPage!Q20)</f>
        <v/>
      </c>
      <c r="R20" s="53"/>
      <c r="S20" s="51"/>
      <c r="U20" s="22"/>
    </row>
    <row r="21" spans="1:23" ht="42.75" customHeight="1" x14ac:dyDescent="0.25">
      <c r="A21" s="22"/>
      <c r="B21" s="36">
        <f>IF(linkedPage!B21=0,"",linkedPage!B21)</f>
        <v>4</v>
      </c>
      <c r="C21" s="185" t="str">
        <f>IF(linkedPage!C21=0,"",linkedPage!C21)</f>
        <v/>
      </c>
      <c r="D21" s="186" t="str">
        <f>IF(linkedPage!D21=0,"",linkedPage!D21)</f>
        <v/>
      </c>
      <c r="E21" s="58">
        <f>IF(linkedPage!E21=0,"",linkedPage!E21)</f>
        <v>3.1622776601683789E-4</v>
      </c>
      <c r="F21" s="68">
        <f>IF(linkedPage!F21=0,"",linkedPage!F21)</f>
        <v>3160</v>
      </c>
      <c r="G21" s="35"/>
      <c r="H21" s="36">
        <f>IF(linkedPage!H21=0,"",linkedPage!H21)</f>
        <v>4</v>
      </c>
      <c r="I21" s="49" t="str">
        <f>IF(linkedPage!I21=0,"",linkedPage!I21)</f>
        <v/>
      </c>
      <c r="J21" s="181" t="str">
        <f>IF(linkedPage!J21=0,"",linkedPage!J21)</f>
        <v>Moderate injuries and/or health effects (e.g. broken bone)</v>
      </c>
      <c r="K21" s="189" t="str">
        <f>IF(linkedPage!K21=0,"",linkedPage!K21)</f>
        <v/>
      </c>
      <c r="L21" s="181" t="str">
        <f>IF(linkedPage!L21=0,"",linkedPage!L21)</f>
        <v/>
      </c>
      <c r="M21" s="182" t="str">
        <f>IF(linkedPage!M21=0,"",linkedPage!M21)</f>
        <v/>
      </c>
      <c r="N21" s="202" t="str">
        <f>IF(linkedPage!N21=0,"",linkedPage!N21)</f>
        <v>Moderate system degradation (e.g. loss of MoMo)</v>
      </c>
      <c r="O21" s="189" t="str">
        <f>IF(linkedPage!O21=0,"",linkedPage!O21)</f>
        <v/>
      </c>
      <c r="P21" s="181" t="str">
        <f>IF(linkedPage!P21=0,"",linkedPage!P21)</f>
        <v>Repairable in-situ, outside maintenance interval 
(1 day) [15k USD]</v>
      </c>
      <c r="Q21" s="182" t="str">
        <f>IF(linkedPage!Q21=0,"",linkedPage!Q21)</f>
        <v/>
      </c>
      <c r="R21" s="53"/>
      <c r="S21" s="51"/>
      <c r="U21" s="22"/>
    </row>
    <row r="22" spans="1:23" ht="42.75" customHeight="1" x14ac:dyDescent="0.25">
      <c r="A22" s="22"/>
      <c r="B22" s="36">
        <f>IF(linkedPage!B22=0,"",linkedPage!B22)</f>
        <v>5</v>
      </c>
      <c r="C22" s="185" t="str">
        <f>IF(linkedPage!C22=0,"",linkedPage!C22)</f>
        <v>Very unlikely to occur</v>
      </c>
      <c r="D22" s="186" t="str">
        <f>IF(linkedPage!D22=0,"",linkedPage!D22)</f>
        <v/>
      </c>
      <c r="E22" s="59">
        <f>IF(linkedPage!E22=0,"",linkedPage!E22)</f>
        <v>1E-3</v>
      </c>
      <c r="F22" s="68">
        <f>IF(linkedPage!F22=0,"",linkedPage!F22)</f>
        <v>1000</v>
      </c>
      <c r="G22" s="35"/>
      <c r="H22" s="36">
        <f>IF(linkedPage!H22=0,"",linkedPage!H22)</f>
        <v>5</v>
      </c>
      <c r="I22" s="49" t="str">
        <f>IF(linkedPage!I22=0,"",linkedPage!I22)</f>
        <v>Major</v>
      </c>
      <c r="J22" s="181" t="str">
        <f>IF(linkedPage!J22=0,"",linkedPage!J22)</f>
        <v/>
      </c>
      <c r="K22" s="189" t="str">
        <f>IF(linkedPage!K22=0,"",linkedPage!K22)</f>
        <v/>
      </c>
      <c r="L22" s="181" t="str">
        <f>IF(linkedPage!L22=0,"",linkedPage!L22)</f>
        <v>Limited levels of pollution, manageable / moderate effect on environment</v>
      </c>
      <c r="M22" s="182" t="str">
        <f>IF(linkedPage!M22=0,"",linkedPage!M22)</f>
        <v/>
      </c>
      <c r="N22" s="202" t="str">
        <f>IF(linkedPage!N22=0,"",linkedPage!N22)</f>
        <v/>
      </c>
      <c r="O22" s="189" t="str">
        <f>IF(linkedPage!O22=0,"",linkedPage!O22)</f>
        <v/>
      </c>
      <c r="P22" s="181" t="str">
        <f>IF(linkedPage!P22=0,"",linkedPage!P22)</f>
        <v>Repairable in-situ, outside maintenance interval 
(1 week) [50k USD]</v>
      </c>
      <c r="Q22" s="182" t="str">
        <f>IF(linkedPage!Q22=0,"",linkedPage!Q22)</f>
        <v/>
      </c>
      <c r="R22" s="53"/>
      <c r="S22" s="51"/>
      <c r="T22" s="22"/>
      <c r="U22" s="22"/>
    </row>
    <row r="23" spans="1:23" ht="42.75" customHeight="1" x14ac:dyDescent="0.25">
      <c r="A23" s="22"/>
      <c r="B23" s="36">
        <f>IF(linkedPage!B23=0,"",linkedPage!B23)</f>
        <v>6</v>
      </c>
      <c r="C23" s="185" t="str">
        <f>IF(linkedPage!C23=0,"",linkedPage!C23)</f>
        <v/>
      </c>
      <c r="D23" s="186" t="str">
        <f>IF(linkedPage!D23=0,"",linkedPage!D23)</f>
        <v/>
      </c>
      <c r="E23" s="59">
        <f>IF(linkedPage!E23=0,"",linkedPage!E23)</f>
        <v>3.162277660168379E-3</v>
      </c>
      <c r="F23" s="68">
        <f>IF(linkedPage!F23=0,"",linkedPage!F23)</f>
        <v>316</v>
      </c>
      <c r="G23" s="35"/>
      <c r="H23" s="36">
        <f>IF(linkedPage!H23=0,"",linkedPage!H23)</f>
        <v>6</v>
      </c>
      <c r="I23" s="49" t="str">
        <f>IF(linkedPage!I23=0,"",linkedPage!I23)</f>
        <v/>
      </c>
      <c r="J23" s="181" t="str">
        <f>IF(linkedPage!J23=0,"",linkedPage!J23)</f>
        <v/>
      </c>
      <c r="K23" s="189" t="str">
        <f>IF(linkedPage!K23=0,"",linkedPage!K23)</f>
        <v/>
      </c>
      <c r="L23" s="181" t="str">
        <f>IF(linkedPage!L23=0,"",linkedPage!L23)</f>
        <v/>
      </c>
      <c r="M23" s="182" t="str">
        <f>IF(linkedPage!M23=0,"",linkedPage!M23)</f>
        <v/>
      </c>
      <c r="N23" s="202" t="str">
        <f>IF(linkedPage!N23=0,"",linkedPage!N23)</f>
        <v>Major system degradation or loss of operation for 1 month</v>
      </c>
      <c r="O23" s="189" t="str">
        <f>IF(linkedPage!O23=0,"",linkedPage!O23)</f>
        <v/>
      </c>
      <c r="P23" s="181" t="str">
        <f>IF(linkedPage!P23=0,"",linkedPage!P23)</f>
        <v>[150k USD]</v>
      </c>
      <c r="Q23" s="182" t="str">
        <f>IF(linkedPage!Q23=0,"",linkedPage!Q23)</f>
        <v/>
      </c>
      <c r="R23" s="53"/>
      <c r="S23" s="53"/>
      <c r="T23" s="22"/>
      <c r="U23" s="22"/>
    </row>
    <row r="24" spans="1:23" ht="42.75" customHeight="1" x14ac:dyDescent="0.25">
      <c r="B24" s="36">
        <f>IF(linkedPage!B24=0,"",linkedPage!B24)</f>
        <v>7</v>
      </c>
      <c r="C24" s="185" t="str">
        <f>IF(linkedPage!C24=0,"",linkedPage!C24)</f>
        <v>Rarely expected to occur</v>
      </c>
      <c r="D24" s="186" t="str">
        <f>IF(linkedPage!D24=0,"",linkedPage!D24)</f>
        <v/>
      </c>
      <c r="E24" s="60">
        <f>IF(linkedPage!E24=0,"",linkedPage!E24)</f>
        <v>0.01</v>
      </c>
      <c r="F24" s="68">
        <f>IF(linkedPage!F24=0,"",linkedPage!F24)</f>
        <v>100</v>
      </c>
      <c r="G24" s="35"/>
      <c r="H24" s="36">
        <f>IF(linkedPage!H24=0,"",linkedPage!H24)</f>
        <v>7</v>
      </c>
      <c r="I24" s="49" t="str">
        <f>IF(linkedPage!I24=0,"",linkedPage!I24)</f>
        <v>Critical</v>
      </c>
      <c r="J24" s="181" t="str">
        <f>IF(linkedPage!J24=0,"",linkedPage!J24)</f>
        <v>Hospitalization (with full recovery)</v>
      </c>
      <c r="K24" s="189" t="str">
        <f>IF(linkedPage!K24=0,"",linkedPage!K24)</f>
        <v/>
      </c>
      <c r="L24" s="181" t="str">
        <f>IF(linkedPage!L24=0,"",linkedPage!L24)</f>
        <v>Moderate pollution (some clean-up costs) / Serious effect on environment</v>
      </c>
      <c r="M24" s="182" t="str">
        <f>IF(linkedPage!M24=0,"",linkedPage!M24)</f>
        <v/>
      </c>
      <c r="N24" s="202" t="str">
        <f>IF(linkedPage!N24=0,"",linkedPage!N24)</f>
        <v>Major system degradation or loss of operation for 3 months</v>
      </c>
      <c r="O24" s="189" t="str">
        <f>IF(linkedPage!O24=0,"",linkedPage!O24)</f>
        <v/>
      </c>
      <c r="P24" s="181" t="str">
        <f>IF(linkedPage!P24=0,"",linkedPage!P24)</f>
        <v>Dry dock required for repair
[500k USD]</v>
      </c>
      <c r="Q24" s="182" t="str">
        <f>IF(linkedPage!Q24=0,"",linkedPage!Q24)</f>
        <v/>
      </c>
      <c r="R24" s="53"/>
      <c r="S24" s="53"/>
      <c r="T24" s="22"/>
      <c r="U24" s="22"/>
    </row>
    <row r="25" spans="1:23" ht="42.75" customHeight="1" x14ac:dyDescent="0.25">
      <c r="B25" s="36">
        <f>IF(linkedPage!B25=0,"",linkedPage!B25)</f>
        <v>8</v>
      </c>
      <c r="C25" s="185" t="str">
        <f>IF(linkedPage!C25=0,"",linkedPage!C25)</f>
        <v/>
      </c>
      <c r="D25" s="186" t="str">
        <f>IF(linkedPage!D25=0,"",linkedPage!D25)</f>
        <v/>
      </c>
      <c r="E25" s="60">
        <f>IF(linkedPage!E25=0,"",linkedPage!E25)</f>
        <v>3.1622776601683791E-2</v>
      </c>
      <c r="F25" s="68">
        <f>IF(linkedPage!F25=0,"",linkedPage!F25)</f>
        <v>31.6</v>
      </c>
      <c r="G25" s="35"/>
      <c r="H25" s="36">
        <f>IF(linkedPage!H25=0,"",linkedPage!H25)</f>
        <v>8</v>
      </c>
      <c r="I25" s="49" t="str">
        <f>IF(linkedPage!I25=0,"",linkedPage!I25)</f>
        <v/>
      </c>
      <c r="J25" s="181" t="str">
        <f>IF(linkedPage!J25=0,"",linkedPage!J25)</f>
        <v/>
      </c>
      <c r="K25" s="189" t="str">
        <f>IF(linkedPage!K25=0,"",linkedPage!K25)</f>
        <v/>
      </c>
      <c r="L25" s="181" t="str">
        <f>IF(linkedPage!L25=0,"",linkedPage!L25)</f>
        <v/>
      </c>
      <c r="M25" s="182" t="str">
        <f>IF(linkedPage!M25=0,"",linkedPage!M25)</f>
        <v/>
      </c>
      <c r="N25" s="202" t="str">
        <f>IF(linkedPage!N25=0,"",linkedPage!N25)</f>
        <v>Critical system degradation or loss of operation for 6 months</v>
      </c>
      <c r="O25" s="189" t="str">
        <f>IF(linkedPage!O25=0,"",linkedPage!O25)</f>
        <v/>
      </c>
      <c r="P25" s="181" t="str">
        <f>IF(linkedPage!P25=0,"",linkedPage!P25)</f>
        <v>[1.5M USD]</v>
      </c>
      <c r="Q25" s="182" t="str">
        <f>IF(linkedPage!Q25=0,"",linkedPage!Q25)</f>
        <v/>
      </c>
      <c r="R25" s="53"/>
      <c r="S25" s="53"/>
      <c r="T25" s="22"/>
      <c r="U25" s="22"/>
    </row>
    <row r="26" spans="1:23" ht="42.75" customHeight="1" x14ac:dyDescent="0.25">
      <c r="B26" s="36">
        <f>IF(linkedPage!B26=0,"",linkedPage!B26)</f>
        <v>9</v>
      </c>
      <c r="C26" s="185" t="str">
        <f>IF(linkedPage!C26=0,"",linkedPage!C26)</f>
        <v>One or more during 20 yr lifetime</v>
      </c>
      <c r="D26" s="186" t="str">
        <f>IF(linkedPage!D26=0,"",linkedPage!D26)</f>
        <v/>
      </c>
      <c r="E26" s="61">
        <f>IF(linkedPage!E26=0,"",linkedPage!E26)</f>
        <v>0.1</v>
      </c>
      <c r="F26" s="68">
        <f>IF(linkedPage!F26=0,"",linkedPage!F26)</f>
        <v>10</v>
      </c>
      <c r="G26" s="35"/>
      <c r="H26" s="36">
        <f>IF(linkedPage!H26=0,"",linkedPage!H26)</f>
        <v>9</v>
      </c>
      <c r="I26" s="49" t="str">
        <f>IF(linkedPage!I26=0,"",linkedPage!I26)</f>
        <v>Catastrophic</v>
      </c>
      <c r="J26" s="181" t="str">
        <f>IF(linkedPage!J26=0,"",linkedPage!J26)</f>
        <v>Hospitalization (with lasting disabilities)</v>
      </c>
      <c r="K26" s="189" t="str">
        <f>IF(linkedPage!K26=0,"",linkedPage!K26)</f>
        <v/>
      </c>
      <c r="L26" s="181" t="str">
        <f>IF(linkedPage!L26=0,"",linkedPage!L26)</f>
        <v>Major pollution (significant clean-up costs) / disastrous effects on the environment</v>
      </c>
      <c r="M26" s="182" t="str">
        <f>IF(linkedPage!M26=0,"",linkedPage!M26)</f>
        <v/>
      </c>
      <c r="N26" s="202" t="str">
        <f>IF(linkedPage!N26=0,"",linkedPage!N26)</f>
        <v>Failure to generate power for remainder of project, complete failure</v>
      </c>
      <c r="O26" s="189" t="str">
        <f>IF(linkedPage!O26=0,"",linkedPage!O26)</f>
        <v/>
      </c>
      <c r="P26" s="181" t="str">
        <f>IF(linkedPage!P26=0,"",linkedPage!P26)</f>
        <v>Loss of device
[5M USD]</v>
      </c>
      <c r="Q26" s="182" t="str">
        <f>IF(linkedPage!Q26=0,"",linkedPage!Q26)</f>
        <v/>
      </c>
      <c r="R26" s="54"/>
      <c r="S26" s="54"/>
      <c r="T26" s="22"/>
      <c r="U26" s="22"/>
    </row>
    <row r="27" spans="1:23" ht="42.75" customHeight="1" thickBot="1" x14ac:dyDescent="0.3">
      <c r="A27" s="22"/>
      <c r="B27" s="37">
        <f>IF(linkedPage!B27=0,"",linkedPage!B27)</f>
        <v>10</v>
      </c>
      <c r="C27" s="203" t="str">
        <f>IF(linkedPage!C27=0,"",linkedPage!C27)</f>
        <v/>
      </c>
      <c r="D27" s="204" t="str">
        <f>IF(linkedPage!D27=0,"",linkedPage!D27)</f>
        <v/>
      </c>
      <c r="E27" s="62">
        <f>IF(linkedPage!E27=0,"",linkedPage!E27)</f>
        <v>0.31622776601683794</v>
      </c>
      <c r="F27" s="69">
        <f>IF(linkedPage!F27=0,"",linkedPage!F27)</f>
        <v>3.16</v>
      </c>
      <c r="G27" s="35"/>
      <c r="H27" s="37">
        <f>IF(linkedPage!H27=0,"",linkedPage!H27)</f>
        <v>10</v>
      </c>
      <c r="I27" s="63" t="str">
        <f>IF(linkedPage!I27=0,"",linkedPage!I27)</f>
        <v/>
      </c>
      <c r="J27" s="205" t="str">
        <f>IF(linkedPage!J27=0,"",linkedPage!J27)</f>
        <v>A fatality</v>
      </c>
      <c r="K27" s="206" t="str">
        <f>IF(linkedPage!K27=0,"",linkedPage!K27)</f>
        <v/>
      </c>
      <c r="L27" s="190" t="str">
        <f>IF(linkedPage!L27=0,"",linkedPage!L27)</f>
        <v/>
      </c>
      <c r="M27" s="191" t="str">
        <f>IF(linkedPage!M27=0,"",linkedPage!M27)</f>
        <v/>
      </c>
      <c r="N27" s="207" t="str">
        <f>IF(linkedPage!N27=0,"",linkedPage!N27)</f>
        <v/>
      </c>
      <c r="O27" s="208" t="str">
        <f>IF(linkedPage!O27=0,"",linkedPage!O27)</f>
        <v/>
      </c>
      <c r="P27" s="190" t="str">
        <f>IF(linkedPage!P27=0,"",linkedPage!P27)</f>
        <v/>
      </c>
      <c r="Q27" s="191" t="str">
        <f>IF(linkedPage!Q27=0,"",linkedPage!Q27)</f>
        <v/>
      </c>
      <c r="R27" s="54"/>
      <c r="S27" s="54"/>
    </row>
    <row r="28" spans="1:23" x14ac:dyDescent="0.25">
      <c r="R28" s="51"/>
      <c r="S28" s="51"/>
      <c r="T28" s="22"/>
      <c r="U28" s="22"/>
      <c r="V28" s="22"/>
      <c r="W28" s="22"/>
    </row>
    <row r="29" spans="1:23" ht="15" customHeight="1" x14ac:dyDescent="0.25">
      <c r="S29" s="22"/>
      <c r="T29" s="22"/>
      <c r="U29" s="22"/>
      <c r="V29" s="22"/>
      <c r="W29" s="22"/>
    </row>
    <row r="43" spans="2:26" x14ac:dyDescent="0.25">
      <c r="O43"/>
      <c r="X43" s="22"/>
      <c r="Z43" s="22"/>
    </row>
    <row r="44" spans="2:26" ht="15" customHeight="1" x14ac:dyDescent="0.25"/>
    <row r="45" spans="2:26" ht="15.75" x14ac:dyDescent="0.25">
      <c r="C45" s="47"/>
      <c r="D45" s="47"/>
      <c r="E45" s="47"/>
      <c r="F45" s="47"/>
      <c r="G45" s="47"/>
      <c r="H45" s="47"/>
      <c r="I45" s="47"/>
      <c r="J45" s="47"/>
      <c r="K45" s="47"/>
      <c r="L45" s="47"/>
    </row>
    <row r="46" spans="2:26" ht="16.5" x14ac:dyDescent="0.35">
      <c r="C46" s="46"/>
      <c r="D46" s="46"/>
      <c r="E46" s="46"/>
      <c r="F46" s="46"/>
      <c r="G46" s="46"/>
      <c r="H46" s="46"/>
      <c r="I46" s="46"/>
      <c r="J46" s="46"/>
      <c r="K46" s="46"/>
      <c r="L46" s="46"/>
      <c r="M46" s="34"/>
      <c r="N46" s="34"/>
    </row>
    <row r="47" spans="2:26" ht="16.5" x14ac:dyDescent="0.35">
      <c r="B47" s="40"/>
      <c r="C47" s="40"/>
      <c r="D47" s="40"/>
      <c r="E47" s="40"/>
      <c r="F47" s="40"/>
      <c r="G47" s="40"/>
      <c r="H47" s="40"/>
      <c r="I47" s="40"/>
      <c r="J47" s="40"/>
      <c r="K47" s="40"/>
      <c r="L47" s="40"/>
      <c r="M47" s="34"/>
      <c r="N47" s="34"/>
    </row>
    <row r="48" spans="2:26" ht="16.5" x14ac:dyDescent="0.35">
      <c r="B48" s="40"/>
      <c r="E48" s="22"/>
      <c r="F48" s="22"/>
      <c r="G48" s="22"/>
      <c r="H48" s="22"/>
      <c r="I48" s="22"/>
      <c r="J48" s="22"/>
      <c r="L48" s="22"/>
      <c r="M48" s="34"/>
      <c r="N48" s="34"/>
    </row>
    <row r="49" spans="2:14" ht="16.5" x14ac:dyDescent="0.35">
      <c r="B49" s="40"/>
      <c r="C49" s="22"/>
      <c r="E49" s="22"/>
      <c r="F49" s="22"/>
      <c r="G49" s="22"/>
      <c r="H49" s="22"/>
      <c r="I49" s="22"/>
      <c r="J49" s="22"/>
      <c r="L49" s="22"/>
      <c r="M49" s="44"/>
      <c r="N49" s="45"/>
    </row>
    <row r="50" spans="2:14" ht="16.5" x14ac:dyDescent="0.35">
      <c r="B50" s="40"/>
      <c r="C50" s="22"/>
      <c r="E50" s="22"/>
      <c r="F50" s="22"/>
      <c r="G50" s="22"/>
      <c r="H50" s="22"/>
      <c r="I50" s="22"/>
      <c r="J50" s="22"/>
      <c r="L50" s="22"/>
      <c r="M50" s="44"/>
      <c r="N50" s="45"/>
    </row>
    <row r="51" spans="2:14" x14ac:dyDescent="0.25">
      <c r="B51" s="40"/>
      <c r="C51" s="22"/>
      <c r="E51" s="22"/>
      <c r="F51" s="22"/>
      <c r="G51" s="22"/>
      <c r="H51" s="22"/>
      <c r="I51" s="22"/>
      <c r="J51" s="22"/>
      <c r="L51" s="22"/>
    </row>
    <row r="52" spans="2:14" x14ac:dyDescent="0.25">
      <c r="B52" s="40"/>
      <c r="C52" s="22"/>
      <c r="E52" s="22"/>
      <c r="F52" s="22"/>
      <c r="G52" s="22"/>
      <c r="H52" s="22"/>
      <c r="I52" s="22"/>
      <c r="J52" s="22"/>
      <c r="L52" s="22"/>
    </row>
    <row r="53" spans="2:14" x14ac:dyDescent="0.25">
      <c r="B53" s="40"/>
      <c r="C53" s="22"/>
      <c r="E53" s="22"/>
      <c r="F53" s="22"/>
      <c r="G53" s="22"/>
      <c r="H53" s="22"/>
      <c r="I53" s="22"/>
      <c r="J53" s="22"/>
      <c r="L53" s="22"/>
    </row>
    <row r="54" spans="2:14" x14ac:dyDescent="0.25">
      <c r="B54" s="40"/>
      <c r="C54" s="22"/>
      <c r="E54" s="22"/>
      <c r="F54" s="22"/>
      <c r="G54" s="22"/>
      <c r="H54" s="22"/>
      <c r="I54" s="22"/>
      <c r="J54" s="22"/>
      <c r="L54" s="22"/>
    </row>
    <row r="55" spans="2:14" x14ac:dyDescent="0.25">
      <c r="B55" s="40"/>
      <c r="C55" s="22"/>
      <c r="E55" s="22"/>
      <c r="F55" s="22"/>
      <c r="G55" s="22"/>
      <c r="H55" s="22"/>
      <c r="I55" s="22"/>
      <c r="J55" s="22"/>
      <c r="L55" s="22"/>
    </row>
    <row r="56" spans="2:14" x14ac:dyDescent="0.25">
      <c r="B56" s="40"/>
      <c r="C56" s="22"/>
      <c r="E56" s="22"/>
      <c r="F56" s="22"/>
      <c r="G56" s="22"/>
      <c r="H56" s="22"/>
      <c r="I56" s="22"/>
      <c r="J56" s="22"/>
      <c r="L56" s="22"/>
    </row>
    <row r="57" spans="2:14" x14ac:dyDescent="0.25">
      <c r="B57" s="40"/>
      <c r="C57" s="22"/>
      <c r="E57" s="22"/>
      <c r="F57" s="22"/>
      <c r="G57" s="22"/>
      <c r="H57" s="22"/>
      <c r="I57" s="22"/>
      <c r="J57" s="22"/>
      <c r="L57" s="22"/>
    </row>
  </sheetData>
  <mergeCells count="57">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 ref="C26:D26"/>
    <mergeCell ref="C27:D27"/>
    <mergeCell ref="J20:K20"/>
    <mergeCell ref="J21:K21"/>
    <mergeCell ref="J22:K22"/>
    <mergeCell ref="J23:K23"/>
    <mergeCell ref="J24:K24"/>
    <mergeCell ref="J25:K25"/>
    <mergeCell ref="J27:K27"/>
    <mergeCell ref="C21:D21"/>
    <mergeCell ref="C22:D22"/>
    <mergeCell ref="C23:D23"/>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L26:M26"/>
    <mergeCell ref="L27:M27"/>
    <mergeCell ref="J26:K26"/>
    <mergeCell ref="J17:K17"/>
    <mergeCell ref="L17:M17"/>
    <mergeCell ref="C3:L3"/>
    <mergeCell ref="C2:L2"/>
    <mergeCell ref="L23:M23"/>
    <mergeCell ref="L24:M24"/>
    <mergeCell ref="L25:M25"/>
    <mergeCell ref="C18:D18"/>
    <mergeCell ref="C19:D19"/>
    <mergeCell ref="C20:D20"/>
    <mergeCell ref="J18:K18"/>
    <mergeCell ref="J19:K19"/>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27"/>
  <sheetViews>
    <sheetView workbookViewId="0">
      <selection activeCell="T2" sqref="T2:T4"/>
    </sheetView>
  </sheetViews>
  <sheetFormatPr defaultRowHeight="15" x14ac:dyDescent="0.25"/>
  <cols>
    <col min="1" max="16384" width="9.140625" style="22"/>
  </cols>
  <sheetData>
    <row r="1" spans="1:20" x14ac:dyDescent="0.25">
      <c r="A1" s="22">
        <f t="array" ref="A1:Q27">[1]!'!set up!R1C1:R27C17'</f>
        <v>0</v>
      </c>
      <c r="B1" s="22">
        <v>0</v>
      </c>
      <c r="C1" s="22">
        <v>0</v>
      </c>
      <c r="D1" s="22">
        <v>0</v>
      </c>
      <c r="E1" s="22">
        <v>0</v>
      </c>
      <c r="F1" s="22">
        <v>0</v>
      </c>
      <c r="G1" s="22">
        <v>0</v>
      </c>
      <c r="H1" s="22">
        <v>0</v>
      </c>
      <c r="I1" s="22">
        <v>0</v>
      </c>
      <c r="J1" s="22">
        <v>0</v>
      </c>
      <c r="K1" s="22">
        <v>0</v>
      </c>
      <c r="L1" s="22">
        <v>0</v>
      </c>
      <c r="M1" s="22">
        <v>0</v>
      </c>
      <c r="N1" s="22">
        <v>0</v>
      </c>
      <c r="O1" s="22">
        <v>0</v>
      </c>
      <c r="P1" s="22">
        <v>0</v>
      </c>
      <c r="Q1" s="22">
        <v>0</v>
      </c>
    </row>
    <row r="2" spans="1:20" x14ac:dyDescent="0.25">
      <c r="A2" s="22">
        <v>0</v>
      </c>
      <c r="B2" s="22">
        <v>0</v>
      </c>
      <c r="C2" s="22" t="str">
        <v>Risk = Occ + Sev</v>
      </c>
      <c r="D2" s="22">
        <v>0</v>
      </c>
      <c r="E2" s="22">
        <v>0</v>
      </c>
      <c r="F2" s="22">
        <v>0</v>
      </c>
      <c r="G2" s="22">
        <v>0</v>
      </c>
      <c r="H2" s="22">
        <v>0</v>
      </c>
      <c r="I2" s="22">
        <v>0</v>
      </c>
      <c r="J2" s="22">
        <v>0</v>
      </c>
      <c r="K2" s="22">
        <v>0</v>
      </c>
      <c r="L2" s="22">
        <v>0</v>
      </c>
      <c r="M2" s="22">
        <v>0</v>
      </c>
      <c r="N2" s="22">
        <v>0</v>
      </c>
      <c r="O2" s="22">
        <v>0</v>
      </c>
      <c r="P2" s="22">
        <v>0</v>
      </c>
      <c r="Q2" s="22">
        <v>0</v>
      </c>
      <c r="T2" s="22" t="s">
        <v>39</v>
      </c>
    </row>
    <row r="3" spans="1:20" x14ac:dyDescent="0.25">
      <c r="A3" s="22">
        <v>0</v>
      </c>
      <c r="B3" s="22">
        <v>0</v>
      </c>
      <c r="C3" s="22" t="str">
        <v>Severity</v>
      </c>
      <c r="D3" s="22">
        <v>0</v>
      </c>
      <c r="E3" s="22">
        <v>0</v>
      </c>
      <c r="F3" s="22">
        <v>0</v>
      </c>
      <c r="G3" s="22">
        <v>0</v>
      </c>
      <c r="H3" s="22">
        <v>0</v>
      </c>
      <c r="I3" s="22">
        <v>0</v>
      </c>
      <c r="J3" s="22">
        <v>0</v>
      </c>
      <c r="K3" s="22">
        <v>0</v>
      </c>
      <c r="L3" s="22">
        <v>0</v>
      </c>
      <c r="M3" s="22">
        <v>0</v>
      </c>
      <c r="N3" s="22">
        <v>0</v>
      </c>
      <c r="O3" s="22">
        <v>0</v>
      </c>
      <c r="P3" s="22">
        <v>0</v>
      </c>
      <c r="Q3" s="22">
        <v>0</v>
      </c>
      <c r="T3" s="78" t="s">
        <v>355</v>
      </c>
    </row>
    <row r="4" spans="1:20" x14ac:dyDescent="0.25">
      <c r="A4" s="22">
        <v>0</v>
      </c>
      <c r="B4" s="22" t="str">
        <v>Occ</v>
      </c>
      <c r="C4" s="22">
        <v>1</v>
      </c>
      <c r="D4" s="22">
        <v>2</v>
      </c>
      <c r="E4" s="22">
        <v>3</v>
      </c>
      <c r="F4" s="22">
        <v>4</v>
      </c>
      <c r="G4" s="22">
        <v>5</v>
      </c>
      <c r="H4" s="22">
        <v>6</v>
      </c>
      <c r="I4" s="22">
        <v>7</v>
      </c>
      <c r="J4" s="22">
        <v>8</v>
      </c>
      <c r="K4" s="22">
        <v>9</v>
      </c>
      <c r="L4" s="22">
        <v>10</v>
      </c>
      <c r="M4" s="22">
        <v>0</v>
      </c>
      <c r="N4" s="22">
        <v>0</v>
      </c>
      <c r="O4" s="22">
        <v>0</v>
      </c>
      <c r="P4" s="22">
        <v>0</v>
      </c>
      <c r="Q4" s="22">
        <v>0</v>
      </c>
      <c r="T4" s="78" t="s">
        <v>356</v>
      </c>
    </row>
    <row r="5" spans="1:20" x14ac:dyDescent="0.25">
      <c r="A5" s="22">
        <v>0</v>
      </c>
      <c r="B5" s="22">
        <v>10</v>
      </c>
      <c r="C5" s="22" t="str">
        <v>Low</v>
      </c>
      <c r="D5" s="22" t="str">
        <v>Med</v>
      </c>
      <c r="E5" s="22" t="str">
        <v>Med</v>
      </c>
      <c r="F5" s="22" t="str">
        <v>Med</v>
      </c>
      <c r="G5" s="22" t="str">
        <v>Med</v>
      </c>
      <c r="H5" s="22" t="str">
        <v>High</v>
      </c>
      <c r="I5" s="22" t="str">
        <v>High</v>
      </c>
      <c r="J5" s="22" t="str">
        <v>High</v>
      </c>
      <c r="K5" s="22" t="str">
        <v>High</v>
      </c>
      <c r="L5" s="22" t="str">
        <v>High</v>
      </c>
      <c r="M5" s="22">
        <v>0</v>
      </c>
      <c r="N5" s="22">
        <v>0</v>
      </c>
      <c r="O5" s="22">
        <v>0</v>
      </c>
      <c r="P5" s="22">
        <v>0</v>
      </c>
      <c r="Q5" s="22">
        <v>0</v>
      </c>
    </row>
    <row r="6" spans="1:20" x14ac:dyDescent="0.25">
      <c r="A6" s="22">
        <v>0</v>
      </c>
      <c r="B6" s="22">
        <v>9</v>
      </c>
      <c r="C6" s="22" t="str">
        <v>Low</v>
      </c>
      <c r="D6" s="22" t="str">
        <v>Low</v>
      </c>
      <c r="E6" s="22" t="str">
        <v>Med</v>
      </c>
      <c r="F6" s="22" t="str">
        <v>Med</v>
      </c>
      <c r="G6" s="22" t="str">
        <v>Med</v>
      </c>
      <c r="H6" s="22" t="str">
        <v>Med</v>
      </c>
      <c r="I6" s="22" t="str">
        <v>High</v>
      </c>
      <c r="J6" s="22" t="str">
        <v>High</v>
      </c>
      <c r="K6" s="22" t="str">
        <v>High</v>
      </c>
      <c r="L6" s="22" t="str">
        <v>High</v>
      </c>
      <c r="M6" s="22" t="str">
        <v>low &lt;=</v>
      </c>
      <c r="N6" s="22">
        <v>11</v>
      </c>
      <c r="O6" s="22">
        <v>0</v>
      </c>
      <c r="P6" s="22">
        <v>0</v>
      </c>
      <c r="Q6" s="22">
        <v>0</v>
      </c>
    </row>
    <row r="7" spans="1:20" x14ac:dyDescent="0.25">
      <c r="A7" s="22">
        <v>0</v>
      </c>
      <c r="B7" s="22">
        <v>8</v>
      </c>
      <c r="C7" s="22" t="str">
        <v>Low</v>
      </c>
      <c r="D7" s="22" t="str">
        <v>Low</v>
      </c>
      <c r="E7" s="22" t="str">
        <v>Low</v>
      </c>
      <c r="F7" s="22" t="str">
        <v>Med</v>
      </c>
      <c r="G7" s="22" t="str">
        <v>Med</v>
      </c>
      <c r="H7" s="22" t="str">
        <v>Med</v>
      </c>
      <c r="I7" s="22" t="str">
        <v>Med</v>
      </c>
      <c r="J7" s="22" t="str">
        <v>High</v>
      </c>
      <c r="K7" s="22" t="str">
        <v>High</v>
      </c>
      <c r="L7" s="22" t="str">
        <v>High</v>
      </c>
      <c r="M7" s="22" t="str">
        <v>high&gt;</v>
      </c>
      <c r="N7" s="22">
        <v>15</v>
      </c>
      <c r="O7" s="22">
        <v>0</v>
      </c>
      <c r="P7" s="22">
        <v>0</v>
      </c>
      <c r="Q7" s="22">
        <v>0</v>
      </c>
    </row>
    <row r="8" spans="1:20" x14ac:dyDescent="0.25">
      <c r="A8" s="22">
        <v>0</v>
      </c>
      <c r="B8" s="22">
        <v>7</v>
      </c>
      <c r="C8" s="22" t="str">
        <v>Low</v>
      </c>
      <c r="D8" s="22" t="str">
        <v>Low</v>
      </c>
      <c r="E8" s="22" t="str">
        <v>Low</v>
      </c>
      <c r="F8" s="22" t="str">
        <v>Low</v>
      </c>
      <c r="G8" s="22" t="str">
        <v>Med</v>
      </c>
      <c r="H8" s="22" t="str">
        <v>Med</v>
      </c>
      <c r="I8" s="22" t="str">
        <v>Med</v>
      </c>
      <c r="J8" s="22" t="str">
        <v>Med</v>
      </c>
      <c r="K8" s="22" t="str">
        <v>High</v>
      </c>
      <c r="L8" s="22" t="str">
        <v>High</v>
      </c>
      <c r="M8" s="22">
        <v>0</v>
      </c>
      <c r="N8" s="22">
        <v>0</v>
      </c>
      <c r="O8" s="22">
        <v>0</v>
      </c>
      <c r="P8" s="22">
        <v>0</v>
      </c>
      <c r="Q8" s="22">
        <v>0</v>
      </c>
    </row>
    <row r="9" spans="1:20" x14ac:dyDescent="0.25">
      <c r="A9" s="22">
        <v>0</v>
      </c>
      <c r="B9" s="22">
        <v>6</v>
      </c>
      <c r="C9" s="22" t="str">
        <v>Low</v>
      </c>
      <c r="D9" s="22" t="str">
        <v>Low</v>
      </c>
      <c r="E9" s="22" t="str">
        <v>Low</v>
      </c>
      <c r="F9" s="22" t="str">
        <v>Low</v>
      </c>
      <c r="G9" s="22" t="str">
        <v>Low</v>
      </c>
      <c r="H9" s="22" t="str">
        <v>Med</v>
      </c>
      <c r="I9" s="22" t="str">
        <v>Med</v>
      </c>
      <c r="J9" s="22" t="str">
        <v>Med</v>
      </c>
      <c r="K9" s="22" t="str">
        <v>Med</v>
      </c>
      <c r="L9" s="22" t="str">
        <v>High</v>
      </c>
      <c r="M9" s="22">
        <v>0</v>
      </c>
      <c r="N9" s="22">
        <v>0</v>
      </c>
      <c r="O9" s="22">
        <v>0</v>
      </c>
      <c r="P9" s="22">
        <v>0</v>
      </c>
      <c r="Q9" s="22">
        <v>0</v>
      </c>
    </row>
    <row r="10" spans="1:20" x14ac:dyDescent="0.25">
      <c r="A10" s="22">
        <v>0</v>
      </c>
      <c r="B10" s="22">
        <v>5</v>
      </c>
      <c r="C10" s="22" t="str">
        <v>Low</v>
      </c>
      <c r="D10" s="22" t="str">
        <v>Low</v>
      </c>
      <c r="E10" s="22" t="str">
        <v>Low</v>
      </c>
      <c r="F10" s="22" t="str">
        <v>Low</v>
      </c>
      <c r="G10" s="22" t="str">
        <v>Low</v>
      </c>
      <c r="H10" s="22" t="str">
        <v>Low</v>
      </c>
      <c r="I10" s="22" t="str">
        <v>Med</v>
      </c>
      <c r="J10" s="22" t="str">
        <v>Med</v>
      </c>
      <c r="K10" s="22" t="str">
        <v>Med</v>
      </c>
      <c r="L10" s="22" t="str">
        <v>Med</v>
      </c>
      <c r="M10" s="22">
        <v>0</v>
      </c>
      <c r="N10" s="22">
        <v>0</v>
      </c>
      <c r="O10" s="22">
        <v>0</v>
      </c>
      <c r="P10" s="22">
        <v>0</v>
      </c>
      <c r="Q10" s="22">
        <v>0</v>
      </c>
    </row>
    <row r="11" spans="1:20" x14ac:dyDescent="0.25">
      <c r="A11" s="22">
        <v>0</v>
      </c>
      <c r="B11" s="22">
        <v>4</v>
      </c>
      <c r="C11" s="22" t="str">
        <v>Low</v>
      </c>
      <c r="D11" s="22" t="str">
        <v>Low</v>
      </c>
      <c r="E11" s="22" t="str">
        <v>Low</v>
      </c>
      <c r="F11" s="22" t="str">
        <v>Low</v>
      </c>
      <c r="G11" s="22" t="str">
        <v>Low</v>
      </c>
      <c r="H11" s="22" t="str">
        <v>Low</v>
      </c>
      <c r="I11" s="22" t="str">
        <v>Low</v>
      </c>
      <c r="J11" s="22" t="str">
        <v>Med</v>
      </c>
      <c r="K11" s="22" t="str">
        <v>Med</v>
      </c>
      <c r="L11" s="22" t="str">
        <v>Med</v>
      </c>
      <c r="M11" s="22">
        <v>0</v>
      </c>
      <c r="N11" s="22" t="str">
        <v>Low</v>
      </c>
      <c r="O11" s="22" t="str">
        <v>Tolerable, no engineer action required</v>
      </c>
      <c r="P11" s="22">
        <v>0</v>
      </c>
      <c r="Q11" s="22">
        <v>0</v>
      </c>
    </row>
    <row r="12" spans="1:20" x14ac:dyDescent="0.25">
      <c r="A12" s="22">
        <v>0</v>
      </c>
      <c r="B12" s="22">
        <v>3</v>
      </c>
      <c r="C12" s="22" t="str">
        <v>Low</v>
      </c>
      <c r="D12" s="22" t="str">
        <v>Low</v>
      </c>
      <c r="E12" s="22" t="str">
        <v>Low</v>
      </c>
      <c r="F12" s="22" t="str">
        <v>Low</v>
      </c>
      <c r="G12" s="22" t="str">
        <v>Low</v>
      </c>
      <c r="H12" s="22" t="str">
        <v>Low</v>
      </c>
      <c r="I12" s="22" t="str">
        <v>Low</v>
      </c>
      <c r="J12" s="22" t="str">
        <v>Low</v>
      </c>
      <c r="K12" s="22" t="str">
        <v>Med</v>
      </c>
      <c r="L12" s="22" t="str">
        <v>Med</v>
      </c>
      <c r="M12" s="22">
        <v>0</v>
      </c>
      <c r="N12" s="22" t="str">
        <v>Med</v>
      </c>
      <c r="O12" s="22" t="str">
        <v>Undesirable, consider engineer actions to mitigate risk</v>
      </c>
      <c r="P12" s="22">
        <v>0</v>
      </c>
      <c r="Q12" s="22">
        <v>0</v>
      </c>
    </row>
    <row r="13" spans="1:20" x14ac:dyDescent="0.25">
      <c r="A13" s="22">
        <v>0</v>
      </c>
      <c r="B13" s="22">
        <v>2</v>
      </c>
      <c r="C13" s="22" t="str">
        <v>Low</v>
      </c>
      <c r="D13" s="22" t="str">
        <v>Low</v>
      </c>
      <c r="E13" s="22" t="str">
        <v>Low</v>
      </c>
      <c r="F13" s="22" t="str">
        <v>Low</v>
      </c>
      <c r="G13" s="22" t="str">
        <v>Low</v>
      </c>
      <c r="H13" s="22" t="str">
        <v>Low</v>
      </c>
      <c r="I13" s="22" t="str">
        <v>Low</v>
      </c>
      <c r="J13" s="22" t="str">
        <v>Low</v>
      </c>
      <c r="K13" s="22" t="str">
        <v>Low</v>
      </c>
      <c r="L13" s="22" t="str">
        <v>Med</v>
      </c>
      <c r="M13" s="22">
        <v>0</v>
      </c>
      <c r="N13" s="22" t="str">
        <v>High</v>
      </c>
      <c r="O13" s="22" t="str">
        <v>Intolerable, engineering action required</v>
      </c>
      <c r="P13" s="22">
        <v>0</v>
      </c>
      <c r="Q13" s="22">
        <v>0</v>
      </c>
    </row>
    <row r="14" spans="1:20" x14ac:dyDescent="0.25">
      <c r="A14" s="22">
        <v>0</v>
      </c>
      <c r="B14" s="22">
        <v>1</v>
      </c>
      <c r="C14" s="22" t="str">
        <v>Low</v>
      </c>
      <c r="D14" s="22" t="str">
        <v>Low</v>
      </c>
      <c r="E14" s="22" t="str">
        <v>Low</v>
      </c>
      <c r="F14" s="22" t="str">
        <v>Low</v>
      </c>
      <c r="G14" s="22" t="str">
        <v>Low</v>
      </c>
      <c r="H14" s="22" t="str">
        <v>Low</v>
      </c>
      <c r="I14" s="22" t="str">
        <v>Low</v>
      </c>
      <c r="J14" s="22" t="str">
        <v>Low</v>
      </c>
      <c r="K14" s="22" t="str">
        <v>Low</v>
      </c>
      <c r="L14" s="22" t="str">
        <v>Low</v>
      </c>
      <c r="M14" s="22">
        <v>0</v>
      </c>
      <c r="N14" s="22">
        <v>0</v>
      </c>
      <c r="O14" s="22">
        <v>0</v>
      </c>
      <c r="P14" s="22">
        <v>0</v>
      </c>
      <c r="Q14" s="22">
        <v>0</v>
      </c>
    </row>
    <row r="15" spans="1:20" x14ac:dyDescent="0.25">
      <c r="A15" s="22">
        <v>0</v>
      </c>
      <c r="B15" s="22">
        <v>0</v>
      </c>
      <c r="C15" s="22">
        <v>0</v>
      </c>
      <c r="D15" s="22">
        <v>0</v>
      </c>
      <c r="E15" s="22">
        <v>0</v>
      </c>
      <c r="F15" s="22">
        <v>0</v>
      </c>
      <c r="G15" s="22">
        <v>0</v>
      </c>
      <c r="H15" s="22">
        <v>0</v>
      </c>
      <c r="I15" s="22">
        <v>0</v>
      </c>
      <c r="J15" s="22">
        <v>0</v>
      </c>
      <c r="K15" s="22">
        <v>0</v>
      </c>
      <c r="L15" s="22">
        <v>0</v>
      </c>
      <c r="M15" s="22">
        <v>0</v>
      </c>
      <c r="N15" s="22">
        <v>0</v>
      </c>
      <c r="O15" s="22">
        <v>0</v>
      </c>
      <c r="P15" s="22">
        <v>0</v>
      </c>
      <c r="Q15" s="22">
        <v>0</v>
      </c>
    </row>
    <row r="16" spans="1:20" x14ac:dyDescent="0.25">
      <c r="A16" s="22">
        <v>0</v>
      </c>
      <c r="B16" s="22" t="str">
        <v>Occurrence</v>
      </c>
      <c r="C16" s="22">
        <v>0</v>
      </c>
      <c r="D16" s="22">
        <v>0</v>
      </c>
      <c r="E16" s="22">
        <v>0</v>
      </c>
      <c r="F16" s="22">
        <v>0</v>
      </c>
      <c r="G16" s="22">
        <v>0</v>
      </c>
      <c r="H16" s="22" t="str">
        <v>Severity</v>
      </c>
      <c r="I16" s="22">
        <v>0</v>
      </c>
      <c r="J16" s="22">
        <v>0</v>
      </c>
      <c r="K16" s="22">
        <v>0</v>
      </c>
      <c r="L16" s="22">
        <v>0</v>
      </c>
      <c r="M16" s="22">
        <v>0</v>
      </c>
      <c r="N16" s="22">
        <v>0</v>
      </c>
      <c r="O16" s="22">
        <v>0</v>
      </c>
      <c r="P16" s="22">
        <v>0</v>
      </c>
      <c r="Q16" s="22">
        <v>0</v>
      </c>
    </row>
    <row r="17" spans="1:17" x14ac:dyDescent="0.25">
      <c r="A17" s="22">
        <v>0</v>
      </c>
      <c r="B17" s="22" t="str">
        <v>Rating</v>
      </c>
      <c r="C17" s="22" t="str">
        <v>Occurrence</v>
      </c>
      <c r="D17" s="22">
        <v>0</v>
      </c>
      <c r="E17" s="22" t="str">
        <v>Annual Failure Rate</v>
      </c>
      <c r="F17" s="22" t="str">
        <v>Return Period [years]</v>
      </c>
      <c r="G17" s="22">
        <v>0</v>
      </c>
      <c r="H17" s="22" t="str">
        <v>Rating</v>
      </c>
      <c r="I17" s="22" t="str">
        <v>Severity</v>
      </c>
      <c r="J17" s="22" t="str">
        <v>Human Safety</v>
      </c>
      <c r="K17" s="22">
        <v>0</v>
      </c>
      <c r="L17" s="22" t="str">
        <v>Environment</v>
      </c>
      <c r="M17" s="22">
        <v>0</v>
      </c>
      <c r="N17" s="22" t="str">
        <v>WEC Operation</v>
      </c>
      <c r="O17" s="22">
        <v>0</v>
      </c>
      <c r="P17" s="22" t="str">
        <v xml:space="preserve">Assets </v>
      </c>
      <c r="Q17" s="22">
        <v>0</v>
      </c>
    </row>
    <row r="18" spans="1:17" x14ac:dyDescent="0.25">
      <c r="A18" s="22">
        <v>0</v>
      </c>
      <c r="B18" s="22">
        <v>1</v>
      </c>
      <c r="C18" s="22" t="str">
        <v>Exceptionally unlikely to occur</v>
      </c>
      <c r="D18" s="22">
        <v>0</v>
      </c>
      <c r="E18" s="22">
        <v>1.0000000000000001E-5</v>
      </c>
      <c r="F18" s="70">
        <v>100000</v>
      </c>
      <c r="G18" s="22">
        <v>0</v>
      </c>
      <c r="H18" s="22">
        <v>1</v>
      </c>
      <c r="I18" s="22" t="str">
        <v>Insignificant</v>
      </c>
      <c r="J18" s="22" t="str">
        <v>Negligible injury, effect on health (e.g. band aid)</v>
      </c>
      <c r="K18" s="22">
        <v>0</v>
      </c>
      <c r="L18" s="22" t="str">
        <v>Negligible pollution or no effect on environment</v>
      </c>
      <c r="M18" s="22">
        <v>0</v>
      </c>
      <c r="N18" s="22" t="str">
        <v>Negligible effect on performance</v>
      </c>
      <c r="O18" s="22">
        <v>0</v>
      </c>
      <c r="P18" s="22" t="str">
        <v>Negligible</v>
      </c>
      <c r="Q18" s="22">
        <v>0</v>
      </c>
    </row>
    <row r="19" spans="1:17" x14ac:dyDescent="0.25">
      <c r="A19" s="22">
        <v>0</v>
      </c>
      <c r="B19" s="22">
        <v>2</v>
      </c>
      <c r="C19" s="22">
        <v>0</v>
      </c>
      <c r="D19" s="22">
        <v>0</v>
      </c>
      <c r="E19" s="22">
        <v>3.1622776601683789E-5</v>
      </c>
      <c r="F19" s="70">
        <v>31600</v>
      </c>
      <c r="G19" s="22">
        <v>0</v>
      </c>
      <c r="H19" s="22">
        <v>2</v>
      </c>
      <c r="I19" s="22">
        <v>0</v>
      </c>
      <c r="J19" s="22">
        <v>0</v>
      </c>
      <c r="K19" s="22">
        <v>0</v>
      </c>
      <c r="L19" s="22">
        <v>0</v>
      </c>
      <c r="M19" s="22">
        <v>0</v>
      </c>
      <c r="N19" s="22">
        <v>0</v>
      </c>
      <c r="O19" s="22">
        <v>0</v>
      </c>
      <c r="P19" s="22" t="str">
        <v>[1.5k USD]</v>
      </c>
      <c r="Q19" s="22">
        <v>0</v>
      </c>
    </row>
    <row r="20" spans="1:17" ht="120" x14ac:dyDescent="0.25">
      <c r="A20" s="22">
        <v>0</v>
      </c>
      <c r="B20" s="22">
        <v>3</v>
      </c>
      <c r="C20" s="22" t="str">
        <v>Extremely unlikely to occur</v>
      </c>
      <c r="D20" s="22">
        <v>0</v>
      </c>
      <c r="E20" s="22">
        <v>1E-4</v>
      </c>
      <c r="F20" s="70">
        <v>10000</v>
      </c>
      <c r="G20" s="22">
        <v>0</v>
      </c>
      <c r="H20" s="22">
        <v>3</v>
      </c>
      <c r="I20" s="22" t="str">
        <v>Minor</v>
      </c>
      <c r="J20" s="22" t="str">
        <v>Minor injuries, health effects (e.g. stitches)</v>
      </c>
      <c r="K20" s="22">
        <v>0</v>
      </c>
      <c r="L20" s="22" t="str">
        <v>Minor pollution / slight effect on environment (min disruption on marine life)</v>
      </c>
      <c r="M20" s="22">
        <v>0</v>
      </c>
      <c r="N20" s="22" t="str">
        <v>Minor system degradation</v>
      </c>
      <c r="O20" s="22">
        <v>0</v>
      </c>
      <c r="P20" s="9" t="str">
        <v>Repairable in-situ, at next maintenance interval 
[5k USD]</v>
      </c>
      <c r="Q20" s="22">
        <v>0</v>
      </c>
    </row>
    <row r="21" spans="1:17" ht="150" x14ac:dyDescent="0.25">
      <c r="A21" s="22">
        <v>0</v>
      </c>
      <c r="B21" s="22">
        <v>4</v>
      </c>
      <c r="C21" s="22">
        <v>0</v>
      </c>
      <c r="D21" s="22">
        <v>0</v>
      </c>
      <c r="E21" s="22">
        <v>3.1622776601683789E-4</v>
      </c>
      <c r="F21" s="70">
        <v>3160</v>
      </c>
      <c r="G21" s="22">
        <v>0</v>
      </c>
      <c r="H21" s="22">
        <v>4</v>
      </c>
      <c r="I21" s="22">
        <v>0</v>
      </c>
      <c r="J21" s="22" t="str">
        <v>Moderate injuries and/or health effects (e.g. broken bone)</v>
      </c>
      <c r="K21" s="22">
        <v>0</v>
      </c>
      <c r="L21" s="22">
        <v>0</v>
      </c>
      <c r="M21" s="22">
        <v>0</v>
      </c>
      <c r="N21" s="22" t="str">
        <v>Moderate system degradation (e.g. loss of MoMo)</v>
      </c>
      <c r="O21" s="22">
        <v>0</v>
      </c>
      <c r="P21" s="9" t="str">
        <v>Repairable in-situ, outside maintenance interval 
(1 day) [15k USD]</v>
      </c>
      <c r="Q21" s="22">
        <v>0</v>
      </c>
    </row>
    <row r="22" spans="1:17" ht="150" x14ac:dyDescent="0.25">
      <c r="A22" s="22">
        <v>0</v>
      </c>
      <c r="B22" s="22">
        <v>5</v>
      </c>
      <c r="C22" s="22" t="str">
        <v>Very unlikely to occur</v>
      </c>
      <c r="D22" s="22">
        <v>0</v>
      </c>
      <c r="E22" s="22">
        <v>1E-3</v>
      </c>
      <c r="F22" s="70">
        <v>1000</v>
      </c>
      <c r="G22" s="22">
        <v>0</v>
      </c>
      <c r="H22" s="22">
        <v>5</v>
      </c>
      <c r="I22" s="22" t="str">
        <v>Major</v>
      </c>
      <c r="J22" s="22">
        <v>0</v>
      </c>
      <c r="K22" s="22">
        <v>0</v>
      </c>
      <c r="L22" s="22" t="str">
        <v>Limited levels of pollution, manageable / moderate effect on environment</v>
      </c>
      <c r="M22" s="22">
        <v>0</v>
      </c>
      <c r="N22" s="22">
        <v>0</v>
      </c>
      <c r="O22" s="22">
        <v>0</v>
      </c>
      <c r="P22" s="9" t="str">
        <v>Repairable in-situ, outside maintenance interval 
(1 week) [50k USD]</v>
      </c>
      <c r="Q22" s="22">
        <v>0</v>
      </c>
    </row>
    <row r="23" spans="1:17" x14ac:dyDescent="0.25">
      <c r="A23" s="22">
        <v>0</v>
      </c>
      <c r="B23" s="22">
        <v>6</v>
      </c>
      <c r="C23" s="22">
        <v>0</v>
      </c>
      <c r="D23" s="22">
        <v>0</v>
      </c>
      <c r="E23" s="22">
        <v>3.162277660168379E-3</v>
      </c>
      <c r="F23" s="22">
        <v>316</v>
      </c>
      <c r="G23" s="22">
        <v>0</v>
      </c>
      <c r="H23" s="22">
        <v>6</v>
      </c>
      <c r="I23" s="22">
        <v>0</v>
      </c>
      <c r="J23" s="22">
        <v>0</v>
      </c>
      <c r="K23" s="22">
        <v>0</v>
      </c>
      <c r="L23" s="22">
        <v>0</v>
      </c>
      <c r="M23" s="22">
        <v>0</v>
      </c>
      <c r="N23" s="22" t="str">
        <v>Major system degradation or loss of operation for 1 month</v>
      </c>
      <c r="O23" s="22">
        <v>0</v>
      </c>
      <c r="P23" s="22" t="str">
        <v>[150k USD]</v>
      </c>
      <c r="Q23" s="22">
        <v>0</v>
      </c>
    </row>
    <row r="24" spans="1:17" ht="90" x14ac:dyDescent="0.25">
      <c r="A24" s="22">
        <v>0</v>
      </c>
      <c r="B24" s="22">
        <v>7</v>
      </c>
      <c r="C24" s="22" t="str">
        <v>Rarely expected to occur</v>
      </c>
      <c r="D24" s="22">
        <v>0</v>
      </c>
      <c r="E24" s="22">
        <v>0.01</v>
      </c>
      <c r="F24" s="22">
        <v>100</v>
      </c>
      <c r="G24" s="22">
        <v>0</v>
      </c>
      <c r="H24" s="22">
        <v>7</v>
      </c>
      <c r="I24" s="22" t="str">
        <v>Critical</v>
      </c>
      <c r="J24" s="22" t="str">
        <v>Hospitalization (with full recovery)</v>
      </c>
      <c r="K24" s="22">
        <v>0</v>
      </c>
      <c r="L24" s="22" t="str">
        <v>Moderate pollution (some clean-up costs) / Serious effect on environment</v>
      </c>
      <c r="M24" s="22">
        <v>0</v>
      </c>
      <c r="N24" s="22" t="str">
        <v>Major system degradation or loss of operation for 3 months</v>
      </c>
      <c r="O24" s="22">
        <v>0</v>
      </c>
      <c r="P24" s="9" t="str">
        <v>Dry dock required for repair
[500k USD]</v>
      </c>
      <c r="Q24" s="22">
        <v>0</v>
      </c>
    </row>
    <row r="25" spans="1:17" x14ac:dyDescent="0.25">
      <c r="A25" s="22">
        <v>0</v>
      </c>
      <c r="B25" s="22">
        <v>8</v>
      </c>
      <c r="C25" s="22">
        <v>0</v>
      </c>
      <c r="D25" s="22">
        <v>0</v>
      </c>
      <c r="E25" s="22">
        <v>3.1622776601683791E-2</v>
      </c>
      <c r="F25" s="22">
        <v>31.6</v>
      </c>
      <c r="G25" s="22">
        <v>0</v>
      </c>
      <c r="H25" s="22">
        <v>8</v>
      </c>
      <c r="I25" s="22">
        <v>0</v>
      </c>
      <c r="J25" s="22">
        <v>0</v>
      </c>
      <c r="K25" s="22">
        <v>0</v>
      </c>
      <c r="L25" s="22">
        <v>0</v>
      </c>
      <c r="M25" s="22">
        <v>0</v>
      </c>
      <c r="N25" s="22" t="str">
        <v>Critical system degradation or loss of operation for 6 months</v>
      </c>
      <c r="O25" s="22">
        <v>0</v>
      </c>
      <c r="P25" s="22" t="str">
        <v>[1.5M USD]</v>
      </c>
      <c r="Q25" s="22">
        <v>0</v>
      </c>
    </row>
    <row r="26" spans="1:17" ht="45" x14ac:dyDescent="0.25">
      <c r="A26" s="22">
        <v>0</v>
      </c>
      <c r="B26" s="22">
        <v>9</v>
      </c>
      <c r="C26" s="22" t="str">
        <v>One or more during 20 yr lifetime</v>
      </c>
      <c r="D26" s="22">
        <v>0</v>
      </c>
      <c r="E26" s="22">
        <v>0.1</v>
      </c>
      <c r="F26" s="22">
        <v>10</v>
      </c>
      <c r="G26" s="22">
        <v>0</v>
      </c>
      <c r="H26" s="22">
        <v>9</v>
      </c>
      <c r="I26" s="22" t="str">
        <v>Catastrophic</v>
      </c>
      <c r="J26" s="22" t="str">
        <v>Hospitalization (with lasting disabilities)</v>
      </c>
      <c r="K26" s="22">
        <v>0</v>
      </c>
      <c r="L26" s="22" t="str">
        <v>Major pollution (significant clean-up costs) / disastrous effects on the environment</v>
      </c>
      <c r="M26" s="22">
        <v>0</v>
      </c>
      <c r="N26" s="22" t="str">
        <v>Failure to generate power for remainder of project, complete failure</v>
      </c>
      <c r="O26" s="22">
        <v>0</v>
      </c>
      <c r="P26" s="9" t="str">
        <v>Loss of device
[5M USD]</v>
      </c>
      <c r="Q26" s="22">
        <v>0</v>
      </c>
    </row>
    <row r="27" spans="1:17" x14ac:dyDescent="0.25">
      <c r="A27" s="22">
        <v>0</v>
      </c>
      <c r="B27" s="22">
        <v>10</v>
      </c>
      <c r="C27" s="22">
        <v>0</v>
      </c>
      <c r="D27" s="22">
        <v>0</v>
      </c>
      <c r="E27" s="22">
        <v>0.31622776601683794</v>
      </c>
      <c r="F27" s="22">
        <v>3.16</v>
      </c>
      <c r="G27" s="22">
        <v>0</v>
      </c>
      <c r="H27" s="22">
        <v>10</v>
      </c>
      <c r="I27" s="22">
        <v>0</v>
      </c>
      <c r="J27" s="22" t="str">
        <v>A fatality</v>
      </c>
      <c r="K27" s="22">
        <v>0</v>
      </c>
      <c r="L27" s="22">
        <v>0</v>
      </c>
      <c r="M27" s="22">
        <v>0</v>
      </c>
      <c r="N27" s="22">
        <v>0</v>
      </c>
      <c r="O27" s="22">
        <v>0</v>
      </c>
      <c r="P27" s="22">
        <v>0</v>
      </c>
      <c r="Q27" s="2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0700 Mooring</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2014-11-04T22:39:56Z</cp:lastPrinted>
  <dcterms:created xsi:type="dcterms:W3CDTF">2013-05-20T22:14:35Z</dcterms:created>
  <dcterms:modified xsi:type="dcterms:W3CDTF">2017-03-03T17:50:04Z</dcterms:modified>
</cp:coreProperties>
</file>