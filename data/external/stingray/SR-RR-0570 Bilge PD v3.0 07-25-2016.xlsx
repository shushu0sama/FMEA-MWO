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570 Bilge Pumping System"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'0570 Bilge Pumping System'!$B$5:$W$34</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'0570 Bilge Pumping System'!$B$5:$W$34</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A1" i="8" s="1"/>
  <c r="O4" i="6"/>
  <c r="O3" i="6"/>
  <c r="O2" i="6"/>
  <c r="J25" i="8" l="1"/>
  <c r="C23" i="8"/>
  <c r="N17" i="8"/>
  <c r="Q12" i="8"/>
  <c r="J7" i="8"/>
  <c r="P27" i="8"/>
  <c r="I25" i="8"/>
  <c r="B23" i="8"/>
  <c r="N19" i="8"/>
  <c r="L17" i="8"/>
  <c r="E12" i="8"/>
  <c r="C10" i="8"/>
  <c r="I4" i="8"/>
  <c r="O27" i="8"/>
  <c r="H25" i="8"/>
  <c r="M22" i="8"/>
  <c r="L19" i="8"/>
  <c r="O14" i="8"/>
  <c r="N3" i="8"/>
  <c r="H26" i="8"/>
  <c r="A24" i="8"/>
  <c r="F21" i="8"/>
  <c r="J19" i="8"/>
  <c r="C14" i="8"/>
  <c r="F9" i="8"/>
  <c r="K6" i="8"/>
  <c r="H27" i="8"/>
  <c r="A25" i="8"/>
  <c r="K22" i="8"/>
  <c r="O18" i="8"/>
  <c r="A14" i="8"/>
  <c r="I6" i="8"/>
  <c r="G27" i="8"/>
  <c r="Q24" i="8"/>
  <c r="E22" i="8"/>
  <c r="D21" i="8"/>
  <c r="A16" i="8"/>
  <c r="D11" i="8"/>
  <c r="I8" i="8"/>
  <c r="M2" i="8"/>
  <c r="F27" i="8"/>
  <c r="Q25" i="8"/>
  <c r="K24" i="8"/>
  <c r="J23" i="8"/>
  <c r="D22" i="8"/>
  <c r="M20" i="8"/>
  <c r="K18" i="8"/>
  <c r="P15" i="8"/>
  <c r="D13" i="8"/>
  <c r="B11" i="8"/>
  <c r="G8" i="8"/>
  <c r="J5" i="8"/>
  <c r="P1" i="8"/>
  <c r="P26" i="8"/>
  <c r="I24" i="8"/>
  <c r="N21" i="8"/>
  <c r="I20" i="8"/>
  <c r="B15" i="8"/>
  <c r="E10" i="8"/>
  <c r="K4" i="8"/>
  <c r="O26" i="8"/>
  <c r="C24" i="8"/>
  <c r="M21" i="8"/>
  <c r="Q14" i="8"/>
  <c r="H7" i="8"/>
  <c r="I26" i="8"/>
  <c r="B24" i="8"/>
  <c r="L21" i="8"/>
  <c r="Q16" i="8"/>
  <c r="C12" i="8"/>
  <c r="H9" i="8"/>
  <c r="F7" i="8"/>
  <c r="N27" i="8"/>
  <c r="B25" i="8"/>
  <c r="L22" i="8"/>
  <c r="O16" i="8"/>
  <c r="A12" i="8"/>
  <c r="L3" i="8"/>
  <c r="G26" i="8"/>
  <c r="L23" i="8"/>
  <c r="E21" i="8"/>
  <c r="M16" i="8"/>
  <c r="F11" i="8"/>
  <c r="D9" i="8"/>
  <c r="O2" i="8"/>
  <c r="A26" i="8"/>
  <c r="K23" i="8"/>
  <c r="M18" i="8"/>
  <c r="P13" i="8"/>
  <c r="L5" i="8"/>
  <c r="Q26" i="8"/>
  <c r="P25" i="8"/>
  <c r="J24" i="8"/>
  <c r="D23" i="8"/>
  <c r="C22" i="8"/>
  <c r="K20" i="8"/>
  <c r="P17" i="8"/>
  <c r="N15" i="8"/>
  <c r="B13" i="8"/>
  <c r="G10" i="8"/>
  <c r="E8" i="8"/>
  <c r="M4" i="8"/>
  <c r="N1" i="8"/>
  <c r="L27" i="8"/>
  <c r="D27" i="8"/>
  <c r="M26" i="8"/>
  <c r="E26" i="8"/>
  <c r="N25" i="8"/>
  <c r="F25" i="8"/>
  <c r="O24" i="8"/>
  <c r="G24" i="8"/>
  <c r="P23" i="8"/>
  <c r="H23" i="8"/>
  <c r="Q22" i="8"/>
  <c r="I22" i="8"/>
  <c r="A22" i="8"/>
  <c r="J21" i="8"/>
  <c r="B21" i="8"/>
  <c r="E20" i="8"/>
  <c r="F19" i="8"/>
  <c r="G18" i="8"/>
  <c r="H17" i="8"/>
  <c r="I16" i="8"/>
  <c r="J15" i="8"/>
  <c r="K14" i="8"/>
  <c r="L13" i="8"/>
  <c r="M12" i="8"/>
  <c r="N11" i="8"/>
  <c r="O10" i="8"/>
  <c r="P9" i="8"/>
  <c r="Q8" i="8"/>
  <c r="A8" i="8"/>
  <c r="B7" i="8"/>
  <c r="C6" i="8"/>
  <c r="D5" i="8"/>
  <c r="E4" i="8"/>
  <c r="F3" i="8"/>
  <c r="G2" i="8"/>
  <c r="H1" i="8"/>
  <c r="K27" i="8"/>
  <c r="C27" i="8"/>
  <c r="L26" i="8"/>
  <c r="D26" i="8"/>
  <c r="M25" i="8"/>
  <c r="E25" i="8"/>
  <c r="N24" i="8"/>
  <c r="F24" i="8"/>
  <c r="O23" i="8"/>
  <c r="G23" i="8"/>
  <c r="P22" i="8"/>
  <c r="H22" i="8"/>
  <c r="Q21" i="8"/>
  <c r="I21" i="8"/>
  <c r="A21" i="8"/>
  <c r="C20" i="8"/>
  <c r="D19" i="8"/>
  <c r="E18" i="8"/>
  <c r="F17" i="8"/>
  <c r="G16" i="8"/>
  <c r="H15" i="8"/>
  <c r="I14" i="8"/>
  <c r="J13" i="8"/>
  <c r="K12" i="8"/>
  <c r="L11" i="8"/>
  <c r="M10" i="8"/>
  <c r="N9" i="8"/>
  <c r="O8" i="8"/>
  <c r="P7" i="8"/>
  <c r="Q6" i="8"/>
  <c r="A6" i="8"/>
  <c r="B5" i="8"/>
  <c r="C4" i="8"/>
  <c r="D3" i="8"/>
  <c r="E2" i="8"/>
  <c r="F1" i="8"/>
  <c r="K26" i="8"/>
  <c r="L25" i="8"/>
  <c r="E24" i="8"/>
  <c r="F23" i="8"/>
  <c r="O22" i="8"/>
  <c r="P21" i="8"/>
  <c r="H21" i="8"/>
  <c r="Q20" i="8"/>
  <c r="A20" i="8"/>
  <c r="B19" i="8"/>
  <c r="C18" i="8"/>
  <c r="D17" i="8"/>
  <c r="E16" i="8"/>
  <c r="F15" i="8"/>
  <c r="G14" i="8"/>
  <c r="H13" i="8"/>
  <c r="I12" i="8"/>
  <c r="J11" i="8"/>
  <c r="K10" i="8"/>
  <c r="L9" i="8"/>
  <c r="M8" i="8"/>
  <c r="N7" i="8"/>
  <c r="O6" i="8"/>
  <c r="P5" i="8"/>
  <c r="Q4" i="8"/>
  <c r="A4" i="8"/>
  <c r="B3" i="8"/>
  <c r="C2" i="8"/>
  <c r="D1" i="8"/>
  <c r="G6" i="8"/>
  <c r="H5" i="8"/>
  <c r="J3" i="8"/>
  <c r="K2" i="8"/>
  <c r="L1" i="8"/>
  <c r="M27" i="8"/>
  <c r="E27" i="8"/>
  <c r="N26" i="8"/>
  <c r="F26" i="8"/>
  <c r="O25" i="8"/>
  <c r="G25" i="8"/>
  <c r="P24" i="8"/>
  <c r="H24" i="8"/>
  <c r="Q23" i="8"/>
  <c r="I23" i="8"/>
  <c r="A23" i="8"/>
  <c r="J22" i="8"/>
  <c r="B22" i="8"/>
  <c r="K21" i="8"/>
  <c r="C21" i="8"/>
  <c r="G20" i="8"/>
  <c r="H19" i="8"/>
  <c r="I18" i="8"/>
  <c r="J17" i="8"/>
  <c r="K16" i="8"/>
  <c r="L15" i="8"/>
  <c r="M14" i="8"/>
  <c r="N13" i="8"/>
  <c r="O12" i="8"/>
  <c r="P11" i="8"/>
  <c r="Q10" i="8"/>
  <c r="A10" i="8"/>
  <c r="B9" i="8"/>
  <c r="C8" i="8"/>
  <c r="D7" i="8"/>
  <c r="E6" i="8"/>
  <c r="F5" i="8"/>
  <c r="G4" i="8"/>
  <c r="H3" i="8"/>
  <c r="I2" i="8"/>
  <c r="J1" i="8"/>
  <c r="J27" i="8"/>
  <c r="B27" i="8"/>
  <c r="C26" i="8"/>
  <c r="D25" i="8"/>
  <c r="M24" i="8"/>
  <c r="N23" i="8"/>
  <c r="G22" i="8"/>
  <c r="Q27" i="8"/>
  <c r="I27" i="8"/>
  <c r="A27" i="8"/>
  <c r="J26" i="8"/>
  <c r="B26" i="8"/>
  <c r="K25" i="8"/>
  <c r="C25" i="8"/>
  <c r="L24" i="8"/>
  <c r="D24" i="8"/>
  <c r="M23" i="8"/>
  <c r="E23" i="8"/>
  <c r="N22" i="8"/>
  <c r="F22" i="8"/>
  <c r="O21" i="8"/>
  <c r="G21" i="8"/>
  <c r="O20" i="8"/>
  <c r="P19" i="8"/>
  <c r="Q18" i="8"/>
  <c r="A18" i="8"/>
  <c r="B17" i="8"/>
  <c r="C16" i="8"/>
  <c r="D15" i="8"/>
  <c r="E14" i="8"/>
  <c r="F13" i="8"/>
  <c r="G12" i="8"/>
  <c r="H11" i="8"/>
  <c r="I10" i="8"/>
  <c r="J9" i="8"/>
  <c r="K8" i="8"/>
  <c r="L7" i="8"/>
  <c r="M6" i="8"/>
  <c r="N5" i="8"/>
  <c r="O4" i="8"/>
  <c r="P3" i="8"/>
  <c r="Q2" i="8"/>
  <c r="A2" i="8"/>
  <c r="B1" i="8"/>
  <c r="P20" i="8"/>
  <c r="L20" i="8"/>
  <c r="H20" i="8"/>
  <c r="D20" i="8"/>
  <c r="Q19" i="8"/>
  <c r="M19" i="8"/>
  <c r="I19" i="8"/>
  <c r="E19" i="8"/>
  <c r="A19" i="8"/>
  <c r="N18" i="8"/>
  <c r="J18" i="8"/>
  <c r="F18" i="8"/>
  <c r="B18" i="8"/>
  <c r="O17" i="8"/>
  <c r="K17" i="8"/>
  <c r="G17" i="8"/>
  <c r="C17" i="8"/>
  <c r="P16" i="8"/>
  <c r="L16" i="8"/>
  <c r="H16" i="8"/>
  <c r="D16" i="8"/>
  <c r="Q15" i="8"/>
  <c r="M15" i="8"/>
  <c r="I15" i="8"/>
  <c r="E15" i="8"/>
  <c r="A15" i="8"/>
  <c r="N14" i="8"/>
  <c r="J14" i="8"/>
  <c r="F14" i="8"/>
  <c r="B14" i="8"/>
  <c r="O13" i="8"/>
  <c r="K13" i="8"/>
  <c r="G13" i="8"/>
  <c r="C13" i="8"/>
  <c r="P12" i="8"/>
  <c r="L12" i="8"/>
  <c r="H12" i="8"/>
  <c r="D12" i="8"/>
  <c r="Q11" i="8"/>
  <c r="M11" i="8"/>
  <c r="I11" i="8"/>
  <c r="E11" i="8"/>
  <c r="A11" i="8"/>
  <c r="N10" i="8"/>
  <c r="J10" i="8"/>
  <c r="F10" i="8"/>
  <c r="B10" i="8"/>
  <c r="O9" i="8"/>
  <c r="K9" i="8"/>
  <c r="G9" i="8"/>
  <c r="C9" i="8"/>
  <c r="P8" i="8"/>
  <c r="L8" i="8"/>
  <c r="H8" i="8"/>
  <c r="D8" i="8"/>
  <c r="Q7" i="8"/>
  <c r="M7" i="8"/>
  <c r="I7" i="8"/>
  <c r="E7" i="8"/>
  <c r="A7" i="8"/>
  <c r="N6" i="8"/>
  <c r="J6" i="8"/>
  <c r="F6" i="8"/>
  <c r="B6" i="8"/>
  <c r="O5" i="8"/>
  <c r="K5" i="8"/>
  <c r="G5" i="8"/>
  <c r="C5" i="8"/>
  <c r="P4" i="8"/>
  <c r="L4" i="8"/>
  <c r="H4" i="8"/>
  <c r="D4" i="8"/>
  <c r="Q3" i="8"/>
  <c r="M3" i="8"/>
  <c r="I3" i="8"/>
  <c r="E3" i="8"/>
  <c r="A3" i="8"/>
  <c r="N2" i="8"/>
  <c r="J2" i="8"/>
  <c r="F2" i="8"/>
  <c r="B2" i="8"/>
  <c r="O1" i="8"/>
  <c r="K1" i="8"/>
  <c r="G1" i="8"/>
  <c r="C1" i="8"/>
  <c r="N20" i="8"/>
  <c r="J20" i="8"/>
  <c r="F20" i="8"/>
  <c r="B20" i="8"/>
  <c r="O19" i="8"/>
  <c r="K19" i="8"/>
  <c r="G19" i="8"/>
  <c r="C19" i="8"/>
  <c r="P18" i="8"/>
  <c r="L18" i="8"/>
  <c r="H18" i="8"/>
  <c r="D18" i="8"/>
  <c r="Q17" i="8"/>
  <c r="M17" i="8"/>
  <c r="I17" i="8"/>
  <c r="E17" i="8"/>
  <c r="A17" i="8"/>
  <c r="N16" i="8"/>
  <c r="J16" i="8"/>
  <c r="F16" i="8"/>
  <c r="B16" i="8"/>
  <c r="O15" i="8"/>
  <c r="K15" i="8"/>
  <c r="G15" i="8"/>
  <c r="C15" i="8"/>
  <c r="P14" i="8"/>
  <c r="L14" i="8"/>
  <c r="H14" i="8"/>
  <c r="D14" i="8"/>
  <c r="Q13" i="8"/>
  <c r="M13" i="8"/>
  <c r="I13" i="8"/>
  <c r="E13" i="8"/>
  <c r="A13" i="8"/>
  <c r="N12" i="8"/>
  <c r="J12" i="8"/>
  <c r="F12" i="8"/>
  <c r="B12" i="8"/>
  <c r="O11" i="8"/>
  <c r="K11" i="8"/>
  <c r="G11" i="8"/>
  <c r="C11" i="8"/>
  <c r="P10" i="8"/>
  <c r="L10" i="8"/>
  <c r="H10" i="8"/>
  <c r="D10" i="8"/>
  <c r="Q9" i="8"/>
  <c r="M9" i="8"/>
  <c r="I9" i="8"/>
  <c r="E9" i="8"/>
  <c r="A9" i="8"/>
  <c r="N8" i="8"/>
  <c r="J8" i="8"/>
  <c r="F8" i="8"/>
  <c r="B8" i="8"/>
  <c r="O7" i="8"/>
  <c r="K7" i="8"/>
  <c r="G7" i="8"/>
  <c r="C7" i="8"/>
  <c r="P6" i="8"/>
  <c r="L6" i="8"/>
  <c r="H6" i="8"/>
  <c r="D6" i="8"/>
  <c r="Q5" i="8"/>
  <c r="M5" i="8"/>
  <c r="I5" i="8"/>
  <c r="E5" i="8"/>
  <c r="A5" i="8"/>
  <c r="N4" i="8"/>
  <c r="J4" i="8"/>
  <c r="F4" i="8"/>
  <c r="B4" i="8"/>
  <c r="O3" i="8"/>
  <c r="K3" i="8"/>
  <c r="G3" i="8"/>
  <c r="C3" i="8"/>
  <c r="P2" i="8"/>
  <c r="L2" i="8"/>
  <c r="H2" i="8"/>
  <c r="D2" i="8"/>
  <c r="Q1" i="8"/>
  <c r="M1" i="8"/>
  <c r="I1" i="8"/>
  <c r="E1" i="8"/>
  <c r="AF11" i="2" l="1"/>
  <c r="AG11" i="2"/>
  <c r="AH11" i="2"/>
  <c r="AI11" i="2"/>
  <c r="AR11" i="2"/>
  <c r="AS11" i="2"/>
  <c r="AT11" i="2"/>
  <c r="AU11" i="2"/>
  <c r="AU29" i="2"/>
  <c r="AT29" i="2"/>
  <c r="AS29" i="2"/>
  <c r="AR29" i="2"/>
  <c r="AI29" i="2"/>
  <c r="AH29" i="2"/>
  <c r="AG29" i="2"/>
  <c r="AF29" i="2"/>
  <c r="AU23" i="2"/>
  <c r="AT23" i="2"/>
  <c r="AS23" i="2"/>
  <c r="AR23" i="2"/>
  <c r="AI23" i="2"/>
  <c r="AH23" i="2"/>
  <c r="AG23" i="2"/>
  <c r="AF23" i="2"/>
  <c r="AU27" i="2" l="1"/>
  <c r="AT27" i="2"/>
  <c r="AS27" i="2"/>
  <c r="AR27" i="2"/>
  <c r="AI27" i="2"/>
  <c r="AH27" i="2"/>
  <c r="AG27" i="2"/>
  <c r="AF27" i="2"/>
  <c r="AU20" i="2"/>
  <c r="AT20" i="2"/>
  <c r="AS20" i="2"/>
  <c r="AR20" i="2"/>
  <c r="AI20" i="2"/>
  <c r="AH20" i="2"/>
  <c r="AG20" i="2"/>
  <c r="AF20" i="2"/>
  <c r="AU14" i="2"/>
  <c r="AT14" i="2"/>
  <c r="AS14" i="2"/>
  <c r="AR14" i="2"/>
  <c r="AI14" i="2"/>
  <c r="AH14" i="2"/>
  <c r="AG14" i="2"/>
  <c r="AF14" i="2"/>
  <c r="AU9" i="2"/>
  <c r="AT9" i="2"/>
  <c r="AS9" i="2"/>
  <c r="AR9" i="2"/>
  <c r="AI9" i="2"/>
  <c r="AH9" i="2"/>
  <c r="AG9" i="2"/>
  <c r="AF9" i="2"/>
  <c r="AU32" i="2"/>
  <c r="AT32" i="2"/>
  <c r="AS32" i="2"/>
  <c r="AR32" i="2"/>
  <c r="AI32" i="2"/>
  <c r="AH32" i="2"/>
  <c r="AG32" i="2"/>
  <c r="AF32" i="2"/>
  <c r="AU17" i="2"/>
  <c r="AT17" i="2"/>
  <c r="AS17" i="2"/>
  <c r="AR17" i="2"/>
  <c r="AI17" i="2"/>
  <c r="AH17" i="2"/>
  <c r="AG17" i="2"/>
  <c r="AF17" i="2"/>
  <c r="AU31" i="2"/>
  <c r="AT31" i="2"/>
  <c r="AS31" i="2"/>
  <c r="AR31" i="2"/>
  <c r="AI31" i="2"/>
  <c r="AH31" i="2"/>
  <c r="AG31" i="2"/>
  <c r="AF31" i="2"/>
  <c r="AU30" i="2"/>
  <c r="AT30" i="2"/>
  <c r="AS30" i="2"/>
  <c r="AR30" i="2"/>
  <c r="AI30" i="2"/>
  <c r="AH30" i="2"/>
  <c r="AG30" i="2"/>
  <c r="AF30" i="2"/>
  <c r="AU28" i="2"/>
  <c r="AT28" i="2"/>
  <c r="AS28" i="2"/>
  <c r="AR28" i="2"/>
  <c r="AI28" i="2"/>
  <c r="AH28" i="2"/>
  <c r="AG28" i="2"/>
  <c r="AF28" i="2"/>
  <c r="AU26" i="2"/>
  <c r="AT26" i="2"/>
  <c r="AS26" i="2"/>
  <c r="AR26" i="2"/>
  <c r="AI26" i="2"/>
  <c r="AH26" i="2"/>
  <c r="AG26" i="2"/>
  <c r="AF26" i="2"/>
  <c r="AU25" i="2"/>
  <c r="AT25" i="2"/>
  <c r="AS25" i="2"/>
  <c r="AR25" i="2"/>
  <c r="AI25" i="2"/>
  <c r="AH25" i="2"/>
  <c r="AG25" i="2"/>
  <c r="AF25" i="2"/>
  <c r="AU24" i="2"/>
  <c r="AT24" i="2"/>
  <c r="AS24" i="2"/>
  <c r="AR24" i="2"/>
  <c r="AI24" i="2"/>
  <c r="AH24" i="2"/>
  <c r="AG24" i="2"/>
  <c r="AF24" i="2"/>
  <c r="AU10" i="2"/>
  <c r="AT10" i="2"/>
  <c r="AS10" i="2"/>
  <c r="AR10" i="2"/>
  <c r="AI10" i="2"/>
  <c r="AH10" i="2"/>
  <c r="AG10" i="2"/>
  <c r="AF10" i="2"/>
  <c r="AU8" i="2"/>
  <c r="AT8" i="2"/>
  <c r="AS8" i="2"/>
  <c r="AR8" i="2"/>
  <c r="AI8" i="2"/>
  <c r="AH8" i="2"/>
  <c r="AG8" i="2"/>
  <c r="AF8" i="2"/>
  <c r="AU7" i="2"/>
  <c r="AT7" i="2"/>
  <c r="AS7" i="2"/>
  <c r="AR7" i="2"/>
  <c r="AI7" i="2"/>
  <c r="AH7" i="2"/>
  <c r="AG7" i="2"/>
  <c r="AF7" i="2"/>
  <c r="AU15" i="2"/>
  <c r="AT15" i="2"/>
  <c r="AS15" i="2"/>
  <c r="AR15" i="2"/>
  <c r="AI15" i="2"/>
  <c r="AH15" i="2"/>
  <c r="AG15" i="2"/>
  <c r="AF15" i="2"/>
  <c r="AU13" i="2"/>
  <c r="AT13" i="2"/>
  <c r="AS13" i="2"/>
  <c r="AR13" i="2"/>
  <c r="AI13" i="2"/>
  <c r="AH13" i="2"/>
  <c r="AG13" i="2"/>
  <c r="AF13" i="2"/>
  <c r="AU12" i="2"/>
  <c r="AT12" i="2"/>
  <c r="AS12" i="2"/>
  <c r="AR12" i="2"/>
  <c r="AI12" i="2"/>
  <c r="AH12" i="2"/>
  <c r="AG12" i="2"/>
  <c r="AF12" i="2"/>
  <c r="AU34" i="2" l="1"/>
  <c r="AT34" i="2"/>
  <c r="AS34" i="2"/>
  <c r="AR34" i="2"/>
  <c r="AU33" i="2"/>
  <c r="AT33" i="2"/>
  <c r="AS33" i="2"/>
  <c r="AR33" i="2"/>
  <c r="AU22" i="2"/>
  <c r="AT22" i="2"/>
  <c r="AS22" i="2"/>
  <c r="AR22" i="2"/>
  <c r="AU21" i="2"/>
  <c r="AT21" i="2"/>
  <c r="AS21" i="2"/>
  <c r="AR21" i="2"/>
  <c r="AU19" i="2"/>
  <c r="AT19" i="2"/>
  <c r="AS19" i="2"/>
  <c r="AR19" i="2"/>
  <c r="AU18" i="2"/>
  <c r="AT18" i="2"/>
  <c r="AS18" i="2"/>
  <c r="AR18" i="2"/>
  <c r="AU16" i="2"/>
  <c r="AT16" i="2"/>
  <c r="AS16" i="2"/>
  <c r="AR16" i="2"/>
  <c r="AI34" i="2"/>
  <c r="AH34" i="2"/>
  <c r="AG34" i="2"/>
  <c r="AF34" i="2"/>
  <c r="AI33" i="2"/>
  <c r="AH33" i="2"/>
  <c r="AG33" i="2"/>
  <c r="AF33" i="2"/>
  <c r="AI22" i="2"/>
  <c r="AH22" i="2"/>
  <c r="AG22" i="2"/>
  <c r="AF22" i="2"/>
  <c r="AI21" i="2"/>
  <c r="AH21" i="2"/>
  <c r="AG21" i="2"/>
  <c r="AF21" i="2"/>
  <c r="AI19" i="2"/>
  <c r="AH19" i="2"/>
  <c r="AG19" i="2"/>
  <c r="AF19" i="2"/>
  <c r="AI18" i="2"/>
  <c r="AH18" i="2"/>
  <c r="AG18" i="2"/>
  <c r="AF18" i="2"/>
  <c r="AI16" i="2"/>
  <c r="AH16" i="2"/>
  <c r="AG16" i="2"/>
  <c r="AF16" i="2"/>
  <c r="AU6" i="2"/>
  <c r="AT6" i="2"/>
  <c r="AS6" i="2"/>
  <c r="AR6" i="2"/>
  <c r="AG6" i="2"/>
  <c r="AI6" i="2"/>
  <c r="AH6" i="2"/>
  <c r="AF6"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W11" i="2" l="1"/>
  <c r="V11" i="2"/>
  <c r="V17" i="2"/>
  <c r="W17" i="2"/>
  <c r="W29" i="2"/>
  <c r="W23" i="2"/>
  <c r="W27" i="2"/>
  <c r="W20" i="2"/>
  <c r="W14" i="2"/>
  <c r="W9" i="2"/>
  <c r="W7" i="2"/>
  <c r="W8" i="2"/>
  <c r="W13" i="2"/>
  <c r="W16" i="2"/>
  <c r="W22" i="2"/>
  <c r="W25" i="2"/>
  <c r="W30" i="2"/>
  <c r="W32" i="2"/>
  <c r="W12" i="2"/>
  <c r="W18" i="2"/>
  <c r="W21" i="2"/>
  <c r="W26" i="2"/>
  <c r="W31" i="2"/>
  <c r="W10" i="2"/>
  <c r="W15" i="2"/>
  <c r="W19" i="2"/>
  <c r="W24" i="2"/>
  <c r="W28" i="2"/>
  <c r="T23" i="2"/>
  <c r="U29" i="2"/>
  <c r="U23" i="2"/>
  <c r="T29" i="2"/>
  <c r="T8" i="2"/>
  <c r="T10" i="2"/>
  <c r="T12" i="2"/>
  <c r="T13" i="2"/>
  <c r="T15" i="2"/>
  <c r="T16" i="2"/>
  <c r="T18" i="2"/>
  <c r="T19" i="2"/>
  <c r="T21" i="2"/>
  <c r="T22" i="2"/>
  <c r="T24" i="2"/>
  <c r="T25" i="2"/>
  <c r="T26" i="2"/>
  <c r="T28" i="2"/>
  <c r="T30" i="2"/>
  <c r="T31" i="2"/>
  <c r="T32" i="2"/>
  <c r="T27" i="2"/>
  <c r="T7" i="2"/>
  <c r="U8" i="2"/>
  <c r="U10" i="2"/>
  <c r="U12" i="2"/>
  <c r="U13" i="2"/>
  <c r="U15" i="2"/>
  <c r="U16" i="2"/>
  <c r="U18" i="2"/>
  <c r="U19" i="2"/>
  <c r="U21" i="2"/>
  <c r="U22" i="2"/>
  <c r="U24" i="2"/>
  <c r="U25" i="2"/>
  <c r="U26" i="2"/>
  <c r="U28" i="2"/>
  <c r="U30" i="2"/>
  <c r="U31" i="2"/>
  <c r="U32" i="2"/>
  <c r="T20" i="2"/>
  <c r="T9" i="2"/>
  <c r="U27" i="2"/>
  <c r="U20" i="2"/>
  <c r="U14" i="2"/>
  <c r="U9" i="2"/>
  <c r="U7" i="2"/>
  <c r="T14" i="2"/>
  <c r="V29" i="2"/>
  <c r="V23" i="2"/>
  <c r="V27" i="2"/>
  <c r="V20" i="2"/>
  <c r="V14" i="2"/>
  <c r="V9" i="2"/>
  <c r="V7" i="2"/>
  <c r="V8" i="2"/>
  <c r="V10" i="2"/>
  <c r="V12" i="2"/>
  <c r="V13" i="2"/>
  <c r="V15" i="2"/>
  <c r="V16" i="2"/>
  <c r="V18" i="2"/>
  <c r="V19" i="2"/>
  <c r="V21" i="2"/>
  <c r="V22" i="2"/>
  <c r="V24" i="2"/>
  <c r="V25" i="2"/>
  <c r="V26" i="2"/>
  <c r="V28" i="2"/>
  <c r="V30" i="2"/>
  <c r="V31" i="2"/>
  <c r="V32" i="2"/>
  <c r="U11" i="2"/>
  <c r="T11" i="2"/>
  <c r="T17" i="2"/>
  <c r="U17" i="2"/>
  <c r="W34" i="2"/>
  <c r="V34" i="2"/>
  <c r="U34" i="2"/>
  <c r="T34" i="2"/>
  <c r="W33" i="2"/>
  <c r="V33" i="2"/>
  <c r="U33" i="2"/>
  <c r="T33" i="2"/>
  <c r="T6" i="2"/>
  <c r="W6" i="2" l="1"/>
  <c r="V6" i="2"/>
  <c r="U6" i="2"/>
</calcChain>
</file>

<file path=xl/sharedStrings.xml><?xml version="1.0" encoding="utf-8"?>
<sst xmlns="http://schemas.openxmlformats.org/spreadsheetml/2006/main" count="403" uniqueCount="128">
  <si>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</si>
  <si>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</si>
  <si>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</si>
  <si>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</si>
  <si>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</si>
  <si>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</si>
  <si>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</si>
  <si>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</si>
  <si>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</si>
  <si>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</si>
  <si>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</si>
  <si>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</si>
  <si>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</si>
  <si>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</si>
  <si>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</si>
  <si>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</si>
  <si>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</si>
  <si>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</si>
  <si>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</si>
  <si>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</si>
  <si>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</si>
  <si>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</si>
  <si>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</si>
  <si>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</si>
  <si>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</si>
  <si>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</si>
  <si>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</si>
  <si>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</si>
  <si>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</si>
  <si>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</si>
  <si>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</si>
  <si>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</si>
  <si>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</si>
  <si>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</si>
  <si>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</si>
  <si>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</si>
  <si>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</si>
  <si>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</si>
  <si>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</si>
  <si>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</si>
  <si>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</si>
  <si>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</si>
  <si>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0570 Bilge Pumping SystemFMECA Table</t>
  </si>
  <si>
    <t xml:space="preserve">Remove infiltrated water from PTO module </t>
  </si>
  <si>
    <t>none</t>
  </si>
  <si>
    <t>Normal</t>
  </si>
  <si>
    <t>2.0</t>
  </si>
  <si>
    <t>1.0</t>
  </si>
  <si>
    <t>Preliminary, not released</t>
  </si>
  <si>
    <t>StingRAY Bilge Pumping FMECA</t>
  </si>
  <si>
    <t>SR-0570-RR</t>
  </si>
  <si>
    <t>1) Manufacturing defect
2) Fatigue or degradation over time
3) Contamination leads to fault
4) Component corrosion leads to fault
5) Control fault
6) Installation error</t>
  </si>
  <si>
    <t>1) PTO floods up to secondary bilge level from leak
2) Stator segment damage from water</t>
  </si>
  <si>
    <t>Two pumps per compartment</t>
  </si>
  <si>
    <t>0571/0572 
-1</t>
  </si>
  <si>
    <t>0571/0572 
-2</t>
  </si>
  <si>
    <t>0571/0572 
-3</t>
  </si>
  <si>
    <t>0571/0572 
-4</t>
  </si>
  <si>
    <t>0571/0572 
-5</t>
  </si>
  <si>
    <t>Stbd/Port Spar Bilge Pumps &amp; Controllers</t>
  </si>
  <si>
    <t>0573/0574 
-1</t>
  </si>
  <si>
    <t>0573/0574 
-2</t>
  </si>
  <si>
    <t>0573/0574 
-3</t>
  </si>
  <si>
    <t>0573/0574 
-4</t>
  </si>
  <si>
    <t>0575/0576 
-1</t>
  </si>
  <si>
    <t>0575/0576 
-2</t>
  </si>
  <si>
    <t>0575/0576 
-3</t>
  </si>
  <si>
    <t>0575/0576 
-4</t>
  </si>
  <si>
    <t>Stbd/Port PTO Seal Bilge Pumps &amp; Controllers</t>
  </si>
  <si>
    <t>Stbd/Port PTO Bilge Pumps &amp; Controllers</t>
  </si>
  <si>
    <t>0577-1</t>
  </si>
  <si>
    <t>0577-2</t>
  </si>
  <si>
    <t>0577-3</t>
  </si>
  <si>
    <t>0577-4</t>
  </si>
  <si>
    <t>0578/0579</t>
  </si>
  <si>
    <t>Values &amp; Fittings /
Pipping</t>
  </si>
  <si>
    <t>Deployment Pumping Systems</t>
  </si>
  <si>
    <t>Remove water from WEC collected from port/stbd PTO or Control Room. 
 (Two pumps per side - redundant cross connected power)</t>
  </si>
  <si>
    <t>Electrical Fault - 
Pump</t>
  </si>
  <si>
    <t xml:space="preserve">Electrical Fault -
Controller
</t>
  </si>
  <si>
    <t xml:space="preserve">Mechanical failure in pump </t>
  </si>
  <si>
    <t>0573/0574 
-5</t>
  </si>
  <si>
    <t xml:space="preserve">Mechanical failure in switch </t>
  </si>
  <si>
    <t>Electrical Fault - smoke/fire</t>
  </si>
  <si>
    <t>Remove water from PTO seal bilge tank and transfer to the spar bilge tank</t>
  </si>
  <si>
    <t>0575/0576 
-5</t>
  </si>
  <si>
    <t>Port/Stbd identical systems: Remove bilge water from the lowest point of the PTO module, transfering the water to the spar bilge</t>
  </si>
  <si>
    <t xml:space="preserve">During deployment, when WEC is near horizontal oreientation, remove water from port/stbd low point of PTO module, and control room. - (Pump + Control for Port PTO, Stbd PTO, Stbd side control room, Port side control room) </t>
  </si>
  <si>
    <t>0577-5</t>
  </si>
  <si>
    <t>Deployment</t>
  </si>
  <si>
    <t>0573/0574 
-6</t>
  </si>
  <si>
    <t>0577-6</t>
  </si>
  <si>
    <t xml:space="preserve">Redundent design
1) Two pumps
2) 4 power sources (Port/Stbd PTO, Grid, &amp; UPS) 
3) Cross connected electrical distribution
</t>
  </si>
  <si>
    <t>1) Inspections</t>
  </si>
  <si>
    <t>1) Secondary bilge pump running
2) SCADA diagnostics</t>
  </si>
  <si>
    <t xml:space="preserve">In-situ repair </t>
  </si>
  <si>
    <t xml:space="preserve">1) Loss of one bilge pump
2) In the case of water being present, second bilge pump runs to remove normal bilge collection
</t>
  </si>
  <si>
    <t xml:space="preserve">1) Electrical isolation - loss of port/stbd spar bilge pumps
</t>
  </si>
  <si>
    <t>Sealed bilge chamber</t>
  </si>
  <si>
    <t>1) V&amp;V (QC) 
2) Inspections</t>
  </si>
  <si>
    <t xml:space="preserve">1) Electrical isolation - loss of port/stbd spar bilge pumps
2) Water raises in sealed bilge, filling bilge chamber.
3) Water flow overboard due to pressure differential via check valve
</t>
  </si>
  <si>
    <t>1) Sealed bilge chamber
2) Electrical isolation breakers
3) Automatic fire suppression
4) V&amp;V (QC)
5) 0520 Emergency Systems</t>
  </si>
  <si>
    <t>1) 0520 Emergency System
2) SCADA Diagnostics</t>
  </si>
  <si>
    <t>In-situ inspection for repair, repair at dry dock as necessary</t>
  </si>
  <si>
    <t>Second level contingency - flooding followed by fault in system</t>
  </si>
  <si>
    <t xml:space="preserve">1) Loss of PTO Seal bilge pump
2) PTO Sealed bilge transfers water to spar bilge via check-valve and pressure differential 
</t>
  </si>
  <si>
    <t xml:space="preserve">1) Sealed PTO seal bilge compartment allow for natural flow once pressure differential is reached to open check valve.
3) Location of sealed bilge works in both deployed and normal operating conditions
</t>
  </si>
  <si>
    <t>SCADA Diagnostics</t>
  </si>
  <si>
    <t>in-situ repair during service</t>
  </si>
  <si>
    <t>1) PTO seal bilge pump does not transfer water
2) Water is transferred to spar bilge once pressure differentail opens check valve</t>
  </si>
  <si>
    <t xml:space="preserve">1) Loss of bilge pump
2) Any residual bilge collection is not pumped to spar bilge
</t>
  </si>
  <si>
    <t xml:space="preserve">1) Three bilge pumps in PTO compartment
2) Check valve flow direction restrictions
3) Bilge level sensors
4) Surveillance
5) Air quality monitoring for moisture content.
</t>
  </si>
  <si>
    <t>in-situ repair</t>
  </si>
  <si>
    <t>1) SCADA diagnostic
2) Surveillance</t>
  </si>
  <si>
    <t xml:space="preserve">1) water level/leek sensors
2) Tending vessel </t>
  </si>
  <si>
    <t>V&amp;V(QC)</t>
  </si>
  <si>
    <t xml:space="preserve">Leak in Values &amp; Fittings /
Pipping </t>
  </si>
  <si>
    <t>1) Not detectable until water is pumped
2) water drains back to a bilge</t>
  </si>
  <si>
    <t>1) V&amp; V (QC)</t>
  </si>
  <si>
    <t>0578/0589</t>
  </si>
  <si>
    <r>
      <t xml:space="preserve">Emergency - </t>
    </r>
    <r>
      <rPr>
        <sz val="11"/>
        <rFont val="Times New Roman"/>
        <family val="1"/>
      </rPr>
      <t>Seal Failure
Pump is running, bilge system working</t>
    </r>
    <r>
      <rPr>
        <b/>
        <sz val="11"/>
        <rFont val="Times New Roman"/>
        <family val="1"/>
      </rPr>
      <t xml:space="preserve"> </t>
    </r>
  </si>
  <si>
    <r>
      <t xml:space="preserve">Deployment &amp; Emergency Leak/Flood
</t>
    </r>
    <r>
      <rPr>
        <sz val="11"/>
        <rFont val="Times New Roman"/>
        <family val="1"/>
      </rPr>
      <t>-Bilge pumping working to remove water</t>
    </r>
  </si>
  <si>
    <t>E Hammagren</t>
  </si>
  <si>
    <t>release to RC for review</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</si>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</sst>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41" x14ac:knownFonts="1">
    <font>
      <sz val="11"/>
      <color theme="1"/>
      <name val="Calibri"/>
      <family val="2"/>
      <scheme val="minor"/>
    </font>
    <font>
      <b/>
      <sz val="11"/>
      <color theme="1"/>
      <name val="Calibri"/>
      <family val="2"/>
      <scheme val="minor"/>
    </font>
    <font>
      <sz val="9"/>
      <color rgb="FF000000"/>
      <name val="Times New Roman"/>
      <family val="1"/>
    </font>
    <font>
      <b/>
      <sz val="9"/>
      <color rgb="FF000000"/>
      <name val="Times New Roman"/>
      <family val="1"/>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b/>
      <sz val="14"/>
      <color theme="1"/>
      <name val="Calibri"/>
      <family val="2"/>
      <scheme val="minor"/>
    </font>
    <font>
      <sz val="14"/>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7.5"/>
      <color indexed="12"/>
      <name val="Arial"/>
      <family val="2"/>
    </font>
    <font>
      <sz val="11"/>
      <name val="Calibri"/>
      <family val="2"/>
      <scheme val="minor"/>
    </font>
    <font>
      <b/>
      <sz val="18"/>
      <name val="Calibri"/>
      <family val="2"/>
      <scheme val="minor"/>
    </font>
    <font>
      <b/>
      <sz val="16"/>
      <name val="Times New Roman"/>
      <family val="1"/>
    </font>
    <font>
      <sz val="16"/>
      <name val="Calibri"/>
      <family val="2"/>
      <scheme val="minor"/>
    </font>
    <font>
      <b/>
      <sz val="11"/>
      <name val="Times New Roman"/>
      <family val="1"/>
    </font>
    <font>
      <b/>
      <sz val="11"/>
      <name val="Calibri"/>
      <family val="2"/>
      <scheme val="minor"/>
    </font>
    <font>
      <sz val="11"/>
      <name val="Times New Roman"/>
      <family val="1"/>
    </font>
    <font>
      <b/>
      <sz val="12"/>
      <name val="Times New Roman"/>
      <family val="1"/>
    </font>
    <font>
      <i/>
      <sz val="11"/>
      <name val="Times New Roman"/>
      <family val="1"/>
    </font>
    <font>
      <sz val="9"/>
      <name val="Times New Roman"/>
      <family val="1"/>
    </font>
  </fonts>
  <fills count="32">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79998168889431442"/>
        <bgColor indexed="64"/>
      </patternFill>
    </fill>
  </fills>
  <borders count="48">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style="thin">
        <color indexed="64"/>
      </bottom>
      <diagonal/>
    </border>
  </borders>
  <cellStyleXfs count="30370">
    <xf numFmtId="0" fontId="0" fillId="0" borderId="0"/>
    <xf numFmtId="43" fontId="4" fillId="0" borderId="0" applyFont="0" applyFill="0" applyBorder="0" applyAlignment="0" applyProtection="0"/>
    <xf numFmtId="0" fontId="11" fillId="0" borderId="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5" fillId="8" borderId="0" applyNumberFormat="0" applyBorder="0" applyAlignment="0" applyProtection="0"/>
    <xf numFmtId="0" fontId="20" fillId="0" borderId="38" applyNumberFormat="0" applyFill="0" applyAlignment="0" applyProtection="0"/>
    <xf numFmtId="0" fontId="21" fillId="0" borderId="39" applyNumberFormat="0" applyFill="0" applyAlignment="0" applyProtection="0"/>
    <xf numFmtId="0" fontId="22" fillId="0" borderId="40" applyNumberFormat="0" applyFill="0" applyAlignment="0" applyProtection="0"/>
    <xf numFmtId="0" fontId="22" fillId="0" borderId="0" applyNumberFormat="0" applyFill="0" applyBorder="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4" fillId="0" borderId="42" applyNumberFormat="0" applyFill="0" applyAlignment="0" applyProtection="0"/>
    <xf numFmtId="0" fontId="17" fillId="26" borderId="43" applyNumberFormat="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9" fillId="9" borderId="0" applyNumberFormat="0" applyBorder="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0" borderId="38" applyNumberFormat="0" applyFill="0" applyAlignment="0" applyProtection="0"/>
    <xf numFmtId="0" fontId="21" fillId="0" borderId="39" applyNumberFormat="0" applyFill="0" applyAlignment="0" applyProtection="0"/>
    <xf numFmtId="0" fontId="22" fillId="0" borderId="40" applyNumberFormat="0" applyFill="0" applyAlignment="0" applyProtection="0"/>
    <xf numFmtId="0" fontId="22" fillId="0" borderId="0" applyNumberFormat="0" applyFill="0" applyBorder="0" applyAlignment="0" applyProtection="0"/>
    <xf numFmtId="0" fontId="30" fillId="0" borderId="0" applyNumberFormat="0" applyFill="0" applyBorder="0" applyAlignment="0" applyProtection="0">
      <alignment vertical="top"/>
      <protection locked="0"/>
    </xf>
    <xf numFmtId="0" fontId="15" fillId="8" borderId="0" applyNumberFormat="0" applyBorder="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4" fillId="0" borderId="42" applyNumberFormat="0" applyFill="0" applyAlignment="0" applyProtection="0"/>
    <xf numFmtId="0" fontId="25" fillId="27" borderId="0" applyNumberFormat="0" applyBorder="0" applyAlignment="0" applyProtection="0"/>
    <xf numFmtId="0" fontId="25" fillId="27" borderId="0" applyNumberFormat="0" applyBorder="0" applyAlignment="0" applyProtection="0"/>
    <xf numFmtId="0" fontId="12" fillId="0" borderId="0"/>
    <xf numFmtId="0" fontId="12" fillId="0" borderId="0"/>
    <xf numFmtId="0" fontId="12"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9" fillId="0" borderId="0" applyNumberFormat="0" applyFill="0" applyBorder="0" applyAlignment="0" applyProtection="0"/>
    <xf numFmtId="0" fontId="1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17" fillId="26" borderId="43" applyNumberFormat="0" applyAlignment="0" applyProtection="0"/>
    <xf numFmtId="0" fontId="29" fillId="0" borderId="0" applyNumberFormat="0" applyFill="0" applyBorder="0" applyAlignment="0" applyProtection="0"/>
    <xf numFmtId="0" fontId="16" fillId="25" borderId="41" applyNumberFormat="0" applyAlignment="0" applyProtection="0"/>
    <xf numFmtId="0" fontId="4" fillId="0" borderId="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4" fillId="0" borderId="0"/>
    <xf numFmtId="0" fontId="26" fillId="25" borderId="45" applyNumberFormat="0" applyAlignment="0" applyProtection="0"/>
    <xf numFmtId="0" fontId="4" fillId="0" borderId="0"/>
    <xf numFmtId="0" fontId="4" fillId="0" borderId="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1" applyNumberFormat="0" applyAlignment="0" applyProtection="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4" fillId="0" borderId="0"/>
    <xf numFmtId="0" fontId="16" fillId="25" borderId="41" applyNumberFormat="0" applyAlignment="0" applyProtection="0"/>
    <xf numFmtId="0" fontId="4" fillId="0" borderId="0"/>
    <xf numFmtId="0" fontId="4" fillId="0" borderId="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12" fillId="28" borderId="44" applyNumberFormat="0" applyFont="0" applyAlignment="0" applyProtection="0"/>
    <xf numFmtId="0" fontId="4" fillId="0" borderId="0"/>
    <xf numFmtId="0" fontId="4" fillId="0" borderId="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23" fillId="12" borderId="4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4" fillId="0" borderId="0"/>
    <xf numFmtId="0" fontId="4" fillId="0" borderId="0"/>
  </cellStyleXfs>
  <cellXfs count="216">
    <xf numFmtId="0" fontId="0" fillId="0" borderId="0" xfId="0"/>
    <xf numFmtId="0" fontId="0" fillId="0" borderId="0" xfId="0" applyAlignment="1">
      <alignment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xf numFmtId="0" fontId="2" fillId="0" borderId="0" xfId="0" applyFont="1"/>
    <xf numFmtId="0" fontId="0" fillId="0" borderId="0" xfId="0"/>
    <xf numFmtId="0" fontId="6" fillId="0" borderId="0" xfId="0" applyFont="1" applyBorder="1" applyAlignment="1">
      <alignment wrapText="1"/>
    </xf>
    <xf numFmtId="0" fontId="8" fillId="0" borderId="0" xfId="0" applyFont="1"/>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21"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6" fillId="0" borderId="0" xfId="0" applyFont="1" applyBorder="1" applyAlignment="1">
      <alignment horizontal="right" wrapText="1"/>
    </xf>
    <xf numFmtId="0" fontId="6" fillId="0" borderId="0" xfId="0" applyFont="1" applyBorder="1" applyAlignment="1">
      <alignment horizontal="left" wrapText="1"/>
    </xf>
    <xf numFmtId="0" fontId="1" fillId="0" borderId="0" xfId="0" applyFont="1" applyAlignment="1">
      <alignment horizontal="center"/>
    </xf>
    <xf numFmtId="0" fontId="5" fillId="0" borderId="0" xfId="0" applyFont="1" applyAlignment="1">
      <alignment horizontal="center"/>
    </xf>
    <xf numFmtId="0" fontId="8" fillId="0" borderId="26"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3" xfId="0" applyFont="1" applyBorder="1" applyAlignment="1">
      <alignment horizontal="center" vertical="center"/>
    </xf>
    <xf numFmtId="0" fontId="0" fillId="0" borderId="0" xfId="0" applyFill="1" applyBorder="1"/>
    <xf numFmtId="0" fontId="7" fillId="0" borderId="0" xfId="0" applyFont="1" applyFill="1" applyBorder="1" applyAlignment="1">
      <alignment horizontal="center" wrapText="1"/>
    </xf>
    <xf numFmtId="0" fontId="8" fillId="0" borderId="0" xfId="0" applyFont="1" applyFill="1" applyBorder="1" applyAlignment="1">
      <alignment horizontal="center" vertical="center" wrapText="1"/>
    </xf>
    <xf numFmtId="43" fontId="8" fillId="0" borderId="0" xfId="1" applyFont="1" applyFill="1" applyBorder="1" applyAlignment="1">
      <alignment horizontal="center" vertical="center" wrapText="1"/>
    </xf>
    <xf numFmtId="0" fontId="1" fillId="0" borderId="8" xfId="0" applyFont="1" applyBorder="1" applyAlignment="1">
      <alignment horizontal="center"/>
    </xf>
    <xf numFmtId="168" fontId="8" fillId="0" borderId="21" xfId="0" applyNumberFormat="1" applyFont="1" applyBorder="1" applyAlignment="1">
      <alignment horizontal="center" vertical="center"/>
    </xf>
    <xf numFmtId="168" fontId="8" fillId="0" borderId="16" xfId="0" applyNumberFormat="1" applyFont="1" applyBorder="1" applyAlignment="1">
      <alignment horizontal="center" vertical="center"/>
    </xf>
    <xf numFmtId="167" fontId="8" fillId="0" borderId="16" xfId="0" applyNumberFormat="1" applyFont="1" applyBorder="1" applyAlignment="1">
      <alignment horizontal="center" vertical="center"/>
    </xf>
    <xf numFmtId="165" fontId="8" fillId="0" borderId="16" xfId="0" applyNumberFormat="1" applyFont="1" applyBorder="1" applyAlignment="1">
      <alignment horizontal="center" vertical="center"/>
    </xf>
    <xf numFmtId="164" fontId="8" fillId="0" borderId="16" xfId="0" applyNumberFormat="1" applyFont="1" applyBorder="1" applyAlignment="1">
      <alignment horizontal="center" vertical="center"/>
    </xf>
    <xf numFmtId="166" fontId="8" fillId="0" borderId="16" xfId="0" applyNumberFormat="1" applyFont="1" applyBorder="1" applyAlignment="1">
      <alignment horizontal="center" vertical="center"/>
    </xf>
    <xf numFmtId="166" fontId="8" fillId="0" borderId="17" xfId="0" applyNumberFormat="1" applyFont="1" applyBorder="1" applyAlignment="1">
      <alignment horizontal="center" vertical="center"/>
    </xf>
    <xf numFmtId="0" fontId="8" fillId="0" borderId="28" xfId="0" applyFont="1" applyBorder="1" applyAlignment="1">
      <alignment horizontal="center" vertical="center" wrapText="1"/>
    </xf>
    <xf numFmtId="3" fontId="8" fillId="0" borderId="22" xfId="1" applyNumberFormat="1" applyFont="1" applyBorder="1" applyAlignment="1">
      <alignment horizontal="center" vertical="center"/>
    </xf>
    <xf numFmtId="3" fontId="8" fillId="0" borderId="12" xfId="1" applyNumberFormat="1" applyFont="1" applyBorder="1" applyAlignment="1">
      <alignment horizontal="center" vertical="center"/>
    </xf>
    <xf numFmtId="3" fontId="8" fillId="0" borderId="19" xfId="1" applyNumberFormat="1" applyFont="1" applyBorder="1" applyAlignment="1">
      <alignment horizontal="center" vertical="center"/>
    </xf>
    <xf numFmtId="3" fontId="0" fillId="0" borderId="0" xfId="0" applyNumberFormat="1"/>
    <xf numFmtId="0" fontId="9" fillId="0" borderId="0" xfId="0" applyFont="1"/>
    <xf numFmtId="0" fontId="10" fillId="0" borderId="0" xfId="0" applyFont="1"/>
    <xf numFmtId="0" fontId="9" fillId="0" borderId="23" xfId="0" applyFont="1" applyBorder="1" applyAlignment="1">
      <alignment horizontal="center" wrapText="1"/>
    </xf>
    <xf numFmtId="0" fontId="9" fillId="0" borderId="25" xfId="0" applyFont="1" applyBorder="1" applyAlignment="1">
      <alignment horizontal="center" wrapText="1"/>
    </xf>
    <xf numFmtId="0" fontId="9" fillId="0" borderId="31" xfId="0" applyFont="1" applyBorder="1" applyAlignment="1">
      <alignment horizontal="center"/>
    </xf>
    <xf numFmtId="0" fontId="9" fillId="0" borderId="32" xfId="0" applyFont="1" applyBorder="1" applyAlignment="1">
      <alignment horizontal="center" wrapText="1"/>
    </xf>
    <xf numFmtId="0" fontId="9" fillId="0" borderId="8" xfId="0" applyFont="1" applyBorder="1" applyAlignment="1">
      <alignment horizontal="center"/>
    </xf>
    <xf numFmtId="0" fontId="0" fillId="0" borderId="0" xfId="0" quotePrefix="1"/>
    <xf numFmtId="0" fontId="0" fillId="0" borderId="8" xfId="0" applyBorder="1" applyAlignment="1">
      <alignment horizontal="left"/>
    </xf>
    <xf numFmtId="0" fontId="0" fillId="0" borderId="8" xfId="0" quotePrefix="1" applyBorder="1" applyAlignment="1">
      <alignment horizontal="left"/>
    </xf>
    <xf numFmtId="0" fontId="31" fillId="0" borderId="0" xfId="0" applyFont="1" applyAlignment="1">
      <alignment wrapText="1"/>
    </xf>
    <xf numFmtId="0" fontId="31" fillId="0" borderId="0" xfId="0" applyFont="1" applyAlignment="1">
      <alignment horizontal="center" wrapText="1"/>
    </xf>
    <xf numFmtId="0" fontId="33" fillId="0" borderId="0" xfId="0" applyFont="1" applyAlignment="1"/>
    <xf numFmtId="0" fontId="34" fillId="0" borderId="0" xfId="0" applyFont="1" applyAlignment="1">
      <alignment wrapText="1"/>
    </xf>
    <xf numFmtId="0" fontId="35" fillId="0" borderId="5"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2" xfId="0" applyFont="1" applyBorder="1" applyAlignment="1">
      <alignment horizontal="center" vertical="center" textRotation="90" wrapText="1"/>
    </xf>
    <xf numFmtId="0" fontId="35" fillId="0" borderId="23" xfId="0" applyFont="1" applyBorder="1" applyAlignment="1">
      <alignment vertical="center" textRotation="90" wrapText="1"/>
    </xf>
    <xf numFmtId="0" fontId="35" fillId="0" borderId="24" xfId="0" applyFont="1" applyBorder="1" applyAlignment="1">
      <alignment vertical="center" textRotation="90" wrapText="1"/>
    </xf>
    <xf numFmtId="0" fontId="35" fillId="0" borderId="25" xfId="0" applyFont="1" applyBorder="1" applyAlignment="1">
      <alignment vertical="center" textRotation="90" wrapText="1"/>
    </xf>
    <xf numFmtId="0" fontId="36" fillId="0" borderId="0" xfId="0" applyFont="1" applyAlignment="1">
      <alignment wrapText="1"/>
    </xf>
    <xf numFmtId="49" fontId="37" fillId="29" borderId="6" xfId="0" applyNumberFormat="1" applyFont="1" applyFill="1" applyBorder="1" applyAlignment="1">
      <alignment horizontal="center" vertical="top" wrapText="1"/>
    </xf>
    <xf numFmtId="0" fontId="37" fillId="29" borderId="6" xfId="0" applyFont="1" applyFill="1" applyBorder="1" applyAlignment="1">
      <alignment vertical="top" wrapText="1"/>
    </xf>
    <xf numFmtId="0" fontId="37" fillId="29" borderId="1" xfId="0" applyFont="1" applyFill="1" applyBorder="1" applyAlignment="1">
      <alignment vertical="top" wrapText="1"/>
    </xf>
    <xf numFmtId="0" fontId="37" fillId="29" borderId="6" xfId="0" applyFont="1" applyFill="1" applyBorder="1" applyAlignment="1">
      <alignment horizontal="center" vertical="top" wrapText="1"/>
    </xf>
    <xf numFmtId="0" fontId="37" fillId="29" borderId="20" xfId="0" applyFont="1" applyFill="1" applyBorder="1" applyAlignment="1">
      <alignment horizontal="left" vertical="top" wrapText="1"/>
    </xf>
    <xf numFmtId="0" fontId="37" fillId="29" borderId="47" xfId="0" applyFont="1" applyFill="1" applyBorder="1" applyAlignment="1">
      <alignment horizontal="left" vertical="top" wrapText="1"/>
    </xf>
    <xf numFmtId="0" fontId="38" fillId="29" borderId="6" xfId="0" applyFont="1" applyFill="1" applyBorder="1" applyAlignment="1">
      <alignment horizontal="center" vertical="center" wrapText="1"/>
    </xf>
    <xf numFmtId="0" fontId="38" fillId="29" borderId="13" xfId="0" applyFont="1" applyFill="1" applyBorder="1" applyAlignment="1">
      <alignment horizontal="center" vertical="center" wrapText="1"/>
    </xf>
    <xf numFmtId="0" fontId="38" fillId="29" borderId="14" xfId="0" applyFont="1" applyFill="1" applyBorder="1" applyAlignment="1">
      <alignment horizontal="center" vertical="center" wrapText="1"/>
    </xf>
    <xf numFmtId="0" fontId="38" fillId="29" borderId="15" xfId="0" applyFont="1" applyFill="1" applyBorder="1" applyAlignment="1">
      <alignment horizontal="center" vertical="center" wrapText="1"/>
    </xf>
    <xf numFmtId="0" fontId="36" fillId="29" borderId="13" xfId="0" applyFont="1" applyFill="1" applyBorder="1" applyAlignment="1">
      <alignment horizontal="center" vertical="center"/>
    </xf>
    <xf numFmtId="0" fontId="36" fillId="29" borderId="14" xfId="0" applyFont="1" applyFill="1" applyBorder="1" applyAlignment="1">
      <alignment horizontal="center" vertical="center"/>
    </xf>
    <xf numFmtId="0" fontId="36" fillId="29" borderId="15" xfId="0" applyFont="1" applyFill="1" applyBorder="1" applyAlignment="1">
      <alignment horizontal="center" vertical="center"/>
    </xf>
    <xf numFmtId="0" fontId="37" fillId="29" borderId="6" xfId="0" applyFont="1" applyFill="1" applyBorder="1" applyAlignment="1">
      <alignment horizontal="left" vertical="top" wrapText="1"/>
    </xf>
    <xf numFmtId="0" fontId="37" fillId="29" borderId="6" xfId="0" applyFont="1" applyFill="1" applyBorder="1" applyAlignment="1">
      <alignment horizontal="center" vertical="center" wrapText="1"/>
    </xf>
    <xf numFmtId="0" fontId="31" fillId="29" borderId="0" xfId="0" applyFont="1" applyFill="1" applyAlignment="1">
      <alignment wrapText="1"/>
    </xf>
    <xf numFmtId="49" fontId="37" fillId="29" borderId="1" xfId="0" applyNumberFormat="1" applyFont="1" applyFill="1" applyBorder="1" applyAlignment="1">
      <alignment horizontal="center" vertical="top" wrapText="1"/>
    </xf>
    <xf numFmtId="0" fontId="37" fillId="29" borderId="1" xfId="0" applyFont="1" applyFill="1" applyBorder="1" applyAlignment="1">
      <alignment horizontal="center" vertical="top" wrapText="1"/>
    </xf>
    <xf numFmtId="0" fontId="38" fillId="29" borderId="1" xfId="0" applyFont="1" applyFill="1" applyBorder="1" applyAlignment="1">
      <alignment horizontal="center" vertical="center" wrapText="1"/>
    </xf>
    <xf numFmtId="0" fontId="38" fillId="29" borderId="16" xfId="0" applyFont="1" applyFill="1" applyBorder="1" applyAlignment="1">
      <alignment horizontal="center" vertical="center" wrapText="1"/>
    </xf>
    <xf numFmtId="0" fontId="38" fillId="29" borderId="8" xfId="0" applyFont="1" applyFill="1" applyBorder="1" applyAlignment="1">
      <alignment horizontal="center" vertical="center" wrapText="1"/>
    </xf>
    <xf numFmtId="0" fontId="38" fillId="29" borderId="12" xfId="0" applyFont="1" applyFill="1" applyBorder="1" applyAlignment="1">
      <alignment horizontal="center" vertical="center" wrapText="1"/>
    </xf>
    <xf numFmtId="0" fontId="36" fillId="29" borderId="16" xfId="0" applyFont="1" applyFill="1" applyBorder="1" applyAlignment="1">
      <alignment horizontal="center" vertical="center"/>
    </xf>
    <xf numFmtId="0" fontId="36" fillId="29" borderId="8" xfId="0" applyFont="1" applyFill="1" applyBorder="1" applyAlignment="1">
      <alignment horizontal="center" vertical="center"/>
    </xf>
    <xf numFmtId="0" fontId="36" fillId="29" borderId="12" xfId="0" applyFont="1" applyFill="1" applyBorder="1" applyAlignment="1">
      <alignment horizontal="center" vertical="center"/>
    </xf>
    <xf numFmtId="0" fontId="37" fillId="29" borderId="1" xfId="0" applyFont="1" applyFill="1" applyBorder="1" applyAlignment="1">
      <alignment horizontal="left" vertical="top" wrapText="1"/>
    </xf>
    <xf numFmtId="0" fontId="37" fillId="29" borderId="1" xfId="0" applyFont="1" applyFill="1" applyBorder="1" applyAlignment="1">
      <alignment horizontal="center" vertical="center" wrapText="1"/>
    </xf>
    <xf numFmtId="49" fontId="37" fillId="30" borderId="1" xfId="0" applyNumberFormat="1" applyFont="1" applyFill="1" applyBorder="1" applyAlignment="1">
      <alignment horizontal="center" vertical="top" wrapText="1"/>
    </xf>
    <xf numFmtId="0" fontId="37" fillId="30" borderId="1" xfId="0" applyFont="1" applyFill="1" applyBorder="1" applyAlignment="1">
      <alignment vertical="top" wrapText="1"/>
    </xf>
    <xf numFmtId="0" fontId="37" fillId="30" borderId="1" xfId="0" applyFont="1" applyFill="1" applyBorder="1" applyAlignment="1">
      <alignment horizontal="center" vertical="top" wrapText="1"/>
    </xf>
    <xf numFmtId="0" fontId="35" fillId="30" borderId="1" xfId="0" applyFont="1" applyFill="1" applyBorder="1" applyAlignment="1">
      <alignment vertical="top" wrapText="1"/>
    </xf>
    <xf numFmtId="0" fontId="38" fillId="30" borderId="1" xfId="0" applyFont="1" applyFill="1" applyBorder="1" applyAlignment="1">
      <alignment horizontal="center" vertical="center" wrapText="1"/>
    </xf>
    <xf numFmtId="0" fontId="38" fillId="30" borderId="16" xfId="0" applyFont="1" applyFill="1" applyBorder="1" applyAlignment="1">
      <alignment horizontal="center" vertical="center" wrapText="1"/>
    </xf>
    <xf numFmtId="0" fontId="38" fillId="30" borderId="8" xfId="0" applyFont="1" applyFill="1" applyBorder="1" applyAlignment="1">
      <alignment horizontal="center" vertical="center" wrapText="1"/>
    </xf>
    <xf numFmtId="0" fontId="38" fillId="30" borderId="12" xfId="0" applyFont="1" applyFill="1" applyBorder="1" applyAlignment="1">
      <alignment horizontal="center" vertical="center" wrapText="1"/>
    </xf>
    <xf numFmtId="0" fontId="36" fillId="30" borderId="16" xfId="0" applyFont="1" applyFill="1" applyBorder="1" applyAlignment="1">
      <alignment horizontal="center" vertical="center"/>
    </xf>
    <xf numFmtId="0" fontId="36" fillId="30" borderId="8" xfId="0" applyFont="1" applyFill="1" applyBorder="1" applyAlignment="1">
      <alignment horizontal="center" vertical="center"/>
    </xf>
    <xf numFmtId="0" fontId="36" fillId="30" borderId="12" xfId="0" applyFont="1" applyFill="1" applyBorder="1" applyAlignment="1">
      <alignment horizontal="center" vertical="center"/>
    </xf>
    <xf numFmtId="0" fontId="37" fillId="30" borderId="1" xfId="0" applyFont="1" applyFill="1" applyBorder="1" applyAlignment="1">
      <alignment horizontal="left" vertical="top" wrapText="1"/>
    </xf>
    <xf numFmtId="0" fontId="37" fillId="30" borderId="1" xfId="0" applyFont="1" applyFill="1" applyBorder="1" applyAlignment="1">
      <alignment horizontal="center" vertical="center" wrapText="1"/>
    </xf>
    <xf numFmtId="0" fontId="31" fillId="30" borderId="0" xfId="0" applyFont="1" applyFill="1" applyAlignment="1">
      <alignment wrapText="1"/>
    </xf>
    <xf numFmtId="49" fontId="37" fillId="0" borderId="1" xfId="0" applyNumberFormat="1" applyFont="1" applyFill="1" applyBorder="1" applyAlignment="1">
      <alignment horizontal="center" vertical="top" wrapText="1"/>
    </xf>
    <xf numFmtId="0" fontId="37" fillId="0" borderId="1" xfId="0" applyFont="1" applyFill="1" applyBorder="1" applyAlignment="1">
      <alignment vertical="top" wrapText="1"/>
    </xf>
    <xf numFmtId="0" fontId="37" fillId="0" borderId="20" xfId="0" applyFont="1" applyFill="1" applyBorder="1" applyAlignment="1">
      <alignment vertical="top" wrapText="1"/>
    </xf>
    <xf numFmtId="0" fontId="37" fillId="0" borderId="1" xfId="0" applyFont="1" applyFill="1" applyBorder="1" applyAlignment="1">
      <alignment horizontal="center" vertical="top" wrapText="1"/>
    </xf>
    <xf numFmtId="0" fontId="37" fillId="0" borderId="20" xfId="0" applyFont="1" applyBorder="1" applyAlignment="1">
      <alignment horizontal="left" vertical="top" wrapText="1"/>
    </xf>
    <xf numFmtId="0" fontId="37" fillId="0" borderId="1" xfId="0" applyFont="1" applyBorder="1" applyAlignment="1">
      <alignment vertical="top" wrapText="1"/>
    </xf>
    <xf numFmtId="0" fontId="37" fillId="0" borderId="47" xfId="0" applyFont="1" applyBorder="1" applyAlignment="1">
      <alignment horizontal="left" vertical="top" wrapText="1"/>
    </xf>
    <xf numFmtId="0" fontId="37" fillId="0" borderId="1" xfId="0" applyFont="1" applyBorder="1" applyAlignment="1">
      <alignment horizontal="left" vertical="top" wrapText="1"/>
    </xf>
    <xf numFmtId="0" fontId="38" fillId="0" borderId="1" xfId="0" applyFont="1" applyBorder="1" applyAlignment="1">
      <alignment horizontal="center" vertical="center" wrapText="1"/>
    </xf>
    <xf numFmtId="0" fontId="38" fillId="0" borderId="16" xfId="0" applyFont="1" applyBorder="1" applyAlignment="1">
      <alignment horizontal="center" vertical="center" wrapText="1"/>
    </xf>
    <xf numFmtId="0" fontId="38" fillId="0" borderId="8" xfId="0" applyFont="1" applyBorder="1" applyAlignment="1">
      <alignment horizontal="center" vertical="center" wrapText="1"/>
    </xf>
    <xf numFmtId="0" fontId="38" fillId="0" borderId="12" xfId="0" applyFont="1" applyBorder="1" applyAlignment="1">
      <alignment horizontal="center" vertical="center" wrapText="1"/>
    </xf>
    <xf numFmtId="0" fontId="36" fillId="0" borderId="16" xfId="0" applyFont="1" applyFill="1" applyBorder="1" applyAlignment="1">
      <alignment horizontal="center" vertical="center"/>
    </xf>
    <xf numFmtId="0" fontId="36" fillId="0" borderId="8" xfId="0" applyFont="1" applyFill="1" applyBorder="1" applyAlignment="1">
      <alignment horizontal="center" vertical="center"/>
    </xf>
    <xf numFmtId="0" fontId="36" fillId="0" borderId="12" xfId="0" applyFont="1" applyFill="1" applyBorder="1" applyAlignment="1">
      <alignment horizontal="center" vertical="center"/>
    </xf>
    <xf numFmtId="0" fontId="37" fillId="0" borderId="1" xfId="0" applyFont="1" applyBorder="1" applyAlignment="1">
      <alignment horizontal="center" vertical="center" wrapText="1"/>
    </xf>
    <xf numFmtId="0" fontId="37" fillId="30" borderId="20" xfId="0" applyFont="1" applyFill="1" applyBorder="1" applyAlignment="1">
      <alignment vertical="top" wrapText="1"/>
    </xf>
    <xf numFmtId="0" fontId="37" fillId="29" borderId="20" xfId="0" applyFont="1" applyFill="1" applyBorder="1" applyAlignment="1">
      <alignment vertical="top" wrapText="1"/>
    </xf>
    <xf numFmtId="49" fontId="37" fillId="31" borderId="1" xfId="0" applyNumberFormat="1" applyFont="1" applyFill="1" applyBorder="1" applyAlignment="1">
      <alignment horizontal="center" vertical="top" wrapText="1"/>
    </xf>
    <xf numFmtId="0" fontId="37" fillId="31" borderId="1" xfId="0" applyFont="1" applyFill="1" applyBorder="1" applyAlignment="1">
      <alignment vertical="top" wrapText="1"/>
    </xf>
    <xf numFmtId="0" fontId="37" fillId="31" borderId="20" xfId="0" applyFont="1" applyFill="1" applyBorder="1" applyAlignment="1">
      <alignment vertical="top" wrapText="1"/>
    </xf>
    <xf numFmtId="0" fontId="37" fillId="31" borderId="1" xfId="0" applyFont="1" applyFill="1" applyBorder="1" applyAlignment="1">
      <alignment horizontal="center" vertical="top" wrapText="1"/>
    </xf>
    <xf numFmtId="0" fontId="37" fillId="31" borderId="20" xfId="0" applyFont="1" applyFill="1" applyBorder="1" applyAlignment="1">
      <alignment horizontal="left" vertical="top" wrapText="1"/>
    </xf>
    <xf numFmtId="0" fontId="35" fillId="31" borderId="1" xfId="0" applyFont="1" applyFill="1" applyBorder="1" applyAlignment="1">
      <alignment vertical="top" wrapText="1"/>
    </xf>
    <xf numFmtId="0" fontId="37" fillId="31" borderId="47" xfId="0" applyFont="1" applyFill="1" applyBorder="1" applyAlignment="1">
      <alignment horizontal="left" vertical="top" wrapText="1"/>
    </xf>
    <xf numFmtId="0" fontId="38" fillId="31" borderId="1" xfId="0" applyFont="1" applyFill="1" applyBorder="1" applyAlignment="1">
      <alignment horizontal="center" vertical="center" wrapText="1"/>
    </xf>
    <xf numFmtId="0" fontId="38" fillId="31" borderId="16" xfId="0" applyFont="1" applyFill="1" applyBorder="1" applyAlignment="1">
      <alignment horizontal="center" vertical="center" wrapText="1"/>
    </xf>
    <xf numFmtId="0" fontId="38" fillId="31" borderId="8" xfId="0" applyFont="1" applyFill="1" applyBorder="1" applyAlignment="1">
      <alignment horizontal="center" vertical="center" wrapText="1"/>
    </xf>
    <xf numFmtId="0" fontId="38" fillId="31" borderId="12" xfId="0" applyFont="1" applyFill="1" applyBorder="1" applyAlignment="1">
      <alignment horizontal="center" vertical="center" wrapText="1"/>
    </xf>
    <xf numFmtId="0" fontId="36" fillId="31" borderId="16" xfId="0" applyFont="1" applyFill="1" applyBorder="1" applyAlignment="1">
      <alignment horizontal="center" vertical="center"/>
    </xf>
    <xf numFmtId="0" fontId="36" fillId="31" borderId="8" xfId="0" applyFont="1" applyFill="1" applyBorder="1" applyAlignment="1">
      <alignment horizontal="center" vertical="center"/>
    </xf>
    <xf numFmtId="0" fontId="36" fillId="31" borderId="12" xfId="0" applyFont="1" applyFill="1" applyBorder="1" applyAlignment="1">
      <alignment horizontal="center" vertical="center"/>
    </xf>
    <xf numFmtId="0" fontId="37" fillId="31" borderId="1" xfId="0" applyFont="1" applyFill="1" applyBorder="1" applyAlignment="1">
      <alignment horizontal="left" vertical="top" wrapText="1"/>
    </xf>
    <xf numFmtId="0" fontId="37" fillId="31" borderId="1" xfId="0" applyFont="1" applyFill="1" applyBorder="1" applyAlignment="1">
      <alignment horizontal="center" vertical="center" wrapText="1"/>
    </xf>
    <xf numFmtId="0" fontId="31" fillId="31" borderId="0" xfId="0" applyFont="1" applyFill="1" applyAlignment="1">
      <alignment wrapText="1"/>
    </xf>
    <xf numFmtId="0" fontId="37" fillId="30" borderId="20" xfId="0" applyFont="1" applyFill="1" applyBorder="1" applyAlignment="1">
      <alignment horizontal="left" vertical="top" wrapText="1"/>
    </xf>
    <xf numFmtId="0" fontId="37" fillId="30" borderId="47" xfId="0" applyFont="1" applyFill="1" applyBorder="1" applyAlignment="1">
      <alignment horizontal="left" vertical="top" wrapText="1"/>
    </xf>
    <xf numFmtId="0" fontId="31" fillId="30" borderId="0" xfId="0" applyFont="1" applyFill="1" applyBorder="1" applyAlignment="1">
      <alignment vertical="top" wrapText="1"/>
    </xf>
    <xf numFmtId="49" fontId="37" fillId="0" borderId="9" xfId="0" applyNumberFormat="1" applyFont="1" applyFill="1" applyBorder="1" applyAlignment="1">
      <alignment vertical="top" wrapText="1"/>
    </xf>
    <xf numFmtId="0" fontId="37" fillId="0" borderId="9" xfId="0" applyFont="1" applyFill="1" applyBorder="1" applyAlignment="1">
      <alignment vertical="top" wrapText="1"/>
    </xf>
    <xf numFmtId="0" fontId="37" fillId="0" borderId="9" xfId="0" applyFont="1" applyFill="1" applyBorder="1" applyAlignment="1">
      <alignment horizontal="center" vertical="top" wrapText="1"/>
    </xf>
    <xf numFmtId="0" fontId="37" fillId="0" borderId="9" xfId="0" applyFont="1" applyFill="1" applyBorder="1" applyAlignment="1">
      <alignment horizontal="left" vertical="top" wrapText="1"/>
    </xf>
    <xf numFmtId="0" fontId="37" fillId="0" borderId="9" xfId="0" applyFont="1" applyFill="1" applyBorder="1" applyAlignment="1">
      <alignment horizontal="center" vertical="center" wrapText="1"/>
    </xf>
    <xf numFmtId="0" fontId="31" fillId="0" borderId="0" xfId="0" applyFont="1" applyFill="1" applyAlignment="1">
      <alignment wrapText="1"/>
    </xf>
    <xf numFmtId="0" fontId="39" fillId="0" borderId="7" xfId="0" applyFont="1" applyFill="1" applyBorder="1" applyAlignment="1">
      <alignment vertical="top" wrapText="1"/>
    </xf>
    <xf numFmtId="0" fontId="39" fillId="0" borderId="7" xfId="0" applyFont="1" applyFill="1" applyBorder="1" applyAlignment="1">
      <alignment horizontal="center" vertical="top" wrapText="1"/>
    </xf>
    <xf numFmtId="0" fontId="37" fillId="0" borderId="7" xfId="0" applyFont="1" applyBorder="1" applyAlignment="1">
      <alignment vertical="top" wrapText="1"/>
    </xf>
    <xf numFmtId="0" fontId="39" fillId="0" borderId="7" xfId="0" applyFont="1" applyBorder="1" applyAlignment="1">
      <alignment vertical="top" wrapText="1"/>
    </xf>
    <xf numFmtId="0" fontId="38" fillId="0" borderId="7"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18" xfId="0" applyFont="1" applyBorder="1" applyAlignment="1">
      <alignment horizontal="center" vertical="center" wrapText="1"/>
    </xf>
    <xf numFmtId="0" fontId="38" fillId="0" borderId="19" xfId="0" applyFont="1" applyBorder="1" applyAlignment="1">
      <alignment horizontal="center" vertical="center" wrapText="1"/>
    </xf>
    <xf numFmtId="0" fontId="36" fillId="0" borderId="17" xfId="0" applyFont="1" applyFill="1" applyBorder="1" applyAlignment="1">
      <alignment horizontal="center" vertical="center"/>
    </xf>
    <xf numFmtId="0" fontId="36" fillId="0" borderId="18" xfId="0" applyFont="1" applyFill="1" applyBorder="1" applyAlignment="1">
      <alignment horizontal="center" vertical="center"/>
    </xf>
    <xf numFmtId="0" fontId="36" fillId="0" borderId="19" xfId="0" applyFont="1" applyFill="1" applyBorder="1" applyAlignment="1">
      <alignment horizontal="center" vertical="center"/>
    </xf>
    <xf numFmtId="0" fontId="39" fillId="0" borderId="7" xfId="0" applyFont="1" applyBorder="1" applyAlignment="1">
      <alignment horizontal="left" vertical="top" wrapText="1"/>
    </xf>
    <xf numFmtId="0" fontId="40" fillId="0" borderId="0" xfId="0" applyFont="1" applyAlignment="1">
      <alignment vertical="center"/>
    </xf>
    <xf numFmtId="0" fontId="31" fillId="0" borderId="0" xfId="0" applyFont="1" applyBorder="1" applyAlignment="1">
      <alignment horizontal="center" wrapText="1"/>
    </xf>
    <xf numFmtId="0" fontId="36" fillId="0" borderId="0" xfId="0" applyFont="1" applyBorder="1" applyAlignment="1">
      <alignment horizontal="left"/>
    </xf>
    <xf numFmtId="0" fontId="31" fillId="0" borderId="0" xfId="0" applyFont="1" applyBorder="1" applyAlignment="1">
      <alignment wrapText="1"/>
    </xf>
    <xf numFmtId="0" fontId="36" fillId="0" borderId="0" xfId="0" applyFont="1" applyBorder="1" applyAlignment="1">
      <alignment horizontal="center" wrapText="1"/>
    </xf>
    <xf numFmtId="0" fontId="36" fillId="0" borderId="0" xfId="0" applyFont="1" applyFill="1" applyBorder="1" applyAlignment="1">
      <alignment vertical="center" wrapText="1"/>
    </xf>
    <xf numFmtId="0" fontId="36" fillId="0" borderId="0" xfId="0" applyFont="1" applyFill="1" applyBorder="1" applyAlignment="1">
      <alignment horizontal="center" vertical="center"/>
    </xf>
    <xf numFmtId="16" fontId="36" fillId="0" borderId="0" xfId="0" applyNumberFormat="1" applyFont="1" applyFill="1" applyBorder="1" applyAlignment="1">
      <alignment horizontal="center" vertical="center" wrapText="1"/>
    </xf>
    <xf numFmtId="0" fontId="36" fillId="0" borderId="0" xfId="0" applyFont="1" applyFill="1" applyBorder="1" applyAlignment="1">
      <alignment horizontal="center" vertical="center" wrapText="1"/>
    </xf>
    <xf numFmtId="0" fontId="36" fillId="0" borderId="0" xfId="0" applyFont="1" applyBorder="1" applyAlignment="1">
      <alignment vertical="center" wrapText="1"/>
    </xf>
    <xf numFmtId="16" fontId="36" fillId="0" borderId="0" xfId="0" applyNumberFormat="1" applyFont="1" applyBorder="1" applyAlignment="1">
      <alignment horizontal="center" vertical="center" wrapText="1"/>
    </xf>
    <xf numFmtId="0" fontId="36" fillId="0" borderId="0" xfId="0" applyFont="1" applyBorder="1" applyAlignment="1">
      <alignment horizontal="center" vertical="center"/>
    </xf>
    <xf numFmtId="0" fontId="36" fillId="0" borderId="0" xfId="0" applyFont="1" applyBorder="1" applyAlignment="1">
      <alignment horizontal="center" vertical="center" wrapText="1"/>
    </xf>
    <xf numFmtId="0" fontId="36" fillId="0" borderId="0" xfId="0" applyFont="1" applyFill="1" applyBorder="1"/>
    <xf numFmtId="0" fontId="0" fillId="0" borderId="8" xfId="0" quotePrefix="1" applyBorder="1"/>
    <xf numFmtId="0" fontId="32" fillId="0" borderId="0" xfId="0" applyFont="1" applyAlignment="1">
      <alignment horizontal="center" wrapText="1"/>
    </xf>
    <xf numFmtId="0" fontId="35" fillId="0" borderId="2" xfId="0" applyFont="1" applyBorder="1" applyAlignment="1">
      <alignment horizontal="center" wrapText="1"/>
    </xf>
    <xf numFmtId="0" fontId="35" fillId="0" borderId="3" xfId="0" applyFont="1" applyBorder="1" applyAlignment="1">
      <alignment horizontal="center" wrapText="1"/>
    </xf>
    <xf numFmtId="0" fontId="35" fillId="0" borderId="4" xfId="0" applyFont="1" applyBorder="1" applyAlignment="1">
      <alignment horizontal="center" wrapText="1"/>
    </xf>
    <xf numFmtId="0" fontId="36" fillId="0" borderId="2" xfId="0" applyFont="1" applyFill="1" applyBorder="1" applyAlignment="1">
      <alignment horizontal="center"/>
    </xf>
    <xf numFmtId="0" fontId="36" fillId="0" borderId="3" xfId="0" applyFont="1" applyFill="1" applyBorder="1" applyAlignment="1">
      <alignment horizontal="center"/>
    </xf>
    <xf numFmtId="0" fontId="36"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5" borderId="29" xfId="0" applyFont="1" applyFill="1" applyBorder="1" applyAlignment="1">
      <alignment horizontal="center" vertical="center" wrapText="1"/>
    </xf>
    <xf numFmtId="0" fontId="8" fillId="5" borderId="28"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2" xfId="0" applyFont="1" applyBorder="1" applyAlignment="1">
      <alignment horizontal="center" vertical="center" wrapText="1"/>
    </xf>
    <xf numFmtId="0" fontId="8" fillId="5" borderId="17" xfId="0" applyFont="1" applyFill="1" applyBorder="1" applyAlignment="1">
      <alignment horizontal="center" vertical="center" wrapText="1"/>
    </xf>
    <xf numFmtId="0" fontId="8" fillId="5" borderId="19"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36" xfId="0" applyFont="1" applyFill="1" applyBorder="1" applyAlignment="1">
      <alignment horizontal="center" vertical="center" wrapText="1"/>
    </xf>
    <xf numFmtId="0" fontId="8" fillId="0" borderId="28" xfId="0" applyFont="1" applyFill="1" applyBorder="1" applyAlignment="1">
      <alignment horizontal="center" vertical="center" wrapText="1"/>
    </xf>
    <xf numFmtId="0" fontId="8" fillId="0" borderId="37"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28" xfId="0" applyFont="1" applyBorder="1" applyAlignment="1">
      <alignment horizontal="center" vertical="center" wrapText="1"/>
    </xf>
    <xf numFmtId="0" fontId="9" fillId="0" borderId="34" xfId="0" applyFont="1" applyBorder="1" applyAlignment="1">
      <alignment horizontal="center" wrapText="1"/>
    </xf>
    <xf numFmtId="0" fontId="9" fillId="0" borderId="32" xfId="0" applyFont="1" applyBorder="1" applyAlignment="1">
      <alignment horizontal="center" wrapText="1"/>
    </xf>
    <xf numFmtId="0" fontId="9" fillId="0" borderId="30" xfId="0" applyFont="1" applyFill="1" applyBorder="1" applyAlignment="1">
      <alignment horizontal="center" wrapText="1"/>
    </xf>
    <xf numFmtId="0" fontId="9" fillId="0" borderId="3" xfId="0" applyFont="1" applyFill="1" applyBorder="1" applyAlignment="1">
      <alignment horizontal="center" wrapText="1"/>
    </xf>
    <xf numFmtId="0" fontId="9" fillId="0" borderId="2" xfId="0" applyFont="1" applyBorder="1" applyAlignment="1">
      <alignment horizontal="center" wrapText="1"/>
    </xf>
    <xf numFmtId="0" fontId="9" fillId="0" borderId="4" xfId="0" applyFont="1" applyBorder="1" applyAlignment="1">
      <alignment horizontal="center" wrapText="1"/>
    </xf>
    <xf numFmtId="0" fontId="8" fillId="0" borderId="27" xfId="0" applyFont="1" applyBorder="1" applyAlignment="1">
      <alignment horizontal="center" vertical="center" wrapText="1"/>
    </xf>
    <xf numFmtId="0" fontId="8" fillId="0" borderId="26" xfId="0" applyFont="1" applyBorder="1" applyAlignment="1">
      <alignment horizontal="center" vertical="center" wrapText="1"/>
    </xf>
    <xf numFmtId="0" fontId="9" fillId="0" borderId="31" xfId="0" applyFont="1" applyBorder="1" applyAlignment="1">
      <alignment horizontal="center" wrapText="1"/>
    </xf>
    <xf numFmtId="0" fontId="9" fillId="0" borderId="33" xfId="0" applyFont="1" applyBorder="1" applyAlignment="1">
      <alignment horizontal="center" wrapText="1"/>
    </xf>
    <xf numFmtId="0" fontId="9" fillId="0" borderId="8" xfId="0" applyFont="1" applyBorder="1" applyAlignment="1">
      <alignment horizontal="center"/>
    </xf>
    <xf numFmtId="0" fontId="9" fillId="0" borderId="0" xfId="0" applyFont="1" applyAlignment="1">
      <alignment horizontal="center"/>
    </xf>
    <xf numFmtId="0" fontId="8" fillId="0" borderId="26" xfId="0" applyFont="1" applyFill="1" applyBorder="1" applyAlignment="1">
      <alignment horizontal="center" vertical="center" wrapText="1"/>
    </xf>
    <xf numFmtId="0" fontId="8" fillId="0" borderId="35" xfId="0" applyFont="1" applyFill="1" applyBorder="1" applyAlignment="1">
      <alignment horizontal="center" vertical="center" wrapText="1"/>
    </xf>
    <xf numFmtId="0" fontId="0" fillId="0" borderId="0" xfId="0" applyAlignment="1">
      <alignment horizontal="center"/>
    </xf>
  </cellXfs>
  <cellStyles count="30370">
    <cellStyle name="20% - Accent1 2" xfId="3"/>
    <cellStyle name="20% - Accent2 2" xfId="4"/>
    <cellStyle name="20% - Accent3 2" xfId="5"/>
    <cellStyle name="20% - Accent4 2" xfId="6"/>
    <cellStyle name="20% - Accent5 2" xfId="7"/>
    <cellStyle name="20% - Accent6 2" xfId="8"/>
    <cellStyle name="20% - Cor1" xfId="9"/>
    <cellStyle name="20% - Cor2" xfId="10"/>
    <cellStyle name="20% - Cor3" xfId="11"/>
    <cellStyle name="20% - Cor4" xfId="12"/>
    <cellStyle name="20% - Cor5" xfId="13"/>
    <cellStyle name="20% - Cor6" xfId="14"/>
    <cellStyle name="40% - Accent1 2" xfId="15"/>
    <cellStyle name="40% - Accent2 2" xfId="16"/>
    <cellStyle name="40% - Accent3 2" xfId="17"/>
    <cellStyle name="40% - Accent4 2" xfId="18"/>
    <cellStyle name="40% - Accent5 2" xfId="19"/>
    <cellStyle name="40% - Accent6 2" xfId="20"/>
    <cellStyle name="40% - Accent6 3" xfId="11312"/>
    <cellStyle name="40% - Accent6 3 2" xfId="25634"/>
    <cellStyle name="40% - Cor1" xfId="21"/>
    <cellStyle name="40% - Cor2" xfId="22"/>
    <cellStyle name="40% - Cor3" xfId="23"/>
    <cellStyle name="40% - Cor4" xfId="24"/>
    <cellStyle name="40% - Cor5" xfId="25"/>
    <cellStyle name="40% - Cor6" xfId="26"/>
    <cellStyle name="60% - Accent1 2" xfId="27"/>
    <cellStyle name="60% - Accent2 2" xfId="28"/>
    <cellStyle name="60% - Accent3 2" xfId="29"/>
    <cellStyle name="60% - Accent4 2" xfId="30"/>
    <cellStyle name="60% - Accent5 2" xfId="31"/>
    <cellStyle name="60% - Accent6 2" xfId="32"/>
    <cellStyle name="60% - Cor1" xfId="33"/>
    <cellStyle name="60% - Cor2" xfId="34"/>
    <cellStyle name="60% - Cor3" xfId="35"/>
    <cellStyle name="60% - Cor4" xfId="36"/>
    <cellStyle name="60% - Cor5" xfId="37"/>
    <cellStyle name="60% - Cor6" xfId="38"/>
    <cellStyle name="Accent1 2" xfId="39"/>
    <cellStyle name="Accent2 2" xfId="40"/>
    <cellStyle name="Accent3 2" xfId="41"/>
    <cellStyle name="Accent4 2" xfId="42"/>
    <cellStyle name="Accent5 2" xfId="43"/>
    <cellStyle name="Accent6 2" xfId="44"/>
    <cellStyle name="Bad 2" xfId="45"/>
    <cellStyle name="Cabeçalho 1" xfId="46"/>
    <cellStyle name="Cabeçalho 2" xfId="47"/>
    <cellStyle name="Cabeçalho 3" xfId="48"/>
    <cellStyle name="Cabeçalho 4" xfId="49"/>
    <cellStyle name="Calculation 2" xfId="50"/>
    <cellStyle name="Calculation 2 2" xfId="51"/>
    <cellStyle name="Calculation 2 2 10" xfId="52"/>
    <cellStyle name="Calculation 2 2 10 2" xfId="7731"/>
    <cellStyle name="Calculation 2 2 10 2 2" xfId="10345"/>
    <cellStyle name="Calculation 2 2 10 2 2 2" xfId="16607"/>
    <cellStyle name="Calculation 2 2 10 2 2 2 2" xfId="30023"/>
    <cellStyle name="Calculation 2 2 10 2 2 3" xfId="21352"/>
    <cellStyle name="Calculation 2 2 10 2 3" xfId="14335"/>
    <cellStyle name="Calculation 2 2 10 2 3 2" xfId="28657"/>
    <cellStyle name="Calculation 2 2 10 2 4" xfId="19980"/>
    <cellStyle name="Calculation 2 2 10 3" xfId="12155"/>
    <cellStyle name="Calculation 2 2 10 3 2" xfId="26477"/>
    <cellStyle name="Calculation 2 2 10 4" xfId="17800"/>
    <cellStyle name="Calculation 2 2 11" xfId="3744"/>
    <cellStyle name="Calculation 2 2 11 2" xfId="3153"/>
    <cellStyle name="Calculation 2 2 11 2 2" xfId="22421"/>
    <cellStyle name="Calculation 2 2 11 3" xfId="4027"/>
    <cellStyle name="Calculation 2 2 12" xfId="6809"/>
    <cellStyle name="Calculation 2 2 12 2" xfId="23748"/>
    <cellStyle name="Calculation 2 2 13" xfId="15146"/>
    <cellStyle name="Calculation 2 2 2" xfId="53"/>
    <cellStyle name="Calculation 2 2 2 10" xfId="5069"/>
    <cellStyle name="Calculation 2 2 2 10 2" xfId="11616"/>
    <cellStyle name="Calculation 2 2 2 10 2 2" xfId="25938"/>
    <cellStyle name="Calculation 2 2 2 10 3" xfId="17029"/>
    <cellStyle name="Calculation 2 2 2 11" xfId="4592"/>
    <cellStyle name="Calculation 2 2 2 11 2" xfId="23054"/>
    <cellStyle name="Calculation 2 2 2 12" xfId="3614"/>
    <cellStyle name="Calculation 2 2 2 2" xfId="54"/>
    <cellStyle name="Calculation 2 2 2 2 10" xfId="4846"/>
    <cellStyle name="Calculation 2 2 2 2 10 2" xfId="23220"/>
    <cellStyle name="Calculation 2 2 2 2 11" xfId="14850"/>
    <cellStyle name="Calculation 2 2 2 2 2" xfId="55"/>
    <cellStyle name="Calculation 2 2 2 2 2 2" xfId="56"/>
    <cellStyle name="Calculation 2 2 2 2 2 2 2" xfId="57"/>
    <cellStyle name="Calculation 2 2 2 2 2 2 2 2" xfId="6986"/>
    <cellStyle name="Calculation 2 2 2 2 2 2 2 2 2" xfId="13590"/>
    <cellStyle name="Calculation 2 2 2 2 2 2 2 2 2 2" xfId="27912"/>
    <cellStyle name="Calculation 2 2 2 2 2 2 2 2 3" xfId="19235"/>
    <cellStyle name="Calculation 2 2 2 2 2 2 2 3" xfId="4075"/>
    <cellStyle name="Calculation 2 2 2 2 2 2 2 3 2" xfId="9418"/>
    <cellStyle name="Calculation 2 2 2 2 2 2 2 3 2 2" xfId="15680"/>
    <cellStyle name="Calculation 2 2 2 2 2 2 2 3 2 2 2" xfId="29096"/>
    <cellStyle name="Calculation 2 2 2 2 2 2 2 3 2 3" xfId="20425"/>
    <cellStyle name="Calculation 2 2 2 2 2 2 2 3 3" xfId="5037"/>
    <cellStyle name="Calculation 2 2 2 2 2 2 2 3 3 2" xfId="23317"/>
    <cellStyle name="Calculation 2 2 2 2 2 2 2 3 4" xfId="6285"/>
    <cellStyle name="Calculation 2 2 2 2 2 2 2 4" xfId="11498"/>
    <cellStyle name="Calculation 2 2 2 2 2 2 2 4 2" xfId="25820"/>
    <cellStyle name="Calculation 2 2 2 2 2 2 2 5" xfId="15013"/>
    <cellStyle name="Calculation 2 2 2 2 2 2 3" xfId="58"/>
    <cellStyle name="Calculation 2 2 2 2 2 2 3 2" xfId="3624"/>
    <cellStyle name="Calculation 2 2 2 2 2 2 3 2 2" xfId="9347"/>
    <cellStyle name="Calculation 2 2 2 2 2 2 3 2 2 2" xfId="15609"/>
    <cellStyle name="Calculation 2 2 2 2 2 2 3 2 2 2 2" xfId="29025"/>
    <cellStyle name="Calculation 2 2 2 2 2 2 3 2 2 3" xfId="20354"/>
    <cellStyle name="Calculation 2 2 2 2 2 2 3 2 3" xfId="4916"/>
    <cellStyle name="Calculation 2 2 2 2 2 2 3 2 3 2" xfId="23262"/>
    <cellStyle name="Calculation 2 2 2 2 2 2 3 2 4" xfId="15162"/>
    <cellStyle name="Calculation 2 2 2 2 2 2 3 3" xfId="13317"/>
    <cellStyle name="Calculation 2 2 2 2 2 2 3 3 2" xfId="27639"/>
    <cellStyle name="Calculation 2 2 2 2 2 2 3 4" xfId="18962"/>
    <cellStyle name="Calculation 2 2 2 2 2 2 4" xfId="5767"/>
    <cellStyle name="Calculation 2 2 2 2 2 2 4 2" xfId="12320"/>
    <cellStyle name="Calculation 2 2 2 2 2 2 4 2 2" xfId="26642"/>
    <cellStyle name="Calculation 2 2 2 2 2 2 4 3" xfId="17965"/>
    <cellStyle name="Calculation 2 2 2 2 2 2 5" xfId="6199"/>
    <cellStyle name="Calculation 2 2 2 2 2 2 5 2" xfId="23459"/>
    <cellStyle name="Calculation 2 2 2 2 2 2 6" xfId="6598"/>
    <cellStyle name="Calculation 2 2 2 2 2 3" xfId="59"/>
    <cellStyle name="Calculation 2 2 2 2 2 3 2" xfId="60"/>
    <cellStyle name="Calculation 2 2 2 2 2 3 2 2" xfId="6045"/>
    <cellStyle name="Calculation 2 2 2 2 2 3 2 2 2" xfId="12611"/>
    <cellStyle name="Calculation 2 2 2 2 2 3 2 2 2 2" xfId="26933"/>
    <cellStyle name="Calculation 2 2 2 2 2 3 2 2 3" xfId="18256"/>
    <cellStyle name="Calculation 2 2 2 2 2 3 2 3" xfId="7192"/>
    <cellStyle name="Calculation 2 2 2 2 2 3 2 3 2" xfId="9806"/>
    <cellStyle name="Calculation 2 2 2 2 2 3 2 3 2 2" xfId="16068"/>
    <cellStyle name="Calculation 2 2 2 2 2 3 2 3 2 2 2" xfId="29484"/>
    <cellStyle name="Calculation 2 2 2 2 2 3 2 3 2 3" xfId="20813"/>
    <cellStyle name="Calculation 2 2 2 2 2 3 2 3 3" xfId="13796"/>
    <cellStyle name="Calculation 2 2 2 2 2 3 2 3 3 2" xfId="28118"/>
    <cellStyle name="Calculation 2 2 2 2 2 3 2 3 4" xfId="19441"/>
    <cellStyle name="Calculation 2 2 2 2 2 3 2 4" xfId="4436"/>
    <cellStyle name="Calculation 2 2 2 2 2 3 2 4 2" xfId="22951"/>
    <cellStyle name="Calculation 2 2 2 2 2 3 2 5" xfId="14736"/>
    <cellStyle name="Calculation 2 2 2 2 2 3 3" xfId="61"/>
    <cellStyle name="Calculation 2 2 2 2 2 3 3 2" xfId="7811"/>
    <cellStyle name="Calculation 2 2 2 2 2 3 3 2 2" xfId="10425"/>
    <cellStyle name="Calculation 2 2 2 2 2 3 3 2 2 2" xfId="16687"/>
    <cellStyle name="Calculation 2 2 2 2 2 3 3 2 2 2 2" xfId="30103"/>
    <cellStyle name="Calculation 2 2 2 2 2 3 3 2 2 3" xfId="21432"/>
    <cellStyle name="Calculation 2 2 2 2 2 3 3 2 3" xfId="14415"/>
    <cellStyle name="Calculation 2 2 2 2 2 3 3 2 3 2" xfId="28737"/>
    <cellStyle name="Calculation 2 2 2 2 2 3 3 2 4" xfId="20060"/>
    <cellStyle name="Calculation 2 2 2 2 2 3 3 3" xfId="13252"/>
    <cellStyle name="Calculation 2 2 2 2 2 3 3 3 2" xfId="27574"/>
    <cellStyle name="Calculation 2 2 2 2 2 3 3 4" xfId="18897"/>
    <cellStyle name="Calculation 2 2 2 2 2 3 4" xfId="5694"/>
    <cellStyle name="Calculation 2 2 2 2 2 3 4 2" xfId="12247"/>
    <cellStyle name="Calculation 2 2 2 2 2 3 4 2 2" xfId="26569"/>
    <cellStyle name="Calculation 2 2 2 2 2 3 4 3" xfId="17892"/>
    <cellStyle name="Calculation 2 2 2 2 2 3 5" xfId="6318"/>
    <cellStyle name="Calculation 2 2 2 2 2 3 5 2" xfId="23513"/>
    <cellStyle name="Calculation 2 2 2 2 2 3 6" xfId="15269"/>
    <cellStyle name="Calculation 2 2 2 2 2 4" xfId="62"/>
    <cellStyle name="Calculation 2 2 2 2 2 4 2" xfId="6981"/>
    <cellStyle name="Calculation 2 2 2 2 2 4 2 2" xfId="13585"/>
    <cellStyle name="Calculation 2 2 2 2 2 4 2 2 2" xfId="27907"/>
    <cellStyle name="Calculation 2 2 2 2 2 4 2 3" xfId="19230"/>
    <cellStyle name="Calculation 2 2 2 2 2 4 3" xfId="7774"/>
    <cellStyle name="Calculation 2 2 2 2 2 4 3 2" xfId="10388"/>
    <cellStyle name="Calculation 2 2 2 2 2 4 3 2 2" xfId="16650"/>
    <cellStyle name="Calculation 2 2 2 2 2 4 3 2 2 2" xfId="30066"/>
    <cellStyle name="Calculation 2 2 2 2 2 4 3 2 3" xfId="21395"/>
    <cellStyle name="Calculation 2 2 2 2 2 4 3 3" xfId="14378"/>
    <cellStyle name="Calculation 2 2 2 2 2 4 3 3 2" xfId="28700"/>
    <cellStyle name="Calculation 2 2 2 2 2 4 3 4" xfId="20023"/>
    <cellStyle name="Calculation 2 2 2 2 2 4 4" xfId="11493"/>
    <cellStyle name="Calculation 2 2 2 2 2 4 4 2" xfId="25815"/>
    <cellStyle name="Calculation 2 2 2 2 2 4 5" xfId="15220"/>
    <cellStyle name="Calculation 2 2 2 2 2 5" xfId="63"/>
    <cellStyle name="Calculation 2 2 2 2 2 5 2" xfId="7046"/>
    <cellStyle name="Calculation 2 2 2 2 2 5 2 2" xfId="9660"/>
    <cellStyle name="Calculation 2 2 2 2 2 5 2 2 2" xfId="15922"/>
    <cellStyle name="Calculation 2 2 2 2 2 5 2 2 2 2" xfId="29338"/>
    <cellStyle name="Calculation 2 2 2 2 2 5 2 2 3" xfId="20667"/>
    <cellStyle name="Calculation 2 2 2 2 2 5 2 3" xfId="13650"/>
    <cellStyle name="Calculation 2 2 2 2 2 5 2 3 2" xfId="27972"/>
    <cellStyle name="Calculation 2 2 2 2 2 5 2 4" xfId="19295"/>
    <cellStyle name="Calculation 2 2 2 2 2 5 3" xfId="12893"/>
    <cellStyle name="Calculation 2 2 2 2 2 5 3 2" xfId="27215"/>
    <cellStyle name="Calculation 2 2 2 2 2 5 4" xfId="18538"/>
    <cellStyle name="Calculation 2 2 2 2 2 6" xfId="5511"/>
    <cellStyle name="Calculation 2 2 2 2 2 6 2" xfId="12062"/>
    <cellStyle name="Calculation 2 2 2 2 2 6 2 2" xfId="26384"/>
    <cellStyle name="Calculation 2 2 2 2 2 6 3" xfId="17707"/>
    <cellStyle name="Calculation 2 2 2 2 2 7" xfId="4528"/>
    <cellStyle name="Calculation 2 2 2 2 2 7 2" xfId="23009"/>
    <cellStyle name="Calculation 2 2 2 2 2 8" xfId="15596"/>
    <cellStyle name="Calculation 2 2 2 2 3" xfId="64"/>
    <cellStyle name="Calculation 2 2 2 2 3 2" xfId="65"/>
    <cellStyle name="Calculation 2 2 2 2 3 2 2" xfId="66"/>
    <cellStyle name="Calculation 2 2 2 2 3 2 2 2" xfId="5892"/>
    <cellStyle name="Calculation 2 2 2 2 3 2 2 2 2" xfId="12445"/>
    <cellStyle name="Calculation 2 2 2 2 3 2 2 2 2 2" xfId="26767"/>
    <cellStyle name="Calculation 2 2 2 2 3 2 2 2 3" xfId="18090"/>
    <cellStyle name="Calculation 2 2 2 2 3 2 2 3" xfId="7868"/>
    <cellStyle name="Calculation 2 2 2 2 3 2 2 3 2" xfId="10482"/>
    <cellStyle name="Calculation 2 2 2 2 3 2 2 3 2 2" xfId="16744"/>
    <cellStyle name="Calculation 2 2 2 2 3 2 2 3 2 2 2" xfId="30160"/>
    <cellStyle name="Calculation 2 2 2 2 3 2 2 3 2 3" xfId="21489"/>
    <cellStyle name="Calculation 2 2 2 2 3 2 2 3 3" xfId="14472"/>
    <cellStyle name="Calculation 2 2 2 2 3 2 2 3 3 2" xfId="28794"/>
    <cellStyle name="Calculation 2 2 2 2 3 2 2 3 4" xfId="20117"/>
    <cellStyle name="Calculation 2 2 2 2 3 2 2 4" xfId="6793"/>
    <cellStyle name="Calculation 2 2 2 2 3 2 2 4 2" xfId="23736"/>
    <cellStyle name="Calculation 2 2 2 2 3 2 2 5" xfId="15414"/>
    <cellStyle name="Calculation 2 2 2 2 3 2 3" xfId="67"/>
    <cellStyle name="Calculation 2 2 2 2 3 2 3 2" xfId="5297"/>
    <cellStyle name="Calculation 2 2 2 2 3 2 3 2 2" xfId="9606"/>
    <cellStyle name="Calculation 2 2 2 2 3 2 3 2 2 2" xfId="15868"/>
    <cellStyle name="Calculation 2 2 2 2 3 2 3 2 2 2 2" xfId="29284"/>
    <cellStyle name="Calculation 2 2 2 2 3 2 3 2 2 3" xfId="20613"/>
    <cellStyle name="Calculation 2 2 2 2 3 2 3 2 3" xfId="11847"/>
    <cellStyle name="Calculation 2 2 2 2 3 2 3 2 3 2" xfId="26169"/>
    <cellStyle name="Calculation 2 2 2 2 3 2 3 2 4" xfId="17492"/>
    <cellStyle name="Calculation 2 2 2 2 3 2 3 3" xfId="13353"/>
    <cellStyle name="Calculation 2 2 2 2 3 2 3 3 2" xfId="27675"/>
    <cellStyle name="Calculation 2 2 2 2 3 2 3 4" xfId="18998"/>
    <cellStyle name="Calculation 2 2 2 2 3 2 4" xfId="5803"/>
    <cellStyle name="Calculation 2 2 2 2 3 2 4 2" xfId="12356"/>
    <cellStyle name="Calculation 2 2 2 2 3 2 4 2 2" xfId="26678"/>
    <cellStyle name="Calculation 2 2 2 2 3 2 4 3" xfId="18001"/>
    <cellStyle name="Calculation 2 2 2 2 3 2 5" xfId="3783"/>
    <cellStyle name="Calculation 2 2 2 2 3 2 5 2" xfId="22575"/>
    <cellStyle name="Calculation 2 2 2 2 3 2 6" xfId="15174"/>
    <cellStyle name="Calculation 2 2 2 2 3 3" xfId="68"/>
    <cellStyle name="Calculation 2 2 2 2 3 3 2" xfId="69"/>
    <cellStyle name="Calculation 2 2 2 2 3 3 2 2" xfId="7009"/>
    <cellStyle name="Calculation 2 2 2 2 3 3 2 2 2" xfId="13613"/>
    <cellStyle name="Calculation 2 2 2 2 3 3 2 2 2 2" xfId="27935"/>
    <cellStyle name="Calculation 2 2 2 2 3 3 2 2 3" xfId="19258"/>
    <cellStyle name="Calculation 2 2 2 2 3 3 2 3" xfId="7240"/>
    <cellStyle name="Calculation 2 2 2 2 3 3 2 3 2" xfId="9854"/>
    <cellStyle name="Calculation 2 2 2 2 3 3 2 3 2 2" xfId="16116"/>
    <cellStyle name="Calculation 2 2 2 2 3 3 2 3 2 2 2" xfId="29532"/>
    <cellStyle name="Calculation 2 2 2 2 3 3 2 3 2 3" xfId="20861"/>
    <cellStyle name="Calculation 2 2 2 2 3 3 2 3 3" xfId="13844"/>
    <cellStyle name="Calculation 2 2 2 2 3 3 2 3 3 2" xfId="28166"/>
    <cellStyle name="Calculation 2 2 2 2 3 3 2 3 4" xfId="19489"/>
    <cellStyle name="Calculation 2 2 2 2 3 3 2 4" xfId="11531"/>
    <cellStyle name="Calculation 2 2 2 2 3 3 2 4 2" xfId="25853"/>
    <cellStyle name="Calculation 2 2 2 2 3 3 2 5" xfId="15543"/>
    <cellStyle name="Calculation 2 2 2 2 3 3 3" xfId="70"/>
    <cellStyle name="Calculation 2 2 2 2 3 3 3 2" xfId="7625"/>
    <cellStyle name="Calculation 2 2 2 2 3 3 3 2 2" xfId="10239"/>
    <cellStyle name="Calculation 2 2 2 2 3 3 3 2 2 2" xfId="16501"/>
    <cellStyle name="Calculation 2 2 2 2 3 3 3 2 2 2 2" xfId="29917"/>
    <cellStyle name="Calculation 2 2 2 2 3 3 3 2 2 3" xfId="21246"/>
    <cellStyle name="Calculation 2 2 2 2 3 3 3 2 3" xfId="14229"/>
    <cellStyle name="Calculation 2 2 2 2 3 3 3 2 3 2" xfId="28551"/>
    <cellStyle name="Calculation 2 2 2 2 3 3 3 2 4" xfId="19874"/>
    <cellStyle name="Calculation 2 2 2 2 3 3 3 3" xfId="12861"/>
    <cellStyle name="Calculation 2 2 2 2 3 3 3 3 2" xfId="27183"/>
    <cellStyle name="Calculation 2 2 2 2 3 3 3 4" xfId="18506"/>
    <cellStyle name="Calculation 2 2 2 2 3 3 4" xfId="5231"/>
    <cellStyle name="Calculation 2 2 2 2 3 3 4 2" xfId="11781"/>
    <cellStyle name="Calculation 2 2 2 2 3 3 4 2 2" xfId="26103"/>
    <cellStyle name="Calculation 2 2 2 2 3 3 4 3" xfId="17426"/>
    <cellStyle name="Calculation 2 2 2 2 3 3 5" xfId="3786"/>
    <cellStyle name="Calculation 2 2 2 2 3 3 5 2" xfId="22578"/>
    <cellStyle name="Calculation 2 2 2 2 3 3 6" xfId="17031"/>
    <cellStyle name="Calculation 2 2 2 2 3 4" xfId="71"/>
    <cellStyle name="Calculation 2 2 2 2 3 4 2" xfId="5959"/>
    <cellStyle name="Calculation 2 2 2 2 3 4 2 2" xfId="12517"/>
    <cellStyle name="Calculation 2 2 2 2 3 4 2 2 2" xfId="26839"/>
    <cellStyle name="Calculation 2 2 2 2 3 4 2 3" xfId="18162"/>
    <cellStyle name="Calculation 2 2 2 2 3 4 3" xfId="4849"/>
    <cellStyle name="Calculation 2 2 2 2 3 4 3 2" xfId="9501"/>
    <cellStyle name="Calculation 2 2 2 2 3 4 3 2 2" xfId="15763"/>
    <cellStyle name="Calculation 2 2 2 2 3 4 3 2 2 2" xfId="29179"/>
    <cellStyle name="Calculation 2 2 2 2 3 4 3 2 3" xfId="20508"/>
    <cellStyle name="Calculation 2 2 2 2 3 4 3 3" xfId="11382"/>
    <cellStyle name="Calculation 2 2 2 2 3 4 3 3 2" xfId="25704"/>
    <cellStyle name="Calculation 2 2 2 2 3 4 3 4" xfId="6628"/>
    <cellStyle name="Calculation 2 2 2 2 3 4 4" xfId="3907"/>
    <cellStyle name="Calculation 2 2 2 2 3 4 4 2" xfId="22639"/>
    <cellStyle name="Calculation 2 2 2 2 3 4 5" xfId="15233"/>
    <cellStyle name="Calculation 2 2 2 2 3 5" xfId="72"/>
    <cellStyle name="Calculation 2 2 2 2 3 5 2" xfId="7526"/>
    <cellStyle name="Calculation 2 2 2 2 3 5 2 2" xfId="10140"/>
    <cellStyle name="Calculation 2 2 2 2 3 5 2 2 2" xfId="16402"/>
    <cellStyle name="Calculation 2 2 2 2 3 5 2 2 2 2" xfId="29818"/>
    <cellStyle name="Calculation 2 2 2 2 3 5 2 2 3" xfId="21147"/>
    <cellStyle name="Calculation 2 2 2 2 3 5 2 3" xfId="14130"/>
    <cellStyle name="Calculation 2 2 2 2 3 5 2 3 2" xfId="28452"/>
    <cellStyle name="Calculation 2 2 2 2 3 5 2 4" xfId="19775"/>
    <cellStyle name="Calculation 2 2 2 2 3 5 3" xfId="12929"/>
    <cellStyle name="Calculation 2 2 2 2 3 5 3 2" xfId="27251"/>
    <cellStyle name="Calculation 2 2 2 2 3 5 4" xfId="18574"/>
    <cellStyle name="Calculation 2 2 2 2 3 6" xfId="5553"/>
    <cellStyle name="Calculation 2 2 2 2 3 6 2" xfId="12104"/>
    <cellStyle name="Calculation 2 2 2 2 3 6 2 2" xfId="26426"/>
    <cellStyle name="Calculation 2 2 2 2 3 6 3" xfId="17749"/>
    <cellStyle name="Calculation 2 2 2 2 3 7" xfId="4493"/>
    <cellStyle name="Calculation 2 2 2 2 3 7 2" xfId="22986"/>
    <cellStyle name="Calculation 2 2 2 2 3 8" xfId="17276"/>
    <cellStyle name="Calculation 2 2 2 2 4" xfId="73"/>
    <cellStyle name="Calculation 2 2 2 2 4 2" xfId="74"/>
    <cellStyle name="Calculation 2 2 2 2 4 2 2" xfId="75"/>
    <cellStyle name="Calculation 2 2 2 2 4 2 2 2" xfId="6860"/>
    <cellStyle name="Calculation 2 2 2 2 4 2 2 2 2" xfId="13464"/>
    <cellStyle name="Calculation 2 2 2 2 4 2 2 2 2 2" xfId="27786"/>
    <cellStyle name="Calculation 2 2 2 2 4 2 2 2 3" xfId="19109"/>
    <cellStyle name="Calculation 2 2 2 2 4 2 2 3" xfId="7162"/>
    <cellStyle name="Calculation 2 2 2 2 4 2 2 3 2" xfId="9776"/>
    <cellStyle name="Calculation 2 2 2 2 4 2 2 3 2 2" xfId="16038"/>
    <cellStyle name="Calculation 2 2 2 2 4 2 2 3 2 2 2" xfId="29454"/>
    <cellStyle name="Calculation 2 2 2 2 4 2 2 3 2 3" xfId="20783"/>
    <cellStyle name="Calculation 2 2 2 2 4 2 2 3 3" xfId="13766"/>
    <cellStyle name="Calculation 2 2 2 2 4 2 2 3 3 2" xfId="28088"/>
    <cellStyle name="Calculation 2 2 2 2 4 2 2 3 4" xfId="19411"/>
    <cellStyle name="Calculation 2 2 2 2 4 2 2 4" xfId="11319"/>
    <cellStyle name="Calculation 2 2 2 2 4 2 2 4 2" xfId="25641"/>
    <cellStyle name="Calculation 2 2 2 2 4 2 2 5" xfId="14818"/>
    <cellStyle name="Calculation 2 2 2 2 4 2 3" xfId="76"/>
    <cellStyle name="Calculation 2 2 2 2 4 2 3 2" xfId="7960"/>
    <cellStyle name="Calculation 2 2 2 2 4 2 3 2 2" xfId="10574"/>
    <cellStyle name="Calculation 2 2 2 2 4 2 3 2 2 2" xfId="16836"/>
    <cellStyle name="Calculation 2 2 2 2 4 2 3 2 2 2 2" xfId="30252"/>
    <cellStyle name="Calculation 2 2 2 2 4 2 3 2 2 3" xfId="21581"/>
    <cellStyle name="Calculation 2 2 2 2 4 2 3 2 3" xfId="14564"/>
    <cellStyle name="Calculation 2 2 2 2 4 2 3 2 3 2" xfId="28886"/>
    <cellStyle name="Calculation 2 2 2 2 4 2 3 2 4" xfId="20209"/>
    <cellStyle name="Calculation 2 2 2 2 4 2 3 3" xfId="13241"/>
    <cellStyle name="Calculation 2 2 2 2 4 2 3 3 2" xfId="27563"/>
    <cellStyle name="Calculation 2 2 2 2 4 2 3 4" xfId="18886"/>
    <cellStyle name="Calculation 2 2 2 2 4 2 4" xfId="5682"/>
    <cellStyle name="Calculation 2 2 2 2 4 2 4 2" xfId="12235"/>
    <cellStyle name="Calculation 2 2 2 2 4 2 4 2 2" xfId="26557"/>
    <cellStyle name="Calculation 2 2 2 2 4 2 4 3" xfId="17880"/>
    <cellStyle name="Calculation 2 2 2 2 4 2 5" xfId="4685"/>
    <cellStyle name="Calculation 2 2 2 2 4 2 5 2" xfId="23121"/>
    <cellStyle name="Calculation 2 2 2 2 4 2 6" xfId="15148"/>
    <cellStyle name="Calculation 2 2 2 2 4 3" xfId="77"/>
    <cellStyle name="Calculation 2 2 2 2 4 3 2" xfId="78"/>
    <cellStyle name="Calculation 2 2 2 2 4 3 2 2" xfId="6898"/>
    <cellStyle name="Calculation 2 2 2 2 4 3 2 2 2" xfId="13502"/>
    <cellStyle name="Calculation 2 2 2 2 4 3 2 2 2 2" xfId="27824"/>
    <cellStyle name="Calculation 2 2 2 2 4 3 2 2 3" xfId="19147"/>
    <cellStyle name="Calculation 2 2 2 2 4 3 2 3" xfId="7461"/>
    <cellStyle name="Calculation 2 2 2 2 4 3 2 3 2" xfId="10075"/>
    <cellStyle name="Calculation 2 2 2 2 4 3 2 3 2 2" xfId="16337"/>
    <cellStyle name="Calculation 2 2 2 2 4 3 2 3 2 2 2" xfId="29753"/>
    <cellStyle name="Calculation 2 2 2 2 4 3 2 3 2 3" xfId="21082"/>
    <cellStyle name="Calculation 2 2 2 2 4 3 2 3 3" xfId="14065"/>
    <cellStyle name="Calculation 2 2 2 2 4 3 2 3 3 2" xfId="28387"/>
    <cellStyle name="Calculation 2 2 2 2 4 3 2 3 4" xfId="19710"/>
    <cellStyle name="Calculation 2 2 2 2 4 3 2 4" xfId="11377"/>
    <cellStyle name="Calculation 2 2 2 2 4 3 2 4 2" xfId="25699"/>
    <cellStyle name="Calculation 2 2 2 2 4 3 2 5" xfId="14917"/>
    <cellStyle name="Calculation 2 2 2 2 4 3 3" xfId="79"/>
    <cellStyle name="Calculation 2 2 2 2 4 3 3 2" xfId="7132"/>
    <cellStyle name="Calculation 2 2 2 2 4 3 3 2 2" xfId="9746"/>
    <cellStyle name="Calculation 2 2 2 2 4 3 3 2 2 2" xfId="16008"/>
    <cellStyle name="Calculation 2 2 2 2 4 3 3 2 2 2 2" xfId="29424"/>
    <cellStyle name="Calculation 2 2 2 2 4 3 3 2 2 3" xfId="20753"/>
    <cellStyle name="Calculation 2 2 2 2 4 3 3 2 3" xfId="13736"/>
    <cellStyle name="Calculation 2 2 2 2 4 3 3 2 3 2" xfId="28058"/>
    <cellStyle name="Calculation 2 2 2 2 4 3 3 2 4" xfId="19381"/>
    <cellStyle name="Calculation 2 2 2 2 4 3 3 3" xfId="11604"/>
    <cellStyle name="Calculation 2 2 2 2 4 3 3 3 2" xfId="25926"/>
    <cellStyle name="Calculation 2 2 2 2 4 3 3 4" xfId="17170"/>
    <cellStyle name="Calculation 2 2 2 2 4 3 4" xfId="5240"/>
    <cellStyle name="Calculation 2 2 2 2 4 3 4 2" xfId="11790"/>
    <cellStyle name="Calculation 2 2 2 2 4 3 4 2 2" xfId="26112"/>
    <cellStyle name="Calculation 2 2 2 2 4 3 4 3" xfId="17435"/>
    <cellStyle name="Calculation 2 2 2 2 4 3 5" xfId="3644"/>
    <cellStyle name="Calculation 2 2 2 2 4 3 5 2" xfId="22503"/>
    <cellStyle name="Calculation 2 2 2 2 4 3 6" xfId="17219"/>
    <cellStyle name="Calculation 2 2 2 2 4 4" xfId="80"/>
    <cellStyle name="Calculation 2 2 2 2 4 4 2" xfId="6469"/>
    <cellStyle name="Calculation 2 2 2 2 4 4 2 2" xfId="13052"/>
    <cellStyle name="Calculation 2 2 2 2 4 4 2 2 2" xfId="27374"/>
    <cellStyle name="Calculation 2 2 2 2 4 4 2 3" xfId="18697"/>
    <cellStyle name="Calculation 2 2 2 2 4 4 3" xfId="7572"/>
    <cellStyle name="Calculation 2 2 2 2 4 4 3 2" xfId="10186"/>
    <cellStyle name="Calculation 2 2 2 2 4 4 3 2 2" xfId="16448"/>
    <cellStyle name="Calculation 2 2 2 2 4 4 3 2 2 2" xfId="29864"/>
    <cellStyle name="Calculation 2 2 2 2 4 4 3 2 3" xfId="21193"/>
    <cellStyle name="Calculation 2 2 2 2 4 4 3 3" xfId="14176"/>
    <cellStyle name="Calculation 2 2 2 2 4 4 3 3 2" xfId="28498"/>
    <cellStyle name="Calculation 2 2 2 2 4 4 3 4" xfId="19821"/>
    <cellStyle name="Calculation 2 2 2 2 4 4 4" xfId="5077"/>
    <cellStyle name="Calculation 2 2 2 2 4 4 4 2" xfId="23324"/>
    <cellStyle name="Calculation 2 2 2 2 4 4 5" xfId="15287"/>
    <cellStyle name="Calculation 2 2 2 2 4 5" xfId="81"/>
    <cellStyle name="Calculation 2 2 2 2 4 5 2" xfId="7257"/>
    <cellStyle name="Calculation 2 2 2 2 4 5 2 2" xfId="9871"/>
    <cellStyle name="Calculation 2 2 2 2 4 5 2 2 2" xfId="16133"/>
    <cellStyle name="Calculation 2 2 2 2 4 5 2 2 2 2" xfId="29549"/>
    <cellStyle name="Calculation 2 2 2 2 4 5 2 2 3" xfId="20878"/>
    <cellStyle name="Calculation 2 2 2 2 4 5 2 3" xfId="13861"/>
    <cellStyle name="Calculation 2 2 2 2 4 5 2 3 2" xfId="28183"/>
    <cellStyle name="Calculation 2 2 2 2 4 5 2 4" xfId="19506"/>
    <cellStyle name="Calculation 2 2 2 2 4 5 3" xfId="12701"/>
    <cellStyle name="Calculation 2 2 2 2 4 5 3 2" xfId="27023"/>
    <cellStyle name="Calculation 2 2 2 2 4 5 4" xfId="18346"/>
    <cellStyle name="Calculation 2 2 2 2 4 6" xfId="5105"/>
    <cellStyle name="Calculation 2 2 2 2 4 6 2" xfId="11652"/>
    <cellStyle name="Calculation 2 2 2 2 4 6 2 2" xfId="25974"/>
    <cellStyle name="Calculation 2 2 2 2 4 6 3" xfId="4347"/>
    <cellStyle name="Calculation 2 2 2 2 4 7" xfId="4192"/>
    <cellStyle name="Calculation 2 2 2 2 4 7 2" xfId="22813"/>
    <cellStyle name="Calculation 2 2 2 2 4 8" xfId="15186"/>
    <cellStyle name="Calculation 2 2 2 2 5" xfId="82"/>
    <cellStyle name="Calculation 2 2 2 2 5 2" xfId="83"/>
    <cellStyle name="Calculation 2 2 2 2 5 2 2" xfId="84"/>
    <cellStyle name="Calculation 2 2 2 2 5 2 2 2" xfId="6413"/>
    <cellStyle name="Calculation 2 2 2 2 5 2 2 2 2" xfId="12996"/>
    <cellStyle name="Calculation 2 2 2 2 5 2 2 2 2 2" xfId="27318"/>
    <cellStyle name="Calculation 2 2 2 2 5 2 2 2 3" xfId="18641"/>
    <cellStyle name="Calculation 2 2 2 2 5 2 2 3" xfId="7383"/>
    <cellStyle name="Calculation 2 2 2 2 5 2 2 3 2" xfId="9997"/>
    <cellStyle name="Calculation 2 2 2 2 5 2 2 3 2 2" xfId="16259"/>
    <cellStyle name="Calculation 2 2 2 2 5 2 2 3 2 2 2" xfId="29675"/>
    <cellStyle name="Calculation 2 2 2 2 5 2 2 3 2 3" xfId="21004"/>
    <cellStyle name="Calculation 2 2 2 2 5 2 2 3 3" xfId="13987"/>
    <cellStyle name="Calculation 2 2 2 2 5 2 2 3 3 2" xfId="28309"/>
    <cellStyle name="Calculation 2 2 2 2 5 2 2 3 4" xfId="19632"/>
    <cellStyle name="Calculation 2 2 2 2 5 2 2 4" xfId="6059"/>
    <cellStyle name="Calculation 2 2 2 2 5 2 2 4 2" xfId="23401"/>
    <cellStyle name="Calculation 2 2 2 2 5 2 2 5" xfId="17297"/>
    <cellStyle name="Calculation 2 2 2 2 5 2 3" xfId="85"/>
    <cellStyle name="Calculation 2 2 2 2 5 2 3 2" xfId="3664"/>
    <cellStyle name="Calculation 2 2 2 2 5 2 3 2 2" xfId="9356"/>
    <cellStyle name="Calculation 2 2 2 2 5 2 3 2 2 2" xfId="15618"/>
    <cellStyle name="Calculation 2 2 2 2 5 2 3 2 2 2 2" xfId="29034"/>
    <cellStyle name="Calculation 2 2 2 2 5 2 3 2 2 3" xfId="20363"/>
    <cellStyle name="Calculation 2 2 2 2 5 2 3 2 3" xfId="4100"/>
    <cellStyle name="Calculation 2 2 2 2 5 2 3 2 3 2" xfId="22757"/>
    <cellStyle name="Calculation 2 2 2 2 5 2 3 2 4" xfId="6675"/>
    <cellStyle name="Calculation 2 2 2 2 5 2 3 3" xfId="12137"/>
    <cellStyle name="Calculation 2 2 2 2 5 2 3 3 2" xfId="26459"/>
    <cellStyle name="Calculation 2 2 2 2 5 2 3 4" xfId="17782"/>
    <cellStyle name="Calculation 2 2 2 2 5 2 4" xfId="3914"/>
    <cellStyle name="Calculation 2 2 2 2 5 2 4 2" xfId="6197"/>
    <cellStyle name="Calculation 2 2 2 2 5 2 4 2 2" xfId="23458"/>
    <cellStyle name="Calculation 2 2 2 2 5 2 4 3" xfId="17028"/>
    <cellStyle name="Calculation 2 2 2 2 5 2 5" xfId="4033"/>
    <cellStyle name="Calculation 2 2 2 2 5 2 5 2" xfId="22711"/>
    <cellStyle name="Calculation 2 2 2 2 5 2 6" xfId="15004"/>
    <cellStyle name="Calculation 2 2 2 2 5 3" xfId="86"/>
    <cellStyle name="Calculation 2 2 2 2 5 3 2" xfId="6996"/>
    <cellStyle name="Calculation 2 2 2 2 5 3 2 2" xfId="13600"/>
    <cellStyle name="Calculation 2 2 2 2 5 3 2 2 2" xfId="27922"/>
    <cellStyle name="Calculation 2 2 2 2 5 3 2 3" xfId="19245"/>
    <cellStyle name="Calculation 2 2 2 2 5 3 3" xfId="8049"/>
    <cellStyle name="Calculation 2 2 2 2 5 3 3 2" xfId="10663"/>
    <cellStyle name="Calculation 2 2 2 2 5 3 3 2 2" xfId="16925"/>
    <cellStyle name="Calculation 2 2 2 2 5 3 3 2 2 2" xfId="30341"/>
    <cellStyle name="Calculation 2 2 2 2 5 3 3 2 3" xfId="21670"/>
    <cellStyle name="Calculation 2 2 2 2 5 3 3 3" xfId="14653"/>
    <cellStyle name="Calculation 2 2 2 2 5 3 3 3 2" xfId="28975"/>
    <cellStyle name="Calculation 2 2 2 2 5 3 3 4" xfId="20298"/>
    <cellStyle name="Calculation 2 2 2 2 5 3 4" xfId="11511"/>
    <cellStyle name="Calculation 2 2 2 2 5 3 4 2" xfId="25833"/>
    <cellStyle name="Calculation 2 2 2 2 5 3 5" xfId="15564"/>
    <cellStyle name="Calculation 2 2 2 2 5 4" xfId="87"/>
    <cellStyle name="Calculation 2 2 2 2 5 4 2" xfId="4767"/>
    <cellStyle name="Calculation 2 2 2 2 5 4 2 2" xfId="9480"/>
    <cellStyle name="Calculation 2 2 2 2 5 4 2 2 2" xfId="15742"/>
    <cellStyle name="Calculation 2 2 2 2 5 4 2 2 2 2" xfId="29158"/>
    <cellStyle name="Calculation 2 2 2 2 5 4 2 2 3" xfId="20487"/>
    <cellStyle name="Calculation 2 2 2 2 5 4 2 3" xfId="2811"/>
    <cellStyle name="Calculation 2 2 2 2 5 4 2 3 2" xfId="22374"/>
    <cellStyle name="Calculation 2 2 2 2 5 4 2 4" xfId="15106"/>
    <cellStyle name="Calculation 2 2 2 2 5 4 3" xfId="12855"/>
    <cellStyle name="Calculation 2 2 2 2 5 4 3 2" xfId="27177"/>
    <cellStyle name="Calculation 2 2 2 2 5 4 4" xfId="18500"/>
    <cellStyle name="Calculation 2 2 2 2 5 5" xfId="5457"/>
    <cellStyle name="Calculation 2 2 2 2 5 5 2" xfId="12008"/>
    <cellStyle name="Calculation 2 2 2 2 5 5 2 2" xfId="26330"/>
    <cellStyle name="Calculation 2 2 2 2 5 5 3" xfId="17653"/>
    <cellStyle name="Calculation 2 2 2 2 5 6" xfId="5002"/>
    <cellStyle name="Calculation 2 2 2 2 5 6 2" xfId="23303"/>
    <cellStyle name="Calculation 2 2 2 2 5 7" xfId="3855"/>
    <cellStyle name="Calculation 2 2 2 2 6" xfId="88"/>
    <cellStyle name="Calculation 2 2 2 2 6 2" xfId="89"/>
    <cellStyle name="Calculation 2 2 2 2 6 2 2" xfId="5416"/>
    <cellStyle name="Calculation 2 2 2 2 6 2 2 2" xfId="11966"/>
    <cellStyle name="Calculation 2 2 2 2 6 2 2 2 2" xfId="26288"/>
    <cellStyle name="Calculation 2 2 2 2 6 2 2 3" xfId="17611"/>
    <cellStyle name="Calculation 2 2 2 2 6 2 3" xfId="4340"/>
    <cellStyle name="Calculation 2 2 2 2 6 2 3 2" xfId="9451"/>
    <cellStyle name="Calculation 2 2 2 2 6 2 3 2 2" xfId="15713"/>
    <cellStyle name="Calculation 2 2 2 2 6 2 3 2 2 2" xfId="29129"/>
    <cellStyle name="Calculation 2 2 2 2 6 2 3 2 3" xfId="20458"/>
    <cellStyle name="Calculation 2 2 2 2 6 2 3 3" xfId="4727"/>
    <cellStyle name="Calculation 2 2 2 2 6 2 3 3 2" xfId="23154"/>
    <cellStyle name="Calculation 2 2 2 2 6 2 3 4" xfId="14856"/>
    <cellStyle name="Calculation 2 2 2 2 6 2 4" xfId="6196"/>
    <cellStyle name="Calculation 2 2 2 2 6 2 4 2" xfId="23457"/>
    <cellStyle name="Calculation 2 2 2 2 6 2 5" xfId="15296"/>
    <cellStyle name="Calculation 2 2 2 2 6 3" xfId="90"/>
    <cellStyle name="Calculation 2 2 2 2 6 3 2" xfId="7658"/>
    <cellStyle name="Calculation 2 2 2 2 6 3 2 2" xfId="10272"/>
    <cellStyle name="Calculation 2 2 2 2 6 3 2 2 2" xfId="16534"/>
    <cellStyle name="Calculation 2 2 2 2 6 3 2 2 2 2" xfId="29950"/>
    <cellStyle name="Calculation 2 2 2 2 6 3 2 2 3" xfId="21279"/>
    <cellStyle name="Calculation 2 2 2 2 6 3 2 3" xfId="14262"/>
    <cellStyle name="Calculation 2 2 2 2 6 3 2 3 2" xfId="28584"/>
    <cellStyle name="Calculation 2 2 2 2 6 3 2 4" xfId="19907"/>
    <cellStyle name="Calculation 2 2 2 2 6 3 3" xfId="13367"/>
    <cellStyle name="Calculation 2 2 2 2 6 3 3 2" xfId="27689"/>
    <cellStyle name="Calculation 2 2 2 2 6 3 4" xfId="19012"/>
    <cellStyle name="Calculation 2 2 2 2 6 4" xfId="5818"/>
    <cellStyle name="Calculation 2 2 2 2 6 4 2" xfId="12371"/>
    <cellStyle name="Calculation 2 2 2 2 6 4 2 2" xfId="26693"/>
    <cellStyle name="Calculation 2 2 2 2 6 4 3" xfId="18016"/>
    <cellStyle name="Calculation 2 2 2 2 6 5" xfId="4383"/>
    <cellStyle name="Calculation 2 2 2 2 6 5 2" xfId="22917"/>
    <cellStyle name="Calculation 2 2 2 2 6 6" xfId="4473"/>
    <cellStyle name="Calculation 2 2 2 2 7" xfId="91"/>
    <cellStyle name="Calculation 2 2 2 2 7 2" xfId="6168"/>
    <cellStyle name="Calculation 2 2 2 2 7 2 2" xfId="12741"/>
    <cellStyle name="Calculation 2 2 2 2 7 2 2 2" xfId="27063"/>
    <cellStyle name="Calculation 2 2 2 2 7 2 3" xfId="18386"/>
    <cellStyle name="Calculation 2 2 2 2 7 3" xfId="7427"/>
    <cellStyle name="Calculation 2 2 2 2 7 3 2" xfId="10041"/>
    <cellStyle name="Calculation 2 2 2 2 7 3 2 2" xfId="16303"/>
    <cellStyle name="Calculation 2 2 2 2 7 3 2 2 2" xfId="29719"/>
    <cellStyle name="Calculation 2 2 2 2 7 3 2 3" xfId="21048"/>
    <cellStyle name="Calculation 2 2 2 2 7 3 3" xfId="14031"/>
    <cellStyle name="Calculation 2 2 2 2 7 3 3 2" xfId="28353"/>
    <cellStyle name="Calculation 2 2 2 2 7 3 4" xfId="19676"/>
    <cellStyle name="Calculation 2 2 2 2 7 4" xfId="4422"/>
    <cellStyle name="Calculation 2 2 2 2 7 4 2" xfId="22940"/>
    <cellStyle name="Calculation 2 2 2 2 7 5" xfId="6622"/>
    <cellStyle name="Calculation 2 2 2 2 8" xfId="92"/>
    <cellStyle name="Calculation 2 2 2 2 8 2" xfId="7988"/>
    <cellStyle name="Calculation 2 2 2 2 8 2 2" xfId="10602"/>
    <cellStyle name="Calculation 2 2 2 2 8 2 2 2" xfId="16864"/>
    <cellStyle name="Calculation 2 2 2 2 8 2 2 2 2" xfId="30280"/>
    <cellStyle name="Calculation 2 2 2 2 8 2 2 3" xfId="21609"/>
    <cellStyle name="Calculation 2 2 2 2 8 2 3" xfId="14592"/>
    <cellStyle name="Calculation 2 2 2 2 8 2 3 2" xfId="28914"/>
    <cellStyle name="Calculation 2 2 2 2 8 2 4" xfId="20237"/>
    <cellStyle name="Calculation 2 2 2 2 8 3" xfId="12757"/>
    <cellStyle name="Calculation 2 2 2 2 8 3 2" xfId="27079"/>
    <cellStyle name="Calculation 2 2 2 2 8 4" xfId="18402"/>
    <cellStyle name="Calculation 2 2 2 2 9" xfId="5468"/>
    <cellStyle name="Calculation 2 2 2 2 9 2" xfId="12019"/>
    <cellStyle name="Calculation 2 2 2 2 9 2 2" xfId="26341"/>
    <cellStyle name="Calculation 2 2 2 2 9 3" xfId="17664"/>
    <cellStyle name="Calculation 2 2 2 3" xfId="93"/>
    <cellStyle name="Calculation 2 2 2 3 2" xfId="94"/>
    <cellStyle name="Calculation 2 2 2 3 2 2" xfId="95"/>
    <cellStyle name="Calculation 2 2 2 3 2 2 2" xfId="6828"/>
    <cellStyle name="Calculation 2 2 2 3 2 2 2 2" xfId="13432"/>
    <cellStyle name="Calculation 2 2 2 3 2 2 2 2 2" xfId="27754"/>
    <cellStyle name="Calculation 2 2 2 3 2 2 2 3" xfId="19077"/>
    <cellStyle name="Calculation 2 2 2 3 2 2 3" xfId="7849"/>
    <cellStyle name="Calculation 2 2 2 3 2 2 3 2" xfId="10463"/>
    <cellStyle name="Calculation 2 2 2 3 2 2 3 2 2" xfId="16725"/>
    <cellStyle name="Calculation 2 2 2 3 2 2 3 2 2 2" xfId="30141"/>
    <cellStyle name="Calculation 2 2 2 3 2 2 3 2 3" xfId="21470"/>
    <cellStyle name="Calculation 2 2 2 3 2 2 3 3" xfId="14453"/>
    <cellStyle name="Calculation 2 2 2 3 2 2 3 3 2" xfId="28775"/>
    <cellStyle name="Calculation 2 2 2 3 2 2 3 4" xfId="20098"/>
    <cellStyle name="Calculation 2 2 2 3 2 2 4" xfId="2780"/>
    <cellStyle name="Calculation 2 2 2 3 2 2 4 2" xfId="22349"/>
    <cellStyle name="Calculation 2 2 2 3 2 2 5" xfId="15234"/>
    <cellStyle name="Calculation 2 2 2 3 2 3" xfId="96"/>
    <cellStyle name="Calculation 2 2 2 3 2 3 2" xfId="7191"/>
    <cellStyle name="Calculation 2 2 2 3 2 3 2 2" xfId="9805"/>
    <cellStyle name="Calculation 2 2 2 3 2 3 2 2 2" xfId="16067"/>
    <cellStyle name="Calculation 2 2 2 3 2 3 2 2 2 2" xfId="29483"/>
    <cellStyle name="Calculation 2 2 2 3 2 3 2 2 3" xfId="20812"/>
    <cellStyle name="Calculation 2 2 2 3 2 3 2 3" xfId="13795"/>
    <cellStyle name="Calculation 2 2 2 3 2 3 2 3 2" xfId="28117"/>
    <cellStyle name="Calculation 2 2 2 3 2 3 2 4" xfId="19440"/>
    <cellStyle name="Calculation 2 2 2 3 2 3 3" xfId="13295"/>
    <cellStyle name="Calculation 2 2 2 3 2 3 3 2" xfId="27617"/>
    <cellStyle name="Calculation 2 2 2 3 2 3 4" xfId="18940"/>
    <cellStyle name="Calculation 2 2 2 3 2 4" xfId="5745"/>
    <cellStyle name="Calculation 2 2 2 3 2 4 2" xfId="12298"/>
    <cellStyle name="Calculation 2 2 2 3 2 4 2 2" xfId="26620"/>
    <cellStyle name="Calculation 2 2 2 3 2 4 3" xfId="17943"/>
    <cellStyle name="Calculation 2 2 2 3 2 5" xfId="5972"/>
    <cellStyle name="Calculation 2 2 2 3 2 5 2" xfId="23386"/>
    <cellStyle name="Calculation 2 2 2 3 2 6" xfId="15290"/>
    <cellStyle name="Calculation 2 2 2 3 3" xfId="97"/>
    <cellStyle name="Calculation 2 2 2 3 3 2" xfId="98"/>
    <cellStyle name="Calculation 2 2 2 3 3 2 2" xfId="6870"/>
    <cellStyle name="Calculation 2 2 2 3 3 2 2 2" xfId="13474"/>
    <cellStyle name="Calculation 2 2 2 3 3 2 2 2 2" xfId="27796"/>
    <cellStyle name="Calculation 2 2 2 3 3 2 2 3" xfId="19119"/>
    <cellStyle name="Calculation 2 2 2 3 3 2 3" xfId="7485"/>
    <cellStyle name="Calculation 2 2 2 3 3 2 3 2" xfId="10099"/>
    <cellStyle name="Calculation 2 2 2 3 3 2 3 2 2" xfId="16361"/>
    <cellStyle name="Calculation 2 2 2 3 3 2 3 2 2 2" xfId="29777"/>
    <cellStyle name="Calculation 2 2 2 3 3 2 3 2 3" xfId="21106"/>
    <cellStyle name="Calculation 2 2 2 3 3 2 3 3" xfId="14089"/>
    <cellStyle name="Calculation 2 2 2 3 3 2 3 3 2" xfId="28411"/>
    <cellStyle name="Calculation 2 2 2 3 3 2 3 4" xfId="19734"/>
    <cellStyle name="Calculation 2 2 2 3 3 2 4" xfId="11333"/>
    <cellStyle name="Calculation 2 2 2 3 3 2 4 2" xfId="25655"/>
    <cellStyle name="Calculation 2 2 2 3 3 2 5" xfId="17167"/>
    <cellStyle name="Calculation 2 2 2 3 3 3" xfId="99"/>
    <cellStyle name="Calculation 2 2 2 3 3 3 2" xfId="7703"/>
    <cellStyle name="Calculation 2 2 2 3 3 3 2 2" xfId="10317"/>
    <cellStyle name="Calculation 2 2 2 3 3 3 2 2 2" xfId="16579"/>
    <cellStyle name="Calculation 2 2 2 3 3 3 2 2 2 2" xfId="29995"/>
    <cellStyle name="Calculation 2 2 2 3 3 3 2 2 3" xfId="21324"/>
    <cellStyle name="Calculation 2 2 2 3 3 3 2 3" xfId="14307"/>
    <cellStyle name="Calculation 2 2 2 3 3 3 2 3 2" xfId="28629"/>
    <cellStyle name="Calculation 2 2 2 3 3 3 2 4" xfId="19952"/>
    <cellStyle name="Calculation 2 2 2 3 3 3 3" xfId="11673"/>
    <cellStyle name="Calculation 2 2 2 3 3 3 3 2" xfId="25995"/>
    <cellStyle name="Calculation 2 2 2 3 3 3 4" xfId="14844"/>
    <cellStyle name="Calculation 2 2 2 3 3 4" xfId="3157"/>
    <cellStyle name="Calculation 2 2 2 3 3 4 2" xfId="4370"/>
    <cellStyle name="Calculation 2 2 2 3 3 4 2 2" xfId="22912"/>
    <cellStyle name="Calculation 2 2 2 3 3 4 3" xfId="15285"/>
    <cellStyle name="Calculation 2 2 2 3 3 5" xfId="4477"/>
    <cellStyle name="Calculation 2 2 2 3 3 5 2" xfId="22975"/>
    <cellStyle name="Calculation 2 2 2 3 3 6" xfId="6464"/>
    <cellStyle name="Calculation 2 2 2 3 4" xfId="100"/>
    <cellStyle name="Calculation 2 2 2 3 4 2" xfId="6076"/>
    <cellStyle name="Calculation 2 2 2 3 4 2 2" xfId="12642"/>
    <cellStyle name="Calculation 2 2 2 3 4 2 2 2" xfId="26964"/>
    <cellStyle name="Calculation 2 2 2 3 4 2 3" xfId="18287"/>
    <cellStyle name="Calculation 2 2 2 3 4 3" xfId="8043"/>
    <cellStyle name="Calculation 2 2 2 3 4 3 2" xfId="10657"/>
    <cellStyle name="Calculation 2 2 2 3 4 3 2 2" xfId="16919"/>
    <cellStyle name="Calculation 2 2 2 3 4 3 2 2 2" xfId="30335"/>
    <cellStyle name="Calculation 2 2 2 3 4 3 2 3" xfId="21664"/>
    <cellStyle name="Calculation 2 2 2 3 4 3 3" xfId="14647"/>
    <cellStyle name="Calculation 2 2 2 3 4 3 3 2" xfId="28969"/>
    <cellStyle name="Calculation 2 2 2 3 4 3 4" xfId="20292"/>
    <cellStyle name="Calculation 2 2 2 3 4 4" xfId="4086"/>
    <cellStyle name="Calculation 2 2 2 3 4 4 2" xfId="22752"/>
    <cellStyle name="Calculation 2 2 2 3 4 5" xfId="16988"/>
    <cellStyle name="Calculation 2 2 2 3 5" xfId="101"/>
    <cellStyle name="Calculation 2 2 2 3 5 2" xfId="7704"/>
    <cellStyle name="Calculation 2 2 2 3 5 2 2" xfId="10318"/>
    <cellStyle name="Calculation 2 2 2 3 5 2 2 2" xfId="16580"/>
    <cellStyle name="Calculation 2 2 2 3 5 2 2 2 2" xfId="29996"/>
    <cellStyle name="Calculation 2 2 2 3 5 2 2 3" xfId="21325"/>
    <cellStyle name="Calculation 2 2 2 3 5 2 3" xfId="14308"/>
    <cellStyle name="Calculation 2 2 2 3 5 2 3 2" xfId="28630"/>
    <cellStyle name="Calculation 2 2 2 3 5 2 4" xfId="19953"/>
    <cellStyle name="Calculation 2 2 2 3 5 3" xfId="12871"/>
    <cellStyle name="Calculation 2 2 2 3 5 3 2" xfId="27193"/>
    <cellStyle name="Calculation 2 2 2 3 5 4" xfId="18516"/>
    <cellStyle name="Calculation 2 2 2 3 6" xfId="5489"/>
    <cellStyle name="Calculation 2 2 2 3 6 2" xfId="12040"/>
    <cellStyle name="Calculation 2 2 2 3 6 2 2" xfId="26362"/>
    <cellStyle name="Calculation 2 2 2 3 6 3" xfId="17685"/>
    <cellStyle name="Calculation 2 2 2 3 7" xfId="6658"/>
    <cellStyle name="Calculation 2 2 2 3 7 2" xfId="23634"/>
    <cellStyle name="Calculation 2 2 2 3 8" xfId="17351"/>
    <cellStyle name="Calculation 2 2 2 4" xfId="102"/>
    <cellStyle name="Calculation 2 2 2 4 2" xfId="103"/>
    <cellStyle name="Calculation 2 2 2 4 2 2" xfId="104"/>
    <cellStyle name="Calculation 2 2 2 4 2 2 2" xfId="6547"/>
    <cellStyle name="Calculation 2 2 2 4 2 2 2 2" xfId="13135"/>
    <cellStyle name="Calculation 2 2 2 4 2 2 2 2 2" xfId="27457"/>
    <cellStyle name="Calculation 2 2 2 4 2 2 2 3" xfId="18780"/>
    <cellStyle name="Calculation 2 2 2 4 2 2 3" xfId="7372"/>
    <cellStyle name="Calculation 2 2 2 4 2 2 3 2" xfId="9986"/>
    <cellStyle name="Calculation 2 2 2 4 2 2 3 2 2" xfId="16248"/>
    <cellStyle name="Calculation 2 2 2 4 2 2 3 2 2 2" xfId="29664"/>
    <cellStyle name="Calculation 2 2 2 4 2 2 3 2 3" xfId="20993"/>
    <cellStyle name="Calculation 2 2 2 4 2 2 3 3" xfId="13976"/>
    <cellStyle name="Calculation 2 2 2 4 2 2 3 3 2" xfId="28298"/>
    <cellStyle name="Calculation 2 2 2 4 2 2 3 4" xfId="19621"/>
    <cellStyle name="Calculation 2 2 2 4 2 2 4" xfId="6015"/>
    <cellStyle name="Calculation 2 2 2 4 2 2 4 2" xfId="23394"/>
    <cellStyle name="Calculation 2 2 2 4 2 2 5" xfId="15035"/>
    <cellStyle name="Calculation 2 2 2 4 2 3" xfId="105"/>
    <cellStyle name="Calculation 2 2 2 4 2 3 2" xfId="7420"/>
    <cellStyle name="Calculation 2 2 2 4 2 3 2 2" xfId="10034"/>
    <cellStyle name="Calculation 2 2 2 4 2 3 2 2 2" xfId="16296"/>
    <cellStyle name="Calculation 2 2 2 4 2 3 2 2 2 2" xfId="29712"/>
    <cellStyle name="Calculation 2 2 2 4 2 3 2 2 3" xfId="21041"/>
    <cellStyle name="Calculation 2 2 2 4 2 3 2 3" xfId="14024"/>
    <cellStyle name="Calculation 2 2 2 4 2 3 2 3 2" xfId="28346"/>
    <cellStyle name="Calculation 2 2 2 4 2 3 2 4" xfId="19669"/>
    <cellStyle name="Calculation 2 2 2 4 2 3 3" xfId="13331"/>
    <cellStyle name="Calculation 2 2 2 4 2 3 3 2" xfId="27653"/>
    <cellStyle name="Calculation 2 2 2 4 2 3 4" xfId="18976"/>
    <cellStyle name="Calculation 2 2 2 4 2 4" xfId="5781"/>
    <cellStyle name="Calculation 2 2 2 4 2 4 2" xfId="12334"/>
    <cellStyle name="Calculation 2 2 2 4 2 4 2 2" xfId="26656"/>
    <cellStyle name="Calculation 2 2 2 4 2 4 3" xfId="17979"/>
    <cellStyle name="Calculation 2 2 2 4 2 5" xfId="4668"/>
    <cellStyle name="Calculation 2 2 2 4 2 5 2" xfId="23107"/>
    <cellStyle name="Calculation 2 2 2 4 2 6" xfId="15131"/>
    <cellStyle name="Calculation 2 2 2 4 3" xfId="106"/>
    <cellStyle name="Calculation 2 2 2 4 3 2" xfId="107"/>
    <cellStyle name="Calculation 2 2 2 4 3 2 2" xfId="6100"/>
    <cellStyle name="Calculation 2 2 2 4 3 2 2 2" xfId="12667"/>
    <cellStyle name="Calculation 2 2 2 4 3 2 2 2 2" xfId="26989"/>
    <cellStyle name="Calculation 2 2 2 4 3 2 2 3" xfId="18312"/>
    <cellStyle name="Calculation 2 2 2 4 3 2 3" xfId="8022"/>
    <cellStyle name="Calculation 2 2 2 4 3 2 3 2" xfId="10636"/>
    <cellStyle name="Calculation 2 2 2 4 3 2 3 2 2" xfId="16898"/>
    <cellStyle name="Calculation 2 2 2 4 3 2 3 2 2 2" xfId="30314"/>
    <cellStyle name="Calculation 2 2 2 4 3 2 3 2 3" xfId="21643"/>
    <cellStyle name="Calculation 2 2 2 4 3 2 3 3" xfId="14626"/>
    <cellStyle name="Calculation 2 2 2 4 3 2 3 3 2" xfId="28948"/>
    <cellStyle name="Calculation 2 2 2 4 3 2 3 4" xfId="20271"/>
    <cellStyle name="Calculation 2 2 2 4 3 2 4" xfId="6189"/>
    <cellStyle name="Calculation 2 2 2 4 3 2 4 2" xfId="23453"/>
    <cellStyle name="Calculation 2 2 2 4 3 2 5" xfId="17187"/>
    <cellStyle name="Calculation 2 2 2 4 3 3" xfId="108"/>
    <cellStyle name="Calculation 2 2 2 4 3 3 2" xfId="3814"/>
    <cellStyle name="Calculation 2 2 2 4 3 3 2 2" xfId="9380"/>
    <cellStyle name="Calculation 2 2 2 4 3 3 2 2 2" xfId="15642"/>
    <cellStyle name="Calculation 2 2 2 4 3 3 2 2 2 2" xfId="29058"/>
    <cellStyle name="Calculation 2 2 2 4 3 3 2 2 3" xfId="20387"/>
    <cellStyle name="Calculation 2 2 2 4 3 3 2 3" xfId="6679"/>
    <cellStyle name="Calculation 2 2 2 4 3 3 2 3 2" xfId="23650"/>
    <cellStyle name="Calculation 2 2 2 4 3 3 2 4" xfId="17281"/>
    <cellStyle name="Calculation 2 2 2 4 3 3 3" xfId="13056"/>
    <cellStyle name="Calculation 2 2 2 4 3 3 3 2" xfId="27378"/>
    <cellStyle name="Calculation 2 2 2 4 3 3 4" xfId="18701"/>
    <cellStyle name="Calculation 2 2 2 4 3 4" xfId="5385"/>
    <cellStyle name="Calculation 2 2 2 4 3 4 2" xfId="11935"/>
    <cellStyle name="Calculation 2 2 2 4 3 4 2 2" xfId="26257"/>
    <cellStyle name="Calculation 2 2 2 4 3 4 3" xfId="17580"/>
    <cellStyle name="Calculation 2 2 2 4 3 5" xfId="6141"/>
    <cellStyle name="Calculation 2 2 2 4 3 5 2" xfId="23426"/>
    <cellStyle name="Calculation 2 2 2 4 3 6" xfId="15078"/>
    <cellStyle name="Calculation 2 2 2 4 4" xfId="109"/>
    <cellStyle name="Calculation 2 2 2 4 4 2" xfId="6999"/>
    <cellStyle name="Calculation 2 2 2 4 4 2 2" xfId="13603"/>
    <cellStyle name="Calculation 2 2 2 4 4 2 2 2" xfId="27925"/>
    <cellStyle name="Calculation 2 2 2 4 4 2 3" xfId="19248"/>
    <cellStyle name="Calculation 2 2 2 4 4 3" xfId="7578"/>
    <cellStyle name="Calculation 2 2 2 4 4 3 2" xfId="10192"/>
    <cellStyle name="Calculation 2 2 2 4 4 3 2 2" xfId="16454"/>
    <cellStyle name="Calculation 2 2 2 4 4 3 2 2 2" xfId="29870"/>
    <cellStyle name="Calculation 2 2 2 4 4 3 2 3" xfId="21199"/>
    <cellStyle name="Calculation 2 2 2 4 4 3 3" xfId="14182"/>
    <cellStyle name="Calculation 2 2 2 4 4 3 3 2" xfId="28504"/>
    <cellStyle name="Calculation 2 2 2 4 4 3 4" xfId="19827"/>
    <cellStyle name="Calculation 2 2 2 4 4 4" xfId="11515"/>
    <cellStyle name="Calculation 2 2 2 4 4 4 2" xfId="25837"/>
    <cellStyle name="Calculation 2 2 2 4 4 5" xfId="4569"/>
    <cellStyle name="Calculation 2 2 2 4 5" xfId="110"/>
    <cellStyle name="Calculation 2 2 2 4 5 2" xfId="7810"/>
    <cellStyle name="Calculation 2 2 2 4 5 2 2" xfId="10424"/>
    <cellStyle name="Calculation 2 2 2 4 5 2 2 2" xfId="16686"/>
    <cellStyle name="Calculation 2 2 2 4 5 2 2 2 2" xfId="30102"/>
    <cellStyle name="Calculation 2 2 2 4 5 2 2 3" xfId="21431"/>
    <cellStyle name="Calculation 2 2 2 4 5 2 3" xfId="14414"/>
    <cellStyle name="Calculation 2 2 2 4 5 2 3 2" xfId="28736"/>
    <cellStyle name="Calculation 2 2 2 4 5 2 4" xfId="20059"/>
    <cellStyle name="Calculation 2 2 2 4 5 3" xfId="12907"/>
    <cellStyle name="Calculation 2 2 2 4 5 3 2" xfId="27229"/>
    <cellStyle name="Calculation 2 2 2 4 5 4" xfId="18552"/>
    <cellStyle name="Calculation 2 2 2 4 6" xfId="5531"/>
    <cellStyle name="Calculation 2 2 2 4 6 2" xfId="12082"/>
    <cellStyle name="Calculation 2 2 2 4 6 2 2" xfId="26404"/>
    <cellStyle name="Calculation 2 2 2 4 6 3" xfId="17727"/>
    <cellStyle name="Calculation 2 2 2 4 7" xfId="3807"/>
    <cellStyle name="Calculation 2 2 2 4 7 2" xfId="22593"/>
    <cellStyle name="Calculation 2 2 2 4 8" xfId="14679"/>
    <cellStyle name="Calculation 2 2 2 5" xfId="111"/>
    <cellStyle name="Calculation 2 2 2 5 2" xfId="112"/>
    <cellStyle name="Calculation 2 2 2 5 2 2" xfId="113"/>
    <cellStyle name="Calculation 2 2 2 5 2 2 2" xfId="5942"/>
    <cellStyle name="Calculation 2 2 2 5 2 2 2 2" xfId="12499"/>
    <cellStyle name="Calculation 2 2 2 5 2 2 2 2 2" xfId="26821"/>
    <cellStyle name="Calculation 2 2 2 5 2 2 2 3" xfId="18144"/>
    <cellStyle name="Calculation 2 2 2 5 2 2 3" xfId="7707"/>
    <cellStyle name="Calculation 2 2 2 5 2 2 3 2" xfId="10321"/>
    <cellStyle name="Calculation 2 2 2 5 2 2 3 2 2" xfId="16583"/>
    <cellStyle name="Calculation 2 2 2 5 2 2 3 2 2 2" xfId="29999"/>
    <cellStyle name="Calculation 2 2 2 5 2 2 3 2 3" xfId="21328"/>
    <cellStyle name="Calculation 2 2 2 5 2 2 3 3" xfId="14311"/>
    <cellStyle name="Calculation 2 2 2 5 2 2 3 3 2" xfId="28633"/>
    <cellStyle name="Calculation 2 2 2 5 2 2 3 4" xfId="19956"/>
    <cellStyle name="Calculation 2 2 2 5 2 2 4" xfId="6044"/>
    <cellStyle name="Calculation 2 2 2 5 2 2 4 2" xfId="23398"/>
    <cellStyle name="Calculation 2 2 2 5 2 2 5" xfId="15556"/>
    <cellStyle name="Calculation 2 2 2 5 2 3" xfId="114"/>
    <cellStyle name="Calculation 2 2 2 5 2 3 2" xfId="7592"/>
    <cellStyle name="Calculation 2 2 2 5 2 3 2 2" xfId="10206"/>
    <cellStyle name="Calculation 2 2 2 5 2 3 2 2 2" xfId="16468"/>
    <cellStyle name="Calculation 2 2 2 5 2 3 2 2 2 2" xfId="29884"/>
    <cellStyle name="Calculation 2 2 2 5 2 3 2 2 3" xfId="21213"/>
    <cellStyle name="Calculation 2 2 2 5 2 3 2 3" xfId="14196"/>
    <cellStyle name="Calculation 2 2 2 5 2 3 2 3 2" xfId="28518"/>
    <cellStyle name="Calculation 2 2 2 5 2 3 2 4" xfId="19841"/>
    <cellStyle name="Calculation 2 2 2 5 2 3 3" xfId="13201"/>
    <cellStyle name="Calculation 2 2 2 5 2 3 3 2" xfId="27523"/>
    <cellStyle name="Calculation 2 2 2 5 2 3 4" xfId="18846"/>
    <cellStyle name="Calculation 2 2 2 5 2 4" xfId="5640"/>
    <cellStyle name="Calculation 2 2 2 5 2 4 2" xfId="12193"/>
    <cellStyle name="Calculation 2 2 2 5 2 4 2 2" xfId="26515"/>
    <cellStyle name="Calculation 2 2 2 5 2 4 3" xfId="17838"/>
    <cellStyle name="Calculation 2 2 2 5 2 5" xfId="6614"/>
    <cellStyle name="Calculation 2 2 2 5 2 5 2" xfId="23606"/>
    <cellStyle name="Calculation 2 2 2 5 2 6" xfId="17019"/>
    <cellStyle name="Calculation 2 2 2 5 3" xfId="115"/>
    <cellStyle name="Calculation 2 2 2 5 3 2" xfId="116"/>
    <cellStyle name="Calculation 2 2 2 5 3 2 2" xfId="6854"/>
    <cellStyle name="Calculation 2 2 2 5 3 2 2 2" xfId="13458"/>
    <cellStyle name="Calculation 2 2 2 5 3 2 2 2 2" xfId="27780"/>
    <cellStyle name="Calculation 2 2 2 5 3 2 2 3" xfId="19103"/>
    <cellStyle name="Calculation 2 2 2 5 3 2 3" xfId="7698"/>
    <cellStyle name="Calculation 2 2 2 5 3 2 3 2" xfId="10312"/>
    <cellStyle name="Calculation 2 2 2 5 3 2 3 2 2" xfId="16574"/>
    <cellStyle name="Calculation 2 2 2 5 3 2 3 2 2 2" xfId="29990"/>
    <cellStyle name="Calculation 2 2 2 5 3 2 3 2 3" xfId="21319"/>
    <cellStyle name="Calculation 2 2 2 5 3 2 3 3" xfId="14302"/>
    <cellStyle name="Calculation 2 2 2 5 3 2 3 3 2" xfId="28624"/>
    <cellStyle name="Calculation 2 2 2 5 3 2 3 4" xfId="19947"/>
    <cellStyle name="Calculation 2 2 2 5 3 2 4" xfId="2760"/>
    <cellStyle name="Calculation 2 2 2 5 3 2 4 2" xfId="22329"/>
    <cellStyle name="Calculation 2 2 2 5 3 2 5" xfId="15530"/>
    <cellStyle name="Calculation 2 2 2 5 3 3" xfId="117"/>
    <cellStyle name="Calculation 2 2 2 5 3 3 2" xfId="7336"/>
    <cellStyle name="Calculation 2 2 2 5 3 3 2 2" xfId="9950"/>
    <cellStyle name="Calculation 2 2 2 5 3 3 2 2 2" xfId="16212"/>
    <cellStyle name="Calculation 2 2 2 5 3 3 2 2 2 2" xfId="29628"/>
    <cellStyle name="Calculation 2 2 2 5 3 3 2 2 3" xfId="20957"/>
    <cellStyle name="Calculation 2 2 2 5 3 3 2 3" xfId="13940"/>
    <cellStyle name="Calculation 2 2 2 5 3 3 2 3 2" xfId="28262"/>
    <cellStyle name="Calculation 2 2 2 5 3 3 2 4" xfId="19585"/>
    <cellStyle name="Calculation 2 2 2 5 3 3 3" xfId="13179"/>
    <cellStyle name="Calculation 2 2 2 5 3 3 3 2" xfId="27501"/>
    <cellStyle name="Calculation 2 2 2 5 3 3 4" xfId="18824"/>
    <cellStyle name="Calculation 2 2 2 5 3 4" xfId="5602"/>
    <cellStyle name="Calculation 2 2 2 5 3 4 2" xfId="12154"/>
    <cellStyle name="Calculation 2 2 2 5 3 4 2 2" xfId="26476"/>
    <cellStyle name="Calculation 2 2 2 5 3 4 3" xfId="17799"/>
    <cellStyle name="Calculation 2 2 2 5 3 5" xfId="3715"/>
    <cellStyle name="Calculation 2 2 2 5 3 5 2" xfId="22540"/>
    <cellStyle name="Calculation 2 2 2 5 3 6" xfId="16963"/>
    <cellStyle name="Calculation 2 2 2 5 4" xfId="118"/>
    <cellStyle name="Calculation 2 2 2 5 4 2" xfId="6932"/>
    <cellStyle name="Calculation 2 2 2 5 4 2 2" xfId="13536"/>
    <cellStyle name="Calculation 2 2 2 5 4 2 2 2" xfId="27858"/>
    <cellStyle name="Calculation 2 2 2 5 4 2 3" xfId="19181"/>
    <cellStyle name="Calculation 2 2 2 5 4 3" xfId="4415"/>
    <cellStyle name="Calculation 2 2 2 5 4 3 2" xfId="9464"/>
    <cellStyle name="Calculation 2 2 2 5 4 3 2 2" xfId="15726"/>
    <cellStyle name="Calculation 2 2 2 5 4 3 2 2 2" xfId="29142"/>
    <cellStyle name="Calculation 2 2 2 5 4 3 2 3" xfId="20471"/>
    <cellStyle name="Calculation 2 2 2 5 4 3 3" xfId="3832"/>
    <cellStyle name="Calculation 2 2 2 5 4 3 3 2" xfId="22603"/>
    <cellStyle name="Calculation 2 2 2 5 4 3 4" xfId="15404"/>
    <cellStyle name="Calculation 2 2 2 5 4 4" xfId="11425"/>
    <cellStyle name="Calculation 2 2 2 5 4 4 2" xfId="25747"/>
    <cellStyle name="Calculation 2 2 2 5 4 5" xfId="15095"/>
    <cellStyle name="Calculation 2 2 2 5 5" xfId="119"/>
    <cellStyle name="Calculation 2 2 2 5 5 2" xfId="3599"/>
    <cellStyle name="Calculation 2 2 2 5 5 2 2" xfId="9342"/>
    <cellStyle name="Calculation 2 2 2 5 5 2 2 2" xfId="15604"/>
    <cellStyle name="Calculation 2 2 2 5 5 2 2 2 2" xfId="29020"/>
    <cellStyle name="Calculation 2 2 2 5 5 2 2 3" xfId="20349"/>
    <cellStyle name="Calculation 2 2 2 5 5 2 3" xfId="6332"/>
    <cellStyle name="Calculation 2 2 2 5 5 2 3 2" xfId="23521"/>
    <cellStyle name="Calculation 2 2 2 5 5 2 4" xfId="17083"/>
    <cellStyle name="Calculation 2 2 2 5 5 3" xfId="11968"/>
    <cellStyle name="Calculation 2 2 2 5 5 3 2" xfId="26290"/>
    <cellStyle name="Calculation 2 2 2 5 5 4" xfId="17613"/>
    <cellStyle name="Calculation 2 2 2 5 6" xfId="5111"/>
    <cellStyle name="Calculation 2 2 2 5 6 2" xfId="11659"/>
    <cellStyle name="Calculation 2 2 2 5 6 2 2" xfId="25981"/>
    <cellStyle name="Calculation 2 2 2 5 6 3" xfId="17395"/>
    <cellStyle name="Calculation 2 2 2 5 7" xfId="6127"/>
    <cellStyle name="Calculation 2 2 2 5 7 2" xfId="23420"/>
    <cellStyle name="Calculation 2 2 2 5 8" xfId="17218"/>
    <cellStyle name="Calculation 2 2 2 6" xfId="120"/>
    <cellStyle name="Calculation 2 2 2 6 2" xfId="121"/>
    <cellStyle name="Calculation 2 2 2 6 2 2" xfId="122"/>
    <cellStyle name="Calculation 2 2 2 6 2 2 2" xfId="5432"/>
    <cellStyle name="Calculation 2 2 2 6 2 2 2 2" xfId="11983"/>
    <cellStyle name="Calculation 2 2 2 6 2 2 2 2 2" xfId="26305"/>
    <cellStyle name="Calculation 2 2 2 6 2 2 2 3" xfId="17628"/>
    <cellStyle name="Calculation 2 2 2 6 2 2 3" xfId="4496"/>
    <cellStyle name="Calculation 2 2 2 6 2 2 3 2" xfId="9471"/>
    <cellStyle name="Calculation 2 2 2 6 2 2 3 2 2" xfId="15733"/>
    <cellStyle name="Calculation 2 2 2 6 2 2 3 2 2 2" xfId="29149"/>
    <cellStyle name="Calculation 2 2 2 6 2 2 3 2 3" xfId="20478"/>
    <cellStyle name="Calculation 2 2 2 6 2 2 3 3" xfId="6254"/>
    <cellStyle name="Calculation 2 2 2 6 2 2 3 3 2" xfId="23476"/>
    <cellStyle name="Calculation 2 2 2 6 2 2 3 4" xfId="15344"/>
    <cellStyle name="Calculation 2 2 2 6 2 2 4" xfId="4960"/>
    <cellStyle name="Calculation 2 2 2 6 2 2 4 2" xfId="23282"/>
    <cellStyle name="Calculation 2 2 2 6 2 2 5" xfId="14897"/>
    <cellStyle name="Calculation 2 2 2 6 2 3" xfId="123"/>
    <cellStyle name="Calculation 2 2 2 6 2 3 2" xfId="7140"/>
    <cellStyle name="Calculation 2 2 2 6 2 3 2 2" xfId="9754"/>
    <cellStyle name="Calculation 2 2 2 6 2 3 2 2 2" xfId="16016"/>
    <cellStyle name="Calculation 2 2 2 6 2 3 2 2 2 2" xfId="29432"/>
    <cellStyle name="Calculation 2 2 2 6 2 3 2 2 3" xfId="20761"/>
    <cellStyle name="Calculation 2 2 2 6 2 3 2 3" xfId="13744"/>
    <cellStyle name="Calculation 2 2 2 6 2 3 2 3 2" xfId="28066"/>
    <cellStyle name="Calculation 2 2 2 6 2 3 2 4" xfId="19389"/>
    <cellStyle name="Calculation 2 2 2 6 2 3 3" xfId="12666"/>
    <cellStyle name="Calculation 2 2 2 6 2 3 3 2" xfId="26988"/>
    <cellStyle name="Calculation 2 2 2 6 2 3 4" xfId="18311"/>
    <cellStyle name="Calculation 2 2 2 6 2 4" xfId="5049"/>
    <cellStyle name="Calculation 2 2 2 6 2 4 2" xfId="11596"/>
    <cellStyle name="Calculation 2 2 2 6 2 4 2 2" xfId="25918"/>
    <cellStyle name="Calculation 2 2 2 6 2 4 3" xfId="15190"/>
    <cellStyle name="Calculation 2 2 2 6 2 5" xfId="4178"/>
    <cellStyle name="Calculation 2 2 2 6 2 5 2" xfId="22801"/>
    <cellStyle name="Calculation 2 2 2 6 2 6" xfId="15329"/>
    <cellStyle name="Calculation 2 2 2 6 3" xfId="124"/>
    <cellStyle name="Calculation 2 2 2 6 3 2" xfId="5589"/>
    <cellStyle name="Calculation 2 2 2 6 3 2 2" xfId="12141"/>
    <cellStyle name="Calculation 2 2 2 6 3 2 2 2" xfId="26463"/>
    <cellStyle name="Calculation 2 2 2 6 3 2 3" xfId="17786"/>
    <cellStyle name="Calculation 2 2 2 6 3 3" xfId="7473"/>
    <cellStyle name="Calculation 2 2 2 6 3 3 2" xfId="10087"/>
    <cellStyle name="Calculation 2 2 2 6 3 3 2 2" xfId="16349"/>
    <cellStyle name="Calculation 2 2 2 6 3 3 2 2 2" xfId="29765"/>
    <cellStyle name="Calculation 2 2 2 6 3 3 2 3" xfId="21094"/>
    <cellStyle name="Calculation 2 2 2 6 3 3 3" xfId="14077"/>
    <cellStyle name="Calculation 2 2 2 6 3 3 3 2" xfId="28399"/>
    <cellStyle name="Calculation 2 2 2 6 3 3 4" xfId="19722"/>
    <cellStyle name="Calculation 2 2 2 6 3 4" xfId="3294"/>
    <cellStyle name="Calculation 2 2 2 6 3 4 2" xfId="22467"/>
    <cellStyle name="Calculation 2 2 2 6 3 5" xfId="17394"/>
    <cellStyle name="Calculation 2 2 2 6 4" xfId="125"/>
    <cellStyle name="Calculation 2 2 2 6 4 2" xfId="7053"/>
    <cellStyle name="Calculation 2 2 2 6 4 2 2" xfId="9667"/>
    <cellStyle name="Calculation 2 2 2 6 4 2 2 2" xfId="15929"/>
    <cellStyle name="Calculation 2 2 2 6 4 2 2 2 2" xfId="29345"/>
    <cellStyle name="Calculation 2 2 2 6 4 2 2 3" xfId="20674"/>
    <cellStyle name="Calculation 2 2 2 6 4 2 3" xfId="13657"/>
    <cellStyle name="Calculation 2 2 2 6 4 2 3 2" xfId="27979"/>
    <cellStyle name="Calculation 2 2 2 6 4 2 4" xfId="19302"/>
    <cellStyle name="Calculation 2 2 2 6 4 3" xfId="12206"/>
    <cellStyle name="Calculation 2 2 2 6 4 3 2" xfId="26528"/>
    <cellStyle name="Calculation 2 2 2 6 4 4" xfId="17851"/>
    <cellStyle name="Calculation 2 2 2 6 5" xfId="5153"/>
    <cellStyle name="Calculation 2 2 2 6 5 2" xfId="11702"/>
    <cellStyle name="Calculation 2 2 2 6 5 2 2" xfId="26024"/>
    <cellStyle name="Calculation 2 2 2 6 5 3" xfId="6704"/>
    <cellStyle name="Calculation 2 2 2 6 6" xfId="6335"/>
    <cellStyle name="Calculation 2 2 2 6 6 2" xfId="23523"/>
    <cellStyle name="Calculation 2 2 2 6 7" xfId="14973"/>
    <cellStyle name="Calculation 2 2 2 7" xfId="126"/>
    <cellStyle name="Calculation 2 2 2 7 2" xfId="127"/>
    <cellStyle name="Calculation 2 2 2 7 2 2" xfId="6024"/>
    <cellStyle name="Calculation 2 2 2 7 2 2 2" xfId="12585"/>
    <cellStyle name="Calculation 2 2 2 7 2 2 2 2" xfId="26907"/>
    <cellStyle name="Calculation 2 2 2 7 2 2 3" xfId="18230"/>
    <cellStyle name="Calculation 2 2 2 7 2 3" xfId="7656"/>
    <cellStyle name="Calculation 2 2 2 7 2 3 2" xfId="10270"/>
    <cellStyle name="Calculation 2 2 2 7 2 3 2 2" xfId="16532"/>
    <cellStyle name="Calculation 2 2 2 7 2 3 2 2 2" xfId="29948"/>
    <cellStyle name="Calculation 2 2 2 7 2 3 2 3" xfId="21277"/>
    <cellStyle name="Calculation 2 2 2 7 2 3 3" xfId="14260"/>
    <cellStyle name="Calculation 2 2 2 7 2 3 3 2" xfId="28582"/>
    <cellStyle name="Calculation 2 2 2 7 2 3 4" xfId="19905"/>
    <cellStyle name="Calculation 2 2 2 7 2 4" xfId="4731"/>
    <cellStyle name="Calculation 2 2 2 7 2 4 2" xfId="23157"/>
    <cellStyle name="Calculation 2 2 2 7 2 5" xfId="15066"/>
    <cellStyle name="Calculation 2 2 2 7 3" xfId="128"/>
    <cellStyle name="Calculation 2 2 2 7 3 2" xfId="7542"/>
    <cellStyle name="Calculation 2 2 2 7 3 2 2" xfId="10156"/>
    <cellStyle name="Calculation 2 2 2 7 3 2 2 2" xfId="16418"/>
    <cellStyle name="Calculation 2 2 2 7 3 2 2 2 2" xfId="29834"/>
    <cellStyle name="Calculation 2 2 2 7 3 2 2 3" xfId="21163"/>
    <cellStyle name="Calculation 2 2 2 7 3 2 3" xfId="14146"/>
    <cellStyle name="Calculation 2 2 2 7 3 2 3 2" xfId="28468"/>
    <cellStyle name="Calculation 2 2 2 7 3 2 4" xfId="19791"/>
    <cellStyle name="Calculation 2 2 2 7 3 3" xfId="12209"/>
    <cellStyle name="Calculation 2 2 2 7 3 3 2" xfId="26531"/>
    <cellStyle name="Calculation 2 2 2 7 3 4" xfId="17854"/>
    <cellStyle name="Calculation 2 2 2 7 4" xfId="5150"/>
    <cellStyle name="Calculation 2 2 2 7 4 2" xfId="11699"/>
    <cellStyle name="Calculation 2 2 2 7 4 2 2" xfId="26021"/>
    <cellStyle name="Calculation 2 2 2 7 4 3" xfId="4170"/>
    <cellStyle name="Calculation 2 2 2 7 5" xfId="4580"/>
    <cellStyle name="Calculation 2 2 2 7 5 2" xfId="23046"/>
    <cellStyle name="Calculation 2 2 2 7 6" xfId="15557"/>
    <cellStyle name="Calculation 2 2 2 8" xfId="129"/>
    <cellStyle name="Calculation 2 2 2 8 2" xfId="5590"/>
    <cellStyle name="Calculation 2 2 2 8 2 2" xfId="12142"/>
    <cellStyle name="Calculation 2 2 2 8 2 2 2" xfId="26464"/>
    <cellStyle name="Calculation 2 2 2 8 2 3" xfId="17787"/>
    <cellStyle name="Calculation 2 2 2 8 3" xfId="5268"/>
    <cellStyle name="Calculation 2 2 2 8 3 2" xfId="9577"/>
    <cellStyle name="Calculation 2 2 2 8 3 2 2" xfId="15839"/>
    <cellStyle name="Calculation 2 2 2 8 3 2 2 2" xfId="29255"/>
    <cellStyle name="Calculation 2 2 2 8 3 2 3" xfId="20584"/>
    <cellStyle name="Calculation 2 2 2 8 3 3" xfId="11818"/>
    <cellStyle name="Calculation 2 2 2 8 3 3 2" xfId="26140"/>
    <cellStyle name="Calculation 2 2 2 8 3 4" xfId="17463"/>
    <cellStyle name="Calculation 2 2 2 8 4" xfId="6364"/>
    <cellStyle name="Calculation 2 2 2 8 4 2" xfId="23547"/>
    <cellStyle name="Calculation 2 2 2 8 5" xfId="15377"/>
    <cellStyle name="Calculation 2 2 2 9" xfId="130"/>
    <cellStyle name="Calculation 2 2 2 9 2" xfId="7399"/>
    <cellStyle name="Calculation 2 2 2 9 2 2" xfId="10013"/>
    <cellStyle name="Calculation 2 2 2 9 2 2 2" xfId="16275"/>
    <cellStyle name="Calculation 2 2 2 9 2 2 2 2" xfId="29691"/>
    <cellStyle name="Calculation 2 2 2 9 2 2 3" xfId="21020"/>
    <cellStyle name="Calculation 2 2 2 9 2 3" xfId="14003"/>
    <cellStyle name="Calculation 2 2 2 9 2 3 2" xfId="28325"/>
    <cellStyle name="Calculation 2 2 2 9 2 4" xfId="19648"/>
    <cellStyle name="Calculation 2 2 2 9 3" xfId="11931"/>
    <cellStyle name="Calculation 2 2 2 9 3 2" xfId="26253"/>
    <cellStyle name="Calculation 2 2 2 9 4" xfId="17576"/>
    <cellStyle name="Calculation 2 2 3" xfId="131"/>
    <cellStyle name="Calculation 2 2 3 10" xfId="4130"/>
    <cellStyle name="Calculation 2 2 3 10 2" xfId="22772"/>
    <cellStyle name="Calculation 2 2 3 11" xfId="14684"/>
    <cellStyle name="Calculation 2 2 3 2" xfId="132"/>
    <cellStyle name="Calculation 2 2 3 2 2" xfId="133"/>
    <cellStyle name="Calculation 2 2 3 2 2 2" xfId="134"/>
    <cellStyle name="Calculation 2 2 3 2 2 2 2" xfId="6902"/>
    <cellStyle name="Calculation 2 2 3 2 2 2 2 2" xfId="13506"/>
    <cellStyle name="Calculation 2 2 3 2 2 2 2 2 2" xfId="27828"/>
    <cellStyle name="Calculation 2 2 3 2 2 2 2 3" xfId="19151"/>
    <cellStyle name="Calculation 2 2 3 2 2 2 3" xfId="7764"/>
    <cellStyle name="Calculation 2 2 3 2 2 2 3 2" xfId="10378"/>
    <cellStyle name="Calculation 2 2 3 2 2 2 3 2 2" xfId="16640"/>
    <cellStyle name="Calculation 2 2 3 2 2 2 3 2 2 2" xfId="30056"/>
    <cellStyle name="Calculation 2 2 3 2 2 2 3 2 3" xfId="21385"/>
    <cellStyle name="Calculation 2 2 3 2 2 2 3 3" xfId="14368"/>
    <cellStyle name="Calculation 2 2 3 2 2 2 3 3 2" xfId="28690"/>
    <cellStyle name="Calculation 2 2 3 2 2 2 3 4" xfId="20013"/>
    <cellStyle name="Calculation 2 2 3 2 2 2 4" xfId="11384"/>
    <cellStyle name="Calculation 2 2 3 2 2 2 4 2" xfId="25706"/>
    <cellStyle name="Calculation 2 2 3 2 2 2 5" xfId="4795"/>
    <cellStyle name="Calculation 2 2 3 2 2 3" xfId="135"/>
    <cellStyle name="Calculation 2 2 3 2 2 3 2" xfId="4101"/>
    <cellStyle name="Calculation 2 2 3 2 2 3 2 2" xfId="9425"/>
    <cellStyle name="Calculation 2 2 3 2 2 3 2 2 2" xfId="15687"/>
    <cellStyle name="Calculation 2 2 3 2 2 3 2 2 2 2" xfId="29103"/>
    <cellStyle name="Calculation 2 2 3 2 2 3 2 2 3" xfId="20432"/>
    <cellStyle name="Calculation 2 2 3 2 2 3 2 3" xfId="4021"/>
    <cellStyle name="Calculation 2 2 3 2 2 3 2 3 2" xfId="22705"/>
    <cellStyle name="Calculation 2 2 3 2 2 3 2 4" xfId="4660"/>
    <cellStyle name="Calculation 2 2 3 2 2 3 3" xfId="13311"/>
    <cellStyle name="Calculation 2 2 3 2 2 3 3 2" xfId="27633"/>
    <cellStyle name="Calculation 2 2 3 2 2 3 4" xfId="18956"/>
    <cellStyle name="Calculation 2 2 3 2 2 4" xfId="5761"/>
    <cellStyle name="Calculation 2 2 3 2 2 4 2" xfId="12314"/>
    <cellStyle name="Calculation 2 2 3 2 2 4 2 2" xfId="26636"/>
    <cellStyle name="Calculation 2 2 3 2 2 4 3" xfId="17959"/>
    <cellStyle name="Calculation 2 2 3 2 2 5" xfId="6804"/>
    <cellStyle name="Calculation 2 2 3 2 2 5 2" xfId="23743"/>
    <cellStyle name="Calculation 2 2 3 2 2 6" xfId="15209"/>
    <cellStyle name="Calculation 2 2 3 2 3" xfId="136"/>
    <cellStyle name="Calculation 2 2 3 2 3 2" xfId="137"/>
    <cellStyle name="Calculation 2 2 3 2 3 2 2" xfId="6401"/>
    <cellStyle name="Calculation 2 2 3 2 3 2 2 2" xfId="12984"/>
    <cellStyle name="Calculation 2 2 3 2 3 2 2 2 2" xfId="27306"/>
    <cellStyle name="Calculation 2 2 3 2 3 2 2 3" xfId="18629"/>
    <cellStyle name="Calculation 2 2 3 2 3 2 3" xfId="7667"/>
    <cellStyle name="Calculation 2 2 3 2 3 2 3 2" xfId="10281"/>
    <cellStyle name="Calculation 2 2 3 2 3 2 3 2 2" xfId="16543"/>
    <cellStyle name="Calculation 2 2 3 2 3 2 3 2 2 2" xfId="29959"/>
    <cellStyle name="Calculation 2 2 3 2 3 2 3 2 3" xfId="21288"/>
    <cellStyle name="Calculation 2 2 3 2 3 2 3 3" xfId="14271"/>
    <cellStyle name="Calculation 2 2 3 2 3 2 3 3 2" xfId="28593"/>
    <cellStyle name="Calculation 2 2 3 2 3 2 3 4" xfId="19916"/>
    <cellStyle name="Calculation 2 2 3 2 3 2 4" xfId="2794"/>
    <cellStyle name="Calculation 2 2 3 2 3 2 4 2" xfId="22361"/>
    <cellStyle name="Calculation 2 2 3 2 3 2 5" xfId="6158"/>
    <cellStyle name="Calculation 2 2 3 2 3 3" xfId="138"/>
    <cellStyle name="Calculation 2 2 3 2 3 3 2" xfId="7188"/>
    <cellStyle name="Calculation 2 2 3 2 3 3 2 2" xfId="9802"/>
    <cellStyle name="Calculation 2 2 3 2 3 3 2 2 2" xfId="16064"/>
    <cellStyle name="Calculation 2 2 3 2 3 3 2 2 2 2" xfId="29480"/>
    <cellStyle name="Calculation 2 2 3 2 3 3 2 2 3" xfId="20809"/>
    <cellStyle name="Calculation 2 2 3 2 3 3 2 3" xfId="13792"/>
    <cellStyle name="Calculation 2 2 3 2 3 3 2 3 2" xfId="28114"/>
    <cellStyle name="Calculation 2 2 3 2 3 3 2 4" xfId="19437"/>
    <cellStyle name="Calculation 2 2 3 2 3 3 3" xfId="11691"/>
    <cellStyle name="Calculation 2 2 3 2 3 3 3 2" xfId="26013"/>
    <cellStyle name="Calculation 2 2 3 2 3 3 4" xfId="5943"/>
    <cellStyle name="Calculation 2 2 3 2 3 4" xfId="5217"/>
    <cellStyle name="Calculation 2 2 3 2 3 4 2" xfId="11766"/>
    <cellStyle name="Calculation 2 2 3 2 3 4 2 2" xfId="26088"/>
    <cellStyle name="Calculation 2 2 3 2 3 4 3" xfId="17411"/>
    <cellStyle name="Calculation 2 2 3 2 3 5" xfId="6701"/>
    <cellStyle name="Calculation 2 2 3 2 3 5 2" xfId="23660"/>
    <cellStyle name="Calculation 2 2 3 2 3 6" xfId="15456"/>
    <cellStyle name="Calculation 2 2 3 2 4" xfId="139"/>
    <cellStyle name="Calculation 2 2 3 2 4 2" xfId="5096"/>
    <cellStyle name="Calculation 2 2 3 2 4 2 2" xfId="11643"/>
    <cellStyle name="Calculation 2 2 3 2 4 2 2 2" xfId="25965"/>
    <cellStyle name="Calculation 2 2 3 2 4 2 3" xfId="17270"/>
    <cellStyle name="Calculation 2 2 3 2 4 3" xfId="7199"/>
    <cellStyle name="Calculation 2 2 3 2 4 3 2" xfId="9813"/>
    <cellStyle name="Calculation 2 2 3 2 4 3 2 2" xfId="16075"/>
    <cellStyle name="Calculation 2 2 3 2 4 3 2 2 2" xfId="29491"/>
    <cellStyle name="Calculation 2 2 3 2 4 3 2 3" xfId="20820"/>
    <cellStyle name="Calculation 2 2 3 2 4 3 3" xfId="13803"/>
    <cellStyle name="Calculation 2 2 3 2 4 3 3 2" xfId="28125"/>
    <cellStyle name="Calculation 2 2 3 2 4 3 4" xfId="19448"/>
    <cellStyle name="Calculation 2 2 3 2 4 4" xfId="3625"/>
    <cellStyle name="Calculation 2 2 3 2 4 4 2" xfId="22492"/>
    <cellStyle name="Calculation 2 2 3 2 4 5" xfId="6625"/>
    <cellStyle name="Calculation 2 2 3 2 5" xfId="140"/>
    <cellStyle name="Calculation 2 2 3 2 5 2" xfId="4878"/>
    <cellStyle name="Calculation 2 2 3 2 5 2 2" xfId="9508"/>
    <cellStyle name="Calculation 2 2 3 2 5 2 2 2" xfId="15770"/>
    <cellStyle name="Calculation 2 2 3 2 5 2 2 2 2" xfId="29186"/>
    <cellStyle name="Calculation 2 2 3 2 5 2 2 3" xfId="20515"/>
    <cellStyle name="Calculation 2 2 3 2 5 2 3" xfId="11413"/>
    <cellStyle name="Calculation 2 2 3 2 5 2 3 2" xfId="25735"/>
    <cellStyle name="Calculation 2 2 3 2 5 2 4" xfId="15184"/>
    <cellStyle name="Calculation 2 2 3 2 5 3" xfId="12887"/>
    <cellStyle name="Calculation 2 2 3 2 5 3 2" xfId="27209"/>
    <cellStyle name="Calculation 2 2 3 2 5 4" xfId="18532"/>
    <cellStyle name="Calculation 2 2 3 2 6" xfId="5505"/>
    <cellStyle name="Calculation 2 2 3 2 6 2" xfId="12056"/>
    <cellStyle name="Calculation 2 2 3 2 6 2 2" xfId="26378"/>
    <cellStyle name="Calculation 2 2 3 2 6 3" xfId="17701"/>
    <cellStyle name="Calculation 2 2 3 2 7" xfId="3838"/>
    <cellStyle name="Calculation 2 2 3 2 7 2" xfId="22606"/>
    <cellStyle name="Calculation 2 2 3 2 8" xfId="17272"/>
    <cellStyle name="Calculation 2 2 3 3" xfId="141"/>
    <cellStyle name="Calculation 2 2 3 3 2" xfId="142"/>
    <cellStyle name="Calculation 2 2 3 3 2 2" xfId="143"/>
    <cellStyle name="Calculation 2 2 3 3 2 2 2" xfId="6206"/>
    <cellStyle name="Calculation 2 2 3 3 2 2 2 2" xfId="12779"/>
    <cellStyle name="Calculation 2 2 3 3 2 2 2 2 2" xfId="27101"/>
    <cellStyle name="Calculation 2 2 3 3 2 2 2 3" xfId="18424"/>
    <cellStyle name="Calculation 2 2 3 3 2 2 3" xfId="7982"/>
    <cellStyle name="Calculation 2 2 3 3 2 2 3 2" xfId="10596"/>
    <cellStyle name="Calculation 2 2 3 3 2 2 3 2 2" xfId="16858"/>
    <cellStyle name="Calculation 2 2 3 3 2 2 3 2 2 2" xfId="30274"/>
    <cellStyle name="Calculation 2 2 3 3 2 2 3 2 3" xfId="21603"/>
    <cellStyle name="Calculation 2 2 3 3 2 2 3 3" xfId="14586"/>
    <cellStyle name="Calculation 2 2 3 3 2 2 3 3 2" xfId="28908"/>
    <cellStyle name="Calculation 2 2 3 3 2 2 3 4" xfId="20231"/>
    <cellStyle name="Calculation 2 2 3 3 2 2 4" xfId="6641"/>
    <cellStyle name="Calculation 2 2 3 3 2 2 4 2" xfId="23621"/>
    <cellStyle name="Calculation 2 2 3 3 2 2 5" xfId="15302"/>
    <cellStyle name="Calculation 2 2 3 3 2 3" xfId="144"/>
    <cellStyle name="Calculation 2 2 3 3 2 3 2" xfId="7359"/>
    <cellStyle name="Calculation 2 2 3 3 2 3 2 2" xfId="9973"/>
    <cellStyle name="Calculation 2 2 3 3 2 3 2 2 2" xfId="16235"/>
    <cellStyle name="Calculation 2 2 3 3 2 3 2 2 2 2" xfId="29651"/>
    <cellStyle name="Calculation 2 2 3 3 2 3 2 2 3" xfId="20980"/>
    <cellStyle name="Calculation 2 2 3 3 2 3 2 3" xfId="13963"/>
    <cellStyle name="Calculation 2 2 3 3 2 3 2 3 2" xfId="28285"/>
    <cellStyle name="Calculation 2 2 3 3 2 3 2 4" xfId="19608"/>
    <cellStyle name="Calculation 2 2 3 3 2 3 3" xfId="13347"/>
    <cellStyle name="Calculation 2 2 3 3 2 3 3 2" xfId="27669"/>
    <cellStyle name="Calculation 2 2 3 3 2 3 4" xfId="18992"/>
    <cellStyle name="Calculation 2 2 3 3 2 4" xfId="5797"/>
    <cellStyle name="Calculation 2 2 3 3 2 4 2" xfId="12350"/>
    <cellStyle name="Calculation 2 2 3 3 2 4 2 2" xfId="26672"/>
    <cellStyle name="Calculation 2 2 3 3 2 4 3" xfId="17995"/>
    <cellStyle name="Calculation 2 2 3 3 2 5" xfId="3245"/>
    <cellStyle name="Calculation 2 2 3 3 2 5 2" xfId="22442"/>
    <cellStyle name="Calculation 2 2 3 3 2 6" xfId="14803"/>
    <cellStyle name="Calculation 2 2 3 3 3" xfId="145"/>
    <cellStyle name="Calculation 2 2 3 3 3 2" xfId="146"/>
    <cellStyle name="Calculation 2 2 3 3 3 2 2" xfId="6910"/>
    <cellStyle name="Calculation 2 2 3 3 3 2 2 2" xfId="13514"/>
    <cellStyle name="Calculation 2 2 3 3 3 2 2 2 2" xfId="27836"/>
    <cellStyle name="Calculation 2 2 3 3 3 2 2 3" xfId="19159"/>
    <cellStyle name="Calculation 2 2 3 3 3 2 3" xfId="7620"/>
    <cellStyle name="Calculation 2 2 3 3 3 2 3 2" xfId="10234"/>
    <cellStyle name="Calculation 2 2 3 3 3 2 3 2 2" xfId="16496"/>
    <cellStyle name="Calculation 2 2 3 3 3 2 3 2 2 2" xfId="29912"/>
    <cellStyle name="Calculation 2 2 3 3 3 2 3 2 3" xfId="21241"/>
    <cellStyle name="Calculation 2 2 3 3 3 2 3 3" xfId="14224"/>
    <cellStyle name="Calculation 2 2 3 3 3 2 3 3 2" xfId="28546"/>
    <cellStyle name="Calculation 2 2 3 3 3 2 3 4" xfId="19869"/>
    <cellStyle name="Calculation 2 2 3 3 3 2 4" xfId="11396"/>
    <cellStyle name="Calculation 2 2 3 3 3 2 4 2" xfId="25718"/>
    <cellStyle name="Calculation 2 2 3 3 3 2 5" xfId="3804"/>
    <cellStyle name="Calculation 2 2 3 3 3 3" xfId="147"/>
    <cellStyle name="Calculation 2 2 3 3 3 3 2" xfId="7157"/>
    <cellStyle name="Calculation 2 2 3 3 3 3 2 2" xfId="9771"/>
    <cellStyle name="Calculation 2 2 3 3 3 3 2 2 2" xfId="16033"/>
    <cellStyle name="Calculation 2 2 3 3 3 3 2 2 2 2" xfId="29449"/>
    <cellStyle name="Calculation 2 2 3 3 3 3 2 2 3" xfId="20778"/>
    <cellStyle name="Calculation 2 2 3 3 3 3 2 3" xfId="13761"/>
    <cellStyle name="Calculation 2 2 3 3 3 3 2 3 2" xfId="28083"/>
    <cellStyle name="Calculation 2 2 3 3 3 3 2 4" xfId="19406"/>
    <cellStyle name="Calculation 2 2 3 3 3 3 3" xfId="12549"/>
    <cellStyle name="Calculation 2 2 3 3 3 3 3 2" xfId="26871"/>
    <cellStyle name="Calculation 2 2 3 3 3 3 4" xfId="18194"/>
    <cellStyle name="Calculation 2 2 3 3 3 4" xfId="3282"/>
    <cellStyle name="Calculation 2 2 3 3 3 4 2" xfId="3764"/>
    <cellStyle name="Calculation 2 2 3 3 3 4 2 2" xfId="22569"/>
    <cellStyle name="Calculation 2 2 3 3 3 4 3" xfId="6482"/>
    <cellStyle name="Calculation 2 2 3 3 3 5" xfId="3251"/>
    <cellStyle name="Calculation 2 2 3 3 3 5 2" xfId="22445"/>
    <cellStyle name="Calculation 2 2 3 3 3 6" xfId="4442"/>
    <cellStyle name="Calculation 2 2 3 3 4" xfId="148"/>
    <cellStyle name="Calculation 2 2 3 3 4 2" xfId="5093"/>
    <cellStyle name="Calculation 2 2 3 3 4 2 2" xfId="11640"/>
    <cellStyle name="Calculation 2 2 3 3 4 2 2 2" xfId="25962"/>
    <cellStyle name="Calculation 2 2 3 3 4 2 3" xfId="17068"/>
    <cellStyle name="Calculation 2 2 3 3 4 3" xfId="7567"/>
    <cellStyle name="Calculation 2 2 3 3 4 3 2" xfId="10181"/>
    <cellStyle name="Calculation 2 2 3 3 4 3 2 2" xfId="16443"/>
    <cellStyle name="Calculation 2 2 3 3 4 3 2 2 2" xfId="29859"/>
    <cellStyle name="Calculation 2 2 3 3 4 3 2 3" xfId="21188"/>
    <cellStyle name="Calculation 2 2 3 3 4 3 3" xfId="14171"/>
    <cellStyle name="Calculation 2 2 3 3 4 3 3 2" xfId="28493"/>
    <cellStyle name="Calculation 2 2 3 3 4 3 4" xfId="19816"/>
    <cellStyle name="Calculation 2 2 3 3 4 4" xfId="4762"/>
    <cellStyle name="Calculation 2 2 3 3 4 4 2" xfId="23175"/>
    <cellStyle name="Calculation 2 2 3 3 4 5" xfId="17000"/>
    <cellStyle name="Calculation 2 2 3 3 5" xfId="149"/>
    <cellStyle name="Calculation 2 2 3 3 5 2" xfId="4247"/>
    <cellStyle name="Calculation 2 2 3 3 5 2 2" xfId="9432"/>
    <cellStyle name="Calculation 2 2 3 3 5 2 2 2" xfId="15694"/>
    <cellStyle name="Calculation 2 2 3 3 5 2 2 2 2" xfId="29110"/>
    <cellStyle name="Calculation 2 2 3 3 5 2 2 3" xfId="20439"/>
    <cellStyle name="Calculation 2 2 3 3 5 2 3" xfId="4384"/>
    <cellStyle name="Calculation 2 2 3 3 5 2 3 2" xfId="22918"/>
    <cellStyle name="Calculation 2 2 3 3 5 2 4" xfId="15351"/>
    <cellStyle name="Calculation 2 2 3 3 5 3" xfId="12923"/>
    <cellStyle name="Calculation 2 2 3 3 5 3 2" xfId="27245"/>
    <cellStyle name="Calculation 2 2 3 3 5 4" xfId="18568"/>
    <cellStyle name="Calculation 2 2 3 3 6" xfId="5547"/>
    <cellStyle name="Calculation 2 2 3 3 6 2" xfId="12098"/>
    <cellStyle name="Calculation 2 2 3 3 6 2 2" xfId="26420"/>
    <cellStyle name="Calculation 2 2 3 3 6 3" xfId="17743"/>
    <cellStyle name="Calculation 2 2 3 3 7" xfId="4386"/>
    <cellStyle name="Calculation 2 2 3 3 7 2" xfId="22920"/>
    <cellStyle name="Calculation 2 2 3 3 8" xfId="6241"/>
    <cellStyle name="Calculation 2 2 3 4" xfId="150"/>
    <cellStyle name="Calculation 2 2 3 4 2" xfId="151"/>
    <cellStyle name="Calculation 2 2 3 4 2 2" xfId="152"/>
    <cellStyle name="Calculation 2 2 3 4 2 2 2" xfId="6880"/>
    <cellStyle name="Calculation 2 2 3 4 2 2 2 2" xfId="13484"/>
    <cellStyle name="Calculation 2 2 3 4 2 2 2 2 2" xfId="27806"/>
    <cellStyle name="Calculation 2 2 3 4 2 2 2 3" xfId="19129"/>
    <cellStyle name="Calculation 2 2 3 4 2 2 3" xfId="5292"/>
    <cellStyle name="Calculation 2 2 3 4 2 2 3 2" xfId="9601"/>
    <cellStyle name="Calculation 2 2 3 4 2 2 3 2 2" xfId="15863"/>
    <cellStyle name="Calculation 2 2 3 4 2 2 3 2 2 2" xfId="29279"/>
    <cellStyle name="Calculation 2 2 3 4 2 2 3 2 3" xfId="20608"/>
    <cellStyle name="Calculation 2 2 3 4 2 2 3 3" xfId="11842"/>
    <cellStyle name="Calculation 2 2 3 4 2 2 3 3 2" xfId="26164"/>
    <cellStyle name="Calculation 2 2 3 4 2 2 3 4" xfId="17487"/>
    <cellStyle name="Calculation 2 2 3 4 2 2 4" xfId="11353"/>
    <cellStyle name="Calculation 2 2 3 4 2 2 4 2" xfId="25675"/>
    <cellStyle name="Calculation 2 2 3 4 2 2 5" xfId="17145"/>
    <cellStyle name="Calculation 2 2 3 4 2 3" xfId="153"/>
    <cellStyle name="Calculation 2 2 3 4 2 3 2" xfId="7362"/>
    <cellStyle name="Calculation 2 2 3 4 2 3 2 2" xfId="9976"/>
    <cellStyle name="Calculation 2 2 3 4 2 3 2 2 2" xfId="16238"/>
    <cellStyle name="Calculation 2 2 3 4 2 3 2 2 2 2" xfId="29654"/>
    <cellStyle name="Calculation 2 2 3 4 2 3 2 2 3" xfId="20983"/>
    <cellStyle name="Calculation 2 2 3 4 2 3 2 3" xfId="13966"/>
    <cellStyle name="Calculation 2 2 3 4 2 3 2 3 2" xfId="28288"/>
    <cellStyle name="Calculation 2 2 3 4 2 3 2 4" xfId="19611"/>
    <cellStyle name="Calculation 2 2 3 4 2 3 3" xfId="13213"/>
    <cellStyle name="Calculation 2 2 3 4 2 3 3 2" xfId="27535"/>
    <cellStyle name="Calculation 2 2 3 4 2 3 4" xfId="18858"/>
    <cellStyle name="Calculation 2 2 3 4 2 4" xfId="5652"/>
    <cellStyle name="Calculation 2 2 3 4 2 4 2" xfId="12205"/>
    <cellStyle name="Calculation 2 2 3 4 2 4 2 2" xfId="26527"/>
    <cellStyle name="Calculation 2 2 3 4 2 4 3" xfId="17850"/>
    <cellStyle name="Calculation 2 2 3 4 2 5" xfId="4215"/>
    <cellStyle name="Calculation 2 2 3 4 2 5 2" xfId="22827"/>
    <cellStyle name="Calculation 2 2 3 4 2 6" xfId="15071"/>
    <cellStyle name="Calculation 2 2 3 4 3" xfId="154"/>
    <cellStyle name="Calculation 2 2 3 4 3 2" xfId="155"/>
    <cellStyle name="Calculation 2 2 3 4 3 2 2" xfId="6829"/>
    <cellStyle name="Calculation 2 2 3 4 3 2 2 2" xfId="13433"/>
    <cellStyle name="Calculation 2 2 3 4 3 2 2 2 2" xfId="27755"/>
    <cellStyle name="Calculation 2 2 3 4 3 2 2 3" xfId="19078"/>
    <cellStyle name="Calculation 2 2 3 4 3 2 3" xfId="7377"/>
    <cellStyle name="Calculation 2 2 3 4 3 2 3 2" xfId="9991"/>
    <cellStyle name="Calculation 2 2 3 4 3 2 3 2 2" xfId="16253"/>
    <cellStyle name="Calculation 2 2 3 4 3 2 3 2 2 2" xfId="29669"/>
    <cellStyle name="Calculation 2 2 3 4 3 2 3 2 3" xfId="20998"/>
    <cellStyle name="Calculation 2 2 3 4 3 2 3 3" xfId="13981"/>
    <cellStyle name="Calculation 2 2 3 4 3 2 3 3 2" xfId="28303"/>
    <cellStyle name="Calculation 2 2 3 4 3 2 3 4" xfId="19626"/>
    <cellStyle name="Calculation 2 2 3 4 3 2 4" xfId="2822"/>
    <cellStyle name="Calculation 2 2 3 4 3 2 4 2" xfId="22385"/>
    <cellStyle name="Calculation 2 2 3 4 3 2 5" xfId="15499"/>
    <cellStyle name="Calculation 2 2 3 4 3 3" xfId="156"/>
    <cellStyle name="Calculation 2 2 3 4 3 3 2" xfId="7653"/>
    <cellStyle name="Calculation 2 2 3 4 3 3 2 2" xfId="10267"/>
    <cellStyle name="Calculation 2 2 3 4 3 3 2 2 2" xfId="16529"/>
    <cellStyle name="Calculation 2 2 3 4 3 3 2 2 2 2" xfId="29945"/>
    <cellStyle name="Calculation 2 2 3 4 3 3 2 2 3" xfId="21274"/>
    <cellStyle name="Calculation 2 2 3 4 3 3 2 3" xfId="14257"/>
    <cellStyle name="Calculation 2 2 3 4 3 3 2 3 2" xfId="28579"/>
    <cellStyle name="Calculation 2 2 3 4 3 3 2 4" xfId="19902"/>
    <cellStyle name="Calculation 2 2 3 4 3 3 3" xfId="12772"/>
    <cellStyle name="Calculation 2 2 3 4 3 3 3 2" xfId="27094"/>
    <cellStyle name="Calculation 2 2 3 4 3 3 4" xfId="18417"/>
    <cellStyle name="Calculation 2 2 3 4 3 4" xfId="5161"/>
    <cellStyle name="Calculation 2 2 3 4 3 4 2" xfId="11710"/>
    <cellStyle name="Calculation 2 2 3 4 3 4 2 2" xfId="26032"/>
    <cellStyle name="Calculation 2 2 3 4 3 4 3" xfId="4741"/>
    <cellStyle name="Calculation 2 2 3 4 3 5" xfId="6512"/>
    <cellStyle name="Calculation 2 2 3 4 3 5 2" xfId="23576"/>
    <cellStyle name="Calculation 2 2 3 4 3 6" xfId="14693"/>
    <cellStyle name="Calculation 2 2 3 4 4" xfId="157"/>
    <cellStyle name="Calculation 2 2 3 4 4 2" xfId="6896"/>
    <cellStyle name="Calculation 2 2 3 4 4 2 2" xfId="13500"/>
    <cellStyle name="Calculation 2 2 3 4 4 2 2 2" xfId="27822"/>
    <cellStyle name="Calculation 2 2 3 4 4 2 3" xfId="19145"/>
    <cellStyle name="Calculation 2 2 3 4 4 3" xfId="7844"/>
    <cellStyle name="Calculation 2 2 3 4 4 3 2" xfId="10458"/>
    <cellStyle name="Calculation 2 2 3 4 4 3 2 2" xfId="16720"/>
    <cellStyle name="Calculation 2 2 3 4 4 3 2 2 2" xfId="30136"/>
    <cellStyle name="Calculation 2 2 3 4 4 3 2 3" xfId="21465"/>
    <cellStyle name="Calculation 2 2 3 4 4 3 3" xfId="14448"/>
    <cellStyle name="Calculation 2 2 3 4 4 3 3 2" xfId="28770"/>
    <cellStyle name="Calculation 2 2 3 4 4 3 4" xfId="20093"/>
    <cellStyle name="Calculation 2 2 3 4 4 4" xfId="11375"/>
    <cellStyle name="Calculation 2 2 3 4 4 4 2" xfId="25697"/>
    <cellStyle name="Calculation 2 2 3 4 4 5" xfId="15327"/>
    <cellStyle name="Calculation 2 2 3 4 5" xfId="158"/>
    <cellStyle name="Calculation 2 2 3 4 5 2" xfId="7732"/>
    <cellStyle name="Calculation 2 2 3 4 5 2 2" xfId="10346"/>
    <cellStyle name="Calculation 2 2 3 4 5 2 2 2" xfId="16608"/>
    <cellStyle name="Calculation 2 2 3 4 5 2 2 2 2" xfId="30024"/>
    <cellStyle name="Calculation 2 2 3 4 5 2 2 3" xfId="21353"/>
    <cellStyle name="Calculation 2 2 3 4 5 2 3" xfId="14336"/>
    <cellStyle name="Calculation 2 2 3 4 5 2 3 2" xfId="28658"/>
    <cellStyle name="Calculation 2 2 3 4 5 2 4" xfId="19981"/>
    <cellStyle name="Calculation 2 2 3 4 5 3" xfId="12034"/>
    <cellStyle name="Calculation 2 2 3 4 5 3 2" xfId="26356"/>
    <cellStyle name="Calculation 2 2 3 4 5 4" xfId="17679"/>
    <cellStyle name="Calculation 2 2 3 4 6" xfId="3253"/>
    <cellStyle name="Calculation 2 2 3 4 6 2" xfId="4545"/>
    <cellStyle name="Calculation 2 2 3 4 6 2 2" xfId="23023"/>
    <cellStyle name="Calculation 2 2 3 4 6 3" xfId="17313"/>
    <cellStyle name="Calculation 2 2 3 4 7" xfId="6331"/>
    <cellStyle name="Calculation 2 2 3 4 7 2" xfId="23520"/>
    <cellStyle name="Calculation 2 2 3 4 8" xfId="6286"/>
    <cellStyle name="Calculation 2 2 3 5" xfId="159"/>
    <cellStyle name="Calculation 2 2 3 5 2" xfId="160"/>
    <cellStyle name="Calculation 2 2 3 5 2 2" xfId="161"/>
    <cellStyle name="Calculation 2 2 3 5 2 2 2" xfId="6140"/>
    <cellStyle name="Calculation 2 2 3 5 2 2 2 2" xfId="12710"/>
    <cellStyle name="Calculation 2 2 3 5 2 2 2 2 2" xfId="27032"/>
    <cellStyle name="Calculation 2 2 3 5 2 2 2 3" xfId="18355"/>
    <cellStyle name="Calculation 2 2 3 5 2 2 3" xfId="7648"/>
    <cellStyle name="Calculation 2 2 3 5 2 2 3 2" xfId="10262"/>
    <cellStyle name="Calculation 2 2 3 5 2 2 3 2 2" xfId="16524"/>
    <cellStyle name="Calculation 2 2 3 5 2 2 3 2 2 2" xfId="29940"/>
    <cellStyle name="Calculation 2 2 3 5 2 2 3 2 3" xfId="21269"/>
    <cellStyle name="Calculation 2 2 3 5 2 2 3 3" xfId="14252"/>
    <cellStyle name="Calculation 2 2 3 5 2 2 3 3 2" xfId="28574"/>
    <cellStyle name="Calculation 2 2 3 5 2 2 3 4" xfId="19897"/>
    <cellStyle name="Calculation 2 2 3 5 2 2 4" xfId="6062"/>
    <cellStyle name="Calculation 2 2 3 5 2 2 4 2" xfId="23404"/>
    <cellStyle name="Calculation 2 2 3 5 2 2 5" xfId="15097"/>
    <cellStyle name="Calculation 2 2 3 5 2 3" xfId="162"/>
    <cellStyle name="Calculation 2 2 3 5 2 3 2" xfId="8056"/>
    <cellStyle name="Calculation 2 2 3 5 2 3 2 2" xfId="10670"/>
    <cellStyle name="Calculation 2 2 3 5 2 3 2 2 2" xfId="16932"/>
    <cellStyle name="Calculation 2 2 3 5 2 3 2 2 2 2" xfId="30348"/>
    <cellStyle name="Calculation 2 2 3 5 2 3 2 2 3" xfId="21677"/>
    <cellStyle name="Calculation 2 2 3 5 2 3 2 3" xfId="14660"/>
    <cellStyle name="Calculation 2 2 3 5 2 3 2 3 2" xfId="28982"/>
    <cellStyle name="Calculation 2 2 3 5 2 3 2 4" xfId="20305"/>
    <cellStyle name="Calculation 2 2 3 5 2 3 3" xfId="13406"/>
    <cellStyle name="Calculation 2 2 3 5 2 3 3 2" xfId="27728"/>
    <cellStyle name="Calculation 2 2 3 5 2 3 4" xfId="19051"/>
    <cellStyle name="Calculation 2 2 3 5 2 4" xfId="5874"/>
    <cellStyle name="Calculation 2 2 3 5 2 4 2" xfId="12427"/>
    <cellStyle name="Calculation 2 2 3 5 2 4 2 2" xfId="26749"/>
    <cellStyle name="Calculation 2 2 3 5 2 4 3" xfId="18072"/>
    <cellStyle name="Calculation 2 2 3 5 2 5" xfId="6757"/>
    <cellStyle name="Calculation 2 2 3 5 2 5 2" xfId="23705"/>
    <cellStyle name="Calculation 2 2 3 5 2 6" xfId="15561"/>
    <cellStyle name="Calculation 2 2 3 5 3" xfId="163"/>
    <cellStyle name="Calculation 2 2 3 5 3 2" xfId="6195"/>
    <cellStyle name="Calculation 2 2 3 5 3 2 2" xfId="12768"/>
    <cellStyle name="Calculation 2 2 3 5 3 2 2 2" xfId="27090"/>
    <cellStyle name="Calculation 2 2 3 5 3 2 3" xfId="18413"/>
    <cellStyle name="Calculation 2 2 3 5 3 3" xfId="7953"/>
    <cellStyle name="Calculation 2 2 3 5 3 3 2" xfId="10567"/>
    <cellStyle name="Calculation 2 2 3 5 3 3 2 2" xfId="16829"/>
    <cellStyle name="Calculation 2 2 3 5 3 3 2 2 2" xfId="30245"/>
    <cellStyle name="Calculation 2 2 3 5 3 3 2 3" xfId="21574"/>
    <cellStyle name="Calculation 2 2 3 5 3 3 3" xfId="14557"/>
    <cellStyle name="Calculation 2 2 3 5 3 3 3 2" xfId="28879"/>
    <cellStyle name="Calculation 2 2 3 5 3 3 4" xfId="20202"/>
    <cellStyle name="Calculation 2 2 3 5 3 4" xfId="6072"/>
    <cellStyle name="Calculation 2 2 3 5 3 4 2" xfId="23407"/>
    <cellStyle name="Calculation 2 2 3 5 3 5" xfId="15015"/>
    <cellStyle name="Calculation 2 2 3 5 4" xfId="164"/>
    <cellStyle name="Calculation 2 2 3 5 4 2" xfId="7414"/>
    <cellStyle name="Calculation 2 2 3 5 4 2 2" xfId="10028"/>
    <cellStyle name="Calculation 2 2 3 5 4 2 2 2" xfId="16290"/>
    <cellStyle name="Calculation 2 2 3 5 4 2 2 2 2" xfId="29706"/>
    <cellStyle name="Calculation 2 2 3 5 4 2 2 3" xfId="21035"/>
    <cellStyle name="Calculation 2 2 3 5 4 2 3" xfId="14018"/>
    <cellStyle name="Calculation 2 2 3 5 4 2 3 2" xfId="28340"/>
    <cellStyle name="Calculation 2 2 3 5 4 2 4" xfId="19663"/>
    <cellStyle name="Calculation 2 2 3 5 4 3" xfId="12524"/>
    <cellStyle name="Calculation 2 2 3 5 4 3 2" xfId="26846"/>
    <cellStyle name="Calculation 2 2 3 5 4 4" xfId="18169"/>
    <cellStyle name="Calculation 2 2 3 5 5" xfId="5194"/>
    <cellStyle name="Calculation 2 2 3 5 5 2" xfId="11743"/>
    <cellStyle name="Calculation 2 2 3 5 5 2 2" xfId="26065"/>
    <cellStyle name="Calculation 2 2 3 5 5 3" xfId="4454"/>
    <cellStyle name="Calculation 2 2 3 5 6" xfId="4516"/>
    <cellStyle name="Calculation 2 2 3 5 6 2" xfId="23003"/>
    <cellStyle name="Calculation 2 2 3 5 7" xfId="17237"/>
    <cellStyle name="Calculation 2 2 3 6" xfId="165"/>
    <cellStyle name="Calculation 2 2 3 6 2" xfId="166"/>
    <cellStyle name="Calculation 2 2 3 6 2 2" xfId="6491"/>
    <cellStyle name="Calculation 2 2 3 6 2 2 2" xfId="13076"/>
    <cellStyle name="Calculation 2 2 3 6 2 2 2 2" xfId="27398"/>
    <cellStyle name="Calculation 2 2 3 6 2 2 3" xfId="18721"/>
    <cellStyle name="Calculation 2 2 3 6 2 3" xfId="4346"/>
    <cellStyle name="Calculation 2 2 3 6 2 3 2" xfId="9452"/>
    <cellStyle name="Calculation 2 2 3 6 2 3 2 2" xfId="15714"/>
    <cellStyle name="Calculation 2 2 3 6 2 3 2 2 2" xfId="29130"/>
    <cellStyle name="Calculation 2 2 3 6 2 3 2 3" xfId="20459"/>
    <cellStyle name="Calculation 2 2 3 6 2 3 3" xfId="3968"/>
    <cellStyle name="Calculation 2 2 3 6 2 3 3 2" xfId="22674"/>
    <cellStyle name="Calculation 2 2 3 6 2 3 4" xfId="15228"/>
    <cellStyle name="Calculation 2 2 3 6 2 4" xfId="6011"/>
    <cellStyle name="Calculation 2 2 3 6 2 4 2" xfId="23393"/>
    <cellStyle name="Calculation 2 2 3 6 2 5" xfId="6777"/>
    <cellStyle name="Calculation 2 2 3 6 3" xfId="167"/>
    <cellStyle name="Calculation 2 2 3 6 3 2" xfId="7570"/>
    <cellStyle name="Calculation 2 2 3 6 3 2 2" xfId="10184"/>
    <cellStyle name="Calculation 2 2 3 6 3 2 2 2" xfId="16446"/>
    <cellStyle name="Calculation 2 2 3 6 3 2 2 2 2" xfId="29862"/>
    <cellStyle name="Calculation 2 2 3 6 3 2 2 3" xfId="21191"/>
    <cellStyle name="Calculation 2 2 3 6 3 2 3" xfId="14174"/>
    <cellStyle name="Calculation 2 2 3 6 3 2 3 2" xfId="28496"/>
    <cellStyle name="Calculation 2 2 3 6 3 2 4" xfId="19819"/>
    <cellStyle name="Calculation 2 2 3 6 3 3" xfId="13269"/>
    <cellStyle name="Calculation 2 2 3 6 3 3 2" xfId="27591"/>
    <cellStyle name="Calculation 2 2 3 6 3 4" xfId="18914"/>
    <cellStyle name="Calculation 2 2 3 6 4" xfId="5715"/>
    <cellStyle name="Calculation 2 2 3 6 4 2" xfId="12268"/>
    <cellStyle name="Calculation 2 2 3 6 4 2 2" xfId="26590"/>
    <cellStyle name="Calculation 2 2 3 6 4 3" xfId="17913"/>
    <cellStyle name="Calculation 2 2 3 6 5" xfId="4834"/>
    <cellStyle name="Calculation 2 2 3 6 5 2" xfId="23212"/>
    <cellStyle name="Calculation 2 2 3 6 6" xfId="17051"/>
    <cellStyle name="Calculation 2 2 3 7" xfId="168"/>
    <cellStyle name="Calculation 2 2 3 7 2" xfId="5847"/>
    <cellStyle name="Calculation 2 2 3 7 2 2" xfId="12400"/>
    <cellStyle name="Calculation 2 2 3 7 2 2 2" xfId="26722"/>
    <cellStyle name="Calculation 2 2 3 7 2 3" xfId="18045"/>
    <cellStyle name="Calculation 2 2 3 7 3" xfId="7334"/>
    <cellStyle name="Calculation 2 2 3 7 3 2" xfId="9948"/>
    <cellStyle name="Calculation 2 2 3 7 3 2 2" xfId="16210"/>
    <cellStyle name="Calculation 2 2 3 7 3 2 2 2" xfId="29626"/>
    <cellStyle name="Calculation 2 2 3 7 3 2 3" xfId="20955"/>
    <cellStyle name="Calculation 2 2 3 7 3 3" xfId="13938"/>
    <cellStyle name="Calculation 2 2 3 7 3 3 2" xfId="28260"/>
    <cellStyle name="Calculation 2 2 3 7 3 4" xfId="19583"/>
    <cellStyle name="Calculation 2 2 3 7 4" xfId="3726"/>
    <cellStyle name="Calculation 2 2 3 7 4 2" xfId="22548"/>
    <cellStyle name="Calculation 2 2 3 7 5" xfId="6472"/>
    <cellStyle name="Calculation 2 2 3 8" xfId="169"/>
    <cellStyle name="Calculation 2 2 3 8 2" xfId="7758"/>
    <cellStyle name="Calculation 2 2 3 8 2 2" xfId="10372"/>
    <cellStyle name="Calculation 2 2 3 8 2 2 2" xfId="16634"/>
    <cellStyle name="Calculation 2 2 3 8 2 2 2 2" xfId="30050"/>
    <cellStyle name="Calculation 2 2 3 8 2 2 3" xfId="21379"/>
    <cellStyle name="Calculation 2 2 3 8 2 3" xfId="14362"/>
    <cellStyle name="Calculation 2 2 3 8 2 3 2" xfId="28684"/>
    <cellStyle name="Calculation 2 2 3 8 2 4" xfId="20007"/>
    <cellStyle name="Calculation 2 2 3 8 3" xfId="12746"/>
    <cellStyle name="Calculation 2 2 3 8 3 2" xfId="27068"/>
    <cellStyle name="Calculation 2 2 3 8 4" xfId="18391"/>
    <cellStyle name="Calculation 2 2 3 9" xfId="5377"/>
    <cellStyle name="Calculation 2 2 3 9 2" xfId="11927"/>
    <cellStyle name="Calculation 2 2 3 9 2 2" xfId="26249"/>
    <cellStyle name="Calculation 2 2 3 9 3" xfId="17572"/>
    <cellStyle name="Calculation 2 2 4" xfId="170"/>
    <cellStyle name="Calculation 2 2 4 2" xfId="171"/>
    <cellStyle name="Calculation 2 2 4 2 2" xfId="172"/>
    <cellStyle name="Calculation 2 2 4 2 2 2" xfId="6937"/>
    <cellStyle name="Calculation 2 2 4 2 2 2 2" xfId="13541"/>
    <cellStyle name="Calculation 2 2 4 2 2 2 2 2" xfId="27863"/>
    <cellStyle name="Calculation 2 2 4 2 2 2 3" xfId="19186"/>
    <cellStyle name="Calculation 2 2 4 2 2 3" xfId="5279"/>
    <cellStyle name="Calculation 2 2 4 2 2 3 2" xfId="9588"/>
    <cellStyle name="Calculation 2 2 4 2 2 3 2 2" xfId="15850"/>
    <cellStyle name="Calculation 2 2 4 2 2 3 2 2 2" xfId="29266"/>
    <cellStyle name="Calculation 2 2 4 2 2 3 2 3" xfId="20595"/>
    <cellStyle name="Calculation 2 2 4 2 2 3 3" xfId="11829"/>
    <cellStyle name="Calculation 2 2 4 2 2 3 3 2" xfId="26151"/>
    <cellStyle name="Calculation 2 2 4 2 2 3 4" xfId="17474"/>
    <cellStyle name="Calculation 2 2 4 2 2 4" xfId="11430"/>
    <cellStyle name="Calculation 2 2 4 2 2 4 2" xfId="25752"/>
    <cellStyle name="Calculation 2 2 4 2 2 5" xfId="16982"/>
    <cellStyle name="Calculation 2 2 4 2 3" xfId="173"/>
    <cellStyle name="Calculation 2 2 4 2 3 2" xfId="7273"/>
    <cellStyle name="Calculation 2 2 4 2 3 2 2" xfId="9887"/>
    <cellStyle name="Calculation 2 2 4 2 3 2 2 2" xfId="16149"/>
    <cellStyle name="Calculation 2 2 4 2 3 2 2 2 2" xfId="29565"/>
    <cellStyle name="Calculation 2 2 4 2 3 2 2 3" xfId="20894"/>
    <cellStyle name="Calculation 2 2 4 2 3 2 3" xfId="13877"/>
    <cellStyle name="Calculation 2 2 4 2 3 2 3 2" xfId="28199"/>
    <cellStyle name="Calculation 2 2 4 2 3 2 4" xfId="19522"/>
    <cellStyle name="Calculation 2 2 4 2 3 3" xfId="13202"/>
    <cellStyle name="Calculation 2 2 4 2 3 3 2" xfId="27524"/>
    <cellStyle name="Calculation 2 2 4 2 3 4" xfId="18847"/>
    <cellStyle name="Calculation 2 2 4 2 4" xfId="5641"/>
    <cellStyle name="Calculation 2 2 4 2 4 2" xfId="12194"/>
    <cellStyle name="Calculation 2 2 4 2 4 2 2" xfId="26516"/>
    <cellStyle name="Calculation 2 2 4 2 4 3" xfId="17839"/>
    <cellStyle name="Calculation 2 2 4 2 5" xfId="4478"/>
    <cellStyle name="Calculation 2 2 4 2 5 2" xfId="22976"/>
    <cellStyle name="Calculation 2 2 4 2 6" xfId="14750"/>
    <cellStyle name="Calculation 2 2 4 3" xfId="174"/>
    <cellStyle name="Calculation 2 2 4 3 2" xfId="175"/>
    <cellStyle name="Calculation 2 2 4 3 2 2" xfId="6137"/>
    <cellStyle name="Calculation 2 2 4 3 2 2 2" xfId="12707"/>
    <cellStyle name="Calculation 2 2 4 3 2 2 2 2" xfId="27029"/>
    <cellStyle name="Calculation 2 2 4 3 2 2 3" xfId="18352"/>
    <cellStyle name="Calculation 2 2 4 3 2 3" xfId="4859"/>
    <cellStyle name="Calculation 2 2 4 3 2 3 2" xfId="9506"/>
    <cellStyle name="Calculation 2 2 4 3 2 3 2 2" xfId="15768"/>
    <cellStyle name="Calculation 2 2 4 3 2 3 2 2 2" xfId="29184"/>
    <cellStyle name="Calculation 2 2 4 3 2 3 2 3" xfId="20513"/>
    <cellStyle name="Calculation 2 2 4 3 2 3 3" xfId="11393"/>
    <cellStyle name="Calculation 2 2 4 3 2 3 3 2" xfId="25715"/>
    <cellStyle name="Calculation 2 2 4 3 2 3 4" xfId="15358"/>
    <cellStyle name="Calculation 2 2 4 3 2 4" xfId="3248"/>
    <cellStyle name="Calculation 2 2 4 3 2 4 2" xfId="22443"/>
    <cellStyle name="Calculation 2 2 4 3 2 5" xfId="14896"/>
    <cellStyle name="Calculation 2 2 4 3 3" xfId="176"/>
    <cellStyle name="Calculation 2 2 4 3 3 2" xfId="7842"/>
    <cellStyle name="Calculation 2 2 4 3 3 2 2" xfId="10456"/>
    <cellStyle name="Calculation 2 2 4 3 3 2 2 2" xfId="16718"/>
    <cellStyle name="Calculation 2 2 4 3 3 2 2 2 2" xfId="30134"/>
    <cellStyle name="Calculation 2 2 4 3 3 2 2 3" xfId="21463"/>
    <cellStyle name="Calculation 2 2 4 3 3 2 3" xfId="14446"/>
    <cellStyle name="Calculation 2 2 4 3 3 2 3 2" xfId="28768"/>
    <cellStyle name="Calculation 2 2 4 3 3 2 4" xfId="20091"/>
    <cellStyle name="Calculation 2 2 4 3 3 3" xfId="12626"/>
    <cellStyle name="Calculation 2 2 4 3 3 3 2" xfId="26948"/>
    <cellStyle name="Calculation 2 2 4 3 3 4" xfId="18271"/>
    <cellStyle name="Calculation 2 2 4 3 4" xfId="3776"/>
    <cellStyle name="Calculation 2 2 4 3 4 2" xfId="6769"/>
    <cellStyle name="Calculation 2 2 4 3 4 2 2" xfId="23715"/>
    <cellStyle name="Calculation 2 2 4 3 4 3" xfId="3140"/>
    <cellStyle name="Calculation 2 2 4 3 5" xfId="3643"/>
    <cellStyle name="Calculation 2 2 4 3 5 2" xfId="22502"/>
    <cellStyle name="Calculation 2 2 4 3 6" xfId="17089"/>
    <cellStyle name="Calculation 2 2 4 4" xfId="177"/>
    <cellStyle name="Calculation 2 2 4 4 2" xfId="4822"/>
    <cellStyle name="Calculation 2 2 4 4 2 2" xfId="11354"/>
    <cellStyle name="Calculation 2 2 4 4 2 2 2" xfId="25676"/>
    <cellStyle name="Calculation 2 2 4 4 2 3" xfId="14876"/>
    <cellStyle name="Calculation 2 2 4 4 3" xfId="7095"/>
    <cellStyle name="Calculation 2 2 4 4 3 2" xfId="9709"/>
    <cellStyle name="Calculation 2 2 4 4 3 2 2" xfId="15971"/>
    <cellStyle name="Calculation 2 2 4 4 3 2 2 2" xfId="29387"/>
    <cellStyle name="Calculation 2 2 4 4 3 2 3" xfId="20716"/>
    <cellStyle name="Calculation 2 2 4 4 3 3" xfId="13699"/>
    <cellStyle name="Calculation 2 2 4 4 3 3 2" xfId="28021"/>
    <cellStyle name="Calculation 2 2 4 4 3 4" xfId="19344"/>
    <cellStyle name="Calculation 2 2 4 4 4" xfId="4295"/>
    <cellStyle name="Calculation 2 2 4 4 4 2" xfId="22877"/>
    <cellStyle name="Calculation 2 2 4 4 5" xfId="15008"/>
    <cellStyle name="Calculation 2 2 4 5" xfId="178"/>
    <cellStyle name="Calculation 2 2 4 5 2" xfId="7639"/>
    <cellStyle name="Calculation 2 2 4 5 2 2" xfId="10253"/>
    <cellStyle name="Calculation 2 2 4 5 2 2 2" xfId="16515"/>
    <cellStyle name="Calculation 2 2 4 5 2 2 2 2" xfId="29931"/>
    <cellStyle name="Calculation 2 2 4 5 2 2 3" xfId="21260"/>
    <cellStyle name="Calculation 2 2 4 5 2 3" xfId="14243"/>
    <cellStyle name="Calculation 2 2 4 5 2 3 2" xfId="28565"/>
    <cellStyle name="Calculation 2 2 4 5 2 4" xfId="19888"/>
    <cellStyle name="Calculation 2 2 4 5 3" xfId="12530"/>
    <cellStyle name="Calculation 2 2 4 5 3 2" xfId="26852"/>
    <cellStyle name="Calculation 2 2 4 5 4" xfId="18175"/>
    <cellStyle name="Calculation 2 2 4 6" xfId="5100"/>
    <cellStyle name="Calculation 2 2 4 6 2" xfId="11647"/>
    <cellStyle name="Calculation 2 2 4 6 2 2" xfId="25969"/>
    <cellStyle name="Calculation 2 2 4 6 3" xfId="17188"/>
    <cellStyle name="Calculation 2 2 4 7" xfId="6073"/>
    <cellStyle name="Calculation 2 2 4 7 2" xfId="23408"/>
    <cellStyle name="Calculation 2 2 4 8" xfId="4785"/>
    <cellStyle name="Calculation 2 2 5" xfId="179"/>
    <cellStyle name="Calculation 2 2 5 2" xfId="180"/>
    <cellStyle name="Calculation 2 2 5 2 2" xfId="181"/>
    <cellStyle name="Calculation 2 2 5 2 2 2" xfId="6827"/>
    <cellStyle name="Calculation 2 2 5 2 2 2 2" xfId="13431"/>
    <cellStyle name="Calculation 2 2 5 2 2 2 2 2" xfId="27753"/>
    <cellStyle name="Calculation 2 2 5 2 2 2 3" xfId="19076"/>
    <cellStyle name="Calculation 2 2 5 2 2 3" xfId="7894"/>
    <cellStyle name="Calculation 2 2 5 2 2 3 2" xfId="10508"/>
    <cellStyle name="Calculation 2 2 5 2 2 3 2 2" xfId="16770"/>
    <cellStyle name="Calculation 2 2 5 2 2 3 2 2 2" xfId="30186"/>
    <cellStyle name="Calculation 2 2 5 2 2 3 2 3" xfId="21515"/>
    <cellStyle name="Calculation 2 2 5 2 2 3 3" xfId="14498"/>
    <cellStyle name="Calculation 2 2 5 2 2 3 3 2" xfId="28820"/>
    <cellStyle name="Calculation 2 2 5 2 2 3 4" xfId="20143"/>
    <cellStyle name="Calculation 2 2 5 2 2 4" xfId="2781"/>
    <cellStyle name="Calculation 2 2 5 2 2 4 2" xfId="22350"/>
    <cellStyle name="Calculation 2 2 5 2 2 5" xfId="4154"/>
    <cellStyle name="Calculation 2 2 5 2 3" xfId="182"/>
    <cellStyle name="Calculation 2 2 5 2 3 2" xfId="3622"/>
    <cellStyle name="Calculation 2 2 5 2 3 2 2" xfId="9346"/>
    <cellStyle name="Calculation 2 2 5 2 3 2 2 2" xfId="15608"/>
    <cellStyle name="Calculation 2 2 5 2 3 2 2 2 2" xfId="29024"/>
    <cellStyle name="Calculation 2 2 5 2 3 2 2 3" xfId="20353"/>
    <cellStyle name="Calculation 2 2 5 2 3 2 3" xfId="4460"/>
    <cellStyle name="Calculation 2 2 5 2 3 2 3 2" xfId="22963"/>
    <cellStyle name="Calculation 2 2 5 2 3 2 4" xfId="4281"/>
    <cellStyle name="Calculation 2 2 5 2 3 3" xfId="13288"/>
    <cellStyle name="Calculation 2 2 5 2 3 3 2" xfId="27610"/>
    <cellStyle name="Calculation 2 2 5 2 3 4" xfId="18933"/>
    <cellStyle name="Calculation 2 2 5 2 4" xfId="5738"/>
    <cellStyle name="Calculation 2 2 5 2 4 2" xfId="12291"/>
    <cellStyle name="Calculation 2 2 5 2 4 2 2" xfId="26613"/>
    <cellStyle name="Calculation 2 2 5 2 4 3" xfId="17936"/>
    <cellStyle name="Calculation 2 2 5 2 5" xfId="5833"/>
    <cellStyle name="Calculation 2 2 5 2 5 2" xfId="23365"/>
    <cellStyle name="Calculation 2 2 5 2 6" xfId="17030"/>
    <cellStyle name="Calculation 2 2 5 3" xfId="183"/>
    <cellStyle name="Calculation 2 2 5 3 2" xfId="184"/>
    <cellStyle name="Calculation 2 2 5 3 2 2" xfId="7017"/>
    <cellStyle name="Calculation 2 2 5 3 2 2 2" xfId="13621"/>
    <cellStyle name="Calculation 2 2 5 3 2 2 2 2" xfId="27943"/>
    <cellStyle name="Calculation 2 2 5 3 2 2 3" xfId="19266"/>
    <cellStyle name="Calculation 2 2 5 3 2 3" xfId="7628"/>
    <cellStyle name="Calculation 2 2 5 3 2 3 2" xfId="10242"/>
    <cellStyle name="Calculation 2 2 5 3 2 3 2 2" xfId="16504"/>
    <cellStyle name="Calculation 2 2 5 3 2 3 2 2 2" xfId="29920"/>
    <cellStyle name="Calculation 2 2 5 3 2 3 2 3" xfId="21249"/>
    <cellStyle name="Calculation 2 2 5 3 2 3 3" xfId="14232"/>
    <cellStyle name="Calculation 2 2 5 3 2 3 3 2" xfId="28554"/>
    <cellStyle name="Calculation 2 2 5 3 2 3 4" xfId="19877"/>
    <cellStyle name="Calculation 2 2 5 3 2 4" xfId="11546"/>
    <cellStyle name="Calculation 2 2 5 3 2 4 2" xfId="25868"/>
    <cellStyle name="Calculation 2 2 5 3 2 5" xfId="14787"/>
    <cellStyle name="Calculation 2 2 5 3 3" xfId="185"/>
    <cellStyle name="Calculation 2 2 5 3 3 2" xfId="4353"/>
    <cellStyle name="Calculation 2 2 5 3 3 2 2" xfId="9455"/>
    <cellStyle name="Calculation 2 2 5 3 3 2 2 2" xfId="15717"/>
    <cellStyle name="Calculation 2 2 5 3 3 2 2 2 2" xfId="29133"/>
    <cellStyle name="Calculation 2 2 5 3 3 2 2 3" xfId="20462"/>
    <cellStyle name="Calculation 2 2 5 3 3 2 3" xfId="6821"/>
    <cellStyle name="Calculation 2 2 5 3 3 2 3 2" xfId="23756"/>
    <cellStyle name="Calculation 2 2 5 3 3 2 4" xfId="4734"/>
    <cellStyle name="Calculation 2 2 5 3 3 3" xfId="12386"/>
    <cellStyle name="Calculation 2 2 5 3 3 3 2" xfId="26708"/>
    <cellStyle name="Calculation 2 2 5 3 3 4" xfId="18031"/>
    <cellStyle name="Calculation 2 2 5 3 4" xfId="5237"/>
    <cellStyle name="Calculation 2 2 5 3 4 2" xfId="11787"/>
    <cellStyle name="Calculation 2 2 5 3 4 2 2" xfId="26109"/>
    <cellStyle name="Calculation 2 2 5 3 4 3" xfId="17432"/>
    <cellStyle name="Calculation 2 2 5 3 5" xfId="3695"/>
    <cellStyle name="Calculation 2 2 5 3 5 2" xfId="22534"/>
    <cellStyle name="Calculation 2 2 5 3 6" xfId="15151"/>
    <cellStyle name="Calculation 2 2 5 4" xfId="186"/>
    <cellStyle name="Calculation 2 2 5 4 2" xfId="6014"/>
    <cellStyle name="Calculation 2 2 5 4 2 2" xfId="12574"/>
    <cellStyle name="Calculation 2 2 5 4 2 2 2" xfId="26896"/>
    <cellStyle name="Calculation 2 2 5 4 2 3" xfId="18219"/>
    <cellStyle name="Calculation 2 2 5 4 3" xfId="7121"/>
    <cellStyle name="Calculation 2 2 5 4 3 2" xfId="9735"/>
    <cellStyle name="Calculation 2 2 5 4 3 2 2" xfId="15997"/>
    <cellStyle name="Calculation 2 2 5 4 3 2 2 2" xfId="29413"/>
    <cellStyle name="Calculation 2 2 5 4 3 2 3" xfId="20742"/>
    <cellStyle name="Calculation 2 2 5 4 3 3" xfId="13725"/>
    <cellStyle name="Calculation 2 2 5 4 3 3 2" xfId="28047"/>
    <cellStyle name="Calculation 2 2 5 4 3 4" xfId="19370"/>
    <cellStyle name="Calculation 2 2 5 4 4" xfId="5813"/>
    <cellStyle name="Calculation 2 2 5 4 4 2" xfId="23363"/>
    <cellStyle name="Calculation 2 2 5 4 5" xfId="15417"/>
    <cellStyle name="Calculation 2 2 5 5" xfId="187"/>
    <cellStyle name="Calculation 2 2 5 5 2" xfId="7733"/>
    <cellStyle name="Calculation 2 2 5 5 2 2" xfId="10347"/>
    <cellStyle name="Calculation 2 2 5 5 2 2 2" xfId="16609"/>
    <cellStyle name="Calculation 2 2 5 5 2 2 2 2" xfId="30025"/>
    <cellStyle name="Calculation 2 2 5 5 2 2 3" xfId="21354"/>
    <cellStyle name="Calculation 2 2 5 5 2 3" xfId="14337"/>
    <cellStyle name="Calculation 2 2 5 5 2 3 2" xfId="28659"/>
    <cellStyle name="Calculation 2 2 5 5 2 4" xfId="19982"/>
    <cellStyle name="Calculation 2 2 5 5 3" xfId="12857"/>
    <cellStyle name="Calculation 2 2 5 5 3 2" xfId="27179"/>
    <cellStyle name="Calculation 2 2 5 5 4" xfId="18502"/>
    <cellStyle name="Calculation 2 2 5 6" xfId="5465"/>
    <cellStyle name="Calculation 2 2 5 6 2" xfId="12016"/>
    <cellStyle name="Calculation 2 2 5 6 2 2" xfId="26338"/>
    <cellStyle name="Calculation 2 2 5 6 3" xfId="17661"/>
    <cellStyle name="Calculation 2 2 5 7" xfId="3638"/>
    <cellStyle name="Calculation 2 2 5 7 2" xfId="22498"/>
    <cellStyle name="Calculation 2 2 5 8" xfId="15172"/>
    <cellStyle name="Calculation 2 2 6" xfId="188"/>
    <cellStyle name="Calculation 2 2 6 2" xfId="189"/>
    <cellStyle name="Calculation 2 2 6 2 2" xfId="190"/>
    <cellStyle name="Calculation 2 2 6 2 2 2" xfId="5054"/>
    <cellStyle name="Calculation 2 2 6 2 2 2 2" xfId="11601"/>
    <cellStyle name="Calculation 2 2 6 2 2 2 2 2" xfId="25923"/>
    <cellStyle name="Calculation 2 2 6 2 2 2 3" xfId="14984"/>
    <cellStyle name="Calculation 2 2 6 2 2 3" xfId="4933"/>
    <cellStyle name="Calculation 2 2 6 2 2 3 2" xfId="9519"/>
    <cellStyle name="Calculation 2 2 6 2 2 3 2 2" xfId="15781"/>
    <cellStyle name="Calculation 2 2 6 2 2 3 2 2 2" xfId="29197"/>
    <cellStyle name="Calculation 2 2 6 2 2 3 2 3" xfId="20526"/>
    <cellStyle name="Calculation 2 2 6 2 2 3 3" xfId="11471"/>
    <cellStyle name="Calculation 2 2 6 2 2 3 3 2" xfId="25793"/>
    <cellStyle name="Calculation 2 2 6 2 2 3 4" xfId="3142"/>
    <cellStyle name="Calculation 2 2 6 2 2 4" xfId="4071"/>
    <cellStyle name="Calculation 2 2 6 2 2 4 2" xfId="22743"/>
    <cellStyle name="Calculation 2 2 6 2 2 5" xfId="4608"/>
    <cellStyle name="Calculation 2 2 6 2 3" xfId="191"/>
    <cellStyle name="Calculation 2 2 6 2 3 2" xfId="7277"/>
    <cellStyle name="Calculation 2 2 6 2 3 2 2" xfId="9891"/>
    <cellStyle name="Calculation 2 2 6 2 3 2 2 2" xfId="16153"/>
    <cellStyle name="Calculation 2 2 6 2 3 2 2 2 2" xfId="29569"/>
    <cellStyle name="Calculation 2 2 6 2 3 2 2 3" xfId="20898"/>
    <cellStyle name="Calculation 2 2 6 2 3 2 3" xfId="13881"/>
    <cellStyle name="Calculation 2 2 6 2 3 2 3 2" xfId="28203"/>
    <cellStyle name="Calculation 2 2 6 2 3 2 4" xfId="19526"/>
    <cellStyle name="Calculation 2 2 6 2 3 3" xfId="13325"/>
    <cellStyle name="Calculation 2 2 6 2 3 3 2" xfId="27647"/>
    <cellStyle name="Calculation 2 2 6 2 3 4" xfId="18970"/>
    <cellStyle name="Calculation 2 2 6 2 4" xfId="5775"/>
    <cellStyle name="Calculation 2 2 6 2 4 2" xfId="12328"/>
    <cellStyle name="Calculation 2 2 6 2 4 2 2" xfId="26650"/>
    <cellStyle name="Calculation 2 2 6 2 4 3" xfId="17973"/>
    <cellStyle name="Calculation 2 2 6 2 5" xfId="3280"/>
    <cellStyle name="Calculation 2 2 6 2 5 2" xfId="22459"/>
    <cellStyle name="Calculation 2 2 6 2 6" xfId="6596"/>
    <cellStyle name="Calculation 2 2 6 3" xfId="192"/>
    <cellStyle name="Calculation 2 2 6 3 2" xfId="193"/>
    <cellStyle name="Calculation 2 2 6 3 2 2" xfId="6950"/>
    <cellStyle name="Calculation 2 2 6 3 2 2 2" xfId="13554"/>
    <cellStyle name="Calculation 2 2 6 3 2 2 2 2" xfId="27876"/>
    <cellStyle name="Calculation 2 2 6 3 2 2 3" xfId="19199"/>
    <cellStyle name="Calculation 2 2 6 3 2 3" xfId="7065"/>
    <cellStyle name="Calculation 2 2 6 3 2 3 2" xfId="9679"/>
    <cellStyle name="Calculation 2 2 6 3 2 3 2 2" xfId="15941"/>
    <cellStyle name="Calculation 2 2 6 3 2 3 2 2 2" xfId="29357"/>
    <cellStyle name="Calculation 2 2 6 3 2 3 2 3" xfId="20686"/>
    <cellStyle name="Calculation 2 2 6 3 2 3 3" xfId="13669"/>
    <cellStyle name="Calculation 2 2 6 3 2 3 3 2" xfId="27991"/>
    <cellStyle name="Calculation 2 2 6 3 2 3 4" xfId="19314"/>
    <cellStyle name="Calculation 2 2 6 3 2 4" xfId="11446"/>
    <cellStyle name="Calculation 2 2 6 3 2 4 2" xfId="25768"/>
    <cellStyle name="Calculation 2 2 6 3 2 5" xfId="6630"/>
    <cellStyle name="Calculation 2 2 6 3 3" xfId="194"/>
    <cellStyle name="Calculation 2 2 6 3 3 2" xfId="7181"/>
    <cellStyle name="Calculation 2 2 6 3 3 2 2" xfId="9795"/>
    <cellStyle name="Calculation 2 2 6 3 3 2 2 2" xfId="16057"/>
    <cellStyle name="Calculation 2 2 6 3 3 2 2 2 2" xfId="29473"/>
    <cellStyle name="Calculation 2 2 6 3 3 2 2 3" xfId="20802"/>
    <cellStyle name="Calculation 2 2 6 3 3 2 3" xfId="13785"/>
    <cellStyle name="Calculation 2 2 6 3 3 2 3 2" xfId="28107"/>
    <cellStyle name="Calculation 2 2 6 3 3 2 4" xfId="19430"/>
    <cellStyle name="Calculation 2 2 6 3 3 3" xfId="13420"/>
    <cellStyle name="Calculation 2 2 6 3 3 3 2" xfId="27742"/>
    <cellStyle name="Calculation 2 2 6 3 3 4" xfId="19065"/>
    <cellStyle name="Calculation 2 2 6 3 4" xfId="5893"/>
    <cellStyle name="Calculation 2 2 6 3 4 2" xfId="12446"/>
    <cellStyle name="Calculation 2 2 6 3 4 2 2" xfId="26768"/>
    <cellStyle name="Calculation 2 2 6 3 4 3" xfId="18091"/>
    <cellStyle name="Calculation 2 2 6 3 5" xfId="3634"/>
    <cellStyle name="Calculation 2 2 6 3 5 2" xfId="22497"/>
    <cellStyle name="Calculation 2 2 6 3 6" xfId="15367"/>
    <cellStyle name="Calculation 2 2 6 4" xfId="195"/>
    <cellStyle name="Calculation 2 2 6 4 2" xfId="5228"/>
    <cellStyle name="Calculation 2 2 6 4 2 2" xfId="11778"/>
    <cellStyle name="Calculation 2 2 6 4 2 2 2" xfId="26100"/>
    <cellStyle name="Calculation 2 2 6 4 2 3" xfId="17423"/>
    <cellStyle name="Calculation 2 2 6 4 3" xfId="7662"/>
    <cellStyle name="Calculation 2 2 6 4 3 2" xfId="10276"/>
    <cellStyle name="Calculation 2 2 6 4 3 2 2" xfId="16538"/>
    <cellStyle name="Calculation 2 2 6 4 3 2 2 2" xfId="29954"/>
    <cellStyle name="Calculation 2 2 6 4 3 2 3" xfId="21283"/>
    <cellStyle name="Calculation 2 2 6 4 3 3" xfId="14266"/>
    <cellStyle name="Calculation 2 2 6 4 3 3 2" xfId="28588"/>
    <cellStyle name="Calculation 2 2 6 4 3 4" xfId="19911"/>
    <cellStyle name="Calculation 2 2 6 4 4" xfId="6170"/>
    <cellStyle name="Calculation 2 2 6 4 4 2" xfId="23439"/>
    <cellStyle name="Calculation 2 2 6 4 5" xfId="15474"/>
    <cellStyle name="Calculation 2 2 6 5" xfId="196"/>
    <cellStyle name="Calculation 2 2 6 5 2" xfId="4870"/>
    <cellStyle name="Calculation 2 2 6 5 2 2" xfId="9507"/>
    <cellStyle name="Calculation 2 2 6 5 2 2 2" xfId="15769"/>
    <cellStyle name="Calculation 2 2 6 5 2 2 2 2" xfId="29185"/>
    <cellStyle name="Calculation 2 2 6 5 2 2 3" xfId="20514"/>
    <cellStyle name="Calculation 2 2 6 5 2 3" xfId="11404"/>
    <cellStyle name="Calculation 2 2 6 5 2 3 2" xfId="25726"/>
    <cellStyle name="Calculation 2 2 6 5 2 4" xfId="4306"/>
    <cellStyle name="Calculation 2 2 6 5 3" xfId="12901"/>
    <cellStyle name="Calculation 2 2 6 5 3 2" xfId="27223"/>
    <cellStyle name="Calculation 2 2 6 5 4" xfId="18546"/>
    <cellStyle name="Calculation 2 2 6 6" xfId="5524"/>
    <cellStyle name="Calculation 2 2 6 6 2" xfId="12075"/>
    <cellStyle name="Calculation 2 2 6 6 2 2" xfId="26397"/>
    <cellStyle name="Calculation 2 2 6 6 3" xfId="17720"/>
    <cellStyle name="Calculation 2 2 6 7" xfId="4798"/>
    <cellStyle name="Calculation 2 2 6 7 2" xfId="23193"/>
    <cellStyle name="Calculation 2 2 6 8" xfId="15136"/>
    <cellStyle name="Calculation 2 2 7" xfId="197"/>
    <cellStyle name="Calculation 2 2 7 2" xfId="198"/>
    <cellStyle name="Calculation 2 2 7 2 2" xfId="199"/>
    <cellStyle name="Calculation 2 2 7 2 2 2" xfId="5952"/>
    <cellStyle name="Calculation 2 2 7 2 2 2 2" xfId="12510"/>
    <cellStyle name="Calculation 2 2 7 2 2 2 2 2" xfId="26832"/>
    <cellStyle name="Calculation 2 2 7 2 2 2 3" xfId="18155"/>
    <cellStyle name="Calculation 2 2 7 2 2 3" xfId="7918"/>
    <cellStyle name="Calculation 2 2 7 2 2 3 2" xfId="10532"/>
    <cellStyle name="Calculation 2 2 7 2 2 3 2 2" xfId="16794"/>
    <cellStyle name="Calculation 2 2 7 2 2 3 2 2 2" xfId="30210"/>
    <cellStyle name="Calculation 2 2 7 2 2 3 2 3" xfId="21539"/>
    <cellStyle name="Calculation 2 2 7 2 2 3 3" xfId="14522"/>
    <cellStyle name="Calculation 2 2 7 2 2 3 3 2" xfId="28844"/>
    <cellStyle name="Calculation 2 2 7 2 2 3 4" xfId="20167"/>
    <cellStyle name="Calculation 2 2 7 2 2 4" xfId="6153"/>
    <cellStyle name="Calculation 2 2 7 2 2 4 2" xfId="23433"/>
    <cellStyle name="Calculation 2 2 7 2 2 5" xfId="17162"/>
    <cellStyle name="Calculation 2 2 7 2 3" xfId="200"/>
    <cellStyle name="Calculation 2 2 7 2 3 2" xfId="7282"/>
    <cellStyle name="Calculation 2 2 7 2 3 2 2" xfId="9896"/>
    <cellStyle name="Calculation 2 2 7 2 3 2 2 2" xfId="16158"/>
    <cellStyle name="Calculation 2 2 7 2 3 2 2 2 2" xfId="29574"/>
    <cellStyle name="Calculation 2 2 7 2 3 2 2 3" xfId="20903"/>
    <cellStyle name="Calculation 2 2 7 2 3 2 3" xfId="13886"/>
    <cellStyle name="Calculation 2 2 7 2 3 2 3 2" xfId="28208"/>
    <cellStyle name="Calculation 2 2 7 2 3 2 4" xfId="19531"/>
    <cellStyle name="Calculation 2 2 7 2 3 3" xfId="12465"/>
    <cellStyle name="Calculation 2 2 7 2 3 3 2" xfId="26787"/>
    <cellStyle name="Calculation 2 2 7 2 3 4" xfId="18110"/>
    <cellStyle name="Calculation 2 2 7 2 4" xfId="5184"/>
    <cellStyle name="Calculation 2 2 7 2 4 2" xfId="11733"/>
    <cellStyle name="Calculation 2 2 7 2 4 2 2" xfId="26055"/>
    <cellStyle name="Calculation 2 2 7 2 4 3" xfId="6690"/>
    <cellStyle name="Calculation 2 2 7 2 5" xfId="6246"/>
    <cellStyle name="Calculation 2 2 7 2 5 2" xfId="23470"/>
    <cellStyle name="Calculation 2 2 7 2 6" xfId="15366"/>
    <cellStyle name="Calculation 2 2 7 3" xfId="201"/>
    <cellStyle name="Calculation 2 2 7 3 2" xfId="6947"/>
    <cellStyle name="Calculation 2 2 7 3 2 2" xfId="13551"/>
    <cellStyle name="Calculation 2 2 7 3 2 2 2" xfId="27873"/>
    <cellStyle name="Calculation 2 2 7 3 2 3" xfId="19196"/>
    <cellStyle name="Calculation 2 2 7 3 3" xfId="7195"/>
    <cellStyle name="Calculation 2 2 7 3 3 2" xfId="9809"/>
    <cellStyle name="Calculation 2 2 7 3 3 2 2" xfId="16071"/>
    <cellStyle name="Calculation 2 2 7 3 3 2 2 2" xfId="29487"/>
    <cellStyle name="Calculation 2 2 7 3 3 2 3" xfId="20816"/>
    <cellStyle name="Calculation 2 2 7 3 3 3" xfId="13799"/>
    <cellStyle name="Calculation 2 2 7 3 3 3 2" xfId="28121"/>
    <cellStyle name="Calculation 2 2 7 3 3 4" xfId="19444"/>
    <cellStyle name="Calculation 2 2 7 3 4" xfId="11441"/>
    <cellStyle name="Calculation 2 2 7 3 4 2" xfId="25763"/>
    <cellStyle name="Calculation 2 2 7 3 5" xfId="17142"/>
    <cellStyle name="Calculation 2 2 7 4" xfId="202"/>
    <cellStyle name="Calculation 2 2 7 4 2" xfId="5308"/>
    <cellStyle name="Calculation 2 2 7 4 2 2" xfId="9617"/>
    <cellStyle name="Calculation 2 2 7 4 2 2 2" xfId="15879"/>
    <cellStyle name="Calculation 2 2 7 4 2 2 2 2" xfId="29295"/>
    <cellStyle name="Calculation 2 2 7 4 2 2 3" xfId="20624"/>
    <cellStyle name="Calculation 2 2 7 4 2 3" xfId="11858"/>
    <cellStyle name="Calculation 2 2 7 4 2 3 2" xfId="26180"/>
    <cellStyle name="Calculation 2 2 7 4 2 4" xfId="17503"/>
    <cellStyle name="Calculation 2 2 7 4 3" xfId="12663"/>
    <cellStyle name="Calculation 2 2 7 4 3 2" xfId="26985"/>
    <cellStyle name="Calculation 2 2 7 4 4" xfId="18308"/>
    <cellStyle name="Calculation 2 2 7 5" xfId="5140"/>
    <cellStyle name="Calculation 2 2 7 5 2" xfId="11689"/>
    <cellStyle name="Calculation 2 2 7 5 2 2" xfId="26011"/>
    <cellStyle name="Calculation 2 2 7 5 3" xfId="6577"/>
    <cellStyle name="Calculation 2 2 7 6" xfId="3719"/>
    <cellStyle name="Calculation 2 2 7 6 2" xfId="22543"/>
    <cellStyle name="Calculation 2 2 7 7" xfId="15470"/>
    <cellStyle name="Calculation 2 2 8" xfId="203"/>
    <cellStyle name="Calculation 2 2 8 2" xfId="204"/>
    <cellStyle name="Calculation 2 2 8 2 2" xfId="6891"/>
    <cellStyle name="Calculation 2 2 8 2 2 2" xfId="13495"/>
    <cellStyle name="Calculation 2 2 8 2 2 2 2" xfId="27817"/>
    <cellStyle name="Calculation 2 2 8 2 2 3" xfId="19140"/>
    <cellStyle name="Calculation 2 2 8 2 3" xfId="4381"/>
    <cellStyle name="Calculation 2 2 8 2 3 2" xfId="9457"/>
    <cellStyle name="Calculation 2 2 8 2 3 2 2" xfId="15719"/>
    <cellStyle name="Calculation 2 2 8 2 3 2 2 2" xfId="29135"/>
    <cellStyle name="Calculation 2 2 8 2 3 2 3" xfId="20464"/>
    <cellStyle name="Calculation 2 2 8 2 3 3" xfId="3261"/>
    <cellStyle name="Calculation 2 2 8 2 3 3 2" xfId="22448"/>
    <cellStyle name="Calculation 2 2 8 2 3 4" xfId="15551"/>
    <cellStyle name="Calculation 2 2 8 2 4" xfId="11367"/>
    <cellStyle name="Calculation 2 2 8 2 4 2" xfId="25689"/>
    <cellStyle name="Calculation 2 2 8 2 5" xfId="4196"/>
    <cellStyle name="Calculation 2 2 8 3" xfId="205"/>
    <cellStyle name="Calculation 2 2 8 3 2" xfId="7165"/>
    <cellStyle name="Calculation 2 2 8 3 2 2" xfId="9779"/>
    <cellStyle name="Calculation 2 2 8 3 2 2 2" xfId="16041"/>
    <cellStyle name="Calculation 2 2 8 3 2 2 2 2" xfId="29457"/>
    <cellStyle name="Calculation 2 2 8 3 2 2 3" xfId="20786"/>
    <cellStyle name="Calculation 2 2 8 3 2 3" xfId="13769"/>
    <cellStyle name="Calculation 2 2 8 3 2 3 2" xfId="28091"/>
    <cellStyle name="Calculation 2 2 8 3 2 4" xfId="19414"/>
    <cellStyle name="Calculation 2 2 8 3 3" xfId="12541"/>
    <cellStyle name="Calculation 2 2 8 3 3 2" xfId="26863"/>
    <cellStyle name="Calculation 2 2 8 3 4" xfId="18186"/>
    <cellStyle name="Calculation 2 2 8 4" xfId="5233"/>
    <cellStyle name="Calculation 2 2 8 4 2" xfId="11783"/>
    <cellStyle name="Calculation 2 2 8 4 2 2" xfId="26105"/>
    <cellStyle name="Calculation 2 2 8 4 3" xfId="17428"/>
    <cellStyle name="Calculation 2 2 8 5" xfId="5695"/>
    <cellStyle name="Calculation 2 2 8 5 2" xfId="23361"/>
    <cellStyle name="Calculation 2 2 8 6" xfId="15158"/>
    <cellStyle name="Calculation 2 2 9" xfId="206"/>
    <cellStyle name="Calculation 2 2 9 2" xfId="6103"/>
    <cellStyle name="Calculation 2 2 9 2 2" xfId="12670"/>
    <cellStyle name="Calculation 2 2 9 2 2 2" xfId="26992"/>
    <cellStyle name="Calculation 2 2 9 2 3" xfId="18315"/>
    <cellStyle name="Calculation 2 2 9 3" xfId="7996"/>
    <cellStyle name="Calculation 2 2 9 3 2" xfId="10610"/>
    <cellStyle name="Calculation 2 2 9 3 2 2" xfId="16872"/>
    <cellStyle name="Calculation 2 2 9 3 2 2 2" xfId="30288"/>
    <cellStyle name="Calculation 2 2 9 3 2 3" xfId="21617"/>
    <cellStyle name="Calculation 2 2 9 3 3" xfId="14600"/>
    <cellStyle name="Calculation 2 2 9 3 3 2" xfId="28922"/>
    <cellStyle name="Calculation 2 2 9 3 4" xfId="20245"/>
    <cellStyle name="Calculation 2 2 9 4" xfId="4081"/>
    <cellStyle name="Calculation 2 2 9 4 2" xfId="22749"/>
    <cellStyle name="Calculation 2 2 9 5" xfId="17389"/>
    <cellStyle name="Calculation 2 3" xfId="207"/>
    <cellStyle name="Calculation 2 3 2" xfId="5990"/>
    <cellStyle name="Calculation 2 3 2 2" xfId="12548"/>
    <cellStyle name="Calculation 2 3 2 2 2" xfId="26870"/>
    <cellStyle name="Calculation 2 3 2 3" xfId="18193"/>
    <cellStyle name="Calculation 2 3 3" xfId="7571"/>
    <cellStyle name="Calculation 2 3 3 2" xfId="10185"/>
    <cellStyle name="Calculation 2 3 3 2 2" xfId="16447"/>
    <cellStyle name="Calculation 2 3 3 2 2 2" xfId="29863"/>
    <cellStyle name="Calculation 2 3 3 2 3" xfId="21192"/>
    <cellStyle name="Calculation 2 3 3 3" xfId="14175"/>
    <cellStyle name="Calculation 2 3 3 3 2" xfId="28497"/>
    <cellStyle name="Calculation 2 3 3 4" xfId="19820"/>
    <cellStyle name="Calculation 2 3 4" xfId="6627"/>
    <cellStyle name="Calculation 2 3 4 2" xfId="23615"/>
    <cellStyle name="Calculation 2 3 5" xfId="14939"/>
    <cellStyle name="Calculation 2 4" xfId="3275"/>
    <cellStyle name="Calculation 2 4 2" xfId="4276"/>
    <cellStyle name="Calculation 2 4 2 2" xfId="22865"/>
    <cellStyle name="Calculation 2 4 3" xfId="4586"/>
    <cellStyle name="Calculation 2 5" xfId="4249"/>
    <cellStyle name="Calculation 2 5 2" xfId="22851"/>
    <cellStyle name="Calculation 2 6" xfId="15480"/>
    <cellStyle name="Calculation 2 7" xfId="21695"/>
    <cellStyle name="Calculation 2 8" xfId="21701"/>
    <cellStyle name="Cálculo" xfId="208"/>
    <cellStyle name="Cálculo 2" xfId="209"/>
    <cellStyle name="Cálculo 2 10" xfId="210"/>
    <cellStyle name="Cálculo 2 10 2" xfId="7735"/>
    <cellStyle name="Cálculo 2 10 2 2" xfId="10349"/>
    <cellStyle name="Cálculo 2 10 2 2 2" xfId="16611"/>
    <cellStyle name="Cálculo 2 10 2 2 2 2" xfId="30027"/>
    <cellStyle name="Cálculo 2 10 2 2 3" xfId="21356"/>
    <cellStyle name="Cálculo 2 10 2 3" xfId="14339"/>
    <cellStyle name="Cálculo 2 10 2 3 2" xfId="28661"/>
    <cellStyle name="Cálculo 2 10 2 4" xfId="19984"/>
    <cellStyle name="Cálculo 2 10 3" xfId="11646"/>
    <cellStyle name="Cálculo 2 10 3 2" xfId="25968"/>
    <cellStyle name="Cálculo 2 10 4" xfId="15330"/>
    <cellStyle name="Cálculo 2 11" xfId="4991"/>
    <cellStyle name="Cálculo 2 11 2" xfId="11534"/>
    <cellStyle name="Cálculo 2 11 2 2" xfId="25856"/>
    <cellStyle name="Cálculo 2 11 3" xfId="5901"/>
    <cellStyle name="Cálculo 2 12" xfId="4482"/>
    <cellStyle name="Cálculo 2 12 2" xfId="22980"/>
    <cellStyle name="Cálculo 2 13" xfId="17204"/>
    <cellStyle name="Cálculo 2 2" xfId="211"/>
    <cellStyle name="Cálculo 2 2 10" xfId="5456"/>
    <cellStyle name="Cálculo 2 2 10 2" xfId="12007"/>
    <cellStyle name="Cálculo 2 2 10 2 2" xfId="26329"/>
    <cellStyle name="Cálculo 2 2 10 3" xfId="17652"/>
    <cellStyle name="Cálculo 2 2 11" xfId="5001"/>
    <cellStyle name="Cálculo 2 2 11 2" xfId="23302"/>
    <cellStyle name="Cálculo 2 2 12" xfId="14834"/>
    <cellStyle name="Cálculo 2 2 2" xfId="212"/>
    <cellStyle name="Cálculo 2 2 2 10" xfId="4184"/>
    <cellStyle name="Cálculo 2 2 2 10 2" xfId="22806"/>
    <cellStyle name="Cálculo 2 2 2 11" xfId="17082"/>
    <cellStyle name="Cálculo 2 2 2 2" xfId="213"/>
    <cellStyle name="Cálculo 2 2 2 2 2" xfId="214"/>
    <cellStyle name="Cálculo 2 2 2 2 2 2" xfId="215"/>
    <cellStyle name="Cálculo 2 2 2 2 2 2 2" xfId="6959"/>
    <cellStyle name="Cálculo 2 2 2 2 2 2 2 2" xfId="13563"/>
    <cellStyle name="Cálculo 2 2 2 2 2 2 2 2 2" xfId="27885"/>
    <cellStyle name="Cálculo 2 2 2 2 2 2 2 3" xfId="19208"/>
    <cellStyle name="Cálculo 2 2 2 2 2 2 3" xfId="4028"/>
    <cellStyle name="Cálculo 2 2 2 2 2 2 3 2" xfId="9414"/>
    <cellStyle name="Cálculo 2 2 2 2 2 2 3 2 2" xfId="15676"/>
    <cellStyle name="Cálculo 2 2 2 2 2 2 3 2 2 2" xfId="29092"/>
    <cellStyle name="Cálculo 2 2 2 2 2 2 3 2 3" xfId="20421"/>
    <cellStyle name="Cálculo 2 2 2 2 2 2 3 3" xfId="6250"/>
    <cellStyle name="Cálculo 2 2 2 2 2 2 3 3 2" xfId="23474"/>
    <cellStyle name="Cálculo 2 2 2 2 2 2 3 4" xfId="17385"/>
    <cellStyle name="Cálculo 2 2 2 2 2 2 4" xfId="11460"/>
    <cellStyle name="Cálculo 2 2 2 2 2 2 4 2" xfId="25782"/>
    <cellStyle name="Cálculo 2 2 2 2 2 2 5" xfId="17264"/>
    <cellStyle name="Cálculo 2 2 2 2 2 3" xfId="216"/>
    <cellStyle name="Cálculo 2 2 2 2 2 3 2" xfId="8047"/>
    <cellStyle name="Cálculo 2 2 2 2 2 3 2 2" xfId="10661"/>
    <cellStyle name="Cálculo 2 2 2 2 2 3 2 2 2" xfId="16923"/>
    <cellStyle name="Cálculo 2 2 2 2 2 3 2 2 2 2" xfId="30339"/>
    <cellStyle name="Cálculo 2 2 2 2 2 3 2 2 3" xfId="21668"/>
    <cellStyle name="Cálculo 2 2 2 2 2 3 2 3" xfId="14651"/>
    <cellStyle name="Cálculo 2 2 2 2 2 3 2 3 2" xfId="28973"/>
    <cellStyle name="Cálculo 2 2 2 2 2 3 2 4" xfId="20296"/>
    <cellStyle name="Cálculo 2 2 2 2 2 3 3" xfId="13324"/>
    <cellStyle name="Cálculo 2 2 2 2 2 3 3 2" xfId="27646"/>
    <cellStyle name="Cálculo 2 2 2 2 2 3 4" xfId="18969"/>
    <cellStyle name="Cálculo 2 2 2 2 2 4" xfId="5774"/>
    <cellStyle name="Cálculo 2 2 2 2 2 4 2" xfId="12327"/>
    <cellStyle name="Cálculo 2 2 2 2 2 4 2 2" xfId="26649"/>
    <cellStyle name="Cálculo 2 2 2 2 2 4 3" xfId="17972"/>
    <cellStyle name="Cálculo 2 2 2 2 2 5" xfId="6341"/>
    <cellStyle name="Cálculo 2 2 2 2 2 5 2" xfId="23527"/>
    <cellStyle name="Cálculo 2 2 2 2 2 6" xfId="6526"/>
    <cellStyle name="Cálculo 2 2 2 2 3" xfId="217"/>
    <cellStyle name="Cálculo 2 2 2 2 3 2" xfId="218"/>
    <cellStyle name="Cálculo 2 2 2 2 3 2 2" xfId="6204"/>
    <cellStyle name="Cálculo 2 2 2 2 3 2 2 2" xfId="12777"/>
    <cellStyle name="Cálculo 2 2 2 2 3 2 2 2 2" xfId="27099"/>
    <cellStyle name="Cálculo 2 2 2 2 3 2 2 3" xfId="18422"/>
    <cellStyle name="Cálculo 2 2 2 2 3 2 3" xfId="7124"/>
    <cellStyle name="Cálculo 2 2 2 2 3 2 3 2" xfId="9738"/>
    <cellStyle name="Cálculo 2 2 2 2 3 2 3 2 2" xfId="16000"/>
    <cellStyle name="Cálculo 2 2 2 2 3 2 3 2 2 2" xfId="29416"/>
    <cellStyle name="Cálculo 2 2 2 2 3 2 3 2 3" xfId="20745"/>
    <cellStyle name="Cálculo 2 2 2 2 3 2 3 3" xfId="13728"/>
    <cellStyle name="Cálculo 2 2 2 2 3 2 3 3 2" xfId="28050"/>
    <cellStyle name="Cálculo 2 2 2 2 3 2 3 4" xfId="19373"/>
    <cellStyle name="Cálculo 2 2 2 2 3 2 4" xfId="4950"/>
    <cellStyle name="Cálculo 2 2 2 2 3 2 4 2" xfId="23275"/>
    <cellStyle name="Cálculo 2 2 2 2 3 2 5" xfId="14941"/>
    <cellStyle name="Cálculo 2 2 2 2 3 3" xfId="219"/>
    <cellStyle name="Cálculo 2 2 2 2 3 3 2" xfId="7559"/>
    <cellStyle name="Cálculo 2 2 2 2 3 3 2 2" xfId="10173"/>
    <cellStyle name="Cálculo 2 2 2 2 3 3 2 2 2" xfId="16435"/>
    <cellStyle name="Cálculo 2 2 2 2 3 3 2 2 2 2" xfId="29851"/>
    <cellStyle name="Cálculo 2 2 2 2 3 3 2 2 3" xfId="21180"/>
    <cellStyle name="Cálculo 2 2 2 2 3 3 2 3" xfId="14163"/>
    <cellStyle name="Cálculo 2 2 2 2 3 3 2 3 2" xfId="28485"/>
    <cellStyle name="Cálculo 2 2 2 2 3 3 2 4" xfId="19808"/>
    <cellStyle name="Cálculo 2 2 2 2 3 3 3" xfId="13365"/>
    <cellStyle name="Cálculo 2 2 2 2 3 3 3 2" xfId="27687"/>
    <cellStyle name="Cálculo 2 2 2 2 3 3 4" xfId="19010"/>
    <cellStyle name="Cálculo 2 2 2 2 3 4" xfId="5816"/>
    <cellStyle name="Cálculo 2 2 2 2 3 4 2" xfId="12369"/>
    <cellStyle name="Cálculo 2 2 2 2 3 4 2 2" xfId="26691"/>
    <cellStyle name="Cálculo 2 2 2 2 3 4 3" xfId="18014"/>
    <cellStyle name="Cálculo 2 2 2 2 3 5" xfId="6473"/>
    <cellStyle name="Cálculo 2 2 2 2 3 5 2" xfId="23557"/>
    <cellStyle name="Cálculo 2 2 2 2 3 6" xfId="15085"/>
    <cellStyle name="Cálculo 2 2 2 2 4" xfId="220"/>
    <cellStyle name="Cálculo 2 2 2 2 4 2" xfId="6282"/>
    <cellStyle name="Cálculo 2 2 2 2 4 2 2" xfId="12864"/>
    <cellStyle name="Cálculo 2 2 2 2 4 2 2 2" xfId="27186"/>
    <cellStyle name="Cálculo 2 2 2 2 4 2 3" xfId="18509"/>
    <cellStyle name="Cálculo 2 2 2 2 4 3" xfId="7937"/>
    <cellStyle name="Cálculo 2 2 2 2 4 3 2" xfId="10551"/>
    <cellStyle name="Cálculo 2 2 2 2 4 3 2 2" xfId="16813"/>
    <cellStyle name="Cálculo 2 2 2 2 4 3 2 2 2" xfId="30229"/>
    <cellStyle name="Cálculo 2 2 2 2 4 3 2 3" xfId="21558"/>
    <cellStyle name="Cálculo 2 2 2 2 4 3 3" xfId="14541"/>
    <cellStyle name="Cálculo 2 2 2 2 4 3 3 2" xfId="28863"/>
    <cellStyle name="Cálculo 2 2 2 2 4 3 4" xfId="20186"/>
    <cellStyle name="Cálculo 2 2 2 2 4 4" xfId="4453"/>
    <cellStyle name="Cálculo 2 2 2 2 4 4 2" xfId="22962"/>
    <cellStyle name="Cálculo 2 2 2 2 4 5" xfId="15383"/>
    <cellStyle name="Cálculo 2 2 2 2 5" xfId="221"/>
    <cellStyle name="Cálculo 2 2 2 2 5 2" xfId="3993"/>
    <cellStyle name="Cálculo 2 2 2 2 5 2 2" xfId="9406"/>
    <cellStyle name="Cálculo 2 2 2 2 5 2 2 2" xfId="15668"/>
    <cellStyle name="Cálculo 2 2 2 2 5 2 2 2 2" xfId="29084"/>
    <cellStyle name="Cálculo 2 2 2 2 5 2 2 3" xfId="20413"/>
    <cellStyle name="Cálculo 2 2 2 2 5 2 3" xfId="3720"/>
    <cellStyle name="Cálculo 2 2 2 2 5 2 3 2" xfId="22544"/>
    <cellStyle name="Cálculo 2 2 2 2 5 2 4" xfId="6542"/>
    <cellStyle name="Cálculo 2 2 2 2 5 3" xfId="12900"/>
    <cellStyle name="Cálculo 2 2 2 2 5 3 2" xfId="27222"/>
    <cellStyle name="Cálculo 2 2 2 2 5 4" xfId="18545"/>
    <cellStyle name="Cálculo 2 2 2 2 6" xfId="5518"/>
    <cellStyle name="Cálculo 2 2 2 2 6 2" xfId="12069"/>
    <cellStyle name="Cálculo 2 2 2 2 6 2 2" xfId="26391"/>
    <cellStyle name="Cálculo 2 2 2 2 6 3" xfId="17714"/>
    <cellStyle name="Cálculo 2 2 2 2 7" xfId="6752"/>
    <cellStyle name="Cálculo 2 2 2 2 7 2" xfId="23700"/>
    <cellStyle name="Cálculo 2 2 2 2 8" xfId="4585"/>
    <cellStyle name="Cálculo 2 2 2 3" xfId="222"/>
    <cellStyle name="Cálculo 2 2 2 3 2" xfId="223"/>
    <cellStyle name="Cálculo 2 2 2 3 2 2" xfId="224"/>
    <cellStyle name="Cálculo 2 2 2 3 2 2 2" xfId="7031"/>
    <cellStyle name="Cálculo 2 2 2 3 2 2 2 2" xfId="13635"/>
    <cellStyle name="Cálculo 2 2 2 3 2 2 2 2 2" xfId="27957"/>
    <cellStyle name="Cálculo 2 2 2 3 2 2 2 3" xfId="19280"/>
    <cellStyle name="Cálculo 2 2 2 3 2 2 3" xfId="4848"/>
    <cellStyle name="Cálculo 2 2 2 3 2 2 3 2" xfId="9500"/>
    <cellStyle name="Cálculo 2 2 2 3 2 2 3 2 2" xfId="15762"/>
    <cellStyle name="Cálculo 2 2 2 3 2 2 3 2 2 2" xfId="29178"/>
    <cellStyle name="Cálculo 2 2 2 3 2 2 3 2 3" xfId="20507"/>
    <cellStyle name="Cálculo 2 2 2 3 2 2 3 3" xfId="11381"/>
    <cellStyle name="Cálculo 2 2 2 3 2 2 3 3 2" xfId="25703"/>
    <cellStyle name="Cálculo 2 2 2 3 2 2 3 4" xfId="6632"/>
    <cellStyle name="Cálculo 2 2 2 3 2 2 4" xfId="11571"/>
    <cellStyle name="Cálculo 2 2 2 3 2 2 4 2" xfId="25893"/>
    <cellStyle name="Cálculo 2 2 2 3 2 2 5" xfId="14699"/>
    <cellStyle name="Cálculo 2 2 2 3 2 3" xfId="225"/>
    <cellStyle name="Cálculo 2 2 2 3 2 3 2" xfId="5300"/>
    <cellStyle name="Cálculo 2 2 2 3 2 3 2 2" xfId="9609"/>
    <cellStyle name="Cálculo 2 2 2 3 2 3 2 2 2" xfId="15871"/>
    <cellStyle name="Cálculo 2 2 2 3 2 3 2 2 2 2" xfId="29287"/>
    <cellStyle name="Cálculo 2 2 2 3 2 3 2 2 3" xfId="20616"/>
    <cellStyle name="Cálculo 2 2 2 3 2 3 2 3" xfId="11850"/>
    <cellStyle name="Cálculo 2 2 2 3 2 3 2 3 2" xfId="26172"/>
    <cellStyle name="Cálculo 2 2 2 3 2 3 2 4" xfId="17495"/>
    <cellStyle name="Cálculo 2 2 2 3 2 3 3" xfId="13360"/>
    <cellStyle name="Cálculo 2 2 2 3 2 3 3 2" xfId="27682"/>
    <cellStyle name="Cálculo 2 2 2 3 2 3 4" xfId="19005"/>
    <cellStyle name="Cálculo 2 2 2 3 2 4" xfId="5810"/>
    <cellStyle name="Cálculo 2 2 2 3 2 4 2" xfId="12363"/>
    <cellStyle name="Cálculo 2 2 2 3 2 4 2 2" xfId="26685"/>
    <cellStyle name="Cálculo 2 2 2 3 2 4 3" xfId="18008"/>
    <cellStyle name="Cálculo 2 2 2 3 2 5" xfId="3717"/>
    <cellStyle name="Cálculo 2 2 2 3 2 5 2" xfId="22542"/>
    <cellStyle name="Cálculo 2 2 2 3 2 6" xfId="15294"/>
    <cellStyle name="Cálculo 2 2 2 3 3" xfId="226"/>
    <cellStyle name="Cálculo 2 2 2 3 3 2" xfId="227"/>
    <cellStyle name="Cálculo 2 2 2 3 3 2 2" xfId="5615"/>
    <cellStyle name="Cálculo 2 2 2 3 3 2 2 2" xfId="12168"/>
    <cellStyle name="Cálculo 2 2 2 3 3 2 2 2 2" xfId="26490"/>
    <cellStyle name="Cálculo 2 2 2 3 3 2 2 3" xfId="17813"/>
    <cellStyle name="Cálculo 2 2 2 3 3 2 3" xfId="7100"/>
    <cellStyle name="Cálculo 2 2 2 3 3 2 3 2" xfId="9714"/>
    <cellStyle name="Cálculo 2 2 2 3 3 2 3 2 2" xfId="15976"/>
    <cellStyle name="Cálculo 2 2 2 3 3 2 3 2 2 2" xfId="29392"/>
    <cellStyle name="Cálculo 2 2 2 3 3 2 3 2 3" xfId="20721"/>
    <cellStyle name="Cálculo 2 2 2 3 3 2 3 3" xfId="13704"/>
    <cellStyle name="Cálculo 2 2 2 3 3 2 3 3 2" xfId="28026"/>
    <cellStyle name="Cálculo 2 2 2 3 3 2 3 4" xfId="19349"/>
    <cellStyle name="Cálculo 2 2 2 3 3 2 4" xfId="3875"/>
    <cellStyle name="Cálculo 2 2 2 3 3 2 4 2" xfId="22621"/>
    <cellStyle name="Cálculo 2 2 2 3 3 2 5" xfId="15516"/>
    <cellStyle name="Cálculo 2 2 2 3 3 3" xfId="228"/>
    <cellStyle name="Cálculo 2 2 2 3 3 3 2" xfId="7123"/>
    <cellStyle name="Cálculo 2 2 2 3 3 3 2 2" xfId="9737"/>
    <cellStyle name="Cálculo 2 2 2 3 3 3 2 2 2" xfId="15999"/>
    <cellStyle name="Cálculo 2 2 2 3 3 3 2 2 2 2" xfId="29415"/>
    <cellStyle name="Cálculo 2 2 2 3 3 3 2 2 3" xfId="20744"/>
    <cellStyle name="Cálculo 2 2 2 3 3 3 2 3" xfId="13727"/>
    <cellStyle name="Cálculo 2 2 2 3 3 3 2 3 2" xfId="28049"/>
    <cellStyle name="Cálculo 2 2 2 3 3 3 2 4" xfId="19372"/>
    <cellStyle name="Cálculo 2 2 2 3 3 3 3" xfId="13078"/>
    <cellStyle name="Cálculo 2 2 2 3 3 3 3 2" xfId="27400"/>
    <cellStyle name="Cálculo 2 2 2 3 3 3 4" xfId="18723"/>
    <cellStyle name="Cálculo 2 2 2 3 3 4" xfId="5427"/>
    <cellStyle name="Cálculo 2 2 2 3 3 4 2" xfId="11978"/>
    <cellStyle name="Cálculo 2 2 2 3 3 4 2 2" xfId="26300"/>
    <cellStyle name="Cálculo 2 2 2 3 3 4 3" xfId="17623"/>
    <cellStyle name="Cálculo 2 2 2 3 3 5" xfId="3954"/>
    <cellStyle name="Cálculo 2 2 2 3 3 5 2" xfId="22667"/>
    <cellStyle name="Cálculo 2 2 2 3 3 6" xfId="16957"/>
    <cellStyle name="Cálculo 2 2 2 3 4" xfId="229"/>
    <cellStyle name="Cálculo 2 2 2 3 4 2" xfId="6883"/>
    <cellStyle name="Cálculo 2 2 2 3 4 2 2" xfId="13487"/>
    <cellStyle name="Cálculo 2 2 2 3 4 2 2 2" xfId="27809"/>
    <cellStyle name="Cálculo 2 2 2 3 4 2 3" xfId="19132"/>
    <cellStyle name="Cálculo 2 2 2 3 4 3" xfId="7549"/>
    <cellStyle name="Cálculo 2 2 2 3 4 3 2" xfId="10163"/>
    <cellStyle name="Cálculo 2 2 2 3 4 3 2 2" xfId="16425"/>
    <cellStyle name="Cálculo 2 2 2 3 4 3 2 2 2" xfId="29841"/>
    <cellStyle name="Cálculo 2 2 2 3 4 3 2 3" xfId="21170"/>
    <cellStyle name="Cálculo 2 2 2 3 4 3 3" xfId="14153"/>
    <cellStyle name="Cálculo 2 2 2 3 4 3 3 2" xfId="28475"/>
    <cellStyle name="Cálculo 2 2 2 3 4 3 4" xfId="19798"/>
    <cellStyle name="Cálculo 2 2 2 3 4 4" xfId="11357"/>
    <cellStyle name="Cálculo 2 2 2 3 4 4 2" xfId="25679"/>
    <cellStyle name="Cálculo 2 2 2 3 4 5" xfId="15077"/>
    <cellStyle name="Cálculo 2 2 2 3 5" xfId="230"/>
    <cellStyle name="Cálculo 2 2 2 3 5 2" xfId="7057"/>
    <cellStyle name="Cálculo 2 2 2 3 5 2 2" xfId="9671"/>
    <cellStyle name="Cálculo 2 2 2 3 5 2 2 2" xfId="15933"/>
    <cellStyle name="Cálculo 2 2 2 3 5 2 2 2 2" xfId="29349"/>
    <cellStyle name="Cálculo 2 2 2 3 5 2 2 3" xfId="20678"/>
    <cellStyle name="Cálculo 2 2 2 3 5 2 3" xfId="13661"/>
    <cellStyle name="Cálculo 2 2 2 3 5 2 3 2" xfId="27983"/>
    <cellStyle name="Cálculo 2 2 2 3 5 2 4" xfId="19306"/>
    <cellStyle name="Cálculo 2 2 2 3 5 3" xfId="12936"/>
    <cellStyle name="Cálculo 2 2 2 3 5 3 2" xfId="27258"/>
    <cellStyle name="Cálculo 2 2 2 3 5 4" xfId="18581"/>
    <cellStyle name="Cálculo 2 2 2 3 6" xfId="5560"/>
    <cellStyle name="Cálculo 2 2 2 3 6 2" xfId="12111"/>
    <cellStyle name="Cálculo 2 2 2 3 6 2 2" xfId="26433"/>
    <cellStyle name="Cálculo 2 2 2 3 6 3" xfId="17756"/>
    <cellStyle name="Cálculo 2 2 2 3 7" xfId="6787"/>
    <cellStyle name="Cálculo 2 2 2 3 7 2" xfId="23731"/>
    <cellStyle name="Cálculo 2 2 2 3 8" xfId="15437"/>
    <cellStyle name="Cálculo 2 2 2 4" xfId="231"/>
    <cellStyle name="Cálculo 2 2 2 4 2" xfId="232"/>
    <cellStyle name="Cálculo 2 2 2 4 2 2" xfId="233"/>
    <cellStyle name="Cálculo 2 2 2 4 2 2 2" xfId="6985"/>
    <cellStyle name="Cálculo 2 2 2 4 2 2 2 2" xfId="13589"/>
    <cellStyle name="Cálculo 2 2 2 4 2 2 2 2 2" xfId="27911"/>
    <cellStyle name="Cálculo 2 2 2 4 2 2 2 3" xfId="19234"/>
    <cellStyle name="Cálculo 2 2 2 4 2 2 3" xfId="7056"/>
    <cellStyle name="Cálculo 2 2 2 4 2 2 3 2" xfId="9670"/>
    <cellStyle name="Cálculo 2 2 2 4 2 2 3 2 2" xfId="15932"/>
    <cellStyle name="Cálculo 2 2 2 4 2 2 3 2 2 2" xfId="29348"/>
    <cellStyle name="Cálculo 2 2 2 4 2 2 3 2 3" xfId="20677"/>
    <cellStyle name="Cálculo 2 2 2 4 2 2 3 3" xfId="13660"/>
    <cellStyle name="Cálculo 2 2 2 4 2 2 3 3 2" xfId="27982"/>
    <cellStyle name="Cálculo 2 2 2 4 2 2 3 4" xfId="19305"/>
    <cellStyle name="Cálculo 2 2 2 4 2 2 4" xfId="11497"/>
    <cellStyle name="Cálculo 2 2 2 4 2 2 4 2" xfId="25819"/>
    <cellStyle name="Cálculo 2 2 2 4 2 2 5" xfId="17282"/>
    <cellStyle name="Cálculo 2 2 2 4 2 3" xfId="234"/>
    <cellStyle name="Cálculo 2 2 2 4 2 3 2" xfId="7606"/>
    <cellStyle name="Cálculo 2 2 2 4 2 3 2 2" xfId="10220"/>
    <cellStyle name="Cálculo 2 2 2 4 2 3 2 2 2" xfId="16482"/>
    <cellStyle name="Cálculo 2 2 2 4 2 3 2 2 2 2" xfId="29898"/>
    <cellStyle name="Cálculo 2 2 2 4 2 3 2 2 3" xfId="21227"/>
    <cellStyle name="Cálculo 2 2 2 4 2 3 2 3" xfId="14210"/>
    <cellStyle name="Cálculo 2 2 2 4 2 3 2 3 2" xfId="28532"/>
    <cellStyle name="Cálculo 2 2 2 4 2 3 2 4" xfId="19855"/>
    <cellStyle name="Cálculo 2 2 2 4 2 3 3" xfId="13364"/>
    <cellStyle name="Cálculo 2 2 2 4 2 3 3 2" xfId="27686"/>
    <cellStyle name="Cálculo 2 2 2 4 2 3 4" xfId="19009"/>
    <cellStyle name="Cálculo 2 2 2 4 2 4" xfId="5815"/>
    <cellStyle name="Cálculo 2 2 2 4 2 4 2" xfId="12368"/>
    <cellStyle name="Cálculo 2 2 2 4 2 4 2 2" xfId="26690"/>
    <cellStyle name="Cálculo 2 2 2 4 2 4 3" xfId="18013"/>
    <cellStyle name="Cálculo 2 2 2 4 2 5" xfId="4972"/>
    <cellStyle name="Cálculo 2 2 2 4 2 5 2" xfId="23288"/>
    <cellStyle name="Cálculo 2 2 2 4 2 6" xfId="17354"/>
    <cellStyle name="Cálculo 2 2 2 4 3" xfId="235"/>
    <cellStyle name="Cálculo 2 2 2 4 3 2" xfId="236"/>
    <cellStyle name="Cálculo 2 2 2 4 3 2 2" xfId="6899"/>
    <cellStyle name="Cálculo 2 2 2 4 3 2 2 2" xfId="13503"/>
    <cellStyle name="Cálculo 2 2 2 4 3 2 2 2 2" xfId="27825"/>
    <cellStyle name="Cálculo 2 2 2 4 3 2 2 3" xfId="19148"/>
    <cellStyle name="Cálculo 2 2 2 4 3 2 3" xfId="7307"/>
    <cellStyle name="Cálculo 2 2 2 4 3 2 3 2" xfId="9921"/>
    <cellStyle name="Cálculo 2 2 2 4 3 2 3 2 2" xfId="16183"/>
    <cellStyle name="Cálculo 2 2 2 4 3 2 3 2 2 2" xfId="29599"/>
    <cellStyle name="Cálculo 2 2 2 4 3 2 3 2 3" xfId="20928"/>
    <cellStyle name="Cálculo 2 2 2 4 3 2 3 3" xfId="13911"/>
    <cellStyle name="Cálculo 2 2 2 4 3 2 3 3 2" xfId="28233"/>
    <cellStyle name="Cálculo 2 2 2 4 3 2 3 4" xfId="19556"/>
    <cellStyle name="Cálculo 2 2 2 4 3 2 4" xfId="11378"/>
    <cellStyle name="Cálculo 2 2 2 4 3 2 4 2" xfId="25700"/>
    <cellStyle name="Cálculo 2 2 2 4 3 2 5" xfId="15591"/>
    <cellStyle name="Cálculo 2 2 2 4 3 3" xfId="237"/>
    <cellStyle name="Cálculo 2 2 2 4 3 3 2" xfId="7127"/>
    <cellStyle name="Cálculo 2 2 2 4 3 3 2 2" xfId="9741"/>
    <cellStyle name="Cálculo 2 2 2 4 3 3 2 2 2" xfId="16003"/>
    <cellStyle name="Cálculo 2 2 2 4 3 3 2 2 2 2" xfId="29419"/>
    <cellStyle name="Cálculo 2 2 2 4 3 3 2 2 3" xfId="20748"/>
    <cellStyle name="Cálculo 2 2 2 4 3 3 2 3" xfId="13731"/>
    <cellStyle name="Cálculo 2 2 2 4 3 3 2 3 2" xfId="28053"/>
    <cellStyle name="Cálculo 2 2 2 4 3 3 2 4" xfId="19376"/>
    <cellStyle name="Cálculo 2 2 2 4 3 3 3" xfId="12800"/>
    <cellStyle name="Cálculo 2 2 2 4 3 3 3 2" xfId="27122"/>
    <cellStyle name="Cálculo 2 2 2 4 3 3 4" xfId="18445"/>
    <cellStyle name="Cálculo 2 2 2 4 3 4" xfId="5167"/>
    <cellStyle name="Cálculo 2 2 2 4 3 4 2" xfId="11716"/>
    <cellStyle name="Cálculo 2 2 2 4 3 4 2 2" xfId="26038"/>
    <cellStyle name="Cálculo 2 2 2 4 3 4 3" xfId="3812"/>
    <cellStyle name="Cálculo 2 2 2 4 3 5" xfId="4947"/>
    <cellStyle name="Cálculo 2 2 2 4 3 5 2" xfId="23274"/>
    <cellStyle name="Cálculo 2 2 2 4 3 6" xfId="15239"/>
    <cellStyle name="Cálculo 2 2 2 4 4" xfId="238"/>
    <cellStyle name="Cálculo 2 2 2 4 4 2" xfId="6919"/>
    <cellStyle name="Cálculo 2 2 2 4 4 2 2" xfId="13523"/>
    <cellStyle name="Cálculo 2 2 2 4 4 2 2 2" xfId="27845"/>
    <cellStyle name="Cálculo 2 2 2 4 4 2 3" xfId="19168"/>
    <cellStyle name="Cálculo 2 2 2 4 4 3" xfId="7135"/>
    <cellStyle name="Cálculo 2 2 2 4 4 3 2" xfId="9749"/>
    <cellStyle name="Cálculo 2 2 2 4 4 3 2 2" xfId="16011"/>
    <cellStyle name="Cálculo 2 2 2 4 4 3 2 2 2" xfId="29427"/>
    <cellStyle name="Cálculo 2 2 2 4 4 3 2 3" xfId="20756"/>
    <cellStyle name="Cálculo 2 2 2 4 4 3 3" xfId="13739"/>
    <cellStyle name="Cálculo 2 2 2 4 4 3 3 2" xfId="28061"/>
    <cellStyle name="Cálculo 2 2 2 4 4 3 4" xfId="19384"/>
    <cellStyle name="Cálculo 2 2 2 4 4 4" xfId="11407"/>
    <cellStyle name="Cálculo 2 2 2 4 4 4 2" xfId="25729"/>
    <cellStyle name="Cálculo 2 2 2 4 4 5" xfId="14815"/>
    <cellStyle name="Cálculo 2 2 2 4 5" xfId="239"/>
    <cellStyle name="Cálculo 2 2 2 4 5 2" xfId="7545"/>
    <cellStyle name="Cálculo 2 2 2 4 5 2 2" xfId="10159"/>
    <cellStyle name="Cálculo 2 2 2 4 5 2 2 2" xfId="16421"/>
    <cellStyle name="Cálculo 2 2 2 4 5 2 2 2 2" xfId="29837"/>
    <cellStyle name="Cálculo 2 2 2 4 5 2 2 3" xfId="21166"/>
    <cellStyle name="Cálculo 2 2 2 4 5 2 3" xfId="14149"/>
    <cellStyle name="Cálculo 2 2 2 4 5 2 3 2" xfId="28471"/>
    <cellStyle name="Cálculo 2 2 2 4 5 2 4" xfId="19794"/>
    <cellStyle name="Cálculo 2 2 2 4 5 3" xfId="12941"/>
    <cellStyle name="Cálculo 2 2 2 4 5 3 2" xfId="27263"/>
    <cellStyle name="Cálculo 2 2 2 4 5 4" xfId="18586"/>
    <cellStyle name="Cálculo 2 2 2 4 6" xfId="5583"/>
    <cellStyle name="Cálculo 2 2 2 4 6 2" xfId="12135"/>
    <cellStyle name="Cálculo 2 2 2 4 6 2 2" xfId="26457"/>
    <cellStyle name="Cálculo 2 2 2 4 6 3" xfId="17780"/>
    <cellStyle name="Cálculo 2 2 2 4 7" xfId="4652"/>
    <cellStyle name="Cálculo 2 2 2 4 7 2" xfId="23094"/>
    <cellStyle name="Cálculo 2 2 2 4 8" xfId="17154"/>
    <cellStyle name="Cálculo 2 2 2 5" xfId="240"/>
    <cellStyle name="Cálculo 2 2 2 5 2" xfId="241"/>
    <cellStyle name="Cálculo 2 2 2 5 2 2" xfId="242"/>
    <cellStyle name="Cálculo 2 2 2 5 2 2 2" xfId="6949"/>
    <cellStyle name="Cálculo 2 2 2 5 2 2 2 2" xfId="13553"/>
    <cellStyle name="Cálculo 2 2 2 5 2 2 2 2 2" xfId="27875"/>
    <cellStyle name="Cálculo 2 2 2 5 2 2 2 3" xfId="19198"/>
    <cellStyle name="Cálculo 2 2 2 5 2 2 3" xfId="7812"/>
    <cellStyle name="Cálculo 2 2 2 5 2 2 3 2" xfId="10426"/>
    <cellStyle name="Cálculo 2 2 2 5 2 2 3 2 2" xfId="16688"/>
    <cellStyle name="Cálculo 2 2 2 5 2 2 3 2 2 2" xfId="30104"/>
    <cellStyle name="Cálculo 2 2 2 5 2 2 3 2 3" xfId="21433"/>
    <cellStyle name="Cálculo 2 2 2 5 2 2 3 3" xfId="14416"/>
    <cellStyle name="Cálculo 2 2 2 5 2 2 3 3 2" xfId="28738"/>
    <cellStyle name="Cálculo 2 2 2 5 2 2 3 4" xfId="20061"/>
    <cellStyle name="Cálculo 2 2 2 5 2 2 4" xfId="11444"/>
    <cellStyle name="Cálculo 2 2 2 5 2 2 4 2" xfId="25766"/>
    <cellStyle name="Cálculo 2 2 2 5 2 2 5" xfId="17343"/>
    <cellStyle name="Cálculo 2 2 2 5 2 3" xfId="243"/>
    <cellStyle name="Cálculo 2 2 2 5 2 3 2" xfId="7587"/>
    <cellStyle name="Cálculo 2 2 2 5 2 3 2 2" xfId="10201"/>
    <cellStyle name="Cálculo 2 2 2 5 2 3 2 2 2" xfId="16463"/>
    <cellStyle name="Cálculo 2 2 2 5 2 3 2 2 2 2" xfId="29879"/>
    <cellStyle name="Cálculo 2 2 2 5 2 3 2 2 3" xfId="21208"/>
    <cellStyle name="Cálculo 2 2 2 5 2 3 2 3" xfId="14191"/>
    <cellStyle name="Cálculo 2 2 2 5 2 3 2 3 2" xfId="28513"/>
    <cellStyle name="Cálculo 2 2 2 5 2 3 2 4" xfId="19836"/>
    <cellStyle name="Cálculo 2 2 2 5 2 3 3" xfId="13409"/>
    <cellStyle name="Cálculo 2 2 2 5 2 3 3 2" xfId="27731"/>
    <cellStyle name="Cálculo 2 2 2 5 2 3 4" xfId="19054"/>
    <cellStyle name="Cálculo 2 2 2 5 2 4" xfId="5877"/>
    <cellStyle name="Cálculo 2 2 2 5 2 4 2" xfId="12430"/>
    <cellStyle name="Cálculo 2 2 2 5 2 4 2 2" xfId="26752"/>
    <cellStyle name="Cálculo 2 2 2 5 2 4 3" xfId="18075"/>
    <cellStyle name="Cálculo 2 2 2 5 2 5" xfId="4222"/>
    <cellStyle name="Cálculo 2 2 2 5 2 5 2" xfId="22834"/>
    <cellStyle name="Cálculo 2 2 2 5 2 6" xfId="4051"/>
    <cellStyle name="Cálculo 2 2 2 5 3" xfId="244"/>
    <cellStyle name="Cálculo 2 2 2 5 3 2" xfId="6007"/>
    <cellStyle name="Cálculo 2 2 2 5 3 2 2" xfId="12566"/>
    <cellStyle name="Cálculo 2 2 2 5 3 2 2 2" xfId="26888"/>
    <cellStyle name="Cálculo 2 2 2 5 3 2 3" xfId="18211"/>
    <cellStyle name="Cálculo 2 2 2 5 3 3" xfId="4818"/>
    <cellStyle name="Cálculo 2 2 2 5 3 3 2" xfId="9495"/>
    <cellStyle name="Cálculo 2 2 2 5 3 3 2 2" xfId="15757"/>
    <cellStyle name="Cálculo 2 2 2 5 3 3 2 2 2" xfId="29173"/>
    <cellStyle name="Cálculo 2 2 2 5 3 3 2 3" xfId="20502"/>
    <cellStyle name="Cálculo 2 2 2 5 3 3 3" xfId="11350"/>
    <cellStyle name="Cálculo 2 2 2 5 3 3 3 2" xfId="25672"/>
    <cellStyle name="Cálculo 2 2 2 5 3 3 4" xfId="14963"/>
    <cellStyle name="Cálculo 2 2 2 5 3 4" xfId="5176"/>
    <cellStyle name="Cálculo 2 2 2 5 3 4 2" xfId="23332"/>
    <cellStyle name="Cálculo 2 2 2 5 3 5" xfId="17359"/>
    <cellStyle name="Cálculo 2 2 2 5 4" xfId="245"/>
    <cellStyle name="Cálculo 2 2 2 5 4 2" xfId="5298"/>
    <cellStyle name="Cálculo 2 2 2 5 4 2 2" xfId="9607"/>
    <cellStyle name="Cálculo 2 2 2 5 4 2 2 2" xfId="15869"/>
    <cellStyle name="Cálculo 2 2 2 5 4 2 2 2 2" xfId="29285"/>
    <cellStyle name="Cálculo 2 2 2 5 4 2 2 3" xfId="20614"/>
    <cellStyle name="Cálculo 2 2 2 5 4 2 3" xfId="11848"/>
    <cellStyle name="Cálculo 2 2 2 5 4 2 3 2" xfId="26170"/>
    <cellStyle name="Cálculo 2 2 2 5 4 2 4" xfId="17493"/>
    <cellStyle name="Cálculo 2 2 2 5 4 3" xfId="12949"/>
    <cellStyle name="Cálculo 2 2 2 5 4 3 2" xfId="27271"/>
    <cellStyle name="Cálculo 2 2 2 5 4 4" xfId="18594"/>
    <cellStyle name="Cálculo 2 2 2 5 5" xfId="5614"/>
    <cellStyle name="Cálculo 2 2 2 5 5 2" xfId="12167"/>
    <cellStyle name="Cálculo 2 2 2 5 5 2 2" xfId="26489"/>
    <cellStyle name="Cálculo 2 2 2 5 5 3" xfId="17812"/>
    <cellStyle name="Cálculo 2 2 2 5 6" xfId="4301"/>
    <cellStyle name="Cálculo 2 2 2 5 6 2" xfId="22880"/>
    <cellStyle name="Cálculo 2 2 2 5 7" xfId="15157"/>
    <cellStyle name="Cálculo 2 2 2 6" xfId="246"/>
    <cellStyle name="Cálculo 2 2 2 6 2" xfId="247"/>
    <cellStyle name="Cálculo 2 2 2 6 2 2" xfId="6903"/>
    <cellStyle name="Cálculo 2 2 2 6 2 2 2" xfId="13507"/>
    <cellStyle name="Cálculo 2 2 2 6 2 2 2 2" xfId="27829"/>
    <cellStyle name="Cálculo 2 2 2 6 2 2 3" xfId="19152"/>
    <cellStyle name="Cálculo 2 2 2 6 2 3" xfId="7651"/>
    <cellStyle name="Cálculo 2 2 2 6 2 3 2" xfId="10265"/>
    <cellStyle name="Cálculo 2 2 2 6 2 3 2 2" xfId="16527"/>
    <cellStyle name="Cálculo 2 2 2 6 2 3 2 2 2" xfId="29943"/>
    <cellStyle name="Cálculo 2 2 2 6 2 3 2 3" xfId="21272"/>
    <cellStyle name="Cálculo 2 2 2 6 2 3 3" xfId="14255"/>
    <cellStyle name="Cálculo 2 2 2 6 2 3 3 2" xfId="28577"/>
    <cellStyle name="Cálculo 2 2 2 6 2 3 4" xfId="19900"/>
    <cellStyle name="Cálculo 2 2 2 6 2 4" xfId="11385"/>
    <cellStyle name="Cálculo 2 2 2 6 2 4 2" xfId="25707"/>
    <cellStyle name="Cálculo 2 2 2 6 2 5" xfId="6681"/>
    <cellStyle name="Cálculo 2 2 2 6 3" xfId="248"/>
    <cellStyle name="Cálculo 2 2 2 6 3 2" xfId="7296"/>
    <cellStyle name="Cálculo 2 2 2 6 3 2 2" xfId="9910"/>
    <cellStyle name="Cálculo 2 2 2 6 3 2 2 2" xfId="16172"/>
    <cellStyle name="Cálculo 2 2 2 6 3 2 2 2 2" xfId="29588"/>
    <cellStyle name="Cálculo 2 2 2 6 3 2 2 3" xfId="20917"/>
    <cellStyle name="Cálculo 2 2 2 6 3 2 3" xfId="13900"/>
    <cellStyle name="Cálculo 2 2 2 6 3 2 3 2" xfId="28222"/>
    <cellStyle name="Cálculo 2 2 2 6 3 2 4" xfId="19545"/>
    <cellStyle name="Cálculo 2 2 2 6 3 3" xfId="13415"/>
    <cellStyle name="Cálculo 2 2 2 6 3 3 2" xfId="27737"/>
    <cellStyle name="Cálculo 2 2 2 6 3 4" xfId="19060"/>
    <cellStyle name="Cálculo 2 2 2 6 4" xfId="5884"/>
    <cellStyle name="Cálculo 2 2 2 6 4 2" xfId="12437"/>
    <cellStyle name="Cálculo 2 2 2 6 4 2 2" xfId="26759"/>
    <cellStyle name="Cálculo 2 2 2 6 4 3" xfId="18082"/>
    <cellStyle name="Cálculo 2 2 2 6 5" xfId="6724"/>
    <cellStyle name="Cálculo 2 2 2 6 5 2" xfId="23678"/>
    <cellStyle name="Cálculo 2 2 2 6 6" xfId="14704"/>
    <cellStyle name="Cálculo 2 2 2 7" xfId="249"/>
    <cellStyle name="Cálculo 2 2 2 7 2" xfId="6432"/>
    <cellStyle name="Cálculo 2 2 2 7 2 2" xfId="13015"/>
    <cellStyle name="Cálculo 2 2 2 7 2 2 2" xfId="27337"/>
    <cellStyle name="Cálculo 2 2 2 7 2 3" xfId="18660"/>
    <cellStyle name="Cálculo 2 2 2 7 3" xfId="7478"/>
    <cellStyle name="Cálculo 2 2 2 7 3 2" xfId="10092"/>
    <cellStyle name="Cálculo 2 2 2 7 3 2 2" xfId="16354"/>
    <cellStyle name="Cálculo 2 2 2 7 3 2 2 2" xfId="29770"/>
    <cellStyle name="Cálculo 2 2 2 7 3 2 3" xfId="21099"/>
    <cellStyle name="Cálculo 2 2 2 7 3 3" xfId="14082"/>
    <cellStyle name="Cálculo 2 2 2 7 3 3 2" xfId="28404"/>
    <cellStyle name="Cálculo 2 2 2 7 3 4" xfId="19727"/>
    <cellStyle name="Cálculo 2 2 2 7 4" xfId="4704"/>
    <cellStyle name="Cálculo 2 2 2 7 4 2" xfId="23137"/>
    <cellStyle name="Cálculo 2 2 2 7 5" xfId="17213"/>
    <cellStyle name="Cálculo 2 2 2 8" xfId="250"/>
    <cellStyle name="Cálculo 2 2 2 8 2" xfId="4390"/>
    <cellStyle name="Cálculo 2 2 2 8 2 2" xfId="9458"/>
    <cellStyle name="Cálculo 2 2 2 8 2 2 2" xfId="15720"/>
    <cellStyle name="Cálculo 2 2 2 8 2 2 2 2" xfId="29136"/>
    <cellStyle name="Cálculo 2 2 2 8 2 2 3" xfId="20465"/>
    <cellStyle name="Cálculo 2 2 2 8 2 3" xfId="4097"/>
    <cellStyle name="Cálculo 2 2 2 8 2 3 2" xfId="22756"/>
    <cellStyle name="Cálculo 2 2 2 8 2 4" xfId="17307"/>
    <cellStyle name="Cálculo 2 2 2 8 3" xfId="12764"/>
    <cellStyle name="Cálculo 2 2 2 8 3 2" xfId="27086"/>
    <cellStyle name="Cálculo 2 2 2 8 4" xfId="18409"/>
    <cellStyle name="Cálculo 2 2 2 9" xfId="5475"/>
    <cellStyle name="Cálculo 2 2 2 9 2" xfId="12026"/>
    <cellStyle name="Cálculo 2 2 2 9 2 2" xfId="26348"/>
    <cellStyle name="Cálculo 2 2 2 9 3" xfId="17671"/>
    <cellStyle name="Cálculo 2 2 3" xfId="251"/>
    <cellStyle name="Cálculo 2 2 3 2" xfId="252"/>
    <cellStyle name="Cálculo 2 2 3 2 2" xfId="253"/>
    <cellStyle name="Cálculo 2 2 3 2 2 2" xfId="6832"/>
    <cellStyle name="Cálculo 2 2 3 2 2 2 2" xfId="13436"/>
    <cellStyle name="Cálculo 2 2 3 2 2 2 2 2" xfId="27758"/>
    <cellStyle name="Cálculo 2 2 3 2 2 2 3" xfId="19081"/>
    <cellStyle name="Cálculo 2 2 3 2 2 3" xfId="3655"/>
    <cellStyle name="Cálculo 2 2 3 2 2 3 2" xfId="9353"/>
    <cellStyle name="Cálculo 2 2 3 2 2 3 2 2" xfId="15615"/>
    <cellStyle name="Cálculo 2 2 3 2 2 3 2 2 2" xfId="29031"/>
    <cellStyle name="Cálculo 2 2 3 2 2 3 2 3" xfId="20360"/>
    <cellStyle name="Cálculo 2 2 3 2 2 3 3" xfId="5133"/>
    <cellStyle name="Cálculo 2 2 3 2 2 3 3 2" xfId="23328"/>
    <cellStyle name="Cálculo 2 2 3 2 2 3 4" xfId="14994"/>
    <cellStyle name="Cálculo 2 2 3 2 2 4" xfId="2817"/>
    <cellStyle name="Cálculo 2 2 3 2 2 4 2" xfId="22380"/>
    <cellStyle name="Cálculo 2 2 3 2 2 5" xfId="15194"/>
    <cellStyle name="Cálculo 2 2 3 2 3" xfId="254"/>
    <cellStyle name="Cálculo 2 2 3 2 3 2" xfId="7933"/>
    <cellStyle name="Cálculo 2 2 3 2 3 2 2" xfId="10547"/>
    <cellStyle name="Cálculo 2 2 3 2 3 2 2 2" xfId="16809"/>
    <cellStyle name="Cálculo 2 2 3 2 3 2 2 2 2" xfId="30225"/>
    <cellStyle name="Cálculo 2 2 3 2 3 2 2 3" xfId="21554"/>
    <cellStyle name="Cálculo 2 2 3 2 3 2 3" xfId="14537"/>
    <cellStyle name="Cálculo 2 2 3 2 3 2 3 2" xfId="28859"/>
    <cellStyle name="Cálculo 2 2 3 2 3 2 4" xfId="20182"/>
    <cellStyle name="Cálculo 2 2 3 2 3 3" xfId="13310"/>
    <cellStyle name="Cálculo 2 2 3 2 3 3 2" xfId="27632"/>
    <cellStyle name="Cálculo 2 2 3 2 3 4" xfId="18955"/>
    <cellStyle name="Cálculo 2 2 3 2 4" xfId="5760"/>
    <cellStyle name="Cálculo 2 2 3 2 4 2" xfId="12313"/>
    <cellStyle name="Cálculo 2 2 3 2 4 2 2" xfId="26635"/>
    <cellStyle name="Cálculo 2 2 3 2 4 3" xfId="17958"/>
    <cellStyle name="Cálculo 2 2 3 2 5" xfId="4057"/>
    <cellStyle name="Cálculo 2 2 3 2 5 2" xfId="22732"/>
    <cellStyle name="Cálculo 2 2 3 2 6" xfId="6606"/>
    <cellStyle name="Cálculo 2 2 3 3" xfId="255"/>
    <cellStyle name="Cálculo 2 2 3 3 2" xfId="256"/>
    <cellStyle name="Cálculo 2 2 3 3 2 2" xfId="3890"/>
    <cellStyle name="Cálculo 2 2 3 3 2 2 2" xfId="6329"/>
    <cellStyle name="Cálculo 2 2 3 3 2 2 2 2" xfId="23518"/>
    <cellStyle name="Cálculo 2 2 3 3 2 2 3" xfId="14820"/>
    <cellStyle name="Cálculo 2 2 3 3 2 3" xfId="7885"/>
    <cellStyle name="Cálculo 2 2 3 3 2 3 2" xfId="10499"/>
    <cellStyle name="Cálculo 2 2 3 3 2 3 2 2" xfId="16761"/>
    <cellStyle name="Cálculo 2 2 3 3 2 3 2 2 2" xfId="30177"/>
    <cellStyle name="Cálculo 2 2 3 3 2 3 2 3" xfId="21506"/>
    <cellStyle name="Cálculo 2 2 3 3 2 3 3" xfId="14489"/>
    <cellStyle name="Cálculo 2 2 3 3 2 3 3 2" xfId="28811"/>
    <cellStyle name="Cálculo 2 2 3 3 2 3 4" xfId="20134"/>
    <cellStyle name="Cálculo 2 2 3 3 2 4" xfId="4627"/>
    <cellStyle name="Cálculo 2 2 3 3 2 4 2" xfId="23073"/>
    <cellStyle name="Cálculo 2 2 3 3 2 5" xfId="4841"/>
    <cellStyle name="Cálculo 2 2 3 3 3" xfId="257"/>
    <cellStyle name="Cálculo 2 2 3 3 3 2" xfId="5265"/>
    <cellStyle name="Cálculo 2 2 3 3 3 2 2" xfId="9574"/>
    <cellStyle name="Cálculo 2 2 3 3 3 2 2 2" xfId="15836"/>
    <cellStyle name="Cálculo 2 2 3 3 3 2 2 2 2" xfId="29252"/>
    <cellStyle name="Cálculo 2 2 3 3 3 2 2 3" xfId="20581"/>
    <cellStyle name="Cálculo 2 2 3 3 3 2 3" xfId="11815"/>
    <cellStyle name="Cálculo 2 2 3 3 3 2 3 2" xfId="26137"/>
    <cellStyle name="Cálculo 2 2 3 3 3 2 4" xfId="17460"/>
    <cellStyle name="Cálculo 2 2 3 3 3 3" xfId="13069"/>
    <cellStyle name="Cálculo 2 2 3 3 3 3 2" xfId="27391"/>
    <cellStyle name="Cálculo 2 2 3 3 3 4" xfId="18714"/>
    <cellStyle name="Cálculo 2 2 3 3 4" xfId="5408"/>
    <cellStyle name="Cálculo 2 2 3 3 4 2" xfId="11958"/>
    <cellStyle name="Cálculo 2 2 3 3 4 2 2" xfId="26280"/>
    <cellStyle name="Cálculo 2 2 3 3 4 3" xfId="17603"/>
    <cellStyle name="Cálculo 2 2 3 3 5" xfId="4514"/>
    <cellStyle name="Cálculo 2 2 3 3 5 2" xfId="23001"/>
    <cellStyle name="Cálculo 2 2 3 3 6" xfId="4094"/>
    <cellStyle name="Cálculo 2 2 3 4" xfId="258"/>
    <cellStyle name="Cálculo 2 2 3 4 2" xfId="6905"/>
    <cellStyle name="Cálculo 2 2 3 4 2 2" xfId="13509"/>
    <cellStyle name="Cálculo 2 2 3 4 2 2 2" xfId="27831"/>
    <cellStyle name="Cálculo 2 2 3 4 2 3" xfId="19154"/>
    <cellStyle name="Cálculo 2 2 3 4 3" xfId="7709"/>
    <cellStyle name="Cálculo 2 2 3 4 3 2" xfId="10323"/>
    <cellStyle name="Cálculo 2 2 3 4 3 2 2" xfId="16585"/>
    <cellStyle name="Cálculo 2 2 3 4 3 2 2 2" xfId="30001"/>
    <cellStyle name="Cálculo 2 2 3 4 3 2 3" xfId="21330"/>
    <cellStyle name="Cálculo 2 2 3 4 3 3" xfId="14313"/>
    <cellStyle name="Cálculo 2 2 3 4 3 3 2" xfId="28635"/>
    <cellStyle name="Cálculo 2 2 3 4 3 4" xfId="19958"/>
    <cellStyle name="Cálculo 2 2 3 4 4" xfId="11389"/>
    <cellStyle name="Cálculo 2 2 3 4 4 2" xfId="25711"/>
    <cellStyle name="Cálculo 2 2 3 4 5" xfId="15403"/>
    <cellStyle name="Cálculo 2 2 3 5" xfId="259"/>
    <cellStyle name="Cálculo 2 2 3 5 2" xfId="7398"/>
    <cellStyle name="Cálculo 2 2 3 5 2 2" xfId="10012"/>
    <cellStyle name="Cálculo 2 2 3 5 2 2 2" xfId="16274"/>
    <cellStyle name="Cálculo 2 2 3 5 2 2 2 2" xfId="29690"/>
    <cellStyle name="Cálculo 2 2 3 5 2 2 3" xfId="21019"/>
    <cellStyle name="Cálculo 2 2 3 5 2 3" xfId="14002"/>
    <cellStyle name="Cálculo 2 2 3 5 2 3 2" xfId="28324"/>
    <cellStyle name="Cálculo 2 2 3 5 2 4" xfId="19647"/>
    <cellStyle name="Cálculo 2 2 3 5 3" xfId="12886"/>
    <cellStyle name="Cálculo 2 2 3 5 3 2" xfId="27208"/>
    <cellStyle name="Cálculo 2 2 3 5 4" xfId="18531"/>
    <cellStyle name="Cálculo 2 2 3 6" xfId="5504"/>
    <cellStyle name="Cálculo 2 2 3 6 2" xfId="12055"/>
    <cellStyle name="Cálculo 2 2 3 6 2 2" xfId="26377"/>
    <cellStyle name="Cálculo 2 2 3 6 3" xfId="17700"/>
    <cellStyle name="Cálculo 2 2 3 7" xfId="5376"/>
    <cellStyle name="Cálculo 2 2 3 7 2" xfId="23342"/>
    <cellStyle name="Cálculo 2 2 3 8" xfId="15473"/>
    <cellStyle name="Cálculo 2 2 4" xfId="260"/>
    <cellStyle name="Cálculo 2 2 4 2" xfId="261"/>
    <cellStyle name="Cálculo 2 2 4 2 2" xfId="262"/>
    <cellStyle name="Cálculo 2 2 4 2 2 2" xfId="5063"/>
    <cellStyle name="Cálculo 2 2 4 2 2 2 2" xfId="11610"/>
    <cellStyle name="Cálculo 2 2 4 2 2 2 2 2" xfId="25932"/>
    <cellStyle name="Cálculo 2 2 4 2 2 2 3" xfId="4709"/>
    <cellStyle name="Cálculo 2 2 4 2 2 3" xfId="8017"/>
    <cellStyle name="Cálculo 2 2 4 2 2 3 2" xfId="10631"/>
    <cellStyle name="Cálculo 2 2 4 2 2 3 2 2" xfId="16893"/>
    <cellStyle name="Cálculo 2 2 4 2 2 3 2 2 2" xfId="30309"/>
    <cellStyle name="Cálculo 2 2 4 2 2 3 2 3" xfId="21638"/>
    <cellStyle name="Cálculo 2 2 4 2 2 3 3" xfId="14621"/>
    <cellStyle name="Cálculo 2 2 4 2 2 3 3 2" xfId="28943"/>
    <cellStyle name="Cálculo 2 2 4 2 2 3 4" xfId="20266"/>
    <cellStyle name="Cálculo 2 2 4 2 2 4" xfId="5113"/>
    <cellStyle name="Cálculo 2 2 4 2 2 4 2" xfId="23326"/>
    <cellStyle name="Cálculo 2 2 4 2 2 5" xfId="4794"/>
    <cellStyle name="Cálculo 2 2 4 2 3" xfId="263"/>
    <cellStyle name="Cálculo 2 2 4 2 3 2" xfId="7716"/>
    <cellStyle name="Cálculo 2 2 4 2 3 2 2" xfId="10330"/>
    <cellStyle name="Cálculo 2 2 4 2 3 2 2 2" xfId="16592"/>
    <cellStyle name="Cálculo 2 2 4 2 3 2 2 2 2" xfId="30008"/>
    <cellStyle name="Cálculo 2 2 4 2 3 2 2 3" xfId="21337"/>
    <cellStyle name="Cálculo 2 2 4 2 3 2 3" xfId="14320"/>
    <cellStyle name="Cálculo 2 2 4 2 3 2 3 2" xfId="28642"/>
    <cellStyle name="Cálculo 2 2 4 2 3 2 4" xfId="19965"/>
    <cellStyle name="Cálculo 2 2 4 2 3 3" xfId="13346"/>
    <cellStyle name="Cálculo 2 2 4 2 3 3 2" xfId="27668"/>
    <cellStyle name="Cálculo 2 2 4 2 3 4" xfId="18991"/>
    <cellStyle name="Cálculo 2 2 4 2 4" xfId="5796"/>
    <cellStyle name="Cálculo 2 2 4 2 4 2" xfId="12349"/>
    <cellStyle name="Cálculo 2 2 4 2 4 2 2" xfId="26671"/>
    <cellStyle name="Cálculo 2 2 4 2 4 3" xfId="17994"/>
    <cellStyle name="Cálculo 2 2 4 2 5" xfId="3847"/>
    <cellStyle name="Cálculo 2 2 4 2 5 2" xfId="22611"/>
    <cellStyle name="Cálculo 2 2 4 2 6" xfId="17073"/>
    <cellStyle name="Cálculo 2 2 4 3" xfId="264"/>
    <cellStyle name="Cálculo 2 2 4 3 2" xfId="265"/>
    <cellStyle name="Cálculo 2 2 4 3 2 2" xfId="6174"/>
    <cellStyle name="Cálculo 2 2 4 3 2 2 2" xfId="12747"/>
    <cellStyle name="Cálculo 2 2 4 3 2 2 2 2" xfId="27069"/>
    <cellStyle name="Cálculo 2 2 4 3 2 2 3" xfId="18392"/>
    <cellStyle name="Cálculo 2 2 4 3 2 3" xfId="7938"/>
    <cellStyle name="Cálculo 2 2 4 3 2 3 2" xfId="10552"/>
    <cellStyle name="Cálculo 2 2 4 3 2 3 2 2" xfId="16814"/>
    <cellStyle name="Cálculo 2 2 4 3 2 3 2 2 2" xfId="30230"/>
    <cellStyle name="Cálculo 2 2 4 3 2 3 2 3" xfId="21559"/>
    <cellStyle name="Cálculo 2 2 4 3 2 3 3" xfId="14542"/>
    <cellStyle name="Cálculo 2 2 4 3 2 3 3 2" xfId="28864"/>
    <cellStyle name="Cálculo 2 2 4 3 2 3 4" xfId="20187"/>
    <cellStyle name="Cálculo 2 2 4 3 2 4" xfId="6344"/>
    <cellStyle name="Cálculo 2 2 4 3 2 4 2" xfId="23530"/>
    <cellStyle name="Cálculo 2 2 4 3 2 5" xfId="15401"/>
    <cellStyle name="Cálculo 2 2 4 3 3" xfId="266"/>
    <cellStyle name="Cálculo 2 2 4 3 3 2" xfId="7963"/>
    <cellStyle name="Cálculo 2 2 4 3 3 2 2" xfId="10577"/>
    <cellStyle name="Cálculo 2 2 4 3 3 2 2 2" xfId="16839"/>
    <cellStyle name="Cálculo 2 2 4 3 3 2 2 2 2" xfId="30255"/>
    <cellStyle name="Cálculo 2 2 4 3 3 2 2 3" xfId="21584"/>
    <cellStyle name="Cálculo 2 2 4 3 3 2 3" xfId="14567"/>
    <cellStyle name="Cálculo 2 2 4 3 3 2 3 2" xfId="28889"/>
    <cellStyle name="Cálculo 2 2 4 3 3 2 4" xfId="20212"/>
    <cellStyle name="Cálculo 2 2 4 3 3 3" xfId="13387"/>
    <cellStyle name="Cálculo 2 2 4 3 3 3 2" xfId="27709"/>
    <cellStyle name="Cálculo 2 2 4 3 3 4" xfId="19032"/>
    <cellStyle name="Cálculo 2 2 4 3 4" xfId="5848"/>
    <cellStyle name="Cálculo 2 2 4 3 4 2" xfId="12401"/>
    <cellStyle name="Cálculo 2 2 4 3 4 2 2" xfId="26723"/>
    <cellStyle name="Cálculo 2 2 4 3 4 3" xfId="18046"/>
    <cellStyle name="Cálculo 2 2 4 3 5" xfId="4969"/>
    <cellStyle name="Cálculo 2 2 4 3 5 2" xfId="23286"/>
    <cellStyle name="Cálculo 2 2 4 3 6" xfId="6762"/>
    <cellStyle name="Cálculo 2 2 4 4" xfId="267"/>
    <cellStyle name="Cálculo 2 2 4 4 2" xfId="6831"/>
    <cellStyle name="Cálculo 2 2 4 4 2 2" xfId="13435"/>
    <cellStyle name="Cálculo 2 2 4 4 2 2 2" xfId="27757"/>
    <cellStyle name="Cálculo 2 2 4 4 2 3" xfId="19080"/>
    <cellStyle name="Cálculo 2 2 4 4 3" xfId="5306"/>
    <cellStyle name="Cálculo 2 2 4 4 3 2" xfId="9615"/>
    <cellStyle name="Cálculo 2 2 4 4 3 2 2" xfId="15877"/>
    <cellStyle name="Cálculo 2 2 4 4 3 2 2 2" xfId="29293"/>
    <cellStyle name="Cálculo 2 2 4 4 3 2 3" xfId="20622"/>
    <cellStyle name="Cálculo 2 2 4 4 3 3" xfId="11856"/>
    <cellStyle name="Cálculo 2 2 4 4 3 3 2" xfId="26178"/>
    <cellStyle name="Cálculo 2 2 4 4 3 4" xfId="17501"/>
    <cellStyle name="Cálculo 2 2 4 4 4" xfId="2819"/>
    <cellStyle name="Cálculo 2 2 4 4 4 2" xfId="22382"/>
    <cellStyle name="Cálculo 2 2 4 4 5" xfId="3608"/>
    <cellStyle name="Cálculo 2 2 4 5" xfId="268"/>
    <cellStyle name="Cálculo 2 2 4 5 2" xfId="7655"/>
    <cellStyle name="Cálculo 2 2 4 5 2 2" xfId="10269"/>
    <cellStyle name="Cálculo 2 2 4 5 2 2 2" xfId="16531"/>
    <cellStyle name="Cálculo 2 2 4 5 2 2 2 2" xfId="29947"/>
    <cellStyle name="Cálculo 2 2 4 5 2 2 3" xfId="21276"/>
    <cellStyle name="Cálculo 2 2 4 5 2 3" xfId="14259"/>
    <cellStyle name="Cálculo 2 2 4 5 2 3 2" xfId="28581"/>
    <cellStyle name="Cálculo 2 2 4 5 2 4" xfId="19904"/>
    <cellStyle name="Cálculo 2 2 4 5 3" xfId="12922"/>
    <cellStyle name="Cálculo 2 2 4 5 3 2" xfId="27244"/>
    <cellStyle name="Cálculo 2 2 4 5 4" xfId="18567"/>
    <cellStyle name="Cálculo 2 2 4 6" xfId="5546"/>
    <cellStyle name="Cálculo 2 2 4 6 2" xfId="12097"/>
    <cellStyle name="Cálculo 2 2 4 6 2 2" xfId="26419"/>
    <cellStyle name="Cálculo 2 2 4 6 3" xfId="17742"/>
    <cellStyle name="Cálculo 2 2 4 7" xfId="3821"/>
    <cellStyle name="Cálculo 2 2 4 7 2" xfId="22599"/>
    <cellStyle name="Cálculo 2 2 4 8" xfId="15047"/>
    <cellStyle name="Cálculo 2 2 5" xfId="269"/>
    <cellStyle name="Cálculo 2 2 5 2" xfId="270"/>
    <cellStyle name="Cálculo 2 2 5 2 2" xfId="271"/>
    <cellStyle name="Cálculo 2 2 5 2 2 2" xfId="6554"/>
    <cellStyle name="Cálculo 2 2 5 2 2 2 2" xfId="13142"/>
    <cellStyle name="Cálculo 2 2 5 2 2 2 2 2" xfId="27464"/>
    <cellStyle name="Cálculo 2 2 5 2 2 2 3" xfId="18787"/>
    <cellStyle name="Cálculo 2 2 5 2 2 3" xfId="3867"/>
    <cellStyle name="Cálculo 2 2 5 2 2 3 2" xfId="9386"/>
    <cellStyle name="Cálculo 2 2 5 2 2 3 2 2" xfId="15648"/>
    <cellStyle name="Cálculo 2 2 5 2 2 3 2 2 2" xfId="29064"/>
    <cellStyle name="Cálculo 2 2 5 2 2 3 2 3" xfId="20393"/>
    <cellStyle name="Cálculo 2 2 5 2 2 3 3" xfId="4266"/>
    <cellStyle name="Cálculo 2 2 5 2 2 3 3 2" xfId="22859"/>
    <cellStyle name="Cálculo 2 2 5 2 2 3 4" xfId="15108"/>
    <cellStyle name="Cálculo 2 2 5 2 2 4" xfId="5239"/>
    <cellStyle name="Cálculo 2 2 5 2 2 4 2" xfId="23339"/>
    <cellStyle name="Cálculo 2 2 5 2 2 5" xfId="17265"/>
    <cellStyle name="Cálculo 2 2 5 2 3" xfId="272"/>
    <cellStyle name="Cálculo 2 2 5 2 3 2" xfId="8015"/>
    <cellStyle name="Cálculo 2 2 5 2 3 2 2" xfId="10629"/>
    <cellStyle name="Cálculo 2 2 5 2 3 2 2 2" xfId="16891"/>
    <cellStyle name="Cálculo 2 2 5 2 3 2 2 2 2" xfId="30307"/>
    <cellStyle name="Cálculo 2 2 5 2 3 2 2 3" xfId="21636"/>
    <cellStyle name="Cálculo 2 2 5 2 3 2 3" xfId="14619"/>
    <cellStyle name="Cálculo 2 2 5 2 3 2 3 2" xfId="28941"/>
    <cellStyle name="Cálculo 2 2 5 2 3 2 4" xfId="20264"/>
    <cellStyle name="Cálculo 2 2 5 2 3 3" xfId="13203"/>
    <cellStyle name="Cálculo 2 2 5 2 3 3 2" xfId="27525"/>
    <cellStyle name="Cálculo 2 2 5 2 3 4" xfId="18848"/>
    <cellStyle name="Cálculo 2 2 5 2 4" xfId="5642"/>
    <cellStyle name="Cálculo 2 2 5 2 4 2" xfId="12195"/>
    <cellStyle name="Cálculo 2 2 5 2 4 2 2" xfId="26517"/>
    <cellStyle name="Cálculo 2 2 5 2 4 3" xfId="17840"/>
    <cellStyle name="Cálculo 2 2 5 2 5" xfId="4537"/>
    <cellStyle name="Cálculo 2 2 5 2 5 2" xfId="23017"/>
    <cellStyle name="Cálculo 2 2 5 2 6" xfId="4761"/>
    <cellStyle name="Cálculo 2 2 5 3" xfId="273"/>
    <cellStyle name="Cálculo 2 2 5 3 2" xfId="274"/>
    <cellStyle name="Cálculo 2 2 5 3 2 2" xfId="6894"/>
    <cellStyle name="Cálculo 2 2 5 3 2 2 2" xfId="13498"/>
    <cellStyle name="Cálculo 2 2 5 3 2 2 2 2" xfId="27820"/>
    <cellStyle name="Cálculo 2 2 5 3 2 2 3" xfId="19143"/>
    <cellStyle name="Cálculo 2 2 5 3 2 3" xfId="7941"/>
    <cellStyle name="Cálculo 2 2 5 3 2 3 2" xfId="10555"/>
    <cellStyle name="Cálculo 2 2 5 3 2 3 2 2" xfId="16817"/>
    <cellStyle name="Cálculo 2 2 5 3 2 3 2 2 2" xfId="30233"/>
    <cellStyle name="Cálculo 2 2 5 3 2 3 2 3" xfId="21562"/>
    <cellStyle name="Cálculo 2 2 5 3 2 3 3" xfId="14545"/>
    <cellStyle name="Cálculo 2 2 5 3 2 3 3 2" xfId="28867"/>
    <cellStyle name="Cálculo 2 2 5 3 2 3 4" xfId="20190"/>
    <cellStyle name="Cálculo 2 2 5 3 2 4" xfId="11373"/>
    <cellStyle name="Cálculo 2 2 5 3 2 4 2" xfId="25695"/>
    <cellStyle name="Cálculo 2 2 5 3 2 5" xfId="14998"/>
    <cellStyle name="Cálculo 2 2 5 3 3" xfId="275"/>
    <cellStyle name="Cálculo 2 2 5 3 3 2" xfId="7141"/>
    <cellStyle name="Cálculo 2 2 5 3 3 2 2" xfId="9755"/>
    <cellStyle name="Cálculo 2 2 5 3 3 2 2 2" xfId="16017"/>
    <cellStyle name="Cálculo 2 2 5 3 3 2 2 2 2" xfId="29433"/>
    <cellStyle name="Cálculo 2 2 5 3 3 2 2 3" xfId="20762"/>
    <cellStyle name="Cálculo 2 2 5 3 3 2 3" xfId="13745"/>
    <cellStyle name="Cálculo 2 2 5 3 3 2 3 2" xfId="28067"/>
    <cellStyle name="Cálculo 2 2 5 3 3 2 4" xfId="19390"/>
    <cellStyle name="Cálculo 2 2 5 3 3 3" xfId="13246"/>
    <cellStyle name="Cálculo 2 2 5 3 3 3 2" xfId="27568"/>
    <cellStyle name="Cálculo 2 2 5 3 3 4" xfId="18891"/>
    <cellStyle name="Cálculo 2 2 5 3 4" xfId="5688"/>
    <cellStyle name="Cálculo 2 2 5 3 4 2" xfId="12241"/>
    <cellStyle name="Cálculo 2 2 5 3 4 2 2" xfId="26563"/>
    <cellStyle name="Cálculo 2 2 5 3 4 3" xfId="17886"/>
    <cellStyle name="Cálculo 2 2 5 3 5" xfId="3724"/>
    <cellStyle name="Cálculo 2 2 5 3 5 2" xfId="22547"/>
    <cellStyle name="Cálculo 2 2 5 3 6" xfId="14739"/>
    <cellStyle name="Cálculo 2 2 5 4" xfId="276"/>
    <cellStyle name="Cálculo 2 2 5 4 2" xfId="6935"/>
    <cellStyle name="Cálculo 2 2 5 4 2 2" xfId="13539"/>
    <cellStyle name="Cálculo 2 2 5 4 2 2 2" xfId="27861"/>
    <cellStyle name="Cálculo 2 2 5 4 2 3" xfId="19184"/>
    <cellStyle name="Cálculo 2 2 5 4 3" xfId="4348"/>
    <cellStyle name="Cálculo 2 2 5 4 3 2" xfId="9453"/>
    <cellStyle name="Cálculo 2 2 5 4 3 2 2" xfId="15715"/>
    <cellStyle name="Cálculo 2 2 5 4 3 2 2 2" xfId="29131"/>
    <cellStyle name="Cálculo 2 2 5 4 3 2 3" xfId="20460"/>
    <cellStyle name="Cálculo 2 2 5 4 3 3" xfId="3760"/>
    <cellStyle name="Cálculo 2 2 5 4 3 3 2" xfId="22566"/>
    <cellStyle name="Cálculo 2 2 5 4 3 4" xfId="14819"/>
    <cellStyle name="Cálculo 2 2 5 4 4" xfId="11428"/>
    <cellStyle name="Cálculo 2 2 5 4 4 2" xfId="25750"/>
    <cellStyle name="Cálculo 2 2 5 4 5" xfId="3628"/>
    <cellStyle name="Cálculo 2 2 5 5" xfId="277"/>
    <cellStyle name="Cálculo 2 2 5 5 2" xfId="5313"/>
    <cellStyle name="Cálculo 2 2 5 5 2 2" xfId="9622"/>
    <cellStyle name="Cálculo 2 2 5 5 2 2 2" xfId="15884"/>
    <cellStyle name="Cálculo 2 2 5 5 2 2 2 2" xfId="29300"/>
    <cellStyle name="Cálculo 2 2 5 5 2 2 3" xfId="20629"/>
    <cellStyle name="Cálculo 2 2 5 5 2 3" xfId="11863"/>
    <cellStyle name="Cálculo 2 2 5 5 2 3 2" xfId="26185"/>
    <cellStyle name="Cálculo 2 2 5 5 2 4" xfId="17508"/>
    <cellStyle name="Cálculo 2 2 5 5 3" xfId="12497"/>
    <cellStyle name="Cálculo 2 2 5 5 3 2" xfId="26819"/>
    <cellStyle name="Cálculo 2 2 5 5 4" xfId="18142"/>
    <cellStyle name="Cálculo 2 2 5 6" xfId="5170"/>
    <cellStyle name="Cálculo 2 2 5 6 2" xfId="11719"/>
    <cellStyle name="Cálculo 2 2 5 6 2 2" xfId="26041"/>
    <cellStyle name="Cálculo 2 2 5 6 3" xfId="4722"/>
    <cellStyle name="Cálculo 2 2 5 7" xfId="6727"/>
    <cellStyle name="Cálculo 2 2 5 7 2" xfId="23681"/>
    <cellStyle name="Cálculo 2 2 5 8" xfId="17093"/>
    <cellStyle name="Cálculo 2 2 6" xfId="278"/>
    <cellStyle name="Cálculo 2 2 6 2" xfId="279"/>
    <cellStyle name="Cálculo 2 2 6 2 2" xfId="280"/>
    <cellStyle name="Cálculo 2 2 6 2 2 2" xfId="7007"/>
    <cellStyle name="Cálculo 2 2 6 2 2 2 2" xfId="13611"/>
    <cellStyle name="Cálculo 2 2 6 2 2 2 2 2" xfId="27933"/>
    <cellStyle name="Cálculo 2 2 6 2 2 2 3" xfId="19256"/>
    <cellStyle name="Cálculo 2 2 6 2 2 3" xfId="7563"/>
    <cellStyle name="Cálculo 2 2 6 2 2 3 2" xfId="10177"/>
    <cellStyle name="Cálculo 2 2 6 2 2 3 2 2" xfId="16439"/>
    <cellStyle name="Cálculo 2 2 6 2 2 3 2 2 2" xfId="29855"/>
    <cellStyle name="Cálculo 2 2 6 2 2 3 2 3" xfId="21184"/>
    <cellStyle name="Cálculo 2 2 6 2 2 3 3" xfId="14167"/>
    <cellStyle name="Cálculo 2 2 6 2 2 3 3 2" xfId="28489"/>
    <cellStyle name="Cálculo 2 2 6 2 2 3 4" xfId="19812"/>
    <cellStyle name="Cálculo 2 2 6 2 2 4" xfId="11527"/>
    <cellStyle name="Cálculo 2 2 6 2 2 4 2" xfId="25849"/>
    <cellStyle name="Cálculo 2 2 6 2 2 5" xfId="4897"/>
    <cellStyle name="Cálculo 2 2 6 2 3" xfId="281"/>
    <cellStyle name="Cálculo 2 2 6 2 3 2" xfId="7352"/>
    <cellStyle name="Cálculo 2 2 6 2 3 2 2" xfId="9966"/>
    <cellStyle name="Cálculo 2 2 6 2 3 2 2 2" xfId="16228"/>
    <cellStyle name="Cálculo 2 2 6 2 3 2 2 2 2" xfId="29644"/>
    <cellStyle name="Cálculo 2 2 6 2 3 2 2 3" xfId="20973"/>
    <cellStyle name="Cálculo 2 2 6 2 3 2 3" xfId="13956"/>
    <cellStyle name="Cálculo 2 2 6 2 3 2 3 2" xfId="28278"/>
    <cellStyle name="Cálculo 2 2 6 2 3 2 4" xfId="19601"/>
    <cellStyle name="Cálculo 2 2 6 2 3 3" xfId="13363"/>
    <cellStyle name="Cálculo 2 2 6 2 3 3 2" xfId="27685"/>
    <cellStyle name="Cálculo 2 2 6 2 3 4" xfId="19008"/>
    <cellStyle name="Cálculo 2 2 6 2 4" xfId="5814"/>
    <cellStyle name="Cálculo 2 2 6 2 4 2" xfId="12367"/>
    <cellStyle name="Cálculo 2 2 6 2 4 2 2" xfId="26689"/>
    <cellStyle name="Cálculo 2 2 6 2 4 3" xfId="18012"/>
    <cellStyle name="Cálculo 2 2 6 2 5" xfId="6325"/>
    <cellStyle name="Cálculo 2 2 6 2 5 2" xfId="23516"/>
    <cellStyle name="Cálculo 2 2 6 2 6" xfId="15558"/>
    <cellStyle name="Cálculo 2 2 6 3" xfId="282"/>
    <cellStyle name="Cálculo 2 2 6 3 2" xfId="6398"/>
    <cellStyle name="Cálculo 2 2 6 3 2 2" xfId="12981"/>
    <cellStyle name="Cálculo 2 2 6 3 2 2 2" xfId="27303"/>
    <cellStyle name="Cálculo 2 2 6 3 2 3" xfId="18626"/>
    <cellStyle name="Cálculo 2 2 6 3 3" xfId="7054"/>
    <cellStyle name="Cálculo 2 2 6 3 3 2" xfId="9668"/>
    <cellStyle name="Cálculo 2 2 6 3 3 2 2" xfId="15930"/>
    <cellStyle name="Cálculo 2 2 6 3 3 2 2 2" xfId="29346"/>
    <cellStyle name="Cálculo 2 2 6 3 3 2 3" xfId="20675"/>
    <cellStyle name="Cálculo 2 2 6 3 3 3" xfId="13658"/>
    <cellStyle name="Cálculo 2 2 6 3 3 3 2" xfId="27980"/>
    <cellStyle name="Cálculo 2 2 6 3 3 4" xfId="19303"/>
    <cellStyle name="Cálculo 2 2 6 3 4" xfId="2846"/>
    <cellStyle name="Cálculo 2 2 6 3 4 2" xfId="22404"/>
    <cellStyle name="Cálculo 2 2 6 3 5" xfId="15416"/>
    <cellStyle name="Cálculo 2 2 6 4" xfId="283"/>
    <cellStyle name="Cálculo 2 2 6 4 2" xfId="4252"/>
    <cellStyle name="Cálculo 2 2 6 4 2 2" xfId="9434"/>
    <cellStyle name="Cálculo 2 2 6 4 2 2 2" xfId="15696"/>
    <cellStyle name="Cálculo 2 2 6 4 2 2 2 2" xfId="29112"/>
    <cellStyle name="Cálculo 2 2 6 4 2 2 3" xfId="20441"/>
    <cellStyle name="Cálculo 2 2 6 4 2 3" xfId="4024"/>
    <cellStyle name="Cálculo 2 2 6 4 2 3 2" xfId="22707"/>
    <cellStyle name="Cálculo 2 2 6 4 2 4" xfId="17136"/>
    <cellStyle name="Cálculo 2 2 6 4 3" xfId="11760"/>
    <cellStyle name="Cálculo 2 2 6 4 3 2" xfId="26082"/>
    <cellStyle name="Cálculo 2 2 6 4 4" xfId="17405"/>
    <cellStyle name="Cálculo 2 2 6 5" xfId="5092"/>
    <cellStyle name="Cálculo 2 2 6 5 2" xfId="11639"/>
    <cellStyle name="Cálculo 2 2 6 5 2 2" xfId="25961"/>
    <cellStyle name="Cálculo 2 2 6 5 3" xfId="15208"/>
    <cellStyle name="Cálculo 2 2 6 6" xfId="3650"/>
    <cellStyle name="Cálculo 2 2 6 6 2" xfId="22507"/>
    <cellStyle name="Cálculo 2 2 6 7" xfId="17120"/>
    <cellStyle name="Cálculo 2 2 7" xfId="284"/>
    <cellStyle name="Cálculo 2 2 7 2" xfId="285"/>
    <cellStyle name="Cálculo 2 2 7 2 2" xfId="5836"/>
    <cellStyle name="Cálculo 2 2 7 2 2 2" xfId="12389"/>
    <cellStyle name="Cálculo 2 2 7 2 2 2 2" xfId="26711"/>
    <cellStyle name="Cálculo 2 2 7 2 2 3" xfId="18034"/>
    <cellStyle name="Cálculo 2 2 7 2 3" xfId="7164"/>
    <cellStyle name="Cálculo 2 2 7 2 3 2" xfId="9778"/>
    <cellStyle name="Cálculo 2 2 7 2 3 2 2" xfId="16040"/>
    <cellStyle name="Cálculo 2 2 7 2 3 2 2 2" xfId="29456"/>
    <cellStyle name="Cálculo 2 2 7 2 3 2 3" xfId="20785"/>
    <cellStyle name="Cálculo 2 2 7 2 3 3" xfId="13768"/>
    <cellStyle name="Cálculo 2 2 7 2 3 3 2" xfId="28090"/>
    <cellStyle name="Cálculo 2 2 7 2 3 4" xfId="19413"/>
    <cellStyle name="Cálculo 2 2 7 2 4" xfId="4871"/>
    <cellStyle name="Cálculo 2 2 7 2 4 2" xfId="23234"/>
    <cellStyle name="Cálculo 2 2 7 2 5" xfId="14703"/>
    <cellStyle name="Cálculo 2 2 7 3" xfId="286"/>
    <cellStyle name="Cálculo 2 2 7 3 2" xfId="7560"/>
    <cellStyle name="Cálculo 2 2 7 3 2 2" xfId="10174"/>
    <cellStyle name="Cálculo 2 2 7 3 2 2 2" xfId="16436"/>
    <cellStyle name="Cálculo 2 2 7 3 2 2 2 2" xfId="29852"/>
    <cellStyle name="Cálculo 2 2 7 3 2 2 3" xfId="21181"/>
    <cellStyle name="Cálculo 2 2 7 3 2 3" xfId="14164"/>
    <cellStyle name="Cálculo 2 2 7 3 2 3 2" xfId="28486"/>
    <cellStyle name="Cálculo 2 2 7 3 2 4" xfId="19809"/>
    <cellStyle name="Cálculo 2 2 7 3 3" xfId="13221"/>
    <cellStyle name="Cálculo 2 2 7 3 3 2" xfId="27543"/>
    <cellStyle name="Cálculo 2 2 7 3 4" xfId="18866"/>
    <cellStyle name="Cálculo 2 2 7 4" xfId="5662"/>
    <cellStyle name="Cálculo 2 2 7 4 2" xfId="12215"/>
    <cellStyle name="Cálculo 2 2 7 4 2 2" xfId="26537"/>
    <cellStyle name="Cálculo 2 2 7 4 3" xfId="17860"/>
    <cellStyle name="Cálculo 2 2 7 5" xfId="4635"/>
    <cellStyle name="Cálculo 2 2 7 5 2" xfId="23079"/>
    <cellStyle name="Cálculo 2 2 7 6" xfId="15031"/>
    <cellStyle name="Cálculo 2 2 8" xfId="287"/>
    <cellStyle name="Cálculo 2 2 8 2" xfId="6407"/>
    <cellStyle name="Cálculo 2 2 8 2 2" xfId="12990"/>
    <cellStyle name="Cálculo 2 2 8 2 2 2" xfId="27312"/>
    <cellStyle name="Cálculo 2 2 8 2 3" xfId="18635"/>
    <cellStyle name="Cálculo 2 2 8 3" xfId="4835"/>
    <cellStyle name="Cálculo 2 2 8 3 2" xfId="9497"/>
    <cellStyle name="Cálculo 2 2 8 3 2 2" xfId="15759"/>
    <cellStyle name="Cálculo 2 2 8 3 2 2 2" xfId="29175"/>
    <cellStyle name="Cálculo 2 2 8 3 2 3" xfId="20504"/>
    <cellStyle name="Cálculo 2 2 8 3 3" xfId="11368"/>
    <cellStyle name="Cálculo 2 2 8 3 3 2" xfId="25690"/>
    <cellStyle name="Cálculo 2 2 8 3 4" xfId="15204"/>
    <cellStyle name="Cálculo 2 2 8 4" xfId="3662"/>
    <cellStyle name="Cálculo 2 2 8 4 2" xfId="22512"/>
    <cellStyle name="Cálculo 2 2 8 5" xfId="15065"/>
    <cellStyle name="Cálculo 2 2 9" xfId="288"/>
    <cellStyle name="Cálculo 2 2 9 2" xfId="7457"/>
    <cellStyle name="Cálculo 2 2 9 2 2" xfId="10071"/>
    <cellStyle name="Cálculo 2 2 9 2 2 2" xfId="16333"/>
    <cellStyle name="Cálculo 2 2 9 2 2 2 2" xfId="29749"/>
    <cellStyle name="Cálculo 2 2 9 2 2 3" xfId="21078"/>
    <cellStyle name="Cálculo 2 2 9 2 3" xfId="14061"/>
    <cellStyle name="Cálculo 2 2 9 2 3 2" xfId="28383"/>
    <cellStyle name="Cálculo 2 2 9 2 4" xfId="19706"/>
    <cellStyle name="Cálculo 2 2 9 3" xfId="12727"/>
    <cellStyle name="Cálculo 2 2 9 3 2" xfId="27049"/>
    <cellStyle name="Cálculo 2 2 9 4" xfId="18372"/>
    <cellStyle name="Cálculo 2 3" xfId="289"/>
    <cellStyle name="Cálculo 2 3 10" xfId="4671"/>
    <cellStyle name="Cálculo 2 3 10 2" xfId="23110"/>
    <cellStyle name="Cálculo 2 3 11" xfId="3257"/>
    <cellStyle name="Cálculo 2 3 2" xfId="290"/>
    <cellStyle name="Cálculo 2 3 2 2" xfId="291"/>
    <cellStyle name="Cálculo 2 3 2 2 2" xfId="292"/>
    <cellStyle name="Cálculo 2 3 2 2 2 2" xfId="6385"/>
    <cellStyle name="Cálculo 2 3 2 2 2 2 2" xfId="12968"/>
    <cellStyle name="Cálculo 2 3 2 2 2 2 2 2" xfId="27290"/>
    <cellStyle name="Cálculo 2 3 2 2 2 2 3" xfId="18613"/>
    <cellStyle name="Cálculo 2 3 2 2 2 3" xfId="7297"/>
    <cellStyle name="Cálculo 2 3 2 2 2 3 2" xfId="9911"/>
    <cellStyle name="Cálculo 2 3 2 2 2 3 2 2" xfId="16173"/>
    <cellStyle name="Cálculo 2 3 2 2 2 3 2 2 2" xfId="29589"/>
    <cellStyle name="Cálculo 2 3 2 2 2 3 2 3" xfId="20918"/>
    <cellStyle name="Cálculo 2 3 2 2 2 3 3" xfId="13901"/>
    <cellStyle name="Cálculo 2 3 2 2 2 3 3 2" xfId="28223"/>
    <cellStyle name="Cálculo 2 3 2 2 2 3 4" xfId="19546"/>
    <cellStyle name="Cálculo 2 3 2 2 2 4" xfId="4221"/>
    <cellStyle name="Cálculo 2 3 2 2 2 4 2" xfId="22833"/>
    <cellStyle name="Cálculo 2 3 2 2 2 5" xfId="17243"/>
    <cellStyle name="Cálculo 2 3 2 2 3" xfId="293"/>
    <cellStyle name="Cálculo 2 3 2 2 3 2" xfId="7974"/>
    <cellStyle name="Cálculo 2 3 2 2 3 2 2" xfId="10588"/>
    <cellStyle name="Cálculo 2 3 2 2 3 2 2 2" xfId="16850"/>
    <cellStyle name="Cálculo 2 3 2 2 3 2 2 2 2" xfId="30266"/>
    <cellStyle name="Cálculo 2 3 2 2 3 2 2 3" xfId="21595"/>
    <cellStyle name="Cálculo 2 3 2 2 3 2 3" xfId="14578"/>
    <cellStyle name="Cálculo 2 3 2 2 3 2 3 2" xfId="28900"/>
    <cellStyle name="Cálculo 2 3 2 2 3 2 4" xfId="20223"/>
    <cellStyle name="Cálculo 2 3 2 2 3 3" xfId="13315"/>
    <cellStyle name="Cálculo 2 3 2 2 3 3 2" xfId="27637"/>
    <cellStyle name="Cálculo 2 3 2 2 3 4" xfId="18960"/>
    <cellStyle name="Cálculo 2 3 2 2 4" xfId="5765"/>
    <cellStyle name="Cálculo 2 3 2 2 4 2" xfId="12318"/>
    <cellStyle name="Cálculo 2 3 2 2 4 2 2" xfId="26640"/>
    <cellStyle name="Cálculo 2 3 2 2 4 3" xfId="17963"/>
    <cellStyle name="Cálculo 2 3 2 2 5" xfId="5483"/>
    <cellStyle name="Cálculo 2 3 2 2 5 2" xfId="23347"/>
    <cellStyle name="Cálculo 2 3 2 2 6" xfId="17271"/>
    <cellStyle name="Cálculo 2 3 2 3" xfId="294"/>
    <cellStyle name="Cálculo 2 3 2 3 2" xfId="295"/>
    <cellStyle name="Cálculo 2 3 2 3 2 2" xfId="5974"/>
    <cellStyle name="Cálculo 2 3 2 3 2 2 2" xfId="12532"/>
    <cellStyle name="Cálculo 2 3 2 3 2 2 2 2" xfId="26854"/>
    <cellStyle name="Cálculo 2 3 2 3 2 2 3" xfId="18177"/>
    <cellStyle name="Cálculo 2 3 2 3 2 3" xfId="7323"/>
    <cellStyle name="Cálculo 2 3 2 3 2 3 2" xfId="9937"/>
    <cellStyle name="Cálculo 2 3 2 3 2 3 2 2" xfId="16199"/>
    <cellStyle name="Cálculo 2 3 2 3 2 3 2 2 2" xfId="29615"/>
    <cellStyle name="Cálculo 2 3 2 3 2 3 2 3" xfId="20944"/>
    <cellStyle name="Cálculo 2 3 2 3 2 3 3" xfId="13927"/>
    <cellStyle name="Cálculo 2 3 2 3 2 3 3 2" xfId="28249"/>
    <cellStyle name="Cálculo 2 3 2 3 2 3 4" xfId="19572"/>
    <cellStyle name="Cálculo 2 3 2 3 2 4" xfId="4596"/>
    <cellStyle name="Cálculo 2 3 2 3 2 4 2" xfId="23057"/>
    <cellStyle name="Cálculo 2 3 2 3 2 5" xfId="17151"/>
    <cellStyle name="Cálculo 2 3 2 3 3" xfId="296"/>
    <cellStyle name="Cálculo 2 3 2 3 3 2" xfId="7324"/>
    <cellStyle name="Cálculo 2 3 2 3 3 2 2" xfId="9938"/>
    <cellStyle name="Cálculo 2 3 2 3 3 2 2 2" xfId="16200"/>
    <cellStyle name="Cálculo 2 3 2 3 3 2 2 2 2" xfId="29616"/>
    <cellStyle name="Cálculo 2 3 2 3 3 2 2 3" xfId="20945"/>
    <cellStyle name="Cálculo 2 3 2 3 3 2 3" xfId="13928"/>
    <cellStyle name="Cálculo 2 3 2 3 3 2 3 2" xfId="28250"/>
    <cellStyle name="Cálculo 2 3 2 3 3 2 4" xfId="19573"/>
    <cellStyle name="Cálculo 2 3 2 3 3 3" xfId="12116"/>
    <cellStyle name="Cálculo 2 3 2 3 3 3 2" xfId="26438"/>
    <cellStyle name="Cálculo 2 3 2 3 3 4" xfId="17761"/>
    <cellStyle name="Cálculo 2 3 2 3 4" xfId="3823"/>
    <cellStyle name="Cálculo 2 3 2 3 4 2" xfId="4328"/>
    <cellStyle name="Cálculo 2 3 2 3 4 2 2" xfId="22889"/>
    <cellStyle name="Cálculo 2 3 2 3 4 3" xfId="6272"/>
    <cellStyle name="Cálculo 2 3 2 3 5" xfId="4312"/>
    <cellStyle name="Cálculo 2 3 2 3 5 2" xfId="22884"/>
    <cellStyle name="Cálculo 2 3 2 3 6" xfId="15365"/>
    <cellStyle name="Cálculo 2 3 2 4" xfId="297"/>
    <cellStyle name="Cálculo 2 3 2 4 2" xfId="6123"/>
    <cellStyle name="Cálculo 2 3 2 4 2 2" xfId="12692"/>
    <cellStyle name="Cálculo 2 3 2 4 2 2 2" xfId="27014"/>
    <cellStyle name="Cálculo 2 3 2 4 2 3" xfId="18337"/>
    <cellStyle name="Cálculo 2 3 2 4 3" xfId="7142"/>
    <cellStyle name="Cálculo 2 3 2 4 3 2" xfId="9756"/>
    <cellStyle name="Cálculo 2 3 2 4 3 2 2" xfId="16018"/>
    <cellStyle name="Cálculo 2 3 2 4 3 2 2 2" xfId="29434"/>
    <cellStyle name="Cálculo 2 3 2 4 3 2 3" xfId="20763"/>
    <cellStyle name="Cálculo 2 3 2 4 3 3" xfId="13746"/>
    <cellStyle name="Cálculo 2 3 2 4 3 3 2" xfId="28068"/>
    <cellStyle name="Cálculo 2 3 2 4 3 4" xfId="19391"/>
    <cellStyle name="Cálculo 2 3 2 4 4" xfId="4227"/>
    <cellStyle name="Cálculo 2 3 2 4 4 2" xfId="22838"/>
    <cellStyle name="Cálculo 2 3 2 4 5" xfId="6365"/>
    <cellStyle name="Cálculo 2 3 2 5" xfId="298"/>
    <cellStyle name="Cálculo 2 3 2 5 2" xfId="7450"/>
    <cellStyle name="Cálculo 2 3 2 5 2 2" xfId="10064"/>
    <cellStyle name="Cálculo 2 3 2 5 2 2 2" xfId="16326"/>
    <cellStyle name="Cálculo 2 3 2 5 2 2 2 2" xfId="29742"/>
    <cellStyle name="Cálculo 2 3 2 5 2 2 3" xfId="21071"/>
    <cellStyle name="Cálculo 2 3 2 5 2 3" xfId="14054"/>
    <cellStyle name="Cálculo 2 3 2 5 2 3 2" xfId="28376"/>
    <cellStyle name="Cálculo 2 3 2 5 2 4" xfId="19699"/>
    <cellStyle name="Cálculo 2 3 2 5 3" xfId="12891"/>
    <cellStyle name="Cálculo 2 3 2 5 3 2" xfId="27213"/>
    <cellStyle name="Cálculo 2 3 2 5 4" xfId="18536"/>
    <cellStyle name="Cálculo 2 3 2 6" xfId="5509"/>
    <cellStyle name="Cálculo 2 3 2 6 2" xfId="12060"/>
    <cellStyle name="Cálculo 2 3 2 6 2 2" xfId="26382"/>
    <cellStyle name="Cálculo 2 3 2 6 3" xfId="17705"/>
    <cellStyle name="Cálculo 2 3 2 7" xfId="6604"/>
    <cellStyle name="Cálculo 2 3 2 7 2" xfId="23598"/>
    <cellStyle name="Cálculo 2 3 2 8" xfId="17190"/>
    <cellStyle name="Cálculo 2 3 3" xfId="299"/>
    <cellStyle name="Cálculo 2 3 3 2" xfId="300"/>
    <cellStyle name="Cálculo 2 3 3 2 2" xfId="301"/>
    <cellStyle name="Cálculo 2 3 3 2 2 2" xfId="5992"/>
    <cellStyle name="Cálculo 2 3 3 2 2 2 2" xfId="12550"/>
    <cellStyle name="Cálculo 2 3 3 2 2 2 2 2" xfId="26872"/>
    <cellStyle name="Cálculo 2 3 3 2 2 2 3" xfId="18195"/>
    <cellStyle name="Cálculo 2 3 3 2 2 3" xfId="7237"/>
    <cellStyle name="Cálculo 2 3 3 2 2 3 2" xfId="9851"/>
    <cellStyle name="Cálculo 2 3 3 2 2 3 2 2" xfId="16113"/>
    <cellStyle name="Cálculo 2 3 3 2 2 3 2 2 2" xfId="29529"/>
    <cellStyle name="Cálculo 2 3 3 2 2 3 2 3" xfId="20858"/>
    <cellStyle name="Cálculo 2 3 3 2 2 3 3" xfId="13841"/>
    <cellStyle name="Cálculo 2 3 3 2 2 3 3 2" xfId="28163"/>
    <cellStyle name="Cálculo 2 3 3 2 2 3 4" xfId="19486"/>
    <cellStyle name="Cálculo 2 3 3 2 2 4" xfId="4549"/>
    <cellStyle name="Cálculo 2 3 3 2 2 4 2" xfId="23026"/>
    <cellStyle name="Cálculo 2 3 3 2 2 5" xfId="15277"/>
    <cellStyle name="Cálculo 2 3 3 2 3" xfId="302"/>
    <cellStyle name="Cálculo 2 3 3 2 3 2" xfId="7299"/>
    <cellStyle name="Cálculo 2 3 3 2 3 2 2" xfId="9913"/>
    <cellStyle name="Cálculo 2 3 3 2 3 2 2 2" xfId="16175"/>
    <cellStyle name="Cálculo 2 3 3 2 3 2 2 2 2" xfId="29591"/>
    <cellStyle name="Cálculo 2 3 3 2 3 2 2 3" xfId="20920"/>
    <cellStyle name="Cálculo 2 3 3 2 3 2 3" xfId="13903"/>
    <cellStyle name="Cálculo 2 3 3 2 3 2 3 2" xfId="28225"/>
    <cellStyle name="Cálculo 2 3 3 2 3 2 4" xfId="19548"/>
    <cellStyle name="Cálculo 2 3 3 2 3 3" xfId="13351"/>
    <cellStyle name="Cálculo 2 3 3 2 3 3 2" xfId="27673"/>
    <cellStyle name="Cálculo 2 3 3 2 3 4" xfId="18996"/>
    <cellStyle name="Cálculo 2 3 3 2 4" xfId="5801"/>
    <cellStyle name="Cálculo 2 3 3 2 4 2" xfId="12354"/>
    <cellStyle name="Cálculo 2 3 3 2 4 2 2" xfId="26676"/>
    <cellStyle name="Cálculo 2 3 3 2 4 3" xfId="17999"/>
    <cellStyle name="Cálculo 2 3 3 2 5" xfId="3141"/>
    <cellStyle name="Cálculo 2 3 3 2 5 2" xfId="22418"/>
    <cellStyle name="Cálculo 2 3 3 2 6" xfId="4020"/>
    <cellStyle name="Cálculo 2 3 3 3" xfId="303"/>
    <cellStyle name="Cálculo 2 3 3 3 2" xfId="304"/>
    <cellStyle name="Cálculo 2 3 3 3 2 2" xfId="7021"/>
    <cellStyle name="Cálculo 2 3 3 3 2 2 2" xfId="13625"/>
    <cellStyle name="Cálculo 2 3 3 3 2 2 2 2" xfId="27947"/>
    <cellStyle name="Cálculo 2 3 3 3 2 2 3" xfId="19270"/>
    <cellStyle name="Cálculo 2 3 3 3 2 3" xfId="7341"/>
    <cellStyle name="Cálculo 2 3 3 3 2 3 2" xfId="9955"/>
    <cellStyle name="Cálculo 2 3 3 3 2 3 2 2" xfId="16217"/>
    <cellStyle name="Cálculo 2 3 3 3 2 3 2 2 2" xfId="29633"/>
    <cellStyle name="Cálculo 2 3 3 3 2 3 2 3" xfId="20962"/>
    <cellStyle name="Cálculo 2 3 3 3 2 3 3" xfId="13945"/>
    <cellStyle name="Cálculo 2 3 3 3 2 3 3 2" xfId="28267"/>
    <cellStyle name="Cálculo 2 3 3 3 2 3 4" xfId="19590"/>
    <cellStyle name="Cálculo 2 3 3 3 2 4" xfId="11554"/>
    <cellStyle name="Cálculo 2 3 3 3 2 4 2" xfId="25876"/>
    <cellStyle name="Cálculo 2 3 3 3 2 5" xfId="15583"/>
    <cellStyle name="Cálculo 2 3 3 3 3" xfId="305"/>
    <cellStyle name="Cálculo 2 3 3 3 3 2" xfId="7404"/>
    <cellStyle name="Cálculo 2 3 3 3 3 2 2" xfId="10018"/>
    <cellStyle name="Cálculo 2 3 3 3 3 2 2 2" xfId="16280"/>
    <cellStyle name="Cálculo 2 3 3 3 3 2 2 2 2" xfId="29696"/>
    <cellStyle name="Cálculo 2 3 3 3 3 2 2 3" xfId="21025"/>
    <cellStyle name="Cálculo 2 3 3 3 3 2 3" xfId="14008"/>
    <cellStyle name="Cálculo 2 3 3 3 3 2 3 2" xfId="28330"/>
    <cellStyle name="Cálculo 2 3 3 3 3 2 4" xfId="19653"/>
    <cellStyle name="Cálculo 2 3 3 3 3 3" xfId="13423"/>
    <cellStyle name="Cálculo 2 3 3 3 3 3 2" xfId="27745"/>
    <cellStyle name="Cálculo 2 3 3 3 3 4" xfId="19068"/>
    <cellStyle name="Cálculo 2 3 3 3 4" xfId="5896"/>
    <cellStyle name="Cálculo 2 3 3 3 4 2" xfId="12449"/>
    <cellStyle name="Cálculo 2 3 3 3 4 2 2" xfId="26771"/>
    <cellStyle name="Cálculo 2 3 3 3 4 3" xfId="18094"/>
    <cellStyle name="Cálculo 2 3 3 3 5" xfId="2784"/>
    <cellStyle name="Cálculo 2 3 3 3 5 2" xfId="22353"/>
    <cellStyle name="Cálculo 2 3 3 3 6" xfId="6288"/>
    <cellStyle name="Cálculo 2 3 3 4" xfId="306"/>
    <cellStyle name="Cálculo 2 3 3 4 2" xfId="6833"/>
    <cellStyle name="Cálculo 2 3 3 4 2 2" xfId="13437"/>
    <cellStyle name="Cálculo 2 3 3 4 2 2 2" xfId="27759"/>
    <cellStyle name="Cálculo 2 3 3 4 2 3" xfId="19082"/>
    <cellStyle name="Cálculo 2 3 3 4 3" xfId="4351"/>
    <cellStyle name="Cálculo 2 3 3 4 3 2" xfId="9454"/>
    <cellStyle name="Cálculo 2 3 3 4 3 2 2" xfId="15716"/>
    <cellStyle name="Cálculo 2 3 3 4 3 2 2 2" xfId="29132"/>
    <cellStyle name="Cálculo 2 3 3 4 3 2 3" xfId="20461"/>
    <cellStyle name="Cálculo 2 3 3 4 3 3" xfId="6326"/>
    <cellStyle name="Cálculo 2 3 3 4 3 3 2" xfId="23517"/>
    <cellStyle name="Cálculo 2 3 3 4 3 4" xfId="15021"/>
    <cellStyle name="Cálculo 2 3 3 4 4" xfId="2776"/>
    <cellStyle name="Cálculo 2 3 3 4 4 2" xfId="22345"/>
    <cellStyle name="Cálculo 2 3 3 4 5" xfId="14784"/>
    <cellStyle name="Cálculo 2 3 3 5" xfId="307"/>
    <cellStyle name="Cálculo 2 3 3 5 2" xfId="7867"/>
    <cellStyle name="Cálculo 2 3 3 5 2 2" xfId="10481"/>
    <cellStyle name="Cálculo 2 3 3 5 2 2 2" xfId="16743"/>
    <cellStyle name="Cálculo 2 3 3 5 2 2 2 2" xfId="30159"/>
    <cellStyle name="Cálculo 2 3 3 5 2 2 3" xfId="21488"/>
    <cellStyle name="Cálculo 2 3 3 5 2 3" xfId="14471"/>
    <cellStyle name="Cálculo 2 3 3 5 2 3 2" xfId="28793"/>
    <cellStyle name="Cálculo 2 3 3 5 2 4" xfId="20116"/>
    <cellStyle name="Cálculo 2 3 3 5 3" xfId="12927"/>
    <cellStyle name="Cálculo 2 3 3 5 3 2" xfId="27249"/>
    <cellStyle name="Cálculo 2 3 3 5 4" xfId="18572"/>
    <cellStyle name="Cálculo 2 3 3 6" xfId="5551"/>
    <cellStyle name="Cálculo 2 3 3 6 2" xfId="12102"/>
    <cellStyle name="Cálculo 2 3 3 6 2 2" xfId="26424"/>
    <cellStyle name="Cálculo 2 3 3 6 3" xfId="17747"/>
    <cellStyle name="Cálculo 2 3 3 7" xfId="6568"/>
    <cellStyle name="Cálculo 2 3 3 7 2" xfId="23580"/>
    <cellStyle name="Cálculo 2 3 3 8" xfId="14804"/>
    <cellStyle name="Cálculo 2 3 4" xfId="308"/>
    <cellStyle name="Cálculo 2 3 4 2" xfId="309"/>
    <cellStyle name="Cálculo 2 3 4 2 2" xfId="310"/>
    <cellStyle name="Cálculo 2 3 4 2 2 2" xfId="6906"/>
    <cellStyle name="Cálculo 2 3 4 2 2 2 2" xfId="13510"/>
    <cellStyle name="Cálculo 2 3 4 2 2 2 2 2" xfId="27832"/>
    <cellStyle name="Cálculo 2 3 4 2 2 2 3" xfId="19155"/>
    <cellStyle name="Cálculo 2 3 4 2 2 3" xfId="7805"/>
    <cellStyle name="Cálculo 2 3 4 2 2 3 2" xfId="10419"/>
    <cellStyle name="Cálculo 2 3 4 2 2 3 2 2" xfId="16681"/>
    <cellStyle name="Cálculo 2 3 4 2 2 3 2 2 2" xfId="30097"/>
    <cellStyle name="Cálculo 2 3 4 2 2 3 2 3" xfId="21426"/>
    <cellStyle name="Cálculo 2 3 4 2 2 3 3" xfId="14409"/>
    <cellStyle name="Cálculo 2 3 4 2 2 3 3 2" xfId="28731"/>
    <cellStyle name="Cálculo 2 3 4 2 2 3 4" xfId="20054"/>
    <cellStyle name="Cálculo 2 3 4 2 2 4" xfId="11391"/>
    <cellStyle name="Cálculo 2 3 4 2 2 4 2" xfId="25713"/>
    <cellStyle name="Cálculo 2 3 4 2 2 5" xfId="14731"/>
    <cellStyle name="Cálculo 2 3 4 2 3" xfId="311"/>
    <cellStyle name="Cálculo 2 3 4 2 3 2" xfId="7269"/>
    <cellStyle name="Cálculo 2 3 4 2 3 2 2" xfId="9883"/>
    <cellStyle name="Cálculo 2 3 4 2 3 2 2 2" xfId="16145"/>
    <cellStyle name="Cálculo 2 3 4 2 3 2 2 2 2" xfId="29561"/>
    <cellStyle name="Cálculo 2 3 4 2 3 2 2 3" xfId="20890"/>
    <cellStyle name="Cálculo 2 3 4 2 3 2 3" xfId="13873"/>
    <cellStyle name="Cálculo 2 3 4 2 3 2 3 2" xfId="28195"/>
    <cellStyle name="Cálculo 2 3 4 2 3 2 4" xfId="19518"/>
    <cellStyle name="Cálculo 2 3 4 2 3 3" xfId="13274"/>
    <cellStyle name="Cálculo 2 3 4 2 3 3 2" xfId="27596"/>
    <cellStyle name="Cálculo 2 3 4 2 3 4" xfId="18919"/>
    <cellStyle name="Cálculo 2 3 4 2 4" xfId="5720"/>
    <cellStyle name="Cálculo 2 3 4 2 4 2" xfId="12273"/>
    <cellStyle name="Cálculo 2 3 4 2 4 2 2" xfId="26595"/>
    <cellStyle name="Cálculo 2 3 4 2 4 3" xfId="17918"/>
    <cellStyle name="Cálculo 2 3 4 2 5" xfId="3617"/>
    <cellStyle name="Cálculo 2 3 4 2 5 2" xfId="22489"/>
    <cellStyle name="Cálculo 2 3 4 2 6" xfId="3247"/>
    <cellStyle name="Cálculo 2 3 4 3" xfId="312"/>
    <cellStyle name="Cálculo 2 3 4 3 2" xfId="313"/>
    <cellStyle name="Cálculo 2 3 4 3 2 2" xfId="6913"/>
    <cellStyle name="Cálculo 2 3 4 3 2 2 2" xfId="13517"/>
    <cellStyle name="Cálculo 2 3 4 3 2 2 2 2" xfId="27839"/>
    <cellStyle name="Cálculo 2 3 4 3 2 2 3" xfId="19162"/>
    <cellStyle name="Cálculo 2 3 4 3 2 3" xfId="7980"/>
    <cellStyle name="Cálculo 2 3 4 3 2 3 2" xfId="10594"/>
    <cellStyle name="Cálculo 2 3 4 3 2 3 2 2" xfId="16856"/>
    <cellStyle name="Cálculo 2 3 4 3 2 3 2 2 2" xfId="30272"/>
    <cellStyle name="Cálculo 2 3 4 3 2 3 2 3" xfId="21601"/>
    <cellStyle name="Cálculo 2 3 4 3 2 3 3" xfId="14584"/>
    <cellStyle name="Cálculo 2 3 4 3 2 3 3 2" xfId="28906"/>
    <cellStyle name="Cálculo 2 3 4 3 2 3 4" xfId="20229"/>
    <cellStyle name="Cálculo 2 3 4 3 2 4" xfId="11399"/>
    <cellStyle name="Cálculo 2 3 4 3 2 4 2" xfId="25721"/>
    <cellStyle name="Cálculo 2 3 4 3 2 5" xfId="14852"/>
    <cellStyle name="Cálculo 2 3 4 3 3" xfId="314"/>
    <cellStyle name="Cálculo 2 3 4 3 3 2" xfId="4986"/>
    <cellStyle name="Cálculo 2 3 4 3 3 2 2" xfId="9532"/>
    <cellStyle name="Cálculo 2 3 4 3 3 2 2 2" xfId="15794"/>
    <cellStyle name="Cálculo 2 3 4 3 3 2 2 2 2" xfId="29210"/>
    <cellStyle name="Cálculo 2 3 4 3 3 2 2 3" xfId="20539"/>
    <cellStyle name="Cálculo 2 3 4 3 3 2 3" xfId="11529"/>
    <cellStyle name="Cálculo 2 3 4 3 3 2 3 2" xfId="25851"/>
    <cellStyle name="Cálculo 2 3 4 3 3 2 4" xfId="17138"/>
    <cellStyle name="Cálculo 2 3 4 3 3 3" xfId="13391"/>
    <cellStyle name="Cálculo 2 3 4 3 3 3 2" xfId="27713"/>
    <cellStyle name="Cálculo 2 3 4 3 3 4" xfId="19036"/>
    <cellStyle name="Cálculo 2 3 4 3 4" xfId="5855"/>
    <cellStyle name="Cálculo 2 3 4 3 4 2" xfId="12408"/>
    <cellStyle name="Cálculo 2 3 4 3 4 2 2" xfId="26730"/>
    <cellStyle name="Cálculo 2 3 4 3 4 3" xfId="18053"/>
    <cellStyle name="Cálculo 2 3 4 3 5" xfId="4157"/>
    <cellStyle name="Cálculo 2 3 4 3 5 2" xfId="22788"/>
    <cellStyle name="Cálculo 2 3 4 3 6" xfId="15481"/>
    <cellStyle name="Cálculo 2 3 4 4" xfId="315"/>
    <cellStyle name="Cálculo 2 3 4 4 2" xfId="6887"/>
    <cellStyle name="Cálculo 2 3 4 4 2 2" xfId="13491"/>
    <cellStyle name="Cálculo 2 3 4 4 2 2 2" xfId="27813"/>
    <cellStyle name="Cálculo 2 3 4 4 2 3" xfId="19136"/>
    <cellStyle name="Cálculo 2 3 4 4 3" xfId="4254"/>
    <cellStyle name="Cálculo 2 3 4 4 3 2" xfId="9436"/>
    <cellStyle name="Cálculo 2 3 4 4 3 2 2" xfId="15698"/>
    <cellStyle name="Cálculo 2 3 4 4 3 2 2 2" xfId="29114"/>
    <cellStyle name="Cálculo 2 3 4 4 3 2 3" xfId="20443"/>
    <cellStyle name="Cálculo 2 3 4 4 3 3" xfId="6107"/>
    <cellStyle name="Cálculo 2 3 4 4 3 3 2" xfId="23417"/>
    <cellStyle name="Cálculo 2 3 4 4 3 4" xfId="15541"/>
    <cellStyle name="Cálculo 2 3 4 4 4" xfId="11362"/>
    <cellStyle name="Cálculo 2 3 4 4 4 2" xfId="25684"/>
    <cellStyle name="Cálculo 2 3 4 4 5" xfId="14835"/>
    <cellStyle name="Cálculo 2 3 4 5" xfId="316"/>
    <cellStyle name="Cálculo 2 3 4 5 2" xfId="8053"/>
    <cellStyle name="Cálculo 2 3 4 5 2 2" xfId="10667"/>
    <cellStyle name="Cálculo 2 3 4 5 2 2 2" xfId="16929"/>
    <cellStyle name="Cálculo 2 3 4 5 2 2 2 2" xfId="30345"/>
    <cellStyle name="Cálculo 2 3 4 5 2 2 3" xfId="21674"/>
    <cellStyle name="Cálculo 2 3 4 5 2 3" xfId="14657"/>
    <cellStyle name="Cálculo 2 3 4 5 2 3 2" xfId="28979"/>
    <cellStyle name="Cálculo 2 3 4 5 2 4" xfId="20302"/>
    <cellStyle name="Cálculo 2 3 4 5 3" xfId="12833"/>
    <cellStyle name="Cálculo 2 3 4 5 3 2" xfId="27155"/>
    <cellStyle name="Cálculo 2 3 4 5 4" xfId="18478"/>
    <cellStyle name="Cálculo 2 3 4 6" xfId="5402"/>
    <cellStyle name="Cálculo 2 3 4 6 2" xfId="11952"/>
    <cellStyle name="Cálculo 2 3 4 6 2 2" xfId="26274"/>
    <cellStyle name="Cálculo 2 3 4 6 3" xfId="17597"/>
    <cellStyle name="Cálculo 2 3 4 7" xfId="2757"/>
    <cellStyle name="Cálculo 2 3 4 7 2" xfId="22327"/>
    <cellStyle name="Cálculo 2 3 4 8" xfId="15232"/>
    <cellStyle name="Cálculo 2 3 5" xfId="317"/>
    <cellStyle name="Cálculo 2 3 5 2" xfId="318"/>
    <cellStyle name="Cálculo 2 3 5 2 2" xfId="319"/>
    <cellStyle name="Cálculo 2 3 5 2 2 2" xfId="7036"/>
    <cellStyle name="Cálculo 2 3 5 2 2 2 2" xfId="13640"/>
    <cellStyle name="Cálculo 2 3 5 2 2 2 2 2" xfId="27962"/>
    <cellStyle name="Cálculo 2 3 5 2 2 2 3" xfId="19285"/>
    <cellStyle name="Cálculo 2 3 5 2 2 3" xfId="5246"/>
    <cellStyle name="Cálculo 2 3 5 2 2 3 2" xfId="9556"/>
    <cellStyle name="Cálculo 2 3 5 2 2 3 2 2" xfId="15818"/>
    <cellStyle name="Cálculo 2 3 5 2 2 3 2 2 2" xfId="29234"/>
    <cellStyle name="Cálculo 2 3 5 2 2 3 2 3" xfId="20563"/>
    <cellStyle name="Cálculo 2 3 5 2 2 3 3" xfId="11796"/>
    <cellStyle name="Cálculo 2 3 5 2 2 3 3 2" xfId="26118"/>
    <cellStyle name="Cálculo 2 3 5 2 2 3 4" xfId="17441"/>
    <cellStyle name="Cálculo 2 3 5 2 2 4" xfId="11581"/>
    <cellStyle name="Cálculo 2 3 5 2 2 4 2" xfId="25903"/>
    <cellStyle name="Cálculo 2 3 5 2 2 5" xfId="17128"/>
    <cellStyle name="Cálculo 2 3 5 2 3" xfId="320"/>
    <cellStyle name="Cálculo 2 3 5 2 3 2" xfId="4373"/>
    <cellStyle name="Cálculo 2 3 5 2 3 2 2" xfId="9456"/>
    <cellStyle name="Cálculo 2 3 5 2 3 2 2 2" xfId="15718"/>
    <cellStyle name="Cálculo 2 3 5 2 3 2 2 2 2" xfId="29134"/>
    <cellStyle name="Cálculo 2 3 5 2 3 2 2 3" xfId="20463"/>
    <cellStyle name="Cálculo 2 3 5 2 3 2 3" xfId="6239"/>
    <cellStyle name="Cálculo 2 3 5 2 3 2 3 2" xfId="23465"/>
    <cellStyle name="Cálculo 2 3 5 2 3 2 4" xfId="14758"/>
    <cellStyle name="Cálculo 2 3 5 2 3 3" xfId="4205"/>
    <cellStyle name="Cálculo 2 3 5 2 3 3 2" xfId="22820"/>
    <cellStyle name="Cálculo 2 3 5 2 3 4" xfId="6303"/>
    <cellStyle name="Cálculo 2 3 5 2 4" xfId="5179"/>
    <cellStyle name="Cálculo 2 3 5 2 4 2" xfId="11728"/>
    <cellStyle name="Cálculo 2 3 5 2 4 2 2" xfId="26050"/>
    <cellStyle name="Cálculo 2 3 5 2 4 3" xfId="6237"/>
    <cellStyle name="Cálculo 2 3 5 2 5" xfId="6805"/>
    <cellStyle name="Cálculo 2 3 5 2 5 2" xfId="23744"/>
    <cellStyle name="Cálculo 2 3 5 2 6" xfId="17116"/>
    <cellStyle name="Cálculo 2 3 5 3" xfId="321"/>
    <cellStyle name="Cálculo 2 3 5 3 2" xfId="6496"/>
    <cellStyle name="Cálculo 2 3 5 3 2 2" xfId="13082"/>
    <cellStyle name="Cálculo 2 3 5 3 2 2 2" xfId="27404"/>
    <cellStyle name="Cálculo 2 3 5 3 2 3" xfId="18727"/>
    <cellStyle name="Cálculo 2 3 5 3 3" xfId="5000"/>
    <cellStyle name="Cálculo 2 3 5 3 3 2" xfId="9537"/>
    <cellStyle name="Cálculo 2 3 5 3 3 2 2" xfId="15799"/>
    <cellStyle name="Cálculo 2 3 5 3 3 2 2 2" xfId="29215"/>
    <cellStyle name="Cálculo 2 3 5 3 3 2 3" xfId="20544"/>
    <cellStyle name="Cálculo 2 3 5 3 3 3" xfId="11543"/>
    <cellStyle name="Cálculo 2 3 5 3 3 3 2" xfId="25865"/>
    <cellStyle name="Cálculo 2 3 5 3 3 4" xfId="4337"/>
    <cellStyle name="Cálculo 2 3 5 3 4" xfId="4973"/>
    <cellStyle name="Cálculo 2 3 5 3 4 2" xfId="23289"/>
    <cellStyle name="Cálculo 2 3 5 3 5" xfId="15348"/>
    <cellStyle name="Cálculo 2 3 5 4" xfId="322"/>
    <cellStyle name="Cálculo 2 3 5 4 2" xfId="4395"/>
    <cellStyle name="Cálculo 2 3 5 4 2 2" xfId="9459"/>
    <cellStyle name="Cálculo 2 3 5 4 2 2 2" xfId="15721"/>
    <cellStyle name="Cálculo 2 3 5 4 2 2 2 2" xfId="29137"/>
    <cellStyle name="Cálculo 2 3 5 4 2 2 3" xfId="20466"/>
    <cellStyle name="Cálculo 2 3 5 4 2 3" xfId="4209"/>
    <cellStyle name="Cálculo 2 3 5 4 2 3 2" xfId="22823"/>
    <cellStyle name="Cálculo 2 3 5 4 2 4" xfId="17065"/>
    <cellStyle name="Cálculo 2 3 5 4 3" xfId="12712"/>
    <cellStyle name="Cálculo 2 3 5 4 3 2" xfId="27034"/>
    <cellStyle name="Cálculo 2 3 5 4 4" xfId="18357"/>
    <cellStyle name="Cálculo 2 3 5 5" xfId="5195"/>
    <cellStyle name="Cálculo 2 3 5 5 2" xfId="11744"/>
    <cellStyle name="Cálculo 2 3 5 5 2 2" xfId="26066"/>
    <cellStyle name="Cálculo 2 3 5 5 3" xfId="6130"/>
    <cellStyle name="Cálculo 2 3 5 6" xfId="6355"/>
    <cellStyle name="Cálculo 2 3 5 6 2" xfId="23539"/>
    <cellStyle name="Cálculo 2 3 5 7" xfId="15165"/>
    <cellStyle name="Cálculo 2 3 6" xfId="323"/>
    <cellStyle name="Cálculo 2 3 6 2" xfId="324"/>
    <cellStyle name="Cálculo 2 3 6 2 2" xfId="5224"/>
    <cellStyle name="Cálculo 2 3 6 2 2 2" xfId="11774"/>
    <cellStyle name="Cálculo 2 3 6 2 2 2 2" xfId="26096"/>
    <cellStyle name="Cálculo 2 3 6 2 2 3" xfId="17419"/>
    <cellStyle name="Cálculo 2 3 6 2 3" xfId="5013"/>
    <cellStyle name="Cálculo 2 3 6 2 3 2" xfId="9543"/>
    <cellStyle name="Cálculo 2 3 6 2 3 2 2" xfId="15805"/>
    <cellStyle name="Cálculo 2 3 6 2 3 2 2 2" xfId="29221"/>
    <cellStyle name="Cálculo 2 3 6 2 3 2 3" xfId="20550"/>
    <cellStyle name="Cálculo 2 3 6 2 3 3" xfId="11559"/>
    <cellStyle name="Cálculo 2 3 6 2 3 3 2" xfId="25881"/>
    <cellStyle name="Cálculo 2 3 6 2 3 4" xfId="6663"/>
    <cellStyle name="Cálculo 2 3 6 2 4" xfId="4837"/>
    <cellStyle name="Cálculo 2 3 6 2 4 2" xfId="23214"/>
    <cellStyle name="Cálculo 2 3 6 2 5" xfId="14814"/>
    <cellStyle name="Cálculo 2 3 6 3" xfId="325"/>
    <cellStyle name="Cálculo 2 3 6 3 2" xfId="7883"/>
    <cellStyle name="Cálculo 2 3 6 3 2 2" xfId="10497"/>
    <cellStyle name="Cálculo 2 3 6 3 2 2 2" xfId="16759"/>
    <cellStyle name="Cálculo 2 3 6 3 2 2 2 2" xfId="30175"/>
    <cellStyle name="Cálculo 2 3 6 3 2 2 3" xfId="21504"/>
    <cellStyle name="Cálculo 2 3 6 3 2 3" xfId="14487"/>
    <cellStyle name="Cálculo 2 3 6 3 2 3 2" xfId="28809"/>
    <cellStyle name="Cálculo 2 3 6 3 2 4" xfId="20132"/>
    <cellStyle name="Cálculo 2 3 6 3 3" xfId="13227"/>
    <cellStyle name="Cálculo 2 3 6 3 3 2" xfId="27549"/>
    <cellStyle name="Cálculo 2 3 6 3 4" xfId="18872"/>
    <cellStyle name="Cálculo 2 3 6 4" xfId="5668"/>
    <cellStyle name="Cálculo 2 3 6 4 2" xfId="12221"/>
    <cellStyle name="Cálculo 2 3 6 4 2 2" xfId="26543"/>
    <cellStyle name="Cálculo 2 3 6 4 3" xfId="17866"/>
    <cellStyle name="Cálculo 2 3 6 5" xfId="4732"/>
    <cellStyle name="Cálculo 2 3 6 5 2" xfId="23158"/>
    <cellStyle name="Cálculo 2 3 6 6" xfId="15461"/>
    <cellStyle name="Cálculo 2 3 7" xfId="326"/>
    <cellStyle name="Cálculo 2 3 7 2" xfId="6984"/>
    <cellStyle name="Cálculo 2 3 7 2 2" xfId="13588"/>
    <cellStyle name="Cálculo 2 3 7 2 2 2" xfId="27910"/>
    <cellStyle name="Cálculo 2 3 7 2 3" xfId="19233"/>
    <cellStyle name="Cálculo 2 3 7 3" xfId="8068"/>
    <cellStyle name="Cálculo 2 3 7 3 2" xfId="10682"/>
    <cellStyle name="Cálculo 2 3 7 3 2 2" xfId="16944"/>
    <cellStyle name="Cálculo 2 3 7 3 2 2 2" xfId="30360"/>
    <cellStyle name="Cálculo 2 3 7 3 2 3" xfId="21689"/>
    <cellStyle name="Cálculo 2 3 7 3 3" xfId="14672"/>
    <cellStyle name="Cálculo 2 3 7 3 3 2" xfId="28994"/>
    <cellStyle name="Cálculo 2 3 7 3 4" xfId="20317"/>
    <cellStyle name="Cálculo 2 3 7 4" xfId="11496"/>
    <cellStyle name="Cálculo 2 3 7 4 2" xfId="25818"/>
    <cellStyle name="Cálculo 2 3 7 5" xfId="15484"/>
    <cellStyle name="Cálculo 2 3 8" xfId="327"/>
    <cellStyle name="Cálculo 2 3 8 2" xfId="5263"/>
    <cellStyle name="Cálculo 2 3 8 2 2" xfId="9572"/>
    <cellStyle name="Cálculo 2 3 8 2 2 2" xfId="15834"/>
    <cellStyle name="Cálculo 2 3 8 2 2 2 2" xfId="29250"/>
    <cellStyle name="Cálculo 2 3 8 2 2 3" xfId="20579"/>
    <cellStyle name="Cálculo 2 3 8 2 3" xfId="11813"/>
    <cellStyle name="Cálculo 2 3 8 2 3 2" xfId="26135"/>
    <cellStyle name="Cálculo 2 3 8 2 4" xfId="17458"/>
    <cellStyle name="Cálculo 2 3 8 3" xfId="12754"/>
    <cellStyle name="Cálculo 2 3 8 3 2" xfId="27076"/>
    <cellStyle name="Cálculo 2 3 8 4" xfId="18399"/>
    <cellStyle name="Cálculo 2 3 9" xfId="5449"/>
    <cellStyle name="Cálculo 2 3 9 2" xfId="12000"/>
    <cellStyle name="Cálculo 2 3 9 2 2" xfId="26322"/>
    <cellStyle name="Cálculo 2 3 9 3" xfId="17645"/>
    <cellStyle name="Cálculo 2 4" xfId="328"/>
    <cellStyle name="Cálculo 2 4 2" xfId="329"/>
    <cellStyle name="Cálculo 2 4 2 2" xfId="330"/>
    <cellStyle name="Cálculo 2 4 2 2 2" xfId="6003"/>
    <cellStyle name="Cálculo 2 4 2 2 2 2" xfId="12562"/>
    <cellStyle name="Cálculo 2 4 2 2 2 2 2" xfId="26884"/>
    <cellStyle name="Cálculo 2 4 2 2 2 3" xfId="18207"/>
    <cellStyle name="Cálculo 2 4 2 2 3" xfId="4797"/>
    <cellStyle name="Cálculo 2 4 2 2 3 2" xfId="9487"/>
    <cellStyle name="Cálculo 2 4 2 2 3 2 2" xfId="15749"/>
    <cellStyle name="Cálculo 2 4 2 2 3 2 2 2" xfId="29165"/>
    <cellStyle name="Cálculo 2 4 2 2 3 2 3" xfId="20494"/>
    <cellStyle name="Cálculo 2 4 2 2 3 3" xfId="11326"/>
    <cellStyle name="Cálculo 2 4 2 2 3 3 2" xfId="25648"/>
    <cellStyle name="Cálculo 2 4 2 2 3 4" xfId="17047"/>
    <cellStyle name="Cálculo 2 4 2 2 4" xfId="4890"/>
    <cellStyle name="Cálculo 2 4 2 2 4 2" xfId="23248"/>
    <cellStyle name="Cálculo 2 4 2 2 5" xfId="15441"/>
    <cellStyle name="Cálculo 2 4 2 3" xfId="331"/>
    <cellStyle name="Cálculo 2 4 2 3 2" xfId="5270"/>
    <cellStyle name="Cálculo 2 4 2 3 2 2" xfId="9579"/>
    <cellStyle name="Cálculo 2 4 2 3 2 2 2" xfId="15841"/>
    <cellStyle name="Cálculo 2 4 2 3 2 2 2 2" xfId="29257"/>
    <cellStyle name="Cálculo 2 4 2 3 2 2 3" xfId="20586"/>
    <cellStyle name="Cálculo 2 4 2 3 2 3" xfId="11820"/>
    <cellStyle name="Cálculo 2 4 2 3 2 3 2" xfId="26142"/>
    <cellStyle name="Cálculo 2 4 2 3 2 4" xfId="17465"/>
    <cellStyle name="Cálculo 2 4 2 3 3" xfId="13200"/>
    <cellStyle name="Cálculo 2 4 2 3 3 2" xfId="27522"/>
    <cellStyle name="Cálculo 2 4 2 3 4" xfId="18845"/>
    <cellStyle name="Cálculo 2 4 2 4" xfId="5639"/>
    <cellStyle name="Cálculo 2 4 2 4 2" xfId="12192"/>
    <cellStyle name="Cálculo 2 4 2 4 2 2" xfId="26514"/>
    <cellStyle name="Cálculo 2 4 2 4 3" xfId="17837"/>
    <cellStyle name="Cálculo 2 4 2 5" xfId="4576"/>
    <cellStyle name="Cálculo 2 4 2 5 2" xfId="23043"/>
    <cellStyle name="Cálculo 2 4 2 6" xfId="15422"/>
    <cellStyle name="Cálculo 2 4 3" xfId="332"/>
    <cellStyle name="Cálculo 2 4 3 2" xfId="333"/>
    <cellStyle name="Cálculo 2 4 3 2 2" xfId="6058"/>
    <cellStyle name="Cálculo 2 4 3 2 2 2" xfId="12624"/>
    <cellStyle name="Cálculo 2 4 3 2 2 2 2" xfId="26946"/>
    <cellStyle name="Cálculo 2 4 3 2 2 3" xfId="18269"/>
    <cellStyle name="Cálculo 2 4 3 2 3" xfId="7084"/>
    <cellStyle name="Cálculo 2 4 3 2 3 2" xfId="9698"/>
    <cellStyle name="Cálculo 2 4 3 2 3 2 2" xfId="15960"/>
    <cellStyle name="Cálculo 2 4 3 2 3 2 2 2" xfId="29376"/>
    <cellStyle name="Cálculo 2 4 3 2 3 2 3" xfId="20705"/>
    <cellStyle name="Cálculo 2 4 3 2 3 3" xfId="13688"/>
    <cellStyle name="Cálculo 2 4 3 2 3 3 2" xfId="28010"/>
    <cellStyle name="Cálculo 2 4 3 2 3 4" xfId="19333"/>
    <cellStyle name="Cálculo 2 4 3 2 4" xfId="4093"/>
    <cellStyle name="Cálculo 2 4 3 2 4 2" xfId="22754"/>
    <cellStyle name="Cálculo 2 4 3 2 5" xfId="4240"/>
    <cellStyle name="Cálculo 2 4 3 3" xfId="334"/>
    <cellStyle name="Cálculo 2 4 3 3 2" xfId="7455"/>
    <cellStyle name="Cálculo 2 4 3 3 2 2" xfId="10069"/>
    <cellStyle name="Cálculo 2 4 3 3 2 2 2" xfId="16331"/>
    <cellStyle name="Cálculo 2 4 3 3 2 2 2 2" xfId="29747"/>
    <cellStyle name="Cálculo 2 4 3 3 2 2 3" xfId="21076"/>
    <cellStyle name="Cálculo 2 4 3 3 2 3" xfId="14059"/>
    <cellStyle name="Cálculo 2 4 3 3 2 3 2" xfId="28381"/>
    <cellStyle name="Cálculo 2 4 3 3 2 4" xfId="19704"/>
    <cellStyle name="Cálculo 2 4 3 3 3" xfId="13166"/>
    <cellStyle name="Cálculo 2 4 3 3 3 2" xfId="27488"/>
    <cellStyle name="Cálculo 2 4 3 3 4" xfId="18811"/>
    <cellStyle name="Cálculo 2 4 3 4" xfId="5580"/>
    <cellStyle name="Cálculo 2 4 3 4 2" xfId="12132"/>
    <cellStyle name="Cálculo 2 4 3 4 2 2" xfId="26454"/>
    <cellStyle name="Cálculo 2 4 3 4 3" xfId="17777"/>
    <cellStyle name="Cálculo 2 4 3 5" xfId="4602"/>
    <cellStyle name="Cálculo 2 4 3 5 2" xfId="23061"/>
    <cellStyle name="Cálculo 2 4 3 6" xfId="15524"/>
    <cellStyle name="Cálculo 2 4 4" xfId="335"/>
    <cellStyle name="Cálculo 2 4 4 2" xfId="5187"/>
    <cellStyle name="Cálculo 2 4 4 2 2" xfId="11736"/>
    <cellStyle name="Cálculo 2 4 4 2 2 2" xfId="26058"/>
    <cellStyle name="Cálculo 2 4 4 2 3" xfId="3692"/>
    <cellStyle name="Cálculo 2 4 4 3" xfId="7322"/>
    <cellStyle name="Cálculo 2 4 4 3 2" xfId="9936"/>
    <cellStyle name="Cálculo 2 4 4 3 2 2" xfId="16198"/>
    <cellStyle name="Cálculo 2 4 4 3 2 2 2" xfId="29614"/>
    <cellStyle name="Cálculo 2 4 4 3 2 3" xfId="20943"/>
    <cellStyle name="Cálculo 2 4 4 3 3" xfId="13926"/>
    <cellStyle name="Cálculo 2 4 4 3 3 2" xfId="28248"/>
    <cellStyle name="Cálculo 2 4 4 3 4" xfId="19571"/>
    <cellStyle name="Cálculo 2 4 4 4" xfId="6671"/>
    <cellStyle name="Cálculo 2 4 4 4 2" xfId="23643"/>
    <cellStyle name="Cálculo 2 4 4 5" xfId="17067"/>
    <cellStyle name="Cálculo 2 4 5" xfId="336"/>
    <cellStyle name="Cálculo 2 4 5 2" xfId="7442"/>
    <cellStyle name="Cálculo 2 4 5 2 2" xfId="10056"/>
    <cellStyle name="Cálculo 2 4 5 2 2 2" xfId="16318"/>
    <cellStyle name="Cálculo 2 4 5 2 2 2 2" xfId="29734"/>
    <cellStyle name="Cálculo 2 4 5 2 2 3" xfId="21063"/>
    <cellStyle name="Cálculo 2 4 5 2 3" xfId="14046"/>
    <cellStyle name="Cálculo 2 4 5 2 3 2" xfId="28368"/>
    <cellStyle name="Cálculo 2 4 5 2 4" xfId="19691"/>
    <cellStyle name="Cálculo 2 4 5 3" xfId="11789"/>
    <cellStyle name="Cálculo 2 4 5 3 2" xfId="26111"/>
    <cellStyle name="Cálculo 2 4 5 4" xfId="17434"/>
    <cellStyle name="Cálculo 2 4 6" xfId="4133"/>
    <cellStyle name="Cálculo 2 4 6 2" xfId="2877"/>
    <cellStyle name="Cálculo 2 4 6 2 2" xfId="22407"/>
    <cellStyle name="Cálculo 2 4 6 3" xfId="17331"/>
    <cellStyle name="Cálculo 2 4 7" xfId="6350"/>
    <cellStyle name="Cálculo 2 4 7 2" xfId="23536"/>
    <cellStyle name="Cálculo 2 4 8" xfId="6652"/>
    <cellStyle name="Cálculo 2 5" xfId="337"/>
    <cellStyle name="Cálculo 2 5 2" xfId="338"/>
    <cellStyle name="Cálculo 2 5 2 2" xfId="339"/>
    <cellStyle name="Cálculo 2 5 2 2 2" xfId="5961"/>
    <cellStyle name="Cálculo 2 5 2 2 2 2" xfId="12519"/>
    <cellStyle name="Cálculo 2 5 2 2 2 2 2" xfId="26841"/>
    <cellStyle name="Cálculo 2 5 2 2 2 3" xfId="18164"/>
    <cellStyle name="Cálculo 2 5 2 2 3" xfId="5252"/>
    <cellStyle name="Cálculo 2 5 2 2 3 2" xfId="9561"/>
    <cellStyle name="Cálculo 2 5 2 2 3 2 2" xfId="15823"/>
    <cellStyle name="Cálculo 2 5 2 2 3 2 2 2" xfId="29239"/>
    <cellStyle name="Cálculo 2 5 2 2 3 2 3" xfId="20568"/>
    <cellStyle name="Cálculo 2 5 2 2 3 3" xfId="11802"/>
    <cellStyle name="Cálculo 2 5 2 2 3 3 2" xfId="26124"/>
    <cellStyle name="Cálculo 2 5 2 2 3 4" xfId="17447"/>
    <cellStyle name="Cálculo 2 5 2 2 4" xfId="4127"/>
    <cellStyle name="Cálculo 2 5 2 2 4 2" xfId="22769"/>
    <cellStyle name="Cálculo 2 5 2 2 5" xfId="14882"/>
    <cellStyle name="Cálculo 2 5 2 3" xfId="340"/>
    <cellStyle name="Cálculo 2 5 2 3 2" xfId="7227"/>
    <cellStyle name="Cálculo 2 5 2 3 2 2" xfId="9841"/>
    <cellStyle name="Cálculo 2 5 2 3 2 2 2" xfId="16103"/>
    <cellStyle name="Cálculo 2 5 2 3 2 2 2 2" xfId="29519"/>
    <cellStyle name="Cálculo 2 5 2 3 2 2 3" xfId="20848"/>
    <cellStyle name="Cálculo 2 5 2 3 2 3" xfId="13831"/>
    <cellStyle name="Cálculo 2 5 2 3 2 3 2" xfId="28153"/>
    <cellStyle name="Cálculo 2 5 2 3 2 4" xfId="19476"/>
    <cellStyle name="Cálculo 2 5 2 3 3" xfId="12826"/>
    <cellStyle name="Cálculo 2 5 2 3 3 2" xfId="27148"/>
    <cellStyle name="Cálculo 2 5 2 3 4" xfId="18471"/>
    <cellStyle name="Cálculo 2 5 2 4" xfId="5209"/>
    <cellStyle name="Cálculo 2 5 2 4 2" xfId="11758"/>
    <cellStyle name="Cálculo 2 5 2 4 2 2" xfId="26080"/>
    <cellStyle name="Cálculo 2 5 2 4 3" xfId="17403"/>
    <cellStyle name="Cálculo 2 5 2 5" xfId="3028"/>
    <cellStyle name="Cálculo 2 5 2 5 2" xfId="22415"/>
    <cellStyle name="Cálculo 2 5 2 6" xfId="6735"/>
    <cellStyle name="Cálculo 2 5 3" xfId="341"/>
    <cellStyle name="Cálculo 2 5 3 2" xfId="342"/>
    <cellStyle name="Cálculo 2 5 3 2 2" xfId="5873"/>
    <cellStyle name="Cálculo 2 5 3 2 2 2" xfId="12426"/>
    <cellStyle name="Cálculo 2 5 3 2 2 2 2" xfId="26748"/>
    <cellStyle name="Cálculo 2 5 3 2 2 3" xfId="18071"/>
    <cellStyle name="Cálculo 2 5 3 2 3" xfId="7226"/>
    <cellStyle name="Cálculo 2 5 3 2 3 2" xfId="9840"/>
    <cellStyle name="Cálculo 2 5 3 2 3 2 2" xfId="16102"/>
    <cellStyle name="Cálculo 2 5 3 2 3 2 2 2" xfId="29518"/>
    <cellStyle name="Cálculo 2 5 3 2 3 2 3" xfId="20847"/>
    <cellStyle name="Cálculo 2 5 3 2 3 3" xfId="13830"/>
    <cellStyle name="Cálculo 2 5 3 2 3 3 2" xfId="28152"/>
    <cellStyle name="Cálculo 2 5 3 2 3 4" xfId="19475"/>
    <cellStyle name="Cálculo 2 5 3 2 4" xfId="4562"/>
    <cellStyle name="Cálculo 2 5 3 2 4 2" xfId="23031"/>
    <cellStyle name="Cálculo 2 5 3 2 5" xfId="14842"/>
    <cellStyle name="Cálculo 2 5 3 3" xfId="343"/>
    <cellStyle name="Cálculo 2 5 3 3 2" xfId="5339"/>
    <cellStyle name="Cálculo 2 5 3 3 2 2" xfId="9648"/>
    <cellStyle name="Cálculo 2 5 3 3 2 2 2" xfId="15910"/>
    <cellStyle name="Cálculo 2 5 3 3 2 2 2 2" xfId="29326"/>
    <cellStyle name="Cálculo 2 5 3 3 2 2 3" xfId="20655"/>
    <cellStyle name="Cálculo 2 5 3 3 2 3" xfId="11889"/>
    <cellStyle name="Cálculo 2 5 3 3 2 3 2" xfId="26211"/>
    <cellStyle name="Cálculo 2 5 3 3 2 4" xfId="17534"/>
    <cellStyle name="Cálculo 2 5 3 3 3" xfId="12575"/>
    <cellStyle name="Cálculo 2 5 3 3 3 2" xfId="26897"/>
    <cellStyle name="Cálculo 2 5 3 3 4" xfId="18220"/>
    <cellStyle name="Cálculo 2 5 3 4" xfId="5190"/>
    <cellStyle name="Cálculo 2 5 3 4 2" xfId="11739"/>
    <cellStyle name="Cálculo 2 5 3 4 2 2" xfId="26061"/>
    <cellStyle name="Cálculo 2 5 3 4 3" xfId="3774"/>
    <cellStyle name="Cálculo 2 5 3 5" xfId="3021"/>
    <cellStyle name="Cálculo 2 5 3 5 2" xfId="22411"/>
    <cellStyle name="Cálculo 2 5 3 6" xfId="17014"/>
    <cellStyle name="Cálculo 2 5 4" xfId="344"/>
    <cellStyle name="Cálculo 2 5 4 2" xfId="6563"/>
    <cellStyle name="Cálculo 2 5 4 2 2" xfId="13151"/>
    <cellStyle name="Cálculo 2 5 4 2 2 2" xfId="27473"/>
    <cellStyle name="Cálculo 2 5 4 2 3" xfId="18796"/>
    <cellStyle name="Cálculo 2 5 4 3" xfId="4298"/>
    <cellStyle name="Cálculo 2 5 4 3 2" xfId="9443"/>
    <cellStyle name="Cálculo 2 5 4 3 2 2" xfId="15705"/>
    <cellStyle name="Cálculo 2 5 4 3 2 2 2" xfId="29121"/>
    <cellStyle name="Cálculo 2 5 4 3 2 3" xfId="20450"/>
    <cellStyle name="Cálculo 2 5 4 3 3" xfId="4558"/>
    <cellStyle name="Cálculo 2 5 4 3 3 2" xfId="23029"/>
    <cellStyle name="Cálculo 2 5 4 3 4" xfId="15538"/>
    <cellStyle name="Cálculo 2 5 4 4" xfId="6637"/>
    <cellStyle name="Cálculo 2 5 4 4 2" xfId="23619"/>
    <cellStyle name="Cálculo 2 5 4 5" xfId="4595"/>
    <cellStyle name="Cálculo 2 5 5" xfId="345"/>
    <cellStyle name="Cálculo 2 5 5 2" xfId="3753"/>
    <cellStyle name="Cálculo 2 5 5 2 2" xfId="9368"/>
    <cellStyle name="Cálculo 2 5 5 2 2 2" xfId="15630"/>
    <cellStyle name="Cálculo 2 5 5 2 2 2 2" xfId="29046"/>
    <cellStyle name="Cálculo 2 5 5 2 2 3" xfId="20375"/>
    <cellStyle name="Cálculo 2 5 5 2 3" xfId="4206"/>
    <cellStyle name="Cálculo 2 5 5 2 3 2" xfId="22821"/>
    <cellStyle name="Cálculo 2 5 5 2 4" xfId="14680"/>
    <cellStyle name="Cálculo 2 5 5 3" xfId="11748"/>
    <cellStyle name="Cálculo 2 5 5 3 2" xfId="26070"/>
    <cellStyle name="Cálculo 2 5 5 4" xfId="4428"/>
    <cellStyle name="Cálculo 2 5 6" xfId="5087"/>
    <cellStyle name="Cálculo 2 5 6 2" xfId="11634"/>
    <cellStyle name="Cálculo 2 5 6 2 2" xfId="25956"/>
    <cellStyle name="Cálculo 2 5 6 3" xfId="15513"/>
    <cellStyle name="Cálculo 2 5 7" xfId="4430"/>
    <cellStyle name="Cálculo 2 5 7 2" xfId="22947"/>
    <cellStyle name="Cálculo 2 5 8" xfId="6351"/>
    <cellStyle name="Cálculo 2 6" xfId="346"/>
    <cellStyle name="Cálculo 2 6 2" xfId="347"/>
    <cellStyle name="Cálculo 2 6 2 2" xfId="348"/>
    <cellStyle name="Cálculo 2 6 2 2 2" xfId="3706"/>
    <cellStyle name="Cálculo 2 6 2 2 2 2" xfId="3696"/>
    <cellStyle name="Cálculo 2 6 2 2 2 2 2" xfId="22535"/>
    <cellStyle name="Cálculo 2 6 2 2 2 3" xfId="14722"/>
    <cellStyle name="Cálculo 2 6 2 2 3" xfId="8020"/>
    <cellStyle name="Cálculo 2 6 2 2 3 2" xfId="10634"/>
    <cellStyle name="Cálculo 2 6 2 2 3 2 2" xfId="16896"/>
    <cellStyle name="Cálculo 2 6 2 2 3 2 2 2" xfId="30312"/>
    <cellStyle name="Cálculo 2 6 2 2 3 2 3" xfId="21641"/>
    <cellStyle name="Cálculo 2 6 2 2 3 3" xfId="14624"/>
    <cellStyle name="Cálculo 2 6 2 2 3 3 2" xfId="28946"/>
    <cellStyle name="Cálculo 2 6 2 2 3 4" xfId="20269"/>
    <cellStyle name="Cálculo 2 6 2 2 4" xfId="4334"/>
    <cellStyle name="Cálculo 2 6 2 2 4 2" xfId="22893"/>
    <cellStyle name="Cálculo 2 6 2 2 5" xfId="17200"/>
    <cellStyle name="Cálculo 2 6 2 3" xfId="349"/>
    <cellStyle name="Cálculo 2 6 2 3 2" xfId="7727"/>
    <cellStyle name="Cálculo 2 6 2 3 2 2" xfId="10341"/>
    <cellStyle name="Cálculo 2 6 2 3 2 2 2" xfId="16603"/>
    <cellStyle name="Cálculo 2 6 2 3 2 2 2 2" xfId="30019"/>
    <cellStyle name="Cálculo 2 6 2 3 2 2 3" xfId="21348"/>
    <cellStyle name="Cálculo 2 6 2 3 2 3" xfId="14331"/>
    <cellStyle name="Cálculo 2 6 2 3 2 3 2" xfId="28653"/>
    <cellStyle name="Cálculo 2 6 2 3 2 4" xfId="19976"/>
    <cellStyle name="Cálculo 2 6 2 3 3" xfId="13234"/>
    <cellStyle name="Cálculo 2 6 2 3 3 2" xfId="27556"/>
    <cellStyle name="Cálculo 2 6 2 3 4" xfId="18879"/>
    <cellStyle name="Cálculo 2 6 2 4" xfId="5675"/>
    <cellStyle name="Cálculo 2 6 2 4 2" xfId="12228"/>
    <cellStyle name="Cálculo 2 6 2 4 2 2" xfId="26550"/>
    <cellStyle name="Cálculo 2 6 2 4 3" xfId="17873"/>
    <cellStyle name="Cálculo 2 6 2 5" xfId="6358"/>
    <cellStyle name="Cálculo 2 6 2 5 2" xfId="23542"/>
    <cellStyle name="Cálculo 2 6 2 6" xfId="15584"/>
    <cellStyle name="Cálculo 2 6 3" xfId="350"/>
    <cellStyle name="Cálculo 2 6 3 2" xfId="351"/>
    <cellStyle name="Cálculo 2 6 3 2 2" xfId="6539"/>
    <cellStyle name="Cálculo 2 6 3 2 2 2" xfId="13127"/>
    <cellStyle name="Cálculo 2 6 3 2 2 2 2" xfId="27449"/>
    <cellStyle name="Cálculo 2 6 3 2 2 3" xfId="18772"/>
    <cellStyle name="Cálculo 2 6 3 2 3" xfId="3259"/>
    <cellStyle name="Cálculo 2 6 3 2 3 2" xfId="9049"/>
    <cellStyle name="Cálculo 2 6 3 2 3 2 2" xfId="15388"/>
    <cellStyle name="Cálculo 2 6 3 2 3 2 2 2" xfId="29007"/>
    <cellStyle name="Cálculo 2 6 3 2 3 2 3" xfId="20334"/>
    <cellStyle name="Cálculo 2 6 3 2 3 3" xfId="4467"/>
    <cellStyle name="Cálculo 2 6 3 2 3 3 2" xfId="22967"/>
    <cellStyle name="Cálculo 2 6 3 2 3 4" xfId="14802"/>
    <cellStyle name="Cálculo 2 6 3 2 4" xfId="4465"/>
    <cellStyle name="Cálculo 2 6 3 2 4 2" xfId="22966"/>
    <cellStyle name="Cálculo 2 6 3 2 5" xfId="15075"/>
    <cellStyle name="Cálculo 2 6 3 3" xfId="352"/>
    <cellStyle name="Cálculo 2 6 3 3 2" xfId="7711"/>
    <cellStyle name="Cálculo 2 6 3 3 2 2" xfId="10325"/>
    <cellStyle name="Cálculo 2 6 3 3 2 2 2" xfId="16587"/>
    <cellStyle name="Cálculo 2 6 3 3 2 2 2 2" xfId="30003"/>
    <cellStyle name="Cálculo 2 6 3 3 2 2 3" xfId="21332"/>
    <cellStyle name="Cálculo 2 6 3 3 2 3" xfId="14315"/>
    <cellStyle name="Cálculo 2 6 3 3 2 3 2" xfId="28637"/>
    <cellStyle name="Cálculo 2 6 3 3 2 4" xfId="19960"/>
    <cellStyle name="Cálculo 2 6 3 3 3" xfId="12160"/>
    <cellStyle name="Cálculo 2 6 3 3 3 2" xfId="26482"/>
    <cellStyle name="Cálculo 2 6 3 3 4" xfId="17805"/>
    <cellStyle name="Cálculo 2 6 3 4" xfId="5061"/>
    <cellStyle name="Cálculo 2 6 3 4 2" xfId="11608"/>
    <cellStyle name="Cálculo 2 6 3 4 2 2" xfId="25930"/>
    <cellStyle name="Cálculo 2 6 3 4 3" xfId="15102"/>
    <cellStyle name="Cálculo 2 6 3 5" xfId="4771"/>
    <cellStyle name="Cálculo 2 6 3 5 2" xfId="23179"/>
    <cellStyle name="Cálculo 2 6 3 6" xfId="17342"/>
    <cellStyle name="Cálculo 2 6 4" xfId="353"/>
    <cellStyle name="Cálculo 2 6 4 2" xfId="5823"/>
    <cellStyle name="Cálculo 2 6 4 2 2" xfId="12376"/>
    <cellStyle name="Cálculo 2 6 4 2 2 2" xfId="26698"/>
    <cellStyle name="Cálculo 2 6 4 2 3" xfId="18021"/>
    <cellStyle name="Cálculo 2 6 4 3" xfId="7144"/>
    <cellStyle name="Cálculo 2 6 4 3 2" xfId="9758"/>
    <cellStyle name="Cálculo 2 6 4 3 2 2" xfId="16020"/>
    <cellStyle name="Cálculo 2 6 4 3 2 2 2" xfId="29436"/>
    <cellStyle name="Cálculo 2 6 4 3 2 3" xfId="20765"/>
    <cellStyle name="Cálculo 2 6 4 3 3" xfId="13748"/>
    <cellStyle name="Cálculo 2 6 4 3 3 2" xfId="28070"/>
    <cellStyle name="Cálculo 2 6 4 3 4" xfId="19393"/>
    <cellStyle name="Cálculo 2 6 4 4" xfId="6182"/>
    <cellStyle name="Cálculo 2 6 4 4 2" xfId="23447"/>
    <cellStyle name="Cálculo 2 6 4 5" xfId="16974"/>
    <cellStyle name="Cálculo 2 6 5" xfId="354"/>
    <cellStyle name="Cálculo 2 6 5 2" xfId="5315"/>
    <cellStyle name="Cálculo 2 6 5 2 2" xfId="9624"/>
    <cellStyle name="Cálculo 2 6 5 2 2 2" xfId="15886"/>
    <cellStyle name="Cálculo 2 6 5 2 2 2 2" xfId="29302"/>
    <cellStyle name="Cálculo 2 6 5 2 2 3" xfId="20631"/>
    <cellStyle name="Cálculo 2 6 5 2 3" xfId="11865"/>
    <cellStyle name="Cálculo 2 6 5 2 3 2" xfId="26187"/>
    <cellStyle name="Cálculo 2 6 5 2 4" xfId="17510"/>
    <cellStyle name="Cálculo 2 6 5 3" xfId="12635"/>
    <cellStyle name="Cálculo 2 6 5 3 2" xfId="26957"/>
    <cellStyle name="Cálculo 2 6 5 4" xfId="18280"/>
    <cellStyle name="Cálculo 2 6 6" xfId="5164"/>
    <cellStyle name="Cálculo 2 6 6 2" xfId="11713"/>
    <cellStyle name="Cálculo 2 6 6 2 2" xfId="26035"/>
    <cellStyle name="Cálculo 2 6 6 3" xfId="6581"/>
    <cellStyle name="Cálculo 2 6 7" xfId="4743"/>
    <cellStyle name="Cálculo 2 6 7 2" xfId="23165"/>
    <cellStyle name="Cálculo 2 6 8" xfId="15310"/>
    <cellStyle name="Cálculo 2 7" xfId="355"/>
    <cellStyle name="Cálculo 2 7 2" xfId="356"/>
    <cellStyle name="Cálculo 2 7 2 2" xfId="357"/>
    <cellStyle name="Cálculo 2 7 2 2 2" xfId="5181"/>
    <cellStyle name="Cálculo 2 7 2 2 2 2" xfId="11730"/>
    <cellStyle name="Cálculo 2 7 2 2 2 2 2" xfId="26052"/>
    <cellStyle name="Cálculo 2 7 2 2 2 3" xfId="4151"/>
    <cellStyle name="Cálculo 2 7 2 2 3" xfId="7275"/>
    <cellStyle name="Cálculo 2 7 2 2 3 2" xfId="9889"/>
    <cellStyle name="Cálculo 2 7 2 2 3 2 2" xfId="16151"/>
    <cellStyle name="Cálculo 2 7 2 2 3 2 2 2" xfId="29567"/>
    <cellStyle name="Cálculo 2 7 2 2 3 2 3" xfId="20896"/>
    <cellStyle name="Cálculo 2 7 2 2 3 3" xfId="13879"/>
    <cellStyle name="Cálculo 2 7 2 2 3 3 2" xfId="28201"/>
    <cellStyle name="Cálculo 2 7 2 2 3 4" xfId="19524"/>
    <cellStyle name="Cálculo 2 7 2 2 4" xfId="6646"/>
    <cellStyle name="Cálculo 2 7 2 2 4 2" xfId="23625"/>
    <cellStyle name="Cálculo 2 7 2 2 5" xfId="15053"/>
    <cellStyle name="Cálculo 2 7 2 3" xfId="358"/>
    <cellStyle name="Cálculo 2 7 2 3 2" xfId="7215"/>
    <cellStyle name="Cálculo 2 7 2 3 2 2" xfId="9829"/>
    <cellStyle name="Cálculo 2 7 2 3 2 2 2" xfId="16091"/>
    <cellStyle name="Cálculo 2 7 2 3 2 2 2 2" xfId="29507"/>
    <cellStyle name="Cálculo 2 7 2 3 2 2 3" xfId="20836"/>
    <cellStyle name="Cálculo 2 7 2 3 2 3" xfId="13819"/>
    <cellStyle name="Cálculo 2 7 2 3 2 3 2" xfId="28141"/>
    <cellStyle name="Cálculo 2 7 2 3 2 4" xfId="19464"/>
    <cellStyle name="Cálculo 2 7 2 3 3" xfId="13403"/>
    <cellStyle name="Cálculo 2 7 2 3 3 2" xfId="27725"/>
    <cellStyle name="Cálculo 2 7 2 3 4" xfId="19048"/>
    <cellStyle name="Cálculo 2 7 2 4" xfId="5868"/>
    <cellStyle name="Cálculo 2 7 2 4 2" xfId="12421"/>
    <cellStyle name="Cálculo 2 7 2 4 2 2" xfId="26743"/>
    <cellStyle name="Cálculo 2 7 2 4 3" xfId="18066"/>
    <cellStyle name="Cálculo 2 7 2 5" xfId="6279"/>
    <cellStyle name="Cálculo 2 7 2 5 2" xfId="23488"/>
    <cellStyle name="Cálculo 2 7 2 6" xfId="15297"/>
    <cellStyle name="Cálculo 2 7 3" xfId="359"/>
    <cellStyle name="Cálculo 2 7 3 2" xfId="6873"/>
    <cellStyle name="Cálculo 2 7 3 2 2" xfId="13477"/>
    <cellStyle name="Cálculo 2 7 3 2 2 2" xfId="27799"/>
    <cellStyle name="Cálculo 2 7 3 2 3" xfId="19122"/>
    <cellStyle name="Cálculo 2 7 3 3" xfId="7776"/>
    <cellStyle name="Cálculo 2 7 3 3 2" xfId="10390"/>
    <cellStyle name="Cálculo 2 7 3 3 2 2" xfId="16652"/>
    <cellStyle name="Cálculo 2 7 3 3 2 2 2" xfId="30068"/>
    <cellStyle name="Cálculo 2 7 3 3 2 3" xfId="21397"/>
    <cellStyle name="Cálculo 2 7 3 3 3" xfId="14380"/>
    <cellStyle name="Cálculo 2 7 3 3 3 2" xfId="28702"/>
    <cellStyle name="Cálculo 2 7 3 3 4" xfId="20025"/>
    <cellStyle name="Cálculo 2 7 3 4" xfId="11340"/>
    <cellStyle name="Cálculo 2 7 3 4 2" xfId="25662"/>
    <cellStyle name="Cálculo 2 7 3 5" xfId="6284"/>
    <cellStyle name="Cálculo 2 7 4" xfId="360"/>
    <cellStyle name="Cálculo 2 7 4 2" xfId="5007"/>
    <cellStyle name="Cálculo 2 7 4 2 2" xfId="9539"/>
    <cellStyle name="Cálculo 2 7 4 2 2 2" xfId="15801"/>
    <cellStyle name="Cálculo 2 7 4 2 2 2 2" xfId="29217"/>
    <cellStyle name="Cálculo 2 7 4 2 2 3" xfId="20546"/>
    <cellStyle name="Cálculo 2 7 4 2 3" xfId="11552"/>
    <cellStyle name="Cálculo 2 7 4 2 3 2" xfId="25874"/>
    <cellStyle name="Cálculo 2 7 4 2 4" xfId="17177"/>
    <cellStyle name="Cálculo 2 7 4 3" xfId="12700"/>
    <cellStyle name="Cálculo 2 7 4 3 2" xfId="27022"/>
    <cellStyle name="Cálculo 2 7 4 4" xfId="18345"/>
    <cellStyle name="Cálculo 2 7 5" xfId="5080"/>
    <cellStyle name="Cálculo 2 7 5 2" xfId="11627"/>
    <cellStyle name="Cálculo 2 7 5 2 2" xfId="25949"/>
    <cellStyle name="Cálculo 2 7 5 3" xfId="17349"/>
    <cellStyle name="Cálculo 2 7 6" xfId="4646"/>
    <cellStyle name="Cálculo 2 7 6 2" xfId="23090"/>
    <cellStyle name="Cálculo 2 7 7" xfId="6328"/>
    <cellStyle name="Cálculo 2 8" xfId="361"/>
    <cellStyle name="Cálculo 2 8 2" xfId="362"/>
    <cellStyle name="Cálculo 2 8 2 2" xfId="5969"/>
    <cellStyle name="Cálculo 2 8 2 2 2" xfId="12527"/>
    <cellStyle name="Cálculo 2 8 2 2 2 2" xfId="26849"/>
    <cellStyle name="Cálculo 2 8 2 2 3" xfId="18172"/>
    <cellStyle name="Cálculo 2 8 2 3" xfId="7365"/>
    <cellStyle name="Cálculo 2 8 2 3 2" xfId="9979"/>
    <cellStyle name="Cálculo 2 8 2 3 2 2" xfId="16241"/>
    <cellStyle name="Cálculo 2 8 2 3 2 2 2" xfId="29657"/>
    <cellStyle name="Cálculo 2 8 2 3 2 3" xfId="20986"/>
    <cellStyle name="Cálculo 2 8 2 3 3" xfId="13969"/>
    <cellStyle name="Cálculo 2 8 2 3 3 2" xfId="28291"/>
    <cellStyle name="Cálculo 2 8 2 3 4" xfId="19614"/>
    <cellStyle name="Cálculo 2 8 2 4" xfId="4190"/>
    <cellStyle name="Cálculo 2 8 2 4 2" xfId="22812"/>
    <cellStyle name="Cálculo 2 8 2 5" xfId="17295"/>
    <cellStyle name="Cálculo 2 8 3" xfId="363"/>
    <cellStyle name="Cálculo 2 8 3 2" xfId="7729"/>
    <cellStyle name="Cálculo 2 8 3 2 2" xfId="10343"/>
    <cellStyle name="Cálculo 2 8 3 2 2 2" xfId="16605"/>
    <cellStyle name="Cálculo 2 8 3 2 2 2 2" xfId="30021"/>
    <cellStyle name="Cálculo 2 8 3 2 2 3" xfId="21350"/>
    <cellStyle name="Cálculo 2 8 3 2 3" xfId="14333"/>
    <cellStyle name="Cálculo 2 8 3 2 3 2" xfId="28655"/>
    <cellStyle name="Cálculo 2 8 3 2 4" xfId="19978"/>
    <cellStyle name="Cálculo 2 8 3 3" xfId="13192"/>
    <cellStyle name="Cálculo 2 8 3 3 2" xfId="27514"/>
    <cellStyle name="Cálculo 2 8 3 4" xfId="18837"/>
    <cellStyle name="Cálculo 2 8 4" xfId="5629"/>
    <cellStyle name="Cálculo 2 8 4 2" xfId="12182"/>
    <cellStyle name="Cálculo 2 8 4 2 2" xfId="26504"/>
    <cellStyle name="Cálculo 2 8 4 3" xfId="17827"/>
    <cellStyle name="Cálculo 2 8 5" xfId="6766"/>
    <cellStyle name="Cálculo 2 8 5 2" xfId="23712"/>
    <cellStyle name="Cálculo 2 8 6" xfId="17361"/>
    <cellStyle name="Cálculo 2 9" xfId="364"/>
    <cellStyle name="Cálculo 2 9 2" xfId="5106"/>
    <cellStyle name="Cálculo 2 9 2 2" xfId="11653"/>
    <cellStyle name="Cálculo 2 9 2 2 2" xfId="25975"/>
    <cellStyle name="Cálculo 2 9 2 3" xfId="4331"/>
    <cellStyle name="Cálculo 2 9 3" xfId="7557"/>
    <cellStyle name="Cálculo 2 9 3 2" xfId="10171"/>
    <cellStyle name="Cálculo 2 9 3 2 2" xfId="16433"/>
    <cellStyle name="Cálculo 2 9 3 2 2 2" xfId="29849"/>
    <cellStyle name="Cálculo 2 9 3 2 3" xfId="21178"/>
    <cellStyle name="Cálculo 2 9 3 3" xfId="14161"/>
    <cellStyle name="Cálculo 2 9 3 3 2" xfId="28483"/>
    <cellStyle name="Cálculo 2 9 3 4" xfId="19806"/>
    <cellStyle name="Cálculo 2 9 4" xfId="3613"/>
    <cellStyle name="Cálculo 2 9 4 2" xfId="22488"/>
    <cellStyle name="Cálculo 2 9 5" xfId="6337"/>
    <cellStyle name="Cálculo 3" xfId="365"/>
    <cellStyle name="Cálculo 3 2" xfId="6968"/>
    <cellStyle name="Cálculo 3 2 2" xfId="13572"/>
    <cellStyle name="Cálculo 3 2 2 2" xfId="27894"/>
    <cellStyle name="Cálculo 3 2 3" xfId="19217"/>
    <cellStyle name="Cálculo 3 3" xfId="7747"/>
    <cellStyle name="Cálculo 3 3 2" xfId="10361"/>
    <cellStyle name="Cálculo 3 3 2 2" xfId="16623"/>
    <cellStyle name="Cálculo 3 3 2 2 2" xfId="30039"/>
    <cellStyle name="Cálculo 3 3 2 3" xfId="21368"/>
    <cellStyle name="Cálculo 3 3 3" xfId="14351"/>
    <cellStyle name="Cálculo 3 3 3 2" xfId="28673"/>
    <cellStyle name="Cálculo 3 3 4" xfId="19996"/>
    <cellStyle name="Cálculo 3 4" xfId="11473"/>
    <cellStyle name="Cálculo 3 4 2" xfId="25795"/>
    <cellStyle name="Cálculo 3 5" xfId="6253"/>
    <cellStyle name="Cálculo 4" xfId="3851"/>
    <cellStyle name="Cálculo 4 2" xfId="6789"/>
    <cellStyle name="Cálculo 4 2 2" xfId="23733"/>
    <cellStyle name="Cálculo 4 3" xfId="17096"/>
    <cellStyle name="Cálculo 5" xfId="6825"/>
    <cellStyle name="Cálculo 5 2" xfId="23758"/>
    <cellStyle name="Cálculo 6" xfId="15498"/>
    <cellStyle name="Cálculo 7" xfId="21696"/>
    <cellStyle name="Cálculo 8" xfId="21699"/>
    <cellStyle name="Célula Ligada" xfId="366"/>
    <cellStyle name="Check Cell 2" xfId="367"/>
    <cellStyle name="Comma" xfId="1" builtinId="3"/>
    <cellStyle name="Cor1" xfId="368"/>
    <cellStyle name="Cor2" xfId="369"/>
    <cellStyle name="Cor3" xfId="370"/>
    <cellStyle name="Cor4" xfId="371"/>
    <cellStyle name="Cor5" xfId="372"/>
    <cellStyle name="Cor6" xfId="373"/>
    <cellStyle name="Correcto" xfId="374"/>
    <cellStyle name="Entrada" xfId="375"/>
    <cellStyle name="Entrada 2" xfId="376"/>
    <cellStyle name="Entrada 2 10" xfId="377"/>
    <cellStyle name="Entrada 2 10 2" xfId="7229"/>
    <cellStyle name="Entrada 2 10 2 2" xfId="9843"/>
    <cellStyle name="Entrada 2 10 2 2 2" xfId="16105"/>
    <cellStyle name="Entrada 2 10 2 2 2 2" xfId="29521"/>
    <cellStyle name="Entrada 2 10 2 2 3" xfId="20850"/>
    <cellStyle name="Entrada 2 10 2 3" xfId="13833"/>
    <cellStyle name="Entrada 2 10 2 3 2" xfId="28155"/>
    <cellStyle name="Entrada 2 10 2 4" xfId="19478"/>
    <cellStyle name="Entrada 2 10 3" xfId="12119"/>
    <cellStyle name="Entrada 2 10 3 2" xfId="26441"/>
    <cellStyle name="Entrada 2 10 4" xfId="17764"/>
    <cellStyle name="Entrada 2 11" xfId="4936"/>
    <cellStyle name="Entrada 2 11 2" xfId="11474"/>
    <cellStyle name="Entrada 2 11 2 2" xfId="25796"/>
    <cellStyle name="Entrada 2 11 3" xfId="15134"/>
    <cellStyle name="Entrada 2 12" xfId="6502"/>
    <cellStyle name="Entrada 2 12 2" xfId="23572"/>
    <cellStyle name="Entrada 2 13" xfId="14936"/>
    <cellStyle name="Entrada 2 2" xfId="378"/>
    <cellStyle name="Entrada 2 2 10" xfId="5355"/>
    <cellStyle name="Entrada 2 2 10 2" xfId="11905"/>
    <cellStyle name="Entrada 2 2 10 2 2" xfId="26227"/>
    <cellStyle name="Entrada 2 2 10 3" xfId="17550"/>
    <cellStyle name="Entrada 2 2 11" xfId="3985"/>
    <cellStyle name="Entrada 2 2 11 2" xfId="22686"/>
    <cellStyle name="Entrada 2 2 12" xfId="17345"/>
    <cellStyle name="Entrada 2 2 2" xfId="379"/>
    <cellStyle name="Entrada 2 2 2 10" xfId="6053"/>
    <cellStyle name="Entrada 2 2 2 10 2" xfId="23399"/>
    <cellStyle name="Entrada 2 2 2 11" xfId="15525"/>
    <cellStyle name="Entrada 2 2 2 2" xfId="380"/>
    <cellStyle name="Entrada 2 2 2 2 2" xfId="381"/>
    <cellStyle name="Entrada 2 2 2 2 2 2" xfId="382"/>
    <cellStyle name="Entrada 2 2 2 2 2 2 2" xfId="5404"/>
    <cellStyle name="Entrada 2 2 2 2 2 2 2 2" xfId="11954"/>
    <cellStyle name="Entrada 2 2 2 2 2 2 2 2 2" xfId="26276"/>
    <cellStyle name="Entrada 2 2 2 2 2 2 2 3" xfId="17599"/>
    <cellStyle name="Entrada 2 2 2 2 2 2 3" xfId="7264"/>
    <cellStyle name="Entrada 2 2 2 2 2 2 3 2" xfId="9878"/>
    <cellStyle name="Entrada 2 2 2 2 2 2 3 2 2" xfId="16140"/>
    <cellStyle name="Entrada 2 2 2 2 2 2 3 2 2 2" xfId="29556"/>
    <cellStyle name="Entrada 2 2 2 2 2 2 3 2 3" xfId="20885"/>
    <cellStyle name="Entrada 2 2 2 2 2 2 3 3" xfId="13868"/>
    <cellStyle name="Entrada 2 2 2 2 2 2 3 3 2" xfId="28190"/>
    <cellStyle name="Entrada 2 2 2 2 2 2 3 4" xfId="19513"/>
    <cellStyle name="Entrada 2 2 2 2 2 2 4" xfId="6659"/>
    <cellStyle name="Entrada 2 2 2 2 2 2 4 2" xfId="23635"/>
    <cellStyle name="Entrada 2 2 2 2 2 2 5" xfId="17152"/>
    <cellStyle name="Entrada 2 2 2 2 2 3" xfId="383"/>
    <cellStyle name="Entrada 2 2 2 2 2 3 2" xfId="4080"/>
    <cellStyle name="Entrada 2 2 2 2 2 3 2 2" xfId="9419"/>
    <cellStyle name="Entrada 2 2 2 2 2 3 2 2 2" xfId="15681"/>
    <cellStyle name="Entrada 2 2 2 2 2 3 2 2 2 2" xfId="29097"/>
    <cellStyle name="Entrada 2 2 2 2 2 3 2 2 3" xfId="20426"/>
    <cellStyle name="Entrada 2 2 2 2 2 3 2 3" xfId="3815"/>
    <cellStyle name="Entrada 2 2 2 2 2 3 2 3 2" xfId="22596"/>
    <cellStyle name="Entrada 2 2 2 2 2 3 2 4" xfId="15423"/>
    <cellStyle name="Entrada 2 2 2 2 2 3 3" xfId="13318"/>
    <cellStyle name="Entrada 2 2 2 2 2 3 3 2" xfId="27640"/>
    <cellStyle name="Entrada 2 2 2 2 2 3 4" xfId="18963"/>
    <cellStyle name="Entrada 2 2 2 2 2 4" xfId="5768"/>
    <cellStyle name="Entrada 2 2 2 2 2 4 2" xfId="12321"/>
    <cellStyle name="Entrada 2 2 2 2 2 4 2 2" xfId="26643"/>
    <cellStyle name="Entrada 2 2 2 2 2 4 3" xfId="17966"/>
    <cellStyle name="Entrada 2 2 2 2 2 5" xfId="4751"/>
    <cellStyle name="Entrada 2 2 2 2 2 5 2" xfId="23169"/>
    <cellStyle name="Entrada 2 2 2 2 2 6" xfId="15331"/>
    <cellStyle name="Entrada 2 2 2 2 3" xfId="384"/>
    <cellStyle name="Entrada 2 2 2 2 3 2" xfId="385"/>
    <cellStyle name="Entrada 2 2 2 2 3 2 2" xfId="6916"/>
    <cellStyle name="Entrada 2 2 2 2 3 2 2 2" xfId="13520"/>
    <cellStyle name="Entrada 2 2 2 2 3 2 2 2 2" xfId="27842"/>
    <cellStyle name="Entrada 2 2 2 2 3 2 2 3" xfId="19165"/>
    <cellStyle name="Entrada 2 2 2 2 3 2 3" xfId="7940"/>
    <cellStyle name="Entrada 2 2 2 2 3 2 3 2" xfId="10554"/>
    <cellStyle name="Entrada 2 2 2 2 3 2 3 2 2" xfId="16816"/>
    <cellStyle name="Entrada 2 2 2 2 3 2 3 2 2 2" xfId="30232"/>
    <cellStyle name="Entrada 2 2 2 2 3 2 3 2 3" xfId="21561"/>
    <cellStyle name="Entrada 2 2 2 2 3 2 3 3" xfId="14544"/>
    <cellStyle name="Entrada 2 2 2 2 3 2 3 3 2" xfId="28866"/>
    <cellStyle name="Entrada 2 2 2 2 3 2 3 4" xfId="20189"/>
    <cellStyle name="Entrada 2 2 2 2 3 2 4" xfId="11402"/>
    <cellStyle name="Entrada 2 2 2 2 3 2 4 2" xfId="25724"/>
    <cellStyle name="Entrada 2 2 2 2 3 2 5" xfId="15054"/>
    <cellStyle name="Entrada 2 2 2 2 3 3" xfId="386"/>
    <cellStyle name="Entrada 2 2 2 2 3 3 2" xfId="7178"/>
    <cellStyle name="Entrada 2 2 2 2 3 3 2 2" xfId="9792"/>
    <cellStyle name="Entrada 2 2 2 2 3 3 2 2 2" xfId="16054"/>
    <cellStyle name="Entrada 2 2 2 2 3 3 2 2 2 2" xfId="29470"/>
    <cellStyle name="Entrada 2 2 2 2 3 3 2 2 3" xfId="20799"/>
    <cellStyle name="Entrada 2 2 2 2 3 3 2 3" xfId="13782"/>
    <cellStyle name="Entrada 2 2 2 2 3 3 2 3 2" xfId="28104"/>
    <cellStyle name="Entrada 2 2 2 2 3 3 2 4" xfId="19427"/>
    <cellStyle name="Entrada 2 2 2 2 3 3 3" xfId="13421"/>
    <cellStyle name="Entrada 2 2 2 2 3 3 3 2" xfId="27743"/>
    <cellStyle name="Entrada 2 2 2 2 3 3 4" xfId="19066"/>
    <cellStyle name="Entrada 2 2 2 2 3 4" xfId="5894"/>
    <cellStyle name="Entrada 2 2 2 2 3 4 2" xfId="12447"/>
    <cellStyle name="Entrada 2 2 2 2 3 4 2 2" xfId="26769"/>
    <cellStyle name="Entrada 2 2 2 2 3 4 3" xfId="18092"/>
    <cellStyle name="Entrada 2 2 2 2 3 5" xfId="5603"/>
    <cellStyle name="Entrada 2 2 2 2 3 5 2" xfId="23356"/>
    <cellStyle name="Entrada 2 2 2 2 3 6" xfId="17220"/>
    <cellStyle name="Entrada 2 2 2 2 4" xfId="387"/>
    <cellStyle name="Entrada 2 2 2 2 4 2" xfId="6971"/>
    <cellStyle name="Entrada 2 2 2 2 4 2 2" xfId="13575"/>
    <cellStyle name="Entrada 2 2 2 2 4 2 2 2" xfId="27897"/>
    <cellStyle name="Entrada 2 2 2 2 4 2 3" xfId="19220"/>
    <cellStyle name="Entrada 2 2 2 2 4 3" xfId="7302"/>
    <cellStyle name="Entrada 2 2 2 2 4 3 2" xfId="9916"/>
    <cellStyle name="Entrada 2 2 2 2 4 3 2 2" xfId="16178"/>
    <cellStyle name="Entrada 2 2 2 2 4 3 2 2 2" xfId="29594"/>
    <cellStyle name="Entrada 2 2 2 2 4 3 2 3" xfId="20923"/>
    <cellStyle name="Entrada 2 2 2 2 4 3 3" xfId="13906"/>
    <cellStyle name="Entrada 2 2 2 2 4 3 3 2" xfId="28228"/>
    <cellStyle name="Entrada 2 2 2 2 4 3 4" xfId="19551"/>
    <cellStyle name="Entrada 2 2 2 2 4 4" xfId="11478"/>
    <cellStyle name="Entrada 2 2 2 2 4 4 2" xfId="25800"/>
    <cellStyle name="Entrada 2 2 2 2 4 5" xfId="16997"/>
    <cellStyle name="Entrada 2 2 2 2 5" xfId="388"/>
    <cellStyle name="Entrada 2 2 2 2 5 2" xfId="5029"/>
    <cellStyle name="Entrada 2 2 2 2 5 2 2" xfId="9548"/>
    <cellStyle name="Entrada 2 2 2 2 5 2 2 2" xfId="15810"/>
    <cellStyle name="Entrada 2 2 2 2 5 2 2 2 2" xfId="29226"/>
    <cellStyle name="Entrada 2 2 2 2 5 2 2 3" xfId="20555"/>
    <cellStyle name="Entrada 2 2 2 2 5 2 3" xfId="11576"/>
    <cellStyle name="Entrada 2 2 2 2 5 2 3 2" xfId="25898"/>
    <cellStyle name="Entrada 2 2 2 2 5 2 4" xfId="15362"/>
    <cellStyle name="Entrada 2 2 2 2 5 3" xfId="12894"/>
    <cellStyle name="Entrada 2 2 2 2 5 3 2" xfId="27216"/>
    <cellStyle name="Entrada 2 2 2 2 5 4" xfId="18539"/>
    <cellStyle name="Entrada 2 2 2 2 6" xfId="5512"/>
    <cellStyle name="Entrada 2 2 2 2 6 2" xfId="12063"/>
    <cellStyle name="Entrada 2 2 2 2 6 2 2" xfId="26385"/>
    <cellStyle name="Entrada 2 2 2 2 6 3" xfId="17708"/>
    <cellStyle name="Entrada 2 2 2 2 7" xfId="3605"/>
    <cellStyle name="Entrada 2 2 2 2 7 2" xfId="22484"/>
    <cellStyle name="Entrada 2 2 2 2 8" xfId="17392"/>
    <cellStyle name="Entrada 2 2 2 3" xfId="389"/>
    <cellStyle name="Entrada 2 2 2 3 2" xfId="390"/>
    <cellStyle name="Entrada 2 2 2 3 2 2" xfId="391"/>
    <cellStyle name="Entrada 2 2 2 3 2 2 2" xfId="6086"/>
    <cellStyle name="Entrada 2 2 2 3 2 2 2 2" xfId="12652"/>
    <cellStyle name="Entrada 2 2 2 3 2 2 2 2 2" xfId="26974"/>
    <cellStyle name="Entrada 2 2 2 3 2 2 2 3" xfId="18297"/>
    <cellStyle name="Entrada 2 2 2 3 2 2 3" xfId="7789"/>
    <cellStyle name="Entrada 2 2 2 3 2 2 3 2" xfId="10403"/>
    <cellStyle name="Entrada 2 2 2 3 2 2 3 2 2" xfId="16665"/>
    <cellStyle name="Entrada 2 2 2 3 2 2 3 2 2 2" xfId="30081"/>
    <cellStyle name="Entrada 2 2 2 3 2 2 3 2 3" xfId="21410"/>
    <cellStyle name="Entrada 2 2 2 3 2 2 3 3" xfId="14393"/>
    <cellStyle name="Entrada 2 2 2 3 2 2 3 3 2" xfId="28715"/>
    <cellStyle name="Entrada 2 2 2 3 2 2 3 4" xfId="20038"/>
    <cellStyle name="Entrada 2 2 2 3 2 2 4" xfId="6338"/>
    <cellStyle name="Entrada 2 2 2 3 2 2 4 2" xfId="23525"/>
    <cellStyle name="Entrada 2 2 2 3 2 2 5" xfId="4869"/>
    <cellStyle name="Entrada 2 2 2 3 2 3" xfId="392"/>
    <cellStyle name="Entrada 2 2 2 3 2 3 2" xfId="7618"/>
    <cellStyle name="Entrada 2 2 2 3 2 3 2 2" xfId="10232"/>
    <cellStyle name="Entrada 2 2 2 3 2 3 2 2 2" xfId="16494"/>
    <cellStyle name="Entrada 2 2 2 3 2 3 2 2 2 2" xfId="29910"/>
    <cellStyle name="Entrada 2 2 2 3 2 3 2 2 3" xfId="21239"/>
    <cellStyle name="Entrada 2 2 2 3 2 3 2 3" xfId="14222"/>
    <cellStyle name="Entrada 2 2 2 3 2 3 2 3 2" xfId="28544"/>
    <cellStyle name="Entrada 2 2 2 3 2 3 2 4" xfId="19867"/>
    <cellStyle name="Entrada 2 2 2 3 2 3 3" xfId="13354"/>
    <cellStyle name="Entrada 2 2 2 3 2 3 3 2" xfId="27676"/>
    <cellStyle name="Entrada 2 2 2 3 2 3 4" xfId="18999"/>
    <cellStyle name="Entrada 2 2 2 3 2 4" xfId="5804"/>
    <cellStyle name="Entrada 2 2 2 3 2 4 2" xfId="12357"/>
    <cellStyle name="Entrada 2 2 2 3 2 4 2 2" xfId="26679"/>
    <cellStyle name="Entrada 2 2 2 3 2 4 3" xfId="18002"/>
    <cellStyle name="Entrada 2 2 2 3 2 5" xfId="5418"/>
    <cellStyle name="Entrada 2 2 2 3 2 5 2" xfId="23345"/>
    <cellStyle name="Entrada 2 2 2 3 2 6" xfId="17033"/>
    <cellStyle name="Entrada 2 2 2 3 3" xfId="393"/>
    <cellStyle name="Entrada 2 2 2 3 3 2" xfId="394"/>
    <cellStyle name="Entrada 2 2 2 3 3 2 2" xfId="6114"/>
    <cellStyle name="Entrada 2 2 2 3 3 2 2 2" xfId="12682"/>
    <cellStyle name="Entrada 2 2 2 3 3 2 2 2 2" xfId="27004"/>
    <cellStyle name="Entrada 2 2 2 3 3 2 2 3" xfId="18327"/>
    <cellStyle name="Entrada 2 2 2 3 3 2 3" xfId="7064"/>
    <cellStyle name="Entrada 2 2 2 3 3 2 3 2" xfId="9678"/>
    <cellStyle name="Entrada 2 2 2 3 3 2 3 2 2" xfId="15940"/>
    <cellStyle name="Entrada 2 2 2 3 3 2 3 2 2 2" xfId="29356"/>
    <cellStyle name="Entrada 2 2 2 3 3 2 3 2 3" xfId="20685"/>
    <cellStyle name="Entrada 2 2 2 3 3 2 3 3" xfId="13668"/>
    <cellStyle name="Entrada 2 2 2 3 3 2 3 3 2" xfId="27990"/>
    <cellStyle name="Entrada 2 2 2 3 3 2 3 4" xfId="19313"/>
    <cellStyle name="Entrada 2 2 2 3 3 2 4" xfId="6642"/>
    <cellStyle name="Entrada 2 2 2 3 3 2 4 2" xfId="23622"/>
    <cellStyle name="Entrada 2 2 2 3 3 2 5" xfId="4297"/>
    <cellStyle name="Entrada 2 2 2 3 3 3" xfId="395"/>
    <cellStyle name="Entrada 2 2 2 3 3 3 2" xfId="8054"/>
    <cellStyle name="Entrada 2 2 2 3 3 3 2 2" xfId="10668"/>
    <cellStyle name="Entrada 2 2 2 3 3 3 2 2 2" xfId="16930"/>
    <cellStyle name="Entrada 2 2 2 3 3 3 2 2 2 2" xfId="30346"/>
    <cellStyle name="Entrada 2 2 2 3 3 3 2 2 3" xfId="21675"/>
    <cellStyle name="Entrada 2 2 2 3 3 3 2 3" xfId="14658"/>
    <cellStyle name="Entrada 2 2 2 3 3 3 2 3 2" xfId="28980"/>
    <cellStyle name="Entrada 2 2 2 3 3 3 2 4" xfId="20303"/>
    <cellStyle name="Entrada 2 2 2 3 3 3 3" xfId="13375"/>
    <cellStyle name="Entrada 2 2 2 3 3 3 3 2" xfId="27697"/>
    <cellStyle name="Entrada 2 2 2 3 3 3 4" xfId="19020"/>
    <cellStyle name="Entrada 2 2 2 3 3 4" xfId="5827"/>
    <cellStyle name="Entrada 2 2 2 3 3 4 2" xfId="12380"/>
    <cellStyle name="Entrada 2 2 2 3 3 4 2 2" xfId="26702"/>
    <cellStyle name="Entrada 2 2 2 3 3 4 3" xfId="18025"/>
    <cellStyle name="Entrada 2 2 2 3 3 5" xfId="4803"/>
    <cellStyle name="Entrada 2 2 2 3 3 5 2" xfId="23196"/>
    <cellStyle name="Entrada 2 2 2 3 3 6" xfId="6656"/>
    <cellStyle name="Entrada 2 2 2 3 4" xfId="396"/>
    <cellStyle name="Entrada 2 2 2 3 4 2" xfId="6085"/>
    <cellStyle name="Entrada 2 2 2 3 4 2 2" xfId="12651"/>
    <cellStyle name="Entrada 2 2 2 3 4 2 2 2" xfId="26973"/>
    <cellStyle name="Entrada 2 2 2 3 4 2 3" xfId="18296"/>
    <cellStyle name="Entrada 2 2 2 3 4 3" xfId="7253"/>
    <cellStyle name="Entrada 2 2 2 3 4 3 2" xfId="9867"/>
    <cellStyle name="Entrada 2 2 2 3 4 3 2 2" xfId="16129"/>
    <cellStyle name="Entrada 2 2 2 3 4 3 2 2 2" xfId="29545"/>
    <cellStyle name="Entrada 2 2 2 3 4 3 2 3" xfId="20874"/>
    <cellStyle name="Entrada 2 2 2 3 4 3 3" xfId="13857"/>
    <cellStyle name="Entrada 2 2 2 3 4 3 3 2" xfId="28179"/>
    <cellStyle name="Entrada 2 2 2 3 4 3 4" xfId="19502"/>
    <cellStyle name="Entrada 2 2 2 3 4 4" xfId="4538"/>
    <cellStyle name="Entrada 2 2 2 3 4 4 2" xfId="23018"/>
    <cellStyle name="Entrada 2 2 2 3 4 5" xfId="17348"/>
    <cellStyle name="Entrada 2 2 2 3 5" xfId="397"/>
    <cellStyle name="Entrada 2 2 2 3 5 2" xfId="7091"/>
    <cellStyle name="Entrada 2 2 2 3 5 2 2" xfId="9705"/>
    <cellStyle name="Entrada 2 2 2 3 5 2 2 2" xfId="15967"/>
    <cellStyle name="Entrada 2 2 2 3 5 2 2 2 2" xfId="29383"/>
    <cellStyle name="Entrada 2 2 2 3 5 2 2 3" xfId="20712"/>
    <cellStyle name="Entrada 2 2 2 3 5 2 3" xfId="13695"/>
    <cellStyle name="Entrada 2 2 2 3 5 2 3 2" xfId="28017"/>
    <cellStyle name="Entrada 2 2 2 3 5 2 4" xfId="19340"/>
    <cellStyle name="Entrada 2 2 2 3 5 3" xfId="12930"/>
    <cellStyle name="Entrada 2 2 2 3 5 3 2" xfId="27252"/>
    <cellStyle name="Entrada 2 2 2 3 5 4" xfId="18575"/>
    <cellStyle name="Entrada 2 2 2 3 6" xfId="5554"/>
    <cellStyle name="Entrada 2 2 2 3 6 2" xfId="12105"/>
    <cellStyle name="Entrada 2 2 2 3 6 2 2" xfId="26427"/>
    <cellStyle name="Entrada 2 2 2 3 6 3" xfId="17750"/>
    <cellStyle name="Entrada 2 2 2 3 7" xfId="6668"/>
    <cellStyle name="Entrada 2 2 2 3 7 2" xfId="23640"/>
    <cellStyle name="Entrada 2 2 2 3 8" xfId="15007"/>
    <cellStyle name="Entrada 2 2 2 4" xfId="398"/>
    <cellStyle name="Entrada 2 2 2 4 2" xfId="399"/>
    <cellStyle name="Entrada 2 2 2 4 2 2" xfId="400"/>
    <cellStyle name="Entrada 2 2 2 4 2 2 2" xfId="6009"/>
    <cellStyle name="Entrada 2 2 2 4 2 2 2 2" xfId="12568"/>
    <cellStyle name="Entrada 2 2 2 4 2 2 2 2 2" xfId="26890"/>
    <cellStyle name="Entrada 2 2 2 4 2 2 2 3" xfId="18213"/>
    <cellStyle name="Entrada 2 2 2 4 2 2 3" xfId="7396"/>
    <cellStyle name="Entrada 2 2 2 4 2 2 3 2" xfId="10010"/>
    <cellStyle name="Entrada 2 2 2 4 2 2 3 2 2" xfId="16272"/>
    <cellStyle name="Entrada 2 2 2 4 2 2 3 2 2 2" xfId="29688"/>
    <cellStyle name="Entrada 2 2 2 4 2 2 3 2 3" xfId="21017"/>
    <cellStyle name="Entrada 2 2 2 4 2 2 3 3" xfId="14000"/>
    <cellStyle name="Entrada 2 2 2 4 2 2 3 3 2" xfId="28322"/>
    <cellStyle name="Entrada 2 2 2 4 2 2 3 4" xfId="19645"/>
    <cellStyle name="Entrada 2 2 2 4 2 2 4" xfId="3466"/>
    <cellStyle name="Entrada 2 2 2 4 2 2 4 2" xfId="22470"/>
    <cellStyle name="Entrada 2 2 2 4 2 2 5" xfId="5610"/>
    <cellStyle name="Entrada 2 2 2 4 2 3" xfId="401"/>
    <cellStyle name="Entrada 2 2 2 4 2 3 2" xfId="5271"/>
    <cellStyle name="Entrada 2 2 2 4 2 3 2 2" xfId="9580"/>
    <cellStyle name="Entrada 2 2 2 4 2 3 2 2 2" xfId="15842"/>
    <cellStyle name="Entrada 2 2 2 4 2 3 2 2 2 2" xfId="29258"/>
    <cellStyle name="Entrada 2 2 2 4 2 3 2 2 3" xfId="20587"/>
    <cellStyle name="Entrada 2 2 2 4 2 3 2 3" xfId="11821"/>
    <cellStyle name="Entrada 2 2 2 4 2 3 2 3 2" xfId="26143"/>
    <cellStyle name="Entrada 2 2 2 4 2 3 2 4" xfId="17466"/>
    <cellStyle name="Entrada 2 2 2 4 2 3 3" xfId="13164"/>
    <cellStyle name="Entrada 2 2 2 4 2 3 3 2" xfId="27486"/>
    <cellStyle name="Entrada 2 2 2 4 2 3 4" xfId="18809"/>
    <cellStyle name="Entrada 2 2 2 4 2 4" xfId="5578"/>
    <cellStyle name="Entrada 2 2 2 4 2 4 2" xfId="12129"/>
    <cellStyle name="Entrada 2 2 2 4 2 4 2 2" xfId="26451"/>
    <cellStyle name="Entrada 2 2 2 4 2 4 3" xfId="17774"/>
    <cellStyle name="Entrada 2 2 2 4 2 5" xfId="6682"/>
    <cellStyle name="Entrada 2 2 2 4 2 5 2" xfId="23651"/>
    <cellStyle name="Entrada 2 2 2 4 2 6" xfId="17118"/>
    <cellStyle name="Entrada 2 2 2 4 3" xfId="402"/>
    <cellStyle name="Entrada 2 2 2 4 3 2" xfId="403"/>
    <cellStyle name="Entrada 2 2 2 4 3 2 2" xfId="7000"/>
    <cellStyle name="Entrada 2 2 2 4 3 2 2 2" xfId="13604"/>
    <cellStyle name="Entrada 2 2 2 4 3 2 2 2 2" xfId="27926"/>
    <cellStyle name="Entrada 2 2 2 4 3 2 2 3" xfId="19249"/>
    <cellStyle name="Entrada 2 2 2 4 3 2 3" xfId="5274"/>
    <cellStyle name="Entrada 2 2 2 4 3 2 3 2" xfId="9583"/>
    <cellStyle name="Entrada 2 2 2 4 3 2 3 2 2" xfId="15845"/>
    <cellStyle name="Entrada 2 2 2 4 3 2 3 2 2 2" xfId="29261"/>
    <cellStyle name="Entrada 2 2 2 4 3 2 3 2 3" xfId="20590"/>
    <cellStyle name="Entrada 2 2 2 4 3 2 3 3" xfId="11824"/>
    <cellStyle name="Entrada 2 2 2 4 3 2 3 3 2" xfId="26146"/>
    <cellStyle name="Entrada 2 2 2 4 3 2 3 4" xfId="17469"/>
    <cellStyle name="Entrada 2 2 2 4 3 2 4" xfId="11516"/>
    <cellStyle name="Entrada 2 2 2 4 3 2 4 2" xfId="25838"/>
    <cellStyle name="Entrada 2 2 2 4 3 2 5" xfId="2786"/>
    <cellStyle name="Entrada 2 2 2 4 3 3" xfId="404"/>
    <cellStyle name="Entrada 2 2 2 4 3 3 2" xfId="5336"/>
    <cellStyle name="Entrada 2 2 2 4 3 3 2 2" xfId="9645"/>
    <cellStyle name="Entrada 2 2 2 4 3 3 2 2 2" xfId="15907"/>
    <cellStyle name="Entrada 2 2 2 4 3 3 2 2 2 2" xfId="29323"/>
    <cellStyle name="Entrada 2 2 2 4 3 3 2 2 3" xfId="20652"/>
    <cellStyle name="Entrada 2 2 2 4 3 3 2 3" xfId="11886"/>
    <cellStyle name="Entrada 2 2 2 4 3 3 2 3 2" xfId="26208"/>
    <cellStyle name="Entrada 2 2 2 4 3 3 2 4" xfId="17531"/>
    <cellStyle name="Entrada 2 2 2 4 3 3 3" xfId="13063"/>
    <cellStyle name="Entrada 2 2 2 4 3 3 3 2" xfId="27385"/>
    <cellStyle name="Entrada 2 2 2 4 3 3 4" xfId="18708"/>
    <cellStyle name="Entrada 2 2 2 4 3 4" xfId="5399"/>
    <cellStyle name="Entrada 2 2 2 4 3 4 2" xfId="11949"/>
    <cellStyle name="Entrada 2 2 2 4 3 4 2 2" xfId="26271"/>
    <cellStyle name="Entrada 2 2 2 4 3 4 3" xfId="17594"/>
    <cellStyle name="Entrada 2 2 2 4 3 5" xfId="6745"/>
    <cellStyle name="Entrada 2 2 2 4 3 5 2" xfId="23693"/>
    <cellStyle name="Entrada 2 2 2 4 3 6" xfId="3610"/>
    <cellStyle name="Entrada 2 2 2 4 4" xfId="405"/>
    <cellStyle name="Entrada 2 2 2 4 4 2" xfId="6092"/>
    <cellStyle name="Entrada 2 2 2 4 4 2 2" xfId="12659"/>
    <cellStyle name="Entrada 2 2 2 4 4 2 2 2" xfId="26981"/>
    <cellStyle name="Entrada 2 2 2 4 4 2 3" xfId="18304"/>
    <cellStyle name="Entrada 2 2 2 4 4 3" xfId="7756"/>
    <cellStyle name="Entrada 2 2 2 4 4 3 2" xfId="10370"/>
    <cellStyle name="Entrada 2 2 2 4 4 3 2 2" xfId="16632"/>
    <cellStyle name="Entrada 2 2 2 4 4 3 2 2 2" xfId="30048"/>
    <cellStyle name="Entrada 2 2 2 4 4 3 2 3" xfId="21377"/>
    <cellStyle name="Entrada 2 2 2 4 4 3 3" xfId="14360"/>
    <cellStyle name="Entrada 2 2 2 4 4 3 3 2" xfId="28682"/>
    <cellStyle name="Entrada 2 2 2 4 4 3 4" xfId="20005"/>
    <cellStyle name="Entrada 2 2 2 4 4 4" xfId="4213"/>
    <cellStyle name="Entrada 2 2 2 4 4 4 2" xfId="22826"/>
    <cellStyle name="Entrada 2 2 2 4 4 5" xfId="4629"/>
    <cellStyle name="Entrada 2 2 2 4 5" xfId="406"/>
    <cellStyle name="Entrada 2 2 2 4 5 2" xfId="7432"/>
    <cellStyle name="Entrada 2 2 2 4 5 2 2" xfId="10046"/>
    <cellStyle name="Entrada 2 2 2 4 5 2 2 2" xfId="16308"/>
    <cellStyle name="Entrada 2 2 2 4 5 2 2 2 2" xfId="29724"/>
    <cellStyle name="Entrada 2 2 2 4 5 2 2 3" xfId="21053"/>
    <cellStyle name="Entrada 2 2 2 4 5 2 3" xfId="14036"/>
    <cellStyle name="Entrada 2 2 2 4 5 2 3 2" xfId="28358"/>
    <cellStyle name="Entrada 2 2 2 4 5 2 4" xfId="19681"/>
    <cellStyle name="Entrada 2 2 2 4 5 3" xfId="12425"/>
    <cellStyle name="Entrada 2 2 2 4 5 3 2" xfId="26747"/>
    <cellStyle name="Entrada 2 2 2 4 5 4" xfId="18070"/>
    <cellStyle name="Entrada 2 2 2 4 6" xfId="5056"/>
    <cellStyle name="Entrada 2 2 2 4 6 2" xfId="11603"/>
    <cellStyle name="Entrada 2 2 2 4 6 2 2" xfId="25925"/>
    <cellStyle name="Entrada 2 2 2 4 6 3" xfId="15311"/>
    <cellStyle name="Entrada 2 2 2 4 7" xfId="3799"/>
    <cellStyle name="Entrada 2 2 2 4 7 2" xfId="22587"/>
    <cellStyle name="Entrada 2 2 2 4 8" xfId="15040"/>
    <cellStyle name="Entrada 2 2 2 5" xfId="407"/>
    <cellStyle name="Entrada 2 2 2 5 2" xfId="408"/>
    <cellStyle name="Entrada 2 2 2 5 2 2" xfId="409"/>
    <cellStyle name="Entrada 2 2 2 5 2 2 2" xfId="6110"/>
    <cellStyle name="Entrada 2 2 2 5 2 2 2 2" xfId="12678"/>
    <cellStyle name="Entrada 2 2 2 5 2 2 2 2 2" xfId="27000"/>
    <cellStyle name="Entrada 2 2 2 5 2 2 2 3" xfId="18323"/>
    <cellStyle name="Entrada 2 2 2 5 2 2 3" xfId="7193"/>
    <cellStyle name="Entrada 2 2 2 5 2 2 3 2" xfId="9807"/>
    <cellStyle name="Entrada 2 2 2 5 2 2 3 2 2" xfId="16069"/>
    <cellStyle name="Entrada 2 2 2 5 2 2 3 2 2 2" xfId="29485"/>
    <cellStyle name="Entrada 2 2 2 5 2 2 3 2 3" xfId="20814"/>
    <cellStyle name="Entrada 2 2 2 5 2 2 3 3" xfId="13797"/>
    <cellStyle name="Entrada 2 2 2 5 2 2 3 3 2" xfId="28119"/>
    <cellStyle name="Entrada 2 2 2 5 2 2 3 4" xfId="19442"/>
    <cellStyle name="Entrada 2 2 2 5 2 2 4" xfId="4780"/>
    <cellStyle name="Entrada 2 2 2 5 2 2 4 2" xfId="23183"/>
    <cellStyle name="Entrada 2 2 2 5 2 2 5" xfId="14687"/>
    <cellStyle name="Entrada 2 2 2 5 2 3" xfId="410"/>
    <cellStyle name="Entrada 2 2 2 5 2 3 2" xfId="4856"/>
    <cellStyle name="Entrada 2 2 2 5 2 3 2 2" xfId="9505"/>
    <cellStyle name="Entrada 2 2 2 5 2 3 2 2 2" xfId="15767"/>
    <cellStyle name="Entrada 2 2 2 5 2 3 2 2 2 2" xfId="29183"/>
    <cellStyle name="Entrada 2 2 2 5 2 3 2 2 3" xfId="20512"/>
    <cellStyle name="Entrada 2 2 2 5 2 3 2 3" xfId="11390"/>
    <cellStyle name="Entrada 2 2 2 5 2 3 2 3 2" xfId="25712"/>
    <cellStyle name="Entrada 2 2 2 5 2 3 2 4" xfId="17001"/>
    <cellStyle name="Entrada 2 2 2 5 2 3 3" xfId="12784"/>
    <cellStyle name="Entrada 2 2 2 5 2 3 3 2" xfId="27106"/>
    <cellStyle name="Entrada 2 2 2 5 2 3 4" xfId="18429"/>
    <cellStyle name="Entrada 2 2 2 5 2 4" xfId="5174"/>
    <cellStyle name="Entrada 2 2 2 5 2 4 2" xfId="11723"/>
    <cellStyle name="Entrada 2 2 2 5 2 4 2 2" xfId="26045"/>
    <cellStyle name="Entrada 2 2 2 5 2 4 3" xfId="4555"/>
    <cellStyle name="Entrada 2 2 2 5 2 5" xfId="4772"/>
    <cellStyle name="Entrada 2 2 2 5 2 5 2" xfId="23180"/>
    <cellStyle name="Entrada 2 2 2 5 2 6" xfId="15093"/>
    <cellStyle name="Entrada 2 2 2 5 3" xfId="411"/>
    <cellStyle name="Entrada 2 2 2 5 3 2" xfId="7020"/>
    <cellStyle name="Entrada 2 2 2 5 3 2 2" xfId="13624"/>
    <cellStyle name="Entrada 2 2 2 5 3 2 2 2" xfId="27946"/>
    <cellStyle name="Entrada 2 2 2 5 3 2 3" xfId="19269"/>
    <cellStyle name="Entrada 2 2 2 5 3 3" xfId="3767"/>
    <cellStyle name="Entrada 2 2 2 5 3 3 2" xfId="9370"/>
    <cellStyle name="Entrada 2 2 2 5 3 3 2 2" xfId="15632"/>
    <cellStyle name="Entrada 2 2 2 5 3 3 2 2 2" xfId="29048"/>
    <cellStyle name="Entrada 2 2 2 5 3 3 2 3" xfId="20377"/>
    <cellStyle name="Entrada 2 2 2 5 3 3 3" xfId="4461"/>
    <cellStyle name="Entrada 2 2 2 5 3 3 3 2" xfId="22964"/>
    <cellStyle name="Entrada 2 2 2 5 3 3 4" xfId="17316"/>
    <cellStyle name="Entrada 2 2 2 5 3 4" xfId="11550"/>
    <cellStyle name="Entrada 2 2 2 5 3 4 2" xfId="25872"/>
    <cellStyle name="Entrada 2 2 2 5 3 5" xfId="6010"/>
    <cellStyle name="Entrada 2 2 2 5 4" xfId="412"/>
    <cellStyle name="Entrada 2 2 2 5 4 2" xfId="4850"/>
    <cellStyle name="Entrada 2 2 2 5 4 2 2" xfId="9502"/>
    <cellStyle name="Entrada 2 2 2 5 4 2 2 2" xfId="15764"/>
    <cellStyle name="Entrada 2 2 2 5 4 2 2 2 2" xfId="29180"/>
    <cellStyle name="Entrada 2 2 2 5 4 2 2 3" xfId="20509"/>
    <cellStyle name="Entrada 2 2 2 5 4 2 3" xfId="11383"/>
    <cellStyle name="Entrada 2 2 2 5 4 2 3 2" xfId="25705"/>
    <cellStyle name="Entrada 2 2 2 5 4 2 4" xfId="6083"/>
    <cellStyle name="Entrada 2 2 2 5 4 3" xfId="12571"/>
    <cellStyle name="Entrada 2 2 2 5 4 3 2" xfId="26893"/>
    <cellStyle name="Entrada 2 2 2 5 4 4" xfId="18216"/>
    <cellStyle name="Entrada 2 2 2 5 5" xfId="5205"/>
    <cellStyle name="Entrada 2 2 2 5 5 2" xfId="11754"/>
    <cellStyle name="Entrada 2 2 2 5 5 2 2" xfId="26076"/>
    <cellStyle name="Entrada 2 2 2 5 5 3" xfId="4242"/>
    <cellStyle name="Entrada 2 2 2 5 6" xfId="4644"/>
    <cellStyle name="Entrada 2 2 2 5 6 2" xfId="23088"/>
    <cellStyle name="Entrada 2 2 2 5 7" xfId="3884"/>
    <cellStyle name="Entrada 2 2 2 6" xfId="413"/>
    <cellStyle name="Entrada 2 2 2 6 2" xfId="414"/>
    <cellStyle name="Entrada 2 2 2 6 2 2" xfId="5609"/>
    <cellStyle name="Entrada 2 2 2 6 2 2 2" xfId="12161"/>
    <cellStyle name="Entrada 2 2 2 6 2 2 2 2" xfId="26483"/>
    <cellStyle name="Entrada 2 2 2 6 2 2 3" xfId="17806"/>
    <cellStyle name="Entrada 2 2 2 6 2 3" xfId="7143"/>
    <cellStyle name="Entrada 2 2 2 6 2 3 2" xfId="9757"/>
    <cellStyle name="Entrada 2 2 2 6 2 3 2 2" xfId="16019"/>
    <cellStyle name="Entrada 2 2 2 6 2 3 2 2 2" xfId="29435"/>
    <cellStyle name="Entrada 2 2 2 6 2 3 2 3" xfId="20764"/>
    <cellStyle name="Entrada 2 2 2 6 2 3 3" xfId="13747"/>
    <cellStyle name="Entrada 2 2 2 6 2 3 3 2" xfId="28069"/>
    <cellStyle name="Entrada 2 2 2 6 2 3 4" xfId="19392"/>
    <cellStyle name="Entrada 2 2 2 6 2 4" xfId="4753"/>
    <cellStyle name="Entrada 2 2 2 6 2 4 2" xfId="23170"/>
    <cellStyle name="Entrada 2 2 2 6 2 5" xfId="17131"/>
    <cellStyle name="Entrada 2 2 2 6 3" xfId="415"/>
    <cellStyle name="Entrada 2 2 2 6 3 2" xfId="7646"/>
    <cellStyle name="Entrada 2 2 2 6 3 2 2" xfId="10260"/>
    <cellStyle name="Entrada 2 2 2 6 3 2 2 2" xfId="16522"/>
    <cellStyle name="Entrada 2 2 2 6 3 2 2 2 2" xfId="29938"/>
    <cellStyle name="Entrada 2 2 2 6 3 2 2 3" xfId="21267"/>
    <cellStyle name="Entrada 2 2 2 6 3 2 3" xfId="14250"/>
    <cellStyle name="Entrada 2 2 2 6 3 2 3 2" xfId="28572"/>
    <cellStyle name="Entrada 2 2 2 6 3 2 4" xfId="19895"/>
    <cellStyle name="Entrada 2 2 2 6 3 3" xfId="13064"/>
    <cellStyle name="Entrada 2 2 2 6 3 3 2" xfId="27386"/>
    <cellStyle name="Entrada 2 2 2 6 3 4" xfId="18709"/>
    <cellStyle name="Entrada 2 2 2 6 4" xfId="5400"/>
    <cellStyle name="Entrada 2 2 2 6 4 2" xfId="11950"/>
    <cellStyle name="Entrada 2 2 2 6 4 2 2" xfId="26272"/>
    <cellStyle name="Entrada 2 2 2 6 4 3" xfId="17595"/>
    <cellStyle name="Entrada 2 2 2 6 5" xfId="3966"/>
    <cellStyle name="Entrada 2 2 2 6 5 2" xfId="22673"/>
    <cellStyle name="Entrada 2 2 2 6 6" xfId="5481"/>
    <cellStyle name="Entrada 2 2 2 7" xfId="416"/>
    <cellStyle name="Entrada 2 2 2 7 2" xfId="6384"/>
    <cellStyle name="Entrada 2 2 2 7 2 2" xfId="12967"/>
    <cellStyle name="Entrada 2 2 2 7 2 2 2" xfId="27289"/>
    <cellStyle name="Entrada 2 2 2 7 2 3" xfId="18612"/>
    <cellStyle name="Entrada 2 2 2 7 3" xfId="7294"/>
    <cellStyle name="Entrada 2 2 2 7 3 2" xfId="9908"/>
    <cellStyle name="Entrada 2 2 2 7 3 2 2" xfId="16170"/>
    <cellStyle name="Entrada 2 2 2 7 3 2 2 2" xfId="29586"/>
    <cellStyle name="Entrada 2 2 2 7 3 2 3" xfId="20915"/>
    <cellStyle name="Entrada 2 2 2 7 3 3" xfId="13898"/>
    <cellStyle name="Entrada 2 2 2 7 3 3 2" xfId="28220"/>
    <cellStyle name="Entrada 2 2 2 7 3 4" xfId="19543"/>
    <cellStyle name="Entrada 2 2 2 7 4" xfId="4339"/>
    <cellStyle name="Entrada 2 2 2 7 4 2" xfId="22896"/>
    <cellStyle name="Entrada 2 2 2 7 5" xfId="14768"/>
    <cellStyle name="Entrada 2 2 2 8" xfId="417"/>
    <cellStyle name="Entrada 2 2 2 8 2" xfId="7101"/>
    <cellStyle name="Entrada 2 2 2 8 2 2" xfId="9715"/>
    <cellStyle name="Entrada 2 2 2 8 2 2 2" xfId="15977"/>
    <cellStyle name="Entrada 2 2 2 8 2 2 2 2" xfId="29393"/>
    <cellStyle name="Entrada 2 2 2 8 2 2 3" xfId="20722"/>
    <cellStyle name="Entrada 2 2 2 8 2 3" xfId="13705"/>
    <cellStyle name="Entrada 2 2 2 8 2 3 2" xfId="28027"/>
    <cellStyle name="Entrada 2 2 2 8 2 4" xfId="19350"/>
    <cellStyle name="Entrada 2 2 2 8 3" xfId="12758"/>
    <cellStyle name="Entrada 2 2 2 8 3 2" xfId="27080"/>
    <cellStyle name="Entrada 2 2 2 8 4" xfId="18403"/>
    <cellStyle name="Entrada 2 2 2 9" xfId="5469"/>
    <cellStyle name="Entrada 2 2 2 9 2" xfId="12020"/>
    <cellStyle name="Entrada 2 2 2 9 2 2" xfId="26342"/>
    <cellStyle name="Entrada 2 2 2 9 3" xfId="17665"/>
    <cellStyle name="Entrada 2 2 3" xfId="418"/>
    <cellStyle name="Entrada 2 2 3 2" xfId="419"/>
    <cellStyle name="Entrada 2 2 3 2 2" xfId="420"/>
    <cellStyle name="Entrada 2 2 3 2 2 2" xfId="5728"/>
    <cellStyle name="Entrada 2 2 3 2 2 2 2" xfId="12281"/>
    <cellStyle name="Entrada 2 2 3 2 2 2 2 2" xfId="26603"/>
    <cellStyle name="Entrada 2 2 3 2 2 2 3" xfId="17926"/>
    <cellStyle name="Entrada 2 2 3 2 2 3" xfId="8057"/>
    <cellStyle name="Entrada 2 2 3 2 2 3 2" xfId="10671"/>
    <cellStyle name="Entrada 2 2 3 2 2 3 2 2" xfId="16933"/>
    <cellStyle name="Entrada 2 2 3 2 2 3 2 2 2" xfId="30349"/>
    <cellStyle name="Entrada 2 2 3 2 2 3 2 3" xfId="21678"/>
    <cellStyle name="Entrada 2 2 3 2 2 3 3" xfId="14661"/>
    <cellStyle name="Entrada 2 2 3 2 2 3 3 2" xfId="28983"/>
    <cellStyle name="Entrada 2 2 3 2 2 3 4" xfId="20306"/>
    <cellStyle name="Entrada 2 2 3 2 2 4" xfId="5975"/>
    <cellStyle name="Entrada 2 2 3 2 2 4 2" xfId="23387"/>
    <cellStyle name="Entrada 2 2 3 2 2 5" xfId="4268"/>
    <cellStyle name="Entrada 2 2 3 2 3" xfId="421"/>
    <cellStyle name="Entrada 2 2 3 2 3 2" xfId="5254"/>
    <cellStyle name="Entrada 2 2 3 2 3 2 2" xfId="9563"/>
    <cellStyle name="Entrada 2 2 3 2 3 2 2 2" xfId="15825"/>
    <cellStyle name="Entrada 2 2 3 2 3 2 2 2 2" xfId="29241"/>
    <cellStyle name="Entrada 2 2 3 2 3 2 2 3" xfId="20570"/>
    <cellStyle name="Entrada 2 2 3 2 3 2 3" xfId="11804"/>
    <cellStyle name="Entrada 2 2 3 2 3 2 3 2" xfId="26126"/>
    <cellStyle name="Entrada 2 2 3 2 3 2 4" xfId="17449"/>
    <cellStyle name="Entrada 2 2 3 2 3 3" xfId="13304"/>
    <cellStyle name="Entrada 2 2 3 2 3 3 2" xfId="27626"/>
    <cellStyle name="Entrada 2 2 3 2 3 4" xfId="18949"/>
    <cellStyle name="Entrada 2 2 3 2 4" xfId="5754"/>
    <cellStyle name="Entrada 2 2 3 2 4 2" xfId="12307"/>
    <cellStyle name="Entrada 2 2 3 2 4 2 2" xfId="26629"/>
    <cellStyle name="Entrada 2 2 3 2 4 3" xfId="17952"/>
    <cellStyle name="Entrada 2 2 3 2 5" xfId="6173"/>
    <cellStyle name="Entrada 2 2 3 2 5 2" xfId="23442"/>
    <cellStyle name="Entrada 2 2 3 2 6" xfId="17109"/>
    <cellStyle name="Entrada 2 2 3 3" xfId="422"/>
    <cellStyle name="Entrada 2 2 3 3 2" xfId="423"/>
    <cellStyle name="Entrada 2 2 3 3 2 2" xfId="6391"/>
    <cellStyle name="Entrada 2 2 3 3 2 2 2" xfId="12974"/>
    <cellStyle name="Entrada 2 2 3 3 2 2 2 2" xfId="27296"/>
    <cellStyle name="Entrada 2 2 3 3 2 2 3" xfId="18619"/>
    <cellStyle name="Entrada 2 2 3 3 2 3" xfId="7777"/>
    <cellStyle name="Entrada 2 2 3 3 2 3 2" xfId="10391"/>
    <cellStyle name="Entrada 2 2 3 3 2 3 2 2" xfId="16653"/>
    <cellStyle name="Entrada 2 2 3 3 2 3 2 2 2" xfId="30069"/>
    <cellStyle name="Entrada 2 2 3 3 2 3 2 3" xfId="21398"/>
    <cellStyle name="Entrada 2 2 3 3 2 3 3" xfId="14381"/>
    <cellStyle name="Entrada 2 2 3 3 2 3 3 2" xfId="28703"/>
    <cellStyle name="Entrada 2 2 3 3 2 3 4" xfId="20026"/>
    <cellStyle name="Entrada 2 2 3 3 2 4" xfId="4305"/>
    <cellStyle name="Entrada 2 2 3 3 2 4 2" xfId="22882"/>
    <cellStyle name="Entrada 2 2 3 3 2 5" xfId="17358"/>
    <cellStyle name="Entrada 2 2 3 3 3" xfId="424"/>
    <cellStyle name="Entrada 2 2 3 3 3 2" xfId="4434"/>
    <cellStyle name="Entrada 2 2 3 3 3 2 2" xfId="9466"/>
    <cellStyle name="Entrada 2 2 3 3 3 2 2 2" xfId="15728"/>
    <cellStyle name="Entrada 2 2 3 3 3 2 2 2 2" xfId="29144"/>
    <cellStyle name="Entrada 2 2 3 3 3 2 2 3" xfId="20473"/>
    <cellStyle name="Entrada 2 2 3 3 3 2 3" xfId="6817"/>
    <cellStyle name="Entrada 2 2 3 3 3 2 3 2" xfId="23753"/>
    <cellStyle name="Entrada 2 2 3 3 3 2 4" xfId="15018"/>
    <cellStyle name="Entrada 2 2 3 3 3 3" xfId="13178"/>
    <cellStyle name="Entrada 2 2 3 3 3 3 2" xfId="27500"/>
    <cellStyle name="Entrada 2 2 3 3 3 4" xfId="18823"/>
    <cellStyle name="Entrada 2 2 3 3 4" xfId="5601"/>
    <cellStyle name="Entrada 2 2 3 3 4 2" xfId="12153"/>
    <cellStyle name="Entrada 2 2 3 3 4 2 2" xfId="26475"/>
    <cellStyle name="Entrada 2 2 3 3 4 3" xfId="17798"/>
    <cellStyle name="Entrada 2 2 3 3 5" xfId="5565"/>
    <cellStyle name="Entrada 2 2 3 3 5 2" xfId="23349"/>
    <cellStyle name="Entrada 2 2 3 3 6" xfId="15181"/>
    <cellStyle name="Entrada 2 2 3 4" xfId="425"/>
    <cellStyle name="Entrada 2 2 3 4 2" xfId="6510"/>
    <cellStyle name="Entrada 2 2 3 4 2 2" xfId="13097"/>
    <cellStyle name="Entrada 2 2 3 4 2 2 2" xfId="27419"/>
    <cellStyle name="Entrada 2 2 3 4 2 3" xfId="18742"/>
    <cellStyle name="Entrada 2 2 3 4 3" xfId="7146"/>
    <cellStyle name="Entrada 2 2 3 4 3 2" xfId="9760"/>
    <cellStyle name="Entrada 2 2 3 4 3 2 2" xfId="16022"/>
    <cellStyle name="Entrada 2 2 3 4 3 2 2 2" xfId="29438"/>
    <cellStyle name="Entrada 2 2 3 4 3 2 3" xfId="20767"/>
    <cellStyle name="Entrada 2 2 3 4 3 3" xfId="13750"/>
    <cellStyle name="Entrada 2 2 3 4 3 3 2" xfId="28072"/>
    <cellStyle name="Entrada 2 2 3 4 3 4" xfId="19395"/>
    <cellStyle name="Entrada 2 2 3 4 4" xfId="6312"/>
    <cellStyle name="Entrada 2 2 3 4 4 2" xfId="23508"/>
    <cellStyle name="Entrada 2 2 3 4 5" xfId="15489"/>
    <cellStyle name="Entrada 2 2 3 5" xfId="426"/>
    <cellStyle name="Entrada 2 2 3 5 2" xfId="7250"/>
    <cellStyle name="Entrada 2 2 3 5 2 2" xfId="9864"/>
    <cellStyle name="Entrada 2 2 3 5 2 2 2" xfId="16126"/>
    <cellStyle name="Entrada 2 2 3 5 2 2 2 2" xfId="29542"/>
    <cellStyle name="Entrada 2 2 3 5 2 2 3" xfId="20871"/>
    <cellStyle name="Entrada 2 2 3 5 2 3" xfId="13854"/>
    <cellStyle name="Entrada 2 2 3 5 2 3 2" xfId="28176"/>
    <cellStyle name="Entrada 2 2 3 5 2 4" xfId="19499"/>
    <cellStyle name="Entrada 2 2 3 5 3" xfId="12880"/>
    <cellStyle name="Entrada 2 2 3 5 3 2" xfId="27202"/>
    <cellStyle name="Entrada 2 2 3 5 4" xfId="18525"/>
    <cellStyle name="Entrada 2 2 3 6" xfId="5498"/>
    <cellStyle name="Entrada 2 2 3 6 2" xfId="12049"/>
    <cellStyle name="Entrada 2 2 3 6 2 2" xfId="26371"/>
    <cellStyle name="Entrada 2 2 3 6 3" xfId="17694"/>
    <cellStyle name="Entrada 2 2 3 7" xfId="6270"/>
    <cellStyle name="Entrada 2 2 3 7 2" xfId="23485"/>
    <cellStyle name="Entrada 2 2 3 8" xfId="15043"/>
    <cellStyle name="Entrada 2 2 4" xfId="427"/>
    <cellStyle name="Entrada 2 2 4 2" xfId="428"/>
    <cellStyle name="Entrada 2 2 4 2 2" xfId="429"/>
    <cellStyle name="Entrada 2 2 4 2 2 2" xfId="6119"/>
    <cellStyle name="Entrada 2 2 4 2 2 2 2" xfId="12688"/>
    <cellStyle name="Entrada 2 2 4 2 2 2 2 2" xfId="27010"/>
    <cellStyle name="Entrada 2 2 4 2 2 2 3" xfId="18333"/>
    <cellStyle name="Entrada 2 2 4 2 2 3" xfId="7967"/>
    <cellStyle name="Entrada 2 2 4 2 2 3 2" xfId="10581"/>
    <cellStyle name="Entrada 2 2 4 2 2 3 2 2" xfId="16843"/>
    <cellStyle name="Entrada 2 2 4 2 2 3 2 2 2" xfId="30259"/>
    <cellStyle name="Entrada 2 2 4 2 2 3 2 3" xfId="21588"/>
    <cellStyle name="Entrada 2 2 4 2 2 3 3" xfId="14571"/>
    <cellStyle name="Entrada 2 2 4 2 2 3 3 2" xfId="28893"/>
    <cellStyle name="Entrada 2 2 4 2 2 3 4" xfId="20216"/>
    <cellStyle name="Entrada 2 2 4 2 2 4" xfId="4505"/>
    <cellStyle name="Entrada 2 2 4 2 2 4 2" xfId="22995"/>
    <cellStyle name="Entrada 2 2 4 2 2 5" xfId="15529"/>
    <cellStyle name="Entrada 2 2 4 2 3" xfId="430"/>
    <cellStyle name="Entrada 2 2 4 2 3 2" xfId="7289"/>
    <cellStyle name="Entrada 2 2 4 2 3 2 2" xfId="9903"/>
    <cellStyle name="Entrada 2 2 4 2 3 2 2 2" xfId="16165"/>
    <cellStyle name="Entrada 2 2 4 2 3 2 2 2 2" xfId="29581"/>
    <cellStyle name="Entrada 2 2 4 2 3 2 2 3" xfId="20910"/>
    <cellStyle name="Entrada 2 2 4 2 3 2 3" xfId="13893"/>
    <cellStyle name="Entrada 2 2 4 2 3 2 3 2" xfId="28215"/>
    <cellStyle name="Entrada 2 2 4 2 3 2 4" xfId="19538"/>
    <cellStyle name="Entrada 2 2 4 2 3 3" xfId="13340"/>
    <cellStyle name="Entrada 2 2 4 2 3 3 2" xfId="27662"/>
    <cellStyle name="Entrada 2 2 4 2 3 4" xfId="18985"/>
    <cellStyle name="Entrada 2 2 4 2 4" xfId="5790"/>
    <cellStyle name="Entrada 2 2 4 2 4 2" xfId="12343"/>
    <cellStyle name="Entrada 2 2 4 2 4 2 2" xfId="26665"/>
    <cellStyle name="Entrada 2 2 4 2 4 3" xfId="17988"/>
    <cellStyle name="Entrada 2 2 4 2 5" xfId="4636"/>
    <cellStyle name="Entrada 2 2 4 2 5 2" xfId="23080"/>
    <cellStyle name="Entrada 2 2 4 2 6" xfId="15340"/>
    <cellStyle name="Entrada 2 2 4 3" xfId="431"/>
    <cellStyle name="Entrada 2 2 4 3 2" xfId="432"/>
    <cellStyle name="Entrada 2 2 4 3 2 2" xfId="6226"/>
    <cellStyle name="Entrada 2 2 4 3 2 2 2" xfId="12801"/>
    <cellStyle name="Entrada 2 2 4 3 2 2 2 2" xfId="27123"/>
    <cellStyle name="Entrada 2 2 4 3 2 2 3" xfId="18446"/>
    <cellStyle name="Entrada 2 2 4 3 2 3" xfId="7814"/>
    <cellStyle name="Entrada 2 2 4 3 2 3 2" xfId="10428"/>
    <cellStyle name="Entrada 2 2 4 3 2 3 2 2" xfId="16690"/>
    <cellStyle name="Entrada 2 2 4 3 2 3 2 2 2" xfId="30106"/>
    <cellStyle name="Entrada 2 2 4 3 2 3 2 3" xfId="21435"/>
    <cellStyle name="Entrada 2 2 4 3 2 3 3" xfId="14418"/>
    <cellStyle name="Entrada 2 2 4 3 2 3 3 2" xfId="28740"/>
    <cellStyle name="Entrada 2 2 4 3 2 3 4" xfId="20063"/>
    <cellStyle name="Entrada 2 2 4 3 2 4" xfId="4911"/>
    <cellStyle name="Entrada 2 2 4 3 2 4 2" xfId="23261"/>
    <cellStyle name="Entrada 2 2 4 3 2 5" xfId="14830"/>
    <cellStyle name="Entrada 2 2 4 3 3" xfId="433"/>
    <cellStyle name="Entrada 2 2 4 3 3 2" xfId="7156"/>
    <cellStyle name="Entrada 2 2 4 3 3 2 2" xfId="9770"/>
    <cellStyle name="Entrada 2 2 4 3 3 2 2 2" xfId="16032"/>
    <cellStyle name="Entrada 2 2 4 3 3 2 2 2 2" xfId="29448"/>
    <cellStyle name="Entrada 2 2 4 3 3 2 2 3" xfId="20777"/>
    <cellStyle name="Entrada 2 2 4 3 3 2 3" xfId="13760"/>
    <cellStyle name="Entrada 2 2 4 3 3 2 3 2" xfId="28082"/>
    <cellStyle name="Entrada 2 2 4 3 3 2 4" xfId="19405"/>
    <cellStyle name="Entrada 2 2 4 3 3 3" xfId="13189"/>
    <cellStyle name="Entrada 2 2 4 3 3 3 2" xfId="27511"/>
    <cellStyle name="Entrada 2 2 4 3 3 4" xfId="18834"/>
    <cellStyle name="Entrada 2 2 4 3 4" xfId="5626"/>
    <cellStyle name="Entrada 2 2 4 3 4 2" xfId="12179"/>
    <cellStyle name="Entrada 2 2 4 3 4 2 2" xfId="26501"/>
    <cellStyle name="Entrada 2 2 4 3 4 3" xfId="17824"/>
    <cellStyle name="Entrada 2 2 4 3 5" xfId="4553"/>
    <cellStyle name="Entrada 2 2 4 3 5 2" xfId="23027"/>
    <cellStyle name="Entrada 2 2 4 3 6" xfId="17160"/>
    <cellStyle name="Entrada 2 2 4 4" xfId="434"/>
    <cellStyle name="Entrada 2 2 4 4 2" xfId="7037"/>
    <cellStyle name="Entrada 2 2 4 4 2 2" xfId="13641"/>
    <cellStyle name="Entrada 2 2 4 4 2 2 2" xfId="27963"/>
    <cellStyle name="Entrada 2 2 4 4 2 3" xfId="19286"/>
    <cellStyle name="Entrada 2 2 4 4 3" xfId="7168"/>
    <cellStyle name="Entrada 2 2 4 4 3 2" xfId="9782"/>
    <cellStyle name="Entrada 2 2 4 4 3 2 2" xfId="16044"/>
    <cellStyle name="Entrada 2 2 4 4 3 2 2 2" xfId="29460"/>
    <cellStyle name="Entrada 2 2 4 4 3 2 3" xfId="20789"/>
    <cellStyle name="Entrada 2 2 4 4 3 3" xfId="13772"/>
    <cellStyle name="Entrada 2 2 4 4 3 3 2" xfId="28094"/>
    <cellStyle name="Entrada 2 2 4 4 3 4" xfId="19417"/>
    <cellStyle name="Entrada 2 2 4 4 4" xfId="11582"/>
    <cellStyle name="Entrada 2 2 4 4 4 2" xfId="25904"/>
    <cellStyle name="Entrada 2 2 4 4 5" xfId="14859"/>
    <cellStyle name="Entrada 2 2 4 5" xfId="435"/>
    <cellStyle name="Entrada 2 2 4 5 2" xfId="3741"/>
    <cellStyle name="Entrada 2 2 4 5 2 2" xfId="9366"/>
    <cellStyle name="Entrada 2 2 4 5 2 2 2" xfId="15628"/>
    <cellStyle name="Entrada 2 2 4 5 2 2 2 2" xfId="29044"/>
    <cellStyle name="Entrada 2 2 4 5 2 2 3" xfId="20373"/>
    <cellStyle name="Entrada 2 2 4 5 2 3" xfId="6506"/>
    <cellStyle name="Entrada 2 2 4 5 2 3 2" xfId="23574"/>
    <cellStyle name="Entrada 2 2 4 5 2 4" xfId="15123"/>
    <cellStyle name="Entrada 2 2 4 5 3" xfId="12916"/>
    <cellStyle name="Entrada 2 2 4 5 3 2" xfId="27238"/>
    <cellStyle name="Entrada 2 2 4 5 4" xfId="18561"/>
    <cellStyle name="Entrada 2 2 4 6" xfId="5540"/>
    <cellStyle name="Entrada 2 2 4 6 2" xfId="12091"/>
    <cellStyle name="Entrada 2 2 4 6 2 2" xfId="26413"/>
    <cellStyle name="Entrada 2 2 4 6 3" xfId="17736"/>
    <cellStyle name="Entrada 2 2 4 7" xfId="6477"/>
    <cellStyle name="Entrada 2 2 4 7 2" xfId="23560"/>
    <cellStyle name="Entrada 2 2 4 8" xfId="6507"/>
    <cellStyle name="Entrada 2 2 5" xfId="436"/>
    <cellStyle name="Entrada 2 2 5 2" xfId="437"/>
    <cellStyle name="Entrada 2 2 5 2 2" xfId="438"/>
    <cellStyle name="Entrada 2 2 5 2 2 2" xfId="6369"/>
    <cellStyle name="Entrada 2 2 5 2 2 2 2" xfId="12952"/>
    <cellStyle name="Entrada 2 2 5 2 2 2 2 2" xfId="27274"/>
    <cellStyle name="Entrada 2 2 5 2 2 2 3" xfId="18597"/>
    <cellStyle name="Entrada 2 2 5 2 2 3" xfId="7645"/>
    <cellStyle name="Entrada 2 2 5 2 2 3 2" xfId="10259"/>
    <cellStyle name="Entrada 2 2 5 2 2 3 2 2" xfId="16521"/>
    <cellStyle name="Entrada 2 2 5 2 2 3 2 2 2" xfId="29937"/>
    <cellStyle name="Entrada 2 2 5 2 2 3 2 3" xfId="21266"/>
    <cellStyle name="Entrada 2 2 5 2 2 3 3" xfId="14249"/>
    <cellStyle name="Entrada 2 2 5 2 2 3 3 2" xfId="28571"/>
    <cellStyle name="Entrada 2 2 5 2 2 3 4" xfId="19894"/>
    <cellStyle name="Entrada 2 2 5 2 2 4" xfId="4886"/>
    <cellStyle name="Entrada 2 2 5 2 2 4 2" xfId="23244"/>
    <cellStyle name="Entrada 2 2 5 2 2 5" xfId="17016"/>
    <cellStyle name="Entrada 2 2 5 2 3" xfId="439"/>
    <cellStyle name="Entrada 2 2 5 2 3 2" xfId="7765"/>
    <cellStyle name="Entrada 2 2 5 2 3 2 2" xfId="10379"/>
    <cellStyle name="Entrada 2 2 5 2 3 2 2 2" xfId="16641"/>
    <cellStyle name="Entrada 2 2 5 2 3 2 2 2 2" xfId="30057"/>
    <cellStyle name="Entrada 2 2 5 2 3 2 2 3" xfId="21386"/>
    <cellStyle name="Entrada 2 2 5 2 3 2 3" xfId="14369"/>
    <cellStyle name="Entrada 2 2 5 2 3 2 3 2" xfId="28691"/>
    <cellStyle name="Entrada 2 2 5 2 3 2 4" xfId="20014"/>
    <cellStyle name="Entrada 2 2 5 2 3 3" xfId="12711"/>
    <cellStyle name="Entrada 2 2 5 2 3 3 2" xfId="27033"/>
    <cellStyle name="Entrada 2 2 5 2 3 4" xfId="18356"/>
    <cellStyle name="Entrada 2 2 5 2 4" xfId="5066"/>
    <cellStyle name="Entrada 2 2 5 2 4 2" xfId="11613"/>
    <cellStyle name="Entrada 2 2 5 2 4 2 2" xfId="25935"/>
    <cellStyle name="Entrada 2 2 5 2 4 3" xfId="16989"/>
    <cellStyle name="Entrada 2 2 5 2 5" xfId="4275"/>
    <cellStyle name="Entrada 2 2 5 2 5 2" xfId="22864"/>
    <cellStyle name="Entrada 2 2 5 2 6" xfId="6321"/>
    <cellStyle name="Entrada 2 2 5 3" xfId="440"/>
    <cellStyle name="Entrada 2 2 5 3 2" xfId="441"/>
    <cellStyle name="Entrada 2 2 5 3 2 2" xfId="5204"/>
    <cellStyle name="Entrada 2 2 5 3 2 2 2" xfId="11753"/>
    <cellStyle name="Entrada 2 2 5 3 2 2 2 2" xfId="26075"/>
    <cellStyle name="Entrada 2 2 5 3 2 2 3" xfId="6220"/>
    <cellStyle name="Entrada 2 2 5 3 2 3" xfId="4483"/>
    <cellStyle name="Entrada 2 2 5 3 2 3 2" xfId="9470"/>
    <cellStyle name="Entrada 2 2 5 3 2 3 2 2" xfId="15732"/>
    <cellStyle name="Entrada 2 2 5 3 2 3 2 2 2" xfId="29148"/>
    <cellStyle name="Entrada 2 2 5 3 2 3 2 3" xfId="20477"/>
    <cellStyle name="Entrada 2 2 5 3 2 3 3" xfId="6611"/>
    <cellStyle name="Entrada 2 2 5 3 2 3 3 2" xfId="23603"/>
    <cellStyle name="Entrada 2 2 5 3 2 3 4" xfId="14914"/>
    <cellStyle name="Entrada 2 2 5 3 2 4" xfId="4764"/>
    <cellStyle name="Entrada 2 2 5 3 2 4 2" xfId="23177"/>
    <cellStyle name="Entrada 2 2 5 3 2 5" xfId="17274"/>
    <cellStyle name="Entrada 2 2 5 3 3" xfId="442"/>
    <cellStyle name="Entrada 2 2 5 3 3 2" xfId="4310"/>
    <cellStyle name="Entrada 2 2 5 3 3 2 2" xfId="9445"/>
    <cellStyle name="Entrada 2 2 5 3 3 2 2 2" xfId="15707"/>
    <cellStyle name="Entrada 2 2 5 3 3 2 2 2 2" xfId="29123"/>
    <cellStyle name="Entrada 2 2 5 3 3 2 2 3" xfId="20452"/>
    <cellStyle name="Entrada 2 2 5 3 3 2 3" xfId="6616"/>
    <cellStyle name="Entrada 2 2 5 3 3 2 3 2" xfId="23608"/>
    <cellStyle name="Entrada 2 2 5 3 3 2 4" xfId="4090"/>
    <cellStyle name="Entrada 2 2 5 3 3 3" xfId="13094"/>
    <cellStyle name="Entrada 2 2 5 3 3 3 2" xfId="27416"/>
    <cellStyle name="Entrada 2 2 5 3 3 4" xfId="18739"/>
    <cellStyle name="Entrada 2 2 5 3 4" xfId="5450"/>
    <cellStyle name="Entrada 2 2 5 3 4 2" xfId="12001"/>
    <cellStyle name="Entrada 2 2 5 3 4 2 2" xfId="26323"/>
    <cellStyle name="Entrada 2 2 5 3 4 3" xfId="17646"/>
    <cellStyle name="Entrada 2 2 5 3 5" xfId="3927"/>
    <cellStyle name="Entrada 2 2 5 3 5 2" xfId="22649"/>
    <cellStyle name="Entrada 2 2 5 3 6" xfId="15225"/>
    <cellStyle name="Entrada 2 2 5 4" xfId="443"/>
    <cellStyle name="Entrada 2 2 5 4 2" xfId="6993"/>
    <cellStyle name="Entrada 2 2 5 4 2 2" xfId="13597"/>
    <cellStyle name="Entrada 2 2 5 4 2 2 2" xfId="27919"/>
    <cellStyle name="Entrada 2 2 5 4 2 3" xfId="19242"/>
    <cellStyle name="Entrada 2 2 5 4 3" xfId="7177"/>
    <cellStyle name="Entrada 2 2 5 4 3 2" xfId="9791"/>
    <cellStyle name="Entrada 2 2 5 4 3 2 2" xfId="16053"/>
    <cellStyle name="Entrada 2 2 5 4 3 2 2 2" xfId="29469"/>
    <cellStyle name="Entrada 2 2 5 4 3 2 3" xfId="20798"/>
    <cellStyle name="Entrada 2 2 5 4 3 3" xfId="13781"/>
    <cellStyle name="Entrada 2 2 5 4 3 3 2" xfId="28103"/>
    <cellStyle name="Entrada 2 2 5 4 3 4" xfId="19426"/>
    <cellStyle name="Entrada 2 2 5 4 4" xfId="11505"/>
    <cellStyle name="Entrada 2 2 5 4 4 2" xfId="25827"/>
    <cellStyle name="Entrada 2 2 5 4 5" xfId="17245"/>
    <cellStyle name="Entrada 2 2 5 5" xfId="444"/>
    <cellStyle name="Entrada 2 2 5 5 2" xfId="5338"/>
    <cellStyle name="Entrada 2 2 5 5 2 2" xfId="9647"/>
    <cellStyle name="Entrada 2 2 5 5 2 2 2" xfId="15909"/>
    <cellStyle name="Entrada 2 2 5 5 2 2 2 2" xfId="29325"/>
    <cellStyle name="Entrada 2 2 5 5 2 2 3" xfId="20654"/>
    <cellStyle name="Entrada 2 2 5 5 2 3" xfId="11888"/>
    <cellStyle name="Entrada 2 2 5 5 2 3 2" xfId="26210"/>
    <cellStyle name="Entrada 2 2 5 5 2 4" xfId="17533"/>
    <cellStyle name="Entrada 2 2 5 5 3" xfId="11624"/>
    <cellStyle name="Entrada 2 2 5 5 3 2" xfId="25946"/>
    <cellStyle name="Entrada 2 2 5 5 4" xfId="17148"/>
    <cellStyle name="Entrada 2 2 5 6" xfId="5135"/>
    <cellStyle name="Entrada 2 2 5 6 2" xfId="11684"/>
    <cellStyle name="Entrada 2 2 5 6 2 2" xfId="26006"/>
    <cellStyle name="Entrada 2 2 5 6 3" xfId="2798"/>
    <cellStyle name="Entrada 2 2 5 7" xfId="6294"/>
    <cellStyle name="Entrada 2 2 5 7 2" xfId="23493"/>
    <cellStyle name="Entrada 2 2 5 8" xfId="15216"/>
    <cellStyle name="Entrada 2 2 6" xfId="445"/>
    <cellStyle name="Entrada 2 2 6 2" xfId="446"/>
    <cellStyle name="Entrada 2 2 6 2 2" xfId="447"/>
    <cellStyle name="Entrada 2 2 6 2 2 2" xfId="6124"/>
    <cellStyle name="Entrada 2 2 6 2 2 2 2" xfId="12693"/>
    <cellStyle name="Entrada 2 2 6 2 2 2 2 2" xfId="27015"/>
    <cellStyle name="Entrada 2 2 6 2 2 2 3" xfId="18338"/>
    <cellStyle name="Entrada 2 2 6 2 2 3" xfId="7652"/>
    <cellStyle name="Entrada 2 2 6 2 2 3 2" xfId="10266"/>
    <cellStyle name="Entrada 2 2 6 2 2 3 2 2" xfId="16528"/>
    <cellStyle name="Entrada 2 2 6 2 2 3 2 2 2" xfId="29944"/>
    <cellStyle name="Entrada 2 2 6 2 2 3 2 3" xfId="21273"/>
    <cellStyle name="Entrada 2 2 6 2 2 3 3" xfId="14256"/>
    <cellStyle name="Entrada 2 2 6 2 2 3 3 2" xfId="28578"/>
    <cellStyle name="Entrada 2 2 6 2 2 3 4" xfId="19901"/>
    <cellStyle name="Entrada 2 2 6 2 2 4" xfId="6316"/>
    <cellStyle name="Entrada 2 2 6 2 2 4 2" xfId="23511"/>
    <cellStyle name="Entrada 2 2 6 2 2 5" xfId="15226"/>
    <cellStyle name="Entrada 2 2 6 2 3" xfId="448"/>
    <cellStyle name="Entrada 2 2 6 2 3 2" xfId="7497"/>
    <cellStyle name="Entrada 2 2 6 2 3 2 2" xfId="10111"/>
    <cellStyle name="Entrada 2 2 6 2 3 2 2 2" xfId="16373"/>
    <cellStyle name="Entrada 2 2 6 2 3 2 2 2 2" xfId="29789"/>
    <cellStyle name="Entrada 2 2 6 2 3 2 2 3" xfId="21118"/>
    <cellStyle name="Entrada 2 2 6 2 3 2 3" xfId="14101"/>
    <cellStyle name="Entrada 2 2 6 2 3 2 3 2" xfId="28423"/>
    <cellStyle name="Entrada 2 2 6 2 3 2 4" xfId="19746"/>
    <cellStyle name="Entrada 2 2 6 2 3 3" xfId="13385"/>
    <cellStyle name="Entrada 2 2 6 2 3 3 2" xfId="27707"/>
    <cellStyle name="Entrada 2 2 6 2 3 4" xfId="19030"/>
    <cellStyle name="Entrada 2 2 6 2 4" xfId="5845"/>
    <cellStyle name="Entrada 2 2 6 2 4 2" xfId="12398"/>
    <cellStyle name="Entrada 2 2 6 2 4 2 2" xfId="26720"/>
    <cellStyle name="Entrada 2 2 6 2 4 3" xfId="18043"/>
    <cellStyle name="Entrada 2 2 6 2 5" xfId="4688"/>
    <cellStyle name="Entrada 2 2 6 2 5 2" xfId="23124"/>
    <cellStyle name="Entrada 2 2 6 2 6" xfId="15067"/>
    <cellStyle name="Entrada 2 2 6 3" xfId="449"/>
    <cellStyle name="Entrada 2 2 6 3 2" xfId="5060"/>
    <cellStyle name="Entrada 2 2 6 3 2 2" xfId="11607"/>
    <cellStyle name="Entrada 2 2 6 3 2 2 2" xfId="25929"/>
    <cellStyle name="Entrada 2 2 6 3 2 3" xfId="17371"/>
    <cellStyle name="Entrada 2 2 6 3 3" xfId="7553"/>
    <cellStyle name="Entrada 2 2 6 3 3 2" xfId="10167"/>
    <cellStyle name="Entrada 2 2 6 3 3 2 2" xfId="16429"/>
    <cellStyle name="Entrada 2 2 6 3 3 2 2 2" xfId="29845"/>
    <cellStyle name="Entrada 2 2 6 3 3 2 3" xfId="21174"/>
    <cellStyle name="Entrada 2 2 6 3 3 3" xfId="14157"/>
    <cellStyle name="Entrada 2 2 6 3 3 3 2" xfId="28479"/>
    <cellStyle name="Entrada 2 2 6 3 3 4" xfId="19802"/>
    <cellStyle name="Entrada 2 2 6 3 4" xfId="6109"/>
    <cellStyle name="Entrada 2 2 6 3 4 2" xfId="23418"/>
    <cellStyle name="Entrada 2 2 6 3 5" xfId="15260"/>
    <cellStyle name="Entrada 2 2 6 4" xfId="450"/>
    <cellStyle name="Entrada 2 2 6 4 2" xfId="7446"/>
    <cellStyle name="Entrada 2 2 6 4 2 2" xfId="10060"/>
    <cellStyle name="Entrada 2 2 6 4 2 2 2" xfId="16322"/>
    <cellStyle name="Entrada 2 2 6 4 2 2 2 2" xfId="29738"/>
    <cellStyle name="Entrada 2 2 6 4 2 2 3" xfId="21067"/>
    <cellStyle name="Entrada 2 2 6 4 2 3" xfId="14050"/>
    <cellStyle name="Entrada 2 2 6 4 2 3 2" xfId="28372"/>
    <cellStyle name="Entrada 2 2 6 4 2 4" xfId="19695"/>
    <cellStyle name="Entrada 2 2 6 4 3" xfId="12815"/>
    <cellStyle name="Entrada 2 2 6 4 3 2" xfId="27137"/>
    <cellStyle name="Entrada 2 2 6 4 4" xfId="18460"/>
    <cellStyle name="Entrada 2 2 6 5" xfId="5351"/>
    <cellStyle name="Entrada 2 2 6 5 2" xfId="11901"/>
    <cellStyle name="Entrada 2 2 6 5 2 2" xfId="26223"/>
    <cellStyle name="Entrada 2 2 6 5 3" xfId="17546"/>
    <cellStyle name="Entrada 2 2 6 6" xfId="3792"/>
    <cellStyle name="Entrada 2 2 6 6 2" xfId="22581"/>
    <cellStyle name="Entrada 2 2 6 7" xfId="6051"/>
    <cellStyle name="Entrada 2 2 7" xfId="451"/>
    <cellStyle name="Entrada 2 2 7 2" xfId="452"/>
    <cellStyle name="Entrada 2 2 7 2 2" xfId="5729"/>
    <cellStyle name="Entrada 2 2 7 2 2 2" xfId="12282"/>
    <cellStyle name="Entrada 2 2 7 2 2 2 2" xfId="26604"/>
    <cellStyle name="Entrada 2 2 7 2 2 3" xfId="17927"/>
    <cellStyle name="Entrada 2 2 7 2 3" xfId="4976"/>
    <cellStyle name="Entrada 2 2 7 2 3 2" xfId="9528"/>
    <cellStyle name="Entrada 2 2 7 2 3 2 2" xfId="15790"/>
    <cellStyle name="Entrada 2 2 7 2 3 2 2 2" xfId="29206"/>
    <cellStyle name="Entrada 2 2 7 2 3 2 3" xfId="20535"/>
    <cellStyle name="Entrada 2 2 7 2 3 3" xfId="11519"/>
    <cellStyle name="Entrada 2 2 7 2 3 3 2" xfId="25841"/>
    <cellStyle name="Entrada 2 2 7 2 3 4" xfId="14707"/>
    <cellStyle name="Entrada 2 2 7 2 4" xfId="4568"/>
    <cellStyle name="Entrada 2 2 7 2 4 2" xfId="23036"/>
    <cellStyle name="Entrada 2 2 7 2 5" xfId="3837"/>
    <cellStyle name="Entrada 2 2 7 3" xfId="453"/>
    <cellStyle name="Entrada 2 2 7 3 2" xfId="7380"/>
    <cellStyle name="Entrada 2 2 7 3 2 2" xfId="9994"/>
    <cellStyle name="Entrada 2 2 7 3 2 2 2" xfId="16256"/>
    <cellStyle name="Entrada 2 2 7 3 2 2 2 2" xfId="29672"/>
    <cellStyle name="Entrada 2 2 7 3 2 2 3" xfId="21001"/>
    <cellStyle name="Entrada 2 2 7 3 2 3" xfId="13984"/>
    <cellStyle name="Entrada 2 2 7 3 2 3 2" xfId="28306"/>
    <cellStyle name="Entrada 2 2 7 3 2 4" xfId="19629"/>
    <cellStyle name="Entrada 2 2 7 3 3" xfId="13392"/>
    <cellStyle name="Entrada 2 2 7 3 3 2" xfId="27714"/>
    <cellStyle name="Entrada 2 2 7 3 4" xfId="19037"/>
    <cellStyle name="Entrada 2 2 7 4" xfId="5856"/>
    <cellStyle name="Entrada 2 2 7 4 2" xfId="12409"/>
    <cellStyle name="Entrada 2 2 7 4 2 2" xfId="26731"/>
    <cellStyle name="Entrada 2 2 7 4 3" xfId="18054"/>
    <cellStyle name="Entrada 2 2 7 5" xfId="6132"/>
    <cellStyle name="Entrada 2 2 7 5 2" xfId="23424"/>
    <cellStyle name="Entrada 2 2 7 6" xfId="17279"/>
    <cellStyle name="Entrada 2 2 8" xfId="454"/>
    <cellStyle name="Entrada 2 2 8 2" xfId="6005"/>
    <cellStyle name="Entrada 2 2 8 2 2" xfId="12564"/>
    <cellStyle name="Entrada 2 2 8 2 2 2" xfId="26886"/>
    <cellStyle name="Entrada 2 2 8 2 3" xfId="18209"/>
    <cellStyle name="Entrada 2 2 8 3" xfId="3683"/>
    <cellStyle name="Entrada 2 2 8 3 2" xfId="9360"/>
    <cellStyle name="Entrada 2 2 8 3 2 2" xfId="15622"/>
    <cellStyle name="Entrada 2 2 8 3 2 2 2" xfId="29038"/>
    <cellStyle name="Entrada 2 2 8 3 2 3" xfId="20367"/>
    <cellStyle name="Entrada 2 2 8 3 3" xfId="3788"/>
    <cellStyle name="Entrada 2 2 8 3 3 2" xfId="22579"/>
    <cellStyle name="Entrada 2 2 8 3 4" xfId="6691"/>
    <cellStyle name="Entrada 2 2 8 4" xfId="4224"/>
    <cellStyle name="Entrada 2 2 8 4 2" xfId="22836"/>
    <cellStyle name="Entrada 2 2 8 5" xfId="17158"/>
    <cellStyle name="Entrada 2 2 9" xfId="455"/>
    <cellStyle name="Entrada 2 2 9 2" xfId="7766"/>
    <cellStyle name="Entrada 2 2 9 2 2" xfId="10380"/>
    <cellStyle name="Entrada 2 2 9 2 2 2" xfId="16642"/>
    <cellStyle name="Entrada 2 2 9 2 2 2 2" xfId="30058"/>
    <cellStyle name="Entrada 2 2 9 2 2 3" xfId="21387"/>
    <cellStyle name="Entrada 2 2 9 2 3" xfId="14370"/>
    <cellStyle name="Entrada 2 2 9 2 3 2" xfId="28692"/>
    <cellStyle name="Entrada 2 2 9 2 4" xfId="20015"/>
    <cellStyle name="Entrada 2 2 9 3" xfId="12721"/>
    <cellStyle name="Entrada 2 2 9 3 2" xfId="27043"/>
    <cellStyle name="Entrada 2 2 9 4" xfId="18366"/>
    <cellStyle name="Entrada 2 3" xfId="456"/>
    <cellStyle name="Entrada 2 3 10" xfId="6300"/>
    <cellStyle name="Entrada 2 3 10 2" xfId="23498"/>
    <cellStyle name="Entrada 2 3 11" xfId="14831"/>
    <cellStyle name="Entrada 2 3 2" xfId="457"/>
    <cellStyle name="Entrada 2 3 2 2" xfId="458"/>
    <cellStyle name="Entrada 2 3 2 2 2" xfId="459"/>
    <cellStyle name="Entrada 2 3 2 2 2 2" xfId="6991"/>
    <cellStyle name="Entrada 2 3 2 2 2 2 2" xfId="13595"/>
    <cellStyle name="Entrada 2 3 2 2 2 2 2 2" xfId="27917"/>
    <cellStyle name="Entrada 2 3 2 2 2 2 3" xfId="19240"/>
    <cellStyle name="Entrada 2 3 2 2 2 3" xfId="7670"/>
    <cellStyle name="Entrada 2 3 2 2 2 3 2" xfId="10284"/>
    <cellStyle name="Entrada 2 3 2 2 2 3 2 2" xfId="16546"/>
    <cellStyle name="Entrada 2 3 2 2 2 3 2 2 2" xfId="29962"/>
    <cellStyle name="Entrada 2 3 2 2 2 3 2 3" xfId="21291"/>
    <cellStyle name="Entrada 2 3 2 2 2 3 3" xfId="14274"/>
    <cellStyle name="Entrada 2 3 2 2 2 3 3 2" xfId="28596"/>
    <cellStyle name="Entrada 2 3 2 2 2 3 4" xfId="19919"/>
    <cellStyle name="Entrada 2 3 2 2 2 4" xfId="11503"/>
    <cellStyle name="Entrada 2 3 2 2 2 4 2" xfId="25825"/>
    <cellStyle name="Entrada 2 3 2 2 2 5" xfId="14770"/>
    <cellStyle name="Entrada 2 3 2 2 3" xfId="460"/>
    <cellStyle name="Entrada 2 3 2 2 3 2" xfId="7068"/>
    <cellStyle name="Entrada 2 3 2 2 3 2 2" xfId="9682"/>
    <cellStyle name="Entrada 2 3 2 2 3 2 2 2" xfId="15944"/>
    <cellStyle name="Entrada 2 3 2 2 3 2 2 2 2" xfId="29360"/>
    <cellStyle name="Entrada 2 3 2 2 3 2 2 3" xfId="20689"/>
    <cellStyle name="Entrada 2 3 2 2 3 2 3" xfId="13672"/>
    <cellStyle name="Entrada 2 3 2 2 3 2 3 2" xfId="27994"/>
    <cellStyle name="Entrada 2 3 2 2 3 2 4" xfId="19317"/>
    <cellStyle name="Entrada 2 3 2 2 3 3" xfId="13296"/>
    <cellStyle name="Entrada 2 3 2 2 3 3 2" xfId="27618"/>
    <cellStyle name="Entrada 2 3 2 2 3 4" xfId="18941"/>
    <cellStyle name="Entrada 2 3 2 2 4" xfId="5746"/>
    <cellStyle name="Entrada 2 3 2 2 4 2" xfId="12299"/>
    <cellStyle name="Entrada 2 3 2 2 4 2 2" xfId="26621"/>
    <cellStyle name="Entrada 2 3 2 2 4 3" xfId="17944"/>
    <cellStyle name="Entrada 2 3 2 2 5" xfId="3775"/>
    <cellStyle name="Entrada 2 3 2 2 5 2" xfId="22572"/>
    <cellStyle name="Entrada 2 3 2 2 6" xfId="17149"/>
    <cellStyle name="Entrada 2 3 2 3" xfId="461"/>
    <cellStyle name="Entrada 2 3 2 3 2" xfId="462"/>
    <cellStyle name="Entrada 2 3 2 3 2 2" xfId="5834"/>
    <cellStyle name="Entrada 2 3 2 3 2 2 2" xfId="12387"/>
    <cellStyle name="Entrada 2 3 2 3 2 2 2 2" xfId="26709"/>
    <cellStyle name="Entrada 2 3 2 3 2 2 3" xfId="18032"/>
    <cellStyle name="Entrada 2 3 2 3 2 3" xfId="7872"/>
    <cellStyle name="Entrada 2 3 2 3 2 3 2" xfId="10486"/>
    <cellStyle name="Entrada 2 3 2 3 2 3 2 2" xfId="16748"/>
    <cellStyle name="Entrada 2 3 2 3 2 3 2 2 2" xfId="30164"/>
    <cellStyle name="Entrada 2 3 2 3 2 3 2 3" xfId="21493"/>
    <cellStyle name="Entrada 2 3 2 3 2 3 3" xfId="14476"/>
    <cellStyle name="Entrada 2 3 2 3 2 3 3 2" xfId="28798"/>
    <cellStyle name="Entrada 2 3 2 3 2 3 4" xfId="20121"/>
    <cellStyle name="Entrada 2 3 2 3 2 4" xfId="4124"/>
    <cellStyle name="Entrada 2 3 2 3 2 4 2" xfId="22768"/>
    <cellStyle name="Entrada 2 3 2 3 2 5" xfId="15116"/>
    <cellStyle name="Entrada 2 3 2 3 3" xfId="463"/>
    <cellStyle name="Entrada 2 3 2 3 3 2" xfId="7660"/>
    <cellStyle name="Entrada 2 3 2 3 3 2 2" xfId="10274"/>
    <cellStyle name="Entrada 2 3 2 3 3 2 2 2" xfId="16536"/>
    <cellStyle name="Entrada 2 3 2 3 3 2 2 2 2" xfId="29952"/>
    <cellStyle name="Entrada 2 3 2 3 3 2 2 3" xfId="21281"/>
    <cellStyle name="Entrada 2 3 2 3 3 2 3" xfId="14264"/>
    <cellStyle name="Entrada 2 3 2 3 3 2 3 2" xfId="28586"/>
    <cellStyle name="Entrada 2 3 2 3 3 2 4" xfId="19909"/>
    <cellStyle name="Entrada 2 3 2 3 3 3" xfId="13162"/>
    <cellStyle name="Entrada 2 3 2 3 3 3 2" xfId="27484"/>
    <cellStyle name="Entrada 2 3 2 3 3 4" xfId="18807"/>
    <cellStyle name="Entrada 2 3 2 3 4" xfId="5575"/>
    <cellStyle name="Entrada 2 3 2 3 4 2" xfId="12126"/>
    <cellStyle name="Entrada 2 3 2 3 4 2 2" xfId="26448"/>
    <cellStyle name="Entrada 2 3 2 3 4 3" xfId="17771"/>
    <cellStyle name="Entrada 2 3 2 3 5" xfId="4865"/>
    <cellStyle name="Entrada 2 3 2 3 5 2" xfId="23230"/>
    <cellStyle name="Entrada 2 3 2 3 6" xfId="6694"/>
    <cellStyle name="Entrada 2 3 2 4" xfId="464"/>
    <cellStyle name="Entrada 2 3 2 4 2" xfId="6390"/>
    <cellStyle name="Entrada 2 3 2 4 2 2" xfId="12973"/>
    <cellStyle name="Entrada 2 3 2 4 2 2 2" xfId="27295"/>
    <cellStyle name="Entrada 2 3 2 4 2 3" xfId="18618"/>
    <cellStyle name="Entrada 2 3 2 4 3" xfId="7558"/>
    <cellStyle name="Entrada 2 3 2 4 3 2" xfId="10172"/>
    <cellStyle name="Entrada 2 3 2 4 3 2 2" xfId="16434"/>
    <cellStyle name="Entrada 2 3 2 4 3 2 2 2" xfId="29850"/>
    <cellStyle name="Entrada 2 3 2 4 3 2 3" xfId="21179"/>
    <cellStyle name="Entrada 2 3 2 4 3 3" xfId="14162"/>
    <cellStyle name="Entrada 2 3 2 4 3 3 2" xfId="28484"/>
    <cellStyle name="Entrada 2 3 2 4 3 4" xfId="19807"/>
    <cellStyle name="Entrada 2 3 2 4 4" xfId="6723"/>
    <cellStyle name="Entrada 2 3 2 4 4 2" xfId="23677"/>
    <cellStyle name="Entrada 2 3 2 4 5" xfId="15562"/>
    <cellStyle name="Entrada 2 3 2 5" xfId="465"/>
    <cellStyle name="Entrada 2 3 2 5 2" xfId="7469"/>
    <cellStyle name="Entrada 2 3 2 5 2 2" xfId="10083"/>
    <cellStyle name="Entrada 2 3 2 5 2 2 2" xfId="16345"/>
    <cellStyle name="Entrada 2 3 2 5 2 2 2 2" xfId="29761"/>
    <cellStyle name="Entrada 2 3 2 5 2 2 3" xfId="21090"/>
    <cellStyle name="Entrada 2 3 2 5 2 3" xfId="14073"/>
    <cellStyle name="Entrada 2 3 2 5 2 3 2" xfId="28395"/>
    <cellStyle name="Entrada 2 3 2 5 2 4" xfId="19718"/>
    <cellStyle name="Entrada 2 3 2 5 3" xfId="12872"/>
    <cellStyle name="Entrada 2 3 2 5 3 2" xfId="27194"/>
    <cellStyle name="Entrada 2 3 2 5 4" xfId="18517"/>
    <cellStyle name="Entrada 2 3 2 6" xfId="5490"/>
    <cellStyle name="Entrada 2 3 2 6 2" xfId="12041"/>
    <cellStyle name="Entrada 2 3 2 6 2 2" xfId="26363"/>
    <cellStyle name="Entrada 2 3 2 6 3" xfId="17686"/>
    <cellStyle name="Entrada 2 3 2 7" xfId="4289"/>
    <cellStyle name="Entrada 2 3 2 7 2" xfId="22873"/>
    <cellStyle name="Entrada 2 3 2 8" xfId="15082"/>
    <cellStyle name="Entrada 2 3 3" xfId="466"/>
    <cellStyle name="Entrada 2 3 3 2" xfId="467"/>
    <cellStyle name="Entrada 2 3 3 2 2" xfId="468"/>
    <cellStyle name="Entrada 2 3 3 2 2 2" xfId="5981"/>
    <cellStyle name="Entrada 2 3 3 2 2 2 2" xfId="12539"/>
    <cellStyle name="Entrada 2 3 3 2 2 2 2 2" xfId="26861"/>
    <cellStyle name="Entrada 2 3 3 2 2 2 3" xfId="18184"/>
    <cellStyle name="Entrada 2 3 3 2 2 3" xfId="7131"/>
    <cellStyle name="Entrada 2 3 3 2 2 3 2" xfId="9745"/>
    <cellStyle name="Entrada 2 3 3 2 2 3 2 2" xfId="16007"/>
    <cellStyle name="Entrada 2 3 3 2 2 3 2 2 2" xfId="29423"/>
    <cellStyle name="Entrada 2 3 3 2 2 3 2 3" xfId="20752"/>
    <cellStyle name="Entrada 2 3 3 2 2 3 3" xfId="13735"/>
    <cellStyle name="Entrada 2 3 3 2 2 3 3 2" xfId="28057"/>
    <cellStyle name="Entrada 2 3 3 2 2 3 4" xfId="19380"/>
    <cellStyle name="Entrada 2 3 3 2 2 4" xfId="6299"/>
    <cellStyle name="Entrada 2 3 3 2 2 4 2" xfId="23497"/>
    <cellStyle name="Entrada 2 3 3 2 2 5" xfId="3663"/>
    <cellStyle name="Entrada 2 3 3 2 3" xfId="469"/>
    <cellStyle name="Entrada 2 3 3 2 3 2" xfId="3598"/>
    <cellStyle name="Entrada 2 3 3 2 3 2 2" xfId="9341"/>
    <cellStyle name="Entrada 2 3 3 2 3 2 2 2" xfId="15603"/>
    <cellStyle name="Entrada 2 3 3 2 3 2 2 2 2" xfId="29019"/>
    <cellStyle name="Entrada 2 3 3 2 3 2 2 3" xfId="20348"/>
    <cellStyle name="Entrada 2 3 3 2 3 2 3" xfId="3953"/>
    <cellStyle name="Entrada 2 3 3 2 3 2 3 2" xfId="22666"/>
    <cellStyle name="Entrada 2 3 3 2 3 2 4" xfId="15223"/>
    <cellStyle name="Entrada 2 3 3 2 3 3" xfId="13332"/>
    <cellStyle name="Entrada 2 3 3 2 3 3 2" xfId="27654"/>
    <cellStyle name="Entrada 2 3 3 2 3 4" xfId="18977"/>
    <cellStyle name="Entrada 2 3 3 2 4" xfId="5782"/>
    <cellStyle name="Entrada 2 3 3 2 4 2" xfId="12335"/>
    <cellStyle name="Entrada 2 3 3 2 4 2 2" xfId="26657"/>
    <cellStyle name="Entrada 2 3 3 2 4 3" xfId="17980"/>
    <cellStyle name="Entrada 2 3 3 2 5" xfId="4216"/>
    <cellStyle name="Entrada 2 3 3 2 5 2" xfId="22828"/>
    <cellStyle name="Entrada 2 3 3 2 6" xfId="17396"/>
    <cellStyle name="Entrada 2 3 3 3" xfId="470"/>
    <cellStyle name="Entrada 2 3 3 3 2" xfId="471"/>
    <cellStyle name="Entrada 2 3 3 3 2 2" xfId="5973"/>
    <cellStyle name="Entrada 2 3 3 3 2 2 2" xfId="12531"/>
    <cellStyle name="Entrada 2 3 3 3 2 2 2 2" xfId="26853"/>
    <cellStyle name="Entrada 2 3 3 3 2 2 3" xfId="18176"/>
    <cellStyle name="Entrada 2 3 3 3 2 3" xfId="7951"/>
    <cellStyle name="Entrada 2 3 3 3 2 3 2" xfId="10565"/>
    <cellStyle name="Entrada 2 3 3 3 2 3 2 2" xfId="16827"/>
    <cellStyle name="Entrada 2 3 3 3 2 3 2 2 2" xfId="30243"/>
    <cellStyle name="Entrada 2 3 3 3 2 3 2 3" xfId="21572"/>
    <cellStyle name="Entrada 2 3 3 3 2 3 3" xfId="14555"/>
    <cellStyle name="Entrada 2 3 3 3 2 3 3 2" xfId="28877"/>
    <cellStyle name="Entrada 2 3 3 3 2 3 4" xfId="20200"/>
    <cellStyle name="Entrada 2 3 3 3 2 4" xfId="4388"/>
    <cellStyle name="Entrada 2 3 3 3 2 4 2" xfId="22922"/>
    <cellStyle name="Entrada 2 3 3 3 2 5" xfId="15094"/>
    <cellStyle name="Entrada 2 3 3 3 3" xfId="472"/>
    <cellStyle name="Entrada 2 3 3 3 3 2" xfId="7219"/>
    <cellStyle name="Entrada 2 3 3 3 3 2 2" xfId="9833"/>
    <cellStyle name="Entrada 2 3 3 3 3 2 2 2" xfId="16095"/>
    <cellStyle name="Entrada 2 3 3 3 3 2 2 2 2" xfId="29511"/>
    <cellStyle name="Entrada 2 3 3 3 3 2 2 3" xfId="20840"/>
    <cellStyle name="Entrada 2 3 3 3 3 2 3" xfId="13823"/>
    <cellStyle name="Entrada 2 3 3 3 3 2 3 2" xfId="28145"/>
    <cellStyle name="Entrada 2 3 3 3 3 2 4" xfId="19468"/>
    <cellStyle name="Entrada 2 3 3 3 3 3" xfId="13425"/>
    <cellStyle name="Entrada 2 3 3 3 3 3 2" xfId="27747"/>
    <cellStyle name="Entrada 2 3 3 3 3 4" xfId="19070"/>
    <cellStyle name="Entrada 2 3 3 3 4" xfId="5899"/>
    <cellStyle name="Entrada 2 3 3 3 4 2" xfId="12453"/>
    <cellStyle name="Entrada 2 3 3 3 4 2 2" xfId="26775"/>
    <cellStyle name="Entrada 2 3 3 3 4 3" xfId="18098"/>
    <cellStyle name="Entrada 2 3 3 3 5" xfId="2825"/>
    <cellStyle name="Entrada 2 3 3 3 5 2" xfId="22388"/>
    <cellStyle name="Entrada 2 3 3 3 6" xfId="17132"/>
    <cellStyle name="Entrada 2 3 3 4" xfId="473"/>
    <cellStyle name="Entrada 2 3 3 4 2" xfId="6519"/>
    <cellStyle name="Entrada 2 3 3 4 2 2" xfId="13107"/>
    <cellStyle name="Entrada 2 3 3 4 2 2 2" xfId="27429"/>
    <cellStyle name="Entrada 2 3 3 4 2 3" xfId="18752"/>
    <cellStyle name="Entrada 2 3 3 4 3" xfId="4917"/>
    <cellStyle name="Entrada 2 3 3 4 3 2" xfId="9513"/>
    <cellStyle name="Entrada 2 3 3 4 3 2 2" xfId="15775"/>
    <cellStyle name="Entrada 2 3 3 4 3 2 2 2" xfId="29191"/>
    <cellStyle name="Entrada 2 3 3 4 3 2 3" xfId="20520"/>
    <cellStyle name="Entrada 2 3 3 4 3 3" xfId="11454"/>
    <cellStyle name="Entrada 2 3 3 4 3 3 2" xfId="25776"/>
    <cellStyle name="Entrada 2 3 3 4 3 4" xfId="6297"/>
    <cellStyle name="Entrada 2 3 3 4 4" xfId="5568"/>
    <cellStyle name="Entrada 2 3 3 4 4 2" xfId="23350"/>
    <cellStyle name="Entrada 2 3 3 4 5" xfId="4155"/>
    <cellStyle name="Entrada 2 3 3 5" xfId="474"/>
    <cellStyle name="Entrada 2 3 3 5 2" xfId="7528"/>
    <cellStyle name="Entrada 2 3 3 5 2 2" xfId="10142"/>
    <cellStyle name="Entrada 2 3 3 5 2 2 2" xfId="16404"/>
    <cellStyle name="Entrada 2 3 3 5 2 2 2 2" xfId="29820"/>
    <cellStyle name="Entrada 2 3 3 5 2 2 3" xfId="21149"/>
    <cellStyle name="Entrada 2 3 3 5 2 3" xfId="14132"/>
    <cellStyle name="Entrada 2 3 3 5 2 3 2" xfId="28454"/>
    <cellStyle name="Entrada 2 3 3 5 2 4" xfId="19777"/>
    <cellStyle name="Entrada 2 3 3 5 3" xfId="12908"/>
    <cellStyle name="Entrada 2 3 3 5 3 2" xfId="27230"/>
    <cellStyle name="Entrada 2 3 3 5 4" xfId="18553"/>
    <cellStyle name="Entrada 2 3 3 6" xfId="5532"/>
    <cellStyle name="Entrada 2 3 3 6 2" xfId="12083"/>
    <cellStyle name="Entrada 2 3 3 6 2 2" xfId="26405"/>
    <cellStyle name="Entrada 2 3 3 6 3" xfId="17728"/>
    <cellStyle name="Entrada 2 3 3 7" xfId="4583"/>
    <cellStyle name="Entrada 2 3 3 7 2" xfId="23049"/>
    <cellStyle name="Entrada 2 3 3 8" xfId="15397"/>
    <cellStyle name="Entrada 2 3 4" xfId="475"/>
    <cellStyle name="Entrada 2 3 4 2" xfId="476"/>
    <cellStyle name="Entrada 2 3 4 2 2" xfId="477"/>
    <cellStyle name="Entrada 2 3 4 2 2 2" xfId="5889"/>
    <cellStyle name="Entrada 2 3 4 2 2 2 2" xfId="12442"/>
    <cellStyle name="Entrada 2 3 4 2 2 2 2 2" xfId="26764"/>
    <cellStyle name="Entrada 2 3 4 2 2 2 3" xfId="18087"/>
    <cellStyle name="Entrada 2 3 4 2 2 3" xfId="7972"/>
    <cellStyle name="Entrada 2 3 4 2 2 3 2" xfId="10586"/>
    <cellStyle name="Entrada 2 3 4 2 2 3 2 2" xfId="16848"/>
    <cellStyle name="Entrada 2 3 4 2 2 3 2 2 2" xfId="30264"/>
    <cellStyle name="Entrada 2 3 4 2 2 3 2 3" xfId="21593"/>
    <cellStyle name="Entrada 2 3 4 2 2 3 3" xfId="14576"/>
    <cellStyle name="Entrada 2 3 4 2 2 3 3 2" xfId="28898"/>
    <cellStyle name="Entrada 2 3 4 2 2 3 4" xfId="20221"/>
    <cellStyle name="Entrada 2 3 4 2 2 4" xfId="3995"/>
    <cellStyle name="Entrada 2 3 4 2 2 4 2" xfId="22692"/>
    <cellStyle name="Entrada 2 3 4 2 2 5" xfId="14928"/>
    <cellStyle name="Entrada 2 3 4 2 3" xfId="478"/>
    <cellStyle name="Entrada 2 3 4 2 3 2" xfId="7666"/>
    <cellStyle name="Entrada 2 3 4 2 3 2 2" xfId="10280"/>
    <cellStyle name="Entrada 2 3 4 2 3 2 2 2" xfId="16542"/>
    <cellStyle name="Entrada 2 3 4 2 3 2 2 2 2" xfId="29958"/>
    <cellStyle name="Entrada 2 3 4 2 3 2 2 3" xfId="21287"/>
    <cellStyle name="Entrada 2 3 4 2 3 2 3" xfId="14270"/>
    <cellStyle name="Entrada 2 3 4 2 3 2 3 2" xfId="28592"/>
    <cellStyle name="Entrada 2 3 4 2 3 2 4" xfId="19915"/>
    <cellStyle name="Entrada 2 3 4 2 3 3" xfId="13278"/>
    <cellStyle name="Entrada 2 3 4 2 3 3 2" xfId="27600"/>
    <cellStyle name="Entrada 2 3 4 2 3 4" xfId="18923"/>
    <cellStyle name="Entrada 2 3 4 2 4" xfId="5726"/>
    <cellStyle name="Entrada 2 3 4 2 4 2" xfId="12279"/>
    <cellStyle name="Entrada 2 3 4 2 4 2 2" xfId="26601"/>
    <cellStyle name="Entrada 2 3 4 2 4 3" xfId="17924"/>
    <cellStyle name="Entrada 2 3 4 2 5" xfId="3732"/>
    <cellStyle name="Entrada 2 3 4 2 5 2" xfId="22552"/>
    <cellStyle name="Entrada 2 3 4 2 6" xfId="15576"/>
    <cellStyle name="Entrada 2 3 4 3" xfId="479"/>
    <cellStyle name="Entrada 2 3 4 3 2" xfId="480"/>
    <cellStyle name="Entrada 2 3 4 3 2 2" xfId="5086"/>
    <cellStyle name="Entrada 2 3 4 3 2 2 2" xfId="11633"/>
    <cellStyle name="Entrada 2 3 4 3 2 2 2 2" xfId="25955"/>
    <cellStyle name="Entrada 2 3 4 3 2 2 3" xfId="14839"/>
    <cellStyle name="Entrada 2 3 4 3 2 3" xfId="7782"/>
    <cellStyle name="Entrada 2 3 4 3 2 3 2" xfId="10396"/>
    <cellStyle name="Entrada 2 3 4 3 2 3 2 2" xfId="16658"/>
    <cellStyle name="Entrada 2 3 4 3 2 3 2 2 2" xfId="30074"/>
    <cellStyle name="Entrada 2 3 4 3 2 3 2 3" xfId="21403"/>
    <cellStyle name="Entrada 2 3 4 3 2 3 3" xfId="14386"/>
    <cellStyle name="Entrada 2 3 4 3 2 3 3 2" xfId="28708"/>
    <cellStyle name="Entrada 2 3 4 3 2 3 4" xfId="20031"/>
    <cellStyle name="Entrada 2 3 4 3 2 4" xfId="5020"/>
    <cellStyle name="Entrada 2 3 4 3 2 4 2" xfId="23309"/>
    <cellStyle name="Entrada 2 3 4 3 2 5" xfId="15479"/>
    <cellStyle name="Entrada 2 3 4 3 3" xfId="481"/>
    <cellStyle name="Entrada 2 3 4 3 3 2" xfId="8055"/>
    <cellStyle name="Entrada 2 3 4 3 3 2 2" xfId="10669"/>
    <cellStyle name="Entrada 2 3 4 3 3 2 2 2" xfId="16931"/>
    <cellStyle name="Entrada 2 3 4 3 3 2 2 2 2" xfId="30347"/>
    <cellStyle name="Entrada 2 3 4 3 3 2 2 3" xfId="21676"/>
    <cellStyle name="Entrada 2 3 4 3 3 2 3" xfId="14659"/>
    <cellStyle name="Entrada 2 3 4 3 3 2 3 2" xfId="28981"/>
    <cellStyle name="Entrada 2 3 4 3 3 2 4" xfId="20304"/>
    <cellStyle name="Entrada 2 3 4 3 3 3" xfId="12690"/>
    <cellStyle name="Entrada 2 3 4 3 3 3 2" xfId="27012"/>
    <cellStyle name="Entrada 2 3 4 3 3 4" xfId="18335"/>
    <cellStyle name="Entrada 2 3 4 3 4" xfId="5196"/>
    <cellStyle name="Entrada 2 3 4 3 4 2" xfId="11745"/>
    <cellStyle name="Entrada 2 3 4 3 4 2 2" xfId="26067"/>
    <cellStyle name="Entrada 2 3 4 3 4 3" xfId="4931"/>
    <cellStyle name="Entrada 2 3 4 3 5" xfId="4787"/>
    <cellStyle name="Entrada 2 3 4 3 5 2" xfId="23187"/>
    <cellStyle name="Entrada 2 3 4 3 6" xfId="15056"/>
    <cellStyle name="Entrada 2 3 4 4" xfId="482"/>
    <cellStyle name="Entrada 2 3 4 4 2" xfId="6863"/>
    <cellStyle name="Entrada 2 3 4 4 2 2" xfId="13467"/>
    <cellStyle name="Entrada 2 3 4 4 2 2 2" xfId="27789"/>
    <cellStyle name="Entrada 2 3 4 4 2 3" xfId="19112"/>
    <cellStyle name="Entrada 2 3 4 4 3" xfId="7817"/>
    <cellStyle name="Entrada 2 3 4 4 3 2" xfId="10431"/>
    <cellStyle name="Entrada 2 3 4 4 3 2 2" xfId="16693"/>
    <cellStyle name="Entrada 2 3 4 4 3 2 2 2" xfId="30109"/>
    <cellStyle name="Entrada 2 3 4 4 3 2 3" xfId="21438"/>
    <cellStyle name="Entrada 2 3 4 4 3 3" xfId="14421"/>
    <cellStyle name="Entrada 2 3 4 4 3 3 2" xfId="28743"/>
    <cellStyle name="Entrada 2 3 4 4 3 4" xfId="20066"/>
    <cellStyle name="Entrada 2 3 4 4 4" xfId="11322"/>
    <cellStyle name="Entrada 2 3 4 4 4 2" xfId="25644"/>
    <cellStyle name="Entrada 2 3 4 4 5" xfId="15020"/>
    <cellStyle name="Entrada 2 3 4 5" xfId="483"/>
    <cellStyle name="Entrada 2 3 4 5 2" xfId="7421"/>
    <cellStyle name="Entrada 2 3 4 5 2 2" xfId="10035"/>
    <cellStyle name="Entrada 2 3 4 5 2 2 2" xfId="16297"/>
    <cellStyle name="Entrada 2 3 4 5 2 2 2 2" xfId="29713"/>
    <cellStyle name="Entrada 2 3 4 5 2 2 3" xfId="21042"/>
    <cellStyle name="Entrada 2 3 4 5 2 3" xfId="14025"/>
    <cellStyle name="Entrada 2 3 4 5 2 3 2" xfId="28347"/>
    <cellStyle name="Entrada 2 3 4 5 2 4" xfId="19670"/>
    <cellStyle name="Entrada 2 3 4 5 3" xfId="12841"/>
    <cellStyle name="Entrada 2 3 4 5 3 2" xfId="27163"/>
    <cellStyle name="Entrada 2 3 4 5 4" xfId="18486"/>
    <cellStyle name="Entrada 2 3 4 6" xfId="5421"/>
    <cellStyle name="Entrada 2 3 4 6 2" xfId="11972"/>
    <cellStyle name="Entrada 2 3 4 6 2 2" xfId="26294"/>
    <cellStyle name="Entrada 2 3 4 6 3" xfId="17617"/>
    <cellStyle name="Entrada 2 3 4 7" xfId="4927"/>
    <cellStyle name="Entrada 2 3 4 7 2" xfId="23265"/>
    <cellStyle name="Entrada 2 3 4 8" xfId="15192"/>
    <cellStyle name="Entrada 2 3 5" xfId="484"/>
    <cellStyle name="Entrada 2 3 5 2" xfId="485"/>
    <cellStyle name="Entrada 2 3 5 2 2" xfId="486"/>
    <cellStyle name="Entrada 2 3 5 2 2 2" xfId="7024"/>
    <cellStyle name="Entrada 2 3 5 2 2 2 2" xfId="13628"/>
    <cellStyle name="Entrada 2 3 5 2 2 2 2 2" xfId="27950"/>
    <cellStyle name="Entrada 2 3 5 2 2 2 3" xfId="19273"/>
    <cellStyle name="Entrada 2 3 5 2 2 3" xfId="7725"/>
    <cellStyle name="Entrada 2 3 5 2 2 3 2" xfId="10339"/>
    <cellStyle name="Entrada 2 3 5 2 2 3 2 2" xfId="16601"/>
    <cellStyle name="Entrada 2 3 5 2 2 3 2 2 2" xfId="30017"/>
    <cellStyle name="Entrada 2 3 5 2 2 3 2 3" xfId="21346"/>
    <cellStyle name="Entrada 2 3 5 2 2 3 3" xfId="14329"/>
    <cellStyle name="Entrada 2 3 5 2 2 3 3 2" xfId="28651"/>
    <cellStyle name="Entrada 2 3 5 2 2 3 4" xfId="19974"/>
    <cellStyle name="Entrada 2 3 5 2 2 4" xfId="11561"/>
    <cellStyle name="Entrada 2 3 5 2 2 4 2" xfId="25883"/>
    <cellStyle name="Entrada 2 3 5 2 2 5" xfId="4714"/>
    <cellStyle name="Entrada 2 3 5 2 3" xfId="487"/>
    <cellStyle name="Entrada 2 3 5 2 3 2" xfId="7373"/>
    <cellStyle name="Entrada 2 3 5 2 3 2 2" xfId="9987"/>
    <cellStyle name="Entrada 2 3 5 2 3 2 2 2" xfId="16249"/>
    <cellStyle name="Entrada 2 3 5 2 3 2 2 2 2" xfId="29665"/>
    <cellStyle name="Entrada 2 3 5 2 3 2 2 3" xfId="20994"/>
    <cellStyle name="Entrada 2 3 5 2 3 2 3" xfId="13977"/>
    <cellStyle name="Entrada 2 3 5 2 3 2 3 2" xfId="28299"/>
    <cellStyle name="Entrada 2 3 5 2 3 2 4" xfId="19622"/>
    <cellStyle name="Entrada 2 3 5 2 3 3" xfId="13410"/>
    <cellStyle name="Entrada 2 3 5 2 3 3 2" xfId="27732"/>
    <cellStyle name="Entrada 2 3 5 2 3 4" xfId="19055"/>
    <cellStyle name="Entrada 2 3 5 2 4" xfId="5878"/>
    <cellStyle name="Entrada 2 3 5 2 4 2" xfId="12431"/>
    <cellStyle name="Entrada 2 3 5 2 4 2 2" xfId="26753"/>
    <cellStyle name="Entrada 2 3 5 2 4 3" xfId="18076"/>
    <cellStyle name="Entrada 2 3 5 2 5" xfId="6311"/>
    <cellStyle name="Entrada 2 3 5 2 5 2" xfId="23507"/>
    <cellStyle name="Entrada 2 3 5 2 6" xfId="3188"/>
    <cellStyle name="Entrada 2 3 5 3" xfId="488"/>
    <cellStyle name="Entrada 2 3 5 3 2" xfId="5920"/>
    <cellStyle name="Entrada 2 3 5 3 2 2" xfId="12475"/>
    <cellStyle name="Entrada 2 3 5 3 2 2 2" xfId="26797"/>
    <cellStyle name="Entrada 2 3 5 3 2 3" xfId="18120"/>
    <cellStyle name="Entrada 2 3 5 3 3" xfId="5316"/>
    <cellStyle name="Entrada 2 3 5 3 3 2" xfId="9625"/>
    <cellStyle name="Entrada 2 3 5 3 3 2 2" xfId="15887"/>
    <cellStyle name="Entrada 2 3 5 3 3 2 2 2" xfId="29303"/>
    <cellStyle name="Entrada 2 3 5 3 3 2 3" xfId="20632"/>
    <cellStyle name="Entrada 2 3 5 3 3 3" xfId="11866"/>
    <cellStyle name="Entrada 2 3 5 3 3 3 2" xfId="26188"/>
    <cellStyle name="Entrada 2 3 5 3 3 4" xfId="17511"/>
    <cellStyle name="Entrada 2 3 5 3 4" xfId="4645"/>
    <cellStyle name="Entrada 2 3 5 3 4 2" xfId="23089"/>
    <cellStyle name="Entrada 2 3 5 3 5" xfId="15497"/>
    <cellStyle name="Entrada 2 3 5 4" xfId="489"/>
    <cellStyle name="Entrada 2 3 5 4 2" xfId="4805"/>
    <cellStyle name="Entrada 2 3 5 4 2 2" xfId="9490"/>
    <cellStyle name="Entrada 2 3 5 4 2 2 2" xfId="15752"/>
    <cellStyle name="Entrada 2 3 5 4 2 2 2 2" xfId="29168"/>
    <cellStyle name="Entrada 2 3 5 4 2 2 3" xfId="20497"/>
    <cellStyle name="Entrada 2 3 5 4 2 3" xfId="11335"/>
    <cellStyle name="Entrada 2 3 5 4 2 3 2" xfId="25657"/>
    <cellStyle name="Entrada 2 3 5 4 2 4" xfId="15572"/>
    <cellStyle name="Entrada 2 3 5 4 3" xfId="12943"/>
    <cellStyle name="Entrada 2 3 5 4 3 2" xfId="27265"/>
    <cellStyle name="Entrada 2 3 5 4 4" xfId="18588"/>
    <cellStyle name="Entrada 2 3 5 5" xfId="5597"/>
    <cellStyle name="Entrada 2 3 5 5 2" xfId="12149"/>
    <cellStyle name="Entrada 2 3 5 5 2 2" xfId="26471"/>
    <cellStyle name="Entrada 2 3 5 5 3" xfId="17794"/>
    <cellStyle name="Entrada 2 3 5 6" xfId="6287"/>
    <cellStyle name="Entrada 2 3 5 6 2" xfId="23489"/>
    <cellStyle name="Entrada 2 3 5 7" xfId="15559"/>
    <cellStyle name="Entrada 2 3 6" xfId="490"/>
    <cellStyle name="Entrada 2 3 6 2" xfId="491"/>
    <cellStyle name="Entrada 2 3 6 2 2" xfId="6440"/>
    <cellStyle name="Entrada 2 3 6 2 2 2" xfId="13023"/>
    <cellStyle name="Entrada 2 3 6 2 2 2 2" xfId="27345"/>
    <cellStyle name="Entrada 2 3 6 2 2 3" xfId="18668"/>
    <cellStyle name="Entrada 2 3 6 2 3" xfId="4096"/>
    <cellStyle name="Entrada 2 3 6 2 3 2" xfId="9424"/>
    <cellStyle name="Entrada 2 3 6 2 3 2 2" xfId="15686"/>
    <cellStyle name="Entrada 2 3 6 2 3 2 2 2" xfId="29102"/>
    <cellStyle name="Entrada 2 3 6 2 3 2 3" xfId="20431"/>
    <cellStyle name="Entrada 2 3 6 2 3 3" xfId="6514"/>
    <cellStyle name="Entrada 2 3 6 2 3 3 2" xfId="23578"/>
    <cellStyle name="Entrada 2 3 6 2 3 4" xfId="17099"/>
    <cellStyle name="Entrada 2 3 6 2 4" xfId="6121"/>
    <cellStyle name="Entrada 2 3 6 2 4 2" xfId="23419"/>
    <cellStyle name="Entrada 2 3 6 2 5" xfId="4212"/>
    <cellStyle name="Entrada 2 3 6 3" xfId="492"/>
    <cellStyle name="Entrada 2 3 6 3 2" xfId="4765"/>
    <cellStyle name="Entrada 2 3 6 3 2 2" xfId="9478"/>
    <cellStyle name="Entrada 2 3 6 3 2 2 2" xfId="15740"/>
    <cellStyle name="Entrada 2 3 6 3 2 2 2 2" xfId="29156"/>
    <cellStyle name="Entrada 2 3 6 3 2 2 3" xfId="20485"/>
    <cellStyle name="Entrada 2 3 6 3 2 3" xfId="2813"/>
    <cellStyle name="Entrada 2 3 6 3 2 3 2" xfId="22376"/>
    <cellStyle name="Entrada 2 3 6 3 2 4" xfId="15580"/>
    <cellStyle name="Entrada 2 3 6 3 3" xfId="13384"/>
    <cellStyle name="Entrada 2 3 6 3 3 2" xfId="27706"/>
    <cellStyle name="Entrada 2 3 6 3 4" xfId="19029"/>
    <cellStyle name="Entrada 2 3 6 4" xfId="5844"/>
    <cellStyle name="Entrada 2 3 6 4 2" xfId="12397"/>
    <cellStyle name="Entrada 2 3 6 4 2 2" xfId="26719"/>
    <cellStyle name="Entrada 2 3 6 4 3" xfId="18042"/>
    <cellStyle name="Entrada 2 3 6 5" xfId="3785"/>
    <cellStyle name="Entrada 2 3 6 5 2" xfId="22577"/>
    <cellStyle name="Entrada 2 3 6 6" xfId="17336"/>
    <cellStyle name="Entrada 2 3 7" xfId="493"/>
    <cellStyle name="Entrada 2 3 7 2" xfId="7012"/>
    <cellStyle name="Entrada 2 3 7 2 2" xfId="13616"/>
    <cellStyle name="Entrada 2 3 7 2 2 2" xfId="27938"/>
    <cellStyle name="Entrada 2 3 7 2 3" xfId="19261"/>
    <cellStyle name="Entrada 2 3 7 3" xfId="3145"/>
    <cellStyle name="Entrada 2 3 7 3 2" xfId="8981"/>
    <cellStyle name="Entrada 2 3 7 3 2 2" xfId="15336"/>
    <cellStyle name="Entrada 2 3 7 3 2 2 2" xfId="28999"/>
    <cellStyle name="Entrada 2 3 7 3 2 3" xfId="20326"/>
    <cellStyle name="Entrada 2 3 7 3 3" xfId="6670"/>
    <cellStyle name="Entrada 2 3 7 3 3 2" xfId="23642"/>
    <cellStyle name="Entrada 2 3 7 3 4" xfId="6497"/>
    <cellStyle name="Entrada 2 3 7 4" xfId="11538"/>
    <cellStyle name="Entrada 2 3 7 4 2" xfId="25860"/>
    <cellStyle name="Entrada 2 3 7 5" xfId="14828"/>
    <cellStyle name="Entrada 2 3 8" xfId="494"/>
    <cellStyle name="Entrada 2 3 8 2" xfId="7171"/>
    <cellStyle name="Entrada 2 3 8 2 2" xfId="9785"/>
    <cellStyle name="Entrada 2 3 8 2 2 2" xfId="16047"/>
    <cellStyle name="Entrada 2 3 8 2 2 2 2" xfId="29463"/>
    <cellStyle name="Entrada 2 3 8 2 2 3" xfId="20792"/>
    <cellStyle name="Entrada 2 3 8 2 3" xfId="13775"/>
    <cellStyle name="Entrada 2 3 8 2 3 2" xfId="28097"/>
    <cellStyle name="Entrada 2 3 8 2 4" xfId="19420"/>
    <cellStyle name="Entrada 2 3 8 3" xfId="12536"/>
    <cellStyle name="Entrada 2 3 8 3 2" xfId="26858"/>
    <cellStyle name="Entrada 2 3 8 4" xfId="18181"/>
    <cellStyle name="Entrada 2 3 9" xfId="5076"/>
    <cellStyle name="Entrada 2 3 9 2" xfId="11623"/>
    <cellStyle name="Entrada 2 3 9 2 2" xfId="25945"/>
    <cellStyle name="Entrada 2 3 9 3" xfId="15289"/>
    <cellStyle name="Entrada 2 4" xfId="495"/>
    <cellStyle name="Entrada 2 4 2" xfId="496"/>
    <cellStyle name="Entrada 2 4 2 2" xfId="497"/>
    <cellStyle name="Entrada 2 4 2 2 2" xfId="6494"/>
    <cellStyle name="Entrada 2 4 2 2 2 2" xfId="13079"/>
    <cellStyle name="Entrada 2 4 2 2 2 2 2" xfId="27401"/>
    <cellStyle name="Entrada 2 4 2 2 2 3" xfId="18724"/>
    <cellStyle name="Entrada 2 4 2 2 3" xfId="7989"/>
    <cellStyle name="Entrada 2 4 2 2 3 2" xfId="10603"/>
    <cellStyle name="Entrada 2 4 2 2 3 2 2" xfId="16865"/>
    <cellStyle name="Entrada 2 4 2 2 3 2 2 2" xfId="30281"/>
    <cellStyle name="Entrada 2 4 2 2 3 2 3" xfId="21610"/>
    <cellStyle name="Entrada 2 4 2 2 3 3" xfId="14593"/>
    <cellStyle name="Entrada 2 4 2 2 3 3 2" xfId="28915"/>
    <cellStyle name="Entrada 2 4 2 2 3 4" xfId="20238"/>
    <cellStyle name="Entrada 2 4 2 2 4" xfId="4073"/>
    <cellStyle name="Entrada 2 4 2 2 4 2" xfId="22745"/>
    <cellStyle name="Entrada 2 4 2 2 5" xfId="14686"/>
    <cellStyle name="Entrada 2 4 2 3" xfId="498"/>
    <cellStyle name="Entrada 2 4 2 3 2" xfId="7263"/>
    <cellStyle name="Entrada 2 4 2 3 2 2" xfId="9877"/>
    <cellStyle name="Entrada 2 4 2 3 2 2 2" xfId="16139"/>
    <cellStyle name="Entrada 2 4 2 3 2 2 2 2" xfId="29555"/>
    <cellStyle name="Entrada 2 4 2 3 2 2 3" xfId="20884"/>
    <cellStyle name="Entrada 2 4 2 3 2 3" xfId="13867"/>
    <cellStyle name="Entrada 2 4 2 3 2 3 2" xfId="28189"/>
    <cellStyle name="Entrada 2 4 2 3 2 4" xfId="19512"/>
    <cellStyle name="Entrada 2 4 2 3 3" xfId="13264"/>
    <cellStyle name="Entrada 2 4 2 3 3 2" xfId="27586"/>
    <cellStyle name="Entrada 2 4 2 3 4" xfId="18909"/>
    <cellStyle name="Entrada 2 4 2 4" xfId="5710"/>
    <cellStyle name="Entrada 2 4 2 4 2" xfId="12263"/>
    <cellStyle name="Entrada 2 4 2 4 2 2" xfId="26585"/>
    <cellStyle name="Entrada 2 4 2 4 3" xfId="17908"/>
    <cellStyle name="Entrada 2 4 2 5" xfId="3024"/>
    <cellStyle name="Entrada 2 4 2 5 2" xfId="22412"/>
    <cellStyle name="Entrada 2 4 2 6" xfId="17293"/>
    <cellStyle name="Entrada 2 4 3" xfId="499"/>
    <cellStyle name="Entrada 2 4 3 2" xfId="500"/>
    <cellStyle name="Entrada 2 4 3 2 2" xfId="6566"/>
    <cellStyle name="Entrada 2 4 3 2 2 2" xfId="13154"/>
    <cellStyle name="Entrada 2 4 3 2 2 2 2" xfId="27476"/>
    <cellStyle name="Entrada 2 4 3 2 2 3" xfId="18799"/>
    <cellStyle name="Entrada 2 4 3 2 3" xfId="7052"/>
    <cellStyle name="Entrada 2 4 3 2 3 2" xfId="9666"/>
    <cellStyle name="Entrada 2 4 3 2 3 2 2" xfId="15928"/>
    <cellStyle name="Entrada 2 4 3 2 3 2 2 2" xfId="29344"/>
    <cellStyle name="Entrada 2 4 3 2 3 2 3" xfId="20673"/>
    <cellStyle name="Entrada 2 4 3 2 3 3" xfId="13656"/>
    <cellStyle name="Entrada 2 4 3 2 3 3 2" xfId="27978"/>
    <cellStyle name="Entrada 2 4 3 2 3 4" xfId="19301"/>
    <cellStyle name="Entrada 2 4 3 2 4" xfId="6142"/>
    <cellStyle name="Entrada 2 4 3 2 4 2" xfId="23427"/>
    <cellStyle name="Entrada 2 4 3 2 5" xfId="16954"/>
    <cellStyle name="Entrada 2 4 3 3" xfId="501"/>
    <cellStyle name="Entrada 2 4 3 3 2" xfId="7169"/>
    <cellStyle name="Entrada 2 4 3 3 2 2" xfId="9783"/>
    <cellStyle name="Entrada 2 4 3 3 2 2 2" xfId="16045"/>
    <cellStyle name="Entrada 2 4 3 3 2 2 2 2" xfId="29461"/>
    <cellStyle name="Entrada 2 4 3 3 2 2 3" xfId="20790"/>
    <cellStyle name="Entrada 2 4 3 3 2 3" xfId="13773"/>
    <cellStyle name="Entrada 2 4 3 3 2 3 2" xfId="28095"/>
    <cellStyle name="Entrada 2 4 3 3 2 4" xfId="19418"/>
    <cellStyle name="Entrada 2 4 3 3 3" xfId="13037"/>
    <cellStyle name="Entrada 2 4 3 3 3 2" xfId="27359"/>
    <cellStyle name="Entrada 2 4 3 3 4" xfId="18682"/>
    <cellStyle name="Entrada 2 4 3 4" xfId="5352"/>
    <cellStyle name="Entrada 2 4 3 4 2" xfId="11902"/>
    <cellStyle name="Entrada 2 4 3 4 2 2" xfId="26224"/>
    <cellStyle name="Entrada 2 4 3 4 3" xfId="17547"/>
    <cellStyle name="Entrada 2 4 3 5" xfId="6703"/>
    <cellStyle name="Entrada 2 4 3 5 2" xfId="23662"/>
    <cellStyle name="Entrada 2 4 3 6" xfId="17369"/>
    <cellStyle name="Entrada 2 4 4" xfId="502"/>
    <cellStyle name="Entrada 2 4 4 2" xfId="6094"/>
    <cellStyle name="Entrada 2 4 4 2 2" xfId="12661"/>
    <cellStyle name="Entrada 2 4 4 2 2 2" xfId="26983"/>
    <cellStyle name="Entrada 2 4 4 2 3" xfId="18306"/>
    <cellStyle name="Entrada 2 4 4 3" xfId="7527"/>
    <cellStyle name="Entrada 2 4 4 3 2" xfId="10141"/>
    <cellStyle name="Entrada 2 4 4 3 2 2" xfId="16403"/>
    <cellStyle name="Entrada 2 4 4 3 2 2 2" xfId="29819"/>
    <cellStyle name="Entrada 2 4 4 3 2 3" xfId="21148"/>
    <cellStyle name="Entrada 2 4 4 3 3" xfId="14131"/>
    <cellStyle name="Entrada 2 4 4 3 3 2" xfId="28453"/>
    <cellStyle name="Entrada 2 4 4 3 4" xfId="19776"/>
    <cellStyle name="Entrada 2 4 4 4" xfId="3898"/>
    <cellStyle name="Entrada 2 4 4 4 2" xfId="22634"/>
    <cellStyle name="Entrada 2 4 4 5" xfId="15206"/>
    <cellStyle name="Entrada 2 4 5" xfId="503"/>
    <cellStyle name="Entrada 2 4 5 2" xfId="5328"/>
    <cellStyle name="Entrada 2 4 5 2 2" xfId="9637"/>
    <cellStyle name="Entrada 2 4 5 2 2 2" xfId="15899"/>
    <cellStyle name="Entrada 2 4 5 2 2 2 2" xfId="29315"/>
    <cellStyle name="Entrada 2 4 5 2 2 3" xfId="20644"/>
    <cellStyle name="Entrada 2 4 5 2 3" xfId="11878"/>
    <cellStyle name="Entrada 2 4 5 2 3 2" xfId="26200"/>
    <cellStyle name="Entrada 2 4 5 2 4" xfId="17523"/>
    <cellStyle name="Entrada 2 4 5 3" xfId="12820"/>
    <cellStyle name="Entrada 2 4 5 3 2" xfId="27142"/>
    <cellStyle name="Entrada 2 4 5 4" xfId="18465"/>
    <cellStyle name="Entrada 2 4 6" xfId="5360"/>
    <cellStyle name="Entrada 2 4 6 2" xfId="11910"/>
    <cellStyle name="Entrada 2 4 6 2 2" xfId="26232"/>
    <cellStyle name="Entrada 2 4 6 3" xfId="17555"/>
    <cellStyle name="Entrada 2 4 7" xfId="4474"/>
    <cellStyle name="Entrada 2 4 7 2" xfId="22972"/>
    <cellStyle name="Entrada 2 4 8" xfId="17009"/>
    <cellStyle name="Entrada 2 5" xfId="504"/>
    <cellStyle name="Entrada 2 5 2" xfId="505"/>
    <cellStyle name="Entrada 2 5 2 2" xfId="506"/>
    <cellStyle name="Entrada 2 5 2 2 2" xfId="5905"/>
    <cellStyle name="Entrada 2 5 2 2 2 2" xfId="12459"/>
    <cellStyle name="Entrada 2 5 2 2 2 2 2" xfId="26781"/>
    <cellStyle name="Entrada 2 5 2 2 2 3" xfId="18104"/>
    <cellStyle name="Entrada 2 5 2 2 3" xfId="8023"/>
    <cellStyle name="Entrada 2 5 2 2 3 2" xfId="10637"/>
    <cellStyle name="Entrada 2 5 2 2 3 2 2" xfId="16899"/>
    <cellStyle name="Entrada 2 5 2 2 3 2 2 2" xfId="30315"/>
    <cellStyle name="Entrada 2 5 2 2 3 2 3" xfId="21644"/>
    <cellStyle name="Entrada 2 5 2 2 3 3" xfId="14627"/>
    <cellStyle name="Entrada 2 5 2 2 3 3 2" xfId="28949"/>
    <cellStyle name="Entrada 2 5 2 2 3 4" xfId="20272"/>
    <cellStyle name="Entrada 2 5 2 2 4" xfId="6452"/>
    <cellStyle name="Entrada 2 5 2 2 4 2" xfId="23551"/>
    <cellStyle name="Entrada 2 5 2 2 5" xfId="4938"/>
    <cellStyle name="Entrada 2 5 2 3" xfId="507"/>
    <cellStyle name="Entrada 2 5 2 3 2" xfId="7317"/>
    <cellStyle name="Entrada 2 5 2 3 2 2" xfId="9931"/>
    <cellStyle name="Entrada 2 5 2 3 2 2 2" xfId="16193"/>
    <cellStyle name="Entrada 2 5 2 3 2 2 2 2" xfId="29609"/>
    <cellStyle name="Entrada 2 5 2 3 2 2 3" xfId="20938"/>
    <cellStyle name="Entrada 2 5 2 3 2 3" xfId="13921"/>
    <cellStyle name="Entrada 2 5 2 3 2 3 2" xfId="28243"/>
    <cellStyle name="Entrada 2 5 2 3 2 4" xfId="19566"/>
    <cellStyle name="Entrada 2 5 2 3 3" xfId="13210"/>
    <cellStyle name="Entrada 2 5 2 3 3 2" xfId="27532"/>
    <cellStyle name="Entrada 2 5 2 3 4" xfId="18855"/>
    <cellStyle name="Entrada 2 5 2 4" xfId="5649"/>
    <cellStyle name="Entrada 2 5 2 4 2" xfId="12202"/>
    <cellStyle name="Entrada 2 5 2 4 2 2" xfId="26524"/>
    <cellStyle name="Entrada 2 5 2 4 3" xfId="17847"/>
    <cellStyle name="Entrada 2 5 2 5" xfId="6750"/>
    <cellStyle name="Entrada 2 5 2 5 2" xfId="23698"/>
    <cellStyle name="Entrada 2 5 2 6" xfId="14870"/>
    <cellStyle name="Entrada 2 5 3" xfId="508"/>
    <cellStyle name="Entrada 2 5 3 2" xfId="509"/>
    <cellStyle name="Entrada 2 5 3 2 2" xfId="5986"/>
    <cellStyle name="Entrada 2 5 3 2 2 2" xfId="12544"/>
    <cellStyle name="Entrada 2 5 3 2 2 2 2" xfId="26866"/>
    <cellStyle name="Entrada 2 5 3 2 2 3" xfId="18189"/>
    <cellStyle name="Entrada 2 5 3 2 3" xfId="7832"/>
    <cellStyle name="Entrada 2 5 3 2 3 2" xfId="10446"/>
    <cellStyle name="Entrada 2 5 3 2 3 2 2" xfId="16708"/>
    <cellStyle name="Entrada 2 5 3 2 3 2 2 2" xfId="30124"/>
    <cellStyle name="Entrada 2 5 3 2 3 2 3" xfId="21453"/>
    <cellStyle name="Entrada 2 5 3 2 3 3" xfId="14436"/>
    <cellStyle name="Entrada 2 5 3 2 3 3 2" xfId="28758"/>
    <cellStyle name="Entrada 2 5 3 2 3 4" xfId="20081"/>
    <cellStyle name="Entrada 2 5 3 2 4" xfId="4288"/>
    <cellStyle name="Entrada 2 5 3 2 4 2" xfId="22872"/>
    <cellStyle name="Entrada 2 5 3 2 5" xfId="17017"/>
    <cellStyle name="Entrada 2 5 3 3" xfId="510"/>
    <cellStyle name="Entrada 2 5 3 3 2" xfId="7378"/>
    <cellStyle name="Entrada 2 5 3 3 2 2" xfId="9992"/>
    <cellStyle name="Entrada 2 5 3 3 2 2 2" xfId="16254"/>
    <cellStyle name="Entrada 2 5 3 3 2 2 2 2" xfId="29670"/>
    <cellStyle name="Entrada 2 5 3 3 2 2 3" xfId="20999"/>
    <cellStyle name="Entrada 2 5 3 3 2 3" xfId="13982"/>
    <cellStyle name="Entrada 2 5 3 3 2 3 2" xfId="28304"/>
    <cellStyle name="Entrada 2 5 3 3 2 4" xfId="19627"/>
    <cellStyle name="Entrada 2 5 3 3 3" xfId="12647"/>
    <cellStyle name="Entrada 2 5 3 3 3 2" xfId="26969"/>
    <cellStyle name="Entrada 2 5 3 3 4" xfId="18292"/>
    <cellStyle name="Entrada 2 5 3 4" xfId="5222"/>
    <cellStyle name="Entrada 2 5 3 4 2" xfId="11771"/>
    <cellStyle name="Entrada 2 5 3 4 2 2" xfId="26093"/>
    <cellStyle name="Entrada 2 5 3 4 3" xfId="17416"/>
    <cellStyle name="Entrada 2 5 3 5" xfId="3287"/>
    <cellStyle name="Entrada 2 5 3 5 2" xfId="22462"/>
    <cellStyle name="Entrada 2 5 3 6" xfId="14965"/>
    <cellStyle name="Entrada 2 5 4" xfId="511"/>
    <cellStyle name="Entrada 2 5 4 2" xfId="6587"/>
    <cellStyle name="Entrada 2 5 4 2 2" xfId="13176"/>
    <cellStyle name="Entrada 2 5 4 2 2 2" xfId="27498"/>
    <cellStyle name="Entrada 2 5 4 2 3" xfId="18821"/>
    <cellStyle name="Entrada 2 5 4 3" xfId="7875"/>
    <cellStyle name="Entrada 2 5 4 3 2" xfId="10489"/>
    <cellStyle name="Entrada 2 5 4 3 2 2" xfId="16751"/>
    <cellStyle name="Entrada 2 5 4 3 2 2 2" xfId="30167"/>
    <cellStyle name="Entrada 2 5 4 3 2 3" xfId="21496"/>
    <cellStyle name="Entrada 2 5 4 3 3" xfId="14479"/>
    <cellStyle name="Entrada 2 5 4 3 3 2" xfId="28801"/>
    <cellStyle name="Entrada 2 5 4 3 4" xfId="20124"/>
    <cellStyle name="Entrada 2 5 4 4" xfId="6309"/>
    <cellStyle name="Entrada 2 5 4 4 2" xfId="23505"/>
    <cellStyle name="Entrada 2 5 4 5" xfId="3817"/>
    <cellStyle name="Entrada 2 5 5" xfId="512"/>
    <cellStyle name="Entrada 2 5 5 2" xfId="7462"/>
    <cellStyle name="Entrada 2 5 5 2 2" xfId="10076"/>
    <cellStyle name="Entrada 2 5 5 2 2 2" xfId="16338"/>
    <cellStyle name="Entrada 2 5 5 2 2 2 2" xfId="29754"/>
    <cellStyle name="Entrada 2 5 5 2 2 3" xfId="21083"/>
    <cellStyle name="Entrada 2 5 5 2 3" xfId="14066"/>
    <cellStyle name="Entrada 2 5 5 2 3 2" xfId="28388"/>
    <cellStyle name="Entrada 2 5 5 2 4" xfId="19711"/>
    <cellStyle name="Entrada 2 5 5 3" xfId="12071"/>
    <cellStyle name="Entrada 2 5 5 3 2" xfId="26393"/>
    <cellStyle name="Entrada 2 5 5 4" xfId="17716"/>
    <cellStyle name="Entrada 2 5 6" xfId="5185"/>
    <cellStyle name="Entrada 2 5 6 2" xfId="11734"/>
    <cellStyle name="Entrada 2 5 6 2 2" xfId="26056"/>
    <cellStyle name="Entrada 2 5 6 3" xfId="3977"/>
    <cellStyle name="Entrada 2 5 7" xfId="3658"/>
    <cellStyle name="Entrada 2 5 7 2" xfId="22509"/>
    <cellStyle name="Entrada 2 5 8" xfId="15211"/>
    <cellStyle name="Entrada 2 6" xfId="513"/>
    <cellStyle name="Entrada 2 6 2" xfId="514"/>
    <cellStyle name="Entrada 2 6 2 2" xfId="515"/>
    <cellStyle name="Entrada 2 6 2 2 2" xfId="6375"/>
    <cellStyle name="Entrada 2 6 2 2 2 2" xfId="12958"/>
    <cellStyle name="Entrada 2 6 2 2 2 2 2" xfId="27280"/>
    <cellStyle name="Entrada 2 6 2 2 2 3" xfId="18603"/>
    <cellStyle name="Entrada 2 6 2 2 3" xfId="7745"/>
    <cellStyle name="Entrada 2 6 2 2 3 2" xfId="10359"/>
    <cellStyle name="Entrada 2 6 2 2 3 2 2" xfId="16621"/>
    <cellStyle name="Entrada 2 6 2 2 3 2 2 2" xfId="30037"/>
    <cellStyle name="Entrada 2 6 2 2 3 2 3" xfId="21366"/>
    <cellStyle name="Entrada 2 6 2 2 3 3" xfId="14349"/>
    <cellStyle name="Entrada 2 6 2 2 3 3 2" xfId="28671"/>
    <cellStyle name="Entrada 2 6 2 2 3 4" xfId="19994"/>
    <cellStyle name="Entrada 2 6 2 2 4" xfId="6597"/>
    <cellStyle name="Entrada 2 6 2 2 4 2" xfId="23594"/>
    <cellStyle name="Entrada 2 6 2 2 5" xfId="15068"/>
    <cellStyle name="Entrada 2 6 2 3" xfId="516"/>
    <cellStyle name="Entrada 2 6 2 3 2" xfId="7911"/>
    <cellStyle name="Entrada 2 6 2 3 2 2" xfId="10525"/>
    <cellStyle name="Entrada 2 6 2 3 2 2 2" xfId="16787"/>
    <cellStyle name="Entrada 2 6 2 3 2 2 2 2" xfId="30203"/>
    <cellStyle name="Entrada 2 6 2 3 2 2 3" xfId="21532"/>
    <cellStyle name="Entrada 2 6 2 3 2 3" xfId="14515"/>
    <cellStyle name="Entrada 2 6 2 3 2 3 2" xfId="28837"/>
    <cellStyle name="Entrada 2 6 2 3 2 4" xfId="20160"/>
    <cellStyle name="Entrada 2 6 2 3 3" xfId="13205"/>
    <cellStyle name="Entrada 2 6 2 3 3 2" xfId="27527"/>
    <cellStyle name="Entrada 2 6 2 3 4" xfId="18850"/>
    <cellStyle name="Entrada 2 6 2 4" xfId="5644"/>
    <cellStyle name="Entrada 2 6 2 4 2" xfId="12197"/>
    <cellStyle name="Entrada 2 6 2 4 2 2" xfId="26519"/>
    <cellStyle name="Entrada 2 6 2 4 3" xfId="17842"/>
    <cellStyle name="Entrada 2 6 2 5" xfId="6340"/>
    <cellStyle name="Entrada 2 6 2 5 2" xfId="23526"/>
    <cellStyle name="Entrada 2 6 2 6" xfId="17224"/>
    <cellStyle name="Entrada 2 6 3" xfId="517"/>
    <cellStyle name="Entrada 2 6 3 2" xfId="518"/>
    <cellStyle name="Entrada 2 6 3 2 2" xfId="6082"/>
    <cellStyle name="Entrada 2 6 3 2 2 2" xfId="12648"/>
    <cellStyle name="Entrada 2 6 3 2 2 2 2" xfId="26970"/>
    <cellStyle name="Entrada 2 6 3 2 2 3" xfId="18293"/>
    <cellStyle name="Entrada 2 6 3 2 3" xfId="7312"/>
    <cellStyle name="Entrada 2 6 3 2 3 2" xfId="9926"/>
    <cellStyle name="Entrada 2 6 3 2 3 2 2" xfId="16188"/>
    <cellStyle name="Entrada 2 6 3 2 3 2 2 2" xfId="29604"/>
    <cellStyle name="Entrada 2 6 3 2 3 2 3" xfId="20933"/>
    <cellStyle name="Entrada 2 6 3 2 3 3" xfId="13916"/>
    <cellStyle name="Entrada 2 6 3 2 3 3 2" xfId="28238"/>
    <cellStyle name="Entrada 2 6 3 2 3 4" xfId="19561"/>
    <cellStyle name="Entrada 2 6 3 2 4" xfId="6129"/>
    <cellStyle name="Entrada 2 6 3 2 4 2" xfId="23422"/>
    <cellStyle name="Entrada 2 6 3 2 5" xfId="3728"/>
    <cellStyle name="Entrada 2 6 3 3" xfId="519"/>
    <cellStyle name="Entrada 2 6 3 3 2" xfId="5277"/>
    <cellStyle name="Entrada 2 6 3 3 2 2" xfId="9586"/>
    <cellStyle name="Entrada 2 6 3 3 2 2 2" xfId="15848"/>
    <cellStyle name="Entrada 2 6 3 3 2 2 2 2" xfId="29264"/>
    <cellStyle name="Entrada 2 6 3 3 2 2 3" xfId="20593"/>
    <cellStyle name="Entrada 2 6 3 3 2 3" xfId="11827"/>
    <cellStyle name="Entrada 2 6 3 3 2 3 2" xfId="26149"/>
    <cellStyle name="Entrada 2 6 3 3 2 4" xfId="17472"/>
    <cellStyle name="Entrada 2 6 3 3 3" xfId="12625"/>
    <cellStyle name="Entrada 2 6 3 3 3 2" xfId="26947"/>
    <cellStyle name="Entrada 2 6 3 3 4" xfId="18270"/>
    <cellStyle name="Entrada 2 6 3 4" xfId="4389"/>
    <cellStyle name="Entrada 2 6 3 4 2" xfId="6600"/>
    <cellStyle name="Entrada 2 6 3 4 2 2" xfId="23596"/>
    <cellStyle name="Entrada 2 6 3 4 3" xfId="15510"/>
    <cellStyle name="Entrada 2 6 3 5" xfId="4532"/>
    <cellStyle name="Entrada 2 6 3 5 2" xfId="23012"/>
    <cellStyle name="Entrada 2 6 3 6" xfId="15229"/>
    <cellStyle name="Entrada 2 6 4" xfId="520"/>
    <cellStyle name="Entrada 2 6 4 2" xfId="6544"/>
    <cellStyle name="Entrada 2 6 4 2 2" xfId="13132"/>
    <cellStyle name="Entrada 2 6 4 2 2 2" xfId="27454"/>
    <cellStyle name="Entrada 2 6 4 2 3" xfId="18777"/>
    <cellStyle name="Entrada 2 6 4 3" xfId="7720"/>
    <cellStyle name="Entrada 2 6 4 3 2" xfId="10334"/>
    <cellStyle name="Entrada 2 6 4 3 2 2" xfId="16596"/>
    <cellStyle name="Entrada 2 6 4 3 2 2 2" xfId="30012"/>
    <cellStyle name="Entrada 2 6 4 3 2 3" xfId="21341"/>
    <cellStyle name="Entrada 2 6 4 3 3" xfId="14324"/>
    <cellStyle name="Entrada 2 6 4 3 3 2" xfId="28646"/>
    <cellStyle name="Entrada 2 6 4 3 4" xfId="19969"/>
    <cellStyle name="Entrada 2 6 4 4" xfId="3902"/>
    <cellStyle name="Entrada 2 6 4 4 2" xfId="22636"/>
    <cellStyle name="Entrada 2 6 4 5" xfId="14833"/>
    <cellStyle name="Entrada 2 6 5" xfId="521"/>
    <cellStyle name="Entrada 2 6 5 2" xfId="7259"/>
    <cellStyle name="Entrada 2 6 5 2 2" xfId="9873"/>
    <cellStyle name="Entrada 2 6 5 2 2 2" xfId="16135"/>
    <cellStyle name="Entrada 2 6 5 2 2 2 2" xfId="29551"/>
    <cellStyle name="Entrada 2 6 5 2 2 3" xfId="20880"/>
    <cellStyle name="Entrada 2 6 5 2 3" xfId="13863"/>
    <cellStyle name="Entrada 2 6 5 2 3 2" xfId="28185"/>
    <cellStyle name="Entrada 2 6 5 2 4" xfId="19508"/>
    <cellStyle name="Entrada 2 6 5 3" xfId="12480"/>
    <cellStyle name="Entrada 2 6 5 3 2" xfId="26802"/>
    <cellStyle name="Entrada 2 6 5 4" xfId="18125"/>
    <cellStyle name="Entrada 2 6 6" xfId="5064"/>
    <cellStyle name="Entrada 2 6 6 2" xfId="11611"/>
    <cellStyle name="Entrada 2 6 6 2 2" xfId="25933"/>
    <cellStyle name="Entrada 2 6 6 3" xfId="4164"/>
    <cellStyle name="Entrada 2 6 7" xfId="4498"/>
    <cellStyle name="Entrada 2 6 7 2" xfId="22990"/>
    <cellStyle name="Entrada 2 6 8" xfId="15173"/>
    <cellStyle name="Entrada 2 7" xfId="522"/>
    <cellStyle name="Entrada 2 7 2" xfId="523"/>
    <cellStyle name="Entrada 2 7 2 2" xfId="524"/>
    <cellStyle name="Entrada 2 7 2 2 2" xfId="6511"/>
    <cellStyle name="Entrada 2 7 2 2 2 2" xfId="13098"/>
    <cellStyle name="Entrada 2 7 2 2 2 2 2" xfId="27420"/>
    <cellStyle name="Entrada 2 7 2 2 2 3" xfId="18743"/>
    <cellStyle name="Entrada 2 7 2 2 3" xfId="7635"/>
    <cellStyle name="Entrada 2 7 2 2 3 2" xfId="10249"/>
    <cellStyle name="Entrada 2 7 2 2 3 2 2" xfId="16511"/>
    <cellStyle name="Entrada 2 7 2 2 3 2 2 2" xfId="29927"/>
    <cellStyle name="Entrada 2 7 2 2 3 2 3" xfId="21256"/>
    <cellStyle name="Entrada 2 7 2 2 3 3" xfId="14239"/>
    <cellStyle name="Entrada 2 7 2 2 3 3 2" xfId="28561"/>
    <cellStyle name="Entrada 2 7 2 2 3 4" xfId="19884"/>
    <cellStyle name="Entrada 2 7 2 2 4" xfId="4939"/>
    <cellStyle name="Entrada 2 7 2 2 4 2" xfId="23271"/>
    <cellStyle name="Entrada 2 7 2 2 5" xfId="17287"/>
    <cellStyle name="Entrada 2 7 2 3" xfId="525"/>
    <cellStyle name="Entrada 2 7 2 3 2" xfId="7134"/>
    <cellStyle name="Entrada 2 7 2 3 2 2" xfId="9748"/>
    <cellStyle name="Entrada 2 7 2 3 2 2 2" xfId="16010"/>
    <cellStyle name="Entrada 2 7 2 3 2 2 2 2" xfId="29426"/>
    <cellStyle name="Entrada 2 7 2 3 2 2 3" xfId="20755"/>
    <cellStyle name="Entrada 2 7 2 3 2 3" xfId="13738"/>
    <cellStyle name="Entrada 2 7 2 3 2 3 2" xfId="28060"/>
    <cellStyle name="Entrada 2 7 2 3 2 4" xfId="19383"/>
    <cellStyle name="Entrada 2 7 2 3 3" xfId="13034"/>
    <cellStyle name="Entrada 2 7 2 3 3 2" xfId="27356"/>
    <cellStyle name="Entrada 2 7 2 3 4" xfId="18679"/>
    <cellStyle name="Entrada 2 7 2 4" xfId="5347"/>
    <cellStyle name="Entrada 2 7 2 4 2" xfId="11897"/>
    <cellStyle name="Entrada 2 7 2 4 2 2" xfId="26219"/>
    <cellStyle name="Entrada 2 7 2 4 3" xfId="17542"/>
    <cellStyle name="Entrada 2 7 2 5" xfId="4277"/>
    <cellStyle name="Entrada 2 7 2 5 2" xfId="22866"/>
    <cellStyle name="Entrada 2 7 2 6" xfId="15309"/>
    <cellStyle name="Entrada 2 7 3" xfId="526"/>
    <cellStyle name="Entrada 2 7 3 2" xfId="5850"/>
    <cellStyle name="Entrada 2 7 3 2 2" xfId="12403"/>
    <cellStyle name="Entrada 2 7 3 2 2 2" xfId="26725"/>
    <cellStyle name="Entrada 2 7 3 2 3" xfId="18048"/>
    <cellStyle name="Entrada 2 7 3 3" xfId="5269"/>
    <cellStyle name="Entrada 2 7 3 3 2" xfId="9578"/>
    <cellStyle name="Entrada 2 7 3 3 2 2" xfId="15840"/>
    <cellStyle name="Entrada 2 7 3 3 2 2 2" xfId="29256"/>
    <cellStyle name="Entrada 2 7 3 3 2 3" xfId="20585"/>
    <cellStyle name="Entrada 2 7 3 3 3" xfId="11819"/>
    <cellStyle name="Entrada 2 7 3 3 3 2" xfId="26141"/>
    <cellStyle name="Entrada 2 7 3 3 4" xfId="17464"/>
    <cellStyle name="Entrada 2 7 3 4" xfId="4002"/>
    <cellStyle name="Entrada 2 7 3 4 2" xfId="22696"/>
    <cellStyle name="Entrada 2 7 3 5" xfId="3193"/>
    <cellStyle name="Entrada 2 7 4" xfId="527"/>
    <cellStyle name="Entrada 2 7 4 2" xfId="8036"/>
    <cellStyle name="Entrada 2 7 4 2 2" xfId="10650"/>
    <cellStyle name="Entrada 2 7 4 2 2 2" xfId="16912"/>
    <cellStyle name="Entrada 2 7 4 2 2 2 2" xfId="30328"/>
    <cellStyle name="Entrada 2 7 4 2 2 3" xfId="21657"/>
    <cellStyle name="Entrada 2 7 4 2 3" xfId="14640"/>
    <cellStyle name="Entrada 2 7 4 2 3 2" xfId="28962"/>
    <cellStyle name="Entrada 2 7 4 2 4" xfId="20285"/>
    <cellStyle name="Entrada 2 7 4 3" xfId="12660"/>
    <cellStyle name="Entrada 2 7 4 3 2" xfId="26982"/>
    <cellStyle name="Entrada 2 7 4 4" xfId="18305"/>
    <cellStyle name="Entrada 2 7 5" xfId="4270"/>
    <cellStyle name="Entrada 2 7 5 2" xfId="4673"/>
    <cellStyle name="Entrada 2 7 5 2 2" xfId="23112"/>
    <cellStyle name="Entrada 2 7 5 3" xfId="15440"/>
    <cellStyle name="Entrada 2 7 6" xfId="6302"/>
    <cellStyle name="Entrada 2 7 6 2" xfId="23499"/>
    <cellStyle name="Entrada 2 7 7" xfId="4309"/>
    <cellStyle name="Entrada 2 8" xfId="528"/>
    <cellStyle name="Entrada 2 8 2" xfId="529"/>
    <cellStyle name="Entrada 2 8 2 2" xfId="6372"/>
    <cellStyle name="Entrada 2 8 2 2 2" xfId="12955"/>
    <cellStyle name="Entrada 2 8 2 2 2 2" xfId="27277"/>
    <cellStyle name="Entrada 2 8 2 2 3" xfId="18600"/>
    <cellStyle name="Entrada 2 8 2 3" xfId="4332"/>
    <cellStyle name="Entrada 2 8 2 3 2" xfId="9450"/>
    <cellStyle name="Entrada 2 8 2 3 2 2" xfId="15712"/>
    <cellStyle name="Entrada 2 8 2 3 2 2 2" xfId="29128"/>
    <cellStyle name="Entrada 2 8 2 3 2 3" xfId="20457"/>
    <cellStyle name="Entrada 2 8 2 3 3" xfId="4995"/>
    <cellStyle name="Entrada 2 8 2 3 3 2" xfId="23299"/>
    <cellStyle name="Entrada 2 8 2 3 4" xfId="14735"/>
    <cellStyle name="Entrada 2 8 2 4" xfId="6165"/>
    <cellStyle name="Entrada 2 8 2 4 2" xfId="23438"/>
    <cellStyle name="Entrada 2 8 2 5" xfId="6245"/>
    <cellStyle name="Entrada 2 8 3" xfId="530"/>
    <cellStyle name="Entrada 2 8 3 2" xfId="7679"/>
    <cellStyle name="Entrada 2 8 3 2 2" xfId="10293"/>
    <cellStyle name="Entrada 2 8 3 2 2 2" xfId="16555"/>
    <cellStyle name="Entrada 2 8 3 2 2 2 2" xfId="29971"/>
    <cellStyle name="Entrada 2 8 3 2 2 3" xfId="21300"/>
    <cellStyle name="Entrada 2 8 3 2 3" xfId="14283"/>
    <cellStyle name="Entrada 2 8 3 2 3 2" xfId="28605"/>
    <cellStyle name="Entrada 2 8 3 2 4" xfId="19928"/>
    <cellStyle name="Entrada 2 8 3 3" xfId="13226"/>
    <cellStyle name="Entrada 2 8 3 3 2" xfId="27548"/>
    <cellStyle name="Entrada 2 8 3 4" xfId="18871"/>
    <cellStyle name="Entrada 2 8 4" xfId="5667"/>
    <cellStyle name="Entrada 2 8 4 2" xfId="12220"/>
    <cellStyle name="Entrada 2 8 4 2 2" xfId="26542"/>
    <cellStyle name="Entrada 2 8 4 3" xfId="17865"/>
    <cellStyle name="Entrada 2 8 5" xfId="4852"/>
    <cellStyle name="Entrada 2 8 5 2" xfId="23223"/>
    <cellStyle name="Entrada 2 8 6" xfId="14788"/>
    <cellStyle name="Entrada 2 9" xfId="531"/>
    <cellStyle name="Entrada 2 9 2" xfId="6402"/>
    <cellStyle name="Entrada 2 9 2 2" xfId="12985"/>
    <cellStyle name="Entrada 2 9 2 2 2" xfId="27307"/>
    <cellStyle name="Entrada 2 9 2 3" xfId="18630"/>
    <cellStyle name="Entrada 2 9 3" xfId="7051"/>
    <cellStyle name="Entrada 2 9 3 2" xfId="9665"/>
    <cellStyle name="Entrada 2 9 3 2 2" xfId="15927"/>
    <cellStyle name="Entrada 2 9 3 2 2 2" xfId="29343"/>
    <cellStyle name="Entrada 2 9 3 2 3" xfId="20672"/>
    <cellStyle name="Entrada 2 9 3 3" xfId="13655"/>
    <cellStyle name="Entrada 2 9 3 3 2" xfId="27977"/>
    <cellStyle name="Entrada 2 9 3 4" xfId="19300"/>
    <cellStyle name="Entrada 2 9 4" xfId="2793"/>
    <cellStyle name="Entrada 2 9 4 2" xfId="22360"/>
    <cellStyle name="Entrada 2 9 5" xfId="15368"/>
    <cellStyle name="Entrada 3" xfId="532"/>
    <cellStyle name="Entrada 3 2" xfId="6232"/>
    <cellStyle name="Entrada 3 2 2" xfId="12807"/>
    <cellStyle name="Entrada 3 2 2 2" xfId="27129"/>
    <cellStyle name="Entrada 3 2 3" xfId="18452"/>
    <cellStyle name="Entrada 3 3" xfId="4064"/>
    <cellStyle name="Entrada 3 3 2" xfId="9417"/>
    <cellStyle name="Entrada 3 3 2 2" xfId="15679"/>
    <cellStyle name="Entrada 3 3 2 2 2" xfId="29095"/>
    <cellStyle name="Entrada 3 3 2 3" xfId="20424"/>
    <cellStyle name="Entrada 3 3 3" xfId="4435"/>
    <cellStyle name="Entrada 3 3 3 2" xfId="22950"/>
    <cellStyle name="Entrada 3 3 4" xfId="17042"/>
    <cellStyle name="Entrada 3 4" xfId="4696"/>
    <cellStyle name="Entrada 3 4 2" xfId="23132"/>
    <cellStyle name="Entrada 3 5" xfId="17059"/>
    <cellStyle name="Entrada 4" xfId="3790"/>
    <cellStyle name="Entrada 4 2" xfId="4210"/>
    <cellStyle name="Entrada 4 2 2" xfId="22824"/>
    <cellStyle name="Entrada 4 3" xfId="6728"/>
    <cellStyle name="Entrada 5" xfId="4139"/>
    <cellStyle name="Entrada 5 2" xfId="22777"/>
    <cellStyle name="Entrada 6" xfId="17256"/>
    <cellStyle name="Entrada 7" xfId="20322"/>
    <cellStyle name="Entrada 8" xfId="30367"/>
    <cellStyle name="Explanatory Text 2" xfId="533"/>
    <cellStyle name="Good 2" xfId="534"/>
    <cellStyle name="Heading 1 2" xfId="535"/>
    <cellStyle name="Heading 2 2" xfId="536"/>
    <cellStyle name="Heading 3 2" xfId="537"/>
    <cellStyle name="Heading 4 2" xfId="538"/>
    <cellStyle name="Hyperlink 2" xfId="539"/>
    <cellStyle name="Incorrecto" xfId="540"/>
    <cellStyle name="Input 2" xfId="541"/>
    <cellStyle name="Input 2 2" xfId="542"/>
    <cellStyle name="Input 2 2 10" xfId="543"/>
    <cellStyle name="Input 2 2 10 2" xfId="4083"/>
    <cellStyle name="Input 2 2 10 2 2" xfId="9420"/>
    <cellStyle name="Input 2 2 10 2 2 2" xfId="15682"/>
    <cellStyle name="Input 2 2 10 2 2 2 2" xfId="29098"/>
    <cellStyle name="Input 2 2 10 2 2 3" xfId="20427"/>
    <cellStyle name="Input 2 2 10 2 3" xfId="6575"/>
    <cellStyle name="Input 2 2 10 2 3 2" xfId="23585"/>
    <cellStyle name="Input 2 2 10 2 4" xfId="5604"/>
    <cellStyle name="Input 2 2 10 3" xfId="11920"/>
    <cellStyle name="Input 2 2 10 3 2" xfId="26242"/>
    <cellStyle name="Input 2 2 10 4" xfId="17565"/>
    <cellStyle name="Input 2 2 11" xfId="4357"/>
    <cellStyle name="Input 2 2 11 2" xfId="3791"/>
    <cellStyle name="Input 2 2 11 2 2" xfId="22580"/>
    <cellStyle name="Input 2 2 11 3" xfId="15450"/>
    <cellStyle name="Input 2 2 12" xfId="3961"/>
    <cellStyle name="Input 2 2 12 2" xfId="22671"/>
    <cellStyle name="Input 2 2 13" xfId="16959"/>
    <cellStyle name="Input 2 2 2" xfId="544"/>
    <cellStyle name="Input 2 2 2 10" xfId="3894"/>
    <cellStyle name="Input 2 2 2 10 2" xfId="4398"/>
    <cellStyle name="Input 2 2 2 10 2 2" xfId="22927"/>
    <cellStyle name="Input 2 2 2 10 3" xfId="3877"/>
    <cellStyle name="Input 2 2 2 11" xfId="6296"/>
    <cellStyle name="Input 2 2 2 11 2" xfId="23495"/>
    <cellStyle name="Input 2 2 2 12" xfId="14694"/>
    <cellStyle name="Input 2 2 2 2" xfId="545"/>
    <cellStyle name="Input 2 2 2 2 10" xfId="6308"/>
    <cellStyle name="Input 2 2 2 2 10 2" xfId="23504"/>
    <cellStyle name="Input 2 2 2 2 11" xfId="17119"/>
    <cellStyle name="Input 2 2 2 2 2" xfId="546"/>
    <cellStyle name="Input 2 2 2 2 2 2" xfId="547"/>
    <cellStyle name="Input 2 2 2 2 2 2 2" xfId="548"/>
    <cellStyle name="Input 2 2 2 2 2 2 2 2" xfId="6411"/>
    <cellStyle name="Input 2 2 2 2 2 2 2 2 2" xfId="12994"/>
    <cellStyle name="Input 2 2 2 2 2 2 2 2 2 2" xfId="27316"/>
    <cellStyle name="Input 2 2 2 2 2 2 2 2 3" xfId="18639"/>
    <cellStyle name="Input 2 2 2 2 2 2 2 3" xfId="7295"/>
    <cellStyle name="Input 2 2 2 2 2 2 2 3 2" xfId="9909"/>
    <cellStyle name="Input 2 2 2 2 2 2 2 3 2 2" xfId="16171"/>
    <cellStyle name="Input 2 2 2 2 2 2 2 3 2 2 2" xfId="29587"/>
    <cellStyle name="Input 2 2 2 2 2 2 2 3 2 3" xfId="20916"/>
    <cellStyle name="Input 2 2 2 2 2 2 2 3 3" xfId="13899"/>
    <cellStyle name="Input 2 2 2 2 2 2 2 3 3 2" xfId="28221"/>
    <cellStyle name="Input 2 2 2 2 2 2 2 3 4" xfId="19544"/>
    <cellStyle name="Input 2 2 2 2 2 2 2 4" xfId="5925"/>
    <cellStyle name="Input 2 2 2 2 2 2 2 4 2" xfId="23374"/>
    <cellStyle name="Input 2 2 2 2 2 2 2 5" xfId="14826"/>
    <cellStyle name="Input 2 2 2 2 2 2 3" xfId="549"/>
    <cellStyle name="Input 2 2 2 2 2 2 3 2" xfId="7934"/>
    <cellStyle name="Input 2 2 2 2 2 2 3 2 2" xfId="10548"/>
    <cellStyle name="Input 2 2 2 2 2 2 3 2 2 2" xfId="16810"/>
    <cellStyle name="Input 2 2 2 2 2 2 3 2 2 2 2" xfId="30226"/>
    <cellStyle name="Input 2 2 2 2 2 2 3 2 2 3" xfId="21555"/>
    <cellStyle name="Input 2 2 2 2 2 2 3 2 3" xfId="14538"/>
    <cellStyle name="Input 2 2 2 2 2 2 3 2 3 2" xfId="28860"/>
    <cellStyle name="Input 2 2 2 2 2 2 3 2 4" xfId="20183"/>
    <cellStyle name="Input 2 2 2 2 2 2 3 3" xfId="13316"/>
    <cellStyle name="Input 2 2 2 2 2 2 3 3 2" xfId="27638"/>
    <cellStyle name="Input 2 2 2 2 2 2 3 4" xfId="18961"/>
    <cellStyle name="Input 2 2 2 2 2 2 4" xfId="5766"/>
    <cellStyle name="Input 2 2 2 2 2 2 4 2" xfId="12319"/>
    <cellStyle name="Input 2 2 2 2 2 2 4 2 2" xfId="26641"/>
    <cellStyle name="Input 2 2 2 2 2 2 4 3" xfId="17964"/>
    <cellStyle name="Input 2 2 2 2 2 2 5" xfId="4842"/>
    <cellStyle name="Input 2 2 2 2 2 2 5 2" xfId="23216"/>
    <cellStyle name="Input 2 2 2 2 2 2 6" xfId="15002"/>
    <cellStyle name="Input 2 2 2 2 2 3" xfId="550"/>
    <cellStyle name="Input 2 2 2 2 2 3 2" xfId="551"/>
    <cellStyle name="Input 2 2 2 2 2 3 2 2" xfId="5936"/>
    <cellStyle name="Input 2 2 2 2 2 3 2 2 2" xfId="12493"/>
    <cellStyle name="Input 2 2 2 2 2 3 2 2 2 2" xfId="26815"/>
    <cellStyle name="Input 2 2 2 2 2 3 2 2 3" xfId="18138"/>
    <cellStyle name="Input 2 2 2 2 2 3 2 3" xfId="7244"/>
    <cellStyle name="Input 2 2 2 2 2 3 2 3 2" xfId="9858"/>
    <cellStyle name="Input 2 2 2 2 2 3 2 3 2 2" xfId="16120"/>
    <cellStyle name="Input 2 2 2 2 2 3 2 3 2 2 2" xfId="29536"/>
    <cellStyle name="Input 2 2 2 2 2 3 2 3 2 3" xfId="20865"/>
    <cellStyle name="Input 2 2 2 2 2 3 2 3 3" xfId="13848"/>
    <cellStyle name="Input 2 2 2 2 2 3 2 3 3 2" xfId="28170"/>
    <cellStyle name="Input 2 2 2 2 2 3 2 3 4" xfId="19493"/>
    <cellStyle name="Input 2 2 2 2 2 3 2 4" xfId="4016"/>
    <cellStyle name="Input 2 2 2 2 2 3 2 4 2" xfId="22703"/>
    <cellStyle name="Input 2 2 2 2 2 3 2 5" xfId="17255"/>
    <cellStyle name="Input 2 2 2 2 2 3 3" xfId="552"/>
    <cellStyle name="Input 2 2 2 2 2 3 3 2" xfId="7683"/>
    <cellStyle name="Input 2 2 2 2 2 3 3 2 2" xfId="10297"/>
    <cellStyle name="Input 2 2 2 2 2 3 3 2 2 2" xfId="16559"/>
    <cellStyle name="Input 2 2 2 2 2 3 3 2 2 2 2" xfId="29975"/>
    <cellStyle name="Input 2 2 2 2 2 3 3 2 2 3" xfId="21304"/>
    <cellStyle name="Input 2 2 2 2 2 3 3 2 3" xfId="14287"/>
    <cellStyle name="Input 2 2 2 2 2 3 3 2 3 2" xfId="28609"/>
    <cellStyle name="Input 2 2 2 2 2 3 3 2 4" xfId="19932"/>
    <cellStyle name="Input 2 2 2 2 2 3 3 3" xfId="13369"/>
    <cellStyle name="Input 2 2 2 2 2 3 3 3 2" xfId="27691"/>
    <cellStyle name="Input 2 2 2 2 2 3 3 4" xfId="19014"/>
    <cellStyle name="Input 2 2 2 2 2 3 4" xfId="5820"/>
    <cellStyle name="Input 2 2 2 2 2 3 4 2" xfId="12373"/>
    <cellStyle name="Input 2 2 2 2 2 3 4 2 2" xfId="26695"/>
    <cellStyle name="Input 2 2 2 2 2 3 4 3" xfId="18018"/>
    <cellStyle name="Input 2 2 2 2 2 3 5" xfId="4472"/>
    <cellStyle name="Input 2 2 2 2 2 3 5 2" xfId="22971"/>
    <cellStyle name="Input 2 2 2 2 2 3 6" xfId="15156"/>
    <cellStyle name="Input 2 2 2 2 2 4" xfId="553"/>
    <cellStyle name="Input 2 2 2 2 2 4 2" xfId="6528"/>
    <cellStyle name="Input 2 2 2 2 2 4 2 2" xfId="13116"/>
    <cellStyle name="Input 2 2 2 2 2 4 2 2 2" xfId="27438"/>
    <cellStyle name="Input 2 2 2 2 2 4 2 3" xfId="18761"/>
    <cellStyle name="Input 2 2 2 2 2 4 3" xfId="7073"/>
    <cellStyle name="Input 2 2 2 2 2 4 3 2" xfId="9687"/>
    <cellStyle name="Input 2 2 2 2 2 4 3 2 2" xfId="15949"/>
    <cellStyle name="Input 2 2 2 2 2 4 3 2 2 2" xfId="29365"/>
    <cellStyle name="Input 2 2 2 2 2 4 3 2 3" xfId="20694"/>
    <cellStyle name="Input 2 2 2 2 2 4 3 3" xfId="13677"/>
    <cellStyle name="Input 2 2 2 2 2 4 3 3 2" xfId="27999"/>
    <cellStyle name="Input 2 2 2 2 2 4 3 4" xfId="19322"/>
    <cellStyle name="Input 2 2 2 2 2 4 4" xfId="2799"/>
    <cellStyle name="Input 2 2 2 2 2 4 4 2" xfId="22365"/>
    <cellStyle name="Input 2 2 2 2 2 4 5" xfId="15164"/>
    <cellStyle name="Input 2 2 2 2 2 5" xfId="554"/>
    <cellStyle name="Input 2 2 2 2 2 5 2" xfId="5334"/>
    <cellStyle name="Input 2 2 2 2 2 5 2 2" xfId="9643"/>
    <cellStyle name="Input 2 2 2 2 2 5 2 2 2" xfId="15905"/>
    <cellStyle name="Input 2 2 2 2 2 5 2 2 2 2" xfId="29321"/>
    <cellStyle name="Input 2 2 2 2 2 5 2 2 3" xfId="20650"/>
    <cellStyle name="Input 2 2 2 2 2 5 2 3" xfId="11884"/>
    <cellStyle name="Input 2 2 2 2 2 5 2 3 2" xfId="26206"/>
    <cellStyle name="Input 2 2 2 2 2 5 2 4" xfId="17529"/>
    <cellStyle name="Input 2 2 2 2 2 5 3" xfId="12892"/>
    <cellStyle name="Input 2 2 2 2 2 5 3 2" xfId="27214"/>
    <cellStyle name="Input 2 2 2 2 2 5 4" xfId="18537"/>
    <cellStyle name="Input 2 2 2 2 2 6" xfId="5510"/>
    <cellStyle name="Input 2 2 2 2 2 6 2" xfId="12061"/>
    <cellStyle name="Input 2 2 2 2 2 6 2 2" xfId="26383"/>
    <cellStyle name="Input 2 2 2 2 2 6 3" xfId="17706"/>
    <cellStyle name="Input 2 2 2 2 2 7" xfId="3730"/>
    <cellStyle name="Input 2 2 2 2 2 7 2" xfId="22551"/>
    <cellStyle name="Input 2 2 2 2 2 8" xfId="14922"/>
    <cellStyle name="Input 2 2 2 2 3" xfId="555"/>
    <cellStyle name="Input 2 2 2 2 3 2" xfId="556"/>
    <cellStyle name="Input 2 2 2 2 3 2 2" xfId="557"/>
    <cellStyle name="Input 2 2 2 2 3 2 2 2" xfId="6436"/>
    <cellStyle name="Input 2 2 2 2 3 2 2 2 2" xfId="13019"/>
    <cellStyle name="Input 2 2 2 2 3 2 2 2 2 2" xfId="27341"/>
    <cellStyle name="Input 2 2 2 2 3 2 2 2 3" xfId="18664"/>
    <cellStyle name="Input 2 2 2 2 3 2 2 3" xfId="7043"/>
    <cellStyle name="Input 2 2 2 2 3 2 2 3 2" xfId="9657"/>
    <cellStyle name="Input 2 2 2 2 3 2 2 3 2 2" xfId="15919"/>
    <cellStyle name="Input 2 2 2 2 3 2 2 3 2 2 2" xfId="29335"/>
    <cellStyle name="Input 2 2 2 2 3 2 2 3 2 3" xfId="20664"/>
    <cellStyle name="Input 2 2 2 2 3 2 2 3 3" xfId="13647"/>
    <cellStyle name="Input 2 2 2 2 3 2 2 3 3 2" xfId="27969"/>
    <cellStyle name="Input 2 2 2 2 3 2 2 3 4" xfId="19292"/>
    <cellStyle name="Input 2 2 2 2 3 2 2 4" xfId="5015"/>
    <cellStyle name="Input 2 2 2 2 3 2 2 4 2" xfId="23307"/>
    <cellStyle name="Input 2 2 2 2 3 2 2 5" xfId="17125"/>
    <cellStyle name="Input 2 2 2 2 3 2 3" xfId="558"/>
    <cellStyle name="Input 2 2 2 2 3 2 3 2" xfId="7538"/>
    <cellStyle name="Input 2 2 2 2 3 2 3 2 2" xfId="10152"/>
    <cellStyle name="Input 2 2 2 2 3 2 3 2 2 2" xfId="16414"/>
    <cellStyle name="Input 2 2 2 2 3 2 3 2 2 2 2" xfId="29830"/>
    <cellStyle name="Input 2 2 2 2 3 2 3 2 2 3" xfId="21159"/>
    <cellStyle name="Input 2 2 2 2 3 2 3 2 3" xfId="14142"/>
    <cellStyle name="Input 2 2 2 2 3 2 3 2 3 2" xfId="28464"/>
    <cellStyle name="Input 2 2 2 2 3 2 3 2 4" xfId="19787"/>
    <cellStyle name="Input 2 2 2 2 3 2 3 3" xfId="13352"/>
    <cellStyle name="Input 2 2 2 2 3 2 3 3 2" xfId="27674"/>
    <cellStyle name="Input 2 2 2 2 3 2 3 4" xfId="18997"/>
    <cellStyle name="Input 2 2 2 2 3 2 4" xfId="5802"/>
    <cellStyle name="Input 2 2 2 2 3 2 4 2" xfId="12355"/>
    <cellStyle name="Input 2 2 2 2 3 2 4 2 2" xfId="26677"/>
    <cellStyle name="Input 2 2 2 2 3 2 4 3" xfId="18000"/>
    <cellStyle name="Input 2 2 2 2 3 2 5" xfId="3942"/>
    <cellStyle name="Input 2 2 2 2 3 2 5 2" xfId="22658"/>
    <cellStyle name="Input 2 2 2 2 3 2 6" xfId="3972"/>
    <cellStyle name="Input 2 2 2 2 3 3" xfId="559"/>
    <cellStyle name="Input 2 2 2 2 3 3 2" xfId="560"/>
    <cellStyle name="Input 2 2 2 2 3 3 2 2" xfId="6921"/>
    <cellStyle name="Input 2 2 2 2 3 3 2 2 2" xfId="13525"/>
    <cellStyle name="Input 2 2 2 2 3 3 2 2 2 2" xfId="27847"/>
    <cellStyle name="Input 2 2 2 2 3 3 2 2 3" xfId="19170"/>
    <cellStyle name="Input 2 2 2 2 3 3 2 3" xfId="7391"/>
    <cellStyle name="Input 2 2 2 2 3 3 2 3 2" xfId="10005"/>
    <cellStyle name="Input 2 2 2 2 3 3 2 3 2 2" xfId="16267"/>
    <cellStyle name="Input 2 2 2 2 3 3 2 3 2 2 2" xfId="29683"/>
    <cellStyle name="Input 2 2 2 2 3 3 2 3 2 3" xfId="21012"/>
    <cellStyle name="Input 2 2 2 2 3 3 2 3 3" xfId="13995"/>
    <cellStyle name="Input 2 2 2 2 3 3 2 3 3 2" xfId="28317"/>
    <cellStyle name="Input 2 2 2 2 3 3 2 3 4" xfId="19640"/>
    <cellStyle name="Input 2 2 2 2 3 3 2 4" xfId="11409"/>
    <cellStyle name="Input 2 2 2 2 3 3 2 4 2" xfId="25731"/>
    <cellStyle name="Input 2 2 2 2 3 3 2 5" xfId="17286"/>
    <cellStyle name="Input 2 2 2 2 3 3 3" xfId="561"/>
    <cellStyle name="Input 2 2 2 2 3 3 3 2" xfId="7339"/>
    <cellStyle name="Input 2 2 2 2 3 3 3 2 2" xfId="9953"/>
    <cellStyle name="Input 2 2 2 2 3 3 3 2 2 2" xfId="16215"/>
    <cellStyle name="Input 2 2 2 2 3 3 3 2 2 2 2" xfId="29631"/>
    <cellStyle name="Input 2 2 2 2 3 3 3 2 2 3" xfId="20960"/>
    <cellStyle name="Input 2 2 2 2 3 3 3 2 3" xfId="13943"/>
    <cellStyle name="Input 2 2 2 2 3 3 3 2 3 2" xfId="28265"/>
    <cellStyle name="Input 2 2 2 2 3 3 3 2 4" xfId="19588"/>
    <cellStyle name="Input 2 2 2 2 3 3 3 3" xfId="13196"/>
    <cellStyle name="Input 2 2 2 2 3 3 3 3 2" xfId="27518"/>
    <cellStyle name="Input 2 2 2 2 3 3 3 4" xfId="18841"/>
    <cellStyle name="Input 2 2 2 2 3 3 4" xfId="5633"/>
    <cellStyle name="Input 2 2 2 2 3 3 4 2" xfId="12186"/>
    <cellStyle name="Input 2 2 2 2 3 3 4 2 2" xfId="26508"/>
    <cellStyle name="Input 2 2 2 2 3 3 4 3" xfId="17831"/>
    <cellStyle name="Input 2 2 2 2 3 3 5" xfId="5940"/>
    <cellStyle name="Input 2 2 2 2 3 3 5 2" xfId="23378"/>
    <cellStyle name="Input 2 2 2 2 3 3 6" xfId="2844"/>
    <cellStyle name="Input 2 2 2 2 3 4" xfId="562"/>
    <cellStyle name="Input 2 2 2 2 3 4 2" xfId="5636"/>
    <cellStyle name="Input 2 2 2 2 3 4 2 2" xfId="12189"/>
    <cellStyle name="Input 2 2 2 2 3 4 2 2 2" xfId="26511"/>
    <cellStyle name="Input 2 2 2 2 3 4 2 3" xfId="17834"/>
    <cellStyle name="Input 2 2 2 2 3 4 3" xfId="7804"/>
    <cellStyle name="Input 2 2 2 2 3 4 3 2" xfId="10418"/>
    <cellStyle name="Input 2 2 2 2 3 4 3 2 2" xfId="16680"/>
    <cellStyle name="Input 2 2 2 2 3 4 3 2 2 2" xfId="30096"/>
    <cellStyle name="Input 2 2 2 2 3 4 3 2 3" xfId="21425"/>
    <cellStyle name="Input 2 2 2 2 3 4 3 3" xfId="14408"/>
    <cellStyle name="Input 2 2 2 2 3 4 3 3 2" xfId="28730"/>
    <cellStyle name="Input 2 2 2 2 3 4 3 4" xfId="20053"/>
    <cellStyle name="Input 2 2 2 2 3 4 4" xfId="3879"/>
    <cellStyle name="Input 2 2 2 2 3 4 4 2" xfId="22623"/>
    <cellStyle name="Input 2 2 2 2 3 4 5" xfId="6255"/>
    <cellStyle name="Input 2 2 2 2 3 5" xfId="563"/>
    <cellStyle name="Input 2 2 2 2 3 5 2" xfId="7561"/>
    <cellStyle name="Input 2 2 2 2 3 5 2 2" xfId="10175"/>
    <cellStyle name="Input 2 2 2 2 3 5 2 2 2" xfId="16437"/>
    <cellStyle name="Input 2 2 2 2 3 5 2 2 2 2" xfId="29853"/>
    <cellStyle name="Input 2 2 2 2 3 5 2 2 3" xfId="21182"/>
    <cellStyle name="Input 2 2 2 2 3 5 2 3" xfId="14165"/>
    <cellStyle name="Input 2 2 2 2 3 5 2 3 2" xfId="28487"/>
    <cellStyle name="Input 2 2 2 2 3 5 2 4" xfId="19810"/>
    <cellStyle name="Input 2 2 2 2 3 5 3" xfId="12928"/>
    <cellStyle name="Input 2 2 2 2 3 5 3 2" xfId="27250"/>
    <cellStyle name="Input 2 2 2 2 3 5 4" xfId="18573"/>
    <cellStyle name="Input 2 2 2 2 3 6" xfId="5552"/>
    <cellStyle name="Input 2 2 2 2 3 6 2" xfId="12103"/>
    <cellStyle name="Input 2 2 2 2 3 6 2 2" xfId="26425"/>
    <cellStyle name="Input 2 2 2 2 3 6 3" xfId="17748"/>
    <cellStyle name="Input 2 2 2 2 3 7" xfId="3156"/>
    <cellStyle name="Input 2 2 2 2 3 7 2" xfId="22424"/>
    <cellStyle name="Input 2 2 2 2 3 8" xfId="15477"/>
    <cellStyle name="Input 2 2 2 2 4" xfId="564"/>
    <cellStyle name="Input 2 2 2 2 4 2" xfId="565"/>
    <cellStyle name="Input 2 2 2 2 4 2 2" xfId="566"/>
    <cellStyle name="Input 2 2 2 2 4 2 2 2" xfId="6421"/>
    <cellStyle name="Input 2 2 2 2 4 2 2 2 2" xfId="13004"/>
    <cellStyle name="Input 2 2 2 2 4 2 2 2 2 2" xfId="27326"/>
    <cellStyle name="Input 2 2 2 2 4 2 2 2 3" xfId="18649"/>
    <cellStyle name="Input 2 2 2 2 4 2 2 3" xfId="7691"/>
    <cellStyle name="Input 2 2 2 2 4 2 2 3 2" xfId="10305"/>
    <cellStyle name="Input 2 2 2 2 4 2 2 3 2 2" xfId="16567"/>
    <cellStyle name="Input 2 2 2 2 4 2 2 3 2 2 2" xfId="29983"/>
    <cellStyle name="Input 2 2 2 2 4 2 2 3 2 3" xfId="21312"/>
    <cellStyle name="Input 2 2 2 2 4 2 2 3 3" xfId="14295"/>
    <cellStyle name="Input 2 2 2 2 4 2 2 3 3 2" xfId="28617"/>
    <cellStyle name="Input 2 2 2 2 4 2 2 3 4" xfId="19940"/>
    <cellStyle name="Input 2 2 2 2 4 2 2 4" xfId="3919"/>
    <cellStyle name="Input 2 2 2 2 4 2 2 4 2" xfId="22646"/>
    <cellStyle name="Input 2 2 2 2 4 2 2 5" xfId="15316"/>
    <cellStyle name="Input 2 2 2 2 4 2 3" xfId="567"/>
    <cellStyle name="Input 2 2 2 2 4 2 3 2" xfId="7246"/>
    <cellStyle name="Input 2 2 2 2 4 2 3 2 2" xfId="9860"/>
    <cellStyle name="Input 2 2 2 2 4 2 3 2 2 2" xfId="16122"/>
    <cellStyle name="Input 2 2 2 2 4 2 3 2 2 2 2" xfId="29538"/>
    <cellStyle name="Input 2 2 2 2 4 2 3 2 2 3" xfId="20867"/>
    <cellStyle name="Input 2 2 2 2 4 2 3 2 3" xfId="13850"/>
    <cellStyle name="Input 2 2 2 2 4 2 3 2 3 2" xfId="28172"/>
    <cellStyle name="Input 2 2 2 2 4 2 3 2 4" xfId="19495"/>
    <cellStyle name="Input 2 2 2 2 4 2 3 3" xfId="13236"/>
    <cellStyle name="Input 2 2 2 2 4 2 3 3 2" xfId="27558"/>
    <cellStyle name="Input 2 2 2 2 4 2 3 4" xfId="18881"/>
    <cellStyle name="Input 2 2 2 2 4 2 4" xfId="5677"/>
    <cellStyle name="Input 2 2 2 2 4 2 4 2" xfId="12230"/>
    <cellStyle name="Input 2 2 2 2 4 2 4 2 2" xfId="26552"/>
    <cellStyle name="Input 2 2 2 2 4 2 4 3" xfId="17875"/>
    <cellStyle name="Input 2 2 2 2 4 2 5" xfId="6225"/>
    <cellStyle name="Input 2 2 2 2 4 2 5 2" xfId="23463"/>
    <cellStyle name="Input 2 2 2 2 4 2 6" xfId="15110"/>
    <cellStyle name="Input 2 2 2 2 4 3" xfId="568"/>
    <cellStyle name="Input 2 2 2 2 4 3 2" xfId="569"/>
    <cellStyle name="Input 2 2 2 2 4 3 2 2" xfId="6395"/>
    <cellStyle name="Input 2 2 2 2 4 3 2 2 2" xfId="12978"/>
    <cellStyle name="Input 2 2 2 2 4 3 2 2 2 2" xfId="27300"/>
    <cellStyle name="Input 2 2 2 2 4 3 2 2 3" xfId="18623"/>
    <cellStyle name="Input 2 2 2 2 4 3 2 3" xfId="7087"/>
    <cellStyle name="Input 2 2 2 2 4 3 2 3 2" xfId="9701"/>
    <cellStyle name="Input 2 2 2 2 4 3 2 3 2 2" xfId="15963"/>
    <cellStyle name="Input 2 2 2 2 4 3 2 3 2 2 2" xfId="29379"/>
    <cellStyle name="Input 2 2 2 2 4 3 2 3 2 3" xfId="20708"/>
    <cellStyle name="Input 2 2 2 2 4 3 2 3 3" xfId="13691"/>
    <cellStyle name="Input 2 2 2 2 4 3 2 3 3 2" xfId="28013"/>
    <cellStyle name="Input 2 2 2 2 4 3 2 3 4" xfId="19336"/>
    <cellStyle name="Input 2 2 2 2 4 3 2 4" xfId="3018"/>
    <cellStyle name="Input 2 2 2 2 4 3 2 4 2" xfId="22409"/>
    <cellStyle name="Input 2 2 2 2 4 3 2 5" xfId="15153"/>
    <cellStyle name="Input 2 2 2 2 4 3 3" xfId="570"/>
    <cellStyle name="Input 2 2 2 2 4 3 3 2" xfId="3690"/>
    <cellStyle name="Input 2 2 2 2 4 3 3 2 2" xfId="9361"/>
    <cellStyle name="Input 2 2 2 2 4 3 3 2 2 2" xfId="15623"/>
    <cellStyle name="Input 2 2 2 2 4 3 3 2 2 2 2" xfId="29039"/>
    <cellStyle name="Input 2 2 2 2 4 3 3 2 2 3" xfId="20368"/>
    <cellStyle name="Input 2 2 2 2 4 3 3 2 3" xfId="5415"/>
    <cellStyle name="Input 2 2 2 2 4 3 3 2 3 2" xfId="23344"/>
    <cellStyle name="Input 2 2 2 2 4 3 3 2 4" xfId="6823"/>
    <cellStyle name="Input 2 2 2 2 4 3 3 3" xfId="13186"/>
    <cellStyle name="Input 2 2 2 2 4 3 3 3 2" xfId="27508"/>
    <cellStyle name="Input 2 2 2 2 4 3 3 4" xfId="18831"/>
    <cellStyle name="Input 2 2 2 2 4 3 4" xfId="5622"/>
    <cellStyle name="Input 2 2 2 2 4 3 4 2" xfId="12175"/>
    <cellStyle name="Input 2 2 2 2 4 3 4 2 2" xfId="26497"/>
    <cellStyle name="Input 2 2 2 2 4 3 4 3" xfId="17820"/>
    <cellStyle name="Input 2 2 2 2 4 3 5" xfId="4300"/>
    <cellStyle name="Input 2 2 2 2 4 3 5 2" xfId="22879"/>
    <cellStyle name="Input 2 2 2 2 4 3 6" xfId="14940"/>
    <cellStyle name="Input 2 2 2 2 4 4" xfId="571"/>
    <cellStyle name="Input 2 2 2 2 4 4 2" xfId="6890"/>
    <cellStyle name="Input 2 2 2 2 4 4 2 2" xfId="13494"/>
    <cellStyle name="Input 2 2 2 2 4 4 2 2 2" xfId="27816"/>
    <cellStyle name="Input 2 2 2 2 4 4 2 3" xfId="19139"/>
    <cellStyle name="Input 2 2 2 2 4 4 3" xfId="7568"/>
    <cellStyle name="Input 2 2 2 2 4 4 3 2" xfId="10182"/>
    <cellStyle name="Input 2 2 2 2 4 4 3 2 2" xfId="16444"/>
    <cellStyle name="Input 2 2 2 2 4 4 3 2 2 2" xfId="29860"/>
    <cellStyle name="Input 2 2 2 2 4 4 3 2 3" xfId="21189"/>
    <cellStyle name="Input 2 2 2 2 4 4 3 3" xfId="14172"/>
    <cellStyle name="Input 2 2 2 2 4 4 3 3 2" xfId="28494"/>
    <cellStyle name="Input 2 2 2 2 4 4 3 4" xfId="19817"/>
    <cellStyle name="Input 2 2 2 2 4 4 4" xfId="11366"/>
    <cellStyle name="Input 2 2 2 2 4 4 4 2" xfId="25688"/>
    <cellStyle name="Input 2 2 2 2 4 4 5" xfId="6710"/>
    <cellStyle name="Input 2 2 2 2 4 5" xfId="572"/>
    <cellStyle name="Input 2 2 2 2 4 5 2" xfId="7161"/>
    <cellStyle name="Input 2 2 2 2 4 5 2 2" xfId="9775"/>
    <cellStyle name="Input 2 2 2 2 4 5 2 2 2" xfId="16037"/>
    <cellStyle name="Input 2 2 2 2 4 5 2 2 2 2" xfId="29453"/>
    <cellStyle name="Input 2 2 2 2 4 5 2 2 3" xfId="20782"/>
    <cellStyle name="Input 2 2 2 2 4 5 2 3" xfId="13765"/>
    <cellStyle name="Input 2 2 2 2 4 5 2 3 2" xfId="28087"/>
    <cellStyle name="Input 2 2 2 2 4 5 2 4" xfId="19410"/>
    <cellStyle name="Input 2 2 2 2 4 5 3" xfId="12675"/>
    <cellStyle name="Input 2 2 2 2 4 5 3 2" xfId="26997"/>
    <cellStyle name="Input 2 2 2 2 4 5 4" xfId="18320"/>
    <cellStyle name="Input 2 2 2 2 4 6" xfId="5102"/>
    <cellStyle name="Input 2 2 2 2 4 6 2" xfId="11649"/>
    <cellStyle name="Input 2 2 2 2 4 6 2 2" xfId="25971"/>
    <cellStyle name="Input 2 2 2 2 4 6 3" xfId="15594"/>
    <cellStyle name="Input 2 2 2 2 4 7" xfId="4716"/>
    <cellStyle name="Input 2 2 2 2 4 7 2" xfId="23146"/>
    <cellStyle name="Input 2 2 2 2 4 8" xfId="4601"/>
    <cellStyle name="Input 2 2 2 2 5" xfId="573"/>
    <cellStyle name="Input 2 2 2 2 5 2" xfId="574"/>
    <cellStyle name="Input 2 2 2 2 5 2 2" xfId="575"/>
    <cellStyle name="Input 2 2 2 2 5 2 2 2" xfId="6176"/>
    <cellStyle name="Input 2 2 2 2 5 2 2 2 2" xfId="12749"/>
    <cellStyle name="Input 2 2 2 2 5 2 2 2 2 2" xfId="27071"/>
    <cellStyle name="Input 2 2 2 2 5 2 2 2 3" xfId="18394"/>
    <cellStyle name="Input 2 2 2 2 5 2 2 3" xfId="3893"/>
    <cellStyle name="Input 2 2 2 2 5 2 2 3 2" xfId="9389"/>
    <cellStyle name="Input 2 2 2 2 5 2 2 3 2 2" xfId="15651"/>
    <cellStyle name="Input 2 2 2 2 5 2 2 3 2 2 2" xfId="29067"/>
    <cellStyle name="Input 2 2 2 2 5 2 2 3 2 3" xfId="20396"/>
    <cellStyle name="Input 2 2 2 2 5 2 2 3 3" xfId="4391"/>
    <cellStyle name="Input 2 2 2 2 5 2 2 3 3 2" xfId="22923"/>
    <cellStyle name="Input 2 2 2 2 5 2 2 3 4" xfId="15022"/>
    <cellStyle name="Input 2 2 2 2 5 2 2 4" xfId="5904"/>
    <cellStyle name="Input 2 2 2 2 5 2 2 4 2" xfId="23369"/>
    <cellStyle name="Input 2 2 2 2 5 2 2 5" xfId="14729"/>
    <cellStyle name="Input 2 2 2 2 5 2 3" xfId="576"/>
    <cellStyle name="Input 2 2 2 2 5 2 3 2" xfId="7353"/>
    <cellStyle name="Input 2 2 2 2 5 2 3 2 2" xfId="9967"/>
    <cellStyle name="Input 2 2 2 2 5 2 3 2 2 2" xfId="16229"/>
    <cellStyle name="Input 2 2 2 2 5 2 3 2 2 2 2" xfId="29645"/>
    <cellStyle name="Input 2 2 2 2 5 2 3 2 2 3" xfId="20974"/>
    <cellStyle name="Input 2 2 2 2 5 2 3 2 3" xfId="13957"/>
    <cellStyle name="Input 2 2 2 2 5 2 3 2 3 2" xfId="28279"/>
    <cellStyle name="Input 2 2 2 2 5 2 3 2 4" xfId="19602"/>
    <cellStyle name="Input 2 2 2 2 5 2 3 3" xfId="12737"/>
    <cellStyle name="Input 2 2 2 2 5 2 3 3 2" xfId="27059"/>
    <cellStyle name="Input 2 2 2 2 5 2 3 4" xfId="18382"/>
    <cellStyle name="Input 2 2 2 2 5 2 4" xfId="5119"/>
    <cellStyle name="Input 2 2 2 2 5 2 4 2" xfId="11667"/>
    <cellStyle name="Input 2 2 2 2 5 2 4 2 2" xfId="25989"/>
    <cellStyle name="Input 2 2 2 2 5 2 4 3" xfId="15335"/>
    <cellStyle name="Input 2 2 2 2 5 2 5" xfId="5581"/>
    <cellStyle name="Input 2 2 2 2 5 2 5 2" xfId="23353"/>
    <cellStyle name="Input 2 2 2 2 5 2 6" xfId="15325"/>
    <cellStyle name="Input 2 2 2 2 5 3" xfId="577"/>
    <cellStyle name="Input 2 2 2 2 5 3 2" xfId="5960"/>
    <cellStyle name="Input 2 2 2 2 5 3 2 2" xfId="12518"/>
    <cellStyle name="Input 2 2 2 2 5 3 2 2 2" xfId="26840"/>
    <cellStyle name="Input 2 2 2 2 5 3 2 3" xfId="18163"/>
    <cellStyle name="Input 2 2 2 2 5 3 3" xfId="7641"/>
    <cellStyle name="Input 2 2 2 2 5 3 3 2" xfId="10255"/>
    <cellStyle name="Input 2 2 2 2 5 3 3 2 2" xfId="16517"/>
    <cellStyle name="Input 2 2 2 2 5 3 3 2 2 2" xfId="29933"/>
    <cellStyle name="Input 2 2 2 2 5 3 3 2 3" xfId="21262"/>
    <cellStyle name="Input 2 2 2 2 5 3 3 3" xfId="14245"/>
    <cellStyle name="Input 2 2 2 2 5 3 3 3 2" xfId="28567"/>
    <cellStyle name="Input 2 2 2 2 5 3 3 4" xfId="19890"/>
    <cellStyle name="Input 2 2 2 2 5 3 4" xfId="6584"/>
    <cellStyle name="Input 2 2 2 2 5 3 4 2" xfId="23590"/>
    <cellStyle name="Input 2 2 2 2 5 3 5" xfId="2843"/>
    <cellStyle name="Input 2 2 2 2 5 4" xfId="578"/>
    <cellStyle name="Input 2 2 2 2 5 4 2" xfId="8041"/>
    <cellStyle name="Input 2 2 2 2 5 4 2 2" xfId="10655"/>
    <cellStyle name="Input 2 2 2 2 5 4 2 2 2" xfId="16917"/>
    <cellStyle name="Input 2 2 2 2 5 4 2 2 2 2" xfId="30333"/>
    <cellStyle name="Input 2 2 2 2 5 4 2 2 3" xfId="21662"/>
    <cellStyle name="Input 2 2 2 2 5 4 2 3" xfId="14645"/>
    <cellStyle name="Input 2 2 2 2 5 4 2 3 2" xfId="28967"/>
    <cellStyle name="Input 2 2 2 2 5 4 2 4" xfId="20290"/>
    <cellStyle name="Input 2 2 2 2 5 4 3" xfId="11606"/>
    <cellStyle name="Input 2 2 2 2 5 4 3 2" xfId="25928"/>
    <cellStyle name="Input 2 2 2 2 5 4 4" xfId="15575"/>
    <cellStyle name="Input 2 2 2 2 5 5" xfId="4819"/>
    <cellStyle name="Input 2 2 2 2 5 5 2" xfId="11351"/>
    <cellStyle name="Input 2 2 2 2 5 5 2 2" xfId="25673"/>
    <cellStyle name="Input 2 2 2 2 5 5 3" xfId="3186"/>
    <cellStyle name="Input 2 2 2 2 5 6" xfId="4173"/>
    <cellStyle name="Input 2 2 2 2 5 6 2" xfId="22796"/>
    <cellStyle name="Input 2 2 2 2 5 7" xfId="4263"/>
    <cellStyle name="Input 2 2 2 2 6" xfId="579"/>
    <cellStyle name="Input 2 2 2 2 6 2" xfId="580"/>
    <cellStyle name="Input 2 2 2 2 6 2 2" xfId="6377"/>
    <cellStyle name="Input 2 2 2 2 6 2 2 2" xfId="12960"/>
    <cellStyle name="Input 2 2 2 2 6 2 2 2 2" xfId="27282"/>
    <cellStyle name="Input 2 2 2 2 6 2 2 3" xfId="18605"/>
    <cellStyle name="Input 2 2 2 2 6 2 3" xfId="7431"/>
    <cellStyle name="Input 2 2 2 2 6 2 3 2" xfId="10045"/>
    <cellStyle name="Input 2 2 2 2 6 2 3 2 2" xfId="16307"/>
    <cellStyle name="Input 2 2 2 2 6 2 3 2 2 2" xfId="29723"/>
    <cellStyle name="Input 2 2 2 2 6 2 3 2 3" xfId="21052"/>
    <cellStyle name="Input 2 2 2 2 6 2 3 3" xfId="14035"/>
    <cellStyle name="Input 2 2 2 2 6 2 3 3 2" xfId="28357"/>
    <cellStyle name="Input 2 2 2 2 6 2 3 4" xfId="19680"/>
    <cellStyle name="Input 2 2 2 2 6 2 4" xfId="4567"/>
    <cellStyle name="Input 2 2 2 2 6 2 4 2" xfId="23035"/>
    <cellStyle name="Input 2 2 2 2 6 2 5" xfId="14809"/>
    <cellStyle name="Input 2 2 2 2 6 3" xfId="581"/>
    <cellStyle name="Input 2 2 2 2 6 3 2" xfId="4108"/>
    <cellStyle name="Input 2 2 2 2 6 3 2 2" xfId="9427"/>
    <cellStyle name="Input 2 2 2 2 6 3 2 2 2" xfId="15689"/>
    <cellStyle name="Input 2 2 2 2 6 3 2 2 2 2" xfId="29105"/>
    <cellStyle name="Input 2 2 2 2 6 3 2 2 3" xfId="20434"/>
    <cellStyle name="Input 2 2 2 2 6 3 2 3" xfId="6343"/>
    <cellStyle name="Input 2 2 2 2 6 3 2 3 2" xfId="23529"/>
    <cellStyle name="Input 2 2 2 2 6 3 2 4" xfId="3831"/>
    <cellStyle name="Input 2 2 2 2 6 3 3" xfId="13057"/>
    <cellStyle name="Input 2 2 2 2 6 3 3 2" xfId="27379"/>
    <cellStyle name="Input 2 2 2 2 6 3 4" xfId="18702"/>
    <cellStyle name="Input 2 2 2 2 6 4" xfId="5387"/>
    <cellStyle name="Input 2 2 2 2 6 4 2" xfId="11937"/>
    <cellStyle name="Input 2 2 2 2 6 4 2 2" xfId="26259"/>
    <cellStyle name="Input 2 2 2 2 6 4 3" xfId="17582"/>
    <cellStyle name="Input 2 2 2 2 6 5" xfId="4245"/>
    <cellStyle name="Input 2 2 2 2 6 5 2" xfId="22850"/>
    <cellStyle name="Input 2 2 2 2 6 6" xfId="6796"/>
    <cellStyle name="Input 2 2 2 2 7" xfId="582"/>
    <cellStyle name="Input 2 2 2 2 7 2" xfId="6929"/>
    <cellStyle name="Input 2 2 2 2 7 2 2" xfId="13533"/>
    <cellStyle name="Input 2 2 2 2 7 2 2 2" xfId="27855"/>
    <cellStyle name="Input 2 2 2 2 7 2 3" xfId="19178"/>
    <cellStyle name="Input 2 2 2 2 7 3" xfId="7189"/>
    <cellStyle name="Input 2 2 2 2 7 3 2" xfId="9803"/>
    <cellStyle name="Input 2 2 2 2 7 3 2 2" xfId="16065"/>
    <cellStyle name="Input 2 2 2 2 7 3 2 2 2" xfId="29481"/>
    <cellStyle name="Input 2 2 2 2 7 3 2 3" xfId="20810"/>
    <cellStyle name="Input 2 2 2 2 7 3 3" xfId="13793"/>
    <cellStyle name="Input 2 2 2 2 7 3 3 2" xfId="28115"/>
    <cellStyle name="Input 2 2 2 2 7 3 4" xfId="19438"/>
    <cellStyle name="Input 2 2 2 2 7 4" xfId="11422"/>
    <cellStyle name="Input 2 2 2 2 7 4 2" xfId="25744"/>
    <cellStyle name="Input 2 2 2 2 7 5" xfId="14894"/>
    <cellStyle name="Input 2 2 2 2 8" xfId="583"/>
    <cellStyle name="Input 2 2 2 2 8 2" xfId="7202"/>
    <cellStyle name="Input 2 2 2 2 8 2 2" xfId="9816"/>
    <cellStyle name="Input 2 2 2 2 8 2 2 2" xfId="16078"/>
    <cellStyle name="Input 2 2 2 2 8 2 2 2 2" xfId="29494"/>
    <cellStyle name="Input 2 2 2 2 8 2 2 3" xfId="20823"/>
    <cellStyle name="Input 2 2 2 2 8 2 3" xfId="13806"/>
    <cellStyle name="Input 2 2 2 2 8 2 3 2" xfId="28128"/>
    <cellStyle name="Input 2 2 2 2 8 2 4" xfId="19451"/>
    <cellStyle name="Input 2 2 2 2 8 3" xfId="12756"/>
    <cellStyle name="Input 2 2 2 2 8 3 2" xfId="27078"/>
    <cellStyle name="Input 2 2 2 2 8 4" xfId="18401"/>
    <cellStyle name="Input 2 2 2 2 9" xfId="5467"/>
    <cellStyle name="Input 2 2 2 2 9 2" xfId="12018"/>
    <cellStyle name="Input 2 2 2 2 9 2 2" xfId="26340"/>
    <cellStyle name="Input 2 2 2 2 9 3" xfId="17663"/>
    <cellStyle name="Input 2 2 2 3" xfId="584"/>
    <cellStyle name="Input 2 2 2 3 2" xfId="585"/>
    <cellStyle name="Input 2 2 2 3 2 2" xfId="586"/>
    <cellStyle name="Input 2 2 2 3 2 2 2" xfId="6408"/>
    <cellStyle name="Input 2 2 2 3 2 2 2 2" xfId="12991"/>
    <cellStyle name="Input 2 2 2 3 2 2 2 2 2" xfId="27313"/>
    <cellStyle name="Input 2 2 2 3 2 2 2 3" xfId="18636"/>
    <cellStyle name="Input 2 2 2 3 2 2 3" xfId="4504"/>
    <cellStyle name="Input 2 2 2 3 2 2 3 2" xfId="9472"/>
    <cellStyle name="Input 2 2 2 3 2 2 3 2 2" xfId="15734"/>
    <cellStyle name="Input 2 2 2 3 2 2 3 2 2 2" xfId="29150"/>
    <cellStyle name="Input 2 2 2 3 2 2 3 2 3" xfId="20479"/>
    <cellStyle name="Input 2 2 2 3 2 2 3 3" xfId="4135"/>
    <cellStyle name="Input 2 2 2 3 2 2 3 3 2" xfId="22774"/>
    <cellStyle name="Input 2 2 2 3 2 2 3 4" xfId="17319"/>
    <cellStyle name="Input 2 2 2 3 2 2 4" xfId="6451"/>
    <cellStyle name="Input 2 2 2 3 2 2 4 2" xfId="23550"/>
    <cellStyle name="Input 2 2 2 3 2 2 5" xfId="3615"/>
    <cellStyle name="Input 2 2 2 3 2 3" xfId="587"/>
    <cellStyle name="Input 2 2 2 3 2 3 2" xfId="7470"/>
    <cellStyle name="Input 2 2 2 3 2 3 2 2" xfId="10084"/>
    <cellStyle name="Input 2 2 2 3 2 3 2 2 2" xfId="16346"/>
    <cellStyle name="Input 2 2 2 3 2 3 2 2 2 2" xfId="29762"/>
    <cellStyle name="Input 2 2 2 3 2 3 2 2 3" xfId="21091"/>
    <cellStyle name="Input 2 2 2 3 2 3 2 3" xfId="14074"/>
    <cellStyle name="Input 2 2 2 3 2 3 2 3 2" xfId="28396"/>
    <cellStyle name="Input 2 2 2 3 2 3 2 4" xfId="19719"/>
    <cellStyle name="Input 2 2 2 3 2 3 3" xfId="13293"/>
    <cellStyle name="Input 2 2 2 3 2 3 3 2" xfId="27615"/>
    <cellStyle name="Input 2 2 2 3 2 3 4" xfId="18938"/>
    <cellStyle name="Input 2 2 2 3 2 4" xfId="5743"/>
    <cellStyle name="Input 2 2 2 3 2 4 2" xfId="12296"/>
    <cellStyle name="Input 2 2 2 3 2 4 2 2" xfId="26618"/>
    <cellStyle name="Input 2 2 2 3 2 4 3" xfId="17941"/>
    <cellStyle name="Input 2 2 2 3 2 5" xfId="4615"/>
    <cellStyle name="Input 2 2 2 3 2 5 2" xfId="23068"/>
    <cellStyle name="Input 2 2 2 3 2 6" xfId="14967"/>
    <cellStyle name="Input 2 2 2 3 3" xfId="588"/>
    <cellStyle name="Input 2 2 2 3 3 2" xfId="589"/>
    <cellStyle name="Input 2 2 2 3 3 2 2" xfId="5851"/>
    <cellStyle name="Input 2 2 2 3 3 2 2 2" xfId="12404"/>
    <cellStyle name="Input 2 2 2 3 3 2 2 2 2" xfId="26726"/>
    <cellStyle name="Input 2 2 2 3 3 2 2 3" xfId="18049"/>
    <cellStyle name="Input 2 2 2 3 3 2 3" xfId="4253"/>
    <cellStyle name="Input 2 2 2 3 3 2 3 2" xfId="9435"/>
    <cellStyle name="Input 2 2 2 3 3 2 3 2 2" xfId="15697"/>
    <cellStyle name="Input 2 2 2 3 3 2 3 2 2 2" xfId="29113"/>
    <cellStyle name="Input 2 2 2 3 3 2 3 2 3" xfId="20442"/>
    <cellStyle name="Input 2 2 2 3 3 2 3 3" xfId="3762"/>
    <cellStyle name="Input 2 2 2 3 3 2 3 3 2" xfId="22568"/>
    <cellStyle name="Input 2 2 2 3 3 2 3 4" xfId="14867"/>
    <cellStyle name="Input 2 2 2 3 3 2 4" xfId="6640"/>
    <cellStyle name="Input 2 2 2 3 3 2 4 2" xfId="23620"/>
    <cellStyle name="Input 2 2 2 3 3 2 5" xfId="15251"/>
    <cellStyle name="Input 2 2 2 3 3 3" xfId="590"/>
    <cellStyle name="Input 2 2 2 3 3 3 2" xfId="7876"/>
    <cellStyle name="Input 2 2 2 3 3 3 2 2" xfId="10490"/>
    <cellStyle name="Input 2 2 2 3 3 3 2 2 2" xfId="16752"/>
    <cellStyle name="Input 2 2 2 3 3 3 2 2 2 2" xfId="30168"/>
    <cellStyle name="Input 2 2 2 3 3 3 2 2 3" xfId="21497"/>
    <cellStyle name="Input 2 2 2 3 3 3 2 3" xfId="14480"/>
    <cellStyle name="Input 2 2 2 3 3 3 2 3 2" xfId="28802"/>
    <cellStyle name="Input 2 2 2 3 3 3 2 4" xfId="20125"/>
    <cellStyle name="Input 2 2 2 3 3 3 3" xfId="11731"/>
    <cellStyle name="Input 2 2 2 3 3 3 3 2" xfId="26053"/>
    <cellStyle name="Input 2 2 2 3 3 3 4" xfId="4610"/>
    <cellStyle name="Input 2 2 2 3 3 4" xfId="5192"/>
    <cellStyle name="Input 2 2 2 3 3 4 2" xfId="11741"/>
    <cellStyle name="Input 2 2 2 3 3 4 2 2" xfId="26063"/>
    <cellStyle name="Input 2 2 2 3 3 4 3" xfId="4308"/>
    <cellStyle name="Input 2 2 2 3 3 5" xfId="5141"/>
    <cellStyle name="Input 2 2 2 3 3 5 2" xfId="23329"/>
    <cellStyle name="Input 2 2 2 3 3 6" xfId="15334"/>
    <cellStyle name="Input 2 2 2 3 4" xfId="591"/>
    <cellStyle name="Input 2 2 2 3 4 2" xfId="6064"/>
    <cellStyle name="Input 2 2 2 3 4 2 2" xfId="12630"/>
    <cellStyle name="Input 2 2 2 3 4 2 2 2" xfId="26952"/>
    <cellStyle name="Input 2 2 2 3 4 2 3" xfId="18275"/>
    <cellStyle name="Input 2 2 2 3 4 3" xfId="7673"/>
    <cellStyle name="Input 2 2 2 3 4 3 2" xfId="10287"/>
    <cellStyle name="Input 2 2 2 3 4 3 2 2" xfId="16549"/>
    <cellStyle name="Input 2 2 2 3 4 3 2 2 2" xfId="29965"/>
    <cellStyle name="Input 2 2 2 3 4 3 2 3" xfId="21294"/>
    <cellStyle name="Input 2 2 2 3 4 3 3" xfId="14277"/>
    <cellStyle name="Input 2 2 2 3 4 3 3 2" xfId="28599"/>
    <cellStyle name="Input 2 2 2 3 4 3 4" xfId="19922"/>
    <cellStyle name="Input 2 2 2 3 4 4" xfId="4352"/>
    <cellStyle name="Input 2 2 2 3 4 4 2" xfId="22901"/>
    <cellStyle name="Input 2 2 2 3 4 5" xfId="15189"/>
    <cellStyle name="Input 2 2 2 3 5" xfId="592"/>
    <cellStyle name="Input 2 2 2 3 5 2" xfId="3667"/>
    <cellStyle name="Input 2 2 2 3 5 2 2" xfId="9358"/>
    <cellStyle name="Input 2 2 2 3 5 2 2 2" xfId="15620"/>
    <cellStyle name="Input 2 2 2 3 5 2 2 2 2" xfId="29036"/>
    <cellStyle name="Input 2 2 2 3 5 2 2 3" xfId="20365"/>
    <cellStyle name="Input 2 2 2 3 5 2 3" xfId="4362"/>
    <cellStyle name="Input 2 2 2 3 5 2 3 2" xfId="22906"/>
    <cellStyle name="Input 2 2 2 3 5 2 4" xfId="16973"/>
    <cellStyle name="Input 2 2 2 3 5 3" xfId="12869"/>
    <cellStyle name="Input 2 2 2 3 5 3 2" xfId="27191"/>
    <cellStyle name="Input 2 2 2 3 5 4" xfId="18514"/>
    <cellStyle name="Input 2 2 2 3 6" xfId="5487"/>
    <cellStyle name="Input 2 2 2 3 6 2" xfId="12038"/>
    <cellStyle name="Input 2 2 2 3 6 2 2" xfId="26360"/>
    <cellStyle name="Input 2 2 2 3 6 3" xfId="17683"/>
    <cellStyle name="Input 2 2 2 3 7" xfId="3709"/>
    <cellStyle name="Input 2 2 2 3 7 2" xfId="22538"/>
    <cellStyle name="Input 2 2 2 3 8" xfId="14881"/>
    <cellStyle name="Input 2 2 2 4" xfId="593"/>
    <cellStyle name="Input 2 2 2 4 2" xfId="594"/>
    <cellStyle name="Input 2 2 2 4 2 2" xfId="595"/>
    <cellStyle name="Input 2 2 2 4 2 2 2" xfId="6923"/>
    <cellStyle name="Input 2 2 2 4 2 2 2 2" xfId="13527"/>
    <cellStyle name="Input 2 2 2 4 2 2 2 2 2" xfId="27849"/>
    <cellStyle name="Input 2 2 2 4 2 2 2 3" xfId="19172"/>
    <cellStyle name="Input 2 2 2 4 2 2 3" xfId="7423"/>
    <cellStyle name="Input 2 2 2 4 2 2 3 2" xfId="10037"/>
    <cellStyle name="Input 2 2 2 4 2 2 3 2 2" xfId="16299"/>
    <cellStyle name="Input 2 2 2 4 2 2 3 2 2 2" xfId="29715"/>
    <cellStyle name="Input 2 2 2 4 2 2 3 2 3" xfId="21044"/>
    <cellStyle name="Input 2 2 2 4 2 2 3 3" xfId="14027"/>
    <cellStyle name="Input 2 2 2 4 2 2 3 3 2" xfId="28349"/>
    <cellStyle name="Input 2 2 2 4 2 2 3 4" xfId="19672"/>
    <cellStyle name="Input 2 2 2 4 2 2 4" xfId="11411"/>
    <cellStyle name="Input 2 2 2 4 2 2 4 2" xfId="25733"/>
    <cellStyle name="Input 2 2 2 4 2 2 5" xfId="3782"/>
    <cellStyle name="Input 2 2 2 4 2 3" xfId="596"/>
    <cellStyle name="Input 2 2 2 4 2 3 2" xfId="4259"/>
    <cellStyle name="Input 2 2 2 4 2 3 2 2" xfId="9438"/>
    <cellStyle name="Input 2 2 2 4 2 3 2 2 2" xfId="15700"/>
    <cellStyle name="Input 2 2 2 4 2 3 2 2 2 2" xfId="29116"/>
    <cellStyle name="Input 2 2 2 4 2 3 2 2 3" xfId="20445"/>
    <cellStyle name="Input 2 2 2 4 2 3 2 3" xfId="6645"/>
    <cellStyle name="Input 2 2 2 4 2 3 2 3 2" xfId="23624"/>
    <cellStyle name="Input 2 2 2 4 2 3 2 4" xfId="15218"/>
    <cellStyle name="Input 2 2 2 4 2 3 3" xfId="13329"/>
    <cellStyle name="Input 2 2 2 4 2 3 3 2" xfId="27651"/>
    <cellStyle name="Input 2 2 2 4 2 3 4" xfId="18974"/>
    <cellStyle name="Input 2 2 2 4 2 4" xfId="5779"/>
    <cellStyle name="Input 2 2 2 4 2 4 2" xfId="12332"/>
    <cellStyle name="Input 2 2 2 4 2 4 2 2" xfId="26654"/>
    <cellStyle name="Input 2 2 2 4 2 4 3" xfId="17977"/>
    <cellStyle name="Input 2 2 2 4 2 5" xfId="6751"/>
    <cellStyle name="Input 2 2 2 4 2 5 2" xfId="23699"/>
    <cellStyle name="Input 2 2 2 4 2 6" xfId="15135"/>
    <cellStyle name="Input 2 2 2 4 3" xfId="597"/>
    <cellStyle name="Input 2 2 2 4 3 2" xfId="598"/>
    <cellStyle name="Input 2 2 2 4 3 2 2" xfId="6065"/>
    <cellStyle name="Input 2 2 2 4 3 2 2 2" xfId="12631"/>
    <cellStyle name="Input 2 2 2 4 3 2 2 2 2" xfId="26953"/>
    <cellStyle name="Input 2 2 2 4 3 2 2 3" xfId="18276"/>
    <cellStyle name="Input 2 2 2 4 3 2 3" xfId="7677"/>
    <cellStyle name="Input 2 2 2 4 3 2 3 2" xfId="10291"/>
    <cellStyle name="Input 2 2 2 4 3 2 3 2 2" xfId="16553"/>
    <cellStyle name="Input 2 2 2 4 3 2 3 2 2 2" xfId="29969"/>
    <cellStyle name="Input 2 2 2 4 3 2 3 2 3" xfId="21298"/>
    <cellStyle name="Input 2 2 2 4 3 2 3 3" xfId="14281"/>
    <cellStyle name="Input 2 2 2 4 3 2 3 3 2" xfId="28603"/>
    <cellStyle name="Input 2 2 2 4 3 2 3 4" xfId="19926"/>
    <cellStyle name="Input 2 2 2 4 3 2 4" xfId="4656"/>
    <cellStyle name="Input 2 2 2 4 3 2 4 2" xfId="23097"/>
    <cellStyle name="Input 2 2 2 4 3 2 5" xfId="17049"/>
    <cellStyle name="Input 2 2 2 4 3 3" xfId="599"/>
    <cellStyle name="Input 2 2 2 4 3 3 2" xfId="7434"/>
    <cellStyle name="Input 2 2 2 4 3 3 2 2" xfId="10048"/>
    <cellStyle name="Input 2 2 2 4 3 3 2 2 2" xfId="16310"/>
    <cellStyle name="Input 2 2 2 4 3 3 2 2 2 2" xfId="29726"/>
    <cellStyle name="Input 2 2 2 4 3 3 2 2 3" xfId="21055"/>
    <cellStyle name="Input 2 2 2 4 3 3 2 3" xfId="14038"/>
    <cellStyle name="Input 2 2 2 4 3 3 2 3 2" xfId="28360"/>
    <cellStyle name="Input 2 2 2 4 3 3 2 4" xfId="19683"/>
    <cellStyle name="Input 2 2 2 4 3 3 3" xfId="13386"/>
    <cellStyle name="Input 2 2 2 4 3 3 3 2" xfId="27708"/>
    <cellStyle name="Input 2 2 2 4 3 3 4" xfId="19031"/>
    <cellStyle name="Input 2 2 2 4 3 4" xfId="5846"/>
    <cellStyle name="Input 2 2 2 4 3 4 2" xfId="12399"/>
    <cellStyle name="Input 2 2 2 4 3 4 2 2" xfId="26721"/>
    <cellStyle name="Input 2 2 2 4 3 4 3" xfId="18044"/>
    <cellStyle name="Input 2 2 2 4 3 5" xfId="6274"/>
    <cellStyle name="Input 2 2 2 4 3 5 2" xfId="23486"/>
    <cellStyle name="Input 2 2 2 4 3 6" xfId="3930"/>
    <cellStyle name="Input 2 2 2 4 4" xfId="600"/>
    <cellStyle name="Input 2 2 2 4 4 2" xfId="5979"/>
    <cellStyle name="Input 2 2 2 4 4 2 2" xfId="12537"/>
    <cellStyle name="Input 2 2 2 4 4 2 2 2" xfId="26859"/>
    <cellStyle name="Input 2 2 2 4 4 2 3" xfId="18182"/>
    <cellStyle name="Input 2 2 2 4 4 3" xfId="7331"/>
    <cellStyle name="Input 2 2 2 4 4 3 2" xfId="9945"/>
    <cellStyle name="Input 2 2 2 4 4 3 2 2" xfId="16207"/>
    <cellStyle name="Input 2 2 2 4 4 3 2 2 2" xfId="29623"/>
    <cellStyle name="Input 2 2 2 4 4 3 2 3" xfId="20952"/>
    <cellStyle name="Input 2 2 2 4 4 3 3" xfId="13935"/>
    <cellStyle name="Input 2 2 2 4 4 3 3 2" xfId="28257"/>
    <cellStyle name="Input 2 2 2 4 4 3 4" xfId="19580"/>
    <cellStyle name="Input 2 2 2 4 4 4" xfId="4011"/>
    <cellStyle name="Input 2 2 2 4 4 4 2" xfId="22700"/>
    <cellStyle name="Input 2 2 2 4 4 5" xfId="6605"/>
    <cellStyle name="Input 2 2 2 4 5" xfId="601"/>
    <cellStyle name="Input 2 2 2 4 5 2" xfId="4923"/>
    <cellStyle name="Input 2 2 2 4 5 2 2" xfId="9516"/>
    <cellStyle name="Input 2 2 2 4 5 2 2 2" xfId="15778"/>
    <cellStyle name="Input 2 2 2 4 5 2 2 2 2" xfId="29194"/>
    <cellStyle name="Input 2 2 2 4 5 2 2 3" xfId="20523"/>
    <cellStyle name="Input 2 2 2 4 5 2 3" xfId="11461"/>
    <cellStyle name="Input 2 2 2 4 5 2 3 2" xfId="25783"/>
    <cellStyle name="Input 2 2 2 4 5 2 4" xfId="14995"/>
    <cellStyle name="Input 2 2 2 4 5 3" xfId="12905"/>
    <cellStyle name="Input 2 2 2 4 5 3 2" xfId="27227"/>
    <cellStyle name="Input 2 2 2 4 5 4" xfId="18550"/>
    <cellStyle name="Input 2 2 2 4 6" xfId="5529"/>
    <cellStyle name="Input 2 2 2 4 6 2" xfId="12080"/>
    <cellStyle name="Input 2 2 2 4 6 2 2" xfId="26402"/>
    <cellStyle name="Input 2 2 2 4 6 3" xfId="17725"/>
    <cellStyle name="Input 2 2 2 4 7" xfId="3646"/>
    <cellStyle name="Input 2 2 2 4 7 2" xfId="22505"/>
    <cellStyle name="Input 2 2 2 4 8" xfId="15127"/>
    <cellStyle name="Input 2 2 2 5" xfId="602"/>
    <cellStyle name="Input 2 2 2 5 2" xfId="603"/>
    <cellStyle name="Input 2 2 2 5 2 2" xfId="604"/>
    <cellStyle name="Input 2 2 2 5 2 2 2" xfId="6022"/>
    <cellStyle name="Input 2 2 2 5 2 2 2 2" xfId="12583"/>
    <cellStyle name="Input 2 2 2 5 2 2 2 2 2" xfId="26905"/>
    <cellStyle name="Input 2 2 2 5 2 2 2 3" xfId="18228"/>
    <cellStyle name="Input 2 2 2 5 2 2 3" xfId="7685"/>
    <cellStyle name="Input 2 2 2 5 2 2 3 2" xfId="10299"/>
    <cellStyle name="Input 2 2 2 5 2 2 3 2 2" xfId="16561"/>
    <cellStyle name="Input 2 2 2 5 2 2 3 2 2 2" xfId="29977"/>
    <cellStyle name="Input 2 2 2 5 2 2 3 2 3" xfId="21306"/>
    <cellStyle name="Input 2 2 2 5 2 2 3 3" xfId="14289"/>
    <cellStyle name="Input 2 2 2 5 2 2 3 3 2" xfId="28611"/>
    <cellStyle name="Input 2 2 2 5 2 2 3 4" xfId="19934"/>
    <cellStyle name="Input 2 2 2 5 2 2 4" xfId="6811"/>
    <cellStyle name="Input 2 2 2 5 2 2 4 2" xfId="23749"/>
    <cellStyle name="Input 2 2 2 5 2 2 5" xfId="15539"/>
    <cellStyle name="Input 2 2 2 5 2 3" xfId="605"/>
    <cellStyle name="Input 2 2 2 5 2 3 2" xfId="7535"/>
    <cellStyle name="Input 2 2 2 5 2 3 2 2" xfId="10149"/>
    <cellStyle name="Input 2 2 2 5 2 3 2 2 2" xfId="16411"/>
    <cellStyle name="Input 2 2 2 5 2 3 2 2 2 2" xfId="29827"/>
    <cellStyle name="Input 2 2 2 5 2 3 2 2 3" xfId="21156"/>
    <cellStyle name="Input 2 2 2 5 2 3 2 3" xfId="14139"/>
    <cellStyle name="Input 2 2 2 5 2 3 2 3 2" xfId="28461"/>
    <cellStyle name="Input 2 2 2 5 2 3 2 4" xfId="19784"/>
    <cellStyle name="Input 2 2 2 5 2 3 3" xfId="13259"/>
    <cellStyle name="Input 2 2 2 5 2 3 3 2" xfId="27581"/>
    <cellStyle name="Input 2 2 2 5 2 3 4" xfId="18904"/>
    <cellStyle name="Input 2 2 2 5 2 4" xfId="5704"/>
    <cellStyle name="Input 2 2 2 5 2 4 2" xfId="12257"/>
    <cellStyle name="Input 2 2 2 5 2 4 2 2" xfId="26579"/>
    <cellStyle name="Input 2 2 2 5 2 4 3" xfId="17902"/>
    <cellStyle name="Input 2 2 2 5 2 5" xfId="4648"/>
    <cellStyle name="Input 2 2 2 5 2 5 2" xfId="23091"/>
    <cellStyle name="Input 2 2 2 5 2 6" xfId="4336"/>
    <cellStyle name="Input 2 2 2 5 3" xfId="606"/>
    <cellStyle name="Input 2 2 2 5 3 2" xfId="607"/>
    <cellStyle name="Input 2 2 2 5 3 2 2" xfId="5350"/>
    <cellStyle name="Input 2 2 2 5 3 2 2 2" xfId="11900"/>
    <cellStyle name="Input 2 2 2 5 3 2 2 2 2" xfId="26222"/>
    <cellStyle name="Input 2 2 2 5 3 2 2 3" xfId="17545"/>
    <cellStyle name="Input 2 2 2 5 3 2 3" xfId="7631"/>
    <cellStyle name="Input 2 2 2 5 3 2 3 2" xfId="10245"/>
    <cellStyle name="Input 2 2 2 5 3 2 3 2 2" xfId="16507"/>
    <cellStyle name="Input 2 2 2 5 3 2 3 2 2 2" xfId="29923"/>
    <cellStyle name="Input 2 2 2 5 3 2 3 2 3" xfId="21252"/>
    <cellStyle name="Input 2 2 2 5 3 2 3 3" xfId="14235"/>
    <cellStyle name="Input 2 2 2 5 3 2 3 3 2" xfId="28557"/>
    <cellStyle name="Input 2 2 2 5 3 2 3 4" xfId="19880"/>
    <cellStyle name="Input 2 2 2 5 3 2 4" xfId="4471"/>
    <cellStyle name="Input 2 2 2 5 3 2 4 2" xfId="22970"/>
    <cellStyle name="Input 2 2 2 5 3 2 5" xfId="4355"/>
    <cellStyle name="Input 2 2 2 5 3 3" xfId="608"/>
    <cellStyle name="Input 2 2 2 5 3 3 2" xfId="7283"/>
    <cellStyle name="Input 2 2 2 5 3 3 2 2" xfId="9897"/>
    <cellStyle name="Input 2 2 2 5 3 3 2 2 2" xfId="16159"/>
    <cellStyle name="Input 2 2 2 5 3 3 2 2 2 2" xfId="29575"/>
    <cellStyle name="Input 2 2 2 5 3 3 2 2 3" xfId="20904"/>
    <cellStyle name="Input 2 2 2 5 3 3 2 3" xfId="13887"/>
    <cellStyle name="Input 2 2 2 5 3 3 2 3 2" xfId="28209"/>
    <cellStyle name="Input 2 2 2 5 3 3 2 4" xfId="19532"/>
    <cellStyle name="Input 2 2 2 5 3 3 3" xfId="13156"/>
    <cellStyle name="Input 2 2 2 5 3 3 3 2" xfId="27478"/>
    <cellStyle name="Input 2 2 2 5 3 3 4" xfId="18801"/>
    <cellStyle name="Input 2 2 2 5 3 4" xfId="5562"/>
    <cellStyle name="Input 2 2 2 5 3 4 2" xfId="12113"/>
    <cellStyle name="Input 2 2 2 5 3 4 2 2" xfId="26435"/>
    <cellStyle name="Input 2 2 2 5 3 4 3" xfId="17758"/>
    <cellStyle name="Input 2 2 2 5 3 5" xfId="3291"/>
    <cellStyle name="Input 2 2 2 5 3 5 2" xfId="22464"/>
    <cellStyle name="Input 2 2 2 5 3 6" xfId="15400"/>
    <cellStyle name="Input 2 2 2 5 4" xfId="609"/>
    <cellStyle name="Input 2 2 2 5 4 2" xfId="6394"/>
    <cellStyle name="Input 2 2 2 5 4 2 2" xfId="12977"/>
    <cellStyle name="Input 2 2 2 5 4 2 2 2" xfId="27299"/>
    <cellStyle name="Input 2 2 2 5 4 2 3" xfId="18622"/>
    <cellStyle name="Input 2 2 2 5 4 3" xfId="7504"/>
    <cellStyle name="Input 2 2 2 5 4 3 2" xfId="10118"/>
    <cellStyle name="Input 2 2 2 5 4 3 2 2" xfId="16380"/>
    <cellStyle name="Input 2 2 2 5 4 3 2 2 2" xfId="29796"/>
    <cellStyle name="Input 2 2 2 5 4 3 2 3" xfId="21125"/>
    <cellStyle name="Input 2 2 2 5 4 3 3" xfId="14108"/>
    <cellStyle name="Input 2 2 2 5 4 3 3 2" xfId="28430"/>
    <cellStyle name="Input 2 2 2 5 4 3 4" xfId="19753"/>
    <cellStyle name="Input 2 2 2 5 4 4" xfId="3607"/>
    <cellStyle name="Input 2 2 2 5 4 4 2" xfId="22486"/>
    <cellStyle name="Input 2 2 2 5 4 5" xfId="3262"/>
    <cellStyle name="Input 2 2 2 5 5" xfId="610"/>
    <cellStyle name="Input 2 2 2 5 5 2" xfId="3962"/>
    <cellStyle name="Input 2 2 2 5 5 2 2" xfId="9404"/>
    <cellStyle name="Input 2 2 2 5 5 2 2 2" xfId="15666"/>
    <cellStyle name="Input 2 2 2 5 5 2 2 2 2" xfId="29082"/>
    <cellStyle name="Input 2 2 2 5 5 2 2 3" xfId="20411"/>
    <cellStyle name="Input 2 2 2 5 5 2 3" xfId="6352"/>
    <cellStyle name="Input 2 2 2 5 5 2 3 2" xfId="23537"/>
    <cellStyle name="Input 2 2 2 5 5 2 4" xfId="4912"/>
    <cellStyle name="Input 2 2 2 5 5 3" xfId="12767"/>
    <cellStyle name="Input 2 2 2 5 5 3 2" xfId="27089"/>
    <cellStyle name="Input 2 2 2 5 5 4" xfId="18412"/>
    <cellStyle name="Input 2 2 2 5 6" xfId="4326"/>
    <cellStyle name="Input 2 2 2 5 6 2" xfId="4491"/>
    <cellStyle name="Input 2 2 2 5 6 2 2" xfId="22984"/>
    <cellStyle name="Input 2 2 2 5 6 3" xfId="4910"/>
    <cellStyle name="Input 2 2 2 5 7" xfId="4992"/>
    <cellStyle name="Input 2 2 2 5 7 2" xfId="23298"/>
    <cellStyle name="Input 2 2 2 5 8" xfId="17284"/>
    <cellStyle name="Input 2 2 2 6" xfId="611"/>
    <cellStyle name="Input 2 2 2 6 2" xfId="612"/>
    <cellStyle name="Input 2 2 2 6 2 2" xfId="613"/>
    <cellStyle name="Input 2 2 2 6 2 2 2" xfId="6004"/>
    <cellStyle name="Input 2 2 2 6 2 2 2 2" xfId="12563"/>
    <cellStyle name="Input 2 2 2 6 2 2 2 2 2" xfId="26885"/>
    <cellStyle name="Input 2 2 2 6 2 2 2 3" xfId="18208"/>
    <cellStyle name="Input 2 2 2 6 2 2 3" xfId="7617"/>
    <cellStyle name="Input 2 2 2 6 2 2 3 2" xfId="10231"/>
    <cellStyle name="Input 2 2 2 6 2 2 3 2 2" xfId="16493"/>
    <cellStyle name="Input 2 2 2 6 2 2 3 2 2 2" xfId="29909"/>
    <cellStyle name="Input 2 2 2 6 2 2 3 2 3" xfId="21238"/>
    <cellStyle name="Input 2 2 2 6 2 2 3 3" xfId="14221"/>
    <cellStyle name="Input 2 2 2 6 2 2 3 3 2" xfId="28543"/>
    <cellStyle name="Input 2 2 2 6 2 2 3 4" xfId="19866"/>
    <cellStyle name="Input 2 2 2 6 2 2 4" xfId="3180"/>
    <cellStyle name="Input 2 2 2 6 2 2 4 2" xfId="22426"/>
    <cellStyle name="Input 2 2 2 6 2 2 5" xfId="17244"/>
    <cellStyle name="Input 2 2 2 6 2 3" xfId="614"/>
    <cellStyle name="Input 2 2 2 6 2 3 2" xfId="7890"/>
    <cellStyle name="Input 2 2 2 6 2 3 2 2" xfId="10504"/>
    <cellStyle name="Input 2 2 2 6 2 3 2 2 2" xfId="16766"/>
    <cellStyle name="Input 2 2 2 6 2 3 2 2 2 2" xfId="30182"/>
    <cellStyle name="Input 2 2 2 6 2 3 2 2 3" xfId="21511"/>
    <cellStyle name="Input 2 2 2 6 2 3 2 3" xfId="14494"/>
    <cellStyle name="Input 2 2 2 6 2 3 2 3 2" xfId="28816"/>
    <cellStyle name="Input 2 2 2 6 2 3 2 4" xfId="20139"/>
    <cellStyle name="Input 2 2 2 6 2 3 3" xfId="13059"/>
    <cellStyle name="Input 2 2 2 6 2 3 3 2" xfId="27381"/>
    <cellStyle name="Input 2 2 2 6 2 3 4" xfId="18704"/>
    <cellStyle name="Input 2 2 2 6 2 4" xfId="5392"/>
    <cellStyle name="Input 2 2 2 6 2 4 2" xfId="11942"/>
    <cellStyle name="Input 2 2 2 6 2 4 2 2" xfId="26264"/>
    <cellStyle name="Input 2 2 2 6 2 4 3" xfId="17587"/>
    <cellStyle name="Input 2 2 2 6 2 5" xfId="3292"/>
    <cellStyle name="Input 2 2 2 6 2 5 2" xfId="22465"/>
    <cellStyle name="Input 2 2 2 6 2 6" xfId="15245"/>
    <cellStyle name="Input 2 2 2 6 3" xfId="615"/>
    <cellStyle name="Input 2 2 2 6 3 2" xfId="6964"/>
    <cellStyle name="Input 2 2 2 6 3 2 2" xfId="13568"/>
    <cellStyle name="Input 2 2 2 6 3 2 2 2" xfId="27890"/>
    <cellStyle name="Input 2 2 2 6 3 2 3" xfId="19213"/>
    <cellStyle name="Input 2 2 2 6 3 3" xfId="7411"/>
    <cellStyle name="Input 2 2 2 6 3 3 2" xfId="10025"/>
    <cellStyle name="Input 2 2 2 6 3 3 2 2" xfId="16287"/>
    <cellStyle name="Input 2 2 2 6 3 3 2 2 2" xfId="29703"/>
    <cellStyle name="Input 2 2 2 6 3 3 2 3" xfId="21032"/>
    <cellStyle name="Input 2 2 2 6 3 3 3" xfId="14015"/>
    <cellStyle name="Input 2 2 2 6 3 3 3 2" xfId="28337"/>
    <cellStyle name="Input 2 2 2 6 3 3 4" xfId="19660"/>
    <cellStyle name="Input 2 2 2 6 3 4" xfId="11468"/>
    <cellStyle name="Input 2 2 2 6 3 4 2" xfId="25790"/>
    <cellStyle name="Input 2 2 2 6 3 5" xfId="15113"/>
    <cellStyle name="Input 2 2 2 6 4" xfId="616"/>
    <cellStyle name="Input 2 2 2 6 4 2" xfId="3194"/>
    <cellStyle name="Input 2 2 2 6 4 2 2" xfId="9006"/>
    <cellStyle name="Input 2 2 2 6 4 2 2 2" xfId="15354"/>
    <cellStyle name="Input 2 2 2 6 4 2 2 2 2" xfId="29004"/>
    <cellStyle name="Input 2 2 2 6 4 2 2 3" xfId="20331"/>
    <cellStyle name="Input 2 2 2 6 4 2 3" xfId="4712"/>
    <cellStyle name="Input 2 2 2 6 4 2 3 2" xfId="23144"/>
    <cellStyle name="Input 2 2 2 6 4 2 4" xfId="14742"/>
    <cellStyle name="Input 2 2 2 6 4 3" xfId="12134"/>
    <cellStyle name="Input 2 2 2 6 4 3 2" xfId="26456"/>
    <cellStyle name="Input 2 2 2 6 4 4" xfId="17779"/>
    <cellStyle name="Input 2 2 2 6 5" xfId="5073"/>
    <cellStyle name="Input 2 2 2 6 5 2" xfId="11620"/>
    <cellStyle name="Input 2 2 2 6 5 2 2" xfId="25942"/>
    <cellStyle name="Input 2 2 2 6 5 3" xfId="17234"/>
    <cellStyle name="Input 2 2 2 6 6" xfId="4264"/>
    <cellStyle name="Input 2 2 2 6 6 2" xfId="22858"/>
    <cellStyle name="Input 2 2 2 6 7" xfId="17191"/>
    <cellStyle name="Input 2 2 2 7" xfId="617"/>
    <cellStyle name="Input 2 2 2 7 2" xfId="618"/>
    <cellStyle name="Input 2 2 2 7 2 2" xfId="6435"/>
    <cellStyle name="Input 2 2 2 7 2 2 2" xfId="13018"/>
    <cellStyle name="Input 2 2 2 7 2 2 2 2" xfId="27340"/>
    <cellStyle name="Input 2 2 2 7 2 2 3" xfId="18663"/>
    <cellStyle name="Input 2 2 2 7 2 3" xfId="7094"/>
    <cellStyle name="Input 2 2 2 7 2 3 2" xfId="9708"/>
    <cellStyle name="Input 2 2 2 7 2 3 2 2" xfId="15970"/>
    <cellStyle name="Input 2 2 2 7 2 3 2 2 2" xfId="29386"/>
    <cellStyle name="Input 2 2 2 7 2 3 2 3" xfId="20715"/>
    <cellStyle name="Input 2 2 2 7 2 3 3" xfId="13698"/>
    <cellStyle name="Input 2 2 2 7 2 3 3 2" xfId="28020"/>
    <cellStyle name="Input 2 2 2 7 2 3 4" xfId="19343"/>
    <cellStyle name="Input 2 2 2 7 2 4" xfId="6807"/>
    <cellStyle name="Input 2 2 2 7 2 4 2" xfId="23746"/>
    <cellStyle name="Input 2 2 2 7 2 5" xfId="15265"/>
    <cellStyle name="Input 2 2 2 7 3" xfId="619"/>
    <cellStyle name="Input 2 2 2 7 3 2" xfId="5262"/>
    <cellStyle name="Input 2 2 2 7 3 2 2" xfId="9571"/>
    <cellStyle name="Input 2 2 2 7 3 2 2 2" xfId="15833"/>
    <cellStyle name="Input 2 2 2 7 3 2 2 2 2" xfId="29249"/>
    <cellStyle name="Input 2 2 2 7 3 2 2 3" xfId="20578"/>
    <cellStyle name="Input 2 2 2 7 3 2 3" xfId="11812"/>
    <cellStyle name="Input 2 2 2 7 3 2 3 2" xfId="26134"/>
    <cellStyle name="Input 2 2 2 7 3 2 4" xfId="17457"/>
    <cellStyle name="Input 2 2 2 7 3 3" xfId="13060"/>
    <cellStyle name="Input 2 2 2 7 3 3 2" xfId="27382"/>
    <cellStyle name="Input 2 2 2 7 3 4" xfId="18705"/>
    <cellStyle name="Input 2 2 2 7 4" xfId="5393"/>
    <cellStyle name="Input 2 2 2 7 4 2" xfId="11943"/>
    <cellStyle name="Input 2 2 2 7 4 2 2" xfId="26265"/>
    <cellStyle name="Input 2 2 2 7 4 3" xfId="17588"/>
    <cellStyle name="Input 2 2 2 7 5" xfId="6334"/>
    <cellStyle name="Input 2 2 2 7 5 2" xfId="23522"/>
    <cellStyle name="Input 2 2 2 7 6" xfId="17105"/>
    <cellStyle name="Input 2 2 2 8" xfId="620"/>
    <cellStyle name="Input 2 2 2 8 2" xfId="6105"/>
    <cellStyle name="Input 2 2 2 8 2 2" xfId="12673"/>
    <cellStyle name="Input 2 2 2 8 2 2 2" xfId="26995"/>
    <cellStyle name="Input 2 2 2 8 2 3" xfId="18318"/>
    <cellStyle name="Input 2 2 2 8 3" xfId="7754"/>
    <cellStyle name="Input 2 2 2 8 3 2" xfId="10368"/>
    <cellStyle name="Input 2 2 2 8 3 2 2" xfId="16630"/>
    <cellStyle name="Input 2 2 2 8 3 2 2 2" xfId="30046"/>
    <cellStyle name="Input 2 2 2 8 3 2 3" xfId="21375"/>
    <cellStyle name="Input 2 2 2 8 3 3" xfId="14358"/>
    <cellStyle name="Input 2 2 2 8 3 3 2" xfId="28680"/>
    <cellStyle name="Input 2 2 2 8 3 4" xfId="20003"/>
    <cellStyle name="Input 2 2 2 8 4" xfId="4813"/>
    <cellStyle name="Input 2 2 2 8 4 2" xfId="23200"/>
    <cellStyle name="Input 2 2 2 8 5" xfId="4550"/>
    <cellStyle name="Input 2 2 2 9" xfId="621"/>
    <cellStyle name="Input 2 2 2 9 2" xfId="7857"/>
    <cellStyle name="Input 2 2 2 9 2 2" xfId="10471"/>
    <cellStyle name="Input 2 2 2 9 2 2 2" xfId="16733"/>
    <cellStyle name="Input 2 2 2 9 2 2 2 2" xfId="30149"/>
    <cellStyle name="Input 2 2 2 9 2 2 3" xfId="21478"/>
    <cellStyle name="Input 2 2 2 9 2 3" xfId="14461"/>
    <cellStyle name="Input 2 2 2 9 2 3 2" xfId="28783"/>
    <cellStyle name="Input 2 2 2 9 2 4" xfId="20106"/>
    <cellStyle name="Input 2 2 2 9 3" xfId="12507"/>
    <cellStyle name="Input 2 2 2 9 3 2" xfId="26829"/>
    <cellStyle name="Input 2 2 2 9 4" xfId="18152"/>
    <cellStyle name="Input 2 2 3" xfId="622"/>
    <cellStyle name="Input 2 2 3 10" xfId="4072"/>
    <cellStyle name="Input 2 2 3 10 2" xfId="22744"/>
    <cellStyle name="Input 2 2 3 11" xfId="16999"/>
    <cellStyle name="Input 2 2 3 2" xfId="623"/>
    <cellStyle name="Input 2 2 3 2 2" xfId="624"/>
    <cellStyle name="Input 2 2 3 2 2 2" xfId="625"/>
    <cellStyle name="Input 2 2 3 2 2 2 2" xfId="6942"/>
    <cellStyle name="Input 2 2 3 2 2 2 2 2" xfId="13546"/>
    <cellStyle name="Input 2 2 3 2 2 2 2 2 2" xfId="27868"/>
    <cellStyle name="Input 2 2 3 2 2 2 2 3" xfId="19191"/>
    <cellStyle name="Input 2 2 3 2 2 2 3" xfId="3246"/>
    <cellStyle name="Input 2 2 3 2 2 2 3 2" xfId="9048"/>
    <cellStyle name="Input 2 2 3 2 2 2 3 2 2" xfId="15387"/>
    <cellStyle name="Input 2 2 3 2 2 2 3 2 2 2" xfId="29006"/>
    <cellStyle name="Input 2 2 3 2 2 2 3 2 3" xfId="20333"/>
    <cellStyle name="Input 2 2 3 2 2 2 3 3" xfId="4034"/>
    <cellStyle name="Input 2 2 3 2 2 2 3 3 2" xfId="22712"/>
    <cellStyle name="Input 2 2 3 2 2 2 3 4" xfId="17353"/>
    <cellStyle name="Input 2 2 3 2 2 2 4" xfId="11435"/>
    <cellStyle name="Input 2 2 3 2 2 2 4 2" xfId="25757"/>
    <cellStyle name="Input 2 2 3 2 2 2 5" xfId="6680"/>
    <cellStyle name="Input 2 2 3 2 2 3" xfId="626"/>
    <cellStyle name="Input 2 2 3 2 2 3 2" xfId="7686"/>
    <cellStyle name="Input 2 2 3 2 2 3 2 2" xfId="10300"/>
    <cellStyle name="Input 2 2 3 2 2 3 2 2 2" xfId="16562"/>
    <cellStyle name="Input 2 2 3 2 2 3 2 2 2 2" xfId="29978"/>
    <cellStyle name="Input 2 2 3 2 2 3 2 2 3" xfId="21307"/>
    <cellStyle name="Input 2 2 3 2 2 3 2 3" xfId="14290"/>
    <cellStyle name="Input 2 2 3 2 2 3 2 3 2" xfId="28612"/>
    <cellStyle name="Input 2 2 3 2 2 3 2 4" xfId="19935"/>
    <cellStyle name="Input 2 2 3 2 2 3 3" xfId="13312"/>
    <cellStyle name="Input 2 2 3 2 2 3 3 2" xfId="27634"/>
    <cellStyle name="Input 2 2 3 2 2 3 4" xfId="18957"/>
    <cellStyle name="Input 2 2 3 2 2 4" xfId="5762"/>
    <cellStyle name="Input 2 2 3 2 2 4 2" xfId="12315"/>
    <cellStyle name="Input 2 2 3 2 2 4 2 2" xfId="26637"/>
    <cellStyle name="Input 2 2 3 2 2 4 3" xfId="17960"/>
    <cellStyle name="Input 2 2 3 2 2 5" xfId="3990"/>
    <cellStyle name="Input 2 2 3 2 2 5 2" xfId="22689"/>
    <cellStyle name="Input 2 2 3 2 2 6" xfId="17069"/>
    <cellStyle name="Input 2 2 3 2 3" xfId="627"/>
    <cellStyle name="Input 2 2 3 2 3 2" xfId="628"/>
    <cellStyle name="Input 2 2 3 2 3 2 2" xfId="5995"/>
    <cellStyle name="Input 2 2 3 2 3 2 2 2" xfId="12553"/>
    <cellStyle name="Input 2 2 3 2 3 2 2 2 2" xfId="26875"/>
    <cellStyle name="Input 2 2 3 2 3 2 2 3" xfId="18198"/>
    <cellStyle name="Input 2 2 3 2 3 2 3" xfId="7726"/>
    <cellStyle name="Input 2 2 3 2 3 2 3 2" xfId="10340"/>
    <cellStyle name="Input 2 2 3 2 3 2 3 2 2" xfId="16602"/>
    <cellStyle name="Input 2 2 3 2 3 2 3 2 2 2" xfId="30018"/>
    <cellStyle name="Input 2 2 3 2 3 2 3 2 3" xfId="21347"/>
    <cellStyle name="Input 2 2 3 2 3 2 3 3" xfId="14330"/>
    <cellStyle name="Input 2 2 3 2 3 2 3 3 2" xfId="28652"/>
    <cellStyle name="Input 2 2 3 2 3 2 3 4" xfId="19975"/>
    <cellStyle name="Input 2 2 3 2 3 2 4" xfId="4317"/>
    <cellStyle name="Input 2 2 3 2 3 2 4 2" xfId="22886"/>
    <cellStyle name="Input 2 2 3 2 3 2 5" xfId="17338"/>
    <cellStyle name="Input 2 2 3 2 3 3" xfId="629"/>
    <cellStyle name="Input 2 2 3 2 3 3 2" xfId="8028"/>
    <cellStyle name="Input 2 2 3 2 3 3 2 2" xfId="10642"/>
    <cellStyle name="Input 2 2 3 2 3 3 2 2 2" xfId="16904"/>
    <cellStyle name="Input 2 2 3 2 3 3 2 2 2 2" xfId="30320"/>
    <cellStyle name="Input 2 2 3 2 3 3 2 2 3" xfId="21649"/>
    <cellStyle name="Input 2 2 3 2 3 3 2 3" xfId="14632"/>
    <cellStyle name="Input 2 2 3 2 3 3 2 3 2" xfId="28954"/>
    <cellStyle name="Input 2 2 3 2 3 3 2 4" xfId="20277"/>
    <cellStyle name="Input 2 2 3 2 3 3 3" xfId="13253"/>
    <cellStyle name="Input 2 2 3 2 3 3 3 2" xfId="27575"/>
    <cellStyle name="Input 2 2 3 2 3 3 4" xfId="18898"/>
    <cellStyle name="Input 2 2 3 2 3 4" xfId="5696"/>
    <cellStyle name="Input 2 2 3 2 3 4 2" xfId="12249"/>
    <cellStyle name="Input 2 2 3 2 3 4 2 2" xfId="26571"/>
    <cellStyle name="Input 2 2 3 2 3 4 3" xfId="17894"/>
    <cellStyle name="Input 2 2 3 2 3 5" xfId="4163"/>
    <cellStyle name="Input 2 2 3 2 3 5 2" xfId="22791"/>
    <cellStyle name="Input 2 2 3 2 3 6" xfId="17129"/>
    <cellStyle name="Input 2 2 3 2 4" xfId="630"/>
    <cellStyle name="Input 2 2 3 2 4 2" xfId="5949"/>
    <cellStyle name="Input 2 2 3 2 4 2 2" xfId="12506"/>
    <cellStyle name="Input 2 2 3 2 4 2 2 2" xfId="26828"/>
    <cellStyle name="Input 2 2 3 2 4 2 3" xfId="18151"/>
    <cellStyle name="Input 2 2 3 2 4 3" xfId="5004"/>
    <cellStyle name="Input 2 2 3 2 4 3 2" xfId="9538"/>
    <cellStyle name="Input 2 2 3 2 4 3 2 2" xfId="15800"/>
    <cellStyle name="Input 2 2 3 2 4 3 2 2 2" xfId="29216"/>
    <cellStyle name="Input 2 2 3 2 4 3 2 3" xfId="20545"/>
    <cellStyle name="Input 2 2 3 2 4 3 3" xfId="11547"/>
    <cellStyle name="Input 2 2 3 2 4 3 3 2" xfId="25869"/>
    <cellStyle name="Input 2 2 3 2 4 3 4" xfId="15460"/>
    <cellStyle name="Input 2 2 3 2 4 4" xfId="4997"/>
    <cellStyle name="Input 2 2 3 2 4 4 2" xfId="23301"/>
    <cellStyle name="Input 2 2 3 2 4 5" xfId="15505"/>
    <cellStyle name="Input 2 2 3 2 5" xfId="631"/>
    <cellStyle name="Input 2 2 3 2 5 2" xfId="7490"/>
    <cellStyle name="Input 2 2 3 2 5 2 2" xfId="10104"/>
    <cellStyle name="Input 2 2 3 2 5 2 2 2" xfId="16366"/>
    <cellStyle name="Input 2 2 3 2 5 2 2 2 2" xfId="29782"/>
    <cellStyle name="Input 2 2 3 2 5 2 2 3" xfId="21111"/>
    <cellStyle name="Input 2 2 3 2 5 2 3" xfId="14094"/>
    <cellStyle name="Input 2 2 3 2 5 2 3 2" xfId="28416"/>
    <cellStyle name="Input 2 2 3 2 5 2 4" xfId="19739"/>
    <cellStyle name="Input 2 2 3 2 5 3" xfId="12888"/>
    <cellStyle name="Input 2 2 3 2 5 3 2" xfId="27210"/>
    <cellStyle name="Input 2 2 3 2 5 4" xfId="18533"/>
    <cellStyle name="Input 2 2 3 2 6" xfId="5506"/>
    <cellStyle name="Input 2 2 3 2 6 2" xfId="12057"/>
    <cellStyle name="Input 2 2 3 2 6 2 2" xfId="26379"/>
    <cellStyle name="Input 2 2 3 2 6 3" xfId="17702"/>
    <cellStyle name="Input 2 2 3 2 7" xfId="6492"/>
    <cellStyle name="Input 2 2 3 2 7 2" xfId="23568"/>
    <cellStyle name="Input 2 2 3 2 8" xfId="15003"/>
    <cellStyle name="Input 2 2 3 3" xfId="632"/>
    <cellStyle name="Input 2 2 3 3 2" xfId="633"/>
    <cellStyle name="Input 2 2 3 3 2 2" xfId="634"/>
    <cellStyle name="Input 2 2 3 3 2 2 2" xfId="6866"/>
    <cellStyle name="Input 2 2 3 3 2 2 2 2" xfId="13470"/>
    <cellStyle name="Input 2 2 3 3 2 2 2 2 2" xfId="27792"/>
    <cellStyle name="Input 2 2 3 3 2 2 2 3" xfId="19115"/>
    <cellStyle name="Input 2 2 3 3 2 2 3" xfId="7061"/>
    <cellStyle name="Input 2 2 3 3 2 2 3 2" xfId="9675"/>
    <cellStyle name="Input 2 2 3 3 2 2 3 2 2" xfId="15937"/>
    <cellStyle name="Input 2 2 3 3 2 2 3 2 2 2" xfId="29353"/>
    <cellStyle name="Input 2 2 3 3 2 2 3 2 3" xfId="20682"/>
    <cellStyle name="Input 2 2 3 3 2 2 3 3" xfId="13665"/>
    <cellStyle name="Input 2 2 3 3 2 2 3 3 2" xfId="27987"/>
    <cellStyle name="Input 2 2 3 3 2 2 3 4" xfId="19310"/>
    <cellStyle name="Input 2 2 3 3 2 2 4" xfId="11327"/>
    <cellStyle name="Input 2 2 3 3 2 2 4 2" xfId="25649"/>
    <cellStyle name="Input 2 2 3 3 2 2 5" xfId="14777"/>
    <cellStyle name="Input 2 2 3 3 2 3" xfId="635"/>
    <cellStyle name="Input 2 2 3 3 2 3 2" xfId="7099"/>
    <cellStyle name="Input 2 2 3 3 2 3 2 2" xfId="9713"/>
    <cellStyle name="Input 2 2 3 3 2 3 2 2 2" xfId="15975"/>
    <cellStyle name="Input 2 2 3 3 2 3 2 2 2 2" xfId="29391"/>
    <cellStyle name="Input 2 2 3 3 2 3 2 2 3" xfId="20720"/>
    <cellStyle name="Input 2 2 3 3 2 3 2 3" xfId="13703"/>
    <cellStyle name="Input 2 2 3 3 2 3 2 3 2" xfId="28025"/>
    <cellStyle name="Input 2 2 3 3 2 3 2 4" xfId="19348"/>
    <cellStyle name="Input 2 2 3 3 2 3 3" xfId="13348"/>
    <cellStyle name="Input 2 2 3 3 2 3 3 2" xfId="27670"/>
    <cellStyle name="Input 2 2 3 3 2 3 4" xfId="18993"/>
    <cellStyle name="Input 2 2 3 3 2 4" xfId="5798"/>
    <cellStyle name="Input 2 2 3 3 2 4 2" xfId="12351"/>
    <cellStyle name="Input 2 2 3 3 2 4 2 2" xfId="26673"/>
    <cellStyle name="Input 2 2 3 3 2 4 3" xfId="17996"/>
    <cellStyle name="Input 2 2 3 3 2 5" xfId="5653"/>
    <cellStyle name="Input 2 2 3 3 2 5 2" xfId="23359"/>
    <cellStyle name="Input 2 2 3 3 2 6" xfId="15476"/>
    <cellStyle name="Input 2 2 3 3 3" xfId="636"/>
    <cellStyle name="Input 2 2 3 3 3 2" xfId="637"/>
    <cellStyle name="Input 2 2 3 3 3 2 2" xfId="6033"/>
    <cellStyle name="Input 2 2 3 3 3 2 2 2" xfId="12594"/>
    <cellStyle name="Input 2 2 3 3 3 2 2 2 2" xfId="26916"/>
    <cellStyle name="Input 2 2 3 3 3 2 2 3" xfId="18239"/>
    <cellStyle name="Input 2 2 3 3 3 2 3" xfId="7484"/>
    <cellStyle name="Input 2 2 3 3 3 2 3 2" xfId="10098"/>
    <cellStyle name="Input 2 2 3 3 3 2 3 2 2" xfId="16360"/>
    <cellStyle name="Input 2 2 3 3 3 2 3 2 2 2" xfId="29776"/>
    <cellStyle name="Input 2 2 3 3 3 2 3 2 3" xfId="21105"/>
    <cellStyle name="Input 2 2 3 3 3 2 3 3" xfId="14088"/>
    <cellStyle name="Input 2 2 3 3 3 2 3 3 2" xfId="28410"/>
    <cellStyle name="Input 2 2 3 3 3 2 3 4" xfId="19733"/>
    <cellStyle name="Input 2 2 3 3 3 2 4" xfId="6193"/>
    <cellStyle name="Input 2 2 3 3 3 2 4 2" xfId="23455"/>
    <cellStyle name="Input 2 2 3 3 3 2 5" xfId="15196"/>
    <cellStyle name="Input 2 2 3 3 3 3" xfId="638"/>
    <cellStyle name="Input 2 2 3 3 3 3 2" xfId="7203"/>
    <cellStyle name="Input 2 2 3 3 3 3 2 2" xfId="9817"/>
    <cellStyle name="Input 2 2 3 3 3 3 2 2 2" xfId="16079"/>
    <cellStyle name="Input 2 2 3 3 3 3 2 2 2 2" xfId="29495"/>
    <cellStyle name="Input 2 2 3 3 3 3 2 2 3" xfId="20824"/>
    <cellStyle name="Input 2 2 3 3 3 3 2 3" xfId="13807"/>
    <cellStyle name="Input 2 2 3 3 3 3 2 3 2" xfId="28129"/>
    <cellStyle name="Input 2 2 3 3 3 3 2 4" xfId="19452"/>
    <cellStyle name="Input 2 2 3 3 3 3 3" xfId="13075"/>
    <cellStyle name="Input 2 2 3 3 3 3 3 2" xfId="27397"/>
    <cellStyle name="Input 2 2 3 3 3 3 4" xfId="18720"/>
    <cellStyle name="Input 2 2 3 3 3 4" xfId="5422"/>
    <cellStyle name="Input 2 2 3 3 3 4 2" xfId="11973"/>
    <cellStyle name="Input 2 2 3 3 3 4 2 2" xfId="26295"/>
    <cellStyle name="Input 2 2 3 3 3 4 3" xfId="17618"/>
    <cellStyle name="Input 2 2 3 3 3 5" xfId="4393"/>
    <cellStyle name="Input 2 2 3 3 3 5 2" xfId="22925"/>
    <cellStyle name="Input 2 2 3 3 3 6" xfId="5026"/>
    <cellStyle name="Input 2 2 3 3 4" xfId="639"/>
    <cellStyle name="Input 2 2 3 3 4 2" xfId="6430"/>
    <cellStyle name="Input 2 2 3 3 4 2 2" xfId="13013"/>
    <cellStyle name="Input 2 2 3 3 4 2 2 2" xfId="27335"/>
    <cellStyle name="Input 2 2 3 3 4 2 3" xfId="18658"/>
    <cellStyle name="Input 2 2 3 3 4 3" xfId="7340"/>
    <cellStyle name="Input 2 2 3 3 4 3 2" xfId="9954"/>
    <cellStyle name="Input 2 2 3 3 4 3 2 2" xfId="16216"/>
    <cellStyle name="Input 2 2 3 3 4 3 2 2 2" xfId="29632"/>
    <cellStyle name="Input 2 2 3 3 4 3 2 3" xfId="20961"/>
    <cellStyle name="Input 2 2 3 3 4 3 3" xfId="13944"/>
    <cellStyle name="Input 2 2 3 3 4 3 3 2" xfId="28266"/>
    <cellStyle name="Input 2 2 3 3 4 3 4" xfId="19589"/>
    <cellStyle name="Input 2 2 3 3 4 4" xfId="6785"/>
    <cellStyle name="Input 2 2 3 3 4 4 2" xfId="23729"/>
    <cellStyle name="Input 2 2 3 3 4 5" xfId="4697"/>
    <cellStyle name="Input 2 2 3 3 5" xfId="640"/>
    <cellStyle name="Input 2 2 3 3 5 2" xfId="8061"/>
    <cellStyle name="Input 2 2 3 3 5 2 2" xfId="10675"/>
    <cellStyle name="Input 2 2 3 3 5 2 2 2" xfId="16937"/>
    <cellStyle name="Input 2 2 3 3 5 2 2 2 2" xfId="30353"/>
    <cellStyle name="Input 2 2 3 3 5 2 2 3" xfId="21682"/>
    <cellStyle name="Input 2 2 3 3 5 2 3" xfId="14665"/>
    <cellStyle name="Input 2 2 3 3 5 2 3 2" xfId="28987"/>
    <cellStyle name="Input 2 2 3 3 5 2 4" xfId="20310"/>
    <cellStyle name="Input 2 2 3 3 5 3" xfId="12924"/>
    <cellStyle name="Input 2 2 3 3 5 3 2" xfId="27246"/>
    <cellStyle name="Input 2 2 3 3 5 4" xfId="18569"/>
    <cellStyle name="Input 2 2 3 3 6" xfId="5548"/>
    <cellStyle name="Input 2 2 3 3 6 2" xfId="12099"/>
    <cellStyle name="Input 2 2 3 3 6 2 2" xfId="26421"/>
    <cellStyle name="Input 2 2 3 3 6 3" xfId="17744"/>
    <cellStyle name="Input 2 2 3 3 7" xfId="3737"/>
    <cellStyle name="Input 2 2 3 3 7 2" xfId="22555"/>
    <cellStyle name="Input 2 2 3 3 8" xfId="4903"/>
    <cellStyle name="Input 2 2 3 4" xfId="641"/>
    <cellStyle name="Input 2 2 3 4 2" xfId="642"/>
    <cellStyle name="Input 2 2 3 4 2 2" xfId="643"/>
    <cellStyle name="Input 2 2 3 4 2 2 2" xfId="5485"/>
    <cellStyle name="Input 2 2 3 4 2 2 2 2" xfId="12036"/>
    <cellStyle name="Input 2 2 3 4 2 2 2 2 2" xfId="26358"/>
    <cellStyle name="Input 2 2 3 4 2 2 2 3" xfId="17681"/>
    <cellStyle name="Input 2 2 3 4 2 2 3" xfId="7607"/>
    <cellStyle name="Input 2 2 3 4 2 2 3 2" xfId="10221"/>
    <cellStyle name="Input 2 2 3 4 2 2 3 2 2" xfId="16483"/>
    <cellStyle name="Input 2 2 3 4 2 2 3 2 2 2" xfId="29899"/>
    <cellStyle name="Input 2 2 3 4 2 2 3 2 3" xfId="21228"/>
    <cellStyle name="Input 2 2 3 4 2 2 3 3" xfId="14211"/>
    <cellStyle name="Input 2 2 3 4 2 2 3 3 2" xfId="28533"/>
    <cellStyle name="Input 2 2 3 4 2 2 3 4" xfId="19856"/>
    <cellStyle name="Input 2 2 3 4 2 2 4" xfId="6266"/>
    <cellStyle name="Input 2 2 3 4 2 2 4 2" xfId="23483"/>
    <cellStyle name="Input 2 2 3 4 2 2 5" xfId="17071"/>
    <cellStyle name="Input 2 2 3 4 2 3" xfId="644"/>
    <cellStyle name="Input 2 2 3 4 2 3 2" xfId="7422"/>
    <cellStyle name="Input 2 2 3 4 2 3 2 2" xfId="10036"/>
    <cellStyle name="Input 2 2 3 4 2 3 2 2 2" xfId="16298"/>
    <cellStyle name="Input 2 2 3 4 2 3 2 2 2 2" xfId="29714"/>
    <cellStyle name="Input 2 2 3 4 2 3 2 2 3" xfId="21043"/>
    <cellStyle name="Input 2 2 3 4 2 3 2 3" xfId="14026"/>
    <cellStyle name="Input 2 2 3 4 2 3 2 3 2" xfId="28348"/>
    <cellStyle name="Input 2 2 3 4 2 3 2 4" xfId="19671"/>
    <cellStyle name="Input 2 2 3 4 2 3 3" xfId="13193"/>
    <cellStyle name="Input 2 2 3 4 2 3 3 2" xfId="27515"/>
    <cellStyle name="Input 2 2 3 4 2 3 4" xfId="18838"/>
    <cellStyle name="Input 2 2 3 4 2 4" xfId="5630"/>
    <cellStyle name="Input 2 2 3 4 2 4 2" xfId="12183"/>
    <cellStyle name="Input 2 2 3 4 2 4 2 2" xfId="26505"/>
    <cellStyle name="Input 2 2 3 4 2 4 3" xfId="17828"/>
    <cellStyle name="Input 2 2 3 4 2 5" xfId="4984"/>
    <cellStyle name="Input 2 2 3 4 2 5 2" xfId="23294"/>
    <cellStyle name="Input 2 2 3 4 2 6" xfId="15092"/>
    <cellStyle name="Input 2 2 3 4 3" xfId="645"/>
    <cellStyle name="Input 2 2 3 4 3 2" xfId="646"/>
    <cellStyle name="Input 2 2 3 4 3 2 2" xfId="6097"/>
    <cellStyle name="Input 2 2 3 4 3 2 2 2" xfId="12664"/>
    <cellStyle name="Input 2 2 3 4 3 2 2 2 2" xfId="26986"/>
    <cellStyle name="Input 2 2 3 4 3 2 2 3" xfId="18309"/>
    <cellStyle name="Input 2 2 3 4 3 2 3" xfId="7223"/>
    <cellStyle name="Input 2 2 3 4 3 2 3 2" xfId="9837"/>
    <cellStyle name="Input 2 2 3 4 3 2 3 2 2" xfId="16099"/>
    <cellStyle name="Input 2 2 3 4 3 2 3 2 2 2" xfId="29515"/>
    <cellStyle name="Input 2 2 3 4 3 2 3 2 3" xfId="20844"/>
    <cellStyle name="Input 2 2 3 4 3 2 3 3" xfId="13827"/>
    <cellStyle name="Input 2 2 3 4 3 2 3 3 2" xfId="28149"/>
    <cellStyle name="Input 2 2 3 4 3 2 3 4" xfId="19472"/>
    <cellStyle name="Input 2 2 3 4 3 2 4" xfId="3917"/>
    <cellStyle name="Input 2 2 3 4 3 2 4 2" xfId="22645"/>
    <cellStyle name="Input 2 2 3 4 3 2 5" xfId="15000"/>
    <cellStyle name="Input 2 2 3 4 3 3" xfId="647"/>
    <cellStyle name="Input 2 2 3 4 3 3 2" xfId="7267"/>
    <cellStyle name="Input 2 2 3 4 3 3 2 2" xfId="9881"/>
    <cellStyle name="Input 2 2 3 4 3 3 2 2 2" xfId="16143"/>
    <cellStyle name="Input 2 2 3 4 3 3 2 2 2 2" xfId="29559"/>
    <cellStyle name="Input 2 2 3 4 3 3 2 2 3" xfId="20888"/>
    <cellStyle name="Input 2 2 3 4 3 3 2 3" xfId="13871"/>
    <cellStyle name="Input 2 2 3 4 3 3 2 3 2" xfId="28193"/>
    <cellStyle name="Input 2 2 3 4 3 3 2 4" xfId="19516"/>
    <cellStyle name="Input 2 2 3 4 3 3 3" xfId="13077"/>
    <cellStyle name="Input 2 2 3 4 3 3 3 2" xfId="27399"/>
    <cellStyle name="Input 2 2 3 4 3 3 4" xfId="18722"/>
    <cellStyle name="Input 2 2 3 4 3 4" xfId="5425"/>
    <cellStyle name="Input 2 2 3 4 3 4 2" xfId="11976"/>
    <cellStyle name="Input 2 2 3 4 3 4 2 2" xfId="26298"/>
    <cellStyle name="Input 2 2 3 4 3 4 3" xfId="17621"/>
    <cellStyle name="Input 2 2 3 4 3 5" xfId="5005"/>
    <cellStyle name="Input 2 2 3 4 3 5 2" xfId="23305"/>
    <cellStyle name="Input 2 2 3 4 3 6" xfId="4925"/>
    <cellStyle name="Input 2 2 3 4 4" xfId="648"/>
    <cellStyle name="Input 2 2 3 4 4 2" xfId="6017"/>
    <cellStyle name="Input 2 2 3 4 4 2 2" xfId="12577"/>
    <cellStyle name="Input 2 2 3 4 4 2 2 2" xfId="26899"/>
    <cellStyle name="Input 2 2 3 4 4 2 3" xfId="18222"/>
    <cellStyle name="Input 2 2 3 4 4 3" xfId="7390"/>
    <cellStyle name="Input 2 2 3 4 4 3 2" xfId="10004"/>
    <cellStyle name="Input 2 2 3 4 4 3 2 2" xfId="16266"/>
    <cellStyle name="Input 2 2 3 4 4 3 2 2 2" xfId="29682"/>
    <cellStyle name="Input 2 2 3 4 4 3 2 3" xfId="21011"/>
    <cellStyle name="Input 2 2 3 4 4 3 3" xfId="13994"/>
    <cellStyle name="Input 2 2 3 4 4 3 3 2" xfId="28316"/>
    <cellStyle name="Input 2 2 3 4 4 3 4" xfId="19639"/>
    <cellStyle name="Input 2 2 3 4 4 4" xfId="2790"/>
    <cellStyle name="Input 2 2 3 4 4 4 2" xfId="22358"/>
    <cellStyle name="Input 2 2 3 4 4 5" xfId="5025"/>
    <cellStyle name="Input 2 2 3 4 5" xfId="649"/>
    <cellStyle name="Input 2 2 3 4 5 2" xfId="7664"/>
    <cellStyle name="Input 2 2 3 4 5 2 2" xfId="10278"/>
    <cellStyle name="Input 2 2 3 4 5 2 2 2" xfId="16540"/>
    <cellStyle name="Input 2 2 3 4 5 2 2 2 2" xfId="29956"/>
    <cellStyle name="Input 2 2 3 4 5 2 2 3" xfId="21285"/>
    <cellStyle name="Input 2 2 3 4 5 2 3" xfId="14268"/>
    <cellStyle name="Input 2 2 3 4 5 2 3 2" xfId="28590"/>
    <cellStyle name="Input 2 2 3 4 5 2 4" xfId="19913"/>
    <cellStyle name="Input 2 2 3 4 5 3" xfId="11926"/>
    <cellStyle name="Input 2 2 3 4 5 3 2" xfId="26248"/>
    <cellStyle name="Input 2 2 3 4 5 4" xfId="17571"/>
    <cellStyle name="Input 2 2 3 4 6" xfId="4994"/>
    <cellStyle name="Input 2 2 3 4 6 2" xfId="11537"/>
    <cellStyle name="Input 2 2 3 4 6 2 2" xfId="25859"/>
    <cellStyle name="Input 2 2 3 4 6 3" xfId="17097"/>
    <cellStyle name="Input 2 2 3 4 7" xfId="4659"/>
    <cellStyle name="Input 2 2 3 4 7 2" xfId="23100"/>
    <cellStyle name="Input 2 2 3 4 8" xfId="15183"/>
    <cellStyle name="Input 2 2 3 5" xfId="650"/>
    <cellStyle name="Input 2 2 3 5 2" xfId="651"/>
    <cellStyle name="Input 2 2 3 5 2 2" xfId="652"/>
    <cellStyle name="Input 2 2 3 5 2 2 2" xfId="5701"/>
    <cellStyle name="Input 2 2 3 5 2 2 2 2" xfId="12254"/>
    <cellStyle name="Input 2 2 3 5 2 2 2 2 2" xfId="26576"/>
    <cellStyle name="Input 2 2 3 5 2 2 2 3" xfId="17899"/>
    <cellStyle name="Input 2 2 3 5 2 2 3" xfId="4883"/>
    <cellStyle name="Input 2 2 3 5 2 2 3 2" xfId="9509"/>
    <cellStyle name="Input 2 2 3 5 2 2 3 2 2" xfId="15771"/>
    <cellStyle name="Input 2 2 3 5 2 2 3 2 2 2" xfId="29187"/>
    <cellStyle name="Input 2 2 3 5 2 2 3 2 3" xfId="20516"/>
    <cellStyle name="Input 2 2 3 5 2 2 3 3" xfId="11418"/>
    <cellStyle name="Input 2 2 3 5 2 2 3 3 2" xfId="25740"/>
    <cellStyle name="Input 2 2 3 5 2 2 3 4" xfId="14978"/>
    <cellStyle name="Input 2 2 3 5 2 2 4" xfId="3915"/>
    <cellStyle name="Input 2 2 3 5 2 2 4 2" xfId="22644"/>
    <cellStyle name="Input 2 2 3 5 2 2 5" xfId="14958"/>
    <cellStyle name="Input 2 2 3 5 2 3" xfId="653"/>
    <cellStyle name="Input 2 2 3 5 2 3 2" xfId="7045"/>
    <cellStyle name="Input 2 2 3 5 2 3 2 2" xfId="9659"/>
    <cellStyle name="Input 2 2 3 5 2 3 2 2 2" xfId="15921"/>
    <cellStyle name="Input 2 2 3 5 2 3 2 2 2 2" xfId="29337"/>
    <cellStyle name="Input 2 2 3 5 2 3 2 2 3" xfId="20666"/>
    <cellStyle name="Input 2 2 3 5 2 3 2 3" xfId="13649"/>
    <cellStyle name="Input 2 2 3 5 2 3 2 3 2" xfId="27971"/>
    <cellStyle name="Input 2 2 3 5 2 3 2 4" xfId="19294"/>
    <cellStyle name="Input 2 2 3 5 2 3 3" xfId="11609"/>
    <cellStyle name="Input 2 2 3 5 2 3 3 2" xfId="25931"/>
    <cellStyle name="Input 2 2 3 5 2 3 4" xfId="6471"/>
    <cellStyle name="Input 2 2 3 5 2 4" xfId="5006"/>
    <cellStyle name="Input 2 2 3 5 2 4 2" xfId="11551"/>
    <cellStyle name="Input 2 2 3 5 2 4 2 2" xfId="25873"/>
    <cellStyle name="Input 2 2 3 5 2 4 3" xfId="15319"/>
    <cellStyle name="Input 2 2 3 5 2 5" xfId="4440"/>
    <cellStyle name="Input 2 2 3 5 2 5 2" xfId="22954"/>
    <cellStyle name="Input 2 2 3 5 2 6" xfId="14846"/>
    <cellStyle name="Input 2 2 3 5 3" xfId="654"/>
    <cellStyle name="Input 2 2 3 5 3 2" xfId="5985"/>
    <cellStyle name="Input 2 2 3 5 3 2 2" xfId="12543"/>
    <cellStyle name="Input 2 2 3 5 3 2 2 2" xfId="26865"/>
    <cellStyle name="Input 2 2 3 5 3 2 3" xfId="18188"/>
    <cellStyle name="Input 2 2 3 5 3 3" xfId="7076"/>
    <cellStyle name="Input 2 2 3 5 3 3 2" xfId="9690"/>
    <cellStyle name="Input 2 2 3 5 3 3 2 2" xfId="15952"/>
    <cellStyle name="Input 2 2 3 5 3 3 2 2 2" xfId="29368"/>
    <cellStyle name="Input 2 2 3 5 3 3 2 3" xfId="20697"/>
    <cellStyle name="Input 2 2 3 5 3 3 3" xfId="13680"/>
    <cellStyle name="Input 2 2 3 5 3 3 3 2" xfId="28002"/>
    <cellStyle name="Input 2 2 3 5 3 3 4" xfId="19325"/>
    <cellStyle name="Input 2 2 3 5 3 4" xfId="6712"/>
    <cellStyle name="Input 2 2 3 5 3 4 2" xfId="23667"/>
    <cellStyle name="Input 2 2 3 5 3 5" xfId="15420"/>
    <cellStyle name="Input 2 2 3 5 4" xfId="655"/>
    <cellStyle name="Input 2 2 3 5 4 2" xfId="7512"/>
    <cellStyle name="Input 2 2 3 5 4 2 2" xfId="10126"/>
    <cellStyle name="Input 2 2 3 5 4 2 2 2" xfId="16388"/>
    <cellStyle name="Input 2 2 3 5 4 2 2 2 2" xfId="29804"/>
    <cellStyle name="Input 2 2 3 5 4 2 2 3" xfId="21133"/>
    <cellStyle name="Input 2 2 3 5 4 2 3" xfId="14116"/>
    <cellStyle name="Input 2 2 3 5 4 2 3 2" xfId="28438"/>
    <cellStyle name="Input 2 2 3 5 4 2 4" xfId="19761"/>
    <cellStyle name="Input 2 2 3 5 4 3" xfId="12850"/>
    <cellStyle name="Input 2 2 3 5 4 3 2" xfId="27172"/>
    <cellStyle name="Input 2 2 3 5 4 4" xfId="18495"/>
    <cellStyle name="Input 2 2 3 5 5" xfId="5439"/>
    <cellStyle name="Input 2 2 3 5 5 2" xfId="11990"/>
    <cellStyle name="Input 2 2 3 5 5 2 2" xfId="26312"/>
    <cellStyle name="Input 2 2 3 5 5 3" xfId="17635"/>
    <cellStyle name="Input 2 2 3 5 6" xfId="4801"/>
    <cellStyle name="Input 2 2 3 5 6 2" xfId="23194"/>
    <cellStyle name="Input 2 2 3 5 7" xfId="14903"/>
    <cellStyle name="Input 2 2 3 6" xfId="656"/>
    <cellStyle name="Input 2 2 3 6 2" xfId="657"/>
    <cellStyle name="Input 2 2 3 6 2 2" xfId="6948"/>
    <cellStyle name="Input 2 2 3 6 2 2 2" xfId="13552"/>
    <cellStyle name="Input 2 2 3 6 2 2 2 2" xfId="27874"/>
    <cellStyle name="Input 2 2 3 6 2 2 3" xfId="19197"/>
    <cellStyle name="Input 2 2 3 6 2 3" xfId="7369"/>
    <cellStyle name="Input 2 2 3 6 2 3 2" xfId="9983"/>
    <cellStyle name="Input 2 2 3 6 2 3 2 2" xfId="16245"/>
    <cellStyle name="Input 2 2 3 6 2 3 2 2 2" xfId="29661"/>
    <cellStyle name="Input 2 2 3 6 2 3 2 3" xfId="20990"/>
    <cellStyle name="Input 2 2 3 6 2 3 3" xfId="13973"/>
    <cellStyle name="Input 2 2 3 6 2 3 3 2" xfId="28295"/>
    <cellStyle name="Input 2 2 3 6 2 3 4" xfId="19618"/>
    <cellStyle name="Input 2 2 3 6 2 4" xfId="11442"/>
    <cellStyle name="Input 2 2 3 6 2 4 2" xfId="25764"/>
    <cellStyle name="Input 2 2 3 6 2 5" xfId="14873"/>
    <cellStyle name="Input 2 2 3 6 3" xfId="658"/>
    <cellStyle name="Input 2 2 3 6 3 2" xfId="5332"/>
    <cellStyle name="Input 2 2 3 6 3 2 2" xfId="9641"/>
    <cellStyle name="Input 2 2 3 6 3 2 2 2" xfId="15903"/>
    <cellStyle name="Input 2 2 3 6 3 2 2 2 2" xfId="29319"/>
    <cellStyle name="Input 2 2 3 6 3 2 2 3" xfId="20648"/>
    <cellStyle name="Input 2 2 3 6 3 2 3" xfId="11882"/>
    <cellStyle name="Input 2 2 3 6 3 2 3 2" xfId="26204"/>
    <cellStyle name="Input 2 2 3 6 3 2 4" xfId="17527"/>
    <cellStyle name="Input 2 2 3 6 3 3" xfId="13090"/>
    <cellStyle name="Input 2 2 3 6 3 3 2" xfId="27412"/>
    <cellStyle name="Input 2 2 3 6 3 4" xfId="18735"/>
    <cellStyle name="Input 2 2 3 6 4" xfId="5445"/>
    <cellStyle name="Input 2 2 3 6 4 2" xfId="11996"/>
    <cellStyle name="Input 2 2 3 6 4 2 2" xfId="26318"/>
    <cellStyle name="Input 2 2 3 6 4 3" xfId="17641"/>
    <cellStyle name="Input 2 2 3 6 5" xfId="6778"/>
    <cellStyle name="Input 2 2 3 6 5 2" xfId="23723"/>
    <cellStyle name="Input 2 2 3 6 6" xfId="17323"/>
    <cellStyle name="Input 2 2 3 7" xfId="659"/>
    <cellStyle name="Input 2 2 3 7 2" xfId="6488"/>
    <cellStyle name="Input 2 2 3 7 2 2" xfId="13071"/>
    <cellStyle name="Input 2 2 3 7 2 2 2" xfId="27393"/>
    <cellStyle name="Input 2 2 3 7 2 3" xfId="18716"/>
    <cellStyle name="Input 2 2 3 7 3" xfId="4789"/>
    <cellStyle name="Input 2 2 3 7 3 2" xfId="9485"/>
    <cellStyle name="Input 2 2 3 7 3 2 2" xfId="15747"/>
    <cellStyle name="Input 2 2 3 7 3 2 2 2" xfId="29163"/>
    <cellStyle name="Input 2 2 3 7 3 2 3" xfId="20492"/>
    <cellStyle name="Input 2 2 3 7 3 3" xfId="11318"/>
    <cellStyle name="Input 2 2 3 7 3 3 2" xfId="25640"/>
    <cellStyle name="Input 2 2 3 7 3 4" xfId="17087"/>
    <cellStyle name="Input 2 2 3 7 4" xfId="4175"/>
    <cellStyle name="Input 2 2 3 7 4 2" xfId="22798"/>
    <cellStyle name="Input 2 2 3 7 5" xfId="15592"/>
    <cellStyle name="Input 2 2 3 8" xfId="660"/>
    <cellStyle name="Input 2 2 3 8 2" xfId="7081"/>
    <cellStyle name="Input 2 2 3 8 2 2" xfId="9695"/>
    <cellStyle name="Input 2 2 3 8 2 2 2" xfId="15957"/>
    <cellStyle name="Input 2 2 3 8 2 2 2 2" xfId="29373"/>
    <cellStyle name="Input 2 2 3 8 2 2 3" xfId="20702"/>
    <cellStyle name="Input 2 2 3 8 2 3" xfId="13685"/>
    <cellStyle name="Input 2 2 3 8 2 3 2" xfId="28007"/>
    <cellStyle name="Input 2 2 3 8 2 4" xfId="19330"/>
    <cellStyle name="Input 2 2 3 8 3" xfId="12748"/>
    <cellStyle name="Input 2 2 3 8 3 2" xfId="27070"/>
    <cellStyle name="Input 2 2 3 8 4" xfId="18393"/>
    <cellStyle name="Input 2 2 3 9" xfId="5379"/>
    <cellStyle name="Input 2 2 3 9 2" xfId="11929"/>
    <cellStyle name="Input 2 2 3 9 2 2" xfId="26251"/>
    <cellStyle name="Input 2 2 3 9 3" xfId="17574"/>
    <cellStyle name="Input 2 2 4" xfId="661"/>
    <cellStyle name="Input 2 2 4 2" xfId="662"/>
    <cellStyle name="Input 2 2 4 2 2" xfId="663"/>
    <cellStyle name="Input 2 2 4 2 2 2" xfId="6400"/>
    <cellStyle name="Input 2 2 4 2 2 2 2" xfId="12983"/>
    <cellStyle name="Input 2 2 4 2 2 2 2 2" xfId="27305"/>
    <cellStyle name="Input 2 2 4 2 2 2 3" xfId="18628"/>
    <cellStyle name="Input 2 2 4 2 2 3" xfId="3899"/>
    <cellStyle name="Input 2 2 4 2 2 3 2" xfId="9390"/>
    <cellStyle name="Input 2 2 4 2 2 3 2 2" xfId="15652"/>
    <cellStyle name="Input 2 2 4 2 2 3 2 2 2" xfId="29068"/>
    <cellStyle name="Input 2 2 4 2 2 3 2 3" xfId="20397"/>
    <cellStyle name="Input 2 2 4 2 2 3 3" xfId="4920"/>
    <cellStyle name="Input 2 2 4 2 2 3 3 2" xfId="23263"/>
    <cellStyle name="Input 2 2 4 2 2 3 4" xfId="17251"/>
    <cellStyle name="Input 2 2 4 2 2 4" xfId="2795"/>
    <cellStyle name="Input 2 2 4 2 2 4 2" xfId="22362"/>
    <cellStyle name="Input 2 2 4 2 2 5" xfId="14744"/>
    <cellStyle name="Input 2 2 4 2 3" xfId="664"/>
    <cellStyle name="Input 2 2 4 2 3 2" xfId="4248"/>
    <cellStyle name="Input 2 2 4 2 3 2 2" xfId="9433"/>
    <cellStyle name="Input 2 2 4 2 3 2 2 2" xfId="15695"/>
    <cellStyle name="Input 2 2 4 2 3 2 2 2 2" xfId="29111"/>
    <cellStyle name="Input 2 2 4 2 3 2 2 3" xfId="20440"/>
    <cellStyle name="Input 2 2 4 2 3 2 3" xfId="5059"/>
    <cellStyle name="Input 2 2 4 2 3 2 3 2" xfId="23321"/>
    <cellStyle name="Input 2 2 4 2 3 2 4" xfId="17206"/>
    <cellStyle name="Input 2 2 4 2 3 3" xfId="13249"/>
    <cellStyle name="Input 2 2 4 2 3 3 2" xfId="27571"/>
    <cellStyle name="Input 2 2 4 2 3 4" xfId="18894"/>
    <cellStyle name="Input 2 2 4 2 4" xfId="5691"/>
    <cellStyle name="Input 2 2 4 2 4 2" xfId="12244"/>
    <cellStyle name="Input 2 2 4 2 4 2 2" xfId="26566"/>
    <cellStyle name="Input 2 2 4 2 4 3" xfId="17889"/>
    <cellStyle name="Input 2 2 4 2 5" xfId="5024"/>
    <cellStyle name="Input 2 2 4 2 5 2" xfId="23312"/>
    <cellStyle name="Input 2 2 4 2 6" xfId="17216"/>
    <cellStyle name="Input 2 2 4 3" xfId="665"/>
    <cellStyle name="Input 2 2 4 3 2" xfId="666"/>
    <cellStyle name="Input 2 2 4 3 2 2" xfId="5938"/>
    <cellStyle name="Input 2 2 4 3 2 2 2" xfId="12495"/>
    <cellStyle name="Input 2 2 4 3 2 2 2 2" xfId="26817"/>
    <cellStyle name="Input 2 2 4 3 2 2 3" xfId="18140"/>
    <cellStyle name="Input 2 2 4 3 2 3" xfId="5343"/>
    <cellStyle name="Input 2 2 4 3 2 3 2" xfId="9652"/>
    <cellStyle name="Input 2 2 4 3 2 3 2 2" xfId="15914"/>
    <cellStyle name="Input 2 2 4 3 2 3 2 2 2" xfId="29330"/>
    <cellStyle name="Input 2 2 4 3 2 3 2 3" xfId="20659"/>
    <cellStyle name="Input 2 2 4 3 2 3 3" xfId="11893"/>
    <cellStyle name="Input 2 2 4 3 2 3 3 2" xfId="26215"/>
    <cellStyle name="Input 2 2 4 3 2 3 4" xfId="17538"/>
    <cellStyle name="Input 2 2 4 3 2 4" xfId="6247"/>
    <cellStyle name="Input 2 2 4 3 2 4 2" xfId="23471"/>
    <cellStyle name="Input 2 2 4 3 2 5" xfId="14763"/>
    <cellStyle name="Input 2 2 4 3 3" xfId="667"/>
    <cellStyle name="Input 2 2 4 3 3 2" xfId="7997"/>
    <cellStyle name="Input 2 2 4 3 3 2 2" xfId="10611"/>
    <cellStyle name="Input 2 2 4 3 3 2 2 2" xfId="16873"/>
    <cellStyle name="Input 2 2 4 3 3 2 2 2 2" xfId="30289"/>
    <cellStyle name="Input 2 2 4 3 3 2 2 3" xfId="21618"/>
    <cellStyle name="Input 2 2 4 3 3 2 3" xfId="14601"/>
    <cellStyle name="Input 2 2 4 3 3 2 3 2" xfId="28923"/>
    <cellStyle name="Input 2 2 4 3 3 2 4" xfId="20246"/>
    <cellStyle name="Input 2 2 4 3 3 3" xfId="13378"/>
    <cellStyle name="Input 2 2 4 3 3 3 2" xfId="27700"/>
    <cellStyle name="Input 2 2 4 3 3 4" xfId="19023"/>
    <cellStyle name="Input 2 2 4 3 4" xfId="5832"/>
    <cellStyle name="Input 2 2 4 3 4 2" xfId="12385"/>
    <cellStyle name="Input 2 2 4 3 4 2 2" xfId="26707"/>
    <cellStyle name="Input 2 2 4 3 4 3" xfId="18030"/>
    <cellStyle name="Input 2 2 4 3 5" xfId="4748"/>
    <cellStyle name="Input 2 2 4 3 5 2" xfId="23168"/>
    <cellStyle name="Input 2 2 4 3 6" xfId="14937"/>
    <cellStyle name="Input 2 2 4 4" xfId="668"/>
    <cellStyle name="Input 2 2 4 4 2" xfId="7030"/>
    <cellStyle name="Input 2 2 4 4 2 2" xfId="13634"/>
    <cellStyle name="Input 2 2 4 4 2 2 2" xfId="27956"/>
    <cellStyle name="Input 2 2 4 4 2 3" xfId="19279"/>
    <cellStyle name="Input 2 2 4 4 3" xfId="8008"/>
    <cellStyle name="Input 2 2 4 4 3 2" xfId="10622"/>
    <cellStyle name="Input 2 2 4 4 3 2 2" xfId="16884"/>
    <cellStyle name="Input 2 2 4 4 3 2 2 2" xfId="30300"/>
    <cellStyle name="Input 2 2 4 4 3 2 3" xfId="21629"/>
    <cellStyle name="Input 2 2 4 4 3 3" xfId="14612"/>
    <cellStyle name="Input 2 2 4 4 3 3 2" xfId="28934"/>
    <cellStyle name="Input 2 2 4 4 3 4" xfId="20257"/>
    <cellStyle name="Input 2 2 4 4 4" xfId="11570"/>
    <cellStyle name="Input 2 2 4 4 4 2" xfId="25892"/>
    <cellStyle name="Input 2 2 4 4 5" xfId="16970"/>
    <cellStyle name="Input 2 2 4 5" xfId="669"/>
    <cellStyle name="Input 2 2 4 5 2" xfId="7834"/>
    <cellStyle name="Input 2 2 4 5 2 2" xfId="10448"/>
    <cellStyle name="Input 2 2 4 5 2 2 2" xfId="16710"/>
    <cellStyle name="Input 2 2 4 5 2 2 2 2" xfId="30126"/>
    <cellStyle name="Input 2 2 4 5 2 2 3" xfId="21455"/>
    <cellStyle name="Input 2 2 4 5 2 3" xfId="14438"/>
    <cellStyle name="Input 2 2 4 5 2 3 2" xfId="28760"/>
    <cellStyle name="Input 2 2 4 5 2 4" xfId="20083"/>
    <cellStyle name="Input 2 2 4 5 3" xfId="12735"/>
    <cellStyle name="Input 2 2 4 5 3 2" xfId="27057"/>
    <cellStyle name="Input 2 2 4 5 4" xfId="18380"/>
    <cellStyle name="Input 2 2 4 6" xfId="5151"/>
    <cellStyle name="Input 2 2 4 6 2" xfId="11700"/>
    <cellStyle name="Input 2 2 4 6 2 2" xfId="26022"/>
    <cellStyle name="Input 2 2 4 6 3" xfId="4623"/>
    <cellStyle name="Input 2 2 4 7" xfId="4571"/>
    <cellStyle name="Input 2 2 4 7 2" xfId="23038"/>
    <cellStyle name="Input 2 2 4 8" xfId="17266"/>
    <cellStyle name="Input 2 2 5" xfId="670"/>
    <cellStyle name="Input 2 2 5 2" xfId="671"/>
    <cellStyle name="Input 2 2 5 2 2" xfId="672"/>
    <cellStyle name="Input 2 2 5 2 2 2" xfId="6530"/>
    <cellStyle name="Input 2 2 5 2 2 2 2" xfId="13118"/>
    <cellStyle name="Input 2 2 5 2 2 2 2 2" xfId="27440"/>
    <cellStyle name="Input 2 2 5 2 2 2 3" xfId="18763"/>
    <cellStyle name="Input 2 2 5 2 2 3" xfId="7920"/>
    <cellStyle name="Input 2 2 5 2 2 3 2" xfId="10534"/>
    <cellStyle name="Input 2 2 5 2 2 3 2 2" xfId="16796"/>
    <cellStyle name="Input 2 2 5 2 2 3 2 2 2" xfId="30212"/>
    <cellStyle name="Input 2 2 5 2 2 3 2 3" xfId="21541"/>
    <cellStyle name="Input 2 2 5 2 2 3 3" xfId="14524"/>
    <cellStyle name="Input 2 2 5 2 2 3 3 2" xfId="28846"/>
    <cellStyle name="Input 2 2 5 2 2 3 4" xfId="20169"/>
    <cellStyle name="Input 2 2 5 2 2 4" xfId="4935"/>
    <cellStyle name="Input 2 2 5 2 2 4 2" xfId="23270"/>
    <cellStyle name="Input 2 2 5 2 2 5" xfId="14712"/>
    <cellStyle name="Input 2 2 5 2 3" xfId="673"/>
    <cellStyle name="Input 2 2 5 2 3 2" xfId="4944"/>
    <cellStyle name="Input 2 2 5 2 3 2 2" xfId="9522"/>
    <cellStyle name="Input 2 2 5 2 3 2 2 2" xfId="15784"/>
    <cellStyle name="Input 2 2 5 2 3 2 2 2 2" xfId="29200"/>
    <cellStyle name="Input 2 2 5 2 3 2 2 3" xfId="20529"/>
    <cellStyle name="Input 2 2 5 2 3 2 3" xfId="11483"/>
    <cellStyle name="Input 2 2 5 2 3 2 3 2" xfId="25805"/>
    <cellStyle name="Input 2 2 5 2 3 2 4" xfId="14933"/>
    <cellStyle name="Input 2 2 5 2 3 3" xfId="12492"/>
    <cellStyle name="Input 2 2 5 2 3 3 2" xfId="26814"/>
    <cellStyle name="Input 2 2 5 2 3 4" xfId="18137"/>
    <cellStyle name="Input 2 2 5 2 4" xfId="5116"/>
    <cellStyle name="Input 2 2 5 2 4 2" xfId="11664"/>
    <cellStyle name="Input 2 2 5 2 4 2 2" xfId="25986"/>
    <cellStyle name="Input 2 2 5 2 4 3" xfId="16993"/>
    <cellStyle name="Input 2 2 5 2 5" xfId="4692"/>
    <cellStyle name="Input 2 2 5 2 5 2" xfId="23128"/>
    <cellStyle name="Input 2 2 5 2 6" xfId="15112"/>
    <cellStyle name="Input 2 2 5 3" xfId="674"/>
    <cellStyle name="Input 2 2 5 3 2" xfId="675"/>
    <cellStyle name="Input 2 2 5 3 2 2" xfId="5699"/>
    <cellStyle name="Input 2 2 5 3 2 2 2" xfId="12252"/>
    <cellStyle name="Input 2 2 5 3 2 2 2 2" xfId="26574"/>
    <cellStyle name="Input 2 2 5 3 2 2 3" xfId="17897"/>
    <cellStyle name="Input 2 2 5 3 2 3" xfId="7374"/>
    <cellStyle name="Input 2 2 5 3 2 3 2" xfId="9988"/>
    <cellStyle name="Input 2 2 5 3 2 3 2 2" xfId="16250"/>
    <cellStyle name="Input 2 2 5 3 2 3 2 2 2" xfId="29666"/>
    <cellStyle name="Input 2 2 5 3 2 3 2 3" xfId="20995"/>
    <cellStyle name="Input 2 2 5 3 2 3 3" xfId="13978"/>
    <cellStyle name="Input 2 2 5 3 2 3 3 2" xfId="28300"/>
    <cellStyle name="Input 2 2 5 3 2 3 4" xfId="19623"/>
    <cellStyle name="Input 2 2 5 3 2 4" xfId="4058"/>
    <cellStyle name="Input 2 2 5 3 2 4 2" xfId="22733"/>
    <cellStyle name="Input 2 2 5 3 2 5" xfId="14886"/>
    <cellStyle name="Input 2 2 5 3 3" xfId="676"/>
    <cellStyle name="Input 2 2 5 3 3 2" xfId="7163"/>
    <cellStyle name="Input 2 2 5 3 3 2 2" xfId="9777"/>
    <cellStyle name="Input 2 2 5 3 3 2 2 2" xfId="16039"/>
    <cellStyle name="Input 2 2 5 3 3 2 2 2 2" xfId="29455"/>
    <cellStyle name="Input 2 2 5 3 3 2 2 3" xfId="20784"/>
    <cellStyle name="Input 2 2 5 3 3 2 3" xfId="13767"/>
    <cellStyle name="Input 2 2 5 3 3 2 3 2" xfId="28089"/>
    <cellStyle name="Input 2 2 5 3 3 2 4" xfId="19412"/>
    <cellStyle name="Input 2 2 5 3 3 3" xfId="12472"/>
    <cellStyle name="Input 2 2 5 3 3 3 2" xfId="26794"/>
    <cellStyle name="Input 2 2 5 3 3 4" xfId="18117"/>
    <cellStyle name="Input 2 2 5 3 4" xfId="5014"/>
    <cellStyle name="Input 2 2 5 3 4 2" xfId="11560"/>
    <cellStyle name="Input 2 2 5 3 4 2 2" xfId="25882"/>
    <cellStyle name="Input 2 2 5 3 4 3" xfId="5914"/>
    <cellStyle name="Input 2 2 5 3 5" xfId="4225"/>
    <cellStyle name="Input 2 2 5 3 5 2" xfId="22837"/>
    <cellStyle name="Input 2 2 5 3 6" xfId="15536"/>
    <cellStyle name="Input 2 2 5 4" xfId="677"/>
    <cellStyle name="Input 2 2 5 4 2" xfId="6273"/>
    <cellStyle name="Input 2 2 5 4 2 2" xfId="12854"/>
    <cellStyle name="Input 2 2 5 4 2 2 2" xfId="27176"/>
    <cellStyle name="Input 2 2 5 4 2 3" xfId="18499"/>
    <cellStyle name="Input 2 2 5 4 3" xfId="7451"/>
    <cellStyle name="Input 2 2 5 4 3 2" xfId="10065"/>
    <cellStyle name="Input 2 2 5 4 3 2 2" xfId="16327"/>
    <cellStyle name="Input 2 2 5 4 3 2 2 2" xfId="29743"/>
    <cellStyle name="Input 2 2 5 4 3 2 3" xfId="21072"/>
    <cellStyle name="Input 2 2 5 4 3 3" xfId="14055"/>
    <cellStyle name="Input 2 2 5 4 3 3 2" xfId="28377"/>
    <cellStyle name="Input 2 2 5 4 3 4" xfId="19700"/>
    <cellStyle name="Input 2 2 5 4 4" xfId="6608"/>
    <cellStyle name="Input 2 2 5 4 4 2" xfId="23600"/>
    <cellStyle name="Input 2 2 5 4 5" xfId="4380"/>
    <cellStyle name="Input 2 2 5 5" xfId="678"/>
    <cellStyle name="Input 2 2 5 5 2" xfId="7059"/>
    <cellStyle name="Input 2 2 5 5 2 2" xfId="9673"/>
    <cellStyle name="Input 2 2 5 5 2 2 2" xfId="15935"/>
    <cellStyle name="Input 2 2 5 5 2 2 2 2" xfId="29351"/>
    <cellStyle name="Input 2 2 5 5 2 2 3" xfId="20680"/>
    <cellStyle name="Input 2 2 5 5 2 3" xfId="13663"/>
    <cellStyle name="Input 2 2 5 5 2 3 2" xfId="27985"/>
    <cellStyle name="Input 2 2 5 5 2 4" xfId="19308"/>
    <cellStyle name="Input 2 2 5 5 3" xfId="12122"/>
    <cellStyle name="Input 2 2 5 5 3 2" xfId="26444"/>
    <cellStyle name="Input 2 2 5 5 4" xfId="17767"/>
    <cellStyle name="Input 2 2 5 6" xfId="5241"/>
    <cellStyle name="Input 2 2 5 6 2" xfId="11791"/>
    <cellStyle name="Input 2 2 5 6 2 2" xfId="26113"/>
    <cellStyle name="Input 2 2 5 6 3" xfId="17436"/>
    <cellStyle name="Input 2 2 5 7" xfId="4475"/>
    <cellStyle name="Input 2 2 5 7 2" xfId="22973"/>
    <cellStyle name="Input 2 2 5 8" xfId="4913"/>
    <cellStyle name="Input 2 2 6" xfId="679"/>
    <cellStyle name="Input 2 2 6 2" xfId="680"/>
    <cellStyle name="Input 2 2 6 2 2" xfId="681"/>
    <cellStyle name="Input 2 2 6 2 2 2" xfId="7016"/>
    <cellStyle name="Input 2 2 6 2 2 2 2" xfId="13620"/>
    <cellStyle name="Input 2 2 6 2 2 2 2 2" xfId="27942"/>
    <cellStyle name="Input 2 2 6 2 2 2 3" xfId="19265"/>
    <cellStyle name="Input 2 2 6 2 2 3" xfId="7878"/>
    <cellStyle name="Input 2 2 6 2 2 3 2" xfId="10492"/>
    <cellStyle name="Input 2 2 6 2 2 3 2 2" xfId="16754"/>
    <cellStyle name="Input 2 2 6 2 2 3 2 2 2" xfId="30170"/>
    <cellStyle name="Input 2 2 6 2 2 3 2 3" xfId="21499"/>
    <cellStyle name="Input 2 2 6 2 2 3 3" xfId="14482"/>
    <cellStyle name="Input 2 2 6 2 2 3 3 2" xfId="28804"/>
    <cellStyle name="Input 2 2 6 2 2 3 4" xfId="20127"/>
    <cellStyle name="Input 2 2 6 2 2 4" xfId="11545"/>
    <cellStyle name="Input 2 2 6 2 2 4 2" xfId="25867"/>
    <cellStyle name="Input 2 2 6 2 2 5" xfId="17057"/>
    <cellStyle name="Input 2 2 6 2 3" xfId="682"/>
    <cellStyle name="Input 2 2 6 2 3 2" xfId="7287"/>
    <cellStyle name="Input 2 2 6 2 3 2 2" xfId="9901"/>
    <cellStyle name="Input 2 2 6 2 3 2 2 2" xfId="16163"/>
    <cellStyle name="Input 2 2 6 2 3 2 2 2 2" xfId="29579"/>
    <cellStyle name="Input 2 2 6 2 3 2 2 3" xfId="20908"/>
    <cellStyle name="Input 2 2 6 2 3 2 3" xfId="13891"/>
    <cellStyle name="Input 2 2 6 2 3 2 3 2" xfId="28213"/>
    <cellStyle name="Input 2 2 6 2 3 2 4" xfId="19536"/>
    <cellStyle name="Input 2 2 6 2 3 3" xfId="13197"/>
    <cellStyle name="Input 2 2 6 2 3 3 2" xfId="27519"/>
    <cellStyle name="Input 2 2 6 2 3 4" xfId="18842"/>
    <cellStyle name="Input 2 2 6 2 4" xfId="5634"/>
    <cellStyle name="Input 2 2 6 2 4 2" xfId="12187"/>
    <cellStyle name="Input 2 2 6 2 4 2 2" xfId="26509"/>
    <cellStyle name="Input 2 2 6 2 4 3" xfId="17832"/>
    <cellStyle name="Input 2 2 6 2 5" xfId="4891"/>
    <cellStyle name="Input 2 2 6 2 5 2" xfId="23249"/>
    <cellStyle name="Input 2 2 6 2 6" xfId="15160"/>
    <cellStyle name="Input 2 2 6 3" xfId="683"/>
    <cellStyle name="Input 2 2 6 3 2" xfId="684"/>
    <cellStyle name="Input 2 2 6 3 2 2" xfId="6585"/>
    <cellStyle name="Input 2 2 6 3 2 2 2" xfId="13174"/>
    <cellStyle name="Input 2 2 6 3 2 2 2 2" xfId="27496"/>
    <cellStyle name="Input 2 2 6 3 2 2 3" xfId="18819"/>
    <cellStyle name="Input 2 2 6 3 2 3" xfId="7829"/>
    <cellStyle name="Input 2 2 6 3 2 3 2" xfId="10443"/>
    <cellStyle name="Input 2 2 6 3 2 3 2 2" xfId="16705"/>
    <cellStyle name="Input 2 2 6 3 2 3 2 2 2" xfId="30121"/>
    <cellStyle name="Input 2 2 6 3 2 3 2 3" xfId="21450"/>
    <cellStyle name="Input 2 2 6 3 2 3 3" xfId="14433"/>
    <cellStyle name="Input 2 2 6 3 2 3 3 2" xfId="28755"/>
    <cellStyle name="Input 2 2 6 3 2 3 4" xfId="20078"/>
    <cellStyle name="Input 2 2 6 3 2 4" xfId="4672"/>
    <cellStyle name="Input 2 2 6 3 2 4 2" xfId="23111"/>
    <cellStyle name="Input 2 2 6 3 2 5" xfId="17283"/>
    <cellStyle name="Input 2 2 6 3 3" xfId="685"/>
    <cellStyle name="Input 2 2 6 3 3 2" xfId="4854"/>
    <cellStyle name="Input 2 2 6 3 3 2 2" xfId="9504"/>
    <cellStyle name="Input 2 2 6 3 3 2 2 2" xfId="15766"/>
    <cellStyle name="Input 2 2 6 3 3 2 2 2 2" xfId="29182"/>
    <cellStyle name="Input 2 2 6 3 3 2 2 3" xfId="20511"/>
    <cellStyle name="Input 2 2 6 3 3 2 3" xfId="11388"/>
    <cellStyle name="Input 2 2 6 3 3 2 3 2" xfId="25710"/>
    <cellStyle name="Input 2 2 6 3 3 2 4" xfId="14695"/>
    <cellStyle name="Input 2 2 6 3 3 3" xfId="12665"/>
    <cellStyle name="Input 2 2 6 3 3 3 2" xfId="26987"/>
    <cellStyle name="Input 2 2 6 3 3 4" xfId="18310"/>
    <cellStyle name="Input 2 2 6 3 4" xfId="5127"/>
    <cellStyle name="Input 2 2 6 3 4 2" xfId="11676"/>
    <cellStyle name="Input 2 2 6 3 4 2 2" xfId="25998"/>
    <cellStyle name="Input 2 2 6 3 4 3" xfId="15046"/>
    <cellStyle name="Input 2 2 6 3 5" xfId="4633"/>
    <cellStyle name="Input 2 2 6 3 5 2" xfId="23078"/>
    <cellStyle name="Input 2 2 6 3 6" xfId="4617"/>
    <cellStyle name="Input 2 2 6 4" xfId="686"/>
    <cellStyle name="Input 2 2 6 4 2" xfId="6868"/>
    <cellStyle name="Input 2 2 6 4 2 2" xfId="13472"/>
    <cellStyle name="Input 2 2 6 4 2 2 2" xfId="27794"/>
    <cellStyle name="Input 2 2 6 4 2 3" xfId="19117"/>
    <cellStyle name="Input 2 2 6 4 3" xfId="4092"/>
    <cellStyle name="Input 2 2 6 4 3 2" xfId="9423"/>
    <cellStyle name="Input 2 2 6 4 3 2 2" xfId="15685"/>
    <cellStyle name="Input 2 2 6 4 3 2 2 2" xfId="29101"/>
    <cellStyle name="Input 2 2 6 4 3 2 3" xfId="20430"/>
    <cellStyle name="Input 2 2 6 4 3 3" xfId="5962"/>
    <cellStyle name="Input 2 2 6 4 3 3 2" xfId="23383"/>
    <cellStyle name="Input 2 2 6 4 3 4" xfId="17341"/>
    <cellStyle name="Input 2 2 6 4 4" xfId="11331"/>
    <cellStyle name="Input 2 2 6 4 4 2" xfId="25653"/>
    <cellStyle name="Input 2 2 6 4 5" xfId="4148"/>
    <cellStyle name="Input 2 2 6 5" xfId="687"/>
    <cellStyle name="Input 2 2 6 5 2" xfId="7728"/>
    <cellStyle name="Input 2 2 6 5 2 2" xfId="10342"/>
    <cellStyle name="Input 2 2 6 5 2 2 2" xfId="16604"/>
    <cellStyle name="Input 2 2 6 5 2 2 2 2" xfId="30020"/>
    <cellStyle name="Input 2 2 6 5 2 2 3" xfId="21349"/>
    <cellStyle name="Input 2 2 6 5 2 3" xfId="14332"/>
    <cellStyle name="Input 2 2 6 5 2 3 2" xfId="28654"/>
    <cellStyle name="Input 2 2 6 5 2 4" xfId="19977"/>
    <cellStyle name="Input 2 2 6 5 3" xfId="12177"/>
    <cellStyle name="Input 2 2 6 5 3 2" xfId="26499"/>
    <cellStyle name="Input 2 2 6 5 4" xfId="17822"/>
    <cellStyle name="Input 2 2 6 6" xfId="5122"/>
    <cellStyle name="Input 2 2 6 6 2" xfId="11670"/>
    <cellStyle name="Input 2 2 6 6 2 2" xfId="25992"/>
    <cellStyle name="Input 2 2 6 6 3" xfId="4560"/>
    <cellStyle name="Input 2 2 6 7" xfId="6799"/>
    <cellStyle name="Input 2 2 6 7 2" xfId="23740"/>
    <cellStyle name="Input 2 2 6 8" xfId="15546"/>
    <cellStyle name="Input 2 2 7" xfId="688"/>
    <cellStyle name="Input 2 2 7 2" xfId="689"/>
    <cellStyle name="Input 2 2 7 2 2" xfId="690"/>
    <cellStyle name="Input 2 2 7 2 2 2" xfId="6169"/>
    <cellStyle name="Input 2 2 7 2 2 2 2" xfId="12742"/>
    <cellStyle name="Input 2 2 7 2 2 2 2 2" xfId="27064"/>
    <cellStyle name="Input 2 2 7 2 2 2 3" xfId="18387"/>
    <cellStyle name="Input 2 2 7 2 2 3" xfId="4943"/>
    <cellStyle name="Input 2 2 7 2 2 3 2" xfId="9521"/>
    <cellStyle name="Input 2 2 7 2 2 3 2 2" xfId="15783"/>
    <cellStyle name="Input 2 2 7 2 2 3 2 2 2" xfId="29199"/>
    <cellStyle name="Input 2 2 7 2 2 3 2 3" xfId="20528"/>
    <cellStyle name="Input 2 2 7 2 2 3 3" xfId="11482"/>
    <cellStyle name="Input 2 2 7 2 2 3 3 2" xfId="25804"/>
    <cellStyle name="Input 2 2 7 2 2 3 4" xfId="17201"/>
    <cellStyle name="Input 2 2 7 2 2 4" xfId="4360"/>
    <cellStyle name="Input 2 2 7 2 2 4 2" xfId="22904"/>
    <cellStyle name="Input 2 2 7 2 2 5" xfId="4125"/>
    <cellStyle name="Input 2 2 7 2 3" xfId="691"/>
    <cellStyle name="Input 2 2 7 2 3 2" xfId="4458"/>
    <cellStyle name="Input 2 2 7 2 3 2 2" xfId="9468"/>
    <cellStyle name="Input 2 2 7 2 3 2 2 2" xfId="15730"/>
    <cellStyle name="Input 2 2 7 2 3 2 2 2 2" xfId="29146"/>
    <cellStyle name="Input 2 2 7 2 3 2 2 3" xfId="20475"/>
    <cellStyle name="Input 2 2 7 2 3 2 3" xfId="4809"/>
    <cellStyle name="Input 2 2 7 2 3 2 3 2" xfId="23198"/>
    <cellStyle name="Input 2 2 7 2 3 2 4" xfId="17228"/>
    <cellStyle name="Input 2 2 7 2 3 3" xfId="13383"/>
    <cellStyle name="Input 2 2 7 2 3 3 2" xfId="27705"/>
    <cellStyle name="Input 2 2 7 2 3 4" xfId="19028"/>
    <cellStyle name="Input 2 2 7 2 4" xfId="5843"/>
    <cellStyle name="Input 2 2 7 2 4 2" xfId="12396"/>
    <cellStyle name="Input 2 2 7 2 4 2 2" xfId="26718"/>
    <cellStyle name="Input 2 2 7 2 4 3" xfId="18041"/>
    <cellStyle name="Input 2 2 7 2 5" xfId="6770"/>
    <cellStyle name="Input 2 2 7 2 5 2" xfId="23716"/>
    <cellStyle name="Input 2 2 7 2 6" xfId="15540"/>
    <cellStyle name="Input 2 2 7 3" xfId="692"/>
    <cellStyle name="Input 2 2 7 3 2" xfId="5169"/>
    <cellStyle name="Input 2 2 7 3 2 2" xfId="11718"/>
    <cellStyle name="Input 2 2 7 3 2 2 2" xfId="26040"/>
    <cellStyle name="Input 2 2 7 3 2 3" xfId="6738"/>
    <cellStyle name="Input 2 2 7 3 3" xfId="7565"/>
    <cellStyle name="Input 2 2 7 3 3 2" xfId="10179"/>
    <cellStyle name="Input 2 2 7 3 3 2 2" xfId="16441"/>
    <cellStyle name="Input 2 2 7 3 3 2 2 2" xfId="29857"/>
    <cellStyle name="Input 2 2 7 3 3 2 3" xfId="21186"/>
    <cellStyle name="Input 2 2 7 3 3 3" xfId="14169"/>
    <cellStyle name="Input 2 2 7 3 3 3 2" xfId="28491"/>
    <cellStyle name="Input 2 2 7 3 3 4" xfId="19814"/>
    <cellStyle name="Input 2 2 7 3 4" xfId="6672"/>
    <cellStyle name="Input 2 2 7 3 4 2" xfId="23644"/>
    <cellStyle name="Input 2 2 7 3 5" xfId="17226"/>
    <cellStyle name="Input 2 2 7 4" xfId="693"/>
    <cellStyle name="Input 2 2 7 4 2" xfId="7400"/>
    <cellStyle name="Input 2 2 7 4 2 2" xfId="10014"/>
    <cellStyle name="Input 2 2 7 4 2 2 2" xfId="16276"/>
    <cellStyle name="Input 2 2 7 4 2 2 2 2" xfId="29692"/>
    <cellStyle name="Input 2 2 7 4 2 2 3" xfId="21021"/>
    <cellStyle name="Input 2 2 7 4 2 3" xfId="14004"/>
    <cellStyle name="Input 2 2 7 4 2 3 2" xfId="28326"/>
    <cellStyle name="Input 2 2 7 4 2 4" xfId="19649"/>
    <cellStyle name="Input 2 2 7 4 3" xfId="12697"/>
    <cellStyle name="Input 2 2 7 4 3 2" xfId="27019"/>
    <cellStyle name="Input 2 2 7 4 4" xfId="18342"/>
    <cellStyle name="Input 2 2 7 5" xfId="5098"/>
    <cellStyle name="Input 2 2 7 5 2" xfId="11645"/>
    <cellStyle name="Input 2 2 7 5 2 2" xfId="25967"/>
    <cellStyle name="Input 2 2 7 5 3" xfId="4918"/>
    <cellStyle name="Input 2 2 7 6" xfId="3250"/>
    <cellStyle name="Input 2 2 7 6 2" xfId="22444"/>
    <cellStyle name="Input 2 2 7 7" xfId="17288"/>
    <cellStyle name="Input 2 2 8" xfId="694"/>
    <cellStyle name="Input 2 2 8 2" xfId="695"/>
    <cellStyle name="Input 2 2 8 2 2" xfId="6962"/>
    <cellStyle name="Input 2 2 8 2 2 2" xfId="13566"/>
    <cellStyle name="Input 2 2 8 2 2 2 2" xfId="27888"/>
    <cellStyle name="Input 2 2 8 2 2 3" xfId="19211"/>
    <cellStyle name="Input 2 2 8 2 3" xfId="4804"/>
    <cellStyle name="Input 2 2 8 2 3 2" xfId="9489"/>
    <cellStyle name="Input 2 2 8 2 3 2 2" xfId="15751"/>
    <cellStyle name="Input 2 2 8 2 3 2 2 2" xfId="29167"/>
    <cellStyle name="Input 2 2 8 2 3 2 3" xfId="20496"/>
    <cellStyle name="Input 2 2 8 2 3 3" xfId="11334"/>
    <cellStyle name="Input 2 2 8 2 3 3 2" xfId="25656"/>
    <cellStyle name="Input 2 2 8 2 3 4" xfId="14898"/>
    <cellStyle name="Input 2 2 8 2 4" xfId="11465"/>
    <cellStyle name="Input 2 2 8 2 4 2" xfId="25787"/>
    <cellStyle name="Input 2 2 8 2 5" xfId="14913"/>
    <cellStyle name="Input 2 2 8 3" xfId="696"/>
    <cellStyle name="Input 2 2 8 3 2" xfId="7700"/>
    <cellStyle name="Input 2 2 8 3 2 2" xfId="10314"/>
    <cellStyle name="Input 2 2 8 3 2 2 2" xfId="16576"/>
    <cellStyle name="Input 2 2 8 3 2 2 2 2" xfId="29992"/>
    <cellStyle name="Input 2 2 8 3 2 2 3" xfId="21321"/>
    <cellStyle name="Input 2 2 8 3 2 3" xfId="14304"/>
    <cellStyle name="Input 2 2 8 3 2 3 2" xfId="28626"/>
    <cellStyle name="Input 2 2 8 3 2 4" xfId="19949"/>
    <cellStyle name="Input 2 2 8 3 3" xfId="12546"/>
    <cellStyle name="Input 2 2 8 3 3 2" xfId="26868"/>
    <cellStyle name="Input 2 2 8 3 4" xfId="18191"/>
    <cellStyle name="Input 2 2 8 4" xfId="3252"/>
    <cellStyle name="Input 2 2 8 4 2" xfId="4977"/>
    <cellStyle name="Input 2 2 8 4 2 2" xfId="23290"/>
    <cellStyle name="Input 2 2 8 4 3" xfId="15517"/>
    <cellStyle name="Input 2 2 8 5" xfId="4176"/>
    <cellStyle name="Input 2 2 8 5 2" xfId="22799"/>
    <cellStyle name="Input 2 2 8 6" xfId="4577"/>
    <cellStyle name="Input 2 2 9" xfId="697"/>
    <cellStyle name="Input 2 2 9 2" xfId="5605"/>
    <cellStyle name="Input 2 2 9 2 2" xfId="12157"/>
    <cellStyle name="Input 2 2 9 2 2 2" xfId="26479"/>
    <cellStyle name="Input 2 2 9 2 3" xfId="17802"/>
    <cellStyle name="Input 2 2 9 3" xfId="8005"/>
    <cellStyle name="Input 2 2 9 3 2" xfId="10619"/>
    <cellStyle name="Input 2 2 9 3 2 2" xfId="16881"/>
    <cellStyle name="Input 2 2 9 3 2 2 2" xfId="30297"/>
    <cellStyle name="Input 2 2 9 3 2 3" xfId="21626"/>
    <cellStyle name="Input 2 2 9 3 3" xfId="14609"/>
    <cellStyle name="Input 2 2 9 3 3 2" xfId="28931"/>
    <cellStyle name="Input 2 2 9 3 4" xfId="20254"/>
    <cellStyle name="Input 2 2 9 4" xfId="3869"/>
    <cellStyle name="Input 2 2 9 4 2" xfId="22619"/>
    <cellStyle name="Input 2 2 9 5" xfId="17285"/>
    <cellStyle name="Input 2 3" xfId="698"/>
    <cellStyle name="Input 2 3 2" xfId="6219"/>
    <cellStyle name="Input 2 3 2 2" xfId="12794"/>
    <cellStyle name="Input 2 3 2 2 2" xfId="27116"/>
    <cellStyle name="Input 2 3 2 3" xfId="18439"/>
    <cellStyle name="Input 2 3 3" xfId="7705"/>
    <cellStyle name="Input 2 3 3 2" xfId="10319"/>
    <cellStyle name="Input 2 3 3 2 2" xfId="16581"/>
    <cellStyle name="Input 2 3 3 2 2 2" xfId="29997"/>
    <cellStyle name="Input 2 3 3 2 3" xfId="21326"/>
    <cellStyle name="Input 2 3 3 3" xfId="14309"/>
    <cellStyle name="Input 2 3 3 3 2" xfId="28631"/>
    <cellStyle name="Input 2 3 3 4" xfId="19954"/>
    <cellStyle name="Input 2 3 4" xfId="3904"/>
    <cellStyle name="Input 2 3 4 2" xfId="22637"/>
    <cellStyle name="Input 2 3 5" xfId="4167"/>
    <cellStyle name="Input 2 4" xfId="3151"/>
    <cellStyle name="Input 2 4 2" xfId="3805"/>
    <cellStyle name="Input 2 4 2 2" xfId="22592"/>
    <cellStyle name="Input 2 4 3" xfId="15428"/>
    <cellStyle name="Input 2 5" xfId="4570"/>
    <cellStyle name="Input 2 5 2" xfId="23037"/>
    <cellStyle name="Input 2 6" xfId="17278"/>
    <cellStyle name="Input 2 7" xfId="20323"/>
    <cellStyle name="Input 2 8" xfId="21698"/>
    <cellStyle name="Linked Cell 2" xfId="699"/>
    <cellStyle name="Neutral 2" xfId="700"/>
    <cellStyle name="Neutro" xfId="701"/>
    <cellStyle name="Normal" xfId="0" builtinId="0"/>
    <cellStyle name="Normal 10" xfId="30369"/>
    <cellStyle name="Normal 11" xfId="2"/>
    <cellStyle name="Normal 2" xfId="702"/>
    <cellStyle name="Normal 2 2" xfId="703"/>
    <cellStyle name="Normal 2 2 2" xfId="704"/>
    <cellStyle name="Normal 2 2 3" xfId="705"/>
    <cellStyle name="Normal 3" xfId="706"/>
    <cellStyle name="Normal 3 10" xfId="707"/>
    <cellStyle name="Normal 3 10 2" xfId="708"/>
    <cellStyle name="Normal 3 10 2 2" xfId="8583"/>
    <cellStyle name="Normal 3 10 2 2 2" xfId="11196"/>
    <cellStyle name="Normal 3 10 2 2 2 2" xfId="25518"/>
    <cellStyle name="Normal 3 10 2 2 3" xfId="24270"/>
    <cellStyle name="Normal 3 10 2 3" xfId="9224"/>
    <cellStyle name="Normal 3 10 2 3 2" xfId="24896"/>
    <cellStyle name="Normal 3 10 2 4" xfId="3464"/>
    <cellStyle name="Normal 3 10 2 5" xfId="21707"/>
    <cellStyle name="Normal 3 10 3" xfId="8302"/>
    <cellStyle name="Normal 3 10 3 2" xfId="10915"/>
    <cellStyle name="Normal 3 10 3 2 2" xfId="25237"/>
    <cellStyle name="Normal 3 10 3 3" xfId="23989"/>
    <cellStyle name="Normal 3 10 4" xfId="8868"/>
    <cellStyle name="Normal 3 10 4 2" xfId="24555"/>
    <cellStyle name="Normal 3 10 5" xfId="3015"/>
    <cellStyle name="Normal 3 10 6" xfId="21706"/>
    <cellStyle name="Normal 3 11" xfId="709"/>
    <cellStyle name="Normal 3 11 2" xfId="8414"/>
    <cellStyle name="Normal 3 11 2 2" xfId="11027"/>
    <cellStyle name="Normal 3 11 2 2 2" xfId="25349"/>
    <cellStyle name="Normal 3 11 2 3" xfId="24101"/>
    <cellStyle name="Normal 3 11 3" xfId="8980"/>
    <cellStyle name="Normal 3 11 3 2" xfId="24667"/>
    <cellStyle name="Normal 3 11 4" xfId="3138"/>
    <cellStyle name="Normal 3 11 5" xfId="21708"/>
    <cellStyle name="Normal 3 12" xfId="710"/>
    <cellStyle name="Normal 3 12 2" xfId="8134"/>
    <cellStyle name="Normal 3 12 2 2" xfId="10747"/>
    <cellStyle name="Normal 3 12 2 2 2" xfId="25069"/>
    <cellStyle name="Normal 3 12 2 3" xfId="23821"/>
    <cellStyle name="Normal 3 12 3" xfId="9056"/>
    <cellStyle name="Normal 3 12 3 2" xfId="24728"/>
    <cellStyle name="Normal 3 12 4" xfId="3296"/>
    <cellStyle name="Normal 3 12 5" xfId="21709"/>
    <cellStyle name="Normal 3 13" xfId="8073"/>
    <cellStyle name="Normal 3 13 2" xfId="10686"/>
    <cellStyle name="Normal 3 13 2 2" xfId="25008"/>
    <cellStyle name="Normal 3 13 3" xfId="23760"/>
    <cellStyle name="Normal 3 14" xfId="8695"/>
    <cellStyle name="Normal 3 14 2" xfId="11308"/>
    <cellStyle name="Normal 3 14 2 2" xfId="25630"/>
    <cellStyle name="Normal 3 14 3" xfId="24382"/>
    <cellStyle name="Normal 3 15" xfId="8700"/>
    <cellStyle name="Normal 3 15 2" xfId="24387"/>
    <cellStyle name="Normal 3 16" xfId="2758"/>
    <cellStyle name="Normal 3 17" xfId="21705"/>
    <cellStyle name="Normal 3 2" xfId="711"/>
    <cellStyle name="Normal 3 2 2" xfId="712"/>
    <cellStyle name="Normal 3 2 2 10" xfId="2863"/>
    <cellStyle name="Normal 3 2 2 11" xfId="21711"/>
    <cellStyle name="Normal 3 2 2 2" xfId="713"/>
    <cellStyle name="Normal 3 2 2 2 10" xfId="21712"/>
    <cellStyle name="Normal 3 2 2 2 2" xfId="714"/>
    <cellStyle name="Normal 3 2 2 2 2 2" xfId="715"/>
    <cellStyle name="Normal 3 2 2 2 2 2 2" xfId="716"/>
    <cellStyle name="Normal 3 2 2 2 2 2 2 2" xfId="8690"/>
    <cellStyle name="Normal 3 2 2 2 2 2 2 2 2" xfId="11303"/>
    <cellStyle name="Normal 3 2 2 2 2 2 2 2 2 2" xfId="25625"/>
    <cellStyle name="Normal 3 2 2 2 2 2 2 2 3" xfId="24377"/>
    <cellStyle name="Normal 3 2 2 2 2 2 2 3" xfId="9332"/>
    <cellStyle name="Normal 3 2 2 2 2 2 2 3 2" xfId="25003"/>
    <cellStyle name="Normal 3 2 2 2 2 2 2 4" xfId="3580"/>
    <cellStyle name="Normal 3 2 2 2 2 2 2 5" xfId="21715"/>
    <cellStyle name="Normal 3 2 2 2 2 2 3" xfId="8409"/>
    <cellStyle name="Normal 3 2 2 2 2 2 3 2" xfId="11022"/>
    <cellStyle name="Normal 3 2 2 2 2 2 3 2 2" xfId="25344"/>
    <cellStyle name="Normal 3 2 2 2 2 2 3 3" xfId="24096"/>
    <cellStyle name="Normal 3 2 2 2 2 2 4" xfId="8975"/>
    <cellStyle name="Normal 3 2 2 2 2 2 4 2" xfId="24662"/>
    <cellStyle name="Normal 3 2 2 2 2 2 5" xfId="3132"/>
    <cellStyle name="Normal 3 2 2 2 2 2 6" xfId="21714"/>
    <cellStyle name="Normal 3 2 2 2 2 3" xfId="717"/>
    <cellStyle name="Normal 3 2 2 2 2 3 2" xfId="8522"/>
    <cellStyle name="Normal 3 2 2 2 2 3 2 2" xfId="11135"/>
    <cellStyle name="Normal 3 2 2 2 2 3 2 2 2" xfId="25457"/>
    <cellStyle name="Normal 3 2 2 2 2 3 2 3" xfId="24209"/>
    <cellStyle name="Normal 3 2 2 2 2 3 3" xfId="9163"/>
    <cellStyle name="Normal 3 2 2 2 2 3 3 2" xfId="24835"/>
    <cellStyle name="Normal 3 2 2 2 2 3 4" xfId="3403"/>
    <cellStyle name="Normal 3 2 2 2 2 3 5" xfId="21716"/>
    <cellStyle name="Normal 3 2 2 2 2 4" xfId="8241"/>
    <cellStyle name="Normal 3 2 2 2 2 4 2" xfId="10854"/>
    <cellStyle name="Normal 3 2 2 2 2 4 2 2" xfId="25176"/>
    <cellStyle name="Normal 3 2 2 2 2 4 3" xfId="23928"/>
    <cellStyle name="Normal 3 2 2 2 2 5" xfId="8807"/>
    <cellStyle name="Normal 3 2 2 2 2 5 2" xfId="24494"/>
    <cellStyle name="Normal 3 2 2 2 2 6" xfId="2954"/>
    <cellStyle name="Normal 3 2 2 2 2 7" xfId="21713"/>
    <cellStyle name="Normal 3 2 2 2 3" xfId="718"/>
    <cellStyle name="Normal 3 2 2 2 3 2" xfId="719"/>
    <cellStyle name="Normal 3 2 2 2 3 2 2" xfId="8578"/>
    <cellStyle name="Normal 3 2 2 2 3 2 2 2" xfId="11191"/>
    <cellStyle name="Normal 3 2 2 2 3 2 2 2 2" xfId="25513"/>
    <cellStyle name="Normal 3 2 2 2 3 2 2 3" xfId="24265"/>
    <cellStyle name="Normal 3 2 2 2 3 2 3" xfId="9219"/>
    <cellStyle name="Normal 3 2 2 2 3 2 3 2" xfId="24891"/>
    <cellStyle name="Normal 3 2 2 2 3 2 4" xfId="3459"/>
    <cellStyle name="Normal 3 2 2 2 3 2 5" xfId="21718"/>
    <cellStyle name="Normal 3 2 2 2 3 3" xfId="8297"/>
    <cellStyle name="Normal 3 2 2 2 3 3 2" xfId="10910"/>
    <cellStyle name="Normal 3 2 2 2 3 3 2 2" xfId="25232"/>
    <cellStyle name="Normal 3 2 2 2 3 3 3" xfId="23984"/>
    <cellStyle name="Normal 3 2 2 2 3 4" xfId="8863"/>
    <cellStyle name="Normal 3 2 2 2 3 4 2" xfId="24550"/>
    <cellStyle name="Normal 3 2 2 2 3 5" xfId="3010"/>
    <cellStyle name="Normal 3 2 2 2 3 6" xfId="21717"/>
    <cellStyle name="Normal 3 2 2 2 4" xfId="720"/>
    <cellStyle name="Normal 3 2 2 2 4 2" xfId="721"/>
    <cellStyle name="Normal 3 2 2 2 4 2 2" xfId="8633"/>
    <cellStyle name="Normal 3 2 2 2 4 2 2 2" xfId="11246"/>
    <cellStyle name="Normal 3 2 2 2 4 2 2 2 2" xfId="25568"/>
    <cellStyle name="Normal 3 2 2 2 4 2 2 3" xfId="24320"/>
    <cellStyle name="Normal 3 2 2 2 4 2 3" xfId="9275"/>
    <cellStyle name="Normal 3 2 2 2 4 2 3 2" xfId="24946"/>
    <cellStyle name="Normal 3 2 2 2 4 2 4" xfId="3523"/>
    <cellStyle name="Normal 3 2 2 2 4 2 5" xfId="21720"/>
    <cellStyle name="Normal 3 2 2 2 4 3" xfId="8352"/>
    <cellStyle name="Normal 3 2 2 2 4 3 2" xfId="10965"/>
    <cellStyle name="Normal 3 2 2 2 4 3 2 2" xfId="25287"/>
    <cellStyle name="Normal 3 2 2 2 4 3 3" xfId="24039"/>
    <cellStyle name="Normal 3 2 2 2 4 4" xfId="8918"/>
    <cellStyle name="Normal 3 2 2 2 4 4 2" xfId="24605"/>
    <cellStyle name="Normal 3 2 2 2 4 5" xfId="3075"/>
    <cellStyle name="Normal 3 2 2 2 4 6" xfId="21719"/>
    <cellStyle name="Normal 3 2 2 2 5" xfId="722"/>
    <cellStyle name="Normal 3 2 2 2 5 2" xfId="8470"/>
    <cellStyle name="Normal 3 2 2 2 5 2 2" xfId="11083"/>
    <cellStyle name="Normal 3 2 2 2 5 2 2 2" xfId="25405"/>
    <cellStyle name="Normal 3 2 2 2 5 2 3" xfId="24157"/>
    <cellStyle name="Normal 3 2 2 2 5 3" xfId="9042"/>
    <cellStyle name="Normal 3 2 2 2 5 3 2" xfId="24723"/>
    <cellStyle name="Normal 3 2 2 2 5 4" xfId="3234"/>
    <cellStyle name="Normal 3 2 2 2 5 5" xfId="21721"/>
    <cellStyle name="Normal 3 2 2 2 6" xfId="723"/>
    <cellStyle name="Normal 3 2 2 2 6 2" xfId="8184"/>
    <cellStyle name="Normal 3 2 2 2 6 2 2" xfId="10797"/>
    <cellStyle name="Normal 3 2 2 2 6 2 2 2" xfId="25119"/>
    <cellStyle name="Normal 3 2 2 2 6 2 3" xfId="23871"/>
    <cellStyle name="Normal 3 2 2 2 6 3" xfId="9106"/>
    <cellStyle name="Normal 3 2 2 2 6 3 2" xfId="24778"/>
    <cellStyle name="Normal 3 2 2 2 6 4" xfId="3346"/>
    <cellStyle name="Normal 3 2 2 2 6 5" xfId="21722"/>
    <cellStyle name="Normal 3 2 2 2 7" xfId="8129"/>
    <cellStyle name="Normal 3 2 2 2 7 2" xfId="10742"/>
    <cellStyle name="Normal 3 2 2 2 7 2 2" xfId="25064"/>
    <cellStyle name="Normal 3 2 2 2 7 3" xfId="23816"/>
    <cellStyle name="Normal 3 2 2 2 8" xfId="8750"/>
    <cellStyle name="Normal 3 2 2 2 8 2" xfId="24437"/>
    <cellStyle name="Normal 3 2 2 2 9" xfId="2897"/>
    <cellStyle name="Normal 3 2 2 3" xfId="724"/>
    <cellStyle name="Normal 3 2 2 3 2" xfId="725"/>
    <cellStyle name="Normal 3 2 2 3 2 2" xfId="726"/>
    <cellStyle name="Normal 3 2 2 3 2 2 2" xfId="8664"/>
    <cellStyle name="Normal 3 2 2 3 2 2 2 2" xfId="11277"/>
    <cellStyle name="Normal 3 2 2 3 2 2 2 2 2" xfId="25599"/>
    <cellStyle name="Normal 3 2 2 3 2 2 2 3" xfId="24351"/>
    <cellStyle name="Normal 3 2 2 3 2 2 3" xfId="9306"/>
    <cellStyle name="Normal 3 2 2 3 2 2 3 2" xfId="24977"/>
    <cellStyle name="Normal 3 2 2 3 2 2 4" xfId="3554"/>
    <cellStyle name="Normal 3 2 2 3 2 2 5" xfId="21725"/>
    <cellStyle name="Normal 3 2 2 3 2 3" xfId="8383"/>
    <cellStyle name="Normal 3 2 2 3 2 3 2" xfId="10996"/>
    <cellStyle name="Normal 3 2 2 3 2 3 2 2" xfId="25318"/>
    <cellStyle name="Normal 3 2 2 3 2 3 3" xfId="24070"/>
    <cellStyle name="Normal 3 2 2 3 2 4" xfId="8949"/>
    <cellStyle name="Normal 3 2 2 3 2 4 2" xfId="24636"/>
    <cellStyle name="Normal 3 2 2 3 2 5" xfId="3106"/>
    <cellStyle name="Normal 3 2 2 3 2 6" xfId="21724"/>
    <cellStyle name="Normal 3 2 2 3 3" xfId="727"/>
    <cellStyle name="Normal 3 2 2 3 3 2" xfId="8496"/>
    <cellStyle name="Normal 3 2 2 3 3 2 2" xfId="11109"/>
    <cellStyle name="Normal 3 2 2 3 3 2 2 2" xfId="25431"/>
    <cellStyle name="Normal 3 2 2 3 3 2 3" xfId="24183"/>
    <cellStyle name="Normal 3 2 2 3 3 3" xfId="9137"/>
    <cellStyle name="Normal 3 2 2 3 3 3 2" xfId="24809"/>
    <cellStyle name="Normal 3 2 2 3 3 4" xfId="3377"/>
    <cellStyle name="Normal 3 2 2 3 3 5" xfId="21726"/>
    <cellStyle name="Normal 3 2 2 3 4" xfId="8215"/>
    <cellStyle name="Normal 3 2 2 3 4 2" xfId="10828"/>
    <cellStyle name="Normal 3 2 2 3 4 2 2" xfId="25150"/>
    <cellStyle name="Normal 3 2 2 3 4 3" xfId="23902"/>
    <cellStyle name="Normal 3 2 2 3 5" xfId="8781"/>
    <cellStyle name="Normal 3 2 2 3 5 2" xfId="24468"/>
    <cellStyle name="Normal 3 2 2 3 6" xfId="2928"/>
    <cellStyle name="Normal 3 2 2 3 7" xfId="21723"/>
    <cellStyle name="Normal 3 2 2 4" xfId="728"/>
    <cellStyle name="Normal 3 2 2 4 2" xfId="729"/>
    <cellStyle name="Normal 3 2 2 4 2 2" xfId="8552"/>
    <cellStyle name="Normal 3 2 2 4 2 2 2" xfId="11165"/>
    <cellStyle name="Normal 3 2 2 4 2 2 2 2" xfId="25487"/>
    <cellStyle name="Normal 3 2 2 4 2 2 3" xfId="24239"/>
    <cellStyle name="Normal 3 2 2 4 2 3" xfId="9193"/>
    <cellStyle name="Normal 3 2 2 4 2 3 2" xfId="24865"/>
    <cellStyle name="Normal 3 2 2 4 2 4" xfId="3433"/>
    <cellStyle name="Normal 3 2 2 4 2 5" xfId="21728"/>
    <cellStyle name="Normal 3 2 2 4 3" xfId="8271"/>
    <cellStyle name="Normal 3 2 2 4 3 2" xfId="10884"/>
    <cellStyle name="Normal 3 2 2 4 3 2 2" xfId="25206"/>
    <cellStyle name="Normal 3 2 2 4 3 3" xfId="23958"/>
    <cellStyle name="Normal 3 2 2 4 4" xfId="8837"/>
    <cellStyle name="Normal 3 2 2 4 4 2" xfId="24524"/>
    <cellStyle name="Normal 3 2 2 4 5" xfId="2984"/>
    <cellStyle name="Normal 3 2 2 4 6" xfId="21727"/>
    <cellStyle name="Normal 3 2 2 5" xfId="730"/>
    <cellStyle name="Normal 3 2 2 5 2" xfId="731"/>
    <cellStyle name="Normal 3 2 2 5 2 2" xfId="8602"/>
    <cellStyle name="Normal 3 2 2 5 2 2 2" xfId="11215"/>
    <cellStyle name="Normal 3 2 2 5 2 2 2 2" xfId="25537"/>
    <cellStyle name="Normal 3 2 2 5 2 2 3" xfId="24289"/>
    <cellStyle name="Normal 3 2 2 5 2 3" xfId="9244"/>
    <cellStyle name="Normal 3 2 2 5 2 3 2" xfId="24915"/>
    <cellStyle name="Normal 3 2 2 5 2 4" xfId="3491"/>
    <cellStyle name="Normal 3 2 2 5 2 5" xfId="21730"/>
    <cellStyle name="Normal 3 2 2 5 3" xfId="8321"/>
    <cellStyle name="Normal 3 2 2 5 3 2" xfId="10934"/>
    <cellStyle name="Normal 3 2 2 5 3 2 2" xfId="25256"/>
    <cellStyle name="Normal 3 2 2 5 3 3" xfId="24008"/>
    <cellStyle name="Normal 3 2 2 5 4" xfId="8887"/>
    <cellStyle name="Normal 3 2 2 5 4 2" xfId="24574"/>
    <cellStyle name="Normal 3 2 2 5 5" xfId="3044"/>
    <cellStyle name="Normal 3 2 2 5 6" xfId="21729"/>
    <cellStyle name="Normal 3 2 2 6" xfId="732"/>
    <cellStyle name="Normal 3 2 2 6 2" xfId="8445"/>
    <cellStyle name="Normal 3 2 2 6 2 2" xfId="11058"/>
    <cellStyle name="Normal 3 2 2 6 2 2 2" xfId="25380"/>
    <cellStyle name="Normal 3 2 2 6 2 3" xfId="24132"/>
    <cellStyle name="Normal 3 2 2 6 3" xfId="9017"/>
    <cellStyle name="Normal 3 2 2 6 3 2" xfId="24698"/>
    <cellStyle name="Normal 3 2 2 6 4" xfId="3208"/>
    <cellStyle name="Normal 3 2 2 6 5" xfId="21731"/>
    <cellStyle name="Normal 3 2 2 7" xfId="733"/>
    <cellStyle name="Normal 3 2 2 7 2" xfId="8153"/>
    <cellStyle name="Normal 3 2 2 7 2 2" xfId="10766"/>
    <cellStyle name="Normal 3 2 2 7 2 2 2" xfId="25088"/>
    <cellStyle name="Normal 3 2 2 7 2 3" xfId="23840"/>
    <cellStyle name="Normal 3 2 2 7 3" xfId="9075"/>
    <cellStyle name="Normal 3 2 2 7 3 2" xfId="24747"/>
    <cellStyle name="Normal 3 2 2 7 4" xfId="3315"/>
    <cellStyle name="Normal 3 2 2 7 5" xfId="21732"/>
    <cellStyle name="Normal 3 2 2 8" xfId="8104"/>
    <cellStyle name="Normal 3 2 2 8 2" xfId="10717"/>
    <cellStyle name="Normal 3 2 2 8 2 2" xfId="25039"/>
    <cellStyle name="Normal 3 2 2 8 3" xfId="23791"/>
    <cellStyle name="Normal 3 2 2 9" xfId="8719"/>
    <cellStyle name="Normal 3 2 2 9 2" xfId="24406"/>
    <cellStyle name="Normal 3 2 3" xfId="734"/>
    <cellStyle name="Normal 3 2 4" xfId="735"/>
    <cellStyle name="Normal 3 2 4 2" xfId="8419"/>
    <cellStyle name="Normal 3 2 4 2 2" xfId="11032"/>
    <cellStyle name="Normal 3 2 4 2 2 2" xfId="25354"/>
    <cellStyle name="Normal 3 2 4 2 3" xfId="24106"/>
    <cellStyle name="Normal 3 2 4 3" xfId="8989"/>
    <cellStyle name="Normal 3 2 4 3 2" xfId="24672"/>
    <cellStyle name="Normal 3 2 4 4" xfId="3162"/>
    <cellStyle name="Normal 3 2 4 5" xfId="21733"/>
    <cellStyle name="Normal 3 2 5" xfId="8078"/>
    <cellStyle name="Normal 3 2 5 2" xfId="10691"/>
    <cellStyle name="Normal 3 2 5 2 2" xfId="25013"/>
    <cellStyle name="Normal 3 2 5 3" xfId="23765"/>
    <cellStyle name="Normal 3 2 6" xfId="21710"/>
    <cellStyle name="Normal 3 3" xfId="736"/>
    <cellStyle name="Normal 3 3 10" xfId="2848"/>
    <cellStyle name="Normal 3 3 11" xfId="21734"/>
    <cellStyle name="Normal 3 3 2" xfId="737"/>
    <cellStyle name="Normal 3 3 2 10" xfId="21735"/>
    <cellStyle name="Normal 3 3 2 2" xfId="738"/>
    <cellStyle name="Normal 3 3 2 2 2" xfId="739"/>
    <cellStyle name="Normal 3 3 2 2 2 2" xfId="740"/>
    <cellStyle name="Normal 3 3 2 2 2 2 2" xfId="8676"/>
    <cellStyle name="Normal 3 3 2 2 2 2 2 2" xfId="11289"/>
    <cellStyle name="Normal 3 3 2 2 2 2 2 2 2" xfId="25611"/>
    <cellStyle name="Normal 3 3 2 2 2 2 2 3" xfId="24363"/>
    <cellStyle name="Normal 3 3 2 2 2 2 3" xfId="9318"/>
    <cellStyle name="Normal 3 3 2 2 2 2 3 2" xfId="24989"/>
    <cellStyle name="Normal 3 3 2 2 2 2 4" xfId="3566"/>
    <cellStyle name="Normal 3 3 2 2 2 2 5" xfId="21738"/>
    <cellStyle name="Normal 3 3 2 2 2 3" xfId="8395"/>
    <cellStyle name="Normal 3 3 2 2 2 3 2" xfId="11008"/>
    <cellStyle name="Normal 3 3 2 2 2 3 2 2" xfId="25330"/>
    <cellStyle name="Normal 3 3 2 2 2 3 3" xfId="24082"/>
    <cellStyle name="Normal 3 3 2 2 2 4" xfId="8961"/>
    <cellStyle name="Normal 3 3 2 2 2 4 2" xfId="24648"/>
    <cellStyle name="Normal 3 3 2 2 2 5" xfId="3118"/>
    <cellStyle name="Normal 3 3 2 2 2 6" xfId="21737"/>
    <cellStyle name="Normal 3 3 2 2 3" xfId="741"/>
    <cellStyle name="Normal 3 3 2 2 3 2" xfId="8508"/>
    <cellStyle name="Normal 3 3 2 2 3 2 2" xfId="11121"/>
    <cellStyle name="Normal 3 3 2 2 3 2 2 2" xfId="25443"/>
    <cellStyle name="Normal 3 3 2 2 3 2 3" xfId="24195"/>
    <cellStyle name="Normal 3 3 2 2 3 3" xfId="9149"/>
    <cellStyle name="Normal 3 3 2 2 3 3 2" xfId="24821"/>
    <cellStyle name="Normal 3 3 2 2 3 4" xfId="3389"/>
    <cellStyle name="Normal 3 3 2 2 3 5" xfId="21739"/>
    <cellStyle name="Normal 3 3 2 2 4" xfId="8227"/>
    <cellStyle name="Normal 3 3 2 2 4 2" xfId="10840"/>
    <cellStyle name="Normal 3 3 2 2 4 2 2" xfId="25162"/>
    <cellStyle name="Normal 3 3 2 2 4 3" xfId="23914"/>
    <cellStyle name="Normal 3 3 2 2 5" xfId="8793"/>
    <cellStyle name="Normal 3 3 2 2 5 2" xfId="24480"/>
    <cellStyle name="Normal 3 3 2 2 6" xfId="2940"/>
    <cellStyle name="Normal 3 3 2 2 7" xfId="21736"/>
    <cellStyle name="Normal 3 3 2 3" xfId="742"/>
    <cellStyle name="Normal 3 3 2 3 2" xfId="743"/>
    <cellStyle name="Normal 3 3 2 3 2 2" xfId="8564"/>
    <cellStyle name="Normal 3 3 2 3 2 2 2" xfId="11177"/>
    <cellStyle name="Normal 3 3 2 3 2 2 2 2" xfId="25499"/>
    <cellStyle name="Normal 3 3 2 3 2 2 3" xfId="24251"/>
    <cellStyle name="Normal 3 3 2 3 2 3" xfId="9205"/>
    <cellStyle name="Normal 3 3 2 3 2 3 2" xfId="24877"/>
    <cellStyle name="Normal 3 3 2 3 2 4" xfId="3445"/>
    <cellStyle name="Normal 3 3 2 3 2 5" xfId="21741"/>
    <cellStyle name="Normal 3 3 2 3 3" xfId="8283"/>
    <cellStyle name="Normal 3 3 2 3 3 2" xfId="10896"/>
    <cellStyle name="Normal 3 3 2 3 3 2 2" xfId="25218"/>
    <cellStyle name="Normal 3 3 2 3 3 3" xfId="23970"/>
    <cellStyle name="Normal 3 3 2 3 4" xfId="8849"/>
    <cellStyle name="Normal 3 3 2 3 4 2" xfId="24536"/>
    <cellStyle name="Normal 3 3 2 3 5" xfId="2996"/>
    <cellStyle name="Normal 3 3 2 3 6" xfId="21740"/>
    <cellStyle name="Normal 3 3 2 4" xfId="744"/>
    <cellStyle name="Normal 3 3 2 4 2" xfId="745"/>
    <cellStyle name="Normal 3 3 2 4 2 2" xfId="8618"/>
    <cellStyle name="Normal 3 3 2 4 2 2 2" xfId="11231"/>
    <cellStyle name="Normal 3 3 2 4 2 2 2 2" xfId="25553"/>
    <cellStyle name="Normal 3 3 2 4 2 2 3" xfId="24305"/>
    <cellStyle name="Normal 3 3 2 4 2 3" xfId="9260"/>
    <cellStyle name="Normal 3 3 2 4 2 3 2" xfId="24931"/>
    <cellStyle name="Normal 3 3 2 4 2 4" xfId="3508"/>
    <cellStyle name="Normal 3 3 2 4 2 5" xfId="21743"/>
    <cellStyle name="Normal 3 3 2 4 3" xfId="8337"/>
    <cellStyle name="Normal 3 3 2 4 3 2" xfId="10950"/>
    <cellStyle name="Normal 3 3 2 4 3 2 2" xfId="25272"/>
    <cellStyle name="Normal 3 3 2 4 3 3" xfId="24024"/>
    <cellStyle name="Normal 3 3 2 4 4" xfId="8903"/>
    <cellStyle name="Normal 3 3 2 4 4 2" xfId="24590"/>
    <cellStyle name="Normal 3 3 2 4 5" xfId="3060"/>
    <cellStyle name="Normal 3 3 2 4 6" xfId="21742"/>
    <cellStyle name="Normal 3 3 2 5" xfId="746"/>
    <cellStyle name="Normal 3 3 2 5 2" xfId="8456"/>
    <cellStyle name="Normal 3 3 2 5 2 2" xfId="11069"/>
    <cellStyle name="Normal 3 3 2 5 2 2 2" xfId="25391"/>
    <cellStyle name="Normal 3 3 2 5 2 3" xfId="24143"/>
    <cellStyle name="Normal 3 3 2 5 3" xfId="9028"/>
    <cellStyle name="Normal 3 3 2 5 3 2" xfId="24709"/>
    <cellStyle name="Normal 3 3 2 5 4" xfId="3220"/>
    <cellStyle name="Normal 3 3 2 5 5" xfId="21744"/>
    <cellStyle name="Normal 3 3 2 6" xfId="747"/>
    <cellStyle name="Normal 3 3 2 6 2" xfId="8169"/>
    <cellStyle name="Normal 3 3 2 6 2 2" xfId="10782"/>
    <cellStyle name="Normal 3 3 2 6 2 2 2" xfId="25104"/>
    <cellStyle name="Normal 3 3 2 6 2 3" xfId="23856"/>
    <cellStyle name="Normal 3 3 2 6 3" xfId="9091"/>
    <cellStyle name="Normal 3 3 2 6 3 2" xfId="24763"/>
    <cellStyle name="Normal 3 3 2 6 4" xfId="3331"/>
    <cellStyle name="Normal 3 3 2 6 5" xfId="21745"/>
    <cellStyle name="Normal 3 3 2 7" xfId="8115"/>
    <cellStyle name="Normal 3 3 2 7 2" xfId="10728"/>
    <cellStyle name="Normal 3 3 2 7 2 2" xfId="25050"/>
    <cellStyle name="Normal 3 3 2 7 3" xfId="23802"/>
    <cellStyle name="Normal 3 3 2 8" xfId="8735"/>
    <cellStyle name="Normal 3 3 2 8 2" xfId="24422"/>
    <cellStyle name="Normal 3 3 2 9" xfId="2882"/>
    <cellStyle name="Normal 3 3 3" xfId="748"/>
    <cellStyle name="Normal 3 3 3 2" xfId="749"/>
    <cellStyle name="Normal 3 3 3 2 2" xfId="750"/>
    <cellStyle name="Normal 3 3 3 2 2 2" xfId="8649"/>
    <cellStyle name="Normal 3 3 3 2 2 2 2" xfId="11262"/>
    <cellStyle name="Normal 3 3 3 2 2 2 2 2" xfId="25584"/>
    <cellStyle name="Normal 3 3 3 2 2 2 3" xfId="24336"/>
    <cellStyle name="Normal 3 3 3 2 2 3" xfId="9291"/>
    <cellStyle name="Normal 3 3 3 2 2 3 2" xfId="24962"/>
    <cellStyle name="Normal 3 3 3 2 2 4" xfId="3539"/>
    <cellStyle name="Normal 3 3 3 2 2 5" xfId="21748"/>
    <cellStyle name="Normal 3 3 3 2 3" xfId="8368"/>
    <cellStyle name="Normal 3 3 3 2 3 2" xfId="10981"/>
    <cellStyle name="Normal 3 3 3 2 3 2 2" xfId="25303"/>
    <cellStyle name="Normal 3 3 3 2 3 3" xfId="24055"/>
    <cellStyle name="Normal 3 3 3 2 4" xfId="8934"/>
    <cellStyle name="Normal 3 3 3 2 4 2" xfId="24621"/>
    <cellStyle name="Normal 3 3 3 2 5" xfId="3091"/>
    <cellStyle name="Normal 3 3 3 2 6" xfId="21747"/>
    <cellStyle name="Normal 3 3 3 3" xfId="751"/>
    <cellStyle name="Normal 3 3 3 3 2" xfId="8485"/>
    <cellStyle name="Normal 3 3 3 3 2 2" xfId="11098"/>
    <cellStyle name="Normal 3 3 3 3 2 2 2" xfId="25420"/>
    <cellStyle name="Normal 3 3 3 3 2 3" xfId="24172"/>
    <cellStyle name="Normal 3 3 3 3 3" xfId="9122"/>
    <cellStyle name="Normal 3 3 3 3 3 2" xfId="24794"/>
    <cellStyle name="Normal 3 3 3 3 4" xfId="3362"/>
    <cellStyle name="Normal 3 3 3 3 5" xfId="21749"/>
    <cellStyle name="Normal 3 3 3 4" xfId="8200"/>
    <cellStyle name="Normal 3 3 3 4 2" xfId="10813"/>
    <cellStyle name="Normal 3 3 3 4 2 2" xfId="25135"/>
    <cellStyle name="Normal 3 3 3 4 3" xfId="23887"/>
    <cellStyle name="Normal 3 3 3 5" xfId="8766"/>
    <cellStyle name="Normal 3 3 3 5 2" xfId="24453"/>
    <cellStyle name="Normal 3 3 3 6" xfId="2913"/>
    <cellStyle name="Normal 3 3 3 7" xfId="21746"/>
    <cellStyle name="Normal 3 3 4" xfId="752"/>
    <cellStyle name="Normal 3 3 4 2" xfId="753"/>
    <cellStyle name="Normal 3 3 4 2 2" xfId="8537"/>
    <cellStyle name="Normal 3 3 4 2 2 2" xfId="11150"/>
    <cellStyle name="Normal 3 3 4 2 2 2 2" xfId="25472"/>
    <cellStyle name="Normal 3 3 4 2 2 3" xfId="24224"/>
    <cellStyle name="Normal 3 3 4 2 3" xfId="9178"/>
    <cellStyle name="Normal 3 3 4 2 3 2" xfId="24850"/>
    <cellStyle name="Normal 3 3 4 2 4" xfId="3418"/>
    <cellStyle name="Normal 3 3 4 2 5" xfId="21751"/>
    <cellStyle name="Normal 3 3 4 3" xfId="8256"/>
    <cellStyle name="Normal 3 3 4 3 2" xfId="10869"/>
    <cellStyle name="Normal 3 3 4 3 2 2" xfId="25191"/>
    <cellStyle name="Normal 3 3 4 3 3" xfId="23943"/>
    <cellStyle name="Normal 3 3 4 4" xfId="8822"/>
    <cellStyle name="Normal 3 3 4 4 2" xfId="24509"/>
    <cellStyle name="Normal 3 3 4 5" xfId="2969"/>
    <cellStyle name="Normal 3 3 4 6" xfId="21750"/>
    <cellStyle name="Normal 3 3 5" xfId="754"/>
    <cellStyle name="Normal 3 3 5 2" xfId="755"/>
    <cellStyle name="Normal 3 3 5 2 2" xfId="8587"/>
    <cellStyle name="Normal 3 3 5 2 2 2" xfId="11200"/>
    <cellStyle name="Normal 3 3 5 2 2 2 2" xfId="25522"/>
    <cellStyle name="Normal 3 3 5 2 2 3" xfId="24274"/>
    <cellStyle name="Normal 3 3 5 2 3" xfId="9229"/>
    <cellStyle name="Normal 3 3 5 2 3 2" xfId="24900"/>
    <cellStyle name="Normal 3 3 5 2 4" xfId="3476"/>
    <cellStyle name="Normal 3 3 5 2 5" xfId="21753"/>
    <cellStyle name="Normal 3 3 5 3" xfId="8306"/>
    <cellStyle name="Normal 3 3 5 3 2" xfId="10919"/>
    <cellStyle name="Normal 3 3 5 3 2 2" xfId="25241"/>
    <cellStyle name="Normal 3 3 5 3 3" xfId="23993"/>
    <cellStyle name="Normal 3 3 5 4" xfId="8872"/>
    <cellStyle name="Normal 3 3 5 4 2" xfId="24559"/>
    <cellStyle name="Normal 3 3 5 5" xfId="3029"/>
    <cellStyle name="Normal 3 3 5 6" xfId="21752"/>
    <cellStyle name="Normal 3 3 6" xfId="756"/>
    <cellStyle name="Normal 3 3 6 2" xfId="8425"/>
    <cellStyle name="Normal 3 3 6 2 2" xfId="11038"/>
    <cellStyle name="Normal 3 3 6 2 2 2" xfId="25360"/>
    <cellStyle name="Normal 3 3 6 2 3" xfId="24112"/>
    <cellStyle name="Normal 3 3 6 3" xfId="8995"/>
    <cellStyle name="Normal 3 3 6 3 2" xfId="24678"/>
    <cellStyle name="Normal 3 3 6 4" xfId="3169"/>
    <cellStyle name="Normal 3 3 6 5" xfId="21754"/>
    <cellStyle name="Normal 3 3 7" xfId="757"/>
    <cellStyle name="Normal 3 3 7 2" xfId="8138"/>
    <cellStyle name="Normal 3 3 7 2 2" xfId="10751"/>
    <cellStyle name="Normal 3 3 7 2 2 2" xfId="25073"/>
    <cellStyle name="Normal 3 3 7 2 3" xfId="23825"/>
    <cellStyle name="Normal 3 3 7 3" xfId="9060"/>
    <cellStyle name="Normal 3 3 7 3 2" xfId="24732"/>
    <cellStyle name="Normal 3 3 7 4" xfId="3300"/>
    <cellStyle name="Normal 3 3 7 5" xfId="21755"/>
    <cellStyle name="Normal 3 3 8" xfId="8084"/>
    <cellStyle name="Normal 3 3 8 2" xfId="10697"/>
    <cellStyle name="Normal 3 3 8 2 2" xfId="25019"/>
    <cellStyle name="Normal 3 3 8 3" xfId="23771"/>
    <cellStyle name="Normal 3 3 9" xfId="8704"/>
    <cellStyle name="Normal 3 3 9 2" xfId="24391"/>
    <cellStyle name="Normal 3 4" xfId="758"/>
    <cellStyle name="Normal 3 4 10" xfId="2853"/>
    <cellStyle name="Normal 3 4 11" xfId="21756"/>
    <cellStyle name="Normal 3 4 2" xfId="759"/>
    <cellStyle name="Normal 3 4 2 10" xfId="21757"/>
    <cellStyle name="Normal 3 4 2 2" xfId="760"/>
    <cellStyle name="Normal 3 4 2 2 2" xfId="761"/>
    <cellStyle name="Normal 3 4 2 2 2 2" xfId="762"/>
    <cellStyle name="Normal 3 4 2 2 2 2 2" xfId="8680"/>
    <cellStyle name="Normal 3 4 2 2 2 2 2 2" xfId="11293"/>
    <cellStyle name="Normal 3 4 2 2 2 2 2 2 2" xfId="25615"/>
    <cellStyle name="Normal 3 4 2 2 2 2 2 3" xfId="24367"/>
    <cellStyle name="Normal 3 4 2 2 2 2 3" xfId="9322"/>
    <cellStyle name="Normal 3 4 2 2 2 2 3 2" xfId="24993"/>
    <cellStyle name="Normal 3 4 2 2 2 2 4" xfId="3570"/>
    <cellStyle name="Normal 3 4 2 2 2 2 5" xfId="21760"/>
    <cellStyle name="Normal 3 4 2 2 2 3" xfId="8399"/>
    <cellStyle name="Normal 3 4 2 2 2 3 2" xfId="11012"/>
    <cellStyle name="Normal 3 4 2 2 2 3 2 2" xfId="25334"/>
    <cellStyle name="Normal 3 4 2 2 2 3 3" xfId="24086"/>
    <cellStyle name="Normal 3 4 2 2 2 4" xfId="8965"/>
    <cellStyle name="Normal 3 4 2 2 2 4 2" xfId="24652"/>
    <cellStyle name="Normal 3 4 2 2 2 5" xfId="3122"/>
    <cellStyle name="Normal 3 4 2 2 2 6" xfId="21759"/>
    <cellStyle name="Normal 3 4 2 2 3" xfId="763"/>
    <cellStyle name="Normal 3 4 2 2 3 2" xfId="8512"/>
    <cellStyle name="Normal 3 4 2 2 3 2 2" xfId="11125"/>
    <cellStyle name="Normal 3 4 2 2 3 2 2 2" xfId="25447"/>
    <cellStyle name="Normal 3 4 2 2 3 2 3" xfId="24199"/>
    <cellStyle name="Normal 3 4 2 2 3 3" xfId="9153"/>
    <cellStyle name="Normal 3 4 2 2 3 3 2" xfId="24825"/>
    <cellStyle name="Normal 3 4 2 2 3 4" xfId="3393"/>
    <cellStyle name="Normal 3 4 2 2 3 5" xfId="21761"/>
    <cellStyle name="Normal 3 4 2 2 4" xfId="8231"/>
    <cellStyle name="Normal 3 4 2 2 4 2" xfId="10844"/>
    <cellStyle name="Normal 3 4 2 2 4 2 2" xfId="25166"/>
    <cellStyle name="Normal 3 4 2 2 4 3" xfId="23918"/>
    <cellStyle name="Normal 3 4 2 2 5" xfId="8797"/>
    <cellStyle name="Normal 3 4 2 2 5 2" xfId="24484"/>
    <cellStyle name="Normal 3 4 2 2 6" xfId="2944"/>
    <cellStyle name="Normal 3 4 2 2 7" xfId="21758"/>
    <cellStyle name="Normal 3 4 2 3" xfId="764"/>
    <cellStyle name="Normal 3 4 2 3 2" xfId="765"/>
    <cellStyle name="Normal 3 4 2 3 2 2" xfId="8568"/>
    <cellStyle name="Normal 3 4 2 3 2 2 2" xfId="11181"/>
    <cellStyle name="Normal 3 4 2 3 2 2 2 2" xfId="25503"/>
    <cellStyle name="Normal 3 4 2 3 2 2 3" xfId="24255"/>
    <cellStyle name="Normal 3 4 2 3 2 3" xfId="9209"/>
    <cellStyle name="Normal 3 4 2 3 2 3 2" xfId="24881"/>
    <cellStyle name="Normal 3 4 2 3 2 4" xfId="3449"/>
    <cellStyle name="Normal 3 4 2 3 2 5" xfId="21763"/>
    <cellStyle name="Normal 3 4 2 3 3" xfId="8287"/>
    <cellStyle name="Normal 3 4 2 3 3 2" xfId="10900"/>
    <cellStyle name="Normal 3 4 2 3 3 2 2" xfId="25222"/>
    <cellStyle name="Normal 3 4 2 3 3 3" xfId="23974"/>
    <cellStyle name="Normal 3 4 2 3 4" xfId="8853"/>
    <cellStyle name="Normal 3 4 2 3 4 2" xfId="24540"/>
    <cellStyle name="Normal 3 4 2 3 5" xfId="3000"/>
    <cellStyle name="Normal 3 4 2 3 6" xfId="21762"/>
    <cellStyle name="Normal 3 4 2 4" xfId="766"/>
    <cellStyle name="Normal 3 4 2 4 2" xfId="767"/>
    <cellStyle name="Normal 3 4 2 4 2 2" xfId="8623"/>
    <cellStyle name="Normal 3 4 2 4 2 2 2" xfId="11236"/>
    <cellStyle name="Normal 3 4 2 4 2 2 2 2" xfId="25558"/>
    <cellStyle name="Normal 3 4 2 4 2 2 3" xfId="24310"/>
    <cellStyle name="Normal 3 4 2 4 2 3" xfId="9265"/>
    <cellStyle name="Normal 3 4 2 4 2 3 2" xfId="24936"/>
    <cellStyle name="Normal 3 4 2 4 2 4" xfId="3513"/>
    <cellStyle name="Normal 3 4 2 4 2 5" xfId="21765"/>
    <cellStyle name="Normal 3 4 2 4 3" xfId="8342"/>
    <cellStyle name="Normal 3 4 2 4 3 2" xfId="10955"/>
    <cellStyle name="Normal 3 4 2 4 3 2 2" xfId="25277"/>
    <cellStyle name="Normal 3 4 2 4 3 3" xfId="24029"/>
    <cellStyle name="Normal 3 4 2 4 4" xfId="8908"/>
    <cellStyle name="Normal 3 4 2 4 4 2" xfId="24595"/>
    <cellStyle name="Normal 3 4 2 4 5" xfId="3065"/>
    <cellStyle name="Normal 3 4 2 4 6" xfId="21764"/>
    <cellStyle name="Normal 3 4 2 5" xfId="768"/>
    <cellStyle name="Normal 3 4 2 5 2" xfId="8460"/>
    <cellStyle name="Normal 3 4 2 5 2 2" xfId="11073"/>
    <cellStyle name="Normal 3 4 2 5 2 2 2" xfId="25395"/>
    <cellStyle name="Normal 3 4 2 5 2 3" xfId="24147"/>
    <cellStyle name="Normal 3 4 2 5 3" xfId="9032"/>
    <cellStyle name="Normal 3 4 2 5 3 2" xfId="24713"/>
    <cellStyle name="Normal 3 4 2 5 4" xfId="3224"/>
    <cellStyle name="Normal 3 4 2 5 5" xfId="21766"/>
    <cellStyle name="Normal 3 4 2 6" xfId="769"/>
    <cellStyle name="Normal 3 4 2 6 2" xfId="8174"/>
    <cellStyle name="Normal 3 4 2 6 2 2" xfId="10787"/>
    <cellStyle name="Normal 3 4 2 6 2 2 2" xfId="25109"/>
    <cellStyle name="Normal 3 4 2 6 2 3" xfId="23861"/>
    <cellStyle name="Normal 3 4 2 6 3" xfId="9096"/>
    <cellStyle name="Normal 3 4 2 6 3 2" xfId="24768"/>
    <cellStyle name="Normal 3 4 2 6 4" xfId="3336"/>
    <cellStyle name="Normal 3 4 2 6 5" xfId="21767"/>
    <cellStyle name="Normal 3 4 2 7" xfId="8119"/>
    <cellStyle name="Normal 3 4 2 7 2" xfId="10732"/>
    <cellStyle name="Normal 3 4 2 7 2 2" xfId="25054"/>
    <cellStyle name="Normal 3 4 2 7 3" xfId="23806"/>
    <cellStyle name="Normal 3 4 2 8" xfId="8740"/>
    <cellStyle name="Normal 3 4 2 8 2" xfId="24427"/>
    <cellStyle name="Normal 3 4 2 9" xfId="2887"/>
    <cellStyle name="Normal 3 4 3" xfId="770"/>
    <cellStyle name="Normal 3 4 3 2" xfId="771"/>
    <cellStyle name="Normal 3 4 3 2 2" xfId="772"/>
    <cellStyle name="Normal 3 4 3 2 2 2" xfId="8654"/>
    <cellStyle name="Normal 3 4 3 2 2 2 2" xfId="11267"/>
    <cellStyle name="Normal 3 4 3 2 2 2 2 2" xfId="25589"/>
    <cellStyle name="Normal 3 4 3 2 2 2 3" xfId="24341"/>
    <cellStyle name="Normal 3 4 3 2 2 3" xfId="9296"/>
    <cellStyle name="Normal 3 4 3 2 2 3 2" xfId="24967"/>
    <cellStyle name="Normal 3 4 3 2 2 4" xfId="3544"/>
    <cellStyle name="Normal 3 4 3 2 2 5" xfId="21770"/>
    <cellStyle name="Normal 3 4 3 2 3" xfId="8373"/>
    <cellStyle name="Normal 3 4 3 2 3 2" xfId="10986"/>
    <cellStyle name="Normal 3 4 3 2 3 2 2" xfId="25308"/>
    <cellStyle name="Normal 3 4 3 2 3 3" xfId="24060"/>
    <cellStyle name="Normal 3 4 3 2 4" xfId="8939"/>
    <cellStyle name="Normal 3 4 3 2 4 2" xfId="24626"/>
    <cellStyle name="Normal 3 4 3 2 5" xfId="3096"/>
    <cellStyle name="Normal 3 4 3 2 6" xfId="21769"/>
    <cellStyle name="Normal 3 4 3 3" xfId="773"/>
    <cellStyle name="Normal 3 4 3 3 2" xfId="8487"/>
    <cellStyle name="Normal 3 4 3 3 2 2" xfId="11100"/>
    <cellStyle name="Normal 3 4 3 3 2 2 2" xfId="25422"/>
    <cellStyle name="Normal 3 4 3 3 2 3" xfId="24174"/>
    <cellStyle name="Normal 3 4 3 3 3" xfId="9127"/>
    <cellStyle name="Normal 3 4 3 3 3 2" xfId="24799"/>
    <cellStyle name="Normal 3 4 3 3 4" xfId="3367"/>
    <cellStyle name="Normal 3 4 3 3 5" xfId="21771"/>
    <cellStyle name="Normal 3 4 3 4" xfId="8205"/>
    <cellStyle name="Normal 3 4 3 4 2" xfId="10818"/>
    <cellStyle name="Normal 3 4 3 4 2 2" xfId="25140"/>
    <cellStyle name="Normal 3 4 3 4 3" xfId="23892"/>
    <cellStyle name="Normal 3 4 3 5" xfId="8771"/>
    <cellStyle name="Normal 3 4 3 5 2" xfId="24458"/>
    <cellStyle name="Normal 3 4 3 6" xfId="2918"/>
    <cellStyle name="Normal 3 4 3 7" xfId="21768"/>
    <cellStyle name="Normal 3 4 4" xfId="774"/>
    <cellStyle name="Normal 3 4 4 2" xfId="775"/>
    <cellStyle name="Normal 3 4 4 2 2" xfId="8542"/>
    <cellStyle name="Normal 3 4 4 2 2 2" xfId="11155"/>
    <cellStyle name="Normal 3 4 4 2 2 2 2" xfId="25477"/>
    <cellStyle name="Normal 3 4 4 2 2 3" xfId="24229"/>
    <cellStyle name="Normal 3 4 4 2 3" xfId="9183"/>
    <cellStyle name="Normal 3 4 4 2 3 2" xfId="24855"/>
    <cellStyle name="Normal 3 4 4 2 4" xfId="3423"/>
    <cellStyle name="Normal 3 4 4 2 5" xfId="21773"/>
    <cellStyle name="Normal 3 4 4 3" xfId="8261"/>
    <cellStyle name="Normal 3 4 4 3 2" xfId="10874"/>
    <cellStyle name="Normal 3 4 4 3 2 2" xfId="25196"/>
    <cellStyle name="Normal 3 4 4 3 3" xfId="23948"/>
    <cellStyle name="Normal 3 4 4 4" xfId="8827"/>
    <cellStyle name="Normal 3 4 4 4 2" xfId="24514"/>
    <cellStyle name="Normal 3 4 4 5" xfId="2974"/>
    <cellStyle name="Normal 3 4 4 6" xfId="21772"/>
    <cellStyle name="Normal 3 4 5" xfId="776"/>
    <cellStyle name="Normal 3 4 5 2" xfId="777"/>
    <cellStyle name="Normal 3 4 5 2 2" xfId="8592"/>
    <cellStyle name="Normal 3 4 5 2 2 2" xfId="11205"/>
    <cellStyle name="Normal 3 4 5 2 2 2 2" xfId="25527"/>
    <cellStyle name="Normal 3 4 5 2 2 3" xfId="24279"/>
    <cellStyle name="Normal 3 4 5 2 3" xfId="9234"/>
    <cellStyle name="Normal 3 4 5 2 3 2" xfId="24905"/>
    <cellStyle name="Normal 3 4 5 2 4" xfId="3481"/>
    <cellStyle name="Normal 3 4 5 2 5" xfId="21775"/>
    <cellStyle name="Normal 3 4 5 3" xfId="8311"/>
    <cellStyle name="Normal 3 4 5 3 2" xfId="10924"/>
    <cellStyle name="Normal 3 4 5 3 2 2" xfId="25246"/>
    <cellStyle name="Normal 3 4 5 3 3" xfId="23998"/>
    <cellStyle name="Normal 3 4 5 4" xfId="8877"/>
    <cellStyle name="Normal 3 4 5 4 2" xfId="24564"/>
    <cellStyle name="Normal 3 4 5 5" xfId="3034"/>
    <cellStyle name="Normal 3 4 5 6" xfId="21774"/>
    <cellStyle name="Normal 3 4 6" xfId="778"/>
    <cellStyle name="Normal 3 4 6 2" xfId="8439"/>
    <cellStyle name="Normal 3 4 6 2 2" xfId="11052"/>
    <cellStyle name="Normal 3 4 6 2 2 2" xfId="25374"/>
    <cellStyle name="Normal 3 4 6 2 3" xfId="24126"/>
    <cellStyle name="Normal 3 4 6 3" xfId="9011"/>
    <cellStyle name="Normal 3 4 6 3 2" xfId="24692"/>
    <cellStyle name="Normal 3 4 6 4" xfId="3202"/>
    <cellStyle name="Normal 3 4 6 5" xfId="21776"/>
    <cellStyle name="Normal 3 4 7" xfId="779"/>
    <cellStyle name="Normal 3 4 7 2" xfId="8143"/>
    <cellStyle name="Normal 3 4 7 2 2" xfId="10756"/>
    <cellStyle name="Normal 3 4 7 2 2 2" xfId="25078"/>
    <cellStyle name="Normal 3 4 7 2 3" xfId="23830"/>
    <cellStyle name="Normal 3 4 7 3" xfId="9065"/>
    <cellStyle name="Normal 3 4 7 3 2" xfId="24737"/>
    <cellStyle name="Normal 3 4 7 4" xfId="3305"/>
    <cellStyle name="Normal 3 4 7 5" xfId="21777"/>
    <cellStyle name="Normal 3 4 8" xfId="8098"/>
    <cellStyle name="Normal 3 4 8 2" xfId="10711"/>
    <cellStyle name="Normal 3 4 8 2 2" xfId="25033"/>
    <cellStyle name="Normal 3 4 8 3" xfId="23785"/>
    <cellStyle name="Normal 3 4 9" xfId="8709"/>
    <cellStyle name="Normal 3 4 9 2" xfId="24396"/>
    <cellStyle name="Normal 3 5" xfId="780"/>
    <cellStyle name="Normal 3 5 10" xfId="2858"/>
    <cellStyle name="Normal 3 5 11" xfId="21778"/>
    <cellStyle name="Normal 3 5 2" xfId="781"/>
    <cellStyle name="Normal 3 5 2 10" xfId="21779"/>
    <cellStyle name="Normal 3 5 2 2" xfId="782"/>
    <cellStyle name="Normal 3 5 2 2 2" xfId="783"/>
    <cellStyle name="Normal 3 5 2 2 2 2" xfId="784"/>
    <cellStyle name="Normal 3 5 2 2 2 2 2" xfId="8685"/>
    <cellStyle name="Normal 3 5 2 2 2 2 2 2" xfId="11298"/>
    <cellStyle name="Normal 3 5 2 2 2 2 2 2 2" xfId="25620"/>
    <cellStyle name="Normal 3 5 2 2 2 2 2 3" xfId="24372"/>
    <cellStyle name="Normal 3 5 2 2 2 2 3" xfId="9327"/>
    <cellStyle name="Normal 3 5 2 2 2 2 3 2" xfId="24998"/>
    <cellStyle name="Normal 3 5 2 2 2 2 4" xfId="3575"/>
    <cellStyle name="Normal 3 5 2 2 2 2 5" xfId="21782"/>
    <cellStyle name="Normal 3 5 2 2 2 3" xfId="8404"/>
    <cellStyle name="Normal 3 5 2 2 2 3 2" xfId="11017"/>
    <cellStyle name="Normal 3 5 2 2 2 3 2 2" xfId="25339"/>
    <cellStyle name="Normal 3 5 2 2 2 3 3" xfId="24091"/>
    <cellStyle name="Normal 3 5 2 2 2 4" xfId="8970"/>
    <cellStyle name="Normal 3 5 2 2 2 4 2" xfId="24657"/>
    <cellStyle name="Normal 3 5 2 2 2 5" xfId="3127"/>
    <cellStyle name="Normal 3 5 2 2 2 6" xfId="21781"/>
    <cellStyle name="Normal 3 5 2 2 3" xfId="785"/>
    <cellStyle name="Normal 3 5 2 2 3 2" xfId="8517"/>
    <cellStyle name="Normal 3 5 2 2 3 2 2" xfId="11130"/>
    <cellStyle name="Normal 3 5 2 2 3 2 2 2" xfId="25452"/>
    <cellStyle name="Normal 3 5 2 2 3 2 3" xfId="24204"/>
    <cellStyle name="Normal 3 5 2 2 3 3" xfId="9158"/>
    <cellStyle name="Normal 3 5 2 2 3 3 2" xfId="24830"/>
    <cellStyle name="Normal 3 5 2 2 3 4" xfId="3398"/>
    <cellStyle name="Normal 3 5 2 2 3 5" xfId="21783"/>
    <cellStyle name="Normal 3 5 2 2 4" xfId="8236"/>
    <cellStyle name="Normal 3 5 2 2 4 2" xfId="10849"/>
    <cellStyle name="Normal 3 5 2 2 4 2 2" xfId="25171"/>
    <cellStyle name="Normal 3 5 2 2 4 3" xfId="23923"/>
    <cellStyle name="Normal 3 5 2 2 5" xfId="8802"/>
    <cellStyle name="Normal 3 5 2 2 5 2" xfId="24489"/>
    <cellStyle name="Normal 3 5 2 2 6" xfId="2949"/>
    <cellStyle name="Normal 3 5 2 2 7" xfId="21780"/>
    <cellStyle name="Normal 3 5 2 3" xfId="786"/>
    <cellStyle name="Normal 3 5 2 3 2" xfId="787"/>
    <cellStyle name="Normal 3 5 2 3 2 2" xfId="8573"/>
    <cellStyle name="Normal 3 5 2 3 2 2 2" xfId="11186"/>
    <cellStyle name="Normal 3 5 2 3 2 2 2 2" xfId="25508"/>
    <cellStyle name="Normal 3 5 2 3 2 2 3" xfId="24260"/>
    <cellStyle name="Normal 3 5 2 3 2 3" xfId="9214"/>
    <cellStyle name="Normal 3 5 2 3 2 3 2" xfId="24886"/>
    <cellStyle name="Normal 3 5 2 3 2 4" xfId="3454"/>
    <cellStyle name="Normal 3 5 2 3 2 5" xfId="21785"/>
    <cellStyle name="Normal 3 5 2 3 3" xfId="8292"/>
    <cellStyle name="Normal 3 5 2 3 3 2" xfId="10905"/>
    <cellStyle name="Normal 3 5 2 3 3 2 2" xfId="25227"/>
    <cellStyle name="Normal 3 5 2 3 3 3" xfId="23979"/>
    <cellStyle name="Normal 3 5 2 3 4" xfId="8858"/>
    <cellStyle name="Normal 3 5 2 3 4 2" xfId="24545"/>
    <cellStyle name="Normal 3 5 2 3 5" xfId="3005"/>
    <cellStyle name="Normal 3 5 2 3 6" xfId="21784"/>
    <cellStyle name="Normal 3 5 2 4" xfId="788"/>
    <cellStyle name="Normal 3 5 2 4 2" xfId="789"/>
    <cellStyle name="Normal 3 5 2 4 2 2" xfId="8628"/>
    <cellStyle name="Normal 3 5 2 4 2 2 2" xfId="11241"/>
    <cellStyle name="Normal 3 5 2 4 2 2 2 2" xfId="25563"/>
    <cellStyle name="Normal 3 5 2 4 2 2 3" xfId="24315"/>
    <cellStyle name="Normal 3 5 2 4 2 3" xfId="9270"/>
    <cellStyle name="Normal 3 5 2 4 2 3 2" xfId="24941"/>
    <cellStyle name="Normal 3 5 2 4 2 4" xfId="3518"/>
    <cellStyle name="Normal 3 5 2 4 2 5" xfId="21787"/>
    <cellStyle name="Normal 3 5 2 4 3" xfId="8347"/>
    <cellStyle name="Normal 3 5 2 4 3 2" xfId="10960"/>
    <cellStyle name="Normal 3 5 2 4 3 2 2" xfId="25282"/>
    <cellStyle name="Normal 3 5 2 4 3 3" xfId="24034"/>
    <cellStyle name="Normal 3 5 2 4 4" xfId="8913"/>
    <cellStyle name="Normal 3 5 2 4 4 2" xfId="24600"/>
    <cellStyle name="Normal 3 5 2 4 5" xfId="3070"/>
    <cellStyle name="Normal 3 5 2 4 6" xfId="21786"/>
    <cellStyle name="Normal 3 5 2 5" xfId="790"/>
    <cellStyle name="Normal 3 5 2 5 2" xfId="8465"/>
    <cellStyle name="Normal 3 5 2 5 2 2" xfId="11078"/>
    <cellStyle name="Normal 3 5 2 5 2 2 2" xfId="25400"/>
    <cellStyle name="Normal 3 5 2 5 2 3" xfId="24152"/>
    <cellStyle name="Normal 3 5 2 5 3" xfId="9037"/>
    <cellStyle name="Normal 3 5 2 5 3 2" xfId="24718"/>
    <cellStyle name="Normal 3 5 2 5 4" xfId="3229"/>
    <cellStyle name="Normal 3 5 2 5 5" xfId="21788"/>
    <cellStyle name="Normal 3 5 2 6" xfId="791"/>
    <cellStyle name="Normal 3 5 2 6 2" xfId="8179"/>
    <cellStyle name="Normal 3 5 2 6 2 2" xfId="10792"/>
    <cellStyle name="Normal 3 5 2 6 2 2 2" xfId="25114"/>
    <cellStyle name="Normal 3 5 2 6 2 3" xfId="23866"/>
    <cellStyle name="Normal 3 5 2 6 3" xfId="9101"/>
    <cellStyle name="Normal 3 5 2 6 3 2" xfId="24773"/>
    <cellStyle name="Normal 3 5 2 6 4" xfId="3341"/>
    <cellStyle name="Normal 3 5 2 6 5" xfId="21789"/>
    <cellStyle name="Normal 3 5 2 7" xfId="8124"/>
    <cellStyle name="Normal 3 5 2 7 2" xfId="10737"/>
    <cellStyle name="Normal 3 5 2 7 2 2" xfId="25059"/>
    <cellStyle name="Normal 3 5 2 7 3" xfId="23811"/>
    <cellStyle name="Normal 3 5 2 8" xfId="8745"/>
    <cellStyle name="Normal 3 5 2 8 2" xfId="24432"/>
    <cellStyle name="Normal 3 5 2 9" xfId="2892"/>
    <cellStyle name="Normal 3 5 3" xfId="792"/>
    <cellStyle name="Normal 3 5 3 2" xfId="793"/>
    <cellStyle name="Normal 3 5 3 2 2" xfId="794"/>
    <cellStyle name="Normal 3 5 3 2 2 2" xfId="8659"/>
    <cellStyle name="Normal 3 5 3 2 2 2 2" xfId="11272"/>
    <cellStyle name="Normal 3 5 3 2 2 2 2 2" xfId="25594"/>
    <cellStyle name="Normal 3 5 3 2 2 2 3" xfId="24346"/>
    <cellStyle name="Normal 3 5 3 2 2 3" xfId="9301"/>
    <cellStyle name="Normal 3 5 3 2 2 3 2" xfId="24972"/>
    <cellStyle name="Normal 3 5 3 2 2 4" xfId="3549"/>
    <cellStyle name="Normal 3 5 3 2 2 5" xfId="21792"/>
    <cellStyle name="Normal 3 5 3 2 3" xfId="8378"/>
    <cellStyle name="Normal 3 5 3 2 3 2" xfId="10991"/>
    <cellStyle name="Normal 3 5 3 2 3 2 2" xfId="25313"/>
    <cellStyle name="Normal 3 5 3 2 3 3" xfId="24065"/>
    <cellStyle name="Normal 3 5 3 2 4" xfId="8944"/>
    <cellStyle name="Normal 3 5 3 2 4 2" xfId="24631"/>
    <cellStyle name="Normal 3 5 3 2 5" xfId="3101"/>
    <cellStyle name="Normal 3 5 3 2 6" xfId="21791"/>
    <cellStyle name="Normal 3 5 3 3" xfId="795"/>
    <cellStyle name="Normal 3 5 3 3 2" xfId="8491"/>
    <cellStyle name="Normal 3 5 3 3 2 2" xfId="11104"/>
    <cellStyle name="Normal 3 5 3 3 2 2 2" xfId="25426"/>
    <cellStyle name="Normal 3 5 3 3 2 3" xfId="24178"/>
    <cellStyle name="Normal 3 5 3 3 3" xfId="9132"/>
    <cellStyle name="Normal 3 5 3 3 3 2" xfId="24804"/>
    <cellStyle name="Normal 3 5 3 3 4" xfId="3372"/>
    <cellStyle name="Normal 3 5 3 3 5" xfId="21793"/>
    <cellStyle name="Normal 3 5 3 4" xfId="8210"/>
    <cellStyle name="Normal 3 5 3 4 2" xfId="10823"/>
    <cellStyle name="Normal 3 5 3 4 2 2" xfId="25145"/>
    <cellStyle name="Normal 3 5 3 4 3" xfId="23897"/>
    <cellStyle name="Normal 3 5 3 5" xfId="8776"/>
    <cellStyle name="Normal 3 5 3 5 2" xfId="24463"/>
    <cellStyle name="Normal 3 5 3 6" xfId="2923"/>
    <cellStyle name="Normal 3 5 3 7" xfId="21790"/>
    <cellStyle name="Normal 3 5 4" xfId="796"/>
    <cellStyle name="Normal 3 5 4 2" xfId="797"/>
    <cellStyle name="Normal 3 5 4 2 2" xfId="8547"/>
    <cellStyle name="Normal 3 5 4 2 2 2" xfId="11160"/>
    <cellStyle name="Normal 3 5 4 2 2 2 2" xfId="25482"/>
    <cellStyle name="Normal 3 5 4 2 2 3" xfId="24234"/>
    <cellStyle name="Normal 3 5 4 2 3" xfId="9188"/>
    <cellStyle name="Normal 3 5 4 2 3 2" xfId="24860"/>
    <cellStyle name="Normal 3 5 4 2 4" xfId="3428"/>
    <cellStyle name="Normal 3 5 4 2 5" xfId="21795"/>
    <cellStyle name="Normal 3 5 4 3" xfId="8266"/>
    <cellStyle name="Normal 3 5 4 3 2" xfId="10879"/>
    <cellStyle name="Normal 3 5 4 3 2 2" xfId="25201"/>
    <cellStyle name="Normal 3 5 4 3 3" xfId="23953"/>
    <cellStyle name="Normal 3 5 4 4" xfId="8832"/>
    <cellStyle name="Normal 3 5 4 4 2" xfId="24519"/>
    <cellStyle name="Normal 3 5 4 5" xfId="2979"/>
    <cellStyle name="Normal 3 5 4 6" xfId="21794"/>
    <cellStyle name="Normal 3 5 5" xfId="798"/>
    <cellStyle name="Normal 3 5 5 2" xfId="799"/>
    <cellStyle name="Normal 3 5 5 2 2" xfId="8597"/>
    <cellStyle name="Normal 3 5 5 2 2 2" xfId="11210"/>
    <cellStyle name="Normal 3 5 5 2 2 2 2" xfId="25532"/>
    <cellStyle name="Normal 3 5 5 2 2 3" xfId="24284"/>
    <cellStyle name="Normal 3 5 5 2 3" xfId="9239"/>
    <cellStyle name="Normal 3 5 5 2 3 2" xfId="24910"/>
    <cellStyle name="Normal 3 5 5 2 4" xfId="3486"/>
    <cellStyle name="Normal 3 5 5 2 5" xfId="21797"/>
    <cellStyle name="Normal 3 5 5 3" xfId="8316"/>
    <cellStyle name="Normal 3 5 5 3 2" xfId="10929"/>
    <cellStyle name="Normal 3 5 5 3 2 2" xfId="25251"/>
    <cellStyle name="Normal 3 5 5 3 3" xfId="24003"/>
    <cellStyle name="Normal 3 5 5 4" xfId="8882"/>
    <cellStyle name="Normal 3 5 5 4 2" xfId="24569"/>
    <cellStyle name="Normal 3 5 5 5" xfId="3039"/>
    <cellStyle name="Normal 3 5 5 6" xfId="21796"/>
    <cellStyle name="Normal 3 5 6" xfId="800"/>
    <cellStyle name="Normal 3 5 6 2" xfId="8441"/>
    <cellStyle name="Normal 3 5 6 2 2" xfId="11054"/>
    <cellStyle name="Normal 3 5 6 2 2 2" xfId="25376"/>
    <cellStyle name="Normal 3 5 6 2 3" xfId="24128"/>
    <cellStyle name="Normal 3 5 6 3" xfId="9013"/>
    <cellStyle name="Normal 3 5 6 3 2" xfId="24694"/>
    <cellStyle name="Normal 3 5 6 4" xfId="3204"/>
    <cellStyle name="Normal 3 5 6 5" xfId="21798"/>
    <cellStyle name="Normal 3 5 7" xfId="801"/>
    <cellStyle name="Normal 3 5 7 2" xfId="8148"/>
    <cellStyle name="Normal 3 5 7 2 2" xfId="10761"/>
    <cellStyle name="Normal 3 5 7 2 2 2" xfId="25083"/>
    <cellStyle name="Normal 3 5 7 2 3" xfId="23835"/>
    <cellStyle name="Normal 3 5 7 3" xfId="9070"/>
    <cellStyle name="Normal 3 5 7 3 2" xfId="24742"/>
    <cellStyle name="Normal 3 5 7 4" xfId="3310"/>
    <cellStyle name="Normal 3 5 7 5" xfId="21799"/>
    <cellStyle name="Normal 3 5 8" xfId="8100"/>
    <cellStyle name="Normal 3 5 8 2" xfId="10713"/>
    <cellStyle name="Normal 3 5 8 2 2" xfId="25035"/>
    <cellStyle name="Normal 3 5 8 3" xfId="23787"/>
    <cellStyle name="Normal 3 5 9" xfId="8714"/>
    <cellStyle name="Normal 3 5 9 2" xfId="24401"/>
    <cellStyle name="Normal 3 6" xfId="802"/>
    <cellStyle name="Normal 3 6 10" xfId="21800"/>
    <cellStyle name="Normal 3 6 2" xfId="803"/>
    <cellStyle name="Normal 3 6 2 2" xfId="804"/>
    <cellStyle name="Normal 3 6 2 2 2" xfId="805"/>
    <cellStyle name="Normal 3 6 2 2 2 2" xfId="8670"/>
    <cellStyle name="Normal 3 6 2 2 2 2 2" xfId="11283"/>
    <cellStyle name="Normal 3 6 2 2 2 2 2 2" xfId="25605"/>
    <cellStyle name="Normal 3 6 2 2 2 2 3" xfId="24357"/>
    <cellStyle name="Normal 3 6 2 2 2 3" xfId="9312"/>
    <cellStyle name="Normal 3 6 2 2 2 3 2" xfId="24983"/>
    <cellStyle name="Normal 3 6 2 2 2 4" xfId="3560"/>
    <cellStyle name="Normal 3 6 2 2 2 5" xfId="21803"/>
    <cellStyle name="Normal 3 6 2 2 3" xfId="8389"/>
    <cellStyle name="Normal 3 6 2 2 3 2" xfId="11002"/>
    <cellStyle name="Normal 3 6 2 2 3 2 2" xfId="25324"/>
    <cellStyle name="Normal 3 6 2 2 3 3" xfId="24076"/>
    <cellStyle name="Normal 3 6 2 2 4" xfId="8955"/>
    <cellStyle name="Normal 3 6 2 2 4 2" xfId="24642"/>
    <cellStyle name="Normal 3 6 2 2 5" xfId="3112"/>
    <cellStyle name="Normal 3 6 2 2 6" xfId="21802"/>
    <cellStyle name="Normal 3 6 2 3" xfId="806"/>
    <cellStyle name="Normal 3 6 2 3 2" xfId="8502"/>
    <cellStyle name="Normal 3 6 2 3 2 2" xfId="11115"/>
    <cellStyle name="Normal 3 6 2 3 2 2 2" xfId="25437"/>
    <cellStyle name="Normal 3 6 2 3 2 3" xfId="24189"/>
    <cellStyle name="Normal 3 6 2 3 3" xfId="9143"/>
    <cellStyle name="Normal 3 6 2 3 3 2" xfId="24815"/>
    <cellStyle name="Normal 3 6 2 3 4" xfId="3383"/>
    <cellStyle name="Normal 3 6 2 3 5" xfId="21804"/>
    <cellStyle name="Normal 3 6 2 4" xfId="8221"/>
    <cellStyle name="Normal 3 6 2 4 2" xfId="10834"/>
    <cellStyle name="Normal 3 6 2 4 2 2" xfId="25156"/>
    <cellStyle name="Normal 3 6 2 4 3" xfId="23908"/>
    <cellStyle name="Normal 3 6 2 5" xfId="8787"/>
    <cellStyle name="Normal 3 6 2 5 2" xfId="24474"/>
    <cellStyle name="Normal 3 6 2 6" xfId="2934"/>
    <cellStyle name="Normal 3 6 2 7" xfId="21801"/>
    <cellStyle name="Normal 3 6 3" xfId="807"/>
    <cellStyle name="Normal 3 6 3 2" xfId="808"/>
    <cellStyle name="Normal 3 6 3 2 2" xfId="8558"/>
    <cellStyle name="Normal 3 6 3 2 2 2" xfId="11171"/>
    <cellStyle name="Normal 3 6 3 2 2 2 2" xfId="25493"/>
    <cellStyle name="Normal 3 6 3 2 2 3" xfId="24245"/>
    <cellStyle name="Normal 3 6 3 2 3" xfId="9199"/>
    <cellStyle name="Normal 3 6 3 2 3 2" xfId="24871"/>
    <cellStyle name="Normal 3 6 3 2 4" xfId="3439"/>
    <cellStyle name="Normal 3 6 3 2 5" xfId="21806"/>
    <cellStyle name="Normal 3 6 3 3" xfId="8277"/>
    <cellStyle name="Normal 3 6 3 3 2" xfId="10890"/>
    <cellStyle name="Normal 3 6 3 3 2 2" xfId="25212"/>
    <cellStyle name="Normal 3 6 3 3 3" xfId="23964"/>
    <cellStyle name="Normal 3 6 3 4" xfId="8843"/>
    <cellStyle name="Normal 3 6 3 4 2" xfId="24530"/>
    <cellStyle name="Normal 3 6 3 5" xfId="2990"/>
    <cellStyle name="Normal 3 6 3 6" xfId="21805"/>
    <cellStyle name="Normal 3 6 4" xfId="809"/>
    <cellStyle name="Normal 3 6 4 2" xfId="810"/>
    <cellStyle name="Normal 3 6 4 2 2" xfId="8608"/>
    <cellStyle name="Normal 3 6 4 2 2 2" xfId="11221"/>
    <cellStyle name="Normal 3 6 4 2 2 2 2" xfId="25543"/>
    <cellStyle name="Normal 3 6 4 2 2 3" xfId="24295"/>
    <cellStyle name="Normal 3 6 4 2 3" xfId="9250"/>
    <cellStyle name="Normal 3 6 4 2 3 2" xfId="24921"/>
    <cellStyle name="Normal 3 6 4 2 4" xfId="3497"/>
    <cellStyle name="Normal 3 6 4 2 5" xfId="21808"/>
    <cellStyle name="Normal 3 6 4 3" xfId="8327"/>
    <cellStyle name="Normal 3 6 4 3 2" xfId="10940"/>
    <cellStyle name="Normal 3 6 4 3 2 2" xfId="25262"/>
    <cellStyle name="Normal 3 6 4 3 3" xfId="24014"/>
    <cellStyle name="Normal 3 6 4 4" xfId="8893"/>
    <cellStyle name="Normal 3 6 4 4 2" xfId="24580"/>
    <cellStyle name="Normal 3 6 4 5" xfId="3050"/>
    <cellStyle name="Normal 3 6 4 6" xfId="21807"/>
    <cellStyle name="Normal 3 6 5" xfId="811"/>
    <cellStyle name="Normal 3 6 5 2" xfId="8451"/>
    <cellStyle name="Normal 3 6 5 2 2" xfId="11064"/>
    <cellStyle name="Normal 3 6 5 2 2 2" xfId="25386"/>
    <cellStyle name="Normal 3 6 5 2 3" xfId="24138"/>
    <cellStyle name="Normal 3 6 5 3" xfId="9023"/>
    <cellStyle name="Normal 3 6 5 3 2" xfId="24704"/>
    <cellStyle name="Normal 3 6 5 4" xfId="3214"/>
    <cellStyle name="Normal 3 6 5 5" xfId="21809"/>
    <cellStyle name="Normal 3 6 6" xfId="812"/>
    <cellStyle name="Normal 3 6 6 2" xfId="8159"/>
    <cellStyle name="Normal 3 6 6 2 2" xfId="10772"/>
    <cellStyle name="Normal 3 6 6 2 2 2" xfId="25094"/>
    <cellStyle name="Normal 3 6 6 2 3" xfId="23846"/>
    <cellStyle name="Normal 3 6 6 3" xfId="9081"/>
    <cellStyle name="Normal 3 6 6 3 2" xfId="24753"/>
    <cellStyle name="Normal 3 6 6 4" xfId="3321"/>
    <cellStyle name="Normal 3 6 6 5" xfId="21810"/>
    <cellStyle name="Normal 3 6 7" xfId="8110"/>
    <cellStyle name="Normal 3 6 7 2" xfId="10723"/>
    <cellStyle name="Normal 3 6 7 2 2" xfId="25045"/>
    <cellStyle name="Normal 3 6 7 3" xfId="23797"/>
    <cellStyle name="Normal 3 6 8" xfId="8725"/>
    <cellStyle name="Normal 3 6 8 2" xfId="24412"/>
    <cellStyle name="Normal 3 6 9" xfId="2870"/>
    <cellStyle name="Normal 3 7" xfId="813"/>
    <cellStyle name="Normal 3 7 10" xfId="21811"/>
    <cellStyle name="Normal 3 7 2" xfId="814"/>
    <cellStyle name="Normal 3 7 2 2" xfId="815"/>
    <cellStyle name="Normal 3 7 2 2 2" xfId="816"/>
    <cellStyle name="Normal 3 7 2 2 2 2" xfId="8645"/>
    <cellStyle name="Normal 3 7 2 2 2 2 2" xfId="11258"/>
    <cellStyle name="Normal 3 7 2 2 2 2 2 2" xfId="25580"/>
    <cellStyle name="Normal 3 7 2 2 2 2 3" xfId="24332"/>
    <cellStyle name="Normal 3 7 2 2 2 3" xfId="9287"/>
    <cellStyle name="Normal 3 7 2 2 2 3 2" xfId="24958"/>
    <cellStyle name="Normal 3 7 2 2 2 4" xfId="3535"/>
    <cellStyle name="Normal 3 7 2 2 2 5" xfId="21814"/>
    <cellStyle name="Normal 3 7 2 2 3" xfId="8364"/>
    <cellStyle name="Normal 3 7 2 2 3 2" xfId="10977"/>
    <cellStyle name="Normal 3 7 2 2 3 2 2" xfId="25299"/>
    <cellStyle name="Normal 3 7 2 2 3 3" xfId="24051"/>
    <cellStyle name="Normal 3 7 2 2 4" xfId="8930"/>
    <cellStyle name="Normal 3 7 2 2 4 2" xfId="24617"/>
    <cellStyle name="Normal 3 7 2 2 5" xfId="3087"/>
    <cellStyle name="Normal 3 7 2 2 6" xfId="21813"/>
    <cellStyle name="Normal 3 7 2 3" xfId="817"/>
    <cellStyle name="Normal 3 7 2 3 2" xfId="8481"/>
    <cellStyle name="Normal 3 7 2 3 2 2" xfId="11094"/>
    <cellStyle name="Normal 3 7 2 3 2 2 2" xfId="25416"/>
    <cellStyle name="Normal 3 7 2 3 2 3" xfId="24168"/>
    <cellStyle name="Normal 3 7 2 3 3" xfId="9118"/>
    <cellStyle name="Normal 3 7 2 3 3 2" xfId="24790"/>
    <cellStyle name="Normal 3 7 2 3 4" xfId="3358"/>
    <cellStyle name="Normal 3 7 2 3 5" xfId="21815"/>
    <cellStyle name="Normal 3 7 2 4" xfId="8196"/>
    <cellStyle name="Normal 3 7 2 4 2" xfId="10809"/>
    <cellStyle name="Normal 3 7 2 4 2 2" xfId="25131"/>
    <cellStyle name="Normal 3 7 2 4 3" xfId="23883"/>
    <cellStyle name="Normal 3 7 2 5" xfId="8762"/>
    <cellStyle name="Normal 3 7 2 5 2" xfId="24449"/>
    <cellStyle name="Normal 3 7 2 6" xfId="2909"/>
    <cellStyle name="Normal 3 7 2 7" xfId="21812"/>
    <cellStyle name="Normal 3 7 3" xfId="818"/>
    <cellStyle name="Normal 3 7 3 2" xfId="819"/>
    <cellStyle name="Normal 3 7 3 2 2" xfId="8533"/>
    <cellStyle name="Normal 3 7 3 2 2 2" xfId="11146"/>
    <cellStyle name="Normal 3 7 3 2 2 2 2" xfId="25468"/>
    <cellStyle name="Normal 3 7 3 2 2 3" xfId="24220"/>
    <cellStyle name="Normal 3 7 3 2 3" xfId="9174"/>
    <cellStyle name="Normal 3 7 3 2 3 2" xfId="24846"/>
    <cellStyle name="Normal 3 7 3 2 4" xfId="3414"/>
    <cellStyle name="Normal 3 7 3 2 5" xfId="21817"/>
    <cellStyle name="Normal 3 7 3 3" xfId="8252"/>
    <cellStyle name="Normal 3 7 3 3 2" xfId="10865"/>
    <cellStyle name="Normal 3 7 3 3 2 2" xfId="25187"/>
    <cellStyle name="Normal 3 7 3 3 3" xfId="23939"/>
    <cellStyle name="Normal 3 7 3 4" xfId="8818"/>
    <cellStyle name="Normal 3 7 3 4 2" xfId="24505"/>
    <cellStyle name="Normal 3 7 3 5" xfId="2965"/>
    <cellStyle name="Normal 3 7 3 6" xfId="21816"/>
    <cellStyle name="Normal 3 7 4" xfId="820"/>
    <cellStyle name="Normal 3 7 4 2" xfId="821"/>
    <cellStyle name="Normal 3 7 4 2 2" xfId="8614"/>
    <cellStyle name="Normal 3 7 4 2 2 2" xfId="11227"/>
    <cellStyle name="Normal 3 7 4 2 2 2 2" xfId="25549"/>
    <cellStyle name="Normal 3 7 4 2 2 3" xfId="24301"/>
    <cellStyle name="Normal 3 7 4 2 3" xfId="9256"/>
    <cellStyle name="Normal 3 7 4 2 3 2" xfId="24927"/>
    <cellStyle name="Normal 3 7 4 2 4" xfId="3503"/>
    <cellStyle name="Normal 3 7 4 2 5" xfId="21819"/>
    <cellStyle name="Normal 3 7 4 3" xfId="8333"/>
    <cellStyle name="Normal 3 7 4 3 2" xfId="10946"/>
    <cellStyle name="Normal 3 7 4 3 2 2" xfId="25268"/>
    <cellStyle name="Normal 3 7 4 3 3" xfId="24020"/>
    <cellStyle name="Normal 3 7 4 4" xfId="8899"/>
    <cellStyle name="Normal 3 7 4 4 2" xfId="24586"/>
    <cellStyle name="Normal 3 7 4 5" xfId="3056"/>
    <cellStyle name="Normal 3 7 4 6" xfId="21818"/>
    <cellStyle name="Normal 3 7 5" xfId="822"/>
    <cellStyle name="Normal 3 7 5 2" xfId="8431"/>
    <cellStyle name="Normal 3 7 5 2 2" xfId="11044"/>
    <cellStyle name="Normal 3 7 5 2 2 2" xfId="25366"/>
    <cellStyle name="Normal 3 7 5 2 3" xfId="24118"/>
    <cellStyle name="Normal 3 7 5 3" xfId="9001"/>
    <cellStyle name="Normal 3 7 5 3 2" xfId="24684"/>
    <cellStyle name="Normal 3 7 5 4" xfId="3175"/>
    <cellStyle name="Normal 3 7 5 5" xfId="21820"/>
    <cellStyle name="Normal 3 7 6" xfId="823"/>
    <cellStyle name="Normal 3 7 6 2" xfId="8165"/>
    <cellStyle name="Normal 3 7 6 2 2" xfId="10778"/>
    <cellStyle name="Normal 3 7 6 2 2 2" xfId="25100"/>
    <cellStyle name="Normal 3 7 6 2 3" xfId="23852"/>
    <cellStyle name="Normal 3 7 6 3" xfId="9087"/>
    <cellStyle name="Normal 3 7 6 3 2" xfId="24759"/>
    <cellStyle name="Normal 3 7 6 4" xfId="3327"/>
    <cellStyle name="Normal 3 7 6 5" xfId="21821"/>
    <cellStyle name="Normal 3 7 7" xfId="8090"/>
    <cellStyle name="Normal 3 7 7 2" xfId="10703"/>
    <cellStyle name="Normal 3 7 7 2 2" xfId="25025"/>
    <cellStyle name="Normal 3 7 7 3" xfId="23777"/>
    <cellStyle name="Normal 3 7 8" xfId="8731"/>
    <cellStyle name="Normal 3 7 8 2" xfId="24418"/>
    <cellStyle name="Normal 3 7 9" xfId="2876"/>
    <cellStyle name="Normal 3 8" xfId="824"/>
    <cellStyle name="Normal 3 8 2" xfId="825"/>
    <cellStyle name="Normal 3 8 2 2" xfId="826"/>
    <cellStyle name="Normal 3 8 2 2 2" xfId="8639"/>
    <cellStyle name="Normal 3 8 2 2 2 2" xfId="11252"/>
    <cellStyle name="Normal 3 8 2 2 2 2 2" xfId="25574"/>
    <cellStyle name="Normal 3 8 2 2 2 3" xfId="24326"/>
    <cellStyle name="Normal 3 8 2 2 3" xfId="9281"/>
    <cellStyle name="Normal 3 8 2 2 3 2" xfId="24952"/>
    <cellStyle name="Normal 3 8 2 2 4" xfId="3529"/>
    <cellStyle name="Normal 3 8 2 2 5" xfId="21824"/>
    <cellStyle name="Normal 3 8 2 3" xfId="8358"/>
    <cellStyle name="Normal 3 8 2 3 2" xfId="10971"/>
    <cellStyle name="Normal 3 8 2 3 2 2" xfId="25293"/>
    <cellStyle name="Normal 3 8 2 3 3" xfId="24045"/>
    <cellStyle name="Normal 3 8 2 4" xfId="8924"/>
    <cellStyle name="Normal 3 8 2 4 2" xfId="24611"/>
    <cellStyle name="Normal 3 8 2 5" xfId="3081"/>
    <cellStyle name="Normal 3 8 2 6" xfId="21823"/>
    <cellStyle name="Normal 3 8 3" xfId="827"/>
    <cellStyle name="Normal 3 8 3 2" xfId="8475"/>
    <cellStyle name="Normal 3 8 3 2 2" xfId="11088"/>
    <cellStyle name="Normal 3 8 3 2 2 2" xfId="25410"/>
    <cellStyle name="Normal 3 8 3 2 3" xfId="24162"/>
    <cellStyle name="Normal 3 8 3 3" xfId="9112"/>
    <cellStyle name="Normal 3 8 3 3 2" xfId="24784"/>
    <cellStyle name="Normal 3 8 3 4" xfId="3352"/>
    <cellStyle name="Normal 3 8 3 5" xfId="21825"/>
    <cellStyle name="Normal 3 8 4" xfId="8190"/>
    <cellStyle name="Normal 3 8 4 2" xfId="10803"/>
    <cellStyle name="Normal 3 8 4 2 2" xfId="25125"/>
    <cellStyle name="Normal 3 8 4 3" xfId="23877"/>
    <cellStyle name="Normal 3 8 5" xfId="8756"/>
    <cellStyle name="Normal 3 8 5 2" xfId="24443"/>
    <cellStyle name="Normal 3 8 6" xfId="2903"/>
    <cellStyle name="Normal 3 8 7" xfId="21822"/>
    <cellStyle name="Normal 3 9" xfId="828"/>
    <cellStyle name="Normal 3 9 2" xfId="829"/>
    <cellStyle name="Normal 3 9 2 2" xfId="8527"/>
    <cellStyle name="Normal 3 9 2 2 2" xfId="11140"/>
    <cellStyle name="Normal 3 9 2 2 2 2" xfId="25462"/>
    <cellStyle name="Normal 3 9 2 2 3" xfId="24214"/>
    <cellStyle name="Normal 3 9 2 3" xfId="9168"/>
    <cellStyle name="Normal 3 9 2 3 2" xfId="24840"/>
    <cellStyle name="Normal 3 9 2 4" xfId="3408"/>
    <cellStyle name="Normal 3 9 2 5" xfId="21827"/>
    <cellStyle name="Normal 3 9 3" xfId="8246"/>
    <cellStyle name="Normal 3 9 3 2" xfId="10859"/>
    <cellStyle name="Normal 3 9 3 2 2" xfId="25181"/>
    <cellStyle name="Normal 3 9 3 3" xfId="23933"/>
    <cellStyle name="Normal 3 9 4" xfId="8812"/>
    <cellStyle name="Normal 3 9 4 2" xfId="24499"/>
    <cellStyle name="Normal 3 9 5" xfId="2959"/>
    <cellStyle name="Normal 3 9 6" xfId="21826"/>
    <cellStyle name="Normal 4" xfId="830"/>
    <cellStyle name="Normal 4 10" xfId="831"/>
    <cellStyle name="Normal 4 10 2" xfId="8415"/>
    <cellStyle name="Normal 4 10 2 2" xfId="11028"/>
    <cellStyle name="Normal 4 10 2 2 2" xfId="25350"/>
    <cellStyle name="Normal 4 10 2 3" xfId="24102"/>
    <cellStyle name="Normal 4 10 3" xfId="8985"/>
    <cellStyle name="Normal 4 10 3 2" xfId="24668"/>
    <cellStyle name="Normal 4 10 4" xfId="3158"/>
    <cellStyle name="Normal 4 10 5" xfId="21829"/>
    <cellStyle name="Normal 4 11" xfId="832"/>
    <cellStyle name="Normal 4 11 2" xfId="8135"/>
    <cellStyle name="Normal 4 11 2 2" xfId="10748"/>
    <cellStyle name="Normal 4 11 2 2 2" xfId="25070"/>
    <cellStyle name="Normal 4 11 2 3" xfId="23822"/>
    <cellStyle name="Normal 4 11 3" xfId="9057"/>
    <cellStyle name="Normal 4 11 3 2" xfId="24729"/>
    <cellStyle name="Normal 4 11 4" xfId="3297"/>
    <cellStyle name="Normal 4 11 5" xfId="21830"/>
    <cellStyle name="Normal 4 12" xfId="8074"/>
    <cellStyle name="Normal 4 12 2" xfId="10687"/>
    <cellStyle name="Normal 4 12 2 2" xfId="25009"/>
    <cellStyle name="Normal 4 12 3" xfId="23761"/>
    <cellStyle name="Normal 4 13" xfId="8696"/>
    <cellStyle name="Normal 4 13 2" xfId="11309"/>
    <cellStyle name="Normal 4 13 2 2" xfId="25631"/>
    <cellStyle name="Normal 4 13 3" xfId="24383"/>
    <cellStyle name="Normal 4 14" xfId="8701"/>
    <cellStyle name="Normal 4 14 2" xfId="24388"/>
    <cellStyle name="Normal 4 15" xfId="2801"/>
    <cellStyle name="Normal 4 16" xfId="21828"/>
    <cellStyle name="Normal 4 2" xfId="833"/>
    <cellStyle name="Normal 4 2 10" xfId="8705"/>
    <cellStyle name="Normal 4 2 10 2" xfId="24392"/>
    <cellStyle name="Normal 4 2 11" xfId="2849"/>
    <cellStyle name="Normal 4 2 12" xfId="21831"/>
    <cellStyle name="Normal 4 2 2" xfId="834"/>
    <cellStyle name="Normal 4 2 2 10" xfId="2865"/>
    <cellStyle name="Normal 4 2 2 11" xfId="21832"/>
    <cellStyle name="Normal 4 2 2 2" xfId="835"/>
    <cellStyle name="Normal 4 2 2 2 10" xfId="21833"/>
    <cellStyle name="Normal 4 2 2 2 2" xfId="836"/>
    <cellStyle name="Normal 4 2 2 2 2 2" xfId="837"/>
    <cellStyle name="Normal 4 2 2 2 2 2 2" xfId="838"/>
    <cellStyle name="Normal 4 2 2 2 2 2 2 2" xfId="8691"/>
    <cellStyle name="Normal 4 2 2 2 2 2 2 2 2" xfId="11304"/>
    <cellStyle name="Normal 4 2 2 2 2 2 2 2 2 2" xfId="25626"/>
    <cellStyle name="Normal 4 2 2 2 2 2 2 2 3" xfId="24378"/>
    <cellStyle name="Normal 4 2 2 2 2 2 2 3" xfId="9333"/>
    <cellStyle name="Normal 4 2 2 2 2 2 2 3 2" xfId="25004"/>
    <cellStyle name="Normal 4 2 2 2 2 2 2 4" xfId="3581"/>
    <cellStyle name="Normal 4 2 2 2 2 2 2 5" xfId="21836"/>
    <cellStyle name="Normal 4 2 2 2 2 2 3" xfId="8410"/>
    <cellStyle name="Normal 4 2 2 2 2 2 3 2" xfId="11023"/>
    <cellStyle name="Normal 4 2 2 2 2 2 3 2 2" xfId="25345"/>
    <cellStyle name="Normal 4 2 2 2 2 2 3 3" xfId="24097"/>
    <cellStyle name="Normal 4 2 2 2 2 2 4" xfId="8976"/>
    <cellStyle name="Normal 4 2 2 2 2 2 4 2" xfId="24663"/>
    <cellStyle name="Normal 4 2 2 2 2 2 5" xfId="3133"/>
    <cellStyle name="Normal 4 2 2 2 2 2 6" xfId="21835"/>
    <cellStyle name="Normal 4 2 2 2 2 3" xfId="839"/>
    <cellStyle name="Normal 4 2 2 2 2 3 2" xfId="8523"/>
    <cellStyle name="Normal 4 2 2 2 2 3 2 2" xfId="11136"/>
    <cellStyle name="Normal 4 2 2 2 2 3 2 2 2" xfId="25458"/>
    <cellStyle name="Normal 4 2 2 2 2 3 2 3" xfId="24210"/>
    <cellStyle name="Normal 4 2 2 2 2 3 3" xfId="9164"/>
    <cellStyle name="Normal 4 2 2 2 2 3 3 2" xfId="24836"/>
    <cellStyle name="Normal 4 2 2 2 2 3 4" xfId="3404"/>
    <cellStyle name="Normal 4 2 2 2 2 3 5" xfId="21837"/>
    <cellStyle name="Normal 4 2 2 2 2 4" xfId="8242"/>
    <cellStyle name="Normal 4 2 2 2 2 4 2" xfId="10855"/>
    <cellStyle name="Normal 4 2 2 2 2 4 2 2" xfId="25177"/>
    <cellStyle name="Normal 4 2 2 2 2 4 3" xfId="23929"/>
    <cellStyle name="Normal 4 2 2 2 2 5" xfId="8808"/>
    <cellStyle name="Normal 4 2 2 2 2 5 2" xfId="24495"/>
    <cellStyle name="Normal 4 2 2 2 2 6" xfId="2955"/>
    <cellStyle name="Normal 4 2 2 2 2 7" xfId="21834"/>
    <cellStyle name="Normal 4 2 2 2 3" xfId="840"/>
    <cellStyle name="Normal 4 2 2 2 3 2" xfId="841"/>
    <cellStyle name="Normal 4 2 2 2 3 2 2" xfId="8579"/>
    <cellStyle name="Normal 4 2 2 2 3 2 2 2" xfId="11192"/>
    <cellStyle name="Normal 4 2 2 2 3 2 2 2 2" xfId="25514"/>
    <cellStyle name="Normal 4 2 2 2 3 2 2 3" xfId="24266"/>
    <cellStyle name="Normal 4 2 2 2 3 2 3" xfId="9220"/>
    <cellStyle name="Normal 4 2 2 2 3 2 3 2" xfId="24892"/>
    <cellStyle name="Normal 4 2 2 2 3 2 4" xfId="3460"/>
    <cellStyle name="Normal 4 2 2 2 3 2 5" xfId="21839"/>
    <cellStyle name="Normal 4 2 2 2 3 3" xfId="8298"/>
    <cellStyle name="Normal 4 2 2 2 3 3 2" xfId="10911"/>
    <cellStyle name="Normal 4 2 2 2 3 3 2 2" xfId="25233"/>
    <cellStyle name="Normal 4 2 2 2 3 3 3" xfId="23985"/>
    <cellStyle name="Normal 4 2 2 2 3 4" xfId="8864"/>
    <cellStyle name="Normal 4 2 2 2 3 4 2" xfId="24551"/>
    <cellStyle name="Normal 4 2 2 2 3 5" xfId="3011"/>
    <cellStyle name="Normal 4 2 2 2 3 6" xfId="21838"/>
    <cellStyle name="Normal 4 2 2 2 4" xfId="842"/>
    <cellStyle name="Normal 4 2 2 2 4 2" xfId="843"/>
    <cellStyle name="Normal 4 2 2 2 4 2 2" xfId="8634"/>
    <cellStyle name="Normal 4 2 2 2 4 2 2 2" xfId="11247"/>
    <cellStyle name="Normal 4 2 2 2 4 2 2 2 2" xfId="25569"/>
    <cellStyle name="Normal 4 2 2 2 4 2 2 3" xfId="24321"/>
    <cellStyle name="Normal 4 2 2 2 4 2 3" xfId="9276"/>
    <cellStyle name="Normal 4 2 2 2 4 2 3 2" xfId="24947"/>
    <cellStyle name="Normal 4 2 2 2 4 2 4" xfId="3524"/>
    <cellStyle name="Normal 4 2 2 2 4 2 5" xfId="21841"/>
    <cellStyle name="Normal 4 2 2 2 4 3" xfId="8353"/>
    <cellStyle name="Normal 4 2 2 2 4 3 2" xfId="10966"/>
    <cellStyle name="Normal 4 2 2 2 4 3 2 2" xfId="25288"/>
    <cellStyle name="Normal 4 2 2 2 4 3 3" xfId="24040"/>
    <cellStyle name="Normal 4 2 2 2 4 4" xfId="8919"/>
    <cellStyle name="Normal 4 2 2 2 4 4 2" xfId="24606"/>
    <cellStyle name="Normal 4 2 2 2 4 5" xfId="3076"/>
    <cellStyle name="Normal 4 2 2 2 4 6" xfId="21840"/>
    <cellStyle name="Normal 4 2 2 2 5" xfId="844"/>
    <cellStyle name="Normal 4 2 2 2 5 2" xfId="8471"/>
    <cellStyle name="Normal 4 2 2 2 5 2 2" xfId="11084"/>
    <cellStyle name="Normal 4 2 2 2 5 2 2 2" xfId="25406"/>
    <cellStyle name="Normal 4 2 2 2 5 2 3" xfId="24158"/>
    <cellStyle name="Normal 4 2 2 2 5 3" xfId="9043"/>
    <cellStyle name="Normal 4 2 2 2 5 3 2" xfId="24724"/>
    <cellStyle name="Normal 4 2 2 2 5 4" xfId="3235"/>
    <cellStyle name="Normal 4 2 2 2 5 5" xfId="21842"/>
    <cellStyle name="Normal 4 2 2 2 6" xfId="845"/>
    <cellStyle name="Normal 4 2 2 2 6 2" xfId="8185"/>
    <cellStyle name="Normal 4 2 2 2 6 2 2" xfId="10798"/>
    <cellStyle name="Normal 4 2 2 2 6 2 2 2" xfId="25120"/>
    <cellStyle name="Normal 4 2 2 2 6 2 3" xfId="23872"/>
    <cellStyle name="Normal 4 2 2 2 6 3" xfId="9107"/>
    <cellStyle name="Normal 4 2 2 2 6 3 2" xfId="24779"/>
    <cellStyle name="Normal 4 2 2 2 6 4" xfId="3347"/>
    <cellStyle name="Normal 4 2 2 2 6 5" xfId="21843"/>
    <cellStyle name="Normal 4 2 2 2 7" xfId="8130"/>
    <cellStyle name="Normal 4 2 2 2 7 2" xfId="10743"/>
    <cellStyle name="Normal 4 2 2 2 7 2 2" xfId="25065"/>
    <cellStyle name="Normal 4 2 2 2 7 3" xfId="23817"/>
    <cellStyle name="Normal 4 2 2 2 8" xfId="8751"/>
    <cellStyle name="Normal 4 2 2 2 8 2" xfId="24438"/>
    <cellStyle name="Normal 4 2 2 2 9" xfId="2898"/>
    <cellStyle name="Normal 4 2 2 3" xfId="846"/>
    <cellStyle name="Normal 4 2 2 3 2" xfId="847"/>
    <cellStyle name="Normal 4 2 2 3 2 2" xfId="848"/>
    <cellStyle name="Normal 4 2 2 3 2 2 2" xfId="8665"/>
    <cellStyle name="Normal 4 2 2 3 2 2 2 2" xfId="11278"/>
    <cellStyle name="Normal 4 2 2 3 2 2 2 2 2" xfId="25600"/>
    <cellStyle name="Normal 4 2 2 3 2 2 2 3" xfId="24352"/>
    <cellStyle name="Normal 4 2 2 3 2 2 3" xfId="9307"/>
    <cellStyle name="Normal 4 2 2 3 2 2 3 2" xfId="24978"/>
    <cellStyle name="Normal 4 2 2 3 2 2 4" xfId="3555"/>
    <cellStyle name="Normal 4 2 2 3 2 2 5" xfId="21846"/>
    <cellStyle name="Normal 4 2 2 3 2 3" xfId="8384"/>
    <cellStyle name="Normal 4 2 2 3 2 3 2" xfId="10997"/>
    <cellStyle name="Normal 4 2 2 3 2 3 2 2" xfId="25319"/>
    <cellStyle name="Normal 4 2 2 3 2 3 3" xfId="24071"/>
    <cellStyle name="Normal 4 2 2 3 2 4" xfId="8950"/>
    <cellStyle name="Normal 4 2 2 3 2 4 2" xfId="24637"/>
    <cellStyle name="Normal 4 2 2 3 2 5" xfId="3107"/>
    <cellStyle name="Normal 4 2 2 3 2 6" xfId="21845"/>
    <cellStyle name="Normal 4 2 2 3 3" xfId="849"/>
    <cellStyle name="Normal 4 2 2 3 3 2" xfId="8497"/>
    <cellStyle name="Normal 4 2 2 3 3 2 2" xfId="11110"/>
    <cellStyle name="Normal 4 2 2 3 3 2 2 2" xfId="25432"/>
    <cellStyle name="Normal 4 2 2 3 3 2 3" xfId="24184"/>
    <cellStyle name="Normal 4 2 2 3 3 3" xfId="9138"/>
    <cellStyle name="Normal 4 2 2 3 3 3 2" xfId="24810"/>
    <cellStyle name="Normal 4 2 2 3 3 4" xfId="3378"/>
    <cellStyle name="Normal 4 2 2 3 3 5" xfId="21847"/>
    <cellStyle name="Normal 4 2 2 3 4" xfId="8216"/>
    <cellStyle name="Normal 4 2 2 3 4 2" xfId="10829"/>
    <cellStyle name="Normal 4 2 2 3 4 2 2" xfId="25151"/>
    <cellStyle name="Normal 4 2 2 3 4 3" xfId="23903"/>
    <cellStyle name="Normal 4 2 2 3 5" xfId="8782"/>
    <cellStyle name="Normal 4 2 2 3 5 2" xfId="24469"/>
    <cellStyle name="Normal 4 2 2 3 6" xfId="2929"/>
    <cellStyle name="Normal 4 2 2 3 7" xfId="21844"/>
    <cellStyle name="Normal 4 2 2 4" xfId="850"/>
    <cellStyle name="Normal 4 2 2 4 2" xfId="851"/>
    <cellStyle name="Normal 4 2 2 4 2 2" xfId="8553"/>
    <cellStyle name="Normal 4 2 2 4 2 2 2" xfId="11166"/>
    <cellStyle name="Normal 4 2 2 4 2 2 2 2" xfId="25488"/>
    <cellStyle name="Normal 4 2 2 4 2 2 3" xfId="24240"/>
    <cellStyle name="Normal 4 2 2 4 2 3" xfId="9194"/>
    <cellStyle name="Normal 4 2 2 4 2 3 2" xfId="24866"/>
    <cellStyle name="Normal 4 2 2 4 2 4" xfId="3434"/>
    <cellStyle name="Normal 4 2 2 4 2 5" xfId="21849"/>
    <cellStyle name="Normal 4 2 2 4 3" xfId="8272"/>
    <cellStyle name="Normal 4 2 2 4 3 2" xfId="10885"/>
    <cellStyle name="Normal 4 2 2 4 3 2 2" xfId="25207"/>
    <cellStyle name="Normal 4 2 2 4 3 3" xfId="23959"/>
    <cellStyle name="Normal 4 2 2 4 4" xfId="8838"/>
    <cellStyle name="Normal 4 2 2 4 4 2" xfId="24525"/>
    <cellStyle name="Normal 4 2 2 4 5" xfId="2985"/>
    <cellStyle name="Normal 4 2 2 4 6" xfId="21848"/>
    <cellStyle name="Normal 4 2 2 5" xfId="852"/>
    <cellStyle name="Normal 4 2 2 5 2" xfId="853"/>
    <cellStyle name="Normal 4 2 2 5 2 2" xfId="8603"/>
    <cellStyle name="Normal 4 2 2 5 2 2 2" xfId="11216"/>
    <cellStyle name="Normal 4 2 2 5 2 2 2 2" xfId="25538"/>
    <cellStyle name="Normal 4 2 2 5 2 2 3" xfId="24290"/>
    <cellStyle name="Normal 4 2 2 5 2 3" xfId="9245"/>
    <cellStyle name="Normal 4 2 2 5 2 3 2" xfId="24916"/>
    <cellStyle name="Normal 4 2 2 5 2 4" xfId="3492"/>
    <cellStyle name="Normal 4 2 2 5 2 5" xfId="21851"/>
    <cellStyle name="Normal 4 2 2 5 3" xfId="8322"/>
    <cellStyle name="Normal 4 2 2 5 3 2" xfId="10935"/>
    <cellStyle name="Normal 4 2 2 5 3 2 2" xfId="25257"/>
    <cellStyle name="Normal 4 2 2 5 3 3" xfId="24009"/>
    <cellStyle name="Normal 4 2 2 5 4" xfId="8888"/>
    <cellStyle name="Normal 4 2 2 5 4 2" xfId="24575"/>
    <cellStyle name="Normal 4 2 2 5 5" xfId="3045"/>
    <cellStyle name="Normal 4 2 2 5 6" xfId="21850"/>
    <cellStyle name="Normal 4 2 2 6" xfId="854"/>
    <cellStyle name="Normal 4 2 2 6 2" xfId="8446"/>
    <cellStyle name="Normal 4 2 2 6 2 2" xfId="11059"/>
    <cellStyle name="Normal 4 2 2 6 2 2 2" xfId="25381"/>
    <cellStyle name="Normal 4 2 2 6 2 3" xfId="24133"/>
    <cellStyle name="Normal 4 2 2 6 3" xfId="9018"/>
    <cellStyle name="Normal 4 2 2 6 3 2" xfId="24699"/>
    <cellStyle name="Normal 4 2 2 6 4" xfId="3209"/>
    <cellStyle name="Normal 4 2 2 6 5" xfId="21852"/>
    <cellStyle name="Normal 4 2 2 7" xfId="855"/>
    <cellStyle name="Normal 4 2 2 7 2" xfId="8154"/>
    <cellStyle name="Normal 4 2 2 7 2 2" xfId="10767"/>
    <cellStyle name="Normal 4 2 2 7 2 2 2" xfId="25089"/>
    <cellStyle name="Normal 4 2 2 7 2 3" xfId="23841"/>
    <cellStyle name="Normal 4 2 2 7 3" xfId="9076"/>
    <cellStyle name="Normal 4 2 2 7 3 2" xfId="24748"/>
    <cellStyle name="Normal 4 2 2 7 4" xfId="3316"/>
    <cellStyle name="Normal 4 2 2 7 5" xfId="21853"/>
    <cellStyle name="Normal 4 2 2 8" xfId="8105"/>
    <cellStyle name="Normal 4 2 2 8 2" xfId="10718"/>
    <cellStyle name="Normal 4 2 2 8 2 2" xfId="25040"/>
    <cellStyle name="Normal 4 2 2 8 3" xfId="23792"/>
    <cellStyle name="Normal 4 2 2 9" xfId="8720"/>
    <cellStyle name="Normal 4 2 2 9 2" xfId="24407"/>
    <cellStyle name="Normal 4 2 3" xfId="856"/>
    <cellStyle name="Normal 4 2 3 10" xfId="21854"/>
    <cellStyle name="Normal 4 2 3 2" xfId="857"/>
    <cellStyle name="Normal 4 2 3 2 2" xfId="858"/>
    <cellStyle name="Normal 4 2 3 2 2 2" xfId="859"/>
    <cellStyle name="Normal 4 2 3 2 2 2 2" xfId="8677"/>
    <cellStyle name="Normal 4 2 3 2 2 2 2 2" xfId="11290"/>
    <cellStyle name="Normal 4 2 3 2 2 2 2 2 2" xfId="25612"/>
    <cellStyle name="Normal 4 2 3 2 2 2 2 3" xfId="24364"/>
    <cellStyle name="Normal 4 2 3 2 2 2 3" xfId="9319"/>
    <cellStyle name="Normal 4 2 3 2 2 2 3 2" xfId="24990"/>
    <cellStyle name="Normal 4 2 3 2 2 2 4" xfId="3567"/>
    <cellStyle name="Normal 4 2 3 2 2 2 5" xfId="21857"/>
    <cellStyle name="Normal 4 2 3 2 2 3" xfId="8396"/>
    <cellStyle name="Normal 4 2 3 2 2 3 2" xfId="11009"/>
    <cellStyle name="Normal 4 2 3 2 2 3 2 2" xfId="25331"/>
    <cellStyle name="Normal 4 2 3 2 2 3 3" xfId="24083"/>
    <cellStyle name="Normal 4 2 3 2 2 4" xfId="8962"/>
    <cellStyle name="Normal 4 2 3 2 2 4 2" xfId="24649"/>
    <cellStyle name="Normal 4 2 3 2 2 5" xfId="3119"/>
    <cellStyle name="Normal 4 2 3 2 2 6" xfId="21856"/>
    <cellStyle name="Normal 4 2 3 2 3" xfId="860"/>
    <cellStyle name="Normal 4 2 3 2 3 2" xfId="8509"/>
    <cellStyle name="Normal 4 2 3 2 3 2 2" xfId="11122"/>
    <cellStyle name="Normal 4 2 3 2 3 2 2 2" xfId="25444"/>
    <cellStyle name="Normal 4 2 3 2 3 2 3" xfId="24196"/>
    <cellStyle name="Normal 4 2 3 2 3 3" xfId="9150"/>
    <cellStyle name="Normal 4 2 3 2 3 3 2" xfId="24822"/>
    <cellStyle name="Normal 4 2 3 2 3 4" xfId="3390"/>
    <cellStyle name="Normal 4 2 3 2 3 5" xfId="21858"/>
    <cellStyle name="Normal 4 2 3 2 4" xfId="8228"/>
    <cellStyle name="Normal 4 2 3 2 4 2" xfId="10841"/>
    <cellStyle name="Normal 4 2 3 2 4 2 2" xfId="25163"/>
    <cellStyle name="Normal 4 2 3 2 4 3" xfId="23915"/>
    <cellStyle name="Normal 4 2 3 2 5" xfId="8794"/>
    <cellStyle name="Normal 4 2 3 2 5 2" xfId="24481"/>
    <cellStyle name="Normal 4 2 3 2 6" xfId="2941"/>
    <cellStyle name="Normal 4 2 3 2 7" xfId="21855"/>
    <cellStyle name="Normal 4 2 3 3" xfId="861"/>
    <cellStyle name="Normal 4 2 3 3 2" xfId="862"/>
    <cellStyle name="Normal 4 2 3 3 2 2" xfId="8565"/>
    <cellStyle name="Normal 4 2 3 3 2 2 2" xfId="11178"/>
    <cellStyle name="Normal 4 2 3 3 2 2 2 2" xfId="25500"/>
    <cellStyle name="Normal 4 2 3 3 2 2 3" xfId="24252"/>
    <cellStyle name="Normal 4 2 3 3 2 3" xfId="9206"/>
    <cellStyle name="Normal 4 2 3 3 2 3 2" xfId="24878"/>
    <cellStyle name="Normal 4 2 3 3 2 4" xfId="3446"/>
    <cellStyle name="Normal 4 2 3 3 2 5" xfId="21860"/>
    <cellStyle name="Normal 4 2 3 3 3" xfId="8284"/>
    <cellStyle name="Normal 4 2 3 3 3 2" xfId="10897"/>
    <cellStyle name="Normal 4 2 3 3 3 2 2" xfId="25219"/>
    <cellStyle name="Normal 4 2 3 3 3 3" xfId="23971"/>
    <cellStyle name="Normal 4 2 3 3 4" xfId="8850"/>
    <cellStyle name="Normal 4 2 3 3 4 2" xfId="24537"/>
    <cellStyle name="Normal 4 2 3 3 5" xfId="2997"/>
    <cellStyle name="Normal 4 2 3 3 6" xfId="21859"/>
    <cellStyle name="Normal 4 2 3 4" xfId="863"/>
    <cellStyle name="Normal 4 2 3 4 2" xfId="864"/>
    <cellStyle name="Normal 4 2 3 4 2 2" xfId="8619"/>
    <cellStyle name="Normal 4 2 3 4 2 2 2" xfId="11232"/>
    <cellStyle name="Normal 4 2 3 4 2 2 2 2" xfId="25554"/>
    <cellStyle name="Normal 4 2 3 4 2 2 3" xfId="24306"/>
    <cellStyle name="Normal 4 2 3 4 2 3" xfId="9261"/>
    <cellStyle name="Normal 4 2 3 4 2 3 2" xfId="24932"/>
    <cellStyle name="Normal 4 2 3 4 2 4" xfId="3509"/>
    <cellStyle name="Normal 4 2 3 4 2 5" xfId="21862"/>
    <cellStyle name="Normal 4 2 3 4 3" xfId="8338"/>
    <cellStyle name="Normal 4 2 3 4 3 2" xfId="10951"/>
    <cellStyle name="Normal 4 2 3 4 3 2 2" xfId="25273"/>
    <cellStyle name="Normal 4 2 3 4 3 3" xfId="24025"/>
    <cellStyle name="Normal 4 2 3 4 4" xfId="8904"/>
    <cellStyle name="Normal 4 2 3 4 4 2" xfId="24591"/>
    <cellStyle name="Normal 4 2 3 4 5" xfId="3061"/>
    <cellStyle name="Normal 4 2 3 4 6" xfId="21861"/>
    <cellStyle name="Normal 4 2 3 5" xfId="865"/>
    <cellStyle name="Normal 4 2 3 5 2" xfId="8457"/>
    <cellStyle name="Normal 4 2 3 5 2 2" xfId="11070"/>
    <cellStyle name="Normal 4 2 3 5 2 2 2" xfId="25392"/>
    <cellStyle name="Normal 4 2 3 5 2 3" xfId="24144"/>
    <cellStyle name="Normal 4 2 3 5 3" xfId="9029"/>
    <cellStyle name="Normal 4 2 3 5 3 2" xfId="24710"/>
    <cellStyle name="Normal 4 2 3 5 4" xfId="3221"/>
    <cellStyle name="Normal 4 2 3 5 5" xfId="21863"/>
    <cellStyle name="Normal 4 2 3 6" xfId="866"/>
    <cellStyle name="Normal 4 2 3 6 2" xfId="8170"/>
    <cellStyle name="Normal 4 2 3 6 2 2" xfId="10783"/>
    <cellStyle name="Normal 4 2 3 6 2 2 2" xfId="25105"/>
    <cellStyle name="Normal 4 2 3 6 2 3" xfId="23857"/>
    <cellStyle name="Normal 4 2 3 6 3" xfId="9092"/>
    <cellStyle name="Normal 4 2 3 6 3 2" xfId="24764"/>
    <cellStyle name="Normal 4 2 3 6 4" xfId="3332"/>
    <cellStyle name="Normal 4 2 3 6 5" xfId="21864"/>
    <cellStyle name="Normal 4 2 3 7" xfId="8116"/>
    <cellStyle name="Normal 4 2 3 7 2" xfId="10729"/>
    <cellStyle name="Normal 4 2 3 7 2 2" xfId="25051"/>
    <cellStyle name="Normal 4 2 3 7 3" xfId="23803"/>
    <cellStyle name="Normal 4 2 3 8" xfId="8736"/>
    <cellStyle name="Normal 4 2 3 8 2" xfId="24423"/>
    <cellStyle name="Normal 4 2 3 9" xfId="2883"/>
    <cellStyle name="Normal 4 2 4" xfId="867"/>
    <cellStyle name="Normal 4 2 4 2" xfId="868"/>
    <cellStyle name="Normal 4 2 4 2 2" xfId="869"/>
    <cellStyle name="Normal 4 2 4 2 2 2" xfId="8650"/>
    <cellStyle name="Normal 4 2 4 2 2 2 2" xfId="11263"/>
    <cellStyle name="Normal 4 2 4 2 2 2 2 2" xfId="25585"/>
    <cellStyle name="Normal 4 2 4 2 2 2 3" xfId="24337"/>
    <cellStyle name="Normal 4 2 4 2 2 3" xfId="9292"/>
    <cellStyle name="Normal 4 2 4 2 2 3 2" xfId="24963"/>
    <cellStyle name="Normal 4 2 4 2 2 4" xfId="3540"/>
    <cellStyle name="Normal 4 2 4 2 2 5" xfId="21867"/>
    <cellStyle name="Normal 4 2 4 2 3" xfId="8369"/>
    <cellStyle name="Normal 4 2 4 2 3 2" xfId="10982"/>
    <cellStyle name="Normal 4 2 4 2 3 2 2" xfId="25304"/>
    <cellStyle name="Normal 4 2 4 2 3 3" xfId="24056"/>
    <cellStyle name="Normal 4 2 4 2 4" xfId="8935"/>
    <cellStyle name="Normal 4 2 4 2 4 2" xfId="24622"/>
    <cellStyle name="Normal 4 2 4 2 5" xfId="3092"/>
    <cellStyle name="Normal 4 2 4 2 6" xfId="21866"/>
    <cellStyle name="Normal 4 2 4 3" xfId="870"/>
    <cellStyle name="Normal 4 2 4 3 2" xfId="8435"/>
    <cellStyle name="Normal 4 2 4 3 2 2" xfId="11048"/>
    <cellStyle name="Normal 4 2 4 3 2 2 2" xfId="25370"/>
    <cellStyle name="Normal 4 2 4 3 2 3" xfId="24122"/>
    <cellStyle name="Normal 4 2 4 3 3" xfId="9007"/>
    <cellStyle name="Normal 4 2 4 3 3 2" xfId="24688"/>
    <cellStyle name="Normal 4 2 4 3 4" xfId="3198"/>
    <cellStyle name="Normal 4 2 4 3 5" xfId="21868"/>
    <cellStyle name="Normal 4 2 4 4" xfId="871"/>
    <cellStyle name="Normal 4 2 4 4 2" xfId="8201"/>
    <cellStyle name="Normal 4 2 4 4 2 2" xfId="10814"/>
    <cellStyle name="Normal 4 2 4 4 2 2 2" xfId="25136"/>
    <cellStyle name="Normal 4 2 4 4 2 3" xfId="23888"/>
    <cellStyle name="Normal 4 2 4 4 3" xfId="9123"/>
    <cellStyle name="Normal 4 2 4 4 3 2" xfId="24795"/>
    <cellStyle name="Normal 4 2 4 4 4" xfId="3363"/>
    <cellStyle name="Normal 4 2 4 4 5" xfId="21869"/>
    <cellStyle name="Normal 4 2 4 5" xfId="8094"/>
    <cellStyle name="Normal 4 2 4 5 2" xfId="10707"/>
    <cellStyle name="Normal 4 2 4 5 2 2" xfId="25029"/>
    <cellStyle name="Normal 4 2 4 5 3" xfId="23781"/>
    <cellStyle name="Normal 4 2 4 6" xfId="8767"/>
    <cellStyle name="Normal 4 2 4 6 2" xfId="24454"/>
    <cellStyle name="Normal 4 2 4 7" xfId="2914"/>
    <cellStyle name="Normal 4 2 4 8" xfId="21865"/>
    <cellStyle name="Normal 4 2 5" xfId="872"/>
    <cellStyle name="Normal 4 2 5 2" xfId="873"/>
    <cellStyle name="Normal 4 2 5 2 2" xfId="8538"/>
    <cellStyle name="Normal 4 2 5 2 2 2" xfId="11151"/>
    <cellStyle name="Normal 4 2 5 2 2 2 2" xfId="25473"/>
    <cellStyle name="Normal 4 2 5 2 2 3" xfId="24225"/>
    <cellStyle name="Normal 4 2 5 2 3" xfId="9179"/>
    <cellStyle name="Normal 4 2 5 2 3 2" xfId="24851"/>
    <cellStyle name="Normal 4 2 5 2 4" xfId="3419"/>
    <cellStyle name="Normal 4 2 5 2 5" xfId="21871"/>
    <cellStyle name="Normal 4 2 5 3" xfId="8257"/>
    <cellStyle name="Normal 4 2 5 3 2" xfId="10870"/>
    <cellStyle name="Normal 4 2 5 3 2 2" xfId="25192"/>
    <cellStyle name="Normal 4 2 5 3 3" xfId="23944"/>
    <cellStyle name="Normal 4 2 5 4" xfId="8823"/>
    <cellStyle name="Normal 4 2 5 4 2" xfId="24510"/>
    <cellStyle name="Normal 4 2 5 5" xfId="2970"/>
    <cellStyle name="Normal 4 2 5 6" xfId="21870"/>
    <cellStyle name="Normal 4 2 6" xfId="874"/>
    <cellStyle name="Normal 4 2 6 2" xfId="875"/>
    <cellStyle name="Normal 4 2 6 2 2" xfId="8588"/>
    <cellStyle name="Normal 4 2 6 2 2 2" xfId="11201"/>
    <cellStyle name="Normal 4 2 6 2 2 2 2" xfId="25523"/>
    <cellStyle name="Normal 4 2 6 2 2 3" xfId="24275"/>
    <cellStyle name="Normal 4 2 6 2 3" xfId="9230"/>
    <cellStyle name="Normal 4 2 6 2 3 2" xfId="24901"/>
    <cellStyle name="Normal 4 2 6 2 4" xfId="3477"/>
    <cellStyle name="Normal 4 2 6 2 5" xfId="21873"/>
    <cellStyle name="Normal 4 2 6 3" xfId="8307"/>
    <cellStyle name="Normal 4 2 6 3 2" xfId="10920"/>
    <cellStyle name="Normal 4 2 6 3 2 2" xfId="25242"/>
    <cellStyle name="Normal 4 2 6 3 3" xfId="23994"/>
    <cellStyle name="Normal 4 2 6 4" xfId="8873"/>
    <cellStyle name="Normal 4 2 6 4 2" xfId="24560"/>
    <cellStyle name="Normal 4 2 6 5" xfId="3030"/>
    <cellStyle name="Normal 4 2 6 6" xfId="21872"/>
    <cellStyle name="Normal 4 2 7" xfId="876"/>
    <cellStyle name="Normal 4 2 7 2" xfId="8420"/>
    <cellStyle name="Normal 4 2 7 2 2" xfId="11033"/>
    <cellStyle name="Normal 4 2 7 2 2 2" xfId="25355"/>
    <cellStyle name="Normal 4 2 7 2 3" xfId="24107"/>
    <cellStyle name="Normal 4 2 7 3" xfId="8990"/>
    <cellStyle name="Normal 4 2 7 3 2" xfId="24673"/>
    <cellStyle name="Normal 4 2 7 4" xfId="3164"/>
    <cellStyle name="Normal 4 2 7 5" xfId="21874"/>
    <cellStyle name="Normal 4 2 8" xfId="877"/>
    <cellStyle name="Normal 4 2 8 2" xfId="8139"/>
    <cellStyle name="Normal 4 2 8 2 2" xfId="10752"/>
    <cellStyle name="Normal 4 2 8 2 2 2" xfId="25074"/>
    <cellStyle name="Normal 4 2 8 2 3" xfId="23826"/>
    <cellStyle name="Normal 4 2 8 3" xfId="9061"/>
    <cellStyle name="Normal 4 2 8 3 2" xfId="24733"/>
    <cellStyle name="Normal 4 2 8 4" xfId="3301"/>
    <cellStyle name="Normal 4 2 8 5" xfId="21875"/>
    <cellStyle name="Normal 4 2 9" xfId="8079"/>
    <cellStyle name="Normal 4 2 9 2" xfId="10692"/>
    <cellStyle name="Normal 4 2 9 2 2" xfId="25014"/>
    <cellStyle name="Normal 4 2 9 3" xfId="23766"/>
    <cellStyle name="Normal 4 3" xfId="878"/>
    <cellStyle name="Normal 4 3 10" xfId="2854"/>
    <cellStyle name="Normal 4 3 11" xfId="21876"/>
    <cellStyle name="Normal 4 3 2" xfId="879"/>
    <cellStyle name="Normal 4 3 2 10" xfId="21877"/>
    <cellStyle name="Normal 4 3 2 2" xfId="880"/>
    <cellStyle name="Normal 4 3 2 2 2" xfId="881"/>
    <cellStyle name="Normal 4 3 2 2 2 2" xfId="882"/>
    <cellStyle name="Normal 4 3 2 2 2 2 2" xfId="8681"/>
    <cellStyle name="Normal 4 3 2 2 2 2 2 2" xfId="11294"/>
    <cellStyle name="Normal 4 3 2 2 2 2 2 2 2" xfId="25616"/>
    <cellStyle name="Normal 4 3 2 2 2 2 2 3" xfId="24368"/>
    <cellStyle name="Normal 4 3 2 2 2 2 3" xfId="9323"/>
    <cellStyle name="Normal 4 3 2 2 2 2 3 2" xfId="24994"/>
    <cellStyle name="Normal 4 3 2 2 2 2 4" xfId="3571"/>
    <cellStyle name="Normal 4 3 2 2 2 2 5" xfId="21880"/>
    <cellStyle name="Normal 4 3 2 2 2 3" xfId="8400"/>
    <cellStyle name="Normal 4 3 2 2 2 3 2" xfId="11013"/>
    <cellStyle name="Normal 4 3 2 2 2 3 2 2" xfId="25335"/>
    <cellStyle name="Normal 4 3 2 2 2 3 3" xfId="24087"/>
    <cellStyle name="Normal 4 3 2 2 2 4" xfId="8966"/>
    <cellStyle name="Normal 4 3 2 2 2 4 2" xfId="24653"/>
    <cellStyle name="Normal 4 3 2 2 2 5" xfId="3123"/>
    <cellStyle name="Normal 4 3 2 2 2 6" xfId="21879"/>
    <cellStyle name="Normal 4 3 2 2 3" xfId="883"/>
    <cellStyle name="Normal 4 3 2 2 3 2" xfId="8513"/>
    <cellStyle name="Normal 4 3 2 2 3 2 2" xfId="11126"/>
    <cellStyle name="Normal 4 3 2 2 3 2 2 2" xfId="25448"/>
    <cellStyle name="Normal 4 3 2 2 3 2 3" xfId="24200"/>
    <cellStyle name="Normal 4 3 2 2 3 3" xfId="9154"/>
    <cellStyle name="Normal 4 3 2 2 3 3 2" xfId="24826"/>
    <cellStyle name="Normal 4 3 2 2 3 4" xfId="3394"/>
    <cellStyle name="Normal 4 3 2 2 3 5" xfId="21881"/>
    <cellStyle name="Normal 4 3 2 2 4" xfId="8232"/>
    <cellStyle name="Normal 4 3 2 2 4 2" xfId="10845"/>
    <cellStyle name="Normal 4 3 2 2 4 2 2" xfId="25167"/>
    <cellStyle name="Normal 4 3 2 2 4 3" xfId="23919"/>
    <cellStyle name="Normal 4 3 2 2 5" xfId="8798"/>
    <cellStyle name="Normal 4 3 2 2 5 2" xfId="24485"/>
    <cellStyle name="Normal 4 3 2 2 6" xfId="2945"/>
    <cellStyle name="Normal 4 3 2 2 7" xfId="21878"/>
    <cellStyle name="Normal 4 3 2 3" xfId="884"/>
    <cellStyle name="Normal 4 3 2 3 2" xfId="885"/>
    <cellStyle name="Normal 4 3 2 3 2 2" xfId="8569"/>
    <cellStyle name="Normal 4 3 2 3 2 2 2" xfId="11182"/>
    <cellStyle name="Normal 4 3 2 3 2 2 2 2" xfId="25504"/>
    <cellStyle name="Normal 4 3 2 3 2 2 3" xfId="24256"/>
    <cellStyle name="Normal 4 3 2 3 2 3" xfId="9210"/>
    <cellStyle name="Normal 4 3 2 3 2 3 2" xfId="24882"/>
    <cellStyle name="Normal 4 3 2 3 2 4" xfId="3450"/>
    <cellStyle name="Normal 4 3 2 3 2 5" xfId="21883"/>
    <cellStyle name="Normal 4 3 2 3 3" xfId="8288"/>
    <cellStyle name="Normal 4 3 2 3 3 2" xfId="10901"/>
    <cellStyle name="Normal 4 3 2 3 3 2 2" xfId="25223"/>
    <cellStyle name="Normal 4 3 2 3 3 3" xfId="23975"/>
    <cellStyle name="Normal 4 3 2 3 4" xfId="8854"/>
    <cellStyle name="Normal 4 3 2 3 4 2" xfId="24541"/>
    <cellStyle name="Normal 4 3 2 3 5" xfId="3001"/>
    <cellStyle name="Normal 4 3 2 3 6" xfId="21882"/>
    <cellStyle name="Normal 4 3 2 4" xfId="886"/>
    <cellStyle name="Normal 4 3 2 4 2" xfId="887"/>
    <cellStyle name="Normal 4 3 2 4 2 2" xfId="8624"/>
    <cellStyle name="Normal 4 3 2 4 2 2 2" xfId="11237"/>
    <cellStyle name="Normal 4 3 2 4 2 2 2 2" xfId="25559"/>
    <cellStyle name="Normal 4 3 2 4 2 2 3" xfId="24311"/>
    <cellStyle name="Normal 4 3 2 4 2 3" xfId="9266"/>
    <cellStyle name="Normal 4 3 2 4 2 3 2" xfId="24937"/>
    <cellStyle name="Normal 4 3 2 4 2 4" xfId="3514"/>
    <cellStyle name="Normal 4 3 2 4 2 5" xfId="21885"/>
    <cellStyle name="Normal 4 3 2 4 3" xfId="8343"/>
    <cellStyle name="Normal 4 3 2 4 3 2" xfId="10956"/>
    <cellStyle name="Normal 4 3 2 4 3 2 2" xfId="25278"/>
    <cellStyle name="Normal 4 3 2 4 3 3" xfId="24030"/>
    <cellStyle name="Normal 4 3 2 4 4" xfId="8909"/>
    <cellStyle name="Normal 4 3 2 4 4 2" xfId="24596"/>
    <cellStyle name="Normal 4 3 2 4 5" xfId="3066"/>
    <cellStyle name="Normal 4 3 2 4 6" xfId="21884"/>
    <cellStyle name="Normal 4 3 2 5" xfId="888"/>
    <cellStyle name="Normal 4 3 2 5 2" xfId="8461"/>
    <cellStyle name="Normal 4 3 2 5 2 2" xfId="11074"/>
    <cellStyle name="Normal 4 3 2 5 2 2 2" xfId="25396"/>
    <cellStyle name="Normal 4 3 2 5 2 3" xfId="24148"/>
    <cellStyle name="Normal 4 3 2 5 3" xfId="9033"/>
    <cellStyle name="Normal 4 3 2 5 3 2" xfId="24714"/>
    <cellStyle name="Normal 4 3 2 5 4" xfId="3225"/>
    <cellStyle name="Normal 4 3 2 5 5" xfId="21886"/>
    <cellStyle name="Normal 4 3 2 6" xfId="889"/>
    <cellStyle name="Normal 4 3 2 6 2" xfId="8175"/>
    <cellStyle name="Normal 4 3 2 6 2 2" xfId="10788"/>
    <cellStyle name="Normal 4 3 2 6 2 2 2" xfId="25110"/>
    <cellStyle name="Normal 4 3 2 6 2 3" xfId="23862"/>
    <cellStyle name="Normal 4 3 2 6 3" xfId="9097"/>
    <cellStyle name="Normal 4 3 2 6 3 2" xfId="24769"/>
    <cellStyle name="Normal 4 3 2 6 4" xfId="3337"/>
    <cellStyle name="Normal 4 3 2 6 5" xfId="21887"/>
    <cellStyle name="Normal 4 3 2 7" xfId="8120"/>
    <cellStyle name="Normal 4 3 2 7 2" xfId="10733"/>
    <cellStyle name="Normal 4 3 2 7 2 2" xfId="25055"/>
    <cellStyle name="Normal 4 3 2 7 3" xfId="23807"/>
    <cellStyle name="Normal 4 3 2 8" xfId="8741"/>
    <cellStyle name="Normal 4 3 2 8 2" xfId="24428"/>
    <cellStyle name="Normal 4 3 2 9" xfId="2888"/>
    <cellStyle name="Normal 4 3 3" xfId="890"/>
    <cellStyle name="Normal 4 3 3 2" xfId="891"/>
    <cellStyle name="Normal 4 3 3 2 2" xfId="892"/>
    <cellStyle name="Normal 4 3 3 2 2 2" xfId="8655"/>
    <cellStyle name="Normal 4 3 3 2 2 2 2" xfId="11268"/>
    <cellStyle name="Normal 4 3 3 2 2 2 2 2" xfId="25590"/>
    <cellStyle name="Normal 4 3 3 2 2 2 3" xfId="24342"/>
    <cellStyle name="Normal 4 3 3 2 2 3" xfId="9297"/>
    <cellStyle name="Normal 4 3 3 2 2 3 2" xfId="24968"/>
    <cellStyle name="Normal 4 3 3 2 2 4" xfId="3545"/>
    <cellStyle name="Normal 4 3 3 2 2 5" xfId="21890"/>
    <cellStyle name="Normal 4 3 3 2 3" xfId="8374"/>
    <cellStyle name="Normal 4 3 3 2 3 2" xfId="10987"/>
    <cellStyle name="Normal 4 3 3 2 3 2 2" xfId="25309"/>
    <cellStyle name="Normal 4 3 3 2 3 3" xfId="24061"/>
    <cellStyle name="Normal 4 3 3 2 4" xfId="8940"/>
    <cellStyle name="Normal 4 3 3 2 4 2" xfId="24627"/>
    <cellStyle name="Normal 4 3 3 2 5" xfId="3097"/>
    <cellStyle name="Normal 4 3 3 2 6" xfId="21889"/>
    <cellStyle name="Normal 4 3 3 3" xfId="893"/>
    <cellStyle name="Normal 4 3 3 3 2" xfId="8488"/>
    <cellStyle name="Normal 4 3 3 3 2 2" xfId="11101"/>
    <cellStyle name="Normal 4 3 3 3 2 2 2" xfId="25423"/>
    <cellStyle name="Normal 4 3 3 3 2 3" xfId="24175"/>
    <cellStyle name="Normal 4 3 3 3 3" xfId="9128"/>
    <cellStyle name="Normal 4 3 3 3 3 2" xfId="24800"/>
    <cellStyle name="Normal 4 3 3 3 4" xfId="3368"/>
    <cellStyle name="Normal 4 3 3 3 5" xfId="21891"/>
    <cellStyle name="Normal 4 3 3 4" xfId="8206"/>
    <cellStyle name="Normal 4 3 3 4 2" xfId="10819"/>
    <cellStyle name="Normal 4 3 3 4 2 2" xfId="25141"/>
    <cellStyle name="Normal 4 3 3 4 3" xfId="23893"/>
    <cellStyle name="Normal 4 3 3 5" xfId="8772"/>
    <cellStyle name="Normal 4 3 3 5 2" xfId="24459"/>
    <cellStyle name="Normal 4 3 3 6" xfId="2919"/>
    <cellStyle name="Normal 4 3 3 7" xfId="21888"/>
    <cellStyle name="Normal 4 3 4" xfId="894"/>
    <cellStyle name="Normal 4 3 4 2" xfId="895"/>
    <cellStyle name="Normal 4 3 4 2 2" xfId="8543"/>
    <cellStyle name="Normal 4 3 4 2 2 2" xfId="11156"/>
    <cellStyle name="Normal 4 3 4 2 2 2 2" xfId="25478"/>
    <cellStyle name="Normal 4 3 4 2 2 3" xfId="24230"/>
    <cellStyle name="Normal 4 3 4 2 3" xfId="9184"/>
    <cellStyle name="Normal 4 3 4 2 3 2" xfId="24856"/>
    <cellStyle name="Normal 4 3 4 2 4" xfId="3424"/>
    <cellStyle name="Normal 4 3 4 2 5" xfId="21893"/>
    <cellStyle name="Normal 4 3 4 3" xfId="8262"/>
    <cellStyle name="Normal 4 3 4 3 2" xfId="10875"/>
    <cellStyle name="Normal 4 3 4 3 2 2" xfId="25197"/>
    <cellStyle name="Normal 4 3 4 3 3" xfId="23949"/>
    <cellStyle name="Normal 4 3 4 4" xfId="8828"/>
    <cellStyle name="Normal 4 3 4 4 2" xfId="24515"/>
    <cellStyle name="Normal 4 3 4 5" xfId="2975"/>
    <cellStyle name="Normal 4 3 4 6" xfId="21892"/>
    <cellStyle name="Normal 4 3 5" xfId="896"/>
    <cellStyle name="Normal 4 3 5 2" xfId="897"/>
    <cellStyle name="Normal 4 3 5 2 2" xfId="8593"/>
    <cellStyle name="Normal 4 3 5 2 2 2" xfId="11206"/>
    <cellStyle name="Normal 4 3 5 2 2 2 2" xfId="25528"/>
    <cellStyle name="Normal 4 3 5 2 2 3" xfId="24280"/>
    <cellStyle name="Normal 4 3 5 2 3" xfId="9235"/>
    <cellStyle name="Normal 4 3 5 2 3 2" xfId="24906"/>
    <cellStyle name="Normal 4 3 5 2 4" xfId="3482"/>
    <cellStyle name="Normal 4 3 5 2 5" xfId="21895"/>
    <cellStyle name="Normal 4 3 5 3" xfId="8312"/>
    <cellStyle name="Normal 4 3 5 3 2" xfId="10925"/>
    <cellStyle name="Normal 4 3 5 3 2 2" xfId="25247"/>
    <cellStyle name="Normal 4 3 5 3 3" xfId="23999"/>
    <cellStyle name="Normal 4 3 5 4" xfId="8878"/>
    <cellStyle name="Normal 4 3 5 4 2" xfId="24565"/>
    <cellStyle name="Normal 4 3 5 5" xfId="3035"/>
    <cellStyle name="Normal 4 3 5 6" xfId="21894"/>
    <cellStyle name="Normal 4 3 6" xfId="898"/>
    <cellStyle name="Normal 4 3 6 2" xfId="8426"/>
    <cellStyle name="Normal 4 3 6 2 2" xfId="11039"/>
    <cellStyle name="Normal 4 3 6 2 2 2" xfId="25361"/>
    <cellStyle name="Normal 4 3 6 2 3" xfId="24113"/>
    <cellStyle name="Normal 4 3 6 3" xfId="8996"/>
    <cellStyle name="Normal 4 3 6 3 2" xfId="24679"/>
    <cellStyle name="Normal 4 3 6 4" xfId="3170"/>
    <cellStyle name="Normal 4 3 6 5" xfId="21896"/>
    <cellStyle name="Normal 4 3 7" xfId="899"/>
    <cellStyle name="Normal 4 3 7 2" xfId="8144"/>
    <cellStyle name="Normal 4 3 7 2 2" xfId="10757"/>
    <cellStyle name="Normal 4 3 7 2 2 2" xfId="25079"/>
    <cellStyle name="Normal 4 3 7 2 3" xfId="23831"/>
    <cellStyle name="Normal 4 3 7 3" xfId="9066"/>
    <cellStyle name="Normal 4 3 7 3 2" xfId="24738"/>
    <cellStyle name="Normal 4 3 7 4" xfId="3306"/>
    <cellStyle name="Normal 4 3 7 5" xfId="21897"/>
    <cellStyle name="Normal 4 3 8" xfId="8085"/>
    <cellStyle name="Normal 4 3 8 2" xfId="10698"/>
    <cellStyle name="Normal 4 3 8 2 2" xfId="25020"/>
    <cellStyle name="Normal 4 3 8 3" xfId="23772"/>
    <cellStyle name="Normal 4 3 9" xfId="8710"/>
    <cellStyle name="Normal 4 3 9 2" xfId="24397"/>
    <cellStyle name="Normal 4 4" xfId="900"/>
    <cellStyle name="Normal 4 4 10" xfId="2859"/>
    <cellStyle name="Normal 4 4 11" xfId="21898"/>
    <cellStyle name="Normal 4 4 2" xfId="901"/>
    <cellStyle name="Normal 4 4 2 10" xfId="21899"/>
    <cellStyle name="Normal 4 4 2 2" xfId="902"/>
    <cellStyle name="Normal 4 4 2 2 2" xfId="903"/>
    <cellStyle name="Normal 4 4 2 2 2 2" xfId="904"/>
    <cellStyle name="Normal 4 4 2 2 2 2 2" xfId="8686"/>
    <cellStyle name="Normal 4 4 2 2 2 2 2 2" xfId="11299"/>
    <cellStyle name="Normal 4 4 2 2 2 2 2 2 2" xfId="25621"/>
    <cellStyle name="Normal 4 4 2 2 2 2 2 3" xfId="24373"/>
    <cellStyle name="Normal 4 4 2 2 2 2 3" xfId="9328"/>
    <cellStyle name="Normal 4 4 2 2 2 2 3 2" xfId="24999"/>
    <cellStyle name="Normal 4 4 2 2 2 2 4" xfId="3576"/>
    <cellStyle name="Normal 4 4 2 2 2 2 5" xfId="21902"/>
    <cellStyle name="Normal 4 4 2 2 2 3" xfId="8405"/>
    <cellStyle name="Normal 4 4 2 2 2 3 2" xfId="11018"/>
    <cellStyle name="Normal 4 4 2 2 2 3 2 2" xfId="25340"/>
    <cellStyle name="Normal 4 4 2 2 2 3 3" xfId="24092"/>
    <cellStyle name="Normal 4 4 2 2 2 4" xfId="8971"/>
    <cellStyle name="Normal 4 4 2 2 2 4 2" xfId="24658"/>
    <cellStyle name="Normal 4 4 2 2 2 5" xfId="3128"/>
    <cellStyle name="Normal 4 4 2 2 2 6" xfId="21901"/>
    <cellStyle name="Normal 4 4 2 2 3" xfId="905"/>
    <cellStyle name="Normal 4 4 2 2 3 2" xfId="8518"/>
    <cellStyle name="Normal 4 4 2 2 3 2 2" xfId="11131"/>
    <cellStyle name="Normal 4 4 2 2 3 2 2 2" xfId="25453"/>
    <cellStyle name="Normal 4 4 2 2 3 2 3" xfId="24205"/>
    <cellStyle name="Normal 4 4 2 2 3 3" xfId="9159"/>
    <cellStyle name="Normal 4 4 2 2 3 3 2" xfId="24831"/>
    <cellStyle name="Normal 4 4 2 2 3 4" xfId="3399"/>
    <cellStyle name="Normal 4 4 2 2 3 5" xfId="21903"/>
    <cellStyle name="Normal 4 4 2 2 4" xfId="8237"/>
    <cellStyle name="Normal 4 4 2 2 4 2" xfId="10850"/>
    <cellStyle name="Normal 4 4 2 2 4 2 2" xfId="25172"/>
    <cellStyle name="Normal 4 4 2 2 4 3" xfId="23924"/>
    <cellStyle name="Normal 4 4 2 2 5" xfId="8803"/>
    <cellStyle name="Normal 4 4 2 2 5 2" xfId="24490"/>
    <cellStyle name="Normal 4 4 2 2 6" xfId="2950"/>
    <cellStyle name="Normal 4 4 2 2 7" xfId="21900"/>
    <cellStyle name="Normal 4 4 2 3" xfId="906"/>
    <cellStyle name="Normal 4 4 2 3 2" xfId="907"/>
    <cellStyle name="Normal 4 4 2 3 2 2" xfId="8574"/>
    <cellStyle name="Normal 4 4 2 3 2 2 2" xfId="11187"/>
    <cellStyle name="Normal 4 4 2 3 2 2 2 2" xfId="25509"/>
    <cellStyle name="Normal 4 4 2 3 2 2 3" xfId="24261"/>
    <cellStyle name="Normal 4 4 2 3 2 3" xfId="9215"/>
    <cellStyle name="Normal 4 4 2 3 2 3 2" xfId="24887"/>
    <cellStyle name="Normal 4 4 2 3 2 4" xfId="3455"/>
    <cellStyle name="Normal 4 4 2 3 2 5" xfId="21905"/>
    <cellStyle name="Normal 4 4 2 3 3" xfId="8293"/>
    <cellStyle name="Normal 4 4 2 3 3 2" xfId="10906"/>
    <cellStyle name="Normal 4 4 2 3 3 2 2" xfId="25228"/>
    <cellStyle name="Normal 4 4 2 3 3 3" xfId="23980"/>
    <cellStyle name="Normal 4 4 2 3 4" xfId="8859"/>
    <cellStyle name="Normal 4 4 2 3 4 2" xfId="24546"/>
    <cellStyle name="Normal 4 4 2 3 5" xfId="3006"/>
    <cellStyle name="Normal 4 4 2 3 6" xfId="21904"/>
    <cellStyle name="Normal 4 4 2 4" xfId="908"/>
    <cellStyle name="Normal 4 4 2 4 2" xfId="909"/>
    <cellStyle name="Normal 4 4 2 4 2 2" xfId="8629"/>
    <cellStyle name="Normal 4 4 2 4 2 2 2" xfId="11242"/>
    <cellStyle name="Normal 4 4 2 4 2 2 2 2" xfId="25564"/>
    <cellStyle name="Normal 4 4 2 4 2 2 3" xfId="24316"/>
    <cellStyle name="Normal 4 4 2 4 2 3" xfId="9271"/>
    <cellStyle name="Normal 4 4 2 4 2 3 2" xfId="24942"/>
    <cellStyle name="Normal 4 4 2 4 2 4" xfId="3519"/>
    <cellStyle name="Normal 4 4 2 4 2 5" xfId="21907"/>
    <cellStyle name="Normal 4 4 2 4 3" xfId="8348"/>
    <cellStyle name="Normal 4 4 2 4 3 2" xfId="10961"/>
    <cellStyle name="Normal 4 4 2 4 3 2 2" xfId="25283"/>
    <cellStyle name="Normal 4 4 2 4 3 3" xfId="24035"/>
    <cellStyle name="Normal 4 4 2 4 4" xfId="8914"/>
    <cellStyle name="Normal 4 4 2 4 4 2" xfId="24601"/>
    <cellStyle name="Normal 4 4 2 4 5" xfId="3071"/>
    <cellStyle name="Normal 4 4 2 4 6" xfId="21906"/>
    <cellStyle name="Normal 4 4 2 5" xfId="910"/>
    <cellStyle name="Normal 4 4 2 5 2" xfId="8466"/>
    <cellStyle name="Normal 4 4 2 5 2 2" xfId="11079"/>
    <cellStyle name="Normal 4 4 2 5 2 2 2" xfId="25401"/>
    <cellStyle name="Normal 4 4 2 5 2 3" xfId="24153"/>
    <cellStyle name="Normal 4 4 2 5 3" xfId="9038"/>
    <cellStyle name="Normal 4 4 2 5 3 2" xfId="24719"/>
    <cellStyle name="Normal 4 4 2 5 4" xfId="3230"/>
    <cellStyle name="Normal 4 4 2 5 5" xfId="21908"/>
    <cellStyle name="Normal 4 4 2 6" xfId="911"/>
    <cellStyle name="Normal 4 4 2 6 2" xfId="8180"/>
    <cellStyle name="Normal 4 4 2 6 2 2" xfId="10793"/>
    <cellStyle name="Normal 4 4 2 6 2 2 2" xfId="25115"/>
    <cellStyle name="Normal 4 4 2 6 2 3" xfId="23867"/>
    <cellStyle name="Normal 4 4 2 6 3" xfId="9102"/>
    <cellStyle name="Normal 4 4 2 6 3 2" xfId="24774"/>
    <cellStyle name="Normal 4 4 2 6 4" xfId="3342"/>
    <cellStyle name="Normal 4 4 2 6 5" xfId="21909"/>
    <cellStyle name="Normal 4 4 2 7" xfId="8125"/>
    <cellStyle name="Normal 4 4 2 7 2" xfId="10738"/>
    <cellStyle name="Normal 4 4 2 7 2 2" xfId="25060"/>
    <cellStyle name="Normal 4 4 2 7 3" xfId="23812"/>
    <cellStyle name="Normal 4 4 2 8" xfId="8746"/>
    <cellStyle name="Normal 4 4 2 8 2" xfId="24433"/>
    <cellStyle name="Normal 4 4 2 9" xfId="2893"/>
    <cellStyle name="Normal 4 4 3" xfId="912"/>
    <cellStyle name="Normal 4 4 3 2" xfId="913"/>
    <cellStyle name="Normal 4 4 3 2 2" xfId="914"/>
    <cellStyle name="Normal 4 4 3 2 2 2" xfId="8660"/>
    <cellStyle name="Normal 4 4 3 2 2 2 2" xfId="11273"/>
    <cellStyle name="Normal 4 4 3 2 2 2 2 2" xfId="25595"/>
    <cellStyle name="Normal 4 4 3 2 2 2 3" xfId="24347"/>
    <cellStyle name="Normal 4 4 3 2 2 3" xfId="9302"/>
    <cellStyle name="Normal 4 4 3 2 2 3 2" xfId="24973"/>
    <cellStyle name="Normal 4 4 3 2 2 4" xfId="3550"/>
    <cellStyle name="Normal 4 4 3 2 2 5" xfId="21912"/>
    <cellStyle name="Normal 4 4 3 2 3" xfId="8379"/>
    <cellStyle name="Normal 4 4 3 2 3 2" xfId="10992"/>
    <cellStyle name="Normal 4 4 3 2 3 2 2" xfId="25314"/>
    <cellStyle name="Normal 4 4 3 2 3 3" xfId="24066"/>
    <cellStyle name="Normal 4 4 3 2 4" xfId="8945"/>
    <cellStyle name="Normal 4 4 3 2 4 2" xfId="24632"/>
    <cellStyle name="Normal 4 4 3 2 5" xfId="3102"/>
    <cellStyle name="Normal 4 4 3 2 6" xfId="21911"/>
    <cellStyle name="Normal 4 4 3 3" xfId="915"/>
    <cellStyle name="Normal 4 4 3 3 2" xfId="8492"/>
    <cellStyle name="Normal 4 4 3 3 2 2" xfId="11105"/>
    <cellStyle name="Normal 4 4 3 3 2 2 2" xfId="25427"/>
    <cellStyle name="Normal 4 4 3 3 2 3" xfId="24179"/>
    <cellStyle name="Normal 4 4 3 3 3" xfId="9133"/>
    <cellStyle name="Normal 4 4 3 3 3 2" xfId="24805"/>
    <cellStyle name="Normal 4 4 3 3 4" xfId="3373"/>
    <cellStyle name="Normal 4 4 3 3 5" xfId="21913"/>
    <cellStyle name="Normal 4 4 3 4" xfId="8211"/>
    <cellStyle name="Normal 4 4 3 4 2" xfId="10824"/>
    <cellStyle name="Normal 4 4 3 4 2 2" xfId="25146"/>
    <cellStyle name="Normal 4 4 3 4 3" xfId="23898"/>
    <cellStyle name="Normal 4 4 3 5" xfId="8777"/>
    <cellStyle name="Normal 4 4 3 5 2" xfId="24464"/>
    <cellStyle name="Normal 4 4 3 6" xfId="2924"/>
    <cellStyle name="Normal 4 4 3 7" xfId="21910"/>
    <cellStyle name="Normal 4 4 4" xfId="916"/>
    <cellStyle name="Normal 4 4 4 2" xfId="917"/>
    <cellStyle name="Normal 4 4 4 2 2" xfId="8548"/>
    <cellStyle name="Normal 4 4 4 2 2 2" xfId="11161"/>
    <cellStyle name="Normal 4 4 4 2 2 2 2" xfId="25483"/>
    <cellStyle name="Normal 4 4 4 2 2 3" xfId="24235"/>
    <cellStyle name="Normal 4 4 4 2 3" xfId="9189"/>
    <cellStyle name="Normal 4 4 4 2 3 2" xfId="24861"/>
    <cellStyle name="Normal 4 4 4 2 4" xfId="3429"/>
    <cellStyle name="Normal 4 4 4 2 5" xfId="21915"/>
    <cellStyle name="Normal 4 4 4 3" xfId="8267"/>
    <cellStyle name="Normal 4 4 4 3 2" xfId="10880"/>
    <cellStyle name="Normal 4 4 4 3 2 2" xfId="25202"/>
    <cellStyle name="Normal 4 4 4 3 3" xfId="23954"/>
    <cellStyle name="Normal 4 4 4 4" xfId="8833"/>
    <cellStyle name="Normal 4 4 4 4 2" xfId="24520"/>
    <cellStyle name="Normal 4 4 4 5" xfId="2980"/>
    <cellStyle name="Normal 4 4 4 6" xfId="21914"/>
    <cellStyle name="Normal 4 4 5" xfId="918"/>
    <cellStyle name="Normal 4 4 5 2" xfId="919"/>
    <cellStyle name="Normal 4 4 5 2 2" xfId="8598"/>
    <cellStyle name="Normal 4 4 5 2 2 2" xfId="11211"/>
    <cellStyle name="Normal 4 4 5 2 2 2 2" xfId="25533"/>
    <cellStyle name="Normal 4 4 5 2 2 3" xfId="24285"/>
    <cellStyle name="Normal 4 4 5 2 3" xfId="9240"/>
    <cellStyle name="Normal 4 4 5 2 3 2" xfId="24911"/>
    <cellStyle name="Normal 4 4 5 2 4" xfId="3487"/>
    <cellStyle name="Normal 4 4 5 2 5" xfId="21917"/>
    <cellStyle name="Normal 4 4 5 3" xfId="8317"/>
    <cellStyle name="Normal 4 4 5 3 2" xfId="10930"/>
    <cellStyle name="Normal 4 4 5 3 2 2" xfId="25252"/>
    <cellStyle name="Normal 4 4 5 3 3" xfId="24004"/>
    <cellStyle name="Normal 4 4 5 4" xfId="8883"/>
    <cellStyle name="Normal 4 4 5 4 2" xfId="24570"/>
    <cellStyle name="Normal 4 4 5 5" xfId="3040"/>
    <cellStyle name="Normal 4 4 5 6" xfId="21916"/>
    <cellStyle name="Normal 4 4 6" xfId="920"/>
    <cellStyle name="Normal 4 4 6 2" xfId="8442"/>
    <cellStyle name="Normal 4 4 6 2 2" xfId="11055"/>
    <cellStyle name="Normal 4 4 6 2 2 2" xfId="25377"/>
    <cellStyle name="Normal 4 4 6 2 3" xfId="24129"/>
    <cellStyle name="Normal 4 4 6 3" xfId="9014"/>
    <cellStyle name="Normal 4 4 6 3 2" xfId="24695"/>
    <cellStyle name="Normal 4 4 6 4" xfId="3205"/>
    <cellStyle name="Normal 4 4 6 5" xfId="21918"/>
    <cellStyle name="Normal 4 4 7" xfId="921"/>
    <cellStyle name="Normal 4 4 7 2" xfId="8149"/>
    <cellStyle name="Normal 4 4 7 2 2" xfId="10762"/>
    <cellStyle name="Normal 4 4 7 2 2 2" xfId="25084"/>
    <cellStyle name="Normal 4 4 7 2 3" xfId="23836"/>
    <cellStyle name="Normal 4 4 7 3" xfId="9071"/>
    <cellStyle name="Normal 4 4 7 3 2" xfId="24743"/>
    <cellStyle name="Normal 4 4 7 4" xfId="3311"/>
    <cellStyle name="Normal 4 4 7 5" xfId="21919"/>
    <cellStyle name="Normal 4 4 8" xfId="8101"/>
    <cellStyle name="Normal 4 4 8 2" xfId="10714"/>
    <cellStyle name="Normal 4 4 8 2 2" xfId="25036"/>
    <cellStyle name="Normal 4 4 8 3" xfId="23788"/>
    <cellStyle name="Normal 4 4 9" xfId="8715"/>
    <cellStyle name="Normal 4 4 9 2" xfId="24402"/>
    <cellStyle name="Normal 4 5" xfId="922"/>
    <cellStyle name="Normal 4 5 10" xfId="21920"/>
    <cellStyle name="Normal 4 5 2" xfId="923"/>
    <cellStyle name="Normal 4 5 2 2" xfId="924"/>
    <cellStyle name="Normal 4 5 2 2 2" xfId="925"/>
    <cellStyle name="Normal 4 5 2 2 2 2" xfId="8671"/>
    <cellStyle name="Normal 4 5 2 2 2 2 2" xfId="11284"/>
    <cellStyle name="Normal 4 5 2 2 2 2 2 2" xfId="25606"/>
    <cellStyle name="Normal 4 5 2 2 2 2 3" xfId="24358"/>
    <cellStyle name="Normal 4 5 2 2 2 3" xfId="9313"/>
    <cellStyle name="Normal 4 5 2 2 2 3 2" xfId="24984"/>
    <cellStyle name="Normal 4 5 2 2 2 4" xfId="3561"/>
    <cellStyle name="Normal 4 5 2 2 2 5" xfId="21923"/>
    <cellStyle name="Normal 4 5 2 2 3" xfId="8390"/>
    <cellStyle name="Normal 4 5 2 2 3 2" xfId="11003"/>
    <cellStyle name="Normal 4 5 2 2 3 2 2" xfId="25325"/>
    <cellStyle name="Normal 4 5 2 2 3 3" xfId="24077"/>
    <cellStyle name="Normal 4 5 2 2 4" xfId="8956"/>
    <cellStyle name="Normal 4 5 2 2 4 2" xfId="24643"/>
    <cellStyle name="Normal 4 5 2 2 5" xfId="3113"/>
    <cellStyle name="Normal 4 5 2 2 6" xfId="21922"/>
    <cellStyle name="Normal 4 5 2 3" xfId="926"/>
    <cellStyle name="Normal 4 5 2 3 2" xfId="8503"/>
    <cellStyle name="Normal 4 5 2 3 2 2" xfId="11116"/>
    <cellStyle name="Normal 4 5 2 3 2 2 2" xfId="25438"/>
    <cellStyle name="Normal 4 5 2 3 2 3" xfId="24190"/>
    <cellStyle name="Normal 4 5 2 3 3" xfId="9144"/>
    <cellStyle name="Normal 4 5 2 3 3 2" xfId="24816"/>
    <cellStyle name="Normal 4 5 2 3 4" xfId="3384"/>
    <cellStyle name="Normal 4 5 2 3 5" xfId="21924"/>
    <cellStyle name="Normal 4 5 2 4" xfId="8222"/>
    <cellStyle name="Normal 4 5 2 4 2" xfId="10835"/>
    <cellStyle name="Normal 4 5 2 4 2 2" xfId="25157"/>
    <cellStyle name="Normal 4 5 2 4 3" xfId="23909"/>
    <cellStyle name="Normal 4 5 2 5" xfId="8788"/>
    <cellStyle name="Normal 4 5 2 5 2" xfId="24475"/>
    <cellStyle name="Normal 4 5 2 6" xfId="2935"/>
    <cellStyle name="Normal 4 5 2 7" xfId="21921"/>
    <cellStyle name="Normal 4 5 3" xfId="927"/>
    <cellStyle name="Normal 4 5 3 2" xfId="928"/>
    <cellStyle name="Normal 4 5 3 2 2" xfId="8559"/>
    <cellStyle name="Normal 4 5 3 2 2 2" xfId="11172"/>
    <cellStyle name="Normal 4 5 3 2 2 2 2" xfId="25494"/>
    <cellStyle name="Normal 4 5 3 2 2 3" xfId="24246"/>
    <cellStyle name="Normal 4 5 3 2 3" xfId="9200"/>
    <cellStyle name="Normal 4 5 3 2 3 2" xfId="24872"/>
    <cellStyle name="Normal 4 5 3 2 4" xfId="3440"/>
    <cellStyle name="Normal 4 5 3 2 5" xfId="21926"/>
    <cellStyle name="Normal 4 5 3 3" xfId="8278"/>
    <cellStyle name="Normal 4 5 3 3 2" xfId="10891"/>
    <cellStyle name="Normal 4 5 3 3 2 2" xfId="25213"/>
    <cellStyle name="Normal 4 5 3 3 3" xfId="23965"/>
    <cellStyle name="Normal 4 5 3 4" xfId="8844"/>
    <cellStyle name="Normal 4 5 3 4 2" xfId="24531"/>
    <cellStyle name="Normal 4 5 3 5" xfId="2991"/>
    <cellStyle name="Normal 4 5 3 6" xfId="21925"/>
    <cellStyle name="Normal 4 5 4" xfId="929"/>
    <cellStyle name="Normal 4 5 4 2" xfId="930"/>
    <cellStyle name="Normal 4 5 4 2 2" xfId="8609"/>
    <cellStyle name="Normal 4 5 4 2 2 2" xfId="11222"/>
    <cellStyle name="Normal 4 5 4 2 2 2 2" xfId="25544"/>
    <cellStyle name="Normal 4 5 4 2 2 3" xfId="24296"/>
    <cellStyle name="Normal 4 5 4 2 3" xfId="9251"/>
    <cellStyle name="Normal 4 5 4 2 3 2" xfId="24922"/>
    <cellStyle name="Normal 4 5 4 2 4" xfId="3498"/>
    <cellStyle name="Normal 4 5 4 2 5" xfId="21928"/>
    <cellStyle name="Normal 4 5 4 3" xfId="8328"/>
    <cellStyle name="Normal 4 5 4 3 2" xfId="10941"/>
    <cellStyle name="Normal 4 5 4 3 2 2" xfId="25263"/>
    <cellStyle name="Normal 4 5 4 3 3" xfId="24015"/>
    <cellStyle name="Normal 4 5 4 4" xfId="8894"/>
    <cellStyle name="Normal 4 5 4 4 2" xfId="24581"/>
    <cellStyle name="Normal 4 5 4 5" xfId="3051"/>
    <cellStyle name="Normal 4 5 4 6" xfId="21927"/>
    <cellStyle name="Normal 4 5 5" xfId="931"/>
    <cellStyle name="Normal 4 5 5 2" xfId="8452"/>
    <cellStyle name="Normal 4 5 5 2 2" xfId="11065"/>
    <cellStyle name="Normal 4 5 5 2 2 2" xfId="25387"/>
    <cellStyle name="Normal 4 5 5 2 3" xfId="24139"/>
    <cellStyle name="Normal 4 5 5 3" xfId="9024"/>
    <cellStyle name="Normal 4 5 5 3 2" xfId="24705"/>
    <cellStyle name="Normal 4 5 5 4" xfId="3215"/>
    <cellStyle name="Normal 4 5 5 5" xfId="21929"/>
    <cellStyle name="Normal 4 5 6" xfId="932"/>
    <cellStyle name="Normal 4 5 6 2" xfId="8160"/>
    <cellStyle name="Normal 4 5 6 2 2" xfId="10773"/>
    <cellStyle name="Normal 4 5 6 2 2 2" xfId="25095"/>
    <cellStyle name="Normal 4 5 6 2 3" xfId="23847"/>
    <cellStyle name="Normal 4 5 6 3" xfId="9082"/>
    <cellStyle name="Normal 4 5 6 3 2" xfId="24754"/>
    <cellStyle name="Normal 4 5 6 4" xfId="3322"/>
    <cellStyle name="Normal 4 5 6 5" xfId="21930"/>
    <cellStyle name="Normal 4 5 7" xfId="8111"/>
    <cellStyle name="Normal 4 5 7 2" xfId="10724"/>
    <cellStyle name="Normal 4 5 7 2 2" xfId="25046"/>
    <cellStyle name="Normal 4 5 7 3" xfId="23798"/>
    <cellStyle name="Normal 4 5 8" xfId="8726"/>
    <cellStyle name="Normal 4 5 8 2" xfId="24413"/>
    <cellStyle name="Normal 4 5 9" xfId="2871"/>
    <cellStyle name="Normal 4 6" xfId="933"/>
    <cellStyle name="Normal 4 6 10" xfId="21931"/>
    <cellStyle name="Normal 4 6 2" xfId="934"/>
    <cellStyle name="Normal 4 6 2 2" xfId="935"/>
    <cellStyle name="Normal 4 6 2 2 2" xfId="936"/>
    <cellStyle name="Normal 4 6 2 2 2 2" xfId="8646"/>
    <cellStyle name="Normal 4 6 2 2 2 2 2" xfId="11259"/>
    <cellStyle name="Normal 4 6 2 2 2 2 2 2" xfId="25581"/>
    <cellStyle name="Normal 4 6 2 2 2 2 3" xfId="24333"/>
    <cellStyle name="Normal 4 6 2 2 2 3" xfId="9288"/>
    <cellStyle name="Normal 4 6 2 2 2 3 2" xfId="24959"/>
    <cellStyle name="Normal 4 6 2 2 2 4" xfId="3536"/>
    <cellStyle name="Normal 4 6 2 2 2 5" xfId="21934"/>
    <cellStyle name="Normal 4 6 2 2 3" xfId="8365"/>
    <cellStyle name="Normal 4 6 2 2 3 2" xfId="10978"/>
    <cellStyle name="Normal 4 6 2 2 3 2 2" xfId="25300"/>
    <cellStyle name="Normal 4 6 2 2 3 3" xfId="24052"/>
    <cellStyle name="Normal 4 6 2 2 4" xfId="8931"/>
    <cellStyle name="Normal 4 6 2 2 4 2" xfId="24618"/>
    <cellStyle name="Normal 4 6 2 2 5" xfId="3088"/>
    <cellStyle name="Normal 4 6 2 2 6" xfId="21933"/>
    <cellStyle name="Normal 4 6 2 3" xfId="937"/>
    <cellStyle name="Normal 4 6 2 3 2" xfId="8482"/>
    <cellStyle name="Normal 4 6 2 3 2 2" xfId="11095"/>
    <cellStyle name="Normal 4 6 2 3 2 2 2" xfId="25417"/>
    <cellStyle name="Normal 4 6 2 3 2 3" xfId="24169"/>
    <cellStyle name="Normal 4 6 2 3 3" xfId="9119"/>
    <cellStyle name="Normal 4 6 2 3 3 2" xfId="24791"/>
    <cellStyle name="Normal 4 6 2 3 4" xfId="3359"/>
    <cellStyle name="Normal 4 6 2 3 5" xfId="21935"/>
    <cellStyle name="Normal 4 6 2 4" xfId="8197"/>
    <cellStyle name="Normal 4 6 2 4 2" xfId="10810"/>
    <cellStyle name="Normal 4 6 2 4 2 2" xfId="25132"/>
    <cellStyle name="Normal 4 6 2 4 3" xfId="23884"/>
    <cellStyle name="Normal 4 6 2 5" xfId="8763"/>
    <cellStyle name="Normal 4 6 2 5 2" xfId="24450"/>
    <cellStyle name="Normal 4 6 2 6" xfId="2910"/>
    <cellStyle name="Normal 4 6 2 7" xfId="21932"/>
    <cellStyle name="Normal 4 6 3" xfId="938"/>
    <cellStyle name="Normal 4 6 3 2" xfId="939"/>
    <cellStyle name="Normal 4 6 3 2 2" xfId="8534"/>
    <cellStyle name="Normal 4 6 3 2 2 2" xfId="11147"/>
    <cellStyle name="Normal 4 6 3 2 2 2 2" xfId="25469"/>
    <cellStyle name="Normal 4 6 3 2 2 3" xfId="24221"/>
    <cellStyle name="Normal 4 6 3 2 3" xfId="9175"/>
    <cellStyle name="Normal 4 6 3 2 3 2" xfId="24847"/>
    <cellStyle name="Normal 4 6 3 2 4" xfId="3415"/>
    <cellStyle name="Normal 4 6 3 2 5" xfId="21937"/>
    <cellStyle name="Normal 4 6 3 3" xfId="8253"/>
    <cellStyle name="Normal 4 6 3 3 2" xfId="10866"/>
    <cellStyle name="Normal 4 6 3 3 2 2" xfId="25188"/>
    <cellStyle name="Normal 4 6 3 3 3" xfId="23940"/>
    <cellStyle name="Normal 4 6 3 4" xfId="8819"/>
    <cellStyle name="Normal 4 6 3 4 2" xfId="24506"/>
    <cellStyle name="Normal 4 6 3 5" xfId="2966"/>
    <cellStyle name="Normal 4 6 3 6" xfId="21936"/>
    <cellStyle name="Normal 4 6 4" xfId="940"/>
    <cellStyle name="Normal 4 6 4 2" xfId="941"/>
    <cellStyle name="Normal 4 6 4 2 2" xfId="8615"/>
    <cellStyle name="Normal 4 6 4 2 2 2" xfId="11228"/>
    <cellStyle name="Normal 4 6 4 2 2 2 2" xfId="25550"/>
    <cellStyle name="Normal 4 6 4 2 2 3" xfId="24302"/>
    <cellStyle name="Normal 4 6 4 2 3" xfId="9257"/>
    <cellStyle name="Normal 4 6 4 2 3 2" xfId="24928"/>
    <cellStyle name="Normal 4 6 4 2 4" xfId="3504"/>
    <cellStyle name="Normal 4 6 4 2 5" xfId="21939"/>
    <cellStyle name="Normal 4 6 4 3" xfId="8334"/>
    <cellStyle name="Normal 4 6 4 3 2" xfId="10947"/>
    <cellStyle name="Normal 4 6 4 3 2 2" xfId="25269"/>
    <cellStyle name="Normal 4 6 4 3 3" xfId="24021"/>
    <cellStyle name="Normal 4 6 4 4" xfId="8900"/>
    <cellStyle name="Normal 4 6 4 4 2" xfId="24587"/>
    <cellStyle name="Normal 4 6 4 5" xfId="3057"/>
    <cellStyle name="Normal 4 6 4 6" xfId="21938"/>
    <cellStyle name="Normal 4 6 5" xfId="942"/>
    <cellStyle name="Normal 4 6 5 2" xfId="8432"/>
    <cellStyle name="Normal 4 6 5 2 2" xfId="11045"/>
    <cellStyle name="Normal 4 6 5 2 2 2" xfId="25367"/>
    <cellStyle name="Normal 4 6 5 2 3" xfId="24119"/>
    <cellStyle name="Normal 4 6 5 3" xfId="9002"/>
    <cellStyle name="Normal 4 6 5 3 2" xfId="24685"/>
    <cellStyle name="Normal 4 6 5 4" xfId="3177"/>
    <cellStyle name="Normal 4 6 5 5" xfId="21940"/>
    <cellStyle name="Normal 4 6 6" xfId="943"/>
    <cellStyle name="Normal 4 6 6 2" xfId="8166"/>
    <cellStyle name="Normal 4 6 6 2 2" xfId="10779"/>
    <cellStyle name="Normal 4 6 6 2 2 2" xfId="25101"/>
    <cellStyle name="Normal 4 6 6 2 3" xfId="23853"/>
    <cellStyle name="Normal 4 6 6 3" xfId="9088"/>
    <cellStyle name="Normal 4 6 6 3 2" xfId="24760"/>
    <cellStyle name="Normal 4 6 6 4" xfId="3328"/>
    <cellStyle name="Normal 4 6 6 5" xfId="21941"/>
    <cellStyle name="Normal 4 6 7" xfId="8091"/>
    <cellStyle name="Normal 4 6 7 2" xfId="10704"/>
    <cellStyle name="Normal 4 6 7 2 2" xfId="25026"/>
    <cellStyle name="Normal 4 6 7 3" xfId="23778"/>
    <cellStyle name="Normal 4 6 8" xfId="8732"/>
    <cellStyle name="Normal 4 6 8 2" xfId="24419"/>
    <cellStyle name="Normal 4 6 9" xfId="2878"/>
    <cellStyle name="Normal 4 7" xfId="944"/>
    <cellStyle name="Normal 4 7 2" xfId="945"/>
    <cellStyle name="Normal 4 7 2 2" xfId="946"/>
    <cellStyle name="Normal 4 7 2 2 2" xfId="8640"/>
    <cellStyle name="Normal 4 7 2 2 2 2" xfId="11253"/>
    <cellStyle name="Normal 4 7 2 2 2 2 2" xfId="25575"/>
    <cellStyle name="Normal 4 7 2 2 2 3" xfId="24327"/>
    <cellStyle name="Normal 4 7 2 2 3" xfId="9282"/>
    <cellStyle name="Normal 4 7 2 2 3 2" xfId="24953"/>
    <cellStyle name="Normal 4 7 2 2 4" xfId="3530"/>
    <cellStyle name="Normal 4 7 2 2 5" xfId="21944"/>
    <cellStyle name="Normal 4 7 2 3" xfId="8359"/>
    <cellStyle name="Normal 4 7 2 3 2" xfId="10972"/>
    <cellStyle name="Normal 4 7 2 3 2 2" xfId="25294"/>
    <cellStyle name="Normal 4 7 2 3 3" xfId="24046"/>
    <cellStyle name="Normal 4 7 2 4" xfId="8925"/>
    <cellStyle name="Normal 4 7 2 4 2" xfId="24612"/>
    <cellStyle name="Normal 4 7 2 5" xfId="3082"/>
    <cellStyle name="Normal 4 7 2 6" xfId="21943"/>
    <cellStyle name="Normal 4 7 3" xfId="947"/>
    <cellStyle name="Normal 4 7 3 2" xfId="8476"/>
    <cellStyle name="Normal 4 7 3 2 2" xfId="11089"/>
    <cellStyle name="Normal 4 7 3 2 2 2" xfId="25411"/>
    <cellStyle name="Normal 4 7 3 2 3" xfId="24163"/>
    <cellStyle name="Normal 4 7 3 3" xfId="9113"/>
    <cellStyle name="Normal 4 7 3 3 2" xfId="24785"/>
    <cellStyle name="Normal 4 7 3 4" xfId="3353"/>
    <cellStyle name="Normal 4 7 3 5" xfId="21945"/>
    <cellStyle name="Normal 4 7 4" xfId="8191"/>
    <cellStyle name="Normal 4 7 4 2" xfId="10804"/>
    <cellStyle name="Normal 4 7 4 2 2" xfId="25126"/>
    <cellStyle name="Normal 4 7 4 3" xfId="23878"/>
    <cellStyle name="Normal 4 7 5" xfId="8757"/>
    <cellStyle name="Normal 4 7 5 2" xfId="24444"/>
    <cellStyle name="Normal 4 7 6" xfId="2904"/>
    <cellStyle name="Normal 4 7 7" xfId="21942"/>
    <cellStyle name="Normal 4 8" xfId="948"/>
    <cellStyle name="Normal 4 8 2" xfId="949"/>
    <cellStyle name="Normal 4 8 2 2" xfId="8528"/>
    <cellStyle name="Normal 4 8 2 2 2" xfId="11141"/>
    <cellStyle name="Normal 4 8 2 2 2 2" xfId="25463"/>
    <cellStyle name="Normal 4 8 2 2 3" xfId="24215"/>
    <cellStyle name="Normal 4 8 2 3" xfId="9169"/>
    <cellStyle name="Normal 4 8 2 3 2" xfId="24841"/>
    <cellStyle name="Normal 4 8 2 4" xfId="3409"/>
    <cellStyle name="Normal 4 8 2 5" xfId="21947"/>
    <cellStyle name="Normal 4 8 3" xfId="8247"/>
    <cellStyle name="Normal 4 8 3 2" xfId="10860"/>
    <cellStyle name="Normal 4 8 3 2 2" xfId="25182"/>
    <cellStyle name="Normal 4 8 3 3" xfId="23934"/>
    <cellStyle name="Normal 4 8 4" xfId="8813"/>
    <cellStyle name="Normal 4 8 4 2" xfId="24500"/>
    <cellStyle name="Normal 4 8 5" xfId="2960"/>
    <cellStyle name="Normal 4 8 6" xfId="21946"/>
    <cellStyle name="Normal 4 9" xfId="950"/>
    <cellStyle name="Normal 4 9 2" xfId="951"/>
    <cellStyle name="Normal 4 9 2 2" xfId="8584"/>
    <cellStyle name="Normal 4 9 2 2 2" xfId="11197"/>
    <cellStyle name="Normal 4 9 2 2 2 2" xfId="25519"/>
    <cellStyle name="Normal 4 9 2 2 3" xfId="24271"/>
    <cellStyle name="Normal 4 9 2 3" xfId="9225"/>
    <cellStyle name="Normal 4 9 2 3 2" xfId="24897"/>
    <cellStyle name="Normal 4 9 2 4" xfId="3470"/>
    <cellStyle name="Normal 4 9 2 5" xfId="21949"/>
    <cellStyle name="Normal 4 9 3" xfId="8303"/>
    <cellStyle name="Normal 4 9 3 2" xfId="10916"/>
    <cellStyle name="Normal 4 9 3 2 2" xfId="25238"/>
    <cellStyle name="Normal 4 9 3 3" xfId="23990"/>
    <cellStyle name="Normal 4 9 4" xfId="8869"/>
    <cellStyle name="Normal 4 9 4 2" xfId="24556"/>
    <cellStyle name="Normal 4 9 5" xfId="3020"/>
    <cellStyle name="Normal 4 9 6" xfId="21948"/>
    <cellStyle name="Normal 5" xfId="952"/>
    <cellStyle name="Normal 5 10" xfId="953"/>
    <cellStyle name="Normal 5 10 2" xfId="8416"/>
    <cellStyle name="Normal 5 10 2 2" xfId="11029"/>
    <cellStyle name="Normal 5 10 2 2 2" xfId="25351"/>
    <cellStyle name="Normal 5 10 2 3" xfId="24103"/>
    <cellStyle name="Normal 5 10 3" xfId="8986"/>
    <cellStyle name="Normal 5 10 3 2" xfId="24669"/>
    <cellStyle name="Normal 5 10 4" xfId="3159"/>
    <cellStyle name="Normal 5 10 5" xfId="21951"/>
    <cellStyle name="Normal 5 11" xfId="954"/>
    <cellStyle name="Normal 5 11 2" xfId="8136"/>
    <cellStyle name="Normal 5 11 2 2" xfId="10749"/>
    <cellStyle name="Normal 5 11 2 2 2" xfId="25071"/>
    <cellStyle name="Normal 5 11 2 3" xfId="23823"/>
    <cellStyle name="Normal 5 11 3" xfId="9058"/>
    <cellStyle name="Normal 5 11 3 2" xfId="24730"/>
    <cellStyle name="Normal 5 11 4" xfId="3298"/>
    <cellStyle name="Normal 5 11 5" xfId="21952"/>
    <cellStyle name="Normal 5 12" xfId="8075"/>
    <cellStyle name="Normal 5 12 2" xfId="10688"/>
    <cellStyle name="Normal 5 12 2 2" xfId="25010"/>
    <cellStyle name="Normal 5 12 3" xfId="23762"/>
    <cellStyle name="Normal 5 13" xfId="8697"/>
    <cellStyle name="Normal 5 13 2" xfId="11310"/>
    <cellStyle name="Normal 5 13 2 2" xfId="25632"/>
    <cellStyle name="Normal 5 13 3" xfId="24384"/>
    <cellStyle name="Normal 5 14" xfId="8702"/>
    <cellStyle name="Normal 5 14 2" xfId="24389"/>
    <cellStyle name="Normal 5 15" xfId="2803"/>
    <cellStyle name="Normal 5 16" xfId="21950"/>
    <cellStyle name="Normal 5 2" xfId="955"/>
    <cellStyle name="Normal 5 2 10" xfId="8706"/>
    <cellStyle name="Normal 5 2 10 2" xfId="24393"/>
    <cellStyle name="Normal 5 2 11" xfId="2850"/>
    <cellStyle name="Normal 5 2 12" xfId="21953"/>
    <cellStyle name="Normal 5 2 2" xfId="956"/>
    <cellStyle name="Normal 5 2 2 10" xfId="2866"/>
    <cellStyle name="Normal 5 2 2 11" xfId="21954"/>
    <cellStyle name="Normal 5 2 2 2" xfId="957"/>
    <cellStyle name="Normal 5 2 2 2 10" xfId="21955"/>
    <cellStyle name="Normal 5 2 2 2 2" xfId="958"/>
    <cellStyle name="Normal 5 2 2 2 2 2" xfId="959"/>
    <cellStyle name="Normal 5 2 2 2 2 2 2" xfId="960"/>
    <cellStyle name="Normal 5 2 2 2 2 2 2 2" xfId="8692"/>
    <cellStyle name="Normal 5 2 2 2 2 2 2 2 2" xfId="11305"/>
    <cellStyle name="Normal 5 2 2 2 2 2 2 2 2 2" xfId="25627"/>
    <cellStyle name="Normal 5 2 2 2 2 2 2 2 3" xfId="24379"/>
    <cellStyle name="Normal 5 2 2 2 2 2 2 3" xfId="9334"/>
    <cellStyle name="Normal 5 2 2 2 2 2 2 3 2" xfId="25005"/>
    <cellStyle name="Normal 5 2 2 2 2 2 2 4" xfId="3582"/>
    <cellStyle name="Normal 5 2 2 2 2 2 2 5" xfId="21958"/>
    <cellStyle name="Normal 5 2 2 2 2 2 3" xfId="8411"/>
    <cellStyle name="Normal 5 2 2 2 2 2 3 2" xfId="11024"/>
    <cellStyle name="Normal 5 2 2 2 2 2 3 2 2" xfId="25346"/>
    <cellStyle name="Normal 5 2 2 2 2 2 3 3" xfId="24098"/>
    <cellStyle name="Normal 5 2 2 2 2 2 4" xfId="8977"/>
    <cellStyle name="Normal 5 2 2 2 2 2 4 2" xfId="24664"/>
    <cellStyle name="Normal 5 2 2 2 2 2 5" xfId="3134"/>
    <cellStyle name="Normal 5 2 2 2 2 2 6" xfId="21957"/>
    <cellStyle name="Normal 5 2 2 2 2 3" xfId="961"/>
    <cellStyle name="Normal 5 2 2 2 2 3 2" xfId="8524"/>
    <cellStyle name="Normal 5 2 2 2 2 3 2 2" xfId="11137"/>
    <cellStyle name="Normal 5 2 2 2 2 3 2 2 2" xfId="25459"/>
    <cellStyle name="Normal 5 2 2 2 2 3 2 3" xfId="24211"/>
    <cellStyle name="Normal 5 2 2 2 2 3 3" xfId="9165"/>
    <cellStyle name="Normal 5 2 2 2 2 3 3 2" xfId="24837"/>
    <cellStyle name="Normal 5 2 2 2 2 3 4" xfId="3405"/>
    <cellStyle name="Normal 5 2 2 2 2 3 5" xfId="21959"/>
    <cellStyle name="Normal 5 2 2 2 2 4" xfId="8243"/>
    <cellStyle name="Normal 5 2 2 2 2 4 2" xfId="10856"/>
    <cellStyle name="Normal 5 2 2 2 2 4 2 2" xfId="25178"/>
    <cellStyle name="Normal 5 2 2 2 2 4 3" xfId="23930"/>
    <cellStyle name="Normal 5 2 2 2 2 5" xfId="8809"/>
    <cellStyle name="Normal 5 2 2 2 2 5 2" xfId="24496"/>
    <cellStyle name="Normal 5 2 2 2 2 6" xfId="2956"/>
    <cellStyle name="Normal 5 2 2 2 2 7" xfId="21956"/>
    <cellStyle name="Normal 5 2 2 2 3" xfId="962"/>
    <cellStyle name="Normal 5 2 2 2 3 2" xfId="963"/>
    <cellStyle name="Normal 5 2 2 2 3 2 2" xfId="8580"/>
    <cellStyle name="Normal 5 2 2 2 3 2 2 2" xfId="11193"/>
    <cellStyle name="Normal 5 2 2 2 3 2 2 2 2" xfId="25515"/>
    <cellStyle name="Normal 5 2 2 2 3 2 2 3" xfId="24267"/>
    <cellStyle name="Normal 5 2 2 2 3 2 3" xfId="9221"/>
    <cellStyle name="Normal 5 2 2 2 3 2 3 2" xfId="24893"/>
    <cellStyle name="Normal 5 2 2 2 3 2 4" xfId="3461"/>
    <cellStyle name="Normal 5 2 2 2 3 2 5" xfId="21961"/>
    <cellStyle name="Normal 5 2 2 2 3 3" xfId="8299"/>
    <cellStyle name="Normal 5 2 2 2 3 3 2" xfId="10912"/>
    <cellStyle name="Normal 5 2 2 2 3 3 2 2" xfId="25234"/>
    <cellStyle name="Normal 5 2 2 2 3 3 3" xfId="23986"/>
    <cellStyle name="Normal 5 2 2 2 3 4" xfId="8865"/>
    <cellStyle name="Normal 5 2 2 2 3 4 2" xfId="24552"/>
    <cellStyle name="Normal 5 2 2 2 3 5" xfId="3012"/>
    <cellStyle name="Normal 5 2 2 2 3 6" xfId="21960"/>
    <cellStyle name="Normal 5 2 2 2 4" xfId="964"/>
    <cellStyle name="Normal 5 2 2 2 4 2" xfId="965"/>
    <cellStyle name="Normal 5 2 2 2 4 2 2" xfId="8635"/>
    <cellStyle name="Normal 5 2 2 2 4 2 2 2" xfId="11248"/>
    <cellStyle name="Normal 5 2 2 2 4 2 2 2 2" xfId="25570"/>
    <cellStyle name="Normal 5 2 2 2 4 2 2 3" xfId="24322"/>
    <cellStyle name="Normal 5 2 2 2 4 2 3" xfId="9277"/>
    <cellStyle name="Normal 5 2 2 2 4 2 3 2" xfId="24948"/>
    <cellStyle name="Normal 5 2 2 2 4 2 4" xfId="3525"/>
    <cellStyle name="Normal 5 2 2 2 4 2 5" xfId="21963"/>
    <cellStyle name="Normal 5 2 2 2 4 3" xfId="8354"/>
    <cellStyle name="Normal 5 2 2 2 4 3 2" xfId="10967"/>
    <cellStyle name="Normal 5 2 2 2 4 3 2 2" xfId="25289"/>
    <cellStyle name="Normal 5 2 2 2 4 3 3" xfId="24041"/>
    <cellStyle name="Normal 5 2 2 2 4 4" xfId="8920"/>
    <cellStyle name="Normal 5 2 2 2 4 4 2" xfId="24607"/>
    <cellStyle name="Normal 5 2 2 2 4 5" xfId="3077"/>
    <cellStyle name="Normal 5 2 2 2 4 6" xfId="21962"/>
    <cellStyle name="Normal 5 2 2 2 5" xfId="966"/>
    <cellStyle name="Normal 5 2 2 2 5 2" xfId="8472"/>
    <cellStyle name="Normal 5 2 2 2 5 2 2" xfId="11085"/>
    <cellStyle name="Normal 5 2 2 2 5 2 2 2" xfId="25407"/>
    <cellStyle name="Normal 5 2 2 2 5 2 3" xfId="24159"/>
    <cellStyle name="Normal 5 2 2 2 5 3" xfId="9044"/>
    <cellStyle name="Normal 5 2 2 2 5 3 2" xfId="24725"/>
    <cellStyle name="Normal 5 2 2 2 5 4" xfId="3236"/>
    <cellStyle name="Normal 5 2 2 2 5 5" xfId="21964"/>
    <cellStyle name="Normal 5 2 2 2 6" xfId="967"/>
    <cellStyle name="Normal 5 2 2 2 6 2" xfId="8186"/>
    <cellStyle name="Normal 5 2 2 2 6 2 2" xfId="10799"/>
    <cellStyle name="Normal 5 2 2 2 6 2 2 2" xfId="25121"/>
    <cellStyle name="Normal 5 2 2 2 6 2 3" xfId="23873"/>
    <cellStyle name="Normal 5 2 2 2 6 3" xfId="9108"/>
    <cellStyle name="Normal 5 2 2 2 6 3 2" xfId="24780"/>
    <cellStyle name="Normal 5 2 2 2 6 4" xfId="3348"/>
    <cellStyle name="Normal 5 2 2 2 6 5" xfId="21965"/>
    <cellStyle name="Normal 5 2 2 2 7" xfId="8131"/>
    <cellStyle name="Normal 5 2 2 2 7 2" xfId="10744"/>
    <cellStyle name="Normal 5 2 2 2 7 2 2" xfId="25066"/>
    <cellStyle name="Normal 5 2 2 2 7 3" xfId="23818"/>
    <cellStyle name="Normal 5 2 2 2 8" xfId="8752"/>
    <cellStyle name="Normal 5 2 2 2 8 2" xfId="24439"/>
    <cellStyle name="Normal 5 2 2 2 9" xfId="2899"/>
    <cellStyle name="Normal 5 2 2 3" xfId="968"/>
    <cellStyle name="Normal 5 2 2 3 2" xfId="969"/>
    <cellStyle name="Normal 5 2 2 3 2 2" xfId="970"/>
    <cellStyle name="Normal 5 2 2 3 2 2 2" xfId="8666"/>
    <cellStyle name="Normal 5 2 2 3 2 2 2 2" xfId="11279"/>
    <cellStyle name="Normal 5 2 2 3 2 2 2 2 2" xfId="25601"/>
    <cellStyle name="Normal 5 2 2 3 2 2 2 3" xfId="24353"/>
    <cellStyle name="Normal 5 2 2 3 2 2 3" xfId="9308"/>
    <cellStyle name="Normal 5 2 2 3 2 2 3 2" xfId="24979"/>
    <cellStyle name="Normal 5 2 2 3 2 2 4" xfId="3556"/>
    <cellStyle name="Normal 5 2 2 3 2 2 5" xfId="21968"/>
    <cellStyle name="Normal 5 2 2 3 2 3" xfId="8385"/>
    <cellStyle name="Normal 5 2 2 3 2 3 2" xfId="10998"/>
    <cellStyle name="Normal 5 2 2 3 2 3 2 2" xfId="25320"/>
    <cellStyle name="Normal 5 2 2 3 2 3 3" xfId="24072"/>
    <cellStyle name="Normal 5 2 2 3 2 4" xfId="8951"/>
    <cellStyle name="Normal 5 2 2 3 2 4 2" xfId="24638"/>
    <cellStyle name="Normal 5 2 2 3 2 5" xfId="3108"/>
    <cellStyle name="Normal 5 2 2 3 2 6" xfId="21967"/>
    <cellStyle name="Normal 5 2 2 3 3" xfId="971"/>
    <cellStyle name="Normal 5 2 2 3 3 2" xfId="8498"/>
    <cellStyle name="Normal 5 2 2 3 3 2 2" xfId="11111"/>
    <cellStyle name="Normal 5 2 2 3 3 2 2 2" xfId="25433"/>
    <cellStyle name="Normal 5 2 2 3 3 2 3" xfId="24185"/>
    <cellStyle name="Normal 5 2 2 3 3 3" xfId="9139"/>
    <cellStyle name="Normal 5 2 2 3 3 3 2" xfId="24811"/>
    <cellStyle name="Normal 5 2 2 3 3 4" xfId="3379"/>
    <cellStyle name="Normal 5 2 2 3 3 5" xfId="21969"/>
    <cellStyle name="Normal 5 2 2 3 4" xfId="8217"/>
    <cellStyle name="Normal 5 2 2 3 4 2" xfId="10830"/>
    <cellStyle name="Normal 5 2 2 3 4 2 2" xfId="25152"/>
    <cellStyle name="Normal 5 2 2 3 4 3" xfId="23904"/>
    <cellStyle name="Normal 5 2 2 3 5" xfId="8783"/>
    <cellStyle name="Normal 5 2 2 3 5 2" xfId="24470"/>
    <cellStyle name="Normal 5 2 2 3 6" xfId="2930"/>
    <cellStyle name="Normal 5 2 2 3 7" xfId="21966"/>
    <cellStyle name="Normal 5 2 2 4" xfId="972"/>
    <cellStyle name="Normal 5 2 2 4 2" xfId="973"/>
    <cellStyle name="Normal 5 2 2 4 2 2" xfId="8554"/>
    <cellStyle name="Normal 5 2 2 4 2 2 2" xfId="11167"/>
    <cellStyle name="Normal 5 2 2 4 2 2 2 2" xfId="25489"/>
    <cellStyle name="Normal 5 2 2 4 2 2 3" xfId="24241"/>
    <cellStyle name="Normal 5 2 2 4 2 3" xfId="9195"/>
    <cellStyle name="Normal 5 2 2 4 2 3 2" xfId="24867"/>
    <cellStyle name="Normal 5 2 2 4 2 4" xfId="3435"/>
    <cellStyle name="Normal 5 2 2 4 2 5" xfId="21971"/>
    <cellStyle name="Normal 5 2 2 4 3" xfId="8273"/>
    <cellStyle name="Normal 5 2 2 4 3 2" xfId="10886"/>
    <cellStyle name="Normal 5 2 2 4 3 2 2" xfId="25208"/>
    <cellStyle name="Normal 5 2 2 4 3 3" xfId="23960"/>
    <cellStyle name="Normal 5 2 2 4 4" xfId="8839"/>
    <cellStyle name="Normal 5 2 2 4 4 2" xfId="24526"/>
    <cellStyle name="Normal 5 2 2 4 5" xfId="2986"/>
    <cellStyle name="Normal 5 2 2 4 6" xfId="21970"/>
    <cellStyle name="Normal 5 2 2 5" xfId="974"/>
    <cellStyle name="Normal 5 2 2 5 2" xfId="975"/>
    <cellStyle name="Normal 5 2 2 5 2 2" xfId="8604"/>
    <cellStyle name="Normal 5 2 2 5 2 2 2" xfId="11217"/>
    <cellStyle name="Normal 5 2 2 5 2 2 2 2" xfId="25539"/>
    <cellStyle name="Normal 5 2 2 5 2 2 3" xfId="24291"/>
    <cellStyle name="Normal 5 2 2 5 2 3" xfId="9246"/>
    <cellStyle name="Normal 5 2 2 5 2 3 2" xfId="24917"/>
    <cellStyle name="Normal 5 2 2 5 2 4" xfId="3493"/>
    <cellStyle name="Normal 5 2 2 5 2 5" xfId="21973"/>
    <cellStyle name="Normal 5 2 2 5 3" xfId="8323"/>
    <cellStyle name="Normal 5 2 2 5 3 2" xfId="10936"/>
    <cellStyle name="Normal 5 2 2 5 3 2 2" xfId="25258"/>
    <cellStyle name="Normal 5 2 2 5 3 3" xfId="24010"/>
    <cellStyle name="Normal 5 2 2 5 4" xfId="8889"/>
    <cellStyle name="Normal 5 2 2 5 4 2" xfId="24576"/>
    <cellStyle name="Normal 5 2 2 5 5" xfId="3046"/>
    <cellStyle name="Normal 5 2 2 5 6" xfId="21972"/>
    <cellStyle name="Normal 5 2 2 6" xfId="976"/>
    <cellStyle name="Normal 5 2 2 6 2" xfId="8447"/>
    <cellStyle name="Normal 5 2 2 6 2 2" xfId="11060"/>
    <cellStyle name="Normal 5 2 2 6 2 2 2" xfId="25382"/>
    <cellStyle name="Normal 5 2 2 6 2 3" xfId="24134"/>
    <cellStyle name="Normal 5 2 2 6 3" xfId="9019"/>
    <cellStyle name="Normal 5 2 2 6 3 2" xfId="24700"/>
    <cellStyle name="Normal 5 2 2 6 4" xfId="3210"/>
    <cellStyle name="Normal 5 2 2 6 5" xfId="21974"/>
    <cellStyle name="Normal 5 2 2 7" xfId="977"/>
    <cellStyle name="Normal 5 2 2 7 2" xfId="8155"/>
    <cellStyle name="Normal 5 2 2 7 2 2" xfId="10768"/>
    <cellStyle name="Normal 5 2 2 7 2 2 2" xfId="25090"/>
    <cellStyle name="Normal 5 2 2 7 2 3" xfId="23842"/>
    <cellStyle name="Normal 5 2 2 7 3" xfId="9077"/>
    <cellStyle name="Normal 5 2 2 7 3 2" xfId="24749"/>
    <cellStyle name="Normal 5 2 2 7 4" xfId="3317"/>
    <cellStyle name="Normal 5 2 2 7 5" xfId="21975"/>
    <cellStyle name="Normal 5 2 2 8" xfId="8106"/>
    <cellStyle name="Normal 5 2 2 8 2" xfId="10719"/>
    <cellStyle name="Normal 5 2 2 8 2 2" xfId="25041"/>
    <cellStyle name="Normal 5 2 2 8 3" xfId="23793"/>
    <cellStyle name="Normal 5 2 2 9" xfId="8721"/>
    <cellStyle name="Normal 5 2 2 9 2" xfId="24408"/>
    <cellStyle name="Normal 5 2 3" xfId="978"/>
    <cellStyle name="Normal 5 2 3 10" xfId="21976"/>
    <cellStyle name="Normal 5 2 3 2" xfId="979"/>
    <cellStyle name="Normal 5 2 3 2 2" xfId="980"/>
    <cellStyle name="Normal 5 2 3 2 2 2" xfId="981"/>
    <cellStyle name="Normal 5 2 3 2 2 2 2" xfId="8678"/>
    <cellStyle name="Normal 5 2 3 2 2 2 2 2" xfId="11291"/>
    <cellStyle name="Normal 5 2 3 2 2 2 2 2 2" xfId="25613"/>
    <cellStyle name="Normal 5 2 3 2 2 2 2 3" xfId="24365"/>
    <cellStyle name="Normal 5 2 3 2 2 2 3" xfId="9320"/>
    <cellStyle name="Normal 5 2 3 2 2 2 3 2" xfId="24991"/>
    <cellStyle name="Normal 5 2 3 2 2 2 4" xfId="3568"/>
    <cellStyle name="Normal 5 2 3 2 2 2 5" xfId="21979"/>
    <cellStyle name="Normal 5 2 3 2 2 3" xfId="8397"/>
    <cellStyle name="Normal 5 2 3 2 2 3 2" xfId="11010"/>
    <cellStyle name="Normal 5 2 3 2 2 3 2 2" xfId="25332"/>
    <cellStyle name="Normal 5 2 3 2 2 3 3" xfId="24084"/>
    <cellStyle name="Normal 5 2 3 2 2 4" xfId="8963"/>
    <cellStyle name="Normal 5 2 3 2 2 4 2" xfId="24650"/>
    <cellStyle name="Normal 5 2 3 2 2 5" xfId="3120"/>
    <cellStyle name="Normal 5 2 3 2 2 6" xfId="21978"/>
    <cellStyle name="Normal 5 2 3 2 3" xfId="982"/>
    <cellStyle name="Normal 5 2 3 2 3 2" xfId="8510"/>
    <cellStyle name="Normal 5 2 3 2 3 2 2" xfId="11123"/>
    <cellStyle name="Normal 5 2 3 2 3 2 2 2" xfId="25445"/>
    <cellStyle name="Normal 5 2 3 2 3 2 3" xfId="24197"/>
    <cellStyle name="Normal 5 2 3 2 3 3" xfId="9151"/>
    <cellStyle name="Normal 5 2 3 2 3 3 2" xfId="24823"/>
    <cellStyle name="Normal 5 2 3 2 3 4" xfId="3391"/>
    <cellStyle name="Normal 5 2 3 2 3 5" xfId="21980"/>
    <cellStyle name="Normal 5 2 3 2 4" xfId="8229"/>
    <cellStyle name="Normal 5 2 3 2 4 2" xfId="10842"/>
    <cellStyle name="Normal 5 2 3 2 4 2 2" xfId="25164"/>
    <cellStyle name="Normal 5 2 3 2 4 3" xfId="23916"/>
    <cellStyle name="Normal 5 2 3 2 5" xfId="8795"/>
    <cellStyle name="Normal 5 2 3 2 5 2" xfId="24482"/>
    <cellStyle name="Normal 5 2 3 2 6" xfId="2942"/>
    <cellStyle name="Normal 5 2 3 2 7" xfId="21977"/>
    <cellStyle name="Normal 5 2 3 3" xfId="983"/>
    <cellStyle name="Normal 5 2 3 3 2" xfId="984"/>
    <cellStyle name="Normal 5 2 3 3 2 2" xfId="8566"/>
    <cellStyle name="Normal 5 2 3 3 2 2 2" xfId="11179"/>
    <cellStyle name="Normal 5 2 3 3 2 2 2 2" xfId="25501"/>
    <cellStyle name="Normal 5 2 3 3 2 2 3" xfId="24253"/>
    <cellStyle name="Normal 5 2 3 3 2 3" xfId="9207"/>
    <cellStyle name="Normal 5 2 3 3 2 3 2" xfId="24879"/>
    <cellStyle name="Normal 5 2 3 3 2 4" xfId="3447"/>
    <cellStyle name="Normal 5 2 3 3 2 5" xfId="21982"/>
    <cellStyle name="Normal 5 2 3 3 3" xfId="8285"/>
    <cellStyle name="Normal 5 2 3 3 3 2" xfId="10898"/>
    <cellStyle name="Normal 5 2 3 3 3 2 2" xfId="25220"/>
    <cellStyle name="Normal 5 2 3 3 3 3" xfId="23972"/>
    <cellStyle name="Normal 5 2 3 3 4" xfId="8851"/>
    <cellStyle name="Normal 5 2 3 3 4 2" xfId="24538"/>
    <cellStyle name="Normal 5 2 3 3 5" xfId="2998"/>
    <cellStyle name="Normal 5 2 3 3 6" xfId="21981"/>
    <cellStyle name="Normal 5 2 3 4" xfId="985"/>
    <cellStyle name="Normal 5 2 3 4 2" xfId="986"/>
    <cellStyle name="Normal 5 2 3 4 2 2" xfId="8620"/>
    <cellStyle name="Normal 5 2 3 4 2 2 2" xfId="11233"/>
    <cellStyle name="Normal 5 2 3 4 2 2 2 2" xfId="25555"/>
    <cellStyle name="Normal 5 2 3 4 2 2 3" xfId="24307"/>
    <cellStyle name="Normal 5 2 3 4 2 3" xfId="9262"/>
    <cellStyle name="Normal 5 2 3 4 2 3 2" xfId="24933"/>
    <cellStyle name="Normal 5 2 3 4 2 4" xfId="3510"/>
    <cellStyle name="Normal 5 2 3 4 2 5" xfId="21984"/>
    <cellStyle name="Normal 5 2 3 4 3" xfId="8339"/>
    <cellStyle name="Normal 5 2 3 4 3 2" xfId="10952"/>
    <cellStyle name="Normal 5 2 3 4 3 2 2" xfId="25274"/>
    <cellStyle name="Normal 5 2 3 4 3 3" xfId="24026"/>
    <cellStyle name="Normal 5 2 3 4 4" xfId="8905"/>
    <cellStyle name="Normal 5 2 3 4 4 2" xfId="24592"/>
    <cellStyle name="Normal 5 2 3 4 5" xfId="3062"/>
    <cellStyle name="Normal 5 2 3 4 6" xfId="21983"/>
    <cellStyle name="Normal 5 2 3 5" xfId="987"/>
    <cellStyle name="Normal 5 2 3 5 2" xfId="8458"/>
    <cellStyle name="Normal 5 2 3 5 2 2" xfId="11071"/>
    <cellStyle name="Normal 5 2 3 5 2 2 2" xfId="25393"/>
    <cellStyle name="Normal 5 2 3 5 2 3" xfId="24145"/>
    <cellStyle name="Normal 5 2 3 5 3" xfId="9030"/>
    <cellStyle name="Normal 5 2 3 5 3 2" xfId="24711"/>
    <cellStyle name="Normal 5 2 3 5 4" xfId="3222"/>
    <cellStyle name="Normal 5 2 3 5 5" xfId="21985"/>
    <cellStyle name="Normal 5 2 3 6" xfId="988"/>
    <cellStyle name="Normal 5 2 3 6 2" xfId="8171"/>
    <cellStyle name="Normal 5 2 3 6 2 2" xfId="10784"/>
    <cellStyle name="Normal 5 2 3 6 2 2 2" xfId="25106"/>
    <cellStyle name="Normal 5 2 3 6 2 3" xfId="23858"/>
    <cellStyle name="Normal 5 2 3 6 3" xfId="9093"/>
    <cellStyle name="Normal 5 2 3 6 3 2" xfId="24765"/>
    <cellStyle name="Normal 5 2 3 6 4" xfId="3333"/>
    <cellStyle name="Normal 5 2 3 6 5" xfId="21986"/>
    <cellStyle name="Normal 5 2 3 7" xfId="8117"/>
    <cellStyle name="Normal 5 2 3 7 2" xfId="10730"/>
    <cellStyle name="Normal 5 2 3 7 2 2" xfId="25052"/>
    <cellStyle name="Normal 5 2 3 7 3" xfId="23804"/>
    <cellStyle name="Normal 5 2 3 8" xfId="8737"/>
    <cellStyle name="Normal 5 2 3 8 2" xfId="24424"/>
    <cellStyle name="Normal 5 2 3 9" xfId="2884"/>
    <cellStyle name="Normal 5 2 4" xfId="989"/>
    <cellStyle name="Normal 5 2 4 2" xfId="990"/>
    <cellStyle name="Normal 5 2 4 2 2" xfId="991"/>
    <cellStyle name="Normal 5 2 4 2 2 2" xfId="8651"/>
    <cellStyle name="Normal 5 2 4 2 2 2 2" xfId="11264"/>
    <cellStyle name="Normal 5 2 4 2 2 2 2 2" xfId="25586"/>
    <cellStyle name="Normal 5 2 4 2 2 2 3" xfId="24338"/>
    <cellStyle name="Normal 5 2 4 2 2 3" xfId="9293"/>
    <cellStyle name="Normal 5 2 4 2 2 3 2" xfId="24964"/>
    <cellStyle name="Normal 5 2 4 2 2 4" xfId="3541"/>
    <cellStyle name="Normal 5 2 4 2 2 5" xfId="21989"/>
    <cellStyle name="Normal 5 2 4 2 3" xfId="8370"/>
    <cellStyle name="Normal 5 2 4 2 3 2" xfId="10983"/>
    <cellStyle name="Normal 5 2 4 2 3 2 2" xfId="25305"/>
    <cellStyle name="Normal 5 2 4 2 3 3" xfId="24057"/>
    <cellStyle name="Normal 5 2 4 2 4" xfId="8936"/>
    <cellStyle name="Normal 5 2 4 2 4 2" xfId="24623"/>
    <cellStyle name="Normal 5 2 4 2 5" xfId="3093"/>
    <cellStyle name="Normal 5 2 4 2 6" xfId="21988"/>
    <cellStyle name="Normal 5 2 4 3" xfId="992"/>
    <cellStyle name="Normal 5 2 4 3 2" xfId="8436"/>
    <cellStyle name="Normal 5 2 4 3 2 2" xfId="11049"/>
    <cellStyle name="Normal 5 2 4 3 2 2 2" xfId="25371"/>
    <cellStyle name="Normal 5 2 4 3 2 3" xfId="24123"/>
    <cellStyle name="Normal 5 2 4 3 3" xfId="9008"/>
    <cellStyle name="Normal 5 2 4 3 3 2" xfId="24689"/>
    <cellStyle name="Normal 5 2 4 3 4" xfId="3199"/>
    <cellStyle name="Normal 5 2 4 3 5" xfId="21990"/>
    <cellStyle name="Normal 5 2 4 4" xfId="993"/>
    <cellStyle name="Normal 5 2 4 4 2" xfId="8202"/>
    <cellStyle name="Normal 5 2 4 4 2 2" xfId="10815"/>
    <cellStyle name="Normal 5 2 4 4 2 2 2" xfId="25137"/>
    <cellStyle name="Normal 5 2 4 4 2 3" xfId="23889"/>
    <cellStyle name="Normal 5 2 4 4 3" xfId="9124"/>
    <cellStyle name="Normal 5 2 4 4 3 2" xfId="24796"/>
    <cellStyle name="Normal 5 2 4 4 4" xfId="3364"/>
    <cellStyle name="Normal 5 2 4 4 5" xfId="21991"/>
    <cellStyle name="Normal 5 2 4 5" xfId="8095"/>
    <cellStyle name="Normal 5 2 4 5 2" xfId="10708"/>
    <cellStyle name="Normal 5 2 4 5 2 2" xfId="25030"/>
    <cellStyle name="Normal 5 2 4 5 3" xfId="23782"/>
    <cellStyle name="Normal 5 2 4 6" xfId="8768"/>
    <cellStyle name="Normal 5 2 4 6 2" xfId="24455"/>
    <cellStyle name="Normal 5 2 4 7" xfId="2915"/>
    <cellStyle name="Normal 5 2 4 8" xfId="21987"/>
    <cellStyle name="Normal 5 2 5" xfId="994"/>
    <cellStyle name="Normal 5 2 5 2" xfId="995"/>
    <cellStyle name="Normal 5 2 5 2 2" xfId="8539"/>
    <cellStyle name="Normal 5 2 5 2 2 2" xfId="11152"/>
    <cellStyle name="Normal 5 2 5 2 2 2 2" xfId="25474"/>
    <cellStyle name="Normal 5 2 5 2 2 3" xfId="24226"/>
    <cellStyle name="Normal 5 2 5 2 3" xfId="9180"/>
    <cellStyle name="Normal 5 2 5 2 3 2" xfId="24852"/>
    <cellStyle name="Normal 5 2 5 2 4" xfId="3420"/>
    <cellStyle name="Normal 5 2 5 2 5" xfId="21993"/>
    <cellStyle name="Normal 5 2 5 3" xfId="8258"/>
    <cellStyle name="Normal 5 2 5 3 2" xfId="10871"/>
    <cellStyle name="Normal 5 2 5 3 2 2" xfId="25193"/>
    <cellStyle name="Normal 5 2 5 3 3" xfId="23945"/>
    <cellStyle name="Normal 5 2 5 4" xfId="8824"/>
    <cellStyle name="Normal 5 2 5 4 2" xfId="24511"/>
    <cellStyle name="Normal 5 2 5 5" xfId="2971"/>
    <cellStyle name="Normal 5 2 5 6" xfId="21992"/>
    <cellStyle name="Normal 5 2 6" xfId="996"/>
    <cellStyle name="Normal 5 2 6 2" xfId="997"/>
    <cellStyle name="Normal 5 2 6 2 2" xfId="8589"/>
    <cellStyle name="Normal 5 2 6 2 2 2" xfId="11202"/>
    <cellStyle name="Normal 5 2 6 2 2 2 2" xfId="25524"/>
    <cellStyle name="Normal 5 2 6 2 2 3" xfId="24276"/>
    <cellStyle name="Normal 5 2 6 2 3" xfId="9231"/>
    <cellStyle name="Normal 5 2 6 2 3 2" xfId="24902"/>
    <cellStyle name="Normal 5 2 6 2 4" xfId="3478"/>
    <cellStyle name="Normal 5 2 6 2 5" xfId="21995"/>
    <cellStyle name="Normal 5 2 6 3" xfId="8308"/>
    <cellStyle name="Normal 5 2 6 3 2" xfId="10921"/>
    <cellStyle name="Normal 5 2 6 3 2 2" xfId="25243"/>
    <cellStyle name="Normal 5 2 6 3 3" xfId="23995"/>
    <cellStyle name="Normal 5 2 6 4" xfId="8874"/>
    <cellStyle name="Normal 5 2 6 4 2" xfId="24561"/>
    <cellStyle name="Normal 5 2 6 5" xfId="3031"/>
    <cellStyle name="Normal 5 2 6 6" xfId="21994"/>
    <cellStyle name="Normal 5 2 7" xfId="998"/>
    <cellStyle name="Normal 5 2 7 2" xfId="8421"/>
    <cellStyle name="Normal 5 2 7 2 2" xfId="11034"/>
    <cellStyle name="Normal 5 2 7 2 2 2" xfId="25356"/>
    <cellStyle name="Normal 5 2 7 2 3" xfId="24108"/>
    <cellStyle name="Normal 5 2 7 3" xfId="8991"/>
    <cellStyle name="Normal 5 2 7 3 2" xfId="24674"/>
    <cellStyle name="Normal 5 2 7 4" xfId="3165"/>
    <cellStyle name="Normal 5 2 7 5" xfId="21996"/>
    <cellStyle name="Normal 5 2 8" xfId="999"/>
    <cellStyle name="Normal 5 2 8 2" xfId="8140"/>
    <cellStyle name="Normal 5 2 8 2 2" xfId="10753"/>
    <cellStyle name="Normal 5 2 8 2 2 2" xfId="25075"/>
    <cellStyle name="Normal 5 2 8 2 3" xfId="23827"/>
    <cellStyle name="Normal 5 2 8 3" xfId="9062"/>
    <cellStyle name="Normal 5 2 8 3 2" xfId="24734"/>
    <cellStyle name="Normal 5 2 8 4" xfId="3302"/>
    <cellStyle name="Normal 5 2 8 5" xfId="21997"/>
    <cellStyle name="Normal 5 2 9" xfId="8080"/>
    <cellStyle name="Normal 5 2 9 2" xfId="10693"/>
    <cellStyle name="Normal 5 2 9 2 2" xfId="25015"/>
    <cellStyle name="Normal 5 2 9 3" xfId="23767"/>
    <cellStyle name="Normal 5 3" xfId="1000"/>
    <cellStyle name="Normal 5 3 10" xfId="2855"/>
    <cellStyle name="Normal 5 3 11" xfId="21998"/>
    <cellStyle name="Normal 5 3 2" xfId="1001"/>
    <cellStyle name="Normal 5 3 2 10" xfId="21999"/>
    <cellStyle name="Normal 5 3 2 2" xfId="1002"/>
    <cellStyle name="Normal 5 3 2 2 2" xfId="1003"/>
    <cellStyle name="Normal 5 3 2 2 2 2" xfId="1004"/>
    <cellStyle name="Normal 5 3 2 2 2 2 2" xfId="8682"/>
    <cellStyle name="Normal 5 3 2 2 2 2 2 2" xfId="11295"/>
    <cellStyle name="Normal 5 3 2 2 2 2 2 2 2" xfId="25617"/>
    <cellStyle name="Normal 5 3 2 2 2 2 2 3" xfId="24369"/>
    <cellStyle name="Normal 5 3 2 2 2 2 3" xfId="9324"/>
    <cellStyle name="Normal 5 3 2 2 2 2 3 2" xfId="24995"/>
    <cellStyle name="Normal 5 3 2 2 2 2 4" xfId="3572"/>
    <cellStyle name="Normal 5 3 2 2 2 2 5" xfId="22002"/>
    <cellStyle name="Normal 5 3 2 2 2 3" xfId="8401"/>
    <cellStyle name="Normal 5 3 2 2 2 3 2" xfId="11014"/>
    <cellStyle name="Normal 5 3 2 2 2 3 2 2" xfId="25336"/>
    <cellStyle name="Normal 5 3 2 2 2 3 3" xfId="24088"/>
    <cellStyle name="Normal 5 3 2 2 2 4" xfId="8967"/>
    <cellStyle name="Normal 5 3 2 2 2 4 2" xfId="24654"/>
    <cellStyle name="Normal 5 3 2 2 2 5" xfId="3124"/>
    <cellStyle name="Normal 5 3 2 2 2 6" xfId="22001"/>
    <cellStyle name="Normal 5 3 2 2 3" xfId="1005"/>
    <cellStyle name="Normal 5 3 2 2 3 2" xfId="8514"/>
    <cellStyle name="Normal 5 3 2 2 3 2 2" xfId="11127"/>
    <cellStyle name="Normal 5 3 2 2 3 2 2 2" xfId="25449"/>
    <cellStyle name="Normal 5 3 2 2 3 2 3" xfId="24201"/>
    <cellStyle name="Normal 5 3 2 2 3 3" xfId="9155"/>
    <cellStyle name="Normal 5 3 2 2 3 3 2" xfId="24827"/>
    <cellStyle name="Normal 5 3 2 2 3 4" xfId="3395"/>
    <cellStyle name="Normal 5 3 2 2 3 5" xfId="22003"/>
    <cellStyle name="Normal 5 3 2 2 4" xfId="8233"/>
    <cellStyle name="Normal 5 3 2 2 4 2" xfId="10846"/>
    <cellStyle name="Normal 5 3 2 2 4 2 2" xfId="25168"/>
    <cellStyle name="Normal 5 3 2 2 4 3" xfId="23920"/>
    <cellStyle name="Normal 5 3 2 2 5" xfId="8799"/>
    <cellStyle name="Normal 5 3 2 2 5 2" xfId="24486"/>
    <cellStyle name="Normal 5 3 2 2 6" xfId="2946"/>
    <cellStyle name="Normal 5 3 2 2 7" xfId="22000"/>
    <cellStyle name="Normal 5 3 2 3" xfId="1006"/>
    <cellStyle name="Normal 5 3 2 3 2" xfId="1007"/>
    <cellStyle name="Normal 5 3 2 3 2 2" xfId="8570"/>
    <cellStyle name="Normal 5 3 2 3 2 2 2" xfId="11183"/>
    <cellStyle name="Normal 5 3 2 3 2 2 2 2" xfId="25505"/>
    <cellStyle name="Normal 5 3 2 3 2 2 3" xfId="24257"/>
    <cellStyle name="Normal 5 3 2 3 2 3" xfId="9211"/>
    <cellStyle name="Normal 5 3 2 3 2 3 2" xfId="24883"/>
    <cellStyle name="Normal 5 3 2 3 2 4" xfId="3451"/>
    <cellStyle name="Normal 5 3 2 3 2 5" xfId="22005"/>
    <cellStyle name="Normal 5 3 2 3 3" xfId="8289"/>
    <cellStyle name="Normal 5 3 2 3 3 2" xfId="10902"/>
    <cellStyle name="Normal 5 3 2 3 3 2 2" xfId="25224"/>
    <cellStyle name="Normal 5 3 2 3 3 3" xfId="23976"/>
    <cellStyle name="Normal 5 3 2 3 4" xfId="8855"/>
    <cellStyle name="Normal 5 3 2 3 4 2" xfId="24542"/>
    <cellStyle name="Normal 5 3 2 3 5" xfId="3002"/>
    <cellStyle name="Normal 5 3 2 3 6" xfId="22004"/>
    <cellStyle name="Normal 5 3 2 4" xfId="1008"/>
    <cellStyle name="Normal 5 3 2 4 2" xfId="1009"/>
    <cellStyle name="Normal 5 3 2 4 2 2" xfId="8625"/>
    <cellStyle name="Normal 5 3 2 4 2 2 2" xfId="11238"/>
    <cellStyle name="Normal 5 3 2 4 2 2 2 2" xfId="25560"/>
    <cellStyle name="Normal 5 3 2 4 2 2 3" xfId="24312"/>
    <cellStyle name="Normal 5 3 2 4 2 3" xfId="9267"/>
    <cellStyle name="Normal 5 3 2 4 2 3 2" xfId="24938"/>
    <cellStyle name="Normal 5 3 2 4 2 4" xfId="3515"/>
    <cellStyle name="Normal 5 3 2 4 2 5" xfId="22007"/>
    <cellStyle name="Normal 5 3 2 4 3" xfId="8344"/>
    <cellStyle name="Normal 5 3 2 4 3 2" xfId="10957"/>
    <cellStyle name="Normal 5 3 2 4 3 2 2" xfId="25279"/>
    <cellStyle name="Normal 5 3 2 4 3 3" xfId="24031"/>
    <cellStyle name="Normal 5 3 2 4 4" xfId="8910"/>
    <cellStyle name="Normal 5 3 2 4 4 2" xfId="24597"/>
    <cellStyle name="Normal 5 3 2 4 5" xfId="3067"/>
    <cellStyle name="Normal 5 3 2 4 6" xfId="22006"/>
    <cellStyle name="Normal 5 3 2 5" xfId="1010"/>
    <cellStyle name="Normal 5 3 2 5 2" xfId="8462"/>
    <cellStyle name="Normal 5 3 2 5 2 2" xfId="11075"/>
    <cellStyle name="Normal 5 3 2 5 2 2 2" xfId="25397"/>
    <cellStyle name="Normal 5 3 2 5 2 3" xfId="24149"/>
    <cellStyle name="Normal 5 3 2 5 3" xfId="9034"/>
    <cellStyle name="Normal 5 3 2 5 3 2" xfId="24715"/>
    <cellStyle name="Normal 5 3 2 5 4" xfId="3226"/>
    <cellStyle name="Normal 5 3 2 5 5" xfId="22008"/>
    <cellStyle name="Normal 5 3 2 6" xfId="1011"/>
    <cellStyle name="Normal 5 3 2 6 2" xfId="8176"/>
    <cellStyle name="Normal 5 3 2 6 2 2" xfId="10789"/>
    <cellStyle name="Normal 5 3 2 6 2 2 2" xfId="25111"/>
    <cellStyle name="Normal 5 3 2 6 2 3" xfId="23863"/>
    <cellStyle name="Normal 5 3 2 6 3" xfId="9098"/>
    <cellStyle name="Normal 5 3 2 6 3 2" xfId="24770"/>
    <cellStyle name="Normal 5 3 2 6 4" xfId="3338"/>
    <cellStyle name="Normal 5 3 2 6 5" xfId="22009"/>
    <cellStyle name="Normal 5 3 2 7" xfId="8121"/>
    <cellStyle name="Normal 5 3 2 7 2" xfId="10734"/>
    <cellStyle name="Normal 5 3 2 7 2 2" xfId="25056"/>
    <cellStyle name="Normal 5 3 2 7 3" xfId="23808"/>
    <cellStyle name="Normal 5 3 2 8" xfId="8742"/>
    <cellStyle name="Normal 5 3 2 8 2" xfId="24429"/>
    <cellStyle name="Normal 5 3 2 9" xfId="2889"/>
    <cellStyle name="Normal 5 3 3" xfId="1012"/>
    <cellStyle name="Normal 5 3 3 2" xfId="1013"/>
    <cellStyle name="Normal 5 3 3 2 2" xfId="1014"/>
    <cellStyle name="Normal 5 3 3 2 2 2" xfId="8656"/>
    <cellStyle name="Normal 5 3 3 2 2 2 2" xfId="11269"/>
    <cellStyle name="Normal 5 3 3 2 2 2 2 2" xfId="25591"/>
    <cellStyle name="Normal 5 3 3 2 2 2 3" xfId="24343"/>
    <cellStyle name="Normal 5 3 3 2 2 3" xfId="9298"/>
    <cellStyle name="Normal 5 3 3 2 2 3 2" xfId="24969"/>
    <cellStyle name="Normal 5 3 3 2 2 4" xfId="3546"/>
    <cellStyle name="Normal 5 3 3 2 2 5" xfId="22012"/>
    <cellStyle name="Normal 5 3 3 2 3" xfId="8375"/>
    <cellStyle name="Normal 5 3 3 2 3 2" xfId="10988"/>
    <cellStyle name="Normal 5 3 3 2 3 2 2" xfId="25310"/>
    <cellStyle name="Normal 5 3 3 2 3 3" xfId="24062"/>
    <cellStyle name="Normal 5 3 3 2 4" xfId="8941"/>
    <cellStyle name="Normal 5 3 3 2 4 2" xfId="24628"/>
    <cellStyle name="Normal 5 3 3 2 5" xfId="3098"/>
    <cellStyle name="Normal 5 3 3 2 6" xfId="22011"/>
    <cellStyle name="Normal 5 3 3 3" xfId="1015"/>
    <cellStyle name="Normal 5 3 3 3 2" xfId="8489"/>
    <cellStyle name="Normal 5 3 3 3 2 2" xfId="11102"/>
    <cellStyle name="Normal 5 3 3 3 2 2 2" xfId="25424"/>
    <cellStyle name="Normal 5 3 3 3 2 3" xfId="24176"/>
    <cellStyle name="Normal 5 3 3 3 3" xfId="9129"/>
    <cellStyle name="Normal 5 3 3 3 3 2" xfId="24801"/>
    <cellStyle name="Normal 5 3 3 3 4" xfId="3369"/>
    <cellStyle name="Normal 5 3 3 3 5" xfId="22013"/>
    <cellStyle name="Normal 5 3 3 4" xfId="8207"/>
    <cellStyle name="Normal 5 3 3 4 2" xfId="10820"/>
    <cellStyle name="Normal 5 3 3 4 2 2" xfId="25142"/>
    <cellStyle name="Normal 5 3 3 4 3" xfId="23894"/>
    <cellStyle name="Normal 5 3 3 5" xfId="8773"/>
    <cellStyle name="Normal 5 3 3 5 2" xfId="24460"/>
    <cellStyle name="Normal 5 3 3 6" xfId="2920"/>
    <cellStyle name="Normal 5 3 3 7" xfId="22010"/>
    <cellStyle name="Normal 5 3 4" xfId="1016"/>
    <cellStyle name="Normal 5 3 4 2" xfId="1017"/>
    <cellStyle name="Normal 5 3 4 2 2" xfId="8544"/>
    <cellStyle name="Normal 5 3 4 2 2 2" xfId="11157"/>
    <cellStyle name="Normal 5 3 4 2 2 2 2" xfId="25479"/>
    <cellStyle name="Normal 5 3 4 2 2 3" xfId="24231"/>
    <cellStyle name="Normal 5 3 4 2 3" xfId="9185"/>
    <cellStyle name="Normal 5 3 4 2 3 2" xfId="24857"/>
    <cellStyle name="Normal 5 3 4 2 4" xfId="3425"/>
    <cellStyle name="Normal 5 3 4 2 5" xfId="22015"/>
    <cellStyle name="Normal 5 3 4 3" xfId="8263"/>
    <cellStyle name="Normal 5 3 4 3 2" xfId="10876"/>
    <cellStyle name="Normal 5 3 4 3 2 2" xfId="25198"/>
    <cellStyle name="Normal 5 3 4 3 3" xfId="23950"/>
    <cellStyle name="Normal 5 3 4 4" xfId="8829"/>
    <cellStyle name="Normal 5 3 4 4 2" xfId="24516"/>
    <cellStyle name="Normal 5 3 4 5" xfId="2976"/>
    <cellStyle name="Normal 5 3 4 6" xfId="22014"/>
    <cellStyle name="Normal 5 3 5" xfId="1018"/>
    <cellStyle name="Normal 5 3 5 2" xfId="1019"/>
    <cellStyle name="Normal 5 3 5 2 2" xfId="8594"/>
    <cellStyle name="Normal 5 3 5 2 2 2" xfId="11207"/>
    <cellStyle name="Normal 5 3 5 2 2 2 2" xfId="25529"/>
    <cellStyle name="Normal 5 3 5 2 2 3" xfId="24281"/>
    <cellStyle name="Normal 5 3 5 2 3" xfId="9236"/>
    <cellStyle name="Normal 5 3 5 2 3 2" xfId="24907"/>
    <cellStyle name="Normal 5 3 5 2 4" xfId="3483"/>
    <cellStyle name="Normal 5 3 5 2 5" xfId="22017"/>
    <cellStyle name="Normal 5 3 5 3" xfId="8313"/>
    <cellStyle name="Normal 5 3 5 3 2" xfId="10926"/>
    <cellStyle name="Normal 5 3 5 3 2 2" xfId="25248"/>
    <cellStyle name="Normal 5 3 5 3 3" xfId="24000"/>
    <cellStyle name="Normal 5 3 5 4" xfId="8879"/>
    <cellStyle name="Normal 5 3 5 4 2" xfId="24566"/>
    <cellStyle name="Normal 5 3 5 5" xfId="3036"/>
    <cellStyle name="Normal 5 3 5 6" xfId="22016"/>
    <cellStyle name="Normal 5 3 6" xfId="1020"/>
    <cellStyle name="Normal 5 3 6 2" xfId="8427"/>
    <cellStyle name="Normal 5 3 6 2 2" xfId="11040"/>
    <cellStyle name="Normal 5 3 6 2 2 2" xfId="25362"/>
    <cellStyle name="Normal 5 3 6 2 3" xfId="24114"/>
    <cellStyle name="Normal 5 3 6 3" xfId="8997"/>
    <cellStyle name="Normal 5 3 6 3 2" xfId="24680"/>
    <cellStyle name="Normal 5 3 6 4" xfId="3171"/>
    <cellStyle name="Normal 5 3 6 5" xfId="22018"/>
    <cellStyle name="Normal 5 3 7" xfId="1021"/>
    <cellStyle name="Normal 5 3 7 2" xfId="8145"/>
    <cellStyle name="Normal 5 3 7 2 2" xfId="10758"/>
    <cellStyle name="Normal 5 3 7 2 2 2" xfId="25080"/>
    <cellStyle name="Normal 5 3 7 2 3" xfId="23832"/>
    <cellStyle name="Normal 5 3 7 3" xfId="9067"/>
    <cellStyle name="Normal 5 3 7 3 2" xfId="24739"/>
    <cellStyle name="Normal 5 3 7 4" xfId="3307"/>
    <cellStyle name="Normal 5 3 7 5" xfId="22019"/>
    <cellStyle name="Normal 5 3 8" xfId="8086"/>
    <cellStyle name="Normal 5 3 8 2" xfId="10699"/>
    <cellStyle name="Normal 5 3 8 2 2" xfId="25021"/>
    <cellStyle name="Normal 5 3 8 3" xfId="23773"/>
    <cellStyle name="Normal 5 3 9" xfId="8711"/>
    <cellStyle name="Normal 5 3 9 2" xfId="24398"/>
    <cellStyle name="Normal 5 4" xfId="1022"/>
    <cellStyle name="Normal 5 4 10" xfId="2860"/>
    <cellStyle name="Normal 5 4 11" xfId="22020"/>
    <cellStyle name="Normal 5 4 2" xfId="1023"/>
    <cellStyle name="Normal 5 4 2 10" xfId="22021"/>
    <cellStyle name="Normal 5 4 2 2" xfId="1024"/>
    <cellStyle name="Normal 5 4 2 2 2" xfId="1025"/>
    <cellStyle name="Normal 5 4 2 2 2 2" xfId="1026"/>
    <cellStyle name="Normal 5 4 2 2 2 2 2" xfId="8687"/>
    <cellStyle name="Normal 5 4 2 2 2 2 2 2" xfId="11300"/>
    <cellStyle name="Normal 5 4 2 2 2 2 2 2 2" xfId="25622"/>
    <cellStyle name="Normal 5 4 2 2 2 2 2 3" xfId="24374"/>
    <cellStyle name="Normal 5 4 2 2 2 2 3" xfId="9329"/>
    <cellStyle name="Normal 5 4 2 2 2 2 3 2" xfId="25000"/>
    <cellStyle name="Normal 5 4 2 2 2 2 4" xfId="3577"/>
    <cellStyle name="Normal 5 4 2 2 2 2 5" xfId="22024"/>
    <cellStyle name="Normal 5 4 2 2 2 3" xfId="8406"/>
    <cellStyle name="Normal 5 4 2 2 2 3 2" xfId="11019"/>
    <cellStyle name="Normal 5 4 2 2 2 3 2 2" xfId="25341"/>
    <cellStyle name="Normal 5 4 2 2 2 3 3" xfId="24093"/>
    <cellStyle name="Normal 5 4 2 2 2 4" xfId="8972"/>
    <cellStyle name="Normal 5 4 2 2 2 4 2" xfId="24659"/>
    <cellStyle name="Normal 5 4 2 2 2 5" xfId="3129"/>
    <cellStyle name="Normal 5 4 2 2 2 6" xfId="22023"/>
    <cellStyle name="Normal 5 4 2 2 3" xfId="1027"/>
    <cellStyle name="Normal 5 4 2 2 3 2" xfId="8519"/>
    <cellStyle name="Normal 5 4 2 2 3 2 2" xfId="11132"/>
    <cellStyle name="Normal 5 4 2 2 3 2 2 2" xfId="25454"/>
    <cellStyle name="Normal 5 4 2 2 3 2 3" xfId="24206"/>
    <cellStyle name="Normal 5 4 2 2 3 3" xfId="9160"/>
    <cellStyle name="Normal 5 4 2 2 3 3 2" xfId="24832"/>
    <cellStyle name="Normal 5 4 2 2 3 4" xfId="3400"/>
    <cellStyle name="Normal 5 4 2 2 3 5" xfId="22025"/>
    <cellStyle name="Normal 5 4 2 2 4" xfId="8238"/>
    <cellStyle name="Normal 5 4 2 2 4 2" xfId="10851"/>
    <cellStyle name="Normal 5 4 2 2 4 2 2" xfId="25173"/>
    <cellStyle name="Normal 5 4 2 2 4 3" xfId="23925"/>
    <cellStyle name="Normal 5 4 2 2 5" xfId="8804"/>
    <cellStyle name="Normal 5 4 2 2 5 2" xfId="24491"/>
    <cellStyle name="Normal 5 4 2 2 6" xfId="2951"/>
    <cellStyle name="Normal 5 4 2 2 7" xfId="22022"/>
    <cellStyle name="Normal 5 4 2 3" xfId="1028"/>
    <cellStyle name="Normal 5 4 2 3 2" xfId="1029"/>
    <cellStyle name="Normal 5 4 2 3 2 2" xfId="8575"/>
    <cellStyle name="Normal 5 4 2 3 2 2 2" xfId="11188"/>
    <cellStyle name="Normal 5 4 2 3 2 2 2 2" xfId="25510"/>
    <cellStyle name="Normal 5 4 2 3 2 2 3" xfId="24262"/>
    <cellStyle name="Normal 5 4 2 3 2 3" xfId="9216"/>
    <cellStyle name="Normal 5 4 2 3 2 3 2" xfId="24888"/>
    <cellStyle name="Normal 5 4 2 3 2 4" xfId="3456"/>
    <cellStyle name="Normal 5 4 2 3 2 5" xfId="22027"/>
    <cellStyle name="Normal 5 4 2 3 3" xfId="8294"/>
    <cellStyle name="Normal 5 4 2 3 3 2" xfId="10907"/>
    <cellStyle name="Normal 5 4 2 3 3 2 2" xfId="25229"/>
    <cellStyle name="Normal 5 4 2 3 3 3" xfId="23981"/>
    <cellStyle name="Normal 5 4 2 3 4" xfId="8860"/>
    <cellStyle name="Normal 5 4 2 3 4 2" xfId="24547"/>
    <cellStyle name="Normal 5 4 2 3 5" xfId="3007"/>
    <cellStyle name="Normal 5 4 2 3 6" xfId="22026"/>
    <cellStyle name="Normal 5 4 2 4" xfId="1030"/>
    <cellStyle name="Normal 5 4 2 4 2" xfId="1031"/>
    <cellStyle name="Normal 5 4 2 4 2 2" xfId="8630"/>
    <cellStyle name="Normal 5 4 2 4 2 2 2" xfId="11243"/>
    <cellStyle name="Normal 5 4 2 4 2 2 2 2" xfId="25565"/>
    <cellStyle name="Normal 5 4 2 4 2 2 3" xfId="24317"/>
    <cellStyle name="Normal 5 4 2 4 2 3" xfId="9272"/>
    <cellStyle name="Normal 5 4 2 4 2 3 2" xfId="24943"/>
    <cellStyle name="Normal 5 4 2 4 2 4" xfId="3520"/>
    <cellStyle name="Normal 5 4 2 4 2 5" xfId="22029"/>
    <cellStyle name="Normal 5 4 2 4 3" xfId="8349"/>
    <cellStyle name="Normal 5 4 2 4 3 2" xfId="10962"/>
    <cellStyle name="Normal 5 4 2 4 3 2 2" xfId="25284"/>
    <cellStyle name="Normal 5 4 2 4 3 3" xfId="24036"/>
    <cellStyle name="Normal 5 4 2 4 4" xfId="8915"/>
    <cellStyle name="Normal 5 4 2 4 4 2" xfId="24602"/>
    <cellStyle name="Normal 5 4 2 4 5" xfId="3072"/>
    <cellStyle name="Normal 5 4 2 4 6" xfId="22028"/>
    <cellStyle name="Normal 5 4 2 5" xfId="1032"/>
    <cellStyle name="Normal 5 4 2 5 2" xfId="8467"/>
    <cellStyle name="Normal 5 4 2 5 2 2" xfId="11080"/>
    <cellStyle name="Normal 5 4 2 5 2 2 2" xfId="25402"/>
    <cellStyle name="Normal 5 4 2 5 2 3" xfId="24154"/>
    <cellStyle name="Normal 5 4 2 5 3" xfId="9039"/>
    <cellStyle name="Normal 5 4 2 5 3 2" xfId="24720"/>
    <cellStyle name="Normal 5 4 2 5 4" xfId="3231"/>
    <cellStyle name="Normal 5 4 2 5 5" xfId="22030"/>
    <cellStyle name="Normal 5 4 2 6" xfId="1033"/>
    <cellStyle name="Normal 5 4 2 6 2" xfId="8181"/>
    <cellStyle name="Normal 5 4 2 6 2 2" xfId="10794"/>
    <cellStyle name="Normal 5 4 2 6 2 2 2" xfId="25116"/>
    <cellStyle name="Normal 5 4 2 6 2 3" xfId="23868"/>
    <cellStyle name="Normal 5 4 2 6 3" xfId="9103"/>
    <cellStyle name="Normal 5 4 2 6 3 2" xfId="24775"/>
    <cellStyle name="Normal 5 4 2 6 4" xfId="3343"/>
    <cellStyle name="Normal 5 4 2 6 5" xfId="22031"/>
    <cellStyle name="Normal 5 4 2 7" xfId="8126"/>
    <cellStyle name="Normal 5 4 2 7 2" xfId="10739"/>
    <cellStyle name="Normal 5 4 2 7 2 2" xfId="25061"/>
    <cellStyle name="Normal 5 4 2 7 3" xfId="23813"/>
    <cellStyle name="Normal 5 4 2 8" xfId="8747"/>
    <cellStyle name="Normal 5 4 2 8 2" xfId="24434"/>
    <cellStyle name="Normal 5 4 2 9" xfId="2894"/>
    <cellStyle name="Normal 5 4 3" xfId="1034"/>
    <cellStyle name="Normal 5 4 3 2" xfId="1035"/>
    <cellStyle name="Normal 5 4 3 2 2" xfId="1036"/>
    <cellStyle name="Normal 5 4 3 2 2 2" xfId="8661"/>
    <cellStyle name="Normal 5 4 3 2 2 2 2" xfId="11274"/>
    <cellStyle name="Normal 5 4 3 2 2 2 2 2" xfId="25596"/>
    <cellStyle name="Normal 5 4 3 2 2 2 3" xfId="24348"/>
    <cellStyle name="Normal 5 4 3 2 2 3" xfId="9303"/>
    <cellStyle name="Normal 5 4 3 2 2 3 2" xfId="24974"/>
    <cellStyle name="Normal 5 4 3 2 2 4" xfId="3551"/>
    <cellStyle name="Normal 5 4 3 2 2 5" xfId="22034"/>
    <cellStyle name="Normal 5 4 3 2 3" xfId="8380"/>
    <cellStyle name="Normal 5 4 3 2 3 2" xfId="10993"/>
    <cellStyle name="Normal 5 4 3 2 3 2 2" xfId="25315"/>
    <cellStyle name="Normal 5 4 3 2 3 3" xfId="24067"/>
    <cellStyle name="Normal 5 4 3 2 4" xfId="8946"/>
    <cellStyle name="Normal 5 4 3 2 4 2" xfId="24633"/>
    <cellStyle name="Normal 5 4 3 2 5" xfId="3103"/>
    <cellStyle name="Normal 5 4 3 2 6" xfId="22033"/>
    <cellStyle name="Normal 5 4 3 3" xfId="1037"/>
    <cellStyle name="Normal 5 4 3 3 2" xfId="8493"/>
    <cellStyle name="Normal 5 4 3 3 2 2" xfId="11106"/>
    <cellStyle name="Normal 5 4 3 3 2 2 2" xfId="25428"/>
    <cellStyle name="Normal 5 4 3 3 2 3" xfId="24180"/>
    <cellStyle name="Normal 5 4 3 3 3" xfId="9134"/>
    <cellStyle name="Normal 5 4 3 3 3 2" xfId="24806"/>
    <cellStyle name="Normal 5 4 3 3 4" xfId="3374"/>
    <cellStyle name="Normal 5 4 3 3 5" xfId="22035"/>
    <cellStyle name="Normal 5 4 3 4" xfId="8212"/>
    <cellStyle name="Normal 5 4 3 4 2" xfId="10825"/>
    <cellStyle name="Normal 5 4 3 4 2 2" xfId="25147"/>
    <cellStyle name="Normal 5 4 3 4 3" xfId="23899"/>
    <cellStyle name="Normal 5 4 3 5" xfId="8778"/>
    <cellStyle name="Normal 5 4 3 5 2" xfId="24465"/>
    <cellStyle name="Normal 5 4 3 6" xfId="2925"/>
    <cellStyle name="Normal 5 4 3 7" xfId="22032"/>
    <cellStyle name="Normal 5 4 4" xfId="1038"/>
    <cellStyle name="Normal 5 4 4 2" xfId="1039"/>
    <cellStyle name="Normal 5 4 4 2 2" xfId="8549"/>
    <cellStyle name="Normal 5 4 4 2 2 2" xfId="11162"/>
    <cellStyle name="Normal 5 4 4 2 2 2 2" xfId="25484"/>
    <cellStyle name="Normal 5 4 4 2 2 3" xfId="24236"/>
    <cellStyle name="Normal 5 4 4 2 3" xfId="9190"/>
    <cellStyle name="Normal 5 4 4 2 3 2" xfId="24862"/>
    <cellStyle name="Normal 5 4 4 2 4" xfId="3430"/>
    <cellStyle name="Normal 5 4 4 2 5" xfId="22037"/>
    <cellStyle name="Normal 5 4 4 3" xfId="8268"/>
    <cellStyle name="Normal 5 4 4 3 2" xfId="10881"/>
    <cellStyle name="Normal 5 4 4 3 2 2" xfId="25203"/>
    <cellStyle name="Normal 5 4 4 3 3" xfId="23955"/>
    <cellStyle name="Normal 5 4 4 4" xfId="8834"/>
    <cellStyle name="Normal 5 4 4 4 2" xfId="24521"/>
    <cellStyle name="Normal 5 4 4 5" xfId="2981"/>
    <cellStyle name="Normal 5 4 4 6" xfId="22036"/>
    <cellStyle name="Normal 5 4 5" xfId="1040"/>
    <cellStyle name="Normal 5 4 5 2" xfId="1041"/>
    <cellStyle name="Normal 5 4 5 2 2" xfId="8599"/>
    <cellStyle name="Normal 5 4 5 2 2 2" xfId="11212"/>
    <cellStyle name="Normal 5 4 5 2 2 2 2" xfId="25534"/>
    <cellStyle name="Normal 5 4 5 2 2 3" xfId="24286"/>
    <cellStyle name="Normal 5 4 5 2 3" xfId="9241"/>
    <cellStyle name="Normal 5 4 5 2 3 2" xfId="24912"/>
    <cellStyle name="Normal 5 4 5 2 4" xfId="3488"/>
    <cellStyle name="Normal 5 4 5 2 5" xfId="22039"/>
    <cellStyle name="Normal 5 4 5 3" xfId="8318"/>
    <cellStyle name="Normal 5 4 5 3 2" xfId="10931"/>
    <cellStyle name="Normal 5 4 5 3 2 2" xfId="25253"/>
    <cellStyle name="Normal 5 4 5 3 3" xfId="24005"/>
    <cellStyle name="Normal 5 4 5 4" xfId="8884"/>
    <cellStyle name="Normal 5 4 5 4 2" xfId="24571"/>
    <cellStyle name="Normal 5 4 5 5" xfId="3041"/>
    <cellStyle name="Normal 5 4 5 6" xfId="22038"/>
    <cellStyle name="Normal 5 4 6" xfId="1042"/>
    <cellStyle name="Normal 5 4 6 2" xfId="8443"/>
    <cellStyle name="Normal 5 4 6 2 2" xfId="11056"/>
    <cellStyle name="Normal 5 4 6 2 2 2" xfId="25378"/>
    <cellStyle name="Normal 5 4 6 2 3" xfId="24130"/>
    <cellStyle name="Normal 5 4 6 3" xfId="9015"/>
    <cellStyle name="Normal 5 4 6 3 2" xfId="24696"/>
    <cellStyle name="Normal 5 4 6 4" xfId="3206"/>
    <cellStyle name="Normal 5 4 6 5" xfId="22040"/>
    <cellStyle name="Normal 5 4 7" xfId="1043"/>
    <cellStyle name="Normal 5 4 7 2" xfId="8150"/>
    <cellStyle name="Normal 5 4 7 2 2" xfId="10763"/>
    <cellStyle name="Normal 5 4 7 2 2 2" xfId="25085"/>
    <cellStyle name="Normal 5 4 7 2 3" xfId="23837"/>
    <cellStyle name="Normal 5 4 7 3" xfId="9072"/>
    <cellStyle name="Normal 5 4 7 3 2" xfId="24744"/>
    <cellStyle name="Normal 5 4 7 4" xfId="3312"/>
    <cellStyle name="Normal 5 4 7 5" xfId="22041"/>
    <cellStyle name="Normal 5 4 8" xfId="8102"/>
    <cellStyle name="Normal 5 4 8 2" xfId="10715"/>
    <cellStyle name="Normal 5 4 8 2 2" xfId="25037"/>
    <cellStyle name="Normal 5 4 8 3" xfId="23789"/>
    <cellStyle name="Normal 5 4 9" xfId="8716"/>
    <cellStyle name="Normal 5 4 9 2" xfId="24403"/>
    <cellStyle name="Normal 5 5" xfId="1044"/>
    <cellStyle name="Normal 5 5 10" xfId="22042"/>
    <cellStyle name="Normal 5 5 2" xfId="1045"/>
    <cellStyle name="Normal 5 5 2 2" xfId="1046"/>
    <cellStyle name="Normal 5 5 2 2 2" xfId="1047"/>
    <cellStyle name="Normal 5 5 2 2 2 2" xfId="8672"/>
    <cellStyle name="Normal 5 5 2 2 2 2 2" xfId="11285"/>
    <cellStyle name="Normal 5 5 2 2 2 2 2 2" xfId="25607"/>
    <cellStyle name="Normal 5 5 2 2 2 2 3" xfId="24359"/>
    <cellStyle name="Normal 5 5 2 2 2 3" xfId="9314"/>
    <cellStyle name="Normal 5 5 2 2 2 3 2" xfId="24985"/>
    <cellStyle name="Normal 5 5 2 2 2 4" xfId="3562"/>
    <cellStyle name="Normal 5 5 2 2 2 5" xfId="22045"/>
    <cellStyle name="Normal 5 5 2 2 3" xfId="8391"/>
    <cellStyle name="Normal 5 5 2 2 3 2" xfId="11004"/>
    <cellStyle name="Normal 5 5 2 2 3 2 2" xfId="25326"/>
    <cellStyle name="Normal 5 5 2 2 3 3" xfId="24078"/>
    <cellStyle name="Normal 5 5 2 2 4" xfId="8957"/>
    <cellStyle name="Normal 5 5 2 2 4 2" xfId="24644"/>
    <cellStyle name="Normal 5 5 2 2 5" xfId="3114"/>
    <cellStyle name="Normal 5 5 2 2 6" xfId="22044"/>
    <cellStyle name="Normal 5 5 2 3" xfId="1048"/>
    <cellStyle name="Normal 5 5 2 3 2" xfId="8504"/>
    <cellStyle name="Normal 5 5 2 3 2 2" xfId="11117"/>
    <cellStyle name="Normal 5 5 2 3 2 2 2" xfId="25439"/>
    <cellStyle name="Normal 5 5 2 3 2 3" xfId="24191"/>
    <cellStyle name="Normal 5 5 2 3 3" xfId="9145"/>
    <cellStyle name="Normal 5 5 2 3 3 2" xfId="24817"/>
    <cellStyle name="Normal 5 5 2 3 4" xfId="3385"/>
    <cellStyle name="Normal 5 5 2 3 5" xfId="22046"/>
    <cellStyle name="Normal 5 5 2 4" xfId="8223"/>
    <cellStyle name="Normal 5 5 2 4 2" xfId="10836"/>
    <cellStyle name="Normal 5 5 2 4 2 2" xfId="25158"/>
    <cellStyle name="Normal 5 5 2 4 3" xfId="23910"/>
    <cellStyle name="Normal 5 5 2 5" xfId="8789"/>
    <cellStyle name="Normal 5 5 2 5 2" xfId="24476"/>
    <cellStyle name="Normal 5 5 2 6" xfId="2936"/>
    <cellStyle name="Normal 5 5 2 7" xfId="22043"/>
    <cellStyle name="Normal 5 5 3" xfId="1049"/>
    <cellStyle name="Normal 5 5 3 2" xfId="1050"/>
    <cellStyle name="Normal 5 5 3 2 2" xfId="8560"/>
    <cellStyle name="Normal 5 5 3 2 2 2" xfId="11173"/>
    <cellStyle name="Normal 5 5 3 2 2 2 2" xfId="25495"/>
    <cellStyle name="Normal 5 5 3 2 2 3" xfId="24247"/>
    <cellStyle name="Normal 5 5 3 2 3" xfId="9201"/>
    <cellStyle name="Normal 5 5 3 2 3 2" xfId="24873"/>
    <cellStyle name="Normal 5 5 3 2 4" xfId="3441"/>
    <cellStyle name="Normal 5 5 3 2 5" xfId="22048"/>
    <cellStyle name="Normal 5 5 3 3" xfId="8279"/>
    <cellStyle name="Normal 5 5 3 3 2" xfId="10892"/>
    <cellStyle name="Normal 5 5 3 3 2 2" xfId="25214"/>
    <cellStyle name="Normal 5 5 3 3 3" xfId="23966"/>
    <cellStyle name="Normal 5 5 3 4" xfId="8845"/>
    <cellStyle name="Normal 5 5 3 4 2" xfId="24532"/>
    <cellStyle name="Normal 5 5 3 5" xfId="2992"/>
    <cellStyle name="Normal 5 5 3 6" xfId="22047"/>
    <cellStyle name="Normal 5 5 4" xfId="1051"/>
    <cellStyle name="Normal 5 5 4 2" xfId="1052"/>
    <cellStyle name="Normal 5 5 4 2 2" xfId="8610"/>
    <cellStyle name="Normal 5 5 4 2 2 2" xfId="11223"/>
    <cellStyle name="Normal 5 5 4 2 2 2 2" xfId="25545"/>
    <cellStyle name="Normal 5 5 4 2 2 3" xfId="24297"/>
    <cellStyle name="Normal 5 5 4 2 3" xfId="9252"/>
    <cellStyle name="Normal 5 5 4 2 3 2" xfId="24923"/>
    <cellStyle name="Normal 5 5 4 2 4" xfId="3499"/>
    <cellStyle name="Normal 5 5 4 2 5" xfId="22050"/>
    <cellStyle name="Normal 5 5 4 3" xfId="8329"/>
    <cellStyle name="Normal 5 5 4 3 2" xfId="10942"/>
    <cellStyle name="Normal 5 5 4 3 2 2" xfId="25264"/>
    <cellStyle name="Normal 5 5 4 3 3" xfId="24016"/>
    <cellStyle name="Normal 5 5 4 4" xfId="8895"/>
    <cellStyle name="Normal 5 5 4 4 2" xfId="24582"/>
    <cellStyle name="Normal 5 5 4 5" xfId="3052"/>
    <cellStyle name="Normal 5 5 4 6" xfId="22049"/>
    <cellStyle name="Normal 5 5 5" xfId="1053"/>
    <cellStyle name="Normal 5 5 5 2" xfId="8453"/>
    <cellStyle name="Normal 5 5 5 2 2" xfId="11066"/>
    <cellStyle name="Normal 5 5 5 2 2 2" xfId="25388"/>
    <cellStyle name="Normal 5 5 5 2 3" xfId="24140"/>
    <cellStyle name="Normal 5 5 5 3" xfId="9025"/>
    <cellStyle name="Normal 5 5 5 3 2" xfId="24706"/>
    <cellStyle name="Normal 5 5 5 4" xfId="3216"/>
    <cellStyle name="Normal 5 5 5 5" xfId="22051"/>
    <cellStyle name="Normal 5 5 6" xfId="1054"/>
    <cellStyle name="Normal 5 5 6 2" xfId="8161"/>
    <cellStyle name="Normal 5 5 6 2 2" xfId="10774"/>
    <cellStyle name="Normal 5 5 6 2 2 2" xfId="25096"/>
    <cellStyle name="Normal 5 5 6 2 3" xfId="23848"/>
    <cellStyle name="Normal 5 5 6 3" xfId="9083"/>
    <cellStyle name="Normal 5 5 6 3 2" xfId="24755"/>
    <cellStyle name="Normal 5 5 6 4" xfId="3323"/>
    <cellStyle name="Normal 5 5 6 5" xfId="22052"/>
    <cellStyle name="Normal 5 5 7" xfId="8112"/>
    <cellStyle name="Normal 5 5 7 2" xfId="10725"/>
    <cellStyle name="Normal 5 5 7 2 2" xfId="25047"/>
    <cellStyle name="Normal 5 5 7 3" xfId="23799"/>
    <cellStyle name="Normal 5 5 8" xfId="8727"/>
    <cellStyle name="Normal 5 5 8 2" xfId="24414"/>
    <cellStyle name="Normal 5 5 9" xfId="2872"/>
    <cellStyle name="Normal 5 6" xfId="1055"/>
    <cellStyle name="Normal 5 6 10" xfId="22053"/>
    <cellStyle name="Normal 5 6 2" xfId="1056"/>
    <cellStyle name="Normal 5 6 2 2" xfId="1057"/>
    <cellStyle name="Normal 5 6 2 2 2" xfId="1058"/>
    <cellStyle name="Normal 5 6 2 2 2 2" xfId="8647"/>
    <cellStyle name="Normal 5 6 2 2 2 2 2" xfId="11260"/>
    <cellStyle name="Normal 5 6 2 2 2 2 2 2" xfId="25582"/>
    <cellStyle name="Normal 5 6 2 2 2 2 3" xfId="24334"/>
    <cellStyle name="Normal 5 6 2 2 2 3" xfId="9289"/>
    <cellStyle name="Normal 5 6 2 2 2 3 2" xfId="24960"/>
    <cellStyle name="Normal 5 6 2 2 2 4" xfId="3537"/>
    <cellStyle name="Normal 5 6 2 2 2 5" xfId="22056"/>
    <cellStyle name="Normal 5 6 2 2 3" xfId="8366"/>
    <cellStyle name="Normal 5 6 2 2 3 2" xfId="10979"/>
    <cellStyle name="Normal 5 6 2 2 3 2 2" xfId="25301"/>
    <cellStyle name="Normal 5 6 2 2 3 3" xfId="24053"/>
    <cellStyle name="Normal 5 6 2 2 4" xfId="8932"/>
    <cellStyle name="Normal 5 6 2 2 4 2" xfId="24619"/>
    <cellStyle name="Normal 5 6 2 2 5" xfId="3089"/>
    <cellStyle name="Normal 5 6 2 2 6" xfId="22055"/>
    <cellStyle name="Normal 5 6 2 3" xfId="1059"/>
    <cellStyle name="Normal 5 6 2 3 2" xfId="8483"/>
    <cellStyle name="Normal 5 6 2 3 2 2" xfId="11096"/>
    <cellStyle name="Normal 5 6 2 3 2 2 2" xfId="25418"/>
    <cellStyle name="Normal 5 6 2 3 2 3" xfId="24170"/>
    <cellStyle name="Normal 5 6 2 3 3" xfId="9120"/>
    <cellStyle name="Normal 5 6 2 3 3 2" xfId="24792"/>
    <cellStyle name="Normal 5 6 2 3 4" xfId="3360"/>
    <cellStyle name="Normal 5 6 2 3 5" xfId="22057"/>
    <cellStyle name="Normal 5 6 2 4" xfId="8198"/>
    <cellStyle name="Normal 5 6 2 4 2" xfId="10811"/>
    <cellStyle name="Normal 5 6 2 4 2 2" xfId="25133"/>
    <cellStyle name="Normal 5 6 2 4 3" xfId="23885"/>
    <cellStyle name="Normal 5 6 2 5" xfId="8764"/>
    <cellStyle name="Normal 5 6 2 5 2" xfId="24451"/>
    <cellStyle name="Normal 5 6 2 6" xfId="2911"/>
    <cellStyle name="Normal 5 6 2 7" xfId="22054"/>
    <cellStyle name="Normal 5 6 3" xfId="1060"/>
    <cellStyle name="Normal 5 6 3 2" xfId="1061"/>
    <cellStyle name="Normal 5 6 3 2 2" xfId="8535"/>
    <cellStyle name="Normal 5 6 3 2 2 2" xfId="11148"/>
    <cellStyle name="Normal 5 6 3 2 2 2 2" xfId="25470"/>
    <cellStyle name="Normal 5 6 3 2 2 3" xfId="24222"/>
    <cellStyle name="Normal 5 6 3 2 3" xfId="9176"/>
    <cellStyle name="Normal 5 6 3 2 3 2" xfId="24848"/>
    <cellStyle name="Normal 5 6 3 2 4" xfId="3416"/>
    <cellStyle name="Normal 5 6 3 2 5" xfId="22059"/>
    <cellStyle name="Normal 5 6 3 3" xfId="8254"/>
    <cellStyle name="Normal 5 6 3 3 2" xfId="10867"/>
    <cellStyle name="Normal 5 6 3 3 2 2" xfId="25189"/>
    <cellStyle name="Normal 5 6 3 3 3" xfId="23941"/>
    <cellStyle name="Normal 5 6 3 4" xfId="8820"/>
    <cellStyle name="Normal 5 6 3 4 2" xfId="24507"/>
    <cellStyle name="Normal 5 6 3 5" xfId="2967"/>
    <cellStyle name="Normal 5 6 3 6" xfId="22058"/>
    <cellStyle name="Normal 5 6 4" xfId="1062"/>
    <cellStyle name="Normal 5 6 4 2" xfId="1063"/>
    <cellStyle name="Normal 5 6 4 2 2" xfId="8616"/>
    <cellStyle name="Normal 5 6 4 2 2 2" xfId="11229"/>
    <cellStyle name="Normal 5 6 4 2 2 2 2" xfId="25551"/>
    <cellStyle name="Normal 5 6 4 2 2 3" xfId="24303"/>
    <cellStyle name="Normal 5 6 4 2 3" xfId="9258"/>
    <cellStyle name="Normal 5 6 4 2 3 2" xfId="24929"/>
    <cellStyle name="Normal 5 6 4 2 4" xfId="3505"/>
    <cellStyle name="Normal 5 6 4 2 5" xfId="22061"/>
    <cellStyle name="Normal 5 6 4 3" xfId="8335"/>
    <cellStyle name="Normal 5 6 4 3 2" xfId="10948"/>
    <cellStyle name="Normal 5 6 4 3 2 2" xfId="25270"/>
    <cellStyle name="Normal 5 6 4 3 3" xfId="24022"/>
    <cellStyle name="Normal 5 6 4 4" xfId="8901"/>
    <cellStyle name="Normal 5 6 4 4 2" xfId="24588"/>
    <cellStyle name="Normal 5 6 4 5" xfId="3058"/>
    <cellStyle name="Normal 5 6 4 6" xfId="22060"/>
    <cellStyle name="Normal 5 6 5" xfId="1064"/>
    <cellStyle name="Normal 5 6 5 2" xfId="8433"/>
    <cellStyle name="Normal 5 6 5 2 2" xfId="11046"/>
    <cellStyle name="Normal 5 6 5 2 2 2" xfId="25368"/>
    <cellStyle name="Normal 5 6 5 2 3" xfId="24120"/>
    <cellStyle name="Normal 5 6 5 3" xfId="9003"/>
    <cellStyle name="Normal 5 6 5 3 2" xfId="24686"/>
    <cellStyle name="Normal 5 6 5 4" xfId="3178"/>
    <cellStyle name="Normal 5 6 5 5" xfId="22062"/>
    <cellStyle name="Normal 5 6 6" xfId="1065"/>
    <cellStyle name="Normal 5 6 6 2" xfId="8167"/>
    <cellStyle name="Normal 5 6 6 2 2" xfId="10780"/>
    <cellStyle name="Normal 5 6 6 2 2 2" xfId="25102"/>
    <cellStyle name="Normal 5 6 6 2 3" xfId="23854"/>
    <cellStyle name="Normal 5 6 6 3" xfId="9089"/>
    <cellStyle name="Normal 5 6 6 3 2" xfId="24761"/>
    <cellStyle name="Normal 5 6 6 4" xfId="3329"/>
    <cellStyle name="Normal 5 6 6 5" xfId="22063"/>
    <cellStyle name="Normal 5 6 7" xfId="8092"/>
    <cellStyle name="Normal 5 6 7 2" xfId="10705"/>
    <cellStyle name="Normal 5 6 7 2 2" xfId="25027"/>
    <cellStyle name="Normal 5 6 7 3" xfId="23779"/>
    <cellStyle name="Normal 5 6 8" xfId="8733"/>
    <cellStyle name="Normal 5 6 8 2" xfId="24420"/>
    <cellStyle name="Normal 5 6 9" xfId="2879"/>
    <cellStyle name="Normal 5 7" xfId="1066"/>
    <cellStyle name="Normal 5 7 2" xfId="1067"/>
    <cellStyle name="Normal 5 7 2 2" xfId="1068"/>
    <cellStyle name="Normal 5 7 2 2 2" xfId="8641"/>
    <cellStyle name="Normal 5 7 2 2 2 2" xfId="11254"/>
    <cellStyle name="Normal 5 7 2 2 2 2 2" xfId="25576"/>
    <cellStyle name="Normal 5 7 2 2 2 3" xfId="24328"/>
    <cellStyle name="Normal 5 7 2 2 3" xfId="9283"/>
    <cellStyle name="Normal 5 7 2 2 3 2" xfId="24954"/>
    <cellStyle name="Normal 5 7 2 2 4" xfId="3531"/>
    <cellStyle name="Normal 5 7 2 2 5" xfId="22066"/>
    <cellStyle name="Normal 5 7 2 3" xfId="8360"/>
    <cellStyle name="Normal 5 7 2 3 2" xfId="10973"/>
    <cellStyle name="Normal 5 7 2 3 2 2" xfId="25295"/>
    <cellStyle name="Normal 5 7 2 3 3" xfId="24047"/>
    <cellStyle name="Normal 5 7 2 4" xfId="8926"/>
    <cellStyle name="Normal 5 7 2 4 2" xfId="24613"/>
    <cellStyle name="Normal 5 7 2 5" xfId="3083"/>
    <cellStyle name="Normal 5 7 2 6" xfId="22065"/>
    <cellStyle name="Normal 5 7 3" xfId="1069"/>
    <cellStyle name="Normal 5 7 3 2" xfId="8477"/>
    <cellStyle name="Normal 5 7 3 2 2" xfId="11090"/>
    <cellStyle name="Normal 5 7 3 2 2 2" xfId="25412"/>
    <cellStyle name="Normal 5 7 3 2 3" xfId="24164"/>
    <cellStyle name="Normal 5 7 3 3" xfId="9114"/>
    <cellStyle name="Normal 5 7 3 3 2" xfId="24786"/>
    <cellStyle name="Normal 5 7 3 4" xfId="3354"/>
    <cellStyle name="Normal 5 7 3 5" xfId="22067"/>
    <cellStyle name="Normal 5 7 4" xfId="8192"/>
    <cellStyle name="Normal 5 7 4 2" xfId="10805"/>
    <cellStyle name="Normal 5 7 4 2 2" xfId="25127"/>
    <cellStyle name="Normal 5 7 4 3" xfId="23879"/>
    <cellStyle name="Normal 5 7 5" xfId="8758"/>
    <cellStyle name="Normal 5 7 5 2" xfId="24445"/>
    <cellStyle name="Normal 5 7 6" xfId="2905"/>
    <cellStyle name="Normal 5 7 7" xfId="22064"/>
    <cellStyle name="Normal 5 8" xfId="1070"/>
    <cellStyle name="Normal 5 8 2" xfId="1071"/>
    <cellStyle name="Normal 5 8 2 2" xfId="8529"/>
    <cellStyle name="Normal 5 8 2 2 2" xfId="11142"/>
    <cellStyle name="Normal 5 8 2 2 2 2" xfId="25464"/>
    <cellStyle name="Normal 5 8 2 2 3" xfId="24216"/>
    <cellStyle name="Normal 5 8 2 3" xfId="9170"/>
    <cellStyle name="Normal 5 8 2 3 2" xfId="24842"/>
    <cellStyle name="Normal 5 8 2 4" xfId="3410"/>
    <cellStyle name="Normal 5 8 2 5" xfId="22069"/>
    <cellStyle name="Normal 5 8 3" xfId="8248"/>
    <cellStyle name="Normal 5 8 3 2" xfId="10861"/>
    <cellStyle name="Normal 5 8 3 2 2" xfId="25183"/>
    <cellStyle name="Normal 5 8 3 3" xfId="23935"/>
    <cellStyle name="Normal 5 8 4" xfId="8814"/>
    <cellStyle name="Normal 5 8 4 2" xfId="24501"/>
    <cellStyle name="Normal 5 8 5" xfId="2961"/>
    <cellStyle name="Normal 5 8 6" xfId="22068"/>
    <cellStyle name="Normal 5 9" xfId="1072"/>
    <cellStyle name="Normal 5 9 2" xfId="1073"/>
    <cellStyle name="Normal 5 9 2 2" xfId="8585"/>
    <cellStyle name="Normal 5 9 2 2 2" xfId="11198"/>
    <cellStyle name="Normal 5 9 2 2 2 2" xfId="25520"/>
    <cellStyle name="Normal 5 9 2 2 3" xfId="24272"/>
    <cellStyle name="Normal 5 9 2 3" xfId="9226"/>
    <cellStyle name="Normal 5 9 2 3 2" xfId="24898"/>
    <cellStyle name="Normal 5 9 2 4" xfId="3472"/>
    <cellStyle name="Normal 5 9 2 5" xfId="22071"/>
    <cellStyle name="Normal 5 9 3" xfId="8304"/>
    <cellStyle name="Normal 5 9 3 2" xfId="10917"/>
    <cellStyle name="Normal 5 9 3 2 2" xfId="25239"/>
    <cellStyle name="Normal 5 9 3 3" xfId="23991"/>
    <cellStyle name="Normal 5 9 4" xfId="8870"/>
    <cellStyle name="Normal 5 9 4 2" xfId="24557"/>
    <cellStyle name="Normal 5 9 5" xfId="3022"/>
    <cellStyle name="Normal 5 9 6" xfId="22070"/>
    <cellStyle name="Normal 6" xfId="1074"/>
    <cellStyle name="Normal 6 10" xfId="1075"/>
    <cellStyle name="Normal 6 10 2" xfId="8417"/>
    <cellStyle name="Normal 6 10 2 2" xfId="11030"/>
    <cellStyle name="Normal 6 10 2 2 2" xfId="25352"/>
    <cellStyle name="Normal 6 10 2 3" xfId="24104"/>
    <cellStyle name="Normal 6 10 3" xfId="8987"/>
    <cellStyle name="Normal 6 10 3 2" xfId="24670"/>
    <cellStyle name="Normal 6 10 4" xfId="3160"/>
    <cellStyle name="Normal 6 10 5" xfId="22073"/>
    <cellStyle name="Normal 6 11" xfId="1076"/>
    <cellStyle name="Normal 6 11 2" xfId="8137"/>
    <cellStyle name="Normal 6 11 2 2" xfId="10750"/>
    <cellStyle name="Normal 6 11 2 2 2" xfId="25072"/>
    <cellStyle name="Normal 6 11 2 3" xfId="23824"/>
    <cellStyle name="Normal 6 11 3" xfId="9059"/>
    <cellStyle name="Normal 6 11 3 2" xfId="24731"/>
    <cellStyle name="Normal 6 11 4" xfId="3299"/>
    <cellStyle name="Normal 6 11 5" xfId="22074"/>
    <cellStyle name="Normal 6 12" xfId="8076"/>
    <cellStyle name="Normal 6 12 2" xfId="10689"/>
    <cellStyle name="Normal 6 12 2 2" xfId="25011"/>
    <cellStyle name="Normal 6 12 3" xfId="23763"/>
    <cellStyle name="Normal 6 13" xfId="8698"/>
    <cellStyle name="Normal 6 13 2" xfId="11311"/>
    <cellStyle name="Normal 6 13 2 2" xfId="25633"/>
    <cellStyle name="Normal 6 13 3" xfId="24385"/>
    <cellStyle name="Normal 6 14" xfId="8703"/>
    <cellStyle name="Normal 6 14 2" xfId="24390"/>
    <cellStyle name="Normal 6 15" xfId="2804"/>
    <cellStyle name="Normal 6 16" xfId="22072"/>
    <cellStyle name="Normal 6 2" xfId="1077"/>
    <cellStyle name="Normal 6 2 10" xfId="8707"/>
    <cellStyle name="Normal 6 2 10 2" xfId="24394"/>
    <cellStyle name="Normal 6 2 11" xfId="2851"/>
    <cellStyle name="Normal 6 2 12" xfId="22075"/>
    <cellStyle name="Normal 6 2 2" xfId="1078"/>
    <cellStyle name="Normal 6 2 2 10" xfId="2867"/>
    <cellStyle name="Normal 6 2 2 11" xfId="22076"/>
    <cellStyle name="Normal 6 2 2 2" xfId="1079"/>
    <cellStyle name="Normal 6 2 2 2 10" xfId="22077"/>
    <cellStyle name="Normal 6 2 2 2 2" xfId="1080"/>
    <cellStyle name="Normal 6 2 2 2 2 2" xfId="1081"/>
    <cellStyle name="Normal 6 2 2 2 2 2 2" xfId="1082"/>
    <cellStyle name="Normal 6 2 2 2 2 2 2 2" xfId="8693"/>
    <cellStyle name="Normal 6 2 2 2 2 2 2 2 2" xfId="11306"/>
    <cellStyle name="Normal 6 2 2 2 2 2 2 2 2 2" xfId="25628"/>
    <cellStyle name="Normal 6 2 2 2 2 2 2 2 3" xfId="24380"/>
    <cellStyle name="Normal 6 2 2 2 2 2 2 3" xfId="9335"/>
    <cellStyle name="Normal 6 2 2 2 2 2 2 3 2" xfId="25006"/>
    <cellStyle name="Normal 6 2 2 2 2 2 2 4" xfId="3583"/>
    <cellStyle name="Normal 6 2 2 2 2 2 2 5" xfId="22080"/>
    <cellStyle name="Normal 6 2 2 2 2 2 3" xfId="8412"/>
    <cellStyle name="Normal 6 2 2 2 2 2 3 2" xfId="11025"/>
    <cellStyle name="Normal 6 2 2 2 2 2 3 2 2" xfId="25347"/>
    <cellStyle name="Normal 6 2 2 2 2 2 3 3" xfId="24099"/>
    <cellStyle name="Normal 6 2 2 2 2 2 4" xfId="8978"/>
    <cellStyle name="Normal 6 2 2 2 2 2 4 2" xfId="24665"/>
    <cellStyle name="Normal 6 2 2 2 2 2 5" xfId="3135"/>
    <cellStyle name="Normal 6 2 2 2 2 2 6" xfId="22079"/>
    <cellStyle name="Normal 6 2 2 2 2 3" xfId="1083"/>
    <cellStyle name="Normal 6 2 2 2 2 3 2" xfId="8525"/>
    <cellStyle name="Normal 6 2 2 2 2 3 2 2" xfId="11138"/>
    <cellStyle name="Normal 6 2 2 2 2 3 2 2 2" xfId="25460"/>
    <cellStyle name="Normal 6 2 2 2 2 3 2 3" xfId="24212"/>
    <cellStyle name="Normal 6 2 2 2 2 3 3" xfId="9166"/>
    <cellStyle name="Normal 6 2 2 2 2 3 3 2" xfId="24838"/>
    <cellStyle name="Normal 6 2 2 2 2 3 4" xfId="3406"/>
    <cellStyle name="Normal 6 2 2 2 2 3 5" xfId="22081"/>
    <cellStyle name="Normal 6 2 2 2 2 4" xfId="8244"/>
    <cellStyle name="Normal 6 2 2 2 2 4 2" xfId="10857"/>
    <cellStyle name="Normal 6 2 2 2 2 4 2 2" xfId="25179"/>
    <cellStyle name="Normal 6 2 2 2 2 4 3" xfId="23931"/>
    <cellStyle name="Normal 6 2 2 2 2 5" xfId="8810"/>
    <cellStyle name="Normal 6 2 2 2 2 5 2" xfId="24497"/>
    <cellStyle name="Normal 6 2 2 2 2 6" xfId="2957"/>
    <cellStyle name="Normal 6 2 2 2 2 7" xfId="22078"/>
    <cellStyle name="Normal 6 2 2 2 3" xfId="1084"/>
    <cellStyle name="Normal 6 2 2 2 3 2" xfId="1085"/>
    <cellStyle name="Normal 6 2 2 2 3 2 2" xfId="8581"/>
    <cellStyle name="Normal 6 2 2 2 3 2 2 2" xfId="11194"/>
    <cellStyle name="Normal 6 2 2 2 3 2 2 2 2" xfId="25516"/>
    <cellStyle name="Normal 6 2 2 2 3 2 2 3" xfId="24268"/>
    <cellStyle name="Normal 6 2 2 2 3 2 3" xfId="9222"/>
    <cellStyle name="Normal 6 2 2 2 3 2 3 2" xfId="24894"/>
    <cellStyle name="Normal 6 2 2 2 3 2 4" xfId="3462"/>
    <cellStyle name="Normal 6 2 2 2 3 2 5" xfId="22083"/>
    <cellStyle name="Normal 6 2 2 2 3 3" xfId="8300"/>
    <cellStyle name="Normal 6 2 2 2 3 3 2" xfId="10913"/>
    <cellStyle name="Normal 6 2 2 2 3 3 2 2" xfId="25235"/>
    <cellStyle name="Normal 6 2 2 2 3 3 3" xfId="23987"/>
    <cellStyle name="Normal 6 2 2 2 3 4" xfId="8866"/>
    <cellStyle name="Normal 6 2 2 2 3 4 2" xfId="24553"/>
    <cellStyle name="Normal 6 2 2 2 3 5" xfId="3013"/>
    <cellStyle name="Normal 6 2 2 2 3 6" xfId="22082"/>
    <cellStyle name="Normal 6 2 2 2 4" xfId="1086"/>
    <cellStyle name="Normal 6 2 2 2 4 2" xfId="1087"/>
    <cellStyle name="Normal 6 2 2 2 4 2 2" xfId="8636"/>
    <cellStyle name="Normal 6 2 2 2 4 2 2 2" xfId="11249"/>
    <cellStyle name="Normal 6 2 2 2 4 2 2 2 2" xfId="25571"/>
    <cellStyle name="Normal 6 2 2 2 4 2 2 3" xfId="24323"/>
    <cellStyle name="Normal 6 2 2 2 4 2 3" xfId="9278"/>
    <cellStyle name="Normal 6 2 2 2 4 2 3 2" xfId="24949"/>
    <cellStyle name="Normal 6 2 2 2 4 2 4" xfId="3526"/>
    <cellStyle name="Normal 6 2 2 2 4 2 5" xfId="22085"/>
    <cellStyle name="Normal 6 2 2 2 4 3" xfId="8355"/>
    <cellStyle name="Normal 6 2 2 2 4 3 2" xfId="10968"/>
    <cellStyle name="Normal 6 2 2 2 4 3 2 2" xfId="25290"/>
    <cellStyle name="Normal 6 2 2 2 4 3 3" xfId="24042"/>
    <cellStyle name="Normal 6 2 2 2 4 4" xfId="8921"/>
    <cellStyle name="Normal 6 2 2 2 4 4 2" xfId="24608"/>
    <cellStyle name="Normal 6 2 2 2 4 5" xfId="3078"/>
    <cellStyle name="Normal 6 2 2 2 4 6" xfId="22084"/>
    <cellStyle name="Normal 6 2 2 2 5" xfId="1088"/>
    <cellStyle name="Normal 6 2 2 2 5 2" xfId="8473"/>
    <cellStyle name="Normal 6 2 2 2 5 2 2" xfId="11086"/>
    <cellStyle name="Normal 6 2 2 2 5 2 2 2" xfId="25408"/>
    <cellStyle name="Normal 6 2 2 2 5 2 3" xfId="24160"/>
    <cellStyle name="Normal 6 2 2 2 5 3" xfId="9045"/>
    <cellStyle name="Normal 6 2 2 2 5 3 2" xfId="24726"/>
    <cellStyle name="Normal 6 2 2 2 5 4" xfId="3237"/>
    <cellStyle name="Normal 6 2 2 2 5 5" xfId="22086"/>
    <cellStyle name="Normal 6 2 2 2 6" xfId="1089"/>
    <cellStyle name="Normal 6 2 2 2 6 2" xfId="8187"/>
    <cellStyle name="Normal 6 2 2 2 6 2 2" xfId="10800"/>
    <cellStyle name="Normal 6 2 2 2 6 2 2 2" xfId="25122"/>
    <cellStyle name="Normal 6 2 2 2 6 2 3" xfId="23874"/>
    <cellStyle name="Normal 6 2 2 2 6 3" xfId="9109"/>
    <cellStyle name="Normal 6 2 2 2 6 3 2" xfId="24781"/>
    <cellStyle name="Normal 6 2 2 2 6 4" xfId="3349"/>
    <cellStyle name="Normal 6 2 2 2 6 5" xfId="22087"/>
    <cellStyle name="Normal 6 2 2 2 7" xfId="8132"/>
    <cellStyle name="Normal 6 2 2 2 7 2" xfId="10745"/>
    <cellStyle name="Normal 6 2 2 2 7 2 2" xfId="25067"/>
    <cellStyle name="Normal 6 2 2 2 7 3" xfId="23819"/>
    <cellStyle name="Normal 6 2 2 2 8" xfId="8753"/>
    <cellStyle name="Normal 6 2 2 2 8 2" xfId="24440"/>
    <cellStyle name="Normal 6 2 2 2 9" xfId="2900"/>
    <cellStyle name="Normal 6 2 2 3" xfId="1090"/>
    <cellStyle name="Normal 6 2 2 3 2" xfId="1091"/>
    <cellStyle name="Normal 6 2 2 3 2 2" xfId="1092"/>
    <cellStyle name="Normal 6 2 2 3 2 2 2" xfId="8667"/>
    <cellStyle name="Normal 6 2 2 3 2 2 2 2" xfId="11280"/>
    <cellStyle name="Normal 6 2 2 3 2 2 2 2 2" xfId="25602"/>
    <cellStyle name="Normal 6 2 2 3 2 2 2 3" xfId="24354"/>
    <cellStyle name="Normal 6 2 2 3 2 2 3" xfId="9309"/>
    <cellStyle name="Normal 6 2 2 3 2 2 3 2" xfId="24980"/>
    <cellStyle name="Normal 6 2 2 3 2 2 4" xfId="3557"/>
    <cellStyle name="Normal 6 2 2 3 2 2 5" xfId="22090"/>
    <cellStyle name="Normal 6 2 2 3 2 3" xfId="8386"/>
    <cellStyle name="Normal 6 2 2 3 2 3 2" xfId="10999"/>
    <cellStyle name="Normal 6 2 2 3 2 3 2 2" xfId="25321"/>
    <cellStyle name="Normal 6 2 2 3 2 3 3" xfId="24073"/>
    <cellStyle name="Normal 6 2 2 3 2 4" xfId="8952"/>
    <cellStyle name="Normal 6 2 2 3 2 4 2" xfId="24639"/>
    <cellStyle name="Normal 6 2 2 3 2 5" xfId="3109"/>
    <cellStyle name="Normal 6 2 2 3 2 6" xfId="22089"/>
    <cellStyle name="Normal 6 2 2 3 3" xfId="1093"/>
    <cellStyle name="Normal 6 2 2 3 3 2" xfId="8499"/>
    <cellStyle name="Normal 6 2 2 3 3 2 2" xfId="11112"/>
    <cellStyle name="Normal 6 2 2 3 3 2 2 2" xfId="25434"/>
    <cellStyle name="Normal 6 2 2 3 3 2 3" xfId="24186"/>
    <cellStyle name="Normal 6 2 2 3 3 3" xfId="9140"/>
    <cellStyle name="Normal 6 2 2 3 3 3 2" xfId="24812"/>
    <cellStyle name="Normal 6 2 2 3 3 4" xfId="3380"/>
    <cellStyle name="Normal 6 2 2 3 3 5" xfId="22091"/>
    <cellStyle name="Normal 6 2 2 3 4" xfId="8218"/>
    <cellStyle name="Normal 6 2 2 3 4 2" xfId="10831"/>
    <cellStyle name="Normal 6 2 2 3 4 2 2" xfId="25153"/>
    <cellStyle name="Normal 6 2 2 3 4 3" xfId="23905"/>
    <cellStyle name="Normal 6 2 2 3 5" xfId="8784"/>
    <cellStyle name="Normal 6 2 2 3 5 2" xfId="24471"/>
    <cellStyle name="Normal 6 2 2 3 6" xfId="2931"/>
    <cellStyle name="Normal 6 2 2 3 7" xfId="22088"/>
    <cellStyle name="Normal 6 2 2 4" xfId="1094"/>
    <cellStyle name="Normal 6 2 2 4 2" xfId="1095"/>
    <cellStyle name="Normal 6 2 2 4 2 2" xfId="8555"/>
    <cellStyle name="Normal 6 2 2 4 2 2 2" xfId="11168"/>
    <cellStyle name="Normal 6 2 2 4 2 2 2 2" xfId="25490"/>
    <cellStyle name="Normal 6 2 2 4 2 2 3" xfId="24242"/>
    <cellStyle name="Normal 6 2 2 4 2 3" xfId="9196"/>
    <cellStyle name="Normal 6 2 2 4 2 3 2" xfId="24868"/>
    <cellStyle name="Normal 6 2 2 4 2 4" xfId="3436"/>
    <cellStyle name="Normal 6 2 2 4 2 5" xfId="22093"/>
    <cellStyle name="Normal 6 2 2 4 3" xfId="8274"/>
    <cellStyle name="Normal 6 2 2 4 3 2" xfId="10887"/>
    <cellStyle name="Normal 6 2 2 4 3 2 2" xfId="25209"/>
    <cellStyle name="Normal 6 2 2 4 3 3" xfId="23961"/>
    <cellStyle name="Normal 6 2 2 4 4" xfId="8840"/>
    <cellStyle name="Normal 6 2 2 4 4 2" xfId="24527"/>
    <cellStyle name="Normal 6 2 2 4 5" xfId="2987"/>
    <cellStyle name="Normal 6 2 2 4 6" xfId="22092"/>
    <cellStyle name="Normal 6 2 2 5" xfId="1096"/>
    <cellStyle name="Normal 6 2 2 5 2" xfId="1097"/>
    <cellStyle name="Normal 6 2 2 5 2 2" xfId="8605"/>
    <cellStyle name="Normal 6 2 2 5 2 2 2" xfId="11218"/>
    <cellStyle name="Normal 6 2 2 5 2 2 2 2" xfId="25540"/>
    <cellStyle name="Normal 6 2 2 5 2 2 3" xfId="24292"/>
    <cellStyle name="Normal 6 2 2 5 2 3" xfId="9247"/>
    <cellStyle name="Normal 6 2 2 5 2 3 2" xfId="24918"/>
    <cellStyle name="Normal 6 2 2 5 2 4" xfId="3494"/>
    <cellStyle name="Normal 6 2 2 5 2 5" xfId="22095"/>
    <cellStyle name="Normal 6 2 2 5 3" xfId="8324"/>
    <cellStyle name="Normal 6 2 2 5 3 2" xfId="10937"/>
    <cellStyle name="Normal 6 2 2 5 3 2 2" xfId="25259"/>
    <cellStyle name="Normal 6 2 2 5 3 3" xfId="24011"/>
    <cellStyle name="Normal 6 2 2 5 4" xfId="8890"/>
    <cellStyle name="Normal 6 2 2 5 4 2" xfId="24577"/>
    <cellStyle name="Normal 6 2 2 5 5" xfId="3047"/>
    <cellStyle name="Normal 6 2 2 5 6" xfId="22094"/>
    <cellStyle name="Normal 6 2 2 6" xfId="1098"/>
    <cellStyle name="Normal 6 2 2 6 2" xfId="8448"/>
    <cellStyle name="Normal 6 2 2 6 2 2" xfId="11061"/>
    <cellStyle name="Normal 6 2 2 6 2 2 2" xfId="25383"/>
    <cellStyle name="Normal 6 2 2 6 2 3" xfId="24135"/>
    <cellStyle name="Normal 6 2 2 6 3" xfId="9020"/>
    <cellStyle name="Normal 6 2 2 6 3 2" xfId="24701"/>
    <cellStyle name="Normal 6 2 2 6 4" xfId="3211"/>
    <cellStyle name="Normal 6 2 2 6 5" xfId="22096"/>
    <cellStyle name="Normal 6 2 2 7" xfId="1099"/>
    <cellStyle name="Normal 6 2 2 7 2" xfId="8156"/>
    <cellStyle name="Normal 6 2 2 7 2 2" xfId="10769"/>
    <cellStyle name="Normal 6 2 2 7 2 2 2" xfId="25091"/>
    <cellStyle name="Normal 6 2 2 7 2 3" xfId="23843"/>
    <cellStyle name="Normal 6 2 2 7 3" xfId="9078"/>
    <cellStyle name="Normal 6 2 2 7 3 2" xfId="24750"/>
    <cellStyle name="Normal 6 2 2 7 4" xfId="3318"/>
    <cellStyle name="Normal 6 2 2 7 5" xfId="22097"/>
    <cellStyle name="Normal 6 2 2 8" xfId="8107"/>
    <cellStyle name="Normal 6 2 2 8 2" xfId="10720"/>
    <cellStyle name="Normal 6 2 2 8 2 2" xfId="25042"/>
    <cellStyle name="Normal 6 2 2 8 3" xfId="23794"/>
    <cellStyle name="Normal 6 2 2 9" xfId="8722"/>
    <cellStyle name="Normal 6 2 2 9 2" xfId="24409"/>
    <cellStyle name="Normal 6 2 3" xfId="1100"/>
    <cellStyle name="Normal 6 2 3 10" xfId="22098"/>
    <cellStyle name="Normal 6 2 3 2" xfId="1101"/>
    <cellStyle name="Normal 6 2 3 2 2" xfId="1102"/>
    <cellStyle name="Normal 6 2 3 2 2 2" xfId="1103"/>
    <cellStyle name="Normal 6 2 3 2 2 2 2" xfId="8679"/>
    <cellStyle name="Normal 6 2 3 2 2 2 2 2" xfId="11292"/>
    <cellStyle name="Normal 6 2 3 2 2 2 2 2 2" xfId="25614"/>
    <cellStyle name="Normal 6 2 3 2 2 2 2 3" xfId="24366"/>
    <cellStyle name="Normal 6 2 3 2 2 2 3" xfId="9321"/>
    <cellStyle name="Normal 6 2 3 2 2 2 3 2" xfId="24992"/>
    <cellStyle name="Normal 6 2 3 2 2 2 4" xfId="3569"/>
    <cellStyle name="Normal 6 2 3 2 2 2 5" xfId="22101"/>
    <cellStyle name="Normal 6 2 3 2 2 3" xfId="8398"/>
    <cellStyle name="Normal 6 2 3 2 2 3 2" xfId="11011"/>
    <cellStyle name="Normal 6 2 3 2 2 3 2 2" xfId="25333"/>
    <cellStyle name="Normal 6 2 3 2 2 3 3" xfId="24085"/>
    <cellStyle name="Normal 6 2 3 2 2 4" xfId="8964"/>
    <cellStyle name="Normal 6 2 3 2 2 4 2" xfId="24651"/>
    <cellStyle name="Normal 6 2 3 2 2 5" xfId="3121"/>
    <cellStyle name="Normal 6 2 3 2 2 6" xfId="22100"/>
    <cellStyle name="Normal 6 2 3 2 3" xfId="1104"/>
    <cellStyle name="Normal 6 2 3 2 3 2" xfId="8511"/>
    <cellStyle name="Normal 6 2 3 2 3 2 2" xfId="11124"/>
    <cellStyle name="Normal 6 2 3 2 3 2 2 2" xfId="25446"/>
    <cellStyle name="Normal 6 2 3 2 3 2 3" xfId="24198"/>
    <cellStyle name="Normal 6 2 3 2 3 3" xfId="9152"/>
    <cellStyle name="Normal 6 2 3 2 3 3 2" xfId="24824"/>
    <cellStyle name="Normal 6 2 3 2 3 4" xfId="3392"/>
    <cellStyle name="Normal 6 2 3 2 3 5" xfId="22102"/>
    <cellStyle name="Normal 6 2 3 2 4" xfId="8230"/>
    <cellStyle name="Normal 6 2 3 2 4 2" xfId="10843"/>
    <cellStyle name="Normal 6 2 3 2 4 2 2" xfId="25165"/>
    <cellStyle name="Normal 6 2 3 2 4 3" xfId="23917"/>
    <cellStyle name="Normal 6 2 3 2 5" xfId="8796"/>
    <cellStyle name="Normal 6 2 3 2 5 2" xfId="24483"/>
    <cellStyle name="Normal 6 2 3 2 6" xfId="2943"/>
    <cellStyle name="Normal 6 2 3 2 7" xfId="22099"/>
    <cellStyle name="Normal 6 2 3 3" xfId="1105"/>
    <cellStyle name="Normal 6 2 3 3 2" xfId="1106"/>
    <cellStyle name="Normal 6 2 3 3 2 2" xfId="8567"/>
    <cellStyle name="Normal 6 2 3 3 2 2 2" xfId="11180"/>
    <cellStyle name="Normal 6 2 3 3 2 2 2 2" xfId="25502"/>
    <cellStyle name="Normal 6 2 3 3 2 2 3" xfId="24254"/>
    <cellStyle name="Normal 6 2 3 3 2 3" xfId="9208"/>
    <cellStyle name="Normal 6 2 3 3 2 3 2" xfId="24880"/>
    <cellStyle name="Normal 6 2 3 3 2 4" xfId="3448"/>
    <cellStyle name="Normal 6 2 3 3 2 5" xfId="22104"/>
    <cellStyle name="Normal 6 2 3 3 3" xfId="8286"/>
    <cellStyle name="Normal 6 2 3 3 3 2" xfId="10899"/>
    <cellStyle name="Normal 6 2 3 3 3 2 2" xfId="25221"/>
    <cellStyle name="Normal 6 2 3 3 3 3" xfId="23973"/>
    <cellStyle name="Normal 6 2 3 3 4" xfId="8852"/>
    <cellStyle name="Normal 6 2 3 3 4 2" xfId="24539"/>
    <cellStyle name="Normal 6 2 3 3 5" xfId="2999"/>
    <cellStyle name="Normal 6 2 3 3 6" xfId="22103"/>
    <cellStyle name="Normal 6 2 3 4" xfId="1107"/>
    <cellStyle name="Normal 6 2 3 4 2" xfId="1108"/>
    <cellStyle name="Normal 6 2 3 4 2 2" xfId="8621"/>
    <cellStyle name="Normal 6 2 3 4 2 2 2" xfId="11234"/>
    <cellStyle name="Normal 6 2 3 4 2 2 2 2" xfId="25556"/>
    <cellStyle name="Normal 6 2 3 4 2 2 3" xfId="24308"/>
    <cellStyle name="Normal 6 2 3 4 2 3" xfId="9263"/>
    <cellStyle name="Normal 6 2 3 4 2 3 2" xfId="24934"/>
    <cellStyle name="Normal 6 2 3 4 2 4" xfId="3511"/>
    <cellStyle name="Normal 6 2 3 4 2 5" xfId="22106"/>
    <cellStyle name="Normal 6 2 3 4 3" xfId="8340"/>
    <cellStyle name="Normal 6 2 3 4 3 2" xfId="10953"/>
    <cellStyle name="Normal 6 2 3 4 3 2 2" xfId="25275"/>
    <cellStyle name="Normal 6 2 3 4 3 3" xfId="24027"/>
    <cellStyle name="Normal 6 2 3 4 4" xfId="8906"/>
    <cellStyle name="Normal 6 2 3 4 4 2" xfId="24593"/>
    <cellStyle name="Normal 6 2 3 4 5" xfId="3063"/>
    <cellStyle name="Normal 6 2 3 4 6" xfId="22105"/>
    <cellStyle name="Normal 6 2 3 5" xfId="1109"/>
    <cellStyle name="Normal 6 2 3 5 2" xfId="8459"/>
    <cellStyle name="Normal 6 2 3 5 2 2" xfId="11072"/>
    <cellStyle name="Normal 6 2 3 5 2 2 2" xfId="25394"/>
    <cellStyle name="Normal 6 2 3 5 2 3" xfId="24146"/>
    <cellStyle name="Normal 6 2 3 5 3" xfId="9031"/>
    <cellStyle name="Normal 6 2 3 5 3 2" xfId="24712"/>
    <cellStyle name="Normal 6 2 3 5 4" xfId="3223"/>
    <cellStyle name="Normal 6 2 3 5 5" xfId="22107"/>
    <cellStyle name="Normal 6 2 3 6" xfId="1110"/>
    <cellStyle name="Normal 6 2 3 6 2" xfId="8172"/>
    <cellStyle name="Normal 6 2 3 6 2 2" xfId="10785"/>
    <cellStyle name="Normal 6 2 3 6 2 2 2" xfId="25107"/>
    <cellStyle name="Normal 6 2 3 6 2 3" xfId="23859"/>
    <cellStyle name="Normal 6 2 3 6 3" xfId="9094"/>
    <cellStyle name="Normal 6 2 3 6 3 2" xfId="24766"/>
    <cellStyle name="Normal 6 2 3 6 4" xfId="3334"/>
    <cellStyle name="Normal 6 2 3 6 5" xfId="22108"/>
    <cellStyle name="Normal 6 2 3 7" xfId="8118"/>
    <cellStyle name="Normal 6 2 3 7 2" xfId="10731"/>
    <cellStyle name="Normal 6 2 3 7 2 2" xfId="25053"/>
    <cellStyle name="Normal 6 2 3 7 3" xfId="23805"/>
    <cellStyle name="Normal 6 2 3 8" xfId="8738"/>
    <cellStyle name="Normal 6 2 3 8 2" xfId="24425"/>
    <cellStyle name="Normal 6 2 3 9" xfId="2885"/>
    <cellStyle name="Normal 6 2 4" xfId="1111"/>
    <cellStyle name="Normal 6 2 4 2" xfId="1112"/>
    <cellStyle name="Normal 6 2 4 2 2" xfId="1113"/>
    <cellStyle name="Normal 6 2 4 2 2 2" xfId="8652"/>
    <cellStyle name="Normal 6 2 4 2 2 2 2" xfId="11265"/>
    <cellStyle name="Normal 6 2 4 2 2 2 2 2" xfId="25587"/>
    <cellStyle name="Normal 6 2 4 2 2 2 3" xfId="24339"/>
    <cellStyle name="Normal 6 2 4 2 2 3" xfId="9294"/>
    <cellStyle name="Normal 6 2 4 2 2 3 2" xfId="24965"/>
    <cellStyle name="Normal 6 2 4 2 2 4" xfId="3542"/>
    <cellStyle name="Normal 6 2 4 2 2 5" xfId="22111"/>
    <cellStyle name="Normal 6 2 4 2 3" xfId="8371"/>
    <cellStyle name="Normal 6 2 4 2 3 2" xfId="10984"/>
    <cellStyle name="Normal 6 2 4 2 3 2 2" xfId="25306"/>
    <cellStyle name="Normal 6 2 4 2 3 3" xfId="24058"/>
    <cellStyle name="Normal 6 2 4 2 4" xfId="8937"/>
    <cellStyle name="Normal 6 2 4 2 4 2" xfId="24624"/>
    <cellStyle name="Normal 6 2 4 2 5" xfId="3094"/>
    <cellStyle name="Normal 6 2 4 2 6" xfId="22110"/>
    <cellStyle name="Normal 6 2 4 3" xfId="1114"/>
    <cellStyle name="Normal 6 2 4 3 2" xfId="8437"/>
    <cellStyle name="Normal 6 2 4 3 2 2" xfId="11050"/>
    <cellStyle name="Normal 6 2 4 3 2 2 2" xfId="25372"/>
    <cellStyle name="Normal 6 2 4 3 2 3" xfId="24124"/>
    <cellStyle name="Normal 6 2 4 3 3" xfId="9009"/>
    <cellStyle name="Normal 6 2 4 3 3 2" xfId="24690"/>
    <cellStyle name="Normal 6 2 4 3 4" xfId="3200"/>
    <cellStyle name="Normal 6 2 4 3 5" xfId="22112"/>
    <cellStyle name="Normal 6 2 4 4" xfId="1115"/>
    <cellStyle name="Normal 6 2 4 4 2" xfId="8203"/>
    <cellStyle name="Normal 6 2 4 4 2 2" xfId="10816"/>
    <cellStyle name="Normal 6 2 4 4 2 2 2" xfId="25138"/>
    <cellStyle name="Normal 6 2 4 4 2 3" xfId="23890"/>
    <cellStyle name="Normal 6 2 4 4 3" xfId="9125"/>
    <cellStyle name="Normal 6 2 4 4 3 2" xfId="24797"/>
    <cellStyle name="Normal 6 2 4 4 4" xfId="3365"/>
    <cellStyle name="Normal 6 2 4 4 5" xfId="22113"/>
    <cellStyle name="Normal 6 2 4 5" xfId="8096"/>
    <cellStyle name="Normal 6 2 4 5 2" xfId="10709"/>
    <cellStyle name="Normal 6 2 4 5 2 2" xfId="25031"/>
    <cellStyle name="Normal 6 2 4 5 3" xfId="23783"/>
    <cellStyle name="Normal 6 2 4 6" xfId="8769"/>
    <cellStyle name="Normal 6 2 4 6 2" xfId="24456"/>
    <cellStyle name="Normal 6 2 4 7" xfId="2916"/>
    <cellStyle name="Normal 6 2 4 8" xfId="22109"/>
    <cellStyle name="Normal 6 2 5" xfId="1116"/>
    <cellStyle name="Normal 6 2 5 2" xfId="1117"/>
    <cellStyle name="Normal 6 2 5 2 2" xfId="8540"/>
    <cellStyle name="Normal 6 2 5 2 2 2" xfId="11153"/>
    <cellStyle name="Normal 6 2 5 2 2 2 2" xfId="25475"/>
    <cellStyle name="Normal 6 2 5 2 2 3" xfId="24227"/>
    <cellStyle name="Normal 6 2 5 2 3" xfId="9181"/>
    <cellStyle name="Normal 6 2 5 2 3 2" xfId="24853"/>
    <cellStyle name="Normal 6 2 5 2 4" xfId="3421"/>
    <cellStyle name="Normal 6 2 5 2 5" xfId="22115"/>
    <cellStyle name="Normal 6 2 5 3" xfId="8259"/>
    <cellStyle name="Normal 6 2 5 3 2" xfId="10872"/>
    <cellStyle name="Normal 6 2 5 3 2 2" xfId="25194"/>
    <cellStyle name="Normal 6 2 5 3 3" xfId="23946"/>
    <cellStyle name="Normal 6 2 5 4" xfId="8825"/>
    <cellStyle name="Normal 6 2 5 4 2" xfId="24512"/>
    <cellStyle name="Normal 6 2 5 5" xfId="2972"/>
    <cellStyle name="Normal 6 2 5 6" xfId="22114"/>
    <cellStyle name="Normal 6 2 6" xfId="1118"/>
    <cellStyle name="Normal 6 2 6 2" xfId="1119"/>
    <cellStyle name="Normal 6 2 6 2 2" xfId="8590"/>
    <cellStyle name="Normal 6 2 6 2 2 2" xfId="11203"/>
    <cellStyle name="Normal 6 2 6 2 2 2 2" xfId="25525"/>
    <cellStyle name="Normal 6 2 6 2 2 3" xfId="24277"/>
    <cellStyle name="Normal 6 2 6 2 3" xfId="9232"/>
    <cellStyle name="Normal 6 2 6 2 3 2" xfId="24903"/>
    <cellStyle name="Normal 6 2 6 2 4" xfId="3479"/>
    <cellStyle name="Normal 6 2 6 2 5" xfId="22117"/>
    <cellStyle name="Normal 6 2 6 3" xfId="8309"/>
    <cellStyle name="Normal 6 2 6 3 2" xfId="10922"/>
    <cellStyle name="Normal 6 2 6 3 2 2" xfId="25244"/>
    <cellStyle name="Normal 6 2 6 3 3" xfId="23996"/>
    <cellStyle name="Normal 6 2 6 4" xfId="8875"/>
    <cellStyle name="Normal 6 2 6 4 2" xfId="24562"/>
    <cellStyle name="Normal 6 2 6 5" xfId="3032"/>
    <cellStyle name="Normal 6 2 6 6" xfId="22116"/>
    <cellStyle name="Normal 6 2 7" xfId="1120"/>
    <cellStyle name="Normal 6 2 7 2" xfId="8422"/>
    <cellStyle name="Normal 6 2 7 2 2" xfId="11035"/>
    <cellStyle name="Normal 6 2 7 2 2 2" xfId="25357"/>
    <cellStyle name="Normal 6 2 7 2 3" xfId="24109"/>
    <cellStyle name="Normal 6 2 7 3" xfId="8992"/>
    <cellStyle name="Normal 6 2 7 3 2" xfId="24675"/>
    <cellStyle name="Normal 6 2 7 4" xfId="3166"/>
    <cellStyle name="Normal 6 2 7 5" xfId="22118"/>
    <cellStyle name="Normal 6 2 8" xfId="1121"/>
    <cellStyle name="Normal 6 2 8 2" xfId="8141"/>
    <cellStyle name="Normal 6 2 8 2 2" xfId="10754"/>
    <cellStyle name="Normal 6 2 8 2 2 2" xfId="25076"/>
    <cellStyle name="Normal 6 2 8 2 3" xfId="23828"/>
    <cellStyle name="Normal 6 2 8 3" xfId="9063"/>
    <cellStyle name="Normal 6 2 8 3 2" xfId="24735"/>
    <cellStyle name="Normal 6 2 8 4" xfId="3303"/>
    <cellStyle name="Normal 6 2 8 5" xfId="22119"/>
    <cellStyle name="Normal 6 2 9" xfId="8081"/>
    <cellStyle name="Normal 6 2 9 2" xfId="10694"/>
    <cellStyle name="Normal 6 2 9 2 2" xfId="25016"/>
    <cellStyle name="Normal 6 2 9 3" xfId="23768"/>
    <cellStyle name="Normal 6 3" xfId="1122"/>
    <cellStyle name="Normal 6 3 10" xfId="2856"/>
    <cellStyle name="Normal 6 3 11" xfId="22120"/>
    <cellStyle name="Normal 6 3 2" xfId="1123"/>
    <cellStyle name="Normal 6 3 2 10" xfId="22121"/>
    <cellStyle name="Normal 6 3 2 2" xfId="1124"/>
    <cellStyle name="Normal 6 3 2 2 2" xfId="1125"/>
    <cellStyle name="Normal 6 3 2 2 2 2" xfId="1126"/>
    <cellStyle name="Normal 6 3 2 2 2 2 2" xfId="8683"/>
    <cellStyle name="Normal 6 3 2 2 2 2 2 2" xfId="11296"/>
    <cellStyle name="Normal 6 3 2 2 2 2 2 2 2" xfId="25618"/>
    <cellStyle name="Normal 6 3 2 2 2 2 2 3" xfId="24370"/>
    <cellStyle name="Normal 6 3 2 2 2 2 3" xfId="9325"/>
    <cellStyle name="Normal 6 3 2 2 2 2 3 2" xfId="24996"/>
    <cellStyle name="Normal 6 3 2 2 2 2 4" xfId="3573"/>
    <cellStyle name="Normal 6 3 2 2 2 2 5" xfId="22124"/>
    <cellStyle name="Normal 6 3 2 2 2 3" xfId="8402"/>
    <cellStyle name="Normal 6 3 2 2 2 3 2" xfId="11015"/>
    <cellStyle name="Normal 6 3 2 2 2 3 2 2" xfId="25337"/>
    <cellStyle name="Normal 6 3 2 2 2 3 3" xfId="24089"/>
    <cellStyle name="Normal 6 3 2 2 2 4" xfId="8968"/>
    <cellStyle name="Normal 6 3 2 2 2 4 2" xfId="24655"/>
    <cellStyle name="Normal 6 3 2 2 2 5" xfId="3125"/>
    <cellStyle name="Normal 6 3 2 2 2 6" xfId="22123"/>
    <cellStyle name="Normal 6 3 2 2 3" xfId="1127"/>
    <cellStyle name="Normal 6 3 2 2 3 2" xfId="8515"/>
    <cellStyle name="Normal 6 3 2 2 3 2 2" xfId="11128"/>
    <cellStyle name="Normal 6 3 2 2 3 2 2 2" xfId="25450"/>
    <cellStyle name="Normal 6 3 2 2 3 2 3" xfId="24202"/>
    <cellStyle name="Normal 6 3 2 2 3 3" xfId="9156"/>
    <cellStyle name="Normal 6 3 2 2 3 3 2" xfId="24828"/>
    <cellStyle name="Normal 6 3 2 2 3 4" xfId="3396"/>
    <cellStyle name="Normal 6 3 2 2 3 5" xfId="22125"/>
    <cellStyle name="Normal 6 3 2 2 4" xfId="8234"/>
    <cellStyle name="Normal 6 3 2 2 4 2" xfId="10847"/>
    <cellStyle name="Normal 6 3 2 2 4 2 2" xfId="25169"/>
    <cellStyle name="Normal 6 3 2 2 4 3" xfId="23921"/>
    <cellStyle name="Normal 6 3 2 2 5" xfId="8800"/>
    <cellStyle name="Normal 6 3 2 2 5 2" xfId="24487"/>
    <cellStyle name="Normal 6 3 2 2 6" xfId="2947"/>
    <cellStyle name="Normal 6 3 2 2 7" xfId="22122"/>
    <cellStyle name="Normal 6 3 2 3" xfId="1128"/>
    <cellStyle name="Normal 6 3 2 3 2" xfId="1129"/>
    <cellStyle name="Normal 6 3 2 3 2 2" xfId="8571"/>
    <cellStyle name="Normal 6 3 2 3 2 2 2" xfId="11184"/>
    <cellStyle name="Normal 6 3 2 3 2 2 2 2" xfId="25506"/>
    <cellStyle name="Normal 6 3 2 3 2 2 3" xfId="24258"/>
    <cellStyle name="Normal 6 3 2 3 2 3" xfId="9212"/>
    <cellStyle name="Normal 6 3 2 3 2 3 2" xfId="24884"/>
    <cellStyle name="Normal 6 3 2 3 2 4" xfId="3452"/>
    <cellStyle name="Normal 6 3 2 3 2 5" xfId="22127"/>
    <cellStyle name="Normal 6 3 2 3 3" xfId="8290"/>
    <cellStyle name="Normal 6 3 2 3 3 2" xfId="10903"/>
    <cellStyle name="Normal 6 3 2 3 3 2 2" xfId="25225"/>
    <cellStyle name="Normal 6 3 2 3 3 3" xfId="23977"/>
    <cellStyle name="Normal 6 3 2 3 4" xfId="8856"/>
    <cellStyle name="Normal 6 3 2 3 4 2" xfId="24543"/>
    <cellStyle name="Normal 6 3 2 3 5" xfId="3003"/>
    <cellStyle name="Normal 6 3 2 3 6" xfId="22126"/>
    <cellStyle name="Normal 6 3 2 4" xfId="1130"/>
    <cellStyle name="Normal 6 3 2 4 2" xfId="1131"/>
    <cellStyle name="Normal 6 3 2 4 2 2" xfId="8626"/>
    <cellStyle name="Normal 6 3 2 4 2 2 2" xfId="11239"/>
    <cellStyle name="Normal 6 3 2 4 2 2 2 2" xfId="25561"/>
    <cellStyle name="Normal 6 3 2 4 2 2 3" xfId="24313"/>
    <cellStyle name="Normal 6 3 2 4 2 3" xfId="9268"/>
    <cellStyle name="Normal 6 3 2 4 2 3 2" xfId="24939"/>
    <cellStyle name="Normal 6 3 2 4 2 4" xfId="3516"/>
    <cellStyle name="Normal 6 3 2 4 2 5" xfId="22129"/>
    <cellStyle name="Normal 6 3 2 4 3" xfId="8345"/>
    <cellStyle name="Normal 6 3 2 4 3 2" xfId="10958"/>
    <cellStyle name="Normal 6 3 2 4 3 2 2" xfId="25280"/>
    <cellStyle name="Normal 6 3 2 4 3 3" xfId="24032"/>
    <cellStyle name="Normal 6 3 2 4 4" xfId="8911"/>
    <cellStyle name="Normal 6 3 2 4 4 2" xfId="24598"/>
    <cellStyle name="Normal 6 3 2 4 5" xfId="3068"/>
    <cellStyle name="Normal 6 3 2 4 6" xfId="22128"/>
    <cellStyle name="Normal 6 3 2 5" xfId="1132"/>
    <cellStyle name="Normal 6 3 2 5 2" xfId="8463"/>
    <cellStyle name="Normal 6 3 2 5 2 2" xfId="11076"/>
    <cellStyle name="Normal 6 3 2 5 2 2 2" xfId="25398"/>
    <cellStyle name="Normal 6 3 2 5 2 3" xfId="24150"/>
    <cellStyle name="Normal 6 3 2 5 3" xfId="9035"/>
    <cellStyle name="Normal 6 3 2 5 3 2" xfId="24716"/>
    <cellStyle name="Normal 6 3 2 5 4" xfId="3227"/>
    <cellStyle name="Normal 6 3 2 5 5" xfId="22130"/>
    <cellStyle name="Normal 6 3 2 6" xfId="1133"/>
    <cellStyle name="Normal 6 3 2 6 2" xfId="8177"/>
    <cellStyle name="Normal 6 3 2 6 2 2" xfId="10790"/>
    <cellStyle name="Normal 6 3 2 6 2 2 2" xfId="25112"/>
    <cellStyle name="Normal 6 3 2 6 2 3" xfId="23864"/>
    <cellStyle name="Normal 6 3 2 6 3" xfId="9099"/>
    <cellStyle name="Normal 6 3 2 6 3 2" xfId="24771"/>
    <cellStyle name="Normal 6 3 2 6 4" xfId="3339"/>
    <cellStyle name="Normal 6 3 2 6 5" xfId="22131"/>
    <cellStyle name="Normal 6 3 2 7" xfId="8122"/>
    <cellStyle name="Normal 6 3 2 7 2" xfId="10735"/>
    <cellStyle name="Normal 6 3 2 7 2 2" xfId="25057"/>
    <cellStyle name="Normal 6 3 2 7 3" xfId="23809"/>
    <cellStyle name="Normal 6 3 2 8" xfId="8743"/>
    <cellStyle name="Normal 6 3 2 8 2" xfId="24430"/>
    <cellStyle name="Normal 6 3 2 9" xfId="2890"/>
    <cellStyle name="Normal 6 3 3" xfId="1134"/>
    <cellStyle name="Normal 6 3 3 2" xfId="1135"/>
    <cellStyle name="Normal 6 3 3 2 2" xfId="1136"/>
    <cellStyle name="Normal 6 3 3 2 2 2" xfId="8657"/>
    <cellStyle name="Normal 6 3 3 2 2 2 2" xfId="11270"/>
    <cellStyle name="Normal 6 3 3 2 2 2 2 2" xfId="25592"/>
    <cellStyle name="Normal 6 3 3 2 2 2 3" xfId="24344"/>
    <cellStyle name="Normal 6 3 3 2 2 3" xfId="9299"/>
    <cellStyle name="Normal 6 3 3 2 2 3 2" xfId="24970"/>
    <cellStyle name="Normal 6 3 3 2 2 4" xfId="3547"/>
    <cellStyle name="Normal 6 3 3 2 2 5" xfId="22134"/>
    <cellStyle name="Normal 6 3 3 2 3" xfId="8376"/>
    <cellStyle name="Normal 6 3 3 2 3 2" xfId="10989"/>
    <cellStyle name="Normal 6 3 3 2 3 2 2" xfId="25311"/>
    <cellStyle name="Normal 6 3 3 2 3 3" xfId="24063"/>
    <cellStyle name="Normal 6 3 3 2 4" xfId="8942"/>
    <cellStyle name="Normal 6 3 3 2 4 2" xfId="24629"/>
    <cellStyle name="Normal 6 3 3 2 5" xfId="3099"/>
    <cellStyle name="Normal 6 3 3 2 6" xfId="22133"/>
    <cellStyle name="Normal 6 3 3 3" xfId="1137"/>
    <cellStyle name="Normal 6 3 3 3 2" xfId="8490"/>
    <cellStyle name="Normal 6 3 3 3 2 2" xfId="11103"/>
    <cellStyle name="Normal 6 3 3 3 2 2 2" xfId="25425"/>
    <cellStyle name="Normal 6 3 3 3 2 3" xfId="24177"/>
    <cellStyle name="Normal 6 3 3 3 3" xfId="9130"/>
    <cellStyle name="Normal 6 3 3 3 3 2" xfId="24802"/>
    <cellStyle name="Normal 6 3 3 3 4" xfId="3370"/>
    <cellStyle name="Normal 6 3 3 3 5" xfId="22135"/>
    <cellStyle name="Normal 6 3 3 4" xfId="8208"/>
    <cellStyle name="Normal 6 3 3 4 2" xfId="10821"/>
    <cellStyle name="Normal 6 3 3 4 2 2" xfId="25143"/>
    <cellStyle name="Normal 6 3 3 4 3" xfId="23895"/>
    <cellStyle name="Normal 6 3 3 5" xfId="8774"/>
    <cellStyle name="Normal 6 3 3 5 2" xfId="24461"/>
    <cellStyle name="Normal 6 3 3 6" xfId="2921"/>
    <cellStyle name="Normal 6 3 3 7" xfId="22132"/>
    <cellStyle name="Normal 6 3 4" xfId="1138"/>
    <cellStyle name="Normal 6 3 4 2" xfId="1139"/>
    <cellStyle name="Normal 6 3 4 2 2" xfId="8545"/>
    <cellStyle name="Normal 6 3 4 2 2 2" xfId="11158"/>
    <cellStyle name="Normal 6 3 4 2 2 2 2" xfId="25480"/>
    <cellStyle name="Normal 6 3 4 2 2 3" xfId="24232"/>
    <cellStyle name="Normal 6 3 4 2 3" xfId="9186"/>
    <cellStyle name="Normal 6 3 4 2 3 2" xfId="24858"/>
    <cellStyle name="Normal 6 3 4 2 4" xfId="3426"/>
    <cellStyle name="Normal 6 3 4 2 5" xfId="22137"/>
    <cellStyle name="Normal 6 3 4 3" xfId="8264"/>
    <cellStyle name="Normal 6 3 4 3 2" xfId="10877"/>
    <cellStyle name="Normal 6 3 4 3 2 2" xfId="25199"/>
    <cellStyle name="Normal 6 3 4 3 3" xfId="23951"/>
    <cellStyle name="Normal 6 3 4 4" xfId="8830"/>
    <cellStyle name="Normal 6 3 4 4 2" xfId="24517"/>
    <cellStyle name="Normal 6 3 4 5" xfId="2977"/>
    <cellStyle name="Normal 6 3 4 6" xfId="22136"/>
    <cellStyle name="Normal 6 3 5" xfId="1140"/>
    <cellStyle name="Normal 6 3 5 2" xfId="1141"/>
    <cellStyle name="Normal 6 3 5 2 2" xfId="8595"/>
    <cellStyle name="Normal 6 3 5 2 2 2" xfId="11208"/>
    <cellStyle name="Normal 6 3 5 2 2 2 2" xfId="25530"/>
    <cellStyle name="Normal 6 3 5 2 2 3" xfId="24282"/>
    <cellStyle name="Normal 6 3 5 2 3" xfId="9237"/>
    <cellStyle name="Normal 6 3 5 2 3 2" xfId="24908"/>
    <cellStyle name="Normal 6 3 5 2 4" xfId="3484"/>
    <cellStyle name="Normal 6 3 5 2 5" xfId="22139"/>
    <cellStyle name="Normal 6 3 5 3" xfId="8314"/>
    <cellStyle name="Normal 6 3 5 3 2" xfId="10927"/>
    <cellStyle name="Normal 6 3 5 3 2 2" xfId="25249"/>
    <cellStyle name="Normal 6 3 5 3 3" xfId="24001"/>
    <cellStyle name="Normal 6 3 5 4" xfId="8880"/>
    <cellStyle name="Normal 6 3 5 4 2" xfId="24567"/>
    <cellStyle name="Normal 6 3 5 5" xfId="3037"/>
    <cellStyle name="Normal 6 3 5 6" xfId="22138"/>
    <cellStyle name="Normal 6 3 6" xfId="1142"/>
    <cellStyle name="Normal 6 3 6 2" xfId="8428"/>
    <cellStyle name="Normal 6 3 6 2 2" xfId="11041"/>
    <cellStyle name="Normal 6 3 6 2 2 2" xfId="25363"/>
    <cellStyle name="Normal 6 3 6 2 3" xfId="24115"/>
    <cellStyle name="Normal 6 3 6 3" xfId="8998"/>
    <cellStyle name="Normal 6 3 6 3 2" xfId="24681"/>
    <cellStyle name="Normal 6 3 6 4" xfId="3172"/>
    <cellStyle name="Normal 6 3 6 5" xfId="22140"/>
    <cellStyle name="Normal 6 3 7" xfId="1143"/>
    <cellStyle name="Normal 6 3 7 2" xfId="8146"/>
    <cellStyle name="Normal 6 3 7 2 2" xfId="10759"/>
    <cellStyle name="Normal 6 3 7 2 2 2" xfId="25081"/>
    <cellStyle name="Normal 6 3 7 2 3" xfId="23833"/>
    <cellStyle name="Normal 6 3 7 3" xfId="9068"/>
    <cellStyle name="Normal 6 3 7 3 2" xfId="24740"/>
    <cellStyle name="Normal 6 3 7 4" xfId="3308"/>
    <cellStyle name="Normal 6 3 7 5" xfId="22141"/>
    <cellStyle name="Normal 6 3 8" xfId="8087"/>
    <cellStyle name="Normal 6 3 8 2" xfId="10700"/>
    <cellStyle name="Normal 6 3 8 2 2" xfId="25022"/>
    <cellStyle name="Normal 6 3 8 3" xfId="23774"/>
    <cellStyle name="Normal 6 3 9" xfId="8712"/>
    <cellStyle name="Normal 6 3 9 2" xfId="24399"/>
    <cellStyle name="Normal 6 4" xfId="1144"/>
    <cellStyle name="Normal 6 4 10" xfId="2861"/>
    <cellStyle name="Normal 6 4 11" xfId="22142"/>
    <cellStyle name="Normal 6 4 2" xfId="1145"/>
    <cellStyle name="Normal 6 4 2 10" xfId="22143"/>
    <cellStyle name="Normal 6 4 2 2" xfId="1146"/>
    <cellStyle name="Normal 6 4 2 2 2" xfId="1147"/>
    <cellStyle name="Normal 6 4 2 2 2 2" xfId="1148"/>
    <cellStyle name="Normal 6 4 2 2 2 2 2" xfId="8688"/>
    <cellStyle name="Normal 6 4 2 2 2 2 2 2" xfId="11301"/>
    <cellStyle name="Normal 6 4 2 2 2 2 2 2 2" xfId="25623"/>
    <cellStyle name="Normal 6 4 2 2 2 2 2 3" xfId="24375"/>
    <cellStyle name="Normal 6 4 2 2 2 2 3" xfId="9330"/>
    <cellStyle name="Normal 6 4 2 2 2 2 3 2" xfId="25001"/>
    <cellStyle name="Normal 6 4 2 2 2 2 4" xfId="3578"/>
    <cellStyle name="Normal 6 4 2 2 2 2 5" xfId="22146"/>
    <cellStyle name="Normal 6 4 2 2 2 3" xfId="8407"/>
    <cellStyle name="Normal 6 4 2 2 2 3 2" xfId="11020"/>
    <cellStyle name="Normal 6 4 2 2 2 3 2 2" xfId="25342"/>
    <cellStyle name="Normal 6 4 2 2 2 3 3" xfId="24094"/>
    <cellStyle name="Normal 6 4 2 2 2 4" xfId="8973"/>
    <cellStyle name="Normal 6 4 2 2 2 4 2" xfId="24660"/>
    <cellStyle name="Normal 6 4 2 2 2 5" xfId="3130"/>
    <cellStyle name="Normal 6 4 2 2 2 6" xfId="22145"/>
    <cellStyle name="Normal 6 4 2 2 3" xfId="1149"/>
    <cellStyle name="Normal 6 4 2 2 3 2" xfId="8520"/>
    <cellStyle name="Normal 6 4 2 2 3 2 2" xfId="11133"/>
    <cellStyle name="Normal 6 4 2 2 3 2 2 2" xfId="25455"/>
    <cellStyle name="Normal 6 4 2 2 3 2 3" xfId="24207"/>
    <cellStyle name="Normal 6 4 2 2 3 3" xfId="9161"/>
    <cellStyle name="Normal 6 4 2 2 3 3 2" xfId="24833"/>
    <cellStyle name="Normal 6 4 2 2 3 4" xfId="3401"/>
    <cellStyle name="Normal 6 4 2 2 3 5" xfId="22147"/>
    <cellStyle name="Normal 6 4 2 2 4" xfId="8239"/>
    <cellStyle name="Normal 6 4 2 2 4 2" xfId="10852"/>
    <cellStyle name="Normal 6 4 2 2 4 2 2" xfId="25174"/>
    <cellStyle name="Normal 6 4 2 2 4 3" xfId="23926"/>
    <cellStyle name="Normal 6 4 2 2 5" xfId="8805"/>
    <cellStyle name="Normal 6 4 2 2 5 2" xfId="24492"/>
    <cellStyle name="Normal 6 4 2 2 6" xfId="2952"/>
    <cellStyle name="Normal 6 4 2 2 7" xfId="22144"/>
    <cellStyle name="Normal 6 4 2 3" xfId="1150"/>
    <cellStyle name="Normal 6 4 2 3 2" xfId="1151"/>
    <cellStyle name="Normal 6 4 2 3 2 2" xfId="8576"/>
    <cellStyle name="Normal 6 4 2 3 2 2 2" xfId="11189"/>
    <cellStyle name="Normal 6 4 2 3 2 2 2 2" xfId="25511"/>
    <cellStyle name="Normal 6 4 2 3 2 2 3" xfId="24263"/>
    <cellStyle name="Normal 6 4 2 3 2 3" xfId="9217"/>
    <cellStyle name="Normal 6 4 2 3 2 3 2" xfId="24889"/>
    <cellStyle name="Normal 6 4 2 3 2 4" xfId="3457"/>
    <cellStyle name="Normal 6 4 2 3 2 5" xfId="22149"/>
    <cellStyle name="Normal 6 4 2 3 3" xfId="8295"/>
    <cellStyle name="Normal 6 4 2 3 3 2" xfId="10908"/>
    <cellStyle name="Normal 6 4 2 3 3 2 2" xfId="25230"/>
    <cellStyle name="Normal 6 4 2 3 3 3" xfId="23982"/>
    <cellStyle name="Normal 6 4 2 3 4" xfId="8861"/>
    <cellStyle name="Normal 6 4 2 3 4 2" xfId="24548"/>
    <cellStyle name="Normal 6 4 2 3 5" xfId="3008"/>
    <cellStyle name="Normal 6 4 2 3 6" xfId="22148"/>
    <cellStyle name="Normal 6 4 2 4" xfId="1152"/>
    <cellStyle name="Normal 6 4 2 4 2" xfId="1153"/>
    <cellStyle name="Normal 6 4 2 4 2 2" xfId="8631"/>
    <cellStyle name="Normal 6 4 2 4 2 2 2" xfId="11244"/>
    <cellStyle name="Normal 6 4 2 4 2 2 2 2" xfId="25566"/>
    <cellStyle name="Normal 6 4 2 4 2 2 3" xfId="24318"/>
    <cellStyle name="Normal 6 4 2 4 2 3" xfId="9273"/>
    <cellStyle name="Normal 6 4 2 4 2 3 2" xfId="24944"/>
    <cellStyle name="Normal 6 4 2 4 2 4" xfId="3521"/>
    <cellStyle name="Normal 6 4 2 4 2 5" xfId="22151"/>
    <cellStyle name="Normal 6 4 2 4 3" xfId="8350"/>
    <cellStyle name="Normal 6 4 2 4 3 2" xfId="10963"/>
    <cellStyle name="Normal 6 4 2 4 3 2 2" xfId="25285"/>
    <cellStyle name="Normal 6 4 2 4 3 3" xfId="24037"/>
    <cellStyle name="Normal 6 4 2 4 4" xfId="8916"/>
    <cellStyle name="Normal 6 4 2 4 4 2" xfId="24603"/>
    <cellStyle name="Normal 6 4 2 4 5" xfId="3073"/>
    <cellStyle name="Normal 6 4 2 4 6" xfId="22150"/>
    <cellStyle name="Normal 6 4 2 5" xfId="1154"/>
    <cellStyle name="Normal 6 4 2 5 2" xfId="8468"/>
    <cellStyle name="Normal 6 4 2 5 2 2" xfId="11081"/>
    <cellStyle name="Normal 6 4 2 5 2 2 2" xfId="25403"/>
    <cellStyle name="Normal 6 4 2 5 2 3" xfId="24155"/>
    <cellStyle name="Normal 6 4 2 5 3" xfId="9040"/>
    <cellStyle name="Normal 6 4 2 5 3 2" xfId="24721"/>
    <cellStyle name="Normal 6 4 2 5 4" xfId="3232"/>
    <cellStyle name="Normal 6 4 2 5 5" xfId="22152"/>
    <cellStyle name="Normal 6 4 2 6" xfId="1155"/>
    <cellStyle name="Normal 6 4 2 6 2" xfId="8182"/>
    <cellStyle name="Normal 6 4 2 6 2 2" xfId="10795"/>
    <cellStyle name="Normal 6 4 2 6 2 2 2" xfId="25117"/>
    <cellStyle name="Normal 6 4 2 6 2 3" xfId="23869"/>
    <cellStyle name="Normal 6 4 2 6 3" xfId="9104"/>
    <cellStyle name="Normal 6 4 2 6 3 2" xfId="24776"/>
    <cellStyle name="Normal 6 4 2 6 4" xfId="3344"/>
    <cellStyle name="Normal 6 4 2 6 5" xfId="22153"/>
    <cellStyle name="Normal 6 4 2 7" xfId="8127"/>
    <cellStyle name="Normal 6 4 2 7 2" xfId="10740"/>
    <cellStyle name="Normal 6 4 2 7 2 2" xfId="25062"/>
    <cellStyle name="Normal 6 4 2 7 3" xfId="23814"/>
    <cellStyle name="Normal 6 4 2 8" xfId="8748"/>
    <cellStyle name="Normal 6 4 2 8 2" xfId="24435"/>
    <cellStyle name="Normal 6 4 2 9" xfId="2895"/>
    <cellStyle name="Normal 6 4 3" xfId="1156"/>
    <cellStyle name="Normal 6 4 3 2" xfId="1157"/>
    <cellStyle name="Normal 6 4 3 2 2" xfId="1158"/>
    <cellStyle name="Normal 6 4 3 2 2 2" xfId="8662"/>
    <cellStyle name="Normal 6 4 3 2 2 2 2" xfId="11275"/>
    <cellStyle name="Normal 6 4 3 2 2 2 2 2" xfId="25597"/>
    <cellStyle name="Normal 6 4 3 2 2 2 3" xfId="24349"/>
    <cellStyle name="Normal 6 4 3 2 2 3" xfId="9304"/>
    <cellStyle name="Normal 6 4 3 2 2 3 2" xfId="24975"/>
    <cellStyle name="Normal 6 4 3 2 2 4" xfId="3552"/>
    <cellStyle name="Normal 6 4 3 2 2 5" xfId="22156"/>
    <cellStyle name="Normal 6 4 3 2 3" xfId="8381"/>
    <cellStyle name="Normal 6 4 3 2 3 2" xfId="10994"/>
    <cellStyle name="Normal 6 4 3 2 3 2 2" xfId="25316"/>
    <cellStyle name="Normal 6 4 3 2 3 3" xfId="24068"/>
    <cellStyle name="Normal 6 4 3 2 4" xfId="8947"/>
    <cellStyle name="Normal 6 4 3 2 4 2" xfId="24634"/>
    <cellStyle name="Normal 6 4 3 2 5" xfId="3104"/>
    <cellStyle name="Normal 6 4 3 2 6" xfId="22155"/>
    <cellStyle name="Normal 6 4 3 3" xfId="1159"/>
    <cellStyle name="Normal 6 4 3 3 2" xfId="8494"/>
    <cellStyle name="Normal 6 4 3 3 2 2" xfId="11107"/>
    <cellStyle name="Normal 6 4 3 3 2 2 2" xfId="25429"/>
    <cellStyle name="Normal 6 4 3 3 2 3" xfId="24181"/>
    <cellStyle name="Normal 6 4 3 3 3" xfId="9135"/>
    <cellStyle name="Normal 6 4 3 3 3 2" xfId="24807"/>
    <cellStyle name="Normal 6 4 3 3 4" xfId="3375"/>
    <cellStyle name="Normal 6 4 3 3 5" xfId="22157"/>
    <cellStyle name="Normal 6 4 3 4" xfId="8213"/>
    <cellStyle name="Normal 6 4 3 4 2" xfId="10826"/>
    <cellStyle name="Normal 6 4 3 4 2 2" xfId="25148"/>
    <cellStyle name="Normal 6 4 3 4 3" xfId="23900"/>
    <cellStyle name="Normal 6 4 3 5" xfId="8779"/>
    <cellStyle name="Normal 6 4 3 5 2" xfId="24466"/>
    <cellStyle name="Normal 6 4 3 6" xfId="2926"/>
    <cellStyle name="Normal 6 4 3 7" xfId="22154"/>
    <cellStyle name="Normal 6 4 4" xfId="1160"/>
    <cellStyle name="Normal 6 4 4 2" xfId="1161"/>
    <cellStyle name="Normal 6 4 4 2 2" xfId="8550"/>
    <cellStyle name="Normal 6 4 4 2 2 2" xfId="11163"/>
    <cellStyle name="Normal 6 4 4 2 2 2 2" xfId="25485"/>
    <cellStyle name="Normal 6 4 4 2 2 3" xfId="24237"/>
    <cellStyle name="Normal 6 4 4 2 3" xfId="9191"/>
    <cellStyle name="Normal 6 4 4 2 3 2" xfId="24863"/>
    <cellStyle name="Normal 6 4 4 2 4" xfId="3431"/>
    <cellStyle name="Normal 6 4 4 2 5" xfId="22159"/>
    <cellStyle name="Normal 6 4 4 3" xfId="8269"/>
    <cellStyle name="Normal 6 4 4 3 2" xfId="10882"/>
    <cellStyle name="Normal 6 4 4 3 2 2" xfId="25204"/>
    <cellStyle name="Normal 6 4 4 3 3" xfId="23956"/>
    <cellStyle name="Normal 6 4 4 4" xfId="8835"/>
    <cellStyle name="Normal 6 4 4 4 2" xfId="24522"/>
    <cellStyle name="Normal 6 4 4 5" xfId="2982"/>
    <cellStyle name="Normal 6 4 4 6" xfId="22158"/>
    <cellStyle name="Normal 6 4 5" xfId="1162"/>
    <cellStyle name="Normal 6 4 5 2" xfId="1163"/>
    <cellStyle name="Normal 6 4 5 2 2" xfId="8600"/>
    <cellStyle name="Normal 6 4 5 2 2 2" xfId="11213"/>
    <cellStyle name="Normal 6 4 5 2 2 2 2" xfId="25535"/>
    <cellStyle name="Normal 6 4 5 2 2 3" xfId="24287"/>
    <cellStyle name="Normal 6 4 5 2 3" xfId="9242"/>
    <cellStyle name="Normal 6 4 5 2 3 2" xfId="24913"/>
    <cellStyle name="Normal 6 4 5 2 4" xfId="3489"/>
    <cellStyle name="Normal 6 4 5 2 5" xfId="22161"/>
    <cellStyle name="Normal 6 4 5 3" xfId="8319"/>
    <cellStyle name="Normal 6 4 5 3 2" xfId="10932"/>
    <cellStyle name="Normal 6 4 5 3 2 2" xfId="25254"/>
    <cellStyle name="Normal 6 4 5 3 3" xfId="24006"/>
    <cellStyle name="Normal 6 4 5 4" xfId="8885"/>
    <cellStyle name="Normal 6 4 5 4 2" xfId="24572"/>
    <cellStyle name="Normal 6 4 5 5" xfId="3042"/>
    <cellStyle name="Normal 6 4 5 6" xfId="22160"/>
    <cellStyle name="Normal 6 4 6" xfId="1164"/>
    <cellStyle name="Normal 6 4 6 2" xfId="8444"/>
    <cellStyle name="Normal 6 4 6 2 2" xfId="11057"/>
    <cellStyle name="Normal 6 4 6 2 2 2" xfId="25379"/>
    <cellStyle name="Normal 6 4 6 2 3" xfId="24131"/>
    <cellStyle name="Normal 6 4 6 3" xfId="9016"/>
    <cellStyle name="Normal 6 4 6 3 2" xfId="24697"/>
    <cellStyle name="Normal 6 4 6 4" xfId="3207"/>
    <cellStyle name="Normal 6 4 6 5" xfId="22162"/>
    <cellStyle name="Normal 6 4 7" xfId="1165"/>
    <cellStyle name="Normal 6 4 7 2" xfId="8151"/>
    <cellStyle name="Normal 6 4 7 2 2" xfId="10764"/>
    <cellStyle name="Normal 6 4 7 2 2 2" xfId="25086"/>
    <cellStyle name="Normal 6 4 7 2 3" xfId="23838"/>
    <cellStyle name="Normal 6 4 7 3" xfId="9073"/>
    <cellStyle name="Normal 6 4 7 3 2" xfId="24745"/>
    <cellStyle name="Normal 6 4 7 4" xfId="3313"/>
    <cellStyle name="Normal 6 4 7 5" xfId="22163"/>
    <cellStyle name="Normal 6 4 8" xfId="8103"/>
    <cellStyle name="Normal 6 4 8 2" xfId="10716"/>
    <cellStyle name="Normal 6 4 8 2 2" xfId="25038"/>
    <cellStyle name="Normal 6 4 8 3" xfId="23790"/>
    <cellStyle name="Normal 6 4 9" xfId="8717"/>
    <cellStyle name="Normal 6 4 9 2" xfId="24404"/>
    <cellStyle name="Normal 6 5" xfId="1166"/>
    <cellStyle name="Normal 6 5 10" xfId="22164"/>
    <cellStyle name="Normal 6 5 2" xfId="1167"/>
    <cellStyle name="Normal 6 5 2 2" xfId="1168"/>
    <cellStyle name="Normal 6 5 2 2 2" xfId="1169"/>
    <cellStyle name="Normal 6 5 2 2 2 2" xfId="8673"/>
    <cellStyle name="Normal 6 5 2 2 2 2 2" xfId="11286"/>
    <cellStyle name="Normal 6 5 2 2 2 2 2 2" xfId="25608"/>
    <cellStyle name="Normal 6 5 2 2 2 2 3" xfId="24360"/>
    <cellStyle name="Normal 6 5 2 2 2 3" xfId="9315"/>
    <cellStyle name="Normal 6 5 2 2 2 3 2" xfId="24986"/>
    <cellStyle name="Normal 6 5 2 2 2 4" xfId="3563"/>
    <cellStyle name="Normal 6 5 2 2 2 5" xfId="22167"/>
    <cellStyle name="Normal 6 5 2 2 3" xfId="8392"/>
    <cellStyle name="Normal 6 5 2 2 3 2" xfId="11005"/>
    <cellStyle name="Normal 6 5 2 2 3 2 2" xfId="25327"/>
    <cellStyle name="Normal 6 5 2 2 3 3" xfId="24079"/>
    <cellStyle name="Normal 6 5 2 2 4" xfId="8958"/>
    <cellStyle name="Normal 6 5 2 2 4 2" xfId="24645"/>
    <cellStyle name="Normal 6 5 2 2 5" xfId="3115"/>
    <cellStyle name="Normal 6 5 2 2 6" xfId="22166"/>
    <cellStyle name="Normal 6 5 2 3" xfId="1170"/>
    <cellStyle name="Normal 6 5 2 3 2" xfId="8505"/>
    <cellStyle name="Normal 6 5 2 3 2 2" xfId="11118"/>
    <cellStyle name="Normal 6 5 2 3 2 2 2" xfId="25440"/>
    <cellStyle name="Normal 6 5 2 3 2 3" xfId="24192"/>
    <cellStyle name="Normal 6 5 2 3 3" xfId="9146"/>
    <cellStyle name="Normal 6 5 2 3 3 2" xfId="24818"/>
    <cellStyle name="Normal 6 5 2 3 4" xfId="3386"/>
    <cellStyle name="Normal 6 5 2 3 5" xfId="22168"/>
    <cellStyle name="Normal 6 5 2 4" xfId="8224"/>
    <cellStyle name="Normal 6 5 2 4 2" xfId="10837"/>
    <cellStyle name="Normal 6 5 2 4 2 2" xfId="25159"/>
    <cellStyle name="Normal 6 5 2 4 3" xfId="23911"/>
    <cellStyle name="Normal 6 5 2 5" xfId="8790"/>
    <cellStyle name="Normal 6 5 2 5 2" xfId="24477"/>
    <cellStyle name="Normal 6 5 2 6" xfId="2937"/>
    <cellStyle name="Normal 6 5 2 7" xfId="22165"/>
    <cellStyle name="Normal 6 5 3" xfId="1171"/>
    <cellStyle name="Normal 6 5 3 2" xfId="1172"/>
    <cellStyle name="Normal 6 5 3 2 2" xfId="8561"/>
    <cellStyle name="Normal 6 5 3 2 2 2" xfId="11174"/>
    <cellStyle name="Normal 6 5 3 2 2 2 2" xfId="25496"/>
    <cellStyle name="Normal 6 5 3 2 2 3" xfId="24248"/>
    <cellStyle name="Normal 6 5 3 2 3" xfId="9202"/>
    <cellStyle name="Normal 6 5 3 2 3 2" xfId="24874"/>
    <cellStyle name="Normal 6 5 3 2 4" xfId="3442"/>
    <cellStyle name="Normal 6 5 3 2 5" xfId="22170"/>
    <cellStyle name="Normal 6 5 3 3" xfId="8280"/>
    <cellStyle name="Normal 6 5 3 3 2" xfId="10893"/>
    <cellStyle name="Normal 6 5 3 3 2 2" xfId="25215"/>
    <cellStyle name="Normal 6 5 3 3 3" xfId="23967"/>
    <cellStyle name="Normal 6 5 3 4" xfId="8846"/>
    <cellStyle name="Normal 6 5 3 4 2" xfId="24533"/>
    <cellStyle name="Normal 6 5 3 5" xfId="2993"/>
    <cellStyle name="Normal 6 5 3 6" xfId="22169"/>
    <cellStyle name="Normal 6 5 4" xfId="1173"/>
    <cellStyle name="Normal 6 5 4 2" xfId="1174"/>
    <cellStyle name="Normal 6 5 4 2 2" xfId="8611"/>
    <cellStyle name="Normal 6 5 4 2 2 2" xfId="11224"/>
    <cellStyle name="Normal 6 5 4 2 2 2 2" xfId="25546"/>
    <cellStyle name="Normal 6 5 4 2 2 3" xfId="24298"/>
    <cellStyle name="Normal 6 5 4 2 3" xfId="9253"/>
    <cellStyle name="Normal 6 5 4 2 3 2" xfId="24924"/>
    <cellStyle name="Normal 6 5 4 2 4" xfId="3500"/>
    <cellStyle name="Normal 6 5 4 2 5" xfId="22172"/>
    <cellStyle name="Normal 6 5 4 3" xfId="8330"/>
    <cellStyle name="Normal 6 5 4 3 2" xfId="10943"/>
    <cellStyle name="Normal 6 5 4 3 2 2" xfId="25265"/>
    <cellStyle name="Normal 6 5 4 3 3" xfId="24017"/>
    <cellStyle name="Normal 6 5 4 4" xfId="8896"/>
    <cellStyle name="Normal 6 5 4 4 2" xfId="24583"/>
    <cellStyle name="Normal 6 5 4 5" xfId="3053"/>
    <cellStyle name="Normal 6 5 4 6" xfId="22171"/>
    <cellStyle name="Normal 6 5 5" xfId="1175"/>
    <cellStyle name="Normal 6 5 5 2" xfId="8454"/>
    <cellStyle name="Normal 6 5 5 2 2" xfId="11067"/>
    <cellStyle name="Normal 6 5 5 2 2 2" xfId="25389"/>
    <cellStyle name="Normal 6 5 5 2 3" xfId="24141"/>
    <cellStyle name="Normal 6 5 5 3" xfId="9026"/>
    <cellStyle name="Normal 6 5 5 3 2" xfId="24707"/>
    <cellStyle name="Normal 6 5 5 4" xfId="3217"/>
    <cellStyle name="Normal 6 5 5 5" xfId="22173"/>
    <cellStyle name="Normal 6 5 6" xfId="1176"/>
    <cellStyle name="Normal 6 5 6 2" xfId="8162"/>
    <cellStyle name="Normal 6 5 6 2 2" xfId="10775"/>
    <cellStyle name="Normal 6 5 6 2 2 2" xfId="25097"/>
    <cellStyle name="Normal 6 5 6 2 3" xfId="23849"/>
    <cellStyle name="Normal 6 5 6 3" xfId="9084"/>
    <cellStyle name="Normal 6 5 6 3 2" xfId="24756"/>
    <cellStyle name="Normal 6 5 6 4" xfId="3324"/>
    <cellStyle name="Normal 6 5 6 5" xfId="22174"/>
    <cellStyle name="Normal 6 5 7" xfId="8113"/>
    <cellStyle name="Normal 6 5 7 2" xfId="10726"/>
    <cellStyle name="Normal 6 5 7 2 2" xfId="25048"/>
    <cellStyle name="Normal 6 5 7 3" xfId="23800"/>
    <cellStyle name="Normal 6 5 8" xfId="8728"/>
    <cellStyle name="Normal 6 5 8 2" xfId="24415"/>
    <cellStyle name="Normal 6 5 9" xfId="2873"/>
    <cellStyle name="Normal 6 6" xfId="1177"/>
    <cellStyle name="Normal 6 6 10" xfId="22175"/>
    <cellStyle name="Normal 6 6 2" xfId="1178"/>
    <cellStyle name="Normal 6 6 2 2" xfId="1179"/>
    <cellStyle name="Normal 6 6 2 2 2" xfId="1180"/>
    <cellStyle name="Normal 6 6 2 2 2 2" xfId="8648"/>
    <cellStyle name="Normal 6 6 2 2 2 2 2" xfId="11261"/>
    <cellStyle name="Normal 6 6 2 2 2 2 2 2" xfId="25583"/>
    <cellStyle name="Normal 6 6 2 2 2 2 3" xfId="24335"/>
    <cellStyle name="Normal 6 6 2 2 2 3" xfId="9290"/>
    <cellStyle name="Normal 6 6 2 2 2 3 2" xfId="24961"/>
    <cellStyle name="Normal 6 6 2 2 2 4" xfId="3538"/>
    <cellStyle name="Normal 6 6 2 2 2 5" xfId="22178"/>
    <cellStyle name="Normal 6 6 2 2 3" xfId="8367"/>
    <cellStyle name="Normal 6 6 2 2 3 2" xfId="10980"/>
    <cellStyle name="Normal 6 6 2 2 3 2 2" xfId="25302"/>
    <cellStyle name="Normal 6 6 2 2 3 3" xfId="24054"/>
    <cellStyle name="Normal 6 6 2 2 4" xfId="8933"/>
    <cellStyle name="Normal 6 6 2 2 4 2" xfId="24620"/>
    <cellStyle name="Normal 6 6 2 2 5" xfId="3090"/>
    <cellStyle name="Normal 6 6 2 2 6" xfId="22177"/>
    <cellStyle name="Normal 6 6 2 3" xfId="1181"/>
    <cellStyle name="Normal 6 6 2 3 2" xfId="8484"/>
    <cellStyle name="Normal 6 6 2 3 2 2" xfId="11097"/>
    <cellStyle name="Normal 6 6 2 3 2 2 2" xfId="25419"/>
    <cellStyle name="Normal 6 6 2 3 2 3" xfId="24171"/>
    <cellStyle name="Normal 6 6 2 3 3" xfId="9121"/>
    <cellStyle name="Normal 6 6 2 3 3 2" xfId="24793"/>
    <cellStyle name="Normal 6 6 2 3 4" xfId="3361"/>
    <cellStyle name="Normal 6 6 2 3 5" xfId="22179"/>
    <cellStyle name="Normal 6 6 2 4" xfId="8199"/>
    <cellStyle name="Normal 6 6 2 4 2" xfId="10812"/>
    <cellStyle name="Normal 6 6 2 4 2 2" xfId="25134"/>
    <cellStyle name="Normal 6 6 2 4 3" xfId="23886"/>
    <cellStyle name="Normal 6 6 2 5" xfId="8765"/>
    <cellStyle name="Normal 6 6 2 5 2" xfId="24452"/>
    <cellStyle name="Normal 6 6 2 6" xfId="2912"/>
    <cellStyle name="Normal 6 6 2 7" xfId="22176"/>
    <cellStyle name="Normal 6 6 3" xfId="1182"/>
    <cellStyle name="Normal 6 6 3 2" xfId="1183"/>
    <cellStyle name="Normal 6 6 3 2 2" xfId="8536"/>
    <cellStyle name="Normal 6 6 3 2 2 2" xfId="11149"/>
    <cellStyle name="Normal 6 6 3 2 2 2 2" xfId="25471"/>
    <cellStyle name="Normal 6 6 3 2 2 3" xfId="24223"/>
    <cellStyle name="Normal 6 6 3 2 3" xfId="9177"/>
    <cellStyle name="Normal 6 6 3 2 3 2" xfId="24849"/>
    <cellStyle name="Normal 6 6 3 2 4" xfId="3417"/>
    <cellStyle name="Normal 6 6 3 2 5" xfId="22181"/>
    <cellStyle name="Normal 6 6 3 3" xfId="8255"/>
    <cellStyle name="Normal 6 6 3 3 2" xfId="10868"/>
    <cellStyle name="Normal 6 6 3 3 2 2" xfId="25190"/>
    <cellStyle name="Normal 6 6 3 3 3" xfId="23942"/>
    <cellStyle name="Normal 6 6 3 4" xfId="8821"/>
    <cellStyle name="Normal 6 6 3 4 2" xfId="24508"/>
    <cellStyle name="Normal 6 6 3 5" xfId="2968"/>
    <cellStyle name="Normal 6 6 3 6" xfId="22180"/>
    <cellStyle name="Normal 6 6 4" xfId="1184"/>
    <cellStyle name="Normal 6 6 4 2" xfId="1185"/>
    <cellStyle name="Normal 6 6 4 2 2" xfId="8617"/>
    <cellStyle name="Normal 6 6 4 2 2 2" xfId="11230"/>
    <cellStyle name="Normal 6 6 4 2 2 2 2" xfId="25552"/>
    <cellStyle name="Normal 6 6 4 2 2 3" xfId="24304"/>
    <cellStyle name="Normal 6 6 4 2 3" xfId="9259"/>
    <cellStyle name="Normal 6 6 4 2 3 2" xfId="24930"/>
    <cellStyle name="Normal 6 6 4 2 4" xfId="3506"/>
    <cellStyle name="Normal 6 6 4 2 5" xfId="22183"/>
    <cellStyle name="Normal 6 6 4 3" xfId="8336"/>
    <cellStyle name="Normal 6 6 4 3 2" xfId="10949"/>
    <cellStyle name="Normal 6 6 4 3 2 2" xfId="25271"/>
    <cellStyle name="Normal 6 6 4 3 3" xfId="24023"/>
    <cellStyle name="Normal 6 6 4 4" xfId="8902"/>
    <cellStyle name="Normal 6 6 4 4 2" xfId="24589"/>
    <cellStyle name="Normal 6 6 4 5" xfId="3059"/>
    <cellStyle name="Normal 6 6 4 6" xfId="22182"/>
    <cellStyle name="Normal 6 6 5" xfId="1186"/>
    <cellStyle name="Normal 6 6 5 2" xfId="8434"/>
    <cellStyle name="Normal 6 6 5 2 2" xfId="11047"/>
    <cellStyle name="Normal 6 6 5 2 2 2" xfId="25369"/>
    <cellStyle name="Normal 6 6 5 2 3" xfId="24121"/>
    <cellStyle name="Normal 6 6 5 3" xfId="9004"/>
    <cellStyle name="Normal 6 6 5 3 2" xfId="24687"/>
    <cellStyle name="Normal 6 6 5 4" xfId="3179"/>
    <cellStyle name="Normal 6 6 5 5" xfId="22184"/>
    <cellStyle name="Normal 6 6 6" xfId="1187"/>
    <cellStyle name="Normal 6 6 6 2" xfId="8168"/>
    <cellStyle name="Normal 6 6 6 2 2" xfId="10781"/>
    <cellStyle name="Normal 6 6 6 2 2 2" xfId="25103"/>
    <cellStyle name="Normal 6 6 6 2 3" xfId="23855"/>
    <cellStyle name="Normal 6 6 6 3" xfId="9090"/>
    <cellStyle name="Normal 6 6 6 3 2" xfId="24762"/>
    <cellStyle name="Normal 6 6 6 4" xfId="3330"/>
    <cellStyle name="Normal 6 6 6 5" xfId="22185"/>
    <cellStyle name="Normal 6 6 7" xfId="8093"/>
    <cellStyle name="Normal 6 6 7 2" xfId="10706"/>
    <cellStyle name="Normal 6 6 7 2 2" xfId="25028"/>
    <cellStyle name="Normal 6 6 7 3" xfId="23780"/>
    <cellStyle name="Normal 6 6 8" xfId="8734"/>
    <cellStyle name="Normal 6 6 8 2" xfId="24421"/>
    <cellStyle name="Normal 6 6 9" xfId="2880"/>
    <cellStyle name="Normal 6 7" xfId="1188"/>
    <cellStyle name="Normal 6 7 2" xfId="1189"/>
    <cellStyle name="Normal 6 7 2 2" xfId="1190"/>
    <cellStyle name="Normal 6 7 2 2 2" xfId="8642"/>
    <cellStyle name="Normal 6 7 2 2 2 2" xfId="11255"/>
    <cellStyle name="Normal 6 7 2 2 2 2 2" xfId="25577"/>
    <cellStyle name="Normal 6 7 2 2 2 3" xfId="24329"/>
    <cellStyle name="Normal 6 7 2 2 3" xfId="9284"/>
    <cellStyle name="Normal 6 7 2 2 3 2" xfId="24955"/>
    <cellStyle name="Normal 6 7 2 2 4" xfId="3532"/>
    <cellStyle name="Normal 6 7 2 2 5" xfId="22188"/>
    <cellStyle name="Normal 6 7 2 3" xfId="8361"/>
    <cellStyle name="Normal 6 7 2 3 2" xfId="10974"/>
    <cellStyle name="Normal 6 7 2 3 2 2" xfId="25296"/>
    <cellStyle name="Normal 6 7 2 3 3" xfId="24048"/>
    <cellStyle name="Normal 6 7 2 4" xfId="8927"/>
    <cellStyle name="Normal 6 7 2 4 2" xfId="24614"/>
    <cellStyle name="Normal 6 7 2 5" xfId="3084"/>
    <cellStyle name="Normal 6 7 2 6" xfId="22187"/>
    <cellStyle name="Normal 6 7 3" xfId="1191"/>
    <cellStyle name="Normal 6 7 3 2" xfId="8478"/>
    <cellStyle name="Normal 6 7 3 2 2" xfId="11091"/>
    <cellStyle name="Normal 6 7 3 2 2 2" xfId="25413"/>
    <cellStyle name="Normal 6 7 3 2 3" xfId="24165"/>
    <cellStyle name="Normal 6 7 3 3" xfId="9115"/>
    <cellStyle name="Normal 6 7 3 3 2" xfId="24787"/>
    <cellStyle name="Normal 6 7 3 4" xfId="3355"/>
    <cellStyle name="Normal 6 7 3 5" xfId="22189"/>
    <cellStyle name="Normal 6 7 4" xfId="8193"/>
    <cellStyle name="Normal 6 7 4 2" xfId="10806"/>
    <cellStyle name="Normal 6 7 4 2 2" xfId="25128"/>
    <cellStyle name="Normal 6 7 4 3" xfId="23880"/>
    <cellStyle name="Normal 6 7 5" xfId="8759"/>
    <cellStyle name="Normal 6 7 5 2" xfId="24446"/>
    <cellStyle name="Normal 6 7 6" xfId="2906"/>
    <cellStyle name="Normal 6 7 7" xfId="22186"/>
    <cellStyle name="Normal 6 8" xfId="1192"/>
    <cellStyle name="Normal 6 8 2" xfId="1193"/>
    <cellStyle name="Normal 6 8 2 2" xfId="8530"/>
    <cellStyle name="Normal 6 8 2 2 2" xfId="11143"/>
    <cellStyle name="Normal 6 8 2 2 2 2" xfId="25465"/>
    <cellStyle name="Normal 6 8 2 2 3" xfId="24217"/>
    <cellStyle name="Normal 6 8 2 3" xfId="9171"/>
    <cellStyle name="Normal 6 8 2 3 2" xfId="24843"/>
    <cellStyle name="Normal 6 8 2 4" xfId="3411"/>
    <cellStyle name="Normal 6 8 2 5" xfId="22191"/>
    <cellStyle name="Normal 6 8 3" xfId="8249"/>
    <cellStyle name="Normal 6 8 3 2" xfId="10862"/>
    <cellStyle name="Normal 6 8 3 2 2" xfId="25184"/>
    <cellStyle name="Normal 6 8 3 3" xfId="23936"/>
    <cellStyle name="Normal 6 8 4" xfId="8815"/>
    <cellStyle name="Normal 6 8 4 2" xfId="24502"/>
    <cellStyle name="Normal 6 8 5" xfId="2962"/>
    <cellStyle name="Normal 6 8 6" xfId="22190"/>
    <cellStyle name="Normal 6 9" xfId="1194"/>
    <cellStyle name="Normal 6 9 2" xfId="1195"/>
    <cellStyle name="Normal 6 9 2 2" xfId="8586"/>
    <cellStyle name="Normal 6 9 2 2 2" xfId="11199"/>
    <cellStyle name="Normal 6 9 2 2 2 2" xfId="25521"/>
    <cellStyle name="Normal 6 9 2 2 3" xfId="24273"/>
    <cellStyle name="Normal 6 9 2 3" xfId="9227"/>
    <cellStyle name="Normal 6 9 2 3 2" xfId="24899"/>
    <cellStyle name="Normal 6 9 2 4" xfId="3473"/>
    <cellStyle name="Normal 6 9 2 5" xfId="22193"/>
    <cellStyle name="Normal 6 9 3" xfId="8305"/>
    <cellStyle name="Normal 6 9 3 2" xfId="10918"/>
    <cellStyle name="Normal 6 9 3 2 2" xfId="25240"/>
    <cellStyle name="Normal 6 9 3 3" xfId="23992"/>
    <cellStyle name="Normal 6 9 4" xfId="8871"/>
    <cellStyle name="Normal 6 9 4 2" xfId="24558"/>
    <cellStyle name="Normal 6 9 5" xfId="3023"/>
    <cellStyle name="Normal 6 9 6" xfId="22192"/>
    <cellStyle name="Normal 7" xfId="1196"/>
    <cellStyle name="Normal 7 10" xfId="1197"/>
    <cellStyle name="Normal 7 10 2" xfId="8142"/>
    <cellStyle name="Normal 7 10 2 2" xfId="10755"/>
    <cellStyle name="Normal 7 10 2 2 2" xfId="25077"/>
    <cellStyle name="Normal 7 10 2 3" xfId="23829"/>
    <cellStyle name="Normal 7 10 3" xfId="9064"/>
    <cellStyle name="Normal 7 10 3 2" xfId="24736"/>
    <cellStyle name="Normal 7 10 4" xfId="3304"/>
    <cellStyle name="Normal 7 10 5" xfId="22195"/>
    <cellStyle name="Normal 7 11" xfId="8077"/>
    <cellStyle name="Normal 7 11 2" xfId="10690"/>
    <cellStyle name="Normal 7 11 2 2" xfId="25012"/>
    <cellStyle name="Normal 7 11 3" xfId="23764"/>
    <cellStyle name="Normal 7 12" xfId="8708"/>
    <cellStyle name="Normal 7 12 2" xfId="24395"/>
    <cellStyle name="Normal 7 13" xfId="2852"/>
    <cellStyle name="Normal 7 14" xfId="22194"/>
    <cellStyle name="Normal 7 2" xfId="1198"/>
    <cellStyle name="Normal 7 2 10" xfId="8713"/>
    <cellStyle name="Normal 7 2 10 2" xfId="24400"/>
    <cellStyle name="Normal 7 2 11" xfId="2857"/>
    <cellStyle name="Normal 7 2 12" xfId="22196"/>
    <cellStyle name="Normal 7 2 2" xfId="1199"/>
    <cellStyle name="Normal 7 2 2 10" xfId="2868"/>
    <cellStyle name="Normal 7 2 2 11" xfId="22197"/>
    <cellStyle name="Normal 7 2 2 2" xfId="1200"/>
    <cellStyle name="Normal 7 2 2 2 10" xfId="22198"/>
    <cellStyle name="Normal 7 2 2 2 2" xfId="1201"/>
    <cellStyle name="Normal 7 2 2 2 2 2" xfId="1202"/>
    <cellStyle name="Normal 7 2 2 2 2 2 2" xfId="1203"/>
    <cellStyle name="Normal 7 2 2 2 2 2 2 2" xfId="8694"/>
    <cellStyle name="Normal 7 2 2 2 2 2 2 2 2" xfId="11307"/>
    <cellStyle name="Normal 7 2 2 2 2 2 2 2 2 2" xfId="25629"/>
    <cellStyle name="Normal 7 2 2 2 2 2 2 2 3" xfId="24381"/>
    <cellStyle name="Normal 7 2 2 2 2 2 2 3" xfId="9336"/>
    <cellStyle name="Normal 7 2 2 2 2 2 2 3 2" xfId="25007"/>
    <cellStyle name="Normal 7 2 2 2 2 2 2 4" xfId="3584"/>
    <cellStyle name="Normal 7 2 2 2 2 2 2 5" xfId="22201"/>
    <cellStyle name="Normal 7 2 2 2 2 2 3" xfId="8413"/>
    <cellStyle name="Normal 7 2 2 2 2 2 3 2" xfId="11026"/>
    <cellStyle name="Normal 7 2 2 2 2 2 3 2 2" xfId="25348"/>
    <cellStyle name="Normal 7 2 2 2 2 2 3 3" xfId="24100"/>
    <cellStyle name="Normal 7 2 2 2 2 2 4" xfId="8979"/>
    <cellStyle name="Normal 7 2 2 2 2 2 4 2" xfId="24666"/>
    <cellStyle name="Normal 7 2 2 2 2 2 5" xfId="3136"/>
    <cellStyle name="Normal 7 2 2 2 2 2 6" xfId="22200"/>
    <cellStyle name="Normal 7 2 2 2 2 3" xfId="1204"/>
    <cellStyle name="Normal 7 2 2 2 2 3 2" xfId="8526"/>
    <cellStyle name="Normal 7 2 2 2 2 3 2 2" xfId="11139"/>
    <cellStyle name="Normal 7 2 2 2 2 3 2 2 2" xfId="25461"/>
    <cellStyle name="Normal 7 2 2 2 2 3 2 3" xfId="24213"/>
    <cellStyle name="Normal 7 2 2 2 2 3 3" xfId="9167"/>
    <cellStyle name="Normal 7 2 2 2 2 3 3 2" xfId="24839"/>
    <cellStyle name="Normal 7 2 2 2 2 3 4" xfId="3407"/>
    <cellStyle name="Normal 7 2 2 2 2 3 5" xfId="22202"/>
    <cellStyle name="Normal 7 2 2 2 2 4" xfId="8245"/>
    <cellStyle name="Normal 7 2 2 2 2 4 2" xfId="10858"/>
    <cellStyle name="Normal 7 2 2 2 2 4 2 2" xfId="25180"/>
    <cellStyle name="Normal 7 2 2 2 2 4 3" xfId="23932"/>
    <cellStyle name="Normal 7 2 2 2 2 5" xfId="8811"/>
    <cellStyle name="Normal 7 2 2 2 2 5 2" xfId="24498"/>
    <cellStyle name="Normal 7 2 2 2 2 6" xfId="2958"/>
    <cellStyle name="Normal 7 2 2 2 2 7" xfId="22199"/>
    <cellStyle name="Normal 7 2 2 2 3" xfId="1205"/>
    <cellStyle name="Normal 7 2 2 2 3 2" xfId="1206"/>
    <cellStyle name="Normal 7 2 2 2 3 2 2" xfId="8582"/>
    <cellStyle name="Normal 7 2 2 2 3 2 2 2" xfId="11195"/>
    <cellStyle name="Normal 7 2 2 2 3 2 2 2 2" xfId="25517"/>
    <cellStyle name="Normal 7 2 2 2 3 2 2 3" xfId="24269"/>
    <cellStyle name="Normal 7 2 2 2 3 2 3" xfId="9223"/>
    <cellStyle name="Normal 7 2 2 2 3 2 3 2" xfId="24895"/>
    <cellStyle name="Normal 7 2 2 2 3 2 4" xfId="3463"/>
    <cellStyle name="Normal 7 2 2 2 3 2 5" xfId="22204"/>
    <cellStyle name="Normal 7 2 2 2 3 3" xfId="8301"/>
    <cellStyle name="Normal 7 2 2 2 3 3 2" xfId="10914"/>
    <cellStyle name="Normal 7 2 2 2 3 3 2 2" xfId="25236"/>
    <cellStyle name="Normal 7 2 2 2 3 3 3" xfId="23988"/>
    <cellStyle name="Normal 7 2 2 2 3 4" xfId="8867"/>
    <cellStyle name="Normal 7 2 2 2 3 4 2" xfId="24554"/>
    <cellStyle name="Normal 7 2 2 2 3 5" xfId="3014"/>
    <cellStyle name="Normal 7 2 2 2 3 6" xfId="22203"/>
    <cellStyle name="Normal 7 2 2 2 4" xfId="1207"/>
    <cellStyle name="Normal 7 2 2 2 4 2" xfId="1208"/>
    <cellStyle name="Normal 7 2 2 2 4 2 2" xfId="8637"/>
    <cellStyle name="Normal 7 2 2 2 4 2 2 2" xfId="11250"/>
    <cellStyle name="Normal 7 2 2 2 4 2 2 2 2" xfId="25572"/>
    <cellStyle name="Normal 7 2 2 2 4 2 2 3" xfId="24324"/>
    <cellStyle name="Normal 7 2 2 2 4 2 3" xfId="9279"/>
    <cellStyle name="Normal 7 2 2 2 4 2 3 2" xfId="24950"/>
    <cellStyle name="Normal 7 2 2 2 4 2 4" xfId="3527"/>
    <cellStyle name="Normal 7 2 2 2 4 2 5" xfId="22206"/>
    <cellStyle name="Normal 7 2 2 2 4 3" xfId="8356"/>
    <cellStyle name="Normal 7 2 2 2 4 3 2" xfId="10969"/>
    <cellStyle name="Normal 7 2 2 2 4 3 2 2" xfId="25291"/>
    <cellStyle name="Normal 7 2 2 2 4 3 3" xfId="24043"/>
    <cellStyle name="Normal 7 2 2 2 4 4" xfId="8922"/>
    <cellStyle name="Normal 7 2 2 2 4 4 2" xfId="24609"/>
    <cellStyle name="Normal 7 2 2 2 4 5" xfId="3079"/>
    <cellStyle name="Normal 7 2 2 2 4 6" xfId="22205"/>
    <cellStyle name="Normal 7 2 2 2 5" xfId="1209"/>
    <cellStyle name="Normal 7 2 2 2 5 2" xfId="8474"/>
    <cellStyle name="Normal 7 2 2 2 5 2 2" xfId="11087"/>
    <cellStyle name="Normal 7 2 2 2 5 2 2 2" xfId="25409"/>
    <cellStyle name="Normal 7 2 2 2 5 2 3" xfId="24161"/>
    <cellStyle name="Normal 7 2 2 2 5 3" xfId="9046"/>
    <cellStyle name="Normal 7 2 2 2 5 3 2" xfId="24727"/>
    <cellStyle name="Normal 7 2 2 2 5 4" xfId="3238"/>
    <cellStyle name="Normal 7 2 2 2 5 5" xfId="22207"/>
    <cellStyle name="Normal 7 2 2 2 6" xfId="1210"/>
    <cellStyle name="Normal 7 2 2 2 6 2" xfId="8188"/>
    <cellStyle name="Normal 7 2 2 2 6 2 2" xfId="10801"/>
    <cellStyle name="Normal 7 2 2 2 6 2 2 2" xfId="25123"/>
    <cellStyle name="Normal 7 2 2 2 6 2 3" xfId="23875"/>
    <cellStyle name="Normal 7 2 2 2 6 3" xfId="9110"/>
    <cellStyle name="Normal 7 2 2 2 6 3 2" xfId="24782"/>
    <cellStyle name="Normal 7 2 2 2 6 4" xfId="3350"/>
    <cellStyle name="Normal 7 2 2 2 6 5" xfId="22208"/>
    <cellStyle name="Normal 7 2 2 2 7" xfId="8133"/>
    <cellStyle name="Normal 7 2 2 2 7 2" xfId="10746"/>
    <cellStyle name="Normal 7 2 2 2 7 2 2" xfId="25068"/>
    <cellStyle name="Normal 7 2 2 2 7 3" xfId="23820"/>
    <cellStyle name="Normal 7 2 2 2 8" xfId="8754"/>
    <cellStyle name="Normal 7 2 2 2 8 2" xfId="24441"/>
    <cellStyle name="Normal 7 2 2 2 9" xfId="2901"/>
    <cellStyle name="Normal 7 2 2 3" xfId="1211"/>
    <cellStyle name="Normal 7 2 2 3 2" xfId="1212"/>
    <cellStyle name="Normal 7 2 2 3 2 2" xfId="1213"/>
    <cellStyle name="Normal 7 2 2 3 2 2 2" xfId="8668"/>
    <cellStyle name="Normal 7 2 2 3 2 2 2 2" xfId="11281"/>
    <cellStyle name="Normal 7 2 2 3 2 2 2 2 2" xfId="25603"/>
    <cellStyle name="Normal 7 2 2 3 2 2 2 3" xfId="24355"/>
    <cellStyle name="Normal 7 2 2 3 2 2 3" xfId="9310"/>
    <cellStyle name="Normal 7 2 2 3 2 2 3 2" xfId="24981"/>
    <cellStyle name="Normal 7 2 2 3 2 2 4" xfId="3558"/>
    <cellStyle name="Normal 7 2 2 3 2 2 5" xfId="22211"/>
    <cellStyle name="Normal 7 2 2 3 2 3" xfId="8387"/>
    <cellStyle name="Normal 7 2 2 3 2 3 2" xfId="11000"/>
    <cellStyle name="Normal 7 2 2 3 2 3 2 2" xfId="25322"/>
    <cellStyle name="Normal 7 2 2 3 2 3 3" xfId="24074"/>
    <cellStyle name="Normal 7 2 2 3 2 4" xfId="8953"/>
    <cellStyle name="Normal 7 2 2 3 2 4 2" xfId="24640"/>
    <cellStyle name="Normal 7 2 2 3 2 5" xfId="3110"/>
    <cellStyle name="Normal 7 2 2 3 2 6" xfId="22210"/>
    <cellStyle name="Normal 7 2 2 3 3" xfId="1214"/>
    <cellStyle name="Normal 7 2 2 3 3 2" xfId="8500"/>
    <cellStyle name="Normal 7 2 2 3 3 2 2" xfId="11113"/>
    <cellStyle name="Normal 7 2 2 3 3 2 2 2" xfId="25435"/>
    <cellStyle name="Normal 7 2 2 3 3 2 3" xfId="24187"/>
    <cellStyle name="Normal 7 2 2 3 3 3" xfId="9141"/>
    <cellStyle name="Normal 7 2 2 3 3 3 2" xfId="24813"/>
    <cellStyle name="Normal 7 2 2 3 3 4" xfId="3381"/>
    <cellStyle name="Normal 7 2 2 3 3 5" xfId="22212"/>
    <cellStyle name="Normal 7 2 2 3 4" xfId="8219"/>
    <cellStyle name="Normal 7 2 2 3 4 2" xfId="10832"/>
    <cellStyle name="Normal 7 2 2 3 4 2 2" xfId="25154"/>
    <cellStyle name="Normal 7 2 2 3 4 3" xfId="23906"/>
    <cellStyle name="Normal 7 2 2 3 5" xfId="8785"/>
    <cellStyle name="Normal 7 2 2 3 5 2" xfId="24472"/>
    <cellStyle name="Normal 7 2 2 3 6" xfId="2932"/>
    <cellStyle name="Normal 7 2 2 3 7" xfId="22209"/>
    <cellStyle name="Normal 7 2 2 4" xfId="1215"/>
    <cellStyle name="Normal 7 2 2 4 2" xfId="1216"/>
    <cellStyle name="Normal 7 2 2 4 2 2" xfId="8556"/>
    <cellStyle name="Normal 7 2 2 4 2 2 2" xfId="11169"/>
    <cellStyle name="Normal 7 2 2 4 2 2 2 2" xfId="25491"/>
    <cellStyle name="Normal 7 2 2 4 2 2 3" xfId="24243"/>
    <cellStyle name="Normal 7 2 2 4 2 3" xfId="9197"/>
    <cellStyle name="Normal 7 2 2 4 2 3 2" xfId="24869"/>
    <cellStyle name="Normal 7 2 2 4 2 4" xfId="3437"/>
    <cellStyle name="Normal 7 2 2 4 2 5" xfId="22214"/>
    <cellStyle name="Normal 7 2 2 4 3" xfId="8275"/>
    <cellStyle name="Normal 7 2 2 4 3 2" xfId="10888"/>
    <cellStyle name="Normal 7 2 2 4 3 2 2" xfId="25210"/>
    <cellStyle name="Normal 7 2 2 4 3 3" xfId="23962"/>
    <cellStyle name="Normal 7 2 2 4 4" xfId="8841"/>
    <cellStyle name="Normal 7 2 2 4 4 2" xfId="24528"/>
    <cellStyle name="Normal 7 2 2 4 5" xfId="2988"/>
    <cellStyle name="Normal 7 2 2 4 6" xfId="22213"/>
    <cellStyle name="Normal 7 2 2 5" xfId="1217"/>
    <cellStyle name="Normal 7 2 2 5 2" xfId="1218"/>
    <cellStyle name="Normal 7 2 2 5 2 2" xfId="8606"/>
    <cellStyle name="Normal 7 2 2 5 2 2 2" xfId="11219"/>
    <cellStyle name="Normal 7 2 2 5 2 2 2 2" xfId="25541"/>
    <cellStyle name="Normal 7 2 2 5 2 2 3" xfId="24293"/>
    <cellStyle name="Normal 7 2 2 5 2 3" xfId="9248"/>
    <cellStyle name="Normal 7 2 2 5 2 3 2" xfId="24919"/>
    <cellStyle name="Normal 7 2 2 5 2 4" xfId="3495"/>
    <cellStyle name="Normal 7 2 2 5 2 5" xfId="22216"/>
    <cellStyle name="Normal 7 2 2 5 3" xfId="8325"/>
    <cellStyle name="Normal 7 2 2 5 3 2" xfId="10938"/>
    <cellStyle name="Normal 7 2 2 5 3 2 2" xfId="25260"/>
    <cellStyle name="Normal 7 2 2 5 3 3" xfId="24012"/>
    <cellStyle name="Normal 7 2 2 5 4" xfId="8891"/>
    <cellStyle name="Normal 7 2 2 5 4 2" xfId="24578"/>
    <cellStyle name="Normal 7 2 2 5 5" xfId="3048"/>
    <cellStyle name="Normal 7 2 2 5 6" xfId="22215"/>
    <cellStyle name="Normal 7 2 2 6" xfId="1219"/>
    <cellStyle name="Normal 7 2 2 6 2" xfId="8449"/>
    <cellStyle name="Normal 7 2 2 6 2 2" xfId="11062"/>
    <cellStyle name="Normal 7 2 2 6 2 2 2" xfId="25384"/>
    <cellStyle name="Normal 7 2 2 6 2 3" xfId="24136"/>
    <cellStyle name="Normal 7 2 2 6 3" xfId="9021"/>
    <cellStyle name="Normal 7 2 2 6 3 2" xfId="24702"/>
    <cellStyle name="Normal 7 2 2 6 4" xfId="3212"/>
    <cellStyle name="Normal 7 2 2 6 5" xfId="22217"/>
    <cellStyle name="Normal 7 2 2 7" xfId="1220"/>
    <cellStyle name="Normal 7 2 2 7 2" xfId="8157"/>
    <cellStyle name="Normal 7 2 2 7 2 2" xfId="10770"/>
    <cellStyle name="Normal 7 2 2 7 2 2 2" xfId="25092"/>
    <cellStyle name="Normal 7 2 2 7 2 3" xfId="23844"/>
    <cellStyle name="Normal 7 2 2 7 3" xfId="9079"/>
    <cellStyle name="Normal 7 2 2 7 3 2" xfId="24751"/>
    <cellStyle name="Normal 7 2 2 7 4" xfId="3319"/>
    <cellStyle name="Normal 7 2 2 7 5" xfId="22218"/>
    <cellStyle name="Normal 7 2 2 8" xfId="8108"/>
    <cellStyle name="Normal 7 2 2 8 2" xfId="10721"/>
    <cellStyle name="Normal 7 2 2 8 2 2" xfId="25043"/>
    <cellStyle name="Normal 7 2 2 8 3" xfId="23795"/>
    <cellStyle name="Normal 7 2 2 9" xfId="8723"/>
    <cellStyle name="Normal 7 2 2 9 2" xfId="24410"/>
    <cellStyle name="Normal 7 2 3" xfId="1221"/>
    <cellStyle name="Normal 7 2 3 10" xfId="22219"/>
    <cellStyle name="Normal 7 2 3 2" xfId="1222"/>
    <cellStyle name="Normal 7 2 3 2 2" xfId="1223"/>
    <cellStyle name="Normal 7 2 3 2 2 2" xfId="1224"/>
    <cellStyle name="Normal 7 2 3 2 2 2 2" xfId="8684"/>
    <cellStyle name="Normal 7 2 3 2 2 2 2 2" xfId="11297"/>
    <cellStyle name="Normal 7 2 3 2 2 2 2 2 2" xfId="25619"/>
    <cellStyle name="Normal 7 2 3 2 2 2 2 3" xfId="24371"/>
    <cellStyle name="Normal 7 2 3 2 2 2 3" xfId="9326"/>
    <cellStyle name="Normal 7 2 3 2 2 2 3 2" xfId="24997"/>
    <cellStyle name="Normal 7 2 3 2 2 2 4" xfId="3574"/>
    <cellStyle name="Normal 7 2 3 2 2 2 5" xfId="22222"/>
    <cellStyle name="Normal 7 2 3 2 2 3" xfId="8403"/>
    <cellStyle name="Normal 7 2 3 2 2 3 2" xfId="11016"/>
    <cellStyle name="Normal 7 2 3 2 2 3 2 2" xfId="25338"/>
    <cellStyle name="Normal 7 2 3 2 2 3 3" xfId="24090"/>
    <cellStyle name="Normal 7 2 3 2 2 4" xfId="8969"/>
    <cellStyle name="Normal 7 2 3 2 2 4 2" xfId="24656"/>
    <cellStyle name="Normal 7 2 3 2 2 5" xfId="3126"/>
    <cellStyle name="Normal 7 2 3 2 2 6" xfId="22221"/>
    <cellStyle name="Normal 7 2 3 2 3" xfId="1225"/>
    <cellStyle name="Normal 7 2 3 2 3 2" xfId="8516"/>
    <cellStyle name="Normal 7 2 3 2 3 2 2" xfId="11129"/>
    <cellStyle name="Normal 7 2 3 2 3 2 2 2" xfId="25451"/>
    <cellStyle name="Normal 7 2 3 2 3 2 3" xfId="24203"/>
    <cellStyle name="Normal 7 2 3 2 3 3" xfId="9157"/>
    <cellStyle name="Normal 7 2 3 2 3 3 2" xfId="24829"/>
    <cellStyle name="Normal 7 2 3 2 3 4" xfId="3397"/>
    <cellStyle name="Normal 7 2 3 2 3 5" xfId="22223"/>
    <cellStyle name="Normal 7 2 3 2 4" xfId="8235"/>
    <cellStyle name="Normal 7 2 3 2 4 2" xfId="10848"/>
    <cellStyle name="Normal 7 2 3 2 4 2 2" xfId="25170"/>
    <cellStyle name="Normal 7 2 3 2 4 3" xfId="23922"/>
    <cellStyle name="Normal 7 2 3 2 5" xfId="8801"/>
    <cellStyle name="Normal 7 2 3 2 5 2" xfId="24488"/>
    <cellStyle name="Normal 7 2 3 2 6" xfId="2948"/>
    <cellStyle name="Normal 7 2 3 2 7" xfId="22220"/>
    <cellStyle name="Normal 7 2 3 3" xfId="1226"/>
    <cellStyle name="Normal 7 2 3 3 2" xfId="1227"/>
    <cellStyle name="Normal 7 2 3 3 2 2" xfId="8572"/>
    <cellStyle name="Normal 7 2 3 3 2 2 2" xfId="11185"/>
    <cellStyle name="Normal 7 2 3 3 2 2 2 2" xfId="25507"/>
    <cellStyle name="Normal 7 2 3 3 2 2 3" xfId="24259"/>
    <cellStyle name="Normal 7 2 3 3 2 3" xfId="9213"/>
    <cellStyle name="Normal 7 2 3 3 2 3 2" xfId="24885"/>
    <cellStyle name="Normal 7 2 3 3 2 4" xfId="3453"/>
    <cellStyle name="Normal 7 2 3 3 2 5" xfId="22225"/>
    <cellStyle name="Normal 7 2 3 3 3" xfId="8291"/>
    <cellStyle name="Normal 7 2 3 3 3 2" xfId="10904"/>
    <cellStyle name="Normal 7 2 3 3 3 2 2" xfId="25226"/>
    <cellStyle name="Normal 7 2 3 3 3 3" xfId="23978"/>
    <cellStyle name="Normal 7 2 3 3 4" xfId="8857"/>
    <cellStyle name="Normal 7 2 3 3 4 2" xfId="24544"/>
    <cellStyle name="Normal 7 2 3 3 5" xfId="3004"/>
    <cellStyle name="Normal 7 2 3 3 6" xfId="22224"/>
    <cellStyle name="Normal 7 2 3 4" xfId="1228"/>
    <cellStyle name="Normal 7 2 3 4 2" xfId="1229"/>
    <cellStyle name="Normal 7 2 3 4 2 2" xfId="8627"/>
    <cellStyle name="Normal 7 2 3 4 2 2 2" xfId="11240"/>
    <cellStyle name="Normal 7 2 3 4 2 2 2 2" xfId="25562"/>
    <cellStyle name="Normal 7 2 3 4 2 2 3" xfId="24314"/>
    <cellStyle name="Normal 7 2 3 4 2 3" xfId="9269"/>
    <cellStyle name="Normal 7 2 3 4 2 3 2" xfId="24940"/>
    <cellStyle name="Normal 7 2 3 4 2 4" xfId="3517"/>
    <cellStyle name="Normal 7 2 3 4 2 5" xfId="22227"/>
    <cellStyle name="Normal 7 2 3 4 3" xfId="8346"/>
    <cellStyle name="Normal 7 2 3 4 3 2" xfId="10959"/>
    <cellStyle name="Normal 7 2 3 4 3 2 2" xfId="25281"/>
    <cellStyle name="Normal 7 2 3 4 3 3" xfId="24033"/>
    <cellStyle name="Normal 7 2 3 4 4" xfId="8912"/>
    <cellStyle name="Normal 7 2 3 4 4 2" xfId="24599"/>
    <cellStyle name="Normal 7 2 3 4 5" xfId="3069"/>
    <cellStyle name="Normal 7 2 3 4 6" xfId="22226"/>
    <cellStyle name="Normal 7 2 3 5" xfId="1230"/>
    <cellStyle name="Normal 7 2 3 5 2" xfId="8464"/>
    <cellStyle name="Normal 7 2 3 5 2 2" xfId="11077"/>
    <cellStyle name="Normal 7 2 3 5 2 2 2" xfId="25399"/>
    <cellStyle name="Normal 7 2 3 5 2 3" xfId="24151"/>
    <cellStyle name="Normal 7 2 3 5 3" xfId="9036"/>
    <cellStyle name="Normal 7 2 3 5 3 2" xfId="24717"/>
    <cellStyle name="Normal 7 2 3 5 4" xfId="3228"/>
    <cellStyle name="Normal 7 2 3 5 5" xfId="22228"/>
    <cellStyle name="Normal 7 2 3 6" xfId="1231"/>
    <cellStyle name="Normal 7 2 3 6 2" xfId="8178"/>
    <cellStyle name="Normal 7 2 3 6 2 2" xfId="10791"/>
    <cellStyle name="Normal 7 2 3 6 2 2 2" xfId="25113"/>
    <cellStyle name="Normal 7 2 3 6 2 3" xfId="23865"/>
    <cellStyle name="Normal 7 2 3 6 3" xfId="9100"/>
    <cellStyle name="Normal 7 2 3 6 3 2" xfId="24772"/>
    <cellStyle name="Normal 7 2 3 6 4" xfId="3340"/>
    <cellStyle name="Normal 7 2 3 6 5" xfId="22229"/>
    <cellStyle name="Normal 7 2 3 7" xfId="8123"/>
    <cellStyle name="Normal 7 2 3 7 2" xfId="10736"/>
    <cellStyle name="Normal 7 2 3 7 2 2" xfId="25058"/>
    <cellStyle name="Normal 7 2 3 7 3" xfId="23810"/>
    <cellStyle name="Normal 7 2 3 8" xfId="8744"/>
    <cellStyle name="Normal 7 2 3 8 2" xfId="24431"/>
    <cellStyle name="Normal 7 2 3 9" xfId="2891"/>
    <cellStyle name="Normal 7 2 4" xfId="1232"/>
    <cellStyle name="Normal 7 2 4 2" xfId="1233"/>
    <cellStyle name="Normal 7 2 4 2 2" xfId="1234"/>
    <cellStyle name="Normal 7 2 4 2 2 2" xfId="8658"/>
    <cellStyle name="Normal 7 2 4 2 2 2 2" xfId="11271"/>
    <cellStyle name="Normal 7 2 4 2 2 2 2 2" xfId="25593"/>
    <cellStyle name="Normal 7 2 4 2 2 2 3" xfId="24345"/>
    <cellStyle name="Normal 7 2 4 2 2 3" xfId="9300"/>
    <cellStyle name="Normal 7 2 4 2 2 3 2" xfId="24971"/>
    <cellStyle name="Normal 7 2 4 2 2 4" xfId="3548"/>
    <cellStyle name="Normal 7 2 4 2 2 5" xfId="22232"/>
    <cellStyle name="Normal 7 2 4 2 3" xfId="8377"/>
    <cellStyle name="Normal 7 2 4 2 3 2" xfId="10990"/>
    <cellStyle name="Normal 7 2 4 2 3 2 2" xfId="25312"/>
    <cellStyle name="Normal 7 2 4 2 3 3" xfId="24064"/>
    <cellStyle name="Normal 7 2 4 2 4" xfId="8943"/>
    <cellStyle name="Normal 7 2 4 2 4 2" xfId="24630"/>
    <cellStyle name="Normal 7 2 4 2 5" xfId="3100"/>
    <cellStyle name="Normal 7 2 4 2 6" xfId="22231"/>
    <cellStyle name="Normal 7 2 4 3" xfId="1235"/>
    <cellStyle name="Normal 7 2 4 3 2" xfId="8440"/>
    <cellStyle name="Normal 7 2 4 3 2 2" xfId="11053"/>
    <cellStyle name="Normal 7 2 4 3 2 2 2" xfId="25375"/>
    <cellStyle name="Normal 7 2 4 3 2 3" xfId="24127"/>
    <cellStyle name="Normal 7 2 4 3 3" xfId="9012"/>
    <cellStyle name="Normal 7 2 4 3 3 2" xfId="24693"/>
    <cellStyle name="Normal 7 2 4 3 4" xfId="3203"/>
    <cellStyle name="Normal 7 2 4 3 5" xfId="22233"/>
    <cellStyle name="Normal 7 2 4 4" xfId="1236"/>
    <cellStyle name="Normal 7 2 4 4 2" xfId="8209"/>
    <cellStyle name="Normal 7 2 4 4 2 2" xfId="10822"/>
    <cellStyle name="Normal 7 2 4 4 2 2 2" xfId="25144"/>
    <cellStyle name="Normal 7 2 4 4 2 3" xfId="23896"/>
    <cellStyle name="Normal 7 2 4 4 3" xfId="9131"/>
    <cellStyle name="Normal 7 2 4 4 3 2" xfId="24803"/>
    <cellStyle name="Normal 7 2 4 4 4" xfId="3371"/>
    <cellStyle name="Normal 7 2 4 4 5" xfId="22234"/>
    <cellStyle name="Normal 7 2 4 5" xfId="8099"/>
    <cellStyle name="Normal 7 2 4 5 2" xfId="10712"/>
    <cellStyle name="Normal 7 2 4 5 2 2" xfId="25034"/>
    <cellStyle name="Normal 7 2 4 5 3" xfId="23786"/>
    <cellStyle name="Normal 7 2 4 6" xfId="8775"/>
    <cellStyle name="Normal 7 2 4 6 2" xfId="24462"/>
    <cellStyle name="Normal 7 2 4 7" xfId="2922"/>
    <cellStyle name="Normal 7 2 4 8" xfId="22230"/>
    <cellStyle name="Normal 7 2 5" xfId="1237"/>
    <cellStyle name="Normal 7 2 5 2" xfId="1238"/>
    <cellStyle name="Normal 7 2 5 2 2" xfId="8546"/>
    <cellStyle name="Normal 7 2 5 2 2 2" xfId="11159"/>
    <cellStyle name="Normal 7 2 5 2 2 2 2" xfId="25481"/>
    <cellStyle name="Normal 7 2 5 2 2 3" xfId="24233"/>
    <cellStyle name="Normal 7 2 5 2 3" xfId="9187"/>
    <cellStyle name="Normal 7 2 5 2 3 2" xfId="24859"/>
    <cellStyle name="Normal 7 2 5 2 4" xfId="3427"/>
    <cellStyle name="Normal 7 2 5 2 5" xfId="22236"/>
    <cellStyle name="Normal 7 2 5 3" xfId="8265"/>
    <cellStyle name="Normal 7 2 5 3 2" xfId="10878"/>
    <cellStyle name="Normal 7 2 5 3 2 2" xfId="25200"/>
    <cellStyle name="Normal 7 2 5 3 3" xfId="23952"/>
    <cellStyle name="Normal 7 2 5 4" xfId="8831"/>
    <cellStyle name="Normal 7 2 5 4 2" xfId="24518"/>
    <cellStyle name="Normal 7 2 5 5" xfId="2978"/>
    <cellStyle name="Normal 7 2 5 6" xfId="22235"/>
    <cellStyle name="Normal 7 2 6" xfId="1239"/>
    <cellStyle name="Normal 7 2 6 2" xfId="1240"/>
    <cellStyle name="Normal 7 2 6 2 2" xfId="8596"/>
    <cellStyle name="Normal 7 2 6 2 2 2" xfId="11209"/>
    <cellStyle name="Normal 7 2 6 2 2 2 2" xfId="25531"/>
    <cellStyle name="Normal 7 2 6 2 2 3" xfId="24283"/>
    <cellStyle name="Normal 7 2 6 2 3" xfId="9238"/>
    <cellStyle name="Normal 7 2 6 2 3 2" xfId="24909"/>
    <cellStyle name="Normal 7 2 6 2 4" xfId="3485"/>
    <cellStyle name="Normal 7 2 6 2 5" xfId="22238"/>
    <cellStyle name="Normal 7 2 6 3" xfId="8315"/>
    <cellStyle name="Normal 7 2 6 3 2" xfId="10928"/>
    <cellStyle name="Normal 7 2 6 3 2 2" xfId="25250"/>
    <cellStyle name="Normal 7 2 6 3 3" xfId="24002"/>
    <cellStyle name="Normal 7 2 6 4" xfId="8881"/>
    <cellStyle name="Normal 7 2 6 4 2" xfId="24568"/>
    <cellStyle name="Normal 7 2 6 5" xfId="3038"/>
    <cellStyle name="Normal 7 2 6 6" xfId="22237"/>
    <cellStyle name="Normal 7 2 7" xfId="1241"/>
    <cellStyle name="Normal 7 2 7 2" xfId="8423"/>
    <cellStyle name="Normal 7 2 7 2 2" xfId="11036"/>
    <cellStyle name="Normal 7 2 7 2 2 2" xfId="25358"/>
    <cellStyle name="Normal 7 2 7 2 3" xfId="24110"/>
    <cellStyle name="Normal 7 2 7 3" xfId="8993"/>
    <cellStyle name="Normal 7 2 7 3 2" xfId="24676"/>
    <cellStyle name="Normal 7 2 7 4" xfId="3167"/>
    <cellStyle name="Normal 7 2 7 5" xfId="22239"/>
    <cellStyle name="Normal 7 2 8" xfId="1242"/>
    <cellStyle name="Normal 7 2 8 2" xfId="8147"/>
    <cellStyle name="Normal 7 2 8 2 2" xfId="10760"/>
    <cellStyle name="Normal 7 2 8 2 2 2" xfId="25082"/>
    <cellStyle name="Normal 7 2 8 2 3" xfId="23834"/>
    <cellStyle name="Normal 7 2 8 3" xfId="9069"/>
    <cellStyle name="Normal 7 2 8 3 2" xfId="24741"/>
    <cellStyle name="Normal 7 2 8 4" xfId="3309"/>
    <cellStyle name="Normal 7 2 8 5" xfId="22240"/>
    <cellStyle name="Normal 7 2 9" xfId="8082"/>
    <cellStyle name="Normal 7 2 9 2" xfId="10695"/>
    <cellStyle name="Normal 7 2 9 2 2" xfId="25017"/>
    <cellStyle name="Normal 7 2 9 3" xfId="23769"/>
    <cellStyle name="Normal 7 3" xfId="1243"/>
    <cellStyle name="Normal 7 3 10" xfId="2862"/>
    <cellStyle name="Normal 7 3 11" xfId="22241"/>
    <cellStyle name="Normal 7 3 2" xfId="1244"/>
    <cellStyle name="Normal 7 3 2 10" xfId="22242"/>
    <cellStyle name="Normal 7 3 2 2" xfId="1245"/>
    <cellStyle name="Normal 7 3 2 2 2" xfId="1246"/>
    <cellStyle name="Normal 7 3 2 2 2 2" xfId="1247"/>
    <cellStyle name="Normal 7 3 2 2 2 2 2" xfId="8689"/>
    <cellStyle name="Normal 7 3 2 2 2 2 2 2" xfId="11302"/>
    <cellStyle name="Normal 7 3 2 2 2 2 2 2 2" xfId="25624"/>
    <cellStyle name="Normal 7 3 2 2 2 2 2 3" xfId="24376"/>
    <cellStyle name="Normal 7 3 2 2 2 2 3" xfId="9331"/>
    <cellStyle name="Normal 7 3 2 2 2 2 3 2" xfId="25002"/>
    <cellStyle name="Normal 7 3 2 2 2 2 4" xfId="3579"/>
    <cellStyle name="Normal 7 3 2 2 2 2 5" xfId="22245"/>
    <cellStyle name="Normal 7 3 2 2 2 3" xfId="8408"/>
    <cellStyle name="Normal 7 3 2 2 2 3 2" xfId="11021"/>
    <cellStyle name="Normal 7 3 2 2 2 3 2 2" xfId="25343"/>
    <cellStyle name="Normal 7 3 2 2 2 3 3" xfId="24095"/>
    <cellStyle name="Normal 7 3 2 2 2 4" xfId="8974"/>
    <cellStyle name="Normal 7 3 2 2 2 4 2" xfId="24661"/>
    <cellStyle name="Normal 7 3 2 2 2 5" xfId="3131"/>
    <cellStyle name="Normal 7 3 2 2 2 6" xfId="22244"/>
    <cellStyle name="Normal 7 3 2 2 3" xfId="1248"/>
    <cellStyle name="Normal 7 3 2 2 3 2" xfId="8521"/>
    <cellStyle name="Normal 7 3 2 2 3 2 2" xfId="11134"/>
    <cellStyle name="Normal 7 3 2 2 3 2 2 2" xfId="25456"/>
    <cellStyle name="Normal 7 3 2 2 3 2 3" xfId="24208"/>
    <cellStyle name="Normal 7 3 2 2 3 3" xfId="9162"/>
    <cellStyle name="Normal 7 3 2 2 3 3 2" xfId="24834"/>
    <cellStyle name="Normal 7 3 2 2 3 4" xfId="3402"/>
    <cellStyle name="Normal 7 3 2 2 3 5" xfId="22246"/>
    <cellStyle name="Normal 7 3 2 2 4" xfId="8240"/>
    <cellStyle name="Normal 7 3 2 2 4 2" xfId="10853"/>
    <cellStyle name="Normal 7 3 2 2 4 2 2" xfId="25175"/>
    <cellStyle name="Normal 7 3 2 2 4 3" xfId="23927"/>
    <cellStyle name="Normal 7 3 2 2 5" xfId="8806"/>
    <cellStyle name="Normal 7 3 2 2 5 2" xfId="24493"/>
    <cellStyle name="Normal 7 3 2 2 6" xfId="2953"/>
    <cellStyle name="Normal 7 3 2 2 7" xfId="22243"/>
    <cellStyle name="Normal 7 3 2 3" xfId="1249"/>
    <cellStyle name="Normal 7 3 2 3 2" xfId="1250"/>
    <cellStyle name="Normal 7 3 2 3 2 2" xfId="8577"/>
    <cellStyle name="Normal 7 3 2 3 2 2 2" xfId="11190"/>
    <cellStyle name="Normal 7 3 2 3 2 2 2 2" xfId="25512"/>
    <cellStyle name="Normal 7 3 2 3 2 2 3" xfId="24264"/>
    <cellStyle name="Normal 7 3 2 3 2 3" xfId="9218"/>
    <cellStyle name="Normal 7 3 2 3 2 3 2" xfId="24890"/>
    <cellStyle name="Normal 7 3 2 3 2 4" xfId="3458"/>
    <cellStyle name="Normal 7 3 2 3 2 5" xfId="22248"/>
    <cellStyle name="Normal 7 3 2 3 3" xfId="8296"/>
    <cellStyle name="Normal 7 3 2 3 3 2" xfId="10909"/>
    <cellStyle name="Normal 7 3 2 3 3 2 2" xfId="25231"/>
    <cellStyle name="Normal 7 3 2 3 3 3" xfId="23983"/>
    <cellStyle name="Normal 7 3 2 3 4" xfId="8862"/>
    <cellStyle name="Normal 7 3 2 3 4 2" xfId="24549"/>
    <cellStyle name="Normal 7 3 2 3 5" xfId="3009"/>
    <cellStyle name="Normal 7 3 2 3 6" xfId="22247"/>
    <cellStyle name="Normal 7 3 2 4" xfId="1251"/>
    <cellStyle name="Normal 7 3 2 4 2" xfId="1252"/>
    <cellStyle name="Normal 7 3 2 4 2 2" xfId="8632"/>
    <cellStyle name="Normal 7 3 2 4 2 2 2" xfId="11245"/>
    <cellStyle name="Normal 7 3 2 4 2 2 2 2" xfId="25567"/>
    <cellStyle name="Normal 7 3 2 4 2 2 3" xfId="24319"/>
    <cellStyle name="Normal 7 3 2 4 2 3" xfId="9274"/>
    <cellStyle name="Normal 7 3 2 4 2 3 2" xfId="24945"/>
    <cellStyle name="Normal 7 3 2 4 2 4" xfId="3522"/>
    <cellStyle name="Normal 7 3 2 4 2 5" xfId="22250"/>
    <cellStyle name="Normal 7 3 2 4 3" xfId="8351"/>
    <cellStyle name="Normal 7 3 2 4 3 2" xfId="10964"/>
    <cellStyle name="Normal 7 3 2 4 3 2 2" xfId="25286"/>
    <cellStyle name="Normal 7 3 2 4 3 3" xfId="24038"/>
    <cellStyle name="Normal 7 3 2 4 4" xfId="8917"/>
    <cellStyle name="Normal 7 3 2 4 4 2" xfId="24604"/>
    <cellStyle name="Normal 7 3 2 4 5" xfId="3074"/>
    <cellStyle name="Normal 7 3 2 4 6" xfId="22249"/>
    <cellStyle name="Normal 7 3 2 5" xfId="1253"/>
    <cellStyle name="Normal 7 3 2 5 2" xfId="8469"/>
    <cellStyle name="Normal 7 3 2 5 2 2" xfId="11082"/>
    <cellStyle name="Normal 7 3 2 5 2 2 2" xfId="25404"/>
    <cellStyle name="Normal 7 3 2 5 2 3" xfId="24156"/>
    <cellStyle name="Normal 7 3 2 5 3" xfId="9041"/>
    <cellStyle name="Normal 7 3 2 5 3 2" xfId="24722"/>
    <cellStyle name="Normal 7 3 2 5 4" xfId="3233"/>
    <cellStyle name="Normal 7 3 2 5 5" xfId="22251"/>
    <cellStyle name="Normal 7 3 2 6" xfId="1254"/>
    <cellStyle name="Normal 7 3 2 6 2" xfId="8183"/>
    <cellStyle name="Normal 7 3 2 6 2 2" xfId="10796"/>
    <cellStyle name="Normal 7 3 2 6 2 2 2" xfId="25118"/>
    <cellStyle name="Normal 7 3 2 6 2 3" xfId="23870"/>
    <cellStyle name="Normal 7 3 2 6 3" xfId="9105"/>
    <cellStyle name="Normal 7 3 2 6 3 2" xfId="24777"/>
    <cellStyle name="Normal 7 3 2 6 4" xfId="3345"/>
    <cellStyle name="Normal 7 3 2 6 5" xfId="22252"/>
    <cellStyle name="Normal 7 3 2 7" xfId="8128"/>
    <cellStyle name="Normal 7 3 2 7 2" xfId="10741"/>
    <cellStyle name="Normal 7 3 2 7 2 2" xfId="25063"/>
    <cellStyle name="Normal 7 3 2 7 3" xfId="23815"/>
    <cellStyle name="Normal 7 3 2 8" xfId="8749"/>
    <cellStyle name="Normal 7 3 2 8 2" xfId="24436"/>
    <cellStyle name="Normal 7 3 2 9" xfId="2896"/>
    <cellStyle name="Normal 7 3 3" xfId="1255"/>
    <cellStyle name="Normal 7 3 3 2" xfId="1256"/>
    <cellStyle name="Normal 7 3 3 2 2" xfId="1257"/>
    <cellStyle name="Normal 7 3 3 2 2 2" xfId="8663"/>
    <cellStyle name="Normal 7 3 3 2 2 2 2" xfId="11276"/>
    <cellStyle name="Normal 7 3 3 2 2 2 2 2" xfId="25598"/>
    <cellStyle name="Normal 7 3 3 2 2 2 3" xfId="24350"/>
    <cellStyle name="Normal 7 3 3 2 2 3" xfId="9305"/>
    <cellStyle name="Normal 7 3 3 2 2 3 2" xfId="24976"/>
    <cellStyle name="Normal 7 3 3 2 2 4" xfId="3553"/>
    <cellStyle name="Normal 7 3 3 2 2 5" xfId="22255"/>
    <cellStyle name="Normal 7 3 3 2 3" xfId="8382"/>
    <cellStyle name="Normal 7 3 3 2 3 2" xfId="10995"/>
    <cellStyle name="Normal 7 3 3 2 3 2 2" xfId="25317"/>
    <cellStyle name="Normal 7 3 3 2 3 3" xfId="24069"/>
    <cellStyle name="Normal 7 3 3 2 4" xfId="8948"/>
    <cellStyle name="Normal 7 3 3 2 4 2" xfId="24635"/>
    <cellStyle name="Normal 7 3 3 2 5" xfId="3105"/>
    <cellStyle name="Normal 7 3 3 2 6" xfId="22254"/>
    <cellStyle name="Normal 7 3 3 3" xfId="1258"/>
    <cellStyle name="Normal 7 3 3 3 2" xfId="8495"/>
    <cellStyle name="Normal 7 3 3 3 2 2" xfId="11108"/>
    <cellStyle name="Normal 7 3 3 3 2 2 2" xfId="25430"/>
    <cellStyle name="Normal 7 3 3 3 2 3" xfId="24182"/>
    <cellStyle name="Normal 7 3 3 3 3" xfId="9136"/>
    <cellStyle name="Normal 7 3 3 3 3 2" xfId="24808"/>
    <cellStyle name="Normal 7 3 3 3 4" xfId="3376"/>
    <cellStyle name="Normal 7 3 3 3 5" xfId="22256"/>
    <cellStyle name="Normal 7 3 3 4" xfId="8214"/>
    <cellStyle name="Normal 7 3 3 4 2" xfId="10827"/>
    <cellStyle name="Normal 7 3 3 4 2 2" xfId="25149"/>
    <cellStyle name="Normal 7 3 3 4 3" xfId="23901"/>
    <cellStyle name="Normal 7 3 3 5" xfId="8780"/>
    <cellStyle name="Normal 7 3 3 5 2" xfId="24467"/>
    <cellStyle name="Normal 7 3 3 6" xfId="2927"/>
    <cellStyle name="Normal 7 3 3 7" xfId="22253"/>
    <cellStyle name="Normal 7 3 4" xfId="1259"/>
    <cellStyle name="Normal 7 3 4 2" xfId="1260"/>
    <cellStyle name="Normal 7 3 4 2 2" xfId="8551"/>
    <cellStyle name="Normal 7 3 4 2 2 2" xfId="11164"/>
    <cellStyle name="Normal 7 3 4 2 2 2 2" xfId="25486"/>
    <cellStyle name="Normal 7 3 4 2 2 3" xfId="24238"/>
    <cellStyle name="Normal 7 3 4 2 3" xfId="9192"/>
    <cellStyle name="Normal 7 3 4 2 3 2" xfId="24864"/>
    <cellStyle name="Normal 7 3 4 2 4" xfId="3432"/>
    <cellStyle name="Normal 7 3 4 2 5" xfId="22258"/>
    <cellStyle name="Normal 7 3 4 3" xfId="8270"/>
    <cellStyle name="Normal 7 3 4 3 2" xfId="10883"/>
    <cellStyle name="Normal 7 3 4 3 2 2" xfId="25205"/>
    <cellStyle name="Normal 7 3 4 3 3" xfId="23957"/>
    <cellStyle name="Normal 7 3 4 4" xfId="8836"/>
    <cellStyle name="Normal 7 3 4 4 2" xfId="24523"/>
    <cellStyle name="Normal 7 3 4 5" xfId="2983"/>
    <cellStyle name="Normal 7 3 4 6" xfId="22257"/>
    <cellStyle name="Normal 7 3 5" xfId="1261"/>
    <cellStyle name="Normal 7 3 5 2" xfId="1262"/>
    <cellStyle name="Normal 7 3 5 2 2" xfId="8601"/>
    <cellStyle name="Normal 7 3 5 2 2 2" xfId="11214"/>
    <cellStyle name="Normal 7 3 5 2 2 2 2" xfId="25536"/>
    <cellStyle name="Normal 7 3 5 2 2 3" xfId="24288"/>
    <cellStyle name="Normal 7 3 5 2 3" xfId="9243"/>
    <cellStyle name="Normal 7 3 5 2 3 2" xfId="24914"/>
    <cellStyle name="Normal 7 3 5 2 4" xfId="3490"/>
    <cellStyle name="Normal 7 3 5 2 5" xfId="22260"/>
    <cellStyle name="Normal 7 3 5 3" xfId="8320"/>
    <cellStyle name="Normal 7 3 5 3 2" xfId="10933"/>
    <cellStyle name="Normal 7 3 5 3 2 2" xfId="25255"/>
    <cellStyle name="Normal 7 3 5 3 3" xfId="24007"/>
    <cellStyle name="Normal 7 3 5 4" xfId="8886"/>
    <cellStyle name="Normal 7 3 5 4 2" xfId="24573"/>
    <cellStyle name="Normal 7 3 5 5" xfId="3043"/>
    <cellStyle name="Normal 7 3 5 6" xfId="22259"/>
    <cellStyle name="Normal 7 3 6" xfId="1263"/>
    <cellStyle name="Normal 7 3 6 2" xfId="8429"/>
    <cellStyle name="Normal 7 3 6 2 2" xfId="11042"/>
    <cellStyle name="Normal 7 3 6 2 2 2" xfId="25364"/>
    <cellStyle name="Normal 7 3 6 2 3" xfId="24116"/>
    <cellStyle name="Normal 7 3 6 3" xfId="8999"/>
    <cellStyle name="Normal 7 3 6 3 2" xfId="24682"/>
    <cellStyle name="Normal 7 3 6 4" xfId="3173"/>
    <cellStyle name="Normal 7 3 6 5" xfId="22261"/>
    <cellStyle name="Normal 7 3 7" xfId="1264"/>
    <cellStyle name="Normal 7 3 7 2" xfId="8152"/>
    <cellStyle name="Normal 7 3 7 2 2" xfId="10765"/>
    <cellStyle name="Normal 7 3 7 2 2 2" xfId="25087"/>
    <cellStyle name="Normal 7 3 7 2 3" xfId="23839"/>
    <cellStyle name="Normal 7 3 7 3" xfId="9074"/>
    <cellStyle name="Normal 7 3 7 3 2" xfId="24746"/>
    <cellStyle name="Normal 7 3 7 4" xfId="3314"/>
    <cellStyle name="Normal 7 3 7 5" xfId="22262"/>
    <cellStyle name="Normal 7 3 8" xfId="8088"/>
    <cellStyle name="Normal 7 3 8 2" xfId="10701"/>
    <cellStyle name="Normal 7 3 8 2 2" xfId="25023"/>
    <cellStyle name="Normal 7 3 8 3" xfId="23775"/>
    <cellStyle name="Normal 7 3 9" xfId="8718"/>
    <cellStyle name="Normal 7 3 9 2" xfId="24405"/>
    <cellStyle name="Normal 7 4" xfId="1265"/>
    <cellStyle name="Normal 7 4 10" xfId="22263"/>
    <cellStyle name="Normal 7 4 2" xfId="1266"/>
    <cellStyle name="Normal 7 4 2 2" xfId="1267"/>
    <cellStyle name="Normal 7 4 2 2 2" xfId="1268"/>
    <cellStyle name="Normal 7 4 2 2 2 2" xfId="8674"/>
    <cellStyle name="Normal 7 4 2 2 2 2 2" xfId="11287"/>
    <cellStyle name="Normal 7 4 2 2 2 2 2 2" xfId="25609"/>
    <cellStyle name="Normal 7 4 2 2 2 2 3" xfId="24361"/>
    <cellStyle name="Normal 7 4 2 2 2 3" xfId="9316"/>
    <cellStyle name="Normal 7 4 2 2 2 3 2" xfId="24987"/>
    <cellStyle name="Normal 7 4 2 2 2 4" xfId="3564"/>
    <cellStyle name="Normal 7 4 2 2 2 5" xfId="22266"/>
    <cellStyle name="Normal 7 4 2 2 3" xfId="8393"/>
    <cellStyle name="Normal 7 4 2 2 3 2" xfId="11006"/>
    <cellStyle name="Normal 7 4 2 2 3 2 2" xfId="25328"/>
    <cellStyle name="Normal 7 4 2 2 3 3" xfId="24080"/>
    <cellStyle name="Normal 7 4 2 2 4" xfId="8959"/>
    <cellStyle name="Normal 7 4 2 2 4 2" xfId="24646"/>
    <cellStyle name="Normal 7 4 2 2 5" xfId="3116"/>
    <cellStyle name="Normal 7 4 2 2 6" xfId="22265"/>
    <cellStyle name="Normal 7 4 2 3" xfId="1269"/>
    <cellStyle name="Normal 7 4 2 3 2" xfId="8506"/>
    <cellStyle name="Normal 7 4 2 3 2 2" xfId="11119"/>
    <cellStyle name="Normal 7 4 2 3 2 2 2" xfId="25441"/>
    <cellStyle name="Normal 7 4 2 3 2 3" xfId="24193"/>
    <cellStyle name="Normal 7 4 2 3 3" xfId="9147"/>
    <cellStyle name="Normal 7 4 2 3 3 2" xfId="24819"/>
    <cellStyle name="Normal 7 4 2 3 4" xfId="3387"/>
    <cellStyle name="Normal 7 4 2 3 5" xfId="22267"/>
    <cellStyle name="Normal 7 4 2 4" xfId="8225"/>
    <cellStyle name="Normal 7 4 2 4 2" xfId="10838"/>
    <cellStyle name="Normal 7 4 2 4 2 2" xfId="25160"/>
    <cellStyle name="Normal 7 4 2 4 3" xfId="23912"/>
    <cellStyle name="Normal 7 4 2 5" xfId="8791"/>
    <cellStyle name="Normal 7 4 2 5 2" xfId="24478"/>
    <cellStyle name="Normal 7 4 2 6" xfId="2938"/>
    <cellStyle name="Normal 7 4 2 7" xfId="22264"/>
    <cellStyle name="Normal 7 4 3" xfId="1270"/>
    <cellStyle name="Normal 7 4 3 2" xfId="1271"/>
    <cellStyle name="Normal 7 4 3 2 2" xfId="8562"/>
    <cellStyle name="Normal 7 4 3 2 2 2" xfId="11175"/>
    <cellStyle name="Normal 7 4 3 2 2 2 2" xfId="25497"/>
    <cellStyle name="Normal 7 4 3 2 2 3" xfId="24249"/>
    <cellStyle name="Normal 7 4 3 2 3" xfId="9203"/>
    <cellStyle name="Normal 7 4 3 2 3 2" xfId="24875"/>
    <cellStyle name="Normal 7 4 3 2 4" xfId="3443"/>
    <cellStyle name="Normal 7 4 3 2 5" xfId="22269"/>
    <cellStyle name="Normal 7 4 3 3" xfId="8281"/>
    <cellStyle name="Normal 7 4 3 3 2" xfId="10894"/>
    <cellStyle name="Normal 7 4 3 3 2 2" xfId="25216"/>
    <cellStyle name="Normal 7 4 3 3 3" xfId="23968"/>
    <cellStyle name="Normal 7 4 3 4" xfId="8847"/>
    <cellStyle name="Normal 7 4 3 4 2" xfId="24534"/>
    <cellStyle name="Normal 7 4 3 5" xfId="2994"/>
    <cellStyle name="Normal 7 4 3 6" xfId="22268"/>
    <cellStyle name="Normal 7 4 4" xfId="1272"/>
    <cellStyle name="Normal 7 4 4 2" xfId="1273"/>
    <cellStyle name="Normal 7 4 4 2 2" xfId="8612"/>
    <cellStyle name="Normal 7 4 4 2 2 2" xfId="11225"/>
    <cellStyle name="Normal 7 4 4 2 2 2 2" xfId="25547"/>
    <cellStyle name="Normal 7 4 4 2 2 3" xfId="24299"/>
    <cellStyle name="Normal 7 4 4 2 3" xfId="9254"/>
    <cellStyle name="Normal 7 4 4 2 3 2" xfId="24925"/>
    <cellStyle name="Normal 7 4 4 2 4" xfId="3501"/>
    <cellStyle name="Normal 7 4 4 2 5" xfId="22271"/>
    <cellStyle name="Normal 7 4 4 3" xfId="8331"/>
    <cellStyle name="Normal 7 4 4 3 2" xfId="10944"/>
    <cellStyle name="Normal 7 4 4 3 2 2" xfId="25266"/>
    <cellStyle name="Normal 7 4 4 3 3" xfId="24018"/>
    <cellStyle name="Normal 7 4 4 4" xfId="8897"/>
    <cellStyle name="Normal 7 4 4 4 2" xfId="24584"/>
    <cellStyle name="Normal 7 4 4 5" xfId="3054"/>
    <cellStyle name="Normal 7 4 4 6" xfId="22270"/>
    <cellStyle name="Normal 7 4 5" xfId="1274"/>
    <cellStyle name="Normal 7 4 5 2" xfId="8455"/>
    <cellStyle name="Normal 7 4 5 2 2" xfId="11068"/>
    <cellStyle name="Normal 7 4 5 2 2 2" xfId="25390"/>
    <cellStyle name="Normal 7 4 5 2 3" xfId="24142"/>
    <cellStyle name="Normal 7 4 5 3" xfId="9027"/>
    <cellStyle name="Normal 7 4 5 3 2" xfId="24708"/>
    <cellStyle name="Normal 7 4 5 4" xfId="3218"/>
    <cellStyle name="Normal 7 4 5 5" xfId="22272"/>
    <cellStyle name="Normal 7 4 6" xfId="1275"/>
    <cellStyle name="Normal 7 4 6 2" xfId="8163"/>
    <cellStyle name="Normal 7 4 6 2 2" xfId="10776"/>
    <cellStyle name="Normal 7 4 6 2 2 2" xfId="25098"/>
    <cellStyle name="Normal 7 4 6 2 3" xfId="23850"/>
    <cellStyle name="Normal 7 4 6 3" xfId="9085"/>
    <cellStyle name="Normal 7 4 6 3 2" xfId="24757"/>
    <cellStyle name="Normal 7 4 6 4" xfId="3325"/>
    <cellStyle name="Normal 7 4 6 5" xfId="22273"/>
    <cellStyle name="Normal 7 4 7" xfId="8114"/>
    <cellStyle name="Normal 7 4 7 2" xfId="10727"/>
    <cellStyle name="Normal 7 4 7 2 2" xfId="25049"/>
    <cellStyle name="Normal 7 4 7 3" xfId="23801"/>
    <cellStyle name="Normal 7 4 8" xfId="8729"/>
    <cellStyle name="Normal 7 4 8 2" xfId="24416"/>
    <cellStyle name="Normal 7 4 9" xfId="2874"/>
    <cellStyle name="Normal 7 5" xfId="1276"/>
    <cellStyle name="Normal 7 5 10" xfId="22274"/>
    <cellStyle name="Normal 7 5 2" xfId="1277"/>
    <cellStyle name="Normal 7 5 2 2" xfId="1278"/>
    <cellStyle name="Normal 7 5 2 2 2" xfId="1279"/>
    <cellStyle name="Normal 7 5 2 2 2 2" xfId="8653"/>
    <cellStyle name="Normal 7 5 2 2 2 2 2" xfId="11266"/>
    <cellStyle name="Normal 7 5 2 2 2 2 2 2" xfId="25588"/>
    <cellStyle name="Normal 7 5 2 2 2 2 3" xfId="24340"/>
    <cellStyle name="Normal 7 5 2 2 2 3" xfId="9295"/>
    <cellStyle name="Normal 7 5 2 2 2 3 2" xfId="24966"/>
    <cellStyle name="Normal 7 5 2 2 2 4" xfId="3543"/>
    <cellStyle name="Normal 7 5 2 2 2 5" xfId="22277"/>
    <cellStyle name="Normal 7 5 2 2 3" xfId="8372"/>
    <cellStyle name="Normal 7 5 2 2 3 2" xfId="10985"/>
    <cellStyle name="Normal 7 5 2 2 3 2 2" xfId="25307"/>
    <cellStyle name="Normal 7 5 2 2 3 3" xfId="24059"/>
    <cellStyle name="Normal 7 5 2 2 4" xfId="8938"/>
    <cellStyle name="Normal 7 5 2 2 4 2" xfId="24625"/>
    <cellStyle name="Normal 7 5 2 2 5" xfId="3095"/>
    <cellStyle name="Normal 7 5 2 2 6" xfId="22276"/>
    <cellStyle name="Normal 7 5 2 3" xfId="1280"/>
    <cellStyle name="Normal 7 5 2 3 2" xfId="8486"/>
    <cellStyle name="Normal 7 5 2 3 2 2" xfId="11099"/>
    <cellStyle name="Normal 7 5 2 3 2 2 2" xfId="25421"/>
    <cellStyle name="Normal 7 5 2 3 2 3" xfId="24173"/>
    <cellStyle name="Normal 7 5 2 3 3" xfId="9126"/>
    <cellStyle name="Normal 7 5 2 3 3 2" xfId="24798"/>
    <cellStyle name="Normal 7 5 2 3 4" xfId="3366"/>
    <cellStyle name="Normal 7 5 2 3 5" xfId="22278"/>
    <cellStyle name="Normal 7 5 2 4" xfId="8204"/>
    <cellStyle name="Normal 7 5 2 4 2" xfId="10817"/>
    <cellStyle name="Normal 7 5 2 4 2 2" xfId="25139"/>
    <cellStyle name="Normal 7 5 2 4 3" xfId="23891"/>
    <cellStyle name="Normal 7 5 2 5" xfId="8770"/>
    <cellStyle name="Normal 7 5 2 5 2" xfId="24457"/>
    <cellStyle name="Normal 7 5 2 6" xfId="2917"/>
    <cellStyle name="Normal 7 5 2 7" xfId="22275"/>
    <cellStyle name="Normal 7 5 3" xfId="1281"/>
    <cellStyle name="Normal 7 5 3 2" xfId="1282"/>
    <cellStyle name="Normal 7 5 3 2 2" xfId="8541"/>
    <cellStyle name="Normal 7 5 3 2 2 2" xfId="11154"/>
    <cellStyle name="Normal 7 5 3 2 2 2 2" xfId="25476"/>
    <cellStyle name="Normal 7 5 3 2 2 3" xfId="24228"/>
    <cellStyle name="Normal 7 5 3 2 3" xfId="9182"/>
    <cellStyle name="Normal 7 5 3 2 3 2" xfId="24854"/>
    <cellStyle name="Normal 7 5 3 2 4" xfId="3422"/>
    <cellStyle name="Normal 7 5 3 2 5" xfId="22280"/>
    <cellStyle name="Normal 7 5 3 3" xfId="8260"/>
    <cellStyle name="Normal 7 5 3 3 2" xfId="10873"/>
    <cellStyle name="Normal 7 5 3 3 2 2" xfId="25195"/>
    <cellStyle name="Normal 7 5 3 3 3" xfId="23947"/>
    <cellStyle name="Normal 7 5 3 4" xfId="8826"/>
    <cellStyle name="Normal 7 5 3 4 2" xfId="24513"/>
    <cellStyle name="Normal 7 5 3 5" xfId="2973"/>
    <cellStyle name="Normal 7 5 3 6" xfId="22279"/>
    <cellStyle name="Normal 7 5 4" xfId="1283"/>
    <cellStyle name="Normal 7 5 4 2" xfId="1284"/>
    <cellStyle name="Normal 7 5 4 2 2" xfId="8622"/>
    <cellStyle name="Normal 7 5 4 2 2 2" xfId="11235"/>
    <cellStyle name="Normal 7 5 4 2 2 2 2" xfId="25557"/>
    <cellStyle name="Normal 7 5 4 2 2 3" xfId="24309"/>
    <cellStyle name="Normal 7 5 4 2 3" xfId="9264"/>
    <cellStyle name="Normal 7 5 4 2 3 2" xfId="24935"/>
    <cellStyle name="Normal 7 5 4 2 4" xfId="3512"/>
    <cellStyle name="Normal 7 5 4 2 5" xfId="22282"/>
    <cellStyle name="Normal 7 5 4 3" xfId="8341"/>
    <cellStyle name="Normal 7 5 4 3 2" xfId="10954"/>
    <cellStyle name="Normal 7 5 4 3 2 2" xfId="25276"/>
    <cellStyle name="Normal 7 5 4 3 3" xfId="24028"/>
    <cellStyle name="Normal 7 5 4 4" xfId="8907"/>
    <cellStyle name="Normal 7 5 4 4 2" xfId="24594"/>
    <cellStyle name="Normal 7 5 4 5" xfId="3064"/>
    <cellStyle name="Normal 7 5 4 6" xfId="22281"/>
    <cellStyle name="Normal 7 5 5" xfId="1285"/>
    <cellStyle name="Normal 7 5 5 2" xfId="8438"/>
    <cellStyle name="Normal 7 5 5 2 2" xfId="11051"/>
    <cellStyle name="Normal 7 5 5 2 2 2" xfId="25373"/>
    <cellStyle name="Normal 7 5 5 2 3" xfId="24125"/>
    <cellStyle name="Normal 7 5 5 3" xfId="9010"/>
    <cellStyle name="Normal 7 5 5 3 2" xfId="24691"/>
    <cellStyle name="Normal 7 5 5 4" xfId="3201"/>
    <cellStyle name="Normal 7 5 5 5" xfId="22283"/>
    <cellStyle name="Normal 7 5 6" xfId="1286"/>
    <cellStyle name="Normal 7 5 6 2" xfId="8173"/>
    <cellStyle name="Normal 7 5 6 2 2" xfId="10786"/>
    <cellStyle name="Normal 7 5 6 2 2 2" xfId="25108"/>
    <cellStyle name="Normal 7 5 6 2 3" xfId="23860"/>
    <cellStyle name="Normal 7 5 6 3" xfId="9095"/>
    <cellStyle name="Normal 7 5 6 3 2" xfId="24767"/>
    <cellStyle name="Normal 7 5 6 4" xfId="3335"/>
    <cellStyle name="Normal 7 5 6 5" xfId="22284"/>
    <cellStyle name="Normal 7 5 7" xfId="8097"/>
    <cellStyle name="Normal 7 5 7 2" xfId="10710"/>
    <cellStyle name="Normal 7 5 7 2 2" xfId="25032"/>
    <cellStyle name="Normal 7 5 7 3" xfId="23784"/>
    <cellStyle name="Normal 7 5 8" xfId="8739"/>
    <cellStyle name="Normal 7 5 8 2" xfId="24426"/>
    <cellStyle name="Normal 7 5 9" xfId="2886"/>
    <cellStyle name="Normal 7 6" xfId="1287"/>
    <cellStyle name="Normal 7 6 2" xfId="1288"/>
    <cellStyle name="Normal 7 6 2 2" xfId="1289"/>
    <cellStyle name="Normal 7 6 2 2 2" xfId="8643"/>
    <cellStyle name="Normal 7 6 2 2 2 2" xfId="11256"/>
    <cellStyle name="Normal 7 6 2 2 2 2 2" xfId="25578"/>
    <cellStyle name="Normal 7 6 2 2 2 3" xfId="24330"/>
    <cellStyle name="Normal 7 6 2 2 3" xfId="9285"/>
    <cellStyle name="Normal 7 6 2 2 3 2" xfId="24956"/>
    <cellStyle name="Normal 7 6 2 2 4" xfId="3533"/>
    <cellStyle name="Normal 7 6 2 2 5" xfId="22287"/>
    <cellStyle name="Normal 7 6 2 3" xfId="8362"/>
    <cellStyle name="Normal 7 6 2 3 2" xfId="10975"/>
    <cellStyle name="Normal 7 6 2 3 2 2" xfId="25297"/>
    <cellStyle name="Normal 7 6 2 3 3" xfId="24049"/>
    <cellStyle name="Normal 7 6 2 4" xfId="8928"/>
    <cellStyle name="Normal 7 6 2 4 2" xfId="24615"/>
    <cellStyle name="Normal 7 6 2 5" xfId="3085"/>
    <cellStyle name="Normal 7 6 2 6" xfId="22286"/>
    <cellStyle name="Normal 7 6 3" xfId="1290"/>
    <cellStyle name="Normal 7 6 3 2" xfId="8479"/>
    <cellStyle name="Normal 7 6 3 2 2" xfId="11092"/>
    <cellStyle name="Normal 7 6 3 2 2 2" xfId="25414"/>
    <cellStyle name="Normal 7 6 3 2 3" xfId="24166"/>
    <cellStyle name="Normal 7 6 3 3" xfId="9116"/>
    <cellStyle name="Normal 7 6 3 3 2" xfId="24788"/>
    <cellStyle name="Normal 7 6 3 4" xfId="3356"/>
    <cellStyle name="Normal 7 6 3 5" xfId="22288"/>
    <cellStyle name="Normal 7 6 4" xfId="8194"/>
    <cellStyle name="Normal 7 6 4 2" xfId="10807"/>
    <cellStyle name="Normal 7 6 4 2 2" xfId="25129"/>
    <cellStyle name="Normal 7 6 4 3" xfId="23881"/>
    <cellStyle name="Normal 7 6 5" xfId="8760"/>
    <cellStyle name="Normal 7 6 5 2" xfId="24447"/>
    <cellStyle name="Normal 7 6 6" xfId="2907"/>
    <cellStyle name="Normal 7 6 7" xfId="22285"/>
    <cellStyle name="Normal 7 7" xfId="1291"/>
    <cellStyle name="Normal 7 7 2" xfId="1292"/>
    <cellStyle name="Normal 7 7 2 2" xfId="8531"/>
    <cellStyle name="Normal 7 7 2 2 2" xfId="11144"/>
    <cellStyle name="Normal 7 7 2 2 2 2" xfId="25466"/>
    <cellStyle name="Normal 7 7 2 2 3" xfId="24218"/>
    <cellStyle name="Normal 7 7 2 3" xfId="9172"/>
    <cellStyle name="Normal 7 7 2 3 2" xfId="24844"/>
    <cellStyle name="Normal 7 7 2 4" xfId="3412"/>
    <cellStyle name="Normal 7 7 2 5" xfId="22290"/>
    <cellStyle name="Normal 7 7 3" xfId="8250"/>
    <cellStyle name="Normal 7 7 3 2" xfId="10863"/>
    <cellStyle name="Normal 7 7 3 2 2" xfId="25185"/>
    <cellStyle name="Normal 7 7 3 3" xfId="23937"/>
    <cellStyle name="Normal 7 7 4" xfId="8816"/>
    <cellStyle name="Normal 7 7 4 2" xfId="24503"/>
    <cellStyle name="Normal 7 7 5" xfId="2963"/>
    <cellStyle name="Normal 7 7 6" xfId="22289"/>
    <cellStyle name="Normal 7 8" xfId="1293"/>
    <cellStyle name="Normal 7 8 2" xfId="1294"/>
    <cellStyle name="Normal 7 8 2 2" xfId="8591"/>
    <cellStyle name="Normal 7 8 2 2 2" xfId="11204"/>
    <cellStyle name="Normal 7 8 2 2 2 2" xfId="25526"/>
    <cellStyle name="Normal 7 8 2 2 3" xfId="24278"/>
    <cellStyle name="Normal 7 8 2 3" xfId="9233"/>
    <cellStyle name="Normal 7 8 2 3 2" xfId="24904"/>
    <cellStyle name="Normal 7 8 2 4" xfId="3480"/>
    <cellStyle name="Normal 7 8 2 5" xfId="22292"/>
    <cellStyle name="Normal 7 8 3" xfId="8310"/>
    <cellStyle name="Normal 7 8 3 2" xfId="10923"/>
    <cellStyle name="Normal 7 8 3 2 2" xfId="25245"/>
    <cellStyle name="Normal 7 8 3 3" xfId="23997"/>
    <cellStyle name="Normal 7 8 4" xfId="8876"/>
    <cellStyle name="Normal 7 8 4 2" xfId="24563"/>
    <cellStyle name="Normal 7 8 5" xfId="3033"/>
    <cellStyle name="Normal 7 8 6" xfId="22291"/>
    <cellStyle name="Normal 7 9" xfId="1295"/>
    <cellStyle name="Normal 7 9 2" xfId="8418"/>
    <cellStyle name="Normal 7 9 2 2" xfId="11031"/>
    <cellStyle name="Normal 7 9 2 2 2" xfId="25353"/>
    <cellStyle name="Normal 7 9 2 3" xfId="24105"/>
    <cellStyle name="Normal 7 9 3" xfId="8988"/>
    <cellStyle name="Normal 7 9 3 2" xfId="24671"/>
    <cellStyle name="Normal 7 9 4" xfId="3161"/>
    <cellStyle name="Normal 7 9 5" xfId="22293"/>
    <cellStyle name="Normal 8" xfId="1296"/>
    <cellStyle name="Normal 8 10" xfId="8724"/>
    <cellStyle name="Normal 8 10 2" xfId="24411"/>
    <cellStyle name="Normal 8 11" xfId="2869"/>
    <cellStyle name="Normal 8 12" xfId="22294"/>
    <cellStyle name="Normal 8 2" xfId="1297"/>
    <cellStyle name="Normal 8 2 10" xfId="22295"/>
    <cellStyle name="Normal 8 2 2" xfId="1298"/>
    <cellStyle name="Normal 8 2 2 2" xfId="1299"/>
    <cellStyle name="Normal 8 2 2 2 2" xfId="1300"/>
    <cellStyle name="Normal 8 2 2 2 2 2" xfId="8675"/>
    <cellStyle name="Normal 8 2 2 2 2 2 2" xfId="11288"/>
    <cellStyle name="Normal 8 2 2 2 2 2 2 2" xfId="25610"/>
    <cellStyle name="Normal 8 2 2 2 2 2 3" xfId="24362"/>
    <cellStyle name="Normal 8 2 2 2 2 3" xfId="9317"/>
    <cellStyle name="Normal 8 2 2 2 2 3 2" xfId="24988"/>
    <cellStyle name="Normal 8 2 2 2 2 4" xfId="3565"/>
    <cellStyle name="Normal 8 2 2 2 2 5" xfId="22298"/>
    <cellStyle name="Normal 8 2 2 2 3" xfId="8394"/>
    <cellStyle name="Normal 8 2 2 2 3 2" xfId="11007"/>
    <cellStyle name="Normal 8 2 2 2 3 2 2" xfId="25329"/>
    <cellStyle name="Normal 8 2 2 2 3 3" xfId="24081"/>
    <cellStyle name="Normal 8 2 2 2 4" xfId="8960"/>
    <cellStyle name="Normal 8 2 2 2 4 2" xfId="24647"/>
    <cellStyle name="Normal 8 2 2 2 5" xfId="3117"/>
    <cellStyle name="Normal 8 2 2 2 6" xfId="22297"/>
    <cellStyle name="Normal 8 2 2 3" xfId="1301"/>
    <cellStyle name="Normal 8 2 2 3 2" xfId="8507"/>
    <cellStyle name="Normal 8 2 2 3 2 2" xfId="11120"/>
    <cellStyle name="Normal 8 2 2 3 2 2 2" xfId="25442"/>
    <cellStyle name="Normal 8 2 2 3 2 3" xfId="24194"/>
    <cellStyle name="Normal 8 2 2 3 3" xfId="9148"/>
    <cellStyle name="Normal 8 2 2 3 3 2" xfId="24820"/>
    <cellStyle name="Normal 8 2 2 3 4" xfId="3388"/>
    <cellStyle name="Normal 8 2 2 3 5" xfId="22299"/>
    <cellStyle name="Normal 8 2 2 4" xfId="8226"/>
    <cellStyle name="Normal 8 2 2 4 2" xfId="10839"/>
    <cellStyle name="Normal 8 2 2 4 2 2" xfId="25161"/>
    <cellStyle name="Normal 8 2 2 4 3" xfId="23913"/>
    <cellStyle name="Normal 8 2 2 5" xfId="8792"/>
    <cellStyle name="Normal 8 2 2 5 2" xfId="24479"/>
    <cellStyle name="Normal 8 2 2 6" xfId="2939"/>
    <cellStyle name="Normal 8 2 2 7" xfId="22296"/>
    <cellStyle name="Normal 8 2 3" xfId="1302"/>
    <cellStyle name="Normal 8 2 3 2" xfId="1303"/>
    <cellStyle name="Normal 8 2 3 2 2" xfId="8563"/>
    <cellStyle name="Normal 8 2 3 2 2 2" xfId="11176"/>
    <cellStyle name="Normal 8 2 3 2 2 2 2" xfId="25498"/>
    <cellStyle name="Normal 8 2 3 2 2 3" xfId="24250"/>
    <cellStyle name="Normal 8 2 3 2 3" xfId="9204"/>
    <cellStyle name="Normal 8 2 3 2 3 2" xfId="24876"/>
    <cellStyle name="Normal 8 2 3 2 4" xfId="3444"/>
    <cellStyle name="Normal 8 2 3 2 5" xfId="22301"/>
    <cellStyle name="Normal 8 2 3 3" xfId="8282"/>
    <cellStyle name="Normal 8 2 3 3 2" xfId="10895"/>
    <cellStyle name="Normal 8 2 3 3 2 2" xfId="25217"/>
    <cellStyle name="Normal 8 2 3 3 3" xfId="23969"/>
    <cellStyle name="Normal 8 2 3 4" xfId="8848"/>
    <cellStyle name="Normal 8 2 3 4 2" xfId="24535"/>
    <cellStyle name="Normal 8 2 3 5" xfId="2995"/>
    <cellStyle name="Normal 8 2 3 6" xfId="22300"/>
    <cellStyle name="Normal 8 2 4" xfId="1304"/>
    <cellStyle name="Normal 8 2 4 2" xfId="1305"/>
    <cellStyle name="Normal 8 2 4 2 2" xfId="8613"/>
    <cellStyle name="Normal 8 2 4 2 2 2" xfId="11226"/>
    <cellStyle name="Normal 8 2 4 2 2 2 2" xfId="25548"/>
    <cellStyle name="Normal 8 2 4 2 2 3" xfId="24300"/>
    <cellStyle name="Normal 8 2 4 2 3" xfId="9255"/>
    <cellStyle name="Normal 8 2 4 2 3 2" xfId="24926"/>
    <cellStyle name="Normal 8 2 4 2 4" xfId="3502"/>
    <cellStyle name="Normal 8 2 4 2 5" xfId="22303"/>
    <cellStyle name="Normal 8 2 4 3" xfId="8332"/>
    <cellStyle name="Normal 8 2 4 3 2" xfId="10945"/>
    <cellStyle name="Normal 8 2 4 3 2 2" xfId="25267"/>
    <cellStyle name="Normal 8 2 4 3 3" xfId="24019"/>
    <cellStyle name="Normal 8 2 4 4" xfId="8898"/>
    <cellStyle name="Normal 8 2 4 4 2" xfId="24585"/>
    <cellStyle name="Normal 8 2 4 5" xfId="3055"/>
    <cellStyle name="Normal 8 2 4 6" xfId="22302"/>
    <cellStyle name="Normal 8 2 5" xfId="1306"/>
    <cellStyle name="Normal 8 2 5 2" xfId="8430"/>
    <cellStyle name="Normal 8 2 5 2 2" xfId="11043"/>
    <cellStyle name="Normal 8 2 5 2 2 2" xfId="25365"/>
    <cellStyle name="Normal 8 2 5 2 3" xfId="24117"/>
    <cellStyle name="Normal 8 2 5 3" xfId="9000"/>
    <cellStyle name="Normal 8 2 5 3 2" xfId="24683"/>
    <cellStyle name="Normal 8 2 5 4" xfId="3174"/>
    <cellStyle name="Normal 8 2 5 5" xfId="22304"/>
    <cellStyle name="Normal 8 2 6" xfId="1307"/>
    <cellStyle name="Normal 8 2 6 2" xfId="8164"/>
    <cellStyle name="Normal 8 2 6 2 2" xfId="10777"/>
    <cellStyle name="Normal 8 2 6 2 2 2" xfId="25099"/>
    <cellStyle name="Normal 8 2 6 2 3" xfId="23851"/>
    <cellStyle name="Normal 8 2 6 3" xfId="9086"/>
    <cellStyle name="Normal 8 2 6 3 2" xfId="24758"/>
    <cellStyle name="Normal 8 2 6 4" xfId="3326"/>
    <cellStyle name="Normal 8 2 6 5" xfId="22305"/>
    <cellStyle name="Normal 8 2 7" xfId="8089"/>
    <cellStyle name="Normal 8 2 7 2" xfId="10702"/>
    <cellStyle name="Normal 8 2 7 2 2" xfId="25024"/>
    <cellStyle name="Normal 8 2 7 3" xfId="23776"/>
    <cellStyle name="Normal 8 2 8" xfId="8730"/>
    <cellStyle name="Normal 8 2 8 2" xfId="24417"/>
    <cellStyle name="Normal 8 2 9" xfId="2875"/>
    <cellStyle name="Normal 8 3" xfId="1308"/>
    <cellStyle name="Normal 8 3 10" xfId="22306"/>
    <cellStyle name="Normal 8 3 2" xfId="1309"/>
    <cellStyle name="Normal 8 3 2 2" xfId="1310"/>
    <cellStyle name="Normal 8 3 2 2 2" xfId="1311"/>
    <cellStyle name="Normal 8 3 2 2 2 2" xfId="8669"/>
    <cellStyle name="Normal 8 3 2 2 2 2 2" xfId="11282"/>
    <cellStyle name="Normal 8 3 2 2 2 2 2 2" xfId="25604"/>
    <cellStyle name="Normal 8 3 2 2 2 2 3" xfId="24356"/>
    <cellStyle name="Normal 8 3 2 2 2 3" xfId="9311"/>
    <cellStyle name="Normal 8 3 2 2 2 3 2" xfId="24982"/>
    <cellStyle name="Normal 8 3 2 2 2 4" xfId="3559"/>
    <cellStyle name="Normal 8 3 2 2 2 5" xfId="22309"/>
    <cellStyle name="Normal 8 3 2 2 3" xfId="8388"/>
    <cellStyle name="Normal 8 3 2 2 3 2" xfId="11001"/>
    <cellStyle name="Normal 8 3 2 2 3 2 2" xfId="25323"/>
    <cellStyle name="Normal 8 3 2 2 3 3" xfId="24075"/>
    <cellStyle name="Normal 8 3 2 2 4" xfId="8954"/>
    <cellStyle name="Normal 8 3 2 2 4 2" xfId="24641"/>
    <cellStyle name="Normal 8 3 2 2 5" xfId="3111"/>
    <cellStyle name="Normal 8 3 2 2 6" xfId="22308"/>
    <cellStyle name="Normal 8 3 2 3" xfId="1312"/>
    <cellStyle name="Normal 8 3 2 3 2" xfId="8501"/>
    <cellStyle name="Normal 8 3 2 3 2 2" xfId="11114"/>
    <cellStyle name="Normal 8 3 2 3 2 2 2" xfId="25436"/>
    <cellStyle name="Normal 8 3 2 3 2 3" xfId="24188"/>
    <cellStyle name="Normal 8 3 2 3 3" xfId="9142"/>
    <cellStyle name="Normal 8 3 2 3 3 2" xfId="24814"/>
    <cellStyle name="Normal 8 3 2 3 4" xfId="3382"/>
    <cellStyle name="Normal 8 3 2 3 5" xfId="22310"/>
    <cellStyle name="Normal 8 3 2 4" xfId="8220"/>
    <cellStyle name="Normal 8 3 2 4 2" xfId="10833"/>
    <cellStyle name="Normal 8 3 2 4 2 2" xfId="25155"/>
    <cellStyle name="Normal 8 3 2 4 3" xfId="23907"/>
    <cellStyle name="Normal 8 3 2 5" xfId="8786"/>
    <cellStyle name="Normal 8 3 2 5 2" xfId="24473"/>
    <cellStyle name="Normal 8 3 2 6" xfId="2933"/>
    <cellStyle name="Normal 8 3 2 7" xfId="22307"/>
    <cellStyle name="Normal 8 3 3" xfId="1313"/>
    <cellStyle name="Normal 8 3 3 2" xfId="1314"/>
    <cellStyle name="Normal 8 3 3 2 2" xfId="8557"/>
    <cellStyle name="Normal 8 3 3 2 2 2" xfId="11170"/>
    <cellStyle name="Normal 8 3 3 2 2 2 2" xfId="25492"/>
    <cellStyle name="Normal 8 3 3 2 2 3" xfId="24244"/>
    <cellStyle name="Normal 8 3 3 2 3" xfId="9198"/>
    <cellStyle name="Normal 8 3 3 2 3 2" xfId="24870"/>
    <cellStyle name="Normal 8 3 3 2 4" xfId="3438"/>
    <cellStyle name="Normal 8 3 3 2 5" xfId="22312"/>
    <cellStyle name="Normal 8 3 3 3" xfId="8276"/>
    <cellStyle name="Normal 8 3 3 3 2" xfId="10889"/>
    <cellStyle name="Normal 8 3 3 3 2 2" xfId="25211"/>
    <cellStyle name="Normal 8 3 3 3 3" xfId="23963"/>
    <cellStyle name="Normal 8 3 3 4" xfId="8842"/>
    <cellStyle name="Normal 8 3 3 4 2" xfId="24529"/>
    <cellStyle name="Normal 8 3 3 5" xfId="2989"/>
    <cellStyle name="Normal 8 3 3 6" xfId="22311"/>
    <cellStyle name="Normal 8 3 4" xfId="1315"/>
    <cellStyle name="Normal 8 3 4 2" xfId="1316"/>
    <cellStyle name="Normal 8 3 4 2 2" xfId="8638"/>
    <cellStyle name="Normal 8 3 4 2 2 2" xfId="11251"/>
    <cellStyle name="Normal 8 3 4 2 2 2 2" xfId="25573"/>
    <cellStyle name="Normal 8 3 4 2 2 3" xfId="24325"/>
    <cellStyle name="Normal 8 3 4 2 3" xfId="9280"/>
    <cellStyle name="Normal 8 3 4 2 3 2" xfId="24951"/>
    <cellStyle name="Normal 8 3 4 2 4" xfId="3528"/>
    <cellStyle name="Normal 8 3 4 2 5" xfId="22314"/>
    <cellStyle name="Normal 8 3 4 3" xfId="8357"/>
    <cellStyle name="Normal 8 3 4 3 2" xfId="10970"/>
    <cellStyle name="Normal 8 3 4 3 2 2" xfId="25292"/>
    <cellStyle name="Normal 8 3 4 3 3" xfId="24044"/>
    <cellStyle name="Normal 8 3 4 4" xfId="8923"/>
    <cellStyle name="Normal 8 3 4 4 2" xfId="24610"/>
    <cellStyle name="Normal 8 3 4 5" xfId="3080"/>
    <cellStyle name="Normal 8 3 4 6" xfId="22313"/>
    <cellStyle name="Normal 8 3 5" xfId="1317"/>
    <cellStyle name="Normal 8 3 5 2" xfId="8450"/>
    <cellStyle name="Normal 8 3 5 2 2" xfId="11063"/>
    <cellStyle name="Normal 8 3 5 2 2 2" xfId="25385"/>
    <cellStyle name="Normal 8 3 5 2 3" xfId="24137"/>
    <cellStyle name="Normal 8 3 5 3" xfId="9022"/>
    <cellStyle name="Normal 8 3 5 3 2" xfId="24703"/>
    <cellStyle name="Normal 8 3 5 4" xfId="3213"/>
    <cellStyle name="Normal 8 3 5 5" xfId="22315"/>
    <cellStyle name="Normal 8 3 6" xfId="1318"/>
    <cellStyle name="Normal 8 3 6 2" xfId="8189"/>
    <cellStyle name="Normal 8 3 6 2 2" xfId="10802"/>
    <cellStyle name="Normal 8 3 6 2 2 2" xfId="25124"/>
    <cellStyle name="Normal 8 3 6 2 3" xfId="23876"/>
    <cellStyle name="Normal 8 3 6 3" xfId="9111"/>
    <cellStyle name="Normal 8 3 6 3 2" xfId="24783"/>
    <cellStyle name="Normal 8 3 6 4" xfId="3351"/>
    <cellStyle name="Normal 8 3 6 5" xfId="22316"/>
    <cellStyle name="Normal 8 3 7" xfId="8109"/>
    <cellStyle name="Normal 8 3 7 2" xfId="10722"/>
    <cellStyle name="Normal 8 3 7 2 2" xfId="25044"/>
    <cellStyle name="Normal 8 3 7 3" xfId="23796"/>
    <cellStyle name="Normal 8 3 8" xfId="8755"/>
    <cellStyle name="Normal 8 3 8 2" xfId="24442"/>
    <cellStyle name="Normal 8 3 9" xfId="2902"/>
    <cellStyle name="Normal 8 4" xfId="1319"/>
    <cellStyle name="Normal 8 4 2" xfId="1320"/>
    <cellStyle name="Normal 8 4 2 2" xfId="1321"/>
    <cellStyle name="Normal 8 4 2 2 2" xfId="8644"/>
    <cellStyle name="Normal 8 4 2 2 2 2" xfId="11257"/>
    <cellStyle name="Normal 8 4 2 2 2 2 2" xfId="25579"/>
    <cellStyle name="Normal 8 4 2 2 2 3" xfId="24331"/>
    <cellStyle name="Normal 8 4 2 2 3" xfId="9286"/>
    <cellStyle name="Normal 8 4 2 2 3 2" xfId="24957"/>
    <cellStyle name="Normal 8 4 2 2 4" xfId="3534"/>
    <cellStyle name="Normal 8 4 2 2 5" xfId="22319"/>
    <cellStyle name="Normal 8 4 2 3" xfId="8363"/>
    <cellStyle name="Normal 8 4 2 3 2" xfId="10976"/>
    <cellStyle name="Normal 8 4 2 3 2 2" xfId="25298"/>
    <cellStyle name="Normal 8 4 2 3 3" xfId="24050"/>
    <cellStyle name="Normal 8 4 2 4" xfId="8929"/>
    <cellStyle name="Normal 8 4 2 4 2" xfId="24616"/>
    <cellStyle name="Normal 8 4 2 5" xfId="3086"/>
    <cellStyle name="Normal 8 4 2 6" xfId="22318"/>
    <cellStyle name="Normal 8 4 3" xfId="1322"/>
    <cellStyle name="Normal 8 4 3 2" xfId="8480"/>
    <cellStyle name="Normal 8 4 3 2 2" xfId="11093"/>
    <cellStyle name="Normal 8 4 3 2 2 2" xfId="25415"/>
    <cellStyle name="Normal 8 4 3 2 3" xfId="24167"/>
    <cellStyle name="Normal 8 4 3 3" xfId="9117"/>
    <cellStyle name="Normal 8 4 3 3 2" xfId="24789"/>
    <cellStyle name="Normal 8 4 3 4" xfId="3357"/>
    <cellStyle name="Normal 8 4 3 5" xfId="22320"/>
    <cellStyle name="Normal 8 4 4" xfId="8195"/>
    <cellStyle name="Normal 8 4 4 2" xfId="10808"/>
    <cellStyle name="Normal 8 4 4 2 2" xfId="25130"/>
    <cellStyle name="Normal 8 4 4 3" xfId="23882"/>
    <cellStyle name="Normal 8 4 5" xfId="8761"/>
    <cellStyle name="Normal 8 4 5 2" xfId="24448"/>
    <cellStyle name="Normal 8 4 6" xfId="2908"/>
    <cellStyle name="Normal 8 4 7" xfId="22317"/>
    <cellStyle name="Normal 8 5" xfId="1323"/>
    <cellStyle name="Normal 8 5 2" xfId="1324"/>
    <cellStyle name="Normal 8 5 2 2" xfId="8532"/>
    <cellStyle name="Normal 8 5 2 2 2" xfId="11145"/>
    <cellStyle name="Normal 8 5 2 2 2 2" xfId="25467"/>
    <cellStyle name="Normal 8 5 2 2 3" xfId="24219"/>
    <cellStyle name="Normal 8 5 2 3" xfId="9173"/>
    <cellStyle name="Normal 8 5 2 3 2" xfId="24845"/>
    <cellStyle name="Normal 8 5 2 4" xfId="3413"/>
    <cellStyle name="Normal 8 5 2 5" xfId="22322"/>
    <cellStyle name="Normal 8 5 3" xfId="8251"/>
    <cellStyle name="Normal 8 5 3 2" xfId="10864"/>
    <cellStyle name="Normal 8 5 3 2 2" xfId="25186"/>
    <cellStyle name="Normal 8 5 3 3" xfId="23938"/>
    <cellStyle name="Normal 8 5 4" xfId="8817"/>
    <cellStyle name="Normal 8 5 4 2" xfId="24504"/>
    <cellStyle name="Normal 8 5 5" xfId="2964"/>
    <cellStyle name="Normal 8 5 6" xfId="22321"/>
    <cellStyle name="Normal 8 6" xfId="1325"/>
    <cellStyle name="Normal 8 6 2" xfId="1326"/>
    <cellStyle name="Normal 8 6 2 2" xfId="8607"/>
    <cellStyle name="Normal 8 6 2 2 2" xfId="11220"/>
    <cellStyle name="Normal 8 6 2 2 2 2" xfId="25542"/>
    <cellStyle name="Normal 8 6 2 2 3" xfId="24294"/>
    <cellStyle name="Normal 8 6 2 3" xfId="9249"/>
    <cellStyle name="Normal 8 6 2 3 2" xfId="24920"/>
    <cellStyle name="Normal 8 6 2 4" xfId="3496"/>
    <cellStyle name="Normal 8 6 2 5" xfId="22324"/>
    <cellStyle name="Normal 8 6 3" xfId="8326"/>
    <cellStyle name="Normal 8 6 3 2" xfId="10939"/>
    <cellStyle name="Normal 8 6 3 2 2" xfId="25261"/>
    <cellStyle name="Normal 8 6 3 3" xfId="24013"/>
    <cellStyle name="Normal 8 6 4" xfId="8892"/>
    <cellStyle name="Normal 8 6 4 2" xfId="24579"/>
    <cellStyle name="Normal 8 6 5" xfId="3049"/>
    <cellStyle name="Normal 8 6 6" xfId="22323"/>
    <cellStyle name="Normal 8 7" xfId="1327"/>
    <cellStyle name="Normal 8 7 2" xfId="8424"/>
    <cellStyle name="Normal 8 7 2 2" xfId="11037"/>
    <cellStyle name="Normal 8 7 2 2 2" xfId="25359"/>
    <cellStyle name="Normal 8 7 2 3" xfId="24111"/>
    <cellStyle name="Normal 8 7 3" xfId="8994"/>
    <cellStyle name="Normal 8 7 3 2" xfId="24677"/>
    <cellStyle name="Normal 8 7 4" xfId="3168"/>
    <cellStyle name="Normal 8 7 5" xfId="22325"/>
    <cellStyle name="Normal 8 8" xfId="1328"/>
    <cellStyle name="Normal 8 8 2" xfId="8158"/>
    <cellStyle name="Normal 8 8 2 2" xfId="10771"/>
    <cellStyle name="Normal 8 8 2 2 2" xfId="25093"/>
    <cellStyle name="Normal 8 8 2 3" xfId="23845"/>
    <cellStyle name="Normal 8 8 3" xfId="9080"/>
    <cellStyle name="Normal 8 8 3 2" xfId="24752"/>
    <cellStyle name="Normal 8 8 4" xfId="3320"/>
    <cellStyle name="Normal 8 8 5" xfId="22326"/>
    <cellStyle name="Normal 8 9" xfId="8083"/>
    <cellStyle name="Normal 8 9 2" xfId="10696"/>
    <cellStyle name="Normal 8 9 2 2" xfId="25018"/>
    <cellStyle name="Normal 8 9 3" xfId="23770"/>
    <cellStyle name="Normal 9" xfId="30368"/>
    <cellStyle name="Nota" xfId="1329"/>
    <cellStyle name="Nota 2" xfId="1330"/>
    <cellStyle name="Nota 2 2" xfId="1331"/>
    <cellStyle name="Nota 2 2 10" xfId="1332"/>
    <cellStyle name="Nota 2 2 10 2" xfId="7912"/>
    <cellStyle name="Nota 2 2 10 2 2" xfId="10526"/>
    <cellStyle name="Nota 2 2 10 2 2 2" xfId="16788"/>
    <cellStyle name="Nota 2 2 10 2 2 2 2" xfId="30204"/>
    <cellStyle name="Nota 2 2 10 2 2 3" xfId="21533"/>
    <cellStyle name="Nota 2 2 10 2 3" xfId="14516"/>
    <cellStyle name="Nota 2 2 10 2 3 2" xfId="28838"/>
    <cellStyle name="Nota 2 2 10 2 4" xfId="20161"/>
    <cellStyle name="Nota 2 2 10 3" xfId="12436"/>
    <cellStyle name="Nota 2 2 10 3 2" xfId="26758"/>
    <cellStyle name="Nota 2 2 10 4" xfId="18081"/>
    <cellStyle name="Nota 2 2 11" xfId="3853"/>
    <cellStyle name="Nota 2 2 11 2" xfId="4708"/>
    <cellStyle name="Nota 2 2 11 2 2" xfId="23141"/>
    <cellStyle name="Nota 2 2 11 3" xfId="15501"/>
    <cellStyle name="Nota 2 2 12" xfId="4329"/>
    <cellStyle name="Nota 2 2 12 2" xfId="22890"/>
    <cellStyle name="Nota 2 2 13" xfId="14858"/>
    <cellStyle name="Nota 2 2 2" xfId="1333"/>
    <cellStyle name="Nota 2 2 2 10" xfId="5082"/>
    <cellStyle name="Nota 2 2 2 10 2" xfId="11629"/>
    <cellStyle name="Nota 2 2 2 10 2 2" xfId="25951"/>
    <cellStyle name="Nota 2 2 2 10 3" xfId="4359"/>
    <cellStyle name="Nota 2 2 2 11" xfId="4590"/>
    <cellStyle name="Nota 2 2 2 11 2" xfId="23053"/>
    <cellStyle name="Nota 2 2 2 12" xfId="4468"/>
    <cellStyle name="Nota 2 2 2 2" xfId="1334"/>
    <cellStyle name="Nota 2 2 2 2 10" xfId="3183"/>
    <cellStyle name="Nota 2 2 2 2 10 2" xfId="22429"/>
    <cellStyle name="Nota 2 2 2 2 11" xfId="15345"/>
    <cellStyle name="Nota 2 2 2 2 2" xfId="1335"/>
    <cellStyle name="Nota 2 2 2 2 2 2" xfId="1336"/>
    <cellStyle name="Nota 2 2 2 2 2 2 2" xfId="1337"/>
    <cellStyle name="Nota 2 2 2 2 2 2 2 2" xfId="6550"/>
    <cellStyle name="Nota 2 2 2 2 2 2 2 2 2" xfId="13138"/>
    <cellStyle name="Nota 2 2 2 2 2 2 2 2 2 2" xfId="27460"/>
    <cellStyle name="Nota 2 2 2 2 2 2 2 2 3" xfId="18783"/>
    <cellStyle name="Nota 2 2 2 2 2 2 2 3" xfId="7217"/>
    <cellStyle name="Nota 2 2 2 2 2 2 2 3 2" xfId="9831"/>
    <cellStyle name="Nota 2 2 2 2 2 2 2 3 2 2" xfId="16093"/>
    <cellStyle name="Nota 2 2 2 2 2 2 2 3 2 2 2" xfId="29509"/>
    <cellStyle name="Nota 2 2 2 2 2 2 2 3 2 3" xfId="20838"/>
    <cellStyle name="Nota 2 2 2 2 2 2 2 3 3" xfId="13821"/>
    <cellStyle name="Nota 2 2 2 2 2 2 2 3 3 2" xfId="28143"/>
    <cellStyle name="Nota 2 2 2 2 2 2 2 3 4" xfId="19466"/>
    <cellStyle name="Nota 2 2 2 2 2 2 2 4" xfId="6248"/>
    <cellStyle name="Nota 2 2 2 2 2 2 2 4 2" xfId="23472"/>
    <cellStyle name="Nota 2 2 2 2 2 2 2 5" xfId="15202"/>
    <cellStyle name="Nota 2 2 2 2 2 2 3" xfId="1338"/>
    <cellStyle name="Nota 2 2 2 2 2 2 3 2" xfId="7041"/>
    <cellStyle name="Nota 2 2 2 2 2 2 3 2 2" xfId="9655"/>
    <cellStyle name="Nota 2 2 2 2 2 2 3 2 2 2" xfId="15917"/>
    <cellStyle name="Nota 2 2 2 2 2 2 3 2 2 2 2" xfId="29333"/>
    <cellStyle name="Nota 2 2 2 2 2 2 3 2 2 3" xfId="20662"/>
    <cellStyle name="Nota 2 2 2 2 2 2 3 2 3" xfId="13645"/>
    <cellStyle name="Nota 2 2 2 2 2 2 3 2 3 2" xfId="27967"/>
    <cellStyle name="Nota 2 2 2 2 2 2 3 2 4" xfId="19290"/>
    <cellStyle name="Nota 2 2 2 2 2 2 3 3" xfId="13313"/>
    <cellStyle name="Nota 2 2 2 2 2 2 3 3 2" xfId="27635"/>
    <cellStyle name="Nota 2 2 2 2 2 2 3 4" xfId="18958"/>
    <cellStyle name="Nota 2 2 2 2 2 2 4" xfId="5763"/>
    <cellStyle name="Nota 2 2 2 2 2 2 4 2" xfId="12316"/>
    <cellStyle name="Nota 2 2 2 2 2 2 4 2 2" xfId="26638"/>
    <cellStyle name="Nota 2 2 2 2 2 2 4 3" xfId="17961"/>
    <cellStyle name="Nota 2 2 2 2 2 2 5" xfId="4723"/>
    <cellStyle name="Nota 2 2 2 2 2 2 5 2" xfId="23151"/>
    <cellStyle name="Nota 2 2 2 2 2 2 6" xfId="14799"/>
    <cellStyle name="Nota 2 2 2 2 2 3" xfId="1339"/>
    <cellStyle name="Nota 2 2 2 2 2 3 2" xfId="1340"/>
    <cellStyle name="Nota 2 2 2 2 2 3 2 2" xfId="6441"/>
    <cellStyle name="Nota 2 2 2 2 2 3 2 2 2" xfId="13024"/>
    <cellStyle name="Nota 2 2 2 2 2 3 2 2 2 2" xfId="27346"/>
    <cellStyle name="Nota 2 2 2 2 2 3 2 2 3" xfId="18669"/>
    <cellStyle name="Nota 2 2 2 2 2 3 2 3" xfId="7148"/>
    <cellStyle name="Nota 2 2 2 2 2 3 2 3 2" xfId="9762"/>
    <cellStyle name="Nota 2 2 2 2 2 3 2 3 2 2" xfId="16024"/>
    <cellStyle name="Nota 2 2 2 2 2 3 2 3 2 2 2" xfId="29440"/>
    <cellStyle name="Nota 2 2 2 2 2 3 2 3 2 3" xfId="20769"/>
    <cellStyle name="Nota 2 2 2 2 2 3 2 3 3" xfId="13752"/>
    <cellStyle name="Nota 2 2 2 2 2 3 2 3 3 2" xfId="28074"/>
    <cellStyle name="Nota 2 2 2 2 2 3 2 3 4" xfId="19397"/>
    <cellStyle name="Nota 2 2 2 2 2 3 2 4" xfId="3295"/>
    <cellStyle name="Nota 2 2 2 2 2 3 2 4 2" xfId="22468"/>
    <cellStyle name="Nota 2 2 2 2 2 3 2 5" xfId="4715"/>
    <cellStyle name="Nota 2 2 2 2 2 3 3" xfId="1341"/>
    <cellStyle name="Nota 2 2 2 2 2 3 3 2" xfId="7552"/>
    <cellStyle name="Nota 2 2 2 2 2 3 3 2 2" xfId="10166"/>
    <cellStyle name="Nota 2 2 2 2 2 3 3 2 2 2" xfId="16428"/>
    <cellStyle name="Nota 2 2 2 2 2 3 3 2 2 2 2" xfId="29844"/>
    <cellStyle name="Nota 2 2 2 2 2 3 3 2 2 3" xfId="21173"/>
    <cellStyle name="Nota 2 2 2 2 2 3 3 2 3" xfId="14156"/>
    <cellStyle name="Nota 2 2 2 2 2 3 3 2 3 2" xfId="28478"/>
    <cellStyle name="Nota 2 2 2 2 2 3 3 2 4" xfId="19801"/>
    <cellStyle name="Nota 2 2 2 2 2 3 3 3" xfId="13260"/>
    <cellStyle name="Nota 2 2 2 2 2 3 3 3 2" xfId="27582"/>
    <cellStyle name="Nota 2 2 2 2 2 3 3 4" xfId="18905"/>
    <cellStyle name="Nota 2 2 2 2 2 3 4" xfId="5705"/>
    <cellStyle name="Nota 2 2 2 2 2 3 4 2" xfId="12258"/>
    <cellStyle name="Nota 2 2 2 2 2 3 4 2 2" xfId="26580"/>
    <cellStyle name="Nota 2 2 2 2 2 3 4 3" xfId="17903"/>
    <cellStyle name="Nota 2 2 2 2 2 3 5" xfId="4194"/>
    <cellStyle name="Nota 2 2 2 2 2 3 5 2" xfId="22814"/>
    <cellStyle name="Nota 2 2 2 2 2 3 6" xfId="15231"/>
    <cellStyle name="Nota 2 2 2 2 2 4" xfId="1342"/>
    <cellStyle name="Nota 2 2 2 2 2 4 2" xfId="5982"/>
    <cellStyle name="Nota 2 2 2 2 2 4 2 2" xfId="12540"/>
    <cellStyle name="Nota 2 2 2 2 2 4 2 2 2" xfId="26862"/>
    <cellStyle name="Nota 2 2 2 2 2 4 2 3" xfId="18185"/>
    <cellStyle name="Nota 2 2 2 2 2 4 3" xfId="5291"/>
    <cellStyle name="Nota 2 2 2 2 2 4 3 2" xfId="9600"/>
    <cellStyle name="Nota 2 2 2 2 2 4 3 2 2" xfId="15862"/>
    <cellStyle name="Nota 2 2 2 2 2 4 3 2 2 2" xfId="29278"/>
    <cellStyle name="Nota 2 2 2 2 2 4 3 2 3" xfId="20607"/>
    <cellStyle name="Nota 2 2 2 2 2 4 3 3" xfId="11841"/>
    <cellStyle name="Nota 2 2 2 2 2 4 3 3 2" xfId="26163"/>
    <cellStyle name="Nota 2 2 2 2 2 4 3 4" xfId="17486"/>
    <cellStyle name="Nota 2 2 2 2 2 4 4" xfId="4102"/>
    <cellStyle name="Nota 2 2 2 2 2 4 4 2" xfId="22758"/>
    <cellStyle name="Nota 2 2 2 2 2 4 5" xfId="6699"/>
    <cellStyle name="Nota 2 2 2 2 2 5" xfId="1343"/>
    <cellStyle name="Nota 2 2 2 2 2 5 2" xfId="5301"/>
    <cellStyle name="Nota 2 2 2 2 2 5 2 2" xfId="9610"/>
    <cellStyle name="Nota 2 2 2 2 2 5 2 2 2" xfId="15872"/>
    <cellStyle name="Nota 2 2 2 2 2 5 2 2 2 2" xfId="29288"/>
    <cellStyle name="Nota 2 2 2 2 2 5 2 2 3" xfId="20617"/>
    <cellStyle name="Nota 2 2 2 2 2 5 2 3" xfId="11851"/>
    <cellStyle name="Nota 2 2 2 2 2 5 2 3 2" xfId="26173"/>
    <cellStyle name="Nota 2 2 2 2 2 5 2 4" xfId="17496"/>
    <cellStyle name="Nota 2 2 2 2 2 5 3" xfId="12889"/>
    <cellStyle name="Nota 2 2 2 2 2 5 3 2" xfId="27211"/>
    <cellStyle name="Nota 2 2 2 2 2 5 4" xfId="18534"/>
    <cellStyle name="Nota 2 2 2 2 2 6" xfId="5507"/>
    <cellStyle name="Nota 2 2 2 2 2 6 2" xfId="12058"/>
    <cellStyle name="Nota 2 2 2 2 2 6 2 2" xfId="26380"/>
    <cellStyle name="Nota 2 2 2 2 2 6 3" xfId="17703"/>
    <cellStyle name="Nota 2 2 2 2 2 7" xfId="3940"/>
    <cellStyle name="Nota 2 2 2 2 2 7 2" xfId="22656"/>
    <cellStyle name="Nota 2 2 2 2 2 8" xfId="3707"/>
    <cellStyle name="Nota 2 2 2 2 3" xfId="1344"/>
    <cellStyle name="Nota 2 2 2 2 3 2" xfId="1345"/>
    <cellStyle name="Nota 2 2 2 2 3 2 2" xfId="1346"/>
    <cellStyle name="Nota 2 2 2 2 3 2 2 2" xfId="6074"/>
    <cellStyle name="Nota 2 2 2 2 3 2 2 2 2" xfId="12640"/>
    <cellStyle name="Nota 2 2 2 2 3 2 2 2 2 2" xfId="26962"/>
    <cellStyle name="Nota 2 2 2 2 3 2 2 2 3" xfId="18285"/>
    <cellStyle name="Nota 2 2 2 2 3 2 2 3" xfId="8002"/>
    <cellStyle name="Nota 2 2 2 2 3 2 2 3 2" xfId="10616"/>
    <cellStyle name="Nota 2 2 2 2 3 2 2 3 2 2" xfId="16878"/>
    <cellStyle name="Nota 2 2 2 2 3 2 2 3 2 2 2" xfId="30294"/>
    <cellStyle name="Nota 2 2 2 2 3 2 2 3 2 3" xfId="21623"/>
    <cellStyle name="Nota 2 2 2 2 3 2 2 3 3" xfId="14606"/>
    <cellStyle name="Nota 2 2 2 2 3 2 2 3 3 2" xfId="28928"/>
    <cellStyle name="Nota 2 2 2 2 3 2 2 3 4" xfId="20251"/>
    <cellStyle name="Nota 2 2 2 2 3 2 2 4" xfId="4003"/>
    <cellStyle name="Nota 2 2 2 2 3 2 2 4 2" xfId="22697"/>
    <cellStyle name="Nota 2 2 2 2 3 2 2 5" xfId="3826"/>
    <cellStyle name="Nota 2 2 2 2 3 2 3" xfId="1347"/>
    <cellStyle name="Nota 2 2 2 2 3 2 3 2" xfId="7494"/>
    <cellStyle name="Nota 2 2 2 2 3 2 3 2 2" xfId="10108"/>
    <cellStyle name="Nota 2 2 2 2 3 2 3 2 2 2" xfId="16370"/>
    <cellStyle name="Nota 2 2 2 2 3 2 3 2 2 2 2" xfId="29786"/>
    <cellStyle name="Nota 2 2 2 2 3 2 3 2 2 3" xfId="21115"/>
    <cellStyle name="Nota 2 2 2 2 3 2 3 2 3" xfId="14098"/>
    <cellStyle name="Nota 2 2 2 2 3 2 3 2 3 2" xfId="28420"/>
    <cellStyle name="Nota 2 2 2 2 3 2 3 2 4" xfId="19743"/>
    <cellStyle name="Nota 2 2 2 2 3 2 3 3" xfId="13349"/>
    <cellStyle name="Nota 2 2 2 2 3 2 3 3 2" xfId="27671"/>
    <cellStyle name="Nota 2 2 2 2 3 2 3 4" xfId="18994"/>
    <cellStyle name="Nota 2 2 2 2 3 2 4" xfId="5799"/>
    <cellStyle name="Nota 2 2 2 2 3 2 4 2" xfId="12352"/>
    <cellStyle name="Nota 2 2 2 2 3 2 4 2 2" xfId="26674"/>
    <cellStyle name="Nota 2 2 2 2 3 2 4 3" xfId="17997"/>
    <cellStyle name="Nota 2 2 2 2 3 2 5" xfId="3268"/>
    <cellStyle name="Nota 2 2 2 2 3 2 5 2" xfId="22452"/>
    <cellStyle name="Nota 2 2 2 2 3 2 6" xfId="17275"/>
    <cellStyle name="Nota 2 2 2 2 3 3" xfId="1348"/>
    <cellStyle name="Nota 2 2 2 2 3 3 2" xfId="1349"/>
    <cellStyle name="Nota 2 2 2 2 3 3 2 2" xfId="6233"/>
    <cellStyle name="Nota 2 2 2 2 3 3 2 2 2" xfId="12808"/>
    <cellStyle name="Nota 2 2 2 2 3 3 2 2 2 2" xfId="27130"/>
    <cellStyle name="Nota 2 2 2 2 3 3 2 2 3" xfId="18453"/>
    <cellStyle name="Nota 2 2 2 2 3 3 2 3" xfId="7697"/>
    <cellStyle name="Nota 2 2 2 2 3 3 2 3 2" xfId="10311"/>
    <cellStyle name="Nota 2 2 2 2 3 3 2 3 2 2" xfId="16573"/>
    <cellStyle name="Nota 2 2 2 2 3 3 2 3 2 2 2" xfId="29989"/>
    <cellStyle name="Nota 2 2 2 2 3 3 2 3 2 3" xfId="21318"/>
    <cellStyle name="Nota 2 2 2 2 3 3 2 3 3" xfId="14301"/>
    <cellStyle name="Nota 2 2 2 2 3 3 2 3 3 2" xfId="28623"/>
    <cellStyle name="Nota 2 2 2 2 3 3 2 3 4" xfId="19946"/>
    <cellStyle name="Nota 2 2 2 2 3 3 2 4" xfId="6685"/>
    <cellStyle name="Nota 2 2 2 2 3 3 2 4 2" xfId="23653"/>
    <cellStyle name="Nota 2 2 2 2 3 3 2 5" xfId="14789"/>
    <cellStyle name="Nota 2 2 2 2 3 3 3" xfId="1350"/>
    <cellStyle name="Nota 2 2 2 2 3 3 3 2" xfId="7588"/>
    <cellStyle name="Nota 2 2 2 2 3 3 3 2 2" xfId="10202"/>
    <cellStyle name="Nota 2 2 2 2 3 3 3 2 2 2" xfId="16464"/>
    <cellStyle name="Nota 2 2 2 2 3 3 3 2 2 2 2" xfId="29880"/>
    <cellStyle name="Nota 2 2 2 2 3 3 3 2 2 3" xfId="21209"/>
    <cellStyle name="Nota 2 2 2 2 3 3 3 2 3" xfId="14192"/>
    <cellStyle name="Nota 2 2 2 2 3 3 3 2 3 2" xfId="28514"/>
    <cellStyle name="Nota 2 2 2 2 3 3 3 2 4" xfId="19837"/>
    <cellStyle name="Nota 2 2 2 2 3 3 3 3" xfId="13382"/>
    <cellStyle name="Nota 2 2 2 2 3 3 3 3 2" xfId="27704"/>
    <cellStyle name="Nota 2 2 2 2 3 3 3 4" xfId="19027"/>
    <cellStyle name="Nota 2 2 2 2 3 3 4" xfId="5841"/>
    <cellStyle name="Nota 2 2 2 2 3 3 4 2" xfId="12394"/>
    <cellStyle name="Nota 2 2 2 2 3 3 4 2 2" xfId="26716"/>
    <cellStyle name="Nota 2 2 2 2 3 3 4 3" xfId="18039"/>
    <cellStyle name="Nota 2 2 2 2 3 3 5" xfId="4031"/>
    <cellStyle name="Nota 2 2 2 2 3 3 5 2" xfId="22709"/>
    <cellStyle name="Nota 2 2 2 2 3 3 6" xfId="14866"/>
    <cellStyle name="Nota 2 2 2 2 3 4" xfId="1351"/>
    <cellStyle name="Nota 2 2 2 2 3 4 2" xfId="6924"/>
    <cellStyle name="Nota 2 2 2 2 3 4 2 2" xfId="13528"/>
    <cellStyle name="Nota 2 2 2 2 3 4 2 2 2" xfId="27850"/>
    <cellStyle name="Nota 2 2 2 2 3 4 2 3" xfId="19173"/>
    <cellStyle name="Nota 2 2 2 2 3 4 3" xfId="4800"/>
    <cellStyle name="Nota 2 2 2 2 3 4 3 2" xfId="9488"/>
    <cellStyle name="Nota 2 2 2 2 3 4 3 2 2" xfId="15750"/>
    <cellStyle name="Nota 2 2 2 2 3 4 3 2 2 2" xfId="29166"/>
    <cellStyle name="Nota 2 2 2 2 3 4 3 2 3" xfId="20495"/>
    <cellStyle name="Nota 2 2 2 2 3 4 3 3" xfId="11330"/>
    <cellStyle name="Nota 2 2 2 2 3 4 3 3 2" xfId="25652"/>
    <cellStyle name="Nota 2 2 2 2 3 4 3 4" xfId="14981"/>
    <cellStyle name="Nota 2 2 2 2 3 4 4" xfId="11412"/>
    <cellStyle name="Nota 2 2 2 2 3 4 4 2" xfId="25734"/>
    <cellStyle name="Nota 2 2 2 2 3 4 5" xfId="4603"/>
    <cellStyle name="Nota 2 2 2 2 3 5" xfId="1352"/>
    <cellStyle name="Nota 2 2 2 2 3 5 2" xfId="7239"/>
    <cellStyle name="Nota 2 2 2 2 3 5 2 2" xfId="9853"/>
    <cellStyle name="Nota 2 2 2 2 3 5 2 2 2" xfId="16115"/>
    <cellStyle name="Nota 2 2 2 2 3 5 2 2 2 2" xfId="29531"/>
    <cellStyle name="Nota 2 2 2 2 3 5 2 2 3" xfId="20860"/>
    <cellStyle name="Nota 2 2 2 2 3 5 2 3" xfId="13843"/>
    <cellStyle name="Nota 2 2 2 2 3 5 2 3 2" xfId="28165"/>
    <cellStyle name="Nota 2 2 2 2 3 5 2 4" xfId="19488"/>
    <cellStyle name="Nota 2 2 2 2 3 5 3" xfId="12925"/>
    <cellStyle name="Nota 2 2 2 2 3 5 3 2" xfId="27247"/>
    <cellStyle name="Nota 2 2 2 2 3 5 4" xfId="18570"/>
    <cellStyle name="Nota 2 2 2 2 3 6" xfId="5549"/>
    <cellStyle name="Nota 2 2 2 2 3 6 2" xfId="12100"/>
    <cellStyle name="Nota 2 2 2 2 3 6 2 2" xfId="26422"/>
    <cellStyle name="Nota 2 2 2 2 3 6 3" xfId="17745"/>
    <cellStyle name="Nota 2 2 2 2 3 7" xfId="6194"/>
    <cellStyle name="Nota 2 2 2 2 3 7 2" xfId="23456"/>
    <cellStyle name="Nota 2 2 2 2 3 8" xfId="15214"/>
    <cellStyle name="Nota 2 2 2 2 4" xfId="1353"/>
    <cellStyle name="Nota 2 2 2 2 4 2" xfId="1354"/>
    <cellStyle name="Nota 2 2 2 2 4 2 2" xfId="1355"/>
    <cellStyle name="Nota 2 2 2 2 4 2 2 2" xfId="6594"/>
    <cellStyle name="Nota 2 2 2 2 4 2 2 2 2" xfId="13183"/>
    <cellStyle name="Nota 2 2 2 2 4 2 2 2 2 2" xfId="27505"/>
    <cellStyle name="Nota 2 2 2 2 4 2 2 2 3" xfId="18828"/>
    <cellStyle name="Nota 2 2 2 2 4 2 2 3" xfId="3806"/>
    <cellStyle name="Nota 2 2 2 2 4 2 2 3 2" xfId="9376"/>
    <cellStyle name="Nota 2 2 2 2 4 2 2 3 2 2" xfId="15638"/>
    <cellStyle name="Nota 2 2 2 2 4 2 2 3 2 2 2" xfId="29054"/>
    <cellStyle name="Nota 2 2 2 2 4 2 2 3 2 3" xfId="20383"/>
    <cellStyle name="Nota 2 2 2 2 4 2 2 3 3" xfId="5954"/>
    <cellStyle name="Nota 2 2 2 2 4 2 2 3 3 2" xfId="23382"/>
    <cellStyle name="Nota 2 2 2 2 4 2 2 3 4" xfId="15542"/>
    <cellStyle name="Nota 2 2 2 2 4 2 2 4" xfId="4185"/>
    <cellStyle name="Nota 2 2 2 2 4 2 2 4 2" xfId="22807"/>
    <cellStyle name="Nota 2 2 2 2 4 2 2 5" xfId="4313"/>
    <cellStyle name="Nota 2 2 2 2 4 2 3" xfId="1356"/>
    <cellStyle name="Nota 2 2 2 2 4 2 3 2" xfId="7502"/>
    <cellStyle name="Nota 2 2 2 2 4 2 3 2 2" xfId="10116"/>
    <cellStyle name="Nota 2 2 2 2 4 2 3 2 2 2" xfId="16378"/>
    <cellStyle name="Nota 2 2 2 2 4 2 3 2 2 2 2" xfId="29794"/>
    <cellStyle name="Nota 2 2 2 2 4 2 3 2 2 3" xfId="21123"/>
    <cellStyle name="Nota 2 2 2 2 4 2 3 2 3" xfId="14106"/>
    <cellStyle name="Nota 2 2 2 2 4 2 3 2 3 2" xfId="28428"/>
    <cellStyle name="Nota 2 2 2 2 4 2 3 2 4" xfId="19751"/>
    <cellStyle name="Nota 2 2 2 2 4 2 3 3" xfId="13277"/>
    <cellStyle name="Nota 2 2 2 2 4 2 3 3 2" xfId="27599"/>
    <cellStyle name="Nota 2 2 2 2 4 2 3 4" xfId="18922"/>
    <cellStyle name="Nota 2 2 2 2 4 2 4" xfId="5725"/>
    <cellStyle name="Nota 2 2 2 2 4 2 4 2" xfId="12278"/>
    <cellStyle name="Nota 2 2 2 2 4 2 4 2 2" xfId="26600"/>
    <cellStyle name="Nota 2 2 2 2 4 2 4 3" xfId="17923"/>
    <cellStyle name="Nota 2 2 2 2 4 2 5" xfId="6319"/>
    <cellStyle name="Nota 2 2 2 2 4 2 5 2" xfId="23514"/>
    <cellStyle name="Nota 2 2 2 2 4 2 6" xfId="14902"/>
    <cellStyle name="Nota 2 2 2 2 4 3" xfId="1357"/>
    <cellStyle name="Nota 2 2 2 2 4 3 2" xfId="1358"/>
    <cellStyle name="Nota 2 2 2 2 4 3 2 2" xfId="7006"/>
    <cellStyle name="Nota 2 2 2 2 4 3 2 2 2" xfId="13610"/>
    <cellStyle name="Nota 2 2 2 2 4 3 2 2 2 2" xfId="27932"/>
    <cellStyle name="Nota 2 2 2 2 4 3 2 2 3" xfId="19255"/>
    <cellStyle name="Nota 2 2 2 2 4 3 2 3" xfId="8040"/>
    <cellStyle name="Nota 2 2 2 2 4 3 2 3 2" xfId="10654"/>
    <cellStyle name="Nota 2 2 2 2 4 3 2 3 2 2" xfId="16916"/>
    <cellStyle name="Nota 2 2 2 2 4 3 2 3 2 2 2" xfId="30332"/>
    <cellStyle name="Nota 2 2 2 2 4 3 2 3 2 3" xfId="21661"/>
    <cellStyle name="Nota 2 2 2 2 4 3 2 3 3" xfId="14644"/>
    <cellStyle name="Nota 2 2 2 2 4 3 2 3 3 2" xfId="28966"/>
    <cellStyle name="Nota 2 2 2 2 4 3 2 3 4" xfId="20289"/>
    <cellStyle name="Nota 2 2 2 2 4 3 2 4" xfId="11526"/>
    <cellStyle name="Nota 2 2 2 2 4 3 2 4 2" xfId="25848"/>
    <cellStyle name="Nota 2 2 2 2 4 3 2 5" xfId="14955"/>
    <cellStyle name="Nota 2 2 2 2 4 3 3" xfId="1359"/>
    <cellStyle name="Nota 2 2 2 2 4 3 3 2" xfId="7386"/>
    <cellStyle name="Nota 2 2 2 2 4 3 3 2 2" xfId="10000"/>
    <cellStyle name="Nota 2 2 2 2 4 3 3 2 2 2" xfId="16262"/>
    <cellStyle name="Nota 2 2 2 2 4 3 3 2 2 2 2" xfId="29678"/>
    <cellStyle name="Nota 2 2 2 2 4 3 3 2 2 3" xfId="21007"/>
    <cellStyle name="Nota 2 2 2 2 4 3 3 2 3" xfId="13990"/>
    <cellStyle name="Nota 2 2 2 2 4 3 3 2 3 2" xfId="28312"/>
    <cellStyle name="Nota 2 2 2 2 4 3 3 2 4" xfId="19635"/>
    <cellStyle name="Nota 2 2 2 2 4 3 3 3" xfId="13376"/>
    <cellStyle name="Nota 2 2 2 2 4 3 3 3 2" xfId="27698"/>
    <cellStyle name="Nota 2 2 2 2 4 3 3 4" xfId="19021"/>
    <cellStyle name="Nota 2 2 2 2 4 3 4" xfId="5829"/>
    <cellStyle name="Nota 2 2 2 2 4 3 4 2" xfId="12382"/>
    <cellStyle name="Nota 2 2 2 2 4 3 4 2 2" xfId="26704"/>
    <cellStyle name="Nota 2 2 2 2 4 3 4 3" xfId="18027"/>
    <cellStyle name="Nota 2 2 2 2 4 3 5" xfId="3271"/>
    <cellStyle name="Nota 2 2 2 2 4 3 5 2" xfId="22455"/>
    <cellStyle name="Nota 2 2 2 2 4 3 6" xfId="15350"/>
    <cellStyle name="Nota 2 2 2 2 4 4" xfId="1360"/>
    <cellStyle name="Nota 2 2 2 2 4 4 2" xfId="6163"/>
    <cellStyle name="Nota 2 2 2 2 4 4 2 2" xfId="12734"/>
    <cellStyle name="Nota 2 2 2 2 4 4 2 2 2" xfId="27056"/>
    <cellStyle name="Nota 2 2 2 2 4 4 2 3" xfId="18379"/>
    <cellStyle name="Nota 2 2 2 2 4 4 3" xfId="7866"/>
    <cellStyle name="Nota 2 2 2 2 4 4 3 2" xfId="10480"/>
    <cellStyle name="Nota 2 2 2 2 4 4 3 2 2" xfId="16742"/>
    <cellStyle name="Nota 2 2 2 2 4 4 3 2 2 2" xfId="30158"/>
    <cellStyle name="Nota 2 2 2 2 4 4 3 2 3" xfId="21487"/>
    <cellStyle name="Nota 2 2 2 2 4 4 3 3" xfId="14470"/>
    <cellStyle name="Nota 2 2 2 2 4 4 3 3 2" xfId="28792"/>
    <cellStyle name="Nota 2 2 2 2 4 4 3 4" xfId="20115"/>
    <cellStyle name="Nota 2 2 2 2 4 4 4" xfId="3676"/>
    <cellStyle name="Nota 2 2 2 2 4 4 4 2" xfId="22521"/>
    <cellStyle name="Nota 2 2 2 2 4 4 5" xfId="15466"/>
    <cellStyle name="Nota 2 2 2 2 4 5" xfId="1361"/>
    <cellStyle name="Nota 2 2 2 2 4 5 2" xfId="3150"/>
    <cellStyle name="Nota 2 2 2 2 4 5 2 2" xfId="8983"/>
    <cellStyle name="Nota 2 2 2 2 4 5 2 2 2" xfId="15338"/>
    <cellStyle name="Nota 2 2 2 2 4 5 2 2 2 2" xfId="29001"/>
    <cellStyle name="Nota 2 2 2 2 4 5 2 2 3" xfId="20328"/>
    <cellStyle name="Nota 2 2 2 2 4 5 2 3" xfId="5831"/>
    <cellStyle name="Nota 2 2 2 2 4 5 2 3 2" xfId="23364"/>
    <cellStyle name="Nota 2 2 2 2 4 5 2 4" xfId="14714"/>
    <cellStyle name="Nota 2 2 2 2 4 5 3" xfId="12840"/>
    <cellStyle name="Nota 2 2 2 2 4 5 3 2" xfId="27162"/>
    <cellStyle name="Nota 2 2 2 2 4 5 4" xfId="18485"/>
    <cellStyle name="Nota 2 2 2 2 4 6" xfId="5414"/>
    <cellStyle name="Nota 2 2 2 2 4 6 2" xfId="11964"/>
    <cellStyle name="Nota 2 2 2 2 4 6 2 2" xfId="26286"/>
    <cellStyle name="Nota 2 2 2 2 4 6 3" xfId="17609"/>
    <cellStyle name="Nota 2 2 2 2 4 7" xfId="5988"/>
    <cellStyle name="Nota 2 2 2 2 4 7 2" xfId="23390"/>
    <cellStyle name="Nota 2 2 2 2 4 8" xfId="5010"/>
    <cellStyle name="Nota 2 2 2 2 5" xfId="1362"/>
    <cellStyle name="Nota 2 2 2 2 5 2" xfId="1363"/>
    <cellStyle name="Nota 2 2 2 2 5 2 2" xfId="1364"/>
    <cellStyle name="Nota 2 2 2 2 5 2 2 2" xfId="6952"/>
    <cellStyle name="Nota 2 2 2 2 5 2 2 2 2" xfId="13556"/>
    <cellStyle name="Nota 2 2 2 2 5 2 2 2 2 2" xfId="27878"/>
    <cellStyle name="Nota 2 2 2 2 5 2 2 2 3" xfId="19201"/>
    <cellStyle name="Nota 2 2 2 2 5 2 2 3" xfId="7459"/>
    <cellStyle name="Nota 2 2 2 2 5 2 2 3 2" xfId="10073"/>
    <cellStyle name="Nota 2 2 2 2 5 2 2 3 2 2" xfId="16335"/>
    <cellStyle name="Nota 2 2 2 2 5 2 2 3 2 2 2" xfId="29751"/>
    <cellStyle name="Nota 2 2 2 2 5 2 2 3 2 3" xfId="21080"/>
    <cellStyle name="Nota 2 2 2 2 5 2 2 3 3" xfId="14063"/>
    <cellStyle name="Nota 2 2 2 2 5 2 2 3 3 2" xfId="28385"/>
    <cellStyle name="Nota 2 2 2 2 5 2 2 3 4" xfId="19708"/>
    <cellStyle name="Nota 2 2 2 2 5 2 2 4" xfId="11448"/>
    <cellStyle name="Nota 2 2 2 2 5 2 2 4 2" xfId="25770"/>
    <cellStyle name="Nota 2 2 2 2 5 2 2 5" xfId="15241"/>
    <cellStyle name="Nota 2 2 2 2 5 2 3" xfId="1365"/>
    <cellStyle name="Nota 2 2 2 2 5 2 3 2" xfId="5257"/>
    <cellStyle name="Nota 2 2 2 2 5 2 3 2 2" xfId="9566"/>
    <cellStyle name="Nota 2 2 2 2 5 2 3 2 2 2" xfId="15828"/>
    <cellStyle name="Nota 2 2 2 2 5 2 3 2 2 2 2" xfId="29244"/>
    <cellStyle name="Nota 2 2 2 2 5 2 3 2 2 3" xfId="20573"/>
    <cellStyle name="Nota 2 2 2 2 5 2 3 2 3" xfId="11807"/>
    <cellStyle name="Nota 2 2 2 2 5 2 3 2 3 2" xfId="26129"/>
    <cellStyle name="Nota 2 2 2 2 5 2 3 2 4" xfId="17452"/>
    <cellStyle name="Nota 2 2 2 2 5 2 3 3" xfId="13101"/>
    <cellStyle name="Nota 2 2 2 2 5 2 3 3 2" xfId="27423"/>
    <cellStyle name="Nota 2 2 2 2 5 2 3 4" xfId="18746"/>
    <cellStyle name="Nota 2 2 2 2 5 2 4" xfId="5462"/>
    <cellStyle name="Nota 2 2 2 2 5 2 4 2" xfId="12013"/>
    <cellStyle name="Nota 2 2 2 2 5 2 4 2 2" xfId="26335"/>
    <cellStyle name="Nota 2 2 2 2 5 2 4 3" xfId="17658"/>
    <cellStyle name="Nota 2 2 2 2 5 2 5" xfId="6725"/>
    <cellStyle name="Nota 2 2 2 2 5 2 5 2" xfId="23679"/>
    <cellStyle name="Nota 2 2 2 2 5 2 6" xfId="15185"/>
    <cellStyle name="Nota 2 2 2 2 5 3" xfId="1366"/>
    <cellStyle name="Nota 2 2 2 2 5 3 2" xfId="6976"/>
    <cellStyle name="Nota 2 2 2 2 5 3 2 2" xfId="13580"/>
    <cellStyle name="Nota 2 2 2 2 5 3 2 2 2" xfId="27902"/>
    <cellStyle name="Nota 2 2 2 2 5 3 2 3" xfId="19225"/>
    <cellStyle name="Nota 2 2 2 2 5 3 3" xfId="7828"/>
    <cellStyle name="Nota 2 2 2 2 5 3 3 2" xfId="10442"/>
    <cellStyle name="Nota 2 2 2 2 5 3 3 2 2" xfId="16704"/>
    <cellStyle name="Nota 2 2 2 2 5 3 3 2 2 2" xfId="30120"/>
    <cellStyle name="Nota 2 2 2 2 5 3 3 2 3" xfId="21449"/>
    <cellStyle name="Nota 2 2 2 2 5 3 3 3" xfId="14432"/>
    <cellStyle name="Nota 2 2 2 2 5 3 3 3 2" xfId="28754"/>
    <cellStyle name="Nota 2 2 2 2 5 3 3 4" xfId="20077"/>
    <cellStyle name="Nota 2 2 2 2 5 3 4" xfId="11486"/>
    <cellStyle name="Nota 2 2 2 2 5 3 4 2" xfId="25808"/>
    <cellStyle name="Nota 2 2 2 2 5 3 5" xfId="17117"/>
    <cellStyle name="Nota 2 2 2 2 5 4" xfId="1367"/>
    <cellStyle name="Nota 2 2 2 2 5 4 2" xfId="3631"/>
    <cellStyle name="Nota 2 2 2 2 5 4 2 2" xfId="9349"/>
    <cellStyle name="Nota 2 2 2 2 5 4 2 2 2" xfId="15611"/>
    <cellStyle name="Nota 2 2 2 2 5 4 2 2 2 2" xfId="29027"/>
    <cellStyle name="Nota 2 2 2 2 5 4 2 2 3" xfId="20356"/>
    <cellStyle name="Nota 2 2 2 2 5 4 2 3" xfId="4693"/>
    <cellStyle name="Nota 2 2 2 2 5 4 2 3 2" xfId="23129"/>
    <cellStyle name="Nota 2 2 2 2 5 4 2 4" xfId="15373"/>
    <cellStyle name="Nota 2 2 2 2 5 4 3" xfId="12814"/>
    <cellStyle name="Nota 2 2 2 2 5 4 3 2" xfId="27136"/>
    <cellStyle name="Nota 2 2 2 2 5 4 4" xfId="18459"/>
    <cellStyle name="Nota 2 2 2 2 5 5" xfId="5349"/>
    <cellStyle name="Nota 2 2 2 2 5 5 2" xfId="11899"/>
    <cellStyle name="Nota 2 2 2 2 5 5 2 2" xfId="26221"/>
    <cellStyle name="Nota 2 2 2 2 5 5 3" xfId="17544"/>
    <cellStyle name="Nota 2 2 2 2 5 6" xfId="6307"/>
    <cellStyle name="Nota 2 2 2 2 5 6 2" xfId="23503"/>
    <cellStyle name="Nota 2 2 2 2 5 7" xfId="4584"/>
    <cellStyle name="Nota 2 2 2 2 6" xfId="1368"/>
    <cellStyle name="Nota 2 2 2 2 6 2" xfId="1369"/>
    <cellStyle name="Nota 2 2 2 2 6 2 2" xfId="6198"/>
    <cellStyle name="Nota 2 2 2 2 6 2 2 2" xfId="12771"/>
    <cellStyle name="Nota 2 2 2 2 6 2 2 2 2" xfId="27093"/>
    <cellStyle name="Nota 2 2 2 2 6 2 2 3" xfId="18416"/>
    <cellStyle name="Nota 2 2 2 2 6 2 3" xfId="7403"/>
    <cellStyle name="Nota 2 2 2 2 6 2 3 2" xfId="10017"/>
    <cellStyle name="Nota 2 2 2 2 6 2 3 2 2" xfId="16279"/>
    <cellStyle name="Nota 2 2 2 2 6 2 3 2 2 2" xfId="29695"/>
    <cellStyle name="Nota 2 2 2 2 6 2 3 2 3" xfId="21024"/>
    <cellStyle name="Nota 2 2 2 2 6 2 3 3" xfId="14007"/>
    <cellStyle name="Nota 2 2 2 2 6 2 3 3 2" xfId="28329"/>
    <cellStyle name="Nota 2 2 2 2 6 2 3 4" xfId="19652"/>
    <cellStyle name="Nota 2 2 2 2 6 2 4" xfId="3750"/>
    <cellStyle name="Nota 2 2 2 2 6 2 4 2" xfId="22563"/>
    <cellStyle name="Nota 2 2 2 2 6 2 5" xfId="16964"/>
    <cellStyle name="Nota 2 2 2 2 6 3" xfId="1370"/>
    <cellStyle name="Nota 2 2 2 2 6 3 2" xfId="7696"/>
    <cellStyle name="Nota 2 2 2 2 6 3 2 2" xfId="10310"/>
    <cellStyle name="Nota 2 2 2 2 6 3 2 2 2" xfId="16572"/>
    <cellStyle name="Nota 2 2 2 2 6 3 2 2 2 2" xfId="29988"/>
    <cellStyle name="Nota 2 2 2 2 6 3 2 2 3" xfId="21317"/>
    <cellStyle name="Nota 2 2 2 2 6 3 2 3" xfId="14300"/>
    <cellStyle name="Nota 2 2 2 2 6 3 2 3 2" xfId="28622"/>
    <cellStyle name="Nota 2 2 2 2 6 3 2 4" xfId="19945"/>
    <cellStyle name="Nota 2 2 2 2 6 3 3" xfId="12520"/>
    <cellStyle name="Nota 2 2 2 2 6 3 3 2" xfId="26842"/>
    <cellStyle name="Nota 2 2 2 2 6 3 4" xfId="18165"/>
    <cellStyle name="Nota 2 2 2 2 6 4" xfId="5154"/>
    <cellStyle name="Nota 2 2 2 2 6 4 2" xfId="11703"/>
    <cellStyle name="Nota 2 2 2 2 6 4 2 2" xfId="26025"/>
    <cellStyle name="Nota 2 2 2 2 6 4 3" xfId="4745"/>
    <cellStyle name="Nota 2 2 2 2 6 5" xfId="6774"/>
    <cellStyle name="Nota 2 2 2 2 6 5 2" xfId="23720"/>
    <cellStyle name="Nota 2 2 2 2 6 6" xfId="15586"/>
    <cellStyle name="Nota 2 2 2 2 7" xfId="1371"/>
    <cellStyle name="Nota 2 2 2 2 7 2" xfId="5235"/>
    <cellStyle name="Nota 2 2 2 2 7 2 2" xfId="11785"/>
    <cellStyle name="Nota 2 2 2 2 7 2 2 2" xfId="26107"/>
    <cellStyle name="Nota 2 2 2 2 7 2 3" xfId="17430"/>
    <cellStyle name="Nota 2 2 2 2 7 3" xfId="7401"/>
    <cellStyle name="Nota 2 2 2 2 7 3 2" xfId="10015"/>
    <cellStyle name="Nota 2 2 2 2 7 3 2 2" xfId="16277"/>
    <cellStyle name="Nota 2 2 2 2 7 3 2 2 2" xfId="29693"/>
    <cellStyle name="Nota 2 2 2 2 7 3 2 3" xfId="21022"/>
    <cellStyle name="Nota 2 2 2 2 7 3 3" xfId="14005"/>
    <cellStyle name="Nota 2 2 2 2 7 3 3 2" xfId="28327"/>
    <cellStyle name="Nota 2 2 2 2 7 3 4" xfId="19650"/>
    <cellStyle name="Nota 2 2 2 2 7 4" xfId="4082"/>
    <cellStyle name="Nota 2 2 2 2 7 4 2" xfId="22750"/>
    <cellStyle name="Nota 2 2 2 2 7 5" xfId="17184"/>
    <cellStyle name="Nota 2 2 2 2 8" xfId="1372"/>
    <cellStyle name="Nota 2 2 2 2 8 2" xfId="7465"/>
    <cellStyle name="Nota 2 2 2 2 8 2 2" xfId="10079"/>
    <cellStyle name="Nota 2 2 2 2 8 2 2 2" xfId="16341"/>
    <cellStyle name="Nota 2 2 2 2 8 2 2 2 2" xfId="29757"/>
    <cellStyle name="Nota 2 2 2 2 8 2 2 3" xfId="21086"/>
    <cellStyle name="Nota 2 2 2 2 8 2 3" xfId="14069"/>
    <cellStyle name="Nota 2 2 2 2 8 2 3 2" xfId="28391"/>
    <cellStyle name="Nota 2 2 2 2 8 2 4" xfId="19714"/>
    <cellStyle name="Nota 2 2 2 2 8 3" xfId="12751"/>
    <cellStyle name="Nota 2 2 2 2 8 3 2" xfId="27073"/>
    <cellStyle name="Nota 2 2 2 2 8 4" xfId="18396"/>
    <cellStyle name="Nota 2 2 2 2 9" xfId="5403"/>
    <cellStyle name="Nota 2 2 2 2 9 2" xfId="11953"/>
    <cellStyle name="Nota 2 2 2 2 9 2 2" xfId="26275"/>
    <cellStyle name="Nota 2 2 2 2 9 3" xfId="17598"/>
    <cellStyle name="Nota 2 2 2 3" xfId="1373"/>
    <cellStyle name="Nota 2 2 2 3 2" xfId="1374"/>
    <cellStyle name="Nota 2 2 2 3 2 2" xfId="1375"/>
    <cellStyle name="Nota 2 2 2 3 2 2 2" xfId="6071"/>
    <cellStyle name="Nota 2 2 2 3 2 2 2 2" xfId="12637"/>
    <cellStyle name="Nota 2 2 2 3 2 2 2 2 2" xfId="26959"/>
    <cellStyle name="Nota 2 2 2 3 2 2 2 3" xfId="18282"/>
    <cellStyle name="Nota 2 2 2 3 2 2 3" xfId="8027"/>
    <cellStyle name="Nota 2 2 2 3 2 2 3 2" xfId="10641"/>
    <cellStyle name="Nota 2 2 2 3 2 2 3 2 2" xfId="16903"/>
    <cellStyle name="Nota 2 2 2 3 2 2 3 2 2 2" xfId="30319"/>
    <cellStyle name="Nota 2 2 2 3 2 2 3 2 3" xfId="21648"/>
    <cellStyle name="Nota 2 2 2 3 2 2 3 3" xfId="14631"/>
    <cellStyle name="Nota 2 2 2 3 2 2 3 3 2" xfId="28953"/>
    <cellStyle name="Nota 2 2 2 3 2 2 3 4" xfId="20276"/>
    <cellStyle name="Nota 2 2 2 3 2 2 4" xfId="3290"/>
    <cellStyle name="Nota 2 2 2 3 2 2 4 2" xfId="22463"/>
    <cellStyle name="Nota 2 2 2 3 2 2 5" xfId="14900"/>
    <cellStyle name="Nota 2 2 2 3 2 3" xfId="1376"/>
    <cellStyle name="Nota 2 2 2 3 2 3 2" xfId="7843"/>
    <cellStyle name="Nota 2 2 2 3 2 3 2 2" xfId="10457"/>
    <cellStyle name="Nota 2 2 2 3 2 3 2 2 2" xfId="16719"/>
    <cellStyle name="Nota 2 2 2 3 2 3 2 2 2 2" xfId="30135"/>
    <cellStyle name="Nota 2 2 2 3 2 3 2 2 3" xfId="21464"/>
    <cellStyle name="Nota 2 2 2 3 2 3 2 3" xfId="14447"/>
    <cellStyle name="Nota 2 2 2 3 2 3 2 3 2" xfId="28769"/>
    <cellStyle name="Nota 2 2 2 3 2 3 2 4" xfId="20092"/>
    <cellStyle name="Nota 2 2 2 3 2 3 3" xfId="13279"/>
    <cellStyle name="Nota 2 2 2 3 2 3 3 2" xfId="27601"/>
    <cellStyle name="Nota 2 2 2 3 2 3 4" xfId="18924"/>
    <cellStyle name="Nota 2 2 2 3 2 4" xfId="5727"/>
    <cellStyle name="Nota 2 2 2 3 2 4 2" xfId="12280"/>
    <cellStyle name="Nota 2 2 2 3 2 4 2 2" xfId="26602"/>
    <cellStyle name="Nota 2 2 2 3 2 4 3" xfId="17925"/>
    <cellStyle name="Nota 2 2 2 3 2 5" xfId="6816"/>
    <cellStyle name="Nota 2 2 2 3 2 5 2" xfId="23752"/>
    <cellStyle name="Nota 2 2 2 3 2 6" xfId="17372"/>
    <cellStyle name="Nota 2 2 2 3 3" xfId="1377"/>
    <cellStyle name="Nota 2 2 2 3 3 2" xfId="1378"/>
    <cellStyle name="Nota 2 2 2 3 3 2 2" xfId="6208"/>
    <cellStyle name="Nota 2 2 2 3 3 2 2 2" xfId="12781"/>
    <cellStyle name="Nota 2 2 2 3 3 2 2 2 2" xfId="27103"/>
    <cellStyle name="Nota 2 2 2 3 3 2 2 3" xfId="18426"/>
    <cellStyle name="Nota 2 2 2 3 3 2 3" xfId="4280"/>
    <cellStyle name="Nota 2 2 2 3 3 2 3 2" xfId="9441"/>
    <cellStyle name="Nota 2 2 2 3 3 2 3 2 2" xfId="15703"/>
    <cellStyle name="Nota 2 2 2 3 3 2 3 2 2 2" xfId="29119"/>
    <cellStyle name="Nota 2 2 2 3 3 2 3 2 3" xfId="20448"/>
    <cellStyle name="Nota 2 2 2 3 3 2 3 3" xfId="4186"/>
    <cellStyle name="Nota 2 2 2 3 3 2 3 3 2" xfId="22808"/>
    <cellStyle name="Nota 2 2 2 3 3 2 3 4" xfId="4012"/>
    <cellStyle name="Nota 2 2 2 3 3 2 4" xfId="4563"/>
    <cellStyle name="Nota 2 2 2 3 3 2 4 2" xfId="23032"/>
    <cellStyle name="Nota 2 2 2 3 3 2 5" xfId="14892"/>
    <cellStyle name="Nota 2 2 2 3 3 3" xfId="1379"/>
    <cellStyle name="Nota 2 2 2 3 3 3 2" xfId="4929"/>
    <cellStyle name="Nota 2 2 2 3 3 3 2 2" xfId="9518"/>
    <cellStyle name="Nota 2 2 2 3 3 3 2 2 2" xfId="15780"/>
    <cellStyle name="Nota 2 2 2 3 3 3 2 2 2 2" xfId="29196"/>
    <cellStyle name="Nota 2 2 2 3 3 3 2 2 3" xfId="20525"/>
    <cellStyle name="Nota 2 2 2 3 3 3 2 3" xfId="11467"/>
    <cellStyle name="Nota 2 2 2 3 3 3 2 3 2" xfId="25789"/>
    <cellStyle name="Nota 2 2 2 3 3 3 2 4" xfId="17383"/>
    <cellStyle name="Nota 2 2 2 3 3 3 3" xfId="13163"/>
    <cellStyle name="Nota 2 2 2 3 3 3 3 2" xfId="27485"/>
    <cellStyle name="Nota 2 2 2 3 3 3 4" xfId="18808"/>
    <cellStyle name="Nota 2 2 2 3 3 4" xfId="5576"/>
    <cellStyle name="Nota 2 2 2 3 3 4 2" xfId="12127"/>
    <cellStyle name="Nota 2 2 2 3 3 4 2 2" xfId="26449"/>
    <cellStyle name="Nota 2 2 2 3 3 4 3" xfId="17772"/>
    <cellStyle name="Nota 2 2 2 3 3 5" xfId="4710"/>
    <cellStyle name="Nota 2 2 2 3 3 5 2" xfId="23142"/>
    <cellStyle name="Nota 2 2 2 3 3 6" xfId="15258"/>
    <cellStyle name="Nota 2 2 2 3 4" xfId="1380"/>
    <cellStyle name="Nota 2 2 2 3 4 2" xfId="6945"/>
    <cellStyle name="Nota 2 2 2 3 4 2 2" xfId="13549"/>
    <cellStyle name="Nota 2 2 2 3 4 2 2 2" xfId="27871"/>
    <cellStyle name="Nota 2 2 2 3 4 2 3" xfId="19194"/>
    <cellStyle name="Nota 2 2 2 3 4 3" xfId="7449"/>
    <cellStyle name="Nota 2 2 2 3 4 3 2" xfId="10063"/>
    <cellStyle name="Nota 2 2 2 3 4 3 2 2" xfId="16325"/>
    <cellStyle name="Nota 2 2 2 3 4 3 2 2 2" xfId="29741"/>
    <cellStyle name="Nota 2 2 2 3 4 3 2 3" xfId="21070"/>
    <cellStyle name="Nota 2 2 2 3 4 3 3" xfId="14053"/>
    <cellStyle name="Nota 2 2 2 3 4 3 3 2" xfId="28375"/>
    <cellStyle name="Nota 2 2 2 3 4 3 4" xfId="19698"/>
    <cellStyle name="Nota 2 2 2 3 4 4" xfId="11438"/>
    <cellStyle name="Nota 2 2 2 3 4 4 2" xfId="25760"/>
    <cellStyle name="Nota 2 2 2 3 4 5" xfId="14959"/>
    <cellStyle name="Nota 2 2 2 3 5" xfId="1381"/>
    <cellStyle name="Nota 2 2 2 3 5 2" xfId="5320"/>
    <cellStyle name="Nota 2 2 2 3 5 2 2" xfId="9629"/>
    <cellStyle name="Nota 2 2 2 3 5 2 2 2" xfId="15891"/>
    <cellStyle name="Nota 2 2 2 3 5 2 2 2 2" xfId="29307"/>
    <cellStyle name="Nota 2 2 2 3 5 2 2 3" xfId="20636"/>
    <cellStyle name="Nota 2 2 2 3 5 2 3" xfId="11870"/>
    <cellStyle name="Nota 2 2 2 3 5 2 3 2" xfId="26192"/>
    <cellStyle name="Nota 2 2 2 3 5 2 4" xfId="17515"/>
    <cellStyle name="Nota 2 2 2 3 5 3" xfId="12842"/>
    <cellStyle name="Nota 2 2 2 3 5 3 2" xfId="27164"/>
    <cellStyle name="Nota 2 2 2 3 5 4" xfId="18487"/>
    <cellStyle name="Nota 2 2 2 3 6" xfId="5423"/>
    <cellStyle name="Nota 2 2 2 3 6 2" xfId="11974"/>
    <cellStyle name="Nota 2 2 2 3 6 2 2" xfId="26296"/>
    <cellStyle name="Nota 2 2 2 3 6 3" xfId="17619"/>
    <cellStyle name="Nota 2 2 2 3 7" xfId="3798"/>
    <cellStyle name="Nota 2 2 2 3 7 2" xfId="22586"/>
    <cellStyle name="Nota 2 2 2 3 8" xfId="17052"/>
    <cellStyle name="Nota 2 2 2 4" xfId="1382"/>
    <cellStyle name="Nota 2 2 2 4 2" xfId="1383"/>
    <cellStyle name="Nota 2 2 2 4 2 2" xfId="1384"/>
    <cellStyle name="Nota 2 2 2 4 2 2 2" xfId="6877"/>
    <cellStyle name="Nota 2 2 2 4 2 2 2 2" xfId="13481"/>
    <cellStyle name="Nota 2 2 2 4 2 2 2 2 2" xfId="27803"/>
    <cellStyle name="Nota 2 2 2 4 2 2 2 3" xfId="19126"/>
    <cellStyle name="Nota 2 2 2 4 2 2 3" xfId="3794"/>
    <cellStyle name="Nota 2 2 2 4 2 2 3 2" xfId="9375"/>
    <cellStyle name="Nota 2 2 2 4 2 2 3 2 2" xfId="15637"/>
    <cellStyle name="Nota 2 2 2 4 2 2 3 2 2 2" xfId="29053"/>
    <cellStyle name="Nota 2 2 2 4 2 2 3 2 3" xfId="20382"/>
    <cellStyle name="Nota 2 2 2 4 2 2 3 3" xfId="5021"/>
    <cellStyle name="Nota 2 2 2 4 2 2 3 3 2" xfId="23310"/>
    <cellStyle name="Nota 2 2 2 4 2 2 3 4" xfId="16962"/>
    <cellStyle name="Nota 2 2 2 4 2 2 4" xfId="11346"/>
    <cellStyle name="Nota 2 2 2 4 2 2 4 2" xfId="25668"/>
    <cellStyle name="Nota 2 2 2 4 2 2 5" xfId="14757"/>
    <cellStyle name="Nota 2 2 2 4 2 3" xfId="1385"/>
    <cellStyle name="Nota 2 2 2 4 2 3 2" xfId="7441"/>
    <cellStyle name="Nota 2 2 2 4 2 3 2 2" xfId="10055"/>
    <cellStyle name="Nota 2 2 2 4 2 3 2 2 2" xfId="16317"/>
    <cellStyle name="Nota 2 2 2 4 2 3 2 2 2 2" xfId="29733"/>
    <cellStyle name="Nota 2 2 2 4 2 3 2 2 3" xfId="21062"/>
    <cellStyle name="Nota 2 2 2 4 2 3 2 3" xfId="14045"/>
    <cellStyle name="Nota 2 2 2 4 2 3 2 3 2" xfId="28367"/>
    <cellStyle name="Nota 2 2 2 4 2 3 2 4" xfId="19690"/>
    <cellStyle name="Nota 2 2 2 4 2 3 3" xfId="13224"/>
    <cellStyle name="Nota 2 2 2 4 2 3 3 2" xfId="27546"/>
    <cellStyle name="Nota 2 2 2 4 2 3 4" xfId="18869"/>
    <cellStyle name="Nota 2 2 2 4 2 4" xfId="5665"/>
    <cellStyle name="Nota 2 2 2 4 2 4 2" xfId="12218"/>
    <cellStyle name="Nota 2 2 2 4 2 4 2 2" xfId="26540"/>
    <cellStyle name="Nota 2 2 2 4 2 4 3" xfId="17863"/>
    <cellStyle name="Nota 2 2 2 4 2 5" xfId="4335"/>
    <cellStyle name="Nota 2 2 2 4 2 5 2" xfId="22894"/>
    <cellStyle name="Nota 2 2 2 4 2 6" xfId="15198"/>
    <cellStyle name="Nota 2 2 2 4 3" xfId="1386"/>
    <cellStyle name="Nota 2 2 2 4 3 2" xfId="1387"/>
    <cellStyle name="Nota 2 2 2 4 3 2 2" xfId="7039"/>
    <cellStyle name="Nota 2 2 2 4 3 2 2 2" xfId="13643"/>
    <cellStyle name="Nota 2 2 2 4 3 2 2 2 2" xfId="27965"/>
    <cellStyle name="Nota 2 2 2 4 3 2 2 3" xfId="19288"/>
    <cellStyle name="Nota 2 2 2 4 3 2 3" xfId="7929"/>
    <cellStyle name="Nota 2 2 2 4 3 2 3 2" xfId="10543"/>
    <cellStyle name="Nota 2 2 2 4 3 2 3 2 2" xfId="16805"/>
    <cellStyle name="Nota 2 2 2 4 3 2 3 2 2 2" xfId="30221"/>
    <cellStyle name="Nota 2 2 2 4 3 2 3 2 3" xfId="21550"/>
    <cellStyle name="Nota 2 2 2 4 3 2 3 3" xfId="14533"/>
    <cellStyle name="Nota 2 2 2 4 3 2 3 3 2" xfId="28855"/>
    <cellStyle name="Nota 2 2 2 4 3 2 3 4" xfId="20178"/>
    <cellStyle name="Nota 2 2 2 4 3 2 4" xfId="11584"/>
    <cellStyle name="Nota 2 2 2 4 3 2 4 2" xfId="25906"/>
    <cellStyle name="Nota 2 2 2 4 3 2 5" xfId="17329"/>
    <cellStyle name="Nota 2 2 2 4 3 3" xfId="1388"/>
    <cellStyle name="Nota 2 2 2 4 3 3 2" xfId="7813"/>
    <cellStyle name="Nota 2 2 2 4 3 3 2 2" xfId="10427"/>
    <cellStyle name="Nota 2 2 2 4 3 3 2 2 2" xfId="16689"/>
    <cellStyle name="Nota 2 2 2 4 3 3 2 2 2 2" xfId="30105"/>
    <cellStyle name="Nota 2 2 2 4 3 3 2 2 3" xfId="21434"/>
    <cellStyle name="Nota 2 2 2 4 3 3 2 3" xfId="14417"/>
    <cellStyle name="Nota 2 2 2 4 3 3 2 3 2" xfId="28739"/>
    <cellStyle name="Nota 2 2 2 4 3 3 2 4" xfId="20062"/>
    <cellStyle name="Nota 2 2 2 4 3 3 3" xfId="12644"/>
    <cellStyle name="Nota 2 2 2 4 3 3 3 2" xfId="26966"/>
    <cellStyle name="Nota 2 2 2 4 3 3 4" xfId="18289"/>
    <cellStyle name="Nota 2 2 2 4 3 4" xfId="5137"/>
    <cellStyle name="Nota 2 2 2 4 3 4 2" xfId="11686"/>
    <cellStyle name="Nota 2 2 2 4 3 4 2 2" xfId="26008"/>
    <cellStyle name="Nota 2 2 2 4 3 4 3" xfId="6820"/>
    <cellStyle name="Nota 2 2 2 4 3 5" xfId="4403"/>
    <cellStyle name="Nota 2 2 2 4 3 5 2" xfId="22930"/>
    <cellStyle name="Nota 2 2 2 4 3 6" xfId="15431"/>
    <cellStyle name="Nota 2 2 2 4 4" xfId="1389"/>
    <cellStyle name="Nota 2 2 2 4 4 2" xfId="6845"/>
    <cellStyle name="Nota 2 2 2 4 4 2 2" xfId="13449"/>
    <cellStyle name="Nota 2 2 2 4 4 2 2 2" xfId="27771"/>
    <cellStyle name="Nota 2 2 2 4 4 2 3" xfId="19094"/>
    <cellStyle name="Nota 2 2 2 4 4 3" xfId="7622"/>
    <cellStyle name="Nota 2 2 2 4 4 3 2" xfId="10236"/>
    <cellStyle name="Nota 2 2 2 4 4 3 2 2" xfId="16498"/>
    <cellStyle name="Nota 2 2 2 4 4 3 2 2 2" xfId="29914"/>
    <cellStyle name="Nota 2 2 2 4 4 3 2 3" xfId="21243"/>
    <cellStyle name="Nota 2 2 2 4 4 3 3" xfId="14226"/>
    <cellStyle name="Nota 2 2 2 4 4 3 3 2" xfId="28548"/>
    <cellStyle name="Nota 2 2 2 4 4 3 4" xfId="19871"/>
    <cellStyle name="Nota 2 2 2 4 4 4" xfId="2767"/>
    <cellStyle name="Nota 2 2 2 4 4 4 2" xfId="22336"/>
    <cellStyle name="Nota 2 2 2 4 4 5" xfId="16967"/>
    <cellStyle name="Nota 2 2 2 4 5" xfId="1390"/>
    <cellStyle name="Nota 2 2 2 4 5 2" xfId="7044"/>
    <cellStyle name="Nota 2 2 2 4 5 2 2" xfId="9658"/>
    <cellStyle name="Nota 2 2 2 4 5 2 2 2" xfId="15920"/>
    <cellStyle name="Nota 2 2 2 4 5 2 2 2 2" xfId="29336"/>
    <cellStyle name="Nota 2 2 2 4 5 2 2 3" xfId="20665"/>
    <cellStyle name="Nota 2 2 2 4 5 2 3" xfId="13648"/>
    <cellStyle name="Nota 2 2 2 4 5 2 3 2" xfId="27970"/>
    <cellStyle name="Nota 2 2 2 4 5 2 4" xfId="19293"/>
    <cellStyle name="Nota 2 2 2 4 5 3" xfId="12558"/>
    <cellStyle name="Nota 2 2 2 4 5 3 2" xfId="26880"/>
    <cellStyle name="Nota 2 2 2 4 5 4" xfId="18203"/>
    <cellStyle name="Nota 2 2 2 4 6" xfId="5085"/>
    <cellStyle name="Nota 2 2 2 4 6 2" xfId="11632"/>
    <cellStyle name="Nota 2 2 2 4 6 2 2" xfId="25954"/>
    <cellStyle name="Nota 2 2 2 4 6 3" xfId="17108"/>
    <cellStyle name="Nota 2 2 2 4 7" xfId="4808"/>
    <cellStyle name="Nota 2 2 2 4 7 2" xfId="23197"/>
    <cellStyle name="Nota 2 2 2 4 8" xfId="15012"/>
    <cellStyle name="Nota 2 2 2 5" xfId="1391"/>
    <cellStyle name="Nota 2 2 2 5 2" xfId="1392"/>
    <cellStyle name="Nota 2 2 2 5 2 2" xfId="1393"/>
    <cellStyle name="Nota 2 2 2 5 2 2 2" xfId="5618"/>
    <cellStyle name="Nota 2 2 2 5 2 2 2 2" xfId="12171"/>
    <cellStyle name="Nota 2 2 2 5 2 2 2 2 2" xfId="26493"/>
    <cellStyle name="Nota 2 2 2 5 2 2 2 3" xfId="17816"/>
    <cellStyle name="Nota 2 2 2 5 2 2 3" xfId="3636"/>
    <cellStyle name="Nota 2 2 2 5 2 2 3 2" xfId="9351"/>
    <cellStyle name="Nota 2 2 2 5 2 2 3 2 2" xfId="15613"/>
    <cellStyle name="Nota 2 2 2 5 2 2 3 2 2 2" xfId="29029"/>
    <cellStyle name="Nota 2 2 2 5 2 2 3 2 3" xfId="20358"/>
    <cellStyle name="Nota 2 2 2 5 2 2 3 3" xfId="6336"/>
    <cellStyle name="Nota 2 2 2 5 2 2 3 3 2" xfId="23524"/>
    <cellStyle name="Nota 2 2 2 5 2 2 3 4" xfId="17141"/>
    <cellStyle name="Nota 2 2 2 5 2 2 4" xfId="4292"/>
    <cellStyle name="Nota 2 2 2 5 2 2 4 2" xfId="22876"/>
    <cellStyle name="Nota 2 2 2 5 2 2 5" xfId="3754"/>
    <cellStyle name="Nota 2 2 2 5 2 3" xfId="1394"/>
    <cellStyle name="Nota 2 2 2 5 2 3 2" xfId="7208"/>
    <cellStyle name="Nota 2 2 2 5 2 3 2 2" xfId="9822"/>
    <cellStyle name="Nota 2 2 2 5 2 3 2 2 2" xfId="16084"/>
    <cellStyle name="Nota 2 2 2 5 2 3 2 2 2 2" xfId="29500"/>
    <cellStyle name="Nota 2 2 2 5 2 3 2 2 3" xfId="20829"/>
    <cellStyle name="Nota 2 2 2 5 2 3 2 3" xfId="13812"/>
    <cellStyle name="Nota 2 2 2 5 2 3 2 3 2" xfId="28134"/>
    <cellStyle name="Nota 2 2 2 5 2 3 2 4" xfId="19457"/>
    <cellStyle name="Nota 2 2 2 5 2 3 3" xfId="13232"/>
    <cellStyle name="Nota 2 2 2 5 2 3 3 2" xfId="27554"/>
    <cellStyle name="Nota 2 2 2 5 2 3 4" xfId="18877"/>
    <cellStyle name="Nota 2 2 2 5 2 4" xfId="5673"/>
    <cellStyle name="Nota 2 2 2 5 2 4 2" xfId="12226"/>
    <cellStyle name="Nota 2 2 2 5 2 4 2 2" xfId="26548"/>
    <cellStyle name="Nota 2 2 2 5 2 4 3" xfId="17871"/>
    <cellStyle name="Nota 2 2 2 5 2 5" xfId="4726"/>
    <cellStyle name="Nota 2 2 2 5 2 5 2" xfId="23153"/>
    <cellStyle name="Nota 2 2 2 5 2 6" xfId="17178"/>
    <cellStyle name="Nota 2 2 2 5 3" xfId="1395"/>
    <cellStyle name="Nota 2 2 2 5 3 2" xfId="1396"/>
    <cellStyle name="Nota 2 2 2 5 3 2 2" xfId="6978"/>
    <cellStyle name="Nota 2 2 2 5 3 2 2 2" xfId="13582"/>
    <cellStyle name="Nota 2 2 2 5 3 2 2 2 2" xfId="27904"/>
    <cellStyle name="Nota 2 2 2 5 3 2 2 3" xfId="19227"/>
    <cellStyle name="Nota 2 2 2 5 3 2 3" xfId="4089"/>
    <cellStyle name="Nota 2 2 2 5 3 2 3 2" xfId="9421"/>
    <cellStyle name="Nota 2 2 2 5 3 2 3 2 2" xfId="15683"/>
    <cellStyle name="Nota 2 2 2 5 3 2 3 2 2 2" xfId="29099"/>
    <cellStyle name="Nota 2 2 2 5 3 2 3 2 3" xfId="20428"/>
    <cellStyle name="Nota 2 2 2 5 3 2 3 3" xfId="4144"/>
    <cellStyle name="Nota 2 2 2 5 3 2 3 3 2" xfId="22782"/>
    <cellStyle name="Nota 2 2 2 5 3 2 3 4" xfId="17140"/>
    <cellStyle name="Nota 2 2 2 5 3 2 4" xfId="11489"/>
    <cellStyle name="Nota 2 2 2 5 3 2 4 2" xfId="25811"/>
    <cellStyle name="Nota 2 2 2 5 3 2 5" xfId="17318"/>
    <cellStyle name="Nota 2 2 2 5 3 3" xfId="1397"/>
    <cellStyle name="Nota 2 2 2 5 3 3 2" xfId="7958"/>
    <cellStyle name="Nota 2 2 2 5 3 3 2 2" xfId="10572"/>
    <cellStyle name="Nota 2 2 2 5 3 3 2 2 2" xfId="16834"/>
    <cellStyle name="Nota 2 2 2 5 3 3 2 2 2 2" xfId="30250"/>
    <cellStyle name="Nota 2 2 2 5 3 3 2 2 3" xfId="21579"/>
    <cellStyle name="Nota 2 2 2 5 3 3 2 3" xfId="14562"/>
    <cellStyle name="Nota 2 2 2 5 3 3 2 3 2" xfId="28884"/>
    <cellStyle name="Nota 2 2 2 5 3 3 2 4" xfId="20207"/>
    <cellStyle name="Nota 2 2 2 5 3 3 3" xfId="13419"/>
    <cellStyle name="Nota 2 2 2 5 3 3 3 2" xfId="27741"/>
    <cellStyle name="Nota 2 2 2 5 3 3 4" xfId="19064"/>
    <cellStyle name="Nota 2 2 2 5 3 4" xfId="5890"/>
    <cellStyle name="Nota 2 2 2 5 3 4 2" xfId="12443"/>
    <cellStyle name="Nota 2 2 2 5 3 4 2 2" xfId="26765"/>
    <cellStyle name="Nota 2 2 2 5 3 4 3" xfId="18088"/>
    <cellStyle name="Nota 2 2 2 5 3 5" xfId="4047"/>
    <cellStyle name="Nota 2 2 2 5 3 5 2" xfId="22724"/>
    <cellStyle name="Nota 2 2 2 5 3 6" xfId="3987"/>
    <cellStyle name="Nota 2 2 2 5 4" xfId="1398"/>
    <cellStyle name="Nota 2 2 2 5 4 2" xfId="6967"/>
    <cellStyle name="Nota 2 2 2 5 4 2 2" xfId="13571"/>
    <cellStyle name="Nota 2 2 2 5 4 2 2 2" xfId="27893"/>
    <cellStyle name="Nota 2 2 2 5 4 2 3" xfId="19216"/>
    <cellStyle name="Nota 2 2 2 5 4 3" xfId="7907"/>
    <cellStyle name="Nota 2 2 2 5 4 3 2" xfId="10521"/>
    <cellStyle name="Nota 2 2 2 5 4 3 2 2" xfId="16783"/>
    <cellStyle name="Nota 2 2 2 5 4 3 2 2 2" xfId="30199"/>
    <cellStyle name="Nota 2 2 2 5 4 3 2 3" xfId="21528"/>
    <cellStyle name="Nota 2 2 2 5 4 3 3" xfId="14511"/>
    <cellStyle name="Nota 2 2 2 5 4 3 3 2" xfId="28833"/>
    <cellStyle name="Nota 2 2 2 5 4 3 4" xfId="20156"/>
    <cellStyle name="Nota 2 2 2 5 4 4" xfId="11472"/>
    <cellStyle name="Nota 2 2 2 5 4 4 2" xfId="25794"/>
    <cellStyle name="Nota 2 2 2 5 4 5" xfId="6619"/>
    <cellStyle name="Nota 2 2 2 5 5" xfId="1399"/>
    <cellStyle name="Nota 2 2 2 5 5 2" xfId="7586"/>
    <cellStyle name="Nota 2 2 2 5 5 2 2" xfId="10200"/>
    <cellStyle name="Nota 2 2 2 5 5 2 2 2" xfId="16462"/>
    <cellStyle name="Nota 2 2 2 5 5 2 2 2 2" xfId="29878"/>
    <cellStyle name="Nota 2 2 2 5 5 2 2 3" xfId="21207"/>
    <cellStyle name="Nota 2 2 2 5 5 2 3" xfId="14190"/>
    <cellStyle name="Nota 2 2 2 5 5 2 3 2" xfId="28512"/>
    <cellStyle name="Nota 2 2 2 5 5 2 4" xfId="19835"/>
    <cellStyle name="Nota 2 2 2 5 5 3" xfId="12627"/>
    <cellStyle name="Nota 2 2 2 5 5 3 2" xfId="26949"/>
    <cellStyle name="Nota 2 2 2 5 5 4" xfId="18272"/>
    <cellStyle name="Nota 2 2 2 5 6" xfId="5050"/>
    <cellStyle name="Nota 2 2 2 5 6 2" xfId="11597"/>
    <cellStyle name="Nota 2 2 2 5 6 2 2" xfId="25919"/>
    <cellStyle name="Nota 2 2 2 5 6 3" xfId="17050"/>
    <cellStyle name="Nota 2 2 2 5 7" xfId="3781"/>
    <cellStyle name="Nota 2 2 2 5 7 2" xfId="22574"/>
    <cellStyle name="Nota 2 2 2 5 8" xfId="15493"/>
    <cellStyle name="Nota 2 2 2 6" xfId="1400"/>
    <cellStyle name="Nota 2 2 2 6 2" xfId="1401"/>
    <cellStyle name="Nota 2 2 2 6 2 2" xfId="1402"/>
    <cellStyle name="Nota 2 2 2 6 2 2 2" xfId="7003"/>
    <cellStyle name="Nota 2 2 2 6 2 2 2 2" xfId="13607"/>
    <cellStyle name="Nota 2 2 2 6 2 2 2 2 2" xfId="27929"/>
    <cellStyle name="Nota 2 2 2 6 2 2 2 3" xfId="19252"/>
    <cellStyle name="Nota 2 2 2 6 2 2 3" xfId="7410"/>
    <cellStyle name="Nota 2 2 2 6 2 2 3 2" xfId="10024"/>
    <cellStyle name="Nota 2 2 2 6 2 2 3 2 2" xfId="16286"/>
    <cellStyle name="Nota 2 2 2 6 2 2 3 2 2 2" xfId="29702"/>
    <cellStyle name="Nota 2 2 2 6 2 2 3 2 3" xfId="21031"/>
    <cellStyle name="Nota 2 2 2 6 2 2 3 3" xfId="14014"/>
    <cellStyle name="Nota 2 2 2 6 2 2 3 3 2" xfId="28336"/>
    <cellStyle name="Nota 2 2 2 6 2 2 3 4" xfId="19659"/>
    <cellStyle name="Nota 2 2 2 6 2 2 4" xfId="11521"/>
    <cellStyle name="Nota 2 2 2 6 2 2 4 2" xfId="25843"/>
    <cellStyle name="Nota 2 2 2 6 2 2 5" xfId="17018"/>
    <cellStyle name="Nota 2 2 2 6 2 3" xfId="1403"/>
    <cellStyle name="Nota 2 2 2 6 2 3 2" xfId="7258"/>
    <cellStyle name="Nota 2 2 2 6 2 3 2 2" xfId="9872"/>
    <cellStyle name="Nota 2 2 2 6 2 3 2 2 2" xfId="16134"/>
    <cellStyle name="Nota 2 2 2 6 2 3 2 2 2 2" xfId="29550"/>
    <cellStyle name="Nota 2 2 2 6 2 3 2 2 3" xfId="20879"/>
    <cellStyle name="Nota 2 2 2 6 2 3 2 3" xfId="13862"/>
    <cellStyle name="Nota 2 2 2 6 2 3 2 3 2" xfId="28184"/>
    <cellStyle name="Nota 2 2 2 6 2 3 2 4" xfId="19507"/>
    <cellStyle name="Nota 2 2 2 6 2 3 3" xfId="13099"/>
    <cellStyle name="Nota 2 2 2 6 2 3 3 2" xfId="27421"/>
    <cellStyle name="Nota 2 2 2 6 2 3 4" xfId="18744"/>
    <cellStyle name="Nota 2 2 2 6 2 4" xfId="5460"/>
    <cellStyle name="Nota 2 2 2 6 2 4 2" xfId="12011"/>
    <cellStyle name="Nota 2 2 2 6 2 4 2 2" xfId="26333"/>
    <cellStyle name="Nota 2 2 2 6 2 4 3" xfId="17656"/>
    <cellStyle name="Nota 2 2 2 6 2 5" xfId="4868"/>
    <cellStyle name="Nota 2 2 2 6 2 5 2" xfId="23233"/>
    <cellStyle name="Nota 2 2 2 6 2 6" xfId="4506"/>
    <cellStyle name="Nota 2 2 2 6 3" xfId="1404"/>
    <cellStyle name="Nota 2 2 2 6 3 2" xfId="5410"/>
    <cellStyle name="Nota 2 2 2 6 3 2 2" xfId="11960"/>
    <cellStyle name="Nota 2 2 2 6 3 2 2 2" xfId="26282"/>
    <cellStyle name="Nota 2 2 2 6 3 2 3" xfId="17605"/>
    <cellStyle name="Nota 2 2 2 6 3 3" xfId="5309"/>
    <cellStyle name="Nota 2 2 2 6 3 3 2" xfId="9618"/>
    <cellStyle name="Nota 2 2 2 6 3 3 2 2" xfId="15880"/>
    <cellStyle name="Nota 2 2 2 6 3 3 2 2 2" xfId="29296"/>
    <cellStyle name="Nota 2 2 2 6 3 3 2 3" xfId="20625"/>
    <cellStyle name="Nota 2 2 2 6 3 3 3" xfId="11859"/>
    <cellStyle name="Nota 2 2 2 6 3 3 3 2" xfId="26181"/>
    <cellStyle name="Nota 2 2 2 6 3 3 4" xfId="17504"/>
    <cellStyle name="Nota 2 2 2 6 3 4" xfId="6742"/>
    <cellStyle name="Nota 2 2 2 6 3 4 2" xfId="23691"/>
    <cellStyle name="Nota 2 2 2 6 3 5" xfId="17398"/>
    <cellStyle name="Nota 2 2 2 6 4" xfId="1405"/>
    <cellStyle name="Nota 2 2 2 6 4 2" xfId="7820"/>
    <cellStyle name="Nota 2 2 2 6 4 2 2" xfId="10434"/>
    <cellStyle name="Nota 2 2 2 6 4 2 2 2" xfId="16696"/>
    <cellStyle name="Nota 2 2 2 6 4 2 2 2 2" xfId="30112"/>
    <cellStyle name="Nota 2 2 2 6 4 2 2 3" xfId="21441"/>
    <cellStyle name="Nota 2 2 2 6 4 2 3" xfId="14424"/>
    <cellStyle name="Nota 2 2 2 6 4 2 3 2" xfId="28746"/>
    <cellStyle name="Nota 2 2 2 6 4 2 4" xfId="20069"/>
    <cellStyle name="Nota 2 2 2 6 4 3" xfId="12529"/>
    <cellStyle name="Nota 2 2 2 6 4 3 2" xfId="26851"/>
    <cellStyle name="Nota 2 2 2 6 4 4" xfId="18174"/>
    <cellStyle name="Nota 2 2 2 6 5" xfId="5186"/>
    <cellStyle name="Nota 2 2 2 6 5 2" xfId="11735"/>
    <cellStyle name="Nota 2 2 2 6 5 2 2" xfId="26057"/>
    <cellStyle name="Nota 2 2 2 6 5 3" xfId="17399"/>
    <cellStyle name="Nota 2 2 2 6 6" xfId="6043"/>
    <cellStyle name="Nota 2 2 2 6 6 2" xfId="23397"/>
    <cellStyle name="Nota 2 2 2 6 7" xfId="17043"/>
    <cellStyle name="Nota 2 2 2 7" xfId="1406"/>
    <cellStyle name="Nota 2 2 2 7 2" xfId="1407"/>
    <cellStyle name="Nota 2 2 2 7 2 2" xfId="7025"/>
    <cellStyle name="Nota 2 2 2 7 2 2 2" xfId="13629"/>
    <cellStyle name="Nota 2 2 2 7 2 2 2 2" xfId="27951"/>
    <cellStyle name="Nota 2 2 2 7 2 2 3" xfId="19274"/>
    <cellStyle name="Nota 2 2 2 7 2 3" xfId="7382"/>
    <cellStyle name="Nota 2 2 2 7 2 3 2" xfId="9996"/>
    <cellStyle name="Nota 2 2 2 7 2 3 2 2" xfId="16258"/>
    <cellStyle name="Nota 2 2 2 7 2 3 2 2 2" xfId="29674"/>
    <cellStyle name="Nota 2 2 2 7 2 3 2 3" xfId="21003"/>
    <cellStyle name="Nota 2 2 2 7 2 3 3" xfId="13986"/>
    <cellStyle name="Nota 2 2 2 7 2 3 3 2" xfId="28308"/>
    <cellStyle name="Nota 2 2 2 7 2 3 4" xfId="19631"/>
    <cellStyle name="Nota 2 2 2 7 2 4" xfId="11562"/>
    <cellStyle name="Nota 2 2 2 7 2 4 2" xfId="25884"/>
    <cellStyle name="Nota 2 2 2 7 2 5" xfId="16953"/>
    <cellStyle name="Nota 2 2 2 7 3" xfId="1408"/>
    <cellStyle name="Nota 2 2 2 7 3 2" xfId="3627"/>
    <cellStyle name="Nota 2 2 2 7 3 2 2" xfId="9348"/>
    <cellStyle name="Nota 2 2 2 7 3 2 2 2" xfId="15610"/>
    <cellStyle name="Nota 2 2 2 7 3 2 2 2 2" xfId="29026"/>
    <cellStyle name="Nota 2 2 2 7 3 2 2 3" xfId="20355"/>
    <cellStyle name="Nota 2 2 2 7 3 2 3" xfId="6243"/>
    <cellStyle name="Nota 2 2 2 7 3 2 3 2" xfId="23468"/>
    <cellStyle name="Nota 2 2 2 7 3 2 4" xfId="15424"/>
    <cellStyle name="Nota 2 2 2 7 3 3" xfId="12638"/>
    <cellStyle name="Nota 2 2 2 7 3 3 2" xfId="26960"/>
    <cellStyle name="Nota 2 2 2 7 3 4" xfId="18283"/>
    <cellStyle name="Nota 2 2 2 7 4" xfId="5220"/>
    <cellStyle name="Nota 2 2 2 7 4 2" xfId="11769"/>
    <cellStyle name="Nota 2 2 2 7 4 2 2" xfId="26091"/>
    <cellStyle name="Nota 2 2 2 7 4 3" xfId="17414"/>
    <cellStyle name="Nota 2 2 2 7 5" xfId="4171"/>
    <cellStyle name="Nota 2 2 2 7 5 2" xfId="22795"/>
    <cellStyle name="Nota 2 2 2 7 6" xfId="17370"/>
    <cellStyle name="Nota 2 2 2 8" xfId="1409"/>
    <cellStyle name="Nota 2 2 2 8 2" xfId="7011"/>
    <cellStyle name="Nota 2 2 2 8 2 2" xfId="13615"/>
    <cellStyle name="Nota 2 2 2 8 2 2 2" xfId="27937"/>
    <cellStyle name="Nota 2 2 2 8 2 3" xfId="19260"/>
    <cellStyle name="Nota 2 2 2 8 3" xfId="7519"/>
    <cellStyle name="Nota 2 2 2 8 3 2" xfId="10133"/>
    <cellStyle name="Nota 2 2 2 8 3 2 2" xfId="16395"/>
    <cellStyle name="Nota 2 2 2 8 3 2 2 2" xfId="29811"/>
    <cellStyle name="Nota 2 2 2 8 3 2 3" xfId="21140"/>
    <cellStyle name="Nota 2 2 2 8 3 3" xfId="14123"/>
    <cellStyle name="Nota 2 2 2 8 3 3 2" xfId="28445"/>
    <cellStyle name="Nota 2 2 2 8 3 4" xfId="19768"/>
    <cellStyle name="Nota 2 2 2 8 4" xfId="11535"/>
    <cellStyle name="Nota 2 2 2 8 4 2" xfId="25857"/>
    <cellStyle name="Nota 2 2 2 8 5" xfId="3857"/>
    <cellStyle name="Nota 2 2 2 9" xfId="1410"/>
    <cellStyle name="Nota 2 2 2 9 2" xfId="5302"/>
    <cellStyle name="Nota 2 2 2 9 2 2" xfId="9611"/>
    <cellStyle name="Nota 2 2 2 9 2 2 2" xfId="15873"/>
    <cellStyle name="Nota 2 2 2 9 2 2 2 2" xfId="29289"/>
    <cellStyle name="Nota 2 2 2 9 2 2 3" xfId="20618"/>
    <cellStyle name="Nota 2 2 2 9 2 3" xfId="11852"/>
    <cellStyle name="Nota 2 2 2 9 2 3 2" xfId="26174"/>
    <cellStyle name="Nota 2 2 2 9 2 4" xfId="17497"/>
    <cellStyle name="Nota 2 2 2 9 3" xfId="11406"/>
    <cellStyle name="Nota 2 2 2 9 3 2" xfId="25728"/>
    <cellStyle name="Nota 2 2 2 9 4" xfId="17084"/>
    <cellStyle name="Nota 2 2 3" xfId="1411"/>
    <cellStyle name="Nota 2 2 3 10" xfId="4369"/>
    <cellStyle name="Nota 2 2 3 10 2" xfId="22911"/>
    <cellStyle name="Nota 2 2 3 11" xfId="14931"/>
    <cellStyle name="Nota 2 2 3 2" xfId="1412"/>
    <cellStyle name="Nota 2 2 3 2 2" xfId="1413"/>
    <cellStyle name="Nota 2 2 3 2 2 2" xfId="1414"/>
    <cellStyle name="Nota 2 2 3 2 2 2 2" xfId="6527"/>
    <cellStyle name="Nota 2 2 3 2 2 2 2 2" xfId="13115"/>
    <cellStyle name="Nota 2 2 3 2 2 2 2 2 2" xfId="27437"/>
    <cellStyle name="Nota 2 2 3 2 2 2 2 3" xfId="18760"/>
    <cellStyle name="Nota 2 2 3 2 2 2 3" xfId="7454"/>
    <cellStyle name="Nota 2 2 3 2 2 2 3 2" xfId="10068"/>
    <cellStyle name="Nota 2 2 3 2 2 2 3 2 2" xfId="16330"/>
    <cellStyle name="Nota 2 2 3 2 2 2 3 2 2 2" xfId="29746"/>
    <cellStyle name="Nota 2 2 3 2 2 2 3 2 3" xfId="21075"/>
    <cellStyle name="Nota 2 2 3 2 2 2 3 3" xfId="14058"/>
    <cellStyle name="Nota 2 2 3 2 2 2 3 3 2" xfId="28380"/>
    <cellStyle name="Nota 2 2 3 2 2 2 3 4" xfId="19703"/>
    <cellStyle name="Nota 2 2 3 2 2 2 4" xfId="2829"/>
    <cellStyle name="Nota 2 2 3 2 2 2 4 2" xfId="22392"/>
    <cellStyle name="Nota 2 2 3 2 2 2 5" xfId="3704"/>
    <cellStyle name="Nota 2 2 3 2 2 3" xfId="1415"/>
    <cellStyle name="Nota 2 2 3 2 2 3 2" xfId="7610"/>
    <cellStyle name="Nota 2 2 3 2 2 3 2 2" xfId="10224"/>
    <cellStyle name="Nota 2 2 3 2 2 3 2 2 2" xfId="16486"/>
    <cellStyle name="Nota 2 2 3 2 2 3 2 2 2 2" xfId="29902"/>
    <cellStyle name="Nota 2 2 3 2 2 3 2 2 3" xfId="21231"/>
    <cellStyle name="Nota 2 2 3 2 2 3 2 3" xfId="14214"/>
    <cellStyle name="Nota 2 2 3 2 2 3 2 3 2" xfId="28536"/>
    <cellStyle name="Nota 2 2 3 2 2 3 2 4" xfId="19859"/>
    <cellStyle name="Nota 2 2 3 2 2 3 3" xfId="13314"/>
    <cellStyle name="Nota 2 2 3 2 2 3 3 2" xfId="27636"/>
    <cellStyle name="Nota 2 2 3 2 2 3 4" xfId="18959"/>
    <cellStyle name="Nota 2 2 3 2 2 4" xfId="5764"/>
    <cellStyle name="Nota 2 2 3 2 2 4 2" xfId="12317"/>
    <cellStyle name="Nota 2 2 3 2 2 4 2 2" xfId="26639"/>
    <cellStyle name="Nota 2 2 3 2 2 4 3" xfId="17962"/>
    <cellStyle name="Nota 2 2 3 2 2 5" xfId="3712"/>
    <cellStyle name="Nota 2 2 3 2 2 5 2" xfId="22539"/>
    <cellStyle name="Nota 2 2 3 2 2 6" xfId="15472"/>
    <cellStyle name="Nota 2 2 3 2 3" xfId="1416"/>
    <cellStyle name="Nota 2 2 3 2 3 2" xfId="1417"/>
    <cellStyle name="Nota 2 2 3 2 3 2 2" xfId="6555"/>
    <cellStyle name="Nota 2 2 3 2 3 2 2 2" xfId="13143"/>
    <cellStyle name="Nota 2 2 3 2 3 2 2 2 2" xfId="27465"/>
    <cellStyle name="Nota 2 2 3 2 3 2 2 3" xfId="18788"/>
    <cellStyle name="Nota 2 2 3 2 3 2 3" xfId="7301"/>
    <cellStyle name="Nota 2 2 3 2 3 2 3 2" xfId="9915"/>
    <cellStyle name="Nota 2 2 3 2 3 2 3 2 2" xfId="16177"/>
    <cellStyle name="Nota 2 2 3 2 3 2 3 2 2 2" xfId="29593"/>
    <cellStyle name="Nota 2 2 3 2 3 2 3 2 3" xfId="20922"/>
    <cellStyle name="Nota 2 2 3 2 3 2 3 3" xfId="13905"/>
    <cellStyle name="Nota 2 2 3 2 3 2 3 3 2" xfId="28227"/>
    <cellStyle name="Nota 2 2 3 2 3 2 3 4" xfId="19550"/>
    <cellStyle name="Nota 2 2 3 2 3 2 4" xfId="3475"/>
    <cellStyle name="Nota 2 2 3 2 3 2 4 2" xfId="22473"/>
    <cellStyle name="Nota 2 2 3 2 3 2 5" xfId="14996"/>
    <cellStyle name="Nota 2 2 3 2 3 3" xfId="1418"/>
    <cellStyle name="Nota 2 2 3 2 3 3 2" xfId="7116"/>
    <cellStyle name="Nota 2 2 3 2 3 3 2 2" xfId="9730"/>
    <cellStyle name="Nota 2 2 3 2 3 3 2 2 2" xfId="15992"/>
    <cellStyle name="Nota 2 2 3 2 3 3 2 2 2 2" xfId="29408"/>
    <cellStyle name="Nota 2 2 3 2 3 3 2 2 3" xfId="20737"/>
    <cellStyle name="Nota 2 2 3 2 3 3 2 3" xfId="13720"/>
    <cellStyle name="Nota 2 2 3 2 3 3 2 3 2" xfId="28042"/>
    <cellStyle name="Nota 2 2 3 2 3 3 2 4" xfId="19365"/>
    <cellStyle name="Nota 2 2 3 2 3 3 3" xfId="12619"/>
    <cellStyle name="Nota 2 2 3 2 3 3 3 2" xfId="26941"/>
    <cellStyle name="Nota 2 2 3 2 3 3 4" xfId="18264"/>
    <cellStyle name="Nota 2 2 3 2 3 4" xfId="3703"/>
    <cellStyle name="Nota 2 2 3 2 3 4 2" xfId="6573"/>
    <cellStyle name="Nota 2 2 3 2 3 4 2 2" xfId="23583"/>
    <cellStyle name="Nota 2 2 3 2 3 4 3" xfId="4616"/>
    <cellStyle name="Nota 2 2 3 2 3 5" xfId="3945"/>
    <cellStyle name="Nota 2 2 3 2 3 5 2" xfId="22661"/>
    <cellStyle name="Nota 2 2 3 2 3 6" xfId="14857"/>
    <cellStyle name="Nota 2 2 3 2 4" xfId="1419"/>
    <cellStyle name="Nota 2 2 3 2 4 2" xfId="6900"/>
    <cellStyle name="Nota 2 2 3 2 4 2 2" xfId="13504"/>
    <cellStyle name="Nota 2 2 3 2 4 2 2 2" xfId="27826"/>
    <cellStyle name="Nota 2 2 3 2 4 2 3" xfId="19149"/>
    <cellStyle name="Nota 2 2 3 2 4 3" xfId="7291"/>
    <cellStyle name="Nota 2 2 3 2 4 3 2" xfId="9905"/>
    <cellStyle name="Nota 2 2 3 2 4 3 2 2" xfId="16167"/>
    <cellStyle name="Nota 2 2 3 2 4 3 2 2 2" xfId="29583"/>
    <cellStyle name="Nota 2 2 3 2 4 3 2 3" xfId="20912"/>
    <cellStyle name="Nota 2 2 3 2 4 3 3" xfId="13895"/>
    <cellStyle name="Nota 2 2 3 2 4 3 3 2" xfId="28217"/>
    <cellStyle name="Nota 2 2 3 2 4 3 4" xfId="19540"/>
    <cellStyle name="Nota 2 2 3 2 4 4" xfId="11379"/>
    <cellStyle name="Nota 2 2 3 2 4 4 2" xfId="25701"/>
    <cellStyle name="Nota 2 2 3 2 4 5" xfId="17387"/>
    <cellStyle name="Nota 2 2 3 2 5" xfId="1420"/>
    <cellStyle name="Nota 2 2 3 2 5 2" xfId="7437"/>
    <cellStyle name="Nota 2 2 3 2 5 2 2" xfId="10051"/>
    <cellStyle name="Nota 2 2 3 2 5 2 2 2" xfId="16313"/>
    <cellStyle name="Nota 2 2 3 2 5 2 2 2 2" xfId="29729"/>
    <cellStyle name="Nota 2 2 3 2 5 2 2 3" xfId="21058"/>
    <cellStyle name="Nota 2 2 3 2 5 2 3" xfId="14041"/>
    <cellStyle name="Nota 2 2 3 2 5 2 3 2" xfId="28363"/>
    <cellStyle name="Nota 2 2 3 2 5 2 4" xfId="19686"/>
    <cellStyle name="Nota 2 2 3 2 5 3" xfId="12890"/>
    <cellStyle name="Nota 2 2 3 2 5 3 2" xfId="27212"/>
    <cellStyle name="Nota 2 2 3 2 5 4" xfId="18535"/>
    <cellStyle name="Nota 2 2 3 2 6" xfId="5508"/>
    <cellStyle name="Nota 2 2 3 2 6 2" xfId="12059"/>
    <cellStyle name="Nota 2 2 3 2 6 2 2" xfId="26381"/>
    <cellStyle name="Nota 2 2 3 2 6 3" xfId="17704"/>
    <cellStyle name="Nota 2 2 3 2 7" xfId="4411"/>
    <cellStyle name="Nota 2 2 3 2 7 2" xfId="22935"/>
    <cellStyle name="Nota 2 2 3 2 8" xfId="15332"/>
    <cellStyle name="Nota 2 2 3 3" xfId="1421"/>
    <cellStyle name="Nota 2 2 3 3 2" xfId="1422"/>
    <cellStyle name="Nota 2 2 3 3 2 2" xfId="1423"/>
    <cellStyle name="Nota 2 2 3 3 2 2 2" xfId="6459"/>
    <cellStyle name="Nota 2 2 3 3 2 2 2 2" xfId="13042"/>
    <cellStyle name="Nota 2 2 3 3 2 2 2 2 2" xfId="27364"/>
    <cellStyle name="Nota 2 2 3 3 2 2 2 3" xfId="18687"/>
    <cellStyle name="Nota 2 2 3 3 2 2 3" xfId="7185"/>
    <cellStyle name="Nota 2 2 3 3 2 2 3 2" xfId="9799"/>
    <cellStyle name="Nota 2 2 3 3 2 2 3 2 2" xfId="16061"/>
    <cellStyle name="Nota 2 2 3 3 2 2 3 2 2 2" xfId="29477"/>
    <cellStyle name="Nota 2 2 3 3 2 2 3 2 3" xfId="20806"/>
    <cellStyle name="Nota 2 2 3 3 2 2 3 3" xfId="13789"/>
    <cellStyle name="Nota 2 2 3 3 2 2 3 3 2" xfId="28111"/>
    <cellStyle name="Nota 2 2 3 3 2 2 3 4" xfId="19434"/>
    <cellStyle name="Nota 2 2 3 3 2 2 4" xfId="6151"/>
    <cellStyle name="Nota 2 2 3 3 2 2 4 2" xfId="23431"/>
    <cellStyle name="Nota 2 2 3 3 2 2 5" xfId="15168"/>
    <cellStyle name="Nota 2 2 3 3 2 3" xfId="1424"/>
    <cellStyle name="Nota 2 2 3 3 2 3 2" xfId="7174"/>
    <cellStyle name="Nota 2 2 3 3 2 3 2 2" xfId="9788"/>
    <cellStyle name="Nota 2 2 3 3 2 3 2 2 2" xfId="16050"/>
    <cellStyle name="Nota 2 2 3 3 2 3 2 2 2 2" xfId="29466"/>
    <cellStyle name="Nota 2 2 3 3 2 3 2 2 3" xfId="20795"/>
    <cellStyle name="Nota 2 2 3 3 2 3 2 3" xfId="13778"/>
    <cellStyle name="Nota 2 2 3 3 2 3 2 3 2" xfId="28100"/>
    <cellStyle name="Nota 2 2 3 3 2 3 2 4" xfId="19423"/>
    <cellStyle name="Nota 2 2 3 3 2 3 3" xfId="13350"/>
    <cellStyle name="Nota 2 2 3 3 2 3 3 2" xfId="27672"/>
    <cellStyle name="Nota 2 2 3 3 2 3 4" xfId="18995"/>
    <cellStyle name="Nota 2 2 3 3 2 4" xfId="5800"/>
    <cellStyle name="Nota 2 2 3 3 2 4 2" xfId="12353"/>
    <cellStyle name="Nota 2 2 3 3 2 4 2 2" xfId="26675"/>
    <cellStyle name="Nota 2 2 3 3 2 4 3" xfId="17998"/>
    <cellStyle name="Nota 2 2 3 3 2 5" xfId="6099"/>
    <cellStyle name="Nota 2 2 3 3 2 5 2" xfId="23415"/>
    <cellStyle name="Nota 2 2 3 3 2 6" xfId="15006"/>
    <cellStyle name="Nota 2 2 3 3 3" xfId="1425"/>
    <cellStyle name="Nota 2 2 3 3 3 2" xfId="1426"/>
    <cellStyle name="Nota 2 2 3 3 3 2 2" xfId="6126"/>
    <cellStyle name="Nota 2 2 3 3 3 2 2 2" xfId="12695"/>
    <cellStyle name="Nota 2 2 3 3 3 2 2 2 2" xfId="27017"/>
    <cellStyle name="Nota 2 2 3 3 3 2 2 3" xfId="18340"/>
    <cellStyle name="Nota 2 2 3 3 3 2 3" xfId="8066"/>
    <cellStyle name="Nota 2 2 3 3 3 2 3 2" xfId="10680"/>
    <cellStyle name="Nota 2 2 3 3 3 2 3 2 2" xfId="16942"/>
    <cellStyle name="Nota 2 2 3 3 3 2 3 2 2 2" xfId="30358"/>
    <cellStyle name="Nota 2 2 3 3 3 2 3 2 3" xfId="21687"/>
    <cellStyle name="Nota 2 2 3 3 3 2 3 3" xfId="14670"/>
    <cellStyle name="Nota 2 2 3 3 3 2 3 3 2" xfId="28992"/>
    <cellStyle name="Nota 2 2 3 3 3 2 3 4" xfId="20315"/>
    <cellStyle name="Nota 2 2 3 3 3 2 4" xfId="5577"/>
    <cellStyle name="Nota 2 2 3 3 3 2 4 2" xfId="23352"/>
    <cellStyle name="Nota 2 2 3 3 3 2 5" xfId="14817"/>
    <cellStyle name="Nota 2 2 3 3 3 3" xfId="1427"/>
    <cellStyle name="Nota 2 2 3 3 3 3 2" xfId="7395"/>
    <cellStyle name="Nota 2 2 3 3 3 3 2 2" xfId="10009"/>
    <cellStyle name="Nota 2 2 3 3 3 3 2 2 2" xfId="16271"/>
    <cellStyle name="Nota 2 2 3 3 3 3 2 2 2 2" xfId="29687"/>
    <cellStyle name="Nota 2 2 3 3 3 3 2 2 3" xfId="21016"/>
    <cellStyle name="Nota 2 2 3 3 3 3 2 3" xfId="13999"/>
    <cellStyle name="Nota 2 2 3 3 3 3 2 3 2" xfId="28321"/>
    <cellStyle name="Nota 2 2 3 3 3 3 2 4" xfId="19644"/>
    <cellStyle name="Nota 2 2 3 3 3 3 3" xfId="12458"/>
    <cellStyle name="Nota 2 2 3 3 3 3 3 2" xfId="26780"/>
    <cellStyle name="Nota 2 2 3 3 3 3 4" xfId="18103"/>
    <cellStyle name="Nota 2 2 3 3 3 4" xfId="3616"/>
    <cellStyle name="Nota 2 2 3 3 3 4 2" xfId="3864"/>
    <cellStyle name="Nota 2 2 3 3 3 4 2 2" xfId="22618"/>
    <cellStyle name="Nota 2 2 3 3 3 4 3" xfId="15303"/>
    <cellStyle name="Nota 2 2 3 3 3 5" xfId="3293"/>
    <cellStyle name="Nota 2 2 3 3 3 5 2" xfId="22466"/>
    <cellStyle name="Nota 2 2 3 3 3 6" xfId="15590"/>
    <cellStyle name="Nota 2 2 3 3 4" xfId="1428"/>
    <cellStyle name="Nota 2 2 3 3 4 2" xfId="6210"/>
    <cellStyle name="Nota 2 2 3 3 4 2 2" xfId="12783"/>
    <cellStyle name="Nota 2 2 3 3 4 2 2 2" xfId="27105"/>
    <cellStyle name="Nota 2 2 3 3 4 2 3" xfId="18428"/>
    <cellStyle name="Nota 2 2 3 3 4 3" xfId="7126"/>
    <cellStyle name="Nota 2 2 3 3 4 3 2" xfId="9740"/>
    <cellStyle name="Nota 2 2 3 3 4 3 2 2" xfId="16002"/>
    <cellStyle name="Nota 2 2 3 3 4 3 2 2 2" xfId="29418"/>
    <cellStyle name="Nota 2 2 3 3 4 3 2 3" xfId="20747"/>
    <cellStyle name="Nota 2 2 3 3 4 3 3" xfId="13730"/>
    <cellStyle name="Nota 2 2 3 3 4 3 3 2" xfId="28052"/>
    <cellStyle name="Nota 2 2 3 3 4 3 4" xfId="19375"/>
    <cellStyle name="Nota 2 2 3 3 4 4" xfId="6000"/>
    <cellStyle name="Nota 2 2 3 3 4 4 2" xfId="23392"/>
    <cellStyle name="Nota 2 2 3 3 4 5" xfId="17362"/>
    <cellStyle name="Nota 2 2 3 3 5" xfId="1429"/>
    <cellStyle name="Nota 2 2 3 3 5 2" xfId="7151"/>
    <cellStyle name="Nota 2 2 3 3 5 2 2" xfId="9765"/>
    <cellStyle name="Nota 2 2 3 3 5 2 2 2" xfId="16027"/>
    <cellStyle name="Nota 2 2 3 3 5 2 2 2 2" xfId="29443"/>
    <cellStyle name="Nota 2 2 3 3 5 2 2 3" xfId="20772"/>
    <cellStyle name="Nota 2 2 3 3 5 2 3" xfId="13755"/>
    <cellStyle name="Nota 2 2 3 3 5 2 3 2" xfId="28077"/>
    <cellStyle name="Nota 2 2 3 3 5 2 4" xfId="19400"/>
    <cellStyle name="Nota 2 2 3 3 5 3" xfId="12926"/>
    <cellStyle name="Nota 2 2 3 3 5 3 2" xfId="27248"/>
    <cellStyle name="Nota 2 2 3 3 5 4" xfId="18571"/>
    <cellStyle name="Nota 2 2 3 3 6" xfId="5550"/>
    <cellStyle name="Nota 2 2 3 3 6 2" xfId="12101"/>
    <cellStyle name="Nota 2 2 3 3 6 2 2" xfId="26423"/>
    <cellStyle name="Nota 2 2 3 3 6 3" xfId="17746"/>
    <cellStyle name="Nota 2 2 3 3 7" xfId="4282"/>
    <cellStyle name="Nota 2 2 3 3 7 2" xfId="22868"/>
    <cellStyle name="Nota 2 2 3 3 8" xfId="17074"/>
    <cellStyle name="Nota 2 2 3 4" xfId="1430"/>
    <cellStyle name="Nota 2 2 3 4 2" xfId="1431"/>
    <cellStyle name="Nota 2 2 3 4 2 2" xfId="1432"/>
    <cellStyle name="Nota 2 2 3 4 2 2 2" xfId="6881"/>
    <cellStyle name="Nota 2 2 3 4 2 2 2 2" xfId="13485"/>
    <cellStyle name="Nota 2 2 3 4 2 2 2 2 2" xfId="27807"/>
    <cellStyle name="Nota 2 2 3 4 2 2 2 3" xfId="19130"/>
    <cellStyle name="Nota 2 2 3 4 2 2 3" xfId="7689"/>
    <cellStyle name="Nota 2 2 3 4 2 2 3 2" xfId="10303"/>
    <cellStyle name="Nota 2 2 3 4 2 2 3 2 2" xfId="16565"/>
    <cellStyle name="Nota 2 2 3 4 2 2 3 2 2 2" xfId="29981"/>
    <cellStyle name="Nota 2 2 3 4 2 2 3 2 3" xfId="21310"/>
    <cellStyle name="Nota 2 2 3 4 2 2 3 3" xfId="14293"/>
    <cellStyle name="Nota 2 2 3 4 2 2 3 3 2" xfId="28615"/>
    <cellStyle name="Nota 2 2 3 4 2 2 3 4" xfId="19938"/>
    <cellStyle name="Nota 2 2 3 4 2 2 4" xfId="11355"/>
    <cellStyle name="Nota 2 2 3 4 2 2 4 2" xfId="25677"/>
    <cellStyle name="Nota 2 2 3 4 2 2 5" xfId="15550"/>
    <cellStyle name="Nota 2 2 3 4 2 3" xfId="1433"/>
    <cellStyle name="Nota 2 2 3 4 2 3 2" xfId="7187"/>
    <cellStyle name="Nota 2 2 3 4 2 3 2 2" xfId="9801"/>
    <cellStyle name="Nota 2 2 3 4 2 3 2 2 2" xfId="16063"/>
    <cellStyle name="Nota 2 2 3 4 2 3 2 2 2 2" xfId="29479"/>
    <cellStyle name="Nota 2 2 3 4 2 3 2 2 3" xfId="20808"/>
    <cellStyle name="Nota 2 2 3 4 2 3 2 3" xfId="13791"/>
    <cellStyle name="Nota 2 2 3 4 2 3 2 3 2" xfId="28113"/>
    <cellStyle name="Nota 2 2 3 4 2 3 2 4" xfId="19436"/>
    <cellStyle name="Nota 2 2 3 4 2 3 3" xfId="13270"/>
    <cellStyle name="Nota 2 2 3 4 2 3 3 2" xfId="27592"/>
    <cellStyle name="Nota 2 2 3 4 2 3 4" xfId="18915"/>
    <cellStyle name="Nota 2 2 3 4 2 4" xfId="5716"/>
    <cellStyle name="Nota 2 2 3 4 2 4 2" xfId="12269"/>
    <cellStyle name="Nota 2 2 3 4 2 4 2 2" xfId="26591"/>
    <cellStyle name="Nota 2 2 3 4 2 4 3" xfId="17914"/>
    <cellStyle name="Nota 2 2 3 4 2 5" xfId="3793"/>
    <cellStyle name="Nota 2 2 3 4 2 5 2" xfId="22582"/>
    <cellStyle name="Nota 2 2 3 4 2 6" xfId="14781"/>
    <cellStyle name="Nota 2 2 3 4 3" xfId="1434"/>
    <cellStyle name="Nota 2 2 3 4 3 2" xfId="1435"/>
    <cellStyle name="Nota 2 2 3 4 3 2 2" xfId="6499"/>
    <cellStyle name="Nota 2 2 3 4 3 2 2 2" xfId="13085"/>
    <cellStyle name="Nota 2 2 3 4 3 2 2 2 2" xfId="27407"/>
    <cellStyle name="Nota 2 2 3 4 3 2 2 3" xfId="18730"/>
    <cellStyle name="Nota 2 2 3 4 3 2 3" xfId="3260"/>
    <cellStyle name="Nota 2 2 3 4 3 2 3 2" xfId="9050"/>
    <cellStyle name="Nota 2 2 3 4 3 2 3 2 2" xfId="15389"/>
    <cellStyle name="Nota 2 2 3 4 3 2 3 2 2 2" xfId="29008"/>
    <cellStyle name="Nota 2 2 3 4 3 2 3 2 3" xfId="20335"/>
    <cellStyle name="Nota 2 2 3 4 3 2 3 3" xfId="6620"/>
    <cellStyle name="Nota 2 2 3 4 3 2 3 3 2" xfId="23610"/>
    <cellStyle name="Nota 2 2 3 4 3 2 3 4" xfId="15475"/>
    <cellStyle name="Nota 2 2 3 4 3 2 4" xfId="3830"/>
    <cellStyle name="Nota 2 2 3 4 3 2 4 2" xfId="22602"/>
    <cellStyle name="Nota 2 2 3 4 3 2 5" xfId="6467"/>
    <cellStyle name="Nota 2 2 3 4 3 3" xfId="1436"/>
    <cellStyle name="Nota 2 2 3 4 3 3 2" xfId="7773"/>
    <cellStyle name="Nota 2 2 3 4 3 3 2 2" xfId="10387"/>
    <cellStyle name="Nota 2 2 3 4 3 3 2 2 2" xfId="16649"/>
    <cellStyle name="Nota 2 2 3 4 3 3 2 2 2 2" xfId="30065"/>
    <cellStyle name="Nota 2 2 3 4 3 3 2 2 3" xfId="21394"/>
    <cellStyle name="Nota 2 2 3 4 3 3 2 3" xfId="14377"/>
    <cellStyle name="Nota 2 2 3 4 3 3 2 3 2" xfId="28699"/>
    <cellStyle name="Nota 2 2 3 4 3 3 2 4" xfId="20022"/>
    <cellStyle name="Nota 2 2 3 4 3 3 3" xfId="13033"/>
    <cellStyle name="Nota 2 2 3 4 3 3 3 2" xfId="27355"/>
    <cellStyle name="Nota 2 2 3 4 3 3 4" xfId="18678"/>
    <cellStyle name="Nota 2 2 3 4 3 4" xfId="5346"/>
    <cellStyle name="Nota 2 2 3 4 3 4 2" xfId="11896"/>
    <cellStyle name="Nota 2 2 3 4 3 4 2 2" xfId="26218"/>
    <cellStyle name="Nota 2 2 3 4 3 4 3" xfId="17541"/>
    <cellStyle name="Nota 2 2 3 4 3 5" xfId="6290"/>
    <cellStyle name="Nota 2 2 3 4 3 5 2" xfId="23491"/>
    <cellStyle name="Nota 2 2 3 4 3 6" xfId="4416"/>
    <cellStyle name="Nota 2 2 3 4 4" xfId="1437"/>
    <cellStyle name="Nota 2 2 3 4 4 2" xfId="6983"/>
    <cellStyle name="Nota 2 2 3 4 4 2 2" xfId="13587"/>
    <cellStyle name="Nota 2 2 3 4 4 2 2 2" xfId="27909"/>
    <cellStyle name="Nota 2 2 3 4 4 2 3" xfId="19232"/>
    <cellStyle name="Nota 2 2 3 4 4 3" xfId="7348"/>
    <cellStyle name="Nota 2 2 3 4 4 3 2" xfId="9962"/>
    <cellStyle name="Nota 2 2 3 4 4 3 2 2" xfId="16224"/>
    <cellStyle name="Nota 2 2 3 4 4 3 2 2 2" xfId="29640"/>
    <cellStyle name="Nota 2 2 3 4 4 3 2 3" xfId="20969"/>
    <cellStyle name="Nota 2 2 3 4 4 3 3" xfId="13952"/>
    <cellStyle name="Nota 2 2 3 4 4 3 3 2" xfId="28274"/>
    <cellStyle name="Nota 2 2 3 4 4 3 4" xfId="19597"/>
    <cellStyle name="Nota 2 2 3 4 4 4" xfId="11495"/>
    <cellStyle name="Nota 2 2 3 4 4 4 2" xfId="25817"/>
    <cellStyle name="Nota 2 2 3 4 4 5" xfId="14811"/>
    <cellStyle name="Nota 2 2 3 4 5" xfId="1438"/>
    <cellStyle name="Nota 2 2 3 4 5 2" xfId="7511"/>
    <cellStyle name="Nota 2 2 3 4 5 2 2" xfId="10125"/>
    <cellStyle name="Nota 2 2 3 4 5 2 2 2" xfId="16387"/>
    <cellStyle name="Nota 2 2 3 4 5 2 2 2 2" xfId="29803"/>
    <cellStyle name="Nota 2 2 3 4 5 2 2 3" xfId="21132"/>
    <cellStyle name="Nota 2 2 3 4 5 2 3" xfId="14115"/>
    <cellStyle name="Nota 2 2 3 4 5 2 3 2" xfId="28437"/>
    <cellStyle name="Nota 2 2 3 4 5 2 4" xfId="19760"/>
    <cellStyle name="Nota 2 2 3 4 5 3" xfId="12828"/>
    <cellStyle name="Nota 2 2 3 4 5 3 2" xfId="27150"/>
    <cellStyle name="Nota 2 2 3 4 5 4" xfId="18473"/>
    <cellStyle name="Nota 2 2 3 4 6" xfId="5383"/>
    <cellStyle name="Nota 2 2 3 4 6 2" xfId="11933"/>
    <cellStyle name="Nota 2 2 3 4 6 2 2" xfId="26255"/>
    <cellStyle name="Nota 2 2 3 4 6 3" xfId="17578"/>
    <cellStyle name="Nota 2 2 3 4 7" xfId="2840"/>
    <cellStyle name="Nota 2 2 3 4 7 2" xfId="22403"/>
    <cellStyle name="Nota 2 2 3 4 8" xfId="17130"/>
    <cellStyle name="Nota 2 2 3 5" xfId="1439"/>
    <cellStyle name="Nota 2 2 3 5 2" xfId="1440"/>
    <cellStyle name="Nota 2 2 3 5 2 2" xfId="1441"/>
    <cellStyle name="Nota 2 2 3 5 2 2 2" xfId="6455"/>
    <cellStyle name="Nota 2 2 3 5 2 2 2 2" xfId="13038"/>
    <cellStyle name="Nota 2 2 3 5 2 2 2 2 2" xfId="27360"/>
    <cellStyle name="Nota 2 2 3 5 2 2 2 3" xfId="18683"/>
    <cellStyle name="Nota 2 2 3 5 2 2 3" xfId="7800"/>
    <cellStyle name="Nota 2 2 3 5 2 2 3 2" xfId="10414"/>
    <cellStyle name="Nota 2 2 3 5 2 2 3 2 2" xfId="16676"/>
    <cellStyle name="Nota 2 2 3 5 2 2 3 2 2 2" xfId="30092"/>
    <cellStyle name="Nota 2 2 3 5 2 2 3 2 3" xfId="21421"/>
    <cellStyle name="Nota 2 2 3 5 2 2 3 3" xfId="14404"/>
    <cellStyle name="Nota 2 2 3 5 2 2 3 3 2" xfId="28726"/>
    <cellStyle name="Nota 2 2 3 5 2 2 3 4" xfId="20049"/>
    <cellStyle name="Nota 2 2 3 5 2 2 4" xfId="4962"/>
    <cellStyle name="Nota 2 2 3 5 2 2 4 2" xfId="23283"/>
    <cellStyle name="Nota 2 2 3 5 2 2 5" xfId="15100"/>
    <cellStyle name="Nota 2 2 3 5 2 3" xfId="1442"/>
    <cellStyle name="Nota 2 2 3 5 2 3 2" xfId="3933"/>
    <cellStyle name="Nota 2 2 3 5 2 3 2 2" xfId="9399"/>
    <cellStyle name="Nota 2 2 3 5 2 3 2 2 2" xfId="15661"/>
    <cellStyle name="Nota 2 2 3 5 2 3 2 2 2 2" xfId="29077"/>
    <cellStyle name="Nota 2 2 3 5 2 3 2 2 3" xfId="20406"/>
    <cellStyle name="Nota 2 2 3 5 2 3 2 3" xfId="4665"/>
    <cellStyle name="Nota 2 2 3 5 2 3 2 3 2" xfId="23104"/>
    <cellStyle name="Nota 2 2 3 5 2 3 2 4" xfId="15039"/>
    <cellStyle name="Nota 2 2 3 5 2 3 3" xfId="12133"/>
    <cellStyle name="Nota 2 2 3 5 2 3 3 2" xfId="26455"/>
    <cellStyle name="Nota 2 2 3 5 2 3 4" xfId="17778"/>
    <cellStyle name="Nota 2 2 3 5 2 4" xfId="4487"/>
    <cellStyle name="Nota 2 2 3 5 2 4 2" xfId="6181"/>
    <cellStyle name="Nota 2 2 3 5 2 4 2 2" xfId="23446"/>
    <cellStyle name="Nota 2 2 3 5 2 4 3" xfId="4379"/>
    <cellStyle name="Nota 2 2 3 5 2 5" xfId="4718"/>
    <cellStyle name="Nota 2 2 3 5 2 5 2" xfId="23148"/>
    <cellStyle name="Nota 2 2 3 5 2 6" xfId="15073"/>
    <cellStyle name="Nota 2 2 3 5 3" xfId="1443"/>
    <cellStyle name="Nota 2 2 3 5 3 2" xfId="6884"/>
    <cellStyle name="Nota 2 2 3 5 3 2 2" xfId="13488"/>
    <cellStyle name="Nota 2 2 3 5 3 2 2 2" xfId="27810"/>
    <cellStyle name="Nota 2 2 3 5 3 2 3" xfId="19133"/>
    <cellStyle name="Nota 2 2 3 5 3 3" xfId="4953"/>
    <cellStyle name="Nota 2 2 3 5 3 3 2" xfId="9524"/>
    <cellStyle name="Nota 2 2 3 5 3 3 2 2" xfId="15786"/>
    <cellStyle name="Nota 2 2 3 5 3 3 2 2 2" xfId="29202"/>
    <cellStyle name="Nota 2 2 3 5 3 3 2 3" xfId="20531"/>
    <cellStyle name="Nota 2 2 3 5 3 3 3" xfId="11492"/>
    <cellStyle name="Nota 2 2 3 5 3 3 3 2" xfId="25814"/>
    <cellStyle name="Nota 2 2 3 5 3 3 4" xfId="4634"/>
    <cellStyle name="Nota 2 2 3 5 3 4" xfId="11358"/>
    <cellStyle name="Nota 2 2 3 5 3 4 2" xfId="25680"/>
    <cellStyle name="Nota 2 2 3 5 3 5" xfId="4768"/>
    <cellStyle name="Nota 2 2 3 5 4" xfId="1444"/>
    <cellStyle name="Nota 2 2 3 5 4 2" xfId="5256"/>
    <cellStyle name="Nota 2 2 3 5 4 2 2" xfId="9565"/>
    <cellStyle name="Nota 2 2 3 5 4 2 2 2" xfId="15827"/>
    <cellStyle name="Nota 2 2 3 5 4 2 2 2 2" xfId="29243"/>
    <cellStyle name="Nota 2 2 3 5 4 2 2 3" xfId="20572"/>
    <cellStyle name="Nota 2 2 3 5 4 2 3" xfId="11806"/>
    <cellStyle name="Nota 2 2 3 5 4 2 3 2" xfId="26128"/>
    <cellStyle name="Nota 2 2 3 5 4 2 4" xfId="17451"/>
    <cellStyle name="Nota 2 2 3 5 4 3" xfId="12843"/>
    <cellStyle name="Nota 2 2 3 5 4 3 2" xfId="27165"/>
    <cellStyle name="Nota 2 2 3 5 4 4" xfId="18488"/>
    <cellStyle name="Nota 2 2 3 5 5" xfId="5424"/>
    <cellStyle name="Nota 2 2 3 5 5 2" xfId="11975"/>
    <cellStyle name="Nota 2 2 3 5 5 2 2" xfId="26297"/>
    <cellStyle name="Nota 2 2 3 5 5 3" xfId="17620"/>
    <cellStyle name="Nota 2 2 3 5 6" xfId="6128"/>
    <cellStyle name="Nota 2 2 3 5 6 2" xfId="23421"/>
    <cellStyle name="Nota 2 2 3 5 7" xfId="14782"/>
    <cellStyle name="Nota 2 2 3 6" xfId="1445"/>
    <cellStyle name="Nota 2 2 3 6 2" xfId="1446"/>
    <cellStyle name="Nota 2 2 3 6 2 2" xfId="5929"/>
    <cellStyle name="Nota 2 2 3 6 2 2 2" xfId="12484"/>
    <cellStyle name="Nota 2 2 3 6 2 2 2 2" xfId="26806"/>
    <cellStyle name="Nota 2 2 3 6 2 2 3" xfId="18129"/>
    <cellStyle name="Nota 2 2 3 6 2 3" xfId="7488"/>
    <cellStyle name="Nota 2 2 3 6 2 3 2" xfId="10102"/>
    <cellStyle name="Nota 2 2 3 6 2 3 2 2" xfId="16364"/>
    <cellStyle name="Nota 2 2 3 6 2 3 2 2 2" xfId="29780"/>
    <cellStyle name="Nota 2 2 3 6 2 3 2 3" xfId="21109"/>
    <cellStyle name="Nota 2 2 3 6 2 3 3" xfId="14092"/>
    <cellStyle name="Nota 2 2 3 6 2 3 3 2" xfId="28414"/>
    <cellStyle name="Nota 2 2 3 6 2 3 4" xfId="19737"/>
    <cellStyle name="Nota 2 2 3 6 2 4" xfId="6760"/>
    <cellStyle name="Nota 2 2 3 6 2 4 2" xfId="23708"/>
    <cellStyle name="Nota 2 2 3 6 2 5" xfId="15271"/>
    <cellStyle name="Nota 2 2 3 6 3" xfId="1447"/>
    <cellStyle name="Nota 2 2 3 6 3 2" xfId="7797"/>
    <cellStyle name="Nota 2 2 3 6 3 2 2" xfId="10411"/>
    <cellStyle name="Nota 2 2 3 6 3 2 2 2" xfId="16673"/>
    <cellStyle name="Nota 2 2 3 6 3 2 2 2 2" xfId="30089"/>
    <cellStyle name="Nota 2 2 3 6 3 2 2 3" xfId="21418"/>
    <cellStyle name="Nota 2 2 3 6 3 2 3" xfId="14401"/>
    <cellStyle name="Nota 2 2 3 6 3 2 3 2" xfId="28723"/>
    <cellStyle name="Nota 2 2 3 6 3 2 4" xfId="20046"/>
    <cellStyle name="Nota 2 2 3 6 3 3" xfId="13240"/>
    <cellStyle name="Nota 2 2 3 6 3 3 2" xfId="27562"/>
    <cellStyle name="Nota 2 2 3 6 3 4" xfId="18885"/>
    <cellStyle name="Nota 2 2 3 6 4" xfId="5681"/>
    <cellStyle name="Nota 2 2 3 6 4 2" xfId="12234"/>
    <cellStyle name="Nota 2 2 3 6 4 2 2" xfId="26556"/>
    <cellStyle name="Nota 2 2 3 6 4 3" xfId="17879"/>
    <cellStyle name="Nota 2 2 3 6 5" xfId="4958"/>
    <cellStyle name="Nota 2 2 3 6 5 2" xfId="23280"/>
    <cellStyle name="Nota 2 2 3 6 6" xfId="4000"/>
    <cellStyle name="Nota 2 2 3 7" xfId="1448"/>
    <cellStyle name="Nota 2 2 3 7 2" xfId="5930"/>
    <cellStyle name="Nota 2 2 3 7 2 2" xfId="12485"/>
    <cellStyle name="Nota 2 2 3 7 2 2 2" xfId="26807"/>
    <cellStyle name="Nota 2 2 3 7 2 3" xfId="18130"/>
    <cellStyle name="Nota 2 2 3 7 3" xfId="7702"/>
    <cellStyle name="Nota 2 2 3 7 3 2" xfId="10316"/>
    <cellStyle name="Nota 2 2 3 7 3 2 2" xfId="16578"/>
    <cellStyle name="Nota 2 2 3 7 3 2 2 2" xfId="29994"/>
    <cellStyle name="Nota 2 2 3 7 3 2 3" xfId="21323"/>
    <cellStyle name="Nota 2 2 3 7 3 3" xfId="14306"/>
    <cellStyle name="Nota 2 2 3 7 3 3 2" xfId="28628"/>
    <cellStyle name="Nota 2 2 3 7 3 4" xfId="19951"/>
    <cellStyle name="Nota 2 2 3 7 4" xfId="6747"/>
    <cellStyle name="Nota 2 2 3 7 4 2" xfId="23695"/>
    <cellStyle name="Nota 2 2 3 7 5" xfId="3947"/>
    <cellStyle name="Nota 2 2 3 8" xfId="1449"/>
    <cellStyle name="Nota 2 2 3 8 2" xfId="7995"/>
    <cellStyle name="Nota 2 2 3 8 2 2" xfId="10609"/>
    <cellStyle name="Nota 2 2 3 8 2 2 2" xfId="16871"/>
    <cellStyle name="Nota 2 2 3 8 2 2 2 2" xfId="30287"/>
    <cellStyle name="Nota 2 2 3 8 2 2 3" xfId="21616"/>
    <cellStyle name="Nota 2 2 3 8 2 3" xfId="14599"/>
    <cellStyle name="Nota 2 2 3 8 2 3 2" xfId="28921"/>
    <cellStyle name="Nota 2 2 3 8 2 4" xfId="20244"/>
    <cellStyle name="Nota 2 2 3 8 3" xfId="12753"/>
    <cellStyle name="Nota 2 2 3 8 3 2" xfId="27075"/>
    <cellStyle name="Nota 2 2 3 8 4" xfId="18398"/>
    <cellStyle name="Nota 2 2 3 9" xfId="5429"/>
    <cellStyle name="Nota 2 2 3 9 2" xfId="11980"/>
    <cellStyle name="Nota 2 2 3 9 2 2" xfId="26302"/>
    <cellStyle name="Nota 2 2 3 9 3" xfId="17625"/>
    <cellStyle name="Nota 2 2 4" xfId="1450"/>
    <cellStyle name="Nota 2 2 4 2" xfId="1451"/>
    <cellStyle name="Nota 2 2 4 2 2" xfId="1452"/>
    <cellStyle name="Nota 2 2 4 2 2 2" xfId="6213"/>
    <cellStyle name="Nota 2 2 4 2 2 2 2" xfId="12787"/>
    <cellStyle name="Nota 2 2 4 2 2 2 2 2" xfId="27109"/>
    <cellStyle name="Nota 2 2 4 2 2 2 3" xfId="18432"/>
    <cellStyle name="Nota 2 2 4 2 2 3" xfId="7860"/>
    <cellStyle name="Nota 2 2 4 2 2 3 2" xfId="10474"/>
    <cellStyle name="Nota 2 2 4 2 2 3 2 2" xfId="16736"/>
    <cellStyle name="Nota 2 2 4 2 2 3 2 2 2" xfId="30152"/>
    <cellStyle name="Nota 2 2 4 2 2 3 2 3" xfId="21481"/>
    <cellStyle name="Nota 2 2 4 2 2 3 3" xfId="14464"/>
    <cellStyle name="Nota 2 2 4 2 2 3 3 2" xfId="28786"/>
    <cellStyle name="Nota 2 2 4 2 2 3 4" xfId="20109"/>
    <cellStyle name="Nota 2 2 4 2 2 4" xfId="6634"/>
    <cellStyle name="Nota 2 2 4 2 2 4 2" xfId="23617"/>
    <cellStyle name="Nota 2 2 4 2 2 5" xfId="15161"/>
    <cellStyle name="Nota 2 2 4 2 3" xfId="1453"/>
    <cellStyle name="Nota 2 2 4 2 3 2" xfId="7944"/>
    <cellStyle name="Nota 2 2 4 2 3 2 2" xfId="10558"/>
    <cellStyle name="Nota 2 2 4 2 3 2 2 2" xfId="16820"/>
    <cellStyle name="Nota 2 2 4 2 3 2 2 2 2" xfId="30236"/>
    <cellStyle name="Nota 2 2 4 2 3 2 2 3" xfId="21565"/>
    <cellStyle name="Nota 2 2 4 2 3 2 3" xfId="14548"/>
    <cellStyle name="Nota 2 2 4 2 3 2 3 2" xfId="28870"/>
    <cellStyle name="Nota 2 2 4 2 3 2 4" xfId="20193"/>
    <cellStyle name="Nota 2 2 4 2 3 3" xfId="13199"/>
    <cellStyle name="Nota 2 2 4 2 3 3 2" xfId="27521"/>
    <cellStyle name="Nota 2 2 4 2 3 4" xfId="18844"/>
    <cellStyle name="Nota 2 2 4 2 4" xfId="5638"/>
    <cellStyle name="Nota 2 2 4 2 4 2" xfId="12191"/>
    <cellStyle name="Nota 2 2 4 2 4 2 2" xfId="26513"/>
    <cellStyle name="Nota 2 2 4 2 4 3" xfId="17836"/>
    <cellStyle name="Nota 2 2 4 2 5" xfId="4840"/>
    <cellStyle name="Nota 2 2 4 2 5 2" xfId="23215"/>
    <cellStyle name="Nota 2 2 4 2 6" xfId="14708"/>
    <cellStyle name="Nota 2 2 4 3" xfId="1454"/>
    <cellStyle name="Nota 2 2 4 3 2" xfId="1455"/>
    <cellStyle name="Nota 2 2 4 3 2 2" xfId="7015"/>
    <cellStyle name="Nota 2 2 4 3 2 2 2" xfId="13619"/>
    <cellStyle name="Nota 2 2 4 3 2 2 2 2" xfId="27941"/>
    <cellStyle name="Nota 2 2 4 3 2 2 3" xfId="19264"/>
    <cellStyle name="Nota 2 2 4 3 2 3" xfId="7884"/>
    <cellStyle name="Nota 2 2 4 3 2 3 2" xfId="10498"/>
    <cellStyle name="Nota 2 2 4 3 2 3 2 2" xfId="16760"/>
    <cellStyle name="Nota 2 2 4 3 2 3 2 2 2" xfId="30176"/>
    <cellStyle name="Nota 2 2 4 3 2 3 2 3" xfId="21505"/>
    <cellStyle name="Nota 2 2 4 3 2 3 3" xfId="14488"/>
    <cellStyle name="Nota 2 2 4 3 2 3 3 2" xfId="28810"/>
    <cellStyle name="Nota 2 2 4 3 2 3 4" xfId="20133"/>
    <cellStyle name="Nota 2 2 4 3 2 4" xfId="11544"/>
    <cellStyle name="Nota 2 2 4 3 2 4 2" xfId="25866"/>
    <cellStyle name="Nota 2 2 4 3 2 5" xfId="15197"/>
    <cellStyle name="Nota 2 2 4 3 3" xfId="1456"/>
    <cellStyle name="Nota 2 2 4 3 3 2" xfId="7688"/>
    <cellStyle name="Nota 2 2 4 3 3 2 2" xfId="10302"/>
    <cellStyle name="Nota 2 2 4 3 3 2 2 2" xfId="16564"/>
    <cellStyle name="Nota 2 2 4 3 3 2 2 2 2" xfId="29980"/>
    <cellStyle name="Nota 2 2 4 3 3 2 2 3" xfId="21309"/>
    <cellStyle name="Nota 2 2 4 3 3 2 3" xfId="14292"/>
    <cellStyle name="Nota 2 2 4 3 3 2 3 2" xfId="28614"/>
    <cellStyle name="Nota 2 2 4 3 3 2 4" xfId="19937"/>
    <cellStyle name="Nota 2 2 4 3 3 3" xfId="13074"/>
    <cellStyle name="Nota 2 2 4 3 3 3 2" xfId="27396"/>
    <cellStyle name="Nota 2 2 4 3 3 4" xfId="18719"/>
    <cellStyle name="Nota 2 2 4 3 4" xfId="5420"/>
    <cellStyle name="Nota 2 2 4 3 4 2" xfId="11971"/>
    <cellStyle name="Nota 2 2 4 3 4 2 2" xfId="26293"/>
    <cellStyle name="Nota 2 2 4 3 4 3" xfId="17616"/>
    <cellStyle name="Nota 2 2 4 3 5" xfId="6481"/>
    <cellStyle name="Nota 2 2 4 3 5 2" xfId="23563"/>
    <cellStyle name="Nota 2 2 4 3 6" xfId="3273"/>
    <cellStyle name="Nota 2 2 4 4" xfId="1457"/>
    <cellStyle name="Nota 2 2 4 4 2" xfId="5213"/>
    <cellStyle name="Nota 2 2 4 4 2 2" xfId="11762"/>
    <cellStyle name="Nota 2 2 4 4 2 2 2" xfId="26084"/>
    <cellStyle name="Nota 2 2 4 4 2 3" xfId="17407"/>
    <cellStyle name="Nota 2 2 4 4 3" xfId="7332"/>
    <cellStyle name="Nota 2 2 4 4 3 2" xfId="9946"/>
    <cellStyle name="Nota 2 2 4 4 3 2 2" xfId="16208"/>
    <cellStyle name="Nota 2 2 4 4 3 2 2 2" xfId="29624"/>
    <cellStyle name="Nota 2 2 4 4 3 2 3" xfId="20953"/>
    <cellStyle name="Nota 2 2 4 4 3 3" xfId="13936"/>
    <cellStyle name="Nota 2 2 4 4 3 3 2" xfId="28258"/>
    <cellStyle name="Nota 2 2 4 4 3 4" xfId="19581"/>
    <cellStyle name="Nota 2 2 4 4 4" xfId="6054"/>
    <cellStyle name="Nota 2 2 4 4 4 2" xfId="23400"/>
    <cellStyle name="Nota 2 2 4 4 5" xfId="15138"/>
    <cellStyle name="Nota 2 2 4 5" xfId="1458"/>
    <cellStyle name="Nota 2 2 4 5 2" xfId="7517"/>
    <cellStyle name="Nota 2 2 4 5 2 2" xfId="10131"/>
    <cellStyle name="Nota 2 2 4 5 2 2 2" xfId="16393"/>
    <cellStyle name="Nota 2 2 4 5 2 2 2 2" xfId="29809"/>
    <cellStyle name="Nota 2 2 4 5 2 2 3" xfId="21138"/>
    <cellStyle name="Nota 2 2 4 5 2 3" xfId="14121"/>
    <cellStyle name="Nota 2 2 4 5 2 3 2" xfId="28443"/>
    <cellStyle name="Nota 2 2 4 5 2 4" xfId="19766"/>
    <cellStyle name="Nota 2 2 4 5 3" xfId="11916"/>
    <cellStyle name="Nota 2 2 4 5 3 2" xfId="26238"/>
    <cellStyle name="Nota 2 2 4 5 4" xfId="17561"/>
    <cellStyle name="Nota 2 2 4 6" xfId="3992"/>
    <cellStyle name="Nota 2 2 4 6 2" xfId="3892"/>
    <cellStyle name="Nota 2 2 4 6 2 2" xfId="22631"/>
    <cellStyle name="Nota 2 2 4 6 3" xfId="6698"/>
    <cellStyle name="Nota 2 2 4 7" xfId="6651"/>
    <cellStyle name="Nota 2 2 4 7 2" xfId="23629"/>
    <cellStyle name="Nota 2 2 4 8" xfId="14702"/>
    <cellStyle name="Nota 2 2 5" xfId="1459"/>
    <cellStyle name="Nota 2 2 5 2" xfId="1460"/>
    <cellStyle name="Nota 2 2 5 2 2" xfId="1461"/>
    <cellStyle name="Nota 2 2 5 2 2 2" xfId="6136"/>
    <cellStyle name="Nota 2 2 5 2 2 2 2" xfId="12705"/>
    <cellStyle name="Nota 2 2 5 2 2 2 2 2" xfId="27027"/>
    <cellStyle name="Nota 2 2 5 2 2 2 3" xfId="18350"/>
    <cellStyle name="Nota 2 2 5 2 2 3" xfId="7851"/>
    <cellStyle name="Nota 2 2 5 2 2 3 2" xfId="10465"/>
    <cellStyle name="Nota 2 2 5 2 2 3 2 2" xfId="16727"/>
    <cellStyle name="Nota 2 2 5 2 2 3 2 2 2" xfId="30143"/>
    <cellStyle name="Nota 2 2 5 2 2 3 2 3" xfId="21472"/>
    <cellStyle name="Nota 2 2 5 2 2 3 3" xfId="14455"/>
    <cellStyle name="Nota 2 2 5 2 2 3 3 2" xfId="28777"/>
    <cellStyle name="Nota 2 2 5 2 2 3 4" xfId="20100"/>
    <cellStyle name="Nota 2 2 5 2 2 4" xfId="4315"/>
    <cellStyle name="Nota 2 2 5 2 2 4 2" xfId="22885"/>
    <cellStyle name="Nota 2 2 5 2 2 5" xfId="6042"/>
    <cellStyle name="Nota 2 2 5 2 3" xfId="1462"/>
    <cellStyle name="Nota 2 2 5 2 3 2" xfId="7444"/>
    <cellStyle name="Nota 2 2 5 2 3 2 2" xfId="10058"/>
    <cellStyle name="Nota 2 2 5 2 3 2 2 2" xfId="16320"/>
    <cellStyle name="Nota 2 2 5 2 3 2 2 2 2" xfId="29736"/>
    <cellStyle name="Nota 2 2 5 2 3 2 2 3" xfId="21065"/>
    <cellStyle name="Nota 2 2 5 2 3 2 3" xfId="14048"/>
    <cellStyle name="Nota 2 2 5 2 3 2 3 2" xfId="28370"/>
    <cellStyle name="Nota 2 2 5 2 3 2 4" xfId="19693"/>
    <cellStyle name="Nota 2 2 5 2 3 3" xfId="13276"/>
    <cellStyle name="Nota 2 2 5 2 3 3 2" xfId="27598"/>
    <cellStyle name="Nota 2 2 5 2 3 4" xfId="18921"/>
    <cellStyle name="Nota 2 2 5 2 4" xfId="5723"/>
    <cellStyle name="Nota 2 2 5 2 4 2" xfId="12276"/>
    <cellStyle name="Nota 2 2 5 2 4 2 2" xfId="26598"/>
    <cellStyle name="Nota 2 2 5 2 4 3" xfId="17921"/>
    <cellStyle name="Nota 2 2 5 2 5" xfId="3938"/>
    <cellStyle name="Nota 2 2 5 2 5 2" xfId="22655"/>
    <cellStyle name="Nota 2 2 5 2 6" xfId="17171"/>
    <cellStyle name="Nota 2 2 5 3" xfId="1463"/>
    <cellStyle name="Nota 2 2 5 3 2" xfId="1464"/>
    <cellStyle name="Nota 2 2 5 3 2 2" xfId="6973"/>
    <cellStyle name="Nota 2 2 5 3 2 2 2" xfId="13577"/>
    <cellStyle name="Nota 2 2 5 3 2 2 2 2" xfId="27899"/>
    <cellStyle name="Nota 2 2 5 3 2 2 3" xfId="19222"/>
    <cellStyle name="Nota 2 2 5 3 2 3" xfId="7605"/>
    <cellStyle name="Nota 2 2 5 3 2 3 2" xfId="10219"/>
    <cellStyle name="Nota 2 2 5 3 2 3 2 2" xfId="16481"/>
    <cellStyle name="Nota 2 2 5 3 2 3 2 2 2" xfId="29897"/>
    <cellStyle name="Nota 2 2 5 3 2 3 2 3" xfId="21226"/>
    <cellStyle name="Nota 2 2 5 3 2 3 3" xfId="14209"/>
    <cellStyle name="Nota 2 2 5 3 2 3 3 2" xfId="28531"/>
    <cellStyle name="Nota 2 2 5 3 2 3 4" xfId="19854"/>
    <cellStyle name="Nota 2 2 5 3 2 4" xfId="11480"/>
    <cellStyle name="Nota 2 2 5 3 2 4 2" xfId="25802"/>
    <cellStyle name="Nota 2 2 5 3 2 5" xfId="4172"/>
    <cellStyle name="Nota 2 2 5 3 3" xfId="1465"/>
    <cellStyle name="Nota 2 2 5 3 3 2" xfId="7551"/>
    <cellStyle name="Nota 2 2 5 3 3 2 2" xfId="10165"/>
    <cellStyle name="Nota 2 2 5 3 3 2 2 2" xfId="16427"/>
    <cellStyle name="Nota 2 2 5 3 3 2 2 2 2" xfId="29843"/>
    <cellStyle name="Nota 2 2 5 3 3 2 2 3" xfId="21172"/>
    <cellStyle name="Nota 2 2 5 3 3 2 3" xfId="14155"/>
    <cellStyle name="Nota 2 2 5 3 3 2 3 2" xfId="28477"/>
    <cellStyle name="Nota 2 2 5 3 3 2 4" xfId="19800"/>
    <cellStyle name="Nota 2 2 5 3 3 3" xfId="13081"/>
    <cellStyle name="Nota 2 2 5 3 3 3 2" xfId="27403"/>
    <cellStyle name="Nota 2 2 5 3 3 4" xfId="18726"/>
    <cellStyle name="Nota 2 2 5 3 4" xfId="5431"/>
    <cellStyle name="Nota 2 2 5 3 4 2" xfId="11982"/>
    <cellStyle name="Nota 2 2 5 3 4 2 2" xfId="26304"/>
    <cellStyle name="Nota 2 2 5 3 4 3" xfId="17627"/>
    <cellStyle name="Nota 2 2 5 3 5" xfId="3934"/>
    <cellStyle name="Nota 2 2 5 3 5 2" xfId="22652"/>
    <cellStyle name="Nota 2 2 5 3 6" xfId="14732"/>
    <cellStyle name="Nota 2 2 5 4" xfId="1466"/>
    <cellStyle name="Nota 2 2 5 4 2" xfId="6992"/>
    <cellStyle name="Nota 2 2 5 4 2 2" xfId="13596"/>
    <cellStyle name="Nota 2 2 5 4 2 2 2" xfId="27918"/>
    <cellStyle name="Nota 2 2 5 4 2 3" xfId="19241"/>
    <cellStyle name="Nota 2 2 5 4 3" xfId="7608"/>
    <cellStyle name="Nota 2 2 5 4 3 2" xfId="10222"/>
    <cellStyle name="Nota 2 2 5 4 3 2 2" xfId="16484"/>
    <cellStyle name="Nota 2 2 5 4 3 2 2 2" xfId="29900"/>
    <cellStyle name="Nota 2 2 5 4 3 2 3" xfId="21229"/>
    <cellStyle name="Nota 2 2 5 4 3 3" xfId="14212"/>
    <cellStyle name="Nota 2 2 5 4 3 3 2" xfId="28534"/>
    <cellStyle name="Nota 2 2 5 4 3 4" xfId="19857"/>
    <cellStyle name="Nota 2 2 5 4 4" xfId="11504"/>
    <cellStyle name="Nota 2 2 5 4 4 2" xfId="25826"/>
    <cellStyle name="Nota 2 2 5 4 5" xfId="15442"/>
    <cellStyle name="Nota 2 2 5 5" xfId="1467"/>
    <cellStyle name="Nota 2 2 5 5 2" xfId="7476"/>
    <cellStyle name="Nota 2 2 5 5 2 2" xfId="10090"/>
    <cellStyle name="Nota 2 2 5 5 2 2 2" xfId="16352"/>
    <cellStyle name="Nota 2 2 5 5 2 2 2 2" xfId="29768"/>
    <cellStyle name="Nota 2 2 5 5 2 2 3" xfId="21097"/>
    <cellStyle name="Nota 2 2 5 5 2 3" xfId="14080"/>
    <cellStyle name="Nota 2 2 5 5 2 3 2" xfId="28402"/>
    <cellStyle name="Nota 2 2 5 5 2 4" xfId="19725"/>
    <cellStyle name="Nota 2 2 5 5 3" xfId="12836"/>
    <cellStyle name="Nota 2 2 5 5 3 2" xfId="27158"/>
    <cellStyle name="Nota 2 2 5 5 4" xfId="18481"/>
    <cellStyle name="Nota 2 2 5 6" xfId="5409"/>
    <cellStyle name="Nota 2 2 5 6 2" xfId="11959"/>
    <cellStyle name="Nota 2 2 5 6 2 2" xfId="26281"/>
    <cellStyle name="Nota 2 2 5 6 3" xfId="17604"/>
    <cellStyle name="Nota 2 2 5 7" xfId="8072"/>
    <cellStyle name="Nota 2 2 5 7 2" xfId="23759"/>
    <cellStyle name="Nota 2 2 5 8" xfId="15496"/>
    <cellStyle name="Nota 2 2 6" xfId="1468"/>
    <cellStyle name="Nota 2 2 6 2" xfId="1469"/>
    <cellStyle name="Nota 2 2 6 2 2" xfId="1470"/>
    <cellStyle name="Nota 2 2 6 2 2 2" xfId="5130"/>
    <cellStyle name="Nota 2 2 6 2 2 2 2" xfId="11679"/>
    <cellStyle name="Nota 2 2 6 2 2 2 2 2" xfId="26001"/>
    <cellStyle name="Nota 2 2 6 2 2 2 3" xfId="2845"/>
    <cellStyle name="Nota 2 2 6 2 2 3" xfId="3779"/>
    <cellStyle name="Nota 2 2 6 2 2 3 2" xfId="9373"/>
    <cellStyle name="Nota 2 2 6 2 2 3 2 2" xfId="15635"/>
    <cellStyle name="Nota 2 2 6 2 2 3 2 2 2" xfId="29051"/>
    <cellStyle name="Nota 2 2 6 2 2 3 2 3" xfId="20380"/>
    <cellStyle name="Nota 2 2 6 2 2 3 3" xfId="6660"/>
    <cellStyle name="Nota 2 2 6 2 2 3 3 2" xfId="23636"/>
    <cellStyle name="Nota 2 2 6 2 2 3 4" xfId="17035"/>
    <cellStyle name="Nota 2 2 6 2 2 4" xfId="4045"/>
    <cellStyle name="Nota 2 2 6 2 2 4 2" xfId="22722"/>
    <cellStyle name="Nota 2 2 6 2 2 5" xfId="3593"/>
    <cellStyle name="Nota 2 2 6 2 3" xfId="1471"/>
    <cellStyle name="Nota 2 2 6 2 3 2" xfId="8058"/>
    <cellStyle name="Nota 2 2 6 2 3 2 2" xfId="10672"/>
    <cellStyle name="Nota 2 2 6 2 3 2 2 2" xfId="16934"/>
    <cellStyle name="Nota 2 2 6 2 3 2 2 2 2" xfId="30350"/>
    <cellStyle name="Nota 2 2 6 2 3 2 2 3" xfId="21679"/>
    <cellStyle name="Nota 2 2 6 2 3 2 3" xfId="14662"/>
    <cellStyle name="Nota 2 2 6 2 3 2 3 2" xfId="28984"/>
    <cellStyle name="Nota 2 2 6 2 3 2 4" xfId="20307"/>
    <cellStyle name="Nota 2 2 6 2 3 3" xfId="13362"/>
    <cellStyle name="Nota 2 2 6 2 3 3 2" xfId="27684"/>
    <cellStyle name="Nota 2 2 6 2 3 4" xfId="19007"/>
    <cellStyle name="Nota 2 2 6 2 4" xfId="5812"/>
    <cellStyle name="Nota 2 2 6 2 4 2" xfId="12365"/>
    <cellStyle name="Nota 2 2 6 2 4 2 2" xfId="26687"/>
    <cellStyle name="Nota 2 2 6 2 4 3" xfId="18010"/>
    <cellStyle name="Nota 2 2 6 2 5" xfId="3673"/>
    <cellStyle name="Nota 2 2 6 2 5 2" xfId="22519"/>
    <cellStyle name="Nota 2 2 6 2 6" xfId="14884"/>
    <cellStyle name="Nota 2 2 6 3" xfId="1472"/>
    <cellStyle name="Nota 2 2 6 3 2" xfId="1473"/>
    <cellStyle name="Nota 2 2 6 3 2 2" xfId="6914"/>
    <cellStyle name="Nota 2 2 6 3 2 2 2" xfId="13518"/>
    <cellStyle name="Nota 2 2 6 3 2 2 2 2" xfId="27840"/>
    <cellStyle name="Nota 2 2 6 3 2 2 3" xfId="19163"/>
    <cellStyle name="Nota 2 2 6 3 2 3" xfId="7107"/>
    <cellStyle name="Nota 2 2 6 3 2 3 2" xfId="9721"/>
    <cellStyle name="Nota 2 2 6 3 2 3 2 2" xfId="15983"/>
    <cellStyle name="Nota 2 2 6 3 2 3 2 2 2" xfId="29399"/>
    <cellStyle name="Nota 2 2 6 3 2 3 2 3" xfId="20728"/>
    <cellStyle name="Nota 2 2 6 3 2 3 3" xfId="13711"/>
    <cellStyle name="Nota 2 2 6 3 2 3 3 2" xfId="28033"/>
    <cellStyle name="Nota 2 2 6 3 2 3 4" xfId="19356"/>
    <cellStyle name="Nota 2 2 6 3 2 4" xfId="11400"/>
    <cellStyle name="Nota 2 2 6 3 2 4 2" xfId="25722"/>
    <cellStyle name="Nota 2 2 6 3 2 5" xfId="15527"/>
    <cellStyle name="Nota 2 2 6 3 3" xfId="1474"/>
    <cellStyle name="Nota 2 2 6 3 3 2" xfId="7678"/>
    <cellStyle name="Nota 2 2 6 3 3 2 2" xfId="10292"/>
    <cellStyle name="Nota 2 2 6 3 3 2 2 2" xfId="16554"/>
    <cellStyle name="Nota 2 2 6 3 3 2 2 2 2" xfId="29970"/>
    <cellStyle name="Nota 2 2 6 3 3 2 2 3" xfId="21299"/>
    <cellStyle name="Nota 2 2 6 3 3 2 3" xfId="14282"/>
    <cellStyle name="Nota 2 2 6 3 3 2 3 2" xfId="28604"/>
    <cellStyle name="Nota 2 2 6 3 3 2 4" xfId="19927"/>
    <cellStyle name="Nota 2 2 6 3 3 3" xfId="13368"/>
    <cellStyle name="Nota 2 2 6 3 3 3 2" xfId="27690"/>
    <cellStyle name="Nota 2 2 6 3 3 4" xfId="19013"/>
    <cellStyle name="Nota 2 2 6 3 4" xfId="5819"/>
    <cellStyle name="Nota 2 2 6 3 4 2" xfId="12372"/>
    <cellStyle name="Nota 2 2 6 3 4 2 2" xfId="26694"/>
    <cellStyle name="Nota 2 2 6 3 4 3" xfId="18017"/>
    <cellStyle name="Nota 2 2 6 3 5" xfId="6736"/>
    <cellStyle name="Nota 2 2 6 3 5 2" xfId="23687"/>
    <cellStyle name="Nota 2 2 6 3 6" xfId="4322"/>
    <cellStyle name="Nota 2 2 6 4" xfId="1475"/>
    <cellStyle name="Nota 2 2 6 4 2" xfId="6145"/>
    <cellStyle name="Nota 2 2 6 4 2 2" xfId="12715"/>
    <cellStyle name="Nota 2 2 6 4 2 2 2" xfId="27037"/>
    <cellStyle name="Nota 2 2 6 4 2 3" xfId="18360"/>
    <cellStyle name="Nota 2 2 6 4 3" xfId="7112"/>
    <cellStyle name="Nota 2 2 6 4 3 2" xfId="9726"/>
    <cellStyle name="Nota 2 2 6 4 3 2 2" xfId="15988"/>
    <cellStyle name="Nota 2 2 6 4 3 2 2 2" xfId="29404"/>
    <cellStyle name="Nota 2 2 6 4 3 2 3" xfId="20733"/>
    <cellStyle name="Nota 2 2 6 4 3 3" xfId="13716"/>
    <cellStyle name="Nota 2 2 6 4 3 3 2" xfId="28038"/>
    <cellStyle name="Nota 2 2 6 4 3 4" xfId="19361"/>
    <cellStyle name="Nota 2 2 6 4 4" xfId="4689"/>
    <cellStyle name="Nota 2 2 6 4 4 2" xfId="23125"/>
    <cellStyle name="Nota 2 2 6 4 5" xfId="17024"/>
    <cellStyle name="Nota 2 2 6 5" xfId="1476"/>
    <cellStyle name="Nota 2 2 6 5 2" xfId="5249"/>
    <cellStyle name="Nota 2 2 6 5 2 2" xfId="9558"/>
    <cellStyle name="Nota 2 2 6 5 2 2 2" xfId="15820"/>
    <cellStyle name="Nota 2 2 6 5 2 2 2 2" xfId="29236"/>
    <cellStyle name="Nota 2 2 6 5 2 2 3" xfId="20565"/>
    <cellStyle name="Nota 2 2 6 5 2 3" xfId="11799"/>
    <cellStyle name="Nota 2 2 6 5 2 3 2" xfId="26121"/>
    <cellStyle name="Nota 2 2 6 5 2 4" xfId="17444"/>
    <cellStyle name="Nota 2 2 6 5 3" xfId="12938"/>
    <cellStyle name="Nota 2 2 6 5 3 2" xfId="27260"/>
    <cellStyle name="Nota 2 2 6 5 4" xfId="18583"/>
    <cellStyle name="Nota 2 2 6 6" xfId="5563"/>
    <cellStyle name="Nota 2 2 6 6 2" xfId="12114"/>
    <cellStyle name="Nota 2 2 6 6 2 2" xfId="26436"/>
    <cellStyle name="Nota 2 2 6 6 3" xfId="17759"/>
    <cellStyle name="Nota 2 2 6 7" xfId="4706"/>
    <cellStyle name="Nota 2 2 6 7 2" xfId="23139"/>
    <cellStyle name="Nota 2 2 6 8" xfId="14972"/>
    <cellStyle name="Nota 2 2 7" xfId="1477"/>
    <cellStyle name="Nota 2 2 7 2" xfId="1478"/>
    <cellStyle name="Nota 2 2 7 2 2" xfId="1479"/>
    <cellStyle name="Nota 2 2 7 2 2 2" xfId="6388"/>
    <cellStyle name="Nota 2 2 7 2 2 2 2" xfId="12971"/>
    <cellStyle name="Nota 2 2 7 2 2 2 2 2" xfId="27293"/>
    <cellStyle name="Nota 2 2 7 2 2 2 3" xfId="18616"/>
    <cellStyle name="Nota 2 2 7 2 2 3" xfId="7418"/>
    <cellStyle name="Nota 2 2 7 2 2 3 2" xfId="10032"/>
    <cellStyle name="Nota 2 2 7 2 2 3 2 2" xfId="16294"/>
    <cellStyle name="Nota 2 2 7 2 2 3 2 2 2" xfId="29710"/>
    <cellStyle name="Nota 2 2 7 2 2 3 2 3" xfId="21039"/>
    <cellStyle name="Nota 2 2 7 2 2 3 3" xfId="14022"/>
    <cellStyle name="Nota 2 2 7 2 2 3 3 2" xfId="28344"/>
    <cellStyle name="Nota 2 2 7 2 2 3 4" xfId="19667"/>
    <cellStyle name="Nota 2 2 7 2 2 4" xfId="3694"/>
    <cellStyle name="Nota 2 2 7 2 2 4 2" xfId="22533"/>
    <cellStyle name="Nota 2 2 7 2 2 5" xfId="17157"/>
    <cellStyle name="Nota 2 2 7 2 3" xfId="1480"/>
    <cellStyle name="Nota 2 2 7 2 3 2" xfId="7509"/>
    <cellStyle name="Nota 2 2 7 2 3 2 2" xfId="10123"/>
    <cellStyle name="Nota 2 2 7 2 3 2 2 2" xfId="16385"/>
    <cellStyle name="Nota 2 2 7 2 3 2 2 2 2" xfId="29801"/>
    <cellStyle name="Nota 2 2 7 2 3 2 2 3" xfId="21130"/>
    <cellStyle name="Nota 2 2 7 2 3 2 3" xfId="14113"/>
    <cellStyle name="Nota 2 2 7 2 3 2 3 2" xfId="28435"/>
    <cellStyle name="Nota 2 2 7 2 3 2 4" xfId="19758"/>
    <cellStyle name="Nota 2 2 7 2 3 3" xfId="12628"/>
    <cellStyle name="Nota 2 2 7 2 3 3 2" xfId="26950"/>
    <cellStyle name="Nota 2 2 7 2 3 4" xfId="18273"/>
    <cellStyle name="Nota 2 2 7 2 4" xfId="5134"/>
    <cellStyle name="Nota 2 2 7 2 4 2" xfId="11683"/>
    <cellStyle name="Nota 2 2 7 2 4 2 2" xfId="26005"/>
    <cellStyle name="Nota 2 2 7 2 4 3" xfId="4161"/>
    <cellStyle name="Nota 2 2 7 2 5" xfId="6484"/>
    <cellStyle name="Nota 2 2 7 2 5 2" xfId="23564"/>
    <cellStyle name="Nota 2 2 7 2 6" xfId="17291"/>
    <cellStyle name="Nota 2 2 7 3" xfId="1481"/>
    <cellStyle name="Nota 2 2 7 3 2" xfId="6002"/>
    <cellStyle name="Nota 2 2 7 3 2 2" xfId="12561"/>
    <cellStyle name="Nota 2 2 7 3 2 2 2" xfId="26883"/>
    <cellStyle name="Nota 2 2 7 3 2 3" xfId="18206"/>
    <cellStyle name="Nota 2 2 7 3 3" xfId="8019"/>
    <cellStyle name="Nota 2 2 7 3 3 2" xfId="10633"/>
    <cellStyle name="Nota 2 2 7 3 3 2 2" xfId="16895"/>
    <cellStyle name="Nota 2 2 7 3 3 2 2 2" xfId="30311"/>
    <cellStyle name="Nota 2 2 7 3 3 2 3" xfId="21640"/>
    <cellStyle name="Nota 2 2 7 3 3 3" xfId="14623"/>
    <cellStyle name="Nota 2 2 7 3 3 3 2" xfId="28945"/>
    <cellStyle name="Nota 2 2 7 3 3 4" xfId="20268"/>
    <cellStyle name="Nota 2 2 7 3 4" xfId="3652"/>
    <cellStyle name="Nota 2 2 7 3 4 2" xfId="22508"/>
    <cellStyle name="Nota 2 2 7 3 5" xfId="17039"/>
    <cellStyle name="Nota 2 2 7 4" xfId="1482"/>
    <cellStyle name="Nota 2 2 7 4 2" xfId="7407"/>
    <cellStyle name="Nota 2 2 7 4 2 2" xfId="10021"/>
    <cellStyle name="Nota 2 2 7 4 2 2 2" xfId="16283"/>
    <cellStyle name="Nota 2 2 7 4 2 2 2 2" xfId="29699"/>
    <cellStyle name="Nota 2 2 7 4 2 2 3" xfId="21028"/>
    <cellStyle name="Nota 2 2 7 4 2 3" xfId="14011"/>
    <cellStyle name="Nota 2 2 7 4 2 3 2" xfId="28333"/>
    <cellStyle name="Nota 2 2 7 4 2 4" xfId="19656"/>
    <cellStyle name="Nota 2 2 7 4 3" xfId="11514"/>
    <cellStyle name="Nota 2 2 7 4 3 2" xfId="25836"/>
    <cellStyle name="Nota 2 2 7 4 4" xfId="2881"/>
    <cellStyle name="Nota 2 2 7 5" xfId="5226"/>
    <cellStyle name="Nota 2 2 7 5 2" xfId="11776"/>
    <cellStyle name="Nota 2 2 7 5 2 2" xfId="26098"/>
    <cellStyle name="Nota 2 2 7 5 3" xfId="17421"/>
    <cellStyle name="Nota 2 2 7 6" xfId="3842"/>
    <cellStyle name="Nota 2 2 7 6 2" xfId="22607"/>
    <cellStyle name="Nota 2 2 7 7" xfId="5189"/>
    <cellStyle name="Nota 2 2 8" xfId="1483"/>
    <cellStyle name="Nota 2 2 8 2" xfId="1484"/>
    <cellStyle name="Nota 2 2 8 2 2" xfId="6485"/>
    <cellStyle name="Nota 2 2 8 2 2 2" xfId="13068"/>
    <cellStyle name="Nota 2 2 8 2 2 2 2" xfId="27390"/>
    <cellStyle name="Nota 2 2 8 2 2 3" xfId="18713"/>
    <cellStyle name="Nota 2 2 8 2 3" xfId="7458"/>
    <cellStyle name="Nota 2 2 8 2 3 2" xfId="10072"/>
    <cellStyle name="Nota 2 2 8 2 3 2 2" xfId="16334"/>
    <cellStyle name="Nota 2 2 8 2 3 2 2 2" xfId="29750"/>
    <cellStyle name="Nota 2 2 8 2 3 2 3" xfId="21079"/>
    <cellStyle name="Nota 2 2 8 2 3 3" xfId="14062"/>
    <cellStyle name="Nota 2 2 8 2 3 3 2" xfId="28384"/>
    <cellStyle name="Nota 2 2 8 2 3 4" xfId="19707"/>
    <cellStyle name="Nota 2 2 8 2 4" xfId="4278"/>
    <cellStyle name="Nota 2 2 8 2 4 2" xfId="22867"/>
    <cellStyle name="Nota 2 2 8 2 5" xfId="14999"/>
    <cellStyle name="Nota 2 2 8 3" xfId="1485"/>
    <cellStyle name="Nota 2 2 8 3 2" xfId="7286"/>
    <cellStyle name="Nota 2 2 8 3 2 2" xfId="9900"/>
    <cellStyle name="Nota 2 2 8 3 2 2 2" xfId="16162"/>
    <cellStyle name="Nota 2 2 8 3 2 2 2 2" xfId="29578"/>
    <cellStyle name="Nota 2 2 8 3 2 2 3" xfId="20907"/>
    <cellStyle name="Nota 2 2 8 3 2 3" xfId="13890"/>
    <cellStyle name="Nota 2 2 8 3 2 3 2" xfId="28212"/>
    <cellStyle name="Nota 2 2 8 3 2 4" xfId="19535"/>
    <cellStyle name="Nota 2 2 8 3 3" xfId="12390"/>
    <cellStyle name="Nota 2 2 8 3 3 2" xfId="26712"/>
    <cellStyle name="Nota 2 2 8 3 4" xfId="18035"/>
    <cellStyle name="Nota 2 2 8 4" xfId="4902"/>
    <cellStyle name="Nota 2 2 8 4 2" xfId="11439"/>
    <cellStyle name="Nota 2 2 8 4 2 2" xfId="25761"/>
    <cellStyle name="Nota 2 2 8 4 3" xfId="3258"/>
    <cellStyle name="Nota 2 2 8 5" xfId="4811"/>
    <cellStyle name="Nota 2 2 8 5 2" xfId="23199"/>
    <cellStyle name="Nota 2 2 8 6" xfId="3865"/>
    <cellStyle name="Nota 2 2 9" xfId="1486"/>
    <cellStyle name="Nota 2 2 9 2" xfId="6419"/>
    <cellStyle name="Nota 2 2 9 2 2" xfId="13002"/>
    <cellStyle name="Nota 2 2 9 2 2 2" xfId="27324"/>
    <cellStyle name="Nota 2 2 9 2 3" xfId="18647"/>
    <cellStyle name="Nota 2 2 9 3" xfId="3809"/>
    <cellStyle name="Nota 2 2 9 3 2" xfId="9377"/>
    <cellStyle name="Nota 2 2 9 3 2 2" xfId="15639"/>
    <cellStyle name="Nota 2 2 9 3 2 2 2" xfId="29055"/>
    <cellStyle name="Nota 2 2 9 3 2 3" xfId="20384"/>
    <cellStyle name="Nota 2 2 9 3 3" xfId="4231"/>
    <cellStyle name="Nota 2 2 9 3 3 2" xfId="22841"/>
    <cellStyle name="Nota 2 2 9 3 4" xfId="3861"/>
    <cellStyle name="Nota 2 2 9 4" xfId="4513"/>
    <cellStyle name="Nota 2 2 9 4 2" xfId="23000"/>
    <cellStyle name="Nota 2 2 9 5" xfId="17258"/>
    <cellStyle name="Nota 2 3" xfId="1487"/>
    <cellStyle name="Nota 2 3 2" xfId="6475"/>
    <cellStyle name="Nota 2 3 2 2" xfId="13058"/>
    <cellStyle name="Nota 2 3 2 2 2" xfId="27380"/>
    <cellStyle name="Nota 2 3 2 3" xfId="18703"/>
    <cellStyle name="Nota 2 3 3" xfId="4999"/>
    <cellStyle name="Nota 2 3 3 2" xfId="9536"/>
    <cellStyle name="Nota 2 3 3 2 2" xfId="15798"/>
    <cellStyle name="Nota 2 3 3 2 2 2" xfId="29214"/>
    <cellStyle name="Nota 2 3 3 2 3" xfId="20543"/>
    <cellStyle name="Nota 2 3 3 3" xfId="11542"/>
    <cellStyle name="Nota 2 3 3 3 2" xfId="25864"/>
    <cellStyle name="Nota 2 3 3 4" xfId="6744"/>
    <cellStyle name="Nota 2 3 4" xfId="3991"/>
    <cellStyle name="Nota 2 3 4 2" xfId="22690"/>
    <cellStyle name="Nota 2 3 5" xfId="3027"/>
    <cellStyle name="Nota 2 4" xfId="4084"/>
    <cellStyle name="Nota 2 4 2" xfId="4070"/>
    <cellStyle name="Nota 2 4 2 2" xfId="22742"/>
    <cellStyle name="Nota 2 4 3" xfId="15372"/>
    <cellStyle name="Nota 2 5" xfId="4945"/>
    <cellStyle name="Nota 2 5 2" xfId="23273"/>
    <cellStyle name="Nota 2 6" xfId="15155"/>
    <cellStyle name="Nota 2 7" xfId="21693"/>
    <cellStyle name="Nota 2 8" xfId="30364"/>
    <cellStyle name="Nota 3" xfId="1488"/>
    <cellStyle name="Nota 3 10" xfId="1489"/>
    <cellStyle name="Nota 3 10 2" xfId="7495"/>
    <cellStyle name="Nota 3 10 2 2" xfId="10109"/>
    <cellStyle name="Nota 3 10 2 2 2" xfId="16371"/>
    <cellStyle name="Nota 3 10 2 2 2 2" xfId="29787"/>
    <cellStyle name="Nota 3 10 2 2 3" xfId="21116"/>
    <cellStyle name="Nota 3 10 2 3" xfId="14099"/>
    <cellStyle name="Nota 3 10 2 3 2" xfId="28421"/>
    <cellStyle name="Nota 3 10 2 4" xfId="19744"/>
    <cellStyle name="Nota 3 10 3" xfId="11740"/>
    <cellStyle name="Nota 3 10 3 2" xfId="26062"/>
    <cellStyle name="Nota 3 10 4" xfId="4520"/>
    <cellStyle name="Nota 3 11" xfId="4749"/>
    <cellStyle name="Nota 3 11 2" xfId="2779"/>
    <cellStyle name="Nota 3 11 2 2" xfId="22348"/>
    <cellStyle name="Nota 3 11 3" xfId="17094"/>
    <cellStyle name="Nota 3 12" xfId="4863"/>
    <cellStyle name="Nota 3 12 2" xfId="23228"/>
    <cellStyle name="Nota 3 13" xfId="6629"/>
    <cellStyle name="Nota 3 2" xfId="1490"/>
    <cellStyle name="Nota 3 2 10" xfId="5398"/>
    <cellStyle name="Nota 3 2 10 2" xfId="11948"/>
    <cellStyle name="Nota 3 2 10 2 2" xfId="26270"/>
    <cellStyle name="Nota 3 2 10 3" xfId="17593"/>
    <cellStyle name="Nota 3 2 11" xfId="3276"/>
    <cellStyle name="Nota 3 2 11 2" xfId="22457"/>
    <cellStyle name="Nota 3 2 12" xfId="15243"/>
    <cellStyle name="Nota 3 2 2" xfId="1491"/>
    <cellStyle name="Nota 3 2 2 10" xfId="4450"/>
    <cellStyle name="Nota 3 2 2 10 2" xfId="22959"/>
    <cellStyle name="Nota 3 2 2 11" xfId="6190"/>
    <cellStyle name="Nota 3 2 2 2" xfId="1492"/>
    <cellStyle name="Nota 3 2 2 2 2" xfId="1493"/>
    <cellStyle name="Nota 3 2 2 2 2 2" xfId="1494"/>
    <cellStyle name="Nota 3 2 2 2 2 2 2" xfId="6396"/>
    <cellStyle name="Nota 3 2 2 2 2 2 2 2" xfId="12979"/>
    <cellStyle name="Nota 3 2 2 2 2 2 2 2 2" xfId="27301"/>
    <cellStyle name="Nota 3 2 2 2 2 2 2 3" xfId="18624"/>
    <cellStyle name="Nota 3 2 2 2 2 2 3" xfId="7078"/>
    <cellStyle name="Nota 3 2 2 2 2 2 3 2" xfId="9692"/>
    <cellStyle name="Nota 3 2 2 2 2 2 3 2 2" xfId="15954"/>
    <cellStyle name="Nota 3 2 2 2 2 2 3 2 2 2" xfId="29370"/>
    <cellStyle name="Nota 3 2 2 2 2 2 3 2 3" xfId="20699"/>
    <cellStyle name="Nota 3 2 2 2 2 2 3 3" xfId="13682"/>
    <cellStyle name="Nota 3 2 2 2 2 2 3 3 2" xfId="28004"/>
    <cellStyle name="Nota 3 2 2 2 2 2 3 4" xfId="19327"/>
    <cellStyle name="Nota 3 2 2 2 2 2 4" xfId="2785"/>
    <cellStyle name="Nota 3 2 2 2 2 2 4 2" xfId="22354"/>
    <cellStyle name="Nota 3 2 2 2 2 2 5" xfId="16976"/>
    <cellStyle name="Nota 3 2 2 2 2 3" xfId="1495"/>
    <cellStyle name="Nota 3 2 2 2 2 3 2" xfId="7888"/>
    <cellStyle name="Nota 3 2 2 2 2 3 2 2" xfId="10502"/>
    <cellStyle name="Nota 3 2 2 2 2 3 2 2 2" xfId="16764"/>
    <cellStyle name="Nota 3 2 2 2 2 3 2 2 2 2" xfId="30180"/>
    <cellStyle name="Nota 3 2 2 2 2 3 2 2 3" xfId="21509"/>
    <cellStyle name="Nota 3 2 2 2 2 3 2 3" xfId="14492"/>
    <cellStyle name="Nota 3 2 2 2 2 3 2 3 2" xfId="28814"/>
    <cellStyle name="Nota 3 2 2 2 2 3 2 4" xfId="20137"/>
    <cellStyle name="Nota 3 2 2 2 2 3 3" xfId="13322"/>
    <cellStyle name="Nota 3 2 2 2 2 3 3 2" xfId="27644"/>
    <cellStyle name="Nota 3 2 2 2 2 3 4" xfId="18967"/>
    <cellStyle name="Nota 3 2 2 2 2 4" xfId="5772"/>
    <cellStyle name="Nota 3 2 2 2 2 4 2" xfId="12325"/>
    <cellStyle name="Nota 3 2 2 2 2 4 2 2" xfId="26647"/>
    <cellStyle name="Nota 3 2 2 2 2 4 3" xfId="17970"/>
    <cellStyle name="Nota 3 2 2 2 2 5" xfId="4546"/>
    <cellStyle name="Nota 3 2 2 2 2 5 2" xfId="23024"/>
    <cellStyle name="Nota 3 2 2 2 2 6" xfId="17391"/>
    <cellStyle name="Nota 3 2 2 2 3" xfId="1496"/>
    <cellStyle name="Nota 3 2 2 2 3 2" xfId="1497"/>
    <cellStyle name="Nota 3 2 2 2 3 2 2" xfId="6557"/>
    <cellStyle name="Nota 3 2 2 2 3 2 2 2" xfId="13145"/>
    <cellStyle name="Nota 3 2 2 2 3 2 2 2 2" xfId="27467"/>
    <cellStyle name="Nota 3 2 2 2 3 2 2 3" xfId="18790"/>
    <cellStyle name="Nota 3 2 2 2 3 2 3" xfId="7554"/>
    <cellStyle name="Nota 3 2 2 2 3 2 3 2" xfId="10168"/>
    <cellStyle name="Nota 3 2 2 2 3 2 3 2 2" xfId="16430"/>
    <cellStyle name="Nota 3 2 2 2 3 2 3 2 2 2" xfId="29846"/>
    <cellStyle name="Nota 3 2 2 2 3 2 3 2 3" xfId="21175"/>
    <cellStyle name="Nota 3 2 2 2 3 2 3 3" xfId="14158"/>
    <cellStyle name="Nota 3 2 2 2 3 2 3 3 2" xfId="28480"/>
    <cellStyle name="Nota 3 2 2 2 3 2 3 4" xfId="19803"/>
    <cellStyle name="Nota 3 2 2 2 3 2 4" xfId="3887"/>
    <cellStyle name="Nota 3 2 2 2 3 2 4 2" xfId="22627"/>
    <cellStyle name="Nota 3 2 2 2 3 2 5" xfId="15324"/>
    <cellStyle name="Nota 3 2 2 2 3 3" xfId="1498"/>
    <cellStyle name="Nota 3 2 2 2 3 3 2" xfId="7853"/>
    <cellStyle name="Nota 3 2 2 2 3 3 2 2" xfId="10467"/>
    <cellStyle name="Nota 3 2 2 2 3 3 2 2 2" xfId="16729"/>
    <cellStyle name="Nota 3 2 2 2 3 3 2 2 2 2" xfId="30145"/>
    <cellStyle name="Nota 3 2 2 2 3 3 2 2 3" xfId="21474"/>
    <cellStyle name="Nota 3 2 2 2 3 3 2 3" xfId="14457"/>
    <cellStyle name="Nota 3 2 2 2 3 3 2 3 2" xfId="28779"/>
    <cellStyle name="Nota 3 2 2 2 3 3 2 4" xfId="20102"/>
    <cellStyle name="Nota 3 2 2 2 3 3 3" xfId="12128"/>
    <cellStyle name="Nota 3 2 2 2 3 3 3 2" xfId="26450"/>
    <cellStyle name="Nota 3 2 2 2 3 3 4" xfId="17773"/>
    <cellStyle name="Nota 3 2 2 2 3 4" xfId="5143"/>
    <cellStyle name="Nota 3 2 2 2 3 4 2" xfId="11692"/>
    <cellStyle name="Nota 3 2 2 2 3 4 2 2" xfId="26014"/>
    <cellStyle name="Nota 3 2 2 2 3 4 3" xfId="4153"/>
    <cellStyle name="Nota 3 2 2 2 3 5" xfId="4832"/>
    <cellStyle name="Nota 3 2 2 2 3 5 2" xfId="23210"/>
    <cellStyle name="Nota 3 2 2 2 3 6" xfId="15252"/>
    <cellStyle name="Nota 3 2 2 2 4" xfId="1499"/>
    <cellStyle name="Nota 3 2 2 2 4 2" xfId="6134"/>
    <cellStyle name="Nota 3 2 2 2 4 2 2" xfId="12703"/>
    <cellStyle name="Nota 3 2 2 2 4 2 2 2" xfId="27025"/>
    <cellStyle name="Nota 3 2 2 2 4 2 3" xfId="18348"/>
    <cellStyle name="Nota 3 2 2 2 4 3" xfId="7898"/>
    <cellStyle name="Nota 3 2 2 2 4 3 2" xfId="10512"/>
    <cellStyle name="Nota 3 2 2 2 4 3 2 2" xfId="16774"/>
    <cellStyle name="Nota 3 2 2 2 4 3 2 2 2" xfId="30190"/>
    <cellStyle name="Nota 3 2 2 2 4 3 2 3" xfId="21519"/>
    <cellStyle name="Nota 3 2 2 2 4 3 3" xfId="14502"/>
    <cellStyle name="Nota 3 2 2 2 4 3 3 2" xfId="28824"/>
    <cellStyle name="Nota 3 2 2 2 4 3 4" xfId="20147"/>
    <cellStyle name="Nota 3 2 2 2 4 4" xfId="5191"/>
    <cellStyle name="Nota 3 2 2 2 4 4 2" xfId="23334"/>
    <cellStyle name="Nota 3 2 2 2 4 5" xfId="15448"/>
    <cellStyle name="Nota 3 2 2 2 5" xfId="1500"/>
    <cellStyle name="Nota 3 2 2 2 5 2" xfId="5299"/>
    <cellStyle name="Nota 3 2 2 2 5 2 2" xfId="9608"/>
    <cellStyle name="Nota 3 2 2 2 5 2 2 2" xfId="15870"/>
    <cellStyle name="Nota 3 2 2 2 5 2 2 2 2" xfId="29286"/>
    <cellStyle name="Nota 3 2 2 2 5 2 2 3" xfId="20615"/>
    <cellStyle name="Nota 3 2 2 2 5 2 3" xfId="11849"/>
    <cellStyle name="Nota 3 2 2 2 5 2 3 2" xfId="26171"/>
    <cellStyle name="Nota 3 2 2 2 5 2 4" xfId="17494"/>
    <cellStyle name="Nota 3 2 2 2 5 3" xfId="12898"/>
    <cellStyle name="Nota 3 2 2 2 5 3 2" xfId="27220"/>
    <cellStyle name="Nota 3 2 2 2 5 4" xfId="18543"/>
    <cellStyle name="Nota 3 2 2 2 6" xfId="5516"/>
    <cellStyle name="Nota 3 2 2 2 6 2" xfId="12067"/>
    <cellStyle name="Nota 3 2 2 2 6 2 2" xfId="26389"/>
    <cellStyle name="Nota 3 2 2 2 6 3" xfId="17712"/>
    <cellStyle name="Nota 3 2 2 2 7" xfId="3858"/>
    <cellStyle name="Nota 3 2 2 2 7 2" xfId="22614"/>
    <cellStyle name="Nota 3 2 2 2 8" xfId="5970"/>
    <cellStyle name="Nota 3 2 2 3" xfId="1501"/>
    <cellStyle name="Nota 3 2 2 3 2" xfId="1502"/>
    <cellStyle name="Nota 3 2 2 3 2 2" xfId="1503"/>
    <cellStyle name="Nota 3 2 2 3 2 2 2" xfId="6858"/>
    <cellStyle name="Nota 3 2 2 3 2 2 2 2" xfId="13462"/>
    <cellStyle name="Nota 3 2 2 3 2 2 2 2 2" xfId="27784"/>
    <cellStyle name="Nota 3 2 2 3 2 2 2 3" xfId="19107"/>
    <cellStyle name="Nota 3 2 2 3 2 2 3" xfId="7879"/>
    <cellStyle name="Nota 3 2 2 3 2 2 3 2" xfId="10493"/>
    <cellStyle name="Nota 3 2 2 3 2 2 3 2 2" xfId="16755"/>
    <cellStyle name="Nota 3 2 2 3 2 2 3 2 2 2" xfId="30171"/>
    <cellStyle name="Nota 3 2 2 3 2 2 3 2 3" xfId="21500"/>
    <cellStyle name="Nota 3 2 2 3 2 2 3 3" xfId="14483"/>
    <cellStyle name="Nota 3 2 2 3 2 2 3 3 2" xfId="28805"/>
    <cellStyle name="Nota 3 2 2 3 2 2 3 4" xfId="20128"/>
    <cellStyle name="Nota 3 2 2 3 2 2 4" xfId="11316"/>
    <cellStyle name="Nota 3 2 2 3 2 2 4 2" xfId="25638"/>
    <cellStyle name="Nota 3 2 2 3 2 2 5" xfId="4900"/>
    <cellStyle name="Nota 3 2 2 3 2 3" xfId="1504"/>
    <cellStyle name="Nota 3 2 2 3 2 3 2" xfId="7159"/>
    <cellStyle name="Nota 3 2 2 3 2 3 2 2" xfId="9773"/>
    <cellStyle name="Nota 3 2 2 3 2 3 2 2 2" xfId="16035"/>
    <cellStyle name="Nota 3 2 2 3 2 3 2 2 2 2" xfId="29451"/>
    <cellStyle name="Nota 3 2 2 3 2 3 2 2 3" xfId="20780"/>
    <cellStyle name="Nota 3 2 2 3 2 3 2 3" xfId="13763"/>
    <cellStyle name="Nota 3 2 2 3 2 3 2 3 2" xfId="28085"/>
    <cellStyle name="Nota 3 2 2 3 2 3 2 4" xfId="19408"/>
    <cellStyle name="Nota 3 2 2 3 2 3 3" xfId="13358"/>
    <cellStyle name="Nota 3 2 2 3 2 3 3 2" xfId="27680"/>
    <cellStyle name="Nota 3 2 2 3 2 3 4" xfId="19003"/>
    <cellStyle name="Nota 3 2 2 3 2 4" xfId="5808"/>
    <cellStyle name="Nota 3 2 2 3 2 4 2" xfId="12361"/>
    <cellStyle name="Nota 3 2 2 3 2 4 2 2" xfId="26683"/>
    <cellStyle name="Nota 3 2 2 3 2 4 3" xfId="18006"/>
    <cellStyle name="Nota 3 2 2 3 2 5" xfId="4515"/>
    <cellStyle name="Nota 3 2 2 3 2 5 2" xfId="23002"/>
    <cellStyle name="Nota 3 2 2 3 2 6" xfId="14971"/>
    <cellStyle name="Nota 3 2 2 3 3" xfId="1505"/>
    <cellStyle name="Nota 3 2 2 3 3 2" xfId="1506"/>
    <cellStyle name="Nota 3 2 2 3 3 2 2" xfId="7038"/>
    <cellStyle name="Nota 3 2 2 3 3 2 2 2" xfId="13642"/>
    <cellStyle name="Nota 3 2 2 3 3 2 2 2 2" xfId="27964"/>
    <cellStyle name="Nota 3 2 2 3 3 2 2 3" xfId="19287"/>
    <cellStyle name="Nota 3 2 2 3 3 2 3" xfId="7826"/>
    <cellStyle name="Nota 3 2 2 3 3 2 3 2" xfId="10440"/>
    <cellStyle name="Nota 3 2 2 3 3 2 3 2 2" xfId="16702"/>
    <cellStyle name="Nota 3 2 2 3 3 2 3 2 2 2" xfId="30118"/>
    <cellStyle name="Nota 3 2 2 3 3 2 3 2 3" xfId="21447"/>
    <cellStyle name="Nota 3 2 2 3 3 2 3 3" xfId="14430"/>
    <cellStyle name="Nota 3 2 2 3 3 2 3 3 2" xfId="28752"/>
    <cellStyle name="Nota 3 2 2 3 3 2 3 4" xfId="20075"/>
    <cellStyle name="Nota 3 2 2 3 3 2 4" xfId="11583"/>
    <cellStyle name="Nota 3 2 2 3 3 2 4 2" xfId="25905"/>
    <cellStyle name="Nota 3 2 2 3 3 2 5" xfId="15533"/>
    <cellStyle name="Nota 3 2 2 3 3 3" xfId="1507"/>
    <cellStyle name="Nota 3 2 2 3 3 3 2" xfId="7574"/>
    <cellStyle name="Nota 3 2 2 3 3 3 2 2" xfId="10188"/>
    <cellStyle name="Nota 3 2 2 3 3 3 2 2 2" xfId="16450"/>
    <cellStyle name="Nota 3 2 2 3 3 3 2 2 2 2" xfId="29866"/>
    <cellStyle name="Nota 3 2 2 3 3 3 2 2 3" xfId="21195"/>
    <cellStyle name="Nota 3 2 2 3 3 3 2 3" xfId="14178"/>
    <cellStyle name="Nota 3 2 2 3 3 3 2 3 2" xfId="28500"/>
    <cellStyle name="Nota 3 2 2 3 3 3 2 4" xfId="19823"/>
    <cellStyle name="Nota 3 2 2 3 3 3 3" xfId="13167"/>
    <cellStyle name="Nota 3 2 2 3 3 3 3 2" xfId="27489"/>
    <cellStyle name="Nota 3 2 2 3 3 3 4" xfId="18812"/>
    <cellStyle name="Nota 3 2 2 3 3 4" xfId="5584"/>
    <cellStyle name="Nota 3 2 2 3 3 4 2" xfId="12136"/>
    <cellStyle name="Nota 3 2 2 3 3 4 2 2" xfId="26458"/>
    <cellStyle name="Nota 3 2 2 3 3 4 3" xfId="17781"/>
    <cellStyle name="Nota 3 2 2 3 3 5" xfId="6345"/>
    <cellStyle name="Nota 3 2 2 3 3 5 2" xfId="23531"/>
    <cellStyle name="Nota 3 2 2 3 3 6" xfId="15051"/>
    <cellStyle name="Nota 3 2 2 3 4" xfId="1508"/>
    <cellStyle name="Nota 3 2 2 3 4 2" xfId="5120"/>
    <cellStyle name="Nota 3 2 2 3 4 2 2" xfId="11668"/>
    <cellStyle name="Nota 3 2 2 3 4 2 2 2" xfId="25990"/>
    <cellStyle name="Nota 3 2 2 3 4 2 3" xfId="17193"/>
    <cellStyle name="Nota 3 2 2 3 4 3" xfId="8014"/>
    <cellStyle name="Nota 3 2 2 3 4 3 2" xfId="10628"/>
    <cellStyle name="Nota 3 2 2 3 4 3 2 2" xfId="16890"/>
    <cellStyle name="Nota 3 2 2 3 4 3 2 2 2" xfId="30306"/>
    <cellStyle name="Nota 3 2 2 3 4 3 2 3" xfId="21635"/>
    <cellStyle name="Nota 3 2 2 3 4 3 3" xfId="14618"/>
    <cellStyle name="Nota 3 2 2 3 4 3 3 2" xfId="28940"/>
    <cellStyle name="Nota 3 2 2 3 4 3 4" xfId="20263"/>
    <cellStyle name="Nota 3 2 2 3 4 4" xfId="4784"/>
    <cellStyle name="Nota 3 2 2 3 4 4 2" xfId="23185"/>
    <cellStyle name="Nota 3 2 2 3 4 5" xfId="17192"/>
    <cellStyle name="Nota 3 2 2 3 5" xfId="1509"/>
    <cellStyle name="Nota 3 2 2 3 5 2" xfId="7360"/>
    <cellStyle name="Nota 3 2 2 3 5 2 2" xfId="9974"/>
    <cellStyle name="Nota 3 2 2 3 5 2 2 2" xfId="16236"/>
    <cellStyle name="Nota 3 2 2 3 5 2 2 2 2" xfId="29652"/>
    <cellStyle name="Nota 3 2 2 3 5 2 2 3" xfId="20981"/>
    <cellStyle name="Nota 3 2 2 3 5 2 3" xfId="13964"/>
    <cellStyle name="Nota 3 2 2 3 5 2 3 2" xfId="28286"/>
    <cellStyle name="Nota 3 2 2 3 5 2 4" xfId="19609"/>
    <cellStyle name="Nota 3 2 2 3 5 3" xfId="12934"/>
    <cellStyle name="Nota 3 2 2 3 5 3 2" xfId="27256"/>
    <cellStyle name="Nota 3 2 2 3 5 4" xfId="18579"/>
    <cellStyle name="Nota 3 2 2 3 6" xfId="5558"/>
    <cellStyle name="Nota 3 2 2 3 6 2" xfId="12109"/>
    <cellStyle name="Nota 3 2 2 3 6 2 2" xfId="26431"/>
    <cellStyle name="Nota 3 2 2 3 6 3" xfId="17754"/>
    <cellStyle name="Nota 3 2 2 3 7" xfId="6323"/>
    <cellStyle name="Nota 3 2 2 3 7 2" xfId="23515"/>
    <cellStyle name="Nota 3 2 2 3 8" xfId="17034"/>
    <cellStyle name="Nota 3 2 2 4" xfId="1510"/>
    <cellStyle name="Nota 3 2 2 4 2" xfId="1511"/>
    <cellStyle name="Nota 3 2 2 4 2 2" xfId="1512"/>
    <cellStyle name="Nota 3 2 2 4 2 2 2" xfId="5944"/>
    <cellStyle name="Nota 3 2 2 4 2 2 2 2" xfId="12501"/>
    <cellStyle name="Nota 3 2 2 4 2 2 2 2 2" xfId="26823"/>
    <cellStyle name="Nota 3 2 2 4 2 2 2 3" xfId="18146"/>
    <cellStyle name="Nota 3 2 2 4 2 2 3" xfId="7409"/>
    <cellStyle name="Nota 3 2 2 4 2 2 3 2" xfId="10023"/>
    <cellStyle name="Nota 3 2 2 4 2 2 3 2 2" xfId="16285"/>
    <cellStyle name="Nota 3 2 2 4 2 2 3 2 2 2" xfId="29701"/>
    <cellStyle name="Nota 3 2 2 4 2 2 3 2 3" xfId="21030"/>
    <cellStyle name="Nota 3 2 2 4 2 2 3 3" xfId="14013"/>
    <cellStyle name="Nota 3 2 2 4 2 2 3 3 2" xfId="28335"/>
    <cellStyle name="Nota 3 2 2 4 2 2 3 4" xfId="19658"/>
    <cellStyle name="Nota 3 2 2 4 2 2 4" xfId="5932"/>
    <cellStyle name="Nota 3 2 2 4 2 2 4 2" xfId="23375"/>
    <cellStyle name="Nota 3 2 2 4 2 2 5" xfId="15455"/>
    <cellStyle name="Nota 3 2 2 4 2 3" xfId="1513"/>
    <cellStyle name="Nota 3 2 2 4 2 3 2" xfId="4816"/>
    <cellStyle name="Nota 3 2 2 4 2 3 2 2" xfId="9494"/>
    <cellStyle name="Nota 3 2 2 4 2 3 2 2 2" xfId="15756"/>
    <cellStyle name="Nota 3 2 2 4 2 3 2 2 2 2" xfId="29172"/>
    <cellStyle name="Nota 3 2 2 4 2 3 2 2 3" xfId="20501"/>
    <cellStyle name="Nota 3 2 2 4 2 3 2 3" xfId="11348"/>
    <cellStyle name="Nota 3 2 2 4 2 3 2 3 2" xfId="25670"/>
    <cellStyle name="Nota 3 2 2 4 2 3 2 4" xfId="15378"/>
    <cellStyle name="Nota 3 2 2 4 2 3 3" xfId="13233"/>
    <cellStyle name="Nota 3 2 2 4 2 3 3 2" xfId="27555"/>
    <cellStyle name="Nota 3 2 2 4 2 3 4" xfId="18878"/>
    <cellStyle name="Nota 3 2 2 4 2 4" xfId="5674"/>
    <cellStyle name="Nota 3 2 2 4 2 4 2" xfId="12227"/>
    <cellStyle name="Nota 3 2 2 4 2 4 2 2" xfId="26549"/>
    <cellStyle name="Nota 3 2 2 4 2 4 3" xfId="17872"/>
    <cellStyle name="Nota 3 2 2 4 2 5" xfId="4241"/>
    <cellStyle name="Nota 3 2 2 4 2 5 2" xfId="22849"/>
    <cellStyle name="Nota 3 2 2 4 2 6" xfId="14910"/>
    <cellStyle name="Nota 3 2 2 4 3" xfId="1514"/>
    <cellStyle name="Nota 3 2 2 4 3 2" xfId="1515"/>
    <cellStyle name="Nota 3 2 2 4 3 2 2" xfId="7034"/>
    <cellStyle name="Nota 3 2 2 4 3 2 2 2" xfId="13638"/>
    <cellStyle name="Nota 3 2 2 4 3 2 2 2 2" xfId="27960"/>
    <cellStyle name="Nota 3 2 2 4 3 2 2 3" xfId="19283"/>
    <cellStyle name="Nota 3 2 2 4 3 2 3" xfId="7175"/>
    <cellStyle name="Nota 3 2 2 4 3 2 3 2" xfId="9789"/>
    <cellStyle name="Nota 3 2 2 4 3 2 3 2 2" xfId="16051"/>
    <cellStyle name="Nota 3 2 2 4 3 2 3 2 2 2" xfId="29467"/>
    <cellStyle name="Nota 3 2 2 4 3 2 3 2 3" xfId="20796"/>
    <cellStyle name="Nota 3 2 2 4 3 2 3 3" xfId="13779"/>
    <cellStyle name="Nota 3 2 2 4 3 2 3 3 2" xfId="28101"/>
    <cellStyle name="Nota 3 2 2 4 3 2 3 4" xfId="19424"/>
    <cellStyle name="Nota 3 2 2 4 3 2 4" xfId="11575"/>
    <cellStyle name="Nota 3 2 2 4 3 2 4 2" xfId="25897"/>
    <cellStyle name="Nota 3 2 2 4 3 2 5" xfId="5927"/>
    <cellStyle name="Nota 3 2 2 4 3 3" xfId="1516"/>
    <cellStyle name="Nota 3 2 2 4 3 3 2" xfId="7413"/>
    <cellStyle name="Nota 3 2 2 4 3 3 2 2" xfId="10027"/>
    <cellStyle name="Nota 3 2 2 4 3 3 2 2 2" xfId="16289"/>
    <cellStyle name="Nota 3 2 2 4 3 3 2 2 2 2" xfId="29705"/>
    <cellStyle name="Nota 3 2 2 4 3 3 2 2 3" xfId="21034"/>
    <cellStyle name="Nota 3 2 2 4 3 3 2 3" xfId="14017"/>
    <cellStyle name="Nota 3 2 2 4 3 3 2 3 2" xfId="28339"/>
    <cellStyle name="Nota 3 2 2 4 3 3 2 4" xfId="19662"/>
    <cellStyle name="Nota 3 2 2 4 3 3 3" xfId="11701"/>
    <cellStyle name="Nota 3 2 2 4 3 3 3 2" xfId="26023"/>
    <cellStyle name="Nota 3 2 2 4 3 3 4" xfId="3149"/>
    <cellStyle name="Nota 3 2 2 4 3 4" xfId="4272"/>
    <cellStyle name="Nota 3 2 2 4 3 4 2" xfId="6310"/>
    <cellStyle name="Nota 3 2 2 4 3 4 2 2" xfId="23506"/>
    <cellStyle name="Nota 3 2 2 4 3 4 3" xfId="14975"/>
    <cellStyle name="Nota 3 2 2 4 3 5" xfId="4573"/>
    <cellStyle name="Nota 3 2 2 4 3 5 2" xfId="23040"/>
    <cellStyle name="Nota 3 2 2 4 3 6" xfId="17010"/>
    <cellStyle name="Nota 3 2 2 4 4" xfId="1517"/>
    <cellStyle name="Nota 3 2 2 4 4 2" xfId="6852"/>
    <cellStyle name="Nota 3 2 2 4 4 2 2" xfId="13456"/>
    <cellStyle name="Nota 3 2 2 4 4 2 2 2" xfId="27778"/>
    <cellStyle name="Nota 3 2 2 4 4 2 3" xfId="19101"/>
    <cellStyle name="Nota 3 2 2 4 4 3" xfId="7376"/>
    <cellStyle name="Nota 3 2 2 4 4 3 2" xfId="9990"/>
    <cellStyle name="Nota 3 2 2 4 4 3 2 2" xfId="16252"/>
    <cellStyle name="Nota 3 2 2 4 4 3 2 2 2" xfId="29668"/>
    <cellStyle name="Nota 3 2 2 4 4 3 2 3" xfId="20997"/>
    <cellStyle name="Nota 3 2 2 4 4 3 3" xfId="13980"/>
    <cellStyle name="Nota 3 2 2 4 4 3 3 2" xfId="28302"/>
    <cellStyle name="Nota 3 2 2 4 4 3 4" xfId="19625"/>
    <cellStyle name="Nota 3 2 2 4 4 4" xfId="2763"/>
    <cellStyle name="Nota 3 2 2 4 4 4 2" xfId="22332"/>
    <cellStyle name="Nota 3 2 2 4 4 5" xfId="15264"/>
    <cellStyle name="Nota 3 2 2 4 5" xfId="1518"/>
    <cellStyle name="Nota 3 2 2 4 5 2" xfId="7914"/>
    <cellStyle name="Nota 3 2 2 4 5 2 2" xfId="10528"/>
    <cellStyle name="Nota 3 2 2 4 5 2 2 2" xfId="16790"/>
    <cellStyle name="Nota 3 2 2 4 5 2 2 2 2" xfId="30206"/>
    <cellStyle name="Nota 3 2 2 4 5 2 2 3" xfId="21535"/>
    <cellStyle name="Nota 3 2 2 4 5 2 3" xfId="14518"/>
    <cellStyle name="Nota 3 2 2 4 5 2 3 2" xfId="28840"/>
    <cellStyle name="Nota 3 2 2 4 5 2 4" xfId="20163"/>
    <cellStyle name="Nota 3 2 2 4 5 3" xfId="12634"/>
    <cellStyle name="Nota 3 2 2 4 5 3 2" xfId="26956"/>
    <cellStyle name="Nota 3 2 2 4 5 4" xfId="18279"/>
    <cellStyle name="Nota 3 2 2 4 6" xfId="4060"/>
    <cellStyle name="Nota 3 2 2 4 6 2" xfId="5971"/>
    <cellStyle name="Nota 3 2 2 4 6 2 2" xfId="23385"/>
    <cellStyle name="Nota 3 2 2 4 6 3" xfId="15182"/>
    <cellStyle name="Nota 3 2 2 4 7" xfId="6822"/>
    <cellStyle name="Nota 3 2 2 4 7 2" xfId="23757"/>
    <cellStyle name="Nota 3 2 2 4 8" xfId="14983"/>
    <cellStyle name="Nota 3 2 2 5" xfId="1519"/>
    <cellStyle name="Nota 3 2 2 5 2" xfId="1520"/>
    <cellStyle name="Nota 3 2 2 5 2 2" xfId="1521"/>
    <cellStyle name="Nota 3 2 2 5 2 2 2" xfId="6448"/>
    <cellStyle name="Nota 3 2 2 5 2 2 2 2" xfId="13031"/>
    <cellStyle name="Nota 3 2 2 5 2 2 2 2 2" xfId="27353"/>
    <cellStyle name="Nota 3 2 2 5 2 2 2 3" xfId="18676"/>
    <cellStyle name="Nota 3 2 2 5 2 2 3" xfId="7644"/>
    <cellStyle name="Nota 3 2 2 5 2 2 3 2" xfId="10258"/>
    <cellStyle name="Nota 3 2 2 5 2 2 3 2 2" xfId="16520"/>
    <cellStyle name="Nota 3 2 2 5 2 2 3 2 2 2" xfId="29936"/>
    <cellStyle name="Nota 3 2 2 5 2 2 3 2 3" xfId="21265"/>
    <cellStyle name="Nota 3 2 2 5 2 2 3 3" xfId="14248"/>
    <cellStyle name="Nota 3 2 2 5 2 2 3 3 2" xfId="28570"/>
    <cellStyle name="Nota 3 2 2 5 2 2 3 4" xfId="19893"/>
    <cellStyle name="Nota 3 2 2 5 2 2 4" xfId="4654"/>
    <cellStyle name="Nota 3 2 2 5 2 2 4 2" xfId="23096"/>
    <cellStyle name="Nota 3 2 2 5 2 2 5" xfId="17250"/>
    <cellStyle name="Nota 3 2 2 5 2 3" xfId="1522"/>
    <cellStyle name="Nota 3 2 2 5 2 3 2" xfId="7623"/>
    <cellStyle name="Nota 3 2 2 5 2 3 2 2" xfId="10237"/>
    <cellStyle name="Nota 3 2 2 5 2 3 2 2 2" xfId="16499"/>
    <cellStyle name="Nota 3 2 2 5 2 3 2 2 2 2" xfId="29915"/>
    <cellStyle name="Nota 3 2 2 5 2 3 2 2 3" xfId="21244"/>
    <cellStyle name="Nota 3 2 2 5 2 3 2 3" xfId="14227"/>
    <cellStyle name="Nota 3 2 2 5 2 3 2 3 2" xfId="28549"/>
    <cellStyle name="Nota 3 2 2 5 2 3 2 4" xfId="19872"/>
    <cellStyle name="Nota 3 2 2 5 2 3 3" xfId="13398"/>
    <cellStyle name="Nota 3 2 2 5 2 3 3 2" xfId="27720"/>
    <cellStyle name="Nota 3 2 2 5 2 3 4" xfId="19043"/>
    <cellStyle name="Nota 3 2 2 5 2 4" xfId="5862"/>
    <cellStyle name="Nota 3 2 2 5 2 4 2" xfId="12415"/>
    <cellStyle name="Nota 3 2 2 5 2 4 2 2" xfId="26737"/>
    <cellStyle name="Nota 3 2 2 5 2 4 3" xfId="18060"/>
    <cellStyle name="Nota 3 2 2 5 2 5" xfId="4790"/>
    <cellStyle name="Nota 3 2 2 5 2 5 2" xfId="23189"/>
    <cellStyle name="Nota 3 2 2 5 2 6" xfId="14767"/>
    <cellStyle name="Nota 3 2 2 5 3" xfId="1523"/>
    <cellStyle name="Nota 3 2 2 5 3 2" xfId="6876"/>
    <cellStyle name="Nota 3 2 2 5 3 2 2" xfId="13480"/>
    <cellStyle name="Nota 3 2 2 5 3 2 2 2" xfId="27802"/>
    <cellStyle name="Nota 3 2 2 5 3 2 3" xfId="19125"/>
    <cellStyle name="Nota 3 2 2 5 3 3" xfId="7886"/>
    <cellStyle name="Nota 3 2 2 5 3 3 2" xfId="10500"/>
    <cellStyle name="Nota 3 2 2 5 3 3 2 2" xfId="16762"/>
    <cellStyle name="Nota 3 2 2 5 3 3 2 2 2" xfId="30178"/>
    <cellStyle name="Nota 3 2 2 5 3 3 2 3" xfId="21507"/>
    <cellStyle name="Nota 3 2 2 5 3 3 3" xfId="14490"/>
    <cellStyle name="Nota 3 2 2 5 3 3 3 2" xfId="28812"/>
    <cellStyle name="Nota 3 2 2 5 3 3 4" xfId="20135"/>
    <cellStyle name="Nota 3 2 2 5 3 4" xfId="11345"/>
    <cellStyle name="Nota 3 2 2 5 3 4 2" xfId="25667"/>
    <cellStyle name="Nota 3 2 2 5 3 5" xfId="17026"/>
    <cellStyle name="Nota 3 2 2 5 4" xfId="1524"/>
    <cellStyle name="Nota 3 2 2 5 4 2" xfId="8016"/>
    <cellStyle name="Nota 3 2 2 5 4 2 2" xfId="10630"/>
    <cellStyle name="Nota 3 2 2 5 4 2 2 2" xfId="16892"/>
    <cellStyle name="Nota 3 2 2 5 4 2 2 2 2" xfId="30308"/>
    <cellStyle name="Nota 3 2 2 5 4 2 2 3" xfId="21637"/>
    <cellStyle name="Nota 3 2 2 5 4 2 3" xfId="14620"/>
    <cellStyle name="Nota 3 2 2 5 4 2 3 2" xfId="28942"/>
    <cellStyle name="Nota 3 2 2 5 4 2 4" xfId="20265"/>
    <cellStyle name="Nota 3 2 2 5 4 3" xfId="12942"/>
    <cellStyle name="Nota 3 2 2 5 4 3 2" xfId="27264"/>
    <cellStyle name="Nota 3 2 2 5 4 4" xfId="18587"/>
    <cellStyle name="Nota 3 2 2 5 5" xfId="5595"/>
    <cellStyle name="Nota 3 2 2 5 5 2" xfId="12147"/>
    <cellStyle name="Nota 3 2 2 5 5 2 2" xfId="26469"/>
    <cellStyle name="Nota 3 2 2 5 5 3" xfId="17792"/>
    <cellStyle name="Nota 3 2 2 5 6" xfId="4199"/>
    <cellStyle name="Nota 3 2 2 5 6 2" xfId="22816"/>
    <cellStyle name="Nota 3 2 2 5 7" xfId="14885"/>
    <cellStyle name="Nota 3 2 2 6" xfId="1525"/>
    <cellStyle name="Nota 3 2 2 6 2" xfId="1526"/>
    <cellStyle name="Nota 3 2 2 6 2 2" xfId="6216"/>
    <cellStyle name="Nota 3 2 2 6 2 2 2" xfId="12790"/>
    <cellStyle name="Nota 3 2 2 6 2 2 2 2" xfId="27112"/>
    <cellStyle name="Nota 3 2 2 6 2 2 3" xfId="18435"/>
    <cellStyle name="Nota 3 2 2 6 2 3" xfId="7760"/>
    <cellStyle name="Nota 3 2 2 6 2 3 2" xfId="10374"/>
    <cellStyle name="Nota 3 2 2 6 2 3 2 2" xfId="16636"/>
    <cellStyle name="Nota 3 2 2 6 2 3 2 2 2" xfId="30052"/>
    <cellStyle name="Nota 3 2 2 6 2 3 2 3" xfId="21381"/>
    <cellStyle name="Nota 3 2 2 6 2 3 3" xfId="14364"/>
    <cellStyle name="Nota 3 2 2 6 2 3 3 2" xfId="28686"/>
    <cellStyle name="Nota 3 2 2 6 2 3 4" xfId="20009"/>
    <cellStyle name="Nota 3 2 2 6 2 4" xfId="6263"/>
    <cellStyle name="Nota 3 2 2 6 2 4 2" xfId="23481"/>
    <cellStyle name="Nota 3 2 2 6 2 5" xfId="17020"/>
    <cellStyle name="Nota 3 2 2 6 3" xfId="1527"/>
    <cellStyle name="Nota 3 2 2 6 3 2" xfId="4942"/>
    <cellStyle name="Nota 3 2 2 6 3 2 2" xfId="9520"/>
    <cellStyle name="Nota 3 2 2 6 3 2 2 2" xfId="15782"/>
    <cellStyle name="Nota 3 2 2 6 3 2 2 2 2" xfId="29198"/>
    <cellStyle name="Nota 3 2 2 6 3 2 2 3" xfId="20527"/>
    <cellStyle name="Nota 3 2 2 6 3 2 3" xfId="11481"/>
    <cellStyle name="Nota 3 2 2 6 3 2 3 2" xfId="25803"/>
    <cellStyle name="Nota 3 2 2 6 3 2 4" xfId="15347"/>
    <cellStyle name="Nota 3 2 2 6 3 3" xfId="12461"/>
    <cellStyle name="Nota 3 2 2 6 3 3 2" xfId="26783"/>
    <cellStyle name="Nota 3 2 2 6 3 4" xfId="18106"/>
    <cellStyle name="Nota 3 2 2 6 4" xfId="5065"/>
    <cellStyle name="Nota 3 2 2 6 4 2" xfId="11612"/>
    <cellStyle name="Nota 3 2 2 6 4 2 2" xfId="25934"/>
    <cellStyle name="Nota 3 2 2 6 4 3" xfId="15170"/>
    <cellStyle name="Nota 3 2 2 6 5" xfId="3778"/>
    <cellStyle name="Nota 3 2 2 6 5 2" xfId="22573"/>
    <cellStyle name="Nota 3 2 2 6 6" xfId="15256"/>
    <cellStyle name="Nota 3 2 2 7" xfId="1528"/>
    <cellStyle name="Nota 3 2 2 7 2" xfId="5891"/>
    <cellStyle name="Nota 3 2 2 7 2 2" xfId="12444"/>
    <cellStyle name="Nota 3 2 2 7 2 2 2" xfId="26766"/>
    <cellStyle name="Nota 3 2 2 7 2 3" xfId="18089"/>
    <cellStyle name="Nota 3 2 2 7 3" xfId="3868"/>
    <cellStyle name="Nota 3 2 2 7 3 2" xfId="9387"/>
    <cellStyle name="Nota 3 2 2 7 3 2 2" xfId="15649"/>
    <cellStyle name="Nota 3 2 2 7 3 2 2 2" xfId="29065"/>
    <cellStyle name="Nota 3 2 2 7 3 2 3" xfId="20394"/>
    <cellStyle name="Nota 3 2 2 7 3 3" xfId="4739"/>
    <cellStyle name="Nota 3 2 2 7 3 3 2" xfId="23162"/>
    <cellStyle name="Nota 3 2 2 7 3 4" xfId="3854"/>
    <cellStyle name="Nota 3 2 2 7 4" xfId="4238"/>
    <cellStyle name="Nota 3 2 2 7 4 2" xfId="22848"/>
    <cellStyle name="Nota 3 2 2 7 5" xfId="15512"/>
    <cellStyle name="Nota 3 2 2 8" xfId="1529"/>
    <cellStyle name="Nota 3 2 2 8 2" xfId="7680"/>
    <cellStyle name="Nota 3 2 2 8 2 2" xfId="10294"/>
    <cellStyle name="Nota 3 2 2 8 2 2 2" xfId="16556"/>
    <cellStyle name="Nota 3 2 2 8 2 2 2 2" xfId="29972"/>
    <cellStyle name="Nota 3 2 2 8 2 2 3" xfId="21301"/>
    <cellStyle name="Nota 3 2 2 8 2 3" xfId="14284"/>
    <cellStyle name="Nota 3 2 2 8 2 3 2" xfId="28606"/>
    <cellStyle name="Nota 3 2 2 8 2 4" xfId="19929"/>
    <cellStyle name="Nota 3 2 2 8 3" xfId="12762"/>
    <cellStyle name="Nota 3 2 2 8 3 2" xfId="27084"/>
    <cellStyle name="Nota 3 2 2 8 4" xfId="18407"/>
    <cellStyle name="Nota 3 2 2 9" xfId="5473"/>
    <cellStyle name="Nota 3 2 2 9 2" xfId="12024"/>
    <cellStyle name="Nota 3 2 2 9 2 2" xfId="26346"/>
    <cellStyle name="Nota 3 2 2 9 3" xfId="17669"/>
    <cellStyle name="Nota 3 2 3" xfId="1530"/>
    <cellStyle name="Nota 3 2 3 2" xfId="1531"/>
    <cellStyle name="Nota 3 2 3 2 2" xfId="1532"/>
    <cellStyle name="Nota 3 2 3 2 2 2" xfId="6080"/>
    <cellStyle name="Nota 3 2 3 2 2 2 2" xfId="12646"/>
    <cellStyle name="Nota 3 2 3 2 2 2 2 2" xfId="26968"/>
    <cellStyle name="Nota 3 2 3 2 2 2 3" xfId="18291"/>
    <cellStyle name="Nota 3 2 3 2 2 3" xfId="8009"/>
    <cellStyle name="Nota 3 2 3 2 2 3 2" xfId="10623"/>
    <cellStyle name="Nota 3 2 3 2 2 3 2 2" xfId="16885"/>
    <cellStyle name="Nota 3 2 3 2 2 3 2 2 2" xfId="30301"/>
    <cellStyle name="Nota 3 2 3 2 2 3 2 3" xfId="21630"/>
    <cellStyle name="Nota 3 2 3 2 2 3 3" xfId="14613"/>
    <cellStyle name="Nota 3 2 3 2 2 3 3 2" xfId="28935"/>
    <cellStyle name="Nota 3 2 3 2 2 3 4" xfId="20258"/>
    <cellStyle name="Nota 3 2 3 2 2 4" xfId="4236"/>
    <cellStyle name="Nota 3 2 3 2 2 4 2" xfId="22846"/>
    <cellStyle name="Nota 3 2 3 2 2 5" xfId="15380"/>
    <cellStyle name="Nota 3 2 3 2 3" xfId="1533"/>
    <cellStyle name="Nota 3 2 3 2 3 2" xfId="7593"/>
    <cellStyle name="Nota 3 2 3 2 3 2 2" xfId="10207"/>
    <cellStyle name="Nota 3 2 3 2 3 2 2 2" xfId="16469"/>
    <cellStyle name="Nota 3 2 3 2 3 2 2 2 2" xfId="29885"/>
    <cellStyle name="Nota 3 2 3 2 3 2 2 3" xfId="21214"/>
    <cellStyle name="Nota 3 2 3 2 3 2 3" xfId="14197"/>
    <cellStyle name="Nota 3 2 3 2 3 2 3 2" xfId="28519"/>
    <cellStyle name="Nota 3 2 3 2 3 2 4" xfId="19842"/>
    <cellStyle name="Nota 3 2 3 2 3 3" xfId="13308"/>
    <cellStyle name="Nota 3 2 3 2 3 3 2" xfId="27630"/>
    <cellStyle name="Nota 3 2 3 2 3 4" xfId="18953"/>
    <cellStyle name="Nota 3 2 3 2 4" xfId="5758"/>
    <cellStyle name="Nota 3 2 3 2 4 2" xfId="12311"/>
    <cellStyle name="Nota 3 2 3 2 4 2 2" xfId="26633"/>
    <cellStyle name="Nota 3 2 3 2 4 3" xfId="17956"/>
    <cellStyle name="Nota 3 2 3 2 5" xfId="4597"/>
    <cellStyle name="Nota 3 2 3 2 5 2" xfId="23058"/>
    <cellStyle name="Nota 3 2 3 2 6" xfId="15042"/>
    <cellStyle name="Nota 3 2 3 3" xfId="1534"/>
    <cellStyle name="Nota 3 2 3 3 2" xfId="1535"/>
    <cellStyle name="Nota 3 2 3 3 2 2" xfId="6101"/>
    <cellStyle name="Nota 3 2 3 3 2 2 2" xfId="12668"/>
    <cellStyle name="Nota 3 2 3 3 2 2 2 2" xfId="26990"/>
    <cellStyle name="Nota 3 2 3 3 2 2 3" xfId="18313"/>
    <cellStyle name="Nota 3 2 3 3 2 3" xfId="7961"/>
    <cellStyle name="Nota 3 2 3 3 2 3 2" xfId="10575"/>
    <cellStyle name="Nota 3 2 3 3 2 3 2 2" xfId="16837"/>
    <cellStyle name="Nota 3 2 3 3 2 3 2 2 2" xfId="30253"/>
    <cellStyle name="Nota 3 2 3 3 2 3 2 3" xfId="21582"/>
    <cellStyle name="Nota 3 2 3 3 2 3 3" xfId="14565"/>
    <cellStyle name="Nota 3 2 3 3 2 3 3 2" xfId="28887"/>
    <cellStyle name="Nota 3 2 3 3 2 3 4" xfId="20210"/>
    <cellStyle name="Nota 3 2 3 3 2 4" xfId="3469"/>
    <cellStyle name="Nota 3 2 3 3 2 4 2" xfId="22471"/>
    <cellStyle name="Nota 3 2 3 3 2 5" xfId="14919"/>
    <cellStyle name="Nota 3 2 3 3 3" xfId="1536"/>
    <cellStyle name="Nota 3 2 3 3 3 2" xfId="4769"/>
    <cellStyle name="Nota 3 2 3 3 3 2 2" xfId="9481"/>
    <cellStyle name="Nota 3 2 3 3 3 2 2 2" xfId="15743"/>
    <cellStyle name="Nota 3 2 3 3 3 2 2 2 2" xfId="29159"/>
    <cellStyle name="Nota 3 2 3 3 3 2 2 3" xfId="20488"/>
    <cellStyle name="Nota 3 2 3 3 3 2 3" xfId="2770"/>
    <cellStyle name="Nota 3 2 3 3 3 2 3 2" xfId="22339"/>
    <cellStyle name="Nota 3 2 3 3 3 2 4" xfId="6644"/>
    <cellStyle name="Nota 3 2 3 3 3 3" xfId="11992"/>
    <cellStyle name="Nota 3 2 3 3 3 3 2" xfId="26314"/>
    <cellStyle name="Nota 3 2 3 3 3 4" xfId="17637"/>
    <cellStyle name="Nota 3 2 3 3 4" xfId="4937"/>
    <cellStyle name="Nota 3 2 3 3 4 2" xfId="11475"/>
    <cellStyle name="Nota 3 2 3 3 4 2 2" xfId="25797"/>
    <cellStyle name="Nota 3 2 3 3 4 3" xfId="16956"/>
    <cellStyle name="Nota 3 2 3 3 5" xfId="4115"/>
    <cellStyle name="Nota 3 2 3 3 5 2" xfId="22761"/>
    <cellStyle name="Nota 3 2 3 3 6" xfId="6315"/>
    <cellStyle name="Nota 3 2 3 4" xfId="1537"/>
    <cellStyle name="Nota 3 2 3 4 2" xfId="6066"/>
    <cellStyle name="Nota 3 2 3 4 2 2" xfId="12632"/>
    <cellStyle name="Nota 3 2 3 4 2 2 2" xfId="26954"/>
    <cellStyle name="Nota 3 2 3 4 2 3" xfId="18277"/>
    <cellStyle name="Nota 3 2 3 4 3" xfId="7279"/>
    <cellStyle name="Nota 3 2 3 4 3 2" xfId="9893"/>
    <cellStyle name="Nota 3 2 3 4 3 2 2" xfId="16155"/>
    <cellStyle name="Nota 3 2 3 4 3 2 2 2" xfId="29571"/>
    <cellStyle name="Nota 3 2 3 4 3 2 3" xfId="20900"/>
    <cellStyle name="Nota 3 2 3 4 3 3" xfId="13883"/>
    <cellStyle name="Nota 3 2 3 4 3 3 2" xfId="28205"/>
    <cellStyle name="Nota 3 2 3 4 3 4" xfId="19528"/>
    <cellStyle name="Nota 3 2 3 4 4" xfId="4204"/>
    <cellStyle name="Nota 3 2 3 4 4 2" xfId="22819"/>
    <cellStyle name="Nota 3 2 3 4 5" xfId="14779"/>
    <cellStyle name="Nota 3 2 3 5" xfId="1538"/>
    <cellStyle name="Nota 3 2 3 5 2" xfId="7847"/>
    <cellStyle name="Nota 3 2 3 5 2 2" xfId="10461"/>
    <cellStyle name="Nota 3 2 3 5 2 2 2" xfId="16723"/>
    <cellStyle name="Nota 3 2 3 5 2 2 2 2" xfId="30139"/>
    <cellStyle name="Nota 3 2 3 5 2 2 3" xfId="21468"/>
    <cellStyle name="Nota 3 2 3 5 2 3" xfId="14451"/>
    <cellStyle name="Nota 3 2 3 5 2 3 2" xfId="28773"/>
    <cellStyle name="Nota 3 2 3 5 2 4" xfId="20096"/>
    <cellStyle name="Nota 3 2 3 5 3" xfId="12884"/>
    <cellStyle name="Nota 3 2 3 5 3 2" xfId="27206"/>
    <cellStyle name="Nota 3 2 3 5 4" xfId="18529"/>
    <cellStyle name="Nota 3 2 3 6" xfId="5502"/>
    <cellStyle name="Nota 3 2 3 6 2" xfId="12053"/>
    <cellStyle name="Nota 3 2 3 6 2 2" xfId="26375"/>
    <cellStyle name="Nota 3 2 3 6 3" xfId="17698"/>
    <cellStyle name="Nota 3 2 3 7" xfId="3765"/>
    <cellStyle name="Nota 3 2 3 7 2" xfId="22570"/>
    <cellStyle name="Nota 3 2 3 8" xfId="17070"/>
    <cellStyle name="Nota 3 2 4" xfId="1539"/>
    <cellStyle name="Nota 3 2 4 2" xfId="1540"/>
    <cellStyle name="Nota 3 2 4 2 2" xfId="1541"/>
    <cellStyle name="Nota 3 2 4 2 2 2" xfId="6406"/>
    <cellStyle name="Nota 3 2 4 2 2 2 2" xfId="12989"/>
    <cellStyle name="Nota 3 2 4 2 2 2 2 2" xfId="27311"/>
    <cellStyle name="Nota 3 2 4 2 2 2 3" xfId="18634"/>
    <cellStyle name="Nota 3 2 4 2 2 3" xfId="7580"/>
    <cellStyle name="Nota 3 2 4 2 2 3 2" xfId="10194"/>
    <cellStyle name="Nota 3 2 4 2 2 3 2 2" xfId="16456"/>
    <cellStyle name="Nota 3 2 4 2 2 3 2 2 2" xfId="29872"/>
    <cellStyle name="Nota 3 2 4 2 2 3 2 3" xfId="21201"/>
    <cellStyle name="Nota 3 2 4 2 2 3 3" xfId="14184"/>
    <cellStyle name="Nota 3 2 4 2 2 3 3 2" xfId="28506"/>
    <cellStyle name="Nota 3 2 4 2 2 3 4" xfId="19829"/>
    <cellStyle name="Nota 3 2 4 2 2 4" xfId="6093"/>
    <cellStyle name="Nota 3 2 4 2 2 4 2" xfId="23412"/>
    <cellStyle name="Nota 3 2 4 2 2 5" xfId="17334"/>
    <cellStyle name="Nota 3 2 4 2 3" xfId="1542"/>
    <cellStyle name="Nota 3 2 4 2 3 2" xfId="5330"/>
    <cellStyle name="Nota 3 2 4 2 3 2 2" xfId="9639"/>
    <cellStyle name="Nota 3 2 4 2 3 2 2 2" xfId="15901"/>
    <cellStyle name="Nota 3 2 4 2 3 2 2 2 2" xfId="29317"/>
    <cellStyle name="Nota 3 2 4 2 3 2 2 3" xfId="20646"/>
    <cellStyle name="Nota 3 2 4 2 3 2 3" xfId="11880"/>
    <cellStyle name="Nota 3 2 4 2 3 2 3 2" xfId="26202"/>
    <cellStyle name="Nota 3 2 4 2 3 2 4" xfId="17525"/>
    <cellStyle name="Nota 3 2 4 2 3 3" xfId="13344"/>
    <cellStyle name="Nota 3 2 4 2 3 3 2" xfId="27666"/>
    <cellStyle name="Nota 3 2 4 2 3 4" xfId="18989"/>
    <cellStyle name="Nota 3 2 4 2 4" xfId="5794"/>
    <cellStyle name="Nota 3 2 4 2 4 2" xfId="12347"/>
    <cellStyle name="Nota 3 2 4 2 4 2 2" xfId="26669"/>
    <cellStyle name="Nota 3 2 4 2 4 3" xfId="17992"/>
    <cellStyle name="Nota 3 2 4 2 5" xfId="3154"/>
    <cellStyle name="Nota 3 2 4 2 5 2" xfId="22422"/>
    <cellStyle name="Nota 3 2 4 2 6" xfId="6265"/>
    <cellStyle name="Nota 3 2 4 3" xfId="1543"/>
    <cellStyle name="Nota 3 2 4 3 2" xfId="1544"/>
    <cellStyle name="Nota 3 2 4 3 2 2" xfId="6912"/>
    <cellStyle name="Nota 3 2 4 3 2 2 2" xfId="13516"/>
    <cellStyle name="Nota 3 2 4 3 2 2 2 2" xfId="27838"/>
    <cellStyle name="Nota 3 2 4 3 2 2 3" xfId="19161"/>
    <cellStyle name="Nota 3 2 4 3 2 3" xfId="7152"/>
    <cellStyle name="Nota 3 2 4 3 2 3 2" xfId="9766"/>
    <cellStyle name="Nota 3 2 4 3 2 3 2 2" xfId="16028"/>
    <cellStyle name="Nota 3 2 4 3 2 3 2 2 2" xfId="29444"/>
    <cellStyle name="Nota 3 2 4 3 2 3 2 3" xfId="20773"/>
    <cellStyle name="Nota 3 2 4 3 2 3 3" xfId="13756"/>
    <cellStyle name="Nota 3 2 4 3 2 3 3 2" xfId="28078"/>
    <cellStyle name="Nota 3 2 4 3 2 3 4" xfId="19401"/>
    <cellStyle name="Nota 3 2 4 3 2 4" xfId="11398"/>
    <cellStyle name="Nota 3 2 4 3 2 4 2" xfId="25720"/>
    <cellStyle name="Nota 3 2 4 3 2 5" xfId="17121"/>
    <cellStyle name="Nota 3 2 4 3 3" xfId="1545"/>
    <cellStyle name="Nota 3 2 4 3 3 2" xfId="3725"/>
    <cellStyle name="Nota 3 2 4 3 3 2 2" xfId="9364"/>
    <cellStyle name="Nota 3 2 4 3 3 2 2 2" xfId="15626"/>
    <cellStyle name="Nota 3 2 4 3 3 2 2 2 2" xfId="29042"/>
    <cellStyle name="Nota 3 2 4 3 3 2 2 3" xfId="20371"/>
    <cellStyle name="Nota 3 2 4 3 3 2 3" xfId="6037"/>
    <cellStyle name="Nota 3 2 4 3 3 2 3 2" xfId="23396"/>
    <cellStyle name="Nota 3 2 4 3 3 2 4" xfId="17312"/>
    <cellStyle name="Nota 3 2 4 3 3 3" xfId="13399"/>
    <cellStyle name="Nota 3 2 4 3 3 3 2" xfId="27721"/>
    <cellStyle name="Nota 3 2 4 3 3 4" xfId="19044"/>
    <cellStyle name="Nota 3 2 4 3 4" xfId="5863"/>
    <cellStyle name="Nota 3 2 4 3 4 2" xfId="12416"/>
    <cellStyle name="Nota 3 2 4 3 4 2 2" xfId="26738"/>
    <cellStyle name="Nota 3 2 4 3 4 3" xfId="18061"/>
    <cellStyle name="Nota 3 2 4 3 5" xfId="4572"/>
    <cellStyle name="Nota 3 2 4 3 5 2" xfId="23039"/>
    <cellStyle name="Nota 3 2 4 3 6" xfId="15439"/>
    <cellStyle name="Nota 3 2 4 4" xfId="1546"/>
    <cellStyle name="Nota 3 2 4 4 2" xfId="6928"/>
    <cellStyle name="Nota 3 2 4 4 2 2" xfId="13532"/>
    <cellStyle name="Nota 3 2 4 4 2 2 2" xfId="27854"/>
    <cellStyle name="Nota 3 2 4 4 2 3" xfId="19177"/>
    <cellStyle name="Nota 3 2 4 4 3" xfId="4921"/>
    <cellStyle name="Nota 3 2 4 4 3 2" xfId="9515"/>
    <cellStyle name="Nota 3 2 4 4 3 2 2" xfId="15777"/>
    <cellStyle name="Nota 3 2 4 4 3 2 2 2" xfId="29193"/>
    <cellStyle name="Nota 3 2 4 4 3 2 3" xfId="20522"/>
    <cellStyle name="Nota 3 2 4 4 3 3" xfId="11458"/>
    <cellStyle name="Nota 3 2 4 4 3 3 2" xfId="25780"/>
    <cellStyle name="Nota 3 2 4 4 3 4" xfId="14791"/>
    <cellStyle name="Nota 3 2 4 4 4" xfId="11421"/>
    <cellStyle name="Nota 3 2 4 4 4 2" xfId="25743"/>
    <cellStyle name="Nota 3 2 4 4 5" xfId="17163"/>
    <cellStyle name="Nota 3 2 4 5" xfId="1547"/>
    <cellStyle name="Nota 3 2 4 5 2" xfId="7066"/>
    <cellStyle name="Nota 3 2 4 5 2 2" xfId="9680"/>
    <cellStyle name="Nota 3 2 4 5 2 2 2" xfId="15942"/>
    <cellStyle name="Nota 3 2 4 5 2 2 2 2" xfId="29358"/>
    <cellStyle name="Nota 3 2 4 5 2 2 3" xfId="20687"/>
    <cellStyle name="Nota 3 2 4 5 2 3" xfId="13670"/>
    <cellStyle name="Nota 3 2 4 5 2 3 2" xfId="27992"/>
    <cellStyle name="Nota 3 2 4 5 2 4" xfId="19315"/>
    <cellStyle name="Nota 3 2 4 5 3" xfId="12920"/>
    <cellStyle name="Nota 3 2 4 5 3 2" xfId="27242"/>
    <cellStyle name="Nota 3 2 4 5 4" xfId="18565"/>
    <cellStyle name="Nota 3 2 4 6" xfId="5544"/>
    <cellStyle name="Nota 3 2 4 6 2" xfId="12095"/>
    <cellStyle name="Nota 3 2 4 6 2 2" xfId="26417"/>
    <cellStyle name="Nota 3 2 4 6 3" xfId="17740"/>
    <cellStyle name="Nota 3 2 4 7" xfId="4930"/>
    <cellStyle name="Nota 3 2 4 7 2" xfId="23267"/>
    <cellStyle name="Nota 3 2 4 8" xfId="15519"/>
    <cellStyle name="Nota 3 2 5" xfId="1548"/>
    <cellStyle name="Nota 3 2 5 2" xfId="1549"/>
    <cellStyle name="Nota 3 2 5 2 2" xfId="1550"/>
    <cellStyle name="Nota 3 2 5 2 2 2" xfId="6090"/>
    <cellStyle name="Nota 3 2 5 2 2 2 2" xfId="12657"/>
    <cellStyle name="Nota 3 2 5 2 2 2 2 2" xfId="26979"/>
    <cellStyle name="Nota 3 2 5 2 2 2 3" xfId="18302"/>
    <cellStyle name="Nota 3 2 5 2 2 3" xfId="7079"/>
    <cellStyle name="Nota 3 2 5 2 2 3 2" xfId="9693"/>
    <cellStyle name="Nota 3 2 5 2 2 3 2 2" xfId="15955"/>
    <cellStyle name="Nota 3 2 5 2 2 3 2 2 2" xfId="29371"/>
    <cellStyle name="Nota 3 2 5 2 2 3 2 3" xfId="20700"/>
    <cellStyle name="Nota 3 2 5 2 2 3 3" xfId="13683"/>
    <cellStyle name="Nota 3 2 5 2 2 3 3 2" xfId="28005"/>
    <cellStyle name="Nota 3 2 5 2 2 3 4" xfId="19328"/>
    <cellStyle name="Nota 3 2 5 2 2 4" xfId="6748"/>
    <cellStyle name="Nota 3 2 5 2 2 4 2" xfId="23696"/>
    <cellStyle name="Nota 3 2 5 2 2 5" xfId="15511"/>
    <cellStyle name="Nota 3 2 5 2 3" xfId="1551"/>
    <cellStyle name="Nota 3 2 5 2 3 2" xfId="7093"/>
    <cellStyle name="Nota 3 2 5 2 3 2 2" xfId="9707"/>
    <cellStyle name="Nota 3 2 5 2 3 2 2 2" xfId="15969"/>
    <cellStyle name="Nota 3 2 5 2 3 2 2 2 2" xfId="29385"/>
    <cellStyle name="Nota 3 2 5 2 3 2 2 3" xfId="20714"/>
    <cellStyle name="Nota 3 2 5 2 3 2 3" xfId="13697"/>
    <cellStyle name="Nota 3 2 5 2 3 2 3 2" xfId="28019"/>
    <cellStyle name="Nota 3 2 5 2 3 2 4" xfId="19342"/>
    <cellStyle name="Nota 3 2 5 2 3 3" xfId="13204"/>
    <cellStyle name="Nota 3 2 5 2 3 3 2" xfId="27526"/>
    <cellStyle name="Nota 3 2 5 2 3 4" xfId="18849"/>
    <cellStyle name="Nota 3 2 5 2 4" xfId="5643"/>
    <cellStyle name="Nota 3 2 5 2 4 2" xfId="12196"/>
    <cellStyle name="Nota 3 2 5 2 4 2 2" xfId="26518"/>
    <cellStyle name="Nota 3 2 5 2 4 3" xfId="17841"/>
    <cellStyle name="Nota 3 2 5 2 5" xfId="3685"/>
    <cellStyle name="Nota 3 2 5 2 5 2" xfId="22527"/>
    <cellStyle name="Nota 3 2 5 2 6" xfId="15371"/>
    <cellStyle name="Nota 3 2 5 3" xfId="1552"/>
    <cellStyle name="Nota 3 2 5 3 2" xfId="1553"/>
    <cellStyle name="Nota 3 2 5 3 2 2" xfId="6447"/>
    <cellStyle name="Nota 3 2 5 3 2 2 2" xfId="13030"/>
    <cellStyle name="Nota 3 2 5 3 2 2 2 2" xfId="27352"/>
    <cellStyle name="Nota 3 2 5 3 2 2 3" xfId="18675"/>
    <cellStyle name="Nota 3 2 5 3 2 3" xfId="7746"/>
    <cellStyle name="Nota 3 2 5 3 2 3 2" xfId="10360"/>
    <cellStyle name="Nota 3 2 5 3 2 3 2 2" xfId="16622"/>
    <cellStyle name="Nota 3 2 5 3 2 3 2 2 2" xfId="30038"/>
    <cellStyle name="Nota 3 2 5 3 2 3 2 3" xfId="21367"/>
    <cellStyle name="Nota 3 2 5 3 2 3 3" xfId="14350"/>
    <cellStyle name="Nota 3 2 5 3 2 3 3 2" xfId="28672"/>
    <cellStyle name="Nota 3 2 5 3 2 3 4" xfId="19995"/>
    <cellStyle name="Nota 3 2 5 3 2 4" xfId="6737"/>
    <cellStyle name="Nota 3 2 5 3 2 4 2" xfId="23688"/>
    <cellStyle name="Nota 3 2 5 3 2 5" xfId="14778"/>
    <cellStyle name="Nota 3 2 5 3 3" xfId="1554"/>
    <cellStyle name="Nota 3 2 5 3 3 2" xfId="7714"/>
    <cellStyle name="Nota 3 2 5 3 3 2 2" xfId="10328"/>
    <cellStyle name="Nota 3 2 5 3 3 2 2 2" xfId="16590"/>
    <cellStyle name="Nota 3 2 5 3 3 2 2 2 2" xfId="30006"/>
    <cellStyle name="Nota 3 2 5 3 3 2 2 3" xfId="21335"/>
    <cellStyle name="Nota 3 2 5 3 3 2 3" xfId="14318"/>
    <cellStyle name="Nota 3 2 5 3 3 2 3 2" xfId="28640"/>
    <cellStyle name="Nota 3 2 5 3 3 2 4" xfId="19963"/>
    <cellStyle name="Nota 3 2 5 3 3 3" xfId="12698"/>
    <cellStyle name="Nota 3 2 5 3 3 3 2" xfId="27020"/>
    <cellStyle name="Nota 3 2 5 3 3 4" xfId="18343"/>
    <cellStyle name="Nota 3 2 5 3 4" xfId="3983"/>
    <cellStyle name="Nota 3 2 5 3 4 2" xfId="3026"/>
    <cellStyle name="Nota 3 2 5 3 4 2 2" xfId="22414"/>
    <cellStyle name="Nota 3 2 5 3 4 3" xfId="17248"/>
    <cellStyle name="Nota 3 2 5 3 5" xfId="6729"/>
    <cellStyle name="Nota 3 2 5 3 5 2" xfId="23682"/>
    <cellStyle name="Nota 3 2 5 3 6" xfId="15019"/>
    <cellStyle name="Nota 3 2 5 4" xfId="1555"/>
    <cellStyle name="Nota 3 2 5 4 2" xfId="5433"/>
    <cellStyle name="Nota 3 2 5 4 2 2" xfId="11984"/>
    <cellStyle name="Nota 3 2 5 4 2 2 2" xfId="26306"/>
    <cellStyle name="Nota 3 2 5 4 2 3" xfId="17629"/>
    <cellStyle name="Nota 3 2 5 4 3" xfId="7546"/>
    <cellStyle name="Nota 3 2 5 4 3 2" xfId="10160"/>
    <cellStyle name="Nota 3 2 5 4 3 2 2" xfId="16422"/>
    <cellStyle name="Nota 3 2 5 4 3 2 2 2" xfId="29838"/>
    <cellStyle name="Nota 3 2 5 4 3 2 3" xfId="21167"/>
    <cellStyle name="Nota 3 2 5 4 3 3" xfId="14150"/>
    <cellStyle name="Nota 3 2 5 4 3 3 2" xfId="28472"/>
    <cellStyle name="Nota 3 2 5 4 3 4" xfId="19795"/>
    <cellStyle name="Nota 3 2 5 4 4" xfId="4725"/>
    <cellStyle name="Nota 3 2 5 4 4 2" xfId="23152"/>
    <cellStyle name="Nota 3 2 5 4 5" xfId="15521"/>
    <cellStyle name="Nota 3 2 5 5" xfId="1556"/>
    <cellStyle name="Nota 3 2 5 5 2" xfId="4023"/>
    <cellStyle name="Nota 3 2 5 5 2 2" xfId="9413"/>
    <cellStyle name="Nota 3 2 5 5 2 2 2" xfId="15675"/>
    <cellStyle name="Nota 3 2 5 5 2 2 2 2" xfId="29091"/>
    <cellStyle name="Nota 3 2 5 5 2 2 3" xfId="20420"/>
    <cellStyle name="Nota 3 2 5 5 2 3" xfId="6264"/>
    <cellStyle name="Nota 3 2 5 5 2 3 2" xfId="23482"/>
    <cellStyle name="Nota 3 2 5 5 2 4" xfId="14997"/>
    <cellStyle name="Nota 3 2 5 5 3" xfId="12509"/>
    <cellStyle name="Nota 3 2 5 5 3 2" xfId="26831"/>
    <cellStyle name="Nota 3 2 5 5 4" xfId="18154"/>
    <cellStyle name="Nota 3 2 5 6" xfId="5219"/>
    <cellStyle name="Nota 3 2 5 6 2" xfId="11768"/>
    <cellStyle name="Nota 3 2 5 6 2 2" xfId="26090"/>
    <cellStyle name="Nota 3 2 5 6 3" xfId="17413"/>
    <cellStyle name="Nota 3 2 5 7" xfId="6161"/>
    <cellStyle name="Nota 3 2 5 7 2" xfId="23436"/>
    <cellStyle name="Nota 3 2 5 8" xfId="15105"/>
    <cellStyle name="Nota 3 2 6" xfId="1557"/>
    <cellStyle name="Nota 3 2 6 2" xfId="1558"/>
    <cellStyle name="Nota 3 2 6 2 2" xfId="1559"/>
    <cellStyle name="Nota 3 2 6 2 2 2" xfId="6980"/>
    <cellStyle name="Nota 3 2 6 2 2 2 2" xfId="13584"/>
    <cellStyle name="Nota 3 2 6 2 2 2 2 2" xfId="27906"/>
    <cellStyle name="Nota 3 2 6 2 2 2 3" xfId="19229"/>
    <cellStyle name="Nota 3 2 6 2 2 3" xfId="7863"/>
    <cellStyle name="Nota 3 2 6 2 2 3 2" xfId="10477"/>
    <cellStyle name="Nota 3 2 6 2 2 3 2 2" xfId="16739"/>
    <cellStyle name="Nota 3 2 6 2 2 3 2 2 2" xfId="30155"/>
    <cellStyle name="Nota 3 2 6 2 2 3 2 3" xfId="21484"/>
    <cellStyle name="Nota 3 2 6 2 2 3 3" xfId="14467"/>
    <cellStyle name="Nota 3 2 6 2 2 3 3 2" xfId="28789"/>
    <cellStyle name="Nota 3 2 6 2 2 3 4" xfId="20112"/>
    <cellStyle name="Nota 3 2 6 2 2 4" xfId="11491"/>
    <cellStyle name="Nota 3 2 6 2 2 4 2" xfId="25813"/>
    <cellStyle name="Nota 3 2 6 2 2 5" xfId="4079"/>
    <cellStyle name="Nota 3 2 6 2 3" xfId="1560"/>
    <cellStyle name="Nota 3 2 6 2 3 2" xfId="7309"/>
    <cellStyle name="Nota 3 2 6 2 3 2 2" xfId="9923"/>
    <cellStyle name="Nota 3 2 6 2 3 2 2 2" xfId="16185"/>
    <cellStyle name="Nota 3 2 6 2 3 2 2 2 2" xfId="29601"/>
    <cellStyle name="Nota 3 2 6 2 3 2 2 3" xfId="20930"/>
    <cellStyle name="Nota 3 2 6 2 3 2 3" xfId="13913"/>
    <cellStyle name="Nota 3 2 6 2 3 2 3 2" xfId="28235"/>
    <cellStyle name="Nota 3 2 6 2 3 2 4" xfId="19558"/>
    <cellStyle name="Nota 3 2 6 2 3 3" xfId="12770"/>
    <cellStyle name="Nota 3 2 6 2 3 3 2" xfId="27092"/>
    <cellStyle name="Nota 3 2 6 2 3 4" xfId="18415"/>
    <cellStyle name="Nota 3 2 6 2 4" xfId="4807"/>
    <cellStyle name="Nota 3 2 6 2 4 2" xfId="11338"/>
    <cellStyle name="Nota 3 2 6 2 4 2 2" xfId="25660"/>
    <cellStyle name="Nota 3 2 6 2 4 3" xfId="3283"/>
    <cellStyle name="Nota 3 2 6 2 5" xfId="3906"/>
    <cellStyle name="Nota 3 2 6 2 5 2" xfId="22638"/>
    <cellStyle name="Nota 3 2 6 2 6" xfId="4447"/>
    <cellStyle name="Nota 3 2 6 3" xfId="1561"/>
    <cellStyle name="Nota 3 2 6 3 2" xfId="6487"/>
    <cellStyle name="Nota 3 2 6 3 2 2" xfId="13070"/>
    <cellStyle name="Nota 3 2 6 3 2 2 2" xfId="27392"/>
    <cellStyle name="Nota 3 2 6 3 2 3" xfId="18715"/>
    <cellStyle name="Nota 3 2 6 3 3" xfId="7959"/>
    <cellStyle name="Nota 3 2 6 3 3 2" xfId="10573"/>
    <cellStyle name="Nota 3 2 6 3 3 2 2" xfId="16835"/>
    <cellStyle name="Nota 3 2 6 3 3 2 2 2" xfId="30251"/>
    <cellStyle name="Nota 3 2 6 3 3 2 3" xfId="21580"/>
    <cellStyle name="Nota 3 2 6 3 3 3" xfId="14563"/>
    <cellStyle name="Nota 3 2 6 3 3 3 2" xfId="28885"/>
    <cellStyle name="Nota 3 2 6 3 3 4" xfId="20208"/>
    <cellStyle name="Nota 3 2 6 3 4" xfId="4630"/>
    <cellStyle name="Nota 3 2 6 3 4 2" xfId="23075"/>
    <cellStyle name="Nota 3 2 6 3 5" xfId="14918"/>
    <cellStyle name="Nota 3 2 6 4" xfId="1562"/>
    <cellStyle name="Nota 3 2 6 4 2" xfId="7818"/>
    <cellStyle name="Nota 3 2 6 4 2 2" xfId="10432"/>
    <cellStyle name="Nota 3 2 6 4 2 2 2" xfId="16694"/>
    <cellStyle name="Nota 3 2 6 4 2 2 2 2" xfId="30110"/>
    <cellStyle name="Nota 3 2 6 4 2 2 3" xfId="21439"/>
    <cellStyle name="Nota 3 2 6 4 2 3" xfId="14422"/>
    <cellStyle name="Nota 3 2 6 4 2 3 2" xfId="28744"/>
    <cellStyle name="Nota 3 2 6 4 2 4" xfId="20067"/>
    <cellStyle name="Nota 3 2 6 4 3" xfId="12944"/>
    <cellStyle name="Nota 3 2 6 4 3 2" xfId="27266"/>
    <cellStyle name="Nota 3 2 6 4 4" xfId="18589"/>
    <cellStyle name="Nota 3 2 6 5" xfId="5599"/>
    <cellStyle name="Nota 3 2 6 5 2" xfId="12151"/>
    <cellStyle name="Nota 3 2 6 5 2 2" xfId="26473"/>
    <cellStyle name="Nota 3 2 6 5 3" xfId="17796"/>
    <cellStyle name="Nota 3 2 6 6" xfId="3896"/>
    <cellStyle name="Nota 3 2 6 6 2" xfId="22632"/>
    <cellStyle name="Nota 3 2 6 7" xfId="17355"/>
    <cellStyle name="Nota 3 2 7" xfId="1563"/>
    <cellStyle name="Nota 3 2 7 2" xfId="1564"/>
    <cellStyle name="Nota 3 2 7 2 2" xfId="5997"/>
    <cellStyle name="Nota 3 2 7 2 2 2" xfId="12555"/>
    <cellStyle name="Nota 3 2 7 2 2 2 2" xfId="26877"/>
    <cellStyle name="Nota 3 2 7 2 2 3" xfId="18200"/>
    <cellStyle name="Nota 3 2 7 2 3" xfId="7993"/>
    <cellStyle name="Nota 3 2 7 2 3 2" xfId="10607"/>
    <cellStyle name="Nota 3 2 7 2 3 2 2" xfId="16869"/>
    <cellStyle name="Nota 3 2 7 2 3 2 2 2" xfId="30285"/>
    <cellStyle name="Nota 3 2 7 2 3 2 3" xfId="21614"/>
    <cellStyle name="Nota 3 2 7 2 3 3" xfId="14597"/>
    <cellStyle name="Nota 3 2 7 2 3 3 2" xfId="28919"/>
    <cellStyle name="Nota 3 2 7 2 3 4" xfId="20242"/>
    <cellStyle name="Nota 3 2 7 2 4" xfId="3772"/>
    <cellStyle name="Nota 3 2 7 2 4 2" xfId="22571"/>
    <cellStyle name="Nota 3 2 7 2 5" xfId="15219"/>
    <cellStyle name="Nota 3 2 7 3" xfId="1565"/>
    <cellStyle name="Nota 3 2 7 3 2" xfId="7265"/>
    <cellStyle name="Nota 3 2 7 3 2 2" xfId="9879"/>
    <cellStyle name="Nota 3 2 7 3 2 2 2" xfId="16141"/>
    <cellStyle name="Nota 3 2 7 3 2 2 2 2" xfId="29557"/>
    <cellStyle name="Nota 3 2 7 3 2 2 3" xfId="20886"/>
    <cellStyle name="Nota 3 2 7 3 2 3" xfId="13869"/>
    <cellStyle name="Nota 3 2 7 3 2 3 2" xfId="28191"/>
    <cellStyle name="Nota 3 2 7 3 2 4" xfId="19514"/>
    <cellStyle name="Nota 3 2 7 3 3" xfId="12793"/>
    <cellStyle name="Nota 3 2 7 3 3 2" xfId="27115"/>
    <cellStyle name="Nota 3 2 7 3 4" xfId="18438"/>
    <cellStyle name="Nota 3 2 7 4" xfId="5139"/>
    <cellStyle name="Nota 3 2 7 4 2" xfId="11688"/>
    <cellStyle name="Nota 3 2 7 4 2 2" xfId="26010"/>
    <cellStyle name="Nota 3 2 7 4 3" xfId="3878"/>
    <cellStyle name="Nota 3 2 7 5" xfId="6687"/>
    <cellStyle name="Nota 3 2 7 5 2" xfId="23655"/>
    <cellStyle name="Nota 3 2 7 6" xfId="14957"/>
    <cellStyle name="Nota 3 2 8" xfId="1566"/>
    <cellStyle name="Nota 3 2 8 2" xfId="6150"/>
    <cellStyle name="Nota 3 2 8 2 2" xfId="12720"/>
    <cellStyle name="Nota 3 2 8 2 2 2" xfId="27042"/>
    <cellStyle name="Nota 3 2 8 2 3" xfId="18365"/>
    <cellStyle name="Nota 3 2 8 3" xfId="7734"/>
    <cellStyle name="Nota 3 2 8 3 2" xfId="10348"/>
    <cellStyle name="Nota 3 2 8 3 2 2" xfId="16610"/>
    <cellStyle name="Nota 3 2 8 3 2 2 2" xfId="30026"/>
    <cellStyle name="Nota 3 2 8 3 2 3" xfId="21355"/>
    <cellStyle name="Nota 3 2 8 3 3" xfId="14338"/>
    <cellStyle name="Nota 3 2 8 3 3 2" xfId="28660"/>
    <cellStyle name="Nota 3 2 8 3 4" xfId="19983"/>
    <cellStyle name="Nota 3 2 8 4" xfId="6257"/>
    <cellStyle name="Nota 3 2 8 4 2" xfId="23477"/>
    <cellStyle name="Nota 3 2 8 5" xfId="14961"/>
    <cellStyle name="Nota 3 2 9" xfId="1567"/>
    <cellStyle name="Nota 3 2 9 2" xfId="7629"/>
    <cellStyle name="Nota 3 2 9 2 2" xfId="10243"/>
    <cellStyle name="Nota 3 2 9 2 2 2" xfId="16505"/>
    <cellStyle name="Nota 3 2 9 2 2 2 2" xfId="29921"/>
    <cellStyle name="Nota 3 2 9 2 2 3" xfId="21250"/>
    <cellStyle name="Nota 3 2 9 2 3" xfId="14233"/>
    <cellStyle name="Nota 3 2 9 2 3 2" xfId="28555"/>
    <cellStyle name="Nota 3 2 9 2 4" xfId="19878"/>
    <cellStyle name="Nota 3 2 9 3" xfId="12725"/>
    <cellStyle name="Nota 3 2 9 3 2" xfId="27047"/>
    <cellStyle name="Nota 3 2 9 4" xfId="18370"/>
    <cellStyle name="Nota 3 3" xfId="1568"/>
    <cellStyle name="Nota 3 3 10" xfId="6617"/>
    <cellStyle name="Nota 3 3 10 2" xfId="23609"/>
    <cellStyle name="Nota 3 3 11" xfId="15137"/>
    <cellStyle name="Nota 3 3 2" xfId="1569"/>
    <cellStyle name="Nota 3 3 2 2" xfId="1570"/>
    <cellStyle name="Nota 3 3 2 2 2" xfId="1571"/>
    <cellStyle name="Nota 3 3 2 2 2 2" xfId="5570"/>
    <cellStyle name="Nota 3 3 2 2 2 2 2" xfId="12121"/>
    <cellStyle name="Nota 3 3 2 2 2 2 2 2" xfId="26443"/>
    <cellStyle name="Nota 3 3 2 2 2 2 3" xfId="17766"/>
    <cellStyle name="Nota 3 3 2 2 2 3" xfId="5331"/>
    <cellStyle name="Nota 3 3 2 2 2 3 2" xfId="9640"/>
    <cellStyle name="Nota 3 3 2 2 2 3 2 2" xfId="15902"/>
    <cellStyle name="Nota 3 3 2 2 2 3 2 2 2" xfId="29318"/>
    <cellStyle name="Nota 3 3 2 2 2 3 2 3" xfId="20647"/>
    <cellStyle name="Nota 3 3 2 2 2 3 3" xfId="11881"/>
    <cellStyle name="Nota 3 3 2 2 2 3 3 2" xfId="26203"/>
    <cellStyle name="Nota 3 3 2 2 2 3 4" xfId="17526"/>
    <cellStyle name="Nota 3 3 2 2 2 4" xfId="4657"/>
    <cellStyle name="Nota 3 3 2 2 2 4 2" xfId="23098"/>
    <cellStyle name="Nota 3 3 2 2 2 5" xfId="3932"/>
    <cellStyle name="Nota 3 3 2 2 3" xfId="1572"/>
    <cellStyle name="Nota 3 3 2 2 3 2" xfId="7979"/>
    <cellStyle name="Nota 3 3 2 2 3 2 2" xfId="10593"/>
    <cellStyle name="Nota 3 3 2 2 3 2 2 2" xfId="16855"/>
    <cellStyle name="Nota 3 3 2 2 3 2 2 2 2" xfId="30271"/>
    <cellStyle name="Nota 3 3 2 2 3 2 2 3" xfId="21600"/>
    <cellStyle name="Nota 3 3 2 2 3 2 3" xfId="14583"/>
    <cellStyle name="Nota 3 3 2 2 3 2 3 2" xfId="28905"/>
    <cellStyle name="Nota 3 3 2 2 3 2 4" xfId="20228"/>
    <cellStyle name="Nota 3 3 2 2 3 3" xfId="13299"/>
    <cellStyle name="Nota 3 3 2 2 3 3 2" xfId="27621"/>
    <cellStyle name="Nota 3 3 2 2 3 4" xfId="18944"/>
    <cellStyle name="Nota 3 3 2 2 4" xfId="5749"/>
    <cellStyle name="Nota 3 3 2 2 4 2" xfId="12302"/>
    <cellStyle name="Nota 3 3 2 2 4 2 2" xfId="26624"/>
    <cellStyle name="Nota 3 3 2 2 4 3" xfId="17947"/>
    <cellStyle name="Nota 3 3 2 2 5" xfId="3889"/>
    <cellStyle name="Nota 3 3 2 2 5 2" xfId="22629"/>
    <cellStyle name="Nota 3 3 2 2 6" xfId="17350"/>
    <cellStyle name="Nota 3 3 2 3" xfId="1573"/>
    <cellStyle name="Nota 3 3 2 3 2" xfId="1574"/>
    <cellStyle name="Nota 3 3 2 3 2 2" xfId="5045"/>
    <cellStyle name="Nota 3 3 2 3 2 2 2" xfId="11592"/>
    <cellStyle name="Nota 3 3 2 3 2 2 2 2" xfId="25914"/>
    <cellStyle name="Nota 3 3 2 3 2 2 3" xfId="17292"/>
    <cellStyle name="Nota 3 3 2 3 2 3" xfId="7802"/>
    <cellStyle name="Nota 3 3 2 3 2 3 2" xfId="10416"/>
    <cellStyle name="Nota 3 3 2 3 2 3 2 2" xfId="16678"/>
    <cellStyle name="Nota 3 3 2 3 2 3 2 2 2" xfId="30094"/>
    <cellStyle name="Nota 3 3 2 3 2 3 2 3" xfId="21423"/>
    <cellStyle name="Nota 3 3 2 3 2 3 3" xfId="14406"/>
    <cellStyle name="Nota 3 3 2 3 2 3 3 2" xfId="28728"/>
    <cellStyle name="Nota 3 3 2 3 2 3 4" xfId="20051"/>
    <cellStyle name="Nota 3 3 2 3 2 4" xfId="3883"/>
    <cellStyle name="Nota 3 3 2 3 2 4 2" xfId="22626"/>
    <cellStyle name="Nota 3 3 2 3 2 5" xfId="14681"/>
    <cellStyle name="Nota 3 3 2 3 3" xfId="1575"/>
    <cellStyle name="Nota 3 3 2 3 3 2" xfId="3840"/>
    <cellStyle name="Nota 3 3 2 3 3 2 2" xfId="9385"/>
    <cellStyle name="Nota 3 3 2 3 3 2 2 2" xfId="15647"/>
    <cellStyle name="Nota 3 3 2 3 3 2 2 2 2" xfId="29063"/>
    <cellStyle name="Nota 3 3 2 3 3 2 2 3" xfId="20392"/>
    <cellStyle name="Nota 3 3 2 3 3 2 3" xfId="3912"/>
    <cellStyle name="Nota 3 3 2 3 3 2 3 2" xfId="22642"/>
    <cellStyle name="Nota 3 3 2 3 3 2 4" xfId="17222"/>
    <cellStyle name="Nota 3 3 2 3 3 3" xfId="13426"/>
    <cellStyle name="Nota 3 3 2 3 3 3 2" xfId="27748"/>
    <cellStyle name="Nota 3 3 2 3 3 4" xfId="19071"/>
    <cellStyle name="Nota 3 3 2 3 4" xfId="5900"/>
    <cellStyle name="Nota 3 3 2 3 4 2" xfId="12454"/>
    <cellStyle name="Nota 3 3 2 3 4 2 2" xfId="26776"/>
    <cellStyle name="Nota 3 3 2 3 4 3" xfId="18099"/>
    <cellStyle name="Nota 3 3 2 3 5" xfId="2824"/>
    <cellStyle name="Nota 3 3 2 3 5 2" xfId="22387"/>
    <cellStyle name="Nota 3 3 2 3 6" xfId="14863"/>
    <cellStyle name="Nota 3 3 2 4" xfId="1576"/>
    <cellStyle name="Nota 3 3 2 4 2" xfId="6957"/>
    <cellStyle name="Nota 3 3 2 4 2 2" xfId="13561"/>
    <cellStyle name="Nota 3 3 2 4 2 2 2" xfId="27883"/>
    <cellStyle name="Nota 3 3 2 4 2 3" xfId="19206"/>
    <cellStyle name="Nota 3 3 2 4 3" xfId="7048"/>
    <cellStyle name="Nota 3 3 2 4 3 2" xfId="9662"/>
    <cellStyle name="Nota 3 3 2 4 3 2 2" xfId="15924"/>
    <cellStyle name="Nota 3 3 2 4 3 2 2 2" xfId="29340"/>
    <cellStyle name="Nota 3 3 2 4 3 2 3" xfId="20669"/>
    <cellStyle name="Nota 3 3 2 4 3 3" xfId="13652"/>
    <cellStyle name="Nota 3 3 2 4 3 3 2" xfId="27974"/>
    <cellStyle name="Nota 3 3 2 4 3 4" xfId="19297"/>
    <cellStyle name="Nota 3 3 2 4 4" xfId="11457"/>
    <cellStyle name="Nota 3 3 2 4 4 2" xfId="25779"/>
    <cellStyle name="Nota 3 3 2 4 5" xfId="17061"/>
    <cellStyle name="Nota 3 3 2 5" xfId="1577"/>
    <cellStyle name="Nota 3 3 2 5 2" xfId="7096"/>
    <cellStyle name="Nota 3 3 2 5 2 2" xfId="9710"/>
    <cellStyle name="Nota 3 3 2 5 2 2 2" xfId="15972"/>
    <cellStyle name="Nota 3 3 2 5 2 2 2 2" xfId="29388"/>
    <cellStyle name="Nota 3 3 2 5 2 2 3" xfId="20717"/>
    <cellStyle name="Nota 3 3 2 5 2 3" xfId="13700"/>
    <cellStyle name="Nota 3 3 2 5 2 3 2" xfId="28022"/>
    <cellStyle name="Nota 3 3 2 5 2 4" xfId="19345"/>
    <cellStyle name="Nota 3 3 2 5 3" xfId="12875"/>
    <cellStyle name="Nota 3 3 2 5 3 2" xfId="27197"/>
    <cellStyle name="Nota 3 3 2 5 4" xfId="18520"/>
    <cellStyle name="Nota 3 3 2 6" xfId="5493"/>
    <cellStyle name="Nota 3 3 2 6 2" xfId="12044"/>
    <cellStyle name="Nota 3 3 2 6 2 2" xfId="26366"/>
    <cellStyle name="Nota 3 3 2 6 3" xfId="17689"/>
    <cellStyle name="Nota 3 3 2 7" xfId="6175"/>
    <cellStyle name="Nota 3 3 2 7 2" xfId="23443"/>
    <cellStyle name="Nota 3 3 2 8" xfId="15250"/>
    <cellStyle name="Nota 3 3 3" xfId="1578"/>
    <cellStyle name="Nota 3 3 3 2" xfId="1579"/>
    <cellStyle name="Nota 3 3 3 2 2" xfId="1580"/>
    <cellStyle name="Nota 3 3 3 2 2 2" xfId="6444"/>
    <cellStyle name="Nota 3 3 3 2 2 2 2" xfId="13027"/>
    <cellStyle name="Nota 3 3 3 2 2 2 2 2" xfId="27349"/>
    <cellStyle name="Nota 3 3 3 2 2 2 3" xfId="18672"/>
    <cellStyle name="Nota 3 3 3 2 2 3" xfId="7718"/>
    <cellStyle name="Nota 3 3 3 2 2 3 2" xfId="10332"/>
    <cellStyle name="Nota 3 3 3 2 2 3 2 2" xfId="16594"/>
    <cellStyle name="Nota 3 3 3 2 2 3 2 2 2" xfId="30010"/>
    <cellStyle name="Nota 3 3 3 2 2 3 2 3" xfId="21339"/>
    <cellStyle name="Nota 3 3 3 2 2 3 3" xfId="14322"/>
    <cellStyle name="Nota 3 3 3 2 2 3 3 2" xfId="28644"/>
    <cellStyle name="Nota 3 3 3 2 2 3 4" xfId="19967"/>
    <cellStyle name="Nota 3 3 3 2 2 4" xfId="4443"/>
    <cellStyle name="Nota 3 3 3 2 2 4 2" xfId="22955"/>
    <cellStyle name="Nota 3 3 3 2 2 5" xfId="4076"/>
    <cellStyle name="Nota 3 3 3 2 3" xfId="1581"/>
    <cellStyle name="Nota 3 3 3 2 3 2" xfId="8037"/>
    <cellStyle name="Nota 3 3 3 2 3 2 2" xfId="10651"/>
    <cellStyle name="Nota 3 3 3 2 3 2 2 2" xfId="16913"/>
    <cellStyle name="Nota 3 3 3 2 3 2 2 2 2" xfId="30329"/>
    <cellStyle name="Nota 3 3 3 2 3 2 2 3" xfId="21658"/>
    <cellStyle name="Nota 3 3 3 2 3 2 3" xfId="14641"/>
    <cellStyle name="Nota 3 3 3 2 3 2 3 2" xfId="28963"/>
    <cellStyle name="Nota 3 3 3 2 3 2 4" xfId="20286"/>
    <cellStyle name="Nota 3 3 3 2 3 3" xfId="13335"/>
    <cellStyle name="Nota 3 3 3 2 3 3 2" xfId="27657"/>
    <cellStyle name="Nota 3 3 3 2 3 4" xfId="18980"/>
    <cellStyle name="Nota 3 3 3 2 4" xfId="5785"/>
    <cellStyle name="Nota 3 3 3 2 4 2" xfId="12338"/>
    <cellStyle name="Nota 3 3 3 2 4 2 2" xfId="26660"/>
    <cellStyle name="Nota 3 3 3 2 4 3" xfId="17983"/>
    <cellStyle name="Nota 3 3 3 2 5" xfId="5142"/>
    <cellStyle name="Nota 3 3 3 2 5 2" xfId="23330"/>
    <cellStyle name="Nota 3 3 3 2 6" xfId="14678"/>
    <cellStyle name="Nota 3 3 3 3" xfId="1582"/>
    <cellStyle name="Nota 3 3 3 3 2" xfId="1583"/>
    <cellStyle name="Nota 3 3 3 3 2 2" xfId="6479"/>
    <cellStyle name="Nota 3 3 3 3 2 2 2" xfId="13062"/>
    <cellStyle name="Nota 3 3 3 3 2 2 2 2" xfId="27384"/>
    <cellStyle name="Nota 3 3 3 3 2 2 3" xfId="18707"/>
    <cellStyle name="Nota 3 3 3 3 2 3" xfId="7825"/>
    <cellStyle name="Nota 3 3 3 3 2 3 2" xfId="10439"/>
    <cellStyle name="Nota 3 3 3 3 2 3 2 2" xfId="16701"/>
    <cellStyle name="Nota 3 3 3 3 2 3 2 2 2" xfId="30117"/>
    <cellStyle name="Nota 3 3 3 3 2 3 2 3" xfId="21446"/>
    <cellStyle name="Nota 3 3 3 3 2 3 3" xfId="14429"/>
    <cellStyle name="Nota 3 3 3 3 2 3 3 2" xfId="28751"/>
    <cellStyle name="Nota 3 3 3 3 2 3 4" xfId="20074"/>
    <cellStyle name="Nota 3 3 3 3 2 4" xfId="4524"/>
    <cellStyle name="Nota 3 3 3 3 2 4 2" xfId="23007"/>
    <cellStyle name="Nota 3 3 3 3 2 5" xfId="15038"/>
    <cellStyle name="Nota 3 3 3 3 3" xfId="1584"/>
    <cellStyle name="Nota 3 3 3 3 3 2" xfId="3589"/>
    <cellStyle name="Nota 3 3 3 3 3 2 2" xfId="9339"/>
    <cellStyle name="Nota 3 3 3 3 3 2 2 2" xfId="15601"/>
    <cellStyle name="Nota 3 3 3 3 3 2 2 2 2" xfId="29017"/>
    <cellStyle name="Nota 3 3 3 3 3 2 2 3" xfId="20346"/>
    <cellStyle name="Nota 3 3 3 3 3 2 3" xfId="4136"/>
    <cellStyle name="Nota 3 3 3 3 3 2 3 2" xfId="22775"/>
    <cellStyle name="Nota 3 3 3 3 3 2 4" xfId="4614"/>
    <cellStyle name="Nota 3 3 3 3 3 3" xfId="13067"/>
    <cellStyle name="Nota 3 3 3 3 3 3 2" xfId="27389"/>
    <cellStyle name="Nota 3 3 3 3 3 4" xfId="18712"/>
    <cellStyle name="Nota 3 3 3 3 4" xfId="5406"/>
    <cellStyle name="Nota 3 3 3 3 4 2" xfId="11956"/>
    <cellStyle name="Nota 3 3 3 3 4 2 2" xfId="26278"/>
    <cellStyle name="Nota 3 3 3 3 4 3" xfId="17601"/>
    <cellStyle name="Nota 3 3 3 3 5" xfId="6589"/>
    <cellStyle name="Nota 3 3 3 3 5 2" xfId="23592"/>
    <cellStyle name="Nota 3 3 3 3 6" xfId="17268"/>
    <cellStyle name="Nota 3 3 3 4" xfId="1585"/>
    <cellStyle name="Nota 3 3 3 4 2" xfId="5114"/>
    <cellStyle name="Nota 3 3 3 4 2 2" xfId="11662"/>
    <cellStyle name="Nota 3 3 3 4 2 2 2" xfId="25984"/>
    <cellStyle name="Nota 3 3 3 4 2 3" xfId="14677"/>
    <cellStyle name="Nota 3 3 3 4 3" xfId="7354"/>
    <cellStyle name="Nota 3 3 3 4 3 2" xfId="9968"/>
    <cellStyle name="Nota 3 3 3 4 3 2 2" xfId="16230"/>
    <cellStyle name="Nota 3 3 3 4 3 2 2 2" xfId="29646"/>
    <cellStyle name="Nota 3 3 3 4 3 2 3" xfId="20975"/>
    <cellStyle name="Nota 3 3 3 4 3 3" xfId="13958"/>
    <cellStyle name="Nota 3 3 3 4 3 3 2" xfId="28280"/>
    <cellStyle name="Nota 3 3 3 4 3 4" xfId="19603"/>
    <cellStyle name="Nota 3 3 3 4 4" xfId="4581"/>
    <cellStyle name="Nota 3 3 3 4 4 2" xfId="23047"/>
    <cellStyle name="Nota 3 3 3 4 5" xfId="15438"/>
    <cellStyle name="Nota 3 3 3 5" xfId="1586"/>
    <cellStyle name="Nota 3 3 3 5 2" xfId="7300"/>
    <cellStyle name="Nota 3 3 3 5 2 2" xfId="9914"/>
    <cellStyle name="Nota 3 3 3 5 2 2 2" xfId="16176"/>
    <cellStyle name="Nota 3 3 3 5 2 2 2 2" xfId="29592"/>
    <cellStyle name="Nota 3 3 3 5 2 2 3" xfId="20921"/>
    <cellStyle name="Nota 3 3 3 5 2 3" xfId="13904"/>
    <cellStyle name="Nota 3 3 3 5 2 3 2" xfId="28226"/>
    <cellStyle name="Nota 3 3 3 5 2 4" xfId="19549"/>
    <cellStyle name="Nota 3 3 3 5 3" xfId="12911"/>
    <cellStyle name="Nota 3 3 3 5 3 2" xfId="27233"/>
    <cellStyle name="Nota 3 3 3 5 4" xfId="18556"/>
    <cellStyle name="Nota 3 3 3 6" xfId="5535"/>
    <cellStyle name="Nota 3 3 3 6 2" xfId="12086"/>
    <cellStyle name="Nota 3 3 3 6 2 2" xfId="26408"/>
    <cellStyle name="Nota 3 3 3 6 3" xfId="17731"/>
    <cellStyle name="Nota 3 3 3 7" xfId="4637"/>
    <cellStyle name="Nota 3 3 3 7 2" xfId="23081"/>
    <cellStyle name="Nota 3 3 3 8" xfId="3735"/>
    <cellStyle name="Nota 3 3 4" xfId="1587"/>
    <cellStyle name="Nota 3 3 4 2" xfId="1588"/>
    <cellStyle name="Nota 3 3 4 2 2" xfId="1589"/>
    <cellStyle name="Nota 3 3 4 2 2 2" xfId="6222"/>
    <cellStyle name="Nota 3 3 4 2 2 2 2" xfId="12797"/>
    <cellStyle name="Nota 3 3 4 2 2 2 2 2" xfId="27119"/>
    <cellStyle name="Nota 3 3 4 2 2 2 3" xfId="18442"/>
    <cellStyle name="Nota 3 3 4 2 2 3" xfId="4993"/>
    <cellStyle name="Nota 3 3 4 2 2 3 2" xfId="9534"/>
    <cellStyle name="Nota 3 3 4 2 2 3 2 2" xfId="15796"/>
    <cellStyle name="Nota 3 3 4 2 2 3 2 2 2" xfId="29212"/>
    <cellStyle name="Nota 3 3 4 2 2 3 2 3" xfId="20541"/>
    <cellStyle name="Nota 3 3 4 2 2 3 3" xfId="11536"/>
    <cellStyle name="Nota 3 3 4 2 2 3 3 2" xfId="25858"/>
    <cellStyle name="Nota 3 3 4 2 2 3 4" xfId="15237"/>
    <cellStyle name="Nota 3 3 4 2 2 4" xfId="4061"/>
    <cellStyle name="Nota 3 3 4 2 2 4 2" xfId="22735"/>
    <cellStyle name="Nota 3 3 4 2 2 5" xfId="15072"/>
    <cellStyle name="Nota 3 3 4 2 3" xfId="1590"/>
    <cellStyle name="Nota 3 3 4 2 3 2" xfId="7477"/>
    <cellStyle name="Nota 3 3 4 2 3 2 2" xfId="10091"/>
    <cellStyle name="Nota 3 3 4 2 3 2 2 2" xfId="16353"/>
    <cellStyle name="Nota 3 3 4 2 3 2 2 2 2" xfId="29769"/>
    <cellStyle name="Nota 3 3 4 2 3 2 2 3" xfId="21098"/>
    <cellStyle name="Nota 3 3 4 2 3 2 3" xfId="14081"/>
    <cellStyle name="Nota 3 3 4 2 3 2 3 2" xfId="28403"/>
    <cellStyle name="Nota 3 3 4 2 3 2 4" xfId="19726"/>
    <cellStyle name="Nota 3 3 4 2 3 3" xfId="13198"/>
    <cellStyle name="Nota 3 3 4 2 3 3 2" xfId="27520"/>
    <cellStyle name="Nota 3 3 4 2 3 4" xfId="18843"/>
    <cellStyle name="Nota 3 3 4 2 4" xfId="5635"/>
    <cellStyle name="Nota 3 3 4 2 4 2" xfId="12188"/>
    <cellStyle name="Nota 3 3 4 2 4 2 2" xfId="26510"/>
    <cellStyle name="Nota 3 3 4 2 4 3" xfId="17833"/>
    <cellStyle name="Nota 3 3 4 2 5" xfId="6655"/>
    <cellStyle name="Nota 3 3 4 2 5 2" xfId="23632"/>
    <cellStyle name="Nota 3 3 4 2 6" xfId="16979"/>
    <cellStyle name="Nota 3 3 4 3" xfId="1591"/>
    <cellStyle name="Nota 3 3 4 3 2" xfId="1592"/>
    <cellStyle name="Nota 3 3 4 3 2 2" xfId="6556"/>
    <cellStyle name="Nota 3 3 4 3 2 2 2" xfId="13144"/>
    <cellStyle name="Nota 3 3 4 3 2 2 2 2" xfId="27466"/>
    <cellStyle name="Nota 3 3 4 3 2 2 3" xfId="18789"/>
    <cellStyle name="Nota 3 3 4 3 2 3" xfId="4462"/>
    <cellStyle name="Nota 3 3 4 3 2 3 2" xfId="9469"/>
    <cellStyle name="Nota 3 3 4 3 2 3 2 2" xfId="15731"/>
    <cellStyle name="Nota 3 3 4 3 2 3 2 2 2" xfId="29147"/>
    <cellStyle name="Nota 3 3 4 3 2 3 2 3" xfId="20476"/>
    <cellStyle name="Nota 3 3 4 3 2 3 3" xfId="3978"/>
    <cellStyle name="Nota 3 3 4 3 2 3 3 2" xfId="22682"/>
    <cellStyle name="Nota 3 3 4 3 2 3 4" xfId="17143"/>
    <cellStyle name="Nota 3 3 4 3 2 4" xfId="6578"/>
    <cellStyle name="Nota 3 3 4 3 2 4 2" xfId="23587"/>
    <cellStyle name="Nota 3 3 4 3 2 5" xfId="4107"/>
    <cellStyle name="Nota 3 3 4 3 3" xfId="1593"/>
    <cellStyle name="Nota 3 3 4 3 3 2" xfId="4397"/>
    <cellStyle name="Nota 3 3 4 3 3 2 2" xfId="9460"/>
    <cellStyle name="Nota 3 3 4 3 3 2 2 2" xfId="15722"/>
    <cellStyle name="Nota 3 3 4 3 3 2 2 2 2" xfId="29138"/>
    <cellStyle name="Nota 3 3 4 3 3 2 2 3" xfId="20467"/>
    <cellStyle name="Nota 3 3 4 3 3 2 3" xfId="4432"/>
    <cellStyle name="Nota 3 3 4 3 3 2 3 2" xfId="22948"/>
    <cellStyle name="Nota 3 3 4 3 3 2 4" xfId="15469"/>
    <cellStyle name="Nota 3 3 4 3 3 3" xfId="12489"/>
    <cellStyle name="Nota 3 3 4 3 3 3 2" xfId="26811"/>
    <cellStyle name="Nota 3 3 4 3 3 4" xfId="18134"/>
    <cellStyle name="Nota 3 3 4 3 4" xfId="5198"/>
    <cellStyle name="Nota 3 3 4 3 4 2" xfId="11747"/>
    <cellStyle name="Nota 3 3 4 3 4 2 2" xfId="26069"/>
    <cellStyle name="Nota 3 3 4 3 4 3" xfId="4146"/>
    <cellStyle name="Nota 3 3 4 3 5" xfId="3974"/>
    <cellStyle name="Nota 3 3 4 3 5 2" xfId="22679"/>
    <cellStyle name="Nota 3 3 4 3 6" xfId="4319"/>
    <cellStyle name="Nota 3 3 4 4" xfId="1594"/>
    <cellStyle name="Nota 3 3 4 4 2" xfId="6102"/>
    <cellStyle name="Nota 3 3 4 4 2 2" xfId="12669"/>
    <cellStyle name="Nota 3 3 4 4 2 2 2" xfId="26991"/>
    <cellStyle name="Nota 3 3 4 4 2 3" xfId="18314"/>
    <cellStyle name="Nota 3 3 4 4 3" xfId="7977"/>
    <cellStyle name="Nota 3 3 4 4 3 2" xfId="10591"/>
    <cellStyle name="Nota 3 3 4 4 3 2 2" xfId="16853"/>
    <cellStyle name="Nota 3 3 4 4 3 2 2 2" xfId="30269"/>
    <cellStyle name="Nota 3 3 4 4 3 2 3" xfId="21598"/>
    <cellStyle name="Nota 3 3 4 4 3 3" xfId="14581"/>
    <cellStyle name="Nota 3 3 4 4 3 3 2" xfId="28903"/>
    <cellStyle name="Nota 3 3 4 4 3 4" xfId="20226"/>
    <cellStyle name="Nota 3 3 4 4 4" xfId="5907"/>
    <cellStyle name="Nota 3 3 4 4 4 2" xfId="23370"/>
    <cellStyle name="Nota 3 3 4 4 5" xfId="15593"/>
    <cellStyle name="Nota 3 3 4 5" xfId="1595"/>
    <cellStyle name="Nota 3 3 4 5 2" xfId="3184"/>
    <cellStyle name="Nota 3 3 4 5 2 2" xfId="9005"/>
    <cellStyle name="Nota 3 3 4 5 2 2 2" xfId="15353"/>
    <cellStyle name="Nota 3 3 4 5 2 2 2 2" xfId="29003"/>
    <cellStyle name="Nota 3 3 4 5 2 2 3" xfId="20330"/>
    <cellStyle name="Nota 3 3 4 5 2 3" xfId="4594"/>
    <cellStyle name="Nota 3 3 4 5 2 3 2" xfId="23056"/>
    <cellStyle name="Nota 3 3 4 5 2 4" xfId="17386"/>
    <cellStyle name="Nota 3 3 4 5 3" xfId="12478"/>
    <cellStyle name="Nota 3 3 4 5 3 2" xfId="26800"/>
    <cellStyle name="Nota 3 3 4 5 4" xfId="18123"/>
    <cellStyle name="Nota 3 3 4 6" xfId="3819"/>
    <cellStyle name="Nota 3 3 4 6 2" xfId="5221"/>
    <cellStyle name="Nota 3 3 4 6 2 2" xfId="23337"/>
    <cellStyle name="Nota 3 3 4 6 3" xfId="14769"/>
    <cellStyle name="Nota 3 3 4 7" xfId="4663"/>
    <cellStyle name="Nota 3 3 4 7 2" xfId="23103"/>
    <cellStyle name="Nota 3 3 4 8" xfId="15240"/>
    <cellStyle name="Nota 3 3 5" xfId="1596"/>
    <cellStyle name="Nota 3 3 5 2" xfId="1597"/>
    <cellStyle name="Nota 3 3 5 2 2" xfId="1598"/>
    <cellStyle name="Nota 3 3 5 2 2 2" xfId="5591"/>
    <cellStyle name="Nota 3 3 5 2 2 2 2" xfId="12143"/>
    <cellStyle name="Nota 3 3 5 2 2 2 2 2" xfId="26465"/>
    <cellStyle name="Nota 3 3 5 2 2 2 3" xfId="17788"/>
    <cellStyle name="Nota 3 3 5 2 2 3" xfId="7819"/>
    <cellStyle name="Nota 3 3 5 2 2 3 2" xfId="10433"/>
    <cellStyle name="Nota 3 3 5 2 2 3 2 2" xfId="16695"/>
    <cellStyle name="Nota 3 3 5 2 2 3 2 2 2" xfId="30111"/>
    <cellStyle name="Nota 3 3 5 2 2 3 2 3" xfId="21440"/>
    <cellStyle name="Nota 3 3 5 2 2 3 3" xfId="14423"/>
    <cellStyle name="Nota 3 3 5 2 2 3 3 2" xfId="28745"/>
    <cellStyle name="Nota 3 3 5 2 2 3 4" xfId="20068"/>
    <cellStyle name="Nota 3 3 5 2 2 4" xfId="6708"/>
    <cellStyle name="Nota 3 3 5 2 2 4 2" xfId="23664"/>
    <cellStyle name="Nota 3 3 5 2 2 5" xfId="17196"/>
    <cellStyle name="Nota 3 3 5 2 3" xfId="1599"/>
    <cellStyle name="Nota 3 3 5 2 3 2" xfId="4008"/>
    <cellStyle name="Nota 3 3 5 2 3 2 2" xfId="9411"/>
    <cellStyle name="Nota 3 3 5 2 3 2 2 2" xfId="15673"/>
    <cellStyle name="Nota 3 3 5 2 3 2 2 2 2" xfId="29089"/>
    <cellStyle name="Nota 3 3 5 2 3 2 2 3" xfId="20418"/>
    <cellStyle name="Nota 3 3 5 2 3 2 3" xfId="6684"/>
    <cellStyle name="Nota 3 3 5 2 3 2 3 2" xfId="23652"/>
    <cellStyle name="Nota 3 3 5 2 3 2 4" xfId="15549"/>
    <cellStyle name="Nota 3 3 5 2 3 3" xfId="13326"/>
    <cellStyle name="Nota 3 3 5 2 3 3 2" xfId="27648"/>
    <cellStyle name="Nota 3 3 5 2 3 4" xfId="18971"/>
    <cellStyle name="Nota 3 3 5 2 4" xfId="5776"/>
    <cellStyle name="Nota 3 3 5 2 4 2" xfId="12329"/>
    <cellStyle name="Nota 3 3 5 2 4 2 2" xfId="26651"/>
    <cellStyle name="Nota 3 3 5 2 4 3" xfId="17974"/>
    <cellStyle name="Nota 3 3 5 2 5" xfId="5991"/>
    <cellStyle name="Nota 3 3 5 2 5 2" xfId="23391"/>
    <cellStyle name="Nota 3 3 5 2 6" xfId="3756"/>
    <cellStyle name="Nota 3 3 5 3" xfId="1600"/>
    <cellStyle name="Nota 3 3 5 3 2" xfId="6537"/>
    <cellStyle name="Nota 3 3 5 3 2 2" xfId="13125"/>
    <cellStyle name="Nota 3 3 5 3 2 2 2" xfId="27447"/>
    <cellStyle name="Nota 3 3 5 3 2 3" xfId="18770"/>
    <cellStyle name="Nota 3 3 5 3 3" xfId="7909"/>
    <cellStyle name="Nota 3 3 5 3 3 2" xfId="10523"/>
    <cellStyle name="Nota 3 3 5 3 3 2 2" xfId="16785"/>
    <cellStyle name="Nota 3 3 5 3 3 2 2 2" xfId="30201"/>
    <cellStyle name="Nota 3 3 5 3 3 2 3" xfId="21530"/>
    <cellStyle name="Nota 3 3 5 3 3 3" xfId="14513"/>
    <cellStyle name="Nota 3 3 5 3 3 3 2" xfId="28835"/>
    <cellStyle name="Nota 3 3 5 3 3 4" xfId="20158"/>
    <cellStyle name="Nota 3 3 5 3 4" xfId="3190"/>
    <cellStyle name="Nota 3 3 5 3 4 2" xfId="22433"/>
    <cellStyle name="Nota 3 3 5 3 5" xfId="15548"/>
    <cellStyle name="Nota 3 3 5 4" xfId="1601"/>
    <cellStyle name="Nota 3 3 5 4 2" xfId="7318"/>
    <cellStyle name="Nota 3 3 5 4 2 2" xfId="9932"/>
    <cellStyle name="Nota 3 3 5 4 2 2 2" xfId="16194"/>
    <cellStyle name="Nota 3 3 5 4 2 2 2 2" xfId="29610"/>
    <cellStyle name="Nota 3 3 5 4 2 2 3" xfId="20939"/>
    <cellStyle name="Nota 3 3 5 4 2 3" xfId="13922"/>
    <cellStyle name="Nota 3 3 5 4 2 3 2" xfId="28244"/>
    <cellStyle name="Nota 3 3 5 4 2 4" xfId="19567"/>
    <cellStyle name="Nota 3 3 5 4 3" xfId="12827"/>
    <cellStyle name="Nota 3 3 5 4 3 2" xfId="27149"/>
    <cellStyle name="Nota 3 3 5 4 4" xfId="18472"/>
    <cellStyle name="Nota 3 3 5 5" xfId="5380"/>
    <cellStyle name="Nota 3 3 5 5 2" xfId="11930"/>
    <cellStyle name="Nota 3 3 5 5 2 2" xfId="26252"/>
    <cellStyle name="Nota 3 3 5 5 3" xfId="17575"/>
    <cellStyle name="Nota 3 3 5 6" xfId="2847"/>
    <cellStyle name="Nota 3 3 5 6 2" xfId="22405"/>
    <cellStyle name="Nota 3 3 5 7" xfId="15270"/>
    <cellStyle name="Nota 3 3 6" xfId="1602"/>
    <cellStyle name="Nota 3 3 6 2" xfId="1603"/>
    <cellStyle name="Nota 3 3 6 2 2" xfId="6439"/>
    <cellStyle name="Nota 3 3 6 2 2 2" xfId="13022"/>
    <cellStyle name="Nota 3 3 6 2 2 2 2" xfId="27344"/>
    <cellStyle name="Nota 3 3 6 2 2 3" xfId="18667"/>
    <cellStyle name="Nota 3 3 6 2 3" xfId="7743"/>
    <cellStyle name="Nota 3 3 6 2 3 2" xfId="10357"/>
    <cellStyle name="Nota 3 3 6 2 3 2 2" xfId="16619"/>
    <cellStyle name="Nota 3 3 6 2 3 2 2 2" xfId="30035"/>
    <cellStyle name="Nota 3 3 6 2 3 2 3" xfId="21364"/>
    <cellStyle name="Nota 3 3 6 2 3 3" xfId="14347"/>
    <cellStyle name="Nota 3 3 6 2 3 3 2" xfId="28669"/>
    <cellStyle name="Nota 3 3 6 2 3 4" xfId="19992"/>
    <cellStyle name="Nota 3 3 6 2 4" xfId="4793"/>
    <cellStyle name="Nota 3 3 6 2 4 2" xfId="23192"/>
    <cellStyle name="Nota 3 3 6 2 5" xfId="15058"/>
    <cellStyle name="Nota 3 3 6 3" xfId="1604"/>
    <cellStyle name="Nota 3 3 6 3 2" xfId="7098"/>
    <cellStyle name="Nota 3 3 6 3 2 2" xfId="9712"/>
    <cellStyle name="Nota 3 3 6 3 2 2 2" xfId="15974"/>
    <cellStyle name="Nota 3 3 6 3 2 2 2 2" xfId="29390"/>
    <cellStyle name="Nota 3 3 6 3 2 2 3" xfId="20719"/>
    <cellStyle name="Nota 3 3 6 3 2 3" xfId="13702"/>
    <cellStyle name="Nota 3 3 6 3 2 3 2" xfId="28024"/>
    <cellStyle name="Nota 3 3 6 3 2 4" xfId="19347"/>
    <cellStyle name="Nota 3 3 6 3 3" xfId="13100"/>
    <cellStyle name="Nota 3 3 6 3 3 2" xfId="27422"/>
    <cellStyle name="Nota 3 3 6 3 4" xfId="18745"/>
    <cellStyle name="Nota 3 3 6 4" xfId="5461"/>
    <cellStyle name="Nota 3 3 6 4 2" xfId="12012"/>
    <cellStyle name="Nota 3 3 6 4 2 2" xfId="26334"/>
    <cellStyle name="Nota 3 3 6 4 3" xfId="17657"/>
    <cellStyle name="Nota 3 3 6 5" xfId="4738"/>
    <cellStyle name="Nota 3 3 6 5 2" xfId="23161"/>
    <cellStyle name="Nota 3 3 6 6" xfId="4137"/>
    <cellStyle name="Nota 3 3 7" xfId="1605"/>
    <cellStyle name="Nota 3 3 7 2" xfId="6931"/>
    <cellStyle name="Nota 3 3 7 2 2" xfId="13535"/>
    <cellStyle name="Nota 3 3 7 2 2 2" xfId="27857"/>
    <cellStyle name="Nota 3 3 7 2 3" xfId="19180"/>
    <cellStyle name="Nota 3 3 7 3" xfId="3755"/>
    <cellStyle name="Nota 3 3 7 3 2" xfId="9369"/>
    <cellStyle name="Nota 3 3 7 3 2 2" xfId="15631"/>
    <cellStyle name="Nota 3 3 7 3 2 2 2" xfId="29047"/>
    <cellStyle name="Nota 3 3 7 3 2 3" xfId="20376"/>
    <cellStyle name="Nota 3 3 7 3 3" xfId="4267"/>
    <cellStyle name="Nota 3 3 7 3 3 2" xfId="22860"/>
    <cellStyle name="Nota 3 3 7 3 4" xfId="16996"/>
    <cellStyle name="Nota 3 3 7 4" xfId="11424"/>
    <cellStyle name="Nota 3 3 7 4 2" xfId="25746"/>
    <cellStyle name="Nota 3 3 7 5" xfId="17364"/>
    <cellStyle name="Nota 3 3 8" xfId="1606"/>
    <cellStyle name="Nota 3 3 8 2" xfId="7430"/>
    <cellStyle name="Nota 3 3 8 2 2" xfId="10044"/>
    <cellStyle name="Nota 3 3 8 2 2 2" xfId="16306"/>
    <cellStyle name="Nota 3 3 8 2 2 2 2" xfId="29722"/>
    <cellStyle name="Nota 3 3 8 2 2 3" xfId="21051"/>
    <cellStyle name="Nota 3 3 8 2 3" xfId="14034"/>
    <cellStyle name="Nota 3 3 8 2 3 2" xfId="28356"/>
    <cellStyle name="Nota 3 3 8 2 4" xfId="19679"/>
    <cellStyle name="Nota 3 3 8 3" xfId="4427"/>
    <cellStyle name="Nota 3 3 8 3 2" xfId="22945"/>
    <cellStyle name="Nota 3 3 8 4" xfId="4521"/>
    <cellStyle name="Nota 3 3 9" xfId="3824"/>
    <cellStyle name="Nota 3 3 9 2" xfId="4676"/>
    <cellStyle name="Nota 3 3 9 2 2" xfId="23115"/>
    <cellStyle name="Nota 3 3 9 3" xfId="15299"/>
    <cellStyle name="Nota 3 4" xfId="1607"/>
    <cellStyle name="Nota 3 4 2" xfId="1608"/>
    <cellStyle name="Nota 3 4 2 2" xfId="1609"/>
    <cellStyle name="Nota 3 4 2 2 2" xfId="6203"/>
    <cellStyle name="Nota 3 4 2 2 2 2" xfId="12776"/>
    <cellStyle name="Nota 3 4 2 2 2 2 2" xfId="27098"/>
    <cellStyle name="Nota 3 4 2 2 2 3" xfId="18421"/>
    <cellStyle name="Nota 3 4 2 2 3" xfId="7968"/>
    <cellStyle name="Nota 3 4 2 2 3 2" xfId="10582"/>
    <cellStyle name="Nota 3 4 2 2 3 2 2" xfId="16844"/>
    <cellStyle name="Nota 3 4 2 2 3 2 2 2" xfId="30260"/>
    <cellStyle name="Nota 3 4 2 2 3 2 3" xfId="21589"/>
    <cellStyle name="Nota 3 4 2 2 3 3" xfId="14572"/>
    <cellStyle name="Nota 3 4 2 2 3 3 2" xfId="28894"/>
    <cellStyle name="Nota 3 4 2 2 3 4" xfId="20217"/>
    <cellStyle name="Nota 3 4 2 2 4" xfId="6815"/>
    <cellStyle name="Nota 3 4 2 2 4 2" xfId="23751"/>
    <cellStyle name="Nota 3 4 2 2 5" xfId="17209"/>
    <cellStyle name="Nota 3 4 2 3" xfId="1610"/>
    <cellStyle name="Nota 3 4 2 3 2" xfId="7824"/>
    <cellStyle name="Nota 3 4 2 3 2 2" xfId="10438"/>
    <cellStyle name="Nota 3 4 2 3 2 2 2" xfId="16700"/>
    <cellStyle name="Nota 3 4 2 3 2 2 2 2" xfId="30116"/>
    <cellStyle name="Nota 3 4 2 3 2 2 3" xfId="21445"/>
    <cellStyle name="Nota 3 4 2 3 2 3" xfId="14428"/>
    <cellStyle name="Nota 3 4 2 3 2 3 2" xfId="28750"/>
    <cellStyle name="Nota 3 4 2 3 2 4" xfId="20073"/>
    <cellStyle name="Nota 3 4 2 3 3" xfId="13281"/>
    <cellStyle name="Nota 3 4 2 3 3 2" xfId="27603"/>
    <cellStyle name="Nota 3 4 2 3 4" xfId="18926"/>
    <cellStyle name="Nota 3 4 2 4" xfId="5731"/>
    <cellStyle name="Nota 3 4 2 4 2" xfId="12284"/>
    <cellStyle name="Nota 3 4 2 4 2 2" xfId="26606"/>
    <cellStyle name="Nota 3 4 2 4 3" xfId="17929"/>
    <cellStyle name="Nota 3 4 2 5" xfId="4737"/>
    <cellStyle name="Nota 3 4 2 5 2" xfId="23160"/>
    <cellStyle name="Nota 3 4 2 6" xfId="4777"/>
    <cellStyle name="Nota 3 4 3" xfId="1611"/>
    <cellStyle name="Nota 3 4 3 2" xfId="1612"/>
    <cellStyle name="Nota 3 4 3 2 2" xfId="6381"/>
    <cellStyle name="Nota 3 4 3 2 2 2" xfId="12964"/>
    <cellStyle name="Nota 3 4 3 2 2 2 2" xfId="27286"/>
    <cellStyle name="Nota 3 4 3 2 2 3" xfId="18609"/>
    <cellStyle name="Nota 3 4 3 2 3" xfId="7902"/>
    <cellStyle name="Nota 3 4 3 2 3 2" xfId="10516"/>
    <cellStyle name="Nota 3 4 3 2 3 2 2" xfId="16778"/>
    <cellStyle name="Nota 3 4 3 2 3 2 2 2" xfId="30194"/>
    <cellStyle name="Nota 3 4 3 2 3 2 3" xfId="21523"/>
    <cellStyle name="Nota 3 4 3 2 3 3" xfId="14506"/>
    <cellStyle name="Nota 3 4 3 2 3 3 2" xfId="28828"/>
    <cellStyle name="Nota 3 4 3 2 3 4" xfId="20151"/>
    <cellStyle name="Nota 3 4 3 2 4" xfId="4874"/>
    <cellStyle name="Nota 3 4 3 2 4 2" xfId="23237"/>
    <cellStyle name="Nota 3 4 3 2 5" xfId="3769"/>
    <cellStyle name="Nota 3 4 3 3" xfId="1613"/>
    <cellStyle name="Nota 3 4 3 3 2" xfId="7654"/>
    <cellStyle name="Nota 3 4 3 3 2 2" xfId="10268"/>
    <cellStyle name="Nota 3 4 3 3 2 2 2" xfId="16530"/>
    <cellStyle name="Nota 3 4 3 3 2 2 2 2" xfId="29946"/>
    <cellStyle name="Nota 3 4 3 3 2 2 3" xfId="21275"/>
    <cellStyle name="Nota 3 4 3 3 2 3" xfId="14258"/>
    <cellStyle name="Nota 3 4 3 3 2 3 2" xfId="28580"/>
    <cellStyle name="Nota 3 4 3 3 2 4" xfId="19903"/>
    <cellStyle name="Nota 3 4 3 3 3" xfId="13422"/>
    <cellStyle name="Nota 3 4 3 3 3 2" xfId="27744"/>
    <cellStyle name="Nota 3 4 3 3 4" xfId="19067"/>
    <cellStyle name="Nota 3 4 3 4" xfId="5895"/>
    <cellStyle name="Nota 3 4 3 4 2" xfId="12448"/>
    <cellStyle name="Nota 3 4 3 4 2 2" xfId="26770"/>
    <cellStyle name="Nota 3 4 3 4 3" xfId="18093"/>
    <cellStyle name="Nota 3 4 3 5" xfId="3017"/>
    <cellStyle name="Nota 3 4 3 5 2" xfId="22408"/>
    <cellStyle name="Nota 3 4 3 6" xfId="14952"/>
    <cellStyle name="Nota 3 4 4" xfId="1614"/>
    <cellStyle name="Nota 3 4 4 2" xfId="6559"/>
    <cellStyle name="Nota 3 4 4 2 2" xfId="13147"/>
    <cellStyle name="Nota 3 4 4 2 2 2" xfId="27469"/>
    <cellStyle name="Nota 3 4 4 2 3" xfId="18792"/>
    <cellStyle name="Nota 3 4 4 3" xfId="7063"/>
    <cellStyle name="Nota 3 4 4 3 2" xfId="9677"/>
    <cellStyle name="Nota 3 4 4 3 2 2" xfId="15939"/>
    <cellStyle name="Nota 3 4 4 3 2 2 2" xfId="29355"/>
    <cellStyle name="Nota 3 4 4 3 2 3" xfId="20684"/>
    <cellStyle name="Nota 3 4 4 3 3" xfId="13667"/>
    <cellStyle name="Nota 3 4 4 3 3 2" xfId="27989"/>
    <cellStyle name="Nota 3 4 4 3 4" xfId="19312"/>
    <cellStyle name="Nota 3 4 4 4" xfId="3820"/>
    <cellStyle name="Nota 3 4 4 4 2" xfId="22598"/>
    <cellStyle name="Nota 3 4 4 5" xfId="15588"/>
    <cellStyle name="Nota 3 4 5" xfId="1615"/>
    <cellStyle name="Nota 3 4 5 2" xfId="7831"/>
    <cellStyle name="Nota 3 4 5 2 2" xfId="10445"/>
    <cellStyle name="Nota 3 4 5 2 2 2" xfId="16707"/>
    <cellStyle name="Nota 3 4 5 2 2 2 2" xfId="30123"/>
    <cellStyle name="Nota 3 4 5 2 2 3" xfId="21452"/>
    <cellStyle name="Nota 3 4 5 2 3" xfId="14435"/>
    <cellStyle name="Nota 3 4 5 2 3 2" xfId="28757"/>
    <cellStyle name="Nota 3 4 5 2 4" xfId="20080"/>
    <cellStyle name="Nota 3 4 5 3" xfId="12848"/>
    <cellStyle name="Nota 3 4 5 3 2" xfId="27170"/>
    <cellStyle name="Nota 3 4 5 4" xfId="18493"/>
    <cellStyle name="Nota 3 4 6" xfId="5435"/>
    <cellStyle name="Nota 3 4 6 2" xfId="11986"/>
    <cellStyle name="Nota 3 4 6 2 2" xfId="26308"/>
    <cellStyle name="Nota 3 4 6 3" xfId="17631"/>
    <cellStyle name="Nota 3 4 7" xfId="3975"/>
    <cellStyle name="Nota 3 4 7 2" xfId="22680"/>
    <cellStyle name="Nota 3 4 8" xfId="15313"/>
    <cellStyle name="Nota 3 5" xfId="1616"/>
    <cellStyle name="Nota 3 5 2" xfId="1617"/>
    <cellStyle name="Nota 3 5 2 2" xfId="1618"/>
    <cellStyle name="Nota 3 5 2 2 2" xfId="6826"/>
    <cellStyle name="Nota 3 5 2 2 2 2" xfId="13430"/>
    <cellStyle name="Nota 3 5 2 2 2 2 2" xfId="27752"/>
    <cellStyle name="Nota 3 5 2 2 2 3" xfId="19075"/>
    <cellStyle name="Nota 3 5 2 2 3" xfId="5322"/>
    <cellStyle name="Nota 3 5 2 2 3 2" xfId="9631"/>
    <cellStyle name="Nota 3 5 2 2 3 2 2" xfId="15893"/>
    <cellStyle name="Nota 3 5 2 2 3 2 2 2" xfId="29309"/>
    <cellStyle name="Nota 3 5 2 2 3 2 3" xfId="20638"/>
    <cellStyle name="Nota 3 5 2 2 3 3" xfId="11872"/>
    <cellStyle name="Nota 3 5 2 2 3 3 2" xfId="26194"/>
    <cellStyle name="Nota 3 5 2 2 3 4" xfId="17517"/>
    <cellStyle name="Nota 3 5 2 2 4" xfId="2782"/>
    <cellStyle name="Nota 3 5 2 2 4 2" xfId="22351"/>
    <cellStyle name="Nota 3 5 2 2 5" xfId="6188"/>
    <cellStyle name="Nota 3 5 2 3" xfId="1619"/>
    <cellStyle name="Nota 3 5 2 3 2" xfId="7522"/>
    <cellStyle name="Nota 3 5 2 3 2 2" xfId="10136"/>
    <cellStyle name="Nota 3 5 2 3 2 2 2" xfId="16398"/>
    <cellStyle name="Nota 3 5 2 3 2 2 2 2" xfId="29814"/>
    <cellStyle name="Nota 3 5 2 3 2 2 3" xfId="21143"/>
    <cellStyle name="Nota 3 5 2 3 2 3" xfId="14126"/>
    <cellStyle name="Nota 3 5 2 3 2 3 2" xfId="28448"/>
    <cellStyle name="Nota 3 5 2 3 2 4" xfId="19771"/>
    <cellStyle name="Nota 3 5 2 3 3" xfId="13258"/>
    <cellStyle name="Nota 3 5 2 3 3 2" xfId="27580"/>
    <cellStyle name="Nota 3 5 2 3 4" xfId="18903"/>
    <cellStyle name="Nota 3 5 2 4" xfId="5703"/>
    <cellStyle name="Nota 3 5 2 4 2" xfId="12256"/>
    <cellStyle name="Nota 3 5 2 4 2 2" xfId="26578"/>
    <cellStyle name="Nota 3 5 2 4 3" xfId="17901"/>
    <cellStyle name="Nota 3 5 2 5" xfId="4922"/>
    <cellStyle name="Nota 3 5 2 5 2" xfId="23264"/>
    <cellStyle name="Nota 3 5 2 6" xfId="4700"/>
    <cellStyle name="Nota 3 5 3" xfId="1620"/>
    <cellStyle name="Nota 3 5 3 2" xfId="1621"/>
    <cellStyle name="Nota 3 5 3 2 2" xfId="6021"/>
    <cellStyle name="Nota 3 5 3 2 2 2" xfId="12581"/>
    <cellStyle name="Nota 3 5 3 2 2 2 2" xfId="26903"/>
    <cellStyle name="Nota 3 5 3 2 2 3" xfId="18226"/>
    <cellStyle name="Nota 3 5 3 2 3" xfId="7841"/>
    <cellStyle name="Nota 3 5 3 2 3 2" xfId="10455"/>
    <cellStyle name="Nota 3 5 3 2 3 2 2" xfId="16717"/>
    <cellStyle name="Nota 3 5 3 2 3 2 2 2" xfId="30133"/>
    <cellStyle name="Nota 3 5 3 2 3 2 3" xfId="21462"/>
    <cellStyle name="Nota 3 5 3 2 3 3" xfId="14445"/>
    <cellStyle name="Nota 3 5 3 2 3 3 2" xfId="28767"/>
    <cellStyle name="Nota 3 5 3 2 3 4" xfId="20090"/>
    <cellStyle name="Nota 3 5 3 2 4" xfId="6148"/>
    <cellStyle name="Nota 3 5 3 2 4 2" xfId="23429"/>
    <cellStyle name="Nota 3 5 3 2 5" xfId="17134"/>
    <cellStyle name="Nota 3 5 3 3" xfId="1622"/>
    <cellStyle name="Nota 3 5 3 3 2" xfId="7074"/>
    <cellStyle name="Nota 3 5 3 3 2 2" xfId="9688"/>
    <cellStyle name="Nota 3 5 3 3 2 2 2" xfId="15950"/>
    <cellStyle name="Nota 3 5 3 3 2 2 2 2" xfId="29366"/>
    <cellStyle name="Nota 3 5 3 3 2 2 3" xfId="20695"/>
    <cellStyle name="Nota 3 5 3 3 2 3" xfId="13678"/>
    <cellStyle name="Nota 3 5 3 3 2 3 2" xfId="28000"/>
    <cellStyle name="Nota 3 5 3 3 2 4" xfId="19323"/>
    <cellStyle name="Nota 3 5 3 3 3" xfId="13379"/>
    <cellStyle name="Nota 3 5 3 3 3 2" xfId="27701"/>
    <cellStyle name="Nota 3 5 3 3 4" xfId="19024"/>
    <cellStyle name="Nota 3 5 3 4" xfId="5835"/>
    <cellStyle name="Nota 3 5 3 4 2" xfId="12388"/>
    <cellStyle name="Nota 3 5 3 4 2 2" xfId="26710"/>
    <cellStyle name="Nota 3 5 3 4 3" xfId="18033"/>
    <cellStyle name="Nota 3 5 3 5" xfId="4621"/>
    <cellStyle name="Nota 3 5 3 5 2" xfId="23070"/>
    <cellStyle name="Nota 3 5 3 6" xfId="4551"/>
    <cellStyle name="Nota 3 5 4" xfId="1623"/>
    <cellStyle name="Nota 3 5 4 2" xfId="6878"/>
    <cellStyle name="Nota 3 5 4 2 2" xfId="13482"/>
    <cellStyle name="Nota 3 5 4 2 2 2" xfId="27804"/>
    <cellStyle name="Nota 3 5 4 2 3" xfId="19127"/>
    <cellStyle name="Nota 3 5 4 3" xfId="7562"/>
    <cellStyle name="Nota 3 5 4 3 2" xfId="10176"/>
    <cellStyle name="Nota 3 5 4 3 2 2" xfId="16438"/>
    <cellStyle name="Nota 3 5 4 3 2 2 2" xfId="29854"/>
    <cellStyle name="Nota 3 5 4 3 2 3" xfId="21183"/>
    <cellStyle name="Nota 3 5 4 3 3" xfId="14166"/>
    <cellStyle name="Nota 3 5 4 3 3 2" xfId="28488"/>
    <cellStyle name="Nota 3 5 4 3 4" xfId="19811"/>
    <cellStyle name="Nota 3 5 4 4" xfId="11347"/>
    <cellStyle name="Nota 3 5 4 4 2" xfId="25669"/>
    <cellStyle name="Nota 3 5 4 5" xfId="3967"/>
    <cellStyle name="Nota 3 5 5" xfId="1624"/>
    <cellStyle name="Nota 3 5 5 2" xfId="7955"/>
    <cellStyle name="Nota 3 5 5 2 2" xfId="10569"/>
    <cellStyle name="Nota 3 5 5 2 2 2" xfId="16831"/>
    <cellStyle name="Nota 3 5 5 2 2 2 2" xfId="30247"/>
    <cellStyle name="Nota 3 5 5 2 2 3" xfId="21576"/>
    <cellStyle name="Nota 3 5 5 2 3" xfId="14559"/>
    <cellStyle name="Nota 3 5 5 2 3 2" xfId="28881"/>
    <cellStyle name="Nota 3 5 5 2 4" xfId="20204"/>
    <cellStyle name="Nota 3 5 5 3" xfId="12766"/>
    <cellStyle name="Nota 3 5 5 3 2" xfId="27088"/>
    <cellStyle name="Nota 3 5 5 4" xfId="18411"/>
    <cellStyle name="Nota 3 5 6" xfId="4113"/>
    <cellStyle name="Nota 3 5 6 2" xfId="6753"/>
    <cellStyle name="Nota 3 5 6 2 2" xfId="23701"/>
    <cellStyle name="Nota 3 5 6 3" xfId="17381"/>
    <cellStyle name="Nota 3 5 7" xfId="4872"/>
    <cellStyle name="Nota 3 5 7 2" xfId="23235"/>
    <cellStyle name="Nota 3 5 8" xfId="15486"/>
    <cellStyle name="Nota 3 6" xfId="1625"/>
    <cellStyle name="Nota 3 6 2" xfId="1626"/>
    <cellStyle name="Nota 3 6 2 2" xfId="1627"/>
    <cellStyle name="Nota 3 6 2 2 2" xfId="6112"/>
    <cellStyle name="Nota 3 6 2 2 2 2" xfId="12680"/>
    <cellStyle name="Nota 3 6 2 2 2 2 2" xfId="27002"/>
    <cellStyle name="Nota 3 6 2 2 2 3" xfId="18325"/>
    <cellStyle name="Nota 3 6 2 2 3" xfId="7926"/>
    <cellStyle name="Nota 3 6 2 2 3 2" xfId="10540"/>
    <cellStyle name="Nota 3 6 2 2 3 2 2" xfId="16802"/>
    <cellStyle name="Nota 3 6 2 2 3 2 2 2" xfId="30218"/>
    <cellStyle name="Nota 3 6 2 2 3 2 3" xfId="21547"/>
    <cellStyle name="Nota 3 6 2 2 3 3" xfId="14530"/>
    <cellStyle name="Nota 3 6 2 2 3 3 2" xfId="28852"/>
    <cellStyle name="Nota 3 6 2 2 3 4" xfId="20175"/>
    <cellStyle name="Nota 3 6 2 2 4" xfId="5028"/>
    <cellStyle name="Nota 3 6 2 2 4 2" xfId="23313"/>
    <cellStyle name="Nota 3 6 2 2 5" xfId="17003"/>
    <cellStyle name="Nota 3 6 2 3" xfId="1628"/>
    <cellStyle name="Nota 3 6 2 3 2" xfId="7922"/>
    <cellStyle name="Nota 3 6 2 3 2 2" xfId="10536"/>
    <cellStyle name="Nota 3 6 2 3 2 2 2" xfId="16798"/>
    <cellStyle name="Nota 3 6 2 3 2 2 2 2" xfId="30214"/>
    <cellStyle name="Nota 3 6 2 3 2 2 3" xfId="21543"/>
    <cellStyle name="Nota 3 6 2 3 2 3" xfId="14526"/>
    <cellStyle name="Nota 3 6 2 3 2 3 2" xfId="28848"/>
    <cellStyle name="Nota 3 6 2 3 2 4" xfId="20171"/>
    <cellStyle name="Nota 3 6 2 3 3" xfId="13244"/>
    <cellStyle name="Nota 3 6 2 3 3 2" xfId="27566"/>
    <cellStyle name="Nota 3 6 2 3 4" xfId="18889"/>
    <cellStyle name="Nota 3 6 2 4" xfId="5685"/>
    <cellStyle name="Nota 3 6 2 4 2" xfId="12238"/>
    <cellStyle name="Nota 3 6 2 4 2 2" xfId="26560"/>
    <cellStyle name="Nota 3 6 2 4 3" xfId="17883"/>
    <cellStyle name="Nota 3 6 2 5" xfId="4825"/>
    <cellStyle name="Nota 3 6 2 5 2" xfId="23206"/>
    <cellStyle name="Nota 3 6 2 6" xfId="15411"/>
    <cellStyle name="Nota 3 6 3" xfId="1629"/>
    <cellStyle name="Nota 3 6 3 2" xfId="1630"/>
    <cellStyle name="Nota 3 6 3 2 2" xfId="6374"/>
    <cellStyle name="Nota 3 6 3 2 2 2" xfId="12957"/>
    <cellStyle name="Nota 3 6 3 2 2 2 2" xfId="27279"/>
    <cellStyle name="Nota 3 6 3 2 2 3" xfId="18602"/>
    <cellStyle name="Nota 3 6 3 2 3" xfId="7155"/>
    <cellStyle name="Nota 3 6 3 2 3 2" xfId="9769"/>
    <cellStyle name="Nota 3 6 3 2 3 2 2" xfId="16031"/>
    <cellStyle name="Nota 3 6 3 2 3 2 2 2" xfId="29447"/>
    <cellStyle name="Nota 3 6 3 2 3 2 3" xfId="20776"/>
    <cellStyle name="Nota 3 6 3 2 3 3" xfId="13759"/>
    <cellStyle name="Nota 3 6 3 2 3 3 2" xfId="28081"/>
    <cellStyle name="Nota 3 6 3 2 3 4" xfId="19404"/>
    <cellStyle name="Nota 3 6 3 2 4" xfId="4833"/>
    <cellStyle name="Nota 3 6 3 2 4 2" xfId="23211"/>
    <cellStyle name="Nota 3 6 3 2 5" xfId="17337"/>
    <cellStyle name="Nota 3 6 3 3" xfId="1631"/>
    <cellStyle name="Nota 3 6 3 3 2" xfId="7966"/>
    <cellStyle name="Nota 3 6 3 3 2 2" xfId="10580"/>
    <cellStyle name="Nota 3 6 3 3 2 2 2" xfId="16842"/>
    <cellStyle name="Nota 3 6 3 3 2 2 2 2" xfId="30258"/>
    <cellStyle name="Nota 3 6 3 3 2 2 3" xfId="21587"/>
    <cellStyle name="Nota 3 6 3 3 2 3" xfId="14570"/>
    <cellStyle name="Nota 3 6 3 3 2 3 2" xfId="28892"/>
    <cellStyle name="Nota 3 6 3 3 2 4" xfId="20215"/>
    <cellStyle name="Nota 3 6 3 3 3" xfId="13388"/>
    <cellStyle name="Nota 3 6 3 3 3 2" xfId="27710"/>
    <cellStyle name="Nota 3 6 3 3 4" xfId="19033"/>
    <cellStyle name="Nota 3 6 3 4" xfId="5849"/>
    <cellStyle name="Nota 3 6 3 4 2" xfId="12402"/>
    <cellStyle name="Nota 3 6 3 4 2 2" xfId="26724"/>
    <cellStyle name="Nota 3 6 3 4 3" xfId="18047"/>
    <cellStyle name="Nota 3 6 3 5" xfId="5585"/>
    <cellStyle name="Nota 3 6 3 5 2" xfId="23355"/>
    <cellStyle name="Nota 3 6 3 6" xfId="15217"/>
    <cellStyle name="Nota 3 6 4" xfId="1632"/>
    <cellStyle name="Nota 3 6 4 2" xfId="6583"/>
    <cellStyle name="Nota 3 6 4 2 2" xfId="13172"/>
    <cellStyle name="Nota 3 6 4 2 2 2" xfId="27494"/>
    <cellStyle name="Nota 3 6 4 2 3" xfId="18817"/>
    <cellStyle name="Nota 3 6 4 3" xfId="3813"/>
    <cellStyle name="Nota 3 6 4 3 2" xfId="9379"/>
    <cellStyle name="Nota 3 6 4 3 2 2" xfId="15641"/>
    <cellStyle name="Nota 3 6 4 3 2 2 2" xfId="29057"/>
    <cellStyle name="Nota 3 6 4 3 2 3" xfId="20386"/>
    <cellStyle name="Nota 3 6 4 3 3" xfId="4324"/>
    <cellStyle name="Nota 3 6 4 3 3 2" xfId="22888"/>
    <cellStyle name="Nota 3 6 4 3 4" xfId="14810"/>
    <cellStyle name="Nota 3 6 4 4" xfId="6755"/>
    <cellStyle name="Nota 3 6 4 4 2" xfId="23703"/>
    <cellStyle name="Nota 3 6 4 5" xfId="14812"/>
    <cellStyle name="Nota 3 6 5" xfId="1633"/>
    <cellStyle name="Nota 3 6 5 2" xfId="7801"/>
    <cellStyle name="Nota 3 6 5 2 2" xfId="10415"/>
    <cellStyle name="Nota 3 6 5 2 2 2" xfId="16677"/>
    <cellStyle name="Nota 3 6 5 2 2 2 2" xfId="30093"/>
    <cellStyle name="Nota 3 6 5 2 2 3" xfId="21422"/>
    <cellStyle name="Nota 3 6 5 2 3" xfId="14405"/>
    <cellStyle name="Nota 3 6 5 2 3 2" xfId="28727"/>
    <cellStyle name="Nota 3 6 5 2 4" xfId="20050"/>
    <cellStyle name="Nota 3 6 5 3" xfId="12716"/>
    <cellStyle name="Nota 3 6 5 3 2" xfId="27038"/>
    <cellStyle name="Nota 3 6 5 4" xfId="18361"/>
    <cellStyle name="Nota 3 6 6" xfId="5115"/>
    <cellStyle name="Nota 3 6 6 2" xfId="11663"/>
    <cellStyle name="Nota 3 6 6 2 2" xfId="25985"/>
    <cellStyle name="Nota 3 6 6 3" xfId="15395"/>
    <cellStyle name="Nota 3 6 7" xfId="6765"/>
    <cellStyle name="Nota 3 6 7 2" xfId="23711"/>
    <cellStyle name="Nota 3 6 8" xfId="14755"/>
    <cellStyle name="Nota 3 7" xfId="1634"/>
    <cellStyle name="Nota 3 7 2" xfId="1635"/>
    <cellStyle name="Nota 3 7 2 2" xfId="1636"/>
    <cellStyle name="Nota 3 7 2 2 2" xfId="6212"/>
    <cellStyle name="Nota 3 7 2 2 2 2" xfId="12785"/>
    <cellStyle name="Nota 3 7 2 2 2 2 2" xfId="27107"/>
    <cellStyle name="Nota 3 7 2 2 2 3" xfId="18430"/>
    <cellStyle name="Nota 3 7 2 2 3" xfId="4774"/>
    <cellStyle name="Nota 3 7 2 2 3 2" xfId="9482"/>
    <cellStyle name="Nota 3 7 2 2 3 2 2" xfId="15744"/>
    <cellStyle name="Nota 3 7 2 2 3 2 2 2" xfId="29160"/>
    <cellStyle name="Nota 3 7 2 2 3 2 3" xfId="20489"/>
    <cellStyle name="Nota 3 7 2 2 3 3" xfId="2810"/>
    <cellStyle name="Nota 3 7 2 2 3 3 2" xfId="22373"/>
    <cellStyle name="Nota 3 7 2 2 3 4" xfId="15406"/>
    <cellStyle name="Nota 3 7 2 2 4" xfId="6078"/>
    <cellStyle name="Nota 3 7 2 2 4 2" xfId="23409"/>
    <cellStyle name="Nota 3 7 2 2 5" xfId="3834"/>
    <cellStyle name="Nota 3 7 2 3" xfId="1637"/>
    <cellStyle name="Nota 3 7 2 3 2" xfId="8013"/>
    <cellStyle name="Nota 3 7 2 3 2 2" xfId="10627"/>
    <cellStyle name="Nota 3 7 2 3 2 2 2" xfId="16889"/>
    <cellStyle name="Nota 3 7 2 3 2 2 2 2" xfId="30305"/>
    <cellStyle name="Nota 3 7 2 3 2 2 3" xfId="21634"/>
    <cellStyle name="Nota 3 7 2 3 2 3" xfId="14617"/>
    <cellStyle name="Nota 3 7 2 3 2 3 2" xfId="28939"/>
    <cellStyle name="Nota 3 7 2 3 2 4" xfId="20262"/>
    <cellStyle name="Nota 3 7 2 3 3" xfId="13414"/>
    <cellStyle name="Nota 3 7 2 3 3 2" xfId="27736"/>
    <cellStyle name="Nota 3 7 2 3 4" xfId="19059"/>
    <cellStyle name="Nota 3 7 2 4" xfId="5882"/>
    <cellStyle name="Nota 3 7 2 4 2" xfId="12435"/>
    <cellStyle name="Nota 3 7 2 4 2 2" xfId="26757"/>
    <cellStyle name="Nota 3 7 2 4 3" xfId="18080"/>
    <cellStyle name="Nota 3 7 2 5" xfId="4582"/>
    <cellStyle name="Nota 3 7 2 5 2" xfId="23048"/>
    <cellStyle name="Nota 3 7 2 6" xfId="16975"/>
    <cellStyle name="Nota 3 7 3" xfId="1638"/>
    <cellStyle name="Nota 3 7 3 2" xfId="5202"/>
    <cellStyle name="Nota 3 7 3 2 2" xfId="11751"/>
    <cellStyle name="Nota 3 7 3 2 2 2" xfId="26073"/>
    <cellStyle name="Nota 3 7 3 2 3" xfId="4088"/>
    <cellStyle name="Nota 3 7 3 3" xfId="7319"/>
    <cellStyle name="Nota 3 7 3 3 2" xfId="9933"/>
    <cellStyle name="Nota 3 7 3 3 2 2" xfId="16195"/>
    <cellStyle name="Nota 3 7 3 3 2 2 2" xfId="29611"/>
    <cellStyle name="Nota 3 7 3 3 2 3" xfId="20940"/>
    <cellStyle name="Nota 3 7 3 3 3" xfId="13923"/>
    <cellStyle name="Nota 3 7 3 3 3 2" xfId="28245"/>
    <cellStyle name="Nota 3 7 3 3 4" xfId="19568"/>
    <cellStyle name="Nota 3 7 3 4" xfId="4990"/>
    <cellStyle name="Nota 3 7 3 4 2" xfId="23297"/>
    <cellStyle name="Nota 3 7 3 5" xfId="17367"/>
    <cellStyle name="Nota 3 7 4" xfId="1639"/>
    <cellStyle name="Nota 3 7 4 2" xfId="7919"/>
    <cellStyle name="Nota 3 7 4 2 2" xfId="10533"/>
    <cellStyle name="Nota 3 7 4 2 2 2" xfId="16795"/>
    <cellStyle name="Nota 3 7 4 2 2 2 2" xfId="30211"/>
    <cellStyle name="Nota 3 7 4 2 2 3" xfId="21540"/>
    <cellStyle name="Nota 3 7 4 2 3" xfId="14523"/>
    <cellStyle name="Nota 3 7 4 2 3 2" xfId="28845"/>
    <cellStyle name="Nota 3 7 4 2 4" xfId="20168"/>
    <cellStyle name="Nota 3 7 4 3" xfId="12718"/>
    <cellStyle name="Nota 3 7 4 3 2" xfId="27040"/>
    <cellStyle name="Nota 3 7 4 4" xfId="18363"/>
    <cellStyle name="Nota 3 7 5" xfId="4914"/>
    <cellStyle name="Nota 3 7 5 2" xfId="11451"/>
    <cellStyle name="Nota 3 7 5 2 2" xfId="25773"/>
    <cellStyle name="Nota 3 7 5 3" xfId="15506"/>
    <cellStyle name="Nota 3 7 6" xfId="4683"/>
    <cellStyle name="Nota 3 7 6 2" xfId="23119"/>
    <cellStyle name="Nota 3 7 7" xfId="15376"/>
    <cellStyle name="Nota 3 8" xfId="1640"/>
    <cellStyle name="Nota 3 8 2" xfId="1641"/>
    <cellStyle name="Nota 3 8 2 2" xfId="6966"/>
    <cellStyle name="Nota 3 8 2 2 2" xfId="13570"/>
    <cellStyle name="Nota 3 8 2 2 2 2" xfId="27892"/>
    <cellStyle name="Nota 3 8 2 2 3" xfId="19215"/>
    <cellStyle name="Nota 3 8 2 3" xfId="7846"/>
    <cellStyle name="Nota 3 8 2 3 2" xfId="10460"/>
    <cellStyle name="Nota 3 8 2 3 2 2" xfId="16722"/>
    <cellStyle name="Nota 3 8 2 3 2 2 2" xfId="30138"/>
    <cellStyle name="Nota 3 8 2 3 2 3" xfId="21467"/>
    <cellStyle name="Nota 3 8 2 3 3" xfId="14450"/>
    <cellStyle name="Nota 3 8 2 3 3 2" xfId="28772"/>
    <cellStyle name="Nota 3 8 2 3 4" xfId="20095"/>
    <cellStyle name="Nota 3 8 2 4" xfId="11470"/>
    <cellStyle name="Nota 3 8 2 4 2" xfId="25792"/>
    <cellStyle name="Nota 3 8 2 5" xfId="5236"/>
    <cellStyle name="Nota 3 8 3" xfId="1642"/>
    <cellStyle name="Nota 3 8 3 2" xfId="5314"/>
    <cellStyle name="Nota 3 8 3 2 2" xfId="9623"/>
    <cellStyle name="Nota 3 8 3 2 2 2" xfId="15885"/>
    <cellStyle name="Nota 3 8 3 2 2 2 2" xfId="29301"/>
    <cellStyle name="Nota 3 8 3 2 2 3" xfId="20630"/>
    <cellStyle name="Nota 3 8 3 2 3" xfId="11864"/>
    <cellStyle name="Nota 3 8 3 2 3 2" xfId="26186"/>
    <cellStyle name="Nota 3 8 3 2 4" xfId="17509"/>
    <cellStyle name="Nota 3 8 3 3" xfId="13041"/>
    <cellStyle name="Nota 3 8 3 3 2" xfId="27363"/>
    <cellStyle name="Nota 3 8 3 4" xfId="18686"/>
    <cellStyle name="Nota 3 8 4" xfId="5359"/>
    <cellStyle name="Nota 3 8 4 2" xfId="11909"/>
    <cellStyle name="Nota 3 8 4 2 2" xfId="26231"/>
    <cellStyle name="Nota 3 8 4 3" xfId="17554"/>
    <cellStyle name="Nota 3 8 5" xfId="3645"/>
    <cellStyle name="Nota 3 8 5 2" xfId="22504"/>
    <cellStyle name="Nota 3 8 6" xfId="4955"/>
    <cellStyle name="Nota 3 9" xfId="1643"/>
    <cellStyle name="Nota 3 9 2" xfId="6077"/>
    <cellStyle name="Nota 3 9 2 2" xfId="12643"/>
    <cellStyle name="Nota 3 9 2 2 2" xfId="26965"/>
    <cellStyle name="Nota 3 9 2 3" xfId="18288"/>
    <cellStyle name="Nota 3 9 3" xfId="5255"/>
    <cellStyle name="Nota 3 9 3 2" xfId="9564"/>
    <cellStyle name="Nota 3 9 3 2 2" xfId="15826"/>
    <cellStyle name="Nota 3 9 3 2 2 2" xfId="29242"/>
    <cellStyle name="Nota 3 9 3 2 3" xfId="20571"/>
    <cellStyle name="Nota 3 9 3 3" xfId="11805"/>
    <cellStyle name="Nota 3 9 3 3 2" xfId="26127"/>
    <cellStyle name="Nota 3 9 3 4" xfId="17450"/>
    <cellStyle name="Nota 3 9 4" xfId="6361"/>
    <cellStyle name="Nota 3 9 4 2" xfId="23545"/>
    <cellStyle name="Nota 3 9 5" xfId="14717"/>
    <cellStyle name="Nota 4" xfId="1644"/>
    <cellStyle name="Nota 4 2" xfId="6115"/>
    <cellStyle name="Nota 4 2 2" xfId="12683"/>
    <cellStyle name="Nota 4 2 2 2" xfId="27005"/>
    <cellStyle name="Nota 4 2 3" xfId="18328"/>
    <cellStyle name="Nota 4 3" xfId="7154"/>
    <cellStyle name="Nota 4 3 2" xfId="9768"/>
    <cellStyle name="Nota 4 3 2 2" xfId="16030"/>
    <cellStyle name="Nota 4 3 2 2 2" xfId="29446"/>
    <cellStyle name="Nota 4 3 2 3" xfId="20775"/>
    <cellStyle name="Nota 4 3 3" xfId="13758"/>
    <cellStyle name="Nota 4 3 3 2" xfId="28080"/>
    <cellStyle name="Nota 4 3 4" xfId="19403"/>
    <cellStyle name="Nota 4 4" xfId="4564"/>
    <cellStyle name="Nota 4 4 2" xfId="23033"/>
    <cellStyle name="Nota 4 5" xfId="17203"/>
    <cellStyle name="Nota 5" xfId="4283"/>
    <cellStyle name="Nota 5 2" xfId="5370"/>
    <cellStyle name="Nota 5 2 2" xfId="23341"/>
    <cellStyle name="Nota 5 3" xfId="6588"/>
    <cellStyle name="Nota 6" xfId="4987"/>
    <cellStyle name="Nota 6 2" xfId="23295"/>
    <cellStyle name="Nota 7" xfId="14905"/>
    <cellStyle name="Nota 8" xfId="20343"/>
    <cellStyle name="Nota 9" xfId="30365"/>
    <cellStyle name="Note 2" xfId="1645"/>
    <cellStyle name="Note 2 2" xfId="1646"/>
    <cellStyle name="Note 2 2 2" xfId="1647"/>
    <cellStyle name="Note 2 2 2 10" xfId="1648"/>
    <cellStyle name="Note 2 2 2 10 2" xfId="7471"/>
    <cellStyle name="Note 2 2 2 10 2 2" xfId="10085"/>
    <cellStyle name="Note 2 2 2 10 2 2 2" xfId="16347"/>
    <cellStyle name="Note 2 2 2 10 2 2 2 2" xfId="29763"/>
    <cellStyle name="Note 2 2 2 10 2 2 3" xfId="21092"/>
    <cellStyle name="Note 2 2 2 10 2 3" xfId="14075"/>
    <cellStyle name="Note 2 2 2 10 2 3 2" xfId="28397"/>
    <cellStyle name="Note 2 2 2 10 2 4" xfId="19720"/>
    <cellStyle name="Note 2 2 2 10 3" xfId="12366"/>
    <cellStyle name="Note 2 2 2 10 3 2" xfId="26688"/>
    <cellStyle name="Note 2 2 2 10 4" xfId="18011"/>
    <cellStyle name="Note 2 2 2 11" xfId="3766"/>
    <cellStyle name="Note 2 2 2 11 2" xfId="6693"/>
    <cellStyle name="Note 2 2 2 11 2 2" xfId="23657"/>
    <cellStyle name="Note 2 2 2 11 3" xfId="15520"/>
    <cellStyle name="Note 2 2 2 12" xfId="4666"/>
    <cellStyle name="Note 2 2 2 12 2" xfId="23105"/>
    <cellStyle name="Note 2 2 2 13" xfId="14737"/>
    <cellStyle name="Note 2 2 2 2" xfId="1649"/>
    <cellStyle name="Note 2 2 2 2 10" xfId="5374"/>
    <cellStyle name="Note 2 2 2 2 10 2" xfId="11924"/>
    <cellStyle name="Note 2 2 2 2 10 2 2" xfId="26246"/>
    <cellStyle name="Note 2 2 2 2 10 3" xfId="17569"/>
    <cellStyle name="Note 2 2 2 2 11" xfId="4604"/>
    <cellStyle name="Note 2 2 2 2 11 2" xfId="23062"/>
    <cellStyle name="Note 2 2 2 2 12" xfId="15076"/>
    <cellStyle name="Note 2 2 2 2 2" xfId="1650"/>
    <cellStyle name="Note 2 2 2 2 2 10" xfId="4479"/>
    <cellStyle name="Note 2 2 2 2 2 10 2" xfId="22977"/>
    <cellStyle name="Note 2 2 2 2 2 11" xfId="17320"/>
    <cellStyle name="Note 2 2 2 2 2 2" xfId="1651"/>
    <cellStyle name="Note 2 2 2 2 2 2 2" xfId="1652"/>
    <cellStyle name="Note 2 2 2 2 2 2 2 2" xfId="1653"/>
    <cellStyle name="Note 2 2 2 2 2 2 2 2 2" xfId="6028"/>
    <cellStyle name="Note 2 2 2 2 2 2 2 2 2 2" xfId="12589"/>
    <cellStyle name="Note 2 2 2 2 2 2 2 2 2 2 2" xfId="26911"/>
    <cellStyle name="Note 2 2 2 2 2 2 2 2 2 3" xfId="18234"/>
    <cellStyle name="Note 2 2 2 2 2 2 2 2 3" xfId="7515"/>
    <cellStyle name="Note 2 2 2 2 2 2 2 2 3 2" xfId="10129"/>
    <cellStyle name="Note 2 2 2 2 2 2 2 2 3 2 2" xfId="16391"/>
    <cellStyle name="Note 2 2 2 2 2 2 2 2 3 2 2 2" xfId="29807"/>
    <cellStyle name="Note 2 2 2 2 2 2 2 2 3 2 3" xfId="21136"/>
    <cellStyle name="Note 2 2 2 2 2 2 2 2 3 3" xfId="14119"/>
    <cellStyle name="Note 2 2 2 2 2 2 2 2 3 3 2" xfId="28441"/>
    <cellStyle name="Note 2 2 2 2 2 2 2 2 3 4" xfId="19764"/>
    <cellStyle name="Note 2 2 2 2 2 2 2 2 4" xfId="4255"/>
    <cellStyle name="Note 2 2 2 2 2 2 2 2 4 2" xfId="22853"/>
    <cellStyle name="Note 2 2 2 2 2 2 2 2 5" xfId="14827"/>
    <cellStyle name="Note 2 2 2 2 2 2 2 3" xfId="1654"/>
    <cellStyle name="Note 2 2 2 2 2 2 2 3 2" xfId="7371"/>
    <cellStyle name="Note 2 2 2 2 2 2 2 3 2 2" xfId="9985"/>
    <cellStyle name="Note 2 2 2 2 2 2 2 3 2 2 2" xfId="16247"/>
    <cellStyle name="Note 2 2 2 2 2 2 2 3 2 2 2 2" xfId="29663"/>
    <cellStyle name="Note 2 2 2 2 2 2 2 3 2 2 3" xfId="20992"/>
    <cellStyle name="Note 2 2 2 2 2 2 2 3 2 3" xfId="13975"/>
    <cellStyle name="Note 2 2 2 2 2 2 2 3 2 3 2" xfId="28297"/>
    <cellStyle name="Note 2 2 2 2 2 2 2 3 2 4" xfId="19620"/>
    <cellStyle name="Note 2 2 2 2 2 2 2 3 3" xfId="13319"/>
    <cellStyle name="Note 2 2 2 2 2 2 2 3 3 2" xfId="27641"/>
    <cellStyle name="Note 2 2 2 2 2 2 2 3 4" xfId="18964"/>
    <cellStyle name="Note 2 2 2 2 2 2 2 4" xfId="5769"/>
    <cellStyle name="Note 2 2 2 2 2 2 2 4 2" xfId="12322"/>
    <cellStyle name="Note 2 2 2 2 2 2 2 4 2 2" xfId="26644"/>
    <cellStyle name="Note 2 2 2 2 2 2 2 4 3" xfId="17967"/>
    <cellStyle name="Note 2 2 2 2 2 2 2 5" xfId="4062"/>
    <cellStyle name="Note 2 2 2 2 2 2 2 5 2" xfId="22736"/>
    <cellStyle name="Note 2 2 2 2 2 2 2 6" xfId="17189"/>
    <cellStyle name="Note 2 2 2 2 2 2 3" xfId="1655"/>
    <cellStyle name="Note 2 2 2 2 2 2 3 2" xfId="1656"/>
    <cellStyle name="Note 2 2 2 2 2 2 3 2 2" xfId="5987"/>
    <cellStyle name="Note 2 2 2 2 2 2 3 2 2 2" xfId="12545"/>
    <cellStyle name="Note 2 2 2 2 2 2 3 2 2 2 2" xfId="26867"/>
    <cellStyle name="Note 2 2 2 2 2 2 3 2 2 3" xfId="18190"/>
    <cellStyle name="Note 2 2 2 2 2 2 3 2 3" xfId="7209"/>
    <cellStyle name="Note 2 2 2 2 2 2 3 2 3 2" xfId="9823"/>
    <cellStyle name="Note 2 2 2 2 2 2 3 2 3 2 2" xfId="16085"/>
    <cellStyle name="Note 2 2 2 2 2 2 3 2 3 2 2 2" xfId="29501"/>
    <cellStyle name="Note 2 2 2 2 2 2 3 2 3 2 3" xfId="20830"/>
    <cellStyle name="Note 2 2 2 2 2 2 3 2 3 3" xfId="13813"/>
    <cellStyle name="Note 2 2 2 2 2 2 3 2 3 3 2" xfId="28135"/>
    <cellStyle name="Note 2 2 2 2 2 2 3 2 3 4" xfId="19458"/>
    <cellStyle name="Note 2 2 2 2 2 2 3 2 4" xfId="4631"/>
    <cellStyle name="Note 2 2 2 2 2 2 3 2 4 2" xfId="23076"/>
    <cellStyle name="Note 2 2 2 2 2 2 3 2 5" xfId="14748"/>
    <cellStyle name="Note 2 2 2 2 2 2 3 3" xfId="1657"/>
    <cellStyle name="Note 2 2 2 2 2 2 3 3 2" xfId="7880"/>
    <cellStyle name="Note 2 2 2 2 2 2 3 3 2 2" xfId="10494"/>
    <cellStyle name="Note 2 2 2 2 2 2 3 3 2 2 2" xfId="16756"/>
    <cellStyle name="Note 2 2 2 2 2 2 3 3 2 2 2 2" xfId="30172"/>
    <cellStyle name="Note 2 2 2 2 2 2 3 3 2 2 3" xfId="21501"/>
    <cellStyle name="Note 2 2 2 2 2 2 3 3 2 3" xfId="14484"/>
    <cellStyle name="Note 2 2 2 2 2 2 3 3 2 3 2" xfId="28806"/>
    <cellStyle name="Note 2 2 2 2 2 2 3 3 2 4" xfId="20129"/>
    <cellStyle name="Note 2 2 2 2 2 2 3 3 3" xfId="11725"/>
    <cellStyle name="Note 2 2 2 2 2 2 3 3 3 2" xfId="26047"/>
    <cellStyle name="Note 2 2 2 2 2 2 3 3 4" xfId="6633"/>
    <cellStyle name="Note 2 2 2 2 2 2 3 4" xfId="5101"/>
    <cellStyle name="Note 2 2 2 2 2 2 3 4 2" xfId="11648"/>
    <cellStyle name="Note 2 2 2 2 2 2 3 4 2 2" xfId="25970"/>
    <cellStyle name="Note 2 2 2 2 2 2 3 4 3" xfId="14920"/>
    <cellStyle name="Note 2 2 2 2 2 2 3 5" xfId="5230"/>
    <cellStyle name="Note 2 2 2 2 2 2 3 5 2" xfId="23338"/>
    <cellStyle name="Note 2 2 2 2 2 2 3 6" xfId="15247"/>
    <cellStyle name="Note 2 2 2 2 2 2 4" xfId="1658"/>
    <cellStyle name="Note 2 2 2 2 2 2 4 2" xfId="6901"/>
    <cellStyle name="Note 2 2 2 2 2 2 4 2 2" xfId="13505"/>
    <cellStyle name="Note 2 2 2 2 2 2 4 2 2 2" xfId="27827"/>
    <cellStyle name="Note 2 2 2 2 2 2 4 2 3" xfId="19150"/>
    <cellStyle name="Note 2 2 2 2 2 2 4 3" xfId="4757"/>
    <cellStyle name="Note 2 2 2 2 2 2 4 3 2" xfId="9477"/>
    <cellStyle name="Note 2 2 2 2 2 2 4 3 2 2" xfId="15739"/>
    <cellStyle name="Note 2 2 2 2 2 2 4 3 2 2 2" xfId="29155"/>
    <cellStyle name="Note 2 2 2 2 2 2 4 3 2 3" xfId="20484"/>
    <cellStyle name="Note 2 2 2 2 2 2 4 3 3" xfId="2777"/>
    <cellStyle name="Note 2 2 2 2 2 2 4 3 3 2" xfId="22346"/>
    <cellStyle name="Note 2 2 2 2 2 2 4 3 4" xfId="17054"/>
    <cellStyle name="Note 2 2 2 2 2 2 4 4" xfId="11380"/>
    <cellStyle name="Note 2 2 2 2 2 2 4 4 2" xfId="25702"/>
    <cellStyle name="Note 2 2 2 2 2 2 4 5" xfId="15117"/>
    <cellStyle name="Note 2 2 2 2 2 2 5" xfId="1659"/>
    <cellStyle name="Note 2 2 2 2 2 2 5 2" xfId="3281"/>
    <cellStyle name="Note 2 2 2 2 2 2 5 2 2" xfId="9053"/>
    <cellStyle name="Note 2 2 2 2 2 2 5 2 2 2" xfId="15392"/>
    <cellStyle name="Note 2 2 2 2 2 2 5 2 2 2 2" xfId="29011"/>
    <cellStyle name="Note 2 2 2 2 2 2 5 2 2 3" xfId="20338"/>
    <cellStyle name="Note 2 2 2 2 2 2 5 2 3" xfId="4548"/>
    <cellStyle name="Note 2 2 2 2 2 2 5 2 3 2" xfId="23025"/>
    <cellStyle name="Note 2 2 2 2 2 2 5 2 4" xfId="14730"/>
    <cellStyle name="Note 2 2 2 2 2 2 5 3" xfId="12895"/>
    <cellStyle name="Note 2 2 2 2 2 2 5 3 2" xfId="27217"/>
    <cellStyle name="Note 2 2 2 2 2 2 5 4" xfId="18540"/>
    <cellStyle name="Note 2 2 2 2 2 2 6" xfId="5513"/>
    <cellStyle name="Note 2 2 2 2 2 2 6 2" xfId="12064"/>
    <cellStyle name="Note 2 2 2 2 2 2 6 2 2" xfId="26386"/>
    <cellStyle name="Note 2 2 2 2 2 2 6 3" xfId="17709"/>
    <cellStyle name="Note 2 2 2 2 2 2 7" xfId="6342"/>
    <cellStyle name="Note 2 2 2 2 2 2 7 2" xfId="23528"/>
    <cellStyle name="Note 2 2 2 2 2 2 8" xfId="15122"/>
    <cellStyle name="Note 2 2 2 2 2 3" xfId="1660"/>
    <cellStyle name="Note 2 2 2 2 2 3 2" xfId="1661"/>
    <cellStyle name="Note 2 2 2 2 2 3 2 2" xfId="1662"/>
    <cellStyle name="Note 2 2 2 2 2 3 2 2 2" xfId="6426"/>
    <cellStyle name="Note 2 2 2 2 2 3 2 2 2 2" xfId="13009"/>
    <cellStyle name="Note 2 2 2 2 2 3 2 2 2 2 2" xfId="27331"/>
    <cellStyle name="Note 2 2 2 2 2 3 2 2 2 3" xfId="18654"/>
    <cellStyle name="Note 2 2 2 2 2 3 2 2 3" xfId="7482"/>
    <cellStyle name="Note 2 2 2 2 2 3 2 2 3 2" xfId="10096"/>
    <cellStyle name="Note 2 2 2 2 2 3 2 2 3 2 2" xfId="16358"/>
    <cellStyle name="Note 2 2 2 2 2 3 2 2 3 2 2 2" xfId="29774"/>
    <cellStyle name="Note 2 2 2 2 2 3 2 2 3 2 3" xfId="21103"/>
    <cellStyle name="Note 2 2 2 2 2 3 2 2 3 3" xfId="14086"/>
    <cellStyle name="Note 2 2 2 2 2 3 2 2 3 3 2" xfId="28408"/>
    <cellStyle name="Note 2 2 2 2 2 3 2 2 3 4" xfId="19731"/>
    <cellStyle name="Note 2 2 2 2 2 3 2 2 4" xfId="6673"/>
    <cellStyle name="Note 2 2 2 2 2 3 2 2 4 2" xfId="23645"/>
    <cellStyle name="Note 2 2 2 2 2 3 2 2 5" xfId="15144"/>
    <cellStyle name="Note 2 2 2 2 2 3 2 3" xfId="1663"/>
    <cellStyle name="Note 2 2 2 2 2 3 2 3 2" xfId="7104"/>
    <cellStyle name="Note 2 2 2 2 2 3 2 3 2 2" xfId="9718"/>
    <cellStyle name="Note 2 2 2 2 2 3 2 3 2 2 2" xfId="15980"/>
    <cellStyle name="Note 2 2 2 2 2 3 2 3 2 2 2 2" xfId="29396"/>
    <cellStyle name="Note 2 2 2 2 2 3 2 3 2 2 3" xfId="20725"/>
    <cellStyle name="Note 2 2 2 2 2 3 2 3 2 3" xfId="13708"/>
    <cellStyle name="Note 2 2 2 2 2 3 2 3 2 3 2" xfId="28030"/>
    <cellStyle name="Note 2 2 2 2 2 3 2 3 2 4" xfId="19353"/>
    <cellStyle name="Note 2 2 2 2 2 3 2 3 3" xfId="13355"/>
    <cellStyle name="Note 2 2 2 2 2 3 2 3 3 2" xfId="27677"/>
    <cellStyle name="Note 2 2 2 2 2 3 2 3 4" xfId="19000"/>
    <cellStyle name="Note 2 2 2 2 2 3 2 4" xfId="5805"/>
    <cellStyle name="Note 2 2 2 2 2 3 2 4 2" xfId="12358"/>
    <cellStyle name="Note 2 2 2 2 2 3 2 4 2 2" xfId="26680"/>
    <cellStyle name="Note 2 2 2 2 2 3 2 4 3" xfId="18003"/>
    <cellStyle name="Note 2 2 2 2 2 3 2 5" xfId="4889"/>
    <cellStyle name="Note 2 2 2 2 2 3 2 5 2" xfId="23247"/>
    <cellStyle name="Note 2 2 2 2 2 3 2 6" xfId="14764"/>
    <cellStyle name="Note 2 2 2 2 2 3 3" xfId="1664"/>
    <cellStyle name="Note 2 2 2 2 2 3 3 2" xfId="1665"/>
    <cellStyle name="Note 2 2 2 2 2 3 3 2 2" xfId="6934"/>
    <cellStyle name="Note 2 2 2 2 2 3 3 2 2 2" xfId="13538"/>
    <cellStyle name="Note 2 2 2 2 2 3 3 2 2 2 2" xfId="27860"/>
    <cellStyle name="Note 2 2 2 2 2 3 3 2 2 3" xfId="19183"/>
    <cellStyle name="Note 2 2 2 2 2 3 3 2 3" xfId="7368"/>
    <cellStyle name="Note 2 2 2 2 2 3 3 2 3 2" xfId="9982"/>
    <cellStyle name="Note 2 2 2 2 2 3 3 2 3 2 2" xfId="16244"/>
    <cellStyle name="Note 2 2 2 2 2 3 3 2 3 2 2 2" xfId="29660"/>
    <cellStyle name="Note 2 2 2 2 2 3 3 2 3 2 3" xfId="20989"/>
    <cellStyle name="Note 2 2 2 2 2 3 3 2 3 3" xfId="13972"/>
    <cellStyle name="Note 2 2 2 2 2 3 3 2 3 3 2" xfId="28294"/>
    <cellStyle name="Note 2 2 2 2 2 3 3 2 3 4" xfId="19617"/>
    <cellStyle name="Note 2 2 2 2 2 3 3 2 4" xfId="11427"/>
    <cellStyle name="Note 2 2 2 2 2 3 3 2 4 2" xfId="25749"/>
    <cellStyle name="Note 2 2 2 2 2 3 3 2 5" xfId="3963"/>
    <cellStyle name="Note 2 2 2 2 2 3 3 3" xfId="1666"/>
    <cellStyle name="Note 2 2 2 2 2 3 3 3 2" xfId="7180"/>
    <cellStyle name="Note 2 2 2 2 2 3 3 3 2 2" xfId="9794"/>
    <cellStyle name="Note 2 2 2 2 2 3 3 3 2 2 2" xfId="16056"/>
    <cellStyle name="Note 2 2 2 2 2 3 3 3 2 2 2 2" xfId="29472"/>
    <cellStyle name="Note 2 2 2 2 2 3 3 3 2 2 3" xfId="20801"/>
    <cellStyle name="Note 2 2 2 2 2 3 3 3 2 3" xfId="13784"/>
    <cellStyle name="Note 2 2 2 2 2 3 3 3 2 3 2" xfId="28106"/>
    <cellStyle name="Note 2 2 2 2 2 3 3 3 2 4" xfId="19429"/>
    <cellStyle name="Note 2 2 2 2 2 3 3 3 3" xfId="11770"/>
    <cellStyle name="Note 2 2 2 2 2 3 3 3 3 2" xfId="26092"/>
    <cellStyle name="Note 2 2 2 2 2 3 3 3 4" xfId="17415"/>
    <cellStyle name="Note 2 2 2 2 2 3 3 4" xfId="3699"/>
    <cellStyle name="Note 2 2 2 2 2 3 3 4 2" xfId="4121"/>
    <cellStyle name="Note 2 2 2 2 2 3 3 4 2 2" xfId="22765"/>
    <cellStyle name="Note 2 2 2 2 2 3 3 4 3" xfId="15578"/>
    <cellStyle name="Note 2 2 2 2 2 3 3 5" xfId="4396"/>
    <cellStyle name="Note 2 2 2 2 2 3 3 5 2" xfId="22926"/>
    <cellStyle name="Note 2 2 2 2 2 3 3 6" xfId="15326"/>
    <cellStyle name="Note 2 2 2 2 2 3 4" xfId="1667"/>
    <cellStyle name="Note 2 2 2 2 2 3 4 2" xfId="5852"/>
    <cellStyle name="Note 2 2 2 2 2 3 4 2 2" xfId="12405"/>
    <cellStyle name="Note 2 2 2 2 2 3 4 2 2 2" xfId="26727"/>
    <cellStyle name="Note 2 2 2 2 2 3 4 2 3" xfId="18050"/>
    <cellStyle name="Note 2 2 2 2 2 3 4 3" xfId="7896"/>
    <cellStyle name="Note 2 2 2 2 2 3 4 3 2" xfId="10510"/>
    <cellStyle name="Note 2 2 2 2 2 3 4 3 2 2" xfId="16772"/>
    <cellStyle name="Note 2 2 2 2 2 3 4 3 2 2 2" xfId="30188"/>
    <cellStyle name="Note 2 2 2 2 2 3 4 3 2 3" xfId="21517"/>
    <cellStyle name="Note 2 2 2 2 2 3 4 3 3" xfId="14500"/>
    <cellStyle name="Note 2 2 2 2 2 3 4 3 3 2" xfId="28822"/>
    <cellStyle name="Note 2 2 2 2 2 3 4 3 4" xfId="20145"/>
    <cellStyle name="Note 2 2 2 2 2 3 4 4" xfId="4632"/>
    <cellStyle name="Note 2 2 2 2 2 3 4 4 2" xfId="23077"/>
    <cellStyle name="Note 2 2 2 2 2 3 4 5" xfId="17060"/>
    <cellStyle name="Note 2 2 2 2 2 3 5" xfId="1668"/>
    <cellStyle name="Note 2 2 2 2 2 3 5 2" xfId="7247"/>
    <cellStyle name="Note 2 2 2 2 2 3 5 2 2" xfId="9861"/>
    <cellStyle name="Note 2 2 2 2 2 3 5 2 2 2" xfId="16123"/>
    <cellStyle name="Note 2 2 2 2 2 3 5 2 2 2 2" xfId="29539"/>
    <cellStyle name="Note 2 2 2 2 2 3 5 2 2 3" xfId="20868"/>
    <cellStyle name="Note 2 2 2 2 2 3 5 2 3" xfId="13851"/>
    <cellStyle name="Note 2 2 2 2 2 3 5 2 3 2" xfId="28173"/>
    <cellStyle name="Note 2 2 2 2 2 3 5 2 4" xfId="19496"/>
    <cellStyle name="Note 2 2 2 2 2 3 5 3" xfId="12931"/>
    <cellStyle name="Note 2 2 2 2 2 3 5 3 2" xfId="27253"/>
    <cellStyle name="Note 2 2 2 2 2 3 5 4" xfId="18576"/>
    <cellStyle name="Note 2 2 2 2 2 3 6" xfId="5555"/>
    <cellStyle name="Note 2 2 2 2 2 3 6 2" xfId="12106"/>
    <cellStyle name="Note 2 2 2 2 2 3 6 2 2" xfId="26428"/>
    <cellStyle name="Note 2 2 2 2 2 3 6 3" xfId="17751"/>
    <cellStyle name="Note 2 2 2 2 2 3 7" xfId="3845"/>
    <cellStyle name="Note 2 2 2 2 2 3 7 2" xfId="22610"/>
    <cellStyle name="Note 2 2 2 2 2 3 8" xfId="4382"/>
    <cellStyle name="Note 2 2 2 2 2 4" xfId="1669"/>
    <cellStyle name="Note 2 2 2 2 2 4 2" xfId="1670"/>
    <cellStyle name="Note 2 2 2 2 2 4 2 2" xfId="1671"/>
    <cellStyle name="Note 2 2 2 2 2 4 2 2 2" xfId="6872"/>
    <cellStyle name="Note 2 2 2 2 2 4 2 2 2 2" xfId="13476"/>
    <cellStyle name="Note 2 2 2 2 2 4 2 2 2 2 2" xfId="27798"/>
    <cellStyle name="Note 2 2 2 2 2 4 2 2 2 3" xfId="19121"/>
    <cellStyle name="Note 2 2 2 2 2 4 2 2 3" xfId="7092"/>
    <cellStyle name="Note 2 2 2 2 2 4 2 2 3 2" xfId="9706"/>
    <cellStyle name="Note 2 2 2 2 2 4 2 2 3 2 2" xfId="15968"/>
    <cellStyle name="Note 2 2 2 2 2 4 2 2 3 2 2 2" xfId="29384"/>
    <cellStyle name="Note 2 2 2 2 2 4 2 2 3 2 3" xfId="20713"/>
    <cellStyle name="Note 2 2 2 2 2 4 2 2 3 3" xfId="13696"/>
    <cellStyle name="Note 2 2 2 2 2 4 2 2 3 3 2" xfId="28018"/>
    <cellStyle name="Note 2 2 2 2 2 4 2 2 3 4" xfId="19341"/>
    <cellStyle name="Note 2 2 2 2 2 4 2 2 4" xfId="11339"/>
    <cellStyle name="Note 2 2 2 2 2 4 2 2 4 2" xfId="25661"/>
    <cellStyle name="Note 2 2 2 2 2 4 2 2 5" xfId="4165"/>
    <cellStyle name="Note 2 2 2 2 2 4 2 3" xfId="1672"/>
    <cellStyle name="Note 2 2 2 2 2 4 2 3 2" xfId="7492"/>
    <cellStyle name="Note 2 2 2 2 2 4 2 3 2 2" xfId="10106"/>
    <cellStyle name="Note 2 2 2 2 2 4 2 3 2 2 2" xfId="16368"/>
    <cellStyle name="Note 2 2 2 2 2 4 2 3 2 2 2 2" xfId="29784"/>
    <cellStyle name="Note 2 2 2 2 2 4 2 3 2 2 3" xfId="21113"/>
    <cellStyle name="Note 2 2 2 2 2 4 2 3 2 3" xfId="14096"/>
    <cellStyle name="Note 2 2 2 2 2 4 2 3 2 3 2" xfId="28418"/>
    <cellStyle name="Note 2 2 2 2 2 4 2 3 2 4" xfId="19741"/>
    <cellStyle name="Note 2 2 2 2 2 4 2 3 3" xfId="13271"/>
    <cellStyle name="Note 2 2 2 2 2 4 2 3 3 2" xfId="27593"/>
    <cellStyle name="Note 2 2 2 2 2 4 2 3 4" xfId="18916"/>
    <cellStyle name="Note 2 2 2 2 2 4 2 4" xfId="5717"/>
    <cellStyle name="Note 2 2 2 2 2 4 2 4 2" xfId="12270"/>
    <cellStyle name="Note 2 2 2 2 2 4 2 4 2 2" xfId="26592"/>
    <cellStyle name="Note 2 2 2 2 2 4 2 4 3" xfId="17915"/>
    <cellStyle name="Note 2 2 2 2 2 4 2 5" xfId="6096"/>
    <cellStyle name="Note 2 2 2 2 2 4 2 5 2" xfId="23413"/>
    <cellStyle name="Note 2 2 2 2 2 4 2 6" xfId="15453"/>
    <cellStyle name="Note 2 2 2 2 2 4 3" xfId="1673"/>
    <cellStyle name="Note 2 2 2 2 2 4 3 2" xfId="1674"/>
    <cellStyle name="Note 2 2 2 2 2 4 3 2 2" xfId="6425"/>
    <cellStyle name="Note 2 2 2 2 2 4 3 2 2 2" xfId="13008"/>
    <cellStyle name="Note 2 2 2 2 2 4 3 2 2 2 2" xfId="27330"/>
    <cellStyle name="Note 2 2 2 2 2 4 3 2 2 3" xfId="18653"/>
    <cellStyle name="Note 2 2 2 2 2 4 3 2 3" xfId="7724"/>
    <cellStyle name="Note 2 2 2 2 2 4 3 2 3 2" xfId="10338"/>
    <cellStyle name="Note 2 2 2 2 2 4 3 2 3 2 2" xfId="16600"/>
    <cellStyle name="Note 2 2 2 2 2 4 3 2 3 2 2 2" xfId="30016"/>
    <cellStyle name="Note 2 2 2 2 2 4 3 2 3 2 3" xfId="21345"/>
    <cellStyle name="Note 2 2 2 2 2 4 3 2 3 3" xfId="14328"/>
    <cellStyle name="Note 2 2 2 2 2 4 3 2 3 3 2" xfId="28650"/>
    <cellStyle name="Note 2 2 2 2 2 4 3 2 3 4" xfId="19973"/>
    <cellStyle name="Note 2 2 2 2 2 4 3 2 4" xfId="3936"/>
    <cellStyle name="Note 2 2 2 2 2 4 3 2 4 2" xfId="22654"/>
    <cellStyle name="Note 2 2 2 2 2 4 3 2 5" xfId="5108"/>
    <cellStyle name="Note 2 2 2 2 2 4 3 3" xfId="1675"/>
    <cellStyle name="Note 2 2 2 2 2 4 3 3 2" xfId="4029"/>
    <cellStyle name="Note 2 2 2 2 2 4 3 3 2 2" xfId="9415"/>
    <cellStyle name="Note 2 2 2 2 2 4 3 3 2 2 2" xfId="15677"/>
    <cellStyle name="Note 2 2 2 2 2 4 3 3 2 2 2 2" xfId="29093"/>
    <cellStyle name="Note 2 2 2 2 2 4 3 3 2 2 3" xfId="20422"/>
    <cellStyle name="Note 2 2 2 2 2 4 3 3 2 3" xfId="4956"/>
    <cellStyle name="Note 2 2 2 2 2 4 3 3 2 3 2" xfId="23278"/>
    <cellStyle name="Note 2 2 2 2 2 4 3 3 2 4" xfId="15115"/>
    <cellStyle name="Note 2 2 2 2 2 4 3 3 3" xfId="13040"/>
    <cellStyle name="Note 2 2 2 2 2 4 3 3 3 2" xfId="27362"/>
    <cellStyle name="Note 2 2 2 2 2 4 3 3 4" xfId="18685"/>
    <cellStyle name="Note 2 2 2 2 2 4 3 4" xfId="5358"/>
    <cellStyle name="Note 2 2 2 2 2 4 3 4 2" xfId="11908"/>
    <cellStyle name="Note 2 2 2 2 2 4 3 4 2 2" xfId="26230"/>
    <cellStyle name="Note 2 2 2 2 2 4 3 4 3" xfId="17553"/>
    <cellStyle name="Note 2 2 2 2 2 4 3 5" xfId="4169"/>
    <cellStyle name="Note 2 2 2 2 2 4 3 5 2" xfId="22794"/>
    <cellStyle name="Note 2 2 2 2 2 4 3 6" xfId="6277"/>
    <cellStyle name="Note 2 2 2 2 2 4 4" xfId="1676"/>
    <cellStyle name="Note 2 2 2 2 2 4 4 2" xfId="5058"/>
    <cellStyle name="Note 2 2 2 2 2 4 4 2 2" xfId="11605"/>
    <cellStyle name="Note 2 2 2 2 2 4 4 2 2 2" xfId="25927"/>
    <cellStyle name="Note 2 2 2 2 2 4 4 2 3" xfId="14901"/>
    <cellStyle name="Note 2 2 2 2 2 4 4 3" xfId="7249"/>
    <cellStyle name="Note 2 2 2 2 2 4 4 3 2" xfId="9863"/>
    <cellStyle name="Note 2 2 2 2 2 4 4 3 2 2" xfId="16125"/>
    <cellStyle name="Note 2 2 2 2 2 4 4 3 2 2 2" xfId="29541"/>
    <cellStyle name="Note 2 2 2 2 2 4 4 3 2 3" xfId="20870"/>
    <cellStyle name="Note 2 2 2 2 2 4 4 3 3" xfId="13853"/>
    <cellStyle name="Note 2 2 2 2 2 4 4 3 3 2" xfId="28175"/>
    <cellStyle name="Note 2 2 2 2 2 4 4 3 4" xfId="19498"/>
    <cellStyle name="Note 2 2 2 2 2 4 4 4" xfId="3736"/>
    <cellStyle name="Note 2 2 2 2 2 4 4 4 2" xfId="22554"/>
    <cellStyle name="Note 2 2 2 2 2 4 4 5" xfId="17075"/>
    <cellStyle name="Note 2 2 2 2 2 4 5" xfId="1677"/>
    <cellStyle name="Note 2 2 2 2 2 4 5 2" xfId="8046"/>
    <cellStyle name="Note 2 2 2 2 2 4 5 2 2" xfId="10660"/>
    <cellStyle name="Note 2 2 2 2 2 4 5 2 2 2" xfId="16922"/>
    <cellStyle name="Note 2 2 2 2 2 4 5 2 2 2 2" xfId="30338"/>
    <cellStyle name="Note 2 2 2 2 2 4 5 2 2 3" xfId="21667"/>
    <cellStyle name="Note 2 2 2 2 2 4 5 2 3" xfId="14650"/>
    <cellStyle name="Note 2 2 2 2 2 4 5 2 3 2" xfId="28972"/>
    <cellStyle name="Note 2 2 2 2 2 4 5 2 4" xfId="20295"/>
    <cellStyle name="Note 2 2 2 2 2 4 5 3" xfId="12829"/>
    <cellStyle name="Note 2 2 2 2 2 4 5 3 2" xfId="27151"/>
    <cellStyle name="Note 2 2 2 2 2 4 5 4" xfId="18474"/>
    <cellStyle name="Note 2 2 2 2 2 4 6" xfId="5389"/>
    <cellStyle name="Note 2 2 2 2 2 4 6 2" xfId="11939"/>
    <cellStyle name="Note 2 2 2 2 2 4 6 2 2" xfId="26261"/>
    <cellStyle name="Note 2 2 2 2 2 4 6 3" xfId="17584"/>
    <cellStyle name="Note 2 2 2 2 2 4 7" xfId="3137"/>
    <cellStyle name="Note 2 2 2 2 2 4 7 2" xfId="22416"/>
    <cellStyle name="Note 2 2 2 2 2 4 8" xfId="14861"/>
    <cellStyle name="Note 2 2 2 2 2 5" xfId="1678"/>
    <cellStyle name="Note 2 2 2 2 2 5 2" xfId="1679"/>
    <cellStyle name="Note 2 2 2 2 2 5 2 2" xfId="1680"/>
    <cellStyle name="Note 2 2 2 2 2 5 2 2 2" xfId="6420"/>
    <cellStyle name="Note 2 2 2 2 2 5 2 2 2 2" xfId="13003"/>
    <cellStyle name="Note 2 2 2 2 2 5 2 2 2 2 2" xfId="27325"/>
    <cellStyle name="Note 2 2 2 2 2 5 2 2 2 3" xfId="18648"/>
    <cellStyle name="Note 2 2 2 2 2 5 2 2 3" xfId="7630"/>
    <cellStyle name="Note 2 2 2 2 2 5 2 2 3 2" xfId="10244"/>
    <cellStyle name="Note 2 2 2 2 2 5 2 2 3 2 2" xfId="16506"/>
    <cellStyle name="Note 2 2 2 2 2 5 2 2 3 2 2 2" xfId="29922"/>
    <cellStyle name="Note 2 2 2 2 2 5 2 2 3 2 3" xfId="21251"/>
    <cellStyle name="Note 2 2 2 2 2 5 2 2 3 3" xfId="14234"/>
    <cellStyle name="Note 2 2 2 2 2 5 2 2 3 3 2" xfId="28556"/>
    <cellStyle name="Note 2 2 2 2 2 5 2 2 3 4" xfId="19879"/>
    <cellStyle name="Note 2 2 2 2 2 5 2 2 4" xfId="3796"/>
    <cellStyle name="Note 2 2 2 2 2 5 2 2 4 2" xfId="22584"/>
    <cellStyle name="Note 2 2 2 2 2 5 2 2 5" xfId="3780"/>
    <cellStyle name="Note 2 2 2 2 2 5 2 3" xfId="1681"/>
    <cellStyle name="Note 2 2 2 2 2 5 2 3 2" xfId="3951"/>
    <cellStyle name="Note 2 2 2 2 2 5 2 3 2 2" xfId="9402"/>
    <cellStyle name="Note 2 2 2 2 2 5 2 3 2 2 2" xfId="15664"/>
    <cellStyle name="Note 2 2 2 2 2 5 2 3 2 2 2 2" xfId="29080"/>
    <cellStyle name="Note 2 2 2 2 2 5 2 3 2 2 3" xfId="20409"/>
    <cellStyle name="Note 2 2 2 2 2 5 2 3 2 3" xfId="4358"/>
    <cellStyle name="Note 2 2 2 2 2 5 2 3 2 3 2" xfId="22903"/>
    <cellStyle name="Note 2 2 2 2 2 5 2 3 2 4" xfId="4926"/>
    <cellStyle name="Note 2 2 2 2 2 5 2 3 3" xfId="12512"/>
    <cellStyle name="Note 2 2 2 2 2 5 2 3 3 2" xfId="26834"/>
    <cellStyle name="Note 2 2 2 2 2 5 2 3 4" xfId="18157"/>
    <cellStyle name="Note 2 2 2 2 2 5 2 4" xfId="5147"/>
    <cellStyle name="Note 2 2 2 2 2 5 2 4 2" xfId="11696"/>
    <cellStyle name="Note 2 2 2 2 2 5 2 4 2 2" xfId="26018"/>
    <cellStyle name="Note 2 2 2 2 2 5 2 4 3" xfId="6271"/>
    <cellStyle name="Note 2 2 2 2 2 5 2 5" xfId="4575"/>
    <cellStyle name="Note 2 2 2 2 2 5 2 5 2" xfId="23042"/>
    <cellStyle name="Note 2 2 2 2 2 5 2 6" xfId="4208"/>
    <cellStyle name="Note 2 2 2 2 2 5 3" xfId="1682"/>
    <cellStyle name="Note 2 2 2 2 2 5 3 2" xfId="6522"/>
    <cellStyle name="Note 2 2 2 2 2 5 3 2 2" xfId="13110"/>
    <cellStyle name="Note 2 2 2 2 2 5 3 2 2 2" xfId="27432"/>
    <cellStyle name="Note 2 2 2 2 2 5 3 2 3" xfId="18755"/>
    <cellStyle name="Note 2 2 2 2 2 5 3 3" xfId="7349"/>
    <cellStyle name="Note 2 2 2 2 2 5 3 3 2" xfId="9963"/>
    <cellStyle name="Note 2 2 2 2 2 5 3 3 2 2" xfId="16225"/>
    <cellStyle name="Note 2 2 2 2 2 5 3 3 2 2 2" xfId="29641"/>
    <cellStyle name="Note 2 2 2 2 2 5 3 3 2 3" xfId="20970"/>
    <cellStyle name="Note 2 2 2 2 2 5 3 3 3" xfId="13953"/>
    <cellStyle name="Note 2 2 2 2 2 5 3 3 3 2" xfId="28275"/>
    <cellStyle name="Note 2 2 2 2 2 5 3 3 4" xfId="19598"/>
    <cellStyle name="Note 2 2 2 2 2 5 3 4" xfId="2835"/>
    <cellStyle name="Note 2 2 2 2 2 5 3 4 2" xfId="22398"/>
    <cellStyle name="Note 2 2 2 2 2 5 3 5" xfId="14895"/>
    <cellStyle name="Note 2 2 2 2 2 5 4" xfId="1683"/>
    <cellStyle name="Note 2 2 2 2 2 5 4 2" xfId="7874"/>
    <cellStyle name="Note 2 2 2 2 2 5 4 2 2" xfId="10488"/>
    <cellStyle name="Note 2 2 2 2 2 5 4 2 2 2" xfId="16750"/>
    <cellStyle name="Note 2 2 2 2 2 5 4 2 2 2 2" xfId="30166"/>
    <cellStyle name="Note 2 2 2 2 2 5 4 2 2 3" xfId="21495"/>
    <cellStyle name="Note 2 2 2 2 2 5 4 2 3" xfId="14478"/>
    <cellStyle name="Note 2 2 2 2 2 5 4 2 3 2" xfId="28800"/>
    <cellStyle name="Note 2 2 2 2 2 5 4 2 4" xfId="20123"/>
    <cellStyle name="Note 2 2 2 2 2 5 4 3" xfId="12939"/>
    <cellStyle name="Note 2 2 2 2 2 5 4 3 2" xfId="27261"/>
    <cellStyle name="Note 2 2 2 2 2 5 4 4" xfId="18584"/>
    <cellStyle name="Note 2 2 2 2 2 5 5" xfId="5569"/>
    <cellStyle name="Note 2 2 2 2 2 5 5 2" xfId="12120"/>
    <cellStyle name="Note 2 2 2 2 2 5 5 2 2" xfId="26442"/>
    <cellStyle name="Note 2 2 2 2 2 5 5 3" xfId="17765"/>
    <cellStyle name="Note 2 2 2 2 2 5 6" xfId="6734"/>
    <cellStyle name="Note 2 2 2 2 2 5 6 2" xfId="23686"/>
    <cellStyle name="Note 2 2 2 2 2 5 7" xfId="5999"/>
    <cellStyle name="Note 2 2 2 2 2 6" xfId="1684"/>
    <cellStyle name="Note 2 2 2 2 2 6 2" xfId="1685"/>
    <cellStyle name="Note 2 2 2 2 2 6 2 2" xfId="5172"/>
    <cellStyle name="Note 2 2 2 2 2 6 2 2 2" xfId="11721"/>
    <cellStyle name="Note 2 2 2 2 2 6 2 2 2 2" xfId="26043"/>
    <cellStyle name="Note 2 2 2 2 2 6 2 2 3" xfId="6803"/>
    <cellStyle name="Note 2 2 2 2 2 6 2 3" xfId="5303"/>
    <cellStyle name="Note 2 2 2 2 2 6 2 3 2" xfId="9612"/>
    <cellStyle name="Note 2 2 2 2 2 6 2 3 2 2" xfId="15874"/>
    <cellStyle name="Note 2 2 2 2 2 6 2 3 2 2 2" xfId="29290"/>
    <cellStyle name="Note 2 2 2 2 2 6 2 3 2 3" xfId="20619"/>
    <cellStyle name="Note 2 2 2 2 2 6 2 3 3" xfId="11853"/>
    <cellStyle name="Note 2 2 2 2 2 6 2 3 3 2" xfId="26175"/>
    <cellStyle name="Note 2 2 2 2 2 6 2 3 4" xfId="17498"/>
    <cellStyle name="Note 2 2 2 2 2 6 2 4" xfId="3928"/>
    <cellStyle name="Note 2 2 2 2 2 6 2 4 2" xfId="22650"/>
    <cellStyle name="Note 2 2 2 2 2 6 2 5" xfId="17112"/>
    <cellStyle name="Note 2 2 2 2 2 6 3" xfId="1686"/>
    <cellStyle name="Note 2 2 2 2 2 6 3 2" xfId="7415"/>
    <cellStyle name="Note 2 2 2 2 2 6 3 2 2" xfId="10029"/>
    <cellStyle name="Note 2 2 2 2 2 6 3 2 2 2" xfId="16291"/>
    <cellStyle name="Note 2 2 2 2 2 6 3 2 2 2 2" xfId="29707"/>
    <cellStyle name="Note 2 2 2 2 2 6 3 2 2 3" xfId="21036"/>
    <cellStyle name="Note 2 2 2 2 2 6 3 2 3" xfId="14019"/>
    <cellStyle name="Note 2 2 2 2 2 6 3 2 3 2" xfId="28341"/>
    <cellStyle name="Note 2 2 2 2 2 6 3 2 4" xfId="19664"/>
    <cellStyle name="Note 2 2 2 2 2 6 3 3" xfId="13217"/>
    <cellStyle name="Note 2 2 2 2 2 6 3 3 2" xfId="27539"/>
    <cellStyle name="Note 2 2 2 2 2 6 3 4" xfId="18862"/>
    <cellStyle name="Note 2 2 2 2 2 6 4" xfId="5658"/>
    <cellStyle name="Note 2 2 2 2 2 6 4 2" xfId="12211"/>
    <cellStyle name="Note 2 2 2 2 2 6 4 2 2" xfId="26533"/>
    <cellStyle name="Note 2 2 2 2 2 6 4 3" xfId="17856"/>
    <cellStyle name="Note 2 2 2 2 2 6 5" xfId="3761"/>
    <cellStyle name="Note 2 2 2 2 2 6 5 2" xfId="22567"/>
    <cellStyle name="Note 2 2 2 2 2 6 6" xfId="17098"/>
    <cellStyle name="Note 2 2 2 2 2 7" xfId="1687"/>
    <cellStyle name="Note 2 2 2 2 2 7 2" xfId="6545"/>
    <cellStyle name="Note 2 2 2 2 2 7 2 2" xfId="13133"/>
    <cellStyle name="Note 2 2 2 2 2 7 2 2 2" xfId="27455"/>
    <cellStyle name="Note 2 2 2 2 2 7 2 3" xfId="18778"/>
    <cellStyle name="Note 2 2 2 2 2 7 3" xfId="7595"/>
    <cellStyle name="Note 2 2 2 2 2 7 3 2" xfId="10209"/>
    <cellStyle name="Note 2 2 2 2 2 7 3 2 2" xfId="16471"/>
    <cellStyle name="Note 2 2 2 2 2 7 3 2 2 2" xfId="29887"/>
    <cellStyle name="Note 2 2 2 2 2 7 3 2 3" xfId="21216"/>
    <cellStyle name="Note 2 2 2 2 2 7 3 3" xfId="14199"/>
    <cellStyle name="Note 2 2 2 2 2 7 3 3 2" xfId="28521"/>
    <cellStyle name="Note 2 2 2 2 2 7 3 4" xfId="19844"/>
    <cellStyle name="Note 2 2 2 2 2 7 4" xfId="5199"/>
    <cellStyle name="Note 2 2 2 2 2 7 4 2" xfId="23335"/>
    <cellStyle name="Note 2 2 2 2 2 7 5" xfId="15507"/>
    <cellStyle name="Note 2 2 2 2 2 8" xfId="1688"/>
    <cellStyle name="Note 2 2 2 2 2 8 2" xfId="7173"/>
    <cellStyle name="Note 2 2 2 2 2 8 2 2" xfId="9787"/>
    <cellStyle name="Note 2 2 2 2 2 8 2 2 2" xfId="16049"/>
    <cellStyle name="Note 2 2 2 2 2 8 2 2 2 2" xfId="29465"/>
    <cellStyle name="Note 2 2 2 2 2 8 2 2 3" xfId="20794"/>
    <cellStyle name="Note 2 2 2 2 2 8 2 3" xfId="13777"/>
    <cellStyle name="Note 2 2 2 2 2 8 2 3 2" xfId="28099"/>
    <cellStyle name="Note 2 2 2 2 2 8 2 4" xfId="19422"/>
    <cellStyle name="Note 2 2 2 2 2 8 3" xfId="12759"/>
    <cellStyle name="Note 2 2 2 2 2 8 3 2" xfId="27081"/>
    <cellStyle name="Note 2 2 2 2 2 8 4" xfId="18404"/>
    <cellStyle name="Note 2 2 2 2 2 9" xfId="5470"/>
    <cellStyle name="Note 2 2 2 2 2 9 2" xfId="12021"/>
    <cellStyle name="Note 2 2 2 2 2 9 2 2" xfId="26343"/>
    <cellStyle name="Note 2 2 2 2 2 9 3" xfId="17666"/>
    <cellStyle name="Note 2 2 2 2 3" xfId="1689"/>
    <cellStyle name="Note 2 2 2 2 3 2" xfId="1690"/>
    <cellStyle name="Note 2 2 2 2 3 2 2" xfId="1691"/>
    <cellStyle name="Note 2 2 2 2 3 2 2 2" xfId="6399"/>
    <cellStyle name="Note 2 2 2 2 3 2 2 2 2" xfId="12982"/>
    <cellStyle name="Note 2 2 2 2 3 2 2 2 2 2" xfId="27304"/>
    <cellStyle name="Note 2 2 2 2 3 2 2 2 3" xfId="18627"/>
    <cellStyle name="Note 2 2 2 2 3 2 2 3" xfId="7285"/>
    <cellStyle name="Note 2 2 2 2 3 2 2 3 2" xfId="9899"/>
    <cellStyle name="Note 2 2 2 2 3 2 2 3 2 2" xfId="16161"/>
    <cellStyle name="Note 2 2 2 2 3 2 2 3 2 2 2" xfId="29577"/>
    <cellStyle name="Note 2 2 2 2 3 2 2 3 2 3" xfId="20906"/>
    <cellStyle name="Note 2 2 2 2 3 2 2 3 3" xfId="13889"/>
    <cellStyle name="Note 2 2 2 2 3 2 2 3 3 2" xfId="28211"/>
    <cellStyle name="Note 2 2 2 2 3 2 2 3 4" xfId="19534"/>
    <cellStyle name="Note 2 2 2 2 3 2 2 4" xfId="2796"/>
    <cellStyle name="Note 2 2 2 2 3 2 2 4 2" xfId="22363"/>
    <cellStyle name="Note 2 2 2 2 3 2 2 5" xfId="17013"/>
    <cellStyle name="Note 2 2 2 2 3 2 3" xfId="1692"/>
    <cellStyle name="Note 2 2 2 2 3 2 3 2" xfId="7139"/>
    <cellStyle name="Note 2 2 2 2 3 2 3 2 2" xfId="9753"/>
    <cellStyle name="Note 2 2 2 2 3 2 3 2 2 2" xfId="16015"/>
    <cellStyle name="Note 2 2 2 2 3 2 3 2 2 2 2" xfId="29431"/>
    <cellStyle name="Note 2 2 2 2 3 2 3 2 2 3" xfId="20760"/>
    <cellStyle name="Note 2 2 2 2 3 2 3 2 3" xfId="13743"/>
    <cellStyle name="Note 2 2 2 2 3 2 3 2 3 2" xfId="28065"/>
    <cellStyle name="Note 2 2 2 2 3 2 3 2 4" xfId="19388"/>
    <cellStyle name="Note 2 2 2 2 3 2 3 3" xfId="13305"/>
    <cellStyle name="Note 2 2 2 2 3 2 3 3 2" xfId="27627"/>
    <cellStyle name="Note 2 2 2 2 3 2 3 4" xfId="18950"/>
    <cellStyle name="Note 2 2 2 2 3 2 4" xfId="5755"/>
    <cellStyle name="Note 2 2 2 2 3 2 4 2" xfId="12308"/>
    <cellStyle name="Note 2 2 2 2 3 2 4 2 2" xfId="26630"/>
    <cellStyle name="Note 2 2 2 2 3 2 4 3" xfId="17953"/>
    <cellStyle name="Note 2 2 2 2 3 2 5" xfId="3263"/>
    <cellStyle name="Note 2 2 2 2 3 2 5 2" xfId="22449"/>
    <cellStyle name="Note 2 2 2 2 3 2 6" xfId="14840"/>
    <cellStyle name="Note 2 2 2 2 3 3" xfId="1693"/>
    <cellStyle name="Note 2 2 2 2 3 3 2" xfId="1694"/>
    <cellStyle name="Note 2 2 2 2 3 3 2 2" xfId="7029"/>
    <cellStyle name="Note 2 2 2 2 3 3 2 2 2" xfId="13633"/>
    <cellStyle name="Note 2 2 2 2 3 3 2 2 2 2" xfId="27955"/>
    <cellStyle name="Note 2 2 2 2 3 3 2 2 3" xfId="19278"/>
    <cellStyle name="Note 2 2 2 2 3 3 2 3" xfId="7327"/>
    <cellStyle name="Note 2 2 2 2 3 3 2 3 2" xfId="9941"/>
    <cellStyle name="Note 2 2 2 2 3 3 2 3 2 2" xfId="16203"/>
    <cellStyle name="Note 2 2 2 2 3 3 2 3 2 2 2" xfId="29619"/>
    <cellStyle name="Note 2 2 2 2 3 3 2 3 2 3" xfId="20948"/>
    <cellStyle name="Note 2 2 2 2 3 3 2 3 3" xfId="13931"/>
    <cellStyle name="Note 2 2 2 2 3 3 2 3 3 2" xfId="28253"/>
    <cellStyle name="Note 2 2 2 2 3 3 2 3 4" xfId="19576"/>
    <cellStyle name="Note 2 2 2 2 3 3 2 4" xfId="11568"/>
    <cellStyle name="Note 2 2 2 2 3 3 2 4 2" xfId="25890"/>
    <cellStyle name="Note 2 2 2 2 3 3 2 5" xfId="4779"/>
    <cellStyle name="Note 2 2 2 2 3 3 3" xfId="1695"/>
    <cellStyle name="Note 2 2 2 2 3 3 3 2" xfId="3148"/>
    <cellStyle name="Note 2 2 2 2 3 3 3 2 2" xfId="8982"/>
    <cellStyle name="Note 2 2 2 2 3 3 3 2 2 2" xfId="15337"/>
    <cellStyle name="Note 2 2 2 2 3 3 3 2 2 2 2" xfId="29000"/>
    <cellStyle name="Note 2 2 2 2 3 3 3 2 2 3" xfId="20327"/>
    <cellStyle name="Note 2 2 2 2 3 3 3 2 3" xfId="4119"/>
    <cellStyle name="Note 2 2 2 2 3 3 3 2 3 2" xfId="22764"/>
    <cellStyle name="Note 2 2 2 2 3 3 3 2 4" xfId="15166"/>
    <cellStyle name="Note 2 2 2 2 3 3 3 3" xfId="12248"/>
    <cellStyle name="Note 2 2 2 2 3 3 3 3 2" xfId="26570"/>
    <cellStyle name="Note 2 2 2 2 3 3 3 4" xfId="17893"/>
    <cellStyle name="Note 2 2 2 2 3 3 4" xfId="5188"/>
    <cellStyle name="Note 2 2 2 2 3 3 4 2" xfId="11737"/>
    <cellStyle name="Note 2 2 2 2 3 3 4 2 2" xfId="26059"/>
    <cellStyle name="Note 2 2 2 2 3 3 4 3" xfId="15129"/>
    <cellStyle name="Note 2 2 2 2 3 3 5" xfId="6357"/>
    <cellStyle name="Note 2 2 2 2 3 3 5 2" xfId="23541"/>
    <cellStyle name="Note 2 2 2 2 3 3 6" xfId="15124"/>
    <cellStyle name="Note 2 2 2 2 3 4" xfId="1696"/>
    <cellStyle name="Note 2 2 2 2 3 4 2" xfId="6230"/>
    <cellStyle name="Note 2 2 2 2 3 4 2 2" xfId="12805"/>
    <cellStyle name="Note 2 2 2 2 3 4 2 2 2" xfId="27127"/>
    <cellStyle name="Note 2 2 2 2 3 4 2 3" xfId="18450"/>
    <cellStyle name="Note 2 2 2 2 3 4 3" xfId="7072"/>
    <cellStyle name="Note 2 2 2 2 3 4 3 2" xfId="9686"/>
    <cellStyle name="Note 2 2 2 2 3 4 3 2 2" xfId="15948"/>
    <cellStyle name="Note 2 2 2 2 3 4 3 2 2 2" xfId="29364"/>
    <cellStyle name="Note 2 2 2 2 3 4 3 2 3" xfId="20693"/>
    <cellStyle name="Note 2 2 2 2 3 4 3 3" xfId="13676"/>
    <cellStyle name="Note 2 2 2 2 3 4 3 3 2" xfId="27998"/>
    <cellStyle name="Note 2 2 2 2 3 4 3 4" xfId="19321"/>
    <cellStyle name="Note 2 2 2 2 3 4 4" xfId="6779"/>
    <cellStyle name="Note 2 2 2 2 3 4 4 2" xfId="23724"/>
    <cellStyle name="Note 2 2 2 2 3 4 5" xfId="3895"/>
    <cellStyle name="Note 2 2 2 2 3 5" xfId="1697"/>
    <cellStyle name="Note 2 2 2 2 3 5 2" xfId="5307"/>
    <cellStyle name="Note 2 2 2 2 3 5 2 2" xfId="9616"/>
    <cellStyle name="Note 2 2 2 2 3 5 2 2 2" xfId="15878"/>
    <cellStyle name="Note 2 2 2 2 3 5 2 2 2 2" xfId="29294"/>
    <cellStyle name="Note 2 2 2 2 3 5 2 2 3" xfId="20623"/>
    <cellStyle name="Note 2 2 2 2 3 5 2 3" xfId="11857"/>
    <cellStyle name="Note 2 2 2 2 3 5 2 3 2" xfId="26179"/>
    <cellStyle name="Note 2 2 2 2 3 5 2 4" xfId="17502"/>
    <cellStyle name="Note 2 2 2 2 3 5 3" xfId="12881"/>
    <cellStyle name="Note 2 2 2 2 3 5 3 2" xfId="27203"/>
    <cellStyle name="Note 2 2 2 2 3 5 4" xfId="18526"/>
    <cellStyle name="Note 2 2 2 2 3 6" xfId="5499"/>
    <cellStyle name="Note 2 2 2 2 3 6 2" xfId="12050"/>
    <cellStyle name="Note 2 2 2 2 3 6 2 2" xfId="26372"/>
    <cellStyle name="Note 2 2 2 2 3 6 3" xfId="17695"/>
    <cellStyle name="Note 2 2 2 2 3 7" xfId="3795"/>
    <cellStyle name="Note 2 2 2 2 3 7 2" xfId="22583"/>
    <cellStyle name="Note 2 2 2 2 3 8" xfId="6800"/>
    <cellStyle name="Note 2 2 2 2 4" xfId="1698"/>
    <cellStyle name="Note 2 2 2 2 4 2" xfId="1699"/>
    <cellStyle name="Note 2 2 2 2 4 2 2" xfId="1700"/>
    <cellStyle name="Note 2 2 2 2 4 2 2 2" xfId="5619"/>
    <cellStyle name="Note 2 2 2 2 4 2 2 2 2" xfId="12172"/>
    <cellStyle name="Note 2 2 2 2 4 2 2 2 2 2" xfId="26494"/>
    <cellStyle name="Note 2 2 2 2 4 2 2 2 3" xfId="17817"/>
    <cellStyle name="Note 2 2 2 2 4 2 2 3" xfId="7740"/>
    <cellStyle name="Note 2 2 2 2 4 2 2 3 2" xfId="10354"/>
    <cellStyle name="Note 2 2 2 2 4 2 2 3 2 2" xfId="16616"/>
    <cellStyle name="Note 2 2 2 2 4 2 2 3 2 2 2" xfId="30032"/>
    <cellStyle name="Note 2 2 2 2 4 2 2 3 2 3" xfId="21361"/>
    <cellStyle name="Note 2 2 2 2 4 2 2 3 3" xfId="14344"/>
    <cellStyle name="Note 2 2 2 2 4 2 2 3 3 2" xfId="28666"/>
    <cellStyle name="Note 2 2 2 2 4 2 2 3 4" xfId="19989"/>
    <cellStyle name="Note 2 2 2 2 4 2 2 4" xfId="6674"/>
    <cellStyle name="Note 2 2 2 2 4 2 2 4 2" xfId="23646"/>
    <cellStyle name="Note 2 2 2 2 4 2 2 5" xfId="14916"/>
    <cellStyle name="Note 2 2 2 2 4 2 3" xfId="1701"/>
    <cellStyle name="Note 2 2 2 2 4 2 3 2" xfId="3937"/>
    <cellStyle name="Note 2 2 2 2 4 2 3 2 2" xfId="9400"/>
    <cellStyle name="Note 2 2 2 2 4 2 3 2 2 2" xfId="15662"/>
    <cellStyle name="Note 2 2 2 2 4 2 3 2 2 2 2" xfId="29078"/>
    <cellStyle name="Note 2 2 2 2 4 2 3 2 2 3" xfId="20407"/>
    <cellStyle name="Note 2 2 2 2 4 2 3 2 3" xfId="5441"/>
    <cellStyle name="Note 2 2 2 2 4 2 3 2 3 2" xfId="23346"/>
    <cellStyle name="Note 2 2 2 2 4 2 3 2 4" xfId="17066"/>
    <cellStyle name="Note 2 2 2 2 4 2 3 3" xfId="13341"/>
    <cellStyle name="Note 2 2 2 2 4 2 3 3 2" xfId="27663"/>
    <cellStyle name="Note 2 2 2 2 4 2 3 4" xfId="18986"/>
    <cellStyle name="Note 2 2 2 2 4 2 4" xfId="5791"/>
    <cellStyle name="Note 2 2 2 2 4 2 4 2" xfId="12344"/>
    <cellStyle name="Note 2 2 2 2 4 2 4 2 2" xfId="26666"/>
    <cellStyle name="Note 2 2 2 2 4 2 4 3" xfId="17989"/>
    <cellStyle name="Note 2 2 2 2 4 2 5" xfId="4181"/>
    <cellStyle name="Note 2 2 2 2 4 2 5 2" xfId="22803"/>
    <cellStyle name="Note 2 2 2 2 4 2 6" xfId="17194"/>
    <cellStyle name="Note 2 2 2 2 4 3" xfId="1702"/>
    <cellStyle name="Note 2 2 2 2 4 3 2" xfId="1703"/>
    <cellStyle name="Note 2 2 2 2 4 3 2 2" xfId="6861"/>
    <cellStyle name="Note 2 2 2 2 4 3 2 2 2" xfId="13465"/>
    <cellStyle name="Note 2 2 2 2 4 3 2 2 2 2" xfId="27787"/>
    <cellStyle name="Note 2 2 2 2 4 3 2 2 3" xfId="19110"/>
    <cellStyle name="Note 2 2 2 2 4 3 2 3" xfId="7779"/>
    <cellStyle name="Note 2 2 2 2 4 3 2 3 2" xfId="10393"/>
    <cellStyle name="Note 2 2 2 2 4 3 2 3 2 2" xfId="16655"/>
    <cellStyle name="Note 2 2 2 2 4 3 2 3 2 2 2" xfId="30071"/>
    <cellStyle name="Note 2 2 2 2 4 3 2 3 2 3" xfId="21400"/>
    <cellStyle name="Note 2 2 2 2 4 3 2 3 3" xfId="14383"/>
    <cellStyle name="Note 2 2 2 2 4 3 2 3 3 2" xfId="28705"/>
    <cellStyle name="Note 2 2 2 2 4 3 2 3 4" xfId="20028"/>
    <cellStyle name="Note 2 2 2 2 4 3 2 4" xfId="11320"/>
    <cellStyle name="Note 2 2 2 2 4 3 2 4 2" xfId="25642"/>
    <cellStyle name="Note 2 2 2 2 4 3 2 5" xfId="15491"/>
    <cellStyle name="Note 2 2 2 2 4 3 3" xfId="1704"/>
    <cellStyle name="Note 2 2 2 2 4 3 3 2" xfId="7669"/>
    <cellStyle name="Note 2 2 2 2 4 3 3 2 2" xfId="10283"/>
    <cellStyle name="Note 2 2 2 2 4 3 3 2 2 2" xfId="16545"/>
    <cellStyle name="Note 2 2 2 2 4 3 3 2 2 2 2" xfId="29961"/>
    <cellStyle name="Note 2 2 2 2 4 3 3 2 2 3" xfId="21290"/>
    <cellStyle name="Note 2 2 2 2 4 3 3 2 3" xfId="14273"/>
    <cellStyle name="Note 2 2 2 2 4 3 3 2 3 2" xfId="28595"/>
    <cellStyle name="Note 2 2 2 2 4 3 3 2 4" xfId="19918"/>
    <cellStyle name="Note 2 2 2 2 4 3 3 3" xfId="12769"/>
    <cellStyle name="Note 2 2 2 2 4 3 3 3 2" xfId="27091"/>
    <cellStyle name="Note 2 2 2 2 4 3 3 4" xfId="18414"/>
    <cellStyle name="Note 2 2 2 2 4 3 4" xfId="5044"/>
    <cellStyle name="Note 2 2 2 2 4 3 4 2" xfId="11591"/>
    <cellStyle name="Note 2 2 2 2 4 3 4 2 2" xfId="25913"/>
    <cellStyle name="Note 2 2 2 2 4 3 4 3" xfId="15494"/>
    <cellStyle name="Note 2 2 2 2 4 3 5" xfId="5016"/>
    <cellStyle name="Note 2 2 2 2 4 3 5 2" xfId="23308"/>
    <cellStyle name="Note 2 2 2 2 4 3 6" xfId="6138"/>
    <cellStyle name="Note 2 2 2 2 4 4" xfId="1705"/>
    <cellStyle name="Note 2 2 2 2 4 4 2" xfId="5586"/>
    <cellStyle name="Note 2 2 2 2 4 4 2 2" xfId="12138"/>
    <cellStyle name="Note 2 2 2 2 4 4 2 2 2" xfId="26460"/>
    <cellStyle name="Note 2 2 2 2 4 4 2 3" xfId="17783"/>
    <cellStyle name="Note 2 2 2 2 4 4 3" xfId="7531"/>
    <cellStyle name="Note 2 2 2 2 4 4 3 2" xfId="10145"/>
    <cellStyle name="Note 2 2 2 2 4 4 3 2 2" xfId="16407"/>
    <cellStyle name="Note 2 2 2 2 4 4 3 2 2 2" xfId="29823"/>
    <cellStyle name="Note 2 2 2 2 4 4 3 2 3" xfId="21152"/>
    <cellStyle name="Note 2 2 2 2 4 4 3 3" xfId="14135"/>
    <cellStyle name="Note 2 2 2 2 4 4 3 3 2" xfId="28457"/>
    <cellStyle name="Note 2 2 2 2 4 4 3 4" xfId="19780"/>
    <cellStyle name="Note 2 2 2 2 4 4 4" xfId="4258"/>
    <cellStyle name="Note 2 2 2 2 4 4 4 2" xfId="22855"/>
    <cellStyle name="Note 2 2 2 2 4 4 5" xfId="4448"/>
    <cellStyle name="Note 2 2 2 2 4 5" xfId="1706"/>
    <cellStyle name="Note 2 2 2 2 4 5 2" xfId="7342"/>
    <cellStyle name="Note 2 2 2 2 4 5 2 2" xfId="9956"/>
    <cellStyle name="Note 2 2 2 2 4 5 2 2 2" xfId="16218"/>
    <cellStyle name="Note 2 2 2 2 4 5 2 2 2 2" xfId="29634"/>
    <cellStyle name="Note 2 2 2 2 4 5 2 2 3" xfId="20963"/>
    <cellStyle name="Note 2 2 2 2 4 5 2 3" xfId="13946"/>
    <cellStyle name="Note 2 2 2 2 4 5 2 3 2" xfId="28268"/>
    <cellStyle name="Note 2 2 2 2 4 5 2 4" xfId="19591"/>
    <cellStyle name="Note 2 2 2 2 4 5 3" xfId="12917"/>
    <cellStyle name="Note 2 2 2 2 4 5 3 2" xfId="27239"/>
    <cellStyle name="Note 2 2 2 2 4 5 4" xfId="18562"/>
    <cellStyle name="Note 2 2 2 2 4 6" xfId="5541"/>
    <cellStyle name="Note 2 2 2 2 4 6 2" xfId="12092"/>
    <cellStyle name="Note 2 2 2 2 4 6 2 2" xfId="26414"/>
    <cellStyle name="Note 2 2 2 2 4 6 3" xfId="17737"/>
    <cellStyle name="Note 2 2 2 2 4 7" xfId="4338"/>
    <cellStyle name="Note 2 2 2 2 4 7 2" xfId="22895"/>
    <cellStyle name="Note 2 2 2 2 4 8" xfId="15254"/>
    <cellStyle name="Note 2 2 2 2 5" xfId="1707"/>
    <cellStyle name="Note 2 2 2 2 5 2" xfId="1708"/>
    <cellStyle name="Note 2 2 2 2 5 2 2" xfId="1709"/>
    <cellStyle name="Note 2 2 2 2 5 2 2 2" xfId="5218"/>
    <cellStyle name="Note 2 2 2 2 5 2 2 2 2" xfId="11767"/>
    <cellStyle name="Note 2 2 2 2 5 2 2 2 2 2" xfId="26089"/>
    <cellStyle name="Note 2 2 2 2 5 2 2 2 3" xfId="17412"/>
    <cellStyle name="Note 2 2 2 2 5 2 2 3" xfId="5275"/>
    <cellStyle name="Note 2 2 2 2 5 2 2 3 2" xfId="9584"/>
    <cellStyle name="Note 2 2 2 2 5 2 2 3 2 2" xfId="15846"/>
    <cellStyle name="Note 2 2 2 2 5 2 2 3 2 2 2" xfId="29262"/>
    <cellStyle name="Note 2 2 2 2 5 2 2 3 2 3" xfId="20591"/>
    <cellStyle name="Note 2 2 2 2 5 2 2 3 3" xfId="11825"/>
    <cellStyle name="Note 2 2 2 2 5 2 2 3 3 2" xfId="26147"/>
    <cellStyle name="Note 2 2 2 2 5 2 2 3 4" xfId="17470"/>
    <cellStyle name="Note 2 2 2 2 5 2 2 4" xfId="4831"/>
    <cellStyle name="Note 2 2 2 2 5 2 2 4 2" xfId="23209"/>
    <cellStyle name="Note 2 2 2 2 5 2 2 5" xfId="4626"/>
    <cellStyle name="Note 2 2 2 2 5 2 3" xfId="1710"/>
    <cellStyle name="Note 2 2 2 2 5 2 3 2" xfId="7472"/>
    <cellStyle name="Note 2 2 2 2 5 2 3 2 2" xfId="10086"/>
    <cellStyle name="Note 2 2 2 2 5 2 3 2 2 2" xfId="16348"/>
    <cellStyle name="Note 2 2 2 2 5 2 3 2 2 2 2" xfId="29764"/>
    <cellStyle name="Note 2 2 2 2 5 2 3 2 2 3" xfId="21093"/>
    <cellStyle name="Note 2 2 2 2 5 2 3 2 3" xfId="14076"/>
    <cellStyle name="Note 2 2 2 2 5 2 3 2 3 2" xfId="28398"/>
    <cellStyle name="Note 2 2 2 2 5 2 3 2 4" xfId="19721"/>
    <cellStyle name="Note 2 2 2 2 5 2 3 3" xfId="13251"/>
    <cellStyle name="Note 2 2 2 2 5 2 3 3 2" xfId="27573"/>
    <cellStyle name="Note 2 2 2 2 5 2 3 4" xfId="18896"/>
    <cellStyle name="Note 2 2 2 2 5 2 4" xfId="5693"/>
    <cellStyle name="Note 2 2 2 2 5 2 4 2" xfId="12246"/>
    <cellStyle name="Note 2 2 2 2 5 2 4 2 2" xfId="26568"/>
    <cellStyle name="Note 2 2 2 2 5 2 4 3" xfId="17891"/>
    <cellStyle name="Note 2 2 2 2 5 2 5" xfId="4228"/>
    <cellStyle name="Note 2 2 2 2 5 2 5 2" xfId="22839"/>
    <cellStyle name="Note 2 2 2 2 5 2 6" xfId="3713"/>
    <cellStyle name="Note 2 2 2 2 5 3" xfId="1711"/>
    <cellStyle name="Note 2 2 2 2 5 3 2" xfId="1712"/>
    <cellStyle name="Note 2 2 2 2 5 3 2 2" xfId="6560"/>
    <cellStyle name="Note 2 2 2 2 5 3 2 2 2" xfId="13148"/>
    <cellStyle name="Note 2 2 2 2 5 3 2 2 2 2" xfId="27470"/>
    <cellStyle name="Note 2 2 2 2 5 3 2 2 3" xfId="18793"/>
    <cellStyle name="Note 2 2 2 2 5 3 2 3" xfId="7859"/>
    <cellStyle name="Note 2 2 2 2 5 3 2 3 2" xfId="10473"/>
    <cellStyle name="Note 2 2 2 2 5 3 2 3 2 2" xfId="16735"/>
    <cellStyle name="Note 2 2 2 2 5 3 2 3 2 2 2" xfId="30151"/>
    <cellStyle name="Note 2 2 2 2 5 3 2 3 2 3" xfId="21480"/>
    <cellStyle name="Note 2 2 2 2 5 3 2 3 3" xfId="14463"/>
    <cellStyle name="Note 2 2 2 2 5 3 2 3 3 2" xfId="28785"/>
    <cellStyle name="Note 2 2 2 2 5 3 2 3 4" xfId="20108"/>
    <cellStyle name="Note 2 2 2 2 5 3 2 4" xfId="4534"/>
    <cellStyle name="Note 2 2 2 2 5 3 2 4 2" xfId="23014"/>
    <cellStyle name="Note 2 2 2 2 5 3 2 5" xfId="17384"/>
    <cellStyle name="Note 2 2 2 2 5 3 3" xfId="1713"/>
    <cellStyle name="Note 2 2 2 2 5 3 3 2" xfId="7855"/>
    <cellStyle name="Note 2 2 2 2 5 3 3 2 2" xfId="10469"/>
    <cellStyle name="Note 2 2 2 2 5 3 3 2 2 2" xfId="16731"/>
    <cellStyle name="Note 2 2 2 2 5 3 3 2 2 2 2" xfId="30147"/>
    <cellStyle name="Note 2 2 2 2 5 3 3 2 2 3" xfId="21476"/>
    <cellStyle name="Note 2 2 2 2 5 3 3 2 3" xfId="14459"/>
    <cellStyle name="Note 2 2 2 2 5 3 3 2 3 2" xfId="28781"/>
    <cellStyle name="Note 2 2 2 2 5 3 3 2 4" xfId="20104"/>
    <cellStyle name="Note 2 2 2 2 5 3 3 3" xfId="13366"/>
    <cellStyle name="Note 2 2 2 2 5 3 3 3 2" xfId="27688"/>
    <cellStyle name="Note 2 2 2 2 5 3 3 4" xfId="19011"/>
    <cellStyle name="Note 2 2 2 2 5 3 4" xfId="5817"/>
    <cellStyle name="Note 2 2 2 2 5 3 4 2" xfId="12370"/>
    <cellStyle name="Note 2 2 2 2 5 3 4 2 2" xfId="26692"/>
    <cellStyle name="Note 2 2 2 2 5 3 4 3" xfId="18015"/>
    <cellStyle name="Note 2 2 2 2 5 3 5" xfId="3943"/>
    <cellStyle name="Note 2 2 2 2 5 3 5 2" xfId="22659"/>
    <cellStyle name="Note 2 2 2 2 5 3 6" xfId="4441"/>
    <cellStyle name="Note 2 2 2 2 5 4" xfId="1714"/>
    <cellStyle name="Note 2 2 2 2 5 4 2" xfId="6405"/>
    <cellStyle name="Note 2 2 2 2 5 4 2 2" xfId="12988"/>
    <cellStyle name="Note 2 2 2 2 5 4 2 2 2" xfId="27310"/>
    <cellStyle name="Note 2 2 2 2 5 4 2 3" xfId="18633"/>
    <cellStyle name="Note 2 2 2 2 5 4 3" xfId="7321"/>
    <cellStyle name="Note 2 2 2 2 5 4 3 2" xfId="9935"/>
    <cellStyle name="Note 2 2 2 2 5 4 3 2 2" xfId="16197"/>
    <cellStyle name="Note 2 2 2 2 5 4 3 2 2 2" xfId="29613"/>
    <cellStyle name="Note 2 2 2 2 5 4 3 2 3" xfId="20942"/>
    <cellStyle name="Note 2 2 2 2 5 4 3 3" xfId="13925"/>
    <cellStyle name="Note 2 2 2 2 5 4 3 3 2" xfId="28247"/>
    <cellStyle name="Note 2 2 2 2 5 4 3 4" xfId="19570"/>
    <cellStyle name="Note 2 2 2 2 5 4 4" xfId="4291"/>
    <cellStyle name="Note 2 2 2 2 5 4 4 2" xfId="22875"/>
    <cellStyle name="Note 2 2 2 2 5 4 5" xfId="15273"/>
    <cellStyle name="Note 2 2 2 2 5 5" xfId="1715"/>
    <cellStyle name="Note 2 2 2 2 5 5 2" xfId="4782"/>
    <cellStyle name="Note 2 2 2 2 5 5 2 2" xfId="9484"/>
    <cellStyle name="Note 2 2 2 2 5 5 2 2 2" xfId="15746"/>
    <cellStyle name="Note 2 2 2 2 5 5 2 2 2 2" xfId="29162"/>
    <cellStyle name="Note 2 2 2 2 5 5 2 2 3" xfId="20491"/>
    <cellStyle name="Note 2 2 2 2 5 5 2 3" xfId="2761"/>
    <cellStyle name="Note 2 2 2 2 5 5 2 3 2" xfId="22330"/>
    <cellStyle name="Note 2 2 2 2 5 5 2 4" xfId="14855"/>
    <cellStyle name="Note 2 2 2 2 5 5 3" xfId="12745"/>
    <cellStyle name="Note 2 2 2 2 5 5 3 2" xfId="27067"/>
    <cellStyle name="Note 2 2 2 2 5 5 4" xfId="18390"/>
    <cellStyle name="Note 2 2 2 2 5 6" xfId="4063"/>
    <cellStyle name="Note 2 2 2 2 5 6 2" xfId="4978"/>
    <cellStyle name="Note 2 2 2 2 5 6 2 2" xfId="23291"/>
    <cellStyle name="Note 2 2 2 2 5 6 3" xfId="15444"/>
    <cellStyle name="Note 2 2 2 2 5 7" xfId="4598"/>
    <cellStyle name="Note 2 2 2 2 5 7 2" xfId="23059"/>
    <cellStyle name="Note 2 2 2 2 5 8" xfId="16955"/>
    <cellStyle name="Note 2 2 2 2 6" xfId="1716"/>
    <cellStyle name="Note 2 2 2 2 6 2" xfId="1717"/>
    <cellStyle name="Note 2 2 2 2 6 2 2" xfId="1718"/>
    <cellStyle name="Note 2 2 2 2 6 2 2 2" xfId="5089"/>
    <cellStyle name="Note 2 2 2 2 6 2 2 2 2" xfId="11636"/>
    <cellStyle name="Note 2 2 2 2 6 2 2 2 2 2" xfId="25958"/>
    <cellStyle name="Note 2 2 2 2 6 2 2 2 3" xfId="15041"/>
    <cellStyle name="Note 2 2 2 2 6 2 2 3" xfId="7808"/>
    <cellStyle name="Note 2 2 2 2 6 2 2 3 2" xfId="10422"/>
    <cellStyle name="Note 2 2 2 2 6 2 2 3 2 2" xfId="16684"/>
    <cellStyle name="Note 2 2 2 2 6 2 2 3 2 2 2" xfId="30100"/>
    <cellStyle name="Note 2 2 2 2 6 2 2 3 2 3" xfId="21429"/>
    <cellStyle name="Note 2 2 2 2 6 2 2 3 3" xfId="14412"/>
    <cellStyle name="Note 2 2 2 2 6 2 2 3 3 2" xfId="28734"/>
    <cellStyle name="Note 2 2 2 2 6 2 2 3 4" xfId="20057"/>
    <cellStyle name="Note 2 2 2 2 6 2 2 4" xfId="5041"/>
    <cellStyle name="Note 2 2 2 2 6 2 2 4 2" xfId="23319"/>
    <cellStyle name="Note 2 2 2 2 6 2 2 5" xfId="15333"/>
    <cellStyle name="Note 2 2 2 2 6 2 3" xfId="1719"/>
    <cellStyle name="Note 2 2 2 2 6 2 3 2" xfId="8029"/>
    <cellStyle name="Note 2 2 2 2 6 2 3 2 2" xfId="10643"/>
    <cellStyle name="Note 2 2 2 2 6 2 3 2 2 2" xfId="16905"/>
    <cellStyle name="Note 2 2 2 2 6 2 3 2 2 2 2" xfId="30321"/>
    <cellStyle name="Note 2 2 2 2 6 2 3 2 2 3" xfId="21650"/>
    <cellStyle name="Note 2 2 2 2 6 2 3 2 3" xfId="14633"/>
    <cellStyle name="Note 2 2 2 2 6 2 3 2 3 2" xfId="28955"/>
    <cellStyle name="Note 2 2 2 2 6 2 3 2 4" xfId="20278"/>
    <cellStyle name="Note 2 2 2 2 6 2 3 3" xfId="13175"/>
    <cellStyle name="Note 2 2 2 2 6 2 3 3 2" xfId="27497"/>
    <cellStyle name="Note 2 2 2 2 6 2 3 4" xfId="18820"/>
    <cellStyle name="Note 2 2 2 2 6 2 4" xfId="5598"/>
    <cellStyle name="Note 2 2 2 2 6 2 4 2" xfId="12150"/>
    <cellStyle name="Note 2 2 2 2 6 2 4 2 2" xfId="26472"/>
    <cellStyle name="Note 2 2 2 2 6 2 4 3" xfId="17795"/>
    <cellStyle name="Note 2 2 2 2 6 2 5" xfId="4220"/>
    <cellStyle name="Note 2 2 2 2 6 2 5 2" xfId="22832"/>
    <cellStyle name="Note 2 2 2 2 6 2 6" xfId="15014"/>
    <cellStyle name="Note 2 2 2 2 6 3" xfId="1720"/>
    <cellStyle name="Note 2 2 2 2 6 3 2" xfId="6839"/>
    <cellStyle name="Note 2 2 2 2 6 3 2 2" xfId="13443"/>
    <cellStyle name="Note 2 2 2 2 6 3 2 2 2" xfId="27765"/>
    <cellStyle name="Note 2 2 2 2 6 3 2 3" xfId="19088"/>
    <cellStyle name="Note 2 2 2 2 6 3 3" xfId="7621"/>
    <cellStyle name="Note 2 2 2 2 6 3 3 2" xfId="10235"/>
    <cellStyle name="Note 2 2 2 2 6 3 3 2 2" xfId="16497"/>
    <cellStyle name="Note 2 2 2 2 6 3 3 2 2 2" xfId="29913"/>
    <cellStyle name="Note 2 2 2 2 6 3 3 2 3" xfId="21242"/>
    <cellStyle name="Note 2 2 2 2 6 3 3 3" xfId="14225"/>
    <cellStyle name="Note 2 2 2 2 6 3 3 3 2" xfId="28547"/>
    <cellStyle name="Note 2 2 2 2 6 3 3 4" xfId="19870"/>
    <cellStyle name="Note 2 2 2 2 6 3 4" xfId="2815"/>
    <cellStyle name="Note 2 2 2 2 6 3 4 2" xfId="22378"/>
    <cellStyle name="Note 2 2 2 2 6 3 5" xfId="17174"/>
    <cellStyle name="Note 2 2 2 2 6 4" xfId="1721"/>
    <cellStyle name="Note 2 2 2 2 6 4 2" xfId="7243"/>
    <cellStyle name="Note 2 2 2 2 6 4 2 2" xfId="9857"/>
    <cellStyle name="Note 2 2 2 2 6 4 2 2 2" xfId="16119"/>
    <cellStyle name="Note 2 2 2 2 6 4 2 2 2 2" xfId="29535"/>
    <cellStyle name="Note 2 2 2 2 6 4 2 2 3" xfId="20864"/>
    <cellStyle name="Note 2 2 2 2 6 4 2 3" xfId="13847"/>
    <cellStyle name="Note 2 2 2 2 6 4 2 3 2" xfId="28169"/>
    <cellStyle name="Note 2 2 2 2 6 4 2 4" xfId="19492"/>
    <cellStyle name="Note 2 2 2 2 6 4 3" xfId="12674"/>
    <cellStyle name="Note 2 2 2 2 6 4 3 2" xfId="26996"/>
    <cellStyle name="Note 2 2 2 2 6 4 4" xfId="18319"/>
    <cellStyle name="Note 2 2 2 2 6 5" xfId="4449"/>
    <cellStyle name="Note 2 2 2 2 6 5 2" xfId="2830"/>
    <cellStyle name="Note 2 2 2 2 6 5 2 2" xfId="22393"/>
    <cellStyle name="Note 2 2 2 2 6 5 3" xfId="4406"/>
    <cellStyle name="Note 2 2 2 2 6 6" xfId="6797"/>
    <cellStyle name="Note 2 2 2 2 6 6 2" xfId="23738"/>
    <cellStyle name="Note 2 2 2 2 6 7" xfId="3922"/>
    <cellStyle name="Note 2 2 2 2 7" xfId="1722"/>
    <cellStyle name="Note 2 2 2 2 7 2" xfId="1723"/>
    <cellStyle name="Note 2 2 2 2 7 2 2" xfId="6535"/>
    <cellStyle name="Note 2 2 2 2 7 2 2 2" xfId="13123"/>
    <cellStyle name="Note 2 2 2 2 7 2 2 2 2" xfId="27445"/>
    <cellStyle name="Note 2 2 2 2 7 2 2 3" xfId="18768"/>
    <cellStyle name="Note 2 2 2 2 7 2 3" xfId="4109"/>
    <cellStyle name="Note 2 2 2 2 7 2 3 2" xfId="9428"/>
    <cellStyle name="Note 2 2 2 2 7 2 3 2 2" xfId="15690"/>
    <cellStyle name="Note 2 2 2 2 7 2 3 2 2 2" xfId="29106"/>
    <cellStyle name="Note 2 2 2 2 7 2 3 2 3" xfId="20435"/>
    <cellStyle name="Note 2 2 2 2 7 2 3 3" xfId="4877"/>
    <cellStyle name="Note 2 2 2 2 7 2 3 3 2" xfId="23240"/>
    <cellStyle name="Note 2 2 2 2 7 2 3 4" xfId="15321"/>
    <cellStyle name="Note 2 2 2 2 7 2 4" xfId="4720"/>
    <cellStyle name="Note 2 2 2 2 7 2 4 2" xfId="23149"/>
    <cellStyle name="Note 2 2 2 2 7 2 5" xfId="15283"/>
    <cellStyle name="Note 2 2 2 2 7 3" xfId="1724"/>
    <cellStyle name="Note 2 2 2 2 7 3 2" xfId="7516"/>
    <cellStyle name="Note 2 2 2 2 7 3 2 2" xfId="10130"/>
    <cellStyle name="Note 2 2 2 2 7 3 2 2 2" xfId="16392"/>
    <cellStyle name="Note 2 2 2 2 7 3 2 2 2 2" xfId="29808"/>
    <cellStyle name="Note 2 2 2 2 7 3 2 2 3" xfId="21137"/>
    <cellStyle name="Note 2 2 2 2 7 3 2 3" xfId="14120"/>
    <cellStyle name="Note 2 2 2 2 7 3 2 3 2" xfId="28442"/>
    <cellStyle name="Note 2 2 2 2 7 3 2 4" xfId="19765"/>
    <cellStyle name="Note 2 2 2 2 7 3 3" xfId="13286"/>
    <cellStyle name="Note 2 2 2 2 7 3 3 2" xfId="27608"/>
    <cellStyle name="Note 2 2 2 2 7 3 4" xfId="18931"/>
    <cellStyle name="Note 2 2 2 2 7 4" xfId="5736"/>
    <cellStyle name="Note 2 2 2 2 7 4 2" xfId="12289"/>
    <cellStyle name="Note 2 2 2 2 7 4 2 2" xfId="26611"/>
    <cellStyle name="Note 2 2 2 2 7 4 3" xfId="17934"/>
    <cellStyle name="Note 2 2 2 2 7 5" xfId="6276"/>
    <cellStyle name="Note 2 2 2 2 7 5 2" xfId="23487"/>
    <cellStyle name="Note 2 2 2 2 7 6" xfId="14720"/>
    <cellStyle name="Note 2 2 2 2 8" xfId="1725"/>
    <cellStyle name="Note 2 2 2 2 8 2" xfId="6516"/>
    <cellStyle name="Note 2 2 2 2 8 2 2" xfId="13104"/>
    <cellStyle name="Note 2 2 2 2 8 2 2 2" xfId="27426"/>
    <cellStyle name="Note 2 2 2 2 8 2 3" xfId="18749"/>
    <cellStyle name="Note 2 2 2 2 8 3" xfId="7564"/>
    <cellStyle name="Note 2 2 2 2 8 3 2" xfId="10178"/>
    <cellStyle name="Note 2 2 2 2 8 3 2 2" xfId="16440"/>
    <cellStyle name="Note 2 2 2 2 8 3 2 2 2" xfId="29856"/>
    <cellStyle name="Note 2 2 2 2 8 3 2 3" xfId="21185"/>
    <cellStyle name="Note 2 2 2 2 8 3 3" xfId="14168"/>
    <cellStyle name="Note 2 2 2 2 8 3 3 2" xfId="28490"/>
    <cellStyle name="Note 2 2 2 2 8 3 4" xfId="19813"/>
    <cellStyle name="Note 2 2 2 2 8 4" xfId="4188"/>
    <cellStyle name="Note 2 2 2 2 8 4 2" xfId="22810"/>
    <cellStyle name="Note 2 2 2 2 8 5" xfId="15447"/>
    <cellStyle name="Note 2 2 2 2 9" xfId="1726"/>
    <cellStyle name="Note 2 2 2 2 9 2" xfId="4980"/>
    <cellStyle name="Note 2 2 2 2 9 2 2" xfId="9530"/>
    <cellStyle name="Note 2 2 2 2 9 2 2 2" xfId="15792"/>
    <cellStyle name="Note 2 2 2 2 9 2 2 2 2" xfId="29208"/>
    <cellStyle name="Note 2 2 2 2 9 2 2 3" xfId="20537"/>
    <cellStyle name="Note 2 2 2 2 9 2 3" xfId="11523"/>
    <cellStyle name="Note 2 2 2 2 9 2 3 2" xfId="25845"/>
    <cellStyle name="Note 2 2 2 2 9 2 4" xfId="6252"/>
    <cellStyle name="Note 2 2 2 2 9 3" xfId="12722"/>
    <cellStyle name="Note 2 2 2 2 9 3 2" xfId="27044"/>
    <cellStyle name="Note 2 2 2 2 9 4" xfId="18367"/>
    <cellStyle name="Note 2 2 2 3" xfId="1727"/>
    <cellStyle name="Note 2 2 2 3 10" xfId="4699"/>
    <cellStyle name="Note 2 2 2 3 10 2" xfId="23134"/>
    <cellStyle name="Note 2 2 2 3 11" xfId="17259"/>
    <cellStyle name="Note 2 2 2 3 2" xfId="1728"/>
    <cellStyle name="Note 2 2 2 3 2 2" xfId="1729"/>
    <cellStyle name="Note 2 2 2 3 2 2 2" xfId="1730"/>
    <cellStyle name="Note 2 2 2 3 2 2 2 2" xfId="6143"/>
    <cellStyle name="Note 2 2 2 3 2 2 2 2 2" xfId="12713"/>
    <cellStyle name="Note 2 2 2 3 2 2 2 2 2 2" xfId="27035"/>
    <cellStyle name="Note 2 2 2 3 2 2 2 2 3" xfId="18358"/>
    <cellStyle name="Note 2 2 2 3 2 2 2 3" xfId="7748"/>
    <cellStyle name="Note 2 2 2 3 2 2 2 3 2" xfId="10362"/>
    <cellStyle name="Note 2 2 2 3 2 2 2 3 2 2" xfId="16624"/>
    <cellStyle name="Note 2 2 2 3 2 2 2 3 2 2 2" xfId="30040"/>
    <cellStyle name="Note 2 2 2 3 2 2 2 3 2 3" xfId="21369"/>
    <cellStyle name="Note 2 2 2 3 2 2 2 3 3" xfId="14352"/>
    <cellStyle name="Note 2 2 2 3 2 2 2 3 3 2" xfId="28674"/>
    <cellStyle name="Note 2 2 2 3 2 2 2 3 4" xfId="19997"/>
    <cellStyle name="Note 2 2 2 3 2 2 2 4" xfId="3998"/>
    <cellStyle name="Note 2 2 2 3 2 2 2 4 2" xfId="22693"/>
    <cellStyle name="Note 2 2 2 3 2 2 2 5" xfId="16984"/>
    <cellStyle name="Note 2 2 2 3 2 2 3" xfId="1731"/>
    <cellStyle name="Note 2 2 2 3 2 2 3 2" xfId="4948"/>
    <cellStyle name="Note 2 2 2 3 2 2 3 2 2" xfId="9523"/>
    <cellStyle name="Note 2 2 2 3 2 2 3 2 2 2" xfId="15785"/>
    <cellStyle name="Note 2 2 2 3 2 2 3 2 2 2 2" xfId="29201"/>
    <cellStyle name="Note 2 2 2 3 2 2 3 2 2 3" xfId="20530"/>
    <cellStyle name="Note 2 2 2 3 2 2 3 2 3" xfId="11487"/>
    <cellStyle name="Note 2 2 2 3 2 2 3 2 3 2" xfId="25809"/>
    <cellStyle name="Note 2 2 2 3 2 2 3 2 4" xfId="14848"/>
    <cellStyle name="Note 2 2 2 3 2 2 3 3" xfId="13301"/>
    <cellStyle name="Note 2 2 2 3 2 2 3 3 2" xfId="27623"/>
    <cellStyle name="Note 2 2 2 3 2 2 3 4" xfId="18946"/>
    <cellStyle name="Note 2 2 2 3 2 2 4" xfId="5751"/>
    <cellStyle name="Note 2 2 2 3 2 2 4 2" xfId="12304"/>
    <cellStyle name="Note 2 2 2 3 2 2 4 2 2" xfId="26626"/>
    <cellStyle name="Note 2 2 2 3 2 2 4 3" xfId="17949"/>
    <cellStyle name="Note 2 2 2 3 2 2 5" xfId="4893"/>
    <cellStyle name="Note 2 2 2 3 2 2 5 2" xfId="23251"/>
    <cellStyle name="Note 2 2 2 3 2 2 6" xfId="4678"/>
    <cellStyle name="Note 2 2 2 3 2 3" xfId="1732"/>
    <cellStyle name="Note 2 2 2 3 2 3 2" xfId="1733"/>
    <cellStyle name="Note 2 2 2 3 2 3 2 2" xfId="6888"/>
    <cellStyle name="Note 2 2 2 3 2 3 2 2 2" xfId="13492"/>
    <cellStyle name="Note 2 2 2 3 2 3 2 2 2 2" xfId="27814"/>
    <cellStyle name="Note 2 2 2 3 2 3 2 2 3" xfId="19137"/>
    <cellStyle name="Note 2 2 2 3 2 3 2 3" xfId="7358"/>
    <cellStyle name="Note 2 2 2 3 2 3 2 3 2" xfId="9972"/>
    <cellStyle name="Note 2 2 2 3 2 3 2 3 2 2" xfId="16234"/>
    <cellStyle name="Note 2 2 2 3 2 3 2 3 2 2 2" xfId="29650"/>
    <cellStyle name="Note 2 2 2 3 2 3 2 3 2 3" xfId="20979"/>
    <cellStyle name="Note 2 2 2 3 2 3 2 3 3" xfId="13962"/>
    <cellStyle name="Note 2 2 2 3 2 3 2 3 3 2" xfId="28284"/>
    <cellStyle name="Note 2 2 2 3 2 3 2 3 4" xfId="19607"/>
    <cellStyle name="Note 2 2 2 3 2 3 2 4" xfId="11364"/>
    <cellStyle name="Note 2 2 2 3 2 3 2 4 2" xfId="25686"/>
    <cellStyle name="Note 2 2 2 3 2 3 2 5" xfId="17306"/>
    <cellStyle name="Note 2 2 2 3 2 3 3" xfId="1734"/>
    <cellStyle name="Note 2 2 2 3 2 3 3 2" xfId="8035"/>
    <cellStyle name="Note 2 2 2 3 2 3 3 2 2" xfId="10649"/>
    <cellStyle name="Note 2 2 2 3 2 3 3 2 2 2" xfId="16911"/>
    <cellStyle name="Note 2 2 2 3 2 3 3 2 2 2 2" xfId="30327"/>
    <cellStyle name="Note 2 2 2 3 2 3 3 2 2 3" xfId="21656"/>
    <cellStyle name="Note 2 2 2 3 2 3 3 2 3" xfId="14639"/>
    <cellStyle name="Note 2 2 2 3 2 3 3 2 3 2" xfId="28961"/>
    <cellStyle name="Note 2 2 2 3 2 3 3 2 4" xfId="20284"/>
    <cellStyle name="Note 2 2 2 3 2 3 3 3" xfId="13411"/>
    <cellStyle name="Note 2 2 2 3 2 3 3 3 2" xfId="27733"/>
    <cellStyle name="Note 2 2 2 3 2 3 3 4" xfId="19056"/>
    <cellStyle name="Note 2 2 2 3 2 3 4" xfId="5879"/>
    <cellStyle name="Note 2 2 2 3 2 3 4 2" xfId="12432"/>
    <cellStyle name="Note 2 2 2 3 2 3 4 2 2" xfId="26754"/>
    <cellStyle name="Note 2 2 2 3 2 3 4 3" xfId="18077"/>
    <cellStyle name="Note 2 2 2 3 2 3 5" xfId="4954"/>
    <cellStyle name="Note 2 2 2 3 2 3 5 2" xfId="23277"/>
    <cellStyle name="Note 2 2 2 3 2 3 6" xfId="3592"/>
    <cellStyle name="Note 2 2 2 3 2 4" xfId="1735"/>
    <cellStyle name="Note 2 2 2 3 2 4 2" xfId="6382"/>
    <cellStyle name="Note 2 2 2 3 2 4 2 2" xfId="12965"/>
    <cellStyle name="Note 2 2 2 3 2 4 2 2 2" xfId="27287"/>
    <cellStyle name="Note 2 2 2 3 2 4 2 3" xfId="18610"/>
    <cellStyle name="Note 2 2 2 3 2 4 3" xfId="7394"/>
    <cellStyle name="Note 2 2 2 3 2 4 3 2" xfId="10008"/>
    <cellStyle name="Note 2 2 2 3 2 4 3 2 2" xfId="16270"/>
    <cellStyle name="Note 2 2 2 3 2 4 3 2 2 2" xfId="29686"/>
    <cellStyle name="Note 2 2 2 3 2 4 3 2 3" xfId="21015"/>
    <cellStyle name="Note 2 2 2 3 2 4 3 3" xfId="13998"/>
    <cellStyle name="Note 2 2 2 3 2 4 3 3 2" xfId="28320"/>
    <cellStyle name="Note 2 2 2 3 2 4 3 4" xfId="19643"/>
    <cellStyle name="Note 2 2 2 3 2 4 4" xfId="4530"/>
    <cellStyle name="Note 2 2 2 3 2 4 4 2" xfId="23010"/>
    <cellStyle name="Note 2 2 2 3 2 4 5" xfId="15178"/>
    <cellStyle name="Note 2 2 2 3 2 5" xfId="1736"/>
    <cellStyle name="Note 2 2 2 3 2 5 2" xfId="7798"/>
    <cellStyle name="Note 2 2 2 3 2 5 2 2" xfId="10412"/>
    <cellStyle name="Note 2 2 2 3 2 5 2 2 2" xfId="16674"/>
    <cellStyle name="Note 2 2 2 3 2 5 2 2 2 2" xfId="30090"/>
    <cellStyle name="Note 2 2 2 3 2 5 2 2 3" xfId="21419"/>
    <cellStyle name="Note 2 2 2 3 2 5 2 3" xfId="14402"/>
    <cellStyle name="Note 2 2 2 3 2 5 2 3 2" xfId="28724"/>
    <cellStyle name="Note 2 2 2 3 2 5 2 4" xfId="20047"/>
    <cellStyle name="Note 2 2 2 3 2 5 3" xfId="12877"/>
    <cellStyle name="Note 2 2 2 3 2 5 3 2" xfId="27199"/>
    <cellStyle name="Note 2 2 2 3 2 5 4" xfId="18522"/>
    <cellStyle name="Note 2 2 2 3 2 6" xfId="5495"/>
    <cellStyle name="Note 2 2 2 3 2 6 2" xfId="12046"/>
    <cellStyle name="Note 2 2 2 3 2 6 2 2" xfId="26368"/>
    <cellStyle name="Note 2 2 2 3 2 6 3" xfId="17691"/>
    <cellStyle name="Note 2 2 2 3 2 7" xfId="6504"/>
    <cellStyle name="Note 2 2 2 3 2 7 2" xfId="23573"/>
    <cellStyle name="Note 2 2 2 3 2 8" xfId="14841"/>
    <cellStyle name="Note 2 2 2 3 3" xfId="1737"/>
    <cellStyle name="Note 2 2 2 3 3 2" xfId="1738"/>
    <cellStyle name="Note 2 2 2 3 3 2 2" xfId="1739"/>
    <cellStyle name="Note 2 2 2 3 3 2 2 2" xfId="6207"/>
    <cellStyle name="Note 2 2 2 3 3 2 2 2 2" xfId="12780"/>
    <cellStyle name="Note 2 2 2 3 3 2 2 2 2 2" xfId="27102"/>
    <cellStyle name="Note 2 2 2 3 3 2 2 2 3" xfId="18425"/>
    <cellStyle name="Note 2 2 2 3 3 2 2 3" xfId="7956"/>
    <cellStyle name="Note 2 2 2 3 3 2 2 3 2" xfId="10570"/>
    <cellStyle name="Note 2 2 2 3 3 2 2 3 2 2" xfId="16832"/>
    <cellStyle name="Note 2 2 2 3 3 2 2 3 2 2 2" xfId="30248"/>
    <cellStyle name="Note 2 2 2 3 3 2 2 3 2 3" xfId="21577"/>
    <cellStyle name="Note 2 2 2 3 3 2 2 3 3" xfId="14560"/>
    <cellStyle name="Note 2 2 2 3 3 2 2 3 3 2" xfId="28882"/>
    <cellStyle name="Note 2 2 2 3 3 2 2 3 4" xfId="20205"/>
    <cellStyle name="Note 2 2 2 3 3 2 2 4" xfId="3630"/>
    <cellStyle name="Note 2 2 2 3 3 2 2 4 2" xfId="22494"/>
    <cellStyle name="Note 2 2 2 3 3 2 2 5" xfId="17161"/>
    <cellStyle name="Note 2 2 2 3 3 2 3" xfId="1740"/>
    <cellStyle name="Note 2 2 2 3 3 2 3 2" xfId="7596"/>
    <cellStyle name="Note 2 2 2 3 3 2 3 2 2" xfId="10210"/>
    <cellStyle name="Note 2 2 2 3 3 2 3 2 2 2" xfId="16472"/>
    <cellStyle name="Note 2 2 2 3 3 2 3 2 2 2 2" xfId="29888"/>
    <cellStyle name="Note 2 2 2 3 3 2 3 2 2 3" xfId="21217"/>
    <cellStyle name="Note 2 2 2 3 3 2 3 2 3" xfId="14200"/>
    <cellStyle name="Note 2 2 2 3 3 2 3 2 3 2" xfId="28522"/>
    <cellStyle name="Note 2 2 2 3 3 2 3 2 4" xfId="19845"/>
    <cellStyle name="Note 2 2 2 3 3 2 3 3" xfId="13337"/>
    <cellStyle name="Note 2 2 2 3 3 2 3 3 2" xfId="27659"/>
    <cellStyle name="Note 2 2 2 3 3 2 3 4" xfId="18982"/>
    <cellStyle name="Note 2 2 2 3 3 2 4" xfId="5787"/>
    <cellStyle name="Note 2 2 2 3 3 2 4 2" xfId="12340"/>
    <cellStyle name="Note 2 2 2 3 3 2 4 2 2" xfId="26662"/>
    <cellStyle name="Note 2 2 2 3 3 2 4 3" xfId="17985"/>
    <cellStyle name="Note 2 2 2 3 3 2 5" xfId="3219"/>
    <cellStyle name="Note 2 2 2 3 3 2 5 2" xfId="22439"/>
    <cellStyle name="Note 2 2 2 3 3 2 6" xfId="16994"/>
    <cellStyle name="Note 2 2 2 3 3 3" xfId="1741"/>
    <cellStyle name="Note 2 2 2 3 3 3 2" xfId="1742"/>
    <cellStyle name="Note 2 2 2 3 3 3 2 2" xfId="6209"/>
    <cellStyle name="Note 2 2 2 3 3 3 2 2 2" xfId="12782"/>
    <cellStyle name="Note 2 2 2 3 3 3 2 2 2 2" xfId="27104"/>
    <cellStyle name="Note 2 2 2 3 3 3 2 2 3" xfId="18427"/>
    <cellStyle name="Note 2 2 2 3 3 3 2 3" xfId="7575"/>
    <cellStyle name="Note 2 2 2 3 3 3 2 3 2" xfId="10189"/>
    <cellStyle name="Note 2 2 2 3 3 3 2 3 2 2" xfId="16451"/>
    <cellStyle name="Note 2 2 2 3 3 3 2 3 2 2 2" xfId="29867"/>
    <cellStyle name="Note 2 2 2 3 3 3 2 3 2 3" xfId="21196"/>
    <cellStyle name="Note 2 2 2 3 3 3 2 3 3" xfId="14179"/>
    <cellStyle name="Note 2 2 2 3 3 3 2 3 3 2" xfId="28501"/>
    <cellStyle name="Note 2 2 2 3 3 3 2 3 4" xfId="19824"/>
    <cellStyle name="Note 2 2 2 3 3 3 2 4" xfId="3891"/>
    <cellStyle name="Note 2 2 2 3 3 3 2 4 2" xfId="22630"/>
    <cellStyle name="Note 2 2 2 3 3 3 2 5" xfId="15566"/>
    <cellStyle name="Note 2 2 2 3 3 3 3" xfId="1743"/>
    <cellStyle name="Note 2 2 2 3 3 3 3 2" xfId="7687"/>
    <cellStyle name="Note 2 2 2 3 3 3 3 2 2" xfId="10301"/>
    <cellStyle name="Note 2 2 2 3 3 3 3 2 2 2" xfId="16563"/>
    <cellStyle name="Note 2 2 2 3 3 3 3 2 2 2 2" xfId="29979"/>
    <cellStyle name="Note 2 2 2 3 3 3 3 2 2 3" xfId="21308"/>
    <cellStyle name="Note 2 2 2 3 3 3 3 2 3" xfId="14291"/>
    <cellStyle name="Note 2 2 2 3 3 3 3 2 3 2" xfId="28613"/>
    <cellStyle name="Note 2 2 2 3 3 3 3 2 4" xfId="19936"/>
    <cellStyle name="Note 2 2 2 3 3 3 3 3" xfId="13206"/>
    <cellStyle name="Note 2 2 2 3 3 3 3 3 2" xfId="27528"/>
    <cellStyle name="Note 2 2 2 3 3 3 3 4" xfId="18851"/>
    <cellStyle name="Note 2 2 2 3 3 3 4" xfId="5645"/>
    <cellStyle name="Note 2 2 2 3 3 3 4 2" xfId="12198"/>
    <cellStyle name="Note 2 2 2 3 3 3 4 2 2" xfId="26520"/>
    <cellStyle name="Note 2 2 2 3 3 3 4 3" xfId="17843"/>
    <cellStyle name="Note 2 2 2 3 3 3 5" xfId="4754"/>
    <cellStyle name="Note 2 2 2 3 3 3 5 2" xfId="23171"/>
    <cellStyle name="Note 2 2 2 3 3 3 6" xfId="14956"/>
    <cellStyle name="Note 2 2 2 3 3 4" xfId="1744"/>
    <cellStyle name="Note 2 2 2 3 3 4 2" xfId="5941"/>
    <cellStyle name="Note 2 2 2 3 3 4 2 2" xfId="12498"/>
    <cellStyle name="Note 2 2 2 3 3 4 2 2 2" xfId="26820"/>
    <cellStyle name="Note 2 2 2 3 3 4 2 3" xfId="18143"/>
    <cellStyle name="Note 2 2 2 3 3 4 3" xfId="7197"/>
    <cellStyle name="Note 2 2 2 3 3 4 3 2" xfId="9811"/>
    <cellStyle name="Note 2 2 2 3 3 4 3 2 2" xfId="16073"/>
    <cellStyle name="Note 2 2 2 3 3 4 3 2 2 2" xfId="29489"/>
    <cellStyle name="Note 2 2 2 3 3 4 3 2 3" xfId="20818"/>
    <cellStyle name="Note 2 2 2 3 3 4 3 3" xfId="13801"/>
    <cellStyle name="Note 2 2 2 3 3 4 3 3 2" xfId="28123"/>
    <cellStyle name="Note 2 2 2 3 3 4 3 4" xfId="19446"/>
    <cellStyle name="Note 2 2 2 3 3 4 4" xfId="4510"/>
    <cellStyle name="Note 2 2 2 3 3 4 4 2" xfId="22997"/>
    <cellStyle name="Note 2 2 2 3 3 4 5" xfId="16981"/>
    <cellStyle name="Note 2 2 2 3 3 5" xfId="1745"/>
    <cellStyle name="Note 2 2 2 3 3 5 2" xfId="7212"/>
    <cellStyle name="Note 2 2 2 3 3 5 2 2" xfId="9826"/>
    <cellStyle name="Note 2 2 2 3 3 5 2 2 2" xfId="16088"/>
    <cellStyle name="Note 2 2 2 3 3 5 2 2 2 2" xfId="29504"/>
    <cellStyle name="Note 2 2 2 3 3 5 2 2 3" xfId="20833"/>
    <cellStyle name="Note 2 2 2 3 3 5 2 3" xfId="13816"/>
    <cellStyle name="Note 2 2 2 3 3 5 2 3 2" xfId="28138"/>
    <cellStyle name="Note 2 2 2 3 3 5 2 4" xfId="19461"/>
    <cellStyle name="Note 2 2 2 3 3 5 3" xfId="12913"/>
    <cellStyle name="Note 2 2 2 3 3 5 3 2" xfId="27235"/>
    <cellStyle name="Note 2 2 2 3 3 5 4" xfId="18558"/>
    <cellStyle name="Note 2 2 2 3 3 6" xfId="5537"/>
    <cellStyle name="Note 2 2 2 3 3 6 2" xfId="12088"/>
    <cellStyle name="Note 2 2 2 3 3 6 2 2" xfId="26410"/>
    <cellStyle name="Note 2 2 2 3 3 6 3" xfId="17733"/>
    <cellStyle name="Note 2 2 2 3 3 7" xfId="4038"/>
    <cellStyle name="Note 2 2 2 3 3 7 2" xfId="22716"/>
    <cellStyle name="Note 2 2 2 3 3 8" xfId="17195"/>
    <cellStyle name="Note 2 2 2 3 4" xfId="1746"/>
    <cellStyle name="Note 2 2 2 3 4 2" xfId="1747"/>
    <cellStyle name="Note 2 2 2 3 4 2 2" xfId="1748"/>
    <cellStyle name="Note 2 2 2 3 4 2 2 2" xfId="6376"/>
    <cellStyle name="Note 2 2 2 3 4 2 2 2 2" xfId="12959"/>
    <cellStyle name="Note 2 2 2 3 4 2 2 2 2 2" xfId="27281"/>
    <cellStyle name="Note 2 2 2 3 4 2 2 2 3" xfId="18604"/>
    <cellStyle name="Note 2 2 2 3 4 2 2 3" xfId="5324"/>
    <cellStyle name="Note 2 2 2 3 4 2 2 3 2" xfId="9633"/>
    <cellStyle name="Note 2 2 2 3 4 2 2 3 2 2" xfId="15895"/>
    <cellStyle name="Note 2 2 2 3 4 2 2 3 2 2 2" xfId="29311"/>
    <cellStyle name="Note 2 2 2 3 4 2 2 3 2 3" xfId="20640"/>
    <cellStyle name="Note 2 2 2 3 4 2 2 3 3" xfId="11874"/>
    <cellStyle name="Note 2 2 2 3 4 2 2 3 3 2" xfId="26196"/>
    <cellStyle name="Note 2 2 2 3 4 2 2 3 4" xfId="17519"/>
    <cellStyle name="Note 2 2 2 3 4 2 2 4" xfId="4522"/>
    <cellStyle name="Note 2 2 2 3 4 2 2 4 2" xfId="23006"/>
    <cellStyle name="Note 2 2 2 3 4 2 2 5" xfId="3856"/>
    <cellStyle name="Note 2 2 2 3 4 2 3" xfId="1749"/>
    <cellStyle name="Note 2 2 2 3 4 2 3 2" xfId="3722"/>
    <cellStyle name="Note 2 2 2 3 4 2 3 2 2" xfId="9363"/>
    <cellStyle name="Note 2 2 2 3 4 2 3 2 2 2" xfId="15625"/>
    <cellStyle name="Note 2 2 2 3 4 2 3 2 2 2 2" xfId="29041"/>
    <cellStyle name="Note 2 2 2 3 4 2 3 2 2 3" xfId="20370"/>
    <cellStyle name="Note 2 2 2 3 4 2 3 2 3" xfId="4996"/>
    <cellStyle name="Note 2 2 2 3 4 2 3 2 3 2" xfId="23300"/>
    <cellStyle name="Note 2 2 2 3 4 2 3 2 4" xfId="17111"/>
    <cellStyle name="Note 2 2 2 3 4 2 3 3" xfId="13092"/>
    <cellStyle name="Note 2 2 2 3 4 2 3 3 2" xfId="27414"/>
    <cellStyle name="Note 2 2 2 3 4 2 3 4" xfId="18737"/>
    <cellStyle name="Note 2 2 2 3 4 2 4" xfId="5447"/>
    <cellStyle name="Note 2 2 2 3 4 2 4 2" xfId="11998"/>
    <cellStyle name="Note 2 2 2 3 4 2 4 2 2" xfId="26320"/>
    <cellStyle name="Note 2 2 2 3 4 2 4 3" xfId="17643"/>
    <cellStyle name="Note 2 2 2 3 4 2 5" xfId="4695"/>
    <cellStyle name="Note 2 2 2 3 4 2 5 2" xfId="23131"/>
    <cellStyle name="Note 2 2 2 3 4 2 6" xfId="4341"/>
    <cellStyle name="Note 2 2 2 3 4 3" xfId="1750"/>
    <cellStyle name="Note 2 2 2 3 4 3 2" xfId="1751"/>
    <cellStyle name="Note 2 2 2 3 4 3 2 2" xfId="6909"/>
    <cellStyle name="Note 2 2 2 3 4 3 2 2 2" xfId="13513"/>
    <cellStyle name="Note 2 2 2 3 4 3 2 2 2 2" xfId="27835"/>
    <cellStyle name="Note 2 2 2 3 4 3 2 2 3" xfId="19158"/>
    <cellStyle name="Note 2 2 2 3 4 3 2 3" xfId="7138"/>
    <cellStyle name="Note 2 2 2 3 4 3 2 3 2" xfId="9752"/>
    <cellStyle name="Note 2 2 2 3 4 3 2 3 2 2" xfId="16014"/>
    <cellStyle name="Note 2 2 2 3 4 3 2 3 2 2 2" xfId="29430"/>
    <cellStyle name="Note 2 2 2 3 4 3 2 3 2 3" xfId="20759"/>
    <cellStyle name="Note 2 2 2 3 4 3 2 3 3" xfId="13742"/>
    <cellStyle name="Note 2 2 2 3 4 3 2 3 3 2" xfId="28064"/>
    <cellStyle name="Note 2 2 2 3 4 3 2 3 4" xfId="19387"/>
    <cellStyle name="Note 2 2 2 3 4 3 2 4" xfId="11395"/>
    <cellStyle name="Note 2 2 2 3 4 3 2 4 2" xfId="25717"/>
    <cellStyle name="Note 2 2 2 3 4 3 2 5" xfId="14943"/>
    <cellStyle name="Note 2 2 2 3 4 3 3" xfId="1752"/>
    <cellStyle name="Note 2 2 2 3 4 3 3 2" xfId="7428"/>
    <cellStyle name="Note 2 2 2 3 4 3 3 2 2" xfId="10042"/>
    <cellStyle name="Note 2 2 2 3 4 3 3 2 2 2" xfId="16304"/>
    <cellStyle name="Note 2 2 2 3 4 3 3 2 2 2 2" xfId="29720"/>
    <cellStyle name="Note 2 2 2 3 4 3 3 2 2 3" xfId="21049"/>
    <cellStyle name="Note 2 2 2 3 4 3 3 2 3" xfId="14032"/>
    <cellStyle name="Note 2 2 2 3 4 3 3 2 3 2" xfId="28354"/>
    <cellStyle name="Note 2 2 2 3 4 3 3 2 4" xfId="19677"/>
    <cellStyle name="Note 2 2 2 3 4 3 3 3" xfId="13158"/>
    <cellStyle name="Note 2 2 2 3 4 3 3 3 2" xfId="27480"/>
    <cellStyle name="Note 2 2 2 3 4 3 3 4" xfId="18803"/>
    <cellStyle name="Note 2 2 2 3 4 3 4" xfId="5567"/>
    <cellStyle name="Note 2 2 2 3 4 3 4 2" xfId="12118"/>
    <cellStyle name="Note 2 2 2 3 4 3 4 2 2" xfId="26440"/>
    <cellStyle name="Note 2 2 2 3 4 3 4 3" xfId="17763"/>
    <cellStyle name="Note 2 2 2 3 4 3 5" xfId="3285"/>
    <cellStyle name="Note 2 2 2 3 4 3 5 2" xfId="22461"/>
    <cellStyle name="Note 2 2 2 3 4 3 6" xfId="14728"/>
    <cellStyle name="Note 2 2 2 3 4 4" xfId="1753"/>
    <cellStyle name="Note 2 2 2 3 4 4 2" xfId="6380"/>
    <cellStyle name="Note 2 2 2 3 4 4 2 2" xfId="12963"/>
    <cellStyle name="Note 2 2 2 3 4 4 2 2 2" xfId="27285"/>
    <cellStyle name="Note 2 2 2 3 4 4 2 3" xfId="18608"/>
    <cellStyle name="Note 2 2 2 3 4 4 3" xfId="7915"/>
    <cellStyle name="Note 2 2 2 3 4 4 3 2" xfId="10529"/>
    <cellStyle name="Note 2 2 2 3 4 4 3 2 2" xfId="16791"/>
    <cellStyle name="Note 2 2 2 3 4 4 3 2 2 2" xfId="30207"/>
    <cellStyle name="Note 2 2 2 3 4 4 3 2 3" xfId="21536"/>
    <cellStyle name="Note 2 2 2 3 4 4 3 3" xfId="14519"/>
    <cellStyle name="Note 2 2 2 3 4 4 3 3 2" xfId="28841"/>
    <cellStyle name="Note 2 2 2 3 4 4 3 4" xfId="20164"/>
    <cellStyle name="Note 2 2 2 3 4 4 4" xfId="3270"/>
    <cellStyle name="Note 2 2 2 3 4 4 4 2" xfId="22454"/>
    <cellStyle name="Note 2 2 2 3 4 4 5" xfId="15011"/>
    <cellStyle name="Note 2 2 2 3 4 5" xfId="1754"/>
    <cellStyle name="Note 2 2 2 3 4 5 2" xfId="7640"/>
    <cellStyle name="Note 2 2 2 3 4 5 2 2" xfId="10254"/>
    <cellStyle name="Note 2 2 2 3 4 5 2 2 2" xfId="16516"/>
    <cellStyle name="Note 2 2 2 3 4 5 2 2 2 2" xfId="29932"/>
    <cellStyle name="Note 2 2 2 3 4 5 2 2 3" xfId="21261"/>
    <cellStyle name="Note 2 2 2 3 4 5 2 3" xfId="14244"/>
    <cellStyle name="Note 2 2 2 3 4 5 2 3 2" xfId="28566"/>
    <cellStyle name="Note 2 2 2 3 4 5 2 4" xfId="19889"/>
    <cellStyle name="Note 2 2 2 3 4 5 3" xfId="11588"/>
    <cellStyle name="Note 2 2 2 3 4 5 3 2" xfId="25910"/>
    <cellStyle name="Note 2 2 2 3 4 5 4" xfId="15230"/>
    <cellStyle name="Note 2 2 2 3 4 6" xfId="5162"/>
    <cellStyle name="Note 2 2 2 3 4 6 2" xfId="11711"/>
    <cellStyle name="Note 2 2 2 3 4 6 2 2" xfId="26033"/>
    <cellStyle name="Note 2 2 2 3 4 6 3" xfId="4507"/>
    <cellStyle name="Note 2 2 2 3 4 7" xfId="4721"/>
    <cellStyle name="Note 2 2 2 3 4 7 2" xfId="23150"/>
    <cellStyle name="Note 2 2 2 3 4 8" xfId="5090"/>
    <cellStyle name="Note 2 2 2 3 5" xfId="1755"/>
    <cellStyle name="Note 2 2 2 3 5 2" xfId="1756"/>
    <cellStyle name="Note 2 2 2 3 5 2 2" xfId="1757"/>
    <cellStyle name="Note 2 2 2 3 5 2 2 2" xfId="6179"/>
    <cellStyle name="Note 2 2 2 3 5 2 2 2 2" xfId="12752"/>
    <cellStyle name="Note 2 2 2 3 5 2 2 2 2 2" xfId="27074"/>
    <cellStyle name="Note 2 2 2 3 5 2 2 2 3" xfId="18397"/>
    <cellStyle name="Note 2 2 2 3 5 2 2 3" xfId="7543"/>
    <cellStyle name="Note 2 2 2 3 5 2 2 3 2" xfId="10157"/>
    <cellStyle name="Note 2 2 2 3 5 2 2 3 2 2" xfId="16419"/>
    <cellStyle name="Note 2 2 2 3 5 2 2 3 2 2 2" xfId="29835"/>
    <cellStyle name="Note 2 2 2 3 5 2 2 3 2 3" xfId="21164"/>
    <cellStyle name="Note 2 2 2 3 5 2 2 3 3" xfId="14147"/>
    <cellStyle name="Note 2 2 2 3 5 2 2 3 3 2" xfId="28469"/>
    <cellStyle name="Note 2 2 2 3 5 2 2 3 4" xfId="19792"/>
    <cellStyle name="Note 2 2 2 3 5 2 2 4" xfId="6754"/>
    <cellStyle name="Note 2 2 2 3 5 2 2 4 2" xfId="23702"/>
    <cellStyle name="Note 2 2 2 3 5 2 2 5" xfId="17199"/>
    <cellStyle name="Note 2 2 2 3 5 2 3" xfId="1758"/>
    <cellStyle name="Note 2 2 2 3 5 2 3 2" xfId="7809"/>
    <cellStyle name="Note 2 2 2 3 5 2 3 2 2" xfId="10423"/>
    <cellStyle name="Note 2 2 2 3 5 2 3 2 2 2" xfId="16685"/>
    <cellStyle name="Note 2 2 2 3 5 2 3 2 2 2 2" xfId="30101"/>
    <cellStyle name="Note 2 2 2 3 5 2 3 2 2 3" xfId="21430"/>
    <cellStyle name="Note 2 2 2 3 5 2 3 2 3" xfId="14413"/>
    <cellStyle name="Note 2 2 2 3 5 2 3 2 3 2" xfId="28735"/>
    <cellStyle name="Note 2 2 2 3 5 2 3 2 4" xfId="20058"/>
    <cellStyle name="Note 2 2 2 3 5 2 3 3" xfId="12743"/>
    <cellStyle name="Note 2 2 2 3 5 2 3 3 2" xfId="27065"/>
    <cellStyle name="Note 2 2 2 3 5 2 3 4" xfId="18388"/>
    <cellStyle name="Note 2 2 2 3 5 2 4" xfId="4773"/>
    <cellStyle name="Note 2 2 2 3 5 2 4 2" xfId="2766"/>
    <cellStyle name="Note 2 2 2 3 5 2 4 2 2" xfId="22335"/>
    <cellStyle name="Note 2 2 2 3 5 2 4 3" xfId="14696"/>
    <cellStyle name="Note 2 2 2 3 5 2 5" xfId="6678"/>
    <cellStyle name="Note 2 2 2 3 5 2 5 2" xfId="23649"/>
    <cellStyle name="Note 2 2 2 3 5 2 6" xfId="4541"/>
    <cellStyle name="Note 2 2 2 3 5 3" xfId="1759"/>
    <cellStyle name="Note 2 2 2 3 5 3 2" xfId="6862"/>
    <cellStyle name="Note 2 2 2 3 5 3 2 2" xfId="13466"/>
    <cellStyle name="Note 2 2 2 3 5 3 2 2 2" xfId="27788"/>
    <cellStyle name="Note 2 2 2 3 5 3 2 3" xfId="19111"/>
    <cellStyle name="Note 2 2 2 3 5 3 3" xfId="5345"/>
    <cellStyle name="Note 2 2 2 3 5 3 3 2" xfId="9654"/>
    <cellStyle name="Note 2 2 2 3 5 3 3 2 2" xfId="15916"/>
    <cellStyle name="Note 2 2 2 3 5 3 3 2 2 2" xfId="29332"/>
    <cellStyle name="Note 2 2 2 3 5 3 3 2 3" xfId="20661"/>
    <cellStyle name="Note 2 2 2 3 5 3 3 3" xfId="11895"/>
    <cellStyle name="Note 2 2 2 3 5 3 3 3 2" xfId="26217"/>
    <cellStyle name="Note 2 2 2 3 5 3 3 4" xfId="17540"/>
    <cellStyle name="Note 2 2 2 3 5 3 4" xfId="11321"/>
    <cellStyle name="Note 2 2 2 3 5 3 4 2" xfId="25643"/>
    <cellStyle name="Note 2 2 2 3 5 3 5" xfId="17289"/>
    <cellStyle name="Note 2 2 2 3 5 4" xfId="1760"/>
    <cellStyle name="Note 2 2 2 3 5 4 2" xfId="7815"/>
    <cellStyle name="Note 2 2 2 3 5 4 2 2" xfId="10429"/>
    <cellStyle name="Note 2 2 2 3 5 4 2 2 2" xfId="16691"/>
    <cellStyle name="Note 2 2 2 3 5 4 2 2 2 2" xfId="30107"/>
    <cellStyle name="Note 2 2 2 3 5 4 2 2 3" xfId="21436"/>
    <cellStyle name="Note 2 2 2 3 5 4 2 3" xfId="14419"/>
    <cellStyle name="Note 2 2 2 3 5 4 2 3 2" xfId="28741"/>
    <cellStyle name="Note 2 2 2 3 5 4 2 4" xfId="20064"/>
    <cellStyle name="Note 2 2 2 3 5 4 3" xfId="12845"/>
    <cellStyle name="Note 2 2 2 3 5 4 3 2" xfId="27167"/>
    <cellStyle name="Note 2 2 2 3 5 4 4" xfId="18490"/>
    <cellStyle name="Note 2 2 2 3 5 5" xfId="5428"/>
    <cellStyle name="Note 2 2 2 3 5 5 2" xfId="11979"/>
    <cellStyle name="Note 2 2 2 3 5 5 2 2" xfId="26301"/>
    <cellStyle name="Note 2 2 2 3 5 5 3" xfId="17624"/>
    <cellStyle name="Note 2 2 2 3 5 6" xfId="6784"/>
    <cellStyle name="Note 2 2 2 3 5 6 2" xfId="23728"/>
    <cellStyle name="Note 2 2 2 3 5 7" xfId="17254"/>
    <cellStyle name="Note 2 2 2 3 6" xfId="1761"/>
    <cellStyle name="Note 2 2 2 3 6 2" xfId="1762"/>
    <cellStyle name="Note 2 2 2 3 6 2 2" xfId="6848"/>
    <cellStyle name="Note 2 2 2 3 6 2 2 2" xfId="13452"/>
    <cellStyle name="Note 2 2 2 3 6 2 2 2 2" xfId="27774"/>
    <cellStyle name="Note 2 2 2 3 6 2 2 3" xfId="19097"/>
    <cellStyle name="Note 2 2 2 3 6 2 3" xfId="7214"/>
    <cellStyle name="Note 2 2 2 3 6 2 3 2" xfId="9828"/>
    <cellStyle name="Note 2 2 2 3 6 2 3 2 2" xfId="16090"/>
    <cellStyle name="Note 2 2 2 3 6 2 3 2 2 2" xfId="29506"/>
    <cellStyle name="Note 2 2 2 3 6 2 3 2 3" xfId="20835"/>
    <cellStyle name="Note 2 2 2 3 6 2 3 3" xfId="13818"/>
    <cellStyle name="Note 2 2 2 3 6 2 3 3 2" xfId="28140"/>
    <cellStyle name="Note 2 2 2 3 6 2 3 4" xfId="19463"/>
    <cellStyle name="Note 2 2 2 3 6 2 4" xfId="2807"/>
    <cellStyle name="Note 2 2 2 3 6 2 4 2" xfId="22370"/>
    <cellStyle name="Note 2 2 2 3 6 2 5" xfId="3749"/>
    <cellStyle name="Note 2 2 2 3 6 3" xfId="1763"/>
    <cellStyle name="Note 2 2 2 3 6 3 2" xfId="5019"/>
    <cellStyle name="Note 2 2 2 3 6 3 2 2" xfId="9545"/>
    <cellStyle name="Note 2 2 2 3 6 3 2 2 2" xfId="15807"/>
    <cellStyle name="Note 2 2 2 3 6 3 2 2 2 2" xfId="29223"/>
    <cellStyle name="Note 2 2 2 3 6 3 2 2 3" xfId="20552"/>
    <cellStyle name="Note 2 2 2 3 6 3 2 3" xfId="11565"/>
    <cellStyle name="Note 2 2 2 3 6 3 2 3 2" xfId="25887"/>
    <cellStyle name="Note 2 2 2 3 6 3 2 4" xfId="17197"/>
    <cellStyle name="Note 2 2 2 3 6 3 3" xfId="12533"/>
    <cellStyle name="Note 2 2 2 3 6 3 3 2" xfId="26855"/>
    <cellStyle name="Note 2 2 2 3 6 3 4" xfId="18178"/>
    <cellStyle name="Note 2 2 2 3 6 4" xfId="4799"/>
    <cellStyle name="Note 2 2 2 3 6 4 2" xfId="11329"/>
    <cellStyle name="Note 2 2 2 3 6 4 2 2" xfId="25651"/>
    <cellStyle name="Note 2 2 2 3 6 4 3" xfId="17249"/>
    <cellStyle name="Note 2 2 2 3 6 5" xfId="4342"/>
    <cellStyle name="Note 2 2 2 3 6 5 2" xfId="22897"/>
    <cellStyle name="Note 2 2 2 3 6 6" xfId="14912"/>
    <cellStyle name="Note 2 2 2 3 7" xfId="1764"/>
    <cellStyle name="Note 2 2 2 3 7 2" xfId="6859"/>
    <cellStyle name="Note 2 2 2 3 7 2 2" xfId="13463"/>
    <cellStyle name="Note 2 2 2 3 7 2 2 2" xfId="27785"/>
    <cellStyle name="Note 2 2 2 3 7 2 3" xfId="19108"/>
    <cellStyle name="Note 2 2 2 3 7 3" xfId="7506"/>
    <cellStyle name="Note 2 2 2 3 7 3 2" xfId="10120"/>
    <cellStyle name="Note 2 2 2 3 7 3 2 2" xfId="16382"/>
    <cellStyle name="Note 2 2 2 3 7 3 2 2 2" xfId="29798"/>
    <cellStyle name="Note 2 2 2 3 7 3 2 3" xfId="21127"/>
    <cellStyle name="Note 2 2 2 3 7 3 3" xfId="14110"/>
    <cellStyle name="Note 2 2 2 3 7 3 3 2" xfId="28432"/>
    <cellStyle name="Note 2 2 2 3 7 3 4" xfId="19755"/>
    <cellStyle name="Note 2 2 2 3 7 4" xfId="11317"/>
    <cellStyle name="Note 2 2 2 3 7 4 2" xfId="25639"/>
    <cellStyle name="Note 2 2 2 3 7 5" xfId="15227"/>
    <cellStyle name="Note 2 2 2 3 8" xfId="1765"/>
    <cellStyle name="Note 2 2 2 3 8 2" xfId="7657"/>
    <cellStyle name="Note 2 2 2 3 8 2 2" xfId="10271"/>
    <cellStyle name="Note 2 2 2 3 8 2 2 2" xfId="16533"/>
    <cellStyle name="Note 2 2 2 3 8 2 2 2 2" xfId="29949"/>
    <cellStyle name="Note 2 2 2 3 8 2 2 3" xfId="21278"/>
    <cellStyle name="Note 2 2 2 3 8 2 3" xfId="14261"/>
    <cellStyle name="Note 2 2 2 3 8 2 3 2" xfId="28583"/>
    <cellStyle name="Note 2 2 2 3 8 2 4" xfId="19906"/>
    <cellStyle name="Note 2 2 2 3 8 3" xfId="12598"/>
    <cellStyle name="Note 2 2 2 3 8 3 2" xfId="26920"/>
    <cellStyle name="Note 2 2 2 3 8 4" xfId="18243"/>
    <cellStyle name="Note 2 2 2 3 9" xfId="5159"/>
    <cellStyle name="Note 2 2 2 3 9 2" xfId="11708"/>
    <cellStyle name="Note 2 2 2 3 9 2 2" xfId="26030"/>
    <cellStyle name="Note 2 2 2 3 9 3" xfId="4202"/>
    <cellStyle name="Note 2 2 2 4" xfId="1766"/>
    <cellStyle name="Note 2 2 2 4 2" xfId="1767"/>
    <cellStyle name="Note 2 2 2 4 2 2" xfId="1768"/>
    <cellStyle name="Note 2 2 2 4 2 2 2" xfId="7013"/>
    <cellStyle name="Note 2 2 2 4 2 2 2 2" xfId="13617"/>
    <cellStyle name="Note 2 2 2 4 2 2 2 2 2" xfId="27939"/>
    <cellStyle name="Note 2 2 2 4 2 2 2 3" xfId="19262"/>
    <cellStyle name="Note 2 2 2 4 2 2 3" xfId="7261"/>
    <cellStyle name="Note 2 2 2 4 2 2 3 2" xfId="9875"/>
    <cellStyle name="Note 2 2 2 4 2 2 3 2 2" xfId="16137"/>
    <cellStyle name="Note 2 2 2 4 2 2 3 2 2 2" xfId="29553"/>
    <cellStyle name="Note 2 2 2 4 2 2 3 2 3" xfId="20882"/>
    <cellStyle name="Note 2 2 2 4 2 2 3 3" xfId="13865"/>
    <cellStyle name="Note 2 2 2 4 2 2 3 3 2" xfId="28187"/>
    <cellStyle name="Note 2 2 2 4 2 2 3 4" xfId="19510"/>
    <cellStyle name="Note 2 2 2 4 2 2 4" xfId="11539"/>
    <cellStyle name="Note 2 2 2 4 2 2 4 2" xfId="25861"/>
    <cellStyle name="Note 2 2 2 4 2 2 5" xfId="15502"/>
    <cellStyle name="Note 2 2 2 4 2 3" xfId="1769"/>
    <cellStyle name="Note 2 2 2 4 2 3 2" xfId="4924"/>
    <cellStyle name="Note 2 2 2 4 2 3 2 2" xfId="9517"/>
    <cellStyle name="Note 2 2 2 4 2 3 2 2 2" xfId="15779"/>
    <cellStyle name="Note 2 2 2 4 2 3 2 2 2 2" xfId="29195"/>
    <cellStyle name="Note 2 2 2 4 2 3 2 2 3" xfId="20524"/>
    <cellStyle name="Note 2 2 2 4 2 3 2 3" xfId="11462"/>
    <cellStyle name="Note 2 2 2 4 2 3 2 3 2" xfId="25784"/>
    <cellStyle name="Note 2 2 2 4 2 3 2 4" xfId="6283"/>
    <cellStyle name="Note 2 2 2 4 2 3 3" xfId="13231"/>
    <cellStyle name="Note 2 2 2 4 2 3 3 2" xfId="27553"/>
    <cellStyle name="Note 2 2 2 4 2 3 4" xfId="18876"/>
    <cellStyle name="Note 2 2 2 4 2 4" xfId="5672"/>
    <cellStyle name="Note 2 2 2 4 2 4 2" xfId="12225"/>
    <cellStyle name="Note 2 2 2 4 2 4 2 2" xfId="26547"/>
    <cellStyle name="Note 2 2 2 4 2 4 3" xfId="17870"/>
    <cellStyle name="Note 2 2 2 4 2 5" xfId="4907"/>
    <cellStyle name="Note 2 2 2 4 2 5 2" xfId="23259"/>
    <cellStyle name="Note 2 2 2 4 2 6" xfId="15320"/>
    <cellStyle name="Note 2 2 2 4 3" xfId="1770"/>
    <cellStyle name="Note 2 2 2 4 3 2" xfId="1771"/>
    <cellStyle name="Note 2 2 2 4 3 2 2" xfId="6236"/>
    <cellStyle name="Note 2 2 2 4 3 2 2 2" xfId="12812"/>
    <cellStyle name="Note 2 2 2 4 3 2 2 2 2" xfId="27134"/>
    <cellStyle name="Note 2 2 2 4 3 2 2 3" xfId="18457"/>
    <cellStyle name="Note 2 2 2 4 3 2 3" xfId="8065"/>
    <cellStyle name="Note 2 2 2 4 3 2 3 2" xfId="10679"/>
    <cellStyle name="Note 2 2 2 4 3 2 3 2 2" xfId="16941"/>
    <cellStyle name="Note 2 2 2 4 3 2 3 2 2 2" xfId="30357"/>
    <cellStyle name="Note 2 2 2 4 3 2 3 2 3" xfId="21686"/>
    <cellStyle name="Note 2 2 2 4 3 2 3 3" xfId="14669"/>
    <cellStyle name="Note 2 2 2 4 3 2 3 3 2" xfId="28991"/>
    <cellStyle name="Note 2 2 2 4 3 2 3 4" xfId="20314"/>
    <cellStyle name="Note 2 2 2 4 3 2 4" xfId="4670"/>
    <cellStyle name="Note 2 2 2 4 3 2 4 2" xfId="23109"/>
    <cellStyle name="Note 2 2 2 4 3 2 5" xfId="3698"/>
    <cellStyle name="Note 2 2 2 4 3 3" xfId="1772"/>
    <cellStyle name="Note 2 2 2 4 3 3 2" xfId="7335"/>
    <cellStyle name="Note 2 2 2 4 3 3 2 2" xfId="9949"/>
    <cellStyle name="Note 2 2 2 4 3 3 2 2 2" xfId="16211"/>
    <cellStyle name="Note 2 2 2 4 3 3 2 2 2 2" xfId="29627"/>
    <cellStyle name="Note 2 2 2 4 3 3 2 2 3" xfId="20956"/>
    <cellStyle name="Note 2 2 2 4 3 3 2 3" xfId="13939"/>
    <cellStyle name="Note 2 2 2 4 3 3 2 3 2" xfId="28261"/>
    <cellStyle name="Note 2 2 2 4 3 3 2 4" xfId="19584"/>
    <cellStyle name="Note 2 2 2 4 3 3 3" xfId="12579"/>
    <cellStyle name="Note 2 2 2 4 3 3 3 2" xfId="26901"/>
    <cellStyle name="Note 2 2 2 4 3 3 4" xfId="18224"/>
    <cellStyle name="Note 2 2 2 4 3 4" xfId="5155"/>
    <cellStyle name="Note 2 2 2 4 3 4 2" xfId="11704"/>
    <cellStyle name="Note 2 2 2 4 3 4 2 2" xfId="26026"/>
    <cellStyle name="Note 2 2 2 4 3 4 3" xfId="4159"/>
    <cellStyle name="Note 2 2 2 4 3 5" xfId="4932"/>
    <cellStyle name="Note 2 2 2 4 3 5 2" xfId="23268"/>
    <cellStyle name="Note 2 2 2 4 3 6" xfId="6569"/>
    <cellStyle name="Note 2 2 2 4 4" xfId="1773"/>
    <cellStyle name="Note 2 2 2 4 4 2" xfId="6943"/>
    <cellStyle name="Note 2 2 2 4 4 2 2" xfId="13547"/>
    <cellStyle name="Note 2 2 2 4 4 2 2 2" xfId="27869"/>
    <cellStyle name="Note 2 2 2 4 4 2 3" xfId="19192"/>
    <cellStyle name="Note 2 2 2 4 4 3" xfId="7862"/>
    <cellStyle name="Note 2 2 2 4 4 3 2" xfId="10476"/>
    <cellStyle name="Note 2 2 2 4 4 3 2 2" xfId="16738"/>
    <cellStyle name="Note 2 2 2 4 4 3 2 2 2" xfId="30154"/>
    <cellStyle name="Note 2 2 2 4 4 3 2 3" xfId="21483"/>
    <cellStyle name="Note 2 2 2 4 4 3 3" xfId="14466"/>
    <cellStyle name="Note 2 2 2 4 4 3 3 2" xfId="28788"/>
    <cellStyle name="Note 2 2 2 4 4 3 4" xfId="20111"/>
    <cellStyle name="Note 2 2 2 4 4 4" xfId="11436"/>
    <cellStyle name="Note 2 2 2 4 4 4 2" xfId="25758"/>
    <cellStyle name="Note 2 2 2 4 4 5" xfId="15374"/>
    <cellStyle name="Note 2 2 2 4 5" xfId="1774"/>
    <cellStyle name="Note 2 2 2 4 5 2" xfId="3474"/>
    <cellStyle name="Note 2 2 2 4 5 2 2" xfId="9228"/>
    <cellStyle name="Note 2 2 2 4 5 2 2 2" xfId="15522"/>
    <cellStyle name="Note 2 2 2 4 5 2 2 2 2" xfId="29014"/>
    <cellStyle name="Note 2 2 2 4 5 2 2 3" xfId="20342"/>
    <cellStyle name="Note 2 2 2 4 5 2 3" xfId="4446"/>
    <cellStyle name="Note 2 2 2 4 5 2 3 2" xfId="22958"/>
    <cellStyle name="Note 2 2 2 4 5 2 4" xfId="15207"/>
    <cellStyle name="Note 2 2 2 4 5 3" xfId="12609"/>
    <cellStyle name="Note 2 2 2 4 5 3 2" xfId="26931"/>
    <cellStyle name="Note 2 2 2 4 5 4" xfId="18254"/>
    <cellStyle name="Note 2 2 2 4 6" xfId="5094"/>
    <cellStyle name="Note 2 2 2 4 6 2" xfId="11641"/>
    <cellStyle name="Note 2 2 2 4 6 2 2" xfId="25963"/>
    <cellStyle name="Note 2 2 2 4 6 3" xfId="14798"/>
    <cellStyle name="Note 2 2 2 4 7" xfId="6513"/>
    <cellStyle name="Note 2 2 2 4 7 2" xfId="23577"/>
    <cellStyle name="Note 2 2 2 4 8" xfId="15408"/>
    <cellStyle name="Note 2 2 2 5" xfId="1775"/>
    <cellStyle name="Note 2 2 2 5 2" xfId="1776"/>
    <cellStyle name="Note 2 2 2 5 2 2" xfId="1777"/>
    <cellStyle name="Note 2 2 2 5 2 2 2" xfId="6892"/>
    <cellStyle name="Note 2 2 2 5 2 2 2 2" xfId="13496"/>
    <cellStyle name="Note 2 2 2 5 2 2 2 2 2" xfId="27818"/>
    <cellStyle name="Note 2 2 2 5 2 2 2 3" xfId="19141"/>
    <cellStyle name="Note 2 2 2 5 2 2 3" xfId="7149"/>
    <cellStyle name="Note 2 2 2 5 2 2 3 2" xfId="9763"/>
    <cellStyle name="Note 2 2 2 5 2 2 3 2 2" xfId="16025"/>
    <cellStyle name="Note 2 2 2 5 2 2 3 2 2 2" xfId="29441"/>
    <cellStyle name="Note 2 2 2 5 2 2 3 2 3" xfId="20770"/>
    <cellStyle name="Note 2 2 2 5 2 2 3 3" xfId="13753"/>
    <cellStyle name="Note 2 2 2 5 2 2 3 3 2" xfId="28075"/>
    <cellStyle name="Note 2 2 2 5 2 2 3 4" xfId="19398"/>
    <cellStyle name="Note 2 2 2 5 2 2 4" xfId="11369"/>
    <cellStyle name="Note 2 2 2 5 2 2 4 2" xfId="25691"/>
    <cellStyle name="Note 2 2 2 5 2 2 5" xfId="17064"/>
    <cellStyle name="Note 2 2 2 5 2 3" xfId="1778"/>
    <cellStyle name="Note 2 2 2 5 2 3 2" xfId="7278"/>
    <cellStyle name="Note 2 2 2 5 2 3 2 2" xfId="9892"/>
    <cellStyle name="Note 2 2 2 5 2 3 2 2 2" xfId="16154"/>
    <cellStyle name="Note 2 2 2 5 2 3 2 2 2 2" xfId="29570"/>
    <cellStyle name="Note 2 2 2 5 2 3 2 2 3" xfId="20899"/>
    <cellStyle name="Note 2 2 2 5 2 3 2 3" xfId="13882"/>
    <cellStyle name="Note 2 2 2 5 2 3 2 3 2" xfId="28204"/>
    <cellStyle name="Note 2 2 2 5 2 3 2 4" xfId="19527"/>
    <cellStyle name="Note 2 2 2 5 2 3 3" xfId="13268"/>
    <cellStyle name="Note 2 2 2 5 2 3 3 2" xfId="27590"/>
    <cellStyle name="Note 2 2 2 5 2 3 4" xfId="18913"/>
    <cellStyle name="Note 2 2 2 5 2 4" xfId="5714"/>
    <cellStyle name="Note 2 2 2 5 2 4 2" xfId="12267"/>
    <cellStyle name="Note 2 2 2 5 2 4 2 2" xfId="26589"/>
    <cellStyle name="Note 2 2 2 5 2 4 3" xfId="17912"/>
    <cellStyle name="Note 2 2 2 5 2 5" xfId="5983"/>
    <cellStyle name="Note 2 2 2 5 2 5 2" xfId="23389"/>
    <cellStyle name="Note 2 2 2 5 2 6" xfId="15191"/>
    <cellStyle name="Note 2 2 2 5 3" xfId="1779"/>
    <cellStyle name="Note 2 2 2 5 3 2" xfId="1780"/>
    <cellStyle name="Note 2 2 2 5 3 2 2" xfId="6591"/>
    <cellStyle name="Note 2 2 2 5 3 2 2 2" xfId="13180"/>
    <cellStyle name="Note 2 2 2 5 3 2 2 2 2" xfId="27502"/>
    <cellStyle name="Note 2 2 2 5 3 2 2 3" xfId="18825"/>
    <cellStyle name="Note 2 2 2 5 3 2 3" xfId="7513"/>
    <cellStyle name="Note 2 2 2 5 3 2 3 2" xfId="10127"/>
    <cellStyle name="Note 2 2 2 5 3 2 3 2 2" xfId="16389"/>
    <cellStyle name="Note 2 2 2 5 3 2 3 2 2 2" xfId="29805"/>
    <cellStyle name="Note 2 2 2 5 3 2 3 2 3" xfId="21134"/>
    <cellStyle name="Note 2 2 2 5 3 2 3 3" xfId="14117"/>
    <cellStyle name="Note 2 2 2 5 3 2 3 3 2" xfId="28439"/>
    <cellStyle name="Note 2 2 2 5 3 2 3 4" xfId="19762"/>
    <cellStyle name="Note 2 2 2 5 3 2 4" xfId="3672"/>
    <cellStyle name="Note 2 2 2 5 3 2 4 2" xfId="22518"/>
    <cellStyle name="Note 2 2 2 5 3 2 5" xfId="14692"/>
    <cellStyle name="Note 2 2 2 5 3 3" xfId="1781"/>
    <cellStyle name="Note 2 2 2 5 3 3 2" xfId="7113"/>
    <cellStyle name="Note 2 2 2 5 3 3 2 2" xfId="9727"/>
    <cellStyle name="Note 2 2 2 5 3 3 2 2 2" xfId="15989"/>
    <cellStyle name="Note 2 2 2 5 3 3 2 2 2 2" xfId="29405"/>
    <cellStyle name="Note 2 2 2 5 3 3 2 2 3" xfId="20734"/>
    <cellStyle name="Note 2 2 2 5 3 3 2 3" xfId="13717"/>
    <cellStyle name="Note 2 2 2 5 3 3 2 3 2" xfId="28039"/>
    <cellStyle name="Note 2 2 2 5 3 3 2 4" xfId="19362"/>
    <cellStyle name="Note 2 2 2 5 3 3 3" xfId="13370"/>
    <cellStyle name="Note 2 2 2 5 3 3 3 2" xfId="27692"/>
    <cellStyle name="Note 2 2 2 5 3 3 4" xfId="19015"/>
    <cellStyle name="Note 2 2 2 5 3 4" xfId="5821"/>
    <cellStyle name="Note 2 2 2 5 3 4 2" xfId="12374"/>
    <cellStyle name="Note 2 2 2 5 3 4 2 2" xfId="26696"/>
    <cellStyle name="Note 2 2 2 5 3 4 3" xfId="18019"/>
    <cellStyle name="Note 2 2 2 5 3 5" xfId="4653"/>
    <cellStyle name="Note 2 2 2 5 3 5 2" xfId="23095"/>
    <cellStyle name="Note 2 2 2 5 3 6" xfId="16960"/>
    <cellStyle name="Note 2 2 2 5 4" xfId="1782"/>
    <cellStyle name="Note 2 2 2 5 4 2" xfId="6869"/>
    <cellStyle name="Note 2 2 2 5 4 2 2" xfId="13473"/>
    <cellStyle name="Note 2 2 2 5 4 2 2 2" xfId="27795"/>
    <cellStyle name="Note 2 2 2 5 4 2 3" xfId="19118"/>
    <cellStyle name="Note 2 2 2 5 4 3" xfId="7405"/>
    <cellStyle name="Note 2 2 2 5 4 3 2" xfId="10019"/>
    <cellStyle name="Note 2 2 2 5 4 3 2 2" xfId="16281"/>
    <cellStyle name="Note 2 2 2 5 4 3 2 2 2" xfId="29697"/>
    <cellStyle name="Note 2 2 2 5 4 3 2 3" xfId="21026"/>
    <cellStyle name="Note 2 2 2 5 4 3 3" xfId="14009"/>
    <cellStyle name="Note 2 2 2 5 4 3 3 2" xfId="28331"/>
    <cellStyle name="Note 2 2 2 5 4 3 4" xfId="19654"/>
    <cellStyle name="Note 2 2 2 5 4 4" xfId="11332"/>
    <cellStyle name="Note 2 2 2 5 4 4 2" xfId="25654"/>
    <cellStyle name="Note 2 2 2 5 4 5" xfId="15308"/>
    <cellStyle name="Note 2 2 2 5 5" xfId="1783"/>
    <cellStyle name="Note 2 2 2 5 5 2" xfId="7753"/>
    <cellStyle name="Note 2 2 2 5 5 2 2" xfId="10367"/>
    <cellStyle name="Note 2 2 2 5 5 2 2 2" xfId="16629"/>
    <cellStyle name="Note 2 2 2 5 5 2 2 2 2" xfId="30045"/>
    <cellStyle name="Note 2 2 2 5 5 2 2 3" xfId="21374"/>
    <cellStyle name="Note 2 2 2 5 5 2 3" xfId="14357"/>
    <cellStyle name="Note 2 2 2 5 5 2 3 2" xfId="28679"/>
    <cellStyle name="Note 2 2 2 5 5 2 4" xfId="20002"/>
    <cellStyle name="Note 2 2 2 5 5 3" xfId="12825"/>
    <cellStyle name="Note 2 2 2 5 5 3 2" xfId="27147"/>
    <cellStyle name="Note 2 2 2 5 5 4" xfId="18470"/>
    <cellStyle name="Note 2 2 2 5 6" xfId="5373"/>
    <cellStyle name="Note 2 2 2 5 6 2" xfId="11923"/>
    <cellStyle name="Note 2 2 2 5 6 2 2" xfId="26245"/>
    <cellStyle name="Note 2 2 2 5 6 3" xfId="17568"/>
    <cellStyle name="Note 2 2 2 5 7" xfId="5883"/>
    <cellStyle name="Note 2 2 2 5 7 2" xfId="23368"/>
    <cellStyle name="Note 2 2 2 5 8" xfId="14950"/>
    <cellStyle name="Note 2 2 2 6" xfId="1784"/>
    <cellStyle name="Note 2 2 2 6 2" xfId="1785"/>
    <cellStyle name="Note 2 2 2 6 2 2" xfId="1786"/>
    <cellStyle name="Note 2 2 2 6 2 2 2" xfId="5478"/>
    <cellStyle name="Note 2 2 2 6 2 2 2 2" xfId="12029"/>
    <cellStyle name="Note 2 2 2 6 2 2 2 2 2" xfId="26351"/>
    <cellStyle name="Note 2 2 2 6 2 2 2 3" xfId="17674"/>
    <cellStyle name="Note 2 2 2 6 2 2 3" xfId="4752"/>
    <cellStyle name="Note 2 2 2 6 2 2 3 2" xfId="9475"/>
    <cellStyle name="Note 2 2 2 6 2 2 3 2 2" xfId="15737"/>
    <cellStyle name="Note 2 2 2 6 2 2 3 2 2 2" xfId="29153"/>
    <cellStyle name="Note 2 2 2 6 2 2 3 2 3" xfId="20482"/>
    <cellStyle name="Note 2 2 2 6 2 2 3 3" xfId="2821"/>
    <cellStyle name="Note 2 2 2 6 2 2 3 3 2" xfId="22384"/>
    <cellStyle name="Note 2 2 2 6 2 2 3 4" xfId="17296"/>
    <cellStyle name="Note 2 2 2 6 2 2 4" xfId="6260"/>
    <cellStyle name="Note 2 2 2 6 2 2 4 2" xfId="23478"/>
    <cellStyle name="Note 2 2 2 6 2 2 5" xfId="5206"/>
    <cellStyle name="Note 2 2 2 6 2 3" xfId="1787"/>
    <cellStyle name="Note 2 2 2 6 2 3 2" xfId="3924"/>
    <cellStyle name="Note 2 2 2 6 2 3 2 2" xfId="9397"/>
    <cellStyle name="Note 2 2 2 6 2 3 2 2 2" xfId="15659"/>
    <cellStyle name="Note 2 2 2 6 2 3 2 2 2 2" xfId="29075"/>
    <cellStyle name="Note 2 2 2 6 2 3 2 2 3" xfId="20404"/>
    <cellStyle name="Note 2 2 2 6 2 3 2 3" xfId="3931"/>
    <cellStyle name="Note 2 2 2 6 2 3 2 3 2" xfId="22651"/>
    <cellStyle name="Note 2 2 2 6 2 3 2 4" xfId="15552"/>
    <cellStyle name="Note 2 2 2 6 2 3 3" xfId="13248"/>
    <cellStyle name="Note 2 2 2 6 2 3 3 2" xfId="27570"/>
    <cellStyle name="Note 2 2 2 6 2 3 4" xfId="18893"/>
    <cellStyle name="Note 2 2 2 6 2 4" xfId="5690"/>
    <cellStyle name="Note 2 2 2 6 2 4 2" xfId="12243"/>
    <cellStyle name="Note 2 2 2 6 2 4 2 2" xfId="26565"/>
    <cellStyle name="Note 2 2 2 6 2 4 3" xfId="17888"/>
    <cellStyle name="Note 2 2 2 6 2 5" xfId="6763"/>
    <cellStyle name="Note 2 2 2 6 2 5 2" xfId="23710"/>
    <cellStyle name="Note 2 2 2 6 2 6" xfId="15363"/>
    <cellStyle name="Note 2 2 2 6 3" xfId="1788"/>
    <cellStyle name="Note 2 2 2 6 3 2" xfId="1789"/>
    <cellStyle name="Note 2 2 2 6 3 2 2" xfId="6025"/>
    <cellStyle name="Note 2 2 2 6 3 2 2 2" xfId="12586"/>
    <cellStyle name="Note 2 2 2 6 3 2 2 2 2" xfId="26908"/>
    <cellStyle name="Note 2 2 2 6 3 2 2 3" xfId="18231"/>
    <cellStyle name="Note 2 2 2 6 3 2 3" xfId="7218"/>
    <cellStyle name="Note 2 2 2 6 3 2 3 2" xfId="9832"/>
    <cellStyle name="Note 2 2 2 6 3 2 3 2 2" xfId="16094"/>
    <cellStyle name="Note 2 2 2 6 3 2 3 2 2 2" xfId="29510"/>
    <cellStyle name="Note 2 2 2 6 3 2 3 2 3" xfId="20839"/>
    <cellStyle name="Note 2 2 2 6 3 2 3 3" xfId="13822"/>
    <cellStyle name="Note 2 2 2 6 3 2 3 3 2" xfId="28144"/>
    <cellStyle name="Note 2 2 2 6 3 2 3 4" xfId="19467"/>
    <cellStyle name="Note 2 2 2 6 3 2 4" xfId="4001"/>
    <cellStyle name="Note 2 2 2 6 3 2 4 2" xfId="22695"/>
    <cellStyle name="Note 2 2 2 6 3 2 5" xfId="6543"/>
    <cellStyle name="Note 2 2 2 6 3 3" xfId="1790"/>
    <cellStyle name="Note 2 2 2 6 3 3 2" xfId="7316"/>
    <cellStyle name="Note 2 2 2 6 3 3 2 2" xfId="9930"/>
    <cellStyle name="Note 2 2 2 6 3 3 2 2 2" xfId="16192"/>
    <cellStyle name="Note 2 2 2 6 3 3 2 2 2 2" xfId="29608"/>
    <cellStyle name="Note 2 2 2 6 3 3 2 2 3" xfId="20937"/>
    <cellStyle name="Note 2 2 2 6 3 3 2 3" xfId="13920"/>
    <cellStyle name="Note 2 2 2 6 3 3 2 3 2" xfId="28242"/>
    <cellStyle name="Note 2 2 2 6 3 3 2 4" xfId="19565"/>
    <cellStyle name="Note 2 2 2 6 3 3 3" xfId="13161"/>
    <cellStyle name="Note 2 2 2 6 3 3 3 2" xfId="27483"/>
    <cellStyle name="Note 2 2 2 6 3 3 4" xfId="18806"/>
    <cellStyle name="Note 2 2 2 6 3 4" xfId="5574"/>
    <cellStyle name="Note 2 2 2 6 3 4 2" xfId="12125"/>
    <cellStyle name="Note 2 2 2 6 3 4 2 2" xfId="26447"/>
    <cellStyle name="Note 2 2 2 6 3 4 3" xfId="17770"/>
    <cellStyle name="Note 2 2 2 6 3 5" xfId="6791"/>
    <cellStyle name="Note 2 2 2 6 3 5 2" xfId="23734"/>
    <cellStyle name="Note 2 2 2 6 3 6" xfId="14930"/>
    <cellStyle name="Note 2 2 2 6 4" xfId="1791"/>
    <cellStyle name="Note 2 2 2 6 4 2" xfId="6963"/>
    <cellStyle name="Note 2 2 2 6 4 2 2" xfId="13567"/>
    <cellStyle name="Note 2 2 2 6 4 2 2 2" xfId="27889"/>
    <cellStyle name="Note 2 2 2 6 4 2 3" xfId="19212"/>
    <cellStyle name="Note 2 2 2 6 4 3" xfId="7463"/>
    <cellStyle name="Note 2 2 2 6 4 3 2" xfId="10077"/>
    <cellStyle name="Note 2 2 2 6 4 3 2 2" xfId="16339"/>
    <cellStyle name="Note 2 2 2 6 4 3 2 2 2" xfId="29755"/>
    <cellStyle name="Note 2 2 2 6 4 3 2 3" xfId="21084"/>
    <cellStyle name="Note 2 2 2 6 4 3 3" xfId="14067"/>
    <cellStyle name="Note 2 2 2 6 4 3 3 2" xfId="28389"/>
    <cellStyle name="Note 2 2 2 6 4 3 4" xfId="19712"/>
    <cellStyle name="Note 2 2 2 6 4 4" xfId="11466"/>
    <cellStyle name="Note 2 2 2 6 4 4 2" xfId="25788"/>
    <cellStyle name="Note 2 2 2 6 4 5" xfId="15587"/>
    <cellStyle name="Note 2 2 2 6 5" xfId="1792"/>
    <cellStyle name="Note 2 2 2 6 5 2" xfId="7865"/>
    <cellStyle name="Note 2 2 2 6 5 2 2" xfId="10479"/>
    <cellStyle name="Note 2 2 2 6 5 2 2 2" xfId="16741"/>
    <cellStyle name="Note 2 2 2 6 5 2 2 2 2" xfId="30157"/>
    <cellStyle name="Note 2 2 2 6 5 2 2 3" xfId="21486"/>
    <cellStyle name="Note 2 2 2 6 5 2 3" xfId="14469"/>
    <cellStyle name="Note 2 2 2 6 5 2 3 2" xfId="28791"/>
    <cellStyle name="Note 2 2 2 6 5 2 4" xfId="20114"/>
    <cellStyle name="Note 2 2 2 6 5 3" xfId="12732"/>
    <cellStyle name="Note 2 2 2 6 5 3 2" xfId="27054"/>
    <cellStyle name="Note 2 2 2 6 5 4" xfId="18377"/>
    <cellStyle name="Note 2 2 2 6 6" xfId="4320"/>
    <cellStyle name="Note 2 2 2 6 6 2" xfId="3665"/>
    <cellStyle name="Note 2 2 2 6 6 2 2" xfId="22513"/>
    <cellStyle name="Note 2 2 2 6 6 3" xfId="14907"/>
    <cellStyle name="Note 2 2 2 6 7" xfId="3641"/>
    <cellStyle name="Note 2 2 2 6 7 2" xfId="22501"/>
    <cellStyle name="Note 2 2 2 6 8" xfId="17063"/>
    <cellStyle name="Note 2 2 2 7" xfId="1793"/>
    <cellStyle name="Note 2 2 2 7 2" xfId="1794"/>
    <cellStyle name="Note 2 2 2 7 2 2" xfId="1795"/>
    <cellStyle name="Note 2 2 2 7 2 2 2" xfId="6926"/>
    <cellStyle name="Note 2 2 2 7 2 2 2 2" xfId="13530"/>
    <cellStyle name="Note 2 2 2 7 2 2 2 2 2" xfId="27852"/>
    <cellStyle name="Note 2 2 2 7 2 2 2 3" xfId="19175"/>
    <cellStyle name="Note 2 2 2 7 2 2 3" xfId="5027"/>
    <cellStyle name="Note 2 2 2 7 2 2 3 2" xfId="9547"/>
    <cellStyle name="Note 2 2 2 7 2 2 3 2 2" xfId="15809"/>
    <cellStyle name="Note 2 2 2 7 2 2 3 2 2 2" xfId="29225"/>
    <cellStyle name="Note 2 2 2 7 2 2 3 2 3" xfId="20554"/>
    <cellStyle name="Note 2 2 2 7 2 2 3 3" xfId="11574"/>
    <cellStyle name="Note 2 2 2 7 2 2 3 3 2" xfId="25896"/>
    <cellStyle name="Note 2 2 2 7 2 2 3 4" xfId="14738"/>
    <cellStyle name="Note 2 2 2 7 2 2 4" xfId="11417"/>
    <cellStyle name="Note 2 2 2 7 2 2 4 2" xfId="25739"/>
    <cellStyle name="Note 2 2 2 7 2 2 5" xfId="17246"/>
    <cellStyle name="Note 2 2 2 7 2 3" xfId="1796"/>
    <cellStyle name="Note 2 2 2 7 2 3 2" xfId="7752"/>
    <cellStyle name="Note 2 2 2 7 2 3 2 2" xfId="10366"/>
    <cellStyle name="Note 2 2 2 7 2 3 2 2 2" xfId="16628"/>
    <cellStyle name="Note 2 2 2 7 2 3 2 2 2 2" xfId="30044"/>
    <cellStyle name="Note 2 2 2 7 2 3 2 2 3" xfId="21373"/>
    <cellStyle name="Note 2 2 2 7 2 3 2 3" xfId="14356"/>
    <cellStyle name="Note 2 2 2 7 2 3 2 3 2" xfId="28678"/>
    <cellStyle name="Note 2 2 2 7 2 3 2 4" xfId="20001"/>
    <cellStyle name="Note 2 2 2 7 2 3 3" xfId="12818"/>
    <cellStyle name="Note 2 2 2 7 2 3 3 2" xfId="27140"/>
    <cellStyle name="Note 2 2 2 7 2 3 4" xfId="18463"/>
    <cellStyle name="Note 2 2 2 7 2 4" xfId="5232"/>
    <cellStyle name="Note 2 2 2 7 2 4 2" xfId="11782"/>
    <cellStyle name="Note 2 2 2 7 2 4 2 2" xfId="26104"/>
    <cellStyle name="Note 2 2 2 7 2 4 3" xfId="17427"/>
    <cellStyle name="Note 2 2 2 7 2 5" xfId="4589"/>
    <cellStyle name="Note 2 2 2 7 2 5 2" xfId="23052"/>
    <cellStyle name="Note 2 2 2 7 2 6" xfId="14701"/>
    <cellStyle name="Note 2 2 2 7 3" xfId="1797"/>
    <cellStyle name="Note 2 2 2 7 3 2" xfId="6122"/>
    <cellStyle name="Note 2 2 2 7 3 2 2" xfId="12691"/>
    <cellStyle name="Note 2 2 2 7 3 2 2 2" xfId="27013"/>
    <cellStyle name="Note 2 2 2 7 3 2 3" xfId="18336"/>
    <cellStyle name="Note 2 2 2 7 3 3" xfId="5243"/>
    <cellStyle name="Note 2 2 2 7 3 3 2" xfId="9553"/>
    <cellStyle name="Note 2 2 2 7 3 3 2 2" xfId="15815"/>
    <cellStyle name="Note 2 2 2 7 3 3 2 2 2" xfId="29231"/>
    <cellStyle name="Note 2 2 2 7 3 3 2 3" xfId="20560"/>
    <cellStyle name="Note 2 2 2 7 3 3 3" xfId="11793"/>
    <cellStyle name="Note 2 2 2 7 3 3 3 2" xfId="26115"/>
    <cellStyle name="Note 2 2 2 7 3 3 4" xfId="17438"/>
    <cellStyle name="Note 2 2 2 7 3 4" xfId="4679"/>
    <cellStyle name="Note 2 2 2 7 3 4 2" xfId="23117"/>
    <cellStyle name="Note 2 2 2 7 3 5" xfId="4730"/>
    <cellStyle name="Note 2 2 2 7 4" xfId="1798"/>
    <cellStyle name="Note 2 2 2 7 4 2" xfId="5022"/>
    <cellStyle name="Note 2 2 2 7 4 2 2" xfId="9546"/>
    <cellStyle name="Note 2 2 2 7 4 2 2 2" xfId="15808"/>
    <cellStyle name="Note 2 2 2 7 4 2 2 2 2" xfId="29224"/>
    <cellStyle name="Note 2 2 2 7 4 2 2 3" xfId="20553"/>
    <cellStyle name="Note 2 2 2 7 4 2 3" xfId="11569"/>
    <cellStyle name="Note 2 2 2 7 4 2 3 2" xfId="25891"/>
    <cellStyle name="Note 2 2 2 7 4 2 4" xfId="15147"/>
    <cellStyle name="Note 2 2 2 7 4 3" xfId="12839"/>
    <cellStyle name="Note 2 2 2 7 4 3 2" xfId="27161"/>
    <cellStyle name="Note 2 2 2 7 4 4" xfId="18484"/>
    <cellStyle name="Note 2 2 2 7 5" xfId="5413"/>
    <cellStyle name="Note 2 2 2 7 5 2" xfId="11963"/>
    <cellStyle name="Note 2 2 2 7 5 2 2" xfId="26285"/>
    <cellStyle name="Note 2 2 2 7 5 3" xfId="17608"/>
    <cellStyle name="Note 2 2 2 7 6" xfId="3602"/>
    <cellStyle name="Note 2 2 2 7 6 2" xfId="22482"/>
    <cellStyle name="Note 2 2 2 7 7" xfId="4431"/>
    <cellStyle name="Note 2 2 2 8" xfId="1799"/>
    <cellStyle name="Note 2 2 2 8 2" xfId="1800"/>
    <cellStyle name="Note 2 2 2 8 2 2" xfId="6159"/>
    <cellStyle name="Note 2 2 2 8 2 2 2" xfId="12730"/>
    <cellStyle name="Note 2 2 2 8 2 2 2 2" xfId="27052"/>
    <cellStyle name="Note 2 2 2 8 2 2 3" xfId="18375"/>
    <cellStyle name="Note 2 2 2 8 2 3" xfId="7445"/>
    <cellStyle name="Note 2 2 2 8 2 3 2" xfId="10059"/>
    <cellStyle name="Note 2 2 2 8 2 3 2 2" xfId="16321"/>
    <cellStyle name="Note 2 2 2 8 2 3 2 2 2" xfId="29737"/>
    <cellStyle name="Note 2 2 2 8 2 3 2 3" xfId="21066"/>
    <cellStyle name="Note 2 2 2 8 2 3 3" xfId="14049"/>
    <cellStyle name="Note 2 2 2 8 2 3 3 2" xfId="28371"/>
    <cellStyle name="Note 2 2 2 8 2 3 4" xfId="19694"/>
    <cellStyle name="Note 2 2 2 8 2 4" xfId="4533"/>
    <cellStyle name="Note 2 2 2 8 2 4 2" xfId="23013"/>
    <cellStyle name="Note 2 2 2 8 2 5" xfId="6463"/>
    <cellStyle name="Note 2 2 2 8 3" xfId="1801"/>
    <cellStyle name="Note 2 2 2 8 3 2" xfId="7928"/>
    <cellStyle name="Note 2 2 2 8 3 2 2" xfId="10542"/>
    <cellStyle name="Note 2 2 2 8 3 2 2 2" xfId="16804"/>
    <cellStyle name="Note 2 2 2 8 3 2 2 2 2" xfId="30220"/>
    <cellStyle name="Note 2 2 2 8 3 2 2 3" xfId="21549"/>
    <cellStyle name="Note 2 2 2 8 3 2 3" xfId="14532"/>
    <cellStyle name="Note 2 2 2 8 3 2 3 2" xfId="28854"/>
    <cellStyle name="Note 2 2 2 8 3 2 4" xfId="20177"/>
    <cellStyle name="Note 2 2 2 8 3 3" xfId="12488"/>
    <cellStyle name="Note 2 2 2 8 3 3 2" xfId="26810"/>
    <cellStyle name="Note 2 2 2 8 3 4" xfId="18133"/>
    <cellStyle name="Note 2 2 2 8 4" xfId="5212"/>
    <cellStyle name="Note 2 2 2 8 4 2" xfId="11761"/>
    <cellStyle name="Note 2 2 2 8 4 2 2" xfId="26083"/>
    <cellStyle name="Note 2 2 2 8 4 3" xfId="17406"/>
    <cellStyle name="Note 2 2 2 8 5" xfId="6743"/>
    <cellStyle name="Note 2 2 2 8 5 2" xfId="23692"/>
    <cellStyle name="Note 2 2 2 8 6" xfId="3850"/>
    <cellStyle name="Note 2 2 2 9" xfId="1802"/>
    <cellStyle name="Note 2 2 2 9 2" xfId="6166"/>
    <cellStyle name="Note 2 2 2 9 2 2" xfId="12739"/>
    <cellStyle name="Note 2 2 2 9 2 2 2" xfId="27061"/>
    <cellStyle name="Note 2 2 2 9 2 3" xfId="18384"/>
    <cellStyle name="Note 2 2 2 9 3" xfId="4327"/>
    <cellStyle name="Note 2 2 2 9 3 2" xfId="9449"/>
    <cellStyle name="Note 2 2 2 9 3 2 2" xfId="15711"/>
    <cellStyle name="Note 2 2 2 9 3 2 2 2" xfId="29127"/>
    <cellStyle name="Note 2 2 2 9 3 2 3" xfId="20456"/>
    <cellStyle name="Note 2 2 2 9 3 3" xfId="4365"/>
    <cellStyle name="Note 2 2 2 9 3 3 2" xfId="22907"/>
    <cellStyle name="Note 2 2 2 9 3 4" xfId="5724"/>
    <cellStyle name="Note 2 2 2 9 4" xfId="3640"/>
    <cellStyle name="Note 2 2 2 9 4 2" xfId="22500"/>
    <cellStyle name="Note 2 2 2 9 5" xfId="14915"/>
    <cellStyle name="Note 2 2 3" xfId="1803"/>
    <cellStyle name="Note 2 2 3 2" xfId="6930"/>
    <cellStyle name="Note 2 2 3 2 2" xfId="13534"/>
    <cellStyle name="Note 2 2 3 2 2 2" xfId="27856"/>
    <cellStyle name="Note 2 2 3 2 3" xfId="19179"/>
    <cellStyle name="Note 2 2 3 3" xfId="7110"/>
    <cellStyle name="Note 2 2 3 3 2" xfId="9724"/>
    <cellStyle name="Note 2 2 3 3 2 2" xfId="15986"/>
    <cellStyle name="Note 2 2 3 3 2 2 2" xfId="29402"/>
    <cellStyle name="Note 2 2 3 3 2 3" xfId="20731"/>
    <cellStyle name="Note 2 2 3 3 3" xfId="13714"/>
    <cellStyle name="Note 2 2 3 3 3 2" xfId="28036"/>
    <cellStyle name="Note 2 2 3 3 4" xfId="19359"/>
    <cellStyle name="Note 2 2 3 4" xfId="11423"/>
    <cellStyle name="Note 2 2 3 4 2" xfId="25745"/>
    <cellStyle name="Note 2 2 3 5" xfId="15568"/>
    <cellStyle name="Note 2 2 4" xfId="3874"/>
    <cellStyle name="Note 2 2 4 2" xfId="4888"/>
    <cellStyle name="Note 2 2 4 2 2" xfId="23246"/>
    <cellStyle name="Note 2 2 4 3" xfId="14698"/>
    <cellStyle name="Note 2 2 5" xfId="4894"/>
    <cellStyle name="Note 2 2 5 2" xfId="23252"/>
    <cellStyle name="Note 2 2 6" xfId="4191"/>
    <cellStyle name="Note 2 2 7" xfId="14797"/>
    <cellStyle name="Note 2 2 8" xfId="21702"/>
    <cellStyle name="Note 2 3" xfId="1804"/>
    <cellStyle name="Note 2 3 10" xfId="1805"/>
    <cellStyle name="Note 2 3 10 2" xfId="7433"/>
    <cellStyle name="Note 2 3 10 2 2" xfId="10047"/>
    <cellStyle name="Note 2 3 10 2 2 2" xfId="16309"/>
    <cellStyle name="Note 2 3 10 2 2 2 2" xfId="29725"/>
    <cellStyle name="Note 2 3 10 2 2 3" xfId="21054"/>
    <cellStyle name="Note 2 3 10 2 3" xfId="14037"/>
    <cellStyle name="Note 2 3 10 2 3 2" xfId="28359"/>
    <cellStyle name="Note 2 3 10 2 4" xfId="19682"/>
    <cellStyle name="Note 2 3 10 3" xfId="11965"/>
    <cellStyle name="Note 2 3 10 3 2" xfId="26287"/>
    <cellStyle name="Note 2 3 10 4" xfId="17610"/>
    <cellStyle name="Note 2 3 11" xfId="4827"/>
    <cellStyle name="Note 2 3 11 2" xfId="11360"/>
    <cellStyle name="Note 2 3 11 2 2" xfId="25682"/>
    <cellStyle name="Note 2 3 11 3" xfId="15244"/>
    <cellStyle name="Note 2 3 12" xfId="6749"/>
    <cellStyle name="Note 2 3 12 2" xfId="23697"/>
    <cellStyle name="Note 2 3 13" xfId="15409"/>
    <cellStyle name="Note 2 3 2" xfId="1806"/>
    <cellStyle name="Note 2 3 2 10" xfId="5378"/>
    <cellStyle name="Note 2 3 2 10 2" xfId="11928"/>
    <cellStyle name="Note 2 3 2 10 2 2" xfId="26250"/>
    <cellStyle name="Note 2 3 2 10 3" xfId="17573"/>
    <cellStyle name="Note 2 3 2 11" xfId="4138"/>
    <cellStyle name="Note 2 3 2 11 2" xfId="22776"/>
    <cellStyle name="Note 2 3 2 12" xfId="4552"/>
    <cellStyle name="Note 2 3 2 2" xfId="1807"/>
    <cellStyle name="Note 2 3 2 2 10" xfId="3882"/>
    <cellStyle name="Note 2 3 2 2 10 2" xfId="22625"/>
    <cellStyle name="Note 2 3 2 2 11" xfId="15052"/>
    <cellStyle name="Note 2 3 2 2 2" xfId="1808"/>
    <cellStyle name="Note 2 3 2 2 2 2" xfId="1809"/>
    <cellStyle name="Note 2 3 2 2 2 2 2" xfId="1810"/>
    <cellStyle name="Note 2 3 2 2 2 2 2 2" xfId="6552"/>
    <cellStyle name="Note 2 3 2 2 2 2 2 2 2" xfId="13140"/>
    <cellStyle name="Note 2 3 2 2 2 2 2 2 2 2" xfId="27462"/>
    <cellStyle name="Note 2 3 2 2 2 2 2 2 3" xfId="18785"/>
    <cellStyle name="Note 2 3 2 2 2 2 2 3" xfId="7130"/>
    <cellStyle name="Note 2 3 2 2 2 2 2 3 2" xfId="9744"/>
    <cellStyle name="Note 2 3 2 2 2 2 2 3 2 2" xfId="16006"/>
    <cellStyle name="Note 2 3 2 2 2 2 2 3 2 2 2" xfId="29422"/>
    <cellStyle name="Note 2 3 2 2 2 2 2 3 2 3" xfId="20751"/>
    <cellStyle name="Note 2 3 2 2 2 2 2 3 3" xfId="13734"/>
    <cellStyle name="Note 2 3 2 2 2 2 2 3 3 2" xfId="28056"/>
    <cellStyle name="Note 2 3 2 2 2 2 2 3 4" xfId="19379"/>
    <cellStyle name="Note 2 3 2 2 2 2 2 4" xfId="4128"/>
    <cellStyle name="Note 2 3 2 2 2 2 2 4 2" xfId="22770"/>
    <cellStyle name="Note 2 3 2 2 2 2 2 5" xfId="14792"/>
    <cellStyle name="Note 2 3 2 2 2 2 3" xfId="1811"/>
    <cellStyle name="Note 2 3 2 2 2 2 3 2" xfId="5341"/>
    <cellStyle name="Note 2 3 2 2 2 2 3 2 2" xfId="9650"/>
    <cellStyle name="Note 2 3 2 2 2 2 3 2 2 2" xfId="15912"/>
    <cellStyle name="Note 2 3 2 2 2 2 3 2 2 2 2" xfId="29328"/>
    <cellStyle name="Note 2 3 2 2 2 2 3 2 2 3" xfId="20657"/>
    <cellStyle name="Note 2 3 2 2 2 2 3 2 3" xfId="11891"/>
    <cellStyle name="Note 2 3 2 2 2 2 3 2 3 2" xfId="26213"/>
    <cellStyle name="Note 2 3 2 2 2 2 3 2 4" xfId="17536"/>
    <cellStyle name="Note 2 3 2 2 2 2 3 3" xfId="13320"/>
    <cellStyle name="Note 2 3 2 2 2 2 3 3 2" xfId="27642"/>
    <cellStyle name="Note 2 3 2 2 2 2 3 4" xfId="18965"/>
    <cellStyle name="Note 2 3 2 2 2 2 4" xfId="5770"/>
    <cellStyle name="Note 2 3 2 2 2 2 4 2" xfId="12323"/>
    <cellStyle name="Note 2 3 2 2 2 2 4 2 2" xfId="26645"/>
    <cellStyle name="Note 2 3 2 2 2 2 4 3" xfId="17968"/>
    <cellStyle name="Note 2 3 2 2 2 2 5" xfId="6624"/>
    <cellStyle name="Note 2 3 2 2 2 2 5 2" xfId="23613"/>
    <cellStyle name="Note 2 3 2 2 2 2 6" xfId="14921"/>
    <cellStyle name="Note 2 3 2 2 2 3" xfId="1812"/>
    <cellStyle name="Note 2 3 2 2 2 3 2" xfId="1813"/>
    <cellStyle name="Note 2 3 2 2 2 3 2 2" xfId="5980"/>
    <cellStyle name="Note 2 3 2 2 2 3 2 2 2" xfId="12538"/>
    <cellStyle name="Note 2 3 2 2 2 3 2 2 2 2" xfId="26860"/>
    <cellStyle name="Note 2 3 2 2 2 3 2 2 3" xfId="18183"/>
    <cellStyle name="Note 2 3 2 2 2 3 2 3" xfId="7674"/>
    <cellStyle name="Note 2 3 2 2 2 3 2 3 2" xfId="10288"/>
    <cellStyle name="Note 2 3 2 2 2 3 2 3 2 2" xfId="16550"/>
    <cellStyle name="Note 2 3 2 2 2 3 2 3 2 2 2" xfId="29966"/>
    <cellStyle name="Note 2 3 2 2 2 3 2 3 2 3" xfId="21295"/>
    <cellStyle name="Note 2 3 2 2 2 3 2 3 3" xfId="14278"/>
    <cellStyle name="Note 2 3 2 2 2 3 2 3 3 2" xfId="28600"/>
    <cellStyle name="Note 2 3 2 2 2 3 2 3 4" xfId="19923"/>
    <cellStyle name="Note 2 3 2 2 2 3 2 4" xfId="3182"/>
    <cellStyle name="Note 2 3 2 2 2 3 2 4 2" xfId="22428"/>
    <cellStyle name="Note 2 3 2 2 2 3 2 5" xfId="17356"/>
    <cellStyle name="Note 2 3 2 2 2 3 3" xfId="1814"/>
    <cellStyle name="Note 2 3 2 2 2 3 3 2" xfId="7589"/>
    <cellStyle name="Note 2 3 2 2 2 3 3 2 2" xfId="10203"/>
    <cellStyle name="Note 2 3 2 2 2 3 3 2 2 2" xfId="16465"/>
    <cellStyle name="Note 2 3 2 2 2 3 3 2 2 2 2" xfId="29881"/>
    <cellStyle name="Note 2 3 2 2 2 3 3 2 2 3" xfId="21210"/>
    <cellStyle name="Note 2 3 2 2 2 3 3 2 3" xfId="14193"/>
    <cellStyle name="Note 2 3 2 2 2 3 3 2 3 2" xfId="28515"/>
    <cellStyle name="Note 2 3 2 2 2 3 3 2 4" xfId="19838"/>
    <cellStyle name="Note 2 3 2 2 2 3 3 3" xfId="12639"/>
    <cellStyle name="Note 2 3 2 2 2 3 3 3 2" xfId="26961"/>
    <cellStyle name="Note 2 3 2 2 2 3 3 4" xfId="18284"/>
    <cellStyle name="Note 2 3 2 2 2 3 4" xfId="5193"/>
    <cellStyle name="Note 2 3 2 2 2 3 4 2" xfId="11742"/>
    <cellStyle name="Note 2 3 2 2 2 3 4 2 2" xfId="26064"/>
    <cellStyle name="Note 2 3 2 2 2 3 4 3" xfId="6595"/>
    <cellStyle name="Note 2 3 2 2 2 3 5" xfId="3747"/>
    <cellStyle name="Note 2 3 2 2 2 3 5 2" xfId="22561"/>
    <cellStyle name="Note 2 3 2 2 2 3 6" xfId="15101"/>
    <cellStyle name="Note 2 3 2 2 2 4" xfId="1815"/>
    <cellStyle name="Note 2 3 2 2 2 4 2" xfId="6378"/>
    <cellStyle name="Note 2 3 2 2 2 4 2 2" xfId="12961"/>
    <cellStyle name="Note 2 3 2 2 2 4 2 2 2" xfId="27283"/>
    <cellStyle name="Note 2 3 2 2 2 4 2 3" xfId="18606"/>
    <cellStyle name="Note 2 3 2 2 2 4 3" xfId="7290"/>
    <cellStyle name="Note 2 3 2 2 2 4 3 2" xfId="9904"/>
    <cellStyle name="Note 2 3 2 2 2 4 3 2 2" xfId="16166"/>
    <cellStyle name="Note 2 3 2 2 2 4 3 2 2 2" xfId="29582"/>
    <cellStyle name="Note 2 3 2 2 2 4 3 2 3" xfId="20911"/>
    <cellStyle name="Note 2 3 2 2 2 4 3 3" xfId="13894"/>
    <cellStyle name="Note 2 3 2 2 2 4 3 3 2" xfId="28216"/>
    <cellStyle name="Note 2 3 2 2 2 4 3 4" xfId="19539"/>
    <cellStyle name="Note 2 3 2 2 2 4 4" xfId="3952"/>
    <cellStyle name="Note 2 3 2 2 2 4 4 2" xfId="22665"/>
    <cellStyle name="Note 2 3 2 2 2 4 5" xfId="15482"/>
    <cellStyle name="Note 2 3 2 2 2 5" xfId="1816"/>
    <cellStyle name="Note 2 3 2 2 2 5 2" xfId="7439"/>
    <cellStyle name="Note 2 3 2 2 2 5 2 2" xfId="10053"/>
    <cellStyle name="Note 2 3 2 2 2 5 2 2 2" xfId="16315"/>
    <cellStyle name="Note 2 3 2 2 2 5 2 2 2 2" xfId="29731"/>
    <cellStyle name="Note 2 3 2 2 2 5 2 2 3" xfId="21060"/>
    <cellStyle name="Note 2 3 2 2 2 5 2 3" xfId="14043"/>
    <cellStyle name="Note 2 3 2 2 2 5 2 3 2" xfId="28365"/>
    <cellStyle name="Note 2 3 2 2 2 5 2 4" xfId="19688"/>
    <cellStyle name="Note 2 3 2 2 2 5 3" xfId="12896"/>
    <cellStyle name="Note 2 3 2 2 2 5 3 2" xfId="27218"/>
    <cellStyle name="Note 2 3 2 2 2 5 4" xfId="18541"/>
    <cellStyle name="Note 2 3 2 2 2 6" xfId="5514"/>
    <cellStyle name="Note 2 3 2 2 2 6 2" xfId="12065"/>
    <cellStyle name="Note 2 3 2 2 2 6 2 2" xfId="26387"/>
    <cellStyle name="Note 2 3 2 2 2 6 3" xfId="17710"/>
    <cellStyle name="Note 2 3 2 2 2 7" xfId="4333"/>
    <cellStyle name="Note 2 3 2 2 2 7 2" xfId="22892"/>
    <cellStyle name="Note 2 3 2 2 2 8" xfId="4858"/>
    <cellStyle name="Note 2 3 2 2 3" xfId="1817"/>
    <cellStyle name="Note 2 3 2 2 3 2" xfId="1818"/>
    <cellStyle name="Note 2 3 2 2 3 2 2" xfId="1819"/>
    <cellStyle name="Note 2 3 2 2 3 2 2 2" xfId="6830"/>
    <cellStyle name="Note 2 3 2 2 3 2 2 2 2" xfId="13434"/>
    <cellStyle name="Note 2 3 2 2 3 2 2 2 2 2" xfId="27756"/>
    <cellStyle name="Note 2 3 2 2 3 2 2 2 3" xfId="19079"/>
    <cellStyle name="Note 2 3 2 2 3 2 2 3" xfId="5011"/>
    <cellStyle name="Note 2 3 2 2 3 2 2 3 2" xfId="9541"/>
    <cellStyle name="Note 2 3 2 2 3 2 2 3 2 2" xfId="15803"/>
    <cellStyle name="Note 2 3 2 2 3 2 2 3 2 2 2" xfId="29219"/>
    <cellStyle name="Note 2 3 2 2 3 2 2 3 2 3" xfId="20548"/>
    <cellStyle name="Note 2 3 2 2 3 2 2 3 3" xfId="11556"/>
    <cellStyle name="Note 2 3 2 2 3 2 2 3 3 2" xfId="25878"/>
    <cellStyle name="Note 2 3 2 2 3 2 2 3 4" xfId="15109"/>
    <cellStyle name="Note 2 3 2 2 3 2 2 4" xfId="2820"/>
    <cellStyle name="Note 2 3 2 2 3 2 2 4 2" xfId="22383"/>
    <cellStyle name="Note 2 3 2 2 3 2 2 5" xfId="15027"/>
    <cellStyle name="Note 2 3 2 2 3 2 3" xfId="1820"/>
    <cellStyle name="Note 2 3 2 2 3 2 3 2" xfId="7364"/>
    <cellStyle name="Note 2 3 2 2 3 2 3 2 2" xfId="9978"/>
    <cellStyle name="Note 2 3 2 2 3 2 3 2 2 2" xfId="16240"/>
    <cellStyle name="Note 2 3 2 2 3 2 3 2 2 2 2" xfId="29656"/>
    <cellStyle name="Note 2 3 2 2 3 2 3 2 2 3" xfId="20985"/>
    <cellStyle name="Note 2 3 2 2 3 2 3 2 3" xfId="13968"/>
    <cellStyle name="Note 2 3 2 2 3 2 3 2 3 2" xfId="28290"/>
    <cellStyle name="Note 2 3 2 2 3 2 3 2 4" xfId="19613"/>
    <cellStyle name="Note 2 3 2 2 3 2 3 3" xfId="13356"/>
    <cellStyle name="Note 2 3 2 2 3 2 3 3 2" xfId="27678"/>
    <cellStyle name="Note 2 3 2 2 3 2 3 4" xfId="19001"/>
    <cellStyle name="Note 2 3 2 2 3 2 4" xfId="5806"/>
    <cellStyle name="Note 2 3 2 2 3 2 4 2" xfId="12359"/>
    <cellStyle name="Note 2 3 2 2 3 2 4 2 2" xfId="26681"/>
    <cellStyle name="Note 2 3 2 2 3 2 4 3" xfId="18004"/>
    <cellStyle name="Note 2 3 2 2 3 2 5" xfId="6590"/>
    <cellStyle name="Note 2 3 2 2 3 2 5 2" xfId="23593"/>
    <cellStyle name="Note 2 3 2 2 3 2 6" xfId="15436"/>
    <cellStyle name="Note 2 3 2 2 3 3" xfId="1821"/>
    <cellStyle name="Note 2 3 2 2 3 3 2" xfId="1822"/>
    <cellStyle name="Note 2 3 2 2 3 3 2 2" xfId="6592"/>
    <cellStyle name="Note 2 3 2 2 3 3 2 2 2" xfId="13181"/>
    <cellStyle name="Note 2 3 2 2 3 3 2 2 2 2" xfId="27503"/>
    <cellStyle name="Note 2 3 2 2 3 3 2 2 3" xfId="18826"/>
    <cellStyle name="Note 2 3 2 2 3 3 2 3" xfId="4418"/>
    <cellStyle name="Note 2 3 2 2 3 3 2 3 2" xfId="9465"/>
    <cellStyle name="Note 2 3 2 2 3 3 2 3 2 2" xfId="15727"/>
    <cellStyle name="Note 2 3 2 2 3 3 2 3 2 2 2" xfId="29143"/>
    <cellStyle name="Note 2 3 2 2 3 3 2 3 2 3" xfId="20472"/>
    <cellStyle name="Note 2 3 2 2 3 3 2 3 3" xfId="6480"/>
    <cellStyle name="Note 2 3 2 2 3 3 2 3 3 2" xfId="23562"/>
    <cellStyle name="Note 2 3 2 2 3 3 2 3 4" xfId="4394"/>
    <cellStyle name="Note 2 3 2 2 3 3 2 4" xfId="4271"/>
    <cellStyle name="Note 2 3 2 2 3 3 2 4 2" xfId="22862"/>
    <cellStyle name="Note 2 3 2 2 3 3 2 5" xfId="17041"/>
    <cellStyle name="Note 2 3 2 2 3 3 3" xfId="1823"/>
    <cellStyle name="Note 2 3 2 2 3 3 3 2" xfId="7393"/>
    <cellStyle name="Note 2 3 2 2 3 3 3 2 2" xfId="10007"/>
    <cellStyle name="Note 2 3 2 2 3 3 3 2 2 2" xfId="16269"/>
    <cellStyle name="Note 2 3 2 2 3 3 3 2 2 2 2" xfId="29685"/>
    <cellStyle name="Note 2 3 2 2 3 3 3 2 2 3" xfId="21014"/>
    <cellStyle name="Note 2 3 2 2 3 3 3 2 3" xfId="13997"/>
    <cellStyle name="Note 2 3 2 2 3 3 3 2 3 2" xfId="28319"/>
    <cellStyle name="Note 2 3 2 2 3 3 3 2 4" xfId="19642"/>
    <cellStyle name="Note 2 3 2 2 3 3 3 3" xfId="12696"/>
    <cellStyle name="Note 2 3 2 2 3 3 3 3 2" xfId="27018"/>
    <cellStyle name="Note 2 3 2 2 3 3 3 4" xfId="18341"/>
    <cellStyle name="Note 2 3 2 2 3 3 4" xfId="5145"/>
    <cellStyle name="Note 2 3 2 2 3 3 4 2" xfId="11694"/>
    <cellStyle name="Note 2 3 2 2 3 3 4 2 2" xfId="26016"/>
    <cellStyle name="Note 2 3 2 2 3 3 4 3" xfId="3885"/>
    <cellStyle name="Note 2 3 2 2 3 3 5" xfId="4481"/>
    <cellStyle name="Note 2 3 2 2 3 3 5 2" xfId="22979"/>
    <cellStyle name="Note 2 3 2 2 3 3 6" xfId="15490"/>
    <cellStyle name="Note 2 3 2 2 3 4" xfId="1824"/>
    <cellStyle name="Note 2 3 2 2 3 4 2" xfId="6416"/>
    <cellStyle name="Note 2 3 2 2 3 4 2 2" xfId="12999"/>
    <cellStyle name="Note 2 3 2 2 3 4 2 2 2" xfId="27321"/>
    <cellStyle name="Note 2 3 2 2 3 4 2 3" xfId="18644"/>
    <cellStyle name="Note 2 3 2 2 3 4 3" xfId="3588"/>
    <cellStyle name="Note 2 3 2 2 3 4 3 2" xfId="9338"/>
    <cellStyle name="Note 2 3 2 2 3 4 3 2 2" xfId="15600"/>
    <cellStyle name="Note 2 3 2 2 3 4 3 2 2 2" xfId="29016"/>
    <cellStyle name="Note 2 3 2 2 3 4 3 2 3" xfId="20345"/>
    <cellStyle name="Note 2 3 2 2 3 4 3 3" xfId="4424"/>
    <cellStyle name="Note 2 3 2 2 3 4 3 3 2" xfId="22942"/>
    <cellStyle name="Note 2 3 2 2 3 4 3 4" xfId="14932"/>
    <cellStyle name="Note 2 3 2 2 3 4 4" xfId="4539"/>
    <cellStyle name="Note 2 3 2 2 3 4 4 2" xfId="23019"/>
    <cellStyle name="Note 2 3 2 2 3 4 5" xfId="17055"/>
    <cellStyle name="Note 2 3 2 2 3 5" xfId="1825"/>
    <cellStyle name="Note 2 3 2 2 3 5 2" xfId="7460"/>
    <cellStyle name="Note 2 3 2 2 3 5 2 2" xfId="10074"/>
    <cellStyle name="Note 2 3 2 2 3 5 2 2 2" xfId="16336"/>
    <cellStyle name="Note 2 3 2 2 3 5 2 2 2 2" xfId="29752"/>
    <cellStyle name="Note 2 3 2 2 3 5 2 2 3" xfId="21081"/>
    <cellStyle name="Note 2 3 2 2 3 5 2 3" xfId="14064"/>
    <cellStyle name="Note 2 3 2 2 3 5 2 3 2" xfId="28386"/>
    <cellStyle name="Note 2 3 2 2 3 5 2 4" xfId="19709"/>
    <cellStyle name="Note 2 3 2 2 3 5 3" xfId="12932"/>
    <cellStyle name="Note 2 3 2 2 3 5 3 2" xfId="27254"/>
    <cellStyle name="Note 2 3 2 2 3 5 4" xfId="18577"/>
    <cellStyle name="Note 2 3 2 2 3 6" xfId="5556"/>
    <cellStyle name="Note 2 3 2 2 3 6 2" xfId="12107"/>
    <cellStyle name="Note 2 3 2 2 3 6 2 2" xfId="26429"/>
    <cellStyle name="Note 2 3 2 2 3 6 3" xfId="17752"/>
    <cellStyle name="Note 2 3 2 2 3 7" xfId="4588"/>
    <cellStyle name="Note 2 3 2 2 3 7 2" xfId="23051"/>
    <cellStyle name="Note 2 3 2 2 3 8" xfId="4374"/>
    <cellStyle name="Note 2 3 2 2 4" xfId="1826"/>
    <cellStyle name="Note 2 3 2 2 4 2" xfId="1827"/>
    <cellStyle name="Note 2 3 2 2 4 2 2" xfId="1828"/>
    <cellStyle name="Note 2 3 2 2 4 2 2 2" xfId="6882"/>
    <cellStyle name="Note 2 3 2 2 4 2 2 2 2" xfId="13486"/>
    <cellStyle name="Note 2 3 2 2 4 2 2 2 2 2" xfId="27808"/>
    <cellStyle name="Note 2 3 2 2 4 2 2 2 3" xfId="19131"/>
    <cellStyle name="Note 2 3 2 2 4 2 2 3" xfId="7585"/>
    <cellStyle name="Note 2 3 2 2 4 2 2 3 2" xfId="10199"/>
    <cellStyle name="Note 2 3 2 2 4 2 2 3 2 2" xfId="16461"/>
    <cellStyle name="Note 2 3 2 2 4 2 2 3 2 2 2" xfId="29877"/>
    <cellStyle name="Note 2 3 2 2 4 2 2 3 2 3" xfId="21206"/>
    <cellStyle name="Note 2 3 2 2 4 2 2 3 3" xfId="14189"/>
    <cellStyle name="Note 2 3 2 2 4 2 2 3 3 2" xfId="28511"/>
    <cellStyle name="Note 2 3 2 2 4 2 2 3 4" xfId="19834"/>
    <cellStyle name="Note 2 3 2 2 4 2 2 4" xfId="11356"/>
    <cellStyle name="Note 2 3 2 2 4 2 2 4 2" xfId="25678"/>
    <cellStyle name="Note 2 3 2 2 4 2 2 5" xfId="17346"/>
    <cellStyle name="Note 2 3 2 2 4 2 3" xfId="1829"/>
    <cellStyle name="Note 2 3 2 2 4 2 3 2" xfId="4457"/>
    <cellStyle name="Note 2 3 2 2 4 2 3 2 2" xfId="9467"/>
    <cellStyle name="Note 2 3 2 2 4 2 3 2 2 2" xfId="15729"/>
    <cellStyle name="Note 2 3 2 2 4 2 3 2 2 2 2" xfId="29145"/>
    <cellStyle name="Note 2 3 2 2 4 2 3 2 2 3" xfId="20474"/>
    <cellStyle name="Note 2 3 2 2 4 2 3 2 3" xfId="6131"/>
    <cellStyle name="Note 2 3 2 2 4 2 3 2 3 2" xfId="23423"/>
    <cellStyle name="Note 2 3 2 2 4 2 3 2 4" xfId="15375"/>
    <cellStyle name="Note 2 3 2 2 4 2 3 3" xfId="13242"/>
    <cellStyle name="Note 2 3 2 2 4 2 3 3 2" xfId="27564"/>
    <cellStyle name="Note 2 3 2 2 4 2 3 4" xfId="18887"/>
    <cellStyle name="Note 2 3 2 2 4 2 4" xfId="5683"/>
    <cellStyle name="Note 2 3 2 2 4 2 4 2" xfId="12236"/>
    <cellStyle name="Note 2 3 2 2 4 2 4 2 2" xfId="26558"/>
    <cellStyle name="Note 2 3 2 2 4 2 4 3" xfId="17881"/>
    <cellStyle name="Note 2 3 2 2 4 2 5" xfId="4233"/>
    <cellStyle name="Note 2 3 2 2 4 2 5 2" xfId="22843"/>
    <cellStyle name="Note 2 3 2 2 4 2 6" xfId="16971"/>
    <cellStyle name="Note 2 3 2 2 4 3" xfId="1830"/>
    <cellStyle name="Note 2 3 2 2 4 3 2" xfId="1831"/>
    <cellStyle name="Note 2 3 2 2 4 3 2 2" xfId="6846"/>
    <cellStyle name="Note 2 3 2 2 4 3 2 2 2" xfId="13450"/>
    <cellStyle name="Note 2 3 2 2 4 3 2 2 2 2" xfId="27772"/>
    <cellStyle name="Note 2 3 2 2 4 3 2 2 3" xfId="19095"/>
    <cellStyle name="Note 2 3 2 2 4 3 2 3" xfId="5284"/>
    <cellStyle name="Note 2 3 2 2 4 3 2 3 2" xfId="9593"/>
    <cellStyle name="Note 2 3 2 2 4 3 2 3 2 2" xfId="15855"/>
    <cellStyle name="Note 2 3 2 2 4 3 2 3 2 2 2" xfId="29271"/>
    <cellStyle name="Note 2 3 2 2 4 3 2 3 2 3" xfId="20600"/>
    <cellStyle name="Note 2 3 2 2 4 3 2 3 3" xfId="11834"/>
    <cellStyle name="Note 2 3 2 2 4 3 2 3 3 2" xfId="26156"/>
    <cellStyle name="Note 2 3 2 2 4 3 2 3 4" xfId="17479"/>
    <cellStyle name="Note 2 3 2 2 4 3 2 4" xfId="2809"/>
    <cellStyle name="Note 2 3 2 2 4 3 2 4 2" xfId="22372"/>
    <cellStyle name="Note 2 3 2 2 4 3 2 5" xfId="17004"/>
    <cellStyle name="Note 2 3 2 2 4 3 3" xfId="1832"/>
    <cellStyle name="Note 2 3 2 2 4 3 3 2" xfId="7845"/>
    <cellStyle name="Note 2 3 2 2 4 3 3 2 2" xfId="10459"/>
    <cellStyle name="Note 2 3 2 2 4 3 3 2 2 2" xfId="16721"/>
    <cellStyle name="Note 2 3 2 2 4 3 3 2 2 2 2" xfId="30137"/>
    <cellStyle name="Note 2 3 2 2 4 3 3 2 2 3" xfId="21466"/>
    <cellStyle name="Note 2 3 2 2 4 3 3 2 3" xfId="14449"/>
    <cellStyle name="Note 2 3 2 2 4 3 3 2 3 2" xfId="28771"/>
    <cellStyle name="Note 2 3 2 2 4 3 3 2 4" xfId="20094"/>
    <cellStyle name="Note 2 3 2 2 4 3 3 3" xfId="13035"/>
    <cellStyle name="Note 2 3 2 2 4 3 3 3 2" xfId="27357"/>
    <cellStyle name="Note 2 3 2 2 4 3 3 4" xfId="18680"/>
    <cellStyle name="Note 2 3 2 2 4 3 4" xfId="5348"/>
    <cellStyle name="Note 2 3 2 2 4 3 4 2" xfId="11898"/>
    <cellStyle name="Note 2 3 2 2 4 3 4 2 2" xfId="26220"/>
    <cellStyle name="Note 2 3 2 2 4 3 4 3" xfId="17543"/>
    <cellStyle name="Note 2 3 2 2 4 3 5" xfId="6574"/>
    <cellStyle name="Note 2 3 2 2 4 3 5 2" xfId="23584"/>
    <cellStyle name="Note 2 3 2 2 4 3 6" xfId="17168"/>
    <cellStyle name="Note 2 3 2 2 4 4" xfId="1833"/>
    <cellStyle name="Note 2 3 2 2 4 4 2" xfId="6229"/>
    <cellStyle name="Note 2 3 2 2 4 4 2 2" xfId="12804"/>
    <cellStyle name="Note 2 3 2 2 4 4 2 2 2" xfId="27126"/>
    <cellStyle name="Note 2 3 2 2 4 4 2 3" xfId="18449"/>
    <cellStyle name="Note 2 3 2 2 4 4 3" xfId="7788"/>
    <cellStyle name="Note 2 3 2 2 4 4 3 2" xfId="10402"/>
    <cellStyle name="Note 2 3 2 2 4 4 3 2 2" xfId="16664"/>
    <cellStyle name="Note 2 3 2 2 4 4 3 2 2 2" xfId="30080"/>
    <cellStyle name="Note 2 3 2 2 4 4 3 2 3" xfId="21409"/>
    <cellStyle name="Note 2 3 2 2 4 4 3 3" xfId="14392"/>
    <cellStyle name="Note 2 3 2 2 4 4 3 3 2" xfId="28714"/>
    <cellStyle name="Note 2 3 2 2 4 4 3 4" xfId="20037"/>
    <cellStyle name="Note 2 3 2 2 4 4 4" xfId="6261"/>
    <cellStyle name="Note 2 3 2 2 4 4 4 2" xfId="23479"/>
    <cellStyle name="Note 2 3 2 2 4 4 5" xfId="15032"/>
    <cellStyle name="Note 2 3 2 2 4 5" xfId="1834"/>
    <cellStyle name="Note 2 3 2 2 4 5 2" xfId="7468"/>
    <cellStyle name="Note 2 3 2 2 4 5 2 2" xfId="10082"/>
    <cellStyle name="Note 2 3 2 2 4 5 2 2 2" xfId="16344"/>
    <cellStyle name="Note 2 3 2 2 4 5 2 2 2 2" xfId="29760"/>
    <cellStyle name="Note 2 3 2 2 4 5 2 2 3" xfId="21089"/>
    <cellStyle name="Note 2 3 2 2 4 5 2 3" xfId="14072"/>
    <cellStyle name="Note 2 3 2 2 4 5 2 3 2" xfId="28394"/>
    <cellStyle name="Note 2 3 2 2 4 5 2 4" xfId="19717"/>
    <cellStyle name="Note 2 3 2 2 4 5 3" xfId="12702"/>
    <cellStyle name="Note 2 3 2 2 4 5 3 2" xfId="27024"/>
    <cellStyle name="Note 2 3 2 2 4 5 4" xfId="18347"/>
    <cellStyle name="Note 2 3 2 2 4 6" xfId="5131"/>
    <cellStyle name="Note 2 3 2 2 4 6 2" xfId="11680"/>
    <cellStyle name="Note 2 3 2 2 4 6 2 2" xfId="26002"/>
    <cellStyle name="Note 2 3 2 2 4 6 3" xfId="3642"/>
    <cellStyle name="Note 2 3 2 2 4 7" xfId="4013"/>
    <cellStyle name="Note 2 3 2 2 4 7 2" xfId="22701"/>
    <cellStyle name="Note 2 3 2 2 4 8" xfId="14776"/>
    <cellStyle name="Note 2 3 2 2 5" xfId="1835"/>
    <cellStyle name="Note 2 3 2 2 5 2" xfId="1836"/>
    <cellStyle name="Note 2 3 2 2 5 2 2" xfId="1837"/>
    <cellStyle name="Note 2 3 2 2 5 2 2 2" xfId="6139"/>
    <cellStyle name="Note 2 3 2 2 5 2 2 2 2" xfId="12709"/>
    <cellStyle name="Note 2 3 2 2 5 2 2 2 2 2" xfId="27031"/>
    <cellStyle name="Note 2 3 2 2 5 2 2 2 3" xfId="18354"/>
    <cellStyle name="Note 2 3 2 2 5 2 2 3" xfId="4968"/>
    <cellStyle name="Note 2 3 2 2 5 2 2 3 2" xfId="9527"/>
    <cellStyle name="Note 2 3 2 2 5 2 2 3 2 2" xfId="15789"/>
    <cellStyle name="Note 2 3 2 2 5 2 2 3 2 2 2" xfId="29205"/>
    <cellStyle name="Note 2 3 2 2 5 2 2 3 2 3" xfId="20534"/>
    <cellStyle name="Note 2 3 2 2 5 2 2 3 3" xfId="11510"/>
    <cellStyle name="Note 2 3 2 2 5 2 2 3 3 2" xfId="25832"/>
    <cellStyle name="Note 2 3 2 2 5 2 2 3 4" xfId="14890"/>
    <cellStyle name="Note 2 3 2 2 5 2 2 4" xfId="3818"/>
    <cellStyle name="Note 2 3 2 2 5 2 2 4 2" xfId="22597"/>
    <cellStyle name="Note 2 3 2 2 5 2 2 5" xfId="17366"/>
    <cellStyle name="Note 2 3 2 2 5 2 3" xfId="1838"/>
    <cellStyle name="Note 2 3 2 2 5 2 3 2" xfId="7904"/>
    <cellStyle name="Note 2 3 2 2 5 2 3 2 2" xfId="10518"/>
    <cellStyle name="Note 2 3 2 2 5 2 3 2 2 2" xfId="16780"/>
    <cellStyle name="Note 2 3 2 2 5 2 3 2 2 2 2" xfId="30196"/>
    <cellStyle name="Note 2 3 2 2 5 2 3 2 2 3" xfId="21525"/>
    <cellStyle name="Note 2 3 2 2 5 2 3 2 3" xfId="14508"/>
    <cellStyle name="Note 2 3 2 2 5 2 3 2 3 2" xfId="28830"/>
    <cellStyle name="Note 2 3 2 2 5 2 3 2 4" xfId="20153"/>
    <cellStyle name="Note 2 3 2 2 5 2 3 3" xfId="13371"/>
    <cellStyle name="Note 2 3 2 2 5 2 3 3 2" xfId="27693"/>
    <cellStyle name="Note 2 3 2 2 5 2 3 4" xfId="19016"/>
    <cellStyle name="Note 2 3 2 2 5 2 4" xfId="5822"/>
    <cellStyle name="Note 2 3 2 2 5 2 4 2" xfId="12375"/>
    <cellStyle name="Note 2 3 2 2 5 2 4 2 2" xfId="26697"/>
    <cellStyle name="Note 2 3 2 2 5 2 4 3" xfId="18020"/>
    <cellStyle name="Note 2 3 2 2 5 2 5" xfId="4200"/>
    <cellStyle name="Note 2 3 2 2 5 2 5 2" xfId="22817"/>
    <cellStyle name="Note 2 3 2 2 5 2 6" xfId="14689"/>
    <cellStyle name="Note 2 3 2 2 5 3" xfId="1839"/>
    <cellStyle name="Note 2 3 2 2 5 3 2" xfId="6438"/>
    <cellStyle name="Note 2 3 2 2 5 3 2 2" xfId="13021"/>
    <cellStyle name="Note 2 3 2 2 5 3 2 2 2" xfId="27343"/>
    <cellStyle name="Note 2 3 2 2 5 3 2 3" xfId="18666"/>
    <cellStyle name="Note 2 3 2 2 5 3 3" xfId="7118"/>
    <cellStyle name="Note 2 3 2 2 5 3 3 2" xfId="9732"/>
    <cellStyle name="Note 2 3 2 2 5 3 3 2 2" xfId="15994"/>
    <cellStyle name="Note 2 3 2 2 5 3 3 2 2 2" xfId="29410"/>
    <cellStyle name="Note 2 3 2 2 5 3 3 2 3" xfId="20739"/>
    <cellStyle name="Note 2 3 2 2 5 3 3 3" xfId="13722"/>
    <cellStyle name="Note 2 3 2 2 5 3 3 3 2" xfId="28044"/>
    <cellStyle name="Note 2 3 2 2 5 3 3 4" xfId="19367"/>
    <cellStyle name="Note 2 3 2 2 5 3 4" xfId="6262"/>
    <cellStyle name="Note 2 3 2 2 5 3 4 2" xfId="23480"/>
    <cellStyle name="Note 2 3 2 2 5 3 5" xfId="17327"/>
    <cellStyle name="Note 2 3 2 2 5 4" xfId="1840"/>
    <cellStyle name="Note 2 3 2 2 5 4 2" xfId="5245"/>
    <cellStyle name="Note 2 3 2 2 5 4 2 2" xfId="9555"/>
    <cellStyle name="Note 2 3 2 2 5 4 2 2 2" xfId="15817"/>
    <cellStyle name="Note 2 3 2 2 5 4 2 2 2 2" xfId="29233"/>
    <cellStyle name="Note 2 3 2 2 5 4 2 2 3" xfId="20562"/>
    <cellStyle name="Note 2 3 2 2 5 4 2 3" xfId="11795"/>
    <cellStyle name="Note 2 3 2 2 5 4 2 3 2" xfId="26117"/>
    <cellStyle name="Note 2 3 2 2 5 4 2 4" xfId="17440"/>
    <cellStyle name="Note 2 3 2 2 5 4 3" xfId="12719"/>
    <cellStyle name="Note 2 3 2 2 5 4 3 2" xfId="27041"/>
    <cellStyle name="Note 2 3 2 2 5 4 4" xfId="18364"/>
    <cellStyle name="Note 2 3 2 2 5 5" xfId="3144"/>
    <cellStyle name="Note 2 3 2 2 5 5 2" xfId="4713"/>
    <cellStyle name="Note 2 3 2 2 5 5 2 2" xfId="23145"/>
    <cellStyle name="Note 2 3 2 2 5 5 3" xfId="15098"/>
    <cellStyle name="Note 2 3 2 2 5 6" xfId="4230"/>
    <cellStyle name="Note 2 3 2 2 5 6 2" xfId="22840"/>
    <cellStyle name="Note 2 3 2 2 5 7" xfId="17229"/>
    <cellStyle name="Note 2 3 2 2 6" xfId="1841"/>
    <cellStyle name="Note 2 3 2 2 6 2" xfId="1842"/>
    <cellStyle name="Note 2 3 2 2 6 2 2" xfId="5912"/>
    <cellStyle name="Note 2 3 2 2 6 2 2 2" xfId="12466"/>
    <cellStyle name="Note 2 3 2 2 6 2 2 2 2" xfId="26788"/>
    <cellStyle name="Note 2 3 2 2 6 2 2 3" xfId="18111"/>
    <cellStyle name="Note 2 3 2 2 6 2 3" xfId="7500"/>
    <cellStyle name="Note 2 3 2 2 6 2 3 2" xfId="10114"/>
    <cellStyle name="Note 2 3 2 2 6 2 3 2 2" xfId="16376"/>
    <cellStyle name="Note 2 3 2 2 6 2 3 2 2 2" xfId="29792"/>
    <cellStyle name="Note 2 3 2 2 6 2 3 2 3" xfId="21121"/>
    <cellStyle name="Note 2 3 2 2 6 2 3 3" xfId="14104"/>
    <cellStyle name="Note 2 3 2 2 6 2 3 3 2" xfId="28426"/>
    <cellStyle name="Note 2 3 2 2 6 2 3 4" xfId="19749"/>
    <cellStyle name="Note 2 3 2 2 6 2 4" xfId="4476"/>
    <cellStyle name="Note 2 3 2 2 6 2 4 2" xfId="22974"/>
    <cellStyle name="Note 2 3 2 2 6 2 5" xfId="14824"/>
    <cellStyle name="Note 2 3 2 2 6 3" xfId="1843"/>
    <cellStyle name="Note 2 3 2 2 6 3 2" xfId="7310"/>
    <cellStyle name="Note 2 3 2 2 6 3 2 2" xfId="9924"/>
    <cellStyle name="Note 2 3 2 2 6 3 2 2 2" xfId="16186"/>
    <cellStyle name="Note 2 3 2 2 6 3 2 2 2 2" xfId="29602"/>
    <cellStyle name="Note 2 3 2 2 6 3 2 2 3" xfId="20931"/>
    <cellStyle name="Note 2 3 2 2 6 3 2 3" xfId="13914"/>
    <cellStyle name="Note 2 3 2 2 6 3 2 3 2" xfId="28236"/>
    <cellStyle name="Note 2 3 2 2 6 3 2 4" xfId="19559"/>
    <cellStyle name="Note 2 3 2 2 6 3 3" xfId="11682"/>
    <cellStyle name="Note 2 3 2 2 6 3 3 2" xfId="26004"/>
    <cellStyle name="Note 2 3 2 2 6 3 4" xfId="3948"/>
    <cellStyle name="Note 2 3 2 2 6 4" xfId="5129"/>
    <cellStyle name="Note 2 3 2 2 6 4 2" xfId="11678"/>
    <cellStyle name="Note 2 3 2 2 6 4 2 2" xfId="26000"/>
    <cellStyle name="Note 2 3 2 2 6 4 3" xfId="6339"/>
    <cellStyle name="Note 2 3 2 2 6 5" xfId="3739"/>
    <cellStyle name="Note 2 3 2 2 6 5 2" xfId="22556"/>
    <cellStyle name="Note 2 3 2 2 6 6" xfId="15045"/>
    <cellStyle name="Note 2 3 2 2 7" xfId="1844"/>
    <cellStyle name="Note 2 3 2 2 7 2" xfId="6052"/>
    <cellStyle name="Note 2 3 2 2 7 2 2" xfId="12618"/>
    <cellStyle name="Note 2 3 2 2 7 2 2 2" xfId="26940"/>
    <cellStyle name="Note 2 3 2 2 7 2 3" xfId="18263"/>
    <cellStyle name="Note 2 3 2 2 7 3" xfId="7893"/>
    <cellStyle name="Note 2 3 2 2 7 3 2" xfId="10507"/>
    <cellStyle name="Note 2 3 2 2 7 3 2 2" xfId="16769"/>
    <cellStyle name="Note 2 3 2 2 7 3 2 2 2" xfId="30185"/>
    <cellStyle name="Note 2 3 2 2 7 3 2 3" xfId="21514"/>
    <cellStyle name="Note 2 3 2 2 7 3 3" xfId="14497"/>
    <cellStyle name="Note 2 3 2 2 7 3 3 2" xfId="28819"/>
    <cellStyle name="Note 2 3 2 2 7 3 4" xfId="20142"/>
    <cellStyle name="Note 2 3 2 2 7 4" xfId="5923"/>
    <cellStyle name="Note 2 3 2 2 7 4 2" xfId="23373"/>
    <cellStyle name="Note 2 3 2 2 7 5" xfId="17126"/>
    <cellStyle name="Note 2 3 2 2 8" xfId="1845"/>
    <cellStyle name="Note 2 3 2 2 8 2" xfId="7827"/>
    <cellStyle name="Note 2 3 2 2 8 2 2" xfId="10441"/>
    <cellStyle name="Note 2 3 2 2 8 2 2 2" xfId="16703"/>
    <cellStyle name="Note 2 3 2 2 8 2 2 2 2" xfId="30119"/>
    <cellStyle name="Note 2 3 2 2 8 2 2 3" xfId="21448"/>
    <cellStyle name="Note 2 3 2 2 8 2 3" xfId="14431"/>
    <cellStyle name="Note 2 3 2 2 8 2 3 2" xfId="28753"/>
    <cellStyle name="Note 2 3 2 2 8 2 4" xfId="20076"/>
    <cellStyle name="Note 2 3 2 2 8 3" xfId="12760"/>
    <cellStyle name="Note 2 3 2 2 8 3 2" xfId="27082"/>
    <cellStyle name="Note 2 3 2 2 8 4" xfId="18405"/>
    <cellStyle name="Note 2 3 2 2 9" xfId="5471"/>
    <cellStyle name="Note 2 3 2 2 9 2" xfId="12022"/>
    <cellStyle name="Note 2 3 2 2 9 2 2" xfId="26344"/>
    <cellStyle name="Note 2 3 2 2 9 3" xfId="17667"/>
    <cellStyle name="Note 2 3 2 3" xfId="1846"/>
    <cellStyle name="Note 2 3 2 3 2" xfId="1847"/>
    <cellStyle name="Note 2 3 2 3 2 2" xfId="1848"/>
    <cellStyle name="Note 2 3 2 3 2 2 2" xfId="6571"/>
    <cellStyle name="Note 2 3 2 3 2 2 2 2" xfId="13159"/>
    <cellStyle name="Note 2 3 2 3 2 2 2 2 2" xfId="27481"/>
    <cellStyle name="Note 2 3 2 3 2 2 2 3" xfId="18804"/>
    <cellStyle name="Note 2 3 2 3 2 2 3" xfId="7603"/>
    <cellStyle name="Note 2 3 2 3 2 2 3 2" xfId="10217"/>
    <cellStyle name="Note 2 3 2 3 2 2 3 2 2" xfId="16479"/>
    <cellStyle name="Note 2 3 2 3 2 2 3 2 2 2" xfId="29895"/>
    <cellStyle name="Note 2 3 2 3 2 2 3 2 3" xfId="21224"/>
    <cellStyle name="Note 2 3 2 3 2 2 3 3" xfId="14207"/>
    <cellStyle name="Note 2 3 2 3 2 2 3 3 2" xfId="28529"/>
    <cellStyle name="Note 2 3 2 3 2 2 3 4" xfId="19852"/>
    <cellStyle name="Note 2 3 2 3 2 2 4" xfId="3994"/>
    <cellStyle name="Note 2 3 2 3 2 2 4 2" xfId="22691"/>
    <cellStyle name="Note 2 3 2 3 2 2 5" xfId="3771"/>
    <cellStyle name="Note 2 3 2 3 2 3" xfId="1849"/>
    <cellStyle name="Note 2 3 2 3 2 3 2" xfId="7388"/>
    <cellStyle name="Note 2 3 2 3 2 3 2 2" xfId="10002"/>
    <cellStyle name="Note 2 3 2 3 2 3 2 2 2" xfId="16264"/>
    <cellStyle name="Note 2 3 2 3 2 3 2 2 2 2" xfId="29680"/>
    <cellStyle name="Note 2 3 2 3 2 3 2 2 3" xfId="21009"/>
    <cellStyle name="Note 2 3 2 3 2 3 2 3" xfId="13992"/>
    <cellStyle name="Note 2 3 2 3 2 3 2 3 2" xfId="28314"/>
    <cellStyle name="Note 2 3 2 3 2 3 2 4" xfId="19637"/>
    <cellStyle name="Note 2 3 2 3 2 3 3" xfId="13306"/>
    <cellStyle name="Note 2 3 2 3 2 3 3 2" xfId="27628"/>
    <cellStyle name="Note 2 3 2 3 2 3 4" xfId="18951"/>
    <cellStyle name="Note 2 3 2 3 2 4" xfId="5756"/>
    <cellStyle name="Note 2 3 2 3 2 4 2" xfId="12309"/>
    <cellStyle name="Note 2 3 2 3 2 4 2 2" xfId="26631"/>
    <cellStyle name="Note 2 3 2 3 2 4 3" xfId="17954"/>
    <cellStyle name="Note 2 3 2 3 2 5" xfId="6677"/>
    <cellStyle name="Note 2 3 2 3 2 5 2" xfId="23648"/>
    <cellStyle name="Note 2 3 2 3 2 6" xfId="15514"/>
    <cellStyle name="Note 2 3 2 3 3" xfId="1850"/>
    <cellStyle name="Note 2 3 2 3 3 2" xfId="1851"/>
    <cellStyle name="Note 2 3 2 3 3 2 2" xfId="6936"/>
    <cellStyle name="Note 2 3 2 3 3 2 2 2" xfId="13540"/>
    <cellStyle name="Note 2 3 2 3 3 2 2 2 2" xfId="27862"/>
    <cellStyle name="Note 2 3 2 3 3 2 2 3" xfId="19185"/>
    <cellStyle name="Note 2 3 2 3 3 2 3" xfId="7833"/>
    <cellStyle name="Note 2 3 2 3 3 2 3 2" xfId="10447"/>
    <cellStyle name="Note 2 3 2 3 3 2 3 2 2" xfId="16709"/>
    <cellStyle name="Note 2 3 2 3 3 2 3 2 2 2" xfId="30125"/>
    <cellStyle name="Note 2 3 2 3 3 2 3 2 3" xfId="21454"/>
    <cellStyle name="Note 2 3 2 3 3 2 3 3" xfId="14437"/>
    <cellStyle name="Note 2 3 2 3 3 2 3 3 2" xfId="28759"/>
    <cellStyle name="Note 2 3 2 3 3 2 3 4" xfId="20082"/>
    <cellStyle name="Note 2 3 2 3 3 2 4" xfId="11429"/>
    <cellStyle name="Note 2 3 2 3 3 2 4 2" xfId="25751"/>
    <cellStyle name="Note 2 3 2 3 3 2 5" xfId="15163"/>
    <cellStyle name="Note 2 3 2 3 3 3" xfId="1852"/>
    <cellStyle name="Note 2 3 2 3 3 3 2" xfId="7952"/>
    <cellStyle name="Note 2 3 2 3 3 3 2 2" xfId="10566"/>
    <cellStyle name="Note 2 3 2 3 3 3 2 2 2" xfId="16828"/>
    <cellStyle name="Note 2 3 2 3 3 3 2 2 2 2" xfId="30244"/>
    <cellStyle name="Note 2 3 2 3 3 3 2 2 3" xfId="21573"/>
    <cellStyle name="Note 2 3 2 3 3 3 2 3" xfId="14556"/>
    <cellStyle name="Note 2 3 2 3 3 3 2 3 2" xfId="28878"/>
    <cellStyle name="Note 2 3 2 3 3 3 2 4" xfId="20201"/>
    <cellStyle name="Note 2 3 2 3 3 3 3" xfId="13245"/>
    <cellStyle name="Note 2 3 2 3 3 3 3 2" xfId="27567"/>
    <cellStyle name="Note 2 3 2 3 3 3 4" xfId="18890"/>
    <cellStyle name="Note 2 3 2 3 3 4" xfId="5687"/>
    <cellStyle name="Note 2 3 2 3 3 4 2" xfId="12240"/>
    <cellStyle name="Note 2 3 2 3 3 4 2 2" xfId="26562"/>
    <cellStyle name="Note 2 3 2 3 3 4 3" xfId="17885"/>
    <cellStyle name="Note 2 3 2 3 3 5" xfId="6493"/>
    <cellStyle name="Note 2 3 2 3 3 5 2" xfId="23569"/>
    <cellStyle name="Note 2 3 2 3 3 6" xfId="17008"/>
    <cellStyle name="Note 2 3 2 3 4" xfId="1853"/>
    <cellStyle name="Note 2 3 2 3 4 2" xfId="7014"/>
    <cellStyle name="Note 2 3 2 3 4 2 2" xfId="13618"/>
    <cellStyle name="Note 2 3 2 3 4 2 2 2" xfId="27940"/>
    <cellStyle name="Note 2 3 2 3 4 2 3" xfId="19263"/>
    <cellStyle name="Note 2 3 2 3 4 3" xfId="8063"/>
    <cellStyle name="Note 2 3 2 3 4 3 2" xfId="10677"/>
    <cellStyle name="Note 2 3 2 3 4 3 2 2" xfId="16939"/>
    <cellStyle name="Note 2 3 2 3 4 3 2 2 2" xfId="30355"/>
    <cellStyle name="Note 2 3 2 3 4 3 2 3" xfId="21684"/>
    <cellStyle name="Note 2 3 2 3 4 3 3" xfId="14667"/>
    <cellStyle name="Note 2 3 2 3 4 3 3 2" xfId="28989"/>
    <cellStyle name="Note 2 3 2 3 4 3 4" xfId="20312"/>
    <cellStyle name="Note 2 3 2 3 4 4" xfId="11540"/>
    <cellStyle name="Note 2 3 2 3 4 4 2" xfId="25862"/>
    <cellStyle name="Note 2 3 2 3 4 5" xfId="17299"/>
    <cellStyle name="Note 2 3 2 3 5" xfId="1854"/>
    <cellStyle name="Note 2 3 2 3 5 2" xfId="8052"/>
    <cellStyle name="Note 2 3 2 3 5 2 2" xfId="10666"/>
    <cellStyle name="Note 2 3 2 3 5 2 2 2" xfId="16928"/>
    <cellStyle name="Note 2 3 2 3 5 2 2 2 2" xfId="30344"/>
    <cellStyle name="Note 2 3 2 3 5 2 2 3" xfId="21673"/>
    <cellStyle name="Note 2 3 2 3 5 2 3" xfId="14656"/>
    <cellStyle name="Note 2 3 2 3 5 2 3 2" xfId="28978"/>
    <cellStyle name="Note 2 3 2 3 5 2 4" xfId="20301"/>
    <cellStyle name="Note 2 3 2 3 5 3" xfId="12882"/>
    <cellStyle name="Note 2 3 2 3 5 3 2" xfId="27204"/>
    <cellStyle name="Note 2 3 2 3 5 4" xfId="18527"/>
    <cellStyle name="Note 2 3 2 3 6" xfId="5500"/>
    <cellStyle name="Note 2 3 2 3 6 2" xfId="12051"/>
    <cellStyle name="Note 2 3 2 3 6 2 2" xfId="26373"/>
    <cellStyle name="Note 2 3 2 3 6 3" xfId="17696"/>
    <cellStyle name="Note 2 3 2 3 7" xfId="5062"/>
    <cellStyle name="Note 2 3 2 3 7 2" xfId="23322"/>
    <cellStyle name="Note 2 3 2 3 8" xfId="4098"/>
    <cellStyle name="Note 2 3 2 4" xfId="1855"/>
    <cellStyle name="Note 2 3 2 4 2" xfId="1856"/>
    <cellStyle name="Note 2 3 2 4 2 2" xfId="1857"/>
    <cellStyle name="Note 2 3 2 4 2 2 2" xfId="6500"/>
    <cellStyle name="Note 2 3 2 4 2 2 2 2" xfId="13086"/>
    <cellStyle name="Note 2 3 2 4 2 2 2 2 2" xfId="27408"/>
    <cellStyle name="Note 2 3 2 4 2 2 2 3" xfId="18731"/>
    <cellStyle name="Note 2 3 2 4 2 2 3" xfId="7443"/>
    <cellStyle name="Note 2 3 2 4 2 2 3 2" xfId="10057"/>
    <cellStyle name="Note 2 3 2 4 2 2 3 2 2" xfId="16319"/>
    <cellStyle name="Note 2 3 2 4 2 2 3 2 2 2" xfId="29735"/>
    <cellStyle name="Note 2 3 2 4 2 2 3 2 3" xfId="21064"/>
    <cellStyle name="Note 2 3 2 4 2 2 3 3" xfId="14047"/>
    <cellStyle name="Note 2 3 2 4 2 2 3 3 2" xfId="28369"/>
    <cellStyle name="Note 2 3 2 4 2 2 3 4" xfId="19692"/>
    <cellStyle name="Note 2 3 2 4 2 2 4" xfId="4501"/>
    <cellStyle name="Note 2 3 2 4 2 2 4 2" xfId="22993"/>
    <cellStyle name="Note 2 3 2 4 2 2 5" xfId="15262"/>
    <cellStyle name="Note 2 3 2 4 2 3" xfId="1858"/>
    <cellStyle name="Note 2 3 2 4 2 3 2" xfId="5251"/>
    <cellStyle name="Note 2 3 2 4 2 3 2 2" xfId="9560"/>
    <cellStyle name="Note 2 3 2 4 2 3 2 2 2" xfId="15822"/>
    <cellStyle name="Note 2 3 2 4 2 3 2 2 2 2" xfId="29238"/>
    <cellStyle name="Note 2 3 2 4 2 3 2 2 3" xfId="20567"/>
    <cellStyle name="Note 2 3 2 4 2 3 2 3" xfId="11801"/>
    <cellStyle name="Note 2 3 2 4 2 3 2 3 2" xfId="26123"/>
    <cellStyle name="Note 2 3 2 4 2 3 2 4" xfId="17446"/>
    <cellStyle name="Note 2 3 2 4 2 3 3" xfId="13342"/>
    <cellStyle name="Note 2 3 2 4 2 3 3 2" xfId="27664"/>
    <cellStyle name="Note 2 3 2 4 2 3 4" xfId="18987"/>
    <cellStyle name="Note 2 3 2 4 2 4" xfId="5792"/>
    <cellStyle name="Note 2 3 2 4 2 4 2" xfId="12345"/>
    <cellStyle name="Note 2 3 2 4 2 4 2 2" xfId="26667"/>
    <cellStyle name="Note 2 3 2 4 2 4 3" xfId="17990"/>
    <cellStyle name="Note 2 3 2 4 2 5" xfId="4036"/>
    <cellStyle name="Note 2 3 2 4 2 5 2" xfId="22714"/>
    <cellStyle name="Note 2 3 2 4 2 6" xfId="14926"/>
    <cellStyle name="Note 2 3 2 4 3" xfId="1859"/>
    <cellStyle name="Note 2 3 2 4 3 2" xfId="1860"/>
    <cellStyle name="Note 2 3 2 4 3 2 2" xfId="6844"/>
    <cellStyle name="Note 2 3 2 4 3 2 2 2" xfId="13448"/>
    <cellStyle name="Note 2 3 2 4 3 2 2 2 2" xfId="27770"/>
    <cellStyle name="Note 2 3 2 4 3 2 2 3" xfId="19093"/>
    <cellStyle name="Note 2 3 2 4 3 2 3" xfId="8048"/>
    <cellStyle name="Note 2 3 2 4 3 2 3 2" xfId="10662"/>
    <cellStyle name="Note 2 3 2 4 3 2 3 2 2" xfId="16924"/>
    <cellStyle name="Note 2 3 2 4 3 2 3 2 2 2" xfId="30340"/>
    <cellStyle name="Note 2 3 2 4 3 2 3 2 3" xfId="21669"/>
    <cellStyle name="Note 2 3 2 4 3 2 3 3" xfId="14652"/>
    <cellStyle name="Note 2 3 2 4 3 2 3 3 2" xfId="28974"/>
    <cellStyle name="Note 2 3 2 4 3 2 3 4" xfId="20297"/>
    <cellStyle name="Note 2 3 2 4 3 2 4" xfId="2768"/>
    <cellStyle name="Note 2 3 2 4 3 2 4 2" xfId="22337"/>
    <cellStyle name="Note 2 3 2 4 3 2 5" xfId="15143"/>
    <cellStyle name="Note 2 3 2 4 3 3" xfId="1861"/>
    <cellStyle name="Note 2 3 2 4 3 3 2" xfId="5253"/>
    <cellStyle name="Note 2 3 2 4 3 3 2 2" xfId="9562"/>
    <cellStyle name="Note 2 3 2 4 3 3 2 2 2" xfId="15824"/>
    <cellStyle name="Note 2 3 2 4 3 3 2 2 2 2" xfId="29240"/>
    <cellStyle name="Note 2 3 2 4 3 3 2 2 3" xfId="20569"/>
    <cellStyle name="Note 2 3 2 4 3 3 2 3" xfId="11803"/>
    <cellStyle name="Note 2 3 2 4 3 3 2 3 2" xfId="26125"/>
    <cellStyle name="Note 2 3 2 4 3 3 2 4" xfId="17448"/>
    <cellStyle name="Note 2 3 2 4 3 3 3" xfId="13400"/>
    <cellStyle name="Note 2 3 2 4 3 3 3 2" xfId="27722"/>
    <cellStyle name="Note 2 3 2 4 3 3 4" xfId="19045"/>
    <cellStyle name="Note 2 3 2 4 3 4" xfId="5864"/>
    <cellStyle name="Note 2 3 2 4 3 4 2" xfId="12417"/>
    <cellStyle name="Note 2 3 2 4 3 4 2 2" xfId="26739"/>
    <cellStyle name="Note 2 3 2 4 3 4 3" xfId="18062"/>
    <cellStyle name="Note 2 3 2 4 3 5" xfId="3979"/>
    <cellStyle name="Note 2 3 2 4 3 5 2" xfId="22683"/>
    <cellStyle name="Note 2 3 2 4 3 6" xfId="17242"/>
    <cellStyle name="Note 2 3 2 4 4" xfId="1862"/>
    <cellStyle name="Note 2 3 2 4 4 2" xfId="5620"/>
    <cellStyle name="Note 2 3 2 4 4 2 2" xfId="12173"/>
    <cellStyle name="Note 2 3 2 4 4 2 2 2" xfId="26495"/>
    <cellStyle name="Note 2 3 2 4 4 2 3" xfId="17818"/>
    <cellStyle name="Note 2 3 2 4 4 3" xfId="7576"/>
    <cellStyle name="Note 2 3 2 4 4 3 2" xfId="10190"/>
    <cellStyle name="Note 2 3 2 4 4 3 2 2" xfId="16452"/>
    <cellStyle name="Note 2 3 2 4 4 3 2 2 2" xfId="29868"/>
    <cellStyle name="Note 2 3 2 4 4 3 2 3" xfId="21197"/>
    <cellStyle name="Note 2 3 2 4 4 3 3" xfId="14180"/>
    <cellStyle name="Note 2 3 2 4 4 3 3 2" xfId="28502"/>
    <cellStyle name="Note 2 3 2 4 4 3 4" xfId="19825"/>
    <cellStyle name="Note 2 3 2 4 4 4" xfId="3844"/>
    <cellStyle name="Note 2 3 2 4 4 4 2" xfId="22609"/>
    <cellStyle name="Note 2 3 2 4 4 5" xfId="17325"/>
    <cellStyle name="Note 2 3 2 4 5" xfId="1863"/>
    <cellStyle name="Note 2 3 2 4 5 2" xfId="5033"/>
    <cellStyle name="Note 2 3 2 4 5 2 2" xfId="9551"/>
    <cellStyle name="Note 2 3 2 4 5 2 2 2" xfId="15813"/>
    <cellStyle name="Note 2 3 2 4 5 2 2 2 2" xfId="29229"/>
    <cellStyle name="Note 2 3 2 4 5 2 2 3" xfId="20558"/>
    <cellStyle name="Note 2 3 2 4 5 2 3" xfId="11580"/>
    <cellStyle name="Note 2 3 2 4 5 2 3 2" xfId="25902"/>
    <cellStyle name="Note 2 3 2 4 5 2 4" xfId="15268"/>
    <cellStyle name="Note 2 3 2 4 5 3" xfId="12918"/>
    <cellStyle name="Note 2 3 2 4 5 3 2" xfId="27240"/>
    <cellStyle name="Note 2 3 2 4 5 4" xfId="18563"/>
    <cellStyle name="Note 2 3 2 4 6" xfId="5542"/>
    <cellStyle name="Note 2 3 2 4 6 2" xfId="12093"/>
    <cellStyle name="Note 2 3 2 4 6 2 2" xfId="26415"/>
    <cellStyle name="Note 2 3 2 4 6 3" xfId="17738"/>
    <cellStyle name="Note 2 3 2 4 7" xfId="4387"/>
    <cellStyle name="Note 2 3 2 4 7 2" xfId="22921"/>
    <cellStyle name="Note 2 3 2 4 8" xfId="17114"/>
    <cellStyle name="Note 2 3 2 5" xfId="1864"/>
    <cellStyle name="Note 2 3 2 5 2" xfId="1865"/>
    <cellStyle name="Note 2 3 2 5 2 2" xfId="1866"/>
    <cellStyle name="Note 2 3 2 5 2 2 2" xfId="6079"/>
    <cellStyle name="Note 2 3 2 5 2 2 2 2" xfId="12645"/>
    <cellStyle name="Note 2 3 2 5 2 2 2 2 2" xfId="26967"/>
    <cellStyle name="Note 2 3 2 5 2 2 2 3" xfId="18290"/>
    <cellStyle name="Note 2 3 2 5 2 2 3" xfId="7838"/>
    <cellStyle name="Note 2 3 2 5 2 2 3 2" xfId="10452"/>
    <cellStyle name="Note 2 3 2 5 2 2 3 2 2" xfId="16714"/>
    <cellStyle name="Note 2 3 2 5 2 2 3 2 2 2" xfId="30130"/>
    <cellStyle name="Note 2 3 2 5 2 2 3 2 3" xfId="21459"/>
    <cellStyle name="Note 2 3 2 5 2 2 3 3" xfId="14442"/>
    <cellStyle name="Note 2 3 2 5 2 2 3 3 2" xfId="28764"/>
    <cellStyle name="Note 2 3 2 5 2 2 3 4" xfId="20087"/>
    <cellStyle name="Note 2 3 2 5 2 2 4" xfId="4952"/>
    <cellStyle name="Note 2 3 2 5 2 2 4 2" xfId="23276"/>
    <cellStyle name="Note 2 3 2 5 2 2 5" xfId="14759"/>
    <cellStyle name="Note 2 3 2 5 2 3" xfId="1867"/>
    <cellStyle name="Note 2 3 2 5 2 3 2" xfId="5273"/>
    <cellStyle name="Note 2 3 2 5 2 3 2 2" xfId="9582"/>
    <cellStyle name="Note 2 3 2 5 2 3 2 2 2" xfId="15844"/>
    <cellStyle name="Note 2 3 2 5 2 3 2 2 2 2" xfId="29260"/>
    <cellStyle name="Note 2 3 2 5 2 3 2 2 3" xfId="20589"/>
    <cellStyle name="Note 2 3 2 5 2 3 2 3" xfId="11823"/>
    <cellStyle name="Note 2 3 2 5 2 3 2 3 2" xfId="26145"/>
    <cellStyle name="Note 2 3 2 5 2 3 2 4" xfId="17468"/>
    <cellStyle name="Note 2 3 2 5 2 3 3" xfId="13263"/>
    <cellStyle name="Note 2 3 2 5 2 3 3 2" xfId="27585"/>
    <cellStyle name="Note 2 3 2 5 2 3 4" xfId="18908"/>
    <cellStyle name="Note 2 3 2 5 2 4" xfId="5709"/>
    <cellStyle name="Note 2 3 2 5 2 4 2" xfId="12262"/>
    <cellStyle name="Note 2 3 2 5 2 4 2 2" xfId="26584"/>
    <cellStyle name="Note 2 3 2 5 2 4 3" xfId="17907"/>
    <cellStyle name="Note 2 3 2 5 2 5" xfId="5099"/>
    <cellStyle name="Note 2 3 2 5 2 5 2" xfId="23325"/>
    <cellStyle name="Note 2 3 2 5 2 6" xfId="15495"/>
    <cellStyle name="Note 2 3 2 5 3" xfId="1868"/>
    <cellStyle name="Note 2 3 2 5 3 2" xfId="1869"/>
    <cellStyle name="Note 2 3 2 5 3 2 2" xfId="6403"/>
    <cellStyle name="Note 2 3 2 5 3 2 2 2" xfId="12986"/>
    <cellStyle name="Note 2 3 2 5 3 2 2 2 2" xfId="27308"/>
    <cellStyle name="Note 2 3 2 5 3 2 2 3" xfId="18631"/>
    <cellStyle name="Note 2 3 2 5 3 2 3" xfId="7119"/>
    <cellStyle name="Note 2 3 2 5 3 2 3 2" xfId="9733"/>
    <cellStyle name="Note 2 3 2 5 3 2 3 2 2" xfId="15995"/>
    <cellStyle name="Note 2 3 2 5 3 2 3 2 2 2" xfId="29411"/>
    <cellStyle name="Note 2 3 2 5 3 2 3 2 3" xfId="20740"/>
    <cellStyle name="Note 2 3 2 5 3 2 3 3" xfId="13723"/>
    <cellStyle name="Note 2 3 2 5 3 2 3 3 2" xfId="28045"/>
    <cellStyle name="Note 2 3 2 5 3 2 3 4" xfId="19368"/>
    <cellStyle name="Note 2 3 2 5 3 2 4" xfId="2788"/>
    <cellStyle name="Note 2 3 2 5 3 2 4 2" xfId="22356"/>
    <cellStyle name="Note 2 3 2 5 3 2 5" xfId="17221"/>
    <cellStyle name="Note 2 3 2 5 3 3" xfId="1870"/>
    <cellStyle name="Note 2 3 2 5 3 3 2" xfId="7080"/>
    <cellStyle name="Note 2 3 2 5 3 3 2 2" xfId="9694"/>
    <cellStyle name="Note 2 3 2 5 3 3 2 2 2" xfId="15956"/>
    <cellStyle name="Note 2 3 2 5 3 3 2 2 2 2" xfId="29372"/>
    <cellStyle name="Note 2 3 2 5 3 3 2 2 3" xfId="20701"/>
    <cellStyle name="Note 2 3 2 5 3 3 2 3" xfId="13684"/>
    <cellStyle name="Note 2 3 2 5 3 3 2 3 2" xfId="28006"/>
    <cellStyle name="Note 2 3 2 5 3 3 2 4" xfId="19329"/>
    <cellStyle name="Note 2 3 2 5 3 3 3" xfId="13372"/>
    <cellStyle name="Note 2 3 2 5 3 3 3 2" xfId="27694"/>
    <cellStyle name="Note 2 3 2 5 3 3 4" xfId="19017"/>
    <cellStyle name="Note 2 3 2 5 3 4" xfId="5824"/>
    <cellStyle name="Note 2 3 2 5 3 4 2" xfId="12377"/>
    <cellStyle name="Note 2 3 2 5 3 4 2 2" xfId="26699"/>
    <cellStyle name="Note 2 3 2 5 3 4 3" xfId="18022"/>
    <cellStyle name="Note 2 3 2 5 3 5" xfId="6289"/>
    <cellStyle name="Note 2 3 2 5 3 5 2" xfId="23490"/>
    <cellStyle name="Note 2 3 2 5 3 6" xfId="15418"/>
    <cellStyle name="Note 2 3 2 5 4" xfId="1871"/>
    <cellStyle name="Note 2 3 2 5 4 2" xfId="6217"/>
    <cellStyle name="Note 2 3 2 5 4 2 2" xfId="12792"/>
    <cellStyle name="Note 2 3 2 5 4 2 2 2" xfId="27114"/>
    <cellStyle name="Note 2 3 2 5 4 2 3" xfId="18437"/>
    <cellStyle name="Note 2 3 2 5 4 3" xfId="3905"/>
    <cellStyle name="Note 2 3 2 5 4 3 2" xfId="9392"/>
    <cellStyle name="Note 2 3 2 5 4 3 2 2" xfId="15654"/>
    <cellStyle name="Note 2 3 2 5 4 3 2 2 2" xfId="29070"/>
    <cellStyle name="Note 2 3 2 5 4 3 2 3" xfId="20399"/>
    <cellStyle name="Note 2 3 2 5 4 3 3" xfId="4625"/>
    <cellStyle name="Note 2 3 2 5 4 3 3 2" xfId="23072"/>
    <cellStyle name="Note 2 3 2 5 4 3 4" xfId="15574"/>
    <cellStyle name="Note 2 3 2 5 4 4" xfId="4500"/>
    <cellStyle name="Note 2 3 2 5 4 4 2" xfId="22992"/>
    <cellStyle name="Note 2 3 2 5 4 5" xfId="17225"/>
    <cellStyle name="Note 2 3 2 5 5" xfId="1872"/>
    <cellStyle name="Note 2 3 2 5 5 2" xfId="7281"/>
    <cellStyle name="Note 2 3 2 5 5 2 2" xfId="9895"/>
    <cellStyle name="Note 2 3 2 5 5 2 2 2" xfId="16157"/>
    <cellStyle name="Note 2 3 2 5 5 2 2 2 2" xfId="29573"/>
    <cellStyle name="Note 2 3 2 5 5 2 2 3" xfId="20902"/>
    <cellStyle name="Note 2 3 2 5 5 2 3" xfId="13885"/>
    <cellStyle name="Note 2 3 2 5 5 2 3 2" xfId="28207"/>
    <cellStyle name="Note 2 3 2 5 5 2 4" xfId="19530"/>
    <cellStyle name="Note 2 3 2 5 5 3" xfId="12819"/>
    <cellStyle name="Note 2 3 2 5 5 3 2" xfId="27141"/>
    <cellStyle name="Note 2 3 2 5 5 4" xfId="18464"/>
    <cellStyle name="Note 2 3 2 5 6" xfId="5357"/>
    <cellStyle name="Note 2 3 2 5 6 2" xfId="11907"/>
    <cellStyle name="Note 2 3 2 5 6 2 2" xfId="26229"/>
    <cellStyle name="Note 2 3 2 5 6 3" xfId="17552"/>
    <cellStyle name="Note 2 3 2 5 7" xfId="6720"/>
    <cellStyle name="Note 2 3 2 5 7 2" xfId="23674"/>
    <cellStyle name="Note 2 3 2 5 8" xfId="15412"/>
    <cellStyle name="Note 2 3 2 6" xfId="1873"/>
    <cellStyle name="Note 2 3 2 6 2" xfId="1874"/>
    <cellStyle name="Note 2 3 2 6 2 2" xfId="1875"/>
    <cellStyle name="Note 2 3 2 6 2 2 2" xfId="6955"/>
    <cellStyle name="Note 2 3 2 6 2 2 2 2" xfId="13559"/>
    <cellStyle name="Note 2 3 2 6 2 2 2 2 2" xfId="27881"/>
    <cellStyle name="Note 2 3 2 6 2 2 2 3" xfId="19204"/>
    <cellStyle name="Note 2 3 2 6 2 2 3" xfId="5280"/>
    <cellStyle name="Note 2 3 2 6 2 2 3 2" xfId="9589"/>
    <cellStyle name="Note 2 3 2 6 2 2 3 2 2" xfId="15851"/>
    <cellStyle name="Note 2 3 2 6 2 2 3 2 2 2" xfId="29267"/>
    <cellStyle name="Note 2 3 2 6 2 2 3 2 3" xfId="20596"/>
    <cellStyle name="Note 2 3 2 6 2 2 3 3" xfId="11830"/>
    <cellStyle name="Note 2 3 2 6 2 2 3 3 2" xfId="26152"/>
    <cellStyle name="Note 2 3 2 6 2 2 3 4" xfId="17475"/>
    <cellStyle name="Note 2 3 2 6 2 2 4" xfId="11453"/>
    <cellStyle name="Note 2 3 2 6 2 2 4 2" xfId="25775"/>
    <cellStyle name="Note 2 3 2 6 2 2 5" xfId="15034"/>
    <cellStyle name="Note 2 3 2 6 2 3" xfId="1876"/>
    <cellStyle name="Note 2 3 2 6 2 3 2" xfId="3770"/>
    <cellStyle name="Note 2 3 2 6 2 3 2 2" xfId="9372"/>
    <cellStyle name="Note 2 3 2 6 2 3 2 2 2" xfId="15634"/>
    <cellStyle name="Note 2 3 2 6 2 3 2 2 2 2" xfId="29050"/>
    <cellStyle name="Note 2 3 2 6 2 3 2 2 3" xfId="20379"/>
    <cellStyle name="Note 2 3 2 6 2 3 2 3" xfId="4763"/>
    <cellStyle name="Note 2 3 2 6 2 3 2 3 2" xfId="23176"/>
    <cellStyle name="Note 2 3 2 6 2 3 2 4" xfId="4214"/>
    <cellStyle name="Note 2 3 2 6 2 3 3" xfId="13173"/>
    <cellStyle name="Note 2 3 2 6 2 3 3 2" xfId="27495"/>
    <cellStyle name="Note 2 3 2 6 2 3 4" xfId="18818"/>
    <cellStyle name="Note 2 3 2 6 2 4" xfId="5596"/>
    <cellStyle name="Note 2 3 2 6 2 4 2" xfId="12148"/>
    <cellStyle name="Note 2 3 2 6 2 4 2 2" xfId="26470"/>
    <cellStyle name="Note 2 3 2 6 2 4 3" xfId="17793"/>
    <cellStyle name="Note 2 3 2 6 2 5" xfId="3803"/>
    <cellStyle name="Note 2 3 2 6 2 5 2" xfId="22591"/>
    <cellStyle name="Note 2 3 2 6 2 6" xfId="15485"/>
    <cellStyle name="Note 2 3 2 6 3" xfId="1877"/>
    <cellStyle name="Note 2 3 2 6 3 2" xfId="6534"/>
    <cellStyle name="Note 2 3 2 6 3 2 2" xfId="13122"/>
    <cellStyle name="Note 2 3 2 6 3 2 2 2" xfId="27444"/>
    <cellStyle name="Note 2 3 2 6 3 2 3" xfId="18767"/>
    <cellStyle name="Note 2 3 2 6 3 3" xfId="7723"/>
    <cellStyle name="Note 2 3 2 6 3 3 2" xfId="10337"/>
    <cellStyle name="Note 2 3 2 6 3 3 2 2" xfId="16599"/>
    <cellStyle name="Note 2 3 2 6 3 3 2 2 2" xfId="30015"/>
    <cellStyle name="Note 2 3 2 6 3 3 2 3" xfId="21344"/>
    <cellStyle name="Note 2 3 2 6 3 3 3" xfId="14327"/>
    <cellStyle name="Note 2 3 2 6 3 3 3 2" xfId="28649"/>
    <cellStyle name="Note 2 3 2 6 3 3 4" xfId="19972"/>
    <cellStyle name="Note 2 3 2 6 3 4" xfId="3595"/>
    <cellStyle name="Note 2 3 2 6 3 4 2" xfId="22478"/>
    <cellStyle name="Note 2 3 2 6 3 5" xfId="5522"/>
    <cellStyle name="Note 2 3 2 6 4" xfId="1878"/>
    <cellStyle name="Note 2 3 2 6 4 2" xfId="7647"/>
    <cellStyle name="Note 2 3 2 6 4 2 2" xfId="10261"/>
    <cellStyle name="Note 2 3 2 6 4 2 2 2" xfId="16523"/>
    <cellStyle name="Note 2 3 2 6 4 2 2 2 2" xfId="29939"/>
    <cellStyle name="Note 2 3 2 6 4 2 2 3" xfId="21268"/>
    <cellStyle name="Note 2 3 2 6 4 2 3" xfId="14251"/>
    <cellStyle name="Note 2 3 2 6 4 2 3 2" xfId="28573"/>
    <cellStyle name="Note 2 3 2 6 4 2 4" xfId="19896"/>
    <cellStyle name="Note 2 3 2 6 4 3" xfId="12945"/>
    <cellStyle name="Note 2 3 2 6 4 3 2" xfId="27267"/>
    <cellStyle name="Note 2 3 2 6 4 4" xfId="18590"/>
    <cellStyle name="Note 2 3 2 6 5" xfId="5606"/>
    <cellStyle name="Note 2 3 2 6 5 2" xfId="12158"/>
    <cellStyle name="Note 2 3 2 6 5 2 2" xfId="26480"/>
    <cellStyle name="Note 2 3 2 6 5 3" xfId="17803"/>
    <cellStyle name="Note 2 3 2 6 6" xfId="5182"/>
    <cellStyle name="Note 2 3 2 6 6 2" xfId="23333"/>
    <cellStyle name="Note 2 3 2 6 7" xfId="15086"/>
    <cellStyle name="Note 2 3 2 7" xfId="1879"/>
    <cellStyle name="Note 2 3 2 7 2" xfId="1880"/>
    <cellStyle name="Note 2 3 2 7 2 2" xfId="7005"/>
    <cellStyle name="Note 2 3 2 7 2 2 2" xfId="13609"/>
    <cellStyle name="Note 2 3 2 7 2 2 2 2" xfId="27931"/>
    <cellStyle name="Note 2 3 2 7 2 2 3" xfId="19254"/>
    <cellStyle name="Note 2 3 2 7 2 3" xfId="7298"/>
    <cellStyle name="Note 2 3 2 7 2 3 2" xfId="9912"/>
    <cellStyle name="Note 2 3 2 7 2 3 2 2" xfId="16174"/>
    <cellStyle name="Note 2 3 2 7 2 3 2 2 2" xfId="29590"/>
    <cellStyle name="Note 2 3 2 7 2 3 2 3" xfId="20919"/>
    <cellStyle name="Note 2 3 2 7 2 3 3" xfId="13902"/>
    <cellStyle name="Note 2 3 2 7 2 3 3 2" xfId="28224"/>
    <cellStyle name="Note 2 3 2 7 2 3 4" xfId="19547"/>
    <cellStyle name="Note 2 3 2 7 2 4" xfId="11525"/>
    <cellStyle name="Note 2 3 2 7 2 4 2" xfId="25847"/>
    <cellStyle name="Note 2 3 2 7 2 5" xfId="17223"/>
    <cellStyle name="Note 2 3 2 7 3" xfId="1881"/>
    <cellStyle name="Note 2 3 2 7 3 2" xfId="3910"/>
    <cellStyle name="Note 2 3 2 7 3 2 2" xfId="9394"/>
    <cellStyle name="Note 2 3 2 7 3 2 2 2" xfId="15656"/>
    <cellStyle name="Note 2 3 2 7 3 2 2 2 2" xfId="29072"/>
    <cellStyle name="Note 2 3 2 7 3 2 2 3" xfId="20401"/>
    <cellStyle name="Note 2 3 2 7 3 2 3" xfId="3811"/>
    <cellStyle name="Note 2 3 2 7 3 2 3 2" xfId="22595"/>
    <cellStyle name="Note 2 3 2 7 3 2 4" xfId="15169"/>
    <cellStyle name="Note 2 3 2 7 3 3" xfId="13061"/>
    <cellStyle name="Note 2 3 2 7 3 3 2" xfId="27383"/>
    <cellStyle name="Note 2 3 2 7 3 4" xfId="18706"/>
    <cellStyle name="Note 2 3 2 7 4" xfId="5394"/>
    <cellStyle name="Note 2 3 2 7 4 2" xfId="11944"/>
    <cellStyle name="Note 2 3 2 7 4 2 2" xfId="26266"/>
    <cellStyle name="Note 2 3 2 7 4 3" xfId="17589"/>
    <cellStyle name="Note 2 3 2 7 5" xfId="5035"/>
    <cellStyle name="Note 2 3 2 7 5 2" xfId="23315"/>
    <cellStyle name="Note 2 3 2 7 6" xfId="14836"/>
    <cellStyle name="Note 2 3 2 8" xfId="1882"/>
    <cellStyle name="Note 2 3 2 8 2" xfId="5996"/>
    <cellStyle name="Note 2 3 2 8 2 2" xfId="12554"/>
    <cellStyle name="Note 2 3 2 8 2 2 2" xfId="26876"/>
    <cellStyle name="Note 2 3 2 8 2 3" xfId="18199"/>
    <cellStyle name="Note 2 3 2 8 3" xfId="7184"/>
    <cellStyle name="Note 2 3 2 8 3 2" xfId="9798"/>
    <cellStyle name="Note 2 3 2 8 3 2 2" xfId="16060"/>
    <cellStyle name="Note 2 3 2 8 3 2 2 2" xfId="29476"/>
    <cellStyle name="Note 2 3 2 8 3 2 3" xfId="20805"/>
    <cellStyle name="Note 2 3 2 8 3 3" xfId="13788"/>
    <cellStyle name="Note 2 3 2 8 3 3 2" xfId="28110"/>
    <cellStyle name="Note 2 3 2 8 3 4" xfId="19433"/>
    <cellStyle name="Note 2 3 2 8 4" xfId="3649"/>
    <cellStyle name="Note 2 3 2 8 4 2" xfId="22506"/>
    <cellStyle name="Note 2 3 2 8 5" xfId="15069"/>
    <cellStyle name="Note 2 3 2 9" xfId="1883"/>
    <cellStyle name="Note 2 3 2 9 2" xfId="7998"/>
    <cellStyle name="Note 2 3 2 9 2 2" xfId="10612"/>
    <cellStyle name="Note 2 3 2 9 2 2 2" xfId="16874"/>
    <cellStyle name="Note 2 3 2 9 2 2 2 2" xfId="30290"/>
    <cellStyle name="Note 2 3 2 9 2 2 3" xfId="21619"/>
    <cellStyle name="Note 2 3 2 9 2 3" xfId="14602"/>
    <cellStyle name="Note 2 3 2 9 2 3 2" xfId="28924"/>
    <cellStyle name="Note 2 3 2 9 2 4" xfId="20247"/>
    <cellStyle name="Note 2 3 2 9 3" xfId="12723"/>
    <cellStyle name="Note 2 3 2 9 3 2" xfId="27045"/>
    <cellStyle name="Note 2 3 2 9 4" xfId="18368"/>
    <cellStyle name="Note 2 3 3" xfId="1884"/>
    <cellStyle name="Note 2 3 3 10" xfId="4055"/>
    <cellStyle name="Note 2 3 3 10 2" xfId="22730"/>
    <cellStyle name="Note 2 3 3 11" xfId="17176"/>
    <cellStyle name="Note 2 3 3 2" xfId="1885"/>
    <cellStyle name="Note 2 3 3 2 2" xfId="1886"/>
    <cellStyle name="Note 2 3 3 2 2 2" xfId="1887"/>
    <cellStyle name="Note 2 3 3 2 2 2 2" xfId="6922"/>
    <cellStyle name="Note 2 3 3 2 2 2 2 2" xfId="13526"/>
    <cellStyle name="Note 2 3 3 2 2 2 2 2 2" xfId="27848"/>
    <cellStyle name="Note 2 3 3 2 2 2 2 3" xfId="19171"/>
    <cellStyle name="Note 2 3 3 2 2 2 3" xfId="5031"/>
    <cellStyle name="Note 2 3 3 2 2 2 3 2" xfId="9549"/>
    <cellStyle name="Note 2 3 3 2 2 2 3 2 2" xfId="15811"/>
    <cellStyle name="Note 2 3 3 2 2 2 3 2 2 2" xfId="29227"/>
    <cellStyle name="Note 2 3 3 2 2 2 3 2 3" xfId="20556"/>
    <cellStyle name="Note 2 3 3 2 2 2 3 3" xfId="11578"/>
    <cellStyle name="Note 2 3 3 2 2 2 3 3 2" xfId="25900"/>
    <cellStyle name="Note 2 3 3 2 2 2 3 4" xfId="14948"/>
    <cellStyle name="Note 2 3 3 2 2 2 4" xfId="11410"/>
    <cellStyle name="Note 2 3 3 2 2 2 4 2" xfId="25732"/>
    <cellStyle name="Note 2 3 3 2 2 2 5" xfId="15017"/>
    <cellStyle name="Note 2 3 3 2 2 3" xfId="1888"/>
    <cellStyle name="Note 2 3 3 2 2 3 2" xfId="7260"/>
    <cellStyle name="Note 2 3 3 2 2 3 2 2" xfId="9874"/>
    <cellStyle name="Note 2 3 3 2 2 3 2 2 2" xfId="16136"/>
    <cellStyle name="Note 2 3 3 2 2 3 2 2 2 2" xfId="29552"/>
    <cellStyle name="Note 2 3 3 2 2 3 2 2 3" xfId="20881"/>
    <cellStyle name="Note 2 3 3 2 2 3 2 3" xfId="13864"/>
    <cellStyle name="Note 2 3 3 2 2 3 2 3 2" xfId="28186"/>
    <cellStyle name="Note 2 3 3 2 2 3 2 4" xfId="19509"/>
    <cellStyle name="Note 2 3 3 2 2 3 3" xfId="13302"/>
    <cellStyle name="Note 2 3 3 2 2 3 3 2" xfId="27624"/>
    <cellStyle name="Note 2 3 3 2 2 3 4" xfId="18947"/>
    <cellStyle name="Note 2 3 3 2 2 4" xfId="5752"/>
    <cellStyle name="Note 2 3 3 2 2 4 2" xfId="12305"/>
    <cellStyle name="Note 2 3 3 2 2 4 2 2" xfId="26627"/>
    <cellStyle name="Note 2 3 3 2 2 4 3" xfId="17950"/>
    <cellStyle name="Note 2 3 3 2 2 5" xfId="4536"/>
    <cellStyle name="Note 2 3 3 2 2 5 2" xfId="23016"/>
    <cellStyle name="Note 2 3 3 2 2 6" xfId="3585"/>
    <cellStyle name="Note 2 3 3 2 3" xfId="1889"/>
    <cellStyle name="Note 2 3 3 2 3 2" xfId="1890"/>
    <cellStyle name="Note 2 3 3 2 3 2 2" xfId="6386"/>
    <cellStyle name="Note 2 3 3 2 3 2 2 2" xfId="12969"/>
    <cellStyle name="Note 2 3 3 2 3 2 2 2 2" xfId="27291"/>
    <cellStyle name="Note 2 3 3 2 3 2 2 3" xfId="18614"/>
    <cellStyle name="Note 2 3 3 2 3 2 3" xfId="7864"/>
    <cellStyle name="Note 2 3 3 2 3 2 3 2" xfId="10478"/>
    <cellStyle name="Note 2 3 3 2 3 2 3 2 2" xfId="16740"/>
    <cellStyle name="Note 2 3 3 2 3 2 3 2 2 2" xfId="30156"/>
    <cellStyle name="Note 2 3 3 2 3 2 3 2 3" xfId="21485"/>
    <cellStyle name="Note 2 3 3 2 3 2 3 3" xfId="14468"/>
    <cellStyle name="Note 2 3 3 2 3 2 3 3 2" xfId="28790"/>
    <cellStyle name="Note 2 3 3 2 3 2 3 4" xfId="20113"/>
    <cellStyle name="Note 2 3 3 2 3 2 4" xfId="4451"/>
    <cellStyle name="Note 2 3 3 2 3 2 4 2" xfId="22960"/>
    <cellStyle name="Note 2 3 3 2 3 2 5" xfId="3871"/>
    <cellStyle name="Note 2 3 3 2 3 3" xfId="1891"/>
    <cellStyle name="Note 2 3 3 2 3 3 2" xfId="7085"/>
    <cellStyle name="Note 2 3 3 2 3 3 2 2" xfId="9699"/>
    <cellStyle name="Note 2 3 3 2 3 3 2 2 2" xfId="15961"/>
    <cellStyle name="Note 2 3 3 2 3 3 2 2 2 2" xfId="29377"/>
    <cellStyle name="Note 2 3 3 2 3 3 2 2 3" xfId="20706"/>
    <cellStyle name="Note 2 3 3 2 3 3 2 3" xfId="13689"/>
    <cellStyle name="Note 2 3 3 2 3 3 2 3 2" xfId="28011"/>
    <cellStyle name="Note 2 3 3 2 3 3 2 4" xfId="19334"/>
    <cellStyle name="Note 2 3 3 2 3 3 3" xfId="12608"/>
    <cellStyle name="Note 2 3 3 2 3 3 3 2" xfId="26930"/>
    <cellStyle name="Note 2 3 3 2 3 3 4" xfId="18253"/>
    <cellStyle name="Note 2 3 3 2 3 4" xfId="5072"/>
    <cellStyle name="Note 2 3 3 2 3 4 2" xfId="11619"/>
    <cellStyle name="Note 2 3 3 2 3 4 2 2" xfId="25941"/>
    <cellStyle name="Note 2 3 3 2 3 4 3" xfId="15381"/>
    <cellStyle name="Note 2 3 3 2 3 5" xfId="3743"/>
    <cellStyle name="Note 2 3 3 2 3 5 2" xfId="22558"/>
    <cellStyle name="Note 2 3 3 2 3 6" xfId="16969"/>
    <cellStyle name="Note 2 3 3 2 4" xfId="1892"/>
    <cellStyle name="Note 2 3 3 2 4 2" xfId="6034"/>
    <cellStyle name="Note 2 3 3 2 4 2 2" xfId="12595"/>
    <cellStyle name="Note 2 3 3 2 4 2 2 2" xfId="26917"/>
    <cellStyle name="Note 2 3 3 2 4 2 3" xfId="18240"/>
    <cellStyle name="Note 2 3 3 2 4 3" xfId="7529"/>
    <cellStyle name="Note 2 3 3 2 4 3 2" xfId="10143"/>
    <cellStyle name="Note 2 3 3 2 4 3 2 2" xfId="16405"/>
    <cellStyle name="Note 2 3 3 2 4 3 2 2 2" xfId="29821"/>
    <cellStyle name="Note 2 3 3 2 4 3 2 3" xfId="21150"/>
    <cellStyle name="Note 2 3 3 2 4 3 3" xfId="14133"/>
    <cellStyle name="Note 2 3 3 2 4 3 3 2" xfId="28455"/>
    <cellStyle name="Note 2 3 3 2 4 3 4" xfId="19778"/>
    <cellStyle name="Note 2 3 3 2 4 4" xfId="4815"/>
    <cellStyle name="Note 2 3 3 2 4 4 2" xfId="23202"/>
    <cellStyle name="Note 2 3 3 2 4 5" xfId="17056"/>
    <cellStyle name="Note 2 3 3 2 5" xfId="1893"/>
    <cellStyle name="Note 2 3 3 2 5 2" xfId="7663"/>
    <cellStyle name="Note 2 3 3 2 5 2 2" xfId="10277"/>
    <cellStyle name="Note 2 3 3 2 5 2 2 2" xfId="16539"/>
    <cellStyle name="Note 2 3 3 2 5 2 2 2 2" xfId="29955"/>
    <cellStyle name="Note 2 3 3 2 5 2 2 3" xfId="21284"/>
    <cellStyle name="Note 2 3 3 2 5 2 3" xfId="14267"/>
    <cellStyle name="Note 2 3 3 2 5 2 3 2" xfId="28589"/>
    <cellStyle name="Note 2 3 3 2 5 2 4" xfId="19912"/>
    <cellStyle name="Note 2 3 3 2 5 3" xfId="12878"/>
    <cellStyle name="Note 2 3 3 2 5 3 2" xfId="27200"/>
    <cellStyle name="Note 2 3 3 2 5 4" xfId="18523"/>
    <cellStyle name="Note 2 3 3 2 6" xfId="5496"/>
    <cellStyle name="Note 2 3 3 2 6 2" xfId="12047"/>
    <cellStyle name="Note 2 3 3 2 6 2 2" xfId="26369"/>
    <cellStyle name="Note 2 3 3 2 6 3" xfId="17692"/>
    <cellStyle name="Note 2 3 3 2 7" xfId="4905"/>
    <cellStyle name="Note 2 3 3 2 7 2" xfId="23258"/>
    <cellStyle name="Note 2 3 3 2 8" xfId="15515"/>
    <cellStyle name="Note 2 3 3 3" xfId="1894"/>
    <cellStyle name="Note 2 3 3 3 2" xfId="1895"/>
    <cellStyle name="Note 2 3 3 3 2 2" xfId="1896"/>
    <cellStyle name="Note 2 3 3 3 2 2 2" xfId="6940"/>
    <cellStyle name="Note 2 3 3 3 2 2 2 2" xfId="13544"/>
    <cellStyle name="Note 2 3 3 3 2 2 2 2 2" xfId="27866"/>
    <cellStyle name="Note 2 3 3 3 2 2 2 3" xfId="19189"/>
    <cellStyle name="Note 2 3 3 3 2 2 3" xfId="8045"/>
    <cellStyle name="Note 2 3 3 3 2 2 3 2" xfId="10659"/>
    <cellStyle name="Note 2 3 3 3 2 2 3 2 2" xfId="16921"/>
    <cellStyle name="Note 2 3 3 3 2 2 3 2 2 2" xfId="30337"/>
    <cellStyle name="Note 2 3 3 3 2 2 3 2 3" xfId="21666"/>
    <cellStyle name="Note 2 3 3 3 2 2 3 3" xfId="14649"/>
    <cellStyle name="Note 2 3 3 3 2 2 3 3 2" xfId="28971"/>
    <cellStyle name="Note 2 3 3 3 2 2 3 4" xfId="20294"/>
    <cellStyle name="Note 2 3 3 3 2 2 4" xfId="11433"/>
    <cellStyle name="Note 2 3 3 3 2 2 4 2" xfId="25755"/>
    <cellStyle name="Note 2 3 3 3 2 2 5" xfId="17022"/>
    <cellStyle name="Note 2 3 3 3 2 3" xfId="1897"/>
    <cellStyle name="Note 2 3 3 3 2 3 2" xfId="4257"/>
    <cellStyle name="Note 2 3 3 3 2 3 2 2" xfId="9437"/>
    <cellStyle name="Note 2 3 3 3 2 3 2 2 2" xfId="15699"/>
    <cellStyle name="Note 2 3 3 3 2 3 2 2 2 2" xfId="29115"/>
    <cellStyle name="Note 2 3 3 3 2 3 2 2 3" xfId="20444"/>
    <cellStyle name="Note 2 3 3 3 2 3 2 3" xfId="4284"/>
    <cellStyle name="Note 2 3 3 3 2 3 2 3 2" xfId="22869"/>
    <cellStyle name="Note 2 3 3 3 2 3 2 4" xfId="6505"/>
    <cellStyle name="Note 2 3 3 3 2 3 3" xfId="13338"/>
    <cellStyle name="Note 2 3 3 3 2 3 3 2" xfId="27660"/>
    <cellStyle name="Note 2 3 3 3 2 3 4" xfId="18983"/>
    <cellStyle name="Note 2 3 3 3 2 4" xfId="5788"/>
    <cellStyle name="Note 2 3 3 3 2 4 2" xfId="12341"/>
    <cellStyle name="Note 2 3 3 3 2 4 2 2" xfId="26663"/>
    <cellStyle name="Note 2 3 3 3 2 4 3" xfId="17986"/>
    <cellStyle name="Note 2 3 3 3 2 5" xfId="6718"/>
    <cellStyle name="Note 2 3 3 3 2 5 2" xfId="23672"/>
    <cellStyle name="Note 2 3 3 3 2 6" xfId="14724"/>
    <cellStyle name="Note 2 3 3 3 3" xfId="1898"/>
    <cellStyle name="Note 2 3 3 3 3 2" xfId="1899"/>
    <cellStyle name="Note 2 3 3 3 3 2 2" xfId="6041"/>
    <cellStyle name="Note 2 3 3 3 3 2 2 2" xfId="12605"/>
    <cellStyle name="Note 2 3 3 3 3 2 2 2 2" xfId="26927"/>
    <cellStyle name="Note 2 3 3 3 3 2 2 3" xfId="18250"/>
    <cellStyle name="Note 2 3 3 3 3 2 3" xfId="7196"/>
    <cellStyle name="Note 2 3 3 3 3 2 3 2" xfId="9810"/>
    <cellStyle name="Note 2 3 3 3 3 2 3 2 2" xfId="16072"/>
    <cellStyle name="Note 2 3 3 3 3 2 3 2 2 2" xfId="29488"/>
    <cellStyle name="Note 2 3 3 3 3 2 3 2 3" xfId="20817"/>
    <cellStyle name="Note 2 3 3 3 3 2 3 3" xfId="13800"/>
    <cellStyle name="Note 2 3 3 3 3 2 3 3 2" xfId="28122"/>
    <cellStyle name="Note 2 3 3 3 3 2 3 4" xfId="19445"/>
    <cellStyle name="Note 2 3 3 3 3 2 4" xfId="6689"/>
    <cellStyle name="Note 2 3 3 3 3 2 4 2" xfId="23656"/>
    <cellStyle name="Note 2 3 3 3 3 2 5" xfId="4951"/>
    <cellStyle name="Note 2 3 3 3 3 3" xfId="1900"/>
    <cellStyle name="Note 2 3 3 3 3 3 2" xfId="4985"/>
    <cellStyle name="Note 2 3 3 3 3 3 2 2" xfId="9531"/>
    <cellStyle name="Note 2 3 3 3 3 3 2 2 2" xfId="15793"/>
    <cellStyle name="Note 2 3 3 3 3 3 2 2 2 2" xfId="29209"/>
    <cellStyle name="Note 2 3 3 3 3 3 2 2 3" xfId="20538"/>
    <cellStyle name="Note 2 3 3 3 3 3 2 3" xfId="11528"/>
    <cellStyle name="Note 2 3 3 3 3 3 2 3 2" xfId="25850"/>
    <cellStyle name="Note 2 3 3 3 3 3 2 4" xfId="15278"/>
    <cellStyle name="Note 2 3 3 3 3 3 3" xfId="13373"/>
    <cellStyle name="Note 2 3 3 3 3 3 3 2" xfId="27695"/>
    <cellStyle name="Note 2 3 3 3 3 3 4" xfId="19018"/>
    <cellStyle name="Note 2 3 3 3 3 4" xfId="5825"/>
    <cellStyle name="Note 2 3 3 3 3 4 2" xfId="12378"/>
    <cellStyle name="Note 2 3 3 3 3 4 2 2" xfId="26700"/>
    <cellStyle name="Note 2 3 3 3 3 4 3" xfId="18023"/>
    <cellStyle name="Note 2 3 3 3 3 5" xfId="3911"/>
    <cellStyle name="Note 2 3 3 3 3 5 2" xfId="22641"/>
    <cellStyle name="Note 2 3 3 3 3 6" xfId="17015"/>
    <cellStyle name="Note 2 3 3 3 4" xfId="1901"/>
    <cellStyle name="Note 2 3 3 3 4 2" xfId="6893"/>
    <cellStyle name="Note 2 3 3 3 4 2 2" xfId="13497"/>
    <cellStyle name="Note 2 3 3 3 4 2 2 2" xfId="27819"/>
    <cellStyle name="Note 2 3 3 3 4 2 3" xfId="19142"/>
    <cellStyle name="Note 2 3 3 3 4 3" xfId="5318"/>
    <cellStyle name="Note 2 3 3 3 4 3 2" xfId="9627"/>
    <cellStyle name="Note 2 3 3 3 4 3 2 2" xfId="15889"/>
    <cellStyle name="Note 2 3 3 3 4 3 2 2 2" xfId="29305"/>
    <cellStyle name="Note 2 3 3 3 4 3 2 3" xfId="20634"/>
    <cellStyle name="Note 2 3 3 3 4 3 3" xfId="11868"/>
    <cellStyle name="Note 2 3 3 3 4 3 3 2" xfId="26190"/>
    <cellStyle name="Note 2 3 3 3 4 3 4" xfId="17513"/>
    <cellStyle name="Note 2 3 3 3 4 4" xfId="11370"/>
    <cellStyle name="Note 2 3 3 3 4 4 2" xfId="25692"/>
    <cellStyle name="Note 2 3 3 3 4 5" xfId="14794"/>
    <cellStyle name="Note 2 3 3 3 5" xfId="1902"/>
    <cellStyle name="Note 2 3 3 3 5 2" xfId="7755"/>
    <cellStyle name="Note 2 3 3 3 5 2 2" xfId="10369"/>
    <cellStyle name="Note 2 3 3 3 5 2 2 2" xfId="16631"/>
    <cellStyle name="Note 2 3 3 3 5 2 2 2 2" xfId="30047"/>
    <cellStyle name="Note 2 3 3 3 5 2 2 3" xfId="21376"/>
    <cellStyle name="Note 2 3 3 3 5 2 3" xfId="14359"/>
    <cellStyle name="Note 2 3 3 3 5 2 3 2" xfId="28681"/>
    <cellStyle name="Note 2 3 3 3 5 2 4" xfId="20004"/>
    <cellStyle name="Note 2 3 3 3 5 3" xfId="12914"/>
    <cellStyle name="Note 2 3 3 3 5 3 2" xfId="27236"/>
    <cellStyle name="Note 2 3 3 3 5 4" xfId="18559"/>
    <cellStyle name="Note 2 3 3 3 6" xfId="5538"/>
    <cellStyle name="Note 2 3 3 3 6 2" xfId="12089"/>
    <cellStyle name="Note 2 3 3 3 6 2 2" xfId="26411"/>
    <cellStyle name="Note 2 3 3 3 6 3" xfId="17734"/>
    <cellStyle name="Note 2 3 3 3 7" xfId="5950"/>
    <cellStyle name="Note 2 3 3 3 7 2" xfId="23380"/>
    <cellStyle name="Note 2 3 3 3 8" xfId="14927"/>
    <cellStyle name="Note 2 3 3 4" xfId="1903"/>
    <cellStyle name="Note 2 3 3 4 2" xfId="1904"/>
    <cellStyle name="Note 2 3 3 4 2 2" xfId="1905"/>
    <cellStyle name="Note 2 3 3 4 2 2 2" xfId="5924"/>
    <cellStyle name="Note 2 3 3 4 2 2 2 2" xfId="12479"/>
    <cellStyle name="Note 2 3 3 4 2 2 2 2 2" xfId="26801"/>
    <cellStyle name="Note 2 3 3 4 2 2 2 3" xfId="18124"/>
    <cellStyle name="Note 2 3 3 4 2 2 3" xfId="7333"/>
    <cellStyle name="Note 2 3 3 4 2 2 3 2" xfId="9947"/>
    <cellStyle name="Note 2 3 3 4 2 2 3 2 2" xfId="16209"/>
    <cellStyle name="Note 2 3 3 4 2 2 3 2 2 2" xfId="29625"/>
    <cellStyle name="Note 2 3 3 4 2 2 3 2 3" xfId="20954"/>
    <cellStyle name="Note 2 3 3 4 2 2 3 3" xfId="13937"/>
    <cellStyle name="Note 2 3 3 4 2 2 3 3 2" xfId="28259"/>
    <cellStyle name="Note 2 3 3 4 2 2 3 4" xfId="19582"/>
    <cellStyle name="Note 2 3 3 4 2 2 4" xfId="4875"/>
    <cellStyle name="Note 2 3 3 4 2 2 4 2" xfId="23238"/>
    <cellStyle name="Note 2 3 3 4 2 2 5" xfId="17210"/>
    <cellStyle name="Note 2 3 3 4 2 3" xfId="1906"/>
    <cellStyle name="Note 2 3 3 4 2 3 2" xfId="3980"/>
    <cellStyle name="Note 2 3 3 4 2 3 2 2" xfId="9405"/>
    <cellStyle name="Note 2 3 3 4 2 3 2 2 2" xfId="15667"/>
    <cellStyle name="Note 2 3 3 4 2 3 2 2 2 2" xfId="29083"/>
    <cellStyle name="Note 2 3 3 4 2 3 2 2 3" xfId="20412"/>
    <cellStyle name="Note 2 3 3 4 2 3 2 3" xfId="4052"/>
    <cellStyle name="Note 2 3 3 4 2 3 2 3 2" xfId="22728"/>
    <cellStyle name="Note 2 3 3 4 2 3 2 4" xfId="17046"/>
    <cellStyle name="Note 2 3 3 4 2 3 3" xfId="13237"/>
    <cellStyle name="Note 2 3 3 4 2 3 3 2" xfId="27559"/>
    <cellStyle name="Note 2 3 3 4 2 3 4" xfId="18882"/>
    <cellStyle name="Note 2 3 3 4 2 4" xfId="5678"/>
    <cellStyle name="Note 2 3 3 4 2 4 2" xfId="12231"/>
    <cellStyle name="Note 2 3 3 4 2 4 2 2" xfId="26553"/>
    <cellStyle name="Note 2 3 3 4 2 4 3" xfId="17876"/>
    <cellStyle name="Note 2 3 3 4 2 5" xfId="4845"/>
    <cellStyle name="Note 2 3 3 4 2 5 2" xfId="23219"/>
    <cellStyle name="Note 2 3 3 4 2 6" xfId="4103"/>
    <cellStyle name="Note 2 3 3 4 3" xfId="1907"/>
    <cellStyle name="Note 2 3 3 4 3 2" xfId="1908"/>
    <cellStyle name="Note 2 3 3 4 3 2 2" xfId="5909"/>
    <cellStyle name="Note 2 3 3 4 3 2 2 2" xfId="12463"/>
    <cellStyle name="Note 2 3 3 4 3 2 2 2 2" xfId="26785"/>
    <cellStyle name="Note 2 3 3 4 3 2 2 3" xfId="18108"/>
    <cellStyle name="Note 2 3 3 4 3 2 3" xfId="7613"/>
    <cellStyle name="Note 2 3 3 4 3 2 3 2" xfId="10227"/>
    <cellStyle name="Note 2 3 3 4 3 2 3 2 2" xfId="16489"/>
    <cellStyle name="Note 2 3 3 4 3 2 3 2 2 2" xfId="29905"/>
    <cellStyle name="Note 2 3 3 4 3 2 3 2 3" xfId="21234"/>
    <cellStyle name="Note 2 3 3 4 3 2 3 3" xfId="14217"/>
    <cellStyle name="Note 2 3 3 4 3 2 3 3 2" xfId="28539"/>
    <cellStyle name="Note 2 3 3 4 3 2 3 4" xfId="19862"/>
    <cellStyle name="Note 2 3 3 4 3 2 4" xfId="5721"/>
    <cellStyle name="Note 2 3 3 4 3 2 4 2" xfId="23362"/>
    <cellStyle name="Note 2 3 3 4 3 2 5" xfId="4719"/>
    <cellStyle name="Note 2 3 3 4 3 3" xfId="1909"/>
    <cellStyle name="Note 2 3 3 4 3 3 2" xfId="8067"/>
    <cellStyle name="Note 2 3 3 4 3 3 2 2" xfId="10681"/>
    <cellStyle name="Note 2 3 3 4 3 3 2 2 2" xfId="16943"/>
    <cellStyle name="Note 2 3 3 4 3 3 2 2 2 2" xfId="30359"/>
    <cellStyle name="Note 2 3 3 4 3 3 2 2 3" xfId="21688"/>
    <cellStyle name="Note 2 3 3 4 3 3 2 3" xfId="14671"/>
    <cellStyle name="Note 2 3 3 4 3 3 2 3 2" xfId="28993"/>
    <cellStyle name="Note 2 3 3 4 3 3 2 4" xfId="20316"/>
    <cellStyle name="Note 2 3 3 4 3 3 3" xfId="13044"/>
    <cellStyle name="Note 2 3 3 4 3 3 3 2" xfId="27366"/>
    <cellStyle name="Note 2 3 3 4 3 3 4" xfId="18689"/>
    <cellStyle name="Note 2 3 3 4 3 4" xfId="5363"/>
    <cellStyle name="Note 2 3 3 4 3 4 2" xfId="11913"/>
    <cellStyle name="Note 2 3 3 4 3 4 2 2" xfId="26235"/>
    <cellStyle name="Note 2 3 3 4 3 4 3" xfId="17558"/>
    <cellStyle name="Note 2 3 3 4 3 5" xfId="6792"/>
    <cellStyle name="Note 2 3 3 4 3 5 2" xfId="23735"/>
    <cellStyle name="Note 2 3 3 4 3 6" xfId="14716"/>
    <cellStyle name="Note 2 3 3 4 4" xfId="1910"/>
    <cellStyle name="Note 2 3 3 4 4 2" xfId="5916"/>
    <cellStyle name="Note 2 3 3 4 4 2 2" xfId="12471"/>
    <cellStyle name="Note 2 3 3 4 4 2 2 2" xfId="26793"/>
    <cellStyle name="Note 2 3 3 4 4 2 3" xfId="18116"/>
    <cellStyle name="Note 2 3 3 4 4 3" xfId="7690"/>
    <cellStyle name="Note 2 3 3 4 4 3 2" xfId="10304"/>
    <cellStyle name="Note 2 3 3 4 4 3 2 2" xfId="16566"/>
    <cellStyle name="Note 2 3 3 4 4 3 2 2 2" xfId="29982"/>
    <cellStyle name="Note 2 3 3 4 4 3 2 3" xfId="21311"/>
    <cellStyle name="Note 2 3 3 4 4 3 3" xfId="14294"/>
    <cellStyle name="Note 2 3 3 4 4 3 3 2" xfId="28616"/>
    <cellStyle name="Note 2 3 3 4 4 3 4" xfId="19939"/>
    <cellStyle name="Note 2 3 3 4 4 4" xfId="6713"/>
    <cellStyle name="Note 2 3 3 4 4 4 2" xfId="23668"/>
    <cellStyle name="Note 2 3 3 4 4 5" xfId="4701"/>
    <cellStyle name="Note 2 3 3 4 5" xfId="1911"/>
    <cellStyle name="Note 2 3 3 4 5 2" xfId="8064"/>
    <cellStyle name="Note 2 3 3 4 5 2 2" xfId="10678"/>
    <cellStyle name="Note 2 3 3 4 5 2 2 2" xfId="16940"/>
    <cellStyle name="Note 2 3 3 4 5 2 2 2 2" xfId="30356"/>
    <cellStyle name="Note 2 3 3 4 5 2 2 3" xfId="21685"/>
    <cellStyle name="Note 2 3 3 4 5 2 3" xfId="14668"/>
    <cellStyle name="Note 2 3 3 4 5 2 3 2" xfId="28990"/>
    <cellStyle name="Note 2 3 3 4 5 2 4" xfId="20313"/>
    <cellStyle name="Note 2 3 3 4 5 3" xfId="12677"/>
    <cellStyle name="Note 2 3 3 4 5 3 2" xfId="26999"/>
    <cellStyle name="Note 2 3 3 4 5 4" xfId="18322"/>
    <cellStyle name="Note 2 3 3 4 6" xfId="5225"/>
    <cellStyle name="Note 2 3 3 4 6 2" xfId="11775"/>
    <cellStyle name="Note 2 3 3 4 6 2 2" xfId="26097"/>
    <cellStyle name="Note 2 3 3 4 6 3" xfId="17420"/>
    <cellStyle name="Note 2 3 3 4 7" xfId="6068"/>
    <cellStyle name="Note 2 3 3 4 7 2" xfId="23405"/>
    <cellStyle name="Note 2 3 3 4 8" xfId="16958"/>
    <cellStyle name="Note 2 3 3 5" xfId="1912"/>
    <cellStyle name="Note 2 3 3 5 2" xfId="1913"/>
    <cellStyle name="Note 2 3 3 5 2 2" xfId="1914"/>
    <cellStyle name="Note 2 3 3 5 2 2 2" xfId="6431"/>
    <cellStyle name="Note 2 3 3 5 2 2 2 2" xfId="13014"/>
    <cellStyle name="Note 2 3 3 5 2 2 2 2 2" xfId="27336"/>
    <cellStyle name="Note 2 3 3 5 2 2 2 3" xfId="18659"/>
    <cellStyle name="Note 2 3 3 5 2 2 3" xfId="7873"/>
    <cellStyle name="Note 2 3 3 5 2 2 3 2" xfId="10487"/>
    <cellStyle name="Note 2 3 3 5 2 2 3 2 2" xfId="16749"/>
    <cellStyle name="Note 2 3 3 5 2 2 3 2 2 2" xfId="30165"/>
    <cellStyle name="Note 2 3 3 5 2 2 3 2 3" xfId="21494"/>
    <cellStyle name="Note 2 3 3 5 2 2 3 3" xfId="14477"/>
    <cellStyle name="Note 2 3 3 5 2 2 3 3 2" xfId="28799"/>
    <cellStyle name="Note 2 3 3 5 2 2 3 4" xfId="20122"/>
    <cellStyle name="Note 2 3 3 5 2 2 4" xfId="4344"/>
    <cellStyle name="Note 2 3 3 5 2 2 4 2" xfId="22899"/>
    <cellStyle name="Note 2 3 3 5 2 2 5" xfId="15360"/>
    <cellStyle name="Note 2 3 3 5 2 3" xfId="1915"/>
    <cellStyle name="Note 2 3 3 5 2 3 2" xfId="8004"/>
    <cellStyle name="Note 2 3 3 5 2 3 2 2" xfId="10618"/>
    <cellStyle name="Note 2 3 3 5 2 3 2 2 2" xfId="16880"/>
    <cellStyle name="Note 2 3 3 5 2 3 2 2 2 2" xfId="30296"/>
    <cellStyle name="Note 2 3 3 5 2 3 2 2 3" xfId="21625"/>
    <cellStyle name="Note 2 3 3 5 2 3 2 3" xfId="14608"/>
    <cellStyle name="Note 2 3 3 5 2 3 2 3 2" xfId="28930"/>
    <cellStyle name="Note 2 3 3 5 2 3 2 4" xfId="20253"/>
    <cellStyle name="Note 2 3 3 5 2 3 3" xfId="13087"/>
    <cellStyle name="Note 2 3 3 5 2 3 3 2" xfId="27409"/>
    <cellStyle name="Note 2 3 3 5 2 3 4" xfId="18732"/>
    <cellStyle name="Note 2 3 3 5 2 4" xfId="5442"/>
    <cellStyle name="Note 2 3 3 5 2 4 2" xfId="11993"/>
    <cellStyle name="Note 2 3 3 5 2 4 2 2" xfId="26315"/>
    <cellStyle name="Note 2 3 3 5 2 4 3" xfId="17638"/>
    <cellStyle name="Note 2 3 3 5 2 5" xfId="3471"/>
    <cellStyle name="Note 2 3 3 5 2 5 2" xfId="22472"/>
    <cellStyle name="Note 2 3 3 5 2 6" xfId="17122"/>
    <cellStyle name="Note 2 3 3 5 3" xfId="1916"/>
    <cellStyle name="Note 2 3 3 5 3 2" xfId="6465"/>
    <cellStyle name="Note 2 3 3 5 3 2 2" xfId="13048"/>
    <cellStyle name="Note 2 3 3 5 3 2 2 2" xfId="27370"/>
    <cellStyle name="Note 2 3 3 5 3 2 3" xfId="18693"/>
    <cellStyle name="Note 2 3 3 5 3 3" xfId="7397"/>
    <cellStyle name="Note 2 3 3 5 3 3 2" xfId="10011"/>
    <cellStyle name="Note 2 3 3 5 3 3 2 2" xfId="16273"/>
    <cellStyle name="Note 2 3 3 5 3 3 2 2 2" xfId="29689"/>
    <cellStyle name="Note 2 3 3 5 3 3 2 3" xfId="21018"/>
    <cellStyle name="Note 2 3 3 5 3 3 3" xfId="14001"/>
    <cellStyle name="Note 2 3 3 5 3 3 3 2" xfId="28323"/>
    <cellStyle name="Note 2 3 3 5 3 3 4" xfId="19646"/>
    <cellStyle name="Note 2 3 3 5 3 4" xfId="6786"/>
    <cellStyle name="Note 2 3 3 5 3 4 2" xfId="23730"/>
    <cellStyle name="Note 2 3 3 5 3 5" xfId="15379"/>
    <cellStyle name="Note 2 3 3 5 4" xfId="1917"/>
    <cellStyle name="Note 2 3 3 5 4 2" xfId="4408"/>
    <cellStyle name="Note 2 3 3 5 4 2 2" xfId="9462"/>
    <cellStyle name="Note 2 3 3 5 4 2 2 2" xfId="15724"/>
    <cellStyle name="Note 2 3 3 5 4 2 2 2 2" xfId="29140"/>
    <cellStyle name="Note 2 3 3 5 4 2 2 3" xfId="20469"/>
    <cellStyle name="Note 2 3 3 5 4 2 3" xfId="3677"/>
    <cellStyle name="Note 2 3 3 5 4 2 3 2" xfId="22522"/>
    <cellStyle name="Note 2 3 3 5 4 2 4" xfId="3846"/>
    <cellStyle name="Note 2 3 3 5 4 3" xfId="12834"/>
    <cellStyle name="Note 2 3 3 5 4 3 2" xfId="27156"/>
    <cellStyle name="Note 2 3 3 5 4 4" xfId="18479"/>
    <cellStyle name="Note 2 3 3 5 5" xfId="5405"/>
    <cellStyle name="Note 2 3 3 5 5 2" xfId="11955"/>
    <cellStyle name="Note 2 3 3 5 5 2 2" xfId="26277"/>
    <cellStyle name="Note 2 3 3 5 5 3" xfId="17600"/>
    <cellStyle name="Note 2 3 3 5 6" xfId="2838"/>
    <cellStyle name="Note 2 3 3 5 6 2" xfId="22401"/>
    <cellStyle name="Note 2 3 3 5 7" xfId="17092"/>
    <cellStyle name="Note 2 3 3 6" xfId="1918"/>
    <cellStyle name="Note 2 3 3 6 2" xfId="1919"/>
    <cellStyle name="Note 2 3 3 6 2 2" xfId="6907"/>
    <cellStyle name="Note 2 3 3 6 2 2 2" xfId="13511"/>
    <cellStyle name="Note 2 3 3 6 2 2 2 2" xfId="27833"/>
    <cellStyle name="Note 2 3 3 6 2 2 3" xfId="19156"/>
    <cellStyle name="Note 2 3 3 6 2 3" xfId="7355"/>
    <cellStyle name="Note 2 3 3 6 2 3 2" xfId="9969"/>
    <cellStyle name="Note 2 3 3 6 2 3 2 2" xfId="16231"/>
    <cellStyle name="Note 2 3 3 6 2 3 2 2 2" xfId="29647"/>
    <cellStyle name="Note 2 3 3 6 2 3 2 3" xfId="20976"/>
    <cellStyle name="Note 2 3 3 6 2 3 3" xfId="13959"/>
    <cellStyle name="Note 2 3 3 6 2 3 3 2" xfId="28281"/>
    <cellStyle name="Note 2 3 3 6 2 3 4" xfId="19604"/>
    <cellStyle name="Note 2 3 3 6 2 4" xfId="11392"/>
    <cellStyle name="Note 2 3 3 6 2 4 2" xfId="25714"/>
    <cellStyle name="Note 2 3 3 6 2 5" xfId="3289"/>
    <cellStyle name="Note 2 3 3 6 3" xfId="1920"/>
    <cellStyle name="Note 2 3 3 6 3 2" xfId="7496"/>
    <cellStyle name="Note 2 3 3 6 3 2 2" xfId="10110"/>
    <cellStyle name="Note 2 3 3 6 3 2 2 2" xfId="16372"/>
    <cellStyle name="Note 2 3 3 6 3 2 2 2 2" xfId="29788"/>
    <cellStyle name="Note 2 3 3 6 3 2 2 3" xfId="21117"/>
    <cellStyle name="Note 2 3 3 6 3 2 3" xfId="14100"/>
    <cellStyle name="Note 2 3 3 6 3 2 3 2" xfId="28422"/>
    <cellStyle name="Note 2 3 3 6 3 2 4" xfId="19745"/>
    <cellStyle name="Note 2 3 3 6 3 3" xfId="13114"/>
    <cellStyle name="Note 2 3 3 6 3 3 2" xfId="27436"/>
    <cellStyle name="Note 2 3 3 6 3 4" xfId="18759"/>
    <cellStyle name="Note 2 3 3 6 4" xfId="5482"/>
    <cellStyle name="Note 2 3 3 6 4 2" xfId="12033"/>
    <cellStyle name="Note 2 3 3 6 4 2 2" xfId="26355"/>
    <cellStyle name="Note 2 3 3 6 4 3" xfId="17678"/>
    <cellStyle name="Note 2 3 3 6 5" xfId="2831"/>
    <cellStyle name="Note 2 3 3 6 5 2" xfId="22394"/>
    <cellStyle name="Note 2 3 3 6 6" xfId="4025"/>
    <cellStyle name="Note 2 3 3 7" xfId="1921"/>
    <cellStyle name="Note 2 3 3 7 2" xfId="6442"/>
    <cellStyle name="Note 2 3 3 7 2 2" xfId="13025"/>
    <cellStyle name="Note 2 3 3 7 2 2 2" xfId="27347"/>
    <cellStyle name="Note 2 3 3 7 2 3" xfId="18670"/>
    <cellStyle name="Note 2 3 3 7 3" xfId="7248"/>
    <cellStyle name="Note 2 3 3 7 3 2" xfId="9862"/>
    <cellStyle name="Note 2 3 3 7 3 2 2" xfId="16124"/>
    <cellStyle name="Note 2 3 3 7 3 2 2 2" xfId="29540"/>
    <cellStyle name="Note 2 3 3 7 3 2 3" xfId="20869"/>
    <cellStyle name="Note 2 3 3 7 3 3" xfId="13852"/>
    <cellStyle name="Note 2 3 3 7 3 3 2" xfId="28174"/>
    <cellStyle name="Note 2 3 3 7 3 4" xfId="19497"/>
    <cellStyle name="Note 2 3 3 7 4" xfId="6686"/>
    <cellStyle name="Note 2 3 3 7 4 2" xfId="23654"/>
    <cellStyle name="Note 2 3 3 7 5" xfId="17088"/>
    <cellStyle name="Note 2 3 3 8" xfId="1922"/>
    <cellStyle name="Note 2 3 3 8 2" xfId="7384"/>
    <cellStyle name="Note 2 3 3 8 2 2" xfId="9998"/>
    <cellStyle name="Note 2 3 3 8 2 2 2" xfId="16260"/>
    <cellStyle name="Note 2 3 3 8 2 2 2 2" xfId="29676"/>
    <cellStyle name="Note 2 3 3 8 2 2 3" xfId="21005"/>
    <cellStyle name="Note 2 3 3 8 2 3" xfId="13988"/>
    <cellStyle name="Note 2 3 3 8 2 3 2" xfId="28310"/>
    <cellStyle name="Note 2 3 3 8 2 4" xfId="19633"/>
    <cellStyle name="Note 2 3 3 8 3" xfId="12602"/>
    <cellStyle name="Note 2 3 3 8 3 2" xfId="26924"/>
    <cellStyle name="Note 2 3 3 8 4" xfId="18247"/>
    <cellStyle name="Note 2 3 3 9" xfId="5203"/>
    <cellStyle name="Note 2 3 3 9 2" xfId="11752"/>
    <cellStyle name="Note 2 3 3 9 2 2" xfId="26074"/>
    <cellStyle name="Note 2 3 3 9 3" xfId="3651"/>
    <cellStyle name="Note 2 3 4" xfId="1923"/>
    <cellStyle name="Note 2 3 4 2" xfId="1924"/>
    <cellStyle name="Note 2 3 4 2 2" xfId="1925"/>
    <cellStyle name="Note 2 3 4 2 2 2" xfId="5616"/>
    <cellStyle name="Note 2 3 4 2 2 2 2" xfId="12169"/>
    <cellStyle name="Note 2 3 4 2 2 2 2 2" xfId="26491"/>
    <cellStyle name="Note 2 3 4 2 2 2 3" xfId="17814"/>
    <cellStyle name="Note 2 3 4 2 2 3" xfId="7186"/>
    <cellStyle name="Note 2 3 4 2 2 3 2" xfId="9800"/>
    <cellStyle name="Note 2 3 4 2 2 3 2 2" xfId="16062"/>
    <cellStyle name="Note 2 3 4 2 2 3 2 2 2" xfId="29478"/>
    <cellStyle name="Note 2 3 4 2 2 3 2 3" xfId="20807"/>
    <cellStyle name="Note 2 3 4 2 2 3 3" xfId="13790"/>
    <cellStyle name="Note 2 3 4 2 2 3 3 2" xfId="28112"/>
    <cellStyle name="Note 2 3 4 2 2 3 4" xfId="19435"/>
    <cellStyle name="Note 2 3 4 2 2 4" xfId="4232"/>
    <cellStyle name="Note 2 3 4 2 2 4 2" xfId="22842"/>
    <cellStyle name="Note 2 3 4 2 2 5" xfId="5018"/>
    <cellStyle name="Note 2 3 4 2 3" xfId="1926"/>
    <cellStyle name="Note 2 3 4 2 3 2" xfId="7573"/>
    <cellStyle name="Note 2 3 4 2 3 2 2" xfId="10187"/>
    <cellStyle name="Note 2 3 4 2 3 2 2 2" xfId="16449"/>
    <cellStyle name="Note 2 3 4 2 3 2 2 2 2" xfId="29865"/>
    <cellStyle name="Note 2 3 4 2 3 2 2 3" xfId="21194"/>
    <cellStyle name="Note 2 3 4 2 3 2 3" xfId="14177"/>
    <cellStyle name="Note 2 3 4 2 3 2 3 2" xfId="28499"/>
    <cellStyle name="Note 2 3 4 2 3 2 4" xfId="19822"/>
    <cellStyle name="Note 2 3 4 2 3 3" xfId="13222"/>
    <cellStyle name="Note 2 3 4 2 3 3 2" xfId="27544"/>
    <cellStyle name="Note 2 3 4 2 3 4" xfId="18867"/>
    <cellStyle name="Note 2 3 4 2 4" xfId="5663"/>
    <cellStyle name="Note 2 3 4 2 4 2" xfId="12216"/>
    <cellStyle name="Note 2 3 4 2 4 2 2" xfId="26538"/>
    <cellStyle name="Note 2 3 4 2 4 3" xfId="17861"/>
    <cellStyle name="Note 2 3 4 2 5" xfId="4180"/>
    <cellStyle name="Note 2 3 4 2 5 2" xfId="22802"/>
    <cellStyle name="Note 2 3 4 2 6" xfId="4949"/>
    <cellStyle name="Note 2 3 4 3" xfId="1927"/>
    <cellStyle name="Note 2 3 4 3 2" xfId="1928"/>
    <cellStyle name="Note 2 3 4 3 2 2" xfId="6020"/>
    <cellStyle name="Note 2 3 4 3 2 2 2" xfId="12580"/>
    <cellStyle name="Note 2 3 4 3 2 2 2 2" xfId="26902"/>
    <cellStyle name="Note 2 3 4 3 2 2 3" xfId="18225"/>
    <cellStyle name="Note 2 3 4 3 2 3" xfId="7717"/>
    <cellStyle name="Note 2 3 4 3 2 3 2" xfId="10331"/>
    <cellStyle name="Note 2 3 4 3 2 3 2 2" xfId="16593"/>
    <cellStyle name="Note 2 3 4 3 2 3 2 2 2" xfId="30009"/>
    <cellStyle name="Note 2 3 4 3 2 3 2 3" xfId="21338"/>
    <cellStyle name="Note 2 3 4 3 2 3 3" xfId="14321"/>
    <cellStyle name="Note 2 3 4 3 2 3 3 2" xfId="28643"/>
    <cellStyle name="Note 2 3 4 3 2 3 4" xfId="19966"/>
    <cellStyle name="Note 2 3 4 3 2 4" xfId="4368"/>
    <cellStyle name="Note 2 3 4 3 2 4 2" xfId="22910"/>
    <cellStyle name="Note 2 3 4 3 2 5" xfId="15274"/>
    <cellStyle name="Note 2 3 4 3 3" xfId="1929"/>
    <cellStyle name="Note 2 3 4 3 3 2" xfId="7097"/>
    <cellStyle name="Note 2 3 4 3 3 2 2" xfId="9711"/>
    <cellStyle name="Note 2 3 4 3 3 2 2 2" xfId="15973"/>
    <cellStyle name="Note 2 3 4 3 3 2 2 2 2" xfId="29389"/>
    <cellStyle name="Note 2 3 4 3 3 2 2 3" xfId="20718"/>
    <cellStyle name="Note 2 3 4 3 3 2 3" xfId="13701"/>
    <cellStyle name="Note 2 3 4 3 3 2 3 2" xfId="28023"/>
    <cellStyle name="Note 2 3 4 3 3 2 4" xfId="19346"/>
    <cellStyle name="Note 2 3 4 3 3 3" xfId="13416"/>
    <cellStyle name="Note 2 3 4 3 3 3 2" xfId="27738"/>
    <cellStyle name="Note 2 3 4 3 3 4" xfId="19061"/>
    <cellStyle name="Note 2 3 4 3 4" xfId="5885"/>
    <cellStyle name="Note 2 3 4 3 4 2" xfId="12438"/>
    <cellStyle name="Note 2 3 4 3 4 2 2" xfId="26760"/>
    <cellStyle name="Note 2 3 4 3 4 3" xfId="18083"/>
    <cellStyle name="Note 2 3 4 3 5" xfId="4959"/>
    <cellStyle name="Note 2 3 4 3 5 2" xfId="23281"/>
    <cellStyle name="Note 2 3 4 3 6" xfId="15415"/>
    <cellStyle name="Note 2 3 4 4" xfId="1930"/>
    <cellStyle name="Note 2 3 4 4 2" xfId="6470"/>
    <cellStyle name="Note 2 3 4 4 2 2" xfId="13053"/>
    <cellStyle name="Note 2 3 4 4 2 2 2" xfId="27375"/>
    <cellStyle name="Note 2 3 4 4 2 3" xfId="18698"/>
    <cellStyle name="Note 2 3 4 4 3" xfId="7402"/>
    <cellStyle name="Note 2 3 4 4 3 2" xfId="10016"/>
    <cellStyle name="Note 2 3 4 4 3 2 2" xfId="16278"/>
    <cellStyle name="Note 2 3 4 4 3 2 2 2" xfId="29694"/>
    <cellStyle name="Note 2 3 4 4 3 2 3" xfId="21023"/>
    <cellStyle name="Note 2 3 4 4 3 3" xfId="14006"/>
    <cellStyle name="Note 2 3 4 4 3 3 2" xfId="28328"/>
    <cellStyle name="Note 2 3 4 4 3 4" xfId="19651"/>
    <cellStyle name="Note 2 3 4 4 4" xfId="4964"/>
    <cellStyle name="Note 2 3 4 4 4 2" xfId="23285"/>
    <cellStyle name="Note 2 3 4 4 5" xfId="17146"/>
    <cellStyle name="Note 2 3 4 5" xfId="1931"/>
    <cellStyle name="Note 2 3 4 5 2" xfId="7305"/>
    <cellStyle name="Note 2 3 4 5 2 2" xfId="9919"/>
    <cellStyle name="Note 2 3 4 5 2 2 2" xfId="16181"/>
    <cellStyle name="Note 2 3 4 5 2 2 2 2" xfId="29597"/>
    <cellStyle name="Note 2 3 4 5 2 2 3" xfId="20926"/>
    <cellStyle name="Note 2 3 4 5 2 3" xfId="13909"/>
    <cellStyle name="Note 2 3 4 5 2 3 2" xfId="28231"/>
    <cellStyle name="Note 2 3 4 5 2 4" xfId="19554"/>
    <cellStyle name="Note 2 3 4 5 3" xfId="12542"/>
    <cellStyle name="Note 2 3 4 5 3 2" xfId="26864"/>
    <cellStyle name="Note 2 3 4 5 4" xfId="18187"/>
    <cellStyle name="Note 2 3 4 6" xfId="5136"/>
    <cellStyle name="Note 2 3 4 6 2" xfId="11685"/>
    <cellStyle name="Note 2 3 4 6 2 2" xfId="26007"/>
    <cellStyle name="Note 2 3 4 6 3" xfId="4974"/>
    <cellStyle name="Note 2 3 4 7" xfId="3269"/>
    <cellStyle name="Note 2 3 4 7 2" xfId="22453"/>
    <cellStyle name="Note 2 3 4 8" xfId="14691"/>
    <cellStyle name="Note 2 3 5" xfId="1932"/>
    <cellStyle name="Note 2 3 5 2" xfId="1933"/>
    <cellStyle name="Note 2 3 5 2 2" xfId="1934"/>
    <cellStyle name="Note 2 3 5 2 2 2" xfId="6231"/>
    <cellStyle name="Note 2 3 5 2 2 2 2" xfId="12806"/>
    <cellStyle name="Note 2 3 5 2 2 2 2 2" xfId="27128"/>
    <cellStyle name="Note 2 3 5 2 2 2 3" xfId="18451"/>
    <cellStyle name="Note 2 3 5 2 2 3" xfId="7207"/>
    <cellStyle name="Note 2 3 5 2 2 3 2" xfId="9821"/>
    <cellStyle name="Note 2 3 5 2 2 3 2 2" xfId="16083"/>
    <cellStyle name="Note 2 3 5 2 2 3 2 2 2" xfId="29499"/>
    <cellStyle name="Note 2 3 5 2 2 3 2 3" xfId="20828"/>
    <cellStyle name="Note 2 3 5 2 2 3 3" xfId="13811"/>
    <cellStyle name="Note 2 3 5 2 2 3 3 2" xfId="28133"/>
    <cellStyle name="Note 2 3 5 2 2 3 4" xfId="19456"/>
    <cellStyle name="Note 2 3 5 2 2 4" xfId="4983"/>
    <cellStyle name="Note 2 3 5 2 2 4 2" xfId="23293"/>
    <cellStyle name="Note 2 3 5 2 2 5" xfId="15199"/>
    <cellStyle name="Note 2 3 5 2 3" xfId="1935"/>
    <cellStyle name="Note 2 3 5 2 3 2" xfId="7772"/>
    <cellStyle name="Note 2 3 5 2 3 2 2" xfId="10386"/>
    <cellStyle name="Note 2 3 5 2 3 2 2 2" xfId="16648"/>
    <cellStyle name="Note 2 3 5 2 3 2 2 2 2" xfId="30064"/>
    <cellStyle name="Note 2 3 5 2 3 2 2 3" xfId="21393"/>
    <cellStyle name="Note 2 3 5 2 3 2 3" xfId="14376"/>
    <cellStyle name="Note 2 3 5 2 3 2 3 2" xfId="28698"/>
    <cellStyle name="Note 2 3 5 2 3 2 4" xfId="20021"/>
    <cellStyle name="Note 2 3 5 2 3 3" xfId="12522"/>
    <cellStyle name="Note 2 3 5 2 3 3 2" xfId="26844"/>
    <cellStyle name="Note 2 3 5 2 3 4" xfId="18167"/>
    <cellStyle name="Note 2 3 5 2 4" xfId="4114"/>
    <cellStyle name="Note 2 3 5 2 4 2" xfId="3909"/>
    <cellStyle name="Note 2 3 5 2 4 2 2" xfId="22640"/>
    <cellStyle name="Note 2 3 5 2 4 3" xfId="15111"/>
    <cellStyle name="Note 2 3 5 2 5" xfId="4882"/>
    <cellStyle name="Note 2 3 5 2 5 2" xfId="23242"/>
    <cellStyle name="Note 2 3 5 2 6" xfId="14904"/>
    <cellStyle name="Note 2 3 5 3" xfId="1936"/>
    <cellStyle name="Note 2 3 5 3 2" xfId="1937"/>
    <cellStyle name="Note 2 3 5 3 2 2" xfId="7023"/>
    <cellStyle name="Note 2 3 5 3 2 2 2" xfId="13627"/>
    <cellStyle name="Note 2 3 5 3 2 2 2 2" xfId="27949"/>
    <cellStyle name="Note 2 3 5 3 2 2 3" xfId="19272"/>
    <cellStyle name="Note 2 3 5 3 2 3" xfId="4853"/>
    <cellStyle name="Note 2 3 5 3 2 3 2" xfId="9503"/>
    <cellStyle name="Note 2 3 5 3 2 3 2 2" xfId="15765"/>
    <cellStyle name="Note 2 3 5 3 2 3 2 2 2" xfId="29181"/>
    <cellStyle name="Note 2 3 5 3 2 3 2 3" xfId="20510"/>
    <cellStyle name="Note 2 3 5 3 2 3 3" xfId="11387"/>
    <cellStyle name="Note 2 3 5 3 2 3 3 2" xfId="25709"/>
    <cellStyle name="Note 2 3 5 3 2 3 4" xfId="16966"/>
    <cellStyle name="Note 2 3 5 3 2 4" xfId="11558"/>
    <cellStyle name="Note 2 3 5 3 2 4 2" xfId="25880"/>
    <cellStyle name="Note 2 3 5 3 2 5" xfId="5566"/>
    <cellStyle name="Note 2 3 5 3 3" xfId="1938"/>
    <cellStyle name="Note 2 3 5 3 3 2" xfId="7763"/>
    <cellStyle name="Note 2 3 5 3 3 2 2" xfId="10377"/>
    <cellStyle name="Note 2 3 5 3 3 2 2 2" xfId="16639"/>
    <cellStyle name="Note 2 3 5 3 3 2 2 2 2" xfId="30055"/>
    <cellStyle name="Note 2 3 5 3 3 2 2 3" xfId="21384"/>
    <cellStyle name="Note 2 3 5 3 3 2 3" xfId="14367"/>
    <cellStyle name="Note 2 3 5 3 3 2 3 2" xfId="28689"/>
    <cellStyle name="Note 2 3 5 3 3 2 4" xfId="20012"/>
    <cellStyle name="Note 2 3 5 3 3 3" xfId="12610"/>
    <cellStyle name="Note 2 3 5 3 3 3 2" xfId="26932"/>
    <cellStyle name="Note 2 3 5 3 3 4" xfId="18255"/>
    <cellStyle name="Note 2 3 5 3 4" xfId="5158"/>
    <cellStyle name="Note 2 3 5 3 4 2" xfId="11707"/>
    <cellStyle name="Note 2 3 5 3 4 2 2" xfId="26029"/>
    <cellStyle name="Note 2 3 5 3 4 3" xfId="6291"/>
    <cellStyle name="Note 2 3 5 3 5" xfId="4343"/>
    <cellStyle name="Note 2 3 5 3 5 2" xfId="22898"/>
    <cellStyle name="Note 2 3 5 3 6" xfId="17006"/>
    <cellStyle name="Note 2 3 5 4" xfId="1939"/>
    <cellStyle name="Note 2 3 5 4 2" xfId="6029"/>
    <cellStyle name="Note 2 3 5 4 2 2" xfId="12590"/>
    <cellStyle name="Note 2 3 5 4 2 2 2" xfId="26912"/>
    <cellStyle name="Note 2 3 5 4 2 3" xfId="18235"/>
    <cellStyle name="Note 2 3 5 4 3" xfId="3740"/>
    <cellStyle name="Note 2 3 5 4 3 2" xfId="9365"/>
    <cellStyle name="Note 2 3 5 4 3 2 2" xfId="15627"/>
    <cellStyle name="Note 2 3 5 4 3 2 2 2" xfId="29043"/>
    <cellStyle name="Note 2 3 5 4 3 2 3" xfId="20372"/>
    <cellStyle name="Note 2 3 5 4 3 3" xfId="4494"/>
    <cellStyle name="Note 2 3 5 4 3 3 2" xfId="22987"/>
    <cellStyle name="Note 2 3 5 4 3 4" xfId="17393"/>
    <cellStyle name="Note 2 3 5 4 4" xfId="6653"/>
    <cellStyle name="Note 2 3 5 4 4 2" xfId="23630"/>
    <cellStyle name="Note 2 3 5 4 5" xfId="17298"/>
    <cellStyle name="Note 2 3 5 5" xfId="1940"/>
    <cellStyle name="Note 2 3 5 5 2" xfId="3666"/>
    <cellStyle name="Note 2 3 5 5 2 2" xfId="9357"/>
    <cellStyle name="Note 2 3 5 5 2 2 2" xfId="15619"/>
    <cellStyle name="Note 2 3 5 5 2 2 2 2" xfId="29035"/>
    <cellStyle name="Note 2 3 5 5 2 2 3" xfId="20364"/>
    <cellStyle name="Note 2 3 5 5 2 3" xfId="4775"/>
    <cellStyle name="Note 2 3 5 5 2 3 2" xfId="23181"/>
    <cellStyle name="Note 2 3 5 5 2 4" xfId="15150"/>
    <cellStyle name="Note 2 3 5 5 3" xfId="11655"/>
    <cellStyle name="Note 2 3 5 5 3 2" xfId="25977"/>
    <cellStyle name="Note 2 3 5 5 4" xfId="3702"/>
    <cellStyle name="Note 2 3 5 6" xfId="5104"/>
    <cellStyle name="Note 2 3 5 6 2" xfId="11651"/>
    <cellStyle name="Note 2 3 5 6 2 2" xfId="25973"/>
    <cellStyle name="Note 2 3 5 6 3" xfId="15120"/>
    <cellStyle name="Note 2 3 5 7" xfId="4786"/>
    <cellStyle name="Note 2 3 5 7 2" xfId="23186"/>
    <cellStyle name="Note 2 3 5 8" xfId="17011"/>
    <cellStyle name="Note 2 3 6" xfId="1941"/>
    <cellStyle name="Note 2 3 6 2" xfId="1942"/>
    <cellStyle name="Note 2 3 6 2 2" xfId="1943"/>
    <cellStyle name="Note 2 3 6 2 2 2" xfId="6994"/>
    <cellStyle name="Note 2 3 6 2 2 2 2" xfId="13598"/>
    <cellStyle name="Note 2 3 6 2 2 2 2 2" xfId="27920"/>
    <cellStyle name="Note 2 3 6 2 2 2 3" xfId="19243"/>
    <cellStyle name="Note 2 3 6 2 2 3" xfId="7775"/>
    <cellStyle name="Note 2 3 6 2 2 3 2" xfId="10389"/>
    <cellStyle name="Note 2 3 6 2 2 3 2 2" xfId="16651"/>
    <cellStyle name="Note 2 3 6 2 2 3 2 2 2" xfId="30067"/>
    <cellStyle name="Note 2 3 6 2 2 3 2 3" xfId="21396"/>
    <cellStyle name="Note 2 3 6 2 2 3 3" xfId="14379"/>
    <cellStyle name="Note 2 3 6 2 2 3 3 2" xfId="28701"/>
    <cellStyle name="Note 2 3 6 2 2 3 4" xfId="20024"/>
    <cellStyle name="Note 2 3 6 2 2 4" xfId="11508"/>
    <cellStyle name="Note 2 3 6 2 2 4 2" xfId="25830"/>
    <cellStyle name="Note 2 3 6 2 2 5" xfId="15300"/>
    <cellStyle name="Note 2 3 6 2 3" xfId="1944"/>
    <cellStyle name="Note 2 3 6 2 3 2" xfId="7946"/>
    <cellStyle name="Note 2 3 6 2 3 2 2" xfId="10560"/>
    <cellStyle name="Note 2 3 6 2 3 2 2 2" xfId="16822"/>
    <cellStyle name="Note 2 3 6 2 3 2 2 2 2" xfId="30238"/>
    <cellStyle name="Note 2 3 6 2 3 2 2 3" xfId="21567"/>
    <cellStyle name="Note 2 3 6 2 3 2 3" xfId="14550"/>
    <cellStyle name="Note 2 3 6 2 3 2 3 2" xfId="28872"/>
    <cellStyle name="Note 2 3 6 2 3 2 4" xfId="20195"/>
    <cellStyle name="Note 2 3 6 2 3 3" xfId="13207"/>
    <cellStyle name="Note 2 3 6 2 3 3 2" xfId="27529"/>
    <cellStyle name="Note 2 3 6 2 3 4" xfId="18852"/>
    <cellStyle name="Note 2 3 6 2 4" xfId="5646"/>
    <cellStyle name="Note 2 3 6 2 4 2" xfId="12199"/>
    <cellStyle name="Note 2 3 6 2 4 2 2" xfId="26521"/>
    <cellStyle name="Note 2 3 6 2 4 3" xfId="17844"/>
    <cellStyle name="Note 2 3 6 2 5" xfId="6788"/>
    <cellStyle name="Note 2 3 6 2 5 2" xfId="23732"/>
    <cellStyle name="Note 2 3 6 2 6" xfId="4620"/>
    <cellStyle name="Note 2 3 6 3" xfId="1945"/>
    <cellStyle name="Note 2 3 6 3 2" xfId="1946"/>
    <cellStyle name="Note 2 3 6 3 2 2" xfId="6849"/>
    <cellStyle name="Note 2 3 6 3 2 2 2" xfId="13453"/>
    <cellStyle name="Note 2 3 6 3 2 2 2 2" xfId="27775"/>
    <cellStyle name="Note 2 3 6 3 2 2 3" xfId="19098"/>
    <cellStyle name="Note 2 3 6 3 2 3" xfId="7108"/>
    <cellStyle name="Note 2 3 6 3 2 3 2" xfId="9722"/>
    <cellStyle name="Note 2 3 6 3 2 3 2 2" xfId="15984"/>
    <cellStyle name="Note 2 3 6 3 2 3 2 2 2" xfId="29400"/>
    <cellStyle name="Note 2 3 6 3 2 3 2 3" xfId="20729"/>
    <cellStyle name="Note 2 3 6 3 2 3 3" xfId="13712"/>
    <cellStyle name="Note 2 3 6 3 2 3 3 2" xfId="28034"/>
    <cellStyle name="Note 2 3 6 3 2 3 4" xfId="19357"/>
    <cellStyle name="Note 2 3 6 3 2 4" xfId="2806"/>
    <cellStyle name="Note 2 3 6 3 2 4 2" xfId="22369"/>
    <cellStyle name="Note 2 3 6 3 2 5" xfId="15359"/>
    <cellStyle name="Note 2 3 6 3 3" xfId="1947"/>
    <cellStyle name="Note 2 3 6 3 3 2" xfId="4806"/>
    <cellStyle name="Note 2 3 6 3 3 2 2" xfId="9491"/>
    <cellStyle name="Note 2 3 6 3 3 2 2 2" xfId="15753"/>
    <cellStyle name="Note 2 3 6 3 3 2 2 2 2" xfId="29169"/>
    <cellStyle name="Note 2 3 6 3 3 2 2 3" xfId="20498"/>
    <cellStyle name="Note 2 3 6 3 3 2 3" xfId="11337"/>
    <cellStyle name="Note 2 3 6 3 3 2 3 2" xfId="25659"/>
    <cellStyle name="Note 2 3 6 3 3 2 4" xfId="15099"/>
    <cellStyle name="Note 2 3 6 3 3 3" xfId="13054"/>
    <cellStyle name="Note 2 3 6 3 3 3 2" xfId="27376"/>
    <cellStyle name="Note 2 3 6 3 3 4" xfId="18699"/>
    <cellStyle name="Note 2 3 6 3 4" xfId="5382"/>
    <cellStyle name="Note 2 3 6 3 4 2" xfId="11932"/>
    <cellStyle name="Note 2 3 6 3 4 2 2" xfId="26254"/>
    <cellStyle name="Note 2 3 6 3 4 3" xfId="17577"/>
    <cellStyle name="Note 2 3 6 3 5" xfId="6508"/>
    <cellStyle name="Note 2 3 6 3 5 2" xfId="23575"/>
    <cellStyle name="Note 2 3 6 3 6" xfId="14877"/>
    <cellStyle name="Note 2 3 6 4" xfId="1948"/>
    <cellStyle name="Note 2 3 6 4 2" xfId="6040"/>
    <cellStyle name="Note 2 3 6 4 2 2" xfId="12604"/>
    <cellStyle name="Note 2 3 6 4 2 2 2" xfId="26926"/>
    <cellStyle name="Note 2 3 6 4 2 3" xfId="18249"/>
    <cellStyle name="Note 2 3 6 4 3" xfId="7220"/>
    <cellStyle name="Note 2 3 6 4 3 2" xfId="9834"/>
    <cellStyle name="Note 2 3 6 4 3 2 2" xfId="16096"/>
    <cellStyle name="Note 2 3 6 4 3 2 2 2" xfId="29512"/>
    <cellStyle name="Note 2 3 6 4 3 2 3" xfId="20841"/>
    <cellStyle name="Note 2 3 6 4 3 3" xfId="13824"/>
    <cellStyle name="Note 2 3 6 4 3 3 2" xfId="28146"/>
    <cellStyle name="Note 2 3 6 4 3 4" xfId="19469"/>
    <cellStyle name="Note 2 3 6 4 4" xfId="4484"/>
    <cellStyle name="Note 2 3 6 4 4 2" xfId="22981"/>
    <cellStyle name="Note 2 3 6 4 5" xfId="15582"/>
    <cellStyle name="Note 2 3 6 5" xfId="1949"/>
    <cellStyle name="Note 2 3 6 5 2" xfId="7272"/>
    <cellStyle name="Note 2 3 6 5 2 2" xfId="9886"/>
    <cellStyle name="Note 2 3 6 5 2 2 2" xfId="16148"/>
    <cellStyle name="Note 2 3 6 5 2 2 2 2" xfId="29564"/>
    <cellStyle name="Note 2 3 6 5 2 2 3" xfId="20893"/>
    <cellStyle name="Note 2 3 6 5 2 3" xfId="13876"/>
    <cellStyle name="Note 2 3 6 5 2 3 2" xfId="28198"/>
    <cellStyle name="Note 2 3 6 5 2 4" xfId="19521"/>
    <cellStyle name="Note 2 3 6 5 3" xfId="12490"/>
    <cellStyle name="Note 2 3 6 5 3 2" xfId="26812"/>
    <cellStyle name="Note 2 3 6 5 4" xfId="18135"/>
    <cellStyle name="Note 2 3 6 6" xfId="5075"/>
    <cellStyle name="Note 2 3 6 6 2" xfId="11622"/>
    <cellStyle name="Note 2 3 6 6 2 2" xfId="25944"/>
    <cellStyle name="Note 2 3 6 6 3" xfId="3612"/>
    <cellStyle name="Note 2 3 6 7" xfId="4836"/>
    <cellStyle name="Note 2 3 6 7 2" xfId="23213"/>
    <cellStyle name="Note 2 3 6 8" xfId="15292"/>
    <cellStyle name="Note 2 3 7" xfId="1950"/>
    <cellStyle name="Note 2 3 7 2" xfId="1951"/>
    <cellStyle name="Note 2 3 7 2 2" xfId="1952"/>
    <cellStyle name="Note 2 3 7 2 2 2" xfId="3468"/>
    <cellStyle name="Note 2 3 7 2 2 2 2" xfId="3242"/>
    <cellStyle name="Note 2 3 7 2 2 2 2 2" xfId="22440"/>
    <cellStyle name="Note 2 3 7 2 2 2 3" xfId="14838"/>
    <cellStyle name="Note 2 3 7 2 2 3" xfId="7738"/>
    <cellStyle name="Note 2 3 7 2 2 3 2" xfId="10352"/>
    <cellStyle name="Note 2 3 7 2 2 3 2 2" xfId="16614"/>
    <cellStyle name="Note 2 3 7 2 2 3 2 2 2" xfId="30030"/>
    <cellStyle name="Note 2 3 7 2 2 3 2 3" xfId="21359"/>
    <cellStyle name="Note 2 3 7 2 2 3 3" xfId="14342"/>
    <cellStyle name="Note 2 3 7 2 2 3 3 2" xfId="28664"/>
    <cellStyle name="Note 2 3 7 2 2 3 4" xfId="19987"/>
    <cellStyle name="Note 2 3 7 2 2 4" xfId="6330"/>
    <cellStyle name="Note 2 3 7 2 2 4 2" xfId="23519"/>
    <cellStyle name="Note 2 3 7 2 2 5" xfId="4149"/>
    <cellStyle name="Note 2 3 7 2 3" xfId="1953"/>
    <cellStyle name="Note 2 3 7 2 3 2" xfId="7083"/>
    <cellStyle name="Note 2 3 7 2 3 2 2" xfId="9697"/>
    <cellStyle name="Note 2 3 7 2 3 2 2 2" xfId="15959"/>
    <cellStyle name="Note 2 3 7 2 3 2 2 2 2" xfId="29375"/>
    <cellStyle name="Note 2 3 7 2 3 2 2 3" xfId="20704"/>
    <cellStyle name="Note 2 3 7 2 3 2 3" xfId="13687"/>
    <cellStyle name="Note 2 3 7 2 3 2 3 2" xfId="28009"/>
    <cellStyle name="Note 2 3 7 2 3 2 4" xfId="19332"/>
    <cellStyle name="Note 2 3 7 2 3 3" xfId="13083"/>
    <cellStyle name="Note 2 3 7 2 3 3 2" xfId="27405"/>
    <cellStyle name="Note 2 3 7 2 3 4" xfId="18728"/>
    <cellStyle name="Note 2 3 7 2 4" xfId="5436"/>
    <cellStyle name="Note 2 3 7 2 4 2" xfId="11987"/>
    <cellStyle name="Note 2 3 7 2 4 2 2" xfId="26309"/>
    <cellStyle name="Note 2 3 7 2 4 3" xfId="17632"/>
    <cellStyle name="Note 2 3 7 2 5" xfId="4392"/>
    <cellStyle name="Note 2 3 7 2 5 2" xfId="22924"/>
    <cellStyle name="Note 2 3 7 2 6" xfId="17202"/>
    <cellStyle name="Note 2 3 7 3" xfId="1954"/>
    <cellStyle name="Note 2 3 7 3 2" xfId="6047"/>
    <cellStyle name="Note 2 3 7 3 2 2" xfId="12613"/>
    <cellStyle name="Note 2 3 7 3 2 2 2" xfId="26935"/>
    <cellStyle name="Note 2 3 7 3 2 3" xfId="18258"/>
    <cellStyle name="Note 2 3 7 3 3" xfId="7320"/>
    <cellStyle name="Note 2 3 7 3 3 2" xfId="9934"/>
    <cellStyle name="Note 2 3 7 3 3 2 2" xfId="16196"/>
    <cellStyle name="Note 2 3 7 3 3 2 2 2" xfId="29612"/>
    <cellStyle name="Note 2 3 7 3 3 2 3" xfId="20941"/>
    <cellStyle name="Note 2 3 7 3 3 3" xfId="13924"/>
    <cellStyle name="Note 2 3 7 3 3 3 2" xfId="28246"/>
    <cellStyle name="Note 2 3 7 3 3 4" xfId="19569"/>
    <cellStyle name="Note 2 3 7 3 4" xfId="4463"/>
    <cellStyle name="Note 2 3 7 3 4 2" xfId="22965"/>
    <cellStyle name="Note 2 3 7 3 5" xfId="15361"/>
    <cellStyle name="Note 2 3 7 4" xfId="1955"/>
    <cellStyle name="Note 2 3 7 4 2" xfId="7306"/>
    <cellStyle name="Note 2 3 7 4 2 2" xfId="9920"/>
    <cellStyle name="Note 2 3 7 4 2 2 2" xfId="16182"/>
    <cellStyle name="Note 2 3 7 4 2 2 2 2" xfId="29598"/>
    <cellStyle name="Note 2 3 7 4 2 2 3" xfId="20927"/>
    <cellStyle name="Note 2 3 7 4 2 3" xfId="13910"/>
    <cellStyle name="Note 2 3 7 4 2 3 2" xfId="28232"/>
    <cellStyle name="Note 2 3 7 4 2 4" xfId="19555"/>
    <cellStyle name="Note 2 3 7 4 3" xfId="12903"/>
    <cellStyle name="Note 2 3 7 4 3 2" xfId="27225"/>
    <cellStyle name="Note 2 3 7 4 4" xfId="18548"/>
    <cellStyle name="Note 2 3 7 5" xfId="5527"/>
    <cellStyle name="Note 2 3 7 5 2" xfId="12078"/>
    <cellStyle name="Note 2 3 7 5 2 2" xfId="26400"/>
    <cellStyle name="Note 2 3 7 5 3" xfId="17723"/>
    <cellStyle name="Note 2 3 7 6" xfId="4217"/>
    <cellStyle name="Note 2 3 7 6 2" xfId="22829"/>
    <cellStyle name="Note 2 3 7 7" xfId="15132"/>
    <cellStyle name="Note 2 3 8" xfId="1956"/>
    <cellStyle name="Note 2 3 8 2" xfId="1957"/>
    <cellStyle name="Note 2 3 8 2 2" xfId="6050"/>
    <cellStyle name="Note 2 3 8 2 2 2" xfId="12616"/>
    <cellStyle name="Note 2 3 8 2 2 2 2" xfId="26938"/>
    <cellStyle name="Note 2 3 8 2 2 3" xfId="18261"/>
    <cellStyle name="Note 2 3 8 2 3" xfId="7935"/>
    <cellStyle name="Note 2 3 8 2 3 2" xfId="10549"/>
    <cellStyle name="Note 2 3 8 2 3 2 2" xfId="16811"/>
    <cellStyle name="Note 2 3 8 2 3 2 2 2" xfId="30227"/>
    <cellStyle name="Note 2 3 8 2 3 2 3" xfId="21556"/>
    <cellStyle name="Note 2 3 8 2 3 3" xfId="14539"/>
    <cellStyle name="Note 2 3 8 2 3 3 2" xfId="28861"/>
    <cellStyle name="Note 2 3 8 2 3 4" xfId="20184"/>
    <cellStyle name="Note 2 3 8 2 4" xfId="4650"/>
    <cellStyle name="Note 2 3 8 2 4 2" xfId="23093"/>
    <cellStyle name="Note 2 3 8 2 5" xfId="3984"/>
    <cellStyle name="Note 2 3 8 3" xfId="1958"/>
    <cellStyle name="Note 2 3 8 3 2" xfId="7356"/>
    <cellStyle name="Note 2 3 8 3 2 2" xfId="9970"/>
    <cellStyle name="Note 2 3 8 3 2 2 2" xfId="16232"/>
    <cellStyle name="Note 2 3 8 3 2 2 2 2" xfId="29648"/>
    <cellStyle name="Note 2 3 8 3 2 2 3" xfId="20977"/>
    <cellStyle name="Note 2 3 8 3 2 3" xfId="13960"/>
    <cellStyle name="Note 2 3 8 3 2 3 2" xfId="28282"/>
    <cellStyle name="Note 2 3 8 3 2 4" xfId="19605"/>
    <cellStyle name="Note 2 3 8 3 3" xfId="12738"/>
    <cellStyle name="Note 2 3 8 3 3 2" xfId="27060"/>
    <cellStyle name="Note 2 3 8 3 4" xfId="18383"/>
    <cellStyle name="Note 2 3 8 4" xfId="5039"/>
    <cellStyle name="Note 2 3 8 4 2" xfId="11586"/>
    <cellStyle name="Note 2 3 8 4 2 2" xfId="25908"/>
    <cellStyle name="Note 2 3 8 4 3" xfId="4354"/>
    <cellStyle name="Note 2 3 8 5" xfId="4366"/>
    <cellStyle name="Note 2 3 8 5 2" xfId="22908"/>
    <cellStyle name="Note 2 3 8 6" xfId="17183"/>
    <cellStyle name="Note 2 3 9" xfId="1959"/>
    <cellStyle name="Note 2 3 9 2" xfId="6144"/>
    <cellStyle name="Note 2 3 9 2 2" xfId="12714"/>
    <cellStyle name="Note 2 3 9 2 2 2" xfId="27036"/>
    <cellStyle name="Note 2 3 9 2 3" xfId="18359"/>
    <cellStyle name="Note 2 3 9 3" xfId="7701"/>
    <cellStyle name="Note 2 3 9 3 2" xfId="10315"/>
    <cellStyle name="Note 2 3 9 3 2 2" xfId="16577"/>
    <cellStyle name="Note 2 3 9 3 2 2 2" xfId="29993"/>
    <cellStyle name="Note 2 3 9 3 2 3" xfId="21322"/>
    <cellStyle name="Note 2 3 9 3 3" xfId="14305"/>
    <cellStyle name="Note 2 3 9 3 3 2" xfId="28627"/>
    <cellStyle name="Note 2 3 9 3 4" xfId="19950"/>
    <cellStyle name="Note 2 3 9 4" xfId="6771"/>
    <cellStyle name="Note 2 3 9 4 2" xfId="23717"/>
    <cellStyle name="Note 2 3 9 5" xfId="14713"/>
    <cellStyle name="Note 2 4" xfId="1960"/>
    <cellStyle name="Note 2 4 2" xfId="6012"/>
    <cellStyle name="Note 2 4 2 2" xfId="12572"/>
    <cellStyle name="Note 2 4 2 2 2" xfId="26894"/>
    <cellStyle name="Note 2 4 2 3" xfId="18217"/>
    <cellStyle name="Note 2 4 3" xfId="5342"/>
    <cellStyle name="Note 2 4 3 2" xfId="9651"/>
    <cellStyle name="Note 2 4 3 2 2" xfId="15913"/>
    <cellStyle name="Note 2 4 3 2 2 2" xfId="29329"/>
    <cellStyle name="Note 2 4 3 2 3" xfId="20658"/>
    <cellStyle name="Note 2 4 3 3" xfId="11892"/>
    <cellStyle name="Note 2 4 3 3 2" xfId="26214"/>
    <cellStyle name="Note 2 4 3 4" xfId="17537"/>
    <cellStyle name="Note 2 4 4" xfId="4049"/>
    <cellStyle name="Note 2 4 4 2" xfId="22726"/>
    <cellStyle name="Note 2 4 5" xfId="16977"/>
    <cellStyle name="Note 2 5" xfId="3731"/>
    <cellStyle name="Note 2 5 2" xfId="4792"/>
    <cellStyle name="Note 2 5 2 2" xfId="23191"/>
    <cellStyle name="Note 2 5 3" xfId="14801"/>
    <cellStyle name="Note 2 6" xfId="4867"/>
    <cellStyle name="Note 2 6 2" xfId="23232"/>
    <cellStyle name="Note 2 7" xfId="17036"/>
    <cellStyle name="Note 2 8" xfId="20321"/>
    <cellStyle name="Note 2 9" xfId="21700"/>
    <cellStyle name="Note 3" xfId="1961"/>
    <cellStyle name="Note 3 2" xfId="1962"/>
    <cellStyle name="Note 3 2 2" xfId="1963"/>
    <cellStyle name="Note 3 2 2 10" xfId="1964"/>
    <cellStyle name="Note 3 2 2 10 2" xfId="3827"/>
    <cellStyle name="Note 3 2 2 10 2 2" xfId="9383"/>
    <cellStyle name="Note 3 2 2 10 2 2 2" xfId="15645"/>
    <cellStyle name="Note 3 2 2 10 2 2 2 2" xfId="29061"/>
    <cellStyle name="Note 3 2 2 10 2 2 3" xfId="20390"/>
    <cellStyle name="Note 3 2 2 10 2 3" xfId="4847"/>
    <cellStyle name="Note 3 2 2 10 2 3 2" xfId="23221"/>
    <cellStyle name="Note 3 2 2 10 2 4" xfId="15563"/>
    <cellStyle name="Note 3 2 2 10 3" xfId="12162"/>
    <cellStyle name="Note 3 2 2 10 3 2" xfId="26484"/>
    <cellStyle name="Note 3 2 2 10 4" xfId="17807"/>
    <cellStyle name="Note 3 2 2 11" xfId="3763"/>
    <cellStyle name="Note 3 2 2 11 2" xfId="3860"/>
    <cellStyle name="Note 3 2 2 11 2 2" xfId="22616"/>
    <cellStyle name="Note 3 2 2 11 3" xfId="15255"/>
    <cellStyle name="Note 3 2 2 12" xfId="6317"/>
    <cellStyle name="Note 3 2 2 12 2" xfId="23512"/>
    <cellStyle name="Note 3 2 2 13" xfId="14718"/>
    <cellStyle name="Note 3 2 2 2" xfId="1965"/>
    <cellStyle name="Note 3 2 2 2 10" xfId="5395"/>
    <cellStyle name="Note 3 2 2 2 10 2" xfId="11945"/>
    <cellStyle name="Note 3 2 2 2 10 2 2" xfId="26267"/>
    <cellStyle name="Note 3 2 2 2 10 3" xfId="17590"/>
    <cellStyle name="Note 3 2 2 2 11" xfId="5366"/>
    <cellStyle name="Note 3 2 2 2 11 2" xfId="23340"/>
    <cellStyle name="Note 3 2 2 2 12" xfId="4193"/>
    <cellStyle name="Note 3 2 2 2 2" xfId="1966"/>
    <cellStyle name="Note 3 2 2 2 2 10" xfId="6721"/>
    <cellStyle name="Note 3 2 2 2 2 10 2" xfId="23675"/>
    <cellStyle name="Note 3 2 2 2 2 11" xfId="4120"/>
    <cellStyle name="Note 3 2 2 2 2 2" xfId="1967"/>
    <cellStyle name="Note 3 2 2 2 2 2 2" xfId="1968"/>
    <cellStyle name="Note 3 2 2 2 2 2 2 2" xfId="1969"/>
    <cellStyle name="Note 3 2 2 2 2 2 2 2 2" xfId="6428"/>
    <cellStyle name="Note 3 2 2 2 2 2 2 2 2 2" xfId="13011"/>
    <cellStyle name="Note 3 2 2 2 2 2 2 2 2 2 2" xfId="27333"/>
    <cellStyle name="Note 3 2 2 2 2 2 2 2 2 3" xfId="18656"/>
    <cellStyle name="Note 3 2 2 2 2 2 2 2 3" xfId="4915"/>
    <cellStyle name="Note 3 2 2 2 2 2 2 2 3 2" xfId="9512"/>
    <cellStyle name="Note 3 2 2 2 2 2 2 2 3 2 2" xfId="15774"/>
    <cellStyle name="Note 3 2 2 2 2 2 2 2 3 2 2 2" xfId="29190"/>
    <cellStyle name="Note 3 2 2 2 2 2 2 2 3 2 3" xfId="20519"/>
    <cellStyle name="Note 3 2 2 2 2 2 2 2 3 3" xfId="11452"/>
    <cellStyle name="Note 3 2 2 2 2 2 2 2 3 3 2" xfId="25774"/>
    <cellStyle name="Note 3 2 2 2 2 2 2 2 3 4" xfId="17303"/>
    <cellStyle name="Note 3 2 2 2 2 2 2 2 4" xfId="4593"/>
    <cellStyle name="Note 3 2 2 2 2 2 2 2 4 2" xfId="23055"/>
    <cellStyle name="Note 3 2 2 2 2 2 2 2 5" xfId="14697"/>
    <cellStyle name="Note 3 2 2 2 2 2 2 3" xfId="1970"/>
    <cellStyle name="Note 3 2 2 2 2 2 2 3 2" xfId="3594"/>
    <cellStyle name="Note 3 2 2 2 2 2 2 3 2 2" xfId="9340"/>
    <cellStyle name="Note 3 2 2 2 2 2 2 3 2 2 2" xfId="15602"/>
    <cellStyle name="Note 3 2 2 2 2 2 2 3 2 2 2 2" xfId="29018"/>
    <cellStyle name="Note 3 2 2 2 2 2 2 3 2 2 3" xfId="20347"/>
    <cellStyle name="Note 3 2 2 2 2 2 2 3 2 3" xfId="4371"/>
    <cellStyle name="Note 3 2 2 2 2 2 2 3 2 3 2" xfId="22913"/>
    <cellStyle name="Note 3 2 2 2 2 2 2 3 2 4" xfId="17321"/>
    <cellStyle name="Note 3 2 2 2 2 2 2 3 3" xfId="13321"/>
    <cellStyle name="Note 3 2 2 2 2 2 2 3 3 2" xfId="27643"/>
    <cellStyle name="Note 3 2 2 2 2 2 2 3 4" xfId="18966"/>
    <cellStyle name="Note 3 2 2 2 2 2 2 4" xfId="5771"/>
    <cellStyle name="Note 3 2 2 2 2 2 2 4 2" xfId="12324"/>
    <cellStyle name="Note 3 2 2 2 2 2 2 4 2 2" xfId="26646"/>
    <cellStyle name="Note 3 2 2 2 2 2 2 4 3" xfId="17969"/>
    <cellStyle name="Note 3 2 2 2 2 2 2 5" xfId="4821"/>
    <cellStyle name="Note 3 2 2 2 2 2 2 5 2" xfId="23203"/>
    <cellStyle name="Note 3 2 2 2 2 2 2 6" xfId="15595"/>
    <cellStyle name="Note 3 2 2 2 2 2 3" xfId="1971"/>
    <cellStyle name="Note 3 2 2 2 2 2 3 2" xfId="1972"/>
    <cellStyle name="Note 3 2 2 2 2 2 3 2 2" xfId="6517"/>
    <cellStyle name="Note 3 2 2 2 2 2 3 2 2 2" xfId="13105"/>
    <cellStyle name="Note 3 2 2 2 2 2 3 2 2 2 2" xfId="27427"/>
    <cellStyle name="Note 3 2 2 2 2 2 3 2 2 3" xfId="18750"/>
    <cellStyle name="Note 3 2 2 2 2 2 3 2 3" xfId="5340"/>
    <cellStyle name="Note 3 2 2 2 2 2 3 2 3 2" xfId="9649"/>
    <cellStyle name="Note 3 2 2 2 2 2 3 2 3 2 2" xfId="15911"/>
    <cellStyle name="Note 3 2 2 2 2 2 3 2 3 2 2 2" xfId="29327"/>
    <cellStyle name="Note 3 2 2 2 2 2 3 2 3 2 3" xfId="20656"/>
    <cellStyle name="Note 3 2 2 2 2 2 3 2 3 3" xfId="11890"/>
    <cellStyle name="Note 3 2 2 2 2 2 3 2 3 3 2" xfId="26212"/>
    <cellStyle name="Note 3 2 2 2 2 2 3 2 3 4" xfId="17535"/>
    <cellStyle name="Note 3 2 2 2 2 2 3 2 4" xfId="4048"/>
    <cellStyle name="Note 3 2 2 2 2 2 3 2 4 2" xfId="22725"/>
    <cellStyle name="Note 3 2 2 2 2 2 3 2 5" xfId="17247"/>
    <cellStyle name="Note 3 2 2 2 2 2 3 3" xfId="1973"/>
    <cellStyle name="Note 3 2 2 2 2 2 3 3 2" xfId="7932"/>
    <cellStyle name="Note 3 2 2 2 2 2 3 3 2 2" xfId="10546"/>
    <cellStyle name="Note 3 2 2 2 2 2 3 3 2 2 2" xfId="16808"/>
    <cellStyle name="Note 3 2 2 2 2 2 3 3 2 2 2 2" xfId="30224"/>
    <cellStyle name="Note 3 2 2 2 2 2 3 3 2 2 3" xfId="21553"/>
    <cellStyle name="Note 3 2 2 2 2 2 3 3 2 3" xfId="14536"/>
    <cellStyle name="Note 3 2 2 2 2 2 3 3 2 3 2" xfId="28858"/>
    <cellStyle name="Note 3 2 2 2 2 2 3 3 2 4" xfId="20181"/>
    <cellStyle name="Note 3 2 2 2 2 2 3 3 3" xfId="12811"/>
    <cellStyle name="Note 3 2 2 2 2 2 3 3 3 2" xfId="27133"/>
    <cellStyle name="Note 3 2 2 2 2 2 3 3 4" xfId="18456"/>
    <cellStyle name="Note 3 2 2 2 2 2 3 4" xfId="5180"/>
    <cellStyle name="Note 3 2 2 2 2 2 3 4 2" xfId="11729"/>
    <cellStyle name="Note 3 2 2 2 2 2 3 4 2 2" xfId="26051"/>
    <cellStyle name="Note 3 2 2 2 2 2 3 4 3" xfId="6327"/>
    <cellStyle name="Note 3 2 2 2 2 2 3 5" xfId="4702"/>
    <cellStyle name="Note 3 2 2 2 2 2 3 5 2" xfId="23135"/>
    <cellStyle name="Note 3 2 2 2 2 2 3 6" xfId="15585"/>
    <cellStyle name="Note 3 2 2 2 2 2 4" xfId="1974"/>
    <cellStyle name="Note 3 2 2 2 2 2 4 2" xfId="6039"/>
    <cellStyle name="Note 3 2 2 2 2 2 4 2 2" xfId="12603"/>
    <cellStyle name="Note 3 2 2 2 2 2 4 2 2 2" xfId="26925"/>
    <cellStyle name="Note 3 2 2 2 2 2 4 2 3" xfId="18248"/>
    <cellStyle name="Note 3 2 2 2 2 2 4 3" xfId="7435"/>
    <cellStyle name="Note 3 2 2 2 2 2 4 3 2" xfId="10049"/>
    <cellStyle name="Note 3 2 2 2 2 2 4 3 2 2" xfId="16311"/>
    <cellStyle name="Note 3 2 2 2 2 2 4 3 2 2 2" xfId="29727"/>
    <cellStyle name="Note 3 2 2 2 2 2 4 3 2 3" xfId="21056"/>
    <cellStyle name="Note 3 2 2 2 2 2 4 3 3" xfId="14039"/>
    <cellStyle name="Note 3 2 2 2 2 2 4 3 3 2" xfId="28361"/>
    <cellStyle name="Note 3 2 2 2 2 2 4 3 4" xfId="19684"/>
    <cellStyle name="Note 3 2 2 2 2 2 4 4" xfId="6268"/>
    <cellStyle name="Note 3 2 2 2 2 2 4 4 2" xfId="23484"/>
    <cellStyle name="Note 3 2 2 2 2 2 4 5" xfId="14908"/>
    <cellStyle name="Note 3 2 2 2 2 2 5" xfId="1975"/>
    <cellStyle name="Note 3 2 2 2 2 2 5 2" xfId="7943"/>
    <cellStyle name="Note 3 2 2 2 2 2 5 2 2" xfId="10557"/>
    <cellStyle name="Note 3 2 2 2 2 2 5 2 2 2" xfId="16819"/>
    <cellStyle name="Note 3 2 2 2 2 2 5 2 2 2 2" xfId="30235"/>
    <cellStyle name="Note 3 2 2 2 2 2 5 2 2 3" xfId="21564"/>
    <cellStyle name="Note 3 2 2 2 2 2 5 2 3" xfId="14547"/>
    <cellStyle name="Note 3 2 2 2 2 2 5 2 3 2" xfId="28869"/>
    <cellStyle name="Note 3 2 2 2 2 2 5 2 4" xfId="20192"/>
    <cellStyle name="Note 3 2 2 2 2 2 5 3" xfId="12897"/>
    <cellStyle name="Note 3 2 2 2 2 2 5 3 2" xfId="27219"/>
    <cellStyle name="Note 3 2 2 2 2 2 5 4" xfId="18542"/>
    <cellStyle name="Note 3 2 2 2 2 2 6" xfId="5515"/>
    <cellStyle name="Note 3 2 2 2 2 2 6 2" xfId="12066"/>
    <cellStyle name="Note 3 2 2 2 2 2 6 2 2" xfId="26388"/>
    <cellStyle name="Note 3 2 2 2 2 2 6 3" xfId="17711"/>
    <cellStyle name="Note 3 2 2 2 2 2 7" xfId="6490"/>
    <cellStyle name="Note 3 2 2 2 2 2 7 2" xfId="23567"/>
    <cellStyle name="Note 3 2 2 2 2 2 8" xfId="4018"/>
    <cellStyle name="Note 3 2 2 2 2 3" xfId="1976"/>
    <cellStyle name="Note 3 2 2 2 2 3 2" xfId="1977"/>
    <cellStyle name="Note 3 2 2 2 2 3 2 2" xfId="1978"/>
    <cellStyle name="Note 3 2 2 2 2 3 2 2 2" xfId="6449"/>
    <cellStyle name="Note 3 2 2 2 2 3 2 2 2 2" xfId="13032"/>
    <cellStyle name="Note 3 2 2 2 2 3 2 2 2 2 2" xfId="27354"/>
    <cellStyle name="Note 3 2 2 2 2 3 2 2 2 3" xfId="18677"/>
    <cellStyle name="Note 3 2 2 2 2 3 2 2 3" xfId="4750"/>
    <cellStyle name="Note 3 2 2 2 2 3 2 2 3 2" xfId="9474"/>
    <cellStyle name="Note 3 2 2 2 2 3 2 2 3 2 2" xfId="15736"/>
    <cellStyle name="Note 3 2 2 2 2 3 2 2 3 2 2 2" xfId="29152"/>
    <cellStyle name="Note 3 2 2 2 2 3 2 2 3 2 3" xfId="20481"/>
    <cellStyle name="Note 3 2 2 2 2 3 2 2 3 3" xfId="2778"/>
    <cellStyle name="Note 3 2 2 2 2 3 2 2 3 3 2" xfId="22347"/>
    <cellStyle name="Note 3 2 2 2 2 3 2 2 3 4" xfId="14825"/>
    <cellStyle name="Note 3 2 2 2 2 3 2 2 4" xfId="4201"/>
    <cellStyle name="Note 3 2 2 2 2 3 2 2 4 2" xfId="22818"/>
    <cellStyle name="Note 3 2 2 2 2 3 2 2 5" xfId="14982"/>
    <cellStyle name="Note 3 2 2 2 2 3 2 3" xfId="1979"/>
    <cellStyle name="Note 3 2 2 2 2 3 2 3 2" xfId="7466"/>
    <cellStyle name="Note 3 2 2 2 2 3 2 3 2 2" xfId="10080"/>
    <cellStyle name="Note 3 2 2 2 2 3 2 3 2 2 2" xfId="16342"/>
    <cellStyle name="Note 3 2 2 2 2 3 2 3 2 2 2 2" xfId="29758"/>
    <cellStyle name="Note 3 2 2 2 2 3 2 3 2 2 3" xfId="21087"/>
    <cellStyle name="Note 3 2 2 2 2 3 2 3 2 3" xfId="14070"/>
    <cellStyle name="Note 3 2 2 2 2 3 2 3 2 3 2" xfId="28392"/>
    <cellStyle name="Note 3 2 2 2 2 3 2 3 2 4" xfId="19715"/>
    <cellStyle name="Note 3 2 2 2 2 3 2 3 3" xfId="13357"/>
    <cellStyle name="Note 3 2 2 2 2 3 2 3 3 2" xfId="27679"/>
    <cellStyle name="Note 3 2 2 2 2 3 2 3 4" xfId="19002"/>
    <cellStyle name="Note 3 2 2 2 2 3 2 4" xfId="5807"/>
    <cellStyle name="Note 3 2 2 2 2 3 2 4 2" xfId="12360"/>
    <cellStyle name="Note 3 2 2 2 2 3 2 4 2 2" xfId="26682"/>
    <cellStyle name="Note 3 2 2 2 2 3 2 4 3" xfId="18005"/>
    <cellStyle name="Note 3 2 2 2 2 3 2 5" xfId="4783"/>
    <cellStyle name="Note 3 2 2 2 2 3 2 5 2" xfId="23184"/>
    <cellStyle name="Note 3 2 2 2 2 3 2 6" xfId="17239"/>
    <cellStyle name="Note 3 2 2 2 2 3 3" xfId="1980"/>
    <cellStyle name="Note 3 2 2 2 2 3 3 2" xfId="1981"/>
    <cellStyle name="Note 3 2 2 2 2 3 3 2 2" xfId="6917"/>
    <cellStyle name="Note 3 2 2 2 2 3 3 2 2 2" xfId="13521"/>
    <cellStyle name="Note 3 2 2 2 2 3 3 2 2 2 2" xfId="27843"/>
    <cellStyle name="Note 3 2 2 2 2 3 3 2 2 3" xfId="19166"/>
    <cellStyle name="Note 3 2 2 2 2 3 3 2 3" xfId="7424"/>
    <cellStyle name="Note 3 2 2 2 2 3 3 2 3 2" xfId="10038"/>
    <cellStyle name="Note 3 2 2 2 2 3 3 2 3 2 2" xfId="16300"/>
    <cellStyle name="Note 3 2 2 2 2 3 3 2 3 2 2 2" xfId="29716"/>
    <cellStyle name="Note 3 2 2 2 2 3 3 2 3 2 3" xfId="21045"/>
    <cellStyle name="Note 3 2 2 2 2 3 3 2 3 3" xfId="14028"/>
    <cellStyle name="Note 3 2 2 2 2 3 3 2 3 3 2" xfId="28350"/>
    <cellStyle name="Note 3 2 2 2 2 3 3 2 3 4" xfId="19673"/>
    <cellStyle name="Note 3 2 2 2 2 3 3 2 4" xfId="11403"/>
    <cellStyle name="Note 3 2 2 2 2 3 3 2 4 2" xfId="25725"/>
    <cellStyle name="Note 3 2 2 2 2 3 3 2 5" xfId="6810"/>
    <cellStyle name="Note 3 2 2 2 2 3 3 3" xfId="1982"/>
    <cellStyle name="Note 3 2 2 2 2 3 3 3 2" xfId="7730"/>
    <cellStyle name="Note 3 2 2 2 2 3 3 3 2 2" xfId="10344"/>
    <cellStyle name="Note 3 2 2 2 2 3 3 3 2 2 2" xfId="16606"/>
    <cellStyle name="Note 3 2 2 2 2 3 3 3 2 2 2 2" xfId="30022"/>
    <cellStyle name="Note 3 2 2 2 2 3 3 3 2 2 3" xfId="21351"/>
    <cellStyle name="Note 3 2 2 2 2 3 3 3 2 3" xfId="14334"/>
    <cellStyle name="Note 3 2 2 2 2 3 3 3 2 3 2" xfId="28656"/>
    <cellStyle name="Note 3 2 2 2 2 3 3 3 2 4" xfId="19979"/>
    <cellStyle name="Note 3 2 2 2 2 3 3 3 3" xfId="13396"/>
    <cellStyle name="Note 3 2 2 2 2 3 3 3 3 2" xfId="27718"/>
    <cellStyle name="Note 3 2 2 2 2 3 3 3 4" xfId="19041"/>
    <cellStyle name="Note 3 2 2 2 2 3 3 4" xfId="5860"/>
    <cellStyle name="Note 3 2 2 2 2 3 3 4 2" xfId="12413"/>
    <cellStyle name="Note 3 2 2 2 2 3 3 4 2 2" xfId="26735"/>
    <cellStyle name="Note 3 2 2 2 2 3 3 4 3" xfId="18058"/>
    <cellStyle name="Note 3 2 2 2 2 3 3 5" xfId="3197"/>
    <cellStyle name="Note 3 2 2 2 2 3 3 5 2" xfId="22438"/>
    <cellStyle name="Note 3 2 2 2 2 3 3 6" xfId="15177"/>
    <cellStyle name="Note 3 2 2 2 2 3 4" xfId="1983"/>
    <cellStyle name="Note 3 2 2 2 2 3 4 2" xfId="6841"/>
    <cellStyle name="Note 3 2 2 2 2 3 4 2 2" xfId="13445"/>
    <cellStyle name="Note 3 2 2 2 2 3 4 2 2 2" xfId="27767"/>
    <cellStyle name="Note 3 2 2 2 2 3 4 2 3" xfId="19090"/>
    <cellStyle name="Note 3 2 2 2 2 3 4 3" xfId="7503"/>
    <cellStyle name="Note 3 2 2 2 2 3 4 3 2" xfId="10117"/>
    <cellStyle name="Note 3 2 2 2 2 3 4 3 2 2" xfId="16379"/>
    <cellStyle name="Note 3 2 2 2 2 3 4 3 2 2 2" xfId="29795"/>
    <cellStyle name="Note 3 2 2 2 2 3 4 3 2 3" xfId="21124"/>
    <cellStyle name="Note 3 2 2 2 2 3 4 3 3" xfId="14107"/>
    <cellStyle name="Note 3 2 2 2 2 3 4 3 3 2" xfId="28429"/>
    <cellStyle name="Note 3 2 2 2 2 3 4 3 4" xfId="19752"/>
    <cellStyle name="Note 3 2 2 2 2 3 4 4" xfId="2771"/>
    <cellStyle name="Note 3 2 2 2 2 3 4 4 2" xfId="22340"/>
    <cellStyle name="Note 3 2 2 2 2 3 4 5" xfId="3714"/>
    <cellStyle name="Note 3 2 2 2 2 3 5" xfId="1984"/>
    <cellStyle name="Note 3 2 2 2 2 3 5 2" xfId="7082"/>
    <cellStyle name="Note 3 2 2 2 2 3 5 2 2" xfId="9696"/>
    <cellStyle name="Note 3 2 2 2 2 3 5 2 2 2" xfId="15958"/>
    <cellStyle name="Note 3 2 2 2 2 3 5 2 2 2 2" xfId="29374"/>
    <cellStyle name="Note 3 2 2 2 2 3 5 2 2 3" xfId="20703"/>
    <cellStyle name="Note 3 2 2 2 2 3 5 2 3" xfId="13686"/>
    <cellStyle name="Note 3 2 2 2 2 3 5 2 3 2" xfId="28008"/>
    <cellStyle name="Note 3 2 2 2 2 3 5 2 4" xfId="19331"/>
    <cellStyle name="Note 3 2 2 2 2 3 5 3" xfId="12933"/>
    <cellStyle name="Note 3 2 2 2 2 3 5 3 2" xfId="27255"/>
    <cellStyle name="Note 3 2 2 2 2 3 5 4" xfId="18578"/>
    <cellStyle name="Note 3 2 2 2 2 3 6" xfId="5557"/>
    <cellStyle name="Note 3 2 2 2 2 3 6 2" xfId="12108"/>
    <cellStyle name="Note 3 2 2 2 2 3 6 2 2" xfId="26430"/>
    <cellStyle name="Note 3 2 2 2 2 3 6 3" xfId="17753"/>
    <cellStyle name="Note 3 2 2 2 2 3 7" xfId="4056"/>
    <cellStyle name="Note 3 2 2 2 2 3 7 2" xfId="22731"/>
    <cellStyle name="Note 3 2 2 2 2 3 8" xfId="15175"/>
    <cellStyle name="Note 3 2 2 2 2 4" xfId="1985"/>
    <cellStyle name="Note 3 2 2 2 2 4 2" xfId="1986"/>
    <cellStyle name="Note 3 2 2 2 2 4 2 2" xfId="1987"/>
    <cellStyle name="Note 3 2 2 2 2 4 2 2 2" xfId="6886"/>
    <cellStyle name="Note 3 2 2 2 2 4 2 2 2 2" xfId="13490"/>
    <cellStyle name="Note 3 2 2 2 2 4 2 2 2 2 2" xfId="27812"/>
    <cellStyle name="Note 3 2 2 2 2 4 2 2 2 3" xfId="19135"/>
    <cellStyle name="Note 3 2 2 2 2 4 2 2 3" xfId="7230"/>
    <cellStyle name="Note 3 2 2 2 2 4 2 2 3 2" xfId="9844"/>
    <cellStyle name="Note 3 2 2 2 2 4 2 2 3 2 2" xfId="16106"/>
    <cellStyle name="Note 3 2 2 2 2 4 2 2 3 2 2 2" xfId="29522"/>
    <cellStyle name="Note 3 2 2 2 2 4 2 2 3 2 3" xfId="20851"/>
    <cellStyle name="Note 3 2 2 2 2 4 2 2 3 3" xfId="13834"/>
    <cellStyle name="Note 3 2 2 2 2 4 2 2 3 3 2" xfId="28156"/>
    <cellStyle name="Note 3 2 2 2 2 4 2 2 3 4" xfId="19479"/>
    <cellStyle name="Note 3 2 2 2 2 4 2 2 4" xfId="11361"/>
    <cellStyle name="Note 3 2 2 2 2 4 2 2 4 2" xfId="25683"/>
    <cellStyle name="Note 3 2 2 2 2 4 2 2 5" xfId="17104"/>
    <cellStyle name="Note 3 2 2 2 2 4 2 3" xfId="1988"/>
    <cellStyle name="Note 3 2 2 2 2 4 2 3 2" xfId="4796"/>
    <cellStyle name="Note 3 2 2 2 2 4 2 3 2 2" xfId="9486"/>
    <cellStyle name="Note 3 2 2 2 2 4 2 3 2 2 2" xfId="15748"/>
    <cellStyle name="Note 3 2 2 2 2 4 2 3 2 2 2 2" xfId="29164"/>
    <cellStyle name="Note 3 2 2 2 2 4 2 3 2 2 3" xfId="20493"/>
    <cellStyle name="Note 3 2 2 2 2 4 2 3 2 3" xfId="11325"/>
    <cellStyle name="Note 3 2 2 2 2 4 2 3 2 3 2" xfId="25647"/>
    <cellStyle name="Note 3 2 2 2 2 4 2 3 2 4" xfId="15187"/>
    <cellStyle name="Note 3 2 2 2 2 4 2 3 3" xfId="13220"/>
    <cellStyle name="Note 3 2 2 2 2 4 2 3 3 2" xfId="27542"/>
    <cellStyle name="Note 3 2 2 2 2 4 2 3 4" xfId="18865"/>
    <cellStyle name="Note 3 2 2 2 2 4 2 4" xfId="5661"/>
    <cellStyle name="Note 3 2 2 2 2 4 2 4 2" xfId="12214"/>
    <cellStyle name="Note 3 2 2 2 2 4 2 4 2 2" xfId="26536"/>
    <cellStyle name="Note 3 2 2 2 2 4 2 4 3" xfId="17859"/>
    <cellStyle name="Note 3 2 2 2 2 4 2 5" xfId="4756"/>
    <cellStyle name="Note 3 2 2 2 2 4 2 5 2" xfId="23172"/>
    <cellStyle name="Note 3 2 2 2 2 4 2 6" xfId="17300"/>
    <cellStyle name="Note 3 2 2 2 2 4 3" xfId="1989"/>
    <cellStyle name="Note 3 2 2 2 2 4 3 2" xfId="1990"/>
    <cellStyle name="Note 3 2 2 2 2 4 3 2 2" xfId="6104"/>
    <cellStyle name="Note 3 2 2 2 2 4 3 2 2 2" xfId="12671"/>
    <cellStyle name="Note 3 2 2 2 2 4 3 2 2 2 2" xfId="26993"/>
    <cellStyle name="Note 3 2 2 2 2 4 3 2 2 3" xfId="18316"/>
    <cellStyle name="Note 3 2 2 2 2 4 3 2 3" xfId="8071"/>
    <cellStyle name="Note 3 2 2 2 2 4 3 2 3 2" xfId="10685"/>
    <cellStyle name="Note 3 2 2 2 2 4 3 2 3 2 2" xfId="16947"/>
    <cellStyle name="Note 3 2 2 2 2 4 3 2 3 2 2 2" xfId="30363"/>
    <cellStyle name="Note 3 2 2 2 2 4 3 2 3 2 3" xfId="21692"/>
    <cellStyle name="Note 3 2 2 2 2 4 3 2 3 3" xfId="14675"/>
    <cellStyle name="Note 3 2 2 2 2 4 3 2 3 3 2" xfId="28997"/>
    <cellStyle name="Note 3 2 2 2 2 4 3 2 3 4" xfId="20320"/>
    <cellStyle name="Note 3 2 2 2 2 4 3 2 4" xfId="3284"/>
    <cellStyle name="Note 3 2 2 2 2 4 3 2 4 2" xfId="22460"/>
    <cellStyle name="Note 3 2 2 2 2 4 3 2 5" xfId="15119"/>
    <cellStyle name="Note 3 2 2 2 2 4 3 3" xfId="1991"/>
    <cellStyle name="Note 3 2 2 2 2 4 3 3 2" xfId="7133"/>
    <cellStyle name="Note 3 2 2 2 2 4 3 3 2 2" xfId="9747"/>
    <cellStyle name="Note 3 2 2 2 2 4 3 3 2 2 2" xfId="16009"/>
    <cellStyle name="Note 3 2 2 2 2 4 3 3 2 2 2 2" xfId="29425"/>
    <cellStyle name="Note 3 2 2 2 2 4 3 3 2 2 3" xfId="20754"/>
    <cellStyle name="Note 3 2 2 2 2 4 3 3 2 3" xfId="13737"/>
    <cellStyle name="Note 3 2 2 2 2 4 3 3 2 3 2" xfId="28059"/>
    <cellStyle name="Note 3 2 2 2 2 4 3 3 2 4" xfId="19382"/>
    <cellStyle name="Note 3 2 2 2 2 4 3 3 3" xfId="12514"/>
    <cellStyle name="Note 3 2 2 2 2 4 3 3 3 2" xfId="26836"/>
    <cellStyle name="Note 3 2 2 2 2 4 3 3 4" xfId="18159"/>
    <cellStyle name="Note 3 2 2 2 2 4 3 4" xfId="5097"/>
    <cellStyle name="Note 3 2 2 2 2 4 3 4 2" xfId="11644"/>
    <cellStyle name="Note 3 2 2 2 2 4 3 4 2 2" xfId="25966"/>
    <cellStyle name="Note 3 2 2 2 2 4 3 4 3" xfId="15001"/>
    <cellStyle name="Note 3 2 2 2 2 4 3 5" xfId="4050"/>
    <cellStyle name="Note 3 2 2 2 2 4 3 5 2" xfId="22727"/>
    <cellStyle name="Note 3 2 2 2 2 4 3 6" xfId="15026"/>
    <cellStyle name="Note 3 2 2 2 2 4 4" xfId="1992"/>
    <cellStyle name="Note 3 2 2 2 2 4 4 2" xfId="6111"/>
    <cellStyle name="Note 3 2 2 2 2 4 4 2 2" xfId="12679"/>
    <cellStyle name="Note 3 2 2 2 2 4 4 2 2 2" xfId="27001"/>
    <cellStyle name="Note 3 2 2 2 2 4 4 2 3" xfId="18324"/>
    <cellStyle name="Note 3 2 2 2 2 4 4 3" xfId="7067"/>
    <cellStyle name="Note 3 2 2 2 2 4 4 3 2" xfId="9681"/>
    <cellStyle name="Note 3 2 2 2 2 4 4 3 2 2" xfId="15943"/>
    <cellStyle name="Note 3 2 2 2 2 4 4 3 2 2 2" xfId="29359"/>
    <cellStyle name="Note 3 2 2 2 2 4 4 3 2 3" xfId="20688"/>
    <cellStyle name="Note 3 2 2 2 2 4 4 3 3" xfId="13671"/>
    <cellStyle name="Note 3 2 2 2 2 4 4 3 3 2" xfId="27993"/>
    <cellStyle name="Note 3 2 2 2 2 4 4 3 4" xfId="19316"/>
    <cellStyle name="Note 3 2 2 2 2 4 4 4" xfId="5152"/>
    <cellStyle name="Note 3 2 2 2 2 4 4 4 2" xfId="23331"/>
    <cellStyle name="Note 3 2 2 2 2 4 4 5" xfId="15405"/>
    <cellStyle name="Note 3 2 2 2 2 4 5" xfId="1993"/>
    <cellStyle name="Note 3 2 2 2 2 4 5 2" xfId="7737"/>
    <cellStyle name="Note 3 2 2 2 2 4 5 2 2" xfId="10351"/>
    <cellStyle name="Note 3 2 2 2 2 4 5 2 2 2" xfId="16613"/>
    <cellStyle name="Note 3 2 2 2 2 4 5 2 2 2 2" xfId="30029"/>
    <cellStyle name="Note 3 2 2 2 2 4 5 2 2 3" xfId="21358"/>
    <cellStyle name="Note 3 2 2 2 2 4 5 2 3" xfId="14341"/>
    <cellStyle name="Note 3 2 2 2 2 4 5 2 3 2" xfId="28663"/>
    <cellStyle name="Note 3 2 2 2 2 4 5 2 4" xfId="19986"/>
    <cellStyle name="Note 3 2 2 2 2 4 5 3" xfId="12455"/>
    <cellStyle name="Note 3 2 2 2 2 4 5 3 2" xfId="26777"/>
    <cellStyle name="Note 3 2 2 2 2 4 5 4" xfId="18100"/>
    <cellStyle name="Note 3 2 2 2 2 4 6" xfId="4455"/>
    <cellStyle name="Note 3 2 2 2 2 4 6 2" xfId="3688"/>
    <cellStyle name="Note 3 2 2 2 2 4 6 2 2" xfId="22530"/>
    <cellStyle name="Note 3 2 2 2 2 4 6 3" xfId="14754"/>
    <cellStyle name="Note 3 2 2 2 2 4 7" xfId="4791"/>
    <cellStyle name="Note 3 2 2 2 2 4 7 2" xfId="23190"/>
    <cellStyle name="Note 3 2 2 2 2 4 8" xfId="17155"/>
    <cellStyle name="Note 3 2 2 2 2 5" xfId="1994"/>
    <cellStyle name="Note 3 2 2 2 2 5 2" xfId="1995"/>
    <cellStyle name="Note 3 2 2 2 2 5 2 2" xfId="1996"/>
    <cellStyle name="Note 3 2 2 2 2 5 2 2 2" xfId="6038"/>
    <cellStyle name="Note 3 2 2 2 2 5 2 2 2 2" xfId="12599"/>
    <cellStyle name="Note 3 2 2 2 2 5 2 2 2 2 2" xfId="26921"/>
    <cellStyle name="Note 3 2 2 2 2 5 2 2 2 3" xfId="18244"/>
    <cellStyle name="Note 3 2 2 2 2 5 2 2 3" xfId="7532"/>
    <cellStyle name="Note 3 2 2 2 2 5 2 2 3 2" xfId="10146"/>
    <cellStyle name="Note 3 2 2 2 2 5 2 2 3 2 2" xfId="16408"/>
    <cellStyle name="Note 3 2 2 2 2 5 2 2 3 2 2 2" xfId="29824"/>
    <cellStyle name="Note 3 2 2 2 2 5 2 2 3 2 3" xfId="21153"/>
    <cellStyle name="Note 3 2 2 2 2 5 2 2 3 3" xfId="14136"/>
    <cellStyle name="Note 3 2 2 2 2 5 2 2 3 3 2" xfId="28458"/>
    <cellStyle name="Note 3 2 2 2 2 5 2 2 3 4" xfId="19781"/>
    <cellStyle name="Note 3 2 2 2 2 5 2 2 4" xfId="6667"/>
    <cellStyle name="Note 3 2 2 2 2 5 2 2 4 2" xfId="23639"/>
    <cellStyle name="Note 3 2 2 2 2 5 2 2 5" xfId="14990"/>
    <cellStyle name="Note 3 2 2 2 2 5 2 3" xfId="1997"/>
    <cellStyle name="Note 3 2 2 2 2 5 2 3 2" xfId="7981"/>
    <cellStyle name="Note 3 2 2 2 2 5 2 3 2 2" xfId="10595"/>
    <cellStyle name="Note 3 2 2 2 2 5 2 3 2 2 2" xfId="16857"/>
    <cellStyle name="Note 3 2 2 2 2 5 2 3 2 2 2 2" xfId="30273"/>
    <cellStyle name="Note 3 2 2 2 2 5 2 3 2 2 3" xfId="21602"/>
    <cellStyle name="Note 3 2 2 2 2 5 2 3 2 3" xfId="14585"/>
    <cellStyle name="Note 3 2 2 2 2 5 2 3 2 3 2" xfId="28907"/>
    <cellStyle name="Note 3 2 2 2 2 5 2 3 2 4" xfId="20230"/>
    <cellStyle name="Note 3 2 2 2 2 5 2 3 3" xfId="13091"/>
    <cellStyle name="Note 3 2 2 2 2 5 2 3 3 2" xfId="27413"/>
    <cellStyle name="Note 3 2 2 2 2 5 2 3 4" xfId="18736"/>
    <cellStyle name="Note 3 2 2 2 2 5 2 4" xfId="5446"/>
    <cellStyle name="Note 3 2 2 2 2 5 2 4 2" xfId="11997"/>
    <cellStyle name="Note 3 2 2 2 2 5 2 4 2 2" xfId="26319"/>
    <cellStyle name="Note 3 2 2 2 2 5 2 4 3" xfId="17642"/>
    <cellStyle name="Note 3 2 2 2 2 5 2 5" xfId="3958"/>
    <cellStyle name="Note 3 2 2 2 2 5 2 5 2" xfId="22669"/>
    <cellStyle name="Note 3 2 2 2 2 5 2 6" xfId="15055"/>
    <cellStyle name="Note 3 2 2 2 2 5 3" xfId="1998"/>
    <cellStyle name="Note 3 2 2 2 2 5 3 2" xfId="6089"/>
    <cellStyle name="Note 3 2 2 2 2 5 3 2 2" xfId="12656"/>
    <cellStyle name="Note 3 2 2 2 2 5 3 2 2 2" xfId="26978"/>
    <cellStyle name="Note 3 2 2 2 2 5 3 2 3" xfId="18301"/>
    <cellStyle name="Note 3 2 2 2 2 5 3 3" xfId="7983"/>
    <cellStyle name="Note 3 2 2 2 2 5 3 3 2" xfId="10597"/>
    <cellStyle name="Note 3 2 2 2 2 5 3 3 2 2" xfId="16859"/>
    <cellStyle name="Note 3 2 2 2 2 5 3 3 2 2 2" xfId="30275"/>
    <cellStyle name="Note 3 2 2 2 2 5 3 3 2 3" xfId="21604"/>
    <cellStyle name="Note 3 2 2 2 2 5 3 3 3" xfId="14587"/>
    <cellStyle name="Note 3 2 2 2 2 5 3 3 3 2" xfId="28909"/>
    <cellStyle name="Note 3 2 2 2 2 5 3 3 4" xfId="20232"/>
    <cellStyle name="Note 3 2 2 2 2 5 3 4" xfId="4717"/>
    <cellStyle name="Note 3 2 2 2 2 5 3 4 2" xfId="23147"/>
    <cellStyle name="Note 3 2 2 2 2 5 3 5" xfId="14837"/>
    <cellStyle name="Note 3 2 2 2 2 5 4" xfId="1999"/>
    <cellStyle name="Note 3 2 2 2 2 5 4 2" xfId="5278"/>
    <cellStyle name="Note 3 2 2 2 2 5 4 2 2" xfId="9587"/>
    <cellStyle name="Note 3 2 2 2 2 5 4 2 2 2" xfId="15849"/>
    <cellStyle name="Note 3 2 2 2 2 5 4 2 2 2 2" xfId="29265"/>
    <cellStyle name="Note 3 2 2 2 2 5 4 2 2 3" xfId="20594"/>
    <cellStyle name="Note 3 2 2 2 2 5 4 2 3" xfId="11828"/>
    <cellStyle name="Note 3 2 2 2 2 5 4 2 3 2" xfId="26150"/>
    <cellStyle name="Note 3 2 2 2 2 5 4 2 4" xfId="17473"/>
    <cellStyle name="Note 3 2 2 2 2 5 4 3" xfId="12582"/>
    <cellStyle name="Note 3 2 2 2 2 5 4 3 2" xfId="26904"/>
    <cellStyle name="Note 3 2 2 2 2 5 4 4" xfId="18227"/>
    <cellStyle name="Note 3 2 2 2 2 5 5" xfId="5201"/>
    <cellStyle name="Note 3 2 2 2 2 5 5 2" xfId="11750"/>
    <cellStyle name="Note 3 2 2 2 2 5 5 2 2" xfId="26072"/>
    <cellStyle name="Note 3 2 2 2 2 5 5 3" xfId="5637"/>
    <cellStyle name="Note 3 2 2 2 2 5 6" xfId="3143"/>
    <cellStyle name="Note 3 2 2 2 2 5 6 2" xfId="22419"/>
    <cellStyle name="Note 3 2 2 2 2 5 7" xfId="14865"/>
    <cellStyle name="Note 3 2 2 2 2 6" xfId="2000"/>
    <cellStyle name="Note 3 2 2 2 2 6 2" xfId="2001"/>
    <cellStyle name="Note 3 2 2 2 2 6 2 2" xfId="6838"/>
    <cellStyle name="Note 3 2 2 2 2 6 2 2 2" xfId="13442"/>
    <cellStyle name="Note 3 2 2 2 2 6 2 2 2 2" xfId="27764"/>
    <cellStyle name="Note 3 2 2 2 2 6 2 2 3" xfId="19087"/>
    <cellStyle name="Note 3 2 2 2 2 6 2 3" xfId="7280"/>
    <cellStyle name="Note 3 2 2 2 2 6 2 3 2" xfId="9894"/>
    <cellStyle name="Note 3 2 2 2 2 6 2 3 2 2" xfId="16156"/>
    <cellStyle name="Note 3 2 2 2 2 6 2 3 2 2 2" xfId="29572"/>
    <cellStyle name="Note 3 2 2 2 2 6 2 3 2 3" xfId="20901"/>
    <cellStyle name="Note 3 2 2 2 2 6 2 3 3" xfId="13884"/>
    <cellStyle name="Note 3 2 2 2 2 6 2 3 3 2" xfId="28206"/>
    <cellStyle name="Note 3 2 2 2 2 6 2 3 4" xfId="19529"/>
    <cellStyle name="Note 3 2 2 2 2 6 2 4" xfId="2816"/>
    <cellStyle name="Note 3 2 2 2 2 6 2 4 2" xfId="22379"/>
    <cellStyle name="Note 3 2 2 2 2 6 2 5" xfId="15315"/>
    <cellStyle name="Note 3 2 2 2 2 6 3" xfId="2002"/>
    <cellStyle name="Note 3 2 2 2 2 6 3 2" xfId="7942"/>
    <cellStyle name="Note 3 2 2 2 2 6 3 2 2" xfId="10556"/>
    <cellStyle name="Note 3 2 2 2 2 6 3 2 2 2" xfId="16818"/>
    <cellStyle name="Note 3 2 2 2 2 6 3 2 2 2 2" xfId="30234"/>
    <cellStyle name="Note 3 2 2 2 2 6 3 2 2 3" xfId="21563"/>
    <cellStyle name="Note 3 2 2 2 2 6 3 2 3" xfId="14546"/>
    <cellStyle name="Note 3 2 2 2 2 6 3 2 3 2" xfId="28868"/>
    <cellStyle name="Note 3 2 2 2 2 6 3 2 4" xfId="20191"/>
    <cellStyle name="Note 3 2 2 2 2 6 3 3" xfId="13131"/>
    <cellStyle name="Note 3 2 2 2 2 6 3 3 2" xfId="27453"/>
    <cellStyle name="Note 3 2 2 2 2 6 3 4" xfId="18776"/>
    <cellStyle name="Note 3 2 2 2 2 6 4" xfId="5525"/>
    <cellStyle name="Note 3 2 2 2 2 6 4 2" xfId="12076"/>
    <cellStyle name="Note 3 2 2 2 2 6 4 2 2" xfId="26398"/>
    <cellStyle name="Note 3 2 2 2 2 6 4 3" xfId="17721"/>
    <cellStyle name="Note 3 2 2 2 2 6 5" xfId="4565"/>
    <cellStyle name="Note 3 2 2 2 2 6 5 2" xfId="23034"/>
    <cellStyle name="Note 3 2 2 2 2 6 6" xfId="17102"/>
    <cellStyle name="Note 3 2 2 2 2 7" xfId="2003"/>
    <cellStyle name="Note 3 2 2 2 2 7 2" xfId="5965"/>
    <cellStyle name="Note 3 2 2 2 2 7 2 2" xfId="12523"/>
    <cellStyle name="Note 3 2 2 2 2 7 2 2 2" xfId="26845"/>
    <cellStyle name="Note 3 2 2 2 2 7 2 3" xfId="18168"/>
    <cellStyle name="Note 3 2 2 2 2 7 3" xfId="7923"/>
    <cellStyle name="Note 3 2 2 2 2 7 3 2" xfId="10537"/>
    <cellStyle name="Note 3 2 2 2 2 7 3 2 2" xfId="16799"/>
    <cellStyle name="Note 3 2 2 2 2 7 3 2 2 2" xfId="30215"/>
    <cellStyle name="Note 3 2 2 2 2 7 3 2 3" xfId="21544"/>
    <cellStyle name="Note 3 2 2 2 2 7 3 3" xfId="14527"/>
    <cellStyle name="Note 3 2 2 2 2 7 3 3 2" xfId="28849"/>
    <cellStyle name="Note 3 2 2 2 2 7 3 4" xfId="20172"/>
    <cellStyle name="Note 3 2 2 2 2 7 4" xfId="4174"/>
    <cellStyle name="Note 3 2 2 2 2 7 4 2" xfId="22797"/>
    <cellStyle name="Note 3 2 2 2 2 7 5" xfId="4744"/>
    <cellStyle name="Note 3 2 2 2 2 8" xfId="2004"/>
    <cellStyle name="Note 3 2 2 2 2 8 2" xfId="5287"/>
    <cellStyle name="Note 3 2 2 2 2 8 2 2" xfId="9596"/>
    <cellStyle name="Note 3 2 2 2 2 8 2 2 2" xfId="15858"/>
    <cellStyle name="Note 3 2 2 2 2 8 2 2 2 2" xfId="29274"/>
    <cellStyle name="Note 3 2 2 2 2 8 2 2 3" xfId="20603"/>
    <cellStyle name="Note 3 2 2 2 2 8 2 3" xfId="11837"/>
    <cellStyle name="Note 3 2 2 2 2 8 2 3 2" xfId="26159"/>
    <cellStyle name="Note 3 2 2 2 2 8 2 4" xfId="17482"/>
    <cellStyle name="Note 3 2 2 2 2 8 3" xfId="12761"/>
    <cellStyle name="Note 3 2 2 2 2 8 3 2" xfId="27083"/>
    <cellStyle name="Note 3 2 2 2 2 8 4" xfId="18406"/>
    <cellStyle name="Note 3 2 2 2 2 9" xfId="5472"/>
    <cellStyle name="Note 3 2 2 2 2 9 2" xfId="12023"/>
    <cellStyle name="Note 3 2 2 2 2 9 2 2" xfId="26345"/>
    <cellStyle name="Note 3 2 2 2 2 9 3" xfId="17668"/>
    <cellStyle name="Note 3 2 2 2 3" xfId="2005"/>
    <cellStyle name="Note 3 2 2 2 3 2" xfId="2006"/>
    <cellStyle name="Note 3 2 2 2 3 2 2" xfId="2007"/>
    <cellStyle name="Note 3 2 2 2 3 2 2 2" xfId="6856"/>
    <cellStyle name="Note 3 2 2 2 3 2 2 2 2" xfId="13460"/>
    <cellStyle name="Note 3 2 2 2 3 2 2 2 2 2" xfId="27782"/>
    <cellStyle name="Note 3 2 2 2 3 2 2 2 3" xfId="19105"/>
    <cellStyle name="Note 3 2 2 2 3 2 2 3" xfId="7541"/>
    <cellStyle name="Note 3 2 2 2 3 2 2 3 2" xfId="10155"/>
    <cellStyle name="Note 3 2 2 2 3 2 2 3 2 2" xfId="16417"/>
    <cellStyle name="Note 3 2 2 2 3 2 2 3 2 2 2" xfId="29833"/>
    <cellStyle name="Note 3 2 2 2 3 2 2 3 2 3" xfId="21162"/>
    <cellStyle name="Note 3 2 2 2 3 2 2 3 3" xfId="14145"/>
    <cellStyle name="Note 3 2 2 2 3 2 2 3 3 2" xfId="28467"/>
    <cellStyle name="Note 3 2 2 2 3 2 2 3 4" xfId="19790"/>
    <cellStyle name="Note 3 2 2 2 3 2 2 4" xfId="11314"/>
    <cellStyle name="Note 3 2 2 2 3 2 2 4 2" xfId="25636"/>
    <cellStyle name="Note 3 2 2 2 3 2 2 5" xfId="15057"/>
    <cellStyle name="Note 3 2 2 2 3 2 3" xfId="2008"/>
    <cellStyle name="Note 3 2 2 2 3 2 3 2" xfId="5310"/>
    <cellStyle name="Note 3 2 2 2 3 2 3 2 2" xfId="9619"/>
    <cellStyle name="Note 3 2 2 2 3 2 3 2 2 2" xfId="15881"/>
    <cellStyle name="Note 3 2 2 2 3 2 3 2 2 2 2" xfId="29297"/>
    <cellStyle name="Note 3 2 2 2 3 2 3 2 2 3" xfId="20626"/>
    <cellStyle name="Note 3 2 2 2 3 2 3 2 3" xfId="11860"/>
    <cellStyle name="Note 3 2 2 2 3 2 3 2 3 2" xfId="26182"/>
    <cellStyle name="Note 3 2 2 2 3 2 3 2 4" xfId="17505"/>
    <cellStyle name="Note 3 2 2 2 3 2 3 3" xfId="13307"/>
    <cellStyle name="Note 3 2 2 2 3 2 3 3 2" xfId="27629"/>
    <cellStyle name="Note 3 2 2 2 3 2 3 4" xfId="18952"/>
    <cellStyle name="Note 3 2 2 2 3 2 4" xfId="5757"/>
    <cellStyle name="Note 3 2 2 2 3 2 4 2" xfId="12310"/>
    <cellStyle name="Note 3 2 2 2 3 2 4 2 2" xfId="26632"/>
    <cellStyle name="Note 3 2 2 2 3 2 4 3" xfId="17955"/>
    <cellStyle name="Note 3 2 2 2 3 2 5" xfId="4410"/>
    <cellStyle name="Note 3 2 2 2 3 2 5 2" xfId="22934"/>
    <cellStyle name="Note 3 2 2 2 3 2 6" xfId="17310"/>
    <cellStyle name="Note 3 2 2 2 3 3" xfId="2009"/>
    <cellStyle name="Note 3 2 2 2 3 3 2" xfId="2010"/>
    <cellStyle name="Note 3 2 2 2 3 3 2 2" xfId="6445"/>
    <cellStyle name="Note 3 2 2 2 3 3 2 2 2" xfId="13028"/>
    <cellStyle name="Note 3 2 2 2 3 3 2 2 2 2" xfId="27350"/>
    <cellStyle name="Note 3 2 2 2 3 3 2 2 3" xfId="18673"/>
    <cellStyle name="Note 3 2 2 2 3 3 2 3" xfId="7550"/>
    <cellStyle name="Note 3 2 2 2 3 3 2 3 2" xfId="10164"/>
    <cellStyle name="Note 3 2 2 2 3 3 2 3 2 2" xfId="16426"/>
    <cellStyle name="Note 3 2 2 2 3 3 2 3 2 2 2" xfId="29842"/>
    <cellStyle name="Note 3 2 2 2 3 3 2 3 2 3" xfId="21171"/>
    <cellStyle name="Note 3 2 2 2 3 3 2 3 3" xfId="14154"/>
    <cellStyle name="Note 3 2 2 2 3 3 2 3 3 2" xfId="28476"/>
    <cellStyle name="Note 3 2 2 2 3 3 2 3 4" xfId="19799"/>
    <cellStyle name="Note 3 2 2 2 3 3 2 4" xfId="3620"/>
    <cellStyle name="Note 3 2 2 2 3 3 2 4 2" xfId="22490"/>
    <cellStyle name="Note 3 2 2 2 3 3 2 5" xfId="15188"/>
    <cellStyle name="Note 3 2 2 2 3 3 3" xfId="2011"/>
    <cellStyle name="Note 3 2 2 2 3 3 3 2" xfId="4246"/>
    <cellStyle name="Note 3 2 2 2 3 3 3 2 2" xfId="9431"/>
    <cellStyle name="Note 3 2 2 2 3 3 3 2 2 2" xfId="15693"/>
    <cellStyle name="Note 3 2 2 2 3 3 3 2 2 2 2" xfId="29109"/>
    <cellStyle name="Note 3 2 2 2 3 3 3 2 2 3" xfId="20438"/>
    <cellStyle name="Note 3 2 2 2 3 3 3 2 3" xfId="4261"/>
    <cellStyle name="Note 3 2 2 2 3 3 3 2 3 2" xfId="22856"/>
    <cellStyle name="Note 3 2 2 2 3 3 3 2 4" xfId="4970"/>
    <cellStyle name="Note 3 2 2 2 3 3 3 3" xfId="13380"/>
    <cellStyle name="Note 3 2 2 2 3 3 3 3 2" xfId="27702"/>
    <cellStyle name="Note 3 2 2 2 3 3 3 4" xfId="19025"/>
    <cellStyle name="Note 3 2 2 2 3 3 4" xfId="5838"/>
    <cellStyle name="Note 3 2 2 2 3 3 4 2" xfId="12391"/>
    <cellStyle name="Note 3 2 2 2 3 3 4 2 2" xfId="26713"/>
    <cellStyle name="Note 3 2 2 2 3 3 4 3" xfId="18036"/>
    <cellStyle name="Note 3 2 2 2 3 3 5" xfId="4168"/>
    <cellStyle name="Note 3 2 2 2 3 3 5 2" xfId="22793"/>
    <cellStyle name="Note 3 2 2 2 3 3 6" xfId="15275"/>
    <cellStyle name="Note 3 2 2 2 3 4" xfId="2012"/>
    <cellStyle name="Note 3 2 2 2 3 4 2" xfId="6933"/>
    <cellStyle name="Note 3 2 2 2 3 4 2 2" xfId="13537"/>
    <cellStyle name="Note 3 2 2 2 3 4 2 2 2" xfId="27859"/>
    <cellStyle name="Note 3 2 2 2 3 4 2 3" xfId="19182"/>
    <cellStyle name="Note 3 2 2 2 3 4 3" xfId="7577"/>
    <cellStyle name="Note 3 2 2 2 3 4 3 2" xfId="10191"/>
    <cellStyle name="Note 3 2 2 2 3 4 3 2 2" xfId="16453"/>
    <cellStyle name="Note 3 2 2 2 3 4 3 2 2 2" xfId="29869"/>
    <cellStyle name="Note 3 2 2 2 3 4 3 2 3" xfId="21198"/>
    <cellStyle name="Note 3 2 2 2 3 4 3 3" xfId="14181"/>
    <cellStyle name="Note 3 2 2 2 3 4 3 3 2" xfId="28503"/>
    <cellStyle name="Note 3 2 2 2 3 4 3 4" xfId="19826"/>
    <cellStyle name="Note 3 2 2 2 3 4 4" xfId="11426"/>
    <cellStyle name="Note 3 2 2 2 3 4 4 2" xfId="25748"/>
    <cellStyle name="Note 3 2 2 2 3 4 5" xfId="3880"/>
    <cellStyle name="Note 3 2 2 2 3 5" xfId="2013"/>
    <cellStyle name="Note 3 2 2 2 3 5 2" xfId="7778"/>
    <cellStyle name="Note 3 2 2 2 3 5 2 2" xfId="10392"/>
    <cellStyle name="Note 3 2 2 2 3 5 2 2 2" xfId="16654"/>
    <cellStyle name="Note 3 2 2 2 3 5 2 2 2 2" xfId="30070"/>
    <cellStyle name="Note 3 2 2 2 3 5 2 2 3" xfId="21399"/>
    <cellStyle name="Note 3 2 2 2 3 5 2 3" xfId="14382"/>
    <cellStyle name="Note 3 2 2 2 3 5 2 3 2" xfId="28704"/>
    <cellStyle name="Note 3 2 2 2 3 5 2 4" xfId="20027"/>
    <cellStyle name="Note 3 2 2 2 3 5 3" xfId="12883"/>
    <cellStyle name="Note 3 2 2 2 3 5 3 2" xfId="27205"/>
    <cellStyle name="Note 3 2 2 2 3 5 4" xfId="18528"/>
    <cellStyle name="Note 3 2 2 2 3 6" xfId="5501"/>
    <cellStyle name="Note 3 2 2 2 3 6 2" xfId="12052"/>
    <cellStyle name="Note 3 2 2 2 3 6 2 2" xfId="26374"/>
    <cellStyle name="Note 3 2 2 2 3 6 3" xfId="17697"/>
    <cellStyle name="Note 3 2 2 2 3 7" xfId="3633"/>
    <cellStyle name="Note 3 2 2 2 3 7 2" xfId="22496"/>
    <cellStyle name="Note 3 2 2 2 3 8" xfId="15210"/>
    <cellStyle name="Note 3 2 2 2 4" xfId="2014"/>
    <cellStyle name="Note 3 2 2 2 4 2" xfId="2015"/>
    <cellStyle name="Note 3 2 2 2 4 2 2" xfId="2016"/>
    <cellStyle name="Note 3 2 2 2 4 2 2 2" xfId="5828"/>
    <cellStyle name="Note 3 2 2 2 4 2 2 2 2" xfId="12381"/>
    <cellStyle name="Note 3 2 2 2 4 2 2 2 2 2" xfId="26703"/>
    <cellStyle name="Note 3 2 2 2 4 2 2 2 3" xfId="18026"/>
    <cellStyle name="Note 3 2 2 2 4 2 2 3" xfId="3997"/>
    <cellStyle name="Note 3 2 2 2 4 2 2 3 2" xfId="9407"/>
    <cellStyle name="Note 3 2 2 2 4 2 2 3 2 2" xfId="15669"/>
    <cellStyle name="Note 3 2 2 2 4 2 2 3 2 2 2" xfId="29085"/>
    <cellStyle name="Note 3 2 2 2 4 2 2 3 2 3" xfId="20414"/>
    <cellStyle name="Note 3 2 2 2 4 2 2 3 3" xfId="4866"/>
    <cellStyle name="Note 3 2 2 2 4 2 2 3 3 2" xfId="23231"/>
    <cellStyle name="Note 3 2 2 2 4 2 2 3 4" xfId="15427"/>
    <cellStyle name="Note 3 2 2 2 4 2 2 4" xfId="3254"/>
    <cellStyle name="Note 3 2 2 2 4 2 2 4 2" xfId="22446"/>
    <cellStyle name="Note 3 2 2 2 4 2 2 5" xfId="15322"/>
    <cellStyle name="Note 3 2 2 2 4 2 3" xfId="2017"/>
    <cellStyle name="Note 3 2 2 2 4 2 3 2" xfId="7235"/>
    <cellStyle name="Note 3 2 2 2 4 2 3 2 2" xfId="9849"/>
    <cellStyle name="Note 3 2 2 2 4 2 3 2 2 2" xfId="16111"/>
    <cellStyle name="Note 3 2 2 2 4 2 3 2 2 2 2" xfId="29527"/>
    <cellStyle name="Note 3 2 2 2 4 2 3 2 2 3" xfId="20856"/>
    <cellStyle name="Note 3 2 2 2 4 2 3 2 3" xfId="13839"/>
    <cellStyle name="Note 3 2 2 2 4 2 3 2 3 2" xfId="28161"/>
    <cellStyle name="Note 3 2 2 2 4 2 3 2 4" xfId="19484"/>
    <cellStyle name="Note 3 2 2 2 4 2 3 3" xfId="13343"/>
    <cellStyle name="Note 3 2 2 2 4 2 3 3 2" xfId="27665"/>
    <cellStyle name="Note 3 2 2 2 4 2 3 4" xfId="18988"/>
    <cellStyle name="Note 3 2 2 2 4 2 4" xfId="5793"/>
    <cellStyle name="Note 3 2 2 2 4 2 4 2" xfId="12346"/>
    <cellStyle name="Note 3 2 2 2 4 2 4 2 2" xfId="26668"/>
    <cellStyle name="Note 3 2 2 2 4 2 4 3" xfId="17991"/>
    <cellStyle name="Note 3 2 2 2 4 2 5" xfId="5381"/>
    <cellStyle name="Note 3 2 2 2 4 2 5 2" xfId="23343"/>
    <cellStyle name="Note 3 2 2 2 4 2 6" xfId="4239"/>
    <cellStyle name="Note 3 2 2 2 4 3" xfId="2018"/>
    <cellStyle name="Note 3 2 2 2 4 3 2" xfId="2019"/>
    <cellStyle name="Note 3 2 2 2 4 3 2 2" xfId="6437"/>
    <cellStyle name="Note 3 2 2 2 4 3 2 2 2" xfId="13020"/>
    <cellStyle name="Note 3 2 2 2 4 3 2 2 2 2" xfId="27342"/>
    <cellStyle name="Note 3 2 2 2 4 3 2 2 3" xfId="18665"/>
    <cellStyle name="Note 3 2 2 2 4 3 2 3" xfId="7614"/>
    <cellStyle name="Note 3 2 2 2 4 3 2 3 2" xfId="10228"/>
    <cellStyle name="Note 3 2 2 2 4 3 2 3 2 2" xfId="16490"/>
    <cellStyle name="Note 3 2 2 2 4 3 2 3 2 2 2" xfId="29906"/>
    <cellStyle name="Note 3 2 2 2 4 3 2 3 2 3" xfId="21235"/>
    <cellStyle name="Note 3 2 2 2 4 3 2 3 3" xfId="14218"/>
    <cellStyle name="Note 3 2 2 2 4 3 2 3 3 2" xfId="28540"/>
    <cellStyle name="Note 3 2 2 2 4 3 2 3 4" xfId="19863"/>
    <cellStyle name="Note 3 2 2 2 4 3 2 4" xfId="4235"/>
    <cellStyle name="Note 3 2 2 2 4 3 2 4 2" xfId="22845"/>
    <cellStyle name="Note 3 2 2 2 4 3 2 5" xfId="15531"/>
    <cellStyle name="Note 3 2 2 2 4 3 3" xfId="2020"/>
    <cellStyle name="Note 3 2 2 2 4 3 3 2" xfId="3908"/>
    <cellStyle name="Note 3 2 2 2 4 3 3 2 2" xfId="9393"/>
    <cellStyle name="Note 3 2 2 2 4 3 3 2 2 2" xfId="15655"/>
    <cellStyle name="Note 3 2 2 2 4 3 3 2 2 2 2" xfId="29071"/>
    <cellStyle name="Note 3 2 2 2 4 3 3 2 2 3" xfId="20400"/>
    <cellStyle name="Note 3 2 2 2 4 3 3 2 3" xfId="6155"/>
    <cellStyle name="Note 3 2 2 2 4 3 3 2 3 2" xfId="23434"/>
    <cellStyle name="Note 3 2 2 2 4 3 3 2 4" xfId="4197"/>
    <cellStyle name="Note 3 2 2 2 4 3 3 3" xfId="13413"/>
    <cellStyle name="Note 3 2 2 2 4 3 3 3 2" xfId="27735"/>
    <cellStyle name="Note 3 2 2 2 4 3 3 4" xfId="19058"/>
    <cellStyle name="Note 3 2 2 2 4 3 4" xfId="5881"/>
    <cellStyle name="Note 3 2 2 2 4 3 4 2" xfId="12434"/>
    <cellStyle name="Note 3 2 2 2 4 3 4 2 2" xfId="26756"/>
    <cellStyle name="Note 3 2 2 2 4 3 4 3" xfId="18079"/>
    <cellStyle name="Note 3 2 2 2 4 3 5" xfId="3876"/>
    <cellStyle name="Note 3 2 2 2 4 3 5 2" xfId="22622"/>
    <cellStyle name="Note 3 2 2 2 4 3 6" xfId="15152"/>
    <cellStyle name="Note 3 2 2 2 4 4" xfId="2021"/>
    <cellStyle name="Note 3 2 2 2 4 4 2" xfId="6969"/>
    <cellStyle name="Note 3 2 2 2 4 4 2 2" xfId="13573"/>
    <cellStyle name="Note 3 2 2 2 4 4 2 2 2" xfId="27895"/>
    <cellStyle name="Note 3 2 2 2 4 4 2 3" xfId="19218"/>
    <cellStyle name="Note 3 2 2 2 4 4 3" xfId="4316"/>
    <cellStyle name="Note 3 2 2 2 4 4 3 2" xfId="9447"/>
    <cellStyle name="Note 3 2 2 2 4 4 3 2 2" xfId="15709"/>
    <cellStyle name="Note 3 2 2 2 4 4 3 2 2 2" xfId="29125"/>
    <cellStyle name="Note 3 2 2 2 4 4 3 2 3" xfId="20454"/>
    <cellStyle name="Note 3 2 2 2 4 4 3 3" xfId="6081"/>
    <cellStyle name="Note 3 2 2 2 4 4 3 3 2" xfId="23410"/>
    <cellStyle name="Note 3 2 2 2 4 4 3 4" xfId="14989"/>
    <cellStyle name="Note 3 2 2 2 4 4 4" xfId="11476"/>
    <cellStyle name="Note 3 2 2 2 4 4 4 2" xfId="25798"/>
    <cellStyle name="Note 3 2 2 2 4 4 5" xfId="14685"/>
    <cellStyle name="Note 3 2 2 2 4 5" xfId="2022"/>
    <cellStyle name="Note 3 2 2 2 4 5 2" xfId="7925"/>
    <cellStyle name="Note 3 2 2 2 4 5 2 2" xfId="10539"/>
    <cellStyle name="Note 3 2 2 2 4 5 2 2 2" xfId="16801"/>
    <cellStyle name="Note 3 2 2 2 4 5 2 2 2 2" xfId="30217"/>
    <cellStyle name="Note 3 2 2 2 4 5 2 2 3" xfId="21546"/>
    <cellStyle name="Note 3 2 2 2 4 5 2 3" xfId="14529"/>
    <cellStyle name="Note 3 2 2 2 4 5 2 3 2" xfId="28851"/>
    <cellStyle name="Note 3 2 2 2 4 5 2 4" xfId="20174"/>
    <cellStyle name="Note 3 2 2 2 4 5 3" xfId="12919"/>
    <cellStyle name="Note 3 2 2 2 4 5 3 2" xfId="27241"/>
    <cellStyle name="Note 3 2 2 2 4 5 4" xfId="18564"/>
    <cellStyle name="Note 3 2 2 2 4 6" xfId="5543"/>
    <cellStyle name="Note 3 2 2 2 4 6 2" xfId="12094"/>
    <cellStyle name="Note 3 2 2 2 4 6 2 2" xfId="26416"/>
    <cellStyle name="Note 3 2 2 2 4 6 3" xfId="17739"/>
    <cellStyle name="Note 3 2 2 2 4 7" xfId="5582"/>
    <cellStyle name="Note 3 2 2 2 4 7 2" xfId="23354"/>
    <cellStyle name="Note 3 2 2 2 4 8" xfId="14845"/>
    <cellStyle name="Note 3 2 2 2 5" xfId="2023"/>
    <cellStyle name="Note 3 2 2 2 5 2" xfId="2024"/>
    <cellStyle name="Note 3 2 2 2 5 2 2" xfId="2025"/>
    <cellStyle name="Note 3 2 2 2 5 2 2 2" xfId="6215"/>
    <cellStyle name="Note 3 2 2 2 5 2 2 2 2" xfId="12789"/>
    <cellStyle name="Note 3 2 2 2 5 2 2 2 2 2" xfId="27111"/>
    <cellStyle name="Note 3 2 2 2 5 2 2 2 3" xfId="18434"/>
    <cellStyle name="Note 3 2 2 2 5 2 2 3" xfId="7170"/>
    <cellStyle name="Note 3 2 2 2 5 2 2 3 2" xfId="9784"/>
    <cellStyle name="Note 3 2 2 2 5 2 2 3 2 2" xfId="16046"/>
    <cellStyle name="Note 3 2 2 2 5 2 2 3 2 2 2" xfId="29462"/>
    <cellStyle name="Note 3 2 2 2 5 2 2 3 2 3" xfId="20791"/>
    <cellStyle name="Note 3 2 2 2 5 2 2 3 3" xfId="13774"/>
    <cellStyle name="Note 3 2 2 2 5 2 2 3 3 2" xfId="28096"/>
    <cellStyle name="Note 3 2 2 2 5 2 2 3 4" xfId="19419"/>
    <cellStyle name="Note 3 2 2 2 5 2 2 4" xfId="4556"/>
    <cellStyle name="Note 3 2 2 2 5 2 2 4 2" xfId="23028"/>
    <cellStyle name="Note 3 2 2 2 5 2 2 5" xfId="14709"/>
    <cellStyle name="Note 3 2 2 2 5 2 3" xfId="2026"/>
    <cellStyle name="Note 3 2 2 2 5 2 3 2" xfId="8021"/>
    <cellStyle name="Note 3 2 2 2 5 2 3 2 2" xfId="10635"/>
    <cellStyle name="Note 3 2 2 2 5 2 3 2 2 2" xfId="16897"/>
    <cellStyle name="Note 3 2 2 2 5 2 3 2 2 2 2" xfId="30313"/>
    <cellStyle name="Note 3 2 2 2 5 2 3 2 2 3" xfId="21642"/>
    <cellStyle name="Note 3 2 2 2 5 2 3 2 3" xfId="14625"/>
    <cellStyle name="Note 3 2 2 2 5 2 3 2 3 2" xfId="28947"/>
    <cellStyle name="Note 3 2 2 2 5 2 3 2 4" xfId="20270"/>
    <cellStyle name="Note 3 2 2 2 5 2 3 3" xfId="13262"/>
    <cellStyle name="Note 3 2 2 2 5 2 3 3 2" xfId="27584"/>
    <cellStyle name="Note 3 2 2 2 5 2 3 4" xfId="18907"/>
    <cellStyle name="Note 3 2 2 2 5 2 4" xfId="5708"/>
    <cellStyle name="Note 3 2 2 2 5 2 4 2" xfId="12261"/>
    <cellStyle name="Note 3 2 2 2 5 2 4 2 2" xfId="26583"/>
    <cellStyle name="Note 3 2 2 2 5 2 4 3" xfId="17906"/>
    <cellStyle name="Note 3 2 2 2 5 2 5" xfId="4014"/>
    <cellStyle name="Note 3 2 2 2 5 2 5 2" xfId="22702"/>
    <cellStyle name="Note 3 2 2 2 5 2 6" xfId="14822"/>
    <cellStyle name="Note 3 2 2 2 5 3" xfId="2027"/>
    <cellStyle name="Note 3 2 2 2 5 3 2" xfId="2028"/>
    <cellStyle name="Note 3 2 2 2 5 3 2 2" xfId="6091"/>
    <cellStyle name="Note 3 2 2 2 5 3 2 2 2" xfId="12658"/>
    <cellStyle name="Note 3 2 2 2 5 3 2 2 2 2" xfId="26980"/>
    <cellStyle name="Note 3 2 2 2 5 3 2 2 3" xfId="18303"/>
    <cellStyle name="Note 3 2 2 2 5 3 2 3" xfId="3286"/>
    <cellStyle name="Note 3 2 2 2 5 3 2 3 2" xfId="9054"/>
    <cellStyle name="Note 3 2 2 2 5 3 2 3 2 2" xfId="15393"/>
    <cellStyle name="Note 3 2 2 2 5 3 2 3 2 2 2" xfId="29012"/>
    <cellStyle name="Note 3 2 2 2 5 3 2 3 2 3" xfId="20339"/>
    <cellStyle name="Note 3 2 2 2 5 3 2 3 3" xfId="4439"/>
    <cellStyle name="Note 3 2 2 2 5 3 2 3 3 2" xfId="22953"/>
    <cellStyle name="Note 3 2 2 2 5 3 2 3 4" xfId="14847"/>
    <cellStyle name="Note 3 2 2 2 5 3 2 4" xfId="4299"/>
    <cellStyle name="Note 3 2 2 2 5 3 2 4 2" xfId="22878"/>
    <cellStyle name="Note 3 2 2 2 5 3 2 5" xfId="17308"/>
    <cellStyle name="Note 3 2 2 2 5 3 3" xfId="2029"/>
    <cellStyle name="Note 3 2 2 2 5 3 3 2" xfId="7796"/>
    <cellStyle name="Note 3 2 2 2 5 3 3 2 2" xfId="10410"/>
    <cellStyle name="Note 3 2 2 2 5 3 3 2 2 2" xfId="16672"/>
    <cellStyle name="Note 3 2 2 2 5 3 3 2 2 2 2" xfId="30088"/>
    <cellStyle name="Note 3 2 2 2 5 3 3 2 2 3" xfId="21417"/>
    <cellStyle name="Note 3 2 2 2 5 3 3 2 3" xfId="14400"/>
    <cellStyle name="Note 3 2 2 2 5 3 3 2 3 2" xfId="28722"/>
    <cellStyle name="Note 3 2 2 2 5 3 3 2 4" xfId="20045"/>
    <cellStyle name="Note 3 2 2 2 5 3 3 3" xfId="13111"/>
    <cellStyle name="Note 3 2 2 2 5 3 3 3 2" xfId="27433"/>
    <cellStyle name="Note 3 2 2 2 5 3 3 4" xfId="18756"/>
    <cellStyle name="Note 3 2 2 2 5 3 4" xfId="5476"/>
    <cellStyle name="Note 3 2 2 2 5 3 4 2" xfId="12027"/>
    <cellStyle name="Note 3 2 2 2 5 3 4 2 2" xfId="26349"/>
    <cellStyle name="Note 3 2 2 2 5 3 4 3" xfId="17672"/>
    <cellStyle name="Note 3 2 2 2 5 3 5" xfId="2834"/>
    <cellStyle name="Note 3 2 2 2 5 3 5 2" xfId="22397"/>
    <cellStyle name="Note 3 2 2 2 5 3 6" xfId="15569"/>
    <cellStyle name="Note 3 2 2 2 5 4" xfId="2030"/>
    <cellStyle name="Note 3 2 2 2 5 4 2" xfId="5989"/>
    <cellStyle name="Note 3 2 2 2 5 4 2 2" xfId="12547"/>
    <cellStyle name="Note 3 2 2 2 5 4 2 2 2" xfId="26869"/>
    <cellStyle name="Note 3 2 2 2 5 4 2 3" xfId="18192"/>
    <cellStyle name="Note 3 2 2 2 5 4 3" xfId="8062"/>
    <cellStyle name="Note 3 2 2 2 5 4 3 2" xfId="10676"/>
    <cellStyle name="Note 3 2 2 2 5 4 3 2 2" xfId="16938"/>
    <cellStyle name="Note 3 2 2 2 5 4 3 2 2 2" xfId="30354"/>
    <cellStyle name="Note 3 2 2 2 5 4 3 2 3" xfId="21683"/>
    <cellStyle name="Note 3 2 2 2 5 4 3 3" xfId="14666"/>
    <cellStyle name="Note 3 2 2 2 5 4 3 3 2" xfId="28988"/>
    <cellStyle name="Note 3 2 2 2 5 4 3 4" xfId="20311"/>
    <cellStyle name="Note 3 2 2 2 5 4 4" xfId="6186"/>
    <cellStyle name="Note 3 2 2 2 5 4 4 2" xfId="23451"/>
    <cellStyle name="Note 3 2 2 2 5 4 5" xfId="15352"/>
    <cellStyle name="Note 3 2 2 2 5 5" xfId="2031"/>
    <cellStyle name="Note 3 2 2 2 5 5 2" xfId="7233"/>
    <cellStyle name="Note 3 2 2 2 5 5 2 2" xfId="9847"/>
    <cellStyle name="Note 3 2 2 2 5 5 2 2 2" xfId="16109"/>
    <cellStyle name="Note 3 2 2 2 5 5 2 2 2 2" xfId="29525"/>
    <cellStyle name="Note 3 2 2 2 5 5 2 2 3" xfId="20854"/>
    <cellStyle name="Note 3 2 2 2 5 5 2 3" xfId="13837"/>
    <cellStyle name="Note 3 2 2 2 5 5 2 3 2" xfId="28159"/>
    <cellStyle name="Note 3 2 2 2 5 5 2 4" xfId="19482"/>
    <cellStyle name="Note 3 2 2 2 5 5 3" xfId="12817"/>
    <cellStyle name="Note 3 2 2 2 5 5 3 2" xfId="27139"/>
    <cellStyle name="Note 3 2 2 2 5 5 4" xfId="18462"/>
    <cellStyle name="Note 3 2 2 2 5 6" xfId="5354"/>
    <cellStyle name="Note 3 2 2 2 5 6 2" xfId="11904"/>
    <cellStyle name="Note 3 2 2 2 5 6 2 2" xfId="26226"/>
    <cellStyle name="Note 3 2 2 2 5 6 3" xfId="17549"/>
    <cellStyle name="Note 3 2 2 2 5 7" xfId="4345"/>
    <cellStyle name="Note 3 2 2 2 5 7 2" xfId="22900"/>
    <cellStyle name="Note 3 2 2 2 5 8" xfId="16972"/>
    <cellStyle name="Note 3 2 2 2 6" xfId="2032"/>
    <cellStyle name="Note 3 2 2 2 6 2" xfId="2033"/>
    <cellStyle name="Note 3 2 2 2 6 2 2" xfId="2034"/>
    <cellStyle name="Note 3 2 2 2 6 2 2 2" xfId="5934"/>
    <cellStyle name="Note 3 2 2 2 6 2 2 2 2" xfId="12491"/>
    <cellStyle name="Note 3 2 2 2 6 2 2 2 2 2" xfId="26813"/>
    <cellStyle name="Note 3 2 2 2 6 2 2 2 3" xfId="18136"/>
    <cellStyle name="Note 3 2 2 2 6 2 2 3" xfId="7913"/>
    <cellStyle name="Note 3 2 2 2 6 2 2 3 2" xfId="10527"/>
    <cellStyle name="Note 3 2 2 2 6 2 2 3 2 2" xfId="16789"/>
    <cellStyle name="Note 3 2 2 2 6 2 2 3 2 2 2" xfId="30205"/>
    <cellStyle name="Note 3 2 2 2 6 2 2 3 2 3" xfId="21534"/>
    <cellStyle name="Note 3 2 2 2 6 2 2 3 3" xfId="14517"/>
    <cellStyle name="Note 3 2 2 2 6 2 2 3 3 2" xfId="28839"/>
    <cellStyle name="Note 3 2 2 2 6 2 2 3 4" xfId="20162"/>
    <cellStyle name="Note 3 2 2 2 6 2 2 4" xfId="6314"/>
    <cellStyle name="Note 3 2 2 2 6 2 2 4 2" xfId="23510"/>
    <cellStyle name="Note 3 2 2 2 6 2 2 5" xfId="17332"/>
    <cellStyle name="Note 3 2 2 2 6 2 3" xfId="2035"/>
    <cellStyle name="Note 3 2 2 2 6 2 3 2" xfId="7150"/>
    <cellStyle name="Note 3 2 2 2 6 2 3 2 2" xfId="9764"/>
    <cellStyle name="Note 3 2 2 2 6 2 3 2 2 2" xfId="16026"/>
    <cellStyle name="Note 3 2 2 2 6 2 3 2 2 2 2" xfId="29442"/>
    <cellStyle name="Note 3 2 2 2 6 2 3 2 2 3" xfId="20771"/>
    <cellStyle name="Note 3 2 2 2 6 2 3 2 3" xfId="13754"/>
    <cellStyle name="Note 3 2 2 2 6 2 3 2 3 2" xfId="28076"/>
    <cellStyle name="Note 3 2 2 2 6 2 3 2 4" xfId="19399"/>
    <cellStyle name="Note 3 2 2 2 6 2 3 3" xfId="11780"/>
    <cellStyle name="Note 3 2 2 2 6 2 3 3 2" xfId="26102"/>
    <cellStyle name="Note 3 2 2 2 6 2 3 4" xfId="17425"/>
    <cellStyle name="Note 3 2 2 2 6 2 4" xfId="3700"/>
    <cellStyle name="Note 3 2 2 2 6 2 4 2" xfId="4141"/>
    <cellStyle name="Note 3 2 2 2 6 2 4 2 2" xfId="22779"/>
    <cellStyle name="Note 3 2 2 2 6 2 4 3" xfId="17374"/>
    <cellStyle name="Note 3 2 2 2 6 2 5" xfId="4879"/>
    <cellStyle name="Note 3 2 2 2 6 2 5 2" xfId="23241"/>
    <cellStyle name="Note 3 2 2 2 6 2 6" xfId="3787"/>
    <cellStyle name="Note 3 2 2 2 6 3" xfId="2036"/>
    <cellStyle name="Note 3 2 2 2 6 3 2" xfId="6551"/>
    <cellStyle name="Note 3 2 2 2 6 3 2 2" xfId="13139"/>
    <cellStyle name="Note 3 2 2 2 6 3 2 2 2" xfId="27461"/>
    <cellStyle name="Note 3 2 2 2 6 3 2 3" xfId="18784"/>
    <cellStyle name="Note 3 2 2 2 6 3 3" xfId="5329"/>
    <cellStyle name="Note 3 2 2 2 6 3 3 2" xfId="9638"/>
    <cellStyle name="Note 3 2 2 2 6 3 3 2 2" xfId="15900"/>
    <cellStyle name="Note 3 2 2 2 6 3 3 2 2 2" xfId="29316"/>
    <cellStyle name="Note 3 2 2 2 6 3 3 2 3" xfId="20645"/>
    <cellStyle name="Note 3 2 2 2 6 3 3 3" xfId="11879"/>
    <cellStyle name="Note 3 2 2 2 6 3 3 3 2" xfId="26201"/>
    <cellStyle name="Note 3 2 2 2 6 3 3 4" xfId="17524"/>
    <cellStyle name="Note 3 2 2 2 6 3 4" xfId="3716"/>
    <cellStyle name="Note 3 2 2 2 6 3 4 2" xfId="22541"/>
    <cellStyle name="Note 3 2 2 2 6 3 5" xfId="17062"/>
    <cellStyle name="Note 3 2 2 2 6 4" xfId="2037"/>
    <cellStyle name="Note 3 2 2 2 6 4 2" xfId="7050"/>
    <cellStyle name="Note 3 2 2 2 6 4 2 2" xfId="9664"/>
    <cellStyle name="Note 3 2 2 2 6 4 2 2 2" xfId="15926"/>
    <cellStyle name="Note 3 2 2 2 6 4 2 2 2 2" xfId="29342"/>
    <cellStyle name="Note 3 2 2 2 6 4 2 2 3" xfId="20671"/>
    <cellStyle name="Note 3 2 2 2 6 4 2 3" xfId="13654"/>
    <cellStyle name="Note 3 2 2 2 6 4 2 3 2" xfId="27976"/>
    <cellStyle name="Note 3 2 2 2 6 4 2 4" xfId="19299"/>
    <cellStyle name="Note 3 2 2 2 6 4 3" xfId="12946"/>
    <cellStyle name="Note 3 2 2 2 6 4 3 2" xfId="27268"/>
    <cellStyle name="Note 3 2 2 2 6 4 4" xfId="18591"/>
    <cellStyle name="Note 3 2 2 2 6 5" xfId="5611"/>
    <cellStyle name="Note 3 2 2 2 6 5 2" xfId="12164"/>
    <cellStyle name="Note 3 2 2 2 6 5 2 2" xfId="26486"/>
    <cellStyle name="Note 3 2 2 2 6 5 3" xfId="17809"/>
    <cellStyle name="Note 3 2 2 2 6 6" xfId="3721"/>
    <cellStyle name="Note 3 2 2 2 6 6 2" xfId="22545"/>
    <cellStyle name="Note 3 2 2 2 6 7" xfId="4112"/>
    <cellStyle name="Note 3 2 2 2 7" xfId="2038"/>
    <cellStyle name="Note 3 2 2 2 7 2" xfId="2039"/>
    <cellStyle name="Note 3 2 2 2 7 2 2" xfId="6383"/>
    <cellStyle name="Note 3 2 2 2 7 2 2 2" xfId="12966"/>
    <cellStyle name="Note 3 2 2 2 7 2 2 2 2" xfId="27288"/>
    <cellStyle name="Note 3 2 2 2 7 2 2 3" xfId="18611"/>
    <cellStyle name="Note 3 2 2 2 7 2 3" xfId="3872"/>
    <cellStyle name="Note 3 2 2 2 7 2 3 2" xfId="9388"/>
    <cellStyle name="Note 3 2 2 2 7 2 3 2 2" xfId="15650"/>
    <cellStyle name="Note 3 2 2 2 7 2 3 2 2 2" xfId="29066"/>
    <cellStyle name="Note 3 2 2 2 7 2 3 2 3" xfId="20395"/>
    <cellStyle name="Note 3 2 2 2 7 2 3 3" xfId="4150"/>
    <cellStyle name="Note 3 2 2 2 7 2 3 3 2" xfId="22785"/>
    <cellStyle name="Note 3 2 2 2 7 2 3 4" xfId="15145"/>
    <cellStyle name="Note 3 2 2 2 7 2 4" xfId="6756"/>
    <cellStyle name="Note 3 2 2 2 7 2 4 2" xfId="23704"/>
    <cellStyle name="Note 3 2 2 2 7 2 5" xfId="17038"/>
    <cellStyle name="Note 3 2 2 2 7 3" xfId="2040"/>
    <cellStyle name="Note 3 2 2 2 7 3 2" xfId="8003"/>
    <cellStyle name="Note 3 2 2 2 7 3 2 2" xfId="10617"/>
    <cellStyle name="Note 3 2 2 2 7 3 2 2 2" xfId="16879"/>
    <cellStyle name="Note 3 2 2 2 7 3 2 2 2 2" xfId="30295"/>
    <cellStyle name="Note 3 2 2 2 7 3 2 2 3" xfId="21624"/>
    <cellStyle name="Note 3 2 2 2 7 3 2 3" xfId="14607"/>
    <cellStyle name="Note 3 2 2 2 7 3 2 3 2" xfId="28929"/>
    <cellStyle name="Note 3 2 2 2 7 3 2 4" xfId="20252"/>
    <cellStyle name="Note 3 2 2 2 7 3 3" xfId="13402"/>
    <cellStyle name="Note 3 2 2 2 7 3 3 2" xfId="27724"/>
    <cellStyle name="Note 3 2 2 2 7 3 4" xfId="19047"/>
    <cellStyle name="Note 3 2 2 2 7 4" xfId="5866"/>
    <cellStyle name="Note 3 2 2 2 7 4 2" xfId="12419"/>
    <cellStyle name="Note 3 2 2 2 7 4 2 2" xfId="26741"/>
    <cellStyle name="Note 3 2 2 2 7 4 3" xfId="18064"/>
    <cellStyle name="Note 3 2 2 2 7 5" xfId="3684"/>
    <cellStyle name="Note 3 2 2 2 7 5 2" xfId="22526"/>
    <cellStyle name="Note 3 2 2 2 7 6" xfId="4561"/>
    <cellStyle name="Note 3 2 2 2 8" xfId="2041"/>
    <cellStyle name="Note 3 2 2 2 8 2" xfId="6990"/>
    <cellStyle name="Note 3 2 2 2 8 2 2" xfId="13594"/>
    <cellStyle name="Note 3 2 2 2 8 2 2 2" xfId="27916"/>
    <cellStyle name="Note 3 2 2 2 8 2 3" xfId="19239"/>
    <cellStyle name="Note 3 2 2 2 8 3" xfId="7540"/>
    <cellStyle name="Note 3 2 2 2 8 3 2" xfId="10154"/>
    <cellStyle name="Note 3 2 2 2 8 3 2 2" xfId="16416"/>
    <cellStyle name="Note 3 2 2 2 8 3 2 2 2" xfId="29832"/>
    <cellStyle name="Note 3 2 2 2 8 3 2 3" xfId="21161"/>
    <cellStyle name="Note 3 2 2 2 8 3 3" xfId="14144"/>
    <cellStyle name="Note 3 2 2 2 8 3 3 2" xfId="28466"/>
    <cellStyle name="Note 3 2 2 2 8 3 4" xfId="19789"/>
    <cellStyle name="Note 3 2 2 2 8 4" xfId="11502"/>
    <cellStyle name="Note 3 2 2 2 8 4 2" xfId="25824"/>
    <cellStyle name="Note 3 2 2 2 8 5" xfId="17040"/>
    <cellStyle name="Note 3 2 2 2 9" xfId="2042"/>
    <cellStyle name="Note 3 2 2 2 9 2" xfId="7425"/>
    <cellStyle name="Note 3 2 2 2 9 2 2" xfId="10039"/>
    <cellStyle name="Note 3 2 2 2 9 2 2 2" xfId="16301"/>
    <cellStyle name="Note 3 2 2 2 9 2 2 2 2" xfId="29717"/>
    <cellStyle name="Note 3 2 2 2 9 2 2 3" xfId="21046"/>
    <cellStyle name="Note 3 2 2 2 9 2 3" xfId="14029"/>
    <cellStyle name="Note 3 2 2 2 9 2 3 2" xfId="28351"/>
    <cellStyle name="Note 3 2 2 2 9 2 4" xfId="19674"/>
    <cellStyle name="Note 3 2 2 2 9 3" xfId="12724"/>
    <cellStyle name="Note 3 2 2 2 9 3 2" xfId="27046"/>
    <cellStyle name="Note 3 2 2 2 9 4" xfId="18369"/>
    <cellStyle name="Note 3 2 2 3" xfId="2043"/>
    <cellStyle name="Note 3 2 2 3 10" xfId="4971"/>
    <cellStyle name="Note 3 2 2 3 10 2" xfId="23287"/>
    <cellStyle name="Note 3 2 2 3 11" xfId="15570"/>
    <cellStyle name="Note 3 2 2 3 2" xfId="2044"/>
    <cellStyle name="Note 3 2 2 3 2 2" xfId="2045"/>
    <cellStyle name="Note 3 2 2 3 2 2 2" xfId="2046"/>
    <cellStyle name="Note 3 2 2 3 2 2 2 2" xfId="5958"/>
    <cellStyle name="Note 3 2 2 3 2 2 2 2 2" xfId="12516"/>
    <cellStyle name="Note 3 2 2 3 2 2 2 2 2 2" xfId="26838"/>
    <cellStyle name="Note 3 2 2 3 2 2 2 2 3" xfId="18161"/>
    <cellStyle name="Note 3 2 2 3 2 2 2 3" xfId="7835"/>
    <cellStyle name="Note 3 2 2 3 2 2 2 3 2" xfId="10449"/>
    <cellStyle name="Note 3 2 2 3 2 2 2 3 2 2" xfId="16711"/>
    <cellStyle name="Note 3 2 2 3 2 2 2 3 2 2 2" xfId="30127"/>
    <cellStyle name="Note 3 2 2 3 2 2 2 3 2 3" xfId="21456"/>
    <cellStyle name="Note 3 2 2 3 2 2 2 3 3" xfId="14439"/>
    <cellStyle name="Note 3 2 2 3 2 2 2 3 3 2" xfId="28761"/>
    <cellStyle name="Note 3 2 2 3 2 2 2 3 4" xfId="20084"/>
    <cellStyle name="Note 3 2 2 3 2 2 2 4" xfId="4273"/>
    <cellStyle name="Note 3 2 2 3 2 2 2 4 2" xfId="22863"/>
    <cellStyle name="Note 3 2 2 3 2 2 2 5" xfId="14773"/>
    <cellStyle name="Note 3 2 2 3 2 2 3" xfId="2047"/>
    <cellStyle name="Note 3 2 2 3 2 2 3 2" xfId="7985"/>
    <cellStyle name="Note 3 2 2 3 2 2 3 2 2" xfId="10599"/>
    <cellStyle name="Note 3 2 2 3 2 2 3 2 2 2" xfId="16861"/>
    <cellStyle name="Note 3 2 2 3 2 2 3 2 2 2 2" xfId="30277"/>
    <cellStyle name="Note 3 2 2 3 2 2 3 2 2 3" xfId="21606"/>
    <cellStyle name="Note 3 2 2 3 2 2 3 2 3" xfId="14589"/>
    <cellStyle name="Note 3 2 2 3 2 2 3 2 3 2" xfId="28911"/>
    <cellStyle name="Note 3 2 2 3 2 2 3 2 4" xfId="20234"/>
    <cellStyle name="Note 3 2 2 3 2 2 3 3" xfId="13303"/>
    <cellStyle name="Note 3 2 2 3 2 2 3 3 2" xfId="27625"/>
    <cellStyle name="Note 3 2 2 3 2 2 3 4" xfId="18948"/>
    <cellStyle name="Note 3 2 2 3 2 2 4" xfId="5753"/>
    <cellStyle name="Note 3 2 2 3 2 2 4 2" xfId="12306"/>
    <cellStyle name="Note 3 2 2 3 2 2 4 2 2" xfId="26628"/>
    <cellStyle name="Note 3 2 2 3 2 2 4 3" xfId="17951"/>
    <cellStyle name="Note 3 2 2 3 2 2 5" xfId="3682"/>
    <cellStyle name="Note 3 2 2 3 2 2 5 2" xfId="22525"/>
    <cellStyle name="Note 3 2 2 3 2 2 6" xfId="15249"/>
    <cellStyle name="Note 3 2 2 3 2 3" xfId="2048"/>
    <cellStyle name="Note 3 2 2 3 2 3 2" xfId="2049"/>
    <cellStyle name="Note 3 2 2 3 2 3 2 2" xfId="5391"/>
    <cellStyle name="Note 3 2 2 3 2 3 2 2 2" xfId="11941"/>
    <cellStyle name="Note 3 2 2 3 2 3 2 2 2 2" xfId="26263"/>
    <cellStyle name="Note 3 2 2 3 2 3 2 2 3" xfId="17586"/>
    <cellStyle name="Note 3 2 2 3 2 3 2 3" xfId="7715"/>
    <cellStyle name="Note 3 2 2 3 2 3 2 3 2" xfId="10329"/>
    <cellStyle name="Note 3 2 2 3 2 3 2 3 2 2" xfId="16591"/>
    <cellStyle name="Note 3 2 2 3 2 3 2 3 2 2 2" xfId="30007"/>
    <cellStyle name="Note 3 2 2 3 2 3 2 3 2 3" xfId="21336"/>
    <cellStyle name="Note 3 2 2 3 2 3 2 3 3" xfId="14319"/>
    <cellStyle name="Note 3 2 2 3 2 3 2 3 3 2" xfId="28641"/>
    <cellStyle name="Note 3 2 2 3 2 3 2 3 4" xfId="19964"/>
    <cellStyle name="Note 3 2 2 3 2 3 2 4" xfId="4078"/>
    <cellStyle name="Note 3 2 2 3 2 3 2 4 2" xfId="22748"/>
    <cellStyle name="Note 3 2 2 3 2 3 2 5" xfId="15293"/>
    <cellStyle name="Note 3 2 2 3 2 3 3" xfId="2050"/>
    <cellStyle name="Note 3 2 2 3 2 3 3 2" xfId="3647"/>
    <cellStyle name="Note 3 2 2 3 2 3 3 2 2" xfId="9352"/>
    <cellStyle name="Note 3 2 2 3 2 3 3 2 2 2" xfId="15614"/>
    <cellStyle name="Note 3 2 2 3 2 3 3 2 2 2 2" xfId="29030"/>
    <cellStyle name="Note 3 2 2 3 2 3 3 2 2 3" xfId="20359"/>
    <cellStyle name="Note 3 2 2 3 2 3 3 2 3" xfId="6654"/>
    <cellStyle name="Note 3 2 2 3 2 3 3 2 3 2" xfId="23631"/>
    <cellStyle name="Note 3 2 2 3 2 3 3 2 4" xfId="17302"/>
    <cellStyle name="Note 3 2 2 3 2 3 3 3" xfId="13046"/>
    <cellStyle name="Note 3 2 2 3 2 3 3 3 2" xfId="27368"/>
    <cellStyle name="Note 3 2 2 3 2 3 3 4" xfId="18691"/>
    <cellStyle name="Note 3 2 2 3 2 3 4" xfId="5365"/>
    <cellStyle name="Note 3 2 2 3 2 3 4 2" xfId="11915"/>
    <cellStyle name="Note 3 2 2 3 2 3 4 2 2" xfId="26237"/>
    <cellStyle name="Note 3 2 2 3 2 3 4 3" xfId="17560"/>
    <cellStyle name="Note 3 2 2 3 2 3 5" xfId="4711"/>
    <cellStyle name="Note 3 2 2 3 2 3 5 2" xfId="23143"/>
    <cellStyle name="Note 3 2 2 3 2 3 6" xfId="17027"/>
    <cellStyle name="Note 3 2 2 3 2 4" xfId="2051"/>
    <cellStyle name="Note 3 2 2 3 2 4 2" xfId="6564"/>
    <cellStyle name="Note 3 2 2 3 2 4 2 2" xfId="13152"/>
    <cellStyle name="Note 3 2 2 3 2 4 2 2 2" xfId="27474"/>
    <cellStyle name="Note 3 2 2 3 2 4 2 3" xfId="18797"/>
    <cellStyle name="Note 3 2 2 3 2 4 3" xfId="5258"/>
    <cellStyle name="Note 3 2 2 3 2 4 3 2" xfId="9567"/>
    <cellStyle name="Note 3 2 2 3 2 4 3 2 2" xfId="15829"/>
    <cellStyle name="Note 3 2 2 3 2 4 3 2 2 2" xfId="29245"/>
    <cellStyle name="Note 3 2 2 3 2 4 3 2 3" xfId="20574"/>
    <cellStyle name="Note 3 2 2 3 2 4 3 3" xfId="11808"/>
    <cellStyle name="Note 3 2 2 3 2 4 3 3 2" xfId="26130"/>
    <cellStyle name="Note 3 2 2 3 2 4 3 4" xfId="17453"/>
    <cellStyle name="Note 3 2 2 3 2 4 4" xfId="3600"/>
    <cellStyle name="Note 3 2 2 3 2 4 4 2" xfId="22481"/>
    <cellStyle name="Note 3 2 2 3 2 4 5" xfId="3653"/>
    <cellStyle name="Note 3 2 2 3 2 5" xfId="2052"/>
    <cellStyle name="Note 3 2 2 3 2 5 2" xfId="7861"/>
    <cellStyle name="Note 3 2 2 3 2 5 2 2" xfId="10475"/>
    <cellStyle name="Note 3 2 2 3 2 5 2 2 2" xfId="16737"/>
    <cellStyle name="Note 3 2 2 3 2 5 2 2 2 2" xfId="30153"/>
    <cellStyle name="Note 3 2 2 3 2 5 2 2 3" xfId="21482"/>
    <cellStyle name="Note 3 2 2 3 2 5 2 3" xfId="14465"/>
    <cellStyle name="Note 3 2 2 3 2 5 2 3 2" xfId="28787"/>
    <cellStyle name="Note 3 2 2 3 2 5 2 4" xfId="20110"/>
    <cellStyle name="Note 3 2 2 3 2 5 3" xfId="12879"/>
    <cellStyle name="Note 3 2 2 3 2 5 3 2" xfId="27201"/>
    <cellStyle name="Note 3 2 2 3 2 5 4" xfId="18524"/>
    <cellStyle name="Note 3 2 2 3 2 6" xfId="5497"/>
    <cellStyle name="Note 3 2 2 3 2 6 2" xfId="12048"/>
    <cellStyle name="Note 3 2 2 3 2 6 2 2" xfId="26370"/>
    <cellStyle name="Note 3 2 2 3 2 6 3" xfId="17693"/>
    <cellStyle name="Note 3 2 2 3 2 7" xfId="4426"/>
    <cellStyle name="Note 3 2 2 3 2 7 2" xfId="22944"/>
    <cellStyle name="Note 3 2 2 3 2 8" xfId="17311"/>
    <cellStyle name="Note 3 2 2 3 3" xfId="2053"/>
    <cellStyle name="Note 3 2 2 3 3 2" xfId="2054"/>
    <cellStyle name="Note 3 2 2 3 3 2 2" xfId="2055"/>
    <cellStyle name="Note 3 2 2 3 3 2 2 2" xfId="6977"/>
    <cellStyle name="Note 3 2 2 3 3 2 2 2 2" xfId="13581"/>
    <cellStyle name="Note 3 2 2 3 3 2 2 2 2 2" xfId="27903"/>
    <cellStyle name="Note 3 2 2 3 3 2 2 2 3" xfId="19226"/>
    <cellStyle name="Note 3 2 2 3 3 2 2 3" xfId="7548"/>
    <cellStyle name="Note 3 2 2 3 3 2 2 3 2" xfId="10162"/>
    <cellStyle name="Note 3 2 2 3 3 2 2 3 2 2" xfId="16424"/>
    <cellStyle name="Note 3 2 2 3 3 2 2 3 2 2 2" xfId="29840"/>
    <cellStyle name="Note 3 2 2 3 3 2 2 3 2 3" xfId="21169"/>
    <cellStyle name="Note 3 2 2 3 3 2 2 3 3" xfId="14152"/>
    <cellStyle name="Note 3 2 2 3 3 2 2 3 3 2" xfId="28474"/>
    <cellStyle name="Note 3 2 2 3 3 2 2 3 4" xfId="19797"/>
    <cellStyle name="Note 3 2 2 3 3 2 2 4" xfId="11488"/>
    <cellStyle name="Note 3 2 2 3 3 2 2 4 2" xfId="25810"/>
    <cellStyle name="Note 3 2 2 3 3 2 2 5" xfId="15523"/>
    <cellStyle name="Note 3 2 2 3 3 2 3" xfId="2056"/>
    <cellStyle name="Note 3 2 2 3 3 2 3 2" xfId="7807"/>
    <cellStyle name="Note 3 2 2 3 3 2 3 2 2" xfId="10421"/>
    <cellStyle name="Note 3 2 2 3 3 2 3 2 2 2" xfId="16683"/>
    <cellStyle name="Note 3 2 2 3 3 2 3 2 2 2 2" xfId="30099"/>
    <cellStyle name="Note 3 2 2 3 3 2 3 2 2 3" xfId="21428"/>
    <cellStyle name="Note 3 2 2 3 3 2 3 2 3" xfId="14411"/>
    <cellStyle name="Note 3 2 2 3 3 2 3 2 3 2" xfId="28733"/>
    <cellStyle name="Note 3 2 2 3 3 2 3 2 4" xfId="20056"/>
    <cellStyle name="Note 3 2 2 3 3 2 3 3" xfId="13339"/>
    <cellStyle name="Note 3 2 2 3 3 2 3 3 2" xfId="27661"/>
    <cellStyle name="Note 3 2 2 3 3 2 3 4" xfId="18984"/>
    <cellStyle name="Note 3 2 2 3 3 2 4" xfId="5789"/>
    <cellStyle name="Note 3 2 2 3 3 2 4 2" xfId="12342"/>
    <cellStyle name="Note 3 2 2 3 3 2 4 2 2" xfId="26664"/>
    <cellStyle name="Note 3 2 2 3 3 2 4 3" xfId="17987"/>
    <cellStyle name="Note 3 2 2 3 3 2 5" xfId="4851"/>
    <cellStyle name="Note 3 2 2 3 3 2 5 2" xfId="23222"/>
    <cellStyle name="Note 3 2 2 3 3 2 6" xfId="6707"/>
    <cellStyle name="Note 3 2 2 3 3 3" xfId="2057"/>
    <cellStyle name="Note 3 2 2 3 3 3 2" xfId="2058"/>
    <cellStyle name="Note 3 2 2 3 3 3 2 2" xfId="6988"/>
    <cellStyle name="Note 3 2 2 3 3 3 2 2 2" xfId="13592"/>
    <cellStyle name="Note 3 2 2 3 3 3 2 2 2 2" xfId="27914"/>
    <cellStyle name="Note 3 2 2 3 3 3 2 2 3" xfId="19237"/>
    <cellStyle name="Note 3 2 2 3 3 3 2 3" xfId="7964"/>
    <cellStyle name="Note 3 2 2 3 3 3 2 3 2" xfId="10578"/>
    <cellStyle name="Note 3 2 2 3 3 3 2 3 2 2" xfId="16840"/>
    <cellStyle name="Note 3 2 2 3 3 3 2 3 2 2 2" xfId="30256"/>
    <cellStyle name="Note 3 2 2 3 3 3 2 3 2 3" xfId="21585"/>
    <cellStyle name="Note 3 2 2 3 3 3 2 3 3" xfId="14568"/>
    <cellStyle name="Note 3 2 2 3 3 3 2 3 3 2" xfId="28890"/>
    <cellStyle name="Note 3 2 2 3 3 3 2 3 4" xfId="20213"/>
    <cellStyle name="Note 3 2 2 3 3 3 2 4" xfId="11500"/>
    <cellStyle name="Note 3 2 2 3 3 3 2 4 2" xfId="25822"/>
    <cellStyle name="Note 3 2 2 3 3 3 2 5" xfId="6525"/>
    <cellStyle name="Note 3 2 2 3 3 3 3" xfId="2059"/>
    <cellStyle name="Note 3 2 2 3 3 3 3 2" xfId="7514"/>
    <cellStyle name="Note 3 2 2 3 3 3 3 2 2" xfId="10128"/>
    <cellStyle name="Note 3 2 2 3 3 3 3 2 2 2" xfId="16390"/>
    <cellStyle name="Note 3 2 2 3 3 3 3 2 2 2 2" xfId="29806"/>
    <cellStyle name="Note 3 2 2 3 3 3 3 2 2 3" xfId="21135"/>
    <cellStyle name="Note 3 2 2 3 3 3 3 2 3" xfId="14118"/>
    <cellStyle name="Note 3 2 2 3 3 3 3 2 3 2" xfId="28440"/>
    <cellStyle name="Note 3 2 2 3 3 3 3 2 4" xfId="19763"/>
    <cellStyle name="Note 3 2 2 3 3 3 3 3" xfId="12570"/>
    <cellStyle name="Note 3 2 2 3 3 3 3 3 2" xfId="26892"/>
    <cellStyle name="Note 3 2 2 3 3 3 3 4" xfId="18215"/>
    <cellStyle name="Note 3 2 2 3 3 3 4" xfId="5178"/>
    <cellStyle name="Note 3 2 2 3 3 3 4 2" xfId="11727"/>
    <cellStyle name="Note 3 2 2 3 3 3 4 2 2" xfId="26049"/>
    <cellStyle name="Note 3 2 2 3 3 3 4 3" xfId="3603"/>
    <cellStyle name="Note 3 2 2 3 3 3 5" xfId="3852"/>
    <cellStyle name="Note 3 2 2 3 3 3 5 2" xfId="22613"/>
    <cellStyle name="Note 3 2 2 3 3 3 6" xfId="5197"/>
    <cellStyle name="Note 3 2 2 3 3 4" xfId="2060"/>
    <cellStyle name="Note 3 2 2 3 3 4 2" xfId="6853"/>
    <cellStyle name="Note 3 2 2 3 3 4 2 2" xfId="13457"/>
    <cellStyle name="Note 3 2 2 3 3 4 2 2 2" xfId="27779"/>
    <cellStyle name="Note 3 2 2 3 3 4 2 3" xfId="19102"/>
    <cellStyle name="Note 3 2 2 3 3 4 3" xfId="7900"/>
    <cellStyle name="Note 3 2 2 3 3 4 3 2" xfId="10514"/>
    <cellStyle name="Note 3 2 2 3 3 4 3 2 2" xfId="16776"/>
    <cellStyle name="Note 3 2 2 3 3 4 3 2 2 2" xfId="30192"/>
    <cellStyle name="Note 3 2 2 3 3 4 3 2 3" xfId="21521"/>
    <cellStyle name="Note 3 2 2 3 3 4 3 3" xfId="14504"/>
    <cellStyle name="Note 3 2 2 3 3 4 3 3 2" xfId="28826"/>
    <cellStyle name="Note 3 2 2 3 3 4 3 4" xfId="20149"/>
    <cellStyle name="Note 3 2 2 3 3 4 4" xfId="2762"/>
    <cellStyle name="Note 3 2 2 3 3 4 4 2" xfId="22331"/>
    <cellStyle name="Note 3 2 2 3 3 4 5" xfId="17124"/>
    <cellStyle name="Note 3 2 2 3 3 5" xfId="2061"/>
    <cellStyle name="Note 3 2 2 3 3 5 2" xfId="3810"/>
    <cellStyle name="Note 3 2 2 3 3 5 2 2" xfId="9378"/>
    <cellStyle name="Note 3 2 2 3 3 5 2 2 2" xfId="15640"/>
    <cellStyle name="Note 3 2 2 3 3 5 2 2 2 2" xfId="29056"/>
    <cellStyle name="Note 3 2 2 3 3 5 2 2 3" xfId="20385"/>
    <cellStyle name="Note 3 2 2 3 3 5 2 3" xfId="6251"/>
    <cellStyle name="Note 3 2 2 3 3 5 2 3 2" xfId="23475"/>
    <cellStyle name="Note 3 2 2 3 3 5 2 4" xfId="4680"/>
    <cellStyle name="Note 3 2 2 3 3 5 3" xfId="12915"/>
    <cellStyle name="Note 3 2 2 3 3 5 3 2" xfId="27237"/>
    <cellStyle name="Note 3 2 2 3 3 5 4" xfId="18560"/>
    <cellStyle name="Note 3 2 2 3 3 6" xfId="5539"/>
    <cellStyle name="Note 3 2 2 3 3 6 2" xfId="12090"/>
    <cellStyle name="Note 3 2 2 3 3 6 2 2" xfId="26412"/>
    <cellStyle name="Note 3 2 2 3 3 6 3" xfId="17735"/>
    <cellStyle name="Note 3 2 2 3 3 7" xfId="3949"/>
    <cellStyle name="Note 3 2 2 3 3 7 2" xfId="22663"/>
    <cellStyle name="Note 3 2 2 3 3 8" xfId="6275"/>
    <cellStyle name="Note 3 2 2 3 4" xfId="2062"/>
    <cellStyle name="Note 3 2 2 3 4 2" xfId="2063"/>
    <cellStyle name="Note 3 2 2 3 4 2 2" xfId="2064"/>
    <cellStyle name="Note 3 2 2 3 4 2 2 2" xfId="5842"/>
    <cellStyle name="Note 3 2 2 3 4 2 2 2 2" xfId="12395"/>
    <cellStyle name="Note 3 2 2 3 4 2 2 2 2 2" xfId="26717"/>
    <cellStyle name="Note 3 2 2 3 4 2 2 2 3" xfId="18040"/>
    <cellStyle name="Note 3 2 2 3 4 2 2 3" xfId="7947"/>
    <cellStyle name="Note 3 2 2 3 4 2 2 3 2" xfId="10561"/>
    <cellStyle name="Note 3 2 2 3 4 2 2 3 2 2" xfId="16823"/>
    <cellStyle name="Note 3 2 2 3 4 2 2 3 2 2 2" xfId="30239"/>
    <cellStyle name="Note 3 2 2 3 4 2 2 3 2 3" xfId="21568"/>
    <cellStyle name="Note 3 2 2 3 4 2 2 3 3" xfId="14551"/>
    <cellStyle name="Note 3 2 2 3 4 2 2 3 3 2" xfId="28873"/>
    <cellStyle name="Note 3 2 2 3 4 2 2 3 4" xfId="20196"/>
    <cellStyle name="Note 3 2 2 3 4 2 2 4" xfId="6623"/>
    <cellStyle name="Note 3 2 2 3 4 2 2 4 2" xfId="23612"/>
    <cellStyle name="Note 3 2 2 3 4 2 2 5" xfId="14843"/>
    <cellStyle name="Note 3 2 2 3 4 2 3" xfId="2065"/>
    <cellStyle name="Note 3 2 2 3 4 2 3 2" xfId="5317"/>
    <cellStyle name="Note 3 2 2 3 4 2 3 2 2" xfId="9626"/>
    <cellStyle name="Note 3 2 2 3 4 2 3 2 2 2" xfId="15888"/>
    <cellStyle name="Note 3 2 2 3 4 2 3 2 2 2 2" xfId="29304"/>
    <cellStyle name="Note 3 2 2 3 4 2 3 2 2 3" xfId="20633"/>
    <cellStyle name="Note 3 2 2 3 4 2 3 2 3" xfId="11867"/>
    <cellStyle name="Note 3 2 2 3 4 2 3 2 3 2" xfId="26189"/>
    <cellStyle name="Note 3 2 2 3 4 2 3 2 4" xfId="17512"/>
    <cellStyle name="Note 3 2 2 3 4 2 3 3" xfId="13194"/>
    <cellStyle name="Note 3 2 2 3 4 2 3 3 2" xfId="27516"/>
    <cellStyle name="Note 3 2 2 3 4 2 3 4" xfId="18839"/>
    <cellStyle name="Note 3 2 2 3 4 2 4" xfId="5631"/>
    <cellStyle name="Note 3 2 2 3 4 2 4 2" xfId="12184"/>
    <cellStyle name="Note 3 2 2 3 4 2 4 2 2" xfId="26506"/>
    <cellStyle name="Note 3 2 2 3 4 2 4 3" xfId="17829"/>
    <cellStyle name="Note 3 2 2 3 4 2 5" xfId="4684"/>
    <cellStyle name="Note 3 2 2 3 4 2 5 2" xfId="23120"/>
    <cellStyle name="Note 3 2 2 3 4 2 6" xfId="2841"/>
    <cellStyle name="Note 3 2 2 3 4 3" xfId="2066"/>
    <cellStyle name="Note 3 2 2 3 4 3 2" xfId="2067"/>
    <cellStyle name="Note 3 2 2 3 4 3 2 2" xfId="5955"/>
    <cellStyle name="Note 3 2 2 3 4 3 2 2 2" xfId="12513"/>
    <cellStyle name="Note 3 2 2 3 4 3 2 2 2 2" xfId="26835"/>
    <cellStyle name="Note 3 2 2 3 4 3 2 2 3" xfId="18158"/>
    <cellStyle name="Note 3 2 2 3 4 3 2 3" xfId="7417"/>
    <cellStyle name="Note 3 2 2 3 4 3 2 3 2" xfId="10031"/>
    <cellStyle name="Note 3 2 2 3 4 3 2 3 2 2" xfId="16293"/>
    <cellStyle name="Note 3 2 2 3 4 3 2 3 2 2 2" xfId="29709"/>
    <cellStyle name="Note 3 2 2 3 4 3 2 3 2 3" xfId="21038"/>
    <cellStyle name="Note 3 2 2 3 4 3 2 3 3" xfId="14021"/>
    <cellStyle name="Note 3 2 2 3 4 3 2 3 3 2" xfId="28343"/>
    <cellStyle name="Note 3 2 2 3 4 3 2 3 4" xfId="19666"/>
    <cellStyle name="Note 3 2 2 3 4 3 2 4" xfId="6187"/>
    <cellStyle name="Note 3 2 2 3 4 3 2 4 2" xfId="23452"/>
    <cellStyle name="Note 3 2 2 3 4 3 2 5" xfId="15463"/>
    <cellStyle name="Note 3 2 2 3 4 3 3" xfId="2068"/>
    <cellStyle name="Note 3 2 2 3 4 3 3 2" xfId="8010"/>
    <cellStyle name="Note 3 2 2 3 4 3 3 2 2" xfId="10624"/>
    <cellStyle name="Note 3 2 2 3 4 3 3 2 2 2" xfId="16886"/>
    <cellStyle name="Note 3 2 2 3 4 3 3 2 2 2 2" xfId="30302"/>
    <cellStyle name="Note 3 2 2 3 4 3 3 2 2 3" xfId="21631"/>
    <cellStyle name="Note 3 2 2 3 4 3 3 2 3" xfId="14614"/>
    <cellStyle name="Note 3 2 2 3 4 3 3 2 3 2" xfId="28936"/>
    <cellStyle name="Note 3 2 2 3 4 3 3 2 4" xfId="20259"/>
    <cellStyle name="Note 3 2 2 3 4 3 3 3" xfId="13096"/>
    <cellStyle name="Note 3 2 2 3 4 3 3 3 2" xfId="27418"/>
    <cellStyle name="Note 3 2 2 3 4 3 3 4" xfId="18741"/>
    <cellStyle name="Note 3 2 2 3 4 3 4" xfId="5452"/>
    <cellStyle name="Note 3 2 2 3 4 3 4 2" xfId="12003"/>
    <cellStyle name="Note 3 2 2 3 4 3 4 2 2" xfId="26325"/>
    <cellStyle name="Note 3 2 2 3 4 3 4 3" xfId="17648"/>
    <cellStyle name="Note 3 2 2 3 4 3 5" xfId="4223"/>
    <cellStyle name="Note 3 2 2 3 4 3 5 2" xfId="22835"/>
    <cellStyle name="Note 3 2 2 3 4 3 6" xfId="14816"/>
    <cellStyle name="Note 3 2 2 3 4 4" xfId="2069"/>
    <cellStyle name="Note 3 2 2 3 4 4 2" xfId="6370"/>
    <cellStyle name="Note 3 2 2 3 4 4 2 2" xfId="12953"/>
    <cellStyle name="Note 3 2 2 3 4 4 2 2 2" xfId="27275"/>
    <cellStyle name="Note 3 2 2 3 4 4 2 3" xfId="18598"/>
    <cellStyle name="Note 3 2 2 3 4 4 3" xfId="7781"/>
    <cellStyle name="Note 3 2 2 3 4 4 3 2" xfId="10395"/>
    <cellStyle name="Note 3 2 2 3 4 4 3 2 2" xfId="16657"/>
    <cellStyle name="Note 3 2 2 3 4 4 3 2 2 2" xfId="30073"/>
    <cellStyle name="Note 3 2 2 3 4 4 3 2 3" xfId="21402"/>
    <cellStyle name="Note 3 2 2 3 4 4 3 3" xfId="14385"/>
    <cellStyle name="Note 3 2 2 3 4 4 3 3 2" xfId="28707"/>
    <cellStyle name="Note 3 2 2 3 4 4 3 4" xfId="20030"/>
    <cellStyle name="Note 3 2 2 3 4 4 4" xfId="6474"/>
    <cellStyle name="Note 3 2 2 3 4 4 4 2" xfId="23558"/>
    <cellStyle name="Note 3 2 2 3 4 4 5" xfId="14747"/>
    <cellStyle name="Note 3 2 2 3 4 5" xfId="2070"/>
    <cellStyle name="Note 3 2 2 3 4 5 2" xfId="7975"/>
    <cellStyle name="Note 3 2 2 3 4 5 2 2" xfId="10589"/>
    <cellStyle name="Note 3 2 2 3 4 5 2 2 2" xfId="16851"/>
    <cellStyle name="Note 3 2 2 3 4 5 2 2 2 2" xfId="30267"/>
    <cellStyle name="Note 3 2 2 3 4 5 2 2 3" xfId="21596"/>
    <cellStyle name="Note 3 2 2 3 4 5 2 3" xfId="14579"/>
    <cellStyle name="Note 3 2 2 3 4 5 2 3 2" xfId="28901"/>
    <cellStyle name="Note 3 2 2 3 4 5 2 4" xfId="20224"/>
    <cellStyle name="Note 3 2 2 3 4 5 3" xfId="12467"/>
    <cellStyle name="Note 3 2 2 3 4 5 3 2" xfId="26789"/>
    <cellStyle name="Note 3 2 2 3 4 5 4" xfId="18112"/>
    <cellStyle name="Note 3 2 2 3 4 6" xfId="5067"/>
    <cellStyle name="Note 3 2 2 3 4 6 2" xfId="11614"/>
    <cellStyle name="Note 3 2 2 3 4 6 2 2" xfId="25936"/>
    <cellStyle name="Note 3 2 2 3 4 6 3" xfId="14719"/>
    <cellStyle name="Note 3 2 2 3 4 7" xfId="3859"/>
    <cellStyle name="Note 3 2 2 3 4 7 2" xfId="22615"/>
    <cellStyle name="Note 3 2 2 3 4 8" xfId="15445"/>
    <cellStyle name="Note 3 2 2 3 5" xfId="2071"/>
    <cellStyle name="Note 3 2 2 3 5 2" xfId="2072"/>
    <cellStyle name="Note 3 2 2 3 5 2 2" xfId="2073"/>
    <cellStyle name="Note 3 2 2 3 5 2 2 2" xfId="7004"/>
    <cellStyle name="Note 3 2 2 3 5 2 2 2 2" xfId="13608"/>
    <cellStyle name="Note 3 2 2 3 5 2 2 2 2 2" xfId="27930"/>
    <cellStyle name="Note 3 2 2 3 5 2 2 2 3" xfId="19253"/>
    <cellStyle name="Note 3 2 2 3 5 2 2 3" xfId="7242"/>
    <cellStyle name="Note 3 2 2 3 5 2 2 3 2" xfId="9856"/>
    <cellStyle name="Note 3 2 2 3 5 2 2 3 2 2" xfId="16118"/>
    <cellStyle name="Note 3 2 2 3 5 2 2 3 2 2 2" xfId="29534"/>
    <cellStyle name="Note 3 2 2 3 5 2 2 3 2 3" xfId="20863"/>
    <cellStyle name="Note 3 2 2 3 5 2 2 3 3" xfId="13846"/>
    <cellStyle name="Note 3 2 2 3 5 2 2 3 3 2" xfId="28168"/>
    <cellStyle name="Note 3 2 2 3 5 2 2 3 4" xfId="19491"/>
    <cellStyle name="Note 3 2 2 3 5 2 2 4" xfId="11524"/>
    <cellStyle name="Note 3 2 2 3 5 2 2 4 2" xfId="25846"/>
    <cellStyle name="Note 3 2 2 3 5 2 2 5" xfId="15370"/>
    <cellStyle name="Note 3 2 2 3 5 2 3" xfId="2074"/>
    <cellStyle name="Note 3 2 2 3 5 2 3 2" xfId="7245"/>
    <cellStyle name="Note 3 2 2 3 5 2 3 2 2" xfId="9859"/>
    <cellStyle name="Note 3 2 2 3 5 2 3 2 2 2" xfId="16121"/>
    <cellStyle name="Note 3 2 2 3 5 2 3 2 2 2 2" xfId="29537"/>
    <cellStyle name="Note 3 2 2 3 5 2 3 2 2 3" xfId="20866"/>
    <cellStyle name="Note 3 2 2 3 5 2 3 2 3" xfId="13849"/>
    <cellStyle name="Note 3 2 2 3 5 2 3 2 3 2" xfId="28171"/>
    <cellStyle name="Note 3 2 2 3 5 2 3 2 4" xfId="19494"/>
    <cellStyle name="Note 3 2 2 3 5 2 3 3" xfId="12786"/>
    <cellStyle name="Note 3 2 2 3 5 2 3 3 2" xfId="27108"/>
    <cellStyle name="Note 3 2 2 3 5 2 3 4" xfId="18431"/>
    <cellStyle name="Note 3 2 2 3 5 2 4" xfId="3773"/>
    <cellStyle name="Note 3 2 2 3 5 2 4 2" xfId="4512"/>
    <cellStyle name="Note 3 2 2 3 5 2 4 2 2" xfId="22999"/>
    <cellStyle name="Note 3 2 2 3 5 2 4 3" xfId="14805"/>
    <cellStyle name="Note 3 2 2 3 5 2 5" xfId="3913"/>
    <cellStyle name="Note 3 2 2 3 5 2 5 2" xfId="22643"/>
    <cellStyle name="Note 3 2 2 3 5 2 6" xfId="2792"/>
    <cellStyle name="Note 3 2 2 3 5 3" xfId="2075"/>
    <cellStyle name="Note 3 2 2 3 5 3 2" xfId="6075"/>
    <cellStyle name="Note 3 2 2 3 5 3 2 2" xfId="12641"/>
    <cellStyle name="Note 3 2 2 3 5 3 2 2 2" xfId="26963"/>
    <cellStyle name="Note 3 2 2 3 5 3 2 3" xfId="18286"/>
    <cellStyle name="Note 3 2 2 3 5 3 3" xfId="4302"/>
    <cellStyle name="Note 3 2 2 3 5 3 3 2" xfId="9444"/>
    <cellStyle name="Note 3 2 2 3 5 3 3 2 2" xfId="15706"/>
    <cellStyle name="Note 3 2 2 3 5 3 3 2 2 2" xfId="29122"/>
    <cellStyle name="Note 3 2 2 3 5 3 3 2 3" xfId="20451"/>
    <cellStyle name="Note 3 2 2 3 5 3 3 3" xfId="4433"/>
    <cellStyle name="Note 3 2 2 3 5 3 3 3 2" xfId="22949"/>
    <cellStyle name="Note 3 2 2 3 5 3 3 4" xfId="6353"/>
    <cellStyle name="Note 3 2 2 3 5 3 4" xfId="6218"/>
    <cellStyle name="Note 3 2 2 3 5 3 4 2" xfId="23462"/>
    <cellStyle name="Note 3 2 2 3 5 3 5" xfId="6733"/>
    <cellStyle name="Note 3 2 2 3 5 4" xfId="2076"/>
    <cellStyle name="Note 3 2 2 3 5 4 2" xfId="5289"/>
    <cellStyle name="Note 3 2 2 3 5 4 2 2" xfId="9598"/>
    <cellStyle name="Note 3 2 2 3 5 4 2 2 2" xfId="15860"/>
    <cellStyle name="Note 3 2 2 3 5 4 2 2 2 2" xfId="29276"/>
    <cellStyle name="Note 3 2 2 3 5 4 2 2 3" xfId="20605"/>
    <cellStyle name="Note 3 2 2 3 5 4 2 3" xfId="11839"/>
    <cellStyle name="Note 3 2 2 3 5 4 2 3 2" xfId="26161"/>
    <cellStyle name="Note 3 2 2 3 5 4 2 4" xfId="17484"/>
    <cellStyle name="Note 3 2 2 3 5 4 3" xfId="12612"/>
    <cellStyle name="Note 3 2 2 3 5 4 3 2" xfId="26934"/>
    <cellStyle name="Note 3 2 2 3 5 4 4" xfId="18257"/>
    <cellStyle name="Note 3 2 2 3 5 5" xfId="3697"/>
    <cellStyle name="Note 3 2 2 3 5 5 2" xfId="3969"/>
    <cellStyle name="Note 3 2 2 3 5 5 2 2" xfId="22675"/>
    <cellStyle name="Note 3 2 2 3 5 5 3" xfId="15314"/>
    <cellStyle name="Note 3 2 2 3 5 6" xfId="6249"/>
    <cellStyle name="Note 3 2 2 3 5 6 2" xfId="23473"/>
    <cellStyle name="Note 3 2 2 3 5 7" xfId="3146"/>
    <cellStyle name="Note 3 2 2 3 6" xfId="2077"/>
    <cellStyle name="Note 3 2 2 3 6 2" xfId="2078"/>
    <cellStyle name="Note 3 2 2 3 6 2 2" xfId="5388"/>
    <cellStyle name="Note 3 2 2 3 6 2 2 2" xfId="11938"/>
    <cellStyle name="Note 3 2 2 3 6 2 2 2 2" xfId="26260"/>
    <cellStyle name="Note 3 2 2 3 6 2 2 3" xfId="17583"/>
    <cellStyle name="Note 3 2 2 3 6 2 3" xfId="7204"/>
    <cellStyle name="Note 3 2 2 3 6 2 3 2" xfId="9818"/>
    <cellStyle name="Note 3 2 2 3 6 2 3 2 2" xfId="16080"/>
    <cellStyle name="Note 3 2 2 3 6 2 3 2 2 2" xfId="29496"/>
    <cellStyle name="Note 3 2 2 3 6 2 3 2 3" xfId="20825"/>
    <cellStyle name="Note 3 2 2 3 6 2 3 3" xfId="13808"/>
    <cellStyle name="Note 3 2 2 3 6 2 3 3 2" xfId="28130"/>
    <cellStyle name="Note 3 2 2 3 6 2 3 4" xfId="19453"/>
    <cellStyle name="Note 3 2 2 3 6 2 4" xfId="4035"/>
    <cellStyle name="Note 3 2 2 3 6 2 4 2" xfId="22713"/>
    <cellStyle name="Note 3 2 2 3 6 2 5" xfId="17241"/>
    <cellStyle name="Note 3 2 2 3 6 3" xfId="2079"/>
    <cellStyle name="Note 3 2 2 3 6 3 2" xfId="7638"/>
    <cellStyle name="Note 3 2 2 3 6 3 2 2" xfId="10252"/>
    <cellStyle name="Note 3 2 2 3 6 3 2 2 2" xfId="16514"/>
    <cellStyle name="Note 3 2 2 3 6 3 2 2 2 2" xfId="29930"/>
    <cellStyle name="Note 3 2 2 3 6 3 2 2 3" xfId="21259"/>
    <cellStyle name="Note 3 2 2 3 6 3 2 3" xfId="14242"/>
    <cellStyle name="Note 3 2 2 3 6 3 2 3 2" xfId="28564"/>
    <cellStyle name="Note 3 2 2 3 6 3 2 4" xfId="19887"/>
    <cellStyle name="Note 3 2 2 3 6 3 3" xfId="13168"/>
    <cellStyle name="Note 3 2 2 3 6 3 3 2" xfId="27490"/>
    <cellStyle name="Note 3 2 2 3 6 3 4" xfId="18813"/>
    <cellStyle name="Note 3 2 2 3 6 4" xfId="5587"/>
    <cellStyle name="Note 3 2 2 3 6 4 2" xfId="12139"/>
    <cellStyle name="Note 3 2 2 3 6 4 2 2" xfId="26461"/>
    <cellStyle name="Note 3 2 2 3 6 4 3" xfId="17784"/>
    <cellStyle name="Note 3 2 2 3 6 5" xfId="4758"/>
    <cellStyle name="Note 3 2 2 3 6 5 2" xfId="23173"/>
    <cellStyle name="Note 3 2 2 3 6 6" xfId="4591"/>
    <cellStyle name="Note 3 2 2 3 7" xfId="2080"/>
    <cellStyle name="Note 3 2 2 3 7 2" xfId="6027"/>
    <cellStyle name="Note 3 2 2 3 7 2 2" xfId="12588"/>
    <cellStyle name="Note 3 2 2 3 7 2 2 2" xfId="26910"/>
    <cellStyle name="Note 3 2 2 3 7 2 3" xfId="18233"/>
    <cellStyle name="Note 3 2 2 3 7 3" xfId="7675"/>
    <cellStyle name="Note 3 2 2 3 7 3 2" xfId="10289"/>
    <cellStyle name="Note 3 2 2 3 7 3 2 2" xfId="16551"/>
    <cellStyle name="Note 3 2 2 3 7 3 2 2 2" xfId="29967"/>
    <cellStyle name="Note 3 2 2 3 7 3 2 3" xfId="21296"/>
    <cellStyle name="Note 3 2 2 3 7 3 3" xfId="14279"/>
    <cellStyle name="Note 3 2 2 3 7 3 3 2" xfId="28601"/>
    <cellStyle name="Note 3 2 2 3 7 3 4" xfId="19924"/>
    <cellStyle name="Note 3 2 2 3 7 4" xfId="4509"/>
    <cellStyle name="Note 3 2 2 3 7 4 2" xfId="22996"/>
    <cellStyle name="Note 3 2 2 3 7 5" xfId="15236"/>
    <cellStyle name="Note 3 2 2 3 8" xfId="2081"/>
    <cellStyle name="Note 3 2 2 3 8 2" xfId="4004"/>
    <cellStyle name="Note 3 2 2 3 8 2 2" xfId="9408"/>
    <cellStyle name="Note 3 2 2 3 8 2 2 2" xfId="15670"/>
    <cellStyle name="Note 3 2 2 3 8 2 2 2 2" xfId="29086"/>
    <cellStyle name="Note 3 2 2 3 8 2 2 3" xfId="20415"/>
    <cellStyle name="Note 3 2 2 3 8 2 3" xfId="4963"/>
    <cellStyle name="Note 3 2 2 3 8 2 3 2" xfId="23284"/>
    <cellStyle name="Note 3 2 2 3 8 2 4" xfId="3016"/>
    <cellStyle name="Note 3 2 2 3 8 3" xfId="12708"/>
    <cellStyle name="Note 3 2 2 3 8 3 2" xfId="27030"/>
    <cellStyle name="Note 3 2 2 3 8 4" xfId="18353"/>
    <cellStyle name="Note 3 2 2 3 9" xfId="5107"/>
    <cellStyle name="Note 3 2 2 3 9 2" xfId="11654"/>
    <cellStyle name="Note 3 2 2 3 9 2 2" xfId="25976"/>
    <cellStyle name="Note 3 2 2 3 9 3" xfId="4547"/>
    <cellStyle name="Note 3 2 2 4" xfId="2082"/>
    <cellStyle name="Note 3 2 2 4 2" xfId="2083"/>
    <cellStyle name="Note 3 2 2 4 2 2" xfId="2084"/>
    <cellStyle name="Note 3 2 2 4 2 2 2" xfId="6108"/>
    <cellStyle name="Note 3 2 2 4 2 2 2 2" xfId="12676"/>
    <cellStyle name="Note 3 2 2 4 2 2 2 2 2" xfId="26998"/>
    <cellStyle name="Note 3 2 2 4 2 2 2 3" xfId="18321"/>
    <cellStyle name="Note 3 2 2 4 2 2 3" xfId="7905"/>
    <cellStyle name="Note 3 2 2 4 2 2 3 2" xfId="10519"/>
    <cellStyle name="Note 3 2 2 4 2 2 3 2 2" xfId="16781"/>
    <cellStyle name="Note 3 2 2 4 2 2 3 2 2 2" xfId="30197"/>
    <cellStyle name="Note 3 2 2 4 2 2 3 2 3" xfId="21526"/>
    <cellStyle name="Note 3 2 2 4 2 2 3 3" xfId="14509"/>
    <cellStyle name="Note 3 2 2 4 2 2 3 3 2" xfId="28831"/>
    <cellStyle name="Note 3 2 2 4 2 2 3 4" xfId="20154"/>
    <cellStyle name="Note 3 2 2 4 2 2 4" xfId="4234"/>
    <cellStyle name="Note 3 2 2 4 2 2 4 2" xfId="22844"/>
    <cellStyle name="Note 3 2 2 4 2 2 5" xfId="15141"/>
    <cellStyle name="Note 3 2 2 4 2 3" xfId="2085"/>
    <cellStyle name="Note 3 2 2 4 2 3 2" xfId="7624"/>
    <cellStyle name="Note 3 2 2 4 2 3 2 2" xfId="10238"/>
    <cellStyle name="Note 3 2 2 4 2 3 2 2 2" xfId="16500"/>
    <cellStyle name="Note 3 2 2 4 2 3 2 2 2 2" xfId="29916"/>
    <cellStyle name="Note 3 2 2 4 2 3 2 2 3" xfId="21245"/>
    <cellStyle name="Note 3 2 2 4 2 3 2 3" xfId="14228"/>
    <cellStyle name="Note 3 2 2 4 2 3 2 3 2" xfId="28550"/>
    <cellStyle name="Note 3 2 2 4 2 3 2 4" xfId="19873"/>
    <cellStyle name="Note 3 2 2 4 2 3 3" xfId="13225"/>
    <cellStyle name="Note 3 2 2 4 2 3 3 2" xfId="27547"/>
    <cellStyle name="Note 3 2 2 4 2 3 4" xfId="18870"/>
    <cellStyle name="Note 3 2 2 4 2 4" xfId="5666"/>
    <cellStyle name="Note 3 2 2 4 2 4 2" xfId="12219"/>
    <cellStyle name="Note 3 2 2 4 2 4 2 2" xfId="26541"/>
    <cellStyle name="Note 3 2 2 4 2 4 3" xfId="17864"/>
    <cellStyle name="Note 3 2 2 4 2 5" xfId="6812"/>
    <cellStyle name="Note 3 2 2 4 2 5 2" xfId="23750"/>
    <cellStyle name="Note 3 2 2 4 2 6" xfId="17058"/>
    <cellStyle name="Note 3 2 2 4 3" xfId="2086"/>
    <cellStyle name="Note 3 2 2 4 3 2" xfId="2087"/>
    <cellStyle name="Note 3 2 2 4 3 2 2" xfId="6453"/>
    <cellStyle name="Note 3 2 2 4 3 2 2 2" xfId="13036"/>
    <cellStyle name="Note 3 2 2 4 3 2 2 2 2" xfId="27358"/>
    <cellStyle name="Note 3 2 2 4 3 2 2 3" xfId="18681"/>
    <cellStyle name="Note 3 2 2 4 3 2 3" xfId="7949"/>
    <cellStyle name="Note 3 2 2 4 3 2 3 2" xfId="10563"/>
    <cellStyle name="Note 3 2 2 4 3 2 3 2 2" xfId="16825"/>
    <cellStyle name="Note 3 2 2 4 3 2 3 2 2 2" xfId="30241"/>
    <cellStyle name="Note 3 2 2 4 3 2 3 2 3" xfId="21570"/>
    <cellStyle name="Note 3 2 2 4 3 2 3 3" xfId="14553"/>
    <cellStyle name="Note 3 2 2 4 3 2 3 3 2" xfId="28875"/>
    <cellStyle name="Note 3 2 2 4 3 2 3 4" xfId="20198"/>
    <cellStyle name="Note 3 2 2 4 3 2 4" xfId="3185"/>
    <cellStyle name="Note 3 2 2 4 3 2 4 2" xfId="22430"/>
    <cellStyle name="Note 3 2 2 4 3 2 5" xfId="14899"/>
    <cellStyle name="Note 3 2 2 4 3 3" xfId="2088"/>
    <cellStyle name="Note 3 2 2 4 3 3 2" xfId="7385"/>
    <cellStyle name="Note 3 2 2 4 3 3 2 2" xfId="9999"/>
    <cellStyle name="Note 3 2 2 4 3 3 2 2 2" xfId="16261"/>
    <cellStyle name="Note 3 2 2 4 3 3 2 2 2 2" xfId="29677"/>
    <cellStyle name="Note 3 2 2 4 3 3 2 2 3" xfId="21006"/>
    <cellStyle name="Note 3 2 2 4 3 3 2 3" xfId="13989"/>
    <cellStyle name="Note 3 2 2 4 3 3 2 3 2" xfId="28311"/>
    <cellStyle name="Note 3 2 2 4 3 3 2 4" xfId="19634"/>
    <cellStyle name="Note 3 2 2 4 3 3 3" xfId="12655"/>
    <cellStyle name="Note 3 2 2 4 3 3 3 2" xfId="26977"/>
    <cellStyle name="Note 3 2 2 4 3 3 4" xfId="18300"/>
    <cellStyle name="Note 3 2 2 4 3 4" xfId="3733"/>
    <cellStyle name="Note 3 2 2 4 3 4 2" xfId="4042"/>
    <cellStyle name="Note 3 2 2 4 3 4 2 2" xfId="22719"/>
    <cellStyle name="Note 3 2 2 4 3 4 3" xfId="17273"/>
    <cellStyle name="Note 3 2 2 4 3 5" xfId="4864"/>
    <cellStyle name="Note 3 2 2 4 3 5 2" xfId="23229"/>
    <cellStyle name="Note 3 2 2 4 3 6" xfId="17106"/>
    <cellStyle name="Note 3 2 2 4 4" xfId="2089"/>
    <cellStyle name="Note 3 2 2 4 4 2" xfId="7019"/>
    <cellStyle name="Note 3 2 2 4 4 2 2" xfId="13623"/>
    <cellStyle name="Note 3 2 2 4 4 2 2 2" xfId="27945"/>
    <cellStyle name="Note 3 2 2 4 4 2 3" xfId="19268"/>
    <cellStyle name="Note 3 2 2 4 4 3" xfId="7293"/>
    <cellStyle name="Note 3 2 2 4 4 3 2" xfId="9907"/>
    <cellStyle name="Note 3 2 2 4 4 3 2 2" xfId="16169"/>
    <cellStyle name="Note 3 2 2 4 4 3 2 2 2" xfId="29585"/>
    <cellStyle name="Note 3 2 2 4 4 3 2 3" xfId="20914"/>
    <cellStyle name="Note 3 2 2 4 4 3 3" xfId="13897"/>
    <cellStyle name="Note 3 2 2 4 4 3 3 2" xfId="28219"/>
    <cellStyle name="Note 3 2 2 4 4 3 4" xfId="19542"/>
    <cellStyle name="Note 3 2 2 4 4 4" xfId="11549"/>
    <cellStyle name="Note 3 2 2 4 4 4 2" xfId="25871"/>
    <cellStyle name="Note 3 2 2 4 4 5" xfId="14991"/>
    <cellStyle name="Note 3 2 2 4 5" xfId="2090"/>
    <cellStyle name="Note 3 2 2 4 5 2" xfId="4260"/>
    <cellStyle name="Note 3 2 2 4 5 2 2" xfId="9439"/>
    <cellStyle name="Note 3 2 2 4 5 2 2 2" xfId="15701"/>
    <cellStyle name="Note 3 2 2 4 5 2 2 2 2" xfId="29117"/>
    <cellStyle name="Note 3 2 2 4 5 2 2 3" xfId="20446"/>
    <cellStyle name="Note 3 2 2 4 5 2 3" xfId="4318"/>
    <cellStyle name="Note 3 2 2 4 5 2 3 2" xfId="22887"/>
    <cellStyle name="Note 3 2 2 4 5 2 4" xfId="17078"/>
    <cellStyle name="Note 3 2 2 4 5 3" xfId="12559"/>
    <cellStyle name="Note 3 2 2 4 5 3 2" xfId="26881"/>
    <cellStyle name="Note 3 2 2 4 5 4" xfId="18204"/>
    <cellStyle name="Note 3 2 2 4 6" xfId="5074"/>
    <cellStyle name="Note 3 2 2 4 6 2" xfId="11621"/>
    <cellStyle name="Note 3 2 2 4 6 2 2" xfId="25943"/>
    <cellStyle name="Note 3 2 2 4 6 3" xfId="14966"/>
    <cellStyle name="Note 3 2 2 4 7" xfId="4131"/>
    <cellStyle name="Note 3 2 2 4 7 2" xfId="22773"/>
    <cellStyle name="Note 3 2 2 4 8" xfId="6256"/>
    <cellStyle name="Note 3 2 2 5" xfId="2091"/>
    <cellStyle name="Note 3 2 2 5 2" xfId="2092"/>
    <cellStyle name="Note 3 2 2 5 2 2" xfId="2093"/>
    <cellStyle name="Note 3 2 2 5 2 2 2" xfId="6162"/>
    <cellStyle name="Note 3 2 2 5 2 2 2 2" xfId="12733"/>
    <cellStyle name="Note 3 2 2 5 2 2 2 2 2" xfId="27055"/>
    <cellStyle name="Note 3 2 2 5 2 2 2 3" xfId="18378"/>
    <cellStyle name="Note 3 2 2 5 2 2 3" xfId="7480"/>
    <cellStyle name="Note 3 2 2 5 2 2 3 2" xfId="10094"/>
    <cellStyle name="Note 3 2 2 5 2 2 3 2 2" xfId="16356"/>
    <cellStyle name="Note 3 2 2 5 2 2 3 2 2 2" xfId="29772"/>
    <cellStyle name="Note 3 2 2 5 2 2 3 2 3" xfId="21101"/>
    <cellStyle name="Note 3 2 2 5 2 2 3 3" xfId="14084"/>
    <cellStyle name="Note 3 2 2 5 2 2 3 3 2" xfId="28406"/>
    <cellStyle name="Note 3 2 2 5 2 2 3 4" xfId="19729"/>
    <cellStyle name="Note 3 2 2 5 2 2 4" xfId="6649"/>
    <cellStyle name="Note 3 2 2 5 2 2 4 2" xfId="23627"/>
    <cellStyle name="Note 3 2 2 5 2 2 5" xfId="14793"/>
    <cellStyle name="Note 3 2 2 5 2 3" xfId="2094"/>
    <cellStyle name="Note 3 2 2 5 2 3 2" xfId="3918"/>
    <cellStyle name="Note 3 2 2 5 2 3 2 2" xfId="9396"/>
    <cellStyle name="Note 3 2 2 5 2 3 2 2 2" xfId="15658"/>
    <cellStyle name="Note 3 2 2 5 2 3 2 2 2 2" xfId="29074"/>
    <cellStyle name="Note 3 2 2 5 2 3 2 2 3" xfId="20403"/>
    <cellStyle name="Note 3 2 2 5 2 3 2 3" xfId="5951"/>
    <cellStyle name="Note 3 2 2 5 2 3 2 3 2" xfId="23381"/>
    <cellStyle name="Note 3 2 2 5 2 3 2 4" xfId="17233"/>
    <cellStyle name="Note 3 2 2 5 2 3 3" xfId="13055"/>
    <cellStyle name="Note 3 2 2 5 2 3 3 2" xfId="27377"/>
    <cellStyle name="Note 3 2 2 5 2 3 4" xfId="18700"/>
    <cellStyle name="Note 3 2 2 5 2 4" xfId="5384"/>
    <cellStyle name="Note 3 2 2 5 2 4 2" xfId="11934"/>
    <cellStyle name="Note 3 2 2 5 2 4 2 2" xfId="26256"/>
    <cellStyle name="Note 3 2 2 5 2 4 3" xfId="17579"/>
    <cellStyle name="Note 3 2 2 5 2 5" xfId="4429"/>
    <cellStyle name="Note 3 2 2 5 2 5 2" xfId="22946"/>
    <cellStyle name="Note 3 2 2 5 2 6" xfId="17347"/>
    <cellStyle name="Note 3 2 2 5 3" xfId="2095"/>
    <cellStyle name="Note 3 2 2 5 3 2" xfId="2096"/>
    <cellStyle name="Note 3 2 2 5 3 2 2" xfId="5957"/>
    <cellStyle name="Note 3 2 2 5 3 2 2 2" xfId="12515"/>
    <cellStyle name="Note 3 2 2 5 3 2 2 2 2" xfId="26837"/>
    <cellStyle name="Note 3 2 2 5 3 2 2 3" xfId="18160"/>
    <cellStyle name="Note 3 2 2 5 3 2 3" xfId="4838"/>
    <cellStyle name="Note 3 2 2 5 3 2 3 2" xfId="9498"/>
    <cellStyle name="Note 3 2 2 5 3 2 3 2 2" xfId="15760"/>
    <cellStyle name="Note 3 2 2 5 3 2 3 2 2 2" xfId="29176"/>
    <cellStyle name="Note 3 2 2 5 3 2 3 2 3" xfId="20505"/>
    <cellStyle name="Note 3 2 2 5 3 2 3 3" xfId="11371"/>
    <cellStyle name="Note 3 2 2 5 3 2 3 3 2" xfId="25693"/>
    <cellStyle name="Note 3 2 2 5 3 2 3 4" xfId="15468"/>
    <cellStyle name="Note 3 2 2 5 3 2 4" xfId="4578"/>
    <cellStyle name="Note 3 2 2 5 3 2 4 2" xfId="23044"/>
    <cellStyle name="Note 3 2 2 5 3 2 5" xfId="15435"/>
    <cellStyle name="Note 3 2 2 5 3 3" xfId="2097"/>
    <cellStyle name="Note 3 2 2 5 3 3 2" xfId="7742"/>
    <cellStyle name="Note 3 2 2 5 3 3 2 2" xfId="10356"/>
    <cellStyle name="Note 3 2 2 5 3 3 2 2 2" xfId="16618"/>
    <cellStyle name="Note 3 2 2 5 3 3 2 2 2 2" xfId="30034"/>
    <cellStyle name="Note 3 2 2 5 3 3 2 2 3" xfId="21363"/>
    <cellStyle name="Note 3 2 2 5 3 3 2 3" xfId="14346"/>
    <cellStyle name="Note 3 2 2 5 3 3 2 3 2" xfId="28668"/>
    <cellStyle name="Note 3 2 2 5 3 3 2 4" xfId="19991"/>
    <cellStyle name="Note 3 2 2 5 3 3 3" xfId="13187"/>
    <cellStyle name="Note 3 2 2 5 3 3 3 2" xfId="27509"/>
    <cellStyle name="Note 3 2 2 5 3 3 4" xfId="18832"/>
    <cellStyle name="Note 3 2 2 5 3 4" xfId="5623"/>
    <cellStyle name="Note 3 2 2 5 3 4 2" xfId="12176"/>
    <cellStyle name="Note 3 2 2 5 3 4 2 2" xfId="26498"/>
    <cellStyle name="Note 3 2 2 5 3 4 3" xfId="17821"/>
    <cellStyle name="Note 3 2 2 5 3 5" xfId="6631"/>
    <cellStyle name="Note 3 2 2 5 3 5 2" xfId="23616"/>
    <cellStyle name="Note 3 2 2 5 3 6" xfId="6824"/>
    <cellStyle name="Note 3 2 2 5 4" xfId="2098"/>
    <cellStyle name="Note 3 2 2 5 4 2" xfId="6956"/>
    <cellStyle name="Note 3 2 2 5 4 2 2" xfId="13560"/>
    <cellStyle name="Note 3 2 2 5 4 2 2 2" xfId="27882"/>
    <cellStyle name="Note 3 2 2 5 4 2 3" xfId="19205"/>
    <cellStyle name="Note 3 2 2 5 4 3" xfId="7117"/>
    <cellStyle name="Note 3 2 2 5 4 3 2" xfId="9731"/>
    <cellStyle name="Note 3 2 2 5 4 3 2 2" xfId="15993"/>
    <cellStyle name="Note 3 2 2 5 4 3 2 2 2" xfId="29409"/>
    <cellStyle name="Note 3 2 2 5 4 3 2 3" xfId="20738"/>
    <cellStyle name="Note 3 2 2 5 4 3 3" xfId="13721"/>
    <cellStyle name="Note 3 2 2 5 4 3 3 2" xfId="28043"/>
    <cellStyle name="Note 3 2 2 5 4 3 4" xfId="19366"/>
    <cellStyle name="Note 3 2 2 5 4 4" xfId="11455"/>
    <cellStyle name="Note 3 2 2 5 4 4 2" xfId="25777"/>
    <cellStyle name="Note 3 2 2 5 4 5" xfId="6320"/>
    <cellStyle name="Note 3 2 2 5 5" xfId="2099"/>
    <cellStyle name="Note 3 2 2 5 5 2" xfId="4030"/>
    <cellStyle name="Note 3 2 2 5 5 2 2" xfId="9416"/>
    <cellStyle name="Note 3 2 2 5 5 2 2 2" xfId="15678"/>
    <cellStyle name="Note 3 2 2 5 5 2 2 2 2" xfId="29094"/>
    <cellStyle name="Note 3 2 2 5 5 2 2 3" xfId="20423"/>
    <cellStyle name="Note 3 2 2 5 5 2 3" xfId="6450"/>
    <cellStyle name="Note 3 2 2 5 5 2 3 2" xfId="23549"/>
    <cellStyle name="Note 3 2 2 5 5 2 4" xfId="6813"/>
    <cellStyle name="Note 3 2 2 5 5 3" xfId="11657"/>
    <cellStyle name="Note 3 2 2 5 5 3 2" xfId="25979"/>
    <cellStyle name="Note 3 2 2 5 5 4" xfId="4502"/>
    <cellStyle name="Note 3 2 2 5 6" xfId="5081"/>
    <cellStyle name="Note 3 2 2 5 6 2" xfId="11628"/>
    <cellStyle name="Note 3 2 2 5 6 2 2" xfId="25950"/>
    <cellStyle name="Note 3 2 2 5 6 3" xfId="15080"/>
    <cellStyle name="Note 3 2 2 5 7" xfId="6240"/>
    <cellStyle name="Note 3 2 2 5 7 2" xfId="23466"/>
    <cellStyle name="Note 3 2 2 5 8" xfId="17166"/>
    <cellStyle name="Note 3 2 2 6" xfId="2100"/>
    <cellStyle name="Note 3 2 2 6 2" xfId="2101"/>
    <cellStyle name="Note 3 2 2 6 2 2" xfId="2102"/>
    <cellStyle name="Note 3 2 2 6 2 2 2" xfId="6224"/>
    <cellStyle name="Note 3 2 2 6 2 2 2 2" xfId="12799"/>
    <cellStyle name="Note 3 2 2 6 2 2 2 2 2" xfId="27121"/>
    <cellStyle name="Note 3 2 2 6 2 2 2 3" xfId="18444"/>
    <cellStyle name="Note 3 2 2 6 2 2 3" xfId="3926"/>
    <cellStyle name="Note 3 2 2 6 2 2 3 2" xfId="9398"/>
    <cellStyle name="Note 3 2 2 6 2 2 3 2 2" xfId="15660"/>
    <cellStyle name="Note 3 2 2 6 2 2 3 2 2 2" xfId="29076"/>
    <cellStyle name="Note 3 2 2 6 2 2 3 2 3" xfId="20405"/>
    <cellStyle name="Note 3 2 2 6 2 2 3 3" xfId="3701"/>
    <cellStyle name="Note 3 2 2 6 2 2 3 3 2" xfId="22536"/>
    <cellStyle name="Note 3 2 2 6 2 2 3 4" xfId="15079"/>
    <cellStyle name="Note 3 2 2 6 2 2 4" xfId="6238"/>
    <cellStyle name="Note 3 2 2 6 2 2 4 2" xfId="23464"/>
    <cellStyle name="Note 3 2 2 6 2 2 5" xfId="3903"/>
    <cellStyle name="Note 3 2 2 6 2 3" xfId="2103"/>
    <cellStyle name="Note 3 2 2 6 2 3 2" xfId="7475"/>
    <cellStyle name="Note 3 2 2 6 2 3 2 2" xfId="10089"/>
    <cellStyle name="Note 3 2 2 6 2 3 2 2 2" xfId="16351"/>
    <cellStyle name="Note 3 2 2 6 2 3 2 2 2 2" xfId="29767"/>
    <cellStyle name="Note 3 2 2 6 2 3 2 2 3" xfId="21096"/>
    <cellStyle name="Note 3 2 2 6 2 3 2 3" xfId="14079"/>
    <cellStyle name="Note 3 2 2 6 2 3 2 3 2" xfId="28401"/>
    <cellStyle name="Note 3 2 2 6 2 3 2 4" xfId="19724"/>
    <cellStyle name="Note 3 2 2 6 2 3 3" xfId="13290"/>
    <cellStyle name="Note 3 2 2 6 2 3 3 2" xfId="27612"/>
    <cellStyle name="Note 3 2 2 6 2 3 4" xfId="18935"/>
    <cellStyle name="Note 3 2 2 6 2 4" xfId="5740"/>
    <cellStyle name="Note 3 2 2 6 2 4 2" xfId="12293"/>
    <cellStyle name="Note 3 2 2 6 2 4 2 2" xfId="26615"/>
    <cellStyle name="Note 3 2 2 6 2 4 3" xfId="17938"/>
    <cellStyle name="Note 3 2 2 6 2 5" xfId="3189"/>
    <cellStyle name="Note 3 2 2 6 2 5 2" xfId="22432"/>
    <cellStyle name="Note 3 2 2 6 2 6" xfId="6814"/>
    <cellStyle name="Note 3 2 2 6 3" xfId="2104"/>
    <cellStyle name="Note 3 2 2 6 3 2" xfId="2105"/>
    <cellStyle name="Note 3 2 2 6 3 2 2" xfId="6549"/>
    <cellStyle name="Note 3 2 2 6 3 2 2 2" xfId="13137"/>
    <cellStyle name="Note 3 2 2 6 3 2 2 2 2" xfId="27459"/>
    <cellStyle name="Note 3 2 2 6 3 2 2 3" xfId="18782"/>
    <cellStyle name="Note 3 2 2 6 3 2 3" xfId="3916"/>
    <cellStyle name="Note 3 2 2 6 3 2 3 2" xfId="9395"/>
    <cellStyle name="Note 3 2 2 6 3 2 3 2 2" xfId="15657"/>
    <cellStyle name="Note 3 2 2 6 3 2 3 2 2 2" xfId="29073"/>
    <cellStyle name="Note 3 2 2 6 3 2 3 2 3" xfId="20402"/>
    <cellStyle name="Note 3 2 2 6 3 2 3 3" xfId="4059"/>
    <cellStyle name="Note 3 2 2 6 3 2 3 3 2" xfId="22734"/>
    <cellStyle name="Note 3 2 2 6 3 2 3 4" xfId="3957"/>
    <cellStyle name="Note 3 2 2 6 3 2 4" xfId="3836"/>
    <cellStyle name="Note 3 2 2 6 3 2 4 2" xfId="22605"/>
    <cellStyle name="Note 3 2 2 6 3 2 5" xfId="4464"/>
    <cellStyle name="Note 3 2 2 6 3 3" xfId="2106"/>
    <cellStyle name="Note 3 2 2 6 3 3 2" xfId="3288"/>
    <cellStyle name="Note 3 2 2 6 3 3 2 2" xfId="9055"/>
    <cellStyle name="Note 3 2 2 6 3 3 2 2 2" xfId="15394"/>
    <cellStyle name="Note 3 2 2 6 3 3 2 2 2 2" xfId="29013"/>
    <cellStyle name="Note 3 2 2 6 3 3 2 2 3" xfId="20340"/>
    <cellStyle name="Note 3 2 2 6 3 3 2 3" xfId="6741"/>
    <cellStyle name="Note 3 2 2 6 3 3 2 3 2" xfId="23690"/>
    <cellStyle name="Note 3 2 2 6 3 3 2 4" xfId="17317"/>
    <cellStyle name="Note 3 2 2 6 3 3 3" xfId="13257"/>
    <cellStyle name="Note 3 2 2 6 3 3 3 2" xfId="27579"/>
    <cellStyle name="Note 3 2 2 6 3 3 4" xfId="18902"/>
    <cellStyle name="Note 3 2 2 6 3 4" xfId="5702"/>
    <cellStyle name="Note 3 2 2 6 3 4 2" xfId="12255"/>
    <cellStyle name="Note 3 2 2 6 3 4 2 2" xfId="26577"/>
    <cellStyle name="Note 3 2 2 6 3 4 3" xfId="17900"/>
    <cellStyle name="Note 3 2 2 6 3 5" xfId="6730"/>
    <cellStyle name="Note 3 2 2 6 3 5 2" xfId="23683"/>
    <cellStyle name="Note 3 2 2 6 3 6" xfId="15061"/>
    <cellStyle name="Note 3 2 2 6 4" xfId="2107"/>
    <cellStyle name="Note 3 2 2 6 4 2" xfId="6235"/>
    <cellStyle name="Note 3 2 2 6 4 2 2" xfId="12810"/>
    <cellStyle name="Note 3 2 2 6 4 2 2 2" xfId="27132"/>
    <cellStyle name="Note 3 2 2 6 4 2 3" xfId="18455"/>
    <cellStyle name="Note 3 2 2 6 4 3" xfId="7487"/>
    <cellStyle name="Note 3 2 2 6 4 3 2" xfId="10101"/>
    <cellStyle name="Note 3 2 2 6 4 3 2 2" xfId="16363"/>
    <cellStyle name="Note 3 2 2 6 4 3 2 2 2" xfId="29779"/>
    <cellStyle name="Note 3 2 2 6 4 3 2 3" xfId="21108"/>
    <cellStyle name="Note 3 2 2 6 4 3 3" xfId="14091"/>
    <cellStyle name="Note 3 2 2 6 4 3 3 2" xfId="28413"/>
    <cellStyle name="Note 3 2 2 6 4 3 4" xfId="19736"/>
    <cellStyle name="Note 3 2 2 6 4 4" xfId="4142"/>
    <cellStyle name="Note 3 2 2 6 4 4 2" xfId="22780"/>
    <cellStyle name="Note 3 2 2 6 4 5" xfId="14993"/>
    <cellStyle name="Note 3 2 2 6 5" xfId="2108"/>
    <cellStyle name="Note 3 2 2 6 5 2" xfId="7916"/>
    <cellStyle name="Note 3 2 2 6 5 2 2" xfId="10530"/>
    <cellStyle name="Note 3 2 2 6 5 2 2 2" xfId="16792"/>
    <cellStyle name="Note 3 2 2 6 5 2 2 2 2" xfId="30208"/>
    <cellStyle name="Note 3 2 2 6 5 2 2 3" xfId="21537"/>
    <cellStyle name="Note 3 2 2 6 5 2 3" xfId="14520"/>
    <cellStyle name="Note 3 2 2 6 5 2 3 2" xfId="28842"/>
    <cellStyle name="Note 3 2 2 6 5 2 4" xfId="20165"/>
    <cellStyle name="Note 3 2 2 6 5 3" xfId="12865"/>
    <cellStyle name="Note 3 2 2 6 5 3 2" xfId="27187"/>
    <cellStyle name="Note 3 2 2 6 5 4" xfId="18510"/>
    <cellStyle name="Note 3 2 2 6 6" xfId="5477"/>
    <cellStyle name="Note 3 2 2 6 6 2" xfId="12028"/>
    <cellStyle name="Note 3 2 2 6 6 2 2" xfId="26350"/>
    <cellStyle name="Note 3 2 2 6 6 3" xfId="17673"/>
    <cellStyle name="Note 3 2 2 6 7" xfId="3465"/>
    <cellStyle name="Note 3 2 2 6 7 2" xfId="22469"/>
    <cellStyle name="Note 3 2 2 6 8" xfId="14968"/>
    <cellStyle name="Note 3 2 2 7" xfId="2109"/>
    <cellStyle name="Note 3 2 2 7 2" xfId="2110"/>
    <cellStyle name="Note 3 2 2 7 2 2" xfId="2111"/>
    <cellStyle name="Note 3 2 2 7 2 2 2" xfId="6498"/>
    <cellStyle name="Note 3 2 2 7 2 2 2 2" xfId="13084"/>
    <cellStyle name="Note 3 2 2 7 2 2 2 2 2" xfId="27406"/>
    <cellStyle name="Note 3 2 2 7 2 2 2 3" xfId="18729"/>
    <cellStyle name="Note 3 2 2 7 2 2 3" xfId="7211"/>
    <cellStyle name="Note 3 2 2 7 2 2 3 2" xfId="9825"/>
    <cellStyle name="Note 3 2 2 7 2 2 3 2 2" xfId="16087"/>
    <cellStyle name="Note 3 2 2 7 2 2 3 2 2 2" xfId="29503"/>
    <cellStyle name="Note 3 2 2 7 2 2 3 2 3" xfId="20832"/>
    <cellStyle name="Note 3 2 2 7 2 2 3 3" xfId="13815"/>
    <cellStyle name="Note 3 2 2 7 2 2 3 3 2" xfId="28137"/>
    <cellStyle name="Note 3 2 2 7 2 2 3 4" xfId="19460"/>
    <cellStyle name="Note 3 2 2 7 2 2 4" xfId="6576"/>
    <cellStyle name="Note 3 2 2 7 2 2 4 2" xfId="23586"/>
    <cellStyle name="Note 3 2 2 7 2 2 5" xfId="14934"/>
    <cellStyle name="Note 3 2 2 7 2 3" xfId="2112"/>
    <cellStyle name="Note 3 2 2 7 2 3 2" xfId="7313"/>
    <cellStyle name="Note 3 2 2 7 2 3 2 2" xfId="9927"/>
    <cellStyle name="Note 3 2 2 7 2 3 2 2 2" xfId="16189"/>
    <cellStyle name="Note 3 2 2 7 2 3 2 2 2 2" xfId="29605"/>
    <cellStyle name="Note 3 2 2 7 2 3 2 2 3" xfId="20934"/>
    <cellStyle name="Note 3 2 2 7 2 3 2 3" xfId="13917"/>
    <cellStyle name="Note 3 2 2 7 2 3 2 3 2" xfId="28239"/>
    <cellStyle name="Note 3 2 2 7 2 3 2 4" xfId="19562"/>
    <cellStyle name="Note 3 2 2 7 2 3 3" xfId="12569"/>
    <cellStyle name="Note 3 2 2 7 2 3 3 2" xfId="26891"/>
    <cellStyle name="Note 3 2 2 7 2 3 4" xfId="18214"/>
    <cellStyle name="Note 3 2 2 7 2 4" xfId="5156"/>
    <cellStyle name="Note 3 2 2 7 2 4 2" xfId="11705"/>
    <cellStyle name="Note 3 2 2 7 2 4 2 2" xfId="26027"/>
    <cellStyle name="Note 3 2 2 7 2 4 3" xfId="3829"/>
    <cellStyle name="Note 3 2 2 7 2 5" xfId="6726"/>
    <cellStyle name="Note 3 2 2 7 2 5 2" xfId="23680"/>
    <cellStyle name="Note 3 2 2 7 2 6" xfId="6647"/>
    <cellStyle name="Note 3 2 2 7 3" xfId="2113"/>
    <cellStyle name="Note 3 2 2 7 3 2" xfId="5953"/>
    <cellStyle name="Note 3 2 2 7 3 2 2" xfId="12511"/>
    <cellStyle name="Note 3 2 2 7 3 2 2 2" xfId="26833"/>
    <cellStyle name="Note 3 2 2 7 3 2 3" xfId="18156"/>
    <cellStyle name="Note 3 2 2 7 3 3" xfId="7288"/>
    <cellStyle name="Note 3 2 2 7 3 3 2" xfId="9902"/>
    <cellStyle name="Note 3 2 2 7 3 3 2 2" xfId="16164"/>
    <cellStyle name="Note 3 2 2 7 3 3 2 2 2" xfId="29580"/>
    <cellStyle name="Note 3 2 2 7 3 3 2 3" xfId="20909"/>
    <cellStyle name="Note 3 2 2 7 3 3 3" xfId="13892"/>
    <cellStyle name="Note 3 2 2 7 3 3 3 2" xfId="28214"/>
    <cellStyle name="Note 3 2 2 7 3 3 4" xfId="19537"/>
    <cellStyle name="Note 3 2 2 7 3 4" xfId="4691"/>
    <cellStyle name="Note 3 2 2 7 3 4 2" xfId="23127"/>
    <cellStyle name="Note 3 2 2 7 3 5" xfId="14969"/>
    <cellStyle name="Note 3 2 2 7 4" xfId="2114"/>
    <cellStyle name="Note 3 2 2 7 4 2" xfId="5333"/>
    <cellStyle name="Note 3 2 2 7 4 2 2" xfId="9642"/>
    <cellStyle name="Note 3 2 2 7 4 2 2 2" xfId="15904"/>
    <cellStyle name="Note 3 2 2 7 4 2 2 2 2" xfId="29320"/>
    <cellStyle name="Note 3 2 2 7 4 2 2 3" xfId="20649"/>
    <cellStyle name="Note 3 2 2 7 4 2 3" xfId="11883"/>
    <cellStyle name="Note 3 2 2 7 4 2 3 2" xfId="26205"/>
    <cellStyle name="Note 3 2 2 7 4 2 4" xfId="17528"/>
    <cellStyle name="Note 3 2 2 7 4 3" xfId="12937"/>
    <cellStyle name="Note 3 2 2 7 4 3 2" xfId="27259"/>
    <cellStyle name="Note 3 2 2 7 4 4" xfId="18582"/>
    <cellStyle name="Note 3 2 2 7 5" xfId="5561"/>
    <cellStyle name="Note 3 2 2 7 5 2" xfId="12112"/>
    <cellStyle name="Note 3 2 2 7 5 2 2" xfId="26434"/>
    <cellStyle name="Note 3 2 2 7 5 3" xfId="17757"/>
    <cellStyle name="Note 3 2 2 7 6" xfId="3897"/>
    <cellStyle name="Note 3 2 2 7 6 2" xfId="22633"/>
    <cellStyle name="Note 3 2 2 7 7" xfId="17240"/>
    <cellStyle name="Note 3 2 2 8" xfId="2115"/>
    <cellStyle name="Note 3 2 2 8 2" xfId="2116"/>
    <cellStyle name="Note 3 2 2 8 2 2" xfId="6281"/>
    <cellStyle name="Note 3 2 2 8 2 2 2" xfId="12863"/>
    <cellStyle name="Note 3 2 2 8 2 2 2 2" xfId="27185"/>
    <cellStyle name="Note 3 2 2 8 2 2 3" xfId="18508"/>
    <cellStyle name="Note 3 2 2 8 2 3" xfId="3601"/>
    <cellStyle name="Note 3 2 2 8 2 3 2" xfId="9343"/>
    <cellStyle name="Note 3 2 2 8 2 3 2 2" xfId="15605"/>
    <cellStyle name="Note 3 2 2 8 2 3 2 2 2" xfId="29021"/>
    <cellStyle name="Note 3 2 2 8 2 3 2 3" xfId="20350"/>
    <cellStyle name="Note 3 2 2 8 2 3 3" xfId="6776"/>
    <cellStyle name="Note 3 2 2 8 2 3 3 2" xfId="23722"/>
    <cellStyle name="Note 3 2 2 8 2 3 4" xfId="15487"/>
    <cellStyle name="Note 3 2 2 8 2 4" xfId="5935"/>
    <cellStyle name="Note 3 2 2 8 2 4 2" xfId="23377"/>
    <cellStyle name="Note 3 2 2 8 2 5" xfId="3691"/>
    <cellStyle name="Note 3 2 2 8 3" xfId="2117"/>
    <cellStyle name="Note 3 2 2 8 3 2" xfId="7392"/>
    <cellStyle name="Note 3 2 2 8 3 2 2" xfId="10006"/>
    <cellStyle name="Note 3 2 2 8 3 2 2 2" xfId="16268"/>
    <cellStyle name="Note 3 2 2 8 3 2 2 2 2" xfId="29684"/>
    <cellStyle name="Note 3 2 2 8 3 2 2 3" xfId="21013"/>
    <cellStyle name="Note 3 2 2 8 3 2 3" xfId="13996"/>
    <cellStyle name="Note 3 2 2 8 3 2 3 2" xfId="28318"/>
    <cellStyle name="Note 3 2 2 8 3 2 4" xfId="19641"/>
    <cellStyle name="Note 3 2 2 8 3 3" xfId="3757"/>
    <cellStyle name="Note 3 2 2 8 3 3 2" xfId="22564"/>
    <cellStyle name="Note 3 2 2 8 3 4" xfId="14766"/>
    <cellStyle name="Note 3 2 2 8 4" xfId="5216"/>
    <cellStyle name="Note 3 2 2 8 4 2" xfId="11765"/>
    <cellStyle name="Note 3 2 2 8 4 2 2" xfId="26087"/>
    <cellStyle name="Note 3 2 2 8 4 3" xfId="17410"/>
    <cellStyle name="Note 3 2 2 8 5" xfId="6460"/>
    <cellStyle name="Note 3 2 2 8 5 2" xfId="23555"/>
    <cellStyle name="Note 3 2 2 8 6" xfId="14962"/>
    <cellStyle name="Note 3 2 2 9" xfId="2118"/>
    <cellStyle name="Note 3 2 2 9 2" xfId="5967"/>
    <cellStyle name="Note 3 2 2 9 2 2" xfId="12525"/>
    <cellStyle name="Note 3 2 2 9 2 2 2" xfId="26847"/>
    <cellStyle name="Note 3 2 2 9 2 3" xfId="18170"/>
    <cellStyle name="Note 3 2 2 9 3" xfId="7710"/>
    <cellStyle name="Note 3 2 2 9 3 2" xfId="10324"/>
    <cellStyle name="Note 3 2 2 9 3 2 2" xfId="16586"/>
    <cellStyle name="Note 3 2 2 9 3 2 2 2" xfId="30002"/>
    <cellStyle name="Note 3 2 2 9 3 2 3" xfId="21331"/>
    <cellStyle name="Note 3 2 2 9 3 3" xfId="14314"/>
    <cellStyle name="Note 3 2 2 9 3 3 2" xfId="28636"/>
    <cellStyle name="Note 3 2 2 9 3 4" xfId="19959"/>
    <cellStyle name="Note 3 2 2 9 4" xfId="4892"/>
    <cellStyle name="Note 3 2 2 9 4 2" xfId="23250"/>
    <cellStyle name="Note 3 2 2 9 5" xfId="15033"/>
    <cellStyle name="Note 3 2 3" xfId="2119"/>
    <cellStyle name="Note 3 2 3 2" xfId="6842"/>
    <cellStyle name="Note 3 2 3 2 2" xfId="13446"/>
    <cellStyle name="Note 3 2 3 2 2 2" xfId="27768"/>
    <cellStyle name="Note 3 2 3 2 3" xfId="19091"/>
    <cellStyle name="Note 3 2 3 3" xfId="5293"/>
    <cellStyle name="Note 3 2 3 3 2" xfId="9602"/>
    <cellStyle name="Note 3 2 3 3 2 2" xfId="15864"/>
    <cellStyle name="Note 3 2 3 3 2 2 2" xfId="29280"/>
    <cellStyle name="Note 3 2 3 3 2 3" xfId="20609"/>
    <cellStyle name="Note 3 2 3 3 3" xfId="11843"/>
    <cellStyle name="Note 3 2 3 3 3 2" xfId="26165"/>
    <cellStyle name="Note 3 2 3 3 4" xfId="17488"/>
    <cellStyle name="Note 3 2 3 4" xfId="8699"/>
    <cellStyle name="Note 3 2 3 4 2" xfId="24386"/>
    <cellStyle name="Note 3 2 3 5" xfId="3674"/>
    <cellStyle name="Note 3 2 4" xfId="4401"/>
    <cellStyle name="Note 3 2 4 2" xfId="6711"/>
    <cellStyle name="Note 3 2 4 2 2" xfId="23666"/>
    <cellStyle name="Note 3 2 4 3" xfId="15328"/>
    <cellStyle name="Note 3 2 5" xfId="4140"/>
    <cellStyle name="Note 3 2 5 2" xfId="22778"/>
    <cellStyle name="Note 3 2 6" xfId="15318"/>
    <cellStyle name="Note 3 2 7" xfId="21694"/>
    <cellStyle name="Note 3 2 8" xfId="20325"/>
    <cellStyle name="Note 3 3" xfId="2120"/>
    <cellStyle name="Note 3 3 10" xfId="2121"/>
    <cellStyle name="Note 3 3 10 2" xfId="7224"/>
    <cellStyle name="Note 3 3 10 2 2" xfId="9838"/>
    <cellStyle name="Note 3 3 10 2 2 2" xfId="16100"/>
    <cellStyle name="Note 3 3 10 2 2 2 2" xfId="29516"/>
    <cellStyle name="Note 3 3 10 2 2 3" xfId="20845"/>
    <cellStyle name="Note 3 3 10 2 3" xfId="13828"/>
    <cellStyle name="Note 3 3 10 2 3 2" xfId="28150"/>
    <cellStyle name="Note 3 3 10 2 4" xfId="19473"/>
    <cellStyle name="Note 3 3 10 3" xfId="11755"/>
    <cellStyle name="Note 3 3 10 3 2" xfId="26077"/>
    <cellStyle name="Note 3 3 10 4" xfId="17400"/>
    <cellStyle name="Note 3 3 11" xfId="4975"/>
    <cellStyle name="Note 3 3 11 2" xfId="11518"/>
    <cellStyle name="Note 3 3 11 2 2" xfId="25840"/>
    <cellStyle name="Note 3 3 11 3" xfId="16978"/>
    <cellStyle name="Note 3 3 12" xfId="4425"/>
    <cellStyle name="Note 3 3 12 2" xfId="22943"/>
    <cellStyle name="Note 3 3 13" xfId="15267"/>
    <cellStyle name="Note 3 3 2" xfId="2122"/>
    <cellStyle name="Note 3 3 2 10" xfId="5214"/>
    <cellStyle name="Note 3 3 2 10 2" xfId="11763"/>
    <cellStyle name="Note 3 3 2 10 2 2" xfId="26085"/>
    <cellStyle name="Note 3 3 2 10 3" xfId="17408"/>
    <cellStyle name="Note 3 3 2 11" xfId="4759"/>
    <cellStyle name="Note 3 3 2 11 2" xfId="23174"/>
    <cellStyle name="Note 3 3 2 12" xfId="3629"/>
    <cellStyle name="Note 3 3 2 2" xfId="2123"/>
    <cellStyle name="Note 3 3 2 2 10" xfId="3800"/>
    <cellStyle name="Note 3 3 2 2 10 2" xfId="22588"/>
    <cellStyle name="Note 3 3 2 2 11" xfId="15084"/>
    <cellStyle name="Note 3 3 2 2 2" xfId="2124"/>
    <cellStyle name="Note 3 3 2 2 2 2" xfId="2125"/>
    <cellStyle name="Note 3 3 2 2 2 2 2" xfId="2126"/>
    <cellStyle name="Note 3 3 2 2 2 2 2 2" xfId="6871"/>
    <cellStyle name="Note 3 3 2 2 2 2 2 2 2" xfId="13475"/>
    <cellStyle name="Note 3 3 2 2 2 2 2 2 2 2" xfId="27797"/>
    <cellStyle name="Note 3 3 2 2 2 2 2 2 3" xfId="19120"/>
    <cellStyle name="Note 3 3 2 2 2 2 2 3" xfId="7901"/>
    <cellStyle name="Note 3 3 2 2 2 2 2 3 2" xfId="10515"/>
    <cellStyle name="Note 3 3 2 2 2 2 2 3 2 2" xfId="16777"/>
    <cellStyle name="Note 3 3 2 2 2 2 2 3 2 2 2" xfId="30193"/>
    <cellStyle name="Note 3 3 2 2 2 2 2 3 2 3" xfId="21522"/>
    <cellStyle name="Note 3 3 2 2 2 2 2 3 3" xfId="14505"/>
    <cellStyle name="Note 3 3 2 2 2 2 2 3 3 2" xfId="28827"/>
    <cellStyle name="Note 3 3 2 2 2 2 2 3 4" xfId="20150"/>
    <cellStyle name="Note 3 3 2 2 2 2 2 4" xfId="11336"/>
    <cellStyle name="Note 3 3 2 2 2 2 2 4 2" xfId="25658"/>
    <cellStyle name="Note 3 3 2 2 2 2 2 5" xfId="17368"/>
    <cellStyle name="Note 3 3 2 2 2 2 3" xfId="2127"/>
    <cellStyle name="Note 3 3 2 2 2 2 3 2" xfId="5282"/>
    <cellStyle name="Note 3 3 2 2 2 2 3 2 2" xfId="9591"/>
    <cellStyle name="Note 3 3 2 2 2 2 3 2 2 2" xfId="15853"/>
    <cellStyle name="Note 3 3 2 2 2 2 3 2 2 2 2" xfId="29269"/>
    <cellStyle name="Note 3 3 2 2 2 2 3 2 2 3" xfId="20598"/>
    <cellStyle name="Note 3 3 2 2 2 2 3 2 3" xfId="11832"/>
    <cellStyle name="Note 3 3 2 2 2 2 3 2 3 2" xfId="26154"/>
    <cellStyle name="Note 3 3 2 2 2 2 3 2 4" xfId="17477"/>
    <cellStyle name="Note 3 3 2 2 2 2 3 3" xfId="13229"/>
    <cellStyle name="Note 3 3 2 2 2 2 3 3 2" xfId="27551"/>
    <cellStyle name="Note 3 3 2 2 2 2 3 4" xfId="18874"/>
    <cellStyle name="Note 3 3 2 2 2 2 4" xfId="5670"/>
    <cellStyle name="Note 3 3 2 2 2 2 4 2" xfId="12223"/>
    <cellStyle name="Note 3 3 2 2 2 2 4 2 2" xfId="26545"/>
    <cellStyle name="Note 3 3 2 2 2 2 4 3" xfId="17868"/>
    <cellStyle name="Note 3 3 2 2 2 2 5" xfId="3828"/>
    <cellStyle name="Note 3 3 2 2 2 2 5 2" xfId="22601"/>
    <cellStyle name="Note 3 3 2 2 2 2 6" xfId="14992"/>
    <cellStyle name="Note 3 3 2 2 2 3" xfId="2128"/>
    <cellStyle name="Note 3 3 2 2 2 3 2" xfId="2129"/>
    <cellStyle name="Note 3 3 2 2 2 3 2 2" xfId="6267"/>
    <cellStyle name="Note 3 3 2 2 2 3 2 2 2" xfId="12846"/>
    <cellStyle name="Note 3 3 2 2 2 3 2 2 2 2" xfId="27168"/>
    <cellStyle name="Note 3 3 2 2 2 3 2 2 3" xfId="18491"/>
    <cellStyle name="Note 3 3 2 2 2 3 2 3" xfId="8000"/>
    <cellStyle name="Note 3 3 2 2 2 3 2 3 2" xfId="10614"/>
    <cellStyle name="Note 3 3 2 2 2 3 2 3 2 2" xfId="16876"/>
    <cellStyle name="Note 3 3 2 2 2 3 2 3 2 2 2" xfId="30292"/>
    <cellStyle name="Note 3 3 2 2 2 3 2 3 2 3" xfId="21621"/>
    <cellStyle name="Note 3 3 2 2 2 3 2 3 3" xfId="14604"/>
    <cellStyle name="Note 3 3 2 2 2 3 2 3 3 2" xfId="28926"/>
    <cellStyle name="Note 3 3 2 2 2 3 2 3 4" xfId="20249"/>
    <cellStyle name="Note 3 3 2 2 2 3 2 4" xfId="4032"/>
    <cellStyle name="Note 3 3 2 2 2 3 2 4 2" xfId="22710"/>
    <cellStyle name="Note 3 3 2 2 2 3 2 5" xfId="14986"/>
    <cellStyle name="Note 3 3 2 2 2 3 3" xfId="2130"/>
    <cellStyle name="Note 3 3 2 2 2 3 3 2" xfId="7456"/>
    <cellStyle name="Note 3 3 2 2 2 3 3 2 2" xfId="10070"/>
    <cellStyle name="Note 3 3 2 2 2 3 3 2 2 2" xfId="16332"/>
    <cellStyle name="Note 3 3 2 2 2 3 3 2 2 2 2" xfId="29748"/>
    <cellStyle name="Note 3 3 2 2 2 3 3 2 2 3" xfId="21077"/>
    <cellStyle name="Note 3 3 2 2 2 3 3 2 3" xfId="14060"/>
    <cellStyle name="Note 3 3 2 2 2 3 3 2 3 2" xfId="28382"/>
    <cellStyle name="Note 3 3 2 2 2 3 3 2 4" xfId="19705"/>
    <cellStyle name="Note 3 3 2 2 2 3 3 3" xfId="13080"/>
    <cellStyle name="Note 3 3 2 2 2 3 3 3 2" xfId="27402"/>
    <cellStyle name="Note 3 3 2 2 2 3 3 4" xfId="18725"/>
    <cellStyle name="Note 3 3 2 2 2 3 4" xfId="5430"/>
    <cellStyle name="Note 3 3 2 2 2 3 4 2" xfId="11981"/>
    <cellStyle name="Note 3 3 2 2 2 3 4 2 2" xfId="26303"/>
    <cellStyle name="Note 3 3 2 2 2 3 4 3" xfId="17626"/>
    <cellStyle name="Note 3 3 2 2 2 3 5" xfId="5872"/>
    <cellStyle name="Note 3 3 2 2 2 3 5 2" xfId="23367"/>
    <cellStyle name="Note 3 3 2 2 2 3 6" xfId="17002"/>
    <cellStyle name="Note 3 3 2 2 2 4" xfId="2131"/>
    <cellStyle name="Note 3 3 2 2 2 4 2" xfId="5963"/>
    <cellStyle name="Note 3 3 2 2 2 4 2 2" xfId="12521"/>
    <cellStyle name="Note 3 3 2 2 2 4 2 2 2" xfId="26843"/>
    <cellStyle name="Note 3 3 2 2 2 4 2 3" xfId="18166"/>
    <cellStyle name="Note 3 3 2 2 2 4 3" xfId="7569"/>
    <cellStyle name="Note 3 3 2 2 2 4 3 2" xfId="10183"/>
    <cellStyle name="Note 3 3 2 2 2 4 3 2 2" xfId="16445"/>
    <cellStyle name="Note 3 3 2 2 2 4 3 2 2 2" xfId="29861"/>
    <cellStyle name="Note 3 3 2 2 2 4 3 2 3" xfId="21190"/>
    <cellStyle name="Note 3 3 2 2 2 4 3 3" xfId="14173"/>
    <cellStyle name="Note 3 3 2 2 2 4 3 3 2" xfId="28495"/>
    <cellStyle name="Note 3 3 2 2 2 4 3 4" xfId="19818"/>
    <cellStyle name="Note 3 3 2 2 2 4 4" xfId="4026"/>
    <cellStyle name="Note 3 3 2 2 2 4 4 2" xfId="22708"/>
    <cellStyle name="Note 3 3 2 2 2 4 5" xfId="14783"/>
    <cellStyle name="Note 3 3 2 2 2 5" xfId="2132"/>
    <cellStyle name="Note 3 3 2 2 2 5 2" xfId="8042"/>
    <cellStyle name="Note 3 3 2 2 2 5 2 2" xfId="10656"/>
    <cellStyle name="Note 3 3 2 2 2 5 2 2 2" xfId="16918"/>
    <cellStyle name="Note 3 3 2 2 2 5 2 2 2 2" xfId="30334"/>
    <cellStyle name="Note 3 3 2 2 2 5 2 2 3" xfId="21663"/>
    <cellStyle name="Note 3 3 2 2 2 5 2 3" xfId="14646"/>
    <cellStyle name="Note 3 3 2 2 2 5 2 3 2" xfId="28968"/>
    <cellStyle name="Note 3 3 2 2 2 5 2 4" xfId="20291"/>
    <cellStyle name="Note 3 3 2 2 2 5 3" xfId="12606"/>
    <cellStyle name="Note 3 3 2 2 2 5 3 2" xfId="26928"/>
    <cellStyle name="Note 3 3 2 2 2 5 4" xfId="18251"/>
    <cellStyle name="Note 3 3 2 2 2 6" xfId="5144"/>
    <cellStyle name="Note 3 3 2 2 2 6 2" xfId="11693"/>
    <cellStyle name="Note 3 3 2 2 2 6 2 2" xfId="26015"/>
    <cellStyle name="Note 3 3 2 2 2 6 3" xfId="4611"/>
    <cellStyle name="Note 3 3 2 2 2 7" xfId="4065"/>
    <cellStyle name="Note 3 3 2 2 2 7 2" xfId="22737"/>
    <cellStyle name="Note 3 3 2 2 2 8" xfId="4566"/>
    <cellStyle name="Note 3 3 2 2 3" xfId="2133"/>
    <cellStyle name="Note 3 3 2 2 3 2" xfId="2134"/>
    <cellStyle name="Note 3 3 2 2 3 2 2" xfId="2135"/>
    <cellStyle name="Note 3 3 2 2 3 2 2 2" xfId="5928"/>
    <cellStyle name="Note 3 3 2 2 3 2 2 2 2" xfId="12483"/>
    <cellStyle name="Note 3 3 2 2 3 2 2 2 2 2" xfId="26805"/>
    <cellStyle name="Note 3 3 2 2 3 2 2 2 3" xfId="18128"/>
    <cellStyle name="Note 3 3 2 2 3 2 2 3" xfId="7672"/>
    <cellStyle name="Note 3 3 2 2 3 2 2 3 2" xfId="10286"/>
    <cellStyle name="Note 3 3 2 2 3 2 2 3 2 2" xfId="16548"/>
    <cellStyle name="Note 3 3 2 2 3 2 2 3 2 2 2" xfId="29964"/>
    <cellStyle name="Note 3 3 2 2 3 2 2 3 2 3" xfId="21293"/>
    <cellStyle name="Note 3 3 2 2 3 2 2 3 3" xfId="14276"/>
    <cellStyle name="Note 3 3 2 2 3 2 2 3 3 2" xfId="28598"/>
    <cellStyle name="Note 3 3 2 2 3 2 2 3 4" xfId="19921"/>
    <cellStyle name="Note 3 3 2 2 3 2 2 4" xfId="3881"/>
    <cellStyle name="Note 3 3 2 2 3 2 2 4 2" xfId="22624"/>
    <cellStyle name="Note 3 3 2 2 3 2 2 5" xfId="17263"/>
    <cellStyle name="Note 3 3 2 2 3 2 3" xfId="2136"/>
    <cellStyle name="Note 3 3 2 2 3 2 3 2" xfId="5012"/>
    <cellStyle name="Note 3 3 2 2 3 2 3 2 2" xfId="9542"/>
    <cellStyle name="Note 3 3 2 2 3 2 3 2 2 2" xfId="15804"/>
    <cellStyle name="Note 3 3 2 2 3 2 3 2 2 2 2" xfId="29220"/>
    <cellStyle name="Note 3 3 2 2 3 2 3 2 2 3" xfId="20549"/>
    <cellStyle name="Note 3 3 2 2 3 2 3 2 3" xfId="11557"/>
    <cellStyle name="Note 3 3 2 2 3 2 3 2 3 2" xfId="25879"/>
    <cellStyle name="Note 3 3 2 2 3 2 3 2 4" xfId="5964"/>
    <cellStyle name="Note 3 3 2 2 3 2 3 3" xfId="13285"/>
    <cellStyle name="Note 3 3 2 2 3 2 3 3 2" xfId="27607"/>
    <cellStyle name="Note 3 3 2 2 3 2 3 4" xfId="18930"/>
    <cellStyle name="Note 3 3 2 2 3 2 4" xfId="5735"/>
    <cellStyle name="Note 3 3 2 2 3 2 4 2" xfId="12288"/>
    <cellStyle name="Note 3 3 2 2 3 2 4 2 2" xfId="26610"/>
    <cellStyle name="Note 3 3 2 2 3 2 4 3" xfId="17933"/>
    <cellStyle name="Note 3 3 2 2 3 2 5" xfId="4195"/>
    <cellStyle name="Note 3 3 2 2 3 2 5 2" xfId="22815"/>
    <cellStyle name="Note 3 3 2 2 3 2 6" xfId="16990"/>
    <cellStyle name="Note 3 3 2 2 3 3" xfId="2137"/>
    <cellStyle name="Note 3 3 2 2 3 3 2" xfId="2138"/>
    <cellStyle name="Note 3 3 2 2 3 3 2 2" xfId="6417"/>
    <cellStyle name="Note 3 3 2 2 3 3 2 2 2" xfId="13000"/>
    <cellStyle name="Note 3 3 2 2 3 3 2 2 2 2" xfId="27322"/>
    <cellStyle name="Note 3 3 2 2 3 3 2 2 3" xfId="18645"/>
    <cellStyle name="Note 3 3 2 2 3 3 2 3" xfId="7537"/>
    <cellStyle name="Note 3 3 2 2 3 3 2 3 2" xfId="10151"/>
    <cellStyle name="Note 3 3 2 2 3 3 2 3 2 2" xfId="16413"/>
    <cellStyle name="Note 3 3 2 2 3 3 2 3 2 2 2" xfId="29829"/>
    <cellStyle name="Note 3 3 2 2 3 3 2 3 2 3" xfId="21158"/>
    <cellStyle name="Note 3 3 2 2 3 3 2 3 3" xfId="14141"/>
    <cellStyle name="Note 3 3 2 2 3 3 2 3 3 2" xfId="28463"/>
    <cellStyle name="Note 3 3 2 2 3 3 2 3 4" xfId="19786"/>
    <cellStyle name="Note 3 3 2 2 3 3 2 4" xfId="3705"/>
    <cellStyle name="Note 3 3 2 2 3 3 2 4 2" xfId="22537"/>
    <cellStyle name="Note 3 3 2 2 3 3 2 5" xfId="14785"/>
    <cellStyle name="Note 3 3 2 2 3 3 3" xfId="2139"/>
    <cellStyle name="Note 3 3 2 2 3 3 3 2" xfId="7579"/>
    <cellStyle name="Note 3 3 2 2 3 3 3 2 2" xfId="10193"/>
    <cellStyle name="Note 3 3 2 2 3 3 3 2 2 2" xfId="16455"/>
    <cellStyle name="Note 3 3 2 2 3 3 3 2 2 2 2" xfId="29871"/>
    <cellStyle name="Note 3 3 2 2 3 3 3 2 2 3" xfId="21200"/>
    <cellStyle name="Note 3 3 2 2 3 3 3 2 3" xfId="14183"/>
    <cellStyle name="Note 3 3 2 2 3 3 3 2 3 2" xfId="28505"/>
    <cellStyle name="Note 3 3 2 2 3 3 3 2 4" xfId="19828"/>
    <cellStyle name="Note 3 3 2 2 3 3 3 3" xfId="13361"/>
    <cellStyle name="Note 3 3 2 2 3 3 3 3 2" xfId="27683"/>
    <cellStyle name="Note 3 3 2 2 3 3 3 4" xfId="19006"/>
    <cellStyle name="Note 3 3 2 2 3 3 4" xfId="5811"/>
    <cellStyle name="Note 3 3 2 2 3 3 4 2" xfId="12364"/>
    <cellStyle name="Note 3 3 2 2 3 3 4 2 2" xfId="26686"/>
    <cellStyle name="Note 3 3 2 2 3 3 4 3" xfId="18009"/>
    <cellStyle name="Note 3 3 2 2 3 3 5" xfId="4535"/>
    <cellStyle name="Note 3 3 2 2 3 3 5 2" xfId="23015"/>
    <cellStyle name="Note 3 3 2 2 3 3 6" xfId="17153"/>
    <cellStyle name="Note 3 3 2 2 3 4" xfId="2140"/>
    <cellStyle name="Note 3 3 2 2 3 4 2" xfId="6201"/>
    <cellStyle name="Note 3 3 2 2 3 4 2 2" xfId="12774"/>
    <cellStyle name="Note 3 3 2 2 3 4 2 2 2" xfId="27096"/>
    <cellStyle name="Note 3 3 2 2 3 4 2 3" xfId="18419"/>
    <cellStyle name="Note 3 3 2 2 3 4 3" xfId="7328"/>
    <cellStyle name="Note 3 3 2 2 3 4 3 2" xfId="9942"/>
    <cellStyle name="Note 3 3 2 2 3 4 3 2 2" xfId="16204"/>
    <cellStyle name="Note 3 3 2 2 3 4 3 2 2 2" xfId="29620"/>
    <cellStyle name="Note 3 3 2 2 3 4 3 2 3" xfId="20949"/>
    <cellStyle name="Note 3 3 2 2 3 4 3 3" xfId="13932"/>
    <cellStyle name="Note 3 3 2 2 3 4 3 3 2" xfId="28254"/>
    <cellStyle name="Note 3 3 2 2 3 4 3 4" xfId="19577"/>
    <cellStyle name="Note 3 3 2 2 3 4 4" xfId="6061"/>
    <cellStyle name="Note 3 3 2 2 3 4 4 2" xfId="23403"/>
    <cellStyle name="Note 3 3 2 2 3 4 5" xfId="4682"/>
    <cellStyle name="Note 3 3 2 2 3 5" xfId="2141"/>
    <cellStyle name="Note 3 3 2 2 3 5 2" xfId="7786"/>
    <cellStyle name="Note 3 3 2 2 3 5 2 2" xfId="10400"/>
    <cellStyle name="Note 3 3 2 2 3 5 2 2 2" xfId="16662"/>
    <cellStyle name="Note 3 3 2 2 3 5 2 2 2 2" xfId="30078"/>
    <cellStyle name="Note 3 3 2 2 3 5 2 2 3" xfId="21407"/>
    <cellStyle name="Note 3 3 2 2 3 5 2 3" xfId="14390"/>
    <cellStyle name="Note 3 3 2 2 3 5 2 3 2" xfId="28712"/>
    <cellStyle name="Note 3 3 2 2 3 5 2 4" xfId="20035"/>
    <cellStyle name="Note 3 3 2 2 3 5 3" xfId="12853"/>
    <cellStyle name="Note 3 3 2 2 3 5 3 2" xfId="27175"/>
    <cellStyle name="Note 3 3 2 2 3 5 4" xfId="18498"/>
    <cellStyle name="Note 3 3 2 2 3 6" xfId="5454"/>
    <cellStyle name="Note 3 3 2 2 3 6 2" xfId="12005"/>
    <cellStyle name="Note 3 3 2 2 3 6 2 2" xfId="26327"/>
    <cellStyle name="Note 3 3 2 2 3 6 3" xfId="17650"/>
    <cellStyle name="Note 3 3 2 2 3 7" xfId="3941"/>
    <cellStyle name="Note 3 3 2 2 3 7 2" xfId="22657"/>
    <cellStyle name="Note 3 3 2 2 3 8" xfId="15104"/>
    <cellStyle name="Note 3 3 2 2 4" xfId="2142"/>
    <cellStyle name="Note 3 3 2 2 4 2" xfId="2143"/>
    <cellStyle name="Note 3 3 2 2 4 2 2" xfId="2144"/>
    <cellStyle name="Note 3 3 2 2 4 2 2 2" xfId="6847"/>
    <cellStyle name="Note 3 3 2 2 4 2 2 2 2" xfId="13451"/>
    <cellStyle name="Note 3 3 2 2 4 2 2 2 2 2" xfId="27773"/>
    <cellStyle name="Note 3 3 2 2 4 2 2 2 3" xfId="19096"/>
    <cellStyle name="Note 3 3 2 2 4 2 2 3" xfId="7840"/>
    <cellStyle name="Note 3 3 2 2 4 2 2 3 2" xfId="10454"/>
    <cellStyle name="Note 3 3 2 2 4 2 2 3 2 2" xfId="16716"/>
    <cellStyle name="Note 3 3 2 2 4 2 2 3 2 2 2" xfId="30132"/>
    <cellStyle name="Note 3 3 2 2 4 2 2 3 2 3" xfId="21461"/>
    <cellStyle name="Note 3 3 2 2 4 2 2 3 3" xfId="14444"/>
    <cellStyle name="Note 3 3 2 2 4 2 2 3 3 2" xfId="28766"/>
    <cellStyle name="Note 3 3 2 2 4 2 2 3 4" xfId="20089"/>
    <cellStyle name="Note 3 3 2 2 4 2 2 4" xfId="2808"/>
    <cellStyle name="Note 3 3 2 2 4 2 2 4 2" xfId="22371"/>
    <cellStyle name="Note 3 3 2 2 4 2 2 5" xfId="14734"/>
    <cellStyle name="Note 3 3 2 2 4 2 3" xfId="2145"/>
    <cellStyle name="Note 3 3 2 2 4 2 3 2" xfId="7924"/>
    <cellStyle name="Note 3 3 2 2 4 2 3 2 2" xfId="10538"/>
    <cellStyle name="Note 3 3 2 2 4 2 3 2 2 2" xfId="16800"/>
    <cellStyle name="Note 3 3 2 2 4 2 3 2 2 2 2" xfId="30216"/>
    <cellStyle name="Note 3 3 2 2 4 2 3 2 2 3" xfId="21545"/>
    <cellStyle name="Note 3 3 2 2 4 2 3 2 3" xfId="14528"/>
    <cellStyle name="Note 3 3 2 2 4 2 3 2 3 2" xfId="28850"/>
    <cellStyle name="Note 3 3 2 2 4 2 3 2 4" xfId="20173"/>
    <cellStyle name="Note 3 3 2 2 4 2 3 3" xfId="13230"/>
    <cellStyle name="Note 3 3 2 2 4 2 3 3 2" xfId="27552"/>
    <cellStyle name="Note 3 3 2 2 4 2 3 4" xfId="18875"/>
    <cellStyle name="Note 3 3 2 2 4 2 4" xfId="5671"/>
    <cellStyle name="Note 3 3 2 2 4 2 4 2" xfId="12224"/>
    <cellStyle name="Note 3 3 2 2 4 2 4 2 2" xfId="26546"/>
    <cellStyle name="Note 3 3 2 2 4 2 4 3" xfId="17869"/>
    <cellStyle name="Note 3 3 2 2 4 2 5" xfId="6806"/>
    <cellStyle name="Note 3 3 2 2 4 2 5 2" xfId="23745"/>
    <cellStyle name="Note 3 3 2 2 4 2 6" xfId="4421"/>
    <cellStyle name="Note 3 3 2 2 4 3" xfId="2146"/>
    <cellStyle name="Note 3 3 2 2 4 3 2" xfId="2147"/>
    <cellStyle name="Note 3 3 2 2 4 3 2 2" xfId="6565"/>
    <cellStyle name="Note 3 3 2 2 4 3 2 2 2" xfId="13153"/>
    <cellStyle name="Note 3 3 2 2 4 3 2 2 2 2" xfId="27475"/>
    <cellStyle name="Note 3 3 2 2 4 3 2 2 3" xfId="18798"/>
    <cellStyle name="Note 3 3 2 2 4 3 2 3" xfId="4998"/>
    <cellStyle name="Note 3 3 2 2 4 3 2 3 2" xfId="9535"/>
    <cellStyle name="Note 3 3 2 2 4 3 2 3 2 2" xfId="15797"/>
    <cellStyle name="Note 3 3 2 2 4 3 2 3 2 2 2" xfId="29213"/>
    <cellStyle name="Note 3 3 2 2 4 3 2 3 2 3" xfId="20542"/>
    <cellStyle name="Note 3 3 2 2 4 3 2 3 3" xfId="11541"/>
    <cellStyle name="Note 3 3 2 2 4 3 2 3 3 2" xfId="25863"/>
    <cellStyle name="Note 3 3 2 2 4 3 2 3 4" xfId="15030"/>
    <cellStyle name="Note 3 3 2 2 4 3 2 4" xfId="4559"/>
    <cellStyle name="Note 3 3 2 2 4 3 2 4 2" xfId="23030"/>
    <cellStyle name="Note 3 3 2 2 4 3 2 5" xfId="3176"/>
    <cellStyle name="Note 3 3 2 2 4 3 3" xfId="2148"/>
    <cellStyle name="Note 3 3 2 2 4 3 3 2" xfId="7408"/>
    <cellStyle name="Note 3 3 2 2 4 3 3 2 2" xfId="10022"/>
    <cellStyle name="Note 3 3 2 2 4 3 3 2 2 2" xfId="16284"/>
    <cellStyle name="Note 3 3 2 2 4 3 3 2 2 2 2" xfId="29700"/>
    <cellStyle name="Note 3 3 2 2 4 3 3 2 2 3" xfId="21029"/>
    <cellStyle name="Note 3 3 2 2 4 3 3 2 3" xfId="14012"/>
    <cellStyle name="Note 3 3 2 2 4 3 3 2 3 2" xfId="28334"/>
    <cellStyle name="Note 3 3 2 2 4 3 3 2 4" xfId="19657"/>
    <cellStyle name="Note 3 3 2 2 4 3 3 3" xfId="12557"/>
    <cellStyle name="Note 3 3 2 2 4 3 3 3 2" xfId="26879"/>
    <cellStyle name="Note 3 3 2 2 4 3 3 4" xfId="18202"/>
    <cellStyle name="Note 3 3 2 2 4 3 4" xfId="5043"/>
    <cellStyle name="Note 3 3 2 2 4 3 4 2" xfId="11590"/>
    <cellStyle name="Note 3 3 2 2 4 3 4 2 2" xfId="25912"/>
    <cellStyle name="Note 3 3 2 2 4 3 4 3" xfId="14821"/>
    <cellStyle name="Note 3 3 2 2 4 3 5" xfId="4367"/>
    <cellStyle name="Note 3 3 2 2 4 3 5 2" xfId="22909"/>
    <cellStyle name="Note 3 3 2 2 4 3 6" xfId="15483"/>
    <cellStyle name="Note 3 3 2 2 4 4" xfId="2149"/>
    <cellStyle name="Note 3 3 2 2 4 4 2" xfId="6404"/>
    <cellStyle name="Note 3 3 2 2 4 4 2 2" xfId="12987"/>
    <cellStyle name="Note 3 3 2 2 4 4 2 2 2" xfId="27309"/>
    <cellStyle name="Note 3 3 2 2 4 4 2 3" xfId="18632"/>
    <cellStyle name="Note 3 3 2 2 4 4 3" xfId="7129"/>
    <cellStyle name="Note 3 3 2 2 4 4 3 2" xfId="9743"/>
    <cellStyle name="Note 3 3 2 2 4 4 3 2 2" xfId="16005"/>
    <cellStyle name="Note 3 3 2 2 4 4 3 2 2 2" xfId="29421"/>
    <cellStyle name="Note 3 3 2 2 4 4 3 2 3" xfId="20750"/>
    <cellStyle name="Note 3 3 2 2 4 4 3 3" xfId="13733"/>
    <cellStyle name="Note 3 3 2 2 4 4 3 3 2" xfId="28055"/>
    <cellStyle name="Note 3 3 2 2 4 4 3 4" xfId="19378"/>
    <cellStyle name="Note 3 3 2 2 4 4 4" xfId="4104"/>
    <cellStyle name="Note 3 3 2 2 4 4 4 2" xfId="22759"/>
    <cellStyle name="Note 3 3 2 2 4 4 5" xfId="4279"/>
    <cellStyle name="Note 3 3 2 2 4 5" xfId="2150"/>
    <cellStyle name="Note 3 3 2 2 4 5 2" xfId="7856"/>
    <cellStyle name="Note 3 3 2 2 4 5 2 2" xfId="10470"/>
    <cellStyle name="Note 3 3 2 2 4 5 2 2 2" xfId="16732"/>
    <cellStyle name="Note 3 3 2 2 4 5 2 2 2 2" xfId="30148"/>
    <cellStyle name="Note 3 3 2 2 4 5 2 2 3" xfId="21477"/>
    <cellStyle name="Note 3 3 2 2 4 5 2 3" xfId="14460"/>
    <cellStyle name="Note 3 3 2 2 4 5 2 3 2" xfId="28782"/>
    <cellStyle name="Note 3 3 2 2 4 5 2 4" xfId="20105"/>
    <cellStyle name="Note 3 3 2 2 4 5 3" xfId="12607"/>
    <cellStyle name="Note 3 3 2 2 4 5 3 2" xfId="26929"/>
    <cellStyle name="Note 3 3 2 2 4 5 4" xfId="18252"/>
    <cellStyle name="Note 3 3 2 2 4 6" xfId="5071"/>
    <cellStyle name="Note 3 3 2 2 4 6 2" xfId="11618"/>
    <cellStyle name="Note 3 3 2 2 4 6 2 2" xfId="25940"/>
    <cellStyle name="Note 3 3 2 2 4 6 3" xfId="4377"/>
    <cellStyle name="Note 3 3 2 2 4 7" xfId="4609"/>
    <cellStyle name="Note 3 3 2 2 4 7 2" xfId="23066"/>
    <cellStyle name="Note 3 3 2 2 4 8" xfId="4099"/>
    <cellStyle name="Note 3 3 2 2 5" xfId="2151"/>
    <cellStyle name="Note 3 3 2 2 5 2" xfId="2152"/>
    <cellStyle name="Note 3 3 2 2 5 2 2" xfId="2153"/>
    <cellStyle name="Note 3 3 2 2 5 2 2 2" xfId="5977"/>
    <cellStyle name="Note 3 3 2 2 5 2 2 2 2" xfId="12535"/>
    <cellStyle name="Note 3 3 2 2 5 2 2 2 2 2" xfId="26857"/>
    <cellStyle name="Note 3 3 2 2 5 2 2 2 3" xfId="18180"/>
    <cellStyle name="Note 3 3 2 2 5 2 2 3" xfId="3277"/>
    <cellStyle name="Note 3 3 2 2 5 2 2 3 2" xfId="9051"/>
    <cellStyle name="Note 3 3 2 2 5 2 2 3 2 2" xfId="15390"/>
    <cellStyle name="Note 3 3 2 2 5 2 2 3 2 2 2" xfId="29009"/>
    <cellStyle name="Note 3 3 2 2 5 2 2 3 2 3" xfId="20336"/>
    <cellStyle name="Note 3 3 2 2 5 2 2 3 3" xfId="3272"/>
    <cellStyle name="Note 3 3 2 2 5 2 2 3 3 2" xfId="22456"/>
    <cellStyle name="Note 3 3 2 2 5 2 2 3 4" xfId="16952"/>
    <cellStyle name="Note 3 3 2 2 5 2 2 4" xfId="3019"/>
    <cellStyle name="Note 3 3 2 2 5 2 2 4 2" xfId="22410"/>
    <cellStyle name="Note 3 3 2 2 5 2 2 5" xfId="15193"/>
    <cellStyle name="Note 3 3 2 2 5 2 3" xfId="2154"/>
    <cellStyle name="Note 3 3 2 2 5 2 3 2" xfId="7347"/>
    <cellStyle name="Note 3 3 2 2 5 2 3 2 2" xfId="9961"/>
    <cellStyle name="Note 3 3 2 2 5 2 3 2 2 2" xfId="16223"/>
    <cellStyle name="Note 3 3 2 2 5 2 3 2 2 2 2" xfId="29639"/>
    <cellStyle name="Note 3 3 2 2 5 2 3 2 2 3" xfId="20968"/>
    <cellStyle name="Note 3 3 2 2 5 2 3 2 3" xfId="13951"/>
    <cellStyle name="Note 3 3 2 2 5 2 3 2 3 2" xfId="28273"/>
    <cellStyle name="Note 3 3 2 2 5 2 3 2 4" xfId="19596"/>
    <cellStyle name="Note 3 3 2 2 5 2 3 3" xfId="13418"/>
    <cellStyle name="Note 3 3 2 2 5 2 3 3 2" xfId="27740"/>
    <cellStyle name="Note 3 3 2 2 5 2 3 4" xfId="19063"/>
    <cellStyle name="Note 3 3 2 2 5 2 4" xfId="5888"/>
    <cellStyle name="Note 3 3 2 2 5 2 4 2" xfId="12441"/>
    <cellStyle name="Note 3 3 2 2 5 2 4 2 2" xfId="26763"/>
    <cellStyle name="Note 3 3 2 2 5 2 4 3" xfId="18086"/>
    <cellStyle name="Note 3 3 2 2 5 2 5" xfId="4187"/>
    <cellStyle name="Note 3 3 2 2 5 2 5 2" xfId="22809"/>
    <cellStyle name="Note 3 3 2 2 5 2 6" xfId="14743"/>
    <cellStyle name="Note 3 3 2 2 5 3" xfId="2155"/>
    <cellStyle name="Note 3 3 2 2 5 3 2" xfId="6468"/>
    <cellStyle name="Note 3 3 2 2 5 3 2 2" xfId="13051"/>
    <cellStyle name="Note 3 3 2 2 5 3 2 2 2" xfId="27373"/>
    <cellStyle name="Note 3 3 2 2 5 3 2 3" xfId="18696"/>
    <cellStyle name="Note 3 3 2 2 5 3 3" xfId="7634"/>
    <cellStyle name="Note 3 3 2 2 5 3 3 2" xfId="10248"/>
    <cellStyle name="Note 3 3 2 2 5 3 3 2 2" xfId="16510"/>
    <cellStyle name="Note 3 3 2 2 5 3 3 2 2 2" xfId="29926"/>
    <cellStyle name="Note 3 3 2 2 5 3 3 2 3" xfId="21255"/>
    <cellStyle name="Note 3 3 2 2 5 3 3 3" xfId="14238"/>
    <cellStyle name="Note 3 3 2 2 5 3 3 3 2" xfId="28560"/>
    <cellStyle name="Note 3 3 2 2 5 3 3 4" xfId="19883"/>
    <cellStyle name="Note 3 3 2 2 5 3 4" xfId="4118"/>
    <cellStyle name="Note 3 3 2 2 5 3 4 2" xfId="22763"/>
    <cellStyle name="Note 3 3 2 2 5 3 5" xfId="6013"/>
    <cellStyle name="Note 3 3 2 2 5 4" xfId="2156"/>
    <cellStyle name="Note 3 3 2 2 5 4 2" xfId="7780"/>
    <cellStyle name="Note 3 3 2 2 5 4 2 2" xfId="10394"/>
    <cellStyle name="Note 3 3 2 2 5 4 2 2 2" xfId="16656"/>
    <cellStyle name="Note 3 3 2 2 5 4 2 2 2 2" xfId="30072"/>
    <cellStyle name="Note 3 3 2 2 5 4 2 2 3" xfId="21401"/>
    <cellStyle name="Note 3 3 2 2 5 4 2 3" xfId="14384"/>
    <cellStyle name="Note 3 3 2 2 5 4 2 3 2" xfId="28706"/>
    <cellStyle name="Note 3 3 2 2 5 4 2 4" xfId="20029"/>
    <cellStyle name="Note 3 3 2 2 5 4 3" xfId="12736"/>
    <cellStyle name="Note 3 3 2 2 5 4 3 2" xfId="27058"/>
    <cellStyle name="Note 3 3 2 2 5 4 4" xfId="18381"/>
    <cellStyle name="Note 3 3 2 2 5 5" xfId="5138"/>
    <cellStyle name="Note 3 3 2 2 5 5 2" xfId="11687"/>
    <cellStyle name="Note 3 3 2 2 5 5 2 2" xfId="26009"/>
    <cellStyle name="Note 3 3 2 2 5 5 3" xfId="14676"/>
    <cellStyle name="Note 3 3 2 2 5 6" xfId="4826"/>
    <cellStyle name="Note 3 3 2 2 5 6 2" xfId="23207"/>
    <cellStyle name="Note 3 3 2 2 5 7" xfId="6666"/>
    <cellStyle name="Note 3 3 2 2 6" xfId="2157"/>
    <cellStyle name="Note 3 3 2 2 6 2" xfId="2158"/>
    <cellStyle name="Note 3 3 2 2 6 2 2" xfId="6113"/>
    <cellStyle name="Note 3 3 2 2 6 2 2 2" xfId="12681"/>
    <cellStyle name="Note 3 3 2 2 6 2 2 2 2" xfId="27003"/>
    <cellStyle name="Note 3 3 2 2 6 2 2 3" xfId="18326"/>
    <cellStyle name="Note 3 3 2 2 6 2 3" xfId="7659"/>
    <cellStyle name="Note 3 3 2 2 6 2 3 2" xfId="10273"/>
    <cellStyle name="Note 3 3 2 2 6 2 3 2 2" xfId="16535"/>
    <cellStyle name="Note 3 3 2 2 6 2 3 2 2 2" xfId="29951"/>
    <cellStyle name="Note 3 3 2 2 6 2 3 2 3" xfId="21280"/>
    <cellStyle name="Note 3 3 2 2 6 2 3 3" xfId="14263"/>
    <cellStyle name="Note 3 3 2 2 6 2 3 3 2" xfId="28585"/>
    <cellStyle name="Note 3 3 2 2 6 2 3 4" xfId="19908"/>
    <cellStyle name="Note 3 3 2 2 6 2 4" xfId="3669"/>
    <cellStyle name="Note 3 3 2 2 6 2 4 2" xfId="22515"/>
    <cellStyle name="Note 3 3 2 2 6 2 5" xfId="14733"/>
    <cellStyle name="Note 3 3 2 2 6 3" xfId="2159"/>
    <cellStyle name="Note 3 3 2 2 6 3 2" xfId="7103"/>
    <cellStyle name="Note 3 3 2 2 6 3 2 2" xfId="9717"/>
    <cellStyle name="Note 3 3 2 2 6 3 2 2 2" xfId="15979"/>
    <cellStyle name="Note 3 3 2 2 6 3 2 2 2 2" xfId="29395"/>
    <cellStyle name="Note 3 3 2 2 6 3 2 2 3" xfId="20724"/>
    <cellStyle name="Note 3 3 2 2 6 3 2 3" xfId="13707"/>
    <cellStyle name="Note 3 3 2 2 6 3 2 3 2" xfId="28029"/>
    <cellStyle name="Note 3 3 2 2 6 3 2 4" xfId="19352"/>
    <cellStyle name="Note 3 3 2 2 6 3 3" xfId="13039"/>
    <cellStyle name="Note 3 3 2 2 6 3 3 2" xfId="27361"/>
    <cellStyle name="Note 3 3 2 2 6 3 4" xfId="18684"/>
    <cellStyle name="Note 3 3 2 2 6 4" xfId="5356"/>
    <cellStyle name="Note 3 3 2 2 6 4 2" xfId="11906"/>
    <cellStyle name="Note 3 3 2 2 6 4 2 2" xfId="26228"/>
    <cellStyle name="Note 3 3 2 2 6 4 3" xfId="17551"/>
    <cellStyle name="Note 3 3 2 2 6 5" xfId="4622"/>
    <cellStyle name="Note 3 3 2 2 6 5 2" xfId="23071"/>
    <cellStyle name="Note 3 3 2 2 6 6" xfId="4420"/>
    <cellStyle name="Note 3 3 2 2 7" xfId="2160"/>
    <cellStyle name="Note 3 3 2 2 7 2" xfId="6120"/>
    <cellStyle name="Note 3 3 2 2 7 2 2" xfId="12689"/>
    <cellStyle name="Note 3 3 2 2 7 2 2 2" xfId="27011"/>
    <cellStyle name="Note 3 3 2 2 7 2 3" xfId="18334"/>
    <cellStyle name="Note 3 3 2 2 7 3" xfId="7821"/>
    <cellStyle name="Note 3 3 2 2 7 3 2" xfId="10435"/>
    <cellStyle name="Note 3 3 2 2 7 3 2 2" xfId="16697"/>
    <cellStyle name="Note 3 3 2 2 7 3 2 2 2" xfId="30113"/>
    <cellStyle name="Note 3 3 2 2 7 3 2 3" xfId="21442"/>
    <cellStyle name="Note 3 3 2 2 7 3 3" xfId="14425"/>
    <cellStyle name="Note 3 3 2 2 7 3 3 2" xfId="28747"/>
    <cellStyle name="Note 3 3 2 2 7 3 4" xfId="20070"/>
    <cellStyle name="Note 3 3 2 2 7 4" xfId="6761"/>
    <cellStyle name="Note 3 3 2 2 7 4 2" xfId="23709"/>
    <cellStyle name="Note 3 3 2 2 7 5" xfId="17324"/>
    <cellStyle name="Note 3 3 2 2 8" xfId="2161"/>
    <cellStyle name="Note 3 3 2 2 8 2" xfId="7910"/>
    <cellStyle name="Note 3 3 2 2 8 2 2" xfId="10524"/>
    <cellStyle name="Note 3 3 2 2 8 2 2 2" xfId="16786"/>
    <cellStyle name="Note 3 3 2 2 8 2 2 2 2" xfId="30202"/>
    <cellStyle name="Note 3 3 2 2 8 2 2 3" xfId="21531"/>
    <cellStyle name="Note 3 3 2 2 8 2 3" xfId="14514"/>
    <cellStyle name="Note 3 3 2 2 8 2 3 2" xfId="28836"/>
    <cellStyle name="Note 3 3 2 2 8 2 4" xfId="20159"/>
    <cellStyle name="Note 3 3 2 2 8 3" xfId="11637"/>
    <cellStyle name="Note 3 3 2 2 8 3 2" xfId="25959"/>
    <cellStyle name="Note 3 3 2 2 8 4" xfId="6154"/>
    <cellStyle name="Note 3 3 2 2 9" xfId="4350"/>
    <cellStyle name="Note 3 3 2 2 9 2" xfId="4143"/>
    <cellStyle name="Note 3 3 2 2 9 2 2" xfId="22781"/>
    <cellStyle name="Note 3 3 2 2 9 3" xfId="17290"/>
    <cellStyle name="Note 3 3 2 3" xfId="2162"/>
    <cellStyle name="Note 3 3 2 3 2" xfId="2163"/>
    <cellStyle name="Note 3 3 2 3 2 2" xfId="2164"/>
    <cellStyle name="Note 3 3 2 3 2 2 2" xfId="6418"/>
    <cellStyle name="Note 3 3 2 3 2 2 2 2" xfId="13001"/>
    <cellStyle name="Note 3 3 2 3 2 2 2 2 2" xfId="27323"/>
    <cellStyle name="Note 3 3 2 3 2 2 2 3" xfId="18646"/>
    <cellStyle name="Note 3 3 2 3 2 2 3" xfId="7566"/>
    <cellStyle name="Note 3 3 2 3 2 2 3 2" xfId="10180"/>
    <cellStyle name="Note 3 3 2 3 2 2 3 2 2" xfId="16442"/>
    <cellStyle name="Note 3 3 2 3 2 2 3 2 2 2" xfId="29858"/>
    <cellStyle name="Note 3 3 2 3 2 2 3 2 3" xfId="21187"/>
    <cellStyle name="Note 3 3 2 3 2 2 3 3" xfId="14170"/>
    <cellStyle name="Note 3 3 2 3 2 2 3 3 2" xfId="28492"/>
    <cellStyle name="Note 3 3 2 3 2 2 3 4" xfId="19815"/>
    <cellStyle name="Note 3 3 2 3 2 2 4" xfId="5520"/>
    <cellStyle name="Note 3 3 2 3 2 2 4 2" xfId="23348"/>
    <cellStyle name="Note 3 3 2 3 2 2 5" xfId="15458"/>
    <cellStyle name="Note 3 3 2 3 2 3" xfId="2165"/>
    <cellStyle name="Note 3 3 2 3 2 3 2" xfId="8034"/>
    <cellStyle name="Note 3 3 2 3 2 3 2 2" xfId="10648"/>
    <cellStyle name="Note 3 3 2 3 2 3 2 2 2" xfId="16910"/>
    <cellStyle name="Note 3 3 2 3 2 3 2 2 2 2" xfId="30326"/>
    <cellStyle name="Note 3 3 2 3 2 3 2 2 3" xfId="21655"/>
    <cellStyle name="Note 3 3 2 3 2 3 2 3" xfId="14638"/>
    <cellStyle name="Note 3 3 2 3 2 3 2 3 2" xfId="28960"/>
    <cellStyle name="Note 3 3 2 3 2 3 2 4" xfId="20283"/>
    <cellStyle name="Note 3 3 2 3 2 3 3" xfId="13272"/>
    <cellStyle name="Note 3 3 2 3 2 3 3 2" xfId="27594"/>
    <cellStyle name="Note 3 3 2 3 2 3 4" xfId="18917"/>
    <cellStyle name="Note 3 3 2 3 2 4" xfId="5718"/>
    <cellStyle name="Note 3 3 2 3 2 4 2" xfId="12271"/>
    <cellStyle name="Note 3 3 2 3 2 4 2 2" xfId="26593"/>
    <cellStyle name="Note 3 3 2 3 2 4 3" xfId="17916"/>
    <cellStyle name="Note 3 3 2 3 2 5" xfId="4904"/>
    <cellStyle name="Note 3 3 2 3 2 5 2" xfId="23257"/>
    <cellStyle name="Note 3 3 2 3 2 6" xfId="17253"/>
    <cellStyle name="Note 3 3 2 3 3" xfId="2166"/>
    <cellStyle name="Note 3 3 2 3 3 2" xfId="2167"/>
    <cellStyle name="Note 3 3 2 3 3 2 2" xfId="3921"/>
    <cellStyle name="Note 3 3 2 3 3 2 2 2" xfId="4356"/>
    <cellStyle name="Note 3 3 2 3 3 2 2 2 2" xfId="22902"/>
    <cellStyle name="Note 3 3 2 3 3 2 2 3" xfId="15288"/>
    <cellStyle name="Note 3 3 2 3 3 2 3" xfId="7887"/>
    <cellStyle name="Note 3 3 2 3 3 2 3 2" xfId="10501"/>
    <cellStyle name="Note 3 3 2 3 3 2 3 2 2" xfId="16763"/>
    <cellStyle name="Note 3 3 2 3 3 2 3 2 2 2" xfId="30179"/>
    <cellStyle name="Note 3 3 2 3 3 2 3 2 3" xfId="21508"/>
    <cellStyle name="Note 3 3 2 3 3 2 3 3" xfId="14491"/>
    <cellStyle name="Note 3 3 2 3 3 2 3 3 2" xfId="28813"/>
    <cellStyle name="Note 3 3 2 3 3 2 3 4" xfId="20136"/>
    <cellStyle name="Note 3 3 2 3 3 2 4" xfId="6295"/>
    <cellStyle name="Note 3 3 2 3 3 2 4 2" xfId="23494"/>
    <cellStyle name="Note 3 3 2 3 3 2 5" xfId="15398"/>
    <cellStyle name="Note 3 3 2 3 3 3" xfId="2168"/>
    <cellStyle name="Note 3 3 2 3 3 3 2" xfId="7736"/>
    <cellStyle name="Note 3 3 2 3 3 3 2 2" xfId="10350"/>
    <cellStyle name="Note 3 3 2 3 3 3 2 2 2" xfId="16612"/>
    <cellStyle name="Note 3 3 2 3 3 3 2 2 2 2" xfId="30028"/>
    <cellStyle name="Note 3 3 2 3 3 3 2 2 3" xfId="21357"/>
    <cellStyle name="Note 3 3 2 3 3 3 2 3" xfId="14340"/>
    <cellStyle name="Note 3 3 2 3 3 3 2 3 2" xfId="28662"/>
    <cellStyle name="Note 3 3 2 3 3 3 2 4" xfId="19985"/>
    <cellStyle name="Note 3 3 2 3 3 3 3" xfId="12156"/>
    <cellStyle name="Note 3 3 2 3 3 3 3 2" xfId="26478"/>
    <cellStyle name="Note 3 3 2 3 3 3 4" xfId="17801"/>
    <cellStyle name="Note 3 3 2 3 3 4" xfId="5126"/>
    <cellStyle name="Note 3 3 2 3 3 4 2" xfId="11675"/>
    <cellStyle name="Note 3 3 2 3 3 4 2 2" xfId="25997"/>
    <cellStyle name="Note 3 3 2 3 3 4 3" xfId="17314"/>
    <cellStyle name="Note 3 3 2 3 3 5" xfId="5945"/>
    <cellStyle name="Note 3 3 2 3 3 5 2" xfId="23379"/>
    <cellStyle name="Note 3 3 2 3 3 6" xfId="4733"/>
    <cellStyle name="Note 3 3 2 3 4" xfId="2169"/>
    <cellStyle name="Note 3 3 2 3 4 2" xfId="6836"/>
    <cellStyle name="Note 3 3 2 3 4 2 2" xfId="13440"/>
    <cellStyle name="Note 3 3 2 3 4 2 2 2" xfId="27762"/>
    <cellStyle name="Note 3 3 2 3 4 2 3" xfId="19085"/>
    <cellStyle name="Note 3 3 2 3 4 3" xfId="7387"/>
    <cellStyle name="Note 3 3 2 3 4 3 2" xfId="10001"/>
    <cellStyle name="Note 3 3 2 3 4 3 2 2" xfId="16263"/>
    <cellStyle name="Note 3 3 2 3 4 3 2 2 2" xfId="29679"/>
    <cellStyle name="Note 3 3 2 3 4 3 2 3" xfId="21008"/>
    <cellStyle name="Note 3 3 2 3 4 3 3" xfId="13991"/>
    <cellStyle name="Note 3 3 2 3 4 3 3 2" xfId="28313"/>
    <cellStyle name="Note 3 3 2 3 4 3 4" xfId="19636"/>
    <cellStyle name="Note 3 3 2 3 4 4" xfId="2773"/>
    <cellStyle name="Note 3 3 2 3 4 4 2" xfId="22342"/>
    <cellStyle name="Note 3 3 2 3 4 5" xfId="14988"/>
    <cellStyle name="Note 3 3 2 3 5" xfId="2170"/>
    <cellStyle name="Note 3 3 2 3 5 2" xfId="7759"/>
    <cellStyle name="Note 3 3 2 3 5 2 2" xfId="10373"/>
    <cellStyle name="Note 3 3 2 3 5 2 2 2" xfId="16635"/>
    <cellStyle name="Note 3 3 2 3 5 2 2 2 2" xfId="30051"/>
    <cellStyle name="Note 3 3 2 3 5 2 2 3" xfId="21380"/>
    <cellStyle name="Note 3 3 2 3 5 2 3" xfId="14363"/>
    <cellStyle name="Note 3 3 2 3 5 2 3 2" xfId="28685"/>
    <cellStyle name="Note 3 3 2 3 5 2 4" xfId="20008"/>
    <cellStyle name="Note 3 3 2 3 5 3" xfId="12831"/>
    <cellStyle name="Note 3 3 2 3 5 3 2" xfId="27153"/>
    <cellStyle name="Note 3 3 2 3 5 4" xfId="18476"/>
    <cellStyle name="Note 3 3 2 3 6" xfId="5396"/>
    <cellStyle name="Note 3 3 2 3 6 2" xfId="11946"/>
    <cellStyle name="Note 3 3 2 3 6 2 2" xfId="26268"/>
    <cellStyle name="Note 3 3 2 3 6 3" xfId="17591"/>
    <cellStyle name="Note 3 3 2 3 7" xfId="2864"/>
    <cellStyle name="Note 3 3 2 3 7 2" xfId="22406"/>
    <cellStyle name="Note 3 3 2 3 8" xfId="15062"/>
    <cellStyle name="Note 3 3 2 4" xfId="2171"/>
    <cellStyle name="Note 3 3 2 4 2" xfId="2172"/>
    <cellStyle name="Note 3 3 2 4 2 2" xfId="2173"/>
    <cellStyle name="Note 3 3 2 4 2 2 2" xfId="6997"/>
    <cellStyle name="Note 3 3 2 4 2 2 2 2" xfId="13601"/>
    <cellStyle name="Note 3 3 2 4 2 2 2 2 2" xfId="27923"/>
    <cellStyle name="Note 3 3 2 4 2 2 2 3" xfId="19246"/>
    <cellStyle name="Note 3 3 2 4 2 2 3" xfId="7668"/>
    <cellStyle name="Note 3 3 2 4 2 2 3 2" xfId="10282"/>
    <cellStyle name="Note 3 3 2 4 2 2 3 2 2" xfId="16544"/>
    <cellStyle name="Note 3 3 2 4 2 2 3 2 2 2" xfId="29960"/>
    <cellStyle name="Note 3 3 2 4 2 2 3 2 3" xfId="21289"/>
    <cellStyle name="Note 3 3 2 4 2 2 3 3" xfId="14272"/>
    <cellStyle name="Note 3 3 2 4 2 2 3 3 2" xfId="28594"/>
    <cellStyle name="Note 3 3 2 4 2 2 3 4" xfId="19917"/>
    <cellStyle name="Note 3 3 2 4 2 2 4" xfId="11512"/>
    <cellStyle name="Note 3 3 2 4 2 2 4 2" xfId="25834"/>
    <cellStyle name="Note 3 3 2 4 2 2 5" xfId="17360"/>
    <cellStyle name="Note 3 3 2 4 2 3" xfId="2174"/>
    <cellStyle name="Note 3 3 2 4 2 3 2" xfId="7530"/>
    <cellStyle name="Note 3 3 2 4 2 3 2 2" xfId="10144"/>
    <cellStyle name="Note 3 3 2 4 2 3 2 2 2" xfId="16406"/>
    <cellStyle name="Note 3 3 2 4 2 3 2 2 2 2" xfId="29822"/>
    <cellStyle name="Note 3 3 2 4 2 3 2 2 3" xfId="21151"/>
    <cellStyle name="Note 3 3 2 4 2 3 2 3" xfId="14134"/>
    <cellStyle name="Note 3 3 2 4 2 3 2 3 2" xfId="28456"/>
    <cellStyle name="Note 3 3 2 4 2 3 2 4" xfId="19779"/>
    <cellStyle name="Note 3 3 2 4 2 3 3" xfId="13247"/>
    <cellStyle name="Note 3 3 2 4 2 3 3 2" xfId="27569"/>
    <cellStyle name="Note 3 3 2 4 2 3 4" xfId="18892"/>
    <cellStyle name="Note 3 3 2 4 2 4" xfId="5689"/>
    <cellStyle name="Note 3 3 2 4 2 4 2" xfId="12242"/>
    <cellStyle name="Note 3 3 2 4 2 4 2 2" xfId="26564"/>
    <cellStyle name="Note 3 3 2 4 2 4 3" xfId="17887"/>
    <cellStyle name="Note 3 3 2 4 2 5" xfId="4413"/>
    <cellStyle name="Note 3 3 2 4 2 5 2" xfId="22936"/>
    <cellStyle name="Note 3 3 2 4 2 6" xfId="4817"/>
    <cellStyle name="Note 3 3 2 4 3" xfId="2175"/>
    <cellStyle name="Note 3 3 2 4 3 2" xfId="2176"/>
    <cellStyle name="Note 3 3 2 4 3 2 2" xfId="5706"/>
    <cellStyle name="Note 3 3 2 4 3 2 2 2" xfId="12259"/>
    <cellStyle name="Note 3 3 2 4 3 2 2 2 2" xfId="26581"/>
    <cellStyle name="Note 3 3 2 4 3 2 2 3" xfId="17904"/>
    <cellStyle name="Note 3 3 2 4 3 2 3" xfId="7597"/>
    <cellStyle name="Note 3 3 2 4 3 2 3 2" xfId="10211"/>
    <cellStyle name="Note 3 3 2 4 3 2 3 2 2" xfId="16473"/>
    <cellStyle name="Note 3 3 2 4 3 2 3 2 2 2" xfId="29889"/>
    <cellStyle name="Note 3 3 2 4 3 2 3 2 3" xfId="21218"/>
    <cellStyle name="Note 3 3 2 4 3 2 3 3" xfId="14201"/>
    <cellStyle name="Note 3 3 2 4 3 2 3 3 2" xfId="28523"/>
    <cellStyle name="Note 3 3 2 4 3 2 3 4" xfId="19846"/>
    <cellStyle name="Note 3 3 2 4 3 2 4" xfId="6572"/>
    <cellStyle name="Note 3 3 2 4 3 2 4 2" xfId="23582"/>
    <cellStyle name="Note 3 3 2 4 3 2 5" xfId="6638"/>
    <cellStyle name="Note 3 3 2 4 3 3" xfId="2177"/>
    <cellStyle name="Note 3 3 2 4 3 3 2" xfId="7216"/>
    <cellStyle name="Note 3 3 2 4 3 3 2 2" xfId="9830"/>
    <cellStyle name="Note 3 3 2 4 3 3 2 2 2" xfId="16092"/>
    <cellStyle name="Note 3 3 2 4 3 3 2 2 2 2" xfId="29508"/>
    <cellStyle name="Note 3 3 2 4 3 3 2 2 3" xfId="20837"/>
    <cellStyle name="Note 3 3 2 4 3 3 2 3" xfId="13820"/>
    <cellStyle name="Note 3 3 2 4 3 3 2 3 2" xfId="28142"/>
    <cellStyle name="Note 3 3 2 4 3 3 2 4" xfId="19465"/>
    <cellStyle name="Note 3 3 2 4 3 3 3" xfId="11772"/>
    <cellStyle name="Note 3 3 2 4 3 3 3 2" xfId="26094"/>
    <cellStyle name="Note 3 3 2 4 3 3 4" xfId="17417"/>
    <cellStyle name="Note 3 3 2 4 3 4" xfId="5175"/>
    <cellStyle name="Note 3 3 2 4 3 4 2" xfId="11724"/>
    <cellStyle name="Note 3 3 2 4 3 4 2 2" xfId="26046"/>
    <cellStyle name="Note 3 3 2 4 3 4 3" xfId="3841"/>
    <cellStyle name="Note 3 3 2 4 3 5" xfId="6802"/>
    <cellStyle name="Note 3 3 2 4 3 5 2" xfId="23742"/>
    <cellStyle name="Note 3 3 2 4 3 6" xfId="17025"/>
    <cellStyle name="Note 3 3 2 4 4" xfId="2178"/>
    <cellStyle name="Note 3 3 2 4 4 2" xfId="7032"/>
    <cellStyle name="Note 3 3 2 4 4 2 2" xfId="13636"/>
    <cellStyle name="Note 3 3 2 4 4 2 2 2" xfId="27958"/>
    <cellStyle name="Note 3 3 2 4 4 2 3" xfId="19281"/>
    <cellStyle name="Note 3 3 2 4 4 3" xfId="5296"/>
    <cellStyle name="Note 3 3 2 4 4 3 2" xfId="9605"/>
    <cellStyle name="Note 3 3 2 4 4 3 2 2" xfId="15867"/>
    <cellStyle name="Note 3 3 2 4 4 3 2 2 2" xfId="29283"/>
    <cellStyle name="Note 3 3 2 4 4 3 2 3" xfId="20612"/>
    <cellStyle name="Note 3 3 2 4 4 3 3" xfId="11846"/>
    <cellStyle name="Note 3 3 2 4 4 3 3 2" xfId="26168"/>
    <cellStyle name="Note 3 3 2 4 4 3 4" xfId="17491"/>
    <cellStyle name="Note 3 3 2 4 4 4" xfId="11572"/>
    <cellStyle name="Note 3 3 2 4 4 4 2" xfId="25894"/>
    <cellStyle name="Note 3 3 2 4 4 5" xfId="15410"/>
    <cellStyle name="Note 3 3 2 4 5" xfId="2179"/>
    <cellStyle name="Note 3 3 2 4 5 2" xfId="4766"/>
    <cellStyle name="Note 3 3 2 4 5 2 2" xfId="9479"/>
    <cellStyle name="Note 3 3 2 4 5 2 2 2" xfId="15741"/>
    <cellStyle name="Note 3 3 2 4 5 2 2 2 2" xfId="29157"/>
    <cellStyle name="Note 3 3 2 4 5 2 2 3" xfId="20486"/>
    <cellStyle name="Note 3 3 2 4 5 2 3" xfId="2812"/>
    <cellStyle name="Note 3 3 2 4 5 2 3 2" xfId="22375"/>
    <cellStyle name="Note 3 3 2 4 5 2 4" xfId="17376"/>
    <cellStyle name="Note 3 3 2 4 5 3" xfId="12729"/>
    <cellStyle name="Note 3 3 2 4 5 3 2" xfId="27051"/>
    <cellStyle name="Note 3 3 2 4 5 4" xfId="18374"/>
    <cellStyle name="Note 3 3 2 4 6" xfId="5125"/>
    <cellStyle name="Note 3 3 2 4 6 2" xfId="11674"/>
    <cellStyle name="Note 3 3 2 4 6 2 2" xfId="25996"/>
    <cellStyle name="Note 3 3 2 4 6 3" xfId="15518"/>
    <cellStyle name="Note 3 3 2 4 7" xfId="6610"/>
    <cellStyle name="Note 3 3 2 4 7 2" xfId="23602"/>
    <cellStyle name="Note 3 3 2 4 8" xfId="17305"/>
    <cellStyle name="Note 3 3 2 5" xfId="2180"/>
    <cellStyle name="Note 3 3 2 5 2" xfId="2181"/>
    <cellStyle name="Note 3 3 2 5 2 2" xfId="2182"/>
    <cellStyle name="Note 3 3 2 5 2 2 2" xfId="5459"/>
    <cellStyle name="Note 3 3 2 5 2 2 2 2" xfId="12010"/>
    <cellStyle name="Note 3 3 2 5 2 2 2 2 2" xfId="26332"/>
    <cellStyle name="Note 3 3 2 5 2 2 2 3" xfId="17655"/>
    <cellStyle name="Note 3 3 2 5 2 2 3" xfId="3152"/>
    <cellStyle name="Note 3 3 2 5 2 2 3 2" xfId="8984"/>
    <cellStyle name="Note 3 3 2 5 2 2 3 2 2" xfId="15339"/>
    <cellStyle name="Note 3 3 2 5 2 2 3 2 2 2" xfId="29002"/>
    <cellStyle name="Note 3 3 2 5 2 2 3 2 3" xfId="20329"/>
    <cellStyle name="Note 3 3 2 5 2 2 3 3" xfId="5038"/>
    <cellStyle name="Note 3 3 2 5 2 2 3 3 2" xfId="23318"/>
    <cellStyle name="Note 3 3 2 5 2 2 3 4" xfId="14756"/>
    <cellStyle name="Note 3 3 2 5 2 2 4" xfId="3255"/>
    <cellStyle name="Note 3 3 2 5 2 2 4 2" xfId="22447"/>
    <cellStyle name="Note 3 3 2 5 2 2 5" xfId="15526"/>
    <cellStyle name="Note 3 3 2 5 2 3" xfId="2183"/>
    <cellStyle name="Note 3 3 2 5 2 3 2" xfId="7481"/>
    <cellStyle name="Note 3 3 2 5 2 3 2 2" xfId="10095"/>
    <cellStyle name="Note 3 3 2 5 2 3 2 2 2" xfId="16357"/>
    <cellStyle name="Note 3 3 2 5 2 3 2 2 2 2" xfId="29773"/>
    <cellStyle name="Note 3 3 2 5 2 3 2 2 3" xfId="21102"/>
    <cellStyle name="Note 3 3 2 5 2 3 2 3" xfId="14085"/>
    <cellStyle name="Note 3 3 2 5 2 3 2 3 2" xfId="28407"/>
    <cellStyle name="Note 3 3 2 5 2 3 2 4" xfId="19730"/>
    <cellStyle name="Note 3 3 2 5 2 3 3" xfId="13243"/>
    <cellStyle name="Note 3 3 2 5 2 3 3 2" xfId="27565"/>
    <cellStyle name="Note 3 3 2 5 2 3 4" xfId="18888"/>
    <cellStyle name="Note 3 3 2 5 2 4" xfId="5684"/>
    <cellStyle name="Note 3 3 2 5 2 4 2" xfId="12237"/>
    <cellStyle name="Note 3 3 2 5 2 4 2 2" xfId="26559"/>
    <cellStyle name="Note 3 3 2 5 2 4 3" xfId="17882"/>
    <cellStyle name="Note 3 3 2 5 2 5" xfId="6354"/>
    <cellStyle name="Note 3 3 2 5 2 5 2" xfId="23538"/>
    <cellStyle name="Note 3 3 2 5 2 6" xfId="14700"/>
    <cellStyle name="Note 3 3 2 5 3" xfId="2184"/>
    <cellStyle name="Note 3 3 2 5 3 2" xfId="2185"/>
    <cellStyle name="Note 3 3 2 5 3 2 2" xfId="6879"/>
    <cellStyle name="Note 3 3 2 5 3 2 2 2" xfId="13483"/>
    <cellStyle name="Note 3 3 2 5 3 2 2 2 2" xfId="27805"/>
    <cellStyle name="Note 3 3 2 5 3 2 2 3" xfId="19128"/>
    <cellStyle name="Note 3 3 2 5 3 2 3" xfId="7507"/>
    <cellStyle name="Note 3 3 2 5 3 2 3 2" xfId="10121"/>
    <cellStyle name="Note 3 3 2 5 3 2 3 2 2" xfId="16383"/>
    <cellStyle name="Note 3 3 2 5 3 2 3 2 2 2" xfId="29799"/>
    <cellStyle name="Note 3 3 2 5 3 2 3 2 3" xfId="21128"/>
    <cellStyle name="Note 3 3 2 5 3 2 3 3" xfId="14111"/>
    <cellStyle name="Note 3 3 2 5 3 2 3 3 2" xfId="28433"/>
    <cellStyle name="Note 3 3 2 5 3 2 3 4" xfId="19756"/>
    <cellStyle name="Note 3 3 2 5 3 2 4" xfId="11349"/>
    <cellStyle name="Note 3 3 2 5 3 2 4 2" xfId="25671"/>
    <cellStyle name="Note 3 3 2 5 3 2 5" xfId="17231"/>
    <cellStyle name="Note 3 3 2 5 3 3" xfId="2186"/>
    <cellStyle name="Note 3 3 2 5 3 3 2" xfId="7271"/>
    <cellStyle name="Note 3 3 2 5 3 3 2 2" xfId="9885"/>
    <cellStyle name="Note 3 3 2 5 3 3 2 2 2" xfId="16147"/>
    <cellStyle name="Note 3 3 2 5 3 3 2 2 2 2" xfId="29563"/>
    <cellStyle name="Note 3 3 2 5 3 3 2 2 3" xfId="20892"/>
    <cellStyle name="Note 3 3 2 5 3 3 2 3" xfId="13875"/>
    <cellStyle name="Note 3 3 2 5 3 3 2 3 2" xfId="28197"/>
    <cellStyle name="Note 3 3 2 5 3 3 2 4" xfId="19520"/>
    <cellStyle name="Note 3 3 2 5 3 3 3" xfId="12482"/>
    <cellStyle name="Note 3 3 2 5 3 3 3 2" xfId="26804"/>
    <cellStyle name="Note 3 3 2 5 3 3 4" xfId="18127"/>
    <cellStyle name="Note 3 3 2 5 3 4" xfId="3467"/>
    <cellStyle name="Note 3 3 2 5 3 4 2" xfId="3680"/>
    <cellStyle name="Note 3 3 2 5 3 4 2 2" xfId="22524"/>
    <cellStyle name="Note 3 3 2 5 3 4 3" xfId="17107"/>
    <cellStyle name="Note 3 3 2 5 3 5" xfId="4802"/>
    <cellStyle name="Note 3 3 2 5 3 5 2" xfId="23195"/>
    <cellStyle name="Note 3 3 2 5 3 6" xfId="4735"/>
    <cellStyle name="Note 3 3 2 5 4" xfId="2187"/>
    <cellStyle name="Note 3 3 2 5 4 2" xfId="6524"/>
    <cellStyle name="Note 3 3 2 5 4 2 2" xfId="13112"/>
    <cellStyle name="Note 3 3 2 5 4 2 2 2" xfId="27434"/>
    <cellStyle name="Note 3 3 2 5 4 2 3" xfId="18757"/>
    <cellStyle name="Note 3 3 2 5 4 3" xfId="7190"/>
    <cellStyle name="Note 3 3 2 5 4 3 2" xfId="9804"/>
    <cellStyle name="Note 3 3 2 5 4 3 2 2" xfId="16066"/>
    <cellStyle name="Note 3 3 2 5 4 3 2 2 2" xfId="29482"/>
    <cellStyle name="Note 3 3 2 5 4 3 2 3" xfId="20811"/>
    <cellStyle name="Note 3 3 2 5 4 3 3" xfId="13794"/>
    <cellStyle name="Note 3 3 2 5 4 3 3 2" xfId="28116"/>
    <cellStyle name="Note 3 3 2 5 4 3 4" xfId="19439"/>
    <cellStyle name="Note 3 3 2 5 4 4" xfId="2833"/>
    <cellStyle name="Note 3 3 2 5 4 4 2" xfId="22396"/>
    <cellStyle name="Note 3 3 2 5 4 5" xfId="17365"/>
    <cellStyle name="Note 3 3 2 5 5" xfId="2188"/>
    <cellStyle name="Note 3 3 2 5 5 2" xfId="7948"/>
    <cellStyle name="Note 3 3 2 5 5 2 2" xfId="10562"/>
    <cellStyle name="Note 3 3 2 5 5 2 2 2" xfId="16824"/>
    <cellStyle name="Note 3 3 2 5 5 2 2 2 2" xfId="30240"/>
    <cellStyle name="Note 3 3 2 5 5 2 2 3" xfId="21569"/>
    <cellStyle name="Note 3 3 2 5 5 2 3" xfId="14552"/>
    <cellStyle name="Note 3 3 2 5 5 2 3 2" xfId="28874"/>
    <cellStyle name="Note 3 3 2 5 5 2 4" xfId="20197"/>
    <cellStyle name="Note 3 3 2 5 5 3" xfId="12706"/>
    <cellStyle name="Note 3 3 2 5 5 3 2" xfId="27028"/>
    <cellStyle name="Note 3 3 2 5 5 4" xfId="18351"/>
    <cellStyle name="Note 3 3 2 5 6" xfId="5084"/>
    <cellStyle name="Note 3 3 2 5 6 2" xfId="11631"/>
    <cellStyle name="Note 3 3 2 5 6 2 2" xfId="25953"/>
    <cellStyle name="Note 3 3 2 5 6 3" xfId="15248"/>
    <cellStyle name="Note 3 3 2 5 7" xfId="4399"/>
    <cellStyle name="Note 3 3 2 5 7 2" xfId="22928"/>
    <cellStyle name="Note 3 3 2 5 8" xfId="17165"/>
    <cellStyle name="Note 3 3 2 6" xfId="2189"/>
    <cellStyle name="Note 3 3 2 6 2" xfId="2190"/>
    <cellStyle name="Note 3 3 2 6 2 2" xfId="2191"/>
    <cellStyle name="Note 3 3 2 6 2 2 2" xfId="5132"/>
    <cellStyle name="Note 3 3 2 6 2 2 2 2" xfId="11681"/>
    <cellStyle name="Note 3 3 2 6 2 2 2 2 2" xfId="26003"/>
    <cellStyle name="Note 3 3 2 6 2 2 2 3" xfId="6664"/>
    <cellStyle name="Note 3 3 2 6 2 2 3" xfId="7769"/>
    <cellStyle name="Note 3 3 2 6 2 2 3 2" xfId="10383"/>
    <cellStyle name="Note 3 3 2 6 2 2 3 2 2" xfId="16645"/>
    <cellStyle name="Note 3 3 2 6 2 2 3 2 2 2" xfId="30061"/>
    <cellStyle name="Note 3 3 2 6 2 2 3 2 3" xfId="21390"/>
    <cellStyle name="Note 3 3 2 6 2 2 3 3" xfId="14373"/>
    <cellStyle name="Note 3 3 2 6 2 2 3 3 2" xfId="28695"/>
    <cellStyle name="Note 3 3 2 6 2 2 3 4" xfId="20018"/>
    <cellStyle name="Note 3 3 2 6 2 2 4" xfId="4540"/>
    <cellStyle name="Note 3 3 2 6 2 2 4 2" xfId="23020"/>
    <cellStyle name="Note 3 3 2 6 2 2 5" xfId="15133"/>
    <cellStyle name="Note 3 3 2 6 2 3" xfId="2192"/>
    <cellStyle name="Note 3 3 2 6 2 3 2" xfId="7767"/>
    <cellStyle name="Note 3 3 2 6 2 3 2 2" xfId="10381"/>
    <cellStyle name="Note 3 3 2 6 2 3 2 2 2" xfId="16643"/>
    <cellStyle name="Note 3 3 2 6 2 3 2 2 2 2" xfId="30059"/>
    <cellStyle name="Note 3 3 2 6 2 3 2 2 3" xfId="21388"/>
    <cellStyle name="Note 3 3 2 6 2 3 2 3" xfId="14371"/>
    <cellStyle name="Note 3 3 2 6 2 3 2 3 2" xfId="28693"/>
    <cellStyle name="Note 3 3 2 6 2 3 2 4" xfId="20016"/>
    <cellStyle name="Note 3 3 2 6 2 3 3" xfId="13377"/>
    <cellStyle name="Note 3 3 2 6 2 3 3 2" xfId="27699"/>
    <cellStyle name="Note 3 3 2 6 2 3 4" xfId="19022"/>
    <cellStyle name="Note 3 3 2 6 2 4" xfId="5830"/>
    <cellStyle name="Note 3 3 2 6 2 4 2" xfId="12383"/>
    <cellStyle name="Note 3 3 2 6 2 4 2 2" xfId="26705"/>
    <cellStyle name="Note 3 3 2 6 2 4 3" xfId="18028"/>
    <cellStyle name="Note 3 3 2 6 2 5" xfId="6702"/>
    <cellStyle name="Note 3 3 2 6 2 5 2" xfId="23661"/>
    <cellStyle name="Note 3 3 2 6 2 6" xfId="17205"/>
    <cellStyle name="Note 3 3 2 6 3" xfId="2193"/>
    <cellStyle name="Note 3 3 2 6 3 2" xfId="6536"/>
    <cellStyle name="Note 3 3 2 6 3 2 2" xfId="13124"/>
    <cellStyle name="Note 3 3 2 6 3 2 2 2" xfId="27446"/>
    <cellStyle name="Note 3 3 2 6 3 2 3" xfId="18769"/>
    <cellStyle name="Note 3 3 2 6 3 3" xfId="7790"/>
    <cellStyle name="Note 3 3 2 6 3 3 2" xfId="10404"/>
    <cellStyle name="Note 3 3 2 6 3 3 2 2" xfId="16666"/>
    <cellStyle name="Note 3 3 2 6 3 3 2 2 2" xfId="30082"/>
    <cellStyle name="Note 3 3 2 6 3 3 2 3" xfId="21411"/>
    <cellStyle name="Note 3 3 2 6 3 3 3" xfId="14394"/>
    <cellStyle name="Note 3 3 2 6 3 3 3 2" xfId="28716"/>
    <cellStyle name="Note 3 3 2 6 3 3 4" xfId="20039"/>
    <cellStyle name="Note 3 3 2 6 3 4" xfId="6069"/>
    <cellStyle name="Note 3 3 2 6 3 4 2" xfId="23406"/>
    <cellStyle name="Note 3 3 2 6 3 5" xfId="14874"/>
    <cellStyle name="Note 3 3 2 6 4" xfId="2194"/>
    <cellStyle name="Note 3 3 2 6 4 2" xfId="7891"/>
    <cellStyle name="Note 3 3 2 6 4 2 2" xfId="10505"/>
    <cellStyle name="Note 3 3 2 6 4 2 2 2" xfId="16767"/>
    <cellStyle name="Note 3 3 2 6 4 2 2 2 2" xfId="30183"/>
    <cellStyle name="Note 3 3 2 6 4 2 2 3" xfId="21512"/>
    <cellStyle name="Note 3 3 2 6 4 2 3" xfId="14495"/>
    <cellStyle name="Note 3 3 2 6 4 2 3 2" xfId="28817"/>
    <cellStyle name="Note 3 3 2 6 4 2 4" xfId="20140"/>
    <cellStyle name="Note 3 3 2 6 4 3" xfId="4250"/>
    <cellStyle name="Note 3 3 2 6 4 3 2" xfId="22852"/>
    <cellStyle name="Note 3 3 2 6 4 4" xfId="14864"/>
    <cellStyle name="Note 3 3 2 6 5" xfId="5215"/>
    <cellStyle name="Note 3 3 2 6 5 2" xfId="11764"/>
    <cellStyle name="Note 3 3 2 6 5 2 2" xfId="26086"/>
    <cellStyle name="Note 3 3 2 6 5 3" xfId="17409"/>
    <cellStyle name="Note 3 3 2 6 6" xfId="4492"/>
    <cellStyle name="Note 3 3 2 6 6 2" xfId="22985"/>
    <cellStyle name="Note 3 3 2 6 7" xfId="4618"/>
    <cellStyle name="Note 3 3 2 7" xfId="2195"/>
    <cellStyle name="Note 3 3 2 7 2" xfId="2196"/>
    <cellStyle name="Note 3 3 2 7 2 2" xfId="5437"/>
    <cellStyle name="Note 3 3 2 7 2 2 2" xfId="11988"/>
    <cellStyle name="Note 3 3 2 7 2 2 2 2" xfId="26310"/>
    <cellStyle name="Note 3 3 2 7 2 2 3" xfId="17633"/>
    <cellStyle name="Note 3 3 2 7 2 3" xfId="7931"/>
    <cellStyle name="Note 3 3 2 7 2 3 2" xfId="10545"/>
    <cellStyle name="Note 3 3 2 7 2 3 2 2" xfId="16807"/>
    <cellStyle name="Note 3 3 2 7 2 3 2 2 2" xfId="30223"/>
    <cellStyle name="Note 3 3 2 7 2 3 2 3" xfId="21552"/>
    <cellStyle name="Note 3 3 2 7 2 3 3" xfId="14535"/>
    <cellStyle name="Note 3 3 2 7 2 3 3 2" xfId="28857"/>
    <cellStyle name="Note 3 3 2 7 2 3 4" xfId="20180"/>
    <cellStyle name="Note 3 3 2 7 2 4" xfId="4452"/>
    <cellStyle name="Note 3 3 2 7 2 4 2" xfId="22961"/>
    <cellStyle name="Note 3 3 2 7 2 5" xfId="15049"/>
    <cellStyle name="Note 3 3 2 7 3" xfId="2197"/>
    <cellStyle name="Note 3 3 2 7 3 2" xfId="4839"/>
    <cellStyle name="Note 3 3 2 7 3 2 2" xfId="9499"/>
    <cellStyle name="Note 3 3 2 7 3 2 2 2" xfId="15761"/>
    <cellStyle name="Note 3 3 2 7 3 2 2 2 2" xfId="29177"/>
    <cellStyle name="Note 3 3 2 7 3 2 2 3" xfId="20506"/>
    <cellStyle name="Note 3 3 2 7 3 2 3" xfId="11372"/>
    <cellStyle name="Note 3 3 2 7 3 2 3 2" xfId="25694"/>
    <cellStyle name="Note 3 3 2 7 3 2 4" xfId="17267"/>
    <cellStyle name="Note 3 3 2 7 3 3" xfId="13065"/>
    <cellStyle name="Note 3 3 2 7 3 3 2" xfId="27387"/>
    <cellStyle name="Note 3 3 2 7 3 4" xfId="18710"/>
    <cellStyle name="Note 3 3 2 7 4" xfId="5401"/>
    <cellStyle name="Note 3 3 2 7 4 2" xfId="11951"/>
    <cellStyle name="Note 3 3 2 7 4 2 2" xfId="26273"/>
    <cellStyle name="Note 3 3 2 7 4 3" xfId="17596"/>
    <cellStyle name="Note 3 3 2 7 5" xfId="4661"/>
    <cellStyle name="Note 3 3 2 7 5 2" xfId="23101"/>
    <cellStyle name="Note 3 3 2 7 6" xfId="15205"/>
    <cellStyle name="Note 3 3 2 8" xfId="2198"/>
    <cellStyle name="Note 3 3 2 8 2" xfId="7035"/>
    <cellStyle name="Note 3 3 2 8 2 2" xfId="13639"/>
    <cellStyle name="Note 3 3 2 8 2 2 2" xfId="27961"/>
    <cellStyle name="Note 3 3 2 8 2 3" xfId="19284"/>
    <cellStyle name="Note 3 3 2 8 3" xfId="7722"/>
    <cellStyle name="Note 3 3 2 8 3 2" xfId="10336"/>
    <cellStyle name="Note 3 3 2 8 3 2 2" xfId="16598"/>
    <cellStyle name="Note 3 3 2 8 3 2 2 2" xfId="30014"/>
    <cellStyle name="Note 3 3 2 8 3 2 3" xfId="21343"/>
    <cellStyle name="Note 3 3 2 8 3 3" xfId="14326"/>
    <cellStyle name="Note 3 3 2 8 3 3 2" xfId="28648"/>
    <cellStyle name="Note 3 3 2 8 3 4" xfId="19971"/>
    <cellStyle name="Note 3 3 2 8 4" xfId="11577"/>
    <cellStyle name="Note 3 3 2 8 4 2" xfId="25899"/>
    <cellStyle name="Note 3 3 2 8 5" xfId="17215"/>
    <cellStyle name="Note 3 3 2 9" xfId="2199"/>
    <cellStyle name="Note 3 3 2 9 2" xfId="7984"/>
    <cellStyle name="Note 3 3 2 9 2 2" xfId="10598"/>
    <cellStyle name="Note 3 3 2 9 2 2 2" xfId="16860"/>
    <cellStyle name="Note 3 3 2 9 2 2 2 2" xfId="30276"/>
    <cellStyle name="Note 3 3 2 9 2 2 3" xfId="21605"/>
    <cellStyle name="Note 3 3 2 9 2 3" xfId="14588"/>
    <cellStyle name="Note 3 3 2 9 2 3 2" xfId="28910"/>
    <cellStyle name="Note 3 3 2 9 2 4" xfId="20233"/>
    <cellStyle name="Note 3 3 2 9 3" xfId="11669"/>
    <cellStyle name="Note 3 3 2 9 3 2" xfId="25991"/>
    <cellStyle name="Note 3 3 2 9 4" xfId="14925"/>
    <cellStyle name="Note 3 3 3" xfId="2200"/>
    <cellStyle name="Note 3 3 3 10" xfId="6586"/>
    <cellStyle name="Note 3 3 3 10 2" xfId="23591"/>
    <cellStyle name="Note 3 3 3 11" xfId="15215"/>
    <cellStyle name="Note 3 3 3 2" xfId="2201"/>
    <cellStyle name="Note 3 3 3 2 2" xfId="2202"/>
    <cellStyle name="Note 3 3 3 2 2 2" xfId="2203"/>
    <cellStyle name="Note 3 3 3 2 2 2 2" xfId="5368"/>
    <cellStyle name="Note 3 3 3 2 2 2 2 2" xfId="11918"/>
    <cellStyle name="Note 3 3 3 2 2 2 2 2 2" xfId="26240"/>
    <cellStyle name="Note 3 3 3 2 2 2 2 3" xfId="17563"/>
    <cellStyle name="Note 3 3 3 2 2 2 3" xfId="7120"/>
    <cellStyle name="Note 3 3 3 2 2 2 3 2" xfId="9734"/>
    <cellStyle name="Note 3 3 3 2 2 2 3 2 2" xfId="15996"/>
    <cellStyle name="Note 3 3 3 2 2 2 3 2 2 2" xfId="29412"/>
    <cellStyle name="Note 3 3 3 2 2 2 3 2 3" xfId="20741"/>
    <cellStyle name="Note 3 3 3 2 2 2 3 3" xfId="13724"/>
    <cellStyle name="Note 3 3 3 2 2 2 3 3 2" xfId="28046"/>
    <cellStyle name="Note 3 3 3 2 2 2 3 4" xfId="19369"/>
    <cellStyle name="Note 3 3 3 2 2 2 4" xfId="4147"/>
    <cellStyle name="Note 3 3 3 2 2 2 4 2" xfId="22784"/>
    <cellStyle name="Note 3 3 3 2 2 2 5" xfId="4523"/>
    <cellStyle name="Note 3 3 3 2 2 3" xfId="2204"/>
    <cellStyle name="Note 3 3 3 2 2 3 2" xfId="7089"/>
    <cellStyle name="Note 3 3 3 2 2 3 2 2" xfId="9703"/>
    <cellStyle name="Note 3 3 3 2 2 3 2 2 2" xfId="15965"/>
    <cellStyle name="Note 3 3 3 2 2 3 2 2 2 2" xfId="29381"/>
    <cellStyle name="Note 3 3 3 2 2 3 2 2 3" xfId="20710"/>
    <cellStyle name="Note 3 3 3 2 2 3 2 3" xfId="13693"/>
    <cellStyle name="Note 3 3 3 2 2 3 2 3 2" xfId="28015"/>
    <cellStyle name="Note 3 3 3 2 2 3 2 4" xfId="19338"/>
    <cellStyle name="Note 3 3 3 2 2 3 3" xfId="13300"/>
    <cellStyle name="Note 3 3 3 2 2 3 3 2" xfId="27622"/>
    <cellStyle name="Note 3 3 3 2 2 3 4" xfId="18945"/>
    <cellStyle name="Note 3 3 3 2 2 4" xfId="5750"/>
    <cellStyle name="Note 3 3 3 2 2 4 2" xfId="12303"/>
    <cellStyle name="Note 3 3 3 2 2 4 2 2" xfId="26625"/>
    <cellStyle name="Note 3 3 3 2 2 4 3" xfId="17948"/>
    <cellStyle name="Note 3 3 3 2 2 5" xfId="6613"/>
    <cellStyle name="Note 3 3 3 2 2 5 2" xfId="23605"/>
    <cellStyle name="Note 3 3 3 2 2 6" xfId="15081"/>
    <cellStyle name="Note 3 3 3 2 3" xfId="2205"/>
    <cellStyle name="Note 3 3 3 2 3 2" xfId="2206"/>
    <cellStyle name="Note 3 3 3 2 3 2 2" xfId="7027"/>
    <cellStyle name="Note 3 3 3 2 3 2 2 2" xfId="13631"/>
    <cellStyle name="Note 3 3 3 2 3 2 2 2 2" xfId="27953"/>
    <cellStyle name="Note 3 3 3 2 3 2 2 3" xfId="19276"/>
    <cellStyle name="Note 3 3 3 2 3 2 3" xfId="7889"/>
    <cellStyle name="Note 3 3 3 2 3 2 3 2" xfId="10503"/>
    <cellStyle name="Note 3 3 3 2 3 2 3 2 2" xfId="16765"/>
    <cellStyle name="Note 3 3 3 2 3 2 3 2 2 2" xfId="30181"/>
    <cellStyle name="Note 3 3 3 2 3 2 3 2 3" xfId="21510"/>
    <cellStyle name="Note 3 3 3 2 3 2 3 3" xfId="14493"/>
    <cellStyle name="Note 3 3 3 2 3 2 3 3 2" xfId="28815"/>
    <cellStyle name="Note 3 3 3 2 3 2 3 4" xfId="20138"/>
    <cellStyle name="Note 3 3 3 2 3 2 4" xfId="11566"/>
    <cellStyle name="Note 3 3 3 2 3 2 4 2" xfId="25888"/>
    <cellStyle name="Note 3 3 3 2 3 2 5" xfId="14929"/>
    <cellStyle name="Note 3 3 3 2 3 3" xfId="2207"/>
    <cellStyle name="Note 3 3 3 2 3 3 2" xfId="7499"/>
    <cellStyle name="Note 3 3 3 2 3 3 2 2" xfId="10113"/>
    <cellStyle name="Note 3 3 3 2 3 3 2 2 2" xfId="16375"/>
    <cellStyle name="Note 3 3 3 2 3 3 2 2 2 2" xfId="29791"/>
    <cellStyle name="Note 3 3 3 2 3 3 2 2 3" xfId="21120"/>
    <cellStyle name="Note 3 3 3 2 3 3 2 3" xfId="14103"/>
    <cellStyle name="Note 3 3 3 2 3 3 2 3 2" xfId="28425"/>
    <cellStyle name="Note 3 3 3 2 3 3 2 4" xfId="19748"/>
    <cellStyle name="Note 3 3 3 2 3 3 3" xfId="13171"/>
    <cellStyle name="Note 3 3 3 2 3 3 3 2" xfId="27493"/>
    <cellStyle name="Note 3 3 3 2 3 3 4" xfId="18816"/>
    <cellStyle name="Note 3 3 3 2 3 4" xfId="5594"/>
    <cellStyle name="Note 3 3 3 2 3 4 2" xfId="12146"/>
    <cellStyle name="Note 3 3 3 2 3 4 2 2" xfId="26468"/>
    <cellStyle name="Note 3 3 3 2 3 4 3" xfId="17791"/>
    <cellStyle name="Note 3 3 3 2 3 5" xfId="4740"/>
    <cellStyle name="Note 3 3 3 2 3 5 2" xfId="23163"/>
    <cellStyle name="Note 3 3 3 2 3 6" xfId="17081"/>
    <cellStyle name="Note 3 3 3 2 4" xfId="2208"/>
    <cellStyle name="Note 3 3 3 2 4 2" xfId="6843"/>
    <cellStyle name="Note 3 3 3 2 4 2 2" xfId="13447"/>
    <cellStyle name="Note 3 3 3 2 4 2 2 2" xfId="27769"/>
    <cellStyle name="Note 3 3 3 2 4 2 3" xfId="19092"/>
    <cellStyle name="Note 3 3 3 2 4 3" xfId="7882"/>
    <cellStyle name="Note 3 3 3 2 4 3 2" xfId="10496"/>
    <cellStyle name="Note 3 3 3 2 4 3 2 2" xfId="16758"/>
    <cellStyle name="Note 3 3 3 2 4 3 2 2 2" xfId="30174"/>
    <cellStyle name="Note 3 3 3 2 4 3 2 3" xfId="21503"/>
    <cellStyle name="Note 3 3 3 2 4 3 3" xfId="14486"/>
    <cellStyle name="Note 3 3 3 2 4 3 3 2" xfId="28808"/>
    <cellStyle name="Note 3 3 3 2 4 3 4" xfId="20131"/>
    <cellStyle name="Note 3 3 3 2 4 4" xfId="2769"/>
    <cellStyle name="Note 3 3 3 2 4 4 2" xfId="22338"/>
    <cellStyle name="Note 3 3 3 2 4 5" xfId="3758"/>
    <cellStyle name="Note 3 3 3 2 5" xfId="2209"/>
    <cellStyle name="Note 3 3 3 2 5 2" xfId="8069"/>
    <cellStyle name="Note 3 3 3 2 5 2 2" xfId="10683"/>
    <cellStyle name="Note 3 3 3 2 5 2 2 2" xfId="16945"/>
    <cellStyle name="Note 3 3 3 2 5 2 2 2 2" xfId="30361"/>
    <cellStyle name="Note 3 3 3 2 5 2 2 3" xfId="21690"/>
    <cellStyle name="Note 3 3 3 2 5 2 3" xfId="14673"/>
    <cellStyle name="Note 3 3 3 2 5 2 3 2" xfId="28995"/>
    <cellStyle name="Note 3 3 3 2 5 2 4" xfId="20318"/>
    <cellStyle name="Note 3 3 3 2 5 3" xfId="12876"/>
    <cellStyle name="Note 3 3 3 2 5 3 2" xfId="27198"/>
    <cellStyle name="Note 3 3 3 2 5 4" xfId="18521"/>
    <cellStyle name="Note 3 3 3 2 6" xfId="5494"/>
    <cellStyle name="Note 3 3 3 2 6 2" xfId="12045"/>
    <cellStyle name="Note 3 3 3 2 6 2 2" xfId="26367"/>
    <cellStyle name="Note 3 3 3 2 6 3" xfId="17690"/>
    <cellStyle name="Note 3 3 3 2 7" xfId="4404"/>
    <cellStyle name="Note 3 3 3 2 7 2" xfId="22931"/>
    <cellStyle name="Note 3 3 3 2 8" xfId="17110"/>
    <cellStyle name="Note 3 3 3 3" xfId="2210"/>
    <cellStyle name="Note 3 3 3 3 2" xfId="2211"/>
    <cellStyle name="Note 3 3 3 3 2 2" xfId="2212"/>
    <cellStyle name="Note 3 3 3 3 2 2 2" xfId="6529"/>
    <cellStyle name="Note 3 3 3 3 2 2 2 2" xfId="13117"/>
    <cellStyle name="Note 3 3 3 3 2 2 2 2 2" xfId="27439"/>
    <cellStyle name="Note 3 3 3 3 2 2 2 3" xfId="18762"/>
    <cellStyle name="Note 3 3 3 3 2 2 3" xfId="4402"/>
    <cellStyle name="Note 3 3 3 3 2 2 3 2" xfId="9461"/>
    <cellStyle name="Note 3 3 3 3 2 2 3 2 2" xfId="15723"/>
    <cellStyle name="Note 3 3 3 3 2 2 3 2 2 2" xfId="29139"/>
    <cellStyle name="Note 3 3 3 3 2 2 3 2 3" xfId="20468"/>
    <cellStyle name="Note 3 3 3 3 2 2 3 3" xfId="3727"/>
    <cellStyle name="Note 3 3 3 3 2 2 3 3 2" xfId="22549"/>
    <cellStyle name="Note 3 3 3 3 2 2 3 4" xfId="17186"/>
    <cellStyle name="Note 3 3 3 3 2 2 4" xfId="2828"/>
    <cellStyle name="Note 3 3 3 3 2 2 4 2" xfId="22391"/>
    <cellStyle name="Note 3 3 3 3 2 2 5" xfId="16983"/>
    <cellStyle name="Note 3 3 3 3 2 3" xfId="2213"/>
    <cellStyle name="Note 3 3 3 3 2 3 2" xfId="7525"/>
    <cellStyle name="Note 3 3 3 3 2 3 2 2" xfId="10139"/>
    <cellStyle name="Note 3 3 3 3 2 3 2 2 2" xfId="16401"/>
    <cellStyle name="Note 3 3 3 3 2 3 2 2 2 2" xfId="29817"/>
    <cellStyle name="Note 3 3 3 3 2 3 2 2 3" xfId="21146"/>
    <cellStyle name="Note 3 3 3 3 2 3 2 3" xfId="14129"/>
    <cellStyle name="Note 3 3 3 3 2 3 2 3 2" xfId="28451"/>
    <cellStyle name="Note 3 3 3 3 2 3 2 4" xfId="19774"/>
    <cellStyle name="Note 3 3 3 3 2 3 3" xfId="13336"/>
    <cellStyle name="Note 3 3 3 3 2 3 3 2" xfId="27658"/>
    <cellStyle name="Note 3 3 3 3 2 3 4" xfId="18981"/>
    <cellStyle name="Note 3 3 3 3 2 4" xfId="5786"/>
    <cellStyle name="Note 3 3 3 3 2 4 2" xfId="12339"/>
    <cellStyle name="Note 3 3 3 3 2 4 2 2" xfId="26661"/>
    <cellStyle name="Note 3 3 3 3 2 4 3" xfId="17984"/>
    <cellStyle name="Note 3 3 3 3 2 5" xfId="4290"/>
    <cellStyle name="Note 3 3 3 3 2 5 2" xfId="22874"/>
    <cellStyle name="Note 3 3 3 3 2 6" xfId="15396"/>
    <cellStyle name="Note 3 3 3 3 3" xfId="2214"/>
    <cellStyle name="Note 3 3 3 3 3 2" xfId="2215"/>
    <cellStyle name="Note 3 3 3 3 3 2 2" xfId="6515"/>
    <cellStyle name="Note 3 3 3 3 3 2 2 2" xfId="13103"/>
    <cellStyle name="Note 3 3 3 3 3 2 2 2 2" xfId="27425"/>
    <cellStyle name="Note 3 3 3 3 3 2 2 3" xfId="18748"/>
    <cellStyle name="Note 3 3 3 3 3 2 3" xfId="5326"/>
    <cellStyle name="Note 3 3 3 3 3 2 3 2" xfId="9635"/>
    <cellStyle name="Note 3 3 3 3 3 2 3 2 2" xfId="15897"/>
    <cellStyle name="Note 3 3 3 3 3 2 3 2 2 2" xfId="29313"/>
    <cellStyle name="Note 3 3 3 3 3 2 3 2 3" xfId="20642"/>
    <cellStyle name="Note 3 3 3 3 3 2 3 3" xfId="11876"/>
    <cellStyle name="Note 3 3 3 3 3 2 3 3 2" xfId="26198"/>
    <cellStyle name="Note 3 3 3 3 3 2 3 4" xfId="17521"/>
    <cellStyle name="Note 3 3 3 3 3 2 4" xfId="4643"/>
    <cellStyle name="Note 3 3 3 3 3 2 4 2" xfId="23087"/>
    <cellStyle name="Note 3 3 3 3 3 2 5" xfId="14775"/>
    <cellStyle name="Note 3 3 3 3 3 3" xfId="2216"/>
    <cellStyle name="Note 3 3 3 3 3 3 2" xfId="7102"/>
    <cellStyle name="Note 3 3 3 3 3 3 2 2" xfId="9716"/>
    <cellStyle name="Note 3 3 3 3 3 3 2 2 2" xfId="15978"/>
    <cellStyle name="Note 3 3 3 3 3 3 2 2 2 2" xfId="29394"/>
    <cellStyle name="Note 3 3 3 3 3 3 2 2 3" xfId="20723"/>
    <cellStyle name="Note 3 3 3 3 3 3 2 3" xfId="13706"/>
    <cellStyle name="Note 3 3 3 3 3 3 2 3 2" xfId="28028"/>
    <cellStyle name="Note 3 3 3 3 3 3 2 4" xfId="19351"/>
    <cellStyle name="Note 3 3 3 3 3 3 3" xfId="13408"/>
    <cellStyle name="Note 3 3 3 3 3 3 3 2" xfId="27730"/>
    <cellStyle name="Note 3 3 3 3 3 3 4" xfId="19053"/>
    <cellStyle name="Note 3 3 3 3 3 4" xfId="5876"/>
    <cellStyle name="Note 3 3 3 3 3 4 2" xfId="12429"/>
    <cellStyle name="Note 3 3 3 3 3 4 2 2" xfId="26751"/>
    <cellStyle name="Note 3 3 3 3 3 4 3" xfId="18074"/>
    <cellStyle name="Note 3 3 3 3 3 5" xfId="4674"/>
    <cellStyle name="Note 3 3 3 3 3 5 2" xfId="23113"/>
    <cellStyle name="Note 3 3 3 3 3 6" xfId="15088"/>
    <cellStyle name="Note 3 3 3 3 4" xfId="2217"/>
    <cellStyle name="Note 3 3 3 3 4 2" xfId="5886"/>
    <cellStyle name="Note 3 3 3 3 4 2 2" xfId="12439"/>
    <cellStyle name="Note 3 3 3 3 4 2 2 2" xfId="26761"/>
    <cellStyle name="Note 3 3 3 3 4 2 3" xfId="18084"/>
    <cellStyle name="Note 3 3 3 3 4 3" xfId="7070"/>
    <cellStyle name="Note 3 3 3 3 4 3 2" xfId="9684"/>
    <cellStyle name="Note 3 3 3 3 4 3 2 2" xfId="15946"/>
    <cellStyle name="Note 3 3 3 3 4 3 2 2 2" xfId="29362"/>
    <cellStyle name="Note 3 3 3 3 4 3 2 3" xfId="20691"/>
    <cellStyle name="Note 3 3 3 3 4 3 3" xfId="13674"/>
    <cellStyle name="Note 3 3 3 3 4 3 3 2" xfId="27996"/>
    <cellStyle name="Note 3 3 3 3 4 3 4" xfId="19319"/>
    <cellStyle name="Note 3 3 3 3 4 4" xfId="4687"/>
    <cellStyle name="Note 3 3 3 3 4 4 2" xfId="23123"/>
    <cellStyle name="Note 3 3 3 3 4 5" xfId="15176"/>
    <cellStyle name="Note 3 3 3 3 5" xfId="2218"/>
    <cellStyle name="Note 3 3 3 3 5 2" xfId="5259"/>
    <cellStyle name="Note 3 3 3 3 5 2 2" xfId="9568"/>
    <cellStyle name="Note 3 3 3 3 5 2 2 2" xfId="15830"/>
    <cellStyle name="Note 3 3 3 3 5 2 2 2 2" xfId="29246"/>
    <cellStyle name="Note 3 3 3 3 5 2 2 3" xfId="20575"/>
    <cellStyle name="Note 3 3 3 3 5 2 3" xfId="11809"/>
    <cellStyle name="Note 3 3 3 3 5 2 3 2" xfId="26131"/>
    <cellStyle name="Note 3 3 3 3 5 2 4" xfId="17454"/>
    <cellStyle name="Note 3 3 3 3 5 3" xfId="12912"/>
    <cellStyle name="Note 3 3 3 3 5 3 2" xfId="27234"/>
    <cellStyle name="Note 3 3 3 3 5 4" xfId="18557"/>
    <cellStyle name="Note 3 3 3 3 6" xfId="5536"/>
    <cellStyle name="Note 3 3 3 3 6 2" xfId="12087"/>
    <cellStyle name="Note 3 3 3 3 6 2 2" xfId="26409"/>
    <cellStyle name="Note 3 3 3 3 6 3" xfId="17732"/>
    <cellStyle name="Note 3 3 3 3 7" xfId="4182"/>
    <cellStyle name="Note 3 3 3 3 7 2" xfId="22804"/>
    <cellStyle name="Note 3 3 3 3 8" xfId="15341"/>
    <cellStyle name="Note 3 3 3 4" xfId="2219"/>
    <cellStyle name="Note 3 3 3 4 2" xfId="2220"/>
    <cellStyle name="Note 3 3 3 4 2 2" xfId="2221"/>
    <cellStyle name="Note 3 3 3 4 2 2 2" xfId="6837"/>
    <cellStyle name="Note 3 3 3 4 2 2 2 2" xfId="13441"/>
    <cellStyle name="Note 3 3 3 4 2 2 2 2 2" xfId="27763"/>
    <cellStyle name="Note 3 3 3 4 2 2 2 3" xfId="19086"/>
    <cellStyle name="Note 3 3 3 4 2 2 3" xfId="7075"/>
    <cellStyle name="Note 3 3 3 4 2 2 3 2" xfId="9689"/>
    <cellStyle name="Note 3 3 3 4 2 2 3 2 2" xfId="15951"/>
    <cellStyle name="Note 3 3 3 4 2 2 3 2 2 2" xfId="29367"/>
    <cellStyle name="Note 3 3 3 4 2 2 3 2 3" xfId="20696"/>
    <cellStyle name="Note 3 3 3 4 2 2 3 3" xfId="13679"/>
    <cellStyle name="Note 3 3 3 4 2 2 3 3 2" xfId="28001"/>
    <cellStyle name="Note 3 3 3 4 2 2 3 4" xfId="19324"/>
    <cellStyle name="Note 3 3 3 4 2 2 4" xfId="2772"/>
    <cellStyle name="Note 3 3 3 4 2 2 4 2" xfId="22341"/>
    <cellStyle name="Note 3 3 3 4 2 2 5" xfId="3648"/>
    <cellStyle name="Note 3 3 3 4 2 3" xfId="2222"/>
    <cellStyle name="Note 3 3 3 4 2 3 2" xfId="7661"/>
    <cellStyle name="Note 3 3 3 4 2 3 2 2" xfId="10275"/>
    <cellStyle name="Note 3 3 3 4 2 3 2 2 2" xfId="16537"/>
    <cellStyle name="Note 3 3 3 4 2 3 2 2 2 2" xfId="29953"/>
    <cellStyle name="Note 3 3 3 4 2 3 2 2 3" xfId="21282"/>
    <cellStyle name="Note 3 3 3 4 2 3 2 3" xfId="14265"/>
    <cellStyle name="Note 3 3 3 4 2 3 2 3 2" xfId="28587"/>
    <cellStyle name="Note 3 3 3 4 2 3 2 4" xfId="19910"/>
    <cellStyle name="Note 3 3 3 4 2 3 3" xfId="13216"/>
    <cellStyle name="Note 3 3 3 4 2 3 3 2" xfId="27538"/>
    <cellStyle name="Note 3 3 3 4 2 3 4" xfId="18861"/>
    <cellStyle name="Note 3 3 3 4 2 4" xfId="5657"/>
    <cellStyle name="Note 3 3 3 4 2 4 2" xfId="12210"/>
    <cellStyle name="Note 3 3 3 4 2 4 2 2" xfId="26532"/>
    <cellStyle name="Note 3 3 3 4 2 4 3" xfId="17855"/>
    <cellStyle name="Note 3 3 3 4 2 5" xfId="6486"/>
    <cellStyle name="Note 3 3 3 4 2 5 2" xfId="23565"/>
    <cellStyle name="Note 3 3 3 4 2 6" xfId="15238"/>
    <cellStyle name="Note 3 3 3 4 3" xfId="2223"/>
    <cellStyle name="Note 3 3 3 4 3 2" xfId="2224"/>
    <cellStyle name="Note 3 3 3 4 3 2 2" xfId="5128"/>
    <cellStyle name="Note 3 3 3 4 3 2 2 2" xfId="11677"/>
    <cellStyle name="Note 3 3 3 4 3 2 2 2 2" xfId="25999"/>
    <cellStyle name="Note 3 3 3 4 3 2 2 3" xfId="6363"/>
    <cellStyle name="Note 3 3 3 4 3 2 3" xfId="7921"/>
    <cellStyle name="Note 3 3 3 4 3 2 3 2" xfId="10535"/>
    <cellStyle name="Note 3 3 3 4 3 2 3 2 2" xfId="16797"/>
    <cellStyle name="Note 3 3 3 4 3 2 3 2 2 2" xfId="30213"/>
    <cellStyle name="Note 3 3 3 4 3 2 3 2 3" xfId="21542"/>
    <cellStyle name="Note 3 3 3 4 3 2 3 3" xfId="14525"/>
    <cellStyle name="Note 3 3 3 4 3 2 3 3 2" xfId="28847"/>
    <cellStyle name="Note 3 3 3 4 3 2 3 4" xfId="20170"/>
    <cellStyle name="Note 3 3 3 4 3 2 4" xfId="4497"/>
    <cellStyle name="Note 3 3 3 4 3 2 4 2" xfId="22989"/>
    <cellStyle name="Note 3 3 3 4 3 2 5" xfId="4303"/>
    <cellStyle name="Note 3 3 3 4 3 3" xfId="2225"/>
    <cellStyle name="Note 3 3 3 4 3 3 2" xfId="7636"/>
    <cellStyle name="Note 3 3 3 4 3 3 2 2" xfId="10250"/>
    <cellStyle name="Note 3 3 3 4 3 3 2 2 2" xfId="16512"/>
    <cellStyle name="Note 3 3 3 4 3 3 2 2 2 2" xfId="29928"/>
    <cellStyle name="Note 3 3 3 4 3 3 2 2 3" xfId="21257"/>
    <cellStyle name="Note 3 3 3 4 3 3 2 3" xfId="14240"/>
    <cellStyle name="Note 3 3 3 4 3 3 2 3 2" xfId="28562"/>
    <cellStyle name="Note 3 3 3 4 3 3 2 4" xfId="19885"/>
    <cellStyle name="Note 3 3 3 4 3 3 3" xfId="12620"/>
    <cellStyle name="Note 3 3 3 4 3 3 3 2" xfId="26942"/>
    <cellStyle name="Note 3 3 3 4 3 3 4" xfId="18265"/>
    <cellStyle name="Note 3 3 3 4 3 4" xfId="5083"/>
    <cellStyle name="Note 3 3 3 4 3 4 2" xfId="11630"/>
    <cellStyle name="Note 3 3 3 4 3 4 2 2" xfId="25952"/>
    <cellStyle name="Note 3 3 3 4 3 4 3" xfId="5918"/>
    <cellStyle name="Note 3 3 3 4 3 5" xfId="5933"/>
    <cellStyle name="Note 3 3 3 4 3 5 2" xfId="23376"/>
    <cellStyle name="Note 3 3 3 4 3 6" xfId="15532"/>
    <cellStyle name="Note 3 3 3 4 4" xfId="2226"/>
    <cellStyle name="Note 3 3 3 4 4 2" xfId="6389"/>
    <cellStyle name="Note 3 3 3 4 4 2 2" xfId="12972"/>
    <cellStyle name="Note 3 3 3 4 4 2 2 2" xfId="27294"/>
    <cellStyle name="Note 3 3 3 4 4 2 3" xfId="18617"/>
    <cellStyle name="Note 3 3 3 4 4 3" xfId="7069"/>
    <cellStyle name="Note 3 3 3 4 4 3 2" xfId="9683"/>
    <cellStyle name="Note 3 3 3 4 4 3 2 2" xfId="15945"/>
    <cellStyle name="Note 3 3 3 4 4 3 2 2 2" xfId="29361"/>
    <cellStyle name="Note 3 3 3 4 4 3 2 3" xfId="20690"/>
    <cellStyle name="Note 3 3 3 4 4 3 3" xfId="13673"/>
    <cellStyle name="Note 3 3 3 4 4 3 3 2" xfId="27995"/>
    <cellStyle name="Note 3 3 3 4 4 3 4" xfId="19318"/>
    <cellStyle name="Note 3 3 3 4 4 4" xfId="4690"/>
    <cellStyle name="Note 3 3 3 4 4 4 2" xfId="23126"/>
    <cellStyle name="Note 3 3 3 4 4 5" xfId="14888"/>
    <cellStyle name="Note 3 3 3 4 5" xfId="2227"/>
    <cellStyle name="Note 3 3 3 4 5 2" xfId="7749"/>
    <cellStyle name="Note 3 3 3 4 5 2 2" xfId="10363"/>
    <cellStyle name="Note 3 3 3 4 5 2 2 2" xfId="16625"/>
    <cellStyle name="Note 3 3 3 4 5 2 2 2 2" xfId="30041"/>
    <cellStyle name="Note 3 3 3 4 5 2 2 3" xfId="21370"/>
    <cellStyle name="Note 3 3 3 4 5 2 3" xfId="14353"/>
    <cellStyle name="Note 3 3 3 4 5 2 3 2" xfId="28675"/>
    <cellStyle name="Note 3 3 3 4 5 2 4" xfId="19998"/>
    <cellStyle name="Note 3 3 3 4 5 3" xfId="4123"/>
    <cellStyle name="Note 3 3 3 4 5 3 2" xfId="22767"/>
    <cellStyle name="Note 3 3 3 4 5 4" xfId="15407"/>
    <cellStyle name="Note 3 3 3 4 6" xfId="5157"/>
    <cellStyle name="Note 3 3 3 4 6 2" xfId="11706"/>
    <cellStyle name="Note 3 3 3 4 6 2 2" xfId="26028"/>
    <cellStyle name="Note 3 3 3 4 6 3" xfId="4946"/>
    <cellStyle name="Note 3 3 3 4 7" xfId="6152"/>
    <cellStyle name="Note 3 3 3 4 7 2" xfId="23432"/>
    <cellStyle name="Note 3 3 3 4 8" xfId="17115"/>
    <cellStyle name="Note 3 3 3 5" xfId="2228"/>
    <cellStyle name="Note 3 3 3 5 2" xfId="2229"/>
    <cellStyle name="Note 3 3 3 5 2 2" xfId="2230"/>
    <cellStyle name="Note 3 3 3 5 2 2 2" xfId="6553"/>
    <cellStyle name="Note 3 3 3 5 2 2 2 2" xfId="13141"/>
    <cellStyle name="Note 3 3 3 5 2 2 2 2 2" xfId="27463"/>
    <cellStyle name="Note 3 3 3 5 2 2 2 3" xfId="18786"/>
    <cellStyle name="Note 3 3 3 5 2 2 3" xfId="4979"/>
    <cellStyle name="Note 3 3 3 5 2 2 3 2" xfId="9529"/>
    <cellStyle name="Note 3 3 3 5 2 2 3 2 2" xfId="15791"/>
    <cellStyle name="Note 3 3 3 5 2 2 3 2 2 2" xfId="29207"/>
    <cellStyle name="Note 3 3 3 5 2 2 3 2 3" xfId="20536"/>
    <cellStyle name="Note 3 3 3 5 2 2 3 3" xfId="11522"/>
    <cellStyle name="Note 3 3 3 5 2 2 3 3 2" xfId="25844"/>
    <cellStyle name="Note 3 3 3 5 2 2 3 4" xfId="14749"/>
    <cellStyle name="Note 3 3 3 5 2 2 4" xfId="3163"/>
    <cellStyle name="Note 3 3 3 5 2 2 4 2" xfId="22425"/>
    <cellStyle name="Note 3 3 3 5 2 2 5" xfId="15465"/>
    <cellStyle name="Note 3 3 3 5 2 3" xfId="2231"/>
    <cellStyle name="Note 3 3 3 5 2 3 2" xfId="8060"/>
    <cellStyle name="Note 3 3 3 5 2 3 2 2" xfId="10674"/>
    <cellStyle name="Note 3 3 3 5 2 3 2 2 2" xfId="16936"/>
    <cellStyle name="Note 3 3 3 5 2 3 2 2 2 2" xfId="30352"/>
    <cellStyle name="Note 3 3 3 5 2 3 2 2 3" xfId="21681"/>
    <cellStyle name="Note 3 3 3 5 2 3 2 3" xfId="14664"/>
    <cellStyle name="Note 3 3 3 5 2 3 2 3 2" xfId="28986"/>
    <cellStyle name="Note 3 3 3 5 2 3 2 4" xfId="20309"/>
    <cellStyle name="Note 3 3 3 5 2 3 3" xfId="13160"/>
    <cellStyle name="Note 3 3 3 5 2 3 3 2" xfId="27482"/>
    <cellStyle name="Note 3 3 3 5 2 3 4" xfId="18805"/>
    <cellStyle name="Note 3 3 3 5 2 4" xfId="5573"/>
    <cellStyle name="Note 3 3 3 5 2 4 2" xfId="12124"/>
    <cellStyle name="Note 3 3 3 5 2 4 2 2" xfId="26446"/>
    <cellStyle name="Note 3 3 3 5 2 4 3" xfId="17769"/>
    <cellStyle name="Note 3 3 3 5 2 5" xfId="4829"/>
    <cellStyle name="Note 3 3 3 5 2 5 2" xfId="23208"/>
    <cellStyle name="Note 3 3 3 5 2 6" xfId="17198"/>
    <cellStyle name="Note 3 3 3 5 3" xfId="2232"/>
    <cellStyle name="Note 3 3 3 5 3 2" xfId="6049"/>
    <cellStyle name="Note 3 3 3 5 3 2 2" xfId="12615"/>
    <cellStyle name="Note 3 3 3 5 3 2 2 2" xfId="26937"/>
    <cellStyle name="Note 3 3 3 5 3 2 3" xfId="18260"/>
    <cellStyle name="Note 3 3 3 5 3 3" xfId="7649"/>
    <cellStyle name="Note 3 3 3 5 3 3 2" xfId="10263"/>
    <cellStyle name="Note 3 3 3 5 3 3 2 2" xfId="16525"/>
    <cellStyle name="Note 3 3 3 5 3 3 2 2 2" xfId="29941"/>
    <cellStyle name="Note 3 3 3 5 3 3 2 3" xfId="21270"/>
    <cellStyle name="Note 3 3 3 5 3 3 3" xfId="14253"/>
    <cellStyle name="Note 3 3 3 5 3 3 3 2" xfId="28575"/>
    <cellStyle name="Note 3 3 3 5 3 3 4" xfId="19898"/>
    <cellStyle name="Note 3 3 3 5 3 4" xfId="3759"/>
    <cellStyle name="Note 3 3 3 5 3 4 2" xfId="22565"/>
    <cellStyle name="Note 3 3 3 5 3 5" xfId="14946"/>
    <cellStyle name="Note 3 3 3 5 4" xfId="2233"/>
    <cellStyle name="Note 3 3 3 5 4 2" xfId="7694"/>
    <cellStyle name="Note 3 3 3 5 4 2 2" xfId="10308"/>
    <cellStyle name="Note 3 3 3 5 4 2 2 2" xfId="16570"/>
    <cellStyle name="Note 3 3 3 5 4 2 2 2 2" xfId="29986"/>
    <cellStyle name="Note 3 3 3 5 4 2 2 3" xfId="21315"/>
    <cellStyle name="Note 3 3 3 5 4 2 3" xfId="14298"/>
    <cellStyle name="Note 3 3 3 5 4 2 3 2" xfId="28620"/>
    <cellStyle name="Note 3 3 3 5 4 2 4" xfId="19943"/>
    <cellStyle name="Note 3 3 3 5 4 3" xfId="12940"/>
    <cellStyle name="Note 3 3 3 5 4 3 2" xfId="27262"/>
    <cellStyle name="Note 3 3 3 5 4 4" xfId="18585"/>
    <cellStyle name="Note 3 3 3 5 5" xfId="5572"/>
    <cellStyle name="Note 3 3 3 5 5 2" xfId="12123"/>
    <cellStyle name="Note 3 3 3 5 5 2 2" xfId="26445"/>
    <cellStyle name="Note 3 3 3 5 5 3" xfId="17768"/>
    <cellStyle name="Note 3 3 3 5 6" xfId="4876"/>
    <cellStyle name="Note 3 3 3 5 6 2" xfId="23239"/>
    <cellStyle name="Note 3 3 3 5 7" xfId="15295"/>
    <cellStyle name="Note 3 3 3 6" xfId="2234"/>
    <cellStyle name="Note 3 3 3 6 2" xfId="2235"/>
    <cellStyle name="Note 3 3 3 6 2 2" xfId="5455"/>
    <cellStyle name="Note 3 3 3 6 2 2 2" xfId="12006"/>
    <cellStyle name="Note 3 3 3 6 2 2 2 2" xfId="26328"/>
    <cellStyle name="Note 3 3 3 6 2 2 3" xfId="17651"/>
    <cellStyle name="Note 3 3 3 6 2 3" xfId="7311"/>
    <cellStyle name="Note 3 3 3 6 2 3 2" xfId="9925"/>
    <cellStyle name="Note 3 3 3 6 2 3 2 2" xfId="16187"/>
    <cellStyle name="Note 3 3 3 6 2 3 2 2 2" xfId="29603"/>
    <cellStyle name="Note 3 3 3 6 2 3 2 3" xfId="20932"/>
    <cellStyle name="Note 3 3 3 6 2 3 3" xfId="13915"/>
    <cellStyle name="Note 3 3 3 6 2 3 3 2" xfId="28237"/>
    <cellStyle name="Note 3 3 3 6 2 3 4" xfId="19560"/>
    <cellStyle name="Note 3 3 3 6 2 4" xfId="3981"/>
    <cellStyle name="Note 3 3 3 6 2 4 2" xfId="22684"/>
    <cellStyle name="Note 3 3 3 6 2 5" xfId="14741"/>
    <cellStyle name="Note 3 3 3 6 3" xfId="2236"/>
    <cellStyle name="Note 3 3 3 6 3 2" xfId="7234"/>
    <cellStyle name="Note 3 3 3 6 3 2 2" xfId="9848"/>
    <cellStyle name="Note 3 3 3 6 3 2 2 2" xfId="16110"/>
    <cellStyle name="Note 3 3 3 6 3 2 2 2 2" xfId="29526"/>
    <cellStyle name="Note 3 3 3 6 3 2 2 3" xfId="20855"/>
    <cellStyle name="Note 3 3 3 6 3 2 3" xfId="13838"/>
    <cellStyle name="Note 3 3 3 6 3 2 3 2" xfId="28160"/>
    <cellStyle name="Note 3 3 3 6 3 2 4" xfId="19483"/>
    <cellStyle name="Note 3 3 3 6 3 3" xfId="11615"/>
    <cellStyle name="Note 3 3 3 6 3 3 2" xfId="25937"/>
    <cellStyle name="Note 3 3 3 6 3 4" xfId="15432"/>
    <cellStyle name="Note 3 3 3 6 4" xfId="4456"/>
    <cellStyle name="Note 3 3 3 6 4 2" xfId="4527"/>
    <cellStyle name="Note 3 3 3 6 4 2 2" xfId="23008"/>
    <cellStyle name="Note 3 3 3 6 4 3" xfId="4314"/>
    <cellStyle name="Note 3 3 3 6 5" xfId="6582"/>
    <cellStyle name="Note 3 3 3 6 5 2" xfId="23589"/>
    <cellStyle name="Note 3 3 3 6 6" xfId="14806"/>
    <cellStyle name="Note 3 3 3 7" xfId="2237"/>
    <cellStyle name="Note 3 3 3 7 2" xfId="6855"/>
    <cellStyle name="Note 3 3 3 7 2 2" xfId="13459"/>
    <cellStyle name="Note 3 3 3 7 2 2 2" xfId="27781"/>
    <cellStyle name="Note 3 3 3 7 2 3" xfId="19104"/>
    <cellStyle name="Note 3 3 3 7 3" xfId="5242"/>
    <cellStyle name="Note 3 3 3 7 3 2" xfId="9552"/>
    <cellStyle name="Note 3 3 3 7 3 2 2" xfId="15814"/>
    <cellStyle name="Note 3 3 3 7 3 2 2 2" xfId="29230"/>
    <cellStyle name="Note 3 3 3 7 3 2 3" xfId="20559"/>
    <cellStyle name="Note 3 3 3 7 3 3" xfId="11792"/>
    <cellStyle name="Note 3 3 3 7 3 3 2" xfId="26114"/>
    <cellStyle name="Note 3 3 3 7 3 4" xfId="17437"/>
    <cellStyle name="Note 3 3 3 7 4" xfId="11313"/>
    <cellStyle name="Note 3 3 3 7 4 2" xfId="25635"/>
    <cellStyle name="Note 3 3 3 7 5" xfId="17326"/>
    <cellStyle name="Note 3 3 3 8" xfId="2238"/>
    <cellStyle name="Note 3 3 3 8 2" xfId="7375"/>
    <cellStyle name="Note 3 3 3 8 2 2" xfId="9989"/>
    <cellStyle name="Note 3 3 3 8 2 2 2" xfId="16251"/>
    <cellStyle name="Note 3 3 3 8 2 2 2 2" xfId="29667"/>
    <cellStyle name="Note 3 3 3 8 2 2 3" xfId="20996"/>
    <cellStyle name="Note 3 3 3 8 2 3" xfId="13979"/>
    <cellStyle name="Note 3 3 3 8 2 3 2" xfId="28301"/>
    <cellStyle name="Note 3 3 3 8 2 4" xfId="19624"/>
    <cellStyle name="Note 3 3 3 8 3" xfId="11690"/>
    <cellStyle name="Note 3 3 3 8 3 2" xfId="26012"/>
    <cellStyle name="Note 3 3 3 8 4" xfId="6795"/>
    <cellStyle name="Note 3 3 3 9" xfId="5177"/>
    <cellStyle name="Note 3 3 3 9 2" xfId="11726"/>
    <cellStyle name="Note 3 3 3 9 2 2" xfId="26048"/>
    <cellStyle name="Note 3 3 3 9 3" xfId="4116"/>
    <cellStyle name="Note 3 3 4" xfId="2239"/>
    <cellStyle name="Note 3 3 4 2" xfId="2240"/>
    <cellStyle name="Note 3 3 4 2 2" xfId="2241"/>
    <cellStyle name="Note 3 3 4 2 2 2" xfId="6840"/>
    <cellStyle name="Note 3 3 4 2 2 2 2" xfId="13444"/>
    <cellStyle name="Note 3 3 4 2 2 2 2 2" xfId="27766"/>
    <cellStyle name="Note 3 3 4 2 2 2 3" xfId="19089"/>
    <cellStyle name="Note 3 3 4 2 2 3" xfId="7225"/>
    <cellStyle name="Note 3 3 4 2 2 3 2" xfId="9839"/>
    <cellStyle name="Note 3 3 4 2 2 3 2 2" xfId="16101"/>
    <cellStyle name="Note 3 3 4 2 2 3 2 2 2" xfId="29517"/>
    <cellStyle name="Note 3 3 4 2 2 3 2 3" xfId="20846"/>
    <cellStyle name="Note 3 3 4 2 2 3 3" xfId="13829"/>
    <cellStyle name="Note 3 3 4 2 2 3 3 2" xfId="28151"/>
    <cellStyle name="Note 3 3 4 2 2 3 4" xfId="19474"/>
    <cellStyle name="Note 3 3 4 2 2 4" xfId="2814"/>
    <cellStyle name="Note 3 3 4 2 2 4 2" xfId="22377"/>
    <cellStyle name="Note 3 3 4 2 2 5" xfId="14906"/>
    <cellStyle name="Note 3 3 4 2 3" xfId="2242"/>
    <cellStyle name="Note 3 3 4 2 3 2" xfId="7128"/>
    <cellStyle name="Note 3 3 4 2 3 2 2" xfId="9742"/>
    <cellStyle name="Note 3 3 4 2 3 2 2 2" xfId="16004"/>
    <cellStyle name="Note 3 3 4 2 3 2 2 2 2" xfId="29420"/>
    <cellStyle name="Note 3 3 4 2 3 2 2 3" xfId="20749"/>
    <cellStyle name="Note 3 3 4 2 3 2 3" xfId="13732"/>
    <cellStyle name="Note 3 3 4 2 3 2 3 2" xfId="28054"/>
    <cellStyle name="Note 3 3 4 2 3 2 4" xfId="19377"/>
    <cellStyle name="Note 3 3 4 2 3 3" xfId="13209"/>
    <cellStyle name="Note 3 3 4 2 3 3 2" xfId="27531"/>
    <cellStyle name="Note 3 3 4 2 3 4" xfId="18854"/>
    <cellStyle name="Note 3 3 4 2 4" xfId="5648"/>
    <cellStyle name="Note 3 3 4 2 4 2" xfId="12201"/>
    <cellStyle name="Note 3 3 4 2 4 2 2" xfId="26523"/>
    <cellStyle name="Note 3 3 4 2 4 3" xfId="17846"/>
    <cellStyle name="Note 3 3 4 2 5" xfId="4707"/>
    <cellStyle name="Note 3 3 4 2 5 2" xfId="23140"/>
    <cellStyle name="Note 3 3 4 2 6" xfId="17139"/>
    <cellStyle name="Note 3 3 4 3" xfId="2243"/>
    <cellStyle name="Note 3 3 4 3 2" xfId="2244"/>
    <cellStyle name="Note 3 3 4 3 2 2" xfId="6410"/>
    <cellStyle name="Note 3 3 4 3 2 2 2" xfId="12993"/>
    <cellStyle name="Note 3 3 4 3 2 2 2 2" xfId="27315"/>
    <cellStyle name="Note 3 3 4 3 2 2 3" xfId="18638"/>
    <cellStyle name="Note 3 3 4 3 2 3" xfId="7153"/>
    <cellStyle name="Note 3 3 4 3 2 3 2" xfId="9767"/>
    <cellStyle name="Note 3 3 4 3 2 3 2 2" xfId="16029"/>
    <cellStyle name="Note 3 3 4 3 2 3 2 2 2" xfId="29445"/>
    <cellStyle name="Note 3 3 4 3 2 3 2 3" xfId="20774"/>
    <cellStyle name="Note 3 3 4 3 2 3 3" xfId="13757"/>
    <cellStyle name="Note 3 3 4 3 2 3 3 2" xfId="28079"/>
    <cellStyle name="Note 3 3 4 3 2 3 4" xfId="19402"/>
    <cellStyle name="Note 3 3 4 3 2 4" xfId="3935"/>
    <cellStyle name="Note 3 3 4 3 2 4 2" xfId="22653"/>
    <cellStyle name="Note 3 3 4 3 2 5" xfId="17095"/>
    <cellStyle name="Note 3 3 4 3 3" xfId="2245"/>
    <cellStyle name="Note 3 3 4 3 3 2" xfId="5294"/>
    <cellStyle name="Note 3 3 4 3 3 2 2" xfId="9603"/>
    <cellStyle name="Note 3 3 4 3 3 2 2 2" xfId="15865"/>
    <cellStyle name="Note 3 3 4 3 3 2 2 2 2" xfId="29281"/>
    <cellStyle name="Note 3 3 4 3 3 2 2 3" xfId="20610"/>
    <cellStyle name="Note 3 3 4 3 3 2 3" xfId="11844"/>
    <cellStyle name="Note 3 3 4 3 3 2 3 2" xfId="26166"/>
    <cellStyle name="Note 3 3 4 3 3 2 4" xfId="17489"/>
    <cellStyle name="Note 3 3 4 3 3 3" xfId="13129"/>
    <cellStyle name="Note 3 3 4 3 3 3 2" xfId="27451"/>
    <cellStyle name="Note 3 3 4 3 3 4" xfId="18774"/>
    <cellStyle name="Note 3 3 4 3 4" xfId="5519"/>
    <cellStyle name="Note 3 3 4 3 4 2" xfId="12070"/>
    <cellStyle name="Note 3 3 4 3 4 2 2" xfId="26392"/>
    <cellStyle name="Note 3 3 4 3 4 3" xfId="17715"/>
    <cellStyle name="Note 3 3 4 3 5" xfId="6643"/>
    <cellStyle name="Note 3 3 4 3 5 2" xfId="23623"/>
    <cellStyle name="Note 3 3 4 3 6" xfId="4647"/>
    <cellStyle name="Note 3 3 4 4" xfId="2246"/>
    <cellStyle name="Note 3 3 4 4 2" xfId="6834"/>
    <cellStyle name="Note 3 3 4 4 2 2" xfId="13438"/>
    <cellStyle name="Note 3 3 4 4 2 2 2" xfId="27760"/>
    <cellStyle name="Note 3 3 4 4 2 3" xfId="19083"/>
    <cellStyle name="Note 3 3 4 4 3" xfId="7761"/>
    <cellStyle name="Note 3 3 4 4 3 2" xfId="10375"/>
    <cellStyle name="Note 3 3 4 4 3 2 2" xfId="16637"/>
    <cellStyle name="Note 3 3 4 4 3 2 2 2" xfId="30053"/>
    <cellStyle name="Note 3 3 4 4 3 2 3" xfId="21382"/>
    <cellStyle name="Note 3 3 4 4 3 3" xfId="14365"/>
    <cellStyle name="Note 3 3 4 4 3 3 2" xfId="28687"/>
    <cellStyle name="Note 3 3 4 4 3 4" xfId="20010"/>
    <cellStyle name="Note 3 3 4 4 4" xfId="2775"/>
    <cellStyle name="Note 3 3 4 4 4 2" xfId="22344"/>
    <cellStyle name="Note 3 3 4 4 5" xfId="15457"/>
    <cellStyle name="Note 3 3 4 5" xfId="2247"/>
    <cellStyle name="Note 3 3 4 5 2" xfId="5304"/>
    <cellStyle name="Note 3 3 4 5 2 2" xfId="9613"/>
    <cellStyle name="Note 3 3 4 5 2 2 2" xfId="15875"/>
    <cellStyle name="Note 3 3 4 5 2 2 2 2" xfId="29291"/>
    <cellStyle name="Note 3 3 4 5 2 2 3" xfId="20620"/>
    <cellStyle name="Note 3 3 4 5 2 3" xfId="11854"/>
    <cellStyle name="Note 3 3 4 5 2 3 2" xfId="26176"/>
    <cellStyle name="Note 3 3 4 5 2 4" xfId="17499"/>
    <cellStyle name="Note 3 3 4 5 3" xfId="12274"/>
    <cellStyle name="Note 3 3 4 5 3 2" xfId="26596"/>
    <cellStyle name="Note 3 3 4 5 4" xfId="17919"/>
    <cellStyle name="Note 3 3 4 6" xfId="5079"/>
    <cellStyle name="Note 3 3 4 6 2" xfId="11626"/>
    <cellStyle name="Note 3 3 4 6 2 2" xfId="25948"/>
    <cellStyle name="Note 3 3 4 6 3" xfId="15553"/>
    <cellStyle name="Note 3 3 4 7" xfId="4788"/>
    <cellStyle name="Note 3 3 4 7 2" xfId="23188"/>
    <cellStyle name="Note 3 3 4 8" xfId="15044"/>
    <cellStyle name="Note 3 3 5" xfId="2248"/>
    <cellStyle name="Note 3 3 5 2" xfId="2249"/>
    <cellStyle name="Note 3 3 5 2 2" xfId="2250"/>
    <cellStyle name="Note 3 3 5 2 2 2" xfId="7002"/>
    <cellStyle name="Note 3 3 5 2 2 2 2" xfId="13606"/>
    <cellStyle name="Note 3 3 5 2 2 2 2 2" xfId="27928"/>
    <cellStyle name="Note 3 3 5 2 2 2 3" xfId="19251"/>
    <cellStyle name="Note 3 3 5 2 2 3" xfId="3656"/>
    <cellStyle name="Note 3 3 5 2 2 3 2" xfId="9354"/>
    <cellStyle name="Note 3 3 5 2 2 3 2 2" xfId="15616"/>
    <cellStyle name="Note 3 3 5 2 2 3 2 2 2" xfId="29032"/>
    <cellStyle name="Note 3 3 5 2 2 3 2 3" xfId="20361"/>
    <cellStyle name="Note 3 3 5 2 2 3 3" xfId="3686"/>
    <cellStyle name="Note 3 3 5 2 2 3 3 2" xfId="22528"/>
    <cellStyle name="Note 3 3 5 2 2 3 4" xfId="4229"/>
    <cellStyle name="Note 3 3 5 2 2 4" xfId="11520"/>
    <cellStyle name="Note 3 3 5 2 2 4 2" xfId="25842"/>
    <cellStyle name="Note 3 3 5 2 2 5" xfId="15421"/>
    <cellStyle name="Note 3 3 5 2 3" xfId="2251"/>
    <cellStyle name="Note 3 3 5 2 3 2" xfId="4830"/>
    <cellStyle name="Note 3 3 5 2 3 2 2" xfId="9496"/>
    <cellStyle name="Note 3 3 5 2 3 2 2 2" xfId="15758"/>
    <cellStyle name="Note 3 3 5 2 3 2 2 2 2" xfId="29174"/>
    <cellStyle name="Note 3 3 5 2 3 2 2 3" xfId="20503"/>
    <cellStyle name="Note 3 3 5 2 3 2 3" xfId="11363"/>
    <cellStyle name="Note 3 3 5 2 3 2 3 2" xfId="25685"/>
    <cellStyle name="Note 3 3 5 2 3 2 4" xfId="15509"/>
    <cellStyle name="Note 3 3 5 2 3 3" xfId="13212"/>
    <cellStyle name="Note 3 3 5 2 3 3 2" xfId="27534"/>
    <cellStyle name="Note 3 3 5 2 3 4" xfId="18857"/>
    <cellStyle name="Note 3 3 5 2 4" xfId="5651"/>
    <cellStyle name="Note 3 3 5 2 4 2" xfId="12204"/>
    <cellStyle name="Note 3 3 5 2 4 2 2" xfId="26526"/>
    <cellStyle name="Note 3 3 5 2 4 3" xfId="17849"/>
    <cellStyle name="Note 3 3 5 2 5" xfId="4667"/>
    <cellStyle name="Note 3 3 5 2 5 2" xfId="23106"/>
    <cellStyle name="Note 3 3 5 2 6" xfId="17340"/>
    <cellStyle name="Note 3 3 5 3" xfId="2252"/>
    <cellStyle name="Note 3 3 5 3 2" xfId="2253"/>
    <cellStyle name="Note 3 3 5 3 2 2" xfId="6889"/>
    <cellStyle name="Note 3 3 5 3 2 2 2" xfId="13493"/>
    <cellStyle name="Note 3 3 5 3 2 2 2 2" xfId="27815"/>
    <cellStyle name="Note 3 3 5 3 2 2 3" xfId="19138"/>
    <cellStyle name="Note 3 3 5 3 2 3" xfId="7594"/>
    <cellStyle name="Note 3 3 5 3 2 3 2" xfId="10208"/>
    <cellStyle name="Note 3 3 5 3 2 3 2 2" xfId="16470"/>
    <cellStyle name="Note 3 3 5 3 2 3 2 2 2" xfId="29886"/>
    <cellStyle name="Note 3 3 5 3 2 3 2 3" xfId="21215"/>
    <cellStyle name="Note 3 3 5 3 2 3 3" xfId="14198"/>
    <cellStyle name="Note 3 3 5 3 2 3 3 2" xfId="28520"/>
    <cellStyle name="Note 3 3 5 3 2 3 4" xfId="19843"/>
    <cellStyle name="Note 3 3 5 3 2 4" xfId="11365"/>
    <cellStyle name="Note 3 3 5 3 2 4 2" xfId="25687"/>
    <cellStyle name="Note 3 3 5 3 2 5" xfId="15037"/>
    <cellStyle name="Note 3 3 5 3 3" xfId="2254"/>
    <cellStyle name="Note 3 3 5 3 3 2" xfId="7590"/>
    <cellStyle name="Note 3 3 5 3 3 2 2" xfId="10204"/>
    <cellStyle name="Note 3 3 5 3 3 2 2 2" xfId="16466"/>
    <cellStyle name="Note 3 3 5 3 3 2 2 2 2" xfId="29882"/>
    <cellStyle name="Note 3 3 5 3 3 2 2 3" xfId="21211"/>
    <cellStyle name="Note 3 3 5 3 3 2 3" xfId="14194"/>
    <cellStyle name="Note 3 3 5 3 3 2 3 2" xfId="28516"/>
    <cellStyle name="Note 3 3 5 3 3 2 4" xfId="19839"/>
    <cellStyle name="Note 3 3 5 3 3 3" xfId="12653"/>
    <cellStyle name="Note 3 3 5 3 3 3 2" xfId="26975"/>
    <cellStyle name="Note 3 3 5 3 3 4" xfId="18298"/>
    <cellStyle name="Note 3 3 5 3 4" xfId="4017"/>
    <cellStyle name="Note 3 3 5 3 4 2" xfId="3668"/>
    <cellStyle name="Note 3 3 5 3 4 2 2" xfId="22514"/>
    <cellStyle name="Note 3 3 5 3 4 3" xfId="6790"/>
    <cellStyle name="Note 3 3 5 3 5" xfId="4885"/>
    <cellStyle name="Note 3 3 5 3 5 2" xfId="23243"/>
    <cellStyle name="Note 3 3 5 3 6" xfId="2842"/>
    <cellStyle name="Note 3 3 5 4" xfId="2255"/>
    <cellStyle name="Note 3 3 5 4 2" xfId="6874"/>
    <cellStyle name="Note 3 3 5 4 2 2" xfId="13478"/>
    <cellStyle name="Note 3 3 5 4 2 2 2" xfId="27800"/>
    <cellStyle name="Note 3 3 5 4 2 3" xfId="19123"/>
    <cellStyle name="Note 3 3 5 4 3" xfId="7351"/>
    <cellStyle name="Note 3 3 5 4 3 2" xfId="9965"/>
    <cellStyle name="Note 3 3 5 4 3 2 2" xfId="16227"/>
    <cellStyle name="Note 3 3 5 4 3 2 2 2" xfId="29643"/>
    <cellStyle name="Note 3 3 5 4 3 2 3" xfId="20972"/>
    <cellStyle name="Note 3 3 5 4 3 3" xfId="13955"/>
    <cellStyle name="Note 3 3 5 4 3 3 2" xfId="28277"/>
    <cellStyle name="Note 3 3 5 4 3 4" xfId="19600"/>
    <cellStyle name="Note 3 3 5 4 4" xfId="11342"/>
    <cellStyle name="Note 3 3 5 4 4 2" xfId="25664"/>
    <cellStyle name="Note 3 3 5 4 5" xfId="16986"/>
    <cellStyle name="Note 3 3 5 5" xfId="2256"/>
    <cellStyle name="Note 3 3 5 5 2" xfId="7343"/>
    <cellStyle name="Note 3 3 5 5 2 2" xfId="9957"/>
    <cellStyle name="Note 3 3 5 5 2 2 2" xfId="16219"/>
    <cellStyle name="Note 3 3 5 5 2 2 2 2" xfId="29635"/>
    <cellStyle name="Note 3 3 5 5 2 2 3" xfId="20964"/>
    <cellStyle name="Note 3 3 5 5 2 3" xfId="13947"/>
    <cellStyle name="Note 3 3 5 5 2 3 2" xfId="28269"/>
    <cellStyle name="Note 3 3 5 5 2 4" xfId="19592"/>
    <cellStyle name="Note 3 3 5 5 3" xfId="4470"/>
    <cellStyle name="Note 3 3 5 5 3 2" xfId="22969"/>
    <cellStyle name="Note 3 3 5 5 4" xfId="17207"/>
    <cellStyle name="Note 3 3 5 6" xfId="5166"/>
    <cellStyle name="Note 3 3 5 6 2" xfId="11715"/>
    <cellStyle name="Note 3 3 5 6 2 2" xfId="26037"/>
    <cellStyle name="Note 3 3 5 6 3" xfId="6118"/>
    <cellStyle name="Note 3 3 5 7" xfId="4861"/>
    <cellStyle name="Note 3 3 5 7 2" xfId="23226"/>
    <cellStyle name="Note 3 3 5 8" xfId="15597"/>
    <cellStyle name="Note 3 3 6" xfId="2257"/>
    <cellStyle name="Note 3 3 6 2" xfId="2258"/>
    <cellStyle name="Note 3 3 6 2 2" xfId="2259"/>
    <cellStyle name="Note 3 3 6 2 2 2" xfId="6897"/>
    <cellStyle name="Note 3 3 6 2 2 2 2" xfId="13501"/>
    <cellStyle name="Note 3 3 6 2 2 2 2 2" xfId="27823"/>
    <cellStyle name="Note 3 3 6 2 2 2 3" xfId="19146"/>
    <cellStyle name="Note 3 3 6 2 2 3" xfId="4110"/>
    <cellStyle name="Note 3 3 6 2 2 3 2" xfId="9429"/>
    <cellStyle name="Note 3 3 6 2 2 3 2 2" xfId="15691"/>
    <cellStyle name="Note 3 3 6 2 2 3 2 2 2" xfId="29107"/>
    <cellStyle name="Note 3 3 6 2 2 3 2 3" xfId="20436"/>
    <cellStyle name="Note 3 3 6 2 2 3 3" xfId="6783"/>
    <cellStyle name="Note 3 3 6 2 2 3 3 2" xfId="23727"/>
    <cellStyle name="Note 3 3 6 2 2 3 4" xfId="17179"/>
    <cellStyle name="Note 3 3 6 2 2 4" xfId="11376"/>
    <cellStyle name="Note 3 3 6 2 2 4 2" xfId="25698"/>
    <cellStyle name="Note 3 3 6 2 2 5" xfId="17185"/>
    <cellStyle name="Note 3 3 6 2 3" xfId="2260"/>
    <cellStyle name="Note 3 3 6 2 3 2" xfId="5311"/>
    <cellStyle name="Note 3 3 6 2 3 2 2" xfId="9620"/>
    <cellStyle name="Note 3 3 6 2 3 2 2 2" xfId="15882"/>
    <cellStyle name="Note 3 3 6 2 3 2 2 2 2" xfId="29298"/>
    <cellStyle name="Note 3 3 6 2 3 2 2 3" xfId="20627"/>
    <cellStyle name="Note 3 3 6 2 3 2 3" xfId="11861"/>
    <cellStyle name="Note 3 3 6 2 3 2 3 2" xfId="26183"/>
    <cellStyle name="Note 3 3 6 2 3 2 4" xfId="17506"/>
    <cellStyle name="Note 3 3 6 2 3 3" xfId="13250"/>
    <cellStyle name="Note 3 3 6 2 3 3 2" xfId="27572"/>
    <cellStyle name="Note 3 3 6 2 3 4" xfId="18895"/>
    <cellStyle name="Note 3 3 6 2 4" xfId="5692"/>
    <cellStyle name="Note 3 3 6 2 4 2" xfId="12245"/>
    <cellStyle name="Note 3 3 6 2 4 2 2" xfId="26567"/>
    <cellStyle name="Note 3 3 6 2 4 3" xfId="17890"/>
    <cellStyle name="Note 3 3 6 2 5" xfId="4681"/>
    <cellStyle name="Note 3 3 6 2 5 2" xfId="23118"/>
    <cellStyle name="Note 3 3 6 2 6" xfId="14949"/>
    <cellStyle name="Note 3 3 6 3" xfId="2261"/>
    <cellStyle name="Note 3 3 6 3 2" xfId="2262"/>
    <cellStyle name="Note 3 3 6 3 2 2" xfId="6925"/>
    <cellStyle name="Note 3 3 6 3 2 2 2" xfId="13529"/>
    <cellStyle name="Note 3 3 6 3 2 2 2 2" xfId="27851"/>
    <cellStyle name="Note 3 3 6 3 2 2 3" xfId="19174"/>
    <cellStyle name="Note 3 3 6 3 2 3" xfId="7870"/>
    <cellStyle name="Note 3 3 6 3 2 3 2" xfId="10484"/>
    <cellStyle name="Note 3 3 6 3 2 3 2 2" xfId="16746"/>
    <cellStyle name="Note 3 3 6 3 2 3 2 2 2" xfId="30162"/>
    <cellStyle name="Note 3 3 6 3 2 3 2 3" xfId="21491"/>
    <cellStyle name="Note 3 3 6 3 2 3 3" xfId="14474"/>
    <cellStyle name="Note 3 3 6 3 2 3 3 2" xfId="28796"/>
    <cellStyle name="Note 3 3 6 3 2 3 4" xfId="20119"/>
    <cellStyle name="Note 3 3 6 3 2 4" xfId="11414"/>
    <cellStyle name="Note 3 3 6 3 2 4 2" xfId="25736"/>
    <cellStyle name="Note 3 3 6 3 2 5" xfId="17044"/>
    <cellStyle name="Note 3 3 6 3 3" xfId="2263"/>
    <cellStyle name="Note 3 3 6 3 3 2" xfId="7524"/>
    <cellStyle name="Note 3 3 6 3 3 2 2" xfId="10138"/>
    <cellStyle name="Note 3 3 6 3 3 2 2 2" xfId="16400"/>
    <cellStyle name="Note 3 3 6 3 3 2 2 2 2" xfId="29816"/>
    <cellStyle name="Note 3 3 6 3 3 2 2 3" xfId="21145"/>
    <cellStyle name="Note 3 3 6 3 3 2 3" xfId="14128"/>
    <cellStyle name="Note 3 3 6 3 3 2 3 2" xfId="28450"/>
    <cellStyle name="Note 3 3 6 3 3 2 4" xfId="19773"/>
    <cellStyle name="Note 3 3 6 3 3 3" xfId="12788"/>
    <cellStyle name="Note 3 3 6 3 3 3 2" xfId="27110"/>
    <cellStyle name="Note 3 3 6 3 3 4" xfId="18433"/>
    <cellStyle name="Note 3 3 6 3 4" xfId="4293"/>
    <cellStyle name="Note 3 3 6 3 4 2" xfId="2787"/>
    <cellStyle name="Note 3 3 6 3 4 2 2" xfId="22355"/>
    <cellStyle name="Note 3 3 6 3 4 3" xfId="14953"/>
    <cellStyle name="Note 3 3 6 3 5" xfId="4814"/>
    <cellStyle name="Note 3 3 6 3 5 2" xfId="23201"/>
    <cellStyle name="Note 3 3 6 3 6" xfId="16980"/>
    <cellStyle name="Note 3 3 6 4" xfId="2264"/>
    <cellStyle name="Note 3 3 6 4 2" xfId="6520"/>
    <cellStyle name="Note 3 3 6 4 2 2" xfId="13108"/>
    <cellStyle name="Note 3 3 6 4 2 2 2" xfId="27430"/>
    <cellStyle name="Note 3 3 6 4 2 3" xfId="18753"/>
    <cellStyle name="Note 3 3 6 4 3" xfId="3657"/>
    <cellStyle name="Note 3 3 6 4 3 2" xfId="9355"/>
    <cellStyle name="Note 3 3 6 4 3 2 2" xfId="15617"/>
    <cellStyle name="Note 3 3 6 4 3 2 2 2" xfId="29033"/>
    <cellStyle name="Note 3 3 6 4 3 2 3" xfId="20362"/>
    <cellStyle name="Note 3 3 6 4 3 3" xfId="6149"/>
    <cellStyle name="Note 3 3 6 4 3 3 2" xfId="23430"/>
    <cellStyle name="Note 3 3 6 4 3 4" xfId="17180"/>
    <cellStyle name="Note 3 3 6 4 4" xfId="3025"/>
    <cellStyle name="Note 3 3 6 4 4 2" xfId="22413"/>
    <cellStyle name="Note 3 3 6 4 5" xfId="15305"/>
    <cellStyle name="Note 3 3 6 5" xfId="2265"/>
    <cellStyle name="Note 3 3 6 5 2" xfId="7719"/>
    <cellStyle name="Note 3 3 6 5 2 2" xfId="10333"/>
    <cellStyle name="Note 3 3 6 5 2 2 2" xfId="16595"/>
    <cellStyle name="Note 3 3 6 5 2 2 2 2" xfId="30011"/>
    <cellStyle name="Note 3 3 6 5 2 2 3" xfId="21340"/>
    <cellStyle name="Note 3 3 6 5 2 3" xfId="14323"/>
    <cellStyle name="Note 3 3 6 5 2 3 2" xfId="28645"/>
    <cellStyle name="Note 3 3 6 5 2 4" xfId="19968"/>
    <cellStyle name="Note 3 3 6 5 3" xfId="12744"/>
    <cellStyle name="Note 3 3 6 5 3 2" xfId="27066"/>
    <cellStyle name="Note 3 3 6 5 4" xfId="18389"/>
    <cellStyle name="Note 3 3 6 6" xfId="5047"/>
    <cellStyle name="Note 3 3 6 6 2" xfId="11594"/>
    <cellStyle name="Note 3 3 6 6 2 2" xfId="25916"/>
    <cellStyle name="Note 3 3 6 6 3" xfId="6509"/>
    <cellStyle name="Note 3 3 6 7" xfId="4823"/>
    <cellStyle name="Note 3 3 6 7 2" xfId="23204"/>
    <cellStyle name="Note 3 3 6 8" xfId="6665"/>
    <cellStyle name="Note 3 3 7" xfId="2266"/>
    <cellStyle name="Note 3 3 7 2" xfId="2267"/>
    <cellStyle name="Note 3 3 7 2 2" xfId="2268"/>
    <cellStyle name="Note 3 3 7 2 2 2" xfId="6368"/>
    <cellStyle name="Note 3 3 7 2 2 2 2" xfId="12951"/>
    <cellStyle name="Note 3 3 7 2 2 2 2 2" xfId="27273"/>
    <cellStyle name="Note 3 3 7 2 2 2 3" xfId="18596"/>
    <cellStyle name="Note 3 3 7 2 2 3" xfId="7869"/>
    <cellStyle name="Note 3 3 7 2 2 3 2" xfId="10483"/>
    <cellStyle name="Note 3 3 7 2 2 3 2 2" xfId="16745"/>
    <cellStyle name="Note 3 3 7 2 2 3 2 2 2" xfId="30161"/>
    <cellStyle name="Note 3 3 7 2 2 3 2 3" xfId="21490"/>
    <cellStyle name="Note 3 3 7 2 2 3 3" xfId="14473"/>
    <cellStyle name="Note 3 3 7 2 2 3 3 2" xfId="28795"/>
    <cellStyle name="Note 3 3 7 2 2 3 4" xfId="20118"/>
    <cellStyle name="Note 3 3 7 2 2 4" xfId="4166"/>
    <cellStyle name="Note 3 3 7 2 2 4 2" xfId="22792"/>
    <cellStyle name="Note 3 3 7 2 2 5" xfId="14690"/>
    <cellStyle name="Note 3 3 7 2 3" xfId="2269"/>
    <cellStyle name="Note 3 3 7 2 3 2" xfId="7498"/>
    <cellStyle name="Note 3 3 7 2 3 2 2" xfId="10112"/>
    <cellStyle name="Note 3 3 7 2 3 2 2 2" xfId="16374"/>
    <cellStyle name="Note 3 3 7 2 3 2 2 2 2" xfId="29790"/>
    <cellStyle name="Note 3 3 7 2 3 2 2 3" xfId="21119"/>
    <cellStyle name="Note 3 3 7 2 3 2 3" xfId="14102"/>
    <cellStyle name="Note 3 3 7 2 3 2 3 2" xfId="28424"/>
    <cellStyle name="Note 3 3 7 2 3 2 4" xfId="19747"/>
    <cellStyle name="Note 3 3 7 2 3 3" xfId="13190"/>
    <cellStyle name="Note 3 3 7 2 3 3 2" xfId="27512"/>
    <cellStyle name="Note 3 3 7 2 3 4" xfId="18835"/>
    <cellStyle name="Note 3 3 7 2 4" xfId="5627"/>
    <cellStyle name="Note 3 3 7 2 4 2" xfId="12180"/>
    <cellStyle name="Note 3 3 7 2 4 2 2" xfId="26502"/>
    <cellStyle name="Note 3 3 7 2 4 3" xfId="17825"/>
    <cellStyle name="Note 3 3 7 2 5" xfId="5211"/>
    <cellStyle name="Note 3 3 7 2 5 2" xfId="23336"/>
    <cellStyle name="Note 3 3 7 2 6" xfId="14891"/>
    <cellStyle name="Note 3 3 7 3" xfId="2270"/>
    <cellStyle name="Note 3 3 7 3 2" xfId="5939"/>
    <cellStyle name="Note 3 3 7 3 2 2" xfId="12496"/>
    <cellStyle name="Note 3 3 7 3 2 2 2" xfId="26818"/>
    <cellStyle name="Note 3 3 7 3 2 3" xfId="18141"/>
    <cellStyle name="Note 3 3 7 3 3" xfId="7695"/>
    <cellStyle name="Note 3 3 7 3 3 2" xfId="10309"/>
    <cellStyle name="Note 3 3 7 3 3 2 2" xfId="16571"/>
    <cellStyle name="Note 3 3 7 3 3 2 2 2" xfId="29987"/>
    <cellStyle name="Note 3 3 7 3 3 2 3" xfId="21316"/>
    <cellStyle name="Note 3 3 7 3 3 3" xfId="14299"/>
    <cellStyle name="Note 3 3 7 3 3 3 2" xfId="28621"/>
    <cellStyle name="Note 3 3 7 3 3 4" xfId="19944"/>
    <cellStyle name="Note 3 3 7 3 4" xfId="6709"/>
    <cellStyle name="Note 3 3 7 3 4 2" xfId="23665"/>
    <cellStyle name="Note 3 3 7 3 5" xfId="15357"/>
    <cellStyle name="Note 3 3 7 4" xfId="2271"/>
    <cellStyle name="Note 3 3 7 4 2" xfId="7058"/>
    <cellStyle name="Note 3 3 7 4 2 2" xfId="9672"/>
    <cellStyle name="Note 3 3 7 4 2 2 2" xfId="15934"/>
    <cellStyle name="Note 3 3 7 4 2 2 2 2" xfId="29350"/>
    <cellStyle name="Note 3 3 7 4 2 2 3" xfId="20679"/>
    <cellStyle name="Note 3 3 7 4 2 3" xfId="13662"/>
    <cellStyle name="Note 3 3 7 4 2 3 2" xfId="27984"/>
    <cellStyle name="Note 3 3 7 4 2 4" xfId="19307"/>
    <cellStyle name="Note 3 3 7 4 3" xfId="11969"/>
    <cellStyle name="Note 3 3 7 4 3 2" xfId="26291"/>
    <cellStyle name="Note 3 3 7 4 4" xfId="17614"/>
    <cellStyle name="Note 3 3 7 5" xfId="5208"/>
    <cellStyle name="Note 3 3 7 5 2" xfId="11757"/>
    <cellStyle name="Note 3 3 7 5 2 2" xfId="26079"/>
    <cellStyle name="Note 3 3 7 5 3" xfId="17402"/>
    <cellStyle name="Note 3 3 7 6" xfId="6746"/>
    <cellStyle name="Note 3 3 7 6 2" xfId="23694"/>
    <cellStyle name="Note 3 3 7 7" xfId="15560"/>
    <cellStyle name="Note 3 3 8" xfId="2272"/>
    <cellStyle name="Note 3 3 8 2" xfId="2273"/>
    <cellStyle name="Note 3 3 8 2 2" xfId="4906"/>
    <cellStyle name="Note 3 3 8 2 2 2" xfId="11443"/>
    <cellStyle name="Note 3 3 8 2 2 2 2" xfId="25765"/>
    <cellStyle name="Note 3 3 8 2 2 3" xfId="15547"/>
    <cellStyle name="Note 3 3 8 2 3" xfId="8070"/>
    <cellStyle name="Note 3 3 8 2 3 2" xfId="10684"/>
    <cellStyle name="Note 3 3 8 2 3 2 2" xfId="16946"/>
    <cellStyle name="Note 3 3 8 2 3 2 2 2" xfId="30362"/>
    <cellStyle name="Note 3 3 8 2 3 2 3" xfId="21691"/>
    <cellStyle name="Note 3 3 8 2 3 3" xfId="14674"/>
    <cellStyle name="Note 3 3 8 2 3 3 2" xfId="28996"/>
    <cellStyle name="Note 3 3 8 2 3 4" xfId="20319"/>
    <cellStyle name="Note 3 3 8 2 4" xfId="4776"/>
    <cellStyle name="Note 3 3 8 2 4 2" xfId="23182"/>
    <cellStyle name="Note 3 3 8 2 5" xfId="4529"/>
    <cellStyle name="Note 3 3 8 3" xfId="2274"/>
    <cellStyle name="Note 3 3 8 3 2" xfId="7198"/>
    <cellStyle name="Note 3 3 8 3 2 2" xfId="9812"/>
    <cellStyle name="Note 3 3 8 3 2 2 2" xfId="16074"/>
    <cellStyle name="Note 3 3 8 3 2 2 2 2" xfId="29490"/>
    <cellStyle name="Note 3 3 8 3 2 2 3" xfId="20819"/>
    <cellStyle name="Note 3 3 8 3 2 3" xfId="13802"/>
    <cellStyle name="Note 3 3 8 3 2 3 2" xfId="28124"/>
    <cellStyle name="Note 3 3 8 3 2 4" xfId="19447"/>
    <cellStyle name="Note 3 3 8 3 3" xfId="12573"/>
    <cellStyle name="Note 3 3 8 3 3 2" xfId="26895"/>
    <cellStyle name="Note 3 3 8 3 4" xfId="18218"/>
    <cellStyle name="Note 3 3 8 4" xfId="5160"/>
    <cellStyle name="Note 3 3 8 4 2" xfId="11709"/>
    <cellStyle name="Note 3 3 8 4 2 2" xfId="26031"/>
    <cellStyle name="Note 3 3 8 4 3" xfId="4655"/>
    <cellStyle name="Note 3 3 8 5" xfId="4010"/>
    <cellStyle name="Note 3 3 8 5 2" xfId="22699"/>
    <cellStyle name="Note 3 3 8 6" xfId="14706"/>
    <cellStyle name="Note 3 3 9" xfId="2275"/>
    <cellStyle name="Note 3 3 9 2" xfId="5867"/>
    <cellStyle name="Note 3 3 9 2 2" xfId="12420"/>
    <cellStyle name="Note 3 3 9 2 2 2" xfId="26742"/>
    <cellStyle name="Note 3 3 9 2 3" xfId="18065"/>
    <cellStyle name="Note 3 3 9 3" xfId="7520"/>
    <cellStyle name="Note 3 3 9 3 2" xfId="10134"/>
    <cellStyle name="Note 3 3 9 3 2 2" xfId="16396"/>
    <cellStyle name="Note 3 3 9 3 2 2 2" xfId="29812"/>
    <cellStyle name="Note 3 3 9 3 2 3" xfId="21141"/>
    <cellStyle name="Note 3 3 9 3 3" xfId="14124"/>
    <cellStyle name="Note 3 3 9 3 3 2" xfId="28446"/>
    <cellStyle name="Note 3 3 9 3 4" xfId="19769"/>
    <cellStyle name="Note 3 3 9 4" xfId="4376"/>
    <cellStyle name="Note 3 3 9 4 2" xfId="22915"/>
    <cellStyle name="Note 3 3 9 5" xfId="4544"/>
    <cellStyle name="Note 3 4" xfId="2276"/>
    <cellStyle name="Note 3 4 2" xfId="6446"/>
    <cellStyle name="Note 3 4 2 2" xfId="13029"/>
    <cellStyle name="Note 3 4 2 2 2" xfId="27351"/>
    <cellStyle name="Note 3 4 2 3" xfId="18674"/>
    <cellStyle name="Note 3 4 3" xfId="7266"/>
    <cellStyle name="Note 3 4 3 2" xfId="9880"/>
    <cellStyle name="Note 3 4 3 2 2" xfId="16142"/>
    <cellStyle name="Note 3 4 3 2 2 2" xfId="29558"/>
    <cellStyle name="Note 3 4 3 2 3" xfId="20887"/>
    <cellStyle name="Note 3 4 3 3" xfId="13870"/>
    <cellStyle name="Note 3 4 3 3 2" xfId="28192"/>
    <cellStyle name="Note 3 4 3 4" xfId="19515"/>
    <cellStyle name="Note 3 4 4" xfId="4742"/>
    <cellStyle name="Note 3 4 4 2" xfId="23164"/>
    <cellStyle name="Note 3 4 5" xfId="17048"/>
    <cellStyle name="Note 3 5" xfId="4881"/>
    <cellStyle name="Note 3 5 2" xfId="11416"/>
    <cellStyle name="Note 3 5 2 2" xfId="25738"/>
    <cellStyle name="Note 3 5 3" xfId="15446"/>
    <cellStyle name="Note 3 6" xfId="6599"/>
    <cellStyle name="Note 3 6 2" xfId="23595"/>
    <cellStyle name="Note 3 7" xfId="15579"/>
    <cellStyle name="Note 3 8" xfId="21697"/>
    <cellStyle name="Note 3 9" xfId="30366"/>
    <cellStyle name="Output 2" xfId="2277"/>
    <cellStyle name="Output 2 2" xfId="2278"/>
    <cellStyle name="Output 2 2 10" xfId="2279"/>
    <cellStyle name="Output 2 2 10 2" xfId="3901"/>
    <cellStyle name="Output 2 2 10 2 2" xfId="9391"/>
    <cellStyle name="Output 2 2 10 2 2 2" xfId="15653"/>
    <cellStyle name="Output 2 2 10 2 2 2 2" xfId="29069"/>
    <cellStyle name="Output 2 2 10 2 2 3" xfId="20398"/>
    <cellStyle name="Output 2 2 10 2 3" xfId="3278"/>
    <cellStyle name="Output 2 2 10 2 3 2" xfId="22458"/>
    <cellStyle name="Output 2 2 10 2 4" xfId="6639"/>
    <cellStyle name="Output 2 2 10 3" xfId="12073"/>
    <cellStyle name="Output 2 2 10 3 2" xfId="26395"/>
    <cellStyle name="Output 2 2 10 4" xfId="17718"/>
    <cellStyle name="Output 2 2 11" xfId="4880"/>
    <cellStyle name="Output 2 2 11 2" xfId="11415"/>
    <cellStyle name="Output 2 2 11 2 2" xfId="25737"/>
    <cellStyle name="Output 2 2 11 3" xfId="14774"/>
    <cellStyle name="Output 2 2 12" xfId="3626"/>
    <cellStyle name="Output 2 2 12 2" xfId="22493"/>
    <cellStyle name="Output 2 2 13" xfId="3681"/>
    <cellStyle name="Output 2 2 2" xfId="2280"/>
    <cellStyle name="Output 2 2 2 10" xfId="5165"/>
    <cellStyle name="Output 2 2 2 10 2" xfId="11714"/>
    <cellStyle name="Output 2 2 2 10 2 2" xfId="26036"/>
    <cellStyle name="Output 2 2 2 10 3" xfId="3849"/>
    <cellStyle name="Output 2 2 2 11" xfId="4304"/>
    <cellStyle name="Output 2 2 2 11 2" xfId="22881"/>
    <cellStyle name="Output 2 2 2 12" xfId="17072"/>
    <cellStyle name="Output 2 2 2 2" xfId="2281"/>
    <cellStyle name="Output 2 2 2 2 10" xfId="4628"/>
    <cellStyle name="Output 2 2 2 2 10 2" xfId="23074"/>
    <cellStyle name="Output 2 2 2 2 11" xfId="14942"/>
    <cellStyle name="Output 2 2 2 2 2" xfId="2282"/>
    <cellStyle name="Output 2 2 2 2 2 2" xfId="2283"/>
    <cellStyle name="Output 2 2 2 2 2 2 2" xfId="2284"/>
    <cellStyle name="Output 2 2 2 2 2 2 2 2" xfId="6941"/>
    <cellStyle name="Output 2 2 2 2 2 2 2 2 2" xfId="13545"/>
    <cellStyle name="Output 2 2 2 2 2 2 2 2 2 2" xfId="27867"/>
    <cellStyle name="Output 2 2 2 2 2 2 2 2 3" xfId="19190"/>
    <cellStyle name="Output 2 2 2 2 2 2 2 3" xfId="7536"/>
    <cellStyle name="Output 2 2 2 2 2 2 2 3 2" xfId="10150"/>
    <cellStyle name="Output 2 2 2 2 2 2 2 3 2 2" xfId="16412"/>
    <cellStyle name="Output 2 2 2 2 2 2 2 3 2 2 2" xfId="29828"/>
    <cellStyle name="Output 2 2 2 2 2 2 2 3 2 3" xfId="21157"/>
    <cellStyle name="Output 2 2 2 2 2 2 2 3 3" xfId="14140"/>
    <cellStyle name="Output 2 2 2 2 2 2 2 3 3 2" xfId="28462"/>
    <cellStyle name="Output 2 2 2 2 2 2 2 3 4" xfId="19785"/>
    <cellStyle name="Output 2 2 2 2 2 2 2 4" xfId="11434"/>
    <cellStyle name="Output 2 2 2 2 2 2 2 4 2" xfId="25756"/>
    <cellStyle name="Output 2 2 2 2 2 2 2 5" xfId="14753"/>
    <cellStyle name="Output 2 2 2 2 2 2 3" xfId="2285"/>
    <cellStyle name="Output 2 2 2 2 2 2 3 2" xfId="7270"/>
    <cellStyle name="Output 2 2 2 2 2 2 3 2 2" xfId="9884"/>
    <cellStyle name="Output 2 2 2 2 2 2 3 2 2 2" xfId="16146"/>
    <cellStyle name="Output 2 2 2 2 2 2 3 2 2 2 2" xfId="29562"/>
    <cellStyle name="Output 2 2 2 2 2 2 3 2 2 3" xfId="20891"/>
    <cellStyle name="Output 2 2 2 2 2 2 3 2 3" xfId="13874"/>
    <cellStyle name="Output 2 2 2 2 2 2 3 2 3 2" xfId="28196"/>
    <cellStyle name="Output 2 2 2 2 2 2 3 2 4" xfId="19519"/>
    <cellStyle name="Output 2 2 2 2 2 2 3 3" xfId="13294"/>
    <cellStyle name="Output 2 2 2 2 2 2 3 3 2" xfId="27616"/>
    <cellStyle name="Output 2 2 2 2 2 2 3 4" xfId="18939"/>
    <cellStyle name="Output 2 2 2 2 2 2 4" xfId="5744"/>
    <cellStyle name="Output 2 2 2 2 2 2 4 2" xfId="12297"/>
    <cellStyle name="Output 2 2 2 2 2 2 4 2 2" xfId="26619"/>
    <cellStyle name="Output 2 2 2 2 2 2 4 3" xfId="17942"/>
    <cellStyle name="Output 2 2 2 2 2 2 5" xfId="4158"/>
    <cellStyle name="Output 2 2 2 2 2 2 5 2" xfId="22789"/>
    <cellStyle name="Output 2 2 2 2 2 2 6" xfId="6601"/>
    <cellStyle name="Output 2 2 2 2 2 3" xfId="2286"/>
    <cellStyle name="Output 2 2 2 2 2 3 2" xfId="2287"/>
    <cellStyle name="Output 2 2 2 2 2 3 2 2" xfId="6904"/>
    <cellStyle name="Output 2 2 2 2 2 3 2 2 2" xfId="13508"/>
    <cellStyle name="Output 2 2 2 2 2 3 2 2 2 2" xfId="27830"/>
    <cellStyle name="Output 2 2 2 2 2 3 2 2 3" xfId="19153"/>
    <cellStyle name="Output 2 2 2 2 2 3 2 3" xfId="7329"/>
    <cellStyle name="Output 2 2 2 2 2 3 2 3 2" xfId="9943"/>
    <cellStyle name="Output 2 2 2 2 2 3 2 3 2 2" xfId="16205"/>
    <cellStyle name="Output 2 2 2 2 2 3 2 3 2 2 2" xfId="29621"/>
    <cellStyle name="Output 2 2 2 2 2 3 2 3 2 3" xfId="20950"/>
    <cellStyle name="Output 2 2 2 2 2 3 2 3 3" xfId="13933"/>
    <cellStyle name="Output 2 2 2 2 2 3 2 3 3 2" xfId="28255"/>
    <cellStyle name="Output 2 2 2 2 2 3 2 3 4" xfId="19578"/>
    <cellStyle name="Output 2 2 2 2 2 3 2 4" xfId="11386"/>
    <cellStyle name="Output 2 2 2 2 2 3 2 4 2" xfId="25708"/>
    <cellStyle name="Output 2 2 2 2 2 3 2 5" xfId="15139"/>
    <cellStyle name="Output 2 2 2 2 2 3 3" xfId="2288"/>
    <cellStyle name="Output 2 2 2 2 2 3 3 2" xfId="5344"/>
    <cellStyle name="Output 2 2 2 2 2 3 3 2 2" xfId="9653"/>
    <cellStyle name="Output 2 2 2 2 2 3 3 2 2 2" xfId="15915"/>
    <cellStyle name="Output 2 2 2 2 2 3 3 2 2 2 2" xfId="29331"/>
    <cellStyle name="Output 2 2 2 2 2 3 3 2 2 3" xfId="20660"/>
    <cellStyle name="Output 2 2 2 2 2 3 3 2 3" xfId="11894"/>
    <cellStyle name="Output 2 2 2 2 2 3 3 2 3 2" xfId="26216"/>
    <cellStyle name="Output 2 2 2 2 2 3 3 2 4" xfId="17539"/>
    <cellStyle name="Output 2 2 2 2 2 3 3 3" xfId="13157"/>
    <cellStyle name="Output 2 2 2 2 2 3 3 3 2" xfId="27479"/>
    <cellStyle name="Output 2 2 2 2 2 3 3 4" xfId="18802"/>
    <cellStyle name="Output 2 2 2 2 2 3 4" xfId="5564"/>
    <cellStyle name="Output 2 2 2 2 2 3 4 2" xfId="12115"/>
    <cellStyle name="Output 2 2 2 2 2 3 4 2 2" xfId="26437"/>
    <cellStyle name="Output 2 2 2 2 2 3 4 3" xfId="17760"/>
    <cellStyle name="Output 2 2 2 2 2 3 5" xfId="5034"/>
    <cellStyle name="Output 2 2 2 2 2 3 5 2" xfId="23314"/>
    <cellStyle name="Output 2 2 2 2 2 3 6" xfId="16998"/>
    <cellStyle name="Output 2 2 2 2 2 4" xfId="2289"/>
    <cellStyle name="Output 2 2 2 2 2 4 2" xfId="6392"/>
    <cellStyle name="Output 2 2 2 2 2 4 2 2" xfId="12975"/>
    <cellStyle name="Output 2 2 2 2 2 4 2 2 2" xfId="27297"/>
    <cellStyle name="Output 2 2 2 2 2 4 2 3" xfId="18620"/>
    <cellStyle name="Output 2 2 2 2 2 4 3" xfId="5312"/>
    <cellStyle name="Output 2 2 2 2 2 4 3 2" xfId="9621"/>
    <cellStyle name="Output 2 2 2 2 2 4 3 2 2" xfId="15883"/>
    <cellStyle name="Output 2 2 2 2 2 4 3 2 2 2" xfId="29299"/>
    <cellStyle name="Output 2 2 2 2 2 4 3 2 3" xfId="20628"/>
    <cellStyle name="Output 2 2 2 2 2 4 3 3" xfId="11862"/>
    <cellStyle name="Output 2 2 2 2 2 4 3 3 2" xfId="26184"/>
    <cellStyle name="Output 2 2 2 2 2 4 3 4" xfId="17507"/>
    <cellStyle name="Output 2 2 2 2 2 4 4" xfId="4641"/>
    <cellStyle name="Output 2 2 2 2 2 4 4 2" xfId="23085"/>
    <cellStyle name="Output 2 2 2 2 2 4 5" xfId="15089"/>
    <cellStyle name="Output 2 2 2 2 2 5" xfId="2290"/>
    <cellStyle name="Output 2 2 2 2 2 5 2" xfId="5250"/>
    <cellStyle name="Output 2 2 2 2 2 5 2 2" xfId="9559"/>
    <cellStyle name="Output 2 2 2 2 2 5 2 2 2" xfId="15821"/>
    <cellStyle name="Output 2 2 2 2 2 5 2 2 2 2" xfId="29237"/>
    <cellStyle name="Output 2 2 2 2 2 5 2 2 3" xfId="20566"/>
    <cellStyle name="Output 2 2 2 2 2 5 2 3" xfId="11800"/>
    <cellStyle name="Output 2 2 2 2 2 5 2 3 2" xfId="26122"/>
    <cellStyle name="Output 2 2 2 2 2 5 2 4" xfId="17445"/>
    <cellStyle name="Output 2 2 2 2 2 5 3" xfId="12870"/>
    <cellStyle name="Output 2 2 2 2 2 5 3 2" xfId="27192"/>
    <cellStyle name="Output 2 2 2 2 2 5 4" xfId="18515"/>
    <cellStyle name="Output 2 2 2 2 2 6" xfId="5488"/>
    <cellStyle name="Output 2 2 2 2 2 6 2" xfId="12039"/>
    <cellStyle name="Output 2 2 2 2 2 6 2 2" xfId="26361"/>
    <cellStyle name="Output 2 2 2 2 2 6 3" xfId="17684"/>
    <cellStyle name="Output 2 2 2 2 2 7" xfId="4698"/>
    <cellStyle name="Output 2 2 2 2 2 7 2" xfId="23133"/>
    <cellStyle name="Output 2 2 2 2 2 8" xfId="15555"/>
    <cellStyle name="Output 2 2 2 2 3" xfId="2291"/>
    <cellStyle name="Output 2 2 2 2 3 2" xfId="2292"/>
    <cellStyle name="Output 2 2 2 2 3 2 2" xfId="2293"/>
    <cellStyle name="Output 2 2 2 2 3 2 2 2" xfId="6422"/>
    <cellStyle name="Output 2 2 2 2 3 2 2 2 2" xfId="13005"/>
    <cellStyle name="Output 2 2 2 2 3 2 2 2 2 2" xfId="27327"/>
    <cellStyle name="Output 2 2 2 2 3 2 2 2 3" xfId="18650"/>
    <cellStyle name="Output 2 2 2 2 3 2 2 3" xfId="4412"/>
    <cellStyle name="Output 2 2 2 2 3 2 2 3 2" xfId="9463"/>
    <cellStyle name="Output 2 2 2 2 3 2 2 3 2 2" xfId="15725"/>
    <cellStyle name="Output 2 2 2 2 3 2 2 3 2 2 2" xfId="29141"/>
    <cellStyle name="Output 2 2 2 2 3 2 2 3 2 3" xfId="20470"/>
    <cellStyle name="Output 2 2 2 2 3 2 2 3 3" xfId="6211"/>
    <cellStyle name="Output 2 2 2 2 3 2 2 3 3 2" xfId="23460"/>
    <cellStyle name="Output 2 2 2 2 3 2 2 3 4" xfId="15140"/>
    <cellStyle name="Output 2 2 2 2 3 2 2 4" xfId="6621"/>
    <cellStyle name="Output 2 2 2 2 3 2 2 4 2" xfId="23611"/>
    <cellStyle name="Output 2 2 2 2 3 2 2 5" xfId="17175"/>
    <cellStyle name="Output 2 2 2 2 3 2 3" xfId="2294"/>
    <cellStyle name="Output 2 2 2 2 3 2 3 2" xfId="7136"/>
    <cellStyle name="Output 2 2 2 2 3 2 3 2 2" xfId="9750"/>
    <cellStyle name="Output 2 2 2 2 3 2 3 2 2 2" xfId="16012"/>
    <cellStyle name="Output 2 2 2 2 3 2 3 2 2 2 2" xfId="29428"/>
    <cellStyle name="Output 2 2 2 2 3 2 3 2 2 3" xfId="20757"/>
    <cellStyle name="Output 2 2 2 2 3 2 3 2 3" xfId="13740"/>
    <cellStyle name="Output 2 2 2 2 3 2 3 2 3 2" xfId="28062"/>
    <cellStyle name="Output 2 2 2 2 3 2 3 2 4" xfId="19385"/>
    <cellStyle name="Output 2 2 2 2 3 2 3 3" xfId="13330"/>
    <cellStyle name="Output 2 2 2 2 3 2 3 3 2" xfId="27652"/>
    <cellStyle name="Output 2 2 2 2 3 2 3 4" xfId="18975"/>
    <cellStyle name="Output 2 2 2 2 3 2 4" xfId="5780"/>
    <cellStyle name="Output 2 2 2 2 3 2 4 2" xfId="12333"/>
    <cellStyle name="Output 2 2 2 2 3 2 4 2 2" xfId="26655"/>
    <cellStyle name="Output 2 2 2 2 3 2 4 3" xfId="17978"/>
    <cellStyle name="Output 2 2 2 2 3 2 5" xfId="4068"/>
    <cellStyle name="Output 2 2 2 2 3 2 5 2" xfId="22740"/>
    <cellStyle name="Output 2 2 2 2 3 2 6" xfId="6688"/>
    <cellStyle name="Output 2 2 2 2 3 3" xfId="2295"/>
    <cellStyle name="Output 2 2 2 2 3 3 2" xfId="2296"/>
    <cellStyle name="Output 2 2 2 2 3 3 2 2" xfId="6908"/>
    <cellStyle name="Output 2 2 2 2 3 3 2 2 2" xfId="13512"/>
    <cellStyle name="Output 2 2 2 2 3 3 2 2 2 2" xfId="27834"/>
    <cellStyle name="Output 2 2 2 2 3 3 2 2 3" xfId="19157"/>
    <cellStyle name="Output 2 2 2 2 3 3 2 3" xfId="7201"/>
    <cellStyle name="Output 2 2 2 2 3 3 2 3 2" xfId="9815"/>
    <cellStyle name="Output 2 2 2 2 3 3 2 3 2 2" xfId="16077"/>
    <cellStyle name="Output 2 2 2 2 3 3 2 3 2 2 2" xfId="29493"/>
    <cellStyle name="Output 2 2 2 2 3 3 2 3 2 3" xfId="20822"/>
    <cellStyle name="Output 2 2 2 2 3 3 2 3 3" xfId="13805"/>
    <cellStyle name="Output 2 2 2 2 3 3 2 3 3 2" xfId="28127"/>
    <cellStyle name="Output 2 2 2 2 3 3 2 3 4" xfId="19450"/>
    <cellStyle name="Output 2 2 2 2 3 3 2 4" xfId="11394"/>
    <cellStyle name="Output 2 2 2 2 3 3 2 4 2" xfId="25716"/>
    <cellStyle name="Output 2 2 2 2 3 3 2 5" xfId="17211"/>
    <cellStyle name="Output 2 2 2 2 3 3 3" xfId="2297"/>
    <cellStyle name="Output 2 2 2 2 3 3 3 2" xfId="7406"/>
    <cellStyle name="Output 2 2 2 2 3 3 3 2 2" xfId="10020"/>
    <cellStyle name="Output 2 2 2 2 3 3 3 2 2 2" xfId="16282"/>
    <cellStyle name="Output 2 2 2 2 3 3 3 2 2 2 2" xfId="29698"/>
    <cellStyle name="Output 2 2 2 2 3 3 3 2 2 3" xfId="21027"/>
    <cellStyle name="Output 2 2 2 2 3 3 3 2 3" xfId="14010"/>
    <cellStyle name="Output 2 2 2 2 3 3 3 2 3 2" xfId="28332"/>
    <cellStyle name="Output 2 2 2 2 3 3 3 2 4" xfId="19655"/>
    <cellStyle name="Output 2 2 2 2 3 3 3 3" xfId="12508"/>
    <cellStyle name="Output 2 2 2 2 3 3 3 3 2" xfId="26830"/>
    <cellStyle name="Output 2 2 2 2 3 3 3 4" xfId="18153"/>
    <cellStyle name="Output 2 2 2 2 3 3 4" xfId="5095"/>
    <cellStyle name="Output 2 2 2 2 3 3 4 2" xfId="11642"/>
    <cellStyle name="Output 2 2 2 2 3 3 4 2 2" xfId="25964"/>
    <cellStyle name="Output 2 2 2 2 3 3 4 3" xfId="15471"/>
    <cellStyle name="Output 2 2 2 2 3 3 5" xfId="6676"/>
    <cellStyle name="Output 2 2 2 2 3 3 5 2" xfId="23647"/>
    <cellStyle name="Output 2 2 2 2 3 3 6" xfId="4525"/>
    <cellStyle name="Output 2 2 2 2 3 4" xfId="2298"/>
    <cellStyle name="Output 2 2 2 2 3 4 2" xfId="6135"/>
    <cellStyle name="Output 2 2 2 2 3 4 2 2" xfId="12704"/>
    <cellStyle name="Output 2 2 2 2 3 4 2 2 2" xfId="27026"/>
    <cellStyle name="Output 2 2 2 2 3 4 2 3" xfId="18349"/>
    <cellStyle name="Output 2 2 2 2 3 4 3" xfId="7837"/>
    <cellStyle name="Output 2 2 2 2 3 4 3 2" xfId="10451"/>
    <cellStyle name="Output 2 2 2 2 3 4 3 2 2" xfId="16713"/>
    <cellStyle name="Output 2 2 2 2 3 4 3 2 2 2" xfId="30129"/>
    <cellStyle name="Output 2 2 2 2 3 4 3 2 3" xfId="21458"/>
    <cellStyle name="Output 2 2 2 2 3 4 3 3" xfId="14441"/>
    <cellStyle name="Output 2 2 2 2 3 4 3 3 2" xfId="28763"/>
    <cellStyle name="Output 2 2 2 2 3 4 3 4" xfId="20086"/>
    <cellStyle name="Output 2 2 2 2 3 4 4" xfId="4385"/>
    <cellStyle name="Output 2 2 2 2 3 4 4 2" xfId="22919"/>
    <cellStyle name="Output 2 2 2 2 3 4 5" xfId="14980"/>
    <cellStyle name="Output 2 2 2 2 3 5" xfId="2299"/>
    <cellStyle name="Output 2 2 2 2 3 5 2" xfId="7612"/>
    <cellStyle name="Output 2 2 2 2 3 5 2 2" xfId="10226"/>
    <cellStyle name="Output 2 2 2 2 3 5 2 2 2" xfId="16488"/>
    <cellStyle name="Output 2 2 2 2 3 5 2 2 2 2" xfId="29904"/>
    <cellStyle name="Output 2 2 2 2 3 5 2 2 3" xfId="21233"/>
    <cellStyle name="Output 2 2 2 2 3 5 2 3" xfId="14216"/>
    <cellStyle name="Output 2 2 2 2 3 5 2 3 2" xfId="28538"/>
    <cellStyle name="Output 2 2 2 2 3 5 2 4" xfId="19861"/>
    <cellStyle name="Output 2 2 2 2 3 5 3" xfId="12906"/>
    <cellStyle name="Output 2 2 2 2 3 5 3 2" xfId="27228"/>
    <cellStyle name="Output 2 2 2 2 3 5 4" xfId="18551"/>
    <cellStyle name="Output 2 2 2 2 3 6" xfId="5530"/>
    <cellStyle name="Output 2 2 2 2 3 6 2" xfId="12081"/>
    <cellStyle name="Output 2 2 2 2 3 6 2 2" xfId="26403"/>
    <cellStyle name="Output 2 2 2 2 3 6 3" xfId="17726"/>
    <cellStyle name="Output 2 2 2 2 3 7" xfId="6662"/>
    <cellStyle name="Output 2 2 2 2 3 7 2" xfId="23638"/>
    <cellStyle name="Output 2 2 2 2 3 8" xfId="16950"/>
    <cellStyle name="Output 2 2 2 2 4" xfId="2300"/>
    <cellStyle name="Output 2 2 2 2 4 2" xfId="2301"/>
    <cellStyle name="Output 2 2 2 2 4 2 2" xfId="2302"/>
    <cellStyle name="Output 2 2 2 2 4 2 2 2" xfId="5993"/>
    <cellStyle name="Output 2 2 2 2 4 2 2 2 2" xfId="12551"/>
    <cellStyle name="Output 2 2 2 2 4 2 2 2 2 2" xfId="26873"/>
    <cellStyle name="Output 2 2 2 2 4 2 2 2 3" xfId="18196"/>
    <cellStyle name="Output 2 2 2 2 4 2 2 3" xfId="7671"/>
    <cellStyle name="Output 2 2 2 2 4 2 2 3 2" xfId="10285"/>
    <cellStyle name="Output 2 2 2 2 4 2 2 3 2 2" xfId="16547"/>
    <cellStyle name="Output 2 2 2 2 4 2 2 3 2 2 2" xfId="29963"/>
    <cellStyle name="Output 2 2 2 2 4 2 2 3 2 3" xfId="21292"/>
    <cellStyle name="Output 2 2 2 2 4 2 2 3 3" xfId="14275"/>
    <cellStyle name="Output 2 2 2 2 4 2 2 3 3 2" xfId="28597"/>
    <cellStyle name="Output 2 2 2 2 4 2 2 3 4" xfId="19920"/>
    <cellStyle name="Output 2 2 2 2 4 2 2 4" xfId="6356"/>
    <cellStyle name="Output 2 2 2 2 4 2 2 4 2" xfId="23540"/>
    <cellStyle name="Output 2 2 2 2 4 2 2 5" xfId="17137"/>
    <cellStyle name="Output 2 2 2 2 4 2 3" xfId="2303"/>
    <cellStyle name="Output 2 2 2 2 4 2 3 2" xfId="7284"/>
    <cellStyle name="Output 2 2 2 2 4 2 3 2 2" xfId="9898"/>
    <cellStyle name="Output 2 2 2 2 4 2 3 2 2 2" xfId="16160"/>
    <cellStyle name="Output 2 2 2 2 4 2 3 2 2 2 2" xfId="29576"/>
    <cellStyle name="Output 2 2 2 2 4 2 3 2 2 3" xfId="20905"/>
    <cellStyle name="Output 2 2 2 2 4 2 3 2 3" xfId="13888"/>
    <cellStyle name="Output 2 2 2 2 4 2 3 2 3 2" xfId="28210"/>
    <cellStyle name="Output 2 2 2 2 4 2 3 2 4" xfId="19533"/>
    <cellStyle name="Output 2 2 2 2 4 2 3 3" xfId="13267"/>
    <cellStyle name="Output 2 2 2 2 4 2 3 3 2" xfId="27589"/>
    <cellStyle name="Output 2 2 2 2 4 2 3 4" xfId="18912"/>
    <cellStyle name="Output 2 2 2 2 4 2 4" xfId="5713"/>
    <cellStyle name="Output 2 2 2 2 4 2 4 2" xfId="12266"/>
    <cellStyle name="Output 2 2 2 2 4 2 4 2 2" xfId="26588"/>
    <cellStyle name="Output 2 2 2 2 4 2 4 3" xfId="17911"/>
    <cellStyle name="Output 2 2 2 2 4 2 5" xfId="3946"/>
    <cellStyle name="Output 2 2 2 2 4 2 5 2" xfId="22662"/>
    <cellStyle name="Output 2 2 2 2 4 2 6" xfId="6292"/>
    <cellStyle name="Output 2 2 2 2 4 3" xfId="2304"/>
    <cellStyle name="Output 2 2 2 2 4 3 2" xfId="2305"/>
    <cellStyle name="Output 2 2 2 2 4 3 2 2" xfId="6177"/>
    <cellStyle name="Output 2 2 2 2 4 3 2 2 2" xfId="12750"/>
    <cellStyle name="Output 2 2 2 2 4 3 2 2 2 2" xfId="27072"/>
    <cellStyle name="Output 2 2 2 2 4 3 2 2 3" xfId="18395"/>
    <cellStyle name="Output 2 2 2 2 4 3 2 3" xfId="4091"/>
    <cellStyle name="Output 2 2 2 2 4 3 2 3 2" xfId="9422"/>
    <cellStyle name="Output 2 2 2 2 4 3 2 3 2 2" xfId="15684"/>
    <cellStyle name="Output 2 2 2 2 4 3 2 3 2 2 2" xfId="29100"/>
    <cellStyle name="Output 2 2 2 2 4 3 2 3 2 3" xfId="20429"/>
    <cellStyle name="Output 2 2 2 2 4 3 2 3 3" xfId="3181"/>
    <cellStyle name="Output 2 2 2 2 4 3 2 3 3 2" xfId="22427"/>
    <cellStyle name="Output 2 2 2 2 4 3 2 3 4" xfId="15545"/>
    <cellStyle name="Output 2 2 2 2 4 3 2 4" xfId="3973"/>
    <cellStyle name="Output 2 2 2 2 4 3 2 4 2" xfId="22678"/>
    <cellStyle name="Output 2 2 2 2 4 3 2 5" xfId="5121"/>
    <cellStyle name="Output 2 2 2 2 4 3 3" xfId="2306"/>
    <cellStyle name="Output 2 2 2 2 4 3 3 2" xfId="7962"/>
    <cellStyle name="Output 2 2 2 2 4 3 3 2 2" xfId="10576"/>
    <cellStyle name="Output 2 2 2 2 4 3 3 2 2 2" xfId="16838"/>
    <cellStyle name="Output 2 2 2 2 4 3 3 2 2 2 2" xfId="30254"/>
    <cellStyle name="Output 2 2 2 2 4 3 3 2 2 3" xfId="21583"/>
    <cellStyle name="Output 2 2 2 2 4 3 3 2 3" xfId="14566"/>
    <cellStyle name="Output 2 2 2 2 4 3 3 2 3 2" xfId="28888"/>
    <cellStyle name="Output 2 2 2 2 4 3 3 2 4" xfId="20211"/>
    <cellStyle name="Output 2 2 2 2 4 3 3 3" xfId="13428"/>
    <cellStyle name="Output 2 2 2 2 4 3 3 3 2" xfId="27750"/>
    <cellStyle name="Output 2 2 2 2 4 3 3 4" xfId="19073"/>
    <cellStyle name="Output 2 2 2 2 4 3 4" xfId="5903"/>
    <cellStyle name="Output 2 2 2 2 4 3 4 2" xfId="12457"/>
    <cellStyle name="Output 2 2 2 2 4 3 4 2 2" xfId="26779"/>
    <cellStyle name="Output 2 2 2 2 4 3 4 3" xfId="18102"/>
    <cellStyle name="Output 2 2 2 2 4 3 5" xfId="2791"/>
    <cellStyle name="Output 2 2 2 2 4 3 5 2" xfId="22359"/>
    <cellStyle name="Output 2 2 2 2 4 3 6" xfId="17333"/>
    <cellStyle name="Output 2 2 2 2 4 4" xfId="2307"/>
    <cellStyle name="Output 2 2 2 2 4 4 2" xfId="5947"/>
    <cellStyle name="Output 2 2 2 2 4 4 2 2" xfId="12504"/>
    <cellStyle name="Output 2 2 2 2 4 4 2 2 2" xfId="26826"/>
    <cellStyle name="Output 2 2 2 2 4 4 2 3" xfId="18149"/>
    <cellStyle name="Output 2 2 2 2 4 4 3" xfId="7991"/>
    <cellStyle name="Output 2 2 2 2 4 4 3 2" xfId="10605"/>
    <cellStyle name="Output 2 2 2 2 4 4 3 2 2" xfId="16867"/>
    <cellStyle name="Output 2 2 2 2 4 4 3 2 2 2" xfId="30283"/>
    <cellStyle name="Output 2 2 2 2 4 4 3 2 3" xfId="21612"/>
    <cellStyle name="Output 2 2 2 2 4 4 3 3" xfId="14595"/>
    <cellStyle name="Output 2 2 2 2 4 4 3 3 2" xfId="28917"/>
    <cellStyle name="Output 2 2 2 2 4 4 3 4" xfId="20240"/>
    <cellStyle name="Output 2 2 2 2 4 4 4" xfId="4211"/>
    <cellStyle name="Output 2 2 2 2 4 4 4 2" xfId="22825"/>
    <cellStyle name="Output 2 2 2 2 4 4 5" xfId="17100"/>
    <cellStyle name="Output 2 2 2 2 4 5" xfId="2308"/>
    <cellStyle name="Output 2 2 2 2 4 5 2" xfId="7903"/>
    <cellStyle name="Output 2 2 2 2 4 5 2 2" xfId="10517"/>
    <cellStyle name="Output 2 2 2 2 4 5 2 2 2" xfId="16779"/>
    <cellStyle name="Output 2 2 2 2 4 5 2 2 2 2" xfId="30195"/>
    <cellStyle name="Output 2 2 2 2 4 5 2 2 3" xfId="21524"/>
    <cellStyle name="Output 2 2 2 2 4 5 2 3" xfId="14507"/>
    <cellStyle name="Output 2 2 2 2 4 5 2 3 2" xfId="28829"/>
    <cellStyle name="Output 2 2 2 2 4 5 2 4" xfId="20152"/>
    <cellStyle name="Output 2 2 2 2 4 5 3" xfId="12824"/>
    <cellStyle name="Output 2 2 2 2 4 5 3 2" xfId="27146"/>
    <cellStyle name="Output 2 2 2 2 4 5 4" xfId="18469"/>
    <cellStyle name="Output 2 2 2 2 4 6" xfId="5372"/>
    <cellStyle name="Output 2 2 2 2 4 6 2" xfId="11922"/>
    <cellStyle name="Output 2 2 2 2 4 6 2 2" xfId="26244"/>
    <cellStyle name="Output 2 2 2 2 4 6 3" xfId="17567"/>
    <cellStyle name="Output 2 2 2 2 4 7" xfId="3147"/>
    <cellStyle name="Output 2 2 2 2 4 7 2" xfId="22420"/>
    <cellStyle name="Output 2 2 2 2 4 8" xfId="17217"/>
    <cellStyle name="Output 2 2 2 2 5" xfId="2309"/>
    <cellStyle name="Output 2 2 2 2 5 2" xfId="2310"/>
    <cellStyle name="Output 2 2 2 2 5 2 2" xfId="2311"/>
    <cellStyle name="Output 2 2 2 2 5 2 2 2" xfId="6857"/>
    <cellStyle name="Output 2 2 2 2 5 2 2 2 2" xfId="13461"/>
    <cellStyle name="Output 2 2 2 2 5 2 2 2 2 2" xfId="27783"/>
    <cellStyle name="Output 2 2 2 2 5 2 2 2 3" xfId="19106"/>
    <cellStyle name="Output 2 2 2 2 5 2 2 3" xfId="7361"/>
    <cellStyle name="Output 2 2 2 2 5 2 2 3 2" xfId="9975"/>
    <cellStyle name="Output 2 2 2 2 5 2 2 3 2 2" xfId="16237"/>
    <cellStyle name="Output 2 2 2 2 5 2 2 3 2 2 2" xfId="29653"/>
    <cellStyle name="Output 2 2 2 2 5 2 2 3 2 3" xfId="20982"/>
    <cellStyle name="Output 2 2 2 2 5 2 2 3 3" xfId="13965"/>
    <cellStyle name="Output 2 2 2 2 5 2 2 3 3 2" xfId="28287"/>
    <cellStyle name="Output 2 2 2 2 5 2 2 3 4" xfId="19610"/>
    <cellStyle name="Output 2 2 2 2 5 2 2 4" xfId="11315"/>
    <cellStyle name="Output 2 2 2 2 5 2 2 4 2" xfId="25637"/>
    <cellStyle name="Output 2 2 2 2 5 2 2 5" xfId="4664"/>
    <cellStyle name="Output 2 2 2 2 5 2 3" xfId="2312"/>
    <cellStyle name="Output 2 2 2 2 5 2 3 2" xfId="5267"/>
    <cellStyle name="Output 2 2 2 2 5 2 3 2 2" xfId="9576"/>
    <cellStyle name="Output 2 2 2 2 5 2 3 2 2 2" xfId="15838"/>
    <cellStyle name="Output 2 2 2 2 5 2 3 2 2 2 2" xfId="29254"/>
    <cellStyle name="Output 2 2 2 2 5 2 3 2 2 3" xfId="20583"/>
    <cellStyle name="Output 2 2 2 2 5 2 3 2 3" xfId="11817"/>
    <cellStyle name="Output 2 2 2 2 5 2 3 2 3 2" xfId="26139"/>
    <cellStyle name="Output 2 2 2 2 5 2 3 2 4" xfId="17462"/>
    <cellStyle name="Output 2 2 2 2 5 2 3 3" xfId="13393"/>
    <cellStyle name="Output 2 2 2 2 5 2 3 3 2" xfId="27715"/>
    <cellStyle name="Output 2 2 2 2 5 2 3 4" xfId="19038"/>
    <cellStyle name="Output 2 2 2 2 5 2 4" xfId="5857"/>
    <cellStyle name="Output 2 2 2 2 5 2 4 2" xfId="12410"/>
    <cellStyle name="Output 2 2 2 2 5 2 4 2 2" xfId="26732"/>
    <cellStyle name="Output 2 2 2 2 5 2 4 3" xfId="18055"/>
    <cellStyle name="Output 2 2 2 2 5 2 5" xfId="4378"/>
    <cellStyle name="Output 2 2 2 2 5 2 5 2" xfId="22916"/>
    <cellStyle name="Output 2 2 2 2 5 2 6" xfId="15010"/>
    <cellStyle name="Output 2 2 2 2 5 3" xfId="2313"/>
    <cellStyle name="Output 2 2 2 2 5 3 2" xfId="6918"/>
    <cellStyle name="Output 2 2 2 2 5 3 2 2" xfId="13522"/>
    <cellStyle name="Output 2 2 2 2 5 3 2 2 2" xfId="27844"/>
    <cellStyle name="Output 2 2 2 2 5 3 2 3" xfId="19167"/>
    <cellStyle name="Output 2 2 2 2 5 3 3" xfId="7908"/>
    <cellStyle name="Output 2 2 2 2 5 3 3 2" xfId="10522"/>
    <cellStyle name="Output 2 2 2 2 5 3 3 2 2" xfId="16784"/>
    <cellStyle name="Output 2 2 2 2 5 3 3 2 2 2" xfId="30200"/>
    <cellStyle name="Output 2 2 2 2 5 3 3 2 3" xfId="21529"/>
    <cellStyle name="Output 2 2 2 2 5 3 3 3" xfId="14512"/>
    <cellStyle name="Output 2 2 2 2 5 3 3 3 2" xfId="28834"/>
    <cellStyle name="Output 2 2 2 2 5 3 3 4" xfId="20157"/>
    <cellStyle name="Output 2 2 2 2 5 3 4" xfId="11405"/>
    <cellStyle name="Output 2 2 2 2 5 3 4 2" xfId="25727"/>
    <cellStyle name="Output 2 2 2 2 5 3 5" xfId="15224"/>
    <cellStyle name="Output 2 2 2 2 5 4" xfId="2314"/>
    <cellStyle name="Output 2 2 2 2 5 4 2" xfId="8030"/>
    <cellStyle name="Output 2 2 2 2 5 4 2 2" xfId="10644"/>
    <cellStyle name="Output 2 2 2 2 5 4 2 2 2" xfId="16906"/>
    <cellStyle name="Output 2 2 2 2 5 4 2 2 2 2" xfId="30322"/>
    <cellStyle name="Output 2 2 2 2 5 4 2 2 3" xfId="21651"/>
    <cellStyle name="Output 2 2 2 2 5 4 2 3" xfId="14634"/>
    <cellStyle name="Output 2 2 2 2 5 4 2 3 2" xfId="28956"/>
    <cellStyle name="Output 2 2 2 2 5 4 2 4" xfId="20279"/>
    <cellStyle name="Output 2 2 2 2 5 4 3" xfId="12755"/>
    <cellStyle name="Output 2 2 2 2 5 4 3 2" xfId="27077"/>
    <cellStyle name="Output 2 2 2 2 5 4 4" xfId="18400"/>
    <cellStyle name="Output 2 2 2 2 5 5" xfId="5110"/>
    <cellStyle name="Output 2 2 2 2 5 5 2" xfId="11658"/>
    <cellStyle name="Output 2 2 2 2 5 5 2 2" xfId="25980"/>
    <cellStyle name="Output 2 2 2 2 5 5 3" xfId="15130"/>
    <cellStyle name="Output 2 2 2 2 5 6" xfId="4219"/>
    <cellStyle name="Output 2 2 2 2 5 6 2" xfId="22831"/>
    <cellStyle name="Output 2 2 2 2 5 7" xfId="15259"/>
    <cellStyle name="Output 2 2 2 2 6" xfId="2315"/>
    <cellStyle name="Output 2 2 2 2 6 2" xfId="2316"/>
    <cellStyle name="Output 2 2 2 2 6 2 2" xfId="6205"/>
    <cellStyle name="Output 2 2 2 2 6 2 2 2" xfId="12778"/>
    <cellStyle name="Output 2 2 2 2 6 2 2 2 2" xfId="27100"/>
    <cellStyle name="Output 2 2 2 2 6 2 2 3" xfId="18423"/>
    <cellStyle name="Output 2 2 2 2 6 2 3" xfId="7088"/>
    <cellStyle name="Output 2 2 2 2 6 2 3 2" xfId="9702"/>
    <cellStyle name="Output 2 2 2 2 6 2 3 2 2" xfId="15964"/>
    <cellStyle name="Output 2 2 2 2 6 2 3 2 2 2" xfId="29380"/>
    <cellStyle name="Output 2 2 2 2 6 2 3 2 3" xfId="20709"/>
    <cellStyle name="Output 2 2 2 2 6 2 3 3" xfId="13692"/>
    <cellStyle name="Output 2 2 2 2 6 2 3 3 2" xfId="28014"/>
    <cellStyle name="Output 2 2 2 2 6 2 3 4" xfId="19337"/>
    <cellStyle name="Output 2 2 2 2 6 2 4" xfId="4736"/>
    <cellStyle name="Output 2 2 2 2 6 2 4 2" xfId="23159"/>
    <cellStyle name="Output 2 2 2 2 6 2 5" xfId="4040"/>
    <cellStyle name="Output 2 2 2 2 6 3" xfId="2317"/>
    <cellStyle name="Output 2 2 2 2 6 3 2" xfId="3939"/>
    <cellStyle name="Output 2 2 2 2 6 3 2 2" xfId="9401"/>
    <cellStyle name="Output 2 2 2 2 6 3 2 2 2" xfId="15663"/>
    <cellStyle name="Output 2 2 2 2 6 3 2 2 2 2" xfId="29079"/>
    <cellStyle name="Output 2 2 2 2 6 3 2 2 3" xfId="20408"/>
    <cellStyle name="Output 2 2 2 2 6 3 2 3" xfId="6715"/>
    <cellStyle name="Output 2 2 2 2 6 3 2 3 2" xfId="23669"/>
    <cellStyle name="Output 2 2 2 2 6 3 2 4" xfId="17269"/>
    <cellStyle name="Output 2 2 2 2 6 3 3" xfId="11661"/>
    <cellStyle name="Output 2 2 2 2 6 3 3 2" xfId="25983"/>
    <cellStyle name="Output 2 2 2 2 6 3 4" xfId="16948"/>
    <cellStyle name="Output 2 2 2 2 6 4" xfId="5051"/>
    <cellStyle name="Output 2 2 2 2 6 4 2" xfId="11598"/>
    <cellStyle name="Output 2 2 2 2 6 4 2 2" xfId="25920"/>
    <cellStyle name="Output 2 2 2 2 6 4 3" xfId="14780"/>
    <cellStyle name="Output 2 2 2 2 6 5" xfId="3604"/>
    <cellStyle name="Output 2 2 2 2 6 5 2" xfId="22483"/>
    <cellStyle name="Output 2 2 2 2 6 6" xfId="14987"/>
    <cellStyle name="Output 2 2 2 2 7" xfId="2318"/>
    <cellStyle name="Output 2 2 2 2 7 2" xfId="6466"/>
    <cellStyle name="Output 2 2 2 2 7 2 2" xfId="13049"/>
    <cellStyle name="Output 2 2 2 2 7 2 2 2" xfId="27371"/>
    <cellStyle name="Output 2 2 2 2 7 2 3" xfId="18694"/>
    <cellStyle name="Output 2 2 2 2 7 3" xfId="7055"/>
    <cellStyle name="Output 2 2 2 2 7 3 2" xfId="9669"/>
    <cellStyle name="Output 2 2 2 2 7 3 2 2" xfId="15931"/>
    <cellStyle name="Output 2 2 2 2 7 3 2 2 2" xfId="29347"/>
    <cellStyle name="Output 2 2 2 2 7 3 2 3" xfId="20676"/>
    <cellStyle name="Output 2 2 2 2 7 3 3" xfId="13659"/>
    <cellStyle name="Output 2 2 2 2 7 3 3 2" xfId="27981"/>
    <cellStyle name="Output 2 2 2 2 7 3 4" xfId="19304"/>
    <cellStyle name="Output 2 2 2 2 7 4" xfId="3971"/>
    <cellStyle name="Output 2 2 2 2 7 4 2" xfId="22677"/>
    <cellStyle name="Output 2 2 2 2 7 5" xfId="17232"/>
    <cellStyle name="Output 2 2 2 2 8" xfId="2319"/>
    <cellStyle name="Output 2 2 2 2 8 2" xfId="7547"/>
    <cellStyle name="Output 2 2 2 2 8 2 2" xfId="10161"/>
    <cellStyle name="Output 2 2 2 2 8 2 2 2" xfId="16423"/>
    <cellStyle name="Output 2 2 2 2 8 2 2 2 2" xfId="29839"/>
    <cellStyle name="Output 2 2 2 2 8 2 2 3" xfId="21168"/>
    <cellStyle name="Output 2 2 2 2 8 2 3" xfId="14151"/>
    <cellStyle name="Output 2 2 2 2 8 2 3 2" xfId="28473"/>
    <cellStyle name="Output 2 2 2 2 8 2 4" xfId="19796"/>
    <cellStyle name="Output 2 2 2 2 8 3" xfId="12502"/>
    <cellStyle name="Output 2 2 2 2 8 3 2" xfId="26824"/>
    <cellStyle name="Output 2 2 2 2 8 4" xfId="18147"/>
    <cellStyle name="Output 2 2 2 2 9" xfId="5183"/>
    <cellStyle name="Output 2 2 2 2 9 2" xfId="11732"/>
    <cellStyle name="Output 2 2 2 2 9 2 2" xfId="26054"/>
    <cellStyle name="Output 2 2 2 2 9 3" xfId="4251"/>
    <cellStyle name="Output 2 2 2 3" xfId="2320"/>
    <cellStyle name="Output 2 2 2 3 2" xfId="2321"/>
    <cellStyle name="Output 2 2 2 3 2 2" xfId="2322"/>
    <cellStyle name="Output 2 2 2 3 2 2 2" xfId="5458"/>
    <cellStyle name="Output 2 2 2 3 2 2 2 2" xfId="12009"/>
    <cellStyle name="Output 2 2 2 3 2 2 2 2 2" xfId="26331"/>
    <cellStyle name="Output 2 2 2 3 2 2 2 3" xfId="17654"/>
    <cellStyle name="Output 2 2 2 3 2 2 3" xfId="7583"/>
    <cellStyle name="Output 2 2 2 3 2 2 3 2" xfId="10197"/>
    <cellStyle name="Output 2 2 2 3 2 2 3 2 2" xfId="16459"/>
    <cellStyle name="Output 2 2 2 3 2 2 3 2 2 2" xfId="29875"/>
    <cellStyle name="Output 2 2 2 3 2 2 3 2 3" xfId="21204"/>
    <cellStyle name="Output 2 2 2 3 2 2 3 3" xfId="14187"/>
    <cellStyle name="Output 2 2 2 3 2 2 3 3 2" xfId="28509"/>
    <cellStyle name="Output 2 2 2 3 2 2 3 4" xfId="19832"/>
    <cellStyle name="Output 2 2 2 3 2 2 4" xfId="4770"/>
    <cellStyle name="Output 2 2 2 3 2 2 4 2" xfId="23178"/>
    <cellStyle name="Output 2 2 2 3 2 2 5" xfId="17076"/>
    <cellStyle name="Output 2 2 2 3 2 3" xfId="2323"/>
    <cellStyle name="Output 2 2 2 3 2 3 2" xfId="7303"/>
    <cellStyle name="Output 2 2 2 3 2 3 2 2" xfId="9917"/>
    <cellStyle name="Output 2 2 2 3 2 3 2 2 2" xfId="16179"/>
    <cellStyle name="Output 2 2 2 3 2 3 2 2 2 2" xfId="29595"/>
    <cellStyle name="Output 2 2 2 3 2 3 2 2 3" xfId="20924"/>
    <cellStyle name="Output 2 2 2 3 2 3 2 3" xfId="13907"/>
    <cellStyle name="Output 2 2 2 3 2 3 2 3 2" xfId="28229"/>
    <cellStyle name="Output 2 2 2 3 2 3 2 4" xfId="19552"/>
    <cellStyle name="Output 2 2 2 3 2 3 3" xfId="13265"/>
    <cellStyle name="Output 2 2 2 3 2 3 3 2" xfId="27587"/>
    <cellStyle name="Output 2 2 2 3 2 3 4" xfId="18910"/>
    <cellStyle name="Output 2 2 2 3 2 4" xfId="5711"/>
    <cellStyle name="Output 2 2 2 3 2 4 2" xfId="12264"/>
    <cellStyle name="Output 2 2 2 3 2 4 2 2" xfId="26586"/>
    <cellStyle name="Output 2 2 2 3 2 4 3" xfId="17909"/>
    <cellStyle name="Output 2 2 2 3 2 5" xfId="2827"/>
    <cellStyle name="Output 2 2 2 3 2 5 2" xfId="22390"/>
    <cellStyle name="Output 2 2 2 3 2 6" xfId="15024"/>
    <cellStyle name="Output 2 2 2 3 3" xfId="2324"/>
    <cellStyle name="Output 2 2 2 3 3 2" xfId="2325"/>
    <cellStyle name="Output 2 2 2 3 3 2 2" xfId="6483"/>
    <cellStyle name="Output 2 2 2 3 3 2 2 2" xfId="13066"/>
    <cellStyle name="Output 2 2 2 3 3 2 2 2 2" xfId="27388"/>
    <cellStyle name="Output 2 2 2 3 3 2 2 3" xfId="18711"/>
    <cellStyle name="Output 2 2 2 3 3 2 3" xfId="7582"/>
    <cellStyle name="Output 2 2 2 3 3 2 3 2" xfId="10196"/>
    <cellStyle name="Output 2 2 2 3 3 2 3 2 2" xfId="16458"/>
    <cellStyle name="Output 2 2 2 3 3 2 3 2 2 2" xfId="29874"/>
    <cellStyle name="Output 2 2 2 3 3 2 3 2 3" xfId="21203"/>
    <cellStyle name="Output 2 2 2 3 3 2 3 3" xfId="14186"/>
    <cellStyle name="Output 2 2 2 3 3 2 3 3 2" xfId="28508"/>
    <cellStyle name="Output 2 2 2 3 3 2 3 4" xfId="19831"/>
    <cellStyle name="Output 2 2 2 3 3 2 4" xfId="6298"/>
    <cellStyle name="Output 2 2 2 3 3 2 4 2" xfId="23496"/>
    <cellStyle name="Output 2 2 2 3 3 2 5" xfId="14795"/>
    <cellStyle name="Output 2 2 2 3 3 3" xfId="2326"/>
    <cellStyle name="Output 2 2 2 3 3 3 2" xfId="3839"/>
    <cellStyle name="Output 2 2 2 3 3 3 2 2" xfId="9384"/>
    <cellStyle name="Output 2 2 2 3 3 3 2 2 2" xfId="15646"/>
    <cellStyle name="Output 2 2 2 3 3 3 2 2 2 2" xfId="29062"/>
    <cellStyle name="Output 2 2 2 3 3 3 2 2 3" xfId="20391"/>
    <cellStyle name="Output 2 2 2 3 3 3 2 3" xfId="3960"/>
    <cellStyle name="Output 2 2 2 3 3 3 2 3 2" xfId="22670"/>
    <cellStyle name="Output 2 2 2 3 3 3 2 4" xfId="15369"/>
    <cellStyle name="Output 2 2 2 3 3 3 3" xfId="12791"/>
    <cellStyle name="Output 2 2 2 3 3 3 3 2" xfId="27113"/>
    <cellStyle name="Output 2 2 2 3 3 3 4" xfId="18436"/>
    <cellStyle name="Output 2 2 2 3 3 4" xfId="5042"/>
    <cellStyle name="Output 2 2 2 3 3 4 2" xfId="11589"/>
    <cellStyle name="Output 2 2 2 3 3 4 2 2" xfId="25911"/>
    <cellStyle name="Output 2 2 2 3 3 4 3" xfId="17090"/>
    <cellStyle name="Output 2 2 2 3 3 5" xfId="4901"/>
    <cellStyle name="Output 2 2 2 3 3 5 2" xfId="23256"/>
    <cellStyle name="Output 2 2 2 3 3 6" xfId="14751"/>
    <cellStyle name="Output 2 2 2 3 4" xfId="2327"/>
    <cellStyle name="Output 2 2 2 3 4 2" xfId="6518"/>
    <cellStyle name="Output 2 2 2 3 4 2 2" xfId="13106"/>
    <cellStyle name="Output 2 2 2 3 4 2 2 2" xfId="27428"/>
    <cellStyle name="Output 2 2 2 3 4 2 3" xfId="18751"/>
    <cellStyle name="Output 2 2 2 3 4 3" xfId="7464"/>
    <cellStyle name="Output 2 2 2 3 4 3 2" xfId="10078"/>
    <cellStyle name="Output 2 2 2 3 4 3 2 2" xfId="16340"/>
    <cellStyle name="Output 2 2 2 3 4 3 2 2 2" xfId="29756"/>
    <cellStyle name="Output 2 2 2 3 4 3 2 3" xfId="21085"/>
    <cellStyle name="Output 2 2 2 3 4 3 3" xfId="14068"/>
    <cellStyle name="Output 2 2 2 3 4 3 3 2" xfId="28390"/>
    <cellStyle name="Output 2 2 2 3 4 3 4" xfId="19713"/>
    <cellStyle name="Output 2 2 2 3 4 4" xfId="4009"/>
    <cellStyle name="Output 2 2 2 3 4 4 2" xfId="22698"/>
    <cellStyle name="Output 2 2 2 3 4 5" xfId="14979"/>
    <cellStyle name="Output 2 2 2 3 5" xfId="2328"/>
    <cellStyle name="Output 2 2 2 3 5 2" xfId="7642"/>
    <cellStyle name="Output 2 2 2 3 5 2 2" xfId="10256"/>
    <cellStyle name="Output 2 2 2 3 5 2 2 2" xfId="16518"/>
    <cellStyle name="Output 2 2 2 3 5 2 2 2 2" xfId="29934"/>
    <cellStyle name="Output 2 2 2 3 5 2 2 3" xfId="21263"/>
    <cellStyle name="Output 2 2 2 3 5 2 3" xfId="14246"/>
    <cellStyle name="Output 2 2 2 3 5 2 3 2" xfId="28568"/>
    <cellStyle name="Output 2 2 2 3 5 2 4" xfId="19891"/>
    <cellStyle name="Output 2 2 2 3 5 3" xfId="12821"/>
    <cellStyle name="Output 2 2 2 3 5 3 2" xfId="27143"/>
    <cellStyle name="Output 2 2 2 3 5 4" xfId="18466"/>
    <cellStyle name="Output 2 2 2 3 6" xfId="5361"/>
    <cellStyle name="Output 2 2 2 3 6 2" xfId="11911"/>
    <cellStyle name="Output 2 2 2 3 6 2 2" xfId="26233"/>
    <cellStyle name="Output 2 2 2 3 6 3" xfId="17556"/>
    <cellStyle name="Output 2 2 2 3 7" xfId="4638"/>
    <cellStyle name="Output 2 2 2 3 7 2" xfId="23082"/>
    <cellStyle name="Output 2 2 2 3 8" xfId="14740"/>
    <cellStyle name="Output 2 2 2 4" xfId="2329"/>
    <cellStyle name="Output 2 2 2 4 2" xfId="2330"/>
    <cellStyle name="Output 2 2 2 4 2 2" xfId="2331"/>
    <cellStyle name="Output 2 2 2 4 2 2 2" xfId="6927"/>
    <cellStyle name="Output 2 2 2 4 2 2 2 2" xfId="13531"/>
    <cellStyle name="Output 2 2 2 4 2 2 2 2 2" xfId="27853"/>
    <cellStyle name="Output 2 2 2 4 2 2 2 3" xfId="19176"/>
    <cellStyle name="Output 2 2 2 4 2 2 3" xfId="3279"/>
    <cellStyle name="Output 2 2 2 4 2 2 3 2" xfId="9052"/>
    <cellStyle name="Output 2 2 2 4 2 2 3 2 2" xfId="15391"/>
    <cellStyle name="Output 2 2 2 4 2 2 3 2 2 2" xfId="29010"/>
    <cellStyle name="Output 2 2 2 4 2 2 3 2 3" xfId="20337"/>
    <cellStyle name="Output 2 2 2 4 2 2 3 3" xfId="6626"/>
    <cellStyle name="Output 2 2 2 4 2 2 3 3 2" xfId="23614"/>
    <cellStyle name="Output 2 2 2 4 2 2 3 4" xfId="15402"/>
    <cellStyle name="Output 2 2 2 4 2 2 4" xfId="11419"/>
    <cellStyle name="Output 2 2 2 4 2 2 4 2" xfId="25741"/>
    <cellStyle name="Output 2 2 2 4 2 2 5" xfId="4612"/>
    <cellStyle name="Output 2 2 2 4 2 3" xfId="2332"/>
    <cellStyle name="Output 2 2 2 4 2 3 2" xfId="7183"/>
    <cellStyle name="Output 2 2 2 4 2 3 2 2" xfId="9797"/>
    <cellStyle name="Output 2 2 2 4 2 3 2 2 2" xfId="16059"/>
    <cellStyle name="Output 2 2 2 4 2 3 2 2 2 2" xfId="29475"/>
    <cellStyle name="Output 2 2 2 4 2 3 2 2 3" xfId="20804"/>
    <cellStyle name="Output 2 2 2 4 2 3 2 3" xfId="13787"/>
    <cellStyle name="Output 2 2 2 4 2 3 2 3 2" xfId="28109"/>
    <cellStyle name="Output 2 2 2 4 2 3 2 4" xfId="19432"/>
    <cellStyle name="Output 2 2 2 4 2 3 3" xfId="13219"/>
    <cellStyle name="Output 2 2 2 4 2 3 3 2" xfId="27541"/>
    <cellStyle name="Output 2 2 2 4 2 3 4" xfId="18864"/>
    <cellStyle name="Output 2 2 2 4 2 4" xfId="5660"/>
    <cellStyle name="Output 2 2 2 4 2 4 2" xfId="12213"/>
    <cellStyle name="Output 2 2 2 4 2 4 2 2" xfId="26535"/>
    <cellStyle name="Output 2 2 2 4 2 4 3" xfId="17858"/>
    <cellStyle name="Output 2 2 2 4 2 5" xfId="6717"/>
    <cellStyle name="Output 2 2 2 4 2 5 2" xfId="23671"/>
    <cellStyle name="Output 2 2 2 4 2 6" xfId="15503"/>
    <cellStyle name="Output 2 2 2 4 3" xfId="2333"/>
    <cellStyle name="Output 2 2 2 4 3 2" xfId="2334"/>
    <cellStyle name="Output 2 2 2 4 3 2 2" xfId="6953"/>
    <cellStyle name="Output 2 2 2 4 3 2 2 2" xfId="13557"/>
    <cellStyle name="Output 2 2 2 4 3 2 2 2 2" xfId="27879"/>
    <cellStyle name="Output 2 2 2 4 3 2 2 3" xfId="19202"/>
    <cellStyle name="Output 2 2 2 4 3 2 3" xfId="5008"/>
    <cellStyle name="Output 2 2 2 4 3 2 3 2" xfId="9540"/>
    <cellStyle name="Output 2 2 2 4 3 2 3 2 2" xfId="15802"/>
    <cellStyle name="Output 2 2 2 4 3 2 3 2 2 2" xfId="29218"/>
    <cellStyle name="Output 2 2 2 4 3 2 3 2 3" xfId="20547"/>
    <cellStyle name="Output 2 2 2 4 3 2 3 3" xfId="11553"/>
    <cellStyle name="Output 2 2 2 4 3 2 3 3 2" xfId="25875"/>
    <cellStyle name="Output 2 2 2 4 3 2 3 4" xfId="14909"/>
    <cellStyle name="Output 2 2 2 4 3 2 4" xfId="11449"/>
    <cellStyle name="Output 2 2 2 4 3 2 4 2" xfId="25771"/>
    <cellStyle name="Output 2 2 2 4 3 2 5" xfId="17101"/>
    <cellStyle name="Output 2 2 2 4 3 3" xfId="2335"/>
    <cellStyle name="Output 2 2 2 4 3 3 2" xfId="3789"/>
    <cellStyle name="Output 2 2 2 4 3 3 2 2" xfId="9374"/>
    <cellStyle name="Output 2 2 2 4 3 3 2 2 2" xfId="15636"/>
    <cellStyle name="Output 2 2 2 4 3 3 2 2 2 2" xfId="29052"/>
    <cellStyle name="Output 2 2 2 4 3 3 2 2 3" xfId="20381"/>
    <cellStyle name="Output 2 2 2 4 3 3 2 3" xfId="4662"/>
    <cellStyle name="Output 2 2 2 4 3 3 2 3 2" xfId="23102"/>
    <cellStyle name="Output 2 2 2 4 3 3 2 4" xfId="15087"/>
    <cellStyle name="Output 2 2 2 4 3 3 3" xfId="13050"/>
    <cellStyle name="Output 2 2 2 4 3 3 3 2" xfId="27372"/>
    <cellStyle name="Output 2 2 2 4 3 3 4" xfId="18695"/>
    <cellStyle name="Output 2 2 2 4 3 4" xfId="5375"/>
    <cellStyle name="Output 2 2 2 4 3 4 2" xfId="11925"/>
    <cellStyle name="Output 2 2 2 4 3 4 2 2" xfId="26247"/>
    <cellStyle name="Output 2 2 2 4 3 4 3" xfId="17570"/>
    <cellStyle name="Output 2 2 2 4 3 5" xfId="4705"/>
    <cellStyle name="Output 2 2 2 4 3 5 2" xfId="23138"/>
    <cellStyle name="Output 2 2 2 4 3 6" xfId="14964"/>
    <cellStyle name="Output 2 2 2 4 4" xfId="2336"/>
    <cellStyle name="Output 2 2 2 4 4 2" xfId="6835"/>
    <cellStyle name="Output 2 2 2 4 4 2 2" xfId="13439"/>
    <cellStyle name="Output 2 2 2 4 4 2 2 2" xfId="27761"/>
    <cellStyle name="Output 2 2 2 4 4 2 3" xfId="19084"/>
    <cellStyle name="Output 2 2 2 4 4 3" xfId="7599"/>
    <cellStyle name="Output 2 2 2 4 4 3 2" xfId="10213"/>
    <cellStyle name="Output 2 2 2 4 4 3 2 2" xfId="16475"/>
    <cellStyle name="Output 2 2 2 4 4 3 2 2 2" xfId="29891"/>
    <cellStyle name="Output 2 2 2 4 4 3 2 3" xfId="21220"/>
    <cellStyle name="Output 2 2 2 4 4 3 3" xfId="14203"/>
    <cellStyle name="Output 2 2 2 4 4 3 3 2" xfId="28525"/>
    <cellStyle name="Output 2 2 2 4 4 3 4" xfId="19848"/>
    <cellStyle name="Output 2 2 2 4 4 4" xfId="2774"/>
    <cellStyle name="Output 2 2 2 4 4 4 2" xfId="22343"/>
    <cellStyle name="Output 2 2 2 4 4 5" xfId="17257"/>
    <cellStyle name="Output 2 2 2 4 5" xfId="2337"/>
    <cellStyle name="Output 2 2 2 4 5 2" xfId="7429"/>
    <cellStyle name="Output 2 2 2 4 5 2 2" xfId="10043"/>
    <cellStyle name="Output 2 2 2 4 5 2 2 2" xfId="16305"/>
    <cellStyle name="Output 2 2 2 4 5 2 2 2 2" xfId="29721"/>
    <cellStyle name="Output 2 2 2 4 5 2 2 3" xfId="21050"/>
    <cellStyle name="Output 2 2 2 4 5 2 3" xfId="14033"/>
    <cellStyle name="Output 2 2 2 4 5 2 3 2" xfId="28355"/>
    <cellStyle name="Output 2 2 2 4 5 2 4" xfId="19678"/>
    <cellStyle name="Output 2 2 2 4 5 3" xfId="12130"/>
    <cellStyle name="Output 2 2 2 4 5 3 2" xfId="26452"/>
    <cellStyle name="Output 2 2 2 4 5 4" xfId="17775"/>
    <cellStyle name="Output 2 2 2 4 6" xfId="3249"/>
    <cellStyle name="Output 2 2 2 4 6 2" xfId="6087"/>
    <cellStyle name="Output 2 2 2 4 6 2 2" xfId="23411"/>
    <cellStyle name="Output 2 2 2 4 6 3" xfId="4466"/>
    <cellStyle name="Output 2 2 2 4 7" xfId="3742"/>
    <cellStyle name="Output 2 2 2 4 7 2" xfId="22557"/>
    <cellStyle name="Output 2 2 2 4 8" xfId="4490"/>
    <cellStyle name="Output 2 2 2 5" xfId="2338"/>
    <cellStyle name="Output 2 2 2 5 2" xfId="2339"/>
    <cellStyle name="Output 2 2 2 5 2 2" xfId="2340"/>
    <cellStyle name="Output 2 2 2 5 2 2 2" xfId="5839"/>
    <cellStyle name="Output 2 2 2 5 2 2 2 2" xfId="12392"/>
    <cellStyle name="Output 2 2 2 5 2 2 2 2 2" xfId="26714"/>
    <cellStyle name="Output 2 2 2 5 2 2 2 3" xfId="18037"/>
    <cellStyle name="Output 2 2 2 5 2 2 3" xfId="4884"/>
    <cellStyle name="Output 2 2 2 5 2 2 3 2" xfId="9510"/>
    <cellStyle name="Output 2 2 2 5 2 2 3 2 2" xfId="15772"/>
    <cellStyle name="Output 2 2 2 5 2 2 3 2 2 2" xfId="29188"/>
    <cellStyle name="Output 2 2 2 5 2 2 3 2 3" xfId="20517"/>
    <cellStyle name="Output 2 2 2 5 2 2 3 3" xfId="11420"/>
    <cellStyle name="Output 2 2 2 5 2 2 3 3 2" xfId="25742"/>
    <cellStyle name="Output 2 2 2 5 2 2 3 4" xfId="15304"/>
    <cellStyle name="Output 2 2 2 5 2 2 4" xfId="6541"/>
    <cellStyle name="Output 2 2 2 5 2 2 4 2" xfId="23579"/>
    <cellStyle name="Output 2 2 2 5 2 2 5" xfId="15212"/>
    <cellStyle name="Output 2 2 2 5 2 3" xfId="2341"/>
    <cellStyle name="Output 2 2 2 5 2 3 2" xfId="7363"/>
    <cellStyle name="Output 2 2 2 5 2 3 2 2" xfId="9977"/>
    <cellStyle name="Output 2 2 2 5 2 3 2 2 2" xfId="16239"/>
    <cellStyle name="Output 2 2 2 5 2 3 2 2 2 2" xfId="29655"/>
    <cellStyle name="Output 2 2 2 5 2 3 2 2 3" xfId="20984"/>
    <cellStyle name="Output 2 2 2 5 2 3 2 3" xfId="13967"/>
    <cellStyle name="Output 2 2 2 5 2 3 2 3 2" xfId="28289"/>
    <cellStyle name="Output 2 2 2 5 2 3 2 4" xfId="19612"/>
    <cellStyle name="Output 2 2 2 5 2 3 3" xfId="13287"/>
    <cellStyle name="Output 2 2 2 5 2 3 3 2" xfId="27609"/>
    <cellStyle name="Output 2 2 2 5 2 3 4" xfId="18932"/>
    <cellStyle name="Output 2 2 2 5 2 4" xfId="5737"/>
    <cellStyle name="Output 2 2 2 5 2 4 2" xfId="12290"/>
    <cellStyle name="Output 2 2 2 5 2 4 2 2" xfId="26612"/>
    <cellStyle name="Output 2 2 2 5 2 4 3" xfId="17935"/>
    <cellStyle name="Output 2 2 2 5 2 5" xfId="3835"/>
    <cellStyle name="Output 2 2 2 5 2 5 2" xfId="22604"/>
    <cellStyle name="Output 2 2 2 5 2 6" xfId="15433"/>
    <cellStyle name="Output 2 2 2 5 3" xfId="2342"/>
    <cellStyle name="Output 2 2 2 5 3 2" xfId="2343"/>
    <cellStyle name="Output 2 2 2 5 3 2 2" xfId="6533"/>
    <cellStyle name="Output 2 2 2 5 3 2 2 2" xfId="13121"/>
    <cellStyle name="Output 2 2 2 5 3 2 2 2 2" xfId="27443"/>
    <cellStyle name="Output 2 2 2 5 3 2 2 3" xfId="18766"/>
    <cellStyle name="Output 2 2 2 5 3 2 3" xfId="3822"/>
    <cellStyle name="Output 2 2 2 5 3 2 3 2" xfId="9382"/>
    <cellStyle name="Output 2 2 2 5 3 2 3 2 2" xfId="15644"/>
    <cellStyle name="Output 2 2 2 5 3 2 3 2 2 2" xfId="29060"/>
    <cellStyle name="Output 2 2 2 5 3 2 3 2 3" xfId="20389"/>
    <cellStyle name="Output 2 2 2 5 3 2 3 3" xfId="6759"/>
    <cellStyle name="Output 2 2 2 5 3 2 3 3 2" xfId="23707"/>
    <cellStyle name="Output 2 2 2 5 3 2 3 4" xfId="14976"/>
    <cellStyle name="Output 2 2 2 5 3 2 4" xfId="6801"/>
    <cellStyle name="Output 2 2 2 5 3 2 4 2" xfId="23741"/>
    <cellStyle name="Output 2 2 2 5 3 2 5" xfId="14960"/>
    <cellStyle name="Output 2 2 2 5 3 3" xfId="2344"/>
    <cellStyle name="Output 2 2 2 5 3 3 2" xfId="7771"/>
    <cellStyle name="Output 2 2 2 5 3 3 2 2" xfId="10385"/>
    <cellStyle name="Output 2 2 2 5 3 3 2 2 2" xfId="16647"/>
    <cellStyle name="Output 2 2 2 5 3 3 2 2 2 2" xfId="30063"/>
    <cellStyle name="Output 2 2 2 5 3 3 2 2 3" xfId="21392"/>
    <cellStyle name="Output 2 2 2 5 3 3 2 3" xfId="14375"/>
    <cellStyle name="Output 2 2 2 5 3 3 2 3 2" xfId="28697"/>
    <cellStyle name="Output 2 2 2 5 3 3 2 4" xfId="20020"/>
    <cellStyle name="Output 2 2 2 5 3 3 3" xfId="13095"/>
    <cellStyle name="Output 2 2 2 5 3 3 3 2" xfId="27417"/>
    <cellStyle name="Output 2 2 2 5 3 3 4" xfId="18740"/>
    <cellStyle name="Output 2 2 2 5 3 4" xfId="5451"/>
    <cellStyle name="Output 2 2 2 5 3 4 2" xfId="12002"/>
    <cellStyle name="Output 2 2 2 5 3 4 2 2" xfId="26324"/>
    <cellStyle name="Output 2 2 2 5 3 4 3" xfId="17647"/>
    <cellStyle name="Output 2 2 2 5 3 5" xfId="4675"/>
    <cellStyle name="Output 2 2 2 5 3 5 2" xfId="23114"/>
    <cellStyle name="Output 2 2 2 5 3 6" xfId="17085"/>
    <cellStyle name="Output 2 2 2 5 4" xfId="2345"/>
    <cellStyle name="Output 2 2 2 5 4 2" xfId="6895"/>
    <cellStyle name="Output 2 2 2 5 4 2 2" xfId="13499"/>
    <cellStyle name="Output 2 2 2 5 4 2 2 2" xfId="27821"/>
    <cellStyle name="Output 2 2 2 5 4 2 3" xfId="19144"/>
    <cellStyle name="Output 2 2 2 5 4 3" xfId="7086"/>
    <cellStyle name="Output 2 2 2 5 4 3 2" xfId="9700"/>
    <cellStyle name="Output 2 2 2 5 4 3 2 2" xfId="15962"/>
    <cellStyle name="Output 2 2 2 5 4 3 2 2 2" xfId="29378"/>
    <cellStyle name="Output 2 2 2 5 4 3 2 3" xfId="20707"/>
    <cellStyle name="Output 2 2 2 5 4 3 3" xfId="13690"/>
    <cellStyle name="Output 2 2 2 5 4 3 3 2" xfId="28012"/>
    <cellStyle name="Output 2 2 2 5 4 3 4" xfId="19335"/>
    <cellStyle name="Output 2 2 2 5 4 4" xfId="11374"/>
    <cellStyle name="Output 2 2 2 5 4 4 2" xfId="25696"/>
    <cellStyle name="Output 2 2 2 5 4 5" xfId="6697"/>
    <cellStyle name="Output 2 2 2 5 5" xfId="2346"/>
    <cellStyle name="Output 2 2 2 5 5 2" xfId="7213"/>
    <cellStyle name="Output 2 2 2 5 5 2 2" xfId="9827"/>
    <cellStyle name="Output 2 2 2 5 5 2 2 2" xfId="16089"/>
    <cellStyle name="Output 2 2 2 5 5 2 2 2 2" xfId="29505"/>
    <cellStyle name="Output 2 2 2 5 5 2 2 3" xfId="20834"/>
    <cellStyle name="Output 2 2 2 5 5 2 3" xfId="13817"/>
    <cellStyle name="Output 2 2 2 5 5 2 3 2" xfId="28139"/>
    <cellStyle name="Output 2 2 2 5 5 2 4" xfId="19462"/>
    <cellStyle name="Output 2 2 2 5 5 3" xfId="12856"/>
    <cellStyle name="Output 2 2 2 5 5 3 2" xfId="27178"/>
    <cellStyle name="Output 2 2 2 5 5 4" xfId="18501"/>
    <cellStyle name="Output 2 2 2 5 6" xfId="5464"/>
    <cellStyle name="Output 2 2 2 5 6 2" xfId="12015"/>
    <cellStyle name="Output 2 2 2 5 6 2 2" xfId="26337"/>
    <cellStyle name="Output 2 2 2 5 6 3" xfId="17660"/>
    <cellStyle name="Output 2 2 2 5 7" xfId="4531"/>
    <cellStyle name="Output 2 2 2 5 7 2" xfId="23011"/>
    <cellStyle name="Output 2 2 2 5 8" xfId="3637"/>
    <cellStyle name="Output 2 2 2 6" xfId="2347"/>
    <cellStyle name="Output 2 2 2 6 2" xfId="2348"/>
    <cellStyle name="Output 2 2 2 6 2 2" xfId="2349"/>
    <cellStyle name="Output 2 2 2 6 2 2 2" xfId="6546"/>
    <cellStyle name="Output 2 2 2 6 2 2 2 2" xfId="13134"/>
    <cellStyle name="Output 2 2 2 6 2 2 2 2 2" xfId="27456"/>
    <cellStyle name="Output 2 2 2 6 2 2 2 3" xfId="18779"/>
    <cellStyle name="Output 2 2 2 6 2 2 3" xfId="5264"/>
    <cellStyle name="Output 2 2 2 6 2 2 3 2" xfId="9573"/>
    <cellStyle name="Output 2 2 2 6 2 2 3 2 2" xfId="15835"/>
    <cellStyle name="Output 2 2 2 6 2 2 3 2 2 2" xfId="29251"/>
    <cellStyle name="Output 2 2 2 6 2 2 3 2 3" xfId="20580"/>
    <cellStyle name="Output 2 2 2 6 2 2 3 3" xfId="11814"/>
    <cellStyle name="Output 2 2 2 6 2 2 3 3 2" xfId="26136"/>
    <cellStyle name="Output 2 2 2 6 2 2 3 4" xfId="17459"/>
    <cellStyle name="Output 2 2 2 6 2 2 4" xfId="4488"/>
    <cellStyle name="Output 2 2 2 6 2 2 4 2" xfId="22983"/>
    <cellStyle name="Output 2 2 2 6 2 2 5" xfId="17304"/>
    <cellStyle name="Output 2 2 2 6 2 3" xfId="2350"/>
    <cellStyle name="Output 2 2 2 6 2 3 2" xfId="5319"/>
    <cellStyle name="Output 2 2 2 6 2 3 2 2" xfId="9628"/>
    <cellStyle name="Output 2 2 2 6 2 3 2 2 2" xfId="15890"/>
    <cellStyle name="Output 2 2 2 6 2 3 2 2 2 2" xfId="29306"/>
    <cellStyle name="Output 2 2 2 6 2 3 2 2 3" xfId="20635"/>
    <cellStyle name="Output 2 2 2 6 2 3 2 3" xfId="11869"/>
    <cellStyle name="Output 2 2 2 6 2 3 2 3 2" xfId="26191"/>
    <cellStyle name="Output 2 2 2 6 2 3 2 4" xfId="17514"/>
    <cellStyle name="Output 2 2 2 6 2 3 3" xfId="13043"/>
    <cellStyle name="Output 2 2 2 6 2 3 3 2" xfId="27365"/>
    <cellStyle name="Output 2 2 2 6 2 3 4" xfId="18688"/>
    <cellStyle name="Output 2 2 2 6 2 4" xfId="5362"/>
    <cellStyle name="Output 2 2 2 6 2 4 2" xfId="11912"/>
    <cellStyle name="Output 2 2 2 6 2 4 2 2" xfId="26234"/>
    <cellStyle name="Output 2 2 2 6 2 4 3" xfId="17557"/>
    <cellStyle name="Output 2 2 2 6 2 5" xfId="3825"/>
    <cellStyle name="Output 2 2 2 6 2 5 2" xfId="22600"/>
    <cellStyle name="Output 2 2 2 6 2 6" xfId="16987"/>
    <cellStyle name="Output 2 2 2 6 3" xfId="2351"/>
    <cellStyle name="Output 2 2 2 6 3 2" xfId="5386"/>
    <cellStyle name="Output 2 2 2 6 3 2 2" xfId="11936"/>
    <cellStyle name="Output 2 2 2 6 3 2 2 2" xfId="26258"/>
    <cellStyle name="Output 2 2 2 6 3 2 3" xfId="17581"/>
    <cellStyle name="Output 2 2 2 6 3 3" xfId="7895"/>
    <cellStyle name="Output 2 2 2 6 3 3 2" xfId="10509"/>
    <cellStyle name="Output 2 2 2 6 3 3 2 2" xfId="16771"/>
    <cellStyle name="Output 2 2 2 6 3 3 2 2 2" xfId="30187"/>
    <cellStyle name="Output 2 2 2 6 3 3 2 3" xfId="21516"/>
    <cellStyle name="Output 2 2 2 6 3 3 3" xfId="14499"/>
    <cellStyle name="Output 2 2 2 6 3 3 3 2" xfId="28821"/>
    <cellStyle name="Output 2 2 2 6 3 3 4" xfId="20144"/>
    <cellStyle name="Output 2 2 2 6 3 4" xfId="3862"/>
    <cellStyle name="Output 2 2 2 6 3 4 2" xfId="22617"/>
    <cellStyle name="Output 2 2 2 6 3 5" xfId="15307"/>
    <cellStyle name="Output 2 2 2 6 4" xfId="2352"/>
    <cellStyle name="Output 2 2 2 6 4 2" xfId="8018"/>
    <cellStyle name="Output 2 2 2 6 4 2 2" xfId="10632"/>
    <cellStyle name="Output 2 2 2 6 4 2 2 2" xfId="16894"/>
    <cellStyle name="Output 2 2 2 6 4 2 2 2 2" xfId="30310"/>
    <cellStyle name="Output 2 2 2 6 4 2 2 3" xfId="21639"/>
    <cellStyle name="Output 2 2 2 6 4 2 3" xfId="14622"/>
    <cellStyle name="Output 2 2 2 6 4 2 3 2" xfId="28944"/>
    <cellStyle name="Output 2 2 2 6 4 2 4" xfId="20267"/>
    <cellStyle name="Output 2 2 2 6 4 3" xfId="12947"/>
    <cellStyle name="Output 2 2 2 6 4 3 2" xfId="27269"/>
    <cellStyle name="Output 2 2 2 6 4 4" xfId="18592"/>
    <cellStyle name="Output 2 2 2 6 5" xfId="5612"/>
    <cellStyle name="Output 2 2 2 6 5 2" xfId="12165"/>
    <cellStyle name="Output 2 2 2 6 5 2 2" xfId="26487"/>
    <cellStyle name="Output 2 2 2 6 5 3" xfId="17810"/>
    <cellStyle name="Output 2 2 2 6 6" xfId="3264"/>
    <cellStyle name="Output 2 2 2 6 6 2" xfId="22450"/>
    <cellStyle name="Output 2 2 2 6 7" xfId="4438"/>
    <cellStyle name="Output 2 2 2 7" xfId="2353"/>
    <cellStyle name="Output 2 2 2 7 2" xfId="2354"/>
    <cellStyle name="Output 2 2 2 7 2 2" xfId="7040"/>
    <cellStyle name="Output 2 2 2 7 2 2 2" xfId="13644"/>
    <cellStyle name="Output 2 2 2 7 2 2 2 2" xfId="27966"/>
    <cellStyle name="Output 2 2 2 7 2 2 3" xfId="19289"/>
    <cellStyle name="Output 2 2 2 7 2 3" xfId="8051"/>
    <cellStyle name="Output 2 2 2 7 2 3 2" xfId="10665"/>
    <cellStyle name="Output 2 2 2 7 2 3 2 2" xfId="16927"/>
    <cellStyle name="Output 2 2 2 7 2 3 2 2 2" xfId="30343"/>
    <cellStyle name="Output 2 2 2 7 2 3 2 3" xfId="21672"/>
    <cellStyle name="Output 2 2 2 7 2 3 3" xfId="14655"/>
    <cellStyle name="Output 2 2 2 7 2 3 3 2" xfId="28977"/>
    <cellStyle name="Output 2 2 2 7 2 3 4" xfId="20300"/>
    <cellStyle name="Output 2 2 2 7 2 4" xfId="11585"/>
    <cellStyle name="Output 2 2 2 7 2 4 2" xfId="25907"/>
    <cellStyle name="Output 2 2 2 7 2 5" xfId="15060"/>
    <cellStyle name="Output 2 2 2 7 3" xfId="2355"/>
    <cellStyle name="Output 2 2 2 7 3 2" xfId="7795"/>
    <cellStyle name="Output 2 2 2 7 3 2 2" xfId="10409"/>
    <cellStyle name="Output 2 2 2 7 3 2 2 2" xfId="16671"/>
    <cellStyle name="Output 2 2 2 7 3 2 2 2 2" xfId="30087"/>
    <cellStyle name="Output 2 2 2 7 3 2 2 3" xfId="21416"/>
    <cellStyle name="Output 2 2 2 7 3 2 3" xfId="14399"/>
    <cellStyle name="Output 2 2 2 7 3 2 3 2" xfId="28721"/>
    <cellStyle name="Output 2 2 2 7 3 2 4" xfId="20044"/>
    <cellStyle name="Output 2 2 2 7 3 3" xfId="13404"/>
    <cellStyle name="Output 2 2 2 7 3 3 2" xfId="27726"/>
    <cellStyle name="Output 2 2 2 7 3 4" xfId="19049"/>
    <cellStyle name="Output 2 2 2 7 4" xfId="5869"/>
    <cellStyle name="Output 2 2 2 7 4 2" xfId="12422"/>
    <cellStyle name="Output 2 2 2 7 4 2 2" xfId="26744"/>
    <cellStyle name="Output 2 2 2 7 4 3" xfId="18067"/>
    <cellStyle name="Output 2 2 2 7 5" xfId="4988"/>
    <cellStyle name="Output 2 2 2 7 5 2" xfId="23296"/>
    <cellStyle name="Output 2 2 2 7 6" xfId="17156"/>
    <cellStyle name="Output 2 2 2 8" xfId="2356"/>
    <cellStyle name="Output 2 2 2 8 2" xfId="5994"/>
    <cellStyle name="Output 2 2 2 8 2 2" xfId="12552"/>
    <cellStyle name="Output 2 2 2 8 2 2 2" xfId="26874"/>
    <cellStyle name="Output 2 2 2 8 2 3" xfId="18197"/>
    <cellStyle name="Output 2 2 2 8 3" xfId="7412"/>
    <cellStyle name="Output 2 2 2 8 3 2" xfId="10026"/>
    <cellStyle name="Output 2 2 2 8 3 2 2" xfId="16288"/>
    <cellStyle name="Output 2 2 2 8 3 2 2 2" xfId="29704"/>
    <cellStyle name="Output 2 2 2 8 3 2 3" xfId="21033"/>
    <cellStyle name="Output 2 2 2 8 3 3" xfId="14016"/>
    <cellStyle name="Output 2 2 2 8 3 3 2" xfId="28338"/>
    <cellStyle name="Output 2 2 2 8 3 4" xfId="19661"/>
    <cellStyle name="Output 2 2 2 8 4" xfId="4445"/>
    <cellStyle name="Output 2 2 2 8 4 2" xfId="22957"/>
    <cellStyle name="Output 2 2 2 8 5" xfId="14868"/>
    <cellStyle name="Output 2 2 2 9" xfId="2357"/>
    <cellStyle name="Output 2 2 2 9 2" xfId="7231"/>
    <cellStyle name="Output 2 2 2 9 2 2" xfId="9845"/>
    <cellStyle name="Output 2 2 2 9 2 2 2" xfId="16107"/>
    <cellStyle name="Output 2 2 2 9 2 2 2 2" xfId="29523"/>
    <cellStyle name="Output 2 2 2 9 2 2 3" xfId="20852"/>
    <cellStyle name="Output 2 2 2 9 2 3" xfId="13835"/>
    <cellStyle name="Output 2 2 2 9 2 3 2" xfId="28157"/>
    <cellStyle name="Output 2 2 2 9 2 4" xfId="19480"/>
    <cellStyle name="Output 2 2 2 9 3" xfId="12384"/>
    <cellStyle name="Output 2 2 2 9 3 2" xfId="26706"/>
    <cellStyle name="Output 2 2 2 9 4" xfId="18029"/>
    <cellStyle name="Output 2 2 3" xfId="2358"/>
    <cellStyle name="Output 2 2 3 10" xfId="3139"/>
    <cellStyle name="Output 2 2 3 10 2" xfId="22417"/>
    <cellStyle name="Output 2 2 3 11" xfId="17230"/>
    <cellStyle name="Output 2 2 3 2" xfId="2359"/>
    <cellStyle name="Output 2 2 3 2 2" xfId="2360"/>
    <cellStyle name="Output 2 2 3 2 2 2" xfId="2361"/>
    <cellStyle name="Output 2 2 3 2 2 2 2" xfId="6567"/>
    <cellStyle name="Output 2 2 3 2 2 2 2 2" xfId="13155"/>
    <cellStyle name="Output 2 2 3 2 2 2 2 2 2" xfId="27477"/>
    <cellStyle name="Output 2 2 3 2 2 2 2 3" xfId="18800"/>
    <cellStyle name="Output 2 2 3 2 2 2 3" xfId="7792"/>
    <cellStyle name="Output 2 2 3 2 2 2 3 2" xfId="10406"/>
    <cellStyle name="Output 2 2 3 2 2 2 3 2 2" xfId="16668"/>
    <cellStyle name="Output 2 2 3 2 2 2 3 2 2 2" xfId="30084"/>
    <cellStyle name="Output 2 2 3 2 2 2 3 2 3" xfId="21413"/>
    <cellStyle name="Output 2 2 3 2 2 2 3 3" xfId="14396"/>
    <cellStyle name="Output 2 2 3 2 2 2 3 3 2" xfId="28718"/>
    <cellStyle name="Output 2 2 3 2 2 2 3 4" xfId="20041"/>
    <cellStyle name="Output 2 2 3 2 2 2 4" xfId="4419"/>
    <cellStyle name="Output 2 2 3 2 2 2 4 2" xfId="22939"/>
    <cellStyle name="Output 2 2 3 2 2 2 5" xfId="14683"/>
    <cellStyle name="Output 2 2 3 2 2 3" xfId="2362"/>
    <cellStyle name="Output 2 2 3 2 2 3 2" xfId="7350"/>
    <cellStyle name="Output 2 2 3 2 2 3 2 2" xfId="9964"/>
    <cellStyle name="Output 2 2 3 2 2 3 2 2 2" xfId="16226"/>
    <cellStyle name="Output 2 2 3 2 2 3 2 2 2 2" xfId="29642"/>
    <cellStyle name="Output 2 2 3 2 2 3 2 2 3" xfId="20971"/>
    <cellStyle name="Output 2 2 3 2 2 3 2 3" xfId="13954"/>
    <cellStyle name="Output 2 2 3 2 2 3 2 3 2" xfId="28276"/>
    <cellStyle name="Output 2 2 3 2 2 3 2 4" xfId="19599"/>
    <cellStyle name="Output 2 2 3 2 2 3 3" xfId="13261"/>
    <cellStyle name="Output 2 2 3 2 2 3 3 2" xfId="27583"/>
    <cellStyle name="Output 2 2 3 2 2 3 4" xfId="18906"/>
    <cellStyle name="Output 2 2 3 2 2 4" xfId="5707"/>
    <cellStyle name="Output 2 2 3 2 2 4 2" xfId="12260"/>
    <cellStyle name="Output 2 2 3 2 2 4 2 2" xfId="26582"/>
    <cellStyle name="Output 2 2 3 2 2 4 3" xfId="17905"/>
    <cellStyle name="Output 2 2 3 2 2 5" xfId="4053"/>
    <cellStyle name="Output 2 2 3 2 2 5 2" xfId="22729"/>
    <cellStyle name="Output 2 2 3 2 2 6" xfId="17091"/>
    <cellStyle name="Output 2 2 3 2 3" xfId="2363"/>
    <cellStyle name="Output 2 2 3 2 3 2" xfId="2364"/>
    <cellStyle name="Output 2 2 3 2 3 2 2" xfId="7010"/>
    <cellStyle name="Output 2 2 3 2 3 2 2 2" xfId="13614"/>
    <cellStyle name="Output 2 2 3 2 3 2 2 2 2" xfId="27936"/>
    <cellStyle name="Output 2 2 3 2 3 2 2 3" xfId="19259"/>
    <cellStyle name="Output 2 2 3 2 3 2 3" xfId="7602"/>
    <cellStyle name="Output 2 2 3 2 3 2 3 2" xfId="10216"/>
    <cellStyle name="Output 2 2 3 2 3 2 3 2 2" xfId="16478"/>
    <cellStyle name="Output 2 2 3 2 3 2 3 2 2 2" xfId="29894"/>
    <cellStyle name="Output 2 2 3 2 3 2 3 2 3" xfId="21223"/>
    <cellStyle name="Output 2 2 3 2 3 2 3 3" xfId="14206"/>
    <cellStyle name="Output 2 2 3 2 3 2 3 3 2" xfId="28528"/>
    <cellStyle name="Output 2 2 3 2 3 2 3 4" xfId="19851"/>
    <cellStyle name="Output 2 2 3 2 3 2 4" xfId="11533"/>
    <cellStyle name="Output 2 2 3 2 3 2 4 2" xfId="25855"/>
    <cellStyle name="Output 2 2 3 2 3 2 5" xfId="15070"/>
    <cellStyle name="Output 2 2 3 2 3 3" xfId="2365"/>
    <cellStyle name="Output 2 2 3 2 3 3 2" xfId="5283"/>
    <cellStyle name="Output 2 2 3 2 3 3 2 2" xfId="9592"/>
    <cellStyle name="Output 2 2 3 2 3 3 2 2 2" xfId="15854"/>
    <cellStyle name="Output 2 2 3 2 3 3 2 2 2 2" xfId="29270"/>
    <cellStyle name="Output 2 2 3 2 3 3 2 2 3" xfId="20599"/>
    <cellStyle name="Output 2 2 3 2 3 3 2 3" xfId="11833"/>
    <cellStyle name="Output 2 2 3 2 3 3 2 3 2" xfId="26155"/>
    <cellStyle name="Output 2 2 3 2 3 3 2 4" xfId="17478"/>
    <cellStyle name="Output 2 2 3 2 3 3 3" xfId="13394"/>
    <cellStyle name="Output 2 2 3 2 3 3 3 2" xfId="27716"/>
    <cellStyle name="Output 2 2 3 2 3 3 4" xfId="19039"/>
    <cellStyle name="Output 2 2 3 2 3 4" xfId="5858"/>
    <cellStyle name="Output 2 2 3 2 3 4 2" xfId="12411"/>
    <cellStyle name="Output 2 2 3 2 3 4 2 2" xfId="26733"/>
    <cellStyle name="Output 2 2 3 2 3 4 3" xfId="18056"/>
    <cellStyle name="Output 2 2 3 2 3 5" xfId="5057"/>
    <cellStyle name="Output 2 2 3 2 3 5 2" xfId="23320"/>
    <cellStyle name="Output 2 2 3 2 3 6" xfId="4363"/>
    <cellStyle name="Output 2 2 3 2 4" xfId="2366"/>
    <cellStyle name="Output 2 2 3 2 4 2" xfId="6987"/>
    <cellStyle name="Output 2 2 3 2 4 2 2" xfId="13591"/>
    <cellStyle name="Output 2 2 3 2 4 2 2 2" xfId="27913"/>
    <cellStyle name="Output 2 2 3 2 4 2 3" xfId="19236"/>
    <cellStyle name="Output 2 2 3 2 4 3" xfId="7770"/>
    <cellStyle name="Output 2 2 3 2 4 3 2" xfId="10384"/>
    <cellStyle name="Output 2 2 3 2 4 3 2 2" xfId="16646"/>
    <cellStyle name="Output 2 2 3 2 4 3 2 2 2" xfId="30062"/>
    <cellStyle name="Output 2 2 3 2 4 3 2 3" xfId="21391"/>
    <cellStyle name="Output 2 2 3 2 4 3 3" xfId="14374"/>
    <cellStyle name="Output 2 2 3 2 4 3 3 2" xfId="28696"/>
    <cellStyle name="Output 2 2 3 2 4 3 4" xfId="20019"/>
    <cellStyle name="Output 2 2 3 2 4 4" xfId="11499"/>
    <cellStyle name="Output 2 2 3 2 4 4 2" xfId="25821"/>
    <cellStyle name="Output 2 2 3 2 4 5" xfId="4557"/>
    <cellStyle name="Output 2 2 3 2 5" xfId="2367"/>
    <cellStyle name="Output 2 2 3 2 5 2" xfId="7047"/>
    <cellStyle name="Output 2 2 3 2 5 2 2" xfId="9661"/>
    <cellStyle name="Output 2 2 3 2 5 2 2 2" xfId="15923"/>
    <cellStyle name="Output 2 2 3 2 5 2 2 2 2" xfId="29339"/>
    <cellStyle name="Output 2 2 3 2 5 2 2 3" xfId="20668"/>
    <cellStyle name="Output 2 2 3 2 5 2 3" xfId="13651"/>
    <cellStyle name="Output 2 2 3 2 5 2 3 2" xfId="27973"/>
    <cellStyle name="Output 2 2 3 2 5 2 4" xfId="19296"/>
    <cellStyle name="Output 2 2 3 2 5 3" xfId="12816"/>
    <cellStyle name="Output 2 2 3 2 5 3 2" xfId="27138"/>
    <cellStyle name="Output 2 2 3 2 5 4" xfId="18461"/>
    <cellStyle name="Output 2 2 3 2 6" xfId="5353"/>
    <cellStyle name="Output 2 2 3 2 6 2" xfId="11903"/>
    <cellStyle name="Output 2 2 3 2 6 2 2" xfId="26225"/>
    <cellStyle name="Output 2 2 3 2 6 3" xfId="17548"/>
    <cellStyle name="Output 2 2 3 2 7" xfId="6669"/>
    <cellStyle name="Output 2 2 3 2 7 2" xfId="23641"/>
    <cellStyle name="Output 2 2 3 2 8" xfId="15149"/>
    <cellStyle name="Output 2 2 3 3" xfId="2368"/>
    <cellStyle name="Output 2 2 3 3 2" xfId="2369"/>
    <cellStyle name="Output 2 2 3 3 2 2" xfId="2370"/>
    <cellStyle name="Output 2 2 3 3 2 2 2" xfId="6851"/>
    <cellStyle name="Output 2 2 3 3 2 2 2 2" xfId="13455"/>
    <cellStyle name="Output 2 2 3 3 2 2 2 2 2" xfId="27777"/>
    <cellStyle name="Output 2 2 3 3 2 2 2 3" xfId="19100"/>
    <cellStyle name="Output 2 2 3 3 2 2 3" xfId="7665"/>
    <cellStyle name="Output 2 2 3 3 2 2 3 2" xfId="10279"/>
    <cellStyle name="Output 2 2 3 3 2 2 3 2 2" xfId="16541"/>
    <cellStyle name="Output 2 2 3 3 2 2 3 2 2 2" xfId="29957"/>
    <cellStyle name="Output 2 2 3 3 2 2 3 2 3" xfId="21286"/>
    <cellStyle name="Output 2 2 3 3 2 2 3 3" xfId="14269"/>
    <cellStyle name="Output 2 2 3 3 2 2 3 3 2" xfId="28591"/>
    <cellStyle name="Output 2 2 3 3 2 2 3 4" xfId="19914"/>
    <cellStyle name="Output 2 2 3 3 2 2 4" xfId="2764"/>
    <cellStyle name="Output 2 2 3 3 2 2 4 2" xfId="22333"/>
    <cellStyle name="Output 2 2 3 3 2 2 5" xfId="4126"/>
    <cellStyle name="Output 2 2 3 3 2 3" xfId="2371"/>
    <cellStyle name="Output 2 2 3 3 2 3 2" xfId="7510"/>
    <cellStyle name="Output 2 2 3 3 2 3 2 2" xfId="10124"/>
    <cellStyle name="Output 2 2 3 3 2 3 2 2 2" xfId="16386"/>
    <cellStyle name="Output 2 2 3 3 2 3 2 2 2 2" xfId="29802"/>
    <cellStyle name="Output 2 2 3 3 2 3 2 2 3" xfId="21131"/>
    <cellStyle name="Output 2 2 3 3 2 3 2 3" xfId="14114"/>
    <cellStyle name="Output 2 2 3 3 2 3 2 3 2" xfId="28436"/>
    <cellStyle name="Output 2 2 3 3 2 3 2 4" xfId="19759"/>
    <cellStyle name="Output 2 2 3 3 2 3 3" xfId="13228"/>
    <cellStyle name="Output 2 2 3 3 2 3 3 2" xfId="27550"/>
    <cellStyle name="Output 2 2 3 3 2 3 4" xfId="18873"/>
    <cellStyle name="Output 2 2 3 3 2 4" xfId="5669"/>
    <cellStyle name="Output 2 2 3 3 2 4 2" xfId="12222"/>
    <cellStyle name="Output 2 2 3 3 2 4 2 2" xfId="26544"/>
    <cellStyle name="Output 2 2 3 3 2 4 3" xfId="17867"/>
    <cellStyle name="Output 2 2 3 3 2 5" xfId="6366"/>
    <cellStyle name="Output 2 2 3 3 2 5 2" xfId="23548"/>
    <cellStyle name="Output 2 2 3 3 2 6" xfId="17261"/>
    <cellStyle name="Output 2 2 3 3 3" xfId="2372"/>
    <cellStyle name="Output 2 2 3 3 3 2" xfId="2373"/>
    <cellStyle name="Output 2 2 3 3 3 2 2" xfId="6160"/>
    <cellStyle name="Output 2 2 3 3 3 2 2 2" xfId="12731"/>
    <cellStyle name="Output 2 2 3 3 3 2 2 2 2" xfId="27053"/>
    <cellStyle name="Output 2 2 3 3 3 2 2 3" xfId="18376"/>
    <cellStyle name="Output 2 2 3 3 3 2 3" xfId="7453"/>
    <cellStyle name="Output 2 2 3 3 3 2 3 2" xfId="10067"/>
    <cellStyle name="Output 2 2 3 3 3 2 3 2 2" xfId="16329"/>
    <cellStyle name="Output 2 2 3 3 3 2 3 2 2 2" xfId="29745"/>
    <cellStyle name="Output 2 2 3 3 3 2 3 2 3" xfId="21074"/>
    <cellStyle name="Output 2 2 3 3 3 2 3 3" xfId="14057"/>
    <cellStyle name="Output 2 2 3 3 3 2 3 3 2" xfId="28379"/>
    <cellStyle name="Output 2 2 3 3 3 2 3 4" xfId="19702"/>
    <cellStyle name="Output 2 2 3 3 3 2 4" xfId="6180"/>
    <cellStyle name="Output 2 2 3 3 3 2 4 2" xfId="23445"/>
    <cellStyle name="Output 2 2 3 3 3 2 5" xfId="15203"/>
    <cellStyle name="Output 2 2 3 3 3 3" xfId="2374"/>
    <cellStyle name="Output 2 2 3 3 3 3 2" xfId="7954"/>
    <cellStyle name="Output 2 2 3 3 3 3 2 2" xfId="10568"/>
    <cellStyle name="Output 2 2 3 3 3 3 2 2 2" xfId="16830"/>
    <cellStyle name="Output 2 2 3 3 3 3 2 2 2 2" xfId="30246"/>
    <cellStyle name="Output 2 2 3 3 3 3 2 2 3" xfId="21575"/>
    <cellStyle name="Output 2 2 3 3 3 3 2 3" xfId="14558"/>
    <cellStyle name="Output 2 2 3 3 3 3 2 3 2" xfId="28880"/>
    <cellStyle name="Output 2 2 3 3 3 3 2 4" xfId="20203"/>
    <cellStyle name="Output 2 2 3 3 3 3 3" xfId="13185"/>
    <cellStyle name="Output 2 2 3 3 3 3 3 2" xfId="27507"/>
    <cellStyle name="Output 2 2 3 3 3 3 4" xfId="18830"/>
    <cellStyle name="Output 2 2 3 3 3 4" xfId="5621"/>
    <cellStyle name="Output 2 2 3 3 3 4 2" xfId="12174"/>
    <cellStyle name="Output 2 2 3 3 3 4 2 2" xfId="26496"/>
    <cellStyle name="Output 2 2 3 3 3 4 3" xfId="17819"/>
    <cellStyle name="Output 2 2 3 3 3 5" xfId="6156"/>
    <cellStyle name="Output 2 2 3 3 3 5 2" xfId="23435"/>
    <cellStyle name="Output 2 2 3 3 3 6" xfId="17208"/>
    <cellStyle name="Output 2 2 3 3 4" xfId="2375"/>
    <cellStyle name="Output 2 2 3 3 4 2" xfId="6429"/>
    <cellStyle name="Output 2 2 3 3 4 2 2" xfId="13012"/>
    <cellStyle name="Output 2 2 3 3 4 2 2 2" xfId="27334"/>
    <cellStyle name="Output 2 2 3 3 4 2 3" xfId="18657"/>
    <cellStyle name="Output 2 2 3 3 4 3" xfId="7609"/>
    <cellStyle name="Output 2 2 3 3 4 3 2" xfId="10223"/>
    <cellStyle name="Output 2 2 3 3 4 3 2 2" xfId="16485"/>
    <cellStyle name="Output 2 2 3 3 4 3 2 2 2" xfId="29901"/>
    <cellStyle name="Output 2 2 3 3 4 3 2 3" xfId="21230"/>
    <cellStyle name="Output 2 2 3 3 4 3 3" xfId="14213"/>
    <cellStyle name="Output 2 2 3 3 4 3 3 2" xfId="28535"/>
    <cellStyle name="Output 2 2 3 3 4 3 4" xfId="19858"/>
    <cellStyle name="Output 2 2 3 3 4 4" xfId="5978"/>
    <cellStyle name="Output 2 2 3 3 4 4 2" xfId="23388"/>
    <cellStyle name="Output 2 2 3 3 4 5" xfId="17005"/>
    <cellStyle name="Output 2 2 3 3 5" xfId="2376"/>
    <cellStyle name="Output 2 2 3 3 5 2" xfId="7125"/>
    <cellStyle name="Output 2 2 3 3 5 2 2" xfId="9739"/>
    <cellStyle name="Output 2 2 3 3 5 2 2 2" xfId="16001"/>
    <cellStyle name="Output 2 2 3 3 5 2 2 2 2" xfId="29417"/>
    <cellStyle name="Output 2 2 3 3 5 2 2 3" xfId="20746"/>
    <cellStyle name="Output 2 2 3 3 5 2 3" xfId="13729"/>
    <cellStyle name="Output 2 2 3 3 5 2 3 2" xfId="28051"/>
    <cellStyle name="Output 2 2 3 3 5 2 4" xfId="19374"/>
    <cellStyle name="Output 2 2 3 3 5 3" xfId="12600"/>
    <cellStyle name="Output 2 2 3 3 5 3 2" xfId="26922"/>
    <cellStyle name="Output 2 2 3 3 5 4" xfId="18245"/>
    <cellStyle name="Output 2 2 3 3 6" xfId="5052"/>
    <cellStyle name="Output 2 2 3 3 6 2" xfId="11599"/>
    <cellStyle name="Output 2 2 3 3 6 2 2" xfId="25921"/>
    <cellStyle name="Output 2 2 3 3 6 3" xfId="15452"/>
    <cellStyle name="Output 2 2 3 3 7" xfId="4746"/>
    <cellStyle name="Output 2 2 3 3 7 2" xfId="23166"/>
    <cellStyle name="Output 2 2 3 3 8" xfId="4162"/>
    <cellStyle name="Output 2 2 3 4" xfId="2377"/>
    <cellStyle name="Output 2 2 3 4 2" xfId="2378"/>
    <cellStyle name="Output 2 2 3 4 2 2" xfId="2379"/>
    <cellStyle name="Output 2 2 3 4 2 2 2" xfId="6023"/>
    <cellStyle name="Output 2 2 3 4 2 2 2 2" xfId="12584"/>
    <cellStyle name="Output 2 2 3 4 2 2 2 2 2" xfId="26906"/>
    <cellStyle name="Output 2 2 3 4 2 2 2 3" xfId="18229"/>
    <cellStyle name="Output 2 2 3 4 2 2 3" xfId="7881"/>
    <cellStyle name="Output 2 2 3 4 2 2 3 2" xfId="10495"/>
    <cellStyle name="Output 2 2 3 4 2 2 3 2 2" xfId="16757"/>
    <cellStyle name="Output 2 2 3 4 2 2 3 2 2 2" xfId="30173"/>
    <cellStyle name="Output 2 2 3 4 2 2 3 2 3" xfId="21502"/>
    <cellStyle name="Output 2 2 3 4 2 2 3 3" xfId="14485"/>
    <cellStyle name="Output 2 2 3 4 2 2 3 3 2" xfId="28807"/>
    <cellStyle name="Output 2 2 3 4 2 2 3 4" xfId="20130"/>
    <cellStyle name="Output 2 2 3 4 2 2 4" xfId="4074"/>
    <cellStyle name="Output 2 2 3 4 2 2 4 2" xfId="22746"/>
    <cellStyle name="Output 2 2 3 4 2 2 5" xfId="17335"/>
    <cellStyle name="Output 2 2 3 4 2 3" xfId="2380"/>
    <cellStyle name="Output 2 2 3 4 2 3 2" xfId="7255"/>
    <cellStyle name="Output 2 2 3 4 2 3 2 2" xfId="9869"/>
    <cellStyle name="Output 2 2 3 4 2 3 2 2 2" xfId="16131"/>
    <cellStyle name="Output 2 2 3 4 2 3 2 2 2 2" xfId="29547"/>
    <cellStyle name="Output 2 2 3 4 2 3 2 2 3" xfId="20876"/>
    <cellStyle name="Output 2 2 3 4 2 3 2 3" xfId="13859"/>
    <cellStyle name="Output 2 2 3 4 2 3 2 3 2" xfId="28181"/>
    <cellStyle name="Output 2 2 3 4 2 3 2 4" xfId="19504"/>
    <cellStyle name="Output 2 2 3 4 2 3 3" xfId="13218"/>
    <cellStyle name="Output 2 2 3 4 2 3 3 2" xfId="27540"/>
    <cellStyle name="Output 2 2 3 4 2 3 4" xfId="18863"/>
    <cellStyle name="Output 2 2 3 4 2 4" xfId="5659"/>
    <cellStyle name="Output 2 2 3 4 2 4 2" xfId="12212"/>
    <cellStyle name="Output 2 2 3 4 2 4 2 2" xfId="26534"/>
    <cellStyle name="Output 2 2 3 4 2 4 3" xfId="17857"/>
    <cellStyle name="Output 2 2 3 4 2 5" xfId="4400"/>
    <cellStyle name="Output 2 2 3 4 2 5 2" xfId="22929"/>
    <cellStyle name="Output 2 2 3 4 2 6" xfId="14829"/>
    <cellStyle name="Output 2 2 3 4 3" xfId="2381"/>
    <cellStyle name="Output 2 2 3 4 3 2" xfId="2382"/>
    <cellStyle name="Output 2 2 3 4 3 2 2" xfId="6202"/>
    <cellStyle name="Output 2 2 3 4 3 2 2 2" xfId="12775"/>
    <cellStyle name="Output 2 2 3 4 3 2 2 2 2" xfId="27097"/>
    <cellStyle name="Output 2 2 3 4 3 2 2 3" xfId="18420"/>
    <cellStyle name="Output 2 2 3 4 3 2 3" xfId="7304"/>
    <cellStyle name="Output 2 2 3 4 3 2 3 2" xfId="9918"/>
    <cellStyle name="Output 2 2 3 4 3 2 3 2 2" xfId="16180"/>
    <cellStyle name="Output 2 2 3 4 3 2 3 2 2 2" xfId="29596"/>
    <cellStyle name="Output 2 2 3 4 3 2 3 2 3" xfId="20925"/>
    <cellStyle name="Output 2 2 3 4 3 2 3 3" xfId="13908"/>
    <cellStyle name="Output 2 2 3 4 3 2 3 3 2" xfId="28230"/>
    <cellStyle name="Output 2 2 3 4 3 2 3 4" xfId="19553"/>
    <cellStyle name="Output 2 2 3 4 3 2 4" xfId="4934"/>
    <cellStyle name="Output 2 2 3 4 3 2 4 2" xfId="23269"/>
    <cellStyle name="Output 2 2 3 4 3 2 5" xfId="15356"/>
    <cellStyle name="Output 2 2 3 4 3 3" xfId="2383"/>
    <cellStyle name="Output 2 2 3 4 3 3 2" xfId="7501"/>
    <cellStyle name="Output 2 2 3 4 3 3 2 2" xfId="10115"/>
    <cellStyle name="Output 2 2 3 4 3 3 2 2 2" xfId="16377"/>
    <cellStyle name="Output 2 2 3 4 3 3 2 2 2 2" xfId="29793"/>
    <cellStyle name="Output 2 2 3 4 3 3 2 2 3" xfId="21122"/>
    <cellStyle name="Output 2 2 3 4 3 3 2 3" xfId="14105"/>
    <cellStyle name="Output 2 2 3 4 3 3 2 3 2" xfId="28427"/>
    <cellStyle name="Output 2 2 3 4 3 3 2 4" xfId="19750"/>
    <cellStyle name="Output 2 2 3 4 3 3 3" xfId="13211"/>
    <cellStyle name="Output 2 2 3 4 3 3 3 2" xfId="27533"/>
    <cellStyle name="Output 2 2 3 4 3 3 4" xfId="18856"/>
    <cellStyle name="Output 2 2 3 4 3 4" xfId="5650"/>
    <cellStyle name="Output 2 2 3 4 3 4 2" xfId="12203"/>
    <cellStyle name="Output 2 2 3 4 3 4 2 2" xfId="26525"/>
    <cellStyle name="Output 2 2 3 4 3 4 3" xfId="17848"/>
    <cellStyle name="Output 2 2 3 4 3 5" xfId="3187"/>
    <cellStyle name="Output 2 2 3 4 3 5 2" xfId="22431"/>
    <cellStyle name="Output 2 2 3 4 3 6" xfId="15544"/>
    <cellStyle name="Output 2 2 3 4 4" xfId="2384"/>
    <cellStyle name="Output 2 2 3 4 4 2" xfId="6443"/>
    <cellStyle name="Output 2 2 3 4 4 2 2" xfId="13026"/>
    <cellStyle name="Output 2 2 3 4 4 2 2 2" xfId="27348"/>
    <cellStyle name="Output 2 2 3 4 4 2 3" xfId="18671"/>
    <cellStyle name="Output 2 2 3 4 4 3" xfId="7601"/>
    <cellStyle name="Output 2 2 3 4 4 3 2" xfId="10215"/>
    <cellStyle name="Output 2 2 3 4 4 3 2 2" xfId="16477"/>
    <cellStyle name="Output 2 2 3 4 4 3 2 2 2" xfId="29893"/>
    <cellStyle name="Output 2 2 3 4 4 3 2 3" xfId="21222"/>
    <cellStyle name="Output 2 2 3 4 4 3 3" xfId="14205"/>
    <cellStyle name="Output 2 2 3 4 4 3 3 2" xfId="28527"/>
    <cellStyle name="Output 2 2 3 4 4 3 4" xfId="19850"/>
    <cellStyle name="Output 2 2 3 4 4 4" xfId="4606"/>
    <cellStyle name="Output 2 2 3 4 4 4 2" xfId="23064"/>
    <cellStyle name="Output 2 2 3 4 4 5" xfId="15492"/>
    <cellStyle name="Output 2 2 3 4 5" xfId="2385"/>
    <cellStyle name="Output 2 2 3 4 5 2" xfId="7167"/>
    <cellStyle name="Output 2 2 3 4 5 2 2" xfId="9781"/>
    <cellStyle name="Output 2 2 3 4 5 2 2 2" xfId="16043"/>
    <cellStyle name="Output 2 2 3 4 5 2 2 2 2" xfId="29459"/>
    <cellStyle name="Output 2 2 3 4 5 2 2 3" xfId="20788"/>
    <cellStyle name="Output 2 2 3 4 5 2 3" xfId="13771"/>
    <cellStyle name="Output 2 2 3 4 5 2 3 2" xfId="28093"/>
    <cellStyle name="Output 2 2 3 4 5 2 4" xfId="19416"/>
    <cellStyle name="Output 2 2 3 4 5 3" xfId="11786"/>
    <cellStyle name="Output 2 2 3 4 5 3 2" xfId="26108"/>
    <cellStyle name="Output 2 2 3 4 5 4" xfId="17431"/>
    <cellStyle name="Output 2 2 3 4 6" xfId="3738"/>
    <cellStyle name="Output 2 2 3 4 6 2" xfId="6570"/>
    <cellStyle name="Output 2 2 3 4 6 2 2" xfId="23581"/>
    <cellStyle name="Output 2 2 3 4 6 3" xfId="14923"/>
    <cellStyle name="Output 2 2 3 4 7" xfId="6172"/>
    <cellStyle name="Output 2 2 3 4 7 2" xfId="23441"/>
    <cellStyle name="Output 2 2 3 4 8" xfId="17277"/>
    <cellStyle name="Output 2 2 3 5" xfId="2386"/>
    <cellStyle name="Output 2 2 3 5 2" xfId="2387"/>
    <cellStyle name="Output 2 2 3 5 2 2" xfId="2388"/>
    <cellStyle name="Output 2 2 3 5 2 2 2" xfId="6972"/>
    <cellStyle name="Output 2 2 3 5 2 2 2 2" xfId="13576"/>
    <cellStyle name="Output 2 2 3 5 2 2 2 2 2" xfId="27898"/>
    <cellStyle name="Output 2 2 3 5 2 2 2 3" xfId="19221"/>
    <cellStyle name="Output 2 2 3 5 2 2 3" xfId="8050"/>
    <cellStyle name="Output 2 2 3 5 2 2 3 2" xfId="10664"/>
    <cellStyle name="Output 2 2 3 5 2 2 3 2 2" xfId="16926"/>
    <cellStyle name="Output 2 2 3 5 2 2 3 2 2 2" xfId="30342"/>
    <cellStyle name="Output 2 2 3 5 2 2 3 2 3" xfId="21671"/>
    <cellStyle name="Output 2 2 3 5 2 2 3 3" xfId="14654"/>
    <cellStyle name="Output 2 2 3 5 2 2 3 3 2" xfId="28976"/>
    <cellStyle name="Output 2 2 3 5 2 2 3 4" xfId="20299"/>
    <cellStyle name="Output 2 2 3 5 2 2 4" xfId="11479"/>
    <cellStyle name="Output 2 2 3 5 2 2 4 2" xfId="25801"/>
    <cellStyle name="Output 2 2 3 5 2 2 5" xfId="14727"/>
    <cellStyle name="Output 2 2 3 5 2 3" xfId="2389"/>
    <cellStyle name="Output 2 2 3 5 2 3 2" xfId="7917"/>
    <cellStyle name="Output 2 2 3 5 2 3 2 2" xfId="10531"/>
    <cellStyle name="Output 2 2 3 5 2 3 2 2 2" xfId="16793"/>
    <cellStyle name="Output 2 2 3 5 2 3 2 2 2 2" xfId="30209"/>
    <cellStyle name="Output 2 2 3 5 2 3 2 2 3" xfId="21538"/>
    <cellStyle name="Output 2 2 3 5 2 3 2 3" xfId="14521"/>
    <cellStyle name="Output 2 2 3 5 2 3 2 3 2" xfId="28843"/>
    <cellStyle name="Output 2 2 3 5 2 3 2 4" xfId="20166"/>
    <cellStyle name="Output 2 2 3 5 2 3 3" xfId="12117"/>
    <cellStyle name="Output 2 2 3 5 2 3 3 2" xfId="26439"/>
    <cellStyle name="Output 2 2 3 5 2 3 4" xfId="17762"/>
    <cellStyle name="Output 2 2 3 5 2 4" xfId="3986"/>
    <cellStyle name="Output 2 2 3 5 2 4 2" xfId="5837"/>
    <cellStyle name="Output 2 2 3 5 2 4 2 2" xfId="23366"/>
    <cellStyle name="Output 2 2 3 5 2 4 3" xfId="15306"/>
    <cellStyle name="Output 2 2 3 5 2 5" xfId="4444"/>
    <cellStyle name="Output 2 2 3 5 2 5 2" xfId="22956"/>
    <cellStyle name="Output 2 2 3 5 2 6" xfId="17238"/>
    <cellStyle name="Output 2 2 3 5 3" xfId="2390"/>
    <cellStyle name="Output 2 2 3 5 3 2" xfId="7018"/>
    <cellStyle name="Output 2 2 3 5 3 2 2" xfId="13622"/>
    <cellStyle name="Output 2 2 3 5 3 2 2 2" xfId="27944"/>
    <cellStyle name="Output 2 2 3 5 3 2 3" xfId="19267"/>
    <cellStyle name="Output 2 2 3 5 3 3" xfId="7090"/>
    <cellStyle name="Output 2 2 3 5 3 3 2" xfId="9704"/>
    <cellStyle name="Output 2 2 3 5 3 3 2 2" xfId="15966"/>
    <cellStyle name="Output 2 2 3 5 3 3 2 2 2" xfId="29382"/>
    <cellStyle name="Output 2 2 3 5 3 3 2 3" xfId="20711"/>
    <cellStyle name="Output 2 2 3 5 3 3 3" xfId="13694"/>
    <cellStyle name="Output 2 2 3 5 3 3 3 2" xfId="28016"/>
    <cellStyle name="Output 2 2 3 5 3 3 4" xfId="19339"/>
    <cellStyle name="Output 2 2 3 5 3 4" xfId="11548"/>
    <cellStyle name="Output 2 2 3 5 3 4 2" xfId="25870"/>
    <cellStyle name="Output 2 2 3 5 3 5" xfId="17260"/>
    <cellStyle name="Output 2 2 3 5 4" xfId="2391"/>
    <cellStyle name="Output 2 2 3 5 4 2" xfId="7426"/>
    <cellStyle name="Output 2 2 3 5 4 2 2" xfId="10040"/>
    <cellStyle name="Output 2 2 3 5 4 2 2 2" xfId="16302"/>
    <cellStyle name="Output 2 2 3 5 4 2 2 2 2" xfId="29718"/>
    <cellStyle name="Output 2 2 3 5 4 2 2 3" xfId="21047"/>
    <cellStyle name="Output 2 2 3 5 4 2 3" xfId="14030"/>
    <cellStyle name="Output 2 2 3 5 4 2 3 2" xfId="28352"/>
    <cellStyle name="Output 2 2 3 5 4 2 4" xfId="19675"/>
    <cellStyle name="Output 2 2 3 5 4 3" xfId="12830"/>
    <cellStyle name="Output 2 2 3 5 4 3 2" xfId="27152"/>
    <cellStyle name="Output 2 2 3 5 4 4" xfId="18475"/>
    <cellStyle name="Output 2 2 3 5 5" xfId="5390"/>
    <cellStyle name="Output 2 2 3 5 5 2" xfId="11940"/>
    <cellStyle name="Output 2 2 3 5 5 2 2" xfId="26262"/>
    <cellStyle name="Output 2 2 3 5 5 3" xfId="17585"/>
    <cellStyle name="Output 2 2 3 5 6" xfId="2839"/>
    <cellStyle name="Output 2 2 3 5 6 2" xfId="22402"/>
    <cellStyle name="Output 2 2 3 5 7" xfId="15535"/>
    <cellStyle name="Output 2 2 3 6" xfId="2392"/>
    <cellStyle name="Output 2 2 3 6 2" xfId="2393"/>
    <cellStyle name="Output 2 2 3 6 2 2" xfId="6979"/>
    <cellStyle name="Output 2 2 3 6 2 2 2" xfId="13583"/>
    <cellStyle name="Output 2 2 3 6 2 2 2 2" xfId="27905"/>
    <cellStyle name="Output 2 2 3 6 2 2 3" xfId="19228"/>
    <cellStyle name="Output 2 2 3 6 2 3" xfId="7850"/>
    <cellStyle name="Output 2 2 3 6 2 3 2" xfId="10464"/>
    <cellStyle name="Output 2 2 3 6 2 3 2 2" xfId="16726"/>
    <cellStyle name="Output 2 2 3 6 2 3 2 2 2" xfId="30142"/>
    <cellStyle name="Output 2 2 3 6 2 3 2 3" xfId="21471"/>
    <cellStyle name="Output 2 2 3 6 2 3 3" xfId="14454"/>
    <cellStyle name="Output 2 2 3 6 2 3 3 2" xfId="28776"/>
    <cellStyle name="Output 2 2 3 6 2 3 4" xfId="20099"/>
    <cellStyle name="Output 2 2 3 6 2 4" xfId="11490"/>
    <cellStyle name="Output 2 2 3 6 2 4 2" xfId="25812"/>
    <cellStyle name="Output 2 2 3 6 2 5" xfId="15050"/>
    <cellStyle name="Output 2 2 3 6 3" xfId="2394"/>
    <cellStyle name="Output 2 2 3 6 3 2" xfId="5261"/>
    <cellStyle name="Output 2 2 3 6 3 2 2" xfId="9570"/>
    <cellStyle name="Output 2 2 3 6 3 2 2 2" xfId="15832"/>
    <cellStyle name="Output 2 2 3 6 3 2 2 2 2" xfId="29248"/>
    <cellStyle name="Output 2 2 3 6 3 2 2 3" xfId="20577"/>
    <cellStyle name="Output 2 2 3 6 3 2 3" xfId="11811"/>
    <cellStyle name="Output 2 2 3 6 3 2 3 2" xfId="26133"/>
    <cellStyle name="Output 2 2 3 6 3 2 4" xfId="17456"/>
    <cellStyle name="Output 2 2 3 6 3 3" xfId="13169"/>
    <cellStyle name="Output 2 2 3 6 3 3 2" xfId="27491"/>
    <cellStyle name="Output 2 2 3 6 3 4" xfId="18814"/>
    <cellStyle name="Output 2 2 3 6 4" xfId="5588"/>
    <cellStyle name="Output 2 2 3 6 4 2" xfId="12140"/>
    <cellStyle name="Output 2 2 3 6 4 2 2" xfId="26462"/>
    <cellStyle name="Output 2 2 3 6 4 3" xfId="17785"/>
    <cellStyle name="Output 2 2 3 6 5" xfId="6819"/>
    <cellStyle name="Output 2 2 3 6 5 2" xfId="23755"/>
    <cellStyle name="Output 2 2 3 6 6" xfId="4179"/>
    <cellStyle name="Output 2 2 3 7" xfId="2395"/>
    <cellStyle name="Output 2 2 3 7 2" xfId="5163"/>
    <cellStyle name="Output 2 2 3 7 2 2" xfId="11712"/>
    <cellStyle name="Output 2 2 3 7 2 2 2" xfId="26034"/>
    <cellStyle name="Output 2 2 3 7 2 3" xfId="4486"/>
    <cellStyle name="Output 2 2 3 7 3" xfId="7370"/>
    <cellStyle name="Output 2 2 3 7 3 2" xfId="9984"/>
    <cellStyle name="Output 2 2 3 7 3 2 2" xfId="16246"/>
    <cellStyle name="Output 2 2 3 7 3 2 2 2" xfId="29662"/>
    <cellStyle name="Output 2 2 3 7 3 2 3" xfId="20991"/>
    <cellStyle name="Output 2 2 3 7 3 3" xfId="13974"/>
    <cellStyle name="Output 2 2 3 7 3 3 2" xfId="28296"/>
    <cellStyle name="Output 2 2 3 7 3 4" xfId="19619"/>
    <cellStyle name="Output 2 2 3 7 4" xfId="4518"/>
    <cellStyle name="Output 2 2 3 7 4 2" xfId="23004"/>
    <cellStyle name="Output 2 2 3 7 5" xfId="14951"/>
    <cellStyle name="Output 2 2 3 8" xfId="2396"/>
    <cellStyle name="Output 2 2 3 8 2" xfId="7467"/>
    <cellStyle name="Output 2 2 3 8 2 2" xfId="10081"/>
    <cellStyle name="Output 2 2 3 8 2 2 2" xfId="16343"/>
    <cellStyle name="Output 2 2 3 8 2 2 2 2" xfId="29759"/>
    <cellStyle name="Output 2 2 3 8 2 2 3" xfId="21088"/>
    <cellStyle name="Output 2 2 3 8 2 3" xfId="14071"/>
    <cellStyle name="Output 2 2 3 8 2 3 2" xfId="28393"/>
    <cellStyle name="Output 2 2 3 8 2 4" xfId="19716"/>
    <cellStyle name="Output 2 2 3 8 3" xfId="3661"/>
    <cellStyle name="Output 2 2 3 8 3 2" xfId="22511"/>
    <cellStyle name="Output 2 2 3 8 4" xfId="17236"/>
    <cellStyle name="Output 2 2 3 9" xfId="5248"/>
    <cellStyle name="Output 2 2 3 9 2" xfId="11798"/>
    <cellStyle name="Output 2 2 3 9 2 2" xfId="26120"/>
    <cellStyle name="Output 2 2 3 9 3" xfId="17443"/>
    <cellStyle name="Output 2 2 4" xfId="2397"/>
    <cellStyle name="Output 2 2 4 2" xfId="2398"/>
    <cellStyle name="Output 2 2 4 2 2" xfId="2399"/>
    <cellStyle name="Output 2 2 4 2 2 2" xfId="6030"/>
    <cellStyle name="Output 2 2 4 2 2 2 2" xfId="12591"/>
    <cellStyle name="Output 2 2 4 2 2 2 2 2" xfId="26913"/>
    <cellStyle name="Output 2 2 4 2 2 2 3" xfId="18236"/>
    <cellStyle name="Output 2 2 4 2 2 3" xfId="7268"/>
    <cellStyle name="Output 2 2 4 2 2 3 2" xfId="9882"/>
    <cellStyle name="Output 2 2 4 2 2 3 2 2" xfId="16144"/>
    <cellStyle name="Output 2 2 4 2 2 3 2 2 2" xfId="29560"/>
    <cellStyle name="Output 2 2 4 2 2 3 2 3" xfId="20889"/>
    <cellStyle name="Output 2 2 4 2 2 3 3" xfId="13872"/>
    <cellStyle name="Output 2 2 4 2 2 3 3 2" xfId="28194"/>
    <cellStyle name="Output 2 2 4 2 2 3 4" xfId="19517"/>
    <cellStyle name="Output 2 2 4 2 2 4" xfId="3956"/>
    <cellStyle name="Output 2 2 4 2 2 4 2" xfId="22668"/>
    <cellStyle name="Output 2 2 4 2 2 5" xfId="15029"/>
    <cellStyle name="Output 2 2 4 2 3" xfId="2400"/>
    <cellStyle name="Output 2 2 4 2 3 2" xfId="7544"/>
    <cellStyle name="Output 2 2 4 2 3 2 2" xfId="10158"/>
    <cellStyle name="Output 2 2 4 2 3 2 2 2" xfId="16420"/>
    <cellStyle name="Output 2 2 4 2 3 2 2 2 2" xfId="29836"/>
    <cellStyle name="Output 2 2 4 2 3 2 2 3" xfId="21165"/>
    <cellStyle name="Output 2 2 4 2 3 2 3" xfId="14148"/>
    <cellStyle name="Output 2 2 4 2 3 2 3 2" xfId="28470"/>
    <cellStyle name="Output 2 2 4 2 3 2 4" xfId="19793"/>
    <cellStyle name="Output 2 2 4 2 3 3" xfId="13289"/>
    <cellStyle name="Output 2 2 4 2 3 3 2" xfId="27611"/>
    <cellStyle name="Output 2 2 4 2 3 4" xfId="18934"/>
    <cellStyle name="Output 2 2 4 2 4" xfId="5739"/>
    <cellStyle name="Output 2 2 4 2 4 2" xfId="12292"/>
    <cellStyle name="Output 2 2 4 2 4 2 2" xfId="26614"/>
    <cellStyle name="Output 2 2 4 2 4 3" xfId="17937"/>
    <cellStyle name="Output 2 2 4 2 5" xfId="5003"/>
    <cellStyle name="Output 2 2 4 2 5 2" xfId="23304"/>
    <cellStyle name="Output 2 2 4 2 6" xfId="14761"/>
    <cellStyle name="Output 2 2 4 3" xfId="2401"/>
    <cellStyle name="Output 2 2 4 3 2" xfId="2402"/>
    <cellStyle name="Output 2 2 4 3 2 2" xfId="7028"/>
    <cellStyle name="Output 2 2 4 3 2 2 2" xfId="13632"/>
    <cellStyle name="Output 2 2 4 3 2 2 2 2" xfId="27954"/>
    <cellStyle name="Output 2 2 4 3 2 2 3" xfId="19277"/>
    <cellStyle name="Output 2 2 4 3 2 3" xfId="7518"/>
    <cellStyle name="Output 2 2 4 3 2 3 2" xfId="10132"/>
    <cellStyle name="Output 2 2 4 3 2 3 2 2" xfId="16394"/>
    <cellStyle name="Output 2 2 4 3 2 3 2 2 2" xfId="29810"/>
    <cellStyle name="Output 2 2 4 3 2 3 2 3" xfId="21139"/>
    <cellStyle name="Output 2 2 4 3 2 3 3" xfId="14122"/>
    <cellStyle name="Output 2 2 4 3 2 3 3 2" xfId="28444"/>
    <cellStyle name="Output 2 2 4 3 2 3 4" xfId="19767"/>
    <cellStyle name="Output 2 2 4 3 2 4" xfId="11567"/>
    <cellStyle name="Output 2 2 4 3 2 4 2" xfId="25889"/>
    <cellStyle name="Output 2 2 4 3 2 5" xfId="4459"/>
    <cellStyle name="Output 2 2 4 3 3" xfId="2403"/>
    <cellStyle name="Output 2 2 4 3 3 2" xfId="8012"/>
    <cellStyle name="Output 2 2 4 3 3 2 2" xfId="10626"/>
    <cellStyle name="Output 2 2 4 3 3 2 2 2" xfId="16888"/>
    <cellStyle name="Output 2 2 4 3 3 2 2 2 2" xfId="30304"/>
    <cellStyle name="Output 2 2 4 3 3 2 2 3" xfId="21633"/>
    <cellStyle name="Output 2 2 4 3 3 2 3" xfId="14616"/>
    <cellStyle name="Output 2 2 4 3 3 2 3 2" xfId="28938"/>
    <cellStyle name="Output 2 2 4 3 3 2 4" xfId="20261"/>
    <cellStyle name="Output 2 2 4 3 3 3" xfId="13389"/>
    <cellStyle name="Output 2 2 4 3 3 3 2" xfId="27711"/>
    <cellStyle name="Output 2 2 4 3 3 4" xfId="19034"/>
    <cellStyle name="Output 2 2 4 3 4" xfId="5853"/>
    <cellStyle name="Output 2 2 4 3 4 2" xfId="12406"/>
    <cellStyle name="Output 2 2 4 3 4 2 2" xfId="26728"/>
    <cellStyle name="Output 2 2 4 3 4 3" xfId="18051"/>
    <cellStyle name="Output 2 2 4 3 5" xfId="4307"/>
    <cellStyle name="Output 2 2 4 3 5 2" xfId="22883"/>
    <cellStyle name="Output 2 2 4 3 6" xfId="17077"/>
    <cellStyle name="Output 2 2 4 4" xfId="2404"/>
    <cellStyle name="Output 2 2 4 4 2" xfId="6006"/>
    <cellStyle name="Output 2 2 4 4 2 2" xfId="12565"/>
    <cellStyle name="Output 2 2 4 4 2 2 2" xfId="26887"/>
    <cellStyle name="Output 2 2 4 4 2 3" xfId="18210"/>
    <cellStyle name="Output 2 2 4 4 3" xfId="7147"/>
    <cellStyle name="Output 2 2 4 4 3 2" xfId="9761"/>
    <cellStyle name="Output 2 2 4 4 3 2 2" xfId="16023"/>
    <cellStyle name="Output 2 2 4 4 3 2 2 2" xfId="29439"/>
    <cellStyle name="Output 2 2 4 4 3 2 3" xfId="20768"/>
    <cellStyle name="Output 2 2 4 4 3 3" xfId="13751"/>
    <cellStyle name="Output 2 2 4 4 3 3 2" xfId="28073"/>
    <cellStyle name="Output 2 2 4 4 3 4" xfId="19396"/>
    <cellStyle name="Output 2 2 4 4 4" xfId="6313"/>
    <cellStyle name="Output 2 2 4 4 4 2" xfId="23509"/>
    <cellStyle name="Output 2 2 4 4 5" xfId="14889"/>
    <cellStyle name="Output 2 2 4 5" xfId="2405"/>
    <cellStyle name="Output 2 2 4 5 2" xfId="7830"/>
    <cellStyle name="Output 2 2 4 5 2 2" xfId="10444"/>
    <cellStyle name="Output 2 2 4 5 2 2 2" xfId="16706"/>
    <cellStyle name="Output 2 2 4 5 2 2 2 2" xfId="30122"/>
    <cellStyle name="Output 2 2 4 5 2 2 3" xfId="21451"/>
    <cellStyle name="Output 2 2 4 5 2 3" xfId="14434"/>
    <cellStyle name="Output 2 2 4 5 2 3 2" xfId="28756"/>
    <cellStyle name="Output 2 2 4 5 2 4" xfId="20079"/>
    <cellStyle name="Output 2 2 4 5 3" xfId="12858"/>
    <cellStyle name="Output 2 2 4 5 3 2" xfId="27180"/>
    <cellStyle name="Output 2 2 4 5 4" xfId="18503"/>
    <cellStyle name="Output 2 2 4 6" xfId="5466"/>
    <cellStyle name="Output 2 2 4 6 2" xfId="12017"/>
    <cellStyle name="Output 2 2 4 6 2 2" xfId="26339"/>
    <cellStyle name="Output 2 2 4 6 3" xfId="17662"/>
    <cellStyle name="Output 2 2 4 7" xfId="5571"/>
    <cellStyle name="Output 2 2 4 7 2" xfId="23351"/>
    <cellStyle name="Output 2 2 4 8" xfId="16991"/>
    <cellStyle name="Output 2 2 5" xfId="2406"/>
    <cellStyle name="Output 2 2 5 2" xfId="2407"/>
    <cellStyle name="Output 2 2 5 2 2" xfId="2408"/>
    <cellStyle name="Output 2 2 5 2 2 2" xfId="6067"/>
    <cellStyle name="Output 2 2 5 2 2 2 2" xfId="12633"/>
    <cellStyle name="Output 2 2 5 2 2 2 2 2" xfId="26955"/>
    <cellStyle name="Output 2 2 5 2 2 2 3" xfId="18278"/>
    <cellStyle name="Output 2 2 5 2 2 3" xfId="8026"/>
    <cellStyle name="Output 2 2 5 2 2 3 2" xfId="10640"/>
    <cellStyle name="Output 2 2 5 2 2 3 2 2" xfId="16902"/>
    <cellStyle name="Output 2 2 5 2 2 3 2 2 2" xfId="30318"/>
    <cellStyle name="Output 2 2 5 2 2 3 2 3" xfId="21647"/>
    <cellStyle name="Output 2 2 5 2 2 3 3" xfId="14630"/>
    <cellStyle name="Output 2 2 5 2 2 3 3 2" xfId="28952"/>
    <cellStyle name="Output 2 2 5 2 2 3 4" xfId="20275"/>
    <cellStyle name="Output 2 2 5 2 2 4" xfId="6293"/>
    <cellStyle name="Output 2 2 5 2 2 4 2" xfId="23492"/>
    <cellStyle name="Output 2 2 5 2 2 5" xfId="15451"/>
    <cellStyle name="Output 2 2 5 2 3" xfId="2409"/>
    <cellStyle name="Output 2 2 5 2 3 2" xfId="7521"/>
    <cellStyle name="Output 2 2 5 2 3 2 2" xfId="10135"/>
    <cellStyle name="Output 2 2 5 2 3 2 2 2" xfId="16397"/>
    <cellStyle name="Output 2 2 5 2 3 2 2 2 2" xfId="29813"/>
    <cellStyle name="Output 2 2 5 2 3 2 2 3" xfId="21142"/>
    <cellStyle name="Output 2 2 5 2 3 2 3" xfId="14125"/>
    <cellStyle name="Output 2 2 5 2 3 2 3 2" xfId="28447"/>
    <cellStyle name="Output 2 2 5 2 3 2 4" xfId="19770"/>
    <cellStyle name="Output 2 2 5 2 3 3" xfId="13291"/>
    <cellStyle name="Output 2 2 5 2 3 3 2" xfId="27613"/>
    <cellStyle name="Output 2 2 5 2 3 4" xfId="18936"/>
    <cellStyle name="Output 2 2 5 2 4" xfId="5741"/>
    <cellStyle name="Output 2 2 5 2 4 2" xfId="12294"/>
    <cellStyle name="Output 2 2 5 2 4 2 2" xfId="26616"/>
    <cellStyle name="Output 2 2 5 2 4 3" xfId="17939"/>
    <cellStyle name="Output 2 2 5 2 5" xfId="6695"/>
    <cellStyle name="Output 2 2 5 2 5 2" xfId="23658"/>
    <cellStyle name="Output 2 2 5 2 6" xfId="15382"/>
    <cellStyle name="Output 2 2 5 3" xfId="2410"/>
    <cellStyle name="Output 2 2 5 3 2" xfId="2411"/>
    <cellStyle name="Output 2 2 5 3 2 2" xfId="6117"/>
    <cellStyle name="Output 2 2 5 3 2 2 2" xfId="12685"/>
    <cellStyle name="Output 2 2 5 3 2 2 2 2" xfId="27007"/>
    <cellStyle name="Output 2 2 5 3 2 2 3" xfId="18330"/>
    <cellStyle name="Output 2 2 5 3 2 3" xfId="7137"/>
    <cellStyle name="Output 2 2 5 3 2 3 2" xfId="9751"/>
    <cellStyle name="Output 2 2 5 3 2 3 2 2" xfId="16013"/>
    <cellStyle name="Output 2 2 5 3 2 3 2 2 2" xfId="29429"/>
    <cellStyle name="Output 2 2 5 3 2 3 2 3" xfId="20758"/>
    <cellStyle name="Output 2 2 5 3 2 3 3" xfId="13741"/>
    <cellStyle name="Output 2 2 5 3 2 3 3 2" xfId="28063"/>
    <cellStyle name="Output 2 2 5 3 2 3 4" xfId="19386"/>
    <cellStyle name="Output 2 2 5 3 2 4" xfId="3265"/>
    <cellStyle name="Output 2 2 5 3 2 4 2" xfId="22451"/>
    <cellStyle name="Output 2 2 5 3 2 5" xfId="15263"/>
    <cellStyle name="Output 2 2 5 3 3" xfId="2412"/>
    <cellStyle name="Output 2 2 5 3 3 2" xfId="5276"/>
    <cellStyle name="Output 2 2 5 3 3 2 2" xfId="9585"/>
    <cellStyle name="Output 2 2 5 3 3 2 2 2" xfId="15847"/>
    <cellStyle name="Output 2 2 5 3 3 2 2 2 2" xfId="29263"/>
    <cellStyle name="Output 2 2 5 3 3 2 2 3" xfId="20592"/>
    <cellStyle name="Output 2 2 5 3 3 2 3" xfId="11826"/>
    <cellStyle name="Output 2 2 5 3 3 2 3 2" xfId="26148"/>
    <cellStyle name="Output 2 2 5 3 3 2 4" xfId="17471"/>
    <cellStyle name="Output 2 2 5 3 3 3" xfId="13073"/>
    <cellStyle name="Output 2 2 5 3 3 3 2" xfId="27395"/>
    <cellStyle name="Output 2 2 5 3 3 4" xfId="18718"/>
    <cellStyle name="Output 2 2 5 3 4" xfId="5419"/>
    <cellStyle name="Output 2 2 5 3 4 2" xfId="11970"/>
    <cellStyle name="Output 2 2 5 3 4 2 2" xfId="26292"/>
    <cellStyle name="Output 2 2 5 3 4 3" xfId="17615"/>
    <cellStyle name="Output 2 2 5 3 5" xfId="4269"/>
    <cellStyle name="Output 2 2 5 3 5 2" xfId="22861"/>
    <cellStyle name="Output 2 2 5 3 6" xfId="15118"/>
    <cellStyle name="Output 2 2 5 4" xfId="2413"/>
    <cellStyle name="Output 2 2 5 4 2" xfId="6393"/>
    <cellStyle name="Output 2 2 5 4 2 2" xfId="12976"/>
    <cellStyle name="Output 2 2 5 4 2 2 2" xfId="27298"/>
    <cellStyle name="Output 2 2 5 4 2 3" xfId="18621"/>
    <cellStyle name="Output 2 2 5 4 3" xfId="4966"/>
    <cellStyle name="Output 2 2 5 4 3 2" xfId="9526"/>
    <cellStyle name="Output 2 2 5 4 3 2 2" xfId="15788"/>
    <cellStyle name="Output 2 2 5 4 3 2 2 2" xfId="29204"/>
    <cellStyle name="Output 2 2 5 4 3 2 3" xfId="20533"/>
    <cellStyle name="Output 2 2 5 4 3 3" xfId="11507"/>
    <cellStyle name="Output 2 2 5 4 3 3 2" xfId="25829"/>
    <cellStyle name="Output 2 2 5 4 3 4" xfId="6764"/>
    <cellStyle name="Output 2 2 5 4 4" xfId="4046"/>
    <cellStyle name="Output 2 2 5 4 4 2" xfId="22723"/>
    <cellStyle name="Output 2 2 5 4 5" xfId="4405"/>
    <cellStyle name="Output 2 2 5 5" xfId="2414"/>
    <cellStyle name="Output 2 2 5 5 2" xfId="7803"/>
    <cellStyle name="Output 2 2 5 5 2 2" xfId="10417"/>
    <cellStyle name="Output 2 2 5 5 2 2 2" xfId="16679"/>
    <cellStyle name="Output 2 2 5 5 2 2 2 2" xfId="30095"/>
    <cellStyle name="Output 2 2 5 5 2 2 3" xfId="21424"/>
    <cellStyle name="Output 2 2 5 5 2 3" xfId="14407"/>
    <cellStyle name="Output 2 2 5 5 2 3 2" xfId="28729"/>
    <cellStyle name="Output 2 2 5 5 2 4" xfId="20052"/>
    <cellStyle name="Output 2 2 5 5 3" xfId="12867"/>
    <cellStyle name="Output 2 2 5 5 3 2" xfId="27189"/>
    <cellStyle name="Output 2 2 5 5 4" xfId="18512"/>
    <cellStyle name="Output 2 2 5 6" xfId="5484"/>
    <cellStyle name="Output 2 2 5 6 2" xfId="12035"/>
    <cellStyle name="Output 2 2 5 6 2 2" xfId="26357"/>
    <cellStyle name="Output 2 2 5 6 3" xfId="17680"/>
    <cellStyle name="Output 2 2 5 7" xfId="5023"/>
    <cellStyle name="Output 2 2 5 7 2" xfId="23311"/>
    <cellStyle name="Output 2 2 5 8" xfId="15291"/>
    <cellStyle name="Output 2 2 6" xfId="2415"/>
    <cellStyle name="Output 2 2 6 2" xfId="2416"/>
    <cellStyle name="Output 2 2 6 2 2" xfId="2417"/>
    <cellStyle name="Output 2 2 6 2 2 2" xfId="6989"/>
    <cellStyle name="Output 2 2 6 2 2 2 2" xfId="13593"/>
    <cellStyle name="Output 2 2 6 2 2 2 2 2" xfId="27915"/>
    <cellStyle name="Output 2 2 6 2 2 2 3" xfId="19238"/>
    <cellStyle name="Output 2 2 6 2 2 3" xfId="7626"/>
    <cellStyle name="Output 2 2 6 2 2 3 2" xfId="10240"/>
    <cellStyle name="Output 2 2 6 2 2 3 2 2" xfId="16502"/>
    <cellStyle name="Output 2 2 6 2 2 3 2 2 2" xfId="29918"/>
    <cellStyle name="Output 2 2 6 2 2 3 2 3" xfId="21247"/>
    <cellStyle name="Output 2 2 6 2 2 3 3" xfId="14230"/>
    <cellStyle name="Output 2 2 6 2 2 3 3 2" xfId="28552"/>
    <cellStyle name="Output 2 2 6 2 2 3 4" xfId="19875"/>
    <cellStyle name="Output 2 2 6 2 2 4" xfId="11501"/>
    <cellStyle name="Output 2 2 6 2 2 4 2" xfId="25823"/>
    <cellStyle name="Output 2 2 6 2 2 5" xfId="15180"/>
    <cellStyle name="Output 2 2 6 2 3" xfId="2418"/>
    <cellStyle name="Output 2 2 6 2 3 2" xfId="4778"/>
    <cellStyle name="Output 2 2 6 2 3 2 2" xfId="9483"/>
    <cellStyle name="Output 2 2 6 2 3 2 2 2" xfId="15745"/>
    <cellStyle name="Output 2 2 6 2 3 2 2 2 2" xfId="29161"/>
    <cellStyle name="Output 2 2 6 2 3 2 2 3" xfId="20490"/>
    <cellStyle name="Output 2 2 6 2 3 2 3" xfId="2765"/>
    <cellStyle name="Output 2 2 6 2 3 2 3 2" xfId="22334"/>
    <cellStyle name="Output 2 2 6 2 3 2 4" xfId="14944"/>
    <cellStyle name="Output 2 2 6 2 3 3" xfId="13238"/>
    <cellStyle name="Output 2 2 6 2 3 3 2" xfId="27560"/>
    <cellStyle name="Output 2 2 6 2 3 4" xfId="18883"/>
    <cellStyle name="Output 2 2 6 2 4" xfId="5679"/>
    <cellStyle name="Output 2 2 6 2 4 2" xfId="12232"/>
    <cellStyle name="Output 2 2 6 2 4 2 2" xfId="26554"/>
    <cellStyle name="Output 2 2 6 2 4 3" xfId="17877"/>
    <cellStyle name="Output 2 2 6 2 5" xfId="4095"/>
    <cellStyle name="Output 2 2 6 2 5 2" xfId="22755"/>
    <cellStyle name="Output 2 2 6 2 6" xfId="4940"/>
    <cellStyle name="Output 2 2 6 3" xfId="2419"/>
    <cellStyle name="Output 2 2 6 3 2" xfId="2420"/>
    <cellStyle name="Output 2 2 6 3 2 2" xfId="5521"/>
    <cellStyle name="Output 2 2 6 3 2 2 2" xfId="12072"/>
    <cellStyle name="Output 2 2 6 3 2 2 2 2" xfId="26394"/>
    <cellStyle name="Output 2 2 6 3 2 2 3" xfId="17717"/>
    <cellStyle name="Output 2 2 6 3 2 3" xfId="7978"/>
    <cellStyle name="Output 2 2 6 3 2 3 2" xfId="10592"/>
    <cellStyle name="Output 2 2 6 3 2 3 2 2" xfId="16854"/>
    <cellStyle name="Output 2 2 6 3 2 3 2 2 2" xfId="30270"/>
    <cellStyle name="Output 2 2 6 3 2 3 2 3" xfId="21599"/>
    <cellStyle name="Output 2 2 6 3 2 3 3" xfId="14582"/>
    <cellStyle name="Output 2 2 6 3 2 3 3 2" xfId="28904"/>
    <cellStyle name="Output 2 2 6 3 2 3 4" xfId="20227"/>
    <cellStyle name="Output 2 2 6 3 2 4" xfId="4067"/>
    <cellStyle name="Output 2 2 6 3 2 4 2" xfId="22739"/>
    <cellStyle name="Output 2 2 6 3 2 5" xfId="6322"/>
    <cellStyle name="Output 2 2 6 3 3" xfId="2421"/>
    <cellStyle name="Output 2 2 6 3 3 2" xfId="7739"/>
    <cellStyle name="Output 2 2 6 3 3 2 2" xfId="10353"/>
    <cellStyle name="Output 2 2 6 3 3 2 2 2" xfId="16615"/>
    <cellStyle name="Output 2 2 6 3 3 2 2 2 2" xfId="30031"/>
    <cellStyle name="Output 2 2 6 3 3 2 2 3" xfId="21360"/>
    <cellStyle name="Output 2 2 6 3 3 2 3" xfId="14343"/>
    <cellStyle name="Output 2 2 6 3 3 2 3 2" xfId="28665"/>
    <cellStyle name="Output 2 2 6 3 3 2 4" xfId="19988"/>
    <cellStyle name="Output 2 2 6 3 3 3" xfId="13072"/>
    <cellStyle name="Output 2 2 6 3 3 3 2" xfId="27394"/>
    <cellStyle name="Output 2 2 6 3 3 4" xfId="18717"/>
    <cellStyle name="Output 2 2 6 3 4" xfId="5417"/>
    <cellStyle name="Output 2 2 6 3 4 2" xfId="11967"/>
    <cellStyle name="Output 2 2 6 3 4 2 2" xfId="26289"/>
    <cellStyle name="Output 2 2 6 3 4 3" xfId="17612"/>
    <cellStyle name="Output 2 2 6 3 5" xfId="6185"/>
    <cellStyle name="Output 2 2 6 3 5 2" xfId="23450"/>
    <cellStyle name="Output 2 2 6 3 6" xfId="17388"/>
    <cellStyle name="Output 2 2 6 4" xfId="2422"/>
    <cellStyle name="Output 2 2 6 4 2" xfId="6036"/>
    <cellStyle name="Output 2 2 6 4 2 2" xfId="12597"/>
    <cellStyle name="Output 2 2 6 4 2 2 2" xfId="26919"/>
    <cellStyle name="Output 2 2 6 4 2 3" xfId="18242"/>
    <cellStyle name="Output 2 2 6 4 3" xfId="7615"/>
    <cellStyle name="Output 2 2 6 4 3 2" xfId="10229"/>
    <cellStyle name="Output 2 2 6 4 3 2 2" xfId="16491"/>
    <cellStyle name="Output 2 2 6 4 3 2 2 2" xfId="29907"/>
    <cellStyle name="Output 2 2 6 4 3 2 3" xfId="21236"/>
    <cellStyle name="Output 2 2 6 4 3 3" xfId="14219"/>
    <cellStyle name="Output 2 2 6 4 3 3 2" xfId="28541"/>
    <cellStyle name="Output 2 2 6 4 3 4" xfId="19864"/>
    <cellStyle name="Output 2 2 6 4 4" xfId="3843"/>
    <cellStyle name="Output 2 2 6 4 4 2" xfId="22608"/>
    <cellStyle name="Output 2 2 6 4 5" xfId="15459"/>
    <cellStyle name="Output 2 2 6 5" xfId="2423"/>
    <cellStyle name="Output 2 2 6 5 2" xfId="7276"/>
    <cellStyle name="Output 2 2 6 5 2 2" xfId="9890"/>
    <cellStyle name="Output 2 2 6 5 2 2 2" xfId="16152"/>
    <cellStyle name="Output 2 2 6 5 2 2 2 2" xfId="29568"/>
    <cellStyle name="Output 2 2 6 5 2 2 3" xfId="20897"/>
    <cellStyle name="Output 2 2 6 5 2 3" xfId="13880"/>
    <cellStyle name="Output 2 2 6 5 2 3 2" xfId="28202"/>
    <cellStyle name="Output 2 2 6 5 2 4" xfId="19525"/>
    <cellStyle name="Output 2 2 6 5 3" xfId="12686"/>
    <cellStyle name="Output 2 2 6 5 3 2" xfId="27008"/>
    <cellStyle name="Output 2 2 6 5 4" xfId="18331"/>
    <cellStyle name="Output 2 2 6 6" xfId="5227"/>
    <cellStyle name="Output 2 2 6 6 2" xfId="11777"/>
    <cellStyle name="Output 2 2 6 6 2 2" xfId="26099"/>
    <cellStyle name="Output 2 2 6 6 3" xfId="17422"/>
    <cellStyle name="Output 2 2 6 7" xfId="6579"/>
    <cellStyle name="Output 2 2 6 7 2" xfId="23588"/>
    <cellStyle name="Output 2 2 6 8" xfId="17123"/>
    <cellStyle name="Output 2 2 7" xfId="2424"/>
    <cellStyle name="Output 2 2 7 2" xfId="2425"/>
    <cellStyle name="Output 2 2 7 2 2" xfId="2426"/>
    <cellStyle name="Output 2 2 7 2 2 2" xfId="6548"/>
    <cellStyle name="Output 2 2 7 2 2 2 2" xfId="13136"/>
    <cellStyle name="Output 2 2 7 2 2 2 2 2" xfId="27458"/>
    <cellStyle name="Output 2 2 7 2 2 2 3" xfId="18781"/>
    <cellStyle name="Output 2 2 7 2 2 3" xfId="7581"/>
    <cellStyle name="Output 2 2 7 2 2 3 2" xfId="10195"/>
    <cellStyle name="Output 2 2 7 2 2 3 2 2" xfId="16457"/>
    <cellStyle name="Output 2 2 7 2 2 3 2 2 2" xfId="29873"/>
    <cellStyle name="Output 2 2 7 2 2 3 2 3" xfId="21202"/>
    <cellStyle name="Output 2 2 7 2 2 3 3" xfId="14185"/>
    <cellStyle name="Output 2 2 7 2 2 3 3 2" xfId="28507"/>
    <cellStyle name="Output 2 2 7 2 2 3 4" xfId="19830"/>
    <cellStyle name="Output 2 2 7 2 2 4" xfId="3723"/>
    <cellStyle name="Output 2 2 7 2 2 4 2" xfId="22546"/>
    <cellStyle name="Output 2 2 7 2 2 5" xfId="4489"/>
    <cellStyle name="Output 2 2 7 2 3" xfId="2427"/>
    <cellStyle name="Output 2 2 7 2 3 2" xfId="8038"/>
    <cellStyle name="Output 2 2 7 2 3 2 2" xfId="10652"/>
    <cellStyle name="Output 2 2 7 2 3 2 2 2" xfId="16914"/>
    <cellStyle name="Output 2 2 7 2 3 2 2 2 2" xfId="30330"/>
    <cellStyle name="Output 2 2 7 2 3 2 2 3" xfId="21659"/>
    <cellStyle name="Output 2 2 7 2 3 2 3" xfId="14642"/>
    <cellStyle name="Output 2 2 7 2 3 2 3 2" xfId="28964"/>
    <cellStyle name="Output 2 2 7 2 3 2 4" xfId="20287"/>
    <cellStyle name="Output 2 2 7 2 3 3" xfId="13102"/>
    <cellStyle name="Output 2 2 7 2 3 3 2" xfId="27424"/>
    <cellStyle name="Output 2 2 7 2 3 4" xfId="18747"/>
    <cellStyle name="Output 2 2 7 2 4" xfId="5463"/>
    <cellStyle name="Output 2 2 7 2 4 2" xfId="12014"/>
    <cellStyle name="Output 2 2 7 2 4 2 2" xfId="26336"/>
    <cellStyle name="Output 2 2 7 2 4 3" xfId="17659"/>
    <cellStyle name="Output 2 2 7 2 5" xfId="3243"/>
    <cellStyle name="Output 2 2 7 2 5 2" xfId="22441"/>
    <cellStyle name="Output 2 2 7 2 6" xfId="17045"/>
    <cellStyle name="Output 2 2 7 3" xfId="2428"/>
    <cellStyle name="Output 2 2 7 3 2" xfId="6540"/>
    <cellStyle name="Output 2 2 7 3 2 2" xfId="13128"/>
    <cellStyle name="Output 2 2 7 3 2 2 2" xfId="27450"/>
    <cellStyle name="Output 2 2 7 3 2 3" xfId="18773"/>
    <cellStyle name="Output 2 2 7 3 3" xfId="7611"/>
    <cellStyle name="Output 2 2 7 3 3 2" xfId="10225"/>
    <cellStyle name="Output 2 2 7 3 3 2 2" xfId="16487"/>
    <cellStyle name="Output 2 2 7 3 3 2 2 2" xfId="29903"/>
    <cellStyle name="Output 2 2 7 3 3 2 3" xfId="21232"/>
    <cellStyle name="Output 2 2 7 3 3 3" xfId="14215"/>
    <cellStyle name="Output 2 2 7 3 3 3 2" xfId="28537"/>
    <cellStyle name="Output 2 2 7 3 3 4" xfId="19860"/>
    <cellStyle name="Output 2 2 7 3 4" xfId="3639"/>
    <cellStyle name="Output 2 2 7 3 4 2" xfId="22499"/>
    <cellStyle name="Output 2 2 7 3 5" xfId="4828"/>
    <cellStyle name="Output 2 2 7 4" xfId="2429"/>
    <cellStyle name="Output 2 2 7 4 2" xfId="7816"/>
    <cellStyle name="Output 2 2 7 4 2 2" xfId="10430"/>
    <cellStyle name="Output 2 2 7 4 2 2 2" xfId="16692"/>
    <cellStyle name="Output 2 2 7 4 2 2 2 2" xfId="30108"/>
    <cellStyle name="Output 2 2 7 4 2 2 3" xfId="21437"/>
    <cellStyle name="Output 2 2 7 4 2 3" xfId="14420"/>
    <cellStyle name="Output 2 2 7 4 2 3 2" xfId="28742"/>
    <cellStyle name="Output 2 2 7 4 2 4" xfId="20065"/>
    <cellStyle name="Output 2 2 7 4 3" xfId="11738"/>
    <cellStyle name="Output 2 2 7 4 3 2" xfId="26060"/>
    <cellStyle name="Output 2 2 7 4 4" xfId="5998"/>
    <cellStyle name="Output 2 2 7 5" xfId="5117"/>
    <cellStyle name="Output 2 2 7 5 2" xfId="11665"/>
    <cellStyle name="Output 2 2 7 5 2 2" xfId="25987"/>
    <cellStyle name="Output 2 2 7 5 3" xfId="14723"/>
    <cellStyle name="Output 2 2 7 6" xfId="6133"/>
    <cellStyle name="Output 2 2 7 6 2" xfId="23425"/>
    <cellStyle name="Output 2 2 7 7" xfId="4132"/>
    <cellStyle name="Output 2 2 8" xfId="2430"/>
    <cellStyle name="Output 2 2 8 2" xfId="2431"/>
    <cellStyle name="Output 2 2 8 2 2" xfId="5223"/>
    <cellStyle name="Output 2 2 8 2 2 2" xfId="11773"/>
    <cellStyle name="Output 2 2 8 2 2 2 2" xfId="26095"/>
    <cellStyle name="Output 2 2 8 2 2 3" xfId="17418"/>
    <cellStyle name="Output 2 2 8 2 3" xfId="8059"/>
    <cellStyle name="Output 2 2 8 2 3 2" xfId="10673"/>
    <cellStyle name="Output 2 2 8 2 3 2 2" xfId="16935"/>
    <cellStyle name="Output 2 2 8 2 3 2 2 2" xfId="30351"/>
    <cellStyle name="Output 2 2 8 2 3 2 3" xfId="21680"/>
    <cellStyle name="Output 2 2 8 2 3 3" xfId="14663"/>
    <cellStyle name="Output 2 2 8 2 3 3 2" xfId="28985"/>
    <cellStyle name="Output 2 2 8 2 3 4" xfId="20308"/>
    <cellStyle name="Output 2 2 8 2 4" xfId="4375"/>
    <cellStyle name="Output 2 2 8 2 4 2" xfId="22914"/>
    <cellStyle name="Output 2 2 8 2 5" xfId="5030"/>
    <cellStyle name="Output 2 2 8 3" xfId="2432"/>
    <cellStyle name="Output 2 2 8 3 2" xfId="5247"/>
    <cellStyle name="Output 2 2 8 3 2 2" xfId="9557"/>
    <cellStyle name="Output 2 2 8 3 2 2 2" xfId="15819"/>
    <cellStyle name="Output 2 2 8 3 2 2 2 2" xfId="29235"/>
    <cellStyle name="Output 2 2 8 3 2 2 3" xfId="20564"/>
    <cellStyle name="Output 2 2 8 3 2 3" xfId="11797"/>
    <cellStyle name="Output 2 2 8 3 2 3 2" xfId="26119"/>
    <cellStyle name="Output 2 2 8 3 2 4" xfId="17442"/>
    <cellStyle name="Output 2 2 8 3 3" xfId="12473"/>
    <cellStyle name="Output 2 2 8 3 3 2" xfId="26795"/>
    <cellStyle name="Output 2 2 8 3 4" xfId="18118"/>
    <cellStyle name="Output 2 2 8 4" xfId="5234"/>
    <cellStyle name="Output 2 2 8 4 2" xfId="11784"/>
    <cellStyle name="Output 2 2 8 4 2 2" xfId="26106"/>
    <cellStyle name="Output 2 2 8 4 3" xfId="17429"/>
    <cellStyle name="Output 2 2 8 5" xfId="6773"/>
    <cellStyle name="Output 2 2 8 5 2" xfId="23719"/>
    <cellStyle name="Output 2 2 8 6" xfId="15384"/>
    <cellStyle name="Output 2 2 9" xfId="2433"/>
    <cellStyle name="Output 2 2 9 2" xfId="6850"/>
    <cellStyle name="Output 2 2 9 2 2" xfId="13454"/>
    <cellStyle name="Output 2 2 9 2 2 2" xfId="27776"/>
    <cellStyle name="Output 2 2 9 2 3" xfId="19099"/>
    <cellStyle name="Output 2 2 9 3" xfId="7534"/>
    <cellStyle name="Output 2 2 9 3 2" xfId="10148"/>
    <cellStyle name="Output 2 2 9 3 2 2" xfId="16410"/>
    <cellStyle name="Output 2 2 9 3 2 2 2" xfId="29826"/>
    <cellStyle name="Output 2 2 9 3 2 3" xfId="21155"/>
    <cellStyle name="Output 2 2 9 3 3" xfId="14138"/>
    <cellStyle name="Output 2 2 9 3 3 2" xfId="28460"/>
    <cellStyle name="Output 2 2 9 3 4" xfId="19783"/>
    <cellStyle name="Output 2 2 9 4" xfId="2805"/>
    <cellStyle name="Output 2 2 9 4 2" xfId="22368"/>
    <cellStyle name="Output 2 2 9 5" xfId="17212"/>
    <cellStyle name="Output 2 3" xfId="2434"/>
    <cellStyle name="Output 2 3 2" xfId="6954"/>
    <cellStyle name="Output 2 3 2 2" xfId="13558"/>
    <cellStyle name="Output 2 3 2 2 2" xfId="27880"/>
    <cellStyle name="Output 2 3 2 3" xfId="19203"/>
    <cellStyle name="Output 2 3 3" xfId="4265"/>
    <cellStyle name="Output 2 3 3 2" xfId="9440"/>
    <cellStyle name="Output 2 3 3 2 2" xfId="15702"/>
    <cellStyle name="Output 2 3 3 2 2 2" xfId="29118"/>
    <cellStyle name="Output 2 3 3 2 3" xfId="20447"/>
    <cellStyle name="Output 2 3 3 3" xfId="6607"/>
    <cellStyle name="Output 2 3 3 3 2" xfId="23599"/>
    <cellStyle name="Output 2 3 3 4" xfId="3929"/>
    <cellStyle name="Output 2 3 4" xfId="11450"/>
    <cellStyle name="Output 2 3 4 2" xfId="25772"/>
    <cellStyle name="Output 2 3 5" xfId="14832"/>
    <cellStyle name="Output 2 4" xfId="4820"/>
    <cellStyle name="Output 2 4 2" xfId="11352"/>
    <cellStyle name="Output 2 4 2 2" xfId="25674"/>
    <cellStyle name="Output 2 4 3" xfId="15286"/>
    <cellStyle name="Output 2 5" xfId="6648"/>
    <cellStyle name="Output 2 5 2" xfId="23626"/>
    <cellStyle name="Output 2 6" xfId="14807"/>
    <cellStyle name="Output 2 7" xfId="20341"/>
    <cellStyle name="Output 2 8" xfId="21704"/>
    <cellStyle name="Saída" xfId="2435"/>
    <cellStyle name="Saída 2" xfId="2436"/>
    <cellStyle name="Saída 2 10" xfId="2437"/>
    <cellStyle name="Saída 2 10 2" xfId="3768"/>
    <cellStyle name="Saída 2 10 2 2" xfId="9371"/>
    <cellStyle name="Saída 2 10 2 2 2" xfId="15633"/>
    <cellStyle name="Saída 2 10 2 2 2 2" xfId="29049"/>
    <cellStyle name="Saída 2 10 2 2 3" xfId="20378"/>
    <cellStyle name="Saída 2 10 2 3" xfId="4613"/>
    <cellStyle name="Saída 2 10 2 3 2" xfId="23067"/>
    <cellStyle name="Saída 2 10 2 4" xfId="15048"/>
    <cellStyle name="Saída 2 10 3" xfId="12464"/>
    <cellStyle name="Saída 2 10 3 2" xfId="26786"/>
    <cellStyle name="Saída 2 10 4" xfId="18109"/>
    <cellStyle name="Saída 2 11" xfId="3833"/>
    <cellStyle name="Saída 2 11 2" xfId="4189"/>
    <cellStyle name="Saída 2 11 2 2" xfId="22811"/>
    <cellStyle name="Saída 2 11 3" xfId="15154"/>
    <cellStyle name="Saída 2 12" xfId="6716"/>
    <cellStyle name="Saída 2 12 2" xfId="23670"/>
    <cellStyle name="Saída 2 13" xfId="17127"/>
    <cellStyle name="Saída 2 2" xfId="2438"/>
    <cellStyle name="Saída 2 2 10" xfId="5411"/>
    <cellStyle name="Saída 2 2 10 2" xfId="11961"/>
    <cellStyle name="Saída 2 2 10 2 2" xfId="26283"/>
    <cellStyle name="Saída 2 2 10 3" xfId="17606"/>
    <cellStyle name="Saída 2 2 11" xfId="6489"/>
    <cellStyle name="Saída 2 2 11 2" xfId="23566"/>
    <cellStyle name="Saída 2 2 12" xfId="17103"/>
    <cellStyle name="Saída 2 2 2" xfId="2439"/>
    <cellStyle name="Saída 2 2 2 10" xfId="4639"/>
    <cellStyle name="Saída 2 2 2 10 2" xfId="23083"/>
    <cellStyle name="Saída 2 2 2 11" xfId="15222"/>
    <cellStyle name="Saída 2 2 2 2" xfId="2440"/>
    <cellStyle name="Saída 2 2 2 2 2" xfId="2441"/>
    <cellStyle name="Saída 2 2 2 2 2 2" xfId="2442"/>
    <cellStyle name="Saída 2 2 2 2 2 2 2" xfId="6939"/>
    <cellStyle name="Saída 2 2 2 2 2 2 2 2" xfId="13543"/>
    <cellStyle name="Saída 2 2 2 2 2 2 2 2 2" xfId="27865"/>
    <cellStyle name="Saída 2 2 2 2 2 2 2 3" xfId="19188"/>
    <cellStyle name="Saída 2 2 2 2 2 2 3" xfId="7637"/>
    <cellStyle name="Saída 2 2 2 2 2 2 3 2" xfId="10251"/>
    <cellStyle name="Saída 2 2 2 2 2 2 3 2 2" xfId="16513"/>
    <cellStyle name="Saída 2 2 2 2 2 2 3 2 2 2" xfId="29929"/>
    <cellStyle name="Saída 2 2 2 2 2 2 3 2 3" xfId="21258"/>
    <cellStyle name="Saída 2 2 2 2 2 2 3 3" xfId="14241"/>
    <cellStyle name="Saída 2 2 2 2 2 2 3 3 2" xfId="28563"/>
    <cellStyle name="Saída 2 2 2 2 2 2 3 4" xfId="19886"/>
    <cellStyle name="Saída 2 2 2 2 2 2 4" xfId="11432"/>
    <cellStyle name="Saída 2 2 2 2 2 2 4 2" xfId="25754"/>
    <cellStyle name="Saída 2 2 2 2 2 2 5" xfId="15425"/>
    <cellStyle name="Saída 2 2 2 2 2 3" xfId="2443"/>
    <cellStyle name="Saída 2 2 2 2 2 3 2" xfId="7768"/>
    <cellStyle name="Saída 2 2 2 2 2 3 2 2" xfId="10382"/>
    <cellStyle name="Saída 2 2 2 2 2 3 2 2 2" xfId="16644"/>
    <cellStyle name="Saída 2 2 2 2 2 3 2 2 2 2" xfId="30060"/>
    <cellStyle name="Saída 2 2 2 2 2 3 2 2 3" xfId="21389"/>
    <cellStyle name="Saída 2 2 2 2 2 3 2 3" xfId="14372"/>
    <cellStyle name="Saída 2 2 2 2 2 3 2 3 2" xfId="28694"/>
    <cellStyle name="Saída 2 2 2 2 2 3 2 4" xfId="20017"/>
    <cellStyle name="Saída 2 2 2 2 2 3 3" xfId="13323"/>
    <cellStyle name="Saída 2 2 2 2 2 3 3 2" xfId="27645"/>
    <cellStyle name="Saída 2 2 2 2 2 3 4" xfId="18968"/>
    <cellStyle name="Saída 2 2 2 2 2 4" xfId="5773"/>
    <cellStyle name="Saída 2 2 2 2 2 4 2" xfId="12326"/>
    <cellStyle name="Saída 2 2 2 2 2 4 2 2" xfId="26648"/>
    <cellStyle name="Saída 2 2 2 2 2 4 3" xfId="17971"/>
    <cellStyle name="Saída 2 2 2 2 2 5" xfId="3745"/>
    <cellStyle name="Saída 2 2 2 2 2 5 2" xfId="22559"/>
    <cellStyle name="Saída 2 2 2 2 2 6" xfId="15121"/>
    <cellStyle name="Saída 2 2 2 2 3" xfId="2444"/>
    <cellStyle name="Saída 2 2 2 2 3 2" xfId="2445"/>
    <cellStyle name="Saída 2 2 2 2 3 2 2" xfId="6070"/>
    <cellStyle name="Saída 2 2 2 2 3 2 2 2" xfId="12636"/>
    <cellStyle name="Saída 2 2 2 2 3 2 2 2 2" xfId="26958"/>
    <cellStyle name="Saída 2 2 2 2 3 2 2 3" xfId="18281"/>
    <cellStyle name="Saída 2 2 2 2 3 2 3" xfId="7793"/>
    <cellStyle name="Saída 2 2 2 2 3 2 3 2" xfId="10407"/>
    <cellStyle name="Saída 2 2 2 2 3 2 3 2 2" xfId="16669"/>
    <cellStyle name="Saída 2 2 2 2 3 2 3 2 2 2" xfId="30085"/>
    <cellStyle name="Saída 2 2 2 2 3 2 3 2 3" xfId="21414"/>
    <cellStyle name="Saída 2 2 2 2 3 2 3 3" xfId="14397"/>
    <cellStyle name="Saída 2 2 2 2 3 2 3 3 2" xfId="28719"/>
    <cellStyle name="Saída 2 2 2 2 3 2 3 4" xfId="20042"/>
    <cellStyle name="Saída 2 2 2 2 3 2 4" xfId="6706"/>
    <cellStyle name="Saída 2 2 2 2 3 2 4 2" xfId="23663"/>
    <cellStyle name="Saída 2 2 2 2 3 2 5" xfId="17169"/>
    <cellStyle name="Saída 2 2 2 2 3 3" xfId="2446"/>
    <cellStyle name="Saída 2 2 2 2 3 3 2" xfId="7858"/>
    <cellStyle name="Saída 2 2 2 2 3 3 2 2" xfId="10472"/>
    <cellStyle name="Saída 2 2 2 2 3 3 2 2 2" xfId="16734"/>
    <cellStyle name="Saída 2 2 2 2 3 3 2 2 2 2" xfId="30150"/>
    <cellStyle name="Saída 2 2 2 2 3 3 2 2 3" xfId="21479"/>
    <cellStyle name="Saída 2 2 2 2 3 3 2 3" xfId="14462"/>
    <cellStyle name="Saída 2 2 2 2 3 3 2 3 2" xfId="28784"/>
    <cellStyle name="Saída 2 2 2 2 3 3 2 4" xfId="20107"/>
    <cellStyle name="Saída 2 2 2 2 3 3 3" xfId="13045"/>
    <cellStyle name="Saída 2 2 2 2 3 3 3 2" xfId="27367"/>
    <cellStyle name="Saída 2 2 2 2 3 3 4" xfId="18690"/>
    <cellStyle name="Saída 2 2 2 2 3 4" xfId="5364"/>
    <cellStyle name="Saída 2 2 2 2 3 4 2" xfId="11914"/>
    <cellStyle name="Saída 2 2 2 2 3 4 2 2" xfId="26236"/>
    <cellStyle name="Saída 2 2 2 2 3 4 3" xfId="17559"/>
    <cellStyle name="Saída 2 2 2 2 3 5" xfId="3597"/>
    <cellStyle name="Saída 2 2 2 2 3 5 2" xfId="22480"/>
    <cellStyle name="Saída 2 2 2 2 3 6" xfId="15430"/>
    <cellStyle name="Saída 2 2 2 2 4" xfId="2447"/>
    <cellStyle name="Saída 2 2 2 2 4 2" xfId="6032"/>
    <cellStyle name="Saída 2 2 2 2 4 2 2" xfId="12593"/>
    <cellStyle name="Saída 2 2 2 2 4 2 2 2" xfId="26915"/>
    <cellStyle name="Saída 2 2 2 2 4 2 3" xfId="18238"/>
    <cellStyle name="Saída 2 2 2 2 4 3" xfId="3611"/>
    <cellStyle name="Saída 2 2 2 2 4 3 2" xfId="9344"/>
    <cellStyle name="Saída 2 2 2 2 4 3 2 2" xfId="15606"/>
    <cellStyle name="Saída 2 2 2 2 4 3 2 2 2" xfId="29022"/>
    <cellStyle name="Saída 2 2 2 2 4 3 2 3" xfId="20351"/>
    <cellStyle name="Saída 2 2 2 2 4 3 3" xfId="3873"/>
    <cellStyle name="Saída 2 2 2 2 4 3 3 2" xfId="22620"/>
    <cellStyle name="Saída 2 2 2 2 4 3 4" xfId="6692"/>
    <cellStyle name="Saída 2 2 2 2 4 4" xfId="3999"/>
    <cellStyle name="Saída 2 2 2 2 4 4 2" xfId="22694"/>
    <cellStyle name="Saída 2 2 2 2 4 5" xfId="4624"/>
    <cellStyle name="Saída 2 2 2 2 5" xfId="2448"/>
    <cellStyle name="Saída 2 2 2 2 5 2" xfId="7591"/>
    <cellStyle name="Saída 2 2 2 2 5 2 2" xfId="10205"/>
    <cellStyle name="Saída 2 2 2 2 5 2 2 2" xfId="16467"/>
    <cellStyle name="Saída 2 2 2 2 5 2 2 2 2" xfId="29883"/>
    <cellStyle name="Saída 2 2 2 2 5 2 2 3" xfId="21212"/>
    <cellStyle name="Saída 2 2 2 2 5 2 3" xfId="14195"/>
    <cellStyle name="Saída 2 2 2 2 5 2 3 2" xfId="28517"/>
    <cellStyle name="Saída 2 2 2 2 5 2 4" xfId="19840"/>
    <cellStyle name="Saída 2 2 2 2 5 3" xfId="12899"/>
    <cellStyle name="Saída 2 2 2 2 5 3 2" xfId="27221"/>
    <cellStyle name="Saída 2 2 2 2 5 4" xfId="18544"/>
    <cellStyle name="Saída 2 2 2 2 6" xfId="5517"/>
    <cellStyle name="Saída 2 2 2 2 6 2" xfId="12068"/>
    <cellStyle name="Saída 2 2 2 2 6 2 2" xfId="26390"/>
    <cellStyle name="Saída 2 2 2 2 6 3" xfId="17713"/>
    <cellStyle name="Saída 2 2 2 2 7" xfId="4409"/>
    <cellStyle name="Saída 2 2 2 2 7 2" xfId="22933"/>
    <cellStyle name="Saída 2 2 2 2 8" xfId="4198"/>
    <cellStyle name="Saída 2 2 2 3" xfId="2449"/>
    <cellStyle name="Saída 2 2 2 3 2" xfId="2450"/>
    <cellStyle name="Saída 2 2 2 3 2 2" xfId="2451"/>
    <cellStyle name="Saída 2 2 2 3 2 2 2" xfId="6031"/>
    <cellStyle name="Saída 2 2 2 3 2 2 2 2" xfId="12592"/>
    <cellStyle name="Saída 2 2 2 3 2 2 2 2 2" xfId="26914"/>
    <cellStyle name="Saída 2 2 2 3 2 2 2 3" xfId="18237"/>
    <cellStyle name="Saída 2 2 2 3 2 2 3" xfId="7650"/>
    <cellStyle name="Saída 2 2 2 3 2 2 3 2" xfId="10264"/>
    <cellStyle name="Saída 2 2 2 3 2 2 3 2 2" xfId="16526"/>
    <cellStyle name="Saída 2 2 2 3 2 2 3 2 2 2" xfId="29942"/>
    <cellStyle name="Saída 2 2 2 3 2 2 3 2 3" xfId="21271"/>
    <cellStyle name="Saída 2 2 2 3 2 2 3 3" xfId="14254"/>
    <cellStyle name="Saída 2 2 2 3 2 2 3 3 2" xfId="28576"/>
    <cellStyle name="Saída 2 2 2 3 2 2 3 4" xfId="19899"/>
    <cellStyle name="Saída 2 2 2 3 2 2 4" xfId="4574"/>
    <cellStyle name="Saída 2 2 2 3 2 2 4 2" xfId="23041"/>
    <cellStyle name="Saída 2 2 2 3 2 2 5" xfId="4781"/>
    <cellStyle name="Saída 2 2 2 3 2 3" xfId="2452"/>
    <cellStyle name="Saída 2 2 2 3 2 3 2" xfId="7971"/>
    <cellStyle name="Saída 2 2 2 3 2 3 2 2" xfId="10585"/>
    <cellStyle name="Saída 2 2 2 3 2 3 2 2 2" xfId="16847"/>
    <cellStyle name="Saída 2 2 2 3 2 3 2 2 2 2" xfId="30263"/>
    <cellStyle name="Saída 2 2 2 3 2 3 2 2 3" xfId="21592"/>
    <cellStyle name="Saída 2 2 2 3 2 3 2 3" xfId="14575"/>
    <cellStyle name="Saída 2 2 2 3 2 3 2 3 2" xfId="28897"/>
    <cellStyle name="Saída 2 2 2 3 2 3 2 4" xfId="20220"/>
    <cellStyle name="Saída 2 2 2 3 2 3 3" xfId="13359"/>
    <cellStyle name="Saída 2 2 2 3 2 3 3 2" xfId="27681"/>
    <cellStyle name="Saída 2 2 2 3 2 3 4" xfId="19004"/>
    <cellStyle name="Saída 2 2 2 3 2 4" xfId="5809"/>
    <cellStyle name="Saída 2 2 2 3 2 4 2" xfId="12362"/>
    <cellStyle name="Saída 2 2 2 3 2 4 2 2" xfId="26684"/>
    <cellStyle name="Saída 2 2 2 3 2 4 3" xfId="18007"/>
    <cellStyle name="Saída 2 2 2 3 2 5" xfId="6612"/>
    <cellStyle name="Saída 2 2 2 3 2 5 2" xfId="23604"/>
    <cellStyle name="Saída 2 2 2 3 2 6" xfId="4294"/>
    <cellStyle name="Saída 2 2 2 3 3" xfId="2453"/>
    <cellStyle name="Saída 2 2 2 3 3 2" xfId="2454"/>
    <cellStyle name="Saída 2 2 2 3 3 2 2" xfId="6885"/>
    <cellStyle name="Saída 2 2 2 3 3 2 2 2" xfId="13489"/>
    <cellStyle name="Saída 2 2 2 3 3 2 2 2 2" xfId="27811"/>
    <cellStyle name="Saída 2 2 2 3 3 2 2 3" xfId="19134"/>
    <cellStyle name="Saída 2 2 2 3 3 2 3" xfId="7785"/>
    <cellStyle name="Saída 2 2 2 3 3 2 3 2" xfId="10399"/>
    <cellStyle name="Saída 2 2 2 3 3 2 3 2 2" xfId="16661"/>
    <cellStyle name="Saída 2 2 2 3 3 2 3 2 2 2" xfId="30077"/>
    <cellStyle name="Saída 2 2 2 3 3 2 3 2 3" xfId="21406"/>
    <cellStyle name="Saída 2 2 2 3 3 2 3 3" xfId="14389"/>
    <cellStyle name="Saída 2 2 2 3 3 2 3 3 2" xfId="28711"/>
    <cellStyle name="Saída 2 2 2 3 3 2 3 4" xfId="20034"/>
    <cellStyle name="Saída 2 2 2 3 3 2 4" xfId="11359"/>
    <cellStyle name="Saída 2 2 2 3 3 2 4 2" xfId="25681"/>
    <cellStyle name="Saída 2 2 2 3 3 2 5" xfId="5910"/>
    <cellStyle name="Saída 2 2 2 3 3 3" xfId="2455"/>
    <cellStyle name="Saída 2 2 2 3 3 3 2" xfId="7794"/>
    <cellStyle name="Saída 2 2 2 3 3 3 2 2" xfId="10408"/>
    <cellStyle name="Saída 2 2 2 3 3 3 2 2 2" xfId="16670"/>
    <cellStyle name="Saída 2 2 2 3 3 3 2 2 2 2" xfId="30086"/>
    <cellStyle name="Saída 2 2 2 3 3 3 2 2 3" xfId="21415"/>
    <cellStyle name="Saída 2 2 2 3 3 3 2 3" xfId="14398"/>
    <cellStyle name="Saída 2 2 2 3 3 3 2 3 2" xfId="28720"/>
    <cellStyle name="Saída 2 2 2 3 3 3 2 4" xfId="20043"/>
    <cellStyle name="Saída 2 2 2 3 3 3 3" xfId="12859"/>
    <cellStyle name="Saída 2 2 2 3 3 3 3 2" xfId="27181"/>
    <cellStyle name="Saída 2 2 2 3 3 3 4" xfId="18504"/>
    <cellStyle name="Saída 2 2 2 3 3 4" xfId="5210"/>
    <cellStyle name="Saída 2 2 2 3 3 4 2" xfId="11759"/>
    <cellStyle name="Saída 2 2 2 3 3 4 2 2" xfId="26081"/>
    <cellStyle name="Saída 2 2 2 3 3 4 3" xfId="17404"/>
    <cellStyle name="Saída 2 2 2 3 3 5" xfId="4156"/>
    <cellStyle name="Saída 2 2 2 3 3 5 2" xfId="22787"/>
    <cellStyle name="Saída 2 2 2 3 3 6" xfId="14721"/>
    <cellStyle name="Saída 2 2 2 3 4" xfId="2456"/>
    <cellStyle name="Saída 2 2 2 3 4 2" xfId="4244"/>
    <cellStyle name="Saída 2 2 2 3 4 2 2" xfId="6183"/>
    <cellStyle name="Saída 2 2 2 3 4 2 2 2" xfId="23448"/>
    <cellStyle name="Saída 2 2 2 3 4 2 3" xfId="15419"/>
    <cellStyle name="Saída 2 2 2 3 4 3" xfId="7241"/>
    <cellStyle name="Saída 2 2 2 3 4 3 2" xfId="9855"/>
    <cellStyle name="Saída 2 2 2 3 4 3 2 2" xfId="16117"/>
    <cellStyle name="Saída 2 2 2 3 4 3 2 2 2" xfId="29533"/>
    <cellStyle name="Saída 2 2 2 3 4 3 2 3" xfId="20862"/>
    <cellStyle name="Saída 2 2 2 3 4 3 3" xfId="13845"/>
    <cellStyle name="Saída 2 2 2 3 4 3 3 2" xfId="28167"/>
    <cellStyle name="Saída 2 2 2 3 4 3 4" xfId="19490"/>
    <cellStyle name="Saída 2 2 2 3 4 4" xfId="6019"/>
    <cellStyle name="Saída 2 2 2 3 4 4 2" xfId="23395"/>
    <cellStyle name="Saída 2 2 2 3 4 5" xfId="15083"/>
    <cellStyle name="Saída 2 2 2 3 5" xfId="2457"/>
    <cellStyle name="Saída 2 2 2 3 5 2" xfId="4005"/>
    <cellStyle name="Saída 2 2 2 3 5 2 2" xfId="9409"/>
    <cellStyle name="Saída 2 2 2 3 5 2 2 2" xfId="15671"/>
    <cellStyle name="Saída 2 2 2 3 5 2 2 2 2" xfId="29087"/>
    <cellStyle name="Saída 2 2 2 3 5 2 2 3" xfId="20416"/>
    <cellStyle name="Saída 2 2 2 3 5 2 3" xfId="6495"/>
    <cellStyle name="Saída 2 2 2 3 5 2 3 2" xfId="23570"/>
    <cellStyle name="Saída 2 2 2 3 5 2 4" xfId="15284"/>
    <cellStyle name="Saída 2 2 2 3 5 3" xfId="12935"/>
    <cellStyle name="Saída 2 2 2 3 5 3 2" xfId="27257"/>
    <cellStyle name="Saída 2 2 2 3 5 4" xfId="18580"/>
    <cellStyle name="Saída 2 2 2 3 6" xfId="5559"/>
    <cellStyle name="Saída 2 2 2 3 6 2" xfId="12110"/>
    <cellStyle name="Saída 2 2 2 3 6 2 2" xfId="26432"/>
    <cellStyle name="Saída 2 2 2 3 6 3" xfId="17755"/>
    <cellStyle name="Saída 2 2 2 3 7" xfId="3689"/>
    <cellStyle name="Saída 2 2 2 3 7 2" xfId="22531"/>
    <cellStyle name="Saída 2 2 2 3 8" xfId="14765"/>
    <cellStyle name="Saída 2 2 2 4" xfId="2458"/>
    <cellStyle name="Saída 2 2 2 4 2" xfId="2459"/>
    <cellStyle name="Saída 2 2 2 4 2 2" xfId="2460"/>
    <cellStyle name="Saída 2 2 2 4 2 2 2" xfId="3618"/>
    <cellStyle name="Saída 2 2 2 4 2 2 2 2" xfId="3808"/>
    <cellStyle name="Saída 2 2 2 4 2 2 2 2 2" xfId="22594"/>
    <cellStyle name="Saída 2 2 2 4 2 2 2 3" xfId="14893"/>
    <cellStyle name="Saída 2 2 2 4 2 2 3" xfId="7106"/>
    <cellStyle name="Saída 2 2 2 4 2 2 3 2" xfId="9720"/>
    <cellStyle name="Saída 2 2 2 4 2 2 3 2 2" xfId="15982"/>
    <cellStyle name="Saída 2 2 2 4 2 2 3 2 2 2" xfId="29398"/>
    <cellStyle name="Saída 2 2 2 4 2 2 3 2 3" xfId="20727"/>
    <cellStyle name="Saída 2 2 2 4 2 2 3 3" xfId="13710"/>
    <cellStyle name="Saída 2 2 2 4 2 2 3 3 2" xfId="28032"/>
    <cellStyle name="Saída 2 2 2 4 2 2 3 4" xfId="19355"/>
    <cellStyle name="Saída 2 2 2 4 2 2 4" xfId="4824"/>
    <cellStyle name="Saída 2 2 2 4 2 2 4 2" xfId="23205"/>
    <cellStyle name="Saída 2 2 2 4 2 2 5" xfId="15413"/>
    <cellStyle name="Saída 2 2 2 4 2 3" xfId="2461"/>
    <cellStyle name="Saída 2 2 2 4 2 3 2" xfId="7676"/>
    <cellStyle name="Saída 2 2 2 4 2 3 2 2" xfId="10290"/>
    <cellStyle name="Saída 2 2 2 4 2 3 2 2 2" xfId="16552"/>
    <cellStyle name="Saída 2 2 2 4 2 3 2 2 2 2" xfId="29968"/>
    <cellStyle name="Saída 2 2 2 4 2 3 2 2 3" xfId="21297"/>
    <cellStyle name="Saída 2 2 2 4 2 3 2 3" xfId="14280"/>
    <cellStyle name="Saída 2 2 2 4 2 3 2 3 2" xfId="28602"/>
    <cellStyle name="Saída 2 2 2 4 2 3 2 4" xfId="19925"/>
    <cellStyle name="Saída 2 2 2 4 2 3 3" xfId="13284"/>
    <cellStyle name="Saída 2 2 2 4 2 3 3 2" xfId="27606"/>
    <cellStyle name="Saída 2 2 2 4 2 3 4" xfId="18929"/>
    <cellStyle name="Saída 2 2 2 4 2 4" xfId="5734"/>
    <cellStyle name="Saída 2 2 2 4 2 4 2" xfId="12287"/>
    <cellStyle name="Saída 2 2 2 4 2 4 2 2" xfId="26609"/>
    <cellStyle name="Saída 2 2 2 4 2 4 3" xfId="17932"/>
    <cellStyle name="Saída 2 2 2 4 2 5" xfId="4649"/>
    <cellStyle name="Saída 2 2 2 4 2 5 2" xfId="23092"/>
    <cellStyle name="Saída 2 2 2 4 2 6" xfId="15171"/>
    <cellStyle name="Saída 2 2 2 4 3" xfId="2462"/>
    <cellStyle name="Saída 2 2 2 4 3 2" xfId="2463"/>
    <cellStyle name="Saída 2 2 2 4 3 2 2" xfId="6433"/>
    <cellStyle name="Saída 2 2 2 4 3 2 2 2" xfId="13016"/>
    <cellStyle name="Saída 2 2 2 4 3 2 2 2 2" xfId="27338"/>
    <cellStyle name="Saída 2 2 2 4 3 2 2 3" xfId="18661"/>
    <cellStyle name="Saída 2 2 2 4 3 2 3" xfId="7505"/>
    <cellStyle name="Saída 2 2 2 4 3 2 3 2" xfId="10119"/>
    <cellStyle name="Saída 2 2 2 4 3 2 3 2 2" xfId="16381"/>
    <cellStyle name="Saída 2 2 2 4 3 2 3 2 2 2" xfId="29797"/>
    <cellStyle name="Saída 2 2 2 4 3 2 3 2 3" xfId="21126"/>
    <cellStyle name="Saída 2 2 2 4 3 2 3 3" xfId="14109"/>
    <cellStyle name="Saída 2 2 2 4 3 2 3 3 2" xfId="28431"/>
    <cellStyle name="Saída 2 2 2 4 3 2 3 4" xfId="19754"/>
    <cellStyle name="Saída 2 2 2 4 3 2 4" xfId="6360"/>
    <cellStyle name="Saída 2 2 2 4 3 2 4 2" xfId="23544"/>
    <cellStyle name="Saída 2 2 2 4 3 2 5" xfId="14945"/>
    <cellStyle name="Saída 2 2 2 4 3 3" xfId="2464"/>
    <cellStyle name="Saída 2 2 2 4 3 3 2" xfId="7205"/>
    <cellStyle name="Saída 2 2 2 4 3 3 2 2" xfId="9819"/>
    <cellStyle name="Saída 2 2 2 4 3 3 2 2 2" xfId="16081"/>
    <cellStyle name="Saída 2 2 2 4 3 3 2 2 2 2" xfId="29497"/>
    <cellStyle name="Saída 2 2 2 4 3 3 2 2 3" xfId="20826"/>
    <cellStyle name="Saída 2 2 2 4 3 3 2 3" xfId="13809"/>
    <cellStyle name="Saída 2 2 2 4 3 3 2 3 2" xfId="28131"/>
    <cellStyle name="Saída 2 2 2 4 3 3 2 4" xfId="19454"/>
    <cellStyle name="Saída 2 2 2 4 3 3 3" xfId="13191"/>
    <cellStyle name="Saída 2 2 2 4 3 3 3 2" xfId="27513"/>
    <cellStyle name="Saída 2 2 2 4 3 3 4" xfId="18836"/>
    <cellStyle name="Saída 2 2 2 4 3 4" xfId="5628"/>
    <cellStyle name="Saída 2 2 2 4 3 4 2" xfId="12181"/>
    <cellStyle name="Saída 2 2 2 4 3 4 2 2" xfId="26503"/>
    <cellStyle name="Saída 2 2 2 4 3 4 3" xfId="17826"/>
    <cellStyle name="Saída 2 2 2 4 3 5" xfId="4287"/>
    <cellStyle name="Saída 2 2 2 4 3 5 2" xfId="22871"/>
    <cellStyle name="Saída 2 2 2 4 3 6" xfId="15565"/>
    <cellStyle name="Saída 2 2 2 4 4" xfId="2465"/>
    <cellStyle name="Saída 2 2 2 4 4 2" xfId="6223"/>
    <cellStyle name="Saída 2 2 2 4 4 2 2" xfId="12798"/>
    <cellStyle name="Saída 2 2 2 4 4 2 2 2" xfId="27120"/>
    <cellStyle name="Saída 2 2 2 4 4 2 3" xfId="18443"/>
    <cellStyle name="Saída 2 2 2 4 4 3" xfId="7325"/>
    <cellStyle name="Saída 2 2 2 4 4 3 2" xfId="9939"/>
    <cellStyle name="Saída 2 2 2 4 4 3 2 2" xfId="16201"/>
    <cellStyle name="Saída 2 2 2 4 4 3 2 2 2" xfId="29617"/>
    <cellStyle name="Saída 2 2 2 4 4 3 2 3" xfId="20946"/>
    <cellStyle name="Saída 2 2 2 4 4 3 3" xfId="13929"/>
    <cellStyle name="Saída 2 2 2 4 4 3 3 2" xfId="28251"/>
    <cellStyle name="Saída 2 2 2 4 4 3 4" xfId="19574"/>
    <cellStyle name="Saída 2 2 2 4 4 4" xfId="3659"/>
    <cellStyle name="Saída 2 2 2 4 4 4 2" xfId="22510"/>
    <cellStyle name="Saída 2 2 2 4 4 5" xfId="5956"/>
    <cellStyle name="Saída 2 2 2 4 5" xfId="2466"/>
    <cellStyle name="Saída 2 2 2 4 5 2" xfId="5327"/>
    <cellStyle name="Saída 2 2 2 4 5 2 2" xfId="9636"/>
    <cellStyle name="Saída 2 2 2 4 5 2 2 2" xfId="15898"/>
    <cellStyle name="Saída 2 2 2 4 5 2 2 2 2" xfId="29314"/>
    <cellStyle name="Saída 2 2 2 4 5 2 2 3" xfId="20643"/>
    <cellStyle name="Saída 2 2 2 4 5 2 3" xfId="11877"/>
    <cellStyle name="Saída 2 2 2 4 5 2 3 2" xfId="26199"/>
    <cellStyle name="Saída 2 2 2 4 5 2 4" xfId="17522"/>
    <cellStyle name="Saída 2 2 2 4 5 3" xfId="12852"/>
    <cellStyle name="Saída 2 2 2 4 5 3 2" xfId="27174"/>
    <cellStyle name="Saída 2 2 2 4 5 4" xfId="18497"/>
    <cellStyle name="Saída 2 2 2 4 6" xfId="5453"/>
    <cellStyle name="Saída 2 2 2 4 6 2" xfId="12004"/>
    <cellStyle name="Saída 2 2 2 4 6 2 2" xfId="26326"/>
    <cellStyle name="Saída 2 2 2 4 6 3" xfId="17649"/>
    <cellStyle name="Saída 2 2 2 4 7" xfId="4511"/>
    <cellStyle name="Saída 2 2 2 4 7 2" xfId="22998"/>
    <cellStyle name="Saída 2 2 2 4 8" xfId="17373"/>
    <cellStyle name="Saída 2 2 2 5" xfId="2467"/>
    <cellStyle name="Saída 2 2 2 5 2" xfId="2468"/>
    <cellStyle name="Saída 2 2 2 5 2 2" xfId="2469"/>
    <cellStyle name="Saída 2 2 2 5 2 2 2" xfId="6944"/>
    <cellStyle name="Saída 2 2 2 5 2 2 2 2" xfId="13548"/>
    <cellStyle name="Saída 2 2 2 5 2 2 2 2 2" xfId="27870"/>
    <cellStyle name="Saída 2 2 2 5 2 2 2 3" xfId="19193"/>
    <cellStyle name="Saída 2 2 2 5 2 2 3" xfId="7308"/>
    <cellStyle name="Saída 2 2 2 5 2 2 3 2" xfId="9922"/>
    <cellStyle name="Saída 2 2 2 5 2 2 3 2 2" xfId="16184"/>
    <cellStyle name="Saída 2 2 2 5 2 2 3 2 2 2" xfId="29600"/>
    <cellStyle name="Saída 2 2 2 5 2 2 3 2 3" xfId="20929"/>
    <cellStyle name="Saída 2 2 2 5 2 2 3 3" xfId="13912"/>
    <cellStyle name="Saída 2 2 2 5 2 2 3 3 2" xfId="28234"/>
    <cellStyle name="Saída 2 2 2 5 2 2 3 4" xfId="19557"/>
    <cellStyle name="Saída 2 2 2 5 2 2 4" xfId="11437"/>
    <cellStyle name="Saída 2 2 2 5 2 2 4 2" xfId="25759"/>
    <cellStyle name="Saída 2 2 2 5 2 2 5" xfId="17227"/>
    <cellStyle name="Saída 2 2 2 5 2 3" xfId="2470"/>
    <cellStyle name="Saída 2 2 2 5 2 3 2" xfId="7848"/>
    <cellStyle name="Saída 2 2 2 5 2 3 2 2" xfId="10462"/>
    <cellStyle name="Saída 2 2 2 5 2 3 2 2 2" xfId="16724"/>
    <cellStyle name="Saída 2 2 2 5 2 3 2 2 2 2" xfId="30140"/>
    <cellStyle name="Saída 2 2 2 5 2 3 2 2 3" xfId="21469"/>
    <cellStyle name="Saída 2 2 2 5 2 3 2 3" xfId="14452"/>
    <cellStyle name="Saída 2 2 2 5 2 3 2 3 2" xfId="28774"/>
    <cellStyle name="Saída 2 2 2 5 2 3 2 4" xfId="20097"/>
    <cellStyle name="Saída 2 2 2 5 2 3 3" xfId="13397"/>
    <cellStyle name="Saída 2 2 2 5 2 3 3 2" xfId="27719"/>
    <cellStyle name="Saída 2 2 2 5 2 3 4" xfId="19042"/>
    <cellStyle name="Saída 2 2 2 5 2 4" xfId="5861"/>
    <cellStyle name="Saída 2 2 2 5 2 4 2" xfId="12414"/>
    <cellStyle name="Saída 2 2 2 5 2 4 2 2" xfId="26736"/>
    <cellStyle name="Saída 2 2 2 5 2 4 3" xfId="18059"/>
    <cellStyle name="Saída 2 2 2 5 2 5" xfId="6650"/>
    <cellStyle name="Saída 2 2 2 5 2 5 2" xfId="23628"/>
    <cellStyle name="Saída 2 2 2 5 2 6" xfId="17037"/>
    <cellStyle name="Saída 2 2 2 5 3" xfId="2471"/>
    <cellStyle name="Saída 2 2 2 5 3 2" xfId="5926"/>
    <cellStyle name="Saída 2 2 2 5 3 2 2" xfId="12481"/>
    <cellStyle name="Saída 2 2 2 5 3 2 2 2" xfId="26803"/>
    <cellStyle name="Saída 2 2 2 5 3 2 3" xfId="18126"/>
    <cellStyle name="Saída 2 2 2 5 3 3" xfId="7179"/>
    <cellStyle name="Saída 2 2 2 5 3 3 2" xfId="9793"/>
    <cellStyle name="Saída 2 2 2 5 3 3 2 2" xfId="16055"/>
    <cellStyle name="Saída 2 2 2 5 3 3 2 2 2" xfId="29471"/>
    <cellStyle name="Saída 2 2 2 5 3 3 2 3" xfId="20800"/>
    <cellStyle name="Saída 2 2 2 5 3 3 3" xfId="13783"/>
    <cellStyle name="Saída 2 2 2 5 3 3 3 2" xfId="28105"/>
    <cellStyle name="Saída 2 2 2 5 3 3 4" xfId="19428"/>
    <cellStyle name="Saída 2 2 2 5 3 4" xfId="6478"/>
    <cellStyle name="Saída 2 2 2 5 3 4 2" xfId="23561"/>
    <cellStyle name="Saída 2 2 2 5 3 5" xfId="15567"/>
    <cellStyle name="Saída 2 2 2 5 4" xfId="2472"/>
    <cellStyle name="Saída 2 2 2 5 4 2" xfId="7836"/>
    <cellStyle name="Saída 2 2 2 5 4 2 2" xfId="10450"/>
    <cellStyle name="Saída 2 2 2 5 4 2 2 2" xfId="16712"/>
    <cellStyle name="Saída 2 2 2 5 4 2 2 2 2" xfId="30128"/>
    <cellStyle name="Saída 2 2 2 5 4 2 2 3" xfId="21457"/>
    <cellStyle name="Saída 2 2 2 5 4 2 3" xfId="14440"/>
    <cellStyle name="Saída 2 2 2 5 4 2 3 2" xfId="28762"/>
    <cellStyle name="Saída 2 2 2 5 4 2 4" xfId="20085"/>
    <cellStyle name="Saída 2 2 2 5 4 3" xfId="12948"/>
    <cellStyle name="Saída 2 2 2 5 4 3 2" xfId="27270"/>
    <cellStyle name="Saída 2 2 2 5 4 4" xfId="18593"/>
    <cellStyle name="Saída 2 2 2 5 5" xfId="5613"/>
    <cellStyle name="Saída 2 2 2 5 5 2" xfId="12166"/>
    <cellStyle name="Saída 2 2 2 5 5 2 2" xfId="26488"/>
    <cellStyle name="Saída 2 2 2 5 5 3" xfId="17811"/>
    <cellStyle name="Saída 2 2 2 5 6" xfId="6700"/>
    <cellStyle name="Saída 2 2 2 5 6 2" xfId="23659"/>
    <cellStyle name="Saída 2 2 2 5 7" xfId="3863"/>
    <cellStyle name="Saída 2 2 2 6" xfId="2473"/>
    <cellStyle name="Saída 2 2 2 6 2" xfId="2474"/>
    <cellStyle name="Saída 2 2 2 6 2 2" xfId="6412"/>
    <cellStyle name="Saída 2 2 2 6 2 2 2" xfId="12995"/>
    <cellStyle name="Saída 2 2 2 6 2 2 2 2" xfId="27317"/>
    <cellStyle name="Saída 2 2 2 6 2 2 3" xfId="18640"/>
    <cellStyle name="Saída 2 2 2 6 2 3" xfId="7344"/>
    <cellStyle name="Saída 2 2 2 6 2 3 2" xfId="9958"/>
    <cellStyle name="Saída 2 2 2 6 2 3 2 2" xfId="16220"/>
    <cellStyle name="Saída 2 2 2 6 2 3 2 2 2" xfId="29636"/>
    <cellStyle name="Saída 2 2 2 6 2 3 2 3" xfId="20965"/>
    <cellStyle name="Saída 2 2 2 6 2 3 3" xfId="13948"/>
    <cellStyle name="Saída 2 2 2 6 2 3 3 2" xfId="28270"/>
    <cellStyle name="Saída 2 2 2 6 2 3 4" xfId="19593"/>
    <cellStyle name="Saída 2 2 2 6 2 4" xfId="4469"/>
    <cellStyle name="Saída 2 2 2 6 2 4 2" xfId="22968"/>
    <cellStyle name="Saída 2 2 2 6 2 5" xfId="15500"/>
    <cellStyle name="Saída 2 2 2 6 3" xfId="2475"/>
    <cellStyle name="Saída 2 2 2 6 3 2" xfId="7109"/>
    <cellStyle name="Saída 2 2 2 6 3 2 2" xfId="9723"/>
    <cellStyle name="Saída 2 2 2 6 3 2 2 2" xfId="15985"/>
    <cellStyle name="Saída 2 2 2 6 3 2 2 2 2" xfId="29401"/>
    <cellStyle name="Saída 2 2 2 6 3 2 2 3" xfId="20730"/>
    <cellStyle name="Saída 2 2 2 6 3 2 3" xfId="13713"/>
    <cellStyle name="Saída 2 2 2 6 3 2 3 2" xfId="28035"/>
    <cellStyle name="Saída 2 2 2 6 3 2 4" xfId="19358"/>
    <cellStyle name="Saída 2 2 2 6 3 3" xfId="13407"/>
    <cellStyle name="Saída 2 2 2 6 3 3 2" xfId="27729"/>
    <cellStyle name="Saída 2 2 2 6 3 4" xfId="19052"/>
    <cellStyle name="Saída 2 2 2 6 4" xfId="5875"/>
    <cellStyle name="Saída 2 2 2 6 4 2" xfId="12428"/>
    <cellStyle name="Saída 2 2 2 6 4 2 2" xfId="26750"/>
    <cellStyle name="Saída 2 2 2 6 4 3" xfId="18073"/>
    <cellStyle name="Saída 2 2 2 6 5" xfId="3192"/>
    <cellStyle name="Saída 2 2 2 6 5 2" xfId="22435"/>
    <cellStyle name="Saída 2 2 2 6 6" xfId="17357"/>
    <cellStyle name="Saída 2 2 2 7" xfId="2476"/>
    <cellStyle name="Saída 2 2 2 7 2" xfId="6016"/>
    <cellStyle name="Saída 2 2 2 7 2 2" xfId="12576"/>
    <cellStyle name="Saída 2 2 2 7 2 2 2" xfId="26898"/>
    <cellStyle name="Saída 2 2 2 7 2 3" xfId="18221"/>
    <cellStyle name="Saída 2 2 2 7 3" xfId="5244"/>
    <cellStyle name="Saída 2 2 2 7 3 2" xfId="9554"/>
    <cellStyle name="Saída 2 2 2 7 3 2 2" xfId="15816"/>
    <cellStyle name="Saída 2 2 2 7 3 2 2 2" xfId="29232"/>
    <cellStyle name="Saída 2 2 2 7 3 2 3" xfId="20561"/>
    <cellStyle name="Saída 2 2 2 7 3 3" xfId="11794"/>
    <cellStyle name="Saída 2 2 2 7 3 3 2" xfId="26116"/>
    <cellStyle name="Saída 2 2 2 7 3 4" xfId="17439"/>
    <cellStyle name="Saída 2 2 2 7 4" xfId="2802"/>
    <cellStyle name="Saída 2 2 2 7 4 2" xfId="22367"/>
    <cellStyle name="Saída 2 2 2 7 5" xfId="14745"/>
    <cellStyle name="Saída 2 2 2 8" xfId="2477"/>
    <cellStyle name="Saída 2 2 2 8 2" xfId="3678"/>
    <cellStyle name="Saída 2 2 2 8 2 2" xfId="9359"/>
    <cellStyle name="Saída 2 2 2 8 2 2 2" xfId="15621"/>
    <cellStyle name="Saída 2 2 2 8 2 2 2 2" xfId="29037"/>
    <cellStyle name="Saída 2 2 2 8 2 2 3" xfId="20366"/>
    <cellStyle name="Saída 2 2 2 8 2 3" xfId="4677"/>
    <cellStyle name="Saída 2 2 2 8 2 3 2" xfId="23116"/>
    <cellStyle name="Saída 2 2 2 8 2 4" xfId="14862"/>
    <cellStyle name="Saída 2 2 2 8 3" xfId="12763"/>
    <cellStyle name="Saída 2 2 2 8 3 2" xfId="27085"/>
    <cellStyle name="Saída 2 2 2 8 4" xfId="18408"/>
    <cellStyle name="Saída 2 2 2 9" xfId="5474"/>
    <cellStyle name="Saída 2 2 2 9 2" xfId="12025"/>
    <cellStyle name="Saída 2 2 2 9 2 2" xfId="26347"/>
    <cellStyle name="Saída 2 2 2 9 3" xfId="17670"/>
    <cellStyle name="Saída 2 2 3" xfId="2478"/>
    <cellStyle name="Saída 2 2 3 2" xfId="2479"/>
    <cellStyle name="Saída 2 2 3 2 2" xfId="2480"/>
    <cellStyle name="Saída 2 2 3 2 2 2" xfId="6427"/>
    <cellStyle name="Saída 2 2 3 2 2 2 2" xfId="13010"/>
    <cellStyle name="Saída 2 2 3 2 2 2 2 2" xfId="27332"/>
    <cellStyle name="Saída 2 2 3 2 2 2 3" xfId="18655"/>
    <cellStyle name="Saída 2 2 3 2 2 3" xfId="7584"/>
    <cellStyle name="Saída 2 2 3 2 2 3 2" xfId="10198"/>
    <cellStyle name="Saída 2 2 3 2 2 3 2 2" xfId="16460"/>
    <cellStyle name="Saída 2 2 3 2 2 3 2 2 2" xfId="29876"/>
    <cellStyle name="Saída 2 2 3 2 2 3 2 3" xfId="21205"/>
    <cellStyle name="Saída 2 2 3 2 2 3 3" xfId="14188"/>
    <cellStyle name="Saída 2 2 3 2 2 3 3 2" xfId="28510"/>
    <cellStyle name="Saída 2 2 3 2 2 3 4" xfId="19833"/>
    <cellStyle name="Saída 2 2 3 2 2 4" xfId="4414"/>
    <cellStyle name="Saída 2 2 3 2 2 4 2" xfId="22937"/>
    <cellStyle name="Saída 2 2 3 2 2 5" xfId="16968"/>
    <cellStyle name="Saída 2 2 3 2 3" xfId="2481"/>
    <cellStyle name="Saída 2 2 3 2 3 2" xfId="3816"/>
    <cellStyle name="Saída 2 2 3 2 3 2 2" xfId="9381"/>
    <cellStyle name="Saída 2 2 3 2 3 2 2 2" xfId="15643"/>
    <cellStyle name="Saída 2 2 3 2 3 2 2 2 2" xfId="29059"/>
    <cellStyle name="Saída 2 2 3 2 3 2 2 3" xfId="20388"/>
    <cellStyle name="Saída 2 2 3 2 3 2 3" xfId="4599"/>
    <cellStyle name="Saída 2 2 3 2 3 2 3 2" xfId="23060"/>
    <cellStyle name="Saída 2 2 3 2 3 2 4" xfId="6635"/>
    <cellStyle name="Saída 2 2 3 2 3 3" xfId="13309"/>
    <cellStyle name="Saída 2 2 3 2 3 3 2" xfId="27631"/>
    <cellStyle name="Saída 2 2 3 2 3 4" xfId="18954"/>
    <cellStyle name="Saída 2 2 3 2 4" xfId="5759"/>
    <cellStyle name="Saída 2 2 3 2 4 2" xfId="12312"/>
    <cellStyle name="Saída 2 2 3 2 4 2 2" xfId="26634"/>
    <cellStyle name="Saída 2 2 3 2 4 3" xfId="17957"/>
    <cellStyle name="Saída 2 2 3 2 5" xfId="5966"/>
    <cellStyle name="Saída 2 2 3 2 5 2" xfId="23384"/>
    <cellStyle name="Saída 2 2 3 2 6" xfId="4961"/>
    <cellStyle name="Saída 2 2 3 3" xfId="2482"/>
    <cellStyle name="Saída 2 2 3 3 2" xfId="2483"/>
    <cellStyle name="Saída 2 2 3 3 2 2" xfId="6911"/>
    <cellStyle name="Saída 2 2 3 3 2 2 2" xfId="13515"/>
    <cellStyle name="Saída 2 2 3 3 2 2 2 2" xfId="27837"/>
    <cellStyle name="Saída 2 2 3 3 2 2 3" xfId="19160"/>
    <cellStyle name="Saída 2 2 3 3 2 3" xfId="7251"/>
    <cellStyle name="Saída 2 2 3 3 2 3 2" xfId="9865"/>
    <cellStyle name="Saída 2 2 3 3 2 3 2 2" xfId="16127"/>
    <cellStyle name="Saída 2 2 3 3 2 3 2 2 2" xfId="29543"/>
    <cellStyle name="Saída 2 2 3 3 2 3 2 3" xfId="20872"/>
    <cellStyle name="Saída 2 2 3 3 2 3 3" xfId="13855"/>
    <cellStyle name="Saída 2 2 3 3 2 3 3 2" xfId="28177"/>
    <cellStyle name="Saída 2 2 3 3 2 3 4" xfId="19500"/>
    <cellStyle name="Saída 2 2 3 3 2 4" xfId="11397"/>
    <cellStyle name="Saída 2 2 3 3 2 4 2" xfId="25719"/>
    <cellStyle name="Saída 2 2 3 3 2 5" xfId="15261"/>
    <cellStyle name="Saída 2 2 3 3 3" xfId="2484"/>
    <cellStyle name="Saída 2 2 3 3 3 2" xfId="7346"/>
    <cellStyle name="Saída 2 2 3 3 3 2 2" xfId="9960"/>
    <cellStyle name="Saída 2 2 3 3 3 2 2 2" xfId="16222"/>
    <cellStyle name="Saída 2 2 3 3 3 2 2 2 2" xfId="29638"/>
    <cellStyle name="Saída 2 2 3 3 3 2 2 3" xfId="20967"/>
    <cellStyle name="Saída 2 2 3 3 3 2 3" xfId="13950"/>
    <cellStyle name="Saída 2 2 3 3 3 2 3 2" xfId="28272"/>
    <cellStyle name="Saída 2 2 3 3 3 2 4" xfId="19595"/>
    <cellStyle name="Saída 2 2 3 3 3 3" xfId="13088"/>
    <cellStyle name="Saída 2 2 3 3 3 3 2" xfId="27410"/>
    <cellStyle name="Saída 2 2 3 3 3 4" xfId="18733"/>
    <cellStyle name="Saída 2 2 3 3 4" xfId="5443"/>
    <cellStyle name="Saída 2 2 3 3 4 2" xfId="11994"/>
    <cellStyle name="Saída 2 2 3 3 4 2 2" xfId="26316"/>
    <cellStyle name="Saída 2 2 3 3 4 3" xfId="17639"/>
    <cellStyle name="Saída 2 2 3 3 5" xfId="6348"/>
    <cellStyle name="Saída 2 2 3 3 5 2" xfId="23534"/>
    <cellStyle name="Saída 2 2 3 3 6" xfId="14853"/>
    <cellStyle name="Saída 2 2 3 4" xfId="2485"/>
    <cellStyle name="Saída 2 2 3 4 2" xfId="6558"/>
    <cellStyle name="Saída 2 2 3 4 2 2" xfId="13146"/>
    <cellStyle name="Saída 2 2 3 4 2 2 2" xfId="27468"/>
    <cellStyle name="Saída 2 2 3 4 2 3" xfId="18791"/>
    <cellStyle name="Saída 2 2 3 4 3" xfId="7222"/>
    <cellStyle name="Saída 2 2 3 4 3 2" xfId="9836"/>
    <cellStyle name="Saída 2 2 3 4 3 2 2" xfId="16098"/>
    <cellStyle name="Saída 2 2 3 4 3 2 2 2" xfId="29514"/>
    <cellStyle name="Saída 2 2 3 4 3 2 3" xfId="20843"/>
    <cellStyle name="Saída 2 2 3 4 3 3" xfId="13826"/>
    <cellStyle name="Saída 2 2 3 4 3 3 2" xfId="28148"/>
    <cellStyle name="Saída 2 2 3 4 3 4" xfId="19471"/>
    <cellStyle name="Saída 2 2 3 4 4" xfId="4503"/>
    <cellStyle name="Saída 2 2 3 4 4 2" xfId="22994"/>
    <cellStyle name="Saída 2 2 3 4 5" xfId="17182"/>
    <cellStyle name="Saída 2 2 3 5" xfId="2486"/>
    <cellStyle name="Saída 2 2 3 5 2" xfId="4015"/>
    <cellStyle name="Saída 2 2 3 5 2 2" xfId="9412"/>
    <cellStyle name="Saída 2 2 3 5 2 2 2" xfId="15674"/>
    <cellStyle name="Saída 2 2 3 5 2 2 2 2" xfId="29090"/>
    <cellStyle name="Saída 2 2 3 5 2 2 3" xfId="20419"/>
    <cellStyle name="Saída 2 2 3 5 2 3" xfId="4077"/>
    <cellStyle name="Saída 2 2 3 5 2 3 2" xfId="22747"/>
    <cellStyle name="Saída 2 2 3 5 2 4" xfId="15036"/>
    <cellStyle name="Saída 2 2 3 5 3" xfId="12885"/>
    <cellStyle name="Saída 2 2 3 5 3 2" xfId="27207"/>
    <cellStyle name="Saída 2 2 3 5 4" xfId="18530"/>
    <cellStyle name="Saída 2 2 3 6" xfId="5503"/>
    <cellStyle name="Saída 2 2 3 6 2" xfId="12054"/>
    <cellStyle name="Saída 2 2 3 6 2 2" xfId="26376"/>
    <cellStyle name="Saída 2 2 3 6 3" xfId="17699"/>
    <cellStyle name="Saída 2 2 3 7" xfId="4152"/>
    <cellStyle name="Saída 2 2 3 7 2" xfId="22786"/>
    <cellStyle name="Saída 2 2 3 8" xfId="14800"/>
    <cellStyle name="Saída 2 2 4" xfId="2487"/>
    <cellStyle name="Saída 2 2 4 2" xfId="2488"/>
    <cellStyle name="Saída 2 2 4 2 2" xfId="2489"/>
    <cellStyle name="Saída 2 2 4 2 2 2" xfId="6946"/>
    <cellStyle name="Saída 2 2 4 2 2 2 2" xfId="13550"/>
    <cellStyle name="Saída 2 2 4 2 2 2 2 2" xfId="27872"/>
    <cellStyle name="Saída 2 2 4 2 2 2 3" xfId="19195"/>
    <cellStyle name="Saída 2 2 4 2 2 3" xfId="7604"/>
    <cellStyle name="Saída 2 2 4 2 2 3 2" xfId="10218"/>
    <cellStyle name="Saída 2 2 4 2 2 3 2 2" xfId="16480"/>
    <cellStyle name="Saída 2 2 4 2 2 3 2 2 2" xfId="29896"/>
    <cellStyle name="Saída 2 2 4 2 2 3 2 3" xfId="21225"/>
    <cellStyle name="Saída 2 2 4 2 2 3 3" xfId="14208"/>
    <cellStyle name="Saída 2 2 4 2 2 3 3 2" xfId="28530"/>
    <cellStyle name="Saída 2 2 4 2 2 3 4" xfId="19853"/>
    <cellStyle name="Saída 2 2 4 2 2 4" xfId="11440"/>
    <cellStyle name="Saída 2 2 4 2 2 4 2" xfId="25762"/>
    <cellStyle name="Saída 2 2 4 2 2 5" xfId="15282"/>
    <cellStyle name="Saída 2 2 4 2 3" xfId="2490"/>
    <cellStyle name="Saída 2 2 4 2 3 2" xfId="7493"/>
    <cellStyle name="Saída 2 2 4 2 3 2 2" xfId="10107"/>
    <cellStyle name="Saída 2 2 4 2 3 2 2 2" xfId="16369"/>
    <cellStyle name="Saída 2 2 4 2 3 2 2 2 2" xfId="29785"/>
    <cellStyle name="Saída 2 2 4 2 3 2 2 3" xfId="21114"/>
    <cellStyle name="Saída 2 2 4 2 3 2 3" xfId="14097"/>
    <cellStyle name="Saída 2 2 4 2 3 2 3 2" xfId="28419"/>
    <cellStyle name="Saída 2 2 4 2 3 2 4" xfId="19742"/>
    <cellStyle name="Saída 2 2 4 2 3 3" xfId="13345"/>
    <cellStyle name="Saída 2 2 4 2 3 3 2" xfId="27667"/>
    <cellStyle name="Saída 2 2 4 2 3 4" xfId="18990"/>
    <cellStyle name="Saída 2 2 4 2 4" xfId="5795"/>
    <cellStyle name="Saída 2 2 4 2 4 2" xfId="12348"/>
    <cellStyle name="Saída 2 2 4 2 4 2 2" xfId="26670"/>
    <cellStyle name="Saída 2 2 4 2 4 3" xfId="17993"/>
    <cellStyle name="Saída 2 2 4 2 5" xfId="5656"/>
    <cellStyle name="Saída 2 2 4 2 5 2" xfId="23360"/>
    <cellStyle name="Saída 2 2 4 2 6" xfId="15213"/>
    <cellStyle name="Saída 2 2 4 3" xfId="2491"/>
    <cellStyle name="Saída 2 2 4 3 2" xfId="2492"/>
    <cellStyle name="Saída 2 2 4 3 2 2" xfId="6116"/>
    <cellStyle name="Saída 2 2 4 3 2 2 2" xfId="12684"/>
    <cellStyle name="Saída 2 2 4 3 2 2 2 2" xfId="27006"/>
    <cellStyle name="Saída 2 2 4 3 2 2 3" xfId="18329"/>
    <cellStyle name="Saída 2 2 4 3 2 3" xfId="7176"/>
    <cellStyle name="Saída 2 2 4 3 2 3 2" xfId="9790"/>
    <cellStyle name="Saída 2 2 4 3 2 3 2 2" xfId="16052"/>
    <cellStyle name="Saída 2 2 4 3 2 3 2 2 2" xfId="29468"/>
    <cellStyle name="Saída 2 2 4 3 2 3 2 3" xfId="20797"/>
    <cellStyle name="Saída 2 2 4 3 2 3 3" xfId="13780"/>
    <cellStyle name="Saída 2 2 4 3 2 3 3 2" xfId="28102"/>
    <cellStyle name="Saída 2 2 4 3 2 3 4" xfId="19425"/>
    <cellStyle name="Saída 2 2 4 3 2 4" xfId="3900"/>
    <cellStyle name="Saída 2 2 4 3 2 4 2" xfId="22635"/>
    <cellStyle name="Saída 2 2 4 3 2 5" xfId="14935"/>
    <cellStyle name="Saída 2 2 4 3 3" xfId="2493"/>
    <cellStyle name="Saída 2 2 4 3 3 2" xfId="4296"/>
    <cellStyle name="Saída 2 2 4 3 3 2 2" xfId="9442"/>
    <cellStyle name="Saída 2 2 4 3 3 2 2 2" xfId="15704"/>
    <cellStyle name="Saída 2 2 4 3 3 2 2 2 2" xfId="29120"/>
    <cellStyle name="Saída 2 2 4 3 3 2 2 3" xfId="20449"/>
    <cellStyle name="Saída 2 2 4 3 3 2 3" xfId="6636"/>
    <cellStyle name="Saída 2 2 4 3 3 2 3 2" xfId="23618"/>
    <cellStyle name="Saída 2 2 4 3 3 2 4" xfId="17133"/>
    <cellStyle name="Saída 2 2 4 3 3 3" xfId="13412"/>
    <cellStyle name="Saída 2 2 4 3 3 3 2" xfId="27734"/>
    <cellStyle name="Saída 2 2 4 3 3 4" xfId="19057"/>
    <cellStyle name="Saída 2 2 4 3 4" xfId="5880"/>
    <cellStyle name="Saída 2 2 4 3 4 2" xfId="12433"/>
    <cellStyle name="Saída 2 2 4 3 4 2 2" xfId="26755"/>
    <cellStyle name="Saída 2 2 4 3 4 3" xfId="18078"/>
    <cellStyle name="Saída 2 2 4 3 5" xfId="6661"/>
    <cellStyle name="Saída 2 2 4 3 5 2" xfId="23637"/>
    <cellStyle name="Saída 2 2 4 3 6" xfId="6259"/>
    <cellStyle name="Saída 2 2 4 4" xfId="2494"/>
    <cellStyle name="Saída 2 2 4 4 2" xfId="5913"/>
    <cellStyle name="Saída 2 2 4 4 2 2" xfId="12468"/>
    <cellStyle name="Saída 2 2 4 4 2 2 2" xfId="26790"/>
    <cellStyle name="Saída 2 2 4 4 2 3" xfId="18113"/>
    <cellStyle name="Saída 2 2 4 4 3" xfId="7228"/>
    <cellStyle name="Saída 2 2 4 4 3 2" xfId="9842"/>
    <cellStyle name="Saída 2 2 4 4 3 2 2" xfId="16104"/>
    <cellStyle name="Saída 2 2 4 4 3 2 2 2" xfId="29520"/>
    <cellStyle name="Saída 2 2 4 4 3 2 3" xfId="20849"/>
    <cellStyle name="Saída 2 2 4 4 3 3" xfId="13832"/>
    <cellStyle name="Saída 2 2 4 4 3 3 2" xfId="28154"/>
    <cellStyle name="Saída 2 2 4 4 3 4" xfId="19477"/>
    <cellStyle name="Saída 2 2 4 4 4" xfId="4237"/>
    <cellStyle name="Saída 2 2 4 4 4 2" xfId="22847"/>
    <cellStyle name="Saída 2 2 4 4 5" xfId="14710"/>
    <cellStyle name="Saída 2 2 4 5" xfId="2495"/>
    <cellStyle name="Saída 2 2 4 5 2" xfId="7969"/>
    <cellStyle name="Saída 2 2 4 5 2 2" xfId="10583"/>
    <cellStyle name="Saída 2 2 4 5 2 2 2" xfId="16845"/>
    <cellStyle name="Saída 2 2 4 5 2 2 2 2" xfId="30261"/>
    <cellStyle name="Saída 2 2 4 5 2 2 3" xfId="21590"/>
    <cellStyle name="Saída 2 2 4 5 2 3" xfId="14573"/>
    <cellStyle name="Saída 2 2 4 5 2 3 2" xfId="28895"/>
    <cellStyle name="Saída 2 2 4 5 2 4" xfId="20218"/>
    <cellStyle name="Saída 2 2 4 5 3" xfId="12921"/>
    <cellStyle name="Saída 2 2 4 5 3 2" xfId="27243"/>
    <cellStyle name="Saída 2 2 4 5 4" xfId="18566"/>
    <cellStyle name="Saída 2 2 4 6" xfId="5545"/>
    <cellStyle name="Saída 2 2 4 6 2" xfId="12096"/>
    <cellStyle name="Saída 2 2 4 6 2 2" xfId="26418"/>
    <cellStyle name="Saída 2 2 4 6 3" xfId="17741"/>
    <cellStyle name="Saída 2 2 4 7" xfId="6476"/>
    <cellStyle name="Saída 2 2 4 7 2" xfId="23559"/>
    <cellStyle name="Saída 2 2 4 8" xfId="17315"/>
    <cellStyle name="Saída 2 2 5" xfId="2496"/>
    <cellStyle name="Saída 2 2 5 2" xfId="2497"/>
    <cellStyle name="Saída 2 2 5 2 2" xfId="2498"/>
    <cellStyle name="Saída 2 2 5 2 2 2" xfId="6227"/>
    <cellStyle name="Saída 2 2 5 2 2 2 2" xfId="12802"/>
    <cellStyle name="Saída 2 2 5 2 2 2 2 2" xfId="27124"/>
    <cellStyle name="Saída 2 2 5 2 2 2 3" xfId="18447"/>
    <cellStyle name="Saída 2 2 5 2 2 3" xfId="7906"/>
    <cellStyle name="Saída 2 2 5 2 2 3 2" xfId="10520"/>
    <cellStyle name="Saída 2 2 5 2 2 3 2 2" xfId="16782"/>
    <cellStyle name="Saída 2 2 5 2 2 3 2 2 2" xfId="30198"/>
    <cellStyle name="Saída 2 2 5 2 2 3 2 3" xfId="21527"/>
    <cellStyle name="Saída 2 2 5 2 2 3 3" xfId="14510"/>
    <cellStyle name="Saída 2 2 5 2 2 3 3 2" xfId="28832"/>
    <cellStyle name="Saída 2 2 5 2 2 3 4" xfId="20155"/>
    <cellStyle name="Saída 2 2 5 2 2 4" xfId="4437"/>
    <cellStyle name="Saída 2 2 5 2 2 4 2" xfId="22952"/>
    <cellStyle name="Saída 2 2 5 2 2 5" xfId="15504"/>
    <cellStyle name="Saída 2 2 5 2 3" xfId="2499"/>
    <cellStyle name="Saída 2 2 5 2 3 2" xfId="7852"/>
    <cellStyle name="Saída 2 2 5 2 3 2 2" xfId="10466"/>
    <cellStyle name="Saída 2 2 5 2 3 2 2 2" xfId="16728"/>
    <cellStyle name="Saída 2 2 5 2 3 2 2 2 2" xfId="30144"/>
    <cellStyle name="Saída 2 2 5 2 3 2 2 3" xfId="21473"/>
    <cellStyle name="Saída 2 2 5 2 3 2 3" xfId="14456"/>
    <cellStyle name="Saída 2 2 5 2 3 2 3 2" xfId="28778"/>
    <cellStyle name="Saída 2 2 5 2 3 2 4" xfId="20101"/>
    <cellStyle name="Saída 2 2 5 2 3 3" xfId="13195"/>
    <cellStyle name="Saída 2 2 5 2 3 3 2" xfId="27517"/>
    <cellStyle name="Saída 2 2 5 2 3 4" xfId="18840"/>
    <cellStyle name="Saída 2 2 5 2 4" xfId="5632"/>
    <cellStyle name="Saída 2 2 5 2 4 2" xfId="12185"/>
    <cellStyle name="Saída 2 2 5 2 4 2 2" xfId="26507"/>
    <cellStyle name="Saída 2 2 5 2 4 3" xfId="17830"/>
    <cellStyle name="Saída 2 2 5 2 5" xfId="3591"/>
    <cellStyle name="Saída 2 2 5 2 5 2" xfId="22477"/>
    <cellStyle name="Saída 2 2 5 2 6" xfId="3964"/>
    <cellStyle name="Saída 2 2 5 3" xfId="2500"/>
    <cellStyle name="Saída 2 2 5 3 2" xfId="2501"/>
    <cellStyle name="Saída 2 2 5 3 2 2" xfId="6867"/>
    <cellStyle name="Saída 2 2 5 3 2 2 2" xfId="13471"/>
    <cellStyle name="Saída 2 2 5 3 2 2 2 2" xfId="27793"/>
    <cellStyle name="Saída 2 2 5 3 2 2 3" xfId="19116"/>
    <cellStyle name="Saída 2 2 5 3 2 3" xfId="7330"/>
    <cellStyle name="Saída 2 2 5 3 2 3 2" xfId="9944"/>
    <cellStyle name="Saída 2 2 5 3 2 3 2 2" xfId="16206"/>
    <cellStyle name="Saída 2 2 5 3 2 3 2 2 2" xfId="29622"/>
    <cellStyle name="Saída 2 2 5 3 2 3 2 3" xfId="20951"/>
    <cellStyle name="Saída 2 2 5 3 2 3 3" xfId="13934"/>
    <cellStyle name="Saída 2 2 5 3 2 3 3 2" xfId="28256"/>
    <cellStyle name="Saída 2 2 5 3 2 3 4" xfId="19579"/>
    <cellStyle name="Saída 2 2 5 3 2 4" xfId="11328"/>
    <cellStyle name="Saída 2 2 5 3 2 4 2" xfId="25650"/>
    <cellStyle name="Saída 2 2 5 3 2 5" xfId="15449"/>
    <cellStyle name="Saída 2 2 5 3 3" xfId="2502"/>
    <cellStyle name="Saída 2 2 5 3 3 2" xfId="7315"/>
    <cellStyle name="Saída 2 2 5 3 3 2 2" xfId="9929"/>
    <cellStyle name="Saída 2 2 5 3 3 2 2 2" xfId="16191"/>
    <cellStyle name="Saída 2 2 5 3 3 2 2 2 2" xfId="29607"/>
    <cellStyle name="Saída 2 2 5 3 3 2 2 3" xfId="20936"/>
    <cellStyle name="Saída 2 2 5 3 3 2 3" xfId="13919"/>
    <cellStyle name="Saída 2 2 5 3 3 2 3 2" xfId="28241"/>
    <cellStyle name="Saída 2 2 5 3 3 2 4" xfId="19564"/>
    <cellStyle name="Saída 2 2 5 3 3 3" xfId="11672"/>
    <cellStyle name="Saída 2 2 5 3 3 3 2" xfId="25994"/>
    <cellStyle name="Saída 2 2 5 3 3 4" xfId="17113"/>
    <cellStyle name="Saída 2 2 5 3 4" xfId="5207"/>
    <cellStyle name="Saída 2 2 5 3 4 2" xfId="11756"/>
    <cellStyle name="Saída 2 2 5 3 4 2 2" xfId="26078"/>
    <cellStyle name="Saída 2 2 5 3 4 3" xfId="17401"/>
    <cellStyle name="Saída 2 2 5 3 5" xfId="4843"/>
    <cellStyle name="Saída 2 2 5 3 5 2" xfId="23217"/>
    <cellStyle name="Saída 2 2 5 3 6" xfId="14883"/>
    <cellStyle name="Saída 2 2 5 4" xfId="2503"/>
    <cellStyle name="Saída 2 2 5 4 2" xfId="6415"/>
    <cellStyle name="Saída 2 2 5 4 2 2" xfId="12998"/>
    <cellStyle name="Saída 2 2 5 4 2 2 2" xfId="27320"/>
    <cellStyle name="Saída 2 2 5 4 2 3" xfId="18643"/>
    <cellStyle name="Saída 2 2 5 4 3" xfId="7448"/>
    <cellStyle name="Saída 2 2 5 4 3 2" xfId="10062"/>
    <cellStyle name="Saída 2 2 5 4 3 2 2" xfId="16324"/>
    <cellStyle name="Saída 2 2 5 4 3 2 2 2" xfId="29740"/>
    <cellStyle name="Saída 2 2 5 4 3 2 3" xfId="21069"/>
    <cellStyle name="Saída 2 2 5 4 3 3" xfId="14052"/>
    <cellStyle name="Saída 2 2 5 4 3 3 2" xfId="28374"/>
    <cellStyle name="Saída 2 2 5 4 3 4" xfId="19697"/>
    <cellStyle name="Saída 2 2 5 4 4" xfId="3888"/>
    <cellStyle name="Saída 2 2 5 4 4 2" xfId="22628"/>
    <cellStyle name="Saída 2 2 5 4 5" xfId="6333"/>
    <cellStyle name="Saída 2 2 5 5" xfId="2504"/>
    <cellStyle name="Saída 2 2 5 5 2" xfId="7252"/>
    <cellStyle name="Saída 2 2 5 5 2 2" xfId="9866"/>
    <cellStyle name="Saída 2 2 5 5 2 2 2" xfId="16128"/>
    <cellStyle name="Saída 2 2 5 5 2 2 2 2" xfId="29544"/>
    <cellStyle name="Saída 2 2 5 5 2 2 3" xfId="20873"/>
    <cellStyle name="Saída 2 2 5 5 2 3" xfId="13856"/>
    <cellStyle name="Saída 2 2 5 5 2 3 2" xfId="28178"/>
    <cellStyle name="Saída 2 2 5 5 2 4" xfId="19501"/>
    <cellStyle name="Saída 2 2 5 5 3" xfId="12032"/>
    <cellStyle name="Saída 2 2 5 5 3 2" xfId="26354"/>
    <cellStyle name="Saída 2 2 5 5 4" xfId="17677"/>
    <cellStyle name="Saída 2 2 5 6" xfId="3267"/>
    <cellStyle name="Saída 2 2 5 6 2" xfId="3670"/>
    <cellStyle name="Saída 2 2 5 6 2 2" xfId="22516"/>
    <cellStyle name="Saída 2 2 5 6 3" xfId="15598"/>
    <cellStyle name="Saída 2 2 5 7" xfId="6775"/>
    <cellStyle name="Saída 2 2 5 7 2" xfId="23721"/>
    <cellStyle name="Saída 2 2 5 8" xfId="14752"/>
    <cellStyle name="Saída 2 2 6" xfId="2505"/>
    <cellStyle name="Saída 2 2 6 2" xfId="2506"/>
    <cellStyle name="Saída 2 2 6 2 2" xfId="2507"/>
    <cellStyle name="Saída 2 2 6 2 2 2" xfId="6157"/>
    <cellStyle name="Saída 2 2 6 2 2 2 2" xfId="12728"/>
    <cellStyle name="Saída 2 2 6 2 2 2 2 2" xfId="27050"/>
    <cellStyle name="Saída 2 2 6 2 2 2 3" xfId="18373"/>
    <cellStyle name="Saída 2 2 6 2 2 3" xfId="7791"/>
    <cellStyle name="Saída 2 2 6 2 2 3 2" xfId="10405"/>
    <cellStyle name="Saída 2 2 6 2 2 3 2 2" xfId="16667"/>
    <cellStyle name="Saída 2 2 6 2 2 3 2 2 2" xfId="30083"/>
    <cellStyle name="Saída 2 2 6 2 2 3 2 3" xfId="21412"/>
    <cellStyle name="Saída 2 2 6 2 2 3 3" xfId="14395"/>
    <cellStyle name="Saída 2 2 6 2 2 3 3 2" xfId="28717"/>
    <cellStyle name="Saída 2 2 6 2 2 3 4" xfId="20040"/>
    <cellStyle name="Saída 2 2 6 2 2 4" xfId="4407"/>
    <cellStyle name="Saída 2 2 6 2 2 4 2" xfId="22932"/>
    <cellStyle name="Saída 2 2 6 2 2 5" xfId="15508"/>
    <cellStyle name="Saída 2 2 6 2 3" xfId="2508"/>
    <cellStyle name="Saída 2 2 6 2 3 2" xfId="3708"/>
    <cellStyle name="Saída 2 2 6 2 3 2 2" xfId="9362"/>
    <cellStyle name="Saída 2 2 6 2 3 2 2 2" xfId="15624"/>
    <cellStyle name="Saída 2 2 6 2 3 2 2 2 2" xfId="29040"/>
    <cellStyle name="Saída 2 2 6 2 3 2 2 3" xfId="20369"/>
    <cellStyle name="Saída 2 2 6 2 3 2 3" xfId="4019"/>
    <cellStyle name="Saída 2 2 6 2 3 2 3 2" xfId="22704"/>
    <cellStyle name="Saída 2 2 6 2 3 2 4" xfId="17032"/>
    <cellStyle name="Saída 2 2 6 2 3 3" xfId="13390"/>
    <cellStyle name="Saída 2 2 6 2 3 3 2" xfId="27712"/>
    <cellStyle name="Saída 2 2 6 2 3 4" xfId="19035"/>
    <cellStyle name="Saída 2 2 6 2 4" xfId="5854"/>
    <cellStyle name="Saída 2 2 6 2 4 2" xfId="12407"/>
    <cellStyle name="Saída 2 2 6 2 4 2 2" xfId="26729"/>
    <cellStyle name="Saída 2 2 6 2 4 3" xfId="18052"/>
    <cellStyle name="Saída 2 2 6 2 5" xfId="3734"/>
    <cellStyle name="Saída 2 2 6 2 5 2" xfId="22553"/>
    <cellStyle name="Saída 2 2 6 2 6" xfId="14808"/>
    <cellStyle name="Saída 2 2 6 3" xfId="2509"/>
    <cellStyle name="Saída 2 2 6 3 2" xfId="6538"/>
    <cellStyle name="Saída 2 2 6 3 2 2" xfId="13126"/>
    <cellStyle name="Saída 2 2 6 3 2 2 2" xfId="27448"/>
    <cellStyle name="Saída 2 2 6 3 2 3" xfId="18771"/>
    <cellStyle name="Saída 2 2 6 3 3" xfId="4908"/>
    <cellStyle name="Saída 2 2 6 3 3 2" xfId="9511"/>
    <cellStyle name="Saída 2 2 6 3 3 2 2" xfId="15773"/>
    <cellStyle name="Saída 2 2 6 3 3 2 2 2" xfId="29189"/>
    <cellStyle name="Saída 2 2 6 3 3 2 3" xfId="20518"/>
    <cellStyle name="Saída 2 2 6 3 3 3" xfId="11445"/>
    <cellStyle name="Saída 2 2 6 3 3 3 2" xfId="25767"/>
    <cellStyle name="Saída 2 2 6 3 3 4" xfId="15074"/>
    <cellStyle name="Saída 2 2 6 3 4" xfId="5608"/>
    <cellStyle name="Saída 2 2 6 3 4 2" xfId="23357"/>
    <cellStyle name="Saída 2 2 6 3 5" xfId="17344"/>
    <cellStyle name="Saída 2 2 6 4" xfId="2510"/>
    <cellStyle name="Saída 2 2 6 4 2" xfId="5323"/>
    <cellStyle name="Saída 2 2 6 4 2 2" xfId="9632"/>
    <cellStyle name="Saída 2 2 6 4 2 2 2" xfId="15894"/>
    <cellStyle name="Saída 2 2 6 4 2 2 2 2" xfId="29310"/>
    <cellStyle name="Saída 2 2 6 4 2 2 3" xfId="20639"/>
    <cellStyle name="Saída 2 2 6 4 2 3" xfId="11873"/>
    <cellStyle name="Saída 2 2 6 4 2 3 2" xfId="26195"/>
    <cellStyle name="Saída 2 2 6 4 2 4" xfId="17518"/>
    <cellStyle name="Saída 2 2 6 4 3" xfId="12902"/>
    <cellStyle name="Saída 2 2 6 4 3 2" xfId="27224"/>
    <cellStyle name="Saída 2 2 6 4 4" xfId="18547"/>
    <cellStyle name="Saída 2 2 6 5" xfId="5526"/>
    <cellStyle name="Saída 2 2 6 5 2" xfId="12077"/>
    <cellStyle name="Saída 2 2 6 5 2 2" xfId="26399"/>
    <cellStyle name="Saída 2 2 6 5 3" xfId="17722"/>
    <cellStyle name="Saída 2 2 6 6" xfId="4669"/>
    <cellStyle name="Saída 2 2 6 6 2" xfId="23108"/>
    <cellStyle name="Saída 2 2 6 7" xfId="4323"/>
    <cellStyle name="Saída 2 2 7" xfId="2511"/>
    <cellStyle name="Saída 2 2 7 2" xfId="2512"/>
    <cellStyle name="Saída 2 2 7 2 2" xfId="6063"/>
    <cellStyle name="Saída 2 2 7 2 2 2" xfId="12629"/>
    <cellStyle name="Saída 2 2 7 2 2 2 2" xfId="26951"/>
    <cellStyle name="Saída 2 2 7 2 2 3" xfId="18274"/>
    <cellStyle name="Saída 2 2 7 2 3" xfId="7897"/>
    <cellStyle name="Saída 2 2 7 2 3 2" xfId="10511"/>
    <cellStyle name="Saída 2 2 7 2 3 2 2" xfId="16773"/>
    <cellStyle name="Saída 2 2 7 2 3 2 2 2" xfId="30189"/>
    <cellStyle name="Saída 2 2 7 2 3 2 3" xfId="21518"/>
    <cellStyle name="Saída 2 2 7 2 3 3" xfId="14501"/>
    <cellStyle name="Saída 2 2 7 2 3 3 2" xfId="28823"/>
    <cellStyle name="Saída 2 2 7 2 3 4" xfId="20146"/>
    <cellStyle name="Saída 2 2 7 2 4" xfId="6740"/>
    <cellStyle name="Saída 2 2 7 2 4 2" xfId="23689"/>
    <cellStyle name="Saída 2 2 7 2 5" xfId="6739"/>
    <cellStyle name="Saída 2 2 7 3" xfId="2513"/>
    <cellStyle name="Saída 2 2 7 3 2" xfId="8007"/>
    <cellStyle name="Saída 2 2 7 3 2 2" xfId="10621"/>
    <cellStyle name="Saída 2 2 7 3 2 2 2" xfId="16883"/>
    <cellStyle name="Saída 2 2 7 3 2 2 2 2" xfId="30299"/>
    <cellStyle name="Saída 2 2 7 3 2 2 3" xfId="21628"/>
    <cellStyle name="Saída 2 2 7 3 2 3" xfId="14611"/>
    <cellStyle name="Saída 2 2 7 3 2 3 2" xfId="28933"/>
    <cellStyle name="Saída 2 2 7 3 2 4" xfId="20256"/>
    <cellStyle name="Saída 2 2 7 3 3" xfId="13381"/>
    <cellStyle name="Saída 2 2 7 3 3 2" xfId="27703"/>
    <cellStyle name="Saída 2 2 7 3 4" xfId="19026"/>
    <cellStyle name="Saída 2 2 7 4" xfId="5840"/>
    <cellStyle name="Saída 2 2 7 4 2" xfId="12393"/>
    <cellStyle name="Saída 2 2 7 4 2 2" xfId="26715"/>
    <cellStyle name="Saída 2 2 7 4 3" xfId="18038"/>
    <cellStyle name="Saída 2 2 7 5" xfId="6184"/>
    <cellStyle name="Saída 2 2 7 5 2" xfId="23449"/>
    <cellStyle name="Saída 2 2 7 6" xfId="17135"/>
    <cellStyle name="Saída 2 2 8" xfId="2514"/>
    <cellStyle name="Saída 2 2 8 2" xfId="6434"/>
    <cellStyle name="Saída 2 2 8 2 2" xfId="13017"/>
    <cellStyle name="Saída 2 2 8 2 2 2" xfId="27339"/>
    <cellStyle name="Saída 2 2 8 2 3" xfId="18662"/>
    <cellStyle name="Saída 2 2 8 3" xfId="5288"/>
    <cellStyle name="Saída 2 2 8 3 2" xfId="9597"/>
    <cellStyle name="Saída 2 2 8 3 2 2" xfId="15859"/>
    <cellStyle name="Saída 2 2 8 3 2 2 2" xfId="29275"/>
    <cellStyle name="Saída 2 2 8 3 2 3" xfId="20604"/>
    <cellStyle name="Saída 2 2 8 3 3" xfId="11838"/>
    <cellStyle name="Saída 2 2 8 3 3 2" xfId="26160"/>
    <cellStyle name="Saída 2 2 8 3 4" xfId="17483"/>
    <cellStyle name="Saída 2 2 8 4" xfId="3687"/>
    <cellStyle name="Saída 2 2 8 4 2" xfId="22529"/>
    <cellStyle name="Saída 2 2 8 5" xfId="6324"/>
    <cellStyle name="Saída 2 2 9" xfId="2515"/>
    <cellStyle name="Saída 2 2 9 2" xfId="8033"/>
    <cellStyle name="Saída 2 2 9 2 2" xfId="10647"/>
    <cellStyle name="Saída 2 2 9 2 2 2" xfId="16909"/>
    <cellStyle name="Saída 2 2 9 2 2 2 2" xfId="30325"/>
    <cellStyle name="Saída 2 2 9 2 2 3" xfId="21654"/>
    <cellStyle name="Saída 2 2 9 2 3" xfId="14637"/>
    <cellStyle name="Saída 2 2 9 2 3 2" xfId="28959"/>
    <cellStyle name="Saída 2 2 9 2 4" xfId="20282"/>
    <cellStyle name="Saída 2 2 9 3" xfId="12726"/>
    <cellStyle name="Saída 2 2 9 3 2" xfId="27048"/>
    <cellStyle name="Saída 2 2 9 4" xfId="18371"/>
    <cellStyle name="Saída 2 3" xfId="2516"/>
    <cellStyle name="Saída 2 3 10" xfId="6657"/>
    <cellStyle name="Saída 2 3 10 2" xfId="23633"/>
    <cellStyle name="Saída 2 3 11" xfId="16992"/>
    <cellStyle name="Saída 2 3 2" xfId="2517"/>
    <cellStyle name="Saída 2 3 2 2" xfId="2518"/>
    <cellStyle name="Saída 2 3 2 2 2" xfId="2519"/>
    <cellStyle name="Saída 2 3 2 2 2 2" xfId="6221"/>
    <cellStyle name="Saída 2 3 2 2 2 2 2" xfId="12796"/>
    <cellStyle name="Saída 2 3 2 2 2 2 2 2" xfId="27118"/>
    <cellStyle name="Saída 2 3 2 2 2 2 3" xfId="18441"/>
    <cellStyle name="Saída 2 3 2 2 2 3" xfId="7419"/>
    <cellStyle name="Saída 2 3 2 2 2 3 2" xfId="10033"/>
    <cellStyle name="Saída 2 3 2 2 2 3 2 2" xfId="16295"/>
    <cellStyle name="Saída 2 3 2 2 2 3 2 2 2" xfId="29711"/>
    <cellStyle name="Saída 2 3 2 2 2 3 2 3" xfId="21040"/>
    <cellStyle name="Saída 2 3 2 2 2 3 3" xfId="14023"/>
    <cellStyle name="Saída 2 3 2 2 2 3 3 2" xfId="28345"/>
    <cellStyle name="Saída 2 3 2 2 2 3 4" xfId="19668"/>
    <cellStyle name="Saída 2 3 2 2 2 4" xfId="6178"/>
    <cellStyle name="Saída 2 3 2 2 2 4 2" xfId="23444"/>
    <cellStyle name="Saída 2 3 2 2 2 5" xfId="14871"/>
    <cellStyle name="Saída 2 3 2 2 3" xfId="2520"/>
    <cellStyle name="Saída 2 3 2 2 3 2" xfId="8039"/>
    <cellStyle name="Saída 2 3 2 2 3 2 2" xfId="10653"/>
    <cellStyle name="Saída 2 3 2 2 3 2 2 2" xfId="16915"/>
    <cellStyle name="Saída 2 3 2 2 3 2 2 2 2" xfId="30331"/>
    <cellStyle name="Saída 2 3 2 2 3 2 2 3" xfId="21660"/>
    <cellStyle name="Saída 2 3 2 2 3 2 3" xfId="14643"/>
    <cellStyle name="Saída 2 3 2 2 3 2 3 2" xfId="28965"/>
    <cellStyle name="Saída 2 3 2 2 3 2 4" xfId="20288"/>
    <cellStyle name="Saída 2 3 2 2 3 3" xfId="13298"/>
    <cellStyle name="Saída 2 3 2 2 3 3 2" xfId="27620"/>
    <cellStyle name="Saída 2 3 2 2 3 4" xfId="18943"/>
    <cellStyle name="Saída 2 3 2 2 4" xfId="5748"/>
    <cellStyle name="Saída 2 3 2 2 4 2" xfId="12301"/>
    <cellStyle name="Saída 2 3 2 2 4 2 2" xfId="26623"/>
    <cellStyle name="Saída 2 3 2 2 4 3" xfId="17946"/>
    <cellStyle name="Saída 2 3 2 2 5" xfId="3988"/>
    <cellStyle name="Saída 2 3 2 2 5 2" xfId="22687"/>
    <cellStyle name="Saída 2 3 2 2 6" xfId="15554"/>
    <cellStyle name="Saída 2 3 2 3" xfId="2521"/>
    <cellStyle name="Saída 2 3 2 3 2" xfId="2522"/>
    <cellStyle name="Saída 2 3 2 3 2 2" xfId="6532"/>
    <cellStyle name="Saída 2 3 2 3 2 2 2" xfId="13120"/>
    <cellStyle name="Saída 2 3 2 3 2 2 2 2" xfId="27442"/>
    <cellStyle name="Saída 2 3 2 3 2 2 3" xfId="18765"/>
    <cellStyle name="Saída 2 3 2 3 2 3" xfId="7236"/>
    <cellStyle name="Saída 2 3 2 3 2 3 2" xfId="9850"/>
    <cellStyle name="Saída 2 3 2 3 2 3 2 2" xfId="16112"/>
    <cellStyle name="Saída 2 3 2 3 2 3 2 2 2" xfId="29528"/>
    <cellStyle name="Saída 2 3 2 3 2 3 2 3" xfId="20857"/>
    <cellStyle name="Saída 2 3 2 3 2 3 3" xfId="13840"/>
    <cellStyle name="Saída 2 3 2 3 2 3 3 2" xfId="28162"/>
    <cellStyle name="Saída 2 3 2 3 2 3 4" xfId="19485"/>
    <cellStyle name="Saída 2 3 2 3 2 4" xfId="6603"/>
    <cellStyle name="Saída 2 3 2 3 2 4 2" xfId="23597"/>
    <cellStyle name="Saída 2 3 2 3 2 5" xfId="17023"/>
    <cellStyle name="Saída 2 3 2 3 3" xfId="2523"/>
    <cellStyle name="Saída 2 3 2 3 3 2" xfId="3621"/>
    <cellStyle name="Saída 2 3 2 3 3 2 2" xfId="9345"/>
    <cellStyle name="Saída 2 3 2 3 3 2 2 2" xfId="15607"/>
    <cellStyle name="Saída 2 3 2 3 3 2 2 2 2" xfId="29023"/>
    <cellStyle name="Saída 2 3 2 3 3 2 2 3" xfId="20352"/>
    <cellStyle name="Saída 2 3 2 3 3 2 3" xfId="6362"/>
    <cellStyle name="Saída 2 3 2 3 3 2 3 2" xfId="23546"/>
    <cellStyle name="Saída 2 3 2 3 3 2 4" xfId="3996"/>
    <cellStyle name="Saída 2 3 2 3 3 3" xfId="13427"/>
    <cellStyle name="Saída 2 3 2 3 3 3 2" xfId="27749"/>
    <cellStyle name="Saída 2 3 2 3 3 4" xfId="19072"/>
    <cellStyle name="Saída 2 3 2 3 4" xfId="5902"/>
    <cellStyle name="Saída 2 3 2 3 4 2" xfId="12456"/>
    <cellStyle name="Saída 2 3 2 3 4 2 2" xfId="26778"/>
    <cellStyle name="Saída 2 3 2 3 4 3" xfId="18101"/>
    <cellStyle name="Saída 2 3 2 3 5" xfId="2823"/>
    <cellStyle name="Saída 2 3 2 3 5 2" xfId="22386"/>
    <cellStyle name="Saída 2 3 2 3 6" xfId="15537"/>
    <cellStyle name="Saída 2 3 2 4" xfId="2524"/>
    <cellStyle name="Saída 2 3 2 4 2" xfId="7022"/>
    <cellStyle name="Saída 2 3 2 4 2 2" xfId="13626"/>
    <cellStyle name="Saída 2 3 2 4 2 2 2" xfId="27948"/>
    <cellStyle name="Saída 2 3 2 4 2 3" xfId="19271"/>
    <cellStyle name="Saída 2 3 2 4 3" xfId="5325"/>
    <cellStyle name="Saída 2 3 2 4 3 2" xfId="9634"/>
    <cellStyle name="Saída 2 3 2 4 3 2 2" xfId="15896"/>
    <cellStyle name="Saída 2 3 2 4 3 2 2 2" xfId="29312"/>
    <cellStyle name="Saída 2 3 2 4 3 2 3" xfId="20641"/>
    <cellStyle name="Saída 2 3 2 4 3 3" xfId="11875"/>
    <cellStyle name="Saída 2 3 2 4 3 3 2" xfId="26197"/>
    <cellStyle name="Saída 2 3 2 4 3 4" xfId="17520"/>
    <cellStyle name="Saída 2 3 2 4 4" xfId="11555"/>
    <cellStyle name="Saída 2 3 2 4 4 2" xfId="25877"/>
    <cellStyle name="Saída 2 3 2 4 5" xfId="17379"/>
    <cellStyle name="Saída 2 3 2 5" xfId="2525"/>
    <cellStyle name="Saída 2 3 2 5 2" xfId="7930"/>
    <cellStyle name="Saída 2 3 2 5 2 2" xfId="10544"/>
    <cellStyle name="Saída 2 3 2 5 2 2 2" xfId="16806"/>
    <cellStyle name="Saída 2 3 2 5 2 2 2 2" xfId="30222"/>
    <cellStyle name="Saída 2 3 2 5 2 2 3" xfId="21551"/>
    <cellStyle name="Saída 2 3 2 5 2 3" xfId="14534"/>
    <cellStyle name="Saída 2 3 2 5 2 3 2" xfId="28856"/>
    <cellStyle name="Saída 2 3 2 5 2 4" xfId="20179"/>
    <cellStyle name="Saída 2 3 2 5 3" xfId="12874"/>
    <cellStyle name="Saída 2 3 2 5 3 2" xfId="27196"/>
    <cellStyle name="Saída 2 3 2 5 4" xfId="18519"/>
    <cellStyle name="Saída 2 3 2 6" xfId="5492"/>
    <cellStyle name="Saída 2 3 2 6 2" xfId="12043"/>
    <cellStyle name="Saída 2 3 2 6 2 2" xfId="26365"/>
    <cellStyle name="Saída 2 3 2 6 3" xfId="17688"/>
    <cellStyle name="Saída 2 3 2 7" xfId="4022"/>
    <cellStyle name="Saída 2 3 2 7 2" xfId="22706"/>
    <cellStyle name="Saída 2 3 2 8" xfId="3711"/>
    <cellStyle name="Saída 2 3 3" xfId="2526"/>
    <cellStyle name="Saída 2 3 3 2" xfId="2527"/>
    <cellStyle name="Saída 2 3 3 2 2" xfId="2528"/>
    <cellStyle name="Saída 2 3 3 2 2 2" xfId="6875"/>
    <cellStyle name="Saída 2 3 3 2 2 2 2" xfId="13479"/>
    <cellStyle name="Saída 2 3 3 2 2 2 2 2" xfId="27801"/>
    <cellStyle name="Saída 2 3 3 2 2 2 3" xfId="19124"/>
    <cellStyle name="Saída 2 3 3 2 2 3" xfId="7957"/>
    <cellStyle name="Saída 2 3 3 2 2 3 2" xfId="10571"/>
    <cellStyle name="Saída 2 3 3 2 2 3 2 2" xfId="16833"/>
    <cellStyle name="Saída 2 3 3 2 2 3 2 2 2" xfId="30249"/>
    <cellStyle name="Saída 2 3 3 2 2 3 2 3" xfId="21578"/>
    <cellStyle name="Saída 2 3 3 2 2 3 3" xfId="14561"/>
    <cellStyle name="Saída 2 3 3 2 2 3 3 2" xfId="28883"/>
    <cellStyle name="Saída 2 3 3 2 2 3 4" xfId="20206"/>
    <cellStyle name="Saída 2 3 3 2 2 4" xfId="11343"/>
    <cellStyle name="Saída 2 3 3 2 2 4 2" xfId="25665"/>
    <cellStyle name="Saída 2 3 3 2 2 5" xfId="14715"/>
    <cellStyle name="Saída 2 3 3 2 3" xfId="2529"/>
    <cellStyle name="Saída 2 3 3 2 3 2" xfId="7994"/>
    <cellStyle name="Saída 2 3 3 2 3 2 2" xfId="10608"/>
    <cellStyle name="Saída 2 3 3 2 3 2 2 2" xfId="16870"/>
    <cellStyle name="Saída 2 3 3 2 3 2 2 2 2" xfId="30286"/>
    <cellStyle name="Saída 2 3 3 2 3 2 2 3" xfId="21615"/>
    <cellStyle name="Saída 2 3 3 2 3 2 3" xfId="14598"/>
    <cellStyle name="Saída 2 3 3 2 3 2 3 2" xfId="28920"/>
    <cellStyle name="Saída 2 3 3 2 3 2 4" xfId="20243"/>
    <cellStyle name="Saída 2 3 3 2 3 3" xfId="13334"/>
    <cellStyle name="Saída 2 3 3 2 3 3 2" xfId="27656"/>
    <cellStyle name="Saída 2 3 3 2 3 4" xfId="18979"/>
    <cellStyle name="Saída 2 3 3 2 4" xfId="5784"/>
    <cellStyle name="Saída 2 3 3 2 4 2" xfId="12337"/>
    <cellStyle name="Saída 2 3 3 2 4 2 2" xfId="26659"/>
    <cellStyle name="Saída 2 3 3 2 4 3" xfId="17982"/>
    <cellStyle name="Saída 2 3 3 2 5" xfId="3746"/>
    <cellStyle name="Saída 2 3 3 2 5 2" xfId="22560"/>
    <cellStyle name="Saída 2 3 3 2 6" xfId="16949"/>
    <cellStyle name="Saída 2 3 3 3" xfId="2530"/>
    <cellStyle name="Saída 2 3 3 3 2" xfId="2531"/>
    <cellStyle name="Saída 2 3 3 3 2 2" xfId="5118"/>
    <cellStyle name="Saída 2 3 3 3 2 2 2" xfId="11666"/>
    <cellStyle name="Saída 2 3 3 3 2 2 2 2" xfId="25988"/>
    <cellStyle name="Saída 2 3 3 3 2 2 3" xfId="4508"/>
    <cellStyle name="Saída 2 3 3 3 2 3" xfId="7114"/>
    <cellStyle name="Saída 2 3 3 3 2 3 2" xfId="9728"/>
    <cellStyle name="Saída 2 3 3 3 2 3 2 2" xfId="15990"/>
    <cellStyle name="Saída 2 3 3 3 2 3 2 2 2" xfId="29406"/>
    <cellStyle name="Saída 2 3 3 3 2 3 2 3" xfId="20735"/>
    <cellStyle name="Saída 2 3 3 3 2 3 3" xfId="13718"/>
    <cellStyle name="Saída 2 3 3 3 2 3 3 2" xfId="28040"/>
    <cellStyle name="Saída 2 3 3 3 2 3 4" xfId="19363"/>
    <cellStyle name="Saída 2 3 3 3 2 4" xfId="4485"/>
    <cellStyle name="Saída 2 3 3 3 2 4 2" xfId="22982"/>
    <cellStyle name="Saída 2 3 3 3 2 5" xfId="5871"/>
    <cellStyle name="Saída 2 3 3 3 3" xfId="2532"/>
    <cellStyle name="Saída 2 3 3 3 3 2" xfId="4919"/>
    <cellStyle name="Saída 2 3 3 3 3 2 2" xfId="9514"/>
    <cellStyle name="Saída 2 3 3 3 3 2 2 2" xfId="15776"/>
    <cellStyle name="Saída 2 3 3 3 3 2 2 2 2" xfId="29192"/>
    <cellStyle name="Saída 2 3 3 3 3 2 2 3" xfId="20521"/>
    <cellStyle name="Saída 2 3 3 3 3 2 3" xfId="11456"/>
    <cellStyle name="Saída 2 3 3 3 3 2 3 2" xfId="25778"/>
    <cellStyle name="Saída 2 3 3 3 3 2 4" xfId="15201"/>
    <cellStyle name="Saída 2 3 3 3 3 3" xfId="13417"/>
    <cellStyle name="Saída 2 3 3 3 3 3 2" xfId="27739"/>
    <cellStyle name="Saída 2 3 3 3 3 4" xfId="19062"/>
    <cellStyle name="Saída 2 3 3 3 4" xfId="5887"/>
    <cellStyle name="Saída 2 3 3 3 4 2" xfId="12440"/>
    <cellStyle name="Saída 2 3 3 3 4 2 2" xfId="26762"/>
    <cellStyle name="Saída 2 3 3 3 4 3" xfId="18085"/>
    <cellStyle name="Saída 2 3 3 3 5" xfId="4642"/>
    <cellStyle name="Saída 2 3 3 3 5 2" xfId="23086"/>
    <cellStyle name="Saída 2 3 3 3 6" xfId="17012"/>
    <cellStyle name="Saída 2 3 3 4" xfId="2533"/>
    <cellStyle name="Saída 2 3 3 4 2" xfId="6035"/>
    <cellStyle name="Saída 2 3 3 4 2 2" xfId="12596"/>
    <cellStyle name="Saída 2 3 3 4 2 2 2" xfId="26918"/>
    <cellStyle name="Saída 2 3 3 4 2 3" xfId="18241"/>
    <cellStyle name="Saída 2 3 3 4 3" xfId="7945"/>
    <cellStyle name="Saída 2 3 3 4 3 2" xfId="10559"/>
    <cellStyle name="Saída 2 3 3 4 3 2 2" xfId="16821"/>
    <cellStyle name="Saída 2 3 3 4 3 2 2 2" xfId="30237"/>
    <cellStyle name="Saída 2 3 3 4 3 2 3" xfId="21566"/>
    <cellStyle name="Saída 2 3 3 4 3 3" xfId="14549"/>
    <cellStyle name="Saída 2 3 3 4 3 3 2" xfId="28871"/>
    <cellStyle name="Saída 2 3 3 4 3 4" xfId="20194"/>
    <cellStyle name="Saída 2 3 3 4 4" xfId="6781"/>
    <cellStyle name="Saída 2 3 3 4 4 2" xfId="23726"/>
    <cellStyle name="Saída 2 3 3 4 5" xfId="14786"/>
    <cellStyle name="Saída 2 3 3 5" xfId="2534"/>
    <cellStyle name="Saída 2 3 3 5 2" xfId="7416"/>
    <cellStyle name="Saída 2 3 3 5 2 2" xfId="10030"/>
    <cellStyle name="Saída 2 3 3 5 2 2 2" xfId="16292"/>
    <cellStyle name="Saída 2 3 3 5 2 2 2 2" xfId="29708"/>
    <cellStyle name="Saída 2 3 3 5 2 2 3" xfId="21037"/>
    <cellStyle name="Saída 2 3 3 5 2 3" xfId="14020"/>
    <cellStyle name="Saída 2 3 3 5 2 3 2" xfId="28342"/>
    <cellStyle name="Saída 2 3 3 5 2 4" xfId="19665"/>
    <cellStyle name="Saída 2 3 3 5 3" xfId="12910"/>
    <cellStyle name="Saída 2 3 3 5 3 2" xfId="27232"/>
    <cellStyle name="Saída 2 3 3 5 4" xfId="18555"/>
    <cellStyle name="Saída 2 3 3 6" xfId="5534"/>
    <cellStyle name="Saída 2 3 3 6 2" xfId="12085"/>
    <cellStyle name="Saída 2 3 3 6 2 2" xfId="26407"/>
    <cellStyle name="Saída 2 3 3 6 3" xfId="17730"/>
    <cellStyle name="Saída 2 3 3 7" xfId="4898"/>
    <cellStyle name="Saída 2 3 3 7 2" xfId="23254"/>
    <cellStyle name="Saída 2 3 3 8" xfId="14725"/>
    <cellStyle name="Saída 2 3 4" xfId="2535"/>
    <cellStyle name="Saída 2 3 4 2" xfId="2536"/>
    <cellStyle name="Saída 2 3 4 2 2" xfId="2537"/>
    <cellStyle name="Saída 2 3 4 2 2 2" xfId="6958"/>
    <cellStyle name="Saída 2 3 4 2 2 2 2" xfId="13562"/>
    <cellStyle name="Saída 2 3 4 2 2 2 2 2" xfId="27884"/>
    <cellStyle name="Saída 2 3 4 2 2 2 3" xfId="19207"/>
    <cellStyle name="Saída 2 3 4 2 2 3" xfId="7708"/>
    <cellStyle name="Saída 2 3 4 2 2 3 2" xfId="10322"/>
    <cellStyle name="Saída 2 3 4 2 2 3 2 2" xfId="16584"/>
    <cellStyle name="Saída 2 3 4 2 2 3 2 2 2" xfId="30000"/>
    <cellStyle name="Saída 2 3 4 2 2 3 2 3" xfId="21329"/>
    <cellStyle name="Saída 2 3 4 2 2 3 3" xfId="14312"/>
    <cellStyle name="Saída 2 3 4 2 2 3 3 2" xfId="28634"/>
    <cellStyle name="Saída 2 3 4 2 2 3 4" xfId="19957"/>
    <cellStyle name="Saída 2 3 4 2 2 4" xfId="11459"/>
    <cellStyle name="Saída 2 3 4 2 2 4 2" xfId="25781"/>
    <cellStyle name="Saída 2 3 4 2 2 5" xfId="15464"/>
    <cellStyle name="Saída 2 3 4 2 3" xfId="2538"/>
    <cellStyle name="Saída 2 3 4 2 3 2" xfId="7799"/>
    <cellStyle name="Saída 2 3 4 2 3 2 2" xfId="10413"/>
    <cellStyle name="Saída 2 3 4 2 3 2 2 2" xfId="16675"/>
    <cellStyle name="Saída 2 3 4 2 3 2 2 2 2" xfId="30091"/>
    <cellStyle name="Saída 2 3 4 2 3 2 2 3" xfId="21420"/>
    <cellStyle name="Saída 2 3 4 2 3 2 3" xfId="14403"/>
    <cellStyle name="Saída 2 3 4 2 3 2 3 2" xfId="28725"/>
    <cellStyle name="Saída 2 3 4 2 3 2 4" xfId="20048"/>
    <cellStyle name="Saída 2 3 4 2 3 3" xfId="13275"/>
    <cellStyle name="Saída 2 3 4 2 3 3 2" xfId="27597"/>
    <cellStyle name="Saída 2 3 4 2 3 4" xfId="18920"/>
    <cellStyle name="Saída 2 3 4 2 4" xfId="5722"/>
    <cellStyle name="Saída 2 3 4 2 4 2" xfId="12275"/>
    <cellStyle name="Saída 2 3 4 2 4 2 2" xfId="26597"/>
    <cellStyle name="Saída 2 3 4 2 4 3" xfId="17920"/>
    <cellStyle name="Saída 2 3 4 2 5" xfId="3196"/>
    <cellStyle name="Saída 2 3 4 2 5 2" xfId="22437"/>
    <cellStyle name="Saída 2 3 4 2 6" xfId="15312"/>
    <cellStyle name="Saída 2 3 4 3" xfId="2539"/>
    <cellStyle name="Saída 2 3 4 3 2" xfId="2540"/>
    <cellStyle name="Saída 2 3 4 3 2 2" xfId="6387"/>
    <cellStyle name="Saída 2 3 4 3 2 2 2" xfId="12970"/>
    <cellStyle name="Saída 2 3 4 3 2 2 2 2" xfId="27292"/>
    <cellStyle name="Saída 2 3 4 3 2 2 3" xfId="18615"/>
    <cellStyle name="Saída 2 3 4 3 2 3" xfId="7232"/>
    <cellStyle name="Saída 2 3 4 3 2 3 2" xfId="9846"/>
    <cellStyle name="Saída 2 3 4 3 2 3 2 2" xfId="16108"/>
    <cellStyle name="Saída 2 3 4 3 2 3 2 2 2" xfId="29524"/>
    <cellStyle name="Saída 2 3 4 3 2 3 2 3" xfId="20853"/>
    <cellStyle name="Saída 2 3 4 3 2 3 3" xfId="13836"/>
    <cellStyle name="Saída 2 3 4 3 2 3 3 2" xfId="28158"/>
    <cellStyle name="Saída 2 3 4 3 2 3 4" xfId="19481"/>
    <cellStyle name="Saída 2 3 4 3 2 4" xfId="6772"/>
    <cellStyle name="Saída 2 3 4 3 2 4 2" xfId="23718"/>
    <cellStyle name="Saída 2 3 4 3 2 5" xfId="15298"/>
    <cellStyle name="Saída 2 3 4 3 3" xfId="2541"/>
    <cellStyle name="Saída 2 3 4 3 3 2" xfId="7182"/>
    <cellStyle name="Saída 2 3 4 3 3 2 2" xfId="9796"/>
    <cellStyle name="Saída 2 3 4 3 3 2 2 2" xfId="16058"/>
    <cellStyle name="Saída 2 3 4 3 3 2 2 2 2" xfId="29474"/>
    <cellStyle name="Saída 2 3 4 3 3 2 2 3" xfId="20803"/>
    <cellStyle name="Saída 2 3 4 3 3 2 3" xfId="13786"/>
    <cellStyle name="Saída 2 3 4 3 3 2 3 2" xfId="28108"/>
    <cellStyle name="Saída 2 3 4 3 3 2 4" xfId="19431"/>
    <cellStyle name="Saída 2 3 4 3 3 3" xfId="13113"/>
    <cellStyle name="Saída 2 3 4 3 3 3 2" xfId="27435"/>
    <cellStyle name="Saída 2 3 4 3 3 4" xfId="18758"/>
    <cellStyle name="Saída 2 3 4 3 4" xfId="5479"/>
    <cellStyle name="Saída 2 3 4 3 4 2" xfId="12030"/>
    <cellStyle name="Saída 2 3 4 3 4 2 2" xfId="26352"/>
    <cellStyle name="Saída 2 3 4 3 4 3" xfId="17675"/>
    <cellStyle name="Saída 2 3 4 3 5" xfId="2832"/>
    <cellStyle name="Saída 2 3 4 3 5 2" xfId="22395"/>
    <cellStyle name="Saída 2 3 4 3 6" xfId="15096"/>
    <cellStyle name="Saída 2 3 4 4" xfId="2542"/>
    <cellStyle name="Saída 2 3 4 4 2" xfId="6998"/>
    <cellStyle name="Saída 2 3 4 4 2 2" xfId="13602"/>
    <cellStyle name="Saída 2 3 4 4 2 2 2" xfId="27924"/>
    <cellStyle name="Saída 2 3 4 4 2 3" xfId="19247"/>
    <cellStyle name="Saída 2 3 4 4 3" xfId="5017"/>
    <cellStyle name="Saída 2 3 4 4 3 2" xfId="9544"/>
    <cellStyle name="Saída 2 3 4 4 3 2 2" xfId="15806"/>
    <cellStyle name="Saída 2 3 4 4 3 2 2 2" xfId="29222"/>
    <cellStyle name="Saída 2 3 4 4 3 2 3" xfId="20551"/>
    <cellStyle name="Saída 2 3 4 4 3 3" xfId="11563"/>
    <cellStyle name="Saída 2 3 4 4 3 3 2" xfId="25885"/>
    <cellStyle name="Saída 2 3 4 4 3 4" xfId="14682"/>
    <cellStyle name="Saída 2 3 4 4 4" xfId="11513"/>
    <cellStyle name="Saída 2 3 4 4 4 2" xfId="25835"/>
    <cellStyle name="Saída 2 3 4 4 5" xfId="15091"/>
    <cellStyle name="Saída 2 3 4 5" xfId="2543"/>
    <cellStyle name="Saída 2 3 4 5 2" xfId="7042"/>
    <cellStyle name="Saída 2 3 4 5 2 2" xfId="9656"/>
    <cellStyle name="Saída 2 3 4 5 2 2 2" xfId="15918"/>
    <cellStyle name="Saída 2 3 4 5 2 2 2 2" xfId="29334"/>
    <cellStyle name="Saída 2 3 4 5 2 2 3" xfId="20663"/>
    <cellStyle name="Saída 2 3 4 5 2 3" xfId="13646"/>
    <cellStyle name="Saída 2 3 4 5 2 3 2" xfId="27968"/>
    <cellStyle name="Saída 2 3 4 5 2 4" xfId="19291"/>
    <cellStyle name="Saída 2 3 4 5 3" xfId="12835"/>
    <cellStyle name="Saída 2 3 4 5 3 2" xfId="27157"/>
    <cellStyle name="Saída 2 3 4 5 4" xfId="18480"/>
    <cellStyle name="Saída 2 3 4 6" xfId="5407"/>
    <cellStyle name="Saída 2 3 4 6 2" xfId="11957"/>
    <cellStyle name="Saída 2 3 4 6 2 2" xfId="26279"/>
    <cellStyle name="Saída 2 3 4 6 3" xfId="17602"/>
    <cellStyle name="Saída 2 3 4 7" xfId="2789"/>
    <cellStyle name="Saída 2 3 4 7 2" xfId="22357"/>
    <cellStyle name="Saída 2 3 4 8" xfId="14823"/>
    <cellStyle name="Saída 2 3 5" xfId="2544"/>
    <cellStyle name="Saída 2 3 5 2" xfId="2545"/>
    <cellStyle name="Saída 2 3 5 2 2" xfId="2546"/>
    <cellStyle name="Saída 2 3 5 2 2 2" xfId="5915"/>
    <cellStyle name="Saída 2 3 5 2 2 2 2" xfId="12470"/>
    <cellStyle name="Saída 2 3 5 2 2 2 2 2" xfId="26792"/>
    <cellStyle name="Saída 2 3 5 2 2 2 3" xfId="18115"/>
    <cellStyle name="Saída 2 3 5 2 2 3" xfId="7447"/>
    <cellStyle name="Saída 2 3 5 2 2 3 2" xfId="10061"/>
    <cellStyle name="Saída 2 3 5 2 2 3 2 2" xfId="16323"/>
    <cellStyle name="Saída 2 3 5 2 2 3 2 2 2" xfId="29739"/>
    <cellStyle name="Saída 2 3 5 2 2 3 2 3" xfId="21068"/>
    <cellStyle name="Saída 2 3 5 2 2 3 3" xfId="14051"/>
    <cellStyle name="Saída 2 3 5 2 2 3 3 2" xfId="28373"/>
    <cellStyle name="Saída 2 3 5 2 2 3 4" xfId="19696"/>
    <cellStyle name="Saída 2 3 5 2 2 4" xfId="4896"/>
    <cellStyle name="Saída 2 3 5 2 2 4 2" xfId="23253"/>
    <cellStyle name="Saída 2 3 5 2 2 5" xfId="6683"/>
    <cellStyle name="Saída 2 3 5 2 3" xfId="2547"/>
    <cellStyle name="Saída 2 3 5 2 3 2" xfId="7556"/>
    <cellStyle name="Saída 2 3 5 2 3 2 2" xfId="10170"/>
    <cellStyle name="Saída 2 3 5 2 3 2 2 2" xfId="16432"/>
    <cellStyle name="Saída 2 3 5 2 3 2 2 2 2" xfId="29848"/>
    <cellStyle name="Saída 2 3 5 2 3 2 2 3" xfId="21177"/>
    <cellStyle name="Saída 2 3 5 2 3 2 3" xfId="14160"/>
    <cellStyle name="Saída 2 3 5 2 3 2 3 2" xfId="28482"/>
    <cellStyle name="Saída 2 3 5 2 3 2 4" xfId="19805"/>
    <cellStyle name="Saída 2 3 5 2 3 3" xfId="12487"/>
    <cellStyle name="Saída 2 3 5 2 3 3 2" xfId="26809"/>
    <cellStyle name="Saída 2 3 5 2 3 4" xfId="18132"/>
    <cellStyle name="Saída 2 3 5 2 4" xfId="5229"/>
    <cellStyle name="Saída 2 3 5 2 4 2" xfId="11779"/>
    <cellStyle name="Saída 2 3 5 2 4 2 2" xfId="26101"/>
    <cellStyle name="Saída 2 3 5 2 4 3" xfId="17424"/>
    <cellStyle name="Saída 2 3 5 2 5" xfId="4982"/>
    <cellStyle name="Saída 2 3 5 2 5 2" xfId="23292"/>
    <cellStyle name="Saída 2 3 5 2 6" xfId="17363"/>
    <cellStyle name="Saída 2 3 5 3" xfId="2548"/>
    <cellStyle name="Saída 2 3 5 3 2" xfId="6562"/>
    <cellStyle name="Saída 2 3 5 3 2 2" xfId="13150"/>
    <cellStyle name="Saída 2 3 5 3 2 2 2" xfId="27472"/>
    <cellStyle name="Saída 2 3 5 3 2 3" xfId="18795"/>
    <cellStyle name="Saída 2 3 5 3 3" xfId="7486"/>
    <cellStyle name="Saída 2 3 5 3 3 2" xfId="10100"/>
    <cellStyle name="Saída 2 3 5 3 3 2 2" xfId="16362"/>
    <cellStyle name="Saída 2 3 5 3 3 2 2 2" xfId="29778"/>
    <cellStyle name="Saída 2 3 5 3 3 2 3" xfId="21107"/>
    <cellStyle name="Saída 2 3 5 3 3 3" xfId="14090"/>
    <cellStyle name="Saída 2 3 5 3 3 3 2" xfId="28412"/>
    <cellStyle name="Saída 2 3 5 3 3 4" xfId="19735"/>
    <cellStyle name="Saída 2 3 5 3 4" xfId="4957"/>
    <cellStyle name="Saída 2 3 5 3 4 2" xfId="23279"/>
    <cellStyle name="Saída 2 3 5 3 5" xfId="4349"/>
    <cellStyle name="Saída 2 3 5 4" xfId="2549"/>
    <cellStyle name="Saída 2 3 5 4 2" xfId="7071"/>
    <cellStyle name="Saída 2 3 5 4 2 2" xfId="9685"/>
    <cellStyle name="Saída 2 3 5 4 2 2 2" xfId="15947"/>
    <cellStyle name="Saída 2 3 5 4 2 2 2 2" xfId="29363"/>
    <cellStyle name="Saída 2 3 5 4 2 2 3" xfId="20692"/>
    <cellStyle name="Saída 2 3 5 4 2 3" xfId="13675"/>
    <cellStyle name="Saída 2 3 5 4 2 3 2" xfId="27997"/>
    <cellStyle name="Saída 2 3 5 4 2 4" xfId="19320"/>
    <cellStyle name="Saída 2 3 5 4 3" xfId="12424"/>
    <cellStyle name="Saída 2 3 5 4 3 2" xfId="26746"/>
    <cellStyle name="Saída 2 3 5 4 4" xfId="18069"/>
    <cellStyle name="Saída 2 3 5 5" xfId="5046"/>
    <cellStyle name="Saída 2 3 5 5 2" xfId="11593"/>
    <cellStyle name="Saída 2 3 5 5 2 2" xfId="25915"/>
    <cellStyle name="Saída 2 3 5 5 3" xfId="15023"/>
    <cellStyle name="Saída 2 3 5 6" xfId="6106"/>
    <cellStyle name="Saída 2 3 5 6 2" xfId="23416"/>
    <cellStyle name="Saída 2 3 5 7" xfId="6523"/>
    <cellStyle name="Saída 2 3 6" xfId="2550"/>
    <cellStyle name="Saída 2 3 6 2" xfId="2551"/>
    <cellStyle name="Saída 2 3 6 2 2" xfId="6125"/>
    <cellStyle name="Saída 2 3 6 2 2 2" xfId="12694"/>
    <cellStyle name="Saída 2 3 6 2 2 2 2" xfId="27016"/>
    <cellStyle name="Saída 2 3 6 2 2 3" xfId="18339"/>
    <cellStyle name="Saída 2 3 6 2 3" xfId="7160"/>
    <cellStyle name="Saída 2 3 6 2 3 2" xfId="9774"/>
    <cellStyle name="Saída 2 3 6 2 3 2 2" xfId="16036"/>
    <cellStyle name="Saída 2 3 6 2 3 2 2 2" xfId="29452"/>
    <cellStyle name="Saída 2 3 6 2 3 2 3" xfId="20781"/>
    <cellStyle name="Saída 2 3 6 2 3 3" xfId="13764"/>
    <cellStyle name="Saída 2 3 6 2 3 3 2" xfId="28086"/>
    <cellStyle name="Saída 2 3 6 2 3 4" xfId="19409"/>
    <cellStyle name="Saída 2 3 6 2 4" xfId="3982"/>
    <cellStyle name="Saída 2 3 6 2 4 2" xfId="22685"/>
    <cellStyle name="Saída 2 3 6 2 5" xfId="17086"/>
    <cellStyle name="Saída 2 3 6 3" xfId="2552"/>
    <cellStyle name="Saída 2 3 6 3 2" xfId="7366"/>
    <cellStyle name="Saída 2 3 6 3 2 2" xfId="9980"/>
    <cellStyle name="Saída 2 3 6 3 2 2 2" xfId="16242"/>
    <cellStyle name="Saída 2 3 6 3 2 2 2 2" xfId="29658"/>
    <cellStyle name="Saída 2 3 6 3 2 2 3" xfId="20987"/>
    <cellStyle name="Saída 2 3 6 3 2 3" xfId="13970"/>
    <cellStyle name="Saída 2 3 6 3 2 3 2" xfId="28292"/>
    <cellStyle name="Saída 2 3 6 3 2 4" xfId="19615"/>
    <cellStyle name="Saída 2 3 6 3 3" xfId="13047"/>
    <cellStyle name="Saída 2 3 6 3 3 2" xfId="27369"/>
    <cellStyle name="Saída 2 3 6 3 4" xfId="18692"/>
    <cellStyle name="Saída 2 3 6 4" xfId="5369"/>
    <cellStyle name="Saída 2 3 6 4 2" xfId="11919"/>
    <cellStyle name="Saída 2 3 6 4 2 2" xfId="26241"/>
    <cellStyle name="Saída 2 3 6 4 3" xfId="17564"/>
    <cellStyle name="Saída 2 3 6 5" xfId="3590"/>
    <cellStyle name="Saída 2 3 6 5 2" xfId="22476"/>
    <cellStyle name="Saída 2 3 6 6" xfId="6456"/>
    <cellStyle name="Saída 2 3 7" xfId="2553"/>
    <cellStyle name="Saída 2 3 7 2" xfId="6167"/>
    <cellStyle name="Saída 2 3 7 2 2" xfId="12740"/>
    <cellStyle name="Saída 2 3 7 2 2 2" xfId="27062"/>
    <cellStyle name="Saída 2 3 7 2 3" xfId="18385"/>
    <cellStyle name="Saída 2 3 7 3" xfId="7111"/>
    <cellStyle name="Saída 2 3 7 3 2" xfId="9725"/>
    <cellStyle name="Saída 2 3 7 3 2 2" xfId="15987"/>
    <cellStyle name="Saída 2 3 7 3 2 2 2" xfId="29403"/>
    <cellStyle name="Saída 2 3 7 3 2 3" xfId="20732"/>
    <cellStyle name="Saída 2 3 7 3 3" xfId="13715"/>
    <cellStyle name="Saída 2 3 7 3 3 2" xfId="28037"/>
    <cellStyle name="Saída 2 3 7 3 4" xfId="19360"/>
    <cellStyle name="Saída 2 3 7 4" xfId="4145"/>
    <cellStyle name="Saída 2 3 7 4 2" xfId="22783"/>
    <cellStyle name="Saída 2 3 7 5" xfId="15589"/>
    <cellStyle name="Saída 2 3 8" xfId="2554"/>
    <cellStyle name="Saída 2 3 8 2" xfId="7326"/>
    <cellStyle name="Saída 2 3 8 2 2" xfId="9940"/>
    <cellStyle name="Saída 2 3 8 2 2 2" xfId="16202"/>
    <cellStyle name="Saída 2 3 8 2 2 2 2" xfId="29618"/>
    <cellStyle name="Saída 2 3 8 2 2 3" xfId="20947"/>
    <cellStyle name="Saída 2 3 8 2 3" xfId="13930"/>
    <cellStyle name="Saída 2 3 8 2 3 2" xfId="28252"/>
    <cellStyle name="Saída 2 3 8 2 4" xfId="19575"/>
    <cellStyle name="Saída 2 3 8 3" xfId="12528"/>
    <cellStyle name="Saída 2 3 8 3 2" xfId="26850"/>
    <cellStyle name="Saída 2 3 8 4" xfId="18173"/>
    <cellStyle name="Saída 2 3 9" xfId="4325"/>
    <cellStyle name="Saída 2 3 9 2" xfId="6454"/>
    <cellStyle name="Saída 2 3 9 2 2" xfId="23552"/>
    <cellStyle name="Saída 2 3 9 3" xfId="6580"/>
    <cellStyle name="Saída 2 4" xfId="2555"/>
    <cellStyle name="Saída 2 4 2" xfId="2556"/>
    <cellStyle name="Saída 2 4 2 2" xfId="2557"/>
    <cellStyle name="Saída 2 4 2 2 2" xfId="6920"/>
    <cellStyle name="Saída 2 4 2 2 2 2" xfId="13524"/>
    <cellStyle name="Saída 2 4 2 2 2 2 2" xfId="27846"/>
    <cellStyle name="Saída 2 4 2 2 2 3" xfId="19169"/>
    <cellStyle name="Saída 2 4 2 2 3" xfId="7489"/>
    <cellStyle name="Saída 2 4 2 2 3 2" xfId="10103"/>
    <cellStyle name="Saída 2 4 2 2 3 2 2" xfId="16365"/>
    <cellStyle name="Saída 2 4 2 2 3 2 2 2" xfId="29781"/>
    <cellStyle name="Saída 2 4 2 2 3 2 3" xfId="21110"/>
    <cellStyle name="Saída 2 4 2 2 3 3" xfId="14093"/>
    <cellStyle name="Saída 2 4 2 2 3 3 2" xfId="28415"/>
    <cellStyle name="Saída 2 4 2 2 3 4" xfId="19738"/>
    <cellStyle name="Saída 2 4 2 2 4" xfId="11408"/>
    <cellStyle name="Saída 2 4 2 2 4 2" xfId="25730"/>
    <cellStyle name="Saída 2 4 2 2 5" xfId="15488"/>
    <cellStyle name="Saída 2 4 2 3" xfId="2558"/>
    <cellStyle name="Saída 2 4 2 3 2" xfId="5032"/>
    <cellStyle name="Saída 2 4 2 3 2 2" xfId="9550"/>
    <cellStyle name="Saída 2 4 2 3 2 2 2" xfId="15812"/>
    <cellStyle name="Saída 2 4 2 3 2 2 2 2" xfId="29228"/>
    <cellStyle name="Saída 2 4 2 3 2 2 3" xfId="20557"/>
    <cellStyle name="Saída 2 4 2 3 2 3" xfId="11579"/>
    <cellStyle name="Saída 2 4 2 3 2 3 2" xfId="25901"/>
    <cellStyle name="Saída 2 4 2 3 2 4" xfId="4860"/>
    <cellStyle name="Saída 2 4 2 3 3" xfId="13214"/>
    <cellStyle name="Saída 2 4 2 3 3 2" xfId="27536"/>
    <cellStyle name="Saída 2 4 2 3 4" xfId="18859"/>
    <cellStyle name="Saída 2 4 2 4" xfId="5654"/>
    <cellStyle name="Saída 2 4 2 4 2" xfId="12207"/>
    <cellStyle name="Saída 2 4 2 4 2 2" xfId="26529"/>
    <cellStyle name="Saída 2 4 2 4 3" xfId="17852"/>
    <cellStyle name="Saída 2 4 2 5" xfId="6304"/>
    <cellStyle name="Saída 2 4 2 5 2" xfId="23500"/>
    <cellStyle name="Saída 2 4 2 6" xfId="3955"/>
    <cellStyle name="Saída 2 4 3" xfId="2559"/>
    <cellStyle name="Saída 2 4 3 2" xfId="2560"/>
    <cellStyle name="Saída 2 4 3 2 2" xfId="7033"/>
    <cellStyle name="Saída 2 4 3 2 2 2" xfId="13637"/>
    <cellStyle name="Saída 2 4 3 2 2 2 2" xfId="27959"/>
    <cellStyle name="Saída 2 4 3 2 2 3" xfId="19282"/>
    <cellStyle name="Saída 2 4 3 2 3" xfId="5272"/>
    <cellStyle name="Saída 2 4 3 2 3 2" xfId="9581"/>
    <cellStyle name="Saída 2 4 3 2 3 2 2" xfId="15843"/>
    <cellStyle name="Saída 2 4 3 2 3 2 2 2" xfId="29259"/>
    <cellStyle name="Saída 2 4 3 2 3 2 3" xfId="20588"/>
    <cellStyle name="Saída 2 4 3 2 3 3" xfId="11822"/>
    <cellStyle name="Saída 2 4 3 2 3 3 2" xfId="26144"/>
    <cellStyle name="Saída 2 4 3 2 3 4" xfId="17467"/>
    <cellStyle name="Saída 2 4 3 2 4" xfId="11573"/>
    <cellStyle name="Saída 2 4 3 2 4 2" xfId="25895"/>
    <cellStyle name="Saída 2 4 3 2 5" xfId="17007"/>
    <cellStyle name="Saída 2 4 3 3" xfId="2561"/>
    <cellStyle name="Saída 2 4 3 3 2" xfId="7600"/>
    <cellStyle name="Saída 2 4 3 3 2 2" xfId="10214"/>
    <cellStyle name="Saída 2 4 3 3 2 2 2" xfId="16476"/>
    <cellStyle name="Saída 2 4 3 3 2 2 2 2" xfId="29892"/>
    <cellStyle name="Saída 2 4 3 3 2 2 3" xfId="21221"/>
    <cellStyle name="Saída 2 4 3 3 2 3" xfId="14204"/>
    <cellStyle name="Saída 2 4 3 3 2 3 2" xfId="28526"/>
    <cellStyle name="Saída 2 4 3 3 2 4" xfId="19849"/>
    <cellStyle name="Saída 2 4 3 3 3" xfId="12649"/>
    <cellStyle name="Saída 2 4 3 3 3 2" xfId="26971"/>
    <cellStyle name="Saída 2 4 3 3 4" xfId="18294"/>
    <cellStyle name="Saída 2 4 3 4" xfId="5148"/>
    <cellStyle name="Saída 2 4 3 4 2" xfId="11697"/>
    <cellStyle name="Saída 2 4 3 4 2 2" xfId="26019"/>
    <cellStyle name="Saída 2 4 3 4 3" xfId="5897"/>
    <cellStyle name="Saída 2 4 3 5" xfId="3976"/>
    <cellStyle name="Saída 2 4 3 5 2" xfId="22681"/>
    <cellStyle name="Saída 2 4 3 6" xfId="17147"/>
    <cellStyle name="Saída 2 4 4" xfId="2562"/>
    <cellStyle name="Saída 2 4 4 2" xfId="6864"/>
    <cellStyle name="Saída 2 4 4 2 2" xfId="13468"/>
    <cellStyle name="Saída 2 4 4 2 2 2" xfId="27790"/>
    <cellStyle name="Saída 2 4 4 2 3" xfId="19113"/>
    <cellStyle name="Saída 2 4 4 3" xfId="7158"/>
    <cellStyle name="Saída 2 4 4 3 2" xfId="9772"/>
    <cellStyle name="Saída 2 4 4 3 2 2" xfId="16034"/>
    <cellStyle name="Saída 2 4 4 3 2 2 2" xfId="29450"/>
    <cellStyle name="Saída 2 4 4 3 2 3" xfId="20779"/>
    <cellStyle name="Saída 2 4 4 3 3" xfId="13762"/>
    <cellStyle name="Saída 2 4 4 3 3 2" xfId="28084"/>
    <cellStyle name="Saída 2 4 4 3 4" xfId="19407"/>
    <cellStyle name="Saída 2 4 4 4" xfId="11323"/>
    <cellStyle name="Saída 2 4 4 4 2" xfId="25645"/>
    <cellStyle name="Saída 2 4 4 5" xfId="4981"/>
    <cellStyle name="Saída 2 4 5" xfId="2563"/>
    <cellStyle name="Saída 2 4 5 2" xfId="7479"/>
    <cellStyle name="Saída 2 4 5 2 2" xfId="10093"/>
    <cellStyle name="Saída 2 4 5 2 2 2" xfId="16355"/>
    <cellStyle name="Saída 2 4 5 2 2 2 2" xfId="29771"/>
    <cellStyle name="Saída 2 4 5 2 2 3" xfId="21100"/>
    <cellStyle name="Saída 2 4 5 2 3" xfId="14083"/>
    <cellStyle name="Saída 2 4 5 2 3 2" xfId="28405"/>
    <cellStyle name="Saída 2 4 5 2 4" xfId="19728"/>
    <cellStyle name="Saída 2 4 5 3" xfId="12450"/>
    <cellStyle name="Saída 2 4 5 3 2" xfId="26772"/>
    <cellStyle name="Saída 2 4 5 4" xfId="18095"/>
    <cellStyle name="Saída 2 4 6" xfId="5123"/>
    <cellStyle name="Saída 2 4 6 2" xfId="11671"/>
    <cellStyle name="Saída 2 4 6 2 2" xfId="25993"/>
    <cellStyle name="Saída 2 4 6 3" xfId="15253"/>
    <cellStyle name="Saída 2 4 7" xfId="6808"/>
    <cellStyle name="Saída 2 4 7 2" xfId="23747"/>
    <cellStyle name="Saída 2 4 8" xfId="14726"/>
    <cellStyle name="Saída 2 5" xfId="2564"/>
    <cellStyle name="Saída 2 5 2" xfId="2565"/>
    <cellStyle name="Saída 2 5 2 2" xfId="2566"/>
    <cellStyle name="Saída 2 5 2 2 2" xfId="5109"/>
    <cellStyle name="Saída 2 5 2 2 2 2" xfId="11656"/>
    <cellStyle name="Saída 2 5 2 2 2 2 2" xfId="25978"/>
    <cellStyle name="Saída 2 5 2 2 2 3" xfId="4286"/>
    <cellStyle name="Saída 2 5 2 2 3" xfId="7314"/>
    <cellStyle name="Saída 2 5 2 2 3 2" xfId="9928"/>
    <cellStyle name="Saída 2 5 2 2 3 2 2" xfId="16190"/>
    <cellStyle name="Saída 2 5 2 2 3 2 2 2" xfId="29606"/>
    <cellStyle name="Saída 2 5 2 2 3 2 3" xfId="20935"/>
    <cellStyle name="Saída 2 5 2 2 3 3" xfId="13918"/>
    <cellStyle name="Saída 2 5 2 2 3 3 2" xfId="28240"/>
    <cellStyle name="Saída 2 5 2 2 3 4" xfId="19563"/>
    <cellStyle name="Saída 2 5 2 2 4" xfId="6794"/>
    <cellStyle name="Saída 2 5 2 2 4 2" xfId="23737"/>
    <cellStyle name="Saída 2 5 2 2 5" xfId="15571"/>
    <cellStyle name="Saída 2 5 2 3" xfId="2567"/>
    <cellStyle name="Saída 2 5 2 3 2" xfId="4321"/>
    <cellStyle name="Saída 2 5 2 3 2 2" xfId="9448"/>
    <cellStyle name="Saída 2 5 2 3 2 2 2" xfId="15710"/>
    <cellStyle name="Saída 2 5 2 3 2 2 2 2" xfId="29126"/>
    <cellStyle name="Saída 2 5 2 3 2 2 3" xfId="20455"/>
    <cellStyle name="Saída 2 5 2 3 2 3" xfId="4543"/>
    <cellStyle name="Saída 2 5 2 3 2 3 2" xfId="23022"/>
    <cellStyle name="Saída 2 5 2 3 2 4" xfId="15581"/>
    <cellStyle name="Saída 2 5 2 3 3" xfId="13266"/>
    <cellStyle name="Saída 2 5 2 3 3 2" xfId="27588"/>
    <cellStyle name="Saída 2 5 2 3 4" xfId="18911"/>
    <cellStyle name="Saída 2 5 2 4" xfId="5712"/>
    <cellStyle name="Saída 2 5 2 4 2" xfId="12265"/>
    <cellStyle name="Saída 2 5 2 4 2 2" xfId="26587"/>
    <cellStyle name="Saída 2 5 2 4 3" xfId="17910"/>
    <cellStyle name="Saída 2 5 2 5" xfId="3801"/>
    <cellStyle name="Saída 2 5 2 5 2" xfId="22589"/>
    <cellStyle name="Saída 2 5 2 6" xfId="3654"/>
    <cellStyle name="Saída 2 5 3" xfId="2568"/>
    <cellStyle name="Saída 2 5 3 2" xfId="2569"/>
    <cellStyle name="Saída 2 5 3 2 2" xfId="6057"/>
    <cellStyle name="Saída 2 5 3 2 2 2" xfId="12623"/>
    <cellStyle name="Saída 2 5 3 2 2 2 2" xfId="26945"/>
    <cellStyle name="Saída 2 5 3 2 2 3" xfId="18268"/>
    <cellStyle name="Saída 2 5 3 2 3" xfId="7927"/>
    <cellStyle name="Saída 2 5 3 2 3 2" xfId="10541"/>
    <cellStyle name="Saída 2 5 3 2 3 2 2" xfId="16803"/>
    <cellStyle name="Saída 2 5 3 2 3 2 2 2" xfId="30219"/>
    <cellStyle name="Saída 2 5 3 2 3 2 3" xfId="21548"/>
    <cellStyle name="Saída 2 5 3 2 3 3" xfId="14531"/>
    <cellStyle name="Saída 2 5 3 2 3 3 2" xfId="28853"/>
    <cellStyle name="Saída 2 5 3 2 3 4" xfId="20176"/>
    <cellStyle name="Saída 2 5 3 2 4" xfId="6609"/>
    <cellStyle name="Saída 2 5 3 2 4 2" xfId="23601"/>
    <cellStyle name="Saída 2 5 3 2 5" xfId="6301"/>
    <cellStyle name="Saída 2 5 3 3" xfId="2570"/>
    <cellStyle name="Saída 2 5 3 3 2" xfId="7854"/>
    <cellStyle name="Saída 2 5 3 3 2 2" xfId="10468"/>
    <cellStyle name="Saída 2 5 3 3 2 2 2" xfId="16730"/>
    <cellStyle name="Saída 2 5 3 3 2 2 2 2" xfId="30146"/>
    <cellStyle name="Saída 2 5 3 3 2 2 3" xfId="21475"/>
    <cellStyle name="Saída 2 5 3 3 2 3" xfId="14458"/>
    <cellStyle name="Saída 2 5 3 3 2 3 2" xfId="28780"/>
    <cellStyle name="Saída 2 5 3 3 2 4" xfId="20103"/>
    <cellStyle name="Saída 2 5 3 3 3" xfId="13254"/>
    <cellStyle name="Saída 2 5 3 3 3 2" xfId="27576"/>
    <cellStyle name="Saída 2 5 3 3 4" xfId="18899"/>
    <cellStyle name="Saída 2 5 3 4" xfId="5697"/>
    <cellStyle name="Saída 2 5 3 4 2" xfId="12250"/>
    <cellStyle name="Saída 2 5 3 4 2 2" xfId="26572"/>
    <cellStyle name="Saída 2 5 3 4 3" xfId="17895"/>
    <cellStyle name="Saída 2 5 3 5" xfId="6768"/>
    <cellStyle name="Saída 2 5 3 5 2" xfId="23714"/>
    <cellStyle name="Saída 2 5 3 6" xfId="14860"/>
    <cellStyle name="Saída 2 5 4" xfId="2571"/>
    <cellStyle name="Saída 2 5 4 2" xfId="6001"/>
    <cellStyle name="Saída 2 5 4 2 2" xfId="12560"/>
    <cellStyle name="Saída 2 5 4 2 2 2" xfId="26882"/>
    <cellStyle name="Saída 2 5 4 2 3" xfId="18205"/>
    <cellStyle name="Saída 2 5 4 3" xfId="4810"/>
    <cellStyle name="Saída 2 5 4 3 2" xfId="9492"/>
    <cellStyle name="Saída 2 5 4 3 2 2" xfId="15754"/>
    <cellStyle name="Saída 2 5 4 3 2 2 2" xfId="29170"/>
    <cellStyle name="Saída 2 5 4 3 2 3" xfId="20499"/>
    <cellStyle name="Saída 2 5 4 3 3" xfId="11341"/>
    <cellStyle name="Saída 2 5 4 3 3 2" xfId="25663"/>
    <cellStyle name="Saída 2 5 4 3 4" xfId="15167"/>
    <cellStyle name="Saída 2 5 4 4" xfId="6349"/>
    <cellStyle name="Saída 2 5 4 4 2" xfId="23535"/>
    <cellStyle name="Saída 2 5 4 5" xfId="15179"/>
    <cellStyle name="Saída 2 5 5" xfId="2572"/>
    <cellStyle name="Saída 2 5 5 2" xfId="7115"/>
    <cellStyle name="Saída 2 5 5 2 2" xfId="9729"/>
    <cellStyle name="Saída 2 5 5 2 2 2" xfId="15991"/>
    <cellStyle name="Saída 2 5 5 2 2 2 2" xfId="29407"/>
    <cellStyle name="Saída 2 5 5 2 2 3" xfId="20736"/>
    <cellStyle name="Saída 2 5 5 2 3" xfId="13719"/>
    <cellStyle name="Saída 2 5 5 2 3 2" xfId="28041"/>
    <cellStyle name="Saída 2 5 5 2 4" xfId="19364"/>
    <cellStyle name="Saída 2 5 5 3" xfId="12822"/>
    <cellStyle name="Saída 2 5 5 3 2" xfId="27144"/>
    <cellStyle name="Saída 2 5 5 4" xfId="18467"/>
    <cellStyle name="Saída 2 5 6" xfId="5367"/>
    <cellStyle name="Saída 2 5 6 2" xfId="11917"/>
    <cellStyle name="Saída 2 5 6 2 2" xfId="26239"/>
    <cellStyle name="Saída 2 5 6 3" xfId="17562"/>
    <cellStyle name="Saída 2 5 7" xfId="4183"/>
    <cellStyle name="Saída 2 5 7 2" xfId="22805"/>
    <cellStyle name="Saída 2 5 8" xfId="3710"/>
    <cellStyle name="Saída 2 6" xfId="2573"/>
    <cellStyle name="Saída 2 6 2" xfId="2574"/>
    <cellStyle name="Saída 2 6 2 2" xfId="2575"/>
    <cellStyle name="Saída 2 6 2 2 2" xfId="6951"/>
    <cellStyle name="Saída 2 6 2 2 2 2" xfId="13555"/>
    <cellStyle name="Saída 2 6 2 2 2 2 2" xfId="27877"/>
    <cellStyle name="Saída 2 6 2 2 2 3" xfId="19200"/>
    <cellStyle name="Saída 2 6 2 2 3" xfId="7965"/>
    <cellStyle name="Saída 2 6 2 2 3 2" xfId="10579"/>
    <cellStyle name="Saída 2 6 2 2 3 2 2" xfId="16841"/>
    <cellStyle name="Saída 2 6 2 2 3 2 2 2" xfId="30257"/>
    <cellStyle name="Saída 2 6 2 2 3 2 3" xfId="21586"/>
    <cellStyle name="Saída 2 6 2 2 3 3" xfId="14569"/>
    <cellStyle name="Saída 2 6 2 2 3 3 2" xfId="28891"/>
    <cellStyle name="Saída 2 6 2 2 3 4" xfId="20214"/>
    <cellStyle name="Saída 2 6 2 2 4" xfId="11447"/>
    <cellStyle name="Saída 2 6 2 2 4 2" xfId="25769"/>
    <cellStyle name="Saída 2 6 2 2 5" xfId="4895"/>
    <cellStyle name="Saída 2 6 2 3" xfId="2576"/>
    <cellStyle name="Saída 2 6 2 3 2" xfId="3959"/>
    <cellStyle name="Saída 2 6 2 3 2 2" xfId="9403"/>
    <cellStyle name="Saída 2 6 2 3 2 2 2" xfId="15665"/>
    <cellStyle name="Saída 2 6 2 3 2 2 2 2" xfId="29081"/>
    <cellStyle name="Saída 2 6 2 3 2 2 3" xfId="20410"/>
    <cellStyle name="Saída 2 6 2 3 2 3" xfId="3693"/>
    <cellStyle name="Saída 2 6 2 3 2 3 2" xfId="22532"/>
    <cellStyle name="Saída 2 6 2 3 2 4" xfId="15349"/>
    <cellStyle name="Saída 2 6 2 3 3" xfId="13235"/>
    <cellStyle name="Saída 2 6 2 3 3 2" xfId="27557"/>
    <cellStyle name="Saída 2 6 2 3 4" xfId="18880"/>
    <cellStyle name="Saída 2 6 2 4" xfId="5676"/>
    <cellStyle name="Saída 2 6 2 4 2" xfId="12229"/>
    <cellStyle name="Saída 2 6 2 4 2 2" xfId="26551"/>
    <cellStyle name="Saída 2 6 2 4 3" xfId="17874"/>
    <cellStyle name="Saída 2 6 2 5" xfId="4873"/>
    <cellStyle name="Saída 2 6 2 5 2" xfId="23236"/>
    <cellStyle name="Saída 2 6 2 6" xfId="17380"/>
    <cellStyle name="Saída 2 6 3" xfId="2577"/>
    <cellStyle name="Saída 2 6 3 2" xfId="2578"/>
    <cellStyle name="Saída 2 6 3 2 2" xfId="6200"/>
    <cellStyle name="Saída 2 6 3 2 2 2" xfId="12773"/>
    <cellStyle name="Saída 2 6 3 2 2 2 2" xfId="27095"/>
    <cellStyle name="Saída 2 6 3 2 2 3" xfId="18418"/>
    <cellStyle name="Saída 2 6 3 2 3" xfId="5290"/>
    <cellStyle name="Saída 2 6 3 2 3 2" xfId="9599"/>
    <cellStyle name="Saída 2 6 3 2 3 2 2" xfId="15861"/>
    <cellStyle name="Saída 2 6 3 2 3 2 2 2" xfId="29277"/>
    <cellStyle name="Saída 2 6 3 2 3 2 3" xfId="20606"/>
    <cellStyle name="Saída 2 6 3 2 3 3" xfId="11840"/>
    <cellStyle name="Saída 2 6 3 2 3 3 2" xfId="26162"/>
    <cellStyle name="Saída 2 6 3 2 3 4" xfId="17485"/>
    <cellStyle name="Saída 2 6 3 2 4" xfId="3609"/>
    <cellStyle name="Saída 2 6 3 2 4 2" xfId="22487"/>
    <cellStyle name="Saída 2 6 3 2 5" xfId="14772"/>
    <cellStyle name="Saída 2 6 3 3" xfId="2579"/>
    <cellStyle name="Saída 2 6 3 3 2" xfId="7238"/>
    <cellStyle name="Saída 2 6 3 3 2 2" xfId="9852"/>
    <cellStyle name="Saída 2 6 3 3 2 2 2" xfId="16114"/>
    <cellStyle name="Saída 2 6 3 3 2 2 2 2" xfId="29530"/>
    <cellStyle name="Saída 2 6 3 3 2 2 3" xfId="20859"/>
    <cellStyle name="Saída 2 6 3 3 2 3" xfId="13842"/>
    <cellStyle name="Saída 2 6 3 3 2 3 2" xfId="28164"/>
    <cellStyle name="Saída 2 6 3 3 2 4" xfId="19487"/>
    <cellStyle name="Saída 2 6 3 3 3" xfId="13089"/>
    <cellStyle name="Saída 2 6 3 3 3 2" xfId="27411"/>
    <cellStyle name="Saída 2 6 3 3 4" xfId="18734"/>
    <cellStyle name="Saída 2 6 3 4" xfId="5444"/>
    <cellStyle name="Saída 2 6 3 4 2" xfId="11995"/>
    <cellStyle name="Saída 2 6 3 4 2 2" xfId="26317"/>
    <cellStyle name="Saída 2 6 3 4 3" xfId="17640"/>
    <cellStyle name="Saída 2 6 3 5" xfId="3925"/>
    <cellStyle name="Saída 2 6 3 5 2" xfId="22648"/>
    <cellStyle name="Saída 2 6 3 6" xfId="15528"/>
    <cellStyle name="Saída 2 6 4" xfId="2580"/>
    <cellStyle name="Saída 2 6 4 2" xfId="5607"/>
    <cellStyle name="Saída 2 6 4 2 2" xfId="12159"/>
    <cellStyle name="Saída 2 6 4 2 2 2" xfId="26481"/>
    <cellStyle name="Saída 2 6 4 2 3" xfId="17804"/>
    <cellStyle name="Saída 2 6 4 3" xfId="7145"/>
    <cellStyle name="Saída 2 6 4 3 2" xfId="9759"/>
    <cellStyle name="Saída 2 6 4 3 2 2" xfId="16021"/>
    <cellStyle name="Saída 2 6 4 3 2 2 2" xfId="29437"/>
    <cellStyle name="Saída 2 6 4 3 2 3" xfId="20766"/>
    <cellStyle name="Saída 2 6 4 3 3" xfId="13749"/>
    <cellStyle name="Saída 2 6 4 3 3 2" xfId="28071"/>
    <cellStyle name="Saída 2 6 4 3 4" xfId="19394"/>
    <cellStyle name="Saída 2 6 4 4" xfId="3507"/>
    <cellStyle name="Saída 2 6 4 4 2" xfId="22474"/>
    <cellStyle name="Saída 2 6 4 5" xfId="14872"/>
    <cellStyle name="Saída 2 6 5" xfId="2581"/>
    <cellStyle name="Saída 2 6 5 2" xfId="7627"/>
    <cellStyle name="Saída 2 6 5 2 2" xfId="10241"/>
    <cellStyle name="Saída 2 6 5 2 2 2" xfId="16503"/>
    <cellStyle name="Saída 2 6 5 2 2 2 2" xfId="29919"/>
    <cellStyle name="Saída 2 6 5 2 2 3" xfId="21248"/>
    <cellStyle name="Saída 2 6 5 2 3" xfId="14231"/>
    <cellStyle name="Saída 2 6 5 2 3 2" xfId="28553"/>
    <cellStyle name="Saída 2 6 5 2 4" xfId="19876"/>
    <cellStyle name="Saída 2 6 5 3" xfId="12662"/>
    <cellStyle name="Saída 2 6 5 3 2" xfId="26984"/>
    <cellStyle name="Saída 2 6 5 4" xfId="18307"/>
    <cellStyle name="Saída 2 6 6" xfId="5149"/>
    <cellStyle name="Saída 2 6 6 2" xfId="11698"/>
    <cellStyle name="Saída 2 6 6 2 2" xfId="26020"/>
    <cellStyle name="Saída 2 6 6 3" xfId="3660"/>
    <cellStyle name="Saída 2 6 7" xfId="3944"/>
    <cellStyle name="Saída 2 6 7 2" xfId="22660"/>
    <cellStyle name="Saída 2 6 8" xfId="14796"/>
    <cellStyle name="Saída 2 7" xfId="2582"/>
    <cellStyle name="Saída 2 7 2" xfId="2583"/>
    <cellStyle name="Saída 2 7 2 2" xfId="2584"/>
    <cellStyle name="Saída 2 7 2 2 2" xfId="6088"/>
    <cellStyle name="Saída 2 7 2 2 2 2" xfId="12654"/>
    <cellStyle name="Saída 2 7 2 2 2 2 2" xfId="26976"/>
    <cellStyle name="Saída 2 7 2 2 2 3" xfId="18299"/>
    <cellStyle name="Saída 2 7 2 2 3" xfId="7523"/>
    <cellStyle name="Saída 2 7 2 2 3 2" xfId="10137"/>
    <cellStyle name="Saída 2 7 2 2 3 2 2" xfId="16399"/>
    <cellStyle name="Saída 2 7 2 2 3 2 2 2" xfId="29815"/>
    <cellStyle name="Saída 2 7 2 2 3 2 3" xfId="21144"/>
    <cellStyle name="Saída 2 7 2 2 3 3" xfId="14127"/>
    <cellStyle name="Saída 2 7 2 2 3 3 2" xfId="28449"/>
    <cellStyle name="Saída 2 7 2 2 3 4" xfId="19772"/>
    <cellStyle name="Saída 2 7 2 2 4" xfId="6798"/>
    <cellStyle name="Saída 2 7 2 2 4 2" xfId="23739"/>
    <cellStyle name="Saída 2 7 2 2 5" xfId="15246"/>
    <cellStyle name="Saída 2 7 2 3" xfId="2585"/>
    <cellStyle name="Saída 2 7 2 3 2" xfId="7345"/>
    <cellStyle name="Saída 2 7 2 3 2 2" xfId="9959"/>
    <cellStyle name="Saída 2 7 2 3 2 2 2" xfId="16221"/>
    <cellStyle name="Saída 2 7 2 3 2 2 2 2" xfId="29637"/>
    <cellStyle name="Saída 2 7 2 3 2 2 3" xfId="20966"/>
    <cellStyle name="Saída 2 7 2 3 2 3" xfId="13949"/>
    <cellStyle name="Saída 2 7 2 3 2 3 2" xfId="28271"/>
    <cellStyle name="Saída 2 7 2 3 2 4" xfId="19594"/>
    <cellStyle name="Saída 2 7 2 3 3" xfId="13327"/>
    <cellStyle name="Saída 2 7 2 3 3 2" xfId="27649"/>
    <cellStyle name="Saída 2 7 2 3 4" xfId="18972"/>
    <cellStyle name="Saída 2 7 2 4" xfId="5777"/>
    <cellStyle name="Saída 2 7 2 4 2" xfId="12330"/>
    <cellStyle name="Saída 2 7 2 4 2 2" xfId="26652"/>
    <cellStyle name="Saída 2 7 2 4 3" xfId="17975"/>
    <cellStyle name="Saída 2 7 2 5" xfId="4862"/>
    <cellStyle name="Saída 2 7 2 5 2" xfId="23227"/>
    <cellStyle name="Saída 2 7 2 6" xfId="4651"/>
    <cellStyle name="Saída 2 7 3" xfId="2586"/>
    <cellStyle name="Saída 2 7 3 2" xfId="6982"/>
    <cellStyle name="Saída 2 7 3 2 2" xfId="13586"/>
    <cellStyle name="Saída 2 7 3 2 2 2" xfId="27908"/>
    <cellStyle name="Saída 2 7 3 2 3" xfId="19231"/>
    <cellStyle name="Saída 2 7 3 3" xfId="7357"/>
    <cellStyle name="Saída 2 7 3 3 2" xfId="9971"/>
    <cellStyle name="Saída 2 7 3 3 2 2" xfId="16233"/>
    <cellStyle name="Saída 2 7 3 3 2 2 2" xfId="29649"/>
    <cellStyle name="Saída 2 7 3 3 2 3" xfId="20978"/>
    <cellStyle name="Saída 2 7 3 3 3" xfId="13961"/>
    <cellStyle name="Saída 2 7 3 3 3 2" xfId="28283"/>
    <cellStyle name="Saída 2 7 3 3 4" xfId="19606"/>
    <cellStyle name="Saída 2 7 3 4" xfId="11494"/>
    <cellStyle name="Saída 2 7 3 4 2" xfId="25816"/>
    <cellStyle name="Saída 2 7 3 5" xfId="17080"/>
    <cellStyle name="Saída 2 7 4" xfId="2587"/>
    <cellStyle name="Saída 2 7 4 2" xfId="7784"/>
    <cellStyle name="Saída 2 7 4 2 2" xfId="10398"/>
    <cellStyle name="Saída 2 7 4 2 2 2" xfId="16660"/>
    <cellStyle name="Saída 2 7 4 2 2 2 2" xfId="30076"/>
    <cellStyle name="Saída 2 7 4 2 2 3" xfId="21405"/>
    <cellStyle name="Saída 2 7 4 2 3" xfId="14388"/>
    <cellStyle name="Saída 2 7 4 2 3 2" xfId="28710"/>
    <cellStyle name="Saída 2 7 4 2 4" xfId="20033"/>
    <cellStyle name="Saída 2 7 4 3" xfId="12866"/>
    <cellStyle name="Saída 2 7 4 3 2" xfId="27188"/>
    <cellStyle name="Saída 2 7 4 4" xfId="18511"/>
    <cellStyle name="Saída 2 7 5" xfId="5480"/>
    <cellStyle name="Saída 2 7 5 2" xfId="12031"/>
    <cellStyle name="Saída 2 7 5 2 2" xfId="26353"/>
    <cellStyle name="Saída 2 7 5 3" xfId="17676"/>
    <cellStyle name="Saída 2 7 6" xfId="6164"/>
    <cellStyle name="Saída 2 7 6 2" xfId="23437"/>
    <cellStyle name="Saída 2 7 7" xfId="4243"/>
    <cellStyle name="Saída 2 8" xfId="2588"/>
    <cellStyle name="Saída 2 8 2" xfId="2589"/>
    <cellStyle name="Saída 2 8 2 2" xfId="5931"/>
    <cellStyle name="Saída 2 8 2 2 2" xfId="12486"/>
    <cellStyle name="Saída 2 8 2 2 2 2" xfId="26808"/>
    <cellStyle name="Saída 2 8 2 2 3" xfId="18131"/>
    <cellStyle name="Saída 2 8 2 3" xfId="7619"/>
    <cellStyle name="Saída 2 8 2 3 2" xfId="10233"/>
    <cellStyle name="Saída 2 8 2 3 2 2" xfId="16495"/>
    <cellStyle name="Saída 2 8 2 3 2 2 2" xfId="29911"/>
    <cellStyle name="Saída 2 8 2 3 2 3" xfId="21240"/>
    <cellStyle name="Saída 2 8 2 3 3" xfId="14223"/>
    <cellStyle name="Saída 2 8 2 3 3 2" xfId="28545"/>
    <cellStyle name="Saída 2 8 2 3 4" xfId="19868"/>
    <cellStyle name="Saída 2 8 2 4" xfId="6242"/>
    <cellStyle name="Saída 2 8 2 4 2" xfId="23467"/>
    <cellStyle name="Saída 2 8 2 5" xfId="17173"/>
    <cellStyle name="Saída 2 8 3" xfId="2590"/>
    <cellStyle name="Saída 2 8 3 2" xfId="4007"/>
    <cellStyle name="Saída 2 8 3 2 2" xfId="9410"/>
    <cellStyle name="Saída 2 8 3 2 2 2" xfId="15672"/>
    <cellStyle name="Saída 2 8 3 2 2 2 2" xfId="29088"/>
    <cellStyle name="Saída 2 8 3 2 2 3" xfId="20417"/>
    <cellStyle name="Saída 2 8 3 2 3" xfId="4417"/>
    <cellStyle name="Saída 2 8 3 2 3 2" xfId="22938"/>
    <cellStyle name="Saída 2 8 3 2 4" xfId="14875"/>
    <cellStyle name="Saída 2 8 3 3" xfId="13130"/>
    <cellStyle name="Saída 2 8 3 3 2" xfId="27452"/>
    <cellStyle name="Saída 2 8 3 4" xfId="18775"/>
    <cellStyle name="Saída 2 8 4" xfId="5523"/>
    <cellStyle name="Saída 2 8 4 2" xfId="12074"/>
    <cellStyle name="Saída 2 8 4 2 2" xfId="26396"/>
    <cellStyle name="Saída 2 8 4 3" xfId="17719"/>
    <cellStyle name="Saída 2 8 5" xfId="3587"/>
    <cellStyle name="Saída 2 8 5 2" xfId="22475"/>
    <cellStyle name="Saída 2 8 6" xfId="15242"/>
    <cellStyle name="Saída 2 9" xfId="2591"/>
    <cellStyle name="Saída 2 9 2" xfId="5922"/>
    <cellStyle name="Saída 2 9 2 2" xfId="12477"/>
    <cellStyle name="Saída 2 9 2 2 2" xfId="26799"/>
    <cellStyle name="Saída 2 9 2 3" xfId="18122"/>
    <cellStyle name="Saída 2 9 3" xfId="7682"/>
    <cellStyle name="Saída 2 9 3 2" xfId="10296"/>
    <cellStyle name="Saída 2 9 3 2 2" xfId="16558"/>
    <cellStyle name="Saída 2 9 3 2 2 2" xfId="29974"/>
    <cellStyle name="Saída 2 9 3 2 3" xfId="21303"/>
    <cellStyle name="Saída 2 9 3 3" xfId="14286"/>
    <cellStyle name="Saída 2 9 3 3 2" xfId="28608"/>
    <cellStyle name="Saída 2 9 3 4" xfId="19931"/>
    <cellStyle name="Saída 2 9 4" xfId="3848"/>
    <cellStyle name="Saída 2 9 4 2" xfId="22612"/>
    <cellStyle name="Saída 2 9 5" xfId="6503"/>
    <cellStyle name="Saída 3" xfId="2592"/>
    <cellStyle name="Saída 3 2" xfId="5040"/>
    <cellStyle name="Saída 3 2 2" xfId="11587"/>
    <cellStyle name="Saída 3 2 2 2" xfId="25909"/>
    <cellStyle name="Saída 3 2 3" xfId="6602"/>
    <cellStyle name="Saída 3 3" xfId="3241"/>
    <cellStyle name="Saída 3 3 2" xfId="9047"/>
    <cellStyle name="Saída 3 3 2 2" xfId="15386"/>
    <cellStyle name="Saída 3 3 2 2 2" xfId="29005"/>
    <cellStyle name="Saída 3 3 2 3" xfId="20332"/>
    <cellStyle name="Saída 3 3 3" xfId="6214"/>
    <cellStyle name="Saída 3 3 3 2" xfId="23461"/>
    <cellStyle name="Saída 3 3 4" xfId="14970"/>
    <cellStyle name="Saída 3 4" xfId="4085"/>
    <cellStyle name="Saída 3 4 2" xfId="22751"/>
    <cellStyle name="Saída 3 5" xfId="17021"/>
    <cellStyle name="Saída 4" xfId="4134"/>
    <cellStyle name="Saída 4 2" xfId="2759"/>
    <cellStyle name="Saída 4 2 2" xfId="22328"/>
    <cellStyle name="Saída 4 3" xfId="4526"/>
    <cellStyle name="Saída 5" xfId="3606"/>
    <cellStyle name="Saída 5 2" xfId="22485"/>
    <cellStyle name="Saída 6" xfId="17375"/>
    <cellStyle name="Saída 7" xfId="20324"/>
    <cellStyle name="Saída 8" xfId="21703"/>
    <cellStyle name="Texto de Aviso" xfId="2593"/>
    <cellStyle name="Texto Explicativo" xfId="2594"/>
    <cellStyle name="Title 2" xfId="2595"/>
    <cellStyle name="Título" xfId="2596"/>
    <cellStyle name="Total 2" xfId="2597"/>
    <cellStyle name="Total 2 2" xfId="2598"/>
    <cellStyle name="Total 2 2 10" xfId="2599"/>
    <cellStyle name="Total 2 2 10 2" xfId="3586"/>
    <cellStyle name="Total 2 2 10 2 2" xfId="9337"/>
    <cellStyle name="Total 2 2 10 2 2 2" xfId="15599"/>
    <cellStyle name="Total 2 2 10 2 2 2 2" xfId="29015"/>
    <cellStyle name="Total 2 2 10 2 2 3" xfId="20344"/>
    <cellStyle name="Total 2 2 10 2 3" xfId="6501"/>
    <cellStyle name="Total 2 2 10 2 3 2" xfId="23571"/>
    <cellStyle name="Total 2 2 10 2 4" xfId="15346"/>
    <cellStyle name="Total 2 2 10 3" xfId="11746"/>
    <cellStyle name="Total 2 2 10 3 2" xfId="26068"/>
    <cellStyle name="Total 2 2 10 4" xfId="6269"/>
    <cellStyle name="Total 2 2 11" xfId="3866"/>
    <cellStyle name="Total 2 2 11 2" xfId="6818"/>
    <cellStyle name="Total 2 2 11 2 2" xfId="23754"/>
    <cellStyle name="Total 2 2 11 3" xfId="17378"/>
    <cellStyle name="Total 2 2 12" xfId="4729"/>
    <cellStyle name="Total 2 2 12 2" xfId="23156"/>
    <cellStyle name="Total 2 2 13" xfId="14688"/>
    <cellStyle name="Total 2 2 2" xfId="2600"/>
    <cellStyle name="Total 2 2 2 10" xfId="5055"/>
    <cellStyle name="Total 2 2 2 10 2" xfId="11602"/>
    <cellStyle name="Total 2 2 2 10 2 2" xfId="25924"/>
    <cellStyle name="Total 2 2 2 10 3" xfId="3870"/>
    <cellStyle name="Total 2 2 2 11" xfId="4542"/>
    <cellStyle name="Total 2 2 2 11 2" xfId="23021"/>
    <cellStyle name="Total 2 2 2 12" xfId="15005"/>
    <cellStyle name="Total 2 2 2 2" xfId="2601"/>
    <cellStyle name="Total 2 2 2 2 10" xfId="6461"/>
    <cellStyle name="Total 2 2 2 2 10 2" xfId="23556"/>
    <cellStyle name="Total 2 2 2 2 11" xfId="14851"/>
    <cellStyle name="Total 2 2 2 2 2" xfId="2602"/>
    <cellStyle name="Total 2 2 2 2 2 2" xfId="2603"/>
    <cellStyle name="Total 2 2 2 2 2 2 2" xfId="2604"/>
    <cellStyle name="Total 2 2 2 2 2 2 2 2" xfId="6593"/>
    <cellStyle name="Total 2 2 2 2 2 2 2 2 2" xfId="13182"/>
    <cellStyle name="Total 2 2 2 2 2 2 2 2 2 2" xfId="27504"/>
    <cellStyle name="Total 2 2 2 2 2 2 2 2 3" xfId="18827"/>
    <cellStyle name="Total 2 2 2 2 2 2 2 3" xfId="7990"/>
    <cellStyle name="Total 2 2 2 2 2 2 2 3 2" xfId="10604"/>
    <cellStyle name="Total 2 2 2 2 2 2 2 3 2 2" xfId="16866"/>
    <cellStyle name="Total 2 2 2 2 2 2 2 3 2 2 2" xfId="30282"/>
    <cellStyle name="Total 2 2 2 2 2 2 2 3 2 3" xfId="21611"/>
    <cellStyle name="Total 2 2 2 2 2 2 2 3 3" xfId="14594"/>
    <cellStyle name="Total 2 2 2 2 2 2 2 3 3 2" xfId="28916"/>
    <cellStyle name="Total 2 2 2 2 2 2 2 3 4" xfId="20239"/>
    <cellStyle name="Total 2 2 2 2 2 2 2 4" xfId="4640"/>
    <cellStyle name="Total 2 2 2 2 2 2 2 4 2" xfId="23084"/>
    <cellStyle name="Total 2 2 2 2 2 2 2 5" xfId="14771"/>
    <cellStyle name="Total 2 2 2 2 2 2 3" xfId="2605"/>
    <cellStyle name="Total 2 2 2 2 2 2 3 2" xfId="3751"/>
    <cellStyle name="Total 2 2 2 2 2 2 3 2 2" xfId="9367"/>
    <cellStyle name="Total 2 2 2 2 2 2 3 2 2 2" xfId="15629"/>
    <cellStyle name="Total 2 2 2 2 2 2 3 2 2 2 2" xfId="29045"/>
    <cellStyle name="Total 2 2 2 2 2 2 3 2 2 3" xfId="20374"/>
    <cellStyle name="Total 2 2 2 2 2 2 3 2 3" xfId="4069"/>
    <cellStyle name="Total 2 2 2 2 2 2 3 2 3 2" xfId="22741"/>
    <cellStyle name="Total 2 2 2 2 2 2 3 2 4" xfId="15128"/>
    <cellStyle name="Total 2 2 2 2 2 2 3 3" xfId="13292"/>
    <cellStyle name="Total 2 2 2 2 2 2 3 3 2" xfId="27614"/>
    <cellStyle name="Total 2 2 2 2 2 2 3 4" xfId="18937"/>
    <cellStyle name="Total 2 2 2 2 2 2 4" xfId="5742"/>
    <cellStyle name="Total 2 2 2 2 2 2 4 2" xfId="12295"/>
    <cellStyle name="Total 2 2 2 2 2 2 4 2 2" xfId="26617"/>
    <cellStyle name="Total 2 2 2 2 2 2 4 3" xfId="17940"/>
    <cellStyle name="Total 2 2 2 2 2 2 5" xfId="4747"/>
    <cellStyle name="Total 2 2 2 2 2 2 5 2" xfId="23167"/>
    <cellStyle name="Total 2 2 2 2 2 2 6" xfId="17235"/>
    <cellStyle name="Total 2 2 2 2 2 3" xfId="2606"/>
    <cellStyle name="Total 2 2 2 2 2 3 2" xfId="2607"/>
    <cellStyle name="Total 2 2 2 2 2 3 2 2" xfId="6423"/>
    <cellStyle name="Total 2 2 2 2 2 3 2 2 2" xfId="13006"/>
    <cellStyle name="Total 2 2 2 2 2 3 2 2 2 2" xfId="27328"/>
    <cellStyle name="Total 2 2 2 2 2 3 2 2 3" xfId="18651"/>
    <cellStyle name="Total 2 2 2 2 2 3 2 3" xfId="7757"/>
    <cellStyle name="Total 2 2 2 2 2 3 2 3 2" xfId="10371"/>
    <cellStyle name="Total 2 2 2 2 2 3 2 3 2 2" xfId="16633"/>
    <cellStyle name="Total 2 2 2 2 2 3 2 3 2 2 2" xfId="30049"/>
    <cellStyle name="Total 2 2 2 2 2 3 2 3 2 3" xfId="21378"/>
    <cellStyle name="Total 2 2 2 2 2 3 2 3 3" xfId="14361"/>
    <cellStyle name="Total 2 2 2 2 2 3 2 3 3 2" xfId="28683"/>
    <cellStyle name="Total 2 2 2 2 2 3 2 3 4" xfId="20006"/>
    <cellStyle name="Total 2 2 2 2 2 3 2 4" xfId="3729"/>
    <cellStyle name="Total 2 2 2 2 2 3 2 4 2" xfId="22550"/>
    <cellStyle name="Total 2 2 2 2 2 3 2 5" xfId="17377"/>
    <cellStyle name="Total 2 2 2 2 2 3 3" xfId="2608"/>
    <cellStyle name="Total 2 2 2 2 2 3 3 2" xfId="7950"/>
    <cellStyle name="Total 2 2 2 2 2 3 3 2 2" xfId="10564"/>
    <cellStyle name="Total 2 2 2 2 2 3 3 2 2 2" xfId="16826"/>
    <cellStyle name="Total 2 2 2 2 2 3 3 2 2 2 2" xfId="30242"/>
    <cellStyle name="Total 2 2 2 2 2 3 3 2 2 3" xfId="21571"/>
    <cellStyle name="Total 2 2 2 2 2 3 3 2 3" xfId="14554"/>
    <cellStyle name="Total 2 2 2 2 2 3 3 2 3 2" xfId="28876"/>
    <cellStyle name="Total 2 2 2 2 2 3 3 2 4" xfId="20199"/>
    <cellStyle name="Total 2 2 2 2 2 3 3 3" xfId="12601"/>
    <cellStyle name="Total 2 2 2 2 2 3 3 3 2" xfId="26923"/>
    <cellStyle name="Total 2 2 2 2 2 3 3 4" xfId="18246"/>
    <cellStyle name="Total 2 2 2 2 2 3 4" xfId="5053"/>
    <cellStyle name="Total 2 2 2 2 2 3 4 2" xfId="11600"/>
    <cellStyle name="Total 2 2 2 2 2 3 4 2 2" xfId="25922"/>
    <cellStyle name="Total 2 2 2 2 2 3 4 3" xfId="17252"/>
    <cellStyle name="Total 2 2 2 2 2 3 5" xfId="4587"/>
    <cellStyle name="Total 2 2 2 2 2 3 5 2" xfId="23050"/>
    <cellStyle name="Total 2 2 2 2 2 3 6" xfId="15317"/>
    <cellStyle name="Total 2 2 2 2 2 4" xfId="2609"/>
    <cellStyle name="Total 2 2 2 2 2 4 2" xfId="6409"/>
    <cellStyle name="Total 2 2 2 2 2 4 2 2" xfId="12992"/>
    <cellStyle name="Total 2 2 2 2 2 4 2 2 2" xfId="27314"/>
    <cellStyle name="Total 2 2 2 2 2 4 2 3" xfId="18637"/>
    <cellStyle name="Total 2 2 2 2 2 4 3" xfId="7692"/>
    <cellStyle name="Total 2 2 2 2 2 4 3 2" xfId="10306"/>
    <cellStyle name="Total 2 2 2 2 2 4 3 2 2" xfId="16568"/>
    <cellStyle name="Total 2 2 2 2 2 4 3 2 2 2" xfId="29984"/>
    <cellStyle name="Total 2 2 2 2 2 4 3 2 3" xfId="21313"/>
    <cellStyle name="Total 2 2 2 2 2 4 3 3" xfId="14296"/>
    <cellStyle name="Total 2 2 2 2 2 4 3 3 2" xfId="28618"/>
    <cellStyle name="Total 2 2 2 2 2 4 3 4" xfId="19941"/>
    <cellStyle name="Total 2 2 2 2 2 4 4" xfId="4361"/>
    <cellStyle name="Total 2 2 2 2 2 4 4 2" xfId="22905"/>
    <cellStyle name="Total 2 2 2 2 2 4 5" xfId="15235"/>
    <cellStyle name="Total 2 2 2 2 2 5" xfId="2610"/>
    <cellStyle name="Total 2 2 2 2 2 5 2" xfId="7751"/>
    <cellStyle name="Total 2 2 2 2 2 5 2 2" xfId="10365"/>
    <cellStyle name="Total 2 2 2 2 2 5 2 2 2" xfId="16627"/>
    <cellStyle name="Total 2 2 2 2 2 5 2 2 2 2" xfId="30043"/>
    <cellStyle name="Total 2 2 2 2 2 5 2 2 3" xfId="21372"/>
    <cellStyle name="Total 2 2 2 2 2 5 2 3" xfId="14355"/>
    <cellStyle name="Total 2 2 2 2 2 5 2 3 2" xfId="28677"/>
    <cellStyle name="Total 2 2 2 2 2 5 2 4" xfId="20000"/>
    <cellStyle name="Total 2 2 2 2 2 5 3" xfId="12868"/>
    <cellStyle name="Total 2 2 2 2 2 5 3 2" xfId="27190"/>
    <cellStyle name="Total 2 2 2 2 2 5 4" xfId="18513"/>
    <cellStyle name="Total 2 2 2 2 2 6" xfId="5486"/>
    <cellStyle name="Total 2 2 2 2 2 6 2" xfId="12037"/>
    <cellStyle name="Total 2 2 2 2 2 6 2 2" xfId="26359"/>
    <cellStyle name="Total 2 2 2 2 2 6 3" xfId="17682"/>
    <cellStyle name="Total 2 2 2 2 2 7" xfId="6780"/>
    <cellStyle name="Total 2 2 2 2 2 7 2" xfId="23725"/>
    <cellStyle name="Total 2 2 2 2 2 8" xfId="17150"/>
    <cellStyle name="Total 2 2 2 2 3" xfId="2611"/>
    <cellStyle name="Total 2 2 2 2 3 2" xfId="2612"/>
    <cellStyle name="Total 2 2 2 2 3 2 2" xfId="2613"/>
    <cellStyle name="Total 2 2 2 2 3 2 2 2" xfId="5919"/>
    <cellStyle name="Total 2 2 2 2 3 2 2 2 2" xfId="12474"/>
    <cellStyle name="Total 2 2 2 2 3 2 2 2 2 2" xfId="26796"/>
    <cellStyle name="Total 2 2 2 2 3 2 2 2 3" xfId="18119"/>
    <cellStyle name="Total 2 2 2 2 3 2 2 3" xfId="5295"/>
    <cellStyle name="Total 2 2 2 2 3 2 2 3 2" xfId="9604"/>
    <cellStyle name="Total 2 2 2 2 3 2 2 3 2 2" xfId="15866"/>
    <cellStyle name="Total 2 2 2 2 3 2 2 3 2 2 2" xfId="29282"/>
    <cellStyle name="Total 2 2 2 2 3 2 2 3 2 3" xfId="20611"/>
    <cellStyle name="Total 2 2 2 2 3 2 2 3 3" xfId="11845"/>
    <cellStyle name="Total 2 2 2 2 3 2 2 3 3 2" xfId="26167"/>
    <cellStyle name="Total 2 2 2 2 3 2 2 3 4" xfId="17490"/>
    <cellStyle name="Total 2 2 2 2 3 2 2 4" xfId="4928"/>
    <cellStyle name="Total 2 2 2 2 3 2 2 4 2" xfId="23266"/>
    <cellStyle name="Total 2 2 2 2 3 2 2 5" xfId="6618"/>
    <cellStyle name="Total 2 2 2 2 3 2 3" xfId="2614"/>
    <cellStyle name="Total 2 2 2 2 3 2 3 2" xfId="7936"/>
    <cellStyle name="Total 2 2 2 2 3 2 3 2 2" xfId="10550"/>
    <cellStyle name="Total 2 2 2 2 3 2 3 2 2 2" xfId="16812"/>
    <cellStyle name="Total 2 2 2 2 3 2 3 2 2 2 2" xfId="30228"/>
    <cellStyle name="Total 2 2 2 2 3 2 3 2 2 3" xfId="21557"/>
    <cellStyle name="Total 2 2 2 2 3 2 3 2 3" xfId="14540"/>
    <cellStyle name="Total 2 2 2 2 3 2 3 2 3 2" xfId="28862"/>
    <cellStyle name="Total 2 2 2 2 3 2 3 2 4" xfId="20185"/>
    <cellStyle name="Total 2 2 2 2 3 2 3 3" xfId="13328"/>
    <cellStyle name="Total 2 2 2 2 3 2 3 3 2" xfId="27650"/>
    <cellStyle name="Total 2 2 2 2 3 2 3 4" xfId="18973"/>
    <cellStyle name="Total 2 2 2 2 3 2 4" xfId="5778"/>
    <cellStyle name="Total 2 2 2 2 3 2 4 2" xfId="12331"/>
    <cellStyle name="Total 2 2 2 2 3 2 4 2 2" xfId="26653"/>
    <cellStyle name="Total 2 2 2 2 3 2 4 3" xfId="17976"/>
    <cellStyle name="Total 2 2 2 2 3 2 5" xfId="3802"/>
    <cellStyle name="Total 2 2 2 2 3 2 5 2" xfId="22590"/>
    <cellStyle name="Total 2 2 2 2 3 2 6" xfId="3239"/>
    <cellStyle name="Total 2 2 2 2 3 3" xfId="2615"/>
    <cellStyle name="Total 2 2 2 2 3 3 2" xfId="2616"/>
    <cellStyle name="Total 2 2 2 2 3 3 2 2" xfId="6961"/>
    <cellStyle name="Total 2 2 2 2 3 3 2 2 2" xfId="13565"/>
    <cellStyle name="Total 2 2 2 2 3 3 2 2 2 2" xfId="27887"/>
    <cellStyle name="Total 2 2 2 2 3 3 2 2 3" xfId="19210"/>
    <cellStyle name="Total 2 2 2 2 3 3 2 3" xfId="7200"/>
    <cellStyle name="Total 2 2 2 2 3 3 2 3 2" xfId="9814"/>
    <cellStyle name="Total 2 2 2 2 3 3 2 3 2 2" xfId="16076"/>
    <cellStyle name="Total 2 2 2 2 3 3 2 3 2 2 2" xfId="29492"/>
    <cellStyle name="Total 2 2 2 2 3 3 2 3 2 3" xfId="20821"/>
    <cellStyle name="Total 2 2 2 2 3 3 2 3 3" xfId="13804"/>
    <cellStyle name="Total 2 2 2 2 3 3 2 3 3 2" xfId="28126"/>
    <cellStyle name="Total 2 2 2 2 3 3 2 3 4" xfId="19449"/>
    <cellStyle name="Total 2 2 2 2 3 3 2 4" xfId="11464"/>
    <cellStyle name="Total 2 2 2 2 3 3 2 4 2" xfId="25786"/>
    <cellStyle name="Total 2 2 2 2 3 3 2 5" xfId="17181"/>
    <cellStyle name="Total 2 2 2 2 3 3 3" xfId="2617"/>
    <cellStyle name="Total 2 2 2 2 3 3 3 2" xfId="8031"/>
    <cellStyle name="Total 2 2 2 2 3 3 3 2 2" xfId="10645"/>
    <cellStyle name="Total 2 2 2 2 3 3 3 2 2 2" xfId="16907"/>
    <cellStyle name="Total 2 2 2 2 3 3 3 2 2 2 2" xfId="30323"/>
    <cellStyle name="Total 2 2 2 2 3 3 3 2 2 3" xfId="21652"/>
    <cellStyle name="Total 2 2 2 2 3 3 3 2 3" xfId="14635"/>
    <cellStyle name="Total 2 2 2 2 3 3 3 2 3 2" xfId="28957"/>
    <cellStyle name="Total 2 2 2 2 3 3 3 2 4" xfId="20280"/>
    <cellStyle name="Total 2 2 2 2 3 3 3 3" xfId="13374"/>
    <cellStyle name="Total 2 2 2 2 3 3 3 3 2" xfId="27696"/>
    <cellStyle name="Total 2 2 2 2 3 3 3 4" xfId="19019"/>
    <cellStyle name="Total 2 2 2 2 3 3 4" xfId="5826"/>
    <cellStyle name="Total 2 2 2 2 3 3 4 2" xfId="12379"/>
    <cellStyle name="Total 2 2 2 2 3 3 4 2 2" xfId="26701"/>
    <cellStyle name="Total 2 2 2 2 3 3 4 3" xfId="18024"/>
    <cellStyle name="Total 2 2 2 2 3 3 5" xfId="5124"/>
    <cellStyle name="Total 2 2 2 2 3 3 5 2" xfId="23327"/>
    <cellStyle name="Total 2 2 2 2 3 3 6" xfId="14746"/>
    <cellStyle name="Total 2 2 2 2 3 4" xfId="2618"/>
    <cellStyle name="Total 2 2 2 2 3 4 2" xfId="6865"/>
    <cellStyle name="Total 2 2 2 2 3 4 2 2" xfId="13469"/>
    <cellStyle name="Total 2 2 2 2 3 4 2 2 2" xfId="27791"/>
    <cellStyle name="Total 2 2 2 2 3 4 2 3" xfId="19114"/>
    <cellStyle name="Total 2 2 2 2 3 4 3" xfId="7337"/>
    <cellStyle name="Total 2 2 2 2 3 4 3 2" xfId="9951"/>
    <cellStyle name="Total 2 2 2 2 3 4 3 2 2" xfId="16213"/>
    <cellStyle name="Total 2 2 2 2 3 4 3 2 2 2" xfId="29629"/>
    <cellStyle name="Total 2 2 2 2 3 4 3 2 3" xfId="20958"/>
    <cellStyle name="Total 2 2 2 2 3 4 3 3" xfId="13941"/>
    <cellStyle name="Total 2 2 2 2 3 4 3 3 2" xfId="28263"/>
    <cellStyle name="Total 2 2 2 2 3 4 3 4" xfId="19586"/>
    <cellStyle name="Total 2 2 2 2 3 4 4" xfId="11324"/>
    <cellStyle name="Total 2 2 2 2 3 4 4 2" xfId="25646"/>
    <cellStyle name="Total 2 2 2 2 3 4 5" xfId="3777"/>
    <cellStyle name="Total 2 2 2 2 3 5" xfId="2619"/>
    <cellStyle name="Total 2 2 2 2 3 5 2" xfId="7452"/>
    <cellStyle name="Total 2 2 2 2 3 5 2 2" xfId="10066"/>
    <cellStyle name="Total 2 2 2 2 3 5 2 2 2" xfId="16328"/>
    <cellStyle name="Total 2 2 2 2 3 5 2 2 2 2" xfId="29744"/>
    <cellStyle name="Total 2 2 2 2 3 5 2 2 3" xfId="21073"/>
    <cellStyle name="Total 2 2 2 2 3 5 2 3" xfId="14056"/>
    <cellStyle name="Total 2 2 2 2 3 5 2 3 2" xfId="28378"/>
    <cellStyle name="Total 2 2 2 2 3 5 2 4" xfId="19701"/>
    <cellStyle name="Total 2 2 2 2 3 5 3" xfId="12904"/>
    <cellStyle name="Total 2 2 2 2 3 5 3 2" xfId="27226"/>
    <cellStyle name="Total 2 2 2 2 3 5 4" xfId="18549"/>
    <cellStyle name="Total 2 2 2 2 3 6" xfId="5528"/>
    <cellStyle name="Total 2 2 2 2 3 6 2" xfId="12079"/>
    <cellStyle name="Total 2 2 2 2 3 6 2 2" xfId="26401"/>
    <cellStyle name="Total 2 2 2 2 3 6 3" xfId="17724"/>
    <cellStyle name="Total 2 2 2 2 3 7" xfId="6306"/>
    <cellStyle name="Total 2 2 2 2 3 7 2" xfId="23502"/>
    <cellStyle name="Total 2 2 2 2 3 8" xfId="17397"/>
    <cellStyle name="Total 2 2 2 2 4" xfId="2620"/>
    <cellStyle name="Total 2 2 2 2 4 2" xfId="2621"/>
    <cellStyle name="Total 2 2 2 2 4 2 2" xfId="2622"/>
    <cellStyle name="Total 2 2 2 2 4 2 2 2" xfId="5968"/>
    <cellStyle name="Total 2 2 2 2 4 2 2 2 2" xfId="12526"/>
    <cellStyle name="Total 2 2 2 2 4 2 2 2 2 2" xfId="26848"/>
    <cellStyle name="Total 2 2 2 2 4 2 2 2 3" xfId="18171"/>
    <cellStyle name="Total 2 2 2 2 4 2 2 3" xfId="5305"/>
    <cellStyle name="Total 2 2 2 2 4 2 2 3 2" xfId="9614"/>
    <cellStyle name="Total 2 2 2 2 4 2 2 3 2 2" xfId="15876"/>
    <cellStyle name="Total 2 2 2 2 4 2 2 3 2 2 2" xfId="29292"/>
    <cellStyle name="Total 2 2 2 2 4 2 2 3 2 3" xfId="20621"/>
    <cellStyle name="Total 2 2 2 2 4 2 2 3 3" xfId="11855"/>
    <cellStyle name="Total 2 2 2 2 4 2 2 3 3 2" xfId="26177"/>
    <cellStyle name="Total 2 2 2 2 4 2 2 3 4" xfId="17500"/>
    <cellStyle name="Total 2 2 2 2 4 2 2 4" xfId="4177"/>
    <cellStyle name="Total 2 2 2 2 4 2 2 4 2" xfId="22800"/>
    <cellStyle name="Total 2 2 2 2 4 2 2 5" xfId="14790"/>
    <cellStyle name="Total 2 2 2 2 4 2 3" xfId="2623"/>
    <cellStyle name="Total 2 2 2 2 4 2 3 2" xfId="7693"/>
    <cellStyle name="Total 2 2 2 2 4 2 3 2 2" xfId="10307"/>
    <cellStyle name="Total 2 2 2 2 4 2 3 2 2 2" xfId="16569"/>
    <cellStyle name="Total 2 2 2 2 4 2 3 2 2 2 2" xfId="29985"/>
    <cellStyle name="Total 2 2 2 2 4 2 3 2 2 3" xfId="21314"/>
    <cellStyle name="Total 2 2 2 2 4 2 3 2 3" xfId="14297"/>
    <cellStyle name="Total 2 2 2 2 4 2 3 2 3 2" xfId="28619"/>
    <cellStyle name="Total 2 2 2 2 4 2 3 2 4" xfId="19942"/>
    <cellStyle name="Total 2 2 2 2 4 2 3 3" xfId="13208"/>
    <cellStyle name="Total 2 2 2 2 4 2 3 3 2" xfId="27530"/>
    <cellStyle name="Total 2 2 2 2 4 2 3 4" xfId="18853"/>
    <cellStyle name="Total 2 2 2 2 4 2 4" xfId="5647"/>
    <cellStyle name="Total 2 2 2 2 4 2 4 2" xfId="12200"/>
    <cellStyle name="Total 2 2 2 2 4 2 4 2 2" xfId="26522"/>
    <cellStyle name="Total 2 2 2 2 4 2 4 3" xfId="17845"/>
    <cellStyle name="Total 2 2 2 2 4 2 5" xfId="4037"/>
    <cellStyle name="Total 2 2 2 2 4 2 5 2" xfId="22715"/>
    <cellStyle name="Total 2 2 2 2 4 2 6" xfId="15279"/>
    <cellStyle name="Total 2 2 2 2 4 3" xfId="2624"/>
    <cellStyle name="Total 2 2 2 2 4 3 2" xfId="2625"/>
    <cellStyle name="Total 2 2 2 2 4 3 2 2" xfId="6970"/>
    <cellStyle name="Total 2 2 2 2 4 3 2 2 2" xfId="13574"/>
    <cellStyle name="Total 2 2 2 2 4 3 2 2 2 2" xfId="27896"/>
    <cellStyle name="Total 2 2 2 2 4 3 2 2 3" xfId="19219"/>
    <cellStyle name="Total 2 2 2 2 4 3 2 3" xfId="5266"/>
    <cellStyle name="Total 2 2 2 2 4 3 2 3 2" xfId="9575"/>
    <cellStyle name="Total 2 2 2 2 4 3 2 3 2 2" xfId="15837"/>
    <cellStyle name="Total 2 2 2 2 4 3 2 3 2 2 2" xfId="29253"/>
    <cellStyle name="Total 2 2 2 2 4 3 2 3 2 3" xfId="20582"/>
    <cellStyle name="Total 2 2 2 2 4 3 2 3 3" xfId="11816"/>
    <cellStyle name="Total 2 2 2 2 4 3 2 3 3 2" xfId="26138"/>
    <cellStyle name="Total 2 2 2 2 4 3 2 3 4" xfId="17461"/>
    <cellStyle name="Total 2 2 2 2 4 3 2 4" xfId="11477"/>
    <cellStyle name="Total 2 2 2 2 4 3 2 4 2" xfId="25799"/>
    <cellStyle name="Total 2 2 2 2 4 3 2 5" xfId="15399"/>
    <cellStyle name="Total 2 2 2 2 4 3 3" xfId="2626"/>
    <cellStyle name="Total 2 2 2 2 4 3 3 2" xfId="4111"/>
    <cellStyle name="Total 2 2 2 2 4 3 3 2 2" xfId="9430"/>
    <cellStyle name="Total 2 2 2 2 4 3 3 2 2 2" xfId="15692"/>
    <cellStyle name="Total 2 2 2 2 4 3 3 2 2 2 2" xfId="29108"/>
    <cellStyle name="Total 2 2 2 2 4 3 3 2 2 3" xfId="20437"/>
    <cellStyle name="Total 2 2 2 2 4 3 3 2 3" xfId="4105"/>
    <cellStyle name="Total 2 2 2 2 4 3 3 2 3 2" xfId="22760"/>
    <cellStyle name="Total 2 2 2 2 4 3 3 2 4" xfId="14911"/>
    <cellStyle name="Total 2 2 2 2 4 3 3 3" xfId="12617"/>
    <cellStyle name="Total 2 2 2 2 4 3 3 3 2" xfId="26939"/>
    <cellStyle name="Total 2 2 2 2 4 3 3 4" xfId="18262"/>
    <cellStyle name="Total 2 2 2 2 4 3 4" xfId="5171"/>
    <cellStyle name="Total 2 2 2 2 4 3 4 2" xfId="11720"/>
    <cellStyle name="Total 2 2 2 2 4 3 4 2 2" xfId="26042"/>
    <cellStyle name="Total 2 2 2 2 4 3 4 3" xfId="3274"/>
    <cellStyle name="Total 2 2 2 2 4 3 5" xfId="4129"/>
    <cellStyle name="Total 2 2 2 2 4 3 5 2" xfId="22771"/>
    <cellStyle name="Total 2 2 2 2 4 3 6" xfId="15266"/>
    <cellStyle name="Total 2 2 2 2 4 4" xfId="2627"/>
    <cellStyle name="Total 2 2 2 2 4 4 2" xfId="6147"/>
    <cellStyle name="Total 2 2 2 2 4 4 2 2" xfId="12717"/>
    <cellStyle name="Total 2 2 2 2 4 4 2 2 2" xfId="27039"/>
    <cellStyle name="Total 2 2 2 2 4 4 2 3" xfId="18362"/>
    <cellStyle name="Total 2 2 2 2 4 4 3" xfId="7999"/>
    <cellStyle name="Total 2 2 2 2 4 4 3 2" xfId="10613"/>
    <cellStyle name="Total 2 2 2 2 4 4 3 2 2" xfId="16875"/>
    <cellStyle name="Total 2 2 2 2 4 4 3 2 2 2" xfId="30291"/>
    <cellStyle name="Total 2 2 2 2 4 4 3 2 3" xfId="21620"/>
    <cellStyle name="Total 2 2 2 2 4 4 3 3" xfId="14603"/>
    <cellStyle name="Total 2 2 2 2 4 4 3 3 2" xfId="28925"/>
    <cellStyle name="Total 2 2 2 2 4 4 3 4" xfId="20248"/>
    <cellStyle name="Total 2 2 2 2 4 4 4" xfId="3195"/>
    <cellStyle name="Total 2 2 2 2 4 4 4 2" xfId="22436"/>
    <cellStyle name="Total 2 2 2 2 4 4 5" xfId="4600"/>
    <cellStyle name="Total 2 2 2 2 4 5" xfId="2628"/>
    <cellStyle name="Total 2 2 2 2 4 5 2" xfId="8032"/>
    <cellStyle name="Total 2 2 2 2 4 5 2 2" xfId="10646"/>
    <cellStyle name="Total 2 2 2 2 4 5 2 2 2" xfId="16908"/>
    <cellStyle name="Total 2 2 2 2 4 5 2 2 2 2" xfId="30324"/>
    <cellStyle name="Total 2 2 2 2 4 5 2 2 3" xfId="21653"/>
    <cellStyle name="Total 2 2 2 2 4 5 2 3" xfId="14636"/>
    <cellStyle name="Total 2 2 2 2 4 5 2 3 2" xfId="28958"/>
    <cellStyle name="Total 2 2 2 2 4 5 2 4" xfId="20281"/>
    <cellStyle name="Total 2 2 2 2 4 5 3" xfId="12469"/>
    <cellStyle name="Total 2 2 2 2 4 5 3 2" xfId="26791"/>
    <cellStyle name="Total 2 2 2 2 4 5 4" xfId="18114"/>
    <cellStyle name="Total 2 2 2 2 4 6" xfId="5048"/>
    <cellStyle name="Total 2 2 2 2 4 6 2" xfId="11595"/>
    <cellStyle name="Total 2 2 2 2 4 6 2 2" xfId="25917"/>
    <cellStyle name="Total 2 2 2 2 4 6 3" xfId="4203"/>
    <cellStyle name="Total 2 2 2 2 4 7" xfId="4899"/>
    <cellStyle name="Total 2 2 2 2 4 7 2" xfId="23255"/>
    <cellStyle name="Total 2 2 2 2 4 8" xfId="17352"/>
    <cellStyle name="Total 2 2 2 2 5" xfId="2629"/>
    <cellStyle name="Total 2 2 2 2 5 2" xfId="2630"/>
    <cellStyle name="Total 2 2 2 2 5 2 2" xfId="2631"/>
    <cellStyle name="Total 2 2 2 2 5 2 2 2" xfId="6055"/>
    <cellStyle name="Total 2 2 2 2 5 2 2 2 2" xfId="12621"/>
    <cellStyle name="Total 2 2 2 2 5 2 2 2 2 2" xfId="26943"/>
    <cellStyle name="Total 2 2 2 2 5 2 2 2 3" xfId="18266"/>
    <cellStyle name="Total 2 2 2 2 5 2 2 3" xfId="7060"/>
    <cellStyle name="Total 2 2 2 2 5 2 2 3 2" xfId="9674"/>
    <cellStyle name="Total 2 2 2 2 5 2 2 3 2 2" xfId="15936"/>
    <cellStyle name="Total 2 2 2 2 5 2 2 3 2 2 2" xfId="29352"/>
    <cellStyle name="Total 2 2 2 2 5 2 2 3 2 3" xfId="20681"/>
    <cellStyle name="Total 2 2 2 2 5 2 2 3 3" xfId="13664"/>
    <cellStyle name="Total 2 2 2 2 5 2 2 3 3 2" xfId="27986"/>
    <cellStyle name="Total 2 2 2 2 5 2 2 3 4" xfId="19309"/>
    <cellStyle name="Total 2 2 2 2 5 2 2 4" xfId="4480"/>
    <cellStyle name="Total 2 2 2 2 5 2 2 4 2" xfId="22978"/>
    <cellStyle name="Total 2 2 2 2 5 2 2 5" xfId="17328"/>
    <cellStyle name="Total 2 2 2 2 5 2 3" xfId="2632"/>
    <cellStyle name="Total 2 2 2 2 5 2 3 2" xfId="7194"/>
    <cellStyle name="Total 2 2 2 2 5 2 3 2 2" xfId="9808"/>
    <cellStyle name="Total 2 2 2 2 5 2 3 2 2 2" xfId="16070"/>
    <cellStyle name="Total 2 2 2 2 5 2 3 2 2 2 2" xfId="29486"/>
    <cellStyle name="Total 2 2 2 2 5 2 3 2 2 3" xfId="20815"/>
    <cellStyle name="Total 2 2 2 2 5 2 3 2 3" xfId="13798"/>
    <cellStyle name="Total 2 2 2 2 5 2 3 2 3 2" xfId="28120"/>
    <cellStyle name="Total 2 2 2 2 5 2 3 2 4" xfId="19443"/>
    <cellStyle name="Total 2 2 2 2 5 2 3 3" xfId="13177"/>
    <cellStyle name="Total 2 2 2 2 5 2 3 3 2" xfId="27499"/>
    <cellStyle name="Total 2 2 2 2 5 2 3 4" xfId="18822"/>
    <cellStyle name="Total 2 2 2 2 5 2 4" xfId="5600"/>
    <cellStyle name="Total 2 2 2 2 5 2 4 2" xfId="12152"/>
    <cellStyle name="Total 2 2 2 2 5 2 4 2 2" xfId="26474"/>
    <cellStyle name="Total 2 2 2 2 5 2 4 3" xfId="17797"/>
    <cellStyle name="Total 2 2 2 2 5 2 5" xfId="3970"/>
    <cellStyle name="Total 2 2 2 2 5 2 5 2" xfId="22676"/>
    <cellStyle name="Total 2 2 2 2 5 2 6" xfId="4274"/>
    <cellStyle name="Total 2 2 2 2 5 3" xfId="2633"/>
    <cellStyle name="Total 2 2 2 2 5 3 2" xfId="5921"/>
    <cellStyle name="Total 2 2 2 2 5 3 2 2" xfId="12476"/>
    <cellStyle name="Total 2 2 2 2 5 3 2 2 2" xfId="26798"/>
    <cellStyle name="Total 2 2 2 2 5 3 2 3" xfId="18121"/>
    <cellStyle name="Total 2 2 2 2 5 3 3" xfId="7210"/>
    <cellStyle name="Total 2 2 2 2 5 3 3 2" xfId="9824"/>
    <cellStyle name="Total 2 2 2 2 5 3 3 2 2" xfId="16086"/>
    <cellStyle name="Total 2 2 2 2 5 3 3 2 2 2" xfId="29502"/>
    <cellStyle name="Total 2 2 2 2 5 3 3 2 3" xfId="20831"/>
    <cellStyle name="Total 2 2 2 2 5 3 3 3" xfId="13814"/>
    <cellStyle name="Total 2 2 2 2 5 3 3 3 2" xfId="28136"/>
    <cellStyle name="Total 2 2 2 2 5 3 3 4" xfId="19459"/>
    <cellStyle name="Total 2 2 2 2 5 3 4" xfId="4423"/>
    <cellStyle name="Total 2 2 2 2 5 3 4 2" xfId="22941"/>
    <cellStyle name="Total 2 2 2 2 5 3 5" xfId="4372"/>
    <cellStyle name="Total 2 2 2 2 5 4" xfId="2634"/>
    <cellStyle name="Total 2 2 2 2 5 4 2" xfId="7367"/>
    <cellStyle name="Total 2 2 2 2 5 4 2 2" xfId="9981"/>
    <cellStyle name="Total 2 2 2 2 5 4 2 2 2" xfId="16243"/>
    <cellStyle name="Total 2 2 2 2 5 4 2 2 2 2" xfId="29659"/>
    <cellStyle name="Total 2 2 2 2 5 4 2 2 3" xfId="20988"/>
    <cellStyle name="Total 2 2 2 2 5 4 2 3" xfId="13971"/>
    <cellStyle name="Total 2 2 2 2 5 4 2 3 2" xfId="28293"/>
    <cellStyle name="Total 2 2 2 2 5 4 2 4" xfId="19616"/>
    <cellStyle name="Total 2 2 2 2 5 4 3" xfId="12838"/>
    <cellStyle name="Total 2 2 2 2 5 4 3 2" xfId="27160"/>
    <cellStyle name="Total 2 2 2 2 5 4 4" xfId="18483"/>
    <cellStyle name="Total 2 2 2 2 5 5" xfId="5412"/>
    <cellStyle name="Total 2 2 2 2 5 5 2" xfId="11962"/>
    <cellStyle name="Total 2 2 2 2 5 5 2 2" xfId="26284"/>
    <cellStyle name="Total 2 2 2 2 5 5 3" xfId="17607"/>
    <cellStyle name="Total 2 2 2 2 5 6" xfId="4087"/>
    <cellStyle name="Total 2 2 2 2 5 6 2" xfId="22753"/>
    <cellStyle name="Total 2 2 2 2 5 7" xfId="15025"/>
    <cellStyle name="Total 2 2 2 2 6" xfId="2635"/>
    <cellStyle name="Total 2 2 2 2 6 2" xfId="2636"/>
    <cellStyle name="Total 2 2 2 2 6 2 2" xfId="5948"/>
    <cellStyle name="Total 2 2 2 2 6 2 2 2" xfId="12505"/>
    <cellStyle name="Total 2 2 2 2 6 2 2 2 2" xfId="26827"/>
    <cellStyle name="Total 2 2 2 2 6 2 2 3" xfId="18150"/>
    <cellStyle name="Total 2 2 2 2 6 2 3" xfId="7706"/>
    <cellStyle name="Total 2 2 2 2 6 2 3 2" xfId="10320"/>
    <cellStyle name="Total 2 2 2 2 6 2 3 2 2" xfId="16582"/>
    <cellStyle name="Total 2 2 2 2 6 2 3 2 2 2" xfId="29998"/>
    <cellStyle name="Total 2 2 2 2 6 2 3 2 3" xfId="21327"/>
    <cellStyle name="Total 2 2 2 2 6 2 3 3" xfId="14310"/>
    <cellStyle name="Total 2 2 2 2 6 2 3 3 2" xfId="28632"/>
    <cellStyle name="Total 2 2 2 2 6 2 3 4" xfId="19955"/>
    <cellStyle name="Total 2 2 2 2 6 2 4" xfId="4262"/>
    <cellStyle name="Total 2 2 2 2 6 2 4 2" xfId="22857"/>
    <cellStyle name="Total 2 2 2 2 6 2 5" xfId="15063"/>
    <cellStyle name="Total 2 2 2 2 6 3" xfId="2637"/>
    <cellStyle name="Total 2 2 2 2 6 3 2" xfId="7338"/>
    <cellStyle name="Total 2 2 2 2 6 3 2 2" xfId="9952"/>
    <cellStyle name="Total 2 2 2 2 6 3 2 2 2" xfId="16214"/>
    <cellStyle name="Total 2 2 2 2 6 3 2 2 2 2" xfId="29630"/>
    <cellStyle name="Total 2 2 2 2 6 3 2 2 3" xfId="20959"/>
    <cellStyle name="Total 2 2 2 2 6 3 2 3" xfId="13942"/>
    <cellStyle name="Total 2 2 2 2 6 3 2 3 2" xfId="28264"/>
    <cellStyle name="Total 2 2 2 2 6 3 2 4" xfId="19587"/>
    <cellStyle name="Total 2 2 2 2 6 3 3" xfId="13401"/>
    <cellStyle name="Total 2 2 2 2 6 3 3 2" xfId="27723"/>
    <cellStyle name="Total 2 2 2 2 6 3 4" xfId="19046"/>
    <cellStyle name="Total 2 2 2 2 6 4" xfId="5865"/>
    <cellStyle name="Total 2 2 2 2 6 4 2" xfId="12418"/>
    <cellStyle name="Total 2 2 2 2 6 4 2 2" xfId="26740"/>
    <cellStyle name="Total 2 2 2 2 6 4 3" xfId="18063"/>
    <cellStyle name="Total 2 2 2 2 6 5" xfId="6347"/>
    <cellStyle name="Total 2 2 2 2 6 5 2" xfId="23533"/>
    <cellStyle name="Total 2 2 2 2 6 6" xfId="14974"/>
    <cellStyle name="Total 2 2 2 2 7" xfId="2638"/>
    <cellStyle name="Total 2 2 2 2 7 2" xfId="6228"/>
    <cellStyle name="Total 2 2 2 2 7 2 2" xfId="12803"/>
    <cellStyle name="Total 2 2 2 2 7 2 2 2" xfId="27125"/>
    <cellStyle name="Total 2 2 2 2 7 2 3" xfId="18448"/>
    <cellStyle name="Total 2 2 2 2 7 3" xfId="7744"/>
    <cellStyle name="Total 2 2 2 2 7 3 2" xfId="10358"/>
    <cellStyle name="Total 2 2 2 2 7 3 2 2" xfId="16620"/>
    <cellStyle name="Total 2 2 2 2 7 3 2 2 2" xfId="30036"/>
    <cellStyle name="Total 2 2 2 2 7 3 2 3" xfId="21365"/>
    <cellStyle name="Total 2 2 2 2 7 3 3" xfId="14348"/>
    <cellStyle name="Total 2 2 2 2 7 3 3 2" xfId="28670"/>
    <cellStyle name="Total 2 2 2 2 7 3 4" xfId="19993"/>
    <cellStyle name="Total 2 2 2 2 7 4" xfId="4117"/>
    <cellStyle name="Total 2 2 2 2 7 4 2" xfId="22762"/>
    <cellStyle name="Total 2 2 2 2 7 5" xfId="17301"/>
    <cellStyle name="Total 2 2 2 2 8" xfId="2639"/>
    <cellStyle name="Total 2 2 2 2 8 2" xfId="7440"/>
    <cellStyle name="Total 2 2 2 2 8 2 2" xfId="10054"/>
    <cellStyle name="Total 2 2 2 2 8 2 2 2" xfId="16316"/>
    <cellStyle name="Total 2 2 2 2 8 2 2 2 2" xfId="29732"/>
    <cellStyle name="Total 2 2 2 2 8 2 2 3" xfId="21061"/>
    <cellStyle name="Total 2 2 2 2 8 2 3" xfId="14044"/>
    <cellStyle name="Total 2 2 2 2 8 2 3 2" xfId="28366"/>
    <cellStyle name="Total 2 2 2 2 8 2 4" xfId="19689"/>
    <cellStyle name="Total 2 2 2 2 8 3" xfId="12277"/>
    <cellStyle name="Total 2 2 2 2 8 3 2" xfId="26599"/>
    <cellStyle name="Total 2 2 2 2 8 4" xfId="17922"/>
    <cellStyle name="Total 2 2 2 2 9" xfId="5146"/>
    <cellStyle name="Total 2 2 2 2 9 2" xfId="11695"/>
    <cellStyle name="Total 2 2 2 2 9 2 2" xfId="26017"/>
    <cellStyle name="Total 2 2 2 2 9 3" xfId="3266"/>
    <cellStyle name="Total 2 2 2 3" xfId="2640"/>
    <cellStyle name="Total 2 2 2 3 2" xfId="2641"/>
    <cellStyle name="Total 2 2 2 3 2 2" xfId="2642"/>
    <cellStyle name="Total 2 2 2 3 2 2 2" xfId="7026"/>
    <cellStyle name="Total 2 2 2 3 2 2 2 2" xfId="13630"/>
    <cellStyle name="Total 2 2 2 3 2 2 2 2 2" xfId="27952"/>
    <cellStyle name="Total 2 2 2 3 2 2 2 3" xfId="19275"/>
    <cellStyle name="Total 2 2 2 3 2 2 3" xfId="7787"/>
    <cellStyle name="Total 2 2 2 3 2 2 3 2" xfId="10401"/>
    <cellStyle name="Total 2 2 2 3 2 2 3 2 2" xfId="16663"/>
    <cellStyle name="Total 2 2 2 3 2 2 3 2 2 2" xfId="30079"/>
    <cellStyle name="Total 2 2 2 3 2 2 3 2 3" xfId="21408"/>
    <cellStyle name="Total 2 2 2 3 2 2 3 3" xfId="14391"/>
    <cellStyle name="Total 2 2 2 3 2 2 3 3 2" xfId="28713"/>
    <cellStyle name="Total 2 2 2 3 2 2 3 4" xfId="20036"/>
    <cellStyle name="Total 2 2 2 3 2 2 4" xfId="11564"/>
    <cellStyle name="Total 2 2 2 3 2 2 4 2" xfId="25886"/>
    <cellStyle name="Total 2 2 2 3 2 2 5" xfId="15343"/>
    <cellStyle name="Total 2 2 2 3 2 3" xfId="2643"/>
    <cellStyle name="Total 2 2 2 3 2 3 2" xfId="7783"/>
    <cellStyle name="Total 2 2 2 3 2 3 2 2" xfId="10397"/>
    <cellStyle name="Total 2 2 2 3 2 3 2 2 2" xfId="16659"/>
    <cellStyle name="Total 2 2 2 3 2 3 2 2 2 2" xfId="30075"/>
    <cellStyle name="Total 2 2 2 3 2 3 2 2 3" xfId="21404"/>
    <cellStyle name="Total 2 2 2 3 2 3 2 3" xfId="14387"/>
    <cellStyle name="Total 2 2 2 3 2 3 2 3 2" xfId="28709"/>
    <cellStyle name="Total 2 2 2 3 2 3 2 4" xfId="20032"/>
    <cellStyle name="Total 2 2 2 3 2 3 3" xfId="13215"/>
    <cellStyle name="Total 2 2 2 3 2 3 3 2" xfId="27537"/>
    <cellStyle name="Total 2 2 2 3 2 3 4" xfId="18860"/>
    <cellStyle name="Total 2 2 2 3 2 4" xfId="5655"/>
    <cellStyle name="Total 2 2 2 3 2 4 2" xfId="12208"/>
    <cellStyle name="Total 2 2 2 3 2 4 2 2" xfId="26530"/>
    <cellStyle name="Total 2 2 2 3 2 4 3" xfId="17853"/>
    <cellStyle name="Total 2 2 2 3 2 5" xfId="4855"/>
    <cellStyle name="Total 2 2 2 3 2 5 2" xfId="23224"/>
    <cellStyle name="Total 2 2 2 3 2 6" xfId="6462"/>
    <cellStyle name="Total 2 2 2 3 3" xfId="2644"/>
    <cellStyle name="Total 2 2 2 3 3 2" xfId="2645"/>
    <cellStyle name="Total 2 2 2 3 3 2 2" xfId="5686"/>
    <cellStyle name="Total 2 2 2 3 3 2 2 2" xfId="12239"/>
    <cellStyle name="Total 2 2 2 3 3 2 2 2 2" xfId="26561"/>
    <cellStyle name="Total 2 2 2 3 3 2 2 3" xfId="17884"/>
    <cellStyle name="Total 2 2 2 3 3 2 3" xfId="7892"/>
    <cellStyle name="Total 2 2 2 3 3 2 3 2" xfId="10506"/>
    <cellStyle name="Total 2 2 2 3 3 2 3 2 2" xfId="16768"/>
    <cellStyle name="Total 2 2 2 3 3 2 3 2 2 2" xfId="30184"/>
    <cellStyle name="Total 2 2 2 3 3 2 3 2 3" xfId="21513"/>
    <cellStyle name="Total 2 2 2 3 3 2 3 3" xfId="14496"/>
    <cellStyle name="Total 2 2 2 3 3 2 3 3 2" xfId="28818"/>
    <cellStyle name="Total 2 2 2 3 3 2 3 4" xfId="20141"/>
    <cellStyle name="Total 2 2 2 3 3 2 4" xfId="6171"/>
    <cellStyle name="Total 2 2 2 3 3 2 4 2" xfId="23440"/>
    <cellStyle name="Total 2 2 2 3 3 2 5" xfId="15385"/>
    <cellStyle name="Total 2 2 2 3 3 3" xfId="2646"/>
    <cellStyle name="Total 2 2 2 3 3 3 2" xfId="7973"/>
    <cellStyle name="Total 2 2 2 3 3 3 2 2" xfId="10587"/>
    <cellStyle name="Total 2 2 2 3 3 3 2 2 2" xfId="16849"/>
    <cellStyle name="Total 2 2 2 3 3 3 2 2 2 2" xfId="30265"/>
    <cellStyle name="Total 2 2 2 3 3 3 2 2 3" xfId="21594"/>
    <cellStyle name="Total 2 2 2 3 3 3 2 3" xfId="14577"/>
    <cellStyle name="Total 2 2 2 3 3 3 2 3 2" xfId="28899"/>
    <cellStyle name="Total 2 2 2 3 3 3 2 4" xfId="20222"/>
    <cellStyle name="Total 2 2 2 3 3 3 3" xfId="13255"/>
    <cellStyle name="Total 2 2 2 3 3 3 3 2" xfId="27577"/>
    <cellStyle name="Total 2 2 2 3 3 3 4" xfId="18900"/>
    <cellStyle name="Total 2 2 2 3 3 4" xfId="5698"/>
    <cellStyle name="Total 2 2 2 3 3 4 2" xfId="12251"/>
    <cellStyle name="Total 2 2 2 3 3 4 2 2" xfId="26573"/>
    <cellStyle name="Total 2 2 2 3 3 4 3" xfId="17896"/>
    <cellStyle name="Total 2 2 2 3 3 5" xfId="4066"/>
    <cellStyle name="Total 2 2 2 3 3 5 2" xfId="22738"/>
    <cellStyle name="Total 2 2 2 3 3 6" xfId="15534"/>
    <cellStyle name="Total 2 2 2 3 4" xfId="2647"/>
    <cellStyle name="Total 2 2 2 3 4 2" xfId="6397"/>
    <cellStyle name="Total 2 2 2 3 4 2 2" xfId="12980"/>
    <cellStyle name="Total 2 2 2 3 4 2 2 2" xfId="27302"/>
    <cellStyle name="Total 2 2 2 3 4 2 3" xfId="18625"/>
    <cellStyle name="Total 2 2 2 3 4 3" xfId="7274"/>
    <cellStyle name="Total 2 2 2 3 4 3 2" xfId="9888"/>
    <cellStyle name="Total 2 2 2 3 4 3 2 2" xfId="16150"/>
    <cellStyle name="Total 2 2 2 3 4 3 2 2 2" xfId="29566"/>
    <cellStyle name="Total 2 2 2 3 4 3 2 3" xfId="20895"/>
    <cellStyle name="Total 2 2 2 3 4 3 3" xfId="13878"/>
    <cellStyle name="Total 2 2 2 3 4 3 3 2" xfId="28200"/>
    <cellStyle name="Total 2 2 2 3 4 3 4" xfId="19523"/>
    <cellStyle name="Total 2 2 2 3 4 4" xfId="2837"/>
    <cellStyle name="Total 2 2 2 3 4 4 2" xfId="22400"/>
    <cellStyle name="Total 2 2 2 3 4 5" xfId="14705"/>
    <cellStyle name="Total 2 2 2 3 5" xfId="2648"/>
    <cellStyle name="Total 2 2 2 3 5 2" xfId="7122"/>
    <cellStyle name="Total 2 2 2 3 5 2 2" xfId="9736"/>
    <cellStyle name="Total 2 2 2 3 5 2 2 2" xfId="15998"/>
    <cellStyle name="Total 2 2 2 3 5 2 2 2 2" xfId="29414"/>
    <cellStyle name="Total 2 2 2 3 5 2 2 3" xfId="20743"/>
    <cellStyle name="Total 2 2 2 3 5 2 3" xfId="13726"/>
    <cellStyle name="Total 2 2 2 3 5 2 3 2" xfId="28048"/>
    <cellStyle name="Total 2 2 2 3 5 2 4" xfId="19371"/>
    <cellStyle name="Total 2 2 2 3 5 3" xfId="12163"/>
    <cellStyle name="Total 2 2 2 3 5 3 2" xfId="26485"/>
    <cellStyle name="Total 2 2 2 3 5 4" xfId="17808"/>
    <cellStyle name="Total 2 2 2 3 6" xfId="5200"/>
    <cellStyle name="Total 2 2 2 3 6 2" xfId="11749"/>
    <cellStyle name="Total 2 2 2 3 6 2 2" xfId="26071"/>
    <cellStyle name="Total 2 2 2 3 6 3" xfId="3923"/>
    <cellStyle name="Total 2 2 2 3 7" xfId="4728"/>
    <cellStyle name="Total 2 2 2 3 7 2" xfId="23155"/>
    <cellStyle name="Total 2 2 2 3 8" xfId="15342"/>
    <cellStyle name="Total 2 2 2 4" xfId="2649"/>
    <cellStyle name="Total 2 2 2 4 2" xfId="2650"/>
    <cellStyle name="Total 2 2 2 4 2 2" xfId="2651"/>
    <cellStyle name="Total 2 2 2 4 2 2 2" xfId="6960"/>
    <cellStyle name="Total 2 2 2 4 2 2 2 2" xfId="13564"/>
    <cellStyle name="Total 2 2 2 4 2 2 2 2 2" xfId="27886"/>
    <cellStyle name="Total 2 2 2 4 2 2 2 3" xfId="19209"/>
    <cellStyle name="Total 2 2 2 4 2 2 3" xfId="7741"/>
    <cellStyle name="Total 2 2 2 4 2 2 3 2" xfId="10355"/>
    <cellStyle name="Total 2 2 2 4 2 2 3 2 2" xfId="16617"/>
    <cellStyle name="Total 2 2 2 4 2 2 3 2 2 2" xfId="30033"/>
    <cellStyle name="Total 2 2 2 4 2 2 3 2 3" xfId="21362"/>
    <cellStyle name="Total 2 2 2 4 2 2 3 3" xfId="14345"/>
    <cellStyle name="Total 2 2 2 4 2 2 3 3 2" xfId="28667"/>
    <cellStyle name="Total 2 2 2 4 2 2 3 4" xfId="19990"/>
    <cellStyle name="Total 2 2 2 4 2 2 4" xfId="11463"/>
    <cellStyle name="Total 2 2 2 4 2 2 4 2" xfId="25785"/>
    <cellStyle name="Total 2 2 2 4 2 2 5" xfId="15323"/>
    <cellStyle name="Total 2 2 2 4 2 3" xfId="2652"/>
    <cellStyle name="Total 2 2 2 4 2 3 2" xfId="7254"/>
    <cellStyle name="Total 2 2 2 4 2 3 2 2" xfId="9868"/>
    <cellStyle name="Total 2 2 2 4 2 3 2 2 2" xfId="16130"/>
    <cellStyle name="Total 2 2 2 4 2 3 2 2 2 2" xfId="29546"/>
    <cellStyle name="Total 2 2 2 4 2 3 2 2 3" xfId="20875"/>
    <cellStyle name="Total 2 2 2 4 2 3 2 3" xfId="13858"/>
    <cellStyle name="Total 2 2 2 4 2 3 2 3 2" xfId="28180"/>
    <cellStyle name="Total 2 2 2 4 2 3 2 4" xfId="19503"/>
    <cellStyle name="Total 2 2 2 4 2 3 3" xfId="13273"/>
    <cellStyle name="Total 2 2 2 4 2 3 3 2" xfId="27595"/>
    <cellStyle name="Total 2 2 2 4 2 3 4" xfId="18918"/>
    <cellStyle name="Total 2 2 2 4 2 4" xfId="5719"/>
    <cellStyle name="Total 2 2 2 4 2 4 2" xfId="12272"/>
    <cellStyle name="Total 2 2 2 4 2 4 2 2" xfId="26594"/>
    <cellStyle name="Total 2 2 2 4 2 4 3" xfId="17917"/>
    <cellStyle name="Total 2 2 2 4 2 5" xfId="5911"/>
    <cellStyle name="Total 2 2 2 4 2 5 2" xfId="23371"/>
    <cellStyle name="Total 2 2 2 4 2 6" xfId="14985"/>
    <cellStyle name="Total 2 2 2 4 3" xfId="2653"/>
    <cellStyle name="Total 2 2 2 4 3 2" xfId="2654"/>
    <cellStyle name="Total 2 2 2 4 3 2 2" xfId="6521"/>
    <cellStyle name="Total 2 2 2 4 3 2 2 2" xfId="13109"/>
    <cellStyle name="Total 2 2 2 4 3 2 2 2 2" xfId="27431"/>
    <cellStyle name="Total 2 2 2 4 3 2 2 3" xfId="18754"/>
    <cellStyle name="Total 2 2 2 4 3 2 3" xfId="7598"/>
    <cellStyle name="Total 2 2 2 4 3 2 3 2" xfId="10212"/>
    <cellStyle name="Total 2 2 2 4 3 2 3 2 2" xfId="16474"/>
    <cellStyle name="Total 2 2 2 4 3 2 3 2 2 2" xfId="29890"/>
    <cellStyle name="Total 2 2 2 4 3 2 3 2 3" xfId="21219"/>
    <cellStyle name="Total 2 2 2 4 3 2 3 3" xfId="14202"/>
    <cellStyle name="Total 2 2 2 4 3 2 3 3 2" xfId="28524"/>
    <cellStyle name="Total 2 2 2 4 3 2 3 4" xfId="19847"/>
    <cellStyle name="Total 2 2 2 4 3 2 4" xfId="2836"/>
    <cellStyle name="Total 2 2 2 4 3 2 4 2" xfId="22399"/>
    <cellStyle name="Total 2 2 2 4 3 2 5" xfId="17164"/>
    <cellStyle name="Total 2 2 2 4 3 3" xfId="2655"/>
    <cellStyle name="Total 2 2 2 4 3 3 2" xfId="8044"/>
    <cellStyle name="Total 2 2 2 4 3 3 2 2" xfId="10658"/>
    <cellStyle name="Total 2 2 2 4 3 3 2 2 2" xfId="16920"/>
    <cellStyle name="Total 2 2 2 4 3 3 2 2 2 2" xfId="30336"/>
    <cellStyle name="Total 2 2 2 4 3 3 2 2 3" xfId="21665"/>
    <cellStyle name="Total 2 2 2 4 3 3 2 3" xfId="14648"/>
    <cellStyle name="Total 2 2 2 4 3 3 2 3 2" xfId="28970"/>
    <cellStyle name="Total 2 2 2 4 3 3 2 4" xfId="20293"/>
    <cellStyle name="Total 2 2 2 4 3 3 3" xfId="13256"/>
    <cellStyle name="Total 2 2 2 4 3 3 3 2" xfId="27578"/>
    <cellStyle name="Total 2 2 2 4 3 3 4" xfId="18901"/>
    <cellStyle name="Total 2 2 2 4 3 4" xfId="5700"/>
    <cellStyle name="Total 2 2 2 4 3 4 2" xfId="12253"/>
    <cellStyle name="Total 2 2 2 4 3 4 2 2" xfId="26575"/>
    <cellStyle name="Total 2 2 2 4 3 4 3" xfId="17898"/>
    <cellStyle name="Total 2 2 2 4 3 5" xfId="4686"/>
    <cellStyle name="Total 2 2 2 4 3 5 2" xfId="23122"/>
    <cellStyle name="Total 2 2 2 4 3 6" xfId="17330"/>
    <cellStyle name="Total 2 2 2 4 4" xfId="2656"/>
    <cellStyle name="Total 2 2 2 4 4 2" xfId="5592"/>
    <cellStyle name="Total 2 2 2 4 4 2 2" xfId="12144"/>
    <cellStyle name="Total 2 2 2 4 4 2 2 2" xfId="26466"/>
    <cellStyle name="Total 2 2 2 4 4 2 3" xfId="17789"/>
    <cellStyle name="Total 2 2 2 4 4 3" xfId="7539"/>
    <cellStyle name="Total 2 2 2 4 4 3 2" xfId="10153"/>
    <cellStyle name="Total 2 2 2 4 4 3 2 2" xfId="16415"/>
    <cellStyle name="Total 2 2 2 4 4 3 2 2 2" xfId="29831"/>
    <cellStyle name="Total 2 2 2 4 4 3 2 3" xfId="21160"/>
    <cellStyle name="Total 2 2 2 4 4 3 3" xfId="14143"/>
    <cellStyle name="Total 2 2 2 4 4 3 3 2" xfId="28465"/>
    <cellStyle name="Total 2 2 2 4 4 3 4" xfId="19788"/>
    <cellStyle name="Total 2 2 2 4 4 4" xfId="3784"/>
    <cellStyle name="Total 2 2 2 4 4 4 2" xfId="22576"/>
    <cellStyle name="Total 2 2 2 4 4 5" xfId="15467"/>
    <cellStyle name="Total 2 2 2 4 5" xfId="2657"/>
    <cellStyle name="Total 2 2 2 4 5 2" xfId="7750"/>
    <cellStyle name="Total 2 2 2 4 5 2 2" xfId="10364"/>
    <cellStyle name="Total 2 2 2 4 5 2 2 2" xfId="16626"/>
    <cellStyle name="Total 2 2 2 4 5 2 2 2 2" xfId="30042"/>
    <cellStyle name="Total 2 2 2 4 5 2 2 3" xfId="21371"/>
    <cellStyle name="Total 2 2 2 4 5 2 3" xfId="14354"/>
    <cellStyle name="Total 2 2 2 4 5 2 3 2" xfId="28676"/>
    <cellStyle name="Total 2 2 2 4 5 2 4" xfId="19999"/>
    <cellStyle name="Total 2 2 2 4 5 3" xfId="12832"/>
    <cellStyle name="Total 2 2 2 4 5 3 2" xfId="27154"/>
    <cellStyle name="Total 2 2 2 4 5 4" xfId="18477"/>
    <cellStyle name="Total 2 2 2 4 6" xfId="5397"/>
    <cellStyle name="Total 2 2 2 4 6 2" xfId="11947"/>
    <cellStyle name="Total 2 2 2 4 6 2 2" xfId="26269"/>
    <cellStyle name="Total 2 2 2 4 6 3" xfId="17592"/>
    <cellStyle name="Total 2 2 2 4 7" xfId="2800"/>
    <cellStyle name="Total 2 2 2 4 7 2" xfId="22366"/>
    <cellStyle name="Total 2 2 2 4 8" xfId="6714"/>
    <cellStyle name="Total 2 2 2 5" xfId="2658"/>
    <cellStyle name="Total 2 2 2 5 2" xfId="2659"/>
    <cellStyle name="Total 2 2 2 5 2 2" xfId="2660"/>
    <cellStyle name="Total 2 2 2 5 2 2 2" xfId="6424"/>
    <cellStyle name="Total 2 2 2 5 2 2 2 2" xfId="13007"/>
    <cellStyle name="Total 2 2 2 5 2 2 2 2 2" xfId="27329"/>
    <cellStyle name="Total 2 2 2 5 2 2 2 3" xfId="18652"/>
    <cellStyle name="Total 2 2 2 5 2 2 3" xfId="7436"/>
    <cellStyle name="Total 2 2 2 5 2 2 3 2" xfId="10050"/>
    <cellStyle name="Total 2 2 2 5 2 2 3 2 2" xfId="16312"/>
    <cellStyle name="Total 2 2 2 5 2 2 3 2 2 2" xfId="29728"/>
    <cellStyle name="Total 2 2 2 5 2 2 3 2 3" xfId="21057"/>
    <cellStyle name="Total 2 2 2 5 2 2 3 3" xfId="14040"/>
    <cellStyle name="Total 2 2 2 5 2 2 3 3 2" xfId="28362"/>
    <cellStyle name="Total 2 2 2 5 2 2 3 4" xfId="19685"/>
    <cellStyle name="Total 2 2 2 5 2 2 4" xfId="6244"/>
    <cellStyle name="Total 2 2 2 5 2 2 4 2" xfId="23469"/>
    <cellStyle name="Total 2 2 2 5 2 2 5" xfId="15107"/>
    <cellStyle name="Total 2 2 2 5 2 3" xfId="2661"/>
    <cellStyle name="Total 2 2 2 5 2 3 2" xfId="7292"/>
    <cellStyle name="Total 2 2 2 5 2 3 2 2" xfId="9906"/>
    <cellStyle name="Total 2 2 2 5 2 3 2 2 2" xfId="16168"/>
    <cellStyle name="Total 2 2 2 5 2 3 2 2 2 2" xfId="29584"/>
    <cellStyle name="Total 2 2 2 5 2 3 2 2 3" xfId="20913"/>
    <cellStyle name="Total 2 2 2 5 2 3 2 3" xfId="13896"/>
    <cellStyle name="Total 2 2 2 5 2 3 2 3 2" xfId="28218"/>
    <cellStyle name="Total 2 2 2 5 2 3 2 4" xfId="19541"/>
    <cellStyle name="Total 2 2 2 5 2 3 3" xfId="13280"/>
    <cellStyle name="Total 2 2 2 5 2 3 3 2" xfId="27602"/>
    <cellStyle name="Total 2 2 2 5 2 3 4" xfId="18925"/>
    <cellStyle name="Total 2 2 2 5 2 4" xfId="5730"/>
    <cellStyle name="Total 2 2 2 5 2 4 2" xfId="12283"/>
    <cellStyle name="Total 2 2 2 5 2 4 2 2" xfId="26605"/>
    <cellStyle name="Total 2 2 2 5 2 4 3" xfId="17928"/>
    <cellStyle name="Total 2 2 2 5 2 5" xfId="4909"/>
    <cellStyle name="Total 2 2 2 5 2 5 2" xfId="23260"/>
    <cellStyle name="Total 2 2 2 5 2 6" xfId="15103"/>
    <cellStyle name="Total 2 2 2 5 3" xfId="2662"/>
    <cellStyle name="Total 2 2 2 5 3 2" xfId="2663"/>
    <cellStyle name="Total 2 2 2 5 3 2 2" xfId="6974"/>
    <cellStyle name="Total 2 2 2 5 3 2 2 2" xfId="13578"/>
    <cellStyle name="Total 2 2 2 5 3 2 2 2 2" xfId="27900"/>
    <cellStyle name="Total 2 2 2 5 3 2 2 3" xfId="19223"/>
    <cellStyle name="Total 2 2 2 5 3 2 3" xfId="4311"/>
    <cellStyle name="Total 2 2 2 5 3 2 3 2" xfId="9446"/>
    <cellStyle name="Total 2 2 2 5 3 2 3 2 2" xfId="15708"/>
    <cellStyle name="Total 2 2 2 5 3 2 3 2 2 2" xfId="29124"/>
    <cellStyle name="Total 2 2 2 5 3 2 3 2 3" xfId="20453"/>
    <cellStyle name="Total 2 2 2 5 3 2 3 3" xfId="4256"/>
    <cellStyle name="Total 2 2 2 5 3 2 3 3 2" xfId="22854"/>
    <cellStyle name="Total 2 2 2 5 3 2 3 4" xfId="15195"/>
    <cellStyle name="Total 2 2 2 5 3 2 4" xfId="11484"/>
    <cellStyle name="Total 2 2 2 5 3 2 4 2" xfId="25806"/>
    <cellStyle name="Total 2 2 2 5 3 2 5" xfId="4760"/>
    <cellStyle name="Total 2 2 2 5 3 3" xfId="2664"/>
    <cellStyle name="Total 2 2 2 5 3 3 2" xfId="8011"/>
    <cellStyle name="Total 2 2 2 5 3 3 2 2" xfId="10625"/>
    <cellStyle name="Total 2 2 2 5 3 3 2 2 2" xfId="16887"/>
    <cellStyle name="Total 2 2 2 5 3 3 2 2 2 2" xfId="30303"/>
    <cellStyle name="Total 2 2 2 5 3 3 2 2 3" xfId="21632"/>
    <cellStyle name="Total 2 2 2 5 3 3 2 3" xfId="14615"/>
    <cellStyle name="Total 2 2 2 5 3 3 2 3 2" xfId="28937"/>
    <cellStyle name="Total 2 2 2 5 3 3 2 4" xfId="20260"/>
    <cellStyle name="Total 2 2 2 5 3 3 3" xfId="13395"/>
    <cellStyle name="Total 2 2 2 5 3 3 3 2" xfId="27717"/>
    <cellStyle name="Total 2 2 2 5 3 3 4" xfId="19040"/>
    <cellStyle name="Total 2 2 2 5 3 4" xfId="5859"/>
    <cellStyle name="Total 2 2 2 5 3 4 2" xfId="12412"/>
    <cellStyle name="Total 2 2 2 5 3 4 2 2" xfId="26734"/>
    <cellStyle name="Total 2 2 2 5 3 4 3" xfId="18057"/>
    <cellStyle name="Total 2 2 2 5 3 5" xfId="4844"/>
    <cellStyle name="Total 2 2 2 5 3 5 2" xfId="23218"/>
    <cellStyle name="Total 2 2 2 5 3 6" xfId="3619"/>
    <cellStyle name="Total 2 2 2 5 4" xfId="2665"/>
    <cellStyle name="Total 2 2 2 5 4 2" xfId="6234"/>
    <cellStyle name="Total 2 2 2 5 4 2 2" xfId="12809"/>
    <cellStyle name="Total 2 2 2 5 4 2 2 2" xfId="27131"/>
    <cellStyle name="Total 2 2 2 5 4 2 3" xfId="18454"/>
    <cellStyle name="Total 2 2 2 5 4 3" xfId="7762"/>
    <cellStyle name="Total 2 2 2 5 4 3 2" xfId="10376"/>
    <cellStyle name="Total 2 2 2 5 4 3 2 2" xfId="16638"/>
    <cellStyle name="Total 2 2 2 5 4 3 2 2 2" xfId="30054"/>
    <cellStyle name="Total 2 2 2 5 4 3 2 3" xfId="21383"/>
    <cellStyle name="Total 2 2 2 5 4 3 3" xfId="14366"/>
    <cellStyle name="Total 2 2 2 5 4 3 3 2" xfId="28688"/>
    <cellStyle name="Total 2 2 2 5 4 3 4" xfId="20011"/>
    <cellStyle name="Total 2 2 2 5 4 4" xfId="4605"/>
    <cellStyle name="Total 2 2 2 5 4 4 2" xfId="23063"/>
    <cellStyle name="Total 2 2 2 5 4 5" xfId="17262"/>
    <cellStyle name="Total 2 2 2 5 5" xfId="2666"/>
    <cellStyle name="Total 2 2 2 5 5 2" xfId="5286"/>
    <cellStyle name="Total 2 2 2 5 5 2 2" xfId="9595"/>
    <cellStyle name="Total 2 2 2 5 5 2 2 2" xfId="15857"/>
    <cellStyle name="Total 2 2 2 5 5 2 2 2 2" xfId="29273"/>
    <cellStyle name="Total 2 2 2 5 5 2 2 3" xfId="20602"/>
    <cellStyle name="Total 2 2 2 5 5 2 3" xfId="11836"/>
    <cellStyle name="Total 2 2 2 5 5 2 3 2" xfId="26158"/>
    <cellStyle name="Total 2 2 2 5 5 2 4" xfId="17481"/>
    <cellStyle name="Total 2 2 2 5 5 3" xfId="12847"/>
    <cellStyle name="Total 2 2 2 5 5 3 2" xfId="27169"/>
    <cellStyle name="Total 2 2 2 5 5 4" xfId="18492"/>
    <cellStyle name="Total 2 2 2 5 6" xfId="5434"/>
    <cellStyle name="Total 2 2 2 5 6 2" xfId="11985"/>
    <cellStyle name="Total 2 2 2 5 6 2 2" xfId="26307"/>
    <cellStyle name="Total 2 2 2 5 6 3" xfId="17630"/>
    <cellStyle name="Total 2 2 2 5 7" xfId="4703"/>
    <cellStyle name="Total 2 2 2 5 7 2" xfId="23136"/>
    <cellStyle name="Total 2 2 2 5 8" xfId="3256"/>
    <cellStyle name="Total 2 2 2 6" xfId="2667"/>
    <cellStyle name="Total 2 2 2 6 2" xfId="2668"/>
    <cellStyle name="Total 2 2 2 6 2 2" xfId="2669"/>
    <cellStyle name="Total 2 2 2 6 2 2 2" xfId="5937"/>
    <cellStyle name="Total 2 2 2 6 2 2 2 2" xfId="12494"/>
    <cellStyle name="Total 2 2 2 6 2 2 2 2 2" xfId="26816"/>
    <cellStyle name="Total 2 2 2 6 2 2 2 3" xfId="18139"/>
    <cellStyle name="Total 2 2 2 6 2 2 3" xfId="7721"/>
    <cellStyle name="Total 2 2 2 6 2 2 3 2" xfId="10335"/>
    <cellStyle name="Total 2 2 2 6 2 2 3 2 2" xfId="16597"/>
    <cellStyle name="Total 2 2 2 6 2 2 3 2 2 2" xfId="30013"/>
    <cellStyle name="Total 2 2 2 6 2 2 3 2 3" xfId="21342"/>
    <cellStyle name="Total 2 2 2 6 2 2 3 3" xfId="14325"/>
    <cellStyle name="Total 2 2 2 6 2 2 3 3 2" xfId="28647"/>
    <cellStyle name="Total 2 2 2 6 2 2 3 4" xfId="19970"/>
    <cellStyle name="Total 2 2 2 6 2 2 4" xfId="4207"/>
    <cellStyle name="Total 2 2 2 6 2 2 4 2" xfId="22822"/>
    <cellStyle name="Total 2 2 2 6 2 2 5" xfId="16965"/>
    <cellStyle name="Total 2 2 2 6 2 3" xfId="2670"/>
    <cellStyle name="Total 2 2 2 6 2 3 2" xfId="7987"/>
    <cellStyle name="Total 2 2 2 6 2 3 2 2" xfId="10601"/>
    <cellStyle name="Total 2 2 2 6 2 3 2 2 2" xfId="16863"/>
    <cellStyle name="Total 2 2 2 6 2 3 2 2 2 2" xfId="30279"/>
    <cellStyle name="Total 2 2 2 6 2 3 2 2 3" xfId="21608"/>
    <cellStyle name="Total 2 2 2 6 2 3 2 3" xfId="14591"/>
    <cellStyle name="Total 2 2 2 6 2 3 2 3 2" xfId="28913"/>
    <cellStyle name="Total 2 2 2 6 2 3 2 4" xfId="20236"/>
    <cellStyle name="Total 2 2 2 6 2 3 3" xfId="13188"/>
    <cellStyle name="Total 2 2 2 6 2 3 3 2" xfId="27510"/>
    <cellStyle name="Total 2 2 2 6 2 3 4" xfId="18833"/>
    <cellStyle name="Total 2 2 2 6 2 4" xfId="5625"/>
    <cellStyle name="Total 2 2 2 6 2 4 2" xfId="12178"/>
    <cellStyle name="Total 2 2 2 6 2 4 2 2" xfId="26500"/>
    <cellStyle name="Total 2 2 2 6 2 4 3" xfId="17823"/>
    <cellStyle name="Total 2 2 2 6 2 5" xfId="3191"/>
    <cellStyle name="Total 2 2 2 6 2 5 2" xfId="22434"/>
    <cellStyle name="Total 2 2 2 6 2 6" xfId="15301"/>
    <cellStyle name="Total 2 2 2 6 3" xfId="2671"/>
    <cellStyle name="Total 2 2 2 6 3 2" xfId="7008"/>
    <cellStyle name="Total 2 2 2 6 3 2 2" xfId="13612"/>
    <cellStyle name="Total 2 2 2 6 3 2 2 2" xfId="27934"/>
    <cellStyle name="Total 2 2 2 6 3 2 3" xfId="19257"/>
    <cellStyle name="Total 2 2 2 6 3 3" xfId="7976"/>
    <cellStyle name="Total 2 2 2 6 3 3 2" xfId="10590"/>
    <cellStyle name="Total 2 2 2 6 3 3 2 2" xfId="16852"/>
    <cellStyle name="Total 2 2 2 6 3 3 2 2 2" xfId="30268"/>
    <cellStyle name="Total 2 2 2 6 3 3 2 3" xfId="21597"/>
    <cellStyle name="Total 2 2 2 6 3 3 3" xfId="14580"/>
    <cellStyle name="Total 2 2 2 6 3 3 3 2" xfId="28902"/>
    <cellStyle name="Total 2 2 2 6 3 3 4" xfId="20225"/>
    <cellStyle name="Total 2 2 2 6 3 4" xfId="11530"/>
    <cellStyle name="Total 2 2 2 6 3 4 2" xfId="25852"/>
    <cellStyle name="Total 2 2 2 6 3 5" xfId="14869"/>
    <cellStyle name="Total 2 2 2 6 4" xfId="2672"/>
    <cellStyle name="Total 2 2 2 6 4 2" xfId="4812"/>
    <cellStyle name="Total 2 2 2 6 4 2 2" xfId="9493"/>
    <cellStyle name="Total 2 2 2 6 4 2 2 2" xfId="15755"/>
    <cellStyle name="Total 2 2 2 6 4 2 2 2 2" xfId="29171"/>
    <cellStyle name="Total 2 2 2 6 4 2 2 3" xfId="20500"/>
    <cellStyle name="Total 2 2 2 6 4 2 3" xfId="11344"/>
    <cellStyle name="Total 2 2 2 6 4 2 3 2" xfId="25666"/>
    <cellStyle name="Total 2 2 2 6 4 2 4" xfId="15429"/>
    <cellStyle name="Total 2 2 2 6 4 3" xfId="12823"/>
    <cellStyle name="Total 2 2 2 6 4 3 2" xfId="27145"/>
    <cellStyle name="Total 2 2 2 6 4 4" xfId="18468"/>
    <cellStyle name="Total 2 2 2 6 5" xfId="5371"/>
    <cellStyle name="Total 2 2 2 6 5 2" xfId="11921"/>
    <cellStyle name="Total 2 2 2 6 5 2 2" xfId="26243"/>
    <cellStyle name="Total 2 2 2 6 5 3" xfId="17566"/>
    <cellStyle name="Total 2 2 2 6 6" xfId="4041"/>
    <cellStyle name="Total 2 2 2 6 6 2" xfId="22718"/>
    <cellStyle name="Total 2 2 2 6 7" xfId="15364"/>
    <cellStyle name="Total 2 2 2 7" xfId="2673"/>
    <cellStyle name="Total 2 2 2 7 2" xfId="2674"/>
    <cellStyle name="Total 2 2 2 7 2 2" xfId="7001"/>
    <cellStyle name="Total 2 2 2 7 2 2 2" xfId="13605"/>
    <cellStyle name="Total 2 2 2 7 2 2 2 2" xfId="27927"/>
    <cellStyle name="Total 2 2 2 7 2 2 3" xfId="19250"/>
    <cellStyle name="Total 2 2 2 7 2 3" xfId="5321"/>
    <cellStyle name="Total 2 2 2 7 2 3 2" xfId="9630"/>
    <cellStyle name="Total 2 2 2 7 2 3 2 2" xfId="15892"/>
    <cellStyle name="Total 2 2 2 7 2 3 2 2 2" xfId="29308"/>
    <cellStyle name="Total 2 2 2 7 2 3 2 3" xfId="20637"/>
    <cellStyle name="Total 2 2 2 7 2 3 3" xfId="11871"/>
    <cellStyle name="Total 2 2 2 7 2 3 3 2" xfId="26193"/>
    <cellStyle name="Total 2 2 2 7 2 3 4" xfId="17516"/>
    <cellStyle name="Total 2 2 2 7 2 4" xfId="11517"/>
    <cellStyle name="Total 2 2 2 7 2 4 2" xfId="25839"/>
    <cellStyle name="Total 2 2 2 7 2 5" xfId="15159"/>
    <cellStyle name="Total 2 2 2 7 3" xfId="2675"/>
    <cellStyle name="Total 2 2 2 7 3 2" xfId="5260"/>
    <cellStyle name="Total 2 2 2 7 3 2 2" xfId="9569"/>
    <cellStyle name="Total 2 2 2 7 3 2 2 2" xfId="15831"/>
    <cellStyle name="Total 2 2 2 7 3 2 2 2 2" xfId="29247"/>
    <cellStyle name="Total 2 2 2 7 3 2 2 3" xfId="20576"/>
    <cellStyle name="Total 2 2 2 7 3 2 3" xfId="11810"/>
    <cellStyle name="Total 2 2 2 7 3 2 3 2" xfId="26132"/>
    <cellStyle name="Total 2 2 2 7 3 2 4" xfId="17455"/>
    <cellStyle name="Total 2 2 2 7 3 3" xfId="13165"/>
    <cellStyle name="Total 2 2 2 7 3 3 2" xfId="27487"/>
    <cellStyle name="Total 2 2 2 7 3 4" xfId="18810"/>
    <cellStyle name="Total 2 2 2 7 4" xfId="5579"/>
    <cellStyle name="Total 2 2 2 7 4 2" xfId="12131"/>
    <cellStyle name="Total 2 2 2 7 4 2 2" xfId="26453"/>
    <cellStyle name="Total 2 2 2 7 4 3" xfId="17776"/>
    <cellStyle name="Total 2 2 2 7 5" xfId="4857"/>
    <cellStyle name="Total 2 2 2 7 5 2" xfId="23225"/>
    <cellStyle name="Total 2 2 2 7 6" xfId="14849"/>
    <cellStyle name="Total 2 2 2 8" xfId="2676"/>
    <cellStyle name="Total 2 2 2 8 2" xfId="6258"/>
    <cellStyle name="Total 2 2 2 8 2 2" xfId="12837"/>
    <cellStyle name="Total 2 2 2 8 2 2 2" xfId="27159"/>
    <cellStyle name="Total 2 2 2 8 2 3" xfId="18482"/>
    <cellStyle name="Total 2 2 2 8 3" xfId="3635"/>
    <cellStyle name="Total 2 2 2 8 3 2" xfId="9350"/>
    <cellStyle name="Total 2 2 2 8 3 2 2" xfId="15612"/>
    <cellStyle name="Total 2 2 2 8 3 2 2 2" xfId="29028"/>
    <cellStyle name="Total 2 2 2 8 3 2 3" xfId="20357"/>
    <cellStyle name="Total 2 2 2 8 3 3" xfId="4122"/>
    <cellStyle name="Total 2 2 2 8 3 3 2" xfId="22766"/>
    <cellStyle name="Total 2 2 2 8 3 4" xfId="15281"/>
    <cellStyle name="Total 2 2 2 8 4" xfId="2797"/>
    <cellStyle name="Total 2 2 2 8 4 2" xfId="22364"/>
    <cellStyle name="Total 2 2 2 8 5" xfId="17294"/>
    <cellStyle name="Total 2 2 2 9" xfId="2677"/>
    <cellStyle name="Total 2 2 2 9 2" xfId="7256"/>
    <cellStyle name="Total 2 2 2 9 2 2" xfId="9870"/>
    <cellStyle name="Total 2 2 2 9 2 2 2" xfId="16132"/>
    <cellStyle name="Total 2 2 2 9 2 2 2 2" xfId="29548"/>
    <cellStyle name="Total 2 2 2 9 2 2 3" xfId="20877"/>
    <cellStyle name="Total 2 2 2 9 2 3" xfId="13860"/>
    <cellStyle name="Total 2 2 2 9 2 3 2" xfId="28182"/>
    <cellStyle name="Total 2 2 2 9 2 4" xfId="19505"/>
    <cellStyle name="Total 2 2 2 9 3" xfId="12451"/>
    <cellStyle name="Total 2 2 2 9 3 2" xfId="26773"/>
    <cellStyle name="Total 2 2 2 9 4" xfId="18096"/>
    <cellStyle name="Total 2 2 3" xfId="2678"/>
    <cellStyle name="Total 2 2 3 10" xfId="3989"/>
    <cellStyle name="Total 2 2 3 10 2" xfId="22688"/>
    <cellStyle name="Total 2 2 3 11" xfId="17382"/>
    <cellStyle name="Total 2 2 3 2" xfId="2679"/>
    <cellStyle name="Total 2 2 3 2 2" xfId="2680"/>
    <cellStyle name="Total 2 2 3 2 2 2" xfId="2681"/>
    <cellStyle name="Total 2 2 3 2 2 2 2" xfId="5908"/>
    <cellStyle name="Total 2 2 3 2 2 2 2 2" xfId="12462"/>
    <cellStyle name="Total 2 2 3 2 2 2 2 2 2" xfId="26784"/>
    <cellStyle name="Total 2 2 3 2 2 2 2 3" xfId="18107"/>
    <cellStyle name="Total 2 2 3 2 2 2 3" xfId="7105"/>
    <cellStyle name="Total 2 2 3 2 2 2 3 2" xfId="9719"/>
    <cellStyle name="Total 2 2 3 2 2 2 3 2 2" xfId="15981"/>
    <cellStyle name="Total 2 2 3 2 2 2 3 2 2 2" xfId="29397"/>
    <cellStyle name="Total 2 2 3 2 2 2 3 2 3" xfId="20726"/>
    <cellStyle name="Total 2 2 3 2 2 2 3 3" xfId="13709"/>
    <cellStyle name="Total 2 2 3 2 2 2 3 3 2" xfId="28031"/>
    <cellStyle name="Total 2 2 3 2 2 2 3 4" xfId="19354"/>
    <cellStyle name="Total 2 2 3 2 2 2 4" xfId="3155"/>
    <cellStyle name="Total 2 2 3 2 2 2 4 2" xfId="22423"/>
    <cellStyle name="Total 2 2 3 2 2 2 5" xfId="16985"/>
    <cellStyle name="Total 2 2 3 2 2 3" xfId="2682"/>
    <cellStyle name="Total 2 2 3 2 2 3 2" xfId="5281"/>
    <cellStyle name="Total 2 2 3 2 2 3 2 2" xfId="9590"/>
    <cellStyle name="Total 2 2 3 2 2 3 2 2 2" xfId="15852"/>
    <cellStyle name="Total 2 2 3 2 2 3 2 2 2 2" xfId="29268"/>
    <cellStyle name="Total 2 2 3 2 2 3 2 2 3" xfId="20597"/>
    <cellStyle name="Total 2 2 3 2 2 3 2 3" xfId="11831"/>
    <cellStyle name="Total 2 2 3 2 2 3 2 3 2" xfId="26153"/>
    <cellStyle name="Total 2 2 3 2 2 3 2 4" xfId="17476"/>
    <cellStyle name="Total 2 2 3 2 2 3 3" xfId="13297"/>
    <cellStyle name="Total 2 2 3 2 2 3 3 2" xfId="27619"/>
    <cellStyle name="Total 2 2 3 2 2 3 4" xfId="18942"/>
    <cellStyle name="Total 2 2 3 2 2 4" xfId="5747"/>
    <cellStyle name="Total 2 2 3 2 2 4 2" xfId="12300"/>
    <cellStyle name="Total 2 2 3 2 2 4 2 2" xfId="26622"/>
    <cellStyle name="Total 2 2 3 2 2 4 3" xfId="17945"/>
    <cellStyle name="Total 2 2 3 2 2 5" xfId="6060"/>
    <cellStyle name="Total 2 2 3 2 2 5 2" xfId="23402"/>
    <cellStyle name="Total 2 2 3 2 2 6" xfId="14880"/>
    <cellStyle name="Total 2 2 3 2 3" xfId="2683"/>
    <cellStyle name="Total 2 2 3 2 3 2" xfId="2684"/>
    <cellStyle name="Total 2 2 3 2 3 2 2" xfId="6008"/>
    <cellStyle name="Total 2 2 3 2 3 2 2 2" xfId="12567"/>
    <cellStyle name="Total 2 2 3 2 3 2 2 2 2" xfId="26889"/>
    <cellStyle name="Total 2 2 3 2 3 2 2 3" xfId="18212"/>
    <cellStyle name="Total 2 2 3 2 3 2 3" xfId="7049"/>
    <cellStyle name="Total 2 2 3 2 3 2 3 2" xfId="9663"/>
    <cellStyle name="Total 2 2 3 2 3 2 3 2 2" xfId="15925"/>
    <cellStyle name="Total 2 2 3 2 3 2 3 2 2 2" xfId="29341"/>
    <cellStyle name="Total 2 2 3 2 3 2 3 2 3" xfId="20670"/>
    <cellStyle name="Total 2 2 3 2 3 2 3 3" xfId="13653"/>
    <cellStyle name="Total 2 2 3 2 3 2 3 3 2" xfId="27975"/>
    <cellStyle name="Total 2 2 3 2 3 2 3 4" xfId="19298"/>
    <cellStyle name="Total 2 2 3 2 3 2 4" xfId="3797"/>
    <cellStyle name="Total 2 2 3 2 3 2 4 2" xfId="22585"/>
    <cellStyle name="Total 2 2 3 2 3 2 5" xfId="15090"/>
    <cellStyle name="Total 2 2 3 2 3 3" xfId="2685"/>
    <cellStyle name="Total 2 2 3 2 3 3 2" xfId="7699"/>
    <cellStyle name="Total 2 2 3 2 3 3 2 2" xfId="10313"/>
    <cellStyle name="Total 2 2 3 2 3 3 2 2 2" xfId="16575"/>
    <cellStyle name="Total 2 2 3 2 3 3 2 2 2 2" xfId="29991"/>
    <cellStyle name="Total 2 2 3 2 3 3 2 2 3" xfId="21320"/>
    <cellStyle name="Total 2 2 3 2 3 3 2 3" xfId="14303"/>
    <cellStyle name="Total 2 2 3 2 3 3 2 3 2" xfId="28625"/>
    <cellStyle name="Total 2 2 3 2 3 3 2 4" xfId="19948"/>
    <cellStyle name="Total 2 2 3 2 3 3 3" xfId="13429"/>
    <cellStyle name="Total 2 2 3 2 3 3 3 2" xfId="27751"/>
    <cellStyle name="Total 2 2 3 2 3 3 4" xfId="19074"/>
    <cellStyle name="Total 2 2 3 2 3 4" xfId="5906"/>
    <cellStyle name="Total 2 2 3 2 3 4 2" xfId="12460"/>
    <cellStyle name="Total 2 2 3 2 3 4 2 2" xfId="26782"/>
    <cellStyle name="Total 2 2 3 2 3 4 3" xfId="18105"/>
    <cellStyle name="Total 2 2 3 2 3 5" xfId="2783"/>
    <cellStyle name="Total 2 2 3 2 3 5 2" xfId="22352"/>
    <cellStyle name="Total 2 2 3 2 3 6" xfId="15064"/>
    <cellStyle name="Total 2 2 3 2 4" xfId="2686"/>
    <cellStyle name="Total 2 2 3 2 4 2" xfId="6975"/>
    <cellStyle name="Total 2 2 3 2 4 2 2" xfId="13579"/>
    <cellStyle name="Total 2 2 3 2 4 2 2 2" xfId="27901"/>
    <cellStyle name="Total 2 2 3 2 4 2 3" xfId="19224"/>
    <cellStyle name="Total 2 2 3 2 4 3" xfId="4965"/>
    <cellStyle name="Total 2 2 3 2 4 3 2" xfId="9525"/>
    <cellStyle name="Total 2 2 3 2 4 3 2 2" xfId="15787"/>
    <cellStyle name="Total 2 2 3 2 4 3 2 2 2" xfId="29203"/>
    <cellStyle name="Total 2 2 3 2 4 3 2 3" xfId="20532"/>
    <cellStyle name="Total 2 2 3 2 4 3 3" xfId="11506"/>
    <cellStyle name="Total 2 2 3 2 4 3 3 2" xfId="25828"/>
    <cellStyle name="Total 2 2 3 2 4 3 4" xfId="14977"/>
    <cellStyle name="Total 2 2 3 2 4 4" xfId="11485"/>
    <cellStyle name="Total 2 2 3 2 4 4 2" xfId="25807"/>
    <cellStyle name="Total 2 2 3 2 4 5" xfId="15257"/>
    <cellStyle name="Total 2 2 3 2 5" xfId="2687"/>
    <cellStyle name="Total 2 2 3 2 5 2" xfId="7643"/>
    <cellStyle name="Total 2 2 3 2 5 2 2" xfId="10257"/>
    <cellStyle name="Total 2 2 3 2 5 2 2 2" xfId="16519"/>
    <cellStyle name="Total 2 2 3 2 5 2 2 2 2" xfId="29935"/>
    <cellStyle name="Total 2 2 3 2 5 2 2 3" xfId="21264"/>
    <cellStyle name="Total 2 2 3 2 5 2 3" xfId="14247"/>
    <cellStyle name="Total 2 2 3 2 5 2 3 2" xfId="28569"/>
    <cellStyle name="Total 2 2 3 2 5 2 4" xfId="19892"/>
    <cellStyle name="Total 2 2 3 2 5 3" xfId="12873"/>
    <cellStyle name="Total 2 2 3 2 5 3 2" xfId="27195"/>
    <cellStyle name="Total 2 2 3 2 5 4" xfId="18518"/>
    <cellStyle name="Total 2 2 3 2 6" xfId="5491"/>
    <cellStyle name="Total 2 2 3 2 6 2" xfId="12042"/>
    <cellStyle name="Total 2 2 3 2 6 2 2" xfId="26364"/>
    <cellStyle name="Total 2 2 3 2 6 3" xfId="17687"/>
    <cellStyle name="Total 2 2 3 2 7" xfId="4579"/>
    <cellStyle name="Total 2 2 3 2 7 2" xfId="23045"/>
    <cellStyle name="Total 2 2 3 2 8" xfId="4226"/>
    <cellStyle name="Total 2 2 3 3" xfId="2688"/>
    <cellStyle name="Total 2 2 3 3 2" xfId="2689"/>
    <cellStyle name="Total 2 2 3 3 2 2" xfId="2690"/>
    <cellStyle name="Total 2 2 3 3 2 2 2" xfId="6192"/>
    <cellStyle name="Total 2 2 3 3 2 2 2 2" xfId="12765"/>
    <cellStyle name="Total 2 2 3 3 2 2 2 2 2" xfId="27087"/>
    <cellStyle name="Total 2 2 3 3 2 2 2 3" xfId="18410"/>
    <cellStyle name="Total 2 2 3 3 2 2 3" xfId="8006"/>
    <cellStyle name="Total 2 2 3 3 2 2 3 2" xfId="10620"/>
    <cellStyle name="Total 2 2 3 3 2 2 3 2 2" xfId="16882"/>
    <cellStyle name="Total 2 2 3 3 2 2 3 2 2 2" xfId="30298"/>
    <cellStyle name="Total 2 2 3 3 2 2 3 2 3" xfId="21627"/>
    <cellStyle name="Total 2 2 3 3 2 2 3 3" xfId="14610"/>
    <cellStyle name="Total 2 2 3 3 2 2 3 3 2" xfId="28932"/>
    <cellStyle name="Total 2 2 3 3 2 2 3 4" xfId="20255"/>
    <cellStyle name="Total 2 2 3 3 2 2 4" xfId="4043"/>
    <cellStyle name="Total 2 2 3 3 2 2 4 2" xfId="22720"/>
    <cellStyle name="Total 2 2 3 3 2 2 5" xfId="14813"/>
    <cellStyle name="Total 2 2 3 3 2 3" xfId="2691"/>
    <cellStyle name="Total 2 2 3 3 2 3 2" xfId="7877"/>
    <cellStyle name="Total 2 2 3 3 2 3 2 2" xfId="10491"/>
    <cellStyle name="Total 2 2 3 3 2 3 2 2 2" xfId="16753"/>
    <cellStyle name="Total 2 2 3 3 2 3 2 2 2 2" xfId="30169"/>
    <cellStyle name="Total 2 2 3 3 2 3 2 2 3" xfId="21498"/>
    <cellStyle name="Total 2 2 3 3 2 3 2 3" xfId="14481"/>
    <cellStyle name="Total 2 2 3 3 2 3 2 3 2" xfId="28803"/>
    <cellStyle name="Total 2 2 3 3 2 3 2 4" xfId="20126"/>
    <cellStyle name="Total 2 2 3 3 2 3 3" xfId="13333"/>
    <cellStyle name="Total 2 2 3 3 2 3 3 2" xfId="27655"/>
    <cellStyle name="Total 2 2 3 3 2 3 4" xfId="18978"/>
    <cellStyle name="Total 2 2 3 3 2 4" xfId="5783"/>
    <cellStyle name="Total 2 2 3 3 2 4 2" xfId="12336"/>
    <cellStyle name="Total 2 2 3 3 2 4 2 2" xfId="26658"/>
    <cellStyle name="Total 2 2 3 3 2 4 3" xfId="17981"/>
    <cellStyle name="Total 2 2 3 3 2 5" xfId="6305"/>
    <cellStyle name="Total 2 2 3 3 2 5 2" xfId="23501"/>
    <cellStyle name="Total 2 2 3 3 2 6" xfId="15126"/>
    <cellStyle name="Total 2 2 3 3 3" xfId="2692"/>
    <cellStyle name="Total 2 2 3 3 3 2" xfId="2693"/>
    <cellStyle name="Total 2 2 3 3 3 2 2" xfId="4006"/>
    <cellStyle name="Total 2 2 3 3 3 2 2 2" xfId="4941"/>
    <cellStyle name="Total 2 2 3 3 3 2 2 2 2" xfId="23272"/>
    <cellStyle name="Total 2 2 3 3 3 2 2 3" xfId="17144"/>
    <cellStyle name="Total 2 2 3 3 3 2 3" xfId="7712"/>
    <cellStyle name="Total 2 2 3 3 3 2 3 2" xfId="10326"/>
    <cellStyle name="Total 2 2 3 3 3 2 3 2 2" xfId="16588"/>
    <cellStyle name="Total 2 2 3 3 3 2 3 2 2 2" xfId="30004"/>
    <cellStyle name="Total 2 2 3 3 3 2 3 2 3" xfId="21333"/>
    <cellStyle name="Total 2 2 3 3 3 2 3 3" xfId="14316"/>
    <cellStyle name="Total 2 2 3 3 3 2 3 3 2" xfId="28638"/>
    <cellStyle name="Total 2 2 3 3 3 2 3 4" xfId="19961"/>
    <cellStyle name="Total 2 2 3 3 3 2 4" xfId="4330"/>
    <cellStyle name="Total 2 2 3 3 3 2 4 2" xfId="22891"/>
    <cellStyle name="Total 2 2 3 3 3 2 5" xfId="15142"/>
    <cellStyle name="Total 2 2 3 3 3 3" xfId="2694"/>
    <cellStyle name="Total 2 2 3 3 3 3 2" xfId="7555"/>
    <cellStyle name="Total 2 2 3 3 3 3 2 2" xfId="10169"/>
    <cellStyle name="Total 2 2 3 3 3 3 2 2 2" xfId="16431"/>
    <cellStyle name="Total 2 2 3 3 3 3 2 2 2 2" xfId="29847"/>
    <cellStyle name="Total 2 2 3 3 3 3 2 2 3" xfId="21176"/>
    <cellStyle name="Total 2 2 3 3 3 3 2 3" xfId="14159"/>
    <cellStyle name="Total 2 2 3 3 3 3 2 3 2" xfId="28481"/>
    <cellStyle name="Total 2 2 3 3 3 3 2 4" xfId="19804"/>
    <cellStyle name="Total 2 2 3 3 3 3 3" xfId="13405"/>
    <cellStyle name="Total 2 2 3 3 3 3 3 2" xfId="27727"/>
    <cellStyle name="Total 2 2 3 3 3 3 4" xfId="19050"/>
    <cellStyle name="Total 2 2 3 3 3 4" xfId="5870"/>
    <cellStyle name="Total 2 2 3 3 3 4 2" xfId="12423"/>
    <cellStyle name="Total 2 2 3 3 3 4 2 2" xfId="26745"/>
    <cellStyle name="Total 2 2 3 3 3 4 3" xfId="18068"/>
    <cellStyle name="Total 2 2 3 3 3 5" xfId="4160"/>
    <cellStyle name="Total 2 2 3 3 3 5 2" xfId="22790"/>
    <cellStyle name="Total 2 2 3 3 3 6" xfId="14887"/>
    <cellStyle name="Total 2 2 3 3 4" xfId="2695"/>
    <cellStyle name="Total 2 2 3 3 4 2" xfId="6995"/>
    <cellStyle name="Total 2 2 3 3 4 2 2" xfId="13599"/>
    <cellStyle name="Total 2 2 3 3 4 2 2 2" xfId="27921"/>
    <cellStyle name="Total 2 2 3 3 4 2 3" xfId="19244"/>
    <cellStyle name="Total 2 2 3 3 4 3" xfId="7379"/>
    <cellStyle name="Total 2 2 3 3 4 3 2" xfId="9993"/>
    <cellStyle name="Total 2 2 3 3 4 3 2 2" xfId="16255"/>
    <cellStyle name="Total 2 2 3 3 4 3 2 2 2" xfId="29671"/>
    <cellStyle name="Total 2 2 3 3 4 3 2 3" xfId="21000"/>
    <cellStyle name="Total 2 2 3 3 4 3 3" xfId="13983"/>
    <cellStyle name="Total 2 2 3 3 4 3 3 2" xfId="28305"/>
    <cellStyle name="Total 2 2 3 3 4 3 4" xfId="19628"/>
    <cellStyle name="Total 2 2 3 3 4 4" xfId="11509"/>
    <cellStyle name="Total 2 2 3 3 4 4 2" xfId="25831"/>
    <cellStyle name="Total 2 2 3 3 4 5" xfId="17159"/>
    <cellStyle name="Total 2 2 3 3 5" xfId="2696"/>
    <cellStyle name="Total 2 2 3 3 5 2" xfId="5337"/>
    <cellStyle name="Total 2 2 3 3 5 2 2" xfId="9646"/>
    <cellStyle name="Total 2 2 3 3 5 2 2 2" xfId="15908"/>
    <cellStyle name="Total 2 2 3 3 5 2 2 2 2" xfId="29324"/>
    <cellStyle name="Total 2 2 3 3 5 2 2 3" xfId="20653"/>
    <cellStyle name="Total 2 2 3 3 5 2 3" xfId="11887"/>
    <cellStyle name="Total 2 2 3 3 5 2 3 2" xfId="26209"/>
    <cellStyle name="Total 2 2 3 3 5 2 4" xfId="17532"/>
    <cellStyle name="Total 2 2 3 3 5 3" xfId="12909"/>
    <cellStyle name="Total 2 2 3 3 5 3 2" xfId="27231"/>
    <cellStyle name="Total 2 2 3 3 5 4" xfId="18554"/>
    <cellStyle name="Total 2 2 3 3 6" xfId="5533"/>
    <cellStyle name="Total 2 2 3 3 6 2" xfId="12084"/>
    <cellStyle name="Total 2 2 3 3 6 2 2" xfId="26406"/>
    <cellStyle name="Total 2 2 3 3 6 3" xfId="17729"/>
    <cellStyle name="Total 2 2 3 3 7" xfId="6719"/>
    <cellStyle name="Total 2 2 3 3 7 2" xfId="23673"/>
    <cellStyle name="Total 2 2 3 3 8" xfId="16995"/>
    <cellStyle name="Total 2 2 3 4" xfId="2697"/>
    <cellStyle name="Total 2 2 3 4 2" xfId="2698"/>
    <cellStyle name="Total 2 2 3 4 2 2" xfId="2699"/>
    <cellStyle name="Total 2 2 3 4 2 2 2" xfId="6373"/>
    <cellStyle name="Total 2 2 3 4 2 2 2 2" xfId="12956"/>
    <cellStyle name="Total 2 2 3 4 2 2 2 2 2" xfId="27278"/>
    <cellStyle name="Total 2 2 3 4 2 2 2 3" xfId="18601"/>
    <cellStyle name="Total 2 2 3 4 2 2 3" xfId="7077"/>
    <cellStyle name="Total 2 2 3 4 2 2 3 2" xfId="9691"/>
    <cellStyle name="Total 2 2 3 4 2 2 3 2 2" xfId="15953"/>
    <cellStyle name="Total 2 2 3 4 2 2 3 2 2 2" xfId="29369"/>
    <cellStyle name="Total 2 2 3 4 2 2 3 2 3" xfId="20698"/>
    <cellStyle name="Total 2 2 3 4 2 2 3 3" xfId="13681"/>
    <cellStyle name="Total 2 2 3 4 2 2 3 3 2" xfId="28003"/>
    <cellStyle name="Total 2 2 3 4 2 2 3 4" xfId="19326"/>
    <cellStyle name="Total 2 2 3 4 2 2 4" xfId="4039"/>
    <cellStyle name="Total 2 2 3 4 2 2 4 2" xfId="22717"/>
    <cellStyle name="Total 2 2 3 4 2 2 5" xfId="15276"/>
    <cellStyle name="Total 2 2 3 4 2 3" xfId="2700"/>
    <cellStyle name="Total 2 2 3 4 2 3 2" xfId="7684"/>
    <cellStyle name="Total 2 2 3 4 2 3 2 2" xfId="10298"/>
    <cellStyle name="Total 2 2 3 4 2 3 2 2 2" xfId="16560"/>
    <cellStyle name="Total 2 2 3 4 2 3 2 2 2 2" xfId="29976"/>
    <cellStyle name="Total 2 2 3 4 2 3 2 2 3" xfId="21305"/>
    <cellStyle name="Total 2 2 3 4 2 3 2 3" xfId="14288"/>
    <cellStyle name="Total 2 2 3 4 2 3 2 3 2" xfId="28610"/>
    <cellStyle name="Total 2 2 3 4 2 3 2 4" xfId="19933"/>
    <cellStyle name="Total 2 2 3 4 2 3 3" xfId="13282"/>
    <cellStyle name="Total 2 2 3 4 2 3 3 2" xfId="27604"/>
    <cellStyle name="Total 2 2 3 4 2 3 4" xfId="18927"/>
    <cellStyle name="Total 2 2 3 4 2 4" xfId="5732"/>
    <cellStyle name="Total 2 2 3 4 2 4 2" xfId="12285"/>
    <cellStyle name="Total 2 2 3 4 2 4 2 2" xfId="26607"/>
    <cellStyle name="Total 2 2 3 4 2 4 3" xfId="17930"/>
    <cellStyle name="Total 2 2 3 4 2 5" xfId="6731"/>
    <cellStyle name="Total 2 2 3 4 2 5 2" xfId="23684"/>
    <cellStyle name="Total 2 2 3 4 2 6" xfId="6696"/>
    <cellStyle name="Total 2 2 3 4 3" xfId="2701"/>
    <cellStyle name="Total 2 2 3 4 3 2" xfId="2702"/>
    <cellStyle name="Total 2 2 3 4 3 2 2" xfId="6531"/>
    <cellStyle name="Total 2 2 3 4 3 2 2 2" xfId="13119"/>
    <cellStyle name="Total 2 2 3 4 3 2 2 2 2" xfId="27441"/>
    <cellStyle name="Total 2 2 3 4 3 2 2 3" xfId="18764"/>
    <cellStyle name="Total 2 2 3 4 3 2 3" xfId="7389"/>
    <cellStyle name="Total 2 2 3 4 3 2 3 2" xfId="10003"/>
    <cellStyle name="Total 2 2 3 4 3 2 3 2 2" xfId="16265"/>
    <cellStyle name="Total 2 2 3 4 3 2 3 2 2 2" xfId="29681"/>
    <cellStyle name="Total 2 2 3 4 3 2 3 2 3" xfId="21010"/>
    <cellStyle name="Total 2 2 3 4 3 2 3 3" xfId="13993"/>
    <cellStyle name="Total 2 2 3 4 3 2 3 3 2" xfId="28315"/>
    <cellStyle name="Total 2 2 3 4 3 2 3 4" xfId="19638"/>
    <cellStyle name="Total 2 2 3 4 3 2 4" xfId="3596"/>
    <cellStyle name="Total 2 2 3 4 3 2 4 2" xfId="22479"/>
    <cellStyle name="Total 2 2 3 4 3 2 5" xfId="15426"/>
    <cellStyle name="Total 2 2 3 4 3 3" xfId="2703"/>
    <cellStyle name="Total 2 2 3 4 3 3 2" xfId="7221"/>
    <cellStyle name="Total 2 2 3 4 3 3 2 2" xfId="9835"/>
    <cellStyle name="Total 2 2 3 4 3 3 2 2 2" xfId="16097"/>
    <cellStyle name="Total 2 2 3 4 3 3 2 2 2 2" xfId="29513"/>
    <cellStyle name="Total 2 2 3 4 3 3 2 2 3" xfId="20842"/>
    <cellStyle name="Total 2 2 3 4 3 3 2 3" xfId="13825"/>
    <cellStyle name="Total 2 2 3 4 3 3 2 3 2" xfId="28147"/>
    <cellStyle name="Total 2 2 3 4 3 3 2 4" xfId="19470"/>
    <cellStyle name="Total 2 2 3 4 3 3 3" xfId="12699"/>
    <cellStyle name="Total 2 2 3 4 3 3 3 2" xfId="27021"/>
    <cellStyle name="Total 2 2 3 4 3 3 4" xfId="18344"/>
    <cellStyle name="Total 2 2 3 4 3 4" xfId="5091"/>
    <cellStyle name="Total 2 2 3 4 3 4 2" xfId="11638"/>
    <cellStyle name="Total 2 2 3 4 3 4 2 2" xfId="25960"/>
    <cellStyle name="Total 2 2 3 4 3 4 3" xfId="3244"/>
    <cellStyle name="Total 2 2 3 4 3 5" xfId="4285"/>
    <cellStyle name="Total 2 2 3 4 3 5 2" xfId="22870"/>
    <cellStyle name="Total 2 2 3 4 3 6" xfId="6046"/>
    <cellStyle name="Total 2 2 3 4 4" xfId="2704"/>
    <cellStyle name="Total 2 2 3 4 4 2" xfId="6965"/>
    <cellStyle name="Total 2 2 3 4 4 2 2" xfId="13569"/>
    <cellStyle name="Total 2 2 3 4 4 2 2 2" xfId="27891"/>
    <cellStyle name="Total 2 2 3 4 4 2 3" xfId="19214"/>
    <cellStyle name="Total 2 2 3 4 4 3" xfId="7681"/>
    <cellStyle name="Total 2 2 3 4 4 3 2" xfId="10295"/>
    <cellStyle name="Total 2 2 3 4 4 3 2 2" xfId="16557"/>
    <cellStyle name="Total 2 2 3 4 4 3 2 2 2" xfId="29973"/>
    <cellStyle name="Total 2 2 3 4 4 3 2 3" xfId="21302"/>
    <cellStyle name="Total 2 2 3 4 4 3 3" xfId="14285"/>
    <cellStyle name="Total 2 2 3 4 4 3 3 2" xfId="28607"/>
    <cellStyle name="Total 2 2 3 4 4 3 4" xfId="19930"/>
    <cellStyle name="Total 2 2 3 4 4 4" xfId="11469"/>
    <cellStyle name="Total 2 2 3 4 4 4 2" xfId="25791"/>
    <cellStyle name="Total 2 2 3 4 4 5" xfId="5984"/>
    <cellStyle name="Total 2 2 3 4 5" xfId="2705"/>
    <cellStyle name="Total 2 2 3 4 5 2" xfId="8025"/>
    <cellStyle name="Total 2 2 3 4 5 2 2" xfId="10639"/>
    <cellStyle name="Total 2 2 3 4 5 2 2 2" xfId="16901"/>
    <cellStyle name="Total 2 2 3 4 5 2 2 2 2" xfId="30317"/>
    <cellStyle name="Total 2 2 3 4 5 2 2 3" xfId="21646"/>
    <cellStyle name="Total 2 2 3 4 5 2 3" xfId="14629"/>
    <cellStyle name="Total 2 2 3 4 5 2 3 2" xfId="28951"/>
    <cellStyle name="Total 2 2 3 4 5 2 4" xfId="20274"/>
    <cellStyle name="Total 2 2 3 4 5 3" xfId="12849"/>
    <cellStyle name="Total 2 2 3 4 5 3 2" xfId="27171"/>
    <cellStyle name="Total 2 2 3 4 5 4" xfId="18494"/>
    <cellStyle name="Total 2 2 3 4 6" xfId="5438"/>
    <cellStyle name="Total 2 2 3 4 6 2" xfId="11989"/>
    <cellStyle name="Total 2 2 3 4 6 2 2" xfId="26311"/>
    <cellStyle name="Total 2 2 3 4 6 3" xfId="17634"/>
    <cellStyle name="Total 2 2 3 4 7" xfId="5624"/>
    <cellStyle name="Total 2 2 3 4 7 2" xfId="23358"/>
    <cellStyle name="Total 2 2 3 4 8" xfId="17172"/>
    <cellStyle name="Total 2 2 3 5" xfId="2706"/>
    <cellStyle name="Total 2 2 3 5 2" xfId="2707"/>
    <cellStyle name="Total 2 2 3 5 2 2" xfId="2708"/>
    <cellStyle name="Total 2 2 3 5 2 2 2" xfId="6379"/>
    <cellStyle name="Total 2 2 3 5 2 2 2 2" xfId="12962"/>
    <cellStyle name="Total 2 2 3 5 2 2 2 2 2" xfId="27284"/>
    <cellStyle name="Total 2 2 3 5 2 2 2 3" xfId="18607"/>
    <cellStyle name="Total 2 2 3 5 2 2 3" xfId="7992"/>
    <cellStyle name="Total 2 2 3 5 2 2 3 2" xfId="10606"/>
    <cellStyle name="Total 2 2 3 5 2 2 3 2 2" xfId="16868"/>
    <cellStyle name="Total 2 2 3 5 2 2 3 2 2 2" xfId="30284"/>
    <cellStyle name="Total 2 2 3 5 2 2 3 2 3" xfId="21613"/>
    <cellStyle name="Total 2 2 3 5 2 2 3 3" xfId="14596"/>
    <cellStyle name="Total 2 2 3 5 2 2 3 3 2" xfId="28918"/>
    <cellStyle name="Total 2 2 3 5 2 2 3 4" xfId="20241"/>
    <cellStyle name="Total 2 2 3 5 2 2 4" xfId="6346"/>
    <cellStyle name="Total 2 2 3 5 2 2 4 2" xfId="23532"/>
    <cellStyle name="Total 2 2 3 5 2 2 5" xfId="17280"/>
    <cellStyle name="Total 2 2 3 5 2 3" xfId="2709"/>
    <cellStyle name="Total 2 2 3 5 2 3 2" xfId="7166"/>
    <cellStyle name="Total 2 2 3 5 2 3 2 2" xfId="9780"/>
    <cellStyle name="Total 2 2 3 5 2 3 2 2 2" xfId="16042"/>
    <cellStyle name="Total 2 2 3 5 2 3 2 2 2 2" xfId="29458"/>
    <cellStyle name="Total 2 2 3 5 2 3 2 2 3" xfId="20787"/>
    <cellStyle name="Total 2 2 3 5 2 3 2 3" xfId="13770"/>
    <cellStyle name="Total 2 2 3 5 2 3 2 3 2" xfId="28092"/>
    <cellStyle name="Total 2 2 3 5 2 3 2 4" xfId="19415"/>
    <cellStyle name="Total 2 2 3 5 2 3 3" xfId="13093"/>
    <cellStyle name="Total 2 2 3 5 2 3 3 2" xfId="27415"/>
    <cellStyle name="Total 2 2 3 5 2 3 4" xfId="18738"/>
    <cellStyle name="Total 2 2 3 5 2 4" xfId="5448"/>
    <cellStyle name="Total 2 2 3 5 2 4 2" xfId="11999"/>
    <cellStyle name="Total 2 2 3 5 2 4 2 2" xfId="26321"/>
    <cellStyle name="Total 2 2 3 5 2 4 3" xfId="17644"/>
    <cellStyle name="Total 2 2 3 5 2 5" xfId="6758"/>
    <cellStyle name="Total 2 2 3 5 2 5 2" xfId="23706"/>
    <cellStyle name="Total 2 2 3 5 2 6" xfId="4724"/>
    <cellStyle name="Total 2 2 3 5 3" xfId="2710"/>
    <cellStyle name="Total 2 2 3 5 3 2" xfId="6938"/>
    <cellStyle name="Total 2 2 3 5 3 2 2" xfId="13542"/>
    <cellStyle name="Total 2 2 3 5 3 2 2 2" xfId="27864"/>
    <cellStyle name="Total 2 2 3 5 3 2 3" xfId="19187"/>
    <cellStyle name="Total 2 2 3 5 3 3" xfId="7899"/>
    <cellStyle name="Total 2 2 3 5 3 3 2" xfId="10513"/>
    <cellStyle name="Total 2 2 3 5 3 3 2 2" xfId="16775"/>
    <cellStyle name="Total 2 2 3 5 3 3 2 2 2" xfId="30191"/>
    <cellStyle name="Total 2 2 3 5 3 3 2 3" xfId="21520"/>
    <cellStyle name="Total 2 2 3 5 3 3 3" xfId="14503"/>
    <cellStyle name="Total 2 2 3 5 3 3 3 2" xfId="28825"/>
    <cellStyle name="Total 2 2 3 5 3 3 4" xfId="20148"/>
    <cellStyle name="Total 2 2 3 5 3 4" xfId="11431"/>
    <cellStyle name="Total 2 2 3 5 3 4 2" xfId="25753"/>
    <cellStyle name="Total 2 2 3 5 3 5" xfId="14711"/>
    <cellStyle name="Total 2 2 3 5 4" xfId="2711"/>
    <cellStyle name="Total 2 2 3 5 4 2" xfId="7206"/>
    <cellStyle name="Total 2 2 3 5 4 2 2" xfId="9820"/>
    <cellStyle name="Total 2 2 3 5 4 2 2 2" xfId="16082"/>
    <cellStyle name="Total 2 2 3 5 4 2 2 2 2" xfId="29498"/>
    <cellStyle name="Total 2 2 3 5 4 2 2 3" xfId="20827"/>
    <cellStyle name="Total 2 2 3 5 4 2 3" xfId="13810"/>
    <cellStyle name="Total 2 2 3 5 4 2 3 2" xfId="28132"/>
    <cellStyle name="Total 2 2 3 5 4 2 4" xfId="19455"/>
    <cellStyle name="Total 2 2 3 5 4 3" xfId="12844"/>
    <cellStyle name="Total 2 2 3 5 4 3 2" xfId="27166"/>
    <cellStyle name="Total 2 2 3 5 4 4" xfId="18489"/>
    <cellStyle name="Total 2 2 3 5 5" xfId="5426"/>
    <cellStyle name="Total 2 2 3 5 5 2" xfId="11977"/>
    <cellStyle name="Total 2 2 3 5 5 2 2" xfId="26299"/>
    <cellStyle name="Total 2 2 3 5 5 3" xfId="17622"/>
    <cellStyle name="Total 2 2 3 5 6" xfId="3632"/>
    <cellStyle name="Total 2 2 3 5 6 2" xfId="22495"/>
    <cellStyle name="Total 2 2 3 5 7" xfId="15454"/>
    <cellStyle name="Total 2 2 3 6" xfId="2712"/>
    <cellStyle name="Total 2 2 3 6 2" xfId="2713"/>
    <cellStyle name="Total 2 2 3 6 2 2" xfId="6278"/>
    <cellStyle name="Total 2 2 3 6 2 2 2" xfId="12860"/>
    <cellStyle name="Total 2 2 3 6 2 2 2 2" xfId="27182"/>
    <cellStyle name="Total 2 2 3 6 2 2 3" xfId="18505"/>
    <cellStyle name="Total 2 2 3 6 2 3" xfId="4989"/>
    <cellStyle name="Total 2 2 3 6 2 3 2" xfId="9533"/>
    <cellStyle name="Total 2 2 3 6 2 3 2 2" xfId="15795"/>
    <cellStyle name="Total 2 2 3 6 2 3 2 2 2" xfId="29211"/>
    <cellStyle name="Total 2 2 3 6 2 3 2 3" xfId="20540"/>
    <cellStyle name="Total 2 2 3 6 2 3 3" xfId="11532"/>
    <cellStyle name="Total 2 2 3 6 2 3 3 2" xfId="25854"/>
    <cellStyle name="Total 2 2 3 6 2 3 4" xfId="17339"/>
    <cellStyle name="Total 2 2 3 6 2 4" xfId="5917"/>
    <cellStyle name="Total 2 2 3 6 2 4 2" xfId="23372"/>
    <cellStyle name="Total 2 2 3 6 2 5" xfId="15434"/>
    <cellStyle name="Total 2 2 3 6 3" xfId="2714"/>
    <cellStyle name="Total 2 2 3 6 3 2" xfId="7839"/>
    <cellStyle name="Total 2 2 3 6 3 2 2" xfId="10453"/>
    <cellStyle name="Total 2 2 3 6 3 2 2 2" xfId="16715"/>
    <cellStyle name="Total 2 2 3 6 3 2 2 2 2" xfId="30131"/>
    <cellStyle name="Total 2 2 3 6 3 2 2 3" xfId="21460"/>
    <cellStyle name="Total 2 2 3 6 3 2 3" xfId="14443"/>
    <cellStyle name="Total 2 2 3 6 3 2 3 2" xfId="28765"/>
    <cellStyle name="Total 2 2 3 6 3 2 4" xfId="20088"/>
    <cellStyle name="Total 2 2 3 6 3 3" xfId="12672"/>
    <cellStyle name="Total 2 2 3 6 3 3 2" xfId="26994"/>
    <cellStyle name="Total 2 2 3 6 3 4" xfId="18317"/>
    <cellStyle name="Total 2 2 3 6 4" xfId="5238"/>
    <cellStyle name="Total 2 2 3 6 4 2" xfId="11788"/>
    <cellStyle name="Total 2 2 3 6 4 2 2" xfId="26110"/>
    <cellStyle name="Total 2 2 3 6 4 3" xfId="17433"/>
    <cellStyle name="Total 2 2 3 6 5" xfId="6359"/>
    <cellStyle name="Total 2 2 3 6 5 2" xfId="23543"/>
    <cellStyle name="Total 2 2 3 6 6" xfId="4554"/>
    <cellStyle name="Total 2 2 3 7" xfId="2715"/>
    <cellStyle name="Total 2 2 3 7 2" xfId="6048"/>
    <cellStyle name="Total 2 2 3 7 2 2" xfId="12614"/>
    <cellStyle name="Total 2 2 3 7 2 2 2" xfId="26936"/>
    <cellStyle name="Total 2 2 3 7 2 3" xfId="18259"/>
    <cellStyle name="Total 2 2 3 7 3" xfId="7632"/>
    <cellStyle name="Total 2 2 3 7 3 2" xfId="10246"/>
    <cellStyle name="Total 2 2 3 7 3 2 2" xfId="16508"/>
    <cellStyle name="Total 2 2 3 7 3 2 2 2" xfId="29924"/>
    <cellStyle name="Total 2 2 3 7 3 2 3" xfId="21253"/>
    <cellStyle name="Total 2 2 3 7 3 3" xfId="14236"/>
    <cellStyle name="Total 2 2 3 7 3 3 2" xfId="28558"/>
    <cellStyle name="Total 2 2 3 7 3 4" xfId="19881"/>
    <cellStyle name="Total 2 2 3 7 4" xfId="6732"/>
    <cellStyle name="Total 2 2 3 7 4 2" xfId="23685"/>
    <cellStyle name="Total 2 2 3 7 5" xfId="17214"/>
    <cellStyle name="Total 2 2 3 8" xfId="2716"/>
    <cellStyle name="Total 2 2 3 8 2" xfId="7939"/>
    <cellStyle name="Total 2 2 3 8 2 2" xfId="10553"/>
    <cellStyle name="Total 2 2 3 8 2 2 2" xfId="16815"/>
    <cellStyle name="Total 2 2 3 8 2 2 2 2" xfId="30231"/>
    <cellStyle name="Total 2 2 3 8 2 2 3" xfId="21560"/>
    <cellStyle name="Total 2 2 3 8 2 3" xfId="14543"/>
    <cellStyle name="Total 2 2 3 8 2 3 2" xfId="28865"/>
    <cellStyle name="Total 2 2 3 8 2 4" xfId="20188"/>
    <cellStyle name="Total 2 2 3 8 3" xfId="12500"/>
    <cellStyle name="Total 2 2 3 8 3 2" xfId="26822"/>
    <cellStyle name="Total 2 2 3 8 4" xfId="18145"/>
    <cellStyle name="Total 2 2 3 9" xfId="5168"/>
    <cellStyle name="Total 2 2 3 9 2" xfId="11717"/>
    <cellStyle name="Total 2 2 3 9 2 2" xfId="26039"/>
    <cellStyle name="Total 2 2 3 9 3" xfId="4054"/>
    <cellStyle name="Total 2 2 4" xfId="2717"/>
    <cellStyle name="Total 2 2 4 2" xfId="2718"/>
    <cellStyle name="Total 2 2 4 2 2" xfId="2719"/>
    <cellStyle name="Total 2 2 4 2 2 2" xfId="6056"/>
    <cellStyle name="Total 2 2 4 2 2 2 2" xfId="12622"/>
    <cellStyle name="Total 2 2 4 2 2 2 2 2" xfId="26944"/>
    <cellStyle name="Total 2 2 4 2 2 2 3" xfId="18267"/>
    <cellStyle name="Total 2 2 4 2 2 3" xfId="7986"/>
    <cellStyle name="Total 2 2 4 2 2 3 2" xfId="10600"/>
    <cellStyle name="Total 2 2 4 2 2 3 2 2" xfId="16862"/>
    <cellStyle name="Total 2 2 4 2 2 3 2 2 2" xfId="30278"/>
    <cellStyle name="Total 2 2 4 2 2 3 2 3" xfId="21607"/>
    <cellStyle name="Total 2 2 4 2 2 3 3" xfId="14590"/>
    <cellStyle name="Total 2 2 4 2 2 3 3 2" xfId="28912"/>
    <cellStyle name="Total 2 2 4 2 2 3 4" xfId="20235"/>
    <cellStyle name="Total 2 2 4 2 2 4" xfId="3675"/>
    <cellStyle name="Total 2 2 4 2 2 4 2" xfId="22520"/>
    <cellStyle name="Total 2 2 4 2 2 5" xfId="15059"/>
    <cellStyle name="Total 2 2 4 2 3" xfId="2720"/>
    <cellStyle name="Total 2 2 4 2 3 2" xfId="7871"/>
    <cellStyle name="Total 2 2 4 2 3 2 2" xfId="10485"/>
    <cellStyle name="Total 2 2 4 2 3 2 2 2" xfId="16747"/>
    <cellStyle name="Total 2 2 4 2 3 2 2 2 2" xfId="30163"/>
    <cellStyle name="Total 2 2 4 2 3 2 2 3" xfId="21492"/>
    <cellStyle name="Total 2 2 4 2 3 2 3" xfId="14475"/>
    <cellStyle name="Total 2 2 4 2 3 2 3 2" xfId="28797"/>
    <cellStyle name="Total 2 2 4 2 3 2 4" xfId="20120"/>
    <cellStyle name="Total 2 2 4 2 3 3" xfId="13283"/>
    <cellStyle name="Total 2 2 4 2 3 3 2" xfId="27605"/>
    <cellStyle name="Total 2 2 4 2 3 4" xfId="18928"/>
    <cellStyle name="Total 2 2 4 2 4" xfId="5733"/>
    <cellStyle name="Total 2 2 4 2 4 2" xfId="12286"/>
    <cellStyle name="Total 2 2 4 2 4 2 2" xfId="26608"/>
    <cellStyle name="Total 2 2 4 2 4 3" xfId="17931"/>
    <cellStyle name="Total 2 2 4 2 5" xfId="3748"/>
    <cellStyle name="Total 2 2 4 2 5 2" xfId="22562"/>
    <cellStyle name="Total 2 2 4 2 6" xfId="6095"/>
    <cellStyle name="Total 2 2 4 3" xfId="2721"/>
    <cellStyle name="Total 2 2 4 3 2" xfId="2722"/>
    <cellStyle name="Total 2 2 4 3 2 2" xfId="6915"/>
    <cellStyle name="Total 2 2 4 3 2 2 2" xfId="13519"/>
    <cellStyle name="Total 2 2 4 3 2 2 2 2" xfId="27841"/>
    <cellStyle name="Total 2 2 4 3 2 2 3" xfId="19164"/>
    <cellStyle name="Total 2 2 4 3 2 3" xfId="7633"/>
    <cellStyle name="Total 2 2 4 3 2 3 2" xfId="10247"/>
    <cellStyle name="Total 2 2 4 3 2 3 2 2" xfId="16509"/>
    <cellStyle name="Total 2 2 4 3 2 3 2 2 2" xfId="29925"/>
    <cellStyle name="Total 2 2 4 3 2 3 2 3" xfId="21254"/>
    <cellStyle name="Total 2 2 4 3 2 3 3" xfId="14237"/>
    <cellStyle name="Total 2 2 4 3 2 3 3 2" xfId="28559"/>
    <cellStyle name="Total 2 2 4 3 2 3 4" xfId="19882"/>
    <cellStyle name="Total 2 2 4 3 2 4" xfId="11401"/>
    <cellStyle name="Total 2 2 4 3 2 4 2" xfId="25723"/>
    <cellStyle name="Total 2 2 4 3 2 5" xfId="17322"/>
    <cellStyle name="Total 2 2 4 3 3" xfId="2723"/>
    <cellStyle name="Total 2 2 4 3 3 2" xfId="7616"/>
    <cellStyle name="Total 2 2 4 3 3 2 2" xfId="10230"/>
    <cellStyle name="Total 2 2 4 3 3 2 2 2" xfId="16492"/>
    <cellStyle name="Total 2 2 4 3 3 2 2 2 2" xfId="29908"/>
    <cellStyle name="Total 2 2 4 3 3 2 2 3" xfId="21237"/>
    <cellStyle name="Total 2 2 4 3 3 2 3" xfId="14220"/>
    <cellStyle name="Total 2 2 4 3 3 2 3 2" xfId="28542"/>
    <cellStyle name="Total 2 2 4 3 3 2 4" xfId="19865"/>
    <cellStyle name="Total 2 2 4 3 3 3" xfId="13424"/>
    <cellStyle name="Total 2 2 4 3 3 3 2" xfId="27746"/>
    <cellStyle name="Total 2 2 4 3 3 4" xfId="19069"/>
    <cellStyle name="Total 2 2 4 3 4" xfId="5898"/>
    <cellStyle name="Total 2 2 4 3 4 2" xfId="12452"/>
    <cellStyle name="Total 2 2 4 3 4 2 2" xfId="26774"/>
    <cellStyle name="Total 2 2 4 3 4 3" xfId="18097"/>
    <cellStyle name="Total 2 2 4 3 5" xfId="2826"/>
    <cellStyle name="Total 2 2 4 3 5 2" xfId="22389"/>
    <cellStyle name="Total 2 2 4 3 6" xfId="15272"/>
    <cellStyle name="Total 2 2 4 4" xfId="2724"/>
    <cellStyle name="Total 2 2 4 4 2" xfId="5112"/>
    <cellStyle name="Total 2 2 4 4 2 2" xfId="11660"/>
    <cellStyle name="Total 2 2 4 4 2 2 2" xfId="25982"/>
    <cellStyle name="Total 2 2 4 4 2 3" xfId="15125"/>
    <cellStyle name="Total 2 2 4 4 3" xfId="4755"/>
    <cellStyle name="Total 2 2 4 4 3 2" xfId="9476"/>
    <cellStyle name="Total 2 2 4 4 3 2 2" xfId="15738"/>
    <cellStyle name="Total 2 2 4 4 3 2 2 2" xfId="29154"/>
    <cellStyle name="Total 2 2 4 4 3 2 3" xfId="20483"/>
    <cellStyle name="Total 2 2 4 4 3 3" xfId="2818"/>
    <cellStyle name="Total 2 2 4 4 3 3 2" xfId="22381"/>
    <cellStyle name="Total 2 2 4 4 3 4" xfId="6705"/>
    <cellStyle name="Total 2 2 4 4 4" xfId="5068"/>
    <cellStyle name="Total 2 2 4 4 4 2" xfId="23323"/>
    <cellStyle name="Total 2 2 4 4 5" xfId="14924"/>
    <cellStyle name="Total 2 2 4 5" xfId="2725"/>
    <cellStyle name="Total 2 2 4 5 2" xfId="7823"/>
    <cellStyle name="Total 2 2 4 5 2 2" xfId="10437"/>
    <cellStyle name="Total 2 2 4 5 2 2 2" xfId="16699"/>
    <cellStyle name="Total 2 2 4 5 2 2 2 2" xfId="30115"/>
    <cellStyle name="Total 2 2 4 5 2 2 3" xfId="21444"/>
    <cellStyle name="Total 2 2 4 5 2 3" xfId="14427"/>
    <cellStyle name="Total 2 2 4 5 2 3 2" xfId="28749"/>
    <cellStyle name="Total 2 2 4 5 2 4" xfId="20072"/>
    <cellStyle name="Total 2 2 4 5 3" xfId="12851"/>
    <cellStyle name="Total 2 2 4 5 3 2" xfId="27173"/>
    <cellStyle name="Total 2 2 4 5 4" xfId="18496"/>
    <cellStyle name="Total 2 2 4 6" xfId="5440"/>
    <cellStyle name="Total 2 2 4 6 2" xfId="11991"/>
    <cellStyle name="Total 2 2 4 6 2 2" xfId="26313"/>
    <cellStyle name="Total 2 2 4 6 3" xfId="17636"/>
    <cellStyle name="Total 2 2 4 7" xfId="6098"/>
    <cellStyle name="Total 2 2 4 7 2" xfId="23414"/>
    <cellStyle name="Total 2 2 4 8" xfId="15577"/>
    <cellStyle name="Total 2 2 5" xfId="2726"/>
    <cellStyle name="Total 2 2 5 2" xfId="2727"/>
    <cellStyle name="Total 2 2 5 2 2" xfId="2728"/>
    <cellStyle name="Total 2 2 5 2 2 2" xfId="6371"/>
    <cellStyle name="Total 2 2 5 2 2 2 2" xfId="12954"/>
    <cellStyle name="Total 2 2 5 2 2 2 2 2" xfId="27276"/>
    <cellStyle name="Total 2 2 5 2 2 2 3" xfId="18599"/>
    <cellStyle name="Total 2 2 5 2 2 3" xfId="7062"/>
    <cellStyle name="Total 2 2 5 2 2 3 2" xfId="9676"/>
    <cellStyle name="Total 2 2 5 2 2 3 2 2" xfId="15938"/>
    <cellStyle name="Total 2 2 5 2 2 3 2 2 2" xfId="29354"/>
    <cellStyle name="Total 2 2 5 2 2 3 2 3" xfId="20683"/>
    <cellStyle name="Total 2 2 5 2 2 3 3" xfId="13666"/>
    <cellStyle name="Total 2 2 5 2 2 3 3 2" xfId="27988"/>
    <cellStyle name="Total 2 2 5 2 2 3 4" xfId="19311"/>
    <cellStyle name="Total 2 2 5 2 2 4" xfId="3623"/>
    <cellStyle name="Total 2 2 5 2 2 4 2" xfId="22491"/>
    <cellStyle name="Total 2 2 5 2 2 5" xfId="14938"/>
    <cellStyle name="Total 2 2 5 2 3" xfId="2729"/>
    <cellStyle name="Total 2 2 5 2 3 2" xfId="5335"/>
    <cellStyle name="Total 2 2 5 2 3 2 2" xfId="9644"/>
    <cellStyle name="Total 2 2 5 2 3 2 2 2" xfId="15906"/>
    <cellStyle name="Total 2 2 5 2 3 2 2 2 2" xfId="29322"/>
    <cellStyle name="Total 2 2 5 2 3 2 2 3" xfId="20651"/>
    <cellStyle name="Total 2 2 5 2 3 2 3" xfId="11885"/>
    <cellStyle name="Total 2 2 5 2 3 2 3 2" xfId="26207"/>
    <cellStyle name="Total 2 2 5 2 3 2 4" xfId="17530"/>
    <cellStyle name="Total 2 2 5 2 3 3" xfId="13239"/>
    <cellStyle name="Total 2 2 5 2 3 3 2" xfId="27561"/>
    <cellStyle name="Total 2 2 5 2 3 4" xfId="18884"/>
    <cellStyle name="Total 2 2 5 2 4" xfId="5680"/>
    <cellStyle name="Total 2 2 5 2 4 2" xfId="12233"/>
    <cellStyle name="Total 2 2 5 2 4 2 2" xfId="26555"/>
    <cellStyle name="Total 2 2 5 2 4 3" xfId="17878"/>
    <cellStyle name="Total 2 2 5 2 5" xfId="6767"/>
    <cellStyle name="Total 2 2 5 2 5 2" xfId="23713"/>
    <cellStyle name="Total 2 2 5 2 6" xfId="3886"/>
    <cellStyle name="Total 2 2 5 3" xfId="2730"/>
    <cellStyle name="Total 2 2 5 3 2" xfId="2731"/>
    <cellStyle name="Total 2 2 5 3 2 2" xfId="6561"/>
    <cellStyle name="Total 2 2 5 3 2 2 2" xfId="13149"/>
    <cellStyle name="Total 2 2 5 3 2 2 2 2" xfId="27471"/>
    <cellStyle name="Total 2 2 5 3 2 2 3" xfId="18794"/>
    <cellStyle name="Total 2 2 5 3 2 3" xfId="8001"/>
    <cellStyle name="Total 2 2 5 3 2 3 2" xfId="10615"/>
    <cellStyle name="Total 2 2 5 3 2 3 2 2" xfId="16877"/>
    <cellStyle name="Total 2 2 5 3 2 3 2 2 2" xfId="30293"/>
    <cellStyle name="Total 2 2 5 3 2 3 2 3" xfId="21622"/>
    <cellStyle name="Total 2 2 5 3 2 3 3" xfId="14605"/>
    <cellStyle name="Total 2 2 5 3 2 3 3 2" xfId="28927"/>
    <cellStyle name="Total 2 2 5 3 2 3 4" xfId="20250"/>
    <cellStyle name="Total 2 2 5 3 2 4" xfId="3671"/>
    <cellStyle name="Total 2 2 5 3 2 4 2" xfId="22517"/>
    <cellStyle name="Total 2 2 5 3 2 5" xfId="15114"/>
    <cellStyle name="Total 2 2 5 3 3" xfId="2732"/>
    <cellStyle name="Total 2 2 5 3 3 2" xfId="8024"/>
    <cellStyle name="Total 2 2 5 3 3 2 2" xfId="10638"/>
    <cellStyle name="Total 2 2 5 3 3 2 2 2" xfId="16900"/>
    <cellStyle name="Total 2 2 5 3 3 2 2 2 2" xfId="30316"/>
    <cellStyle name="Total 2 2 5 3 3 2 2 3" xfId="21645"/>
    <cellStyle name="Total 2 2 5 3 3 2 3" xfId="14628"/>
    <cellStyle name="Total 2 2 5 3 3 2 3 2" xfId="28950"/>
    <cellStyle name="Total 2 2 5 3 3 2 4" xfId="20273"/>
    <cellStyle name="Total 2 2 5 3 3 3" xfId="13170"/>
    <cellStyle name="Total 2 2 5 3 3 3 2" xfId="27492"/>
    <cellStyle name="Total 2 2 5 3 3 4" xfId="18815"/>
    <cellStyle name="Total 2 2 5 3 4" xfId="5593"/>
    <cellStyle name="Total 2 2 5 3 4 2" xfId="12145"/>
    <cellStyle name="Total 2 2 5 3 4 2 2" xfId="26467"/>
    <cellStyle name="Total 2 2 5 3 4 3" xfId="17790"/>
    <cellStyle name="Total 2 2 5 3 5" xfId="5009"/>
    <cellStyle name="Total 2 2 5 3 5 2" xfId="23306"/>
    <cellStyle name="Total 2 2 5 3 6" xfId="15221"/>
    <cellStyle name="Total 2 2 5 4" xfId="2733"/>
    <cellStyle name="Total 2 2 5 4 2" xfId="6026"/>
    <cellStyle name="Total 2 2 5 4 2 2" xfId="12587"/>
    <cellStyle name="Total 2 2 5 4 2 2 2" xfId="26909"/>
    <cellStyle name="Total 2 2 5 4 2 3" xfId="18232"/>
    <cellStyle name="Total 2 2 5 4 3" xfId="7172"/>
    <cellStyle name="Total 2 2 5 4 3 2" xfId="9786"/>
    <cellStyle name="Total 2 2 5 4 3 2 2" xfId="16048"/>
    <cellStyle name="Total 2 2 5 4 3 2 2 2" xfId="29464"/>
    <cellStyle name="Total 2 2 5 4 3 2 3" xfId="20793"/>
    <cellStyle name="Total 2 2 5 4 3 3" xfId="13776"/>
    <cellStyle name="Total 2 2 5 4 3 3 2" xfId="28098"/>
    <cellStyle name="Total 2 2 5 4 3 4" xfId="19421"/>
    <cellStyle name="Total 2 2 5 4 4" xfId="6146"/>
    <cellStyle name="Total 2 2 5 4 4 2" xfId="23428"/>
    <cellStyle name="Total 2 2 5 4 5" xfId="3718"/>
    <cellStyle name="Total 2 2 5 5" xfId="2734"/>
    <cellStyle name="Total 2 2 5 5 2" xfId="5285"/>
    <cellStyle name="Total 2 2 5 5 2 2" xfId="9594"/>
    <cellStyle name="Total 2 2 5 5 2 2 2" xfId="15856"/>
    <cellStyle name="Total 2 2 5 5 2 2 2 2" xfId="29272"/>
    <cellStyle name="Total 2 2 5 5 2 2 3" xfId="20601"/>
    <cellStyle name="Total 2 2 5 5 2 3" xfId="11835"/>
    <cellStyle name="Total 2 2 5 5 2 3 2" xfId="26157"/>
    <cellStyle name="Total 2 2 5 5 2 4" xfId="17480"/>
    <cellStyle name="Total 2 2 5 5 3" xfId="12687"/>
    <cellStyle name="Total 2 2 5 5 3 2" xfId="27009"/>
    <cellStyle name="Total 2 2 5 5 4" xfId="18332"/>
    <cellStyle name="Total 2 2 5 6" xfId="5070"/>
    <cellStyle name="Total 2 2 5 6 2" xfId="11617"/>
    <cellStyle name="Total 2 2 5 6 2 2" xfId="25939"/>
    <cellStyle name="Total 2 2 5 6 3" xfId="14760"/>
    <cellStyle name="Total 2 2 5 7" xfId="5036"/>
    <cellStyle name="Total 2 2 5 7 2" xfId="23316"/>
    <cellStyle name="Total 2 2 5 8" xfId="14854"/>
    <cellStyle name="Total 2 2 6" xfId="2735"/>
    <cellStyle name="Total 2 2 6 2" xfId="2736"/>
    <cellStyle name="Total 2 2 6 2 2" xfId="2737"/>
    <cellStyle name="Total 2 2 6 2 2 2" xfId="6018"/>
    <cellStyle name="Total 2 2 6 2 2 2 2" xfId="12578"/>
    <cellStyle name="Total 2 2 6 2 2 2 2 2" xfId="26900"/>
    <cellStyle name="Total 2 2 6 2 2 2 3" xfId="18223"/>
    <cellStyle name="Total 2 2 6 2 2 3" xfId="7438"/>
    <cellStyle name="Total 2 2 6 2 2 3 2" xfId="10052"/>
    <cellStyle name="Total 2 2 6 2 2 3 2 2" xfId="16314"/>
    <cellStyle name="Total 2 2 6 2 2 3 2 2 2" xfId="29730"/>
    <cellStyle name="Total 2 2 6 2 2 3 2 3" xfId="21059"/>
    <cellStyle name="Total 2 2 6 2 2 3 3" xfId="14042"/>
    <cellStyle name="Total 2 2 6 2 2 3 3 2" xfId="28364"/>
    <cellStyle name="Total 2 2 6 2 2 3 4" xfId="19687"/>
    <cellStyle name="Total 2 2 6 2 2 4" xfId="6458"/>
    <cellStyle name="Total 2 2 6 2 2 4 2" xfId="23554"/>
    <cellStyle name="Total 2 2 6 2 2 5" xfId="14954"/>
    <cellStyle name="Total 2 2 6 2 3" xfId="2738"/>
    <cellStyle name="Total 2 2 6 2 3 2" xfId="7381"/>
    <cellStyle name="Total 2 2 6 2 3 2 2" xfId="9995"/>
    <cellStyle name="Total 2 2 6 2 3 2 2 2" xfId="16257"/>
    <cellStyle name="Total 2 2 6 2 3 2 2 2 2" xfId="29673"/>
    <cellStyle name="Total 2 2 6 2 3 2 2 3" xfId="21002"/>
    <cellStyle name="Total 2 2 6 2 3 2 3" xfId="13985"/>
    <cellStyle name="Total 2 2 6 2 3 2 3 2" xfId="28307"/>
    <cellStyle name="Total 2 2 6 2 3 2 4" xfId="19630"/>
    <cellStyle name="Total 2 2 6 2 3 3" xfId="13223"/>
    <cellStyle name="Total 2 2 6 2 3 3 2" xfId="27545"/>
    <cellStyle name="Total 2 2 6 2 3 4" xfId="18868"/>
    <cellStyle name="Total 2 2 6 2 4" xfId="5664"/>
    <cellStyle name="Total 2 2 6 2 4 2" xfId="12217"/>
    <cellStyle name="Total 2 2 6 2 4 2 2" xfId="26539"/>
    <cellStyle name="Total 2 2 6 2 4 3" xfId="17862"/>
    <cellStyle name="Total 2 2 6 2 5" xfId="6191"/>
    <cellStyle name="Total 2 2 6 2 5 2" xfId="23454"/>
    <cellStyle name="Total 2 2 6 2 6" xfId="6782"/>
    <cellStyle name="Total 2 2 6 3" xfId="2739"/>
    <cellStyle name="Total 2 2 6 3 2" xfId="2740"/>
    <cellStyle name="Total 2 2 6 3 2 2" xfId="5088"/>
    <cellStyle name="Total 2 2 6 3 2 2 2" xfId="11635"/>
    <cellStyle name="Total 2 2 6 3 2 2 2 2" xfId="25957"/>
    <cellStyle name="Total 2 2 6 3 2 2 3" xfId="17309"/>
    <cellStyle name="Total 2 2 6 3 2 3" xfId="4517"/>
    <cellStyle name="Total 2 2 6 3 2 3 2" xfId="9473"/>
    <cellStyle name="Total 2 2 6 3 2 3 2 2" xfId="15735"/>
    <cellStyle name="Total 2 2 6 3 2 3 2 2 2" xfId="29151"/>
    <cellStyle name="Total 2 2 6 3 2 3 2 3" xfId="20480"/>
    <cellStyle name="Total 2 2 6 3 2 3 3" xfId="6722"/>
    <cellStyle name="Total 2 2 6 3 2 3 3 2" xfId="23676"/>
    <cellStyle name="Total 2 2 6 3 2 3 4" xfId="15443"/>
    <cellStyle name="Total 2 2 6 3 2 4" xfId="4694"/>
    <cellStyle name="Total 2 2 6 3 2 4 2" xfId="23130"/>
    <cellStyle name="Total 2 2 6 3 2 5" xfId="15016"/>
    <cellStyle name="Total 2 2 6 3 3" xfId="2741"/>
    <cellStyle name="Total 2 2 6 3 3 2" xfId="7262"/>
    <cellStyle name="Total 2 2 6 3 3 2 2" xfId="9876"/>
    <cellStyle name="Total 2 2 6 3 3 2 2 2" xfId="16138"/>
    <cellStyle name="Total 2 2 6 3 3 2 2 2 2" xfId="29554"/>
    <cellStyle name="Total 2 2 6 3 3 2 2 3" xfId="20883"/>
    <cellStyle name="Total 2 2 6 3 3 2 3" xfId="13866"/>
    <cellStyle name="Total 2 2 6 3 3 2 3 2" xfId="28188"/>
    <cellStyle name="Total 2 2 6 3 3 2 4" xfId="19511"/>
    <cellStyle name="Total 2 2 6 3 3 3" xfId="12813"/>
    <cellStyle name="Total 2 2 6 3 3 3 2" xfId="27135"/>
    <cellStyle name="Total 2 2 6 3 3 4" xfId="18458"/>
    <cellStyle name="Total 2 2 6 3 4" xfId="3752"/>
    <cellStyle name="Total 2 2 6 3 4 2" xfId="4658"/>
    <cellStyle name="Total 2 2 6 3 4 2 2" xfId="23099"/>
    <cellStyle name="Total 2 2 6 3 4 3" xfId="16951"/>
    <cellStyle name="Total 2 2 6 3 5" xfId="4218"/>
    <cellStyle name="Total 2 2 6 3 5 2" xfId="22830"/>
    <cellStyle name="Total 2 2 6 3 6" xfId="3240"/>
    <cellStyle name="Total 2 2 6 4" xfId="2742"/>
    <cellStyle name="Total 2 2 6 4 2" xfId="5976"/>
    <cellStyle name="Total 2 2 6 4 2 2" xfId="12534"/>
    <cellStyle name="Total 2 2 6 4 2 2 2" xfId="26856"/>
    <cellStyle name="Total 2 2 6 4 2 3" xfId="18179"/>
    <cellStyle name="Total 2 2 6 4 3" xfId="7483"/>
    <cellStyle name="Total 2 2 6 4 3 2" xfId="10097"/>
    <cellStyle name="Total 2 2 6 4 3 2 2" xfId="16359"/>
    <cellStyle name="Total 2 2 6 4 3 2 2 2" xfId="29775"/>
    <cellStyle name="Total 2 2 6 4 3 2 3" xfId="21104"/>
    <cellStyle name="Total 2 2 6 4 3 3" xfId="14087"/>
    <cellStyle name="Total 2 2 6 4 3 3 2" xfId="28409"/>
    <cellStyle name="Total 2 2 6 4 3 4" xfId="19732"/>
    <cellStyle name="Total 2 2 6 4 4" xfId="4887"/>
    <cellStyle name="Total 2 2 6 4 4 2" xfId="23245"/>
    <cellStyle name="Total 2 2 6 4 5" xfId="17053"/>
    <cellStyle name="Total 2 2 6 5" xfId="2743"/>
    <cellStyle name="Total 2 2 6 5 2" xfId="7508"/>
    <cellStyle name="Total 2 2 6 5 2 2" xfId="10122"/>
    <cellStyle name="Total 2 2 6 5 2 2 2" xfId="16384"/>
    <cellStyle name="Total 2 2 6 5 2 2 2 2" xfId="29800"/>
    <cellStyle name="Total 2 2 6 5 2 2 3" xfId="21129"/>
    <cellStyle name="Total 2 2 6 5 2 3" xfId="14112"/>
    <cellStyle name="Total 2 2 6 5 2 3 2" xfId="28434"/>
    <cellStyle name="Total 2 2 6 5 2 4" xfId="19757"/>
    <cellStyle name="Total 2 2 6 5 3" xfId="12556"/>
    <cellStyle name="Total 2 2 6 5 3 2" xfId="26878"/>
    <cellStyle name="Total 2 2 6 5 4" xfId="18201"/>
    <cellStyle name="Total 2 2 6 6" xfId="5173"/>
    <cellStyle name="Total 2 2 6 6 2" xfId="11722"/>
    <cellStyle name="Total 2 2 6 6 2 2" xfId="26044"/>
    <cellStyle name="Total 2 2 6 6 3" xfId="4967"/>
    <cellStyle name="Total 2 2 6 7" xfId="6457"/>
    <cellStyle name="Total 2 2 6 7 2" xfId="23553"/>
    <cellStyle name="Total 2 2 6 8" xfId="17079"/>
    <cellStyle name="Total 2 2 7" xfId="2744"/>
    <cellStyle name="Total 2 2 7 2" xfId="2745"/>
    <cellStyle name="Total 2 2 7 2 2" xfId="2746"/>
    <cellStyle name="Total 2 2 7 2 2 2" xfId="6414"/>
    <cellStyle name="Total 2 2 7 2 2 2 2" xfId="12997"/>
    <cellStyle name="Total 2 2 7 2 2 2 2 2" xfId="27319"/>
    <cellStyle name="Total 2 2 7 2 2 2 3" xfId="18642"/>
    <cellStyle name="Total 2 2 7 2 2 3" xfId="7970"/>
    <cellStyle name="Total 2 2 7 2 2 3 2" xfId="10584"/>
    <cellStyle name="Total 2 2 7 2 2 3 2 2" xfId="16846"/>
    <cellStyle name="Total 2 2 7 2 2 3 2 2 2" xfId="30262"/>
    <cellStyle name="Total 2 2 7 2 2 3 2 3" xfId="21591"/>
    <cellStyle name="Total 2 2 7 2 2 3 3" xfId="14574"/>
    <cellStyle name="Total 2 2 7 2 2 3 3 2" xfId="28896"/>
    <cellStyle name="Total 2 2 7 2 2 3 4" xfId="20219"/>
    <cellStyle name="Total 2 2 7 2 2 4" xfId="3920"/>
    <cellStyle name="Total 2 2 7 2 2 4 2" xfId="22647"/>
    <cellStyle name="Total 2 2 7 2 2 5" xfId="15028"/>
    <cellStyle name="Total 2 2 7 2 3" xfId="2747"/>
    <cellStyle name="Total 2 2 7 2 3 2" xfId="4106"/>
    <cellStyle name="Total 2 2 7 2 3 2 2" xfId="9426"/>
    <cellStyle name="Total 2 2 7 2 3 2 2 2" xfId="15688"/>
    <cellStyle name="Total 2 2 7 2 3 2 2 2 2" xfId="29104"/>
    <cellStyle name="Total 2 2 7 2 3 2 2 3" xfId="20433"/>
    <cellStyle name="Total 2 2 7 2 3 2 3" xfId="4519"/>
    <cellStyle name="Total 2 2 7 2 3 2 3 2" xfId="23005"/>
    <cellStyle name="Total 2 2 7 2 3 2 4" xfId="15462"/>
    <cellStyle name="Total 2 2 7 2 3 3" xfId="13184"/>
    <cellStyle name="Total 2 2 7 2 3 3 2" xfId="27506"/>
    <cellStyle name="Total 2 2 7 2 3 4" xfId="18829"/>
    <cellStyle name="Total 2 2 7 2 4" xfId="5617"/>
    <cellStyle name="Total 2 2 7 2 4 2" xfId="12170"/>
    <cellStyle name="Total 2 2 7 2 4 2 2" xfId="26492"/>
    <cellStyle name="Total 2 2 7 2 4 3" xfId="17815"/>
    <cellStyle name="Total 2 2 7 2 5" xfId="4044"/>
    <cellStyle name="Total 2 2 7 2 5 2" xfId="22721"/>
    <cellStyle name="Total 2 2 7 2 6" xfId="15355"/>
    <cellStyle name="Total 2 2 7 3" xfId="2748"/>
    <cellStyle name="Total 2 2 7 3 2" xfId="6084"/>
    <cellStyle name="Total 2 2 7 3 2 2" xfId="12650"/>
    <cellStyle name="Total 2 2 7 3 2 2 2" xfId="26972"/>
    <cellStyle name="Total 2 2 7 3 2 3" xfId="18295"/>
    <cellStyle name="Total 2 2 7 3 3" xfId="7806"/>
    <cellStyle name="Total 2 2 7 3 3 2" xfId="10420"/>
    <cellStyle name="Total 2 2 7 3 3 2 2" xfId="16682"/>
    <cellStyle name="Total 2 2 7 3 3 2 2 2" xfId="30098"/>
    <cellStyle name="Total 2 2 7 3 3 2 3" xfId="21427"/>
    <cellStyle name="Total 2 2 7 3 3 3" xfId="14410"/>
    <cellStyle name="Total 2 2 7 3 3 3 2" xfId="28732"/>
    <cellStyle name="Total 2 2 7 3 3 4" xfId="20055"/>
    <cellStyle name="Total 2 2 7 3 4" xfId="6615"/>
    <cellStyle name="Total 2 2 7 3 4 2" xfId="23607"/>
    <cellStyle name="Total 2 2 7 3 5" xfId="14878"/>
    <cellStyle name="Total 2 2 7 4" xfId="2749"/>
    <cellStyle name="Total 2 2 7 4 2" xfId="7822"/>
    <cellStyle name="Total 2 2 7 4 2 2" xfId="10436"/>
    <cellStyle name="Total 2 2 7 4 2 2 2" xfId="16698"/>
    <cellStyle name="Total 2 2 7 4 2 2 2 2" xfId="30114"/>
    <cellStyle name="Total 2 2 7 4 2 2 3" xfId="21443"/>
    <cellStyle name="Total 2 2 7 4 2 3" xfId="14426"/>
    <cellStyle name="Total 2 2 7 4 2 3 2" xfId="28748"/>
    <cellStyle name="Total 2 2 7 4 2 4" xfId="20071"/>
    <cellStyle name="Total 2 2 7 4 3" xfId="12190"/>
    <cellStyle name="Total 2 2 7 4 3 2" xfId="26512"/>
    <cellStyle name="Total 2 2 7 4 4" xfId="17835"/>
    <cellStyle name="Total 2 2 7 5" xfId="5078"/>
    <cellStyle name="Total 2 2 7 5 2" xfId="11625"/>
    <cellStyle name="Total 2 2 7 5 2 2" xfId="25947"/>
    <cellStyle name="Total 2 2 7 5 3" xfId="14879"/>
    <cellStyle name="Total 2 2 7 6" xfId="3950"/>
    <cellStyle name="Total 2 2 7 6 2" xfId="22664"/>
    <cellStyle name="Total 2 2 7 7" xfId="15478"/>
    <cellStyle name="Total 2 2 8" xfId="2750"/>
    <cellStyle name="Total 2 2 8 2" xfId="2751"/>
    <cellStyle name="Total 2 2 8 2 2" xfId="5946"/>
    <cellStyle name="Total 2 2 8 2 2 2" xfId="12503"/>
    <cellStyle name="Total 2 2 8 2 2 2 2" xfId="26825"/>
    <cellStyle name="Total 2 2 8 2 2 3" xfId="18148"/>
    <cellStyle name="Total 2 2 8 2 3" xfId="7474"/>
    <cellStyle name="Total 2 2 8 2 3 2" xfId="10088"/>
    <cellStyle name="Total 2 2 8 2 3 2 2" xfId="16350"/>
    <cellStyle name="Total 2 2 8 2 3 2 2 2" xfId="29766"/>
    <cellStyle name="Total 2 2 8 2 3 2 3" xfId="21095"/>
    <cellStyle name="Total 2 2 8 2 3 3" xfId="14078"/>
    <cellStyle name="Total 2 2 8 2 3 3 2" xfId="28400"/>
    <cellStyle name="Total 2 2 8 2 3 4" xfId="19723"/>
    <cellStyle name="Total 2 2 8 2 4" xfId="4495"/>
    <cellStyle name="Total 2 2 8 2 4 2" xfId="22988"/>
    <cellStyle name="Total 2 2 8 2 5" xfId="15200"/>
    <cellStyle name="Total 2 2 8 3" xfId="2752"/>
    <cellStyle name="Total 2 2 8 3 2" xfId="7491"/>
    <cellStyle name="Total 2 2 8 3 2 2" xfId="10105"/>
    <cellStyle name="Total 2 2 8 3 2 2 2" xfId="16367"/>
    <cellStyle name="Total 2 2 8 3 2 2 2 2" xfId="29783"/>
    <cellStyle name="Total 2 2 8 3 2 2 3" xfId="21112"/>
    <cellStyle name="Total 2 2 8 3 2 3" xfId="14095"/>
    <cellStyle name="Total 2 2 8 3 2 3 2" xfId="28417"/>
    <cellStyle name="Total 2 2 8 3 2 4" xfId="19740"/>
    <cellStyle name="Total 2 2 8 3 3" xfId="12795"/>
    <cellStyle name="Total 2 2 8 3 3 2" xfId="27117"/>
    <cellStyle name="Total 2 2 8 3 4" xfId="18440"/>
    <cellStyle name="Total 2 2 8 4" xfId="5103"/>
    <cellStyle name="Total 2 2 8 4 2" xfId="11650"/>
    <cellStyle name="Total 2 2 8 4 2 2" xfId="25972"/>
    <cellStyle name="Total 2 2 8 4 3" xfId="17390"/>
    <cellStyle name="Total 2 2 8 5" xfId="4607"/>
    <cellStyle name="Total 2 2 8 5 2" xfId="23065"/>
    <cellStyle name="Total 2 2 8 6" xfId="15280"/>
    <cellStyle name="Total 2 2 9" xfId="2753"/>
    <cellStyle name="Total 2 2 9 2" xfId="6367"/>
    <cellStyle name="Total 2 2 9 2 2" xfId="12950"/>
    <cellStyle name="Total 2 2 9 2 2 2" xfId="27272"/>
    <cellStyle name="Total 2 2 9 2 3" xfId="18595"/>
    <cellStyle name="Total 2 2 9 3" xfId="7533"/>
    <cellStyle name="Total 2 2 9 3 2" xfId="10147"/>
    <cellStyle name="Total 2 2 9 3 2 2" xfId="16409"/>
    <cellStyle name="Total 2 2 9 3 2 2 2" xfId="29825"/>
    <cellStyle name="Total 2 2 9 3 2 3" xfId="21154"/>
    <cellStyle name="Total 2 2 9 3 3" xfId="14137"/>
    <cellStyle name="Total 2 2 9 3 3 2" xfId="28459"/>
    <cellStyle name="Total 2 2 9 3 4" xfId="19782"/>
    <cellStyle name="Total 2 2 9 4" xfId="4619"/>
    <cellStyle name="Total 2 2 9 4 2" xfId="23069"/>
    <cellStyle name="Total 2 2 9 5" xfId="16961"/>
    <cellStyle name="Total 2 3" xfId="2754"/>
    <cellStyle name="Total 2 3 2" xfId="6280"/>
    <cellStyle name="Total 2 3 2 2" xfId="12862"/>
    <cellStyle name="Total 2 3 2 2 2" xfId="27184"/>
    <cellStyle name="Total 2 3 2 3" xfId="18507"/>
    <cellStyle name="Total 2 3 3" xfId="7713"/>
    <cellStyle name="Total 2 3 3 2" xfId="10327"/>
    <cellStyle name="Total 2 3 3 2 2" xfId="16589"/>
    <cellStyle name="Total 2 3 3 2 2 2" xfId="30005"/>
    <cellStyle name="Total 2 3 3 2 3" xfId="21334"/>
    <cellStyle name="Total 2 3 3 3" xfId="14317"/>
    <cellStyle name="Total 2 3 3 3 2" xfId="28639"/>
    <cellStyle name="Total 2 3 3 4" xfId="19962"/>
    <cellStyle name="Total 2 3 4" xfId="3679"/>
    <cellStyle name="Total 2 3 4 2" xfId="22523"/>
    <cellStyle name="Total 2 3 5" xfId="14762"/>
    <cellStyle name="Total 2 4" xfId="4364"/>
    <cellStyle name="Total 2 4 2" xfId="4499"/>
    <cellStyle name="Total 2 4 2 2" xfId="22991"/>
    <cellStyle name="Total 2 4 3" xfId="15573"/>
    <cellStyle name="Total 2 5" xfId="3965"/>
    <cellStyle name="Total 2 5 2" xfId="22672"/>
    <cellStyle name="Total 2 6" xfId="15009"/>
    <cellStyle name="Total 2 7" xfId="14947"/>
    <cellStyle name="Total 2 8" xfId="28998"/>
    <cellStyle name="Verificar Célula" xfId="2755"/>
    <cellStyle name="Warning Text 2" xfId="2756"/>
  </cellStyles>
  <dxfs count="54">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BD02C95A-F759-4E92-AA00-C07FE5BE08E3}"/>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7"/>
  </cols>
  <sheetData>
    <row r="1" spans="7:7" x14ac:dyDescent="0.25">
      <c r="G1" s="21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54"/>
  <sheetViews>
    <sheetView showZeros="0" topLeftCell="A2" zoomScale="85" zoomScaleNormal="85" workbookViewId="0">
      <pane xSplit="9" ySplit="4" topLeftCell="J15" activePane="bottomRight" state="frozen"/>
      <selection activeCell="A2" sqref="A2"/>
      <selection pane="topRight" activeCell="J2" sqref="J2"/>
      <selection pane="bottomLeft" activeCell="A6" sqref="A6"/>
      <selection pane="bottomRight" activeCell="C17" sqref="C17"/>
    </sheetView>
  </sheetViews>
  <sheetFormatPr defaultRowHeight="15" x14ac:dyDescent="0.25"/>
  <cols>
    <col min="1" max="1" width="1.7109375" style="52" customWidth="1"/>
    <col min="2" max="2" width="12.5703125" style="52" customWidth="1"/>
    <col min="3" max="3" width="22.28515625" style="52" customWidth="1"/>
    <col min="4" max="4" width="29.7109375" style="52" customWidth="1"/>
    <col min="5" max="5" width="8.5703125" style="52" customWidth="1"/>
    <col min="6" max="7" width="15.7109375" style="52" customWidth="1"/>
    <col min="8" max="9" width="26.85546875" style="52" customWidth="1"/>
    <col min="10" max="10" width="15" style="52" customWidth="1"/>
    <col min="11" max="14" width="26.85546875" style="52" customWidth="1"/>
    <col min="15" max="15" width="4.85546875" style="52" customWidth="1"/>
    <col min="16" max="19" width="4.85546875" style="53" customWidth="1"/>
    <col min="20" max="23" width="4.85546875" style="52" customWidth="1"/>
    <col min="24" max="24" width="33.5703125" style="52" customWidth="1"/>
    <col min="25" max="25" width="15" style="52" hidden="1" customWidth="1"/>
    <col min="26" max="26" width="25.7109375" style="52" hidden="1" customWidth="1"/>
    <col min="27" max="27" width="4.85546875" style="52" hidden="1" customWidth="1"/>
    <col min="28" max="31" width="4.85546875" style="53" hidden="1" customWidth="1"/>
    <col min="32" max="35" width="4.85546875" style="52" hidden="1" customWidth="1"/>
    <col min="36" max="36" width="33.5703125" style="52" hidden="1" customWidth="1"/>
    <col min="37" max="37" width="15" style="52" hidden="1" customWidth="1"/>
    <col min="38" max="38" width="25.7109375" style="52" hidden="1" customWidth="1"/>
    <col min="39" max="39" width="4.85546875" style="52" hidden="1" customWidth="1"/>
    <col min="40" max="43" width="4.85546875" style="53" hidden="1" customWidth="1"/>
    <col min="44" max="47" width="4.85546875" style="52" hidden="1" customWidth="1"/>
    <col min="48" max="48" width="10" style="52" hidden="1" customWidth="1"/>
    <col min="49" max="49" width="60.5703125" style="52" customWidth="1"/>
    <col min="50" max="16384" width="9.140625" style="52"/>
  </cols>
  <sheetData>
    <row r="1" spans="2:49" ht="12" hidden="1" customHeight="1" x14ac:dyDescent="0.25"/>
    <row r="2" spans="2:49" ht="15" customHeight="1" x14ac:dyDescent="0.25">
      <c r="O2" s="175" t="s">
        <v>27</v>
      </c>
      <c r="P2" s="175"/>
      <c r="Q2" s="175"/>
      <c r="R2" s="175"/>
      <c r="S2" s="175"/>
      <c r="T2" s="175"/>
      <c r="U2" s="175"/>
      <c r="V2" s="175"/>
      <c r="W2" s="175"/>
      <c r="AA2" s="175" t="s">
        <v>26</v>
      </c>
      <c r="AB2" s="175"/>
      <c r="AC2" s="175"/>
      <c r="AD2" s="175"/>
      <c r="AE2" s="175"/>
      <c r="AF2" s="175"/>
      <c r="AG2" s="175"/>
      <c r="AH2" s="175"/>
      <c r="AI2" s="175"/>
      <c r="AM2" s="175" t="s">
        <v>40</v>
      </c>
      <c r="AN2" s="175"/>
      <c r="AO2" s="175"/>
      <c r="AP2" s="175"/>
      <c r="AQ2" s="175"/>
      <c r="AR2" s="175"/>
      <c r="AS2" s="175"/>
      <c r="AT2" s="175"/>
      <c r="AU2" s="175"/>
    </row>
    <row r="3" spans="2:49" ht="15.75" customHeight="1" thickBot="1" x14ac:dyDescent="0.3">
      <c r="O3" s="175"/>
      <c r="P3" s="175"/>
      <c r="Q3" s="175"/>
      <c r="R3" s="175"/>
      <c r="S3" s="175"/>
      <c r="T3" s="175"/>
      <c r="U3" s="175"/>
      <c r="V3" s="175"/>
      <c r="W3" s="175"/>
      <c r="AA3" s="175"/>
      <c r="AB3" s="175"/>
      <c r="AC3" s="175"/>
      <c r="AD3" s="175"/>
      <c r="AE3" s="175"/>
      <c r="AF3" s="175"/>
      <c r="AG3" s="175"/>
      <c r="AH3" s="175"/>
      <c r="AI3" s="175"/>
      <c r="AM3" s="175"/>
      <c r="AN3" s="175"/>
      <c r="AO3" s="175"/>
      <c r="AP3" s="175"/>
      <c r="AQ3" s="175"/>
      <c r="AR3" s="175"/>
      <c r="AS3" s="175"/>
      <c r="AT3" s="175"/>
      <c r="AU3" s="175"/>
    </row>
    <row r="4" spans="2:49" ht="27" customHeight="1" thickBot="1" x14ac:dyDescent="0.4">
      <c r="B4" s="54" t="s">
        <v>42</v>
      </c>
      <c r="C4" s="55"/>
      <c r="P4" s="176" t="s">
        <v>32</v>
      </c>
      <c r="Q4" s="177"/>
      <c r="R4" s="177"/>
      <c r="S4" s="178"/>
      <c r="T4" s="179" t="s">
        <v>33</v>
      </c>
      <c r="U4" s="180"/>
      <c r="V4" s="180"/>
      <c r="W4" s="181"/>
      <c r="AB4" s="176" t="s">
        <v>32</v>
      </c>
      <c r="AC4" s="177"/>
      <c r="AD4" s="177"/>
      <c r="AE4" s="178"/>
      <c r="AF4" s="179" t="s">
        <v>33</v>
      </c>
      <c r="AG4" s="180"/>
      <c r="AH4" s="180"/>
      <c r="AI4" s="181"/>
      <c r="AN4" s="176" t="s">
        <v>32</v>
      </c>
      <c r="AO4" s="177"/>
      <c r="AP4" s="177"/>
      <c r="AQ4" s="178"/>
      <c r="AR4" s="179" t="s">
        <v>33</v>
      </c>
      <c r="AS4" s="180"/>
      <c r="AT4" s="180"/>
      <c r="AU4" s="181"/>
    </row>
    <row r="5" spans="2:49" s="62" customFormat="1" ht="80.25" customHeight="1" thickBot="1" x14ac:dyDescent="0.3">
      <c r="B5" s="56" t="s">
        <v>34</v>
      </c>
      <c r="C5" s="56" t="s">
        <v>2</v>
      </c>
      <c r="D5" s="56" t="s">
        <v>1</v>
      </c>
      <c r="E5" s="56" t="s">
        <v>22</v>
      </c>
      <c r="F5" s="56" t="s">
        <v>21</v>
      </c>
      <c r="G5" s="56" t="s">
        <v>3</v>
      </c>
      <c r="H5" s="56" t="s">
        <v>5</v>
      </c>
      <c r="I5" s="57" t="s">
        <v>11</v>
      </c>
      <c r="J5" s="56" t="s">
        <v>8</v>
      </c>
      <c r="K5" s="56" t="s">
        <v>7</v>
      </c>
      <c r="L5" s="56" t="s">
        <v>23</v>
      </c>
      <c r="M5" s="56" t="s">
        <v>24</v>
      </c>
      <c r="N5" s="56" t="s">
        <v>9</v>
      </c>
      <c r="O5" s="58" t="s">
        <v>30</v>
      </c>
      <c r="P5" s="59" t="s">
        <v>35</v>
      </c>
      <c r="Q5" s="60" t="s">
        <v>31</v>
      </c>
      <c r="R5" s="60" t="s">
        <v>28</v>
      </c>
      <c r="S5" s="61" t="s">
        <v>29</v>
      </c>
      <c r="T5" s="59" t="s">
        <v>35</v>
      </c>
      <c r="U5" s="60" t="s">
        <v>31</v>
      </c>
      <c r="V5" s="60" t="s">
        <v>28</v>
      </c>
      <c r="W5" s="61" t="s">
        <v>29</v>
      </c>
      <c r="X5" s="56" t="s">
        <v>4</v>
      </c>
      <c r="Y5" s="56" t="s">
        <v>25</v>
      </c>
      <c r="Z5" s="56" t="s">
        <v>39</v>
      </c>
      <c r="AA5" s="58" t="s">
        <v>30</v>
      </c>
      <c r="AB5" s="59" t="s">
        <v>35</v>
      </c>
      <c r="AC5" s="60" t="s">
        <v>31</v>
      </c>
      <c r="AD5" s="60" t="s">
        <v>28</v>
      </c>
      <c r="AE5" s="61" t="s">
        <v>29</v>
      </c>
      <c r="AF5" s="59" t="s">
        <v>35</v>
      </c>
      <c r="AG5" s="60" t="s">
        <v>31</v>
      </c>
      <c r="AH5" s="60" t="s">
        <v>28</v>
      </c>
      <c r="AI5" s="61" t="s">
        <v>29</v>
      </c>
      <c r="AJ5" s="56" t="s">
        <v>36</v>
      </c>
      <c r="AK5" s="56" t="s">
        <v>37</v>
      </c>
      <c r="AL5" s="56" t="s">
        <v>38</v>
      </c>
      <c r="AM5" s="58" t="s">
        <v>30</v>
      </c>
      <c r="AN5" s="59" t="s">
        <v>35</v>
      </c>
      <c r="AO5" s="60" t="s">
        <v>31</v>
      </c>
      <c r="AP5" s="60" t="s">
        <v>28</v>
      </c>
      <c r="AQ5" s="61" t="s">
        <v>29</v>
      </c>
      <c r="AR5" s="59" t="s">
        <v>35</v>
      </c>
      <c r="AS5" s="60" t="s">
        <v>31</v>
      </c>
      <c r="AT5" s="60" t="s">
        <v>28</v>
      </c>
      <c r="AU5" s="61" t="s">
        <v>29</v>
      </c>
      <c r="AV5" s="56" t="s">
        <v>10</v>
      </c>
      <c r="AW5" s="56" t="s">
        <v>6</v>
      </c>
    </row>
    <row r="6" spans="2:49" s="78" customFormat="1" ht="135" x14ac:dyDescent="0.25">
      <c r="B6" s="63" t="s">
        <v>54</v>
      </c>
      <c r="C6" s="64" t="s">
        <v>59</v>
      </c>
      <c r="D6" s="65" t="s">
        <v>77</v>
      </c>
      <c r="E6" s="66">
        <v>1</v>
      </c>
      <c r="F6" s="64" t="s">
        <v>44</v>
      </c>
      <c r="G6" s="64" t="s">
        <v>78</v>
      </c>
      <c r="H6" s="67" t="s">
        <v>96</v>
      </c>
      <c r="I6" s="65" t="s">
        <v>51</v>
      </c>
      <c r="J6" s="64" t="s">
        <v>45</v>
      </c>
      <c r="K6" s="68" t="s">
        <v>92</v>
      </c>
      <c r="L6" s="64" t="s">
        <v>99</v>
      </c>
      <c r="M6" s="67" t="s">
        <v>94</v>
      </c>
      <c r="N6" s="68" t="s">
        <v>95</v>
      </c>
      <c r="O6" s="69">
        <v>4</v>
      </c>
      <c r="P6" s="70">
        <v>1</v>
      </c>
      <c r="Q6" s="71">
        <v>1</v>
      </c>
      <c r="R6" s="71">
        <v>5</v>
      </c>
      <c r="S6" s="72">
        <v>4</v>
      </c>
      <c r="T6" s="73" t="str">
        <f t="shared" ref="T6:T34" ca="1" si="0">IF(AND(ISNUMBER(P6),ISNUMBER($O6)),OFFSET(RiskMatrixRef,-$O6+1,P6-1),"")</f>
        <v>Low</v>
      </c>
      <c r="U6" s="74" t="str">
        <f t="shared" ref="U6:U34" ca="1" si="1">IF(AND(ISNUMBER(Q6),ISNUMBER($O6)),OFFSET(RiskMatrixRef,-$O6+1,Q6-1),"")</f>
        <v>Low</v>
      </c>
      <c r="V6" s="74" t="str">
        <f t="shared" ref="V6:V34" ca="1" si="2">IF(AND(ISNUMBER(R6),ISNUMBER($O6)),OFFSET(RiskMatrixRef,-$O6+1,R6-1),"")</f>
        <v>Low</v>
      </c>
      <c r="W6" s="75" t="str">
        <f t="shared" ref="W6:W34" ca="1" si="3">IF(AND(ISNUMBER(S6),ISNUMBER($O6)),OFFSET(RiskMatrixRef,-$O6+1,S6-1),"")</f>
        <v>Low</v>
      </c>
      <c r="X6" s="76"/>
      <c r="Y6" s="76"/>
      <c r="Z6" s="76"/>
      <c r="AA6" s="69"/>
      <c r="AB6" s="70"/>
      <c r="AC6" s="71"/>
      <c r="AD6" s="71"/>
      <c r="AE6" s="72"/>
      <c r="AF6" s="73" t="str">
        <f t="shared" ref="AF6:AF34" ca="1" si="4">IF(AND(ISNUMBER(AB6),ISNUMBER($AA6)),OFFSET(RiskMatrixRef,-$AA6+1,AB6-1),"")</f>
        <v/>
      </c>
      <c r="AG6" s="74" t="str">
        <f t="shared" ref="AG6:AG34" ca="1" si="5">IF(AND(ISNUMBER(AC6),ISNUMBER($AA6)),OFFSET(RiskMatrixRef,-$AA6+1,AC6-1),"")</f>
        <v/>
      </c>
      <c r="AH6" s="74" t="str">
        <f t="shared" ref="AH6:AH34" ca="1" si="6">IF(AND(ISNUMBER(AD6),ISNUMBER($AA6)),OFFSET(RiskMatrixRef,-$AA6+1,AD6-1),"")</f>
        <v/>
      </c>
      <c r="AI6" s="75" t="str">
        <f t="shared" ref="AI6:AI34" ca="1" si="7">IF(AND(ISNUMBER(AE6),ISNUMBER($AA6)),OFFSET(RiskMatrixRef,-$AA6+1,AE6-1),"")</f>
        <v/>
      </c>
      <c r="AJ6" s="76"/>
      <c r="AK6" s="76"/>
      <c r="AL6" s="76"/>
      <c r="AM6" s="69"/>
      <c r="AN6" s="70"/>
      <c r="AO6" s="71"/>
      <c r="AP6" s="71"/>
      <c r="AQ6" s="72"/>
      <c r="AR6" s="73" t="str">
        <f t="shared" ref="AR6:AR34" ca="1" si="8">IF(AND(ISNUMBER(AN6),ISNUMBER($AM6)),OFFSET(RiskMatrixRef,-$AM6+1,AN6-1),"")</f>
        <v/>
      </c>
      <c r="AS6" s="74" t="str">
        <f t="shared" ref="AS6:AS34" ca="1" si="9">IF(AND(ISNUMBER(AO6),ISNUMBER($AM6)),OFFSET(RiskMatrixRef,-$AM6+1,AO6-1),"")</f>
        <v/>
      </c>
      <c r="AT6" s="74" t="str">
        <f t="shared" ref="AT6:AT34" ca="1" si="10">IF(AND(ISNUMBER(AP6),ISNUMBER($AM6)),OFFSET(RiskMatrixRef,-$AM6+1,AP6-1),"")</f>
        <v/>
      </c>
      <c r="AU6" s="75" t="str">
        <f t="shared" ref="AU6:AU34" ca="1" si="11">IF(AND(ISNUMBER(AQ6),ISNUMBER($AM6)),OFFSET(RiskMatrixRef,-$AM6+1,AQ6-1),"")</f>
        <v/>
      </c>
      <c r="AV6" s="77"/>
      <c r="AW6" s="76"/>
    </row>
    <row r="7" spans="2:49" s="78" customFormat="1" ht="135" x14ac:dyDescent="0.25">
      <c r="B7" s="79" t="s">
        <v>55</v>
      </c>
      <c r="C7" s="65" t="s">
        <v>59</v>
      </c>
      <c r="D7" s="65" t="s">
        <v>77</v>
      </c>
      <c r="E7" s="80">
        <v>1</v>
      </c>
      <c r="F7" s="65" t="s">
        <v>44</v>
      </c>
      <c r="G7" s="65" t="s">
        <v>79</v>
      </c>
      <c r="H7" s="67" t="s">
        <v>96</v>
      </c>
      <c r="I7" s="65" t="s">
        <v>51</v>
      </c>
      <c r="J7" s="65" t="s">
        <v>45</v>
      </c>
      <c r="K7" s="68" t="s">
        <v>92</v>
      </c>
      <c r="L7" s="65" t="s">
        <v>99</v>
      </c>
      <c r="M7" s="67" t="s">
        <v>94</v>
      </c>
      <c r="N7" s="68" t="s">
        <v>95</v>
      </c>
      <c r="O7" s="81">
        <v>4</v>
      </c>
      <c r="P7" s="82">
        <v>1</v>
      </c>
      <c r="Q7" s="83">
        <v>1</v>
      </c>
      <c r="R7" s="83">
        <v>5</v>
      </c>
      <c r="S7" s="84">
        <v>4</v>
      </c>
      <c r="T7" s="85" t="str">
        <f t="shared" ca="1" si="0"/>
        <v>Low</v>
      </c>
      <c r="U7" s="86" t="str">
        <f t="shared" ca="1" si="1"/>
        <v>Low</v>
      </c>
      <c r="V7" s="86" t="str">
        <f t="shared" ca="1" si="2"/>
        <v>Low</v>
      </c>
      <c r="W7" s="87" t="str">
        <f t="shared" ca="1" si="3"/>
        <v>Low</v>
      </c>
      <c r="X7" s="88"/>
      <c r="Y7" s="88"/>
      <c r="Z7" s="88"/>
      <c r="AA7" s="81"/>
      <c r="AB7" s="82"/>
      <c r="AC7" s="83"/>
      <c r="AD7" s="83"/>
      <c r="AE7" s="84"/>
      <c r="AF7" s="85" t="str">
        <f t="shared" ca="1" si="4"/>
        <v/>
      </c>
      <c r="AG7" s="86" t="str">
        <f t="shared" ca="1" si="5"/>
        <v/>
      </c>
      <c r="AH7" s="86" t="str">
        <f t="shared" ca="1" si="6"/>
        <v/>
      </c>
      <c r="AI7" s="87" t="str">
        <f t="shared" ca="1" si="7"/>
        <v/>
      </c>
      <c r="AJ7" s="88"/>
      <c r="AK7" s="88"/>
      <c r="AL7" s="88"/>
      <c r="AM7" s="81"/>
      <c r="AN7" s="82"/>
      <c r="AO7" s="83"/>
      <c r="AP7" s="83"/>
      <c r="AQ7" s="84"/>
      <c r="AR7" s="85" t="str">
        <f t="shared" ca="1" si="8"/>
        <v/>
      </c>
      <c r="AS7" s="86" t="str">
        <f t="shared" ca="1" si="9"/>
        <v/>
      </c>
      <c r="AT7" s="86" t="str">
        <f t="shared" ca="1" si="10"/>
        <v/>
      </c>
      <c r="AU7" s="87" t="str">
        <f t="shared" ca="1" si="11"/>
        <v/>
      </c>
      <c r="AV7" s="89"/>
      <c r="AW7" s="88"/>
    </row>
    <row r="8" spans="2:49" s="78" customFormat="1" ht="135" x14ac:dyDescent="0.25">
      <c r="B8" s="79" t="s">
        <v>56</v>
      </c>
      <c r="C8" s="65" t="s">
        <v>59</v>
      </c>
      <c r="D8" s="65" t="s">
        <v>77</v>
      </c>
      <c r="E8" s="80">
        <v>1</v>
      </c>
      <c r="F8" s="65" t="s">
        <v>44</v>
      </c>
      <c r="G8" s="65" t="s">
        <v>80</v>
      </c>
      <c r="H8" s="67" t="s">
        <v>96</v>
      </c>
      <c r="I8" s="65" t="s">
        <v>51</v>
      </c>
      <c r="J8" s="65" t="s">
        <v>45</v>
      </c>
      <c r="K8" s="65" t="s">
        <v>92</v>
      </c>
      <c r="L8" s="65" t="s">
        <v>99</v>
      </c>
      <c r="M8" s="67" t="s">
        <v>94</v>
      </c>
      <c r="N8" s="65" t="s">
        <v>95</v>
      </c>
      <c r="O8" s="81">
        <v>4</v>
      </c>
      <c r="P8" s="82">
        <v>1</v>
      </c>
      <c r="Q8" s="83">
        <v>1</v>
      </c>
      <c r="R8" s="83">
        <v>5</v>
      </c>
      <c r="S8" s="84">
        <v>4</v>
      </c>
      <c r="T8" s="85" t="str">
        <f t="shared" ref="T8:T32" ca="1" si="12">IF(AND(ISNUMBER(P8),ISNUMBER($O8)),OFFSET(RiskMatrixRef,-$O8+1,P8-1),"")</f>
        <v>Low</v>
      </c>
      <c r="U8" s="86" t="str">
        <f t="shared" ref="U8:U32" ca="1" si="13">IF(AND(ISNUMBER(Q8),ISNUMBER($O8)),OFFSET(RiskMatrixRef,-$O8+1,Q8-1),"")</f>
        <v>Low</v>
      </c>
      <c r="V8" s="86" t="str">
        <f t="shared" ref="V8:V32" ca="1" si="14">IF(AND(ISNUMBER(R8),ISNUMBER($O8)),OFFSET(RiskMatrixRef,-$O8+1,R8-1),"")</f>
        <v>Low</v>
      </c>
      <c r="W8" s="87" t="str">
        <f t="shared" ref="W8:W32" ca="1" si="15">IF(AND(ISNUMBER(S8),ISNUMBER($O8)),OFFSET(RiskMatrixRef,-$O8+1,S8-1),"")</f>
        <v>Low</v>
      </c>
      <c r="X8" s="88"/>
      <c r="Y8" s="88"/>
      <c r="Z8" s="88"/>
      <c r="AA8" s="81"/>
      <c r="AB8" s="82"/>
      <c r="AC8" s="83"/>
      <c r="AD8" s="83"/>
      <c r="AE8" s="84"/>
      <c r="AF8" s="85" t="str">
        <f t="shared" ca="1" si="4"/>
        <v/>
      </c>
      <c r="AG8" s="86" t="str">
        <f t="shared" ca="1" si="5"/>
        <v/>
      </c>
      <c r="AH8" s="86" t="str">
        <f t="shared" ca="1" si="6"/>
        <v/>
      </c>
      <c r="AI8" s="87" t="str">
        <f t="shared" ca="1" si="7"/>
        <v/>
      </c>
      <c r="AJ8" s="88"/>
      <c r="AK8" s="88"/>
      <c r="AL8" s="88"/>
      <c r="AM8" s="81"/>
      <c r="AN8" s="82"/>
      <c r="AO8" s="83"/>
      <c r="AP8" s="83"/>
      <c r="AQ8" s="84"/>
      <c r="AR8" s="85" t="str">
        <f t="shared" ca="1" si="8"/>
        <v/>
      </c>
      <c r="AS8" s="86" t="str">
        <f t="shared" ca="1" si="9"/>
        <v/>
      </c>
      <c r="AT8" s="86" t="str">
        <f t="shared" ca="1" si="10"/>
        <v/>
      </c>
      <c r="AU8" s="87" t="str">
        <f t="shared" ca="1" si="11"/>
        <v/>
      </c>
      <c r="AV8" s="89"/>
      <c r="AW8" s="88"/>
    </row>
    <row r="9" spans="2:49" s="78" customFormat="1" ht="135" x14ac:dyDescent="0.25">
      <c r="B9" s="79" t="s">
        <v>57</v>
      </c>
      <c r="C9" s="65" t="s">
        <v>59</v>
      </c>
      <c r="D9" s="65" t="s">
        <v>77</v>
      </c>
      <c r="E9" s="80">
        <v>1</v>
      </c>
      <c r="F9" s="65" t="s">
        <v>44</v>
      </c>
      <c r="G9" s="65" t="s">
        <v>82</v>
      </c>
      <c r="H9" s="67" t="s">
        <v>96</v>
      </c>
      <c r="I9" s="65" t="s">
        <v>51</v>
      </c>
      <c r="J9" s="65" t="s">
        <v>45</v>
      </c>
      <c r="K9" s="65" t="s">
        <v>92</v>
      </c>
      <c r="L9" s="65" t="s">
        <v>99</v>
      </c>
      <c r="M9" s="67" t="s">
        <v>94</v>
      </c>
      <c r="N9" s="65" t="s">
        <v>95</v>
      </c>
      <c r="O9" s="81">
        <v>4</v>
      </c>
      <c r="P9" s="82">
        <v>1</v>
      </c>
      <c r="Q9" s="83">
        <v>1</v>
      </c>
      <c r="R9" s="83">
        <v>5</v>
      </c>
      <c r="S9" s="84">
        <v>4</v>
      </c>
      <c r="T9" s="85" t="str">
        <f t="shared" ref="T9" ca="1" si="16">IF(AND(ISNUMBER(P9),ISNUMBER($O9)),OFFSET(RiskMatrixRef,-$O9+1,P9-1),"")</f>
        <v>Low</v>
      </c>
      <c r="U9" s="86" t="str">
        <f t="shared" ref="U9" ca="1" si="17">IF(AND(ISNUMBER(Q9),ISNUMBER($O9)),OFFSET(RiskMatrixRef,-$O9+1,Q9-1),"")</f>
        <v>Low</v>
      </c>
      <c r="V9" s="86" t="str">
        <f t="shared" ref="V9" ca="1" si="18">IF(AND(ISNUMBER(R9),ISNUMBER($O9)),OFFSET(RiskMatrixRef,-$O9+1,R9-1),"")</f>
        <v>Low</v>
      </c>
      <c r="W9" s="87" t="str">
        <f t="shared" ref="W9" ca="1" si="19">IF(AND(ISNUMBER(S9),ISNUMBER($O9)),OFFSET(RiskMatrixRef,-$O9+1,S9-1),"")</f>
        <v>Low</v>
      </c>
      <c r="X9" s="88"/>
      <c r="Y9" s="88"/>
      <c r="Z9" s="88"/>
      <c r="AA9" s="81"/>
      <c r="AB9" s="82"/>
      <c r="AC9" s="83"/>
      <c r="AD9" s="83"/>
      <c r="AE9" s="84"/>
      <c r="AF9" s="85" t="str">
        <f t="shared" ref="AF9" ca="1" si="20">IF(AND(ISNUMBER(AB9),ISNUMBER($AA9)),OFFSET(RiskMatrixRef,-$AA9+1,AB9-1),"")</f>
        <v/>
      </c>
      <c r="AG9" s="86" t="str">
        <f t="shared" ref="AG9" ca="1" si="21">IF(AND(ISNUMBER(AC9),ISNUMBER($AA9)),OFFSET(RiskMatrixRef,-$AA9+1,AC9-1),"")</f>
        <v/>
      </c>
      <c r="AH9" s="86" t="str">
        <f t="shared" ref="AH9" ca="1" si="22">IF(AND(ISNUMBER(AD9),ISNUMBER($AA9)),OFFSET(RiskMatrixRef,-$AA9+1,AD9-1),"")</f>
        <v/>
      </c>
      <c r="AI9" s="87" t="str">
        <f t="shared" ref="AI9" ca="1" si="23">IF(AND(ISNUMBER(AE9),ISNUMBER($AA9)),OFFSET(RiskMatrixRef,-$AA9+1,AE9-1),"")</f>
        <v/>
      </c>
      <c r="AJ9" s="88"/>
      <c r="AK9" s="88"/>
      <c r="AL9" s="88"/>
      <c r="AM9" s="81"/>
      <c r="AN9" s="82"/>
      <c r="AO9" s="83"/>
      <c r="AP9" s="83"/>
      <c r="AQ9" s="84"/>
      <c r="AR9" s="85" t="str">
        <f t="shared" ref="AR9" ca="1" si="24">IF(AND(ISNUMBER(AN9),ISNUMBER($AM9)),OFFSET(RiskMatrixRef,-$AM9+1,AN9-1),"")</f>
        <v/>
      </c>
      <c r="AS9" s="86" t="str">
        <f t="shared" ref="AS9" ca="1" si="25">IF(AND(ISNUMBER(AO9),ISNUMBER($AM9)),OFFSET(RiskMatrixRef,-$AM9+1,AO9-1),"")</f>
        <v/>
      </c>
      <c r="AT9" s="86" t="str">
        <f t="shared" ref="AT9" ca="1" si="26">IF(AND(ISNUMBER(AP9),ISNUMBER($AM9)),OFFSET(RiskMatrixRef,-$AM9+1,AP9-1),"")</f>
        <v/>
      </c>
      <c r="AU9" s="87" t="str">
        <f t="shared" ref="AU9" ca="1" si="27">IF(AND(ISNUMBER(AQ9),ISNUMBER($AM9)),OFFSET(RiskMatrixRef,-$AM9+1,AQ9-1),"")</f>
        <v/>
      </c>
      <c r="AV9" s="89"/>
      <c r="AW9" s="88"/>
    </row>
    <row r="10" spans="2:49" s="78" customFormat="1" ht="135" x14ac:dyDescent="0.25">
      <c r="B10" s="79" t="s">
        <v>58</v>
      </c>
      <c r="C10" s="65" t="s">
        <v>59</v>
      </c>
      <c r="D10" s="65" t="s">
        <v>77</v>
      </c>
      <c r="E10" s="80">
        <v>1</v>
      </c>
      <c r="F10" s="65" t="s">
        <v>44</v>
      </c>
      <c r="G10" s="65" t="s">
        <v>83</v>
      </c>
      <c r="H10" s="65" t="s">
        <v>97</v>
      </c>
      <c r="I10" s="65" t="s">
        <v>51</v>
      </c>
      <c r="J10" s="65" t="s">
        <v>45</v>
      </c>
      <c r="K10" s="65" t="s">
        <v>98</v>
      </c>
      <c r="L10" s="65" t="s">
        <v>99</v>
      </c>
      <c r="M10" s="67" t="s">
        <v>94</v>
      </c>
      <c r="N10" s="65" t="s">
        <v>95</v>
      </c>
      <c r="O10" s="81">
        <v>4</v>
      </c>
      <c r="P10" s="82">
        <v>1</v>
      </c>
      <c r="Q10" s="83">
        <v>1</v>
      </c>
      <c r="R10" s="83">
        <v>5</v>
      </c>
      <c r="S10" s="84">
        <v>4</v>
      </c>
      <c r="T10" s="85" t="str">
        <f t="shared" ca="1" si="12"/>
        <v>Low</v>
      </c>
      <c r="U10" s="86" t="str">
        <f t="shared" ca="1" si="13"/>
        <v>Low</v>
      </c>
      <c r="V10" s="86" t="str">
        <f t="shared" ca="1" si="14"/>
        <v>Low</v>
      </c>
      <c r="W10" s="87" t="str">
        <f t="shared" ca="1" si="15"/>
        <v>Low</v>
      </c>
      <c r="X10" s="88"/>
      <c r="Y10" s="88"/>
      <c r="Z10" s="88"/>
      <c r="AA10" s="81"/>
      <c r="AB10" s="82"/>
      <c r="AC10" s="83"/>
      <c r="AD10" s="83"/>
      <c r="AE10" s="84"/>
      <c r="AF10" s="85" t="str">
        <f t="shared" ca="1" si="4"/>
        <v/>
      </c>
      <c r="AG10" s="86" t="str">
        <f t="shared" ca="1" si="5"/>
        <v/>
      </c>
      <c r="AH10" s="86" t="str">
        <f t="shared" ca="1" si="6"/>
        <v/>
      </c>
      <c r="AI10" s="87" t="str">
        <f t="shared" ca="1" si="7"/>
        <v/>
      </c>
      <c r="AJ10" s="88"/>
      <c r="AK10" s="88"/>
      <c r="AL10" s="88"/>
      <c r="AM10" s="81"/>
      <c r="AN10" s="82"/>
      <c r="AO10" s="83"/>
      <c r="AP10" s="83"/>
      <c r="AQ10" s="84"/>
      <c r="AR10" s="85" t="str">
        <f t="shared" ca="1" si="8"/>
        <v/>
      </c>
      <c r="AS10" s="86" t="str">
        <f t="shared" ca="1" si="9"/>
        <v/>
      </c>
      <c r="AT10" s="86" t="str">
        <f t="shared" ca="1" si="10"/>
        <v/>
      </c>
      <c r="AU10" s="87" t="str">
        <f t="shared" ca="1" si="11"/>
        <v/>
      </c>
      <c r="AV10" s="89"/>
      <c r="AW10" s="88"/>
    </row>
    <row r="11" spans="2:49" s="103" customFormat="1" ht="135" x14ac:dyDescent="0.25">
      <c r="B11" s="90" t="s">
        <v>58</v>
      </c>
      <c r="C11" s="91" t="s">
        <v>59</v>
      </c>
      <c r="D11" s="91" t="s">
        <v>77</v>
      </c>
      <c r="E11" s="92">
        <v>1</v>
      </c>
      <c r="F11" s="91" t="s">
        <v>44</v>
      </c>
      <c r="G11" s="91" t="s">
        <v>83</v>
      </c>
      <c r="H11" s="91" t="s">
        <v>100</v>
      </c>
      <c r="I11" s="91" t="s">
        <v>51</v>
      </c>
      <c r="J11" s="93" t="s">
        <v>120</v>
      </c>
      <c r="K11" s="91" t="s">
        <v>101</v>
      </c>
      <c r="L11" s="91" t="s">
        <v>99</v>
      </c>
      <c r="M11" s="91" t="s">
        <v>102</v>
      </c>
      <c r="N11" s="91" t="s">
        <v>103</v>
      </c>
      <c r="O11" s="94">
        <v>5</v>
      </c>
      <c r="P11" s="95">
        <v>1</v>
      </c>
      <c r="Q11" s="96">
        <v>1</v>
      </c>
      <c r="R11" s="96">
        <v>8</v>
      </c>
      <c r="S11" s="97">
        <v>8</v>
      </c>
      <c r="T11" s="98" t="str">
        <f t="shared" ref="T11" ca="1" si="28">IF(AND(ISNUMBER(P11),ISNUMBER($O11)),OFFSET(RiskMatrixRef,-$O11+1,P11-1),"")</f>
        <v>Low</v>
      </c>
      <c r="U11" s="99" t="str">
        <f t="shared" ref="U11" ca="1" si="29">IF(AND(ISNUMBER(Q11),ISNUMBER($O11)),OFFSET(RiskMatrixRef,-$O11+1,Q11-1),"")</f>
        <v>Low</v>
      </c>
      <c r="V11" s="99" t="str">
        <f t="shared" ref="V11" ca="1" si="30">IF(AND(ISNUMBER(R11),ISNUMBER($O11)),OFFSET(RiskMatrixRef,-$O11+1,R11-1),"")</f>
        <v>Med</v>
      </c>
      <c r="W11" s="100" t="str">
        <f t="shared" ref="W11" ca="1" si="31">IF(AND(ISNUMBER(S11),ISNUMBER($O11)),OFFSET(RiskMatrixRef,-$O11+1,S11-1),"")</f>
        <v>Med</v>
      </c>
      <c r="X11" s="101"/>
      <c r="Y11" s="101"/>
      <c r="Z11" s="101"/>
      <c r="AA11" s="94"/>
      <c r="AB11" s="95"/>
      <c r="AC11" s="96"/>
      <c r="AD11" s="96"/>
      <c r="AE11" s="97"/>
      <c r="AF11" s="98" t="str">
        <f t="shared" ref="AF11" ca="1" si="32">IF(AND(ISNUMBER(AB11),ISNUMBER($AA11)),OFFSET(RiskMatrixRef,-$AA11+1,AB11-1),"")</f>
        <v/>
      </c>
      <c r="AG11" s="99" t="str">
        <f t="shared" ref="AG11" ca="1" si="33">IF(AND(ISNUMBER(AC11),ISNUMBER($AA11)),OFFSET(RiskMatrixRef,-$AA11+1,AC11-1),"")</f>
        <v/>
      </c>
      <c r="AH11" s="99" t="str">
        <f t="shared" ref="AH11" ca="1" si="34">IF(AND(ISNUMBER(AD11),ISNUMBER($AA11)),OFFSET(RiskMatrixRef,-$AA11+1,AD11-1),"")</f>
        <v/>
      </c>
      <c r="AI11" s="100" t="str">
        <f t="shared" ref="AI11" ca="1" si="35">IF(AND(ISNUMBER(AE11),ISNUMBER($AA11)),OFFSET(RiskMatrixRef,-$AA11+1,AE11-1),"")</f>
        <v/>
      </c>
      <c r="AJ11" s="101"/>
      <c r="AK11" s="101"/>
      <c r="AL11" s="101"/>
      <c r="AM11" s="94"/>
      <c r="AN11" s="95"/>
      <c r="AO11" s="96"/>
      <c r="AP11" s="96"/>
      <c r="AQ11" s="97"/>
      <c r="AR11" s="98" t="str">
        <f t="shared" ref="AR11" ca="1" si="36">IF(AND(ISNUMBER(AN11),ISNUMBER($AM11)),OFFSET(RiskMatrixRef,-$AM11+1,AN11-1),"")</f>
        <v/>
      </c>
      <c r="AS11" s="99" t="str">
        <f t="shared" ref="AS11" ca="1" si="37">IF(AND(ISNUMBER(AO11),ISNUMBER($AM11)),OFFSET(RiskMatrixRef,-$AM11+1,AO11-1),"")</f>
        <v/>
      </c>
      <c r="AT11" s="99" t="str">
        <f t="shared" ref="AT11" ca="1" si="38">IF(AND(ISNUMBER(AP11),ISNUMBER($AM11)),OFFSET(RiskMatrixRef,-$AM11+1,AP11-1),"")</f>
        <v/>
      </c>
      <c r="AU11" s="100" t="str">
        <f t="shared" ref="AU11" ca="1" si="39">IF(AND(ISNUMBER(AQ11),ISNUMBER($AM11)),OFFSET(RiskMatrixRef,-$AM11+1,AQ11-1),"")</f>
        <v/>
      </c>
      <c r="AV11" s="102"/>
      <c r="AW11" s="101" t="s">
        <v>104</v>
      </c>
    </row>
    <row r="12" spans="2:49" ht="135" x14ac:dyDescent="0.25">
      <c r="B12" s="104" t="s">
        <v>60</v>
      </c>
      <c r="C12" s="105" t="s">
        <v>68</v>
      </c>
      <c r="D12" s="106" t="s">
        <v>84</v>
      </c>
      <c r="E12" s="107">
        <v>1</v>
      </c>
      <c r="F12" s="105" t="s">
        <v>44</v>
      </c>
      <c r="G12" s="105" t="s">
        <v>78</v>
      </c>
      <c r="H12" s="108" t="s">
        <v>105</v>
      </c>
      <c r="I12" s="105" t="s">
        <v>51</v>
      </c>
      <c r="J12" s="109" t="s">
        <v>45</v>
      </c>
      <c r="K12" s="110" t="s">
        <v>106</v>
      </c>
      <c r="L12" s="109" t="s">
        <v>99</v>
      </c>
      <c r="M12" s="108" t="s">
        <v>107</v>
      </c>
      <c r="N12" s="110" t="s">
        <v>108</v>
      </c>
      <c r="O12" s="81">
        <v>4</v>
      </c>
      <c r="P12" s="82">
        <v>1</v>
      </c>
      <c r="Q12" s="83">
        <v>1</v>
      </c>
      <c r="R12" s="83">
        <v>5</v>
      </c>
      <c r="S12" s="84">
        <v>4</v>
      </c>
      <c r="T12" s="85" t="str">
        <f t="shared" ca="1" si="12"/>
        <v>Low</v>
      </c>
      <c r="U12" s="86" t="str">
        <f t="shared" ca="1" si="13"/>
        <v>Low</v>
      </c>
      <c r="V12" s="86" t="str">
        <f t="shared" ca="1" si="14"/>
        <v>Low</v>
      </c>
      <c r="W12" s="87" t="str">
        <f t="shared" ca="1" si="15"/>
        <v>Low</v>
      </c>
      <c r="X12" s="111"/>
      <c r="Y12" s="111"/>
      <c r="Z12" s="111"/>
      <c r="AA12" s="112"/>
      <c r="AB12" s="113"/>
      <c r="AC12" s="114"/>
      <c r="AD12" s="114"/>
      <c r="AE12" s="115"/>
      <c r="AF12" s="116" t="str">
        <f t="shared" ref="AF12:AF15" ca="1" si="40">IF(AND(ISNUMBER(AB12),ISNUMBER($AA12)),OFFSET(RiskMatrixRef,-$AA12+1,AB12-1),"")</f>
        <v/>
      </c>
      <c r="AG12" s="117" t="str">
        <f t="shared" ref="AG12:AG15" ca="1" si="41">IF(AND(ISNUMBER(AC12),ISNUMBER($AA12)),OFFSET(RiskMatrixRef,-$AA12+1,AC12-1),"")</f>
        <v/>
      </c>
      <c r="AH12" s="117" t="str">
        <f t="shared" ref="AH12:AH15" ca="1" si="42">IF(AND(ISNUMBER(AD12),ISNUMBER($AA12)),OFFSET(RiskMatrixRef,-$AA12+1,AD12-1),"")</f>
        <v/>
      </c>
      <c r="AI12" s="118" t="str">
        <f t="shared" ref="AI12:AI15" ca="1" si="43">IF(AND(ISNUMBER(AE12),ISNUMBER($AA12)),OFFSET(RiskMatrixRef,-$AA12+1,AE12-1),"")</f>
        <v/>
      </c>
      <c r="AJ12" s="111"/>
      <c r="AK12" s="111"/>
      <c r="AL12" s="111"/>
      <c r="AM12" s="112"/>
      <c r="AN12" s="113"/>
      <c r="AO12" s="114"/>
      <c r="AP12" s="114"/>
      <c r="AQ12" s="115"/>
      <c r="AR12" s="116" t="str">
        <f t="shared" ref="AR12:AR15" ca="1" si="44">IF(AND(ISNUMBER(AN12),ISNUMBER($AM12)),OFFSET(RiskMatrixRef,-$AM12+1,AN12-1),"")</f>
        <v/>
      </c>
      <c r="AS12" s="117" t="str">
        <f t="shared" ref="AS12:AS15" ca="1" si="45">IF(AND(ISNUMBER(AO12),ISNUMBER($AM12)),OFFSET(RiskMatrixRef,-$AM12+1,AO12-1),"")</f>
        <v/>
      </c>
      <c r="AT12" s="117" t="str">
        <f t="shared" ref="AT12:AT15" ca="1" si="46">IF(AND(ISNUMBER(AP12),ISNUMBER($AM12)),OFFSET(RiskMatrixRef,-$AM12+1,AP12-1),"")</f>
        <v/>
      </c>
      <c r="AU12" s="118" t="str">
        <f t="shared" ref="AU12:AU15" ca="1" si="47">IF(AND(ISNUMBER(AQ12),ISNUMBER($AM12)),OFFSET(RiskMatrixRef,-$AM12+1,AQ12-1),"")</f>
        <v/>
      </c>
      <c r="AV12" s="119"/>
      <c r="AW12" s="111"/>
    </row>
    <row r="13" spans="2:49" ht="135" x14ac:dyDescent="0.25">
      <c r="B13" s="104" t="s">
        <v>61</v>
      </c>
      <c r="C13" s="105" t="s">
        <v>68</v>
      </c>
      <c r="D13" s="106" t="s">
        <v>84</v>
      </c>
      <c r="E13" s="107">
        <v>1</v>
      </c>
      <c r="F13" s="105" t="s">
        <v>44</v>
      </c>
      <c r="G13" s="105" t="s">
        <v>79</v>
      </c>
      <c r="H13" s="108" t="s">
        <v>105</v>
      </c>
      <c r="I13" s="105" t="s">
        <v>51</v>
      </c>
      <c r="J13" s="109" t="s">
        <v>45</v>
      </c>
      <c r="K13" s="110" t="s">
        <v>106</v>
      </c>
      <c r="L13" s="109" t="s">
        <v>99</v>
      </c>
      <c r="M13" s="108" t="s">
        <v>107</v>
      </c>
      <c r="N13" s="110" t="s">
        <v>108</v>
      </c>
      <c r="O13" s="81">
        <v>4</v>
      </c>
      <c r="P13" s="82">
        <v>1</v>
      </c>
      <c r="Q13" s="83">
        <v>1</v>
      </c>
      <c r="R13" s="83">
        <v>5</v>
      </c>
      <c r="S13" s="84">
        <v>4</v>
      </c>
      <c r="T13" s="85" t="str">
        <f t="shared" ca="1" si="12"/>
        <v>Low</v>
      </c>
      <c r="U13" s="86" t="str">
        <f t="shared" ca="1" si="13"/>
        <v>Low</v>
      </c>
      <c r="V13" s="86" t="str">
        <f t="shared" ca="1" si="14"/>
        <v>Low</v>
      </c>
      <c r="W13" s="87" t="str">
        <f t="shared" ca="1" si="15"/>
        <v>Low</v>
      </c>
      <c r="X13" s="111"/>
      <c r="Y13" s="111"/>
      <c r="Z13" s="111"/>
      <c r="AA13" s="112"/>
      <c r="AB13" s="113"/>
      <c r="AC13" s="114"/>
      <c r="AD13" s="114"/>
      <c r="AE13" s="115"/>
      <c r="AF13" s="116" t="str">
        <f t="shared" ca="1" si="40"/>
        <v/>
      </c>
      <c r="AG13" s="117" t="str">
        <f t="shared" ca="1" si="41"/>
        <v/>
      </c>
      <c r="AH13" s="117" t="str">
        <f t="shared" ca="1" si="42"/>
        <v/>
      </c>
      <c r="AI13" s="118" t="str">
        <f t="shared" ca="1" si="43"/>
        <v/>
      </c>
      <c r="AJ13" s="111"/>
      <c r="AK13" s="111"/>
      <c r="AL13" s="111"/>
      <c r="AM13" s="112"/>
      <c r="AN13" s="113"/>
      <c r="AO13" s="114"/>
      <c r="AP13" s="114"/>
      <c r="AQ13" s="115"/>
      <c r="AR13" s="116" t="str">
        <f t="shared" ca="1" si="44"/>
        <v/>
      </c>
      <c r="AS13" s="117" t="str">
        <f t="shared" ca="1" si="45"/>
        <v/>
      </c>
      <c r="AT13" s="117" t="str">
        <f t="shared" ca="1" si="46"/>
        <v/>
      </c>
      <c r="AU13" s="118" t="str">
        <f t="shared" ca="1" si="47"/>
        <v/>
      </c>
      <c r="AV13" s="119"/>
      <c r="AW13" s="111"/>
    </row>
    <row r="14" spans="2:49" ht="135" x14ac:dyDescent="0.25">
      <c r="B14" s="104" t="s">
        <v>62</v>
      </c>
      <c r="C14" s="105" t="s">
        <v>68</v>
      </c>
      <c r="D14" s="106" t="s">
        <v>84</v>
      </c>
      <c r="E14" s="107">
        <v>1</v>
      </c>
      <c r="F14" s="105" t="s">
        <v>44</v>
      </c>
      <c r="G14" s="105" t="s">
        <v>80</v>
      </c>
      <c r="H14" s="108" t="s">
        <v>105</v>
      </c>
      <c r="I14" s="105" t="s">
        <v>51</v>
      </c>
      <c r="J14" s="109" t="s">
        <v>45</v>
      </c>
      <c r="K14" s="110" t="s">
        <v>106</v>
      </c>
      <c r="L14" s="109" t="s">
        <v>99</v>
      </c>
      <c r="M14" s="108" t="s">
        <v>107</v>
      </c>
      <c r="N14" s="110" t="s">
        <v>108</v>
      </c>
      <c r="O14" s="81">
        <v>4</v>
      </c>
      <c r="P14" s="82">
        <v>1</v>
      </c>
      <c r="Q14" s="83">
        <v>1</v>
      </c>
      <c r="R14" s="83">
        <v>5</v>
      </c>
      <c r="S14" s="84">
        <v>4</v>
      </c>
      <c r="T14" s="85" t="str">
        <f t="shared" ref="T14" ca="1" si="48">IF(AND(ISNUMBER(P14),ISNUMBER($O14)),OFFSET(RiskMatrixRef,-$O14+1,P14-1),"")</f>
        <v>Low</v>
      </c>
      <c r="U14" s="86" t="str">
        <f t="shared" ref="U14" ca="1" si="49">IF(AND(ISNUMBER(Q14),ISNUMBER($O14)),OFFSET(RiskMatrixRef,-$O14+1,Q14-1),"")</f>
        <v>Low</v>
      </c>
      <c r="V14" s="86" t="str">
        <f t="shared" ref="V14" ca="1" si="50">IF(AND(ISNUMBER(R14),ISNUMBER($O14)),OFFSET(RiskMatrixRef,-$O14+1,R14-1),"")</f>
        <v>Low</v>
      </c>
      <c r="W14" s="87" t="str">
        <f t="shared" ref="W14" ca="1" si="51">IF(AND(ISNUMBER(S14),ISNUMBER($O14)),OFFSET(RiskMatrixRef,-$O14+1,S14-1),"")</f>
        <v>Low</v>
      </c>
      <c r="X14" s="111"/>
      <c r="Y14" s="111"/>
      <c r="Z14" s="111"/>
      <c r="AA14" s="112"/>
      <c r="AB14" s="113"/>
      <c r="AC14" s="114"/>
      <c r="AD14" s="114"/>
      <c r="AE14" s="115"/>
      <c r="AF14" s="116" t="str">
        <f t="shared" ref="AF14" ca="1" si="52">IF(AND(ISNUMBER(AB14),ISNUMBER($AA14)),OFFSET(RiskMatrixRef,-$AA14+1,AB14-1),"")</f>
        <v/>
      </c>
      <c r="AG14" s="117" t="str">
        <f t="shared" ref="AG14" ca="1" si="53">IF(AND(ISNUMBER(AC14),ISNUMBER($AA14)),OFFSET(RiskMatrixRef,-$AA14+1,AC14-1),"")</f>
        <v/>
      </c>
      <c r="AH14" s="117" t="str">
        <f t="shared" ref="AH14" ca="1" si="54">IF(AND(ISNUMBER(AD14),ISNUMBER($AA14)),OFFSET(RiskMatrixRef,-$AA14+1,AD14-1),"")</f>
        <v/>
      </c>
      <c r="AI14" s="118" t="str">
        <f t="shared" ref="AI14" ca="1" si="55">IF(AND(ISNUMBER(AE14),ISNUMBER($AA14)),OFFSET(RiskMatrixRef,-$AA14+1,AE14-1),"")</f>
        <v/>
      </c>
      <c r="AJ14" s="111"/>
      <c r="AK14" s="111"/>
      <c r="AL14" s="111"/>
      <c r="AM14" s="112"/>
      <c r="AN14" s="113"/>
      <c r="AO14" s="114"/>
      <c r="AP14" s="114"/>
      <c r="AQ14" s="115"/>
      <c r="AR14" s="116" t="str">
        <f t="shared" ref="AR14" ca="1" si="56">IF(AND(ISNUMBER(AN14),ISNUMBER($AM14)),OFFSET(RiskMatrixRef,-$AM14+1,AN14-1),"")</f>
        <v/>
      </c>
      <c r="AS14" s="117" t="str">
        <f t="shared" ref="AS14" ca="1" si="57">IF(AND(ISNUMBER(AO14),ISNUMBER($AM14)),OFFSET(RiskMatrixRef,-$AM14+1,AO14-1),"")</f>
        <v/>
      </c>
      <c r="AT14" s="117" t="str">
        <f t="shared" ref="AT14" ca="1" si="58">IF(AND(ISNUMBER(AP14),ISNUMBER($AM14)),OFFSET(RiskMatrixRef,-$AM14+1,AP14-1),"")</f>
        <v/>
      </c>
      <c r="AU14" s="118" t="str">
        <f t="shared" ref="AU14" ca="1" si="59">IF(AND(ISNUMBER(AQ14),ISNUMBER($AM14)),OFFSET(RiskMatrixRef,-$AM14+1,AQ14-1),"")</f>
        <v/>
      </c>
      <c r="AV14" s="119"/>
      <c r="AW14" s="111"/>
    </row>
    <row r="15" spans="2:49" ht="135" x14ac:dyDescent="0.25">
      <c r="B15" s="104" t="s">
        <v>63</v>
      </c>
      <c r="C15" s="105" t="s">
        <v>68</v>
      </c>
      <c r="D15" s="106" t="s">
        <v>84</v>
      </c>
      <c r="E15" s="107">
        <v>1</v>
      </c>
      <c r="F15" s="105" t="s">
        <v>44</v>
      </c>
      <c r="G15" s="105" t="s">
        <v>82</v>
      </c>
      <c r="H15" s="108" t="s">
        <v>105</v>
      </c>
      <c r="I15" s="105" t="s">
        <v>51</v>
      </c>
      <c r="J15" s="109" t="s">
        <v>45</v>
      </c>
      <c r="K15" s="110" t="s">
        <v>106</v>
      </c>
      <c r="L15" s="109" t="s">
        <v>99</v>
      </c>
      <c r="M15" s="108" t="s">
        <v>107</v>
      </c>
      <c r="N15" s="110" t="s">
        <v>108</v>
      </c>
      <c r="O15" s="81">
        <v>4</v>
      </c>
      <c r="P15" s="82">
        <v>1</v>
      </c>
      <c r="Q15" s="83">
        <v>1</v>
      </c>
      <c r="R15" s="83">
        <v>5</v>
      </c>
      <c r="S15" s="84">
        <v>4</v>
      </c>
      <c r="T15" s="85" t="str">
        <f t="shared" ca="1" si="12"/>
        <v>Low</v>
      </c>
      <c r="U15" s="86" t="str">
        <f t="shared" ca="1" si="13"/>
        <v>Low</v>
      </c>
      <c r="V15" s="86" t="str">
        <f t="shared" ca="1" si="14"/>
        <v>Low</v>
      </c>
      <c r="W15" s="87" t="str">
        <f t="shared" ca="1" si="15"/>
        <v>Low</v>
      </c>
      <c r="X15" s="111"/>
      <c r="Y15" s="111"/>
      <c r="Z15" s="111"/>
      <c r="AA15" s="112"/>
      <c r="AB15" s="113"/>
      <c r="AC15" s="114"/>
      <c r="AD15" s="114"/>
      <c r="AE15" s="115"/>
      <c r="AF15" s="116" t="str">
        <f t="shared" ca="1" si="40"/>
        <v/>
      </c>
      <c r="AG15" s="117" t="str">
        <f t="shared" ca="1" si="41"/>
        <v/>
      </c>
      <c r="AH15" s="117" t="str">
        <f t="shared" ca="1" si="42"/>
        <v/>
      </c>
      <c r="AI15" s="118" t="str">
        <f t="shared" ca="1" si="43"/>
        <v/>
      </c>
      <c r="AJ15" s="111"/>
      <c r="AK15" s="111"/>
      <c r="AL15" s="111"/>
      <c r="AM15" s="112"/>
      <c r="AN15" s="113"/>
      <c r="AO15" s="114"/>
      <c r="AP15" s="114"/>
      <c r="AQ15" s="115"/>
      <c r="AR15" s="116" t="str">
        <f t="shared" ca="1" si="44"/>
        <v/>
      </c>
      <c r="AS15" s="117" t="str">
        <f t="shared" ca="1" si="45"/>
        <v/>
      </c>
      <c r="AT15" s="117" t="str">
        <f t="shared" ca="1" si="46"/>
        <v/>
      </c>
      <c r="AU15" s="118" t="str">
        <f t="shared" ca="1" si="47"/>
        <v/>
      </c>
      <c r="AV15" s="119"/>
      <c r="AW15" s="111"/>
    </row>
    <row r="16" spans="2:49" ht="135" x14ac:dyDescent="0.25">
      <c r="B16" s="104" t="s">
        <v>81</v>
      </c>
      <c r="C16" s="105" t="s">
        <v>68</v>
      </c>
      <c r="D16" s="106" t="s">
        <v>84</v>
      </c>
      <c r="E16" s="107">
        <v>1</v>
      </c>
      <c r="F16" s="105" t="s">
        <v>44</v>
      </c>
      <c r="G16" s="105" t="s">
        <v>83</v>
      </c>
      <c r="H16" s="108" t="s">
        <v>52</v>
      </c>
      <c r="I16" s="105" t="s">
        <v>51</v>
      </c>
      <c r="J16" s="109" t="s">
        <v>45</v>
      </c>
      <c r="K16" s="110" t="s">
        <v>53</v>
      </c>
      <c r="L16" s="109" t="s">
        <v>99</v>
      </c>
      <c r="M16" s="108" t="s">
        <v>107</v>
      </c>
      <c r="N16" s="110" t="s">
        <v>108</v>
      </c>
      <c r="O16" s="81">
        <v>4</v>
      </c>
      <c r="P16" s="82">
        <v>1</v>
      </c>
      <c r="Q16" s="83">
        <v>1</v>
      </c>
      <c r="R16" s="83">
        <v>5</v>
      </c>
      <c r="S16" s="84">
        <v>4</v>
      </c>
      <c r="T16" s="85" t="str">
        <f t="shared" ca="1" si="12"/>
        <v>Low</v>
      </c>
      <c r="U16" s="86" t="str">
        <f t="shared" ca="1" si="13"/>
        <v>Low</v>
      </c>
      <c r="V16" s="86" t="str">
        <f t="shared" ca="1" si="14"/>
        <v>Low</v>
      </c>
      <c r="W16" s="87" t="str">
        <f t="shared" ca="1" si="15"/>
        <v>Low</v>
      </c>
      <c r="X16" s="111"/>
      <c r="Y16" s="111"/>
      <c r="Z16" s="111"/>
      <c r="AA16" s="112"/>
      <c r="AB16" s="113"/>
      <c r="AC16" s="114"/>
      <c r="AD16" s="114"/>
      <c r="AE16" s="115"/>
      <c r="AF16" s="116" t="str">
        <f t="shared" ca="1" si="4"/>
        <v/>
      </c>
      <c r="AG16" s="117" t="str">
        <f t="shared" ca="1" si="5"/>
        <v/>
      </c>
      <c r="AH16" s="117" t="str">
        <f t="shared" ca="1" si="6"/>
        <v/>
      </c>
      <c r="AI16" s="118" t="str">
        <f t="shared" ca="1" si="7"/>
        <v/>
      </c>
      <c r="AJ16" s="111"/>
      <c r="AK16" s="111"/>
      <c r="AL16" s="111"/>
      <c r="AM16" s="112"/>
      <c r="AN16" s="113"/>
      <c r="AO16" s="114"/>
      <c r="AP16" s="114"/>
      <c r="AQ16" s="115"/>
      <c r="AR16" s="116" t="str">
        <f t="shared" ca="1" si="8"/>
        <v/>
      </c>
      <c r="AS16" s="117" t="str">
        <f t="shared" ca="1" si="9"/>
        <v/>
      </c>
      <c r="AT16" s="117" t="str">
        <f t="shared" ca="1" si="10"/>
        <v/>
      </c>
      <c r="AU16" s="118" t="str">
        <f t="shared" ca="1" si="11"/>
        <v/>
      </c>
      <c r="AV16" s="119"/>
      <c r="AW16" s="111"/>
    </row>
    <row r="17" spans="2:49" s="103" customFormat="1" ht="135" x14ac:dyDescent="0.25">
      <c r="B17" s="90" t="s">
        <v>90</v>
      </c>
      <c r="C17" s="91" t="s">
        <v>68</v>
      </c>
      <c r="D17" s="120" t="s">
        <v>84</v>
      </c>
      <c r="E17" s="92">
        <v>2</v>
      </c>
      <c r="F17" s="91" t="s">
        <v>44</v>
      </c>
      <c r="G17" s="91" t="s">
        <v>83</v>
      </c>
      <c r="H17" s="91" t="s">
        <v>109</v>
      </c>
      <c r="I17" s="91" t="s">
        <v>51</v>
      </c>
      <c r="J17" s="93" t="s">
        <v>120</v>
      </c>
      <c r="K17" s="91" t="s">
        <v>101</v>
      </c>
      <c r="L17" s="91" t="s">
        <v>99</v>
      </c>
      <c r="M17" s="91" t="s">
        <v>102</v>
      </c>
      <c r="N17" s="91" t="s">
        <v>103</v>
      </c>
      <c r="O17" s="94">
        <v>5</v>
      </c>
      <c r="P17" s="95">
        <v>1</v>
      </c>
      <c r="Q17" s="96">
        <v>1</v>
      </c>
      <c r="R17" s="96">
        <v>8</v>
      </c>
      <c r="S17" s="97">
        <v>8</v>
      </c>
      <c r="T17" s="98" t="str">
        <f ca="1">IF(AND(ISNUMBER(P17),ISNUMBER($O17)),OFFSET(RiskMatrixRef,-$O17+1,P17-1),"")</f>
        <v>Low</v>
      </c>
      <c r="U17" s="99" t="str">
        <f ca="1">IF(AND(ISNUMBER(Q17),ISNUMBER($O17)),OFFSET(RiskMatrixRef,-$O17+1,Q17-1),"")</f>
        <v>Low</v>
      </c>
      <c r="V17" s="99" t="str">
        <f ca="1">IF(AND(ISNUMBER(R17),ISNUMBER($O17)),OFFSET(RiskMatrixRef,-$O17+1,R17-1),"")</f>
        <v>Med</v>
      </c>
      <c r="W17" s="100" t="str">
        <f ca="1">IF(AND(ISNUMBER(S17),ISNUMBER($O17)),OFFSET(RiskMatrixRef,-$O17+1,S17-1),"")</f>
        <v>Med</v>
      </c>
      <c r="X17" s="101"/>
      <c r="Y17" s="101"/>
      <c r="Z17" s="101"/>
      <c r="AA17" s="94"/>
      <c r="AB17" s="95"/>
      <c r="AC17" s="96"/>
      <c r="AD17" s="96"/>
      <c r="AE17" s="97"/>
      <c r="AF17" s="98" t="str">
        <f ca="1">IF(AND(ISNUMBER(AB17),ISNUMBER($AA17)),OFFSET(RiskMatrixRef,-$AA17+1,AB17-1),"")</f>
        <v/>
      </c>
      <c r="AG17" s="99" t="str">
        <f ca="1">IF(AND(ISNUMBER(AC17),ISNUMBER($AA17)),OFFSET(RiskMatrixRef,-$AA17+1,AC17-1),"")</f>
        <v/>
      </c>
      <c r="AH17" s="99" t="str">
        <f ca="1">IF(AND(ISNUMBER(AD17),ISNUMBER($AA17)),OFFSET(RiskMatrixRef,-$AA17+1,AD17-1),"")</f>
        <v/>
      </c>
      <c r="AI17" s="100" t="str">
        <f ca="1">IF(AND(ISNUMBER(AE17),ISNUMBER($AA17)),OFFSET(RiskMatrixRef,-$AA17+1,AE17-1),"")</f>
        <v/>
      </c>
      <c r="AJ17" s="101"/>
      <c r="AK17" s="101"/>
      <c r="AL17" s="101"/>
      <c r="AM17" s="94"/>
      <c r="AN17" s="95"/>
      <c r="AO17" s="96"/>
      <c r="AP17" s="96"/>
      <c r="AQ17" s="97"/>
      <c r="AR17" s="98" t="str">
        <f ca="1">IF(AND(ISNUMBER(AN17),ISNUMBER($AM17)),OFFSET(RiskMatrixRef,-$AM17+1,AN17-1),"")</f>
        <v/>
      </c>
      <c r="AS17" s="99" t="str">
        <f ca="1">IF(AND(ISNUMBER(AO17),ISNUMBER($AM17)),OFFSET(RiskMatrixRef,-$AM17+1,AO17-1),"")</f>
        <v/>
      </c>
      <c r="AT17" s="99" t="str">
        <f ca="1">IF(AND(ISNUMBER(AP17),ISNUMBER($AM17)),OFFSET(RiskMatrixRef,-$AM17+1,AP17-1),"")</f>
        <v/>
      </c>
      <c r="AU17" s="100" t="str">
        <f ca="1">IF(AND(ISNUMBER(AQ17),ISNUMBER($AM17)),OFFSET(RiskMatrixRef,-$AM17+1,AQ17-1),"")</f>
        <v/>
      </c>
      <c r="AV17" s="102"/>
      <c r="AW17" s="101"/>
    </row>
    <row r="18" spans="2:49" s="78" customFormat="1" ht="135" x14ac:dyDescent="0.25">
      <c r="B18" s="79" t="s">
        <v>64</v>
      </c>
      <c r="C18" s="65" t="s">
        <v>69</v>
      </c>
      <c r="D18" s="65" t="s">
        <v>86</v>
      </c>
      <c r="E18" s="80">
        <v>1</v>
      </c>
      <c r="F18" s="65" t="s">
        <v>44</v>
      </c>
      <c r="G18" s="65" t="s">
        <v>78</v>
      </c>
      <c r="H18" s="121" t="s">
        <v>110</v>
      </c>
      <c r="I18" s="65" t="s">
        <v>51</v>
      </c>
      <c r="J18" s="65" t="s">
        <v>45</v>
      </c>
      <c r="K18" s="65" t="s">
        <v>111</v>
      </c>
      <c r="L18" s="65" t="s">
        <v>99</v>
      </c>
      <c r="M18" s="65" t="s">
        <v>113</v>
      </c>
      <c r="N18" s="65" t="s">
        <v>112</v>
      </c>
      <c r="O18" s="81">
        <v>4</v>
      </c>
      <c r="P18" s="82">
        <v>1</v>
      </c>
      <c r="Q18" s="83">
        <v>1</v>
      </c>
      <c r="R18" s="83">
        <v>5</v>
      </c>
      <c r="S18" s="84">
        <v>4</v>
      </c>
      <c r="T18" s="85" t="str">
        <f t="shared" ca="1" si="12"/>
        <v>Low</v>
      </c>
      <c r="U18" s="86" t="str">
        <f t="shared" ca="1" si="13"/>
        <v>Low</v>
      </c>
      <c r="V18" s="86" t="str">
        <f t="shared" ca="1" si="14"/>
        <v>Low</v>
      </c>
      <c r="W18" s="87" t="str">
        <f t="shared" ca="1" si="15"/>
        <v>Low</v>
      </c>
      <c r="X18" s="88"/>
      <c r="Y18" s="88"/>
      <c r="Z18" s="88"/>
      <c r="AA18" s="81"/>
      <c r="AB18" s="82"/>
      <c r="AC18" s="83"/>
      <c r="AD18" s="83"/>
      <c r="AE18" s="84"/>
      <c r="AF18" s="85" t="str">
        <f t="shared" ca="1" si="4"/>
        <v/>
      </c>
      <c r="AG18" s="86" t="str">
        <f t="shared" ca="1" si="5"/>
        <v/>
      </c>
      <c r="AH18" s="86" t="str">
        <f t="shared" ca="1" si="6"/>
        <v/>
      </c>
      <c r="AI18" s="87" t="str">
        <f t="shared" ca="1" si="7"/>
        <v/>
      </c>
      <c r="AJ18" s="88"/>
      <c r="AK18" s="88"/>
      <c r="AL18" s="88"/>
      <c r="AM18" s="81"/>
      <c r="AN18" s="82"/>
      <c r="AO18" s="83"/>
      <c r="AP18" s="83"/>
      <c r="AQ18" s="84"/>
      <c r="AR18" s="85" t="str">
        <f t="shared" ca="1" si="8"/>
        <v/>
      </c>
      <c r="AS18" s="86" t="str">
        <f t="shared" ca="1" si="9"/>
        <v/>
      </c>
      <c r="AT18" s="86" t="str">
        <f t="shared" ca="1" si="10"/>
        <v/>
      </c>
      <c r="AU18" s="87" t="str">
        <f t="shared" ca="1" si="11"/>
        <v/>
      </c>
      <c r="AV18" s="89"/>
      <c r="AW18" s="88"/>
    </row>
    <row r="19" spans="2:49" s="78" customFormat="1" ht="135" x14ac:dyDescent="0.25">
      <c r="B19" s="79" t="s">
        <v>65</v>
      </c>
      <c r="C19" s="65" t="s">
        <v>69</v>
      </c>
      <c r="D19" s="65" t="s">
        <v>86</v>
      </c>
      <c r="E19" s="80">
        <v>1</v>
      </c>
      <c r="F19" s="65" t="s">
        <v>44</v>
      </c>
      <c r="G19" s="65" t="s">
        <v>79</v>
      </c>
      <c r="H19" s="121" t="s">
        <v>110</v>
      </c>
      <c r="I19" s="65" t="s">
        <v>51</v>
      </c>
      <c r="J19" s="65" t="s">
        <v>45</v>
      </c>
      <c r="K19" s="65" t="s">
        <v>111</v>
      </c>
      <c r="L19" s="65" t="s">
        <v>99</v>
      </c>
      <c r="M19" s="65" t="s">
        <v>113</v>
      </c>
      <c r="N19" s="65" t="s">
        <v>112</v>
      </c>
      <c r="O19" s="81">
        <v>4</v>
      </c>
      <c r="P19" s="82">
        <v>1</v>
      </c>
      <c r="Q19" s="83">
        <v>1</v>
      </c>
      <c r="R19" s="83">
        <v>5</v>
      </c>
      <c r="S19" s="84">
        <v>4</v>
      </c>
      <c r="T19" s="85" t="str">
        <f t="shared" ca="1" si="12"/>
        <v>Low</v>
      </c>
      <c r="U19" s="86" t="str">
        <f t="shared" ca="1" si="13"/>
        <v>Low</v>
      </c>
      <c r="V19" s="86" t="str">
        <f t="shared" ca="1" si="14"/>
        <v>Low</v>
      </c>
      <c r="W19" s="87" t="str">
        <f t="shared" ca="1" si="15"/>
        <v>Low</v>
      </c>
      <c r="X19" s="88"/>
      <c r="Y19" s="88"/>
      <c r="Z19" s="88"/>
      <c r="AA19" s="81"/>
      <c r="AB19" s="82"/>
      <c r="AC19" s="83"/>
      <c r="AD19" s="83"/>
      <c r="AE19" s="84"/>
      <c r="AF19" s="85" t="str">
        <f t="shared" ca="1" si="4"/>
        <v/>
      </c>
      <c r="AG19" s="86" t="str">
        <f t="shared" ca="1" si="5"/>
        <v/>
      </c>
      <c r="AH19" s="86" t="str">
        <f t="shared" ca="1" si="6"/>
        <v/>
      </c>
      <c r="AI19" s="87" t="str">
        <f t="shared" ca="1" si="7"/>
        <v/>
      </c>
      <c r="AJ19" s="88"/>
      <c r="AK19" s="88"/>
      <c r="AL19" s="88"/>
      <c r="AM19" s="81"/>
      <c r="AN19" s="82"/>
      <c r="AO19" s="83"/>
      <c r="AP19" s="83"/>
      <c r="AQ19" s="84"/>
      <c r="AR19" s="85" t="str">
        <f t="shared" ca="1" si="8"/>
        <v/>
      </c>
      <c r="AS19" s="86" t="str">
        <f t="shared" ca="1" si="9"/>
        <v/>
      </c>
      <c r="AT19" s="86" t="str">
        <f t="shared" ca="1" si="10"/>
        <v/>
      </c>
      <c r="AU19" s="87" t="str">
        <f t="shared" ca="1" si="11"/>
        <v/>
      </c>
      <c r="AV19" s="89"/>
      <c r="AW19" s="88"/>
    </row>
    <row r="20" spans="2:49" s="78" customFormat="1" ht="135" x14ac:dyDescent="0.25">
      <c r="B20" s="79" t="s">
        <v>66</v>
      </c>
      <c r="C20" s="65" t="s">
        <v>69</v>
      </c>
      <c r="D20" s="65" t="s">
        <v>86</v>
      </c>
      <c r="E20" s="80">
        <v>1</v>
      </c>
      <c r="F20" s="65" t="s">
        <v>44</v>
      </c>
      <c r="G20" s="65" t="s">
        <v>80</v>
      </c>
      <c r="H20" s="121" t="s">
        <v>110</v>
      </c>
      <c r="I20" s="65" t="s">
        <v>51</v>
      </c>
      <c r="J20" s="65" t="s">
        <v>45</v>
      </c>
      <c r="K20" s="65" t="s">
        <v>111</v>
      </c>
      <c r="L20" s="65" t="s">
        <v>99</v>
      </c>
      <c r="M20" s="65" t="s">
        <v>113</v>
      </c>
      <c r="N20" s="65" t="s">
        <v>112</v>
      </c>
      <c r="O20" s="81">
        <v>4</v>
      </c>
      <c r="P20" s="82">
        <v>1</v>
      </c>
      <c r="Q20" s="83">
        <v>1</v>
      </c>
      <c r="R20" s="83">
        <v>5</v>
      </c>
      <c r="S20" s="84">
        <v>4</v>
      </c>
      <c r="T20" s="85" t="str">
        <f t="shared" ref="T20" ca="1" si="60">IF(AND(ISNUMBER(P20),ISNUMBER($O20)),OFFSET(RiskMatrixRef,-$O20+1,P20-1),"")</f>
        <v>Low</v>
      </c>
      <c r="U20" s="86" t="str">
        <f t="shared" ref="U20" ca="1" si="61">IF(AND(ISNUMBER(Q20),ISNUMBER($O20)),OFFSET(RiskMatrixRef,-$O20+1,Q20-1),"")</f>
        <v>Low</v>
      </c>
      <c r="V20" s="86" t="str">
        <f t="shared" ref="V20" ca="1" si="62">IF(AND(ISNUMBER(R20),ISNUMBER($O20)),OFFSET(RiskMatrixRef,-$O20+1,R20-1),"")</f>
        <v>Low</v>
      </c>
      <c r="W20" s="87" t="str">
        <f t="shared" ref="W20" ca="1" si="63">IF(AND(ISNUMBER(S20),ISNUMBER($O20)),OFFSET(RiskMatrixRef,-$O20+1,S20-1),"")</f>
        <v>Low</v>
      </c>
      <c r="X20" s="88"/>
      <c r="Y20" s="88"/>
      <c r="Z20" s="88"/>
      <c r="AA20" s="81"/>
      <c r="AB20" s="82"/>
      <c r="AC20" s="83"/>
      <c r="AD20" s="83"/>
      <c r="AE20" s="84"/>
      <c r="AF20" s="85" t="str">
        <f t="shared" ref="AF20" ca="1" si="64">IF(AND(ISNUMBER(AB20),ISNUMBER($AA20)),OFFSET(RiskMatrixRef,-$AA20+1,AB20-1),"")</f>
        <v/>
      </c>
      <c r="AG20" s="86" t="str">
        <f t="shared" ref="AG20" ca="1" si="65">IF(AND(ISNUMBER(AC20),ISNUMBER($AA20)),OFFSET(RiskMatrixRef,-$AA20+1,AC20-1),"")</f>
        <v/>
      </c>
      <c r="AH20" s="86" t="str">
        <f t="shared" ref="AH20" ca="1" si="66">IF(AND(ISNUMBER(AD20),ISNUMBER($AA20)),OFFSET(RiskMatrixRef,-$AA20+1,AD20-1),"")</f>
        <v/>
      </c>
      <c r="AI20" s="87" t="str">
        <f t="shared" ref="AI20" ca="1" si="67">IF(AND(ISNUMBER(AE20),ISNUMBER($AA20)),OFFSET(RiskMatrixRef,-$AA20+1,AE20-1),"")</f>
        <v/>
      </c>
      <c r="AJ20" s="88"/>
      <c r="AK20" s="88"/>
      <c r="AL20" s="88"/>
      <c r="AM20" s="81"/>
      <c r="AN20" s="82"/>
      <c r="AO20" s="83"/>
      <c r="AP20" s="83"/>
      <c r="AQ20" s="84"/>
      <c r="AR20" s="85" t="str">
        <f t="shared" ref="AR20" ca="1" si="68">IF(AND(ISNUMBER(AN20),ISNUMBER($AM20)),OFFSET(RiskMatrixRef,-$AM20+1,AN20-1),"")</f>
        <v/>
      </c>
      <c r="AS20" s="86" t="str">
        <f t="shared" ref="AS20" ca="1" si="69">IF(AND(ISNUMBER(AO20),ISNUMBER($AM20)),OFFSET(RiskMatrixRef,-$AM20+1,AO20-1),"")</f>
        <v/>
      </c>
      <c r="AT20" s="86" t="str">
        <f t="shared" ref="AT20" ca="1" si="70">IF(AND(ISNUMBER(AP20),ISNUMBER($AM20)),OFFSET(RiskMatrixRef,-$AM20+1,AP20-1),"")</f>
        <v/>
      </c>
      <c r="AU20" s="87" t="str">
        <f t="shared" ref="AU20" ca="1" si="71">IF(AND(ISNUMBER(AQ20),ISNUMBER($AM20)),OFFSET(RiskMatrixRef,-$AM20+1,AQ20-1),"")</f>
        <v/>
      </c>
      <c r="AV20" s="89"/>
      <c r="AW20" s="88"/>
    </row>
    <row r="21" spans="2:49" s="78" customFormat="1" ht="135" x14ac:dyDescent="0.25">
      <c r="B21" s="79" t="s">
        <v>67</v>
      </c>
      <c r="C21" s="65" t="s">
        <v>69</v>
      </c>
      <c r="D21" s="65" t="s">
        <v>86</v>
      </c>
      <c r="E21" s="80">
        <v>1</v>
      </c>
      <c r="F21" s="65" t="s">
        <v>44</v>
      </c>
      <c r="G21" s="65" t="s">
        <v>82</v>
      </c>
      <c r="H21" s="121" t="s">
        <v>110</v>
      </c>
      <c r="I21" s="65" t="s">
        <v>51</v>
      </c>
      <c r="J21" s="65" t="s">
        <v>45</v>
      </c>
      <c r="K21" s="65" t="s">
        <v>111</v>
      </c>
      <c r="L21" s="65" t="s">
        <v>99</v>
      </c>
      <c r="M21" s="65" t="s">
        <v>113</v>
      </c>
      <c r="N21" s="65" t="s">
        <v>112</v>
      </c>
      <c r="O21" s="81">
        <v>4</v>
      </c>
      <c r="P21" s="82">
        <v>1</v>
      </c>
      <c r="Q21" s="83">
        <v>1</v>
      </c>
      <c r="R21" s="83">
        <v>5</v>
      </c>
      <c r="S21" s="84">
        <v>4</v>
      </c>
      <c r="T21" s="85" t="str">
        <f t="shared" ca="1" si="12"/>
        <v>Low</v>
      </c>
      <c r="U21" s="86" t="str">
        <f t="shared" ca="1" si="13"/>
        <v>Low</v>
      </c>
      <c r="V21" s="86" t="str">
        <f t="shared" ca="1" si="14"/>
        <v>Low</v>
      </c>
      <c r="W21" s="87" t="str">
        <f t="shared" ca="1" si="15"/>
        <v>Low</v>
      </c>
      <c r="X21" s="88"/>
      <c r="Y21" s="88"/>
      <c r="Z21" s="88"/>
      <c r="AA21" s="81"/>
      <c r="AB21" s="82"/>
      <c r="AC21" s="83"/>
      <c r="AD21" s="83"/>
      <c r="AE21" s="84"/>
      <c r="AF21" s="85" t="str">
        <f t="shared" ca="1" si="4"/>
        <v/>
      </c>
      <c r="AG21" s="86" t="str">
        <f t="shared" ca="1" si="5"/>
        <v/>
      </c>
      <c r="AH21" s="86" t="str">
        <f t="shared" ca="1" si="6"/>
        <v/>
      </c>
      <c r="AI21" s="87" t="str">
        <f t="shared" ca="1" si="7"/>
        <v/>
      </c>
      <c r="AJ21" s="88"/>
      <c r="AK21" s="88"/>
      <c r="AL21" s="88"/>
      <c r="AM21" s="81"/>
      <c r="AN21" s="82"/>
      <c r="AO21" s="83"/>
      <c r="AP21" s="83"/>
      <c r="AQ21" s="84"/>
      <c r="AR21" s="85" t="str">
        <f t="shared" ca="1" si="8"/>
        <v/>
      </c>
      <c r="AS21" s="86" t="str">
        <f t="shared" ca="1" si="9"/>
        <v/>
      </c>
      <c r="AT21" s="86" t="str">
        <f t="shared" ca="1" si="10"/>
        <v/>
      </c>
      <c r="AU21" s="87" t="str">
        <f t="shared" ca="1" si="11"/>
        <v/>
      </c>
      <c r="AV21" s="89"/>
      <c r="AW21" s="88"/>
    </row>
    <row r="22" spans="2:49" s="78" customFormat="1" ht="135" x14ac:dyDescent="0.25">
      <c r="B22" s="79" t="s">
        <v>85</v>
      </c>
      <c r="C22" s="65" t="s">
        <v>69</v>
      </c>
      <c r="D22" s="65" t="s">
        <v>86</v>
      </c>
      <c r="E22" s="80">
        <v>1</v>
      </c>
      <c r="F22" s="65" t="s">
        <v>44</v>
      </c>
      <c r="G22" s="65" t="s">
        <v>83</v>
      </c>
      <c r="H22" s="121" t="s">
        <v>110</v>
      </c>
      <c r="I22" s="65" t="s">
        <v>51</v>
      </c>
      <c r="J22" s="65" t="s">
        <v>45</v>
      </c>
      <c r="K22" s="65" t="s">
        <v>111</v>
      </c>
      <c r="L22" s="65" t="s">
        <v>99</v>
      </c>
      <c r="M22" s="65" t="s">
        <v>113</v>
      </c>
      <c r="N22" s="65" t="s">
        <v>112</v>
      </c>
      <c r="O22" s="81">
        <v>4</v>
      </c>
      <c r="P22" s="82">
        <v>1</v>
      </c>
      <c r="Q22" s="83">
        <v>1</v>
      </c>
      <c r="R22" s="83">
        <v>5</v>
      </c>
      <c r="S22" s="84">
        <v>4</v>
      </c>
      <c r="T22" s="85" t="str">
        <f t="shared" ca="1" si="12"/>
        <v>Low</v>
      </c>
      <c r="U22" s="86" t="str">
        <f t="shared" ca="1" si="13"/>
        <v>Low</v>
      </c>
      <c r="V22" s="86" t="str">
        <f t="shared" ca="1" si="14"/>
        <v>Low</v>
      </c>
      <c r="W22" s="87" t="str">
        <f t="shared" ca="1" si="15"/>
        <v>Low</v>
      </c>
      <c r="X22" s="88"/>
      <c r="Y22" s="88"/>
      <c r="Z22" s="88"/>
      <c r="AA22" s="81"/>
      <c r="AB22" s="82"/>
      <c r="AC22" s="83"/>
      <c r="AD22" s="83"/>
      <c r="AE22" s="84"/>
      <c r="AF22" s="85" t="str">
        <f t="shared" ca="1" si="4"/>
        <v/>
      </c>
      <c r="AG22" s="86" t="str">
        <f t="shared" ca="1" si="5"/>
        <v/>
      </c>
      <c r="AH22" s="86" t="str">
        <f t="shared" ca="1" si="6"/>
        <v/>
      </c>
      <c r="AI22" s="87" t="str">
        <f t="shared" ca="1" si="7"/>
        <v/>
      </c>
      <c r="AJ22" s="88"/>
      <c r="AK22" s="88"/>
      <c r="AL22" s="88"/>
      <c r="AM22" s="81"/>
      <c r="AN22" s="82"/>
      <c r="AO22" s="83"/>
      <c r="AP22" s="83"/>
      <c r="AQ22" s="84"/>
      <c r="AR22" s="85" t="str">
        <f t="shared" ca="1" si="8"/>
        <v/>
      </c>
      <c r="AS22" s="86" t="str">
        <f t="shared" ca="1" si="9"/>
        <v/>
      </c>
      <c r="AT22" s="86" t="str">
        <f t="shared" ca="1" si="10"/>
        <v/>
      </c>
      <c r="AU22" s="87" t="str">
        <f t="shared" ca="1" si="11"/>
        <v/>
      </c>
      <c r="AV22" s="89"/>
      <c r="AW22" s="88"/>
    </row>
    <row r="23" spans="2:49" s="103" customFormat="1" ht="135" x14ac:dyDescent="0.25">
      <c r="B23" s="90" t="s">
        <v>85</v>
      </c>
      <c r="C23" s="91" t="s">
        <v>69</v>
      </c>
      <c r="D23" s="91" t="s">
        <v>86</v>
      </c>
      <c r="E23" s="92">
        <v>2</v>
      </c>
      <c r="F23" s="91" t="s">
        <v>44</v>
      </c>
      <c r="G23" s="91" t="s">
        <v>83</v>
      </c>
      <c r="H23" s="91" t="s">
        <v>110</v>
      </c>
      <c r="I23" s="91" t="s">
        <v>51</v>
      </c>
      <c r="J23" s="93" t="s">
        <v>120</v>
      </c>
      <c r="K23" s="91"/>
      <c r="L23" s="91"/>
      <c r="M23" s="91" t="s">
        <v>113</v>
      </c>
      <c r="N23" s="91" t="s">
        <v>112</v>
      </c>
      <c r="O23" s="94">
        <v>4</v>
      </c>
      <c r="P23" s="95">
        <v>1</v>
      </c>
      <c r="Q23" s="96">
        <v>1</v>
      </c>
      <c r="R23" s="96">
        <v>5</v>
      </c>
      <c r="S23" s="97">
        <v>4</v>
      </c>
      <c r="T23" s="98" t="str">
        <f t="shared" ref="T23" ca="1" si="72">IF(AND(ISNUMBER(P23),ISNUMBER($O23)),OFFSET(RiskMatrixRef,-$O23+1,P23-1),"")</f>
        <v>Low</v>
      </c>
      <c r="U23" s="99" t="str">
        <f t="shared" ref="U23" ca="1" si="73">IF(AND(ISNUMBER(Q23),ISNUMBER($O23)),OFFSET(RiskMatrixRef,-$O23+1,Q23-1),"")</f>
        <v>Low</v>
      </c>
      <c r="V23" s="99" t="str">
        <f t="shared" ref="V23" ca="1" si="74">IF(AND(ISNUMBER(R23),ISNUMBER($O23)),OFFSET(RiskMatrixRef,-$O23+1,R23-1),"")</f>
        <v>Low</v>
      </c>
      <c r="W23" s="100" t="str">
        <f t="shared" ref="W23" ca="1" si="75">IF(AND(ISNUMBER(S23),ISNUMBER($O23)),OFFSET(RiskMatrixRef,-$O23+1,S23-1),"")</f>
        <v>Low</v>
      </c>
      <c r="X23" s="101"/>
      <c r="Y23" s="101"/>
      <c r="Z23" s="101"/>
      <c r="AA23" s="94"/>
      <c r="AB23" s="95"/>
      <c r="AC23" s="96"/>
      <c r="AD23" s="96"/>
      <c r="AE23" s="97"/>
      <c r="AF23" s="98" t="str">
        <f t="shared" ref="AF23" ca="1" si="76">IF(AND(ISNUMBER(AB23),ISNUMBER($AA23)),OFFSET(RiskMatrixRef,-$AA23+1,AB23-1),"")</f>
        <v/>
      </c>
      <c r="AG23" s="99" t="str">
        <f t="shared" ref="AG23" ca="1" si="77">IF(AND(ISNUMBER(AC23),ISNUMBER($AA23)),OFFSET(RiskMatrixRef,-$AA23+1,AC23-1),"")</f>
        <v/>
      </c>
      <c r="AH23" s="99" t="str">
        <f t="shared" ref="AH23" ca="1" si="78">IF(AND(ISNUMBER(AD23),ISNUMBER($AA23)),OFFSET(RiskMatrixRef,-$AA23+1,AD23-1),"")</f>
        <v/>
      </c>
      <c r="AI23" s="100" t="str">
        <f t="shared" ref="AI23" ca="1" si="79">IF(AND(ISNUMBER(AE23),ISNUMBER($AA23)),OFFSET(RiskMatrixRef,-$AA23+1,AE23-1),"")</f>
        <v/>
      </c>
      <c r="AJ23" s="101"/>
      <c r="AK23" s="101"/>
      <c r="AL23" s="101"/>
      <c r="AM23" s="94"/>
      <c r="AN23" s="95"/>
      <c r="AO23" s="96"/>
      <c r="AP23" s="96"/>
      <c r="AQ23" s="97"/>
      <c r="AR23" s="98" t="str">
        <f t="shared" ref="AR23" ca="1" si="80">IF(AND(ISNUMBER(AN23),ISNUMBER($AM23)),OFFSET(RiskMatrixRef,-$AM23+1,AN23-1),"")</f>
        <v/>
      </c>
      <c r="AS23" s="99" t="str">
        <f t="shared" ref="AS23" ca="1" si="81">IF(AND(ISNUMBER(AO23),ISNUMBER($AM23)),OFFSET(RiskMatrixRef,-$AM23+1,AO23-1),"")</f>
        <v/>
      </c>
      <c r="AT23" s="99" t="str">
        <f t="shared" ref="AT23" ca="1" si="82">IF(AND(ISNUMBER(AP23),ISNUMBER($AM23)),OFFSET(RiskMatrixRef,-$AM23+1,AP23-1),"")</f>
        <v/>
      </c>
      <c r="AU23" s="100" t="str">
        <f t="shared" ref="AU23" ca="1" si="83">IF(AND(ISNUMBER(AQ23),ISNUMBER($AM23)),OFFSET(RiskMatrixRef,-$AM23+1,AQ23-1),"")</f>
        <v/>
      </c>
      <c r="AV23" s="102"/>
      <c r="AW23" s="101"/>
    </row>
    <row r="24" spans="2:49" s="138" customFormat="1" ht="135" x14ac:dyDescent="0.25">
      <c r="B24" s="122" t="s">
        <v>70</v>
      </c>
      <c r="C24" s="123" t="s">
        <v>76</v>
      </c>
      <c r="D24" s="124" t="s">
        <v>87</v>
      </c>
      <c r="E24" s="125">
        <v>1</v>
      </c>
      <c r="F24" s="123" t="s">
        <v>44</v>
      </c>
      <c r="G24" s="123" t="s">
        <v>78</v>
      </c>
      <c r="H24" s="126" t="s">
        <v>110</v>
      </c>
      <c r="I24" s="123" t="s">
        <v>51</v>
      </c>
      <c r="J24" s="127" t="s">
        <v>89</v>
      </c>
      <c r="K24" s="128" t="s">
        <v>114</v>
      </c>
      <c r="L24" s="123" t="s">
        <v>115</v>
      </c>
      <c r="M24" s="126" t="s">
        <v>113</v>
      </c>
      <c r="N24" s="128" t="s">
        <v>112</v>
      </c>
      <c r="O24" s="129">
        <v>4</v>
      </c>
      <c r="P24" s="130">
        <v>1</v>
      </c>
      <c r="Q24" s="131">
        <v>1</v>
      </c>
      <c r="R24" s="131">
        <v>5</v>
      </c>
      <c r="S24" s="132">
        <v>4</v>
      </c>
      <c r="T24" s="133" t="str">
        <f t="shared" ca="1" si="12"/>
        <v>Low</v>
      </c>
      <c r="U24" s="134" t="str">
        <f t="shared" ca="1" si="13"/>
        <v>Low</v>
      </c>
      <c r="V24" s="134" t="str">
        <f t="shared" ca="1" si="14"/>
        <v>Low</v>
      </c>
      <c r="W24" s="135" t="str">
        <f t="shared" ca="1" si="15"/>
        <v>Low</v>
      </c>
      <c r="X24" s="136"/>
      <c r="Y24" s="136"/>
      <c r="Z24" s="136"/>
      <c r="AA24" s="129"/>
      <c r="AB24" s="130"/>
      <c r="AC24" s="131"/>
      <c r="AD24" s="131"/>
      <c r="AE24" s="132"/>
      <c r="AF24" s="133" t="str">
        <f t="shared" ca="1" si="4"/>
        <v/>
      </c>
      <c r="AG24" s="134" t="str">
        <f t="shared" ca="1" si="5"/>
        <v/>
      </c>
      <c r="AH24" s="134" t="str">
        <f t="shared" ca="1" si="6"/>
        <v/>
      </c>
      <c r="AI24" s="135" t="str">
        <f t="shared" ca="1" si="7"/>
        <v/>
      </c>
      <c r="AJ24" s="136"/>
      <c r="AK24" s="136"/>
      <c r="AL24" s="136"/>
      <c r="AM24" s="129"/>
      <c r="AN24" s="130"/>
      <c r="AO24" s="131"/>
      <c r="AP24" s="131"/>
      <c r="AQ24" s="132"/>
      <c r="AR24" s="133" t="str">
        <f t="shared" ca="1" si="8"/>
        <v/>
      </c>
      <c r="AS24" s="134" t="str">
        <f t="shared" ca="1" si="9"/>
        <v/>
      </c>
      <c r="AT24" s="134" t="str">
        <f t="shared" ca="1" si="10"/>
        <v/>
      </c>
      <c r="AU24" s="135" t="str">
        <f t="shared" ca="1" si="11"/>
        <v/>
      </c>
      <c r="AV24" s="137"/>
      <c r="AW24" s="136"/>
    </row>
    <row r="25" spans="2:49" s="138" customFormat="1" ht="135" x14ac:dyDescent="0.25">
      <c r="B25" s="122" t="s">
        <v>71</v>
      </c>
      <c r="C25" s="123" t="s">
        <v>76</v>
      </c>
      <c r="D25" s="124" t="s">
        <v>87</v>
      </c>
      <c r="E25" s="125">
        <v>1</v>
      </c>
      <c r="F25" s="123" t="s">
        <v>44</v>
      </c>
      <c r="G25" s="123" t="s">
        <v>79</v>
      </c>
      <c r="H25" s="126" t="s">
        <v>110</v>
      </c>
      <c r="I25" s="123" t="s">
        <v>51</v>
      </c>
      <c r="J25" s="127" t="s">
        <v>89</v>
      </c>
      <c r="K25" s="128" t="s">
        <v>114</v>
      </c>
      <c r="L25" s="123" t="s">
        <v>115</v>
      </c>
      <c r="M25" s="123" t="s">
        <v>113</v>
      </c>
      <c r="N25" s="123" t="s">
        <v>112</v>
      </c>
      <c r="O25" s="129">
        <v>4</v>
      </c>
      <c r="P25" s="130">
        <v>1</v>
      </c>
      <c r="Q25" s="131">
        <v>1</v>
      </c>
      <c r="R25" s="131">
        <v>5</v>
      </c>
      <c r="S25" s="132">
        <v>4</v>
      </c>
      <c r="T25" s="133" t="str">
        <f t="shared" ca="1" si="12"/>
        <v>Low</v>
      </c>
      <c r="U25" s="134" t="str">
        <f t="shared" ca="1" si="13"/>
        <v>Low</v>
      </c>
      <c r="V25" s="134" t="str">
        <f t="shared" ca="1" si="14"/>
        <v>Low</v>
      </c>
      <c r="W25" s="135" t="str">
        <f t="shared" ca="1" si="15"/>
        <v>Low</v>
      </c>
      <c r="X25" s="136"/>
      <c r="Y25" s="136"/>
      <c r="Z25" s="136"/>
      <c r="AA25" s="129"/>
      <c r="AB25" s="130"/>
      <c r="AC25" s="131"/>
      <c r="AD25" s="131"/>
      <c r="AE25" s="132"/>
      <c r="AF25" s="133" t="str">
        <f t="shared" ca="1" si="4"/>
        <v/>
      </c>
      <c r="AG25" s="134" t="str">
        <f t="shared" ca="1" si="5"/>
        <v/>
      </c>
      <c r="AH25" s="134" t="str">
        <f t="shared" ca="1" si="6"/>
        <v/>
      </c>
      <c r="AI25" s="135" t="str">
        <f t="shared" ca="1" si="7"/>
        <v/>
      </c>
      <c r="AJ25" s="136"/>
      <c r="AK25" s="136"/>
      <c r="AL25" s="136"/>
      <c r="AM25" s="129"/>
      <c r="AN25" s="130"/>
      <c r="AO25" s="131"/>
      <c r="AP25" s="131"/>
      <c r="AQ25" s="132"/>
      <c r="AR25" s="133" t="str">
        <f t="shared" ca="1" si="8"/>
        <v/>
      </c>
      <c r="AS25" s="134" t="str">
        <f t="shared" ca="1" si="9"/>
        <v/>
      </c>
      <c r="AT25" s="134" t="str">
        <f t="shared" ca="1" si="10"/>
        <v/>
      </c>
      <c r="AU25" s="135" t="str">
        <f t="shared" ca="1" si="11"/>
        <v/>
      </c>
      <c r="AV25" s="137"/>
      <c r="AW25" s="136"/>
    </row>
    <row r="26" spans="2:49" s="138" customFormat="1" ht="135" x14ac:dyDescent="0.25">
      <c r="B26" s="122" t="s">
        <v>72</v>
      </c>
      <c r="C26" s="123" t="s">
        <v>76</v>
      </c>
      <c r="D26" s="124" t="s">
        <v>87</v>
      </c>
      <c r="E26" s="125">
        <v>1</v>
      </c>
      <c r="F26" s="123" t="s">
        <v>44</v>
      </c>
      <c r="G26" s="123" t="s">
        <v>80</v>
      </c>
      <c r="H26" s="126" t="s">
        <v>110</v>
      </c>
      <c r="I26" s="123" t="s">
        <v>51</v>
      </c>
      <c r="J26" s="127" t="s">
        <v>89</v>
      </c>
      <c r="K26" s="128" t="s">
        <v>114</v>
      </c>
      <c r="L26" s="123" t="s">
        <v>115</v>
      </c>
      <c r="M26" s="123" t="s">
        <v>113</v>
      </c>
      <c r="N26" s="123" t="s">
        <v>112</v>
      </c>
      <c r="O26" s="129">
        <v>4</v>
      </c>
      <c r="P26" s="130">
        <v>1</v>
      </c>
      <c r="Q26" s="131">
        <v>1</v>
      </c>
      <c r="R26" s="131">
        <v>5</v>
      </c>
      <c r="S26" s="132">
        <v>4</v>
      </c>
      <c r="T26" s="133" t="str">
        <f t="shared" ca="1" si="12"/>
        <v>Low</v>
      </c>
      <c r="U26" s="134" t="str">
        <f t="shared" ca="1" si="13"/>
        <v>Low</v>
      </c>
      <c r="V26" s="134" t="str">
        <f t="shared" ca="1" si="14"/>
        <v>Low</v>
      </c>
      <c r="W26" s="135" t="str">
        <f t="shared" ca="1" si="15"/>
        <v>Low</v>
      </c>
      <c r="X26" s="136"/>
      <c r="Y26" s="136"/>
      <c r="Z26" s="136"/>
      <c r="AA26" s="129"/>
      <c r="AB26" s="130"/>
      <c r="AC26" s="131"/>
      <c r="AD26" s="131"/>
      <c r="AE26" s="132"/>
      <c r="AF26" s="133" t="str">
        <f t="shared" ca="1" si="4"/>
        <v/>
      </c>
      <c r="AG26" s="134" t="str">
        <f t="shared" ca="1" si="5"/>
        <v/>
      </c>
      <c r="AH26" s="134" t="str">
        <f t="shared" ca="1" si="6"/>
        <v/>
      </c>
      <c r="AI26" s="135" t="str">
        <f t="shared" ca="1" si="7"/>
        <v/>
      </c>
      <c r="AJ26" s="136"/>
      <c r="AK26" s="136"/>
      <c r="AL26" s="136"/>
      <c r="AM26" s="129"/>
      <c r="AN26" s="130"/>
      <c r="AO26" s="131"/>
      <c r="AP26" s="131"/>
      <c r="AQ26" s="132"/>
      <c r="AR26" s="133" t="str">
        <f t="shared" ca="1" si="8"/>
        <v/>
      </c>
      <c r="AS26" s="134" t="str">
        <f t="shared" ca="1" si="9"/>
        <v/>
      </c>
      <c r="AT26" s="134" t="str">
        <f t="shared" ca="1" si="10"/>
        <v/>
      </c>
      <c r="AU26" s="135" t="str">
        <f t="shared" ca="1" si="11"/>
        <v/>
      </c>
      <c r="AV26" s="137"/>
      <c r="AW26" s="136"/>
    </row>
    <row r="27" spans="2:49" s="138" customFormat="1" ht="135" x14ac:dyDescent="0.25">
      <c r="B27" s="122" t="s">
        <v>73</v>
      </c>
      <c r="C27" s="123" t="s">
        <v>76</v>
      </c>
      <c r="D27" s="124" t="s">
        <v>87</v>
      </c>
      <c r="E27" s="125">
        <v>1</v>
      </c>
      <c r="F27" s="123" t="s">
        <v>44</v>
      </c>
      <c r="G27" s="123" t="s">
        <v>82</v>
      </c>
      <c r="H27" s="126" t="s">
        <v>110</v>
      </c>
      <c r="I27" s="123" t="s">
        <v>51</v>
      </c>
      <c r="J27" s="127" t="s">
        <v>89</v>
      </c>
      <c r="K27" s="128" t="s">
        <v>114</v>
      </c>
      <c r="L27" s="123" t="s">
        <v>115</v>
      </c>
      <c r="M27" s="123" t="s">
        <v>113</v>
      </c>
      <c r="N27" s="123" t="s">
        <v>112</v>
      </c>
      <c r="O27" s="129">
        <v>4</v>
      </c>
      <c r="P27" s="130">
        <v>1</v>
      </c>
      <c r="Q27" s="131">
        <v>1</v>
      </c>
      <c r="R27" s="131">
        <v>5</v>
      </c>
      <c r="S27" s="132">
        <v>4</v>
      </c>
      <c r="T27" s="133" t="str">
        <f t="shared" ref="T27" ca="1" si="84">IF(AND(ISNUMBER(P27),ISNUMBER($O27)),OFFSET(RiskMatrixRef,-$O27+1,P27-1),"")</f>
        <v>Low</v>
      </c>
      <c r="U27" s="134" t="str">
        <f t="shared" ref="U27" ca="1" si="85">IF(AND(ISNUMBER(Q27),ISNUMBER($O27)),OFFSET(RiskMatrixRef,-$O27+1,Q27-1),"")</f>
        <v>Low</v>
      </c>
      <c r="V27" s="134" t="str">
        <f t="shared" ref="V27" ca="1" si="86">IF(AND(ISNUMBER(R27),ISNUMBER($O27)),OFFSET(RiskMatrixRef,-$O27+1,R27-1),"")</f>
        <v>Low</v>
      </c>
      <c r="W27" s="135" t="str">
        <f t="shared" ref="W27" ca="1" si="87">IF(AND(ISNUMBER(S27),ISNUMBER($O27)),OFFSET(RiskMatrixRef,-$O27+1,S27-1),"")</f>
        <v>Low</v>
      </c>
      <c r="X27" s="136"/>
      <c r="Y27" s="136"/>
      <c r="Z27" s="136"/>
      <c r="AA27" s="129"/>
      <c r="AB27" s="130"/>
      <c r="AC27" s="131"/>
      <c r="AD27" s="131"/>
      <c r="AE27" s="132"/>
      <c r="AF27" s="133" t="str">
        <f t="shared" ref="AF27" ca="1" si="88">IF(AND(ISNUMBER(AB27),ISNUMBER($AA27)),OFFSET(RiskMatrixRef,-$AA27+1,AB27-1),"")</f>
        <v/>
      </c>
      <c r="AG27" s="134" t="str">
        <f t="shared" ref="AG27" ca="1" si="89">IF(AND(ISNUMBER(AC27),ISNUMBER($AA27)),OFFSET(RiskMatrixRef,-$AA27+1,AC27-1),"")</f>
        <v/>
      </c>
      <c r="AH27" s="134" t="str">
        <f t="shared" ref="AH27" ca="1" si="90">IF(AND(ISNUMBER(AD27),ISNUMBER($AA27)),OFFSET(RiskMatrixRef,-$AA27+1,AD27-1),"")</f>
        <v/>
      </c>
      <c r="AI27" s="135" t="str">
        <f t="shared" ref="AI27" ca="1" si="91">IF(AND(ISNUMBER(AE27),ISNUMBER($AA27)),OFFSET(RiskMatrixRef,-$AA27+1,AE27-1),"")</f>
        <v/>
      </c>
      <c r="AJ27" s="136"/>
      <c r="AK27" s="136"/>
      <c r="AL27" s="136"/>
      <c r="AM27" s="129"/>
      <c r="AN27" s="130"/>
      <c r="AO27" s="131"/>
      <c r="AP27" s="131"/>
      <c r="AQ27" s="132"/>
      <c r="AR27" s="133" t="str">
        <f t="shared" ref="AR27" ca="1" si="92">IF(AND(ISNUMBER(AN27),ISNUMBER($AM27)),OFFSET(RiskMatrixRef,-$AM27+1,AN27-1),"")</f>
        <v/>
      </c>
      <c r="AS27" s="134" t="str">
        <f t="shared" ref="AS27" ca="1" si="93">IF(AND(ISNUMBER(AO27),ISNUMBER($AM27)),OFFSET(RiskMatrixRef,-$AM27+1,AO27-1),"")</f>
        <v/>
      </c>
      <c r="AT27" s="134" t="str">
        <f t="shared" ref="AT27" ca="1" si="94">IF(AND(ISNUMBER(AP27),ISNUMBER($AM27)),OFFSET(RiskMatrixRef,-$AM27+1,AP27-1),"")</f>
        <v/>
      </c>
      <c r="AU27" s="135" t="str">
        <f t="shared" ref="AU27" ca="1" si="95">IF(AND(ISNUMBER(AQ27),ISNUMBER($AM27)),OFFSET(RiskMatrixRef,-$AM27+1,AQ27-1),"")</f>
        <v/>
      </c>
      <c r="AV27" s="137"/>
      <c r="AW27" s="136"/>
    </row>
    <row r="28" spans="2:49" s="138" customFormat="1" ht="135" x14ac:dyDescent="0.25">
      <c r="B28" s="122" t="s">
        <v>88</v>
      </c>
      <c r="C28" s="123" t="s">
        <v>76</v>
      </c>
      <c r="D28" s="124" t="s">
        <v>87</v>
      </c>
      <c r="E28" s="125">
        <v>1</v>
      </c>
      <c r="F28" s="123" t="s">
        <v>44</v>
      </c>
      <c r="G28" s="123" t="s">
        <v>83</v>
      </c>
      <c r="H28" s="126" t="s">
        <v>110</v>
      </c>
      <c r="I28" s="123" t="s">
        <v>51</v>
      </c>
      <c r="J28" s="127" t="s">
        <v>89</v>
      </c>
      <c r="K28" s="128" t="s">
        <v>114</v>
      </c>
      <c r="L28" s="123" t="s">
        <v>115</v>
      </c>
      <c r="M28" s="126" t="s">
        <v>113</v>
      </c>
      <c r="N28" s="128" t="s">
        <v>112</v>
      </c>
      <c r="O28" s="129">
        <v>4</v>
      </c>
      <c r="P28" s="130">
        <v>1</v>
      </c>
      <c r="Q28" s="131">
        <v>1</v>
      </c>
      <c r="R28" s="131">
        <v>5</v>
      </c>
      <c r="S28" s="132">
        <v>4</v>
      </c>
      <c r="T28" s="133" t="str">
        <f t="shared" ca="1" si="12"/>
        <v>Low</v>
      </c>
      <c r="U28" s="134" t="str">
        <f t="shared" ca="1" si="13"/>
        <v>Low</v>
      </c>
      <c r="V28" s="134" t="str">
        <f t="shared" ca="1" si="14"/>
        <v>Low</v>
      </c>
      <c r="W28" s="135" t="str">
        <f t="shared" ca="1" si="15"/>
        <v>Low</v>
      </c>
      <c r="X28" s="136"/>
      <c r="Y28" s="136"/>
      <c r="Z28" s="136"/>
      <c r="AA28" s="129"/>
      <c r="AB28" s="130"/>
      <c r="AC28" s="131"/>
      <c r="AD28" s="131"/>
      <c r="AE28" s="132"/>
      <c r="AF28" s="133" t="str">
        <f t="shared" ref="AF28:AF32" ca="1" si="96">IF(AND(ISNUMBER(AB28),ISNUMBER($AA28)),OFFSET(RiskMatrixRef,-$AA28+1,AB28-1),"")</f>
        <v/>
      </c>
      <c r="AG28" s="134" t="str">
        <f t="shared" ref="AG28:AG32" ca="1" si="97">IF(AND(ISNUMBER(AC28),ISNUMBER($AA28)),OFFSET(RiskMatrixRef,-$AA28+1,AC28-1),"")</f>
        <v/>
      </c>
      <c r="AH28" s="134" t="str">
        <f t="shared" ref="AH28:AH32" ca="1" si="98">IF(AND(ISNUMBER(AD28),ISNUMBER($AA28)),OFFSET(RiskMatrixRef,-$AA28+1,AD28-1),"")</f>
        <v/>
      </c>
      <c r="AI28" s="135" t="str">
        <f t="shared" ref="AI28:AI32" ca="1" si="99">IF(AND(ISNUMBER(AE28),ISNUMBER($AA28)),OFFSET(RiskMatrixRef,-$AA28+1,AE28-1),"")</f>
        <v/>
      </c>
      <c r="AJ28" s="136"/>
      <c r="AK28" s="136"/>
      <c r="AL28" s="136"/>
      <c r="AM28" s="129"/>
      <c r="AN28" s="130"/>
      <c r="AO28" s="131"/>
      <c r="AP28" s="131"/>
      <c r="AQ28" s="132"/>
      <c r="AR28" s="133" t="str">
        <f t="shared" ref="AR28:AR32" ca="1" si="100">IF(AND(ISNUMBER(AN28),ISNUMBER($AM28)),OFFSET(RiskMatrixRef,-$AM28+1,AN28-1),"")</f>
        <v/>
      </c>
      <c r="AS28" s="134" t="str">
        <f t="shared" ref="AS28:AS32" ca="1" si="101">IF(AND(ISNUMBER(AO28),ISNUMBER($AM28)),OFFSET(RiskMatrixRef,-$AM28+1,AO28-1),"")</f>
        <v/>
      </c>
      <c r="AT28" s="134" t="str">
        <f t="shared" ref="AT28:AT32" ca="1" si="102">IF(AND(ISNUMBER(AP28),ISNUMBER($AM28)),OFFSET(RiskMatrixRef,-$AM28+1,AP28-1),"")</f>
        <v/>
      </c>
      <c r="AU28" s="135" t="str">
        <f t="shared" ref="AU28:AU32" ca="1" si="103">IF(AND(ISNUMBER(AQ28),ISNUMBER($AM28)),OFFSET(RiskMatrixRef,-$AM28+1,AQ28-1),"")</f>
        <v/>
      </c>
      <c r="AV28" s="137"/>
      <c r="AW28" s="136"/>
    </row>
    <row r="29" spans="2:49" s="103" customFormat="1" ht="135" x14ac:dyDescent="0.25">
      <c r="B29" s="90" t="s">
        <v>91</v>
      </c>
      <c r="C29" s="91" t="s">
        <v>76</v>
      </c>
      <c r="D29" s="120" t="s">
        <v>87</v>
      </c>
      <c r="E29" s="92">
        <v>1</v>
      </c>
      <c r="F29" s="91" t="s">
        <v>44</v>
      </c>
      <c r="G29" s="91" t="s">
        <v>83</v>
      </c>
      <c r="H29" s="139"/>
      <c r="I29" s="91" t="s">
        <v>51</v>
      </c>
      <c r="J29" s="93" t="s">
        <v>121</v>
      </c>
      <c r="K29" s="140" t="s">
        <v>53</v>
      </c>
      <c r="L29" s="91"/>
      <c r="M29" s="139" t="s">
        <v>113</v>
      </c>
      <c r="N29" s="140" t="s">
        <v>112</v>
      </c>
      <c r="O29" s="94">
        <v>4</v>
      </c>
      <c r="P29" s="95">
        <v>1</v>
      </c>
      <c r="Q29" s="96">
        <v>1</v>
      </c>
      <c r="R29" s="96">
        <v>5</v>
      </c>
      <c r="S29" s="97">
        <v>4</v>
      </c>
      <c r="T29" s="98" t="str">
        <f t="shared" ref="T29" ca="1" si="104">IF(AND(ISNUMBER(P29),ISNUMBER($O29)),OFFSET(RiskMatrixRef,-$O29+1,P29-1),"")</f>
        <v>Low</v>
      </c>
      <c r="U29" s="99" t="str">
        <f t="shared" ref="U29" ca="1" si="105">IF(AND(ISNUMBER(Q29),ISNUMBER($O29)),OFFSET(RiskMatrixRef,-$O29+1,Q29-1),"")</f>
        <v>Low</v>
      </c>
      <c r="V29" s="99" t="str">
        <f t="shared" ref="V29" ca="1" si="106">IF(AND(ISNUMBER(R29),ISNUMBER($O29)),OFFSET(RiskMatrixRef,-$O29+1,R29-1),"")</f>
        <v>Low</v>
      </c>
      <c r="W29" s="100" t="str">
        <f t="shared" ref="W29" ca="1" si="107">IF(AND(ISNUMBER(S29),ISNUMBER($O29)),OFFSET(RiskMatrixRef,-$O29+1,S29-1),"")</f>
        <v>Low</v>
      </c>
      <c r="X29" s="101"/>
      <c r="Y29" s="101"/>
      <c r="Z29" s="101"/>
      <c r="AA29" s="94"/>
      <c r="AB29" s="95"/>
      <c r="AC29" s="96"/>
      <c r="AD29" s="96"/>
      <c r="AE29" s="97"/>
      <c r="AF29" s="98" t="str">
        <f t="shared" ref="AF29" ca="1" si="108">IF(AND(ISNUMBER(AB29),ISNUMBER($AA29)),OFFSET(RiskMatrixRef,-$AA29+1,AB29-1),"")</f>
        <v/>
      </c>
      <c r="AG29" s="99" t="str">
        <f t="shared" ref="AG29" ca="1" si="109">IF(AND(ISNUMBER(AC29),ISNUMBER($AA29)),OFFSET(RiskMatrixRef,-$AA29+1,AC29-1),"")</f>
        <v/>
      </c>
      <c r="AH29" s="99" t="str">
        <f t="shared" ref="AH29" ca="1" si="110">IF(AND(ISNUMBER(AD29),ISNUMBER($AA29)),OFFSET(RiskMatrixRef,-$AA29+1,AD29-1),"")</f>
        <v/>
      </c>
      <c r="AI29" s="100" t="str">
        <f t="shared" ref="AI29" ca="1" si="111">IF(AND(ISNUMBER(AE29),ISNUMBER($AA29)),OFFSET(RiskMatrixRef,-$AA29+1,AE29-1),"")</f>
        <v/>
      </c>
      <c r="AJ29" s="101"/>
      <c r="AK29" s="101"/>
      <c r="AL29" s="101"/>
      <c r="AM29" s="94"/>
      <c r="AN29" s="95"/>
      <c r="AO29" s="96"/>
      <c r="AP29" s="96"/>
      <c r="AQ29" s="97"/>
      <c r="AR29" s="98" t="str">
        <f t="shared" ref="AR29" ca="1" si="112">IF(AND(ISNUMBER(AN29),ISNUMBER($AM29)),OFFSET(RiskMatrixRef,-$AM29+1,AN29-1),"")</f>
        <v/>
      </c>
      <c r="AS29" s="99" t="str">
        <f t="shared" ref="AS29" ca="1" si="113">IF(AND(ISNUMBER(AO29),ISNUMBER($AM29)),OFFSET(RiskMatrixRef,-$AM29+1,AO29-1),"")</f>
        <v/>
      </c>
      <c r="AT29" s="99" t="str">
        <f t="shared" ref="AT29" ca="1" si="114">IF(AND(ISNUMBER(AP29),ISNUMBER($AM29)),OFFSET(RiskMatrixRef,-$AM29+1,AP29-1),"")</f>
        <v/>
      </c>
      <c r="AU29" s="100" t="str">
        <f t="shared" ref="AU29" ca="1" si="115">IF(AND(ISNUMBER(AQ29),ISNUMBER($AM29)),OFFSET(RiskMatrixRef,-$AM29+1,AQ29-1),"")</f>
        <v/>
      </c>
      <c r="AV29" s="102"/>
      <c r="AW29" s="101"/>
    </row>
    <row r="30" spans="2:49" s="78" customFormat="1" ht="135" x14ac:dyDescent="0.25">
      <c r="B30" s="79" t="s">
        <v>74</v>
      </c>
      <c r="C30" s="65" t="s">
        <v>75</v>
      </c>
      <c r="D30" s="65" t="s">
        <v>43</v>
      </c>
      <c r="E30" s="80">
        <v>1</v>
      </c>
      <c r="F30" s="65" t="s">
        <v>44</v>
      </c>
      <c r="G30" s="65" t="s">
        <v>116</v>
      </c>
      <c r="H30" s="121" t="s">
        <v>117</v>
      </c>
      <c r="I30" s="65" t="s">
        <v>51</v>
      </c>
      <c r="J30" s="65" t="s">
        <v>45</v>
      </c>
      <c r="K30" s="65" t="s">
        <v>118</v>
      </c>
      <c r="L30" s="65" t="s">
        <v>93</v>
      </c>
      <c r="M30" s="65" t="s">
        <v>113</v>
      </c>
      <c r="N30" s="65" t="s">
        <v>112</v>
      </c>
      <c r="O30" s="81">
        <v>4</v>
      </c>
      <c r="P30" s="82">
        <v>1</v>
      </c>
      <c r="Q30" s="83">
        <v>1</v>
      </c>
      <c r="R30" s="83">
        <v>5</v>
      </c>
      <c r="S30" s="84">
        <v>4</v>
      </c>
      <c r="T30" s="85" t="str">
        <f t="shared" ca="1" si="12"/>
        <v>Low</v>
      </c>
      <c r="U30" s="86" t="str">
        <f t="shared" ca="1" si="13"/>
        <v>Low</v>
      </c>
      <c r="V30" s="86" t="str">
        <f t="shared" ca="1" si="14"/>
        <v>Low</v>
      </c>
      <c r="W30" s="87" t="str">
        <f t="shared" ca="1" si="15"/>
        <v>Low</v>
      </c>
      <c r="X30" s="88"/>
      <c r="Y30" s="88"/>
      <c r="Z30" s="88"/>
      <c r="AA30" s="81"/>
      <c r="AB30" s="82"/>
      <c r="AC30" s="83"/>
      <c r="AD30" s="83"/>
      <c r="AE30" s="84"/>
      <c r="AF30" s="85" t="str">
        <f t="shared" ca="1" si="96"/>
        <v/>
      </c>
      <c r="AG30" s="86" t="str">
        <f t="shared" ca="1" si="97"/>
        <v/>
      </c>
      <c r="AH30" s="86" t="str">
        <f t="shared" ca="1" si="98"/>
        <v/>
      </c>
      <c r="AI30" s="87" t="str">
        <f t="shared" ca="1" si="99"/>
        <v/>
      </c>
      <c r="AJ30" s="88"/>
      <c r="AK30" s="88"/>
      <c r="AL30" s="88"/>
      <c r="AM30" s="81"/>
      <c r="AN30" s="82"/>
      <c r="AO30" s="83"/>
      <c r="AP30" s="83"/>
      <c r="AQ30" s="84"/>
      <c r="AR30" s="85" t="str">
        <f t="shared" ca="1" si="100"/>
        <v/>
      </c>
      <c r="AS30" s="86" t="str">
        <f t="shared" ca="1" si="101"/>
        <v/>
      </c>
      <c r="AT30" s="86" t="str">
        <f t="shared" ca="1" si="102"/>
        <v/>
      </c>
      <c r="AU30" s="87" t="str">
        <f t="shared" ca="1" si="103"/>
        <v/>
      </c>
      <c r="AV30" s="89"/>
      <c r="AW30" s="88"/>
    </row>
    <row r="31" spans="2:49" s="78" customFormat="1" ht="135" x14ac:dyDescent="0.25">
      <c r="B31" s="79" t="s">
        <v>74</v>
      </c>
      <c r="C31" s="65" t="s">
        <v>75</v>
      </c>
      <c r="D31" s="65" t="s">
        <v>43</v>
      </c>
      <c r="E31" s="80">
        <v>1</v>
      </c>
      <c r="F31" s="65" t="s">
        <v>44</v>
      </c>
      <c r="G31" s="65" t="s">
        <v>116</v>
      </c>
      <c r="H31" s="121" t="s">
        <v>117</v>
      </c>
      <c r="I31" s="65" t="s">
        <v>51</v>
      </c>
      <c r="J31" s="65" t="s">
        <v>45</v>
      </c>
      <c r="K31" s="65" t="s">
        <v>118</v>
      </c>
      <c r="L31" s="65" t="s">
        <v>93</v>
      </c>
      <c r="M31" s="65" t="s">
        <v>113</v>
      </c>
      <c r="N31" s="65" t="s">
        <v>112</v>
      </c>
      <c r="O31" s="81">
        <v>4</v>
      </c>
      <c r="P31" s="82">
        <v>1</v>
      </c>
      <c r="Q31" s="83">
        <v>1</v>
      </c>
      <c r="R31" s="83">
        <v>5</v>
      </c>
      <c r="S31" s="84">
        <v>4</v>
      </c>
      <c r="T31" s="85" t="str">
        <f t="shared" ca="1" si="12"/>
        <v>Low</v>
      </c>
      <c r="U31" s="86" t="str">
        <f t="shared" ca="1" si="13"/>
        <v>Low</v>
      </c>
      <c r="V31" s="86" t="str">
        <f t="shared" ca="1" si="14"/>
        <v>Low</v>
      </c>
      <c r="W31" s="87" t="str">
        <f t="shared" ca="1" si="15"/>
        <v>Low</v>
      </c>
      <c r="X31" s="88"/>
      <c r="Y31" s="88"/>
      <c r="Z31" s="88"/>
      <c r="AA31" s="81"/>
      <c r="AB31" s="82"/>
      <c r="AC31" s="83"/>
      <c r="AD31" s="83"/>
      <c r="AE31" s="84"/>
      <c r="AF31" s="85" t="str">
        <f t="shared" ca="1" si="96"/>
        <v/>
      </c>
      <c r="AG31" s="86" t="str">
        <f t="shared" ca="1" si="97"/>
        <v/>
      </c>
      <c r="AH31" s="86" t="str">
        <f t="shared" ca="1" si="98"/>
        <v/>
      </c>
      <c r="AI31" s="87" t="str">
        <f t="shared" ca="1" si="99"/>
        <v/>
      </c>
      <c r="AJ31" s="88"/>
      <c r="AK31" s="88"/>
      <c r="AL31" s="88"/>
      <c r="AM31" s="81"/>
      <c r="AN31" s="82"/>
      <c r="AO31" s="83"/>
      <c r="AP31" s="83"/>
      <c r="AQ31" s="84"/>
      <c r="AR31" s="85" t="str">
        <f t="shared" ca="1" si="100"/>
        <v/>
      </c>
      <c r="AS31" s="86" t="str">
        <f t="shared" ca="1" si="101"/>
        <v/>
      </c>
      <c r="AT31" s="86" t="str">
        <f t="shared" ca="1" si="102"/>
        <v/>
      </c>
      <c r="AU31" s="87" t="str">
        <f t="shared" ca="1" si="103"/>
        <v/>
      </c>
      <c r="AV31" s="89"/>
      <c r="AW31" s="88"/>
    </row>
    <row r="32" spans="2:49" s="103" customFormat="1" ht="135" x14ac:dyDescent="0.25">
      <c r="B32" s="90" t="s">
        <v>119</v>
      </c>
      <c r="C32" s="91" t="s">
        <v>75</v>
      </c>
      <c r="D32" s="91" t="s">
        <v>43</v>
      </c>
      <c r="E32" s="92">
        <v>1</v>
      </c>
      <c r="F32" s="141" t="s">
        <v>44</v>
      </c>
      <c r="G32" s="91" t="s">
        <v>116</v>
      </c>
      <c r="H32" s="91" t="s">
        <v>117</v>
      </c>
      <c r="I32" s="91" t="s">
        <v>51</v>
      </c>
      <c r="J32" s="93" t="s">
        <v>121</v>
      </c>
      <c r="K32" s="91" t="s">
        <v>118</v>
      </c>
      <c r="L32" s="91" t="s">
        <v>93</v>
      </c>
      <c r="M32" s="91" t="s">
        <v>113</v>
      </c>
      <c r="N32" s="91" t="s">
        <v>112</v>
      </c>
      <c r="O32" s="94">
        <v>4</v>
      </c>
      <c r="P32" s="95">
        <v>1</v>
      </c>
      <c r="Q32" s="96">
        <v>1</v>
      </c>
      <c r="R32" s="96">
        <v>5</v>
      </c>
      <c r="S32" s="97">
        <v>4</v>
      </c>
      <c r="T32" s="98" t="str">
        <f t="shared" ca="1" si="12"/>
        <v>Low</v>
      </c>
      <c r="U32" s="99" t="str">
        <f t="shared" ca="1" si="13"/>
        <v>Low</v>
      </c>
      <c r="V32" s="99" t="str">
        <f t="shared" ca="1" si="14"/>
        <v>Low</v>
      </c>
      <c r="W32" s="100" t="str">
        <f t="shared" ca="1" si="15"/>
        <v>Low</v>
      </c>
      <c r="X32" s="101"/>
      <c r="Y32" s="101"/>
      <c r="Z32" s="101"/>
      <c r="AA32" s="94"/>
      <c r="AB32" s="95"/>
      <c r="AC32" s="96"/>
      <c r="AD32" s="96"/>
      <c r="AE32" s="97"/>
      <c r="AF32" s="98" t="str">
        <f t="shared" ca="1" si="96"/>
        <v/>
      </c>
      <c r="AG32" s="99" t="str">
        <f t="shared" ca="1" si="97"/>
        <v/>
      </c>
      <c r="AH32" s="99" t="str">
        <f t="shared" ca="1" si="98"/>
        <v/>
      </c>
      <c r="AI32" s="100" t="str">
        <f t="shared" ca="1" si="99"/>
        <v/>
      </c>
      <c r="AJ32" s="101"/>
      <c r="AK32" s="101"/>
      <c r="AL32" s="101"/>
      <c r="AM32" s="94"/>
      <c r="AN32" s="95"/>
      <c r="AO32" s="96"/>
      <c r="AP32" s="96"/>
      <c r="AQ32" s="97"/>
      <c r="AR32" s="98" t="str">
        <f t="shared" ca="1" si="100"/>
        <v/>
      </c>
      <c r="AS32" s="99" t="str">
        <f t="shared" ca="1" si="101"/>
        <v/>
      </c>
      <c r="AT32" s="99" t="str">
        <f t="shared" ca="1" si="102"/>
        <v/>
      </c>
      <c r="AU32" s="100" t="str">
        <f t="shared" ca="1" si="103"/>
        <v/>
      </c>
      <c r="AV32" s="102"/>
      <c r="AW32" s="101"/>
    </row>
    <row r="33" spans="2:49" s="147" customFormat="1" ht="15.75" x14ac:dyDescent="0.25">
      <c r="B33" s="142"/>
      <c r="C33" s="143"/>
      <c r="D33" s="143"/>
      <c r="E33" s="144"/>
      <c r="F33" s="143"/>
      <c r="G33" s="143"/>
      <c r="H33" s="143"/>
      <c r="I33" s="143"/>
      <c r="J33" s="143"/>
      <c r="K33" s="109"/>
      <c r="L33" s="143"/>
      <c r="M33" s="143"/>
      <c r="N33" s="109"/>
      <c r="O33" s="112"/>
      <c r="P33" s="113"/>
      <c r="Q33" s="114"/>
      <c r="R33" s="114"/>
      <c r="S33" s="115"/>
      <c r="T33" s="116" t="str">
        <f t="shared" ca="1" si="0"/>
        <v/>
      </c>
      <c r="U33" s="117" t="str">
        <f t="shared" ca="1" si="1"/>
        <v/>
      </c>
      <c r="V33" s="117" t="str">
        <f t="shared" ca="1" si="2"/>
        <v/>
      </c>
      <c r="W33" s="118" t="str">
        <f t="shared" ca="1" si="3"/>
        <v/>
      </c>
      <c r="X33" s="145"/>
      <c r="Y33" s="145"/>
      <c r="Z33" s="145"/>
      <c r="AA33" s="112"/>
      <c r="AB33" s="113"/>
      <c r="AC33" s="114"/>
      <c r="AD33" s="114"/>
      <c r="AE33" s="115"/>
      <c r="AF33" s="116" t="str">
        <f t="shared" ca="1" si="4"/>
        <v/>
      </c>
      <c r="AG33" s="117" t="str">
        <f t="shared" ca="1" si="5"/>
        <v/>
      </c>
      <c r="AH33" s="117" t="str">
        <f t="shared" ca="1" si="6"/>
        <v/>
      </c>
      <c r="AI33" s="118" t="str">
        <f t="shared" ca="1" si="7"/>
        <v/>
      </c>
      <c r="AJ33" s="145"/>
      <c r="AK33" s="145"/>
      <c r="AL33" s="145"/>
      <c r="AM33" s="112"/>
      <c r="AN33" s="113"/>
      <c r="AO33" s="114"/>
      <c r="AP33" s="114"/>
      <c r="AQ33" s="115"/>
      <c r="AR33" s="116" t="str">
        <f t="shared" ca="1" si="8"/>
        <v/>
      </c>
      <c r="AS33" s="117" t="str">
        <f t="shared" ca="1" si="9"/>
        <v/>
      </c>
      <c r="AT33" s="117" t="str">
        <f t="shared" ca="1" si="10"/>
        <v/>
      </c>
      <c r="AU33" s="118" t="str">
        <f t="shared" ca="1" si="11"/>
        <v/>
      </c>
      <c r="AV33" s="146"/>
      <c r="AW33" s="145"/>
    </row>
    <row r="34" spans="2:49" ht="16.5" thickBot="1" x14ac:dyDescent="0.3">
      <c r="B34" s="148"/>
      <c r="C34" s="148"/>
      <c r="D34" s="148"/>
      <c r="E34" s="149"/>
      <c r="F34" s="148"/>
      <c r="G34" s="148"/>
      <c r="H34" s="148"/>
      <c r="I34" s="148"/>
      <c r="J34" s="150"/>
      <c r="K34" s="151"/>
      <c r="L34" s="151"/>
      <c r="M34" s="151"/>
      <c r="N34" s="151"/>
      <c r="O34" s="152"/>
      <c r="P34" s="153"/>
      <c r="Q34" s="154"/>
      <c r="R34" s="154"/>
      <c r="S34" s="155"/>
      <c r="T34" s="156" t="str">
        <f t="shared" ca="1" si="0"/>
        <v/>
      </c>
      <c r="U34" s="157" t="str">
        <f t="shared" ca="1" si="1"/>
        <v/>
      </c>
      <c r="V34" s="157" t="str">
        <f t="shared" ca="1" si="2"/>
        <v/>
      </c>
      <c r="W34" s="158" t="str">
        <f t="shared" ca="1" si="3"/>
        <v/>
      </c>
      <c r="X34" s="159"/>
      <c r="Y34" s="159"/>
      <c r="Z34" s="159"/>
      <c r="AA34" s="152"/>
      <c r="AB34" s="153"/>
      <c r="AC34" s="154"/>
      <c r="AD34" s="154"/>
      <c r="AE34" s="155"/>
      <c r="AF34" s="156" t="str">
        <f t="shared" ca="1" si="4"/>
        <v/>
      </c>
      <c r="AG34" s="157" t="str">
        <f t="shared" ca="1" si="5"/>
        <v/>
      </c>
      <c r="AH34" s="157" t="str">
        <f t="shared" ca="1" si="6"/>
        <v/>
      </c>
      <c r="AI34" s="158" t="str">
        <f t="shared" ca="1" si="7"/>
        <v/>
      </c>
      <c r="AJ34" s="159"/>
      <c r="AK34" s="159"/>
      <c r="AL34" s="159"/>
      <c r="AM34" s="152"/>
      <c r="AN34" s="153"/>
      <c r="AO34" s="154"/>
      <c r="AP34" s="154"/>
      <c r="AQ34" s="155"/>
      <c r="AR34" s="156" t="str">
        <f t="shared" ca="1" si="8"/>
        <v/>
      </c>
      <c r="AS34" s="157" t="str">
        <f t="shared" ca="1" si="9"/>
        <v/>
      </c>
      <c r="AT34" s="157" t="str">
        <f t="shared" ca="1" si="10"/>
        <v/>
      </c>
      <c r="AU34" s="158" t="str">
        <f t="shared" ca="1" si="11"/>
        <v/>
      </c>
      <c r="AV34" s="159"/>
      <c r="AW34" s="159"/>
    </row>
    <row r="36" spans="2:49" x14ac:dyDescent="0.25">
      <c r="B36" s="160"/>
      <c r="R36" s="161"/>
      <c r="S36" s="162"/>
      <c r="T36" s="163"/>
      <c r="U36" s="163"/>
      <c r="V36" s="163"/>
      <c r="W36" s="163"/>
      <c r="X36" s="163"/>
      <c r="AD36" s="161"/>
      <c r="AE36" s="162"/>
      <c r="AF36" s="163"/>
      <c r="AG36" s="163"/>
      <c r="AH36" s="163"/>
      <c r="AI36" s="163"/>
      <c r="AJ36" s="163"/>
      <c r="AP36" s="161"/>
      <c r="AQ36" s="162"/>
      <c r="AR36" s="163"/>
      <c r="AS36" s="163"/>
      <c r="AT36" s="163"/>
      <c r="AU36" s="163"/>
    </row>
    <row r="37" spans="2:49" x14ac:dyDescent="0.25">
      <c r="B37" s="160"/>
      <c r="R37" s="161"/>
      <c r="S37" s="164"/>
      <c r="T37" s="163"/>
      <c r="U37" s="163"/>
      <c r="V37" s="163"/>
      <c r="W37" s="163"/>
      <c r="X37" s="163"/>
      <c r="AD37" s="161"/>
      <c r="AE37" s="164"/>
      <c r="AF37" s="163"/>
      <c r="AG37" s="163"/>
      <c r="AH37" s="163"/>
      <c r="AI37" s="163"/>
      <c r="AJ37" s="163"/>
      <c r="AP37" s="161"/>
      <c r="AQ37" s="164"/>
      <c r="AR37" s="163"/>
      <c r="AS37" s="163"/>
      <c r="AT37" s="163"/>
      <c r="AU37" s="163"/>
    </row>
    <row r="38" spans="2:49" x14ac:dyDescent="0.25">
      <c r="B38" s="160"/>
      <c r="R38" s="161"/>
      <c r="S38" s="165"/>
      <c r="T38" s="166"/>
      <c r="U38" s="167"/>
      <c r="V38" s="167"/>
      <c r="W38" s="166"/>
      <c r="X38" s="163"/>
      <c r="AD38" s="161"/>
      <c r="AE38" s="165"/>
      <c r="AF38" s="166"/>
      <c r="AG38" s="167"/>
      <c r="AH38" s="167"/>
      <c r="AI38" s="166"/>
      <c r="AJ38" s="163"/>
      <c r="AP38" s="161"/>
      <c r="AQ38" s="165"/>
      <c r="AR38" s="166"/>
      <c r="AS38" s="167"/>
      <c r="AT38" s="167"/>
      <c r="AU38" s="166"/>
    </row>
    <row r="39" spans="2:49" x14ac:dyDescent="0.25">
      <c r="B39" s="160"/>
      <c r="R39" s="161"/>
      <c r="S39" s="165"/>
      <c r="T39" s="166"/>
      <c r="U39" s="166"/>
      <c r="V39" s="166"/>
      <c r="W39" s="166"/>
      <c r="X39" s="163"/>
      <c r="AD39" s="161"/>
      <c r="AE39" s="165"/>
      <c r="AF39" s="166"/>
      <c r="AG39" s="166"/>
      <c r="AH39" s="166"/>
      <c r="AI39" s="166"/>
      <c r="AJ39" s="163"/>
      <c r="AP39" s="161"/>
      <c r="AQ39" s="165"/>
      <c r="AR39" s="166"/>
      <c r="AS39" s="166"/>
      <c r="AT39" s="166"/>
      <c r="AU39" s="166"/>
    </row>
    <row r="40" spans="2:49" x14ac:dyDescent="0.25">
      <c r="B40" s="160"/>
      <c r="R40" s="161"/>
      <c r="S40" s="165"/>
      <c r="T40" s="166"/>
      <c r="U40" s="168"/>
      <c r="V40" s="168"/>
      <c r="W40" s="166"/>
      <c r="X40" s="163"/>
      <c r="AD40" s="161"/>
      <c r="AE40" s="165"/>
      <c r="AF40" s="166"/>
      <c r="AG40" s="168"/>
      <c r="AH40" s="168"/>
      <c r="AI40" s="166"/>
      <c r="AJ40" s="163"/>
      <c r="AP40" s="161"/>
      <c r="AQ40" s="165"/>
      <c r="AR40" s="166"/>
      <c r="AS40" s="168"/>
      <c r="AT40" s="168"/>
      <c r="AU40" s="166"/>
    </row>
    <row r="41" spans="2:49" x14ac:dyDescent="0.25">
      <c r="B41" s="160"/>
      <c r="R41" s="161"/>
      <c r="S41" s="164"/>
      <c r="T41" s="163"/>
      <c r="U41" s="163"/>
      <c r="V41" s="163"/>
      <c r="W41" s="163"/>
      <c r="X41" s="163"/>
      <c r="AD41" s="161"/>
      <c r="AE41" s="164"/>
      <c r="AF41" s="163"/>
      <c r="AG41" s="163"/>
      <c r="AH41" s="163"/>
      <c r="AI41" s="163"/>
      <c r="AJ41" s="163"/>
      <c r="AP41" s="161"/>
      <c r="AQ41" s="164"/>
      <c r="AR41" s="163"/>
      <c r="AS41" s="163"/>
      <c r="AT41" s="163"/>
      <c r="AU41" s="163"/>
    </row>
    <row r="42" spans="2:49" x14ac:dyDescent="0.25">
      <c r="B42" s="160"/>
      <c r="R42" s="161"/>
      <c r="S42" s="169"/>
      <c r="T42" s="166"/>
      <c r="U42" s="170"/>
      <c r="V42" s="170"/>
      <c r="W42" s="166"/>
      <c r="X42" s="163"/>
      <c r="AD42" s="161"/>
      <c r="AE42" s="169"/>
      <c r="AF42" s="166"/>
      <c r="AG42" s="170"/>
      <c r="AH42" s="170"/>
      <c r="AI42" s="166"/>
      <c r="AJ42" s="163"/>
      <c r="AP42" s="161"/>
      <c r="AQ42" s="169"/>
      <c r="AR42" s="166"/>
      <c r="AS42" s="170"/>
      <c r="AT42" s="170"/>
      <c r="AU42" s="166"/>
    </row>
    <row r="43" spans="2:49" x14ac:dyDescent="0.25">
      <c r="B43" s="160"/>
      <c r="R43" s="161"/>
      <c r="S43" s="169"/>
      <c r="T43" s="166"/>
      <c r="U43" s="171"/>
      <c r="V43" s="171"/>
      <c r="W43" s="166"/>
      <c r="X43" s="163"/>
      <c r="AD43" s="161"/>
      <c r="AE43" s="169"/>
      <c r="AF43" s="166"/>
      <c r="AG43" s="171"/>
      <c r="AH43" s="171"/>
      <c r="AI43" s="166"/>
      <c r="AJ43" s="163"/>
      <c r="AP43" s="161"/>
      <c r="AQ43" s="169"/>
      <c r="AR43" s="166"/>
      <c r="AS43" s="171"/>
      <c r="AT43" s="171"/>
      <c r="AU43" s="166"/>
    </row>
    <row r="44" spans="2:49" x14ac:dyDescent="0.25">
      <c r="B44" s="160"/>
      <c r="R44" s="161"/>
      <c r="S44" s="169"/>
      <c r="T44" s="166"/>
      <c r="U44" s="172"/>
      <c r="V44" s="172"/>
      <c r="W44" s="166"/>
      <c r="X44" s="163"/>
      <c r="AD44" s="161"/>
      <c r="AE44" s="169"/>
      <c r="AF44" s="166"/>
      <c r="AG44" s="172"/>
      <c r="AH44" s="172"/>
      <c r="AI44" s="166"/>
      <c r="AJ44" s="163"/>
      <c r="AP44" s="161"/>
      <c r="AQ44" s="169"/>
      <c r="AR44" s="166"/>
      <c r="AS44" s="172"/>
      <c r="AT44" s="172"/>
      <c r="AU44" s="166"/>
    </row>
    <row r="45" spans="2:49" x14ac:dyDescent="0.25">
      <c r="R45" s="161"/>
      <c r="S45" s="164"/>
      <c r="T45" s="163"/>
      <c r="U45" s="163"/>
      <c r="V45" s="163"/>
      <c r="W45" s="163"/>
      <c r="X45" s="163"/>
      <c r="AD45" s="161"/>
      <c r="AE45" s="164"/>
      <c r="AF45" s="163"/>
      <c r="AG45" s="163"/>
      <c r="AH45" s="163"/>
      <c r="AI45" s="163"/>
      <c r="AJ45" s="163"/>
      <c r="AP45" s="161"/>
      <c r="AQ45" s="164"/>
      <c r="AR45" s="163"/>
      <c r="AS45" s="163"/>
      <c r="AT45" s="163"/>
      <c r="AU45" s="163"/>
    </row>
    <row r="46" spans="2:49" x14ac:dyDescent="0.25">
      <c r="R46" s="161"/>
      <c r="S46" s="169"/>
      <c r="T46" s="166"/>
      <c r="U46" s="170"/>
      <c r="V46" s="170"/>
      <c r="W46" s="166"/>
      <c r="X46" s="163"/>
      <c r="AD46" s="161"/>
      <c r="AE46" s="169"/>
      <c r="AF46" s="166"/>
      <c r="AG46" s="170"/>
      <c r="AH46" s="170"/>
      <c r="AI46" s="166"/>
      <c r="AJ46" s="163"/>
      <c r="AP46" s="161"/>
      <c r="AQ46" s="169"/>
      <c r="AR46" s="166"/>
      <c r="AS46" s="170"/>
      <c r="AT46" s="170"/>
      <c r="AU46" s="166"/>
    </row>
    <row r="47" spans="2:49" x14ac:dyDescent="0.25">
      <c r="R47" s="161"/>
      <c r="S47" s="169"/>
      <c r="T47" s="166"/>
      <c r="U47" s="171"/>
      <c r="V47" s="171"/>
      <c r="W47" s="166"/>
      <c r="X47" s="163"/>
      <c r="AD47" s="161"/>
      <c r="AE47" s="169"/>
      <c r="AF47" s="166"/>
      <c r="AG47" s="171"/>
      <c r="AH47" s="171"/>
      <c r="AI47" s="166"/>
      <c r="AJ47" s="163"/>
      <c r="AP47" s="161"/>
      <c r="AQ47" s="169"/>
      <c r="AR47" s="166"/>
      <c r="AS47" s="171"/>
      <c r="AT47" s="171"/>
      <c r="AU47" s="166"/>
    </row>
    <row r="48" spans="2:49" x14ac:dyDescent="0.25">
      <c r="G48" s="53"/>
      <c r="H48" s="53"/>
      <c r="I48" s="53"/>
      <c r="J48" s="53"/>
      <c r="O48" s="53"/>
      <c r="P48" s="52"/>
      <c r="Q48" s="52"/>
      <c r="R48" s="163"/>
      <c r="S48" s="169"/>
      <c r="T48" s="166"/>
      <c r="U48" s="172"/>
      <c r="V48" s="172"/>
      <c r="W48" s="166"/>
      <c r="X48" s="163"/>
      <c r="AA48" s="53"/>
      <c r="AB48" s="52"/>
      <c r="AC48" s="52"/>
      <c r="AD48" s="163"/>
      <c r="AE48" s="169"/>
      <c r="AF48" s="166"/>
      <c r="AG48" s="172"/>
      <c r="AH48" s="172"/>
      <c r="AI48" s="166"/>
      <c r="AJ48" s="163"/>
      <c r="AM48" s="53"/>
      <c r="AN48" s="52"/>
      <c r="AO48" s="52"/>
      <c r="AP48" s="163"/>
      <c r="AQ48" s="169"/>
      <c r="AR48" s="166"/>
      <c r="AS48" s="172"/>
      <c r="AT48" s="172"/>
      <c r="AU48" s="166"/>
    </row>
    <row r="49" spans="7:47" ht="15.75" customHeight="1" x14ac:dyDescent="0.25">
      <c r="G49" s="53"/>
      <c r="H49" s="53"/>
      <c r="I49" s="53"/>
      <c r="J49" s="53"/>
      <c r="O49" s="53"/>
      <c r="P49" s="52"/>
      <c r="Q49" s="52"/>
      <c r="R49" s="163"/>
      <c r="S49" s="163"/>
      <c r="T49" s="163"/>
      <c r="U49" s="163"/>
      <c r="V49" s="163"/>
      <c r="W49" s="163"/>
      <c r="X49" s="163"/>
      <c r="AA49" s="53"/>
      <c r="AB49" s="52"/>
      <c r="AC49" s="52"/>
      <c r="AD49" s="163"/>
      <c r="AE49" s="163"/>
      <c r="AF49" s="163"/>
      <c r="AG49" s="163"/>
      <c r="AH49" s="163"/>
      <c r="AI49" s="163"/>
      <c r="AJ49" s="163"/>
      <c r="AM49" s="53"/>
      <c r="AN49" s="52"/>
      <c r="AO49" s="52"/>
      <c r="AP49" s="163"/>
      <c r="AQ49" s="163"/>
      <c r="AR49" s="163"/>
      <c r="AS49" s="163"/>
      <c r="AT49" s="163"/>
      <c r="AU49" s="163"/>
    </row>
    <row r="50" spans="7:47" x14ac:dyDescent="0.25">
      <c r="G50" s="53"/>
      <c r="H50" s="53"/>
      <c r="I50" s="53"/>
      <c r="J50" s="53"/>
      <c r="O50" s="53"/>
      <c r="P50" s="52"/>
      <c r="Q50" s="52"/>
      <c r="R50" s="163"/>
      <c r="S50" s="173"/>
      <c r="T50" s="173"/>
      <c r="U50" s="173"/>
      <c r="V50" s="173"/>
      <c r="W50" s="173"/>
      <c r="X50" s="163"/>
      <c r="AA50" s="53"/>
      <c r="AB50" s="52"/>
      <c r="AC50" s="52"/>
      <c r="AD50" s="163"/>
      <c r="AE50" s="173"/>
      <c r="AF50" s="173"/>
      <c r="AG50" s="173"/>
      <c r="AH50" s="173"/>
      <c r="AI50" s="173"/>
      <c r="AJ50" s="163"/>
      <c r="AM50" s="53"/>
      <c r="AN50" s="52"/>
      <c r="AO50" s="52"/>
      <c r="AP50" s="163"/>
      <c r="AQ50" s="173"/>
      <c r="AR50" s="173"/>
      <c r="AS50" s="173"/>
      <c r="AT50" s="173"/>
      <c r="AU50" s="173"/>
    </row>
    <row r="51" spans="7:47" x14ac:dyDescent="0.25">
      <c r="G51" s="53"/>
      <c r="H51" s="53"/>
      <c r="I51" s="53"/>
      <c r="J51" s="53"/>
      <c r="O51" s="53"/>
      <c r="P51" s="52"/>
      <c r="Q51" s="52"/>
      <c r="R51" s="163"/>
      <c r="S51" s="165"/>
      <c r="T51" s="166"/>
      <c r="U51" s="167"/>
      <c r="V51" s="167"/>
      <c r="W51" s="166"/>
      <c r="X51" s="163"/>
      <c r="AA51" s="53"/>
      <c r="AB51" s="52"/>
      <c r="AC51" s="52"/>
      <c r="AD51" s="163"/>
      <c r="AE51" s="165"/>
      <c r="AF51" s="166"/>
      <c r="AG51" s="167"/>
      <c r="AH51" s="167"/>
      <c r="AI51" s="166"/>
      <c r="AJ51" s="163"/>
      <c r="AM51" s="53"/>
      <c r="AN51" s="52"/>
      <c r="AO51" s="52"/>
      <c r="AP51" s="163"/>
      <c r="AQ51" s="165"/>
      <c r="AR51" s="166"/>
      <c r="AS51" s="167"/>
      <c r="AT51" s="167"/>
      <c r="AU51" s="166"/>
    </row>
    <row r="52" spans="7:47" x14ac:dyDescent="0.25">
      <c r="G52" s="53"/>
      <c r="H52" s="53"/>
      <c r="I52" s="53"/>
      <c r="J52" s="53"/>
      <c r="O52" s="53"/>
      <c r="P52" s="52"/>
      <c r="Q52" s="52"/>
      <c r="R52" s="163"/>
      <c r="S52" s="165"/>
      <c r="T52" s="166"/>
      <c r="U52" s="166"/>
      <c r="V52" s="166"/>
      <c r="W52" s="166"/>
      <c r="X52" s="163"/>
      <c r="AA52" s="53"/>
      <c r="AB52" s="52"/>
      <c r="AC52" s="52"/>
      <c r="AD52" s="163"/>
      <c r="AE52" s="165"/>
      <c r="AF52" s="166"/>
      <c r="AG52" s="166"/>
      <c r="AH52" s="166"/>
      <c r="AI52" s="166"/>
      <c r="AJ52" s="163"/>
      <c r="AM52" s="53"/>
      <c r="AN52" s="52"/>
      <c r="AO52" s="52"/>
      <c r="AP52" s="163"/>
      <c r="AQ52" s="165"/>
      <c r="AR52" s="166"/>
      <c r="AS52" s="166"/>
      <c r="AT52" s="166"/>
      <c r="AU52" s="166"/>
    </row>
    <row r="53" spans="7:47" x14ac:dyDescent="0.25">
      <c r="R53" s="161"/>
      <c r="S53" s="165"/>
      <c r="T53" s="166"/>
      <c r="U53" s="168"/>
      <c r="V53" s="168"/>
      <c r="W53" s="166"/>
      <c r="X53" s="163"/>
      <c r="AD53" s="161"/>
      <c r="AE53" s="165"/>
      <c r="AF53" s="166"/>
      <c r="AG53" s="168"/>
      <c r="AH53" s="168"/>
      <c r="AI53" s="166"/>
      <c r="AJ53" s="163"/>
      <c r="AP53" s="161"/>
      <c r="AQ53" s="165"/>
      <c r="AR53" s="166"/>
      <c r="AS53" s="168"/>
      <c r="AT53" s="168"/>
      <c r="AU53" s="166"/>
    </row>
    <row r="54" spans="7:47" x14ac:dyDescent="0.25">
      <c r="R54" s="161"/>
      <c r="S54" s="161"/>
      <c r="T54" s="163"/>
      <c r="U54" s="163"/>
      <c r="V54" s="163"/>
      <c r="W54" s="163"/>
      <c r="X54" s="163"/>
      <c r="AD54" s="161"/>
      <c r="AE54" s="161"/>
      <c r="AF54" s="163"/>
      <c r="AG54" s="163"/>
      <c r="AH54" s="163"/>
      <c r="AI54" s="163"/>
      <c r="AJ54" s="163"/>
      <c r="AP54" s="161"/>
      <c r="AQ54" s="161"/>
      <c r="AR54" s="163"/>
      <c r="AS54" s="163"/>
      <c r="AT54" s="163"/>
      <c r="AU54" s="163"/>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6:W6 AF6:AI6 AR6:AU6 AF21:AI22 AR21:AU22 T28:W28 T17:W17 AR30:AU34 AR16:AU19 AF30:AI34 AF16:AI19 T30:W34">
    <cfRule type="cellIs" dxfId="53" priority="71" operator="equal">
      <formula>"High"</formula>
    </cfRule>
    <cfRule type="cellIs" dxfId="52" priority="72" operator="equal">
      <formula>"Med"</formula>
    </cfRule>
    <cfRule type="cellIs" dxfId="51" priority="73" operator="equal">
      <formula>"Low"</formula>
    </cfRule>
  </conditionalFormatting>
  <conditionalFormatting sqref="AR12:AU13 AF12:AI13 AF15:AI15 AR15:AU15">
    <cfRule type="cellIs" dxfId="50" priority="49" operator="equal">
      <formula>"High"</formula>
    </cfRule>
    <cfRule type="cellIs" dxfId="49" priority="50" operator="equal">
      <formula>"Med"</formula>
    </cfRule>
    <cfRule type="cellIs" dxfId="48" priority="51" operator="equal">
      <formula>"Low"</formula>
    </cfRule>
  </conditionalFormatting>
  <conditionalFormatting sqref="AR7:AU8 AF7:AI8 T7:W8 T10:W10 AF10:AI10 AR10:AU10 T15:W16 T21:W22 T18:W19 T12:W13 T24:W26">
    <cfRule type="cellIs" dxfId="47" priority="46" operator="equal">
      <formula>"High"</formula>
    </cfRule>
    <cfRule type="cellIs" dxfId="46" priority="47" operator="equal">
      <formula>"Med"</formula>
    </cfRule>
    <cfRule type="cellIs" dxfId="45" priority="48" operator="equal">
      <formula>"Low"</formula>
    </cfRule>
  </conditionalFormatting>
  <conditionalFormatting sqref="AR28:AU28 AF28:AI28">
    <cfRule type="cellIs" dxfId="44" priority="43" operator="equal">
      <formula>"High"</formula>
    </cfRule>
    <cfRule type="cellIs" dxfId="43" priority="44" operator="equal">
      <formula>"Med"</formula>
    </cfRule>
    <cfRule type="cellIs" dxfId="42" priority="45" operator="equal">
      <formula>"Low"</formula>
    </cfRule>
  </conditionalFormatting>
  <conditionalFormatting sqref="AR24:AU26 AF24:AI26">
    <cfRule type="cellIs" dxfId="41" priority="40" operator="equal">
      <formula>"High"</formula>
    </cfRule>
    <cfRule type="cellIs" dxfId="40" priority="41" operator="equal">
      <formula>"Med"</formula>
    </cfRule>
    <cfRule type="cellIs" dxfId="39" priority="42" operator="equal">
      <formula>"Low"</formula>
    </cfRule>
  </conditionalFormatting>
  <conditionalFormatting sqref="AR9:AU9 AF9:AI9 T9:W9">
    <cfRule type="cellIs" dxfId="38" priority="34" operator="equal">
      <formula>"High"</formula>
    </cfRule>
    <cfRule type="cellIs" dxfId="37" priority="35" operator="equal">
      <formula>"Med"</formula>
    </cfRule>
    <cfRule type="cellIs" dxfId="36" priority="36" operator="equal">
      <formula>"Low"</formula>
    </cfRule>
  </conditionalFormatting>
  <conditionalFormatting sqref="AF14:AI14 AR14:AU14">
    <cfRule type="cellIs" dxfId="35" priority="31" operator="equal">
      <formula>"High"</formula>
    </cfRule>
    <cfRule type="cellIs" dxfId="34" priority="32" operator="equal">
      <formula>"Med"</formula>
    </cfRule>
    <cfRule type="cellIs" dxfId="33" priority="33" operator="equal">
      <formula>"Low"</formula>
    </cfRule>
  </conditionalFormatting>
  <conditionalFormatting sqref="T14:W14">
    <cfRule type="cellIs" dxfId="32" priority="28" operator="equal">
      <formula>"High"</formula>
    </cfRule>
    <cfRule type="cellIs" dxfId="31" priority="29" operator="equal">
      <formula>"Med"</formula>
    </cfRule>
    <cfRule type="cellIs" dxfId="30" priority="30" operator="equal">
      <formula>"Low"</formula>
    </cfRule>
  </conditionalFormatting>
  <conditionalFormatting sqref="AF20:AI20 AR20:AU20">
    <cfRule type="cellIs" dxfId="29" priority="25" operator="equal">
      <formula>"High"</formula>
    </cfRule>
    <cfRule type="cellIs" dxfId="28" priority="26" operator="equal">
      <formula>"Med"</formula>
    </cfRule>
    <cfRule type="cellIs" dxfId="27" priority="27" operator="equal">
      <formula>"Low"</formula>
    </cfRule>
  </conditionalFormatting>
  <conditionalFormatting sqref="T20:W20">
    <cfRule type="cellIs" dxfId="26" priority="22" operator="equal">
      <formula>"High"</formula>
    </cfRule>
    <cfRule type="cellIs" dxfId="25" priority="23" operator="equal">
      <formula>"Med"</formula>
    </cfRule>
    <cfRule type="cellIs" dxfId="24" priority="24" operator="equal">
      <formula>"Low"</formula>
    </cfRule>
  </conditionalFormatting>
  <conditionalFormatting sqref="T27:W27">
    <cfRule type="cellIs" dxfId="23" priority="19" operator="equal">
      <formula>"High"</formula>
    </cfRule>
    <cfRule type="cellIs" dxfId="22" priority="20" operator="equal">
      <formula>"Med"</formula>
    </cfRule>
    <cfRule type="cellIs" dxfId="21" priority="21" operator="equal">
      <formula>"Low"</formula>
    </cfRule>
  </conditionalFormatting>
  <conditionalFormatting sqref="AR27:AU27 AF27:AI27">
    <cfRule type="cellIs" dxfId="20" priority="16" operator="equal">
      <formula>"High"</formula>
    </cfRule>
    <cfRule type="cellIs" dxfId="19" priority="17" operator="equal">
      <formula>"Med"</formula>
    </cfRule>
    <cfRule type="cellIs" dxfId="18" priority="18" operator="equal">
      <formula>"Low"</formula>
    </cfRule>
  </conditionalFormatting>
  <conditionalFormatting sqref="T11:W11 AF11:AI11 AR11:AU11">
    <cfRule type="cellIs" dxfId="17" priority="13" operator="equal">
      <formula>"High"</formula>
    </cfRule>
    <cfRule type="cellIs" dxfId="16" priority="14" operator="equal">
      <formula>"Med"</formula>
    </cfRule>
    <cfRule type="cellIs" dxfId="15" priority="15" operator="equal">
      <formula>"Low"</formula>
    </cfRule>
  </conditionalFormatting>
  <conditionalFormatting sqref="AF23:AI23 AR23:AU23">
    <cfRule type="cellIs" dxfId="14" priority="10" operator="equal">
      <formula>"High"</formula>
    </cfRule>
    <cfRule type="cellIs" dxfId="13" priority="11" operator="equal">
      <formula>"Med"</formula>
    </cfRule>
    <cfRule type="cellIs" dxfId="12" priority="12" operator="equal">
      <formula>"Low"</formula>
    </cfRule>
  </conditionalFormatting>
  <conditionalFormatting sqref="T23:W23">
    <cfRule type="cellIs" dxfId="11" priority="7" operator="equal">
      <formula>"High"</formula>
    </cfRule>
    <cfRule type="cellIs" dxfId="10" priority="8" operator="equal">
      <formula>"Med"</formula>
    </cfRule>
    <cfRule type="cellIs" dxfId="9" priority="9" operator="equal">
      <formula>"Low"</formula>
    </cfRule>
  </conditionalFormatting>
  <conditionalFormatting sqref="T29:W29">
    <cfRule type="cellIs" dxfId="8" priority="4" operator="equal">
      <formula>"High"</formula>
    </cfRule>
    <cfRule type="cellIs" dxfId="7" priority="5" operator="equal">
      <formula>"Med"</formula>
    </cfRule>
    <cfRule type="cellIs" dxfId="6" priority="6" operator="equal">
      <formula>"Low"</formula>
    </cfRule>
  </conditionalFormatting>
  <conditionalFormatting sqref="AR29:AU29 AF29:AI29">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B3" sqref="B3:C3"/>
    </sheetView>
  </sheetViews>
  <sheetFormatPr defaultRowHeight="15" x14ac:dyDescent="0.25"/>
  <cols>
    <col min="1" max="1" width="15.42578125" customWidth="1"/>
    <col min="2" max="2" width="17.5703125" customWidth="1"/>
    <col min="3" max="3" width="60.85546875" customWidth="1"/>
  </cols>
  <sheetData>
    <row r="1" spans="1:3" x14ac:dyDescent="0.25">
      <c r="A1" s="3" t="s">
        <v>12</v>
      </c>
      <c r="B1" s="183" t="s">
        <v>49</v>
      </c>
      <c r="C1" s="183"/>
    </row>
    <row r="2" spans="1:3" x14ac:dyDescent="0.25">
      <c r="A2" s="3" t="s">
        <v>13</v>
      </c>
      <c r="B2" s="183" t="s">
        <v>50</v>
      </c>
      <c r="C2" s="183"/>
    </row>
    <row r="3" spans="1:3" x14ac:dyDescent="0.25">
      <c r="A3" s="3" t="s">
        <v>14</v>
      </c>
      <c r="B3" s="184" t="s">
        <v>124</v>
      </c>
      <c r="C3" s="184"/>
    </row>
    <row r="4" spans="1:3" x14ac:dyDescent="0.25">
      <c r="A4" s="3" t="s">
        <v>15</v>
      </c>
      <c r="B4" s="183" t="s">
        <v>122</v>
      </c>
      <c r="C4" s="183"/>
    </row>
    <row r="5" spans="1:3" x14ac:dyDescent="0.25">
      <c r="A5" s="3" t="s">
        <v>16</v>
      </c>
      <c r="B5" s="183"/>
      <c r="C5" s="183"/>
    </row>
    <row r="6" spans="1:3" x14ac:dyDescent="0.25">
      <c r="A6" s="3" t="s">
        <v>19</v>
      </c>
      <c r="B6" s="182"/>
      <c r="C6" s="182"/>
    </row>
    <row r="7" spans="1:3" x14ac:dyDescent="0.25">
      <c r="A7" s="3" t="s">
        <v>20</v>
      </c>
      <c r="B7" s="182"/>
      <c r="C7" s="182"/>
    </row>
    <row r="8" spans="1:3" x14ac:dyDescent="0.25">
      <c r="A8" s="2"/>
      <c r="B8" s="2"/>
      <c r="C8" s="2"/>
    </row>
    <row r="9" spans="1:3" x14ac:dyDescent="0.25">
      <c r="A9" s="2"/>
      <c r="B9" s="2"/>
      <c r="C9" s="2"/>
    </row>
    <row r="10" spans="1:3" x14ac:dyDescent="0.25">
      <c r="A10" s="3" t="s">
        <v>14</v>
      </c>
      <c r="B10" s="3" t="s">
        <v>0</v>
      </c>
      <c r="C10" s="3" t="s">
        <v>17</v>
      </c>
    </row>
    <row r="11" spans="1:3" x14ac:dyDescent="0.25">
      <c r="A11" s="51" t="s">
        <v>47</v>
      </c>
      <c r="B11" s="4">
        <v>41586</v>
      </c>
      <c r="C11" s="50" t="s">
        <v>48</v>
      </c>
    </row>
    <row r="12" spans="1:3" x14ac:dyDescent="0.25">
      <c r="A12" s="51" t="s">
        <v>46</v>
      </c>
      <c r="B12" s="4">
        <v>42401</v>
      </c>
      <c r="C12" s="50" t="s">
        <v>123</v>
      </c>
    </row>
    <row r="13" spans="1:3" x14ac:dyDescent="0.25">
      <c r="A13" s="174" t="s">
        <v>124</v>
      </c>
      <c r="B13" s="4">
        <v>42576</v>
      </c>
      <c r="C13" s="5" t="s">
        <v>125</v>
      </c>
    </row>
    <row r="14" spans="1:3" x14ac:dyDescent="0.25">
      <c r="A14" s="5"/>
      <c r="B14" s="5"/>
      <c r="C14" s="5"/>
    </row>
    <row r="15" spans="1:3" x14ac:dyDescent="0.25">
      <c r="A15" s="5"/>
      <c r="B15" s="5"/>
      <c r="C15" s="5"/>
    </row>
    <row r="16" spans="1:3" x14ac:dyDescent="0.25">
      <c r="A16" s="5"/>
      <c r="B16" s="5"/>
      <c r="C16" s="5"/>
    </row>
    <row r="17" spans="1:3" x14ac:dyDescent="0.25">
      <c r="A17" s="5"/>
      <c r="B17" s="5"/>
      <c r="C17" s="5"/>
    </row>
    <row r="18" spans="1:3" x14ac:dyDescent="0.25">
      <c r="A18" s="5"/>
      <c r="B18" s="5"/>
      <c r="C18" s="5"/>
    </row>
    <row r="22" spans="1:3" x14ac:dyDescent="0.25">
      <c r="A22" s="6"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7" customWidth="1"/>
    <col min="5" max="10" width="12.7109375" customWidth="1"/>
    <col min="11" max="11" width="12.7109375" style="7" customWidth="1"/>
    <col min="12" max="12" width="12.7109375" customWidth="1"/>
    <col min="13" max="13" width="12.7109375" style="7" customWidth="1"/>
    <col min="14" max="14" width="12.7109375" customWidth="1"/>
    <col min="15" max="15" width="12.7109375" style="7" customWidth="1"/>
    <col min="16" max="16" width="12.7109375" customWidth="1"/>
    <col min="17" max="17" width="12.7109375" style="7" customWidth="1"/>
    <col min="18" max="28" width="12.7109375" customWidth="1"/>
  </cols>
  <sheetData>
    <row r="2" spans="2:19" ht="18.75" x14ac:dyDescent="0.3">
      <c r="C2" s="212" t="str">
        <f>linkedPage!C2</f>
        <v>Risk = Occ + Sev</v>
      </c>
      <c r="D2" s="212"/>
      <c r="E2" s="212"/>
      <c r="F2" s="212"/>
      <c r="G2" s="212"/>
      <c r="H2" s="212"/>
      <c r="I2" s="212"/>
      <c r="J2" s="212"/>
      <c r="K2" s="212"/>
      <c r="L2" s="212"/>
      <c r="O2" t="str">
        <f>linkedPage!T2</f>
        <v>Note:</v>
      </c>
    </row>
    <row r="3" spans="2:19" ht="18.75" x14ac:dyDescent="0.3">
      <c r="B3" s="5"/>
      <c r="C3" s="211" t="str">
        <f>linkedPage!C3</f>
        <v>Severity</v>
      </c>
      <c r="D3" s="211"/>
      <c r="E3" s="211"/>
      <c r="F3" s="211"/>
      <c r="G3" s="211"/>
      <c r="H3" s="211"/>
      <c r="I3" s="211"/>
      <c r="J3" s="211"/>
      <c r="K3" s="211"/>
      <c r="L3" s="211"/>
      <c r="O3" s="7" t="str">
        <f>linkedPage!T3</f>
        <v>- 'set up' and 'linkedPage' are both linked to workbook 'FMECA Master v3.xlsx'</v>
      </c>
    </row>
    <row r="4" spans="2:19" ht="18.75" x14ac:dyDescent="0.3">
      <c r="B4" s="48" t="str">
        <f>IF(linkedPage!B4=0,"",linkedPage!B4)</f>
        <v>Occ</v>
      </c>
      <c r="C4" s="29">
        <f>IF(linkedPage!C4=0,"",linkedPage!C4)</f>
        <v>1</v>
      </c>
      <c r="D4" s="29">
        <f>IF(linkedPage!D4=0,"",linkedPage!D4)</f>
        <v>2</v>
      </c>
      <c r="E4" s="29">
        <f>IF(linkedPage!E4=0,"",linkedPage!E4)</f>
        <v>3</v>
      </c>
      <c r="F4" s="29">
        <f>IF(linkedPage!F4=0,"",linkedPage!F4)</f>
        <v>4</v>
      </c>
      <c r="G4" s="29">
        <f>IF(linkedPage!G4=0,"",linkedPage!G4)</f>
        <v>5</v>
      </c>
      <c r="H4" s="29">
        <f>IF(linkedPage!H4=0,"",linkedPage!H4)</f>
        <v>6</v>
      </c>
      <c r="I4" s="29">
        <f>IF(linkedPage!I4=0,"",linkedPage!I4)</f>
        <v>7</v>
      </c>
      <c r="J4" s="29">
        <f>IF(linkedPage!J4=0,"",linkedPage!J4)</f>
        <v>8</v>
      </c>
      <c r="K4" s="29">
        <f>IF(linkedPage!K4=0,"",linkedPage!K4)</f>
        <v>9</v>
      </c>
      <c r="L4" s="29">
        <f>IF(linkedPage!L4=0,"",linkedPage!L4)</f>
        <v>10</v>
      </c>
      <c r="M4" s="7" t="str">
        <f>IF(linkedPage!M4=0,"",linkedPage!M4)</f>
        <v/>
      </c>
      <c r="N4" t="str">
        <f>IF(linkedPage!N4=0,"",linkedPage!N4)</f>
        <v/>
      </c>
      <c r="O4" s="7" t="str">
        <f>linkedPage!T4</f>
        <v>- changes to the tables, risk scores, etc must be made in 'FMECA Master v3.xlsx'</v>
      </c>
      <c r="P4" s="7"/>
    </row>
    <row r="5" spans="2:19" s="7" customFormat="1" x14ac:dyDescent="0.25">
      <c r="B5" s="29">
        <f>IF(linkedPage!B5=0,"",linkedPage!B5)</f>
        <v>10</v>
      </c>
      <c r="C5" s="5" t="str">
        <f>IF(linkedPage!C5=0,"",linkedPage!C5)</f>
        <v>Low</v>
      </c>
      <c r="D5" s="5" t="str">
        <f>IF(linkedPage!D5=0,"",linkedPage!D5)</f>
        <v>Med</v>
      </c>
      <c r="E5" s="5" t="str">
        <f>IF(linkedPage!E5=0,"",linkedPage!E5)</f>
        <v>Med</v>
      </c>
      <c r="F5" s="5" t="str">
        <f>IF(linkedPage!F5=0,"",linkedPage!F5)</f>
        <v>Med</v>
      </c>
      <c r="G5" s="5" t="str">
        <f>IF(linkedPage!G5=0,"",linkedPage!G5)</f>
        <v>Med</v>
      </c>
      <c r="H5" s="5" t="str">
        <f>IF(linkedPage!H5=0,"",linkedPage!H5)</f>
        <v>High</v>
      </c>
      <c r="I5" s="5" t="str">
        <f>IF(linkedPage!I5=0,"",linkedPage!I5)</f>
        <v>High</v>
      </c>
      <c r="J5" s="5" t="str">
        <f>IF(linkedPage!J5=0,"",linkedPage!J5)</f>
        <v>High</v>
      </c>
      <c r="K5" s="5" t="str">
        <f>IF(linkedPage!K5=0,"",linkedPage!K5)</f>
        <v>High</v>
      </c>
      <c r="L5" s="5" t="str">
        <f>IF(linkedPage!L5=0,"",linkedPage!L5)</f>
        <v>High</v>
      </c>
      <c r="M5" s="7" t="str">
        <f>IF(linkedPage!M5=0,"",linkedPage!M5)</f>
        <v/>
      </c>
      <c r="N5" t="str">
        <f>IF(linkedPage!N5=0,"",linkedPage!N5)</f>
        <v/>
      </c>
      <c r="O5" s="7" t="str">
        <f>IF(linkedPage!O5=0,"",linkedPage!O5)</f>
        <v/>
      </c>
    </row>
    <row r="6" spans="2:19" s="7" customFormat="1" ht="16.5" x14ac:dyDescent="0.35">
      <c r="B6" s="29">
        <f>IF(linkedPage!B6=0,"",linkedPage!B6)</f>
        <v>9</v>
      </c>
      <c r="C6" s="5" t="str">
        <f>IF(linkedPage!C6=0,"",linkedPage!C6)</f>
        <v>Low</v>
      </c>
      <c r="D6" s="5" t="str">
        <f>IF(linkedPage!D6=0,"",linkedPage!D6)</f>
        <v>Low</v>
      </c>
      <c r="E6" s="5" t="str">
        <f>IF(linkedPage!E6=0,"",linkedPage!E6)</f>
        <v>Med</v>
      </c>
      <c r="F6" s="5" t="str">
        <f>IF(linkedPage!F6=0,"",linkedPage!F6)</f>
        <v>Med</v>
      </c>
      <c r="G6" s="5" t="str">
        <f>IF(linkedPage!G6=0,"",linkedPage!G6)</f>
        <v>Med</v>
      </c>
      <c r="H6" s="5" t="str">
        <f>IF(linkedPage!H6=0,"",linkedPage!H6)</f>
        <v>Med</v>
      </c>
      <c r="I6" s="5" t="str">
        <f>IF(linkedPage!I6=0,"",linkedPage!I6)</f>
        <v>High</v>
      </c>
      <c r="J6" s="5" t="str">
        <f>IF(linkedPage!J6=0,"",linkedPage!J6)</f>
        <v>High</v>
      </c>
      <c r="K6" s="5" t="str">
        <f>IF(linkedPage!K6=0,"",linkedPage!K6)</f>
        <v>High</v>
      </c>
      <c r="L6" s="5" t="str">
        <f>IF(linkedPage!L6=0,"",linkedPage!L6)</f>
        <v>High</v>
      </c>
      <c r="M6" s="18" t="str">
        <f>IF(linkedPage!M6=0,"",linkedPage!M6)</f>
        <v>low &lt;=</v>
      </c>
      <c r="N6" s="2">
        <f>IF(linkedPage!N6=0,"",linkedPage!N6)</f>
        <v>11</v>
      </c>
      <c r="O6" s="7" t="str">
        <f>IF(linkedPage!O6=0,"",linkedPage!O6)</f>
        <v/>
      </c>
    </row>
    <row r="7" spans="2:19" s="7" customFormat="1" ht="16.5" x14ac:dyDescent="0.35">
      <c r="B7" s="29">
        <f>IF(linkedPage!B7=0,"",linkedPage!B7)</f>
        <v>8</v>
      </c>
      <c r="C7" s="5" t="str">
        <f>IF(linkedPage!C7=0,"",linkedPage!C7)</f>
        <v>Low</v>
      </c>
      <c r="D7" s="5" t="str">
        <f>IF(linkedPage!D7=0,"",linkedPage!D7)</f>
        <v>Low</v>
      </c>
      <c r="E7" s="5" t="str">
        <f>IF(linkedPage!E7=0,"",linkedPage!E7)</f>
        <v>Low</v>
      </c>
      <c r="F7" s="5" t="str">
        <f>IF(linkedPage!F7=0,"",linkedPage!F7)</f>
        <v>Med</v>
      </c>
      <c r="G7" s="5" t="str">
        <f>IF(linkedPage!G7=0,"",linkedPage!G7)</f>
        <v>Med</v>
      </c>
      <c r="H7" s="5" t="str">
        <f>IF(linkedPage!H7=0,"",linkedPage!H7)</f>
        <v>Med</v>
      </c>
      <c r="I7" s="5" t="str">
        <f>IF(linkedPage!I7=0,"",linkedPage!I7)</f>
        <v>Med</v>
      </c>
      <c r="J7" s="5" t="str">
        <f>IF(linkedPage!J7=0,"",linkedPage!J7)</f>
        <v>High</v>
      </c>
      <c r="K7" s="5" t="str">
        <f>IF(linkedPage!K7=0,"",linkedPage!K7)</f>
        <v>High</v>
      </c>
      <c r="L7" s="5" t="str">
        <f>IF(linkedPage!L7=0,"",linkedPage!L7)</f>
        <v>High</v>
      </c>
      <c r="M7" s="18" t="str">
        <f>IF(linkedPage!M7=0,"",linkedPage!M7)</f>
        <v>high&gt;</v>
      </c>
      <c r="N7" s="2">
        <f>IF(linkedPage!N7=0,"",linkedPage!N7)</f>
        <v>15</v>
      </c>
      <c r="O7" s="7" t="str">
        <f>IF(linkedPage!O7=0,"",linkedPage!O7)</f>
        <v/>
      </c>
    </row>
    <row r="8" spans="2:19" s="7" customFormat="1" x14ac:dyDescent="0.25">
      <c r="B8" s="29">
        <f>IF(linkedPage!B8=0,"",linkedPage!B8)</f>
        <v>7</v>
      </c>
      <c r="C8" s="5" t="str">
        <f>IF(linkedPage!C8=0,"",linkedPage!C8)</f>
        <v>Low</v>
      </c>
      <c r="D8" s="5" t="str">
        <f>IF(linkedPage!D8=0,"",linkedPage!D8)</f>
        <v>Low</v>
      </c>
      <c r="E8" s="5" t="str">
        <f>IF(linkedPage!E8=0,"",linkedPage!E8)</f>
        <v>Low</v>
      </c>
      <c r="F8" s="5" t="str">
        <f>IF(linkedPage!F8=0,"",linkedPage!F8)</f>
        <v>Low</v>
      </c>
      <c r="G8" s="5" t="str">
        <f>IF(linkedPage!G8=0,"",linkedPage!G8)</f>
        <v>Med</v>
      </c>
      <c r="H8" s="5" t="str">
        <f>IF(linkedPage!H8=0,"",linkedPage!H8)</f>
        <v>Med</v>
      </c>
      <c r="I8" s="5" t="str">
        <f>IF(linkedPage!I8=0,"",linkedPage!I8)</f>
        <v>Med</v>
      </c>
      <c r="J8" s="5" t="str">
        <f>IF(linkedPage!J8=0,"",linkedPage!J8)</f>
        <v>Med</v>
      </c>
      <c r="K8" s="5" t="str">
        <f>IF(linkedPage!K8=0,"",linkedPage!K8)</f>
        <v>High</v>
      </c>
      <c r="L8" s="5" t="str">
        <f>IF(linkedPage!L8=0,"",linkedPage!L8)</f>
        <v>High</v>
      </c>
      <c r="M8" s="7" t="str">
        <f>IF(linkedPage!M8=0,"",linkedPage!M8)</f>
        <v/>
      </c>
      <c r="N8" t="str">
        <f>IF(linkedPage!N8=0,"",linkedPage!N8)</f>
        <v/>
      </c>
      <c r="O8" s="7" t="str">
        <f>IF(linkedPage!O8=0,"",linkedPage!O8)</f>
        <v/>
      </c>
    </row>
    <row r="9" spans="2:19" s="7" customFormat="1" x14ac:dyDescent="0.25">
      <c r="B9" s="29">
        <f>IF(linkedPage!B9=0,"",linkedPage!B9)</f>
        <v>6</v>
      </c>
      <c r="C9" s="5" t="str">
        <f>IF(linkedPage!C9=0,"",linkedPage!C9)</f>
        <v>Low</v>
      </c>
      <c r="D9" s="5" t="str">
        <f>IF(linkedPage!D9=0,"",linkedPage!D9)</f>
        <v>Low</v>
      </c>
      <c r="E9" s="5" t="str">
        <f>IF(linkedPage!E9=0,"",linkedPage!E9)</f>
        <v>Low</v>
      </c>
      <c r="F9" s="5" t="str">
        <f>IF(linkedPage!F9=0,"",linkedPage!F9)</f>
        <v>Low</v>
      </c>
      <c r="G9" s="5" t="str">
        <f>IF(linkedPage!G9=0,"",linkedPage!G9)</f>
        <v>Low</v>
      </c>
      <c r="H9" s="5" t="str">
        <f>IF(linkedPage!H9=0,"",linkedPage!H9)</f>
        <v>Med</v>
      </c>
      <c r="I9" s="5" t="str">
        <f>IF(linkedPage!I9=0,"",linkedPage!I9)</f>
        <v>Med</v>
      </c>
      <c r="J9" s="5" t="str">
        <f>IF(linkedPage!J9=0,"",linkedPage!J9)</f>
        <v>Med</v>
      </c>
      <c r="K9" s="5" t="str">
        <f>IF(linkedPage!K9=0,"",linkedPage!K9)</f>
        <v>Med</v>
      </c>
      <c r="L9" s="5" t="str">
        <f>IF(linkedPage!L9=0,"",linkedPage!L9)</f>
        <v>High</v>
      </c>
      <c r="M9" s="7" t="str">
        <f>IF(linkedPage!M9=0,"",linkedPage!M9)</f>
        <v/>
      </c>
      <c r="N9" t="str">
        <f>IF(linkedPage!N9=0,"",linkedPage!N9)</f>
        <v/>
      </c>
      <c r="O9" s="7" t="str">
        <f>IF(linkedPage!O9=0,"",linkedPage!O9)</f>
        <v/>
      </c>
    </row>
    <row r="10" spans="2:19" s="7" customFormat="1" x14ac:dyDescent="0.25">
      <c r="B10" s="29">
        <f>IF(linkedPage!B10=0,"",linkedPage!B10)</f>
        <v>5</v>
      </c>
      <c r="C10" s="5" t="str">
        <f>IF(linkedPage!C10=0,"",linkedPage!C10)</f>
        <v>Low</v>
      </c>
      <c r="D10" s="5" t="str">
        <f>IF(linkedPage!D10=0,"",linkedPage!D10)</f>
        <v>Low</v>
      </c>
      <c r="E10" s="5" t="str">
        <f>IF(linkedPage!E10=0,"",linkedPage!E10)</f>
        <v>Low</v>
      </c>
      <c r="F10" s="5" t="str">
        <f>IF(linkedPage!F10=0,"",linkedPage!F10)</f>
        <v>Low</v>
      </c>
      <c r="G10" s="5" t="str">
        <f>IF(linkedPage!G10=0,"",linkedPage!G10)</f>
        <v>Low</v>
      </c>
      <c r="H10" s="5" t="str">
        <f>IF(linkedPage!H10=0,"",linkedPage!H10)</f>
        <v>Low</v>
      </c>
      <c r="I10" s="5" t="str">
        <f>IF(linkedPage!I10=0,"",linkedPage!I10)</f>
        <v>Med</v>
      </c>
      <c r="J10" s="5" t="str">
        <f>IF(linkedPage!J10=0,"",linkedPage!J10)</f>
        <v>Med</v>
      </c>
      <c r="K10" s="5" t="str">
        <f>IF(linkedPage!K10=0,"",linkedPage!K10)</f>
        <v>Med</v>
      </c>
      <c r="L10" s="5" t="str">
        <f>IF(linkedPage!L10=0,"",linkedPage!L10)</f>
        <v>Med</v>
      </c>
      <c r="M10" s="7" t="str">
        <f>IF(linkedPage!M10=0,"",linkedPage!M10)</f>
        <v/>
      </c>
      <c r="N10" s="7" t="str">
        <f>IF(linkedPage!N10=0,"",linkedPage!N10)</f>
        <v/>
      </c>
      <c r="O10" s="7" t="str">
        <f>IF(linkedPage!O10=0,"",linkedPage!O10)</f>
        <v/>
      </c>
    </row>
    <row r="11" spans="2:19" s="7" customFormat="1" x14ac:dyDescent="0.25">
      <c r="B11" s="29">
        <f>IF(linkedPage!B11=0,"",linkedPage!B11)</f>
        <v>4</v>
      </c>
      <c r="C11" s="5" t="str">
        <f>IF(linkedPage!C11=0,"",linkedPage!C11)</f>
        <v>Low</v>
      </c>
      <c r="D11" s="5" t="str">
        <f>IF(linkedPage!D11=0,"",linkedPage!D11)</f>
        <v>Low</v>
      </c>
      <c r="E11" s="5" t="str">
        <f>IF(linkedPage!E11=0,"",linkedPage!E11)</f>
        <v>Low</v>
      </c>
      <c r="F11" s="5" t="str">
        <f>IF(linkedPage!F11=0,"",linkedPage!F11)</f>
        <v>Low</v>
      </c>
      <c r="G11" s="5" t="str">
        <f>IF(linkedPage!G11=0,"",linkedPage!G11)</f>
        <v>Low</v>
      </c>
      <c r="H11" s="5" t="str">
        <f>IF(linkedPage!H11=0,"",linkedPage!H11)</f>
        <v>Low</v>
      </c>
      <c r="I11" s="5" t="str">
        <f>IF(linkedPage!I11=0,"",linkedPage!I11)</f>
        <v>Low</v>
      </c>
      <c r="J11" s="5" t="str">
        <f>IF(linkedPage!J11=0,"",linkedPage!J11)</f>
        <v>Med</v>
      </c>
      <c r="K11" s="5" t="str">
        <f>IF(linkedPage!K11=0,"",linkedPage!K11)</f>
        <v>Med</v>
      </c>
      <c r="L11" s="5" t="str">
        <f>IF(linkedPage!L11=0,"",linkedPage!L11)</f>
        <v>Med</v>
      </c>
      <c r="M11" s="7" t="str">
        <f>IF(linkedPage!M11=0,"",linkedPage!M11)</f>
        <v/>
      </c>
      <c r="N11" s="15" t="str">
        <f>IF(linkedPage!N11=0,"",linkedPage!N11)</f>
        <v>Low</v>
      </c>
      <c r="O11" s="17" t="str">
        <f>IF(linkedPage!O11=0,"",linkedPage!O11)</f>
        <v>Tolerable, no engineer action required</v>
      </c>
    </row>
    <row r="12" spans="2:19" s="7" customFormat="1" x14ac:dyDescent="0.25">
      <c r="B12" s="29">
        <f>IF(linkedPage!B12=0,"",linkedPage!B12)</f>
        <v>3</v>
      </c>
      <c r="C12" s="5" t="str">
        <f>IF(linkedPage!C12=0,"",linkedPage!C12)</f>
        <v>Low</v>
      </c>
      <c r="D12" s="5" t="str">
        <f>IF(linkedPage!D12=0,"",linkedPage!D12)</f>
        <v>Low</v>
      </c>
      <c r="E12" s="5" t="str">
        <f>IF(linkedPage!E12=0,"",linkedPage!E12)</f>
        <v>Low</v>
      </c>
      <c r="F12" s="5" t="str">
        <f>IF(linkedPage!F12=0,"",linkedPage!F12)</f>
        <v>Low</v>
      </c>
      <c r="G12" s="5" t="str">
        <f>IF(linkedPage!G12=0,"",linkedPage!G12)</f>
        <v>Low</v>
      </c>
      <c r="H12" s="5" t="str">
        <f>IF(linkedPage!H12=0,"",linkedPage!H12)</f>
        <v>Low</v>
      </c>
      <c r="I12" s="5" t="str">
        <f>IF(linkedPage!I12=0,"",linkedPage!I12)</f>
        <v>Low</v>
      </c>
      <c r="J12" s="5" t="str">
        <f>IF(linkedPage!J12=0,"",linkedPage!J12)</f>
        <v>Low</v>
      </c>
      <c r="K12" s="5" t="str">
        <f>IF(linkedPage!K12=0,"",linkedPage!K12)</f>
        <v>Med</v>
      </c>
      <c r="L12" s="5" t="str">
        <f>IF(linkedPage!L12=0,"",linkedPage!L12)</f>
        <v>Med</v>
      </c>
      <c r="M12" s="7" t="str">
        <f>IF(linkedPage!M12=0,"",linkedPage!M12)</f>
        <v/>
      </c>
      <c r="N12" s="13" t="str">
        <f>IF(linkedPage!N12=0,"",linkedPage!N12)</f>
        <v>Med</v>
      </c>
      <c r="O12" s="17" t="str">
        <f>IF(linkedPage!O12=0,"",linkedPage!O12)</f>
        <v>Undesirable, consider engineer actions to mitigate risk</v>
      </c>
    </row>
    <row r="13" spans="2:19" s="7" customFormat="1" x14ac:dyDescent="0.25">
      <c r="B13" s="29">
        <f>IF(linkedPage!B13=0,"",linkedPage!B13)</f>
        <v>2</v>
      </c>
      <c r="C13" s="5" t="str">
        <f>IF(linkedPage!C13=0,"",linkedPage!C13)</f>
        <v>Low</v>
      </c>
      <c r="D13" s="5" t="str">
        <f>IF(linkedPage!D13=0,"",linkedPage!D13)</f>
        <v>Low</v>
      </c>
      <c r="E13" s="5" t="str">
        <f>IF(linkedPage!E13=0,"",linkedPage!E13)</f>
        <v>Low</v>
      </c>
      <c r="F13" s="5" t="str">
        <f>IF(linkedPage!F13=0,"",linkedPage!F13)</f>
        <v>Low</v>
      </c>
      <c r="G13" s="5" t="str">
        <f>IF(linkedPage!G13=0,"",linkedPage!G13)</f>
        <v>Low</v>
      </c>
      <c r="H13" s="5" t="str">
        <f>IF(linkedPage!H13=0,"",linkedPage!H13)</f>
        <v>Low</v>
      </c>
      <c r="I13" s="5" t="str">
        <f>IF(linkedPage!I13=0,"",linkedPage!I13)</f>
        <v>Low</v>
      </c>
      <c r="J13" s="5" t="str">
        <f>IF(linkedPage!J13=0,"",linkedPage!J13)</f>
        <v>Low</v>
      </c>
      <c r="K13" s="5" t="str">
        <f>IF(linkedPage!K13=0,"",linkedPage!K13)</f>
        <v>Low</v>
      </c>
      <c r="L13" s="5" t="str">
        <f>IF(linkedPage!L13=0,"",linkedPage!L13)</f>
        <v>Med</v>
      </c>
      <c r="M13" s="7" t="str">
        <f>IF(linkedPage!M13=0,"",linkedPage!M13)</f>
        <v/>
      </c>
      <c r="N13" s="16" t="str">
        <f>IF(linkedPage!N13=0,"",linkedPage!N13)</f>
        <v>High</v>
      </c>
      <c r="O13" s="17" t="str">
        <f>IF(linkedPage!O13=0,"",linkedPage!O13)</f>
        <v>Intolerable, engineering action required</v>
      </c>
    </row>
    <row r="14" spans="2:19" s="7" customFormat="1" x14ac:dyDescent="0.25">
      <c r="B14" s="29">
        <f>IF(linkedPage!B14=0,"",linkedPage!B14)</f>
        <v>1</v>
      </c>
      <c r="C14" s="5" t="str">
        <f>IF(linkedPage!C14=0,"",linkedPage!C14)</f>
        <v>Low</v>
      </c>
      <c r="D14" s="5" t="str">
        <f>IF(linkedPage!D14=0,"",linkedPage!D14)</f>
        <v>Low</v>
      </c>
      <c r="E14" s="5" t="str">
        <f>IF(linkedPage!E14=0,"",linkedPage!E14)</f>
        <v>Low</v>
      </c>
      <c r="F14" s="5" t="str">
        <f>IF(linkedPage!F14=0,"",linkedPage!F14)</f>
        <v>Low</v>
      </c>
      <c r="G14" s="5" t="str">
        <f>IF(linkedPage!G14=0,"",linkedPage!G14)</f>
        <v>Low</v>
      </c>
      <c r="H14" s="5" t="str">
        <f>IF(linkedPage!H14=0,"",linkedPage!H14)</f>
        <v>Low</v>
      </c>
      <c r="I14" s="5" t="str">
        <f>IF(linkedPage!I14=0,"",linkedPage!I14)</f>
        <v>Low</v>
      </c>
      <c r="J14" s="5" t="str">
        <f>IF(linkedPage!J14=0,"",linkedPage!J14)</f>
        <v>Low</v>
      </c>
      <c r="K14" s="5" t="str">
        <f>IF(linkedPage!K14=0,"",linkedPage!K14)</f>
        <v>Low</v>
      </c>
      <c r="L14" s="5" t="str">
        <f>IF(linkedPage!L14=0,"",linkedPage!L14)</f>
        <v>Low</v>
      </c>
      <c r="M14" s="7" t="str">
        <f>IF(linkedPage!M14=0,"",linkedPage!M14)</f>
        <v/>
      </c>
      <c r="N14" t="str">
        <f>IF(linkedPage!N14=0,"",linkedPage!N14)</f>
        <v/>
      </c>
      <c r="O14" s="7" t="str">
        <f>IF(linkedPage!O14=0,"",linkedPage!O14)</f>
        <v/>
      </c>
    </row>
    <row r="16" spans="2:19" ht="19.5" thickBot="1" x14ac:dyDescent="0.35">
      <c r="B16" s="42" t="str">
        <f>IF(linkedPage!B16=0,"",linkedPage!B16)</f>
        <v>Occurrence</v>
      </c>
      <c r="C16" s="43"/>
      <c r="D16" s="43"/>
      <c r="E16" s="43"/>
      <c r="F16" s="43"/>
      <c r="H16" s="42" t="str">
        <f>IF(linkedPage!H16=0,"",linkedPage!H16)</f>
        <v>Severity</v>
      </c>
      <c r="I16" s="43"/>
      <c r="J16" s="43"/>
      <c r="K16" s="43"/>
      <c r="L16" s="43"/>
      <c r="M16" s="43"/>
      <c r="N16" s="43"/>
      <c r="O16" s="43"/>
      <c r="P16" s="43"/>
      <c r="Q16" s="43"/>
      <c r="R16" s="25"/>
      <c r="S16" s="25"/>
    </row>
    <row r="17" spans="1:23" ht="57" thickBot="1" x14ac:dyDescent="0.35">
      <c r="B17" s="44" t="str">
        <f>IF(linkedPage!B17=0,"",linkedPage!B17)</f>
        <v>Rating</v>
      </c>
      <c r="C17" s="203" t="str">
        <f>IF(linkedPage!C17=0,"",linkedPage!C17)</f>
        <v>Occurrence</v>
      </c>
      <c r="D17" s="204" t="str">
        <f>IF(linkedPage!D17=0,"",linkedPage!D17)</f>
        <v/>
      </c>
      <c r="E17" s="44" t="str">
        <f>IF(linkedPage!E17=0,"",linkedPage!E17)</f>
        <v>Annual Failure Rate</v>
      </c>
      <c r="F17" s="45" t="str">
        <f>IF(linkedPage!F17=0,"",linkedPage!F17)</f>
        <v>Return Period [years]</v>
      </c>
      <c r="G17" s="9"/>
      <c r="H17" s="46" t="str">
        <f>IF(linkedPage!H17=0,"",linkedPage!H17)</f>
        <v>Rating</v>
      </c>
      <c r="I17" s="47" t="str">
        <f>IF(linkedPage!I17=0,"",linkedPage!I17)</f>
        <v>Severity</v>
      </c>
      <c r="J17" s="209" t="str">
        <f>IF(linkedPage!J17=0,"",linkedPage!J17)</f>
        <v>Human Safety</v>
      </c>
      <c r="K17" s="202" t="str">
        <f>IF(linkedPage!K17=0,"",linkedPage!K17)</f>
        <v/>
      </c>
      <c r="L17" s="209" t="str">
        <f>IF(linkedPage!L17=0,"",linkedPage!L17)</f>
        <v>Environment</v>
      </c>
      <c r="M17" s="210" t="str">
        <f>IF(linkedPage!M17=0,"",linkedPage!M17)</f>
        <v/>
      </c>
      <c r="N17" s="201" t="str">
        <f>IF(linkedPage!N17=0,"",linkedPage!N17)</f>
        <v>WEC Operation</v>
      </c>
      <c r="O17" s="202" t="str">
        <f>IF(linkedPage!O17=0,"",linkedPage!O17)</f>
        <v/>
      </c>
      <c r="P17" s="205" t="str">
        <f>IF(linkedPage!P17=0,"",linkedPage!P17)</f>
        <v xml:space="preserve">Assets </v>
      </c>
      <c r="Q17" s="206" t="str">
        <f>IF(linkedPage!Q17=0,"",linkedPage!Q17)</f>
        <v/>
      </c>
      <c r="R17" s="26"/>
      <c r="S17" s="25"/>
    </row>
    <row r="18" spans="1:23" ht="42.75" customHeight="1" x14ac:dyDescent="0.25">
      <c r="A18" s="7"/>
      <c r="B18" s="12">
        <f>IF(linkedPage!B18=0,"",linkedPage!B18)</f>
        <v>1</v>
      </c>
      <c r="C18" s="213" t="str">
        <f>IF(linkedPage!C18=0,"",linkedPage!C18)</f>
        <v>Exceptionally unlikely to occur</v>
      </c>
      <c r="D18" s="214" t="str">
        <f>IF(linkedPage!D18=0,"",linkedPage!D18)</f>
        <v/>
      </c>
      <c r="E18" s="30">
        <f>IF(linkedPage!E18=0,"",linkedPage!E18)</f>
        <v>1.0000000000000001E-5</v>
      </c>
      <c r="F18" s="38">
        <f>IF(linkedPage!F18=0,"",linkedPage!F18)</f>
        <v>100000</v>
      </c>
      <c r="G18" s="9"/>
      <c r="H18" s="24">
        <f>IF(linkedPage!H18=0,"",linkedPage!H18)</f>
        <v>1</v>
      </c>
      <c r="I18" s="22" t="str">
        <f>IF(linkedPage!I18=0,"",linkedPage!I18)</f>
        <v>Insignificant</v>
      </c>
      <c r="J18" s="189" t="str">
        <f>IF(linkedPage!J18=0,"",linkedPage!J18)</f>
        <v>Negligible injury, effect on health (e.g. band aid)</v>
      </c>
      <c r="K18" s="208" t="str">
        <f>IF(linkedPage!K18=0,"",linkedPage!K18)</f>
        <v/>
      </c>
      <c r="L18" s="189" t="str">
        <f>IF(linkedPage!L18=0,"",linkedPage!L18)</f>
        <v>Negligible pollution or no effect on environment</v>
      </c>
      <c r="M18" s="190" t="str">
        <f>IF(linkedPage!M18=0,"",linkedPage!M18)</f>
        <v/>
      </c>
      <c r="N18" s="207" t="str">
        <f>IF(linkedPage!N18=0,"",linkedPage!N18)</f>
        <v>Negligible effect on performance</v>
      </c>
      <c r="O18" s="208" t="str">
        <f>IF(linkedPage!O18=0,"",linkedPage!O18)</f>
        <v/>
      </c>
      <c r="P18" s="189" t="str">
        <f>IF(linkedPage!P18=0,"",linkedPage!P18)</f>
        <v>Negligible</v>
      </c>
      <c r="Q18" s="190" t="str">
        <f>IF(linkedPage!Q18=0,"",linkedPage!Q18)</f>
        <v/>
      </c>
      <c r="R18" s="27"/>
      <c r="S18" s="25"/>
      <c r="U18" s="7"/>
    </row>
    <row r="19" spans="1:23" ht="42.75" customHeight="1" x14ac:dyDescent="0.25">
      <c r="A19" s="7"/>
      <c r="B19" s="10">
        <f>IF(linkedPage!B19=0,"",linkedPage!B19)</f>
        <v>2</v>
      </c>
      <c r="C19" s="195" t="str">
        <f>IF(linkedPage!C19=0,"",linkedPage!C19)</f>
        <v/>
      </c>
      <c r="D19" s="196" t="str">
        <f>IF(linkedPage!D19=0,"",linkedPage!D19)</f>
        <v/>
      </c>
      <c r="E19" s="31">
        <f>IF(linkedPage!E19=0,"",linkedPage!E19)</f>
        <v>3.1622776601683789E-5</v>
      </c>
      <c r="F19" s="39">
        <f>IF(linkedPage!F19=0,"",linkedPage!F19)</f>
        <v>31600</v>
      </c>
      <c r="G19" s="9"/>
      <c r="H19" s="10">
        <f>IF(linkedPage!H19=0,"",linkedPage!H19)</f>
        <v>2</v>
      </c>
      <c r="I19" s="23" t="str">
        <f>IF(linkedPage!I19=0,"",linkedPage!I19)</f>
        <v/>
      </c>
      <c r="J19" s="191" t="str">
        <f>IF(linkedPage!J19=0,"",linkedPage!J19)</f>
        <v/>
      </c>
      <c r="K19" s="186" t="str">
        <f>IF(linkedPage!K19=0,"",linkedPage!K19)</f>
        <v/>
      </c>
      <c r="L19" s="191" t="str">
        <f>IF(linkedPage!L19=0,"",linkedPage!L19)</f>
        <v/>
      </c>
      <c r="M19" s="192" t="str">
        <f>IF(linkedPage!M19=0,"",linkedPage!M19)</f>
        <v/>
      </c>
      <c r="N19" s="185" t="str">
        <f>IF(linkedPage!N19=0,"",linkedPage!N19)</f>
        <v/>
      </c>
      <c r="O19" s="186" t="str">
        <f>IF(linkedPage!O19=0,"",linkedPage!O19)</f>
        <v/>
      </c>
      <c r="P19" s="191" t="str">
        <f>IF(linkedPage!P19=0,"",linkedPage!P19)</f>
        <v>[1.5k USD]</v>
      </c>
      <c r="Q19" s="192" t="str">
        <f>IF(linkedPage!Q19=0,"",linkedPage!Q19)</f>
        <v/>
      </c>
      <c r="R19" s="27"/>
      <c r="S19" s="25"/>
    </row>
    <row r="20" spans="1:23" ht="42.75" customHeight="1" x14ac:dyDescent="0.25">
      <c r="A20" s="7"/>
      <c r="B20" s="10">
        <f>IF(linkedPage!B20=0,"",linkedPage!B20)</f>
        <v>3</v>
      </c>
      <c r="C20" s="195" t="str">
        <f>IF(linkedPage!C20=0,"",linkedPage!C20)</f>
        <v>Extremely unlikely to occur</v>
      </c>
      <c r="D20" s="196" t="str">
        <f>IF(linkedPage!D20=0,"",linkedPage!D20)</f>
        <v/>
      </c>
      <c r="E20" s="32">
        <f>IF(linkedPage!E20=0,"",linkedPage!E20)</f>
        <v>1E-4</v>
      </c>
      <c r="F20" s="39">
        <f>IF(linkedPage!F20=0,"",linkedPage!F20)</f>
        <v>10000</v>
      </c>
      <c r="G20" s="9"/>
      <c r="H20" s="10">
        <f>IF(linkedPage!H20=0,"",linkedPage!H20)</f>
        <v>3</v>
      </c>
      <c r="I20" s="23" t="str">
        <f>IF(linkedPage!I20=0,"",linkedPage!I20)</f>
        <v>Minor</v>
      </c>
      <c r="J20" s="191" t="str">
        <f>IF(linkedPage!J20=0,"",linkedPage!J20)</f>
        <v>Minor injuries, health effects (e.g. stitches)</v>
      </c>
      <c r="K20" s="186" t="str">
        <f>IF(linkedPage!K20=0,"",linkedPage!K20)</f>
        <v/>
      </c>
      <c r="L20" s="191" t="str">
        <f>IF(linkedPage!L20=0,"",linkedPage!L20)</f>
        <v>Minor pollution / slight effect on environment (min disruption on marine life)</v>
      </c>
      <c r="M20" s="192" t="str">
        <f>IF(linkedPage!M20=0,"",linkedPage!M20)</f>
        <v/>
      </c>
      <c r="N20" s="185" t="str">
        <f>IF(linkedPage!N20=0,"",linkedPage!N20)</f>
        <v>Minor system degradation</v>
      </c>
      <c r="O20" s="186" t="str">
        <f>IF(linkedPage!O20=0,"",linkedPage!O20)</f>
        <v/>
      </c>
      <c r="P20" s="191" t="str">
        <f>IF(linkedPage!P20=0,"",linkedPage!P20)</f>
        <v>Repairable in-situ, at next maintenance interval 
[5k USD]</v>
      </c>
      <c r="Q20" s="192" t="str">
        <f>IF(linkedPage!Q20=0,"",linkedPage!Q20)</f>
        <v/>
      </c>
      <c r="R20" s="27"/>
      <c r="S20" s="25"/>
      <c r="U20" s="7"/>
    </row>
    <row r="21" spans="1:23" ht="42.75" customHeight="1" x14ac:dyDescent="0.25">
      <c r="A21" s="7"/>
      <c r="B21" s="10">
        <f>IF(linkedPage!B21=0,"",linkedPage!B21)</f>
        <v>4</v>
      </c>
      <c r="C21" s="195" t="str">
        <f>IF(linkedPage!C21=0,"",linkedPage!C21)</f>
        <v/>
      </c>
      <c r="D21" s="196" t="str">
        <f>IF(linkedPage!D21=0,"",linkedPage!D21)</f>
        <v/>
      </c>
      <c r="E21" s="32">
        <f>IF(linkedPage!E21=0,"",linkedPage!E21)</f>
        <v>3.1622776601683789E-4</v>
      </c>
      <c r="F21" s="39">
        <f>IF(linkedPage!F21=0,"",linkedPage!F21)</f>
        <v>3160</v>
      </c>
      <c r="G21" s="9"/>
      <c r="H21" s="10">
        <f>IF(linkedPage!H21=0,"",linkedPage!H21)</f>
        <v>4</v>
      </c>
      <c r="I21" s="23" t="str">
        <f>IF(linkedPage!I21=0,"",linkedPage!I21)</f>
        <v/>
      </c>
      <c r="J21" s="191" t="str">
        <f>IF(linkedPage!J21=0,"",linkedPage!J21)</f>
        <v>Moderate injuries and/or health effects (e.g. broken bone)</v>
      </c>
      <c r="K21" s="186" t="str">
        <f>IF(linkedPage!K21=0,"",linkedPage!K21)</f>
        <v/>
      </c>
      <c r="L21" s="191" t="str">
        <f>IF(linkedPage!L21=0,"",linkedPage!L21)</f>
        <v/>
      </c>
      <c r="M21" s="192" t="str">
        <f>IF(linkedPage!M21=0,"",linkedPage!M21)</f>
        <v/>
      </c>
      <c r="N21" s="185" t="str">
        <f>IF(linkedPage!N21=0,"",linkedPage!N21)</f>
        <v>Moderate system degradation (e.g. loss of MoMo)</v>
      </c>
      <c r="O21" s="186" t="str">
        <f>IF(linkedPage!O21=0,"",linkedPage!O21)</f>
        <v/>
      </c>
      <c r="P21" s="191" t="str">
        <f>IF(linkedPage!P21=0,"",linkedPage!P21)</f>
        <v>Repairable in-situ, outside maintenance interval 
(1 day) [15k USD]</v>
      </c>
      <c r="Q21" s="192" t="str">
        <f>IF(linkedPage!Q21=0,"",linkedPage!Q21)</f>
        <v/>
      </c>
      <c r="R21" s="27"/>
      <c r="S21" s="25"/>
      <c r="U21" s="7"/>
    </row>
    <row r="22" spans="1:23" ht="42.75" customHeight="1" x14ac:dyDescent="0.25">
      <c r="A22" s="7"/>
      <c r="B22" s="10">
        <f>IF(linkedPage!B22=0,"",linkedPage!B22)</f>
        <v>5</v>
      </c>
      <c r="C22" s="195" t="str">
        <f>IF(linkedPage!C22=0,"",linkedPage!C22)</f>
        <v>Very unlikely to occur</v>
      </c>
      <c r="D22" s="196" t="str">
        <f>IF(linkedPage!D22=0,"",linkedPage!D22)</f>
        <v/>
      </c>
      <c r="E22" s="33">
        <f>IF(linkedPage!E22=0,"",linkedPage!E22)</f>
        <v>1E-3</v>
      </c>
      <c r="F22" s="39">
        <f>IF(linkedPage!F22=0,"",linkedPage!F22)</f>
        <v>1000</v>
      </c>
      <c r="G22" s="9"/>
      <c r="H22" s="10">
        <f>IF(linkedPage!H22=0,"",linkedPage!H22)</f>
        <v>5</v>
      </c>
      <c r="I22" s="23" t="str">
        <f>IF(linkedPage!I22=0,"",linkedPage!I22)</f>
        <v>Major</v>
      </c>
      <c r="J22" s="191" t="str">
        <f>IF(linkedPage!J22=0,"",linkedPage!J22)</f>
        <v/>
      </c>
      <c r="K22" s="186" t="str">
        <f>IF(linkedPage!K22=0,"",linkedPage!K22)</f>
        <v/>
      </c>
      <c r="L22" s="191" t="str">
        <f>IF(linkedPage!L22=0,"",linkedPage!L22)</f>
        <v>Limited levels of pollution, manageable / moderate effect on environment</v>
      </c>
      <c r="M22" s="192" t="str">
        <f>IF(linkedPage!M22=0,"",linkedPage!M22)</f>
        <v/>
      </c>
      <c r="N22" s="185" t="str">
        <f>IF(linkedPage!N22=0,"",linkedPage!N22)</f>
        <v/>
      </c>
      <c r="O22" s="186" t="str">
        <f>IF(linkedPage!O22=0,"",linkedPage!O22)</f>
        <v/>
      </c>
      <c r="P22" s="191" t="str">
        <f>IF(linkedPage!P22=0,"",linkedPage!P22)</f>
        <v>Repairable in-situ, outside maintenance interval 
(1 week) [50k USD]</v>
      </c>
      <c r="Q22" s="192" t="str">
        <f>IF(linkedPage!Q22=0,"",linkedPage!Q22)</f>
        <v/>
      </c>
      <c r="R22" s="27"/>
      <c r="S22" s="25"/>
      <c r="T22" s="7"/>
      <c r="U22" s="7"/>
    </row>
    <row r="23" spans="1:23" ht="42.75" customHeight="1" x14ac:dyDescent="0.25">
      <c r="A23" s="7"/>
      <c r="B23" s="10">
        <f>IF(linkedPage!B23=0,"",linkedPage!B23)</f>
        <v>6</v>
      </c>
      <c r="C23" s="195" t="str">
        <f>IF(linkedPage!C23=0,"",linkedPage!C23)</f>
        <v/>
      </c>
      <c r="D23" s="196" t="str">
        <f>IF(linkedPage!D23=0,"",linkedPage!D23)</f>
        <v/>
      </c>
      <c r="E23" s="33">
        <f>IF(linkedPage!E23=0,"",linkedPage!E23)</f>
        <v>3.162277660168379E-3</v>
      </c>
      <c r="F23" s="39">
        <f>IF(linkedPage!F23=0,"",linkedPage!F23)</f>
        <v>316</v>
      </c>
      <c r="G23" s="9"/>
      <c r="H23" s="10">
        <f>IF(linkedPage!H23=0,"",linkedPage!H23)</f>
        <v>6</v>
      </c>
      <c r="I23" s="23" t="str">
        <f>IF(linkedPage!I23=0,"",linkedPage!I23)</f>
        <v/>
      </c>
      <c r="J23" s="191" t="str">
        <f>IF(linkedPage!J23=0,"",linkedPage!J23)</f>
        <v/>
      </c>
      <c r="K23" s="186" t="str">
        <f>IF(linkedPage!K23=0,"",linkedPage!K23)</f>
        <v/>
      </c>
      <c r="L23" s="191" t="str">
        <f>IF(linkedPage!L23=0,"",linkedPage!L23)</f>
        <v/>
      </c>
      <c r="M23" s="192" t="str">
        <f>IF(linkedPage!M23=0,"",linkedPage!M23)</f>
        <v/>
      </c>
      <c r="N23" s="185" t="str">
        <f>IF(linkedPage!N23=0,"",linkedPage!N23)</f>
        <v>Major system degradation or loss of operation for 1 month</v>
      </c>
      <c r="O23" s="186" t="str">
        <f>IF(linkedPage!O23=0,"",linkedPage!O23)</f>
        <v/>
      </c>
      <c r="P23" s="191" t="str">
        <f>IF(linkedPage!P23=0,"",linkedPage!P23)</f>
        <v>[150k USD]</v>
      </c>
      <c r="Q23" s="192" t="str">
        <f>IF(linkedPage!Q23=0,"",linkedPage!Q23)</f>
        <v/>
      </c>
      <c r="R23" s="27"/>
      <c r="S23" s="27"/>
      <c r="T23" s="7"/>
      <c r="U23" s="7"/>
    </row>
    <row r="24" spans="1:23" ht="42.75" customHeight="1" x14ac:dyDescent="0.25">
      <c r="B24" s="10">
        <f>IF(linkedPage!B24=0,"",linkedPage!B24)</f>
        <v>7</v>
      </c>
      <c r="C24" s="195" t="str">
        <f>IF(linkedPage!C24=0,"",linkedPage!C24)</f>
        <v>Rarely expected to occur</v>
      </c>
      <c r="D24" s="196" t="str">
        <f>IF(linkedPage!D24=0,"",linkedPage!D24)</f>
        <v/>
      </c>
      <c r="E24" s="34">
        <f>IF(linkedPage!E24=0,"",linkedPage!E24)</f>
        <v>0.01</v>
      </c>
      <c r="F24" s="39">
        <f>IF(linkedPage!F24=0,"",linkedPage!F24)</f>
        <v>100</v>
      </c>
      <c r="G24" s="9"/>
      <c r="H24" s="10">
        <f>IF(linkedPage!H24=0,"",linkedPage!H24)</f>
        <v>7</v>
      </c>
      <c r="I24" s="23" t="str">
        <f>IF(linkedPage!I24=0,"",linkedPage!I24)</f>
        <v>Critical</v>
      </c>
      <c r="J24" s="191" t="str">
        <f>IF(linkedPage!J24=0,"",linkedPage!J24)</f>
        <v>Hospitalization (with full recovery)</v>
      </c>
      <c r="K24" s="186" t="str">
        <f>IF(linkedPage!K24=0,"",linkedPage!K24)</f>
        <v/>
      </c>
      <c r="L24" s="191" t="str">
        <f>IF(linkedPage!L24=0,"",linkedPage!L24)</f>
        <v>Moderate pollution (some clean-up costs) / Serious effect on environment</v>
      </c>
      <c r="M24" s="192" t="str">
        <f>IF(linkedPage!M24=0,"",linkedPage!M24)</f>
        <v/>
      </c>
      <c r="N24" s="185" t="str">
        <f>IF(linkedPage!N24=0,"",linkedPage!N24)</f>
        <v>Major system degradation or loss of operation for 3 months</v>
      </c>
      <c r="O24" s="186" t="str">
        <f>IF(linkedPage!O24=0,"",linkedPage!O24)</f>
        <v/>
      </c>
      <c r="P24" s="191" t="str">
        <f>IF(linkedPage!P24=0,"",linkedPage!P24)</f>
        <v>Dry dock required for repair
[500k USD]</v>
      </c>
      <c r="Q24" s="192" t="str">
        <f>IF(linkedPage!Q24=0,"",linkedPage!Q24)</f>
        <v/>
      </c>
      <c r="R24" s="27"/>
      <c r="S24" s="27"/>
      <c r="T24" s="7"/>
      <c r="U24" s="7"/>
    </row>
    <row r="25" spans="1:23" ht="42.75" customHeight="1" x14ac:dyDescent="0.25">
      <c r="B25" s="10">
        <f>IF(linkedPage!B25=0,"",linkedPage!B25)</f>
        <v>8</v>
      </c>
      <c r="C25" s="195" t="str">
        <f>IF(linkedPage!C25=0,"",linkedPage!C25)</f>
        <v/>
      </c>
      <c r="D25" s="196" t="str">
        <f>IF(linkedPage!D25=0,"",linkedPage!D25)</f>
        <v/>
      </c>
      <c r="E25" s="34">
        <f>IF(linkedPage!E25=0,"",linkedPage!E25)</f>
        <v>3.1622776601683791E-2</v>
      </c>
      <c r="F25" s="39">
        <f>IF(linkedPage!F25=0,"",linkedPage!F25)</f>
        <v>31.6</v>
      </c>
      <c r="G25" s="9"/>
      <c r="H25" s="10">
        <f>IF(linkedPage!H25=0,"",linkedPage!H25)</f>
        <v>8</v>
      </c>
      <c r="I25" s="23" t="str">
        <f>IF(linkedPage!I25=0,"",linkedPage!I25)</f>
        <v/>
      </c>
      <c r="J25" s="191" t="str">
        <f>IF(linkedPage!J25=0,"",linkedPage!J25)</f>
        <v/>
      </c>
      <c r="K25" s="186" t="str">
        <f>IF(linkedPage!K25=0,"",linkedPage!K25)</f>
        <v/>
      </c>
      <c r="L25" s="191" t="str">
        <f>IF(linkedPage!L25=0,"",linkedPage!L25)</f>
        <v/>
      </c>
      <c r="M25" s="192" t="str">
        <f>IF(linkedPage!M25=0,"",linkedPage!M25)</f>
        <v/>
      </c>
      <c r="N25" s="185" t="str">
        <f>IF(linkedPage!N25=0,"",linkedPage!N25)</f>
        <v>Critical system degradation or loss of operation for 6 months</v>
      </c>
      <c r="O25" s="186" t="str">
        <f>IF(linkedPage!O25=0,"",linkedPage!O25)</f>
        <v/>
      </c>
      <c r="P25" s="191" t="str">
        <f>IF(linkedPage!P25=0,"",linkedPage!P25)</f>
        <v>[1.5M USD]</v>
      </c>
      <c r="Q25" s="192" t="str">
        <f>IF(linkedPage!Q25=0,"",linkedPage!Q25)</f>
        <v/>
      </c>
      <c r="R25" s="27"/>
      <c r="S25" s="27"/>
      <c r="T25" s="7"/>
      <c r="U25" s="7"/>
    </row>
    <row r="26" spans="1:23" ht="42.75" customHeight="1" x14ac:dyDescent="0.25">
      <c r="B26" s="10">
        <f>IF(linkedPage!B26=0,"",linkedPage!B26)</f>
        <v>9</v>
      </c>
      <c r="C26" s="195" t="str">
        <f>IF(linkedPage!C26=0,"",linkedPage!C26)</f>
        <v>One or more during 20 yr lifetime</v>
      </c>
      <c r="D26" s="196" t="str">
        <f>IF(linkedPage!D26=0,"",linkedPage!D26)</f>
        <v/>
      </c>
      <c r="E26" s="35">
        <f>IF(linkedPage!E26=0,"",linkedPage!E26)</f>
        <v>0.1</v>
      </c>
      <c r="F26" s="39">
        <f>IF(linkedPage!F26=0,"",linkedPage!F26)</f>
        <v>10</v>
      </c>
      <c r="G26" s="9"/>
      <c r="H26" s="10">
        <f>IF(linkedPage!H26=0,"",linkedPage!H26)</f>
        <v>9</v>
      </c>
      <c r="I26" s="23" t="str">
        <f>IF(linkedPage!I26=0,"",linkedPage!I26)</f>
        <v>Catastrophic</v>
      </c>
      <c r="J26" s="191" t="str">
        <f>IF(linkedPage!J26=0,"",linkedPage!J26)</f>
        <v>Hospitalization (with lasting disabilities)</v>
      </c>
      <c r="K26" s="186" t="str">
        <f>IF(linkedPage!K26=0,"",linkedPage!K26)</f>
        <v/>
      </c>
      <c r="L26" s="191" t="str">
        <f>IF(linkedPage!L26=0,"",linkedPage!L26)</f>
        <v>Major pollution (significant clean-up costs) / disastrous effects on the environment</v>
      </c>
      <c r="M26" s="192" t="str">
        <f>IF(linkedPage!M26=0,"",linkedPage!M26)</f>
        <v/>
      </c>
      <c r="N26" s="185" t="str">
        <f>IF(linkedPage!N26=0,"",linkedPage!N26)</f>
        <v>Failure to generate power for remainder of project, complete failure</v>
      </c>
      <c r="O26" s="186" t="str">
        <f>IF(linkedPage!O26=0,"",linkedPage!O26)</f>
        <v/>
      </c>
      <c r="P26" s="191" t="str">
        <f>IF(linkedPage!P26=0,"",linkedPage!P26)</f>
        <v>Loss of device
[5M USD]</v>
      </c>
      <c r="Q26" s="192" t="str">
        <f>IF(linkedPage!Q26=0,"",linkedPage!Q26)</f>
        <v/>
      </c>
      <c r="R26" s="28"/>
      <c r="S26" s="28"/>
      <c r="T26" s="7"/>
      <c r="U26" s="7"/>
    </row>
    <row r="27" spans="1:23" ht="42.75" customHeight="1" thickBot="1" x14ac:dyDescent="0.3">
      <c r="A27" s="7"/>
      <c r="B27" s="11">
        <f>IF(linkedPage!B27=0,"",linkedPage!B27)</f>
        <v>10</v>
      </c>
      <c r="C27" s="197" t="str">
        <f>IF(linkedPage!C27=0,"",linkedPage!C27)</f>
        <v/>
      </c>
      <c r="D27" s="198" t="str">
        <f>IF(linkedPage!D27=0,"",linkedPage!D27)</f>
        <v/>
      </c>
      <c r="E27" s="36">
        <f>IF(linkedPage!E27=0,"",linkedPage!E27)</f>
        <v>0.31622776601683794</v>
      </c>
      <c r="F27" s="40">
        <f>IF(linkedPage!F27=0,"",linkedPage!F27)</f>
        <v>3.16</v>
      </c>
      <c r="G27" s="9"/>
      <c r="H27" s="11">
        <f>IF(linkedPage!H27=0,"",linkedPage!H27)</f>
        <v>10</v>
      </c>
      <c r="I27" s="37" t="str">
        <f>IF(linkedPage!I27=0,"",linkedPage!I27)</f>
        <v/>
      </c>
      <c r="J27" s="199" t="str">
        <f>IF(linkedPage!J27=0,"",linkedPage!J27)</f>
        <v>A fatality</v>
      </c>
      <c r="K27" s="200" t="str">
        <f>IF(linkedPage!K27=0,"",linkedPage!K27)</f>
        <v/>
      </c>
      <c r="L27" s="193" t="str">
        <f>IF(linkedPage!L27=0,"",linkedPage!L27)</f>
        <v/>
      </c>
      <c r="M27" s="194" t="str">
        <f>IF(linkedPage!M27=0,"",linkedPage!M27)</f>
        <v/>
      </c>
      <c r="N27" s="187" t="str">
        <f>IF(linkedPage!N27=0,"",linkedPage!N27)</f>
        <v/>
      </c>
      <c r="O27" s="188" t="str">
        <f>IF(linkedPage!O27=0,"",linkedPage!O27)</f>
        <v/>
      </c>
      <c r="P27" s="193" t="str">
        <f>IF(linkedPage!P27=0,"",linkedPage!P27)</f>
        <v/>
      </c>
      <c r="Q27" s="194" t="str">
        <f>IF(linkedPage!Q27=0,"",linkedPage!Q27)</f>
        <v/>
      </c>
      <c r="R27" s="28"/>
      <c r="S27" s="28"/>
    </row>
    <row r="28" spans="1:23" x14ac:dyDescent="0.25">
      <c r="R28" s="25"/>
      <c r="S28" s="25"/>
      <c r="T28" s="7"/>
      <c r="U28" s="7"/>
      <c r="V28" s="7"/>
      <c r="W28" s="7"/>
    </row>
    <row r="29" spans="1:23" ht="15" customHeight="1" x14ac:dyDescent="0.25">
      <c r="S29" s="7"/>
      <c r="T29" s="7"/>
      <c r="U29" s="7"/>
      <c r="V29" s="7"/>
      <c r="W29" s="7"/>
    </row>
    <row r="43" spans="2:26" x14ac:dyDescent="0.25">
      <c r="O43"/>
      <c r="X43" s="7"/>
      <c r="Z43" s="7"/>
    </row>
    <row r="44" spans="2:26" ht="15" customHeight="1" x14ac:dyDescent="0.25"/>
    <row r="45" spans="2:26" ht="15.75" x14ac:dyDescent="0.25">
      <c r="C45" s="21"/>
      <c r="D45" s="21"/>
      <c r="E45" s="21"/>
      <c r="F45" s="21"/>
      <c r="G45" s="21"/>
      <c r="H45" s="21"/>
      <c r="I45" s="21"/>
      <c r="J45" s="21"/>
      <c r="K45" s="21"/>
      <c r="L45" s="21"/>
    </row>
    <row r="46" spans="2:26" ht="16.5" x14ac:dyDescent="0.35">
      <c r="C46" s="20"/>
      <c r="D46" s="20"/>
      <c r="E46" s="20"/>
      <c r="F46" s="20"/>
      <c r="G46" s="20"/>
      <c r="H46" s="20"/>
      <c r="I46" s="20"/>
      <c r="J46" s="20"/>
      <c r="K46" s="20"/>
      <c r="L46" s="20"/>
      <c r="M46" s="8"/>
      <c r="N46" s="8"/>
    </row>
    <row r="47" spans="2:26" ht="16.5" x14ac:dyDescent="0.35">
      <c r="B47" s="14"/>
      <c r="C47" s="14"/>
      <c r="D47" s="14"/>
      <c r="E47" s="14"/>
      <c r="F47" s="14"/>
      <c r="G47" s="14"/>
      <c r="H47" s="14"/>
      <c r="I47" s="14"/>
      <c r="J47" s="14"/>
      <c r="K47" s="14"/>
      <c r="L47" s="14"/>
      <c r="M47" s="8"/>
      <c r="N47" s="8"/>
    </row>
    <row r="48" spans="2:26" ht="16.5" x14ac:dyDescent="0.35">
      <c r="B48" s="14"/>
      <c r="E48" s="7"/>
      <c r="F48" s="7"/>
      <c r="G48" s="7"/>
      <c r="H48" s="7"/>
      <c r="I48" s="7"/>
      <c r="J48" s="7"/>
      <c r="L48" s="7"/>
      <c r="M48" s="8"/>
      <c r="N48" s="8"/>
    </row>
    <row r="49" spans="2:14" ht="16.5" x14ac:dyDescent="0.35">
      <c r="B49" s="14"/>
      <c r="C49" s="7"/>
      <c r="E49" s="7"/>
      <c r="F49" s="7"/>
      <c r="G49" s="7"/>
      <c r="H49" s="7"/>
      <c r="I49" s="7"/>
      <c r="J49" s="7"/>
      <c r="L49" s="7"/>
      <c r="M49" s="18"/>
      <c r="N49" s="19"/>
    </row>
    <row r="50" spans="2:14" ht="16.5" x14ac:dyDescent="0.35">
      <c r="B50" s="14"/>
      <c r="C50" s="7"/>
      <c r="E50" s="7"/>
      <c r="F50" s="7"/>
      <c r="G50" s="7"/>
      <c r="H50" s="7"/>
      <c r="I50" s="7"/>
      <c r="J50" s="7"/>
      <c r="L50" s="7"/>
      <c r="M50" s="18"/>
      <c r="N50" s="19"/>
    </row>
    <row r="51" spans="2:14" x14ac:dyDescent="0.25">
      <c r="B51" s="14"/>
      <c r="C51" s="7"/>
      <c r="E51" s="7"/>
      <c r="F51" s="7"/>
      <c r="G51" s="7"/>
      <c r="H51" s="7"/>
      <c r="I51" s="7"/>
      <c r="J51" s="7"/>
      <c r="L51" s="7"/>
    </row>
    <row r="52" spans="2:14" x14ac:dyDescent="0.25">
      <c r="B52" s="14"/>
      <c r="C52" s="7"/>
      <c r="E52" s="7"/>
      <c r="F52" s="7"/>
      <c r="G52" s="7"/>
      <c r="H52" s="7"/>
      <c r="I52" s="7"/>
      <c r="J52" s="7"/>
      <c r="L52" s="7"/>
    </row>
    <row r="53" spans="2:14" x14ac:dyDescent="0.25">
      <c r="B53" s="14"/>
      <c r="C53" s="7"/>
      <c r="E53" s="7"/>
      <c r="F53" s="7"/>
      <c r="G53" s="7"/>
      <c r="H53" s="7"/>
      <c r="I53" s="7"/>
      <c r="J53" s="7"/>
      <c r="L53" s="7"/>
    </row>
    <row r="54" spans="2:14" x14ac:dyDescent="0.25">
      <c r="B54" s="14"/>
      <c r="C54" s="7"/>
      <c r="E54" s="7"/>
      <c r="F54" s="7"/>
      <c r="G54" s="7"/>
      <c r="H54" s="7"/>
      <c r="I54" s="7"/>
      <c r="J54" s="7"/>
      <c r="L54" s="7"/>
    </row>
    <row r="55" spans="2:14" x14ac:dyDescent="0.25">
      <c r="B55" s="14"/>
      <c r="C55" s="7"/>
      <c r="E55" s="7"/>
      <c r="F55" s="7"/>
      <c r="G55" s="7"/>
      <c r="H55" s="7"/>
      <c r="I55" s="7"/>
      <c r="J55" s="7"/>
      <c r="L55" s="7"/>
    </row>
    <row r="56" spans="2:14" x14ac:dyDescent="0.25">
      <c r="B56" s="14"/>
      <c r="C56" s="7"/>
      <c r="E56" s="7"/>
      <c r="F56" s="7"/>
      <c r="G56" s="7"/>
      <c r="H56" s="7"/>
      <c r="I56" s="7"/>
      <c r="J56" s="7"/>
      <c r="L56" s="7"/>
    </row>
    <row r="57" spans="2:14" x14ac:dyDescent="0.25">
      <c r="B57" s="14"/>
      <c r="C57" s="7"/>
      <c r="E57" s="7"/>
      <c r="F57" s="7"/>
      <c r="G57" s="7"/>
      <c r="H57" s="7"/>
      <c r="I57" s="7"/>
      <c r="J57" s="7"/>
      <c r="L57" s="7"/>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7" t="s">
        <v>41</v>
      </c>
    </row>
    <row r="3" spans="1:20" x14ac:dyDescent="0.25">
      <c r="A3">
        <v>0</v>
      </c>
      <c r="B3">
        <v>0</v>
      </c>
      <c r="C3" t="str">
        <v>Severity</v>
      </c>
      <c r="D3">
        <v>0</v>
      </c>
      <c r="E3">
        <v>0</v>
      </c>
      <c r="F3">
        <v>0</v>
      </c>
      <c r="G3">
        <v>0</v>
      </c>
      <c r="H3">
        <v>0</v>
      </c>
      <c r="I3">
        <v>0</v>
      </c>
      <c r="J3">
        <v>0</v>
      </c>
      <c r="K3">
        <v>0</v>
      </c>
      <c r="L3">
        <v>0</v>
      </c>
      <c r="M3">
        <v>0</v>
      </c>
      <c r="N3">
        <v>0</v>
      </c>
      <c r="O3">
        <v>0</v>
      </c>
      <c r="P3">
        <v>0</v>
      </c>
      <c r="Q3">
        <v>0</v>
      </c>
      <c r="T3" s="49" t="s">
        <v>126</v>
      </c>
    </row>
    <row r="4" spans="1:20" x14ac:dyDescent="0.25">
      <c r="A4">
        <v>0</v>
      </c>
      <c r="B4" t="str">
        <v>Occ</v>
      </c>
      <c r="C4">
        <v>1</v>
      </c>
      <c r="D4">
        <v>2</v>
      </c>
      <c r="E4">
        <v>3</v>
      </c>
      <c r="F4">
        <v>4</v>
      </c>
      <c r="G4">
        <v>5</v>
      </c>
      <c r="H4">
        <v>6</v>
      </c>
      <c r="I4">
        <v>7</v>
      </c>
      <c r="J4">
        <v>8</v>
      </c>
      <c r="K4">
        <v>9</v>
      </c>
      <c r="L4">
        <v>10</v>
      </c>
      <c r="M4">
        <v>0</v>
      </c>
      <c r="N4">
        <v>0</v>
      </c>
      <c r="O4">
        <v>0</v>
      </c>
      <c r="P4">
        <v>0</v>
      </c>
      <c r="Q4">
        <v>0</v>
      </c>
      <c r="T4" s="49" t="s">
        <v>127</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41">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41">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41">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 t="str">
        <v>Repairable in-situ, at next maintenance interval 
[5k USD]</v>
      </c>
      <c r="Q20">
        <v>0</v>
      </c>
    </row>
    <row r="21" spans="1:17" ht="150" x14ac:dyDescent="0.25">
      <c r="A21">
        <v>0</v>
      </c>
      <c r="B21">
        <v>4</v>
      </c>
      <c r="C21">
        <v>0</v>
      </c>
      <c r="D21">
        <v>0</v>
      </c>
      <c r="E21">
        <v>3.1622776601683789E-4</v>
      </c>
      <c r="F21" s="41">
        <v>3160</v>
      </c>
      <c r="G21">
        <v>0</v>
      </c>
      <c r="H21">
        <v>4</v>
      </c>
      <c r="I21">
        <v>0</v>
      </c>
      <c r="J21" t="str">
        <v>Moderate injuries and/or health effects (e.g. broken bone)</v>
      </c>
      <c r="K21">
        <v>0</v>
      </c>
      <c r="L21">
        <v>0</v>
      </c>
      <c r="M21">
        <v>0</v>
      </c>
      <c r="N21" t="str">
        <v>Moderate system degradation (e.g. loss of MoMo)</v>
      </c>
      <c r="O21">
        <v>0</v>
      </c>
      <c r="P21" s="1" t="str">
        <v>Repairable in-situ, outside maintenance interval 
(1 day) [15k USD]</v>
      </c>
      <c r="Q21">
        <v>0</v>
      </c>
    </row>
    <row r="22" spans="1:17" ht="150" x14ac:dyDescent="0.25">
      <c r="A22">
        <v>0</v>
      </c>
      <c r="B22">
        <v>5</v>
      </c>
      <c r="C22" t="str">
        <v>Very unlikely to occur</v>
      </c>
      <c r="D22">
        <v>0</v>
      </c>
      <c r="E22">
        <v>1E-3</v>
      </c>
      <c r="F22" s="41">
        <v>1000</v>
      </c>
      <c r="G22">
        <v>0</v>
      </c>
      <c r="H22">
        <v>5</v>
      </c>
      <c r="I22" t="str">
        <v>Major</v>
      </c>
      <c r="J22">
        <v>0</v>
      </c>
      <c r="K22">
        <v>0</v>
      </c>
      <c r="L22" t="str">
        <v>Limited levels of pollution, manageable / moderate effect on environment</v>
      </c>
      <c r="M22">
        <v>0</v>
      </c>
      <c r="N22">
        <v>0</v>
      </c>
      <c r="O22">
        <v>0</v>
      </c>
      <c r="P22" s="1"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0570 Bilge Pumping System</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2017-03-03T17:47:21Z</dcterms:modified>
</cp:coreProperties>
</file>