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4000" windowHeight="10095"/>
  </bookViews>
  <sheets>
    <sheet name="Data Rights Notice" sheetId="9" r:id="rId1"/>
    <sheet name="0100 Hull System" sheetId="2" r:id="rId2"/>
    <sheet name="version history" sheetId="3" r:id="rId3"/>
    <sheet name="set up" sheetId="6" r:id="rId4"/>
    <sheet name="linkedPage" sheetId="8" r:id="rId5"/>
  </sheets>
  <externalReferences>
    <externalReference r:id="rId6"/>
  </externalReferences>
  <definedNames>
    <definedName name="_xlnm._FilterDatabase" localSheetId="1" hidden="1">'0100 Hull System'!$B$5:$AX$47</definedName>
    <definedName name="_xlnm.Print_Area" localSheetId="1">'0100 Hull System'!$B$2:$AX$38</definedName>
    <definedName name="_xlnm.Print_Area" localSheetId="3">'set up'!$B$16:$S$43</definedName>
    <definedName name="RiskMatrixRef">'set up'!$C$14</definedName>
    <definedName name="Z_B34B7122_C738_4555_8537_3B6E30D60D80_.wvu.FilterData" localSheetId="1" hidden="1">'0100 Hull System'!$B$5:$W$47</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O4" i="6" l="1"/>
  <c r="O3" i="6"/>
  <c r="O2" i="6"/>
  <c r="A1" i="8" a="1"/>
  <c r="D6" i="8" s="1"/>
  <c r="H1" i="8"/>
  <c r="G2" i="8"/>
  <c r="F3" i="8"/>
  <c r="E4" i="8"/>
  <c r="C5" i="8"/>
  <c r="Q5" i="8"/>
  <c r="N6" i="8"/>
  <c r="P7" i="8"/>
  <c r="Q8" i="8"/>
  <c r="O9" i="8"/>
  <c r="Q10" i="8"/>
  <c r="N11" i="8"/>
  <c r="P12" i="8"/>
  <c r="A14" i="8"/>
  <c r="O14" i="8"/>
  <c r="Q15" i="8"/>
  <c r="O16" i="8"/>
  <c r="P17" i="8"/>
  <c r="A19" i="8"/>
  <c r="P19" i="8"/>
  <c r="Q20" i="8"/>
  <c r="O21" i="8"/>
  <c r="Q22" i="8"/>
  <c r="A24" i="8"/>
  <c r="P24" i="8"/>
  <c r="A26" i="8"/>
  <c r="L26" i="8"/>
  <c r="H27" i="8"/>
  <c r="I27" i="8"/>
  <c r="P25" i="8" l="1"/>
  <c r="M23" i="8"/>
  <c r="N21" i="8"/>
  <c r="N19" i="8"/>
  <c r="M18" i="8"/>
  <c r="O17" i="8"/>
  <c r="P15" i="8"/>
  <c r="L13" i="8"/>
  <c r="M11" i="8"/>
  <c r="N9" i="8"/>
  <c r="N7" i="8"/>
  <c r="P5" i="8"/>
  <c r="D4" i="8"/>
  <c r="F2" i="8"/>
  <c r="G27" i="8"/>
  <c r="K25" i="8"/>
  <c r="L23" i="8"/>
  <c r="L21" i="8"/>
  <c r="M19" i="8"/>
  <c r="N17" i="8"/>
  <c r="J15" i="8"/>
  <c r="K13" i="8"/>
  <c r="L11" i="8"/>
  <c r="L9" i="8"/>
  <c r="M7" i="8"/>
  <c r="L5" i="8"/>
  <c r="C4" i="8"/>
  <c r="E2" i="8"/>
  <c r="Q27" i="8"/>
  <c r="I26" i="8"/>
  <c r="L24" i="8"/>
  <c r="I22" i="8"/>
  <c r="I20" i="8"/>
  <c r="J18" i="8"/>
  <c r="K16" i="8"/>
  <c r="K14" i="8"/>
  <c r="H12" i="8"/>
  <c r="I10" i="8"/>
  <c r="K9" i="8"/>
  <c r="H7" i="8"/>
  <c r="K5" i="8"/>
  <c r="B4" i="8"/>
  <c r="D2" i="8"/>
  <c r="P27" i="8"/>
  <c r="H26" i="8"/>
  <c r="G24" i="8"/>
  <c r="G22" i="8"/>
  <c r="H20" i="8"/>
  <c r="I18" i="8"/>
  <c r="I16" i="8"/>
  <c r="F14" i="8"/>
  <c r="G12" i="8"/>
  <c r="G10" i="8"/>
  <c r="H8" i="8"/>
  <c r="I6" i="8"/>
  <c r="M4" i="8"/>
  <c r="P1" i="8"/>
  <c r="O27" i="8"/>
  <c r="A27" i="8"/>
  <c r="D26" i="8"/>
  <c r="G25" i="8"/>
  <c r="E24" i="8"/>
  <c r="H23" i="8"/>
  <c r="F22" i="8"/>
  <c r="D21" i="8"/>
  <c r="G20" i="8"/>
  <c r="E19" i="8"/>
  <c r="G18" i="8"/>
  <c r="F17" i="8"/>
  <c r="D16" i="8"/>
  <c r="F15" i="8"/>
  <c r="E14" i="8"/>
  <c r="G13" i="8"/>
  <c r="E12" i="8"/>
  <c r="D11" i="8"/>
  <c r="F10" i="8"/>
  <c r="D9" i="8"/>
  <c r="G8" i="8"/>
  <c r="E7" i="8"/>
  <c r="C6" i="8"/>
  <c r="I5" i="8"/>
  <c r="L4" i="8"/>
  <c r="M3" i="8"/>
  <c r="N2" i="8"/>
  <c r="O1" i="8"/>
  <c r="K27" i="8"/>
  <c r="Q26" i="8"/>
  <c r="C26" i="8"/>
  <c r="F25" i="8"/>
  <c r="D24" i="8"/>
  <c r="B23" i="8"/>
  <c r="E22" i="8"/>
  <c r="C21" i="8"/>
  <c r="E20" i="8"/>
  <c r="D19" i="8"/>
  <c r="B18" i="8"/>
  <c r="D17" i="8"/>
  <c r="C16" i="8"/>
  <c r="E15" i="8"/>
  <c r="C14" i="8"/>
  <c r="B13" i="8"/>
  <c r="D12" i="8"/>
  <c r="B11" i="8"/>
  <c r="E10" i="8"/>
  <c r="C9" i="8"/>
  <c r="A8" i="8"/>
  <c r="D7" i="8"/>
  <c r="B6" i="8"/>
  <c r="H5" i="8"/>
  <c r="K4" i="8"/>
  <c r="L3" i="8"/>
  <c r="M2" i="8"/>
  <c r="N1" i="8"/>
  <c r="K26" i="8"/>
  <c r="O24" i="8"/>
  <c r="O22" i="8"/>
  <c r="P20" i="8"/>
  <c r="M16" i="8"/>
  <c r="N14" i="8"/>
  <c r="O12" i="8"/>
  <c r="O10" i="8"/>
  <c r="L8" i="8"/>
  <c r="M6" i="8"/>
  <c r="B5" i="8"/>
  <c r="E3" i="8"/>
  <c r="G1" i="8"/>
  <c r="J26" i="8"/>
  <c r="M24" i="8"/>
  <c r="N22" i="8"/>
  <c r="K20" i="8"/>
  <c r="K18" i="8"/>
  <c r="L16" i="8"/>
  <c r="M14" i="8"/>
  <c r="M12" i="8"/>
  <c r="J10" i="8"/>
  <c r="K8" i="8"/>
  <c r="K6" i="8"/>
  <c r="A5" i="8"/>
  <c r="D3" i="8"/>
  <c r="F1" i="8"/>
  <c r="C27" i="8"/>
  <c r="J25" i="8"/>
  <c r="J23" i="8"/>
  <c r="K21" i="8"/>
  <c r="L19" i="8"/>
  <c r="H17" i="8"/>
  <c r="I15" i="8"/>
  <c r="J13" i="8"/>
  <c r="J11" i="8"/>
  <c r="I8" i="8"/>
  <c r="J6" i="8"/>
  <c r="Q4" i="8"/>
  <c r="C3" i="8"/>
  <c r="E1" i="8"/>
  <c r="B27" i="8"/>
  <c r="H25" i="8"/>
  <c r="I23" i="8"/>
  <c r="J21" i="8"/>
  <c r="F19" i="8"/>
  <c r="G17" i="8"/>
  <c r="H15" i="8"/>
  <c r="H13" i="8"/>
  <c r="I11" i="8"/>
  <c r="F9" i="8"/>
  <c r="F7" i="8"/>
  <c r="J5" i="8"/>
  <c r="N3" i="8"/>
  <c r="O2" i="8"/>
  <c r="J27" i="8"/>
  <c r="P26" i="8"/>
  <c r="B26" i="8"/>
  <c r="Q24" i="8"/>
  <c r="C24" i="8"/>
  <c r="A23" i="8"/>
  <c r="C22" i="8"/>
  <c r="B21" i="8"/>
  <c r="Q19" i="8"/>
  <c r="B19" i="8"/>
  <c r="A18" i="8"/>
  <c r="C17" i="8"/>
  <c r="A16" i="8"/>
  <c r="Q14" i="8"/>
  <c r="B14" i="8"/>
  <c r="Q12" i="8"/>
  <c r="C12" i="8"/>
  <c r="A11" i="8"/>
  <c r="P9" i="8"/>
  <c r="B9" i="8"/>
  <c r="Q7" i="8"/>
  <c r="B7" i="8"/>
  <c r="A6" i="8"/>
  <c r="D5" i="8"/>
  <c r="J4" i="8"/>
  <c r="K3" i="8"/>
  <c r="L2" i="8"/>
  <c r="M1" i="8"/>
  <c r="F18" i="8"/>
  <c r="I4" i="8"/>
  <c r="A4" i="8"/>
  <c r="J3" i="8"/>
  <c r="B3" i="8"/>
  <c r="K2" i="8"/>
  <c r="C2" i="8"/>
  <c r="D1" i="8"/>
  <c r="N27" i="8"/>
  <c r="O26" i="8"/>
  <c r="G26" i="8"/>
  <c r="D25" i="8"/>
  <c r="K24" i="8"/>
  <c r="F23" i="8"/>
  <c r="B22" i="8"/>
  <c r="O20" i="8"/>
  <c r="J19" i="8"/>
  <c r="L17" i="8"/>
  <c r="H16" i="8"/>
  <c r="N15" i="8"/>
  <c r="J14" i="8"/>
  <c r="P13" i="8"/>
  <c r="L12" i="8"/>
  <c r="A12" i="8"/>
  <c r="N10" i="8"/>
  <c r="C10" i="8"/>
  <c r="P8" i="8"/>
  <c r="E8" i="8"/>
  <c r="L7" i="8"/>
  <c r="G6" i="8"/>
  <c r="O5" i="8"/>
  <c r="G5" i="8"/>
  <c r="H4" i="8"/>
  <c r="Q3" i="8"/>
  <c r="I3" i="8"/>
  <c r="A3" i="8"/>
  <c r="J2" i="8"/>
  <c r="B2" i="8"/>
  <c r="C1" i="8"/>
  <c r="M27" i="8"/>
  <c r="E27" i="8"/>
  <c r="N26" i="8"/>
  <c r="F26" i="8"/>
  <c r="N25" i="8"/>
  <c r="C25" i="8"/>
  <c r="I24" i="8"/>
  <c r="P23" i="8"/>
  <c r="E23" i="8"/>
  <c r="K22" i="8"/>
  <c r="A22" i="8"/>
  <c r="G21" i="8"/>
  <c r="M20" i="8"/>
  <c r="C20" i="8"/>
  <c r="I19" i="8"/>
  <c r="O18" i="8"/>
  <c r="E18" i="8"/>
  <c r="K17" i="8"/>
  <c r="Q16" i="8"/>
  <c r="G16" i="8"/>
  <c r="M15" i="8"/>
  <c r="B15" i="8"/>
  <c r="I14" i="8"/>
  <c r="O13" i="8"/>
  <c r="D13" i="8"/>
  <c r="K12" i="8"/>
  <c r="Q11" i="8"/>
  <c r="F11" i="8"/>
  <c r="M10" i="8"/>
  <c r="B10" i="8"/>
  <c r="H9" i="8"/>
  <c r="O8" i="8"/>
  <c r="D8" i="8"/>
  <c r="J7" i="8"/>
  <c r="Q6" i="8"/>
  <c r="F6" i="8"/>
  <c r="N5" i="8"/>
  <c r="F5" i="8"/>
  <c r="O4" i="8"/>
  <c r="G4" i="8"/>
  <c r="P3" i="8"/>
  <c r="H3" i="8"/>
  <c r="Q2" i="8"/>
  <c r="I2" i="8"/>
  <c r="A2" i="8"/>
  <c r="J1" i="8"/>
  <c r="B1" i="8"/>
  <c r="L1" i="8"/>
  <c r="F27" i="8"/>
  <c r="O25" i="8"/>
  <c r="Q23" i="8"/>
  <c r="M22" i="8"/>
  <c r="H21" i="8"/>
  <c r="D20" i="8"/>
  <c r="Q18" i="8"/>
  <c r="B17" i="8"/>
  <c r="D15" i="8"/>
  <c r="F13" i="8"/>
  <c r="H11" i="8"/>
  <c r="J9" i="8"/>
  <c r="A7" i="8"/>
  <c r="P4" i="8"/>
  <c r="K1" i="8"/>
  <c r="L27" i="8"/>
  <c r="D27" i="8"/>
  <c r="M26" i="8"/>
  <c r="E26" i="8"/>
  <c r="L25" i="8"/>
  <c r="B25" i="8"/>
  <c r="H24" i="8"/>
  <c r="N23" i="8"/>
  <c r="D23" i="8"/>
  <c r="J22" i="8"/>
  <c r="P21" i="8"/>
  <c r="F21" i="8"/>
  <c r="L20" i="8"/>
  <c r="A20" i="8"/>
  <c r="H19" i="8"/>
  <c r="N18" i="8"/>
  <c r="C18" i="8"/>
  <c r="J17" i="8"/>
  <c r="P16" i="8"/>
  <c r="E16" i="8"/>
  <c r="L15" i="8"/>
  <c r="A15" i="8"/>
  <c r="G14" i="8"/>
  <c r="N13" i="8"/>
  <c r="C13" i="8"/>
  <c r="I12" i="8"/>
  <c r="P11" i="8"/>
  <c r="E11" i="8"/>
  <c r="K10" i="8"/>
  <c r="A10" i="8"/>
  <c r="G9" i="8"/>
  <c r="M8" i="8"/>
  <c r="C8" i="8"/>
  <c r="I7" i="8"/>
  <c r="O6" i="8"/>
  <c r="E6" i="8"/>
  <c r="M5" i="8"/>
  <c r="E5" i="8"/>
  <c r="N4" i="8"/>
  <c r="F4" i="8"/>
  <c r="O3" i="8"/>
  <c r="G3" i="8"/>
  <c r="P2" i="8"/>
  <c r="H2" i="8"/>
  <c r="Q1" i="8"/>
  <c r="I1" i="8"/>
  <c r="A1" i="8"/>
  <c r="Q25" i="8"/>
  <c r="M25" i="8"/>
  <c r="I25" i="8"/>
  <c r="E25" i="8"/>
  <c r="A25" i="8"/>
  <c r="N24" i="8"/>
  <c r="J24" i="8"/>
  <c r="F24" i="8"/>
  <c r="B24" i="8"/>
  <c r="O23" i="8"/>
  <c r="K23" i="8"/>
  <c r="G23" i="8"/>
  <c r="C23" i="8"/>
  <c r="P22" i="8"/>
  <c r="L22" i="8"/>
  <c r="H22" i="8"/>
  <c r="D22" i="8"/>
  <c r="Q21" i="8"/>
  <c r="M21" i="8"/>
  <c r="I21" i="8"/>
  <c r="E21" i="8"/>
  <c r="A21" i="8"/>
  <c r="N20" i="8"/>
  <c r="J20" i="8"/>
  <c r="F20" i="8"/>
  <c r="B20" i="8"/>
  <c r="O19" i="8"/>
  <c r="K19" i="8"/>
  <c r="G19" i="8"/>
  <c r="C19" i="8"/>
  <c r="P18" i="8"/>
  <c r="L18" i="8"/>
  <c r="H18" i="8"/>
  <c r="D18" i="8"/>
  <c r="Q17" i="8"/>
  <c r="M17" i="8"/>
  <c r="I17" i="8"/>
  <c r="E17" i="8"/>
  <c r="A17" i="8"/>
  <c r="N16" i="8"/>
  <c r="J16" i="8"/>
  <c r="F16" i="8"/>
  <c r="B16" i="8"/>
  <c r="O15" i="8"/>
  <c r="K15" i="8"/>
  <c r="G15" i="8"/>
  <c r="C15" i="8"/>
  <c r="P14" i="8"/>
  <c r="L14" i="8"/>
  <c r="H14" i="8"/>
  <c r="D14" i="8"/>
  <c r="Q13" i="8"/>
  <c r="M13" i="8"/>
  <c r="I13" i="8"/>
  <c r="E13" i="8"/>
  <c r="A13" i="8"/>
  <c r="N12" i="8"/>
  <c r="J12" i="8"/>
  <c r="F12" i="8"/>
  <c r="B12" i="8"/>
  <c r="O11" i="8"/>
  <c r="K11" i="8"/>
  <c r="G11" i="8"/>
  <c r="C11" i="8"/>
  <c r="P10" i="8"/>
  <c r="L10" i="8"/>
  <c r="H10" i="8"/>
  <c r="D10" i="8"/>
  <c r="Q9" i="8"/>
  <c r="M9" i="8"/>
  <c r="I9" i="8"/>
  <c r="E9" i="8"/>
  <c r="A9" i="8"/>
  <c r="N8" i="8"/>
  <c r="J8" i="8"/>
  <c r="F8" i="8"/>
  <c r="B8" i="8"/>
  <c r="O7" i="8"/>
  <c r="K7" i="8"/>
  <c r="G7" i="8"/>
  <c r="C7" i="8"/>
  <c r="P6" i="8"/>
  <c r="L6" i="8"/>
  <c r="H6" i="8"/>
  <c r="AV7" i="2" l="1"/>
  <c r="AU7" i="2"/>
  <c r="AT7" i="2"/>
  <c r="AS7" i="2"/>
  <c r="AJ7" i="2"/>
  <c r="AI7" i="2"/>
  <c r="AH7" i="2"/>
  <c r="AG7" i="2"/>
  <c r="AV6" i="2" l="1"/>
  <c r="AU6" i="2"/>
  <c r="AT6" i="2"/>
  <c r="AS6" i="2"/>
  <c r="AJ6" i="2"/>
  <c r="AI6" i="2"/>
  <c r="AH6" i="2"/>
  <c r="AG6" i="2"/>
  <c r="AV35" i="2"/>
  <c r="AU35" i="2"/>
  <c r="AT35" i="2"/>
  <c r="AS35" i="2"/>
  <c r="AJ35" i="2"/>
  <c r="AI35" i="2"/>
  <c r="AH35" i="2"/>
  <c r="AG35" i="2"/>
  <c r="AV32" i="2"/>
  <c r="AU32" i="2"/>
  <c r="AT32" i="2"/>
  <c r="AS32" i="2"/>
  <c r="AJ32" i="2"/>
  <c r="AI32" i="2"/>
  <c r="AH32" i="2"/>
  <c r="AG32" i="2"/>
  <c r="AV34" i="2"/>
  <c r="AU34" i="2"/>
  <c r="AT34" i="2"/>
  <c r="AS34" i="2"/>
  <c r="AJ34" i="2"/>
  <c r="AI34" i="2"/>
  <c r="AH34" i="2"/>
  <c r="AG34" i="2"/>
  <c r="AV31" i="2"/>
  <c r="AU31" i="2"/>
  <c r="AT31" i="2"/>
  <c r="AS31" i="2"/>
  <c r="AJ31" i="2"/>
  <c r="AI31" i="2"/>
  <c r="AH31" i="2"/>
  <c r="AG31" i="2"/>
  <c r="AV33" i="2"/>
  <c r="AU33" i="2"/>
  <c r="AT33" i="2"/>
  <c r="AS33" i="2"/>
  <c r="AJ33" i="2"/>
  <c r="AI33" i="2"/>
  <c r="AH33" i="2"/>
  <c r="AG33" i="2"/>
  <c r="AV30" i="2"/>
  <c r="AU30" i="2"/>
  <c r="AT30" i="2"/>
  <c r="AS30" i="2"/>
  <c r="AJ30" i="2"/>
  <c r="AI30" i="2"/>
  <c r="AH30" i="2"/>
  <c r="AG30" i="2"/>
  <c r="AV28" i="2"/>
  <c r="AU28" i="2"/>
  <c r="AT28" i="2"/>
  <c r="AS28" i="2"/>
  <c r="AJ28" i="2"/>
  <c r="AI28" i="2"/>
  <c r="AH28" i="2"/>
  <c r="AG28" i="2"/>
  <c r="AV29" i="2" l="1"/>
  <c r="AU29" i="2"/>
  <c r="AT29" i="2"/>
  <c r="AS29" i="2"/>
  <c r="AJ29" i="2"/>
  <c r="AI29" i="2"/>
  <c r="AH29" i="2"/>
  <c r="AG29" i="2"/>
  <c r="AV27" i="2"/>
  <c r="AU27" i="2"/>
  <c r="AT27" i="2"/>
  <c r="AS27" i="2"/>
  <c r="AJ27" i="2"/>
  <c r="AI27" i="2"/>
  <c r="AH27" i="2"/>
  <c r="AG27" i="2"/>
  <c r="AV42" i="2"/>
  <c r="AU42" i="2"/>
  <c r="AT42" i="2"/>
  <c r="AS42" i="2"/>
  <c r="AJ42" i="2"/>
  <c r="AI42" i="2"/>
  <c r="AH42" i="2"/>
  <c r="AG42" i="2"/>
  <c r="AV25" i="2"/>
  <c r="AU25" i="2"/>
  <c r="AT25" i="2"/>
  <c r="AS25" i="2"/>
  <c r="AJ25" i="2"/>
  <c r="AI25" i="2"/>
  <c r="AH25" i="2"/>
  <c r="AG25" i="2"/>
  <c r="AV14" i="2" l="1"/>
  <c r="AU14" i="2"/>
  <c r="AT14" i="2"/>
  <c r="AS14" i="2"/>
  <c r="AJ14" i="2"/>
  <c r="AI14" i="2"/>
  <c r="AH14" i="2"/>
  <c r="AG14" i="2"/>
  <c r="AV13" i="2"/>
  <c r="AU13" i="2"/>
  <c r="AT13" i="2"/>
  <c r="AS13" i="2"/>
  <c r="AJ13" i="2"/>
  <c r="AI13" i="2"/>
  <c r="AH13" i="2"/>
  <c r="AG13" i="2"/>
  <c r="AV12" i="2"/>
  <c r="AU12" i="2"/>
  <c r="AT12" i="2"/>
  <c r="AS12" i="2"/>
  <c r="AJ12" i="2"/>
  <c r="AI12" i="2"/>
  <c r="AH12" i="2"/>
  <c r="AG12" i="2"/>
  <c r="AV9" i="2" l="1"/>
  <c r="AU9" i="2"/>
  <c r="AT9" i="2"/>
  <c r="AS9" i="2"/>
  <c r="AJ9" i="2"/>
  <c r="AI9" i="2"/>
  <c r="AH9" i="2"/>
  <c r="AG9" i="2"/>
  <c r="AV43" i="2" l="1"/>
  <c r="AU43" i="2"/>
  <c r="AT43" i="2"/>
  <c r="AS43" i="2"/>
  <c r="AJ43" i="2"/>
  <c r="AI43" i="2"/>
  <c r="AH43" i="2"/>
  <c r="AG43" i="2"/>
  <c r="AV47" i="2" l="1"/>
  <c r="AU47" i="2"/>
  <c r="AT47" i="2"/>
  <c r="AS47" i="2"/>
  <c r="AV46" i="2"/>
  <c r="AU46" i="2"/>
  <c r="AT46" i="2"/>
  <c r="AS46" i="2"/>
  <c r="AV45" i="2"/>
  <c r="AU45" i="2"/>
  <c r="AT45" i="2"/>
  <c r="AS45" i="2"/>
  <c r="AV36" i="2"/>
  <c r="AU36" i="2"/>
  <c r="AT36" i="2"/>
  <c r="AS36" i="2"/>
  <c r="AV18" i="2"/>
  <c r="AU18" i="2"/>
  <c r="AT18" i="2"/>
  <c r="AS18" i="2"/>
  <c r="AV26" i="2"/>
  <c r="AU26" i="2"/>
  <c r="AT26" i="2"/>
  <c r="AS26" i="2"/>
  <c r="AV38" i="2"/>
  <c r="AU38" i="2"/>
  <c r="AT38" i="2"/>
  <c r="AS38" i="2"/>
  <c r="AV37" i="2"/>
  <c r="AU37" i="2"/>
  <c r="AT37" i="2"/>
  <c r="AS37" i="2"/>
  <c r="AV17" i="2"/>
  <c r="AU17" i="2"/>
  <c r="AT17" i="2"/>
  <c r="AS17" i="2"/>
  <c r="AV8" i="2"/>
  <c r="AU8" i="2"/>
  <c r="AT8" i="2"/>
  <c r="AS8" i="2"/>
  <c r="AV16" i="2"/>
  <c r="AU16" i="2"/>
  <c r="AT16" i="2"/>
  <c r="AS16" i="2"/>
  <c r="AV15" i="2"/>
  <c r="AU15" i="2"/>
  <c r="AT15" i="2"/>
  <c r="AS15" i="2"/>
  <c r="AV11" i="2"/>
  <c r="AU11" i="2"/>
  <c r="AT11" i="2"/>
  <c r="AS11" i="2"/>
  <c r="AV10" i="2"/>
  <c r="AU10" i="2"/>
  <c r="AT10" i="2"/>
  <c r="AS10" i="2"/>
  <c r="AV24" i="2"/>
  <c r="AU24" i="2"/>
  <c r="AT24" i="2"/>
  <c r="AS24" i="2"/>
  <c r="AV23" i="2"/>
  <c r="AU23" i="2"/>
  <c r="AT23" i="2"/>
  <c r="AS23" i="2"/>
  <c r="AV22" i="2"/>
  <c r="AU22" i="2"/>
  <c r="AT22" i="2"/>
  <c r="AS22" i="2"/>
  <c r="AV21" i="2"/>
  <c r="AU21" i="2"/>
  <c r="AT21" i="2"/>
  <c r="AS21" i="2"/>
  <c r="AV20" i="2"/>
  <c r="AU20" i="2"/>
  <c r="AT20" i="2"/>
  <c r="AS20" i="2"/>
  <c r="AJ47" i="2"/>
  <c r="AI47" i="2"/>
  <c r="AH47" i="2"/>
  <c r="AG47" i="2"/>
  <c r="AJ46" i="2"/>
  <c r="AI46" i="2"/>
  <c r="AH46" i="2"/>
  <c r="AG46" i="2"/>
  <c r="AJ45" i="2"/>
  <c r="AI45" i="2"/>
  <c r="AH45" i="2"/>
  <c r="AG45" i="2"/>
  <c r="AJ36" i="2"/>
  <c r="AI36" i="2"/>
  <c r="AH36" i="2"/>
  <c r="AG36" i="2"/>
  <c r="AJ18" i="2"/>
  <c r="AI18" i="2"/>
  <c r="AH18" i="2"/>
  <c r="AG18" i="2"/>
  <c r="AJ26" i="2"/>
  <c r="AI26" i="2"/>
  <c r="AH26" i="2"/>
  <c r="AG26" i="2"/>
  <c r="AJ38" i="2"/>
  <c r="AI38" i="2"/>
  <c r="AH38" i="2"/>
  <c r="AG38" i="2"/>
  <c r="AJ37" i="2"/>
  <c r="AI37" i="2"/>
  <c r="AH37" i="2"/>
  <c r="AG37" i="2"/>
  <c r="AJ17" i="2"/>
  <c r="AI17" i="2"/>
  <c r="AH17" i="2"/>
  <c r="AG17" i="2"/>
  <c r="AJ8" i="2"/>
  <c r="AI8" i="2"/>
  <c r="AH8" i="2"/>
  <c r="AG8" i="2"/>
  <c r="AJ16" i="2"/>
  <c r="AI16" i="2"/>
  <c r="AH16" i="2"/>
  <c r="AG16" i="2"/>
  <c r="AJ15" i="2"/>
  <c r="AI15" i="2"/>
  <c r="AH15" i="2"/>
  <c r="AG15" i="2"/>
  <c r="AJ11" i="2"/>
  <c r="AI11" i="2"/>
  <c r="AH11" i="2"/>
  <c r="AG11" i="2"/>
  <c r="AJ10" i="2"/>
  <c r="AI10" i="2"/>
  <c r="AH10" i="2"/>
  <c r="AG10" i="2"/>
  <c r="AJ24" i="2"/>
  <c r="AI24" i="2"/>
  <c r="AH24" i="2"/>
  <c r="AG24" i="2"/>
  <c r="AJ23" i="2"/>
  <c r="AI23" i="2"/>
  <c r="AH23" i="2"/>
  <c r="AG23" i="2"/>
  <c r="AJ22" i="2"/>
  <c r="AI22" i="2"/>
  <c r="AH22" i="2"/>
  <c r="AG22" i="2"/>
  <c r="AJ21" i="2"/>
  <c r="AI21" i="2"/>
  <c r="AH21" i="2"/>
  <c r="AG21" i="2"/>
  <c r="AJ20" i="2"/>
  <c r="AI20" i="2"/>
  <c r="AH20" i="2"/>
  <c r="AG20" i="2"/>
  <c r="AV19" i="2"/>
  <c r="AU19" i="2"/>
  <c r="AT19" i="2"/>
  <c r="AS19" i="2"/>
  <c r="AH19" i="2"/>
  <c r="AJ19" i="2"/>
  <c r="AI19" i="2"/>
  <c r="AG19" i="2"/>
  <c r="F9" i="6" l="1"/>
  <c r="I8" i="6"/>
  <c r="G14" i="6"/>
  <c r="D10" i="6"/>
  <c r="O6" i="6"/>
  <c r="H5" i="6"/>
  <c r="F7" i="6"/>
  <c r="E8" i="6"/>
  <c r="J8" i="6"/>
  <c r="O8" i="6"/>
  <c r="D9" i="6"/>
  <c r="C10" i="6"/>
  <c r="H10" i="6"/>
  <c r="F12" i="6"/>
  <c r="K12" i="6"/>
  <c r="J13" i="6"/>
  <c r="D14" i="6"/>
  <c r="I14" i="6"/>
  <c r="C8" i="6"/>
  <c r="K8" i="6"/>
  <c r="H9" i="6"/>
  <c r="E10" i="6"/>
  <c r="L10" i="6"/>
  <c r="J11" i="6"/>
  <c r="G12" i="6"/>
  <c r="D13" i="6"/>
  <c r="H14" i="6"/>
  <c r="E27" i="6"/>
  <c r="D6" i="6"/>
  <c r="H7" i="6"/>
  <c r="O7" i="6"/>
  <c r="F8" i="6"/>
  <c r="T7" i="2" s="1"/>
  <c r="J9" i="6"/>
  <c r="G10" i="6"/>
  <c r="D11" i="6"/>
  <c r="I12" i="6"/>
  <c r="U6" i="2" s="1"/>
  <c r="F13" i="6"/>
  <c r="C14" i="6"/>
  <c r="K14" i="6"/>
  <c r="F27" i="6"/>
  <c r="E14" i="6"/>
  <c r="H13" i="6"/>
  <c r="J12" i="6"/>
  <c r="G8" i="6"/>
  <c r="J7" i="6"/>
  <c r="E12" i="6"/>
  <c r="H11" i="6"/>
  <c r="K10" i="6"/>
  <c r="D7" i="6"/>
  <c r="H6" i="6"/>
  <c r="J5" i="6"/>
  <c r="C12" i="6"/>
  <c r="F11" i="6"/>
  <c r="I10" i="6"/>
  <c r="J14" i="6"/>
  <c r="F14" i="6"/>
  <c r="H12" i="6"/>
  <c r="D12" i="6"/>
  <c r="J10" i="6"/>
  <c r="F10" i="6"/>
  <c r="O9" i="6"/>
  <c r="L8" i="6"/>
  <c r="H8" i="6"/>
  <c r="D8" i="6"/>
  <c r="J6" i="6"/>
  <c r="F6" i="6"/>
  <c r="O5" i="6"/>
  <c r="N6" i="6" l="1"/>
  <c r="M7" i="6"/>
  <c r="K9" i="6"/>
  <c r="Q19" i="6"/>
  <c r="W44" i="2"/>
  <c r="V44" i="2"/>
  <c r="W39" i="2"/>
  <c r="V39" i="2"/>
  <c r="N13" i="6"/>
  <c r="D17" i="6"/>
  <c r="J20" i="6"/>
  <c r="C23" i="6"/>
  <c r="L25" i="6"/>
  <c r="K27" i="6"/>
  <c r="K20" i="6"/>
  <c r="J17" i="6"/>
  <c r="Q20" i="6"/>
  <c r="Q25" i="6"/>
  <c r="B27" i="6"/>
  <c r="M23" i="6"/>
  <c r="H22" i="6"/>
  <c r="K19" i="6"/>
  <c r="P17" i="6"/>
  <c r="F26" i="6"/>
  <c r="D25" i="6"/>
  <c r="L22" i="6"/>
  <c r="D18" i="6"/>
  <c r="I6" i="6"/>
  <c r="I22" i="6"/>
  <c r="L11" i="6"/>
  <c r="F22" i="6"/>
  <c r="D4" i="6"/>
  <c r="M11" i="6"/>
  <c r="L4" i="6"/>
  <c r="K5" i="6"/>
  <c r="I7" i="6"/>
  <c r="G9" i="6"/>
  <c r="V12" i="2" s="1"/>
  <c r="E11" i="6"/>
  <c r="W35" i="2" s="1"/>
  <c r="C13" i="6"/>
  <c r="B14" i="6"/>
  <c r="O17" i="6"/>
  <c r="N18" i="6"/>
  <c r="M19" i="6"/>
  <c r="L20" i="6"/>
  <c r="E6" i="6"/>
  <c r="L9" i="6"/>
  <c r="L19" i="6"/>
  <c r="J22" i="6"/>
  <c r="C27" i="6"/>
  <c r="M9" i="6"/>
  <c r="B13" i="6"/>
  <c r="N19" i="6"/>
  <c r="K22" i="6"/>
  <c r="C25" i="6"/>
  <c r="D27" i="6"/>
  <c r="M6" i="6"/>
  <c r="B20" i="6"/>
  <c r="O22" i="6"/>
  <c r="E25" i="6"/>
  <c r="N22" i="6"/>
  <c r="I21" i="6"/>
  <c r="K11" i="6"/>
  <c r="V18" i="2" s="1"/>
  <c r="K6" i="6"/>
  <c r="I27" i="6"/>
  <c r="J26" i="6"/>
  <c r="I25" i="6"/>
  <c r="E24" i="6"/>
  <c r="M21" i="6"/>
  <c r="F20" i="6"/>
  <c r="L18" i="6"/>
  <c r="L13" i="6"/>
  <c r="V7" i="2"/>
  <c r="W7" i="2"/>
  <c r="E5" i="6"/>
  <c r="J25" i="6"/>
  <c r="K24" i="6"/>
  <c r="L23" i="6"/>
  <c r="M22" i="6"/>
  <c r="N21" i="6"/>
  <c r="N20" i="6"/>
  <c r="J19" i="6"/>
  <c r="E18" i="6"/>
  <c r="E13" i="6"/>
  <c r="M10" i="6"/>
  <c r="I9" i="6"/>
  <c r="W10" i="2" s="1"/>
  <c r="M5" i="6"/>
  <c r="I4" i="6"/>
  <c r="H27" i="6"/>
  <c r="D24" i="6"/>
  <c r="I18" i="6"/>
  <c r="M12" i="6"/>
  <c r="B18" i="6"/>
  <c r="I23" i="6"/>
  <c r="C26" i="6"/>
  <c r="O12" i="6"/>
  <c r="J4" i="6"/>
  <c r="Q23" i="6"/>
  <c r="P19" i="6"/>
  <c r="D19" i="6"/>
  <c r="J23" i="6"/>
  <c r="L21" i="6"/>
  <c r="N24" i="6"/>
  <c r="K13" i="6"/>
  <c r="D26" i="6"/>
  <c r="M4" i="6"/>
  <c r="M14" i="6"/>
  <c r="C18" i="6"/>
  <c r="O23" i="6"/>
  <c r="E26" i="6"/>
  <c r="N11" i="6"/>
  <c r="H18" i="6"/>
  <c r="K21" i="6"/>
  <c r="B24" i="6"/>
  <c r="H26" i="6"/>
  <c r="N27" i="6"/>
  <c r="O26" i="6"/>
  <c r="P25" i="6"/>
  <c r="L24" i="6"/>
  <c r="C22" i="6"/>
  <c r="O20" i="6"/>
  <c r="C19" i="6"/>
  <c r="I17" i="6"/>
  <c r="O10" i="6"/>
  <c r="B9" i="6"/>
  <c r="N5" i="6"/>
  <c r="B4" i="6"/>
  <c r="Q27" i="6"/>
  <c r="B26" i="6"/>
  <c r="P24" i="6"/>
  <c r="K23" i="6"/>
  <c r="C21" i="6"/>
  <c r="H19" i="6"/>
  <c r="N17" i="6"/>
  <c r="N12" i="6"/>
  <c r="C11" i="6"/>
  <c r="W27" i="2" s="1"/>
  <c r="N7" i="6"/>
  <c r="C6" i="6"/>
  <c r="G4" i="6"/>
  <c r="B25" i="6"/>
  <c r="C24" i="6"/>
  <c r="D23" i="6"/>
  <c r="E22" i="6"/>
  <c r="F21" i="6"/>
  <c r="C20" i="6"/>
  <c r="P18" i="6"/>
  <c r="L17" i="6"/>
  <c r="W6" i="2"/>
  <c r="V6" i="2"/>
  <c r="G11" i="6"/>
  <c r="U18" i="2" s="1"/>
  <c r="T39" i="2"/>
  <c r="U39" i="2"/>
  <c r="U44" i="2"/>
  <c r="T44" i="2"/>
  <c r="W28" i="2"/>
  <c r="V28" i="2"/>
  <c r="U28" i="2"/>
  <c r="T28" i="2"/>
  <c r="K7" i="6"/>
  <c r="G6" i="6"/>
  <c r="B5" i="6"/>
  <c r="P22" i="6"/>
  <c r="F4" i="6"/>
  <c r="D5" i="6"/>
  <c r="I11" i="6"/>
  <c r="V8" i="2" s="1"/>
  <c r="G13" i="6"/>
  <c r="C17" i="6"/>
  <c r="P20" i="6"/>
  <c r="C7" i="6"/>
  <c r="U17" i="2" s="1"/>
  <c r="E17" i="6"/>
  <c r="E23" i="6"/>
  <c r="M25" i="6"/>
  <c r="L27" i="6"/>
  <c r="E4" i="6"/>
  <c r="O27" i="6"/>
  <c r="Q24" i="6"/>
  <c r="D21" i="6"/>
  <c r="H21" i="6"/>
  <c r="T40" i="2"/>
  <c r="T41" i="2"/>
  <c r="U40" i="2"/>
  <c r="U41" i="2"/>
  <c r="V30" i="2"/>
  <c r="T30" i="2"/>
  <c r="U30" i="2"/>
  <c r="C3" i="6"/>
  <c r="F25" i="6"/>
  <c r="H23" i="6"/>
  <c r="J21" i="6"/>
  <c r="I20" i="6"/>
  <c r="Q17" i="6"/>
  <c r="L6" i="6"/>
  <c r="C4" i="6"/>
  <c r="E20" i="6"/>
  <c r="I26" i="6"/>
  <c r="Q26" i="6"/>
  <c r="C5" i="6"/>
  <c r="B6" i="6"/>
  <c r="N10" i="6"/>
  <c r="L12" i="6"/>
  <c r="T13" i="2" s="1"/>
  <c r="H16" i="6"/>
  <c r="F18" i="6"/>
  <c r="E19" i="6"/>
  <c r="D20" i="6"/>
  <c r="K4" i="6"/>
  <c r="L14" i="6"/>
  <c r="E21" i="6"/>
  <c r="N23" i="6"/>
  <c r="B8" i="6"/>
  <c r="H4" i="6"/>
  <c r="G5" i="6"/>
  <c r="E7" i="6"/>
  <c r="C9" i="6"/>
  <c r="T12" i="2" s="1"/>
  <c r="B10" i="6"/>
  <c r="O13" i="6"/>
  <c r="N14" i="6"/>
  <c r="K17" i="6"/>
  <c r="J18" i="6"/>
  <c r="I19" i="6"/>
  <c r="H20" i="6"/>
  <c r="C2" i="6"/>
  <c r="I5" i="6"/>
  <c r="N8" i="6"/>
  <c r="V32" i="2"/>
  <c r="V34" i="2"/>
  <c r="V31" i="2"/>
  <c r="T32" i="2"/>
  <c r="U32" i="2"/>
  <c r="U34" i="2"/>
  <c r="U31" i="2"/>
  <c r="O18" i="6"/>
  <c r="P21" i="6"/>
  <c r="H24" i="6"/>
  <c r="L26" i="6"/>
  <c r="W32" i="2"/>
  <c r="T34" i="2"/>
  <c r="T31" i="2"/>
  <c r="Q18" i="6"/>
  <c r="Q21" i="6"/>
  <c r="I24" i="6"/>
  <c r="M26" i="6"/>
  <c r="E9" i="6"/>
  <c r="F19" i="6"/>
  <c r="D22" i="6"/>
  <c r="M24" i="6"/>
  <c r="P26" i="6"/>
  <c r="J27" i="6"/>
  <c r="K26" i="6"/>
  <c r="K25" i="6"/>
  <c r="F24" i="6"/>
  <c r="B23" i="6"/>
  <c r="O21" i="6"/>
  <c r="M18" i="6"/>
  <c r="B17" i="6"/>
  <c r="M13" i="6"/>
  <c r="B12" i="6"/>
  <c r="M8" i="6"/>
  <c r="B7" i="6"/>
  <c r="F5" i="6"/>
  <c r="M27" i="6"/>
  <c r="N26" i="6"/>
  <c r="O25" i="6"/>
  <c r="J24" i="6"/>
  <c r="F23" i="6"/>
  <c r="B22" i="6"/>
  <c r="M20" i="6"/>
  <c r="B19" i="6"/>
  <c r="H17" i="6"/>
  <c r="G7" i="6"/>
  <c r="L5" i="6"/>
  <c r="N25" i="6"/>
  <c r="O24" i="6"/>
  <c r="P23" i="6"/>
  <c r="Q22" i="6"/>
  <c r="B21" i="6"/>
  <c r="O19" i="6"/>
  <c r="K18" i="6"/>
  <c r="F17" i="6"/>
  <c r="B16" i="6"/>
  <c r="O14" i="6"/>
  <c r="W34" i="2"/>
  <c r="W31" i="2"/>
  <c r="T6" i="2"/>
  <c r="B11" i="6"/>
  <c r="N9" i="6"/>
  <c r="N4" i="6"/>
  <c r="I13" i="6"/>
  <c r="H25" i="6"/>
  <c r="M17" i="6"/>
  <c r="P27" i="6"/>
  <c r="V41" i="2"/>
  <c r="W40" i="2"/>
  <c r="W41" i="2"/>
  <c r="V40" i="2"/>
  <c r="U7" i="2"/>
  <c r="W30" i="2"/>
  <c r="L7" i="6"/>
  <c r="O11" i="6"/>
  <c r="W29" i="2"/>
  <c r="V29" i="2"/>
  <c r="U29" i="2"/>
  <c r="T29" i="2"/>
  <c r="W9" i="2"/>
  <c r="V9" i="2"/>
  <c r="U9" i="2"/>
  <c r="T9" i="2"/>
  <c r="V14" i="2"/>
  <c r="U14" i="2"/>
  <c r="W14" i="2"/>
  <c r="V13" i="2"/>
  <c r="U13" i="2"/>
  <c r="W13" i="2"/>
  <c r="T43" i="2"/>
  <c r="U43" i="2"/>
  <c r="V43" i="2"/>
  <c r="W43" i="2"/>
  <c r="W45" i="2"/>
  <c r="V45" i="2"/>
  <c r="U45" i="2"/>
  <c r="T45" i="2"/>
  <c r="W36" i="2"/>
  <c r="V36" i="2"/>
  <c r="U36" i="2"/>
  <c r="T36" i="2"/>
  <c r="W18" i="2"/>
  <c r="T18" i="2"/>
  <c r="W26" i="2"/>
  <c r="V26" i="2"/>
  <c r="U26" i="2"/>
  <c r="T26" i="2"/>
  <c r="W38" i="2"/>
  <c r="V38" i="2"/>
  <c r="U38" i="2"/>
  <c r="T38" i="2"/>
  <c r="V37" i="2"/>
  <c r="T37" i="2"/>
  <c r="T17" i="2"/>
  <c r="W16" i="2"/>
  <c r="V16" i="2"/>
  <c r="U16" i="2"/>
  <c r="T16" i="2"/>
  <c r="W15" i="2"/>
  <c r="V15" i="2"/>
  <c r="U15" i="2"/>
  <c r="T15" i="2"/>
  <c r="W23" i="2"/>
  <c r="T19" i="2"/>
  <c r="U11" i="2"/>
  <c r="W11" i="2"/>
  <c r="V42" i="2" l="1"/>
  <c r="W12" i="2"/>
  <c r="U12" i="2"/>
  <c r="U10" i="2"/>
  <c r="T42" i="2"/>
  <c r="U42" i="2"/>
  <c r="W42" i="2"/>
  <c r="W24" i="2"/>
  <c r="T8" i="2"/>
  <c r="W8" i="2"/>
  <c r="U37" i="2"/>
  <c r="T25" i="2"/>
  <c r="U25" i="2"/>
  <c r="V25" i="2"/>
  <c r="W25" i="2"/>
  <c r="U24" i="2"/>
  <c r="U8" i="2"/>
  <c r="T27" i="2"/>
  <c r="U27" i="2"/>
  <c r="V27" i="2"/>
  <c r="W37" i="2"/>
  <c r="T21" i="2"/>
  <c r="V17" i="2"/>
  <c r="V46" i="2"/>
  <c r="W46" i="2"/>
  <c r="W33" i="2"/>
  <c r="T46" i="2"/>
  <c r="U46" i="2"/>
  <c r="V35" i="2"/>
  <c r="V33" i="2"/>
  <c r="T35" i="2"/>
  <c r="T33" i="2"/>
  <c r="U35" i="2"/>
  <c r="U33" i="2"/>
  <c r="V47" i="2"/>
  <c r="W47" i="2"/>
  <c r="T14" i="2"/>
  <c r="U47" i="2"/>
  <c r="T47" i="2"/>
  <c r="W17" i="2"/>
  <c r="T23" i="2"/>
  <c r="T20" i="2"/>
  <c r="T24" i="2"/>
  <c r="T10" i="2"/>
  <c r="T22" i="2"/>
  <c r="T11" i="2"/>
  <c r="U20" i="2"/>
  <c r="U21" i="2"/>
  <c r="U22" i="2"/>
  <c r="U23" i="2"/>
  <c r="V20" i="2"/>
  <c r="V21" i="2"/>
  <c r="V22" i="2"/>
  <c r="V23" i="2"/>
  <c r="V24" i="2"/>
  <c r="V10" i="2"/>
  <c r="V11" i="2"/>
  <c r="W20" i="2"/>
  <c r="W21" i="2"/>
  <c r="W22" i="2"/>
  <c r="W19" i="2" l="1"/>
  <c r="V19" i="2"/>
  <c r="U19" i="2"/>
</calcChain>
</file>

<file path=xl/sharedStrings.xml><?xml version="1.0" encoding="utf-8"?>
<sst xmlns="http://schemas.openxmlformats.org/spreadsheetml/2006/main" count="646" uniqueCount="271">
  <si>
    <t>Date</t>
  </si>
  <si>
    <t>Function</t>
  </si>
  <si>
    <t>Item
Description</t>
  </si>
  <si>
    <t>Failure
Mode</t>
  </si>
  <si>
    <t>Recommended
Actions</t>
  </si>
  <si>
    <t>Failure 
Effects
(Local, WEC, System)</t>
  </si>
  <si>
    <t>Notes</t>
  </si>
  <si>
    <t>0100 Hull Structure FMECA Table</t>
  </si>
  <si>
    <t>Risk Reduction 
Design</t>
  </si>
  <si>
    <t>Post Failure
Repair
Strategy 
(automated, manual)</t>
  </si>
  <si>
    <t>Status
(open or closed)</t>
  </si>
  <si>
    <t>Failure
Cause(s)</t>
  </si>
  <si>
    <t>Title</t>
  </si>
  <si>
    <t>Doc No</t>
  </si>
  <si>
    <t>Version</t>
  </si>
  <si>
    <t>Authored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</si>
  <si>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</si>
  <si>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</si>
  <si>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</si>
  <si>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</si>
  <si>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</si>
  <si>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</si>
  <si>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</si>
  <si>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</si>
  <si>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</si>
  <si>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</si>
  <si>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</si>
  <si>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</si>
  <si>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</si>
  <si>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</si>
  <si>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</si>
  <si>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</si>
  <si>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</si>
  <si>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</si>
  <si>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</si>
  <si>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</si>
  <si>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</si>
  <si>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</si>
  <si>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</si>
  <si>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Drive arm broken</t>
  </si>
  <si>
    <t>Normal</t>
  </si>
  <si>
    <t>1) PTO not moving
2) Surveillance cameras</t>
  </si>
  <si>
    <t>Dry dock reattachment of float arm to WEC</t>
  </si>
  <si>
    <t>Wearing of float arm, due to deflection</t>
  </si>
  <si>
    <t>Visual inspection, and repair if  needed</t>
  </si>
  <si>
    <t>Non-service boat strike</t>
  </si>
  <si>
    <t>Idler arm broken</t>
  </si>
  <si>
    <t>1) Wave loading of float is no longer transferred nacelle tube on idler side
2) Addtl loading on drive arm</t>
  </si>
  <si>
    <t>1) Surveillance cameras</t>
  </si>
  <si>
    <t>1) Float becomes locked or reduced motion w.r.t. nacelle</t>
  </si>
  <si>
    <t>Debris caught between float and nacelle (or spar)</t>
  </si>
  <si>
    <t>1) PTO not moving or reduced motion
2) Surveillance cameras</t>
  </si>
  <si>
    <t>Large mammal caught betweeen float and nacelle (or spar)</t>
  </si>
  <si>
    <t>Remove mammal</t>
  </si>
  <si>
    <t xml:space="preserve">Drive starboard/port generator rotor
Constrain float to relative pitch about nacelle
</t>
  </si>
  <si>
    <t>Constrain float to relative pitch about nacelle</t>
  </si>
  <si>
    <t>1) Wave loading of float is no longer transferred to rotor
2) Loss of power production
3) Addtl loading on idler arm</t>
  </si>
  <si>
    <t xml:space="preserve">Non-service Boat Strike
</t>
  </si>
  <si>
    <t>Service Boat Strike</t>
  </si>
  <si>
    <t>0131-1</t>
  </si>
  <si>
    <t>Nacelle Tube</t>
  </si>
  <si>
    <t>Rigid connection between nacelle assembly and spars
Provide access pathway to nacelle
Provision of watertight compartment
Counterface for aft float (port) idler bearing (0265)</t>
  </si>
  <si>
    <t>0150-1</t>
  </si>
  <si>
    <t>Damper</t>
  </si>
  <si>
    <t>Inertial/drag reaction
Wave activated body
Provision of watertight compartment</t>
  </si>
  <si>
    <t>Float arms flexed more than expected. Wear creates a hole that changes buoyancy</t>
  </si>
  <si>
    <t>One arm breaks off and causes higher stress on other arm so both break and float is free</t>
  </si>
  <si>
    <t>fore/aft float breaks off</t>
  </si>
  <si>
    <t>1) Loss of performance
2) Loss of known physical parameters (weight of each component)
3) change in buoyancy</t>
  </si>
  <si>
    <t>smooth edges</t>
  </si>
  <si>
    <t>surveillance camera checks/visual inspection</t>
  </si>
  <si>
    <t>1) Surveillance cameras
2) visual inspection
3) level sensors on spars</t>
  </si>
  <si>
    <t>1) Recover float
2) drydock reatachment if possible</t>
  </si>
  <si>
    <t>Dry dock for FRP repair</t>
  </si>
  <si>
    <t>Initial Mode
 of
Operation</t>
  </si>
  <si>
    <t>Leak in FRP (e.g. manufacturing flaw, assembly)  not boat strikes</t>
  </si>
  <si>
    <t>Hole in single comparment</t>
  </si>
  <si>
    <t>Dry dock for FRP repair and replacement of damaged components</t>
  </si>
  <si>
    <t>1) vacuum test all water tight compartments
2) Single empty compartment filling does not sink WEC
3) V&amp;V for manufacturing and assembly
4) bilge pumps in every watertight compartment</t>
  </si>
  <si>
    <t>Mammal take</t>
  </si>
  <si>
    <t>1) mammal take</t>
  </si>
  <si>
    <t>Service human trapped</t>
  </si>
  <si>
    <t>Public human trapped</t>
  </si>
  <si>
    <t>service worker falls inbetween fwd float and nacelle</t>
  </si>
  <si>
    <t>1) Human trapped
2) Potential fatality</t>
  </si>
  <si>
    <t>0131-2</t>
  </si>
  <si>
    <t>0150-2</t>
  </si>
  <si>
    <t>Lower Nacelle</t>
  </si>
  <si>
    <t>0135-1</t>
  </si>
  <si>
    <t>Control Room</t>
  </si>
  <si>
    <t>0132-1</t>
  </si>
  <si>
    <t>Provision of watertight compartment</t>
  </si>
  <si>
    <t>1) vacuum test all water tight compartments
2) All ballast water below waterline
3) Foam fill open voids
4) V&amp;V for manufacturing and assembly</t>
  </si>
  <si>
    <t>1) IMU orientation
2) pressure sensors outside attached to spars
3) bilge detection</t>
  </si>
  <si>
    <t>1) vacuum test all water tight compartments
2) V&amp;V for manufacturing and assembly</t>
  </si>
  <si>
    <t>1) visual inspection of draft line on floats
2) average angle of the floats seen by encoders</t>
  </si>
  <si>
    <t>1) Wave loading of float is no longer transferred to rotor
2) Loss of power production
3) Float on Beach/Float out to sea</t>
  </si>
  <si>
    <t>1) Average angle of the floats seen by encoders
2) Surveillance</t>
  </si>
  <si>
    <t>1) Surveillance
2) Visual Detection
3) Dry dock before second arm breaks</t>
  </si>
  <si>
    <t>0132-2</t>
  </si>
  <si>
    <t>0135-2</t>
  </si>
  <si>
    <t>Hole in single compartment</t>
  </si>
  <si>
    <t>1) No empty voids (full of foam)
2) vacuum test all water tight compartments
3) V&amp;V for manufacturing and assembly
4) bilge pumps in every watertight compartment</t>
  </si>
  <si>
    <t>No detection</t>
  </si>
  <si>
    <t>No repair necessary</t>
  </si>
  <si>
    <t>EDR specify foam does not allow greater than X% of water absorption
Cohesive foam</t>
  </si>
  <si>
    <t>0135-3</t>
  </si>
  <si>
    <t>Non-service boat strike
(float overtopping required)</t>
  </si>
  <si>
    <t>Repair in-situ</t>
  </si>
  <si>
    <t>1) bilge detection</t>
  </si>
  <si>
    <t>non critical space bilge cost limit: 1/8 of bilge budget per spar compartment</t>
  </si>
  <si>
    <t>0100-1</t>
  </si>
  <si>
    <t>Hull</t>
  </si>
  <si>
    <t>Severe structural failure</t>
  </si>
  <si>
    <t>Severe structural failure
WEC is no longer functioning</t>
  </si>
  <si>
    <t>1) Surveillance
2) SCADA
3) etc</t>
  </si>
  <si>
    <t>Dry dock repair if possible, if not loss of projects</t>
  </si>
  <si>
    <t>StingRAY Hull Structrure FMECA</t>
  </si>
  <si>
    <t>SR-0100-RR</t>
  </si>
  <si>
    <t>E Hammagren</t>
  </si>
  <si>
    <t>1.0</t>
  </si>
  <si>
    <t>Released to GH for review</t>
  </si>
  <si>
    <t>Edits following GH review</t>
  </si>
  <si>
    <t>2.0</t>
  </si>
  <si>
    <t>New format and risk ranking, additional input</t>
  </si>
  <si>
    <t>Wave activated body
Provision of watertight compartment</t>
  </si>
  <si>
    <t>Loading in wave environment, with large motions</t>
  </si>
  <si>
    <t>Rigid connection between nacelle tube and damper
Dry access route into nacelle tubes
Provision of watertight compartment</t>
  </si>
  <si>
    <t>Spar - STBD
Spar - PORT</t>
  </si>
  <si>
    <t>0141-1
0142-1</t>
  </si>
  <si>
    <t>0141-2
0142-2</t>
  </si>
  <si>
    <t>0141-3
0142-3</t>
  </si>
  <si>
    <t>0141-4
0142-4</t>
  </si>
  <si>
    <t xml:space="preserve">non critical space bilge cost limit: 1/8 of bilge budget per spar compartment
</t>
  </si>
  <si>
    <t>CPwr Review</t>
  </si>
  <si>
    <t>Expert Review</t>
  </si>
  <si>
    <t>Eng man Appr</t>
  </si>
  <si>
    <t>Corp Appr</t>
  </si>
  <si>
    <t>P Lenee-Bluhm, J Prudell, A Schacher, Z Zhang, M Ondusko</t>
  </si>
  <si>
    <t>Fatigue and other degradation mechanisms</t>
  </si>
  <si>
    <t>The probability of occurrence is to be verified for the site conditions and it is also necessary to define the type of debris and dimension that would be a problem.</t>
  </si>
  <si>
    <t>The probability of occurrence is to be verified against procedures for access and how the integrity of the net is maintained.</t>
  </si>
  <si>
    <t>The probability of occurrence to be verified considering conditions at the site and vessels in the area.</t>
  </si>
  <si>
    <t>Damper/Mooring lug connection</t>
  </si>
  <si>
    <t>Loading in wave environment, with large motions 
Bonding between FRP and steel for highly loaded application</t>
  </si>
  <si>
    <t>1. Loss of mooring connection, hence position keeping
2. Significant greater watch circle
3. Loss of umbillical.</t>
  </si>
  <si>
    <t>Fatigue</t>
  </si>
  <si>
    <t>Dry dock repair</t>
  </si>
  <si>
    <t>Breakage of connection (FRP break)</t>
  </si>
  <si>
    <t>HAT stiffners</t>
  </si>
  <si>
    <t>Provide additional stiffness to the floats, nacelle and damper</t>
  </si>
  <si>
    <t>Connection between upper spar section and lower spar section</t>
  </si>
  <si>
    <t>Structural failure</t>
  </si>
  <si>
    <t>Cracking</t>
  </si>
  <si>
    <t>1) Deteachment of spar sections
2) Damage to WEC</t>
  </si>
  <si>
    <t>Corrosion (including crevice  corrosion)</t>
  </si>
  <si>
    <t>Dyr dock repair</t>
  </si>
  <si>
    <t>Loading in wave environment, with large motions
Manufacturing process for the steel bolting retension flange
Long term marine environment</t>
  </si>
  <si>
    <t>Laminating and bonding process of the stiffners</t>
  </si>
  <si>
    <t>DNV GL comment</t>
  </si>
  <si>
    <t xml:space="preserve">See comment on failure effects and causes
</t>
  </si>
  <si>
    <t>Leak in FRP - fatigue crack due to uncertainties in loading</t>
  </si>
  <si>
    <t>Action the same as "Fatigue and other degradation mechanisms" for hull.</t>
  </si>
  <si>
    <t>Suggest text for recommended action:
Design of the net to demonstrate that its integrity is maintained throughout its life time.</t>
  </si>
  <si>
    <t xml:space="preserve">Suggest text for recommended action:
Additional thickness to be considered in areas that wear could occur. Identify the magnitude of wear and time to inspect / repair. Inspection plan to be implemented after deployment.
Design to consider addition safety margin on air gap to allow for uncertainty on loading and structural stiffness. </t>
  </si>
  <si>
    <t>Suggest text for recommended action:
Increasing the safety factors to high safety class. 
Uncertainties on loads and structural response to be addressed as defined above (see "Fatigue and other degradation mechanisms" for hull.)</t>
  </si>
  <si>
    <t xml:space="preserve">See also comment on "improper design" (0111-1)
Suggest text for recommended action
Increase DFF
For loading uncertainty and simulation accuracy see action for "Fatigue and other degradation mechanisms" for Hull. </t>
  </si>
  <si>
    <t>See comment on failure effects and causes in 0111-1</t>
  </si>
  <si>
    <t>See also comment on "improper design" (0111-1)
Action the same as "Leak in FRP - fatigue crack due to improper design" for Nacelle Tube</t>
  </si>
  <si>
    <t>Action the same as "Non-service Boat Strike" for Forward float/Aft Float</t>
  </si>
  <si>
    <t>Suggest text for recommended action:
Bonding of the steel and FRP to be qualified, via component testing to design load validate the model and demonstrate the integrity of the interface. 
Action in "Extreme wave event loading" for hull applicable</t>
  </si>
  <si>
    <t>Suggest text for recommended action:
Bonding of the steel and FRP to be qualified, via component testing to design load validate the model and demonstrate the integrity of the interface. 
Action in "Fatigue and other degradation mechanisms" for hull applicable</t>
  </si>
  <si>
    <t>Suggest text for recommended action:
Increasing the safety factors to high safety class. 
Uncertainties on loads and structural response to be addressed as defined above (see "Extreme wave event loading" for hull.)</t>
  </si>
  <si>
    <t>See also comment on "improper design" (0111-1)
Action the same as "Leak in FRP - fatigue crack due to improper design" for Nacelle Tube
For loading uncertainty and simulation accuracy, see action on "Extreme wave event loading" in HULL</t>
  </si>
  <si>
    <t>Delamination</t>
  </si>
  <si>
    <t>1. Reduction in stiffness of the component
2. Excessive deformation of the component leading to increase in probability of occurrence of other failure mode, for instance reduction in air gap or sea leakage due to deformation of floats</t>
  </si>
  <si>
    <t>Suggested text for recommended action:
The uncertainty about loading needs to be reduced by tank testing and development (and comparison) of simulation of hydrodynamic behaviour considering PTO and controls as well as implementation of structural calculations to derive design stresses.
Derivation of localised loading such as slamming or other aspects associated with tolerances and local distribution of loading as well as events associated with faults has to be developed and validated.
The design load cases have to be defined considering all phases such as Operating, Operating with fault, Survival, Survival with fault, Damaged, Transport and Installation, etc.</t>
  </si>
  <si>
    <t>Probability class increased to be compatible with FLS design.
Suggested text for recommended action:
Increase DFF, implementation of cathodic protection and coating, inspection plan.
The uncertainty about loading needs to be reduced by tank testing and development (and comparison) of simulation of hydrodynamic behaviour considering PTO and controls as well as implementation of structural calculations to derive design stresses.
Derivation of localised loading such as slamming or other aspects associated with tolerances and local distribution of loading as well as events associated with faults has to be developed and validated.
The design load cases have to be defined considering all phases such as Operating, Operating with fault, Survival, Survival with fault, Damaged, Transport and Installation, etc.</t>
  </si>
  <si>
    <t>Probability of occurrence to be evaluated by the assessment of presence of mammals on site.</t>
  </si>
  <si>
    <t>Suggest text for recommended action:
Additional thickness to be considered in areas that wear could occur. Identify the magnitude of wear and time to inspect / repair. If the wear is created by the debris, the type of debris that could be a problem and their existence on site to be verified. 
Design to demonstrate wear rate due to debris is within the acceptance criteria for the long term structural integrity of the hull</t>
  </si>
  <si>
    <t>Suggest text for recommended action:
In-situ FRP repair procedure to be developed. The repair is to be qualified to the conditions of implementation (moving parts, deformation within the area of repair and splash of seawater. The durability of repair will depend if it is supposed to be permanent, temporary to allow to reach the next maintenance period or only to allow for recovery.
for damage below the water line, assessment of consequence to be made and design strategy to be considered to reduce probability of damage and also to improve retrieval operation.</t>
  </si>
  <si>
    <t>High severity class assumed because worst failure assumed, but lower occurrence class assigned.
Suggest text for recommended action:
Bonding of the steel and FRP to be qualified, via component testing to design load validate the model and demonstrate the integrity of the interface. 
Action in "Fatigue and other degradation mechanisms" for hull applicable</t>
  </si>
  <si>
    <t>unauthorized personel falls inbetween fwd float and nacelle</t>
  </si>
  <si>
    <t xml:space="preserve">High severity class assumed because worst failure assumed, but lower occurrence class assigned.
</t>
  </si>
  <si>
    <t>Wave activated body
Provision of watertight compartment
Structural connectivity &amp; load transfer
Ballast containment</t>
  </si>
  <si>
    <t>none</t>
  </si>
  <si>
    <t xml:space="preserve">1) Load derivation methodology to take into account the uncertainties in the loading due to site characterisation measurements and hydrodynamic modelling.
2) Uncertainty of loading estimates to be reduced by comparison of hydrodynamic behavior in simulation  versus tank testing.
3) Design load cases to be defined considering all phases (e.g. operating w/ fault, installation, etc.), and to include investigation of localized loading from e.g. slamming.
4) Derivation of localized loading to be developed, and validated via instrumentation of prototype at-sea deployment. </t>
  </si>
  <si>
    <t>1) Load derivation methodology to take into account the uncertainties in the loading due to site characterisation measurements and hydrodynamic modelling.
2) Uncertainty of loading estimates to be reduced by comparison of hydrodynamic behavior in simulation  versus tank testing.
3) Design load cases to be defined considering all phases (e.g. operating w/ fault, installation, etc.), and to include investigation of localized loading from e.g. slamming.
4) Derivation of localized loading to be developed, and validated via instrumentation of prototype at-sea deployment. 
5) Design fatigue factors (DFF) shall be applied to reduce probability of fatigue failure.
6) Design to incorporate cathodic protection and coating as appropriate (under subsystem 0645 Marinization and Corrosion, External)
7) Establish inspection plan</t>
  </si>
  <si>
    <t>1) Probability of occurrence to be evaluated by the assessment of presence and behavior of mammals on site.</t>
  </si>
  <si>
    <t>only a small portion of water may drain, as ballast water will be below still water line</t>
  </si>
  <si>
    <t>Leak in FRP (e.g. manufacturing flaw, assembly)  *not boat strikes*</t>
  </si>
  <si>
    <t>Crack/hole in float (leading to water drainage)</t>
  </si>
  <si>
    <t>1) All ballast water below waterline
2) Foam fill open voids</t>
  </si>
  <si>
    <t>1) V&amp;V procedures to be defined and followed, which shall mitigate risk of defective component up to commissioning.</t>
  </si>
  <si>
    <t>1) Design guard netting to significantly reduce the liklihood of entrapment and/or death
2) The probability of occurrence is to be verified against procedures for access and how the integrity of the net is maintained.</t>
  </si>
  <si>
    <t>1) Design guard netting to significantly reduce the liklihood of entrapment and/or death
2) Design of the net to demonstrate that its integrity is maintained throughout its life time.</t>
  </si>
  <si>
    <t>Hole in float (leading to water drainage)</t>
  </si>
  <si>
    <t>1) Probability of occurrence of debris to be verified for site conditions
2) Type and dimensions of problem debris to be specified for the site</t>
  </si>
  <si>
    <t>1) Probability of occurrence of debris to be verified for site conditions
2) Type and dimensions of problem debris to be specified for the site
3) Additional thickness to be considered in areas that wear could occur. 
4) Identify the magnitude of wear and time to inspect / repair.  
5) Design to demonstrate wear rate due to debris is within the acceptance criteria for the long term structural integrity of the hull</t>
  </si>
  <si>
    <t xml:space="preserve">1) Lights, radar reflectors (e.g. visibility)
</t>
  </si>
  <si>
    <t xml:space="preserve">1) Additional thickness to be considered in areas that wear could occur. 
2) Identify the expected magnitude of wear and time to inspect / repair. 
3) Specify inspection plan to be implemented after deployment.
4) Design to consider addition safety margin on space between components (where rubbing and wear is possible) to allow for uncertainty of loading and structural stiffness. </t>
  </si>
  <si>
    <t>1) Load derivation methodology to take into account the uncertainties in the loading due to site characterisation measurements and hydrodynamic modelling.
2) Uncertainty of loading estimates to be reduced by comparison of hydrodynamic behavior in simulation  versus tank testing.
3) Design load cases to be defined considering all phases (e.g. operating w/ fault, installation, etc.), and to include investigation of localized loading from e.g. slamming.
4) Derivation of localized loading to be developed, and validated via instrumentation of prototype at-sea deployment. 
5) Design to consider increasing safety factors to high safety class.</t>
  </si>
  <si>
    <t>1) In-situ FRP repair procedure to be developed. The repair is to be qualified to the conditions of implementation (moving parts, deformation within the area of repair and splash of seawater). The durability of repair will depend if it is supposed to be permanent, temporary to allow to reach the next maintenance period or only to allow for recovery.
2) For damage below the water line, assessment of consequence to be made and design strategy to be considered to reduce probability of damage and also to improve retrieval operation.
3) establish exclusion zone at deployed area
4) The probability of occurrence to be verified considering conditions at the site and vessels in the area</t>
  </si>
  <si>
    <t>1) Load derivation methodology to take into account the uncertainties in the loading due to site characterisation measurements and hydrodynamic modelling.
2) Uncertainty of loading estimates to be reduced by comparison of hydrodynamic behavior in simulation  versus tank testing.
3) Design load cases to be defined considering all phases (e.g. operating w/ fault, installation, etc.), and to include investigation of localized loading from e.g. slamming.
4) Derivation of localized loading to be developed, and validated via instrumentation of prototype at-sea deployment. 
5) Design fatigue factors (DFF) shall be applied to reduce probability of fatigue failure.
6) Establish inspection plan</t>
  </si>
  <si>
    <t>1) establish exclusion zone at deployed area
2) The probability of occurrence to be verified considering conditions at the site and vessels in the area</t>
  </si>
  <si>
    <t xml:space="preserve">1) Additional thickness to be considered in areas that wear could occur. 
2) Identify the expected magnitude of wear and time to inspect / repair. 
3) Specify inspection plan to be implemented after deployment.
4) Design to consider additional safety margin on space between components (where rubbing and wear is possible) to allow for uncertainty of loading and structural stiffness. </t>
  </si>
  <si>
    <t>1) Single empty compartment filling does not sink WEC
2) bilge pumps in every watertight compartment</t>
  </si>
  <si>
    <t xml:space="preserve">Leak in FRP (e.g. manufacturing flaw, assembly) </t>
  </si>
  <si>
    <t>1) No empty voids (full of foam)
2) Single empty compartment filling does not sink WEC
3) bilge pumps in every watertight compartment</t>
  </si>
  <si>
    <t xml:space="preserve">1) V&amp;V procedures to be defined and followed, which shall mitigate risk of defective component up to commissioning.
2) Design to specify allowable water absorption (and degree of degradation due to water contact) of foam. </t>
  </si>
  <si>
    <t xml:space="preserve">1) Load derivation methodology to take into account the uncertainties in the loading due to site characterisation measurements and hydrodynamic modelling.
2) Uncertainty of loading estimates to be reduced by comparison of hydrodynamic behavior in simulation  versus tank testing.
3) Design load cases to be defined considering all phases (e.g. operating w/ fault, installation, etc.), and to include investigation of localized loading from e.g. slamming.
4) Derivation of localized loading to be developed, and validated via instrumentation of prototype at-sea deployment. 
5) Design fatigue factors (DFF) shall be applied to reduce probability of fatigue failure.
6) Establish inspection plan
7) Design to specify allowable water absorption (and degree of degradation due to water contact) of foam. </t>
  </si>
  <si>
    <t>1) Design procedures to significantly reduce the liklihood of service vessel damaging WEC
2) The probability of occurrence is to be verified against procedures for service vessel.</t>
  </si>
  <si>
    <t>141-5
142-5</t>
  </si>
  <si>
    <t>141-7
142-7</t>
  </si>
  <si>
    <t>141-6
142-6</t>
  </si>
  <si>
    <t>Spar - STBD / PORT Upper composite / composite joint and Lower composite / steel joint</t>
  </si>
  <si>
    <t>Extreme wave event loading
(Overloading)</t>
  </si>
  <si>
    <t>1) visual inspection</t>
  </si>
  <si>
    <t>1) Design to incorporate cathodic protection and coating as appropriate (under subsystem 0645 Marinization and Corrosion, External)
2) Establish inspection plan</t>
  </si>
  <si>
    <t>Fatigue crack due to uncertainties in loading</t>
  </si>
  <si>
    <t>1) All ballast water below waterline</t>
  </si>
  <si>
    <t>0150-3</t>
  </si>
  <si>
    <t>Load transfer between mooring lines and WEC hull</t>
  </si>
  <si>
    <t>1) GPS position alarm
2) Visual detection
3) loss of umibilical connectivity
4) mooring load cell signal</t>
  </si>
  <si>
    <t xml:space="preserve">1) Load derivation methodology to take into account the uncertainties in the loading due to site characterisation measurements and hydrodynamic modelling.
2) Uncertainty of loading estimates to be reduced by comparison of hydrodynamic behavior in simulation  versus tank testing.
3) Design load cases to be defined considering all phases (e.g. operating w/ fault, installation, etc.), and to include investigation of localized loading from e.g. slamming.
4) Derivation of localized loading to be developed, and validated via instrumentation of prototype at-sea deployment. 
5) Design to demonstrate that the mooring lines are to break first in the event of excessive loading in order to prevent any damage to the connection points on the WEC hull area such that dry dock repair is not necessary in the event of line failure
6) Bonding of the steel and FRP to be qualified, via component testing to design load </t>
  </si>
  <si>
    <t>0150-4</t>
  </si>
  <si>
    <t>0100-2</t>
  </si>
  <si>
    <t>0100-3</t>
  </si>
  <si>
    <t>0100-4</t>
  </si>
  <si>
    <t>Major revision following DNVGL RC review</t>
  </si>
  <si>
    <t>3.0</t>
  </si>
  <si>
    <t>Updated risk matrix, updated for WEC v3.3 technology</t>
  </si>
  <si>
    <t>- 'set up' and 'linkedPage' are both linked to workbook 'FMECA Master v3.xlsx'</t>
  </si>
  <si>
    <t>- changes to the tables, risk scores, etc must be made in 'FMECA Master v3.xlsx'</t>
  </si>
  <si>
    <t xml:space="preserve">1) Sub-optimal performance
2) change in buoyancy
3) only a portion of water may drain (see note) </t>
  </si>
  <si>
    <t>Locked / reduced motion</t>
  </si>
  <si>
    <t>Remove debris
In situ or dry dock repair of FRP if warranted</t>
  </si>
  <si>
    <t>Debris caught between float and another body, leading to wear that creates a hole that changes buoyancy</t>
  </si>
  <si>
    <t>1) Sub-optimal performance
2) Increased generator speed (&gt;20RPM) during strike event
3) change in buoyancy</t>
  </si>
  <si>
    <t xml:space="preserve">In situ FRP repair if possible (hole above waterline and known location)
Worst case: Dry dock inspection and repair of WEC.
</t>
  </si>
  <si>
    <t>Fatigue of float arm due to uncertainties in loading</t>
  </si>
  <si>
    <t>1) water ingress via hole
2) bilge removes water in nacelle tube and spar compartment</t>
  </si>
  <si>
    <t>Crack/hole in hull (No water ingress/egress)</t>
  </si>
  <si>
    <t>1) water ingress through hole (bilge removes water from compartment)</t>
  </si>
  <si>
    <t>1) lights, Radar reflectors (visibility)
2) Single empty compartment filling does not sink WEC
3) bilge pumps in every watertight compartment</t>
  </si>
  <si>
    <r>
      <t xml:space="preserve">Forward float
</t>
    </r>
    <r>
      <rPr>
        <strike/>
        <sz val="11"/>
        <color rgb="FFFF0000"/>
        <rFont val="Times New Roman"/>
        <family val="1"/>
      </rPr>
      <t>Aft float</t>
    </r>
  </si>
  <si>
    <r>
      <t xml:space="preserve">0111-3
</t>
    </r>
    <r>
      <rPr>
        <strike/>
        <sz val="11"/>
        <color rgb="FFFF0000"/>
        <rFont val="Times New Roman"/>
        <family val="1"/>
      </rPr>
      <t>0121-3</t>
    </r>
  </si>
  <si>
    <r>
      <t xml:space="preserve">0111-1
</t>
    </r>
    <r>
      <rPr>
        <strike/>
        <sz val="11"/>
        <color rgb="FFFF0000"/>
        <rFont val="Times New Roman"/>
        <family val="1"/>
      </rPr>
      <t>0121-1</t>
    </r>
    <r>
      <rPr>
        <sz val="11"/>
        <color theme="1"/>
        <rFont val="Calibri"/>
        <family val="2"/>
        <scheme val="minor"/>
      </rPr>
      <t/>
    </r>
  </si>
  <si>
    <r>
      <t xml:space="preserve">0111-2
</t>
    </r>
    <r>
      <rPr>
        <strike/>
        <sz val="11"/>
        <color rgb="FFFF0000"/>
        <rFont val="Times New Roman"/>
        <family val="1"/>
      </rPr>
      <t>0121-2</t>
    </r>
    <r>
      <rPr>
        <sz val="11"/>
        <color theme="1"/>
        <rFont val="Calibri"/>
        <family val="2"/>
        <scheme val="minor"/>
      </rPr>
      <t/>
    </r>
  </si>
  <si>
    <r>
      <t xml:space="preserve">0111-4
</t>
    </r>
    <r>
      <rPr>
        <strike/>
        <sz val="11"/>
        <color rgb="FFFF0000"/>
        <rFont val="Times New Roman"/>
        <family val="1"/>
      </rPr>
      <t>0121-4</t>
    </r>
    <r>
      <rPr>
        <sz val="11"/>
        <color theme="1"/>
        <rFont val="Calibri"/>
        <family val="2"/>
        <scheme val="minor"/>
      </rPr>
      <t/>
    </r>
  </si>
  <si>
    <r>
      <t xml:space="preserve">0111-5
</t>
    </r>
    <r>
      <rPr>
        <strike/>
        <sz val="11"/>
        <color rgb="FFFF0000"/>
        <rFont val="Times New Roman"/>
        <family val="1"/>
      </rPr>
      <t>0121-5</t>
    </r>
    <r>
      <rPr>
        <sz val="11"/>
        <color theme="1"/>
        <rFont val="Calibri"/>
        <family val="2"/>
        <scheme val="minor"/>
      </rPr>
      <t/>
    </r>
  </si>
  <si>
    <r>
      <t xml:space="preserve">0111-6
</t>
    </r>
    <r>
      <rPr>
        <strike/>
        <sz val="11"/>
        <color rgb="FFFF0000"/>
        <rFont val="Times New Roman"/>
        <family val="1"/>
      </rPr>
      <t>0121-6</t>
    </r>
    <r>
      <rPr>
        <sz val="11"/>
        <color theme="1"/>
        <rFont val="Calibri"/>
        <family val="2"/>
        <scheme val="minor"/>
      </rPr>
      <t/>
    </r>
  </si>
  <si>
    <r>
      <t xml:space="preserve">0111-7
</t>
    </r>
    <r>
      <rPr>
        <strike/>
        <sz val="11"/>
        <color rgb="FFFF0000"/>
        <rFont val="Times New Roman"/>
        <family val="1"/>
      </rPr>
      <t>0121-7</t>
    </r>
    <r>
      <rPr>
        <sz val="11"/>
        <color theme="1"/>
        <rFont val="Calibri"/>
        <family val="2"/>
        <scheme val="minor"/>
      </rPr>
      <t/>
    </r>
  </si>
  <si>
    <r>
      <t xml:space="preserve">0111-8
</t>
    </r>
    <r>
      <rPr>
        <strike/>
        <sz val="11"/>
        <color rgb="FFFF0000"/>
        <rFont val="Times New Roman"/>
        <family val="1"/>
      </rPr>
      <t>0121-8</t>
    </r>
    <r>
      <rPr>
        <sz val="11"/>
        <color theme="1"/>
        <rFont val="Calibri"/>
        <family val="2"/>
        <scheme val="minor"/>
      </rPr>
      <t/>
    </r>
  </si>
  <si>
    <r>
      <t xml:space="preserve">0111-9
</t>
    </r>
    <r>
      <rPr>
        <strike/>
        <sz val="11"/>
        <color rgb="FFFF0000"/>
        <rFont val="Times New Roman"/>
        <family val="1"/>
      </rPr>
      <t>0121-9</t>
    </r>
    <r>
      <rPr>
        <sz val="11"/>
        <color theme="1"/>
        <rFont val="Calibri"/>
        <family val="2"/>
        <scheme val="minor"/>
      </rPr>
      <t/>
    </r>
  </si>
  <si>
    <r>
      <t xml:space="preserve">0111-10
</t>
    </r>
    <r>
      <rPr>
        <strike/>
        <sz val="11"/>
        <color rgb="FFFF0000"/>
        <rFont val="Times New Roman"/>
        <family val="1"/>
      </rPr>
      <t>0121-10</t>
    </r>
    <r>
      <rPr>
        <sz val="11"/>
        <color theme="1"/>
        <rFont val="Calibri"/>
        <family val="2"/>
        <scheme val="minor"/>
      </rPr>
      <t/>
    </r>
  </si>
  <si>
    <r>
      <t xml:space="preserve">Fwd float drive arm
</t>
    </r>
    <r>
      <rPr>
        <strike/>
        <sz val="11"/>
        <color rgb="FFFF0000"/>
        <rFont val="Times New Roman"/>
        <family val="1"/>
      </rPr>
      <t>Aft float drive arm</t>
    </r>
  </si>
  <si>
    <r>
      <t xml:space="preserve">0112-2
</t>
    </r>
    <r>
      <rPr>
        <strike/>
        <sz val="11"/>
        <color rgb="FFFF0000"/>
        <rFont val="Times New Roman"/>
        <family val="1"/>
      </rPr>
      <t>0122-2</t>
    </r>
    <r>
      <rPr>
        <sz val="11"/>
        <color theme="1"/>
        <rFont val="Calibri"/>
        <family val="2"/>
        <scheme val="minor"/>
      </rPr>
      <t/>
    </r>
  </si>
  <si>
    <r>
      <t xml:space="preserve">0112-3
</t>
    </r>
    <r>
      <rPr>
        <strike/>
        <sz val="11"/>
        <color rgb="FFFF0000"/>
        <rFont val="Times New Roman"/>
        <family val="1"/>
      </rPr>
      <t>0122-3</t>
    </r>
    <r>
      <rPr>
        <sz val="11"/>
        <color theme="1"/>
        <rFont val="Calibri"/>
        <family val="2"/>
        <scheme val="minor"/>
      </rPr>
      <t/>
    </r>
  </si>
  <si>
    <r>
      <t xml:space="preserve">0113-1
</t>
    </r>
    <r>
      <rPr>
        <strike/>
        <sz val="11"/>
        <color rgb="FFFF0000"/>
        <rFont val="Times New Roman"/>
        <family val="1"/>
      </rPr>
      <t>0123-1</t>
    </r>
  </si>
  <si>
    <r>
      <t xml:space="preserve">Fwd float idler arm
</t>
    </r>
    <r>
      <rPr>
        <strike/>
        <sz val="11"/>
        <color rgb="FFFF0000"/>
        <rFont val="Times New Roman"/>
        <family val="1"/>
      </rPr>
      <t>Aft float idler arm</t>
    </r>
  </si>
  <si>
    <r>
      <t xml:space="preserve">0113-2
</t>
    </r>
    <r>
      <rPr>
        <strike/>
        <sz val="11"/>
        <color rgb="FFFF0000"/>
        <rFont val="Times New Roman"/>
        <family val="1"/>
      </rPr>
      <t>0123-2</t>
    </r>
    <r>
      <rPr>
        <sz val="11"/>
        <color theme="1"/>
        <rFont val="Calibri"/>
        <family val="2"/>
        <scheme val="minor"/>
      </rPr>
      <t/>
    </r>
  </si>
  <si>
    <r>
      <t xml:space="preserve">0113-3
</t>
    </r>
    <r>
      <rPr>
        <strike/>
        <sz val="11"/>
        <color rgb="FFFF0000"/>
        <rFont val="Times New Roman"/>
        <family val="1"/>
      </rPr>
      <t>0123-3</t>
    </r>
    <r>
      <rPr>
        <sz val="11"/>
        <color theme="1"/>
        <rFont val="Calibri"/>
        <family val="2"/>
        <scheme val="minor"/>
      </rPr>
      <t/>
    </r>
  </si>
  <si>
    <r>
      <t xml:space="preserve">PTO Hull - STBD
</t>
    </r>
    <r>
      <rPr>
        <strike/>
        <sz val="11"/>
        <color rgb="FFFF0000"/>
        <rFont val="Times New Roman"/>
        <family val="1"/>
      </rPr>
      <t>PTO Hull - PORT</t>
    </r>
  </si>
  <si>
    <r>
      <t xml:space="preserve">0133-1
</t>
    </r>
    <r>
      <rPr>
        <strike/>
        <sz val="11"/>
        <color rgb="FFFF0000"/>
        <rFont val="Times New Roman"/>
        <family val="1"/>
      </rPr>
      <t>0134-1</t>
    </r>
  </si>
  <si>
    <r>
      <t xml:space="preserve">0133-2
</t>
    </r>
    <r>
      <rPr>
        <strike/>
        <sz val="11"/>
        <color rgb="FFFF0000"/>
        <rFont val="Times New Roman"/>
        <family val="1"/>
      </rPr>
      <t>0134-2</t>
    </r>
    <r>
      <rPr>
        <sz val="11"/>
        <color theme="1"/>
        <rFont val="Calibri"/>
        <family val="2"/>
        <scheme val="minor"/>
      </rPr>
      <t/>
    </r>
  </si>
  <si>
    <r>
      <t xml:space="preserve">0133-3
</t>
    </r>
    <r>
      <rPr>
        <strike/>
        <sz val="11"/>
        <color rgb="FFFF0000"/>
        <rFont val="Times New Roman"/>
        <family val="1"/>
      </rPr>
      <t>0134-3</t>
    </r>
    <r>
      <rPr>
        <sz val="11"/>
        <color theme="1"/>
        <rFont val="Calibri"/>
        <family val="2"/>
        <scheme val="minor"/>
      </rPr>
      <t/>
    </r>
  </si>
  <si>
    <r>
      <t>0111-11
0121-11</t>
    </r>
    <r>
      <rPr>
        <sz val="11"/>
        <color theme="1"/>
        <rFont val="Calibri"/>
        <family val="2"/>
        <scheme val="minor"/>
      </rPr>
      <t/>
    </r>
  </si>
  <si>
    <t>Forward float
Aft float</t>
  </si>
  <si>
    <t>0112-1
0122-1</t>
  </si>
  <si>
    <t>Fwd float drive arm
Aft float drive 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</si>
</sst>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41"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7.5"/>
      <color indexed="12"/>
      <name val="Arial"/>
      <family val="2"/>
    </font>
    <font>
      <sz val="11"/>
      <name val="Calibri"/>
      <family val="2"/>
      <scheme val="minor"/>
    </font>
    <font>
      <b/>
      <sz val="18"/>
      <name val="Calibri"/>
      <family val="2"/>
      <scheme val="minor"/>
    </font>
    <font>
      <b/>
      <sz val="16"/>
      <name val="Times New Roman"/>
      <family val="1"/>
    </font>
    <font>
      <sz val="16"/>
      <name val="Calibri"/>
      <family val="2"/>
      <scheme val="minor"/>
    </font>
    <font>
      <b/>
      <sz val="11"/>
      <name val="Times New Roman"/>
      <family val="1"/>
    </font>
    <font>
      <b/>
      <sz val="11"/>
      <name val="Calibri"/>
      <family val="2"/>
      <scheme val="minor"/>
    </font>
    <font>
      <b/>
      <sz val="12"/>
      <name val="Times New Roman"/>
      <family val="1"/>
    </font>
    <font>
      <i/>
      <sz val="11"/>
      <name val="Times New Roman"/>
      <family val="1"/>
    </font>
    <font>
      <sz val="9"/>
      <name val="Times New Roman"/>
      <family val="1"/>
    </font>
    <font>
      <strike/>
      <sz val="11"/>
      <color rgb="FFFF0000"/>
      <name val="Times New Roman"/>
      <family val="1"/>
    </font>
  </fonts>
  <fills count="29">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4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30370">
    <xf numFmtId="0" fontId="0" fillId="0" borderId="0"/>
    <xf numFmtId="43" fontId="4" fillId="0" borderId="0" applyFont="0" applyFill="0" applyBorder="0" applyAlignment="0" applyProtection="0"/>
    <xf numFmtId="0" fontId="12" fillId="0" borderId="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6"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17"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5" fillId="8" borderId="0" applyNumberFormat="0" applyBorder="0" applyAlignment="0" applyProtection="0"/>
    <xf numFmtId="0" fontId="20" fillId="0" borderId="38" applyNumberFormat="0" applyFill="0" applyAlignment="0" applyProtection="0"/>
    <xf numFmtId="0" fontId="21" fillId="0" borderId="39" applyNumberFormat="0" applyFill="0" applyAlignment="0" applyProtection="0"/>
    <xf numFmtId="0" fontId="22" fillId="0" borderId="40" applyNumberFormat="0" applyFill="0" applyAlignment="0" applyProtection="0"/>
    <xf numFmtId="0" fontId="22" fillId="0" borderId="0" applyNumberFormat="0" applyFill="0" applyBorder="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4" fillId="0" borderId="42" applyNumberFormat="0" applyFill="0" applyAlignment="0" applyProtection="0"/>
    <xf numFmtId="0" fontId="17" fillId="26" borderId="43" applyNumberFormat="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4" borderId="0" applyNumberFormat="0" applyBorder="0" applyAlignment="0" applyProtection="0"/>
    <xf numFmtId="0" fontId="19" fillId="9" borderId="0" applyNumberFormat="0" applyBorder="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8" fillId="0" borderId="0" applyNumberFormat="0" applyFill="0" applyBorder="0" applyAlignment="0" applyProtection="0"/>
    <xf numFmtId="0" fontId="19" fillId="9" borderId="0" applyNumberFormat="0" applyBorder="0" applyAlignment="0" applyProtection="0"/>
    <xf numFmtId="0" fontId="20" fillId="0" borderId="38" applyNumberFormat="0" applyFill="0" applyAlignment="0" applyProtection="0"/>
    <xf numFmtId="0" fontId="21" fillId="0" borderId="39" applyNumberFormat="0" applyFill="0" applyAlignment="0" applyProtection="0"/>
    <xf numFmtId="0" fontId="22" fillId="0" borderId="40" applyNumberFormat="0" applyFill="0" applyAlignment="0" applyProtection="0"/>
    <xf numFmtId="0" fontId="22" fillId="0" borderId="0" applyNumberFormat="0" applyFill="0" applyBorder="0" applyAlignment="0" applyProtection="0"/>
    <xf numFmtId="0" fontId="30" fillId="0" borderId="0" applyNumberFormat="0" applyFill="0" applyBorder="0" applyAlignment="0" applyProtection="0">
      <alignment vertical="top"/>
      <protection locked="0"/>
    </xf>
    <xf numFmtId="0" fontId="15" fillId="8" borderId="0" applyNumberFormat="0" applyBorder="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4" fillId="0" borderId="42" applyNumberFormat="0" applyFill="0" applyAlignment="0" applyProtection="0"/>
    <xf numFmtId="0" fontId="25" fillId="27" borderId="0" applyNumberFormat="0" applyBorder="0" applyAlignment="0" applyProtection="0"/>
    <xf numFmtId="0" fontId="25" fillId="27" borderId="0" applyNumberFormat="0" applyBorder="0" applyAlignment="0" applyProtection="0"/>
    <xf numFmtId="0" fontId="12" fillId="0" borderId="0"/>
    <xf numFmtId="0" fontId="12" fillId="0" borderId="0"/>
    <xf numFmtId="0" fontId="12"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9" fillId="0" borderId="0" applyNumberFormat="0" applyFill="0" applyBorder="0" applyAlignment="0" applyProtection="0"/>
    <xf numFmtId="0" fontId="1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17" fillId="26" borderId="43" applyNumberFormat="0" applyAlignment="0" applyProtection="0"/>
    <xf numFmtId="0" fontId="29" fillId="0" borderId="0" applyNumberFormat="0" applyFill="0" applyBorder="0" applyAlignment="0" applyProtection="0"/>
    <xf numFmtId="0" fontId="16" fillId="25" borderId="41" applyNumberFormat="0" applyAlignment="0" applyProtection="0"/>
    <xf numFmtId="0" fontId="4" fillId="0" borderId="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4" fillId="0" borderId="0"/>
    <xf numFmtId="0" fontId="26" fillId="25" borderId="45" applyNumberFormat="0" applyAlignment="0" applyProtection="0"/>
    <xf numFmtId="0" fontId="4" fillId="0" borderId="0"/>
    <xf numFmtId="0" fontId="4" fillId="0" borderId="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1" applyNumberFormat="0" applyAlignment="0" applyProtection="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4" fillId="0" borderId="0"/>
    <xf numFmtId="0" fontId="16" fillId="25" borderId="41" applyNumberFormat="0" applyAlignment="0" applyProtection="0"/>
    <xf numFmtId="0" fontId="4" fillId="0" borderId="0"/>
    <xf numFmtId="0" fontId="4" fillId="0" borderId="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12" fillId="28" borderId="44" applyNumberFormat="0" applyFont="0" applyAlignment="0" applyProtection="0"/>
    <xf numFmtId="0" fontId="4" fillId="0" borderId="0"/>
    <xf numFmtId="0" fontId="4" fillId="0" borderId="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23" fillId="12" borderId="41"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28" borderId="44"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6" borderId="0" applyNumberFormat="0" applyBorder="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6" fillId="25" borderId="41" applyNumberFormat="0" applyAlignment="0" applyProtection="0"/>
    <xf numFmtId="0" fontId="16" fillId="25" borderId="41" applyNumberFormat="0" applyAlignment="0" applyProtection="0"/>
    <xf numFmtId="0" fontId="28" fillId="0" borderId="46" applyNumberFormat="0" applyFill="0" applyAlignment="0" applyProtection="0"/>
    <xf numFmtId="0" fontId="23" fillId="12" borderId="41" applyNumberForma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6" fillId="25"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28" fillId="0" borderId="46" applyNumberFormat="0" applyFill="0" applyAlignment="0" applyProtection="0"/>
    <xf numFmtId="0" fontId="16" fillId="25"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8" fillId="0" borderId="46" applyNumberFormat="0" applyFill="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28" fillId="0" borderId="46" applyNumberFormat="0" applyFill="0" applyAlignment="0" applyProtection="0"/>
    <xf numFmtId="0" fontId="26" fillId="25" borderId="45" applyNumberForma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8" fillId="0" borderId="46" applyNumberFormat="0" applyFill="0" applyAlignment="0" applyProtection="0"/>
    <xf numFmtId="0" fontId="28" fillId="0" borderId="46" applyNumberFormat="0" applyFill="0" applyAlignment="0" applyProtection="0"/>
    <xf numFmtId="0" fontId="26" fillId="25" borderId="45"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8" fillId="0" borderId="46" applyNumberFormat="0" applyFill="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6" fillId="25" borderId="41" applyNumberFormat="0" applyAlignment="0" applyProtection="0"/>
    <xf numFmtId="0" fontId="26" fillId="25" borderId="45" applyNumberFormat="0" applyAlignment="0" applyProtection="0"/>
    <xf numFmtId="0" fontId="26" fillId="25" borderId="45" applyNumberFormat="0" applyAlignment="0" applyProtection="0"/>
    <xf numFmtId="0" fontId="12" fillId="28" borderId="44" applyNumberFormat="0" applyFont="0" applyAlignment="0" applyProtection="0"/>
    <xf numFmtId="0" fontId="16" fillId="25" borderId="41" applyNumberFormat="0" applyAlignment="0" applyProtection="0"/>
    <xf numFmtId="0" fontId="23" fillId="12" borderId="41" applyNumberFormat="0" applyAlignment="0" applyProtection="0"/>
    <xf numFmtId="0" fontId="23" fillId="12" borderId="41" applyNumberFormat="0" applyAlignment="0" applyProtection="0"/>
    <xf numFmtId="0" fontId="16" fillId="25" borderId="41" applyNumberFormat="0" applyAlignment="0" applyProtection="0"/>
    <xf numFmtId="0" fontId="23" fillId="12" borderId="41" applyNumberFormat="0" applyAlignment="0" applyProtection="0"/>
    <xf numFmtId="0" fontId="12" fillId="28" borderId="44" applyNumberFormat="0" applyFont="0" applyAlignment="0" applyProtection="0"/>
    <xf numFmtId="0" fontId="26" fillId="25" borderId="45" applyNumberFormat="0" applyAlignment="0" applyProtection="0"/>
    <xf numFmtId="0" fontId="12" fillId="28" borderId="44" applyNumberFormat="0" applyFont="0" applyAlignment="0" applyProtection="0"/>
    <xf numFmtId="0" fontId="23" fillId="12"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6" fillId="25" borderId="41" applyNumberForma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12" fillId="28" borderId="44" applyNumberFormat="0" applyFont="0" applyAlignment="0" applyProtection="0"/>
    <xf numFmtId="0" fontId="23" fillId="12" borderId="41" applyNumberFormat="0" applyAlignment="0" applyProtection="0"/>
    <xf numFmtId="0" fontId="4" fillId="0" borderId="0"/>
    <xf numFmtId="0" fontId="4" fillId="0" borderId="0"/>
  </cellStyleXfs>
  <cellXfs count="169">
    <xf numFmtId="0" fontId="0" fillId="0" borderId="0" xfId="0"/>
    <xf numFmtId="0" fontId="0" fillId="0" borderId="0" xfId="0" applyAlignment="1">
      <alignment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20"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1" fillId="0" borderId="0" xfId="0" applyFont="1" applyAlignment="1">
      <alignment horizontal="center"/>
    </xf>
    <xf numFmtId="0" fontId="5" fillId="0" borderId="0" xfId="0" applyFont="1" applyAlignment="1">
      <alignment horizontal="center"/>
    </xf>
    <xf numFmtId="0" fontId="8" fillId="0" borderId="25"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8" xfId="0" applyFont="1" applyBorder="1" applyAlignment="1">
      <alignment horizontal="center"/>
    </xf>
    <xf numFmtId="168" fontId="8" fillId="0" borderId="20" xfId="0" applyNumberFormat="1" applyFont="1" applyBorder="1" applyAlignment="1">
      <alignment horizontal="center" vertical="center"/>
    </xf>
    <xf numFmtId="168" fontId="8" fillId="0" borderId="16" xfId="0" applyNumberFormat="1" applyFont="1" applyBorder="1" applyAlignment="1">
      <alignment horizontal="center" vertical="center"/>
    </xf>
    <xf numFmtId="167" fontId="8" fillId="0" borderId="16" xfId="0" applyNumberFormat="1" applyFont="1" applyBorder="1" applyAlignment="1">
      <alignment horizontal="center" vertical="center"/>
    </xf>
    <xf numFmtId="165" fontId="8" fillId="0" borderId="16" xfId="0" applyNumberFormat="1" applyFont="1" applyBorder="1" applyAlignment="1">
      <alignment horizontal="center" vertical="center"/>
    </xf>
    <xf numFmtId="164" fontId="8" fillId="0" borderId="16" xfId="0" applyNumberFormat="1" applyFont="1" applyBorder="1" applyAlignment="1">
      <alignment horizontal="center" vertical="center"/>
    </xf>
    <xf numFmtId="166" fontId="8" fillId="0" borderId="16" xfId="0" applyNumberFormat="1" applyFont="1" applyBorder="1" applyAlignment="1">
      <alignment horizontal="center" vertical="center"/>
    </xf>
    <xf numFmtId="166" fontId="8" fillId="0" borderId="17" xfId="0" applyNumberFormat="1" applyFont="1" applyBorder="1" applyAlignment="1">
      <alignment horizontal="center" vertical="center"/>
    </xf>
    <xf numFmtId="0" fontId="8" fillId="0" borderId="27" xfId="0" applyFont="1" applyBorder="1" applyAlignment="1">
      <alignment horizontal="center" vertical="center" wrapText="1"/>
    </xf>
    <xf numFmtId="3" fontId="8" fillId="0" borderId="21" xfId="1" applyNumberFormat="1" applyFont="1" applyBorder="1" applyAlignment="1">
      <alignment horizontal="center" vertical="center"/>
    </xf>
    <xf numFmtId="3" fontId="8" fillId="0" borderId="12" xfId="1" applyNumberFormat="1" applyFont="1" applyBorder="1" applyAlignment="1">
      <alignment horizontal="center" vertical="center"/>
    </xf>
    <xf numFmtId="3" fontId="8" fillId="0" borderId="19" xfId="1" applyNumberFormat="1" applyFont="1" applyBorder="1" applyAlignment="1">
      <alignment horizontal="center" vertical="center"/>
    </xf>
    <xf numFmtId="3" fontId="0" fillId="0" borderId="0" xfId="0" applyNumberFormat="1"/>
    <xf numFmtId="0" fontId="10" fillId="0" borderId="0" xfId="0" applyFont="1"/>
    <xf numFmtId="0" fontId="11" fillId="0" borderId="0" xfId="0" applyFont="1"/>
    <xf numFmtId="0" fontId="10" fillId="0" borderId="22" xfId="0" applyFont="1" applyBorder="1" applyAlignment="1">
      <alignment horizontal="center" wrapText="1"/>
    </xf>
    <xf numFmtId="0" fontId="10" fillId="0" borderId="24" xfId="0" applyFont="1" applyBorder="1" applyAlignment="1">
      <alignment horizontal="center" wrapText="1"/>
    </xf>
    <xf numFmtId="0" fontId="10" fillId="0" borderId="31" xfId="0" applyFont="1" applyBorder="1" applyAlignment="1">
      <alignment horizontal="center"/>
    </xf>
    <xf numFmtId="0" fontId="10" fillId="0" borderId="32" xfId="0" applyFont="1" applyBorder="1" applyAlignment="1">
      <alignment horizontal="center" wrapText="1"/>
    </xf>
    <xf numFmtId="0" fontId="10"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0" fontId="1" fillId="0" borderId="0" xfId="0" applyFont="1"/>
    <xf numFmtId="0" fontId="0" fillId="0" borderId="8" xfId="0" applyBorder="1" applyAlignment="1">
      <alignment horizontal="left"/>
    </xf>
    <xf numFmtId="0" fontId="0" fillId="0" borderId="8" xfId="0" quotePrefix="1" applyBorder="1"/>
    <xf numFmtId="0" fontId="31" fillId="0" borderId="0" xfId="0" applyFont="1" applyAlignment="1">
      <alignment wrapText="1"/>
    </xf>
    <xf numFmtId="0" fontId="33" fillId="0" borderId="0" xfId="0" applyFont="1" applyAlignment="1"/>
    <xf numFmtId="0" fontId="34" fillId="0" borderId="0" xfId="0" applyFont="1" applyAlignment="1">
      <alignment wrapText="1"/>
    </xf>
    <xf numFmtId="0" fontId="35" fillId="0" borderId="5" xfId="0" applyFont="1" applyBorder="1" applyAlignment="1">
      <alignment horizontal="center" vertical="center" wrapText="1"/>
    </xf>
    <xf numFmtId="0" fontId="35" fillId="0" borderId="2" xfId="0" applyFont="1" applyBorder="1" applyAlignment="1">
      <alignment horizontal="center" vertical="center" wrapText="1"/>
    </xf>
    <xf numFmtId="0" fontId="35" fillId="0" borderId="2" xfId="0" applyFont="1" applyBorder="1" applyAlignment="1">
      <alignment horizontal="center" vertical="center" textRotation="90" wrapText="1"/>
    </xf>
    <xf numFmtId="0" fontId="35" fillId="0" borderId="22" xfId="0" applyFont="1" applyBorder="1" applyAlignment="1">
      <alignment vertical="center" textRotation="90" wrapText="1"/>
    </xf>
    <xf numFmtId="0" fontId="35" fillId="0" borderId="23" xfId="0" applyFont="1" applyBorder="1" applyAlignment="1">
      <alignment vertical="center" textRotation="90" wrapText="1"/>
    </xf>
    <xf numFmtId="0" fontId="35" fillId="0" borderId="24" xfId="0" applyFont="1" applyBorder="1" applyAlignment="1">
      <alignment vertical="center" textRotation="90" wrapText="1"/>
    </xf>
    <xf numFmtId="0" fontId="36" fillId="0" borderId="0" xfId="0" applyFont="1" applyAlignment="1">
      <alignment wrapText="1"/>
    </xf>
    <xf numFmtId="0" fontId="36" fillId="0" borderId="16" xfId="0" applyFont="1" applyFill="1" applyBorder="1" applyAlignment="1">
      <alignment horizontal="center" vertical="center"/>
    </xf>
    <xf numFmtId="0" fontId="36" fillId="0" borderId="8" xfId="0" applyFont="1" applyFill="1" applyBorder="1" applyAlignment="1">
      <alignment horizontal="center" vertical="center"/>
    </xf>
    <xf numFmtId="0" fontId="36" fillId="0" borderId="12" xfId="0" applyFont="1" applyFill="1" applyBorder="1" applyAlignment="1">
      <alignment horizontal="center" vertical="center"/>
    </xf>
    <xf numFmtId="0" fontId="9" fillId="0" borderId="9" xfId="0" applyFont="1" applyFill="1" applyBorder="1" applyAlignment="1">
      <alignment horizontal="left" vertical="top" wrapText="1"/>
    </xf>
    <xf numFmtId="0" fontId="9" fillId="0" borderId="9" xfId="0" applyFont="1" applyFill="1" applyBorder="1" applyAlignment="1">
      <alignment horizontal="center" vertical="center" wrapText="1"/>
    </xf>
    <xf numFmtId="0" fontId="31" fillId="0" borderId="0" xfId="0" applyFont="1" applyFill="1" applyAlignment="1">
      <alignment wrapText="1"/>
    </xf>
    <xf numFmtId="0" fontId="36" fillId="0" borderId="17" xfId="0" applyFont="1" applyFill="1" applyBorder="1" applyAlignment="1">
      <alignment horizontal="center" vertical="center"/>
    </xf>
    <xf numFmtId="0" fontId="36" fillId="0" borderId="18" xfId="0" applyFont="1" applyFill="1" applyBorder="1" applyAlignment="1">
      <alignment horizontal="center" vertical="center"/>
    </xf>
    <xf numFmtId="0" fontId="36" fillId="0" borderId="19" xfId="0" applyFont="1" applyFill="1" applyBorder="1" applyAlignment="1">
      <alignment horizontal="center" vertical="center"/>
    </xf>
    <xf numFmtId="0" fontId="39" fillId="0" borderId="0" xfId="0" applyFont="1" applyAlignment="1">
      <alignment vertical="center"/>
    </xf>
    <xf numFmtId="0" fontId="31" fillId="0" borderId="0" xfId="0" applyFont="1" applyAlignment="1">
      <alignment horizontal="center" wrapText="1"/>
    </xf>
    <xf numFmtId="0" fontId="31" fillId="0" borderId="0" xfId="0" applyFont="1" applyBorder="1" applyAlignment="1">
      <alignment horizontal="center" wrapText="1"/>
    </xf>
    <xf numFmtId="0" fontId="36" fillId="0" borderId="0" xfId="0" applyFont="1" applyBorder="1" applyAlignment="1">
      <alignment horizontal="left"/>
    </xf>
    <xf numFmtId="0" fontId="31" fillId="0" borderId="0" xfId="0" applyFont="1" applyBorder="1" applyAlignment="1">
      <alignment wrapText="1"/>
    </xf>
    <xf numFmtId="0" fontId="36" fillId="0" borderId="0" xfId="0" applyFont="1" applyBorder="1" applyAlignment="1">
      <alignment horizontal="center" wrapText="1"/>
    </xf>
    <xf numFmtId="0" fontId="36" fillId="0" borderId="0" xfId="0" applyFont="1" applyFill="1" applyBorder="1" applyAlignment="1">
      <alignment vertical="center" wrapText="1"/>
    </xf>
    <xf numFmtId="0" fontId="36" fillId="0" borderId="0" xfId="0" applyFont="1" applyFill="1" applyBorder="1" applyAlignment="1">
      <alignment horizontal="center" vertical="center"/>
    </xf>
    <xf numFmtId="16" fontId="36" fillId="0" borderId="0" xfId="0" applyNumberFormat="1" applyFont="1" applyFill="1" applyBorder="1" applyAlignment="1">
      <alignment horizontal="center" vertical="center" wrapText="1"/>
    </xf>
    <xf numFmtId="0" fontId="36" fillId="0" borderId="0" xfId="0" applyFont="1" applyFill="1" applyBorder="1" applyAlignment="1">
      <alignment horizontal="center" vertical="center" wrapText="1"/>
    </xf>
    <xf numFmtId="0" fontId="36" fillId="0" borderId="0" xfId="0" applyFont="1" applyBorder="1" applyAlignment="1">
      <alignment vertical="center" wrapText="1"/>
    </xf>
    <xf numFmtId="16" fontId="36" fillId="0" borderId="0" xfId="0" applyNumberFormat="1" applyFont="1" applyBorder="1" applyAlignment="1">
      <alignment horizontal="center" vertical="center" wrapText="1"/>
    </xf>
    <xf numFmtId="0" fontId="36" fillId="0" borderId="0" xfId="0" applyFont="1" applyBorder="1" applyAlignment="1">
      <alignment horizontal="center" vertical="center"/>
    </xf>
    <xf numFmtId="0" fontId="36" fillId="0" borderId="0" xfId="0" applyFont="1" applyBorder="1" applyAlignment="1">
      <alignment horizontal="center" vertical="center" wrapText="1"/>
    </xf>
    <xf numFmtId="0" fontId="36" fillId="0" borderId="0" xfId="0" applyFont="1" applyFill="1" applyBorder="1"/>
    <xf numFmtId="49" fontId="9" fillId="0" borderId="1" xfId="0" applyNumberFormat="1" applyFont="1" applyFill="1" applyBorder="1" applyAlignment="1">
      <alignment vertical="top" wrapText="1"/>
    </xf>
    <xf numFmtId="0" fontId="9" fillId="0" borderId="1" xfId="0" applyFont="1" applyFill="1" applyBorder="1" applyAlignment="1">
      <alignment vertical="top" wrapText="1"/>
    </xf>
    <xf numFmtId="0" fontId="9" fillId="0" borderId="1" xfId="0" applyFont="1" applyFill="1" applyBorder="1" applyAlignment="1">
      <alignment horizontal="left" vertical="top" wrapText="1"/>
    </xf>
    <xf numFmtId="0" fontId="9" fillId="0" borderId="1" xfId="0" applyFont="1" applyFill="1" applyBorder="1" applyAlignment="1">
      <alignment horizontal="center" vertical="top" wrapText="1"/>
    </xf>
    <xf numFmtId="0" fontId="37" fillId="0" borderId="1" xfId="0" applyFont="1" applyFill="1" applyBorder="1" applyAlignment="1">
      <alignment horizontal="center" vertical="center" wrapText="1"/>
    </xf>
    <xf numFmtId="0" fontId="37" fillId="0" borderId="16" xfId="0" applyFont="1" applyFill="1" applyBorder="1" applyAlignment="1">
      <alignment horizontal="center" vertical="center" wrapText="1"/>
    </xf>
    <xf numFmtId="0" fontId="37" fillId="0" borderId="8" xfId="0" applyFont="1" applyFill="1" applyBorder="1" applyAlignment="1">
      <alignment horizontal="center" vertical="center" wrapText="1"/>
    </xf>
    <xf numFmtId="0" fontId="37" fillId="0" borderId="12" xfId="0" applyFont="1" applyFill="1" applyBorder="1" applyAlignment="1">
      <alignment horizontal="center" vertical="center" wrapText="1"/>
    </xf>
    <xf numFmtId="0" fontId="9" fillId="0" borderId="30" xfId="0" applyFont="1" applyFill="1" applyBorder="1" applyAlignment="1">
      <alignment horizontal="left" vertical="top" wrapText="1"/>
    </xf>
    <xf numFmtId="0" fontId="9" fillId="0" borderId="48" xfId="0" applyFont="1" applyFill="1" applyBorder="1" applyAlignment="1">
      <alignment horizontal="left" vertical="top" wrapText="1"/>
    </xf>
    <xf numFmtId="0" fontId="9" fillId="0" borderId="1" xfId="0" applyFont="1" applyFill="1" applyBorder="1" applyAlignment="1">
      <alignment horizontal="center" vertical="center" wrapText="1"/>
    </xf>
    <xf numFmtId="0" fontId="9" fillId="0" borderId="8" xfId="0" applyFont="1" applyFill="1" applyBorder="1" applyAlignment="1">
      <alignment horizontal="left" vertical="top" wrapText="1"/>
    </xf>
    <xf numFmtId="0" fontId="9" fillId="0" borderId="48" xfId="0" applyFont="1" applyFill="1" applyBorder="1" applyAlignment="1">
      <alignment vertical="top" wrapText="1"/>
    </xf>
    <xf numFmtId="49" fontId="9" fillId="0" borderId="6" xfId="0" applyNumberFormat="1" applyFont="1" applyFill="1" applyBorder="1" applyAlignment="1">
      <alignment vertical="top" wrapText="1"/>
    </xf>
    <xf numFmtId="0" fontId="9" fillId="0" borderId="6" xfId="0" applyFont="1" applyFill="1" applyBorder="1" applyAlignment="1">
      <alignment vertical="top" wrapText="1"/>
    </xf>
    <xf numFmtId="0" fontId="9" fillId="0" borderId="6" xfId="0" applyFont="1" applyFill="1" applyBorder="1" applyAlignment="1">
      <alignment horizontal="center" vertical="top" wrapText="1"/>
    </xf>
    <xf numFmtId="0" fontId="9" fillId="0" borderId="30" xfId="0" applyFont="1" applyFill="1" applyBorder="1" applyAlignment="1">
      <alignment vertical="top" wrapText="1"/>
    </xf>
    <xf numFmtId="0" fontId="37" fillId="0" borderId="6" xfId="0" applyFont="1" applyFill="1" applyBorder="1" applyAlignment="1">
      <alignment horizontal="center" vertical="center" wrapText="1"/>
    </xf>
    <xf numFmtId="0" fontId="37" fillId="0" borderId="13" xfId="0" applyFont="1" applyFill="1" applyBorder="1" applyAlignment="1">
      <alignment horizontal="center" vertical="center" wrapText="1"/>
    </xf>
    <xf numFmtId="0" fontId="37" fillId="0" borderId="14" xfId="0" applyFont="1" applyFill="1" applyBorder="1" applyAlignment="1">
      <alignment horizontal="center" vertical="center" wrapText="1"/>
    </xf>
    <xf numFmtId="0" fontId="37" fillId="0" borderId="15" xfId="0" applyFont="1" applyFill="1" applyBorder="1" applyAlignment="1">
      <alignment horizontal="center" vertical="center" wrapText="1"/>
    </xf>
    <xf numFmtId="0" fontId="9" fillId="0" borderId="6" xfId="0" applyFont="1" applyFill="1" applyBorder="1" applyAlignment="1">
      <alignment horizontal="left" vertical="top" wrapText="1"/>
    </xf>
    <xf numFmtId="0" fontId="36" fillId="0" borderId="13" xfId="0" applyFont="1" applyFill="1" applyBorder="1" applyAlignment="1">
      <alignment horizontal="center" vertical="center"/>
    </xf>
    <xf numFmtId="0" fontId="36" fillId="0" borderId="14" xfId="0" applyFont="1" applyFill="1" applyBorder="1" applyAlignment="1">
      <alignment horizontal="center" vertical="center"/>
    </xf>
    <xf numFmtId="0" fontId="36" fillId="0" borderId="15" xfId="0" applyFont="1" applyFill="1" applyBorder="1" applyAlignment="1">
      <alignment horizontal="center" vertical="center"/>
    </xf>
    <xf numFmtId="0" fontId="9" fillId="0" borderId="6" xfId="0" applyFont="1" applyFill="1" applyBorder="1" applyAlignment="1">
      <alignment horizontal="center" vertical="center" wrapText="1"/>
    </xf>
    <xf numFmtId="0" fontId="9" fillId="0" borderId="47" xfId="0" applyFont="1" applyFill="1" applyBorder="1" applyAlignment="1">
      <alignment vertical="top" wrapText="1"/>
    </xf>
    <xf numFmtId="49" fontId="9" fillId="0" borderId="9" xfId="0" applyNumberFormat="1" applyFont="1" applyFill="1" applyBorder="1" applyAlignment="1">
      <alignment vertical="top" wrapText="1"/>
    </xf>
    <xf numFmtId="0" fontId="9" fillId="0" borderId="9" xfId="0" applyFont="1" applyFill="1" applyBorder="1" applyAlignment="1">
      <alignment vertical="top" wrapText="1"/>
    </xf>
    <xf numFmtId="0" fontId="9" fillId="0" borderId="9" xfId="0" applyFont="1" applyFill="1" applyBorder="1" applyAlignment="1">
      <alignment horizontal="center" vertical="top" wrapText="1"/>
    </xf>
    <xf numFmtId="0" fontId="9" fillId="0" borderId="7" xfId="0" applyFont="1" applyFill="1" applyBorder="1" applyAlignment="1">
      <alignment vertical="top" wrapText="1"/>
    </xf>
    <xf numFmtId="0" fontId="38" fillId="0" borderId="7" xfId="0" applyFont="1" applyFill="1" applyBorder="1" applyAlignment="1">
      <alignment horizontal="center" vertical="top" wrapText="1"/>
    </xf>
    <xf numFmtId="0" fontId="38" fillId="0" borderId="7" xfId="0" applyFont="1" applyFill="1" applyBorder="1" applyAlignment="1">
      <alignment vertical="top" wrapText="1"/>
    </xf>
    <xf numFmtId="0" fontId="37" fillId="0" borderId="7" xfId="0" applyFont="1" applyFill="1" applyBorder="1" applyAlignment="1">
      <alignment horizontal="center" vertical="center" wrapText="1"/>
    </xf>
    <xf numFmtId="0" fontId="38" fillId="0" borderId="7" xfId="0" applyFont="1" applyFill="1" applyBorder="1" applyAlignment="1">
      <alignment horizontal="left" vertical="top" wrapText="1"/>
    </xf>
    <xf numFmtId="0" fontId="37" fillId="0" borderId="17" xfId="0" applyFont="1" applyFill="1" applyBorder="1" applyAlignment="1">
      <alignment horizontal="center" vertical="center" wrapText="1"/>
    </xf>
    <xf numFmtId="0" fontId="37" fillId="0" borderId="18" xfId="0" applyFont="1" applyFill="1" applyBorder="1" applyAlignment="1">
      <alignment horizontal="center" vertical="center" wrapText="1"/>
    </xf>
    <xf numFmtId="0" fontId="37" fillId="0" borderId="19" xfId="0" applyFont="1" applyFill="1" applyBorder="1" applyAlignment="1">
      <alignment horizontal="center" vertical="center" wrapText="1"/>
    </xf>
    <xf numFmtId="0" fontId="0" fillId="0" borderId="0" xfId="0" applyAlignment="1">
      <alignment horizontal="center"/>
    </xf>
    <xf numFmtId="0" fontId="32" fillId="0" borderId="0" xfId="0" applyFont="1" applyAlignment="1">
      <alignment horizontal="center" wrapText="1"/>
    </xf>
    <xf numFmtId="0" fontId="35" fillId="0" borderId="2" xfId="0" applyFont="1" applyBorder="1" applyAlignment="1">
      <alignment horizontal="center" wrapText="1"/>
    </xf>
    <xf numFmtId="0" fontId="35" fillId="0" borderId="3" xfId="0" applyFont="1" applyBorder="1" applyAlignment="1">
      <alignment horizontal="center" wrapText="1"/>
    </xf>
    <xf numFmtId="0" fontId="35" fillId="0" borderId="4" xfId="0" applyFont="1" applyBorder="1" applyAlignment="1">
      <alignment horizontal="center" wrapText="1"/>
    </xf>
    <xf numFmtId="0" fontId="36" fillId="0" borderId="2" xfId="0" applyFont="1" applyFill="1" applyBorder="1" applyAlignment="1">
      <alignment horizontal="center"/>
    </xf>
    <xf numFmtId="0" fontId="36" fillId="0" borderId="3" xfId="0" applyFont="1" applyFill="1" applyBorder="1" applyAlignment="1">
      <alignment horizontal="center"/>
    </xf>
    <xf numFmtId="0" fontId="36" fillId="0" borderId="4" xfId="0" applyFont="1" applyFill="1"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8" xfId="0" applyBorder="1" applyAlignment="1">
      <alignment horizontal="left"/>
    </xf>
    <xf numFmtId="0" fontId="0" fillId="0" borderId="8" xfId="0" quotePrefix="1" applyBorder="1" applyAlignment="1">
      <alignment horizontal="left"/>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5" borderId="28" xfId="0" applyFont="1" applyFill="1" applyBorder="1" applyAlignment="1">
      <alignment horizontal="center" vertical="center" wrapText="1"/>
    </xf>
    <xf numFmtId="0" fontId="8" fillId="5" borderId="27"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2" xfId="0" applyFont="1" applyBorder="1" applyAlignment="1">
      <alignment horizontal="center" vertical="center" wrapText="1"/>
    </xf>
    <xf numFmtId="0" fontId="8" fillId="5" borderId="17" xfId="0" applyFont="1" applyFill="1" applyBorder="1" applyAlignment="1">
      <alignment horizontal="center" vertical="center" wrapText="1"/>
    </xf>
    <xf numFmtId="0" fontId="8" fillId="5" borderId="19" xfId="0" applyFont="1" applyFill="1" applyBorder="1" applyAlignment="1">
      <alignment horizontal="center" vertical="center" wrapText="1"/>
    </xf>
    <xf numFmtId="0" fontId="8" fillId="0" borderId="11" xfId="0" applyFont="1" applyFill="1" applyBorder="1" applyAlignment="1">
      <alignment horizontal="center" vertical="center" wrapText="1"/>
    </xf>
    <xf numFmtId="0" fontId="8" fillId="0" borderId="36"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37"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27" xfId="0" applyFont="1" applyBorder="1" applyAlignment="1">
      <alignment horizontal="center" vertical="center" wrapText="1"/>
    </xf>
    <xf numFmtId="0" fontId="10" fillId="0" borderId="34" xfId="0" applyFont="1" applyBorder="1" applyAlignment="1">
      <alignment horizontal="center" wrapText="1"/>
    </xf>
    <xf numFmtId="0" fontId="10" fillId="0" borderId="32" xfId="0" applyFont="1" applyBorder="1" applyAlignment="1">
      <alignment horizontal="center" wrapText="1"/>
    </xf>
    <xf numFmtId="0" fontId="10" fillId="0" borderId="29" xfId="0" applyFont="1" applyFill="1" applyBorder="1" applyAlignment="1">
      <alignment horizontal="center" wrapText="1"/>
    </xf>
    <xf numFmtId="0" fontId="10" fillId="0" borderId="3" xfId="0" applyFont="1" applyFill="1" applyBorder="1" applyAlignment="1">
      <alignment horizontal="center" wrapText="1"/>
    </xf>
    <xf numFmtId="0" fontId="10" fillId="0" borderId="2" xfId="0" applyFont="1" applyBorder="1" applyAlignment="1">
      <alignment horizontal="center" wrapText="1"/>
    </xf>
    <xf numFmtId="0" fontId="10" fillId="0" borderId="4" xfId="0" applyFont="1" applyBorder="1" applyAlignment="1">
      <alignment horizontal="center" wrapText="1"/>
    </xf>
    <xf numFmtId="0" fontId="8" fillId="0" borderId="26" xfId="0" applyFont="1" applyBorder="1" applyAlignment="1">
      <alignment horizontal="center" vertical="center" wrapText="1"/>
    </xf>
    <xf numFmtId="0" fontId="8" fillId="0" borderId="25" xfId="0" applyFont="1" applyBorder="1" applyAlignment="1">
      <alignment horizontal="center" vertical="center" wrapText="1"/>
    </xf>
    <xf numFmtId="0" fontId="10" fillId="0" borderId="31" xfId="0" applyFont="1" applyBorder="1" applyAlignment="1">
      <alignment horizontal="center" wrapText="1"/>
    </xf>
    <xf numFmtId="0" fontId="10" fillId="0" borderId="33" xfId="0" applyFont="1" applyBorder="1" applyAlignment="1">
      <alignment horizontal="center" wrapText="1"/>
    </xf>
    <xf numFmtId="0" fontId="10" fillId="0" borderId="8" xfId="0" applyFont="1" applyBorder="1" applyAlignment="1">
      <alignment horizontal="center"/>
    </xf>
    <xf numFmtId="0" fontId="10" fillId="0" borderId="0" xfId="0" applyFont="1" applyAlignment="1">
      <alignment horizontal="center"/>
    </xf>
    <xf numFmtId="0" fontId="8" fillId="0" borderId="25" xfId="0" applyFont="1" applyFill="1" applyBorder="1" applyAlignment="1">
      <alignment horizontal="center" vertical="center" wrapText="1"/>
    </xf>
    <xf numFmtId="0" fontId="8" fillId="0" borderId="35" xfId="0" applyFont="1" applyFill="1" applyBorder="1" applyAlignment="1">
      <alignment horizontal="center" vertical="center" wrapText="1"/>
    </xf>
  </cellXfs>
  <cellStyles count="30370">
    <cellStyle name="20% - Accent1 2" xfId="3"/>
    <cellStyle name="20% - Accent2 2" xfId="4"/>
    <cellStyle name="20% - Accent3 2" xfId="5"/>
    <cellStyle name="20% - Accent4 2" xfId="6"/>
    <cellStyle name="20% - Accent5 2" xfId="7"/>
    <cellStyle name="20% - Accent6 2" xfId="8"/>
    <cellStyle name="20% - Cor1" xfId="9"/>
    <cellStyle name="20% - Cor2" xfId="10"/>
    <cellStyle name="20% - Cor3" xfId="11"/>
    <cellStyle name="20% - Cor4" xfId="12"/>
    <cellStyle name="20% - Cor5" xfId="13"/>
    <cellStyle name="20% - Cor6" xfId="14"/>
    <cellStyle name="40% - Accent1 2" xfId="15"/>
    <cellStyle name="40% - Accent2 2" xfId="16"/>
    <cellStyle name="40% - Accent3 2" xfId="17"/>
    <cellStyle name="40% - Accent4 2" xfId="18"/>
    <cellStyle name="40% - Accent5 2" xfId="19"/>
    <cellStyle name="40% - Accent6 2" xfId="20"/>
    <cellStyle name="40% - Accent6 3" xfId="11312"/>
    <cellStyle name="40% - Accent6 3 2" xfId="25634"/>
    <cellStyle name="40% - Cor1" xfId="21"/>
    <cellStyle name="40% - Cor2" xfId="22"/>
    <cellStyle name="40% - Cor3" xfId="23"/>
    <cellStyle name="40% - Cor4" xfId="24"/>
    <cellStyle name="40% - Cor5" xfId="25"/>
    <cellStyle name="40% - Cor6" xfId="26"/>
    <cellStyle name="60% - Accent1 2" xfId="27"/>
    <cellStyle name="60% - Accent2 2" xfId="28"/>
    <cellStyle name="60% - Accent3 2" xfId="29"/>
    <cellStyle name="60% - Accent4 2" xfId="30"/>
    <cellStyle name="60% - Accent5 2" xfId="31"/>
    <cellStyle name="60% - Accent6 2" xfId="32"/>
    <cellStyle name="60% - Cor1" xfId="33"/>
    <cellStyle name="60% - Cor2" xfId="34"/>
    <cellStyle name="60% - Cor3" xfId="35"/>
    <cellStyle name="60% - Cor4" xfId="36"/>
    <cellStyle name="60% - Cor5" xfId="37"/>
    <cellStyle name="60% - Cor6" xfId="38"/>
    <cellStyle name="Accent1 2" xfId="39"/>
    <cellStyle name="Accent2 2" xfId="40"/>
    <cellStyle name="Accent3 2" xfId="41"/>
    <cellStyle name="Accent4 2" xfId="42"/>
    <cellStyle name="Accent5 2" xfId="43"/>
    <cellStyle name="Accent6 2" xfId="44"/>
    <cellStyle name="Bad 2" xfId="45"/>
    <cellStyle name="Cabeçalho 1" xfId="46"/>
    <cellStyle name="Cabeçalho 2" xfId="47"/>
    <cellStyle name="Cabeçalho 3" xfId="48"/>
    <cellStyle name="Cabeçalho 4" xfId="49"/>
    <cellStyle name="Calculation 2" xfId="50"/>
    <cellStyle name="Calculation 2 2" xfId="51"/>
    <cellStyle name="Calculation 2 2 10" xfId="52"/>
    <cellStyle name="Calculation 2 2 10 2" xfId="7731"/>
    <cellStyle name="Calculation 2 2 10 2 2" xfId="10345"/>
    <cellStyle name="Calculation 2 2 10 2 2 2" xfId="16607"/>
    <cellStyle name="Calculation 2 2 10 2 2 2 2" xfId="30023"/>
    <cellStyle name="Calculation 2 2 10 2 2 3" xfId="21352"/>
    <cellStyle name="Calculation 2 2 10 2 3" xfId="14335"/>
    <cellStyle name="Calculation 2 2 10 2 3 2" xfId="28657"/>
    <cellStyle name="Calculation 2 2 10 2 4" xfId="19980"/>
    <cellStyle name="Calculation 2 2 10 3" xfId="12155"/>
    <cellStyle name="Calculation 2 2 10 3 2" xfId="26477"/>
    <cellStyle name="Calculation 2 2 10 4" xfId="17800"/>
    <cellStyle name="Calculation 2 2 11" xfId="3744"/>
    <cellStyle name="Calculation 2 2 11 2" xfId="3153"/>
    <cellStyle name="Calculation 2 2 11 2 2" xfId="22421"/>
    <cellStyle name="Calculation 2 2 11 3" xfId="4027"/>
    <cellStyle name="Calculation 2 2 12" xfId="6809"/>
    <cellStyle name="Calculation 2 2 12 2" xfId="23748"/>
    <cellStyle name="Calculation 2 2 13" xfId="15146"/>
    <cellStyle name="Calculation 2 2 2" xfId="53"/>
    <cellStyle name="Calculation 2 2 2 10" xfId="5069"/>
    <cellStyle name="Calculation 2 2 2 10 2" xfId="11616"/>
    <cellStyle name="Calculation 2 2 2 10 2 2" xfId="25938"/>
    <cellStyle name="Calculation 2 2 2 10 3" xfId="17029"/>
    <cellStyle name="Calculation 2 2 2 11" xfId="4592"/>
    <cellStyle name="Calculation 2 2 2 11 2" xfId="23054"/>
    <cellStyle name="Calculation 2 2 2 12" xfId="3614"/>
    <cellStyle name="Calculation 2 2 2 2" xfId="54"/>
    <cellStyle name="Calculation 2 2 2 2 10" xfId="4846"/>
    <cellStyle name="Calculation 2 2 2 2 10 2" xfId="23220"/>
    <cellStyle name="Calculation 2 2 2 2 11" xfId="14850"/>
    <cellStyle name="Calculation 2 2 2 2 2" xfId="55"/>
    <cellStyle name="Calculation 2 2 2 2 2 2" xfId="56"/>
    <cellStyle name="Calculation 2 2 2 2 2 2 2" xfId="57"/>
    <cellStyle name="Calculation 2 2 2 2 2 2 2 2" xfId="6986"/>
    <cellStyle name="Calculation 2 2 2 2 2 2 2 2 2" xfId="13590"/>
    <cellStyle name="Calculation 2 2 2 2 2 2 2 2 2 2" xfId="27912"/>
    <cellStyle name="Calculation 2 2 2 2 2 2 2 2 3" xfId="19235"/>
    <cellStyle name="Calculation 2 2 2 2 2 2 2 3" xfId="4075"/>
    <cellStyle name="Calculation 2 2 2 2 2 2 2 3 2" xfId="9418"/>
    <cellStyle name="Calculation 2 2 2 2 2 2 2 3 2 2" xfId="15680"/>
    <cellStyle name="Calculation 2 2 2 2 2 2 2 3 2 2 2" xfId="29096"/>
    <cellStyle name="Calculation 2 2 2 2 2 2 2 3 2 3" xfId="20425"/>
    <cellStyle name="Calculation 2 2 2 2 2 2 2 3 3" xfId="5037"/>
    <cellStyle name="Calculation 2 2 2 2 2 2 2 3 3 2" xfId="23317"/>
    <cellStyle name="Calculation 2 2 2 2 2 2 2 3 4" xfId="6285"/>
    <cellStyle name="Calculation 2 2 2 2 2 2 2 4" xfId="11498"/>
    <cellStyle name="Calculation 2 2 2 2 2 2 2 4 2" xfId="25820"/>
    <cellStyle name="Calculation 2 2 2 2 2 2 2 5" xfId="15013"/>
    <cellStyle name="Calculation 2 2 2 2 2 2 3" xfId="58"/>
    <cellStyle name="Calculation 2 2 2 2 2 2 3 2" xfId="3624"/>
    <cellStyle name="Calculation 2 2 2 2 2 2 3 2 2" xfId="9347"/>
    <cellStyle name="Calculation 2 2 2 2 2 2 3 2 2 2" xfId="15609"/>
    <cellStyle name="Calculation 2 2 2 2 2 2 3 2 2 2 2" xfId="29025"/>
    <cellStyle name="Calculation 2 2 2 2 2 2 3 2 2 3" xfId="20354"/>
    <cellStyle name="Calculation 2 2 2 2 2 2 3 2 3" xfId="4916"/>
    <cellStyle name="Calculation 2 2 2 2 2 2 3 2 3 2" xfId="23262"/>
    <cellStyle name="Calculation 2 2 2 2 2 2 3 2 4" xfId="15162"/>
    <cellStyle name="Calculation 2 2 2 2 2 2 3 3" xfId="13317"/>
    <cellStyle name="Calculation 2 2 2 2 2 2 3 3 2" xfId="27639"/>
    <cellStyle name="Calculation 2 2 2 2 2 2 3 4" xfId="18962"/>
    <cellStyle name="Calculation 2 2 2 2 2 2 4" xfId="5767"/>
    <cellStyle name="Calculation 2 2 2 2 2 2 4 2" xfId="12320"/>
    <cellStyle name="Calculation 2 2 2 2 2 2 4 2 2" xfId="26642"/>
    <cellStyle name="Calculation 2 2 2 2 2 2 4 3" xfId="17965"/>
    <cellStyle name="Calculation 2 2 2 2 2 2 5" xfId="6199"/>
    <cellStyle name="Calculation 2 2 2 2 2 2 5 2" xfId="23459"/>
    <cellStyle name="Calculation 2 2 2 2 2 2 6" xfId="6598"/>
    <cellStyle name="Calculation 2 2 2 2 2 3" xfId="59"/>
    <cellStyle name="Calculation 2 2 2 2 2 3 2" xfId="60"/>
    <cellStyle name="Calculation 2 2 2 2 2 3 2 2" xfId="6045"/>
    <cellStyle name="Calculation 2 2 2 2 2 3 2 2 2" xfId="12611"/>
    <cellStyle name="Calculation 2 2 2 2 2 3 2 2 2 2" xfId="26933"/>
    <cellStyle name="Calculation 2 2 2 2 2 3 2 2 3" xfId="18256"/>
    <cellStyle name="Calculation 2 2 2 2 2 3 2 3" xfId="7192"/>
    <cellStyle name="Calculation 2 2 2 2 2 3 2 3 2" xfId="9806"/>
    <cellStyle name="Calculation 2 2 2 2 2 3 2 3 2 2" xfId="16068"/>
    <cellStyle name="Calculation 2 2 2 2 2 3 2 3 2 2 2" xfId="29484"/>
    <cellStyle name="Calculation 2 2 2 2 2 3 2 3 2 3" xfId="20813"/>
    <cellStyle name="Calculation 2 2 2 2 2 3 2 3 3" xfId="13796"/>
    <cellStyle name="Calculation 2 2 2 2 2 3 2 3 3 2" xfId="28118"/>
    <cellStyle name="Calculation 2 2 2 2 2 3 2 3 4" xfId="19441"/>
    <cellStyle name="Calculation 2 2 2 2 2 3 2 4" xfId="4436"/>
    <cellStyle name="Calculation 2 2 2 2 2 3 2 4 2" xfId="22951"/>
    <cellStyle name="Calculation 2 2 2 2 2 3 2 5" xfId="14736"/>
    <cellStyle name="Calculation 2 2 2 2 2 3 3" xfId="61"/>
    <cellStyle name="Calculation 2 2 2 2 2 3 3 2" xfId="7811"/>
    <cellStyle name="Calculation 2 2 2 2 2 3 3 2 2" xfId="10425"/>
    <cellStyle name="Calculation 2 2 2 2 2 3 3 2 2 2" xfId="16687"/>
    <cellStyle name="Calculation 2 2 2 2 2 3 3 2 2 2 2" xfId="30103"/>
    <cellStyle name="Calculation 2 2 2 2 2 3 3 2 2 3" xfId="21432"/>
    <cellStyle name="Calculation 2 2 2 2 2 3 3 2 3" xfId="14415"/>
    <cellStyle name="Calculation 2 2 2 2 2 3 3 2 3 2" xfId="28737"/>
    <cellStyle name="Calculation 2 2 2 2 2 3 3 2 4" xfId="20060"/>
    <cellStyle name="Calculation 2 2 2 2 2 3 3 3" xfId="13252"/>
    <cellStyle name="Calculation 2 2 2 2 2 3 3 3 2" xfId="27574"/>
    <cellStyle name="Calculation 2 2 2 2 2 3 3 4" xfId="18897"/>
    <cellStyle name="Calculation 2 2 2 2 2 3 4" xfId="5694"/>
    <cellStyle name="Calculation 2 2 2 2 2 3 4 2" xfId="12247"/>
    <cellStyle name="Calculation 2 2 2 2 2 3 4 2 2" xfId="26569"/>
    <cellStyle name="Calculation 2 2 2 2 2 3 4 3" xfId="17892"/>
    <cellStyle name="Calculation 2 2 2 2 2 3 5" xfId="6318"/>
    <cellStyle name="Calculation 2 2 2 2 2 3 5 2" xfId="23513"/>
    <cellStyle name="Calculation 2 2 2 2 2 3 6" xfId="15269"/>
    <cellStyle name="Calculation 2 2 2 2 2 4" xfId="62"/>
    <cellStyle name="Calculation 2 2 2 2 2 4 2" xfId="6981"/>
    <cellStyle name="Calculation 2 2 2 2 2 4 2 2" xfId="13585"/>
    <cellStyle name="Calculation 2 2 2 2 2 4 2 2 2" xfId="27907"/>
    <cellStyle name="Calculation 2 2 2 2 2 4 2 3" xfId="19230"/>
    <cellStyle name="Calculation 2 2 2 2 2 4 3" xfId="7774"/>
    <cellStyle name="Calculation 2 2 2 2 2 4 3 2" xfId="10388"/>
    <cellStyle name="Calculation 2 2 2 2 2 4 3 2 2" xfId="16650"/>
    <cellStyle name="Calculation 2 2 2 2 2 4 3 2 2 2" xfId="30066"/>
    <cellStyle name="Calculation 2 2 2 2 2 4 3 2 3" xfId="21395"/>
    <cellStyle name="Calculation 2 2 2 2 2 4 3 3" xfId="14378"/>
    <cellStyle name="Calculation 2 2 2 2 2 4 3 3 2" xfId="28700"/>
    <cellStyle name="Calculation 2 2 2 2 2 4 3 4" xfId="20023"/>
    <cellStyle name="Calculation 2 2 2 2 2 4 4" xfId="11493"/>
    <cellStyle name="Calculation 2 2 2 2 2 4 4 2" xfId="25815"/>
    <cellStyle name="Calculation 2 2 2 2 2 4 5" xfId="15220"/>
    <cellStyle name="Calculation 2 2 2 2 2 5" xfId="63"/>
    <cellStyle name="Calculation 2 2 2 2 2 5 2" xfId="7046"/>
    <cellStyle name="Calculation 2 2 2 2 2 5 2 2" xfId="9660"/>
    <cellStyle name="Calculation 2 2 2 2 2 5 2 2 2" xfId="15922"/>
    <cellStyle name="Calculation 2 2 2 2 2 5 2 2 2 2" xfId="29338"/>
    <cellStyle name="Calculation 2 2 2 2 2 5 2 2 3" xfId="20667"/>
    <cellStyle name="Calculation 2 2 2 2 2 5 2 3" xfId="13650"/>
    <cellStyle name="Calculation 2 2 2 2 2 5 2 3 2" xfId="27972"/>
    <cellStyle name="Calculation 2 2 2 2 2 5 2 4" xfId="19295"/>
    <cellStyle name="Calculation 2 2 2 2 2 5 3" xfId="12893"/>
    <cellStyle name="Calculation 2 2 2 2 2 5 3 2" xfId="27215"/>
    <cellStyle name="Calculation 2 2 2 2 2 5 4" xfId="18538"/>
    <cellStyle name="Calculation 2 2 2 2 2 6" xfId="5511"/>
    <cellStyle name="Calculation 2 2 2 2 2 6 2" xfId="12062"/>
    <cellStyle name="Calculation 2 2 2 2 2 6 2 2" xfId="26384"/>
    <cellStyle name="Calculation 2 2 2 2 2 6 3" xfId="17707"/>
    <cellStyle name="Calculation 2 2 2 2 2 7" xfId="4528"/>
    <cellStyle name="Calculation 2 2 2 2 2 7 2" xfId="23009"/>
    <cellStyle name="Calculation 2 2 2 2 2 8" xfId="15596"/>
    <cellStyle name="Calculation 2 2 2 2 3" xfId="64"/>
    <cellStyle name="Calculation 2 2 2 2 3 2" xfId="65"/>
    <cellStyle name="Calculation 2 2 2 2 3 2 2" xfId="66"/>
    <cellStyle name="Calculation 2 2 2 2 3 2 2 2" xfId="5892"/>
    <cellStyle name="Calculation 2 2 2 2 3 2 2 2 2" xfId="12445"/>
    <cellStyle name="Calculation 2 2 2 2 3 2 2 2 2 2" xfId="26767"/>
    <cellStyle name="Calculation 2 2 2 2 3 2 2 2 3" xfId="18090"/>
    <cellStyle name="Calculation 2 2 2 2 3 2 2 3" xfId="7868"/>
    <cellStyle name="Calculation 2 2 2 2 3 2 2 3 2" xfId="10482"/>
    <cellStyle name="Calculation 2 2 2 2 3 2 2 3 2 2" xfId="16744"/>
    <cellStyle name="Calculation 2 2 2 2 3 2 2 3 2 2 2" xfId="30160"/>
    <cellStyle name="Calculation 2 2 2 2 3 2 2 3 2 3" xfId="21489"/>
    <cellStyle name="Calculation 2 2 2 2 3 2 2 3 3" xfId="14472"/>
    <cellStyle name="Calculation 2 2 2 2 3 2 2 3 3 2" xfId="28794"/>
    <cellStyle name="Calculation 2 2 2 2 3 2 2 3 4" xfId="20117"/>
    <cellStyle name="Calculation 2 2 2 2 3 2 2 4" xfId="6793"/>
    <cellStyle name="Calculation 2 2 2 2 3 2 2 4 2" xfId="23736"/>
    <cellStyle name="Calculation 2 2 2 2 3 2 2 5" xfId="15414"/>
    <cellStyle name="Calculation 2 2 2 2 3 2 3" xfId="67"/>
    <cellStyle name="Calculation 2 2 2 2 3 2 3 2" xfId="5297"/>
    <cellStyle name="Calculation 2 2 2 2 3 2 3 2 2" xfId="9606"/>
    <cellStyle name="Calculation 2 2 2 2 3 2 3 2 2 2" xfId="15868"/>
    <cellStyle name="Calculation 2 2 2 2 3 2 3 2 2 2 2" xfId="29284"/>
    <cellStyle name="Calculation 2 2 2 2 3 2 3 2 2 3" xfId="20613"/>
    <cellStyle name="Calculation 2 2 2 2 3 2 3 2 3" xfId="11847"/>
    <cellStyle name="Calculation 2 2 2 2 3 2 3 2 3 2" xfId="26169"/>
    <cellStyle name="Calculation 2 2 2 2 3 2 3 2 4" xfId="17492"/>
    <cellStyle name="Calculation 2 2 2 2 3 2 3 3" xfId="13353"/>
    <cellStyle name="Calculation 2 2 2 2 3 2 3 3 2" xfId="27675"/>
    <cellStyle name="Calculation 2 2 2 2 3 2 3 4" xfId="18998"/>
    <cellStyle name="Calculation 2 2 2 2 3 2 4" xfId="5803"/>
    <cellStyle name="Calculation 2 2 2 2 3 2 4 2" xfId="12356"/>
    <cellStyle name="Calculation 2 2 2 2 3 2 4 2 2" xfId="26678"/>
    <cellStyle name="Calculation 2 2 2 2 3 2 4 3" xfId="18001"/>
    <cellStyle name="Calculation 2 2 2 2 3 2 5" xfId="3783"/>
    <cellStyle name="Calculation 2 2 2 2 3 2 5 2" xfId="22575"/>
    <cellStyle name="Calculation 2 2 2 2 3 2 6" xfId="15174"/>
    <cellStyle name="Calculation 2 2 2 2 3 3" xfId="68"/>
    <cellStyle name="Calculation 2 2 2 2 3 3 2" xfId="69"/>
    <cellStyle name="Calculation 2 2 2 2 3 3 2 2" xfId="7009"/>
    <cellStyle name="Calculation 2 2 2 2 3 3 2 2 2" xfId="13613"/>
    <cellStyle name="Calculation 2 2 2 2 3 3 2 2 2 2" xfId="27935"/>
    <cellStyle name="Calculation 2 2 2 2 3 3 2 2 3" xfId="19258"/>
    <cellStyle name="Calculation 2 2 2 2 3 3 2 3" xfId="7240"/>
    <cellStyle name="Calculation 2 2 2 2 3 3 2 3 2" xfId="9854"/>
    <cellStyle name="Calculation 2 2 2 2 3 3 2 3 2 2" xfId="16116"/>
    <cellStyle name="Calculation 2 2 2 2 3 3 2 3 2 2 2" xfId="29532"/>
    <cellStyle name="Calculation 2 2 2 2 3 3 2 3 2 3" xfId="20861"/>
    <cellStyle name="Calculation 2 2 2 2 3 3 2 3 3" xfId="13844"/>
    <cellStyle name="Calculation 2 2 2 2 3 3 2 3 3 2" xfId="28166"/>
    <cellStyle name="Calculation 2 2 2 2 3 3 2 3 4" xfId="19489"/>
    <cellStyle name="Calculation 2 2 2 2 3 3 2 4" xfId="11531"/>
    <cellStyle name="Calculation 2 2 2 2 3 3 2 4 2" xfId="25853"/>
    <cellStyle name="Calculation 2 2 2 2 3 3 2 5" xfId="15543"/>
    <cellStyle name="Calculation 2 2 2 2 3 3 3" xfId="70"/>
    <cellStyle name="Calculation 2 2 2 2 3 3 3 2" xfId="7625"/>
    <cellStyle name="Calculation 2 2 2 2 3 3 3 2 2" xfId="10239"/>
    <cellStyle name="Calculation 2 2 2 2 3 3 3 2 2 2" xfId="16501"/>
    <cellStyle name="Calculation 2 2 2 2 3 3 3 2 2 2 2" xfId="29917"/>
    <cellStyle name="Calculation 2 2 2 2 3 3 3 2 2 3" xfId="21246"/>
    <cellStyle name="Calculation 2 2 2 2 3 3 3 2 3" xfId="14229"/>
    <cellStyle name="Calculation 2 2 2 2 3 3 3 2 3 2" xfId="28551"/>
    <cellStyle name="Calculation 2 2 2 2 3 3 3 2 4" xfId="19874"/>
    <cellStyle name="Calculation 2 2 2 2 3 3 3 3" xfId="12861"/>
    <cellStyle name="Calculation 2 2 2 2 3 3 3 3 2" xfId="27183"/>
    <cellStyle name="Calculation 2 2 2 2 3 3 3 4" xfId="18506"/>
    <cellStyle name="Calculation 2 2 2 2 3 3 4" xfId="5231"/>
    <cellStyle name="Calculation 2 2 2 2 3 3 4 2" xfId="11781"/>
    <cellStyle name="Calculation 2 2 2 2 3 3 4 2 2" xfId="26103"/>
    <cellStyle name="Calculation 2 2 2 2 3 3 4 3" xfId="17426"/>
    <cellStyle name="Calculation 2 2 2 2 3 3 5" xfId="3786"/>
    <cellStyle name="Calculation 2 2 2 2 3 3 5 2" xfId="22578"/>
    <cellStyle name="Calculation 2 2 2 2 3 3 6" xfId="17031"/>
    <cellStyle name="Calculation 2 2 2 2 3 4" xfId="71"/>
    <cellStyle name="Calculation 2 2 2 2 3 4 2" xfId="5959"/>
    <cellStyle name="Calculation 2 2 2 2 3 4 2 2" xfId="12517"/>
    <cellStyle name="Calculation 2 2 2 2 3 4 2 2 2" xfId="26839"/>
    <cellStyle name="Calculation 2 2 2 2 3 4 2 3" xfId="18162"/>
    <cellStyle name="Calculation 2 2 2 2 3 4 3" xfId="4849"/>
    <cellStyle name="Calculation 2 2 2 2 3 4 3 2" xfId="9501"/>
    <cellStyle name="Calculation 2 2 2 2 3 4 3 2 2" xfId="15763"/>
    <cellStyle name="Calculation 2 2 2 2 3 4 3 2 2 2" xfId="29179"/>
    <cellStyle name="Calculation 2 2 2 2 3 4 3 2 3" xfId="20508"/>
    <cellStyle name="Calculation 2 2 2 2 3 4 3 3" xfId="11382"/>
    <cellStyle name="Calculation 2 2 2 2 3 4 3 3 2" xfId="25704"/>
    <cellStyle name="Calculation 2 2 2 2 3 4 3 4" xfId="6628"/>
    <cellStyle name="Calculation 2 2 2 2 3 4 4" xfId="3907"/>
    <cellStyle name="Calculation 2 2 2 2 3 4 4 2" xfId="22639"/>
    <cellStyle name="Calculation 2 2 2 2 3 4 5" xfId="15233"/>
    <cellStyle name="Calculation 2 2 2 2 3 5" xfId="72"/>
    <cellStyle name="Calculation 2 2 2 2 3 5 2" xfId="7526"/>
    <cellStyle name="Calculation 2 2 2 2 3 5 2 2" xfId="10140"/>
    <cellStyle name="Calculation 2 2 2 2 3 5 2 2 2" xfId="16402"/>
    <cellStyle name="Calculation 2 2 2 2 3 5 2 2 2 2" xfId="29818"/>
    <cellStyle name="Calculation 2 2 2 2 3 5 2 2 3" xfId="21147"/>
    <cellStyle name="Calculation 2 2 2 2 3 5 2 3" xfId="14130"/>
    <cellStyle name="Calculation 2 2 2 2 3 5 2 3 2" xfId="28452"/>
    <cellStyle name="Calculation 2 2 2 2 3 5 2 4" xfId="19775"/>
    <cellStyle name="Calculation 2 2 2 2 3 5 3" xfId="12929"/>
    <cellStyle name="Calculation 2 2 2 2 3 5 3 2" xfId="27251"/>
    <cellStyle name="Calculation 2 2 2 2 3 5 4" xfId="18574"/>
    <cellStyle name="Calculation 2 2 2 2 3 6" xfId="5553"/>
    <cellStyle name="Calculation 2 2 2 2 3 6 2" xfId="12104"/>
    <cellStyle name="Calculation 2 2 2 2 3 6 2 2" xfId="26426"/>
    <cellStyle name="Calculation 2 2 2 2 3 6 3" xfId="17749"/>
    <cellStyle name="Calculation 2 2 2 2 3 7" xfId="4493"/>
    <cellStyle name="Calculation 2 2 2 2 3 7 2" xfId="22986"/>
    <cellStyle name="Calculation 2 2 2 2 3 8" xfId="17276"/>
    <cellStyle name="Calculation 2 2 2 2 4" xfId="73"/>
    <cellStyle name="Calculation 2 2 2 2 4 2" xfId="74"/>
    <cellStyle name="Calculation 2 2 2 2 4 2 2" xfId="75"/>
    <cellStyle name="Calculation 2 2 2 2 4 2 2 2" xfId="6860"/>
    <cellStyle name="Calculation 2 2 2 2 4 2 2 2 2" xfId="13464"/>
    <cellStyle name="Calculation 2 2 2 2 4 2 2 2 2 2" xfId="27786"/>
    <cellStyle name="Calculation 2 2 2 2 4 2 2 2 3" xfId="19109"/>
    <cellStyle name="Calculation 2 2 2 2 4 2 2 3" xfId="7162"/>
    <cellStyle name="Calculation 2 2 2 2 4 2 2 3 2" xfId="9776"/>
    <cellStyle name="Calculation 2 2 2 2 4 2 2 3 2 2" xfId="16038"/>
    <cellStyle name="Calculation 2 2 2 2 4 2 2 3 2 2 2" xfId="29454"/>
    <cellStyle name="Calculation 2 2 2 2 4 2 2 3 2 3" xfId="20783"/>
    <cellStyle name="Calculation 2 2 2 2 4 2 2 3 3" xfId="13766"/>
    <cellStyle name="Calculation 2 2 2 2 4 2 2 3 3 2" xfId="28088"/>
    <cellStyle name="Calculation 2 2 2 2 4 2 2 3 4" xfId="19411"/>
    <cellStyle name="Calculation 2 2 2 2 4 2 2 4" xfId="11319"/>
    <cellStyle name="Calculation 2 2 2 2 4 2 2 4 2" xfId="25641"/>
    <cellStyle name="Calculation 2 2 2 2 4 2 2 5" xfId="14818"/>
    <cellStyle name="Calculation 2 2 2 2 4 2 3" xfId="76"/>
    <cellStyle name="Calculation 2 2 2 2 4 2 3 2" xfId="7960"/>
    <cellStyle name="Calculation 2 2 2 2 4 2 3 2 2" xfId="10574"/>
    <cellStyle name="Calculation 2 2 2 2 4 2 3 2 2 2" xfId="16836"/>
    <cellStyle name="Calculation 2 2 2 2 4 2 3 2 2 2 2" xfId="30252"/>
    <cellStyle name="Calculation 2 2 2 2 4 2 3 2 2 3" xfId="21581"/>
    <cellStyle name="Calculation 2 2 2 2 4 2 3 2 3" xfId="14564"/>
    <cellStyle name="Calculation 2 2 2 2 4 2 3 2 3 2" xfId="28886"/>
    <cellStyle name="Calculation 2 2 2 2 4 2 3 2 4" xfId="20209"/>
    <cellStyle name="Calculation 2 2 2 2 4 2 3 3" xfId="13241"/>
    <cellStyle name="Calculation 2 2 2 2 4 2 3 3 2" xfId="27563"/>
    <cellStyle name="Calculation 2 2 2 2 4 2 3 4" xfId="18886"/>
    <cellStyle name="Calculation 2 2 2 2 4 2 4" xfId="5682"/>
    <cellStyle name="Calculation 2 2 2 2 4 2 4 2" xfId="12235"/>
    <cellStyle name="Calculation 2 2 2 2 4 2 4 2 2" xfId="26557"/>
    <cellStyle name="Calculation 2 2 2 2 4 2 4 3" xfId="17880"/>
    <cellStyle name="Calculation 2 2 2 2 4 2 5" xfId="4685"/>
    <cellStyle name="Calculation 2 2 2 2 4 2 5 2" xfId="23121"/>
    <cellStyle name="Calculation 2 2 2 2 4 2 6" xfId="15148"/>
    <cellStyle name="Calculation 2 2 2 2 4 3" xfId="77"/>
    <cellStyle name="Calculation 2 2 2 2 4 3 2" xfId="78"/>
    <cellStyle name="Calculation 2 2 2 2 4 3 2 2" xfId="6898"/>
    <cellStyle name="Calculation 2 2 2 2 4 3 2 2 2" xfId="13502"/>
    <cellStyle name="Calculation 2 2 2 2 4 3 2 2 2 2" xfId="27824"/>
    <cellStyle name="Calculation 2 2 2 2 4 3 2 2 3" xfId="19147"/>
    <cellStyle name="Calculation 2 2 2 2 4 3 2 3" xfId="7461"/>
    <cellStyle name="Calculation 2 2 2 2 4 3 2 3 2" xfId="10075"/>
    <cellStyle name="Calculation 2 2 2 2 4 3 2 3 2 2" xfId="16337"/>
    <cellStyle name="Calculation 2 2 2 2 4 3 2 3 2 2 2" xfId="29753"/>
    <cellStyle name="Calculation 2 2 2 2 4 3 2 3 2 3" xfId="21082"/>
    <cellStyle name="Calculation 2 2 2 2 4 3 2 3 3" xfId="14065"/>
    <cellStyle name="Calculation 2 2 2 2 4 3 2 3 3 2" xfId="28387"/>
    <cellStyle name="Calculation 2 2 2 2 4 3 2 3 4" xfId="19710"/>
    <cellStyle name="Calculation 2 2 2 2 4 3 2 4" xfId="11377"/>
    <cellStyle name="Calculation 2 2 2 2 4 3 2 4 2" xfId="25699"/>
    <cellStyle name="Calculation 2 2 2 2 4 3 2 5" xfId="14917"/>
    <cellStyle name="Calculation 2 2 2 2 4 3 3" xfId="79"/>
    <cellStyle name="Calculation 2 2 2 2 4 3 3 2" xfId="7132"/>
    <cellStyle name="Calculation 2 2 2 2 4 3 3 2 2" xfId="9746"/>
    <cellStyle name="Calculation 2 2 2 2 4 3 3 2 2 2" xfId="16008"/>
    <cellStyle name="Calculation 2 2 2 2 4 3 3 2 2 2 2" xfId="29424"/>
    <cellStyle name="Calculation 2 2 2 2 4 3 3 2 2 3" xfId="20753"/>
    <cellStyle name="Calculation 2 2 2 2 4 3 3 2 3" xfId="13736"/>
    <cellStyle name="Calculation 2 2 2 2 4 3 3 2 3 2" xfId="28058"/>
    <cellStyle name="Calculation 2 2 2 2 4 3 3 2 4" xfId="19381"/>
    <cellStyle name="Calculation 2 2 2 2 4 3 3 3" xfId="11604"/>
    <cellStyle name="Calculation 2 2 2 2 4 3 3 3 2" xfId="25926"/>
    <cellStyle name="Calculation 2 2 2 2 4 3 3 4" xfId="17170"/>
    <cellStyle name="Calculation 2 2 2 2 4 3 4" xfId="5240"/>
    <cellStyle name="Calculation 2 2 2 2 4 3 4 2" xfId="11790"/>
    <cellStyle name="Calculation 2 2 2 2 4 3 4 2 2" xfId="26112"/>
    <cellStyle name="Calculation 2 2 2 2 4 3 4 3" xfId="17435"/>
    <cellStyle name="Calculation 2 2 2 2 4 3 5" xfId="3644"/>
    <cellStyle name="Calculation 2 2 2 2 4 3 5 2" xfId="22503"/>
    <cellStyle name="Calculation 2 2 2 2 4 3 6" xfId="17219"/>
    <cellStyle name="Calculation 2 2 2 2 4 4" xfId="80"/>
    <cellStyle name="Calculation 2 2 2 2 4 4 2" xfId="6469"/>
    <cellStyle name="Calculation 2 2 2 2 4 4 2 2" xfId="13052"/>
    <cellStyle name="Calculation 2 2 2 2 4 4 2 2 2" xfId="27374"/>
    <cellStyle name="Calculation 2 2 2 2 4 4 2 3" xfId="18697"/>
    <cellStyle name="Calculation 2 2 2 2 4 4 3" xfId="7572"/>
    <cellStyle name="Calculation 2 2 2 2 4 4 3 2" xfId="10186"/>
    <cellStyle name="Calculation 2 2 2 2 4 4 3 2 2" xfId="16448"/>
    <cellStyle name="Calculation 2 2 2 2 4 4 3 2 2 2" xfId="29864"/>
    <cellStyle name="Calculation 2 2 2 2 4 4 3 2 3" xfId="21193"/>
    <cellStyle name="Calculation 2 2 2 2 4 4 3 3" xfId="14176"/>
    <cellStyle name="Calculation 2 2 2 2 4 4 3 3 2" xfId="28498"/>
    <cellStyle name="Calculation 2 2 2 2 4 4 3 4" xfId="19821"/>
    <cellStyle name="Calculation 2 2 2 2 4 4 4" xfId="5077"/>
    <cellStyle name="Calculation 2 2 2 2 4 4 4 2" xfId="23324"/>
    <cellStyle name="Calculation 2 2 2 2 4 4 5" xfId="15287"/>
    <cellStyle name="Calculation 2 2 2 2 4 5" xfId="81"/>
    <cellStyle name="Calculation 2 2 2 2 4 5 2" xfId="7257"/>
    <cellStyle name="Calculation 2 2 2 2 4 5 2 2" xfId="9871"/>
    <cellStyle name="Calculation 2 2 2 2 4 5 2 2 2" xfId="16133"/>
    <cellStyle name="Calculation 2 2 2 2 4 5 2 2 2 2" xfId="29549"/>
    <cellStyle name="Calculation 2 2 2 2 4 5 2 2 3" xfId="20878"/>
    <cellStyle name="Calculation 2 2 2 2 4 5 2 3" xfId="13861"/>
    <cellStyle name="Calculation 2 2 2 2 4 5 2 3 2" xfId="28183"/>
    <cellStyle name="Calculation 2 2 2 2 4 5 2 4" xfId="19506"/>
    <cellStyle name="Calculation 2 2 2 2 4 5 3" xfId="12701"/>
    <cellStyle name="Calculation 2 2 2 2 4 5 3 2" xfId="27023"/>
    <cellStyle name="Calculation 2 2 2 2 4 5 4" xfId="18346"/>
    <cellStyle name="Calculation 2 2 2 2 4 6" xfId="5105"/>
    <cellStyle name="Calculation 2 2 2 2 4 6 2" xfId="11652"/>
    <cellStyle name="Calculation 2 2 2 2 4 6 2 2" xfId="25974"/>
    <cellStyle name="Calculation 2 2 2 2 4 6 3" xfId="4347"/>
    <cellStyle name="Calculation 2 2 2 2 4 7" xfId="4192"/>
    <cellStyle name="Calculation 2 2 2 2 4 7 2" xfId="22813"/>
    <cellStyle name="Calculation 2 2 2 2 4 8" xfId="15186"/>
    <cellStyle name="Calculation 2 2 2 2 5" xfId="82"/>
    <cellStyle name="Calculation 2 2 2 2 5 2" xfId="83"/>
    <cellStyle name="Calculation 2 2 2 2 5 2 2" xfId="84"/>
    <cellStyle name="Calculation 2 2 2 2 5 2 2 2" xfId="6413"/>
    <cellStyle name="Calculation 2 2 2 2 5 2 2 2 2" xfId="12996"/>
    <cellStyle name="Calculation 2 2 2 2 5 2 2 2 2 2" xfId="27318"/>
    <cellStyle name="Calculation 2 2 2 2 5 2 2 2 3" xfId="18641"/>
    <cellStyle name="Calculation 2 2 2 2 5 2 2 3" xfId="7383"/>
    <cellStyle name="Calculation 2 2 2 2 5 2 2 3 2" xfId="9997"/>
    <cellStyle name="Calculation 2 2 2 2 5 2 2 3 2 2" xfId="16259"/>
    <cellStyle name="Calculation 2 2 2 2 5 2 2 3 2 2 2" xfId="29675"/>
    <cellStyle name="Calculation 2 2 2 2 5 2 2 3 2 3" xfId="21004"/>
    <cellStyle name="Calculation 2 2 2 2 5 2 2 3 3" xfId="13987"/>
    <cellStyle name="Calculation 2 2 2 2 5 2 2 3 3 2" xfId="28309"/>
    <cellStyle name="Calculation 2 2 2 2 5 2 2 3 4" xfId="19632"/>
    <cellStyle name="Calculation 2 2 2 2 5 2 2 4" xfId="6059"/>
    <cellStyle name="Calculation 2 2 2 2 5 2 2 4 2" xfId="23401"/>
    <cellStyle name="Calculation 2 2 2 2 5 2 2 5" xfId="17297"/>
    <cellStyle name="Calculation 2 2 2 2 5 2 3" xfId="85"/>
    <cellStyle name="Calculation 2 2 2 2 5 2 3 2" xfId="3664"/>
    <cellStyle name="Calculation 2 2 2 2 5 2 3 2 2" xfId="9356"/>
    <cellStyle name="Calculation 2 2 2 2 5 2 3 2 2 2" xfId="15618"/>
    <cellStyle name="Calculation 2 2 2 2 5 2 3 2 2 2 2" xfId="29034"/>
    <cellStyle name="Calculation 2 2 2 2 5 2 3 2 2 3" xfId="20363"/>
    <cellStyle name="Calculation 2 2 2 2 5 2 3 2 3" xfId="4100"/>
    <cellStyle name="Calculation 2 2 2 2 5 2 3 2 3 2" xfId="22757"/>
    <cellStyle name="Calculation 2 2 2 2 5 2 3 2 4" xfId="6675"/>
    <cellStyle name="Calculation 2 2 2 2 5 2 3 3" xfId="12137"/>
    <cellStyle name="Calculation 2 2 2 2 5 2 3 3 2" xfId="26459"/>
    <cellStyle name="Calculation 2 2 2 2 5 2 3 4" xfId="17782"/>
    <cellStyle name="Calculation 2 2 2 2 5 2 4" xfId="3914"/>
    <cellStyle name="Calculation 2 2 2 2 5 2 4 2" xfId="6197"/>
    <cellStyle name="Calculation 2 2 2 2 5 2 4 2 2" xfId="23458"/>
    <cellStyle name="Calculation 2 2 2 2 5 2 4 3" xfId="17028"/>
    <cellStyle name="Calculation 2 2 2 2 5 2 5" xfId="4033"/>
    <cellStyle name="Calculation 2 2 2 2 5 2 5 2" xfId="22711"/>
    <cellStyle name="Calculation 2 2 2 2 5 2 6" xfId="15004"/>
    <cellStyle name="Calculation 2 2 2 2 5 3" xfId="86"/>
    <cellStyle name="Calculation 2 2 2 2 5 3 2" xfId="6996"/>
    <cellStyle name="Calculation 2 2 2 2 5 3 2 2" xfId="13600"/>
    <cellStyle name="Calculation 2 2 2 2 5 3 2 2 2" xfId="27922"/>
    <cellStyle name="Calculation 2 2 2 2 5 3 2 3" xfId="19245"/>
    <cellStyle name="Calculation 2 2 2 2 5 3 3" xfId="8049"/>
    <cellStyle name="Calculation 2 2 2 2 5 3 3 2" xfId="10663"/>
    <cellStyle name="Calculation 2 2 2 2 5 3 3 2 2" xfId="16925"/>
    <cellStyle name="Calculation 2 2 2 2 5 3 3 2 2 2" xfId="30341"/>
    <cellStyle name="Calculation 2 2 2 2 5 3 3 2 3" xfId="21670"/>
    <cellStyle name="Calculation 2 2 2 2 5 3 3 3" xfId="14653"/>
    <cellStyle name="Calculation 2 2 2 2 5 3 3 3 2" xfId="28975"/>
    <cellStyle name="Calculation 2 2 2 2 5 3 3 4" xfId="20298"/>
    <cellStyle name="Calculation 2 2 2 2 5 3 4" xfId="11511"/>
    <cellStyle name="Calculation 2 2 2 2 5 3 4 2" xfId="25833"/>
    <cellStyle name="Calculation 2 2 2 2 5 3 5" xfId="15564"/>
    <cellStyle name="Calculation 2 2 2 2 5 4" xfId="87"/>
    <cellStyle name="Calculation 2 2 2 2 5 4 2" xfId="4767"/>
    <cellStyle name="Calculation 2 2 2 2 5 4 2 2" xfId="9480"/>
    <cellStyle name="Calculation 2 2 2 2 5 4 2 2 2" xfId="15742"/>
    <cellStyle name="Calculation 2 2 2 2 5 4 2 2 2 2" xfId="29158"/>
    <cellStyle name="Calculation 2 2 2 2 5 4 2 2 3" xfId="20487"/>
    <cellStyle name="Calculation 2 2 2 2 5 4 2 3" xfId="2811"/>
    <cellStyle name="Calculation 2 2 2 2 5 4 2 3 2" xfId="22374"/>
    <cellStyle name="Calculation 2 2 2 2 5 4 2 4" xfId="15106"/>
    <cellStyle name="Calculation 2 2 2 2 5 4 3" xfId="12855"/>
    <cellStyle name="Calculation 2 2 2 2 5 4 3 2" xfId="27177"/>
    <cellStyle name="Calculation 2 2 2 2 5 4 4" xfId="18500"/>
    <cellStyle name="Calculation 2 2 2 2 5 5" xfId="5457"/>
    <cellStyle name="Calculation 2 2 2 2 5 5 2" xfId="12008"/>
    <cellStyle name="Calculation 2 2 2 2 5 5 2 2" xfId="26330"/>
    <cellStyle name="Calculation 2 2 2 2 5 5 3" xfId="17653"/>
    <cellStyle name="Calculation 2 2 2 2 5 6" xfId="5002"/>
    <cellStyle name="Calculation 2 2 2 2 5 6 2" xfId="23303"/>
    <cellStyle name="Calculation 2 2 2 2 5 7" xfId="3855"/>
    <cellStyle name="Calculation 2 2 2 2 6" xfId="88"/>
    <cellStyle name="Calculation 2 2 2 2 6 2" xfId="89"/>
    <cellStyle name="Calculation 2 2 2 2 6 2 2" xfId="5416"/>
    <cellStyle name="Calculation 2 2 2 2 6 2 2 2" xfId="11966"/>
    <cellStyle name="Calculation 2 2 2 2 6 2 2 2 2" xfId="26288"/>
    <cellStyle name="Calculation 2 2 2 2 6 2 2 3" xfId="17611"/>
    <cellStyle name="Calculation 2 2 2 2 6 2 3" xfId="4340"/>
    <cellStyle name="Calculation 2 2 2 2 6 2 3 2" xfId="9451"/>
    <cellStyle name="Calculation 2 2 2 2 6 2 3 2 2" xfId="15713"/>
    <cellStyle name="Calculation 2 2 2 2 6 2 3 2 2 2" xfId="29129"/>
    <cellStyle name="Calculation 2 2 2 2 6 2 3 2 3" xfId="20458"/>
    <cellStyle name="Calculation 2 2 2 2 6 2 3 3" xfId="4727"/>
    <cellStyle name="Calculation 2 2 2 2 6 2 3 3 2" xfId="23154"/>
    <cellStyle name="Calculation 2 2 2 2 6 2 3 4" xfId="14856"/>
    <cellStyle name="Calculation 2 2 2 2 6 2 4" xfId="6196"/>
    <cellStyle name="Calculation 2 2 2 2 6 2 4 2" xfId="23457"/>
    <cellStyle name="Calculation 2 2 2 2 6 2 5" xfId="15296"/>
    <cellStyle name="Calculation 2 2 2 2 6 3" xfId="90"/>
    <cellStyle name="Calculation 2 2 2 2 6 3 2" xfId="7658"/>
    <cellStyle name="Calculation 2 2 2 2 6 3 2 2" xfId="10272"/>
    <cellStyle name="Calculation 2 2 2 2 6 3 2 2 2" xfId="16534"/>
    <cellStyle name="Calculation 2 2 2 2 6 3 2 2 2 2" xfId="29950"/>
    <cellStyle name="Calculation 2 2 2 2 6 3 2 2 3" xfId="21279"/>
    <cellStyle name="Calculation 2 2 2 2 6 3 2 3" xfId="14262"/>
    <cellStyle name="Calculation 2 2 2 2 6 3 2 3 2" xfId="28584"/>
    <cellStyle name="Calculation 2 2 2 2 6 3 2 4" xfId="19907"/>
    <cellStyle name="Calculation 2 2 2 2 6 3 3" xfId="13367"/>
    <cellStyle name="Calculation 2 2 2 2 6 3 3 2" xfId="27689"/>
    <cellStyle name="Calculation 2 2 2 2 6 3 4" xfId="19012"/>
    <cellStyle name="Calculation 2 2 2 2 6 4" xfId="5818"/>
    <cellStyle name="Calculation 2 2 2 2 6 4 2" xfId="12371"/>
    <cellStyle name="Calculation 2 2 2 2 6 4 2 2" xfId="26693"/>
    <cellStyle name="Calculation 2 2 2 2 6 4 3" xfId="18016"/>
    <cellStyle name="Calculation 2 2 2 2 6 5" xfId="4383"/>
    <cellStyle name="Calculation 2 2 2 2 6 5 2" xfId="22917"/>
    <cellStyle name="Calculation 2 2 2 2 6 6" xfId="4473"/>
    <cellStyle name="Calculation 2 2 2 2 7" xfId="91"/>
    <cellStyle name="Calculation 2 2 2 2 7 2" xfId="6168"/>
    <cellStyle name="Calculation 2 2 2 2 7 2 2" xfId="12741"/>
    <cellStyle name="Calculation 2 2 2 2 7 2 2 2" xfId="27063"/>
    <cellStyle name="Calculation 2 2 2 2 7 2 3" xfId="18386"/>
    <cellStyle name="Calculation 2 2 2 2 7 3" xfId="7427"/>
    <cellStyle name="Calculation 2 2 2 2 7 3 2" xfId="10041"/>
    <cellStyle name="Calculation 2 2 2 2 7 3 2 2" xfId="16303"/>
    <cellStyle name="Calculation 2 2 2 2 7 3 2 2 2" xfId="29719"/>
    <cellStyle name="Calculation 2 2 2 2 7 3 2 3" xfId="21048"/>
    <cellStyle name="Calculation 2 2 2 2 7 3 3" xfId="14031"/>
    <cellStyle name="Calculation 2 2 2 2 7 3 3 2" xfId="28353"/>
    <cellStyle name="Calculation 2 2 2 2 7 3 4" xfId="19676"/>
    <cellStyle name="Calculation 2 2 2 2 7 4" xfId="4422"/>
    <cellStyle name="Calculation 2 2 2 2 7 4 2" xfId="22940"/>
    <cellStyle name="Calculation 2 2 2 2 7 5" xfId="6622"/>
    <cellStyle name="Calculation 2 2 2 2 8" xfId="92"/>
    <cellStyle name="Calculation 2 2 2 2 8 2" xfId="7988"/>
    <cellStyle name="Calculation 2 2 2 2 8 2 2" xfId="10602"/>
    <cellStyle name="Calculation 2 2 2 2 8 2 2 2" xfId="16864"/>
    <cellStyle name="Calculation 2 2 2 2 8 2 2 2 2" xfId="30280"/>
    <cellStyle name="Calculation 2 2 2 2 8 2 2 3" xfId="21609"/>
    <cellStyle name="Calculation 2 2 2 2 8 2 3" xfId="14592"/>
    <cellStyle name="Calculation 2 2 2 2 8 2 3 2" xfId="28914"/>
    <cellStyle name="Calculation 2 2 2 2 8 2 4" xfId="20237"/>
    <cellStyle name="Calculation 2 2 2 2 8 3" xfId="12757"/>
    <cellStyle name="Calculation 2 2 2 2 8 3 2" xfId="27079"/>
    <cellStyle name="Calculation 2 2 2 2 8 4" xfId="18402"/>
    <cellStyle name="Calculation 2 2 2 2 9" xfId="5468"/>
    <cellStyle name="Calculation 2 2 2 2 9 2" xfId="12019"/>
    <cellStyle name="Calculation 2 2 2 2 9 2 2" xfId="26341"/>
    <cellStyle name="Calculation 2 2 2 2 9 3" xfId="17664"/>
    <cellStyle name="Calculation 2 2 2 3" xfId="93"/>
    <cellStyle name="Calculation 2 2 2 3 2" xfId="94"/>
    <cellStyle name="Calculation 2 2 2 3 2 2" xfId="95"/>
    <cellStyle name="Calculation 2 2 2 3 2 2 2" xfId="6828"/>
    <cellStyle name="Calculation 2 2 2 3 2 2 2 2" xfId="13432"/>
    <cellStyle name="Calculation 2 2 2 3 2 2 2 2 2" xfId="27754"/>
    <cellStyle name="Calculation 2 2 2 3 2 2 2 3" xfId="19077"/>
    <cellStyle name="Calculation 2 2 2 3 2 2 3" xfId="7849"/>
    <cellStyle name="Calculation 2 2 2 3 2 2 3 2" xfId="10463"/>
    <cellStyle name="Calculation 2 2 2 3 2 2 3 2 2" xfId="16725"/>
    <cellStyle name="Calculation 2 2 2 3 2 2 3 2 2 2" xfId="30141"/>
    <cellStyle name="Calculation 2 2 2 3 2 2 3 2 3" xfId="21470"/>
    <cellStyle name="Calculation 2 2 2 3 2 2 3 3" xfId="14453"/>
    <cellStyle name="Calculation 2 2 2 3 2 2 3 3 2" xfId="28775"/>
    <cellStyle name="Calculation 2 2 2 3 2 2 3 4" xfId="20098"/>
    <cellStyle name="Calculation 2 2 2 3 2 2 4" xfId="2780"/>
    <cellStyle name="Calculation 2 2 2 3 2 2 4 2" xfId="22349"/>
    <cellStyle name="Calculation 2 2 2 3 2 2 5" xfId="15234"/>
    <cellStyle name="Calculation 2 2 2 3 2 3" xfId="96"/>
    <cellStyle name="Calculation 2 2 2 3 2 3 2" xfId="7191"/>
    <cellStyle name="Calculation 2 2 2 3 2 3 2 2" xfId="9805"/>
    <cellStyle name="Calculation 2 2 2 3 2 3 2 2 2" xfId="16067"/>
    <cellStyle name="Calculation 2 2 2 3 2 3 2 2 2 2" xfId="29483"/>
    <cellStyle name="Calculation 2 2 2 3 2 3 2 2 3" xfId="20812"/>
    <cellStyle name="Calculation 2 2 2 3 2 3 2 3" xfId="13795"/>
    <cellStyle name="Calculation 2 2 2 3 2 3 2 3 2" xfId="28117"/>
    <cellStyle name="Calculation 2 2 2 3 2 3 2 4" xfId="19440"/>
    <cellStyle name="Calculation 2 2 2 3 2 3 3" xfId="13295"/>
    <cellStyle name="Calculation 2 2 2 3 2 3 3 2" xfId="27617"/>
    <cellStyle name="Calculation 2 2 2 3 2 3 4" xfId="18940"/>
    <cellStyle name="Calculation 2 2 2 3 2 4" xfId="5745"/>
    <cellStyle name="Calculation 2 2 2 3 2 4 2" xfId="12298"/>
    <cellStyle name="Calculation 2 2 2 3 2 4 2 2" xfId="26620"/>
    <cellStyle name="Calculation 2 2 2 3 2 4 3" xfId="17943"/>
    <cellStyle name="Calculation 2 2 2 3 2 5" xfId="5972"/>
    <cellStyle name="Calculation 2 2 2 3 2 5 2" xfId="23386"/>
    <cellStyle name="Calculation 2 2 2 3 2 6" xfId="15290"/>
    <cellStyle name="Calculation 2 2 2 3 3" xfId="97"/>
    <cellStyle name="Calculation 2 2 2 3 3 2" xfId="98"/>
    <cellStyle name="Calculation 2 2 2 3 3 2 2" xfId="6870"/>
    <cellStyle name="Calculation 2 2 2 3 3 2 2 2" xfId="13474"/>
    <cellStyle name="Calculation 2 2 2 3 3 2 2 2 2" xfId="27796"/>
    <cellStyle name="Calculation 2 2 2 3 3 2 2 3" xfId="19119"/>
    <cellStyle name="Calculation 2 2 2 3 3 2 3" xfId="7485"/>
    <cellStyle name="Calculation 2 2 2 3 3 2 3 2" xfId="10099"/>
    <cellStyle name="Calculation 2 2 2 3 3 2 3 2 2" xfId="16361"/>
    <cellStyle name="Calculation 2 2 2 3 3 2 3 2 2 2" xfId="29777"/>
    <cellStyle name="Calculation 2 2 2 3 3 2 3 2 3" xfId="21106"/>
    <cellStyle name="Calculation 2 2 2 3 3 2 3 3" xfId="14089"/>
    <cellStyle name="Calculation 2 2 2 3 3 2 3 3 2" xfId="28411"/>
    <cellStyle name="Calculation 2 2 2 3 3 2 3 4" xfId="19734"/>
    <cellStyle name="Calculation 2 2 2 3 3 2 4" xfId="11333"/>
    <cellStyle name="Calculation 2 2 2 3 3 2 4 2" xfId="25655"/>
    <cellStyle name="Calculation 2 2 2 3 3 2 5" xfId="17167"/>
    <cellStyle name="Calculation 2 2 2 3 3 3" xfId="99"/>
    <cellStyle name="Calculation 2 2 2 3 3 3 2" xfId="7703"/>
    <cellStyle name="Calculation 2 2 2 3 3 3 2 2" xfId="10317"/>
    <cellStyle name="Calculation 2 2 2 3 3 3 2 2 2" xfId="16579"/>
    <cellStyle name="Calculation 2 2 2 3 3 3 2 2 2 2" xfId="29995"/>
    <cellStyle name="Calculation 2 2 2 3 3 3 2 2 3" xfId="21324"/>
    <cellStyle name="Calculation 2 2 2 3 3 3 2 3" xfId="14307"/>
    <cellStyle name="Calculation 2 2 2 3 3 3 2 3 2" xfId="28629"/>
    <cellStyle name="Calculation 2 2 2 3 3 3 2 4" xfId="19952"/>
    <cellStyle name="Calculation 2 2 2 3 3 3 3" xfId="11673"/>
    <cellStyle name="Calculation 2 2 2 3 3 3 3 2" xfId="25995"/>
    <cellStyle name="Calculation 2 2 2 3 3 3 4" xfId="14844"/>
    <cellStyle name="Calculation 2 2 2 3 3 4" xfId="3157"/>
    <cellStyle name="Calculation 2 2 2 3 3 4 2" xfId="4370"/>
    <cellStyle name="Calculation 2 2 2 3 3 4 2 2" xfId="22912"/>
    <cellStyle name="Calculation 2 2 2 3 3 4 3" xfId="15285"/>
    <cellStyle name="Calculation 2 2 2 3 3 5" xfId="4477"/>
    <cellStyle name="Calculation 2 2 2 3 3 5 2" xfId="22975"/>
    <cellStyle name="Calculation 2 2 2 3 3 6" xfId="6464"/>
    <cellStyle name="Calculation 2 2 2 3 4" xfId="100"/>
    <cellStyle name="Calculation 2 2 2 3 4 2" xfId="6076"/>
    <cellStyle name="Calculation 2 2 2 3 4 2 2" xfId="12642"/>
    <cellStyle name="Calculation 2 2 2 3 4 2 2 2" xfId="26964"/>
    <cellStyle name="Calculation 2 2 2 3 4 2 3" xfId="18287"/>
    <cellStyle name="Calculation 2 2 2 3 4 3" xfId="8043"/>
    <cellStyle name="Calculation 2 2 2 3 4 3 2" xfId="10657"/>
    <cellStyle name="Calculation 2 2 2 3 4 3 2 2" xfId="16919"/>
    <cellStyle name="Calculation 2 2 2 3 4 3 2 2 2" xfId="30335"/>
    <cellStyle name="Calculation 2 2 2 3 4 3 2 3" xfId="21664"/>
    <cellStyle name="Calculation 2 2 2 3 4 3 3" xfId="14647"/>
    <cellStyle name="Calculation 2 2 2 3 4 3 3 2" xfId="28969"/>
    <cellStyle name="Calculation 2 2 2 3 4 3 4" xfId="20292"/>
    <cellStyle name="Calculation 2 2 2 3 4 4" xfId="4086"/>
    <cellStyle name="Calculation 2 2 2 3 4 4 2" xfId="22752"/>
    <cellStyle name="Calculation 2 2 2 3 4 5" xfId="16988"/>
    <cellStyle name="Calculation 2 2 2 3 5" xfId="101"/>
    <cellStyle name="Calculation 2 2 2 3 5 2" xfId="7704"/>
    <cellStyle name="Calculation 2 2 2 3 5 2 2" xfId="10318"/>
    <cellStyle name="Calculation 2 2 2 3 5 2 2 2" xfId="16580"/>
    <cellStyle name="Calculation 2 2 2 3 5 2 2 2 2" xfId="29996"/>
    <cellStyle name="Calculation 2 2 2 3 5 2 2 3" xfId="21325"/>
    <cellStyle name="Calculation 2 2 2 3 5 2 3" xfId="14308"/>
    <cellStyle name="Calculation 2 2 2 3 5 2 3 2" xfId="28630"/>
    <cellStyle name="Calculation 2 2 2 3 5 2 4" xfId="19953"/>
    <cellStyle name="Calculation 2 2 2 3 5 3" xfId="12871"/>
    <cellStyle name="Calculation 2 2 2 3 5 3 2" xfId="27193"/>
    <cellStyle name="Calculation 2 2 2 3 5 4" xfId="18516"/>
    <cellStyle name="Calculation 2 2 2 3 6" xfId="5489"/>
    <cellStyle name="Calculation 2 2 2 3 6 2" xfId="12040"/>
    <cellStyle name="Calculation 2 2 2 3 6 2 2" xfId="26362"/>
    <cellStyle name="Calculation 2 2 2 3 6 3" xfId="17685"/>
    <cellStyle name="Calculation 2 2 2 3 7" xfId="6658"/>
    <cellStyle name="Calculation 2 2 2 3 7 2" xfId="23634"/>
    <cellStyle name="Calculation 2 2 2 3 8" xfId="17351"/>
    <cellStyle name="Calculation 2 2 2 4" xfId="102"/>
    <cellStyle name="Calculation 2 2 2 4 2" xfId="103"/>
    <cellStyle name="Calculation 2 2 2 4 2 2" xfId="104"/>
    <cellStyle name="Calculation 2 2 2 4 2 2 2" xfId="6547"/>
    <cellStyle name="Calculation 2 2 2 4 2 2 2 2" xfId="13135"/>
    <cellStyle name="Calculation 2 2 2 4 2 2 2 2 2" xfId="27457"/>
    <cellStyle name="Calculation 2 2 2 4 2 2 2 3" xfId="18780"/>
    <cellStyle name="Calculation 2 2 2 4 2 2 3" xfId="7372"/>
    <cellStyle name="Calculation 2 2 2 4 2 2 3 2" xfId="9986"/>
    <cellStyle name="Calculation 2 2 2 4 2 2 3 2 2" xfId="16248"/>
    <cellStyle name="Calculation 2 2 2 4 2 2 3 2 2 2" xfId="29664"/>
    <cellStyle name="Calculation 2 2 2 4 2 2 3 2 3" xfId="20993"/>
    <cellStyle name="Calculation 2 2 2 4 2 2 3 3" xfId="13976"/>
    <cellStyle name="Calculation 2 2 2 4 2 2 3 3 2" xfId="28298"/>
    <cellStyle name="Calculation 2 2 2 4 2 2 3 4" xfId="19621"/>
    <cellStyle name="Calculation 2 2 2 4 2 2 4" xfId="6015"/>
    <cellStyle name="Calculation 2 2 2 4 2 2 4 2" xfId="23394"/>
    <cellStyle name="Calculation 2 2 2 4 2 2 5" xfId="15035"/>
    <cellStyle name="Calculation 2 2 2 4 2 3" xfId="105"/>
    <cellStyle name="Calculation 2 2 2 4 2 3 2" xfId="7420"/>
    <cellStyle name="Calculation 2 2 2 4 2 3 2 2" xfId="10034"/>
    <cellStyle name="Calculation 2 2 2 4 2 3 2 2 2" xfId="16296"/>
    <cellStyle name="Calculation 2 2 2 4 2 3 2 2 2 2" xfId="29712"/>
    <cellStyle name="Calculation 2 2 2 4 2 3 2 2 3" xfId="21041"/>
    <cellStyle name="Calculation 2 2 2 4 2 3 2 3" xfId="14024"/>
    <cellStyle name="Calculation 2 2 2 4 2 3 2 3 2" xfId="28346"/>
    <cellStyle name="Calculation 2 2 2 4 2 3 2 4" xfId="19669"/>
    <cellStyle name="Calculation 2 2 2 4 2 3 3" xfId="13331"/>
    <cellStyle name="Calculation 2 2 2 4 2 3 3 2" xfId="27653"/>
    <cellStyle name="Calculation 2 2 2 4 2 3 4" xfId="18976"/>
    <cellStyle name="Calculation 2 2 2 4 2 4" xfId="5781"/>
    <cellStyle name="Calculation 2 2 2 4 2 4 2" xfId="12334"/>
    <cellStyle name="Calculation 2 2 2 4 2 4 2 2" xfId="26656"/>
    <cellStyle name="Calculation 2 2 2 4 2 4 3" xfId="17979"/>
    <cellStyle name="Calculation 2 2 2 4 2 5" xfId="4668"/>
    <cellStyle name="Calculation 2 2 2 4 2 5 2" xfId="23107"/>
    <cellStyle name="Calculation 2 2 2 4 2 6" xfId="15131"/>
    <cellStyle name="Calculation 2 2 2 4 3" xfId="106"/>
    <cellStyle name="Calculation 2 2 2 4 3 2" xfId="107"/>
    <cellStyle name="Calculation 2 2 2 4 3 2 2" xfId="6100"/>
    <cellStyle name="Calculation 2 2 2 4 3 2 2 2" xfId="12667"/>
    <cellStyle name="Calculation 2 2 2 4 3 2 2 2 2" xfId="26989"/>
    <cellStyle name="Calculation 2 2 2 4 3 2 2 3" xfId="18312"/>
    <cellStyle name="Calculation 2 2 2 4 3 2 3" xfId="8022"/>
    <cellStyle name="Calculation 2 2 2 4 3 2 3 2" xfId="10636"/>
    <cellStyle name="Calculation 2 2 2 4 3 2 3 2 2" xfId="16898"/>
    <cellStyle name="Calculation 2 2 2 4 3 2 3 2 2 2" xfId="30314"/>
    <cellStyle name="Calculation 2 2 2 4 3 2 3 2 3" xfId="21643"/>
    <cellStyle name="Calculation 2 2 2 4 3 2 3 3" xfId="14626"/>
    <cellStyle name="Calculation 2 2 2 4 3 2 3 3 2" xfId="28948"/>
    <cellStyle name="Calculation 2 2 2 4 3 2 3 4" xfId="20271"/>
    <cellStyle name="Calculation 2 2 2 4 3 2 4" xfId="6189"/>
    <cellStyle name="Calculation 2 2 2 4 3 2 4 2" xfId="23453"/>
    <cellStyle name="Calculation 2 2 2 4 3 2 5" xfId="17187"/>
    <cellStyle name="Calculation 2 2 2 4 3 3" xfId="108"/>
    <cellStyle name="Calculation 2 2 2 4 3 3 2" xfId="3814"/>
    <cellStyle name="Calculation 2 2 2 4 3 3 2 2" xfId="9380"/>
    <cellStyle name="Calculation 2 2 2 4 3 3 2 2 2" xfId="15642"/>
    <cellStyle name="Calculation 2 2 2 4 3 3 2 2 2 2" xfId="29058"/>
    <cellStyle name="Calculation 2 2 2 4 3 3 2 2 3" xfId="20387"/>
    <cellStyle name="Calculation 2 2 2 4 3 3 2 3" xfId="6679"/>
    <cellStyle name="Calculation 2 2 2 4 3 3 2 3 2" xfId="23650"/>
    <cellStyle name="Calculation 2 2 2 4 3 3 2 4" xfId="17281"/>
    <cellStyle name="Calculation 2 2 2 4 3 3 3" xfId="13056"/>
    <cellStyle name="Calculation 2 2 2 4 3 3 3 2" xfId="27378"/>
    <cellStyle name="Calculation 2 2 2 4 3 3 4" xfId="18701"/>
    <cellStyle name="Calculation 2 2 2 4 3 4" xfId="5385"/>
    <cellStyle name="Calculation 2 2 2 4 3 4 2" xfId="11935"/>
    <cellStyle name="Calculation 2 2 2 4 3 4 2 2" xfId="26257"/>
    <cellStyle name="Calculation 2 2 2 4 3 4 3" xfId="17580"/>
    <cellStyle name="Calculation 2 2 2 4 3 5" xfId="6141"/>
    <cellStyle name="Calculation 2 2 2 4 3 5 2" xfId="23426"/>
    <cellStyle name="Calculation 2 2 2 4 3 6" xfId="15078"/>
    <cellStyle name="Calculation 2 2 2 4 4" xfId="109"/>
    <cellStyle name="Calculation 2 2 2 4 4 2" xfId="6999"/>
    <cellStyle name="Calculation 2 2 2 4 4 2 2" xfId="13603"/>
    <cellStyle name="Calculation 2 2 2 4 4 2 2 2" xfId="27925"/>
    <cellStyle name="Calculation 2 2 2 4 4 2 3" xfId="19248"/>
    <cellStyle name="Calculation 2 2 2 4 4 3" xfId="7578"/>
    <cellStyle name="Calculation 2 2 2 4 4 3 2" xfId="10192"/>
    <cellStyle name="Calculation 2 2 2 4 4 3 2 2" xfId="16454"/>
    <cellStyle name="Calculation 2 2 2 4 4 3 2 2 2" xfId="29870"/>
    <cellStyle name="Calculation 2 2 2 4 4 3 2 3" xfId="21199"/>
    <cellStyle name="Calculation 2 2 2 4 4 3 3" xfId="14182"/>
    <cellStyle name="Calculation 2 2 2 4 4 3 3 2" xfId="28504"/>
    <cellStyle name="Calculation 2 2 2 4 4 3 4" xfId="19827"/>
    <cellStyle name="Calculation 2 2 2 4 4 4" xfId="11515"/>
    <cellStyle name="Calculation 2 2 2 4 4 4 2" xfId="25837"/>
    <cellStyle name="Calculation 2 2 2 4 4 5" xfId="4569"/>
    <cellStyle name="Calculation 2 2 2 4 5" xfId="110"/>
    <cellStyle name="Calculation 2 2 2 4 5 2" xfId="7810"/>
    <cellStyle name="Calculation 2 2 2 4 5 2 2" xfId="10424"/>
    <cellStyle name="Calculation 2 2 2 4 5 2 2 2" xfId="16686"/>
    <cellStyle name="Calculation 2 2 2 4 5 2 2 2 2" xfId="30102"/>
    <cellStyle name="Calculation 2 2 2 4 5 2 2 3" xfId="21431"/>
    <cellStyle name="Calculation 2 2 2 4 5 2 3" xfId="14414"/>
    <cellStyle name="Calculation 2 2 2 4 5 2 3 2" xfId="28736"/>
    <cellStyle name="Calculation 2 2 2 4 5 2 4" xfId="20059"/>
    <cellStyle name="Calculation 2 2 2 4 5 3" xfId="12907"/>
    <cellStyle name="Calculation 2 2 2 4 5 3 2" xfId="27229"/>
    <cellStyle name="Calculation 2 2 2 4 5 4" xfId="18552"/>
    <cellStyle name="Calculation 2 2 2 4 6" xfId="5531"/>
    <cellStyle name="Calculation 2 2 2 4 6 2" xfId="12082"/>
    <cellStyle name="Calculation 2 2 2 4 6 2 2" xfId="26404"/>
    <cellStyle name="Calculation 2 2 2 4 6 3" xfId="17727"/>
    <cellStyle name="Calculation 2 2 2 4 7" xfId="3807"/>
    <cellStyle name="Calculation 2 2 2 4 7 2" xfId="22593"/>
    <cellStyle name="Calculation 2 2 2 4 8" xfId="14679"/>
    <cellStyle name="Calculation 2 2 2 5" xfId="111"/>
    <cellStyle name="Calculation 2 2 2 5 2" xfId="112"/>
    <cellStyle name="Calculation 2 2 2 5 2 2" xfId="113"/>
    <cellStyle name="Calculation 2 2 2 5 2 2 2" xfId="5942"/>
    <cellStyle name="Calculation 2 2 2 5 2 2 2 2" xfId="12499"/>
    <cellStyle name="Calculation 2 2 2 5 2 2 2 2 2" xfId="26821"/>
    <cellStyle name="Calculation 2 2 2 5 2 2 2 3" xfId="18144"/>
    <cellStyle name="Calculation 2 2 2 5 2 2 3" xfId="7707"/>
    <cellStyle name="Calculation 2 2 2 5 2 2 3 2" xfId="10321"/>
    <cellStyle name="Calculation 2 2 2 5 2 2 3 2 2" xfId="16583"/>
    <cellStyle name="Calculation 2 2 2 5 2 2 3 2 2 2" xfId="29999"/>
    <cellStyle name="Calculation 2 2 2 5 2 2 3 2 3" xfId="21328"/>
    <cellStyle name="Calculation 2 2 2 5 2 2 3 3" xfId="14311"/>
    <cellStyle name="Calculation 2 2 2 5 2 2 3 3 2" xfId="28633"/>
    <cellStyle name="Calculation 2 2 2 5 2 2 3 4" xfId="19956"/>
    <cellStyle name="Calculation 2 2 2 5 2 2 4" xfId="6044"/>
    <cellStyle name="Calculation 2 2 2 5 2 2 4 2" xfId="23398"/>
    <cellStyle name="Calculation 2 2 2 5 2 2 5" xfId="15556"/>
    <cellStyle name="Calculation 2 2 2 5 2 3" xfId="114"/>
    <cellStyle name="Calculation 2 2 2 5 2 3 2" xfId="7592"/>
    <cellStyle name="Calculation 2 2 2 5 2 3 2 2" xfId="10206"/>
    <cellStyle name="Calculation 2 2 2 5 2 3 2 2 2" xfId="16468"/>
    <cellStyle name="Calculation 2 2 2 5 2 3 2 2 2 2" xfId="29884"/>
    <cellStyle name="Calculation 2 2 2 5 2 3 2 2 3" xfId="21213"/>
    <cellStyle name="Calculation 2 2 2 5 2 3 2 3" xfId="14196"/>
    <cellStyle name="Calculation 2 2 2 5 2 3 2 3 2" xfId="28518"/>
    <cellStyle name="Calculation 2 2 2 5 2 3 2 4" xfId="19841"/>
    <cellStyle name="Calculation 2 2 2 5 2 3 3" xfId="13201"/>
    <cellStyle name="Calculation 2 2 2 5 2 3 3 2" xfId="27523"/>
    <cellStyle name="Calculation 2 2 2 5 2 3 4" xfId="18846"/>
    <cellStyle name="Calculation 2 2 2 5 2 4" xfId="5640"/>
    <cellStyle name="Calculation 2 2 2 5 2 4 2" xfId="12193"/>
    <cellStyle name="Calculation 2 2 2 5 2 4 2 2" xfId="26515"/>
    <cellStyle name="Calculation 2 2 2 5 2 4 3" xfId="17838"/>
    <cellStyle name="Calculation 2 2 2 5 2 5" xfId="6614"/>
    <cellStyle name="Calculation 2 2 2 5 2 5 2" xfId="23606"/>
    <cellStyle name="Calculation 2 2 2 5 2 6" xfId="17019"/>
    <cellStyle name="Calculation 2 2 2 5 3" xfId="115"/>
    <cellStyle name="Calculation 2 2 2 5 3 2" xfId="116"/>
    <cellStyle name="Calculation 2 2 2 5 3 2 2" xfId="6854"/>
    <cellStyle name="Calculation 2 2 2 5 3 2 2 2" xfId="13458"/>
    <cellStyle name="Calculation 2 2 2 5 3 2 2 2 2" xfId="27780"/>
    <cellStyle name="Calculation 2 2 2 5 3 2 2 3" xfId="19103"/>
    <cellStyle name="Calculation 2 2 2 5 3 2 3" xfId="7698"/>
    <cellStyle name="Calculation 2 2 2 5 3 2 3 2" xfId="10312"/>
    <cellStyle name="Calculation 2 2 2 5 3 2 3 2 2" xfId="16574"/>
    <cellStyle name="Calculation 2 2 2 5 3 2 3 2 2 2" xfId="29990"/>
    <cellStyle name="Calculation 2 2 2 5 3 2 3 2 3" xfId="21319"/>
    <cellStyle name="Calculation 2 2 2 5 3 2 3 3" xfId="14302"/>
    <cellStyle name="Calculation 2 2 2 5 3 2 3 3 2" xfId="28624"/>
    <cellStyle name="Calculation 2 2 2 5 3 2 3 4" xfId="19947"/>
    <cellStyle name="Calculation 2 2 2 5 3 2 4" xfId="2760"/>
    <cellStyle name="Calculation 2 2 2 5 3 2 4 2" xfId="22329"/>
    <cellStyle name="Calculation 2 2 2 5 3 2 5" xfId="15530"/>
    <cellStyle name="Calculation 2 2 2 5 3 3" xfId="117"/>
    <cellStyle name="Calculation 2 2 2 5 3 3 2" xfId="7336"/>
    <cellStyle name="Calculation 2 2 2 5 3 3 2 2" xfId="9950"/>
    <cellStyle name="Calculation 2 2 2 5 3 3 2 2 2" xfId="16212"/>
    <cellStyle name="Calculation 2 2 2 5 3 3 2 2 2 2" xfId="29628"/>
    <cellStyle name="Calculation 2 2 2 5 3 3 2 2 3" xfId="20957"/>
    <cellStyle name="Calculation 2 2 2 5 3 3 2 3" xfId="13940"/>
    <cellStyle name="Calculation 2 2 2 5 3 3 2 3 2" xfId="28262"/>
    <cellStyle name="Calculation 2 2 2 5 3 3 2 4" xfId="19585"/>
    <cellStyle name="Calculation 2 2 2 5 3 3 3" xfId="13179"/>
    <cellStyle name="Calculation 2 2 2 5 3 3 3 2" xfId="27501"/>
    <cellStyle name="Calculation 2 2 2 5 3 3 4" xfId="18824"/>
    <cellStyle name="Calculation 2 2 2 5 3 4" xfId="5602"/>
    <cellStyle name="Calculation 2 2 2 5 3 4 2" xfId="12154"/>
    <cellStyle name="Calculation 2 2 2 5 3 4 2 2" xfId="26476"/>
    <cellStyle name="Calculation 2 2 2 5 3 4 3" xfId="17799"/>
    <cellStyle name="Calculation 2 2 2 5 3 5" xfId="3715"/>
    <cellStyle name="Calculation 2 2 2 5 3 5 2" xfId="22540"/>
    <cellStyle name="Calculation 2 2 2 5 3 6" xfId="16963"/>
    <cellStyle name="Calculation 2 2 2 5 4" xfId="118"/>
    <cellStyle name="Calculation 2 2 2 5 4 2" xfId="6932"/>
    <cellStyle name="Calculation 2 2 2 5 4 2 2" xfId="13536"/>
    <cellStyle name="Calculation 2 2 2 5 4 2 2 2" xfId="27858"/>
    <cellStyle name="Calculation 2 2 2 5 4 2 3" xfId="19181"/>
    <cellStyle name="Calculation 2 2 2 5 4 3" xfId="4415"/>
    <cellStyle name="Calculation 2 2 2 5 4 3 2" xfId="9464"/>
    <cellStyle name="Calculation 2 2 2 5 4 3 2 2" xfId="15726"/>
    <cellStyle name="Calculation 2 2 2 5 4 3 2 2 2" xfId="29142"/>
    <cellStyle name="Calculation 2 2 2 5 4 3 2 3" xfId="20471"/>
    <cellStyle name="Calculation 2 2 2 5 4 3 3" xfId="3832"/>
    <cellStyle name="Calculation 2 2 2 5 4 3 3 2" xfId="22603"/>
    <cellStyle name="Calculation 2 2 2 5 4 3 4" xfId="15404"/>
    <cellStyle name="Calculation 2 2 2 5 4 4" xfId="11425"/>
    <cellStyle name="Calculation 2 2 2 5 4 4 2" xfId="25747"/>
    <cellStyle name="Calculation 2 2 2 5 4 5" xfId="15095"/>
    <cellStyle name="Calculation 2 2 2 5 5" xfId="119"/>
    <cellStyle name="Calculation 2 2 2 5 5 2" xfId="3599"/>
    <cellStyle name="Calculation 2 2 2 5 5 2 2" xfId="9342"/>
    <cellStyle name="Calculation 2 2 2 5 5 2 2 2" xfId="15604"/>
    <cellStyle name="Calculation 2 2 2 5 5 2 2 2 2" xfId="29020"/>
    <cellStyle name="Calculation 2 2 2 5 5 2 2 3" xfId="20349"/>
    <cellStyle name="Calculation 2 2 2 5 5 2 3" xfId="6332"/>
    <cellStyle name="Calculation 2 2 2 5 5 2 3 2" xfId="23521"/>
    <cellStyle name="Calculation 2 2 2 5 5 2 4" xfId="17083"/>
    <cellStyle name="Calculation 2 2 2 5 5 3" xfId="11968"/>
    <cellStyle name="Calculation 2 2 2 5 5 3 2" xfId="26290"/>
    <cellStyle name="Calculation 2 2 2 5 5 4" xfId="17613"/>
    <cellStyle name="Calculation 2 2 2 5 6" xfId="5111"/>
    <cellStyle name="Calculation 2 2 2 5 6 2" xfId="11659"/>
    <cellStyle name="Calculation 2 2 2 5 6 2 2" xfId="25981"/>
    <cellStyle name="Calculation 2 2 2 5 6 3" xfId="17395"/>
    <cellStyle name="Calculation 2 2 2 5 7" xfId="6127"/>
    <cellStyle name="Calculation 2 2 2 5 7 2" xfId="23420"/>
    <cellStyle name="Calculation 2 2 2 5 8" xfId="17218"/>
    <cellStyle name="Calculation 2 2 2 6" xfId="120"/>
    <cellStyle name="Calculation 2 2 2 6 2" xfId="121"/>
    <cellStyle name="Calculation 2 2 2 6 2 2" xfId="122"/>
    <cellStyle name="Calculation 2 2 2 6 2 2 2" xfId="5432"/>
    <cellStyle name="Calculation 2 2 2 6 2 2 2 2" xfId="11983"/>
    <cellStyle name="Calculation 2 2 2 6 2 2 2 2 2" xfId="26305"/>
    <cellStyle name="Calculation 2 2 2 6 2 2 2 3" xfId="17628"/>
    <cellStyle name="Calculation 2 2 2 6 2 2 3" xfId="4496"/>
    <cellStyle name="Calculation 2 2 2 6 2 2 3 2" xfId="9471"/>
    <cellStyle name="Calculation 2 2 2 6 2 2 3 2 2" xfId="15733"/>
    <cellStyle name="Calculation 2 2 2 6 2 2 3 2 2 2" xfId="29149"/>
    <cellStyle name="Calculation 2 2 2 6 2 2 3 2 3" xfId="20478"/>
    <cellStyle name="Calculation 2 2 2 6 2 2 3 3" xfId="6254"/>
    <cellStyle name="Calculation 2 2 2 6 2 2 3 3 2" xfId="23476"/>
    <cellStyle name="Calculation 2 2 2 6 2 2 3 4" xfId="15344"/>
    <cellStyle name="Calculation 2 2 2 6 2 2 4" xfId="4960"/>
    <cellStyle name="Calculation 2 2 2 6 2 2 4 2" xfId="23282"/>
    <cellStyle name="Calculation 2 2 2 6 2 2 5" xfId="14897"/>
    <cellStyle name="Calculation 2 2 2 6 2 3" xfId="123"/>
    <cellStyle name="Calculation 2 2 2 6 2 3 2" xfId="7140"/>
    <cellStyle name="Calculation 2 2 2 6 2 3 2 2" xfId="9754"/>
    <cellStyle name="Calculation 2 2 2 6 2 3 2 2 2" xfId="16016"/>
    <cellStyle name="Calculation 2 2 2 6 2 3 2 2 2 2" xfId="29432"/>
    <cellStyle name="Calculation 2 2 2 6 2 3 2 2 3" xfId="20761"/>
    <cellStyle name="Calculation 2 2 2 6 2 3 2 3" xfId="13744"/>
    <cellStyle name="Calculation 2 2 2 6 2 3 2 3 2" xfId="28066"/>
    <cellStyle name="Calculation 2 2 2 6 2 3 2 4" xfId="19389"/>
    <cellStyle name="Calculation 2 2 2 6 2 3 3" xfId="12666"/>
    <cellStyle name="Calculation 2 2 2 6 2 3 3 2" xfId="26988"/>
    <cellStyle name="Calculation 2 2 2 6 2 3 4" xfId="18311"/>
    <cellStyle name="Calculation 2 2 2 6 2 4" xfId="5049"/>
    <cellStyle name="Calculation 2 2 2 6 2 4 2" xfId="11596"/>
    <cellStyle name="Calculation 2 2 2 6 2 4 2 2" xfId="25918"/>
    <cellStyle name="Calculation 2 2 2 6 2 4 3" xfId="15190"/>
    <cellStyle name="Calculation 2 2 2 6 2 5" xfId="4178"/>
    <cellStyle name="Calculation 2 2 2 6 2 5 2" xfId="22801"/>
    <cellStyle name="Calculation 2 2 2 6 2 6" xfId="15329"/>
    <cellStyle name="Calculation 2 2 2 6 3" xfId="124"/>
    <cellStyle name="Calculation 2 2 2 6 3 2" xfId="5589"/>
    <cellStyle name="Calculation 2 2 2 6 3 2 2" xfId="12141"/>
    <cellStyle name="Calculation 2 2 2 6 3 2 2 2" xfId="26463"/>
    <cellStyle name="Calculation 2 2 2 6 3 2 3" xfId="17786"/>
    <cellStyle name="Calculation 2 2 2 6 3 3" xfId="7473"/>
    <cellStyle name="Calculation 2 2 2 6 3 3 2" xfId="10087"/>
    <cellStyle name="Calculation 2 2 2 6 3 3 2 2" xfId="16349"/>
    <cellStyle name="Calculation 2 2 2 6 3 3 2 2 2" xfId="29765"/>
    <cellStyle name="Calculation 2 2 2 6 3 3 2 3" xfId="21094"/>
    <cellStyle name="Calculation 2 2 2 6 3 3 3" xfId="14077"/>
    <cellStyle name="Calculation 2 2 2 6 3 3 3 2" xfId="28399"/>
    <cellStyle name="Calculation 2 2 2 6 3 3 4" xfId="19722"/>
    <cellStyle name="Calculation 2 2 2 6 3 4" xfId="3294"/>
    <cellStyle name="Calculation 2 2 2 6 3 4 2" xfId="22467"/>
    <cellStyle name="Calculation 2 2 2 6 3 5" xfId="17394"/>
    <cellStyle name="Calculation 2 2 2 6 4" xfId="125"/>
    <cellStyle name="Calculation 2 2 2 6 4 2" xfId="7053"/>
    <cellStyle name="Calculation 2 2 2 6 4 2 2" xfId="9667"/>
    <cellStyle name="Calculation 2 2 2 6 4 2 2 2" xfId="15929"/>
    <cellStyle name="Calculation 2 2 2 6 4 2 2 2 2" xfId="29345"/>
    <cellStyle name="Calculation 2 2 2 6 4 2 2 3" xfId="20674"/>
    <cellStyle name="Calculation 2 2 2 6 4 2 3" xfId="13657"/>
    <cellStyle name="Calculation 2 2 2 6 4 2 3 2" xfId="27979"/>
    <cellStyle name="Calculation 2 2 2 6 4 2 4" xfId="19302"/>
    <cellStyle name="Calculation 2 2 2 6 4 3" xfId="12206"/>
    <cellStyle name="Calculation 2 2 2 6 4 3 2" xfId="26528"/>
    <cellStyle name="Calculation 2 2 2 6 4 4" xfId="17851"/>
    <cellStyle name="Calculation 2 2 2 6 5" xfId="5153"/>
    <cellStyle name="Calculation 2 2 2 6 5 2" xfId="11702"/>
    <cellStyle name="Calculation 2 2 2 6 5 2 2" xfId="26024"/>
    <cellStyle name="Calculation 2 2 2 6 5 3" xfId="6704"/>
    <cellStyle name="Calculation 2 2 2 6 6" xfId="6335"/>
    <cellStyle name="Calculation 2 2 2 6 6 2" xfId="23523"/>
    <cellStyle name="Calculation 2 2 2 6 7" xfId="14973"/>
    <cellStyle name="Calculation 2 2 2 7" xfId="126"/>
    <cellStyle name="Calculation 2 2 2 7 2" xfId="127"/>
    <cellStyle name="Calculation 2 2 2 7 2 2" xfId="6024"/>
    <cellStyle name="Calculation 2 2 2 7 2 2 2" xfId="12585"/>
    <cellStyle name="Calculation 2 2 2 7 2 2 2 2" xfId="26907"/>
    <cellStyle name="Calculation 2 2 2 7 2 2 3" xfId="18230"/>
    <cellStyle name="Calculation 2 2 2 7 2 3" xfId="7656"/>
    <cellStyle name="Calculation 2 2 2 7 2 3 2" xfId="10270"/>
    <cellStyle name="Calculation 2 2 2 7 2 3 2 2" xfId="16532"/>
    <cellStyle name="Calculation 2 2 2 7 2 3 2 2 2" xfId="29948"/>
    <cellStyle name="Calculation 2 2 2 7 2 3 2 3" xfId="21277"/>
    <cellStyle name="Calculation 2 2 2 7 2 3 3" xfId="14260"/>
    <cellStyle name="Calculation 2 2 2 7 2 3 3 2" xfId="28582"/>
    <cellStyle name="Calculation 2 2 2 7 2 3 4" xfId="19905"/>
    <cellStyle name="Calculation 2 2 2 7 2 4" xfId="4731"/>
    <cellStyle name="Calculation 2 2 2 7 2 4 2" xfId="23157"/>
    <cellStyle name="Calculation 2 2 2 7 2 5" xfId="15066"/>
    <cellStyle name="Calculation 2 2 2 7 3" xfId="128"/>
    <cellStyle name="Calculation 2 2 2 7 3 2" xfId="7542"/>
    <cellStyle name="Calculation 2 2 2 7 3 2 2" xfId="10156"/>
    <cellStyle name="Calculation 2 2 2 7 3 2 2 2" xfId="16418"/>
    <cellStyle name="Calculation 2 2 2 7 3 2 2 2 2" xfId="29834"/>
    <cellStyle name="Calculation 2 2 2 7 3 2 2 3" xfId="21163"/>
    <cellStyle name="Calculation 2 2 2 7 3 2 3" xfId="14146"/>
    <cellStyle name="Calculation 2 2 2 7 3 2 3 2" xfId="28468"/>
    <cellStyle name="Calculation 2 2 2 7 3 2 4" xfId="19791"/>
    <cellStyle name="Calculation 2 2 2 7 3 3" xfId="12209"/>
    <cellStyle name="Calculation 2 2 2 7 3 3 2" xfId="26531"/>
    <cellStyle name="Calculation 2 2 2 7 3 4" xfId="17854"/>
    <cellStyle name="Calculation 2 2 2 7 4" xfId="5150"/>
    <cellStyle name="Calculation 2 2 2 7 4 2" xfId="11699"/>
    <cellStyle name="Calculation 2 2 2 7 4 2 2" xfId="26021"/>
    <cellStyle name="Calculation 2 2 2 7 4 3" xfId="4170"/>
    <cellStyle name="Calculation 2 2 2 7 5" xfId="4580"/>
    <cellStyle name="Calculation 2 2 2 7 5 2" xfId="23046"/>
    <cellStyle name="Calculation 2 2 2 7 6" xfId="15557"/>
    <cellStyle name="Calculation 2 2 2 8" xfId="129"/>
    <cellStyle name="Calculation 2 2 2 8 2" xfId="5590"/>
    <cellStyle name="Calculation 2 2 2 8 2 2" xfId="12142"/>
    <cellStyle name="Calculation 2 2 2 8 2 2 2" xfId="26464"/>
    <cellStyle name="Calculation 2 2 2 8 2 3" xfId="17787"/>
    <cellStyle name="Calculation 2 2 2 8 3" xfId="5268"/>
    <cellStyle name="Calculation 2 2 2 8 3 2" xfId="9577"/>
    <cellStyle name="Calculation 2 2 2 8 3 2 2" xfId="15839"/>
    <cellStyle name="Calculation 2 2 2 8 3 2 2 2" xfId="29255"/>
    <cellStyle name="Calculation 2 2 2 8 3 2 3" xfId="20584"/>
    <cellStyle name="Calculation 2 2 2 8 3 3" xfId="11818"/>
    <cellStyle name="Calculation 2 2 2 8 3 3 2" xfId="26140"/>
    <cellStyle name="Calculation 2 2 2 8 3 4" xfId="17463"/>
    <cellStyle name="Calculation 2 2 2 8 4" xfId="6364"/>
    <cellStyle name="Calculation 2 2 2 8 4 2" xfId="23547"/>
    <cellStyle name="Calculation 2 2 2 8 5" xfId="15377"/>
    <cellStyle name="Calculation 2 2 2 9" xfId="130"/>
    <cellStyle name="Calculation 2 2 2 9 2" xfId="7399"/>
    <cellStyle name="Calculation 2 2 2 9 2 2" xfId="10013"/>
    <cellStyle name="Calculation 2 2 2 9 2 2 2" xfId="16275"/>
    <cellStyle name="Calculation 2 2 2 9 2 2 2 2" xfId="29691"/>
    <cellStyle name="Calculation 2 2 2 9 2 2 3" xfId="21020"/>
    <cellStyle name="Calculation 2 2 2 9 2 3" xfId="14003"/>
    <cellStyle name="Calculation 2 2 2 9 2 3 2" xfId="28325"/>
    <cellStyle name="Calculation 2 2 2 9 2 4" xfId="19648"/>
    <cellStyle name="Calculation 2 2 2 9 3" xfId="11931"/>
    <cellStyle name="Calculation 2 2 2 9 3 2" xfId="26253"/>
    <cellStyle name="Calculation 2 2 2 9 4" xfId="17576"/>
    <cellStyle name="Calculation 2 2 3" xfId="131"/>
    <cellStyle name="Calculation 2 2 3 10" xfId="4130"/>
    <cellStyle name="Calculation 2 2 3 10 2" xfId="22772"/>
    <cellStyle name="Calculation 2 2 3 11" xfId="14684"/>
    <cellStyle name="Calculation 2 2 3 2" xfId="132"/>
    <cellStyle name="Calculation 2 2 3 2 2" xfId="133"/>
    <cellStyle name="Calculation 2 2 3 2 2 2" xfId="134"/>
    <cellStyle name="Calculation 2 2 3 2 2 2 2" xfId="6902"/>
    <cellStyle name="Calculation 2 2 3 2 2 2 2 2" xfId="13506"/>
    <cellStyle name="Calculation 2 2 3 2 2 2 2 2 2" xfId="27828"/>
    <cellStyle name="Calculation 2 2 3 2 2 2 2 3" xfId="19151"/>
    <cellStyle name="Calculation 2 2 3 2 2 2 3" xfId="7764"/>
    <cellStyle name="Calculation 2 2 3 2 2 2 3 2" xfId="10378"/>
    <cellStyle name="Calculation 2 2 3 2 2 2 3 2 2" xfId="16640"/>
    <cellStyle name="Calculation 2 2 3 2 2 2 3 2 2 2" xfId="30056"/>
    <cellStyle name="Calculation 2 2 3 2 2 2 3 2 3" xfId="21385"/>
    <cellStyle name="Calculation 2 2 3 2 2 2 3 3" xfId="14368"/>
    <cellStyle name="Calculation 2 2 3 2 2 2 3 3 2" xfId="28690"/>
    <cellStyle name="Calculation 2 2 3 2 2 2 3 4" xfId="20013"/>
    <cellStyle name="Calculation 2 2 3 2 2 2 4" xfId="11384"/>
    <cellStyle name="Calculation 2 2 3 2 2 2 4 2" xfId="25706"/>
    <cellStyle name="Calculation 2 2 3 2 2 2 5" xfId="4795"/>
    <cellStyle name="Calculation 2 2 3 2 2 3" xfId="135"/>
    <cellStyle name="Calculation 2 2 3 2 2 3 2" xfId="4101"/>
    <cellStyle name="Calculation 2 2 3 2 2 3 2 2" xfId="9425"/>
    <cellStyle name="Calculation 2 2 3 2 2 3 2 2 2" xfId="15687"/>
    <cellStyle name="Calculation 2 2 3 2 2 3 2 2 2 2" xfId="29103"/>
    <cellStyle name="Calculation 2 2 3 2 2 3 2 2 3" xfId="20432"/>
    <cellStyle name="Calculation 2 2 3 2 2 3 2 3" xfId="4021"/>
    <cellStyle name="Calculation 2 2 3 2 2 3 2 3 2" xfId="22705"/>
    <cellStyle name="Calculation 2 2 3 2 2 3 2 4" xfId="4660"/>
    <cellStyle name="Calculation 2 2 3 2 2 3 3" xfId="13311"/>
    <cellStyle name="Calculation 2 2 3 2 2 3 3 2" xfId="27633"/>
    <cellStyle name="Calculation 2 2 3 2 2 3 4" xfId="18956"/>
    <cellStyle name="Calculation 2 2 3 2 2 4" xfId="5761"/>
    <cellStyle name="Calculation 2 2 3 2 2 4 2" xfId="12314"/>
    <cellStyle name="Calculation 2 2 3 2 2 4 2 2" xfId="26636"/>
    <cellStyle name="Calculation 2 2 3 2 2 4 3" xfId="17959"/>
    <cellStyle name="Calculation 2 2 3 2 2 5" xfId="6804"/>
    <cellStyle name="Calculation 2 2 3 2 2 5 2" xfId="23743"/>
    <cellStyle name="Calculation 2 2 3 2 2 6" xfId="15209"/>
    <cellStyle name="Calculation 2 2 3 2 3" xfId="136"/>
    <cellStyle name="Calculation 2 2 3 2 3 2" xfId="137"/>
    <cellStyle name="Calculation 2 2 3 2 3 2 2" xfId="6401"/>
    <cellStyle name="Calculation 2 2 3 2 3 2 2 2" xfId="12984"/>
    <cellStyle name="Calculation 2 2 3 2 3 2 2 2 2" xfId="27306"/>
    <cellStyle name="Calculation 2 2 3 2 3 2 2 3" xfId="18629"/>
    <cellStyle name="Calculation 2 2 3 2 3 2 3" xfId="7667"/>
    <cellStyle name="Calculation 2 2 3 2 3 2 3 2" xfId="10281"/>
    <cellStyle name="Calculation 2 2 3 2 3 2 3 2 2" xfId="16543"/>
    <cellStyle name="Calculation 2 2 3 2 3 2 3 2 2 2" xfId="29959"/>
    <cellStyle name="Calculation 2 2 3 2 3 2 3 2 3" xfId="21288"/>
    <cellStyle name="Calculation 2 2 3 2 3 2 3 3" xfId="14271"/>
    <cellStyle name="Calculation 2 2 3 2 3 2 3 3 2" xfId="28593"/>
    <cellStyle name="Calculation 2 2 3 2 3 2 3 4" xfId="19916"/>
    <cellStyle name="Calculation 2 2 3 2 3 2 4" xfId="2794"/>
    <cellStyle name="Calculation 2 2 3 2 3 2 4 2" xfId="22361"/>
    <cellStyle name="Calculation 2 2 3 2 3 2 5" xfId="6158"/>
    <cellStyle name="Calculation 2 2 3 2 3 3" xfId="138"/>
    <cellStyle name="Calculation 2 2 3 2 3 3 2" xfId="7188"/>
    <cellStyle name="Calculation 2 2 3 2 3 3 2 2" xfId="9802"/>
    <cellStyle name="Calculation 2 2 3 2 3 3 2 2 2" xfId="16064"/>
    <cellStyle name="Calculation 2 2 3 2 3 3 2 2 2 2" xfId="29480"/>
    <cellStyle name="Calculation 2 2 3 2 3 3 2 2 3" xfId="20809"/>
    <cellStyle name="Calculation 2 2 3 2 3 3 2 3" xfId="13792"/>
    <cellStyle name="Calculation 2 2 3 2 3 3 2 3 2" xfId="28114"/>
    <cellStyle name="Calculation 2 2 3 2 3 3 2 4" xfId="19437"/>
    <cellStyle name="Calculation 2 2 3 2 3 3 3" xfId="11691"/>
    <cellStyle name="Calculation 2 2 3 2 3 3 3 2" xfId="26013"/>
    <cellStyle name="Calculation 2 2 3 2 3 3 4" xfId="5943"/>
    <cellStyle name="Calculation 2 2 3 2 3 4" xfId="5217"/>
    <cellStyle name="Calculation 2 2 3 2 3 4 2" xfId="11766"/>
    <cellStyle name="Calculation 2 2 3 2 3 4 2 2" xfId="26088"/>
    <cellStyle name="Calculation 2 2 3 2 3 4 3" xfId="17411"/>
    <cellStyle name="Calculation 2 2 3 2 3 5" xfId="6701"/>
    <cellStyle name="Calculation 2 2 3 2 3 5 2" xfId="23660"/>
    <cellStyle name="Calculation 2 2 3 2 3 6" xfId="15456"/>
    <cellStyle name="Calculation 2 2 3 2 4" xfId="139"/>
    <cellStyle name="Calculation 2 2 3 2 4 2" xfId="5096"/>
    <cellStyle name="Calculation 2 2 3 2 4 2 2" xfId="11643"/>
    <cellStyle name="Calculation 2 2 3 2 4 2 2 2" xfId="25965"/>
    <cellStyle name="Calculation 2 2 3 2 4 2 3" xfId="17270"/>
    <cellStyle name="Calculation 2 2 3 2 4 3" xfId="7199"/>
    <cellStyle name="Calculation 2 2 3 2 4 3 2" xfId="9813"/>
    <cellStyle name="Calculation 2 2 3 2 4 3 2 2" xfId="16075"/>
    <cellStyle name="Calculation 2 2 3 2 4 3 2 2 2" xfId="29491"/>
    <cellStyle name="Calculation 2 2 3 2 4 3 2 3" xfId="20820"/>
    <cellStyle name="Calculation 2 2 3 2 4 3 3" xfId="13803"/>
    <cellStyle name="Calculation 2 2 3 2 4 3 3 2" xfId="28125"/>
    <cellStyle name="Calculation 2 2 3 2 4 3 4" xfId="19448"/>
    <cellStyle name="Calculation 2 2 3 2 4 4" xfId="3625"/>
    <cellStyle name="Calculation 2 2 3 2 4 4 2" xfId="22492"/>
    <cellStyle name="Calculation 2 2 3 2 4 5" xfId="6625"/>
    <cellStyle name="Calculation 2 2 3 2 5" xfId="140"/>
    <cellStyle name="Calculation 2 2 3 2 5 2" xfId="4878"/>
    <cellStyle name="Calculation 2 2 3 2 5 2 2" xfId="9508"/>
    <cellStyle name="Calculation 2 2 3 2 5 2 2 2" xfId="15770"/>
    <cellStyle name="Calculation 2 2 3 2 5 2 2 2 2" xfId="29186"/>
    <cellStyle name="Calculation 2 2 3 2 5 2 2 3" xfId="20515"/>
    <cellStyle name="Calculation 2 2 3 2 5 2 3" xfId="11413"/>
    <cellStyle name="Calculation 2 2 3 2 5 2 3 2" xfId="25735"/>
    <cellStyle name="Calculation 2 2 3 2 5 2 4" xfId="15184"/>
    <cellStyle name="Calculation 2 2 3 2 5 3" xfId="12887"/>
    <cellStyle name="Calculation 2 2 3 2 5 3 2" xfId="27209"/>
    <cellStyle name="Calculation 2 2 3 2 5 4" xfId="18532"/>
    <cellStyle name="Calculation 2 2 3 2 6" xfId="5505"/>
    <cellStyle name="Calculation 2 2 3 2 6 2" xfId="12056"/>
    <cellStyle name="Calculation 2 2 3 2 6 2 2" xfId="26378"/>
    <cellStyle name="Calculation 2 2 3 2 6 3" xfId="17701"/>
    <cellStyle name="Calculation 2 2 3 2 7" xfId="3838"/>
    <cellStyle name="Calculation 2 2 3 2 7 2" xfId="22606"/>
    <cellStyle name="Calculation 2 2 3 2 8" xfId="17272"/>
    <cellStyle name="Calculation 2 2 3 3" xfId="141"/>
    <cellStyle name="Calculation 2 2 3 3 2" xfId="142"/>
    <cellStyle name="Calculation 2 2 3 3 2 2" xfId="143"/>
    <cellStyle name="Calculation 2 2 3 3 2 2 2" xfId="6206"/>
    <cellStyle name="Calculation 2 2 3 3 2 2 2 2" xfId="12779"/>
    <cellStyle name="Calculation 2 2 3 3 2 2 2 2 2" xfId="27101"/>
    <cellStyle name="Calculation 2 2 3 3 2 2 2 3" xfId="18424"/>
    <cellStyle name="Calculation 2 2 3 3 2 2 3" xfId="7982"/>
    <cellStyle name="Calculation 2 2 3 3 2 2 3 2" xfId="10596"/>
    <cellStyle name="Calculation 2 2 3 3 2 2 3 2 2" xfId="16858"/>
    <cellStyle name="Calculation 2 2 3 3 2 2 3 2 2 2" xfId="30274"/>
    <cellStyle name="Calculation 2 2 3 3 2 2 3 2 3" xfId="21603"/>
    <cellStyle name="Calculation 2 2 3 3 2 2 3 3" xfId="14586"/>
    <cellStyle name="Calculation 2 2 3 3 2 2 3 3 2" xfId="28908"/>
    <cellStyle name="Calculation 2 2 3 3 2 2 3 4" xfId="20231"/>
    <cellStyle name="Calculation 2 2 3 3 2 2 4" xfId="6641"/>
    <cellStyle name="Calculation 2 2 3 3 2 2 4 2" xfId="23621"/>
    <cellStyle name="Calculation 2 2 3 3 2 2 5" xfId="15302"/>
    <cellStyle name="Calculation 2 2 3 3 2 3" xfId="144"/>
    <cellStyle name="Calculation 2 2 3 3 2 3 2" xfId="7359"/>
    <cellStyle name="Calculation 2 2 3 3 2 3 2 2" xfId="9973"/>
    <cellStyle name="Calculation 2 2 3 3 2 3 2 2 2" xfId="16235"/>
    <cellStyle name="Calculation 2 2 3 3 2 3 2 2 2 2" xfId="29651"/>
    <cellStyle name="Calculation 2 2 3 3 2 3 2 2 3" xfId="20980"/>
    <cellStyle name="Calculation 2 2 3 3 2 3 2 3" xfId="13963"/>
    <cellStyle name="Calculation 2 2 3 3 2 3 2 3 2" xfId="28285"/>
    <cellStyle name="Calculation 2 2 3 3 2 3 2 4" xfId="19608"/>
    <cellStyle name="Calculation 2 2 3 3 2 3 3" xfId="13347"/>
    <cellStyle name="Calculation 2 2 3 3 2 3 3 2" xfId="27669"/>
    <cellStyle name="Calculation 2 2 3 3 2 3 4" xfId="18992"/>
    <cellStyle name="Calculation 2 2 3 3 2 4" xfId="5797"/>
    <cellStyle name="Calculation 2 2 3 3 2 4 2" xfId="12350"/>
    <cellStyle name="Calculation 2 2 3 3 2 4 2 2" xfId="26672"/>
    <cellStyle name="Calculation 2 2 3 3 2 4 3" xfId="17995"/>
    <cellStyle name="Calculation 2 2 3 3 2 5" xfId="3245"/>
    <cellStyle name="Calculation 2 2 3 3 2 5 2" xfId="22442"/>
    <cellStyle name="Calculation 2 2 3 3 2 6" xfId="14803"/>
    <cellStyle name="Calculation 2 2 3 3 3" xfId="145"/>
    <cellStyle name="Calculation 2 2 3 3 3 2" xfId="146"/>
    <cellStyle name="Calculation 2 2 3 3 3 2 2" xfId="6910"/>
    <cellStyle name="Calculation 2 2 3 3 3 2 2 2" xfId="13514"/>
    <cellStyle name="Calculation 2 2 3 3 3 2 2 2 2" xfId="27836"/>
    <cellStyle name="Calculation 2 2 3 3 3 2 2 3" xfId="19159"/>
    <cellStyle name="Calculation 2 2 3 3 3 2 3" xfId="7620"/>
    <cellStyle name="Calculation 2 2 3 3 3 2 3 2" xfId="10234"/>
    <cellStyle name="Calculation 2 2 3 3 3 2 3 2 2" xfId="16496"/>
    <cellStyle name="Calculation 2 2 3 3 3 2 3 2 2 2" xfId="29912"/>
    <cellStyle name="Calculation 2 2 3 3 3 2 3 2 3" xfId="21241"/>
    <cellStyle name="Calculation 2 2 3 3 3 2 3 3" xfId="14224"/>
    <cellStyle name="Calculation 2 2 3 3 3 2 3 3 2" xfId="28546"/>
    <cellStyle name="Calculation 2 2 3 3 3 2 3 4" xfId="19869"/>
    <cellStyle name="Calculation 2 2 3 3 3 2 4" xfId="11396"/>
    <cellStyle name="Calculation 2 2 3 3 3 2 4 2" xfId="25718"/>
    <cellStyle name="Calculation 2 2 3 3 3 2 5" xfId="3804"/>
    <cellStyle name="Calculation 2 2 3 3 3 3" xfId="147"/>
    <cellStyle name="Calculation 2 2 3 3 3 3 2" xfId="7157"/>
    <cellStyle name="Calculation 2 2 3 3 3 3 2 2" xfId="9771"/>
    <cellStyle name="Calculation 2 2 3 3 3 3 2 2 2" xfId="16033"/>
    <cellStyle name="Calculation 2 2 3 3 3 3 2 2 2 2" xfId="29449"/>
    <cellStyle name="Calculation 2 2 3 3 3 3 2 2 3" xfId="20778"/>
    <cellStyle name="Calculation 2 2 3 3 3 3 2 3" xfId="13761"/>
    <cellStyle name="Calculation 2 2 3 3 3 3 2 3 2" xfId="28083"/>
    <cellStyle name="Calculation 2 2 3 3 3 3 2 4" xfId="19406"/>
    <cellStyle name="Calculation 2 2 3 3 3 3 3" xfId="12549"/>
    <cellStyle name="Calculation 2 2 3 3 3 3 3 2" xfId="26871"/>
    <cellStyle name="Calculation 2 2 3 3 3 3 4" xfId="18194"/>
    <cellStyle name="Calculation 2 2 3 3 3 4" xfId="3282"/>
    <cellStyle name="Calculation 2 2 3 3 3 4 2" xfId="3764"/>
    <cellStyle name="Calculation 2 2 3 3 3 4 2 2" xfId="22569"/>
    <cellStyle name="Calculation 2 2 3 3 3 4 3" xfId="6482"/>
    <cellStyle name="Calculation 2 2 3 3 3 5" xfId="3251"/>
    <cellStyle name="Calculation 2 2 3 3 3 5 2" xfId="22445"/>
    <cellStyle name="Calculation 2 2 3 3 3 6" xfId="4442"/>
    <cellStyle name="Calculation 2 2 3 3 4" xfId="148"/>
    <cellStyle name="Calculation 2 2 3 3 4 2" xfId="5093"/>
    <cellStyle name="Calculation 2 2 3 3 4 2 2" xfId="11640"/>
    <cellStyle name="Calculation 2 2 3 3 4 2 2 2" xfId="25962"/>
    <cellStyle name="Calculation 2 2 3 3 4 2 3" xfId="17068"/>
    <cellStyle name="Calculation 2 2 3 3 4 3" xfId="7567"/>
    <cellStyle name="Calculation 2 2 3 3 4 3 2" xfId="10181"/>
    <cellStyle name="Calculation 2 2 3 3 4 3 2 2" xfId="16443"/>
    <cellStyle name="Calculation 2 2 3 3 4 3 2 2 2" xfId="29859"/>
    <cellStyle name="Calculation 2 2 3 3 4 3 2 3" xfId="21188"/>
    <cellStyle name="Calculation 2 2 3 3 4 3 3" xfId="14171"/>
    <cellStyle name="Calculation 2 2 3 3 4 3 3 2" xfId="28493"/>
    <cellStyle name="Calculation 2 2 3 3 4 3 4" xfId="19816"/>
    <cellStyle name="Calculation 2 2 3 3 4 4" xfId="4762"/>
    <cellStyle name="Calculation 2 2 3 3 4 4 2" xfId="23175"/>
    <cellStyle name="Calculation 2 2 3 3 4 5" xfId="17000"/>
    <cellStyle name="Calculation 2 2 3 3 5" xfId="149"/>
    <cellStyle name="Calculation 2 2 3 3 5 2" xfId="4247"/>
    <cellStyle name="Calculation 2 2 3 3 5 2 2" xfId="9432"/>
    <cellStyle name="Calculation 2 2 3 3 5 2 2 2" xfId="15694"/>
    <cellStyle name="Calculation 2 2 3 3 5 2 2 2 2" xfId="29110"/>
    <cellStyle name="Calculation 2 2 3 3 5 2 2 3" xfId="20439"/>
    <cellStyle name="Calculation 2 2 3 3 5 2 3" xfId="4384"/>
    <cellStyle name="Calculation 2 2 3 3 5 2 3 2" xfId="22918"/>
    <cellStyle name="Calculation 2 2 3 3 5 2 4" xfId="15351"/>
    <cellStyle name="Calculation 2 2 3 3 5 3" xfId="12923"/>
    <cellStyle name="Calculation 2 2 3 3 5 3 2" xfId="27245"/>
    <cellStyle name="Calculation 2 2 3 3 5 4" xfId="18568"/>
    <cellStyle name="Calculation 2 2 3 3 6" xfId="5547"/>
    <cellStyle name="Calculation 2 2 3 3 6 2" xfId="12098"/>
    <cellStyle name="Calculation 2 2 3 3 6 2 2" xfId="26420"/>
    <cellStyle name="Calculation 2 2 3 3 6 3" xfId="17743"/>
    <cellStyle name="Calculation 2 2 3 3 7" xfId="4386"/>
    <cellStyle name="Calculation 2 2 3 3 7 2" xfId="22920"/>
    <cellStyle name="Calculation 2 2 3 3 8" xfId="6241"/>
    <cellStyle name="Calculation 2 2 3 4" xfId="150"/>
    <cellStyle name="Calculation 2 2 3 4 2" xfId="151"/>
    <cellStyle name="Calculation 2 2 3 4 2 2" xfId="152"/>
    <cellStyle name="Calculation 2 2 3 4 2 2 2" xfId="6880"/>
    <cellStyle name="Calculation 2 2 3 4 2 2 2 2" xfId="13484"/>
    <cellStyle name="Calculation 2 2 3 4 2 2 2 2 2" xfId="27806"/>
    <cellStyle name="Calculation 2 2 3 4 2 2 2 3" xfId="19129"/>
    <cellStyle name="Calculation 2 2 3 4 2 2 3" xfId="5292"/>
    <cellStyle name="Calculation 2 2 3 4 2 2 3 2" xfId="9601"/>
    <cellStyle name="Calculation 2 2 3 4 2 2 3 2 2" xfId="15863"/>
    <cellStyle name="Calculation 2 2 3 4 2 2 3 2 2 2" xfId="29279"/>
    <cellStyle name="Calculation 2 2 3 4 2 2 3 2 3" xfId="20608"/>
    <cellStyle name="Calculation 2 2 3 4 2 2 3 3" xfId="11842"/>
    <cellStyle name="Calculation 2 2 3 4 2 2 3 3 2" xfId="26164"/>
    <cellStyle name="Calculation 2 2 3 4 2 2 3 4" xfId="17487"/>
    <cellStyle name="Calculation 2 2 3 4 2 2 4" xfId="11353"/>
    <cellStyle name="Calculation 2 2 3 4 2 2 4 2" xfId="25675"/>
    <cellStyle name="Calculation 2 2 3 4 2 2 5" xfId="17145"/>
    <cellStyle name="Calculation 2 2 3 4 2 3" xfId="153"/>
    <cellStyle name="Calculation 2 2 3 4 2 3 2" xfId="7362"/>
    <cellStyle name="Calculation 2 2 3 4 2 3 2 2" xfId="9976"/>
    <cellStyle name="Calculation 2 2 3 4 2 3 2 2 2" xfId="16238"/>
    <cellStyle name="Calculation 2 2 3 4 2 3 2 2 2 2" xfId="29654"/>
    <cellStyle name="Calculation 2 2 3 4 2 3 2 2 3" xfId="20983"/>
    <cellStyle name="Calculation 2 2 3 4 2 3 2 3" xfId="13966"/>
    <cellStyle name="Calculation 2 2 3 4 2 3 2 3 2" xfId="28288"/>
    <cellStyle name="Calculation 2 2 3 4 2 3 2 4" xfId="19611"/>
    <cellStyle name="Calculation 2 2 3 4 2 3 3" xfId="13213"/>
    <cellStyle name="Calculation 2 2 3 4 2 3 3 2" xfId="27535"/>
    <cellStyle name="Calculation 2 2 3 4 2 3 4" xfId="18858"/>
    <cellStyle name="Calculation 2 2 3 4 2 4" xfId="5652"/>
    <cellStyle name="Calculation 2 2 3 4 2 4 2" xfId="12205"/>
    <cellStyle name="Calculation 2 2 3 4 2 4 2 2" xfId="26527"/>
    <cellStyle name="Calculation 2 2 3 4 2 4 3" xfId="17850"/>
    <cellStyle name="Calculation 2 2 3 4 2 5" xfId="4215"/>
    <cellStyle name="Calculation 2 2 3 4 2 5 2" xfId="22827"/>
    <cellStyle name="Calculation 2 2 3 4 2 6" xfId="15071"/>
    <cellStyle name="Calculation 2 2 3 4 3" xfId="154"/>
    <cellStyle name="Calculation 2 2 3 4 3 2" xfId="155"/>
    <cellStyle name="Calculation 2 2 3 4 3 2 2" xfId="6829"/>
    <cellStyle name="Calculation 2 2 3 4 3 2 2 2" xfId="13433"/>
    <cellStyle name="Calculation 2 2 3 4 3 2 2 2 2" xfId="27755"/>
    <cellStyle name="Calculation 2 2 3 4 3 2 2 3" xfId="19078"/>
    <cellStyle name="Calculation 2 2 3 4 3 2 3" xfId="7377"/>
    <cellStyle name="Calculation 2 2 3 4 3 2 3 2" xfId="9991"/>
    <cellStyle name="Calculation 2 2 3 4 3 2 3 2 2" xfId="16253"/>
    <cellStyle name="Calculation 2 2 3 4 3 2 3 2 2 2" xfId="29669"/>
    <cellStyle name="Calculation 2 2 3 4 3 2 3 2 3" xfId="20998"/>
    <cellStyle name="Calculation 2 2 3 4 3 2 3 3" xfId="13981"/>
    <cellStyle name="Calculation 2 2 3 4 3 2 3 3 2" xfId="28303"/>
    <cellStyle name="Calculation 2 2 3 4 3 2 3 4" xfId="19626"/>
    <cellStyle name="Calculation 2 2 3 4 3 2 4" xfId="2822"/>
    <cellStyle name="Calculation 2 2 3 4 3 2 4 2" xfId="22385"/>
    <cellStyle name="Calculation 2 2 3 4 3 2 5" xfId="15499"/>
    <cellStyle name="Calculation 2 2 3 4 3 3" xfId="156"/>
    <cellStyle name="Calculation 2 2 3 4 3 3 2" xfId="7653"/>
    <cellStyle name="Calculation 2 2 3 4 3 3 2 2" xfId="10267"/>
    <cellStyle name="Calculation 2 2 3 4 3 3 2 2 2" xfId="16529"/>
    <cellStyle name="Calculation 2 2 3 4 3 3 2 2 2 2" xfId="29945"/>
    <cellStyle name="Calculation 2 2 3 4 3 3 2 2 3" xfId="21274"/>
    <cellStyle name="Calculation 2 2 3 4 3 3 2 3" xfId="14257"/>
    <cellStyle name="Calculation 2 2 3 4 3 3 2 3 2" xfId="28579"/>
    <cellStyle name="Calculation 2 2 3 4 3 3 2 4" xfId="19902"/>
    <cellStyle name="Calculation 2 2 3 4 3 3 3" xfId="12772"/>
    <cellStyle name="Calculation 2 2 3 4 3 3 3 2" xfId="27094"/>
    <cellStyle name="Calculation 2 2 3 4 3 3 4" xfId="18417"/>
    <cellStyle name="Calculation 2 2 3 4 3 4" xfId="5161"/>
    <cellStyle name="Calculation 2 2 3 4 3 4 2" xfId="11710"/>
    <cellStyle name="Calculation 2 2 3 4 3 4 2 2" xfId="26032"/>
    <cellStyle name="Calculation 2 2 3 4 3 4 3" xfId="4741"/>
    <cellStyle name="Calculation 2 2 3 4 3 5" xfId="6512"/>
    <cellStyle name="Calculation 2 2 3 4 3 5 2" xfId="23576"/>
    <cellStyle name="Calculation 2 2 3 4 3 6" xfId="14693"/>
    <cellStyle name="Calculation 2 2 3 4 4" xfId="157"/>
    <cellStyle name="Calculation 2 2 3 4 4 2" xfId="6896"/>
    <cellStyle name="Calculation 2 2 3 4 4 2 2" xfId="13500"/>
    <cellStyle name="Calculation 2 2 3 4 4 2 2 2" xfId="27822"/>
    <cellStyle name="Calculation 2 2 3 4 4 2 3" xfId="19145"/>
    <cellStyle name="Calculation 2 2 3 4 4 3" xfId="7844"/>
    <cellStyle name="Calculation 2 2 3 4 4 3 2" xfId="10458"/>
    <cellStyle name="Calculation 2 2 3 4 4 3 2 2" xfId="16720"/>
    <cellStyle name="Calculation 2 2 3 4 4 3 2 2 2" xfId="30136"/>
    <cellStyle name="Calculation 2 2 3 4 4 3 2 3" xfId="21465"/>
    <cellStyle name="Calculation 2 2 3 4 4 3 3" xfId="14448"/>
    <cellStyle name="Calculation 2 2 3 4 4 3 3 2" xfId="28770"/>
    <cellStyle name="Calculation 2 2 3 4 4 3 4" xfId="20093"/>
    <cellStyle name="Calculation 2 2 3 4 4 4" xfId="11375"/>
    <cellStyle name="Calculation 2 2 3 4 4 4 2" xfId="25697"/>
    <cellStyle name="Calculation 2 2 3 4 4 5" xfId="15327"/>
    <cellStyle name="Calculation 2 2 3 4 5" xfId="158"/>
    <cellStyle name="Calculation 2 2 3 4 5 2" xfId="7732"/>
    <cellStyle name="Calculation 2 2 3 4 5 2 2" xfId="10346"/>
    <cellStyle name="Calculation 2 2 3 4 5 2 2 2" xfId="16608"/>
    <cellStyle name="Calculation 2 2 3 4 5 2 2 2 2" xfId="30024"/>
    <cellStyle name="Calculation 2 2 3 4 5 2 2 3" xfId="21353"/>
    <cellStyle name="Calculation 2 2 3 4 5 2 3" xfId="14336"/>
    <cellStyle name="Calculation 2 2 3 4 5 2 3 2" xfId="28658"/>
    <cellStyle name="Calculation 2 2 3 4 5 2 4" xfId="19981"/>
    <cellStyle name="Calculation 2 2 3 4 5 3" xfId="12034"/>
    <cellStyle name="Calculation 2 2 3 4 5 3 2" xfId="26356"/>
    <cellStyle name="Calculation 2 2 3 4 5 4" xfId="17679"/>
    <cellStyle name="Calculation 2 2 3 4 6" xfId="3253"/>
    <cellStyle name="Calculation 2 2 3 4 6 2" xfId="4545"/>
    <cellStyle name="Calculation 2 2 3 4 6 2 2" xfId="23023"/>
    <cellStyle name="Calculation 2 2 3 4 6 3" xfId="17313"/>
    <cellStyle name="Calculation 2 2 3 4 7" xfId="6331"/>
    <cellStyle name="Calculation 2 2 3 4 7 2" xfId="23520"/>
    <cellStyle name="Calculation 2 2 3 4 8" xfId="6286"/>
    <cellStyle name="Calculation 2 2 3 5" xfId="159"/>
    <cellStyle name="Calculation 2 2 3 5 2" xfId="160"/>
    <cellStyle name="Calculation 2 2 3 5 2 2" xfId="161"/>
    <cellStyle name="Calculation 2 2 3 5 2 2 2" xfId="6140"/>
    <cellStyle name="Calculation 2 2 3 5 2 2 2 2" xfId="12710"/>
    <cellStyle name="Calculation 2 2 3 5 2 2 2 2 2" xfId="27032"/>
    <cellStyle name="Calculation 2 2 3 5 2 2 2 3" xfId="18355"/>
    <cellStyle name="Calculation 2 2 3 5 2 2 3" xfId="7648"/>
    <cellStyle name="Calculation 2 2 3 5 2 2 3 2" xfId="10262"/>
    <cellStyle name="Calculation 2 2 3 5 2 2 3 2 2" xfId="16524"/>
    <cellStyle name="Calculation 2 2 3 5 2 2 3 2 2 2" xfId="29940"/>
    <cellStyle name="Calculation 2 2 3 5 2 2 3 2 3" xfId="21269"/>
    <cellStyle name="Calculation 2 2 3 5 2 2 3 3" xfId="14252"/>
    <cellStyle name="Calculation 2 2 3 5 2 2 3 3 2" xfId="28574"/>
    <cellStyle name="Calculation 2 2 3 5 2 2 3 4" xfId="19897"/>
    <cellStyle name="Calculation 2 2 3 5 2 2 4" xfId="6062"/>
    <cellStyle name="Calculation 2 2 3 5 2 2 4 2" xfId="23404"/>
    <cellStyle name="Calculation 2 2 3 5 2 2 5" xfId="15097"/>
    <cellStyle name="Calculation 2 2 3 5 2 3" xfId="162"/>
    <cellStyle name="Calculation 2 2 3 5 2 3 2" xfId="8056"/>
    <cellStyle name="Calculation 2 2 3 5 2 3 2 2" xfId="10670"/>
    <cellStyle name="Calculation 2 2 3 5 2 3 2 2 2" xfId="16932"/>
    <cellStyle name="Calculation 2 2 3 5 2 3 2 2 2 2" xfId="30348"/>
    <cellStyle name="Calculation 2 2 3 5 2 3 2 2 3" xfId="21677"/>
    <cellStyle name="Calculation 2 2 3 5 2 3 2 3" xfId="14660"/>
    <cellStyle name="Calculation 2 2 3 5 2 3 2 3 2" xfId="28982"/>
    <cellStyle name="Calculation 2 2 3 5 2 3 2 4" xfId="20305"/>
    <cellStyle name="Calculation 2 2 3 5 2 3 3" xfId="13406"/>
    <cellStyle name="Calculation 2 2 3 5 2 3 3 2" xfId="27728"/>
    <cellStyle name="Calculation 2 2 3 5 2 3 4" xfId="19051"/>
    <cellStyle name="Calculation 2 2 3 5 2 4" xfId="5874"/>
    <cellStyle name="Calculation 2 2 3 5 2 4 2" xfId="12427"/>
    <cellStyle name="Calculation 2 2 3 5 2 4 2 2" xfId="26749"/>
    <cellStyle name="Calculation 2 2 3 5 2 4 3" xfId="18072"/>
    <cellStyle name="Calculation 2 2 3 5 2 5" xfId="6757"/>
    <cellStyle name="Calculation 2 2 3 5 2 5 2" xfId="23705"/>
    <cellStyle name="Calculation 2 2 3 5 2 6" xfId="15561"/>
    <cellStyle name="Calculation 2 2 3 5 3" xfId="163"/>
    <cellStyle name="Calculation 2 2 3 5 3 2" xfId="6195"/>
    <cellStyle name="Calculation 2 2 3 5 3 2 2" xfId="12768"/>
    <cellStyle name="Calculation 2 2 3 5 3 2 2 2" xfId="27090"/>
    <cellStyle name="Calculation 2 2 3 5 3 2 3" xfId="18413"/>
    <cellStyle name="Calculation 2 2 3 5 3 3" xfId="7953"/>
    <cellStyle name="Calculation 2 2 3 5 3 3 2" xfId="10567"/>
    <cellStyle name="Calculation 2 2 3 5 3 3 2 2" xfId="16829"/>
    <cellStyle name="Calculation 2 2 3 5 3 3 2 2 2" xfId="30245"/>
    <cellStyle name="Calculation 2 2 3 5 3 3 2 3" xfId="21574"/>
    <cellStyle name="Calculation 2 2 3 5 3 3 3" xfId="14557"/>
    <cellStyle name="Calculation 2 2 3 5 3 3 3 2" xfId="28879"/>
    <cellStyle name="Calculation 2 2 3 5 3 3 4" xfId="20202"/>
    <cellStyle name="Calculation 2 2 3 5 3 4" xfId="6072"/>
    <cellStyle name="Calculation 2 2 3 5 3 4 2" xfId="23407"/>
    <cellStyle name="Calculation 2 2 3 5 3 5" xfId="15015"/>
    <cellStyle name="Calculation 2 2 3 5 4" xfId="164"/>
    <cellStyle name="Calculation 2 2 3 5 4 2" xfId="7414"/>
    <cellStyle name="Calculation 2 2 3 5 4 2 2" xfId="10028"/>
    <cellStyle name="Calculation 2 2 3 5 4 2 2 2" xfId="16290"/>
    <cellStyle name="Calculation 2 2 3 5 4 2 2 2 2" xfId="29706"/>
    <cellStyle name="Calculation 2 2 3 5 4 2 2 3" xfId="21035"/>
    <cellStyle name="Calculation 2 2 3 5 4 2 3" xfId="14018"/>
    <cellStyle name="Calculation 2 2 3 5 4 2 3 2" xfId="28340"/>
    <cellStyle name="Calculation 2 2 3 5 4 2 4" xfId="19663"/>
    <cellStyle name="Calculation 2 2 3 5 4 3" xfId="12524"/>
    <cellStyle name="Calculation 2 2 3 5 4 3 2" xfId="26846"/>
    <cellStyle name="Calculation 2 2 3 5 4 4" xfId="18169"/>
    <cellStyle name="Calculation 2 2 3 5 5" xfId="5194"/>
    <cellStyle name="Calculation 2 2 3 5 5 2" xfId="11743"/>
    <cellStyle name="Calculation 2 2 3 5 5 2 2" xfId="26065"/>
    <cellStyle name="Calculation 2 2 3 5 5 3" xfId="4454"/>
    <cellStyle name="Calculation 2 2 3 5 6" xfId="4516"/>
    <cellStyle name="Calculation 2 2 3 5 6 2" xfId="23003"/>
    <cellStyle name="Calculation 2 2 3 5 7" xfId="17237"/>
    <cellStyle name="Calculation 2 2 3 6" xfId="165"/>
    <cellStyle name="Calculation 2 2 3 6 2" xfId="166"/>
    <cellStyle name="Calculation 2 2 3 6 2 2" xfId="6491"/>
    <cellStyle name="Calculation 2 2 3 6 2 2 2" xfId="13076"/>
    <cellStyle name="Calculation 2 2 3 6 2 2 2 2" xfId="27398"/>
    <cellStyle name="Calculation 2 2 3 6 2 2 3" xfId="18721"/>
    <cellStyle name="Calculation 2 2 3 6 2 3" xfId="4346"/>
    <cellStyle name="Calculation 2 2 3 6 2 3 2" xfId="9452"/>
    <cellStyle name="Calculation 2 2 3 6 2 3 2 2" xfId="15714"/>
    <cellStyle name="Calculation 2 2 3 6 2 3 2 2 2" xfId="29130"/>
    <cellStyle name="Calculation 2 2 3 6 2 3 2 3" xfId="20459"/>
    <cellStyle name="Calculation 2 2 3 6 2 3 3" xfId="3968"/>
    <cellStyle name="Calculation 2 2 3 6 2 3 3 2" xfId="22674"/>
    <cellStyle name="Calculation 2 2 3 6 2 3 4" xfId="15228"/>
    <cellStyle name="Calculation 2 2 3 6 2 4" xfId="6011"/>
    <cellStyle name="Calculation 2 2 3 6 2 4 2" xfId="23393"/>
    <cellStyle name="Calculation 2 2 3 6 2 5" xfId="6777"/>
    <cellStyle name="Calculation 2 2 3 6 3" xfId="167"/>
    <cellStyle name="Calculation 2 2 3 6 3 2" xfId="7570"/>
    <cellStyle name="Calculation 2 2 3 6 3 2 2" xfId="10184"/>
    <cellStyle name="Calculation 2 2 3 6 3 2 2 2" xfId="16446"/>
    <cellStyle name="Calculation 2 2 3 6 3 2 2 2 2" xfId="29862"/>
    <cellStyle name="Calculation 2 2 3 6 3 2 2 3" xfId="21191"/>
    <cellStyle name="Calculation 2 2 3 6 3 2 3" xfId="14174"/>
    <cellStyle name="Calculation 2 2 3 6 3 2 3 2" xfId="28496"/>
    <cellStyle name="Calculation 2 2 3 6 3 2 4" xfId="19819"/>
    <cellStyle name="Calculation 2 2 3 6 3 3" xfId="13269"/>
    <cellStyle name="Calculation 2 2 3 6 3 3 2" xfId="27591"/>
    <cellStyle name="Calculation 2 2 3 6 3 4" xfId="18914"/>
    <cellStyle name="Calculation 2 2 3 6 4" xfId="5715"/>
    <cellStyle name="Calculation 2 2 3 6 4 2" xfId="12268"/>
    <cellStyle name="Calculation 2 2 3 6 4 2 2" xfId="26590"/>
    <cellStyle name="Calculation 2 2 3 6 4 3" xfId="17913"/>
    <cellStyle name="Calculation 2 2 3 6 5" xfId="4834"/>
    <cellStyle name="Calculation 2 2 3 6 5 2" xfId="23212"/>
    <cellStyle name="Calculation 2 2 3 6 6" xfId="17051"/>
    <cellStyle name="Calculation 2 2 3 7" xfId="168"/>
    <cellStyle name="Calculation 2 2 3 7 2" xfId="5847"/>
    <cellStyle name="Calculation 2 2 3 7 2 2" xfId="12400"/>
    <cellStyle name="Calculation 2 2 3 7 2 2 2" xfId="26722"/>
    <cellStyle name="Calculation 2 2 3 7 2 3" xfId="18045"/>
    <cellStyle name="Calculation 2 2 3 7 3" xfId="7334"/>
    <cellStyle name="Calculation 2 2 3 7 3 2" xfId="9948"/>
    <cellStyle name="Calculation 2 2 3 7 3 2 2" xfId="16210"/>
    <cellStyle name="Calculation 2 2 3 7 3 2 2 2" xfId="29626"/>
    <cellStyle name="Calculation 2 2 3 7 3 2 3" xfId="20955"/>
    <cellStyle name="Calculation 2 2 3 7 3 3" xfId="13938"/>
    <cellStyle name="Calculation 2 2 3 7 3 3 2" xfId="28260"/>
    <cellStyle name="Calculation 2 2 3 7 3 4" xfId="19583"/>
    <cellStyle name="Calculation 2 2 3 7 4" xfId="3726"/>
    <cellStyle name="Calculation 2 2 3 7 4 2" xfId="22548"/>
    <cellStyle name="Calculation 2 2 3 7 5" xfId="6472"/>
    <cellStyle name="Calculation 2 2 3 8" xfId="169"/>
    <cellStyle name="Calculation 2 2 3 8 2" xfId="7758"/>
    <cellStyle name="Calculation 2 2 3 8 2 2" xfId="10372"/>
    <cellStyle name="Calculation 2 2 3 8 2 2 2" xfId="16634"/>
    <cellStyle name="Calculation 2 2 3 8 2 2 2 2" xfId="30050"/>
    <cellStyle name="Calculation 2 2 3 8 2 2 3" xfId="21379"/>
    <cellStyle name="Calculation 2 2 3 8 2 3" xfId="14362"/>
    <cellStyle name="Calculation 2 2 3 8 2 3 2" xfId="28684"/>
    <cellStyle name="Calculation 2 2 3 8 2 4" xfId="20007"/>
    <cellStyle name="Calculation 2 2 3 8 3" xfId="12746"/>
    <cellStyle name="Calculation 2 2 3 8 3 2" xfId="27068"/>
    <cellStyle name="Calculation 2 2 3 8 4" xfId="18391"/>
    <cellStyle name="Calculation 2 2 3 9" xfId="5377"/>
    <cellStyle name="Calculation 2 2 3 9 2" xfId="11927"/>
    <cellStyle name="Calculation 2 2 3 9 2 2" xfId="26249"/>
    <cellStyle name="Calculation 2 2 3 9 3" xfId="17572"/>
    <cellStyle name="Calculation 2 2 4" xfId="170"/>
    <cellStyle name="Calculation 2 2 4 2" xfId="171"/>
    <cellStyle name="Calculation 2 2 4 2 2" xfId="172"/>
    <cellStyle name="Calculation 2 2 4 2 2 2" xfId="6937"/>
    <cellStyle name="Calculation 2 2 4 2 2 2 2" xfId="13541"/>
    <cellStyle name="Calculation 2 2 4 2 2 2 2 2" xfId="27863"/>
    <cellStyle name="Calculation 2 2 4 2 2 2 3" xfId="19186"/>
    <cellStyle name="Calculation 2 2 4 2 2 3" xfId="5279"/>
    <cellStyle name="Calculation 2 2 4 2 2 3 2" xfId="9588"/>
    <cellStyle name="Calculation 2 2 4 2 2 3 2 2" xfId="15850"/>
    <cellStyle name="Calculation 2 2 4 2 2 3 2 2 2" xfId="29266"/>
    <cellStyle name="Calculation 2 2 4 2 2 3 2 3" xfId="20595"/>
    <cellStyle name="Calculation 2 2 4 2 2 3 3" xfId="11829"/>
    <cellStyle name="Calculation 2 2 4 2 2 3 3 2" xfId="26151"/>
    <cellStyle name="Calculation 2 2 4 2 2 3 4" xfId="17474"/>
    <cellStyle name="Calculation 2 2 4 2 2 4" xfId="11430"/>
    <cellStyle name="Calculation 2 2 4 2 2 4 2" xfId="25752"/>
    <cellStyle name="Calculation 2 2 4 2 2 5" xfId="16982"/>
    <cellStyle name="Calculation 2 2 4 2 3" xfId="173"/>
    <cellStyle name="Calculation 2 2 4 2 3 2" xfId="7273"/>
    <cellStyle name="Calculation 2 2 4 2 3 2 2" xfId="9887"/>
    <cellStyle name="Calculation 2 2 4 2 3 2 2 2" xfId="16149"/>
    <cellStyle name="Calculation 2 2 4 2 3 2 2 2 2" xfId="29565"/>
    <cellStyle name="Calculation 2 2 4 2 3 2 2 3" xfId="20894"/>
    <cellStyle name="Calculation 2 2 4 2 3 2 3" xfId="13877"/>
    <cellStyle name="Calculation 2 2 4 2 3 2 3 2" xfId="28199"/>
    <cellStyle name="Calculation 2 2 4 2 3 2 4" xfId="19522"/>
    <cellStyle name="Calculation 2 2 4 2 3 3" xfId="13202"/>
    <cellStyle name="Calculation 2 2 4 2 3 3 2" xfId="27524"/>
    <cellStyle name="Calculation 2 2 4 2 3 4" xfId="18847"/>
    <cellStyle name="Calculation 2 2 4 2 4" xfId="5641"/>
    <cellStyle name="Calculation 2 2 4 2 4 2" xfId="12194"/>
    <cellStyle name="Calculation 2 2 4 2 4 2 2" xfId="26516"/>
    <cellStyle name="Calculation 2 2 4 2 4 3" xfId="17839"/>
    <cellStyle name="Calculation 2 2 4 2 5" xfId="4478"/>
    <cellStyle name="Calculation 2 2 4 2 5 2" xfId="22976"/>
    <cellStyle name="Calculation 2 2 4 2 6" xfId="14750"/>
    <cellStyle name="Calculation 2 2 4 3" xfId="174"/>
    <cellStyle name="Calculation 2 2 4 3 2" xfId="175"/>
    <cellStyle name="Calculation 2 2 4 3 2 2" xfId="6137"/>
    <cellStyle name="Calculation 2 2 4 3 2 2 2" xfId="12707"/>
    <cellStyle name="Calculation 2 2 4 3 2 2 2 2" xfId="27029"/>
    <cellStyle name="Calculation 2 2 4 3 2 2 3" xfId="18352"/>
    <cellStyle name="Calculation 2 2 4 3 2 3" xfId="4859"/>
    <cellStyle name="Calculation 2 2 4 3 2 3 2" xfId="9506"/>
    <cellStyle name="Calculation 2 2 4 3 2 3 2 2" xfId="15768"/>
    <cellStyle name="Calculation 2 2 4 3 2 3 2 2 2" xfId="29184"/>
    <cellStyle name="Calculation 2 2 4 3 2 3 2 3" xfId="20513"/>
    <cellStyle name="Calculation 2 2 4 3 2 3 3" xfId="11393"/>
    <cellStyle name="Calculation 2 2 4 3 2 3 3 2" xfId="25715"/>
    <cellStyle name="Calculation 2 2 4 3 2 3 4" xfId="15358"/>
    <cellStyle name="Calculation 2 2 4 3 2 4" xfId="3248"/>
    <cellStyle name="Calculation 2 2 4 3 2 4 2" xfId="22443"/>
    <cellStyle name="Calculation 2 2 4 3 2 5" xfId="14896"/>
    <cellStyle name="Calculation 2 2 4 3 3" xfId="176"/>
    <cellStyle name="Calculation 2 2 4 3 3 2" xfId="7842"/>
    <cellStyle name="Calculation 2 2 4 3 3 2 2" xfId="10456"/>
    <cellStyle name="Calculation 2 2 4 3 3 2 2 2" xfId="16718"/>
    <cellStyle name="Calculation 2 2 4 3 3 2 2 2 2" xfId="30134"/>
    <cellStyle name="Calculation 2 2 4 3 3 2 2 3" xfId="21463"/>
    <cellStyle name="Calculation 2 2 4 3 3 2 3" xfId="14446"/>
    <cellStyle name="Calculation 2 2 4 3 3 2 3 2" xfId="28768"/>
    <cellStyle name="Calculation 2 2 4 3 3 2 4" xfId="20091"/>
    <cellStyle name="Calculation 2 2 4 3 3 3" xfId="12626"/>
    <cellStyle name="Calculation 2 2 4 3 3 3 2" xfId="26948"/>
    <cellStyle name="Calculation 2 2 4 3 3 4" xfId="18271"/>
    <cellStyle name="Calculation 2 2 4 3 4" xfId="3776"/>
    <cellStyle name="Calculation 2 2 4 3 4 2" xfId="6769"/>
    <cellStyle name="Calculation 2 2 4 3 4 2 2" xfId="23715"/>
    <cellStyle name="Calculation 2 2 4 3 4 3" xfId="3140"/>
    <cellStyle name="Calculation 2 2 4 3 5" xfId="3643"/>
    <cellStyle name="Calculation 2 2 4 3 5 2" xfId="22502"/>
    <cellStyle name="Calculation 2 2 4 3 6" xfId="17089"/>
    <cellStyle name="Calculation 2 2 4 4" xfId="177"/>
    <cellStyle name="Calculation 2 2 4 4 2" xfId="4822"/>
    <cellStyle name="Calculation 2 2 4 4 2 2" xfId="11354"/>
    <cellStyle name="Calculation 2 2 4 4 2 2 2" xfId="25676"/>
    <cellStyle name="Calculation 2 2 4 4 2 3" xfId="14876"/>
    <cellStyle name="Calculation 2 2 4 4 3" xfId="7095"/>
    <cellStyle name="Calculation 2 2 4 4 3 2" xfId="9709"/>
    <cellStyle name="Calculation 2 2 4 4 3 2 2" xfId="15971"/>
    <cellStyle name="Calculation 2 2 4 4 3 2 2 2" xfId="29387"/>
    <cellStyle name="Calculation 2 2 4 4 3 2 3" xfId="20716"/>
    <cellStyle name="Calculation 2 2 4 4 3 3" xfId="13699"/>
    <cellStyle name="Calculation 2 2 4 4 3 3 2" xfId="28021"/>
    <cellStyle name="Calculation 2 2 4 4 3 4" xfId="19344"/>
    <cellStyle name="Calculation 2 2 4 4 4" xfId="4295"/>
    <cellStyle name="Calculation 2 2 4 4 4 2" xfId="22877"/>
    <cellStyle name="Calculation 2 2 4 4 5" xfId="15008"/>
    <cellStyle name="Calculation 2 2 4 5" xfId="178"/>
    <cellStyle name="Calculation 2 2 4 5 2" xfId="7639"/>
    <cellStyle name="Calculation 2 2 4 5 2 2" xfId="10253"/>
    <cellStyle name="Calculation 2 2 4 5 2 2 2" xfId="16515"/>
    <cellStyle name="Calculation 2 2 4 5 2 2 2 2" xfId="29931"/>
    <cellStyle name="Calculation 2 2 4 5 2 2 3" xfId="21260"/>
    <cellStyle name="Calculation 2 2 4 5 2 3" xfId="14243"/>
    <cellStyle name="Calculation 2 2 4 5 2 3 2" xfId="28565"/>
    <cellStyle name="Calculation 2 2 4 5 2 4" xfId="19888"/>
    <cellStyle name="Calculation 2 2 4 5 3" xfId="12530"/>
    <cellStyle name="Calculation 2 2 4 5 3 2" xfId="26852"/>
    <cellStyle name="Calculation 2 2 4 5 4" xfId="18175"/>
    <cellStyle name="Calculation 2 2 4 6" xfId="5100"/>
    <cellStyle name="Calculation 2 2 4 6 2" xfId="11647"/>
    <cellStyle name="Calculation 2 2 4 6 2 2" xfId="25969"/>
    <cellStyle name="Calculation 2 2 4 6 3" xfId="17188"/>
    <cellStyle name="Calculation 2 2 4 7" xfId="6073"/>
    <cellStyle name="Calculation 2 2 4 7 2" xfId="23408"/>
    <cellStyle name="Calculation 2 2 4 8" xfId="4785"/>
    <cellStyle name="Calculation 2 2 5" xfId="179"/>
    <cellStyle name="Calculation 2 2 5 2" xfId="180"/>
    <cellStyle name="Calculation 2 2 5 2 2" xfId="181"/>
    <cellStyle name="Calculation 2 2 5 2 2 2" xfId="6827"/>
    <cellStyle name="Calculation 2 2 5 2 2 2 2" xfId="13431"/>
    <cellStyle name="Calculation 2 2 5 2 2 2 2 2" xfId="27753"/>
    <cellStyle name="Calculation 2 2 5 2 2 2 3" xfId="19076"/>
    <cellStyle name="Calculation 2 2 5 2 2 3" xfId="7894"/>
    <cellStyle name="Calculation 2 2 5 2 2 3 2" xfId="10508"/>
    <cellStyle name="Calculation 2 2 5 2 2 3 2 2" xfId="16770"/>
    <cellStyle name="Calculation 2 2 5 2 2 3 2 2 2" xfId="30186"/>
    <cellStyle name="Calculation 2 2 5 2 2 3 2 3" xfId="21515"/>
    <cellStyle name="Calculation 2 2 5 2 2 3 3" xfId="14498"/>
    <cellStyle name="Calculation 2 2 5 2 2 3 3 2" xfId="28820"/>
    <cellStyle name="Calculation 2 2 5 2 2 3 4" xfId="20143"/>
    <cellStyle name="Calculation 2 2 5 2 2 4" xfId="2781"/>
    <cellStyle name="Calculation 2 2 5 2 2 4 2" xfId="22350"/>
    <cellStyle name="Calculation 2 2 5 2 2 5" xfId="4154"/>
    <cellStyle name="Calculation 2 2 5 2 3" xfId="182"/>
    <cellStyle name="Calculation 2 2 5 2 3 2" xfId="3622"/>
    <cellStyle name="Calculation 2 2 5 2 3 2 2" xfId="9346"/>
    <cellStyle name="Calculation 2 2 5 2 3 2 2 2" xfId="15608"/>
    <cellStyle name="Calculation 2 2 5 2 3 2 2 2 2" xfId="29024"/>
    <cellStyle name="Calculation 2 2 5 2 3 2 2 3" xfId="20353"/>
    <cellStyle name="Calculation 2 2 5 2 3 2 3" xfId="4460"/>
    <cellStyle name="Calculation 2 2 5 2 3 2 3 2" xfId="22963"/>
    <cellStyle name="Calculation 2 2 5 2 3 2 4" xfId="4281"/>
    <cellStyle name="Calculation 2 2 5 2 3 3" xfId="13288"/>
    <cellStyle name="Calculation 2 2 5 2 3 3 2" xfId="27610"/>
    <cellStyle name="Calculation 2 2 5 2 3 4" xfId="18933"/>
    <cellStyle name="Calculation 2 2 5 2 4" xfId="5738"/>
    <cellStyle name="Calculation 2 2 5 2 4 2" xfId="12291"/>
    <cellStyle name="Calculation 2 2 5 2 4 2 2" xfId="26613"/>
    <cellStyle name="Calculation 2 2 5 2 4 3" xfId="17936"/>
    <cellStyle name="Calculation 2 2 5 2 5" xfId="5833"/>
    <cellStyle name="Calculation 2 2 5 2 5 2" xfId="23365"/>
    <cellStyle name="Calculation 2 2 5 2 6" xfId="17030"/>
    <cellStyle name="Calculation 2 2 5 3" xfId="183"/>
    <cellStyle name="Calculation 2 2 5 3 2" xfId="184"/>
    <cellStyle name="Calculation 2 2 5 3 2 2" xfId="7017"/>
    <cellStyle name="Calculation 2 2 5 3 2 2 2" xfId="13621"/>
    <cellStyle name="Calculation 2 2 5 3 2 2 2 2" xfId="27943"/>
    <cellStyle name="Calculation 2 2 5 3 2 2 3" xfId="19266"/>
    <cellStyle name="Calculation 2 2 5 3 2 3" xfId="7628"/>
    <cellStyle name="Calculation 2 2 5 3 2 3 2" xfId="10242"/>
    <cellStyle name="Calculation 2 2 5 3 2 3 2 2" xfId="16504"/>
    <cellStyle name="Calculation 2 2 5 3 2 3 2 2 2" xfId="29920"/>
    <cellStyle name="Calculation 2 2 5 3 2 3 2 3" xfId="21249"/>
    <cellStyle name="Calculation 2 2 5 3 2 3 3" xfId="14232"/>
    <cellStyle name="Calculation 2 2 5 3 2 3 3 2" xfId="28554"/>
    <cellStyle name="Calculation 2 2 5 3 2 3 4" xfId="19877"/>
    <cellStyle name="Calculation 2 2 5 3 2 4" xfId="11546"/>
    <cellStyle name="Calculation 2 2 5 3 2 4 2" xfId="25868"/>
    <cellStyle name="Calculation 2 2 5 3 2 5" xfId="14787"/>
    <cellStyle name="Calculation 2 2 5 3 3" xfId="185"/>
    <cellStyle name="Calculation 2 2 5 3 3 2" xfId="4353"/>
    <cellStyle name="Calculation 2 2 5 3 3 2 2" xfId="9455"/>
    <cellStyle name="Calculation 2 2 5 3 3 2 2 2" xfId="15717"/>
    <cellStyle name="Calculation 2 2 5 3 3 2 2 2 2" xfId="29133"/>
    <cellStyle name="Calculation 2 2 5 3 3 2 2 3" xfId="20462"/>
    <cellStyle name="Calculation 2 2 5 3 3 2 3" xfId="6821"/>
    <cellStyle name="Calculation 2 2 5 3 3 2 3 2" xfId="23756"/>
    <cellStyle name="Calculation 2 2 5 3 3 2 4" xfId="4734"/>
    <cellStyle name="Calculation 2 2 5 3 3 3" xfId="12386"/>
    <cellStyle name="Calculation 2 2 5 3 3 3 2" xfId="26708"/>
    <cellStyle name="Calculation 2 2 5 3 3 4" xfId="18031"/>
    <cellStyle name="Calculation 2 2 5 3 4" xfId="5237"/>
    <cellStyle name="Calculation 2 2 5 3 4 2" xfId="11787"/>
    <cellStyle name="Calculation 2 2 5 3 4 2 2" xfId="26109"/>
    <cellStyle name="Calculation 2 2 5 3 4 3" xfId="17432"/>
    <cellStyle name="Calculation 2 2 5 3 5" xfId="3695"/>
    <cellStyle name="Calculation 2 2 5 3 5 2" xfId="22534"/>
    <cellStyle name="Calculation 2 2 5 3 6" xfId="15151"/>
    <cellStyle name="Calculation 2 2 5 4" xfId="186"/>
    <cellStyle name="Calculation 2 2 5 4 2" xfId="6014"/>
    <cellStyle name="Calculation 2 2 5 4 2 2" xfId="12574"/>
    <cellStyle name="Calculation 2 2 5 4 2 2 2" xfId="26896"/>
    <cellStyle name="Calculation 2 2 5 4 2 3" xfId="18219"/>
    <cellStyle name="Calculation 2 2 5 4 3" xfId="7121"/>
    <cellStyle name="Calculation 2 2 5 4 3 2" xfId="9735"/>
    <cellStyle name="Calculation 2 2 5 4 3 2 2" xfId="15997"/>
    <cellStyle name="Calculation 2 2 5 4 3 2 2 2" xfId="29413"/>
    <cellStyle name="Calculation 2 2 5 4 3 2 3" xfId="20742"/>
    <cellStyle name="Calculation 2 2 5 4 3 3" xfId="13725"/>
    <cellStyle name="Calculation 2 2 5 4 3 3 2" xfId="28047"/>
    <cellStyle name="Calculation 2 2 5 4 3 4" xfId="19370"/>
    <cellStyle name="Calculation 2 2 5 4 4" xfId="5813"/>
    <cellStyle name="Calculation 2 2 5 4 4 2" xfId="23363"/>
    <cellStyle name="Calculation 2 2 5 4 5" xfId="15417"/>
    <cellStyle name="Calculation 2 2 5 5" xfId="187"/>
    <cellStyle name="Calculation 2 2 5 5 2" xfId="7733"/>
    <cellStyle name="Calculation 2 2 5 5 2 2" xfId="10347"/>
    <cellStyle name="Calculation 2 2 5 5 2 2 2" xfId="16609"/>
    <cellStyle name="Calculation 2 2 5 5 2 2 2 2" xfId="30025"/>
    <cellStyle name="Calculation 2 2 5 5 2 2 3" xfId="21354"/>
    <cellStyle name="Calculation 2 2 5 5 2 3" xfId="14337"/>
    <cellStyle name="Calculation 2 2 5 5 2 3 2" xfId="28659"/>
    <cellStyle name="Calculation 2 2 5 5 2 4" xfId="19982"/>
    <cellStyle name="Calculation 2 2 5 5 3" xfId="12857"/>
    <cellStyle name="Calculation 2 2 5 5 3 2" xfId="27179"/>
    <cellStyle name="Calculation 2 2 5 5 4" xfId="18502"/>
    <cellStyle name="Calculation 2 2 5 6" xfId="5465"/>
    <cellStyle name="Calculation 2 2 5 6 2" xfId="12016"/>
    <cellStyle name="Calculation 2 2 5 6 2 2" xfId="26338"/>
    <cellStyle name="Calculation 2 2 5 6 3" xfId="17661"/>
    <cellStyle name="Calculation 2 2 5 7" xfId="3638"/>
    <cellStyle name="Calculation 2 2 5 7 2" xfId="22498"/>
    <cellStyle name="Calculation 2 2 5 8" xfId="15172"/>
    <cellStyle name="Calculation 2 2 6" xfId="188"/>
    <cellStyle name="Calculation 2 2 6 2" xfId="189"/>
    <cellStyle name="Calculation 2 2 6 2 2" xfId="190"/>
    <cellStyle name="Calculation 2 2 6 2 2 2" xfId="5054"/>
    <cellStyle name="Calculation 2 2 6 2 2 2 2" xfId="11601"/>
    <cellStyle name="Calculation 2 2 6 2 2 2 2 2" xfId="25923"/>
    <cellStyle name="Calculation 2 2 6 2 2 2 3" xfId="14984"/>
    <cellStyle name="Calculation 2 2 6 2 2 3" xfId="4933"/>
    <cellStyle name="Calculation 2 2 6 2 2 3 2" xfId="9519"/>
    <cellStyle name="Calculation 2 2 6 2 2 3 2 2" xfId="15781"/>
    <cellStyle name="Calculation 2 2 6 2 2 3 2 2 2" xfId="29197"/>
    <cellStyle name="Calculation 2 2 6 2 2 3 2 3" xfId="20526"/>
    <cellStyle name="Calculation 2 2 6 2 2 3 3" xfId="11471"/>
    <cellStyle name="Calculation 2 2 6 2 2 3 3 2" xfId="25793"/>
    <cellStyle name="Calculation 2 2 6 2 2 3 4" xfId="3142"/>
    <cellStyle name="Calculation 2 2 6 2 2 4" xfId="4071"/>
    <cellStyle name="Calculation 2 2 6 2 2 4 2" xfId="22743"/>
    <cellStyle name="Calculation 2 2 6 2 2 5" xfId="4608"/>
    <cellStyle name="Calculation 2 2 6 2 3" xfId="191"/>
    <cellStyle name="Calculation 2 2 6 2 3 2" xfId="7277"/>
    <cellStyle name="Calculation 2 2 6 2 3 2 2" xfId="9891"/>
    <cellStyle name="Calculation 2 2 6 2 3 2 2 2" xfId="16153"/>
    <cellStyle name="Calculation 2 2 6 2 3 2 2 2 2" xfId="29569"/>
    <cellStyle name="Calculation 2 2 6 2 3 2 2 3" xfId="20898"/>
    <cellStyle name="Calculation 2 2 6 2 3 2 3" xfId="13881"/>
    <cellStyle name="Calculation 2 2 6 2 3 2 3 2" xfId="28203"/>
    <cellStyle name="Calculation 2 2 6 2 3 2 4" xfId="19526"/>
    <cellStyle name="Calculation 2 2 6 2 3 3" xfId="13325"/>
    <cellStyle name="Calculation 2 2 6 2 3 3 2" xfId="27647"/>
    <cellStyle name="Calculation 2 2 6 2 3 4" xfId="18970"/>
    <cellStyle name="Calculation 2 2 6 2 4" xfId="5775"/>
    <cellStyle name="Calculation 2 2 6 2 4 2" xfId="12328"/>
    <cellStyle name="Calculation 2 2 6 2 4 2 2" xfId="26650"/>
    <cellStyle name="Calculation 2 2 6 2 4 3" xfId="17973"/>
    <cellStyle name="Calculation 2 2 6 2 5" xfId="3280"/>
    <cellStyle name="Calculation 2 2 6 2 5 2" xfId="22459"/>
    <cellStyle name="Calculation 2 2 6 2 6" xfId="6596"/>
    <cellStyle name="Calculation 2 2 6 3" xfId="192"/>
    <cellStyle name="Calculation 2 2 6 3 2" xfId="193"/>
    <cellStyle name="Calculation 2 2 6 3 2 2" xfId="6950"/>
    <cellStyle name="Calculation 2 2 6 3 2 2 2" xfId="13554"/>
    <cellStyle name="Calculation 2 2 6 3 2 2 2 2" xfId="27876"/>
    <cellStyle name="Calculation 2 2 6 3 2 2 3" xfId="19199"/>
    <cellStyle name="Calculation 2 2 6 3 2 3" xfId="7065"/>
    <cellStyle name="Calculation 2 2 6 3 2 3 2" xfId="9679"/>
    <cellStyle name="Calculation 2 2 6 3 2 3 2 2" xfId="15941"/>
    <cellStyle name="Calculation 2 2 6 3 2 3 2 2 2" xfId="29357"/>
    <cellStyle name="Calculation 2 2 6 3 2 3 2 3" xfId="20686"/>
    <cellStyle name="Calculation 2 2 6 3 2 3 3" xfId="13669"/>
    <cellStyle name="Calculation 2 2 6 3 2 3 3 2" xfId="27991"/>
    <cellStyle name="Calculation 2 2 6 3 2 3 4" xfId="19314"/>
    <cellStyle name="Calculation 2 2 6 3 2 4" xfId="11446"/>
    <cellStyle name="Calculation 2 2 6 3 2 4 2" xfId="25768"/>
    <cellStyle name="Calculation 2 2 6 3 2 5" xfId="6630"/>
    <cellStyle name="Calculation 2 2 6 3 3" xfId="194"/>
    <cellStyle name="Calculation 2 2 6 3 3 2" xfId="7181"/>
    <cellStyle name="Calculation 2 2 6 3 3 2 2" xfId="9795"/>
    <cellStyle name="Calculation 2 2 6 3 3 2 2 2" xfId="16057"/>
    <cellStyle name="Calculation 2 2 6 3 3 2 2 2 2" xfId="29473"/>
    <cellStyle name="Calculation 2 2 6 3 3 2 2 3" xfId="20802"/>
    <cellStyle name="Calculation 2 2 6 3 3 2 3" xfId="13785"/>
    <cellStyle name="Calculation 2 2 6 3 3 2 3 2" xfId="28107"/>
    <cellStyle name="Calculation 2 2 6 3 3 2 4" xfId="19430"/>
    <cellStyle name="Calculation 2 2 6 3 3 3" xfId="13420"/>
    <cellStyle name="Calculation 2 2 6 3 3 3 2" xfId="27742"/>
    <cellStyle name="Calculation 2 2 6 3 3 4" xfId="19065"/>
    <cellStyle name="Calculation 2 2 6 3 4" xfId="5893"/>
    <cellStyle name="Calculation 2 2 6 3 4 2" xfId="12446"/>
    <cellStyle name="Calculation 2 2 6 3 4 2 2" xfId="26768"/>
    <cellStyle name="Calculation 2 2 6 3 4 3" xfId="18091"/>
    <cellStyle name="Calculation 2 2 6 3 5" xfId="3634"/>
    <cellStyle name="Calculation 2 2 6 3 5 2" xfId="22497"/>
    <cellStyle name="Calculation 2 2 6 3 6" xfId="15367"/>
    <cellStyle name="Calculation 2 2 6 4" xfId="195"/>
    <cellStyle name="Calculation 2 2 6 4 2" xfId="5228"/>
    <cellStyle name="Calculation 2 2 6 4 2 2" xfId="11778"/>
    <cellStyle name="Calculation 2 2 6 4 2 2 2" xfId="26100"/>
    <cellStyle name="Calculation 2 2 6 4 2 3" xfId="17423"/>
    <cellStyle name="Calculation 2 2 6 4 3" xfId="7662"/>
    <cellStyle name="Calculation 2 2 6 4 3 2" xfId="10276"/>
    <cellStyle name="Calculation 2 2 6 4 3 2 2" xfId="16538"/>
    <cellStyle name="Calculation 2 2 6 4 3 2 2 2" xfId="29954"/>
    <cellStyle name="Calculation 2 2 6 4 3 2 3" xfId="21283"/>
    <cellStyle name="Calculation 2 2 6 4 3 3" xfId="14266"/>
    <cellStyle name="Calculation 2 2 6 4 3 3 2" xfId="28588"/>
    <cellStyle name="Calculation 2 2 6 4 3 4" xfId="19911"/>
    <cellStyle name="Calculation 2 2 6 4 4" xfId="6170"/>
    <cellStyle name="Calculation 2 2 6 4 4 2" xfId="23439"/>
    <cellStyle name="Calculation 2 2 6 4 5" xfId="15474"/>
    <cellStyle name="Calculation 2 2 6 5" xfId="196"/>
    <cellStyle name="Calculation 2 2 6 5 2" xfId="4870"/>
    <cellStyle name="Calculation 2 2 6 5 2 2" xfId="9507"/>
    <cellStyle name="Calculation 2 2 6 5 2 2 2" xfId="15769"/>
    <cellStyle name="Calculation 2 2 6 5 2 2 2 2" xfId="29185"/>
    <cellStyle name="Calculation 2 2 6 5 2 2 3" xfId="20514"/>
    <cellStyle name="Calculation 2 2 6 5 2 3" xfId="11404"/>
    <cellStyle name="Calculation 2 2 6 5 2 3 2" xfId="25726"/>
    <cellStyle name="Calculation 2 2 6 5 2 4" xfId="4306"/>
    <cellStyle name="Calculation 2 2 6 5 3" xfId="12901"/>
    <cellStyle name="Calculation 2 2 6 5 3 2" xfId="27223"/>
    <cellStyle name="Calculation 2 2 6 5 4" xfId="18546"/>
    <cellStyle name="Calculation 2 2 6 6" xfId="5524"/>
    <cellStyle name="Calculation 2 2 6 6 2" xfId="12075"/>
    <cellStyle name="Calculation 2 2 6 6 2 2" xfId="26397"/>
    <cellStyle name="Calculation 2 2 6 6 3" xfId="17720"/>
    <cellStyle name="Calculation 2 2 6 7" xfId="4798"/>
    <cellStyle name="Calculation 2 2 6 7 2" xfId="23193"/>
    <cellStyle name="Calculation 2 2 6 8" xfId="15136"/>
    <cellStyle name="Calculation 2 2 7" xfId="197"/>
    <cellStyle name="Calculation 2 2 7 2" xfId="198"/>
    <cellStyle name="Calculation 2 2 7 2 2" xfId="199"/>
    <cellStyle name="Calculation 2 2 7 2 2 2" xfId="5952"/>
    <cellStyle name="Calculation 2 2 7 2 2 2 2" xfId="12510"/>
    <cellStyle name="Calculation 2 2 7 2 2 2 2 2" xfId="26832"/>
    <cellStyle name="Calculation 2 2 7 2 2 2 3" xfId="18155"/>
    <cellStyle name="Calculation 2 2 7 2 2 3" xfId="7918"/>
    <cellStyle name="Calculation 2 2 7 2 2 3 2" xfId="10532"/>
    <cellStyle name="Calculation 2 2 7 2 2 3 2 2" xfId="16794"/>
    <cellStyle name="Calculation 2 2 7 2 2 3 2 2 2" xfId="30210"/>
    <cellStyle name="Calculation 2 2 7 2 2 3 2 3" xfId="21539"/>
    <cellStyle name="Calculation 2 2 7 2 2 3 3" xfId="14522"/>
    <cellStyle name="Calculation 2 2 7 2 2 3 3 2" xfId="28844"/>
    <cellStyle name="Calculation 2 2 7 2 2 3 4" xfId="20167"/>
    <cellStyle name="Calculation 2 2 7 2 2 4" xfId="6153"/>
    <cellStyle name="Calculation 2 2 7 2 2 4 2" xfId="23433"/>
    <cellStyle name="Calculation 2 2 7 2 2 5" xfId="17162"/>
    <cellStyle name="Calculation 2 2 7 2 3" xfId="200"/>
    <cellStyle name="Calculation 2 2 7 2 3 2" xfId="7282"/>
    <cellStyle name="Calculation 2 2 7 2 3 2 2" xfId="9896"/>
    <cellStyle name="Calculation 2 2 7 2 3 2 2 2" xfId="16158"/>
    <cellStyle name="Calculation 2 2 7 2 3 2 2 2 2" xfId="29574"/>
    <cellStyle name="Calculation 2 2 7 2 3 2 2 3" xfId="20903"/>
    <cellStyle name="Calculation 2 2 7 2 3 2 3" xfId="13886"/>
    <cellStyle name="Calculation 2 2 7 2 3 2 3 2" xfId="28208"/>
    <cellStyle name="Calculation 2 2 7 2 3 2 4" xfId="19531"/>
    <cellStyle name="Calculation 2 2 7 2 3 3" xfId="12465"/>
    <cellStyle name="Calculation 2 2 7 2 3 3 2" xfId="26787"/>
    <cellStyle name="Calculation 2 2 7 2 3 4" xfId="18110"/>
    <cellStyle name="Calculation 2 2 7 2 4" xfId="5184"/>
    <cellStyle name="Calculation 2 2 7 2 4 2" xfId="11733"/>
    <cellStyle name="Calculation 2 2 7 2 4 2 2" xfId="26055"/>
    <cellStyle name="Calculation 2 2 7 2 4 3" xfId="6690"/>
    <cellStyle name="Calculation 2 2 7 2 5" xfId="6246"/>
    <cellStyle name="Calculation 2 2 7 2 5 2" xfId="23470"/>
    <cellStyle name="Calculation 2 2 7 2 6" xfId="15366"/>
    <cellStyle name="Calculation 2 2 7 3" xfId="201"/>
    <cellStyle name="Calculation 2 2 7 3 2" xfId="6947"/>
    <cellStyle name="Calculation 2 2 7 3 2 2" xfId="13551"/>
    <cellStyle name="Calculation 2 2 7 3 2 2 2" xfId="27873"/>
    <cellStyle name="Calculation 2 2 7 3 2 3" xfId="19196"/>
    <cellStyle name="Calculation 2 2 7 3 3" xfId="7195"/>
    <cellStyle name="Calculation 2 2 7 3 3 2" xfId="9809"/>
    <cellStyle name="Calculation 2 2 7 3 3 2 2" xfId="16071"/>
    <cellStyle name="Calculation 2 2 7 3 3 2 2 2" xfId="29487"/>
    <cellStyle name="Calculation 2 2 7 3 3 2 3" xfId="20816"/>
    <cellStyle name="Calculation 2 2 7 3 3 3" xfId="13799"/>
    <cellStyle name="Calculation 2 2 7 3 3 3 2" xfId="28121"/>
    <cellStyle name="Calculation 2 2 7 3 3 4" xfId="19444"/>
    <cellStyle name="Calculation 2 2 7 3 4" xfId="11441"/>
    <cellStyle name="Calculation 2 2 7 3 4 2" xfId="25763"/>
    <cellStyle name="Calculation 2 2 7 3 5" xfId="17142"/>
    <cellStyle name="Calculation 2 2 7 4" xfId="202"/>
    <cellStyle name="Calculation 2 2 7 4 2" xfId="5308"/>
    <cellStyle name="Calculation 2 2 7 4 2 2" xfId="9617"/>
    <cellStyle name="Calculation 2 2 7 4 2 2 2" xfId="15879"/>
    <cellStyle name="Calculation 2 2 7 4 2 2 2 2" xfId="29295"/>
    <cellStyle name="Calculation 2 2 7 4 2 2 3" xfId="20624"/>
    <cellStyle name="Calculation 2 2 7 4 2 3" xfId="11858"/>
    <cellStyle name="Calculation 2 2 7 4 2 3 2" xfId="26180"/>
    <cellStyle name="Calculation 2 2 7 4 2 4" xfId="17503"/>
    <cellStyle name="Calculation 2 2 7 4 3" xfId="12663"/>
    <cellStyle name="Calculation 2 2 7 4 3 2" xfId="26985"/>
    <cellStyle name="Calculation 2 2 7 4 4" xfId="18308"/>
    <cellStyle name="Calculation 2 2 7 5" xfId="5140"/>
    <cellStyle name="Calculation 2 2 7 5 2" xfId="11689"/>
    <cellStyle name="Calculation 2 2 7 5 2 2" xfId="26011"/>
    <cellStyle name="Calculation 2 2 7 5 3" xfId="6577"/>
    <cellStyle name="Calculation 2 2 7 6" xfId="3719"/>
    <cellStyle name="Calculation 2 2 7 6 2" xfId="22543"/>
    <cellStyle name="Calculation 2 2 7 7" xfId="15470"/>
    <cellStyle name="Calculation 2 2 8" xfId="203"/>
    <cellStyle name="Calculation 2 2 8 2" xfId="204"/>
    <cellStyle name="Calculation 2 2 8 2 2" xfId="6891"/>
    <cellStyle name="Calculation 2 2 8 2 2 2" xfId="13495"/>
    <cellStyle name="Calculation 2 2 8 2 2 2 2" xfId="27817"/>
    <cellStyle name="Calculation 2 2 8 2 2 3" xfId="19140"/>
    <cellStyle name="Calculation 2 2 8 2 3" xfId="4381"/>
    <cellStyle name="Calculation 2 2 8 2 3 2" xfId="9457"/>
    <cellStyle name="Calculation 2 2 8 2 3 2 2" xfId="15719"/>
    <cellStyle name="Calculation 2 2 8 2 3 2 2 2" xfId="29135"/>
    <cellStyle name="Calculation 2 2 8 2 3 2 3" xfId="20464"/>
    <cellStyle name="Calculation 2 2 8 2 3 3" xfId="3261"/>
    <cellStyle name="Calculation 2 2 8 2 3 3 2" xfId="22448"/>
    <cellStyle name="Calculation 2 2 8 2 3 4" xfId="15551"/>
    <cellStyle name="Calculation 2 2 8 2 4" xfId="11367"/>
    <cellStyle name="Calculation 2 2 8 2 4 2" xfId="25689"/>
    <cellStyle name="Calculation 2 2 8 2 5" xfId="4196"/>
    <cellStyle name="Calculation 2 2 8 3" xfId="205"/>
    <cellStyle name="Calculation 2 2 8 3 2" xfId="7165"/>
    <cellStyle name="Calculation 2 2 8 3 2 2" xfId="9779"/>
    <cellStyle name="Calculation 2 2 8 3 2 2 2" xfId="16041"/>
    <cellStyle name="Calculation 2 2 8 3 2 2 2 2" xfId="29457"/>
    <cellStyle name="Calculation 2 2 8 3 2 2 3" xfId="20786"/>
    <cellStyle name="Calculation 2 2 8 3 2 3" xfId="13769"/>
    <cellStyle name="Calculation 2 2 8 3 2 3 2" xfId="28091"/>
    <cellStyle name="Calculation 2 2 8 3 2 4" xfId="19414"/>
    <cellStyle name="Calculation 2 2 8 3 3" xfId="12541"/>
    <cellStyle name="Calculation 2 2 8 3 3 2" xfId="26863"/>
    <cellStyle name="Calculation 2 2 8 3 4" xfId="18186"/>
    <cellStyle name="Calculation 2 2 8 4" xfId="5233"/>
    <cellStyle name="Calculation 2 2 8 4 2" xfId="11783"/>
    <cellStyle name="Calculation 2 2 8 4 2 2" xfId="26105"/>
    <cellStyle name="Calculation 2 2 8 4 3" xfId="17428"/>
    <cellStyle name="Calculation 2 2 8 5" xfId="5695"/>
    <cellStyle name="Calculation 2 2 8 5 2" xfId="23361"/>
    <cellStyle name="Calculation 2 2 8 6" xfId="15158"/>
    <cellStyle name="Calculation 2 2 9" xfId="206"/>
    <cellStyle name="Calculation 2 2 9 2" xfId="6103"/>
    <cellStyle name="Calculation 2 2 9 2 2" xfId="12670"/>
    <cellStyle name="Calculation 2 2 9 2 2 2" xfId="26992"/>
    <cellStyle name="Calculation 2 2 9 2 3" xfId="18315"/>
    <cellStyle name="Calculation 2 2 9 3" xfId="7996"/>
    <cellStyle name="Calculation 2 2 9 3 2" xfId="10610"/>
    <cellStyle name="Calculation 2 2 9 3 2 2" xfId="16872"/>
    <cellStyle name="Calculation 2 2 9 3 2 2 2" xfId="30288"/>
    <cellStyle name="Calculation 2 2 9 3 2 3" xfId="21617"/>
    <cellStyle name="Calculation 2 2 9 3 3" xfId="14600"/>
    <cellStyle name="Calculation 2 2 9 3 3 2" xfId="28922"/>
    <cellStyle name="Calculation 2 2 9 3 4" xfId="20245"/>
    <cellStyle name="Calculation 2 2 9 4" xfId="4081"/>
    <cellStyle name="Calculation 2 2 9 4 2" xfId="22749"/>
    <cellStyle name="Calculation 2 2 9 5" xfId="17389"/>
    <cellStyle name="Calculation 2 3" xfId="207"/>
    <cellStyle name="Calculation 2 3 2" xfId="5990"/>
    <cellStyle name="Calculation 2 3 2 2" xfId="12548"/>
    <cellStyle name="Calculation 2 3 2 2 2" xfId="26870"/>
    <cellStyle name="Calculation 2 3 2 3" xfId="18193"/>
    <cellStyle name="Calculation 2 3 3" xfId="7571"/>
    <cellStyle name="Calculation 2 3 3 2" xfId="10185"/>
    <cellStyle name="Calculation 2 3 3 2 2" xfId="16447"/>
    <cellStyle name="Calculation 2 3 3 2 2 2" xfId="29863"/>
    <cellStyle name="Calculation 2 3 3 2 3" xfId="21192"/>
    <cellStyle name="Calculation 2 3 3 3" xfId="14175"/>
    <cellStyle name="Calculation 2 3 3 3 2" xfId="28497"/>
    <cellStyle name="Calculation 2 3 3 4" xfId="19820"/>
    <cellStyle name="Calculation 2 3 4" xfId="6627"/>
    <cellStyle name="Calculation 2 3 4 2" xfId="23615"/>
    <cellStyle name="Calculation 2 3 5" xfId="14939"/>
    <cellStyle name="Calculation 2 4" xfId="3275"/>
    <cellStyle name="Calculation 2 4 2" xfId="4276"/>
    <cellStyle name="Calculation 2 4 2 2" xfId="22865"/>
    <cellStyle name="Calculation 2 4 3" xfId="4586"/>
    <cellStyle name="Calculation 2 5" xfId="4249"/>
    <cellStyle name="Calculation 2 5 2" xfId="22851"/>
    <cellStyle name="Calculation 2 6" xfId="15480"/>
    <cellStyle name="Calculation 2 7" xfId="21695"/>
    <cellStyle name="Calculation 2 8" xfId="21701"/>
    <cellStyle name="Cálculo" xfId="208"/>
    <cellStyle name="Cálculo 2" xfId="209"/>
    <cellStyle name="Cálculo 2 10" xfId="210"/>
    <cellStyle name="Cálculo 2 10 2" xfId="7735"/>
    <cellStyle name="Cálculo 2 10 2 2" xfId="10349"/>
    <cellStyle name="Cálculo 2 10 2 2 2" xfId="16611"/>
    <cellStyle name="Cálculo 2 10 2 2 2 2" xfId="30027"/>
    <cellStyle name="Cálculo 2 10 2 2 3" xfId="21356"/>
    <cellStyle name="Cálculo 2 10 2 3" xfId="14339"/>
    <cellStyle name="Cálculo 2 10 2 3 2" xfId="28661"/>
    <cellStyle name="Cálculo 2 10 2 4" xfId="19984"/>
    <cellStyle name="Cálculo 2 10 3" xfId="11646"/>
    <cellStyle name="Cálculo 2 10 3 2" xfId="25968"/>
    <cellStyle name="Cálculo 2 10 4" xfId="15330"/>
    <cellStyle name="Cálculo 2 11" xfId="4991"/>
    <cellStyle name="Cálculo 2 11 2" xfId="11534"/>
    <cellStyle name="Cálculo 2 11 2 2" xfId="25856"/>
    <cellStyle name="Cálculo 2 11 3" xfId="5901"/>
    <cellStyle name="Cálculo 2 12" xfId="4482"/>
    <cellStyle name="Cálculo 2 12 2" xfId="22980"/>
    <cellStyle name="Cálculo 2 13" xfId="17204"/>
    <cellStyle name="Cálculo 2 2" xfId="211"/>
    <cellStyle name="Cálculo 2 2 10" xfId="5456"/>
    <cellStyle name="Cálculo 2 2 10 2" xfId="12007"/>
    <cellStyle name="Cálculo 2 2 10 2 2" xfId="26329"/>
    <cellStyle name="Cálculo 2 2 10 3" xfId="17652"/>
    <cellStyle name="Cálculo 2 2 11" xfId="5001"/>
    <cellStyle name="Cálculo 2 2 11 2" xfId="23302"/>
    <cellStyle name="Cálculo 2 2 12" xfId="14834"/>
    <cellStyle name="Cálculo 2 2 2" xfId="212"/>
    <cellStyle name="Cálculo 2 2 2 10" xfId="4184"/>
    <cellStyle name="Cálculo 2 2 2 10 2" xfId="22806"/>
    <cellStyle name="Cálculo 2 2 2 11" xfId="17082"/>
    <cellStyle name="Cálculo 2 2 2 2" xfId="213"/>
    <cellStyle name="Cálculo 2 2 2 2 2" xfId="214"/>
    <cellStyle name="Cálculo 2 2 2 2 2 2" xfId="215"/>
    <cellStyle name="Cálculo 2 2 2 2 2 2 2" xfId="6959"/>
    <cellStyle name="Cálculo 2 2 2 2 2 2 2 2" xfId="13563"/>
    <cellStyle name="Cálculo 2 2 2 2 2 2 2 2 2" xfId="27885"/>
    <cellStyle name="Cálculo 2 2 2 2 2 2 2 3" xfId="19208"/>
    <cellStyle name="Cálculo 2 2 2 2 2 2 3" xfId="4028"/>
    <cellStyle name="Cálculo 2 2 2 2 2 2 3 2" xfId="9414"/>
    <cellStyle name="Cálculo 2 2 2 2 2 2 3 2 2" xfId="15676"/>
    <cellStyle name="Cálculo 2 2 2 2 2 2 3 2 2 2" xfId="29092"/>
    <cellStyle name="Cálculo 2 2 2 2 2 2 3 2 3" xfId="20421"/>
    <cellStyle name="Cálculo 2 2 2 2 2 2 3 3" xfId="6250"/>
    <cellStyle name="Cálculo 2 2 2 2 2 2 3 3 2" xfId="23474"/>
    <cellStyle name="Cálculo 2 2 2 2 2 2 3 4" xfId="17385"/>
    <cellStyle name="Cálculo 2 2 2 2 2 2 4" xfId="11460"/>
    <cellStyle name="Cálculo 2 2 2 2 2 2 4 2" xfId="25782"/>
    <cellStyle name="Cálculo 2 2 2 2 2 2 5" xfId="17264"/>
    <cellStyle name="Cálculo 2 2 2 2 2 3" xfId="216"/>
    <cellStyle name="Cálculo 2 2 2 2 2 3 2" xfId="8047"/>
    <cellStyle name="Cálculo 2 2 2 2 2 3 2 2" xfId="10661"/>
    <cellStyle name="Cálculo 2 2 2 2 2 3 2 2 2" xfId="16923"/>
    <cellStyle name="Cálculo 2 2 2 2 2 3 2 2 2 2" xfId="30339"/>
    <cellStyle name="Cálculo 2 2 2 2 2 3 2 2 3" xfId="21668"/>
    <cellStyle name="Cálculo 2 2 2 2 2 3 2 3" xfId="14651"/>
    <cellStyle name="Cálculo 2 2 2 2 2 3 2 3 2" xfId="28973"/>
    <cellStyle name="Cálculo 2 2 2 2 2 3 2 4" xfId="20296"/>
    <cellStyle name="Cálculo 2 2 2 2 2 3 3" xfId="13324"/>
    <cellStyle name="Cálculo 2 2 2 2 2 3 3 2" xfId="27646"/>
    <cellStyle name="Cálculo 2 2 2 2 2 3 4" xfId="18969"/>
    <cellStyle name="Cálculo 2 2 2 2 2 4" xfId="5774"/>
    <cellStyle name="Cálculo 2 2 2 2 2 4 2" xfId="12327"/>
    <cellStyle name="Cálculo 2 2 2 2 2 4 2 2" xfId="26649"/>
    <cellStyle name="Cálculo 2 2 2 2 2 4 3" xfId="17972"/>
    <cellStyle name="Cálculo 2 2 2 2 2 5" xfId="6341"/>
    <cellStyle name="Cálculo 2 2 2 2 2 5 2" xfId="23527"/>
    <cellStyle name="Cálculo 2 2 2 2 2 6" xfId="6526"/>
    <cellStyle name="Cálculo 2 2 2 2 3" xfId="217"/>
    <cellStyle name="Cálculo 2 2 2 2 3 2" xfId="218"/>
    <cellStyle name="Cálculo 2 2 2 2 3 2 2" xfId="6204"/>
    <cellStyle name="Cálculo 2 2 2 2 3 2 2 2" xfId="12777"/>
    <cellStyle name="Cálculo 2 2 2 2 3 2 2 2 2" xfId="27099"/>
    <cellStyle name="Cálculo 2 2 2 2 3 2 2 3" xfId="18422"/>
    <cellStyle name="Cálculo 2 2 2 2 3 2 3" xfId="7124"/>
    <cellStyle name="Cálculo 2 2 2 2 3 2 3 2" xfId="9738"/>
    <cellStyle name="Cálculo 2 2 2 2 3 2 3 2 2" xfId="16000"/>
    <cellStyle name="Cálculo 2 2 2 2 3 2 3 2 2 2" xfId="29416"/>
    <cellStyle name="Cálculo 2 2 2 2 3 2 3 2 3" xfId="20745"/>
    <cellStyle name="Cálculo 2 2 2 2 3 2 3 3" xfId="13728"/>
    <cellStyle name="Cálculo 2 2 2 2 3 2 3 3 2" xfId="28050"/>
    <cellStyle name="Cálculo 2 2 2 2 3 2 3 4" xfId="19373"/>
    <cellStyle name="Cálculo 2 2 2 2 3 2 4" xfId="4950"/>
    <cellStyle name="Cálculo 2 2 2 2 3 2 4 2" xfId="23275"/>
    <cellStyle name="Cálculo 2 2 2 2 3 2 5" xfId="14941"/>
    <cellStyle name="Cálculo 2 2 2 2 3 3" xfId="219"/>
    <cellStyle name="Cálculo 2 2 2 2 3 3 2" xfId="7559"/>
    <cellStyle name="Cálculo 2 2 2 2 3 3 2 2" xfId="10173"/>
    <cellStyle name="Cálculo 2 2 2 2 3 3 2 2 2" xfId="16435"/>
    <cellStyle name="Cálculo 2 2 2 2 3 3 2 2 2 2" xfId="29851"/>
    <cellStyle name="Cálculo 2 2 2 2 3 3 2 2 3" xfId="21180"/>
    <cellStyle name="Cálculo 2 2 2 2 3 3 2 3" xfId="14163"/>
    <cellStyle name="Cálculo 2 2 2 2 3 3 2 3 2" xfId="28485"/>
    <cellStyle name="Cálculo 2 2 2 2 3 3 2 4" xfId="19808"/>
    <cellStyle name="Cálculo 2 2 2 2 3 3 3" xfId="13365"/>
    <cellStyle name="Cálculo 2 2 2 2 3 3 3 2" xfId="27687"/>
    <cellStyle name="Cálculo 2 2 2 2 3 3 4" xfId="19010"/>
    <cellStyle name="Cálculo 2 2 2 2 3 4" xfId="5816"/>
    <cellStyle name="Cálculo 2 2 2 2 3 4 2" xfId="12369"/>
    <cellStyle name="Cálculo 2 2 2 2 3 4 2 2" xfId="26691"/>
    <cellStyle name="Cálculo 2 2 2 2 3 4 3" xfId="18014"/>
    <cellStyle name="Cálculo 2 2 2 2 3 5" xfId="6473"/>
    <cellStyle name="Cálculo 2 2 2 2 3 5 2" xfId="23557"/>
    <cellStyle name="Cálculo 2 2 2 2 3 6" xfId="15085"/>
    <cellStyle name="Cálculo 2 2 2 2 4" xfId="220"/>
    <cellStyle name="Cálculo 2 2 2 2 4 2" xfId="6282"/>
    <cellStyle name="Cálculo 2 2 2 2 4 2 2" xfId="12864"/>
    <cellStyle name="Cálculo 2 2 2 2 4 2 2 2" xfId="27186"/>
    <cellStyle name="Cálculo 2 2 2 2 4 2 3" xfId="18509"/>
    <cellStyle name="Cálculo 2 2 2 2 4 3" xfId="7937"/>
    <cellStyle name="Cálculo 2 2 2 2 4 3 2" xfId="10551"/>
    <cellStyle name="Cálculo 2 2 2 2 4 3 2 2" xfId="16813"/>
    <cellStyle name="Cálculo 2 2 2 2 4 3 2 2 2" xfId="30229"/>
    <cellStyle name="Cálculo 2 2 2 2 4 3 2 3" xfId="21558"/>
    <cellStyle name="Cálculo 2 2 2 2 4 3 3" xfId="14541"/>
    <cellStyle name="Cálculo 2 2 2 2 4 3 3 2" xfId="28863"/>
    <cellStyle name="Cálculo 2 2 2 2 4 3 4" xfId="20186"/>
    <cellStyle name="Cálculo 2 2 2 2 4 4" xfId="4453"/>
    <cellStyle name="Cálculo 2 2 2 2 4 4 2" xfId="22962"/>
    <cellStyle name="Cálculo 2 2 2 2 4 5" xfId="15383"/>
    <cellStyle name="Cálculo 2 2 2 2 5" xfId="221"/>
    <cellStyle name="Cálculo 2 2 2 2 5 2" xfId="3993"/>
    <cellStyle name="Cálculo 2 2 2 2 5 2 2" xfId="9406"/>
    <cellStyle name="Cálculo 2 2 2 2 5 2 2 2" xfId="15668"/>
    <cellStyle name="Cálculo 2 2 2 2 5 2 2 2 2" xfId="29084"/>
    <cellStyle name="Cálculo 2 2 2 2 5 2 2 3" xfId="20413"/>
    <cellStyle name="Cálculo 2 2 2 2 5 2 3" xfId="3720"/>
    <cellStyle name="Cálculo 2 2 2 2 5 2 3 2" xfId="22544"/>
    <cellStyle name="Cálculo 2 2 2 2 5 2 4" xfId="6542"/>
    <cellStyle name="Cálculo 2 2 2 2 5 3" xfId="12900"/>
    <cellStyle name="Cálculo 2 2 2 2 5 3 2" xfId="27222"/>
    <cellStyle name="Cálculo 2 2 2 2 5 4" xfId="18545"/>
    <cellStyle name="Cálculo 2 2 2 2 6" xfId="5518"/>
    <cellStyle name="Cálculo 2 2 2 2 6 2" xfId="12069"/>
    <cellStyle name="Cálculo 2 2 2 2 6 2 2" xfId="26391"/>
    <cellStyle name="Cálculo 2 2 2 2 6 3" xfId="17714"/>
    <cellStyle name="Cálculo 2 2 2 2 7" xfId="6752"/>
    <cellStyle name="Cálculo 2 2 2 2 7 2" xfId="23700"/>
    <cellStyle name="Cálculo 2 2 2 2 8" xfId="4585"/>
    <cellStyle name="Cálculo 2 2 2 3" xfId="222"/>
    <cellStyle name="Cálculo 2 2 2 3 2" xfId="223"/>
    <cellStyle name="Cálculo 2 2 2 3 2 2" xfId="224"/>
    <cellStyle name="Cálculo 2 2 2 3 2 2 2" xfId="7031"/>
    <cellStyle name="Cálculo 2 2 2 3 2 2 2 2" xfId="13635"/>
    <cellStyle name="Cálculo 2 2 2 3 2 2 2 2 2" xfId="27957"/>
    <cellStyle name="Cálculo 2 2 2 3 2 2 2 3" xfId="19280"/>
    <cellStyle name="Cálculo 2 2 2 3 2 2 3" xfId="4848"/>
    <cellStyle name="Cálculo 2 2 2 3 2 2 3 2" xfId="9500"/>
    <cellStyle name="Cálculo 2 2 2 3 2 2 3 2 2" xfId="15762"/>
    <cellStyle name="Cálculo 2 2 2 3 2 2 3 2 2 2" xfId="29178"/>
    <cellStyle name="Cálculo 2 2 2 3 2 2 3 2 3" xfId="20507"/>
    <cellStyle name="Cálculo 2 2 2 3 2 2 3 3" xfId="11381"/>
    <cellStyle name="Cálculo 2 2 2 3 2 2 3 3 2" xfId="25703"/>
    <cellStyle name="Cálculo 2 2 2 3 2 2 3 4" xfId="6632"/>
    <cellStyle name="Cálculo 2 2 2 3 2 2 4" xfId="11571"/>
    <cellStyle name="Cálculo 2 2 2 3 2 2 4 2" xfId="25893"/>
    <cellStyle name="Cálculo 2 2 2 3 2 2 5" xfId="14699"/>
    <cellStyle name="Cálculo 2 2 2 3 2 3" xfId="225"/>
    <cellStyle name="Cálculo 2 2 2 3 2 3 2" xfId="5300"/>
    <cellStyle name="Cálculo 2 2 2 3 2 3 2 2" xfId="9609"/>
    <cellStyle name="Cálculo 2 2 2 3 2 3 2 2 2" xfId="15871"/>
    <cellStyle name="Cálculo 2 2 2 3 2 3 2 2 2 2" xfId="29287"/>
    <cellStyle name="Cálculo 2 2 2 3 2 3 2 2 3" xfId="20616"/>
    <cellStyle name="Cálculo 2 2 2 3 2 3 2 3" xfId="11850"/>
    <cellStyle name="Cálculo 2 2 2 3 2 3 2 3 2" xfId="26172"/>
    <cellStyle name="Cálculo 2 2 2 3 2 3 2 4" xfId="17495"/>
    <cellStyle name="Cálculo 2 2 2 3 2 3 3" xfId="13360"/>
    <cellStyle name="Cálculo 2 2 2 3 2 3 3 2" xfId="27682"/>
    <cellStyle name="Cálculo 2 2 2 3 2 3 4" xfId="19005"/>
    <cellStyle name="Cálculo 2 2 2 3 2 4" xfId="5810"/>
    <cellStyle name="Cálculo 2 2 2 3 2 4 2" xfId="12363"/>
    <cellStyle name="Cálculo 2 2 2 3 2 4 2 2" xfId="26685"/>
    <cellStyle name="Cálculo 2 2 2 3 2 4 3" xfId="18008"/>
    <cellStyle name="Cálculo 2 2 2 3 2 5" xfId="3717"/>
    <cellStyle name="Cálculo 2 2 2 3 2 5 2" xfId="22542"/>
    <cellStyle name="Cálculo 2 2 2 3 2 6" xfId="15294"/>
    <cellStyle name="Cálculo 2 2 2 3 3" xfId="226"/>
    <cellStyle name="Cálculo 2 2 2 3 3 2" xfId="227"/>
    <cellStyle name="Cálculo 2 2 2 3 3 2 2" xfId="5615"/>
    <cellStyle name="Cálculo 2 2 2 3 3 2 2 2" xfId="12168"/>
    <cellStyle name="Cálculo 2 2 2 3 3 2 2 2 2" xfId="26490"/>
    <cellStyle name="Cálculo 2 2 2 3 3 2 2 3" xfId="17813"/>
    <cellStyle name="Cálculo 2 2 2 3 3 2 3" xfId="7100"/>
    <cellStyle name="Cálculo 2 2 2 3 3 2 3 2" xfId="9714"/>
    <cellStyle name="Cálculo 2 2 2 3 3 2 3 2 2" xfId="15976"/>
    <cellStyle name="Cálculo 2 2 2 3 3 2 3 2 2 2" xfId="29392"/>
    <cellStyle name="Cálculo 2 2 2 3 3 2 3 2 3" xfId="20721"/>
    <cellStyle name="Cálculo 2 2 2 3 3 2 3 3" xfId="13704"/>
    <cellStyle name="Cálculo 2 2 2 3 3 2 3 3 2" xfId="28026"/>
    <cellStyle name="Cálculo 2 2 2 3 3 2 3 4" xfId="19349"/>
    <cellStyle name="Cálculo 2 2 2 3 3 2 4" xfId="3875"/>
    <cellStyle name="Cálculo 2 2 2 3 3 2 4 2" xfId="22621"/>
    <cellStyle name="Cálculo 2 2 2 3 3 2 5" xfId="15516"/>
    <cellStyle name="Cálculo 2 2 2 3 3 3" xfId="228"/>
    <cellStyle name="Cálculo 2 2 2 3 3 3 2" xfId="7123"/>
    <cellStyle name="Cálculo 2 2 2 3 3 3 2 2" xfId="9737"/>
    <cellStyle name="Cálculo 2 2 2 3 3 3 2 2 2" xfId="15999"/>
    <cellStyle name="Cálculo 2 2 2 3 3 3 2 2 2 2" xfId="29415"/>
    <cellStyle name="Cálculo 2 2 2 3 3 3 2 2 3" xfId="20744"/>
    <cellStyle name="Cálculo 2 2 2 3 3 3 2 3" xfId="13727"/>
    <cellStyle name="Cálculo 2 2 2 3 3 3 2 3 2" xfId="28049"/>
    <cellStyle name="Cálculo 2 2 2 3 3 3 2 4" xfId="19372"/>
    <cellStyle name="Cálculo 2 2 2 3 3 3 3" xfId="13078"/>
    <cellStyle name="Cálculo 2 2 2 3 3 3 3 2" xfId="27400"/>
    <cellStyle name="Cálculo 2 2 2 3 3 3 4" xfId="18723"/>
    <cellStyle name="Cálculo 2 2 2 3 3 4" xfId="5427"/>
    <cellStyle name="Cálculo 2 2 2 3 3 4 2" xfId="11978"/>
    <cellStyle name="Cálculo 2 2 2 3 3 4 2 2" xfId="26300"/>
    <cellStyle name="Cálculo 2 2 2 3 3 4 3" xfId="17623"/>
    <cellStyle name="Cálculo 2 2 2 3 3 5" xfId="3954"/>
    <cellStyle name="Cálculo 2 2 2 3 3 5 2" xfId="22667"/>
    <cellStyle name="Cálculo 2 2 2 3 3 6" xfId="16957"/>
    <cellStyle name="Cálculo 2 2 2 3 4" xfId="229"/>
    <cellStyle name="Cálculo 2 2 2 3 4 2" xfId="6883"/>
    <cellStyle name="Cálculo 2 2 2 3 4 2 2" xfId="13487"/>
    <cellStyle name="Cálculo 2 2 2 3 4 2 2 2" xfId="27809"/>
    <cellStyle name="Cálculo 2 2 2 3 4 2 3" xfId="19132"/>
    <cellStyle name="Cálculo 2 2 2 3 4 3" xfId="7549"/>
    <cellStyle name="Cálculo 2 2 2 3 4 3 2" xfId="10163"/>
    <cellStyle name="Cálculo 2 2 2 3 4 3 2 2" xfId="16425"/>
    <cellStyle name="Cálculo 2 2 2 3 4 3 2 2 2" xfId="29841"/>
    <cellStyle name="Cálculo 2 2 2 3 4 3 2 3" xfId="21170"/>
    <cellStyle name="Cálculo 2 2 2 3 4 3 3" xfId="14153"/>
    <cellStyle name="Cálculo 2 2 2 3 4 3 3 2" xfId="28475"/>
    <cellStyle name="Cálculo 2 2 2 3 4 3 4" xfId="19798"/>
    <cellStyle name="Cálculo 2 2 2 3 4 4" xfId="11357"/>
    <cellStyle name="Cálculo 2 2 2 3 4 4 2" xfId="25679"/>
    <cellStyle name="Cálculo 2 2 2 3 4 5" xfId="15077"/>
    <cellStyle name="Cálculo 2 2 2 3 5" xfId="230"/>
    <cellStyle name="Cálculo 2 2 2 3 5 2" xfId="7057"/>
    <cellStyle name="Cálculo 2 2 2 3 5 2 2" xfId="9671"/>
    <cellStyle name="Cálculo 2 2 2 3 5 2 2 2" xfId="15933"/>
    <cellStyle name="Cálculo 2 2 2 3 5 2 2 2 2" xfId="29349"/>
    <cellStyle name="Cálculo 2 2 2 3 5 2 2 3" xfId="20678"/>
    <cellStyle name="Cálculo 2 2 2 3 5 2 3" xfId="13661"/>
    <cellStyle name="Cálculo 2 2 2 3 5 2 3 2" xfId="27983"/>
    <cellStyle name="Cálculo 2 2 2 3 5 2 4" xfId="19306"/>
    <cellStyle name="Cálculo 2 2 2 3 5 3" xfId="12936"/>
    <cellStyle name="Cálculo 2 2 2 3 5 3 2" xfId="27258"/>
    <cellStyle name="Cálculo 2 2 2 3 5 4" xfId="18581"/>
    <cellStyle name="Cálculo 2 2 2 3 6" xfId="5560"/>
    <cellStyle name="Cálculo 2 2 2 3 6 2" xfId="12111"/>
    <cellStyle name="Cálculo 2 2 2 3 6 2 2" xfId="26433"/>
    <cellStyle name="Cálculo 2 2 2 3 6 3" xfId="17756"/>
    <cellStyle name="Cálculo 2 2 2 3 7" xfId="6787"/>
    <cellStyle name="Cálculo 2 2 2 3 7 2" xfId="23731"/>
    <cellStyle name="Cálculo 2 2 2 3 8" xfId="15437"/>
    <cellStyle name="Cálculo 2 2 2 4" xfId="231"/>
    <cellStyle name="Cálculo 2 2 2 4 2" xfId="232"/>
    <cellStyle name="Cálculo 2 2 2 4 2 2" xfId="233"/>
    <cellStyle name="Cálculo 2 2 2 4 2 2 2" xfId="6985"/>
    <cellStyle name="Cálculo 2 2 2 4 2 2 2 2" xfId="13589"/>
    <cellStyle name="Cálculo 2 2 2 4 2 2 2 2 2" xfId="27911"/>
    <cellStyle name="Cálculo 2 2 2 4 2 2 2 3" xfId="19234"/>
    <cellStyle name="Cálculo 2 2 2 4 2 2 3" xfId="7056"/>
    <cellStyle name="Cálculo 2 2 2 4 2 2 3 2" xfId="9670"/>
    <cellStyle name="Cálculo 2 2 2 4 2 2 3 2 2" xfId="15932"/>
    <cellStyle name="Cálculo 2 2 2 4 2 2 3 2 2 2" xfId="29348"/>
    <cellStyle name="Cálculo 2 2 2 4 2 2 3 2 3" xfId="20677"/>
    <cellStyle name="Cálculo 2 2 2 4 2 2 3 3" xfId="13660"/>
    <cellStyle name="Cálculo 2 2 2 4 2 2 3 3 2" xfId="27982"/>
    <cellStyle name="Cálculo 2 2 2 4 2 2 3 4" xfId="19305"/>
    <cellStyle name="Cálculo 2 2 2 4 2 2 4" xfId="11497"/>
    <cellStyle name="Cálculo 2 2 2 4 2 2 4 2" xfId="25819"/>
    <cellStyle name="Cálculo 2 2 2 4 2 2 5" xfId="17282"/>
    <cellStyle name="Cálculo 2 2 2 4 2 3" xfId="234"/>
    <cellStyle name="Cálculo 2 2 2 4 2 3 2" xfId="7606"/>
    <cellStyle name="Cálculo 2 2 2 4 2 3 2 2" xfId="10220"/>
    <cellStyle name="Cálculo 2 2 2 4 2 3 2 2 2" xfId="16482"/>
    <cellStyle name="Cálculo 2 2 2 4 2 3 2 2 2 2" xfId="29898"/>
    <cellStyle name="Cálculo 2 2 2 4 2 3 2 2 3" xfId="21227"/>
    <cellStyle name="Cálculo 2 2 2 4 2 3 2 3" xfId="14210"/>
    <cellStyle name="Cálculo 2 2 2 4 2 3 2 3 2" xfId="28532"/>
    <cellStyle name="Cálculo 2 2 2 4 2 3 2 4" xfId="19855"/>
    <cellStyle name="Cálculo 2 2 2 4 2 3 3" xfId="13364"/>
    <cellStyle name="Cálculo 2 2 2 4 2 3 3 2" xfId="27686"/>
    <cellStyle name="Cálculo 2 2 2 4 2 3 4" xfId="19009"/>
    <cellStyle name="Cálculo 2 2 2 4 2 4" xfId="5815"/>
    <cellStyle name="Cálculo 2 2 2 4 2 4 2" xfId="12368"/>
    <cellStyle name="Cálculo 2 2 2 4 2 4 2 2" xfId="26690"/>
    <cellStyle name="Cálculo 2 2 2 4 2 4 3" xfId="18013"/>
    <cellStyle name="Cálculo 2 2 2 4 2 5" xfId="4972"/>
    <cellStyle name="Cálculo 2 2 2 4 2 5 2" xfId="23288"/>
    <cellStyle name="Cálculo 2 2 2 4 2 6" xfId="17354"/>
    <cellStyle name="Cálculo 2 2 2 4 3" xfId="235"/>
    <cellStyle name="Cálculo 2 2 2 4 3 2" xfId="236"/>
    <cellStyle name="Cálculo 2 2 2 4 3 2 2" xfId="6899"/>
    <cellStyle name="Cálculo 2 2 2 4 3 2 2 2" xfId="13503"/>
    <cellStyle name="Cálculo 2 2 2 4 3 2 2 2 2" xfId="27825"/>
    <cellStyle name="Cálculo 2 2 2 4 3 2 2 3" xfId="19148"/>
    <cellStyle name="Cálculo 2 2 2 4 3 2 3" xfId="7307"/>
    <cellStyle name="Cálculo 2 2 2 4 3 2 3 2" xfId="9921"/>
    <cellStyle name="Cálculo 2 2 2 4 3 2 3 2 2" xfId="16183"/>
    <cellStyle name="Cálculo 2 2 2 4 3 2 3 2 2 2" xfId="29599"/>
    <cellStyle name="Cálculo 2 2 2 4 3 2 3 2 3" xfId="20928"/>
    <cellStyle name="Cálculo 2 2 2 4 3 2 3 3" xfId="13911"/>
    <cellStyle name="Cálculo 2 2 2 4 3 2 3 3 2" xfId="28233"/>
    <cellStyle name="Cálculo 2 2 2 4 3 2 3 4" xfId="19556"/>
    <cellStyle name="Cálculo 2 2 2 4 3 2 4" xfId="11378"/>
    <cellStyle name="Cálculo 2 2 2 4 3 2 4 2" xfId="25700"/>
    <cellStyle name="Cálculo 2 2 2 4 3 2 5" xfId="15591"/>
    <cellStyle name="Cálculo 2 2 2 4 3 3" xfId="237"/>
    <cellStyle name="Cálculo 2 2 2 4 3 3 2" xfId="7127"/>
    <cellStyle name="Cálculo 2 2 2 4 3 3 2 2" xfId="9741"/>
    <cellStyle name="Cálculo 2 2 2 4 3 3 2 2 2" xfId="16003"/>
    <cellStyle name="Cálculo 2 2 2 4 3 3 2 2 2 2" xfId="29419"/>
    <cellStyle name="Cálculo 2 2 2 4 3 3 2 2 3" xfId="20748"/>
    <cellStyle name="Cálculo 2 2 2 4 3 3 2 3" xfId="13731"/>
    <cellStyle name="Cálculo 2 2 2 4 3 3 2 3 2" xfId="28053"/>
    <cellStyle name="Cálculo 2 2 2 4 3 3 2 4" xfId="19376"/>
    <cellStyle name="Cálculo 2 2 2 4 3 3 3" xfId="12800"/>
    <cellStyle name="Cálculo 2 2 2 4 3 3 3 2" xfId="27122"/>
    <cellStyle name="Cálculo 2 2 2 4 3 3 4" xfId="18445"/>
    <cellStyle name="Cálculo 2 2 2 4 3 4" xfId="5167"/>
    <cellStyle name="Cálculo 2 2 2 4 3 4 2" xfId="11716"/>
    <cellStyle name="Cálculo 2 2 2 4 3 4 2 2" xfId="26038"/>
    <cellStyle name="Cálculo 2 2 2 4 3 4 3" xfId="3812"/>
    <cellStyle name="Cálculo 2 2 2 4 3 5" xfId="4947"/>
    <cellStyle name="Cálculo 2 2 2 4 3 5 2" xfId="23274"/>
    <cellStyle name="Cálculo 2 2 2 4 3 6" xfId="15239"/>
    <cellStyle name="Cálculo 2 2 2 4 4" xfId="238"/>
    <cellStyle name="Cálculo 2 2 2 4 4 2" xfId="6919"/>
    <cellStyle name="Cálculo 2 2 2 4 4 2 2" xfId="13523"/>
    <cellStyle name="Cálculo 2 2 2 4 4 2 2 2" xfId="27845"/>
    <cellStyle name="Cálculo 2 2 2 4 4 2 3" xfId="19168"/>
    <cellStyle name="Cálculo 2 2 2 4 4 3" xfId="7135"/>
    <cellStyle name="Cálculo 2 2 2 4 4 3 2" xfId="9749"/>
    <cellStyle name="Cálculo 2 2 2 4 4 3 2 2" xfId="16011"/>
    <cellStyle name="Cálculo 2 2 2 4 4 3 2 2 2" xfId="29427"/>
    <cellStyle name="Cálculo 2 2 2 4 4 3 2 3" xfId="20756"/>
    <cellStyle name="Cálculo 2 2 2 4 4 3 3" xfId="13739"/>
    <cellStyle name="Cálculo 2 2 2 4 4 3 3 2" xfId="28061"/>
    <cellStyle name="Cálculo 2 2 2 4 4 3 4" xfId="19384"/>
    <cellStyle name="Cálculo 2 2 2 4 4 4" xfId="11407"/>
    <cellStyle name="Cálculo 2 2 2 4 4 4 2" xfId="25729"/>
    <cellStyle name="Cálculo 2 2 2 4 4 5" xfId="14815"/>
    <cellStyle name="Cálculo 2 2 2 4 5" xfId="239"/>
    <cellStyle name="Cálculo 2 2 2 4 5 2" xfId="7545"/>
    <cellStyle name="Cálculo 2 2 2 4 5 2 2" xfId="10159"/>
    <cellStyle name="Cálculo 2 2 2 4 5 2 2 2" xfId="16421"/>
    <cellStyle name="Cálculo 2 2 2 4 5 2 2 2 2" xfId="29837"/>
    <cellStyle name="Cálculo 2 2 2 4 5 2 2 3" xfId="21166"/>
    <cellStyle name="Cálculo 2 2 2 4 5 2 3" xfId="14149"/>
    <cellStyle name="Cálculo 2 2 2 4 5 2 3 2" xfId="28471"/>
    <cellStyle name="Cálculo 2 2 2 4 5 2 4" xfId="19794"/>
    <cellStyle name="Cálculo 2 2 2 4 5 3" xfId="12941"/>
    <cellStyle name="Cálculo 2 2 2 4 5 3 2" xfId="27263"/>
    <cellStyle name="Cálculo 2 2 2 4 5 4" xfId="18586"/>
    <cellStyle name="Cálculo 2 2 2 4 6" xfId="5583"/>
    <cellStyle name="Cálculo 2 2 2 4 6 2" xfId="12135"/>
    <cellStyle name="Cálculo 2 2 2 4 6 2 2" xfId="26457"/>
    <cellStyle name="Cálculo 2 2 2 4 6 3" xfId="17780"/>
    <cellStyle name="Cálculo 2 2 2 4 7" xfId="4652"/>
    <cellStyle name="Cálculo 2 2 2 4 7 2" xfId="23094"/>
    <cellStyle name="Cálculo 2 2 2 4 8" xfId="17154"/>
    <cellStyle name="Cálculo 2 2 2 5" xfId="240"/>
    <cellStyle name="Cálculo 2 2 2 5 2" xfId="241"/>
    <cellStyle name="Cálculo 2 2 2 5 2 2" xfId="242"/>
    <cellStyle name="Cálculo 2 2 2 5 2 2 2" xfId="6949"/>
    <cellStyle name="Cálculo 2 2 2 5 2 2 2 2" xfId="13553"/>
    <cellStyle name="Cálculo 2 2 2 5 2 2 2 2 2" xfId="27875"/>
    <cellStyle name="Cálculo 2 2 2 5 2 2 2 3" xfId="19198"/>
    <cellStyle name="Cálculo 2 2 2 5 2 2 3" xfId="7812"/>
    <cellStyle name="Cálculo 2 2 2 5 2 2 3 2" xfId="10426"/>
    <cellStyle name="Cálculo 2 2 2 5 2 2 3 2 2" xfId="16688"/>
    <cellStyle name="Cálculo 2 2 2 5 2 2 3 2 2 2" xfId="30104"/>
    <cellStyle name="Cálculo 2 2 2 5 2 2 3 2 3" xfId="21433"/>
    <cellStyle name="Cálculo 2 2 2 5 2 2 3 3" xfId="14416"/>
    <cellStyle name="Cálculo 2 2 2 5 2 2 3 3 2" xfId="28738"/>
    <cellStyle name="Cálculo 2 2 2 5 2 2 3 4" xfId="20061"/>
    <cellStyle name="Cálculo 2 2 2 5 2 2 4" xfId="11444"/>
    <cellStyle name="Cálculo 2 2 2 5 2 2 4 2" xfId="25766"/>
    <cellStyle name="Cálculo 2 2 2 5 2 2 5" xfId="17343"/>
    <cellStyle name="Cálculo 2 2 2 5 2 3" xfId="243"/>
    <cellStyle name="Cálculo 2 2 2 5 2 3 2" xfId="7587"/>
    <cellStyle name="Cálculo 2 2 2 5 2 3 2 2" xfId="10201"/>
    <cellStyle name="Cálculo 2 2 2 5 2 3 2 2 2" xfId="16463"/>
    <cellStyle name="Cálculo 2 2 2 5 2 3 2 2 2 2" xfId="29879"/>
    <cellStyle name="Cálculo 2 2 2 5 2 3 2 2 3" xfId="21208"/>
    <cellStyle name="Cálculo 2 2 2 5 2 3 2 3" xfId="14191"/>
    <cellStyle name="Cálculo 2 2 2 5 2 3 2 3 2" xfId="28513"/>
    <cellStyle name="Cálculo 2 2 2 5 2 3 2 4" xfId="19836"/>
    <cellStyle name="Cálculo 2 2 2 5 2 3 3" xfId="13409"/>
    <cellStyle name="Cálculo 2 2 2 5 2 3 3 2" xfId="27731"/>
    <cellStyle name="Cálculo 2 2 2 5 2 3 4" xfId="19054"/>
    <cellStyle name="Cálculo 2 2 2 5 2 4" xfId="5877"/>
    <cellStyle name="Cálculo 2 2 2 5 2 4 2" xfId="12430"/>
    <cellStyle name="Cálculo 2 2 2 5 2 4 2 2" xfId="26752"/>
    <cellStyle name="Cálculo 2 2 2 5 2 4 3" xfId="18075"/>
    <cellStyle name="Cálculo 2 2 2 5 2 5" xfId="4222"/>
    <cellStyle name="Cálculo 2 2 2 5 2 5 2" xfId="22834"/>
    <cellStyle name="Cálculo 2 2 2 5 2 6" xfId="4051"/>
    <cellStyle name="Cálculo 2 2 2 5 3" xfId="244"/>
    <cellStyle name="Cálculo 2 2 2 5 3 2" xfId="6007"/>
    <cellStyle name="Cálculo 2 2 2 5 3 2 2" xfId="12566"/>
    <cellStyle name="Cálculo 2 2 2 5 3 2 2 2" xfId="26888"/>
    <cellStyle name="Cálculo 2 2 2 5 3 2 3" xfId="18211"/>
    <cellStyle name="Cálculo 2 2 2 5 3 3" xfId="4818"/>
    <cellStyle name="Cálculo 2 2 2 5 3 3 2" xfId="9495"/>
    <cellStyle name="Cálculo 2 2 2 5 3 3 2 2" xfId="15757"/>
    <cellStyle name="Cálculo 2 2 2 5 3 3 2 2 2" xfId="29173"/>
    <cellStyle name="Cálculo 2 2 2 5 3 3 2 3" xfId="20502"/>
    <cellStyle name="Cálculo 2 2 2 5 3 3 3" xfId="11350"/>
    <cellStyle name="Cálculo 2 2 2 5 3 3 3 2" xfId="25672"/>
    <cellStyle name="Cálculo 2 2 2 5 3 3 4" xfId="14963"/>
    <cellStyle name="Cálculo 2 2 2 5 3 4" xfId="5176"/>
    <cellStyle name="Cálculo 2 2 2 5 3 4 2" xfId="23332"/>
    <cellStyle name="Cálculo 2 2 2 5 3 5" xfId="17359"/>
    <cellStyle name="Cálculo 2 2 2 5 4" xfId="245"/>
    <cellStyle name="Cálculo 2 2 2 5 4 2" xfId="5298"/>
    <cellStyle name="Cálculo 2 2 2 5 4 2 2" xfId="9607"/>
    <cellStyle name="Cálculo 2 2 2 5 4 2 2 2" xfId="15869"/>
    <cellStyle name="Cálculo 2 2 2 5 4 2 2 2 2" xfId="29285"/>
    <cellStyle name="Cálculo 2 2 2 5 4 2 2 3" xfId="20614"/>
    <cellStyle name="Cálculo 2 2 2 5 4 2 3" xfId="11848"/>
    <cellStyle name="Cálculo 2 2 2 5 4 2 3 2" xfId="26170"/>
    <cellStyle name="Cálculo 2 2 2 5 4 2 4" xfId="17493"/>
    <cellStyle name="Cálculo 2 2 2 5 4 3" xfId="12949"/>
    <cellStyle name="Cálculo 2 2 2 5 4 3 2" xfId="27271"/>
    <cellStyle name="Cálculo 2 2 2 5 4 4" xfId="18594"/>
    <cellStyle name="Cálculo 2 2 2 5 5" xfId="5614"/>
    <cellStyle name="Cálculo 2 2 2 5 5 2" xfId="12167"/>
    <cellStyle name="Cálculo 2 2 2 5 5 2 2" xfId="26489"/>
    <cellStyle name="Cálculo 2 2 2 5 5 3" xfId="17812"/>
    <cellStyle name="Cálculo 2 2 2 5 6" xfId="4301"/>
    <cellStyle name="Cálculo 2 2 2 5 6 2" xfId="22880"/>
    <cellStyle name="Cálculo 2 2 2 5 7" xfId="15157"/>
    <cellStyle name="Cálculo 2 2 2 6" xfId="246"/>
    <cellStyle name="Cálculo 2 2 2 6 2" xfId="247"/>
    <cellStyle name="Cálculo 2 2 2 6 2 2" xfId="6903"/>
    <cellStyle name="Cálculo 2 2 2 6 2 2 2" xfId="13507"/>
    <cellStyle name="Cálculo 2 2 2 6 2 2 2 2" xfId="27829"/>
    <cellStyle name="Cálculo 2 2 2 6 2 2 3" xfId="19152"/>
    <cellStyle name="Cálculo 2 2 2 6 2 3" xfId="7651"/>
    <cellStyle name="Cálculo 2 2 2 6 2 3 2" xfId="10265"/>
    <cellStyle name="Cálculo 2 2 2 6 2 3 2 2" xfId="16527"/>
    <cellStyle name="Cálculo 2 2 2 6 2 3 2 2 2" xfId="29943"/>
    <cellStyle name="Cálculo 2 2 2 6 2 3 2 3" xfId="21272"/>
    <cellStyle name="Cálculo 2 2 2 6 2 3 3" xfId="14255"/>
    <cellStyle name="Cálculo 2 2 2 6 2 3 3 2" xfId="28577"/>
    <cellStyle name="Cálculo 2 2 2 6 2 3 4" xfId="19900"/>
    <cellStyle name="Cálculo 2 2 2 6 2 4" xfId="11385"/>
    <cellStyle name="Cálculo 2 2 2 6 2 4 2" xfId="25707"/>
    <cellStyle name="Cálculo 2 2 2 6 2 5" xfId="6681"/>
    <cellStyle name="Cálculo 2 2 2 6 3" xfId="248"/>
    <cellStyle name="Cálculo 2 2 2 6 3 2" xfId="7296"/>
    <cellStyle name="Cálculo 2 2 2 6 3 2 2" xfId="9910"/>
    <cellStyle name="Cálculo 2 2 2 6 3 2 2 2" xfId="16172"/>
    <cellStyle name="Cálculo 2 2 2 6 3 2 2 2 2" xfId="29588"/>
    <cellStyle name="Cálculo 2 2 2 6 3 2 2 3" xfId="20917"/>
    <cellStyle name="Cálculo 2 2 2 6 3 2 3" xfId="13900"/>
    <cellStyle name="Cálculo 2 2 2 6 3 2 3 2" xfId="28222"/>
    <cellStyle name="Cálculo 2 2 2 6 3 2 4" xfId="19545"/>
    <cellStyle name="Cálculo 2 2 2 6 3 3" xfId="13415"/>
    <cellStyle name="Cálculo 2 2 2 6 3 3 2" xfId="27737"/>
    <cellStyle name="Cálculo 2 2 2 6 3 4" xfId="19060"/>
    <cellStyle name="Cálculo 2 2 2 6 4" xfId="5884"/>
    <cellStyle name="Cálculo 2 2 2 6 4 2" xfId="12437"/>
    <cellStyle name="Cálculo 2 2 2 6 4 2 2" xfId="26759"/>
    <cellStyle name="Cálculo 2 2 2 6 4 3" xfId="18082"/>
    <cellStyle name="Cálculo 2 2 2 6 5" xfId="6724"/>
    <cellStyle name="Cálculo 2 2 2 6 5 2" xfId="23678"/>
    <cellStyle name="Cálculo 2 2 2 6 6" xfId="14704"/>
    <cellStyle name="Cálculo 2 2 2 7" xfId="249"/>
    <cellStyle name="Cálculo 2 2 2 7 2" xfId="6432"/>
    <cellStyle name="Cálculo 2 2 2 7 2 2" xfId="13015"/>
    <cellStyle name="Cálculo 2 2 2 7 2 2 2" xfId="27337"/>
    <cellStyle name="Cálculo 2 2 2 7 2 3" xfId="18660"/>
    <cellStyle name="Cálculo 2 2 2 7 3" xfId="7478"/>
    <cellStyle name="Cálculo 2 2 2 7 3 2" xfId="10092"/>
    <cellStyle name="Cálculo 2 2 2 7 3 2 2" xfId="16354"/>
    <cellStyle name="Cálculo 2 2 2 7 3 2 2 2" xfId="29770"/>
    <cellStyle name="Cálculo 2 2 2 7 3 2 3" xfId="21099"/>
    <cellStyle name="Cálculo 2 2 2 7 3 3" xfId="14082"/>
    <cellStyle name="Cálculo 2 2 2 7 3 3 2" xfId="28404"/>
    <cellStyle name="Cálculo 2 2 2 7 3 4" xfId="19727"/>
    <cellStyle name="Cálculo 2 2 2 7 4" xfId="4704"/>
    <cellStyle name="Cálculo 2 2 2 7 4 2" xfId="23137"/>
    <cellStyle name="Cálculo 2 2 2 7 5" xfId="17213"/>
    <cellStyle name="Cálculo 2 2 2 8" xfId="250"/>
    <cellStyle name="Cálculo 2 2 2 8 2" xfId="4390"/>
    <cellStyle name="Cálculo 2 2 2 8 2 2" xfId="9458"/>
    <cellStyle name="Cálculo 2 2 2 8 2 2 2" xfId="15720"/>
    <cellStyle name="Cálculo 2 2 2 8 2 2 2 2" xfId="29136"/>
    <cellStyle name="Cálculo 2 2 2 8 2 2 3" xfId="20465"/>
    <cellStyle name="Cálculo 2 2 2 8 2 3" xfId="4097"/>
    <cellStyle name="Cálculo 2 2 2 8 2 3 2" xfId="22756"/>
    <cellStyle name="Cálculo 2 2 2 8 2 4" xfId="17307"/>
    <cellStyle name="Cálculo 2 2 2 8 3" xfId="12764"/>
    <cellStyle name="Cálculo 2 2 2 8 3 2" xfId="27086"/>
    <cellStyle name="Cálculo 2 2 2 8 4" xfId="18409"/>
    <cellStyle name="Cálculo 2 2 2 9" xfId="5475"/>
    <cellStyle name="Cálculo 2 2 2 9 2" xfId="12026"/>
    <cellStyle name="Cálculo 2 2 2 9 2 2" xfId="26348"/>
    <cellStyle name="Cálculo 2 2 2 9 3" xfId="17671"/>
    <cellStyle name="Cálculo 2 2 3" xfId="251"/>
    <cellStyle name="Cálculo 2 2 3 2" xfId="252"/>
    <cellStyle name="Cálculo 2 2 3 2 2" xfId="253"/>
    <cellStyle name="Cálculo 2 2 3 2 2 2" xfId="6832"/>
    <cellStyle name="Cálculo 2 2 3 2 2 2 2" xfId="13436"/>
    <cellStyle name="Cálculo 2 2 3 2 2 2 2 2" xfId="27758"/>
    <cellStyle name="Cálculo 2 2 3 2 2 2 3" xfId="19081"/>
    <cellStyle name="Cálculo 2 2 3 2 2 3" xfId="3655"/>
    <cellStyle name="Cálculo 2 2 3 2 2 3 2" xfId="9353"/>
    <cellStyle name="Cálculo 2 2 3 2 2 3 2 2" xfId="15615"/>
    <cellStyle name="Cálculo 2 2 3 2 2 3 2 2 2" xfId="29031"/>
    <cellStyle name="Cálculo 2 2 3 2 2 3 2 3" xfId="20360"/>
    <cellStyle name="Cálculo 2 2 3 2 2 3 3" xfId="5133"/>
    <cellStyle name="Cálculo 2 2 3 2 2 3 3 2" xfId="23328"/>
    <cellStyle name="Cálculo 2 2 3 2 2 3 4" xfId="14994"/>
    <cellStyle name="Cálculo 2 2 3 2 2 4" xfId="2817"/>
    <cellStyle name="Cálculo 2 2 3 2 2 4 2" xfId="22380"/>
    <cellStyle name="Cálculo 2 2 3 2 2 5" xfId="15194"/>
    <cellStyle name="Cálculo 2 2 3 2 3" xfId="254"/>
    <cellStyle name="Cálculo 2 2 3 2 3 2" xfId="7933"/>
    <cellStyle name="Cálculo 2 2 3 2 3 2 2" xfId="10547"/>
    <cellStyle name="Cálculo 2 2 3 2 3 2 2 2" xfId="16809"/>
    <cellStyle name="Cálculo 2 2 3 2 3 2 2 2 2" xfId="30225"/>
    <cellStyle name="Cálculo 2 2 3 2 3 2 2 3" xfId="21554"/>
    <cellStyle name="Cálculo 2 2 3 2 3 2 3" xfId="14537"/>
    <cellStyle name="Cálculo 2 2 3 2 3 2 3 2" xfId="28859"/>
    <cellStyle name="Cálculo 2 2 3 2 3 2 4" xfId="20182"/>
    <cellStyle name="Cálculo 2 2 3 2 3 3" xfId="13310"/>
    <cellStyle name="Cálculo 2 2 3 2 3 3 2" xfId="27632"/>
    <cellStyle name="Cálculo 2 2 3 2 3 4" xfId="18955"/>
    <cellStyle name="Cálculo 2 2 3 2 4" xfId="5760"/>
    <cellStyle name="Cálculo 2 2 3 2 4 2" xfId="12313"/>
    <cellStyle name="Cálculo 2 2 3 2 4 2 2" xfId="26635"/>
    <cellStyle name="Cálculo 2 2 3 2 4 3" xfId="17958"/>
    <cellStyle name="Cálculo 2 2 3 2 5" xfId="4057"/>
    <cellStyle name="Cálculo 2 2 3 2 5 2" xfId="22732"/>
    <cellStyle name="Cálculo 2 2 3 2 6" xfId="6606"/>
    <cellStyle name="Cálculo 2 2 3 3" xfId="255"/>
    <cellStyle name="Cálculo 2 2 3 3 2" xfId="256"/>
    <cellStyle name="Cálculo 2 2 3 3 2 2" xfId="3890"/>
    <cellStyle name="Cálculo 2 2 3 3 2 2 2" xfId="6329"/>
    <cellStyle name="Cálculo 2 2 3 3 2 2 2 2" xfId="23518"/>
    <cellStyle name="Cálculo 2 2 3 3 2 2 3" xfId="14820"/>
    <cellStyle name="Cálculo 2 2 3 3 2 3" xfId="7885"/>
    <cellStyle name="Cálculo 2 2 3 3 2 3 2" xfId="10499"/>
    <cellStyle name="Cálculo 2 2 3 3 2 3 2 2" xfId="16761"/>
    <cellStyle name="Cálculo 2 2 3 3 2 3 2 2 2" xfId="30177"/>
    <cellStyle name="Cálculo 2 2 3 3 2 3 2 3" xfId="21506"/>
    <cellStyle name="Cálculo 2 2 3 3 2 3 3" xfId="14489"/>
    <cellStyle name="Cálculo 2 2 3 3 2 3 3 2" xfId="28811"/>
    <cellStyle name="Cálculo 2 2 3 3 2 3 4" xfId="20134"/>
    <cellStyle name="Cálculo 2 2 3 3 2 4" xfId="4627"/>
    <cellStyle name="Cálculo 2 2 3 3 2 4 2" xfId="23073"/>
    <cellStyle name="Cálculo 2 2 3 3 2 5" xfId="4841"/>
    <cellStyle name="Cálculo 2 2 3 3 3" xfId="257"/>
    <cellStyle name="Cálculo 2 2 3 3 3 2" xfId="5265"/>
    <cellStyle name="Cálculo 2 2 3 3 3 2 2" xfId="9574"/>
    <cellStyle name="Cálculo 2 2 3 3 3 2 2 2" xfId="15836"/>
    <cellStyle name="Cálculo 2 2 3 3 3 2 2 2 2" xfId="29252"/>
    <cellStyle name="Cálculo 2 2 3 3 3 2 2 3" xfId="20581"/>
    <cellStyle name="Cálculo 2 2 3 3 3 2 3" xfId="11815"/>
    <cellStyle name="Cálculo 2 2 3 3 3 2 3 2" xfId="26137"/>
    <cellStyle name="Cálculo 2 2 3 3 3 2 4" xfId="17460"/>
    <cellStyle name="Cálculo 2 2 3 3 3 3" xfId="13069"/>
    <cellStyle name="Cálculo 2 2 3 3 3 3 2" xfId="27391"/>
    <cellStyle name="Cálculo 2 2 3 3 3 4" xfId="18714"/>
    <cellStyle name="Cálculo 2 2 3 3 4" xfId="5408"/>
    <cellStyle name="Cálculo 2 2 3 3 4 2" xfId="11958"/>
    <cellStyle name="Cálculo 2 2 3 3 4 2 2" xfId="26280"/>
    <cellStyle name="Cálculo 2 2 3 3 4 3" xfId="17603"/>
    <cellStyle name="Cálculo 2 2 3 3 5" xfId="4514"/>
    <cellStyle name="Cálculo 2 2 3 3 5 2" xfId="23001"/>
    <cellStyle name="Cálculo 2 2 3 3 6" xfId="4094"/>
    <cellStyle name="Cálculo 2 2 3 4" xfId="258"/>
    <cellStyle name="Cálculo 2 2 3 4 2" xfId="6905"/>
    <cellStyle name="Cálculo 2 2 3 4 2 2" xfId="13509"/>
    <cellStyle name="Cálculo 2 2 3 4 2 2 2" xfId="27831"/>
    <cellStyle name="Cálculo 2 2 3 4 2 3" xfId="19154"/>
    <cellStyle name="Cálculo 2 2 3 4 3" xfId="7709"/>
    <cellStyle name="Cálculo 2 2 3 4 3 2" xfId="10323"/>
    <cellStyle name="Cálculo 2 2 3 4 3 2 2" xfId="16585"/>
    <cellStyle name="Cálculo 2 2 3 4 3 2 2 2" xfId="30001"/>
    <cellStyle name="Cálculo 2 2 3 4 3 2 3" xfId="21330"/>
    <cellStyle name="Cálculo 2 2 3 4 3 3" xfId="14313"/>
    <cellStyle name="Cálculo 2 2 3 4 3 3 2" xfId="28635"/>
    <cellStyle name="Cálculo 2 2 3 4 3 4" xfId="19958"/>
    <cellStyle name="Cálculo 2 2 3 4 4" xfId="11389"/>
    <cellStyle name="Cálculo 2 2 3 4 4 2" xfId="25711"/>
    <cellStyle name="Cálculo 2 2 3 4 5" xfId="15403"/>
    <cellStyle name="Cálculo 2 2 3 5" xfId="259"/>
    <cellStyle name="Cálculo 2 2 3 5 2" xfId="7398"/>
    <cellStyle name="Cálculo 2 2 3 5 2 2" xfId="10012"/>
    <cellStyle name="Cálculo 2 2 3 5 2 2 2" xfId="16274"/>
    <cellStyle name="Cálculo 2 2 3 5 2 2 2 2" xfId="29690"/>
    <cellStyle name="Cálculo 2 2 3 5 2 2 3" xfId="21019"/>
    <cellStyle name="Cálculo 2 2 3 5 2 3" xfId="14002"/>
    <cellStyle name="Cálculo 2 2 3 5 2 3 2" xfId="28324"/>
    <cellStyle name="Cálculo 2 2 3 5 2 4" xfId="19647"/>
    <cellStyle name="Cálculo 2 2 3 5 3" xfId="12886"/>
    <cellStyle name="Cálculo 2 2 3 5 3 2" xfId="27208"/>
    <cellStyle name="Cálculo 2 2 3 5 4" xfId="18531"/>
    <cellStyle name="Cálculo 2 2 3 6" xfId="5504"/>
    <cellStyle name="Cálculo 2 2 3 6 2" xfId="12055"/>
    <cellStyle name="Cálculo 2 2 3 6 2 2" xfId="26377"/>
    <cellStyle name="Cálculo 2 2 3 6 3" xfId="17700"/>
    <cellStyle name="Cálculo 2 2 3 7" xfId="5376"/>
    <cellStyle name="Cálculo 2 2 3 7 2" xfId="23342"/>
    <cellStyle name="Cálculo 2 2 3 8" xfId="15473"/>
    <cellStyle name="Cálculo 2 2 4" xfId="260"/>
    <cellStyle name="Cálculo 2 2 4 2" xfId="261"/>
    <cellStyle name="Cálculo 2 2 4 2 2" xfId="262"/>
    <cellStyle name="Cálculo 2 2 4 2 2 2" xfId="5063"/>
    <cellStyle name="Cálculo 2 2 4 2 2 2 2" xfId="11610"/>
    <cellStyle name="Cálculo 2 2 4 2 2 2 2 2" xfId="25932"/>
    <cellStyle name="Cálculo 2 2 4 2 2 2 3" xfId="4709"/>
    <cellStyle name="Cálculo 2 2 4 2 2 3" xfId="8017"/>
    <cellStyle name="Cálculo 2 2 4 2 2 3 2" xfId="10631"/>
    <cellStyle name="Cálculo 2 2 4 2 2 3 2 2" xfId="16893"/>
    <cellStyle name="Cálculo 2 2 4 2 2 3 2 2 2" xfId="30309"/>
    <cellStyle name="Cálculo 2 2 4 2 2 3 2 3" xfId="21638"/>
    <cellStyle name="Cálculo 2 2 4 2 2 3 3" xfId="14621"/>
    <cellStyle name="Cálculo 2 2 4 2 2 3 3 2" xfId="28943"/>
    <cellStyle name="Cálculo 2 2 4 2 2 3 4" xfId="20266"/>
    <cellStyle name="Cálculo 2 2 4 2 2 4" xfId="5113"/>
    <cellStyle name="Cálculo 2 2 4 2 2 4 2" xfId="23326"/>
    <cellStyle name="Cálculo 2 2 4 2 2 5" xfId="4794"/>
    <cellStyle name="Cálculo 2 2 4 2 3" xfId="263"/>
    <cellStyle name="Cálculo 2 2 4 2 3 2" xfId="7716"/>
    <cellStyle name="Cálculo 2 2 4 2 3 2 2" xfId="10330"/>
    <cellStyle name="Cálculo 2 2 4 2 3 2 2 2" xfId="16592"/>
    <cellStyle name="Cálculo 2 2 4 2 3 2 2 2 2" xfId="30008"/>
    <cellStyle name="Cálculo 2 2 4 2 3 2 2 3" xfId="21337"/>
    <cellStyle name="Cálculo 2 2 4 2 3 2 3" xfId="14320"/>
    <cellStyle name="Cálculo 2 2 4 2 3 2 3 2" xfId="28642"/>
    <cellStyle name="Cálculo 2 2 4 2 3 2 4" xfId="19965"/>
    <cellStyle name="Cálculo 2 2 4 2 3 3" xfId="13346"/>
    <cellStyle name="Cálculo 2 2 4 2 3 3 2" xfId="27668"/>
    <cellStyle name="Cálculo 2 2 4 2 3 4" xfId="18991"/>
    <cellStyle name="Cálculo 2 2 4 2 4" xfId="5796"/>
    <cellStyle name="Cálculo 2 2 4 2 4 2" xfId="12349"/>
    <cellStyle name="Cálculo 2 2 4 2 4 2 2" xfId="26671"/>
    <cellStyle name="Cálculo 2 2 4 2 4 3" xfId="17994"/>
    <cellStyle name="Cálculo 2 2 4 2 5" xfId="3847"/>
    <cellStyle name="Cálculo 2 2 4 2 5 2" xfId="22611"/>
    <cellStyle name="Cálculo 2 2 4 2 6" xfId="17073"/>
    <cellStyle name="Cálculo 2 2 4 3" xfId="264"/>
    <cellStyle name="Cálculo 2 2 4 3 2" xfId="265"/>
    <cellStyle name="Cálculo 2 2 4 3 2 2" xfId="6174"/>
    <cellStyle name="Cálculo 2 2 4 3 2 2 2" xfId="12747"/>
    <cellStyle name="Cálculo 2 2 4 3 2 2 2 2" xfId="27069"/>
    <cellStyle name="Cálculo 2 2 4 3 2 2 3" xfId="18392"/>
    <cellStyle name="Cálculo 2 2 4 3 2 3" xfId="7938"/>
    <cellStyle name="Cálculo 2 2 4 3 2 3 2" xfId="10552"/>
    <cellStyle name="Cálculo 2 2 4 3 2 3 2 2" xfId="16814"/>
    <cellStyle name="Cálculo 2 2 4 3 2 3 2 2 2" xfId="30230"/>
    <cellStyle name="Cálculo 2 2 4 3 2 3 2 3" xfId="21559"/>
    <cellStyle name="Cálculo 2 2 4 3 2 3 3" xfId="14542"/>
    <cellStyle name="Cálculo 2 2 4 3 2 3 3 2" xfId="28864"/>
    <cellStyle name="Cálculo 2 2 4 3 2 3 4" xfId="20187"/>
    <cellStyle name="Cálculo 2 2 4 3 2 4" xfId="6344"/>
    <cellStyle name="Cálculo 2 2 4 3 2 4 2" xfId="23530"/>
    <cellStyle name="Cálculo 2 2 4 3 2 5" xfId="15401"/>
    <cellStyle name="Cálculo 2 2 4 3 3" xfId="266"/>
    <cellStyle name="Cálculo 2 2 4 3 3 2" xfId="7963"/>
    <cellStyle name="Cálculo 2 2 4 3 3 2 2" xfId="10577"/>
    <cellStyle name="Cálculo 2 2 4 3 3 2 2 2" xfId="16839"/>
    <cellStyle name="Cálculo 2 2 4 3 3 2 2 2 2" xfId="30255"/>
    <cellStyle name="Cálculo 2 2 4 3 3 2 2 3" xfId="21584"/>
    <cellStyle name="Cálculo 2 2 4 3 3 2 3" xfId="14567"/>
    <cellStyle name="Cálculo 2 2 4 3 3 2 3 2" xfId="28889"/>
    <cellStyle name="Cálculo 2 2 4 3 3 2 4" xfId="20212"/>
    <cellStyle name="Cálculo 2 2 4 3 3 3" xfId="13387"/>
    <cellStyle name="Cálculo 2 2 4 3 3 3 2" xfId="27709"/>
    <cellStyle name="Cálculo 2 2 4 3 3 4" xfId="19032"/>
    <cellStyle name="Cálculo 2 2 4 3 4" xfId="5848"/>
    <cellStyle name="Cálculo 2 2 4 3 4 2" xfId="12401"/>
    <cellStyle name="Cálculo 2 2 4 3 4 2 2" xfId="26723"/>
    <cellStyle name="Cálculo 2 2 4 3 4 3" xfId="18046"/>
    <cellStyle name="Cálculo 2 2 4 3 5" xfId="4969"/>
    <cellStyle name="Cálculo 2 2 4 3 5 2" xfId="23286"/>
    <cellStyle name="Cálculo 2 2 4 3 6" xfId="6762"/>
    <cellStyle name="Cálculo 2 2 4 4" xfId="267"/>
    <cellStyle name="Cálculo 2 2 4 4 2" xfId="6831"/>
    <cellStyle name="Cálculo 2 2 4 4 2 2" xfId="13435"/>
    <cellStyle name="Cálculo 2 2 4 4 2 2 2" xfId="27757"/>
    <cellStyle name="Cálculo 2 2 4 4 2 3" xfId="19080"/>
    <cellStyle name="Cálculo 2 2 4 4 3" xfId="5306"/>
    <cellStyle name="Cálculo 2 2 4 4 3 2" xfId="9615"/>
    <cellStyle name="Cálculo 2 2 4 4 3 2 2" xfId="15877"/>
    <cellStyle name="Cálculo 2 2 4 4 3 2 2 2" xfId="29293"/>
    <cellStyle name="Cálculo 2 2 4 4 3 2 3" xfId="20622"/>
    <cellStyle name="Cálculo 2 2 4 4 3 3" xfId="11856"/>
    <cellStyle name="Cálculo 2 2 4 4 3 3 2" xfId="26178"/>
    <cellStyle name="Cálculo 2 2 4 4 3 4" xfId="17501"/>
    <cellStyle name="Cálculo 2 2 4 4 4" xfId="2819"/>
    <cellStyle name="Cálculo 2 2 4 4 4 2" xfId="22382"/>
    <cellStyle name="Cálculo 2 2 4 4 5" xfId="3608"/>
    <cellStyle name="Cálculo 2 2 4 5" xfId="268"/>
    <cellStyle name="Cálculo 2 2 4 5 2" xfId="7655"/>
    <cellStyle name="Cálculo 2 2 4 5 2 2" xfId="10269"/>
    <cellStyle name="Cálculo 2 2 4 5 2 2 2" xfId="16531"/>
    <cellStyle name="Cálculo 2 2 4 5 2 2 2 2" xfId="29947"/>
    <cellStyle name="Cálculo 2 2 4 5 2 2 3" xfId="21276"/>
    <cellStyle name="Cálculo 2 2 4 5 2 3" xfId="14259"/>
    <cellStyle name="Cálculo 2 2 4 5 2 3 2" xfId="28581"/>
    <cellStyle name="Cálculo 2 2 4 5 2 4" xfId="19904"/>
    <cellStyle name="Cálculo 2 2 4 5 3" xfId="12922"/>
    <cellStyle name="Cálculo 2 2 4 5 3 2" xfId="27244"/>
    <cellStyle name="Cálculo 2 2 4 5 4" xfId="18567"/>
    <cellStyle name="Cálculo 2 2 4 6" xfId="5546"/>
    <cellStyle name="Cálculo 2 2 4 6 2" xfId="12097"/>
    <cellStyle name="Cálculo 2 2 4 6 2 2" xfId="26419"/>
    <cellStyle name="Cálculo 2 2 4 6 3" xfId="17742"/>
    <cellStyle name="Cálculo 2 2 4 7" xfId="3821"/>
    <cellStyle name="Cálculo 2 2 4 7 2" xfId="22599"/>
    <cellStyle name="Cálculo 2 2 4 8" xfId="15047"/>
    <cellStyle name="Cálculo 2 2 5" xfId="269"/>
    <cellStyle name="Cálculo 2 2 5 2" xfId="270"/>
    <cellStyle name="Cálculo 2 2 5 2 2" xfId="271"/>
    <cellStyle name="Cálculo 2 2 5 2 2 2" xfId="6554"/>
    <cellStyle name="Cálculo 2 2 5 2 2 2 2" xfId="13142"/>
    <cellStyle name="Cálculo 2 2 5 2 2 2 2 2" xfId="27464"/>
    <cellStyle name="Cálculo 2 2 5 2 2 2 3" xfId="18787"/>
    <cellStyle name="Cálculo 2 2 5 2 2 3" xfId="3867"/>
    <cellStyle name="Cálculo 2 2 5 2 2 3 2" xfId="9386"/>
    <cellStyle name="Cálculo 2 2 5 2 2 3 2 2" xfId="15648"/>
    <cellStyle name="Cálculo 2 2 5 2 2 3 2 2 2" xfId="29064"/>
    <cellStyle name="Cálculo 2 2 5 2 2 3 2 3" xfId="20393"/>
    <cellStyle name="Cálculo 2 2 5 2 2 3 3" xfId="4266"/>
    <cellStyle name="Cálculo 2 2 5 2 2 3 3 2" xfId="22859"/>
    <cellStyle name="Cálculo 2 2 5 2 2 3 4" xfId="15108"/>
    <cellStyle name="Cálculo 2 2 5 2 2 4" xfId="5239"/>
    <cellStyle name="Cálculo 2 2 5 2 2 4 2" xfId="23339"/>
    <cellStyle name="Cálculo 2 2 5 2 2 5" xfId="17265"/>
    <cellStyle name="Cálculo 2 2 5 2 3" xfId="272"/>
    <cellStyle name="Cálculo 2 2 5 2 3 2" xfId="8015"/>
    <cellStyle name="Cálculo 2 2 5 2 3 2 2" xfId="10629"/>
    <cellStyle name="Cálculo 2 2 5 2 3 2 2 2" xfId="16891"/>
    <cellStyle name="Cálculo 2 2 5 2 3 2 2 2 2" xfId="30307"/>
    <cellStyle name="Cálculo 2 2 5 2 3 2 2 3" xfId="21636"/>
    <cellStyle name="Cálculo 2 2 5 2 3 2 3" xfId="14619"/>
    <cellStyle name="Cálculo 2 2 5 2 3 2 3 2" xfId="28941"/>
    <cellStyle name="Cálculo 2 2 5 2 3 2 4" xfId="20264"/>
    <cellStyle name="Cálculo 2 2 5 2 3 3" xfId="13203"/>
    <cellStyle name="Cálculo 2 2 5 2 3 3 2" xfId="27525"/>
    <cellStyle name="Cálculo 2 2 5 2 3 4" xfId="18848"/>
    <cellStyle name="Cálculo 2 2 5 2 4" xfId="5642"/>
    <cellStyle name="Cálculo 2 2 5 2 4 2" xfId="12195"/>
    <cellStyle name="Cálculo 2 2 5 2 4 2 2" xfId="26517"/>
    <cellStyle name="Cálculo 2 2 5 2 4 3" xfId="17840"/>
    <cellStyle name="Cálculo 2 2 5 2 5" xfId="4537"/>
    <cellStyle name="Cálculo 2 2 5 2 5 2" xfId="23017"/>
    <cellStyle name="Cálculo 2 2 5 2 6" xfId="4761"/>
    <cellStyle name="Cálculo 2 2 5 3" xfId="273"/>
    <cellStyle name="Cálculo 2 2 5 3 2" xfId="274"/>
    <cellStyle name="Cálculo 2 2 5 3 2 2" xfId="6894"/>
    <cellStyle name="Cálculo 2 2 5 3 2 2 2" xfId="13498"/>
    <cellStyle name="Cálculo 2 2 5 3 2 2 2 2" xfId="27820"/>
    <cellStyle name="Cálculo 2 2 5 3 2 2 3" xfId="19143"/>
    <cellStyle name="Cálculo 2 2 5 3 2 3" xfId="7941"/>
    <cellStyle name="Cálculo 2 2 5 3 2 3 2" xfId="10555"/>
    <cellStyle name="Cálculo 2 2 5 3 2 3 2 2" xfId="16817"/>
    <cellStyle name="Cálculo 2 2 5 3 2 3 2 2 2" xfId="30233"/>
    <cellStyle name="Cálculo 2 2 5 3 2 3 2 3" xfId="21562"/>
    <cellStyle name="Cálculo 2 2 5 3 2 3 3" xfId="14545"/>
    <cellStyle name="Cálculo 2 2 5 3 2 3 3 2" xfId="28867"/>
    <cellStyle name="Cálculo 2 2 5 3 2 3 4" xfId="20190"/>
    <cellStyle name="Cálculo 2 2 5 3 2 4" xfId="11373"/>
    <cellStyle name="Cálculo 2 2 5 3 2 4 2" xfId="25695"/>
    <cellStyle name="Cálculo 2 2 5 3 2 5" xfId="14998"/>
    <cellStyle name="Cálculo 2 2 5 3 3" xfId="275"/>
    <cellStyle name="Cálculo 2 2 5 3 3 2" xfId="7141"/>
    <cellStyle name="Cálculo 2 2 5 3 3 2 2" xfId="9755"/>
    <cellStyle name="Cálculo 2 2 5 3 3 2 2 2" xfId="16017"/>
    <cellStyle name="Cálculo 2 2 5 3 3 2 2 2 2" xfId="29433"/>
    <cellStyle name="Cálculo 2 2 5 3 3 2 2 3" xfId="20762"/>
    <cellStyle name="Cálculo 2 2 5 3 3 2 3" xfId="13745"/>
    <cellStyle name="Cálculo 2 2 5 3 3 2 3 2" xfId="28067"/>
    <cellStyle name="Cálculo 2 2 5 3 3 2 4" xfId="19390"/>
    <cellStyle name="Cálculo 2 2 5 3 3 3" xfId="13246"/>
    <cellStyle name="Cálculo 2 2 5 3 3 3 2" xfId="27568"/>
    <cellStyle name="Cálculo 2 2 5 3 3 4" xfId="18891"/>
    <cellStyle name="Cálculo 2 2 5 3 4" xfId="5688"/>
    <cellStyle name="Cálculo 2 2 5 3 4 2" xfId="12241"/>
    <cellStyle name="Cálculo 2 2 5 3 4 2 2" xfId="26563"/>
    <cellStyle name="Cálculo 2 2 5 3 4 3" xfId="17886"/>
    <cellStyle name="Cálculo 2 2 5 3 5" xfId="3724"/>
    <cellStyle name="Cálculo 2 2 5 3 5 2" xfId="22547"/>
    <cellStyle name="Cálculo 2 2 5 3 6" xfId="14739"/>
    <cellStyle name="Cálculo 2 2 5 4" xfId="276"/>
    <cellStyle name="Cálculo 2 2 5 4 2" xfId="6935"/>
    <cellStyle name="Cálculo 2 2 5 4 2 2" xfId="13539"/>
    <cellStyle name="Cálculo 2 2 5 4 2 2 2" xfId="27861"/>
    <cellStyle name="Cálculo 2 2 5 4 2 3" xfId="19184"/>
    <cellStyle name="Cálculo 2 2 5 4 3" xfId="4348"/>
    <cellStyle name="Cálculo 2 2 5 4 3 2" xfId="9453"/>
    <cellStyle name="Cálculo 2 2 5 4 3 2 2" xfId="15715"/>
    <cellStyle name="Cálculo 2 2 5 4 3 2 2 2" xfId="29131"/>
    <cellStyle name="Cálculo 2 2 5 4 3 2 3" xfId="20460"/>
    <cellStyle name="Cálculo 2 2 5 4 3 3" xfId="3760"/>
    <cellStyle name="Cálculo 2 2 5 4 3 3 2" xfId="22566"/>
    <cellStyle name="Cálculo 2 2 5 4 3 4" xfId="14819"/>
    <cellStyle name="Cálculo 2 2 5 4 4" xfId="11428"/>
    <cellStyle name="Cálculo 2 2 5 4 4 2" xfId="25750"/>
    <cellStyle name="Cálculo 2 2 5 4 5" xfId="3628"/>
    <cellStyle name="Cálculo 2 2 5 5" xfId="277"/>
    <cellStyle name="Cálculo 2 2 5 5 2" xfId="5313"/>
    <cellStyle name="Cálculo 2 2 5 5 2 2" xfId="9622"/>
    <cellStyle name="Cálculo 2 2 5 5 2 2 2" xfId="15884"/>
    <cellStyle name="Cálculo 2 2 5 5 2 2 2 2" xfId="29300"/>
    <cellStyle name="Cálculo 2 2 5 5 2 2 3" xfId="20629"/>
    <cellStyle name="Cálculo 2 2 5 5 2 3" xfId="11863"/>
    <cellStyle name="Cálculo 2 2 5 5 2 3 2" xfId="26185"/>
    <cellStyle name="Cálculo 2 2 5 5 2 4" xfId="17508"/>
    <cellStyle name="Cálculo 2 2 5 5 3" xfId="12497"/>
    <cellStyle name="Cálculo 2 2 5 5 3 2" xfId="26819"/>
    <cellStyle name="Cálculo 2 2 5 5 4" xfId="18142"/>
    <cellStyle name="Cálculo 2 2 5 6" xfId="5170"/>
    <cellStyle name="Cálculo 2 2 5 6 2" xfId="11719"/>
    <cellStyle name="Cálculo 2 2 5 6 2 2" xfId="26041"/>
    <cellStyle name="Cálculo 2 2 5 6 3" xfId="4722"/>
    <cellStyle name="Cálculo 2 2 5 7" xfId="6727"/>
    <cellStyle name="Cálculo 2 2 5 7 2" xfId="23681"/>
    <cellStyle name="Cálculo 2 2 5 8" xfId="17093"/>
    <cellStyle name="Cálculo 2 2 6" xfId="278"/>
    <cellStyle name="Cálculo 2 2 6 2" xfId="279"/>
    <cellStyle name="Cálculo 2 2 6 2 2" xfId="280"/>
    <cellStyle name="Cálculo 2 2 6 2 2 2" xfId="7007"/>
    <cellStyle name="Cálculo 2 2 6 2 2 2 2" xfId="13611"/>
    <cellStyle name="Cálculo 2 2 6 2 2 2 2 2" xfId="27933"/>
    <cellStyle name="Cálculo 2 2 6 2 2 2 3" xfId="19256"/>
    <cellStyle name="Cálculo 2 2 6 2 2 3" xfId="7563"/>
    <cellStyle name="Cálculo 2 2 6 2 2 3 2" xfId="10177"/>
    <cellStyle name="Cálculo 2 2 6 2 2 3 2 2" xfId="16439"/>
    <cellStyle name="Cálculo 2 2 6 2 2 3 2 2 2" xfId="29855"/>
    <cellStyle name="Cálculo 2 2 6 2 2 3 2 3" xfId="21184"/>
    <cellStyle name="Cálculo 2 2 6 2 2 3 3" xfId="14167"/>
    <cellStyle name="Cálculo 2 2 6 2 2 3 3 2" xfId="28489"/>
    <cellStyle name="Cálculo 2 2 6 2 2 3 4" xfId="19812"/>
    <cellStyle name="Cálculo 2 2 6 2 2 4" xfId="11527"/>
    <cellStyle name="Cálculo 2 2 6 2 2 4 2" xfId="25849"/>
    <cellStyle name="Cálculo 2 2 6 2 2 5" xfId="4897"/>
    <cellStyle name="Cálculo 2 2 6 2 3" xfId="281"/>
    <cellStyle name="Cálculo 2 2 6 2 3 2" xfId="7352"/>
    <cellStyle name="Cálculo 2 2 6 2 3 2 2" xfId="9966"/>
    <cellStyle name="Cálculo 2 2 6 2 3 2 2 2" xfId="16228"/>
    <cellStyle name="Cálculo 2 2 6 2 3 2 2 2 2" xfId="29644"/>
    <cellStyle name="Cálculo 2 2 6 2 3 2 2 3" xfId="20973"/>
    <cellStyle name="Cálculo 2 2 6 2 3 2 3" xfId="13956"/>
    <cellStyle name="Cálculo 2 2 6 2 3 2 3 2" xfId="28278"/>
    <cellStyle name="Cálculo 2 2 6 2 3 2 4" xfId="19601"/>
    <cellStyle name="Cálculo 2 2 6 2 3 3" xfId="13363"/>
    <cellStyle name="Cálculo 2 2 6 2 3 3 2" xfId="27685"/>
    <cellStyle name="Cálculo 2 2 6 2 3 4" xfId="19008"/>
    <cellStyle name="Cálculo 2 2 6 2 4" xfId="5814"/>
    <cellStyle name="Cálculo 2 2 6 2 4 2" xfId="12367"/>
    <cellStyle name="Cálculo 2 2 6 2 4 2 2" xfId="26689"/>
    <cellStyle name="Cálculo 2 2 6 2 4 3" xfId="18012"/>
    <cellStyle name="Cálculo 2 2 6 2 5" xfId="6325"/>
    <cellStyle name="Cálculo 2 2 6 2 5 2" xfId="23516"/>
    <cellStyle name="Cálculo 2 2 6 2 6" xfId="15558"/>
    <cellStyle name="Cálculo 2 2 6 3" xfId="282"/>
    <cellStyle name="Cálculo 2 2 6 3 2" xfId="6398"/>
    <cellStyle name="Cálculo 2 2 6 3 2 2" xfId="12981"/>
    <cellStyle name="Cálculo 2 2 6 3 2 2 2" xfId="27303"/>
    <cellStyle name="Cálculo 2 2 6 3 2 3" xfId="18626"/>
    <cellStyle name="Cálculo 2 2 6 3 3" xfId="7054"/>
    <cellStyle name="Cálculo 2 2 6 3 3 2" xfId="9668"/>
    <cellStyle name="Cálculo 2 2 6 3 3 2 2" xfId="15930"/>
    <cellStyle name="Cálculo 2 2 6 3 3 2 2 2" xfId="29346"/>
    <cellStyle name="Cálculo 2 2 6 3 3 2 3" xfId="20675"/>
    <cellStyle name="Cálculo 2 2 6 3 3 3" xfId="13658"/>
    <cellStyle name="Cálculo 2 2 6 3 3 3 2" xfId="27980"/>
    <cellStyle name="Cálculo 2 2 6 3 3 4" xfId="19303"/>
    <cellStyle name="Cálculo 2 2 6 3 4" xfId="2846"/>
    <cellStyle name="Cálculo 2 2 6 3 4 2" xfId="22404"/>
    <cellStyle name="Cálculo 2 2 6 3 5" xfId="15416"/>
    <cellStyle name="Cálculo 2 2 6 4" xfId="283"/>
    <cellStyle name="Cálculo 2 2 6 4 2" xfId="4252"/>
    <cellStyle name="Cálculo 2 2 6 4 2 2" xfId="9434"/>
    <cellStyle name="Cálculo 2 2 6 4 2 2 2" xfId="15696"/>
    <cellStyle name="Cálculo 2 2 6 4 2 2 2 2" xfId="29112"/>
    <cellStyle name="Cálculo 2 2 6 4 2 2 3" xfId="20441"/>
    <cellStyle name="Cálculo 2 2 6 4 2 3" xfId="4024"/>
    <cellStyle name="Cálculo 2 2 6 4 2 3 2" xfId="22707"/>
    <cellStyle name="Cálculo 2 2 6 4 2 4" xfId="17136"/>
    <cellStyle name="Cálculo 2 2 6 4 3" xfId="11760"/>
    <cellStyle name="Cálculo 2 2 6 4 3 2" xfId="26082"/>
    <cellStyle name="Cálculo 2 2 6 4 4" xfId="17405"/>
    <cellStyle name="Cálculo 2 2 6 5" xfId="5092"/>
    <cellStyle name="Cálculo 2 2 6 5 2" xfId="11639"/>
    <cellStyle name="Cálculo 2 2 6 5 2 2" xfId="25961"/>
    <cellStyle name="Cálculo 2 2 6 5 3" xfId="15208"/>
    <cellStyle name="Cálculo 2 2 6 6" xfId="3650"/>
    <cellStyle name="Cálculo 2 2 6 6 2" xfId="22507"/>
    <cellStyle name="Cálculo 2 2 6 7" xfId="17120"/>
    <cellStyle name="Cálculo 2 2 7" xfId="284"/>
    <cellStyle name="Cálculo 2 2 7 2" xfId="285"/>
    <cellStyle name="Cálculo 2 2 7 2 2" xfId="5836"/>
    <cellStyle name="Cálculo 2 2 7 2 2 2" xfId="12389"/>
    <cellStyle name="Cálculo 2 2 7 2 2 2 2" xfId="26711"/>
    <cellStyle name="Cálculo 2 2 7 2 2 3" xfId="18034"/>
    <cellStyle name="Cálculo 2 2 7 2 3" xfId="7164"/>
    <cellStyle name="Cálculo 2 2 7 2 3 2" xfId="9778"/>
    <cellStyle name="Cálculo 2 2 7 2 3 2 2" xfId="16040"/>
    <cellStyle name="Cálculo 2 2 7 2 3 2 2 2" xfId="29456"/>
    <cellStyle name="Cálculo 2 2 7 2 3 2 3" xfId="20785"/>
    <cellStyle name="Cálculo 2 2 7 2 3 3" xfId="13768"/>
    <cellStyle name="Cálculo 2 2 7 2 3 3 2" xfId="28090"/>
    <cellStyle name="Cálculo 2 2 7 2 3 4" xfId="19413"/>
    <cellStyle name="Cálculo 2 2 7 2 4" xfId="4871"/>
    <cellStyle name="Cálculo 2 2 7 2 4 2" xfId="23234"/>
    <cellStyle name="Cálculo 2 2 7 2 5" xfId="14703"/>
    <cellStyle name="Cálculo 2 2 7 3" xfId="286"/>
    <cellStyle name="Cálculo 2 2 7 3 2" xfId="7560"/>
    <cellStyle name="Cálculo 2 2 7 3 2 2" xfId="10174"/>
    <cellStyle name="Cálculo 2 2 7 3 2 2 2" xfId="16436"/>
    <cellStyle name="Cálculo 2 2 7 3 2 2 2 2" xfId="29852"/>
    <cellStyle name="Cálculo 2 2 7 3 2 2 3" xfId="21181"/>
    <cellStyle name="Cálculo 2 2 7 3 2 3" xfId="14164"/>
    <cellStyle name="Cálculo 2 2 7 3 2 3 2" xfId="28486"/>
    <cellStyle name="Cálculo 2 2 7 3 2 4" xfId="19809"/>
    <cellStyle name="Cálculo 2 2 7 3 3" xfId="13221"/>
    <cellStyle name="Cálculo 2 2 7 3 3 2" xfId="27543"/>
    <cellStyle name="Cálculo 2 2 7 3 4" xfId="18866"/>
    <cellStyle name="Cálculo 2 2 7 4" xfId="5662"/>
    <cellStyle name="Cálculo 2 2 7 4 2" xfId="12215"/>
    <cellStyle name="Cálculo 2 2 7 4 2 2" xfId="26537"/>
    <cellStyle name="Cálculo 2 2 7 4 3" xfId="17860"/>
    <cellStyle name="Cálculo 2 2 7 5" xfId="4635"/>
    <cellStyle name="Cálculo 2 2 7 5 2" xfId="23079"/>
    <cellStyle name="Cálculo 2 2 7 6" xfId="15031"/>
    <cellStyle name="Cálculo 2 2 8" xfId="287"/>
    <cellStyle name="Cálculo 2 2 8 2" xfId="6407"/>
    <cellStyle name="Cálculo 2 2 8 2 2" xfId="12990"/>
    <cellStyle name="Cálculo 2 2 8 2 2 2" xfId="27312"/>
    <cellStyle name="Cálculo 2 2 8 2 3" xfId="18635"/>
    <cellStyle name="Cálculo 2 2 8 3" xfId="4835"/>
    <cellStyle name="Cálculo 2 2 8 3 2" xfId="9497"/>
    <cellStyle name="Cálculo 2 2 8 3 2 2" xfId="15759"/>
    <cellStyle name="Cálculo 2 2 8 3 2 2 2" xfId="29175"/>
    <cellStyle name="Cálculo 2 2 8 3 2 3" xfId="20504"/>
    <cellStyle name="Cálculo 2 2 8 3 3" xfId="11368"/>
    <cellStyle name="Cálculo 2 2 8 3 3 2" xfId="25690"/>
    <cellStyle name="Cálculo 2 2 8 3 4" xfId="15204"/>
    <cellStyle name="Cálculo 2 2 8 4" xfId="3662"/>
    <cellStyle name="Cálculo 2 2 8 4 2" xfId="22512"/>
    <cellStyle name="Cálculo 2 2 8 5" xfId="15065"/>
    <cellStyle name="Cálculo 2 2 9" xfId="288"/>
    <cellStyle name="Cálculo 2 2 9 2" xfId="7457"/>
    <cellStyle name="Cálculo 2 2 9 2 2" xfId="10071"/>
    <cellStyle name="Cálculo 2 2 9 2 2 2" xfId="16333"/>
    <cellStyle name="Cálculo 2 2 9 2 2 2 2" xfId="29749"/>
    <cellStyle name="Cálculo 2 2 9 2 2 3" xfId="21078"/>
    <cellStyle name="Cálculo 2 2 9 2 3" xfId="14061"/>
    <cellStyle name="Cálculo 2 2 9 2 3 2" xfId="28383"/>
    <cellStyle name="Cálculo 2 2 9 2 4" xfId="19706"/>
    <cellStyle name="Cálculo 2 2 9 3" xfId="12727"/>
    <cellStyle name="Cálculo 2 2 9 3 2" xfId="27049"/>
    <cellStyle name="Cálculo 2 2 9 4" xfId="18372"/>
    <cellStyle name="Cálculo 2 3" xfId="289"/>
    <cellStyle name="Cálculo 2 3 10" xfId="4671"/>
    <cellStyle name="Cálculo 2 3 10 2" xfId="23110"/>
    <cellStyle name="Cálculo 2 3 11" xfId="3257"/>
    <cellStyle name="Cálculo 2 3 2" xfId="290"/>
    <cellStyle name="Cálculo 2 3 2 2" xfId="291"/>
    <cellStyle name="Cálculo 2 3 2 2 2" xfId="292"/>
    <cellStyle name="Cálculo 2 3 2 2 2 2" xfId="6385"/>
    <cellStyle name="Cálculo 2 3 2 2 2 2 2" xfId="12968"/>
    <cellStyle name="Cálculo 2 3 2 2 2 2 2 2" xfId="27290"/>
    <cellStyle name="Cálculo 2 3 2 2 2 2 3" xfId="18613"/>
    <cellStyle name="Cálculo 2 3 2 2 2 3" xfId="7297"/>
    <cellStyle name="Cálculo 2 3 2 2 2 3 2" xfId="9911"/>
    <cellStyle name="Cálculo 2 3 2 2 2 3 2 2" xfId="16173"/>
    <cellStyle name="Cálculo 2 3 2 2 2 3 2 2 2" xfId="29589"/>
    <cellStyle name="Cálculo 2 3 2 2 2 3 2 3" xfId="20918"/>
    <cellStyle name="Cálculo 2 3 2 2 2 3 3" xfId="13901"/>
    <cellStyle name="Cálculo 2 3 2 2 2 3 3 2" xfId="28223"/>
    <cellStyle name="Cálculo 2 3 2 2 2 3 4" xfId="19546"/>
    <cellStyle name="Cálculo 2 3 2 2 2 4" xfId="4221"/>
    <cellStyle name="Cálculo 2 3 2 2 2 4 2" xfId="22833"/>
    <cellStyle name="Cálculo 2 3 2 2 2 5" xfId="17243"/>
    <cellStyle name="Cálculo 2 3 2 2 3" xfId="293"/>
    <cellStyle name="Cálculo 2 3 2 2 3 2" xfId="7974"/>
    <cellStyle name="Cálculo 2 3 2 2 3 2 2" xfId="10588"/>
    <cellStyle name="Cálculo 2 3 2 2 3 2 2 2" xfId="16850"/>
    <cellStyle name="Cálculo 2 3 2 2 3 2 2 2 2" xfId="30266"/>
    <cellStyle name="Cálculo 2 3 2 2 3 2 2 3" xfId="21595"/>
    <cellStyle name="Cálculo 2 3 2 2 3 2 3" xfId="14578"/>
    <cellStyle name="Cálculo 2 3 2 2 3 2 3 2" xfId="28900"/>
    <cellStyle name="Cálculo 2 3 2 2 3 2 4" xfId="20223"/>
    <cellStyle name="Cálculo 2 3 2 2 3 3" xfId="13315"/>
    <cellStyle name="Cálculo 2 3 2 2 3 3 2" xfId="27637"/>
    <cellStyle name="Cálculo 2 3 2 2 3 4" xfId="18960"/>
    <cellStyle name="Cálculo 2 3 2 2 4" xfId="5765"/>
    <cellStyle name="Cálculo 2 3 2 2 4 2" xfId="12318"/>
    <cellStyle name="Cálculo 2 3 2 2 4 2 2" xfId="26640"/>
    <cellStyle name="Cálculo 2 3 2 2 4 3" xfId="17963"/>
    <cellStyle name="Cálculo 2 3 2 2 5" xfId="5483"/>
    <cellStyle name="Cálculo 2 3 2 2 5 2" xfId="23347"/>
    <cellStyle name="Cálculo 2 3 2 2 6" xfId="17271"/>
    <cellStyle name="Cálculo 2 3 2 3" xfId="294"/>
    <cellStyle name="Cálculo 2 3 2 3 2" xfId="295"/>
    <cellStyle name="Cálculo 2 3 2 3 2 2" xfId="5974"/>
    <cellStyle name="Cálculo 2 3 2 3 2 2 2" xfId="12532"/>
    <cellStyle name="Cálculo 2 3 2 3 2 2 2 2" xfId="26854"/>
    <cellStyle name="Cálculo 2 3 2 3 2 2 3" xfId="18177"/>
    <cellStyle name="Cálculo 2 3 2 3 2 3" xfId="7323"/>
    <cellStyle name="Cálculo 2 3 2 3 2 3 2" xfId="9937"/>
    <cellStyle name="Cálculo 2 3 2 3 2 3 2 2" xfId="16199"/>
    <cellStyle name="Cálculo 2 3 2 3 2 3 2 2 2" xfId="29615"/>
    <cellStyle name="Cálculo 2 3 2 3 2 3 2 3" xfId="20944"/>
    <cellStyle name="Cálculo 2 3 2 3 2 3 3" xfId="13927"/>
    <cellStyle name="Cálculo 2 3 2 3 2 3 3 2" xfId="28249"/>
    <cellStyle name="Cálculo 2 3 2 3 2 3 4" xfId="19572"/>
    <cellStyle name="Cálculo 2 3 2 3 2 4" xfId="4596"/>
    <cellStyle name="Cálculo 2 3 2 3 2 4 2" xfId="23057"/>
    <cellStyle name="Cálculo 2 3 2 3 2 5" xfId="17151"/>
    <cellStyle name="Cálculo 2 3 2 3 3" xfId="296"/>
    <cellStyle name="Cálculo 2 3 2 3 3 2" xfId="7324"/>
    <cellStyle name="Cálculo 2 3 2 3 3 2 2" xfId="9938"/>
    <cellStyle name="Cálculo 2 3 2 3 3 2 2 2" xfId="16200"/>
    <cellStyle name="Cálculo 2 3 2 3 3 2 2 2 2" xfId="29616"/>
    <cellStyle name="Cálculo 2 3 2 3 3 2 2 3" xfId="20945"/>
    <cellStyle name="Cálculo 2 3 2 3 3 2 3" xfId="13928"/>
    <cellStyle name="Cálculo 2 3 2 3 3 2 3 2" xfId="28250"/>
    <cellStyle name="Cálculo 2 3 2 3 3 2 4" xfId="19573"/>
    <cellStyle name="Cálculo 2 3 2 3 3 3" xfId="12116"/>
    <cellStyle name="Cálculo 2 3 2 3 3 3 2" xfId="26438"/>
    <cellStyle name="Cálculo 2 3 2 3 3 4" xfId="17761"/>
    <cellStyle name="Cálculo 2 3 2 3 4" xfId="3823"/>
    <cellStyle name="Cálculo 2 3 2 3 4 2" xfId="4328"/>
    <cellStyle name="Cálculo 2 3 2 3 4 2 2" xfId="22889"/>
    <cellStyle name="Cálculo 2 3 2 3 4 3" xfId="6272"/>
    <cellStyle name="Cálculo 2 3 2 3 5" xfId="4312"/>
    <cellStyle name="Cálculo 2 3 2 3 5 2" xfId="22884"/>
    <cellStyle name="Cálculo 2 3 2 3 6" xfId="15365"/>
    <cellStyle name="Cálculo 2 3 2 4" xfId="297"/>
    <cellStyle name="Cálculo 2 3 2 4 2" xfId="6123"/>
    <cellStyle name="Cálculo 2 3 2 4 2 2" xfId="12692"/>
    <cellStyle name="Cálculo 2 3 2 4 2 2 2" xfId="27014"/>
    <cellStyle name="Cálculo 2 3 2 4 2 3" xfId="18337"/>
    <cellStyle name="Cálculo 2 3 2 4 3" xfId="7142"/>
    <cellStyle name="Cálculo 2 3 2 4 3 2" xfId="9756"/>
    <cellStyle name="Cálculo 2 3 2 4 3 2 2" xfId="16018"/>
    <cellStyle name="Cálculo 2 3 2 4 3 2 2 2" xfId="29434"/>
    <cellStyle name="Cálculo 2 3 2 4 3 2 3" xfId="20763"/>
    <cellStyle name="Cálculo 2 3 2 4 3 3" xfId="13746"/>
    <cellStyle name="Cálculo 2 3 2 4 3 3 2" xfId="28068"/>
    <cellStyle name="Cálculo 2 3 2 4 3 4" xfId="19391"/>
    <cellStyle name="Cálculo 2 3 2 4 4" xfId="4227"/>
    <cellStyle name="Cálculo 2 3 2 4 4 2" xfId="22838"/>
    <cellStyle name="Cálculo 2 3 2 4 5" xfId="6365"/>
    <cellStyle name="Cálculo 2 3 2 5" xfId="298"/>
    <cellStyle name="Cálculo 2 3 2 5 2" xfId="7450"/>
    <cellStyle name="Cálculo 2 3 2 5 2 2" xfId="10064"/>
    <cellStyle name="Cálculo 2 3 2 5 2 2 2" xfId="16326"/>
    <cellStyle name="Cálculo 2 3 2 5 2 2 2 2" xfId="29742"/>
    <cellStyle name="Cálculo 2 3 2 5 2 2 3" xfId="21071"/>
    <cellStyle name="Cálculo 2 3 2 5 2 3" xfId="14054"/>
    <cellStyle name="Cálculo 2 3 2 5 2 3 2" xfId="28376"/>
    <cellStyle name="Cálculo 2 3 2 5 2 4" xfId="19699"/>
    <cellStyle name="Cálculo 2 3 2 5 3" xfId="12891"/>
    <cellStyle name="Cálculo 2 3 2 5 3 2" xfId="27213"/>
    <cellStyle name="Cálculo 2 3 2 5 4" xfId="18536"/>
    <cellStyle name="Cálculo 2 3 2 6" xfId="5509"/>
    <cellStyle name="Cálculo 2 3 2 6 2" xfId="12060"/>
    <cellStyle name="Cálculo 2 3 2 6 2 2" xfId="26382"/>
    <cellStyle name="Cálculo 2 3 2 6 3" xfId="17705"/>
    <cellStyle name="Cálculo 2 3 2 7" xfId="6604"/>
    <cellStyle name="Cálculo 2 3 2 7 2" xfId="23598"/>
    <cellStyle name="Cálculo 2 3 2 8" xfId="17190"/>
    <cellStyle name="Cálculo 2 3 3" xfId="299"/>
    <cellStyle name="Cálculo 2 3 3 2" xfId="300"/>
    <cellStyle name="Cálculo 2 3 3 2 2" xfId="301"/>
    <cellStyle name="Cálculo 2 3 3 2 2 2" xfId="5992"/>
    <cellStyle name="Cálculo 2 3 3 2 2 2 2" xfId="12550"/>
    <cellStyle name="Cálculo 2 3 3 2 2 2 2 2" xfId="26872"/>
    <cellStyle name="Cálculo 2 3 3 2 2 2 3" xfId="18195"/>
    <cellStyle name="Cálculo 2 3 3 2 2 3" xfId="7237"/>
    <cellStyle name="Cálculo 2 3 3 2 2 3 2" xfId="9851"/>
    <cellStyle name="Cálculo 2 3 3 2 2 3 2 2" xfId="16113"/>
    <cellStyle name="Cálculo 2 3 3 2 2 3 2 2 2" xfId="29529"/>
    <cellStyle name="Cálculo 2 3 3 2 2 3 2 3" xfId="20858"/>
    <cellStyle name="Cálculo 2 3 3 2 2 3 3" xfId="13841"/>
    <cellStyle name="Cálculo 2 3 3 2 2 3 3 2" xfId="28163"/>
    <cellStyle name="Cálculo 2 3 3 2 2 3 4" xfId="19486"/>
    <cellStyle name="Cálculo 2 3 3 2 2 4" xfId="4549"/>
    <cellStyle name="Cálculo 2 3 3 2 2 4 2" xfId="23026"/>
    <cellStyle name="Cálculo 2 3 3 2 2 5" xfId="15277"/>
    <cellStyle name="Cálculo 2 3 3 2 3" xfId="302"/>
    <cellStyle name="Cálculo 2 3 3 2 3 2" xfId="7299"/>
    <cellStyle name="Cálculo 2 3 3 2 3 2 2" xfId="9913"/>
    <cellStyle name="Cálculo 2 3 3 2 3 2 2 2" xfId="16175"/>
    <cellStyle name="Cálculo 2 3 3 2 3 2 2 2 2" xfId="29591"/>
    <cellStyle name="Cálculo 2 3 3 2 3 2 2 3" xfId="20920"/>
    <cellStyle name="Cálculo 2 3 3 2 3 2 3" xfId="13903"/>
    <cellStyle name="Cálculo 2 3 3 2 3 2 3 2" xfId="28225"/>
    <cellStyle name="Cálculo 2 3 3 2 3 2 4" xfId="19548"/>
    <cellStyle name="Cálculo 2 3 3 2 3 3" xfId="13351"/>
    <cellStyle name="Cálculo 2 3 3 2 3 3 2" xfId="27673"/>
    <cellStyle name="Cálculo 2 3 3 2 3 4" xfId="18996"/>
    <cellStyle name="Cálculo 2 3 3 2 4" xfId="5801"/>
    <cellStyle name="Cálculo 2 3 3 2 4 2" xfId="12354"/>
    <cellStyle name="Cálculo 2 3 3 2 4 2 2" xfId="26676"/>
    <cellStyle name="Cálculo 2 3 3 2 4 3" xfId="17999"/>
    <cellStyle name="Cálculo 2 3 3 2 5" xfId="3141"/>
    <cellStyle name="Cálculo 2 3 3 2 5 2" xfId="22418"/>
    <cellStyle name="Cálculo 2 3 3 2 6" xfId="4020"/>
    <cellStyle name="Cálculo 2 3 3 3" xfId="303"/>
    <cellStyle name="Cálculo 2 3 3 3 2" xfId="304"/>
    <cellStyle name="Cálculo 2 3 3 3 2 2" xfId="7021"/>
    <cellStyle name="Cálculo 2 3 3 3 2 2 2" xfId="13625"/>
    <cellStyle name="Cálculo 2 3 3 3 2 2 2 2" xfId="27947"/>
    <cellStyle name="Cálculo 2 3 3 3 2 2 3" xfId="19270"/>
    <cellStyle name="Cálculo 2 3 3 3 2 3" xfId="7341"/>
    <cellStyle name="Cálculo 2 3 3 3 2 3 2" xfId="9955"/>
    <cellStyle name="Cálculo 2 3 3 3 2 3 2 2" xfId="16217"/>
    <cellStyle name="Cálculo 2 3 3 3 2 3 2 2 2" xfId="29633"/>
    <cellStyle name="Cálculo 2 3 3 3 2 3 2 3" xfId="20962"/>
    <cellStyle name="Cálculo 2 3 3 3 2 3 3" xfId="13945"/>
    <cellStyle name="Cálculo 2 3 3 3 2 3 3 2" xfId="28267"/>
    <cellStyle name="Cálculo 2 3 3 3 2 3 4" xfId="19590"/>
    <cellStyle name="Cálculo 2 3 3 3 2 4" xfId="11554"/>
    <cellStyle name="Cálculo 2 3 3 3 2 4 2" xfId="25876"/>
    <cellStyle name="Cálculo 2 3 3 3 2 5" xfId="15583"/>
    <cellStyle name="Cálculo 2 3 3 3 3" xfId="305"/>
    <cellStyle name="Cálculo 2 3 3 3 3 2" xfId="7404"/>
    <cellStyle name="Cálculo 2 3 3 3 3 2 2" xfId="10018"/>
    <cellStyle name="Cálculo 2 3 3 3 3 2 2 2" xfId="16280"/>
    <cellStyle name="Cálculo 2 3 3 3 3 2 2 2 2" xfId="29696"/>
    <cellStyle name="Cálculo 2 3 3 3 3 2 2 3" xfId="21025"/>
    <cellStyle name="Cálculo 2 3 3 3 3 2 3" xfId="14008"/>
    <cellStyle name="Cálculo 2 3 3 3 3 2 3 2" xfId="28330"/>
    <cellStyle name="Cálculo 2 3 3 3 3 2 4" xfId="19653"/>
    <cellStyle name="Cálculo 2 3 3 3 3 3" xfId="13423"/>
    <cellStyle name="Cálculo 2 3 3 3 3 3 2" xfId="27745"/>
    <cellStyle name="Cálculo 2 3 3 3 3 4" xfId="19068"/>
    <cellStyle name="Cálculo 2 3 3 3 4" xfId="5896"/>
    <cellStyle name="Cálculo 2 3 3 3 4 2" xfId="12449"/>
    <cellStyle name="Cálculo 2 3 3 3 4 2 2" xfId="26771"/>
    <cellStyle name="Cálculo 2 3 3 3 4 3" xfId="18094"/>
    <cellStyle name="Cálculo 2 3 3 3 5" xfId="2784"/>
    <cellStyle name="Cálculo 2 3 3 3 5 2" xfId="22353"/>
    <cellStyle name="Cálculo 2 3 3 3 6" xfId="6288"/>
    <cellStyle name="Cálculo 2 3 3 4" xfId="306"/>
    <cellStyle name="Cálculo 2 3 3 4 2" xfId="6833"/>
    <cellStyle name="Cálculo 2 3 3 4 2 2" xfId="13437"/>
    <cellStyle name="Cálculo 2 3 3 4 2 2 2" xfId="27759"/>
    <cellStyle name="Cálculo 2 3 3 4 2 3" xfId="19082"/>
    <cellStyle name="Cálculo 2 3 3 4 3" xfId="4351"/>
    <cellStyle name="Cálculo 2 3 3 4 3 2" xfId="9454"/>
    <cellStyle name="Cálculo 2 3 3 4 3 2 2" xfId="15716"/>
    <cellStyle name="Cálculo 2 3 3 4 3 2 2 2" xfId="29132"/>
    <cellStyle name="Cálculo 2 3 3 4 3 2 3" xfId="20461"/>
    <cellStyle name="Cálculo 2 3 3 4 3 3" xfId="6326"/>
    <cellStyle name="Cálculo 2 3 3 4 3 3 2" xfId="23517"/>
    <cellStyle name="Cálculo 2 3 3 4 3 4" xfId="15021"/>
    <cellStyle name="Cálculo 2 3 3 4 4" xfId="2776"/>
    <cellStyle name="Cálculo 2 3 3 4 4 2" xfId="22345"/>
    <cellStyle name="Cálculo 2 3 3 4 5" xfId="14784"/>
    <cellStyle name="Cálculo 2 3 3 5" xfId="307"/>
    <cellStyle name="Cálculo 2 3 3 5 2" xfId="7867"/>
    <cellStyle name="Cálculo 2 3 3 5 2 2" xfId="10481"/>
    <cellStyle name="Cálculo 2 3 3 5 2 2 2" xfId="16743"/>
    <cellStyle name="Cálculo 2 3 3 5 2 2 2 2" xfId="30159"/>
    <cellStyle name="Cálculo 2 3 3 5 2 2 3" xfId="21488"/>
    <cellStyle name="Cálculo 2 3 3 5 2 3" xfId="14471"/>
    <cellStyle name="Cálculo 2 3 3 5 2 3 2" xfId="28793"/>
    <cellStyle name="Cálculo 2 3 3 5 2 4" xfId="20116"/>
    <cellStyle name="Cálculo 2 3 3 5 3" xfId="12927"/>
    <cellStyle name="Cálculo 2 3 3 5 3 2" xfId="27249"/>
    <cellStyle name="Cálculo 2 3 3 5 4" xfId="18572"/>
    <cellStyle name="Cálculo 2 3 3 6" xfId="5551"/>
    <cellStyle name="Cálculo 2 3 3 6 2" xfId="12102"/>
    <cellStyle name="Cálculo 2 3 3 6 2 2" xfId="26424"/>
    <cellStyle name="Cálculo 2 3 3 6 3" xfId="17747"/>
    <cellStyle name="Cálculo 2 3 3 7" xfId="6568"/>
    <cellStyle name="Cálculo 2 3 3 7 2" xfId="23580"/>
    <cellStyle name="Cálculo 2 3 3 8" xfId="14804"/>
    <cellStyle name="Cálculo 2 3 4" xfId="308"/>
    <cellStyle name="Cálculo 2 3 4 2" xfId="309"/>
    <cellStyle name="Cálculo 2 3 4 2 2" xfId="310"/>
    <cellStyle name="Cálculo 2 3 4 2 2 2" xfId="6906"/>
    <cellStyle name="Cálculo 2 3 4 2 2 2 2" xfId="13510"/>
    <cellStyle name="Cálculo 2 3 4 2 2 2 2 2" xfId="27832"/>
    <cellStyle name="Cálculo 2 3 4 2 2 2 3" xfId="19155"/>
    <cellStyle name="Cálculo 2 3 4 2 2 3" xfId="7805"/>
    <cellStyle name="Cálculo 2 3 4 2 2 3 2" xfId="10419"/>
    <cellStyle name="Cálculo 2 3 4 2 2 3 2 2" xfId="16681"/>
    <cellStyle name="Cálculo 2 3 4 2 2 3 2 2 2" xfId="30097"/>
    <cellStyle name="Cálculo 2 3 4 2 2 3 2 3" xfId="21426"/>
    <cellStyle name="Cálculo 2 3 4 2 2 3 3" xfId="14409"/>
    <cellStyle name="Cálculo 2 3 4 2 2 3 3 2" xfId="28731"/>
    <cellStyle name="Cálculo 2 3 4 2 2 3 4" xfId="20054"/>
    <cellStyle name="Cálculo 2 3 4 2 2 4" xfId="11391"/>
    <cellStyle name="Cálculo 2 3 4 2 2 4 2" xfId="25713"/>
    <cellStyle name="Cálculo 2 3 4 2 2 5" xfId="14731"/>
    <cellStyle name="Cálculo 2 3 4 2 3" xfId="311"/>
    <cellStyle name="Cálculo 2 3 4 2 3 2" xfId="7269"/>
    <cellStyle name="Cálculo 2 3 4 2 3 2 2" xfId="9883"/>
    <cellStyle name="Cálculo 2 3 4 2 3 2 2 2" xfId="16145"/>
    <cellStyle name="Cálculo 2 3 4 2 3 2 2 2 2" xfId="29561"/>
    <cellStyle name="Cálculo 2 3 4 2 3 2 2 3" xfId="20890"/>
    <cellStyle name="Cálculo 2 3 4 2 3 2 3" xfId="13873"/>
    <cellStyle name="Cálculo 2 3 4 2 3 2 3 2" xfId="28195"/>
    <cellStyle name="Cálculo 2 3 4 2 3 2 4" xfId="19518"/>
    <cellStyle name="Cálculo 2 3 4 2 3 3" xfId="13274"/>
    <cellStyle name="Cálculo 2 3 4 2 3 3 2" xfId="27596"/>
    <cellStyle name="Cálculo 2 3 4 2 3 4" xfId="18919"/>
    <cellStyle name="Cálculo 2 3 4 2 4" xfId="5720"/>
    <cellStyle name="Cálculo 2 3 4 2 4 2" xfId="12273"/>
    <cellStyle name="Cálculo 2 3 4 2 4 2 2" xfId="26595"/>
    <cellStyle name="Cálculo 2 3 4 2 4 3" xfId="17918"/>
    <cellStyle name="Cálculo 2 3 4 2 5" xfId="3617"/>
    <cellStyle name="Cálculo 2 3 4 2 5 2" xfId="22489"/>
    <cellStyle name="Cálculo 2 3 4 2 6" xfId="3247"/>
    <cellStyle name="Cálculo 2 3 4 3" xfId="312"/>
    <cellStyle name="Cálculo 2 3 4 3 2" xfId="313"/>
    <cellStyle name="Cálculo 2 3 4 3 2 2" xfId="6913"/>
    <cellStyle name="Cálculo 2 3 4 3 2 2 2" xfId="13517"/>
    <cellStyle name="Cálculo 2 3 4 3 2 2 2 2" xfId="27839"/>
    <cellStyle name="Cálculo 2 3 4 3 2 2 3" xfId="19162"/>
    <cellStyle name="Cálculo 2 3 4 3 2 3" xfId="7980"/>
    <cellStyle name="Cálculo 2 3 4 3 2 3 2" xfId="10594"/>
    <cellStyle name="Cálculo 2 3 4 3 2 3 2 2" xfId="16856"/>
    <cellStyle name="Cálculo 2 3 4 3 2 3 2 2 2" xfId="30272"/>
    <cellStyle name="Cálculo 2 3 4 3 2 3 2 3" xfId="21601"/>
    <cellStyle name="Cálculo 2 3 4 3 2 3 3" xfId="14584"/>
    <cellStyle name="Cálculo 2 3 4 3 2 3 3 2" xfId="28906"/>
    <cellStyle name="Cálculo 2 3 4 3 2 3 4" xfId="20229"/>
    <cellStyle name="Cálculo 2 3 4 3 2 4" xfId="11399"/>
    <cellStyle name="Cálculo 2 3 4 3 2 4 2" xfId="25721"/>
    <cellStyle name="Cálculo 2 3 4 3 2 5" xfId="14852"/>
    <cellStyle name="Cálculo 2 3 4 3 3" xfId="314"/>
    <cellStyle name="Cálculo 2 3 4 3 3 2" xfId="4986"/>
    <cellStyle name="Cálculo 2 3 4 3 3 2 2" xfId="9532"/>
    <cellStyle name="Cálculo 2 3 4 3 3 2 2 2" xfId="15794"/>
    <cellStyle name="Cálculo 2 3 4 3 3 2 2 2 2" xfId="29210"/>
    <cellStyle name="Cálculo 2 3 4 3 3 2 2 3" xfId="20539"/>
    <cellStyle name="Cálculo 2 3 4 3 3 2 3" xfId="11529"/>
    <cellStyle name="Cálculo 2 3 4 3 3 2 3 2" xfId="25851"/>
    <cellStyle name="Cálculo 2 3 4 3 3 2 4" xfId="17138"/>
    <cellStyle name="Cálculo 2 3 4 3 3 3" xfId="13391"/>
    <cellStyle name="Cálculo 2 3 4 3 3 3 2" xfId="27713"/>
    <cellStyle name="Cálculo 2 3 4 3 3 4" xfId="19036"/>
    <cellStyle name="Cálculo 2 3 4 3 4" xfId="5855"/>
    <cellStyle name="Cálculo 2 3 4 3 4 2" xfId="12408"/>
    <cellStyle name="Cálculo 2 3 4 3 4 2 2" xfId="26730"/>
    <cellStyle name="Cálculo 2 3 4 3 4 3" xfId="18053"/>
    <cellStyle name="Cálculo 2 3 4 3 5" xfId="4157"/>
    <cellStyle name="Cálculo 2 3 4 3 5 2" xfId="22788"/>
    <cellStyle name="Cálculo 2 3 4 3 6" xfId="15481"/>
    <cellStyle name="Cálculo 2 3 4 4" xfId="315"/>
    <cellStyle name="Cálculo 2 3 4 4 2" xfId="6887"/>
    <cellStyle name="Cálculo 2 3 4 4 2 2" xfId="13491"/>
    <cellStyle name="Cálculo 2 3 4 4 2 2 2" xfId="27813"/>
    <cellStyle name="Cálculo 2 3 4 4 2 3" xfId="19136"/>
    <cellStyle name="Cálculo 2 3 4 4 3" xfId="4254"/>
    <cellStyle name="Cálculo 2 3 4 4 3 2" xfId="9436"/>
    <cellStyle name="Cálculo 2 3 4 4 3 2 2" xfId="15698"/>
    <cellStyle name="Cálculo 2 3 4 4 3 2 2 2" xfId="29114"/>
    <cellStyle name="Cálculo 2 3 4 4 3 2 3" xfId="20443"/>
    <cellStyle name="Cálculo 2 3 4 4 3 3" xfId="6107"/>
    <cellStyle name="Cálculo 2 3 4 4 3 3 2" xfId="23417"/>
    <cellStyle name="Cálculo 2 3 4 4 3 4" xfId="15541"/>
    <cellStyle name="Cálculo 2 3 4 4 4" xfId="11362"/>
    <cellStyle name="Cálculo 2 3 4 4 4 2" xfId="25684"/>
    <cellStyle name="Cálculo 2 3 4 4 5" xfId="14835"/>
    <cellStyle name="Cálculo 2 3 4 5" xfId="316"/>
    <cellStyle name="Cálculo 2 3 4 5 2" xfId="8053"/>
    <cellStyle name="Cálculo 2 3 4 5 2 2" xfId="10667"/>
    <cellStyle name="Cálculo 2 3 4 5 2 2 2" xfId="16929"/>
    <cellStyle name="Cálculo 2 3 4 5 2 2 2 2" xfId="30345"/>
    <cellStyle name="Cálculo 2 3 4 5 2 2 3" xfId="21674"/>
    <cellStyle name="Cálculo 2 3 4 5 2 3" xfId="14657"/>
    <cellStyle name="Cálculo 2 3 4 5 2 3 2" xfId="28979"/>
    <cellStyle name="Cálculo 2 3 4 5 2 4" xfId="20302"/>
    <cellStyle name="Cálculo 2 3 4 5 3" xfId="12833"/>
    <cellStyle name="Cálculo 2 3 4 5 3 2" xfId="27155"/>
    <cellStyle name="Cálculo 2 3 4 5 4" xfId="18478"/>
    <cellStyle name="Cálculo 2 3 4 6" xfId="5402"/>
    <cellStyle name="Cálculo 2 3 4 6 2" xfId="11952"/>
    <cellStyle name="Cálculo 2 3 4 6 2 2" xfId="26274"/>
    <cellStyle name="Cálculo 2 3 4 6 3" xfId="17597"/>
    <cellStyle name="Cálculo 2 3 4 7" xfId="2757"/>
    <cellStyle name="Cálculo 2 3 4 7 2" xfId="22327"/>
    <cellStyle name="Cálculo 2 3 4 8" xfId="15232"/>
    <cellStyle name="Cálculo 2 3 5" xfId="317"/>
    <cellStyle name="Cálculo 2 3 5 2" xfId="318"/>
    <cellStyle name="Cálculo 2 3 5 2 2" xfId="319"/>
    <cellStyle name="Cálculo 2 3 5 2 2 2" xfId="7036"/>
    <cellStyle name="Cálculo 2 3 5 2 2 2 2" xfId="13640"/>
    <cellStyle name="Cálculo 2 3 5 2 2 2 2 2" xfId="27962"/>
    <cellStyle name="Cálculo 2 3 5 2 2 2 3" xfId="19285"/>
    <cellStyle name="Cálculo 2 3 5 2 2 3" xfId="5246"/>
    <cellStyle name="Cálculo 2 3 5 2 2 3 2" xfId="9556"/>
    <cellStyle name="Cálculo 2 3 5 2 2 3 2 2" xfId="15818"/>
    <cellStyle name="Cálculo 2 3 5 2 2 3 2 2 2" xfId="29234"/>
    <cellStyle name="Cálculo 2 3 5 2 2 3 2 3" xfId="20563"/>
    <cellStyle name="Cálculo 2 3 5 2 2 3 3" xfId="11796"/>
    <cellStyle name="Cálculo 2 3 5 2 2 3 3 2" xfId="26118"/>
    <cellStyle name="Cálculo 2 3 5 2 2 3 4" xfId="17441"/>
    <cellStyle name="Cálculo 2 3 5 2 2 4" xfId="11581"/>
    <cellStyle name="Cálculo 2 3 5 2 2 4 2" xfId="25903"/>
    <cellStyle name="Cálculo 2 3 5 2 2 5" xfId="17128"/>
    <cellStyle name="Cálculo 2 3 5 2 3" xfId="320"/>
    <cellStyle name="Cálculo 2 3 5 2 3 2" xfId="4373"/>
    <cellStyle name="Cálculo 2 3 5 2 3 2 2" xfId="9456"/>
    <cellStyle name="Cálculo 2 3 5 2 3 2 2 2" xfId="15718"/>
    <cellStyle name="Cálculo 2 3 5 2 3 2 2 2 2" xfId="29134"/>
    <cellStyle name="Cálculo 2 3 5 2 3 2 2 3" xfId="20463"/>
    <cellStyle name="Cálculo 2 3 5 2 3 2 3" xfId="6239"/>
    <cellStyle name="Cálculo 2 3 5 2 3 2 3 2" xfId="23465"/>
    <cellStyle name="Cálculo 2 3 5 2 3 2 4" xfId="14758"/>
    <cellStyle name="Cálculo 2 3 5 2 3 3" xfId="4205"/>
    <cellStyle name="Cálculo 2 3 5 2 3 3 2" xfId="22820"/>
    <cellStyle name="Cálculo 2 3 5 2 3 4" xfId="6303"/>
    <cellStyle name="Cálculo 2 3 5 2 4" xfId="5179"/>
    <cellStyle name="Cálculo 2 3 5 2 4 2" xfId="11728"/>
    <cellStyle name="Cálculo 2 3 5 2 4 2 2" xfId="26050"/>
    <cellStyle name="Cálculo 2 3 5 2 4 3" xfId="6237"/>
    <cellStyle name="Cálculo 2 3 5 2 5" xfId="6805"/>
    <cellStyle name="Cálculo 2 3 5 2 5 2" xfId="23744"/>
    <cellStyle name="Cálculo 2 3 5 2 6" xfId="17116"/>
    <cellStyle name="Cálculo 2 3 5 3" xfId="321"/>
    <cellStyle name="Cálculo 2 3 5 3 2" xfId="6496"/>
    <cellStyle name="Cálculo 2 3 5 3 2 2" xfId="13082"/>
    <cellStyle name="Cálculo 2 3 5 3 2 2 2" xfId="27404"/>
    <cellStyle name="Cálculo 2 3 5 3 2 3" xfId="18727"/>
    <cellStyle name="Cálculo 2 3 5 3 3" xfId="5000"/>
    <cellStyle name="Cálculo 2 3 5 3 3 2" xfId="9537"/>
    <cellStyle name="Cálculo 2 3 5 3 3 2 2" xfId="15799"/>
    <cellStyle name="Cálculo 2 3 5 3 3 2 2 2" xfId="29215"/>
    <cellStyle name="Cálculo 2 3 5 3 3 2 3" xfId="20544"/>
    <cellStyle name="Cálculo 2 3 5 3 3 3" xfId="11543"/>
    <cellStyle name="Cálculo 2 3 5 3 3 3 2" xfId="25865"/>
    <cellStyle name="Cálculo 2 3 5 3 3 4" xfId="4337"/>
    <cellStyle name="Cálculo 2 3 5 3 4" xfId="4973"/>
    <cellStyle name="Cálculo 2 3 5 3 4 2" xfId="23289"/>
    <cellStyle name="Cálculo 2 3 5 3 5" xfId="15348"/>
    <cellStyle name="Cálculo 2 3 5 4" xfId="322"/>
    <cellStyle name="Cálculo 2 3 5 4 2" xfId="4395"/>
    <cellStyle name="Cálculo 2 3 5 4 2 2" xfId="9459"/>
    <cellStyle name="Cálculo 2 3 5 4 2 2 2" xfId="15721"/>
    <cellStyle name="Cálculo 2 3 5 4 2 2 2 2" xfId="29137"/>
    <cellStyle name="Cálculo 2 3 5 4 2 2 3" xfId="20466"/>
    <cellStyle name="Cálculo 2 3 5 4 2 3" xfId="4209"/>
    <cellStyle name="Cálculo 2 3 5 4 2 3 2" xfId="22823"/>
    <cellStyle name="Cálculo 2 3 5 4 2 4" xfId="17065"/>
    <cellStyle name="Cálculo 2 3 5 4 3" xfId="12712"/>
    <cellStyle name="Cálculo 2 3 5 4 3 2" xfId="27034"/>
    <cellStyle name="Cálculo 2 3 5 4 4" xfId="18357"/>
    <cellStyle name="Cálculo 2 3 5 5" xfId="5195"/>
    <cellStyle name="Cálculo 2 3 5 5 2" xfId="11744"/>
    <cellStyle name="Cálculo 2 3 5 5 2 2" xfId="26066"/>
    <cellStyle name="Cálculo 2 3 5 5 3" xfId="6130"/>
    <cellStyle name="Cálculo 2 3 5 6" xfId="6355"/>
    <cellStyle name="Cálculo 2 3 5 6 2" xfId="23539"/>
    <cellStyle name="Cálculo 2 3 5 7" xfId="15165"/>
    <cellStyle name="Cálculo 2 3 6" xfId="323"/>
    <cellStyle name="Cálculo 2 3 6 2" xfId="324"/>
    <cellStyle name="Cálculo 2 3 6 2 2" xfId="5224"/>
    <cellStyle name="Cálculo 2 3 6 2 2 2" xfId="11774"/>
    <cellStyle name="Cálculo 2 3 6 2 2 2 2" xfId="26096"/>
    <cellStyle name="Cálculo 2 3 6 2 2 3" xfId="17419"/>
    <cellStyle name="Cálculo 2 3 6 2 3" xfId="5013"/>
    <cellStyle name="Cálculo 2 3 6 2 3 2" xfId="9543"/>
    <cellStyle name="Cálculo 2 3 6 2 3 2 2" xfId="15805"/>
    <cellStyle name="Cálculo 2 3 6 2 3 2 2 2" xfId="29221"/>
    <cellStyle name="Cálculo 2 3 6 2 3 2 3" xfId="20550"/>
    <cellStyle name="Cálculo 2 3 6 2 3 3" xfId="11559"/>
    <cellStyle name="Cálculo 2 3 6 2 3 3 2" xfId="25881"/>
    <cellStyle name="Cálculo 2 3 6 2 3 4" xfId="6663"/>
    <cellStyle name="Cálculo 2 3 6 2 4" xfId="4837"/>
    <cellStyle name="Cálculo 2 3 6 2 4 2" xfId="23214"/>
    <cellStyle name="Cálculo 2 3 6 2 5" xfId="14814"/>
    <cellStyle name="Cálculo 2 3 6 3" xfId="325"/>
    <cellStyle name="Cálculo 2 3 6 3 2" xfId="7883"/>
    <cellStyle name="Cálculo 2 3 6 3 2 2" xfId="10497"/>
    <cellStyle name="Cálculo 2 3 6 3 2 2 2" xfId="16759"/>
    <cellStyle name="Cálculo 2 3 6 3 2 2 2 2" xfId="30175"/>
    <cellStyle name="Cálculo 2 3 6 3 2 2 3" xfId="21504"/>
    <cellStyle name="Cálculo 2 3 6 3 2 3" xfId="14487"/>
    <cellStyle name="Cálculo 2 3 6 3 2 3 2" xfId="28809"/>
    <cellStyle name="Cálculo 2 3 6 3 2 4" xfId="20132"/>
    <cellStyle name="Cálculo 2 3 6 3 3" xfId="13227"/>
    <cellStyle name="Cálculo 2 3 6 3 3 2" xfId="27549"/>
    <cellStyle name="Cálculo 2 3 6 3 4" xfId="18872"/>
    <cellStyle name="Cálculo 2 3 6 4" xfId="5668"/>
    <cellStyle name="Cálculo 2 3 6 4 2" xfId="12221"/>
    <cellStyle name="Cálculo 2 3 6 4 2 2" xfId="26543"/>
    <cellStyle name="Cálculo 2 3 6 4 3" xfId="17866"/>
    <cellStyle name="Cálculo 2 3 6 5" xfId="4732"/>
    <cellStyle name="Cálculo 2 3 6 5 2" xfId="23158"/>
    <cellStyle name="Cálculo 2 3 6 6" xfId="15461"/>
    <cellStyle name="Cálculo 2 3 7" xfId="326"/>
    <cellStyle name="Cálculo 2 3 7 2" xfId="6984"/>
    <cellStyle name="Cálculo 2 3 7 2 2" xfId="13588"/>
    <cellStyle name="Cálculo 2 3 7 2 2 2" xfId="27910"/>
    <cellStyle name="Cálculo 2 3 7 2 3" xfId="19233"/>
    <cellStyle name="Cálculo 2 3 7 3" xfId="8068"/>
    <cellStyle name="Cálculo 2 3 7 3 2" xfId="10682"/>
    <cellStyle name="Cálculo 2 3 7 3 2 2" xfId="16944"/>
    <cellStyle name="Cálculo 2 3 7 3 2 2 2" xfId="30360"/>
    <cellStyle name="Cálculo 2 3 7 3 2 3" xfId="21689"/>
    <cellStyle name="Cálculo 2 3 7 3 3" xfId="14672"/>
    <cellStyle name="Cálculo 2 3 7 3 3 2" xfId="28994"/>
    <cellStyle name="Cálculo 2 3 7 3 4" xfId="20317"/>
    <cellStyle name="Cálculo 2 3 7 4" xfId="11496"/>
    <cellStyle name="Cálculo 2 3 7 4 2" xfId="25818"/>
    <cellStyle name="Cálculo 2 3 7 5" xfId="15484"/>
    <cellStyle name="Cálculo 2 3 8" xfId="327"/>
    <cellStyle name="Cálculo 2 3 8 2" xfId="5263"/>
    <cellStyle name="Cálculo 2 3 8 2 2" xfId="9572"/>
    <cellStyle name="Cálculo 2 3 8 2 2 2" xfId="15834"/>
    <cellStyle name="Cálculo 2 3 8 2 2 2 2" xfId="29250"/>
    <cellStyle name="Cálculo 2 3 8 2 2 3" xfId="20579"/>
    <cellStyle name="Cálculo 2 3 8 2 3" xfId="11813"/>
    <cellStyle name="Cálculo 2 3 8 2 3 2" xfId="26135"/>
    <cellStyle name="Cálculo 2 3 8 2 4" xfId="17458"/>
    <cellStyle name="Cálculo 2 3 8 3" xfId="12754"/>
    <cellStyle name="Cálculo 2 3 8 3 2" xfId="27076"/>
    <cellStyle name="Cálculo 2 3 8 4" xfId="18399"/>
    <cellStyle name="Cálculo 2 3 9" xfId="5449"/>
    <cellStyle name="Cálculo 2 3 9 2" xfId="12000"/>
    <cellStyle name="Cálculo 2 3 9 2 2" xfId="26322"/>
    <cellStyle name="Cálculo 2 3 9 3" xfId="17645"/>
    <cellStyle name="Cálculo 2 4" xfId="328"/>
    <cellStyle name="Cálculo 2 4 2" xfId="329"/>
    <cellStyle name="Cálculo 2 4 2 2" xfId="330"/>
    <cellStyle name="Cálculo 2 4 2 2 2" xfId="6003"/>
    <cellStyle name="Cálculo 2 4 2 2 2 2" xfId="12562"/>
    <cellStyle name="Cálculo 2 4 2 2 2 2 2" xfId="26884"/>
    <cellStyle name="Cálculo 2 4 2 2 2 3" xfId="18207"/>
    <cellStyle name="Cálculo 2 4 2 2 3" xfId="4797"/>
    <cellStyle name="Cálculo 2 4 2 2 3 2" xfId="9487"/>
    <cellStyle name="Cálculo 2 4 2 2 3 2 2" xfId="15749"/>
    <cellStyle name="Cálculo 2 4 2 2 3 2 2 2" xfId="29165"/>
    <cellStyle name="Cálculo 2 4 2 2 3 2 3" xfId="20494"/>
    <cellStyle name="Cálculo 2 4 2 2 3 3" xfId="11326"/>
    <cellStyle name="Cálculo 2 4 2 2 3 3 2" xfId="25648"/>
    <cellStyle name="Cálculo 2 4 2 2 3 4" xfId="17047"/>
    <cellStyle name="Cálculo 2 4 2 2 4" xfId="4890"/>
    <cellStyle name="Cálculo 2 4 2 2 4 2" xfId="23248"/>
    <cellStyle name="Cálculo 2 4 2 2 5" xfId="15441"/>
    <cellStyle name="Cálculo 2 4 2 3" xfId="331"/>
    <cellStyle name="Cálculo 2 4 2 3 2" xfId="5270"/>
    <cellStyle name="Cálculo 2 4 2 3 2 2" xfId="9579"/>
    <cellStyle name="Cálculo 2 4 2 3 2 2 2" xfId="15841"/>
    <cellStyle name="Cálculo 2 4 2 3 2 2 2 2" xfId="29257"/>
    <cellStyle name="Cálculo 2 4 2 3 2 2 3" xfId="20586"/>
    <cellStyle name="Cálculo 2 4 2 3 2 3" xfId="11820"/>
    <cellStyle name="Cálculo 2 4 2 3 2 3 2" xfId="26142"/>
    <cellStyle name="Cálculo 2 4 2 3 2 4" xfId="17465"/>
    <cellStyle name="Cálculo 2 4 2 3 3" xfId="13200"/>
    <cellStyle name="Cálculo 2 4 2 3 3 2" xfId="27522"/>
    <cellStyle name="Cálculo 2 4 2 3 4" xfId="18845"/>
    <cellStyle name="Cálculo 2 4 2 4" xfId="5639"/>
    <cellStyle name="Cálculo 2 4 2 4 2" xfId="12192"/>
    <cellStyle name="Cálculo 2 4 2 4 2 2" xfId="26514"/>
    <cellStyle name="Cálculo 2 4 2 4 3" xfId="17837"/>
    <cellStyle name="Cálculo 2 4 2 5" xfId="4576"/>
    <cellStyle name="Cálculo 2 4 2 5 2" xfId="23043"/>
    <cellStyle name="Cálculo 2 4 2 6" xfId="15422"/>
    <cellStyle name="Cálculo 2 4 3" xfId="332"/>
    <cellStyle name="Cálculo 2 4 3 2" xfId="333"/>
    <cellStyle name="Cálculo 2 4 3 2 2" xfId="6058"/>
    <cellStyle name="Cálculo 2 4 3 2 2 2" xfId="12624"/>
    <cellStyle name="Cálculo 2 4 3 2 2 2 2" xfId="26946"/>
    <cellStyle name="Cálculo 2 4 3 2 2 3" xfId="18269"/>
    <cellStyle name="Cálculo 2 4 3 2 3" xfId="7084"/>
    <cellStyle name="Cálculo 2 4 3 2 3 2" xfId="9698"/>
    <cellStyle name="Cálculo 2 4 3 2 3 2 2" xfId="15960"/>
    <cellStyle name="Cálculo 2 4 3 2 3 2 2 2" xfId="29376"/>
    <cellStyle name="Cálculo 2 4 3 2 3 2 3" xfId="20705"/>
    <cellStyle name="Cálculo 2 4 3 2 3 3" xfId="13688"/>
    <cellStyle name="Cálculo 2 4 3 2 3 3 2" xfId="28010"/>
    <cellStyle name="Cálculo 2 4 3 2 3 4" xfId="19333"/>
    <cellStyle name="Cálculo 2 4 3 2 4" xfId="4093"/>
    <cellStyle name="Cálculo 2 4 3 2 4 2" xfId="22754"/>
    <cellStyle name="Cálculo 2 4 3 2 5" xfId="4240"/>
    <cellStyle name="Cálculo 2 4 3 3" xfId="334"/>
    <cellStyle name="Cálculo 2 4 3 3 2" xfId="7455"/>
    <cellStyle name="Cálculo 2 4 3 3 2 2" xfId="10069"/>
    <cellStyle name="Cálculo 2 4 3 3 2 2 2" xfId="16331"/>
    <cellStyle name="Cálculo 2 4 3 3 2 2 2 2" xfId="29747"/>
    <cellStyle name="Cálculo 2 4 3 3 2 2 3" xfId="21076"/>
    <cellStyle name="Cálculo 2 4 3 3 2 3" xfId="14059"/>
    <cellStyle name="Cálculo 2 4 3 3 2 3 2" xfId="28381"/>
    <cellStyle name="Cálculo 2 4 3 3 2 4" xfId="19704"/>
    <cellStyle name="Cálculo 2 4 3 3 3" xfId="13166"/>
    <cellStyle name="Cálculo 2 4 3 3 3 2" xfId="27488"/>
    <cellStyle name="Cálculo 2 4 3 3 4" xfId="18811"/>
    <cellStyle name="Cálculo 2 4 3 4" xfId="5580"/>
    <cellStyle name="Cálculo 2 4 3 4 2" xfId="12132"/>
    <cellStyle name="Cálculo 2 4 3 4 2 2" xfId="26454"/>
    <cellStyle name="Cálculo 2 4 3 4 3" xfId="17777"/>
    <cellStyle name="Cálculo 2 4 3 5" xfId="4602"/>
    <cellStyle name="Cálculo 2 4 3 5 2" xfId="23061"/>
    <cellStyle name="Cálculo 2 4 3 6" xfId="15524"/>
    <cellStyle name="Cálculo 2 4 4" xfId="335"/>
    <cellStyle name="Cálculo 2 4 4 2" xfId="5187"/>
    <cellStyle name="Cálculo 2 4 4 2 2" xfId="11736"/>
    <cellStyle name="Cálculo 2 4 4 2 2 2" xfId="26058"/>
    <cellStyle name="Cálculo 2 4 4 2 3" xfId="3692"/>
    <cellStyle name="Cálculo 2 4 4 3" xfId="7322"/>
    <cellStyle name="Cálculo 2 4 4 3 2" xfId="9936"/>
    <cellStyle name="Cálculo 2 4 4 3 2 2" xfId="16198"/>
    <cellStyle name="Cálculo 2 4 4 3 2 2 2" xfId="29614"/>
    <cellStyle name="Cálculo 2 4 4 3 2 3" xfId="20943"/>
    <cellStyle name="Cálculo 2 4 4 3 3" xfId="13926"/>
    <cellStyle name="Cálculo 2 4 4 3 3 2" xfId="28248"/>
    <cellStyle name="Cálculo 2 4 4 3 4" xfId="19571"/>
    <cellStyle name="Cálculo 2 4 4 4" xfId="6671"/>
    <cellStyle name="Cálculo 2 4 4 4 2" xfId="23643"/>
    <cellStyle name="Cálculo 2 4 4 5" xfId="17067"/>
    <cellStyle name="Cálculo 2 4 5" xfId="336"/>
    <cellStyle name="Cálculo 2 4 5 2" xfId="7442"/>
    <cellStyle name="Cálculo 2 4 5 2 2" xfId="10056"/>
    <cellStyle name="Cálculo 2 4 5 2 2 2" xfId="16318"/>
    <cellStyle name="Cálculo 2 4 5 2 2 2 2" xfId="29734"/>
    <cellStyle name="Cálculo 2 4 5 2 2 3" xfId="21063"/>
    <cellStyle name="Cálculo 2 4 5 2 3" xfId="14046"/>
    <cellStyle name="Cálculo 2 4 5 2 3 2" xfId="28368"/>
    <cellStyle name="Cálculo 2 4 5 2 4" xfId="19691"/>
    <cellStyle name="Cálculo 2 4 5 3" xfId="11789"/>
    <cellStyle name="Cálculo 2 4 5 3 2" xfId="26111"/>
    <cellStyle name="Cálculo 2 4 5 4" xfId="17434"/>
    <cellStyle name="Cálculo 2 4 6" xfId="4133"/>
    <cellStyle name="Cálculo 2 4 6 2" xfId="2877"/>
    <cellStyle name="Cálculo 2 4 6 2 2" xfId="22407"/>
    <cellStyle name="Cálculo 2 4 6 3" xfId="17331"/>
    <cellStyle name="Cálculo 2 4 7" xfId="6350"/>
    <cellStyle name="Cálculo 2 4 7 2" xfId="23536"/>
    <cellStyle name="Cálculo 2 4 8" xfId="6652"/>
    <cellStyle name="Cálculo 2 5" xfId="337"/>
    <cellStyle name="Cálculo 2 5 2" xfId="338"/>
    <cellStyle name="Cálculo 2 5 2 2" xfId="339"/>
    <cellStyle name="Cálculo 2 5 2 2 2" xfId="5961"/>
    <cellStyle name="Cálculo 2 5 2 2 2 2" xfId="12519"/>
    <cellStyle name="Cálculo 2 5 2 2 2 2 2" xfId="26841"/>
    <cellStyle name="Cálculo 2 5 2 2 2 3" xfId="18164"/>
    <cellStyle name="Cálculo 2 5 2 2 3" xfId="5252"/>
    <cellStyle name="Cálculo 2 5 2 2 3 2" xfId="9561"/>
    <cellStyle name="Cálculo 2 5 2 2 3 2 2" xfId="15823"/>
    <cellStyle name="Cálculo 2 5 2 2 3 2 2 2" xfId="29239"/>
    <cellStyle name="Cálculo 2 5 2 2 3 2 3" xfId="20568"/>
    <cellStyle name="Cálculo 2 5 2 2 3 3" xfId="11802"/>
    <cellStyle name="Cálculo 2 5 2 2 3 3 2" xfId="26124"/>
    <cellStyle name="Cálculo 2 5 2 2 3 4" xfId="17447"/>
    <cellStyle name="Cálculo 2 5 2 2 4" xfId="4127"/>
    <cellStyle name="Cálculo 2 5 2 2 4 2" xfId="22769"/>
    <cellStyle name="Cálculo 2 5 2 2 5" xfId="14882"/>
    <cellStyle name="Cálculo 2 5 2 3" xfId="340"/>
    <cellStyle name="Cálculo 2 5 2 3 2" xfId="7227"/>
    <cellStyle name="Cálculo 2 5 2 3 2 2" xfId="9841"/>
    <cellStyle name="Cálculo 2 5 2 3 2 2 2" xfId="16103"/>
    <cellStyle name="Cálculo 2 5 2 3 2 2 2 2" xfId="29519"/>
    <cellStyle name="Cálculo 2 5 2 3 2 2 3" xfId="20848"/>
    <cellStyle name="Cálculo 2 5 2 3 2 3" xfId="13831"/>
    <cellStyle name="Cálculo 2 5 2 3 2 3 2" xfId="28153"/>
    <cellStyle name="Cálculo 2 5 2 3 2 4" xfId="19476"/>
    <cellStyle name="Cálculo 2 5 2 3 3" xfId="12826"/>
    <cellStyle name="Cálculo 2 5 2 3 3 2" xfId="27148"/>
    <cellStyle name="Cálculo 2 5 2 3 4" xfId="18471"/>
    <cellStyle name="Cálculo 2 5 2 4" xfId="5209"/>
    <cellStyle name="Cálculo 2 5 2 4 2" xfId="11758"/>
    <cellStyle name="Cálculo 2 5 2 4 2 2" xfId="26080"/>
    <cellStyle name="Cálculo 2 5 2 4 3" xfId="17403"/>
    <cellStyle name="Cálculo 2 5 2 5" xfId="3028"/>
    <cellStyle name="Cálculo 2 5 2 5 2" xfId="22415"/>
    <cellStyle name="Cálculo 2 5 2 6" xfId="6735"/>
    <cellStyle name="Cálculo 2 5 3" xfId="341"/>
    <cellStyle name="Cálculo 2 5 3 2" xfId="342"/>
    <cellStyle name="Cálculo 2 5 3 2 2" xfId="5873"/>
    <cellStyle name="Cálculo 2 5 3 2 2 2" xfId="12426"/>
    <cellStyle name="Cálculo 2 5 3 2 2 2 2" xfId="26748"/>
    <cellStyle name="Cálculo 2 5 3 2 2 3" xfId="18071"/>
    <cellStyle name="Cálculo 2 5 3 2 3" xfId="7226"/>
    <cellStyle name="Cálculo 2 5 3 2 3 2" xfId="9840"/>
    <cellStyle name="Cálculo 2 5 3 2 3 2 2" xfId="16102"/>
    <cellStyle name="Cálculo 2 5 3 2 3 2 2 2" xfId="29518"/>
    <cellStyle name="Cálculo 2 5 3 2 3 2 3" xfId="20847"/>
    <cellStyle name="Cálculo 2 5 3 2 3 3" xfId="13830"/>
    <cellStyle name="Cálculo 2 5 3 2 3 3 2" xfId="28152"/>
    <cellStyle name="Cálculo 2 5 3 2 3 4" xfId="19475"/>
    <cellStyle name="Cálculo 2 5 3 2 4" xfId="4562"/>
    <cellStyle name="Cálculo 2 5 3 2 4 2" xfId="23031"/>
    <cellStyle name="Cálculo 2 5 3 2 5" xfId="14842"/>
    <cellStyle name="Cálculo 2 5 3 3" xfId="343"/>
    <cellStyle name="Cálculo 2 5 3 3 2" xfId="5339"/>
    <cellStyle name="Cálculo 2 5 3 3 2 2" xfId="9648"/>
    <cellStyle name="Cálculo 2 5 3 3 2 2 2" xfId="15910"/>
    <cellStyle name="Cálculo 2 5 3 3 2 2 2 2" xfId="29326"/>
    <cellStyle name="Cálculo 2 5 3 3 2 2 3" xfId="20655"/>
    <cellStyle name="Cálculo 2 5 3 3 2 3" xfId="11889"/>
    <cellStyle name="Cálculo 2 5 3 3 2 3 2" xfId="26211"/>
    <cellStyle name="Cálculo 2 5 3 3 2 4" xfId="17534"/>
    <cellStyle name="Cálculo 2 5 3 3 3" xfId="12575"/>
    <cellStyle name="Cálculo 2 5 3 3 3 2" xfId="26897"/>
    <cellStyle name="Cálculo 2 5 3 3 4" xfId="18220"/>
    <cellStyle name="Cálculo 2 5 3 4" xfId="5190"/>
    <cellStyle name="Cálculo 2 5 3 4 2" xfId="11739"/>
    <cellStyle name="Cálculo 2 5 3 4 2 2" xfId="26061"/>
    <cellStyle name="Cálculo 2 5 3 4 3" xfId="3774"/>
    <cellStyle name="Cálculo 2 5 3 5" xfId="3021"/>
    <cellStyle name="Cálculo 2 5 3 5 2" xfId="22411"/>
    <cellStyle name="Cálculo 2 5 3 6" xfId="17014"/>
    <cellStyle name="Cálculo 2 5 4" xfId="344"/>
    <cellStyle name="Cálculo 2 5 4 2" xfId="6563"/>
    <cellStyle name="Cálculo 2 5 4 2 2" xfId="13151"/>
    <cellStyle name="Cálculo 2 5 4 2 2 2" xfId="27473"/>
    <cellStyle name="Cálculo 2 5 4 2 3" xfId="18796"/>
    <cellStyle name="Cálculo 2 5 4 3" xfId="4298"/>
    <cellStyle name="Cálculo 2 5 4 3 2" xfId="9443"/>
    <cellStyle name="Cálculo 2 5 4 3 2 2" xfId="15705"/>
    <cellStyle name="Cálculo 2 5 4 3 2 2 2" xfId="29121"/>
    <cellStyle name="Cálculo 2 5 4 3 2 3" xfId="20450"/>
    <cellStyle name="Cálculo 2 5 4 3 3" xfId="4558"/>
    <cellStyle name="Cálculo 2 5 4 3 3 2" xfId="23029"/>
    <cellStyle name="Cálculo 2 5 4 3 4" xfId="15538"/>
    <cellStyle name="Cálculo 2 5 4 4" xfId="6637"/>
    <cellStyle name="Cálculo 2 5 4 4 2" xfId="23619"/>
    <cellStyle name="Cálculo 2 5 4 5" xfId="4595"/>
    <cellStyle name="Cálculo 2 5 5" xfId="345"/>
    <cellStyle name="Cálculo 2 5 5 2" xfId="3753"/>
    <cellStyle name="Cálculo 2 5 5 2 2" xfId="9368"/>
    <cellStyle name="Cálculo 2 5 5 2 2 2" xfId="15630"/>
    <cellStyle name="Cálculo 2 5 5 2 2 2 2" xfId="29046"/>
    <cellStyle name="Cálculo 2 5 5 2 2 3" xfId="20375"/>
    <cellStyle name="Cálculo 2 5 5 2 3" xfId="4206"/>
    <cellStyle name="Cálculo 2 5 5 2 3 2" xfId="22821"/>
    <cellStyle name="Cálculo 2 5 5 2 4" xfId="14680"/>
    <cellStyle name="Cálculo 2 5 5 3" xfId="11748"/>
    <cellStyle name="Cálculo 2 5 5 3 2" xfId="26070"/>
    <cellStyle name="Cálculo 2 5 5 4" xfId="4428"/>
    <cellStyle name="Cálculo 2 5 6" xfId="5087"/>
    <cellStyle name="Cálculo 2 5 6 2" xfId="11634"/>
    <cellStyle name="Cálculo 2 5 6 2 2" xfId="25956"/>
    <cellStyle name="Cálculo 2 5 6 3" xfId="15513"/>
    <cellStyle name="Cálculo 2 5 7" xfId="4430"/>
    <cellStyle name="Cálculo 2 5 7 2" xfId="22947"/>
    <cellStyle name="Cálculo 2 5 8" xfId="6351"/>
    <cellStyle name="Cálculo 2 6" xfId="346"/>
    <cellStyle name="Cálculo 2 6 2" xfId="347"/>
    <cellStyle name="Cálculo 2 6 2 2" xfId="348"/>
    <cellStyle name="Cálculo 2 6 2 2 2" xfId="3706"/>
    <cellStyle name="Cálculo 2 6 2 2 2 2" xfId="3696"/>
    <cellStyle name="Cálculo 2 6 2 2 2 2 2" xfId="22535"/>
    <cellStyle name="Cálculo 2 6 2 2 2 3" xfId="14722"/>
    <cellStyle name="Cálculo 2 6 2 2 3" xfId="8020"/>
    <cellStyle name="Cálculo 2 6 2 2 3 2" xfId="10634"/>
    <cellStyle name="Cálculo 2 6 2 2 3 2 2" xfId="16896"/>
    <cellStyle name="Cálculo 2 6 2 2 3 2 2 2" xfId="30312"/>
    <cellStyle name="Cálculo 2 6 2 2 3 2 3" xfId="21641"/>
    <cellStyle name="Cálculo 2 6 2 2 3 3" xfId="14624"/>
    <cellStyle name="Cálculo 2 6 2 2 3 3 2" xfId="28946"/>
    <cellStyle name="Cálculo 2 6 2 2 3 4" xfId="20269"/>
    <cellStyle name="Cálculo 2 6 2 2 4" xfId="4334"/>
    <cellStyle name="Cálculo 2 6 2 2 4 2" xfId="22893"/>
    <cellStyle name="Cálculo 2 6 2 2 5" xfId="17200"/>
    <cellStyle name="Cálculo 2 6 2 3" xfId="349"/>
    <cellStyle name="Cálculo 2 6 2 3 2" xfId="7727"/>
    <cellStyle name="Cálculo 2 6 2 3 2 2" xfId="10341"/>
    <cellStyle name="Cálculo 2 6 2 3 2 2 2" xfId="16603"/>
    <cellStyle name="Cálculo 2 6 2 3 2 2 2 2" xfId="30019"/>
    <cellStyle name="Cálculo 2 6 2 3 2 2 3" xfId="21348"/>
    <cellStyle name="Cálculo 2 6 2 3 2 3" xfId="14331"/>
    <cellStyle name="Cálculo 2 6 2 3 2 3 2" xfId="28653"/>
    <cellStyle name="Cálculo 2 6 2 3 2 4" xfId="19976"/>
    <cellStyle name="Cálculo 2 6 2 3 3" xfId="13234"/>
    <cellStyle name="Cálculo 2 6 2 3 3 2" xfId="27556"/>
    <cellStyle name="Cálculo 2 6 2 3 4" xfId="18879"/>
    <cellStyle name="Cálculo 2 6 2 4" xfId="5675"/>
    <cellStyle name="Cálculo 2 6 2 4 2" xfId="12228"/>
    <cellStyle name="Cálculo 2 6 2 4 2 2" xfId="26550"/>
    <cellStyle name="Cálculo 2 6 2 4 3" xfId="17873"/>
    <cellStyle name="Cálculo 2 6 2 5" xfId="6358"/>
    <cellStyle name="Cálculo 2 6 2 5 2" xfId="23542"/>
    <cellStyle name="Cálculo 2 6 2 6" xfId="15584"/>
    <cellStyle name="Cálculo 2 6 3" xfId="350"/>
    <cellStyle name="Cálculo 2 6 3 2" xfId="351"/>
    <cellStyle name="Cálculo 2 6 3 2 2" xfId="6539"/>
    <cellStyle name="Cálculo 2 6 3 2 2 2" xfId="13127"/>
    <cellStyle name="Cálculo 2 6 3 2 2 2 2" xfId="27449"/>
    <cellStyle name="Cálculo 2 6 3 2 2 3" xfId="18772"/>
    <cellStyle name="Cálculo 2 6 3 2 3" xfId="3259"/>
    <cellStyle name="Cálculo 2 6 3 2 3 2" xfId="9049"/>
    <cellStyle name="Cálculo 2 6 3 2 3 2 2" xfId="15388"/>
    <cellStyle name="Cálculo 2 6 3 2 3 2 2 2" xfId="29007"/>
    <cellStyle name="Cálculo 2 6 3 2 3 2 3" xfId="20334"/>
    <cellStyle name="Cálculo 2 6 3 2 3 3" xfId="4467"/>
    <cellStyle name="Cálculo 2 6 3 2 3 3 2" xfId="22967"/>
    <cellStyle name="Cálculo 2 6 3 2 3 4" xfId="14802"/>
    <cellStyle name="Cálculo 2 6 3 2 4" xfId="4465"/>
    <cellStyle name="Cálculo 2 6 3 2 4 2" xfId="22966"/>
    <cellStyle name="Cálculo 2 6 3 2 5" xfId="15075"/>
    <cellStyle name="Cálculo 2 6 3 3" xfId="352"/>
    <cellStyle name="Cálculo 2 6 3 3 2" xfId="7711"/>
    <cellStyle name="Cálculo 2 6 3 3 2 2" xfId="10325"/>
    <cellStyle name="Cálculo 2 6 3 3 2 2 2" xfId="16587"/>
    <cellStyle name="Cálculo 2 6 3 3 2 2 2 2" xfId="30003"/>
    <cellStyle name="Cálculo 2 6 3 3 2 2 3" xfId="21332"/>
    <cellStyle name="Cálculo 2 6 3 3 2 3" xfId="14315"/>
    <cellStyle name="Cálculo 2 6 3 3 2 3 2" xfId="28637"/>
    <cellStyle name="Cálculo 2 6 3 3 2 4" xfId="19960"/>
    <cellStyle name="Cálculo 2 6 3 3 3" xfId="12160"/>
    <cellStyle name="Cálculo 2 6 3 3 3 2" xfId="26482"/>
    <cellStyle name="Cálculo 2 6 3 3 4" xfId="17805"/>
    <cellStyle name="Cálculo 2 6 3 4" xfId="5061"/>
    <cellStyle name="Cálculo 2 6 3 4 2" xfId="11608"/>
    <cellStyle name="Cálculo 2 6 3 4 2 2" xfId="25930"/>
    <cellStyle name="Cálculo 2 6 3 4 3" xfId="15102"/>
    <cellStyle name="Cálculo 2 6 3 5" xfId="4771"/>
    <cellStyle name="Cálculo 2 6 3 5 2" xfId="23179"/>
    <cellStyle name="Cálculo 2 6 3 6" xfId="17342"/>
    <cellStyle name="Cálculo 2 6 4" xfId="353"/>
    <cellStyle name="Cálculo 2 6 4 2" xfId="5823"/>
    <cellStyle name="Cálculo 2 6 4 2 2" xfId="12376"/>
    <cellStyle name="Cálculo 2 6 4 2 2 2" xfId="26698"/>
    <cellStyle name="Cálculo 2 6 4 2 3" xfId="18021"/>
    <cellStyle name="Cálculo 2 6 4 3" xfId="7144"/>
    <cellStyle name="Cálculo 2 6 4 3 2" xfId="9758"/>
    <cellStyle name="Cálculo 2 6 4 3 2 2" xfId="16020"/>
    <cellStyle name="Cálculo 2 6 4 3 2 2 2" xfId="29436"/>
    <cellStyle name="Cálculo 2 6 4 3 2 3" xfId="20765"/>
    <cellStyle name="Cálculo 2 6 4 3 3" xfId="13748"/>
    <cellStyle name="Cálculo 2 6 4 3 3 2" xfId="28070"/>
    <cellStyle name="Cálculo 2 6 4 3 4" xfId="19393"/>
    <cellStyle name="Cálculo 2 6 4 4" xfId="6182"/>
    <cellStyle name="Cálculo 2 6 4 4 2" xfId="23447"/>
    <cellStyle name="Cálculo 2 6 4 5" xfId="16974"/>
    <cellStyle name="Cálculo 2 6 5" xfId="354"/>
    <cellStyle name="Cálculo 2 6 5 2" xfId="5315"/>
    <cellStyle name="Cálculo 2 6 5 2 2" xfId="9624"/>
    <cellStyle name="Cálculo 2 6 5 2 2 2" xfId="15886"/>
    <cellStyle name="Cálculo 2 6 5 2 2 2 2" xfId="29302"/>
    <cellStyle name="Cálculo 2 6 5 2 2 3" xfId="20631"/>
    <cellStyle name="Cálculo 2 6 5 2 3" xfId="11865"/>
    <cellStyle name="Cálculo 2 6 5 2 3 2" xfId="26187"/>
    <cellStyle name="Cálculo 2 6 5 2 4" xfId="17510"/>
    <cellStyle name="Cálculo 2 6 5 3" xfId="12635"/>
    <cellStyle name="Cálculo 2 6 5 3 2" xfId="26957"/>
    <cellStyle name="Cálculo 2 6 5 4" xfId="18280"/>
    <cellStyle name="Cálculo 2 6 6" xfId="5164"/>
    <cellStyle name="Cálculo 2 6 6 2" xfId="11713"/>
    <cellStyle name="Cálculo 2 6 6 2 2" xfId="26035"/>
    <cellStyle name="Cálculo 2 6 6 3" xfId="6581"/>
    <cellStyle name="Cálculo 2 6 7" xfId="4743"/>
    <cellStyle name="Cálculo 2 6 7 2" xfId="23165"/>
    <cellStyle name="Cálculo 2 6 8" xfId="15310"/>
    <cellStyle name="Cálculo 2 7" xfId="355"/>
    <cellStyle name="Cálculo 2 7 2" xfId="356"/>
    <cellStyle name="Cálculo 2 7 2 2" xfId="357"/>
    <cellStyle name="Cálculo 2 7 2 2 2" xfId="5181"/>
    <cellStyle name="Cálculo 2 7 2 2 2 2" xfId="11730"/>
    <cellStyle name="Cálculo 2 7 2 2 2 2 2" xfId="26052"/>
    <cellStyle name="Cálculo 2 7 2 2 2 3" xfId="4151"/>
    <cellStyle name="Cálculo 2 7 2 2 3" xfId="7275"/>
    <cellStyle name="Cálculo 2 7 2 2 3 2" xfId="9889"/>
    <cellStyle name="Cálculo 2 7 2 2 3 2 2" xfId="16151"/>
    <cellStyle name="Cálculo 2 7 2 2 3 2 2 2" xfId="29567"/>
    <cellStyle name="Cálculo 2 7 2 2 3 2 3" xfId="20896"/>
    <cellStyle name="Cálculo 2 7 2 2 3 3" xfId="13879"/>
    <cellStyle name="Cálculo 2 7 2 2 3 3 2" xfId="28201"/>
    <cellStyle name="Cálculo 2 7 2 2 3 4" xfId="19524"/>
    <cellStyle name="Cálculo 2 7 2 2 4" xfId="6646"/>
    <cellStyle name="Cálculo 2 7 2 2 4 2" xfId="23625"/>
    <cellStyle name="Cálculo 2 7 2 2 5" xfId="15053"/>
    <cellStyle name="Cálculo 2 7 2 3" xfId="358"/>
    <cellStyle name="Cálculo 2 7 2 3 2" xfId="7215"/>
    <cellStyle name="Cálculo 2 7 2 3 2 2" xfId="9829"/>
    <cellStyle name="Cálculo 2 7 2 3 2 2 2" xfId="16091"/>
    <cellStyle name="Cálculo 2 7 2 3 2 2 2 2" xfId="29507"/>
    <cellStyle name="Cálculo 2 7 2 3 2 2 3" xfId="20836"/>
    <cellStyle name="Cálculo 2 7 2 3 2 3" xfId="13819"/>
    <cellStyle name="Cálculo 2 7 2 3 2 3 2" xfId="28141"/>
    <cellStyle name="Cálculo 2 7 2 3 2 4" xfId="19464"/>
    <cellStyle name="Cálculo 2 7 2 3 3" xfId="13403"/>
    <cellStyle name="Cálculo 2 7 2 3 3 2" xfId="27725"/>
    <cellStyle name="Cálculo 2 7 2 3 4" xfId="19048"/>
    <cellStyle name="Cálculo 2 7 2 4" xfId="5868"/>
    <cellStyle name="Cálculo 2 7 2 4 2" xfId="12421"/>
    <cellStyle name="Cálculo 2 7 2 4 2 2" xfId="26743"/>
    <cellStyle name="Cálculo 2 7 2 4 3" xfId="18066"/>
    <cellStyle name="Cálculo 2 7 2 5" xfId="6279"/>
    <cellStyle name="Cálculo 2 7 2 5 2" xfId="23488"/>
    <cellStyle name="Cálculo 2 7 2 6" xfId="15297"/>
    <cellStyle name="Cálculo 2 7 3" xfId="359"/>
    <cellStyle name="Cálculo 2 7 3 2" xfId="6873"/>
    <cellStyle name="Cálculo 2 7 3 2 2" xfId="13477"/>
    <cellStyle name="Cálculo 2 7 3 2 2 2" xfId="27799"/>
    <cellStyle name="Cálculo 2 7 3 2 3" xfId="19122"/>
    <cellStyle name="Cálculo 2 7 3 3" xfId="7776"/>
    <cellStyle name="Cálculo 2 7 3 3 2" xfId="10390"/>
    <cellStyle name="Cálculo 2 7 3 3 2 2" xfId="16652"/>
    <cellStyle name="Cálculo 2 7 3 3 2 2 2" xfId="30068"/>
    <cellStyle name="Cálculo 2 7 3 3 2 3" xfId="21397"/>
    <cellStyle name="Cálculo 2 7 3 3 3" xfId="14380"/>
    <cellStyle name="Cálculo 2 7 3 3 3 2" xfId="28702"/>
    <cellStyle name="Cálculo 2 7 3 3 4" xfId="20025"/>
    <cellStyle name="Cálculo 2 7 3 4" xfId="11340"/>
    <cellStyle name="Cálculo 2 7 3 4 2" xfId="25662"/>
    <cellStyle name="Cálculo 2 7 3 5" xfId="6284"/>
    <cellStyle name="Cálculo 2 7 4" xfId="360"/>
    <cellStyle name="Cálculo 2 7 4 2" xfId="5007"/>
    <cellStyle name="Cálculo 2 7 4 2 2" xfId="9539"/>
    <cellStyle name="Cálculo 2 7 4 2 2 2" xfId="15801"/>
    <cellStyle name="Cálculo 2 7 4 2 2 2 2" xfId="29217"/>
    <cellStyle name="Cálculo 2 7 4 2 2 3" xfId="20546"/>
    <cellStyle name="Cálculo 2 7 4 2 3" xfId="11552"/>
    <cellStyle name="Cálculo 2 7 4 2 3 2" xfId="25874"/>
    <cellStyle name="Cálculo 2 7 4 2 4" xfId="17177"/>
    <cellStyle name="Cálculo 2 7 4 3" xfId="12700"/>
    <cellStyle name="Cálculo 2 7 4 3 2" xfId="27022"/>
    <cellStyle name="Cálculo 2 7 4 4" xfId="18345"/>
    <cellStyle name="Cálculo 2 7 5" xfId="5080"/>
    <cellStyle name="Cálculo 2 7 5 2" xfId="11627"/>
    <cellStyle name="Cálculo 2 7 5 2 2" xfId="25949"/>
    <cellStyle name="Cálculo 2 7 5 3" xfId="17349"/>
    <cellStyle name="Cálculo 2 7 6" xfId="4646"/>
    <cellStyle name="Cálculo 2 7 6 2" xfId="23090"/>
    <cellStyle name="Cálculo 2 7 7" xfId="6328"/>
    <cellStyle name="Cálculo 2 8" xfId="361"/>
    <cellStyle name="Cálculo 2 8 2" xfId="362"/>
    <cellStyle name="Cálculo 2 8 2 2" xfId="5969"/>
    <cellStyle name="Cálculo 2 8 2 2 2" xfId="12527"/>
    <cellStyle name="Cálculo 2 8 2 2 2 2" xfId="26849"/>
    <cellStyle name="Cálculo 2 8 2 2 3" xfId="18172"/>
    <cellStyle name="Cálculo 2 8 2 3" xfId="7365"/>
    <cellStyle name="Cálculo 2 8 2 3 2" xfId="9979"/>
    <cellStyle name="Cálculo 2 8 2 3 2 2" xfId="16241"/>
    <cellStyle name="Cálculo 2 8 2 3 2 2 2" xfId="29657"/>
    <cellStyle name="Cálculo 2 8 2 3 2 3" xfId="20986"/>
    <cellStyle name="Cálculo 2 8 2 3 3" xfId="13969"/>
    <cellStyle name="Cálculo 2 8 2 3 3 2" xfId="28291"/>
    <cellStyle name="Cálculo 2 8 2 3 4" xfId="19614"/>
    <cellStyle name="Cálculo 2 8 2 4" xfId="4190"/>
    <cellStyle name="Cálculo 2 8 2 4 2" xfId="22812"/>
    <cellStyle name="Cálculo 2 8 2 5" xfId="17295"/>
    <cellStyle name="Cálculo 2 8 3" xfId="363"/>
    <cellStyle name="Cálculo 2 8 3 2" xfId="7729"/>
    <cellStyle name="Cálculo 2 8 3 2 2" xfId="10343"/>
    <cellStyle name="Cálculo 2 8 3 2 2 2" xfId="16605"/>
    <cellStyle name="Cálculo 2 8 3 2 2 2 2" xfId="30021"/>
    <cellStyle name="Cálculo 2 8 3 2 2 3" xfId="21350"/>
    <cellStyle name="Cálculo 2 8 3 2 3" xfId="14333"/>
    <cellStyle name="Cálculo 2 8 3 2 3 2" xfId="28655"/>
    <cellStyle name="Cálculo 2 8 3 2 4" xfId="19978"/>
    <cellStyle name="Cálculo 2 8 3 3" xfId="13192"/>
    <cellStyle name="Cálculo 2 8 3 3 2" xfId="27514"/>
    <cellStyle name="Cálculo 2 8 3 4" xfId="18837"/>
    <cellStyle name="Cálculo 2 8 4" xfId="5629"/>
    <cellStyle name="Cálculo 2 8 4 2" xfId="12182"/>
    <cellStyle name="Cálculo 2 8 4 2 2" xfId="26504"/>
    <cellStyle name="Cálculo 2 8 4 3" xfId="17827"/>
    <cellStyle name="Cálculo 2 8 5" xfId="6766"/>
    <cellStyle name="Cálculo 2 8 5 2" xfId="23712"/>
    <cellStyle name="Cálculo 2 8 6" xfId="17361"/>
    <cellStyle name="Cálculo 2 9" xfId="364"/>
    <cellStyle name="Cálculo 2 9 2" xfId="5106"/>
    <cellStyle name="Cálculo 2 9 2 2" xfId="11653"/>
    <cellStyle name="Cálculo 2 9 2 2 2" xfId="25975"/>
    <cellStyle name="Cálculo 2 9 2 3" xfId="4331"/>
    <cellStyle name="Cálculo 2 9 3" xfId="7557"/>
    <cellStyle name="Cálculo 2 9 3 2" xfId="10171"/>
    <cellStyle name="Cálculo 2 9 3 2 2" xfId="16433"/>
    <cellStyle name="Cálculo 2 9 3 2 2 2" xfId="29849"/>
    <cellStyle name="Cálculo 2 9 3 2 3" xfId="21178"/>
    <cellStyle name="Cálculo 2 9 3 3" xfId="14161"/>
    <cellStyle name="Cálculo 2 9 3 3 2" xfId="28483"/>
    <cellStyle name="Cálculo 2 9 3 4" xfId="19806"/>
    <cellStyle name="Cálculo 2 9 4" xfId="3613"/>
    <cellStyle name="Cálculo 2 9 4 2" xfId="22488"/>
    <cellStyle name="Cálculo 2 9 5" xfId="6337"/>
    <cellStyle name="Cálculo 3" xfId="365"/>
    <cellStyle name="Cálculo 3 2" xfId="6968"/>
    <cellStyle name="Cálculo 3 2 2" xfId="13572"/>
    <cellStyle name="Cálculo 3 2 2 2" xfId="27894"/>
    <cellStyle name="Cálculo 3 2 3" xfId="19217"/>
    <cellStyle name="Cálculo 3 3" xfId="7747"/>
    <cellStyle name="Cálculo 3 3 2" xfId="10361"/>
    <cellStyle name="Cálculo 3 3 2 2" xfId="16623"/>
    <cellStyle name="Cálculo 3 3 2 2 2" xfId="30039"/>
    <cellStyle name="Cálculo 3 3 2 3" xfId="21368"/>
    <cellStyle name="Cálculo 3 3 3" xfId="14351"/>
    <cellStyle name="Cálculo 3 3 3 2" xfId="28673"/>
    <cellStyle name="Cálculo 3 3 4" xfId="19996"/>
    <cellStyle name="Cálculo 3 4" xfId="11473"/>
    <cellStyle name="Cálculo 3 4 2" xfId="25795"/>
    <cellStyle name="Cálculo 3 5" xfId="6253"/>
    <cellStyle name="Cálculo 4" xfId="3851"/>
    <cellStyle name="Cálculo 4 2" xfId="6789"/>
    <cellStyle name="Cálculo 4 2 2" xfId="23733"/>
    <cellStyle name="Cálculo 4 3" xfId="17096"/>
    <cellStyle name="Cálculo 5" xfId="6825"/>
    <cellStyle name="Cálculo 5 2" xfId="23758"/>
    <cellStyle name="Cálculo 6" xfId="15498"/>
    <cellStyle name="Cálculo 7" xfId="21696"/>
    <cellStyle name="Cálculo 8" xfId="21699"/>
    <cellStyle name="Célula Ligada" xfId="366"/>
    <cellStyle name="Check Cell 2" xfId="367"/>
    <cellStyle name="Comma" xfId="1" builtinId="3"/>
    <cellStyle name="Cor1" xfId="368"/>
    <cellStyle name="Cor2" xfId="369"/>
    <cellStyle name="Cor3" xfId="370"/>
    <cellStyle name="Cor4" xfId="371"/>
    <cellStyle name="Cor5" xfId="372"/>
    <cellStyle name="Cor6" xfId="373"/>
    <cellStyle name="Correcto" xfId="374"/>
    <cellStyle name="Entrada" xfId="375"/>
    <cellStyle name="Entrada 2" xfId="376"/>
    <cellStyle name="Entrada 2 10" xfId="377"/>
    <cellStyle name="Entrada 2 10 2" xfId="7229"/>
    <cellStyle name="Entrada 2 10 2 2" xfId="9843"/>
    <cellStyle name="Entrada 2 10 2 2 2" xfId="16105"/>
    <cellStyle name="Entrada 2 10 2 2 2 2" xfId="29521"/>
    <cellStyle name="Entrada 2 10 2 2 3" xfId="20850"/>
    <cellStyle name="Entrada 2 10 2 3" xfId="13833"/>
    <cellStyle name="Entrada 2 10 2 3 2" xfId="28155"/>
    <cellStyle name="Entrada 2 10 2 4" xfId="19478"/>
    <cellStyle name="Entrada 2 10 3" xfId="12119"/>
    <cellStyle name="Entrada 2 10 3 2" xfId="26441"/>
    <cellStyle name="Entrada 2 10 4" xfId="17764"/>
    <cellStyle name="Entrada 2 11" xfId="4936"/>
    <cellStyle name="Entrada 2 11 2" xfId="11474"/>
    <cellStyle name="Entrada 2 11 2 2" xfId="25796"/>
    <cellStyle name="Entrada 2 11 3" xfId="15134"/>
    <cellStyle name="Entrada 2 12" xfId="6502"/>
    <cellStyle name="Entrada 2 12 2" xfId="23572"/>
    <cellStyle name="Entrada 2 13" xfId="14936"/>
    <cellStyle name="Entrada 2 2" xfId="378"/>
    <cellStyle name="Entrada 2 2 10" xfId="5355"/>
    <cellStyle name="Entrada 2 2 10 2" xfId="11905"/>
    <cellStyle name="Entrada 2 2 10 2 2" xfId="26227"/>
    <cellStyle name="Entrada 2 2 10 3" xfId="17550"/>
    <cellStyle name="Entrada 2 2 11" xfId="3985"/>
    <cellStyle name="Entrada 2 2 11 2" xfId="22686"/>
    <cellStyle name="Entrada 2 2 12" xfId="17345"/>
    <cellStyle name="Entrada 2 2 2" xfId="379"/>
    <cellStyle name="Entrada 2 2 2 10" xfId="6053"/>
    <cellStyle name="Entrada 2 2 2 10 2" xfId="23399"/>
    <cellStyle name="Entrada 2 2 2 11" xfId="15525"/>
    <cellStyle name="Entrada 2 2 2 2" xfId="380"/>
    <cellStyle name="Entrada 2 2 2 2 2" xfId="381"/>
    <cellStyle name="Entrada 2 2 2 2 2 2" xfId="382"/>
    <cellStyle name="Entrada 2 2 2 2 2 2 2" xfId="5404"/>
    <cellStyle name="Entrada 2 2 2 2 2 2 2 2" xfId="11954"/>
    <cellStyle name="Entrada 2 2 2 2 2 2 2 2 2" xfId="26276"/>
    <cellStyle name="Entrada 2 2 2 2 2 2 2 3" xfId="17599"/>
    <cellStyle name="Entrada 2 2 2 2 2 2 3" xfId="7264"/>
    <cellStyle name="Entrada 2 2 2 2 2 2 3 2" xfId="9878"/>
    <cellStyle name="Entrada 2 2 2 2 2 2 3 2 2" xfId="16140"/>
    <cellStyle name="Entrada 2 2 2 2 2 2 3 2 2 2" xfId="29556"/>
    <cellStyle name="Entrada 2 2 2 2 2 2 3 2 3" xfId="20885"/>
    <cellStyle name="Entrada 2 2 2 2 2 2 3 3" xfId="13868"/>
    <cellStyle name="Entrada 2 2 2 2 2 2 3 3 2" xfId="28190"/>
    <cellStyle name="Entrada 2 2 2 2 2 2 3 4" xfId="19513"/>
    <cellStyle name="Entrada 2 2 2 2 2 2 4" xfId="6659"/>
    <cellStyle name="Entrada 2 2 2 2 2 2 4 2" xfId="23635"/>
    <cellStyle name="Entrada 2 2 2 2 2 2 5" xfId="17152"/>
    <cellStyle name="Entrada 2 2 2 2 2 3" xfId="383"/>
    <cellStyle name="Entrada 2 2 2 2 2 3 2" xfId="4080"/>
    <cellStyle name="Entrada 2 2 2 2 2 3 2 2" xfId="9419"/>
    <cellStyle name="Entrada 2 2 2 2 2 3 2 2 2" xfId="15681"/>
    <cellStyle name="Entrada 2 2 2 2 2 3 2 2 2 2" xfId="29097"/>
    <cellStyle name="Entrada 2 2 2 2 2 3 2 2 3" xfId="20426"/>
    <cellStyle name="Entrada 2 2 2 2 2 3 2 3" xfId="3815"/>
    <cellStyle name="Entrada 2 2 2 2 2 3 2 3 2" xfId="22596"/>
    <cellStyle name="Entrada 2 2 2 2 2 3 2 4" xfId="15423"/>
    <cellStyle name="Entrada 2 2 2 2 2 3 3" xfId="13318"/>
    <cellStyle name="Entrada 2 2 2 2 2 3 3 2" xfId="27640"/>
    <cellStyle name="Entrada 2 2 2 2 2 3 4" xfId="18963"/>
    <cellStyle name="Entrada 2 2 2 2 2 4" xfId="5768"/>
    <cellStyle name="Entrada 2 2 2 2 2 4 2" xfId="12321"/>
    <cellStyle name="Entrada 2 2 2 2 2 4 2 2" xfId="26643"/>
    <cellStyle name="Entrada 2 2 2 2 2 4 3" xfId="17966"/>
    <cellStyle name="Entrada 2 2 2 2 2 5" xfId="4751"/>
    <cellStyle name="Entrada 2 2 2 2 2 5 2" xfId="23169"/>
    <cellStyle name="Entrada 2 2 2 2 2 6" xfId="15331"/>
    <cellStyle name="Entrada 2 2 2 2 3" xfId="384"/>
    <cellStyle name="Entrada 2 2 2 2 3 2" xfId="385"/>
    <cellStyle name="Entrada 2 2 2 2 3 2 2" xfId="6916"/>
    <cellStyle name="Entrada 2 2 2 2 3 2 2 2" xfId="13520"/>
    <cellStyle name="Entrada 2 2 2 2 3 2 2 2 2" xfId="27842"/>
    <cellStyle name="Entrada 2 2 2 2 3 2 2 3" xfId="19165"/>
    <cellStyle name="Entrada 2 2 2 2 3 2 3" xfId="7940"/>
    <cellStyle name="Entrada 2 2 2 2 3 2 3 2" xfId="10554"/>
    <cellStyle name="Entrada 2 2 2 2 3 2 3 2 2" xfId="16816"/>
    <cellStyle name="Entrada 2 2 2 2 3 2 3 2 2 2" xfId="30232"/>
    <cellStyle name="Entrada 2 2 2 2 3 2 3 2 3" xfId="21561"/>
    <cellStyle name="Entrada 2 2 2 2 3 2 3 3" xfId="14544"/>
    <cellStyle name="Entrada 2 2 2 2 3 2 3 3 2" xfId="28866"/>
    <cellStyle name="Entrada 2 2 2 2 3 2 3 4" xfId="20189"/>
    <cellStyle name="Entrada 2 2 2 2 3 2 4" xfId="11402"/>
    <cellStyle name="Entrada 2 2 2 2 3 2 4 2" xfId="25724"/>
    <cellStyle name="Entrada 2 2 2 2 3 2 5" xfId="15054"/>
    <cellStyle name="Entrada 2 2 2 2 3 3" xfId="386"/>
    <cellStyle name="Entrada 2 2 2 2 3 3 2" xfId="7178"/>
    <cellStyle name="Entrada 2 2 2 2 3 3 2 2" xfId="9792"/>
    <cellStyle name="Entrada 2 2 2 2 3 3 2 2 2" xfId="16054"/>
    <cellStyle name="Entrada 2 2 2 2 3 3 2 2 2 2" xfId="29470"/>
    <cellStyle name="Entrada 2 2 2 2 3 3 2 2 3" xfId="20799"/>
    <cellStyle name="Entrada 2 2 2 2 3 3 2 3" xfId="13782"/>
    <cellStyle name="Entrada 2 2 2 2 3 3 2 3 2" xfId="28104"/>
    <cellStyle name="Entrada 2 2 2 2 3 3 2 4" xfId="19427"/>
    <cellStyle name="Entrada 2 2 2 2 3 3 3" xfId="13421"/>
    <cellStyle name="Entrada 2 2 2 2 3 3 3 2" xfId="27743"/>
    <cellStyle name="Entrada 2 2 2 2 3 3 4" xfId="19066"/>
    <cellStyle name="Entrada 2 2 2 2 3 4" xfId="5894"/>
    <cellStyle name="Entrada 2 2 2 2 3 4 2" xfId="12447"/>
    <cellStyle name="Entrada 2 2 2 2 3 4 2 2" xfId="26769"/>
    <cellStyle name="Entrada 2 2 2 2 3 4 3" xfId="18092"/>
    <cellStyle name="Entrada 2 2 2 2 3 5" xfId="5603"/>
    <cellStyle name="Entrada 2 2 2 2 3 5 2" xfId="23356"/>
    <cellStyle name="Entrada 2 2 2 2 3 6" xfId="17220"/>
    <cellStyle name="Entrada 2 2 2 2 4" xfId="387"/>
    <cellStyle name="Entrada 2 2 2 2 4 2" xfId="6971"/>
    <cellStyle name="Entrada 2 2 2 2 4 2 2" xfId="13575"/>
    <cellStyle name="Entrada 2 2 2 2 4 2 2 2" xfId="27897"/>
    <cellStyle name="Entrada 2 2 2 2 4 2 3" xfId="19220"/>
    <cellStyle name="Entrada 2 2 2 2 4 3" xfId="7302"/>
    <cellStyle name="Entrada 2 2 2 2 4 3 2" xfId="9916"/>
    <cellStyle name="Entrada 2 2 2 2 4 3 2 2" xfId="16178"/>
    <cellStyle name="Entrada 2 2 2 2 4 3 2 2 2" xfId="29594"/>
    <cellStyle name="Entrada 2 2 2 2 4 3 2 3" xfId="20923"/>
    <cellStyle name="Entrada 2 2 2 2 4 3 3" xfId="13906"/>
    <cellStyle name="Entrada 2 2 2 2 4 3 3 2" xfId="28228"/>
    <cellStyle name="Entrada 2 2 2 2 4 3 4" xfId="19551"/>
    <cellStyle name="Entrada 2 2 2 2 4 4" xfId="11478"/>
    <cellStyle name="Entrada 2 2 2 2 4 4 2" xfId="25800"/>
    <cellStyle name="Entrada 2 2 2 2 4 5" xfId="16997"/>
    <cellStyle name="Entrada 2 2 2 2 5" xfId="388"/>
    <cellStyle name="Entrada 2 2 2 2 5 2" xfId="5029"/>
    <cellStyle name="Entrada 2 2 2 2 5 2 2" xfId="9548"/>
    <cellStyle name="Entrada 2 2 2 2 5 2 2 2" xfId="15810"/>
    <cellStyle name="Entrada 2 2 2 2 5 2 2 2 2" xfId="29226"/>
    <cellStyle name="Entrada 2 2 2 2 5 2 2 3" xfId="20555"/>
    <cellStyle name="Entrada 2 2 2 2 5 2 3" xfId="11576"/>
    <cellStyle name="Entrada 2 2 2 2 5 2 3 2" xfId="25898"/>
    <cellStyle name="Entrada 2 2 2 2 5 2 4" xfId="15362"/>
    <cellStyle name="Entrada 2 2 2 2 5 3" xfId="12894"/>
    <cellStyle name="Entrada 2 2 2 2 5 3 2" xfId="27216"/>
    <cellStyle name="Entrada 2 2 2 2 5 4" xfId="18539"/>
    <cellStyle name="Entrada 2 2 2 2 6" xfId="5512"/>
    <cellStyle name="Entrada 2 2 2 2 6 2" xfId="12063"/>
    <cellStyle name="Entrada 2 2 2 2 6 2 2" xfId="26385"/>
    <cellStyle name="Entrada 2 2 2 2 6 3" xfId="17708"/>
    <cellStyle name="Entrada 2 2 2 2 7" xfId="3605"/>
    <cellStyle name="Entrada 2 2 2 2 7 2" xfId="22484"/>
    <cellStyle name="Entrada 2 2 2 2 8" xfId="17392"/>
    <cellStyle name="Entrada 2 2 2 3" xfId="389"/>
    <cellStyle name="Entrada 2 2 2 3 2" xfId="390"/>
    <cellStyle name="Entrada 2 2 2 3 2 2" xfId="391"/>
    <cellStyle name="Entrada 2 2 2 3 2 2 2" xfId="6086"/>
    <cellStyle name="Entrada 2 2 2 3 2 2 2 2" xfId="12652"/>
    <cellStyle name="Entrada 2 2 2 3 2 2 2 2 2" xfId="26974"/>
    <cellStyle name="Entrada 2 2 2 3 2 2 2 3" xfId="18297"/>
    <cellStyle name="Entrada 2 2 2 3 2 2 3" xfId="7789"/>
    <cellStyle name="Entrada 2 2 2 3 2 2 3 2" xfId="10403"/>
    <cellStyle name="Entrada 2 2 2 3 2 2 3 2 2" xfId="16665"/>
    <cellStyle name="Entrada 2 2 2 3 2 2 3 2 2 2" xfId="30081"/>
    <cellStyle name="Entrada 2 2 2 3 2 2 3 2 3" xfId="21410"/>
    <cellStyle name="Entrada 2 2 2 3 2 2 3 3" xfId="14393"/>
    <cellStyle name="Entrada 2 2 2 3 2 2 3 3 2" xfId="28715"/>
    <cellStyle name="Entrada 2 2 2 3 2 2 3 4" xfId="20038"/>
    <cellStyle name="Entrada 2 2 2 3 2 2 4" xfId="6338"/>
    <cellStyle name="Entrada 2 2 2 3 2 2 4 2" xfId="23525"/>
    <cellStyle name="Entrada 2 2 2 3 2 2 5" xfId="4869"/>
    <cellStyle name="Entrada 2 2 2 3 2 3" xfId="392"/>
    <cellStyle name="Entrada 2 2 2 3 2 3 2" xfId="7618"/>
    <cellStyle name="Entrada 2 2 2 3 2 3 2 2" xfId="10232"/>
    <cellStyle name="Entrada 2 2 2 3 2 3 2 2 2" xfId="16494"/>
    <cellStyle name="Entrada 2 2 2 3 2 3 2 2 2 2" xfId="29910"/>
    <cellStyle name="Entrada 2 2 2 3 2 3 2 2 3" xfId="21239"/>
    <cellStyle name="Entrada 2 2 2 3 2 3 2 3" xfId="14222"/>
    <cellStyle name="Entrada 2 2 2 3 2 3 2 3 2" xfId="28544"/>
    <cellStyle name="Entrada 2 2 2 3 2 3 2 4" xfId="19867"/>
    <cellStyle name="Entrada 2 2 2 3 2 3 3" xfId="13354"/>
    <cellStyle name="Entrada 2 2 2 3 2 3 3 2" xfId="27676"/>
    <cellStyle name="Entrada 2 2 2 3 2 3 4" xfId="18999"/>
    <cellStyle name="Entrada 2 2 2 3 2 4" xfId="5804"/>
    <cellStyle name="Entrada 2 2 2 3 2 4 2" xfId="12357"/>
    <cellStyle name="Entrada 2 2 2 3 2 4 2 2" xfId="26679"/>
    <cellStyle name="Entrada 2 2 2 3 2 4 3" xfId="18002"/>
    <cellStyle name="Entrada 2 2 2 3 2 5" xfId="5418"/>
    <cellStyle name="Entrada 2 2 2 3 2 5 2" xfId="23345"/>
    <cellStyle name="Entrada 2 2 2 3 2 6" xfId="17033"/>
    <cellStyle name="Entrada 2 2 2 3 3" xfId="393"/>
    <cellStyle name="Entrada 2 2 2 3 3 2" xfId="394"/>
    <cellStyle name="Entrada 2 2 2 3 3 2 2" xfId="6114"/>
    <cellStyle name="Entrada 2 2 2 3 3 2 2 2" xfId="12682"/>
    <cellStyle name="Entrada 2 2 2 3 3 2 2 2 2" xfId="27004"/>
    <cellStyle name="Entrada 2 2 2 3 3 2 2 3" xfId="18327"/>
    <cellStyle name="Entrada 2 2 2 3 3 2 3" xfId="7064"/>
    <cellStyle name="Entrada 2 2 2 3 3 2 3 2" xfId="9678"/>
    <cellStyle name="Entrada 2 2 2 3 3 2 3 2 2" xfId="15940"/>
    <cellStyle name="Entrada 2 2 2 3 3 2 3 2 2 2" xfId="29356"/>
    <cellStyle name="Entrada 2 2 2 3 3 2 3 2 3" xfId="20685"/>
    <cellStyle name="Entrada 2 2 2 3 3 2 3 3" xfId="13668"/>
    <cellStyle name="Entrada 2 2 2 3 3 2 3 3 2" xfId="27990"/>
    <cellStyle name="Entrada 2 2 2 3 3 2 3 4" xfId="19313"/>
    <cellStyle name="Entrada 2 2 2 3 3 2 4" xfId="6642"/>
    <cellStyle name="Entrada 2 2 2 3 3 2 4 2" xfId="23622"/>
    <cellStyle name="Entrada 2 2 2 3 3 2 5" xfId="4297"/>
    <cellStyle name="Entrada 2 2 2 3 3 3" xfId="395"/>
    <cellStyle name="Entrada 2 2 2 3 3 3 2" xfId="8054"/>
    <cellStyle name="Entrada 2 2 2 3 3 3 2 2" xfId="10668"/>
    <cellStyle name="Entrada 2 2 2 3 3 3 2 2 2" xfId="16930"/>
    <cellStyle name="Entrada 2 2 2 3 3 3 2 2 2 2" xfId="30346"/>
    <cellStyle name="Entrada 2 2 2 3 3 3 2 2 3" xfId="21675"/>
    <cellStyle name="Entrada 2 2 2 3 3 3 2 3" xfId="14658"/>
    <cellStyle name="Entrada 2 2 2 3 3 3 2 3 2" xfId="28980"/>
    <cellStyle name="Entrada 2 2 2 3 3 3 2 4" xfId="20303"/>
    <cellStyle name="Entrada 2 2 2 3 3 3 3" xfId="13375"/>
    <cellStyle name="Entrada 2 2 2 3 3 3 3 2" xfId="27697"/>
    <cellStyle name="Entrada 2 2 2 3 3 3 4" xfId="19020"/>
    <cellStyle name="Entrada 2 2 2 3 3 4" xfId="5827"/>
    <cellStyle name="Entrada 2 2 2 3 3 4 2" xfId="12380"/>
    <cellStyle name="Entrada 2 2 2 3 3 4 2 2" xfId="26702"/>
    <cellStyle name="Entrada 2 2 2 3 3 4 3" xfId="18025"/>
    <cellStyle name="Entrada 2 2 2 3 3 5" xfId="4803"/>
    <cellStyle name="Entrada 2 2 2 3 3 5 2" xfId="23196"/>
    <cellStyle name="Entrada 2 2 2 3 3 6" xfId="6656"/>
    <cellStyle name="Entrada 2 2 2 3 4" xfId="396"/>
    <cellStyle name="Entrada 2 2 2 3 4 2" xfId="6085"/>
    <cellStyle name="Entrada 2 2 2 3 4 2 2" xfId="12651"/>
    <cellStyle name="Entrada 2 2 2 3 4 2 2 2" xfId="26973"/>
    <cellStyle name="Entrada 2 2 2 3 4 2 3" xfId="18296"/>
    <cellStyle name="Entrada 2 2 2 3 4 3" xfId="7253"/>
    <cellStyle name="Entrada 2 2 2 3 4 3 2" xfId="9867"/>
    <cellStyle name="Entrada 2 2 2 3 4 3 2 2" xfId="16129"/>
    <cellStyle name="Entrada 2 2 2 3 4 3 2 2 2" xfId="29545"/>
    <cellStyle name="Entrada 2 2 2 3 4 3 2 3" xfId="20874"/>
    <cellStyle name="Entrada 2 2 2 3 4 3 3" xfId="13857"/>
    <cellStyle name="Entrada 2 2 2 3 4 3 3 2" xfId="28179"/>
    <cellStyle name="Entrada 2 2 2 3 4 3 4" xfId="19502"/>
    <cellStyle name="Entrada 2 2 2 3 4 4" xfId="4538"/>
    <cellStyle name="Entrada 2 2 2 3 4 4 2" xfId="23018"/>
    <cellStyle name="Entrada 2 2 2 3 4 5" xfId="17348"/>
    <cellStyle name="Entrada 2 2 2 3 5" xfId="397"/>
    <cellStyle name="Entrada 2 2 2 3 5 2" xfId="7091"/>
    <cellStyle name="Entrada 2 2 2 3 5 2 2" xfId="9705"/>
    <cellStyle name="Entrada 2 2 2 3 5 2 2 2" xfId="15967"/>
    <cellStyle name="Entrada 2 2 2 3 5 2 2 2 2" xfId="29383"/>
    <cellStyle name="Entrada 2 2 2 3 5 2 2 3" xfId="20712"/>
    <cellStyle name="Entrada 2 2 2 3 5 2 3" xfId="13695"/>
    <cellStyle name="Entrada 2 2 2 3 5 2 3 2" xfId="28017"/>
    <cellStyle name="Entrada 2 2 2 3 5 2 4" xfId="19340"/>
    <cellStyle name="Entrada 2 2 2 3 5 3" xfId="12930"/>
    <cellStyle name="Entrada 2 2 2 3 5 3 2" xfId="27252"/>
    <cellStyle name="Entrada 2 2 2 3 5 4" xfId="18575"/>
    <cellStyle name="Entrada 2 2 2 3 6" xfId="5554"/>
    <cellStyle name="Entrada 2 2 2 3 6 2" xfId="12105"/>
    <cellStyle name="Entrada 2 2 2 3 6 2 2" xfId="26427"/>
    <cellStyle name="Entrada 2 2 2 3 6 3" xfId="17750"/>
    <cellStyle name="Entrada 2 2 2 3 7" xfId="6668"/>
    <cellStyle name="Entrada 2 2 2 3 7 2" xfId="23640"/>
    <cellStyle name="Entrada 2 2 2 3 8" xfId="15007"/>
    <cellStyle name="Entrada 2 2 2 4" xfId="398"/>
    <cellStyle name="Entrada 2 2 2 4 2" xfId="399"/>
    <cellStyle name="Entrada 2 2 2 4 2 2" xfId="400"/>
    <cellStyle name="Entrada 2 2 2 4 2 2 2" xfId="6009"/>
    <cellStyle name="Entrada 2 2 2 4 2 2 2 2" xfId="12568"/>
    <cellStyle name="Entrada 2 2 2 4 2 2 2 2 2" xfId="26890"/>
    <cellStyle name="Entrada 2 2 2 4 2 2 2 3" xfId="18213"/>
    <cellStyle name="Entrada 2 2 2 4 2 2 3" xfId="7396"/>
    <cellStyle name="Entrada 2 2 2 4 2 2 3 2" xfId="10010"/>
    <cellStyle name="Entrada 2 2 2 4 2 2 3 2 2" xfId="16272"/>
    <cellStyle name="Entrada 2 2 2 4 2 2 3 2 2 2" xfId="29688"/>
    <cellStyle name="Entrada 2 2 2 4 2 2 3 2 3" xfId="21017"/>
    <cellStyle name="Entrada 2 2 2 4 2 2 3 3" xfId="14000"/>
    <cellStyle name="Entrada 2 2 2 4 2 2 3 3 2" xfId="28322"/>
    <cellStyle name="Entrada 2 2 2 4 2 2 3 4" xfId="19645"/>
    <cellStyle name="Entrada 2 2 2 4 2 2 4" xfId="3466"/>
    <cellStyle name="Entrada 2 2 2 4 2 2 4 2" xfId="22470"/>
    <cellStyle name="Entrada 2 2 2 4 2 2 5" xfId="5610"/>
    <cellStyle name="Entrada 2 2 2 4 2 3" xfId="401"/>
    <cellStyle name="Entrada 2 2 2 4 2 3 2" xfId="5271"/>
    <cellStyle name="Entrada 2 2 2 4 2 3 2 2" xfId="9580"/>
    <cellStyle name="Entrada 2 2 2 4 2 3 2 2 2" xfId="15842"/>
    <cellStyle name="Entrada 2 2 2 4 2 3 2 2 2 2" xfId="29258"/>
    <cellStyle name="Entrada 2 2 2 4 2 3 2 2 3" xfId="20587"/>
    <cellStyle name="Entrada 2 2 2 4 2 3 2 3" xfId="11821"/>
    <cellStyle name="Entrada 2 2 2 4 2 3 2 3 2" xfId="26143"/>
    <cellStyle name="Entrada 2 2 2 4 2 3 2 4" xfId="17466"/>
    <cellStyle name="Entrada 2 2 2 4 2 3 3" xfId="13164"/>
    <cellStyle name="Entrada 2 2 2 4 2 3 3 2" xfId="27486"/>
    <cellStyle name="Entrada 2 2 2 4 2 3 4" xfId="18809"/>
    <cellStyle name="Entrada 2 2 2 4 2 4" xfId="5578"/>
    <cellStyle name="Entrada 2 2 2 4 2 4 2" xfId="12129"/>
    <cellStyle name="Entrada 2 2 2 4 2 4 2 2" xfId="26451"/>
    <cellStyle name="Entrada 2 2 2 4 2 4 3" xfId="17774"/>
    <cellStyle name="Entrada 2 2 2 4 2 5" xfId="6682"/>
    <cellStyle name="Entrada 2 2 2 4 2 5 2" xfId="23651"/>
    <cellStyle name="Entrada 2 2 2 4 2 6" xfId="17118"/>
    <cellStyle name="Entrada 2 2 2 4 3" xfId="402"/>
    <cellStyle name="Entrada 2 2 2 4 3 2" xfId="403"/>
    <cellStyle name="Entrada 2 2 2 4 3 2 2" xfId="7000"/>
    <cellStyle name="Entrada 2 2 2 4 3 2 2 2" xfId="13604"/>
    <cellStyle name="Entrada 2 2 2 4 3 2 2 2 2" xfId="27926"/>
    <cellStyle name="Entrada 2 2 2 4 3 2 2 3" xfId="19249"/>
    <cellStyle name="Entrada 2 2 2 4 3 2 3" xfId="5274"/>
    <cellStyle name="Entrada 2 2 2 4 3 2 3 2" xfId="9583"/>
    <cellStyle name="Entrada 2 2 2 4 3 2 3 2 2" xfId="15845"/>
    <cellStyle name="Entrada 2 2 2 4 3 2 3 2 2 2" xfId="29261"/>
    <cellStyle name="Entrada 2 2 2 4 3 2 3 2 3" xfId="20590"/>
    <cellStyle name="Entrada 2 2 2 4 3 2 3 3" xfId="11824"/>
    <cellStyle name="Entrada 2 2 2 4 3 2 3 3 2" xfId="26146"/>
    <cellStyle name="Entrada 2 2 2 4 3 2 3 4" xfId="17469"/>
    <cellStyle name="Entrada 2 2 2 4 3 2 4" xfId="11516"/>
    <cellStyle name="Entrada 2 2 2 4 3 2 4 2" xfId="25838"/>
    <cellStyle name="Entrada 2 2 2 4 3 2 5" xfId="2786"/>
    <cellStyle name="Entrada 2 2 2 4 3 3" xfId="404"/>
    <cellStyle name="Entrada 2 2 2 4 3 3 2" xfId="5336"/>
    <cellStyle name="Entrada 2 2 2 4 3 3 2 2" xfId="9645"/>
    <cellStyle name="Entrada 2 2 2 4 3 3 2 2 2" xfId="15907"/>
    <cellStyle name="Entrada 2 2 2 4 3 3 2 2 2 2" xfId="29323"/>
    <cellStyle name="Entrada 2 2 2 4 3 3 2 2 3" xfId="20652"/>
    <cellStyle name="Entrada 2 2 2 4 3 3 2 3" xfId="11886"/>
    <cellStyle name="Entrada 2 2 2 4 3 3 2 3 2" xfId="26208"/>
    <cellStyle name="Entrada 2 2 2 4 3 3 2 4" xfId="17531"/>
    <cellStyle name="Entrada 2 2 2 4 3 3 3" xfId="13063"/>
    <cellStyle name="Entrada 2 2 2 4 3 3 3 2" xfId="27385"/>
    <cellStyle name="Entrada 2 2 2 4 3 3 4" xfId="18708"/>
    <cellStyle name="Entrada 2 2 2 4 3 4" xfId="5399"/>
    <cellStyle name="Entrada 2 2 2 4 3 4 2" xfId="11949"/>
    <cellStyle name="Entrada 2 2 2 4 3 4 2 2" xfId="26271"/>
    <cellStyle name="Entrada 2 2 2 4 3 4 3" xfId="17594"/>
    <cellStyle name="Entrada 2 2 2 4 3 5" xfId="6745"/>
    <cellStyle name="Entrada 2 2 2 4 3 5 2" xfId="23693"/>
    <cellStyle name="Entrada 2 2 2 4 3 6" xfId="3610"/>
    <cellStyle name="Entrada 2 2 2 4 4" xfId="405"/>
    <cellStyle name="Entrada 2 2 2 4 4 2" xfId="6092"/>
    <cellStyle name="Entrada 2 2 2 4 4 2 2" xfId="12659"/>
    <cellStyle name="Entrada 2 2 2 4 4 2 2 2" xfId="26981"/>
    <cellStyle name="Entrada 2 2 2 4 4 2 3" xfId="18304"/>
    <cellStyle name="Entrada 2 2 2 4 4 3" xfId="7756"/>
    <cellStyle name="Entrada 2 2 2 4 4 3 2" xfId="10370"/>
    <cellStyle name="Entrada 2 2 2 4 4 3 2 2" xfId="16632"/>
    <cellStyle name="Entrada 2 2 2 4 4 3 2 2 2" xfId="30048"/>
    <cellStyle name="Entrada 2 2 2 4 4 3 2 3" xfId="21377"/>
    <cellStyle name="Entrada 2 2 2 4 4 3 3" xfId="14360"/>
    <cellStyle name="Entrada 2 2 2 4 4 3 3 2" xfId="28682"/>
    <cellStyle name="Entrada 2 2 2 4 4 3 4" xfId="20005"/>
    <cellStyle name="Entrada 2 2 2 4 4 4" xfId="4213"/>
    <cellStyle name="Entrada 2 2 2 4 4 4 2" xfId="22826"/>
    <cellStyle name="Entrada 2 2 2 4 4 5" xfId="4629"/>
    <cellStyle name="Entrada 2 2 2 4 5" xfId="406"/>
    <cellStyle name="Entrada 2 2 2 4 5 2" xfId="7432"/>
    <cellStyle name="Entrada 2 2 2 4 5 2 2" xfId="10046"/>
    <cellStyle name="Entrada 2 2 2 4 5 2 2 2" xfId="16308"/>
    <cellStyle name="Entrada 2 2 2 4 5 2 2 2 2" xfId="29724"/>
    <cellStyle name="Entrada 2 2 2 4 5 2 2 3" xfId="21053"/>
    <cellStyle name="Entrada 2 2 2 4 5 2 3" xfId="14036"/>
    <cellStyle name="Entrada 2 2 2 4 5 2 3 2" xfId="28358"/>
    <cellStyle name="Entrada 2 2 2 4 5 2 4" xfId="19681"/>
    <cellStyle name="Entrada 2 2 2 4 5 3" xfId="12425"/>
    <cellStyle name="Entrada 2 2 2 4 5 3 2" xfId="26747"/>
    <cellStyle name="Entrada 2 2 2 4 5 4" xfId="18070"/>
    <cellStyle name="Entrada 2 2 2 4 6" xfId="5056"/>
    <cellStyle name="Entrada 2 2 2 4 6 2" xfId="11603"/>
    <cellStyle name="Entrada 2 2 2 4 6 2 2" xfId="25925"/>
    <cellStyle name="Entrada 2 2 2 4 6 3" xfId="15311"/>
    <cellStyle name="Entrada 2 2 2 4 7" xfId="3799"/>
    <cellStyle name="Entrada 2 2 2 4 7 2" xfId="22587"/>
    <cellStyle name="Entrada 2 2 2 4 8" xfId="15040"/>
    <cellStyle name="Entrada 2 2 2 5" xfId="407"/>
    <cellStyle name="Entrada 2 2 2 5 2" xfId="408"/>
    <cellStyle name="Entrada 2 2 2 5 2 2" xfId="409"/>
    <cellStyle name="Entrada 2 2 2 5 2 2 2" xfId="6110"/>
    <cellStyle name="Entrada 2 2 2 5 2 2 2 2" xfId="12678"/>
    <cellStyle name="Entrada 2 2 2 5 2 2 2 2 2" xfId="27000"/>
    <cellStyle name="Entrada 2 2 2 5 2 2 2 3" xfId="18323"/>
    <cellStyle name="Entrada 2 2 2 5 2 2 3" xfId="7193"/>
    <cellStyle name="Entrada 2 2 2 5 2 2 3 2" xfId="9807"/>
    <cellStyle name="Entrada 2 2 2 5 2 2 3 2 2" xfId="16069"/>
    <cellStyle name="Entrada 2 2 2 5 2 2 3 2 2 2" xfId="29485"/>
    <cellStyle name="Entrada 2 2 2 5 2 2 3 2 3" xfId="20814"/>
    <cellStyle name="Entrada 2 2 2 5 2 2 3 3" xfId="13797"/>
    <cellStyle name="Entrada 2 2 2 5 2 2 3 3 2" xfId="28119"/>
    <cellStyle name="Entrada 2 2 2 5 2 2 3 4" xfId="19442"/>
    <cellStyle name="Entrada 2 2 2 5 2 2 4" xfId="4780"/>
    <cellStyle name="Entrada 2 2 2 5 2 2 4 2" xfId="23183"/>
    <cellStyle name="Entrada 2 2 2 5 2 2 5" xfId="14687"/>
    <cellStyle name="Entrada 2 2 2 5 2 3" xfId="410"/>
    <cellStyle name="Entrada 2 2 2 5 2 3 2" xfId="4856"/>
    <cellStyle name="Entrada 2 2 2 5 2 3 2 2" xfId="9505"/>
    <cellStyle name="Entrada 2 2 2 5 2 3 2 2 2" xfId="15767"/>
    <cellStyle name="Entrada 2 2 2 5 2 3 2 2 2 2" xfId="29183"/>
    <cellStyle name="Entrada 2 2 2 5 2 3 2 2 3" xfId="20512"/>
    <cellStyle name="Entrada 2 2 2 5 2 3 2 3" xfId="11390"/>
    <cellStyle name="Entrada 2 2 2 5 2 3 2 3 2" xfId="25712"/>
    <cellStyle name="Entrada 2 2 2 5 2 3 2 4" xfId="17001"/>
    <cellStyle name="Entrada 2 2 2 5 2 3 3" xfId="12784"/>
    <cellStyle name="Entrada 2 2 2 5 2 3 3 2" xfId="27106"/>
    <cellStyle name="Entrada 2 2 2 5 2 3 4" xfId="18429"/>
    <cellStyle name="Entrada 2 2 2 5 2 4" xfId="5174"/>
    <cellStyle name="Entrada 2 2 2 5 2 4 2" xfId="11723"/>
    <cellStyle name="Entrada 2 2 2 5 2 4 2 2" xfId="26045"/>
    <cellStyle name="Entrada 2 2 2 5 2 4 3" xfId="4555"/>
    <cellStyle name="Entrada 2 2 2 5 2 5" xfId="4772"/>
    <cellStyle name="Entrada 2 2 2 5 2 5 2" xfId="23180"/>
    <cellStyle name="Entrada 2 2 2 5 2 6" xfId="15093"/>
    <cellStyle name="Entrada 2 2 2 5 3" xfId="411"/>
    <cellStyle name="Entrada 2 2 2 5 3 2" xfId="7020"/>
    <cellStyle name="Entrada 2 2 2 5 3 2 2" xfId="13624"/>
    <cellStyle name="Entrada 2 2 2 5 3 2 2 2" xfId="27946"/>
    <cellStyle name="Entrada 2 2 2 5 3 2 3" xfId="19269"/>
    <cellStyle name="Entrada 2 2 2 5 3 3" xfId="3767"/>
    <cellStyle name="Entrada 2 2 2 5 3 3 2" xfId="9370"/>
    <cellStyle name="Entrada 2 2 2 5 3 3 2 2" xfId="15632"/>
    <cellStyle name="Entrada 2 2 2 5 3 3 2 2 2" xfId="29048"/>
    <cellStyle name="Entrada 2 2 2 5 3 3 2 3" xfId="20377"/>
    <cellStyle name="Entrada 2 2 2 5 3 3 3" xfId="4461"/>
    <cellStyle name="Entrada 2 2 2 5 3 3 3 2" xfId="22964"/>
    <cellStyle name="Entrada 2 2 2 5 3 3 4" xfId="17316"/>
    <cellStyle name="Entrada 2 2 2 5 3 4" xfId="11550"/>
    <cellStyle name="Entrada 2 2 2 5 3 4 2" xfId="25872"/>
    <cellStyle name="Entrada 2 2 2 5 3 5" xfId="6010"/>
    <cellStyle name="Entrada 2 2 2 5 4" xfId="412"/>
    <cellStyle name="Entrada 2 2 2 5 4 2" xfId="4850"/>
    <cellStyle name="Entrada 2 2 2 5 4 2 2" xfId="9502"/>
    <cellStyle name="Entrada 2 2 2 5 4 2 2 2" xfId="15764"/>
    <cellStyle name="Entrada 2 2 2 5 4 2 2 2 2" xfId="29180"/>
    <cellStyle name="Entrada 2 2 2 5 4 2 2 3" xfId="20509"/>
    <cellStyle name="Entrada 2 2 2 5 4 2 3" xfId="11383"/>
    <cellStyle name="Entrada 2 2 2 5 4 2 3 2" xfId="25705"/>
    <cellStyle name="Entrada 2 2 2 5 4 2 4" xfId="6083"/>
    <cellStyle name="Entrada 2 2 2 5 4 3" xfId="12571"/>
    <cellStyle name="Entrada 2 2 2 5 4 3 2" xfId="26893"/>
    <cellStyle name="Entrada 2 2 2 5 4 4" xfId="18216"/>
    <cellStyle name="Entrada 2 2 2 5 5" xfId="5205"/>
    <cellStyle name="Entrada 2 2 2 5 5 2" xfId="11754"/>
    <cellStyle name="Entrada 2 2 2 5 5 2 2" xfId="26076"/>
    <cellStyle name="Entrada 2 2 2 5 5 3" xfId="4242"/>
    <cellStyle name="Entrada 2 2 2 5 6" xfId="4644"/>
    <cellStyle name="Entrada 2 2 2 5 6 2" xfId="23088"/>
    <cellStyle name="Entrada 2 2 2 5 7" xfId="3884"/>
    <cellStyle name="Entrada 2 2 2 6" xfId="413"/>
    <cellStyle name="Entrada 2 2 2 6 2" xfId="414"/>
    <cellStyle name="Entrada 2 2 2 6 2 2" xfId="5609"/>
    <cellStyle name="Entrada 2 2 2 6 2 2 2" xfId="12161"/>
    <cellStyle name="Entrada 2 2 2 6 2 2 2 2" xfId="26483"/>
    <cellStyle name="Entrada 2 2 2 6 2 2 3" xfId="17806"/>
    <cellStyle name="Entrada 2 2 2 6 2 3" xfId="7143"/>
    <cellStyle name="Entrada 2 2 2 6 2 3 2" xfId="9757"/>
    <cellStyle name="Entrada 2 2 2 6 2 3 2 2" xfId="16019"/>
    <cellStyle name="Entrada 2 2 2 6 2 3 2 2 2" xfId="29435"/>
    <cellStyle name="Entrada 2 2 2 6 2 3 2 3" xfId="20764"/>
    <cellStyle name="Entrada 2 2 2 6 2 3 3" xfId="13747"/>
    <cellStyle name="Entrada 2 2 2 6 2 3 3 2" xfId="28069"/>
    <cellStyle name="Entrada 2 2 2 6 2 3 4" xfId="19392"/>
    <cellStyle name="Entrada 2 2 2 6 2 4" xfId="4753"/>
    <cellStyle name="Entrada 2 2 2 6 2 4 2" xfId="23170"/>
    <cellStyle name="Entrada 2 2 2 6 2 5" xfId="17131"/>
    <cellStyle name="Entrada 2 2 2 6 3" xfId="415"/>
    <cellStyle name="Entrada 2 2 2 6 3 2" xfId="7646"/>
    <cellStyle name="Entrada 2 2 2 6 3 2 2" xfId="10260"/>
    <cellStyle name="Entrada 2 2 2 6 3 2 2 2" xfId="16522"/>
    <cellStyle name="Entrada 2 2 2 6 3 2 2 2 2" xfId="29938"/>
    <cellStyle name="Entrada 2 2 2 6 3 2 2 3" xfId="21267"/>
    <cellStyle name="Entrada 2 2 2 6 3 2 3" xfId="14250"/>
    <cellStyle name="Entrada 2 2 2 6 3 2 3 2" xfId="28572"/>
    <cellStyle name="Entrada 2 2 2 6 3 2 4" xfId="19895"/>
    <cellStyle name="Entrada 2 2 2 6 3 3" xfId="13064"/>
    <cellStyle name="Entrada 2 2 2 6 3 3 2" xfId="27386"/>
    <cellStyle name="Entrada 2 2 2 6 3 4" xfId="18709"/>
    <cellStyle name="Entrada 2 2 2 6 4" xfId="5400"/>
    <cellStyle name="Entrada 2 2 2 6 4 2" xfId="11950"/>
    <cellStyle name="Entrada 2 2 2 6 4 2 2" xfId="26272"/>
    <cellStyle name="Entrada 2 2 2 6 4 3" xfId="17595"/>
    <cellStyle name="Entrada 2 2 2 6 5" xfId="3966"/>
    <cellStyle name="Entrada 2 2 2 6 5 2" xfId="22673"/>
    <cellStyle name="Entrada 2 2 2 6 6" xfId="5481"/>
    <cellStyle name="Entrada 2 2 2 7" xfId="416"/>
    <cellStyle name="Entrada 2 2 2 7 2" xfId="6384"/>
    <cellStyle name="Entrada 2 2 2 7 2 2" xfId="12967"/>
    <cellStyle name="Entrada 2 2 2 7 2 2 2" xfId="27289"/>
    <cellStyle name="Entrada 2 2 2 7 2 3" xfId="18612"/>
    <cellStyle name="Entrada 2 2 2 7 3" xfId="7294"/>
    <cellStyle name="Entrada 2 2 2 7 3 2" xfId="9908"/>
    <cellStyle name="Entrada 2 2 2 7 3 2 2" xfId="16170"/>
    <cellStyle name="Entrada 2 2 2 7 3 2 2 2" xfId="29586"/>
    <cellStyle name="Entrada 2 2 2 7 3 2 3" xfId="20915"/>
    <cellStyle name="Entrada 2 2 2 7 3 3" xfId="13898"/>
    <cellStyle name="Entrada 2 2 2 7 3 3 2" xfId="28220"/>
    <cellStyle name="Entrada 2 2 2 7 3 4" xfId="19543"/>
    <cellStyle name="Entrada 2 2 2 7 4" xfId="4339"/>
    <cellStyle name="Entrada 2 2 2 7 4 2" xfId="22896"/>
    <cellStyle name="Entrada 2 2 2 7 5" xfId="14768"/>
    <cellStyle name="Entrada 2 2 2 8" xfId="417"/>
    <cellStyle name="Entrada 2 2 2 8 2" xfId="7101"/>
    <cellStyle name="Entrada 2 2 2 8 2 2" xfId="9715"/>
    <cellStyle name="Entrada 2 2 2 8 2 2 2" xfId="15977"/>
    <cellStyle name="Entrada 2 2 2 8 2 2 2 2" xfId="29393"/>
    <cellStyle name="Entrada 2 2 2 8 2 2 3" xfId="20722"/>
    <cellStyle name="Entrada 2 2 2 8 2 3" xfId="13705"/>
    <cellStyle name="Entrada 2 2 2 8 2 3 2" xfId="28027"/>
    <cellStyle name="Entrada 2 2 2 8 2 4" xfId="19350"/>
    <cellStyle name="Entrada 2 2 2 8 3" xfId="12758"/>
    <cellStyle name="Entrada 2 2 2 8 3 2" xfId="27080"/>
    <cellStyle name="Entrada 2 2 2 8 4" xfId="18403"/>
    <cellStyle name="Entrada 2 2 2 9" xfId="5469"/>
    <cellStyle name="Entrada 2 2 2 9 2" xfId="12020"/>
    <cellStyle name="Entrada 2 2 2 9 2 2" xfId="26342"/>
    <cellStyle name="Entrada 2 2 2 9 3" xfId="17665"/>
    <cellStyle name="Entrada 2 2 3" xfId="418"/>
    <cellStyle name="Entrada 2 2 3 2" xfId="419"/>
    <cellStyle name="Entrada 2 2 3 2 2" xfId="420"/>
    <cellStyle name="Entrada 2 2 3 2 2 2" xfId="5728"/>
    <cellStyle name="Entrada 2 2 3 2 2 2 2" xfId="12281"/>
    <cellStyle name="Entrada 2 2 3 2 2 2 2 2" xfId="26603"/>
    <cellStyle name="Entrada 2 2 3 2 2 2 3" xfId="17926"/>
    <cellStyle name="Entrada 2 2 3 2 2 3" xfId="8057"/>
    <cellStyle name="Entrada 2 2 3 2 2 3 2" xfId="10671"/>
    <cellStyle name="Entrada 2 2 3 2 2 3 2 2" xfId="16933"/>
    <cellStyle name="Entrada 2 2 3 2 2 3 2 2 2" xfId="30349"/>
    <cellStyle name="Entrada 2 2 3 2 2 3 2 3" xfId="21678"/>
    <cellStyle name="Entrada 2 2 3 2 2 3 3" xfId="14661"/>
    <cellStyle name="Entrada 2 2 3 2 2 3 3 2" xfId="28983"/>
    <cellStyle name="Entrada 2 2 3 2 2 3 4" xfId="20306"/>
    <cellStyle name="Entrada 2 2 3 2 2 4" xfId="5975"/>
    <cellStyle name="Entrada 2 2 3 2 2 4 2" xfId="23387"/>
    <cellStyle name="Entrada 2 2 3 2 2 5" xfId="4268"/>
    <cellStyle name="Entrada 2 2 3 2 3" xfId="421"/>
    <cellStyle name="Entrada 2 2 3 2 3 2" xfId="5254"/>
    <cellStyle name="Entrada 2 2 3 2 3 2 2" xfId="9563"/>
    <cellStyle name="Entrada 2 2 3 2 3 2 2 2" xfId="15825"/>
    <cellStyle name="Entrada 2 2 3 2 3 2 2 2 2" xfId="29241"/>
    <cellStyle name="Entrada 2 2 3 2 3 2 2 3" xfId="20570"/>
    <cellStyle name="Entrada 2 2 3 2 3 2 3" xfId="11804"/>
    <cellStyle name="Entrada 2 2 3 2 3 2 3 2" xfId="26126"/>
    <cellStyle name="Entrada 2 2 3 2 3 2 4" xfId="17449"/>
    <cellStyle name="Entrada 2 2 3 2 3 3" xfId="13304"/>
    <cellStyle name="Entrada 2 2 3 2 3 3 2" xfId="27626"/>
    <cellStyle name="Entrada 2 2 3 2 3 4" xfId="18949"/>
    <cellStyle name="Entrada 2 2 3 2 4" xfId="5754"/>
    <cellStyle name="Entrada 2 2 3 2 4 2" xfId="12307"/>
    <cellStyle name="Entrada 2 2 3 2 4 2 2" xfId="26629"/>
    <cellStyle name="Entrada 2 2 3 2 4 3" xfId="17952"/>
    <cellStyle name="Entrada 2 2 3 2 5" xfId="6173"/>
    <cellStyle name="Entrada 2 2 3 2 5 2" xfId="23442"/>
    <cellStyle name="Entrada 2 2 3 2 6" xfId="17109"/>
    <cellStyle name="Entrada 2 2 3 3" xfId="422"/>
    <cellStyle name="Entrada 2 2 3 3 2" xfId="423"/>
    <cellStyle name="Entrada 2 2 3 3 2 2" xfId="6391"/>
    <cellStyle name="Entrada 2 2 3 3 2 2 2" xfId="12974"/>
    <cellStyle name="Entrada 2 2 3 3 2 2 2 2" xfId="27296"/>
    <cellStyle name="Entrada 2 2 3 3 2 2 3" xfId="18619"/>
    <cellStyle name="Entrada 2 2 3 3 2 3" xfId="7777"/>
    <cellStyle name="Entrada 2 2 3 3 2 3 2" xfId="10391"/>
    <cellStyle name="Entrada 2 2 3 3 2 3 2 2" xfId="16653"/>
    <cellStyle name="Entrada 2 2 3 3 2 3 2 2 2" xfId="30069"/>
    <cellStyle name="Entrada 2 2 3 3 2 3 2 3" xfId="21398"/>
    <cellStyle name="Entrada 2 2 3 3 2 3 3" xfId="14381"/>
    <cellStyle name="Entrada 2 2 3 3 2 3 3 2" xfId="28703"/>
    <cellStyle name="Entrada 2 2 3 3 2 3 4" xfId="20026"/>
    <cellStyle name="Entrada 2 2 3 3 2 4" xfId="4305"/>
    <cellStyle name="Entrada 2 2 3 3 2 4 2" xfId="22882"/>
    <cellStyle name="Entrada 2 2 3 3 2 5" xfId="17358"/>
    <cellStyle name="Entrada 2 2 3 3 3" xfId="424"/>
    <cellStyle name="Entrada 2 2 3 3 3 2" xfId="4434"/>
    <cellStyle name="Entrada 2 2 3 3 3 2 2" xfId="9466"/>
    <cellStyle name="Entrada 2 2 3 3 3 2 2 2" xfId="15728"/>
    <cellStyle name="Entrada 2 2 3 3 3 2 2 2 2" xfId="29144"/>
    <cellStyle name="Entrada 2 2 3 3 3 2 2 3" xfId="20473"/>
    <cellStyle name="Entrada 2 2 3 3 3 2 3" xfId="6817"/>
    <cellStyle name="Entrada 2 2 3 3 3 2 3 2" xfId="23753"/>
    <cellStyle name="Entrada 2 2 3 3 3 2 4" xfId="15018"/>
    <cellStyle name="Entrada 2 2 3 3 3 3" xfId="13178"/>
    <cellStyle name="Entrada 2 2 3 3 3 3 2" xfId="27500"/>
    <cellStyle name="Entrada 2 2 3 3 3 4" xfId="18823"/>
    <cellStyle name="Entrada 2 2 3 3 4" xfId="5601"/>
    <cellStyle name="Entrada 2 2 3 3 4 2" xfId="12153"/>
    <cellStyle name="Entrada 2 2 3 3 4 2 2" xfId="26475"/>
    <cellStyle name="Entrada 2 2 3 3 4 3" xfId="17798"/>
    <cellStyle name="Entrada 2 2 3 3 5" xfId="5565"/>
    <cellStyle name="Entrada 2 2 3 3 5 2" xfId="23349"/>
    <cellStyle name="Entrada 2 2 3 3 6" xfId="15181"/>
    <cellStyle name="Entrada 2 2 3 4" xfId="425"/>
    <cellStyle name="Entrada 2 2 3 4 2" xfId="6510"/>
    <cellStyle name="Entrada 2 2 3 4 2 2" xfId="13097"/>
    <cellStyle name="Entrada 2 2 3 4 2 2 2" xfId="27419"/>
    <cellStyle name="Entrada 2 2 3 4 2 3" xfId="18742"/>
    <cellStyle name="Entrada 2 2 3 4 3" xfId="7146"/>
    <cellStyle name="Entrada 2 2 3 4 3 2" xfId="9760"/>
    <cellStyle name="Entrada 2 2 3 4 3 2 2" xfId="16022"/>
    <cellStyle name="Entrada 2 2 3 4 3 2 2 2" xfId="29438"/>
    <cellStyle name="Entrada 2 2 3 4 3 2 3" xfId="20767"/>
    <cellStyle name="Entrada 2 2 3 4 3 3" xfId="13750"/>
    <cellStyle name="Entrada 2 2 3 4 3 3 2" xfId="28072"/>
    <cellStyle name="Entrada 2 2 3 4 3 4" xfId="19395"/>
    <cellStyle name="Entrada 2 2 3 4 4" xfId="6312"/>
    <cellStyle name="Entrada 2 2 3 4 4 2" xfId="23508"/>
    <cellStyle name="Entrada 2 2 3 4 5" xfId="15489"/>
    <cellStyle name="Entrada 2 2 3 5" xfId="426"/>
    <cellStyle name="Entrada 2 2 3 5 2" xfId="7250"/>
    <cellStyle name="Entrada 2 2 3 5 2 2" xfId="9864"/>
    <cellStyle name="Entrada 2 2 3 5 2 2 2" xfId="16126"/>
    <cellStyle name="Entrada 2 2 3 5 2 2 2 2" xfId="29542"/>
    <cellStyle name="Entrada 2 2 3 5 2 2 3" xfId="20871"/>
    <cellStyle name="Entrada 2 2 3 5 2 3" xfId="13854"/>
    <cellStyle name="Entrada 2 2 3 5 2 3 2" xfId="28176"/>
    <cellStyle name="Entrada 2 2 3 5 2 4" xfId="19499"/>
    <cellStyle name="Entrada 2 2 3 5 3" xfId="12880"/>
    <cellStyle name="Entrada 2 2 3 5 3 2" xfId="27202"/>
    <cellStyle name="Entrada 2 2 3 5 4" xfId="18525"/>
    <cellStyle name="Entrada 2 2 3 6" xfId="5498"/>
    <cellStyle name="Entrada 2 2 3 6 2" xfId="12049"/>
    <cellStyle name="Entrada 2 2 3 6 2 2" xfId="26371"/>
    <cellStyle name="Entrada 2 2 3 6 3" xfId="17694"/>
    <cellStyle name="Entrada 2 2 3 7" xfId="6270"/>
    <cellStyle name="Entrada 2 2 3 7 2" xfId="23485"/>
    <cellStyle name="Entrada 2 2 3 8" xfId="15043"/>
    <cellStyle name="Entrada 2 2 4" xfId="427"/>
    <cellStyle name="Entrada 2 2 4 2" xfId="428"/>
    <cellStyle name="Entrada 2 2 4 2 2" xfId="429"/>
    <cellStyle name="Entrada 2 2 4 2 2 2" xfId="6119"/>
    <cellStyle name="Entrada 2 2 4 2 2 2 2" xfId="12688"/>
    <cellStyle name="Entrada 2 2 4 2 2 2 2 2" xfId="27010"/>
    <cellStyle name="Entrada 2 2 4 2 2 2 3" xfId="18333"/>
    <cellStyle name="Entrada 2 2 4 2 2 3" xfId="7967"/>
    <cellStyle name="Entrada 2 2 4 2 2 3 2" xfId="10581"/>
    <cellStyle name="Entrada 2 2 4 2 2 3 2 2" xfId="16843"/>
    <cellStyle name="Entrada 2 2 4 2 2 3 2 2 2" xfId="30259"/>
    <cellStyle name="Entrada 2 2 4 2 2 3 2 3" xfId="21588"/>
    <cellStyle name="Entrada 2 2 4 2 2 3 3" xfId="14571"/>
    <cellStyle name="Entrada 2 2 4 2 2 3 3 2" xfId="28893"/>
    <cellStyle name="Entrada 2 2 4 2 2 3 4" xfId="20216"/>
    <cellStyle name="Entrada 2 2 4 2 2 4" xfId="4505"/>
    <cellStyle name="Entrada 2 2 4 2 2 4 2" xfId="22995"/>
    <cellStyle name="Entrada 2 2 4 2 2 5" xfId="15529"/>
    <cellStyle name="Entrada 2 2 4 2 3" xfId="430"/>
    <cellStyle name="Entrada 2 2 4 2 3 2" xfId="7289"/>
    <cellStyle name="Entrada 2 2 4 2 3 2 2" xfId="9903"/>
    <cellStyle name="Entrada 2 2 4 2 3 2 2 2" xfId="16165"/>
    <cellStyle name="Entrada 2 2 4 2 3 2 2 2 2" xfId="29581"/>
    <cellStyle name="Entrada 2 2 4 2 3 2 2 3" xfId="20910"/>
    <cellStyle name="Entrada 2 2 4 2 3 2 3" xfId="13893"/>
    <cellStyle name="Entrada 2 2 4 2 3 2 3 2" xfId="28215"/>
    <cellStyle name="Entrada 2 2 4 2 3 2 4" xfId="19538"/>
    <cellStyle name="Entrada 2 2 4 2 3 3" xfId="13340"/>
    <cellStyle name="Entrada 2 2 4 2 3 3 2" xfId="27662"/>
    <cellStyle name="Entrada 2 2 4 2 3 4" xfId="18985"/>
    <cellStyle name="Entrada 2 2 4 2 4" xfId="5790"/>
    <cellStyle name="Entrada 2 2 4 2 4 2" xfId="12343"/>
    <cellStyle name="Entrada 2 2 4 2 4 2 2" xfId="26665"/>
    <cellStyle name="Entrada 2 2 4 2 4 3" xfId="17988"/>
    <cellStyle name="Entrada 2 2 4 2 5" xfId="4636"/>
    <cellStyle name="Entrada 2 2 4 2 5 2" xfId="23080"/>
    <cellStyle name="Entrada 2 2 4 2 6" xfId="15340"/>
    <cellStyle name="Entrada 2 2 4 3" xfId="431"/>
    <cellStyle name="Entrada 2 2 4 3 2" xfId="432"/>
    <cellStyle name="Entrada 2 2 4 3 2 2" xfId="6226"/>
    <cellStyle name="Entrada 2 2 4 3 2 2 2" xfId="12801"/>
    <cellStyle name="Entrada 2 2 4 3 2 2 2 2" xfId="27123"/>
    <cellStyle name="Entrada 2 2 4 3 2 2 3" xfId="18446"/>
    <cellStyle name="Entrada 2 2 4 3 2 3" xfId="7814"/>
    <cellStyle name="Entrada 2 2 4 3 2 3 2" xfId="10428"/>
    <cellStyle name="Entrada 2 2 4 3 2 3 2 2" xfId="16690"/>
    <cellStyle name="Entrada 2 2 4 3 2 3 2 2 2" xfId="30106"/>
    <cellStyle name="Entrada 2 2 4 3 2 3 2 3" xfId="21435"/>
    <cellStyle name="Entrada 2 2 4 3 2 3 3" xfId="14418"/>
    <cellStyle name="Entrada 2 2 4 3 2 3 3 2" xfId="28740"/>
    <cellStyle name="Entrada 2 2 4 3 2 3 4" xfId="20063"/>
    <cellStyle name="Entrada 2 2 4 3 2 4" xfId="4911"/>
    <cellStyle name="Entrada 2 2 4 3 2 4 2" xfId="23261"/>
    <cellStyle name="Entrada 2 2 4 3 2 5" xfId="14830"/>
    <cellStyle name="Entrada 2 2 4 3 3" xfId="433"/>
    <cellStyle name="Entrada 2 2 4 3 3 2" xfId="7156"/>
    <cellStyle name="Entrada 2 2 4 3 3 2 2" xfId="9770"/>
    <cellStyle name="Entrada 2 2 4 3 3 2 2 2" xfId="16032"/>
    <cellStyle name="Entrada 2 2 4 3 3 2 2 2 2" xfId="29448"/>
    <cellStyle name="Entrada 2 2 4 3 3 2 2 3" xfId="20777"/>
    <cellStyle name="Entrada 2 2 4 3 3 2 3" xfId="13760"/>
    <cellStyle name="Entrada 2 2 4 3 3 2 3 2" xfId="28082"/>
    <cellStyle name="Entrada 2 2 4 3 3 2 4" xfId="19405"/>
    <cellStyle name="Entrada 2 2 4 3 3 3" xfId="13189"/>
    <cellStyle name="Entrada 2 2 4 3 3 3 2" xfId="27511"/>
    <cellStyle name="Entrada 2 2 4 3 3 4" xfId="18834"/>
    <cellStyle name="Entrada 2 2 4 3 4" xfId="5626"/>
    <cellStyle name="Entrada 2 2 4 3 4 2" xfId="12179"/>
    <cellStyle name="Entrada 2 2 4 3 4 2 2" xfId="26501"/>
    <cellStyle name="Entrada 2 2 4 3 4 3" xfId="17824"/>
    <cellStyle name="Entrada 2 2 4 3 5" xfId="4553"/>
    <cellStyle name="Entrada 2 2 4 3 5 2" xfId="23027"/>
    <cellStyle name="Entrada 2 2 4 3 6" xfId="17160"/>
    <cellStyle name="Entrada 2 2 4 4" xfId="434"/>
    <cellStyle name="Entrada 2 2 4 4 2" xfId="7037"/>
    <cellStyle name="Entrada 2 2 4 4 2 2" xfId="13641"/>
    <cellStyle name="Entrada 2 2 4 4 2 2 2" xfId="27963"/>
    <cellStyle name="Entrada 2 2 4 4 2 3" xfId="19286"/>
    <cellStyle name="Entrada 2 2 4 4 3" xfId="7168"/>
    <cellStyle name="Entrada 2 2 4 4 3 2" xfId="9782"/>
    <cellStyle name="Entrada 2 2 4 4 3 2 2" xfId="16044"/>
    <cellStyle name="Entrada 2 2 4 4 3 2 2 2" xfId="29460"/>
    <cellStyle name="Entrada 2 2 4 4 3 2 3" xfId="20789"/>
    <cellStyle name="Entrada 2 2 4 4 3 3" xfId="13772"/>
    <cellStyle name="Entrada 2 2 4 4 3 3 2" xfId="28094"/>
    <cellStyle name="Entrada 2 2 4 4 3 4" xfId="19417"/>
    <cellStyle name="Entrada 2 2 4 4 4" xfId="11582"/>
    <cellStyle name="Entrada 2 2 4 4 4 2" xfId="25904"/>
    <cellStyle name="Entrada 2 2 4 4 5" xfId="14859"/>
    <cellStyle name="Entrada 2 2 4 5" xfId="435"/>
    <cellStyle name="Entrada 2 2 4 5 2" xfId="3741"/>
    <cellStyle name="Entrada 2 2 4 5 2 2" xfId="9366"/>
    <cellStyle name="Entrada 2 2 4 5 2 2 2" xfId="15628"/>
    <cellStyle name="Entrada 2 2 4 5 2 2 2 2" xfId="29044"/>
    <cellStyle name="Entrada 2 2 4 5 2 2 3" xfId="20373"/>
    <cellStyle name="Entrada 2 2 4 5 2 3" xfId="6506"/>
    <cellStyle name="Entrada 2 2 4 5 2 3 2" xfId="23574"/>
    <cellStyle name="Entrada 2 2 4 5 2 4" xfId="15123"/>
    <cellStyle name="Entrada 2 2 4 5 3" xfId="12916"/>
    <cellStyle name="Entrada 2 2 4 5 3 2" xfId="27238"/>
    <cellStyle name="Entrada 2 2 4 5 4" xfId="18561"/>
    <cellStyle name="Entrada 2 2 4 6" xfId="5540"/>
    <cellStyle name="Entrada 2 2 4 6 2" xfId="12091"/>
    <cellStyle name="Entrada 2 2 4 6 2 2" xfId="26413"/>
    <cellStyle name="Entrada 2 2 4 6 3" xfId="17736"/>
    <cellStyle name="Entrada 2 2 4 7" xfId="6477"/>
    <cellStyle name="Entrada 2 2 4 7 2" xfId="23560"/>
    <cellStyle name="Entrada 2 2 4 8" xfId="6507"/>
    <cellStyle name="Entrada 2 2 5" xfId="436"/>
    <cellStyle name="Entrada 2 2 5 2" xfId="437"/>
    <cellStyle name="Entrada 2 2 5 2 2" xfId="438"/>
    <cellStyle name="Entrada 2 2 5 2 2 2" xfId="6369"/>
    <cellStyle name="Entrada 2 2 5 2 2 2 2" xfId="12952"/>
    <cellStyle name="Entrada 2 2 5 2 2 2 2 2" xfId="27274"/>
    <cellStyle name="Entrada 2 2 5 2 2 2 3" xfId="18597"/>
    <cellStyle name="Entrada 2 2 5 2 2 3" xfId="7645"/>
    <cellStyle name="Entrada 2 2 5 2 2 3 2" xfId="10259"/>
    <cellStyle name="Entrada 2 2 5 2 2 3 2 2" xfId="16521"/>
    <cellStyle name="Entrada 2 2 5 2 2 3 2 2 2" xfId="29937"/>
    <cellStyle name="Entrada 2 2 5 2 2 3 2 3" xfId="21266"/>
    <cellStyle name="Entrada 2 2 5 2 2 3 3" xfId="14249"/>
    <cellStyle name="Entrada 2 2 5 2 2 3 3 2" xfId="28571"/>
    <cellStyle name="Entrada 2 2 5 2 2 3 4" xfId="19894"/>
    <cellStyle name="Entrada 2 2 5 2 2 4" xfId="4886"/>
    <cellStyle name="Entrada 2 2 5 2 2 4 2" xfId="23244"/>
    <cellStyle name="Entrada 2 2 5 2 2 5" xfId="17016"/>
    <cellStyle name="Entrada 2 2 5 2 3" xfId="439"/>
    <cellStyle name="Entrada 2 2 5 2 3 2" xfId="7765"/>
    <cellStyle name="Entrada 2 2 5 2 3 2 2" xfId="10379"/>
    <cellStyle name="Entrada 2 2 5 2 3 2 2 2" xfId="16641"/>
    <cellStyle name="Entrada 2 2 5 2 3 2 2 2 2" xfId="30057"/>
    <cellStyle name="Entrada 2 2 5 2 3 2 2 3" xfId="21386"/>
    <cellStyle name="Entrada 2 2 5 2 3 2 3" xfId="14369"/>
    <cellStyle name="Entrada 2 2 5 2 3 2 3 2" xfId="28691"/>
    <cellStyle name="Entrada 2 2 5 2 3 2 4" xfId="20014"/>
    <cellStyle name="Entrada 2 2 5 2 3 3" xfId="12711"/>
    <cellStyle name="Entrada 2 2 5 2 3 3 2" xfId="27033"/>
    <cellStyle name="Entrada 2 2 5 2 3 4" xfId="18356"/>
    <cellStyle name="Entrada 2 2 5 2 4" xfId="5066"/>
    <cellStyle name="Entrada 2 2 5 2 4 2" xfId="11613"/>
    <cellStyle name="Entrada 2 2 5 2 4 2 2" xfId="25935"/>
    <cellStyle name="Entrada 2 2 5 2 4 3" xfId="16989"/>
    <cellStyle name="Entrada 2 2 5 2 5" xfId="4275"/>
    <cellStyle name="Entrada 2 2 5 2 5 2" xfId="22864"/>
    <cellStyle name="Entrada 2 2 5 2 6" xfId="6321"/>
    <cellStyle name="Entrada 2 2 5 3" xfId="440"/>
    <cellStyle name="Entrada 2 2 5 3 2" xfId="441"/>
    <cellStyle name="Entrada 2 2 5 3 2 2" xfId="5204"/>
    <cellStyle name="Entrada 2 2 5 3 2 2 2" xfId="11753"/>
    <cellStyle name="Entrada 2 2 5 3 2 2 2 2" xfId="26075"/>
    <cellStyle name="Entrada 2 2 5 3 2 2 3" xfId="6220"/>
    <cellStyle name="Entrada 2 2 5 3 2 3" xfId="4483"/>
    <cellStyle name="Entrada 2 2 5 3 2 3 2" xfId="9470"/>
    <cellStyle name="Entrada 2 2 5 3 2 3 2 2" xfId="15732"/>
    <cellStyle name="Entrada 2 2 5 3 2 3 2 2 2" xfId="29148"/>
    <cellStyle name="Entrada 2 2 5 3 2 3 2 3" xfId="20477"/>
    <cellStyle name="Entrada 2 2 5 3 2 3 3" xfId="6611"/>
    <cellStyle name="Entrada 2 2 5 3 2 3 3 2" xfId="23603"/>
    <cellStyle name="Entrada 2 2 5 3 2 3 4" xfId="14914"/>
    <cellStyle name="Entrada 2 2 5 3 2 4" xfId="4764"/>
    <cellStyle name="Entrada 2 2 5 3 2 4 2" xfId="23177"/>
    <cellStyle name="Entrada 2 2 5 3 2 5" xfId="17274"/>
    <cellStyle name="Entrada 2 2 5 3 3" xfId="442"/>
    <cellStyle name="Entrada 2 2 5 3 3 2" xfId="4310"/>
    <cellStyle name="Entrada 2 2 5 3 3 2 2" xfId="9445"/>
    <cellStyle name="Entrada 2 2 5 3 3 2 2 2" xfId="15707"/>
    <cellStyle name="Entrada 2 2 5 3 3 2 2 2 2" xfId="29123"/>
    <cellStyle name="Entrada 2 2 5 3 3 2 2 3" xfId="20452"/>
    <cellStyle name="Entrada 2 2 5 3 3 2 3" xfId="6616"/>
    <cellStyle name="Entrada 2 2 5 3 3 2 3 2" xfId="23608"/>
    <cellStyle name="Entrada 2 2 5 3 3 2 4" xfId="4090"/>
    <cellStyle name="Entrada 2 2 5 3 3 3" xfId="13094"/>
    <cellStyle name="Entrada 2 2 5 3 3 3 2" xfId="27416"/>
    <cellStyle name="Entrada 2 2 5 3 3 4" xfId="18739"/>
    <cellStyle name="Entrada 2 2 5 3 4" xfId="5450"/>
    <cellStyle name="Entrada 2 2 5 3 4 2" xfId="12001"/>
    <cellStyle name="Entrada 2 2 5 3 4 2 2" xfId="26323"/>
    <cellStyle name="Entrada 2 2 5 3 4 3" xfId="17646"/>
    <cellStyle name="Entrada 2 2 5 3 5" xfId="3927"/>
    <cellStyle name="Entrada 2 2 5 3 5 2" xfId="22649"/>
    <cellStyle name="Entrada 2 2 5 3 6" xfId="15225"/>
    <cellStyle name="Entrada 2 2 5 4" xfId="443"/>
    <cellStyle name="Entrada 2 2 5 4 2" xfId="6993"/>
    <cellStyle name="Entrada 2 2 5 4 2 2" xfId="13597"/>
    <cellStyle name="Entrada 2 2 5 4 2 2 2" xfId="27919"/>
    <cellStyle name="Entrada 2 2 5 4 2 3" xfId="19242"/>
    <cellStyle name="Entrada 2 2 5 4 3" xfId="7177"/>
    <cellStyle name="Entrada 2 2 5 4 3 2" xfId="9791"/>
    <cellStyle name="Entrada 2 2 5 4 3 2 2" xfId="16053"/>
    <cellStyle name="Entrada 2 2 5 4 3 2 2 2" xfId="29469"/>
    <cellStyle name="Entrada 2 2 5 4 3 2 3" xfId="20798"/>
    <cellStyle name="Entrada 2 2 5 4 3 3" xfId="13781"/>
    <cellStyle name="Entrada 2 2 5 4 3 3 2" xfId="28103"/>
    <cellStyle name="Entrada 2 2 5 4 3 4" xfId="19426"/>
    <cellStyle name="Entrada 2 2 5 4 4" xfId="11505"/>
    <cellStyle name="Entrada 2 2 5 4 4 2" xfId="25827"/>
    <cellStyle name="Entrada 2 2 5 4 5" xfId="17245"/>
    <cellStyle name="Entrada 2 2 5 5" xfId="444"/>
    <cellStyle name="Entrada 2 2 5 5 2" xfId="5338"/>
    <cellStyle name="Entrada 2 2 5 5 2 2" xfId="9647"/>
    <cellStyle name="Entrada 2 2 5 5 2 2 2" xfId="15909"/>
    <cellStyle name="Entrada 2 2 5 5 2 2 2 2" xfId="29325"/>
    <cellStyle name="Entrada 2 2 5 5 2 2 3" xfId="20654"/>
    <cellStyle name="Entrada 2 2 5 5 2 3" xfId="11888"/>
    <cellStyle name="Entrada 2 2 5 5 2 3 2" xfId="26210"/>
    <cellStyle name="Entrada 2 2 5 5 2 4" xfId="17533"/>
    <cellStyle name="Entrada 2 2 5 5 3" xfId="11624"/>
    <cellStyle name="Entrada 2 2 5 5 3 2" xfId="25946"/>
    <cellStyle name="Entrada 2 2 5 5 4" xfId="17148"/>
    <cellStyle name="Entrada 2 2 5 6" xfId="5135"/>
    <cellStyle name="Entrada 2 2 5 6 2" xfId="11684"/>
    <cellStyle name="Entrada 2 2 5 6 2 2" xfId="26006"/>
    <cellStyle name="Entrada 2 2 5 6 3" xfId="2798"/>
    <cellStyle name="Entrada 2 2 5 7" xfId="6294"/>
    <cellStyle name="Entrada 2 2 5 7 2" xfId="23493"/>
    <cellStyle name="Entrada 2 2 5 8" xfId="15216"/>
    <cellStyle name="Entrada 2 2 6" xfId="445"/>
    <cellStyle name="Entrada 2 2 6 2" xfId="446"/>
    <cellStyle name="Entrada 2 2 6 2 2" xfId="447"/>
    <cellStyle name="Entrada 2 2 6 2 2 2" xfId="6124"/>
    <cellStyle name="Entrada 2 2 6 2 2 2 2" xfId="12693"/>
    <cellStyle name="Entrada 2 2 6 2 2 2 2 2" xfId="27015"/>
    <cellStyle name="Entrada 2 2 6 2 2 2 3" xfId="18338"/>
    <cellStyle name="Entrada 2 2 6 2 2 3" xfId="7652"/>
    <cellStyle name="Entrada 2 2 6 2 2 3 2" xfId="10266"/>
    <cellStyle name="Entrada 2 2 6 2 2 3 2 2" xfId="16528"/>
    <cellStyle name="Entrada 2 2 6 2 2 3 2 2 2" xfId="29944"/>
    <cellStyle name="Entrada 2 2 6 2 2 3 2 3" xfId="21273"/>
    <cellStyle name="Entrada 2 2 6 2 2 3 3" xfId="14256"/>
    <cellStyle name="Entrada 2 2 6 2 2 3 3 2" xfId="28578"/>
    <cellStyle name="Entrada 2 2 6 2 2 3 4" xfId="19901"/>
    <cellStyle name="Entrada 2 2 6 2 2 4" xfId="6316"/>
    <cellStyle name="Entrada 2 2 6 2 2 4 2" xfId="23511"/>
    <cellStyle name="Entrada 2 2 6 2 2 5" xfId="15226"/>
    <cellStyle name="Entrada 2 2 6 2 3" xfId="448"/>
    <cellStyle name="Entrada 2 2 6 2 3 2" xfId="7497"/>
    <cellStyle name="Entrada 2 2 6 2 3 2 2" xfId="10111"/>
    <cellStyle name="Entrada 2 2 6 2 3 2 2 2" xfId="16373"/>
    <cellStyle name="Entrada 2 2 6 2 3 2 2 2 2" xfId="29789"/>
    <cellStyle name="Entrada 2 2 6 2 3 2 2 3" xfId="21118"/>
    <cellStyle name="Entrada 2 2 6 2 3 2 3" xfId="14101"/>
    <cellStyle name="Entrada 2 2 6 2 3 2 3 2" xfId="28423"/>
    <cellStyle name="Entrada 2 2 6 2 3 2 4" xfId="19746"/>
    <cellStyle name="Entrada 2 2 6 2 3 3" xfId="13385"/>
    <cellStyle name="Entrada 2 2 6 2 3 3 2" xfId="27707"/>
    <cellStyle name="Entrada 2 2 6 2 3 4" xfId="19030"/>
    <cellStyle name="Entrada 2 2 6 2 4" xfId="5845"/>
    <cellStyle name="Entrada 2 2 6 2 4 2" xfId="12398"/>
    <cellStyle name="Entrada 2 2 6 2 4 2 2" xfId="26720"/>
    <cellStyle name="Entrada 2 2 6 2 4 3" xfId="18043"/>
    <cellStyle name="Entrada 2 2 6 2 5" xfId="4688"/>
    <cellStyle name="Entrada 2 2 6 2 5 2" xfId="23124"/>
    <cellStyle name="Entrada 2 2 6 2 6" xfId="15067"/>
    <cellStyle name="Entrada 2 2 6 3" xfId="449"/>
    <cellStyle name="Entrada 2 2 6 3 2" xfId="5060"/>
    <cellStyle name="Entrada 2 2 6 3 2 2" xfId="11607"/>
    <cellStyle name="Entrada 2 2 6 3 2 2 2" xfId="25929"/>
    <cellStyle name="Entrada 2 2 6 3 2 3" xfId="17371"/>
    <cellStyle name="Entrada 2 2 6 3 3" xfId="7553"/>
    <cellStyle name="Entrada 2 2 6 3 3 2" xfId="10167"/>
    <cellStyle name="Entrada 2 2 6 3 3 2 2" xfId="16429"/>
    <cellStyle name="Entrada 2 2 6 3 3 2 2 2" xfId="29845"/>
    <cellStyle name="Entrada 2 2 6 3 3 2 3" xfId="21174"/>
    <cellStyle name="Entrada 2 2 6 3 3 3" xfId="14157"/>
    <cellStyle name="Entrada 2 2 6 3 3 3 2" xfId="28479"/>
    <cellStyle name="Entrada 2 2 6 3 3 4" xfId="19802"/>
    <cellStyle name="Entrada 2 2 6 3 4" xfId="6109"/>
    <cellStyle name="Entrada 2 2 6 3 4 2" xfId="23418"/>
    <cellStyle name="Entrada 2 2 6 3 5" xfId="15260"/>
    <cellStyle name="Entrada 2 2 6 4" xfId="450"/>
    <cellStyle name="Entrada 2 2 6 4 2" xfId="7446"/>
    <cellStyle name="Entrada 2 2 6 4 2 2" xfId="10060"/>
    <cellStyle name="Entrada 2 2 6 4 2 2 2" xfId="16322"/>
    <cellStyle name="Entrada 2 2 6 4 2 2 2 2" xfId="29738"/>
    <cellStyle name="Entrada 2 2 6 4 2 2 3" xfId="21067"/>
    <cellStyle name="Entrada 2 2 6 4 2 3" xfId="14050"/>
    <cellStyle name="Entrada 2 2 6 4 2 3 2" xfId="28372"/>
    <cellStyle name="Entrada 2 2 6 4 2 4" xfId="19695"/>
    <cellStyle name="Entrada 2 2 6 4 3" xfId="12815"/>
    <cellStyle name="Entrada 2 2 6 4 3 2" xfId="27137"/>
    <cellStyle name="Entrada 2 2 6 4 4" xfId="18460"/>
    <cellStyle name="Entrada 2 2 6 5" xfId="5351"/>
    <cellStyle name="Entrada 2 2 6 5 2" xfId="11901"/>
    <cellStyle name="Entrada 2 2 6 5 2 2" xfId="26223"/>
    <cellStyle name="Entrada 2 2 6 5 3" xfId="17546"/>
    <cellStyle name="Entrada 2 2 6 6" xfId="3792"/>
    <cellStyle name="Entrada 2 2 6 6 2" xfId="22581"/>
    <cellStyle name="Entrada 2 2 6 7" xfId="6051"/>
    <cellStyle name="Entrada 2 2 7" xfId="451"/>
    <cellStyle name="Entrada 2 2 7 2" xfId="452"/>
    <cellStyle name="Entrada 2 2 7 2 2" xfId="5729"/>
    <cellStyle name="Entrada 2 2 7 2 2 2" xfId="12282"/>
    <cellStyle name="Entrada 2 2 7 2 2 2 2" xfId="26604"/>
    <cellStyle name="Entrada 2 2 7 2 2 3" xfId="17927"/>
    <cellStyle name="Entrada 2 2 7 2 3" xfId="4976"/>
    <cellStyle name="Entrada 2 2 7 2 3 2" xfId="9528"/>
    <cellStyle name="Entrada 2 2 7 2 3 2 2" xfId="15790"/>
    <cellStyle name="Entrada 2 2 7 2 3 2 2 2" xfId="29206"/>
    <cellStyle name="Entrada 2 2 7 2 3 2 3" xfId="20535"/>
    <cellStyle name="Entrada 2 2 7 2 3 3" xfId="11519"/>
    <cellStyle name="Entrada 2 2 7 2 3 3 2" xfId="25841"/>
    <cellStyle name="Entrada 2 2 7 2 3 4" xfId="14707"/>
    <cellStyle name="Entrada 2 2 7 2 4" xfId="4568"/>
    <cellStyle name="Entrada 2 2 7 2 4 2" xfId="23036"/>
    <cellStyle name="Entrada 2 2 7 2 5" xfId="3837"/>
    <cellStyle name="Entrada 2 2 7 3" xfId="453"/>
    <cellStyle name="Entrada 2 2 7 3 2" xfId="7380"/>
    <cellStyle name="Entrada 2 2 7 3 2 2" xfId="9994"/>
    <cellStyle name="Entrada 2 2 7 3 2 2 2" xfId="16256"/>
    <cellStyle name="Entrada 2 2 7 3 2 2 2 2" xfId="29672"/>
    <cellStyle name="Entrada 2 2 7 3 2 2 3" xfId="21001"/>
    <cellStyle name="Entrada 2 2 7 3 2 3" xfId="13984"/>
    <cellStyle name="Entrada 2 2 7 3 2 3 2" xfId="28306"/>
    <cellStyle name="Entrada 2 2 7 3 2 4" xfId="19629"/>
    <cellStyle name="Entrada 2 2 7 3 3" xfId="13392"/>
    <cellStyle name="Entrada 2 2 7 3 3 2" xfId="27714"/>
    <cellStyle name="Entrada 2 2 7 3 4" xfId="19037"/>
    <cellStyle name="Entrada 2 2 7 4" xfId="5856"/>
    <cellStyle name="Entrada 2 2 7 4 2" xfId="12409"/>
    <cellStyle name="Entrada 2 2 7 4 2 2" xfId="26731"/>
    <cellStyle name="Entrada 2 2 7 4 3" xfId="18054"/>
    <cellStyle name="Entrada 2 2 7 5" xfId="6132"/>
    <cellStyle name="Entrada 2 2 7 5 2" xfId="23424"/>
    <cellStyle name="Entrada 2 2 7 6" xfId="17279"/>
    <cellStyle name="Entrada 2 2 8" xfId="454"/>
    <cellStyle name="Entrada 2 2 8 2" xfId="6005"/>
    <cellStyle name="Entrada 2 2 8 2 2" xfId="12564"/>
    <cellStyle name="Entrada 2 2 8 2 2 2" xfId="26886"/>
    <cellStyle name="Entrada 2 2 8 2 3" xfId="18209"/>
    <cellStyle name="Entrada 2 2 8 3" xfId="3683"/>
    <cellStyle name="Entrada 2 2 8 3 2" xfId="9360"/>
    <cellStyle name="Entrada 2 2 8 3 2 2" xfId="15622"/>
    <cellStyle name="Entrada 2 2 8 3 2 2 2" xfId="29038"/>
    <cellStyle name="Entrada 2 2 8 3 2 3" xfId="20367"/>
    <cellStyle name="Entrada 2 2 8 3 3" xfId="3788"/>
    <cellStyle name="Entrada 2 2 8 3 3 2" xfId="22579"/>
    <cellStyle name="Entrada 2 2 8 3 4" xfId="6691"/>
    <cellStyle name="Entrada 2 2 8 4" xfId="4224"/>
    <cellStyle name="Entrada 2 2 8 4 2" xfId="22836"/>
    <cellStyle name="Entrada 2 2 8 5" xfId="17158"/>
    <cellStyle name="Entrada 2 2 9" xfId="455"/>
    <cellStyle name="Entrada 2 2 9 2" xfId="7766"/>
    <cellStyle name="Entrada 2 2 9 2 2" xfId="10380"/>
    <cellStyle name="Entrada 2 2 9 2 2 2" xfId="16642"/>
    <cellStyle name="Entrada 2 2 9 2 2 2 2" xfId="30058"/>
    <cellStyle name="Entrada 2 2 9 2 2 3" xfId="21387"/>
    <cellStyle name="Entrada 2 2 9 2 3" xfId="14370"/>
    <cellStyle name="Entrada 2 2 9 2 3 2" xfId="28692"/>
    <cellStyle name="Entrada 2 2 9 2 4" xfId="20015"/>
    <cellStyle name="Entrada 2 2 9 3" xfId="12721"/>
    <cellStyle name="Entrada 2 2 9 3 2" xfId="27043"/>
    <cellStyle name="Entrada 2 2 9 4" xfId="18366"/>
    <cellStyle name="Entrada 2 3" xfId="456"/>
    <cellStyle name="Entrada 2 3 10" xfId="6300"/>
    <cellStyle name="Entrada 2 3 10 2" xfId="23498"/>
    <cellStyle name="Entrada 2 3 11" xfId="14831"/>
    <cellStyle name="Entrada 2 3 2" xfId="457"/>
    <cellStyle name="Entrada 2 3 2 2" xfId="458"/>
    <cellStyle name="Entrada 2 3 2 2 2" xfId="459"/>
    <cellStyle name="Entrada 2 3 2 2 2 2" xfId="6991"/>
    <cellStyle name="Entrada 2 3 2 2 2 2 2" xfId="13595"/>
    <cellStyle name="Entrada 2 3 2 2 2 2 2 2" xfId="27917"/>
    <cellStyle name="Entrada 2 3 2 2 2 2 3" xfId="19240"/>
    <cellStyle name="Entrada 2 3 2 2 2 3" xfId="7670"/>
    <cellStyle name="Entrada 2 3 2 2 2 3 2" xfId="10284"/>
    <cellStyle name="Entrada 2 3 2 2 2 3 2 2" xfId="16546"/>
    <cellStyle name="Entrada 2 3 2 2 2 3 2 2 2" xfId="29962"/>
    <cellStyle name="Entrada 2 3 2 2 2 3 2 3" xfId="21291"/>
    <cellStyle name="Entrada 2 3 2 2 2 3 3" xfId="14274"/>
    <cellStyle name="Entrada 2 3 2 2 2 3 3 2" xfId="28596"/>
    <cellStyle name="Entrada 2 3 2 2 2 3 4" xfId="19919"/>
    <cellStyle name="Entrada 2 3 2 2 2 4" xfId="11503"/>
    <cellStyle name="Entrada 2 3 2 2 2 4 2" xfId="25825"/>
    <cellStyle name="Entrada 2 3 2 2 2 5" xfId="14770"/>
    <cellStyle name="Entrada 2 3 2 2 3" xfId="460"/>
    <cellStyle name="Entrada 2 3 2 2 3 2" xfId="7068"/>
    <cellStyle name="Entrada 2 3 2 2 3 2 2" xfId="9682"/>
    <cellStyle name="Entrada 2 3 2 2 3 2 2 2" xfId="15944"/>
    <cellStyle name="Entrada 2 3 2 2 3 2 2 2 2" xfId="29360"/>
    <cellStyle name="Entrada 2 3 2 2 3 2 2 3" xfId="20689"/>
    <cellStyle name="Entrada 2 3 2 2 3 2 3" xfId="13672"/>
    <cellStyle name="Entrada 2 3 2 2 3 2 3 2" xfId="27994"/>
    <cellStyle name="Entrada 2 3 2 2 3 2 4" xfId="19317"/>
    <cellStyle name="Entrada 2 3 2 2 3 3" xfId="13296"/>
    <cellStyle name="Entrada 2 3 2 2 3 3 2" xfId="27618"/>
    <cellStyle name="Entrada 2 3 2 2 3 4" xfId="18941"/>
    <cellStyle name="Entrada 2 3 2 2 4" xfId="5746"/>
    <cellStyle name="Entrada 2 3 2 2 4 2" xfId="12299"/>
    <cellStyle name="Entrada 2 3 2 2 4 2 2" xfId="26621"/>
    <cellStyle name="Entrada 2 3 2 2 4 3" xfId="17944"/>
    <cellStyle name="Entrada 2 3 2 2 5" xfId="3775"/>
    <cellStyle name="Entrada 2 3 2 2 5 2" xfId="22572"/>
    <cellStyle name="Entrada 2 3 2 2 6" xfId="17149"/>
    <cellStyle name="Entrada 2 3 2 3" xfId="461"/>
    <cellStyle name="Entrada 2 3 2 3 2" xfId="462"/>
    <cellStyle name="Entrada 2 3 2 3 2 2" xfId="5834"/>
    <cellStyle name="Entrada 2 3 2 3 2 2 2" xfId="12387"/>
    <cellStyle name="Entrada 2 3 2 3 2 2 2 2" xfId="26709"/>
    <cellStyle name="Entrada 2 3 2 3 2 2 3" xfId="18032"/>
    <cellStyle name="Entrada 2 3 2 3 2 3" xfId="7872"/>
    <cellStyle name="Entrada 2 3 2 3 2 3 2" xfId="10486"/>
    <cellStyle name="Entrada 2 3 2 3 2 3 2 2" xfId="16748"/>
    <cellStyle name="Entrada 2 3 2 3 2 3 2 2 2" xfId="30164"/>
    <cellStyle name="Entrada 2 3 2 3 2 3 2 3" xfId="21493"/>
    <cellStyle name="Entrada 2 3 2 3 2 3 3" xfId="14476"/>
    <cellStyle name="Entrada 2 3 2 3 2 3 3 2" xfId="28798"/>
    <cellStyle name="Entrada 2 3 2 3 2 3 4" xfId="20121"/>
    <cellStyle name="Entrada 2 3 2 3 2 4" xfId="4124"/>
    <cellStyle name="Entrada 2 3 2 3 2 4 2" xfId="22768"/>
    <cellStyle name="Entrada 2 3 2 3 2 5" xfId="15116"/>
    <cellStyle name="Entrada 2 3 2 3 3" xfId="463"/>
    <cellStyle name="Entrada 2 3 2 3 3 2" xfId="7660"/>
    <cellStyle name="Entrada 2 3 2 3 3 2 2" xfId="10274"/>
    <cellStyle name="Entrada 2 3 2 3 3 2 2 2" xfId="16536"/>
    <cellStyle name="Entrada 2 3 2 3 3 2 2 2 2" xfId="29952"/>
    <cellStyle name="Entrada 2 3 2 3 3 2 2 3" xfId="21281"/>
    <cellStyle name="Entrada 2 3 2 3 3 2 3" xfId="14264"/>
    <cellStyle name="Entrada 2 3 2 3 3 2 3 2" xfId="28586"/>
    <cellStyle name="Entrada 2 3 2 3 3 2 4" xfId="19909"/>
    <cellStyle name="Entrada 2 3 2 3 3 3" xfId="13162"/>
    <cellStyle name="Entrada 2 3 2 3 3 3 2" xfId="27484"/>
    <cellStyle name="Entrada 2 3 2 3 3 4" xfId="18807"/>
    <cellStyle name="Entrada 2 3 2 3 4" xfId="5575"/>
    <cellStyle name="Entrada 2 3 2 3 4 2" xfId="12126"/>
    <cellStyle name="Entrada 2 3 2 3 4 2 2" xfId="26448"/>
    <cellStyle name="Entrada 2 3 2 3 4 3" xfId="17771"/>
    <cellStyle name="Entrada 2 3 2 3 5" xfId="4865"/>
    <cellStyle name="Entrada 2 3 2 3 5 2" xfId="23230"/>
    <cellStyle name="Entrada 2 3 2 3 6" xfId="6694"/>
    <cellStyle name="Entrada 2 3 2 4" xfId="464"/>
    <cellStyle name="Entrada 2 3 2 4 2" xfId="6390"/>
    <cellStyle name="Entrada 2 3 2 4 2 2" xfId="12973"/>
    <cellStyle name="Entrada 2 3 2 4 2 2 2" xfId="27295"/>
    <cellStyle name="Entrada 2 3 2 4 2 3" xfId="18618"/>
    <cellStyle name="Entrada 2 3 2 4 3" xfId="7558"/>
    <cellStyle name="Entrada 2 3 2 4 3 2" xfId="10172"/>
    <cellStyle name="Entrada 2 3 2 4 3 2 2" xfId="16434"/>
    <cellStyle name="Entrada 2 3 2 4 3 2 2 2" xfId="29850"/>
    <cellStyle name="Entrada 2 3 2 4 3 2 3" xfId="21179"/>
    <cellStyle name="Entrada 2 3 2 4 3 3" xfId="14162"/>
    <cellStyle name="Entrada 2 3 2 4 3 3 2" xfId="28484"/>
    <cellStyle name="Entrada 2 3 2 4 3 4" xfId="19807"/>
    <cellStyle name="Entrada 2 3 2 4 4" xfId="6723"/>
    <cellStyle name="Entrada 2 3 2 4 4 2" xfId="23677"/>
    <cellStyle name="Entrada 2 3 2 4 5" xfId="15562"/>
    <cellStyle name="Entrada 2 3 2 5" xfId="465"/>
    <cellStyle name="Entrada 2 3 2 5 2" xfId="7469"/>
    <cellStyle name="Entrada 2 3 2 5 2 2" xfId="10083"/>
    <cellStyle name="Entrada 2 3 2 5 2 2 2" xfId="16345"/>
    <cellStyle name="Entrada 2 3 2 5 2 2 2 2" xfId="29761"/>
    <cellStyle name="Entrada 2 3 2 5 2 2 3" xfId="21090"/>
    <cellStyle name="Entrada 2 3 2 5 2 3" xfId="14073"/>
    <cellStyle name="Entrada 2 3 2 5 2 3 2" xfId="28395"/>
    <cellStyle name="Entrada 2 3 2 5 2 4" xfId="19718"/>
    <cellStyle name="Entrada 2 3 2 5 3" xfId="12872"/>
    <cellStyle name="Entrada 2 3 2 5 3 2" xfId="27194"/>
    <cellStyle name="Entrada 2 3 2 5 4" xfId="18517"/>
    <cellStyle name="Entrada 2 3 2 6" xfId="5490"/>
    <cellStyle name="Entrada 2 3 2 6 2" xfId="12041"/>
    <cellStyle name="Entrada 2 3 2 6 2 2" xfId="26363"/>
    <cellStyle name="Entrada 2 3 2 6 3" xfId="17686"/>
    <cellStyle name="Entrada 2 3 2 7" xfId="4289"/>
    <cellStyle name="Entrada 2 3 2 7 2" xfId="22873"/>
    <cellStyle name="Entrada 2 3 2 8" xfId="15082"/>
    <cellStyle name="Entrada 2 3 3" xfId="466"/>
    <cellStyle name="Entrada 2 3 3 2" xfId="467"/>
    <cellStyle name="Entrada 2 3 3 2 2" xfId="468"/>
    <cellStyle name="Entrada 2 3 3 2 2 2" xfId="5981"/>
    <cellStyle name="Entrada 2 3 3 2 2 2 2" xfId="12539"/>
    <cellStyle name="Entrada 2 3 3 2 2 2 2 2" xfId="26861"/>
    <cellStyle name="Entrada 2 3 3 2 2 2 3" xfId="18184"/>
    <cellStyle name="Entrada 2 3 3 2 2 3" xfId="7131"/>
    <cellStyle name="Entrada 2 3 3 2 2 3 2" xfId="9745"/>
    <cellStyle name="Entrada 2 3 3 2 2 3 2 2" xfId="16007"/>
    <cellStyle name="Entrada 2 3 3 2 2 3 2 2 2" xfId="29423"/>
    <cellStyle name="Entrada 2 3 3 2 2 3 2 3" xfId="20752"/>
    <cellStyle name="Entrada 2 3 3 2 2 3 3" xfId="13735"/>
    <cellStyle name="Entrada 2 3 3 2 2 3 3 2" xfId="28057"/>
    <cellStyle name="Entrada 2 3 3 2 2 3 4" xfId="19380"/>
    <cellStyle name="Entrada 2 3 3 2 2 4" xfId="6299"/>
    <cellStyle name="Entrada 2 3 3 2 2 4 2" xfId="23497"/>
    <cellStyle name="Entrada 2 3 3 2 2 5" xfId="3663"/>
    <cellStyle name="Entrada 2 3 3 2 3" xfId="469"/>
    <cellStyle name="Entrada 2 3 3 2 3 2" xfId="3598"/>
    <cellStyle name="Entrada 2 3 3 2 3 2 2" xfId="9341"/>
    <cellStyle name="Entrada 2 3 3 2 3 2 2 2" xfId="15603"/>
    <cellStyle name="Entrada 2 3 3 2 3 2 2 2 2" xfId="29019"/>
    <cellStyle name="Entrada 2 3 3 2 3 2 2 3" xfId="20348"/>
    <cellStyle name="Entrada 2 3 3 2 3 2 3" xfId="3953"/>
    <cellStyle name="Entrada 2 3 3 2 3 2 3 2" xfId="22666"/>
    <cellStyle name="Entrada 2 3 3 2 3 2 4" xfId="15223"/>
    <cellStyle name="Entrada 2 3 3 2 3 3" xfId="13332"/>
    <cellStyle name="Entrada 2 3 3 2 3 3 2" xfId="27654"/>
    <cellStyle name="Entrada 2 3 3 2 3 4" xfId="18977"/>
    <cellStyle name="Entrada 2 3 3 2 4" xfId="5782"/>
    <cellStyle name="Entrada 2 3 3 2 4 2" xfId="12335"/>
    <cellStyle name="Entrada 2 3 3 2 4 2 2" xfId="26657"/>
    <cellStyle name="Entrada 2 3 3 2 4 3" xfId="17980"/>
    <cellStyle name="Entrada 2 3 3 2 5" xfId="4216"/>
    <cellStyle name="Entrada 2 3 3 2 5 2" xfId="22828"/>
    <cellStyle name="Entrada 2 3 3 2 6" xfId="17396"/>
    <cellStyle name="Entrada 2 3 3 3" xfId="470"/>
    <cellStyle name="Entrada 2 3 3 3 2" xfId="471"/>
    <cellStyle name="Entrada 2 3 3 3 2 2" xfId="5973"/>
    <cellStyle name="Entrada 2 3 3 3 2 2 2" xfId="12531"/>
    <cellStyle name="Entrada 2 3 3 3 2 2 2 2" xfId="26853"/>
    <cellStyle name="Entrada 2 3 3 3 2 2 3" xfId="18176"/>
    <cellStyle name="Entrada 2 3 3 3 2 3" xfId="7951"/>
    <cellStyle name="Entrada 2 3 3 3 2 3 2" xfId="10565"/>
    <cellStyle name="Entrada 2 3 3 3 2 3 2 2" xfId="16827"/>
    <cellStyle name="Entrada 2 3 3 3 2 3 2 2 2" xfId="30243"/>
    <cellStyle name="Entrada 2 3 3 3 2 3 2 3" xfId="21572"/>
    <cellStyle name="Entrada 2 3 3 3 2 3 3" xfId="14555"/>
    <cellStyle name="Entrada 2 3 3 3 2 3 3 2" xfId="28877"/>
    <cellStyle name="Entrada 2 3 3 3 2 3 4" xfId="20200"/>
    <cellStyle name="Entrada 2 3 3 3 2 4" xfId="4388"/>
    <cellStyle name="Entrada 2 3 3 3 2 4 2" xfId="22922"/>
    <cellStyle name="Entrada 2 3 3 3 2 5" xfId="15094"/>
    <cellStyle name="Entrada 2 3 3 3 3" xfId="472"/>
    <cellStyle name="Entrada 2 3 3 3 3 2" xfId="7219"/>
    <cellStyle name="Entrada 2 3 3 3 3 2 2" xfId="9833"/>
    <cellStyle name="Entrada 2 3 3 3 3 2 2 2" xfId="16095"/>
    <cellStyle name="Entrada 2 3 3 3 3 2 2 2 2" xfId="29511"/>
    <cellStyle name="Entrada 2 3 3 3 3 2 2 3" xfId="20840"/>
    <cellStyle name="Entrada 2 3 3 3 3 2 3" xfId="13823"/>
    <cellStyle name="Entrada 2 3 3 3 3 2 3 2" xfId="28145"/>
    <cellStyle name="Entrada 2 3 3 3 3 2 4" xfId="19468"/>
    <cellStyle name="Entrada 2 3 3 3 3 3" xfId="13425"/>
    <cellStyle name="Entrada 2 3 3 3 3 3 2" xfId="27747"/>
    <cellStyle name="Entrada 2 3 3 3 3 4" xfId="19070"/>
    <cellStyle name="Entrada 2 3 3 3 4" xfId="5899"/>
    <cellStyle name="Entrada 2 3 3 3 4 2" xfId="12453"/>
    <cellStyle name="Entrada 2 3 3 3 4 2 2" xfId="26775"/>
    <cellStyle name="Entrada 2 3 3 3 4 3" xfId="18098"/>
    <cellStyle name="Entrada 2 3 3 3 5" xfId="2825"/>
    <cellStyle name="Entrada 2 3 3 3 5 2" xfId="22388"/>
    <cellStyle name="Entrada 2 3 3 3 6" xfId="17132"/>
    <cellStyle name="Entrada 2 3 3 4" xfId="473"/>
    <cellStyle name="Entrada 2 3 3 4 2" xfId="6519"/>
    <cellStyle name="Entrada 2 3 3 4 2 2" xfId="13107"/>
    <cellStyle name="Entrada 2 3 3 4 2 2 2" xfId="27429"/>
    <cellStyle name="Entrada 2 3 3 4 2 3" xfId="18752"/>
    <cellStyle name="Entrada 2 3 3 4 3" xfId="4917"/>
    <cellStyle name="Entrada 2 3 3 4 3 2" xfId="9513"/>
    <cellStyle name="Entrada 2 3 3 4 3 2 2" xfId="15775"/>
    <cellStyle name="Entrada 2 3 3 4 3 2 2 2" xfId="29191"/>
    <cellStyle name="Entrada 2 3 3 4 3 2 3" xfId="20520"/>
    <cellStyle name="Entrada 2 3 3 4 3 3" xfId="11454"/>
    <cellStyle name="Entrada 2 3 3 4 3 3 2" xfId="25776"/>
    <cellStyle name="Entrada 2 3 3 4 3 4" xfId="6297"/>
    <cellStyle name="Entrada 2 3 3 4 4" xfId="5568"/>
    <cellStyle name="Entrada 2 3 3 4 4 2" xfId="23350"/>
    <cellStyle name="Entrada 2 3 3 4 5" xfId="4155"/>
    <cellStyle name="Entrada 2 3 3 5" xfId="474"/>
    <cellStyle name="Entrada 2 3 3 5 2" xfId="7528"/>
    <cellStyle name="Entrada 2 3 3 5 2 2" xfId="10142"/>
    <cellStyle name="Entrada 2 3 3 5 2 2 2" xfId="16404"/>
    <cellStyle name="Entrada 2 3 3 5 2 2 2 2" xfId="29820"/>
    <cellStyle name="Entrada 2 3 3 5 2 2 3" xfId="21149"/>
    <cellStyle name="Entrada 2 3 3 5 2 3" xfId="14132"/>
    <cellStyle name="Entrada 2 3 3 5 2 3 2" xfId="28454"/>
    <cellStyle name="Entrada 2 3 3 5 2 4" xfId="19777"/>
    <cellStyle name="Entrada 2 3 3 5 3" xfId="12908"/>
    <cellStyle name="Entrada 2 3 3 5 3 2" xfId="27230"/>
    <cellStyle name="Entrada 2 3 3 5 4" xfId="18553"/>
    <cellStyle name="Entrada 2 3 3 6" xfId="5532"/>
    <cellStyle name="Entrada 2 3 3 6 2" xfId="12083"/>
    <cellStyle name="Entrada 2 3 3 6 2 2" xfId="26405"/>
    <cellStyle name="Entrada 2 3 3 6 3" xfId="17728"/>
    <cellStyle name="Entrada 2 3 3 7" xfId="4583"/>
    <cellStyle name="Entrada 2 3 3 7 2" xfId="23049"/>
    <cellStyle name="Entrada 2 3 3 8" xfId="15397"/>
    <cellStyle name="Entrada 2 3 4" xfId="475"/>
    <cellStyle name="Entrada 2 3 4 2" xfId="476"/>
    <cellStyle name="Entrada 2 3 4 2 2" xfId="477"/>
    <cellStyle name="Entrada 2 3 4 2 2 2" xfId="5889"/>
    <cellStyle name="Entrada 2 3 4 2 2 2 2" xfId="12442"/>
    <cellStyle name="Entrada 2 3 4 2 2 2 2 2" xfId="26764"/>
    <cellStyle name="Entrada 2 3 4 2 2 2 3" xfId="18087"/>
    <cellStyle name="Entrada 2 3 4 2 2 3" xfId="7972"/>
    <cellStyle name="Entrada 2 3 4 2 2 3 2" xfId="10586"/>
    <cellStyle name="Entrada 2 3 4 2 2 3 2 2" xfId="16848"/>
    <cellStyle name="Entrada 2 3 4 2 2 3 2 2 2" xfId="30264"/>
    <cellStyle name="Entrada 2 3 4 2 2 3 2 3" xfId="21593"/>
    <cellStyle name="Entrada 2 3 4 2 2 3 3" xfId="14576"/>
    <cellStyle name="Entrada 2 3 4 2 2 3 3 2" xfId="28898"/>
    <cellStyle name="Entrada 2 3 4 2 2 3 4" xfId="20221"/>
    <cellStyle name="Entrada 2 3 4 2 2 4" xfId="3995"/>
    <cellStyle name="Entrada 2 3 4 2 2 4 2" xfId="22692"/>
    <cellStyle name="Entrada 2 3 4 2 2 5" xfId="14928"/>
    <cellStyle name="Entrada 2 3 4 2 3" xfId="478"/>
    <cellStyle name="Entrada 2 3 4 2 3 2" xfId="7666"/>
    <cellStyle name="Entrada 2 3 4 2 3 2 2" xfId="10280"/>
    <cellStyle name="Entrada 2 3 4 2 3 2 2 2" xfId="16542"/>
    <cellStyle name="Entrada 2 3 4 2 3 2 2 2 2" xfId="29958"/>
    <cellStyle name="Entrada 2 3 4 2 3 2 2 3" xfId="21287"/>
    <cellStyle name="Entrada 2 3 4 2 3 2 3" xfId="14270"/>
    <cellStyle name="Entrada 2 3 4 2 3 2 3 2" xfId="28592"/>
    <cellStyle name="Entrada 2 3 4 2 3 2 4" xfId="19915"/>
    <cellStyle name="Entrada 2 3 4 2 3 3" xfId="13278"/>
    <cellStyle name="Entrada 2 3 4 2 3 3 2" xfId="27600"/>
    <cellStyle name="Entrada 2 3 4 2 3 4" xfId="18923"/>
    <cellStyle name="Entrada 2 3 4 2 4" xfId="5726"/>
    <cellStyle name="Entrada 2 3 4 2 4 2" xfId="12279"/>
    <cellStyle name="Entrada 2 3 4 2 4 2 2" xfId="26601"/>
    <cellStyle name="Entrada 2 3 4 2 4 3" xfId="17924"/>
    <cellStyle name="Entrada 2 3 4 2 5" xfId="3732"/>
    <cellStyle name="Entrada 2 3 4 2 5 2" xfId="22552"/>
    <cellStyle name="Entrada 2 3 4 2 6" xfId="15576"/>
    <cellStyle name="Entrada 2 3 4 3" xfId="479"/>
    <cellStyle name="Entrada 2 3 4 3 2" xfId="480"/>
    <cellStyle name="Entrada 2 3 4 3 2 2" xfId="5086"/>
    <cellStyle name="Entrada 2 3 4 3 2 2 2" xfId="11633"/>
    <cellStyle name="Entrada 2 3 4 3 2 2 2 2" xfId="25955"/>
    <cellStyle name="Entrada 2 3 4 3 2 2 3" xfId="14839"/>
    <cellStyle name="Entrada 2 3 4 3 2 3" xfId="7782"/>
    <cellStyle name="Entrada 2 3 4 3 2 3 2" xfId="10396"/>
    <cellStyle name="Entrada 2 3 4 3 2 3 2 2" xfId="16658"/>
    <cellStyle name="Entrada 2 3 4 3 2 3 2 2 2" xfId="30074"/>
    <cellStyle name="Entrada 2 3 4 3 2 3 2 3" xfId="21403"/>
    <cellStyle name="Entrada 2 3 4 3 2 3 3" xfId="14386"/>
    <cellStyle name="Entrada 2 3 4 3 2 3 3 2" xfId="28708"/>
    <cellStyle name="Entrada 2 3 4 3 2 3 4" xfId="20031"/>
    <cellStyle name="Entrada 2 3 4 3 2 4" xfId="5020"/>
    <cellStyle name="Entrada 2 3 4 3 2 4 2" xfId="23309"/>
    <cellStyle name="Entrada 2 3 4 3 2 5" xfId="15479"/>
    <cellStyle name="Entrada 2 3 4 3 3" xfId="481"/>
    <cellStyle name="Entrada 2 3 4 3 3 2" xfId="8055"/>
    <cellStyle name="Entrada 2 3 4 3 3 2 2" xfId="10669"/>
    <cellStyle name="Entrada 2 3 4 3 3 2 2 2" xfId="16931"/>
    <cellStyle name="Entrada 2 3 4 3 3 2 2 2 2" xfId="30347"/>
    <cellStyle name="Entrada 2 3 4 3 3 2 2 3" xfId="21676"/>
    <cellStyle name="Entrada 2 3 4 3 3 2 3" xfId="14659"/>
    <cellStyle name="Entrada 2 3 4 3 3 2 3 2" xfId="28981"/>
    <cellStyle name="Entrada 2 3 4 3 3 2 4" xfId="20304"/>
    <cellStyle name="Entrada 2 3 4 3 3 3" xfId="12690"/>
    <cellStyle name="Entrada 2 3 4 3 3 3 2" xfId="27012"/>
    <cellStyle name="Entrada 2 3 4 3 3 4" xfId="18335"/>
    <cellStyle name="Entrada 2 3 4 3 4" xfId="5196"/>
    <cellStyle name="Entrada 2 3 4 3 4 2" xfId="11745"/>
    <cellStyle name="Entrada 2 3 4 3 4 2 2" xfId="26067"/>
    <cellStyle name="Entrada 2 3 4 3 4 3" xfId="4931"/>
    <cellStyle name="Entrada 2 3 4 3 5" xfId="4787"/>
    <cellStyle name="Entrada 2 3 4 3 5 2" xfId="23187"/>
    <cellStyle name="Entrada 2 3 4 3 6" xfId="15056"/>
    <cellStyle name="Entrada 2 3 4 4" xfId="482"/>
    <cellStyle name="Entrada 2 3 4 4 2" xfId="6863"/>
    <cellStyle name="Entrada 2 3 4 4 2 2" xfId="13467"/>
    <cellStyle name="Entrada 2 3 4 4 2 2 2" xfId="27789"/>
    <cellStyle name="Entrada 2 3 4 4 2 3" xfId="19112"/>
    <cellStyle name="Entrada 2 3 4 4 3" xfId="7817"/>
    <cellStyle name="Entrada 2 3 4 4 3 2" xfId="10431"/>
    <cellStyle name="Entrada 2 3 4 4 3 2 2" xfId="16693"/>
    <cellStyle name="Entrada 2 3 4 4 3 2 2 2" xfId="30109"/>
    <cellStyle name="Entrada 2 3 4 4 3 2 3" xfId="21438"/>
    <cellStyle name="Entrada 2 3 4 4 3 3" xfId="14421"/>
    <cellStyle name="Entrada 2 3 4 4 3 3 2" xfId="28743"/>
    <cellStyle name="Entrada 2 3 4 4 3 4" xfId="20066"/>
    <cellStyle name="Entrada 2 3 4 4 4" xfId="11322"/>
    <cellStyle name="Entrada 2 3 4 4 4 2" xfId="25644"/>
    <cellStyle name="Entrada 2 3 4 4 5" xfId="15020"/>
    <cellStyle name="Entrada 2 3 4 5" xfId="483"/>
    <cellStyle name="Entrada 2 3 4 5 2" xfId="7421"/>
    <cellStyle name="Entrada 2 3 4 5 2 2" xfId="10035"/>
    <cellStyle name="Entrada 2 3 4 5 2 2 2" xfId="16297"/>
    <cellStyle name="Entrada 2 3 4 5 2 2 2 2" xfId="29713"/>
    <cellStyle name="Entrada 2 3 4 5 2 2 3" xfId="21042"/>
    <cellStyle name="Entrada 2 3 4 5 2 3" xfId="14025"/>
    <cellStyle name="Entrada 2 3 4 5 2 3 2" xfId="28347"/>
    <cellStyle name="Entrada 2 3 4 5 2 4" xfId="19670"/>
    <cellStyle name="Entrada 2 3 4 5 3" xfId="12841"/>
    <cellStyle name="Entrada 2 3 4 5 3 2" xfId="27163"/>
    <cellStyle name="Entrada 2 3 4 5 4" xfId="18486"/>
    <cellStyle name="Entrada 2 3 4 6" xfId="5421"/>
    <cellStyle name="Entrada 2 3 4 6 2" xfId="11972"/>
    <cellStyle name="Entrada 2 3 4 6 2 2" xfId="26294"/>
    <cellStyle name="Entrada 2 3 4 6 3" xfId="17617"/>
    <cellStyle name="Entrada 2 3 4 7" xfId="4927"/>
    <cellStyle name="Entrada 2 3 4 7 2" xfId="23265"/>
    <cellStyle name="Entrada 2 3 4 8" xfId="15192"/>
    <cellStyle name="Entrada 2 3 5" xfId="484"/>
    <cellStyle name="Entrada 2 3 5 2" xfId="485"/>
    <cellStyle name="Entrada 2 3 5 2 2" xfId="486"/>
    <cellStyle name="Entrada 2 3 5 2 2 2" xfId="7024"/>
    <cellStyle name="Entrada 2 3 5 2 2 2 2" xfId="13628"/>
    <cellStyle name="Entrada 2 3 5 2 2 2 2 2" xfId="27950"/>
    <cellStyle name="Entrada 2 3 5 2 2 2 3" xfId="19273"/>
    <cellStyle name="Entrada 2 3 5 2 2 3" xfId="7725"/>
    <cellStyle name="Entrada 2 3 5 2 2 3 2" xfId="10339"/>
    <cellStyle name="Entrada 2 3 5 2 2 3 2 2" xfId="16601"/>
    <cellStyle name="Entrada 2 3 5 2 2 3 2 2 2" xfId="30017"/>
    <cellStyle name="Entrada 2 3 5 2 2 3 2 3" xfId="21346"/>
    <cellStyle name="Entrada 2 3 5 2 2 3 3" xfId="14329"/>
    <cellStyle name="Entrada 2 3 5 2 2 3 3 2" xfId="28651"/>
    <cellStyle name="Entrada 2 3 5 2 2 3 4" xfId="19974"/>
    <cellStyle name="Entrada 2 3 5 2 2 4" xfId="11561"/>
    <cellStyle name="Entrada 2 3 5 2 2 4 2" xfId="25883"/>
    <cellStyle name="Entrada 2 3 5 2 2 5" xfId="4714"/>
    <cellStyle name="Entrada 2 3 5 2 3" xfId="487"/>
    <cellStyle name="Entrada 2 3 5 2 3 2" xfId="7373"/>
    <cellStyle name="Entrada 2 3 5 2 3 2 2" xfId="9987"/>
    <cellStyle name="Entrada 2 3 5 2 3 2 2 2" xfId="16249"/>
    <cellStyle name="Entrada 2 3 5 2 3 2 2 2 2" xfId="29665"/>
    <cellStyle name="Entrada 2 3 5 2 3 2 2 3" xfId="20994"/>
    <cellStyle name="Entrada 2 3 5 2 3 2 3" xfId="13977"/>
    <cellStyle name="Entrada 2 3 5 2 3 2 3 2" xfId="28299"/>
    <cellStyle name="Entrada 2 3 5 2 3 2 4" xfId="19622"/>
    <cellStyle name="Entrada 2 3 5 2 3 3" xfId="13410"/>
    <cellStyle name="Entrada 2 3 5 2 3 3 2" xfId="27732"/>
    <cellStyle name="Entrada 2 3 5 2 3 4" xfId="19055"/>
    <cellStyle name="Entrada 2 3 5 2 4" xfId="5878"/>
    <cellStyle name="Entrada 2 3 5 2 4 2" xfId="12431"/>
    <cellStyle name="Entrada 2 3 5 2 4 2 2" xfId="26753"/>
    <cellStyle name="Entrada 2 3 5 2 4 3" xfId="18076"/>
    <cellStyle name="Entrada 2 3 5 2 5" xfId="6311"/>
    <cellStyle name="Entrada 2 3 5 2 5 2" xfId="23507"/>
    <cellStyle name="Entrada 2 3 5 2 6" xfId="3188"/>
    <cellStyle name="Entrada 2 3 5 3" xfId="488"/>
    <cellStyle name="Entrada 2 3 5 3 2" xfId="5920"/>
    <cellStyle name="Entrada 2 3 5 3 2 2" xfId="12475"/>
    <cellStyle name="Entrada 2 3 5 3 2 2 2" xfId="26797"/>
    <cellStyle name="Entrada 2 3 5 3 2 3" xfId="18120"/>
    <cellStyle name="Entrada 2 3 5 3 3" xfId="5316"/>
    <cellStyle name="Entrada 2 3 5 3 3 2" xfId="9625"/>
    <cellStyle name="Entrada 2 3 5 3 3 2 2" xfId="15887"/>
    <cellStyle name="Entrada 2 3 5 3 3 2 2 2" xfId="29303"/>
    <cellStyle name="Entrada 2 3 5 3 3 2 3" xfId="20632"/>
    <cellStyle name="Entrada 2 3 5 3 3 3" xfId="11866"/>
    <cellStyle name="Entrada 2 3 5 3 3 3 2" xfId="26188"/>
    <cellStyle name="Entrada 2 3 5 3 3 4" xfId="17511"/>
    <cellStyle name="Entrada 2 3 5 3 4" xfId="4645"/>
    <cellStyle name="Entrada 2 3 5 3 4 2" xfId="23089"/>
    <cellStyle name="Entrada 2 3 5 3 5" xfId="15497"/>
    <cellStyle name="Entrada 2 3 5 4" xfId="489"/>
    <cellStyle name="Entrada 2 3 5 4 2" xfId="4805"/>
    <cellStyle name="Entrada 2 3 5 4 2 2" xfId="9490"/>
    <cellStyle name="Entrada 2 3 5 4 2 2 2" xfId="15752"/>
    <cellStyle name="Entrada 2 3 5 4 2 2 2 2" xfId="29168"/>
    <cellStyle name="Entrada 2 3 5 4 2 2 3" xfId="20497"/>
    <cellStyle name="Entrada 2 3 5 4 2 3" xfId="11335"/>
    <cellStyle name="Entrada 2 3 5 4 2 3 2" xfId="25657"/>
    <cellStyle name="Entrada 2 3 5 4 2 4" xfId="15572"/>
    <cellStyle name="Entrada 2 3 5 4 3" xfId="12943"/>
    <cellStyle name="Entrada 2 3 5 4 3 2" xfId="27265"/>
    <cellStyle name="Entrada 2 3 5 4 4" xfId="18588"/>
    <cellStyle name="Entrada 2 3 5 5" xfId="5597"/>
    <cellStyle name="Entrada 2 3 5 5 2" xfId="12149"/>
    <cellStyle name="Entrada 2 3 5 5 2 2" xfId="26471"/>
    <cellStyle name="Entrada 2 3 5 5 3" xfId="17794"/>
    <cellStyle name="Entrada 2 3 5 6" xfId="6287"/>
    <cellStyle name="Entrada 2 3 5 6 2" xfId="23489"/>
    <cellStyle name="Entrada 2 3 5 7" xfId="15559"/>
    <cellStyle name="Entrada 2 3 6" xfId="490"/>
    <cellStyle name="Entrada 2 3 6 2" xfId="491"/>
    <cellStyle name="Entrada 2 3 6 2 2" xfId="6440"/>
    <cellStyle name="Entrada 2 3 6 2 2 2" xfId="13023"/>
    <cellStyle name="Entrada 2 3 6 2 2 2 2" xfId="27345"/>
    <cellStyle name="Entrada 2 3 6 2 2 3" xfId="18668"/>
    <cellStyle name="Entrada 2 3 6 2 3" xfId="4096"/>
    <cellStyle name="Entrada 2 3 6 2 3 2" xfId="9424"/>
    <cellStyle name="Entrada 2 3 6 2 3 2 2" xfId="15686"/>
    <cellStyle name="Entrada 2 3 6 2 3 2 2 2" xfId="29102"/>
    <cellStyle name="Entrada 2 3 6 2 3 2 3" xfId="20431"/>
    <cellStyle name="Entrada 2 3 6 2 3 3" xfId="6514"/>
    <cellStyle name="Entrada 2 3 6 2 3 3 2" xfId="23578"/>
    <cellStyle name="Entrada 2 3 6 2 3 4" xfId="17099"/>
    <cellStyle name="Entrada 2 3 6 2 4" xfId="6121"/>
    <cellStyle name="Entrada 2 3 6 2 4 2" xfId="23419"/>
    <cellStyle name="Entrada 2 3 6 2 5" xfId="4212"/>
    <cellStyle name="Entrada 2 3 6 3" xfId="492"/>
    <cellStyle name="Entrada 2 3 6 3 2" xfId="4765"/>
    <cellStyle name="Entrada 2 3 6 3 2 2" xfId="9478"/>
    <cellStyle name="Entrada 2 3 6 3 2 2 2" xfId="15740"/>
    <cellStyle name="Entrada 2 3 6 3 2 2 2 2" xfId="29156"/>
    <cellStyle name="Entrada 2 3 6 3 2 2 3" xfId="20485"/>
    <cellStyle name="Entrada 2 3 6 3 2 3" xfId="2813"/>
    <cellStyle name="Entrada 2 3 6 3 2 3 2" xfId="22376"/>
    <cellStyle name="Entrada 2 3 6 3 2 4" xfId="15580"/>
    <cellStyle name="Entrada 2 3 6 3 3" xfId="13384"/>
    <cellStyle name="Entrada 2 3 6 3 3 2" xfId="27706"/>
    <cellStyle name="Entrada 2 3 6 3 4" xfId="19029"/>
    <cellStyle name="Entrada 2 3 6 4" xfId="5844"/>
    <cellStyle name="Entrada 2 3 6 4 2" xfId="12397"/>
    <cellStyle name="Entrada 2 3 6 4 2 2" xfId="26719"/>
    <cellStyle name="Entrada 2 3 6 4 3" xfId="18042"/>
    <cellStyle name="Entrada 2 3 6 5" xfId="3785"/>
    <cellStyle name="Entrada 2 3 6 5 2" xfId="22577"/>
    <cellStyle name="Entrada 2 3 6 6" xfId="17336"/>
    <cellStyle name="Entrada 2 3 7" xfId="493"/>
    <cellStyle name="Entrada 2 3 7 2" xfId="7012"/>
    <cellStyle name="Entrada 2 3 7 2 2" xfId="13616"/>
    <cellStyle name="Entrada 2 3 7 2 2 2" xfId="27938"/>
    <cellStyle name="Entrada 2 3 7 2 3" xfId="19261"/>
    <cellStyle name="Entrada 2 3 7 3" xfId="3145"/>
    <cellStyle name="Entrada 2 3 7 3 2" xfId="8981"/>
    <cellStyle name="Entrada 2 3 7 3 2 2" xfId="15336"/>
    <cellStyle name="Entrada 2 3 7 3 2 2 2" xfId="28999"/>
    <cellStyle name="Entrada 2 3 7 3 2 3" xfId="20326"/>
    <cellStyle name="Entrada 2 3 7 3 3" xfId="6670"/>
    <cellStyle name="Entrada 2 3 7 3 3 2" xfId="23642"/>
    <cellStyle name="Entrada 2 3 7 3 4" xfId="6497"/>
    <cellStyle name="Entrada 2 3 7 4" xfId="11538"/>
    <cellStyle name="Entrada 2 3 7 4 2" xfId="25860"/>
    <cellStyle name="Entrada 2 3 7 5" xfId="14828"/>
    <cellStyle name="Entrada 2 3 8" xfId="494"/>
    <cellStyle name="Entrada 2 3 8 2" xfId="7171"/>
    <cellStyle name="Entrada 2 3 8 2 2" xfId="9785"/>
    <cellStyle name="Entrada 2 3 8 2 2 2" xfId="16047"/>
    <cellStyle name="Entrada 2 3 8 2 2 2 2" xfId="29463"/>
    <cellStyle name="Entrada 2 3 8 2 2 3" xfId="20792"/>
    <cellStyle name="Entrada 2 3 8 2 3" xfId="13775"/>
    <cellStyle name="Entrada 2 3 8 2 3 2" xfId="28097"/>
    <cellStyle name="Entrada 2 3 8 2 4" xfId="19420"/>
    <cellStyle name="Entrada 2 3 8 3" xfId="12536"/>
    <cellStyle name="Entrada 2 3 8 3 2" xfId="26858"/>
    <cellStyle name="Entrada 2 3 8 4" xfId="18181"/>
    <cellStyle name="Entrada 2 3 9" xfId="5076"/>
    <cellStyle name="Entrada 2 3 9 2" xfId="11623"/>
    <cellStyle name="Entrada 2 3 9 2 2" xfId="25945"/>
    <cellStyle name="Entrada 2 3 9 3" xfId="15289"/>
    <cellStyle name="Entrada 2 4" xfId="495"/>
    <cellStyle name="Entrada 2 4 2" xfId="496"/>
    <cellStyle name="Entrada 2 4 2 2" xfId="497"/>
    <cellStyle name="Entrada 2 4 2 2 2" xfId="6494"/>
    <cellStyle name="Entrada 2 4 2 2 2 2" xfId="13079"/>
    <cellStyle name="Entrada 2 4 2 2 2 2 2" xfId="27401"/>
    <cellStyle name="Entrada 2 4 2 2 2 3" xfId="18724"/>
    <cellStyle name="Entrada 2 4 2 2 3" xfId="7989"/>
    <cellStyle name="Entrada 2 4 2 2 3 2" xfId="10603"/>
    <cellStyle name="Entrada 2 4 2 2 3 2 2" xfId="16865"/>
    <cellStyle name="Entrada 2 4 2 2 3 2 2 2" xfId="30281"/>
    <cellStyle name="Entrada 2 4 2 2 3 2 3" xfId="21610"/>
    <cellStyle name="Entrada 2 4 2 2 3 3" xfId="14593"/>
    <cellStyle name="Entrada 2 4 2 2 3 3 2" xfId="28915"/>
    <cellStyle name="Entrada 2 4 2 2 3 4" xfId="20238"/>
    <cellStyle name="Entrada 2 4 2 2 4" xfId="4073"/>
    <cellStyle name="Entrada 2 4 2 2 4 2" xfId="22745"/>
    <cellStyle name="Entrada 2 4 2 2 5" xfId="14686"/>
    <cellStyle name="Entrada 2 4 2 3" xfId="498"/>
    <cellStyle name="Entrada 2 4 2 3 2" xfId="7263"/>
    <cellStyle name="Entrada 2 4 2 3 2 2" xfId="9877"/>
    <cellStyle name="Entrada 2 4 2 3 2 2 2" xfId="16139"/>
    <cellStyle name="Entrada 2 4 2 3 2 2 2 2" xfId="29555"/>
    <cellStyle name="Entrada 2 4 2 3 2 2 3" xfId="20884"/>
    <cellStyle name="Entrada 2 4 2 3 2 3" xfId="13867"/>
    <cellStyle name="Entrada 2 4 2 3 2 3 2" xfId="28189"/>
    <cellStyle name="Entrada 2 4 2 3 2 4" xfId="19512"/>
    <cellStyle name="Entrada 2 4 2 3 3" xfId="13264"/>
    <cellStyle name="Entrada 2 4 2 3 3 2" xfId="27586"/>
    <cellStyle name="Entrada 2 4 2 3 4" xfId="18909"/>
    <cellStyle name="Entrada 2 4 2 4" xfId="5710"/>
    <cellStyle name="Entrada 2 4 2 4 2" xfId="12263"/>
    <cellStyle name="Entrada 2 4 2 4 2 2" xfId="26585"/>
    <cellStyle name="Entrada 2 4 2 4 3" xfId="17908"/>
    <cellStyle name="Entrada 2 4 2 5" xfId="3024"/>
    <cellStyle name="Entrada 2 4 2 5 2" xfId="22412"/>
    <cellStyle name="Entrada 2 4 2 6" xfId="17293"/>
    <cellStyle name="Entrada 2 4 3" xfId="499"/>
    <cellStyle name="Entrada 2 4 3 2" xfId="500"/>
    <cellStyle name="Entrada 2 4 3 2 2" xfId="6566"/>
    <cellStyle name="Entrada 2 4 3 2 2 2" xfId="13154"/>
    <cellStyle name="Entrada 2 4 3 2 2 2 2" xfId="27476"/>
    <cellStyle name="Entrada 2 4 3 2 2 3" xfId="18799"/>
    <cellStyle name="Entrada 2 4 3 2 3" xfId="7052"/>
    <cellStyle name="Entrada 2 4 3 2 3 2" xfId="9666"/>
    <cellStyle name="Entrada 2 4 3 2 3 2 2" xfId="15928"/>
    <cellStyle name="Entrada 2 4 3 2 3 2 2 2" xfId="29344"/>
    <cellStyle name="Entrada 2 4 3 2 3 2 3" xfId="20673"/>
    <cellStyle name="Entrada 2 4 3 2 3 3" xfId="13656"/>
    <cellStyle name="Entrada 2 4 3 2 3 3 2" xfId="27978"/>
    <cellStyle name="Entrada 2 4 3 2 3 4" xfId="19301"/>
    <cellStyle name="Entrada 2 4 3 2 4" xfId="6142"/>
    <cellStyle name="Entrada 2 4 3 2 4 2" xfId="23427"/>
    <cellStyle name="Entrada 2 4 3 2 5" xfId="16954"/>
    <cellStyle name="Entrada 2 4 3 3" xfId="501"/>
    <cellStyle name="Entrada 2 4 3 3 2" xfId="7169"/>
    <cellStyle name="Entrada 2 4 3 3 2 2" xfId="9783"/>
    <cellStyle name="Entrada 2 4 3 3 2 2 2" xfId="16045"/>
    <cellStyle name="Entrada 2 4 3 3 2 2 2 2" xfId="29461"/>
    <cellStyle name="Entrada 2 4 3 3 2 2 3" xfId="20790"/>
    <cellStyle name="Entrada 2 4 3 3 2 3" xfId="13773"/>
    <cellStyle name="Entrada 2 4 3 3 2 3 2" xfId="28095"/>
    <cellStyle name="Entrada 2 4 3 3 2 4" xfId="19418"/>
    <cellStyle name="Entrada 2 4 3 3 3" xfId="13037"/>
    <cellStyle name="Entrada 2 4 3 3 3 2" xfId="27359"/>
    <cellStyle name="Entrada 2 4 3 3 4" xfId="18682"/>
    <cellStyle name="Entrada 2 4 3 4" xfId="5352"/>
    <cellStyle name="Entrada 2 4 3 4 2" xfId="11902"/>
    <cellStyle name="Entrada 2 4 3 4 2 2" xfId="26224"/>
    <cellStyle name="Entrada 2 4 3 4 3" xfId="17547"/>
    <cellStyle name="Entrada 2 4 3 5" xfId="6703"/>
    <cellStyle name="Entrada 2 4 3 5 2" xfId="23662"/>
    <cellStyle name="Entrada 2 4 3 6" xfId="17369"/>
    <cellStyle name="Entrada 2 4 4" xfId="502"/>
    <cellStyle name="Entrada 2 4 4 2" xfId="6094"/>
    <cellStyle name="Entrada 2 4 4 2 2" xfId="12661"/>
    <cellStyle name="Entrada 2 4 4 2 2 2" xfId="26983"/>
    <cellStyle name="Entrada 2 4 4 2 3" xfId="18306"/>
    <cellStyle name="Entrada 2 4 4 3" xfId="7527"/>
    <cellStyle name="Entrada 2 4 4 3 2" xfId="10141"/>
    <cellStyle name="Entrada 2 4 4 3 2 2" xfId="16403"/>
    <cellStyle name="Entrada 2 4 4 3 2 2 2" xfId="29819"/>
    <cellStyle name="Entrada 2 4 4 3 2 3" xfId="21148"/>
    <cellStyle name="Entrada 2 4 4 3 3" xfId="14131"/>
    <cellStyle name="Entrada 2 4 4 3 3 2" xfId="28453"/>
    <cellStyle name="Entrada 2 4 4 3 4" xfId="19776"/>
    <cellStyle name="Entrada 2 4 4 4" xfId="3898"/>
    <cellStyle name="Entrada 2 4 4 4 2" xfId="22634"/>
    <cellStyle name="Entrada 2 4 4 5" xfId="15206"/>
    <cellStyle name="Entrada 2 4 5" xfId="503"/>
    <cellStyle name="Entrada 2 4 5 2" xfId="5328"/>
    <cellStyle name="Entrada 2 4 5 2 2" xfId="9637"/>
    <cellStyle name="Entrada 2 4 5 2 2 2" xfId="15899"/>
    <cellStyle name="Entrada 2 4 5 2 2 2 2" xfId="29315"/>
    <cellStyle name="Entrada 2 4 5 2 2 3" xfId="20644"/>
    <cellStyle name="Entrada 2 4 5 2 3" xfId="11878"/>
    <cellStyle name="Entrada 2 4 5 2 3 2" xfId="26200"/>
    <cellStyle name="Entrada 2 4 5 2 4" xfId="17523"/>
    <cellStyle name="Entrada 2 4 5 3" xfId="12820"/>
    <cellStyle name="Entrada 2 4 5 3 2" xfId="27142"/>
    <cellStyle name="Entrada 2 4 5 4" xfId="18465"/>
    <cellStyle name="Entrada 2 4 6" xfId="5360"/>
    <cellStyle name="Entrada 2 4 6 2" xfId="11910"/>
    <cellStyle name="Entrada 2 4 6 2 2" xfId="26232"/>
    <cellStyle name="Entrada 2 4 6 3" xfId="17555"/>
    <cellStyle name="Entrada 2 4 7" xfId="4474"/>
    <cellStyle name="Entrada 2 4 7 2" xfId="22972"/>
    <cellStyle name="Entrada 2 4 8" xfId="17009"/>
    <cellStyle name="Entrada 2 5" xfId="504"/>
    <cellStyle name="Entrada 2 5 2" xfId="505"/>
    <cellStyle name="Entrada 2 5 2 2" xfId="506"/>
    <cellStyle name="Entrada 2 5 2 2 2" xfId="5905"/>
    <cellStyle name="Entrada 2 5 2 2 2 2" xfId="12459"/>
    <cellStyle name="Entrada 2 5 2 2 2 2 2" xfId="26781"/>
    <cellStyle name="Entrada 2 5 2 2 2 3" xfId="18104"/>
    <cellStyle name="Entrada 2 5 2 2 3" xfId="8023"/>
    <cellStyle name="Entrada 2 5 2 2 3 2" xfId="10637"/>
    <cellStyle name="Entrada 2 5 2 2 3 2 2" xfId="16899"/>
    <cellStyle name="Entrada 2 5 2 2 3 2 2 2" xfId="30315"/>
    <cellStyle name="Entrada 2 5 2 2 3 2 3" xfId="21644"/>
    <cellStyle name="Entrada 2 5 2 2 3 3" xfId="14627"/>
    <cellStyle name="Entrada 2 5 2 2 3 3 2" xfId="28949"/>
    <cellStyle name="Entrada 2 5 2 2 3 4" xfId="20272"/>
    <cellStyle name="Entrada 2 5 2 2 4" xfId="6452"/>
    <cellStyle name="Entrada 2 5 2 2 4 2" xfId="23551"/>
    <cellStyle name="Entrada 2 5 2 2 5" xfId="4938"/>
    <cellStyle name="Entrada 2 5 2 3" xfId="507"/>
    <cellStyle name="Entrada 2 5 2 3 2" xfId="7317"/>
    <cellStyle name="Entrada 2 5 2 3 2 2" xfId="9931"/>
    <cellStyle name="Entrada 2 5 2 3 2 2 2" xfId="16193"/>
    <cellStyle name="Entrada 2 5 2 3 2 2 2 2" xfId="29609"/>
    <cellStyle name="Entrada 2 5 2 3 2 2 3" xfId="20938"/>
    <cellStyle name="Entrada 2 5 2 3 2 3" xfId="13921"/>
    <cellStyle name="Entrada 2 5 2 3 2 3 2" xfId="28243"/>
    <cellStyle name="Entrada 2 5 2 3 2 4" xfId="19566"/>
    <cellStyle name="Entrada 2 5 2 3 3" xfId="13210"/>
    <cellStyle name="Entrada 2 5 2 3 3 2" xfId="27532"/>
    <cellStyle name="Entrada 2 5 2 3 4" xfId="18855"/>
    <cellStyle name="Entrada 2 5 2 4" xfId="5649"/>
    <cellStyle name="Entrada 2 5 2 4 2" xfId="12202"/>
    <cellStyle name="Entrada 2 5 2 4 2 2" xfId="26524"/>
    <cellStyle name="Entrada 2 5 2 4 3" xfId="17847"/>
    <cellStyle name="Entrada 2 5 2 5" xfId="6750"/>
    <cellStyle name="Entrada 2 5 2 5 2" xfId="23698"/>
    <cellStyle name="Entrada 2 5 2 6" xfId="14870"/>
    <cellStyle name="Entrada 2 5 3" xfId="508"/>
    <cellStyle name="Entrada 2 5 3 2" xfId="509"/>
    <cellStyle name="Entrada 2 5 3 2 2" xfId="5986"/>
    <cellStyle name="Entrada 2 5 3 2 2 2" xfId="12544"/>
    <cellStyle name="Entrada 2 5 3 2 2 2 2" xfId="26866"/>
    <cellStyle name="Entrada 2 5 3 2 2 3" xfId="18189"/>
    <cellStyle name="Entrada 2 5 3 2 3" xfId="7832"/>
    <cellStyle name="Entrada 2 5 3 2 3 2" xfId="10446"/>
    <cellStyle name="Entrada 2 5 3 2 3 2 2" xfId="16708"/>
    <cellStyle name="Entrada 2 5 3 2 3 2 2 2" xfId="30124"/>
    <cellStyle name="Entrada 2 5 3 2 3 2 3" xfId="21453"/>
    <cellStyle name="Entrada 2 5 3 2 3 3" xfId="14436"/>
    <cellStyle name="Entrada 2 5 3 2 3 3 2" xfId="28758"/>
    <cellStyle name="Entrada 2 5 3 2 3 4" xfId="20081"/>
    <cellStyle name="Entrada 2 5 3 2 4" xfId="4288"/>
    <cellStyle name="Entrada 2 5 3 2 4 2" xfId="22872"/>
    <cellStyle name="Entrada 2 5 3 2 5" xfId="17017"/>
    <cellStyle name="Entrada 2 5 3 3" xfId="510"/>
    <cellStyle name="Entrada 2 5 3 3 2" xfId="7378"/>
    <cellStyle name="Entrada 2 5 3 3 2 2" xfId="9992"/>
    <cellStyle name="Entrada 2 5 3 3 2 2 2" xfId="16254"/>
    <cellStyle name="Entrada 2 5 3 3 2 2 2 2" xfId="29670"/>
    <cellStyle name="Entrada 2 5 3 3 2 2 3" xfId="20999"/>
    <cellStyle name="Entrada 2 5 3 3 2 3" xfId="13982"/>
    <cellStyle name="Entrada 2 5 3 3 2 3 2" xfId="28304"/>
    <cellStyle name="Entrada 2 5 3 3 2 4" xfId="19627"/>
    <cellStyle name="Entrada 2 5 3 3 3" xfId="12647"/>
    <cellStyle name="Entrada 2 5 3 3 3 2" xfId="26969"/>
    <cellStyle name="Entrada 2 5 3 3 4" xfId="18292"/>
    <cellStyle name="Entrada 2 5 3 4" xfId="5222"/>
    <cellStyle name="Entrada 2 5 3 4 2" xfId="11771"/>
    <cellStyle name="Entrada 2 5 3 4 2 2" xfId="26093"/>
    <cellStyle name="Entrada 2 5 3 4 3" xfId="17416"/>
    <cellStyle name="Entrada 2 5 3 5" xfId="3287"/>
    <cellStyle name="Entrada 2 5 3 5 2" xfId="22462"/>
    <cellStyle name="Entrada 2 5 3 6" xfId="14965"/>
    <cellStyle name="Entrada 2 5 4" xfId="511"/>
    <cellStyle name="Entrada 2 5 4 2" xfId="6587"/>
    <cellStyle name="Entrada 2 5 4 2 2" xfId="13176"/>
    <cellStyle name="Entrada 2 5 4 2 2 2" xfId="27498"/>
    <cellStyle name="Entrada 2 5 4 2 3" xfId="18821"/>
    <cellStyle name="Entrada 2 5 4 3" xfId="7875"/>
    <cellStyle name="Entrada 2 5 4 3 2" xfId="10489"/>
    <cellStyle name="Entrada 2 5 4 3 2 2" xfId="16751"/>
    <cellStyle name="Entrada 2 5 4 3 2 2 2" xfId="30167"/>
    <cellStyle name="Entrada 2 5 4 3 2 3" xfId="21496"/>
    <cellStyle name="Entrada 2 5 4 3 3" xfId="14479"/>
    <cellStyle name="Entrada 2 5 4 3 3 2" xfId="28801"/>
    <cellStyle name="Entrada 2 5 4 3 4" xfId="20124"/>
    <cellStyle name="Entrada 2 5 4 4" xfId="6309"/>
    <cellStyle name="Entrada 2 5 4 4 2" xfId="23505"/>
    <cellStyle name="Entrada 2 5 4 5" xfId="3817"/>
    <cellStyle name="Entrada 2 5 5" xfId="512"/>
    <cellStyle name="Entrada 2 5 5 2" xfId="7462"/>
    <cellStyle name="Entrada 2 5 5 2 2" xfId="10076"/>
    <cellStyle name="Entrada 2 5 5 2 2 2" xfId="16338"/>
    <cellStyle name="Entrada 2 5 5 2 2 2 2" xfId="29754"/>
    <cellStyle name="Entrada 2 5 5 2 2 3" xfId="21083"/>
    <cellStyle name="Entrada 2 5 5 2 3" xfId="14066"/>
    <cellStyle name="Entrada 2 5 5 2 3 2" xfId="28388"/>
    <cellStyle name="Entrada 2 5 5 2 4" xfId="19711"/>
    <cellStyle name="Entrada 2 5 5 3" xfId="12071"/>
    <cellStyle name="Entrada 2 5 5 3 2" xfId="26393"/>
    <cellStyle name="Entrada 2 5 5 4" xfId="17716"/>
    <cellStyle name="Entrada 2 5 6" xfId="5185"/>
    <cellStyle name="Entrada 2 5 6 2" xfId="11734"/>
    <cellStyle name="Entrada 2 5 6 2 2" xfId="26056"/>
    <cellStyle name="Entrada 2 5 6 3" xfId="3977"/>
    <cellStyle name="Entrada 2 5 7" xfId="3658"/>
    <cellStyle name="Entrada 2 5 7 2" xfId="22509"/>
    <cellStyle name="Entrada 2 5 8" xfId="15211"/>
    <cellStyle name="Entrada 2 6" xfId="513"/>
    <cellStyle name="Entrada 2 6 2" xfId="514"/>
    <cellStyle name="Entrada 2 6 2 2" xfId="515"/>
    <cellStyle name="Entrada 2 6 2 2 2" xfId="6375"/>
    <cellStyle name="Entrada 2 6 2 2 2 2" xfId="12958"/>
    <cellStyle name="Entrada 2 6 2 2 2 2 2" xfId="27280"/>
    <cellStyle name="Entrada 2 6 2 2 2 3" xfId="18603"/>
    <cellStyle name="Entrada 2 6 2 2 3" xfId="7745"/>
    <cellStyle name="Entrada 2 6 2 2 3 2" xfId="10359"/>
    <cellStyle name="Entrada 2 6 2 2 3 2 2" xfId="16621"/>
    <cellStyle name="Entrada 2 6 2 2 3 2 2 2" xfId="30037"/>
    <cellStyle name="Entrada 2 6 2 2 3 2 3" xfId="21366"/>
    <cellStyle name="Entrada 2 6 2 2 3 3" xfId="14349"/>
    <cellStyle name="Entrada 2 6 2 2 3 3 2" xfId="28671"/>
    <cellStyle name="Entrada 2 6 2 2 3 4" xfId="19994"/>
    <cellStyle name="Entrada 2 6 2 2 4" xfId="6597"/>
    <cellStyle name="Entrada 2 6 2 2 4 2" xfId="23594"/>
    <cellStyle name="Entrada 2 6 2 2 5" xfId="15068"/>
    <cellStyle name="Entrada 2 6 2 3" xfId="516"/>
    <cellStyle name="Entrada 2 6 2 3 2" xfId="7911"/>
    <cellStyle name="Entrada 2 6 2 3 2 2" xfId="10525"/>
    <cellStyle name="Entrada 2 6 2 3 2 2 2" xfId="16787"/>
    <cellStyle name="Entrada 2 6 2 3 2 2 2 2" xfId="30203"/>
    <cellStyle name="Entrada 2 6 2 3 2 2 3" xfId="21532"/>
    <cellStyle name="Entrada 2 6 2 3 2 3" xfId="14515"/>
    <cellStyle name="Entrada 2 6 2 3 2 3 2" xfId="28837"/>
    <cellStyle name="Entrada 2 6 2 3 2 4" xfId="20160"/>
    <cellStyle name="Entrada 2 6 2 3 3" xfId="13205"/>
    <cellStyle name="Entrada 2 6 2 3 3 2" xfId="27527"/>
    <cellStyle name="Entrada 2 6 2 3 4" xfId="18850"/>
    <cellStyle name="Entrada 2 6 2 4" xfId="5644"/>
    <cellStyle name="Entrada 2 6 2 4 2" xfId="12197"/>
    <cellStyle name="Entrada 2 6 2 4 2 2" xfId="26519"/>
    <cellStyle name="Entrada 2 6 2 4 3" xfId="17842"/>
    <cellStyle name="Entrada 2 6 2 5" xfId="6340"/>
    <cellStyle name="Entrada 2 6 2 5 2" xfId="23526"/>
    <cellStyle name="Entrada 2 6 2 6" xfId="17224"/>
    <cellStyle name="Entrada 2 6 3" xfId="517"/>
    <cellStyle name="Entrada 2 6 3 2" xfId="518"/>
    <cellStyle name="Entrada 2 6 3 2 2" xfId="6082"/>
    <cellStyle name="Entrada 2 6 3 2 2 2" xfId="12648"/>
    <cellStyle name="Entrada 2 6 3 2 2 2 2" xfId="26970"/>
    <cellStyle name="Entrada 2 6 3 2 2 3" xfId="18293"/>
    <cellStyle name="Entrada 2 6 3 2 3" xfId="7312"/>
    <cellStyle name="Entrada 2 6 3 2 3 2" xfId="9926"/>
    <cellStyle name="Entrada 2 6 3 2 3 2 2" xfId="16188"/>
    <cellStyle name="Entrada 2 6 3 2 3 2 2 2" xfId="29604"/>
    <cellStyle name="Entrada 2 6 3 2 3 2 3" xfId="20933"/>
    <cellStyle name="Entrada 2 6 3 2 3 3" xfId="13916"/>
    <cellStyle name="Entrada 2 6 3 2 3 3 2" xfId="28238"/>
    <cellStyle name="Entrada 2 6 3 2 3 4" xfId="19561"/>
    <cellStyle name="Entrada 2 6 3 2 4" xfId="6129"/>
    <cellStyle name="Entrada 2 6 3 2 4 2" xfId="23422"/>
    <cellStyle name="Entrada 2 6 3 2 5" xfId="3728"/>
    <cellStyle name="Entrada 2 6 3 3" xfId="519"/>
    <cellStyle name="Entrada 2 6 3 3 2" xfId="5277"/>
    <cellStyle name="Entrada 2 6 3 3 2 2" xfId="9586"/>
    <cellStyle name="Entrada 2 6 3 3 2 2 2" xfId="15848"/>
    <cellStyle name="Entrada 2 6 3 3 2 2 2 2" xfId="29264"/>
    <cellStyle name="Entrada 2 6 3 3 2 2 3" xfId="20593"/>
    <cellStyle name="Entrada 2 6 3 3 2 3" xfId="11827"/>
    <cellStyle name="Entrada 2 6 3 3 2 3 2" xfId="26149"/>
    <cellStyle name="Entrada 2 6 3 3 2 4" xfId="17472"/>
    <cellStyle name="Entrada 2 6 3 3 3" xfId="12625"/>
    <cellStyle name="Entrada 2 6 3 3 3 2" xfId="26947"/>
    <cellStyle name="Entrada 2 6 3 3 4" xfId="18270"/>
    <cellStyle name="Entrada 2 6 3 4" xfId="4389"/>
    <cellStyle name="Entrada 2 6 3 4 2" xfId="6600"/>
    <cellStyle name="Entrada 2 6 3 4 2 2" xfId="23596"/>
    <cellStyle name="Entrada 2 6 3 4 3" xfId="15510"/>
    <cellStyle name="Entrada 2 6 3 5" xfId="4532"/>
    <cellStyle name="Entrada 2 6 3 5 2" xfId="23012"/>
    <cellStyle name="Entrada 2 6 3 6" xfId="15229"/>
    <cellStyle name="Entrada 2 6 4" xfId="520"/>
    <cellStyle name="Entrada 2 6 4 2" xfId="6544"/>
    <cellStyle name="Entrada 2 6 4 2 2" xfId="13132"/>
    <cellStyle name="Entrada 2 6 4 2 2 2" xfId="27454"/>
    <cellStyle name="Entrada 2 6 4 2 3" xfId="18777"/>
    <cellStyle name="Entrada 2 6 4 3" xfId="7720"/>
    <cellStyle name="Entrada 2 6 4 3 2" xfId="10334"/>
    <cellStyle name="Entrada 2 6 4 3 2 2" xfId="16596"/>
    <cellStyle name="Entrada 2 6 4 3 2 2 2" xfId="30012"/>
    <cellStyle name="Entrada 2 6 4 3 2 3" xfId="21341"/>
    <cellStyle name="Entrada 2 6 4 3 3" xfId="14324"/>
    <cellStyle name="Entrada 2 6 4 3 3 2" xfId="28646"/>
    <cellStyle name="Entrada 2 6 4 3 4" xfId="19969"/>
    <cellStyle name="Entrada 2 6 4 4" xfId="3902"/>
    <cellStyle name="Entrada 2 6 4 4 2" xfId="22636"/>
    <cellStyle name="Entrada 2 6 4 5" xfId="14833"/>
    <cellStyle name="Entrada 2 6 5" xfId="521"/>
    <cellStyle name="Entrada 2 6 5 2" xfId="7259"/>
    <cellStyle name="Entrada 2 6 5 2 2" xfId="9873"/>
    <cellStyle name="Entrada 2 6 5 2 2 2" xfId="16135"/>
    <cellStyle name="Entrada 2 6 5 2 2 2 2" xfId="29551"/>
    <cellStyle name="Entrada 2 6 5 2 2 3" xfId="20880"/>
    <cellStyle name="Entrada 2 6 5 2 3" xfId="13863"/>
    <cellStyle name="Entrada 2 6 5 2 3 2" xfId="28185"/>
    <cellStyle name="Entrada 2 6 5 2 4" xfId="19508"/>
    <cellStyle name="Entrada 2 6 5 3" xfId="12480"/>
    <cellStyle name="Entrada 2 6 5 3 2" xfId="26802"/>
    <cellStyle name="Entrada 2 6 5 4" xfId="18125"/>
    <cellStyle name="Entrada 2 6 6" xfId="5064"/>
    <cellStyle name="Entrada 2 6 6 2" xfId="11611"/>
    <cellStyle name="Entrada 2 6 6 2 2" xfId="25933"/>
    <cellStyle name="Entrada 2 6 6 3" xfId="4164"/>
    <cellStyle name="Entrada 2 6 7" xfId="4498"/>
    <cellStyle name="Entrada 2 6 7 2" xfId="22990"/>
    <cellStyle name="Entrada 2 6 8" xfId="15173"/>
    <cellStyle name="Entrada 2 7" xfId="522"/>
    <cellStyle name="Entrada 2 7 2" xfId="523"/>
    <cellStyle name="Entrada 2 7 2 2" xfId="524"/>
    <cellStyle name="Entrada 2 7 2 2 2" xfId="6511"/>
    <cellStyle name="Entrada 2 7 2 2 2 2" xfId="13098"/>
    <cellStyle name="Entrada 2 7 2 2 2 2 2" xfId="27420"/>
    <cellStyle name="Entrada 2 7 2 2 2 3" xfId="18743"/>
    <cellStyle name="Entrada 2 7 2 2 3" xfId="7635"/>
    <cellStyle name="Entrada 2 7 2 2 3 2" xfId="10249"/>
    <cellStyle name="Entrada 2 7 2 2 3 2 2" xfId="16511"/>
    <cellStyle name="Entrada 2 7 2 2 3 2 2 2" xfId="29927"/>
    <cellStyle name="Entrada 2 7 2 2 3 2 3" xfId="21256"/>
    <cellStyle name="Entrada 2 7 2 2 3 3" xfId="14239"/>
    <cellStyle name="Entrada 2 7 2 2 3 3 2" xfId="28561"/>
    <cellStyle name="Entrada 2 7 2 2 3 4" xfId="19884"/>
    <cellStyle name="Entrada 2 7 2 2 4" xfId="4939"/>
    <cellStyle name="Entrada 2 7 2 2 4 2" xfId="23271"/>
    <cellStyle name="Entrada 2 7 2 2 5" xfId="17287"/>
    <cellStyle name="Entrada 2 7 2 3" xfId="525"/>
    <cellStyle name="Entrada 2 7 2 3 2" xfId="7134"/>
    <cellStyle name="Entrada 2 7 2 3 2 2" xfId="9748"/>
    <cellStyle name="Entrada 2 7 2 3 2 2 2" xfId="16010"/>
    <cellStyle name="Entrada 2 7 2 3 2 2 2 2" xfId="29426"/>
    <cellStyle name="Entrada 2 7 2 3 2 2 3" xfId="20755"/>
    <cellStyle name="Entrada 2 7 2 3 2 3" xfId="13738"/>
    <cellStyle name="Entrada 2 7 2 3 2 3 2" xfId="28060"/>
    <cellStyle name="Entrada 2 7 2 3 2 4" xfId="19383"/>
    <cellStyle name="Entrada 2 7 2 3 3" xfId="13034"/>
    <cellStyle name="Entrada 2 7 2 3 3 2" xfId="27356"/>
    <cellStyle name="Entrada 2 7 2 3 4" xfId="18679"/>
    <cellStyle name="Entrada 2 7 2 4" xfId="5347"/>
    <cellStyle name="Entrada 2 7 2 4 2" xfId="11897"/>
    <cellStyle name="Entrada 2 7 2 4 2 2" xfId="26219"/>
    <cellStyle name="Entrada 2 7 2 4 3" xfId="17542"/>
    <cellStyle name="Entrada 2 7 2 5" xfId="4277"/>
    <cellStyle name="Entrada 2 7 2 5 2" xfId="22866"/>
    <cellStyle name="Entrada 2 7 2 6" xfId="15309"/>
    <cellStyle name="Entrada 2 7 3" xfId="526"/>
    <cellStyle name="Entrada 2 7 3 2" xfId="5850"/>
    <cellStyle name="Entrada 2 7 3 2 2" xfId="12403"/>
    <cellStyle name="Entrada 2 7 3 2 2 2" xfId="26725"/>
    <cellStyle name="Entrada 2 7 3 2 3" xfId="18048"/>
    <cellStyle name="Entrada 2 7 3 3" xfId="5269"/>
    <cellStyle name="Entrada 2 7 3 3 2" xfId="9578"/>
    <cellStyle name="Entrada 2 7 3 3 2 2" xfId="15840"/>
    <cellStyle name="Entrada 2 7 3 3 2 2 2" xfId="29256"/>
    <cellStyle name="Entrada 2 7 3 3 2 3" xfId="20585"/>
    <cellStyle name="Entrada 2 7 3 3 3" xfId="11819"/>
    <cellStyle name="Entrada 2 7 3 3 3 2" xfId="26141"/>
    <cellStyle name="Entrada 2 7 3 3 4" xfId="17464"/>
    <cellStyle name="Entrada 2 7 3 4" xfId="4002"/>
    <cellStyle name="Entrada 2 7 3 4 2" xfId="22696"/>
    <cellStyle name="Entrada 2 7 3 5" xfId="3193"/>
    <cellStyle name="Entrada 2 7 4" xfId="527"/>
    <cellStyle name="Entrada 2 7 4 2" xfId="8036"/>
    <cellStyle name="Entrada 2 7 4 2 2" xfId="10650"/>
    <cellStyle name="Entrada 2 7 4 2 2 2" xfId="16912"/>
    <cellStyle name="Entrada 2 7 4 2 2 2 2" xfId="30328"/>
    <cellStyle name="Entrada 2 7 4 2 2 3" xfId="21657"/>
    <cellStyle name="Entrada 2 7 4 2 3" xfId="14640"/>
    <cellStyle name="Entrada 2 7 4 2 3 2" xfId="28962"/>
    <cellStyle name="Entrada 2 7 4 2 4" xfId="20285"/>
    <cellStyle name="Entrada 2 7 4 3" xfId="12660"/>
    <cellStyle name="Entrada 2 7 4 3 2" xfId="26982"/>
    <cellStyle name="Entrada 2 7 4 4" xfId="18305"/>
    <cellStyle name="Entrada 2 7 5" xfId="4270"/>
    <cellStyle name="Entrada 2 7 5 2" xfId="4673"/>
    <cellStyle name="Entrada 2 7 5 2 2" xfId="23112"/>
    <cellStyle name="Entrada 2 7 5 3" xfId="15440"/>
    <cellStyle name="Entrada 2 7 6" xfId="6302"/>
    <cellStyle name="Entrada 2 7 6 2" xfId="23499"/>
    <cellStyle name="Entrada 2 7 7" xfId="4309"/>
    <cellStyle name="Entrada 2 8" xfId="528"/>
    <cellStyle name="Entrada 2 8 2" xfId="529"/>
    <cellStyle name="Entrada 2 8 2 2" xfId="6372"/>
    <cellStyle name="Entrada 2 8 2 2 2" xfId="12955"/>
    <cellStyle name="Entrada 2 8 2 2 2 2" xfId="27277"/>
    <cellStyle name="Entrada 2 8 2 2 3" xfId="18600"/>
    <cellStyle name="Entrada 2 8 2 3" xfId="4332"/>
    <cellStyle name="Entrada 2 8 2 3 2" xfId="9450"/>
    <cellStyle name="Entrada 2 8 2 3 2 2" xfId="15712"/>
    <cellStyle name="Entrada 2 8 2 3 2 2 2" xfId="29128"/>
    <cellStyle name="Entrada 2 8 2 3 2 3" xfId="20457"/>
    <cellStyle name="Entrada 2 8 2 3 3" xfId="4995"/>
    <cellStyle name="Entrada 2 8 2 3 3 2" xfId="23299"/>
    <cellStyle name="Entrada 2 8 2 3 4" xfId="14735"/>
    <cellStyle name="Entrada 2 8 2 4" xfId="6165"/>
    <cellStyle name="Entrada 2 8 2 4 2" xfId="23438"/>
    <cellStyle name="Entrada 2 8 2 5" xfId="6245"/>
    <cellStyle name="Entrada 2 8 3" xfId="530"/>
    <cellStyle name="Entrada 2 8 3 2" xfId="7679"/>
    <cellStyle name="Entrada 2 8 3 2 2" xfId="10293"/>
    <cellStyle name="Entrada 2 8 3 2 2 2" xfId="16555"/>
    <cellStyle name="Entrada 2 8 3 2 2 2 2" xfId="29971"/>
    <cellStyle name="Entrada 2 8 3 2 2 3" xfId="21300"/>
    <cellStyle name="Entrada 2 8 3 2 3" xfId="14283"/>
    <cellStyle name="Entrada 2 8 3 2 3 2" xfId="28605"/>
    <cellStyle name="Entrada 2 8 3 2 4" xfId="19928"/>
    <cellStyle name="Entrada 2 8 3 3" xfId="13226"/>
    <cellStyle name="Entrada 2 8 3 3 2" xfId="27548"/>
    <cellStyle name="Entrada 2 8 3 4" xfId="18871"/>
    <cellStyle name="Entrada 2 8 4" xfId="5667"/>
    <cellStyle name="Entrada 2 8 4 2" xfId="12220"/>
    <cellStyle name="Entrada 2 8 4 2 2" xfId="26542"/>
    <cellStyle name="Entrada 2 8 4 3" xfId="17865"/>
    <cellStyle name="Entrada 2 8 5" xfId="4852"/>
    <cellStyle name="Entrada 2 8 5 2" xfId="23223"/>
    <cellStyle name="Entrada 2 8 6" xfId="14788"/>
    <cellStyle name="Entrada 2 9" xfId="531"/>
    <cellStyle name="Entrada 2 9 2" xfId="6402"/>
    <cellStyle name="Entrada 2 9 2 2" xfId="12985"/>
    <cellStyle name="Entrada 2 9 2 2 2" xfId="27307"/>
    <cellStyle name="Entrada 2 9 2 3" xfId="18630"/>
    <cellStyle name="Entrada 2 9 3" xfId="7051"/>
    <cellStyle name="Entrada 2 9 3 2" xfId="9665"/>
    <cellStyle name="Entrada 2 9 3 2 2" xfId="15927"/>
    <cellStyle name="Entrada 2 9 3 2 2 2" xfId="29343"/>
    <cellStyle name="Entrada 2 9 3 2 3" xfId="20672"/>
    <cellStyle name="Entrada 2 9 3 3" xfId="13655"/>
    <cellStyle name="Entrada 2 9 3 3 2" xfId="27977"/>
    <cellStyle name="Entrada 2 9 3 4" xfId="19300"/>
    <cellStyle name="Entrada 2 9 4" xfId="2793"/>
    <cellStyle name="Entrada 2 9 4 2" xfId="22360"/>
    <cellStyle name="Entrada 2 9 5" xfId="15368"/>
    <cellStyle name="Entrada 3" xfId="532"/>
    <cellStyle name="Entrada 3 2" xfId="6232"/>
    <cellStyle name="Entrada 3 2 2" xfId="12807"/>
    <cellStyle name="Entrada 3 2 2 2" xfId="27129"/>
    <cellStyle name="Entrada 3 2 3" xfId="18452"/>
    <cellStyle name="Entrada 3 3" xfId="4064"/>
    <cellStyle name="Entrada 3 3 2" xfId="9417"/>
    <cellStyle name="Entrada 3 3 2 2" xfId="15679"/>
    <cellStyle name="Entrada 3 3 2 2 2" xfId="29095"/>
    <cellStyle name="Entrada 3 3 2 3" xfId="20424"/>
    <cellStyle name="Entrada 3 3 3" xfId="4435"/>
    <cellStyle name="Entrada 3 3 3 2" xfId="22950"/>
    <cellStyle name="Entrada 3 3 4" xfId="17042"/>
    <cellStyle name="Entrada 3 4" xfId="4696"/>
    <cellStyle name="Entrada 3 4 2" xfId="23132"/>
    <cellStyle name="Entrada 3 5" xfId="17059"/>
    <cellStyle name="Entrada 4" xfId="3790"/>
    <cellStyle name="Entrada 4 2" xfId="4210"/>
    <cellStyle name="Entrada 4 2 2" xfId="22824"/>
    <cellStyle name="Entrada 4 3" xfId="6728"/>
    <cellStyle name="Entrada 5" xfId="4139"/>
    <cellStyle name="Entrada 5 2" xfId="22777"/>
    <cellStyle name="Entrada 6" xfId="17256"/>
    <cellStyle name="Entrada 7" xfId="20322"/>
    <cellStyle name="Entrada 8" xfId="30367"/>
    <cellStyle name="Explanatory Text 2" xfId="533"/>
    <cellStyle name="Good 2" xfId="534"/>
    <cellStyle name="Heading 1 2" xfId="535"/>
    <cellStyle name="Heading 2 2" xfId="536"/>
    <cellStyle name="Heading 3 2" xfId="537"/>
    <cellStyle name="Heading 4 2" xfId="538"/>
    <cellStyle name="Hyperlink 2" xfId="539"/>
    <cellStyle name="Incorrecto" xfId="540"/>
    <cellStyle name="Input 2" xfId="541"/>
    <cellStyle name="Input 2 2" xfId="542"/>
    <cellStyle name="Input 2 2 10" xfId="543"/>
    <cellStyle name="Input 2 2 10 2" xfId="4083"/>
    <cellStyle name="Input 2 2 10 2 2" xfId="9420"/>
    <cellStyle name="Input 2 2 10 2 2 2" xfId="15682"/>
    <cellStyle name="Input 2 2 10 2 2 2 2" xfId="29098"/>
    <cellStyle name="Input 2 2 10 2 2 3" xfId="20427"/>
    <cellStyle name="Input 2 2 10 2 3" xfId="6575"/>
    <cellStyle name="Input 2 2 10 2 3 2" xfId="23585"/>
    <cellStyle name="Input 2 2 10 2 4" xfId="5604"/>
    <cellStyle name="Input 2 2 10 3" xfId="11920"/>
    <cellStyle name="Input 2 2 10 3 2" xfId="26242"/>
    <cellStyle name="Input 2 2 10 4" xfId="17565"/>
    <cellStyle name="Input 2 2 11" xfId="4357"/>
    <cellStyle name="Input 2 2 11 2" xfId="3791"/>
    <cellStyle name="Input 2 2 11 2 2" xfId="22580"/>
    <cellStyle name="Input 2 2 11 3" xfId="15450"/>
    <cellStyle name="Input 2 2 12" xfId="3961"/>
    <cellStyle name="Input 2 2 12 2" xfId="22671"/>
    <cellStyle name="Input 2 2 13" xfId="16959"/>
    <cellStyle name="Input 2 2 2" xfId="544"/>
    <cellStyle name="Input 2 2 2 10" xfId="3894"/>
    <cellStyle name="Input 2 2 2 10 2" xfId="4398"/>
    <cellStyle name="Input 2 2 2 10 2 2" xfId="22927"/>
    <cellStyle name="Input 2 2 2 10 3" xfId="3877"/>
    <cellStyle name="Input 2 2 2 11" xfId="6296"/>
    <cellStyle name="Input 2 2 2 11 2" xfId="23495"/>
    <cellStyle name="Input 2 2 2 12" xfId="14694"/>
    <cellStyle name="Input 2 2 2 2" xfId="545"/>
    <cellStyle name="Input 2 2 2 2 10" xfId="6308"/>
    <cellStyle name="Input 2 2 2 2 10 2" xfId="23504"/>
    <cellStyle name="Input 2 2 2 2 11" xfId="17119"/>
    <cellStyle name="Input 2 2 2 2 2" xfId="546"/>
    <cellStyle name="Input 2 2 2 2 2 2" xfId="547"/>
    <cellStyle name="Input 2 2 2 2 2 2 2" xfId="548"/>
    <cellStyle name="Input 2 2 2 2 2 2 2 2" xfId="6411"/>
    <cellStyle name="Input 2 2 2 2 2 2 2 2 2" xfId="12994"/>
    <cellStyle name="Input 2 2 2 2 2 2 2 2 2 2" xfId="27316"/>
    <cellStyle name="Input 2 2 2 2 2 2 2 2 3" xfId="18639"/>
    <cellStyle name="Input 2 2 2 2 2 2 2 3" xfId="7295"/>
    <cellStyle name="Input 2 2 2 2 2 2 2 3 2" xfId="9909"/>
    <cellStyle name="Input 2 2 2 2 2 2 2 3 2 2" xfId="16171"/>
    <cellStyle name="Input 2 2 2 2 2 2 2 3 2 2 2" xfId="29587"/>
    <cellStyle name="Input 2 2 2 2 2 2 2 3 2 3" xfId="20916"/>
    <cellStyle name="Input 2 2 2 2 2 2 2 3 3" xfId="13899"/>
    <cellStyle name="Input 2 2 2 2 2 2 2 3 3 2" xfId="28221"/>
    <cellStyle name="Input 2 2 2 2 2 2 2 3 4" xfId="19544"/>
    <cellStyle name="Input 2 2 2 2 2 2 2 4" xfId="5925"/>
    <cellStyle name="Input 2 2 2 2 2 2 2 4 2" xfId="23374"/>
    <cellStyle name="Input 2 2 2 2 2 2 2 5" xfId="14826"/>
    <cellStyle name="Input 2 2 2 2 2 2 3" xfId="549"/>
    <cellStyle name="Input 2 2 2 2 2 2 3 2" xfId="7934"/>
    <cellStyle name="Input 2 2 2 2 2 2 3 2 2" xfId="10548"/>
    <cellStyle name="Input 2 2 2 2 2 2 3 2 2 2" xfId="16810"/>
    <cellStyle name="Input 2 2 2 2 2 2 3 2 2 2 2" xfId="30226"/>
    <cellStyle name="Input 2 2 2 2 2 2 3 2 2 3" xfId="21555"/>
    <cellStyle name="Input 2 2 2 2 2 2 3 2 3" xfId="14538"/>
    <cellStyle name="Input 2 2 2 2 2 2 3 2 3 2" xfId="28860"/>
    <cellStyle name="Input 2 2 2 2 2 2 3 2 4" xfId="20183"/>
    <cellStyle name="Input 2 2 2 2 2 2 3 3" xfId="13316"/>
    <cellStyle name="Input 2 2 2 2 2 2 3 3 2" xfId="27638"/>
    <cellStyle name="Input 2 2 2 2 2 2 3 4" xfId="18961"/>
    <cellStyle name="Input 2 2 2 2 2 2 4" xfId="5766"/>
    <cellStyle name="Input 2 2 2 2 2 2 4 2" xfId="12319"/>
    <cellStyle name="Input 2 2 2 2 2 2 4 2 2" xfId="26641"/>
    <cellStyle name="Input 2 2 2 2 2 2 4 3" xfId="17964"/>
    <cellStyle name="Input 2 2 2 2 2 2 5" xfId="4842"/>
    <cellStyle name="Input 2 2 2 2 2 2 5 2" xfId="23216"/>
    <cellStyle name="Input 2 2 2 2 2 2 6" xfId="15002"/>
    <cellStyle name="Input 2 2 2 2 2 3" xfId="550"/>
    <cellStyle name="Input 2 2 2 2 2 3 2" xfId="551"/>
    <cellStyle name="Input 2 2 2 2 2 3 2 2" xfId="5936"/>
    <cellStyle name="Input 2 2 2 2 2 3 2 2 2" xfId="12493"/>
    <cellStyle name="Input 2 2 2 2 2 3 2 2 2 2" xfId="26815"/>
    <cellStyle name="Input 2 2 2 2 2 3 2 2 3" xfId="18138"/>
    <cellStyle name="Input 2 2 2 2 2 3 2 3" xfId="7244"/>
    <cellStyle name="Input 2 2 2 2 2 3 2 3 2" xfId="9858"/>
    <cellStyle name="Input 2 2 2 2 2 3 2 3 2 2" xfId="16120"/>
    <cellStyle name="Input 2 2 2 2 2 3 2 3 2 2 2" xfId="29536"/>
    <cellStyle name="Input 2 2 2 2 2 3 2 3 2 3" xfId="20865"/>
    <cellStyle name="Input 2 2 2 2 2 3 2 3 3" xfId="13848"/>
    <cellStyle name="Input 2 2 2 2 2 3 2 3 3 2" xfId="28170"/>
    <cellStyle name="Input 2 2 2 2 2 3 2 3 4" xfId="19493"/>
    <cellStyle name="Input 2 2 2 2 2 3 2 4" xfId="4016"/>
    <cellStyle name="Input 2 2 2 2 2 3 2 4 2" xfId="22703"/>
    <cellStyle name="Input 2 2 2 2 2 3 2 5" xfId="17255"/>
    <cellStyle name="Input 2 2 2 2 2 3 3" xfId="552"/>
    <cellStyle name="Input 2 2 2 2 2 3 3 2" xfId="7683"/>
    <cellStyle name="Input 2 2 2 2 2 3 3 2 2" xfId="10297"/>
    <cellStyle name="Input 2 2 2 2 2 3 3 2 2 2" xfId="16559"/>
    <cellStyle name="Input 2 2 2 2 2 3 3 2 2 2 2" xfId="29975"/>
    <cellStyle name="Input 2 2 2 2 2 3 3 2 2 3" xfId="21304"/>
    <cellStyle name="Input 2 2 2 2 2 3 3 2 3" xfId="14287"/>
    <cellStyle name="Input 2 2 2 2 2 3 3 2 3 2" xfId="28609"/>
    <cellStyle name="Input 2 2 2 2 2 3 3 2 4" xfId="19932"/>
    <cellStyle name="Input 2 2 2 2 2 3 3 3" xfId="13369"/>
    <cellStyle name="Input 2 2 2 2 2 3 3 3 2" xfId="27691"/>
    <cellStyle name="Input 2 2 2 2 2 3 3 4" xfId="19014"/>
    <cellStyle name="Input 2 2 2 2 2 3 4" xfId="5820"/>
    <cellStyle name="Input 2 2 2 2 2 3 4 2" xfId="12373"/>
    <cellStyle name="Input 2 2 2 2 2 3 4 2 2" xfId="26695"/>
    <cellStyle name="Input 2 2 2 2 2 3 4 3" xfId="18018"/>
    <cellStyle name="Input 2 2 2 2 2 3 5" xfId="4472"/>
    <cellStyle name="Input 2 2 2 2 2 3 5 2" xfId="22971"/>
    <cellStyle name="Input 2 2 2 2 2 3 6" xfId="15156"/>
    <cellStyle name="Input 2 2 2 2 2 4" xfId="553"/>
    <cellStyle name="Input 2 2 2 2 2 4 2" xfId="6528"/>
    <cellStyle name="Input 2 2 2 2 2 4 2 2" xfId="13116"/>
    <cellStyle name="Input 2 2 2 2 2 4 2 2 2" xfId="27438"/>
    <cellStyle name="Input 2 2 2 2 2 4 2 3" xfId="18761"/>
    <cellStyle name="Input 2 2 2 2 2 4 3" xfId="7073"/>
    <cellStyle name="Input 2 2 2 2 2 4 3 2" xfId="9687"/>
    <cellStyle name="Input 2 2 2 2 2 4 3 2 2" xfId="15949"/>
    <cellStyle name="Input 2 2 2 2 2 4 3 2 2 2" xfId="29365"/>
    <cellStyle name="Input 2 2 2 2 2 4 3 2 3" xfId="20694"/>
    <cellStyle name="Input 2 2 2 2 2 4 3 3" xfId="13677"/>
    <cellStyle name="Input 2 2 2 2 2 4 3 3 2" xfId="27999"/>
    <cellStyle name="Input 2 2 2 2 2 4 3 4" xfId="19322"/>
    <cellStyle name="Input 2 2 2 2 2 4 4" xfId="2799"/>
    <cellStyle name="Input 2 2 2 2 2 4 4 2" xfId="22365"/>
    <cellStyle name="Input 2 2 2 2 2 4 5" xfId="15164"/>
    <cellStyle name="Input 2 2 2 2 2 5" xfId="554"/>
    <cellStyle name="Input 2 2 2 2 2 5 2" xfId="5334"/>
    <cellStyle name="Input 2 2 2 2 2 5 2 2" xfId="9643"/>
    <cellStyle name="Input 2 2 2 2 2 5 2 2 2" xfId="15905"/>
    <cellStyle name="Input 2 2 2 2 2 5 2 2 2 2" xfId="29321"/>
    <cellStyle name="Input 2 2 2 2 2 5 2 2 3" xfId="20650"/>
    <cellStyle name="Input 2 2 2 2 2 5 2 3" xfId="11884"/>
    <cellStyle name="Input 2 2 2 2 2 5 2 3 2" xfId="26206"/>
    <cellStyle name="Input 2 2 2 2 2 5 2 4" xfId="17529"/>
    <cellStyle name="Input 2 2 2 2 2 5 3" xfId="12892"/>
    <cellStyle name="Input 2 2 2 2 2 5 3 2" xfId="27214"/>
    <cellStyle name="Input 2 2 2 2 2 5 4" xfId="18537"/>
    <cellStyle name="Input 2 2 2 2 2 6" xfId="5510"/>
    <cellStyle name="Input 2 2 2 2 2 6 2" xfId="12061"/>
    <cellStyle name="Input 2 2 2 2 2 6 2 2" xfId="26383"/>
    <cellStyle name="Input 2 2 2 2 2 6 3" xfId="17706"/>
    <cellStyle name="Input 2 2 2 2 2 7" xfId="3730"/>
    <cellStyle name="Input 2 2 2 2 2 7 2" xfId="22551"/>
    <cellStyle name="Input 2 2 2 2 2 8" xfId="14922"/>
    <cellStyle name="Input 2 2 2 2 3" xfId="555"/>
    <cellStyle name="Input 2 2 2 2 3 2" xfId="556"/>
    <cellStyle name="Input 2 2 2 2 3 2 2" xfId="557"/>
    <cellStyle name="Input 2 2 2 2 3 2 2 2" xfId="6436"/>
    <cellStyle name="Input 2 2 2 2 3 2 2 2 2" xfId="13019"/>
    <cellStyle name="Input 2 2 2 2 3 2 2 2 2 2" xfId="27341"/>
    <cellStyle name="Input 2 2 2 2 3 2 2 2 3" xfId="18664"/>
    <cellStyle name="Input 2 2 2 2 3 2 2 3" xfId="7043"/>
    <cellStyle name="Input 2 2 2 2 3 2 2 3 2" xfId="9657"/>
    <cellStyle name="Input 2 2 2 2 3 2 2 3 2 2" xfId="15919"/>
    <cellStyle name="Input 2 2 2 2 3 2 2 3 2 2 2" xfId="29335"/>
    <cellStyle name="Input 2 2 2 2 3 2 2 3 2 3" xfId="20664"/>
    <cellStyle name="Input 2 2 2 2 3 2 2 3 3" xfId="13647"/>
    <cellStyle name="Input 2 2 2 2 3 2 2 3 3 2" xfId="27969"/>
    <cellStyle name="Input 2 2 2 2 3 2 2 3 4" xfId="19292"/>
    <cellStyle name="Input 2 2 2 2 3 2 2 4" xfId="5015"/>
    <cellStyle name="Input 2 2 2 2 3 2 2 4 2" xfId="23307"/>
    <cellStyle name="Input 2 2 2 2 3 2 2 5" xfId="17125"/>
    <cellStyle name="Input 2 2 2 2 3 2 3" xfId="558"/>
    <cellStyle name="Input 2 2 2 2 3 2 3 2" xfId="7538"/>
    <cellStyle name="Input 2 2 2 2 3 2 3 2 2" xfId="10152"/>
    <cellStyle name="Input 2 2 2 2 3 2 3 2 2 2" xfId="16414"/>
    <cellStyle name="Input 2 2 2 2 3 2 3 2 2 2 2" xfId="29830"/>
    <cellStyle name="Input 2 2 2 2 3 2 3 2 2 3" xfId="21159"/>
    <cellStyle name="Input 2 2 2 2 3 2 3 2 3" xfId="14142"/>
    <cellStyle name="Input 2 2 2 2 3 2 3 2 3 2" xfId="28464"/>
    <cellStyle name="Input 2 2 2 2 3 2 3 2 4" xfId="19787"/>
    <cellStyle name="Input 2 2 2 2 3 2 3 3" xfId="13352"/>
    <cellStyle name="Input 2 2 2 2 3 2 3 3 2" xfId="27674"/>
    <cellStyle name="Input 2 2 2 2 3 2 3 4" xfId="18997"/>
    <cellStyle name="Input 2 2 2 2 3 2 4" xfId="5802"/>
    <cellStyle name="Input 2 2 2 2 3 2 4 2" xfId="12355"/>
    <cellStyle name="Input 2 2 2 2 3 2 4 2 2" xfId="26677"/>
    <cellStyle name="Input 2 2 2 2 3 2 4 3" xfId="18000"/>
    <cellStyle name="Input 2 2 2 2 3 2 5" xfId="3942"/>
    <cellStyle name="Input 2 2 2 2 3 2 5 2" xfId="22658"/>
    <cellStyle name="Input 2 2 2 2 3 2 6" xfId="3972"/>
    <cellStyle name="Input 2 2 2 2 3 3" xfId="559"/>
    <cellStyle name="Input 2 2 2 2 3 3 2" xfId="560"/>
    <cellStyle name="Input 2 2 2 2 3 3 2 2" xfId="6921"/>
    <cellStyle name="Input 2 2 2 2 3 3 2 2 2" xfId="13525"/>
    <cellStyle name="Input 2 2 2 2 3 3 2 2 2 2" xfId="27847"/>
    <cellStyle name="Input 2 2 2 2 3 3 2 2 3" xfId="19170"/>
    <cellStyle name="Input 2 2 2 2 3 3 2 3" xfId="7391"/>
    <cellStyle name="Input 2 2 2 2 3 3 2 3 2" xfId="10005"/>
    <cellStyle name="Input 2 2 2 2 3 3 2 3 2 2" xfId="16267"/>
    <cellStyle name="Input 2 2 2 2 3 3 2 3 2 2 2" xfId="29683"/>
    <cellStyle name="Input 2 2 2 2 3 3 2 3 2 3" xfId="21012"/>
    <cellStyle name="Input 2 2 2 2 3 3 2 3 3" xfId="13995"/>
    <cellStyle name="Input 2 2 2 2 3 3 2 3 3 2" xfId="28317"/>
    <cellStyle name="Input 2 2 2 2 3 3 2 3 4" xfId="19640"/>
    <cellStyle name="Input 2 2 2 2 3 3 2 4" xfId="11409"/>
    <cellStyle name="Input 2 2 2 2 3 3 2 4 2" xfId="25731"/>
    <cellStyle name="Input 2 2 2 2 3 3 2 5" xfId="17286"/>
    <cellStyle name="Input 2 2 2 2 3 3 3" xfId="561"/>
    <cellStyle name="Input 2 2 2 2 3 3 3 2" xfId="7339"/>
    <cellStyle name="Input 2 2 2 2 3 3 3 2 2" xfId="9953"/>
    <cellStyle name="Input 2 2 2 2 3 3 3 2 2 2" xfId="16215"/>
    <cellStyle name="Input 2 2 2 2 3 3 3 2 2 2 2" xfId="29631"/>
    <cellStyle name="Input 2 2 2 2 3 3 3 2 2 3" xfId="20960"/>
    <cellStyle name="Input 2 2 2 2 3 3 3 2 3" xfId="13943"/>
    <cellStyle name="Input 2 2 2 2 3 3 3 2 3 2" xfId="28265"/>
    <cellStyle name="Input 2 2 2 2 3 3 3 2 4" xfId="19588"/>
    <cellStyle name="Input 2 2 2 2 3 3 3 3" xfId="13196"/>
    <cellStyle name="Input 2 2 2 2 3 3 3 3 2" xfId="27518"/>
    <cellStyle name="Input 2 2 2 2 3 3 3 4" xfId="18841"/>
    <cellStyle name="Input 2 2 2 2 3 3 4" xfId="5633"/>
    <cellStyle name="Input 2 2 2 2 3 3 4 2" xfId="12186"/>
    <cellStyle name="Input 2 2 2 2 3 3 4 2 2" xfId="26508"/>
    <cellStyle name="Input 2 2 2 2 3 3 4 3" xfId="17831"/>
    <cellStyle name="Input 2 2 2 2 3 3 5" xfId="5940"/>
    <cellStyle name="Input 2 2 2 2 3 3 5 2" xfId="23378"/>
    <cellStyle name="Input 2 2 2 2 3 3 6" xfId="2844"/>
    <cellStyle name="Input 2 2 2 2 3 4" xfId="562"/>
    <cellStyle name="Input 2 2 2 2 3 4 2" xfId="5636"/>
    <cellStyle name="Input 2 2 2 2 3 4 2 2" xfId="12189"/>
    <cellStyle name="Input 2 2 2 2 3 4 2 2 2" xfId="26511"/>
    <cellStyle name="Input 2 2 2 2 3 4 2 3" xfId="17834"/>
    <cellStyle name="Input 2 2 2 2 3 4 3" xfId="7804"/>
    <cellStyle name="Input 2 2 2 2 3 4 3 2" xfId="10418"/>
    <cellStyle name="Input 2 2 2 2 3 4 3 2 2" xfId="16680"/>
    <cellStyle name="Input 2 2 2 2 3 4 3 2 2 2" xfId="30096"/>
    <cellStyle name="Input 2 2 2 2 3 4 3 2 3" xfId="21425"/>
    <cellStyle name="Input 2 2 2 2 3 4 3 3" xfId="14408"/>
    <cellStyle name="Input 2 2 2 2 3 4 3 3 2" xfId="28730"/>
    <cellStyle name="Input 2 2 2 2 3 4 3 4" xfId="20053"/>
    <cellStyle name="Input 2 2 2 2 3 4 4" xfId="3879"/>
    <cellStyle name="Input 2 2 2 2 3 4 4 2" xfId="22623"/>
    <cellStyle name="Input 2 2 2 2 3 4 5" xfId="6255"/>
    <cellStyle name="Input 2 2 2 2 3 5" xfId="563"/>
    <cellStyle name="Input 2 2 2 2 3 5 2" xfId="7561"/>
    <cellStyle name="Input 2 2 2 2 3 5 2 2" xfId="10175"/>
    <cellStyle name="Input 2 2 2 2 3 5 2 2 2" xfId="16437"/>
    <cellStyle name="Input 2 2 2 2 3 5 2 2 2 2" xfId="29853"/>
    <cellStyle name="Input 2 2 2 2 3 5 2 2 3" xfId="21182"/>
    <cellStyle name="Input 2 2 2 2 3 5 2 3" xfId="14165"/>
    <cellStyle name="Input 2 2 2 2 3 5 2 3 2" xfId="28487"/>
    <cellStyle name="Input 2 2 2 2 3 5 2 4" xfId="19810"/>
    <cellStyle name="Input 2 2 2 2 3 5 3" xfId="12928"/>
    <cellStyle name="Input 2 2 2 2 3 5 3 2" xfId="27250"/>
    <cellStyle name="Input 2 2 2 2 3 5 4" xfId="18573"/>
    <cellStyle name="Input 2 2 2 2 3 6" xfId="5552"/>
    <cellStyle name="Input 2 2 2 2 3 6 2" xfId="12103"/>
    <cellStyle name="Input 2 2 2 2 3 6 2 2" xfId="26425"/>
    <cellStyle name="Input 2 2 2 2 3 6 3" xfId="17748"/>
    <cellStyle name="Input 2 2 2 2 3 7" xfId="3156"/>
    <cellStyle name="Input 2 2 2 2 3 7 2" xfId="22424"/>
    <cellStyle name="Input 2 2 2 2 3 8" xfId="15477"/>
    <cellStyle name="Input 2 2 2 2 4" xfId="564"/>
    <cellStyle name="Input 2 2 2 2 4 2" xfId="565"/>
    <cellStyle name="Input 2 2 2 2 4 2 2" xfId="566"/>
    <cellStyle name="Input 2 2 2 2 4 2 2 2" xfId="6421"/>
    <cellStyle name="Input 2 2 2 2 4 2 2 2 2" xfId="13004"/>
    <cellStyle name="Input 2 2 2 2 4 2 2 2 2 2" xfId="27326"/>
    <cellStyle name="Input 2 2 2 2 4 2 2 2 3" xfId="18649"/>
    <cellStyle name="Input 2 2 2 2 4 2 2 3" xfId="7691"/>
    <cellStyle name="Input 2 2 2 2 4 2 2 3 2" xfId="10305"/>
    <cellStyle name="Input 2 2 2 2 4 2 2 3 2 2" xfId="16567"/>
    <cellStyle name="Input 2 2 2 2 4 2 2 3 2 2 2" xfId="29983"/>
    <cellStyle name="Input 2 2 2 2 4 2 2 3 2 3" xfId="21312"/>
    <cellStyle name="Input 2 2 2 2 4 2 2 3 3" xfId="14295"/>
    <cellStyle name="Input 2 2 2 2 4 2 2 3 3 2" xfId="28617"/>
    <cellStyle name="Input 2 2 2 2 4 2 2 3 4" xfId="19940"/>
    <cellStyle name="Input 2 2 2 2 4 2 2 4" xfId="3919"/>
    <cellStyle name="Input 2 2 2 2 4 2 2 4 2" xfId="22646"/>
    <cellStyle name="Input 2 2 2 2 4 2 2 5" xfId="15316"/>
    <cellStyle name="Input 2 2 2 2 4 2 3" xfId="567"/>
    <cellStyle name="Input 2 2 2 2 4 2 3 2" xfId="7246"/>
    <cellStyle name="Input 2 2 2 2 4 2 3 2 2" xfId="9860"/>
    <cellStyle name="Input 2 2 2 2 4 2 3 2 2 2" xfId="16122"/>
    <cellStyle name="Input 2 2 2 2 4 2 3 2 2 2 2" xfId="29538"/>
    <cellStyle name="Input 2 2 2 2 4 2 3 2 2 3" xfId="20867"/>
    <cellStyle name="Input 2 2 2 2 4 2 3 2 3" xfId="13850"/>
    <cellStyle name="Input 2 2 2 2 4 2 3 2 3 2" xfId="28172"/>
    <cellStyle name="Input 2 2 2 2 4 2 3 2 4" xfId="19495"/>
    <cellStyle name="Input 2 2 2 2 4 2 3 3" xfId="13236"/>
    <cellStyle name="Input 2 2 2 2 4 2 3 3 2" xfId="27558"/>
    <cellStyle name="Input 2 2 2 2 4 2 3 4" xfId="18881"/>
    <cellStyle name="Input 2 2 2 2 4 2 4" xfId="5677"/>
    <cellStyle name="Input 2 2 2 2 4 2 4 2" xfId="12230"/>
    <cellStyle name="Input 2 2 2 2 4 2 4 2 2" xfId="26552"/>
    <cellStyle name="Input 2 2 2 2 4 2 4 3" xfId="17875"/>
    <cellStyle name="Input 2 2 2 2 4 2 5" xfId="6225"/>
    <cellStyle name="Input 2 2 2 2 4 2 5 2" xfId="23463"/>
    <cellStyle name="Input 2 2 2 2 4 2 6" xfId="15110"/>
    <cellStyle name="Input 2 2 2 2 4 3" xfId="568"/>
    <cellStyle name="Input 2 2 2 2 4 3 2" xfId="569"/>
    <cellStyle name="Input 2 2 2 2 4 3 2 2" xfId="6395"/>
    <cellStyle name="Input 2 2 2 2 4 3 2 2 2" xfId="12978"/>
    <cellStyle name="Input 2 2 2 2 4 3 2 2 2 2" xfId="27300"/>
    <cellStyle name="Input 2 2 2 2 4 3 2 2 3" xfId="18623"/>
    <cellStyle name="Input 2 2 2 2 4 3 2 3" xfId="7087"/>
    <cellStyle name="Input 2 2 2 2 4 3 2 3 2" xfId="9701"/>
    <cellStyle name="Input 2 2 2 2 4 3 2 3 2 2" xfId="15963"/>
    <cellStyle name="Input 2 2 2 2 4 3 2 3 2 2 2" xfId="29379"/>
    <cellStyle name="Input 2 2 2 2 4 3 2 3 2 3" xfId="20708"/>
    <cellStyle name="Input 2 2 2 2 4 3 2 3 3" xfId="13691"/>
    <cellStyle name="Input 2 2 2 2 4 3 2 3 3 2" xfId="28013"/>
    <cellStyle name="Input 2 2 2 2 4 3 2 3 4" xfId="19336"/>
    <cellStyle name="Input 2 2 2 2 4 3 2 4" xfId="3018"/>
    <cellStyle name="Input 2 2 2 2 4 3 2 4 2" xfId="22409"/>
    <cellStyle name="Input 2 2 2 2 4 3 2 5" xfId="15153"/>
    <cellStyle name="Input 2 2 2 2 4 3 3" xfId="570"/>
    <cellStyle name="Input 2 2 2 2 4 3 3 2" xfId="3690"/>
    <cellStyle name="Input 2 2 2 2 4 3 3 2 2" xfId="9361"/>
    <cellStyle name="Input 2 2 2 2 4 3 3 2 2 2" xfId="15623"/>
    <cellStyle name="Input 2 2 2 2 4 3 3 2 2 2 2" xfId="29039"/>
    <cellStyle name="Input 2 2 2 2 4 3 3 2 2 3" xfId="20368"/>
    <cellStyle name="Input 2 2 2 2 4 3 3 2 3" xfId="5415"/>
    <cellStyle name="Input 2 2 2 2 4 3 3 2 3 2" xfId="23344"/>
    <cellStyle name="Input 2 2 2 2 4 3 3 2 4" xfId="6823"/>
    <cellStyle name="Input 2 2 2 2 4 3 3 3" xfId="13186"/>
    <cellStyle name="Input 2 2 2 2 4 3 3 3 2" xfId="27508"/>
    <cellStyle name="Input 2 2 2 2 4 3 3 4" xfId="18831"/>
    <cellStyle name="Input 2 2 2 2 4 3 4" xfId="5622"/>
    <cellStyle name="Input 2 2 2 2 4 3 4 2" xfId="12175"/>
    <cellStyle name="Input 2 2 2 2 4 3 4 2 2" xfId="26497"/>
    <cellStyle name="Input 2 2 2 2 4 3 4 3" xfId="17820"/>
    <cellStyle name="Input 2 2 2 2 4 3 5" xfId="4300"/>
    <cellStyle name="Input 2 2 2 2 4 3 5 2" xfId="22879"/>
    <cellStyle name="Input 2 2 2 2 4 3 6" xfId="14940"/>
    <cellStyle name="Input 2 2 2 2 4 4" xfId="571"/>
    <cellStyle name="Input 2 2 2 2 4 4 2" xfId="6890"/>
    <cellStyle name="Input 2 2 2 2 4 4 2 2" xfId="13494"/>
    <cellStyle name="Input 2 2 2 2 4 4 2 2 2" xfId="27816"/>
    <cellStyle name="Input 2 2 2 2 4 4 2 3" xfId="19139"/>
    <cellStyle name="Input 2 2 2 2 4 4 3" xfId="7568"/>
    <cellStyle name="Input 2 2 2 2 4 4 3 2" xfId="10182"/>
    <cellStyle name="Input 2 2 2 2 4 4 3 2 2" xfId="16444"/>
    <cellStyle name="Input 2 2 2 2 4 4 3 2 2 2" xfId="29860"/>
    <cellStyle name="Input 2 2 2 2 4 4 3 2 3" xfId="21189"/>
    <cellStyle name="Input 2 2 2 2 4 4 3 3" xfId="14172"/>
    <cellStyle name="Input 2 2 2 2 4 4 3 3 2" xfId="28494"/>
    <cellStyle name="Input 2 2 2 2 4 4 3 4" xfId="19817"/>
    <cellStyle name="Input 2 2 2 2 4 4 4" xfId="11366"/>
    <cellStyle name="Input 2 2 2 2 4 4 4 2" xfId="25688"/>
    <cellStyle name="Input 2 2 2 2 4 4 5" xfId="6710"/>
    <cellStyle name="Input 2 2 2 2 4 5" xfId="572"/>
    <cellStyle name="Input 2 2 2 2 4 5 2" xfId="7161"/>
    <cellStyle name="Input 2 2 2 2 4 5 2 2" xfId="9775"/>
    <cellStyle name="Input 2 2 2 2 4 5 2 2 2" xfId="16037"/>
    <cellStyle name="Input 2 2 2 2 4 5 2 2 2 2" xfId="29453"/>
    <cellStyle name="Input 2 2 2 2 4 5 2 2 3" xfId="20782"/>
    <cellStyle name="Input 2 2 2 2 4 5 2 3" xfId="13765"/>
    <cellStyle name="Input 2 2 2 2 4 5 2 3 2" xfId="28087"/>
    <cellStyle name="Input 2 2 2 2 4 5 2 4" xfId="19410"/>
    <cellStyle name="Input 2 2 2 2 4 5 3" xfId="12675"/>
    <cellStyle name="Input 2 2 2 2 4 5 3 2" xfId="26997"/>
    <cellStyle name="Input 2 2 2 2 4 5 4" xfId="18320"/>
    <cellStyle name="Input 2 2 2 2 4 6" xfId="5102"/>
    <cellStyle name="Input 2 2 2 2 4 6 2" xfId="11649"/>
    <cellStyle name="Input 2 2 2 2 4 6 2 2" xfId="25971"/>
    <cellStyle name="Input 2 2 2 2 4 6 3" xfId="15594"/>
    <cellStyle name="Input 2 2 2 2 4 7" xfId="4716"/>
    <cellStyle name="Input 2 2 2 2 4 7 2" xfId="23146"/>
    <cellStyle name="Input 2 2 2 2 4 8" xfId="4601"/>
    <cellStyle name="Input 2 2 2 2 5" xfId="573"/>
    <cellStyle name="Input 2 2 2 2 5 2" xfId="574"/>
    <cellStyle name="Input 2 2 2 2 5 2 2" xfId="575"/>
    <cellStyle name="Input 2 2 2 2 5 2 2 2" xfId="6176"/>
    <cellStyle name="Input 2 2 2 2 5 2 2 2 2" xfId="12749"/>
    <cellStyle name="Input 2 2 2 2 5 2 2 2 2 2" xfId="27071"/>
    <cellStyle name="Input 2 2 2 2 5 2 2 2 3" xfId="18394"/>
    <cellStyle name="Input 2 2 2 2 5 2 2 3" xfId="3893"/>
    <cellStyle name="Input 2 2 2 2 5 2 2 3 2" xfId="9389"/>
    <cellStyle name="Input 2 2 2 2 5 2 2 3 2 2" xfId="15651"/>
    <cellStyle name="Input 2 2 2 2 5 2 2 3 2 2 2" xfId="29067"/>
    <cellStyle name="Input 2 2 2 2 5 2 2 3 2 3" xfId="20396"/>
    <cellStyle name="Input 2 2 2 2 5 2 2 3 3" xfId="4391"/>
    <cellStyle name="Input 2 2 2 2 5 2 2 3 3 2" xfId="22923"/>
    <cellStyle name="Input 2 2 2 2 5 2 2 3 4" xfId="15022"/>
    <cellStyle name="Input 2 2 2 2 5 2 2 4" xfId="5904"/>
    <cellStyle name="Input 2 2 2 2 5 2 2 4 2" xfId="23369"/>
    <cellStyle name="Input 2 2 2 2 5 2 2 5" xfId="14729"/>
    <cellStyle name="Input 2 2 2 2 5 2 3" xfId="576"/>
    <cellStyle name="Input 2 2 2 2 5 2 3 2" xfId="7353"/>
    <cellStyle name="Input 2 2 2 2 5 2 3 2 2" xfId="9967"/>
    <cellStyle name="Input 2 2 2 2 5 2 3 2 2 2" xfId="16229"/>
    <cellStyle name="Input 2 2 2 2 5 2 3 2 2 2 2" xfId="29645"/>
    <cellStyle name="Input 2 2 2 2 5 2 3 2 2 3" xfId="20974"/>
    <cellStyle name="Input 2 2 2 2 5 2 3 2 3" xfId="13957"/>
    <cellStyle name="Input 2 2 2 2 5 2 3 2 3 2" xfId="28279"/>
    <cellStyle name="Input 2 2 2 2 5 2 3 2 4" xfId="19602"/>
    <cellStyle name="Input 2 2 2 2 5 2 3 3" xfId="12737"/>
    <cellStyle name="Input 2 2 2 2 5 2 3 3 2" xfId="27059"/>
    <cellStyle name="Input 2 2 2 2 5 2 3 4" xfId="18382"/>
    <cellStyle name="Input 2 2 2 2 5 2 4" xfId="5119"/>
    <cellStyle name="Input 2 2 2 2 5 2 4 2" xfId="11667"/>
    <cellStyle name="Input 2 2 2 2 5 2 4 2 2" xfId="25989"/>
    <cellStyle name="Input 2 2 2 2 5 2 4 3" xfId="15335"/>
    <cellStyle name="Input 2 2 2 2 5 2 5" xfId="5581"/>
    <cellStyle name="Input 2 2 2 2 5 2 5 2" xfId="23353"/>
    <cellStyle name="Input 2 2 2 2 5 2 6" xfId="15325"/>
    <cellStyle name="Input 2 2 2 2 5 3" xfId="577"/>
    <cellStyle name="Input 2 2 2 2 5 3 2" xfId="5960"/>
    <cellStyle name="Input 2 2 2 2 5 3 2 2" xfId="12518"/>
    <cellStyle name="Input 2 2 2 2 5 3 2 2 2" xfId="26840"/>
    <cellStyle name="Input 2 2 2 2 5 3 2 3" xfId="18163"/>
    <cellStyle name="Input 2 2 2 2 5 3 3" xfId="7641"/>
    <cellStyle name="Input 2 2 2 2 5 3 3 2" xfId="10255"/>
    <cellStyle name="Input 2 2 2 2 5 3 3 2 2" xfId="16517"/>
    <cellStyle name="Input 2 2 2 2 5 3 3 2 2 2" xfId="29933"/>
    <cellStyle name="Input 2 2 2 2 5 3 3 2 3" xfId="21262"/>
    <cellStyle name="Input 2 2 2 2 5 3 3 3" xfId="14245"/>
    <cellStyle name="Input 2 2 2 2 5 3 3 3 2" xfId="28567"/>
    <cellStyle name="Input 2 2 2 2 5 3 3 4" xfId="19890"/>
    <cellStyle name="Input 2 2 2 2 5 3 4" xfId="6584"/>
    <cellStyle name="Input 2 2 2 2 5 3 4 2" xfId="23590"/>
    <cellStyle name="Input 2 2 2 2 5 3 5" xfId="2843"/>
    <cellStyle name="Input 2 2 2 2 5 4" xfId="578"/>
    <cellStyle name="Input 2 2 2 2 5 4 2" xfId="8041"/>
    <cellStyle name="Input 2 2 2 2 5 4 2 2" xfId="10655"/>
    <cellStyle name="Input 2 2 2 2 5 4 2 2 2" xfId="16917"/>
    <cellStyle name="Input 2 2 2 2 5 4 2 2 2 2" xfId="30333"/>
    <cellStyle name="Input 2 2 2 2 5 4 2 2 3" xfId="21662"/>
    <cellStyle name="Input 2 2 2 2 5 4 2 3" xfId="14645"/>
    <cellStyle name="Input 2 2 2 2 5 4 2 3 2" xfId="28967"/>
    <cellStyle name="Input 2 2 2 2 5 4 2 4" xfId="20290"/>
    <cellStyle name="Input 2 2 2 2 5 4 3" xfId="11606"/>
    <cellStyle name="Input 2 2 2 2 5 4 3 2" xfId="25928"/>
    <cellStyle name="Input 2 2 2 2 5 4 4" xfId="15575"/>
    <cellStyle name="Input 2 2 2 2 5 5" xfId="4819"/>
    <cellStyle name="Input 2 2 2 2 5 5 2" xfId="11351"/>
    <cellStyle name="Input 2 2 2 2 5 5 2 2" xfId="25673"/>
    <cellStyle name="Input 2 2 2 2 5 5 3" xfId="3186"/>
    <cellStyle name="Input 2 2 2 2 5 6" xfId="4173"/>
    <cellStyle name="Input 2 2 2 2 5 6 2" xfId="22796"/>
    <cellStyle name="Input 2 2 2 2 5 7" xfId="4263"/>
    <cellStyle name="Input 2 2 2 2 6" xfId="579"/>
    <cellStyle name="Input 2 2 2 2 6 2" xfId="580"/>
    <cellStyle name="Input 2 2 2 2 6 2 2" xfId="6377"/>
    <cellStyle name="Input 2 2 2 2 6 2 2 2" xfId="12960"/>
    <cellStyle name="Input 2 2 2 2 6 2 2 2 2" xfId="27282"/>
    <cellStyle name="Input 2 2 2 2 6 2 2 3" xfId="18605"/>
    <cellStyle name="Input 2 2 2 2 6 2 3" xfId="7431"/>
    <cellStyle name="Input 2 2 2 2 6 2 3 2" xfId="10045"/>
    <cellStyle name="Input 2 2 2 2 6 2 3 2 2" xfId="16307"/>
    <cellStyle name="Input 2 2 2 2 6 2 3 2 2 2" xfId="29723"/>
    <cellStyle name="Input 2 2 2 2 6 2 3 2 3" xfId="21052"/>
    <cellStyle name="Input 2 2 2 2 6 2 3 3" xfId="14035"/>
    <cellStyle name="Input 2 2 2 2 6 2 3 3 2" xfId="28357"/>
    <cellStyle name="Input 2 2 2 2 6 2 3 4" xfId="19680"/>
    <cellStyle name="Input 2 2 2 2 6 2 4" xfId="4567"/>
    <cellStyle name="Input 2 2 2 2 6 2 4 2" xfId="23035"/>
    <cellStyle name="Input 2 2 2 2 6 2 5" xfId="14809"/>
    <cellStyle name="Input 2 2 2 2 6 3" xfId="581"/>
    <cellStyle name="Input 2 2 2 2 6 3 2" xfId="4108"/>
    <cellStyle name="Input 2 2 2 2 6 3 2 2" xfId="9427"/>
    <cellStyle name="Input 2 2 2 2 6 3 2 2 2" xfId="15689"/>
    <cellStyle name="Input 2 2 2 2 6 3 2 2 2 2" xfId="29105"/>
    <cellStyle name="Input 2 2 2 2 6 3 2 2 3" xfId="20434"/>
    <cellStyle name="Input 2 2 2 2 6 3 2 3" xfId="6343"/>
    <cellStyle name="Input 2 2 2 2 6 3 2 3 2" xfId="23529"/>
    <cellStyle name="Input 2 2 2 2 6 3 2 4" xfId="3831"/>
    <cellStyle name="Input 2 2 2 2 6 3 3" xfId="13057"/>
    <cellStyle name="Input 2 2 2 2 6 3 3 2" xfId="27379"/>
    <cellStyle name="Input 2 2 2 2 6 3 4" xfId="18702"/>
    <cellStyle name="Input 2 2 2 2 6 4" xfId="5387"/>
    <cellStyle name="Input 2 2 2 2 6 4 2" xfId="11937"/>
    <cellStyle name="Input 2 2 2 2 6 4 2 2" xfId="26259"/>
    <cellStyle name="Input 2 2 2 2 6 4 3" xfId="17582"/>
    <cellStyle name="Input 2 2 2 2 6 5" xfId="4245"/>
    <cellStyle name="Input 2 2 2 2 6 5 2" xfId="22850"/>
    <cellStyle name="Input 2 2 2 2 6 6" xfId="6796"/>
    <cellStyle name="Input 2 2 2 2 7" xfId="582"/>
    <cellStyle name="Input 2 2 2 2 7 2" xfId="6929"/>
    <cellStyle name="Input 2 2 2 2 7 2 2" xfId="13533"/>
    <cellStyle name="Input 2 2 2 2 7 2 2 2" xfId="27855"/>
    <cellStyle name="Input 2 2 2 2 7 2 3" xfId="19178"/>
    <cellStyle name="Input 2 2 2 2 7 3" xfId="7189"/>
    <cellStyle name="Input 2 2 2 2 7 3 2" xfId="9803"/>
    <cellStyle name="Input 2 2 2 2 7 3 2 2" xfId="16065"/>
    <cellStyle name="Input 2 2 2 2 7 3 2 2 2" xfId="29481"/>
    <cellStyle name="Input 2 2 2 2 7 3 2 3" xfId="20810"/>
    <cellStyle name="Input 2 2 2 2 7 3 3" xfId="13793"/>
    <cellStyle name="Input 2 2 2 2 7 3 3 2" xfId="28115"/>
    <cellStyle name="Input 2 2 2 2 7 3 4" xfId="19438"/>
    <cellStyle name="Input 2 2 2 2 7 4" xfId="11422"/>
    <cellStyle name="Input 2 2 2 2 7 4 2" xfId="25744"/>
    <cellStyle name="Input 2 2 2 2 7 5" xfId="14894"/>
    <cellStyle name="Input 2 2 2 2 8" xfId="583"/>
    <cellStyle name="Input 2 2 2 2 8 2" xfId="7202"/>
    <cellStyle name="Input 2 2 2 2 8 2 2" xfId="9816"/>
    <cellStyle name="Input 2 2 2 2 8 2 2 2" xfId="16078"/>
    <cellStyle name="Input 2 2 2 2 8 2 2 2 2" xfId="29494"/>
    <cellStyle name="Input 2 2 2 2 8 2 2 3" xfId="20823"/>
    <cellStyle name="Input 2 2 2 2 8 2 3" xfId="13806"/>
    <cellStyle name="Input 2 2 2 2 8 2 3 2" xfId="28128"/>
    <cellStyle name="Input 2 2 2 2 8 2 4" xfId="19451"/>
    <cellStyle name="Input 2 2 2 2 8 3" xfId="12756"/>
    <cellStyle name="Input 2 2 2 2 8 3 2" xfId="27078"/>
    <cellStyle name="Input 2 2 2 2 8 4" xfId="18401"/>
    <cellStyle name="Input 2 2 2 2 9" xfId="5467"/>
    <cellStyle name="Input 2 2 2 2 9 2" xfId="12018"/>
    <cellStyle name="Input 2 2 2 2 9 2 2" xfId="26340"/>
    <cellStyle name="Input 2 2 2 2 9 3" xfId="17663"/>
    <cellStyle name="Input 2 2 2 3" xfId="584"/>
    <cellStyle name="Input 2 2 2 3 2" xfId="585"/>
    <cellStyle name="Input 2 2 2 3 2 2" xfId="586"/>
    <cellStyle name="Input 2 2 2 3 2 2 2" xfId="6408"/>
    <cellStyle name="Input 2 2 2 3 2 2 2 2" xfId="12991"/>
    <cellStyle name="Input 2 2 2 3 2 2 2 2 2" xfId="27313"/>
    <cellStyle name="Input 2 2 2 3 2 2 2 3" xfId="18636"/>
    <cellStyle name="Input 2 2 2 3 2 2 3" xfId="4504"/>
    <cellStyle name="Input 2 2 2 3 2 2 3 2" xfId="9472"/>
    <cellStyle name="Input 2 2 2 3 2 2 3 2 2" xfId="15734"/>
    <cellStyle name="Input 2 2 2 3 2 2 3 2 2 2" xfId="29150"/>
    <cellStyle name="Input 2 2 2 3 2 2 3 2 3" xfId="20479"/>
    <cellStyle name="Input 2 2 2 3 2 2 3 3" xfId="4135"/>
    <cellStyle name="Input 2 2 2 3 2 2 3 3 2" xfId="22774"/>
    <cellStyle name="Input 2 2 2 3 2 2 3 4" xfId="17319"/>
    <cellStyle name="Input 2 2 2 3 2 2 4" xfId="6451"/>
    <cellStyle name="Input 2 2 2 3 2 2 4 2" xfId="23550"/>
    <cellStyle name="Input 2 2 2 3 2 2 5" xfId="3615"/>
    <cellStyle name="Input 2 2 2 3 2 3" xfId="587"/>
    <cellStyle name="Input 2 2 2 3 2 3 2" xfId="7470"/>
    <cellStyle name="Input 2 2 2 3 2 3 2 2" xfId="10084"/>
    <cellStyle name="Input 2 2 2 3 2 3 2 2 2" xfId="16346"/>
    <cellStyle name="Input 2 2 2 3 2 3 2 2 2 2" xfId="29762"/>
    <cellStyle name="Input 2 2 2 3 2 3 2 2 3" xfId="21091"/>
    <cellStyle name="Input 2 2 2 3 2 3 2 3" xfId="14074"/>
    <cellStyle name="Input 2 2 2 3 2 3 2 3 2" xfId="28396"/>
    <cellStyle name="Input 2 2 2 3 2 3 2 4" xfId="19719"/>
    <cellStyle name="Input 2 2 2 3 2 3 3" xfId="13293"/>
    <cellStyle name="Input 2 2 2 3 2 3 3 2" xfId="27615"/>
    <cellStyle name="Input 2 2 2 3 2 3 4" xfId="18938"/>
    <cellStyle name="Input 2 2 2 3 2 4" xfId="5743"/>
    <cellStyle name="Input 2 2 2 3 2 4 2" xfId="12296"/>
    <cellStyle name="Input 2 2 2 3 2 4 2 2" xfId="26618"/>
    <cellStyle name="Input 2 2 2 3 2 4 3" xfId="17941"/>
    <cellStyle name="Input 2 2 2 3 2 5" xfId="4615"/>
    <cellStyle name="Input 2 2 2 3 2 5 2" xfId="23068"/>
    <cellStyle name="Input 2 2 2 3 2 6" xfId="14967"/>
    <cellStyle name="Input 2 2 2 3 3" xfId="588"/>
    <cellStyle name="Input 2 2 2 3 3 2" xfId="589"/>
    <cellStyle name="Input 2 2 2 3 3 2 2" xfId="5851"/>
    <cellStyle name="Input 2 2 2 3 3 2 2 2" xfId="12404"/>
    <cellStyle name="Input 2 2 2 3 3 2 2 2 2" xfId="26726"/>
    <cellStyle name="Input 2 2 2 3 3 2 2 3" xfId="18049"/>
    <cellStyle name="Input 2 2 2 3 3 2 3" xfId="4253"/>
    <cellStyle name="Input 2 2 2 3 3 2 3 2" xfId="9435"/>
    <cellStyle name="Input 2 2 2 3 3 2 3 2 2" xfId="15697"/>
    <cellStyle name="Input 2 2 2 3 3 2 3 2 2 2" xfId="29113"/>
    <cellStyle name="Input 2 2 2 3 3 2 3 2 3" xfId="20442"/>
    <cellStyle name="Input 2 2 2 3 3 2 3 3" xfId="3762"/>
    <cellStyle name="Input 2 2 2 3 3 2 3 3 2" xfId="22568"/>
    <cellStyle name="Input 2 2 2 3 3 2 3 4" xfId="14867"/>
    <cellStyle name="Input 2 2 2 3 3 2 4" xfId="6640"/>
    <cellStyle name="Input 2 2 2 3 3 2 4 2" xfId="23620"/>
    <cellStyle name="Input 2 2 2 3 3 2 5" xfId="15251"/>
    <cellStyle name="Input 2 2 2 3 3 3" xfId="590"/>
    <cellStyle name="Input 2 2 2 3 3 3 2" xfId="7876"/>
    <cellStyle name="Input 2 2 2 3 3 3 2 2" xfId="10490"/>
    <cellStyle name="Input 2 2 2 3 3 3 2 2 2" xfId="16752"/>
    <cellStyle name="Input 2 2 2 3 3 3 2 2 2 2" xfId="30168"/>
    <cellStyle name="Input 2 2 2 3 3 3 2 2 3" xfId="21497"/>
    <cellStyle name="Input 2 2 2 3 3 3 2 3" xfId="14480"/>
    <cellStyle name="Input 2 2 2 3 3 3 2 3 2" xfId="28802"/>
    <cellStyle name="Input 2 2 2 3 3 3 2 4" xfId="20125"/>
    <cellStyle name="Input 2 2 2 3 3 3 3" xfId="11731"/>
    <cellStyle name="Input 2 2 2 3 3 3 3 2" xfId="26053"/>
    <cellStyle name="Input 2 2 2 3 3 3 4" xfId="4610"/>
    <cellStyle name="Input 2 2 2 3 3 4" xfId="5192"/>
    <cellStyle name="Input 2 2 2 3 3 4 2" xfId="11741"/>
    <cellStyle name="Input 2 2 2 3 3 4 2 2" xfId="26063"/>
    <cellStyle name="Input 2 2 2 3 3 4 3" xfId="4308"/>
    <cellStyle name="Input 2 2 2 3 3 5" xfId="5141"/>
    <cellStyle name="Input 2 2 2 3 3 5 2" xfId="23329"/>
    <cellStyle name="Input 2 2 2 3 3 6" xfId="15334"/>
    <cellStyle name="Input 2 2 2 3 4" xfId="591"/>
    <cellStyle name="Input 2 2 2 3 4 2" xfId="6064"/>
    <cellStyle name="Input 2 2 2 3 4 2 2" xfId="12630"/>
    <cellStyle name="Input 2 2 2 3 4 2 2 2" xfId="26952"/>
    <cellStyle name="Input 2 2 2 3 4 2 3" xfId="18275"/>
    <cellStyle name="Input 2 2 2 3 4 3" xfId="7673"/>
    <cellStyle name="Input 2 2 2 3 4 3 2" xfId="10287"/>
    <cellStyle name="Input 2 2 2 3 4 3 2 2" xfId="16549"/>
    <cellStyle name="Input 2 2 2 3 4 3 2 2 2" xfId="29965"/>
    <cellStyle name="Input 2 2 2 3 4 3 2 3" xfId="21294"/>
    <cellStyle name="Input 2 2 2 3 4 3 3" xfId="14277"/>
    <cellStyle name="Input 2 2 2 3 4 3 3 2" xfId="28599"/>
    <cellStyle name="Input 2 2 2 3 4 3 4" xfId="19922"/>
    <cellStyle name="Input 2 2 2 3 4 4" xfId="4352"/>
    <cellStyle name="Input 2 2 2 3 4 4 2" xfId="22901"/>
    <cellStyle name="Input 2 2 2 3 4 5" xfId="15189"/>
    <cellStyle name="Input 2 2 2 3 5" xfId="592"/>
    <cellStyle name="Input 2 2 2 3 5 2" xfId="3667"/>
    <cellStyle name="Input 2 2 2 3 5 2 2" xfId="9358"/>
    <cellStyle name="Input 2 2 2 3 5 2 2 2" xfId="15620"/>
    <cellStyle name="Input 2 2 2 3 5 2 2 2 2" xfId="29036"/>
    <cellStyle name="Input 2 2 2 3 5 2 2 3" xfId="20365"/>
    <cellStyle name="Input 2 2 2 3 5 2 3" xfId="4362"/>
    <cellStyle name="Input 2 2 2 3 5 2 3 2" xfId="22906"/>
    <cellStyle name="Input 2 2 2 3 5 2 4" xfId="16973"/>
    <cellStyle name="Input 2 2 2 3 5 3" xfId="12869"/>
    <cellStyle name="Input 2 2 2 3 5 3 2" xfId="27191"/>
    <cellStyle name="Input 2 2 2 3 5 4" xfId="18514"/>
    <cellStyle name="Input 2 2 2 3 6" xfId="5487"/>
    <cellStyle name="Input 2 2 2 3 6 2" xfId="12038"/>
    <cellStyle name="Input 2 2 2 3 6 2 2" xfId="26360"/>
    <cellStyle name="Input 2 2 2 3 6 3" xfId="17683"/>
    <cellStyle name="Input 2 2 2 3 7" xfId="3709"/>
    <cellStyle name="Input 2 2 2 3 7 2" xfId="22538"/>
    <cellStyle name="Input 2 2 2 3 8" xfId="14881"/>
    <cellStyle name="Input 2 2 2 4" xfId="593"/>
    <cellStyle name="Input 2 2 2 4 2" xfId="594"/>
    <cellStyle name="Input 2 2 2 4 2 2" xfId="595"/>
    <cellStyle name="Input 2 2 2 4 2 2 2" xfId="6923"/>
    <cellStyle name="Input 2 2 2 4 2 2 2 2" xfId="13527"/>
    <cellStyle name="Input 2 2 2 4 2 2 2 2 2" xfId="27849"/>
    <cellStyle name="Input 2 2 2 4 2 2 2 3" xfId="19172"/>
    <cellStyle name="Input 2 2 2 4 2 2 3" xfId="7423"/>
    <cellStyle name="Input 2 2 2 4 2 2 3 2" xfId="10037"/>
    <cellStyle name="Input 2 2 2 4 2 2 3 2 2" xfId="16299"/>
    <cellStyle name="Input 2 2 2 4 2 2 3 2 2 2" xfId="29715"/>
    <cellStyle name="Input 2 2 2 4 2 2 3 2 3" xfId="21044"/>
    <cellStyle name="Input 2 2 2 4 2 2 3 3" xfId="14027"/>
    <cellStyle name="Input 2 2 2 4 2 2 3 3 2" xfId="28349"/>
    <cellStyle name="Input 2 2 2 4 2 2 3 4" xfId="19672"/>
    <cellStyle name="Input 2 2 2 4 2 2 4" xfId="11411"/>
    <cellStyle name="Input 2 2 2 4 2 2 4 2" xfId="25733"/>
    <cellStyle name="Input 2 2 2 4 2 2 5" xfId="3782"/>
    <cellStyle name="Input 2 2 2 4 2 3" xfId="596"/>
    <cellStyle name="Input 2 2 2 4 2 3 2" xfId="4259"/>
    <cellStyle name="Input 2 2 2 4 2 3 2 2" xfId="9438"/>
    <cellStyle name="Input 2 2 2 4 2 3 2 2 2" xfId="15700"/>
    <cellStyle name="Input 2 2 2 4 2 3 2 2 2 2" xfId="29116"/>
    <cellStyle name="Input 2 2 2 4 2 3 2 2 3" xfId="20445"/>
    <cellStyle name="Input 2 2 2 4 2 3 2 3" xfId="6645"/>
    <cellStyle name="Input 2 2 2 4 2 3 2 3 2" xfId="23624"/>
    <cellStyle name="Input 2 2 2 4 2 3 2 4" xfId="15218"/>
    <cellStyle name="Input 2 2 2 4 2 3 3" xfId="13329"/>
    <cellStyle name="Input 2 2 2 4 2 3 3 2" xfId="27651"/>
    <cellStyle name="Input 2 2 2 4 2 3 4" xfId="18974"/>
    <cellStyle name="Input 2 2 2 4 2 4" xfId="5779"/>
    <cellStyle name="Input 2 2 2 4 2 4 2" xfId="12332"/>
    <cellStyle name="Input 2 2 2 4 2 4 2 2" xfId="26654"/>
    <cellStyle name="Input 2 2 2 4 2 4 3" xfId="17977"/>
    <cellStyle name="Input 2 2 2 4 2 5" xfId="6751"/>
    <cellStyle name="Input 2 2 2 4 2 5 2" xfId="23699"/>
    <cellStyle name="Input 2 2 2 4 2 6" xfId="15135"/>
    <cellStyle name="Input 2 2 2 4 3" xfId="597"/>
    <cellStyle name="Input 2 2 2 4 3 2" xfId="598"/>
    <cellStyle name="Input 2 2 2 4 3 2 2" xfId="6065"/>
    <cellStyle name="Input 2 2 2 4 3 2 2 2" xfId="12631"/>
    <cellStyle name="Input 2 2 2 4 3 2 2 2 2" xfId="26953"/>
    <cellStyle name="Input 2 2 2 4 3 2 2 3" xfId="18276"/>
    <cellStyle name="Input 2 2 2 4 3 2 3" xfId="7677"/>
    <cellStyle name="Input 2 2 2 4 3 2 3 2" xfId="10291"/>
    <cellStyle name="Input 2 2 2 4 3 2 3 2 2" xfId="16553"/>
    <cellStyle name="Input 2 2 2 4 3 2 3 2 2 2" xfId="29969"/>
    <cellStyle name="Input 2 2 2 4 3 2 3 2 3" xfId="21298"/>
    <cellStyle name="Input 2 2 2 4 3 2 3 3" xfId="14281"/>
    <cellStyle name="Input 2 2 2 4 3 2 3 3 2" xfId="28603"/>
    <cellStyle name="Input 2 2 2 4 3 2 3 4" xfId="19926"/>
    <cellStyle name="Input 2 2 2 4 3 2 4" xfId="4656"/>
    <cellStyle name="Input 2 2 2 4 3 2 4 2" xfId="23097"/>
    <cellStyle name="Input 2 2 2 4 3 2 5" xfId="17049"/>
    <cellStyle name="Input 2 2 2 4 3 3" xfId="599"/>
    <cellStyle name="Input 2 2 2 4 3 3 2" xfId="7434"/>
    <cellStyle name="Input 2 2 2 4 3 3 2 2" xfId="10048"/>
    <cellStyle name="Input 2 2 2 4 3 3 2 2 2" xfId="16310"/>
    <cellStyle name="Input 2 2 2 4 3 3 2 2 2 2" xfId="29726"/>
    <cellStyle name="Input 2 2 2 4 3 3 2 2 3" xfId="21055"/>
    <cellStyle name="Input 2 2 2 4 3 3 2 3" xfId="14038"/>
    <cellStyle name="Input 2 2 2 4 3 3 2 3 2" xfId="28360"/>
    <cellStyle name="Input 2 2 2 4 3 3 2 4" xfId="19683"/>
    <cellStyle name="Input 2 2 2 4 3 3 3" xfId="13386"/>
    <cellStyle name="Input 2 2 2 4 3 3 3 2" xfId="27708"/>
    <cellStyle name="Input 2 2 2 4 3 3 4" xfId="19031"/>
    <cellStyle name="Input 2 2 2 4 3 4" xfId="5846"/>
    <cellStyle name="Input 2 2 2 4 3 4 2" xfId="12399"/>
    <cellStyle name="Input 2 2 2 4 3 4 2 2" xfId="26721"/>
    <cellStyle name="Input 2 2 2 4 3 4 3" xfId="18044"/>
    <cellStyle name="Input 2 2 2 4 3 5" xfId="6274"/>
    <cellStyle name="Input 2 2 2 4 3 5 2" xfId="23486"/>
    <cellStyle name="Input 2 2 2 4 3 6" xfId="3930"/>
    <cellStyle name="Input 2 2 2 4 4" xfId="600"/>
    <cellStyle name="Input 2 2 2 4 4 2" xfId="5979"/>
    <cellStyle name="Input 2 2 2 4 4 2 2" xfId="12537"/>
    <cellStyle name="Input 2 2 2 4 4 2 2 2" xfId="26859"/>
    <cellStyle name="Input 2 2 2 4 4 2 3" xfId="18182"/>
    <cellStyle name="Input 2 2 2 4 4 3" xfId="7331"/>
    <cellStyle name="Input 2 2 2 4 4 3 2" xfId="9945"/>
    <cellStyle name="Input 2 2 2 4 4 3 2 2" xfId="16207"/>
    <cellStyle name="Input 2 2 2 4 4 3 2 2 2" xfId="29623"/>
    <cellStyle name="Input 2 2 2 4 4 3 2 3" xfId="20952"/>
    <cellStyle name="Input 2 2 2 4 4 3 3" xfId="13935"/>
    <cellStyle name="Input 2 2 2 4 4 3 3 2" xfId="28257"/>
    <cellStyle name="Input 2 2 2 4 4 3 4" xfId="19580"/>
    <cellStyle name="Input 2 2 2 4 4 4" xfId="4011"/>
    <cellStyle name="Input 2 2 2 4 4 4 2" xfId="22700"/>
    <cellStyle name="Input 2 2 2 4 4 5" xfId="6605"/>
    <cellStyle name="Input 2 2 2 4 5" xfId="601"/>
    <cellStyle name="Input 2 2 2 4 5 2" xfId="4923"/>
    <cellStyle name="Input 2 2 2 4 5 2 2" xfId="9516"/>
    <cellStyle name="Input 2 2 2 4 5 2 2 2" xfId="15778"/>
    <cellStyle name="Input 2 2 2 4 5 2 2 2 2" xfId="29194"/>
    <cellStyle name="Input 2 2 2 4 5 2 2 3" xfId="20523"/>
    <cellStyle name="Input 2 2 2 4 5 2 3" xfId="11461"/>
    <cellStyle name="Input 2 2 2 4 5 2 3 2" xfId="25783"/>
    <cellStyle name="Input 2 2 2 4 5 2 4" xfId="14995"/>
    <cellStyle name="Input 2 2 2 4 5 3" xfId="12905"/>
    <cellStyle name="Input 2 2 2 4 5 3 2" xfId="27227"/>
    <cellStyle name="Input 2 2 2 4 5 4" xfId="18550"/>
    <cellStyle name="Input 2 2 2 4 6" xfId="5529"/>
    <cellStyle name="Input 2 2 2 4 6 2" xfId="12080"/>
    <cellStyle name="Input 2 2 2 4 6 2 2" xfId="26402"/>
    <cellStyle name="Input 2 2 2 4 6 3" xfId="17725"/>
    <cellStyle name="Input 2 2 2 4 7" xfId="3646"/>
    <cellStyle name="Input 2 2 2 4 7 2" xfId="22505"/>
    <cellStyle name="Input 2 2 2 4 8" xfId="15127"/>
    <cellStyle name="Input 2 2 2 5" xfId="602"/>
    <cellStyle name="Input 2 2 2 5 2" xfId="603"/>
    <cellStyle name="Input 2 2 2 5 2 2" xfId="604"/>
    <cellStyle name="Input 2 2 2 5 2 2 2" xfId="6022"/>
    <cellStyle name="Input 2 2 2 5 2 2 2 2" xfId="12583"/>
    <cellStyle name="Input 2 2 2 5 2 2 2 2 2" xfId="26905"/>
    <cellStyle name="Input 2 2 2 5 2 2 2 3" xfId="18228"/>
    <cellStyle name="Input 2 2 2 5 2 2 3" xfId="7685"/>
    <cellStyle name="Input 2 2 2 5 2 2 3 2" xfId="10299"/>
    <cellStyle name="Input 2 2 2 5 2 2 3 2 2" xfId="16561"/>
    <cellStyle name="Input 2 2 2 5 2 2 3 2 2 2" xfId="29977"/>
    <cellStyle name="Input 2 2 2 5 2 2 3 2 3" xfId="21306"/>
    <cellStyle name="Input 2 2 2 5 2 2 3 3" xfId="14289"/>
    <cellStyle name="Input 2 2 2 5 2 2 3 3 2" xfId="28611"/>
    <cellStyle name="Input 2 2 2 5 2 2 3 4" xfId="19934"/>
    <cellStyle name="Input 2 2 2 5 2 2 4" xfId="6811"/>
    <cellStyle name="Input 2 2 2 5 2 2 4 2" xfId="23749"/>
    <cellStyle name="Input 2 2 2 5 2 2 5" xfId="15539"/>
    <cellStyle name="Input 2 2 2 5 2 3" xfId="605"/>
    <cellStyle name="Input 2 2 2 5 2 3 2" xfId="7535"/>
    <cellStyle name="Input 2 2 2 5 2 3 2 2" xfId="10149"/>
    <cellStyle name="Input 2 2 2 5 2 3 2 2 2" xfId="16411"/>
    <cellStyle name="Input 2 2 2 5 2 3 2 2 2 2" xfId="29827"/>
    <cellStyle name="Input 2 2 2 5 2 3 2 2 3" xfId="21156"/>
    <cellStyle name="Input 2 2 2 5 2 3 2 3" xfId="14139"/>
    <cellStyle name="Input 2 2 2 5 2 3 2 3 2" xfId="28461"/>
    <cellStyle name="Input 2 2 2 5 2 3 2 4" xfId="19784"/>
    <cellStyle name="Input 2 2 2 5 2 3 3" xfId="13259"/>
    <cellStyle name="Input 2 2 2 5 2 3 3 2" xfId="27581"/>
    <cellStyle name="Input 2 2 2 5 2 3 4" xfId="18904"/>
    <cellStyle name="Input 2 2 2 5 2 4" xfId="5704"/>
    <cellStyle name="Input 2 2 2 5 2 4 2" xfId="12257"/>
    <cellStyle name="Input 2 2 2 5 2 4 2 2" xfId="26579"/>
    <cellStyle name="Input 2 2 2 5 2 4 3" xfId="17902"/>
    <cellStyle name="Input 2 2 2 5 2 5" xfId="4648"/>
    <cellStyle name="Input 2 2 2 5 2 5 2" xfId="23091"/>
    <cellStyle name="Input 2 2 2 5 2 6" xfId="4336"/>
    <cellStyle name="Input 2 2 2 5 3" xfId="606"/>
    <cellStyle name="Input 2 2 2 5 3 2" xfId="607"/>
    <cellStyle name="Input 2 2 2 5 3 2 2" xfId="5350"/>
    <cellStyle name="Input 2 2 2 5 3 2 2 2" xfId="11900"/>
    <cellStyle name="Input 2 2 2 5 3 2 2 2 2" xfId="26222"/>
    <cellStyle name="Input 2 2 2 5 3 2 2 3" xfId="17545"/>
    <cellStyle name="Input 2 2 2 5 3 2 3" xfId="7631"/>
    <cellStyle name="Input 2 2 2 5 3 2 3 2" xfId="10245"/>
    <cellStyle name="Input 2 2 2 5 3 2 3 2 2" xfId="16507"/>
    <cellStyle name="Input 2 2 2 5 3 2 3 2 2 2" xfId="29923"/>
    <cellStyle name="Input 2 2 2 5 3 2 3 2 3" xfId="21252"/>
    <cellStyle name="Input 2 2 2 5 3 2 3 3" xfId="14235"/>
    <cellStyle name="Input 2 2 2 5 3 2 3 3 2" xfId="28557"/>
    <cellStyle name="Input 2 2 2 5 3 2 3 4" xfId="19880"/>
    <cellStyle name="Input 2 2 2 5 3 2 4" xfId="4471"/>
    <cellStyle name="Input 2 2 2 5 3 2 4 2" xfId="22970"/>
    <cellStyle name="Input 2 2 2 5 3 2 5" xfId="4355"/>
    <cellStyle name="Input 2 2 2 5 3 3" xfId="608"/>
    <cellStyle name="Input 2 2 2 5 3 3 2" xfId="7283"/>
    <cellStyle name="Input 2 2 2 5 3 3 2 2" xfId="9897"/>
    <cellStyle name="Input 2 2 2 5 3 3 2 2 2" xfId="16159"/>
    <cellStyle name="Input 2 2 2 5 3 3 2 2 2 2" xfId="29575"/>
    <cellStyle name="Input 2 2 2 5 3 3 2 2 3" xfId="20904"/>
    <cellStyle name="Input 2 2 2 5 3 3 2 3" xfId="13887"/>
    <cellStyle name="Input 2 2 2 5 3 3 2 3 2" xfId="28209"/>
    <cellStyle name="Input 2 2 2 5 3 3 2 4" xfId="19532"/>
    <cellStyle name="Input 2 2 2 5 3 3 3" xfId="13156"/>
    <cellStyle name="Input 2 2 2 5 3 3 3 2" xfId="27478"/>
    <cellStyle name="Input 2 2 2 5 3 3 4" xfId="18801"/>
    <cellStyle name="Input 2 2 2 5 3 4" xfId="5562"/>
    <cellStyle name="Input 2 2 2 5 3 4 2" xfId="12113"/>
    <cellStyle name="Input 2 2 2 5 3 4 2 2" xfId="26435"/>
    <cellStyle name="Input 2 2 2 5 3 4 3" xfId="17758"/>
    <cellStyle name="Input 2 2 2 5 3 5" xfId="3291"/>
    <cellStyle name="Input 2 2 2 5 3 5 2" xfId="22464"/>
    <cellStyle name="Input 2 2 2 5 3 6" xfId="15400"/>
    <cellStyle name="Input 2 2 2 5 4" xfId="609"/>
    <cellStyle name="Input 2 2 2 5 4 2" xfId="6394"/>
    <cellStyle name="Input 2 2 2 5 4 2 2" xfId="12977"/>
    <cellStyle name="Input 2 2 2 5 4 2 2 2" xfId="27299"/>
    <cellStyle name="Input 2 2 2 5 4 2 3" xfId="18622"/>
    <cellStyle name="Input 2 2 2 5 4 3" xfId="7504"/>
    <cellStyle name="Input 2 2 2 5 4 3 2" xfId="10118"/>
    <cellStyle name="Input 2 2 2 5 4 3 2 2" xfId="16380"/>
    <cellStyle name="Input 2 2 2 5 4 3 2 2 2" xfId="29796"/>
    <cellStyle name="Input 2 2 2 5 4 3 2 3" xfId="21125"/>
    <cellStyle name="Input 2 2 2 5 4 3 3" xfId="14108"/>
    <cellStyle name="Input 2 2 2 5 4 3 3 2" xfId="28430"/>
    <cellStyle name="Input 2 2 2 5 4 3 4" xfId="19753"/>
    <cellStyle name="Input 2 2 2 5 4 4" xfId="3607"/>
    <cellStyle name="Input 2 2 2 5 4 4 2" xfId="22486"/>
    <cellStyle name="Input 2 2 2 5 4 5" xfId="3262"/>
    <cellStyle name="Input 2 2 2 5 5" xfId="610"/>
    <cellStyle name="Input 2 2 2 5 5 2" xfId="3962"/>
    <cellStyle name="Input 2 2 2 5 5 2 2" xfId="9404"/>
    <cellStyle name="Input 2 2 2 5 5 2 2 2" xfId="15666"/>
    <cellStyle name="Input 2 2 2 5 5 2 2 2 2" xfId="29082"/>
    <cellStyle name="Input 2 2 2 5 5 2 2 3" xfId="20411"/>
    <cellStyle name="Input 2 2 2 5 5 2 3" xfId="6352"/>
    <cellStyle name="Input 2 2 2 5 5 2 3 2" xfId="23537"/>
    <cellStyle name="Input 2 2 2 5 5 2 4" xfId="4912"/>
    <cellStyle name="Input 2 2 2 5 5 3" xfId="12767"/>
    <cellStyle name="Input 2 2 2 5 5 3 2" xfId="27089"/>
    <cellStyle name="Input 2 2 2 5 5 4" xfId="18412"/>
    <cellStyle name="Input 2 2 2 5 6" xfId="4326"/>
    <cellStyle name="Input 2 2 2 5 6 2" xfId="4491"/>
    <cellStyle name="Input 2 2 2 5 6 2 2" xfId="22984"/>
    <cellStyle name="Input 2 2 2 5 6 3" xfId="4910"/>
    <cellStyle name="Input 2 2 2 5 7" xfId="4992"/>
    <cellStyle name="Input 2 2 2 5 7 2" xfId="23298"/>
    <cellStyle name="Input 2 2 2 5 8" xfId="17284"/>
    <cellStyle name="Input 2 2 2 6" xfId="611"/>
    <cellStyle name="Input 2 2 2 6 2" xfId="612"/>
    <cellStyle name="Input 2 2 2 6 2 2" xfId="613"/>
    <cellStyle name="Input 2 2 2 6 2 2 2" xfId="6004"/>
    <cellStyle name="Input 2 2 2 6 2 2 2 2" xfId="12563"/>
    <cellStyle name="Input 2 2 2 6 2 2 2 2 2" xfId="26885"/>
    <cellStyle name="Input 2 2 2 6 2 2 2 3" xfId="18208"/>
    <cellStyle name="Input 2 2 2 6 2 2 3" xfId="7617"/>
    <cellStyle name="Input 2 2 2 6 2 2 3 2" xfId="10231"/>
    <cellStyle name="Input 2 2 2 6 2 2 3 2 2" xfId="16493"/>
    <cellStyle name="Input 2 2 2 6 2 2 3 2 2 2" xfId="29909"/>
    <cellStyle name="Input 2 2 2 6 2 2 3 2 3" xfId="21238"/>
    <cellStyle name="Input 2 2 2 6 2 2 3 3" xfId="14221"/>
    <cellStyle name="Input 2 2 2 6 2 2 3 3 2" xfId="28543"/>
    <cellStyle name="Input 2 2 2 6 2 2 3 4" xfId="19866"/>
    <cellStyle name="Input 2 2 2 6 2 2 4" xfId="3180"/>
    <cellStyle name="Input 2 2 2 6 2 2 4 2" xfId="22426"/>
    <cellStyle name="Input 2 2 2 6 2 2 5" xfId="17244"/>
    <cellStyle name="Input 2 2 2 6 2 3" xfId="614"/>
    <cellStyle name="Input 2 2 2 6 2 3 2" xfId="7890"/>
    <cellStyle name="Input 2 2 2 6 2 3 2 2" xfId="10504"/>
    <cellStyle name="Input 2 2 2 6 2 3 2 2 2" xfId="16766"/>
    <cellStyle name="Input 2 2 2 6 2 3 2 2 2 2" xfId="30182"/>
    <cellStyle name="Input 2 2 2 6 2 3 2 2 3" xfId="21511"/>
    <cellStyle name="Input 2 2 2 6 2 3 2 3" xfId="14494"/>
    <cellStyle name="Input 2 2 2 6 2 3 2 3 2" xfId="28816"/>
    <cellStyle name="Input 2 2 2 6 2 3 2 4" xfId="20139"/>
    <cellStyle name="Input 2 2 2 6 2 3 3" xfId="13059"/>
    <cellStyle name="Input 2 2 2 6 2 3 3 2" xfId="27381"/>
    <cellStyle name="Input 2 2 2 6 2 3 4" xfId="18704"/>
    <cellStyle name="Input 2 2 2 6 2 4" xfId="5392"/>
    <cellStyle name="Input 2 2 2 6 2 4 2" xfId="11942"/>
    <cellStyle name="Input 2 2 2 6 2 4 2 2" xfId="26264"/>
    <cellStyle name="Input 2 2 2 6 2 4 3" xfId="17587"/>
    <cellStyle name="Input 2 2 2 6 2 5" xfId="3292"/>
    <cellStyle name="Input 2 2 2 6 2 5 2" xfId="22465"/>
    <cellStyle name="Input 2 2 2 6 2 6" xfId="15245"/>
    <cellStyle name="Input 2 2 2 6 3" xfId="615"/>
    <cellStyle name="Input 2 2 2 6 3 2" xfId="6964"/>
    <cellStyle name="Input 2 2 2 6 3 2 2" xfId="13568"/>
    <cellStyle name="Input 2 2 2 6 3 2 2 2" xfId="27890"/>
    <cellStyle name="Input 2 2 2 6 3 2 3" xfId="19213"/>
    <cellStyle name="Input 2 2 2 6 3 3" xfId="7411"/>
    <cellStyle name="Input 2 2 2 6 3 3 2" xfId="10025"/>
    <cellStyle name="Input 2 2 2 6 3 3 2 2" xfId="16287"/>
    <cellStyle name="Input 2 2 2 6 3 3 2 2 2" xfId="29703"/>
    <cellStyle name="Input 2 2 2 6 3 3 2 3" xfId="21032"/>
    <cellStyle name="Input 2 2 2 6 3 3 3" xfId="14015"/>
    <cellStyle name="Input 2 2 2 6 3 3 3 2" xfId="28337"/>
    <cellStyle name="Input 2 2 2 6 3 3 4" xfId="19660"/>
    <cellStyle name="Input 2 2 2 6 3 4" xfId="11468"/>
    <cellStyle name="Input 2 2 2 6 3 4 2" xfId="25790"/>
    <cellStyle name="Input 2 2 2 6 3 5" xfId="15113"/>
    <cellStyle name="Input 2 2 2 6 4" xfId="616"/>
    <cellStyle name="Input 2 2 2 6 4 2" xfId="3194"/>
    <cellStyle name="Input 2 2 2 6 4 2 2" xfId="9006"/>
    <cellStyle name="Input 2 2 2 6 4 2 2 2" xfId="15354"/>
    <cellStyle name="Input 2 2 2 6 4 2 2 2 2" xfId="29004"/>
    <cellStyle name="Input 2 2 2 6 4 2 2 3" xfId="20331"/>
    <cellStyle name="Input 2 2 2 6 4 2 3" xfId="4712"/>
    <cellStyle name="Input 2 2 2 6 4 2 3 2" xfId="23144"/>
    <cellStyle name="Input 2 2 2 6 4 2 4" xfId="14742"/>
    <cellStyle name="Input 2 2 2 6 4 3" xfId="12134"/>
    <cellStyle name="Input 2 2 2 6 4 3 2" xfId="26456"/>
    <cellStyle name="Input 2 2 2 6 4 4" xfId="17779"/>
    <cellStyle name="Input 2 2 2 6 5" xfId="5073"/>
    <cellStyle name="Input 2 2 2 6 5 2" xfId="11620"/>
    <cellStyle name="Input 2 2 2 6 5 2 2" xfId="25942"/>
    <cellStyle name="Input 2 2 2 6 5 3" xfId="17234"/>
    <cellStyle name="Input 2 2 2 6 6" xfId="4264"/>
    <cellStyle name="Input 2 2 2 6 6 2" xfId="22858"/>
    <cellStyle name="Input 2 2 2 6 7" xfId="17191"/>
    <cellStyle name="Input 2 2 2 7" xfId="617"/>
    <cellStyle name="Input 2 2 2 7 2" xfId="618"/>
    <cellStyle name="Input 2 2 2 7 2 2" xfId="6435"/>
    <cellStyle name="Input 2 2 2 7 2 2 2" xfId="13018"/>
    <cellStyle name="Input 2 2 2 7 2 2 2 2" xfId="27340"/>
    <cellStyle name="Input 2 2 2 7 2 2 3" xfId="18663"/>
    <cellStyle name="Input 2 2 2 7 2 3" xfId="7094"/>
    <cellStyle name="Input 2 2 2 7 2 3 2" xfId="9708"/>
    <cellStyle name="Input 2 2 2 7 2 3 2 2" xfId="15970"/>
    <cellStyle name="Input 2 2 2 7 2 3 2 2 2" xfId="29386"/>
    <cellStyle name="Input 2 2 2 7 2 3 2 3" xfId="20715"/>
    <cellStyle name="Input 2 2 2 7 2 3 3" xfId="13698"/>
    <cellStyle name="Input 2 2 2 7 2 3 3 2" xfId="28020"/>
    <cellStyle name="Input 2 2 2 7 2 3 4" xfId="19343"/>
    <cellStyle name="Input 2 2 2 7 2 4" xfId="6807"/>
    <cellStyle name="Input 2 2 2 7 2 4 2" xfId="23746"/>
    <cellStyle name="Input 2 2 2 7 2 5" xfId="15265"/>
    <cellStyle name="Input 2 2 2 7 3" xfId="619"/>
    <cellStyle name="Input 2 2 2 7 3 2" xfId="5262"/>
    <cellStyle name="Input 2 2 2 7 3 2 2" xfId="9571"/>
    <cellStyle name="Input 2 2 2 7 3 2 2 2" xfId="15833"/>
    <cellStyle name="Input 2 2 2 7 3 2 2 2 2" xfId="29249"/>
    <cellStyle name="Input 2 2 2 7 3 2 2 3" xfId="20578"/>
    <cellStyle name="Input 2 2 2 7 3 2 3" xfId="11812"/>
    <cellStyle name="Input 2 2 2 7 3 2 3 2" xfId="26134"/>
    <cellStyle name="Input 2 2 2 7 3 2 4" xfId="17457"/>
    <cellStyle name="Input 2 2 2 7 3 3" xfId="13060"/>
    <cellStyle name="Input 2 2 2 7 3 3 2" xfId="27382"/>
    <cellStyle name="Input 2 2 2 7 3 4" xfId="18705"/>
    <cellStyle name="Input 2 2 2 7 4" xfId="5393"/>
    <cellStyle name="Input 2 2 2 7 4 2" xfId="11943"/>
    <cellStyle name="Input 2 2 2 7 4 2 2" xfId="26265"/>
    <cellStyle name="Input 2 2 2 7 4 3" xfId="17588"/>
    <cellStyle name="Input 2 2 2 7 5" xfId="6334"/>
    <cellStyle name="Input 2 2 2 7 5 2" xfId="23522"/>
    <cellStyle name="Input 2 2 2 7 6" xfId="17105"/>
    <cellStyle name="Input 2 2 2 8" xfId="620"/>
    <cellStyle name="Input 2 2 2 8 2" xfId="6105"/>
    <cellStyle name="Input 2 2 2 8 2 2" xfId="12673"/>
    <cellStyle name="Input 2 2 2 8 2 2 2" xfId="26995"/>
    <cellStyle name="Input 2 2 2 8 2 3" xfId="18318"/>
    <cellStyle name="Input 2 2 2 8 3" xfId="7754"/>
    <cellStyle name="Input 2 2 2 8 3 2" xfId="10368"/>
    <cellStyle name="Input 2 2 2 8 3 2 2" xfId="16630"/>
    <cellStyle name="Input 2 2 2 8 3 2 2 2" xfId="30046"/>
    <cellStyle name="Input 2 2 2 8 3 2 3" xfId="21375"/>
    <cellStyle name="Input 2 2 2 8 3 3" xfId="14358"/>
    <cellStyle name="Input 2 2 2 8 3 3 2" xfId="28680"/>
    <cellStyle name="Input 2 2 2 8 3 4" xfId="20003"/>
    <cellStyle name="Input 2 2 2 8 4" xfId="4813"/>
    <cellStyle name="Input 2 2 2 8 4 2" xfId="23200"/>
    <cellStyle name="Input 2 2 2 8 5" xfId="4550"/>
    <cellStyle name="Input 2 2 2 9" xfId="621"/>
    <cellStyle name="Input 2 2 2 9 2" xfId="7857"/>
    <cellStyle name="Input 2 2 2 9 2 2" xfId="10471"/>
    <cellStyle name="Input 2 2 2 9 2 2 2" xfId="16733"/>
    <cellStyle name="Input 2 2 2 9 2 2 2 2" xfId="30149"/>
    <cellStyle name="Input 2 2 2 9 2 2 3" xfId="21478"/>
    <cellStyle name="Input 2 2 2 9 2 3" xfId="14461"/>
    <cellStyle name="Input 2 2 2 9 2 3 2" xfId="28783"/>
    <cellStyle name="Input 2 2 2 9 2 4" xfId="20106"/>
    <cellStyle name="Input 2 2 2 9 3" xfId="12507"/>
    <cellStyle name="Input 2 2 2 9 3 2" xfId="26829"/>
    <cellStyle name="Input 2 2 2 9 4" xfId="18152"/>
    <cellStyle name="Input 2 2 3" xfId="622"/>
    <cellStyle name="Input 2 2 3 10" xfId="4072"/>
    <cellStyle name="Input 2 2 3 10 2" xfId="22744"/>
    <cellStyle name="Input 2 2 3 11" xfId="16999"/>
    <cellStyle name="Input 2 2 3 2" xfId="623"/>
    <cellStyle name="Input 2 2 3 2 2" xfId="624"/>
    <cellStyle name="Input 2 2 3 2 2 2" xfId="625"/>
    <cellStyle name="Input 2 2 3 2 2 2 2" xfId="6942"/>
    <cellStyle name="Input 2 2 3 2 2 2 2 2" xfId="13546"/>
    <cellStyle name="Input 2 2 3 2 2 2 2 2 2" xfId="27868"/>
    <cellStyle name="Input 2 2 3 2 2 2 2 3" xfId="19191"/>
    <cellStyle name="Input 2 2 3 2 2 2 3" xfId="3246"/>
    <cellStyle name="Input 2 2 3 2 2 2 3 2" xfId="9048"/>
    <cellStyle name="Input 2 2 3 2 2 2 3 2 2" xfId="15387"/>
    <cellStyle name="Input 2 2 3 2 2 2 3 2 2 2" xfId="29006"/>
    <cellStyle name="Input 2 2 3 2 2 2 3 2 3" xfId="20333"/>
    <cellStyle name="Input 2 2 3 2 2 2 3 3" xfId="4034"/>
    <cellStyle name="Input 2 2 3 2 2 2 3 3 2" xfId="22712"/>
    <cellStyle name="Input 2 2 3 2 2 2 3 4" xfId="17353"/>
    <cellStyle name="Input 2 2 3 2 2 2 4" xfId="11435"/>
    <cellStyle name="Input 2 2 3 2 2 2 4 2" xfId="25757"/>
    <cellStyle name="Input 2 2 3 2 2 2 5" xfId="6680"/>
    <cellStyle name="Input 2 2 3 2 2 3" xfId="626"/>
    <cellStyle name="Input 2 2 3 2 2 3 2" xfId="7686"/>
    <cellStyle name="Input 2 2 3 2 2 3 2 2" xfId="10300"/>
    <cellStyle name="Input 2 2 3 2 2 3 2 2 2" xfId="16562"/>
    <cellStyle name="Input 2 2 3 2 2 3 2 2 2 2" xfId="29978"/>
    <cellStyle name="Input 2 2 3 2 2 3 2 2 3" xfId="21307"/>
    <cellStyle name="Input 2 2 3 2 2 3 2 3" xfId="14290"/>
    <cellStyle name="Input 2 2 3 2 2 3 2 3 2" xfId="28612"/>
    <cellStyle name="Input 2 2 3 2 2 3 2 4" xfId="19935"/>
    <cellStyle name="Input 2 2 3 2 2 3 3" xfId="13312"/>
    <cellStyle name="Input 2 2 3 2 2 3 3 2" xfId="27634"/>
    <cellStyle name="Input 2 2 3 2 2 3 4" xfId="18957"/>
    <cellStyle name="Input 2 2 3 2 2 4" xfId="5762"/>
    <cellStyle name="Input 2 2 3 2 2 4 2" xfId="12315"/>
    <cellStyle name="Input 2 2 3 2 2 4 2 2" xfId="26637"/>
    <cellStyle name="Input 2 2 3 2 2 4 3" xfId="17960"/>
    <cellStyle name="Input 2 2 3 2 2 5" xfId="3990"/>
    <cellStyle name="Input 2 2 3 2 2 5 2" xfId="22689"/>
    <cellStyle name="Input 2 2 3 2 2 6" xfId="17069"/>
    <cellStyle name="Input 2 2 3 2 3" xfId="627"/>
    <cellStyle name="Input 2 2 3 2 3 2" xfId="628"/>
    <cellStyle name="Input 2 2 3 2 3 2 2" xfId="5995"/>
    <cellStyle name="Input 2 2 3 2 3 2 2 2" xfId="12553"/>
    <cellStyle name="Input 2 2 3 2 3 2 2 2 2" xfId="26875"/>
    <cellStyle name="Input 2 2 3 2 3 2 2 3" xfId="18198"/>
    <cellStyle name="Input 2 2 3 2 3 2 3" xfId="7726"/>
    <cellStyle name="Input 2 2 3 2 3 2 3 2" xfId="10340"/>
    <cellStyle name="Input 2 2 3 2 3 2 3 2 2" xfId="16602"/>
    <cellStyle name="Input 2 2 3 2 3 2 3 2 2 2" xfId="30018"/>
    <cellStyle name="Input 2 2 3 2 3 2 3 2 3" xfId="21347"/>
    <cellStyle name="Input 2 2 3 2 3 2 3 3" xfId="14330"/>
    <cellStyle name="Input 2 2 3 2 3 2 3 3 2" xfId="28652"/>
    <cellStyle name="Input 2 2 3 2 3 2 3 4" xfId="19975"/>
    <cellStyle name="Input 2 2 3 2 3 2 4" xfId="4317"/>
    <cellStyle name="Input 2 2 3 2 3 2 4 2" xfId="22886"/>
    <cellStyle name="Input 2 2 3 2 3 2 5" xfId="17338"/>
    <cellStyle name="Input 2 2 3 2 3 3" xfId="629"/>
    <cellStyle name="Input 2 2 3 2 3 3 2" xfId="8028"/>
    <cellStyle name="Input 2 2 3 2 3 3 2 2" xfId="10642"/>
    <cellStyle name="Input 2 2 3 2 3 3 2 2 2" xfId="16904"/>
    <cellStyle name="Input 2 2 3 2 3 3 2 2 2 2" xfId="30320"/>
    <cellStyle name="Input 2 2 3 2 3 3 2 2 3" xfId="21649"/>
    <cellStyle name="Input 2 2 3 2 3 3 2 3" xfId="14632"/>
    <cellStyle name="Input 2 2 3 2 3 3 2 3 2" xfId="28954"/>
    <cellStyle name="Input 2 2 3 2 3 3 2 4" xfId="20277"/>
    <cellStyle name="Input 2 2 3 2 3 3 3" xfId="13253"/>
    <cellStyle name="Input 2 2 3 2 3 3 3 2" xfId="27575"/>
    <cellStyle name="Input 2 2 3 2 3 3 4" xfId="18898"/>
    <cellStyle name="Input 2 2 3 2 3 4" xfId="5696"/>
    <cellStyle name="Input 2 2 3 2 3 4 2" xfId="12249"/>
    <cellStyle name="Input 2 2 3 2 3 4 2 2" xfId="26571"/>
    <cellStyle name="Input 2 2 3 2 3 4 3" xfId="17894"/>
    <cellStyle name="Input 2 2 3 2 3 5" xfId="4163"/>
    <cellStyle name="Input 2 2 3 2 3 5 2" xfId="22791"/>
    <cellStyle name="Input 2 2 3 2 3 6" xfId="17129"/>
    <cellStyle name="Input 2 2 3 2 4" xfId="630"/>
    <cellStyle name="Input 2 2 3 2 4 2" xfId="5949"/>
    <cellStyle name="Input 2 2 3 2 4 2 2" xfId="12506"/>
    <cellStyle name="Input 2 2 3 2 4 2 2 2" xfId="26828"/>
    <cellStyle name="Input 2 2 3 2 4 2 3" xfId="18151"/>
    <cellStyle name="Input 2 2 3 2 4 3" xfId="5004"/>
    <cellStyle name="Input 2 2 3 2 4 3 2" xfId="9538"/>
    <cellStyle name="Input 2 2 3 2 4 3 2 2" xfId="15800"/>
    <cellStyle name="Input 2 2 3 2 4 3 2 2 2" xfId="29216"/>
    <cellStyle name="Input 2 2 3 2 4 3 2 3" xfId="20545"/>
    <cellStyle name="Input 2 2 3 2 4 3 3" xfId="11547"/>
    <cellStyle name="Input 2 2 3 2 4 3 3 2" xfId="25869"/>
    <cellStyle name="Input 2 2 3 2 4 3 4" xfId="15460"/>
    <cellStyle name="Input 2 2 3 2 4 4" xfId="4997"/>
    <cellStyle name="Input 2 2 3 2 4 4 2" xfId="23301"/>
    <cellStyle name="Input 2 2 3 2 4 5" xfId="15505"/>
    <cellStyle name="Input 2 2 3 2 5" xfId="631"/>
    <cellStyle name="Input 2 2 3 2 5 2" xfId="7490"/>
    <cellStyle name="Input 2 2 3 2 5 2 2" xfId="10104"/>
    <cellStyle name="Input 2 2 3 2 5 2 2 2" xfId="16366"/>
    <cellStyle name="Input 2 2 3 2 5 2 2 2 2" xfId="29782"/>
    <cellStyle name="Input 2 2 3 2 5 2 2 3" xfId="21111"/>
    <cellStyle name="Input 2 2 3 2 5 2 3" xfId="14094"/>
    <cellStyle name="Input 2 2 3 2 5 2 3 2" xfId="28416"/>
    <cellStyle name="Input 2 2 3 2 5 2 4" xfId="19739"/>
    <cellStyle name="Input 2 2 3 2 5 3" xfId="12888"/>
    <cellStyle name="Input 2 2 3 2 5 3 2" xfId="27210"/>
    <cellStyle name="Input 2 2 3 2 5 4" xfId="18533"/>
    <cellStyle name="Input 2 2 3 2 6" xfId="5506"/>
    <cellStyle name="Input 2 2 3 2 6 2" xfId="12057"/>
    <cellStyle name="Input 2 2 3 2 6 2 2" xfId="26379"/>
    <cellStyle name="Input 2 2 3 2 6 3" xfId="17702"/>
    <cellStyle name="Input 2 2 3 2 7" xfId="6492"/>
    <cellStyle name="Input 2 2 3 2 7 2" xfId="23568"/>
    <cellStyle name="Input 2 2 3 2 8" xfId="15003"/>
    <cellStyle name="Input 2 2 3 3" xfId="632"/>
    <cellStyle name="Input 2 2 3 3 2" xfId="633"/>
    <cellStyle name="Input 2 2 3 3 2 2" xfId="634"/>
    <cellStyle name="Input 2 2 3 3 2 2 2" xfId="6866"/>
    <cellStyle name="Input 2 2 3 3 2 2 2 2" xfId="13470"/>
    <cellStyle name="Input 2 2 3 3 2 2 2 2 2" xfId="27792"/>
    <cellStyle name="Input 2 2 3 3 2 2 2 3" xfId="19115"/>
    <cellStyle name="Input 2 2 3 3 2 2 3" xfId="7061"/>
    <cellStyle name="Input 2 2 3 3 2 2 3 2" xfId="9675"/>
    <cellStyle name="Input 2 2 3 3 2 2 3 2 2" xfId="15937"/>
    <cellStyle name="Input 2 2 3 3 2 2 3 2 2 2" xfId="29353"/>
    <cellStyle name="Input 2 2 3 3 2 2 3 2 3" xfId="20682"/>
    <cellStyle name="Input 2 2 3 3 2 2 3 3" xfId="13665"/>
    <cellStyle name="Input 2 2 3 3 2 2 3 3 2" xfId="27987"/>
    <cellStyle name="Input 2 2 3 3 2 2 3 4" xfId="19310"/>
    <cellStyle name="Input 2 2 3 3 2 2 4" xfId="11327"/>
    <cellStyle name="Input 2 2 3 3 2 2 4 2" xfId="25649"/>
    <cellStyle name="Input 2 2 3 3 2 2 5" xfId="14777"/>
    <cellStyle name="Input 2 2 3 3 2 3" xfId="635"/>
    <cellStyle name="Input 2 2 3 3 2 3 2" xfId="7099"/>
    <cellStyle name="Input 2 2 3 3 2 3 2 2" xfId="9713"/>
    <cellStyle name="Input 2 2 3 3 2 3 2 2 2" xfId="15975"/>
    <cellStyle name="Input 2 2 3 3 2 3 2 2 2 2" xfId="29391"/>
    <cellStyle name="Input 2 2 3 3 2 3 2 2 3" xfId="20720"/>
    <cellStyle name="Input 2 2 3 3 2 3 2 3" xfId="13703"/>
    <cellStyle name="Input 2 2 3 3 2 3 2 3 2" xfId="28025"/>
    <cellStyle name="Input 2 2 3 3 2 3 2 4" xfId="19348"/>
    <cellStyle name="Input 2 2 3 3 2 3 3" xfId="13348"/>
    <cellStyle name="Input 2 2 3 3 2 3 3 2" xfId="27670"/>
    <cellStyle name="Input 2 2 3 3 2 3 4" xfId="18993"/>
    <cellStyle name="Input 2 2 3 3 2 4" xfId="5798"/>
    <cellStyle name="Input 2 2 3 3 2 4 2" xfId="12351"/>
    <cellStyle name="Input 2 2 3 3 2 4 2 2" xfId="26673"/>
    <cellStyle name="Input 2 2 3 3 2 4 3" xfId="17996"/>
    <cellStyle name="Input 2 2 3 3 2 5" xfId="5653"/>
    <cellStyle name="Input 2 2 3 3 2 5 2" xfId="23359"/>
    <cellStyle name="Input 2 2 3 3 2 6" xfId="15476"/>
    <cellStyle name="Input 2 2 3 3 3" xfId="636"/>
    <cellStyle name="Input 2 2 3 3 3 2" xfId="637"/>
    <cellStyle name="Input 2 2 3 3 3 2 2" xfId="6033"/>
    <cellStyle name="Input 2 2 3 3 3 2 2 2" xfId="12594"/>
    <cellStyle name="Input 2 2 3 3 3 2 2 2 2" xfId="26916"/>
    <cellStyle name="Input 2 2 3 3 3 2 2 3" xfId="18239"/>
    <cellStyle name="Input 2 2 3 3 3 2 3" xfId="7484"/>
    <cellStyle name="Input 2 2 3 3 3 2 3 2" xfId="10098"/>
    <cellStyle name="Input 2 2 3 3 3 2 3 2 2" xfId="16360"/>
    <cellStyle name="Input 2 2 3 3 3 2 3 2 2 2" xfId="29776"/>
    <cellStyle name="Input 2 2 3 3 3 2 3 2 3" xfId="21105"/>
    <cellStyle name="Input 2 2 3 3 3 2 3 3" xfId="14088"/>
    <cellStyle name="Input 2 2 3 3 3 2 3 3 2" xfId="28410"/>
    <cellStyle name="Input 2 2 3 3 3 2 3 4" xfId="19733"/>
    <cellStyle name="Input 2 2 3 3 3 2 4" xfId="6193"/>
    <cellStyle name="Input 2 2 3 3 3 2 4 2" xfId="23455"/>
    <cellStyle name="Input 2 2 3 3 3 2 5" xfId="15196"/>
    <cellStyle name="Input 2 2 3 3 3 3" xfId="638"/>
    <cellStyle name="Input 2 2 3 3 3 3 2" xfId="7203"/>
    <cellStyle name="Input 2 2 3 3 3 3 2 2" xfId="9817"/>
    <cellStyle name="Input 2 2 3 3 3 3 2 2 2" xfId="16079"/>
    <cellStyle name="Input 2 2 3 3 3 3 2 2 2 2" xfId="29495"/>
    <cellStyle name="Input 2 2 3 3 3 3 2 2 3" xfId="20824"/>
    <cellStyle name="Input 2 2 3 3 3 3 2 3" xfId="13807"/>
    <cellStyle name="Input 2 2 3 3 3 3 2 3 2" xfId="28129"/>
    <cellStyle name="Input 2 2 3 3 3 3 2 4" xfId="19452"/>
    <cellStyle name="Input 2 2 3 3 3 3 3" xfId="13075"/>
    <cellStyle name="Input 2 2 3 3 3 3 3 2" xfId="27397"/>
    <cellStyle name="Input 2 2 3 3 3 3 4" xfId="18720"/>
    <cellStyle name="Input 2 2 3 3 3 4" xfId="5422"/>
    <cellStyle name="Input 2 2 3 3 3 4 2" xfId="11973"/>
    <cellStyle name="Input 2 2 3 3 3 4 2 2" xfId="26295"/>
    <cellStyle name="Input 2 2 3 3 3 4 3" xfId="17618"/>
    <cellStyle name="Input 2 2 3 3 3 5" xfId="4393"/>
    <cellStyle name="Input 2 2 3 3 3 5 2" xfId="22925"/>
    <cellStyle name="Input 2 2 3 3 3 6" xfId="5026"/>
    <cellStyle name="Input 2 2 3 3 4" xfId="639"/>
    <cellStyle name="Input 2 2 3 3 4 2" xfId="6430"/>
    <cellStyle name="Input 2 2 3 3 4 2 2" xfId="13013"/>
    <cellStyle name="Input 2 2 3 3 4 2 2 2" xfId="27335"/>
    <cellStyle name="Input 2 2 3 3 4 2 3" xfId="18658"/>
    <cellStyle name="Input 2 2 3 3 4 3" xfId="7340"/>
    <cellStyle name="Input 2 2 3 3 4 3 2" xfId="9954"/>
    <cellStyle name="Input 2 2 3 3 4 3 2 2" xfId="16216"/>
    <cellStyle name="Input 2 2 3 3 4 3 2 2 2" xfId="29632"/>
    <cellStyle name="Input 2 2 3 3 4 3 2 3" xfId="20961"/>
    <cellStyle name="Input 2 2 3 3 4 3 3" xfId="13944"/>
    <cellStyle name="Input 2 2 3 3 4 3 3 2" xfId="28266"/>
    <cellStyle name="Input 2 2 3 3 4 3 4" xfId="19589"/>
    <cellStyle name="Input 2 2 3 3 4 4" xfId="6785"/>
    <cellStyle name="Input 2 2 3 3 4 4 2" xfId="23729"/>
    <cellStyle name="Input 2 2 3 3 4 5" xfId="4697"/>
    <cellStyle name="Input 2 2 3 3 5" xfId="640"/>
    <cellStyle name="Input 2 2 3 3 5 2" xfId="8061"/>
    <cellStyle name="Input 2 2 3 3 5 2 2" xfId="10675"/>
    <cellStyle name="Input 2 2 3 3 5 2 2 2" xfId="16937"/>
    <cellStyle name="Input 2 2 3 3 5 2 2 2 2" xfId="30353"/>
    <cellStyle name="Input 2 2 3 3 5 2 2 3" xfId="21682"/>
    <cellStyle name="Input 2 2 3 3 5 2 3" xfId="14665"/>
    <cellStyle name="Input 2 2 3 3 5 2 3 2" xfId="28987"/>
    <cellStyle name="Input 2 2 3 3 5 2 4" xfId="20310"/>
    <cellStyle name="Input 2 2 3 3 5 3" xfId="12924"/>
    <cellStyle name="Input 2 2 3 3 5 3 2" xfId="27246"/>
    <cellStyle name="Input 2 2 3 3 5 4" xfId="18569"/>
    <cellStyle name="Input 2 2 3 3 6" xfId="5548"/>
    <cellStyle name="Input 2 2 3 3 6 2" xfId="12099"/>
    <cellStyle name="Input 2 2 3 3 6 2 2" xfId="26421"/>
    <cellStyle name="Input 2 2 3 3 6 3" xfId="17744"/>
    <cellStyle name="Input 2 2 3 3 7" xfId="3737"/>
    <cellStyle name="Input 2 2 3 3 7 2" xfId="22555"/>
    <cellStyle name="Input 2 2 3 3 8" xfId="4903"/>
    <cellStyle name="Input 2 2 3 4" xfId="641"/>
    <cellStyle name="Input 2 2 3 4 2" xfId="642"/>
    <cellStyle name="Input 2 2 3 4 2 2" xfId="643"/>
    <cellStyle name="Input 2 2 3 4 2 2 2" xfId="5485"/>
    <cellStyle name="Input 2 2 3 4 2 2 2 2" xfId="12036"/>
    <cellStyle name="Input 2 2 3 4 2 2 2 2 2" xfId="26358"/>
    <cellStyle name="Input 2 2 3 4 2 2 2 3" xfId="17681"/>
    <cellStyle name="Input 2 2 3 4 2 2 3" xfId="7607"/>
    <cellStyle name="Input 2 2 3 4 2 2 3 2" xfId="10221"/>
    <cellStyle name="Input 2 2 3 4 2 2 3 2 2" xfId="16483"/>
    <cellStyle name="Input 2 2 3 4 2 2 3 2 2 2" xfId="29899"/>
    <cellStyle name="Input 2 2 3 4 2 2 3 2 3" xfId="21228"/>
    <cellStyle name="Input 2 2 3 4 2 2 3 3" xfId="14211"/>
    <cellStyle name="Input 2 2 3 4 2 2 3 3 2" xfId="28533"/>
    <cellStyle name="Input 2 2 3 4 2 2 3 4" xfId="19856"/>
    <cellStyle name="Input 2 2 3 4 2 2 4" xfId="6266"/>
    <cellStyle name="Input 2 2 3 4 2 2 4 2" xfId="23483"/>
    <cellStyle name="Input 2 2 3 4 2 2 5" xfId="17071"/>
    <cellStyle name="Input 2 2 3 4 2 3" xfId="644"/>
    <cellStyle name="Input 2 2 3 4 2 3 2" xfId="7422"/>
    <cellStyle name="Input 2 2 3 4 2 3 2 2" xfId="10036"/>
    <cellStyle name="Input 2 2 3 4 2 3 2 2 2" xfId="16298"/>
    <cellStyle name="Input 2 2 3 4 2 3 2 2 2 2" xfId="29714"/>
    <cellStyle name="Input 2 2 3 4 2 3 2 2 3" xfId="21043"/>
    <cellStyle name="Input 2 2 3 4 2 3 2 3" xfId="14026"/>
    <cellStyle name="Input 2 2 3 4 2 3 2 3 2" xfId="28348"/>
    <cellStyle name="Input 2 2 3 4 2 3 2 4" xfId="19671"/>
    <cellStyle name="Input 2 2 3 4 2 3 3" xfId="13193"/>
    <cellStyle name="Input 2 2 3 4 2 3 3 2" xfId="27515"/>
    <cellStyle name="Input 2 2 3 4 2 3 4" xfId="18838"/>
    <cellStyle name="Input 2 2 3 4 2 4" xfId="5630"/>
    <cellStyle name="Input 2 2 3 4 2 4 2" xfId="12183"/>
    <cellStyle name="Input 2 2 3 4 2 4 2 2" xfId="26505"/>
    <cellStyle name="Input 2 2 3 4 2 4 3" xfId="17828"/>
    <cellStyle name="Input 2 2 3 4 2 5" xfId="4984"/>
    <cellStyle name="Input 2 2 3 4 2 5 2" xfId="23294"/>
    <cellStyle name="Input 2 2 3 4 2 6" xfId="15092"/>
    <cellStyle name="Input 2 2 3 4 3" xfId="645"/>
    <cellStyle name="Input 2 2 3 4 3 2" xfId="646"/>
    <cellStyle name="Input 2 2 3 4 3 2 2" xfId="6097"/>
    <cellStyle name="Input 2 2 3 4 3 2 2 2" xfId="12664"/>
    <cellStyle name="Input 2 2 3 4 3 2 2 2 2" xfId="26986"/>
    <cellStyle name="Input 2 2 3 4 3 2 2 3" xfId="18309"/>
    <cellStyle name="Input 2 2 3 4 3 2 3" xfId="7223"/>
    <cellStyle name="Input 2 2 3 4 3 2 3 2" xfId="9837"/>
    <cellStyle name="Input 2 2 3 4 3 2 3 2 2" xfId="16099"/>
    <cellStyle name="Input 2 2 3 4 3 2 3 2 2 2" xfId="29515"/>
    <cellStyle name="Input 2 2 3 4 3 2 3 2 3" xfId="20844"/>
    <cellStyle name="Input 2 2 3 4 3 2 3 3" xfId="13827"/>
    <cellStyle name="Input 2 2 3 4 3 2 3 3 2" xfId="28149"/>
    <cellStyle name="Input 2 2 3 4 3 2 3 4" xfId="19472"/>
    <cellStyle name="Input 2 2 3 4 3 2 4" xfId="3917"/>
    <cellStyle name="Input 2 2 3 4 3 2 4 2" xfId="22645"/>
    <cellStyle name="Input 2 2 3 4 3 2 5" xfId="15000"/>
    <cellStyle name="Input 2 2 3 4 3 3" xfId="647"/>
    <cellStyle name="Input 2 2 3 4 3 3 2" xfId="7267"/>
    <cellStyle name="Input 2 2 3 4 3 3 2 2" xfId="9881"/>
    <cellStyle name="Input 2 2 3 4 3 3 2 2 2" xfId="16143"/>
    <cellStyle name="Input 2 2 3 4 3 3 2 2 2 2" xfId="29559"/>
    <cellStyle name="Input 2 2 3 4 3 3 2 2 3" xfId="20888"/>
    <cellStyle name="Input 2 2 3 4 3 3 2 3" xfId="13871"/>
    <cellStyle name="Input 2 2 3 4 3 3 2 3 2" xfId="28193"/>
    <cellStyle name="Input 2 2 3 4 3 3 2 4" xfId="19516"/>
    <cellStyle name="Input 2 2 3 4 3 3 3" xfId="13077"/>
    <cellStyle name="Input 2 2 3 4 3 3 3 2" xfId="27399"/>
    <cellStyle name="Input 2 2 3 4 3 3 4" xfId="18722"/>
    <cellStyle name="Input 2 2 3 4 3 4" xfId="5425"/>
    <cellStyle name="Input 2 2 3 4 3 4 2" xfId="11976"/>
    <cellStyle name="Input 2 2 3 4 3 4 2 2" xfId="26298"/>
    <cellStyle name="Input 2 2 3 4 3 4 3" xfId="17621"/>
    <cellStyle name="Input 2 2 3 4 3 5" xfId="5005"/>
    <cellStyle name="Input 2 2 3 4 3 5 2" xfId="23305"/>
    <cellStyle name="Input 2 2 3 4 3 6" xfId="4925"/>
    <cellStyle name="Input 2 2 3 4 4" xfId="648"/>
    <cellStyle name="Input 2 2 3 4 4 2" xfId="6017"/>
    <cellStyle name="Input 2 2 3 4 4 2 2" xfId="12577"/>
    <cellStyle name="Input 2 2 3 4 4 2 2 2" xfId="26899"/>
    <cellStyle name="Input 2 2 3 4 4 2 3" xfId="18222"/>
    <cellStyle name="Input 2 2 3 4 4 3" xfId="7390"/>
    <cellStyle name="Input 2 2 3 4 4 3 2" xfId="10004"/>
    <cellStyle name="Input 2 2 3 4 4 3 2 2" xfId="16266"/>
    <cellStyle name="Input 2 2 3 4 4 3 2 2 2" xfId="29682"/>
    <cellStyle name="Input 2 2 3 4 4 3 2 3" xfId="21011"/>
    <cellStyle name="Input 2 2 3 4 4 3 3" xfId="13994"/>
    <cellStyle name="Input 2 2 3 4 4 3 3 2" xfId="28316"/>
    <cellStyle name="Input 2 2 3 4 4 3 4" xfId="19639"/>
    <cellStyle name="Input 2 2 3 4 4 4" xfId="2790"/>
    <cellStyle name="Input 2 2 3 4 4 4 2" xfId="22358"/>
    <cellStyle name="Input 2 2 3 4 4 5" xfId="5025"/>
    <cellStyle name="Input 2 2 3 4 5" xfId="649"/>
    <cellStyle name="Input 2 2 3 4 5 2" xfId="7664"/>
    <cellStyle name="Input 2 2 3 4 5 2 2" xfId="10278"/>
    <cellStyle name="Input 2 2 3 4 5 2 2 2" xfId="16540"/>
    <cellStyle name="Input 2 2 3 4 5 2 2 2 2" xfId="29956"/>
    <cellStyle name="Input 2 2 3 4 5 2 2 3" xfId="21285"/>
    <cellStyle name="Input 2 2 3 4 5 2 3" xfId="14268"/>
    <cellStyle name="Input 2 2 3 4 5 2 3 2" xfId="28590"/>
    <cellStyle name="Input 2 2 3 4 5 2 4" xfId="19913"/>
    <cellStyle name="Input 2 2 3 4 5 3" xfId="11926"/>
    <cellStyle name="Input 2 2 3 4 5 3 2" xfId="26248"/>
    <cellStyle name="Input 2 2 3 4 5 4" xfId="17571"/>
    <cellStyle name="Input 2 2 3 4 6" xfId="4994"/>
    <cellStyle name="Input 2 2 3 4 6 2" xfId="11537"/>
    <cellStyle name="Input 2 2 3 4 6 2 2" xfId="25859"/>
    <cellStyle name="Input 2 2 3 4 6 3" xfId="17097"/>
    <cellStyle name="Input 2 2 3 4 7" xfId="4659"/>
    <cellStyle name="Input 2 2 3 4 7 2" xfId="23100"/>
    <cellStyle name="Input 2 2 3 4 8" xfId="15183"/>
    <cellStyle name="Input 2 2 3 5" xfId="650"/>
    <cellStyle name="Input 2 2 3 5 2" xfId="651"/>
    <cellStyle name="Input 2 2 3 5 2 2" xfId="652"/>
    <cellStyle name="Input 2 2 3 5 2 2 2" xfId="5701"/>
    <cellStyle name="Input 2 2 3 5 2 2 2 2" xfId="12254"/>
    <cellStyle name="Input 2 2 3 5 2 2 2 2 2" xfId="26576"/>
    <cellStyle name="Input 2 2 3 5 2 2 2 3" xfId="17899"/>
    <cellStyle name="Input 2 2 3 5 2 2 3" xfId="4883"/>
    <cellStyle name="Input 2 2 3 5 2 2 3 2" xfId="9509"/>
    <cellStyle name="Input 2 2 3 5 2 2 3 2 2" xfId="15771"/>
    <cellStyle name="Input 2 2 3 5 2 2 3 2 2 2" xfId="29187"/>
    <cellStyle name="Input 2 2 3 5 2 2 3 2 3" xfId="20516"/>
    <cellStyle name="Input 2 2 3 5 2 2 3 3" xfId="11418"/>
    <cellStyle name="Input 2 2 3 5 2 2 3 3 2" xfId="25740"/>
    <cellStyle name="Input 2 2 3 5 2 2 3 4" xfId="14978"/>
    <cellStyle name="Input 2 2 3 5 2 2 4" xfId="3915"/>
    <cellStyle name="Input 2 2 3 5 2 2 4 2" xfId="22644"/>
    <cellStyle name="Input 2 2 3 5 2 2 5" xfId="14958"/>
    <cellStyle name="Input 2 2 3 5 2 3" xfId="653"/>
    <cellStyle name="Input 2 2 3 5 2 3 2" xfId="7045"/>
    <cellStyle name="Input 2 2 3 5 2 3 2 2" xfId="9659"/>
    <cellStyle name="Input 2 2 3 5 2 3 2 2 2" xfId="15921"/>
    <cellStyle name="Input 2 2 3 5 2 3 2 2 2 2" xfId="29337"/>
    <cellStyle name="Input 2 2 3 5 2 3 2 2 3" xfId="20666"/>
    <cellStyle name="Input 2 2 3 5 2 3 2 3" xfId="13649"/>
    <cellStyle name="Input 2 2 3 5 2 3 2 3 2" xfId="27971"/>
    <cellStyle name="Input 2 2 3 5 2 3 2 4" xfId="19294"/>
    <cellStyle name="Input 2 2 3 5 2 3 3" xfId="11609"/>
    <cellStyle name="Input 2 2 3 5 2 3 3 2" xfId="25931"/>
    <cellStyle name="Input 2 2 3 5 2 3 4" xfId="6471"/>
    <cellStyle name="Input 2 2 3 5 2 4" xfId="5006"/>
    <cellStyle name="Input 2 2 3 5 2 4 2" xfId="11551"/>
    <cellStyle name="Input 2 2 3 5 2 4 2 2" xfId="25873"/>
    <cellStyle name="Input 2 2 3 5 2 4 3" xfId="15319"/>
    <cellStyle name="Input 2 2 3 5 2 5" xfId="4440"/>
    <cellStyle name="Input 2 2 3 5 2 5 2" xfId="22954"/>
    <cellStyle name="Input 2 2 3 5 2 6" xfId="14846"/>
    <cellStyle name="Input 2 2 3 5 3" xfId="654"/>
    <cellStyle name="Input 2 2 3 5 3 2" xfId="5985"/>
    <cellStyle name="Input 2 2 3 5 3 2 2" xfId="12543"/>
    <cellStyle name="Input 2 2 3 5 3 2 2 2" xfId="26865"/>
    <cellStyle name="Input 2 2 3 5 3 2 3" xfId="18188"/>
    <cellStyle name="Input 2 2 3 5 3 3" xfId="7076"/>
    <cellStyle name="Input 2 2 3 5 3 3 2" xfId="9690"/>
    <cellStyle name="Input 2 2 3 5 3 3 2 2" xfId="15952"/>
    <cellStyle name="Input 2 2 3 5 3 3 2 2 2" xfId="29368"/>
    <cellStyle name="Input 2 2 3 5 3 3 2 3" xfId="20697"/>
    <cellStyle name="Input 2 2 3 5 3 3 3" xfId="13680"/>
    <cellStyle name="Input 2 2 3 5 3 3 3 2" xfId="28002"/>
    <cellStyle name="Input 2 2 3 5 3 3 4" xfId="19325"/>
    <cellStyle name="Input 2 2 3 5 3 4" xfId="6712"/>
    <cellStyle name="Input 2 2 3 5 3 4 2" xfId="23667"/>
    <cellStyle name="Input 2 2 3 5 3 5" xfId="15420"/>
    <cellStyle name="Input 2 2 3 5 4" xfId="655"/>
    <cellStyle name="Input 2 2 3 5 4 2" xfId="7512"/>
    <cellStyle name="Input 2 2 3 5 4 2 2" xfId="10126"/>
    <cellStyle name="Input 2 2 3 5 4 2 2 2" xfId="16388"/>
    <cellStyle name="Input 2 2 3 5 4 2 2 2 2" xfId="29804"/>
    <cellStyle name="Input 2 2 3 5 4 2 2 3" xfId="21133"/>
    <cellStyle name="Input 2 2 3 5 4 2 3" xfId="14116"/>
    <cellStyle name="Input 2 2 3 5 4 2 3 2" xfId="28438"/>
    <cellStyle name="Input 2 2 3 5 4 2 4" xfId="19761"/>
    <cellStyle name="Input 2 2 3 5 4 3" xfId="12850"/>
    <cellStyle name="Input 2 2 3 5 4 3 2" xfId="27172"/>
    <cellStyle name="Input 2 2 3 5 4 4" xfId="18495"/>
    <cellStyle name="Input 2 2 3 5 5" xfId="5439"/>
    <cellStyle name="Input 2 2 3 5 5 2" xfId="11990"/>
    <cellStyle name="Input 2 2 3 5 5 2 2" xfId="26312"/>
    <cellStyle name="Input 2 2 3 5 5 3" xfId="17635"/>
    <cellStyle name="Input 2 2 3 5 6" xfId="4801"/>
    <cellStyle name="Input 2 2 3 5 6 2" xfId="23194"/>
    <cellStyle name="Input 2 2 3 5 7" xfId="14903"/>
    <cellStyle name="Input 2 2 3 6" xfId="656"/>
    <cellStyle name="Input 2 2 3 6 2" xfId="657"/>
    <cellStyle name="Input 2 2 3 6 2 2" xfId="6948"/>
    <cellStyle name="Input 2 2 3 6 2 2 2" xfId="13552"/>
    <cellStyle name="Input 2 2 3 6 2 2 2 2" xfId="27874"/>
    <cellStyle name="Input 2 2 3 6 2 2 3" xfId="19197"/>
    <cellStyle name="Input 2 2 3 6 2 3" xfId="7369"/>
    <cellStyle name="Input 2 2 3 6 2 3 2" xfId="9983"/>
    <cellStyle name="Input 2 2 3 6 2 3 2 2" xfId="16245"/>
    <cellStyle name="Input 2 2 3 6 2 3 2 2 2" xfId="29661"/>
    <cellStyle name="Input 2 2 3 6 2 3 2 3" xfId="20990"/>
    <cellStyle name="Input 2 2 3 6 2 3 3" xfId="13973"/>
    <cellStyle name="Input 2 2 3 6 2 3 3 2" xfId="28295"/>
    <cellStyle name="Input 2 2 3 6 2 3 4" xfId="19618"/>
    <cellStyle name="Input 2 2 3 6 2 4" xfId="11442"/>
    <cellStyle name="Input 2 2 3 6 2 4 2" xfId="25764"/>
    <cellStyle name="Input 2 2 3 6 2 5" xfId="14873"/>
    <cellStyle name="Input 2 2 3 6 3" xfId="658"/>
    <cellStyle name="Input 2 2 3 6 3 2" xfId="5332"/>
    <cellStyle name="Input 2 2 3 6 3 2 2" xfId="9641"/>
    <cellStyle name="Input 2 2 3 6 3 2 2 2" xfId="15903"/>
    <cellStyle name="Input 2 2 3 6 3 2 2 2 2" xfId="29319"/>
    <cellStyle name="Input 2 2 3 6 3 2 2 3" xfId="20648"/>
    <cellStyle name="Input 2 2 3 6 3 2 3" xfId="11882"/>
    <cellStyle name="Input 2 2 3 6 3 2 3 2" xfId="26204"/>
    <cellStyle name="Input 2 2 3 6 3 2 4" xfId="17527"/>
    <cellStyle name="Input 2 2 3 6 3 3" xfId="13090"/>
    <cellStyle name="Input 2 2 3 6 3 3 2" xfId="27412"/>
    <cellStyle name="Input 2 2 3 6 3 4" xfId="18735"/>
    <cellStyle name="Input 2 2 3 6 4" xfId="5445"/>
    <cellStyle name="Input 2 2 3 6 4 2" xfId="11996"/>
    <cellStyle name="Input 2 2 3 6 4 2 2" xfId="26318"/>
    <cellStyle name="Input 2 2 3 6 4 3" xfId="17641"/>
    <cellStyle name="Input 2 2 3 6 5" xfId="6778"/>
    <cellStyle name="Input 2 2 3 6 5 2" xfId="23723"/>
    <cellStyle name="Input 2 2 3 6 6" xfId="17323"/>
    <cellStyle name="Input 2 2 3 7" xfId="659"/>
    <cellStyle name="Input 2 2 3 7 2" xfId="6488"/>
    <cellStyle name="Input 2 2 3 7 2 2" xfId="13071"/>
    <cellStyle name="Input 2 2 3 7 2 2 2" xfId="27393"/>
    <cellStyle name="Input 2 2 3 7 2 3" xfId="18716"/>
    <cellStyle name="Input 2 2 3 7 3" xfId="4789"/>
    <cellStyle name="Input 2 2 3 7 3 2" xfId="9485"/>
    <cellStyle name="Input 2 2 3 7 3 2 2" xfId="15747"/>
    <cellStyle name="Input 2 2 3 7 3 2 2 2" xfId="29163"/>
    <cellStyle name="Input 2 2 3 7 3 2 3" xfId="20492"/>
    <cellStyle name="Input 2 2 3 7 3 3" xfId="11318"/>
    <cellStyle name="Input 2 2 3 7 3 3 2" xfId="25640"/>
    <cellStyle name="Input 2 2 3 7 3 4" xfId="17087"/>
    <cellStyle name="Input 2 2 3 7 4" xfId="4175"/>
    <cellStyle name="Input 2 2 3 7 4 2" xfId="22798"/>
    <cellStyle name="Input 2 2 3 7 5" xfId="15592"/>
    <cellStyle name="Input 2 2 3 8" xfId="660"/>
    <cellStyle name="Input 2 2 3 8 2" xfId="7081"/>
    <cellStyle name="Input 2 2 3 8 2 2" xfId="9695"/>
    <cellStyle name="Input 2 2 3 8 2 2 2" xfId="15957"/>
    <cellStyle name="Input 2 2 3 8 2 2 2 2" xfId="29373"/>
    <cellStyle name="Input 2 2 3 8 2 2 3" xfId="20702"/>
    <cellStyle name="Input 2 2 3 8 2 3" xfId="13685"/>
    <cellStyle name="Input 2 2 3 8 2 3 2" xfId="28007"/>
    <cellStyle name="Input 2 2 3 8 2 4" xfId="19330"/>
    <cellStyle name="Input 2 2 3 8 3" xfId="12748"/>
    <cellStyle name="Input 2 2 3 8 3 2" xfId="27070"/>
    <cellStyle name="Input 2 2 3 8 4" xfId="18393"/>
    <cellStyle name="Input 2 2 3 9" xfId="5379"/>
    <cellStyle name="Input 2 2 3 9 2" xfId="11929"/>
    <cellStyle name="Input 2 2 3 9 2 2" xfId="26251"/>
    <cellStyle name="Input 2 2 3 9 3" xfId="17574"/>
    <cellStyle name="Input 2 2 4" xfId="661"/>
    <cellStyle name="Input 2 2 4 2" xfId="662"/>
    <cellStyle name="Input 2 2 4 2 2" xfId="663"/>
    <cellStyle name="Input 2 2 4 2 2 2" xfId="6400"/>
    <cellStyle name="Input 2 2 4 2 2 2 2" xfId="12983"/>
    <cellStyle name="Input 2 2 4 2 2 2 2 2" xfId="27305"/>
    <cellStyle name="Input 2 2 4 2 2 2 3" xfId="18628"/>
    <cellStyle name="Input 2 2 4 2 2 3" xfId="3899"/>
    <cellStyle name="Input 2 2 4 2 2 3 2" xfId="9390"/>
    <cellStyle name="Input 2 2 4 2 2 3 2 2" xfId="15652"/>
    <cellStyle name="Input 2 2 4 2 2 3 2 2 2" xfId="29068"/>
    <cellStyle name="Input 2 2 4 2 2 3 2 3" xfId="20397"/>
    <cellStyle name="Input 2 2 4 2 2 3 3" xfId="4920"/>
    <cellStyle name="Input 2 2 4 2 2 3 3 2" xfId="23263"/>
    <cellStyle name="Input 2 2 4 2 2 3 4" xfId="17251"/>
    <cellStyle name="Input 2 2 4 2 2 4" xfId="2795"/>
    <cellStyle name="Input 2 2 4 2 2 4 2" xfId="22362"/>
    <cellStyle name="Input 2 2 4 2 2 5" xfId="14744"/>
    <cellStyle name="Input 2 2 4 2 3" xfId="664"/>
    <cellStyle name="Input 2 2 4 2 3 2" xfId="4248"/>
    <cellStyle name="Input 2 2 4 2 3 2 2" xfId="9433"/>
    <cellStyle name="Input 2 2 4 2 3 2 2 2" xfId="15695"/>
    <cellStyle name="Input 2 2 4 2 3 2 2 2 2" xfId="29111"/>
    <cellStyle name="Input 2 2 4 2 3 2 2 3" xfId="20440"/>
    <cellStyle name="Input 2 2 4 2 3 2 3" xfId="5059"/>
    <cellStyle name="Input 2 2 4 2 3 2 3 2" xfId="23321"/>
    <cellStyle name="Input 2 2 4 2 3 2 4" xfId="17206"/>
    <cellStyle name="Input 2 2 4 2 3 3" xfId="13249"/>
    <cellStyle name="Input 2 2 4 2 3 3 2" xfId="27571"/>
    <cellStyle name="Input 2 2 4 2 3 4" xfId="18894"/>
    <cellStyle name="Input 2 2 4 2 4" xfId="5691"/>
    <cellStyle name="Input 2 2 4 2 4 2" xfId="12244"/>
    <cellStyle name="Input 2 2 4 2 4 2 2" xfId="26566"/>
    <cellStyle name="Input 2 2 4 2 4 3" xfId="17889"/>
    <cellStyle name="Input 2 2 4 2 5" xfId="5024"/>
    <cellStyle name="Input 2 2 4 2 5 2" xfId="23312"/>
    <cellStyle name="Input 2 2 4 2 6" xfId="17216"/>
    <cellStyle name="Input 2 2 4 3" xfId="665"/>
    <cellStyle name="Input 2 2 4 3 2" xfId="666"/>
    <cellStyle name="Input 2 2 4 3 2 2" xfId="5938"/>
    <cellStyle name="Input 2 2 4 3 2 2 2" xfId="12495"/>
    <cellStyle name="Input 2 2 4 3 2 2 2 2" xfId="26817"/>
    <cellStyle name="Input 2 2 4 3 2 2 3" xfId="18140"/>
    <cellStyle name="Input 2 2 4 3 2 3" xfId="5343"/>
    <cellStyle name="Input 2 2 4 3 2 3 2" xfId="9652"/>
    <cellStyle name="Input 2 2 4 3 2 3 2 2" xfId="15914"/>
    <cellStyle name="Input 2 2 4 3 2 3 2 2 2" xfId="29330"/>
    <cellStyle name="Input 2 2 4 3 2 3 2 3" xfId="20659"/>
    <cellStyle name="Input 2 2 4 3 2 3 3" xfId="11893"/>
    <cellStyle name="Input 2 2 4 3 2 3 3 2" xfId="26215"/>
    <cellStyle name="Input 2 2 4 3 2 3 4" xfId="17538"/>
    <cellStyle name="Input 2 2 4 3 2 4" xfId="6247"/>
    <cellStyle name="Input 2 2 4 3 2 4 2" xfId="23471"/>
    <cellStyle name="Input 2 2 4 3 2 5" xfId="14763"/>
    <cellStyle name="Input 2 2 4 3 3" xfId="667"/>
    <cellStyle name="Input 2 2 4 3 3 2" xfId="7997"/>
    <cellStyle name="Input 2 2 4 3 3 2 2" xfId="10611"/>
    <cellStyle name="Input 2 2 4 3 3 2 2 2" xfId="16873"/>
    <cellStyle name="Input 2 2 4 3 3 2 2 2 2" xfId="30289"/>
    <cellStyle name="Input 2 2 4 3 3 2 2 3" xfId="21618"/>
    <cellStyle name="Input 2 2 4 3 3 2 3" xfId="14601"/>
    <cellStyle name="Input 2 2 4 3 3 2 3 2" xfId="28923"/>
    <cellStyle name="Input 2 2 4 3 3 2 4" xfId="20246"/>
    <cellStyle name="Input 2 2 4 3 3 3" xfId="13378"/>
    <cellStyle name="Input 2 2 4 3 3 3 2" xfId="27700"/>
    <cellStyle name="Input 2 2 4 3 3 4" xfId="19023"/>
    <cellStyle name="Input 2 2 4 3 4" xfId="5832"/>
    <cellStyle name="Input 2 2 4 3 4 2" xfId="12385"/>
    <cellStyle name="Input 2 2 4 3 4 2 2" xfId="26707"/>
    <cellStyle name="Input 2 2 4 3 4 3" xfId="18030"/>
    <cellStyle name="Input 2 2 4 3 5" xfId="4748"/>
    <cellStyle name="Input 2 2 4 3 5 2" xfId="23168"/>
    <cellStyle name="Input 2 2 4 3 6" xfId="14937"/>
    <cellStyle name="Input 2 2 4 4" xfId="668"/>
    <cellStyle name="Input 2 2 4 4 2" xfId="7030"/>
    <cellStyle name="Input 2 2 4 4 2 2" xfId="13634"/>
    <cellStyle name="Input 2 2 4 4 2 2 2" xfId="27956"/>
    <cellStyle name="Input 2 2 4 4 2 3" xfId="19279"/>
    <cellStyle name="Input 2 2 4 4 3" xfId="8008"/>
    <cellStyle name="Input 2 2 4 4 3 2" xfId="10622"/>
    <cellStyle name="Input 2 2 4 4 3 2 2" xfId="16884"/>
    <cellStyle name="Input 2 2 4 4 3 2 2 2" xfId="30300"/>
    <cellStyle name="Input 2 2 4 4 3 2 3" xfId="21629"/>
    <cellStyle name="Input 2 2 4 4 3 3" xfId="14612"/>
    <cellStyle name="Input 2 2 4 4 3 3 2" xfId="28934"/>
    <cellStyle name="Input 2 2 4 4 3 4" xfId="20257"/>
    <cellStyle name="Input 2 2 4 4 4" xfId="11570"/>
    <cellStyle name="Input 2 2 4 4 4 2" xfId="25892"/>
    <cellStyle name="Input 2 2 4 4 5" xfId="16970"/>
    <cellStyle name="Input 2 2 4 5" xfId="669"/>
    <cellStyle name="Input 2 2 4 5 2" xfId="7834"/>
    <cellStyle name="Input 2 2 4 5 2 2" xfId="10448"/>
    <cellStyle name="Input 2 2 4 5 2 2 2" xfId="16710"/>
    <cellStyle name="Input 2 2 4 5 2 2 2 2" xfId="30126"/>
    <cellStyle name="Input 2 2 4 5 2 2 3" xfId="21455"/>
    <cellStyle name="Input 2 2 4 5 2 3" xfId="14438"/>
    <cellStyle name="Input 2 2 4 5 2 3 2" xfId="28760"/>
    <cellStyle name="Input 2 2 4 5 2 4" xfId="20083"/>
    <cellStyle name="Input 2 2 4 5 3" xfId="12735"/>
    <cellStyle name="Input 2 2 4 5 3 2" xfId="27057"/>
    <cellStyle name="Input 2 2 4 5 4" xfId="18380"/>
    <cellStyle name="Input 2 2 4 6" xfId="5151"/>
    <cellStyle name="Input 2 2 4 6 2" xfId="11700"/>
    <cellStyle name="Input 2 2 4 6 2 2" xfId="26022"/>
    <cellStyle name="Input 2 2 4 6 3" xfId="4623"/>
    <cellStyle name="Input 2 2 4 7" xfId="4571"/>
    <cellStyle name="Input 2 2 4 7 2" xfId="23038"/>
    <cellStyle name="Input 2 2 4 8" xfId="17266"/>
    <cellStyle name="Input 2 2 5" xfId="670"/>
    <cellStyle name="Input 2 2 5 2" xfId="671"/>
    <cellStyle name="Input 2 2 5 2 2" xfId="672"/>
    <cellStyle name="Input 2 2 5 2 2 2" xfId="6530"/>
    <cellStyle name="Input 2 2 5 2 2 2 2" xfId="13118"/>
    <cellStyle name="Input 2 2 5 2 2 2 2 2" xfId="27440"/>
    <cellStyle name="Input 2 2 5 2 2 2 3" xfId="18763"/>
    <cellStyle name="Input 2 2 5 2 2 3" xfId="7920"/>
    <cellStyle name="Input 2 2 5 2 2 3 2" xfId="10534"/>
    <cellStyle name="Input 2 2 5 2 2 3 2 2" xfId="16796"/>
    <cellStyle name="Input 2 2 5 2 2 3 2 2 2" xfId="30212"/>
    <cellStyle name="Input 2 2 5 2 2 3 2 3" xfId="21541"/>
    <cellStyle name="Input 2 2 5 2 2 3 3" xfId="14524"/>
    <cellStyle name="Input 2 2 5 2 2 3 3 2" xfId="28846"/>
    <cellStyle name="Input 2 2 5 2 2 3 4" xfId="20169"/>
    <cellStyle name="Input 2 2 5 2 2 4" xfId="4935"/>
    <cellStyle name="Input 2 2 5 2 2 4 2" xfId="23270"/>
    <cellStyle name="Input 2 2 5 2 2 5" xfId="14712"/>
    <cellStyle name="Input 2 2 5 2 3" xfId="673"/>
    <cellStyle name="Input 2 2 5 2 3 2" xfId="4944"/>
    <cellStyle name="Input 2 2 5 2 3 2 2" xfId="9522"/>
    <cellStyle name="Input 2 2 5 2 3 2 2 2" xfId="15784"/>
    <cellStyle name="Input 2 2 5 2 3 2 2 2 2" xfId="29200"/>
    <cellStyle name="Input 2 2 5 2 3 2 2 3" xfId="20529"/>
    <cellStyle name="Input 2 2 5 2 3 2 3" xfId="11483"/>
    <cellStyle name="Input 2 2 5 2 3 2 3 2" xfId="25805"/>
    <cellStyle name="Input 2 2 5 2 3 2 4" xfId="14933"/>
    <cellStyle name="Input 2 2 5 2 3 3" xfId="12492"/>
    <cellStyle name="Input 2 2 5 2 3 3 2" xfId="26814"/>
    <cellStyle name="Input 2 2 5 2 3 4" xfId="18137"/>
    <cellStyle name="Input 2 2 5 2 4" xfId="5116"/>
    <cellStyle name="Input 2 2 5 2 4 2" xfId="11664"/>
    <cellStyle name="Input 2 2 5 2 4 2 2" xfId="25986"/>
    <cellStyle name="Input 2 2 5 2 4 3" xfId="16993"/>
    <cellStyle name="Input 2 2 5 2 5" xfId="4692"/>
    <cellStyle name="Input 2 2 5 2 5 2" xfId="23128"/>
    <cellStyle name="Input 2 2 5 2 6" xfId="15112"/>
    <cellStyle name="Input 2 2 5 3" xfId="674"/>
    <cellStyle name="Input 2 2 5 3 2" xfId="675"/>
    <cellStyle name="Input 2 2 5 3 2 2" xfId="5699"/>
    <cellStyle name="Input 2 2 5 3 2 2 2" xfId="12252"/>
    <cellStyle name="Input 2 2 5 3 2 2 2 2" xfId="26574"/>
    <cellStyle name="Input 2 2 5 3 2 2 3" xfId="17897"/>
    <cellStyle name="Input 2 2 5 3 2 3" xfId="7374"/>
    <cellStyle name="Input 2 2 5 3 2 3 2" xfId="9988"/>
    <cellStyle name="Input 2 2 5 3 2 3 2 2" xfId="16250"/>
    <cellStyle name="Input 2 2 5 3 2 3 2 2 2" xfId="29666"/>
    <cellStyle name="Input 2 2 5 3 2 3 2 3" xfId="20995"/>
    <cellStyle name="Input 2 2 5 3 2 3 3" xfId="13978"/>
    <cellStyle name="Input 2 2 5 3 2 3 3 2" xfId="28300"/>
    <cellStyle name="Input 2 2 5 3 2 3 4" xfId="19623"/>
    <cellStyle name="Input 2 2 5 3 2 4" xfId="4058"/>
    <cellStyle name="Input 2 2 5 3 2 4 2" xfId="22733"/>
    <cellStyle name="Input 2 2 5 3 2 5" xfId="14886"/>
    <cellStyle name="Input 2 2 5 3 3" xfId="676"/>
    <cellStyle name="Input 2 2 5 3 3 2" xfId="7163"/>
    <cellStyle name="Input 2 2 5 3 3 2 2" xfId="9777"/>
    <cellStyle name="Input 2 2 5 3 3 2 2 2" xfId="16039"/>
    <cellStyle name="Input 2 2 5 3 3 2 2 2 2" xfId="29455"/>
    <cellStyle name="Input 2 2 5 3 3 2 2 3" xfId="20784"/>
    <cellStyle name="Input 2 2 5 3 3 2 3" xfId="13767"/>
    <cellStyle name="Input 2 2 5 3 3 2 3 2" xfId="28089"/>
    <cellStyle name="Input 2 2 5 3 3 2 4" xfId="19412"/>
    <cellStyle name="Input 2 2 5 3 3 3" xfId="12472"/>
    <cellStyle name="Input 2 2 5 3 3 3 2" xfId="26794"/>
    <cellStyle name="Input 2 2 5 3 3 4" xfId="18117"/>
    <cellStyle name="Input 2 2 5 3 4" xfId="5014"/>
    <cellStyle name="Input 2 2 5 3 4 2" xfId="11560"/>
    <cellStyle name="Input 2 2 5 3 4 2 2" xfId="25882"/>
    <cellStyle name="Input 2 2 5 3 4 3" xfId="5914"/>
    <cellStyle name="Input 2 2 5 3 5" xfId="4225"/>
    <cellStyle name="Input 2 2 5 3 5 2" xfId="22837"/>
    <cellStyle name="Input 2 2 5 3 6" xfId="15536"/>
    <cellStyle name="Input 2 2 5 4" xfId="677"/>
    <cellStyle name="Input 2 2 5 4 2" xfId="6273"/>
    <cellStyle name="Input 2 2 5 4 2 2" xfId="12854"/>
    <cellStyle name="Input 2 2 5 4 2 2 2" xfId="27176"/>
    <cellStyle name="Input 2 2 5 4 2 3" xfId="18499"/>
    <cellStyle name="Input 2 2 5 4 3" xfId="7451"/>
    <cellStyle name="Input 2 2 5 4 3 2" xfId="10065"/>
    <cellStyle name="Input 2 2 5 4 3 2 2" xfId="16327"/>
    <cellStyle name="Input 2 2 5 4 3 2 2 2" xfId="29743"/>
    <cellStyle name="Input 2 2 5 4 3 2 3" xfId="21072"/>
    <cellStyle name="Input 2 2 5 4 3 3" xfId="14055"/>
    <cellStyle name="Input 2 2 5 4 3 3 2" xfId="28377"/>
    <cellStyle name="Input 2 2 5 4 3 4" xfId="19700"/>
    <cellStyle name="Input 2 2 5 4 4" xfId="6608"/>
    <cellStyle name="Input 2 2 5 4 4 2" xfId="23600"/>
    <cellStyle name="Input 2 2 5 4 5" xfId="4380"/>
    <cellStyle name="Input 2 2 5 5" xfId="678"/>
    <cellStyle name="Input 2 2 5 5 2" xfId="7059"/>
    <cellStyle name="Input 2 2 5 5 2 2" xfId="9673"/>
    <cellStyle name="Input 2 2 5 5 2 2 2" xfId="15935"/>
    <cellStyle name="Input 2 2 5 5 2 2 2 2" xfId="29351"/>
    <cellStyle name="Input 2 2 5 5 2 2 3" xfId="20680"/>
    <cellStyle name="Input 2 2 5 5 2 3" xfId="13663"/>
    <cellStyle name="Input 2 2 5 5 2 3 2" xfId="27985"/>
    <cellStyle name="Input 2 2 5 5 2 4" xfId="19308"/>
    <cellStyle name="Input 2 2 5 5 3" xfId="12122"/>
    <cellStyle name="Input 2 2 5 5 3 2" xfId="26444"/>
    <cellStyle name="Input 2 2 5 5 4" xfId="17767"/>
    <cellStyle name="Input 2 2 5 6" xfId="5241"/>
    <cellStyle name="Input 2 2 5 6 2" xfId="11791"/>
    <cellStyle name="Input 2 2 5 6 2 2" xfId="26113"/>
    <cellStyle name="Input 2 2 5 6 3" xfId="17436"/>
    <cellStyle name="Input 2 2 5 7" xfId="4475"/>
    <cellStyle name="Input 2 2 5 7 2" xfId="22973"/>
    <cellStyle name="Input 2 2 5 8" xfId="4913"/>
    <cellStyle name="Input 2 2 6" xfId="679"/>
    <cellStyle name="Input 2 2 6 2" xfId="680"/>
    <cellStyle name="Input 2 2 6 2 2" xfId="681"/>
    <cellStyle name="Input 2 2 6 2 2 2" xfId="7016"/>
    <cellStyle name="Input 2 2 6 2 2 2 2" xfId="13620"/>
    <cellStyle name="Input 2 2 6 2 2 2 2 2" xfId="27942"/>
    <cellStyle name="Input 2 2 6 2 2 2 3" xfId="19265"/>
    <cellStyle name="Input 2 2 6 2 2 3" xfId="7878"/>
    <cellStyle name="Input 2 2 6 2 2 3 2" xfId="10492"/>
    <cellStyle name="Input 2 2 6 2 2 3 2 2" xfId="16754"/>
    <cellStyle name="Input 2 2 6 2 2 3 2 2 2" xfId="30170"/>
    <cellStyle name="Input 2 2 6 2 2 3 2 3" xfId="21499"/>
    <cellStyle name="Input 2 2 6 2 2 3 3" xfId="14482"/>
    <cellStyle name="Input 2 2 6 2 2 3 3 2" xfId="28804"/>
    <cellStyle name="Input 2 2 6 2 2 3 4" xfId="20127"/>
    <cellStyle name="Input 2 2 6 2 2 4" xfId="11545"/>
    <cellStyle name="Input 2 2 6 2 2 4 2" xfId="25867"/>
    <cellStyle name="Input 2 2 6 2 2 5" xfId="17057"/>
    <cellStyle name="Input 2 2 6 2 3" xfId="682"/>
    <cellStyle name="Input 2 2 6 2 3 2" xfId="7287"/>
    <cellStyle name="Input 2 2 6 2 3 2 2" xfId="9901"/>
    <cellStyle name="Input 2 2 6 2 3 2 2 2" xfId="16163"/>
    <cellStyle name="Input 2 2 6 2 3 2 2 2 2" xfId="29579"/>
    <cellStyle name="Input 2 2 6 2 3 2 2 3" xfId="20908"/>
    <cellStyle name="Input 2 2 6 2 3 2 3" xfId="13891"/>
    <cellStyle name="Input 2 2 6 2 3 2 3 2" xfId="28213"/>
    <cellStyle name="Input 2 2 6 2 3 2 4" xfId="19536"/>
    <cellStyle name="Input 2 2 6 2 3 3" xfId="13197"/>
    <cellStyle name="Input 2 2 6 2 3 3 2" xfId="27519"/>
    <cellStyle name="Input 2 2 6 2 3 4" xfId="18842"/>
    <cellStyle name="Input 2 2 6 2 4" xfId="5634"/>
    <cellStyle name="Input 2 2 6 2 4 2" xfId="12187"/>
    <cellStyle name="Input 2 2 6 2 4 2 2" xfId="26509"/>
    <cellStyle name="Input 2 2 6 2 4 3" xfId="17832"/>
    <cellStyle name="Input 2 2 6 2 5" xfId="4891"/>
    <cellStyle name="Input 2 2 6 2 5 2" xfId="23249"/>
    <cellStyle name="Input 2 2 6 2 6" xfId="15160"/>
    <cellStyle name="Input 2 2 6 3" xfId="683"/>
    <cellStyle name="Input 2 2 6 3 2" xfId="684"/>
    <cellStyle name="Input 2 2 6 3 2 2" xfId="6585"/>
    <cellStyle name="Input 2 2 6 3 2 2 2" xfId="13174"/>
    <cellStyle name="Input 2 2 6 3 2 2 2 2" xfId="27496"/>
    <cellStyle name="Input 2 2 6 3 2 2 3" xfId="18819"/>
    <cellStyle name="Input 2 2 6 3 2 3" xfId="7829"/>
    <cellStyle name="Input 2 2 6 3 2 3 2" xfId="10443"/>
    <cellStyle name="Input 2 2 6 3 2 3 2 2" xfId="16705"/>
    <cellStyle name="Input 2 2 6 3 2 3 2 2 2" xfId="30121"/>
    <cellStyle name="Input 2 2 6 3 2 3 2 3" xfId="21450"/>
    <cellStyle name="Input 2 2 6 3 2 3 3" xfId="14433"/>
    <cellStyle name="Input 2 2 6 3 2 3 3 2" xfId="28755"/>
    <cellStyle name="Input 2 2 6 3 2 3 4" xfId="20078"/>
    <cellStyle name="Input 2 2 6 3 2 4" xfId="4672"/>
    <cellStyle name="Input 2 2 6 3 2 4 2" xfId="23111"/>
    <cellStyle name="Input 2 2 6 3 2 5" xfId="17283"/>
    <cellStyle name="Input 2 2 6 3 3" xfId="685"/>
    <cellStyle name="Input 2 2 6 3 3 2" xfId="4854"/>
    <cellStyle name="Input 2 2 6 3 3 2 2" xfId="9504"/>
    <cellStyle name="Input 2 2 6 3 3 2 2 2" xfId="15766"/>
    <cellStyle name="Input 2 2 6 3 3 2 2 2 2" xfId="29182"/>
    <cellStyle name="Input 2 2 6 3 3 2 2 3" xfId="20511"/>
    <cellStyle name="Input 2 2 6 3 3 2 3" xfId="11388"/>
    <cellStyle name="Input 2 2 6 3 3 2 3 2" xfId="25710"/>
    <cellStyle name="Input 2 2 6 3 3 2 4" xfId="14695"/>
    <cellStyle name="Input 2 2 6 3 3 3" xfId="12665"/>
    <cellStyle name="Input 2 2 6 3 3 3 2" xfId="26987"/>
    <cellStyle name="Input 2 2 6 3 3 4" xfId="18310"/>
    <cellStyle name="Input 2 2 6 3 4" xfId="5127"/>
    <cellStyle name="Input 2 2 6 3 4 2" xfId="11676"/>
    <cellStyle name="Input 2 2 6 3 4 2 2" xfId="25998"/>
    <cellStyle name="Input 2 2 6 3 4 3" xfId="15046"/>
    <cellStyle name="Input 2 2 6 3 5" xfId="4633"/>
    <cellStyle name="Input 2 2 6 3 5 2" xfId="23078"/>
    <cellStyle name="Input 2 2 6 3 6" xfId="4617"/>
    <cellStyle name="Input 2 2 6 4" xfId="686"/>
    <cellStyle name="Input 2 2 6 4 2" xfId="6868"/>
    <cellStyle name="Input 2 2 6 4 2 2" xfId="13472"/>
    <cellStyle name="Input 2 2 6 4 2 2 2" xfId="27794"/>
    <cellStyle name="Input 2 2 6 4 2 3" xfId="19117"/>
    <cellStyle name="Input 2 2 6 4 3" xfId="4092"/>
    <cellStyle name="Input 2 2 6 4 3 2" xfId="9423"/>
    <cellStyle name="Input 2 2 6 4 3 2 2" xfId="15685"/>
    <cellStyle name="Input 2 2 6 4 3 2 2 2" xfId="29101"/>
    <cellStyle name="Input 2 2 6 4 3 2 3" xfId="20430"/>
    <cellStyle name="Input 2 2 6 4 3 3" xfId="5962"/>
    <cellStyle name="Input 2 2 6 4 3 3 2" xfId="23383"/>
    <cellStyle name="Input 2 2 6 4 3 4" xfId="17341"/>
    <cellStyle name="Input 2 2 6 4 4" xfId="11331"/>
    <cellStyle name="Input 2 2 6 4 4 2" xfId="25653"/>
    <cellStyle name="Input 2 2 6 4 5" xfId="4148"/>
    <cellStyle name="Input 2 2 6 5" xfId="687"/>
    <cellStyle name="Input 2 2 6 5 2" xfId="7728"/>
    <cellStyle name="Input 2 2 6 5 2 2" xfId="10342"/>
    <cellStyle name="Input 2 2 6 5 2 2 2" xfId="16604"/>
    <cellStyle name="Input 2 2 6 5 2 2 2 2" xfId="30020"/>
    <cellStyle name="Input 2 2 6 5 2 2 3" xfId="21349"/>
    <cellStyle name="Input 2 2 6 5 2 3" xfId="14332"/>
    <cellStyle name="Input 2 2 6 5 2 3 2" xfId="28654"/>
    <cellStyle name="Input 2 2 6 5 2 4" xfId="19977"/>
    <cellStyle name="Input 2 2 6 5 3" xfId="12177"/>
    <cellStyle name="Input 2 2 6 5 3 2" xfId="26499"/>
    <cellStyle name="Input 2 2 6 5 4" xfId="17822"/>
    <cellStyle name="Input 2 2 6 6" xfId="5122"/>
    <cellStyle name="Input 2 2 6 6 2" xfId="11670"/>
    <cellStyle name="Input 2 2 6 6 2 2" xfId="25992"/>
    <cellStyle name="Input 2 2 6 6 3" xfId="4560"/>
    <cellStyle name="Input 2 2 6 7" xfId="6799"/>
    <cellStyle name="Input 2 2 6 7 2" xfId="23740"/>
    <cellStyle name="Input 2 2 6 8" xfId="15546"/>
    <cellStyle name="Input 2 2 7" xfId="688"/>
    <cellStyle name="Input 2 2 7 2" xfId="689"/>
    <cellStyle name="Input 2 2 7 2 2" xfId="690"/>
    <cellStyle name="Input 2 2 7 2 2 2" xfId="6169"/>
    <cellStyle name="Input 2 2 7 2 2 2 2" xfId="12742"/>
    <cellStyle name="Input 2 2 7 2 2 2 2 2" xfId="27064"/>
    <cellStyle name="Input 2 2 7 2 2 2 3" xfId="18387"/>
    <cellStyle name="Input 2 2 7 2 2 3" xfId="4943"/>
    <cellStyle name="Input 2 2 7 2 2 3 2" xfId="9521"/>
    <cellStyle name="Input 2 2 7 2 2 3 2 2" xfId="15783"/>
    <cellStyle name="Input 2 2 7 2 2 3 2 2 2" xfId="29199"/>
    <cellStyle name="Input 2 2 7 2 2 3 2 3" xfId="20528"/>
    <cellStyle name="Input 2 2 7 2 2 3 3" xfId="11482"/>
    <cellStyle name="Input 2 2 7 2 2 3 3 2" xfId="25804"/>
    <cellStyle name="Input 2 2 7 2 2 3 4" xfId="17201"/>
    <cellStyle name="Input 2 2 7 2 2 4" xfId="4360"/>
    <cellStyle name="Input 2 2 7 2 2 4 2" xfId="22904"/>
    <cellStyle name="Input 2 2 7 2 2 5" xfId="4125"/>
    <cellStyle name="Input 2 2 7 2 3" xfId="691"/>
    <cellStyle name="Input 2 2 7 2 3 2" xfId="4458"/>
    <cellStyle name="Input 2 2 7 2 3 2 2" xfId="9468"/>
    <cellStyle name="Input 2 2 7 2 3 2 2 2" xfId="15730"/>
    <cellStyle name="Input 2 2 7 2 3 2 2 2 2" xfId="29146"/>
    <cellStyle name="Input 2 2 7 2 3 2 2 3" xfId="20475"/>
    <cellStyle name="Input 2 2 7 2 3 2 3" xfId="4809"/>
    <cellStyle name="Input 2 2 7 2 3 2 3 2" xfId="23198"/>
    <cellStyle name="Input 2 2 7 2 3 2 4" xfId="17228"/>
    <cellStyle name="Input 2 2 7 2 3 3" xfId="13383"/>
    <cellStyle name="Input 2 2 7 2 3 3 2" xfId="27705"/>
    <cellStyle name="Input 2 2 7 2 3 4" xfId="19028"/>
    <cellStyle name="Input 2 2 7 2 4" xfId="5843"/>
    <cellStyle name="Input 2 2 7 2 4 2" xfId="12396"/>
    <cellStyle name="Input 2 2 7 2 4 2 2" xfId="26718"/>
    <cellStyle name="Input 2 2 7 2 4 3" xfId="18041"/>
    <cellStyle name="Input 2 2 7 2 5" xfId="6770"/>
    <cellStyle name="Input 2 2 7 2 5 2" xfId="23716"/>
    <cellStyle name="Input 2 2 7 2 6" xfId="15540"/>
    <cellStyle name="Input 2 2 7 3" xfId="692"/>
    <cellStyle name="Input 2 2 7 3 2" xfId="5169"/>
    <cellStyle name="Input 2 2 7 3 2 2" xfId="11718"/>
    <cellStyle name="Input 2 2 7 3 2 2 2" xfId="26040"/>
    <cellStyle name="Input 2 2 7 3 2 3" xfId="6738"/>
    <cellStyle name="Input 2 2 7 3 3" xfId="7565"/>
    <cellStyle name="Input 2 2 7 3 3 2" xfId="10179"/>
    <cellStyle name="Input 2 2 7 3 3 2 2" xfId="16441"/>
    <cellStyle name="Input 2 2 7 3 3 2 2 2" xfId="29857"/>
    <cellStyle name="Input 2 2 7 3 3 2 3" xfId="21186"/>
    <cellStyle name="Input 2 2 7 3 3 3" xfId="14169"/>
    <cellStyle name="Input 2 2 7 3 3 3 2" xfId="28491"/>
    <cellStyle name="Input 2 2 7 3 3 4" xfId="19814"/>
    <cellStyle name="Input 2 2 7 3 4" xfId="6672"/>
    <cellStyle name="Input 2 2 7 3 4 2" xfId="23644"/>
    <cellStyle name="Input 2 2 7 3 5" xfId="17226"/>
    <cellStyle name="Input 2 2 7 4" xfId="693"/>
    <cellStyle name="Input 2 2 7 4 2" xfId="7400"/>
    <cellStyle name="Input 2 2 7 4 2 2" xfId="10014"/>
    <cellStyle name="Input 2 2 7 4 2 2 2" xfId="16276"/>
    <cellStyle name="Input 2 2 7 4 2 2 2 2" xfId="29692"/>
    <cellStyle name="Input 2 2 7 4 2 2 3" xfId="21021"/>
    <cellStyle name="Input 2 2 7 4 2 3" xfId="14004"/>
    <cellStyle name="Input 2 2 7 4 2 3 2" xfId="28326"/>
    <cellStyle name="Input 2 2 7 4 2 4" xfId="19649"/>
    <cellStyle name="Input 2 2 7 4 3" xfId="12697"/>
    <cellStyle name="Input 2 2 7 4 3 2" xfId="27019"/>
    <cellStyle name="Input 2 2 7 4 4" xfId="18342"/>
    <cellStyle name="Input 2 2 7 5" xfId="5098"/>
    <cellStyle name="Input 2 2 7 5 2" xfId="11645"/>
    <cellStyle name="Input 2 2 7 5 2 2" xfId="25967"/>
    <cellStyle name="Input 2 2 7 5 3" xfId="4918"/>
    <cellStyle name="Input 2 2 7 6" xfId="3250"/>
    <cellStyle name="Input 2 2 7 6 2" xfId="22444"/>
    <cellStyle name="Input 2 2 7 7" xfId="17288"/>
    <cellStyle name="Input 2 2 8" xfId="694"/>
    <cellStyle name="Input 2 2 8 2" xfId="695"/>
    <cellStyle name="Input 2 2 8 2 2" xfId="6962"/>
    <cellStyle name="Input 2 2 8 2 2 2" xfId="13566"/>
    <cellStyle name="Input 2 2 8 2 2 2 2" xfId="27888"/>
    <cellStyle name="Input 2 2 8 2 2 3" xfId="19211"/>
    <cellStyle name="Input 2 2 8 2 3" xfId="4804"/>
    <cellStyle name="Input 2 2 8 2 3 2" xfId="9489"/>
    <cellStyle name="Input 2 2 8 2 3 2 2" xfId="15751"/>
    <cellStyle name="Input 2 2 8 2 3 2 2 2" xfId="29167"/>
    <cellStyle name="Input 2 2 8 2 3 2 3" xfId="20496"/>
    <cellStyle name="Input 2 2 8 2 3 3" xfId="11334"/>
    <cellStyle name="Input 2 2 8 2 3 3 2" xfId="25656"/>
    <cellStyle name="Input 2 2 8 2 3 4" xfId="14898"/>
    <cellStyle name="Input 2 2 8 2 4" xfId="11465"/>
    <cellStyle name="Input 2 2 8 2 4 2" xfId="25787"/>
    <cellStyle name="Input 2 2 8 2 5" xfId="14913"/>
    <cellStyle name="Input 2 2 8 3" xfId="696"/>
    <cellStyle name="Input 2 2 8 3 2" xfId="7700"/>
    <cellStyle name="Input 2 2 8 3 2 2" xfId="10314"/>
    <cellStyle name="Input 2 2 8 3 2 2 2" xfId="16576"/>
    <cellStyle name="Input 2 2 8 3 2 2 2 2" xfId="29992"/>
    <cellStyle name="Input 2 2 8 3 2 2 3" xfId="21321"/>
    <cellStyle name="Input 2 2 8 3 2 3" xfId="14304"/>
    <cellStyle name="Input 2 2 8 3 2 3 2" xfId="28626"/>
    <cellStyle name="Input 2 2 8 3 2 4" xfId="19949"/>
    <cellStyle name="Input 2 2 8 3 3" xfId="12546"/>
    <cellStyle name="Input 2 2 8 3 3 2" xfId="26868"/>
    <cellStyle name="Input 2 2 8 3 4" xfId="18191"/>
    <cellStyle name="Input 2 2 8 4" xfId="3252"/>
    <cellStyle name="Input 2 2 8 4 2" xfId="4977"/>
    <cellStyle name="Input 2 2 8 4 2 2" xfId="23290"/>
    <cellStyle name="Input 2 2 8 4 3" xfId="15517"/>
    <cellStyle name="Input 2 2 8 5" xfId="4176"/>
    <cellStyle name="Input 2 2 8 5 2" xfId="22799"/>
    <cellStyle name="Input 2 2 8 6" xfId="4577"/>
    <cellStyle name="Input 2 2 9" xfId="697"/>
    <cellStyle name="Input 2 2 9 2" xfId="5605"/>
    <cellStyle name="Input 2 2 9 2 2" xfId="12157"/>
    <cellStyle name="Input 2 2 9 2 2 2" xfId="26479"/>
    <cellStyle name="Input 2 2 9 2 3" xfId="17802"/>
    <cellStyle name="Input 2 2 9 3" xfId="8005"/>
    <cellStyle name="Input 2 2 9 3 2" xfId="10619"/>
    <cellStyle name="Input 2 2 9 3 2 2" xfId="16881"/>
    <cellStyle name="Input 2 2 9 3 2 2 2" xfId="30297"/>
    <cellStyle name="Input 2 2 9 3 2 3" xfId="21626"/>
    <cellStyle name="Input 2 2 9 3 3" xfId="14609"/>
    <cellStyle name="Input 2 2 9 3 3 2" xfId="28931"/>
    <cellStyle name="Input 2 2 9 3 4" xfId="20254"/>
    <cellStyle name="Input 2 2 9 4" xfId="3869"/>
    <cellStyle name="Input 2 2 9 4 2" xfId="22619"/>
    <cellStyle name="Input 2 2 9 5" xfId="17285"/>
    <cellStyle name="Input 2 3" xfId="698"/>
    <cellStyle name="Input 2 3 2" xfId="6219"/>
    <cellStyle name="Input 2 3 2 2" xfId="12794"/>
    <cellStyle name="Input 2 3 2 2 2" xfId="27116"/>
    <cellStyle name="Input 2 3 2 3" xfId="18439"/>
    <cellStyle name="Input 2 3 3" xfId="7705"/>
    <cellStyle name="Input 2 3 3 2" xfId="10319"/>
    <cellStyle name="Input 2 3 3 2 2" xfId="16581"/>
    <cellStyle name="Input 2 3 3 2 2 2" xfId="29997"/>
    <cellStyle name="Input 2 3 3 2 3" xfId="21326"/>
    <cellStyle name="Input 2 3 3 3" xfId="14309"/>
    <cellStyle name="Input 2 3 3 3 2" xfId="28631"/>
    <cellStyle name="Input 2 3 3 4" xfId="19954"/>
    <cellStyle name="Input 2 3 4" xfId="3904"/>
    <cellStyle name="Input 2 3 4 2" xfId="22637"/>
    <cellStyle name="Input 2 3 5" xfId="4167"/>
    <cellStyle name="Input 2 4" xfId="3151"/>
    <cellStyle name="Input 2 4 2" xfId="3805"/>
    <cellStyle name="Input 2 4 2 2" xfId="22592"/>
    <cellStyle name="Input 2 4 3" xfId="15428"/>
    <cellStyle name="Input 2 5" xfId="4570"/>
    <cellStyle name="Input 2 5 2" xfId="23037"/>
    <cellStyle name="Input 2 6" xfId="17278"/>
    <cellStyle name="Input 2 7" xfId="20323"/>
    <cellStyle name="Input 2 8" xfId="21698"/>
    <cellStyle name="Linked Cell 2" xfId="699"/>
    <cellStyle name="Neutral 2" xfId="700"/>
    <cellStyle name="Neutro" xfId="701"/>
    <cellStyle name="Normal" xfId="0" builtinId="0"/>
    <cellStyle name="Normal 10" xfId="30369"/>
    <cellStyle name="Normal 11" xfId="2"/>
    <cellStyle name="Normal 2" xfId="702"/>
    <cellStyle name="Normal 2 2" xfId="703"/>
    <cellStyle name="Normal 2 2 2" xfId="704"/>
    <cellStyle name="Normal 2 2 3" xfId="705"/>
    <cellStyle name="Normal 3" xfId="706"/>
    <cellStyle name="Normal 3 10" xfId="707"/>
    <cellStyle name="Normal 3 10 2" xfId="708"/>
    <cellStyle name="Normal 3 10 2 2" xfId="8583"/>
    <cellStyle name="Normal 3 10 2 2 2" xfId="11196"/>
    <cellStyle name="Normal 3 10 2 2 2 2" xfId="25518"/>
    <cellStyle name="Normal 3 10 2 2 3" xfId="24270"/>
    <cellStyle name="Normal 3 10 2 3" xfId="9224"/>
    <cellStyle name="Normal 3 10 2 3 2" xfId="24896"/>
    <cellStyle name="Normal 3 10 2 4" xfId="3464"/>
    <cellStyle name="Normal 3 10 2 5" xfId="21707"/>
    <cellStyle name="Normal 3 10 3" xfId="8302"/>
    <cellStyle name="Normal 3 10 3 2" xfId="10915"/>
    <cellStyle name="Normal 3 10 3 2 2" xfId="25237"/>
    <cellStyle name="Normal 3 10 3 3" xfId="23989"/>
    <cellStyle name="Normal 3 10 4" xfId="8868"/>
    <cellStyle name="Normal 3 10 4 2" xfId="24555"/>
    <cellStyle name="Normal 3 10 5" xfId="3015"/>
    <cellStyle name="Normal 3 10 6" xfId="21706"/>
    <cellStyle name="Normal 3 11" xfId="709"/>
    <cellStyle name="Normal 3 11 2" xfId="8414"/>
    <cellStyle name="Normal 3 11 2 2" xfId="11027"/>
    <cellStyle name="Normal 3 11 2 2 2" xfId="25349"/>
    <cellStyle name="Normal 3 11 2 3" xfId="24101"/>
    <cellStyle name="Normal 3 11 3" xfId="8980"/>
    <cellStyle name="Normal 3 11 3 2" xfId="24667"/>
    <cellStyle name="Normal 3 11 4" xfId="3138"/>
    <cellStyle name="Normal 3 11 5" xfId="21708"/>
    <cellStyle name="Normal 3 12" xfId="710"/>
    <cellStyle name="Normal 3 12 2" xfId="8134"/>
    <cellStyle name="Normal 3 12 2 2" xfId="10747"/>
    <cellStyle name="Normal 3 12 2 2 2" xfId="25069"/>
    <cellStyle name="Normal 3 12 2 3" xfId="23821"/>
    <cellStyle name="Normal 3 12 3" xfId="9056"/>
    <cellStyle name="Normal 3 12 3 2" xfId="24728"/>
    <cellStyle name="Normal 3 12 4" xfId="3296"/>
    <cellStyle name="Normal 3 12 5" xfId="21709"/>
    <cellStyle name="Normal 3 13" xfId="8073"/>
    <cellStyle name="Normal 3 13 2" xfId="10686"/>
    <cellStyle name="Normal 3 13 2 2" xfId="25008"/>
    <cellStyle name="Normal 3 13 3" xfId="23760"/>
    <cellStyle name="Normal 3 14" xfId="8695"/>
    <cellStyle name="Normal 3 14 2" xfId="11308"/>
    <cellStyle name="Normal 3 14 2 2" xfId="25630"/>
    <cellStyle name="Normal 3 14 3" xfId="24382"/>
    <cellStyle name="Normal 3 15" xfId="8700"/>
    <cellStyle name="Normal 3 15 2" xfId="24387"/>
    <cellStyle name="Normal 3 16" xfId="2758"/>
    <cellStyle name="Normal 3 17" xfId="21705"/>
    <cellStyle name="Normal 3 2" xfId="711"/>
    <cellStyle name="Normal 3 2 2" xfId="712"/>
    <cellStyle name="Normal 3 2 2 10" xfId="2863"/>
    <cellStyle name="Normal 3 2 2 11" xfId="21711"/>
    <cellStyle name="Normal 3 2 2 2" xfId="713"/>
    <cellStyle name="Normal 3 2 2 2 10" xfId="21712"/>
    <cellStyle name="Normal 3 2 2 2 2" xfId="714"/>
    <cellStyle name="Normal 3 2 2 2 2 2" xfId="715"/>
    <cellStyle name="Normal 3 2 2 2 2 2 2" xfId="716"/>
    <cellStyle name="Normal 3 2 2 2 2 2 2 2" xfId="8690"/>
    <cellStyle name="Normal 3 2 2 2 2 2 2 2 2" xfId="11303"/>
    <cellStyle name="Normal 3 2 2 2 2 2 2 2 2 2" xfId="25625"/>
    <cellStyle name="Normal 3 2 2 2 2 2 2 2 3" xfId="24377"/>
    <cellStyle name="Normal 3 2 2 2 2 2 2 3" xfId="9332"/>
    <cellStyle name="Normal 3 2 2 2 2 2 2 3 2" xfId="25003"/>
    <cellStyle name="Normal 3 2 2 2 2 2 2 4" xfId="3580"/>
    <cellStyle name="Normal 3 2 2 2 2 2 2 5" xfId="21715"/>
    <cellStyle name="Normal 3 2 2 2 2 2 3" xfId="8409"/>
    <cellStyle name="Normal 3 2 2 2 2 2 3 2" xfId="11022"/>
    <cellStyle name="Normal 3 2 2 2 2 2 3 2 2" xfId="25344"/>
    <cellStyle name="Normal 3 2 2 2 2 2 3 3" xfId="24096"/>
    <cellStyle name="Normal 3 2 2 2 2 2 4" xfId="8975"/>
    <cellStyle name="Normal 3 2 2 2 2 2 4 2" xfId="24662"/>
    <cellStyle name="Normal 3 2 2 2 2 2 5" xfId="3132"/>
    <cellStyle name="Normal 3 2 2 2 2 2 6" xfId="21714"/>
    <cellStyle name="Normal 3 2 2 2 2 3" xfId="717"/>
    <cellStyle name="Normal 3 2 2 2 2 3 2" xfId="8522"/>
    <cellStyle name="Normal 3 2 2 2 2 3 2 2" xfId="11135"/>
    <cellStyle name="Normal 3 2 2 2 2 3 2 2 2" xfId="25457"/>
    <cellStyle name="Normal 3 2 2 2 2 3 2 3" xfId="24209"/>
    <cellStyle name="Normal 3 2 2 2 2 3 3" xfId="9163"/>
    <cellStyle name="Normal 3 2 2 2 2 3 3 2" xfId="24835"/>
    <cellStyle name="Normal 3 2 2 2 2 3 4" xfId="3403"/>
    <cellStyle name="Normal 3 2 2 2 2 3 5" xfId="21716"/>
    <cellStyle name="Normal 3 2 2 2 2 4" xfId="8241"/>
    <cellStyle name="Normal 3 2 2 2 2 4 2" xfId="10854"/>
    <cellStyle name="Normal 3 2 2 2 2 4 2 2" xfId="25176"/>
    <cellStyle name="Normal 3 2 2 2 2 4 3" xfId="23928"/>
    <cellStyle name="Normal 3 2 2 2 2 5" xfId="8807"/>
    <cellStyle name="Normal 3 2 2 2 2 5 2" xfId="24494"/>
    <cellStyle name="Normal 3 2 2 2 2 6" xfId="2954"/>
    <cellStyle name="Normal 3 2 2 2 2 7" xfId="21713"/>
    <cellStyle name="Normal 3 2 2 2 3" xfId="718"/>
    <cellStyle name="Normal 3 2 2 2 3 2" xfId="719"/>
    <cellStyle name="Normal 3 2 2 2 3 2 2" xfId="8578"/>
    <cellStyle name="Normal 3 2 2 2 3 2 2 2" xfId="11191"/>
    <cellStyle name="Normal 3 2 2 2 3 2 2 2 2" xfId="25513"/>
    <cellStyle name="Normal 3 2 2 2 3 2 2 3" xfId="24265"/>
    <cellStyle name="Normal 3 2 2 2 3 2 3" xfId="9219"/>
    <cellStyle name="Normal 3 2 2 2 3 2 3 2" xfId="24891"/>
    <cellStyle name="Normal 3 2 2 2 3 2 4" xfId="3459"/>
    <cellStyle name="Normal 3 2 2 2 3 2 5" xfId="21718"/>
    <cellStyle name="Normal 3 2 2 2 3 3" xfId="8297"/>
    <cellStyle name="Normal 3 2 2 2 3 3 2" xfId="10910"/>
    <cellStyle name="Normal 3 2 2 2 3 3 2 2" xfId="25232"/>
    <cellStyle name="Normal 3 2 2 2 3 3 3" xfId="23984"/>
    <cellStyle name="Normal 3 2 2 2 3 4" xfId="8863"/>
    <cellStyle name="Normal 3 2 2 2 3 4 2" xfId="24550"/>
    <cellStyle name="Normal 3 2 2 2 3 5" xfId="3010"/>
    <cellStyle name="Normal 3 2 2 2 3 6" xfId="21717"/>
    <cellStyle name="Normal 3 2 2 2 4" xfId="720"/>
    <cellStyle name="Normal 3 2 2 2 4 2" xfId="721"/>
    <cellStyle name="Normal 3 2 2 2 4 2 2" xfId="8633"/>
    <cellStyle name="Normal 3 2 2 2 4 2 2 2" xfId="11246"/>
    <cellStyle name="Normal 3 2 2 2 4 2 2 2 2" xfId="25568"/>
    <cellStyle name="Normal 3 2 2 2 4 2 2 3" xfId="24320"/>
    <cellStyle name="Normal 3 2 2 2 4 2 3" xfId="9275"/>
    <cellStyle name="Normal 3 2 2 2 4 2 3 2" xfId="24946"/>
    <cellStyle name="Normal 3 2 2 2 4 2 4" xfId="3523"/>
    <cellStyle name="Normal 3 2 2 2 4 2 5" xfId="21720"/>
    <cellStyle name="Normal 3 2 2 2 4 3" xfId="8352"/>
    <cellStyle name="Normal 3 2 2 2 4 3 2" xfId="10965"/>
    <cellStyle name="Normal 3 2 2 2 4 3 2 2" xfId="25287"/>
    <cellStyle name="Normal 3 2 2 2 4 3 3" xfId="24039"/>
    <cellStyle name="Normal 3 2 2 2 4 4" xfId="8918"/>
    <cellStyle name="Normal 3 2 2 2 4 4 2" xfId="24605"/>
    <cellStyle name="Normal 3 2 2 2 4 5" xfId="3075"/>
    <cellStyle name="Normal 3 2 2 2 4 6" xfId="21719"/>
    <cellStyle name="Normal 3 2 2 2 5" xfId="722"/>
    <cellStyle name="Normal 3 2 2 2 5 2" xfId="8470"/>
    <cellStyle name="Normal 3 2 2 2 5 2 2" xfId="11083"/>
    <cellStyle name="Normal 3 2 2 2 5 2 2 2" xfId="25405"/>
    <cellStyle name="Normal 3 2 2 2 5 2 3" xfId="24157"/>
    <cellStyle name="Normal 3 2 2 2 5 3" xfId="9042"/>
    <cellStyle name="Normal 3 2 2 2 5 3 2" xfId="24723"/>
    <cellStyle name="Normal 3 2 2 2 5 4" xfId="3234"/>
    <cellStyle name="Normal 3 2 2 2 5 5" xfId="21721"/>
    <cellStyle name="Normal 3 2 2 2 6" xfId="723"/>
    <cellStyle name="Normal 3 2 2 2 6 2" xfId="8184"/>
    <cellStyle name="Normal 3 2 2 2 6 2 2" xfId="10797"/>
    <cellStyle name="Normal 3 2 2 2 6 2 2 2" xfId="25119"/>
    <cellStyle name="Normal 3 2 2 2 6 2 3" xfId="23871"/>
    <cellStyle name="Normal 3 2 2 2 6 3" xfId="9106"/>
    <cellStyle name="Normal 3 2 2 2 6 3 2" xfId="24778"/>
    <cellStyle name="Normal 3 2 2 2 6 4" xfId="3346"/>
    <cellStyle name="Normal 3 2 2 2 6 5" xfId="21722"/>
    <cellStyle name="Normal 3 2 2 2 7" xfId="8129"/>
    <cellStyle name="Normal 3 2 2 2 7 2" xfId="10742"/>
    <cellStyle name="Normal 3 2 2 2 7 2 2" xfId="25064"/>
    <cellStyle name="Normal 3 2 2 2 7 3" xfId="23816"/>
    <cellStyle name="Normal 3 2 2 2 8" xfId="8750"/>
    <cellStyle name="Normal 3 2 2 2 8 2" xfId="24437"/>
    <cellStyle name="Normal 3 2 2 2 9" xfId="2897"/>
    <cellStyle name="Normal 3 2 2 3" xfId="724"/>
    <cellStyle name="Normal 3 2 2 3 2" xfId="725"/>
    <cellStyle name="Normal 3 2 2 3 2 2" xfId="726"/>
    <cellStyle name="Normal 3 2 2 3 2 2 2" xfId="8664"/>
    <cellStyle name="Normal 3 2 2 3 2 2 2 2" xfId="11277"/>
    <cellStyle name="Normal 3 2 2 3 2 2 2 2 2" xfId="25599"/>
    <cellStyle name="Normal 3 2 2 3 2 2 2 3" xfId="24351"/>
    <cellStyle name="Normal 3 2 2 3 2 2 3" xfId="9306"/>
    <cellStyle name="Normal 3 2 2 3 2 2 3 2" xfId="24977"/>
    <cellStyle name="Normal 3 2 2 3 2 2 4" xfId="3554"/>
    <cellStyle name="Normal 3 2 2 3 2 2 5" xfId="21725"/>
    <cellStyle name="Normal 3 2 2 3 2 3" xfId="8383"/>
    <cellStyle name="Normal 3 2 2 3 2 3 2" xfId="10996"/>
    <cellStyle name="Normal 3 2 2 3 2 3 2 2" xfId="25318"/>
    <cellStyle name="Normal 3 2 2 3 2 3 3" xfId="24070"/>
    <cellStyle name="Normal 3 2 2 3 2 4" xfId="8949"/>
    <cellStyle name="Normal 3 2 2 3 2 4 2" xfId="24636"/>
    <cellStyle name="Normal 3 2 2 3 2 5" xfId="3106"/>
    <cellStyle name="Normal 3 2 2 3 2 6" xfId="21724"/>
    <cellStyle name="Normal 3 2 2 3 3" xfId="727"/>
    <cellStyle name="Normal 3 2 2 3 3 2" xfId="8496"/>
    <cellStyle name="Normal 3 2 2 3 3 2 2" xfId="11109"/>
    <cellStyle name="Normal 3 2 2 3 3 2 2 2" xfId="25431"/>
    <cellStyle name="Normal 3 2 2 3 3 2 3" xfId="24183"/>
    <cellStyle name="Normal 3 2 2 3 3 3" xfId="9137"/>
    <cellStyle name="Normal 3 2 2 3 3 3 2" xfId="24809"/>
    <cellStyle name="Normal 3 2 2 3 3 4" xfId="3377"/>
    <cellStyle name="Normal 3 2 2 3 3 5" xfId="21726"/>
    <cellStyle name="Normal 3 2 2 3 4" xfId="8215"/>
    <cellStyle name="Normal 3 2 2 3 4 2" xfId="10828"/>
    <cellStyle name="Normal 3 2 2 3 4 2 2" xfId="25150"/>
    <cellStyle name="Normal 3 2 2 3 4 3" xfId="23902"/>
    <cellStyle name="Normal 3 2 2 3 5" xfId="8781"/>
    <cellStyle name="Normal 3 2 2 3 5 2" xfId="24468"/>
    <cellStyle name="Normal 3 2 2 3 6" xfId="2928"/>
    <cellStyle name="Normal 3 2 2 3 7" xfId="21723"/>
    <cellStyle name="Normal 3 2 2 4" xfId="728"/>
    <cellStyle name="Normal 3 2 2 4 2" xfId="729"/>
    <cellStyle name="Normal 3 2 2 4 2 2" xfId="8552"/>
    <cellStyle name="Normal 3 2 2 4 2 2 2" xfId="11165"/>
    <cellStyle name="Normal 3 2 2 4 2 2 2 2" xfId="25487"/>
    <cellStyle name="Normal 3 2 2 4 2 2 3" xfId="24239"/>
    <cellStyle name="Normal 3 2 2 4 2 3" xfId="9193"/>
    <cellStyle name="Normal 3 2 2 4 2 3 2" xfId="24865"/>
    <cellStyle name="Normal 3 2 2 4 2 4" xfId="3433"/>
    <cellStyle name="Normal 3 2 2 4 2 5" xfId="21728"/>
    <cellStyle name="Normal 3 2 2 4 3" xfId="8271"/>
    <cellStyle name="Normal 3 2 2 4 3 2" xfId="10884"/>
    <cellStyle name="Normal 3 2 2 4 3 2 2" xfId="25206"/>
    <cellStyle name="Normal 3 2 2 4 3 3" xfId="23958"/>
    <cellStyle name="Normal 3 2 2 4 4" xfId="8837"/>
    <cellStyle name="Normal 3 2 2 4 4 2" xfId="24524"/>
    <cellStyle name="Normal 3 2 2 4 5" xfId="2984"/>
    <cellStyle name="Normal 3 2 2 4 6" xfId="21727"/>
    <cellStyle name="Normal 3 2 2 5" xfId="730"/>
    <cellStyle name="Normal 3 2 2 5 2" xfId="731"/>
    <cellStyle name="Normal 3 2 2 5 2 2" xfId="8602"/>
    <cellStyle name="Normal 3 2 2 5 2 2 2" xfId="11215"/>
    <cellStyle name="Normal 3 2 2 5 2 2 2 2" xfId="25537"/>
    <cellStyle name="Normal 3 2 2 5 2 2 3" xfId="24289"/>
    <cellStyle name="Normal 3 2 2 5 2 3" xfId="9244"/>
    <cellStyle name="Normal 3 2 2 5 2 3 2" xfId="24915"/>
    <cellStyle name="Normal 3 2 2 5 2 4" xfId="3491"/>
    <cellStyle name="Normal 3 2 2 5 2 5" xfId="21730"/>
    <cellStyle name="Normal 3 2 2 5 3" xfId="8321"/>
    <cellStyle name="Normal 3 2 2 5 3 2" xfId="10934"/>
    <cellStyle name="Normal 3 2 2 5 3 2 2" xfId="25256"/>
    <cellStyle name="Normal 3 2 2 5 3 3" xfId="24008"/>
    <cellStyle name="Normal 3 2 2 5 4" xfId="8887"/>
    <cellStyle name="Normal 3 2 2 5 4 2" xfId="24574"/>
    <cellStyle name="Normal 3 2 2 5 5" xfId="3044"/>
    <cellStyle name="Normal 3 2 2 5 6" xfId="21729"/>
    <cellStyle name="Normal 3 2 2 6" xfId="732"/>
    <cellStyle name="Normal 3 2 2 6 2" xfId="8445"/>
    <cellStyle name="Normal 3 2 2 6 2 2" xfId="11058"/>
    <cellStyle name="Normal 3 2 2 6 2 2 2" xfId="25380"/>
    <cellStyle name="Normal 3 2 2 6 2 3" xfId="24132"/>
    <cellStyle name="Normal 3 2 2 6 3" xfId="9017"/>
    <cellStyle name="Normal 3 2 2 6 3 2" xfId="24698"/>
    <cellStyle name="Normal 3 2 2 6 4" xfId="3208"/>
    <cellStyle name="Normal 3 2 2 6 5" xfId="21731"/>
    <cellStyle name="Normal 3 2 2 7" xfId="733"/>
    <cellStyle name="Normal 3 2 2 7 2" xfId="8153"/>
    <cellStyle name="Normal 3 2 2 7 2 2" xfId="10766"/>
    <cellStyle name="Normal 3 2 2 7 2 2 2" xfId="25088"/>
    <cellStyle name="Normal 3 2 2 7 2 3" xfId="23840"/>
    <cellStyle name="Normal 3 2 2 7 3" xfId="9075"/>
    <cellStyle name="Normal 3 2 2 7 3 2" xfId="24747"/>
    <cellStyle name="Normal 3 2 2 7 4" xfId="3315"/>
    <cellStyle name="Normal 3 2 2 7 5" xfId="21732"/>
    <cellStyle name="Normal 3 2 2 8" xfId="8104"/>
    <cellStyle name="Normal 3 2 2 8 2" xfId="10717"/>
    <cellStyle name="Normal 3 2 2 8 2 2" xfId="25039"/>
    <cellStyle name="Normal 3 2 2 8 3" xfId="23791"/>
    <cellStyle name="Normal 3 2 2 9" xfId="8719"/>
    <cellStyle name="Normal 3 2 2 9 2" xfId="24406"/>
    <cellStyle name="Normal 3 2 3" xfId="734"/>
    <cellStyle name="Normal 3 2 4" xfId="735"/>
    <cellStyle name="Normal 3 2 4 2" xfId="8419"/>
    <cellStyle name="Normal 3 2 4 2 2" xfId="11032"/>
    <cellStyle name="Normal 3 2 4 2 2 2" xfId="25354"/>
    <cellStyle name="Normal 3 2 4 2 3" xfId="24106"/>
    <cellStyle name="Normal 3 2 4 3" xfId="8989"/>
    <cellStyle name="Normal 3 2 4 3 2" xfId="24672"/>
    <cellStyle name="Normal 3 2 4 4" xfId="3162"/>
    <cellStyle name="Normal 3 2 4 5" xfId="21733"/>
    <cellStyle name="Normal 3 2 5" xfId="8078"/>
    <cellStyle name="Normal 3 2 5 2" xfId="10691"/>
    <cellStyle name="Normal 3 2 5 2 2" xfId="25013"/>
    <cellStyle name="Normal 3 2 5 3" xfId="23765"/>
    <cellStyle name="Normal 3 2 6" xfId="21710"/>
    <cellStyle name="Normal 3 3" xfId="736"/>
    <cellStyle name="Normal 3 3 10" xfId="2848"/>
    <cellStyle name="Normal 3 3 11" xfId="21734"/>
    <cellStyle name="Normal 3 3 2" xfId="737"/>
    <cellStyle name="Normal 3 3 2 10" xfId="21735"/>
    <cellStyle name="Normal 3 3 2 2" xfId="738"/>
    <cellStyle name="Normal 3 3 2 2 2" xfId="739"/>
    <cellStyle name="Normal 3 3 2 2 2 2" xfId="740"/>
    <cellStyle name="Normal 3 3 2 2 2 2 2" xfId="8676"/>
    <cellStyle name="Normal 3 3 2 2 2 2 2 2" xfId="11289"/>
    <cellStyle name="Normal 3 3 2 2 2 2 2 2 2" xfId="25611"/>
    <cellStyle name="Normal 3 3 2 2 2 2 2 3" xfId="24363"/>
    <cellStyle name="Normal 3 3 2 2 2 2 3" xfId="9318"/>
    <cellStyle name="Normal 3 3 2 2 2 2 3 2" xfId="24989"/>
    <cellStyle name="Normal 3 3 2 2 2 2 4" xfId="3566"/>
    <cellStyle name="Normal 3 3 2 2 2 2 5" xfId="21738"/>
    <cellStyle name="Normal 3 3 2 2 2 3" xfId="8395"/>
    <cellStyle name="Normal 3 3 2 2 2 3 2" xfId="11008"/>
    <cellStyle name="Normal 3 3 2 2 2 3 2 2" xfId="25330"/>
    <cellStyle name="Normal 3 3 2 2 2 3 3" xfId="24082"/>
    <cellStyle name="Normal 3 3 2 2 2 4" xfId="8961"/>
    <cellStyle name="Normal 3 3 2 2 2 4 2" xfId="24648"/>
    <cellStyle name="Normal 3 3 2 2 2 5" xfId="3118"/>
    <cellStyle name="Normal 3 3 2 2 2 6" xfId="21737"/>
    <cellStyle name="Normal 3 3 2 2 3" xfId="741"/>
    <cellStyle name="Normal 3 3 2 2 3 2" xfId="8508"/>
    <cellStyle name="Normal 3 3 2 2 3 2 2" xfId="11121"/>
    <cellStyle name="Normal 3 3 2 2 3 2 2 2" xfId="25443"/>
    <cellStyle name="Normal 3 3 2 2 3 2 3" xfId="24195"/>
    <cellStyle name="Normal 3 3 2 2 3 3" xfId="9149"/>
    <cellStyle name="Normal 3 3 2 2 3 3 2" xfId="24821"/>
    <cellStyle name="Normal 3 3 2 2 3 4" xfId="3389"/>
    <cellStyle name="Normal 3 3 2 2 3 5" xfId="21739"/>
    <cellStyle name="Normal 3 3 2 2 4" xfId="8227"/>
    <cellStyle name="Normal 3 3 2 2 4 2" xfId="10840"/>
    <cellStyle name="Normal 3 3 2 2 4 2 2" xfId="25162"/>
    <cellStyle name="Normal 3 3 2 2 4 3" xfId="23914"/>
    <cellStyle name="Normal 3 3 2 2 5" xfId="8793"/>
    <cellStyle name="Normal 3 3 2 2 5 2" xfId="24480"/>
    <cellStyle name="Normal 3 3 2 2 6" xfId="2940"/>
    <cellStyle name="Normal 3 3 2 2 7" xfId="21736"/>
    <cellStyle name="Normal 3 3 2 3" xfId="742"/>
    <cellStyle name="Normal 3 3 2 3 2" xfId="743"/>
    <cellStyle name="Normal 3 3 2 3 2 2" xfId="8564"/>
    <cellStyle name="Normal 3 3 2 3 2 2 2" xfId="11177"/>
    <cellStyle name="Normal 3 3 2 3 2 2 2 2" xfId="25499"/>
    <cellStyle name="Normal 3 3 2 3 2 2 3" xfId="24251"/>
    <cellStyle name="Normal 3 3 2 3 2 3" xfId="9205"/>
    <cellStyle name="Normal 3 3 2 3 2 3 2" xfId="24877"/>
    <cellStyle name="Normal 3 3 2 3 2 4" xfId="3445"/>
    <cellStyle name="Normal 3 3 2 3 2 5" xfId="21741"/>
    <cellStyle name="Normal 3 3 2 3 3" xfId="8283"/>
    <cellStyle name="Normal 3 3 2 3 3 2" xfId="10896"/>
    <cellStyle name="Normal 3 3 2 3 3 2 2" xfId="25218"/>
    <cellStyle name="Normal 3 3 2 3 3 3" xfId="23970"/>
    <cellStyle name="Normal 3 3 2 3 4" xfId="8849"/>
    <cellStyle name="Normal 3 3 2 3 4 2" xfId="24536"/>
    <cellStyle name="Normal 3 3 2 3 5" xfId="2996"/>
    <cellStyle name="Normal 3 3 2 3 6" xfId="21740"/>
    <cellStyle name="Normal 3 3 2 4" xfId="744"/>
    <cellStyle name="Normal 3 3 2 4 2" xfId="745"/>
    <cellStyle name="Normal 3 3 2 4 2 2" xfId="8618"/>
    <cellStyle name="Normal 3 3 2 4 2 2 2" xfId="11231"/>
    <cellStyle name="Normal 3 3 2 4 2 2 2 2" xfId="25553"/>
    <cellStyle name="Normal 3 3 2 4 2 2 3" xfId="24305"/>
    <cellStyle name="Normal 3 3 2 4 2 3" xfId="9260"/>
    <cellStyle name="Normal 3 3 2 4 2 3 2" xfId="24931"/>
    <cellStyle name="Normal 3 3 2 4 2 4" xfId="3508"/>
    <cellStyle name="Normal 3 3 2 4 2 5" xfId="21743"/>
    <cellStyle name="Normal 3 3 2 4 3" xfId="8337"/>
    <cellStyle name="Normal 3 3 2 4 3 2" xfId="10950"/>
    <cellStyle name="Normal 3 3 2 4 3 2 2" xfId="25272"/>
    <cellStyle name="Normal 3 3 2 4 3 3" xfId="24024"/>
    <cellStyle name="Normal 3 3 2 4 4" xfId="8903"/>
    <cellStyle name="Normal 3 3 2 4 4 2" xfId="24590"/>
    <cellStyle name="Normal 3 3 2 4 5" xfId="3060"/>
    <cellStyle name="Normal 3 3 2 4 6" xfId="21742"/>
    <cellStyle name="Normal 3 3 2 5" xfId="746"/>
    <cellStyle name="Normal 3 3 2 5 2" xfId="8456"/>
    <cellStyle name="Normal 3 3 2 5 2 2" xfId="11069"/>
    <cellStyle name="Normal 3 3 2 5 2 2 2" xfId="25391"/>
    <cellStyle name="Normal 3 3 2 5 2 3" xfId="24143"/>
    <cellStyle name="Normal 3 3 2 5 3" xfId="9028"/>
    <cellStyle name="Normal 3 3 2 5 3 2" xfId="24709"/>
    <cellStyle name="Normal 3 3 2 5 4" xfId="3220"/>
    <cellStyle name="Normal 3 3 2 5 5" xfId="21744"/>
    <cellStyle name="Normal 3 3 2 6" xfId="747"/>
    <cellStyle name="Normal 3 3 2 6 2" xfId="8169"/>
    <cellStyle name="Normal 3 3 2 6 2 2" xfId="10782"/>
    <cellStyle name="Normal 3 3 2 6 2 2 2" xfId="25104"/>
    <cellStyle name="Normal 3 3 2 6 2 3" xfId="23856"/>
    <cellStyle name="Normal 3 3 2 6 3" xfId="9091"/>
    <cellStyle name="Normal 3 3 2 6 3 2" xfId="24763"/>
    <cellStyle name="Normal 3 3 2 6 4" xfId="3331"/>
    <cellStyle name="Normal 3 3 2 6 5" xfId="21745"/>
    <cellStyle name="Normal 3 3 2 7" xfId="8115"/>
    <cellStyle name="Normal 3 3 2 7 2" xfId="10728"/>
    <cellStyle name="Normal 3 3 2 7 2 2" xfId="25050"/>
    <cellStyle name="Normal 3 3 2 7 3" xfId="23802"/>
    <cellStyle name="Normal 3 3 2 8" xfId="8735"/>
    <cellStyle name="Normal 3 3 2 8 2" xfId="24422"/>
    <cellStyle name="Normal 3 3 2 9" xfId="2882"/>
    <cellStyle name="Normal 3 3 3" xfId="748"/>
    <cellStyle name="Normal 3 3 3 2" xfId="749"/>
    <cellStyle name="Normal 3 3 3 2 2" xfId="750"/>
    <cellStyle name="Normal 3 3 3 2 2 2" xfId="8649"/>
    <cellStyle name="Normal 3 3 3 2 2 2 2" xfId="11262"/>
    <cellStyle name="Normal 3 3 3 2 2 2 2 2" xfId="25584"/>
    <cellStyle name="Normal 3 3 3 2 2 2 3" xfId="24336"/>
    <cellStyle name="Normal 3 3 3 2 2 3" xfId="9291"/>
    <cellStyle name="Normal 3 3 3 2 2 3 2" xfId="24962"/>
    <cellStyle name="Normal 3 3 3 2 2 4" xfId="3539"/>
    <cellStyle name="Normal 3 3 3 2 2 5" xfId="21748"/>
    <cellStyle name="Normal 3 3 3 2 3" xfId="8368"/>
    <cellStyle name="Normal 3 3 3 2 3 2" xfId="10981"/>
    <cellStyle name="Normal 3 3 3 2 3 2 2" xfId="25303"/>
    <cellStyle name="Normal 3 3 3 2 3 3" xfId="24055"/>
    <cellStyle name="Normal 3 3 3 2 4" xfId="8934"/>
    <cellStyle name="Normal 3 3 3 2 4 2" xfId="24621"/>
    <cellStyle name="Normal 3 3 3 2 5" xfId="3091"/>
    <cellStyle name="Normal 3 3 3 2 6" xfId="21747"/>
    <cellStyle name="Normal 3 3 3 3" xfId="751"/>
    <cellStyle name="Normal 3 3 3 3 2" xfId="8485"/>
    <cellStyle name="Normal 3 3 3 3 2 2" xfId="11098"/>
    <cellStyle name="Normal 3 3 3 3 2 2 2" xfId="25420"/>
    <cellStyle name="Normal 3 3 3 3 2 3" xfId="24172"/>
    <cellStyle name="Normal 3 3 3 3 3" xfId="9122"/>
    <cellStyle name="Normal 3 3 3 3 3 2" xfId="24794"/>
    <cellStyle name="Normal 3 3 3 3 4" xfId="3362"/>
    <cellStyle name="Normal 3 3 3 3 5" xfId="21749"/>
    <cellStyle name="Normal 3 3 3 4" xfId="8200"/>
    <cellStyle name="Normal 3 3 3 4 2" xfId="10813"/>
    <cellStyle name="Normal 3 3 3 4 2 2" xfId="25135"/>
    <cellStyle name="Normal 3 3 3 4 3" xfId="23887"/>
    <cellStyle name="Normal 3 3 3 5" xfId="8766"/>
    <cellStyle name="Normal 3 3 3 5 2" xfId="24453"/>
    <cellStyle name="Normal 3 3 3 6" xfId="2913"/>
    <cellStyle name="Normal 3 3 3 7" xfId="21746"/>
    <cellStyle name="Normal 3 3 4" xfId="752"/>
    <cellStyle name="Normal 3 3 4 2" xfId="753"/>
    <cellStyle name="Normal 3 3 4 2 2" xfId="8537"/>
    <cellStyle name="Normal 3 3 4 2 2 2" xfId="11150"/>
    <cellStyle name="Normal 3 3 4 2 2 2 2" xfId="25472"/>
    <cellStyle name="Normal 3 3 4 2 2 3" xfId="24224"/>
    <cellStyle name="Normal 3 3 4 2 3" xfId="9178"/>
    <cellStyle name="Normal 3 3 4 2 3 2" xfId="24850"/>
    <cellStyle name="Normal 3 3 4 2 4" xfId="3418"/>
    <cellStyle name="Normal 3 3 4 2 5" xfId="21751"/>
    <cellStyle name="Normal 3 3 4 3" xfId="8256"/>
    <cellStyle name="Normal 3 3 4 3 2" xfId="10869"/>
    <cellStyle name="Normal 3 3 4 3 2 2" xfId="25191"/>
    <cellStyle name="Normal 3 3 4 3 3" xfId="23943"/>
    <cellStyle name="Normal 3 3 4 4" xfId="8822"/>
    <cellStyle name="Normal 3 3 4 4 2" xfId="24509"/>
    <cellStyle name="Normal 3 3 4 5" xfId="2969"/>
    <cellStyle name="Normal 3 3 4 6" xfId="21750"/>
    <cellStyle name="Normal 3 3 5" xfId="754"/>
    <cellStyle name="Normal 3 3 5 2" xfId="755"/>
    <cellStyle name="Normal 3 3 5 2 2" xfId="8587"/>
    <cellStyle name="Normal 3 3 5 2 2 2" xfId="11200"/>
    <cellStyle name="Normal 3 3 5 2 2 2 2" xfId="25522"/>
    <cellStyle name="Normal 3 3 5 2 2 3" xfId="24274"/>
    <cellStyle name="Normal 3 3 5 2 3" xfId="9229"/>
    <cellStyle name="Normal 3 3 5 2 3 2" xfId="24900"/>
    <cellStyle name="Normal 3 3 5 2 4" xfId="3476"/>
    <cellStyle name="Normal 3 3 5 2 5" xfId="21753"/>
    <cellStyle name="Normal 3 3 5 3" xfId="8306"/>
    <cellStyle name="Normal 3 3 5 3 2" xfId="10919"/>
    <cellStyle name="Normal 3 3 5 3 2 2" xfId="25241"/>
    <cellStyle name="Normal 3 3 5 3 3" xfId="23993"/>
    <cellStyle name="Normal 3 3 5 4" xfId="8872"/>
    <cellStyle name="Normal 3 3 5 4 2" xfId="24559"/>
    <cellStyle name="Normal 3 3 5 5" xfId="3029"/>
    <cellStyle name="Normal 3 3 5 6" xfId="21752"/>
    <cellStyle name="Normal 3 3 6" xfId="756"/>
    <cellStyle name="Normal 3 3 6 2" xfId="8425"/>
    <cellStyle name="Normal 3 3 6 2 2" xfId="11038"/>
    <cellStyle name="Normal 3 3 6 2 2 2" xfId="25360"/>
    <cellStyle name="Normal 3 3 6 2 3" xfId="24112"/>
    <cellStyle name="Normal 3 3 6 3" xfId="8995"/>
    <cellStyle name="Normal 3 3 6 3 2" xfId="24678"/>
    <cellStyle name="Normal 3 3 6 4" xfId="3169"/>
    <cellStyle name="Normal 3 3 6 5" xfId="21754"/>
    <cellStyle name="Normal 3 3 7" xfId="757"/>
    <cellStyle name="Normal 3 3 7 2" xfId="8138"/>
    <cellStyle name="Normal 3 3 7 2 2" xfId="10751"/>
    <cellStyle name="Normal 3 3 7 2 2 2" xfId="25073"/>
    <cellStyle name="Normal 3 3 7 2 3" xfId="23825"/>
    <cellStyle name="Normal 3 3 7 3" xfId="9060"/>
    <cellStyle name="Normal 3 3 7 3 2" xfId="24732"/>
    <cellStyle name="Normal 3 3 7 4" xfId="3300"/>
    <cellStyle name="Normal 3 3 7 5" xfId="21755"/>
    <cellStyle name="Normal 3 3 8" xfId="8084"/>
    <cellStyle name="Normal 3 3 8 2" xfId="10697"/>
    <cellStyle name="Normal 3 3 8 2 2" xfId="25019"/>
    <cellStyle name="Normal 3 3 8 3" xfId="23771"/>
    <cellStyle name="Normal 3 3 9" xfId="8704"/>
    <cellStyle name="Normal 3 3 9 2" xfId="24391"/>
    <cellStyle name="Normal 3 4" xfId="758"/>
    <cellStyle name="Normal 3 4 10" xfId="2853"/>
    <cellStyle name="Normal 3 4 11" xfId="21756"/>
    <cellStyle name="Normal 3 4 2" xfId="759"/>
    <cellStyle name="Normal 3 4 2 10" xfId="21757"/>
    <cellStyle name="Normal 3 4 2 2" xfId="760"/>
    <cellStyle name="Normal 3 4 2 2 2" xfId="761"/>
    <cellStyle name="Normal 3 4 2 2 2 2" xfId="762"/>
    <cellStyle name="Normal 3 4 2 2 2 2 2" xfId="8680"/>
    <cellStyle name="Normal 3 4 2 2 2 2 2 2" xfId="11293"/>
    <cellStyle name="Normal 3 4 2 2 2 2 2 2 2" xfId="25615"/>
    <cellStyle name="Normal 3 4 2 2 2 2 2 3" xfId="24367"/>
    <cellStyle name="Normal 3 4 2 2 2 2 3" xfId="9322"/>
    <cellStyle name="Normal 3 4 2 2 2 2 3 2" xfId="24993"/>
    <cellStyle name="Normal 3 4 2 2 2 2 4" xfId="3570"/>
    <cellStyle name="Normal 3 4 2 2 2 2 5" xfId="21760"/>
    <cellStyle name="Normal 3 4 2 2 2 3" xfId="8399"/>
    <cellStyle name="Normal 3 4 2 2 2 3 2" xfId="11012"/>
    <cellStyle name="Normal 3 4 2 2 2 3 2 2" xfId="25334"/>
    <cellStyle name="Normal 3 4 2 2 2 3 3" xfId="24086"/>
    <cellStyle name="Normal 3 4 2 2 2 4" xfId="8965"/>
    <cellStyle name="Normal 3 4 2 2 2 4 2" xfId="24652"/>
    <cellStyle name="Normal 3 4 2 2 2 5" xfId="3122"/>
    <cellStyle name="Normal 3 4 2 2 2 6" xfId="21759"/>
    <cellStyle name="Normal 3 4 2 2 3" xfId="763"/>
    <cellStyle name="Normal 3 4 2 2 3 2" xfId="8512"/>
    <cellStyle name="Normal 3 4 2 2 3 2 2" xfId="11125"/>
    <cellStyle name="Normal 3 4 2 2 3 2 2 2" xfId="25447"/>
    <cellStyle name="Normal 3 4 2 2 3 2 3" xfId="24199"/>
    <cellStyle name="Normal 3 4 2 2 3 3" xfId="9153"/>
    <cellStyle name="Normal 3 4 2 2 3 3 2" xfId="24825"/>
    <cellStyle name="Normal 3 4 2 2 3 4" xfId="3393"/>
    <cellStyle name="Normal 3 4 2 2 3 5" xfId="21761"/>
    <cellStyle name="Normal 3 4 2 2 4" xfId="8231"/>
    <cellStyle name="Normal 3 4 2 2 4 2" xfId="10844"/>
    <cellStyle name="Normal 3 4 2 2 4 2 2" xfId="25166"/>
    <cellStyle name="Normal 3 4 2 2 4 3" xfId="23918"/>
    <cellStyle name="Normal 3 4 2 2 5" xfId="8797"/>
    <cellStyle name="Normal 3 4 2 2 5 2" xfId="24484"/>
    <cellStyle name="Normal 3 4 2 2 6" xfId="2944"/>
    <cellStyle name="Normal 3 4 2 2 7" xfId="21758"/>
    <cellStyle name="Normal 3 4 2 3" xfId="764"/>
    <cellStyle name="Normal 3 4 2 3 2" xfId="765"/>
    <cellStyle name="Normal 3 4 2 3 2 2" xfId="8568"/>
    <cellStyle name="Normal 3 4 2 3 2 2 2" xfId="11181"/>
    <cellStyle name="Normal 3 4 2 3 2 2 2 2" xfId="25503"/>
    <cellStyle name="Normal 3 4 2 3 2 2 3" xfId="24255"/>
    <cellStyle name="Normal 3 4 2 3 2 3" xfId="9209"/>
    <cellStyle name="Normal 3 4 2 3 2 3 2" xfId="24881"/>
    <cellStyle name="Normal 3 4 2 3 2 4" xfId="3449"/>
    <cellStyle name="Normal 3 4 2 3 2 5" xfId="21763"/>
    <cellStyle name="Normal 3 4 2 3 3" xfId="8287"/>
    <cellStyle name="Normal 3 4 2 3 3 2" xfId="10900"/>
    <cellStyle name="Normal 3 4 2 3 3 2 2" xfId="25222"/>
    <cellStyle name="Normal 3 4 2 3 3 3" xfId="23974"/>
    <cellStyle name="Normal 3 4 2 3 4" xfId="8853"/>
    <cellStyle name="Normal 3 4 2 3 4 2" xfId="24540"/>
    <cellStyle name="Normal 3 4 2 3 5" xfId="3000"/>
    <cellStyle name="Normal 3 4 2 3 6" xfId="21762"/>
    <cellStyle name="Normal 3 4 2 4" xfId="766"/>
    <cellStyle name="Normal 3 4 2 4 2" xfId="767"/>
    <cellStyle name="Normal 3 4 2 4 2 2" xfId="8623"/>
    <cellStyle name="Normal 3 4 2 4 2 2 2" xfId="11236"/>
    <cellStyle name="Normal 3 4 2 4 2 2 2 2" xfId="25558"/>
    <cellStyle name="Normal 3 4 2 4 2 2 3" xfId="24310"/>
    <cellStyle name="Normal 3 4 2 4 2 3" xfId="9265"/>
    <cellStyle name="Normal 3 4 2 4 2 3 2" xfId="24936"/>
    <cellStyle name="Normal 3 4 2 4 2 4" xfId="3513"/>
    <cellStyle name="Normal 3 4 2 4 2 5" xfId="21765"/>
    <cellStyle name="Normal 3 4 2 4 3" xfId="8342"/>
    <cellStyle name="Normal 3 4 2 4 3 2" xfId="10955"/>
    <cellStyle name="Normal 3 4 2 4 3 2 2" xfId="25277"/>
    <cellStyle name="Normal 3 4 2 4 3 3" xfId="24029"/>
    <cellStyle name="Normal 3 4 2 4 4" xfId="8908"/>
    <cellStyle name="Normal 3 4 2 4 4 2" xfId="24595"/>
    <cellStyle name="Normal 3 4 2 4 5" xfId="3065"/>
    <cellStyle name="Normal 3 4 2 4 6" xfId="21764"/>
    <cellStyle name="Normal 3 4 2 5" xfId="768"/>
    <cellStyle name="Normal 3 4 2 5 2" xfId="8460"/>
    <cellStyle name="Normal 3 4 2 5 2 2" xfId="11073"/>
    <cellStyle name="Normal 3 4 2 5 2 2 2" xfId="25395"/>
    <cellStyle name="Normal 3 4 2 5 2 3" xfId="24147"/>
    <cellStyle name="Normal 3 4 2 5 3" xfId="9032"/>
    <cellStyle name="Normal 3 4 2 5 3 2" xfId="24713"/>
    <cellStyle name="Normal 3 4 2 5 4" xfId="3224"/>
    <cellStyle name="Normal 3 4 2 5 5" xfId="21766"/>
    <cellStyle name="Normal 3 4 2 6" xfId="769"/>
    <cellStyle name="Normal 3 4 2 6 2" xfId="8174"/>
    <cellStyle name="Normal 3 4 2 6 2 2" xfId="10787"/>
    <cellStyle name="Normal 3 4 2 6 2 2 2" xfId="25109"/>
    <cellStyle name="Normal 3 4 2 6 2 3" xfId="23861"/>
    <cellStyle name="Normal 3 4 2 6 3" xfId="9096"/>
    <cellStyle name="Normal 3 4 2 6 3 2" xfId="24768"/>
    <cellStyle name="Normal 3 4 2 6 4" xfId="3336"/>
    <cellStyle name="Normal 3 4 2 6 5" xfId="21767"/>
    <cellStyle name="Normal 3 4 2 7" xfId="8119"/>
    <cellStyle name="Normal 3 4 2 7 2" xfId="10732"/>
    <cellStyle name="Normal 3 4 2 7 2 2" xfId="25054"/>
    <cellStyle name="Normal 3 4 2 7 3" xfId="23806"/>
    <cellStyle name="Normal 3 4 2 8" xfId="8740"/>
    <cellStyle name="Normal 3 4 2 8 2" xfId="24427"/>
    <cellStyle name="Normal 3 4 2 9" xfId="2887"/>
    <cellStyle name="Normal 3 4 3" xfId="770"/>
    <cellStyle name="Normal 3 4 3 2" xfId="771"/>
    <cellStyle name="Normal 3 4 3 2 2" xfId="772"/>
    <cellStyle name="Normal 3 4 3 2 2 2" xfId="8654"/>
    <cellStyle name="Normal 3 4 3 2 2 2 2" xfId="11267"/>
    <cellStyle name="Normal 3 4 3 2 2 2 2 2" xfId="25589"/>
    <cellStyle name="Normal 3 4 3 2 2 2 3" xfId="24341"/>
    <cellStyle name="Normal 3 4 3 2 2 3" xfId="9296"/>
    <cellStyle name="Normal 3 4 3 2 2 3 2" xfId="24967"/>
    <cellStyle name="Normal 3 4 3 2 2 4" xfId="3544"/>
    <cellStyle name="Normal 3 4 3 2 2 5" xfId="21770"/>
    <cellStyle name="Normal 3 4 3 2 3" xfId="8373"/>
    <cellStyle name="Normal 3 4 3 2 3 2" xfId="10986"/>
    <cellStyle name="Normal 3 4 3 2 3 2 2" xfId="25308"/>
    <cellStyle name="Normal 3 4 3 2 3 3" xfId="24060"/>
    <cellStyle name="Normal 3 4 3 2 4" xfId="8939"/>
    <cellStyle name="Normal 3 4 3 2 4 2" xfId="24626"/>
    <cellStyle name="Normal 3 4 3 2 5" xfId="3096"/>
    <cellStyle name="Normal 3 4 3 2 6" xfId="21769"/>
    <cellStyle name="Normal 3 4 3 3" xfId="773"/>
    <cellStyle name="Normal 3 4 3 3 2" xfId="8487"/>
    <cellStyle name="Normal 3 4 3 3 2 2" xfId="11100"/>
    <cellStyle name="Normal 3 4 3 3 2 2 2" xfId="25422"/>
    <cellStyle name="Normal 3 4 3 3 2 3" xfId="24174"/>
    <cellStyle name="Normal 3 4 3 3 3" xfId="9127"/>
    <cellStyle name="Normal 3 4 3 3 3 2" xfId="24799"/>
    <cellStyle name="Normal 3 4 3 3 4" xfId="3367"/>
    <cellStyle name="Normal 3 4 3 3 5" xfId="21771"/>
    <cellStyle name="Normal 3 4 3 4" xfId="8205"/>
    <cellStyle name="Normal 3 4 3 4 2" xfId="10818"/>
    <cellStyle name="Normal 3 4 3 4 2 2" xfId="25140"/>
    <cellStyle name="Normal 3 4 3 4 3" xfId="23892"/>
    <cellStyle name="Normal 3 4 3 5" xfId="8771"/>
    <cellStyle name="Normal 3 4 3 5 2" xfId="24458"/>
    <cellStyle name="Normal 3 4 3 6" xfId="2918"/>
    <cellStyle name="Normal 3 4 3 7" xfId="21768"/>
    <cellStyle name="Normal 3 4 4" xfId="774"/>
    <cellStyle name="Normal 3 4 4 2" xfId="775"/>
    <cellStyle name="Normal 3 4 4 2 2" xfId="8542"/>
    <cellStyle name="Normal 3 4 4 2 2 2" xfId="11155"/>
    <cellStyle name="Normal 3 4 4 2 2 2 2" xfId="25477"/>
    <cellStyle name="Normal 3 4 4 2 2 3" xfId="24229"/>
    <cellStyle name="Normal 3 4 4 2 3" xfId="9183"/>
    <cellStyle name="Normal 3 4 4 2 3 2" xfId="24855"/>
    <cellStyle name="Normal 3 4 4 2 4" xfId="3423"/>
    <cellStyle name="Normal 3 4 4 2 5" xfId="21773"/>
    <cellStyle name="Normal 3 4 4 3" xfId="8261"/>
    <cellStyle name="Normal 3 4 4 3 2" xfId="10874"/>
    <cellStyle name="Normal 3 4 4 3 2 2" xfId="25196"/>
    <cellStyle name="Normal 3 4 4 3 3" xfId="23948"/>
    <cellStyle name="Normal 3 4 4 4" xfId="8827"/>
    <cellStyle name="Normal 3 4 4 4 2" xfId="24514"/>
    <cellStyle name="Normal 3 4 4 5" xfId="2974"/>
    <cellStyle name="Normal 3 4 4 6" xfId="21772"/>
    <cellStyle name="Normal 3 4 5" xfId="776"/>
    <cellStyle name="Normal 3 4 5 2" xfId="777"/>
    <cellStyle name="Normal 3 4 5 2 2" xfId="8592"/>
    <cellStyle name="Normal 3 4 5 2 2 2" xfId="11205"/>
    <cellStyle name="Normal 3 4 5 2 2 2 2" xfId="25527"/>
    <cellStyle name="Normal 3 4 5 2 2 3" xfId="24279"/>
    <cellStyle name="Normal 3 4 5 2 3" xfId="9234"/>
    <cellStyle name="Normal 3 4 5 2 3 2" xfId="24905"/>
    <cellStyle name="Normal 3 4 5 2 4" xfId="3481"/>
    <cellStyle name="Normal 3 4 5 2 5" xfId="21775"/>
    <cellStyle name="Normal 3 4 5 3" xfId="8311"/>
    <cellStyle name="Normal 3 4 5 3 2" xfId="10924"/>
    <cellStyle name="Normal 3 4 5 3 2 2" xfId="25246"/>
    <cellStyle name="Normal 3 4 5 3 3" xfId="23998"/>
    <cellStyle name="Normal 3 4 5 4" xfId="8877"/>
    <cellStyle name="Normal 3 4 5 4 2" xfId="24564"/>
    <cellStyle name="Normal 3 4 5 5" xfId="3034"/>
    <cellStyle name="Normal 3 4 5 6" xfId="21774"/>
    <cellStyle name="Normal 3 4 6" xfId="778"/>
    <cellStyle name="Normal 3 4 6 2" xfId="8439"/>
    <cellStyle name="Normal 3 4 6 2 2" xfId="11052"/>
    <cellStyle name="Normal 3 4 6 2 2 2" xfId="25374"/>
    <cellStyle name="Normal 3 4 6 2 3" xfId="24126"/>
    <cellStyle name="Normal 3 4 6 3" xfId="9011"/>
    <cellStyle name="Normal 3 4 6 3 2" xfId="24692"/>
    <cellStyle name="Normal 3 4 6 4" xfId="3202"/>
    <cellStyle name="Normal 3 4 6 5" xfId="21776"/>
    <cellStyle name="Normal 3 4 7" xfId="779"/>
    <cellStyle name="Normal 3 4 7 2" xfId="8143"/>
    <cellStyle name="Normal 3 4 7 2 2" xfId="10756"/>
    <cellStyle name="Normal 3 4 7 2 2 2" xfId="25078"/>
    <cellStyle name="Normal 3 4 7 2 3" xfId="23830"/>
    <cellStyle name="Normal 3 4 7 3" xfId="9065"/>
    <cellStyle name="Normal 3 4 7 3 2" xfId="24737"/>
    <cellStyle name="Normal 3 4 7 4" xfId="3305"/>
    <cellStyle name="Normal 3 4 7 5" xfId="21777"/>
    <cellStyle name="Normal 3 4 8" xfId="8098"/>
    <cellStyle name="Normal 3 4 8 2" xfId="10711"/>
    <cellStyle name="Normal 3 4 8 2 2" xfId="25033"/>
    <cellStyle name="Normal 3 4 8 3" xfId="23785"/>
    <cellStyle name="Normal 3 4 9" xfId="8709"/>
    <cellStyle name="Normal 3 4 9 2" xfId="24396"/>
    <cellStyle name="Normal 3 5" xfId="780"/>
    <cellStyle name="Normal 3 5 10" xfId="2858"/>
    <cellStyle name="Normal 3 5 11" xfId="21778"/>
    <cellStyle name="Normal 3 5 2" xfId="781"/>
    <cellStyle name="Normal 3 5 2 10" xfId="21779"/>
    <cellStyle name="Normal 3 5 2 2" xfId="782"/>
    <cellStyle name="Normal 3 5 2 2 2" xfId="783"/>
    <cellStyle name="Normal 3 5 2 2 2 2" xfId="784"/>
    <cellStyle name="Normal 3 5 2 2 2 2 2" xfId="8685"/>
    <cellStyle name="Normal 3 5 2 2 2 2 2 2" xfId="11298"/>
    <cellStyle name="Normal 3 5 2 2 2 2 2 2 2" xfId="25620"/>
    <cellStyle name="Normal 3 5 2 2 2 2 2 3" xfId="24372"/>
    <cellStyle name="Normal 3 5 2 2 2 2 3" xfId="9327"/>
    <cellStyle name="Normal 3 5 2 2 2 2 3 2" xfId="24998"/>
    <cellStyle name="Normal 3 5 2 2 2 2 4" xfId="3575"/>
    <cellStyle name="Normal 3 5 2 2 2 2 5" xfId="21782"/>
    <cellStyle name="Normal 3 5 2 2 2 3" xfId="8404"/>
    <cellStyle name="Normal 3 5 2 2 2 3 2" xfId="11017"/>
    <cellStyle name="Normal 3 5 2 2 2 3 2 2" xfId="25339"/>
    <cellStyle name="Normal 3 5 2 2 2 3 3" xfId="24091"/>
    <cellStyle name="Normal 3 5 2 2 2 4" xfId="8970"/>
    <cellStyle name="Normal 3 5 2 2 2 4 2" xfId="24657"/>
    <cellStyle name="Normal 3 5 2 2 2 5" xfId="3127"/>
    <cellStyle name="Normal 3 5 2 2 2 6" xfId="21781"/>
    <cellStyle name="Normal 3 5 2 2 3" xfId="785"/>
    <cellStyle name="Normal 3 5 2 2 3 2" xfId="8517"/>
    <cellStyle name="Normal 3 5 2 2 3 2 2" xfId="11130"/>
    <cellStyle name="Normal 3 5 2 2 3 2 2 2" xfId="25452"/>
    <cellStyle name="Normal 3 5 2 2 3 2 3" xfId="24204"/>
    <cellStyle name="Normal 3 5 2 2 3 3" xfId="9158"/>
    <cellStyle name="Normal 3 5 2 2 3 3 2" xfId="24830"/>
    <cellStyle name="Normal 3 5 2 2 3 4" xfId="3398"/>
    <cellStyle name="Normal 3 5 2 2 3 5" xfId="21783"/>
    <cellStyle name="Normal 3 5 2 2 4" xfId="8236"/>
    <cellStyle name="Normal 3 5 2 2 4 2" xfId="10849"/>
    <cellStyle name="Normal 3 5 2 2 4 2 2" xfId="25171"/>
    <cellStyle name="Normal 3 5 2 2 4 3" xfId="23923"/>
    <cellStyle name="Normal 3 5 2 2 5" xfId="8802"/>
    <cellStyle name="Normal 3 5 2 2 5 2" xfId="24489"/>
    <cellStyle name="Normal 3 5 2 2 6" xfId="2949"/>
    <cellStyle name="Normal 3 5 2 2 7" xfId="21780"/>
    <cellStyle name="Normal 3 5 2 3" xfId="786"/>
    <cellStyle name="Normal 3 5 2 3 2" xfId="787"/>
    <cellStyle name="Normal 3 5 2 3 2 2" xfId="8573"/>
    <cellStyle name="Normal 3 5 2 3 2 2 2" xfId="11186"/>
    <cellStyle name="Normal 3 5 2 3 2 2 2 2" xfId="25508"/>
    <cellStyle name="Normal 3 5 2 3 2 2 3" xfId="24260"/>
    <cellStyle name="Normal 3 5 2 3 2 3" xfId="9214"/>
    <cellStyle name="Normal 3 5 2 3 2 3 2" xfId="24886"/>
    <cellStyle name="Normal 3 5 2 3 2 4" xfId="3454"/>
    <cellStyle name="Normal 3 5 2 3 2 5" xfId="21785"/>
    <cellStyle name="Normal 3 5 2 3 3" xfId="8292"/>
    <cellStyle name="Normal 3 5 2 3 3 2" xfId="10905"/>
    <cellStyle name="Normal 3 5 2 3 3 2 2" xfId="25227"/>
    <cellStyle name="Normal 3 5 2 3 3 3" xfId="23979"/>
    <cellStyle name="Normal 3 5 2 3 4" xfId="8858"/>
    <cellStyle name="Normal 3 5 2 3 4 2" xfId="24545"/>
    <cellStyle name="Normal 3 5 2 3 5" xfId="3005"/>
    <cellStyle name="Normal 3 5 2 3 6" xfId="21784"/>
    <cellStyle name="Normal 3 5 2 4" xfId="788"/>
    <cellStyle name="Normal 3 5 2 4 2" xfId="789"/>
    <cellStyle name="Normal 3 5 2 4 2 2" xfId="8628"/>
    <cellStyle name="Normal 3 5 2 4 2 2 2" xfId="11241"/>
    <cellStyle name="Normal 3 5 2 4 2 2 2 2" xfId="25563"/>
    <cellStyle name="Normal 3 5 2 4 2 2 3" xfId="24315"/>
    <cellStyle name="Normal 3 5 2 4 2 3" xfId="9270"/>
    <cellStyle name="Normal 3 5 2 4 2 3 2" xfId="24941"/>
    <cellStyle name="Normal 3 5 2 4 2 4" xfId="3518"/>
    <cellStyle name="Normal 3 5 2 4 2 5" xfId="21787"/>
    <cellStyle name="Normal 3 5 2 4 3" xfId="8347"/>
    <cellStyle name="Normal 3 5 2 4 3 2" xfId="10960"/>
    <cellStyle name="Normal 3 5 2 4 3 2 2" xfId="25282"/>
    <cellStyle name="Normal 3 5 2 4 3 3" xfId="24034"/>
    <cellStyle name="Normal 3 5 2 4 4" xfId="8913"/>
    <cellStyle name="Normal 3 5 2 4 4 2" xfId="24600"/>
    <cellStyle name="Normal 3 5 2 4 5" xfId="3070"/>
    <cellStyle name="Normal 3 5 2 4 6" xfId="21786"/>
    <cellStyle name="Normal 3 5 2 5" xfId="790"/>
    <cellStyle name="Normal 3 5 2 5 2" xfId="8465"/>
    <cellStyle name="Normal 3 5 2 5 2 2" xfId="11078"/>
    <cellStyle name="Normal 3 5 2 5 2 2 2" xfId="25400"/>
    <cellStyle name="Normal 3 5 2 5 2 3" xfId="24152"/>
    <cellStyle name="Normal 3 5 2 5 3" xfId="9037"/>
    <cellStyle name="Normal 3 5 2 5 3 2" xfId="24718"/>
    <cellStyle name="Normal 3 5 2 5 4" xfId="3229"/>
    <cellStyle name="Normal 3 5 2 5 5" xfId="21788"/>
    <cellStyle name="Normal 3 5 2 6" xfId="791"/>
    <cellStyle name="Normal 3 5 2 6 2" xfId="8179"/>
    <cellStyle name="Normal 3 5 2 6 2 2" xfId="10792"/>
    <cellStyle name="Normal 3 5 2 6 2 2 2" xfId="25114"/>
    <cellStyle name="Normal 3 5 2 6 2 3" xfId="23866"/>
    <cellStyle name="Normal 3 5 2 6 3" xfId="9101"/>
    <cellStyle name="Normal 3 5 2 6 3 2" xfId="24773"/>
    <cellStyle name="Normal 3 5 2 6 4" xfId="3341"/>
    <cellStyle name="Normal 3 5 2 6 5" xfId="21789"/>
    <cellStyle name="Normal 3 5 2 7" xfId="8124"/>
    <cellStyle name="Normal 3 5 2 7 2" xfId="10737"/>
    <cellStyle name="Normal 3 5 2 7 2 2" xfId="25059"/>
    <cellStyle name="Normal 3 5 2 7 3" xfId="23811"/>
    <cellStyle name="Normal 3 5 2 8" xfId="8745"/>
    <cellStyle name="Normal 3 5 2 8 2" xfId="24432"/>
    <cellStyle name="Normal 3 5 2 9" xfId="2892"/>
    <cellStyle name="Normal 3 5 3" xfId="792"/>
    <cellStyle name="Normal 3 5 3 2" xfId="793"/>
    <cellStyle name="Normal 3 5 3 2 2" xfId="794"/>
    <cellStyle name="Normal 3 5 3 2 2 2" xfId="8659"/>
    <cellStyle name="Normal 3 5 3 2 2 2 2" xfId="11272"/>
    <cellStyle name="Normal 3 5 3 2 2 2 2 2" xfId="25594"/>
    <cellStyle name="Normal 3 5 3 2 2 2 3" xfId="24346"/>
    <cellStyle name="Normal 3 5 3 2 2 3" xfId="9301"/>
    <cellStyle name="Normal 3 5 3 2 2 3 2" xfId="24972"/>
    <cellStyle name="Normal 3 5 3 2 2 4" xfId="3549"/>
    <cellStyle name="Normal 3 5 3 2 2 5" xfId="21792"/>
    <cellStyle name="Normal 3 5 3 2 3" xfId="8378"/>
    <cellStyle name="Normal 3 5 3 2 3 2" xfId="10991"/>
    <cellStyle name="Normal 3 5 3 2 3 2 2" xfId="25313"/>
    <cellStyle name="Normal 3 5 3 2 3 3" xfId="24065"/>
    <cellStyle name="Normal 3 5 3 2 4" xfId="8944"/>
    <cellStyle name="Normal 3 5 3 2 4 2" xfId="24631"/>
    <cellStyle name="Normal 3 5 3 2 5" xfId="3101"/>
    <cellStyle name="Normal 3 5 3 2 6" xfId="21791"/>
    <cellStyle name="Normal 3 5 3 3" xfId="795"/>
    <cellStyle name="Normal 3 5 3 3 2" xfId="8491"/>
    <cellStyle name="Normal 3 5 3 3 2 2" xfId="11104"/>
    <cellStyle name="Normal 3 5 3 3 2 2 2" xfId="25426"/>
    <cellStyle name="Normal 3 5 3 3 2 3" xfId="24178"/>
    <cellStyle name="Normal 3 5 3 3 3" xfId="9132"/>
    <cellStyle name="Normal 3 5 3 3 3 2" xfId="24804"/>
    <cellStyle name="Normal 3 5 3 3 4" xfId="3372"/>
    <cellStyle name="Normal 3 5 3 3 5" xfId="21793"/>
    <cellStyle name="Normal 3 5 3 4" xfId="8210"/>
    <cellStyle name="Normal 3 5 3 4 2" xfId="10823"/>
    <cellStyle name="Normal 3 5 3 4 2 2" xfId="25145"/>
    <cellStyle name="Normal 3 5 3 4 3" xfId="23897"/>
    <cellStyle name="Normal 3 5 3 5" xfId="8776"/>
    <cellStyle name="Normal 3 5 3 5 2" xfId="24463"/>
    <cellStyle name="Normal 3 5 3 6" xfId="2923"/>
    <cellStyle name="Normal 3 5 3 7" xfId="21790"/>
    <cellStyle name="Normal 3 5 4" xfId="796"/>
    <cellStyle name="Normal 3 5 4 2" xfId="797"/>
    <cellStyle name="Normal 3 5 4 2 2" xfId="8547"/>
    <cellStyle name="Normal 3 5 4 2 2 2" xfId="11160"/>
    <cellStyle name="Normal 3 5 4 2 2 2 2" xfId="25482"/>
    <cellStyle name="Normal 3 5 4 2 2 3" xfId="24234"/>
    <cellStyle name="Normal 3 5 4 2 3" xfId="9188"/>
    <cellStyle name="Normal 3 5 4 2 3 2" xfId="24860"/>
    <cellStyle name="Normal 3 5 4 2 4" xfId="3428"/>
    <cellStyle name="Normal 3 5 4 2 5" xfId="21795"/>
    <cellStyle name="Normal 3 5 4 3" xfId="8266"/>
    <cellStyle name="Normal 3 5 4 3 2" xfId="10879"/>
    <cellStyle name="Normal 3 5 4 3 2 2" xfId="25201"/>
    <cellStyle name="Normal 3 5 4 3 3" xfId="23953"/>
    <cellStyle name="Normal 3 5 4 4" xfId="8832"/>
    <cellStyle name="Normal 3 5 4 4 2" xfId="24519"/>
    <cellStyle name="Normal 3 5 4 5" xfId="2979"/>
    <cellStyle name="Normal 3 5 4 6" xfId="21794"/>
    <cellStyle name="Normal 3 5 5" xfId="798"/>
    <cellStyle name="Normal 3 5 5 2" xfId="799"/>
    <cellStyle name="Normal 3 5 5 2 2" xfId="8597"/>
    <cellStyle name="Normal 3 5 5 2 2 2" xfId="11210"/>
    <cellStyle name="Normal 3 5 5 2 2 2 2" xfId="25532"/>
    <cellStyle name="Normal 3 5 5 2 2 3" xfId="24284"/>
    <cellStyle name="Normal 3 5 5 2 3" xfId="9239"/>
    <cellStyle name="Normal 3 5 5 2 3 2" xfId="24910"/>
    <cellStyle name="Normal 3 5 5 2 4" xfId="3486"/>
    <cellStyle name="Normal 3 5 5 2 5" xfId="21797"/>
    <cellStyle name="Normal 3 5 5 3" xfId="8316"/>
    <cellStyle name="Normal 3 5 5 3 2" xfId="10929"/>
    <cellStyle name="Normal 3 5 5 3 2 2" xfId="25251"/>
    <cellStyle name="Normal 3 5 5 3 3" xfId="24003"/>
    <cellStyle name="Normal 3 5 5 4" xfId="8882"/>
    <cellStyle name="Normal 3 5 5 4 2" xfId="24569"/>
    <cellStyle name="Normal 3 5 5 5" xfId="3039"/>
    <cellStyle name="Normal 3 5 5 6" xfId="21796"/>
    <cellStyle name="Normal 3 5 6" xfId="800"/>
    <cellStyle name="Normal 3 5 6 2" xfId="8441"/>
    <cellStyle name="Normal 3 5 6 2 2" xfId="11054"/>
    <cellStyle name="Normal 3 5 6 2 2 2" xfId="25376"/>
    <cellStyle name="Normal 3 5 6 2 3" xfId="24128"/>
    <cellStyle name="Normal 3 5 6 3" xfId="9013"/>
    <cellStyle name="Normal 3 5 6 3 2" xfId="24694"/>
    <cellStyle name="Normal 3 5 6 4" xfId="3204"/>
    <cellStyle name="Normal 3 5 6 5" xfId="21798"/>
    <cellStyle name="Normal 3 5 7" xfId="801"/>
    <cellStyle name="Normal 3 5 7 2" xfId="8148"/>
    <cellStyle name="Normal 3 5 7 2 2" xfId="10761"/>
    <cellStyle name="Normal 3 5 7 2 2 2" xfId="25083"/>
    <cellStyle name="Normal 3 5 7 2 3" xfId="23835"/>
    <cellStyle name="Normal 3 5 7 3" xfId="9070"/>
    <cellStyle name="Normal 3 5 7 3 2" xfId="24742"/>
    <cellStyle name="Normal 3 5 7 4" xfId="3310"/>
    <cellStyle name="Normal 3 5 7 5" xfId="21799"/>
    <cellStyle name="Normal 3 5 8" xfId="8100"/>
    <cellStyle name="Normal 3 5 8 2" xfId="10713"/>
    <cellStyle name="Normal 3 5 8 2 2" xfId="25035"/>
    <cellStyle name="Normal 3 5 8 3" xfId="23787"/>
    <cellStyle name="Normal 3 5 9" xfId="8714"/>
    <cellStyle name="Normal 3 5 9 2" xfId="24401"/>
    <cellStyle name="Normal 3 6" xfId="802"/>
    <cellStyle name="Normal 3 6 10" xfId="21800"/>
    <cellStyle name="Normal 3 6 2" xfId="803"/>
    <cellStyle name="Normal 3 6 2 2" xfId="804"/>
    <cellStyle name="Normal 3 6 2 2 2" xfId="805"/>
    <cellStyle name="Normal 3 6 2 2 2 2" xfId="8670"/>
    <cellStyle name="Normal 3 6 2 2 2 2 2" xfId="11283"/>
    <cellStyle name="Normal 3 6 2 2 2 2 2 2" xfId="25605"/>
    <cellStyle name="Normal 3 6 2 2 2 2 3" xfId="24357"/>
    <cellStyle name="Normal 3 6 2 2 2 3" xfId="9312"/>
    <cellStyle name="Normal 3 6 2 2 2 3 2" xfId="24983"/>
    <cellStyle name="Normal 3 6 2 2 2 4" xfId="3560"/>
    <cellStyle name="Normal 3 6 2 2 2 5" xfId="21803"/>
    <cellStyle name="Normal 3 6 2 2 3" xfId="8389"/>
    <cellStyle name="Normal 3 6 2 2 3 2" xfId="11002"/>
    <cellStyle name="Normal 3 6 2 2 3 2 2" xfId="25324"/>
    <cellStyle name="Normal 3 6 2 2 3 3" xfId="24076"/>
    <cellStyle name="Normal 3 6 2 2 4" xfId="8955"/>
    <cellStyle name="Normal 3 6 2 2 4 2" xfId="24642"/>
    <cellStyle name="Normal 3 6 2 2 5" xfId="3112"/>
    <cellStyle name="Normal 3 6 2 2 6" xfId="21802"/>
    <cellStyle name="Normal 3 6 2 3" xfId="806"/>
    <cellStyle name="Normal 3 6 2 3 2" xfId="8502"/>
    <cellStyle name="Normal 3 6 2 3 2 2" xfId="11115"/>
    <cellStyle name="Normal 3 6 2 3 2 2 2" xfId="25437"/>
    <cellStyle name="Normal 3 6 2 3 2 3" xfId="24189"/>
    <cellStyle name="Normal 3 6 2 3 3" xfId="9143"/>
    <cellStyle name="Normal 3 6 2 3 3 2" xfId="24815"/>
    <cellStyle name="Normal 3 6 2 3 4" xfId="3383"/>
    <cellStyle name="Normal 3 6 2 3 5" xfId="21804"/>
    <cellStyle name="Normal 3 6 2 4" xfId="8221"/>
    <cellStyle name="Normal 3 6 2 4 2" xfId="10834"/>
    <cellStyle name="Normal 3 6 2 4 2 2" xfId="25156"/>
    <cellStyle name="Normal 3 6 2 4 3" xfId="23908"/>
    <cellStyle name="Normal 3 6 2 5" xfId="8787"/>
    <cellStyle name="Normal 3 6 2 5 2" xfId="24474"/>
    <cellStyle name="Normal 3 6 2 6" xfId="2934"/>
    <cellStyle name="Normal 3 6 2 7" xfId="21801"/>
    <cellStyle name="Normal 3 6 3" xfId="807"/>
    <cellStyle name="Normal 3 6 3 2" xfId="808"/>
    <cellStyle name="Normal 3 6 3 2 2" xfId="8558"/>
    <cellStyle name="Normal 3 6 3 2 2 2" xfId="11171"/>
    <cellStyle name="Normal 3 6 3 2 2 2 2" xfId="25493"/>
    <cellStyle name="Normal 3 6 3 2 2 3" xfId="24245"/>
    <cellStyle name="Normal 3 6 3 2 3" xfId="9199"/>
    <cellStyle name="Normal 3 6 3 2 3 2" xfId="24871"/>
    <cellStyle name="Normal 3 6 3 2 4" xfId="3439"/>
    <cellStyle name="Normal 3 6 3 2 5" xfId="21806"/>
    <cellStyle name="Normal 3 6 3 3" xfId="8277"/>
    <cellStyle name="Normal 3 6 3 3 2" xfId="10890"/>
    <cellStyle name="Normal 3 6 3 3 2 2" xfId="25212"/>
    <cellStyle name="Normal 3 6 3 3 3" xfId="23964"/>
    <cellStyle name="Normal 3 6 3 4" xfId="8843"/>
    <cellStyle name="Normal 3 6 3 4 2" xfId="24530"/>
    <cellStyle name="Normal 3 6 3 5" xfId="2990"/>
    <cellStyle name="Normal 3 6 3 6" xfId="21805"/>
    <cellStyle name="Normal 3 6 4" xfId="809"/>
    <cellStyle name="Normal 3 6 4 2" xfId="810"/>
    <cellStyle name="Normal 3 6 4 2 2" xfId="8608"/>
    <cellStyle name="Normal 3 6 4 2 2 2" xfId="11221"/>
    <cellStyle name="Normal 3 6 4 2 2 2 2" xfId="25543"/>
    <cellStyle name="Normal 3 6 4 2 2 3" xfId="24295"/>
    <cellStyle name="Normal 3 6 4 2 3" xfId="9250"/>
    <cellStyle name="Normal 3 6 4 2 3 2" xfId="24921"/>
    <cellStyle name="Normal 3 6 4 2 4" xfId="3497"/>
    <cellStyle name="Normal 3 6 4 2 5" xfId="21808"/>
    <cellStyle name="Normal 3 6 4 3" xfId="8327"/>
    <cellStyle name="Normal 3 6 4 3 2" xfId="10940"/>
    <cellStyle name="Normal 3 6 4 3 2 2" xfId="25262"/>
    <cellStyle name="Normal 3 6 4 3 3" xfId="24014"/>
    <cellStyle name="Normal 3 6 4 4" xfId="8893"/>
    <cellStyle name="Normal 3 6 4 4 2" xfId="24580"/>
    <cellStyle name="Normal 3 6 4 5" xfId="3050"/>
    <cellStyle name="Normal 3 6 4 6" xfId="21807"/>
    <cellStyle name="Normal 3 6 5" xfId="811"/>
    <cellStyle name="Normal 3 6 5 2" xfId="8451"/>
    <cellStyle name="Normal 3 6 5 2 2" xfId="11064"/>
    <cellStyle name="Normal 3 6 5 2 2 2" xfId="25386"/>
    <cellStyle name="Normal 3 6 5 2 3" xfId="24138"/>
    <cellStyle name="Normal 3 6 5 3" xfId="9023"/>
    <cellStyle name="Normal 3 6 5 3 2" xfId="24704"/>
    <cellStyle name="Normal 3 6 5 4" xfId="3214"/>
    <cellStyle name="Normal 3 6 5 5" xfId="21809"/>
    <cellStyle name="Normal 3 6 6" xfId="812"/>
    <cellStyle name="Normal 3 6 6 2" xfId="8159"/>
    <cellStyle name="Normal 3 6 6 2 2" xfId="10772"/>
    <cellStyle name="Normal 3 6 6 2 2 2" xfId="25094"/>
    <cellStyle name="Normal 3 6 6 2 3" xfId="23846"/>
    <cellStyle name="Normal 3 6 6 3" xfId="9081"/>
    <cellStyle name="Normal 3 6 6 3 2" xfId="24753"/>
    <cellStyle name="Normal 3 6 6 4" xfId="3321"/>
    <cellStyle name="Normal 3 6 6 5" xfId="21810"/>
    <cellStyle name="Normal 3 6 7" xfId="8110"/>
    <cellStyle name="Normal 3 6 7 2" xfId="10723"/>
    <cellStyle name="Normal 3 6 7 2 2" xfId="25045"/>
    <cellStyle name="Normal 3 6 7 3" xfId="23797"/>
    <cellStyle name="Normal 3 6 8" xfId="8725"/>
    <cellStyle name="Normal 3 6 8 2" xfId="24412"/>
    <cellStyle name="Normal 3 6 9" xfId="2870"/>
    <cellStyle name="Normal 3 7" xfId="813"/>
    <cellStyle name="Normal 3 7 10" xfId="21811"/>
    <cellStyle name="Normal 3 7 2" xfId="814"/>
    <cellStyle name="Normal 3 7 2 2" xfId="815"/>
    <cellStyle name="Normal 3 7 2 2 2" xfId="816"/>
    <cellStyle name="Normal 3 7 2 2 2 2" xfId="8645"/>
    <cellStyle name="Normal 3 7 2 2 2 2 2" xfId="11258"/>
    <cellStyle name="Normal 3 7 2 2 2 2 2 2" xfId="25580"/>
    <cellStyle name="Normal 3 7 2 2 2 2 3" xfId="24332"/>
    <cellStyle name="Normal 3 7 2 2 2 3" xfId="9287"/>
    <cellStyle name="Normal 3 7 2 2 2 3 2" xfId="24958"/>
    <cellStyle name="Normal 3 7 2 2 2 4" xfId="3535"/>
    <cellStyle name="Normal 3 7 2 2 2 5" xfId="21814"/>
    <cellStyle name="Normal 3 7 2 2 3" xfId="8364"/>
    <cellStyle name="Normal 3 7 2 2 3 2" xfId="10977"/>
    <cellStyle name="Normal 3 7 2 2 3 2 2" xfId="25299"/>
    <cellStyle name="Normal 3 7 2 2 3 3" xfId="24051"/>
    <cellStyle name="Normal 3 7 2 2 4" xfId="8930"/>
    <cellStyle name="Normal 3 7 2 2 4 2" xfId="24617"/>
    <cellStyle name="Normal 3 7 2 2 5" xfId="3087"/>
    <cellStyle name="Normal 3 7 2 2 6" xfId="21813"/>
    <cellStyle name="Normal 3 7 2 3" xfId="817"/>
    <cellStyle name="Normal 3 7 2 3 2" xfId="8481"/>
    <cellStyle name="Normal 3 7 2 3 2 2" xfId="11094"/>
    <cellStyle name="Normal 3 7 2 3 2 2 2" xfId="25416"/>
    <cellStyle name="Normal 3 7 2 3 2 3" xfId="24168"/>
    <cellStyle name="Normal 3 7 2 3 3" xfId="9118"/>
    <cellStyle name="Normal 3 7 2 3 3 2" xfId="24790"/>
    <cellStyle name="Normal 3 7 2 3 4" xfId="3358"/>
    <cellStyle name="Normal 3 7 2 3 5" xfId="21815"/>
    <cellStyle name="Normal 3 7 2 4" xfId="8196"/>
    <cellStyle name="Normal 3 7 2 4 2" xfId="10809"/>
    <cellStyle name="Normal 3 7 2 4 2 2" xfId="25131"/>
    <cellStyle name="Normal 3 7 2 4 3" xfId="23883"/>
    <cellStyle name="Normal 3 7 2 5" xfId="8762"/>
    <cellStyle name="Normal 3 7 2 5 2" xfId="24449"/>
    <cellStyle name="Normal 3 7 2 6" xfId="2909"/>
    <cellStyle name="Normal 3 7 2 7" xfId="21812"/>
    <cellStyle name="Normal 3 7 3" xfId="818"/>
    <cellStyle name="Normal 3 7 3 2" xfId="819"/>
    <cellStyle name="Normal 3 7 3 2 2" xfId="8533"/>
    <cellStyle name="Normal 3 7 3 2 2 2" xfId="11146"/>
    <cellStyle name="Normal 3 7 3 2 2 2 2" xfId="25468"/>
    <cellStyle name="Normal 3 7 3 2 2 3" xfId="24220"/>
    <cellStyle name="Normal 3 7 3 2 3" xfId="9174"/>
    <cellStyle name="Normal 3 7 3 2 3 2" xfId="24846"/>
    <cellStyle name="Normal 3 7 3 2 4" xfId="3414"/>
    <cellStyle name="Normal 3 7 3 2 5" xfId="21817"/>
    <cellStyle name="Normal 3 7 3 3" xfId="8252"/>
    <cellStyle name="Normal 3 7 3 3 2" xfId="10865"/>
    <cellStyle name="Normal 3 7 3 3 2 2" xfId="25187"/>
    <cellStyle name="Normal 3 7 3 3 3" xfId="23939"/>
    <cellStyle name="Normal 3 7 3 4" xfId="8818"/>
    <cellStyle name="Normal 3 7 3 4 2" xfId="24505"/>
    <cellStyle name="Normal 3 7 3 5" xfId="2965"/>
    <cellStyle name="Normal 3 7 3 6" xfId="21816"/>
    <cellStyle name="Normal 3 7 4" xfId="820"/>
    <cellStyle name="Normal 3 7 4 2" xfId="821"/>
    <cellStyle name="Normal 3 7 4 2 2" xfId="8614"/>
    <cellStyle name="Normal 3 7 4 2 2 2" xfId="11227"/>
    <cellStyle name="Normal 3 7 4 2 2 2 2" xfId="25549"/>
    <cellStyle name="Normal 3 7 4 2 2 3" xfId="24301"/>
    <cellStyle name="Normal 3 7 4 2 3" xfId="9256"/>
    <cellStyle name="Normal 3 7 4 2 3 2" xfId="24927"/>
    <cellStyle name="Normal 3 7 4 2 4" xfId="3503"/>
    <cellStyle name="Normal 3 7 4 2 5" xfId="21819"/>
    <cellStyle name="Normal 3 7 4 3" xfId="8333"/>
    <cellStyle name="Normal 3 7 4 3 2" xfId="10946"/>
    <cellStyle name="Normal 3 7 4 3 2 2" xfId="25268"/>
    <cellStyle name="Normal 3 7 4 3 3" xfId="24020"/>
    <cellStyle name="Normal 3 7 4 4" xfId="8899"/>
    <cellStyle name="Normal 3 7 4 4 2" xfId="24586"/>
    <cellStyle name="Normal 3 7 4 5" xfId="3056"/>
    <cellStyle name="Normal 3 7 4 6" xfId="21818"/>
    <cellStyle name="Normal 3 7 5" xfId="822"/>
    <cellStyle name="Normal 3 7 5 2" xfId="8431"/>
    <cellStyle name="Normal 3 7 5 2 2" xfId="11044"/>
    <cellStyle name="Normal 3 7 5 2 2 2" xfId="25366"/>
    <cellStyle name="Normal 3 7 5 2 3" xfId="24118"/>
    <cellStyle name="Normal 3 7 5 3" xfId="9001"/>
    <cellStyle name="Normal 3 7 5 3 2" xfId="24684"/>
    <cellStyle name="Normal 3 7 5 4" xfId="3175"/>
    <cellStyle name="Normal 3 7 5 5" xfId="21820"/>
    <cellStyle name="Normal 3 7 6" xfId="823"/>
    <cellStyle name="Normal 3 7 6 2" xfId="8165"/>
    <cellStyle name="Normal 3 7 6 2 2" xfId="10778"/>
    <cellStyle name="Normal 3 7 6 2 2 2" xfId="25100"/>
    <cellStyle name="Normal 3 7 6 2 3" xfId="23852"/>
    <cellStyle name="Normal 3 7 6 3" xfId="9087"/>
    <cellStyle name="Normal 3 7 6 3 2" xfId="24759"/>
    <cellStyle name="Normal 3 7 6 4" xfId="3327"/>
    <cellStyle name="Normal 3 7 6 5" xfId="21821"/>
    <cellStyle name="Normal 3 7 7" xfId="8090"/>
    <cellStyle name="Normal 3 7 7 2" xfId="10703"/>
    <cellStyle name="Normal 3 7 7 2 2" xfId="25025"/>
    <cellStyle name="Normal 3 7 7 3" xfId="23777"/>
    <cellStyle name="Normal 3 7 8" xfId="8731"/>
    <cellStyle name="Normal 3 7 8 2" xfId="24418"/>
    <cellStyle name="Normal 3 7 9" xfId="2876"/>
    <cellStyle name="Normal 3 8" xfId="824"/>
    <cellStyle name="Normal 3 8 2" xfId="825"/>
    <cellStyle name="Normal 3 8 2 2" xfId="826"/>
    <cellStyle name="Normal 3 8 2 2 2" xfId="8639"/>
    <cellStyle name="Normal 3 8 2 2 2 2" xfId="11252"/>
    <cellStyle name="Normal 3 8 2 2 2 2 2" xfId="25574"/>
    <cellStyle name="Normal 3 8 2 2 2 3" xfId="24326"/>
    <cellStyle name="Normal 3 8 2 2 3" xfId="9281"/>
    <cellStyle name="Normal 3 8 2 2 3 2" xfId="24952"/>
    <cellStyle name="Normal 3 8 2 2 4" xfId="3529"/>
    <cellStyle name="Normal 3 8 2 2 5" xfId="21824"/>
    <cellStyle name="Normal 3 8 2 3" xfId="8358"/>
    <cellStyle name="Normal 3 8 2 3 2" xfId="10971"/>
    <cellStyle name="Normal 3 8 2 3 2 2" xfId="25293"/>
    <cellStyle name="Normal 3 8 2 3 3" xfId="24045"/>
    <cellStyle name="Normal 3 8 2 4" xfId="8924"/>
    <cellStyle name="Normal 3 8 2 4 2" xfId="24611"/>
    <cellStyle name="Normal 3 8 2 5" xfId="3081"/>
    <cellStyle name="Normal 3 8 2 6" xfId="21823"/>
    <cellStyle name="Normal 3 8 3" xfId="827"/>
    <cellStyle name="Normal 3 8 3 2" xfId="8475"/>
    <cellStyle name="Normal 3 8 3 2 2" xfId="11088"/>
    <cellStyle name="Normal 3 8 3 2 2 2" xfId="25410"/>
    <cellStyle name="Normal 3 8 3 2 3" xfId="24162"/>
    <cellStyle name="Normal 3 8 3 3" xfId="9112"/>
    <cellStyle name="Normal 3 8 3 3 2" xfId="24784"/>
    <cellStyle name="Normal 3 8 3 4" xfId="3352"/>
    <cellStyle name="Normal 3 8 3 5" xfId="21825"/>
    <cellStyle name="Normal 3 8 4" xfId="8190"/>
    <cellStyle name="Normal 3 8 4 2" xfId="10803"/>
    <cellStyle name="Normal 3 8 4 2 2" xfId="25125"/>
    <cellStyle name="Normal 3 8 4 3" xfId="23877"/>
    <cellStyle name="Normal 3 8 5" xfId="8756"/>
    <cellStyle name="Normal 3 8 5 2" xfId="24443"/>
    <cellStyle name="Normal 3 8 6" xfId="2903"/>
    <cellStyle name="Normal 3 8 7" xfId="21822"/>
    <cellStyle name="Normal 3 9" xfId="828"/>
    <cellStyle name="Normal 3 9 2" xfId="829"/>
    <cellStyle name="Normal 3 9 2 2" xfId="8527"/>
    <cellStyle name="Normal 3 9 2 2 2" xfId="11140"/>
    <cellStyle name="Normal 3 9 2 2 2 2" xfId="25462"/>
    <cellStyle name="Normal 3 9 2 2 3" xfId="24214"/>
    <cellStyle name="Normal 3 9 2 3" xfId="9168"/>
    <cellStyle name="Normal 3 9 2 3 2" xfId="24840"/>
    <cellStyle name="Normal 3 9 2 4" xfId="3408"/>
    <cellStyle name="Normal 3 9 2 5" xfId="21827"/>
    <cellStyle name="Normal 3 9 3" xfId="8246"/>
    <cellStyle name="Normal 3 9 3 2" xfId="10859"/>
    <cellStyle name="Normal 3 9 3 2 2" xfId="25181"/>
    <cellStyle name="Normal 3 9 3 3" xfId="23933"/>
    <cellStyle name="Normal 3 9 4" xfId="8812"/>
    <cellStyle name="Normal 3 9 4 2" xfId="24499"/>
    <cellStyle name="Normal 3 9 5" xfId="2959"/>
    <cellStyle name="Normal 3 9 6" xfId="21826"/>
    <cellStyle name="Normal 4" xfId="830"/>
    <cellStyle name="Normal 4 10" xfId="831"/>
    <cellStyle name="Normal 4 10 2" xfId="8415"/>
    <cellStyle name="Normal 4 10 2 2" xfId="11028"/>
    <cellStyle name="Normal 4 10 2 2 2" xfId="25350"/>
    <cellStyle name="Normal 4 10 2 3" xfId="24102"/>
    <cellStyle name="Normal 4 10 3" xfId="8985"/>
    <cellStyle name="Normal 4 10 3 2" xfId="24668"/>
    <cellStyle name="Normal 4 10 4" xfId="3158"/>
    <cellStyle name="Normal 4 10 5" xfId="21829"/>
    <cellStyle name="Normal 4 11" xfId="832"/>
    <cellStyle name="Normal 4 11 2" xfId="8135"/>
    <cellStyle name="Normal 4 11 2 2" xfId="10748"/>
    <cellStyle name="Normal 4 11 2 2 2" xfId="25070"/>
    <cellStyle name="Normal 4 11 2 3" xfId="23822"/>
    <cellStyle name="Normal 4 11 3" xfId="9057"/>
    <cellStyle name="Normal 4 11 3 2" xfId="24729"/>
    <cellStyle name="Normal 4 11 4" xfId="3297"/>
    <cellStyle name="Normal 4 11 5" xfId="21830"/>
    <cellStyle name="Normal 4 12" xfId="8074"/>
    <cellStyle name="Normal 4 12 2" xfId="10687"/>
    <cellStyle name="Normal 4 12 2 2" xfId="25009"/>
    <cellStyle name="Normal 4 12 3" xfId="23761"/>
    <cellStyle name="Normal 4 13" xfId="8696"/>
    <cellStyle name="Normal 4 13 2" xfId="11309"/>
    <cellStyle name="Normal 4 13 2 2" xfId="25631"/>
    <cellStyle name="Normal 4 13 3" xfId="24383"/>
    <cellStyle name="Normal 4 14" xfId="8701"/>
    <cellStyle name="Normal 4 14 2" xfId="24388"/>
    <cellStyle name="Normal 4 15" xfId="2801"/>
    <cellStyle name="Normal 4 16" xfId="21828"/>
    <cellStyle name="Normal 4 2" xfId="833"/>
    <cellStyle name="Normal 4 2 10" xfId="8705"/>
    <cellStyle name="Normal 4 2 10 2" xfId="24392"/>
    <cellStyle name="Normal 4 2 11" xfId="2849"/>
    <cellStyle name="Normal 4 2 12" xfId="21831"/>
    <cellStyle name="Normal 4 2 2" xfId="834"/>
    <cellStyle name="Normal 4 2 2 10" xfId="2865"/>
    <cellStyle name="Normal 4 2 2 11" xfId="21832"/>
    <cellStyle name="Normal 4 2 2 2" xfId="835"/>
    <cellStyle name="Normal 4 2 2 2 10" xfId="21833"/>
    <cellStyle name="Normal 4 2 2 2 2" xfId="836"/>
    <cellStyle name="Normal 4 2 2 2 2 2" xfId="837"/>
    <cellStyle name="Normal 4 2 2 2 2 2 2" xfId="838"/>
    <cellStyle name="Normal 4 2 2 2 2 2 2 2" xfId="8691"/>
    <cellStyle name="Normal 4 2 2 2 2 2 2 2 2" xfId="11304"/>
    <cellStyle name="Normal 4 2 2 2 2 2 2 2 2 2" xfId="25626"/>
    <cellStyle name="Normal 4 2 2 2 2 2 2 2 3" xfId="24378"/>
    <cellStyle name="Normal 4 2 2 2 2 2 2 3" xfId="9333"/>
    <cellStyle name="Normal 4 2 2 2 2 2 2 3 2" xfId="25004"/>
    <cellStyle name="Normal 4 2 2 2 2 2 2 4" xfId="3581"/>
    <cellStyle name="Normal 4 2 2 2 2 2 2 5" xfId="21836"/>
    <cellStyle name="Normal 4 2 2 2 2 2 3" xfId="8410"/>
    <cellStyle name="Normal 4 2 2 2 2 2 3 2" xfId="11023"/>
    <cellStyle name="Normal 4 2 2 2 2 2 3 2 2" xfId="25345"/>
    <cellStyle name="Normal 4 2 2 2 2 2 3 3" xfId="24097"/>
    <cellStyle name="Normal 4 2 2 2 2 2 4" xfId="8976"/>
    <cellStyle name="Normal 4 2 2 2 2 2 4 2" xfId="24663"/>
    <cellStyle name="Normal 4 2 2 2 2 2 5" xfId="3133"/>
    <cellStyle name="Normal 4 2 2 2 2 2 6" xfId="21835"/>
    <cellStyle name="Normal 4 2 2 2 2 3" xfId="839"/>
    <cellStyle name="Normal 4 2 2 2 2 3 2" xfId="8523"/>
    <cellStyle name="Normal 4 2 2 2 2 3 2 2" xfId="11136"/>
    <cellStyle name="Normal 4 2 2 2 2 3 2 2 2" xfId="25458"/>
    <cellStyle name="Normal 4 2 2 2 2 3 2 3" xfId="24210"/>
    <cellStyle name="Normal 4 2 2 2 2 3 3" xfId="9164"/>
    <cellStyle name="Normal 4 2 2 2 2 3 3 2" xfId="24836"/>
    <cellStyle name="Normal 4 2 2 2 2 3 4" xfId="3404"/>
    <cellStyle name="Normal 4 2 2 2 2 3 5" xfId="21837"/>
    <cellStyle name="Normal 4 2 2 2 2 4" xfId="8242"/>
    <cellStyle name="Normal 4 2 2 2 2 4 2" xfId="10855"/>
    <cellStyle name="Normal 4 2 2 2 2 4 2 2" xfId="25177"/>
    <cellStyle name="Normal 4 2 2 2 2 4 3" xfId="23929"/>
    <cellStyle name="Normal 4 2 2 2 2 5" xfId="8808"/>
    <cellStyle name="Normal 4 2 2 2 2 5 2" xfId="24495"/>
    <cellStyle name="Normal 4 2 2 2 2 6" xfId="2955"/>
    <cellStyle name="Normal 4 2 2 2 2 7" xfId="21834"/>
    <cellStyle name="Normal 4 2 2 2 3" xfId="840"/>
    <cellStyle name="Normal 4 2 2 2 3 2" xfId="841"/>
    <cellStyle name="Normal 4 2 2 2 3 2 2" xfId="8579"/>
    <cellStyle name="Normal 4 2 2 2 3 2 2 2" xfId="11192"/>
    <cellStyle name="Normal 4 2 2 2 3 2 2 2 2" xfId="25514"/>
    <cellStyle name="Normal 4 2 2 2 3 2 2 3" xfId="24266"/>
    <cellStyle name="Normal 4 2 2 2 3 2 3" xfId="9220"/>
    <cellStyle name="Normal 4 2 2 2 3 2 3 2" xfId="24892"/>
    <cellStyle name="Normal 4 2 2 2 3 2 4" xfId="3460"/>
    <cellStyle name="Normal 4 2 2 2 3 2 5" xfId="21839"/>
    <cellStyle name="Normal 4 2 2 2 3 3" xfId="8298"/>
    <cellStyle name="Normal 4 2 2 2 3 3 2" xfId="10911"/>
    <cellStyle name="Normal 4 2 2 2 3 3 2 2" xfId="25233"/>
    <cellStyle name="Normal 4 2 2 2 3 3 3" xfId="23985"/>
    <cellStyle name="Normal 4 2 2 2 3 4" xfId="8864"/>
    <cellStyle name="Normal 4 2 2 2 3 4 2" xfId="24551"/>
    <cellStyle name="Normal 4 2 2 2 3 5" xfId="3011"/>
    <cellStyle name="Normal 4 2 2 2 3 6" xfId="21838"/>
    <cellStyle name="Normal 4 2 2 2 4" xfId="842"/>
    <cellStyle name="Normal 4 2 2 2 4 2" xfId="843"/>
    <cellStyle name="Normal 4 2 2 2 4 2 2" xfId="8634"/>
    <cellStyle name="Normal 4 2 2 2 4 2 2 2" xfId="11247"/>
    <cellStyle name="Normal 4 2 2 2 4 2 2 2 2" xfId="25569"/>
    <cellStyle name="Normal 4 2 2 2 4 2 2 3" xfId="24321"/>
    <cellStyle name="Normal 4 2 2 2 4 2 3" xfId="9276"/>
    <cellStyle name="Normal 4 2 2 2 4 2 3 2" xfId="24947"/>
    <cellStyle name="Normal 4 2 2 2 4 2 4" xfId="3524"/>
    <cellStyle name="Normal 4 2 2 2 4 2 5" xfId="21841"/>
    <cellStyle name="Normal 4 2 2 2 4 3" xfId="8353"/>
    <cellStyle name="Normal 4 2 2 2 4 3 2" xfId="10966"/>
    <cellStyle name="Normal 4 2 2 2 4 3 2 2" xfId="25288"/>
    <cellStyle name="Normal 4 2 2 2 4 3 3" xfId="24040"/>
    <cellStyle name="Normal 4 2 2 2 4 4" xfId="8919"/>
    <cellStyle name="Normal 4 2 2 2 4 4 2" xfId="24606"/>
    <cellStyle name="Normal 4 2 2 2 4 5" xfId="3076"/>
    <cellStyle name="Normal 4 2 2 2 4 6" xfId="21840"/>
    <cellStyle name="Normal 4 2 2 2 5" xfId="844"/>
    <cellStyle name="Normal 4 2 2 2 5 2" xfId="8471"/>
    <cellStyle name="Normal 4 2 2 2 5 2 2" xfId="11084"/>
    <cellStyle name="Normal 4 2 2 2 5 2 2 2" xfId="25406"/>
    <cellStyle name="Normal 4 2 2 2 5 2 3" xfId="24158"/>
    <cellStyle name="Normal 4 2 2 2 5 3" xfId="9043"/>
    <cellStyle name="Normal 4 2 2 2 5 3 2" xfId="24724"/>
    <cellStyle name="Normal 4 2 2 2 5 4" xfId="3235"/>
    <cellStyle name="Normal 4 2 2 2 5 5" xfId="21842"/>
    <cellStyle name="Normal 4 2 2 2 6" xfId="845"/>
    <cellStyle name="Normal 4 2 2 2 6 2" xfId="8185"/>
    <cellStyle name="Normal 4 2 2 2 6 2 2" xfId="10798"/>
    <cellStyle name="Normal 4 2 2 2 6 2 2 2" xfId="25120"/>
    <cellStyle name="Normal 4 2 2 2 6 2 3" xfId="23872"/>
    <cellStyle name="Normal 4 2 2 2 6 3" xfId="9107"/>
    <cellStyle name="Normal 4 2 2 2 6 3 2" xfId="24779"/>
    <cellStyle name="Normal 4 2 2 2 6 4" xfId="3347"/>
    <cellStyle name="Normal 4 2 2 2 6 5" xfId="21843"/>
    <cellStyle name="Normal 4 2 2 2 7" xfId="8130"/>
    <cellStyle name="Normal 4 2 2 2 7 2" xfId="10743"/>
    <cellStyle name="Normal 4 2 2 2 7 2 2" xfId="25065"/>
    <cellStyle name="Normal 4 2 2 2 7 3" xfId="23817"/>
    <cellStyle name="Normal 4 2 2 2 8" xfId="8751"/>
    <cellStyle name="Normal 4 2 2 2 8 2" xfId="24438"/>
    <cellStyle name="Normal 4 2 2 2 9" xfId="2898"/>
    <cellStyle name="Normal 4 2 2 3" xfId="846"/>
    <cellStyle name="Normal 4 2 2 3 2" xfId="847"/>
    <cellStyle name="Normal 4 2 2 3 2 2" xfId="848"/>
    <cellStyle name="Normal 4 2 2 3 2 2 2" xfId="8665"/>
    <cellStyle name="Normal 4 2 2 3 2 2 2 2" xfId="11278"/>
    <cellStyle name="Normal 4 2 2 3 2 2 2 2 2" xfId="25600"/>
    <cellStyle name="Normal 4 2 2 3 2 2 2 3" xfId="24352"/>
    <cellStyle name="Normal 4 2 2 3 2 2 3" xfId="9307"/>
    <cellStyle name="Normal 4 2 2 3 2 2 3 2" xfId="24978"/>
    <cellStyle name="Normal 4 2 2 3 2 2 4" xfId="3555"/>
    <cellStyle name="Normal 4 2 2 3 2 2 5" xfId="21846"/>
    <cellStyle name="Normal 4 2 2 3 2 3" xfId="8384"/>
    <cellStyle name="Normal 4 2 2 3 2 3 2" xfId="10997"/>
    <cellStyle name="Normal 4 2 2 3 2 3 2 2" xfId="25319"/>
    <cellStyle name="Normal 4 2 2 3 2 3 3" xfId="24071"/>
    <cellStyle name="Normal 4 2 2 3 2 4" xfId="8950"/>
    <cellStyle name="Normal 4 2 2 3 2 4 2" xfId="24637"/>
    <cellStyle name="Normal 4 2 2 3 2 5" xfId="3107"/>
    <cellStyle name="Normal 4 2 2 3 2 6" xfId="21845"/>
    <cellStyle name="Normal 4 2 2 3 3" xfId="849"/>
    <cellStyle name="Normal 4 2 2 3 3 2" xfId="8497"/>
    <cellStyle name="Normal 4 2 2 3 3 2 2" xfId="11110"/>
    <cellStyle name="Normal 4 2 2 3 3 2 2 2" xfId="25432"/>
    <cellStyle name="Normal 4 2 2 3 3 2 3" xfId="24184"/>
    <cellStyle name="Normal 4 2 2 3 3 3" xfId="9138"/>
    <cellStyle name="Normal 4 2 2 3 3 3 2" xfId="24810"/>
    <cellStyle name="Normal 4 2 2 3 3 4" xfId="3378"/>
    <cellStyle name="Normal 4 2 2 3 3 5" xfId="21847"/>
    <cellStyle name="Normal 4 2 2 3 4" xfId="8216"/>
    <cellStyle name="Normal 4 2 2 3 4 2" xfId="10829"/>
    <cellStyle name="Normal 4 2 2 3 4 2 2" xfId="25151"/>
    <cellStyle name="Normal 4 2 2 3 4 3" xfId="23903"/>
    <cellStyle name="Normal 4 2 2 3 5" xfId="8782"/>
    <cellStyle name="Normal 4 2 2 3 5 2" xfId="24469"/>
    <cellStyle name="Normal 4 2 2 3 6" xfId="2929"/>
    <cellStyle name="Normal 4 2 2 3 7" xfId="21844"/>
    <cellStyle name="Normal 4 2 2 4" xfId="850"/>
    <cellStyle name="Normal 4 2 2 4 2" xfId="851"/>
    <cellStyle name="Normal 4 2 2 4 2 2" xfId="8553"/>
    <cellStyle name="Normal 4 2 2 4 2 2 2" xfId="11166"/>
    <cellStyle name="Normal 4 2 2 4 2 2 2 2" xfId="25488"/>
    <cellStyle name="Normal 4 2 2 4 2 2 3" xfId="24240"/>
    <cellStyle name="Normal 4 2 2 4 2 3" xfId="9194"/>
    <cellStyle name="Normal 4 2 2 4 2 3 2" xfId="24866"/>
    <cellStyle name="Normal 4 2 2 4 2 4" xfId="3434"/>
    <cellStyle name="Normal 4 2 2 4 2 5" xfId="21849"/>
    <cellStyle name="Normal 4 2 2 4 3" xfId="8272"/>
    <cellStyle name="Normal 4 2 2 4 3 2" xfId="10885"/>
    <cellStyle name="Normal 4 2 2 4 3 2 2" xfId="25207"/>
    <cellStyle name="Normal 4 2 2 4 3 3" xfId="23959"/>
    <cellStyle name="Normal 4 2 2 4 4" xfId="8838"/>
    <cellStyle name="Normal 4 2 2 4 4 2" xfId="24525"/>
    <cellStyle name="Normal 4 2 2 4 5" xfId="2985"/>
    <cellStyle name="Normal 4 2 2 4 6" xfId="21848"/>
    <cellStyle name="Normal 4 2 2 5" xfId="852"/>
    <cellStyle name="Normal 4 2 2 5 2" xfId="853"/>
    <cellStyle name="Normal 4 2 2 5 2 2" xfId="8603"/>
    <cellStyle name="Normal 4 2 2 5 2 2 2" xfId="11216"/>
    <cellStyle name="Normal 4 2 2 5 2 2 2 2" xfId="25538"/>
    <cellStyle name="Normal 4 2 2 5 2 2 3" xfId="24290"/>
    <cellStyle name="Normal 4 2 2 5 2 3" xfId="9245"/>
    <cellStyle name="Normal 4 2 2 5 2 3 2" xfId="24916"/>
    <cellStyle name="Normal 4 2 2 5 2 4" xfId="3492"/>
    <cellStyle name="Normal 4 2 2 5 2 5" xfId="21851"/>
    <cellStyle name="Normal 4 2 2 5 3" xfId="8322"/>
    <cellStyle name="Normal 4 2 2 5 3 2" xfId="10935"/>
    <cellStyle name="Normal 4 2 2 5 3 2 2" xfId="25257"/>
    <cellStyle name="Normal 4 2 2 5 3 3" xfId="24009"/>
    <cellStyle name="Normal 4 2 2 5 4" xfId="8888"/>
    <cellStyle name="Normal 4 2 2 5 4 2" xfId="24575"/>
    <cellStyle name="Normal 4 2 2 5 5" xfId="3045"/>
    <cellStyle name="Normal 4 2 2 5 6" xfId="21850"/>
    <cellStyle name="Normal 4 2 2 6" xfId="854"/>
    <cellStyle name="Normal 4 2 2 6 2" xfId="8446"/>
    <cellStyle name="Normal 4 2 2 6 2 2" xfId="11059"/>
    <cellStyle name="Normal 4 2 2 6 2 2 2" xfId="25381"/>
    <cellStyle name="Normal 4 2 2 6 2 3" xfId="24133"/>
    <cellStyle name="Normal 4 2 2 6 3" xfId="9018"/>
    <cellStyle name="Normal 4 2 2 6 3 2" xfId="24699"/>
    <cellStyle name="Normal 4 2 2 6 4" xfId="3209"/>
    <cellStyle name="Normal 4 2 2 6 5" xfId="21852"/>
    <cellStyle name="Normal 4 2 2 7" xfId="855"/>
    <cellStyle name="Normal 4 2 2 7 2" xfId="8154"/>
    <cellStyle name="Normal 4 2 2 7 2 2" xfId="10767"/>
    <cellStyle name="Normal 4 2 2 7 2 2 2" xfId="25089"/>
    <cellStyle name="Normal 4 2 2 7 2 3" xfId="23841"/>
    <cellStyle name="Normal 4 2 2 7 3" xfId="9076"/>
    <cellStyle name="Normal 4 2 2 7 3 2" xfId="24748"/>
    <cellStyle name="Normal 4 2 2 7 4" xfId="3316"/>
    <cellStyle name="Normal 4 2 2 7 5" xfId="21853"/>
    <cellStyle name="Normal 4 2 2 8" xfId="8105"/>
    <cellStyle name="Normal 4 2 2 8 2" xfId="10718"/>
    <cellStyle name="Normal 4 2 2 8 2 2" xfId="25040"/>
    <cellStyle name="Normal 4 2 2 8 3" xfId="23792"/>
    <cellStyle name="Normal 4 2 2 9" xfId="8720"/>
    <cellStyle name="Normal 4 2 2 9 2" xfId="24407"/>
    <cellStyle name="Normal 4 2 3" xfId="856"/>
    <cellStyle name="Normal 4 2 3 10" xfId="21854"/>
    <cellStyle name="Normal 4 2 3 2" xfId="857"/>
    <cellStyle name="Normal 4 2 3 2 2" xfId="858"/>
    <cellStyle name="Normal 4 2 3 2 2 2" xfId="859"/>
    <cellStyle name="Normal 4 2 3 2 2 2 2" xfId="8677"/>
    <cellStyle name="Normal 4 2 3 2 2 2 2 2" xfId="11290"/>
    <cellStyle name="Normal 4 2 3 2 2 2 2 2 2" xfId="25612"/>
    <cellStyle name="Normal 4 2 3 2 2 2 2 3" xfId="24364"/>
    <cellStyle name="Normal 4 2 3 2 2 2 3" xfId="9319"/>
    <cellStyle name="Normal 4 2 3 2 2 2 3 2" xfId="24990"/>
    <cellStyle name="Normal 4 2 3 2 2 2 4" xfId="3567"/>
    <cellStyle name="Normal 4 2 3 2 2 2 5" xfId="21857"/>
    <cellStyle name="Normal 4 2 3 2 2 3" xfId="8396"/>
    <cellStyle name="Normal 4 2 3 2 2 3 2" xfId="11009"/>
    <cellStyle name="Normal 4 2 3 2 2 3 2 2" xfId="25331"/>
    <cellStyle name="Normal 4 2 3 2 2 3 3" xfId="24083"/>
    <cellStyle name="Normal 4 2 3 2 2 4" xfId="8962"/>
    <cellStyle name="Normal 4 2 3 2 2 4 2" xfId="24649"/>
    <cellStyle name="Normal 4 2 3 2 2 5" xfId="3119"/>
    <cellStyle name="Normal 4 2 3 2 2 6" xfId="21856"/>
    <cellStyle name="Normal 4 2 3 2 3" xfId="860"/>
    <cellStyle name="Normal 4 2 3 2 3 2" xfId="8509"/>
    <cellStyle name="Normal 4 2 3 2 3 2 2" xfId="11122"/>
    <cellStyle name="Normal 4 2 3 2 3 2 2 2" xfId="25444"/>
    <cellStyle name="Normal 4 2 3 2 3 2 3" xfId="24196"/>
    <cellStyle name="Normal 4 2 3 2 3 3" xfId="9150"/>
    <cellStyle name="Normal 4 2 3 2 3 3 2" xfId="24822"/>
    <cellStyle name="Normal 4 2 3 2 3 4" xfId="3390"/>
    <cellStyle name="Normal 4 2 3 2 3 5" xfId="21858"/>
    <cellStyle name="Normal 4 2 3 2 4" xfId="8228"/>
    <cellStyle name="Normal 4 2 3 2 4 2" xfId="10841"/>
    <cellStyle name="Normal 4 2 3 2 4 2 2" xfId="25163"/>
    <cellStyle name="Normal 4 2 3 2 4 3" xfId="23915"/>
    <cellStyle name="Normal 4 2 3 2 5" xfId="8794"/>
    <cellStyle name="Normal 4 2 3 2 5 2" xfId="24481"/>
    <cellStyle name="Normal 4 2 3 2 6" xfId="2941"/>
    <cellStyle name="Normal 4 2 3 2 7" xfId="21855"/>
    <cellStyle name="Normal 4 2 3 3" xfId="861"/>
    <cellStyle name="Normal 4 2 3 3 2" xfId="862"/>
    <cellStyle name="Normal 4 2 3 3 2 2" xfId="8565"/>
    <cellStyle name="Normal 4 2 3 3 2 2 2" xfId="11178"/>
    <cellStyle name="Normal 4 2 3 3 2 2 2 2" xfId="25500"/>
    <cellStyle name="Normal 4 2 3 3 2 2 3" xfId="24252"/>
    <cellStyle name="Normal 4 2 3 3 2 3" xfId="9206"/>
    <cellStyle name="Normal 4 2 3 3 2 3 2" xfId="24878"/>
    <cellStyle name="Normal 4 2 3 3 2 4" xfId="3446"/>
    <cellStyle name="Normal 4 2 3 3 2 5" xfId="21860"/>
    <cellStyle name="Normal 4 2 3 3 3" xfId="8284"/>
    <cellStyle name="Normal 4 2 3 3 3 2" xfId="10897"/>
    <cellStyle name="Normal 4 2 3 3 3 2 2" xfId="25219"/>
    <cellStyle name="Normal 4 2 3 3 3 3" xfId="23971"/>
    <cellStyle name="Normal 4 2 3 3 4" xfId="8850"/>
    <cellStyle name="Normal 4 2 3 3 4 2" xfId="24537"/>
    <cellStyle name="Normal 4 2 3 3 5" xfId="2997"/>
    <cellStyle name="Normal 4 2 3 3 6" xfId="21859"/>
    <cellStyle name="Normal 4 2 3 4" xfId="863"/>
    <cellStyle name="Normal 4 2 3 4 2" xfId="864"/>
    <cellStyle name="Normal 4 2 3 4 2 2" xfId="8619"/>
    <cellStyle name="Normal 4 2 3 4 2 2 2" xfId="11232"/>
    <cellStyle name="Normal 4 2 3 4 2 2 2 2" xfId="25554"/>
    <cellStyle name="Normal 4 2 3 4 2 2 3" xfId="24306"/>
    <cellStyle name="Normal 4 2 3 4 2 3" xfId="9261"/>
    <cellStyle name="Normal 4 2 3 4 2 3 2" xfId="24932"/>
    <cellStyle name="Normal 4 2 3 4 2 4" xfId="3509"/>
    <cellStyle name="Normal 4 2 3 4 2 5" xfId="21862"/>
    <cellStyle name="Normal 4 2 3 4 3" xfId="8338"/>
    <cellStyle name="Normal 4 2 3 4 3 2" xfId="10951"/>
    <cellStyle name="Normal 4 2 3 4 3 2 2" xfId="25273"/>
    <cellStyle name="Normal 4 2 3 4 3 3" xfId="24025"/>
    <cellStyle name="Normal 4 2 3 4 4" xfId="8904"/>
    <cellStyle name="Normal 4 2 3 4 4 2" xfId="24591"/>
    <cellStyle name="Normal 4 2 3 4 5" xfId="3061"/>
    <cellStyle name="Normal 4 2 3 4 6" xfId="21861"/>
    <cellStyle name="Normal 4 2 3 5" xfId="865"/>
    <cellStyle name="Normal 4 2 3 5 2" xfId="8457"/>
    <cellStyle name="Normal 4 2 3 5 2 2" xfId="11070"/>
    <cellStyle name="Normal 4 2 3 5 2 2 2" xfId="25392"/>
    <cellStyle name="Normal 4 2 3 5 2 3" xfId="24144"/>
    <cellStyle name="Normal 4 2 3 5 3" xfId="9029"/>
    <cellStyle name="Normal 4 2 3 5 3 2" xfId="24710"/>
    <cellStyle name="Normal 4 2 3 5 4" xfId="3221"/>
    <cellStyle name="Normal 4 2 3 5 5" xfId="21863"/>
    <cellStyle name="Normal 4 2 3 6" xfId="866"/>
    <cellStyle name="Normal 4 2 3 6 2" xfId="8170"/>
    <cellStyle name="Normal 4 2 3 6 2 2" xfId="10783"/>
    <cellStyle name="Normal 4 2 3 6 2 2 2" xfId="25105"/>
    <cellStyle name="Normal 4 2 3 6 2 3" xfId="23857"/>
    <cellStyle name="Normal 4 2 3 6 3" xfId="9092"/>
    <cellStyle name="Normal 4 2 3 6 3 2" xfId="24764"/>
    <cellStyle name="Normal 4 2 3 6 4" xfId="3332"/>
    <cellStyle name="Normal 4 2 3 6 5" xfId="21864"/>
    <cellStyle name="Normal 4 2 3 7" xfId="8116"/>
    <cellStyle name="Normal 4 2 3 7 2" xfId="10729"/>
    <cellStyle name="Normal 4 2 3 7 2 2" xfId="25051"/>
    <cellStyle name="Normal 4 2 3 7 3" xfId="23803"/>
    <cellStyle name="Normal 4 2 3 8" xfId="8736"/>
    <cellStyle name="Normal 4 2 3 8 2" xfId="24423"/>
    <cellStyle name="Normal 4 2 3 9" xfId="2883"/>
    <cellStyle name="Normal 4 2 4" xfId="867"/>
    <cellStyle name="Normal 4 2 4 2" xfId="868"/>
    <cellStyle name="Normal 4 2 4 2 2" xfId="869"/>
    <cellStyle name="Normal 4 2 4 2 2 2" xfId="8650"/>
    <cellStyle name="Normal 4 2 4 2 2 2 2" xfId="11263"/>
    <cellStyle name="Normal 4 2 4 2 2 2 2 2" xfId="25585"/>
    <cellStyle name="Normal 4 2 4 2 2 2 3" xfId="24337"/>
    <cellStyle name="Normal 4 2 4 2 2 3" xfId="9292"/>
    <cellStyle name="Normal 4 2 4 2 2 3 2" xfId="24963"/>
    <cellStyle name="Normal 4 2 4 2 2 4" xfId="3540"/>
    <cellStyle name="Normal 4 2 4 2 2 5" xfId="21867"/>
    <cellStyle name="Normal 4 2 4 2 3" xfId="8369"/>
    <cellStyle name="Normal 4 2 4 2 3 2" xfId="10982"/>
    <cellStyle name="Normal 4 2 4 2 3 2 2" xfId="25304"/>
    <cellStyle name="Normal 4 2 4 2 3 3" xfId="24056"/>
    <cellStyle name="Normal 4 2 4 2 4" xfId="8935"/>
    <cellStyle name="Normal 4 2 4 2 4 2" xfId="24622"/>
    <cellStyle name="Normal 4 2 4 2 5" xfId="3092"/>
    <cellStyle name="Normal 4 2 4 2 6" xfId="21866"/>
    <cellStyle name="Normal 4 2 4 3" xfId="870"/>
    <cellStyle name="Normal 4 2 4 3 2" xfId="8435"/>
    <cellStyle name="Normal 4 2 4 3 2 2" xfId="11048"/>
    <cellStyle name="Normal 4 2 4 3 2 2 2" xfId="25370"/>
    <cellStyle name="Normal 4 2 4 3 2 3" xfId="24122"/>
    <cellStyle name="Normal 4 2 4 3 3" xfId="9007"/>
    <cellStyle name="Normal 4 2 4 3 3 2" xfId="24688"/>
    <cellStyle name="Normal 4 2 4 3 4" xfId="3198"/>
    <cellStyle name="Normal 4 2 4 3 5" xfId="21868"/>
    <cellStyle name="Normal 4 2 4 4" xfId="871"/>
    <cellStyle name="Normal 4 2 4 4 2" xfId="8201"/>
    <cellStyle name="Normal 4 2 4 4 2 2" xfId="10814"/>
    <cellStyle name="Normal 4 2 4 4 2 2 2" xfId="25136"/>
    <cellStyle name="Normal 4 2 4 4 2 3" xfId="23888"/>
    <cellStyle name="Normal 4 2 4 4 3" xfId="9123"/>
    <cellStyle name="Normal 4 2 4 4 3 2" xfId="24795"/>
    <cellStyle name="Normal 4 2 4 4 4" xfId="3363"/>
    <cellStyle name="Normal 4 2 4 4 5" xfId="21869"/>
    <cellStyle name="Normal 4 2 4 5" xfId="8094"/>
    <cellStyle name="Normal 4 2 4 5 2" xfId="10707"/>
    <cellStyle name="Normal 4 2 4 5 2 2" xfId="25029"/>
    <cellStyle name="Normal 4 2 4 5 3" xfId="23781"/>
    <cellStyle name="Normal 4 2 4 6" xfId="8767"/>
    <cellStyle name="Normal 4 2 4 6 2" xfId="24454"/>
    <cellStyle name="Normal 4 2 4 7" xfId="2914"/>
    <cellStyle name="Normal 4 2 4 8" xfId="21865"/>
    <cellStyle name="Normal 4 2 5" xfId="872"/>
    <cellStyle name="Normal 4 2 5 2" xfId="873"/>
    <cellStyle name="Normal 4 2 5 2 2" xfId="8538"/>
    <cellStyle name="Normal 4 2 5 2 2 2" xfId="11151"/>
    <cellStyle name="Normal 4 2 5 2 2 2 2" xfId="25473"/>
    <cellStyle name="Normal 4 2 5 2 2 3" xfId="24225"/>
    <cellStyle name="Normal 4 2 5 2 3" xfId="9179"/>
    <cellStyle name="Normal 4 2 5 2 3 2" xfId="24851"/>
    <cellStyle name="Normal 4 2 5 2 4" xfId="3419"/>
    <cellStyle name="Normal 4 2 5 2 5" xfId="21871"/>
    <cellStyle name="Normal 4 2 5 3" xfId="8257"/>
    <cellStyle name="Normal 4 2 5 3 2" xfId="10870"/>
    <cellStyle name="Normal 4 2 5 3 2 2" xfId="25192"/>
    <cellStyle name="Normal 4 2 5 3 3" xfId="23944"/>
    <cellStyle name="Normal 4 2 5 4" xfId="8823"/>
    <cellStyle name="Normal 4 2 5 4 2" xfId="24510"/>
    <cellStyle name="Normal 4 2 5 5" xfId="2970"/>
    <cellStyle name="Normal 4 2 5 6" xfId="21870"/>
    <cellStyle name="Normal 4 2 6" xfId="874"/>
    <cellStyle name="Normal 4 2 6 2" xfId="875"/>
    <cellStyle name="Normal 4 2 6 2 2" xfId="8588"/>
    <cellStyle name="Normal 4 2 6 2 2 2" xfId="11201"/>
    <cellStyle name="Normal 4 2 6 2 2 2 2" xfId="25523"/>
    <cellStyle name="Normal 4 2 6 2 2 3" xfId="24275"/>
    <cellStyle name="Normal 4 2 6 2 3" xfId="9230"/>
    <cellStyle name="Normal 4 2 6 2 3 2" xfId="24901"/>
    <cellStyle name="Normal 4 2 6 2 4" xfId="3477"/>
    <cellStyle name="Normal 4 2 6 2 5" xfId="21873"/>
    <cellStyle name="Normal 4 2 6 3" xfId="8307"/>
    <cellStyle name="Normal 4 2 6 3 2" xfId="10920"/>
    <cellStyle name="Normal 4 2 6 3 2 2" xfId="25242"/>
    <cellStyle name="Normal 4 2 6 3 3" xfId="23994"/>
    <cellStyle name="Normal 4 2 6 4" xfId="8873"/>
    <cellStyle name="Normal 4 2 6 4 2" xfId="24560"/>
    <cellStyle name="Normal 4 2 6 5" xfId="3030"/>
    <cellStyle name="Normal 4 2 6 6" xfId="21872"/>
    <cellStyle name="Normal 4 2 7" xfId="876"/>
    <cellStyle name="Normal 4 2 7 2" xfId="8420"/>
    <cellStyle name="Normal 4 2 7 2 2" xfId="11033"/>
    <cellStyle name="Normal 4 2 7 2 2 2" xfId="25355"/>
    <cellStyle name="Normal 4 2 7 2 3" xfId="24107"/>
    <cellStyle name="Normal 4 2 7 3" xfId="8990"/>
    <cellStyle name="Normal 4 2 7 3 2" xfId="24673"/>
    <cellStyle name="Normal 4 2 7 4" xfId="3164"/>
    <cellStyle name="Normal 4 2 7 5" xfId="21874"/>
    <cellStyle name="Normal 4 2 8" xfId="877"/>
    <cellStyle name="Normal 4 2 8 2" xfId="8139"/>
    <cellStyle name="Normal 4 2 8 2 2" xfId="10752"/>
    <cellStyle name="Normal 4 2 8 2 2 2" xfId="25074"/>
    <cellStyle name="Normal 4 2 8 2 3" xfId="23826"/>
    <cellStyle name="Normal 4 2 8 3" xfId="9061"/>
    <cellStyle name="Normal 4 2 8 3 2" xfId="24733"/>
    <cellStyle name="Normal 4 2 8 4" xfId="3301"/>
    <cellStyle name="Normal 4 2 8 5" xfId="21875"/>
    <cellStyle name="Normal 4 2 9" xfId="8079"/>
    <cellStyle name="Normal 4 2 9 2" xfId="10692"/>
    <cellStyle name="Normal 4 2 9 2 2" xfId="25014"/>
    <cellStyle name="Normal 4 2 9 3" xfId="23766"/>
    <cellStyle name="Normal 4 3" xfId="878"/>
    <cellStyle name="Normal 4 3 10" xfId="2854"/>
    <cellStyle name="Normal 4 3 11" xfId="21876"/>
    <cellStyle name="Normal 4 3 2" xfId="879"/>
    <cellStyle name="Normal 4 3 2 10" xfId="21877"/>
    <cellStyle name="Normal 4 3 2 2" xfId="880"/>
    <cellStyle name="Normal 4 3 2 2 2" xfId="881"/>
    <cellStyle name="Normal 4 3 2 2 2 2" xfId="882"/>
    <cellStyle name="Normal 4 3 2 2 2 2 2" xfId="8681"/>
    <cellStyle name="Normal 4 3 2 2 2 2 2 2" xfId="11294"/>
    <cellStyle name="Normal 4 3 2 2 2 2 2 2 2" xfId="25616"/>
    <cellStyle name="Normal 4 3 2 2 2 2 2 3" xfId="24368"/>
    <cellStyle name="Normal 4 3 2 2 2 2 3" xfId="9323"/>
    <cellStyle name="Normal 4 3 2 2 2 2 3 2" xfId="24994"/>
    <cellStyle name="Normal 4 3 2 2 2 2 4" xfId="3571"/>
    <cellStyle name="Normal 4 3 2 2 2 2 5" xfId="21880"/>
    <cellStyle name="Normal 4 3 2 2 2 3" xfId="8400"/>
    <cellStyle name="Normal 4 3 2 2 2 3 2" xfId="11013"/>
    <cellStyle name="Normal 4 3 2 2 2 3 2 2" xfId="25335"/>
    <cellStyle name="Normal 4 3 2 2 2 3 3" xfId="24087"/>
    <cellStyle name="Normal 4 3 2 2 2 4" xfId="8966"/>
    <cellStyle name="Normal 4 3 2 2 2 4 2" xfId="24653"/>
    <cellStyle name="Normal 4 3 2 2 2 5" xfId="3123"/>
    <cellStyle name="Normal 4 3 2 2 2 6" xfId="21879"/>
    <cellStyle name="Normal 4 3 2 2 3" xfId="883"/>
    <cellStyle name="Normal 4 3 2 2 3 2" xfId="8513"/>
    <cellStyle name="Normal 4 3 2 2 3 2 2" xfId="11126"/>
    <cellStyle name="Normal 4 3 2 2 3 2 2 2" xfId="25448"/>
    <cellStyle name="Normal 4 3 2 2 3 2 3" xfId="24200"/>
    <cellStyle name="Normal 4 3 2 2 3 3" xfId="9154"/>
    <cellStyle name="Normal 4 3 2 2 3 3 2" xfId="24826"/>
    <cellStyle name="Normal 4 3 2 2 3 4" xfId="3394"/>
    <cellStyle name="Normal 4 3 2 2 3 5" xfId="21881"/>
    <cellStyle name="Normal 4 3 2 2 4" xfId="8232"/>
    <cellStyle name="Normal 4 3 2 2 4 2" xfId="10845"/>
    <cellStyle name="Normal 4 3 2 2 4 2 2" xfId="25167"/>
    <cellStyle name="Normal 4 3 2 2 4 3" xfId="23919"/>
    <cellStyle name="Normal 4 3 2 2 5" xfId="8798"/>
    <cellStyle name="Normal 4 3 2 2 5 2" xfId="24485"/>
    <cellStyle name="Normal 4 3 2 2 6" xfId="2945"/>
    <cellStyle name="Normal 4 3 2 2 7" xfId="21878"/>
    <cellStyle name="Normal 4 3 2 3" xfId="884"/>
    <cellStyle name="Normal 4 3 2 3 2" xfId="885"/>
    <cellStyle name="Normal 4 3 2 3 2 2" xfId="8569"/>
    <cellStyle name="Normal 4 3 2 3 2 2 2" xfId="11182"/>
    <cellStyle name="Normal 4 3 2 3 2 2 2 2" xfId="25504"/>
    <cellStyle name="Normal 4 3 2 3 2 2 3" xfId="24256"/>
    <cellStyle name="Normal 4 3 2 3 2 3" xfId="9210"/>
    <cellStyle name="Normal 4 3 2 3 2 3 2" xfId="24882"/>
    <cellStyle name="Normal 4 3 2 3 2 4" xfId="3450"/>
    <cellStyle name="Normal 4 3 2 3 2 5" xfId="21883"/>
    <cellStyle name="Normal 4 3 2 3 3" xfId="8288"/>
    <cellStyle name="Normal 4 3 2 3 3 2" xfId="10901"/>
    <cellStyle name="Normal 4 3 2 3 3 2 2" xfId="25223"/>
    <cellStyle name="Normal 4 3 2 3 3 3" xfId="23975"/>
    <cellStyle name="Normal 4 3 2 3 4" xfId="8854"/>
    <cellStyle name="Normal 4 3 2 3 4 2" xfId="24541"/>
    <cellStyle name="Normal 4 3 2 3 5" xfId="3001"/>
    <cellStyle name="Normal 4 3 2 3 6" xfId="21882"/>
    <cellStyle name="Normal 4 3 2 4" xfId="886"/>
    <cellStyle name="Normal 4 3 2 4 2" xfId="887"/>
    <cellStyle name="Normal 4 3 2 4 2 2" xfId="8624"/>
    <cellStyle name="Normal 4 3 2 4 2 2 2" xfId="11237"/>
    <cellStyle name="Normal 4 3 2 4 2 2 2 2" xfId="25559"/>
    <cellStyle name="Normal 4 3 2 4 2 2 3" xfId="24311"/>
    <cellStyle name="Normal 4 3 2 4 2 3" xfId="9266"/>
    <cellStyle name="Normal 4 3 2 4 2 3 2" xfId="24937"/>
    <cellStyle name="Normal 4 3 2 4 2 4" xfId="3514"/>
    <cellStyle name="Normal 4 3 2 4 2 5" xfId="21885"/>
    <cellStyle name="Normal 4 3 2 4 3" xfId="8343"/>
    <cellStyle name="Normal 4 3 2 4 3 2" xfId="10956"/>
    <cellStyle name="Normal 4 3 2 4 3 2 2" xfId="25278"/>
    <cellStyle name="Normal 4 3 2 4 3 3" xfId="24030"/>
    <cellStyle name="Normal 4 3 2 4 4" xfId="8909"/>
    <cellStyle name="Normal 4 3 2 4 4 2" xfId="24596"/>
    <cellStyle name="Normal 4 3 2 4 5" xfId="3066"/>
    <cellStyle name="Normal 4 3 2 4 6" xfId="21884"/>
    <cellStyle name="Normal 4 3 2 5" xfId="888"/>
    <cellStyle name="Normal 4 3 2 5 2" xfId="8461"/>
    <cellStyle name="Normal 4 3 2 5 2 2" xfId="11074"/>
    <cellStyle name="Normal 4 3 2 5 2 2 2" xfId="25396"/>
    <cellStyle name="Normal 4 3 2 5 2 3" xfId="24148"/>
    <cellStyle name="Normal 4 3 2 5 3" xfId="9033"/>
    <cellStyle name="Normal 4 3 2 5 3 2" xfId="24714"/>
    <cellStyle name="Normal 4 3 2 5 4" xfId="3225"/>
    <cellStyle name="Normal 4 3 2 5 5" xfId="21886"/>
    <cellStyle name="Normal 4 3 2 6" xfId="889"/>
    <cellStyle name="Normal 4 3 2 6 2" xfId="8175"/>
    <cellStyle name="Normal 4 3 2 6 2 2" xfId="10788"/>
    <cellStyle name="Normal 4 3 2 6 2 2 2" xfId="25110"/>
    <cellStyle name="Normal 4 3 2 6 2 3" xfId="23862"/>
    <cellStyle name="Normal 4 3 2 6 3" xfId="9097"/>
    <cellStyle name="Normal 4 3 2 6 3 2" xfId="24769"/>
    <cellStyle name="Normal 4 3 2 6 4" xfId="3337"/>
    <cellStyle name="Normal 4 3 2 6 5" xfId="21887"/>
    <cellStyle name="Normal 4 3 2 7" xfId="8120"/>
    <cellStyle name="Normal 4 3 2 7 2" xfId="10733"/>
    <cellStyle name="Normal 4 3 2 7 2 2" xfId="25055"/>
    <cellStyle name="Normal 4 3 2 7 3" xfId="23807"/>
    <cellStyle name="Normal 4 3 2 8" xfId="8741"/>
    <cellStyle name="Normal 4 3 2 8 2" xfId="24428"/>
    <cellStyle name="Normal 4 3 2 9" xfId="2888"/>
    <cellStyle name="Normal 4 3 3" xfId="890"/>
    <cellStyle name="Normal 4 3 3 2" xfId="891"/>
    <cellStyle name="Normal 4 3 3 2 2" xfId="892"/>
    <cellStyle name="Normal 4 3 3 2 2 2" xfId="8655"/>
    <cellStyle name="Normal 4 3 3 2 2 2 2" xfId="11268"/>
    <cellStyle name="Normal 4 3 3 2 2 2 2 2" xfId="25590"/>
    <cellStyle name="Normal 4 3 3 2 2 2 3" xfId="24342"/>
    <cellStyle name="Normal 4 3 3 2 2 3" xfId="9297"/>
    <cellStyle name="Normal 4 3 3 2 2 3 2" xfId="24968"/>
    <cellStyle name="Normal 4 3 3 2 2 4" xfId="3545"/>
    <cellStyle name="Normal 4 3 3 2 2 5" xfId="21890"/>
    <cellStyle name="Normal 4 3 3 2 3" xfId="8374"/>
    <cellStyle name="Normal 4 3 3 2 3 2" xfId="10987"/>
    <cellStyle name="Normal 4 3 3 2 3 2 2" xfId="25309"/>
    <cellStyle name="Normal 4 3 3 2 3 3" xfId="24061"/>
    <cellStyle name="Normal 4 3 3 2 4" xfId="8940"/>
    <cellStyle name="Normal 4 3 3 2 4 2" xfId="24627"/>
    <cellStyle name="Normal 4 3 3 2 5" xfId="3097"/>
    <cellStyle name="Normal 4 3 3 2 6" xfId="21889"/>
    <cellStyle name="Normal 4 3 3 3" xfId="893"/>
    <cellStyle name="Normal 4 3 3 3 2" xfId="8488"/>
    <cellStyle name="Normal 4 3 3 3 2 2" xfId="11101"/>
    <cellStyle name="Normal 4 3 3 3 2 2 2" xfId="25423"/>
    <cellStyle name="Normal 4 3 3 3 2 3" xfId="24175"/>
    <cellStyle name="Normal 4 3 3 3 3" xfId="9128"/>
    <cellStyle name="Normal 4 3 3 3 3 2" xfId="24800"/>
    <cellStyle name="Normal 4 3 3 3 4" xfId="3368"/>
    <cellStyle name="Normal 4 3 3 3 5" xfId="21891"/>
    <cellStyle name="Normal 4 3 3 4" xfId="8206"/>
    <cellStyle name="Normal 4 3 3 4 2" xfId="10819"/>
    <cellStyle name="Normal 4 3 3 4 2 2" xfId="25141"/>
    <cellStyle name="Normal 4 3 3 4 3" xfId="23893"/>
    <cellStyle name="Normal 4 3 3 5" xfId="8772"/>
    <cellStyle name="Normal 4 3 3 5 2" xfId="24459"/>
    <cellStyle name="Normal 4 3 3 6" xfId="2919"/>
    <cellStyle name="Normal 4 3 3 7" xfId="21888"/>
    <cellStyle name="Normal 4 3 4" xfId="894"/>
    <cellStyle name="Normal 4 3 4 2" xfId="895"/>
    <cellStyle name="Normal 4 3 4 2 2" xfId="8543"/>
    <cellStyle name="Normal 4 3 4 2 2 2" xfId="11156"/>
    <cellStyle name="Normal 4 3 4 2 2 2 2" xfId="25478"/>
    <cellStyle name="Normal 4 3 4 2 2 3" xfId="24230"/>
    <cellStyle name="Normal 4 3 4 2 3" xfId="9184"/>
    <cellStyle name="Normal 4 3 4 2 3 2" xfId="24856"/>
    <cellStyle name="Normal 4 3 4 2 4" xfId="3424"/>
    <cellStyle name="Normal 4 3 4 2 5" xfId="21893"/>
    <cellStyle name="Normal 4 3 4 3" xfId="8262"/>
    <cellStyle name="Normal 4 3 4 3 2" xfId="10875"/>
    <cellStyle name="Normal 4 3 4 3 2 2" xfId="25197"/>
    <cellStyle name="Normal 4 3 4 3 3" xfId="23949"/>
    <cellStyle name="Normal 4 3 4 4" xfId="8828"/>
    <cellStyle name="Normal 4 3 4 4 2" xfId="24515"/>
    <cellStyle name="Normal 4 3 4 5" xfId="2975"/>
    <cellStyle name="Normal 4 3 4 6" xfId="21892"/>
    <cellStyle name="Normal 4 3 5" xfId="896"/>
    <cellStyle name="Normal 4 3 5 2" xfId="897"/>
    <cellStyle name="Normal 4 3 5 2 2" xfId="8593"/>
    <cellStyle name="Normal 4 3 5 2 2 2" xfId="11206"/>
    <cellStyle name="Normal 4 3 5 2 2 2 2" xfId="25528"/>
    <cellStyle name="Normal 4 3 5 2 2 3" xfId="24280"/>
    <cellStyle name="Normal 4 3 5 2 3" xfId="9235"/>
    <cellStyle name="Normal 4 3 5 2 3 2" xfId="24906"/>
    <cellStyle name="Normal 4 3 5 2 4" xfId="3482"/>
    <cellStyle name="Normal 4 3 5 2 5" xfId="21895"/>
    <cellStyle name="Normal 4 3 5 3" xfId="8312"/>
    <cellStyle name="Normal 4 3 5 3 2" xfId="10925"/>
    <cellStyle name="Normal 4 3 5 3 2 2" xfId="25247"/>
    <cellStyle name="Normal 4 3 5 3 3" xfId="23999"/>
    <cellStyle name="Normal 4 3 5 4" xfId="8878"/>
    <cellStyle name="Normal 4 3 5 4 2" xfId="24565"/>
    <cellStyle name="Normal 4 3 5 5" xfId="3035"/>
    <cellStyle name="Normal 4 3 5 6" xfId="21894"/>
    <cellStyle name="Normal 4 3 6" xfId="898"/>
    <cellStyle name="Normal 4 3 6 2" xfId="8426"/>
    <cellStyle name="Normal 4 3 6 2 2" xfId="11039"/>
    <cellStyle name="Normal 4 3 6 2 2 2" xfId="25361"/>
    <cellStyle name="Normal 4 3 6 2 3" xfId="24113"/>
    <cellStyle name="Normal 4 3 6 3" xfId="8996"/>
    <cellStyle name="Normal 4 3 6 3 2" xfId="24679"/>
    <cellStyle name="Normal 4 3 6 4" xfId="3170"/>
    <cellStyle name="Normal 4 3 6 5" xfId="21896"/>
    <cellStyle name="Normal 4 3 7" xfId="899"/>
    <cellStyle name="Normal 4 3 7 2" xfId="8144"/>
    <cellStyle name="Normal 4 3 7 2 2" xfId="10757"/>
    <cellStyle name="Normal 4 3 7 2 2 2" xfId="25079"/>
    <cellStyle name="Normal 4 3 7 2 3" xfId="23831"/>
    <cellStyle name="Normal 4 3 7 3" xfId="9066"/>
    <cellStyle name="Normal 4 3 7 3 2" xfId="24738"/>
    <cellStyle name="Normal 4 3 7 4" xfId="3306"/>
    <cellStyle name="Normal 4 3 7 5" xfId="21897"/>
    <cellStyle name="Normal 4 3 8" xfId="8085"/>
    <cellStyle name="Normal 4 3 8 2" xfId="10698"/>
    <cellStyle name="Normal 4 3 8 2 2" xfId="25020"/>
    <cellStyle name="Normal 4 3 8 3" xfId="23772"/>
    <cellStyle name="Normal 4 3 9" xfId="8710"/>
    <cellStyle name="Normal 4 3 9 2" xfId="24397"/>
    <cellStyle name="Normal 4 4" xfId="900"/>
    <cellStyle name="Normal 4 4 10" xfId="2859"/>
    <cellStyle name="Normal 4 4 11" xfId="21898"/>
    <cellStyle name="Normal 4 4 2" xfId="901"/>
    <cellStyle name="Normal 4 4 2 10" xfId="21899"/>
    <cellStyle name="Normal 4 4 2 2" xfId="902"/>
    <cellStyle name="Normal 4 4 2 2 2" xfId="903"/>
    <cellStyle name="Normal 4 4 2 2 2 2" xfId="904"/>
    <cellStyle name="Normal 4 4 2 2 2 2 2" xfId="8686"/>
    <cellStyle name="Normal 4 4 2 2 2 2 2 2" xfId="11299"/>
    <cellStyle name="Normal 4 4 2 2 2 2 2 2 2" xfId="25621"/>
    <cellStyle name="Normal 4 4 2 2 2 2 2 3" xfId="24373"/>
    <cellStyle name="Normal 4 4 2 2 2 2 3" xfId="9328"/>
    <cellStyle name="Normal 4 4 2 2 2 2 3 2" xfId="24999"/>
    <cellStyle name="Normal 4 4 2 2 2 2 4" xfId="3576"/>
    <cellStyle name="Normal 4 4 2 2 2 2 5" xfId="21902"/>
    <cellStyle name="Normal 4 4 2 2 2 3" xfId="8405"/>
    <cellStyle name="Normal 4 4 2 2 2 3 2" xfId="11018"/>
    <cellStyle name="Normal 4 4 2 2 2 3 2 2" xfId="25340"/>
    <cellStyle name="Normal 4 4 2 2 2 3 3" xfId="24092"/>
    <cellStyle name="Normal 4 4 2 2 2 4" xfId="8971"/>
    <cellStyle name="Normal 4 4 2 2 2 4 2" xfId="24658"/>
    <cellStyle name="Normal 4 4 2 2 2 5" xfId="3128"/>
    <cellStyle name="Normal 4 4 2 2 2 6" xfId="21901"/>
    <cellStyle name="Normal 4 4 2 2 3" xfId="905"/>
    <cellStyle name="Normal 4 4 2 2 3 2" xfId="8518"/>
    <cellStyle name="Normal 4 4 2 2 3 2 2" xfId="11131"/>
    <cellStyle name="Normal 4 4 2 2 3 2 2 2" xfId="25453"/>
    <cellStyle name="Normal 4 4 2 2 3 2 3" xfId="24205"/>
    <cellStyle name="Normal 4 4 2 2 3 3" xfId="9159"/>
    <cellStyle name="Normal 4 4 2 2 3 3 2" xfId="24831"/>
    <cellStyle name="Normal 4 4 2 2 3 4" xfId="3399"/>
    <cellStyle name="Normal 4 4 2 2 3 5" xfId="21903"/>
    <cellStyle name="Normal 4 4 2 2 4" xfId="8237"/>
    <cellStyle name="Normal 4 4 2 2 4 2" xfId="10850"/>
    <cellStyle name="Normal 4 4 2 2 4 2 2" xfId="25172"/>
    <cellStyle name="Normal 4 4 2 2 4 3" xfId="23924"/>
    <cellStyle name="Normal 4 4 2 2 5" xfId="8803"/>
    <cellStyle name="Normal 4 4 2 2 5 2" xfId="24490"/>
    <cellStyle name="Normal 4 4 2 2 6" xfId="2950"/>
    <cellStyle name="Normal 4 4 2 2 7" xfId="21900"/>
    <cellStyle name="Normal 4 4 2 3" xfId="906"/>
    <cellStyle name="Normal 4 4 2 3 2" xfId="907"/>
    <cellStyle name="Normal 4 4 2 3 2 2" xfId="8574"/>
    <cellStyle name="Normal 4 4 2 3 2 2 2" xfId="11187"/>
    <cellStyle name="Normal 4 4 2 3 2 2 2 2" xfId="25509"/>
    <cellStyle name="Normal 4 4 2 3 2 2 3" xfId="24261"/>
    <cellStyle name="Normal 4 4 2 3 2 3" xfId="9215"/>
    <cellStyle name="Normal 4 4 2 3 2 3 2" xfId="24887"/>
    <cellStyle name="Normal 4 4 2 3 2 4" xfId="3455"/>
    <cellStyle name="Normal 4 4 2 3 2 5" xfId="21905"/>
    <cellStyle name="Normal 4 4 2 3 3" xfId="8293"/>
    <cellStyle name="Normal 4 4 2 3 3 2" xfId="10906"/>
    <cellStyle name="Normal 4 4 2 3 3 2 2" xfId="25228"/>
    <cellStyle name="Normal 4 4 2 3 3 3" xfId="23980"/>
    <cellStyle name="Normal 4 4 2 3 4" xfId="8859"/>
    <cellStyle name="Normal 4 4 2 3 4 2" xfId="24546"/>
    <cellStyle name="Normal 4 4 2 3 5" xfId="3006"/>
    <cellStyle name="Normal 4 4 2 3 6" xfId="21904"/>
    <cellStyle name="Normal 4 4 2 4" xfId="908"/>
    <cellStyle name="Normal 4 4 2 4 2" xfId="909"/>
    <cellStyle name="Normal 4 4 2 4 2 2" xfId="8629"/>
    <cellStyle name="Normal 4 4 2 4 2 2 2" xfId="11242"/>
    <cellStyle name="Normal 4 4 2 4 2 2 2 2" xfId="25564"/>
    <cellStyle name="Normal 4 4 2 4 2 2 3" xfId="24316"/>
    <cellStyle name="Normal 4 4 2 4 2 3" xfId="9271"/>
    <cellStyle name="Normal 4 4 2 4 2 3 2" xfId="24942"/>
    <cellStyle name="Normal 4 4 2 4 2 4" xfId="3519"/>
    <cellStyle name="Normal 4 4 2 4 2 5" xfId="21907"/>
    <cellStyle name="Normal 4 4 2 4 3" xfId="8348"/>
    <cellStyle name="Normal 4 4 2 4 3 2" xfId="10961"/>
    <cellStyle name="Normal 4 4 2 4 3 2 2" xfId="25283"/>
    <cellStyle name="Normal 4 4 2 4 3 3" xfId="24035"/>
    <cellStyle name="Normal 4 4 2 4 4" xfId="8914"/>
    <cellStyle name="Normal 4 4 2 4 4 2" xfId="24601"/>
    <cellStyle name="Normal 4 4 2 4 5" xfId="3071"/>
    <cellStyle name="Normal 4 4 2 4 6" xfId="21906"/>
    <cellStyle name="Normal 4 4 2 5" xfId="910"/>
    <cellStyle name="Normal 4 4 2 5 2" xfId="8466"/>
    <cellStyle name="Normal 4 4 2 5 2 2" xfId="11079"/>
    <cellStyle name="Normal 4 4 2 5 2 2 2" xfId="25401"/>
    <cellStyle name="Normal 4 4 2 5 2 3" xfId="24153"/>
    <cellStyle name="Normal 4 4 2 5 3" xfId="9038"/>
    <cellStyle name="Normal 4 4 2 5 3 2" xfId="24719"/>
    <cellStyle name="Normal 4 4 2 5 4" xfId="3230"/>
    <cellStyle name="Normal 4 4 2 5 5" xfId="21908"/>
    <cellStyle name="Normal 4 4 2 6" xfId="911"/>
    <cellStyle name="Normal 4 4 2 6 2" xfId="8180"/>
    <cellStyle name="Normal 4 4 2 6 2 2" xfId="10793"/>
    <cellStyle name="Normal 4 4 2 6 2 2 2" xfId="25115"/>
    <cellStyle name="Normal 4 4 2 6 2 3" xfId="23867"/>
    <cellStyle name="Normal 4 4 2 6 3" xfId="9102"/>
    <cellStyle name="Normal 4 4 2 6 3 2" xfId="24774"/>
    <cellStyle name="Normal 4 4 2 6 4" xfId="3342"/>
    <cellStyle name="Normal 4 4 2 6 5" xfId="21909"/>
    <cellStyle name="Normal 4 4 2 7" xfId="8125"/>
    <cellStyle name="Normal 4 4 2 7 2" xfId="10738"/>
    <cellStyle name="Normal 4 4 2 7 2 2" xfId="25060"/>
    <cellStyle name="Normal 4 4 2 7 3" xfId="23812"/>
    <cellStyle name="Normal 4 4 2 8" xfId="8746"/>
    <cellStyle name="Normal 4 4 2 8 2" xfId="24433"/>
    <cellStyle name="Normal 4 4 2 9" xfId="2893"/>
    <cellStyle name="Normal 4 4 3" xfId="912"/>
    <cellStyle name="Normal 4 4 3 2" xfId="913"/>
    <cellStyle name="Normal 4 4 3 2 2" xfId="914"/>
    <cellStyle name="Normal 4 4 3 2 2 2" xfId="8660"/>
    <cellStyle name="Normal 4 4 3 2 2 2 2" xfId="11273"/>
    <cellStyle name="Normal 4 4 3 2 2 2 2 2" xfId="25595"/>
    <cellStyle name="Normal 4 4 3 2 2 2 3" xfId="24347"/>
    <cellStyle name="Normal 4 4 3 2 2 3" xfId="9302"/>
    <cellStyle name="Normal 4 4 3 2 2 3 2" xfId="24973"/>
    <cellStyle name="Normal 4 4 3 2 2 4" xfId="3550"/>
    <cellStyle name="Normal 4 4 3 2 2 5" xfId="21912"/>
    <cellStyle name="Normal 4 4 3 2 3" xfId="8379"/>
    <cellStyle name="Normal 4 4 3 2 3 2" xfId="10992"/>
    <cellStyle name="Normal 4 4 3 2 3 2 2" xfId="25314"/>
    <cellStyle name="Normal 4 4 3 2 3 3" xfId="24066"/>
    <cellStyle name="Normal 4 4 3 2 4" xfId="8945"/>
    <cellStyle name="Normal 4 4 3 2 4 2" xfId="24632"/>
    <cellStyle name="Normal 4 4 3 2 5" xfId="3102"/>
    <cellStyle name="Normal 4 4 3 2 6" xfId="21911"/>
    <cellStyle name="Normal 4 4 3 3" xfId="915"/>
    <cellStyle name="Normal 4 4 3 3 2" xfId="8492"/>
    <cellStyle name="Normal 4 4 3 3 2 2" xfId="11105"/>
    <cellStyle name="Normal 4 4 3 3 2 2 2" xfId="25427"/>
    <cellStyle name="Normal 4 4 3 3 2 3" xfId="24179"/>
    <cellStyle name="Normal 4 4 3 3 3" xfId="9133"/>
    <cellStyle name="Normal 4 4 3 3 3 2" xfId="24805"/>
    <cellStyle name="Normal 4 4 3 3 4" xfId="3373"/>
    <cellStyle name="Normal 4 4 3 3 5" xfId="21913"/>
    <cellStyle name="Normal 4 4 3 4" xfId="8211"/>
    <cellStyle name="Normal 4 4 3 4 2" xfId="10824"/>
    <cellStyle name="Normal 4 4 3 4 2 2" xfId="25146"/>
    <cellStyle name="Normal 4 4 3 4 3" xfId="23898"/>
    <cellStyle name="Normal 4 4 3 5" xfId="8777"/>
    <cellStyle name="Normal 4 4 3 5 2" xfId="24464"/>
    <cellStyle name="Normal 4 4 3 6" xfId="2924"/>
    <cellStyle name="Normal 4 4 3 7" xfId="21910"/>
    <cellStyle name="Normal 4 4 4" xfId="916"/>
    <cellStyle name="Normal 4 4 4 2" xfId="917"/>
    <cellStyle name="Normal 4 4 4 2 2" xfId="8548"/>
    <cellStyle name="Normal 4 4 4 2 2 2" xfId="11161"/>
    <cellStyle name="Normal 4 4 4 2 2 2 2" xfId="25483"/>
    <cellStyle name="Normal 4 4 4 2 2 3" xfId="24235"/>
    <cellStyle name="Normal 4 4 4 2 3" xfId="9189"/>
    <cellStyle name="Normal 4 4 4 2 3 2" xfId="24861"/>
    <cellStyle name="Normal 4 4 4 2 4" xfId="3429"/>
    <cellStyle name="Normal 4 4 4 2 5" xfId="21915"/>
    <cellStyle name="Normal 4 4 4 3" xfId="8267"/>
    <cellStyle name="Normal 4 4 4 3 2" xfId="10880"/>
    <cellStyle name="Normal 4 4 4 3 2 2" xfId="25202"/>
    <cellStyle name="Normal 4 4 4 3 3" xfId="23954"/>
    <cellStyle name="Normal 4 4 4 4" xfId="8833"/>
    <cellStyle name="Normal 4 4 4 4 2" xfId="24520"/>
    <cellStyle name="Normal 4 4 4 5" xfId="2980"/>
    <cellStyle name="Normal 4 4 4 6" xfId="21914"/>
    <cellStyle name="Normal 4 4 5" xfId="918"/>
    <cellStyle name="Normal 4 4 5 2" xfId="919"/>
    <cellStyle name="Normal 4 4 5 2 2" xfId="8598"/>
    <cellStyle name="Normal 4 4 5 2 2 2" xfId="11211"/>
    <cellStyle name="Normal 4 4 5 2 2 2 2" xfId="25533"/>
    <cellStyle name="Normal 4 4 5 2 2 3" xfId="24285"/>
    <cellStyle name="Normal 4 4 5 2 3" xfId="9240"/>
    <cellStyle name="Normal 4 4 5 2 3 2" xfId="24911"/>
    <cellStyle name="Normal 4 4 5 2 4" xfId="3487"/>
    <cellStyle name="Normal 4 4 5 2 5" xfId="21917"/>
    <cellStyle name="Normal 4 4 5 3" xfId="8317"/>
    <cellStyle name="Normal 4 4 5 3 2" xfId="10930"/>
    <cellStyle name="Normal 4 4 5 3 2 2" xfId="25252"/>
    <cellStyle name="Normal 4 4 5 3 3" xfId="24004"/>
    <cellStyle name="Normal 4 4 5 4" xfId="8883"/>
    <cellStyle name="Normal 4 4 5 4 2" xfId="24570"/>
    <cellStyle name="Normal 4 4 5 5" xfId="3040"/>
    <cellStyle name="Normal 4 4 5 6" xfId="21916"/>
    <cellStyle name="Normal 4 4 6" xfId="920"/>
    <cellStyle name="Normal 4 4 6 2" xfId="8442"/>
    <cellStyle name="Normal 4 4 6 2 2" xfId="11055"/>
    <cellStyle name="Normal 4 4 6 2 2 2" xfId="25377"/>
    <cellStyle name="Normal 4 4 6 2 3" xfId="24129"/>
    <cellStyle name="Normal 4 4 6 3" xfId="9014"/>
    <cellStyle name="Normal 4 4 6 3 2" xfId="24695"/>
    <cellStyle name="Normal 4 4 6 4" xfId="3205"/>
    <cellStyle name="Normal 4 4 6 5" xfId="21918"/>
    <cellStyle name="Normal 4 4 7" xfId="921"/>
    <cellStyle name="Normal 4 4 7 2" xfId="8149"/>
    <cellStyle name="Normal 4 4 7 2 2" xfId="10762"/>
    <cellStyle name="Normal 4 4 7 2 2 2" xfId="25084"/>
    <cellStyle name="Normal 4 4 7 2 3" xfId="23836"/>
    <cellStyle name="Normal 4 4 7 3" xfId="9071"/>
    <cellStyle name="Normal 4 4 7 3 2" xfId="24743"/>
    <cellStyle name="Normal 4 4 7 4" xfId="3311"/>
    <cellStyle name="Normal 4 4 7 5" xfId="21919"/>
    <cellStyle name="Normal 4 4 8" xfId="8101"/>
    <cellStyle name="Normal 4 4 8 2" xfId="10714"/>
    <cellStyle name="Normal 4 4 8 2 2" xfId="25036"/>
    <cellStyle name="Normal 4 4 8 3" xfId="23788"/>
    <cellStyle name="Normal 4 4 9" xfId="8715"/>
    <cellStyle name="Normal 4 4 9 2" xfId="24402"/>
    <cellStyle name="Normal 4 5" xfId="922"/>
    <cellStyle name="Normal 4 5 10" xfId="21920"/>
    <cellStyle name="Normal 4 5 2" xfId="923"/>
    <cellStyle name="Normal 4 5 2 2" xfId="924"/>
    <cellStyle name="Normal 4 5 2 2 2" xfId="925"/>
    <cellStyle name="Normal 4 5 2 2 2 2" xfId="8671"/>
    <cellStyle name="Normal 4 5 2 2 2 2 2" xfId="11284"/>
    <cellStyle name="Normal 4 5 2 2 2 2 2 2" xfId="25606"/>
    <cellStyle name="Normal 4 5 2 2 2 2 3" xfId="24358"/>
    <cellStyle name="Normal 4 5 2 2 2 3" xfId="9313"/>
    <cellStyle name="Normal 4 5 2 2 2 3 2" xfId="24984"/>
    <cellStyle name="Normal 4 5 2 2 2 4" xfId="3561"/>
    <cellStyle name="Normal 4 5 2 2 2 5" xfId="21923"/>
    <cellStyle name="Normal 4 5 2 2 3" xfId="8390"/>
    <cellStyle name="Normal 4 5 2 2 3 2" xfId="11003"/>
    <cellStyle name="Normal 4 5 2 2 3 2 2" xfId="25325"/>
    <cellStyle name="Normal 4 5 2 2 3 3" xfId="24077"/>
    <cellStyle name="Normal 4 5 2 2 4" xfId="8956"/>
    <cellStyle name="Normal 4 5 2 2 4 2" xfId="24643"/>
    <cellStyle name="Normal 4 5 2 2 5" xfId="3113"/>
    <cellStyle name="Normal 4 5 2 2 6" xfId="21922"/>
    <cellStyle name="Normal 4 5 2 3" xfId="926"/>
    <cellStyle name="Normal 4 5 2 3 2" xfId="8503"/>
    <cellStyle name="Normal 4 5 2 3 2 2" xfId="11116"/>
    <cellStyle name="Normal 4 5 2 3 2 2 2" xfId="25438"/>
    <cellStyle name="Normal 4 5 2 3 2 3" xfId="24190"/>
    <cellStyle name="Normal 4 5 2 3 3" xfId="9144"/>
    <cellStyle name="Normal 4 5 2 3 3 2" xfId="24816"/>
    <cellStyle name="Normal 4 5 2 3 4" xfId="3384"/>
    <cellStyle name="Normal 4 5 2 3 5" xfId="21924"/>
    <cellStyle name="Normal 4 5 2 4" xfId="8222"/>
    <cellStyle name="Normal 4 5 2 4 2" xfId="10835"/>
    <cellStyle name="Normal 4 5 2 4 2 2" xfId="25157"/>
    <cellStyle name="Normal 4 5 2 4 3" xfId="23909"/>
    <cellStyle name="Normal 4 5 2 5" xfId="8788"/>
    <cellStyle name="Normal 4 5 2 5 2" xfId="24475"/>
    <cellStyle name="Normal 4 5 2 6" xfId="2935"/>
    <cellStyle name="Normal 4 5 2 7" xfId="21921"/>
    <cellStyle name="Normal 4 5 3" xfId="927"/>
    <cellStyle name="Normal 4 5 3 2" xfId="928"/>
    <cellStyle name="Normal 4 5 3 2 2" xfId="8559"/>
    <cellStyle name="Normal 4 5 3 2 2 2" xfId="11172"/>
    <cellStyle name="Normal 4 5 3 2 2 2 2" xfId="25494"/>
    <cellStyle name="Normal 4 5 3 2 2 3" xfId="24246"/>
    <cellStyle name="Normal 4 5 3 2 3" xfId="9200"/>
    <cellStyle name="Normal 4 5 3 2 3 2" xfId="24872"/>
    <cellStyle name="Normal 4 5 3 2 4" xfId="3440"/>
    <cellStyle name="Normal 4 5 3 2 5" xfId="21926"/>
    <cellStyle name="Normal 4 5 3 3" xfId="8278"/>
    <cellStyle name="Normal 4 5 3 3 2" xfId="10891"/>
    <cellStyle name="Normal 4 5 3 3 2 2" xfId="25213"/>
    <cellStyle name="Normal 4 5 3 3 3" xfId="23965"/>
    <cellStyle name="Normal 4 5 3 4" xfId="8844"/>
    <cellStyle name="Normal 4 5 3 4 2" xfId="24531"/>
    <cellStyle name="Normal 4 5 3 5" xfId="2991"/>
    <cellStyle name="Normal 4 5 3 6" xfId="21925"/>
    <cellStyle name="Normal 4 5 4" xfId="929"/>
    <cellStyle name="Normal 4 5 4 2" xfId="930"/>
    <cellStyle name="Normal 4 5 4 2 2" xfId="8609"/>
    <cellStyle name="Normal 4 5 4 2 2 2" xfId="11222"/>
    <cellStyle name="Normal 4 5 4 2 2 2 2" xfId="25544"/>
    <cellStyle name="Normal 4 5 4 2 2 3" xfId="24296"/>
    <cellStyle name="Normal 4 5 4 2 3" xfId="9251"/>
    <cellStyle name="Normal 4 5 4 2 3 2" xfId="24922"/>
    <cellStyle name="Normal 4 5 4 2 4" xfId="3498"/>
    <cellStyle name="Normal 4 5 4 2 5" xfId="21928"/>
    <cellStyle name="Normal 4 5 4 3" xfId="8328"/>
    <cellStyle name="Normal 4 5 4 3 2" xfId="10941"/>
    <cellStyle name="Normal 4 5 4 3 2 2" xfId="25263"/>
    <cellStyle name="Normal 4 5 4 3 3" xfId="24015"/>
    <cellStyle name="Normal 4 5 4 4" xfId="8894"/>
    <cellStyle name="Normal 4 5 4 4 2" xfId="24581"/>
    <cellStyle name="Normal 4 5 4 5" xfId="3051"/>
    <cellStyle name="Normal 4 5 4 6" xfId="21927"/>
    <cellStyle name="Normal 4 5 5" xfId="931"/>
    <cellStyle name="Normal 4 5 5 2" xfId="8452"/>
    <cellStyle name="Normal 4 5 5 2 2" xfId="11065"/>
    <cellStyle name="Normal 4 5 5 2 2 2" xfId="25387"/>
    <cellStyle name="Normal 4 5 5 2 3" xfId="24139"/>
    <cellStyle name="Normal 4 5 5 3" xfId="9024"/>
    <cellStyle name="Normal 4 5 5 3 2" xfId="24705"/>
    <cellStyle name="Normal 4 5 5 4" xfId="3215"/>
    <cellStyle name="Normal 4 5 5 5" xfId="21929"/>
    <cellStyle name="Normal 4 5 6" xfId="932"/>
    <cellStyle name="Normal 4 5 6 2" xfId="8160"/>
    <cellStyle name="Normal 4 5 6 2 2" xfId="10773"/>
    <cellStyle name="Normal 4 5 6 2 2 2" xfId="25095"/>
    <cellStyle name="Normal 4 5 6 2 3" xfId="23847"/>
    <cellStyle name="Normal 4 5 6 3" xfId="9082"/>
    <cellStyle name="Normal 4 5 6 3 2" xfId="24754"/>
    <cellStyle name="Normal 4 5 6 4" xfId="3322"/>
    <cellStyle name="Normal 4 5 6 5" xfId="21930"/>
    <cellStyle name="Normal 4 5 7" xfId="8111"/>
    <cellStyle name="Normal 4 5 7 2" xfId="10724"/>
    <cellStyle name="Normal 4 5 7 2 2" xfId="25046"/>
    <cellStyle name="Normal 4 5 7 3" xfId="23798"/>
    <cellStyle name="Normal 4 5 8" xfId="8726"/>
    <cellStyle name="Normal 4 5 8 2" xfId="24413"/>
    <cellStyle name="Normal 4 5 9" xfId="2871"/>
    <cellStyle name="Normal 4 6" xfId="933"/>
    <cellStyle name="Normal 4 6 10" xfId="21931"/>
    <cellStyle name="Normal 4 6 2" xfId="934"/>
    <cellStyle name="Normal 4 6 2 2" xfId="935"/>
    <cellStyle name="Normal 4 6 2 2 2" xfId="936"/>
    <cellStyle name="Normal 4 6 2 2 2 2" xfId="8646"/>
    <cellStyle name="Normal 4 6 2 2 2 2 2" xfId="11259"/>
    <cellStyle name="Normal 4 6 2 2 2 2 2 2" xfId="25581"/>
    <cellStyle name="Normal 4 6 2 2 2 2 3" xfId="24333"/>
    <cellStyle name="Normal 4 6 2 2 2 3" xfId="9288"/>
    <cellStyle name="Normal 4 6 2 2 2 3 2" xfId="24959"/>
    <cellStyle name="Normal 4 6 2 2 2 4" xfId="3536"/>
    <cellStyle name="Normal 4 6 2 2 2 5" xfId="21934"/>
    <cellStyle name="Normal 4 6 2 2 3" xfId="8365"/>
    <cellStyle name="Normal 4 6 2 2 3 2" xfId="10978"/>
    <cellStyle name="Normal 4 6 2 2 3 2 2" xfId="25300"/>
    <cellStyle name="Normal 4 6 2 2 3 3" xfId="24052"/>
    <cellStyle name="Normal 4 6 2 2 4" xfId="8931"/>
    <cellStyle name="Normal 4 6 2 2 4 2" xfId="24618"/>
    <cellStyle name="Normal 4 6 2 2 5" xfId="3088"/>
    <cellStyle name="Normal 4 6 2 2 6" xfId="21933"/>
    <cellStyle name="Normal 4 6 2 3" xfId="937"/>
    <cellStyle name="Normal 4 6 2 3 2" xfId="8482"/>
    <cellStyle name="Normal 4 6 2 3 2 2" xfId="11095"/>
    <cellStyle name="Normal 4 6 2 3 2 2 2" xfId="25417"/>
    <cellStyle name="Normal 4 6 2 3 2 3" xfId="24169"/>
    <cellStyle name="Normal 4 6 2 3 3" xfId="9119"/>
    <cellStyle name="Normal 4 6 2 3 3 2" xfId="24791"/>
    <cellStyle name="Normal 4 6 2 3 4" xfId="3359"/>
    <cellStyle name="Normal 4 6 2 3 5" xfId="21935"/>
    <cellStyle name="Normal 4 6 2 4" xfId="8197"/>
    <cellStyle name="Normal 4 6 2 4 2" xfId="10810"/>
    <cellStyle name="Normal 4 6 2 4 2 2" xfId="25132"/>
    <cellStyle name="Normal 4 6 2 4 3" xfId="23884"/>
    <cellStyle name="Normal 4 6 2 5" xfId="8763"/>
    <cellStyle name="Normal 4 6 2 5 2" xfId="24450"/>
    <cellStyle name="Normal 4 6 2 6" xfId="2910"/>
    <cellStyle name="Normal 4 6 2 7" xfId="21932"/>
    <cellStyle name="Normal 4 6 3" xfId="938"/>
    <cellStyle name="Normal 4 6 3 2" xfId="939"/>
    <cellStyle name="Normal 4 6 3 2 2" xfId="8534"/>
    <cellStyle name="Normal 4 6 3 2 2 2" xfId="11147"/>
    <cellStyle name="Normal 4 6 3 2 2 2 2" xfId="25469"/>
    <cellStyle name="Normal 4 6 3 2 2 3" xfId="24221"/>
    <cellStyle name="Normal 4 6 3 2 3" xfId="9175"/>
    <cellStyle name="Normal 4 6 3 2 3 2" xfId="24847"/>
    <cellStyle name="Normal 4 6 3 2 4" xfId="3415"/>
    <cellStyle name="Normal 4 6 3 2 5" xfId="21937"/>
    <cellStyle name="Normal 4 6 3 3" xfId="8253"/>
    <cellStyle name="Normal 4 6 3 3 2" xfId="10866"/>
    <cellStyle name="Normal 4 6 3 3 2 2" xfId="25188"/>
    <cellStyle name="Normal 4 6 3 3 3" xfId="23940"/>
    <cellStyle name="Normal 4 6 3 4" xfId="8819"/>
    <cellStyle name="Normal 4 6 3 4 2" xfId="24506"/>
    <cellStyle name="Normal 4 6 3 5" xfId="2966"/>
    <cellStyle name="Normal 4 6 3 6" xfId="21936"/>
    <cellStyle name="Normal 4 6 4" xfId="940"/>
    <cellStyle name="Normal 4 6 4 2" xfId="941"/>
    <cellStyle name="Normal 4 6 4 2 2" xfId="8615"/>
    <cellStyle name="Normal 4 6 4 2 2 2" xfId="11228"/>
    <cellStyle name="Normal 4 6 4 2 2 2 2" xfId="25550"/>
    <cellStyle name="Normal 4 6 4 2 2 3" xfId="24302"/>
    <cellStyle name="Normal 4 6 4 2 3" xfId="9257"/>
    <cellStyle name="Normal 4 6 4 2 3 2" xfId="24928"/>
    <cellStyle name="Normal 4 6 4 2 4" xfId="3504"/>
    <cellStyle name="Normal 4 6 4 2 5" xfId="21939"/>
    <cellStyle name="Normal 4 6 4 3" xfId="8334"/>
    <cellStyle name="Normal 4 6 4 3 2" xfId="10947"/>
    <cellStyle name="Normal 4 6 4 3 2 2" xfId="25269"/>
    <cellStyle name="Normal 4 6 4 3 3" xfId="24021"/>
    <cellStyle name="Normal 4 6 4 4" xfId="8900"/>
    <cellStyle name="Normal 4 6 4 4 2" xfId="24587"/>
    <cellStyle name="Normal 4 6 4 5" xfId="3057"/>
    <cellStyle name="Normal 4 6 4 6" xfId="21938"/>
    <cellStyle name="Normal 4 6 5" xfId="942"/>
    <cellStyle name="Normal 4 6 5 2" xfId="8432"/>
    <cellStyle name="Normal 4 6 5 2 2" xfId="11045"/>
    <cellStyle name="Normal 4 6 5 2 2 2" xfId="25367"/>
    <cellStyle name="Normal 4 6 5 2 3" xfId="24119"/>
    <cellStyle name="Normal 4 6 5 3" xfId="9002"/>
    <cellStyle name="Normal 4 6 5 3 2" xfId="24685"/>
    <cellStyle name="Normal 4 6 5 4" xfId="3177"/>
    <cellStyle name="Normal 4 6 5 5" xfId="21940"/>
    <cellStyle name="Normal 4 6 6" xfId="943"/>
    <cellStyle name="Normal 4 6 6 2" xfId="8166"/>
    <cellStyle name="Normal 4 6 6 2 2" xfId="10779"/>
    <cellStyle name="Normal 4 6 6 2 2 2" xfId="25101"/>
    <cellStyle name="Normal 4 6 6 2 3" xfId="23853"/>
    <cellStyle name="Normal 4 6 6 3" xfId="9088"/>
    <cellStyle name="Normal 4 6 6 3 2" xfId="24760"/>
    <cellStyle name="Normal 4 6 6 4" xfId="3328"/>
    <cellStyle name="Normal 4 6 6 5" xfId="21941"/>
    <cellStyle name="Normal 4 6 7" xfId="8091"/>
    <cellStyle name="Normal 4 6 7 2" xfId="10704"/>
    <cellStyle name="Normal 4 6 7 2 2" xfId="25026"/>
    <cellStyle name="Normal 4 6 7 3" xfId="23778"/>
    <cellStyle name="Normal 4 6 8" xfId="8732"/>
    <cellStyle name="Normal 4 6 8 2" xfId="24419"/>
    <cellStyle name="Normal 4 6 9" xfId="2878"/>
    <cellStyle name="Normal 4 7" xfId="944"/>
    <cellStyle name="Normal 4 7 2" xfId="945"/>
    <cellStyle name="Normal 4 7 2 2" xfId="946"/>
    <cellStyle name="Normal 4 7 2 2 2" xfId="8640"/>
    <cellStyle name="Normal 4 7 2 2 2 2" xfId="11253"/>
    <cellStyle name="Normal 4 7 2 2 2 2 2" xfId="25575"/>
    <cellStyle name="Normal 4 7 2 2 2 3" xfId="24327"/>
    <cellStyle name="Normal 4 7 2 2 3" xfId="9282"/>
    <cellStyle name="Normal 4 7 2 2 3 2" xfId="24953"/>
    <cellStyle name="Normal 4 7 2 2 4" xfId="3530"/>
    <cellStyle name="Normal 4 7 2 2 5" xfId="21944"/>
    <cellStyle name="Normal 4 7 2 3" xfId="8359"/>
    <cellStyle name="Normal 4 7 2 3 2" xfId="10972"/>
    <cellStyle name="Normal 4 7 2 3 2 2" xfId="25294"/>
    <cellStyle name="Normal 4 7 2 3 3" xfId="24046"/>
    <cellStyle name="Normal 4 7 2 4" xfId="8925"/>
    <cellStyle name="Normal 4 7 2 4 2" xfId="24612"/>
    <cellStyle name="Normal 4 7 2 5" xfId="3082"/>
    <cellStyle name="Normal 4 7 2 6" xfId="21943"/>
    <cellStyle name="Normal 4 7 3" xfId="947"/>
    <cellStyle name="Normal 4 7 3 2" xfId="8476"/>
    <cellStyle name="Normal 4 7 3 2 2" xfId="11089"/>
    <cellStyle name="Normal 4 7 3 2 2 2" xfId="25411"/>
    <cellStyle name="Normal 4 7 3 2 3" xfId="24163"/>
    <cellStyle name="Normal 4 7 3 3" xfId="9113"/>
    <cellStyle name="Normal 4 7 3 3 2" xfId="24785"/>
    <cellStyle name="Normal 4 7 3 4" xfId="3353"/>
    <cellStyle name="Normal 4 7 3 5" xfId="21945"/>
    <cellStyle name="Normal 4 7 4" xfId="8191"/>
    <cellStyle name="Normal 4 7 4 2" xfId="10804"/>
    <cellStyle name="Normal 4 7 4 2 2" xfId="25126"/>
    <cellStyle name="Normal 4 7 4 3" xfId="23878"/>
    <cellStyle name="Normal 4 7 5" xfId="8757"/>
    <cellStyle name="Normal 4 7 5 2" xfId="24444"/>
    <cellStyle name="Normal 4 7 6" xfId="2904"/>
    <cellStyle name="Normal 4 7 7" xfId="21942"/>
    <cellStyle name="Normal 4 8" xfId="948"/>
    <cellStyle name="Normal 4 8 2" xfId="949"/>
    <cellStyle name="Normal 4 8 2 2" xfId="8528"/>
    <cellStyle name="Normal 4 8 2 2 2" xfId="11141"/>
    <cellStyle name="Normal 4 8 2 2 2 2" xfId="25463"/>
    <cellStyle name="Normal 4 8 2 2 3" xfId="24215"/>
    <cellStyle name="Normal 4 8 2 3" xfId="9169"/>
    <cellStyle name="Normal 4 8 2 3 2" xfId="24841"/>
    <cellStyle name="Normal 4 8 2 4" xfId="3409"/>
    <cellStyle name="Normal 4 8 2 5" xfId="21947"/>
    <cellStyle name="Normal 4 8 3" xfId="8247"/>
    <cellStyle name="Normal 4 8 3 2" xfId="10860"/>
    <cellStyle name="Normal 4 8 3 2 2" xfId="25182"/>
    <cellStyle name="Normal 4 8 3 3" xfId="23934"/>
    <cellStyle name="Normal 4 8 4" xfId="8813"/>
    <cellStyle name="Normal 4 8 4 2" xfId="24500"/>
    <cellStyle name="Normal 4 8 5" xfId="2960"/>
    <cellStyle name="Normal 4 8 6" xfId="21946"/>
    <cellStyle name="Normal 4 9" xfId="950"/>
    <cellStyle name="Normal 4 9 2" xfId="951"/>
    <cellStyle name="Normal 4 9 2 2" xfId="8584"/>
    <cellStyle name="Normal 4 9 2 2 2" xfId="11197"/>
    <cellStyle name="Normal 4 9 2 2 2 2" xfId="25519"/>
    <cellStyle name="Normal 4 9 2 2 3" xfId="24271"/>
    <cellStyle name="Normal 4 9 2 3" xfId="9225"/>
    <cellStyle name="Normal 4 9 2 3 2" xfId="24897"/>
    <cellStyle name="Normal 4 9 2 4" xfId="3470"/>
    <cellStyle name="Normal 4 9 2 5" xfId="21949"/>
    <cellStyle name="Normal 4 9 3" xfId="8303"/>
    <cellStyle name="Normal 4 9 3 2" xfId="10916"/>
    <cellStyle name="Normal 4 9 3 2 2" xfId="25238"/>
    <cellStyle name="Normal 4 9 3 3" xfId="23990"/>
    <cellStyle name="Normal 4 9 4" xfId="8869"/>
    <cellStyle name="Normal 4 9 4 2" xfId="24556"/>
    <cellStyle name="Normal 4 9 5" xfId="3020"/>
    <cellStyle name="Normal 4 9 6" xfId="21948"/>
    <cellStyle name="Normal 5" xfId="952"/>
    <cellStyle name="Normal 5 10" xfId="953"/>
    <cellStyle name="Normal 5 10 2" xfId="8416"/>
    <cellStyle name="Normal 5 10 2 2" xfId="11029"/>
    <cellStyle name="Normal 5 10 2 2 2" xfId="25351"/>
    <cellStyle name="Normal 5 10 2 3" xfId="24103"/>
    <cellStyle name="Normal 5 10 3" xfId="8986"/>
    <cellStyle name="Normal 5 10 3 2" xfId="24669"/>
    <cellStyle name="Normal 5 10 4" xfId="3159"/>
    <cellStyle name="Normal 5 10 5" xfId="21951"/>
    <cellStyle name="Normal 5 11" xfId="954"/>
    <cellStyle name="Normal 5 11 2" xfId="8136"/>
    <cellStyle name="Normal 5 11 2 2" xfId="10749"/>
    <cellStyle name="Normal 5 11 2 2 2" xfId="25071"/>
    <cellStyle name="Normal 5 11 2 3" xfId="23823"/>
    <cellStyle name="Normal 5 11 3" xfId="9058"/>
    <cellStyle name="Normal 5 11 3 2" xfId="24730"/>
    <cellStyle name="Normal 5 11 4" xfId="3298"/>
    <cellStyle name="Normal 5 11 5" xfId="21952"/>
    <cellStyle name="Normal 5 12" xfId="8075"/>
    <cellStyle name="Normal 5 12 2" xfId="10688"/>
    <cellStyle name="Normal 5 12 2 2" xfId="25010"/>
    <cellStyle name="Normal 5 12 3" xfId="23762"/>
    <cellStyle name="Normal 5 13" xfId="8697"/>
    <cellStyle name="Normal 5 13 2" xfId="11310"/>
    <cellStyle name="Normal 5 13 2 2" xfId="25632"/>
    <cellStyle name="Normal 5 13 3" xfId="24384"/>
    <cellStyle name="Normal 5 14" xfId="8702"/>
    <cellStyle name="Normal 5 14 2" xfId="24389"/>
    <cellStyle name="Normal 5 15" xfId="2803"/>
    <cellStyle name="Normal 5 16" xfId="21950"/>
    <cellStyle name="Normal 5 2" xfId="955"/>
    <cellStyle name="Normal 5 2 10" xfId="8706"/>
    <cellStyle name="Normal 5 2 10 2" xfId="24393"/>
    <cellStyle name="Normal 5 2 11" xfId="2850"/>
    <cellStyle name="Normal 5 2 12" xfId="21953"/>
    <cellStyle name="Normal 5 2 2" xfId="956"/>
    <cellStyle name="Normal 5 2 2 10" xfId="2866"/>
    <cellStyle name="Normal 5 2 2 11" xfId="21954"/>
    <cellStyle name="Normal 5 2 2 2" xfId="957"/>
    <cellStyle name="Normal 5 2 2 2 10" xfId="21955"/>
    <cellStyle name="Normal 5 2 2 2 2" xfId="958"/>
    <cellStyle name="Normal 5 2 2 2 2 2" xfId="959"/>
    <cellStyle name="Normal 5 2 2 2 2 2 2" xfId="960"/>
    <cellStyle name="Normal 5 2 2 2 2 2 2 2" xfId="8692"/>
    <cellStyle name="Normal 5 2 2 2 2 2 2 2 2" xfId="11305"/>
    <cellStyle name="Normal 5 2 2 2 2 2 2 2 2 2" xfId="25627"/>
    <cellStyle name="Normal 5 2 2 2 2 2 2 2 3" xfId="24379"/>
    <cellStyle name="Normal 5 2 2 2 2 2 2 3" xfId="9334"/>
    <cellStyle name="Normal 5 2 2 2 2 2 2 3 2" xfId="25005"/>
    <cellStyle name="Normal 5 2 2 2 2 2 2 4" xfId="3582"/>
    <cellStyle name="Normal 5 2 2 2 2 2 2 5" xfId="21958"/>
    <cellStyle name="Normal 5 2 2 2 2 2 3" xfId="8411"/>
    <cellStyle name="Normal 5 2 2 2 2 2 3 2" xfId="11024"/>
    <cellStyle name="Normal 5 2 2 2 2 2 3 2 2" xfId="25346"/>
    <cellStyle name="Normal 5 2 2 2 2 2 3 3" xfId="24098"/>
    <cellStyle name="Normal 5 2 2 2 2 2 4" xfId="8977"/>
    <cellStyle name="Normal 5 2 2 2 2 2 4 2" xfId="24664"/>
    <cellStyle name="Normal 5 2 2 2 2 2 5" xfId="3134"/>
    <cellStyle name="Normal 5 2 2 2 2 2 6" xfId="21957"/>
    <cellStyle name="Normal 5 2 2 2 2 3" xfId="961"/>
    <cellStyle name="Normal 5 2 2 2 2 3 2" xfId="8524"/>
    <cellStyle name="Normal 5 2 2 2 2 3 2 2" xfId="11137"/>
    <cellStyle name="Normal 5 2 2 2 2 3 2 2 2" xfId="25459"/>
    <cellStyle name="Normal 5 2 2 2 2 3 2 3" xfId="24211"/>
    <cellStyle name="Normal 5 2 2 2 2 3 3" xfId="9165"/>
    <cellStyle name="Normal 5 2 2 2 2 3 3 2" xfId="24837"/>
    <cellStyle name="Normal 5 2 2 2 2 3 4" xfId="3405"/>
    <cellStyle name="Normal 5 2 2 2 2 3 5" xfId="21959"/>
    <cellStyle name="Normal 5 2 2 2 2 4" xfId="8243"/>
    <cellStyle name="Normal 5 2 2 2 2 4 2" xfId="10856"/>
    <cellStyle name="Normal 5 2 2 2 2 4 2 2" xfId="25178"/>
    <cellStyle name="Normal 5 2 2 2 2 4 3" xfId="23930"/>
    <cellStyle name="Normal 5 2 2 2 2 5" xfId="8809"/>
    <cellStyle name="Normal 5 2 2 2 2 5 2" xfId="24496"/>
    <cellStyle name="Normal 5 2 2 2 2 6" xfId="2956"/>
    <cellStyle name="Normal 5 2 2 2 2 7" xfId="21956"/>
    <cellStyle name="Normal 5 2 2 2 3" xfId="962"/>
    <cellStyle name="Normal 5 2 2 2 3 2" xfId="963"/>
    <cellStyle name="Normal 5 2 2 2 3 2 2" xfId="8580"/>
    <cellStyle name="Normal 5 2 2 2 3 2 2 2" xfId="11193"/>
    <cellStyle name="Normal 5 2 2 2 3 2 2 2 2" xfId="25515"/>
    <cellStyle name="Normal 5 2 2 2 3 2 2 3" xfId="24267"/>
    <cellStyle name="Normal 5 2 2 2 3 2 3" xfId="9221"/>
    <cellStyle name="Normal 5 2 2 2 3 2 3 2" xfId="24893"/>
    <cellStyle name="Normal 5 2 2 2 3 2 4" xfId="3461"/>
    <cellStyle name="Normal 5 2 2 2 3 2 5" xfId="21961"/>
    <cellStyle name="Normal 5 2 2 2 3 3" xfId="8299"/>
    <cellStyle name="Normal 5 2 2 2 3 3 2" xfId="10912"/>
    <cellStyle name="Normal 5 2 2 2 3 3 2 2" xfId="25234"/>
    <cellStyle name="Normal 5 2 2 2 3 3 3" xfId="23986"/>
    <cellStyle name="Normal 5 2 2 2 3 4" xfId="8865"/>
    <cellStyle name="Normal 5 2 2 2 3 4 2" xfId="24552"/>
    <cellStyle name="Normal 5 2 2 2 3 5" xfId="3012"/>
    <cellStyle name="Normal 5 2 2 2 3 6" xfId="21960"/>
    <cellStyle name="Normal 5 2 2 2 4" xfId="964"/>
    <cellStyle name="Normal 5 2 2 2 4 2" xfId="965"/>
    <cellStyle name="Normal 5 2 2 2 4 2 2" xfId="8635"/>
    <cellStyle name="Normal 5 2 2 2 4 2 2 2" xfId="11248"/>
    <cellStyle name="Normal 5 2 2 2 4 2 2 2 2" xfId="25570"/>
    <cellStyle name="Normal 5 2 2 2 4 2 2 3" xfId="24322"/>
    <cellStyle name="Normal 5 2 2 2 4 2 3" xfId="9277"/>
    <cellStyle name="Normal 5 2 2 2 4 2 3 2" xfId="24948"/>
    <cellStyle name="Normal 5 2 2 2 4 2 4" xfId="3525"/>
    <cellStyle name="Normal 5 2 2 2 4 2 5" xfId="21963"/>
    <cellStyle name="Normal 5 2 2 2 4 3" xfId="8354"/>
    <cellStyle name="Normal 5 2 2 2 4 3 2" xfId="10967"/>
    <cellStyle name="Normal 5 2 2 2 4 3 2 2" xfId="25289"/>
    <cellStyle name="Normal 5 2 2 2 4 3 3" xfId="24041"/>
    <cellStyle name="Normal 5 2 2 2 4 4" xfId="8920"/>
    <cellStyle name="Normal 5 2 2 2 4 4 2" xfId="24607"/>
    <cellStyle name="Normal 5 2 2 2 4 5" xfId="3077"/>
    <cellStyle name="Normal 5 2 2 2 4 6" xfId="21962"/>
    <cellStyle name="Normal 5 2 2 2 5" xfId="966"/>
    <cellStyle name="Normal 5 2 2 2 5 2" xfId="8472"/>
    <cellStyle name="Normal 5 2 2 2 5 2 2" xfId="11085"/>
    <cellStyle name="Normal 5 2 2 2 5 2 2 2" xfId="25407"/>
    <cellStyle name="Normal 5 2 2 2 5 2 3" xfId="24159"/>
    <cellStyle name="Normal 5 2 2 2 5 3" xfId="9044"/>
    <cellStyle name="Normal 5 2 2 2 5 3 2" xfId="24725"/>
    <cellStyle name="Normal 5 2 2 2 5 4" xfId="3236"/>
    <cellStyle name="Normal 5 2 2 2 5 5" xfId="21964"/>
    <cellStyle name="Normal 5 2 2 2 6" xfId="967"/>
    <cellStyle name="Normal 5 2 2 2 6 2" xfId="8186"/>
    <cellStyle name="Normal 5 2 2 2 6 2 2" xfId="10799"/>
    <cellStyle name="Normal 5 2 2 2 6 2 2 2" xfId="25121"/>
    <cellStyle name="Normal 5 2 2 2 6 2 3" xfId="23873"/>
    <cellStyle name="Normal 5 2 2 2 6 3" xfId="9108"/>
    <cellStyle name="Normal 5 2 2 2 6 3 2" xfId="24780"/>
    <cellStyle name="Normal 5 2 2 2 6 4" xfId="3348"/>
    <cellStyle name="Normal 5 2 2 2 6 5" xfId="21965"/>
    <cellStyle name="Normal 5 2 2 2 7" xfId="8131"/>
    <cellStyle name="Normal 5 2 2 2 7 2" xfId="10744"/>
    <cellStyle name="Normal 5 2 2 2 7 2 2" xfId="25066"/>
    <cellStyle name="Normal 5 2 2 2 7 3" xfId="23818"/>
    <cellStyle name="Normal 5 2 2 2 8" xfId="8752"/>
    <cellStyle name="Normal 5 2 2 2 8 2" xfId="24439"/>
    <cellStyle name="Normal 5 2 2 2 9" xfId="2899"/>
    <cellStyle name="Normal 5 2 2 3" xfId="968"/>
    <cellStyle name="Normal 5 2 2 3 2" xfId="969"/>
    <cellStyle name="Normal 5 2 2 3 2 2" xfId="970"/>
    <cellStyle name="Normal 5 2 2 3 2 2 2" xfId="8666"/>
    <cellStyle name="Normal 5 2 2 3 2 2 2 2" xfId="11279"/>
    <cellStyle name="Normal 5 2 2 3 2 2 2 2 2" xfId="25601"/>
    <cellStyle name="Normal 5 2 2 3 2 2 2 3" xfId="24353"/>
    <cellStyle name="Normal 5 2 2 3 2 2 3" xfId="9308"/>
    <cellStyle name="Normal 5 2 2 3 2 2 3 2" xfId="24979"/>
    <cellStyle name="Normal 5 2 2 3 2 2 4" xfId="3556"/>
    <cellStyle name="Normal 5 2 2 3 2 2 5" xfId="21968"/>
    <cellStyle name="Normal 5 2 2 3 2 3" xfId="8385"/>
    <cellStyle name="Normal 5 2 2 3 2 3 2" xfId="10998"/>
    <cellStyle name="Normal 5 2 2 3 2 3 2 2" xfId="25320"/>
    <cellStyle name="Normal 5 2 2 3 2 3 3" xfId="24072"/>
    <cellStyle name="Normal 5 2 2 3 2 4" xfId="8951"/>
    <cellStyle name="Normal 5 2 2 3 2 4 2" xfId="24638"/>
    <cellStyle name="Normal 5 2 2 3 2 5" xfId="3108"/>
    <cellStyle name="Normal 5 2 2 3 2 6" xfId="21967"/>
    <cellStyle name="Normal 5 2 2 3 3" xfId="971"/>
    <cellStyle name="Normal 5 2 2 3 3 2" xfId="8498"/>
    <cellStyle name="Normal 5 2 2 3 3 2 2" xfId="11111"/>
    <cellStyle name="Normal 5 2 2 3 3 2 2 2" xfId="25433"/>
    <cellStyle name="Normal 5 2 2 3 3 2 3" xfId="24185"/>
    <cellStyle name="Normal 5 2 2 3 3 3" xfId="9139"/>
    <cellStyle name="Normal 5 2 2 3 3 3 2" xfId="24811"/>
    <cellStyle name="Normal 5 2 2 3 3 4" xfId="3379"/>
    <cellStyle name="Normal 5 2 2 3 3 5" xfId="21969"/>
    <cellStyle name="Normal 5 2 2 3 4" xfId="8217"/>
    <cellStyle name="Normal 5 2 2 3 4 2" xfId="10830"/>
    <cellStyle name="Normal 5 2 2 3 4 2 2" xfId="25152"/>
    <cellStyle name="Normal 5 2 2 3 4 3" xfId="23904"/>
    <cellStyle name="Normal 5 2 2 3 5" xfId="8783"/>
    <cellStyle name="Normal 5 2 2 3 5 2" xfId="24470"/>
    <cellStyle name="Normal 5 2 2 3 6" xfId="2930"/>
    <cellStyle name="Normal 5 2 2 3 7" xfId="21966"/>
    <cellStyle name="Normal 5 2 2 4" xfId="972"/>
    <cellStyle name="Normal 5 2 2 4 2" xfId="973"/>
    <cellStyle name="Normal 5 2 2 4 2 2" xfId="8554"/>
    <cellStyle name="Normal 5 2 2 4 2 2 2" xfId="11167"/>
    <cellStyle name="Normal 5 2 2 4 2 2 2 2" xfId="25489"/>
    <cellStyle name="Normal 5 2 2 4 2 2 3" xfId="24241"/>
    <cellStyle name="Normal 5 2 2 4 2 3" xfId="9195"/>
    <cellStyle name="Normal 5 2 2 4 2 3 2" xfId="24867"/>
    <cellStyle name="Normal 5 2 2 4 2 4" xfId="3435"/>
    <cellStyle name="Normal 5 2 2 4 2 5" xfId="21971"/>
    <cellStyle name="Normal 5 2 2 4 3" xfId="8273"/>
    <cellStyle name="Normal 5 2 2 4 3 2" xfId="10886"/>
    <cellStyle name="Normal 5 2 2 4 3 2 2" xfId="25208"/>
    <cellStyle name="Normal 5 2 2 4 3 3" xfId="23960"/>
    <cellStyle name="Normal 5 2 2 4 4" xfId="8839"/>
    <cellStyle name="Normal 5 2 2 4 4 2" xfId="24526"/>
    <cellStyle name="Normal 5 2 2 4 5" xfId="2986"/>
    <cellStyle name="Normal 5 2 2 4 6" xfId="21970"/>
    <cellStyle name="Normal 5 2 2 5" xfId="974"/>
    <cellStyle name="Normal 5 2 2 5 2" xfId="975"/>
    <cellStyle name="Normal 5 2 2 5 2 2" xfId="8604"/>
    <cellStyle name="Normal 5 2 2 5 2 2 2" xfId="11217"/>
    <cellStyle name="Normal 5 2 2 5 2 2 2 2" xfId="25539"/>
    <cellStyle name="Normal 5 2 2 5 2 2 3" xfId="24291"/>
    <cellStyle name="Normal 5 2 2 5 2 3" xfId="9246"/>
    <cellStyle name="Normal 5 2 2 5 2 3 2" xfId="24917"/>
    <cellStyle name="Normal 5 2 2 5 2 4" xfId="3493"/>
    <cellStyle name="Normal 5 2 2 5 2 5" xfId="21973"/>
    <cellStyle name="Normal 5 2 2 5 3" xfId="8323"/>
    <cellStyle name="Normal 5 2 2 5 3 2" xfId="10936"/>
    <cellStyle name="Normal 5 2 2 5 3 2 2" xfId="25258"/>
    <cellStyle name="Normal 5 2 2 5 3 3" xfId="24010"/>
    <cellStyle name="Normal 5 2 2 5 4" xfId="8889"/>
    <cellStyle name="Normal 5 2 2 5 4 2" xfId="24576"/>
    <cellStyle name="Normal 5 2 2 5 5" xfId="3046"/>
    <cellStyle name="Normal 5 2 2 5 6" xfId="21972"/>
    <cellStyle name="Normal 5 2 2 6" xfId="976"/>
    <cellStyle name="Normal 5 2 2 6 2" xfId="8447"/>
    <cellStyle name="Normal 5 2 2 6 2 2" xfId="11060"/>
    <cellStyle name="Normal 5 2 2 6 2 2 2" xfId="25382"/>
    <cellStyle name="Normal 5 2 2 6 2 3" xfId="24134"/>
    <cellStyle name="Normal 5 2 2 6 3" xfId="9019"/>
    <cellStyle name="Normal 5 2 2 6 3 2" xfId="24700"/>
    <cellStyle name="Normal 5 2 2 6 4" xfId="3210"/>
    <cellStyle name="Normal 5 2 2 6 5" xfId="21974"/>
    <cellStyle name="Normal 5 2 2 7" xfId="977"/>
    <cellStyle name="Normal 5 2 2 7 2" xfId="8155"/>
    <cellStyle name="Normal 5 2 2 7 2 2" xfId="10768"/>
    <cellStyle name="Normal 5 2 2 7 2 2 2" xfId="25090"/>
    <cellStyle name="Normal 5 2 2 7 2 3" xfId="23842"/>
    <cellStyle name="Normal 5 2 2 7 3" xfId="9077"/>
    <cellStyle name="Normal 5 2 2 7 3 2" xfId="24749"/>
    <cellStyle name="Normal 5 2 2 7 4" xfId="3317"/>
    <cellStyle name="Normal 5 2 2 7 5" xfId="21975"/>
    <cellStyle name="Normal 5 2 2 8" xfId="8106"/>
    <cellStyle name="Normal 5 2 2 8 2" xfId="10719"/>
    <cellStyle name="Normal 5 2 2 8 2 2" xfId="25041"/>
    <cellStyle name="Normal 5 2 2 8 3" xfId="23793"/>
    <cellStyle name="Normal 5 2 2 9" xfId="8721"/>
    <cellStyle name="Normal 5 2 2 9 2" xfId="24408"/>
    <cellStyle name="Normal 5 2 3" xfId="978"/>
    <cellStyle name="Normal 5 2 3 10" xfId="21976"/>
    <cellStyle name="Normal 5 2 3 2" xfId="979"/>
    <cellStyle name="Normal 5 2 3 2 2" xfId="980"/>
    <cellStyle name="Normal 5 2 3 2 2 2" xfId="981"/>
    <cellStyle name="Normal 5 2 3 2 2 2 2" xfId="8678"/>
    <cellStyle name="Normal 5 2 3 2 2 2 2 2" xfId="11291"/>
    <cellStyle name="Normal 5 2 3 2 2 2 2 2 2" xfId="25613"/>
    <cellStyle name="Normal 5 2 3 2 2 2 2 3" xfId="24365"/>
    <cellStyle name="Normal 5 2 3 2 2 2 3" xfId="9320"/>
    <cellStyle name="Normal 5 2 3 2 2 2 3 2" xfId="24991"/>
    <cellStyle name="Normal 5 2 3 2 2 2 4" xfId="3568"/>
    <cellStyle name="Normal 5 2 3 2 2 2 5" xfId="21979"/>
    <cellStyle name="Normal 5 2 3 2 2 3" xfId="8397"/>
    <cellStyle name="Normal 5 2 3 2 2 3 2" xfId="11010"/>
    <cellStyle name="Normal 5 2 3 2 2 3 2 2" xfId="25332"/>
    <cellStyle name="Normal 5 2 3 2 2 3 3" xfId="24084"/>
    <cellStyle name="Normal 5 2 3 2 2 4" xfId="8963"/>
    <cellStyle name="Normal 5 2 3 2 2 4 2" xfId="24650"/>
    <cellStyle name="Normal 5 2 3 2 2 5" xfId="3120"/>
    <cellStyle name="Normal 5 2 3 2 2 6" xfId="21978"/>
    <cellStyle name="Normal 5 2 3 2 3" xfId="982"/>
    <cellStyle name="Normal 5 2 3 2 3 2" xfId="8510"/>
    <cellStyle name="Normal 5 2 3 2 3 2 2" xfId="11123"/>
    <cellStyle name="Normal 5 2 3 2 3 2 2 2" xfId="25445"/>
    <cellStyle name="Normal 5 2 3 2 3 2 3" xfId="24197"/>
    <cellStyle name="Normal 5 2 3 2 3 3" xfId="9151"/>
    <cellStyle name="Normal 5 2 3 2 3 3 2" xfId="24823"/>
    <cellStyle name="Normal 5 2 3 2 3 4" xfId="3391"/>
    <cellStyle name="Normal 5 2 3 2 3 5" xfId="21980"/>
    <cellStyle name="Normal 5 2 3 2 4" xfId="8229"/>
    <cellStyle name="Normal 5 2 3 2 4 2" xfId="10842"/>
    <cellStyle name="Normal 5 2 3 2 4 2 2" xfId="25164"/>
    <cellStyle name="Normal 5 2 3 2 4 3" xfId="23916"/>
    <cellStyle name="Normal 5 2 3 2 5" xfId="8795"/>
    <cellStyle name="Normal 5 2 3 2 5 2" xfId="24482"/>
    <cellStyle name="Normal 5 2 3 2 6" xfId="2942"/>
    <cellStyle name="Normal 5 2 3 2 7" xfId="21977"/>
    <cellStyle name="Normal 5 2 3 3" xfId="983"/>
    <cellStyle name="Normal 5 2 3 3 2" xfId="984"/>
    <cellStyle name="Normal 5 2 3 3 2 2" xfId="8566"/>
    <cellStyle name="Normal 5 2 3 3 2 2 2" xfId="11179"/>
    <cellStyle name="Normal 5 2 3 3 2 2 2 2" xfId="25501"/>
    <cellStyle name="Normal 5 2 3 3 2 2 3" xfId="24253"/>
    <cellStyle name="Normal 5 2 3 3 2 3" xfId="9207"/>
    <cellStyle name="Normal 5 2 3 3 2 3 2" xfId="24879"/>
    <cellStyle name="Normal 5 2 3 3 2 4" xfId="3447"/>
    <cellStyle name="Normal 5 2 3 3 2 5" xfId="21982"/>
    <cellStyle name="Normal 5 2 3 3 3" xfId="8285"/>
    <cellStyle name="Normal 5 2 3 3 3 2" xfId="10898"/>
    <cellStyle name="Normal 5 2 3 3 3 2 2" xfId="25220"/>
    <cellStyle name="Normal 5 2 3 3 3 3" xfId="23972"/>
    <cellStyle name="Normal 5 2 3 3 4" xfId="8851"/>
    <cellStyle name="Normal 5 2 3 3 4 2" xfId="24538"/>
    <cellStyle name="Normal 5 2 3 3 5" xfId="2998"/>
    <cellStyle name="Normal 5 2 3 3 6" xfId="21981"/>
    <cellStyle name="Normal 5 2 3 4" xfId="985"/>
    <cellStyle name="Normal 5 2 3 4 2" xfId="986"/>
    <cellStyle name="Normal 5 2 3 4 2 2" xfId="8620"/>
    <cellStyle name="Normal 5 2 3 4 2 2 2" xfId="11233"/>
    <cellStyle name="Normal 5 2 3 4 2 2 2 2" xfId="25555"/>
    <cellStyle name="Normal 5 2 3 4 2 2 3" xfId="24307"/>
    <cellStyle name="Normal 5 2 3 4 2 3" xfId="9262"/>
    <cellStyle name="Normal 5 2 3 4 2 3 2" xfId="24933"/>
    <cellStyle name="Normal 5 2 3 4 2 4" xfId="3510"/>
    <cellStyle name="Normal 5 2 3 4 2 5" xfId="21984"/>
    <cellStyle name="Normal 5 2 3 4 3" xfId="8339"/>
    <cellStyle name="Normal 5 2 3 4 3 2" xfId="10952"/>
    <cellStyle name="Normal 5 2 3 4 3 2 2" xfId="25274"/>
    <cellStyle name="Normal 5 2 3 4 3 3" xfId="24026"/>
    <cellStyle name="Normal 5 2 3 4 4" xfId="8905"/>
    <cellStyle name="Normal 5 2 3 4 4 2" xfId="24592"/>
    <cellStyle name="Normal 5 2 3 4 5" xfId="3062"/>
    <cellStyle name="Normal 5 2 3 4 6" xfId="21983"/>
    <cellStyle name="Normal 5 2 3 5" xfId="987"/>
    <cellStyle name="Normal 5 2 3 5 2" xfId="8458"/>
    <cellStyle name="Normal 5 2 3 5 2 2" xfId="11071"/>
    <cellStyle name="Normal 5 2 3 5 2 2 2" xfId="25393"/>
    <cellStyle name="Normal 5 2 3 5 2 3" xfId="24145"/>
    <cellStyle name="Normal 5 2 3 5 3" xfId="9030"/>
    <cellStyle name="Normal 5 2 3 5 3 2" xfId="24711"/>
    <cellStyle name="Normal 5 2 3 5 4" xfId="3222"/>
    <cellStyle name="Normal 5 2 3 5 5" xfId="21985"/>
    <cellStyle name="Normal 5 2 3 6" xfId="988"/>
    <cellStyle name="Normal 5 2 3 6 2" xfId="8171"/>
    <cellStyle name="Normal 5 2 3 6 2 2" xfId="10784"/>
    <cellStyle name="Normal 5 2 3 6 2 2 2" xfId="25106"/>
    <cellStyle name="Normal 5 2 3 6 2 3" xfId="23858"/>
    <cellStyle name="Normal 5 2 3 6 3" xfId="9093"/>
    <cellStyle name="Normal 5 2 3 6 3 2" xfId="24765"/>
    <cellStyle name="Normal 5 2 3 6 4" xfId="3333"/>
    <cellStyle name="Normal 5 2 3 6 5" xfId="21986"/>
    <cellStyle name="Normal 5 2 3 7" xfId="8117"/>
    <cellStyle name="Normal 5 2 3 7 2" xfId="10730"/>
    <cellStyle name="Normal 5 2 3 7 2 2" xfId="25052"/>
    <cellStyle name="Normal 5 2 3 7 3" xfId="23804"/>
    <cellStyle name="Normal 5 2 3 8" xfId="8737"/>
    <cellStyle name="Normal 5 2 3 8 2" xfId="24424"/>
    <cellStyle name="Normal 5 2 3 9" xfId="2884"/>
    <cellStyle name="Normal 5 2 4" xfId="989"/>
    <cellStyle name="Normal 5 2 4 2" xfId="990"/>
    <cellStyle name="Normal 5 2 4 2 2" xfId="991"/>
    <cellStyle name="Normal 5 2 4 2 2 2" xfId="8651"/>
    <cellStyle name="Normal 5 2 4 2 2 2 2" xfId="11264"/>
    <cellStyle name="Normal 5 2 4 2 2 2 2 2" xfId="25586"/>
    <cellStyle name="Normal 5 2 4 2 2 2 3" xfId="24338"/>
    <cellStyle name="Normal 5 2 4 2 2 3" xfId="9293"/>
    <cellStyle name="Normal 5 2 4 2 2 3 2" xfId="24964"/>
    <cellStyle name="Normal 5 2 4 2 2 4" xfId="3541"/>
    <cellStyle name="Normal 5 2 4 2 2 5" xfId="21989"/>
    <cellStyle name="Normal 5 2 4 2 3" xfId="8370"/>
    <cellStyle name="Normal 5 2 4 2 3 2" xfId="10983"/>
    <cellStyle name="Normal 5 2 4 2 3 2 2" xfId="25305"/>
    <cellStyle name="Normal 5 2 4 2 3 3" xfId="24057"/>
    <cellStyle name="Normal 5 2 4 2 4" xfId="8936"/>
    <cellStyle name="Normal 5 2 4 2 4 2" xfId="24623"/>
    <cellStyle name="Normal 5 2 4 2 5" xfId="3093"/>
    <cellStyle name="Normal 5 2 4 2 6" xfId="21988"/>
    <cellStyle name="Normal 5 2 4 3" xfId="992"/>
    <cellStyle name="Normal 5 2 4 3 2" xfId="8436"/>
    <cellStyle name="Normal 5 2 4 3 2 2" xfId="11049"/>
    <cellStyle name="Normal 5 2 4 3 2 2 2" xfId="25371"/>
    <cellStyle name="Normal 5 2 4 3 2 3" xfId="24123"/>
    <cellStyle name="Normal 5 2 4 3 3" xfId="9008"/>
    <cellStyle name="Normal 5 2 4 3 3 2" xfId="24689"/>
    <cellStyle name="Normal 5 2 4 3 4" xfId="3199"/>
    <cellStyle name="Normal 5 2 4 3 5" xfId="21990"/>
    <cellStyle name="Normal 5 2 4 4" xfId="993"/>
    <cellStyle name="Normal 5 2 4 4 2" xfId="8202"/>
    <cellStyle name="Normal 5 2 4 4 2 2" xfId="10815"/>
    <cellStyle name="Normal 5 2 4 4 2 2 2" xfId="25137"/>
    <cellStyle name="Normal 5 2 4 4 2 3" xfId="23889"/>
    <cellStyle name="Normal 5 2 4 4 3" xfId="9124"/>
    <cellStyle name="Normal 5 2 4 4 3 2" xfId="24796"/>
    <cellStyle name="Normal 5 2 4 4 4" xfId="3364"/>
    <cellStyle name="Normal 5 2 4 4 5" xfId="21991"/>
    <cellStyle name="Normal 5 2 4 5" xfId="8095"/>
    <cellStyle name="Normal 5 2 4 5 2" xfId="10708"/>
    <cellStyle name="Normal 5 2 4 5 2 2" xfId="25030"/>
    <cellStyle name="Normal 5 2 4 5 3" xfId="23782"/>
    <cellStyle name="Normal 5 2 4 6" xfId="8768"/>
    <cellStyle name="Normal 5 2 4 6 2" xfId="24455"/>
    <cellStyle name="Normal 5 2 4 7" xfId="2915"/>
    <cellStyle name="Normal 5 2 4 8" xfId="21987"/>
    <cellStyle name="Normal 5 2 5" xfId="994"/>
    <cellStyle name="Normal 5 2 5 2" xfId="995"/>
    <cellStyle name="Normal 5 2 5 2 2" xfId="8539"/>
    <cellStyle name="Normal 5 2 5 2 2 2" xfId="11152"/>
    <cellStyle name="Normal 5 2 5 2 2 2 2" xfId="25474"/>
    <cellStyle name="Normal 5 2 5 2 2 3" xfId="24226"/>
    <cellStyle name="Normal 5 2 5 2 3" xfId="9180"/>
    <cellStyle name="Normal 5 2 5 2 3 2" xfId="24852"/>
    <cellStyle name="Normal 5 2 5 2 4" xfId="3420"/>
    <cellStyle name="Normal 5 2 5 2 5" xfId="21993"/>
    <cellStyle name="Normal 5 2 5 3" xfId="8258"/>
    <cellStyle name="Normal 5 2 5 3 2" xfId="10871"/>
    <cellStyle name="Normal 5 2 5 3 2 2" xfId="25193"/>
    <cellStyle name="Normal 5 2 5 3 3" xfId="23945"/>
    <cellStyle name="Normal 5 2 5 4" xfId="8824"/>
    <cellStyle name="Normal 5 2 5 4 2" xfId="24511"/>
    <cellStyle name="Normal 5 2 5 5" xfId="2971"/>
    <cellStyle name="Normal 5 2 5 6" xfId="21992"/>
    <cellStyle name="Normal 5 2 6" xfId="996"/>
    <cellStyle name="Normal 5 2 6 2" xfId="997"/>
    <cellStyle name="Normal 5 2 6 2 2" xfId="8589"/>
    <cellStyle name="Normal 5 2 6 2 2 2" xfId="11202"/>
    <cellStyle name="Normal 5 2 6 2 2 2 2" xfId="25524"/>
    <cellStyle name="Normal 5 2 6 2 2 3" xfId="24276"/>
    <cellStyle name="Normal 5 2 6 2 3" xfId="9231"/>
    <cellStyle name="Normal 5 2 6 2 3 2" xfId="24902"/>
    <cellStyle name="Normal 5 2 6 2 4" xfId="3478"/>
    <cellStyle name="Normal 5 2 6 2 5" xfId="21995"/>
    <cellStyle name="Normal 5 2 6 3" xfId="8308"/>
    <cellStyle name="Normal 5 2 6 3 2" xfId="10921"/>
    <cellStyle name="Normal 5 2 6 3 2 2" xfId="25243"/>
    <cellStyle name="Normal 5 2 6 3 3" xfId="23995"/>
    <cellStyle name="Normal 5 2 6 4" xfId="8874"/>
    <cellStyle name="Normal 5 2 6 4 2" xfId="24561"/>
    <cellStyle name="Normal 5 2 6 5" xfId="3031"/>
    <cellStyle name="Normal 5 2 6 6" xfId="21994"/>
    <cellStyle name="Normal 5 2 7" xfId="998"/>
    <cellStyle name="Normal 5 2 7 2" xfId="8421"/>
    <cellStyle name="Normal 5 2 7 2 2" xfId="11034"/>
    <cellStyle name="Normal 5 2 7 2 2 2" xfId="25356"/>
    <cellStyle name="Normal 5 2 7 2 3" xfId="24108"/>
    <cellStyle name="Normal 5 2 7 3" xfId="8991"/>
    <cellStyle name="Normal 5 2 7 3 2" xfId="24674"/>
    <cellStyle name="Normal 5 2 7 4" xfId="3165"/>
    <cellStyle name="Normal 5 2 7 5" xfId="21996"/>
    <cellStyle name="Normal 5 2 8" xfId="999"/>
    <cellStyle name="Normal 5 2 8 2" xfId="8140"/>
    <cellStyle name="Normal 5 2 8 2 2" xfId="10753"/>
    <cellStyle name="Normal 5 2 8 2 2 2" xfId="25075"/>
    <cellStyle name="Normal 5 2 8 2 3" xfId="23827"/>
    <cellStyle name="Normal 5 2 8 3" xfId="9062"/>
    <cellStyle name="Normal 5 2 8 3 2" xfId="24734"/>
    <cellStyle name="Normal 5 2 8 4" xfId="3302"/>
    <cellStyle name="Normal 5 2 8 5" xfId="21997"/>
    <cellStyle name="Normal 5 2 9" xfId="8080"/>
    <cellStyle name="Normal 5 2 9 2" xfId="10693"/>
    <cellStyle name="Normal 5 2 9 2 2" xfId="25015"/>
    <cellStyle name="Normal 5 2 9 3" xfId="23767"/>
    <cellStyle name="Normal 5 3" xfId="1000"/>
    <cellStyle name="Normal 5 3 10" xfId="2855"/>
    <cellStyle name="Normal 5 3 11" xfId="21998"/>
    <cellStyle name="Normal 5 3 2" xfId="1001"/>
    <cellStyle name="Normal 5 3 2 10" xfId="21999"/>
    <cellStyle name="Normal 5 3 2 2" xfId="1002"/>
    <cellStyle name="Normal 5 3 2 2 2" xfId="1003"/>
    <cellStyle name="Normal 5 3 2 2 2 2" xfId="1004"/>
    <cellStyle name="Normal 5 3 2 2 2 2 2" xfId="8682"/>
    <cellStyle name="Normal 5 3 2 2 2 2 2 2" xfId="11295"/>
    <cellStyle name="Normal 5 3 2 2 2 2 2 2 2" xfId="25617"/>
    <cellStyle name="Normal 5 3 2 2 2 2 2 3" xfId="24369"/>
    <cellStyle name="Normal 5 3 2 2 2 2 3" xfId="9324"/>
    <cellStyle name="Normal 5 3 2 2 2 2 3 2" xfId="24995"/>
    <cellStyle name="Normal 5 3 2 2 2 2 4" xfId="3572"/>
    <cellStyle name="Normal 5 3 2 2 2 2 5" xfId="22002"/>
    <cellStyle name="Normal 5 3 2 2 2 3" xfId="8401"/>
    <cellStyle name="Normal 5 3 2 2 2 3 2" xfId="11014"/>
    <cellStyle name="Normal 5 3 2 2 2 3 2 2" xfId="25336"/>
    <cellStyle name="Normal 5 3 2 2 2 3 3" xfId="24088"/>
    <cellStyle name="Normal 5 3 2 2 2 4" xfId="8967"/>
    <cellStyle name="Normal 5 3 2 2 2 4 2" xfId="24654"/>
    <cellStyle name="Normal 5 3 2 2 2 5" xfId="3124"/>
    <cellStyle name="Normal 5 3 2 2 2 6" xfId="22001"/>
    <cellStyle name="Normal 5 3 2 2 3" xfId="1005"/>
    <cellStyle name="Normal 5 3 2 2 3 2" xfId="8514"/>
    <cellStyle name="Normal 5 3 2 2 3 2 2" xfId="11127"/>
    <cellStyle name="Normal 5 3 2 2 3 2 2 2" xfId="25449"/>
    <cellStyle name="Normal 5 3 2 2 3 2 3" xfId="24201"/>
    <cellStyle name="Normal 5 3 2 2 3 3" xfId="9155"/>
    <cellStyle name="Normal 5 3 2 2 3 3 2" xfId="24827"/>
    <cellStyle name="Normal 5 3 2 2 3 4" xfId="3395"/>
    <cellStyle name="Normal 5 3 2 2 3 5" xfId="22003"/>
    <cellStyle name="Normal 5 3 2 2 4" xfId="8233"/>
    <cellStyle name="Normal 5 3 2 2 4 2" xfId="10846"/>
    <cellStyle name="Normal 5 3 2 2 4 2 2" xfId="25168"/>
    <cellStyle name="Normal 5 3 2 2 4 3" xfId="23920"/>
    <cellStyle name="Normal 5 3 2 2 5" xfId="8799"/>
    <cellStyle name="Normal 5 3 2 2 5 2" xfId="24486"/>
    <cellStyle name="Normal 5 3 2 2 6" xfId="2946"/>
    <cellStyle name="Normal 5 3 2 2 7" xfId="22000"/>
    <cellStyle name="Normal 5 3 2 3" xfId="1006"/>
    <cellStyle name="Normal 5 3 2 3 2" xfId="1007"/>
    <cellStyle name="Normal 5 3 2 3 2 2" xfId="8570"/>
    <cellStyle name="Normal 5 3 2 3 2 2 2" xfId="11183"/>
    <cellStyle name="Normal 5 3 2 3 2 2 2 2" xfId="25505"/>
    <cellStyle name="Normal 5 3 2 3 2 2 3" xfId="24257"/>
    <cellStyle name="Normal 5 3 2 3 2 3" xfId="9211"/>
    <cellStyle name="Normal 5 3 2 3 2 3 2" xfId="24883"/>
    <cellStyle name="Normal 5 3 2 3 2 4" xfId="3451"/>
    <cellStyle name="Normal 5 3 2 3 2 5" xfId="22005"/>
    <cellStyle name="Normal 5 3 2 3 3" xfId="8289"/>
    <cellStyle name="Normal 5 3 2 3 3 2" xfId="10902"/>
    <cellStyle name="Normal 5 3 2 3 3 2 2" xfId="25224"/>
    <cellStyle name="Normal 5 3 2 3 3 3" xfId="23976"/>
    <cellStyle name="Normal 5 3 2 3 4" xfId="8855"/>
    <cellStyle name="Normal 5 3 2 3 4 2" xfId="24542"/>
    <cellStyle name="Normal 5 3 2 3 5" xfId="3002"/>
    <cellStyle name="Normal 5 3 2 3 6" xfId="22004"/>
    <cellStyle name="Normal 5 3 2 4" xfId="1008"/>
    <cellStyle name="Normal 5 3 2 4 2" xfId="1009"/>
    <cellStyle name="Normal 5 3 2 4 2 2" xfId="8625"/>
    <cellStyle name="Normal 5 3 2 4 2 2 2" xfId="11238"/>
    <cellStyle name="Normal 5 3 2 4 2 2 2 2" xfId="25560"/>
    <cellStyle name="Normal 5 3 2 4 2 2 3" xfId="24312"/>
    <cellStyle name="Normal 5 3 2 4 2 3" xfId="9267"/>
    <cellStyle name="Normal 5 3 2 4 2 3 2" xfId="24938"/>
    <cellStyle name="Normal 5 3 2 4 2 4" xfId="3515"/>
    <cellStyle name="Normal 5 3 2 4 2 5" xfId="22007"/>
    <cellStyle name="Normal 5 3 2 4 3" xfId="8344"/>
    <cellStyle name="Normal 5 3 2 4 3 2" xfId="10957"/>
    <cellStyle name="Normal 5 3 2 4 3 2 2" xfId="25279"/>
    <cellStyle name="Normal 5 3 2 4 3 3" xfId="24031"/>
    <cellStyle name="Normal 5 3 2 4 4" xfId="8910"/>
    <cellStyle name="Normal 5 3 2 4 4 2" xfId="24597"/>
    <cellStyle name="Normal 5 3 2 4 5" xfId="3067"/>
    <cellStyle name="Normal 5 3 2 4 6" xfId="22006"/>
    <cellStyle name="Normal 5 3 2 5" xfId="1010"/>
    <cellStyle name="Normal 5 3 2 5 2" xfId="8462"/>
    <cellStyle name="Normal 5 3 2 5 2 2" xfId="11075"/>
    <cellStyle name="Normal 5 3 2 5 2 2 2" xfId="25397"/>
    <cellStyle name="Normal 5 3 2 5 2 3" xfId="24149"/>
    <cellStyle name="Normal 5 3 2 5 3" xfId="9034"/>
    <cellStyle name="Normal 5 3 2 5 3 2" xfId="24715"/>
    <cellStyle name="Normal 5 3 2 5 4" xfId="3226"/>
    <cellStyle name="Normal 5 3 2 5 5" xfId="22008"/>
    <cellStyle name="Normal 5 3 2 6" xfId="1011"/>
    <cellStyle name="Normal 5 3 2 6 2" xfId="8176"/>
    <cellStyle name="Normal 5 3 2 6 2 2" xfId="10789"/>
    <cellStyle name="Normal 5 3 2 6 2 2 2" xfId="25111"/>
    <cellStyle name="Normal 5 3 2 6 2 3" xfId="23863"/>
    <cellStyle name="Normal 5 3 2 6 3" xfId="9098"/>
    <cellStyle name="Normal 5 3 2 6 3 2" xfId="24770"/>
    <cellStyle name="Normal 5 3 2 6 4" xfId="3338"/>
    <cellStyle name="Normal 5 3 2 6 5" xfId="22009"/>
    <cellStyle name="Normal 5 3 2 7" xfId="8121"/>
    <cellStyle name="Normal 5 3 2 7 2" xfId="10734"/>
    <cellStyle name="Normal 5 3 2 7 2 2" xfId="25056"/>
    <cellStyle name="Normal 5 3 2 7 3" xfId="23808"/>
    <cellStyle name="Normal 5 3 2 8" xfId="8742"/>
    <cellStyle name="Normal 5 3 2 8 2" xfId="24429"/>
    <cellStyle name="Normal 5 3 2 9" xfId="2889"/>
    <cellStyle name="Normal 5 3 3" xfId="1012"/>
    <cellStyle name="Normal 5 3 3 2" xfId="1013"/>
    <cellStyle name="Normal 5 3 3 2 2" xfId="1014"/>
    <cellStyle name="Normal 5 3 3 2 2 2" xfId="8656"/>
    <cellStyle name="Normal 5 3 3 2 2 2 2" xfId="11269"/>
    <cellStyle name="Normal 5 3 3 2 2 2 2 2" xfId="25591"/>
    <cellStyle name="Normal 5 3 3 2 2 2 3" xfId="24343"/>
    <cellStyle name="Normal 5 3 3 2 2 3" xfId="9298"/>
    <cellStyle name="Normal 5 3 3 2 2 3 2" xfId="24969"/>
    <cellStyle name="Normal 5 3 3 2 2 4" xfId="3546"/>
    <cellStyle name="Normal 5 3 3 2 2 5" xfId="22012"/>
    <cellStyle name="Normal 5 3 3 2 3" xfId="8375"/>
    <cellStyle name="Normal 5 3 3 2 3 2" xfId="10988"/>
    <cellStyle name="Normal 5 3 3 2 3 2 2" xfId="25310"/>
    <cellStyle name="Normal 5 3 3 2 3 3" xfId="24062"/>
    <cellStyle name="Normal 5 3 3 2 4" xfId="8941"/>
    <cellStyle name="Normal 5 3 3 2 4 2" xfId="24628"/>
    <cellStyle name="Normal 5 3 3 2 5" xfId="3098"/>
    <cellStyle name="Normal 5 3 3 2 6" xfId="22011"/>
    <cellStyle name="Normal 5 3 3 3" xfId="1015"/>
    <cellStyle name="Normal 5 3 3 3 2" xfId="8489"/>
    <cellStyle name="Normal 5 3 3 3 2 2" xfId="11102"/>
    <cellStyle name="Normal 5 3 3 3 2 2 2" xfId="25424"/>
    <cellStyle name="Normal 5 3 3 3 2 3" xfId="24176"/>
    <cellStyle name="Normal 5 3 3 3 3" xfId="9129"/>
    <cellStyle name="Normal 5 3 3 3 3 2" xfId="24801"/>
    <cellStyle name="Normal 5 3 3 3 4" xfId="3369"/>
    <cellStyle name="Normal 5 3 3 3 5" xfId="22013"/>
    <cellStyle name="Normal 5 3 3 4" xfId="8207"/>
    <cellStyle name="Normal 5 3 3 4 2" xfId="10820"/>
    <cellStyle name="Normal 5 3 3 4 2 2" xfId="25142"/>
    <cellStyle name="Normal 5 3 3 4 3" xfId="23894"/>
    <cellStyle name="Normal 5 3 3 5" xfId="8773"/>
    <cellStyle name="Normal 5 3 3 5 2" xfId="24460"/>
    <cellStyle name="Normal 5 3 3 6" xfId="2920"/>
    <cellStyle name="Normal 5 3 3 7" xfId="22010"/>
    <cellStyle name="Normal 5 3 4" xfId="1016"/>
    <cellStyle name="Normal 5 3 4 2" xfId="1017"/>
    <cellStyle name="Normal 5 3 4 2 2" xfId="8544"/>
    <cellStyle name="Normal 5 3 4 2 2 2" xfId="11157"/>
    <cellStyle name="Normal 5 3 4 2 2 2 2" xfId="25479"/>
    <cellStyle name="Normal 5 3 4 2 2 3" xfId="24231"/>
    <cellStyle name="Normal 5 3 4 2 3" xfId="9185"/>
    <cellStyle name="Normal 5 3 4 2 3 2" xfId="24857"/>
    <cellStyle name="Normal 5 3 4 2 4" xfId="3425"/>
    <cellStyle name="Normal 5 3 4 2 5" xfId="22015"/>
    <cellStyle name="Normal 5 3 4 3" xfId="8263"/>
    <cellStyle name="Normal 5 3 4 3 2" xfId="10876"/>
    <cellStyle name="Normal 5 3 4 3 2 2" xfId="25198"/>
    <cellStyle name="Normal 5 3 4 3 3" xfId="23950"/>
    <cellStyle name="Normal 5 3 4 4" xfId="8829"/>
    <cellStyle name="Normal 5 3 4 4 2" xfId="24516"/>
    <cellStyle name="Normal 5 3 4 5" xfId="2976"/>
    <cellStyle name="Normal 5 3 4 6" xfId="22014"/>
    <cellStyle name="Normal 5 3 5" xfId="1018"/>
    <cellStyle name="Normal 5 3 5 2" xfId="1019"/>
    <cellStyle name="Normal 5 3 5 2 2" xfId="8594"/>
    <cellStyle name="Normal 5 3 5 2 2 2" xfId="11207"/>
    <cellStyle name="Normal 5 3 5 2 2 2 2" xfId="25529"/>
    <cellStyle name="Normal 5 3 5 2 2 3" xfId="24281"/>
    <cellStyle name="Normal 5 3 5 2 3" xfId="9236"/>
    <cellStyle name="Normal 5 3 5 2 3 2" xfId="24907"/>
    <cellStyle name="Normal 5 3 5 2 4" xfId="3483"/>
    <cellStyle name="Normal 5 3 5 2 5" xfId="22017"/>
    <cellStyle name="Normal 5 3 5 3" xfId="8313"/>
    <cellStyle name="Normal 5 3 5 3 2" xfId="10926"/>
    <cellStyle name="Normal 5 3 5 3 2 2" xfId="25248"/>
    <cellStyle name="Normal 5 3 5 3 3" xfId="24000"/>
    <cellStyle name="Normal 5 3 5 4" xfId="8879"/>
    <cellStyle name="Normal 5 3 5 4 2" xfId="24566"/>
    <cellStyle name="Normal 5 3 5 5" xfId="3036"/>
    <cellStyle name="Normal 5 3 5 6" xfId="22016"/>
    <cellStyle name="Normal 5 3 6" xfId="1020"/>
    <cellStyle name="Normal 5 3 6 2" xfId="8427"/>
    <cellStyle name="Normal 5 3 6 2 2" xfId="11040"/>
    <cellStyle name="Normal 5 3 6 2 2 2" xfId="25362"/>
    <cellStyle name="Normal 5 3 6 2 3" xfId="24114"/>
    <cellStyle name="Normal 5 3 6 3" xfId="8997"/>
    <cellStyle name="Normal 5 3 6 3 2" xfId="24680"/>
    <cellStyle name="Normal 5 3 6 4" xfId="3171"/>
    <cellStyle name="Normal 5 3 6 5" xfId="22018"/>
    <cellStyle name="Normal 5 3 7" xfId="1021"/>
    <cellStyle name="Normal 5 3 7 2" xfId="8145"/>
    <cellStyle name="Normal 5 3 7 2 2" xfId="10758"/>
    <cellStyle name="Normal 5 3 7 2 2 2" xfId="25080"/>
    <cellStyle name="Normal 5 3 7 2 3" xfId="23832"/>
    <cellStyle name="Normal 5 3 7 3" xfId="9067"/>
    <cellStyle name="Normal 5 3 7 3 2" xfId="24739"/>
    <cellStyle name="Normal 5 3 7 4" xfId="3307"/>
    <cellStyle name="Normal 5 3 7 5" xfId="22019"/>
    <cellStyle name="Normal 5 3 8" xfId="8086"/>
    <cellStyle name="Normal 5 3 8 2" xfId="10699"/>
    <cellStyle name="Normal 5 3 8 2 2" xfId="25021"/>
    <cellStyle name="Normal 5 3 8 3" xfId="23773"/>
    <cellStyle name="Normal 5 3 9" xfId="8711"/>
    <cellStyle name="Normal 5 3 9 2" xfId="24398"/>
    <cellStyle name="Normal 5 4" xfId="1022"/>
    <cellStyle name="Normal 5 4 10" xfId="2860"/>
    <cellStyle name="Normal 5 4 11" xfId="22020"/>
    <cellStyle name="Normal 5 4 2" xfId="1023"/>
    <cellStyle name="Normal 5 4 2 10" xfId="22021"/>
    <cellStyle name="Normal 5 4 2 2" xfId="1024"/>
    <cellStyle name="Normal 5 4 2 2 2" xfId="1025"/>
    <cellStyle name="Normal 5 4 2 2 2 2" xfId="1026"/>
    <cellStyle name="Normal 5 4 2 2 2 2 2" xfId="8687"/>
    <cellStyle name="Normal 5 4 2 2 2 2 2 2" xfId="11300"/>
    <cellStyle name="Normal 5 4 2 2 2 2 2 2 2" xfId="25622"/>
    <cellStyle name="Normal 5 4 2 2 2 2 2 3" xfId="24374"/>
    <cellStyle name="Normal 5 4 2 2 2 2 3" xfId="9329"/>
    <cellStyle name="Normal 5 4 2 2 2 2 3 2" xfId="25000"/>
    <cellStyle name="Normal 5 4 2 2 2 2 4" xfId="3577"/>
    <cellStyle name="Normal 5 4 2 2 2 2 5" xfId="22024"/>
    <cellStyle name="Normal 5 4 2 2 2 3" xfId="8406"/>
    <cellStyle name="Normal 5 4 2 2 2 3 2" xfId="11019"/>
    <cellStyle name="Normal 5 4 2 2 2 3 2 2" xfId="25341"/>
    <cellStyle name="Normal 5 4 2 2 2 3 3" xfId="24093"/>
    <cellStyle name="Normal 5 4 2 2 2 4" xfId="8972"/>
    <cellStyle name="Normal 5 4 2 2 2 4 2" xfId="24659"/>
    <cellStyle name="Normal 5 4 2 2 2 5" xfId="3129"/>
    <cellStyle name="Normal 5 4 2 2 2 6" xfId="22023"/>
    <cellStyle name="Normal 5 4 2 2 3" xfId="1027"/>
    <cellStyle name="Normal 5 4 2 2 3 2" xfId="8519"/>
    <cellStyle name="Normal 5 4 2 2 3 2 2" xfId="11132"/>
    <cellStyle name="Normal 5 4 2 2 3 2 2 2" xfId="25454"/>
    <cellStyle name="Normal 5 4 2 2 3 2 3" xfId="24206"/>
    <cellStyle name="Normal 5 4 2 2 3 3" xfId="9160"/>
    <cellStyle name="Normal 5 4 2 2 3 3 2" xfId="24832"/>
    <cellStyle name="Normal 5 4 2 2 3 4" xfId="3400"/>
    <cellStyle name="Normal 5 4 2 2 3 5" xfId="22025"/>
    <cellStyle name="Normal 5 4 2 2 4" xfId="8238"/>
    <cellStyle name="Normal 5 4 2 2 4 2" xfId="10851"/>
    <cellStyle name="Normal 5 4 2 2 4 2 2" xfId="25173"/>
    <cellStyle name="Normal 5 4 2 2 4 3" xfId="23925"/>
    <cellStyle name="Normal 5 4 2 2 5" xfId="8804"/>
    <cellStyle name="Normal 5 4 2 2 5 2" xfId="24491"/>
    <cellStyle name="Normal 5 4 2 2 6" xfId="2951"/>
    <cellStyle name="Normal 5 4 2 2 7" xfId="22022"/>
    <cellStyle name="Normal 5 4 2 3" xfId="1028"/>
    <cellStyle name="Normal 5 4 2 3 2" xfId="1029"/>
    <cellStyle name="Normal 5 4 2 3 2 2" xfId="8575"/>
    <cellStyle name="Normal 5 4 2 3 2 2 2" xfId="11188"/>
    <cellStyle name="Normal 5 4 2 3 2 2 2 2" xfId="25510"/>
    <cellStyle name="Normal 5 4 2 3 2 2 3" xfId="24262"/>
    <cellStyle name="Normal 5 4 2 3 2 3" xfId="9216"/>
    <cellStyle name="Normal 5 4 2 3 2 3 2" xfId="24888"/>
    <cellStyle name="Normal 5 4 2 3 2 4" xfId="3456"/>
    <cellStyle name="Normal 5 4 2 3 2 5" xfId="22027"/>
    <cellStyle name="Normal 5 4 2 3 3" xfId="8294"/>
    <cellStyle name="Normal 5 4 2 3 3 2" xfId="10907"/>
    <cellStyle name="Normal 5 4 2 3 3 2 2" xfId="25229"/>
    <cellStyle name="Normal 5 4 2 3 3 3" xfId="23981"/>
    <cellStyle name="Normal 5 4 2 3 4" xfId="8860"/>
    <cellStyle name="Normal 5 4 2 3 4 2" xfId="24547"/>
    <cellStyle name="Normal 5 4 2 3 5" xfId="3007"/>
    <cellStyle name="Normal 5 4 2 3 6" xfId="22026"/>
    <cellStyle name="Normal 5 4 2 4" xfId="1030"/>
    <cellStyle name="Normal 5 4 2 4 2" xfId="1031"/>
    <cellStyle name="Normal 5 4 2 4 2 2" xfId="8630"/>
    <cellStyle name="Normal 5 4 2 4 2 2 2" xfId="11243"/>
    <cellStyle name="Normal 5 4 2 4 2 2 2 2" xfId="25565"/>
    <cellStyle name="Normal 5 4 2 4 2 2 3" xfId="24317"/>
    <cellStyle name="Normal 5 4 2 4 2 3" xfId="9272"/>
    <cellStyle name="Normal 5 4 2 4 2 3 2" xfId="24943"/>
    <cellStyle name="Normal 5 4 2 4 2 4" xfId="3520"/>
    <cellStyle name="Normal 5 4 2 4 2 5" xfId="22029"/>
    <cellStyle name="Normal 5 4 2 4 3" xfId="8349"/>
    <cellStyle name="Normal 5 4 2 4 3 2" xfId="10962"/>
    <cellStyle name="Normal 5 4 2 4 3 2 2" xfId="25284"/>
    <cellStyle name="Normal 5 4 2 4 3 3" xfId="24036"/>
    <cellStyle name="Normal 5 4 2 4 4" xfId="8915"/>
    <cellStyle name="Normal 5 4 2 4 4 2" xfId="24602"/>
    <cellStyle name="Normal 5 4 2 4 5" xfId="3072"/>
    <cellStyle name="Normal 5 4 2 4 6" xfId="22028"/>
    <cellStyle name="Normal 5 4 2 5" xfId="1032"/>
    <cellStyle name="Normal 5 4 2 5 2" xfId="8467"/>
    <cellStyle name="Normal 5 4 2 5 2 2" xfId="11080"/>
    <cellStyle name="Normal 5 4 2 5 2 2 2" xfId="25402"/>
    <cellStyle name="Normal 5 4 2 5 2 3" xfId="24154"/>
    <cellStyle name="Normal 5 4 2 5 3" xfId="9039"/>
    <cellStyle name="Normal 5 4 2 5 3 2" xfId="24720"/>
    <cellStyle name="Normal 5 4 2 5 4" xfId="3231"/>
    <cellStyle name="Normal 5 4 2 5 5" xfId="22030"/>
    <cellStyle name="Normal 5 4 2 6" xfId="1033"/>
    <cellStyle name="Normal 5 4 2 6 2" xfId="8181"/>
    <cellStyle name="Normal 5 4 2 6 2 2" xfId="10794"/>
    <cellStyle name="Normal 5 4 2 6 2 2 2" xfId="25116"/>
    <cellStyle name="Normal 5 4 2 6 2 3" xfId="23868"/>
    <cellStyle name="Normal 5 4 2 6 3" xfId="9103"/>
    <cellStyle name="Normal 5 4 2 6 3 2" xfId="24775"/>
    <cellStyle name="Normal 5 4 2 6 4" xfId="3343"/>
    <cellStyle name="Normal 5 4 2 6 5" xfId="22031"/>
    <cellStyle name="Normal 5 4 2 7" xfId="8126"/>
    <cellStyle name="Normal 5 4 2 7 2" xfId="10739"/>
    <cellStyle name="Normal 5 4 2 7 2 2" xfId="25061"/>
    <cellStyle name="Normal 5 4 2 7 3" xfId="23813"/>
    <cellStyle name="Normal 5 4 2 8" xfId="8747"/>
    <cellStyle name="Normal 5 4 2 8 2" xfId="24434"/>
    <cellStyle name="Normal 5 4 2 9" xfId="2894"/>
    <cellStyle name="Normal 5 4 3" xfId="1034"/>
    <cellStyle name="Normal 5 4 3 2" xfId="1035"/>
    <cellStyle name="Normal 5 4 3 2 2" xfId="1036"/>
    <cellStyle name="Normal 5 4 3 2 2 2" xfId="8661"/>
    <cellStyle name="Normal 5 4 3 2 2 2 2" xfId="11274"/>
    <cellStyle name="Normal 5 4 3 2 2 2 2 2" xfId="25596"/>
    <cellStyle name="Normal 5 4 3 2 2 2 3" xfId="24348"/>
    <cellStyle name="Normal 5 4 3 2 2 3" xfId="9303"/>
    <cellStyle name="Normal 5 4 3 2 2 3 2" xfId="24974"/>
    <cellStyle name="Normal 5 4 3 2 2 4" xfId="3551"/>
    <cellStyle name="Normal 5 4 3 2 2 5" xfId="22034"/>
    <cellStyle name="Normal 5 4 3 2 3" xfId="8380"/>
    <cellStyle name="Normal 5 4 3 2 3 2" xfId="10993"/>
    <cellStyle name="Normal 5 4 3 2 3 2 2" xfId="25315"/>
    <cellStyle name="Normal 5 4 3 2 3 3" xfId="24067"/>
    <cellStyle name="Normal 5 4 3 2 4" xfId="8946"/>
    <cellStyle name="Normal 5 4 3 2 4 2" xfId="24633"/>
    <cellStyle name="Normal 5 4 3 2 5" xfId="3103"/>
    <cellStyle name="Normal 5 4 3 2 6" xfId="22033"/>
    <cellStyle name="Normal 5 4 3 3" xfId="1037"/>
    <cellStyle name="Normal 5 4 3 3 2" xfId="8493"/>
    <cellStyle name="Normal 5 4 3 3 2 2" xfId="11106"/>
    <cellStyle name="Normal 5 4 3 3 2 2 2" xfId="25428"/>
    <cellStyle name="Normal 5 4 3 3 2 3" xfId="24180"/>
    <cellStyle name="Normal 5 4 3 3 3" xfId="9134"/>
    <cellStyle name="Normal 5 4 3 3 3 2" xfId="24806"/>
    <cellStyle name="Normal 5 4 3 3 4" xfId="3374"/>
    <cellStyle name="Normal 5 4 3 3 5" xfId="22035"/>
    <cellStyle name="Normal 5 4 3 4" xfId="8212"/>
    <cellStyle name="Normal 5 4 3 4 2" xfId="10825"/>
    <cellStyle name="Normal 5 4 3 4 2 2" xfId="25147"/>
    <cellStyle name="Normal 5 4 3 4 3" xfId="23899"/>
    <cellStyle name="Normal 5 4 3 5" xfId="8778"/>
    <cellStyle name="Normal 5 4 3 5 2" xfId="24465"/>
    <cellStyle name="Normal 5 4 3 6" xfId="2925"/>
    <cellStyle name="Normal 5 4 3 7" xfId="22032"/>
    <cellStyle name="Normal 5 4 4" xfId="1038"/>
    <cellStyle name="Normal 5 4 4 2" xfId="1039"/>
    <cellStyle name="Normal 5 4 4 2 2" xfId="8549"/>
    <cellStyle name="Normal 5 4 4 2 2 2" xfId="11162"/>
    <cellStyle name="Normal 5 4 4 2 2 2 2" xfId="25484"/>
    <cellStyle name="Normal 5 4 4 2 2 3" xfId="24236"/>
    <cellStyle name="Normal 5 4 4 2 3" xfId="9190"/>
    <cellStyle name="Normal 5 4 4 2 3 2" xfId="24862"/>
    <cellStyle name="Normal 5 4 4 2 4" xfId="3430"/>
    <cellStyle name="Normal 5 4 4 2 5" xfId="22037"/>
    <cellStyle name="Normal 5 4 4 3" xfId="8268"/>
    <cellStyle name="Normal 5 4 4 3 2" xfId="10881"/>
    <cellStyle name="Normal 5 4 4 3 2 2" xfId="25203"/>
    <cellStyle name="Normal 5 4 4 3 3" xfId="23955"/>
    <cellStyle name="Normal 5 4 4 4" xfId="8834"/>
    <cellStyle name="Normal 5 4 4 4 2" xfId="24521"/>
    <cellStyle name="Normal 5 4 4 5" xfId="2981"/>
    <cellStyle name="Normal 5 4 4 6" xfId="22036"/>
    <cellStyle name="Normal 5 4 5" xfId="1040"/>
    <cellStyle name="Normal 5 4 5 2" xfId="1041"/>
    <cellStyle name="Normal 5 4 5 2 2" xfId="8599"/>
    <cellStyle name="Normal 5 4 5 2 2 2" xfId="11212"/>
    <cellStyle name="Normal 5 4 5 2 2 2 2" xfId="25534"/>
    <cellStyle name="Normal 5 4 5 2 2 3" xfId="24286"/>
    <cellStyle name="Normal 5 4 5 2 3" xfId="9241"/>
    <cellStyle name="Normal 5 4 5 2 3 2" xfId="24912"/>
    <cellStyle name="Normal 5 4 5 2 4" xfId="3488"/>
    <cellStyle name="Normal 5 4 5 2 5" xfId="22039"/>
    <cellStyle name="Normal 5 4 5 3" xfId="8318"/>
    <cellStyle name="Normal 5 4 5 3 2" xfId="10931"/>
    <cellStyle name="Normal 5 4 5 3 2 2" xfId="25253"/>
    <cellStyle name="Normal 5 4 5 3 3" xfId="24005"/>
    <cellStyle name="Normal 5 4 5 4" xfId="8884"/>
    <cellStyle name="Normal 5 4 5 4 2" xfId="24571"/>
    <cellStyle name="Normal 5 4 5 5" xfId="3041"/>
    <cellStyle name="Normal 5 4 5 6" xfId="22038"/>
    <cellStyle name="Normal 5 4 6" xfId="1042"/>
    <cellStyle name="Normal 5 4 6 2" xfId="8443"/>
    <cellStyle name="Normal 5 4 6 2 2" xfId="11056"/>
    <cellStyle name="Normal 5 4 6 2 2 2" xfId="25378"/>
    <cellStyle name="Normal 5 4 6 2 3" xfId="24130"/>
    <cellStyle name="Normal 5 4 6 3" xfId="9015"/>
    <cellStyle name="Normal 5 4 6 3 2" xfId="24696"/>
    <cellStyle name="Normal 5 4 6 4" xfId="3206"/>
    <cellStyle name="Normal 5 4 6 5" xfId="22040"/>
    <cellStyle name="Normal 5 4 7" xfId="1043"/>
    <cellStyle name="Normal 5 4 7 2" xfId="8150"/>
    <cellStyle name="Normal 5 4 7 2 2" xfId="10763"/>
    <cellStyle name="Normal 5 4 7 2 2 2" xfId="25085"/>
    <cellStyle name="Normal 5 4 7 2 3" xfId="23837"/>
    <cellStyle name="Normal 5 4 7 3" xfId="9072"/>
    <cellStyle name="Normal 5 4 7 3 2" xfId="24744"/>
    <cellStyle name="Normal 5 4 7 4" xfId="3312"/>
    <cellStyle name="Normal 5 4 7 5" xfId="22041"/>
    <cellStyle name="Normal 5 4 8" xfId="8102"/>
    <cellStyle name="Normal 5 4 8 2" xfId="10715"/>
    <cellStyle name="Normal 5 4 8 2 2" xfId="25037"/>
    <cellStyle name="Normal 5 4 8 3" xfId="23789"/>
    <cellStyle name="Normal 5 4 9" xfId="8716"/>
    <cellStyle name="Normal 5 4 9 2" xfId="24403"/>
    <cellStyle name="Normal 5 5" xfId="1044"/>
    <cellStyle name="Normal 5 5 10" xfId="22042"/>
    <cellStyle name="Normal 5 5 2" xfId="1045"/>
    <cellStyle name="Normal 5 5 2 2" xfId="1046"/>
    <cellStyle name="Normal 5 5 2 2 2" xfId="1047"/>
    <cellStyle name="Normal 5 5 2 2 2 2" xfId="8672"/>
    <cellStyle name="Normal 5 5 2 2 2 2 2" xfId="11285"/>
    <cellStyle name="Normal 5 5 2 2 2 2 2 2" xfId="25607"/>
    <cellStyle name="Normal 5 5 2 2 2 2 3" xfId="24359"/>
    <cellStyle name="Normal 5 5 2 2 2 3" xfId="9314"/>
    <cellStyle name="Normal 5 5 2 2 2 3 2" xfId="24985"/>
    <cellStyle name="Normal 5 5 2 2 2 4" xfId="3562"/>
    <cellStyle name="Normal 5 5 2 2 2 5" xfId="22045"/>
    <cellStyle name="Normal 5 5 2 2 3" xfId="8391"/>
    <cellStyle name="Normal 5 5 2 2 3 2" xfId="11004"/>
    <cellStyle name="Normal 5 5 2 2 3 2 2" xfId="25326"/>
    <cellStyle name="Normal 5 5 2 2 3 3" xfId="24078"/>
    <cellStyle name="Normal 5 5 2 2 4" xfId="8957"/>
    <cellStyle name="Normal 5 5 2 2 4 2" xfId="24644"/>
    <cellStyle name="Normal 5 5 2 2 5" xfId="3114"/>
    <cellStyle name="Normal 5 5 2 2 6" xfId="22044"/>
    <cellStyle name="Normal 5 5 2 3" xfId="1048"/>
    <cellStyle name="Normal 5 5 2 3 2" xfId="8504"/>
    <cellStyle name="Normal 5 5 2 3 2 2" xfId="11117"/>
    <cellStyle name="Normal 5 5 2 3 2 2 2" xfId="25439"/>
    <cellStyle name="Normal 5 5 2 3 2 3" xfId="24191"/>
    <cellStyle name="Normal 5 5 2 3 3" xfId="9145"/>
    <cellStyle name="Normal 5 5 2 3 3 2" xfId="24817"/>
    <cellStyle name="Normal 5 5 2 3 4" xfId="3385"/>
    <cellStyle name="Normal 5 5 2 3 5" xfId="22046"/>
    <cellStyle name="Normal 5 5 2 4" xfId="8223"/>
    <cellStyle name="Normal 5 5 2 4 2" xfId="10836"/>
    <cellStyle name="Normal 5 5 2 4 2 2" xfId="25158"/>
    <cellStyle name="Normal 5 5 2 4 3" xfId="23910"/>
    <cellStyle name="Normal 5 5 2 5" xfId="8789"/>
    <cellStyle name="Normal 5 5 2 5 2" xfId="24476"/>
    <cellStyle name="Normal 5 5 2 6" xfId="2936"/>
    <cellStyle name="Normal 5 5 2 7" xfId="22043"/>
    <cellStyle name="Normal 5 5 3" xfId="1049"/>
    <cellStyle name="Normal 5 5 3 2" xfId="1050"/>
    <cellStyle name="Normal 5 5 3 2 2" xfId="8560"/>
    <cellStyle name="Normal 5 5 3 2 2 2" xfId="11173"/>
    <cellStyle name="Normal 5 5 3 2 2 2 2" xfId="25495"/>
    <cellStyle name="Normal 5 5 3 2 2 3" xfId="24247"/>
    <cellStyle name="Normal 5 5 3 2 3" xfId="9201"/>
    <cellStyle name="Normal 5 5 3 2 3 2" xfId="24873"/>
    <cellStyle name="Normal 5 5 3 2 4" xfId="3441"/>
    <cellStyle name="Normal 5 5 3 2 5" xfId="22048"/>
    <cellStyle name="Normal 5 5 3 3" xfId="8279"/>
    <cellStyle name="Normal 5 5 3 3 2" xfId="10892"/>
    <cellStyle name="Normal 5 5 3 3 2 2" xfId="25214"/>
    <cellStyle name="Normal 5 5 3 3 3" xfId="23966"/>
    <cellStyle name="Normal 5 5 3 4" xfId="8845"/>
    <cellStyle name="Normal 5 5 3 4 2" xfId="24532"/>
    <cellStyle name="Normal 5 5 3 5" xfId="2992"/>
    <cellStyle name="Normal 5 5 3 6" xfId="22047"/>
    <cellStyle name="Normal 5 5 4" xfId="1051"/>
    <cellStyle name="Normal 5 5 4 2" xfId="1052"/>
    <cellStyle name="Normal 5 5 4 2 2" xfId="8610"/>
    <cellStyle name="Normal 5 5 4 2 2 2" xfId="11223"/>
    <cellStyle name="Normal 5 5 4 2 2 2 2" xfId="25545"/>
    <cellStyle name="Normal 5 5 4 2 2 3" xfId="24297"/>
    <cellStyle name="Normal 5 5 4 2 3" xfId="9252"/>
    <cellStyle name="Normal 5 5 4 2 3 2" xfId="24923"/>
    <cellStyle name="Normal 5 5 4 2 4" xfId="3499"/>
    <cellStyle name="Normal 5 5 4 2 5" xfId="22050"/>
    <cellStyle name="Normal 5 5 4 3" xfId="8329"/>
    <cellStyle name="Normal 5 5 4 3 2" xfId="10942"/>
    <cellStyle name="Normal 5 5 4 3 2 2" xfId="25264"/>
    <cellStyle name="Normal 5 5 4 3 3" xfId="24016"/>
    <cellStyle name="Normal 5 5 4 4" xfId="8895"/>
    <cellStyle name="Normal 5 5 4 4 2" xfId="24582"/>
    <cellStyle name="Normal 5 5 4 5" xfId="3052"/>
    <cellStyle name="Normal 5 5 4 6" xfId="22049"/>
    <cellStyle name="Normal 5 5 5" xfId="1053"/>
    <cellStyle name="Normal 5 5 5 2" xfId="8453"/>
    <cellStyle name="Normal 5 5 5 2 2" xfId="11066"/>
    <cellStyle name="Normal 5 5 5 2 2 2" xfId="25388"/>
    <cellStyle name="Normal 5 5 5 2 3" xfId="24140"/>
    <cellStyle name="Normal 5 5 5 3" xfId="9025"/>
    <cellStyle name="Normal 5 5 5 3 2" xfId="24706"/>
    <cellStyle name="Normal 5 5 5 4" xfId="3216"/>
    <cellStyle name="Normal 5 5 5 5" xfId="22051"/>
    <cellStyle name="Normal 5 5 6" xfId="1054"/>
    <cellStyle name="Normal 5 5 6 2" xfId="8161"/>
    <cellStyle name="Normal 5 5 6 2 2" xfId="10774"/>
    <cellStyle name="Normal 5 5 6 2 2 2" xfId="25096"/>
    <cellStyle name="Normal 5 5 6 2 3" xfId="23848"/>
    <cellStyle name="Normal 5 5 6 3" xfId="9083"/>
    <cellStyle name="Normal 5 5 6 3 2" xfId="24755"/>
    <cellStyle name="Normal 5 5 6 4" xfId="3323"/>
    <cellStyle name="Normal 5 5 6 5" xfId="22052"/>
    <cellStyle name="Normal 5 5 7" xfId="8112"/>
    <cellStyle name="Normal 5 5 7 2" xfId="10725"/>
    <cellStyle name="Normal 5 5 7 2 2" xfId="25047"/>
    <cellStyle name="Normal 5 5 7 3" xfId="23799"/>
    <cellStyle name="Normal 5 5 8" xfId="8727"/>
    <cellStyle name="Normal 5 5 8 2" xfId="24414"/>
    <cellStyle name="Normal 5 5 9" xfId="2872"/>
    <cellStyle name="Normal 5 6" xfId="1055"/>
    <cellStyle name="Normal 5 6 10" xfId="22053"/>
    <cellStyle name="Normal 5 6 2" xfId="1056"/>
    <cellStyle name="Normal 5 6 2 2" xfId="1057"/>
    <cellStyle name="Normal 5 6 2 2 2" xfId="1058"/>
    <cellStyle name="Normal 5 6 2 2 2 2" xfId="8647"/>
    <cellStyle name="Normal 5 6 2 2 2 2 2" xfId="11260"/>
    <cellStyle name="Normal 5 6 2 2 2 2 2 2" xfId="25582"/>
    <cellStyle name="Normal 5 6 2 2 2 2 3" xfId="24334"/>
    <cellStyle name="Normal 5 6 2 2 2 3" xfId="9289"/>
    <cellStyle name="Normal 5 6 2 2 2 3 2" xfId="24960"/>
    <cellStyle name="Normal 5 6 2 2 2 4" xfId="3537"/>
    <cellStyle name="Normal 5 6 2 2 2 5" xfId="22056"/>
    <cellStyle name="Normal 5 6 2 2 3" xfId="8366"/>
    <cellStyle name="Normal 5 6 2 2 3 2" xfId="10979"/>
    <cellStyle name="Normal 5 6 2 2 3 2 2" xfId="25301"/>
    <cellStyle name="Normal 5 6 2 2 3 3" xfId="24053"/>
    <cellStyle name="Normal 5 6 2 2 4" xfId="8932"/>
    <cellStyle name="Normal 5 6 2 2 4 2" xfId="24619"/>
    <cellStyle name="Normal 5 6 2 2 5" xfId="3089"/>
    <cellStyle name="Normal 5 6 2 2 6" xfId="22055"/>
    <cellStyle name="Normal 5 6 2 3" xfId="1059"/>
    <cellStyle name="Normal 5 6 2 3 2" xfId="8483"/>
    <cellStyle name="Normal 5 6 2 3 2 2" xfId="11096"/>
    <cellStyle name="Normal 5 6 2 3 2 2 2" xfId="25418"/>
    <cellStyle name="Normal 5 6 2 3 2 3" xfId="24170"/>
    <cellStyle name="Normal 5 6 2 3 3" xfId="9120"/>
    <cellStyle name="Normal 5 6 2 3 3 2" xfId="24792"/>
    <cellStyle name="Normal 5 6 2 3 4" xfId="3360"/>
    <cellStyle name="Normal 5 6 2 3 5" xfId="22057"/>
    <cellStyle name="Normal 5 6 2 4" xfId="8198"/>
    <cellStyle name="Normal 5 6 2 4 2" xfId="10811"/>
    <cellStyle name="Normal 5 6 2 4 2 2" xfId="25133"/>
    <cellStyle name="Normal 5 6 2 4 3" xfId="23885"/>
    <cellStyle name="Normal 5 6 2 5" xfId="8764"/>
    <cellStyle name="Normal 5 6 2 5 2" xfId="24451"/>
    <cellStyle name="Normal 5 6 2 6" xfId="2911"/>
    <cellStyle name="Normal 5 6 2 7" xfId="22054"/>
    <cellStyle name="Normal 5 6 3" xfId="1060"/>
    <cellStyle name="Normal 5 6 3 2" xfId="1061"/>
    <cellStyle name="Normal 5 6 3 2 2" xfId="8535"/>
    <cellStyle name="Normal 5 6 3 2 2 2" xfId="11148"/>
    <cellStyle name="Normal 5 6 3 2 2 2 2" xfId="25470"/>
    <cellStyle name="Normal 5 6 3 2 2 3" xfId="24222"/>
    <cellStyle name="Normal 5 6 3 2 3" xfId="9176"/>
    <cellStyle name="Normal 5 6 3 2 3 2" xfId="24848"/>
    <cellStyle name="Normal 5 6 3 2 4" xfId="3416"/>
    <cellStyle name="Normal 5 6 3 2 5" xfId="22059"/>
    <cellStyle name="Normal 5 6 3 3" xfId="8254"/>
    <cellStyle name="Normal 5 6 3 3 2" xfId="10867"/>
    <cellStyle name="Normal 5 6 3 3 2 2" xfId="25189"/>
    <cellStyle name="Normal 5 6 3 3 3" xfId="23941"/>
    <cellStyle name="Normal 5 6 3 4" xfId="8820"/>
    <cellStyle name="Normal 5 6 3 4 2" xfId="24507"/>
    <cellStyle name="Normal 5 6 3 5" xfId="2967"/>
    <cellStyle name="Normal 5 6 3 6" xfId="22058"/>
    <cellStyle name="Normal 5 6 4" xfId="1062"/>
    <cellStyle name="Normal 5 6 4 2" xfId="1063"/>
    <cellStyle name="Normal 5 6 4 2 2" xfId="8616"/>
    <cellStyle name="Normal 5 6 4 2 2 2" xfId="11229"/>
    <cellStyle name="Normal 5 6 4 2 2 2 2" xfId="25551"/>
    <cellStyle name="Normal 5 6 4 2 2 3" xfId="24303"/>
    <cellStyle name="Normal 5 6 4 2 3" xfId="9258"/>
    <cellStyle name="Normal 5 6 4 2 3 2" xfId="24929"/>
    <cellStyle name="Normal 5 6 4 2 4" xfId="3505"/>
    <cellStyle name="Normal 5 6 4 2 5" xfId="22061"/>
    <cellStyle name="Normal 5 6 4 3" xfId="8335"/>
    <cellStyle name="Normal 5 6 4 3 2" xfId="10948"/>
    <cellStyle name="Normal 5 6 4 3 2 2" xfId="25270"/>
    <cellStyle name="Normal 5 6 4 3 3" xfId="24022"/>
    <cellStyle name="Normal 5 6 4 4" xfId="8901"/>
    <cellStyle name="Normal 5 6 4 4 2" xfId="24588"/>
    <cellStyle name="Normal 5 6 4 5" xfId="3058"/>
    <cellStyle name="Normal 5 6 4 6" xfId="22060"/>
    <cellStyle name="Normal 5 6 5" xfId="1064"/>
    <cellStyle name="Normal 5 6 5 2" xfId="8433"/>
    <cellStyle name="Normal 5 6 5 2 2" xfId="11046"/>
    <cellStyle name="Normal 5 6 5 2 2 2" xfId="25368"/>
    <cellStyle name="Normal 5 6 5 2 3" xfId="24120"/>
    <cellStyle name="Normal 5 6 5 3" xfId="9003"/>
    <cellStyle name="Normal 5 6 5 3 2" xfId="24686"/>
    <cellStyle name="Normal 5 6 5 4" xfId="3178"/>
    <cellStyle name="Normal 5 6 5 5" xfId="22062"/>
    <cellStyle name="Normal 5 6 6" xfId="1065"/>
    <cellStyle name="Normal 5 6 6 2" xfId="8167"/>
    <cellStyle name="Normal 5 6 6 2 2" xfId="10780"/>
    <cellStyle name="Normal 5 6 6 2 2 2" xfId="25102"/>
    <cellStyle name="Normal 5 6 6 2 3" xfId="23854"/>
    <cellStyle name="Normal 5 6 6 3" xfId="9089"/>
    <cellStyle name="Normal 5 6 6 3 2" xfId="24761"/>
    <cellStyle name="Normal 5 6 6 4" xfId="3329"/>
    <cellStyle name="Normal 5 6 6 5" xfId="22063"/>
    <cellStyle name="Normal 5 6 7" xfId="8092"/>
    <cellStyle name="Normal 5 6 7 2" xfId="10705"/>
    <cellStyle name="Normal 5 6 7 2 2" xfId="25027"/>
    <cellStyle name="Normal 5 6 7 3" xfId="23779"/>
    <cellStyle name="Normal 5 6 8" xfId="8733"/>
    <cellStyle name="Normal 5 6 8 2" xfId="24420"/>
    <cellStyle name="Normal 5 6 9" xfId="2879"/>
    <cellStyle name="Normal 5 7" xfId="1066"/>
    <cellStyle name="Normal 5 7 2" xfId="1067"/>
    <cellStyle name="Normal 5 7 2 2" xfId="1068"/>
    <cellStyle name="Normal 5 7 2 2 2" xfId="8641"/>
    <cellStyle name="Normal 5 7 2 2 2 2" xfId="11254"/>
    <cellStyle name="Normal 5 7 2 2 2 2 2" xfId="25576"/>
    <cellStyle name="Normal 5 7 2 2 2 3" xfId="24328"/>
    <cellStyle name="Normal 5 7 2 2 3" xfId="9283"/>
    <cellStyle name="Normal 5 7 2 2 3 2" xfId="24954"/>
    <cellStyle name="Normal 5 7 2 2 4" xfId="3531"/>
    <cellStyle name="Normal 5 7 2 2 5" xfId="22066"/>
    <cellStyle name="Normal 5 7 2 3" xfId="8360"/>
    <cellStyle name="Normal 5 7 2 3 2" xfId="10973"/>
    <cellStyle name="Normal 5 7 2 3 2 2" xfId="25295"/>
    <cellStyle name="Normal 5 7 2 3 3" xfId="24047"/>
    <cellStyle name="Normal 5 7 2 4" xfId="8926"/>
    <cellStyle name="Normal 5 7 2 4 2" xfId="24613"/>
    <cellStyle name="Normal 5 7 2 5" xfId="3083"/>
    <cellStyle name="Normal 5 7 2 6" xfId="22065"/>
    <cellStyle name="Normal 5 7 3" xfId="1069"/>
    <cellStyle name="Normal 5 7 3 2" xfId="8477"/>
    <cellStyle name="Normal 5 7 3 2 2" xfId="11090"/>
    <cellStyle name="Normal 5 7 3 2 2 2" xfId="25412"/>
    <cellStyle name="Normal 5 7 3 2 3" xfId="24164"/>
    <cellStyle name="Normal 5 7 3 3" xfId="9114"/>
    <cellStyle name="Normal 5 7 3 3 2" xfId="24786"/>
    <cellStyle name="Normal 5 7 3 4" xfId="3354"/>
    <cellStyle name="Normal 5 7 3 5" xfId="22067"/>
    <cellStyle name="Normal 5 7 4" xfId="8192"/>
    <cellStyle name="Normal 5 7 4 2" xfId="10805"/>
    <cellStyle name="Normal 5 7 4 2 2" xfId="25127"/>
    <cellStyle name="Normal 5 7 4 3" xfId="23879"/>
    <cellStyle name="Normal 5 7 5" xfId="8758"/>
    <cellStyle name="Normal 5 7 5 2" xfId="24445"/>
    <cellStyle name="Normal 5 7 6" xfId="2905"/>
    <cellStyle name="Normal 5 7 7" xfId="22064"/>
    <cellStyle name="Normal 5 8" xfId="1070"/>
    <cellStyle name="Normal 5 8 2" xfId="1071"/>
    <cellStyle name="Normal 5 8 2 2" xfId="8529"/>
    <cellStyle name="Normal 5 8 2 2 2" xfId="11142"/>
    <cellStyle name="Normal 5 8 2 2 2 2" xfId="25464"/>
    <cellStyle name="Normal 5 8 2 2 3" xfId="24216"/>
    <cellStyle name="Normal 5 8 2 3" xfId="9170"/>
    <cellStyle name="Normal 5 8 2 3 2" xfId="24842"/>
    <cellStyle name="Normal 5 8 2 4" xfId="3410"/>
    <cellStyle name="Normal 5 8 2 5" xfId="22069"/>
    <cellStyle name="Normal 5 8 3" xfId="8248"/>
    <cellStyle name="Normal 5 8 3 2" xfId="10861"/>
    <cellStyle name="Normal 5 8 3 2 2" xfId="25183"/>
    <cellStyle name="Normal 5 8 3 3" xfId="23935"/>
    <cellStyle name="Normal 5 8 4" xfId="8814"/>
    <cellStyle name="Normal 5 8 4 2" xfId="24501"/>
    <cellStyle name="Normal 5 8 5" xfId="2961"/>
    <cellStyle name="Normal 5 8 6" xfId="22068"/>
    <cellStyle name="Normal 5 9" xfId="1072"/>
    <cellStyle name="Normal 5 9 2" xfId="1073"/>
    <cellStyle name="Normal 5 9 2 2" xfId="8585"/>
    <cellStyle name="Normal 5 9 2 2 2" xfId="11198"/>
    <cellStyle name="Normal 5 9 2 2 2 2" xfId="25520"/>
    <cellStyle name="Normal 5 9 2 2 3" xfId="24272"/>
    <cellStyle name="Normal 5 9 2 3" xfId="9226"/>
    <cellStyle name="Normal 5 9 2 3 2" xfId="24898"/>
    <cellStyle name="Normal 5 9 2 4" xfId="3472"/>
    <cellStyle name="Normal 5 9 2 5" xfId="22071"/>
    <cellStyle name="Normal 5 9 3" xfId="8304"/>
    <cellStyle name="Normal 5 9 3 2" xfId="10917"/>
    <cellStyle name="Normal 5 9 3 2 2" xfId="25239"/>
    <cellStyle name="Normal 5 9 3 3" xfId="23991"/>
    <cellStyle name="Normal 5 9 4" xfId="8870"/>
    <cellStyle name="Normal 5 9 4 2" xfId="24557"/>
    <cellStyle name="Normal 5 9 5" xfId="3022"/>
    <cellStyle name="Normal 5 9 6" xfId="22070"/>
    <cellStyle name="Normal 6" xfId="1074"/>
    <cellStyle name="Normal 6 10" xfId="1075"/>
    <cellStyle name="Normal 6 10 2" xfId="8417"/>
    <cellStyle name="Normal 6 10 2 2" xfId="11030"/>
    <cellStyle name="Normal 6 10 2 2 2" xfId="25352"/>
    <cellStyle name="Normal 6 10 2 3" xfId="24104"/>
    <cellStyle name="Normal 6 10 3" xfId="8987"/>
    <cellStyle name="Normal 6 10 3 2" xfId="24670"/>
    <cellStyle name="Normal 6 10 4" xfId="3160"/>
    <cellStyle name="Normal 6 10 5" xfId="22073"/>
    <cellStyle name="Normal 6 11" xfId="1076"/>
    <cellStyle name="Normal 6 11 2" xfId="8137"/>
    <cellStyle name="Normal 6 11 2 2" xfId="10750"/>
    <cellStyle name="Normal 6 11 2 2 2" xfId="25072"/>
    <cellStyle name="Normal 6 11 2 3" xfId="23824"/>
    <cellStyle name="Normal 6 11 3" xfId="9059"/>
    <cellStyle name="Normal 6 11 3 2" xfId="24731"/>
    <cellStyle name="Normal 6 11 4" xfId="3299"/>
    <cellStyle name="Normal 6 11 5" xfId="22074"/>
    <cellStyle name="Normal 6 12" xfId="8076"/>
    <cellStyle name="Normal 6 12 2" xfId="10689"/>
    <cellStyle name="Normal 6 12 2 2" xfId="25011"/>
    <cellStyle name="Normal 6 12 3" xfId="23763"/>
    <cellStyle name="Normal 6 13" xfId="8698"/>
    <cellStyle name="Normal 6 13 2" xfId="11311"/>
    <cellStyle name="Normal 6 13 2 2" xfId="25633"/>
    <cellStyle name="Normal 6 13 3" xfId="24385"/>
    <cellStyle name="Normal 6 14" xfId="8703"/>
    <cellStyle name="Normal 6 14 2" xfId="24390"/>
    <cellStyle name="Normal 6 15" xfId="2804"/>
    <cellStyle name="Normal 6 16" xfId="22072"/>
    <cellStyle name="Normal 6 2" xfId="1077"/>
    <cellStyle name="Normal 6 2 10" xfId="8707"/>
    <cellStyle name="Normal 6 2 10 2" xfId="24394"/>
    <cellStyle name="Normal 6 2 11" xfId="2851"/>
    <cellStyle name="Normal 6 2 12" xfId="22075"/>
    <cellStyle name="Normal 6 2 2" xfId="1078"/>
    <cellStyle name="Normal 6 2 2 10" xfId="2867"/>
    <cellStyle name="Normal 6 2 2 11" xfId="22076"/>
    <cellStyle name="Normal 6 2 2 2" xfId="1079"/>
    <cellStyle name="Normal 6 2 2 2 10" xfId="22077"/>
    <cellStyle name="Normal 6 2 2 2 2" xfId="1080"/>
    <cellStyle name="Normal 6 2 2 2 2 2" xfId="1081"/>
    <cellStyle name="Normal 6 2 2 2 2 2 2" xfId="1082"/>
    <cellStyle name="Normal 6 2 2 2 2 2 2 2" xfId="8693"/>
    <cellStyle name="Normal 6 2 2 2 2 2 2 2 2" xfId="11306"/>
    <cellStyle name="Normal 6 2 2 2 2 2 2 2 2 2" xfId="25628"/>
    <cellStyle name="Normal 6 2 2 2 2 2 2 2 3" xfId="24380"/>
    <cellStyle name="Normal 6 2 2 2 2 2 2 3" xfId="9335"/>
    <cellStyle name="Normal 6 2 2 2 2 2 2 3 2" xfId="25006"/>
    <cellStyle name="Normal 6 2 2 2 2 2 2 4" xfId="3583"/>
    <cellStyle name="Normal 6 2 2 2 2 2 2 5" xfId="22080"/>
    <cellStyle name="Normal 6 2 2 2 2 2 3" xfId="8412"/>
    <cellStyle name="Normal 6 2 2 2 2 2 3 2" xfId="11025"/>
    <cellStyle name="Normal 6 2 2 2 2 2 3 2 2" xfId="25347"/>
    <cellStyle name="Normal 6 2 2 2 2 2 3 3" xfId="24099"/>
    <cellStyle name="Normal 6 2 2 2 2 2 4" xfId="8978"/>
    <cellStyle name="Normal 6 2 2 2 2 2 4 2" xfId="24665"/>
    <cellStyle name="Normal 6 2 2 2 2 2 5" xfId="3135"/>
    <cellStyle name="Normal 6 2 2 2 2 2 6" xfId="22079"/>
    <cellStyle name="Normal 6 2 2 2 2 3" xfId="1083"/>
    <cellStyle name="Normal 6 2 2 2 2 3 2" xfId="8525"/>
    <cellStyle name="Normal 6 2 2 2 2 3 2 2" xfId="11138"/>
    <cellStyle name="Normal 6 2 2 2 2 3 2 2 2" xfId="25460"/>
    <cellStyle name="Normal 6 2 2 2 2 3 2 3" xfId="24212"/>
    <cellStyle name="Normal 6 2 2 2 2 3 3" xfId="9166"/>
    <cellStyle name="Normal 6 2 2 2 2 3 3 2" xfId="24838"/>
    <cellStyle name="Normal 6 2 2 2 2 3 4" xfId="3406"/>
    <cellStyle name="Normal 6 2 2 2 2 3 5" xfId="22081"/>
    <cellStyle name="Normal 6 2 2 2 2 4" xfId="8244"/>
    <cellStyle name="Normal 6 2 2 2 2 4 2" xfId="10857"/>
    <cellStyle name="Normal 6 2 2 2 2 4 2 2" xfId="25179"/>
    <cellStyle name="Normal 6 2 2 2 2 4 3" xfId="23931"/>
    <cellStyle name="Normal 6 2 2 2 2 5" xfId="8810"/>
    <cellStyle name="Normal 6 2 2 2 2 5 2" xfId="24497"/>
    <cellStyle name="Normal 6 2 2 2 2 6" xfId="2957"/>
    <cellStyle name="Normal 6 2 2 2 2 7" xfId="22078"/>
    <cellStyle name="Normal 6 2 2 2 3" xfId="1084"/>
    <cellStyle name="Normal 6 2 2 2 3 2" xfId="1085"/>
    <cellStyle name="Normal 6 2 2 2 3 2 2" xfId="8581"/>
    <cellStyle name="Normal 6 2 2 2 3 2 2 2" xfId="11194"/>
    <cellStyle name="Normal 6 2 2 2 3 2 2 2 2" xfId="25516"/>
    <cellStyle name="Normal 6 2 2 2 3 2 2 3" xfId="24268"/>
    <cellStyle name="Normal 6 2 2 2 3 2 3" xfId="9222"/>
    <cellStyle name="Normal 6 2 2 2 3 2 3 2" xfId="24894"/>
    <cellStyle name="Normal 6 2 2 2 3 2 4" xfId="3462"/>
    <cellStyle name="Normal 6 2 2 2 3 2 5" xfId="22083"/>
    <cellStyle name="Normal 6 2 2 2 3 3" xfId="8300"/>
    <cellStyle name="Normal 6 2 2 2 3 3 2" xfId="10913"/>
    <cellStyle name="Normal 6 2 2 2 3 3 2 2" xfId="25235"/>
    <cellStyle name="Normal 6 2 2 2 3 3 3" xfId="23987"/>
    <cellStyle name="Normal 6 2 2 2 3 4" xfId="8866"/>
    <cellStyle name="Normal 6 2 2 2 3 4 2" xfId="24553"/>
    <cellStyle name="Normal 6 2 2 2 3 5" xfId="3013"/>
    <cellStyle name="Normal 6 2 2 2 3 6" xfId="22082"/>
    <cellStyle name="Normal 6 2 2 2 4" xfId="1086"/>
    <cellStyle name="Normal 6 2 2 2 4 2" xfId="1087"/>
    <cellStyle name="Normal 6 2 2 2 4 2 2" xfId="8636"/>
    <cellStyle name="Normal 6 2 2 2 4 2 2 2" xfId="11249"/>
    <cellStyle name="Normal 6 2 2 2 4 2 2 2 2" xfId="25571"/>
    <cellStyle name="Normal 6 2 2 2 4 2 2 3" xfId="24323"/>
    <cellStyle name="Normal 6 2 2 2 4 2 3" xfId="9278"/>
    <cellStyle name="Normal 6 2 2 2 4 2 3 2" xfId="24949"/>
    <cellStyle name="Normal 6 2 2 2 4 2 4" xfId="3526"/>
    <cellStyle name="Normal 6 2 2 2 4 2 5" xfId="22085"/>
    <cellStyle name="Normal 6 2 2 2 4 3" xfId="8355"/>
    <cellStyle name="Normal 6 2 2 2 4 3 2" xfId="10968"/>
    <cellStyle name="Normal 6 2 2 2 4 3 2 2" xfId="25290"/>
    <cellStyle name="Normal 6 2 2 2 4 3 3" xfId="24042"/>
    <cellStyle name="Normal 6 2 2 2 4 4" xfId="8921"/>
    <cellStyle name="Normal 6 2 2 2 4 4 2" xfId="24608"/>
    <cellStyle name="Normal 6 2 2 2 4 5" xfId="3078"/>
    <cellStyle name="Normal 6 2 2 2 4 6" xfId="22084"/>
    <cellStyle name="Normal 6 2 2 2 5" xfId="1088"/>
    <cellStyle name="Normal 6 2 2 2 5 2" xfId="8473"/>
    <cellStyle name="Normal 6 2 2 2 5 2 2" xfId="11086"/>
    <cellStyle name="Normal 6 2 2 2 5 2 2 2" xfId="25408"/>
    <cellStyle name="Normal 6 2 2 2 5 2 3" xfId="24160"/>
    <cellStyle name="Normal 6 2 2 2 5 3" xfId="9045"/>
    <cellStyle name="Normal 6 2 2 2 5 3 2" xfId="24726"/>
    <cellStyle name="Normal 6 2 2 2 5 4" xfId="3237"/>
    <cellStyle name="Normal 6 2 2 2 5 5" xfId="22086"/>
    <cellStyle name="Normal 6 2 2 2 6" xfId="1089"/>
    <cellStyle name="Normal 6 2 2 2 6 2" xfId="8187"/>
    <cellStyle name="Normal 6 2 2 2 6 2 2" xfId="10800"/>
    <cellStyle name="Normal 6 2 2 2 6 2 2 2" xfId="25122"/>
    <cellStyle name="Normal 6 2 2 2 6 2 3" xfId="23874"/>
    <cellStyle name="Normal 6 2 2 2 6 3" xfId="9109"/>
    <cellStyle name="Normal 6 2 2 2 6 3 2" xfId="24781"/>
    <cellStyle name="Normal 6 2 2 2 6 4" xfId="3349"/>
    <cellStyle name="Normal 6 2 2 2 6 5" xfId="22087"/>
    <cellStyle name="Normal 6 2 2 2 7" xfId="8132"/>
    <cellStyle name="Normal 6 2 2 2 7 2" xfId="10745"/>
    <cellStyle name="Normal 6 2 2 2 7 2 2" xfId="25067"/>
    <cellStyle name="Normal 6 2 2 2 7 3" xfId="23819"/>
    <cellStyle name="Normal 6 2 2 2 8" xfId="8753"/>
    <cellStyle name="Normal 6 2 2 2 8 2" xfId="24440"/>
    <cellStyle name="Normal 6 2 2 2 9" xfId="2900"/>
    <cellStyle name="Normal 6 2 2 3" xfId="1090"/>
    <cellStyle name="Normal 6 2 2 3 2" xfId="1091"/>
    <cellStyle name="Normal 6 2 2 3 2 2" xfId="1092"/>
    <cellStyle name="Normal 6 2 2 3 2 2 2" xfId="8667"/>
    <cellStyle name="Normal 6 2 2 3 2 2 2 2" xfId="11280"/>
    <cellStyle name="Normal 6 2 2 3 2 2 2 2 2" xfId="25602"/>
    <cellStyle name="Normal 6 2 2 3 2 2 2 3" xfId="24354"/>
    <cellStyle name="Normal 6 2 2 3 2 2 3" xfId="9309"/>
    <cellStyle name="Normal 6 2 2 3 2 2 3 2" xfId="24980"/>
    <cellStyle name="Normal 6 2 2 3 2 2 4" xfId="3557"/>
    <cellStyle name="Normal 6 2 2 3 2 2 5" xfId="22090"/>
    <cellStyle name="Normal 6 2 2 3 2 3" xfId="8386"/>
    <cellStyle name="Normal 6 2 2 3 2 3 2" xfId="10999"/>
    <cellStyle name="Normal 6 2 2 3 2 3 2 2" xfId="25321"/>
    <cellStyle name="Normal 6 2 2 3 2 3 3" xfId="24073"/>
    <cellStyle name="Normal 6 2 2 3 2 4" xfId="8952"/>
    <cellStyle name="Normal 6 2 2 3 2 4 2" xfId="24639"/>
    <cellStyle name="Normal 6 2 2 3 2 5" xfId="3109"/>
    <cellStyle name="Normal 6 2 2 3 2 6" xfId="22089"/>
    <cellStyle name="Normal 6 2 2 3 3" xfId="1093"/>
    <cellStyle name="Normal 6 2 2 3 3 2" xfId="8499"/>
    <cellStyle name="Normal 6 2 2 3 3 2 2" xfId="11112"/>
    <cellStyle name="Normal 6 2 2 3 3 2 2 2" xfId="25434"/>
    <cellStyle name="Normal 6 2 2 3 3 2 3" xfId="24186"/>
    <cellStyle name="Normal 6 2 2 3 3 3" xfId="9140"/>
    <cellStyle name="Normal 6 2 2 3 3 3 2" xfId="24812"/>
    <cellStyle name="Normal 6 2 2 3 3 4" xfId="3380"/>
    <cellStyle name="Normal 6 2 2 3 3 5" xfId="22091"/>
    <cellStyle name="Normal 6 2 2 3 4" xfId="8218"/>
    <cellStyle name="Normal 6 2 2 3 4 2" xfId="10831"/>
    <cellStyle name="Normal 6 2 2 3 4 2 2" xfId="25153"/>
    <cellStyle name="Normal 6 2 2 3 4 3" xfId="23905"/>
    <cellStyle name="Normal 6 2 2 3 5" xfId="8784"/>
    <cellStyle name="Normal 6 2 2 3 5 2" xfId="24471"/>
    <cellStyle name="Normal 6 2 2 3 6" xfId="2931"/>
    <cellStyle name="Normal 6 2 2 3 7" xfId="22088"/>
    <cellStyle name="Normal 6 2 2 4" xfId="1094"/>
    <cellStyle name="Normal 6 2 2 4 2" xfId="1095"/>
    <cellStyle name="Normal 6 2 2 4 2 2" xfId="8555"/>
    <cellStyle name="Normal 6 2 2 4 2 2 2" xfId="11168"/>
    <cellStyle name="Normal 6 2 2 4 2 2 2 2" xfId="25490"/>
    <cellStyle name="Normal 6 2 2 4 2 2 3" xfId="24242"/>
    <cellStyle name="Normal 6 2 2 4 2 3" xfId="9196"/>
    <cellStyle name="Normal 6 2 2 4 2 3 2" xfId="24868"/>
    <cellStyle name="Normal 6 2 2 4 2 4" xfId="3436"/>
    <cellStyle name="Normal 6 2 2 4 2 5" xfId="22093"/>
    <cellStyle name="Normal 6 2 2 4 3" xfId="8274"/>
    <cellStyle name="Normal 6 2 2 4 3 2" xfId="10887"/>
    <cellStyle name="Normal 6 2 2 4 3 2 2" xfId="25209"/>
    <cellStyle name="Normal 6 2 2 4 3 3" xfId="23961"/>
    <cellStyle name="Normal 6 2 2 4 4" xfId="8840"/>
    <cellStyle name="Normal 6 2 2 4 4 2" xfId="24527"/>
    <cellStyle name="Normal 6 2 2 4 5" xfId="2987"/>
    <cellStyle name="Normal 6 2 2 4 6" xfId="22092"/>
    <cellStyle name="Normal 6 2 2 5" xfId="1096"/>
    <cellStyle name="Normal 6 2 2 5 2" xfId="1097"/>
    <cellStyle name="Normal 6 2 2 5 2 2" xfId="8605"/>
    <cellStyle name="Normal 6 2 2 5 2 2 2" xfId="11218"/>
    <cellStyle name="Normal 6 2 2 5 2 2 2 2" xfId="25540"/>
    <cellStyle name="Normal 6 2 2 5 2 2 3" xfId="24292"/>
    <cellStyle name="Normal 6 2 2 5 2 3" xfId="9247"/>
    <cellStyle name="Normal 6 2 2 5 2 3 2" xfId="24918"/>
    <cellStyle name="Normal 6 2 2 5 2 4" xfId="3494"/>
    <cellStyle name="Normal 6 2 2 5 2 5" xfId="22095"/>
    <cellStyle name="Normal 6 2 2 5 3" xfId="8324"/>
    <cellStyle name="Normal 6 2 2 5 3 2" xfId="10937"/>
    <cellStyle name="Normal 6 2 2 5 3 2 2" xfId="25259"/>
    <cellStyle name="Normal 6 2 2 5 3 3" xfId="24011"/>
    <cellStyle name="Normal 6 2 2 5 4" xfId="8890"/>
    <cellStyle name="Normal 6 2 2 5 4 2" xfId="24577"/>
    <cellStyle name="Normal 6 2 2 5 5" xfId="3047"/>
    <cellStyle name="Normal 6 2 2 5 6" xfId="22094"/>
    <cellStyle name="Normal 6 2 2 6" xfId="1098"/>
    <cellStyle name="Normal 6 2 2 6 2" xfId="8448"/>
    <cellStyle name="Normal 6 2 2 6 2 2" xfId="11061"/>
    <cellStyle name="Normal 6 2 2 6 2 2 2" xfId="25383"/>
    <cellStyle name="Normal 6 2 2 6 2 3" xfId="24135"/>
    <cellStyle name="Normal 6 2 2 6 3" xfId="9020"/>
    <cellStyle name="Normal 6 2 2 6 3 2" xfId="24701"/>
    <cellStyle name="Normal 6 2 2 6 4" xfId="3211"/>
    <cellStyle name="Normal 6 2 2 6 5" xfId="22096"/>
    <cellStyle name="Normal 6 2 2 7" xfId="1099"/>
    <cellStyle name="Normal 6 2 2 7 2" xfId="8156"/>
    <cellStyle name="Normal 6 2 2 7 2 2" xfId="10769"/>
    <cellStyle name="Normal 6 2 2 7 2 2 2" xfId="25091"/>
    <cellStyle name="Normal 6 2 2 7 2 3" xfId="23843"/>
    <cellStyle name="Normal 6 2 2 7 3" xfId="9078"/>
    <cellStyle name="Normal 6 2 2 7 3 2" xfId="24750"/>
    <cellStyle name="Normal 6 2 2 7 4" xfId="3318"/>
    <cellStyle name="Normal 6 2 2 7 5" xfId="22097"/>
    <cellStyle name="Normal 6 2 2 8" xfId="8107"/>
    <cellStyle name="Normal 6 2 2 8 2" xfId="10720"/>
    <cellStyle name="Normal 6 2 2 8 2 2" xfId="25042"/>
    <cellStyle name="Normal 6 2 2 8 3" xfId="23794"/>
    <cellStyle name="Normal 6 2 2 9" xfId="8722"/>
    <cellStyle name="Normal 6 2 2 9 2" xfId="24409"/>
    <cellStyle name="Normal 6 2 3" xfId="1100"/>
    <cellStyle name="Normal 6 2 3 10" xfId="22098"/>
    <cellStyle name="Normal 6 2 3 2" xfId="1101"/>
    <cellStyle name="Normal 6 2 3 2 2" xfId="1102"/>
    <cellStyle name="Normal 6 2 3 2 2 2" xfId="1103"/>
    <cellStyle name="Normal 6 2 3 2 2 2 2" xfId="8679"/>
    <cellStyle name="Normal 6 2 3 2 2 2 2 2" xfId="11292"/>
    <cellStyle name="Normal 6 2 3 2 2 2 2 2 2" xfId="25614"/>
    <cellStyle name="Normal 6 2 3 2 2 2 2 3" xfId="24366"/>
    <cellStyle name="Normal 6 2 3 2 2 2 3" xfId="9321"/>
    <cellStyle name="Normal 6 2 3 2 2 2 3 2" xfId="24992"/>
    <cellStyle name="Normal 6 2 3 2 2 2 4" xfId="3569"/>
    <cellStyle name="Normal 6 2 3 2 2 2 5" xfId="22101"/>
    <cellStyle name="Normal 6 2 3 2 2 3" xfId="8398"/>
    <cellStyle name="Normal 6 2 3 2 2 3 2" xfId="11011"/>
    <cellStyle name="Normal 6 2 3 2 2 3 2 2" xfId="25333"/>
    <cellStyle name="Normal 6 2 3 2 2 3 3" xfId="24085"/>
    <cellStyle name="Normal 6 2 3 2 2 4" xfId="8964"/>
    <cellStyle name="Normal 6 2 3 2 2 4 2" xfId="24651"/>
    <cellStyle name="Normal 6 2 3 2 2 5" xfId="3121"/>
    <cellStyle name="Normal 6 2 3 2 2 6" xfId="22100"/>
    <cellStyle name="Normal 6 2 3 2 3" xfId="1104"/>
    <cellStyle name="Normal 6 2 3 2 3 2" xfId="8511"/>
    <cellStyle name="Normal 6 2 3 2 3 2 2" xfId="11124"/>
    <cellStyle name="Normal 6 2 3 2 3 2 2 2" xfId="25446"/>
    <cellStyle name="Normal 6 2 3 2 3 2 3" xfId="24198"/>
    <cellStyle name="Normal 6 2 3 2 3 3" xfId="9152"/>
    <cellStyle name="Normal 6 2 3 2 3 3 2" xfId="24824"/>
    <cellStyle name="Normal 6 2 3 2 3 4" xfId="3392"/>
    <cellStyle name="Normal 6 2 3 2 3 5" xfId="22102"/>
    <cellStyle name="Normal 6 2 3 2 4" xfId="8230"/>
    <cellStyle name="Normal 6 2 3 2 4 2" xfId="10843"/>
    <cellStyle name="Normal 6 2 3 2 4 2 2" xfId="25165"/>
    <cellStyle name="Normal 6 2 3 2 4 3" xfId="23917"/>
    <cellStyle name="Normal 6 2 3 2 5" xfId="8796"/>
    <cellStyle name="Normal 6 2 3 2 5 2" xfId="24483"/>
    <cellStyle name="Normal 6 2 3 2 6" xfId="2943"/>
    <cellStyle name="Normal 6 2 3 2 7" xfId="22099"/>
    <cellStyle name="Normal 6 2 3 3" xfId="1105"/>
    <cellStyle name="Normal 6 2 3 3 2" xfId="1106"/>
    <cellStyle name="Normal 6 2 3 3 2 2" xfId="8567"/>
    <cellStyle name="Normal 6 2 3 3 2 2 2" xfId="11180"/>
    <cellStyle name="Normal 6 2 3 3 2 2 2 2" xfId="25502"/>
    <cellStyle name="Normal 6 2 3 3 2 2 3" xfId="24254"/>
    <cellStyle name="Normal 6 2 3 3 2 3" xfId="9208"/>
    <cellStyle name="Normal 6 2 3 3 2 3 2" xfId="24880"/>
    <cellStyle name="Normal 6 2 3 3 2 4" xfId="3448"/>
    <cellStyle name="Normal 6 2 3 3 2 5" xfId="22104"/>
    <cellStyle name="Normal 6 2 3 3 3" xfId="8286"/>
    <cellStyle name="Normal 6 2 3 3 3 2" xfId="10899"/>
    <cellStyle name="Normal 6 2 3 3 3 2 2" xfId="25221"/>
    <cellStyle name="Normal 6 2 3 3 3 3" xfId="23973"/>
    <cellStyle name="Normal 6 2 3 3 4" xfId="8852"/>
    <cellStyle name="Normal 6 2 3 3 4 2" xfId="24539"/>
    <cellStyle name="Normal 6 2 3 3 5" xfId="2999"/>
    <cellStyle name="Normal 6 2 3 3 6" xfId="22103"/>
    <cellStyle name="Normal 6 2 3 4" xfId="1107"/>
    <cellStyle name="Normal 6 2 3 4 2" xfId="1108"/>
    <cellStyle name="Normal 6 2 3 4 2 2" xfId="8621"/>
    <cellStyle name="Normal 6 2 3 4 2 2 2" xfId="11234"/>
    <cellStyle name="Normal 6 2 3 4 2 2 2 2" xfId="25556"/>
    <cellStyle name="Normal 6 2 3 4 2 2 3" xfId="24308"/>
    <cellStyle name="Normal 6 2 3 4 2 3" xfId="9263"/>
    <cellStyle name="Normal 6 2 3 4 2 3 2" xfId="24934"/>
    <cellStyle name="Normal 6 2 3 4 2 4" xfId="3511"/>
    <cellStyle name="Normal 6 2 3 4 2 5" xfId="22106"/>
    <cellStyle name="Normal 6 2 3 4 3" xfId="8340"/>
    <cellStyle name="Normal 6 2 3 4 3 2" xfId="10953"/>
    <cellStyle name="Normal 6 2 3 4 3 2 2" xfId="25275"/>
    <cellStyle name="Normal 6 2 3 4 3 3" xfId="24027"/>
    <cellStyle name="Normal 6 2 3 4 4" xfId="8906"/>
    <cellStyle name="Normal 6 2 3 4 4 2" xfId="24593"/>
    <cellStyle name="Normal 6 2 3 4 5" xfId="3063"/>
    <cellStyle name="Normal 6 2 3 4 6" xfId="22105"/>
    <cellStyle name="Normal 6 2 3 5" xfId="1109"/>
    <cellStyle name="Normal 6 2 3 5 2" xfId="8459"/>
    <cellStyle name="Normal 6 2 3 5 2 2" xfId="11072"/>
    <cellStyle name="Normal 6 2 3 5 2 2 2" xfId="25394"/>
    <cellStyle name="Normal 6 2 3 5 2 3" xfId="24146"/>
    <cellStyle name="Normal 6 2 3 5 3" xfId="9031"/>
    <cellStyle name="Normal 6 2 3 5 3 2" xfId="24712"/>
    <cellStyle name="Normal 6 2 3 5 4" xfId="3223"/>
    <cellStyle name="Normal 6 2 3 5 5" xfId="22107"/>
    <cellStyle name="Normal 6 2 3 6" xfId="1110"/>
    <cellStyle name="Normal 6 2 3 6 2" xfId="8172"/>
    <cellStyle name="Normal 6 2 3 6 2 2" xfId="10785"/>
    <cellStyle name="Normal 6 2 3 6 2 2 2" xfId="25107"/>
    <cellStyle name="Normal 6 2 3 6 2 3" xfId="23859"/>
    <cellStyle name="Normal 6 2 3 6 3" xfId="9094"/>
    <cellStyle name="Normal 6 2 3 6 3 2" xfId="24766"/>
    <cellStyle name="Normal 6 2 3 6 4" xfId="3334"/>
    <cellStyle name="Normal 6 2 3 6 5" xfId="22108"/>
    <cellStyle name="Normal 6 2 3 7" xfId="8118"/>
    <cellStyle name="Normal 6 2 3 7 2" xfId="10731"/>
    <cellStyle name="Normal 6 2 3 7 2 2" xfId="25053"/>
    <cellStyle name="Normal 6 2 3 7 3" xfId="23805"/>
    <cellStyle name="Normal 6 2 3 8" xfId="8738"/>
    <cellStyle name="Normal 6 2 3 8 2" xfId="24425"/>
    <cellStyle name="Normal 6 2 3 9" xfId="2885"/>
    <cellStyle name="Normal 6 2 4" xfId="1111"/>
    <cellStyle name="Normal 6 2 4 2" xfId="1112"/>
    <cellStyle name="Normal 6 2 4 2 2" xfId="1113"/>
    <cellStyle name="Normal 6 2 4 2 2 2" xfId="8652"/>
    <cellStyle name="Normal 6 2 4 2 2 2 2" xfId="11265"/>
    <cellStyle name="Normal 6 2 4 2 2 2 2 2" xfId="25587"/>
    <cellStyle name="Normal 6 2 4 2 2 2 3" xfId="24339"/>
    <cellStyle name="Normal 6 2 4 2 2 3" xfId="9294"/>
    <cellStyle name="Normal 6 2 4 2 2 3 2" xfId="24965"/>
    <cellStyle name="Normal 6 2 4 2 2 4" xfId="3542"/>
    <cellStyle name="Normal 6 2 4 2 2 5" xfId="22111"/>
    <cellStyle name="Normal 6 2 4 2 3" xfId="8371"/>
    <cellStyle name="Normal 6 2 4 2 3 2" xfId="10984"/>
    <cellStyle name="Normal 6 2 4 2 3 2 2" xfId="25306"/>
    <cellStyle name="Normal 6 2 4 2 3 3" xfId="24058"/>
    <cellStyle name="Normal 6 2 4 2 4" xfId="8937"/>
    <cellStyle name="Normal 6 2 4 2 4 2" xfId="24624"/>
    <cellStyle name="Normal 6 2 4 2 5" xfId="3094"/>
    <cellStyle name="Normal 6 2 4 2 6" xfId="22110"/>
    <cellStyle name="Normal 6 2 4 3" xfId="1114"/>
    <cellStyle name="Normal 6 2 4 3 2" xfId="8437"/>
    <cellStyle name="Normal 6 2 4 3 2 2" xfId="11050"/>
    <cellStyle name="Normal 6 2 4 3 2 2 2" xfId="25372"/>
    <cellStyle name="Normal 6 2 4 3 2 3" xfId="24124"/>
    <cellStyle name="Normal 6 2 4 3 3" xfId="9009"/>
    <cellStyle name="Normal 6 2 4 3 3 2" xfId="24690"/>
    <cellStyle name="Normal 6 2 4 3 4" xfId="3200"/>
    <cellStyle name="Normal 6 2 4 3 5" xfId="22112"/>
    <cellStyle name="Normal 6 2 4 4" xfId="1115"/>
    <cellStyle name="Normal 6 2 4 4 2" xfId="8203"/>
    <cellStyle name="Normal 6 2 4 4 2 2" xfId="10816"/>
    <cellStyle name="Normal 6 2 4 4 2 2 2" xfId="25138"/>
    <cellStyle name="Normal 6 2 4 4 2 3" xfId="23890"/>
    <cellStyle name="Normal 6 2 4 4 3" xfId="9125"/>
    <cellStyle name="Normal 6 2 4 4 3 2" xfId="24797"/>
    <cellStyle name="Normal 6 2 4 4 4" xfId="3365"/>
    <cellStyle name="Normal 6 2 4 4 5" xfId="22113"/>
    <cellStyle name="Normal 6 2 4 5" xfId="8096"/>
    <cellStyle name="Normal 6 2 4 5 2" xfId="10709"/>
    <cellStyle name="Normal 6 2 4 5 2 2" xfId="25031"/>
    <cellStyle name="Normal 6 2 4 5 3" xfId="23783"/>
    <cellStyle name="Normal 6 2 4 6" xfId="8769"/>
    <cellStyle name="Normal 6 2 4 6 2" xfId="24456"/>
    <cellStyle name="Normal 6 2 4 7" xfId="2916"/>
    <cellStyle name="Normal 6 2 4 8" xfId="22109"/>
    <cellStyle name="Normal 6 2 5" xfId="1116"/>
    <cellStyle name="Normal 6 2 5 2" xfId="1117"/>
    <cellStyle name="Normal 6 2 5 2 2" xfId="8540"/>
    <cellStyle name="Normal 6 2 5 2 2 2" xfId="11153"/>
    <cellStyle name="Normal 6 2 5 2 2 2 2" xfId="25475"/>
    <cellStyle name="Normal 6 2 5 2 2 3" xfId="24227"/>
    <cellStyle name="Normal 6 2 5 2 3" xfId="9181"/>
    <cellStyle name="Normal 6 2 5 2 3 2" xfId="24853"/>
    <cellStyle name="Normal 6 2 5 2 4" xfId="3421"/>
    <cellStyle name="Normal 6 2 5 2 5" xfId="22115"/>
    <cellStyle name="Normal 6 2 5 3" xfId="8259"/>
    <cellStyle name="Normal 6 2 5 3 2" xfId="10872"/>
    <cellStyle name="Normal 6 2 5 3 2 2" xfId="25194"/>
    <cellStyle name="Normal 6 2 5 3 3" xfId="23946"/>
    <cellStyle name="Normal 6 2 5 4" xfId="8825"/>
    <cellStyle name="Normal 6 2 5 4 2" xfId="24512"/>
    <cellStyle name="Normal 6 2 5 5" xfId="2972"/>
    <cellStyle name="Normal 6 2 5 6" xfId="22114"/>
    <cellStyle name="Normal 6 2 6" xfId="1118"/>
    <cellStyle name="Normal 6 2 6 2" xfId="1119"/>
    <cellStyle name="Normal 6 2 6 2 2" xfId="8590"/>
    <cellStyle name="Normal 6 2 6 2 2 2" xfId="11203"/>
    <cellStyle name="Normal 6 2 6 2 2 2 2" xfId="25525"/>
    <cellStyle name="Normal 6 2 6 2 2 3" xfId="24277"/>
    <cellStyle name="Normal 6 2 6 2 3" xfId="9232"/>
    <cellStyle name="Normal 6 2 6 2 3 2" xfId="24903"/>
    <cellStyle name="Normal 6 2 6 2 4" xfId="3479"/>
    <cellStyle name="Normal 6 2 6 2 5" xfId="22117"/>
    <cellStyle name="Normal 6 2 6 3" xfId="8309"/>
    <cellStyle name="Normal 6 2 6 3 2" xfId="10922"/>
    <cellStyle name="Normal 6 2 6 3 2 2" xfId="25244"/>
    <cellStyle name="Normal 6 2 6 3 3" xfId="23996"/>
    <cellStyle name="Normal 6 2 6 4" xfId="8875"/>
    <cellStyle name="Normal 6 2 6 4 2" xfId="24562"/>
    <cellStyle name="Normal 6 2 6 5" xfId="3032"/>
    <cellStyle name="Normal 6 2 6 6" xfId="22116"/>
    <cellStyle name="Normal 6 2 7" xfId="1120"/>
    <cellStyle name="Normal 6 2 7 2" xfId="8422"/>
    <cellStyle name="Normal 6 2 7 2 2" xfId="11035"/>
    <cellStyle name="Normal 6 2 7 2 2 2" xfId="25357"/>
    <cellStyle name="Normal 6 2 7 2 3" xfId="24109"/>
    <cellStyle name="Normal 6 2 7 3" xfId="8992"/>
    <cellStyle name="Normal 6 2 7 3 2" xfId="24675"/>
    <cellStyle name="Normal 6 2 7 4" xfId="3166"/>
    <cellStyle name="Normal 6 2 7 5" xfId="22118"/>
    <cellStyle name="Normal 6 2 8" xfId="1121"/>
    <cellStyle name="Normal 6 2 8 2" xfId="8141"/>
    <cellStyle name="Normal 6 2 8 2 2" xfId="10754"/>
    <cellStyle name="Normal 6 2 8 2 2 2" xfId="25076"/>
    <cellStyle name="Normal 6 2 8 2 3" xfId="23828"/>
    <cellStyle name="Normal 6 2 8 3" xfId="9063"/>
    <cellStyle name="Normal 6 2 8 3 2" xfId="24735"/>
    <cellStyle name="Normal 6 2 8 4" xfId="3303"/>
    <cellStyle name="Normal 6 2 8 5" xfId="22119"/>
    <cellStyle name="Normal 6 2 9" xfId="8081"/>
    <cellStyle name="Normal 6 2 9 2" xfId="10694"/>
    <cellStyle name="Normal 6 2 9 2 2" xfId="25016"/>
    <cellStyle name="Normal 6 2 9 3" xfId="23768"/>
    <cellStyle name="Normal 6 3" xfId="1122"/>
    <cellStyle name="Normal 6 3 10" xfId="2856"/>
    <cellStyle name="Normal 6 3 11" xfId="22120"/>
    <cellStyle name="Normal 6 3 2" xfId="1123"/>
    <cellStyle name="Normal 6 3 2 10" xfId="22121"/>
    <cellStyle name="Normal 6 3 2 2" xfId="1124"/>
    <cellStyle name="Normal 6 3 2 2 2" xfId="1125"/>
    <cellStyle name="Normal 6 3 2 2 2 2" xfId="1126"/>
    <cellStyle name="Normal 6 3 2 2 2 2 2" xfId="8683"/>
    <cellStyle name="Normal 6 3 2 2 2 2 2 2" xfId="11296"/>
    <cellStyle name="Normal 6 3 2 2 2 2 2 2 2" xfId="25618"/>
    <cellStyle name="Normal 6 3 2 2 2 2 2 3" xfId="24370"/>
    <cellStyle name="Normal 6 3 2 2 2 2 3" xfId="9325"/>
    <cellStyle name="Normal 6 3 2 2 2 2 3 2" xfId="24996"/>
    <cellStyle name="Normal 6 3 2 2 2 2 4" xfId="3573"/>
    <cellStyle name="Normal 6 3 2 2 2 2 5" xfId="22124"/>
    <cellStyle name="Normal 6 3 2 2 2 3" xfId="8402"/>
    <cellStyle name="Normal 6 3 2 2 2 3 2" xfId="11015"/>
    <cellStyle name="Normal 6 3 2 2 2 3 2 2" xfId="25337"/>
    <cellStyle name="Normal 6 3 2 2 2 3 3" xfId="24089"/>
    <cellStyle name="Normal 6 3 2 2 2 4" xfId="8968"/>
    <cellStyle name="Normal 6 3 2 2 2 4 2" xfId="24655"/>
    <cellStyle name="Normal 6 3 2 2 2 5" xfId="3125"/>
    <cellStyle name="Normal 6 3 2 2 2 6" xfId="22123"/>
    <cellStyle name="Normal 6 3 2 2 3" xfId="1127"/>
    <cellStyle name="Normal 6 3 2 2 3 2" xfId="8515"/>
    <cellStyle name="Normal 6 3 2 2 3 2 2" xfId="11128"/>
    <cellStyle name="Normal 6 3 2 2 3 2 2 2" xfId="25450"/>
    <cellStyle name="Normal 6 3 2 2 3 2 3" xfId="24202"/>
    <cellStyle name="Normal 6 3 2 2 3 3" xfId="9156"/>
    <cellStyle name="Normal 6 3 2 2 3 3 2" xfId="24828"/>
    <cellStyle name="Normal 6 3 2 2 3 4" xfId="3396"/>
    <cellStyle name="Normal 6 3 2 2 3 5" xfId="22125"/>
    <cellStyle name="Normal 6 3 2 2 4" xfId="8234"/>
    <cellStyle name="Normal 6 3 2 2 4 2" xfId="10847"/>
    <cellStyle name="Normal 6 3 2 2 4 2 2" xfId="25169"/>
    <cellStyle name="Normal 6 3 2 2 4 3" xfId="23921"/>
    <cellStyle name="Normal 6 3 2 2 5" xfId="8800"/>
    <cellStyle name="Normal 6 3 2 2 5 2" xfId="24487"/>
    <cellStyle name="Normal 6 3 2 2 6" xfId="2947"/>
    <cellStyle name="Normal 6 3 2 2 7" xfId="22122"/>
    <cellStyle name="Normal 6 3 2 3" xfId="1128"/>
    <cellStyle name="Normal 6 3 2 3 2" xfId="1129"/>
    <cellStyle name="Normal 6 3 2 3 2 2" xfId="8571"/>
    <cellStyle name="Normal 6 3 2 3 2 2 2" xfId="11184"/>
    <cellStyle name="Normal 6 3 2 3 2 2 2 2" xfId="25506"/>
    <cellStyle name="Normal 6 3 2 3 2 2 3" xfId="24258"/>
    <cellStyle name="Normal 6 3 2 3 2 3" xfId="9212"/>
    <cellStyle name="Normal 6 3 2 3 2 3 2" xfId="24884"/>
    <cellStyle name="Normal 6 3 2 3 2 4" xfId="3452"/>
    <cellStyle name="Normal 6 3 2 3 2 5" xfId="22127"/>
    <cellStyle name="Normal 6 3 2 3 3" xfId="8290"/>
    <cellStyle name="Normal 6 3 2 3 3 2" xfId="10903"/>
    <cellStyle name="Normal 6 3 2 3 3 2 2" xfId="25225"/>
    <cellStyle name="Normal 6 3 2 3 3 3" xfId="23977"/>
    <cellStyle name="Normal 6 3 2 3 4" xfId="8856"/>
    <cellStyle name="Normal 6 3 2 3 4 2" xfId="24543"/>
    <cellStyle name="Normal 6 3 2 3 5" xfId="3003"/>
    <cellStyle name="Normal 6 3 2 3 6" xfId="22126"/>
    <cellStyle name="Normal 6 3 2 4" xfId="1130"/>
    <cellStyle name="Normal 6 3 2 4 2" xfId="1131"/>
    <cellStyle name="Normal 6 3 2 4 2 2" xfId="8626"/>
    <cellStyle name="Normal 6 3 2 4 2 2 2" xfId="11239"/>
    <cellStyle name="Normal 6 3 2 4 2 2 2 2" xfId="25561"/>
    <cellStyle name="Normal 6 3 2 4 2 2 3" xfId="24313"/>
    <cellStyle name="Normal 6 3 2 4 2 3" xfId="9268"/>
    <cellStyle name="Normal 6 3 2 4 2 3 2" xfId="24939"/>
    <cellStyle name="Normal 6 3 2 4 2 4" xfId="3516"/>
    <cellStyle name="Normal 6 3 2 4 2 5" xfId="22129"/>
    <cellStyle name="Normal 6 3 2 4 3" xfId="8345"/>
    <cellStyle name="Normal 6 3 2 4 3 2" xfId="10958"/>
    <cellStyle name="Normal 6 3 2 4 3 2 2" xfId="25280"/>
    <cellStyle name="Normal 6 3 2 4 3 3" xfId="24032"/>
    <cellStyle name="Normal 6 3 2 4 4" xfId="8911"/>
    <cellStyle name="Normal 6 3 2 4 4 2" xfId="24598"/>
    <cellStyle name="Normal 6 3 2 4 5" xfId="3068"/>
    <cellStyle name="Normal 6 3 2 4 6" xfId="22128"/>
    <cellStyle name="Normal 6 3 2 5" xfId="1132"/>
    <cellStyle name="Normal 6 3 2 5 2" xfId="8463"/>
    <cellStyle name="Normal 6 3 2 5 2 2" xfId="11076"/>
    <cellStyle name="Normal 6 3 2 5 2 2 2" xfId="25398"/>
    <cellStyle name="Normal 6 3 2 5 2 3" xfId="24150"/>
    <cellStyle name="Normal 6 3 2 5 3" xfId="9035"/>
    <cellStyle name="Normal 6 3 2 5 3 2" xfId="24716"/>
    <cellStyle name="Normal 6 3 2 5 4" xfId="3227"/>
    <cellStyle name="Normal 6 3 2 5 5" xfId="22130"/>
    <cellStyle name="Normal 6 3 2 6" xfId="1133"/>
    <cellStyle name="Normal 6 3 2 6 2" xfId="8177"/>
    <cellStyle name="Normal 6 3 2 6 2 2" xfId="10790"/>
    <cellStyle name="Normal 6 3 2 6 2 2 2" xfId="25112"/>
    <cellStyle name="Normal 6 3 2 6 2 3" xfId="23864"/>
    <cellStyle name="Normal 6 3 2 6 3" xfId="9099"/>
    <cellStyle name="Normal 6 3 2 6 3 2" xfId="24771"/>
    <cellStyle name="Normal 6 3 2 6 4" xfId="3339"/>
    <cellStyle name="Normal 6 3 2 6 5" xfId="22131"/>
    <cellStyle name="Normal 6 3 2 7" xfId="8122"/>
    <cellStyle name="Normal 6 3 2 7 2" xfId="10735"/>
    <cellStyle name="Normal 6 3 2 7 2 2" xfId="25057"/>
    <cellStyle name="Normal 6 3 2 7 3" xfId="23809"/>
    <cellStyle name="Normal 6 3 2 8" xfId="8743"/>
    <cellStyle name="Normal 6 3 2 8 2" xfId="24430"/>
    <cellStyle name="Normal 6 3 2 9" xfId="2890"/>
    <cellStyle name="Normal 6 3 3" xfId="1134"/>
    <cellStyle name="Normal 6 3 3 2" xfId="1135"/>
    <cellStyle name="Normal 6 3 3 2 2" xfId="1136"/>
    <cellStyle name="Normal 6 3 3 2 2 2" xfId="8657"/>
    <cellStyle name="Normal 6 3 3 2 2 2 2" xfId="11270"/>
    <cellStyle name="Normal 6 3 3 2 2 2 2 2" xfId="25592"/>
    <cellStyle name="Normal 6 3 3 2 2 2 3" xfId="24344"/>
    <cellStyle name="Normal 6 3 3 2 2 3" xfId="9299"/>
    <cellStyle name="Normal 6 3 3 2 2 3 2" xfId="24970"/>
    <cellStyle name="Normal 6 3 3 2 2 4" xfId="3547"/>
    <cellStyle name="Normal 6 3 3 2 2 5" xfId="22134"/>
    <cellStyle name="Normal 6 3 3 2 3" xfId="8376"/>
    <cellStyle name="Normal 6 3 3 2 3 2" xfId="10989"/>
    <cellStyle name="Normal 6 3 3 2 3 2 2" xfId="25311"/>
    <cellStyle name="Normal 6 3 3 2 3 3" xfId="24063"/>
    <cellStyle name="Normal 6 3 3 2 4" xfId="8942"/>
    <cellStyle name="Normal 6 3 3 2 4 2" xfId="24629"/>
    <cellStyle name="Normal 6 3 3 2 5" xfId="3099"/>
    <cellStyle name="Normal 6 3 3 2 6" xfId="22133"/>
    <cellStyle name="Normal 6 3 3 3" xfId="1137"/>
    <cellStyle name="Normal 6 3 3 3 2" xfId="8490"/>
    <cellStyle name="Normal 6 3 3 3 2 2" xfId="11103"/>
    <cellStyle name="Normal 6 3 3 3 2 2 2" xfId="25425"/>
    <cellStyle name="Normal 6 3 3 3 2 3" xfId="24177"/>
    <cellStyle name="Normal 6 3 3 3 3" xfId="9130"/>
    <cellStyle name="Normal 6 3 3 3 3 2" xfId="24802"/>
    <cellStyle name="Normal 6 3 3 3 4" xfId="3370"/>
    <cellStyle name="Normal 6 3 3 3 5" xfId="22135"/>
    <cellStyle name="Normal 6 3 3 4" xfId="8208"/>
    <cellStyle name="Normal 6 3 3 4 2" xfId="10821"/>
    <cellStyle name="Normal 6 3 3 4 2 2" xfId="25143"/>
    <cellStyle name="Normal 6 3 3 4 3" xfId="23895"/>
    <cellStyle name="Normal 6 3 3 5" xfId="8774"/>
    <cellStyle name="Normal 6 3 3 5 2" xfId="24461"/>
    <cellStyle name="Normal 6 3 3 6" xfId="2921"/>
    <cellStyle name="Normal 6 3 3 7" xfId="22132"/>
    <cellStyle name="Normal 6 3 4" xfId="1138"/>
    <cellStyle name="Normal 6 3 4 2" xfId="1139"/>
    <cellStyle name="Normal 6 3 4 2 2" xfId="8545"/>
    <cellStyle name="Normal 6 3 4 2 2 2" xfId="11158"/>
    <cellStyle name="Normal 6 3 4 2 2 2 2" xfId="25480"/>
    <cellStyle name="Normal 6 3 4 2 2 3" xfId="24232"/>
    <cellStyle name="Normal 6 3 4 2 3" xfId="9186"/>
    <cellStyle name="Normal 6 3 4 2 3 2" xfId="24858"/>
    <cellStyle name="Normal 6 3 4 2 4" xfId="3426"/>
    <cellStyle name="Normal 6 3 4 2 5" xfId="22137"/>
    <cellStyle name="Normal 6 3 4 3" xfId="8264"/>
    <cellStyle name="Normal 6 3 4 3 2" xfId="10877"/>
    <cellStyle name="Normal 6 3 4 3 2 2" xfId="25199"/>
    <cellStyle name="Normal 6 3 4 3 3" xfId="23951"/>
    <cellStyle name="Normal 6 3 4 4" xfId="8830"/>
    <cellStyle name="Normal 6 3 4 4 2" xfId="24517"/>
    <cellStyle name="Normal 6 3 4 5" xfId="2977"/>
    <cellStyle name="Normal 6 3 4 6" xfId="22136"/>
    <cellStyle name="Normal 6 3 5" xfId="1140"/>
    <cellStyle name="Normal 6 3 5 2" xfId="1141"/>
    <cellStyle name="Normal 6 3 5 2 2" xfId="8595"/>
    <cellStyle name="Normal 6 3 5 2 2 2" xfId="11208"/>
    <cellStyle name="Normal 6 3 5 2 2 2 2" xfId="25530"/>
    <cellStyle name="Normal 6 3 5 2 2 3" xfId="24282"/>
    <cellStyle name="Normal 6 3 5 2 3" xfId="9237"/>
    <cellStyle name="Normal 6 3 5 2 3 2" xfId="24908"/>
    <cellStyle name="Normal 6 3 5 2 4" xfId="3484"/>
    <cellStyle name="Normal 6 3 5 2 5" xfId="22139"/>
    <cellStyle name="Normal 6 3 5 3" xfId="8314"/>
    <cellStyle name="Normal 6 3 5 3 2" xfId="10927"/>
    <cellStyle name="Normal 6 3 5 3 2 2" xfId="25249"/>
    <cellStyle name="Normal 6 3 5 3 3" xfId="24001"/>
    <cellStyle name="Normal 6 3 5 4" xfId="8880"/>
    <cellStyle name="Normal 6 3 5 4 2" xfId="24567"/>
    <cellStyle name="Normal 6 3 5 5" xfId="3037"/>
    <cellStyle name="Normal 6 3 5 6" xfId="22138"/>
    <cellStyle name="Normal 6 3 6" xfId="1142"/>
    <cellStyle name="Normal 6 3 6 2" xfId="8428"/>
    <cellStyle name="Normal 6 3 6 2 2" xfId="11041"/>
    <cellStyle name="Normal 6 3 6 2 2 2" xfId="25363"/>
    <cellStyle name="Normal 6 3 6 2 3" xfId="24115"/>
    <cellStyle name="Normal 6 3 6 3" xfId="8998"/>
    <cellStyle name="Normal 6 3 6 3 2" xfId="24681"/>
    <cellStyle name="Normal 6 3 6 4" xfId="3172"/>
    <cellStyle name="Normal 6 3 6 5" xfId="22140"/>
    <cellStyle name="Normal 6 3 7" xfId="1143"/>
    <cellStyle name="Normal 6 3 7 2" xfId="8146"/>
    <cellStyle name="Normal 6 3 7 2 2" xfId="10759"/>
    <cellStyle name="Normal 6 3 7 2 2 2" xfId="25081"/>
    <cellStyle name="Normal 6 3 7 2 3" xfId="23833"/>
    <cellStyle name="Normal 6 3 7 3" xfId="9068"/>
    <cellStyle name="Normal 6 3 7 3 2" xfId="24740"/>
    <cellStyle name="Normal 6 3 7 4" xfId="3308"/>
    <cellStyle name="Normal 6 3 7 5" xfId="22141"/>
    <cellStyle name="Normal 6 3 8" xfId="8087"/>
    <cellStyle name="Normal 6 3 8 2" xfId="10700"/>
    <cellStyle name="Normal 6 3 8 2 2" xfId="25022"/>
    <cellStyle name="Normal 6 3 8 3" xfId="23774"/>
    <cellStyle name="Normal 6 3 9" xfId="8712"/>
    <cellStyle name="Normal 6 3 9 2" xfId="24399"/>
    <cellStyle name="Normal 6 4" xfId="1144"/>
    <cellStyle name="Normal 6 4 10" xfId="2861"/>
    <cellStyle name="Normal 6 4 11" xfId="22142"/>
    <cellStyle name="Normal 6 4 2" xfId="1145"/>
    <cellStyle name="Normal 6 4 2 10" xfId="22143"/>
    <cellStyle name="Normal 6 4 2 2" xfId="1146"/>
    <cellStyle name="Normal 6 4 2 2 2" xfId="1147"/>
    <cellStyle name="Normal 6 4 2 2 2 2" xfId="1148"/>
    <cellStyle name="Normal 6 4 2 2 2 2 2" xfId="8688"/>
    <cellStyle name="Normal 6 4 2 2 2 2 2 2" xfId="11301"/>
    <cellStyle name="Normal 6 4 2 2 2 2 2 2 2" xfId="25623"/>
    <cellStyle name="Normal 6 4 2 2 2 2 2 3" xfId="24375"/>
    <cellStyle name="Normal 6 4 2 2 2 2 3" xfId="9330"/>
    <cellStyle name="Normal 6 4 2 2 2 2 3 2" xfId="25001"/>
    <cellStyle name="Normal 6 4 2 2 2 2 4" xfId="3578"/>
    <cellStyle name="Normal 6 4 2 2 2 2 5" xfId="22146"/>
    <cellStyle name="Normal 6 4 2 2 2 3" xfId="8407"/>
    <cellStyle name="Normal 6 4 2 2 2 3 2" xfId="11020"/>
    <cellStyle name="Normal 6 4 2 2 2 3 2 2" xfId="25342"/>
    <cellStyle name="Normal 6 4 2 2 2 3 3" xfId="24094"/>
    <cellStyle name="Normal 6 4 2 2 2 4" xfId="8973"/>
    <cellStyle name="Normal 6 4 2 2 2 4 2" xfId="24660"/>
    <cellStyle name="Normal 6 4 2 2 2 5" xfId="3130"/>
    <cellStyle name="Normal 6 4 2 2 2 6" xfId="22145"/>
    <cellStyle name="Normal 6 4 2 2 3" xfId="1149"/>
    <cellStyle name="Normal 6 4 2 2 3 2" xfId="8520"/>
    <cellStyle name="Normal 6 4 2 2 3 2 2" xfId="11133"/>
    <cellStyle name="Normal 6 4 2 2 3 2 2 2" xfId="25455"/>
    <cellStyle name="Normal 6 4 2 2 3 2 3" xfId="24207"/>
    <cellStyle name="Normal 6 4 2 2 3 3" xfId="9161"/>
    <cellStyle name="Normal 6 4 2 2 3 3 2" xfId="24833"/>
    <cellStyle name="Normal 6 4 2 2 3 4" xfId="3401"/>
    <cellStyle name="Normal 6 4 2 2 3 5" xfId="22147"/>
    <cellStyle name="Normal 6 4 2 2 4" xfId="8239"/>
    <cellStyle name="Normal 6 4 2 2 4 2" xfId="10852"/>
    <cellStyle name="Normal 6 4 2 2 4 2 2" xfId="25174"/>
    <cellStyle name="Normal 6 4 2 2 4 3" xfId="23926"/>
    <cellStyle name="Normal 6 4 2 2 5" xfId="8805"/>
    <cellStyle name="Normal 6 4 2 2 5 2" xfId="24492"/>
    <cellStyle name="Normal 6 4 2 2 6" xfId="2952"/>
    <cellStyle name="Normal 6 4 2 2 7" xfId="22144"/>
    <cellStyle name="Normal 6 4 2 3" xfId="1150"/>
    <cellStyle name="Normal 6 4 2 3 2" xfId="1151"/>
    <cellStyle name="Normal 6 4 2 3 2 2" xfId="8576"/>
    <cellStyle name="Normal 6 4 2 3 2 2 2" xfId="11189"/>
    <cellStyle name="Normal 6 4 2 3 2 2 2 2" xfId="25511"/>
    <cellStyle name="Normal 6 4 2 3 2 2 3" xfId="24263"/>
    <cellStyle name="Normal 6 4 2 3 2 3" xfId="9217"/>
    <cellStyle name="Normal 6 4 2 3 2 3 2" xfId="24889"/>
    <cellStyle name="Normal 6 4 2 3 2 4" xfId="3457"/>
    <cellStyle name="Normal 6 4 2 3 2 5" xfId="22149"/>
    <cellStyle name="Normal 6 4 2 3 3" xfId="8295"/>
    <cellStyle name="Normal 6 4 2 3 3 2" xfId="10908"/>
    <cellStyle name="Normal 6 4 2 3 3 2 2" xfId="25230"/>
    <cellStyle name="Normal 6 4 2 3 3 3" xfId="23982"/>
    <cellStyle name="Normal 6 4 2 3 4" xfId="8861"/>
    <cellStyle name="Normal 6 4 2 3 4 2" xfId="24548"/>
    <cellStyle name="Normal 6 4 2 3 5" xfId="3008"/>
    <cellStyle name="Normal 6 4 2 3 6" xfId="22148"/>
    <cellStyle name="Normal 6 4 2 4" xfId="1152"/>
    <cellStyle name="Normal 6 4 2 4 2" xfId="1153"/>
    <cellStyle name="Normal 6 4 2 4 2 2" xfId="8631"/>
    <cellStyle name="Normal 6 4 2 4 2 2 2" xfId="11244"/>
    <cellStyle name="Normal 6 4 2 4 2 2 2 2" xfId="25566"/>
    <cellStyle name="Normal 6 4 2 4 2 2 3" xfId="24318"/>
    <cellStyle name="Normal 6 4 2 4 2 3" xfId="9273"/>
    <cellStyle name="Normal 6 4 2 4 2 3 2" xfId="24944"/>
    <cellStyle name="Normal 6 4 2 4 2 4" xfId="3521"/>
    <cellStyle name="Normal 6 4 2 4 2 5" xfId="22151"/>
    <cellStyle name="Normal 6 4 2 4 3" xfId="8350"/>
    <cellStyle name="Normal 6 4 2 4 3 2" xfId="10963"/>
    <cellStyle name="Normal 6 4 2 4 3 2 2" xfId="25285"/>
    <cellStyle name="Normal 6 4 2 4 3 3" xfId="24037"/>
    <cellStyle name="Normal 6 4 2 4 4" xfId="8916"/>
    <cellStyle name="Normal 6 4 2 4 4 2" xfId="24603"/>
    <cellStyle name="Normal 6 4 2 4 5" xfId="3073"/>
    <cellStyle name="Normal 6 4 2 4 6" xfId="22150"/>
    <cellStyle name="Normal 6 4 2 5" xfId="1154"/>
    <cellStyle name="Normal 6 4 2 5 2" xfId="8468"/>
    <cellStyle name="Normal 6 4 2 5 2 2" xfId="11081"/>
    <cellStyle name="Normal 6 4 2 5 2 2 2" xfId="25403"/>
    <cellStyle name="Normal 6 4 2 5 2 3" xfId="24155"/>
    <cellStyle name="Normal 6 4 2 5 3" xfId="9040"/>
    <cellStyle name="Normal 6 4 2 5 3 2" xfId="24721"/>
    <cellStyle name="Normal 6 4 2 5 4" xfId="3232"/>
    <cellStyle name="Normal 6 4 2 5 5" xfId="22152"/>
    <cellStyle name="Normal 6 4 2 6" xfId="1155"/>
    <cellStyle name="Normal 6 4 2 6 2" xfId="8182"/>
    <cellStyle name="Normal 6 4 2 6 2 2" xfId="10795"/>
    <cellStyle name="Normal 6 4 2 6 2 2 2" xfId="25117"/>
    <cellStyle name="Normal 6 4 2 6 2 3" xfId="23869"/>
    <cellStyle name="Normal 6 4 2 6 3" xfId="9104"/>
    <cellStyle name="Normal 6 4 2 6 3 2" xfId="24776"/>
    <cellStyle name="Normal 6 4 2 6 4" xfId="3344"/>
    <cellStyle name="Normal 6 4 2 6 5" xfId="22153"/>
    <cellStyle name="Normal 6 4 2 7" xfId="8127"/>
    <cellStyle name="Normal 6 4 2 7 2" xfId="10740"/>
    <cellStyle name="Normal 6 4 2 7 2 2" xfId="25062"/>
    <cellStyle name="Normal 6 4 2 7 3" xfId="23814"/>
    <cellStyle name="Normal 6 4 2 8" xfId="8748"/>
    <cellStyle name="Normal 6 4 2 8 2" xfId="24435"/>
    <cellStyle name="Normal 6 4 2 9" xfId="2895"/>
    <cellStyle name="Normal 6 4 3" xfId="1156"/>
    <cellStyle name="Normal 6 4 3 2" xfId="1157"/>
    <cellStyle name="Normal 6 4 3 2 2" xfId="1158"/>
    <cellStyle name="Normal 6 4 3 2 2 2" xfId="8662"/>
    <cellStyle name="Normal 6 4 3 2 2 2 2" xfId="11275"/>
    <cellStyle name="Normal 6 4 3 2 2 2 2 2" xfId="25597"/>
    <cellStyle name="Normal 6 4 3 2 2 2 3" xfId="24349"/>
    <cellStyle name="Normal 6 4 3 2 2 3" xfId="9304"/>
    <cellStyle name="Normal 6 4 3 2 2 3 2" xfId="24975"/>
    <cellStyle name="Normal 6 4 3 2 2 4" xfId="3552"/>
    <cellStyle name="Normal 6 4 3 2 2 5" xfId="22156"/>
    <cellStyle name="Normal 6 4 3 2 3" xfId="8381"/>
    <cellStyle name="Normal 6 4 3 2 3 2" xfId="10994"/>
    <cellStyle name="Normal 6 4 3 2 3 2 2" xfId="25316"/>
    <cellStyle name="Normal 6 4 3 2 3 3" xfId="24068"/>
    <cellStyle name="Normal 6 4 3 2 4" xfId="8947"/>
    <cellStyle name="Normal 6 4 3 2 4 2" xfId="24634"/>
    <cellStyle name="Normal 6 4 3 2 5" xfId="3104"/>
    <cellStyle name="Normal 6 4 3 2 6" xfId="22155"/>
    <cellStyle name="Normal 6 4 3 3" xfId="1159"/>
    <cellStyle name="Normal 6 4 3 3 2" xfId="8494"/>
    <cellStyle name="Normal 6 4 3 3 2 2" xfId="11107"/>
    <cellStyle name="Normal 6 4 3 3 2 2 2" xfId="25429"/>
    <cellStyle name="Normal 6 4 3 3 2 3" xfId="24181"/>
    <cellStyle name="Normal 6 4 3 3 3" xfId="9135"/>
    <cellStyle name="Normal 6 4 3 3 3 2" xfId="24807"/>
    <cellStyle name="Normal 6 4 3 3 4" xfId="3375"/>
    <cellStyle name="Normal 6 4 3 3 5" xfId="22157"/>
    <cellStyle name="Normal 6 4 3 4" xfId="8213"/>
    <cellStyle name="Normal 6 4 3 4 2" xfId="10826"/>
    <cellStyle name="Normal 6 4 3 4 2 2" xfId="25148"/>
    <cellStyle name="Normal 6 4 3 4 3" xfId="23900"/>
    <cellStyle name="Normal 6 4 3 5" xfId="8779"/>
    <cellStyle name="Normal 6 4 3 5 2" xfId="24466"/>
    <cellStyle name="Normal 6 4 3 6" xfId="2926"/>
    <cellStyle name="Normal 6 4 3 7" xfId="22154"/>
    <cellStyle name="Normal 6 4 4" xfId="1160"/>
    <cellStyle name="Normal 6 4 4 2" xfId="1161"/>
    <cellStyle name="Normal 6 4 4 2 2" xfId="8550"/>
    <cellStyle name="Normal 6 4 4 2 2 2" xfId="11163"/>
    <cellStyle name="Normal 6 4 4 2 2 2 2" xfId="25485"/>
    <cellStyle name="Normal 6 4 4 2 2 3" xfId="24237"/>
    <cellStyle name="Normal 6 4 4 2 3" xfId="9191"/>
    <cellStyle name="Normal 6 4 4 2 3 2" xfId="24863"/>
    <cellStyle name="Normal 6 4 4 2 4" xfId="3431"/>
    <cellStyle name="Normal 6 4 4 2 5" xfId="22159"/>
    <cellStyle name="Normal 6 4 4 3" xfId="8269"/>
    <cellStyle name="Normal 6 4 4 3 2" xfId="10882"/>
    <cellStyle name="Normal 6 4 4 3 2 2" xfId="25204"/>
    <cellStyle name="Normal 6 4 4 3 3" xfId="23956"/>
    <cellStyle name="Normal 6 4 4 4" xfId="8835"/>
    <cellStyle name="Normal 6 4 4 4 2" xfId="24522"/>
    <cellStyle name="Normal 6 4 4 5" xfId="2982"/>
    <cellStyle name="Normal 6 4 4 6" xfId="22158"/>
    <cellStyle name="Normal 6 4 5" xfId="1162"/>
    <cellStyle name="Normal 6 4 5 2" xfId="1163"/>
    <cellStyle name="Normal 6 4 5 2 2" xfId="8600"/>
    <cellStyle name="Normal 6 4 5 2 2 2" xfId="11213"/>
    <cellStyle name="Normal 6 4 5 2 2 2 2" xfId="25535"/>
    <cellStyle name="Normal 6 4 5 2 2 3" xfId="24287"/>
    <cellStyle name="Normal 6 4 5 2 3" xfId="9242"/>
    <cellStyle name="Normal 6 4 5 2 3 2" xfId="24913"/>
    <cellStyle name="Normal 6 4 5 2 4" xfId="3489"/>
    <cellStyle name="Normal 6 4 5 2 5" xfId="22161"/>
    <cellStyle name="Normal 6 4 5 3" xfId="8319"/>
    <cellStyle name="Normal 6 4 5 3 2" xfId="10932"/>
    <cellStyle name="Normal 6 4 5 3 2 2" xfId="25254"/>
    <cellStyle name="Normal 6 4 5 3 3" xfId="24006"/>
    <cellStyle name="Normal 6 4 5 4" xfId="8885"/>
    <cellStyle name="Normal 6 4 5 4 2" xfId="24572"/>
    <cellStyle name="Normal 6 4 5 5" xfId="3042"/>
    <cellStyle name="Normal 6 4 5 6" xfId="22160"/>
    <cellStyle name="Normal 6 4 6" xfId="1164"/>
    <cellStyle name="Normal 6 4 6 2" xfId="8444"/>
    <cellStyle name="Normal 6 4 6 2 2" xfId="11057"/>
    <cellStyle name="Normal 6 4 6 2 2 2" xfId="25379"/>
    <cellStyle name="Normal 6 4 6 2 3" xfId="24131"/>
    <cellStyle name="Normal 6 4 6 3" xfId="9016"/>
    <cellStyle name="Normal 6 4 6 3 2" xfId="24697"/>
    <cellStyle name="Normal 6 4 6 4" xfId="3207"/>
    <cellStyle name="Normal 6 4 6 5" xfId="22162"/>
    <cellStyle name="Normal 6 4 7" xfId="1165"/>
    <cellStyle name="Normal 6 4 7 2" xfId="8151"/>
    <cellStyle name="Normal 6 4 7 2 2" xfId="10764"/>
    <cellStyle name="Normal 6 4 7 2 2 2" xfId="25086"/>
    <cellStyle name="Normal 6 4 7 2 3" xfId="23838"/>
    <cellStyle name="Normal 6 4 7 3" xfId="9073"/>
    <cellStyle name="Normal 6 4 7 3 2" xfId="24745"/>
    <cellStyle name="Normal 6 4 7 4" xfId="3313"/>
    <cellStyle name="Normal 6 4 7 5" xfId="22163"/>
    <cellStyle name="Normal 6 4 8" xfId="8103"/>
    <cellStyle name="Normal 6 4 8 2" xfId="10716"/>
    <cellStyle name="Normal 6 4 8 2 2" xfId="25038"/>
    <cellStyle name="Normal 6 4 8 3" xfId="23790"/>
    <cellStyle name="Normal 6 4 9" xfId="8717"/>
    <cellStyle name="Normal 6 4 9 2" xfId="24404"/>
    <cellStyle name="Normal 6 5" xfId="1166"/>
    <cellStyle name="Normal 6 5 10" xfId="22164"/>
    <cellStyle name="Normal 6 5 2" xfId="1167"/>
    <cellStyle name="Normal 6 5 2 2" xfId="1168"/>
    <cellStyle name="Normal 6 5 2 2 2" xfId="1169"/>
    <cellStyle name="Normal 6 5 2 2 2 2" xfId="8673"/>
    <cellStyle name="Normal 6 5 2 2 2 2 2" xfId="11286"/>
    <cellStyle name="Normal 6 5 2 2 2 2 2 2" xfId="25608"/>
    <cellStyle name="Normal 6 5 2 2 2 2 3" xfId="24360"/>
    <cellStyle name="Normal 6 5 2 2 2 3" xfId="9315"/>
    <cellStyle name="Normal 6 5 2 2 2 3 2" xfId="24986"/>
    <cellStyle name="Normal 6 5 2 2 2 4" xfId="3563"/>
    <cellStyle name="Normal 6 5 2 2 2 5" xfId="22167"/>
    <cellStyle name="Normal 6 5 2 2 3" xfId="8392"/>
    <cellStyle name="Normal 6 5 2 2 3 2" xfId="11005"/>
    <cellStyle name="Normal 6 5 2 2 3 2 2" xfId="25327"/>
    <cellStyle name="Normal 6 5 2 2 3 3" xfId="24079"/>
    <cellStyle name="Normal 6 5 2 2 4" xfId="8958"/>
    <cellStyle name="Normal 6 5 2 2 4 2" xfId="24645"/>
    <cellStyle name="Normal 6 5 2 2 5" xfId="3115"/>
    <cellStyle name="Normal 6 5 2 2 6" xfId="22166"/>
    <cellStyle name="Normal 6 5 2 3" xfId="1170"/>
    <cellStyle name="Normal 6 5 2 3 2" xfId="8505"/>
    <cellStyle name="Normal 6 5 2 3 2 2" xfId="11118"/>
    <cellStyle name="Normal 6 5 2 3 2 2 2" xfId="25440"/>
    <cellStyle name="Normal 6 5 2 3 2 3" xfId="24192"/>
    <cellStyle name="Normal 6 5 2 3 3" xfId="9146"/>
    <cellStyle name="Normal 6 5 2 3 3 2" xfId="24818"/>
    <cellStyle name="Normal 6 5 2 3 4" xfId="3386"/>
    <cellStyle name="Normal 6 5 2 3 5" xfId="22168"/>
    <cellStyle name="Normal 6 5 2 4" xfId="8224"/>
    <cellStyle name="Normal 6 5 2 4 2" xfId="10837"/>
    <cellStyle name="Normal 6 5 2 4 2 2" xfId="25159"/>
    <cellStyle name="Normal 6 5 2 4 3" xfId="23911"/>
    <cellStyle name="Normal 6 5 2 5" xfId="8790"/>
    <cellStyle name="Normal 6 5 2 5 2" xfId="24477"/>
    <cellStyle name="Normal 6 5 2 6" xfId="2937"/>
    <cellStyle name="Normal 6 5 2 7" xfId="22165"/>
    <cellStyle name="Normal 6 5 3" xfId="1171"/>
    <cellStyle name="Normal 6 5 3 2" xfId="1172"/>
    <cellStyle name="Normal 6 5 3 2 2" xfId="8561"/>
    <cellStyle name="Normal 6 5 3 2 2 2" xfId="11174"/>
    <cellStyle name="Normal 6 5 3 2 2 2 2" xfId="25496"/>
    <cellStyle name="Normal 6 5 3 2 2 3" xfId="24248"/>
    <cellStyle name="Normal 6 5 3 2 3" xfId="9202"/>
    <cellStyle name="Normal 6 5 3 2 3 2" xfId="24874"/>
    <cellStyle name="Normal 6 5 3 2 4" xfId="3442"/>
    <cellStyle name="Normal 6 5 3 2 5" xfId="22170"/>
    <cellStyle name="Normal 6 5 3 3" xfId="8280"/>
    <cellStyle name="Normal 6 5 3 3 2" xfId="10893"/>
    <cellStyle name="Normal 6 5 3 3 2 2" xfId="25215"/>
    <cellStyle name="Normal 6 5 3 3 3" xfId="23967"/>
    <cellStyle name="Normal 6 5 3 4" xfId="8846"/>
    <cellStyle name="Normal 6 5 3 4 2" xfId="24533"/>
    <cellStyle name="Normal 6 5 3 5" xfId="2993"/>
    <cellStyle name="Normal 6 5 3 6" xfId="22169"/>
    <cellStyle name="Normal 6 5 4" xfId="1173"/>
    <cellStyle name="Normal 6 5 4 2" xfId="1174"/>
    <cellStyle name="Normal 6 5 4 2 2" xfId="8611"/>
    <cellStyle name="Normal 6 5 4 2 2 2" xfId="11224"/>
    <cellStyle name="Normal 6 5 4 2 2 2 2" xfId="25546"/>
    <cellStyle name="Normal 6 5 4 2 2 3" xfId="24298"/>
    <cellStyle name="Normal 6 5 4 2 3" xfId="9253"/>
    <cellStyle name="Normal 6 5 4 2 3 2" xfId="24924"/>
    <cellStyle name="Normal 6 5 4 2 4" xfId="3500"/>
    <cellStyle name="Normal 6 5 4 2 5" xfId="22172"/>
    <cellStyle name="Normal 6 5 4 3" xfId="8330"/>
    <cellStyle name="Normal 6 5 4 3 2" xfId="10943"/>
    <cellStyle name="Normal 6 5 4 3 2 2" xfId="25265"/>
    <cellStyle name="Normal 6 5 4 3 3" xfId="24017"/>
    <cellStyle name="Normal 6 5 4 4" xfId="8896"/>
    <cellStyle name="Normal 6 5 4 4 2" xfId="24583"/>
    <cellStyle name="Normal 6 5 4 5" xfId="3053"/>
    <cellStyle name="Normal 6 5 4 6" xfId="22171"/>
    <cellStyle name="Normal 6 5 5" xfId="1175"/>
    <cellStyle name="Normal 6 5 5 2" xfId="8454"/>
    <cellStyle name="Normal 6 5 5 2 2" xfId="11067"/>
    <cellStyle name="Normal 6 5 5 2 2 2" xfId="25389"/>
    <cellStyle name="Normal 6 5 5 2 3" xfId="24141"/>
    <cellStyle name="Normal 6 5 5 3" xfId="9026"/>
    <cellStyle name="Normal 6 5 5 3 2" xfId="24707"/>
    <cellStyle name="Normal 6 5 5 4" xfId="3217"/>
    <cellStyle name="Normal 6 5 5 5" xfId="22173"/>
    <cellStyle name="Normal 6 5 6" xfId="1176"/>
    <cellStyle name="Normal 6 5 6 2" xfId="8162"/>
    <cellStyle name="Normal 6 5 6 2 2" xfId="10775"/>
    <cellStyle name="Normal 6 5 6 2 2 2" xfId="25097"/>
    <cellStyle name="Normal 6 5 6 2 3" xfId="23849"/>
    <cellStyle name="Normal 6 5 6 3" xfId="9084"/>
    <cellStyle name="Normal 6 5 6 3 2" xfId="24756"/>
    <cellStyle name="Normal 6 5 6 4" xfId="3324"/>
    <cellStyle name="Normal 6 5 6 5" xfId="22174"/>
    <cellStyle name="Normal 6 5 7" xfId="8113"/>
    <cellStyle name="Normal 6 5 7 2" xfId="10726"/>
    <cellStyle name="Normal 6 5 7 2 2" xfId="25048"/>
    <cellStyle name="Normal 6 5 7 3" xfId="23800"/>
    <cellStyle name="Normal 6 5 8" xfId="8728"/>
    <cellStyle name="Normal 6 5 8 2" xfId="24415"/>
    <cellStyle name="Normal 6 5 9" xfId="2873"/>
    <cellStyle name="Normal 6 6" xfId="1177"/>
    <cellStyle name="Normal 6 6 10" xfId="22175"/>
    <cellStyle name="Normal 6 6 2" xfId="1178"/>
    <cellStyle name="Normal 6 6 2 2" xfId="1179"/>
    <cellStyle name="Normal 6 6 2 2 2" xfId="1180"/>
    <cellStyle name="Normal 6 6 2 2 2 2" xfId="8648"/>
    <cellStyle name="Normal 6 6 2 2 2 2 2" xfId="11261"/>
    <cellStyle name="Normal 6 6 2 2 2 2 2 2" xfId="25583"/>
    <cellStyle name="Normal 6 6 2 2 2 2 3" xfId="24335"/>
    <cellStyle name="Normal 6 6 2 2 2 3" xfId="9290"/>
    <cellStyle name="Normal 6 6 2 2 2 3 2" xfId="24961"/>
    <cellStyle name="Normal 6 6 2 2 2 4" xfId="3538"/>
    <cellStyle name="Normal 6 6 2 2 2 5" xfId="22178"/>
    <cellStyle name="Normal 6 6 2 2 3" xfId="8367"/>
    <cellStyle name="Normal 6 6 2 2 3 2" xfId="10980"/>
    <cellStyle name="Normal 6 6 2 2 3 2 2" xfId="25302"/>
    <cellStyle name="Normal 6 6 2 2 3 3" xfId="24054"/>
    <cellStyle name="Normal 6 6 2 2 4" xfId="8933"/>
    <cellStyle name="Normal 6 6 2 2 4 2" xfId="24620"/>
    <cellStyle name="Normal 6 6 2 2 5" xfId="3090"/>
    <cellStyle name="Normal 6 6 2 2 6" xfId="22177"/>
    <cellStyle name="Normal 6 6 2 3" xfId="1181"/>
    <cellStyle name="Normal 6 6 2 3 2" xfId="8484"/>
    <cellStyle name="Normal 6 6 2 3 2 2" xfId="11097"/>
    <cellStyle name="Normal 6 6 2 3 2 2 2" xfId="25419"/>
    <cellStyle name="Normal 6 6 2 3 2 3" xfId="24171"/>
    <cellStyle name="Normal 6 6 2 3 3" xfId="9121"/>
    <cellStyle name="Normal 6 6 2 3 3 2" xfId="24793"/>
    <cellStyle name="Normal 6 6 2 3 4" xfId="3361"/>
    <cellStyle name="Normal 6 6 2 3 5" xfId="22179"/>
    <cellStyle name="Normal 6 6 2 4" xfId="8199"/>
    <cellStyle name="Normal 6 6 2 4 2" xfId="10812"/>
    <cellStyle name="Normal 6 6 2 4 2 2" xfId="25134"/>
    <cellStyle name="Normal 6 6 2 4 3" xfId="23886"/>
    <cellStyle name="Normal 6 6 2 5" xfId="8765"/>
    <cellStyle name="Normal 6 6 2 5 2" xfId="24452"/>
    <cellStyle name="Normal 6 6 2 6" xfId="2912"/>
    <cellStyle name="Normal 6 6 2 7" xfId="22176"/>
    <cellStyle name="Normal 6 6 3" xfId="1182"/>
    <cellStyle name="Normal 6 6 3 2" xfId="1183"/>
    <cellStyle name="Normal 6 6 3 2 2" xfId="8536"/>
    <cellStyle name="Normal 6 6 3 2 2 2" xfId="11149"/>
    <cellStyle name="Normal 6 6 3 2 2 2 2" xfId="25471"/>
    <cellStyle name="Normal 6 6 3 2 2 3" xfId="24223"/>
    <cellStyle name="Normal 6 6 3 2 3" xfId="9177"/>
    <cellStyle name="Normal 6 6 3 2 3 2" xfId="24849"/>
    <cellStyle name="Normal 6 6 3 2 4" xfId="3417"/>
    <cellStyle name="Normal 6 6 3 2 5" xfId="22181"/>
    <cellStyle name="Normal 6 6 3 3" xfId="8255"/>
    <cellStyle name="Normal 6 6 3 3 2" xfId="10868"/>
    <cellStyle name="Normal 6 6 3 3 2 2" xfId="25190"/>
    <cellStyle name="Normal 6 6 3 3 3" xfId="23942"/>
    <cellStyle name="Normal 6 6 3 4" xfId="8821"/>
    <cellStyle name="Normal 6 6 3 4 2" xfId="24508"/>
    <cellStyle name="Normal 6 6 3 5" xfId="2968"/>
    <cellStyle name="Normal 6 6 3 6" xfId="22180"/>
    <cellStyle name="Normal 6 6 4" xfId="1184"/>
    <cellStyle name="Normal 6 6 4 2" xfId="1185"/>
    <cellStyle name="Normal 6 6 4 2 2" xfId="8617"/>
    <cellStyle name="Normal 6 6 4 2 2 2" xfId="11230"/>
    <cellStyle name="Normal 6 6 4 2 2 2 2" xfId="25552"/>
    <cellStyle name="Normal 6 6 4 2 2 3" xfId="24304"/>
    <cellStyle name="Normal 6 6 4 2 3" xfId="9259"/>
    <cellStyle name="Normal 6 6 4 2 3 2" xfId="24930"/>
    <cellStyle name="Normal 6 6 4 2 4" xfId="3506"/>
    <cellStyle name="Normal 6 6 4 2 5" xfId="22183"/>
    <cellStyle name="Normal 6 6 4 3" xfId="8336"/>
    <cellStyle name="Normal 6 6 4 3 2" xfId="10949"/>
    <cellStyle name="Normal 6 6 4 3 2 2" xfId="25271"/>
    <cellStyle name="Normal 6 6 4 3 3" xfId="24023"/>
    <cellStyle name="Normal 6 6 4 4" xfId="8902"/>
    <cellStyle name="Normal 6 6 4 4 2" xfId="24589"/>
    <cellStyle name="Normal 6 6 4 5" xfId="3059"/>
    <cellStyle name="Normal 6 6 4 6" xfId="22182"/>
    <cellStyle name="Normal 6 6 5" xfId="1186"/>
    <cellStyle name="Normal 6 6 5 2" xfId="8434"/>
    <cellStyle name="Normal 6 6 5 2 2" xfId="11047"/>
    <cellStyle name="Normal 6 6 5 2 2 2" xfId="25369"/>
    <cellStyle name="Normal 6 6 5 2 3" xfId="24121"/>
    <cellStyle name="Normal 6 6 5 3" xfId="9004"/>
    <cellStyle name="Normal 6 6 5 3 2" xfId="24687"/>
    <cellStyle name="Normal 6 6 5 4" xfId="3179"/>
    <cellStyle name="Normal 6 6 5 5" xfId="22184"/>
    <cellStyle name="Normal 6 6 6" xfId="1187"/>
    <cellStyle name="Normal 6 6 6 2" xfId="8168"/>
    <cellStyle name="Normal 6 6 6 2 2" xfId="10781"/>
    <cellStyle name="Normal 6 6 6 2 2 2" xfId="25103"/>
    <cellStyle name="Normal 6 6 6 2 3" xfId="23855"/>
    <cellStyle name="Normal 6 6 6 3" xfId="9090"/>
    <cellStyle name="Normal 6 6 6 3 2" xfId="24762"/>
    <cellStyle name="Normal 6 6 6 4" xfId="3330"/>
    <cellStyle name="Normal 6 6 6 5" xfId="22185"/>
    <cellStyle name="Normal 6 6 7" xfId="8093"/>
    <cellStyle name="Normal 6 6 7 2" xfId="10706"/>
    <cellStyle name="Normal 6 6 7 2 2" xfId="25028"/>
    <cellStyle name="Normal 6 6 7 3" xfId="23780"/>
    <cellStyle name="Normal 6 6 8" xfId="8734"/>
    <cellStyle name="Normal 6 6 8 2" xfId="24421"/>
    <cellStyle name="Normal 6 6 9" xfId="2880"/>
    <cellStyle name="Normal 6 7" xfId="1188"/>
    <cellStyle name="Normal 6 7 2" xfId="1189"/>
    <cellStyle name="Normal 6 7 2 2" xfId="1190"/>
    <cellStyle name="Normal 6 7 2 2 2" xfId="8642"/>
    <cellStyle name="Normal 6 7 2 2 2 2" xfId="11255"/>
    <cellStyle name="Normal 6 7 2 2 2 2 2" xfId="25577"/>
    <cellStyle name="Normal 6 7 2 2 2 3" xfId="24329"/>
    <cellStyle name="Normal 6 7 2 2 3" xfId="9284"/>
    <cellStyle name="Normal 6 7 2 2 3 2" xfId="24955"/>
    <cellStyle name="Normal 6 7 2 2 4" xfId="3532"/>
    <cellStyle name="Normal 6 7 2 2 5" xfId="22188"/>
    <cellStyle name="Normal 6 7 2 3" xfId="8361"/>
    <cellStyle name="Normal 6 7 2 3 2" xfId="10974"/>
    <cellStyle name="Normal 6 7 2 3 2 2" xfId="25296"/>
    <cellStyle name="Normal 6 7 2 3 3" xfId="24048"/>
    <cellStyle name="Normal 6 7 2 4" xfId="8927"/>
    <cellStyle name="Normal 6 7 2 4 2" xfId="24614"/>
    <cellStyle name="Normal 6 7 2 5" xfId="3084"/>
    <cellStyle name="Normal 6 7 2 6" xfId="22187"/>
    <cellStyle name="Normal 6 7 3" xfId="1191"/>
    <cellStyle name="Normal 6 7 3 2" xfId="8478"/>
    <cellStyle name="Normal 6 7 3 2 2" xfId="11091"/>
    <cellStyle name="Normal 6 7 3 2 2 2" xfId="25413"/>
    <cellStyle name="Normal 6 7 3 2 3" xfId="24165"/>
    <cellStyle name="Normal 6 7 3 3" xfId="9115"/>
    <cellStyle name="Normal 6 7 3 3 2" xfId="24787"/>
    <cellStyle name="Normal 6 7 3 4" xfId="3355"/>
    <cellStyle name="Normal 6 7 3 5" xfId="22189"/>
    <cellStyle name="Normal 6 7 4" xfId="8193"/>
    <cellStyle name="Normal 6 7 4 2" xfId="10806"/>
    <cellStyle name="Normal 6 7 4 2 2" xfId="25128"/>
    <cellStyle name="Normal 6 7 4 3" xfId="23880"/>
    <cellStyle name="Normal 6 7 5" xfId="8759"/>
    <cellStyle name="Normal 6 7 5 2" xfId="24446"/>
    <cellStyle name="Normal 6 7 6" xfId="2906"/>
    <cellStyle name="Normal 6 7 7" xfId="22186"/>
    <cellStyle name="Normal 6 8" xfId="1192"/>
    <cellStyle name="Normal 6 8 2" xfId="1193"/>
    <cellStyle name="Normal 6 8 2 2" xfId="8530"/>
    <cellStyle name="Normal 6 8 2 2 2" xfId="11143"/>
    <cellStyle name="Normal 6 8 2 2 2 2" xfId="25465"/>
    <cellStyle name="Normal 6 8 2 2 3" xfId="24217"/>
    <cellStyle name="Normal 6 8 2 3" xfId="9171"/>
    <cellStyle name="Normal 6 8 2 3 2" xfId="24843"/>
    <cellStyle name="Normal 6 8 2 4" xfId="3411"/>
    <cellStyle name="Normal 6 8 2 5" xfId="22191"/>
    <cellStyle name="Normal 6 8 3" xfId="8249"/>
    <cellStyle name="Normal 6 8 3 2" xfId="10862"/>
    <cellStyle name="Normal 6 8 3 2 2" xfId="25184"/>
    <cellStyle name="Normal 6 8 3 3" xfId="23936"/>
    <cellStyle name="Normal 6 8 4" xfId="8815"/>
    <cellStyle name="Normal 6 8 4 2" xfId="24502"/>
    <cellStyle name="Normal 6 8 5" xfId="2962"/>
    <cellStyle name="Normal 6 8 6" xfId="22190"/>
    <cellStyle name="Normal 6 9" xfId="1194"/>
    <cellStyle name="Normal 6 9 2" xfId="1195"/>
    <cellStyle name="Normal 6 9 2 2" xfId="8586"/>
    <cellStyle name="Normal 6 9 2 2 2" xfId="11199"/>
    <cellStyle name="Normal 6 9 2 2 2 2" xfId="25521"/>
    <cellStyle name="Normal 6 9 2 2 3" xfId="24273"/>
    <cellStyle name="Normal 6 9 2 3" xfId="9227"/>
    <cellStyle name="Normal 6 9 2 3 2" xfId="24899"/>
    <cellStyle name="Normal 6 9 2 4" xfId="3473"/>
    <cellStyle name="Normal 6 9 2 5" xfId="22193"/>
    <cellStyle name="Normal 6 9 3" xfId="8305"/>
    <cellStyle name="Normal 6 9 3 2" xfId="10918"/>
    <cellStyle name="Normal 6 9 3 2 2" xfId="25240"/>
    <cellStyle name="Normal 6 9 3 3" xfId="23992"/>
    <cellStyle name="Normal 6 9 4" xfId="8871"/>
    <cellStyle name="Normal 6 9 4 2" xfId="24558"/>
    <cellStyle name="Normal 6 9 5" xfId="3023"/>
    <cellStyle name="Normal 6 9 6" xfId="22192"/>
    <cellStyle name="Normal 7" xfId="1196"/>
    <cellStyle name="Normal 7 10" xfId="1197"/>
    <cellStyle name="Normal 7 10 2" xfId="8142"/>
    <cellStyle name="Normal 7 10 2 2" xfId="10755"/>
    <cellStyle name="Normal 7 10 2 2 2" xfId="25077"/>
    <cellStyle name="Normal 7 10 2 3" xfId="23829"/>
    <cellStyle name="Normal 7 10 3" xfId="9064"/>
    <cellStyle name="Normal 7 10 3 2" xfId="24736"/>
    <cellStyle name="Normal 7 10 4" xfId="3304"/>
    <cellStyle name="Normal 7 10 5" xfId="22195"/>
    <cellStyle name="Normal 7 11" xfId="8077"/>
    <cellStyle name="Normal 7 11 2" xfId="10690"/>
    <cellStyle name="Normal 7 11 2 2" xfId="25012"/>
    <cellStyle name="Normal 7 11 3" xfId="23764"/>
    <cellStyle name="Normal 7 12" xfId="8708"/>
    <cellStyle name="Normal 7 12 2" xfId="24395"/>
    <cellStyle name="Normal 7 13" xfId="2852"/>
    <cellStyle name="Normal 7 14" xfId="22194"/>
    <cellStyle name="Normal 7 2" xfId="1198"/>
    <cellStyle name="Normal 7 2 10" xfId="8713"/>
    <cellStyle name="Normal 7 2 10 2" xfId="24400"/>
    <cellStyle name="Normal 7 2 11" xfId="2857"/>
    <cellStyle name="Normal 7 2 12" xfId="22196"/>
    <cellStyle name="Normal 7 2 2" xfId="1199"/>
    <cellStyle name="Normal 7 2 2 10" xfId="2868"/>
    <cellStyle name="Normal 7 2 2 11" xfId="22197"/>
    <cellStyle name="Normal 7 2 2 2" xfId="1200"/>
    <cellStyle name="Normal 7 2 2 2 10" xfId="22198"/>
    <cellStyle name="Normal 7 2 2 2 2" xfId="1201"/>
    <cellStyle name="Normal 7 2 2 2 2 2" xfId="1202"/>
    <cellStyle name="Normal 7 2 2 2 2 2 2" xfId="1203"/>
    <cellStyle name="Normal 7 2 2 2 2 2 2 2" xfId="8694"/>
    <cellStyle name="Normal 7 2 2 2 2 2 2 2 2" xfId="11307"/>
    <cellStyle name="Normal 7 2 2 2 2 2 2 2 2 2" xfId="25629"/>
    <cellStyle name="Normal 7 2 2 2 2 2 2 2 3" xfId="24381"/>
    <cellStyle name="Normal 7 2 2 2 2 2 2 3" xfId="9336"/>
    <cellStyle name="Normal 7 2 2 2 2 2 2 3 2" xfId="25007"/>
    <cellStyle name="Normal 7 2 2 2 2 2 2 4" xfId="3584"/>
    <cellStyle name="Normal 7 2 2 2 2 2 2 5" xfId="22201"/>
    <cellStyle name="Normal 7 2 2 2 2 2 3" xfId="8413"/>
    <cellStyle name="Normal 7 2 2 2 2 2 3 2" xfId="11026"/>
    <cellStyle name="Normal 7 2 2 2 2 2 3 2 2" xfId="25348"/>
    <cellStyle name="Normal 7 2 2 2 2 2 3 3" xfId="24100"/>
    <cellStyle name="Normal 7 2 2 2 2 2 4" xfId="8979"/>
    <cellStyle name="Normal 7 2 2 2 2 2 4 2" xfId="24666"/>
    <cellStyle name="Normal 7 2 2 2 2 2 5" xfId="3136"/>
    <cellStyle name="Normal 7 2 2 2 2 2 6" xfId="22200"/>
    <cellStyle name="Normal 7 2 2 2 2 3" xfId="1204"/>
    <cellStyle name="Normal 7 2 2 2 2 3 2" xfId="8526"/>
    <cellStyle name="Normal 7 2 2 2 2 3 2 2" xfId="11139"/>
    <cellStyle name="Normal 7 2 2 2 2 3 2 2 2" xfId="25461"/>
    <cellStyle name="Normal 7 2 2 2 2 3 2 3" xfId="24213"/>
    <cellStyle name="Normal 7 2 2 2 2 3 3" xfId="9167"/>
    <cellStyle name="Normal 7 2 2 2 2 3 3 2" xfId="24839"/>
    <cellStyle name="Normal 7 2 2 2 2 3 4" xfId="3407"/>
    <cellStyle name="Normal 7 2 2 2 2 3 5" xfId="22202"/>
    <cellStyle name="Normal 7 2 2 2 2 4" xfId="8245"/>
    <cellStyle name="Normal 7 2 2 2 2 4 2" xfId="10858"/>
    <cellStyle name="Normal 7 2 2 2 2 4 2 2" xfId="25180"/>
    <cellStyle name="Normal 7 2 2 2 2 4 3" xfId="23932"/>
    <cellStyle name="Normal 7 2 2 2 2 5" xfId="8811"/>
    <cellStyle name="Normal 7 2 2 2 2 5 2" xfId="24498"/>
    <cellStyle name="Normal 7 2 2 2 2 6" xfId="2958"/>
    <cellStyle name="Normal 7 2 2 2 2 7" xfId="22199"/>
    <cellStyle name="Normal 7 2 2 2 3" xfId="1205"/>
    <cellStyle name="Normal 7 2 2 2 3 2" xfId="1206"/>
    <cellStyle name="Normal 7 2 2 2 3 2 2" xfId="8582"/>
    <cellStyle name="Normal 7 2 2 2 3 2 2 2" xfId="11195"/>
    <cellStyle name="Normal 7 2 2 2 3 2 2 2 2" xfId="25517"/>
    <cellStyle name="Normal 7 2 2 2 3 2 2 3" xfId="24269"/>
    <cellStyle name="Normal 7 2 2 2 3 2 3" xfId="9223"/>
    <cellStyle name="Normal 7 2 2 2 3 2 3 2" xfId="24895"/>
    <cellStyle name="Normal 7 2 2 2 3 2 4" xfId="3463"/>
    <cellStyle name="Normal 7 2 2 2 3 2 5" xfId="22204"/>
    <cellStyle name="Normal 7 2 2 2 3 3" xfId="8301"/>
    <cellStyle name="Normal 7 2 2 2 3 3 2" xfId="10914"/>
    <cellStyle name="Normal 7 2 2 2 3 3 2 2" xfId="25236"/>
    <cellStyle name="Normal 7 2 2 2 3 3 3" xfId="23988"/>
    <cellStyle name="Normal 7 2 2 2 3 4" xfId="8867"/>
    <cellStyle name="Normal 7 2 2 2 3 4 2" xfId="24554"/>
    <cellStyle name="Normal 7 2 2 2 3 5" xfId="3014"/>
    <cellStyle name="Normal 7 2 2 2 3 6" xfId="22203"/>
    <cellStyle name="Normal 7 2 2 2 4" xfId="1207"/>
    <cellStyle name="Normal 7 2 2 2 4 2" xfId="1208"/>
    <cellStyle name="Normal 7 2 2 2 4 2 2" xfId="8637"/>
    <cellStyle name="Normal 7 2 2 2 4 2 2 2" xfId="11250"/>
    <cellStyle name="Normal 7 2 2 2 4 2 2 2 2" xfId="25572"/>
    <cellStyle name="Normal 7 2 2 2 4 2 2 3" xfId="24324"/>
    <cellStyle name="Normal 7 2 2 2 4 2 3" xfId="9279"/>
    <cellStyle name="Normal 7 2 2 2 4 2 3 2" xfId="24950"/>
    <cellStyle name="Normal 7 2 2 2 4 2 4" xfId="3527"/>
    <cellStyle name="Normal 7 2 2 2 4 2 5" xfId="22206"/>
    <cellStyle name="Normal 7 2 2 2 4 3" xfId="8356"/>
    <cellStyle name="Normal 7 2 2 2 4 3 2" xfId="10969"/>
    <cellStyle name="Normal 7 2 2 2 4 3 2 2" xfId="25291"/>
    <cellStyle name="Normal 7 2 2 2 4 3 3" xfId="24043"/>
    <cellStyle name="Normal 7 2 2 2 4 4" xfId="8922"/>
    <cellStyle name="Normal 7 2 2 2 4 4 2" xfId="24609"/>
    <cellStyle name="Normal 7 2 2 2 4 5" xfId="3079"/>
    <cellStyle name="Normal 7 2 2 2 4 6" xfId="22205"/>
    <cellStyle name="Normal 7 2 2 2 5" xfId="1209"/>
    <cellStyle name="Normal 7 2 2 2 5 2" xfId="8474"/>
    <cellStyle name="Normal 7 2 2 2 5 2 2" xfId="11087"/>
    <cellStyle name="Normal 7 2 2 2 5 2 2 2" xfId="25409"/>
    <cellStyle name="Normal 7 2 2 2 5 2 3" xfId="24161"/>
    <cellStyle name="Normal 7 2 2 2 5 3" xfId="9046"/>
    <cellStyle name="Normal 7 2 2 2 5 3 2" xfId="24727"/>
    <cellStyle name="Normal 7 2 2 2 5 4" xfId="3238"/>
    <cellStyle name="Normal 7 2 2 2 5 5" xfId="22207"/>
    <cellStyle name="Normal 7 2 2 2 6" xfId="1210"/>
    <cellStyle name="Normal 7 2 2 2 6 2" xfId="8188"/>
    <cellStyle name="Normal 7 2 2 2 6 2 2" xfId="10801"/>
    <cellStyle name="Normal 7 2 2 2 6 2 2 2" xfId="25123"/>
    <cellStyle name="Normal 7 2 2 2 6 2 3" xfId="23875"/>
    <cellStyle name="Normal 7 2 2 2 6 3" xfId="9110"/>
    <cellStyle name="Normal 7 2 2 2 6 3 2" xfId="24782"/>
    <cellStyle name="Normal 7 2 2 2 6 4" xfId="3350"/>
    <cellStyle name="Normal 7 2 2 2 6 5" xfId="22208"/>
    <cellStyle name="Normal 7 2 2 2 7" xfId="8133"/>
    <cellStyle name="Normal 7 2 2 2 7 2" xfId="10746"/>
    <cellStyle name="Normal 7 2 2 2 7 2 2" xfId="25068"/>
    <cellStyle name="Normal 7 2 2 2 7 3" xfId="23820"/>
    <cellStyle name="Normal 7 2 2 2 8" xfId="8754"/>
    <cellStyle name="Normal 7 2 2 2 8 2" xfId="24441"/>
    <cellStyle name="Normal 7 2 2 2 9" xfId="2901"/>
    <cellStyle name="Normal 7 2 2 3" xfId="1211"/>
    <cellStyle name="Normal 7 2 2 3 2" xfId="1212"/>
    <cellStyle name="Normal 7 2 2 3 2 2" xfId="1213"/>
    <cellStyle name="Normal 7 2 2 3 2 2 2" xfId="8668"/>
    <cellStyle name="Normal 7 2 2 3 2 2 2 2" xfId="11281"/>
    <cellStyle name="Normal 7 2 2 3 2 2 2 2 2" xfId="25603"/>
    <cellStyle name="Normal 7 2 2 3 2 2 2 3" xfId="24355"/>
    <cellStyle name="Normal 7 2 2 3 2 2 3" xfId="9310"/>
    <cellStyle name="Normal 7 2 2 3 2 2 3 2" xfId="24981"/>
    <cellStyle name="Normal 7 2 2 3 2 2 4" xfId="3558"/>
    <cellStyle name="Normal 7 2 2 3 2 2 5" xfId="22211"/>
    <cellStyle name="Normal 7 2 2 3 2 3" xfId="8387"/>
    <cellStyle name="Normal 7 2 2 3 2 3 2" xfId="11000"/>
    <cellStyle name="Normal 7 2 2 3 2 3 2 2" xfId="25322"/>
    <cellStyle name="Normal 7 2 2 3 2 3 3" xfId="24074"/>
    <cellStyle name="Normal 7 2 2 3 2 4" xfId="8953"/>
    <cellStyle name="Normal 7 2 2 3 2 4 2" xfId="24640"/>
    <cellStyle name="Normal 7 2 2 3 2 5" xfId="3110"/>
    <cellStyle name="Normal 7 2 2 3 2 6" xfId="22210"/>
    <cellStyle name="Normal 7 2 2 3 3" xfId="1214"/>
    <cellStyle name="Normal 7 2 2 3 3 2" xfId="8500"/>
    <cellStyle name="Normal 7 2 2 3 3 2 2" xfId="11113"/>
    <cellStyle name="Normal 7 2 2 3 3 2 2 2" xfId="25435"/>
    <cellStyle name="Normal 7 2 2 3 3 2 3" xfId="24187"/>
    <cellStyle name="Normal 7 2 2 3 3 3" xfId="9141"/>
    <cellStyle name="Normal 7 2 2 3 3 3 2" xfId="24813"/>
    <cellStyle name="Normal 7 2 2 3 3 4" xfId="3381"/>
    <cellStyle name="Normal 7 2 2 3 3 5" xfId="22212"/>
    <cellStyle name="Normal 7 2 2 3 4" xfId="8219"/>
    <cellStyle name="Normal 7 2 2 3 4 2" xfId="10832"/>
    <cellStyle name="Normal 7 2 2 3 4 2 2" xfId="25154"/>
    <cellStyle name="Normal 7 2 2 3 4 3" xfId="23906"/>
    <cellStyle name="Normal 7 2 2 3 5" xfId="8785"/>
    <cellStyle name="Normal 7 2 2 3 5 2" xfId="24472"/>
    <cellStyle name="Normal 7 2 2 3 6" xfId="2932"/>
    <cellStyle name="Normal 7 2 2 3 7" xfId="22209"/>
    <cellStyle name="Normal 7 2 2 4" xfId="1215"/>
    <cellStyle name="Normal 7 2 2 4 2" xfId="1216"/>
    <cellStyle name="Normal 7 2 2 4 2 2" xfId="8556"/>
    <cellStyle name="Normal 7 2 2 4 2 2 2" xfId="11169"/>
    <cellStyle name="Normal 7 2 2 4 2 2 2 2" xfId="25491"/>
    <cellStyle name="Normal 7 2 2 4 2 2 3" xfId="24243"/>
    <cellStyle name="Normal 7 2 2 4 2 3" xfId="9197"/>
    <cellStyle name="Normal 7 2 2 4 2 3 2" xfId="24869"/>
    <cellStyle name="Normal 7 2 2 4 2 4" xfId="3437"/>
    <cellStyle name="Normal 7 2 2 4 2 5" xfId="22214"/>
    <cellStyle name="Normal 7 2 2 4 3" xfId="8275"/>
    <cellStyle name="Normal 7 2 2 4 3 2" xfId="10888"/>
    <cellStyle name="Normal 7 2 2 4 3 2 2" xfId="25210"/>
    <cellStyle name="Normal 7 2 2 4 3 3" xfId="23962"/>
    <cellStyle name="Normal 7 2 2 4 4" xfId="8841"/>
    <cellStyle name="Normal 7 2 2 4 4 2" xfId="24528"/>
    <cellStyle name="Normal 7 2 2 4 5" xfId="2988"/>
    <cellStyle name="Normal 7 2 2 4 6" xfId="22213"/>
    <cellStyle name="Normal 7 2 2 5" xfId="1217"/>
    <cellStyle name="Normal 7 2 2 5 2" xfId="1218"/>
    <cellStyle name="Normal 7 2 2 5 2 2" xfId="8606"/>
    <cellStyle name="Normal 7 2 2 5 2 2 2" xfId="11219"/>
    <cellStyle name="Normal 7 2 2 5 2 2 2 2" xfId="25541"/>
    <cellStyle name="Normal 7 2 2 5 2 2 3" xfId="24293"/>
    <cellStyle name="Normal 7 2 2 5 2 3" xfId="9248"/>
    <cellStyle name="Normal 7 2 2 5 2 3 2" xfId="24919"/>
    <cellStyle name="Normal 7 2 2 5 2 4" xfId="3495"/>
    <cellStyle name="Normal 7 2 2 5 2 5" xfId="22216"/>
    <cellStyle name="Normal 7 2 2 5 3" xfId="8325"/>
    <cellStyle name="Normal 7 2 2 5 3 2" xfId="10938"/>
    <cellStyle name="Normal 7 2 2 5 3 2 2" xfId="25260"/>
    <cellStyle name="Normal 7 2 2 5 3 3" xfId="24012"/>
    <cellStyle name="Normal 7 2 2 5 4" xfId="8891"/>
    <cellStyle name="Normal 7 2 2 5 4 2" xfId="24578"/>
    <cellStyle name="Normal 7 2 2 5 5" xfId="3048"/>
    <cellStyle name="Normal 7 2 2 5 6" xfId="22215"/>
    <cellStyle name="Normal 7 2 2 6" xfId="1219"/>
    <cellStyle name="Normal 7 2 2 6 2" xfId="8449"/>
    <cellStyle name="Normal 7 2 2 6 2 2" xfId="11062"/>
    <cellStyle name="Normal 7 2 2 6 2 2 2" xfId="25384"/>
    <cellStyle name="Normal 7 2 2 6 2 3" xfId="24136"/>
    <cellStyle name="Normal 7 2 2 6 3" xfId="9021"/>
    <cellStyle name="Normal 7 2 2 6 3 2" xfId="24702"/>
    <cellStyle name="Normal 7 2 2 6 4" xfId="3212"/>
    <cellStyle name="Normal 7 2 2 6 5" xfId="22217"/>
    <cellStyle name="Normal 7 2 2 7" xfId="1220"/>
    <cellStyle name="Normal 7 2 2 7 2" xfId="8157"/>
    <cellStyle name="Normal 7 2 2 7 2 2" xfId="10770"/>
    <cellStyle name="Normal 7 2 2 7 2 2 2" xfId="25092"/>
    <cellStyle name="Normal 7 2 2 7 2 3" xfId="23844"/>
    <cellStyle name="Normal 7 2 2 7 3" xfId="9079"/>
    <cellStyle name="Normal 7 2 2 7 3 2" xfId="24751"/>
    <cellStyle name="Normal 7 2 2 7 4" xfId="3319"/>
    <cellStyle name="Normal 7 2 2 7 5" xfId="22218"/>
    <cellStyle name="Normal 7 2 2 8" xfId="8108"/>
    <cellStyle name="Normal 7 2 2 8 2" xfId="10721"/>
    <cellStyle name="Normal 7 2 2 8 2 2" xfId="25043"/>
    <cellStyle name="Normal 7 2 2 8 3" xfId="23795"/>
    <cellStyle name="Normal 7 2 2 9" xfId="8723"/>
    <cellStyle name="Normal 7 2 2 9 2" xfId="24410"/>
    <cellStyle name="Normal 7 2 3" xfId="1221"/>
    <cellStyle name="Normal 7 2 3 10" xfId="22219"/>
    <cellStyle name="Normal 7 2 3 2" xfId="1222"/>
    <cellStyle name="Normal 7 2 3 2 2" xfId="1223"/>
    <cellStyle name="Normal 7 2 3 2 2 2" xfId="1224"/>
    <cellStyle name="Normal 7 2 3 2 2 2 2" xfId="8684"/>
    <cellStyle name="Normal 7 2 3 2 2 2 2 2" xfId="11297"/>
    <cellStyle name="Normal 7 2 3 2 2 2 2 2 2" xfId="25619"/>
    <cellStyle name="Normal 7 2 3 2 2 2 2 3" xfId="24371"/>
    <cellStyle name="Normal 7 2 3 2 2 2 3" xfId="9326"/>
    <cellStyle name="Normal 7 2 3 2 2 2 3 2" xfId="24997"/>
    <cellStyle name="Normal 7 2 3 2 2 2 4" xfId="3574"/>
    <cellStyle name="Normal 7 2 3 2 2 2 5" xfId="22222"/>
    <cellStyle name="Normal 7 2 3 2 2 3" xfId="8403"/>
    <cellStyle name="Normal 7 2 3 2 2 3 2" xfId="11016"/>
    <cellStyle name="Normal 7 2 3 2 2 3 2 2" xfId="25338"/>
    <cellStyle name="Normal 7 2 3 2 2 3 3" xfId="24090"/>
    <cellStyle name="Normal 7 2 3 2 2 4" xfId="8969"/>
    <cellStyle name="Normal 7 2 3 2 2 4 2" xfId="24656"/>
    <cellStyle name="Normal 7 2 3 2 2 5" xfId="3126"/>
    <cellStyle name="Normal 7 2 3 2 2 6" xfId="22221"/>
    <cellStyle name="Normal 7 2 3 2 3" xfId="1225"/>
    <cellStyle name="Normal 7 2 3 2 3 2" xfId="8516"/>
    <cellStyle name="Normal 7 2 3 2 3 2 2" xfId="11129"/>
    <cellStyle name="Normal 7 2 3 2 3 2 2 2" xfId="25451"/>
    <cellStyle name="Normal 7 2 3 2 3 2 3" xfId="24203"/>
    <cellStyle name="Normal 7 2 3 2 3 3" xfId="9157"/>
    <cellStyle name="Normal 7 2 3 2 3 3 2" xfId="24829"/>
    <cellStyle name="Normal 7 2 3 2 3 4" xfId="3397"/>
    <cellStyle name="Normal 7 2 3 2 3 5" xfId="22223"/>
    <cellStyle name="Normal 7 2 3 2 4" xfId="8235"/>
    <cellStyle name="Normal 7 2 3 2 4 2" xfId="10848"/>
    <cellStyle name="Normal 7 2 3 2 4 2 2" xfId="25170"/>
    <cellStyle name="Normal 7 2 3 2 4 3" xfId="23922"/>
    <cellStyle name="Normal 7 2 3 2 5" xfId="8801"/>
    <cellStyle name="Normal 7 2 3 2 5 2" xfId="24488"/>
    <cellStyle name="Normal 7 2 3 2 6" xfId="2948"/>
    <cellStyle name="Normal 7 2 3 2 7" xfId="22220"/>
    <cellStyle name="Normal 7 2 3 3" xfId="1226"/>
    <cellStyle name="Normal 7 2 3 3 2" xfId="1227"/>
    <cellStyle name="Normal 7 2 3 3 2 2" xfId="8572"/>
    <cellStyle name="Normal 7 2 3 3 2 2 2" xfId="11185"/>
    <cellStyle name="Normal 7 2 3 3 2 2 2 2" xfId="25507"/>
    <cellStyle name="Normal 7 2 3 3 2 2 3" xfId="24259"/>
    <cellStyle name="Normal 7 2 3 3 2 3" xfId="9213"/>
    <cellStyle name="Normal 7 2 3 3 2 3 2" xfId="24885"/>
    <cellStyle name="Normal 7 2 3 3 2 4" xfId="3453"/>
    <cellStyle name="Normal 7 2 3 3 2 5" xfId="22225"/>
    <cellStyle name="Normal 7 2 3 3 3" xfId="8291"/>
    <cellStyle name="Normal 7 2 3 3 3 2" xfId="10904"/>
    <cellStyle name="Normal 7 2 3 3 3 2 2" xfId="25226"/>
    <cellStyle name="Normal 7 2 3 3 3 3" xfId="23978"/>
    <cellStyle name="Normal 7 2 3 3 4" xfId="8857"/>
    <cellStyle name="Normal 7 2 3 3 4 2" xfId="24544"/>
    <cellStyle name="Normal 7 2 3 3 5" xfId="3004"/>
    <cellStyle name="Normal 7 2 3 3 6" xfId="22224"/>
    <cellStyle name="Normal 7 2 3 4" xfId="1228"/>
    <cellStyle name="Normal 7 2 3 4 2" xfId="1229"/>
    <cellStyle name="Normal 7 2 3 4 2 2" xfId="8627"/>
    <cellStyle name="Normal 7 2 3 4 2 2 2" xfId="11240"/>
    <cellStyle name="Normal 7 2 3 4 2 2 2 2" xfId="25562"/>
    <cellStyle name="Normal 7 2 3 4 2 2 3" xfId="24314"/>
    <cellStyle name="Normal 7 2 3 4 2 3" xfId="9269"/>
    <cellStyle name="Normal 7 2 3 4 2 3 2" xfId="24940"/>
    <cellStyle name="Normal 7 2 3 4 2 4" xfId="3517"/>
    <cellStyle name="Normal 7 2 3 4 2 5" xfId="22227"/>
    <cellStyle name="Normal 7 2 3 4 3" xfId="8346"/>
    <cellStyle name="Normal 7 2 3 4 3 2" xfId="10959"/>
    <cellStyle name="Normal 7 2 3 4 3 2 2" xfId="25281"/>
    <cellStyle name="Normal 7 2 3 4 3 3" xfId="24033"/>
    <cellStyle name="Normal 7 2 3 4 4" xfId="8912"/>
    <cellStyle name="Normal 7 2 3 4 4 2" xfId="24599"/>
    <cellStyle name="Normal 7 2 3 4 5" xfId="3069"/>
    <cellStyle name="Normal 7 2 3 4 6" xfId="22226"/>
    <cellStyle name="Normal 7 2 3 5" xfId="1230"/>
    <cellStyle name="Normal 7 2 3 5 2" xfId="8464"/>
    <cellStyle name="Normal 7 2 3 5 2 2" xfId="11077"/>
    <cellStyle name="Normal 7 2 3 5 2 2 2" xfId="25399"/>
    <cellStyle name="Normal 7 2 3 5 2 3" xfId="24151"/>
    <cellStyle name="Normal 7 2 3 5 3" xfId="9036"/>
    <cellStyle name="Normal 7 2 3 5 3 2" xfId="24717"/>
    <cellStyle name="Normal 7 2 3 5 4" xfId="3228"/>
    <cellStyle name="Normal 7 2 3 5 5" xfId="22228"/>
    <cellStyle name="Normal 7 2 3 6" xfId="1231"/>
    <cellStyle name="Normal 7 2 3 6 2" xfId="8178"/>
    <cellStyle name="Normal 7 2 3 6 2 2" xfId="10791"/>
    <cellStyle name="Normal 7 2 3 6 2 2 2" xfId="25113"/>
    <cellStyle name="Normal 7 2 3 6 2 3" xfId="23865"/>
    <cellStyle name="Normal 7 2 3 6 3" xfId="9100"/>
    <cellStyle name="Normal 7 2 3 6 3 2" xfId="24772"/>
    <cellStyle name="Normal 7 2 3 6 4" xfId="3340"/>
    <cellStyle name="Normal 7 2 3 6 5" xfId="22229"/>
    <cellStyle name="Normal 7 2 3 7" xfId="8123"/>
    <cellStyle name="Normal 7 2 3 7 2" xfId="10736"/>
    <cellStyle name="Normal 7 2 3 7 2 2" xfId="25058"/>
    <cellStyle name="Normal 7 2 3 7 3" xfId="23810"/>
    <cellStyle name="Normal 7 2 3 8" xfId="8744"/>
    <cellStyle name="Normal 7 2 3 8 2" xfId="24431"/>
    <cellStyle name="Normal 7 2 3 9" xfId="2891"/>
    <cellStyle name="Normal 7 2 4" xfId="1232"/>
    <cellStyle name="Normal 7 2 4 2" xfId="1233"/>
    <cellStyle name="Normal 7 2 4 2 2" xfId="1234"/>
    <cellStyle name="Normal 7 2 4 2 2 2" xfId="8658"/>
    <cellStyle name="Normal 7 2 4 2 2 2 2" xfId="11271"/>
    <cellStyle name="Normal 7 2 4 2 2 2 2 2" xfId="25593"/>
    <cellStyle name="Normal 7 2 4 2 2 2 3" xfId="24345"/>
    <cellStyle name="Normal 7 2 4 2 2 3" xfId="9300"/>
    <cellStyle name="Normal 7 2 4 2 2 3 2" xfId="24971"/>
    <cellStyle name="Normal 7 2 4 2 2 4" xfId="3548"/>
    <cellStyle name="Normal 7 2 4 2 2 5" xfId="22232"/>
    <cellStyle name="Normal 7 2 4 2 3" xfId="8377"/>
    <cellStyle name="Normal 7 2 4 2 3 2" xfId="10990"/>
    <cellStyle name="Normal 7 2 4 2 3 2 2" xfId="25312"/>
    <cellStyle name="Normal 7 2 4 2 3 3" xfId="24064"/>
    <cellStyle name="Normal 7 2 4 2 4" xfId="8943"/>
    <cellStyle name="Normal 7 2 4 2 4 2" xfId="24630"/>
    <cellStyle name="Normal 7 2 4 2 5" xfId="3100"/>
    <cellStyle name="Normal 7 2 4 2 6" xfId="22231"/>
    <cellStyle name="Normal 7 2 4 3" xfId="1235"/>
    <cellStyle name="Normal 7 2 4 3 2" xfId="8440"/>
    <cellStyle name="Normal 7 2 4 3 2 2" xfId="11053"/>
    <cellStyle name="Normal 7 2 4 3 2 2 2" xfId="25375"/>
    <cellStyle name="Normal 7 2 4 3 2 3" xfId="24127"/>
    <cellStyle name="Normal 7 2 4 3 3" xfId="9012"/>
    <cellStyle name="Normal 7 2 4 3 3 2" xfId="24693"/>
    <cellStyle name="Normal 7 2 4 3 4" xfId="3203"/>
    <cellStyle name="Normal 7 2 4 3 5" xfId="22233"/>
    <cellStyle name="Normal 7 2 4 4" xfId="1236"/>
    <cellStyle name="Normal 7 2 4 4 2" xfId="8209"/>
    <cellStyle name="Normal 7 2 4 4 2 2" xfId="10822"/>
    <cellStyle name="Normal 7 2 4 4 2 2 2" xfId="25144"/>
    <cellStyle name="Normal 7 2 4 4 2 3" xfId="23896"/>
    <cellStyle name="Normal 7 2 4 4 3" xfId="9131"/>
    <cellStyle name="Normal 7 2 4 4 3 2" xfId="24803"/>
    <cellStyle name="Normal 7 2 4 4 4" xfId="3371"/>
    <cellStyle name="Normal 7 2 4 4 5" xfId="22234"/>
    <cellStyle name="Normal 7 2 4 5" xfId="8099"/>
    <cellStyle name="Normal 7 2 4 5 2" xfId="10712"/>
    <cellStyle name="Normal 7 2 4 5 2 2" xfId="25034"/>
    <cellStyle name="Normal 7 2 4 5 3" xfId="23786"/>
    <cellStyle name="Normal 7 2 4 6" xfId="8775"/>
    <cellStyle name="Normal 7 2 4 6 2" xfId="24462"/>
    <cellStyle name="Normal 7 2 4 7" xfId="2922"/>
    <cellStyle name="Normal 7 2 4 8" xfId="22230"/>
    <cellStyle name="Normal 7 2 5" xfId="1237"/>
    <cellStyle name="Normal 7 2 5 2" xfId="1238"/>
    <cellStyle name="Normal 7 2 5 2 2" xfId="8546"/>
    <cellStyle name="Normal 7 2 5 2 2 2" xfId="11159"/>
    <cellStyle name="Normal 7 2 5 2 2 2 2" xfId="25481"/>
    <cellStyle name="Normal 7 2 5 2 2 3" xfId="24233"/>
    <cellStyle name="Normal 7 2 5 2 3" xfId="9187"/>
    <cellStyle name="Normal 7 2 5 2 3 2" xfId="24859"/>
    <cellStyle name="Normal 7 2 5 2 4" xfId="3427"/>
    <cellStyle name="Normal 7 2 5 2 5" xfId="22236"/>
    <cellStyle name="Normal 7 2 5 3" xfId="8265"/>
    <cellStyle name="Normal 7 2 5 3 2" xfId="10878"/>
    <cellStyle name="Normal 7 2 5 3 2 2" xfId="25200"/>
    <cellStyle name="Normal 7 2 5 3 3" xfId="23952"/>
    <cellStyle name="Normal 7 2 5 4" xfId="8831"/>
    <cellStyle name="Normal 7 2 5 4 2" xfId="24518"/>
    <cellStyle name="Normal 7 2 5 5" xfId="2978"/>
    <cellStyle name="Normal 7 2 5 6" xfId="22235"/>
    <cellStyle name="Normal 7 2 6" xfId="1239"/>
    <cellStyle name="Normal 7 2 6 2" xfId="1240"/>
    <cellStyle name="Normal 7 2 6 2 2" xfId="8596"/>
    <cellStyle name="Normal 7 2 6 2 2 2" xfId="11209"/>
    <cellStyle name="Normal 7 2 6 2 2 2 2" xfId="25531"/>
    <cellStyle name="Normal 7 2 6 2 2 3" xfId="24283"/>
    <cellStyle name="Normal 7 2 6 2 3" xfId="9238"/>
    <cellStyle name="Normal 7 2 6 2 3 2" xfId="24909"/>
    <cellStyle name="Normal 7 2 6 2 4" xfId="3485"/>
    <cellStyle name="Normal 7 2 6 2 5" xfId="22238"/>
    <cellStyle name="Normal 7 2 6 3" xfId="8315"/>
    <cellStyle name="Normal 7 2 6 3 2" xfId="10928"/>
    <cellStyle name="Normal 7 2 6 3 2 2" xfId="25250"/>
    <cellStyle name="Normal 7 2 6 3 3" xfId="24002"/>
    <cellStyle name="Normal 7 2 6 4" xfId="8881"/>
    <cellStyle name="Normal 7 2 6 4 2" xfId="24568"/>
    <cellStyle name="Normal 7 2 6 5" xfId="3038"/>
    <cellStyle name="Normal 7 2 6 6" xfId="22237"/>
    <cellStyle name="Normal 7 2 7" xfId="1241"/>
    <cellStyle name="Normal 7 2 7 2" xfId="8423"/>
    <cellStyle name="Normal 7 2 7 2 2" xfId="11036"/>
    <cellStyle name="Normal 7 2 7 2 2 2" xfId="25358"/>
    <cellStyle name="Normal 7 2 7 2 3" xfId="24110"/>
    <cellStyle name="Normal 7 2 7 3" xfId="8993"/>
    <cellStyle name="Normal 7 2 7 3 2" xfId="24676"/>
    <cellStyle name="Normal 7 2 7 4" xfId="3167"/>
    <cellStyle name="Normal 7 2 7 5" xfId="22239"/>
    <cellStyle name="Normal 7 2 8" xfId="1242"/>
    <cellStyle name="Normal 7 2 8 2" xfId="8147"/>
    <cellStyle name="Normal 7 2 8 2 2" xfId="10760"/>
    <cellStyle name="Normal 7 2 8 2 2 2" xfId="25082"/>
    <cellStyle name="Normal 7 2 8 2 3" xfId="23834"/>
    <cellStyle name="Normal 7 2 8 3" xfId="9069"/>
    <cellStyle name="Normal 7 2 8 3 2" xfId="24741"/>
    <cellStyle name="Normal 7 2 8 4" xfId="3309"/>
    <cellStyle name="Normal 7 2 8 5" xfId="22240"/>
    <cellStyle name="Normal 7 2 9" xfId="8082"/>
    <cellStyle name="Normal 7 2 9 2" xfId="10695"/>
    <cellStyle name="Normal 7 2 9 2 2" xfId="25017"/>
    <cellStyle name="Normal 7 2 9 3" xfId="23769"/>
    <cellStyle name="Normal 7 3" xfId="1243"/>
    <cellStyle name="Normal 7 3 10" xfId="2862"/>
    <cellStyle name="Normal 7 3 11" xfId="22241"/>
    <cellStyle name="Normal 7 3 2" xfId="1244"/>
    <cellStyle name="Normal 7 3 2 10" xfId="22242"/>
    <cellStyle name="Normal 7 3 2 2" xfId="1245"/>
    <cellStyle name="Normal 7 3 2 2 2" xfId="1246"/>
    <cellStyle name="Normal 7 3 2 2 2 2" xfId="1247"/>
    <cellStyle name="Normal 7 3 2 2 2 2 2" xfId="8689"/>
    <cellStyle name="Normal 7 3 2 2 2 2 2 2" xfId="11302"/>
    <cellStyle name="Normal 7 3 2 2 2 2 2 2 2" xfId="25624"/>
    <cellStyle name="Normal 7 3 2 2 2 2 2 3" xfId="24376"/>
    <cellStyle name="Normal 7 3 2 2 2 2 3" xfId="9331"/>
    <cellStyle name="Normal 7 3 2 2 2 2 3 2" xfId="25002"/>
    <cellStyle name="Normal 7 3 2 2 2 2 4" xfId="3579"/>
    <cellStyle name="Normal 7 3 2 2 2 2 5" xfId="22245"/>
    <cellStyle name="Normal 7 3 2 2 2 3" xfId="8408"/>
    <cellStyle name="Normal 7 3 2 2 2 3 2" xfId="11021"/>
    <cellStyle name="Normal 7 3 2 2 2 3 2 2" xfId="25343"/>
    <cellStyle name="Normal 7 3 2 2 2 3 3" xfId="24095"/>
    <cellStyle name="Normal 7 3 2 2 2 4" xfId="8974"/>
    <cellStyle name="Normal 7 3 2 2 2 4 2" xfId="24661"/>
    <cellStyle name="Normal 7 3 2 2 2 5" xfId="3131"/>
    <cellStyle name="Normal 7 3 2 2 2 6" xfId="22244"/>
    <cellStyle name="Normal 7 3 2 2 3" xfId="1248"/>
    <cellStyle name="Normal 7 3 2 2 3 2" xfId="8521"/>
    <cellStyle name="Normal 7 3 2 2 3 2 2" xfId="11134"/>
    <cellStyle name="Normal 7 3 2 2 3 2 2 2" xfId="25456"/>
    <cellStyle name="Normal 7 3 2 2 3 2 3" xfId="24208"/>
    <cellStyle name="Normal 7 3 2 2 3 3" xfId="9162"/>
    <cellStyle name="Normal 7 3 2 2 3 3 2" xfId="24834"/>
    <cellStyle name="Normal 7 3 2 2 3 4" xfId="3402"/>
    <cellStyle name="Normal 7 3 2 2 3 5" xfId="22246"/>
    <cellStyle name="Normal 7 3 2 2 4" xfId="8240"/>
    <cellStyle name="Normal 7 3 2 2 4 2" xfId="10853"/>
    <cellStyle name="Normal 7 3 2 2 4 2 2" xfId="25175"/>
    <cellStyle name="Normal 7 3 2 2 4 3" xfId="23927"/>
    <cellStyle name="Normal 7 3 2 2 5" xfId="8806"/>
    <cellStyle name="Normal 7 3 2 2 5 2" xfId="24493"/>
    <cellStyle name="Normal 7 3 2 2 6" xfId="2953"/>
    <cellStyle name="Normal 7 3 2 2 7" xfId="22243"/>
    <cellStyle name="Normal 7 3 2 3" xfId="1249"/>
    <cellStyle name="Normal 7 3 2 3 2" xfId="1250"/>
    <cellStyle name="Normal 7 3 2 3 2 2" xfId="8577"/>
    <cellStyle name="Normal 7 3 2 3 2 2 2" xfId="11190"/>
    <cellStyle name="Normal 7 3 2 3 2 2 2 2" xfId="25512"/>
    <cellStyle name="Normal 7 3 2 3 2 2 3" xfId="24264"/>
    <cellStyle name="Normal 7 3 2 3 2 3" xfId="9218"/>
    <cellStyle name="Normal 7 3 2 3 2 3 2" xfId="24890"/>
    <cellStyle name="Normal 7 3 2 3 2 4" xfId="3458"/>
    <cellStyle name="Normal 7 3 2 3 2 5" xfId="22248"/>
    <cellStyle name="Normal 7 3 2 3 3" xfId="8296"/>
    <cellStyle name="Normal 7 3 2 3 3 2" xfId="10909"/>
    <cellStyle name="Normal 7 3 2 3 3 2 2" xfId="25231"/>
    <cellStyle name="Normal 7 3 2 3 3 3" xfId="23983"/>
    <cellStyle name="Normal 7 3 2 3 4" xfId="8862"/>
    <cellStyle name="Normal 7 3 2 3 4 2" xfId="24549"/>
    <cellStyle name="Normal 7 3 2 3 5" xfId="3009"/>
    <cellStyle name="Normal 7 3 2 3 6" xfId="22247"/>
    <cellStyle name="Normal 7 3 2 4" xfId="1251"/>
    <cellStyle name="Normal 7 3 2 4 2" xfId="1252"/>
    <cellStyle name="Normal 7 3 2 4 2 2" xfId="8632"/>
    <cellStyle name="Normal 7 3 2 4 2 2 2" xfId="11245"/>
    <cellStyle name="Normal 7 3 2 4 2 2 2 2" xfId="25567"/>
    <cellStyle name="Normal 7 3 2 4 2 2 3" xfId="24319"/>
    <cellStyle name="Normal 7 3 2 4 2 3" xfId="9274"/>
    <cellStyle name="Normal 7 3 2 4 2 3 2" xfId="24945"/>
    <cellStyle name="Normal 7 3 2 4 2 4" xfId="3522"/>
    <cellStyle name="Normal 7 3 2 4 2 5" xfId="22250"/>
    <cellStyle name="Normal 7 3 2 4 3" xfId="8351"/>
    <cellStyle name="Normal 7 3 2 4 3 2" xfId="10964"/>
    <cellStyle name="Normal 7 3 2 4 3 2 2" xfId="25286"/>
    <cellStyle name="Normal 7 3 2 4 3 3" xfId="24038"/>
    <cellStyle name="Normal 7 3 2 4 4" xfId="8917"/>
    <cellStyle name="Normal 7 3 2 4 4 2" xfId="24604"/>
    <cellStyle name="Normal 7 3 2 4 5" xfId="3074"/>
    <cellStyle name="Normal 7 3 2 4 6" xfId="22249"/>
    <cellStyle name="Normal 7 3 2 5" xfId="1253"/>
    <cellStyle name="Normal 7 3 2 5 2" xfId="8469"/>
    <cellStyle name="Normal 7 3 2 5 2 2" xfId="11082"/>
    <cellStyle name="Normal 7 3 2 5 2 2 2" xfId="25404"/>
    <cellStyle name="Normal 7 3 2 5 2 3" xfId="24156"/>
    <cellStyle name="Normal 7 3 2 5 3" xfId="9041"/>
    <cellStyle name="Normal 7 3 2 5 3 2" xfId="24722"/>
    <cellStyle name="Normal 7 3 2 5 4" xfId="3233"/>
    <cellStyle name="Normal 7 3 2 5 5" xfId="22251"/>
    <cellStyle name="Normal 7 3 2 6" xfId="1254"/>
    <cellStyle name="Normal 7 3 2 6 2" xfId="8183"/>
    <cellStyle name="Normal 7 3 2 6 2 2" xfId="10796"/>
    <cellStyle name="Normal 7 3 2 6 2 2 2" xfId="25118"/>
    <cellStyle name="Normal 7 3 2 6 2 3" xfId="23870"/>
    <cellStyle name="Normal 7 3 2 6 3" xfId="9105"/>
    <cellStyle name="Normal 7 3 2 6 3 2" xfId="24777"/>
    <cellStyle name="Normal 7 3 2 6 4" xfId="3345"/>
    <cellStyle name="Normal 7 3 2 6 5" xfId="22252"/>
    <cellStyle name="Normal 7 3 2 7" xfId="8128"/>
    <cellStyle name="Normal 7 3 2 7 2" xfId="10741"/>
    <cellStyle name="Normal 7 3 2 7 2 2" xfId="25063"/>
    <cellStyle name="Normal 7 3 2 7 3" xfId="23815"/>
    <cellStyle name="Normal 7 3 2 8" xfId="8749"/>
    <cellStyle name="Normal 7 3 2 8 2" xfId="24436"/>
    <cellStyle name="Normal 7 3 2 9" xfId="2896"/>
    <cellStyle name="Normal 7 3 3" xfId="1255"/>
    <cellStyle name="Normal 7 3 3 2" xfId="1256"/>
    <cellStyle name="Normal 7 3 3 2 2" xfId="1257"/>
    <cellStyle name="Normal 7 3 3 2 2 2" xfId="8663"/>
    <cellStyle name="Normal 7 3 3 2 2 2 2" xfId="11276"/>
    <cellStyle name="Normal 7 3 3 2 2 2 2 2" xfId="25598"/>
    <cellStyle name="Normal 7 3 3 2 2 2 3" xfId="24350"/>
    <cellStyle name="Normal 7 3 3 2 2 3" xfId="9305"/>
    <cellStyle name="Normal 7 3 3 2 2 3 2" xfId="24976"/>
    <cellStyle name="Normal 7 3 3 2 2 4" xfId="3553"/>
    <cellStyle name="Normal 7 3 3 2 2 5" xfId="22255"/>
    <cellStyle name="Normal 7 3 3 2 3" xfId="8382"/>
    <cellStyle name="Normal 7 3 3 2 3 2" xfId="10995"/>
    <cellStyle name="Normal 7 3 3 2 3 2 2" xfId="25317"/>
    <cellStyle name="Normal 7 3 3 2 3 3" xfId="24069"/>
    <cellStyle name="Normal 7 3 3 2 4" xfId="8948"/>
    <cellStyle name="Normal 7 3 3 2 4 2" xfId="24635"/>
    <cellStyle name="Normal 7 3 3 2 5" xfId="3105"/>
    <cellStyle name="Normal 7 3 3 2 6" xfId="22254"/>
    <cellStyle name="Normal 7 3 3 3" xfId="1258"/>
    <cellStyle name="Normal 7 3 3 3 2" xfId="8495"/>
    <cellStyle name="Normal 7 3 3 3 2 2" xfId="11108"/>
    <cellStyle name="Normal 7 3 3 3 2 2 2" xfId="25430"/>
    <cellStyle name="Normal 7 3 3 3 2 3" xfId="24182"/>
    <cellStyle name="Normal 7 3 3 3 3" xfId="9136"/>
    <cellStyle name="Normal 7 3 3 3 3 2" xfId="24808"/>
    <cellStyle name="Normal 7 3 3 3 4" xfId="3376"/>
    <cellStyle name="Normal 7 3 3 3 5" xfId="22256"/>
    <cellStyle name="Normal 7 3 3 4" xfId="8214"/>
    <cellStyle name="Normal 7 3 3 4 2" xfId="10827"/>
    <cellStyle name="Normal 7 3 3 4 2 2" xfId="25149"/>
    <cellStyle name="Normal 7 3 3 4 3" xfId="23901"/>
    <cellStyle name="Normal 7 3 3 5" xfId="8780"/>
    <cellStyle name="Normal 7 3 3 5 2" xfId="24467"/>
    <cellStyle name="Normal 7 3 3 6" xfId="2927"/>
    <cellStyle name="Normal 7 3 3 7" xfId="22253"/>
    <cellStyle name="Normal 7 3 4" xfId="1259"/>
    <cellStyle name="Normal 7 3 4 2" xfId="1260"/>
    <cellStyle name="Normal 7 3 4 2 2" xfId="8551"/>
    <cellStyle name="Normal 7 3 4 2 2 2" xfId="11164"/>
    <cellStyle name="Normal 7 3 4 2 2 2 2" xfId="25486"/>
    <cellStyle name="Normal 7 3 4 2 2 3" xfId="24238"/>
    <cellStyle name="Normal 7 3 4 2 3" xfId="9192"/>
    <cellStyle name="Normal 7 3 4 2 3 2" xfId="24864"/>
    <cellStyle name="Normal 7 3 4 2 4" xfId="3432"/>
    <cellStyle name="Normal 7 3 4 2 5" xfId="22258"/>
    <cellStyle name="Normal 7 3 4 3" xfId="8270"/>
    <cellStyle name="Normal 7 3 4 3 2" xfId="10883"/>
    <cellStyle name="Normal 7 3 4 3 2 2" xfId="25205"/>
    <cellStyle name="Normal 7 3 4 3 3" xfId="23957"/>
    <cellStyle name="Normal 7 3 4 4" xfId="8836"/>
    <cellStyle name="Normal 7 3 4 4 2" xfId="24523"/>
    <cellStyle name="Normal 7 3 4 5" xfId="2983"/>
    <cellStyle name="Normal 7 3 4 6" xfId="22257"/>
    <cellStyle name="Normal 7 3 5" xfId="1261"/>
    <cellStyle name="Normal 7 3 5 2" xfId="1262"/>
    <cellStyle name="Normal 7 3 5 2 2" xfId="8601"/>
    <cellStyle name="Normal 7 3 5 2 2 2" xfId="11214"/>
    <cellStyle name="Normal 7 3 5 2 2 2 2" xfId="25536"/>
    <cellStyle name="Normal 7 3 5 2 2 3" xfId="24288"/>
    <cellStyle name="Normal 7 3 5 2 3" xfId="9243"/>
    <cellStyle name="Normal 7 3 5 2 3 2" xfId="24914"/>
    <cellStyle name="Normal 7 3 5 2 4" xfId="3490"/>
    <cellStyle name="Normal 7 3 5 2 5" xfId="22260"/>
    <cellStyle name="Normal 7 3 5 3" xfId="8320"/>
    <cellStyle name="Normal 7 3 5 3 2" xfId="10933"/>
    <cellStyle name="Normal 7 3 5 3 2 2" xfId="25255"/>
    <cellStyle name="Normal 7 3 5 3 3" xfId="24007"/>
    <cellStyle name="Normal 7 3 5 4" xfId="8886"/>
    <cellStyle name="Normal 7 3 5 4 2" xfId="24573"/>
    <cellStyle name="Normal 7 3 5 5" xfId="3043"/>
    <cellStyle name="Normal 7 3 5 6" xfId="22259"/>
    <cellStyle name="Normal 7 3 6" xfId="1263"/>
    <cellStyle name="Normal 7 3 6 2" xfId="8429"/>
    <cellStyle name="Normal 7 3 6 2 2" xfId="11042"/>
    <cellStyle name="Normal 7 3 6 2 2 2" xfId="25364"/>
    <cellStyle name="Normal 7 3 6 2 3" xfId="24116"/>
    <cellStyle name="Normal 7 3 6 3" xfId="8999"/>
    <cellStyle name="Normal 7 3 6 3 2" xfId="24682"/>
    <cellStyle name="Normal 7 3 6 4" xfId="3173"/>
    <cellStyle name="Normal 7 3 6 5" xfId="22261"/>
    <cellStyle name="Normal 7 3 7" xfId="1264"/>
    <cellStyle name="Normal 7 3 7 2" xfId="8152"/>
    <cellStyle name="Normal 7 3 7 2 2" xfId="10765"/>
    <cellStyle name="Normal 7 3 7 2 2 2" xfId="25087"/>
    <cellStyle name="Normal 7 3 7 2 3" xfId="23839"/>
    <cellStyle name="Normal 7 3 7 3" xfId="9074"/>
    <cellStyle name="Normal 7 3 7 3 2" xfId="24746"/>
    <cellStyle name="Normal 7 3 7 4" xfId="3314"/>
    <cellStyle name="Normal 7 3 7 5" xfId="22262"/>
    <cellStyle name="Normal 7 3 8" xfId="8088"/>
    <cellStyle name="Normal 7 3 8 2" xfId="10701"/>
    <cellStyle name="Normal 7 3 8 2 2" xfId="25023"/>
    <cellStyle name="Normal 7 3 8 3" xfId="23775"/>
    <cellStyle name="Normal 7 3 9" xfId="8718"/>
    <cellStyle name="Normal 7 3 9 2" xfId="24405"/>
    <cellStyle name="Normal 7 4" xfId="1265"/>
    <cellStyle name="Normal 7 4 10" xfId="22263"/>
    <cellStyle name="Normal 7 4 2" xfId="1266"/>
    <cellStyle name="Normal 7 4 2 2" xfId="1267"/>
    <cellStyle name="Normal 7 4 2 2 2" xfId="1268"/>
    <cellStyle name="Normal 7 4 2 2 2 2" xfId="8674"/>
    <cellStyle name="Normal 7 4 2 2 2 2 2" xfId="11287"/>
    <cellStyle name="Normal 7 4 2 2 2 2 2 2" xfId="25609"/>
    <cellStyle name="Normal 7 4 2 2 2 2 3" xfId="24361"/>
    <cellStyle name="Normal 7 4 2 2 2 3" xfId="9316"/>
    <cellStyle name="Normal 7 4 2 2 2 3 2" xfId="24987"/>
    <cellStyle name="Normal 7 4 2 2 2 4" xfId="3564"/>
    <cellStyle name="Normal 7 4 2 2 2 5" xfId="22266"/>
    <cellStyle name="Normal 7 4 2 2 3" xfId="8393"/>
    <cellStyle name="Normal 7 4 2 2 3 2" xfId="11006"/>
    <cellStyle name="Normal 7 4 2 2 3 2 2" xfId="25328"/>
    <cellStyle name="Normal 7 4 2 2 3 3" xfId="24080"/>
    <cellStyle name="Normal 7 4 2 2 4" xfId="8959"/>
    <cellStyle name="Normal 7 4 2 2 4 2" xfId="24646"/>
    <cellStyle name="Normal 7 4 2 2 5" xfId="3116"/>
    <cellStyle name="Normal 7 4 2 2 6" xfId="22265"/>
    <cellStyle name="Normal 7 4 2 3" xfId="1269"/>
    <cellStyle name="Normal 7 4 2 3 2" xfId="8506"/>
    <cellStyle name="Normal 7 4 2 3 2 2" xfId="11119"/>
    <cellStyle name="Normal 7 4 2 3 2 2 2" xfId="25441"/>
    <cellStyle name="Normal 7 4 2 3 2 3" xfId="24193"/>
    <cellStyle name="Normal 7 4 2 3 3" xfId="9147"/>
    <cellStyle name="Normal 7 4 2 3 3 2" xfId="24819"/>
    <cellStyle name="Normal 7 4 2 3 4" xfId="3387"/>
    <cellStyle name="Normal 7 4 2 3 5" xfId="22267"/>
    <cellStyle name="Normal 7 4 2 4" xfId="8225"/>
    <cellStyle name="Normal 7 4 2 4 2" xfId="10838"/>
    <cellStyle name="Normal 7 4 2 4 2 2" xfId="25160"/>
    <cellStyle name="Normal 7 4 2 4 3" xfId="23912"/>
    <cellStyle name="Normal 7 4 2 5" xfId="8791"/>
    <cellStyle name="Normal 7 4 2 5 2" xfId="24478"/>
    <cellStyle name="Normal 7 4 2 6" xfId="2938"/>
    <cellStyle name="Normal 7 4 2 7" xfId="22264"/>
    <cellStyle name="Normal 7 4 3" xfId="1270"/>
    <cellStyle name="Normal 7 4 3 2" xfId="1271"/>
    <cellStyle name="Normal 7 4 3 2 2" xfId="8562"/>
    <cellStyle name="Normal 7 4 3 2 2 2" xfId="11175"/>
    <cellStyle name="Normal 7 4 3 2 2 2 2" xfId="25497"/>
    <cellStyle name="Normal 7 4 3 2 2 3" xfId="24249"/>
    <cellStyle name="Normal 7 4 3 2 3" xfId="9203"/>
    <cellStyle name="Normal 7 4 3 2 3 2" xfId="24875"/>
    <cellStyle name="Normal 7 4 3 2 4" xfId="3443"/>
    <cellStyle name="Normal 7 4 3 2 5" xfId="22269"/>
    <cellStyle name="Normal 7 4 3 3" xfId="8281"/>
    <cellStyle name="Normal 7 4 3 3 2" xfId="10894"/>
    <cellStyle name="Normal 7 4 3 3 2 2" xfId="25216"/>
    <cellStyle name="Normal 7 4 3 3 3" xfId="23968"/>
    <cellStyle name="Normal 7 4 3 4" xfId="8847"/>
    <cellStyle name="Normal 7 4 3 4 2" xfId="24534"/>
    <cellStyle name="Normal 7 4 3 5" xfId="2994"/>
    <cellStyle name="Normal 7 4 3 6" xfId="22268"/>
    <cellStyle name="Normal 7 4 4" xfId="1272"/>
    <cellStyle name="Normal 7 4 4 2" xfId="1273"/>
    <cellStyle name="Normal 7 4 4 2 2" xfId="8612"/>
    <cellStyle name="Normal 7 4 4 2 2 2" xfId="11225"/>
    <cellStyle name="Normal 7 4 4 2 2 2 2" xfId="25547"/>
    <cellStyle name="Normal 7 4 4 2 2 3" xfId="24299"/>
    <cellStyle name="Normal 7 4 4 2 3" xfId="9254"/>
    <cellStyle name="Normal 7 4 4 2 3 2" xfId="24925"/>
    <cellStyle name="Normal 7 4 4 2 4" xfId="3501"/>
    <cellStyle name="Normal 7 4 4 2 5" xfId="22271"/>
    <cellStyle name="Normal 7 4 4 3" xfId="8331"/>
    <cellStyle name="Normal 7 4 4 3 2" xfId="10944"/>
    <cellStyle name="Normal 7 4 4 3 2 2" xfId="25266"/>
    <cellStyle name="Normal 7 4 4 3 3" xfId="24018"/>
    <cellStyle name="Normal 7 4 4 4" xfId="8897"/>
    <cellStyle name="Normal 7 4 4 4 2" xfId="24584"/>
    <cellStyle name="Normal 7 4 4 5" xfId="3054"/>
    <cellStyle name="Normal 7 4 4 6" xfId="22270"/>
    <cellStyle name="Normal 7 4 5" xfId="1274"/>
    <cellStyle name="Normal 7 4 5 2" xfId="8455"/>
    <cellStyle name="Normal 7 4 5 2 2" xfId="11068"/>
    <cellStyle name="Normal 7 4 5 2 2 2" xfId="25390"/>
    <cellStyle name="Normal 7 4 5 2 3" xfId="24142"/>
    <cellStyle name="Normal 7 4 5 3" xfId="9027"/>
    <cellStyle name="Normal 7 4 5 3 2" xfId="24708"/>
    <cellStyle name="Normal 7 4 5 4" xfId="3218"/>
    <cellStyle name="Normal 7 4 5 5" xfId="22272"/>
    <cellStyle name="Normal 7 4 6" xfId="1275"/>
    <cellStyle name="Normal 7 4 6 2" xfId="8163"/>
    <cellStyle name="Normal 7 4 6 2 2" xfId="10776"/>
    <cellStyle name="Normal 7 4 6 2 2 2" xfId="25098"/>
    <cellStyle name="Normal 7 4 6 2 3" xfId="23850"/>
    <cellStyle name="Normal 7 4 6 3" xfId="9085"/>
    <cellStyle name="Normal 7 4 6 3 2" xfId="24757"/>
    <cellStyle name="Normal 7 4 6 4" xfId="3325"/>
    <cellStyle name="Normal 7 4 6 5" xfId="22273"/>
    <cellStyle name="Normal 7 4 7" xfId="8114"/>
    <cellStyle name="Normal 7 4 7 2" xfId="10727"/>
    <cellStyle name="Normal 7 4 7 2 2" xfId="25049"/>
    <cellStyle name="Normal 7 4 7 3" xfId="23801"/>
    <cellStyle name="Normal 7 4 8" xfId="8729"/>
    <cellStyle name="Normal 7 4 8 2" xfId="24416"/>
    <cellStyle name="Normal 7 4 9" xfId="2874"/>
    <cellStyle name="Normal 7 5" xfId="1276"/>
    <cellStyle name="Normal 7 5 10" xfId="22274"/>
    <cellStyle name="Normal 7 5 2" xfId="1277"/>
    <cellStyle name="Normal 7 5 2 2" xfId="1278"/>
    <cellStyle name="Normal 7 5 2 2 2" xfId="1279"/>
    <cellStyle name="Normal 7 5 2 2 2 2" xfId="8653"/>
    <cellStyle name="Normal 7 5 2 2 2 2 2" xfId="11266"/>
    <cellStyle name="Normal 7 5 2 2 2 2 2 2" xfId="25588"/>
    <cellStyle name="Normal 7 5 2 2 2 2 3" xfId="24340"/>
    <cellStyle name="Normal 7 5 2 2 2 3" xfId="9295"/>
    <cellStyle name="Normal 7 5 2 2 2 3 2" xfId="24966"/>
    <cellStyle name="Normal 7 5 2 2 2 4" xfId="3543"/>
    <cellStyle name="Normal 7 5 2 2 2 5" xfId="22277"/>
    <cellStyle name="Normal 7 5 2 2 3" xfId="8372"/>
    <cellStyle name="Normal 7 5 2 2 3 2" xfId="10985"/>
    <cellStyle name="Normal 7 5 2 2 3 2 2" xfId="25307"/>
    <cellStyle name="Normal 7 5 2 2 3 3" xfId="24059"/>
    <cellStyle name="Normal 7 5 2 2 4" xfId="8938"/>
    <cellStyle name="Normal 7 5 2 2 4 2" xfId="24625"/>
    <cellStyle name="Normal 7 5 2 2 5" xfId="3095"/>
    <cellStyle name="Normal 7 5 2 2 6" xfId="22276"/>
    <cellStyle name="Normal 7 5 2 3" xfId="1280"/>
    <cellStyle name="Normal 7 5 2 3 2" xfId="8486"/>
    <cellStyle name="Normal 7 5 2 3 2 2" xfId="11099"/>
    <cellStyle name="Normal 7 5 2 3 2 2 2" xfId="25421"/>
    <cellStyle name="Normal 7 5 2 3 2 3" xfId="24173"/>
    <cellStyle name="Normal 7 5 2 3 3" xfId="9126"/>
    <cellStyle name="Normal 7 5 2 3 3 2" xfId="24798"/>
    <cellStyle name="Normal 7 5 2 3 4" xfId="3366"/>
    <cellStyle name="Normal 7 5 2 3 5" xfId="22278"/>
    <cellStyle name="Normal 7 5 2 4" xfId="8204"/>
    <cellStyle name="Normal 7 5 2 4 2" xfId="10817"/>
    <cellStyle name="Normal 7 5 2 4 2 2" xfId="25139"/>
    <cellStyle name="Normal 7 5 2 4 3" xfId="23891"/>
    <cellStyle name="Normal 7 5 2 5" xfId="8770"/>
    <cellStyle name="Normal 7 5 2 5 2" xfId="24457"/>
    <cellStyle name="Normal 7 5 2 6" xfId="2917"/>
    <cellStyle name="Normal 7 5 2 7" xfId="22275"/>
    <cellStyle name="Normal 7 5 3" xfId="1281"/>
    <cellStyle name="Normal 7 5 3 2" xfId="1282"/>
    <cellStyle name="Normal 7 5 3 2 2" xfId="8541"/>
    <cellStyle name="Normal 7 5 3 2 2 2" xfId="11154"/>
    <cellStyle name="Normal 7 5 3 2 2 2 2" xfId="25476"/>
    <cellStyle name="Normal 7 5 3 2 2 3" xfId="24228"/>
    <cellStyle name="Normal 7 5 3 2 3" xfId="9182"/>
    <cellStyle name="Normal 7 5 3 2 3 2" xfId="24854"/>
    <cellStyle name="Normal 7 5 3 2 4" xfId="3422"/>
    <cellStyle name="Normal 7 5 3 2 5" xfId="22280"/>
    <cellStyle name="Normal 7 5 3 3" xfId="8260"/>
    <cellStyle name="Normal 7 5 3 3 2" xfId="10873"/>
    <cellStyle name="Normal 7 5 3 3 2 2" xfId="25195"/>
    <cellStyle name="Normal 7 5 3 3 3" xfId="23947"/>
    <cellStyle name="Normal 7 5 3 4" xfId="8826"/>
    <cellStyle name="Normal 7 5 3 4 2" xfId="24513"/>
    <cellStyle name="Normal 7 5 3 5" xfId="2973"/>
    <cellStyle name="Normal 7 5 3 6" xfId="22279"/>
    <cellStyle name="Normal 7 5 4" xfId="1283"/>
    <cellStyle name="Normal 7 5 4 2" xfId="1284"/>
    <cellStyle name="Normal 7 5 4 2 2" xfId="8622"/>
    <cellStyle name="Normal 7 5 4 2 2 2" xfId="11235"/>
    <cellStyle name="Normal 7 5 4 2 2 2 2" xfId="25557"/>
    <cellStyle name="Normal 7 5 4 2 2 3" xfId="24309"/>
    <cellStyle name="Normal 7 5 4 2 3" xfId="9264"/>
    <cellStyle name="Normal 7 5 4 2 3 2" xfId="24935"/>
    <cellStyle name="Normal 7 5 4 2 4" xfId="3512"/>
    <cellStyle name="Normal 7 5 4 2 5" xfId="22282"/>
    <cellStyle name="Normal 7 5 4 3" xfId="8341"/>
    <cellStyle name="Normal 7 5 4 3 2" xfId="10954"/>
    <cellStyle name="Normal 7 5 4 3 2 2" xfId="25276"/>
    <cellStyle name="Normal 7 5 4 3 3" xfId="24028"/>
    <cellStyle name="Normal 7 5 4 4" xfId="8907"/>
    <cellStyle name="Normal 7 5 4 4 2" xfId="24594"/>
    <cellStyle name="Normal 7 5 4 5" xfId="3064"/>
    <cellStyle name="Normal 7 5 4 6" xfId="22281"/>
    <cellStyle name="Normal 7 5 5" xfId="1285"/>
    <cellStyle name="Normal 7 5 5 2" xfId="8438"/>
    <cellStyle name="Normal 7 5 5 2 2" xfId="11051"/>
    <cellStyle name="Normal 7 5 5 2 2 2" xfId="25373"/>
    <cellStyle name="Normal 7 5 5 2 3" xfId="24125"/>
    <cellStyle name="Normal 7 5 5 3" xfId="9010"/>
    <cellStyle name="Normal 7 5 5 3 2" xfId="24691"/>
    <cellStyle name="Normal 7 5 5 4" xfId="3201"/>
    <cellStyle name="Normal 7 5 5 5" xfId="22283"/>
    <cellStyle name="Normal 7 5 6" xfId="1286"/>
    <cellStyle name="Normal 7 5 6 2" xfId="8173"/>
    <cellStyle name="Normal 7 5 6 2 2" xfId="10786"/>
    <cellStyle name="Normal 7 5 6 2 2 2" xfId="25108"/>
    <cellStyle name="Normal 7 5 6 2 3" xfId="23860"/>
    <cellStyle name="Normal 7 5 6 3" xfId="9095"/>
    <cellStyle name="Normal 7 5 6 3 2" xfId="24767"/>
    <cellStyle name="Normal 7 5 6 4" xfId="3335"/>
    <cellStyle name="Normal 7 5 6 5" xfId="22284"/>
    <cellStyle name="Normal 7 5 7" xfId="8097"/>
    <cellStyle name="Normal 7 5 7 2" xfId="10710"/>
    <cellStyle name="Normal 7 5 7 2 2" xfId="25032"/>
    <cellStyle name="Normal 7 5 7 3" xfId="23784"/>
    <cellStyle name="Normal 7 5 8" xfId="8739"/>
    <cellStyle name="Normal 7 5 8 2" xfId="24426"/>
    <cellStyle name="Normal 7 5 9" xfId="2886"/>
    <cellStyle name="Normal 7 6" xfId="1287"/>
    <cellStyle name="Normal 7 6 2" xfId="1288"/>
    <cellStyle name="Normal 7 6 2 2" xfId="1289"/>
    <cellStyle name="Normal 7 6 2 2 2" xfId="8643"/>
    <cellStyle name="Normal 7 6 2 2 2 2" xfId="11256"/>
    <cellStyle name="Normal 7 6 2 2 2 2 2" xfId="25578"/>
    <cellStyle name="Normal 7 6 2 2 2 3" xfId="24330"/>
    <cellStyle name="Normal 7 6 2 2 3" xfId="9285"/>
    <cellStyle name="Normal 7 6 2 2 3 2" xfId="24956"/>
    <cellStyle name="Normal 7 6 2 2 4" xfId="3533"/>
    <cellStyle name="Normal 7 6 2 2 5" xfId="22287"/>
    <cellStyle name="Normal 7 6 2 3" xfId="8362"/>
    <cellStyle name="Normal 7 6 2 3 2" xfId="10975"/>
    <cellStyle name="Normal 7 6 2 3 2 2" xfId="25297"/>
    <cellStyle name="Normal 7 6 2 3 3" xfId="24049"/>
    <cellStyle name="Normal 7 6 2 4" xfId="8928"/>
    <cellStyle name="Normal 7 6 2 4 2" xfId="24615"/>
    <cellStyle name="Normal 7 6 2 5" xfId="3085"/>
    <cellStyle name="Normal 7 6 2 6" xfId="22286"/>
    <cellStyle name="Normal 7 6 3" xfId="1290"/>
    <cellStyle name="Normal 7 6 3 2" xfId="8479"/>
    <cellStyle name="Normal 7 6 3 2 2" xfId="11092"/>
    <cellStyle name="Normal 7 6 3 2 2 2" xfId="25414"/>
    <cellStyle name="Normal 7 6 3 2 3" xfId="24166"/>
    <cellStyle name="Normal 7 6 3 3" xfId="9116"/>
    <cellStyle name="Normal 7 6 3 3 2" xfId="24788"/>
    <cellStyle name="Normal 7 6 3 4" xfId="3356"/>
    <cellStyle name="Normal 7 6 3 5" xfId="22288"/>
    <cellStyle name="Normal 7 6 4" xfId="8194"/>
    <cellStyle name="Normal 7 6 4 2" xfId="10807"/>
    <cellStyle name="Normal 7 6 4 2 2" xfId="25129"/>
    <cellStyle name="Normal 7 6 4 3" xfId="23881"/>
    <cellStyle name="Normal 7 6 5" xfId="8760"/>
    <cellStyle name="Normal 7 6 5 2" xfId="24447"/>
    <cellStyle name="Normal 7 6 6" xfId="2907"/>
    <cellStyle name="Normal 7 6 7" xfId="22285"/>
    <cellStyle name="Normal 7 7" xfId="1291"/>
    <cellStyle name="Normal 7 7 2" xfId="1292"/>
    <cellStyle name="Normal 7 7 2 2" xfId="8531"/>
    <cellStyle name="Normal 7 7 2 2 2" xfId="11144"/>
    <cellStyle name="Normal 7 7 2 2 2 2" xfId="25466"/>
    <cellStyle name="Normal 7 7 2 2 3" xfId="24218"/>
    <cellStyle name="Normal 7 7 2 3" xfId="9172"/>
    <cellStyle name="Normal 7 7 2 3 2" xfId="24844"/>
    <cellStyle name="Normal 7 7 2 4" xfId="3412"/>
    <cellStyle name="Normal 7 7 2 5" xfId="22290"/>
    <cellStyle name="Normal 7 7 3" xfId="8250"/>
    <cellStyle name="Normal 7 7 3 2" xfId="10863"/>
    <cellStyle name="Normal 7 7 3 2 2" xfId="25185"/>
    <cellStyle name="Normal 7 7 3 3" xfId="23937"/>
    <cellStyle name="Normal 7 7 4" xfId="8816"/>
    <cellStyle name="Normal 7 7 4 2" xfId="24503"/>
    <cellStyle name="Normal 7 7 5" xfId="2963"/>
    <cellStyle name="Normal 7 7 6" xfId="22289"/>
    <cellStyle name="Normal 7 8" xfId="1293"/>
    <cellStyle name="Normal 7 8 2" xfId="1294"/>
    <cellStyle name="Normal 7 8 2 2" xfId="8591"/>
    <cellStyle name="Normal 7 8 2 2 2" xfId="11204"/>
    <cellStyle name="Normal 7 8 2 2 2 2" xfId="25526"/>
    <cellStyle name="Normal 7 8 2 2 3" xfId="24278"/>
    <cellStyle name="Normal 7 8 2 3" xfId="9233"/>
    <cellStyle name="Normal 7 8 2 3 2" xfId="24904"/>
    <cellStyle name="Normal 7 8 2 4" xfId="3480"/>
    <cellStyle name="Normal 7 8 2 5" xfId="22292"/>
    <cellStyle name="Normal 7 8 3" xfId="8310"/>
    <cellStyle name="Normal 7 8 3 2" xfId="10923"/>
    <cellStyle name="Normal 7 8 3 2 2" xfId="25245"/>
    <cellStyle name="Normal 7 8 3 3" xfId="23997"/>
    <cellStyle name="Normal 7 8 4" xfId="8876"/>
    <cellStyle name="Normal 7 8 4 2" xfId="24563"/>
    <cellStyle name="Normal 7 8 5" xfId="3033"/>
    <cellStyle name="Normal 7 8 6" xfId="22291"/>
    <cellStyle name="Normal 7 9" xfId="1295"/>
    <cellStyle name="Normal 7 9 2" xfId="8418"/>
    <cellStyle name="Normal 7 9 2 2" xfId="11031"/>
    <cellStyle name="Normal 7 9 2 2 2" xfId="25353"/>
    <cellStyle name="Normal 7 9 2 3" xfId="24105"/>
    <cellStyle name="Normal 7 9 3" xfId="8988"/>
    <cellStyle name="Normal 7 9 3 2" xfId="24671"/>
    <cellStyle name="Normal 7 9 4" xfId="3161"/>
    <cellStyle name="Normal 7 9 5" xfId="22293"/>
    <cellStyle name="Normal 8" xfId="1296"/>
    <cellStyle name="Normal 8 10" xfId="8724"/>
    <cellStyle name="Normal 8 10 2" xfId="24411"/>
    <cellStyle name="Normal 8 11" xfId="2869"/>
    <cellStyle name="Normal 8 12" xfId="22294"/>
    <cellStyle name="Normal 8 2" xfId="1297"/>
    <cellStyle name="Normal 8 2 10" xfId="22295"/>
    <cellStyle name="Normal 8 2 2" xfId="1298"/>
    <cellStyle name="Normal 8 2 2 2" xfId="1299"/>
    <cellStyle name="Normal 8 2 2 2 2" xfId="1300"/>
    <cellStyle name="Normal 8 2 2 2 2 2" xfId="8675"/>
    <cellStyle name="Normal 8 2 2 2 2 2 2" xfId="11288"/>
    <cellStyle name="Normal 8 2 2 2 2 2 2 2" xfId="25610"/>
    <cellStyle name="Normal 8 2 2 2 2 2 3" xfId="24362"/>
    <cellStyle name="Normal 8 2 2 2 2 3" xfId="9317"/>
    <cellStyle name="Normal 8 2 2 2 2 3 2" xfId="24988"/>
    <cellStyle name="Normal 8 2 2 2 2 4" xfId="3565"/>
    <cellStyle name="Normal 8 2 2 2 2 5" xfId="22298"/>
    <cellStyle name="Normal 8 2 2 2 3" xfId="8394"/>
    <cellStyle name="Normal 8 2 2 2 3 2" xfId="11007"/>
    <cellStyle name="Normal 8 2 2 2 3 2 2" xfId="25329"/>
    <cellStyle name="Normal 8 2 2 2 3 3" xfId="24081"/>
    <cellStyle name="Normal 8 2 2 2 4" xfId="8960"/>
    <cellStyle name="Normal 8 2 2 2 4 2" xfId="24647"/>
    <cellStyle name="Normal 8 2 2 2 5" xfId="3117"/>
    <cellStyle name="Normal 8 2 2 2 6" xfId="22297"/>
    <cellStyle name="Normal 8 2 2 3" xfId="1301"/>
    <cellStyle name="Normal 8 2 2 3 2" xfId="8507"/>
    <cellStyle name="Normal 8 2 2 3 2 2" xfId="11120"/>
    <cellStyle name="Normal 8 2 2 3 2 2 2" xfId="25442"/>
    <cellStyle name="Normal 8 2 2 3 2 3" xfId="24194"/>
    <cellStyle name="Normal 8 2 2 3 3" xfId="9148"/>
    <cellStyle name="Normal 8 2 2 3 3 2" xfId="24820"/>
    <cellStyle name="Normal 8 2 2 3 4" xfId="3388"/>
    <cellStyle name="Normal 8 2 2 3 5" xfId="22299"/>
    <cellStyle name="Normal 8 2 2 4" xfId="8226"/>
    <cellStyle name="Normal 8 2 2 4 2" xfId="10839"/>
    <cellStyle name="Normal 8 2 2 4 2 2" xfId="25161"/>
    <cellStyle name="Normal 8 2 2 4 3" xfId="23913"/>
    <cellStyle name="Normal 8 2 2 5" xfId="8792"/>
    <cellStyle name="Normal 8 2 2 5 2" xfId="24479"/>
    <cellStyle name="Normal 8 2 2 6" xfId="2939"/>
    <cellStyle name="Normal 8 2 2 7" xfId="22296"/>
    <cellStyle name="Normal 8 2 3" xfId="1302"/>
    <cellStyle name="Normal 8 2 3 2" xfId="1303"/>
    <cellStyle name="Normal 8 2 3 2 2" xfId="8563"/>
    <cellStyle name="Normal 8 2 3 2 2 2" xfId="11176"/>
    <cellStyle name="Normal 8 2 3 2 2 2 2" xfId="25498"/>
    <cellStyle name="Normal 8 2 3 2 2 3" xfId="24250"/>
    <cellStyle name="Normal 8 2 3 2 3" xfId="9204"/>
    <cellStyle name="Normal 8 2 3 2 3 2" xfId="24876"/>
    <cellStyle name="Normal 8 2 3 2 4" xfId="3444"/>
    <cellStyle name="Normal 8 2 3 2 5" xfId="22301"/>
    <cellStyle name="Normal 8 2 3 3" xfId="8282"/>
    <cellStyle name="Normal 8 2 3 3 2" xfId="10895"/>
    <cellStyle name="Normal 8 2 3 3 2 2" xfId="25217"/>
    <cellStyle name="Normal 8 2 3 3 3" xfId="23969"/>
    <cellStyle name="Normal 8 2 3 4" xfId="8848"/>
    <cellStyle name="Normal 8 2 3 4 2" xfId="24535"/>
    <cellStyle name="Normal 8 2 3 5" xfId="2995"/>
    <cellStyle name="Normal 8 2 3 6" xfId="22300"/>
    <cellStyle name="Normal 8 2 4" xfId="1304"/>
    <cellStyle name="Normal 8 2 4 2" xfId="1305"/>
    <cellStyle name="Normal 8 2 4 2 2" xfId="8613"/>
    <cellStyle name="Normal 8 2 4 2 2 2" xfId="11226"/>
    <cellStyle name="Normal 8 2 4 2 2 2 2" xfId="25548"/>
    <cellStyle name="Normal 8 2 4 2 2 3" xfId="24300"/>
    <cellStyle name="Normal 8 2 4 2 3" xfId="9255"/>
    <cellStyle name="Normal 8 2 4 2 3 2" xfId="24926"/>
    <cellStyle name="Normal 8 2 4 2 4" xfId="3502"/>
    <cellStyle name="Normal 8 2 4 2 5" xfId="22303"/>
    <cellStyle name="Normal 8 2 4 3" xfId="8332"/>
    <cellStyle name="Normal 8 2 4 3 2" xfId="10945"/>
    <cellStyle name="Normal 8 2 4 3 2 2" xfId="25267"/>
    <cellStyle name="Normal 8 2 4 3 3" xfId="24019"/>
    <cellStyle name="Normal 8 2 4 4" xfId="8898"/>
    <cellStyle name="Normal 8 2 4 4 2" xfId="24585"/>
    <cellStyle name="Normal 8 2 4 5" xfId="3055"/>
    <cellStyle name="Normal 8 2 4 6" xfId="22302"/>
    <cellStyle name="Normal 8 2 5" xfId="1306"/>
    <cellStyle name="Normal 8 2 5 2" xfId="8430"/>
    <cellStyle name="Normal 8 2 5 2 2" xfId="11043"/>
    <cellStyle name="Normal 8 2 5 2 2 2" xfId="25365"/>
    <cellStyle name="Normal 8 2 5 2 3" xfId="24117"/>
    <cellStyle name="Normal 8 2 5 3" xfId="9000"/>
    <cellStyle name="Normal 8 2 5 3 2" xfId="24683"/>
    <cellStyle name="Normal 8 2 5 4" xfId="3174"/>
    <cellStyle name="Normal 8 2 5 5" xfId="22304"/>
    <cellStyle name="Normal 8 2 6" xfId="1307"/>
    <cellStyle name="Normal 8 2 6 2" xfId="8164"/>
    <cellStyle name="Normal 8 2 6 2 2" xfId="10777"/>
    <cellStyle name="Normal 8 2 6 2 2 2" xfId="25099"/>
    <cellStyle name="Normal 8 2 6 2 3" xfId="23851"/>
    <cellStyle name="Normal 8 2 6 3" xfId="9086"/>
    <cellStyle name="Normal 8 2 6 3 2" xfId="24758"/>
    <cellStyle name="Normal 8 2 6 4" xfId="3326"/>
    <cellStyle name="Normal 8 2 6 5" xfId="22305"/>
    <cellStyle name="Normal 8 2 7" xfId="8089"/>
    <cellStyle name="Normal 8 2 7 2" xfId="10702"/>
    <cellStyle name="Normal 8 2 7 2 2" xfId="25024"/>
    <cellStyle name="Normal 8 2 7 3" xfId="23776"/>
    <cellStyle name="Normal 8 2 8" xfId="8730"/>
    <cellStyle name="Normal 8 2 8 2" xfId="24417"/>
    <cellStyle name="Normal 8 2 9" xfId="2875"/>
    <cellStyle name="Normal 8 3" xfId="1308"/>
    <cellStyle name="Normal 8 3 10" xfId="22306"/>
    <cellStyle name="Normal 8 3 2" xfId="1309"/>
    <cellStyle name="Normal 8 3 2 2" xfId="1310"/>
    <cellStyle name="Normal 8 3 2 2 2" xfId="1311"/>
    <cellStyle name="Normal 8 3 2 2 2 2" xfId="8669"/>
    <cellStyle name="Normal 8 3 2 2 2 2 2" xfId="11282"/>
    <cellStyle name="Normal 8 3 2 2 2 2 2 2" xfId="25604"/>
    <cellStyle name="Normal 8 3 2 2 2 2 3" xfId="24356"/>
    <cellStyle name="Normal 8 3 2 2 2 3" xfId="9311"/>
    <cellStyle name="Normal 8 3 2 2 2 3 2" xfId="24982"/>
    <cellStyle name="Normal 8 3 2 2 2 4" xfId="3559"/>
    <cellStyle name="Normal 8 3 2 2 2 5" xfId="22309"/>
    <cellStyle name="Normal 8 3 2 2 3" xfId="8388"/>
    <cellStyle name="Normal 8 3 2 2 3 2" xfId="11001"/>
    <cellStyle name="Normal 8 3 2 2 3 2 2" xfId="25323"/>
    <cellStyle name="Normal 8 3 2 2 3 3" xfId="24075"/>
    <cellStyle name="Normal 8 3 2 2 4" xfId="8954"/>
    <cellStyle name="Normal 8 3 2 2 4 2" xfId="24641"/>
    <cellStyle name="Normal 8 3 2 2 5" xfId="3111"/>
    <cellStyle name="Normal 8 3 2 2 6" xfId="22308"/>
    <cellStyle name="Normal 8 3 2 3" xfId="1312"/>
    <cellStyle name="Normal 8 3 2 3 2" xfId="8501"/>
    <cellStyle name="Normal 8 3 2 3 2 2" xfId="11114"/>
    <cellStyle name="Normal 8 3 2 3 2 2 2" xfId="25436"/>
    <cellStyle name="Normal 8 3 2 3 2 3" xfId="24188"/>
    <cellStyle name="Normal 8 3 2 3 3" xfId="9142"/>
    <cellStyle name="Normal 8 3 2 3 3 2" xfId="24814"/>
    <cellStyle name="Normal 8 3 2 3 4" xfId="3382"/>
    <cellStyle name="Normal 8 3 2 3 5" xfId="22310"/>
    <cellStyle name="Normal 8 3 2 4" xfId="8220"/>
    <cellStyle name="Normal 8 3 2 4 2" xfId="10833"/>
    <cellStyle name="Normal 8 3 2 4 2 2" xfId="25155"/>
    <cellStyle name="Normal 8 3 2 4 3" xfId="23907"/>
    <cellStyle name="Normal 8 3 2 5" xfId="8786"/>
    <cellStyle name="Normal 8 3 2 5 2" xfId="24473"/>
    <cellStyle name="Normal 8 3 2 6" xfId="2933"/>
    <cellStyle name="Normal 8 3 2 7" xfId="22307"/>
    <cellStyle name="Normal 8 3 3" xfId="1313"/>
    <cellStyle name="Normal 8 3 3 2" xfId="1314"/>
    <cellStyle name="Normal 8 3 3 2 2" xfId="8557"/>
    <cellStyle name="Normal 8 3 3 2 2 2" xfId="11170"/>
    <cellStyle name="Normal 8 3 3 2 2 2 2" xfId="25492"/>
    <cellStyle name="Normal 8 3 3 2 2 3" xfId="24244"/>
    <cellStyle name="Normal 8 3 3 2 3" xfId="9198"/>
    <cellStyle name="Normal 8 3 3 2 3 2" xfId="24870"/>
    <cellStyle name="Normal 8 3 3 2 4" xfId="3438"/>
    <cellStyle name="Normal 8 3 3 2 5" xfId="22312"/>
    <cellStyle name="Normal 8 3 3 3" xfId="8276"/>
    <cellStyle name="Normal 8 3 3 3 2" xfId="10889"/>
    <cellStyle name="Normal 8 3 3 3 2 2" xfId="25211"/>
    <cellStyle name="Normal 8 3 3 3 3" xfId="23963"/>
    <cellStyle name="Normal 8 3 3 4" xfId="8842"/>
    <cellStyle name="Normal 8 3 3 4 2" xfId="24529"/>
    <cellStyle name="Normal 8 3 3 5" xfId="2989"/>
    <cellStyle name="Normal 8 3 3 6" xfId="22311"/>
    <cellStyle name="Normal 8 3 4" xfId="1315"/>
    <cellStyle name="Normal 8 3 4 2" xfId="1316"/>
    <cellStyle name="Normal 8 3 4 2 2" xfId="8638"/>
    <cellStyle name="Normal 8 3 4 2 2 2" xfId="11251"/>
    <cellStyle name="Normal 8 3 4 2 2 2 2" xfId="25573"/>
    <cellStyle name="Normal 8 3 4 2 2 3" xfId="24325"/>
    <cellStyle name="Normal 8 3 4 2 3" xfId="9280"/>
    <cellStyle name="Normal 8 3 4 2 3 2" xfId="24951"/>
    <cellStyle name="Normal 8 3 4 2 4" xfId="3528"/>
    <cellStyle name="Normal 8 3 4 2 5" xfId="22314"/>
    <cellStyle name="Normal 8 3 4 3" xfId="8357"/>
    <cellStyle name="Normal 8 3 4 3 2" xfId="10970"/>
    <cellStyle name="Normal 8 3 4 3 2 2" xfId="25292"/>
    <cellStyle name="Normal 8 3 4 3 3" xfId="24044"/>
    <cellStyle name="Normal 8 3 4 4" xfId="8923"/>
    <cellStyle name="Normal 8 3 4 4 2" xfId="24610"/>
    <cellStyle name="Normal 8 3 4 5" xfId="3080"/>
    <cellStyle name="Normal 8 3 4 6" xfId="22313"/>
    <cellStyle name="Normal 8 3 5" xfId="1317"/>
    <cellStyle name="Normal 8 3 5 2" xfId="8450"/>
    <cellStyle name="Normal 8 3 5 2 2" xfId="11063"/>
    <cellStyle name="Normal 8 3 5 2 2 2" xfId="25385"/>
    <cellStyle name="Normal 8 3 5 2 3" xfId="24137"/>
    <cellStyle name="Normal 8 3 5 3" xfId="9022"/>
    <cellStyle name="Normal 8 3 5 3 2" xfId="24703"/>
    <cellStyle name="Normal 8 3 5 4" xfId="3213"/>
    <cellStyle name="Normal 8 3 5 5" xfId="22315"/>
    <cellStyle name="Normal 8 3 6" xfId="1318"/>
    <cellStyle name="Normal 8 3 6 2" xfId="8189"/>
    <cellStyle name="Normal 8 3 6 2 2" xfId="10802"/>
    <cellStyle name="Normal 8 3 6 2 2 2" xfId="25124"/>
    <cellStyle name="Normal 8 3 6 2 3" xfId="23876"/>
    <cellStyle name="Normal 8 3 6 3" xfId="9111"/>
    <cellStyle name="Normal 8 3 6 3 2" xfId="24783"/>
    <cellStyle name="Normal 8 3 6 4" xfId="3351"/>
    <cellStyle name="Normal 8 3 6 5" xfId="22316"/>
    <cellStyle name="Normal 8 3 7" xfId="8109"/>
    <cellStyle name="Normal 8 3 7 2" xfId="10722"/>
    <cellStyle name="Normal 8 3 7 2 2" xfId="25044"/>
    <cellStyle name="Normal 8 3 7 3" xfId="23796"/>
    <cellStyle name="Normal 8 3 8" xfId="8755"/>
    <cellStyle name="Normal 8 3 8 2" xfId="24442"/>
    <cellStyle name="Normal 8 3 9" xfId="2902"/>
    <cellStyle name="Normal 8 4" xfId="1319"/>
    <cellStyle name="Normal 8 4 2" xfId="1320"/>
    <cellStyle name="Normal 8 4 2 2" xfId="1321"/>
    <cellStyle name="Normal 8 4 2 2 2" xfId="8644"/>
    <cellStyle name="Normal 8 4 2 2 2 2" xfId="11257"/>
    <cellStyle name="Normal 8 4 2 2 2 2 2" xfId="25579"/>
    <cellStyle name="Normal 8 4 2 2 2 3" xfId="24331"/>
    <cellStyle name="Normal 8 4 2 2 3" xfId="9286"/>
    <cellStyle name="Normal 8 4 2 2 3 2" xfId="24957"/>
    <cellStyle name="Normal 8 4 2 2 4" xfId="3534"/>
    <cellStyle name="Normal 8 4 2 2 5" xfId="22319"/>
    <cellStyle name="Normal 8 4 2 3" xfId="8363"/>
    <cellStyle name="Normal 8 4 2 3 2" xfId="10976"/>
    <cellStyle name="Normal 8 4 2 3 2 2" xfId="25298"/>
    <cellStyle name="Normal 8 4 2 3 3" xfId="24050"/>
    <cellStyle name="Normal 8 4 2 4" xfId="8929"/>
    <cellStyle name="Normal 8 4 2 4 2" xfId="24616"/>
    <cellStyle name="Normal 8 4 2 5" xfId="3086"/>
    <cellStyle name="Normal 8 4 2 6" xfId="22318"/>
    <cellStyle name="Normal 8 4 3" xfId="1322"/>
    <cellStyle name="Normal 8 4 3 2" xfId="8480"/>
    <cellStyle name="Normal 8 4 3 2 2" xfId="11093"/>
    <cellStyle name="Normal 8 4 3 2 2 2" xfId="25415"/>
    <cellStyle name="Normal 8 4 3 2 3" xfId="24167"/>
    <cellStyle name="Normal 8 4 3 3" xfId="9117"/>
    <cellStyle name="Normal 8 4 3 3 2" xfId="24789"/>
    <cellStyle name="Normal 8 4 3 4" xfId="3357"/>
    <cellStyle name="Normal 8 4 3 5" xfId="22320"/>
    <cellStyle name="Normal 8 4 4" xfId="8195"/>
    <cellStyle name="Normal 8 4 4 2" xfId="10808"/>
    <cellStyle name="Normal 8 4 4 2 2" xfId="25130"/>
    <cellStyle name="Normal 8 4 4 3" xfId="23882"/>
    <cellStyle name="Normal 8 4 5" xfId="8761"/>
    <cellStyle name="Normal 8 4 5 2" xfId="24448"/>
    <cellStyle name="Normal 8 4 6" xfId="2908"/>
    <cellStyle name="Normal 8 4 7" xfId="22317"/>
    <cellStyle name="Normal 8 5" xfId="1323"/>
    <cellStyle name="Normal 8 5 2" xfId="1324"/>
    <cellStyle name="Normal 8 5 2 2" xfId="8532"/>
    <cellStyle name="Normal 8 5 2 2 2" xfId="11145"/>
    <cellStyle name="Normal 8 5 2 2 2 2" xfId="25467"/>
    <cellStyle name="Normal 8 5 2 2 3" xfId="24219"/>
    <cellStyle name="Normal 8 5 2 3" xfId="9173"/>
    <cellStyle name="Normal 8 5 2 3 2" xfId="24845"/>
    <cellStyle name="Normal 8 5 2 4" xfId="3413"/>
    <cellStyle name="Normal 8 5 2 5" xfId="22322"/>
    <cellStyle name="Normal 8 5 3" xfId="8251"/>
    <cellStyle name="Normal 8 5 3 2" xfId="10864"/>
    <cellStyle name="Normal 8 5 3 2 2" xfId="25186"/>
    <cellStyle name="Normal 8 5 3 3" xfId="23938"/>
    <cellStyle name="Normal 8 5 4" xfId="8817"/>
    <cellStyle name="Normal 8 5 4 2" xfId="24504"/>
    <cellStyle name="Normal 8 5 5" xfId="2964"/>
    <cellStyle name="Normal 8 5 6" xfId="22321"/>
    <cellStyle name="Normal 8 6" xfId="1325"/>
    <cellStyle name="Normal 8 6 2" xfId="1326"/>
    <cellStyle name="Normal 8 6 2 2" xfId="8607"/>
    <cellStyle name="Normal 8 6 2 2 2" xfId="11220"/>
    <cellStyle name="Normal 8 6 2 2 2 2" xfId="25542"/>
    <cellStyle name="Normal 8 6 2 2 3" xfId="24294"/>
    <cellStyle name="Normal 8 6 2 3" xfId="9249"/>
    <cellStyle name="Normal 8 6 2 3 2" xfId="24920"/>
    <cellStyle name="Normal 8 6 2 4" xfId="3496"/>
    <cellStyle name="Normal 8 6 2 5" xfId="22324"/>
    <cellStyle name="Normal 8 6 3" xfId="8326"/>
    <cellStyle name="Normal 8 6 3 2" xfId="10939"/>
    <cellStyle name="Normal 8 6 3 2 2" xfId="25261"/>
    <cellStyle name="Normal 8 6 3 3" xfId="24013"/>
    <cellStyle name="Normal 8 6 4" xfId="8892"/>
    <cellStyle name="Normal 8 6 4 2" xfId="24579"/>
    <cellStyle name="Normal 8 6 5" xfId="3049"/>
    <cellStyle name="Normal 8 6 6" xfId="22323"/>
    <cellStyle name="Normal 8 7" xfId="1327"/>
    <cellStyle name="Normal 8 7 2" xfId="8424"/>
    <cellStyle name="Normal 8 7 2 2" xfId="11037"/>
    <cellStyle name="Normal 8 7 2 2 2" xfId="25359"/>
    <cellStyle name="Normal 8 7 2 3" xfId="24111"/>
    <cellStyle name="Normal 8 7 3" xfId="8994"/>
    <cellStyle name="Normal 8 7 3 2" xfId="24677"/>
    <cellStyle name="Normal 8 7 4" xfId="3168"/>
    <cellStyle name="Normal 8 7 5" xfId="22325"/>
    <cellStyle name="Normal 8 8" xfId="1328"/>
    <cellStyle name="Normal 8 8 2" xfId="8158"/>
    <cellStyle name="Normal 8 8 2 2" xfId="10771"/>
    <cellStyle name="Normal 8 8 2 2 2" xfId="25093"/>
    <cellStyle name="Normal 8 8 2 3" xfId="23845"/>
    <cellStyle name="Normal 8 8 3" xfId="9080"/>
    <cellStyle name="Normal 8 8 3 2" xfId="24752"/>
    <cellStyle name="Normal 8 8 4" xfId="3320"/>
    <cellStyle name="Normal 8 8 5" xfId="22326"/>
    <cellStyle name="Normal 8 9" xfId="8083"/>
    <cellStyle name="Normal 8 9 2" xfId="10696"/>
    <cellStyle name="Normal 8 9 2 2" xfId="25018"/>
    <cellStyle name="Normal 8 9 3" xfId="23770"/>
    <cellStyle name="Normal 9" xfId="30368"/>
    <cellStyle name="Nota" xfId="1329"/>
    <cellStyle name="Nota 2" xfId="1330"/>
    <cellStyle name="Nota 2 2" xfId="1331"/>
    <cellStyle name="Nota 2 2 10" xfId="1332"/>
    <cellStyle name="Nota 2 2 10 2" xfId="7912"/>
    <cellStyle name="Nota 2 2 10 2 2" xfId="10526"/>
    <cellStyle name="Nota 2 2 10 2 2 2" xfId="16788"/>
    <cellStyle name="Nota 2 2 10 2 2 2 2" xfId="30204"/>
    <cellStyle name="Nota 2 2 10 2 2 3" xfId="21533"/>
    <cellStyle name="Nota 2 2 10 2 3" xfId="14516"/>
    <cellStyle name="Nota 2 2 10 2 3 2" xfId="28838"/>
    <cellStyle name="Nota 2 2 10 2 4" xfId="20161"/>
    <cellStyle name="Nota 2 2 10 3" xfId="12436"/>
    <cellStyle name="Nota 2 2 10 3 2" xfId="26758"/>
    <cellStyle name="Nota 2 2 10 4" xfId="18081"/>
    <cellStyle name="Nota 2 2 11" xfId="3853"/>
    <cellStyle name="Nota 2 2 11 2" xfId="4708"/>
    <cellStyle name="Nota 2 2 11 2 2" xfId="23141"/>
    <cellStyle name="Nota 2 2 11 3" xfId="15501"/>
    <cellStyle name="Nota 2 2 12" xfId="4329"/>
    <cellStyle name="Nota 2 2 12 2" xfId="22890"/>
    <cellStyle name="Nota 2 2 13" xfId="14858"/>
    <cellStyle name="Nota 2 2 2" xfId="1333"/>
    <cellStyle name="Nota 2 2 2 10" xfId="5082"/>
    <cellStyle name="Nota 2 2 2 10 2" xfId="11629"/>
    <cellStyle name="Nota 2 2 2 10 2 2" xfId="25951"/>
    <cellStyle name="Nota 2 2 2 10 3" xfId="4359"/>
    <cellStyle name="Nota 2 2 2 11" xfId="4590"/>
    <cellStyle name="Nota 2 2 2 11 2" xfId="23053"/>
    <cellStyle name="Nota 2 2 2 12" xfId="4468"/>
    <cellStyle name="Nota 2 2 2 2" xfId="1334"/>
    <cellStyle name="Nota 2 2 2 2 10" xfId="3183"/>
    <cellStyle name="Nota 2 2 2 2 10 2" xfId="22429"/>
    <cellStyle name="Nota 2 2 2 2 11" xfId="15345"/>
    <cellStyle name="Nota 2 2 2 2 2" xfId="1335"/>
    <cellStyle name="Nota 2 2 2 2 2 2" xfId="1336"/>
    <cellStyle name="Nota 2 2 2 2 2 2 2" xfId="1337"/>
    <cellStyle name="Nota 2 2 2 2 2 2 2 2" xfId="6550"/>
    <cellStyle name="Nota 2 2 2 2 2 2 2 2 2" xfId="13138"/>
    <cellStyle name="Nota 2 2 2 2 2 2 2 2 2 2" xfId="27460"/>
    <cellStyle name="Nota 2 2 2 2 2 2 2 2 3" xfId="18783"/>
    <cellStyle name="Nota 2 2 2 2 2 2 2 3" xfId="7217"/>
    <cellStyle name="Nota 2 2 2 2 2 2 2 3 2" xfId="9831"/>
    <cellStyle name="Nota 2 2 2 2 2 2 2 3 2 2" xfId="16093"/>
    <cellStyle name="Nota 2 2 2 2 2 2 2 3 2 2 2" xfId="29509"/>
    <cellStyle name="Nota 2 2 2 2 2 2 2 3 2 3" xfId="20838"/>
    <cellStyle name="Nota 2 2 2 2 2 2 2 3 3" xfId="13821"/>
    <cellStyle name="Nota 2 2 2 2 2 2 2 3 3 2" xfId="28143"/>
    <cellStyle name="Nota 2 2 2 2 2 2 2 3 4" xfId="19466"/>
    <cellStyle name="Nota 2 2 2 2 2 2 2 4" xfId="6248"/>
    <cellStyle name="Nota 2 2 2 2 2 2 2 4 2" xfId="23472"/>
    <cellStyle name="Nota 2 2 2 2 2 2 2 5" xfId="15202"/>
    <cellStyle name="Nota 2 2 2 2 2 2 3" xfId="1338"/>
    <cellStyle name="Nota 2 2 2 2 2 2 3 2" xfId="7041"/>
    <cellStyle name="Nota 2 2 2 2 2 2 3 2 2" xfId="9655"/>
    <cellStyle name="Nota 2 2 2 2 2 2 3 2 2 2" xfId="15917"/>
    <cellStyle name="Nota 2 2 2 2 2 2 3 2 2 2 2" xfId="29333"/>
    <cellStyle name="Nota 2 2 2 2 2 2 3 2 2 3" xfId="20662"/>
    <cellStyle name="Nota 2 2 2 2 2 2 3 2 3" xfId="13645"/>
    <cellStyle name="Nota 2 2 2 2 2 2 3 2 3 2" xfId="27967"/>
    <cellStyle name="Nota 2 2 2 2 2 2 3 2 4" xfId="19290"/>
    <cellStyle name="Nota 2 2 2 2 2 2 3 3" xfId="13313"/>
    <cellStyle name="Nota 2 2 2 2 2 2 3 3 2" xfId="27635"/>
    <cellStyle name="Nota 2 2 2 2 2 2 3 4" xfId="18958"/>
    <cellStyle name="Nota 2 2 2 2 2 2 4" xfId="5763"/>
    <cellStyle name="Nota 2 2 2 2 2 2 4 2" xfId="12316"/>
    <cellStyle name="Nota 2 2 2 2 2 2 4 2 2" xfId="26638"/>
    <cellStyle name="Nota 2 2 2 2 2 2 4 3" xfId="17961"/>
    <cellStyle name="Nota 2 2 2 2 2 2 5" xfId="4723"/>
    <cellStyle name="Nota 2 2 2 2 2 2 5 2" xfId="23151"/>
    <cellStyle name="Nota 2 2 2 2 2 2 6" xfId="14799"/>
    <cellStyle name="Nota 2 2 2 2 2 3" xfId="1339"/>
    <cellStyle name="Nota 2 2 2 2 2 3 2" xfId="1340"/>
    <cellStyle name="Nota 2 2 2 2 2 3 2 2" xfId="6441"/>
    <cellStyle name="Nota 2 2 2 2 2 3 2 2 2" xfId="13024"/>
    <cellStyle name="Nota 2 2 2 2 2 3 2 2 2 2" xfId="27346"/>
    <cellStyle name="Nota 2 2 2 2 2 3 2 2 3" xfId="18669"/>
    <cellStyle name="Nota 2 2 2 2 2 3 2 3" xfId="7148"/>
    <cellStyle name="Nota 2 2 2 2 2 3 2 3 2" xfId="9762"/>
    <cellStyle name="Nota 2 2 2 2 2 3 2 3 2 2" xfId="16024"/>
    <cellStyle name="Nota 2 2 2 2 2 3 2 3 2 2 2" xfId="29440"/>
    <cellStyle name="Nota 2 2 2 2 2 3 2 3 2 3" xfId="20769"/>
    <cellStyle name="Nota 2 2 2 2 2 3 2 3 3" xfId="13752"/>
    <cellStyle name="Nota 2 2 2 2 2 3 2 3 3 2" xfId="28074"/>
    <cellStyle name="Nota 2 2 2 2 2 3 2 3 4" xfId="19397"/>
    <cellStyle name="Nota 2 2 2 2 2 3 2 4" xfId="3295"/>
    <cellStyle name="Nota 2 2 2 2 2 3 2 4 2" xfId="22468"/>
    <cellStyle name="Nota 2 2 2 2 2 3 2 5" xfId="4715"/>
    <cellStyle name="Nota 2 2 2 2 2 3 3" xfId="1341"/>
    <cellStyle name="Nota 2 2 2 2 2 3 3 2" xfId="7552"/>
    <cellStyle name="Nota 2 2 2 2 2 3 3 2 2" xfId="10166"/>
    <cellStyle name="Nota 2 2 2 2 2 3 3 2 2 2" xfId="16428"/>
    <cellStyle name="Nota 2 2 2 2 2 3 3 2 2 2 2" xfId="29844"/>
    <cellStyle name="Nota 2 2 2 2 2 3 3 2 2 3" xfId="21173"/>
    <cellStyle name="Nota 2 2 2 2 2 3 3 2 3" xfId="14156"/>
    <cellStyle name="Nota 2 2 2 2 2 3 3 2 3 2" xfId="28478"/>
    <cellStyle name="Nota 2 2 2 2 2 3 3 2 4" xfId="19801"/>
    <cellStyle name="Nota 2 2 2 2 2 3 3 3" xfId="13260"/>
    <cellStyle name="Nota 2 2 2 2 2 3 3 3 2" xfId="27582"/>
    <cellStyle name="Nota 2 2 2 2 2 3 3 4" xfId="18905"/>
    <cellStyle name="Nota 2 2 2 2 2 3 4" xfId="5705"/>
    <cellStyle name="Nota 2 2 2 2 2 3 4 2" xfId="12258"/>
    <cellStyle name="Nota 2 2 2 2 2 3 4 2 2" xfId="26580"/>
    <cellStyle name="Nota 2 2 2 2 2 3 4 3" xfId="17903"/>
    <cellStyle name="Nota 2 2 2 2 2 3 5" xfId="4194"/>
    <cellStyle name="Nota 2 2 2 2 2 3 5 2" xfId="22814"/>
    <cellStyle name="Nota 2 2 2 2 2 3 6" xfId="15231"/>
    <cellStyle name="Nota 2 2 2 2 2 4" xfId="1342"/>
    <cellStyle name="Nota 2 2 2 2 2 4 2" xfId="5982"/>
    <cellStyle name="Nota 2 2 2 2 2 4 2 2" xfId="12540"/>
    <cellStyle name="Nota 2 2 2 2 2 4 2 2 2" xfId="26862"/>
    <cellStyle name="Nota 2 2 2 2 2 4 2 3" xfId="18185"/>
    <cellStyle name="Nota 2 2 2 2 2 4 3" xfId="5291"/>
    <cellStyle name="Nota 2 2 2 2 2 4 3 2" xfId="9600"/>
    <cellStyle name="Nota 2 2 2 2 2 4 3 2 2" xfId="15862"/>
    <cellStyle name="Nota 2 2 2 2 2 4 3 2 2 2" xfId="29278"/>
    <cellStyle name="Nota 2 2 2 2 2 4 3 2 3" xfId="20607"/>
    <cellStyle name="Nota 2 2 2 2 2 4 3 3" xfId="11841"/>
    <cellStyle name="Nota 2 2 2 2 2 4 3 3 2" xfId="26163"/>
    <cellStyle name="Nota 2 2 2 2 2 4 3 4" xfId="17486"/>
    <cellStyle name="Nota 2 2 2 2 2 4 4" xfId="4102"/>
    <cellStyle name="Nota 2 2 2 2 2 4 4 2" xfId="22758"/>
    <cellStyle name="Nota 2 2 2 2 2 4 5" xfId="6699"/>
    <cellStyle name="Nota 2 2 2 2 2 5" xfId="1343"/>
    <cellStyle name="Nota 2 2 2 2 2 5 2" xfId="5301"/>
    <cellStyle name="Nota 2 2 2 2 2 5 2 2" xfId="9610"/>
    <cellStyle name="Nota 2 2 2 2 2 5 2 2 2" xfId="15872"/>
    <cellStyle name="Nota 2 2 2 2 2 5 2 2 2 2" xfId="29288"/>
    <cellStyle name="Nota 2 2 2 2 2 5 2 2 3" xfId="20617"/>
    <cellStyle name="Nota 2 2 2 2 2 5 2 3" xfId="11851"/>
    <cellStyle name="Nota 2 2 2 2 2 5 2 3 2" xfId="26173"/>
    <cellStyle name="Nota 2 2 2 2 2 5 2 4" xfId="17496"/>
    <cellStyle name="Nota 2 2 2 2 2 5 3" xfId="12889"/>
    <cellStyle name="Nota 2 2 2 2 2 5 3 2" xfId="27211"/>
    <cellStyle name="Nota 2 2 2 2 2 5 4" xfId="18534"/>
    <cellStyle name="Nota 2 2 2 2 2 6" xfId="5507"/>
    <cellStyle name="Nota 2 2 2 2 2 6 2" xfId="12058"/>
    <cellStyle name="Nota 2 2 2 2 2 6 2 2" xfId="26380"/>
    <cellStyle name="Nota 2 2 2 2 2 6 3" xfId="17703"/>
    <cellStyle name="Nota 2 2 2 2 2 7" xfId="3940"/>
    <cellStyle name="Nota 2 2 2 2 2 7 2" xfId="22656"/>
    <cellStyle name="Nota 2 2 2 2 2 8" xfId="3707"/>
    <cellStyle name="Nota 2 2 2 2 3" xfId="1344"/>
    <cellStyle name="Nota 2 2 2 2 3 2" xfId="1345"/>
    <cellStyle name="Nota 2 2 2 2 3 2 2" xfId="1346"/>
    <cellStyle name="Nota 2 2 2 2 3 2 2 2" xfId="6074"/>
    <cellStyle name="Nota 2 2 2 2 3 2 2 2 2" xfId="12640"/>
    <cellStyle name="Nota 2 2 2 2 3 2 2 2 2 2" xfId="26962"/>
    <cellStyle name="Nota 2 2 2 2 3 2 2 2 3" xfId="18285"/>
    <cellStyle name="Nota 2 2 2 2 3 2 2 3" xfId="8002"/>
    <cellStyle name="Nota 2 2 2 2 3 2 2 3 2" xfId="10616"/>
    <cellStyle name="Nota 2 2 2 2 3 2 2 3 2 2" xfId="16878"/>
    <cellStyle name="Nota 2 2 2 2 3 2 2 3 2 2 2" xfId="30294"/>
    <cellStyle name="Nota 2 2 2 2 3 2 2 3 2 3" xfId="21623"/>
    <cellStyle name="Nota 2 2 2 2 3 2 2 3 3" xfId="14606"/>
    <cellStyle name="Nota 2 2 2 2 3 2 2 3 3 2" xfId="28928"/>
    <cellStyle name="Nota 2 2 2 2 3 2 2 3 4" xfId="20251"/>
    <cellStyle name="Nota 2 2 2 2 3 2 2 4" xfId="4003"/>
    <cellStyle name="Nota 2 2 2 2 3 2 2 4 2" xfId="22697"/>
    <cellStyle name="Nota 2 2 2 2 3 2 2 5" xfId="3826"/>
    <cellStyle name="Nota 2 2 2 2 3 2 3" xfId="1347"/>
    <cellStyle name="Nota 2 2 2 2 3 2 3 2" xfId="7494"/>
    <cellStyle name="Nota 2 2 2 2 3 2 3 2 2" xfId="10108"/>
    <cellStyle name="Nota 2 2 2 2 3 2 3 2 2 2" xfId="16370"/>
    <cellStyle name="Nota 2 2 2 2 3 2 3 2 2 2 2" xfId="29786"/>
    <cellStyle name="Nota 2 2 2 2 3 2 3 2 2 3" xfId="21115"/>
    <cellStyle name="Nota 2 2 2 2 3 2 3 2 3" xfId="14098"/>
    <cellStyle name="Nota 2 2 2 2 3 2 3 2 3 2" xfId="28420"/>
    <cellStyle name="Nota 2 2 2 2 3 2 3 2 4" xfId="19743"/>
    <cellStyle name="Nota 2 2 2 2 3 2 3 3" xfId="13349"/>
    <cellStyle name="Nota 2 2 2 2 3 2 3 3 2" xfId="27671"/>
    <cellStyle name="Nota 2 2 2 2 3 2 3 4" xfId="18994"/>
    <cellStyle name="Nota 2 2 2 2 3 2 4" xfId="5799"/>
    <cellStyle name="Nota 2 2 2 2 3 2 4 2" xfId="12352"/>
    <cellStyle name="Nota 2 2 2 2 3 2 4 2 2" xfId="26674"/>
    <cellStyle name="Nota 2 2 2 2 3 2 4 3" xfId="17997"/>
    <cellStyle name="Nota 2 2 2 2 3 2 5" xfId="3268"/>
    <cellStyle name="Nota 2 2 2 2 3 2 5 2" xfId="22452"/>
    <cellStyle name="Nota 2 2 2 2 3 2 6" xfId="17275"/>
    <cellStyle name="Nota 2 2 2 2 3 3" xfId="1348"/>
    <cellStyle name="Nota 2 2 2 2 3 3 2" xfId="1349"/>
    <cellStyle name="Nota 2 2 2 2 3 3 2 2" xfId="6233"/>
    <cellStyle name="Nota 2 2 2 2 3 3 2 2 2" xfId="12808"/>
    <cellStyle name="Nota 2 2 2 2 3 3 2 2 2 2" xfId="27130"/>
    <cellStyle name="Nota 2 2 2 2 3 3 2 2 3" xfId="18453"/>
    <cellStyle name="Nota 2 2 2 2 3 3 2 3" xfId="7697"/>
    <cellStyle name="Nota 2 2 2 2 3 3 2 3 2" xfId="10311"/>
    <cellStyle name="Nota 2 2 2 2 3 3 2 3 2 2" xfId="16573"/>
    <cellStyle name="Nota 2 2 2 2 3 3 2 3 2 2 2" xfId="29989"/>
    <cellStyle name="Nota 2 2 2 2 3 3 2 3 2 3" xfId="21318"/>
    <cellStyle name="Nota 2 2 2 2 3 3 2 3 3" xfId="14301"/>
    <cellStyle name="Nota 2 2 2 2 3 3 2 3 3 2" xfId="28623"/>
    <cellStyle name="Nota 2 2 2 2 3 3 2 3 4" xfId="19946"/>
    <cellStyle name="Nota 2 2 2 2 3 3 2 4" xfId="6685"/>
    <cellStyle name="Nota 2 2 2 2 3 3 2 4 2" xfId="23653"/>
    <cellStyle name="Nota 2 2 2 2 3 3 2 5" xfId="14789"/>
    <cellStyle name="Nota 2 2 2 2 3 3 3" xfId="1350"/>
    <cellStyle name="Nota 2 2 2 2 3 3 3 2" xfId="7588"/>
    <cellStyle name="Nota 2 2 2 2 3 3 3 2 2" xfId="10202"/>
    <cellStyle name="Nota 2 2 2 2 3 3 3 2 2 2" xfId="16464"/>
    <cellStyle name="Nota 2 2 2 2 3 3 3 2 2 2 2" xfId="29880"/>
    <cellStyle name="Nota 2 2 2 2 3 3 3 2 2 3" xfId="21209"/>
    <cellStyle name="Nota 2 2 2 2 3 3 3 2 3" xfId="14192"/>
    <cellStyle name="Nota 2 2 2 2 3 3 3 2 3 2" xfId="28514"/>
    <cellStyle name="Nota 2 2 2 2 3 3 3 2 4" xfId="19837"/>
    <cellStyle name="Nota 2 2 2 2 3 3 3 3" xfId="13382"/>
    <cellStyle name="Nota 2 2 2 2 3 3 3 3 2" xfId="27704"/>
    <cellStyle name="Nota 2 2 2 2 3 3 3 4" xfId="19027"/>
    <cellStyle name="Nota 2 2 2 2 3 3 4" xfId="5841"/>
    <cellStyle name="Nota 2 2 2 2 3 3 4 2" xfId="12394"/>
    <cellStyle name="Nota 2 2 2 2 3 3 4 2 2" xfId="26716"/>
    <cellStyle name="Nota 2 2 2 2 3 3 4 3" xfId="18039"/>
    <cellStyle name="Nota 2 2 2 2 3 3 5" xfId="4031"/>
    <cellStyle name="Nota 2 2 2 2 3 3 5 2" xfId="22709"/>
    <cellStyle name="Nota 2 2 2 2 3 3 6" xfId="14866"/>
    <cellStyle name="Nota 2 2 2 2 3 4" xfId="1351"/>
    <cellStyle name="Nota 2 2 2 2 3 4 2" xfId="6924"/>
    <cellStyle name="Nota 2 2 2 2 3 4 2 2" xfId="13528"/>
    <cellStyle name="Nota 2 2 2 2 3 4 2 2 2" xfId="27850"/>
    <cellStyle name="Nota 2 2 2 2 3 4 2 3" xfId="19173"/>
    <cellStyle name="Nota 2 2 2 2 3 4 3" xfId="4800"/>
    <cellStyle name="Nota 2 2 2 2 3 4 3 2" xfId="9488"/>
    <cellStyle name="Nota 2 2 2 2 3 4 3 2 2" xfId="15750"/>
    <cellStyle name="Nota 2 2 2 2 3 4 3 2 2 2" xfId="29166"/>
    <cellStyle name="Nota 2 2 2 2 3 4 3 2 3" xfId="20495"/>
    <cellStyle name="Nota 2 2 2 2 3 4 3 3" xfId="11330"/>
    <cellStyle name="Nota 2 2 2 2 3 4 3 3 2" xfId="25652"/>
    <cellStyle name="Nota 2 2 2 2 3 4 3 4" xfId="14981"/>
    <cellStyle name="Nota 2 2 2 2 3 4 4" xfId="11412"/>
    <cellStyle name="Nota 2 2 2 2 3 4 4 2" xfId="25734"/>
    <cellStyle name="Nota 2 2 2 2 3 4 5" xfId="4603"/>
    <cellStyle name="Nota 2 2 2 2 3 5" xfId="1352"/>
    <cellStyle name="Nota 2 2 2 2 3 5 2" xfId="7239"/>
    <cellStyle name="Nota 2 2 2 2 3 5 2 2" xfId="9853"/>
    <cellStyle name="Nota 2 2 2 2 3 5 2 2 2" xfId="16115"/>
    <cellStyle name="Nota 2 2 2 2 3 5 2 2 2 2" xfId="29531"/>
    <cellStyle name="Nota 2 2 2 2 3 5 2 2 3" xfId="20860"/>
    <cellStyle name="Nota 2 2 2 2 3 5 2 3" xfId="13843"/>
    <cellStyle name="Nota 2 2 2 2 3 5 2 3 2" xfId="28165"/>
    <cellStyle name="Nota 2 2 2 2 3 5 2 4" xfId="19488"/>
    <cellStyle name="Nota 2 2 2 2 3 5 3" xfId="12925"/>
    <cellStyle name="Nota 2 2 2 2 3 5 3 2" xfId="27247"/>
    <cellStyle name="Nota 2 2 2 2 3 5 4" xfId="18570"/>
    <cellStyle name="Nota 2 2 2 2 3 6" xfId="5549"/>
    <cellStyle name="Nota 2 2 2 2 3 6 2" xfId="12100"/>
    <cellStyle name="Nota 2 2 2 2 3 6 2 2" xfId="26422"/>
    <cellStyle name="Nota 2 2 2 2 3 6 3" xfId="17745"/>
    <cellStyle name="Nota 2 2 2 2 3 7" xfId="6194"/>
    <cellStyle name="Nota 2 2 2 2 3 7 2" xfId="23456"/>
    <cellStyle name="Nota 2 2 2 2 3 8" xfId="15214"/>
    <cellStyle name="Nota 2 2 2 2 4" xfId="1353"/>
    <cellStyle name="Nota 2 2 2 2 4 2" xfId="1354"/>
    <cellStyle name="Nota 2 2 2 2 4 2 2" xfId="1355"/>
    <cellStyle name="Nota 2 2 2 2 4 2 2 2" xfId="6594"/>
    <cellStyle name="Nota 2 2 2 2 4 2 2 2 2" xfId="13183"/>
    <cellStyle name="Nota 2 2 2 2 4 2 2 2 2 2" xfId="27505"/>
    <cellStyle name="Nota 2 2 2 2 4 2 2 2 3" xfId="18828"/>
    <cellStyle name="Nota 2 2 2 2 4 2 2 3" xfId="3806"/>
    <cellStyle name="Nota 2 2 2 2 4 2 2 3 2" xfId="9376"/>
    <cellStyle name="Nota 2 2 2 2 4 2 2 3 2 2" xfId="15638"/>
    <cellStyle name="Nota 2 2 2 2 4 2 2 3 2 2 2" xfId="29054"/>
    <cellStyle name="Nota 2 2 2 2 4 2 2 3 2 3" xfId="20383"/>
    <cellStyle name="Nota 2 2 2 2 4 2 2 3 3" xfId="5954"/>
    <cellStyle name="Nota 2 2 2 2 4 2 2 3 3 2" xfId="23382"/>
    <cellStyle name="Nota 2 2 2 2 4 2 2 3 4" xfId="15542"/>
    <cellStyle name="Nota 2 2 2 2 4 2 2 4" xfId="4185"/>
    <cellStyle name="Nota 2 2 2 2 4 2 2 4 2" xfId="22807"/>
    <cellStyle name="Nota 2 2 2 2 4 2 2 5" xfId="4313"/>
    <cellStyle name="Nota 2 2 2 2 4 2 3" xfId="1356"/>
    <cellStyle name="Nota 2 2 2 2 4 2 3 2" xfId="7502"/>
    <cellStyle name="Nota 2 2 2 2 4 2 3 2 2" xfId="10116"/>
    <cellStyle name="Nota 2 2 2 2 4 2 3 2 2 2" xfId="16378"/>
    <cellStyle name="Nota 2 2 2 2 4 2 3 2 2 2 2" xfId="29794"/>
    <cellStyle name="Nota 2 2 2 2 4 2 3 2 2 3" xfId="21123"/>
    <cellStyle name="Nota 2 2 2 2 4 2 3 2 3" xfId="14106"/>
    <cellStyle name="Nota 2 2 2 2 4 2 3 2 3 2" xfId="28428"/>
    <cellStyle name="Nota 2 2 2 2 4 2 3 2 4" xfId="19751"/>
    <cellStyle name="Nota 2 2 2 2 4 2 3 3" xfId="13277"/>
    <cellStyle name="Nota 2 2 2 2 4 2 3 3 2" xfId="27599"/>
    <cellStyle name="Nota 2 2 2 2 4 2 3 4" xfId="18922"/>
    <cellStyle name="Nota 2 2 2 2 4 2 4" xfId="5725"/>
    <cellStyle name="Nota 2 2 2 2 4 2 4 2" xfId="12278"/>
    <cellStyle name="Nota 2 2 2 2 4 2 4 2 2" xfId="26600"/>
    <cellStyle name="Nota 2 2 2 2 4 2 4 3" xfId="17923"/>
    <cellStyle name="Nota 2 2 2 2 4 2 5" xfId="6319"/>
    <cellStyle name="Nota 2 2 2 2 4 2 5 2" xfId="23514"/>
    <cellStyle name="Nota 2 2 2 2 4 2 6" xfId="14902"/>
    <cellStyle name="Nota 2 2 2 2 4 3" xfId="1357"/>
    <cellStyle name="Nota 2 2 2 2 4 3 2" xfId="1358"/>
    <cellStyle name="Nota 2 2 2 2 4 3 2 2" xfId="7006"/>
    <cellStyle name="Nota 2 2 2 2 4 3 2 2 2" xfId="13610"/>
    <cellStyle name="Nota 2 2 2 2 4 3 2 2 2 2" xfId="27932"/>
    <cellStyle name="Nota 2 2 2 2 4 3 2 2 3" xfId="19255"/>
    <cellStyle name="Nota 2 2 2 2 4 3 2 3" xfId="8040"/>
    <cellStyle name="Nota 2 2 2 2 4 3 2 3 2" xfId="10654"/>
    <cellStyle name="Nota 2 2 2 2 4 3 2 3 2 2" xfId="16916"/>
    <cellStyle name="Nota 2 2 2 2 4 3 2 3 2 2 2" xfId="30332"/>
    <cellStyle name="Nota 2 2 2 2 4 3 2 3 2 3" xfId="21661"/>
    <cellStyle name="Nota 2 2 2 2 4 3 2 3 3" xfId="14644"/>
    <cellStyle name="Nota 2 2 2 2 4 3 2 3 3 2" xfId="28966"/>
    <cellStyle name="Nota 2 2 2 2 4 3 2 3 4" xfId="20289"/>
    <cellStyle name="Nota 2 2 2 2 4 3 2 4" xfId="11526"/>
    <cellStyle name="Nota 2 2 2 2 4 3 2 4 2" xfId="25848"/>
    <cellStyle name="Nota 2 2 2 2 4 3 2 5" xfId="14955"/>
    <cellStyle name="Nota 2 2 2 2 4 3 3" xfId="1359"/>
    <cellStyle name="Nota 2 2 2 2 4 3 3 2" xfId="7386"/>
    <cellStyle name="Nota 2 2 2 2 4 3 3 2 2" xfId="10000"/>
    <cellStyle name="Nota 2 2 2 2 4 3 3 2 2 2" xfId="16262"/>
    <cellStyle name="Nota 2 2 2 2 4 3 3 2 2 2 2" xfId="29678"/>
    <cellStyle name="Nota 2 2 2 2 4 3 3 2 2 3" xfId="21007"/>
    <cellStyle name="Nota 2 2 2 2 4 3 3 2 3" xfId="13990"/>
    <cellStyle name="Nota 2 2 2 2 4 3 3 2 3 2" xfId="28312"/>
    <cellStyle name="Nota 2 2 2 2 4 3 3 2 4" xfId="19635"/>
    <cellStyle name="Nota 2 2 2 2 4 3 3 3" xfId="13376"/>
    <cellStyle name="Nota 2 2 2 2 4 3 3 3 2" xfId="27698"/>
    <cellStyle name="Nota 2 2 2 2 4 3 3 4" xfId="19021"/>
    <cellStyle name="Nota 2 2 2 2 4 3 4" xfId="5829"/>
    <cellStyle name="Nota 2 2 2 2 4 3 4 2" xfId="12382"/>
    <cellStyle name="Nota 2 2 2 2 4 3 4 2 2" xfId="26704"/>
    <cellStyle name="Nota 2 2 2 2 4 3 4 3" xfId="18027"/>
    <cellStyle name="Nota 2 2 2 2 4 3 5" xfId="3271"/>
    <cellStyle name="Nota 2 2 2 2 4 3 5 2" xfId="22455"/>
    <cellStyle name="Nota 2 2 2 2 4 3 6" xfId="15350"/>
    <cellStyle name="Nota 2 2 2 2 4 4" xfId="1360"/>
    <cellStyle name="Nota 2 2 2 2 4 4 2" xfId="6163"/>
    <cellStyle name="Nota 2 2 2 2 4 4 2 2" xfId="12734"/>
    <cellStyle name="Nota 2 2 2 2 4 4 2 2 2" xfId="27056"/>
    <cellStyle name="Nota 2 2 2 2 4 4 2 3" xfId="18379"/>
    <cellStyle name="Nota 2 2 2 2 4 4 3" xfId="7866"/>
    <cellStyle name="Nota 2 2 2 2 4 4 3 2" xfId="10480"/>
    <cellStyle name="Nota 2 2 2 2 4 4 3 2 2" xfId="16742"/>
    <cellStyle name="Nota 2 2 2 2 4 4 3 2 2 2" xfId="30158"/>
    <cellStyle name="Nota 2 2 2 2 4 4 3 2 3" xfId="21487"/>
    <cellStyle name="Nota 2 2 2 2 4 4 3 3" xfId="14470"/>
    <cellStyle name="Nota 2 2 2 2 4 4 3 3 2" xfId="28792"/>
    <cellStyle name="Nota 2 2 2 2 4 4 3 4" xfId="20115"/>
    <cellStyle name="Nota 2 2 2 2 4 4 4" xfId="3676"/>
    <cellStyle name="Nota 2 2 2 2 4 4 4 2" xfId="22521"/>
    <cellStyle name="Nota 2 2 2 2 4 4 5" xfId="15466"/>
    <cellStyle name="Nota 2 2 2 2 4 5" xfId="1361"/>
    <cellStyle name="Nota 2 2 2 2 4 5 2" xfId="3150"/>
    <cellStyle name="Nota 2 2 2 2 4 5 2 2" xfId="8983"/>
    <cellStyle name="Nota 2 2 2 2 4 5 2 2 2" xfId="15338"/>
    <cellStyle name="Nota 2 2 2 2 4 5 2 2 2 2" xfId="29001"/>
    <cellStyle name="Nota 2 2 2 2 4 5 2 2 3" xfId="20328"/>
    <cellStyle name="Nota 2 2 2 2 4 5 2 3" xfId="5831"/>
    <cellStyle name="Nota 2 2 2 2 4 5 2 3 2" xfId="23364"/>
    <cellStyle name="Nota 2 2 2 2 4 5 2 4" xfId="14714"/>
    <cellStyle name="Nota 2 2 2 2 4 5 3" xfId="12840"/>
    <cellStyle name="Nota 2 2 2 2 4 5 3 2" xfId="27162"/>
    <cellStyle name="Nota 2 2 2 2 4 5 4" xfId="18485"/>
    <cellStyle name="Nota 2 2 2 2 4 6" xfId="5414"/>
    <cellStyle name="Nota 2 2 2 2 4 6 2" xfId="11964"/>
    <cellStyle name="Nota 2 2 2 2 4 6 2 2" xfId="26286"/>
    <cellStyle name="Nota 2 2 2 2 4 6 3" xfId="17609"/>
    <cellStyle name="Nota 2 2 2 2 4 7" xfId="5988"/>
    <cellStyle name="Nota 2 2 2 2 4 7 2" xfId="23390"/>
    <cellStyle name="Nota 2 2 2 2 4 8" xfId="5010"/>
    <cellStyle name="Nota 2 2 2 2 5" xfId="1362"/>
    <cellStyle name="Nota 2 2 2 2 5 2" xfId="1363"/>
    <cellStyle name="Nota 2 2 2 2 5 2 2" xfId="1364"/>
    <cellStyle name="Nota 2 2 2 2 5 2 2 2" xfId="6952"/>
    <cellStyle name="Nota 2 2 2 2 5 2 2 2 2" xfId="13556"/>
    <cellStyle name="Nota 2 2 2 2 5 2 2 2 2 2" xfId="27878"/>
    <cellStyle name="Nota 2 2 2 2 5 2 2 2 3" xfId="19201"/>
    <cellStyle name="Nota 2 2 2 2 5 2 2 3" xfId="7459"/>
    <cellStyle name="Nota 2 2 2 2 5 2 2 3 2" xfId="10073"/>
    <cellStyle name="Nota 2 2 2 2 5 2 2 3 2 2" xfId="16335"/>
    <cellStyle name="Nota 2 2 2 2 5 2 2 3 2 2 2" xfId="29751"/>
    <cellStyle name="Nota 2 2 2 2 5 2 2 3 2 3" xfId="21080"/>
    <cellStyle name="Nota 2 2 2 2 5 2 2 3 3" xfId="14063"/>
    <cellStyle name="Nota 2 2 2 2 5 2 2 3 3 2" xfId="28385"/>
    <cellStyle name="Nota 2 2 2 2 5 2 2 3 4" xfId="19708"/>
    <cellStyle name="Nota 2 2 2 2 5 2 2 4" xfId="11448"/>
    <cellStyle name="Nota 2 2 2 2 5 2 2 4 2" xfId="25770"/>
    <cellStyle name="Nota 2 2 2 2 5 2 2 5" xfId="15241"/>
    <cellStyle name="Nota 2 2 2 2 5 2 3" xfId="1365"/>
    <cellStyle name="Nota 2 2 2 2 5 2 3 2" xfId="5257"/>
    <cellStyle name="Nota 2 2 2 2 5 2 3 2 2" xfId="9566"/>
    <cellStyle name="Nota 2 2 2 2 5 2 3 2 2 2" xfId="15828"/>
    <cellStyle name="Nota 2 2 2 2 5 2 3 2 2 2 2" xfId="29244"/>
    <cellStyle name="Nota 2 2 2 2 5 2 3 2 2 3" xfId="20573"/>
    <cellStyle name="Nota 2 2 2 2 5 2 3 2 3" xfId="11807"/>
    <cellStyle name="Nota 2 2 2 2 5 2 3 2 3 2" xfId="26129"/>
    <cellStyle name="Nota 2 2 2 2 5 2 3 2 4" xfId="17452"/>
    <cellStyle name="Nota 2 2 2 2 5 2 3 3" xfId="13101"/>
    <cellStyle name="Nota 2 2 2 2 5 2 3 3 2" xfId="27423"/>
    <cellStyle name="Nota 2 2 2 2 5 2 3 4" xfId="18746"/>
    <cellStyle name="Nota 2 2 2 2 5 2 4" xfId="5462"/>
    <cellStyle name="Nota 2 2 2 2 5 2 4 2" xfId="12013"/>
    <cellStyle name="Nota 2 2 2 2 5 2 4 2 2" xfId="26335"/>
    <cellStyle name="Nota 2 2 2 2 5 2 4 3" xfId="17658"/>
    <cellStyle name="Nota 2 2 2 2 5 2 5" xfId="6725"/>
    <cellStyle name="Nota 2 2 2 2 5 2 5 2" xfId="23679"/>
    <cellStyle name="Nota 2 2 2 2 5 2 6" xfId="15185"/>
    <cellStyle name="Nota 2 2 2 2 5 3" xfId="1366"/>
    <cellStyle name="Nota 2 2 2 2 5 3 2" xfId="6976"/>
    <cellStyle name="Nota 2 2 2 2 5 3 2 2" xfId="13580"/>
    <cellStyle name="Nota 2 2 2 2 5 3 2 2 2" xfId="27902"/>
    <cellStyle name="Nota 2 2 2 2 5 3 2 3" xfId="19225"/>
    <cellStyle name="Nota 2 2 2 2 5 3 3" xfId="7828"/>
    <cellStyle name="Nota 2 2 2 2 5 3 3 2" xfId="10442"/>
    <cellStyle name="Nota 2 2 2 2 5 3 3 2 2" xfId="16704"/>
    <cellStyle name="Nota 2 2 2 2 5 3 3 2 2 2" xfId="30120"/>
    <cellStyle name="Nota 2 2 2 2 5 3 3 2 3" xfId="21449"/>
    <cellStyle name="Nota 2 2 2 2 5 3 3 3" xfId="14432"/>
    <cellStyle name="Nota 2 2 2 2 5 3 3 3 2" xfId="28754"/>
    <cellStyle name="Nota 2 2 2 2 5 3 3 4" xfId="20077"/>
    <cellStyle name="Nota 2 2 2 2 5 3 4" xfId="11486"/>
    <cellStyle name="Nota 2 2 2 2 5 3 4 2" xfId="25808"/>
    <cellStyle name="Nota 2 2 2 2 5 3 5" xfId="17117"/>
    <cellStyle name="Nota 2 2 2 2 5 4" xfId="1367"/>
    <cellStyle name="Nota 2 2 2 2 5 4 2" xfId="3631"/>
    <cellStyle name="Nota 2 2 2 2 5 4 2 2" xfId="9349"/>
    <cellStyle name="Nota 2 2 2 2 5 4 2 2 2" xfId="15611"/>
    <cellStyle name="Nota 2 2 2 2 5 4 2 2 2 2" xfId="29027"/>
    <cellStyle name="Nota 2 2 2 2 5 4 2 2 3" xfId="20356"/>
    <cellStyle name="Nota 2 2 2 2 5 4 2 3" xfId="4693"/>
    <cellStyle name="Nota 2 2 2 2 5 4 2 3 2" xfId="23129"/>
    <cellStyle name="Nota 2 2 2 2 5 4 2 4" xfId="15373"/>
    <cellStyle name="Nota 2 2 2 2 5 4 3" xfId="12814"/>
    <cellStyle name="Nota 2 2 2 2 5 4 3 2" xfId="27136"/>
    <cellStyle name="Nota 2 2 2 2 5 4 4" xfId="18459"/>
    <cellStyle name="Nota 2 2 2 2 5 5" xfId="5349"/>
    <cellStyle name="Nota 2 2 2 2 5 5 2" xfId="11899"/>
    <cellStyle name="Nota 2 2 2 2 5 5 2 2" xfId="26221"/>
    <cellStyle name="Nota 2 2 2 2 5 5 3" xfId="17544"/>
    <cellStyle name="Nota 2 2 2 2 5 6" xfId="6307"/>
    <cellStyle name="Nota 2 2 2 2 5 6 2" xfId="23503"/>
    <cellStyle name="Nota 2 2 2 2 5 7" xfId="4584"/>
    <cellStyle name="Nota 2 2 2 2 6" xfId="1368"/>
    <cellStyle name="Nota 2 2 2 2 6 2" xfId="1369"/>
    <cellStyle name="Nota 2 2 2 2 6 2 2" xfId="6198"/>
    <cellStyle name="Nota 2 2 2 2 6 2 2 2" xfId="12771"/>
    <cellStyle name="Nota 2 2 2 2 6 2 2 2 2" xfId="27093"/>
    <cellStyle name="Nota 2 2 2 2 6 2 2 3" xfId="18416"/>
    <cellStyle name="Nota 2 2 2 2 6 2 3" xfId="7403"/>
    <cellStyle name="Nota 2 2 2 2 6 2 3 2" xfId="10017"/>
    <cellStyle name="Nota 2 2 2 2 6 2 3 2 2" xfId="16279"/>
    <cellStyle name="Nota 2 2 2 2 6 2 3 2 2 2" xfId="29695"/>
    <cellStyle name="Nota 2 2 2 2 6 2 3 2 3" xfId="21024"/>
    <cellStyle name="Nota 2 2 2 2 6 2 3 3" xfId="14007"/>
    <cellStyle name="Nota 2 2 2 2 6 2 3 3 2" xfId="28329"/>
    <cellStyle name="Nota 2 2 2 2 6 2 3 4" xfId="19652"/>
    <cellStyle name="Nota 2 2 2 2 6 2 4" xfId="3750"/>
    <cellStyle name="Nota 2 2 2 2 6 2 4 2" xfId="22563"/>
    <cellStyle name="Nota 2 2 2 2 6 2 5" xfId="16964"/>
    <cellStyle name="Nota 2 2 2 2 6 3" xfId="1370"/>
    <cellStyle name="Nota 2 2 2 2 6 3 2" xfId="7696"/>
    <cellStyle name="Nota 2 2 2 2 6 3 2 2" xfId="10310"/>
    <cellStyle name="Nota 2 2 2 2 6 3 2 2 2" xfId="16572"/>
    <cellStyle name="Nota 2 2 2 2 6 3 2 2 2 2" xfId="29988"/>
    <cellStyle name="Nota 2 2 2 2 6 3 2 2 3" xfId="21317"/>
    <cellStyle name="Nota 2 2 2 2 6 3 2 3" xfId="14300"/>
    <cellStyle name="Nota 2 2 2 2 6 3 2 3 2" xfId="28622"/>
    <cellStyle name="Nota 2 2 2 2 6 3 2 4" xfId="19945"/>
    <cellStyle name="Nota 2 2 2 2 6 3 3" xfId="12520"/>
    <cellStyle name="Nota 2 2 2 2 6 3 3 2" xfId="26842"/>
    <cellStyle name="Nota 2 2 2 2 6 3 4" xfId="18165"/>
    <cellStyle name="Nota 2 2 2 2 6 4" xfId="5154"/>
    <cellStyle name="Nota 2 2 2 2 6 4 2" xfId="11703"/>
    <cellStyle name="Nota 2 2 2 2 6 4 2 2" xfId="26025"/>
    <cellStyle name="Nota 2 2 2 2 6 4 3" xfId="4745"/>
    <cellStyle name="Nota 2 2 2 2 6 5" xfId="6774"/>
    <cellStyle name="Nota 2 2 2 2 6 5 2" xfId="23720"/>
    <cellStyle name="Nota 2 2 2 2 6 6" xfId="15586"/>
    <cellStyle name="Nota 2 2 2 2 7" xfId="1371"/>
    <cellStyle name="Nota 2 2 2 2 7 2" xfId="5235"/>
    <cellStyle name="Nota 2 2 2 2 7 2 2" xfId="11785"/>
    <cellStyle name="Nota 2 2 2 2 7 2 2 2" xfId="26107"/>
    <cellStyle name="Nota 2 2 2 2 7 2 3" xfId="17430"/>
    <cellStyle name="Nota 2 2 2 2 7 3" xfId="7401"/>
    <cellStyle name="Nota 2 2 2 2 7 3 2" xfId="10015"/>
    <cellStyle name="Nota 2 2 2 2 7 3 2 2" xfId="16277"/>
    <cellStyle name="Nota 2 2 2 2 7 3 2 2 2" xfId="29693"/>
    <cellStyle name="Nota 2 2 2 2 7 3 2 3" xfId="21022"/>
    <cellStyle name="Nota 2 2 2 2 7 3 3" xfId="14005"/>
    <cellStyle name="Nota 2 2 2 2 7 3 3 2" xfId="28327"/>
    <cellStyle name="Nota 2 2 2 2 7 3 4" xfId="19650"/>
    <cellStyle name="Nota 2 2 2 2 7 4" xfId="4082"/>
    <cellStyle name="Nota 2 2 2 2 7 4 2" xfId="22750"/>
    <cellStyle name="Nota 2 2 2 2 7 5" xfId="17184"/>
    <cellStyle name="Nota 2 2 2 2 8" xfId="1372"/>
    <cellStyle name="Nota 2 2 2 2 8 2" xfId="7465"/>
    <cellStyle name="Nota 2 2 2 2 8 2 2" xfId="10079"/>
    <cellStyle name="Nota 2 2 2 2 8 2 2 2" xfId="16341"/>
    <cellStyle name="Nota 2 2 2 2 8 2 2 2 2" xfId="29757"/>
    <cellStyle name="Nota 2 2 2 2 8 2 2 3" xfId="21086"/>
    <cellStyle name="Nota 2 2 2 2 8 2 3" xfId="14069"/>
    <cellStyle name="Nota 2 2 2 2 8 2 3 2" xfId="28391"/>
    <cellStyle name="Nota 2 2 2 2 8 2 4" xfId="19714"/>
    <cellStyle name="Nota 2 2 2 2 8 3" xfId="12751"/>
    <cellStyle name="Nota 2 2 2 2 8 3 2" xfId="27073"/>
    <cellStyle name="Nota 2 2 2 2 8 4" xfId="18396"/>
    <cellStyle name="Nota 2 2 2 2 9" xfId="5403"/>
    <cellStyle name="Nota 2 2 2 2 9 2" xfId="11953"/>
    <cellStyle name="Nota 2 2 2 2 9 2 2" xfId="26275"/>
    <cellStyle name="Nota 2 2 2 2 9 3" xfId="17598"/>
    <cellStyle name="Nota 2 2 2 3" xfId="1373"/>
    <cellStyle name="Nota 2 2 2 3 2" xfId="1374"/>
    <cellStyle name="Nota 2 2 2 3 2 2" xfId="1375"/>
    <cellStyle name="Nota 2 2 2 3 2 2 2" xfId="6071"/>
    <cellStyle name="Nota 2 2 2 3 2 2 2 2" xfId="12637"/>
    <cellStyle name="Nota 2 2 2 3 2 2 2 2 2" xfId="26959"/>
    <cellStyle name="Nota 2 2 2 3 2 2 2 3" xfId="18282"/>
    <cellStyle name="Nota 2 2 2 3 2 2 3" xfId="8027"/>
    <cellStyle name="Nota 2 2 2 3 2 2 3 2" xfId="10641"/>
    <cellStyle name="Nota 2 2 2 3 2 2 3 2 2" xfId="16903"/>
    <cellStyle name="Nota 2 2 2 3 2 2 3 2 2 2" xfId="30319"/>
    <cellStyle name="Nota 2 2 2 3 2 2 3 2 3" xfId="21648"/>
    <cellStyle name="Nota 2 2 2 3 2 2 3 3" xfId="14631"/>
    <cellStyle name="Nota 2 2 2 3 2 2 3 3 2" xfId="28953"/>
    <cellStyle name="Nota 2 2 2 3 2 2 3 4" xfId="20276"/>
    <cellStyle name="Nota 2 2 2 3 2 2 4" xfId="3290"/>
    <cellStyle name="Nota 2 2 2 3 2 2 4 2" xfId="22463"/>
    <cellStyle name="Nota 2 2 2 3 2 2 5" xfId="14900"/>
    <cellStyle name="Nota 2 2 2 3 2 3" xfId="1376"/>
    <cellStyle name="Nota 2 2 2 3 2 3 2" xfId="7843"/>
    <cellStyle name="Nota 2 2 2 3 2 3 2 2" xfId="10457"/>
    <cellStyle name="Nota 2 2 2 3 2 3 2 2 2" xfId="16719"/>
    <cellStyle name="Nota 2 2 2 3 2 3 2 2 2 2" xfId="30135"/>
    <cellStyle name="Nota 2 2 2 3 2 3 2 2 3" xfId="21464"/>
    <cellStyle name="Nota 2 2 2 3 2 3 2 3" xfId="14447"/>
    <cellStyle name="Nota 2 2 2 3 2 3 2 3 2" xfId="28769"/>
    <cellStyle name="Nota 2 2 2 3 2 3 2 4" xfId="20092"/>
    <cellStyle name="Nota 2 2 2 3 2 3 3" xfId="13279"/>
    <cellStyle name="Nota 2 2 2 3 2 3 3 2" xfId="27601"/>
    <cellStyle name="Nota 2 2 2 3 2 3 4" xfId="18924"/>
    <cellStyle name="Nota 2 2 2 3 2 4" xfId="5727"/>
    <cellStyle name="Nota 2 2 2 3 2 4 2" xfId="12280"/>
    <cellStyle name="Nota 2 2 2 3 2 4 2 2" xfId="26602"/>
    <cellStyle name="Nota 2 2 2 3 2 4 3" xfId="17925"/>
    <cellStyle name="Nota 2 2 2 3 2 5" xfId="6816"/>
    <cellStyle name="Nota 2 2 2 3 2 5 2" xfId="23752"/>
    <cellStyle name="Nota 2 2 2 3 2 6" xfId="17372"/>
    <cellStyle name="Nota 2 2 2 3 3" xfId="1377"/>
    <cellStyle name="Nota 2 2 2 3 3 2" xfId="1378"/>
    <cellStyle name="Nota 2 2 2 3 3 2 2" xfId="6208"/>
    <cellStyle name="Nota 2 2 2 3 3 2 2 2" xfId="12781"/>
    <cellStyle name="Nota 2 2 2 3 3 2 2 2 2" xfId="27103"/>
    <cellStyle name="Nota 2 2 2 3 3 2 2 3" xfId="18426"/>
    <cellStyle name="Nota 2 2 2 3 3 2 3" xfId="4280"/>
    <cellStyle name="Nota 2 2 2 3 3 2 3 2" xfId="9441"/>
    <cellStyle name="Nota 2 2 2 3 3 2 3 2 2" xfId="15703"/>
    <cellStyle name="Nota 2 2 2 3 3 2 3 2 2 2" xfId="29119"/>
    <cellStyle name="Nota 2 2 2 3 3 2 3 2 3" xfId="20448"/>
    <cellStyle name="Nota 2 2 2 3 3 2 3 3" xfId="4186"/>
    <cellStyle name="Nota 2 2 2 3 3 2 3 3 2" xfId="22808"/>
    <cellStyle name="Nota 2 2 2 3 3 2 3 4" xfId="4012"/>
    <cellStyle name="Nota 2 2 2 3 3 2 4" xfId="4563"/>
    <cellStyle name="Nota 2 2 2 3 3 2 4 2" xfId="23032"/>
    <cellStyle name="Nota 2 2 2 3 3 2 5" xfId="14892"/>
    <cellStyle name="Nota 2 2 2 3 3 3" xfId="1379"/>
    <cellStyle name="Nota 2 2 2 3 3 3 2" xfId="4929"/>
    <cellStyle name="Nota 2 2 2 3 3 3 2 2" xfId="9518"/>
    <cellStyle name="Nota 2 2 2 3 3 3 2 2 2" xfId="15780"/>
    <cellStyle name="Nota 2 2 2 3 3 3 2 2 2 2" xfId="29196"/>
    <cellStyle name="Nota 2 2 2 3 3 3 2 2 3" xfId="20525"/>
    <cellStyle name="Nota 2 2 2 3 3 3 2 3" xfId="11467"/>
    <cellStyle name="Nota 2 2 2 3 3 3 2 3 2" xfId="25789"/>
    <cellStyle name="Nota 2 2 2 3 3 3 2 4" xfId="17383"/>
    <cellStyle name="Nota 2 2 2 3 3 3 3" xfId="13163"/>
    <cellStyle name="Nota 2 2 2 3 3 3 3 2" xfId="27485"/>
    <cellStyle name="Nota 2 2 2 3 3 3 4" xfId="18808"/>
    <cellStyle name="Nota 2 2 2 3 3 4" xfId="5576"/>
    <cellStyle name="Nota 2 2 2 3 3 4 2" xfId="12127"/>
    <cellStyle name="Nota 2 2 2 3 3 4 2 2" xfId="26449"/>
    <cellStyle name="Nota 2 2 2 3 3 4 3" xfId="17772"/>
    <cellStyle name="Nota 2 2 2 3 3 5" xfId="4710"/>
    <cellStyle name="Nota 2 2 2 3 3 5 2" xfId="23142"/>
    <cellStyle name="Nota 2 2 2 3 3 6" xfId="15258"/>
    <cellStyle name="Nota 2 2 2 3 4" xfId="1380"/>
    <cellStyle name="Nota 2 2 2 3 4 2" xfId="6945"/>
    <cellStyle name="Nota 2 2 2 3 4 2 2" xfId="13549"/>
    <cellStyle name="Nota 2 2 2 3 4 2 2 2" xfId="27871"/>
    <cellStyle name="Nota 2 2 2 3 4 2 3" xfId="19194"/>
    <cellStyle name="Nota 2 2 2 3 4 3" xfId="7449"/>
    <cellStyle name="Nota 2 2 2 3 4 3 2" xfId="10063"/>
    <cellStyle name="Nota 2 2 2 3 4 3 2 2" xfId="16325"/>
    <cellStyle name="Nota 2 2 2 3 4 3 2 2 2" xfId="29741"/>
    <cellStyle name="Nota 2 2 2 3 4 3 2 3" xfId="21070"/>
    <cellStyle name="Nota 2 2 2 3 4 3 3" xfId="14053"/>
    <cellStyle name="Nota 2 2 2 3 4 3 3 2" xfId="28375"/>
    <cellStyle name="Nota 2 2 2 3 4 3 4" xfId="19698"/>
    <cellStyle name="Nota 2 2 2 3 4 4" xfId="11438"/>
    <cellStyle name="Nota 2 2 2 3 4 4 2" xfId="25760"/>
    <cellStyle name="Nota 2 2 2 3 4 5" xfId="14959"/>
    <cellStyle name="Nota 2 2 2 3 5" xfId="1381"/>
    <cellStyle name="Nota 2 2 2 3 5 2" xfId="5320"/>
    <cellStyle name="Nota 2 2 2 3 5 2 2" xfId="9629"/>
    <cellStyle name="Nota 2 2 2 3 5 2 2 2" xfId="15891"/>
    <cellStyle name="Nota 2 2 2 3 5 2 2 2 2" xfId="29307"/>
    <cellStyle name="Nota 2 2 2 3 5 2 2 3" xfId="20636"/>
    <cellStyle name="Nota 2 2 2 3 5 2 3" xfId="11870"/>
    <cellStyle name="Nota 2 2 2 3 5 2 3 2" xfId="26192"/>
    <cellStyle name="Nota 2 2 2 3 5 2 4" xfId="17515"/>
    <cellStyle name="Nota 2 2 2 3 5 3" xfId="12842"/>
    <cellStyle name="Nota 2 2 2 3 5 3 2" xfId="27164"/>
    <cellStyle name="Nota 2 2 2 3 5 4" xfId="18487"/>
    <cellStyle name="Nota 2 2 2 3 6" xfId="5423"/>
    <cellStyle name="Nota 2 2 2 3 6 2" xfId="11974"/>
    <cellStyle name="Nota 2 2 2 3 6 2 2" xfId="26296"/>
    <cellStyle name="Nota 2 2 2 3 6 3" xfId="17619"/>
    <cellStyle name="Nota 2 2 2 3 7" xfId="3798"/>
    <cellStyle name="Nota 2 2 2 3 7 2" xfId="22586"/>
    <cellStyle name="Nota 2 2 2 3 8" xfId="17052"/>
    <cellStyle name="Nota 2 2 2 4" xfId="1382"/>
    <cellStyle name="Nota 2 2 2 4 2" xfId="1383"/>
    <cellStyle name="Nota 2 2 2 4 2 2" xfId="1384"/>
    <cellStyle name="Nota 2 2 2 4 2 2 2" xfId="6877"/>
    <cellStyle name="Nota 2 2 2 4 2 2 2 2" xfId="13481"/>
    <cellStyle name="Nota 2 2 2 4 2 2 2 2 2" xfId="27803"/>
    <cellStyle name="Nota 2 2 2 4 2 2 2 3" xfId="19126"/>
    <cellStyle name="Nota 2 2 2 4 2 2 3" xfId="3794"/>
    <cellStyle name="Nota 2 2 2 4 2 2 3 2" xfId="9375"/>
    <cellStyle name="Nota 2 2 2 4 2 2 3 2 2" xfId="15637"/>
    <cellStyle name="Nota 2 2 2 4 2 2 3 2 2 2" xfId="29053"/>
    <cellStyle name="Nota 2 2 2 4 2 2 3 2 3" xfId="20382"/>
    <cellStyle name="Nota 2 2 2 4 2 2 3 3" xfId="5021"/>
    <cellStyle name="Nota 2 2 2 4 2 2 3 3 2" xfId="23310"/>
    <cellStyle name="Nota 2 2 2 4 2 2 3 4" xfId="16962"/>
    <cellStyle name="Nota 2 2 2 4 2 2 4" xfId="11346"/>
    <cellStyle name="Nota 2 2 2 4 2 2 4 2" xfId="25668"/>
    <cellStyle name="Nota 2 2 2 4 2 2 5" xfId="14757"/>
    <cellStyle name="Nota 2 2 2 4 2 3" xfId="1385"/>
    <cellStyle name="Nota 2 2 2 4 2 3 2" xfId="7441"/>
    <cellStyle name="Nota 2 2 2 4 2 3 2 2" xfId="10055"/>
    <cellStyle name="Nota 2 2 2 4 2 3 2 2 2" xfId="16317"/>
    <cellStyle name="Nota 2 2 2 4 2 3 2 2 2 2" xfId="29733"/>
    <cellStyle name="Nota 2 2 2 4 2 3 2 2 3" xfId="21062"/>
    <cellStyle name="Nota 2 2 2 4 2 3 2 3" xfId="14045"/>
    <cellStyle name="Nota 2 2 2 4 2 3 2 3 2" xfId="28367"/>
    <cellStyle name="Nota 2 2 2 4 2 3 2 4" xfId="19690"/>
    <cellStyle name="Nota 2 2 2 4 2 3 3" xfId="13224"/>
    <cellStyle name="Nota 2 2 2 4 2 3 3 2" xfId="27546"/>
    <cellStyle name="Nota 2 2 2 4 2 3 4" xfId="18869"/>
    <cellStyle name="Nota 2 2 2 4 2 4" xfId="5665"/>
    <cellStyle name="Nota 2 2 2 4 2 4 2" xfId="12218"/>
    <cellStyle name="Nota 2 2 2 4 2 4 2 2" xfId="26540"/>
    <cellStyle name="Nota 2 2 2 4 2 4 3" xfId="17863"/>
    <cellStyle name="Nota 2 2 2 4 2 5" xfId="4335"/>
    <cellStyle name="Nota 2 2 2 4 2 5 2" xfId="22894"/>
    <cellStyle name="Nota 2 2 2 4 2 6" xfId="15198"/>
    <cellStyle name="Nota 2 2 2 4 3" xfId="1386"/>
    <cellStyle name="Nota 2 2 2 4 3 2" xfId="1387"/>
    <cellStyle name="Nota 2 2 2 4 3 2 2" xfId="7039"/>
    <cellStyle name="Nota 2 2 2 4 3 2 2 2" xfId="13643"/>
    <cellStyle name="Nota 2 2 2 4 3 2 2 2 2" xfId="27965"/>
    <cellStyle name="Nota 2 2 2 4 3 2 2 3" xfId="19288"/>
    <cellStyle name="Nota 2 2 2 4 3 2 3" xfId="7929"/>
    <cellStyle name="Nota 2 2 2 4 3 2 3 2" xfId="10543"/>
    <cellStyle name="Nota 2 2 2 4 3 2 3 2 2" xfId="16805"/>
    <cellStyle name="Nota 2 2 2 4 3 2 3 2 2 2" xfId="30221"/>
    <cellStyle name="Nota 2 2 2 4 3 2 3 2 3" xfId="21550"/>
    <cellStyle name="Nota 2 2 2 4 3 2 3 3" xfId="14533"/>
    <cellStyle name="Nota 2 2 2 4 3 2 3 3 2" xfId="28855"/>
    <cellStyle name="Nota 2 2 2 4 3 2 3 4" xfId="20178"/>
    <cellStyle name="Nota 2 2 2 4 3 2 4" xfId="11584"/>
    <cellStyle name="Nota 2 2 2 4 3 2 4 2" xfId="25906"/>
    <cellStyle name="Nota 2 2 2 4 3 2 5" xfId="17329"/>
    <cellStyle name="Nota 2 2 2 4 3 3" xfId="1388"/>
    <cellStyle name="Nota 2 2 2 4 3 3 2" xfId="7813"/>
    <cellStyle name="Nota 2 2 2 4 3 3 2 2" xfId="10427"/>
    <cellStyle name="Nota 2 2 2 4 3 3 2 2 2" xfId="16689"/>
    <cellStyle name="Nota 2 2 2 4 3 3 2 2 2 2" xfId="30105"/>
    <cellStyle name="Nota 2 2 2 4 3 3 2 2 3" xfId="21434"/>
    <cellStyle name="Nota 2 2 2 4 3 3 2 3" xfId="14417"/>
    <cellStyle name="Nota 2 2 2 4 3 3 2 3 2" xfId="28739"/>
    <cellStyle name="Nota 2 2 2 4 3 3 2 4" xfId="20062"/>
    <cellStyle name="Nota 2 2 2 4 3 3 3" xfId="12644"/>
    <cellStyle name="Nota 2 2 2 4 3 3 3 2" xfId="26966"/>
    <cellStyle name="Nota 2 2 2 4 3 3 4" xfId="18289"/>
    <cellStyle name="Nota 2 2 2 4 3 4" xfId="5137"/>
    <cellStyle name="Nota 2 2 2 4 3 4 2" xfId="11686"/>
    <cellStyle name="Nota 2 2 2 4 3 4 2 2" xfId="26008"/>
    <cellStyle name="Nota 2 2 2 4 3 4 3" xfId="6820"/>
    <cellStyle name="Nota 2 2 2 4 3 5" xfId="4403"/>
    <cellStyle name="Nota 2 2 2 4 3 5 2" xfId="22930"/>
    <cellStyle name="Nota 2 2 2 4 3 6" xfId="15431"/>
    <cellStyle name="Nota 2 2 2 4 4" xfId="1389"/>
    <cellStyle name="Nota 2 2 2 4 4 2" xfId="6845"/>
    <cellStyle name="Nota 2 2 2 4 4 2 2" xfId="13449"/>
    <cellStyle name="Nota 2 2 2 4 4 2 2 2" xfId="27771"/>
    <cellStyle name="Nota 2 2 2 4 4 2 3" xfId="19094"/>
    <cellStyle name="Nota 2 2 2 4 4 3" xfId="7622"/>
    <cellStyle name="Nota 2 2 2 4 4 3 2" xfId="10236"/>
    <cellStyle name="Nota 2 2 2 4 4 3 2 2" xfId="16498"/>
    <cellStyle name="Nota 2 2 2 4 4 3 2 2 2" xfId="29914"/>
    <cellStyle name="Nota 2 2 2 4 4 3 2 3" xfId="21243"/>
    <cellStyle name="Nota 2 2 2 4 4 3 3" xfId="14226"/>
    <cellStyle name="Nota 2 2 2 4 4 3 3 2" xfId="28548"/>
    <cellStyle name="Nota 2 2 2 4 4 3 4" xfId="19871"/>
    <cellStyle name="Nota 2 2 2 4 4 4" xfId="2767"/>
    <cellStyle name="Nota 2 2 2 4 4 4 2" xfId="22336"/>
    <cellStyle name="Nota 2 2 2 4 4 5" xfId="16967"/>
    <cellStyle name="Nota 2 2 2 4 5" xfId="1390"/>
    <cellStyle name="Nota 2 2 2 4 5 2" xfId="7044"/>
    <cellStyle name="Nota 2 2 2 4 5 2 2" xfId="9658"/>
    <cellStyle name="Nota 2 2 2 4 5 2 2 2" xfId="15920"/>
    <cellStyle name="Nota 2 2 2 4 5 2 2 2 2" xfId="29336"/>
    <cellStyle name="Nota 2 2 2 4 5 2 2 3" xfId="20665"/>
    <cellStyle name="Nota 2 2 2 4 5 2 3" xfId="13648"/>
    <cellStyle name="Nota 2 2 2 4 5 2 3 2" xfId="27970"/>
    <cellStyle name="Nota 2 2 2 4 5 2 4" xfId="19293"/>
    <cellStyle name="Nota 2 2 2 4 5 3" xfId="12558"/>
    <cellStyle name="Nota 2 2 2 4 5 3 2" xfId="26880"/>
    <cellStyle name="Nota 2 2 2 4 5 4" xfId="18203"/>
    <cellStyle name="Nota 2 2 2 4 6" xfId="5085"/>
    <cellStyle name="Nota 2 2 2 4 6 2" xfId="11632"/>
    <cellStyle name="Nota 2 2 2 4 6 2 2" xfId="25954"/>
    <cellStyle name="Nota 2 2 2 4 6 3" xfId="17108"/>
    <cellStyle name="Nota 2 2 2 4 7" xfId="4808"/>
    <cellStyle name="Nota 2 2 2 4 7 2" xfId="23197"/>
    <cellStyle name="Nota 2 2 2 4 8" xfId="15012"/>
    <cellStyle name="Nota 2 2 2 5" xfId="1391"/>
    <cellStyle name="Nota 2 2 2 5 2" xfId="1392"/>
    <cellStyle name="Nota 2 2 2 5 2 2" xfId="1393"/>
    <cellStyle name="Nota 2 2 2 5 2 2 2" xfId="5618"/>
    <cellStyle name="Nota 2 2 2 5 2 2 2 2" xfId="12171"/>
    <cellStyle name="Nota 2 2 2 5 2 2 2 2 2" xfId="26493"/>
    <cellStyle name="Nota 2 2 2 5 2 2 2 3" xfId="17816"/>
    <cellStyle name="Nota 2 2 2 5 2 2 3" xfId="3636"/>
    <cellStyle name="Nota 2 2 2 5 2 2 3 2" xfId="9351"/>
    <cellStyle name="Nota 2 2 2 5 2 2 3 2 2" xfId="15613"/>
    <cellStyle name="Nota 2 2 2 5 2 2 3 2 2 2" xfId="29029"/>
    <cellStyle name="Nota 2 2 2 5 2 2 3 2 3" xfId="20358"/>
    <cellStyle name="Nota 2 2 2 5 2 2 3 3" xfId="6336"/>
    <cellStyle name="Nota 2 2 2 5 2 2 3 3 2" xfId="23524"/>
    <cellStyle name="Nota 2 2 2 5 2 2 3 4" xfId="17141"/>
    <cellStyle name="Nota 2 2 2 5 2 2 4" xfId="4292"/>
    <cellStyle name="Nota 2 2 2 5 2 2 4 2" xfId="22876"/>
    <cellStyle name="Nota 2 2 2 5 2 2 5" xfId="3754"/>
    <cellStyle name="Nota 2 2 2 5 2 3" xfId="1394"/>
    <cellStyle name="Nota 2 2 2 5 2 3 2" xfId="7208"/>
    <cellStyle name="Nota 2 2 2 5 2 3 2 2" xfId="9822"/>
    <cellStyle name="Nota 2 2 2 5 2 3 2 2 2" xfId="16084"/>
    <cellStyle name="Nota 2 2 2 5 2 3 2 2 2 2" xfId="29500"/>
    <cellStyle name="Nota 2 2 2 5 2 3 2 2 3" xfId="20829"/>
    <cellStyle name="Nota 2 2 2 5 2 3 2 3" xfId="13812"/>
    <cellStyle name="Nota 2 2 2 5 2 3 2 3 2" xfId="28134"/>
    <cellStyle name="Nota 2 2 2 5 2 3 2 4" xfId="19457"/>
    <cellStyle name="Nota 2 2 2 5 2 3 3" xfId="13232"/>
    <cellStyle name="Nota 2 2 2 5 2 3 3 2" xfId="27554"/>
    <cellStyle name="Nota 2 2 2 5 2 3 4" xfId="18877"/>
    <cellStyle name="Nota 2 2 2 5 2 4" xfId="5673"/>
    <cellStyle name="Nota 2 2 2 5 2 4 2" xfId="12226"/>
    <cellStyle name="Nota 2 2 2 5 2 4 2 2" xfId="26548"/>
    <cellStyle name="Nota 2 2 2 5 2 4 3" xfId="17871"/>
    <cellStyle name="Nota 2 2 2 5 2 5" xfId="4726"/>
    <cellStyle name="Nota 2 2 2 5 2 5 2" xfId="23153"/>
    <cellStyle name="Nota 2 2 2 5 2 6" xfId="17178"/>
    <cellStyle name="Nota 2 2 2 5 3" xfId="1395"/>
    <cellStyle name="Nota 2 2 2 5 3 2" xfId="1396"/>
    <cellStyle name="Nota 2 2 2 5 3 2 2" xfId="6978"/>
    <cellStyle name="Nota 2 2 2 5 3 2 2 2" xfId="13582"/>
    <cellStyle name="Nota 2 2 2 5 3 2 2 2 2" xfId="27904"/>
    <cellStyle name="Nota 2 2 2 5 3 2 2 3" xfId="19227"/>
    <cellStyle name="Nota 2 2 2 5 3 2 3" xfId="4089"/>
    <cellStyle name="Nota 2 2 2 5 3 2 3 2" xfId="9421"/>
    <cellStyle name="Nota 2 2 2 5 3 2 3 2 2" xfId="15683"/>
    <cellStyle name="Nota 2 2 2 5 3 2 3 2 2 2" xfId="29099"/>
    <cellStyle name="Nota 2 2 2 5 3 2 3 2 3" xfId="20428"/>
    <cellStyle name="Nota 2 2 2 5 3 2 3 3" xfId="4144"/>
    <cellStyle name="Nota 2 2 2 5 3 2 3 3 2" xfId="22782"/>
    <cellStyle name="Nota 2 2 2 5 3 2 3 4" xfId="17140"/>
    <cellStyle name="Nota 2 2 2 5 3 2 4" xfId="11489"/>
    <cellStyle name="Nota 2 2 2 5 3 2 4 2" xfId="25811"/>
    <cellStyle name="Nota 2 2 2 5 3 2 5" xfId="17318"/>
    <cellStyle name="Nota 2 2 2 5 3 3" xfId="1397"/>
    <cellStyle name="Nota 2 2 2 5 3 3 2" xfId="7958"/>
    <cellStyle name="Nota 2 2 2 5 3 3 2 2" xfId="10572"/>
    <cellStyle name="Nota 2 2 2 5 3 3 2 2 2" xfId="16834"/>
    <cellStyle name="Nota 2 2 2 5 3 3 2 2 2 2" xfId="30250"/>
    <cellStyle name="Nota 2 2 2 5 3 3 2 2 3" xfId="21579"/>
    <cellStyle name="Nota 2 2 2 5 3 3 2 3" xfId="14562"/>
    <cellStyle name="Nota 2 2 2 5 3 3 2 3 2" xfId="28884"/>
    <cellStyle name="Nota 2 2 2 5 3 3 2 4" xfId="20207"/>
    <cellStyle name="Nota 2 2 2 5 3 3 3" xfId="13419"/>
    <cellStyle name="Nota 2 2 2 5 3 3 3 2" xfId="27741"/>
    <cellStyle name="Nota 2 2 2 5 3 3 4" xfId="19064"/>
    <cellStyle name="Nota 2 2 2 5 3 4" xfId="5890"/>
    <cellStyle name="Nota 2 2 2 5 3 4 2" xfId="12443"/>
    <cellStyle name="Nota 2 2 2 5 3 4 2 2" xfId="26765"/>
    <cellStyle name="Nota 2 2 2 5 3 4 3" xfId="18088"/>
    <cellStyle name="Nota 2 2 2 5 3 5" xfId="4047"/>
    <cellStyle name="Nota 2 2 2 5 3 5 2" xfId="22724"/>
    <cellStyle name="Nota 2 2 2 5 3 6" xfId="3987"/>
    <cellStyle name="Nota 2 2 2 5 4" xfId="1398"/>
    <cellStyle name="Nota 2 2 2 5 4 2" xfId="6967"/>
    <cellStyle name="Nota 2 2 2 5 4 2 2" xfId="13571"/>
    <cellStyle name="Nota 2 2 2 5 4 2 2 2" xfId="27893"/>
    <cellStyle name="Nota 2 2 2 5 4 2 3" xfId="19216"/>
    <cellStyle name="Nota 2 2 2 5 4 3" xfId="7907"/>
    <cellStyle name="Nota 2 2 2 5 4 3 2" xfId="10521"/>
    <cellStyle name="Nota 2 2 2 5 4 3 2 2" xfId="16783"/>
    <cellStyle name="Nota 2 2 2 5 4 3 2 2 2" xfId="30199"/>
    <cellStyle name="Nota 2 2 2 5 4 3 2 3" xfId="21528"/>
    <cellStyle name="Nota 2 2 2 5 4 3 3" xfId="14511"/>
    <cellStyle name="Nota 2 2 2 5 4 3 3 2" xfId="28833"/>
    <cellStyle name="Nota 2 2 2 5 4 3 4" xfId="20156"/>
    <cellStyle name="Nota 2 2 2 5 4 4" xfId="11472"/>
    <cellStyle name="Nota 2 2 2 5 4 4 2" xfId="25794"/>
    <cellStyle name="Nota 2 2 2 5 4 5" xfId="6619"/>
    <cellStyle name="Nota 2 2 2 5 5" xfId="1399"/>
    <cellStyle name="Nota 2 2 2 5 5 2" xfId="7586"/>
    <cellStyle name="Nota 2 2 2 5 5 2 2" xfId="10200"/>
    <cellStyle name="Nota 2 2 2 5 5 2 2 2" xfId="16462"/>
    <cellStyle name="Nota 2 2 2 5 5 2 2 2 2" xfId="29878"/>
    <cellStyle name="Nota 2 2 2 5 5 2 2 3" xfId="21207"/>
    <cellStyle name="Nota 2 2 2 5 5 2 3" xfId="14190"/>
    <cellStyle name="Nota 2 2 2 5 5 2 3 2" xfId="28512"/>
    <cellStyle name="Nota 2 2 2 5 5 2 4" xfId="19835"/>
    <cellStyle name="Nota 2 2 2 5 5 3" xfId="12627"/>
    <cellStyle name="Nota 2 2 2 5 5 3 2" xfId="26949"/>
    <cellStyle name="Nota 2 2 2 5 5 4" xfId="18272"/>
    <cellStyle name="Nota 2 2 2 5 6" xfId="5050"/>
    <cellStyle name="Nota 2 2 2 5 6 2" xfId="11597"/>
    <cellStyle name="Nota 2 2 2 5 6 2 2" xfId="25919"/>
    <cellStyle name="Nota 2 2 2 5 6 3" xfId="17050"/>
    <cellStyle name="Nota 2 2 2 5 7" xfId="3781"/>
    <cellStyle name="Nota 2 2 2 5 7 2" xfId="22574"/>
    <cellStyle name="Nota 2 2 2 5 8" xfId="15493"/>
    <cellStyle name="Nota 2 2 2 6" xfId="1400"/>
    <cellStyle name="Nota 2 2 2 6 2" xfId="1401"/>
    <cellStyle name="Nota 2 2 2 6 2 2" xfId="1402"/>
    <cellStyle name="Nota 2 2 2 6 2 2 2" xfId="7003"/>
    <cellStyle name="Nota 2 2 2 6 2 2 2 2" xfId="13607"/>
    <cellStyle name="Nota 2 2 2 6 2 2 2 2 2" xfId="27929"/>
    <cellStyle name="Nota 2 2 2 6 2 2 2 3" xfId="19252"/>
    <cellStyle name="Nota 2 2 2 6 2 2 3" xfId="7410"/>
    <cellStyle name="Nota 2 2 2 6 2 2 3 2" xfId="10024"/>
    <cellStyle name="Nota 2 2 2 6 2 2 3 2 2" xfId="16286"/>
    <cellStyle name="Nota 2 2 2 6 2 2 3 2 2 2" xfId="29702"/>
    <cellStyle name="Nota 2 2 2 6 2 2 3 2 3" xfId="21031"/>
    <cellStyle name="Nota 2 2 2 6 2 2 3 3" xfId="14014"/>
    <cellStyle name="Nota 2 2 2 6 2 2 3 3 2" xfId="28336"/>
    <cellStyle name="Nota 2 2 2 6 2 2 3 4" xfId="19659"/>
    <cellStyle name="Nota 2 2 2 6 2 2 4" xfId="11521"/>
    <cellStyle name="Nota 2 2 2 6 2 2 4 2" xfId="25843"/>
    <cellStyle name="Nota 2 2 2 6 2 2 5" xfId="17018"/>
    <cellStyle name="Nota 2 2 2 6 2 3" xfId="1403"/>
    <cellStyle name="Nota 2 2 2 6 2 3 2" xfId="7258"/>
    <cellStyle name="Nota 2 2 2 6 2 3 2 2" xfId="9872"/>
    <cellStyle name="Nota 2 2 2 6 2 3 2 2 2" xfId="16134"/>
    <cellStyle name="Nota 2 2 2 6 2 3 2 2 2 2" xfId="29550"/>
    <cellStyle name="Nota 2 2 2 6 2 3 2 2 3" xfId="20879"/>
    <cellStyle name="Nota 2 2 2 6 2 3 2 3" xfId="13862"/>
    <cellStyle name="Nota 2 2 2 6 2 3 2 3 2" xfId="28184"/>
    <cellStyle name="Nota 2 2 2 6 2 3 2 4" xfId="19507"/>
    <cellStyle name="Nota 2 2 2 6 2 3 3" xfId="13099"/>
    <cellStyle name="Nota 2 2 2 6 2 3 3 2" xfId="27421"/>
    <cellStyle name="Nota 2 2 2 6 2 3 4" xfId="18744"/>
    <cellStyle name="Nota 2 2 2 6 2 4" xfId="5460"/>
    <cellStyle name="Nota 2 2 2 6 2 4 2" xfId="12011"/>
    <cellStyle name="Nota 2 2 2 6 2 4 2 2" xfId="26333"/>
    <cellStyle name="Nota 2 2 2 6 2 4 3" xfId="17656"/>
    <cellStyle name="Nota 2 2 2 6 2 5" xfId="4868"/>
    <cellStyle name="Nota 2 2 2 6 2 5 2" xfId="23233"/>
    <cellStyle name="Nota 2 2 2 6 2 6" xfId="4506"/>
    <cellStyle name="Nota 2 2 2 6 3" xfId="1404"/>
    <cellStyle name="Nota 2 2 2 6 3 2" xfId="5410"/>
    <cellStyle name="Nota 2 2 2 6 3 2 2" xfId="11960"/>
    <cellStyle name="Nota 2 2 2 6 3 2 2 2" xfId="26282"/>
    <cellStyle name="Nota 2 2 2 6 3 2 3" xfId="17605"/>
    <cellStyle name="Nota 2 2 2 6 3 3" xfId="5309"/>
    <cellStyle name="Nota 2 2 2 6 3 3 2" xfId="9618"/>
    <cellStyle name="Nota 2 2 2 6 3 3 2 2" xfId="15880"/>
    <cellStyle name="Nota 2 2 2 6 3 3 2 2 2" xfId="29296"/>
    <cellStyle name="Nota 2 2 2 6 3 3 2 3" xfId="20625"/>
    <cellStyle name="Nota 2 2 2 6 3 3 3" xfId="11859"/>
    <cellStyle name="Nota 2 2 2 6 3 3 3 2" xfId="26181"/>
    <cellStyle name="Nota 2 2 2 6 3 3 4" xfId="17504"/>
    <cellStyle name="Nota 2 2 2 6 3 4" xfId="6742"/>
    <cellStyle name="Nota 2 2 2 6 3 4 2" xfId="23691"/>
    <cellStyle name="Nota 2 2 2 6 3 5" xfId="17398"/>
    <cellStyle name="Nota 2 2 2 6 4" xfId="1405"/>
    <cellStyle name="Nota 2 2 2 6 4 2" xfId="7820"/>
    <cellStyle name="Nota 2 2 2 6 4 2 2" xfId="10434"/>
    <cellStyle name="Nota 2 2 2 6 4 2 2 2" xfId="16696"/>
    <cellStyle name="Nota 2 2 2 6 4 2 2 2 2" xfId="30112"/>
    <cellStyle name="Nota 2 2 2 6 4 2 2 3" xfId="21441"/>
    <cellStyle name="Nota 2 2 2 6 4 2 3" xfId="14424"/>
    <cellStyle name="Nota 2 2 2 6 4 2 3 2" xfId="28746"/>
    <cellStyle name="Nota 2 2 2 6 4 2 4" xfId="20069"/>
    <cellStyle name="Nota 2 2 2 6 4 3" xfId="12529"/>
    <cellStyle name="Nota 2 2 2 6 4 3 2" xfId="26851"/>
    <cellStyle name="Nota 2 2 2 6 4 4" xfId="18174"/>
    <cellStyle name="Nota 2 2 2 6 5" xfId="5186"/>
    <cellStyle name="Nota 2 2 2 6 5 2" xfId="11735"/>
    <cellStyle name="Nota 2 2 2 6 5 2 2" xfId="26057"/>
    <cellStyle name="Nota 2 2 2 6 5 3" xfId="17399"/>
    <cellStyle name="Nota 2 2 2 6 6" xfId="6043"/>
    <cellStyle name="Nota 2 2 2 6 6 2" xfId="23397"/>
    <cellStyle name="Nota 2 2 2 6 7" xfId="17043"/>
    <cellStyle name="Nota 2 2 2 7" xfId="1406"/>
    <cellStyle name="Nota 2 2 2 7 2" xfId="1407"/>
    <cellStyle name="Nota 2 2 2 7 2 2" xfId="7025"/>
    <cellStyle name="Nota 2 2 2 7 2 2 2" xfId="13629"/>
    <cellStyle name="Nota 2 2 2 7 2 2 2 2" xfId="27951"/>
    <cellStyle name="Nota 2 2 2 7 2 2 3" xfId="19274"/>
    <cellStyle name="Nota 2 2 2 7 2 3" xfId="7382"/>
    <cellStyle name="Nota 2 2 2 7 2 3 2" xfId="9996"/>
    <cellStyle name="Nota 2 2 2 7 2 3 2 2" xfId="16258"/>
    <cellStyle name="Nota 2 2 2 7 2 3 2 2 2" xfId="29674"/>
    <cellStyle name="Nota 2 2 2 7 2 3 2 3" xfId="21003"/>
    <cellStyle name="Nota 2 2 2 7 2 3 3" xfId="13986"/>
    <cellStyle name="Nota 2 2 2 7 2 3 3 2" xfId="28308"/>
    <cellStyle name="Nota 2 2 2 7 2 3 4" xfId="19631"/>
    <cellStyle name="Nota 2 2 2 7 2 4" xfId="11562"/>
    <cellStyle name="Nota 2 2 2 7 2 4 2" xfId="25884"/>
    <cellStyle name="Nota 2 2 2 7 2 5" xfId="16953"/>
    <cellStyle name="Nota 2 2 2 7 3" xfId="1408"/>
    <cellStyle name="Nota 2 2 2 7 3 2" xfId="3627"/>
    <cellStyle name="Nota 2 2 2 7 3 2 2" xfId="9348"/>
    <cellStyle name="Nota 2 2 2 7 3 2 2 2" xfId="15610"/>
    <cellStyle name="Nota 2 2 2 7 3 2 2 2 2" xfId="29026"/>
    <cellStyle name="Nota 2 2 2 7 3 2 2 3" xfId="20355"/>
    <cellStyle name="Nota 2 2 2 7 3 2 3" xfId="6243"/>
    <cellStyle name="Nota 2 2 2 7 3 2 3 2" xfId="23468"/>
    <cellStyle name="Nota 2 2 2 7 3 2 4" xfId="15424"/>
    <cellStyle name="Nota 2 2 2 7 3 3" xfId="12638"/>
    <cellStyle name="Nota 2 2 2 7 3 3 2" xfId="26960"/>
    <cellStyle name="Nota 2 2 2 7 3 4" xfId="18283"/>
    <cellStyle name="Nota 2 2 2 7 4" xfId="5220"/>
    <cellStyle name="Nota 2 2 2 7 4 2" xfId="11769"/>
    <cellStyle name="Nota 2 2 2 7 4 2 2" xfId="26091"/>
    <cellStyle name="Nota 2 2 2 7 4 3" xfId="17414"/>
    <cellStyle name="Nota 2 2 2 7 5" xfId="4171"/>
    <cellStyle name="Nota 2 2 2 7 5 2" xfId="22795"/>
    <cellStyle name="Nota 2 2 2 7 6" xfId="17370"/>
    <cellStyle name="Nota 2 2 2 8" xfId="1409"/>
    <cellStyle name="Nota 2 2 2 8 2" xfId="7011"/>
    <cellStyle name="Nota 2 2 2 8 2 2" xfId="13615"/>
    <cellStyle name="Nota 2 2 2 8 2 2 2" xfId="27937"/>
    <cellStyle name="Nota 2 2 2 8 2 3" xfId="19260"/>
    <cellStyle name="Nota 2 2 2 8 3" xfId="7519"/>
    <cellStyle name="Nota 2 2 2 8 3 2" xfId="10133"/>
    <cellStyle name="Nota 2 2 2 8 3 2 2" xfId="16395"/>
    <cellStyle name="Nota 2 2 2 8 3 2 2 2" xfId="29811"/>
    <cellStyle name="Nota 2 2 2 8 3 2 3" xfId="21140"/>
    <cellStyle name="Nota 2 2 2 8 3 3" xfId="14123"/>
    <cellStyle name="Nota 2 2 2 8 3 3 2" xfId="28445"/>
    <cellStyle name="Nota 2 2 2 8 3 4" xfId="19768"/>
    <cellStyle name="Nota 2 2 2 8 4" xfId="11535"/>
    <cellStyle name="Nota 2 2 2 8 4 2" xfId="25857"/>
    <cellStyle name="Nota 2 2 2 8 5" xfId="3857"/>
    <cellStyle name="Nota 2 2 2 9" xfId="1410"/>
    <cellStyle name="Nota 2 2 2 9 2" xfId="5302"/>
    <cellStyle name="Nota 2 2 2 9 2 2" xfId="9611"/>
    <cellStyle name="Nota 2 2 2 9 2 2 2" xfId="15873"/>
    <cellStyle name="Nota 2 2 2 9 2 2 2 2" xfId="29289"/>
    <cellStyle name="Nota 2 2 2 9 2 2 3" xfId="20618"/>
    <cellStyle name="Nota 2 2 2 9 2 3" xfId="11852"/>
    <cellStyle name="Nota 2 2 2 9 2 3 2" xfId="26174"/>
    <cellStyle name="Nota 2 2 2 9 2 4" xfId="17497"/>
    <cellStyle name="Nota 2 2 2 9 3" xfId="11406"/>
    <cellStyle name="Nota 2 2 2 9 3 2" xfId="25728"/>
    <cellStyle name="Nota 2 2 2 9 4" xfId="17084"/>
    <cellStyle name="Nota 2 2 3" xfId="1411"/>
    <cellStyle name="Nota 2 2 3 10" xfId="4369"/>
    <cellStyle name="Nota 2 2 3 10 2" xfId="22911"/>
    <cellStyle name="Nota 2 2 3 11" xfId="14931"/>
    <cellStyle name="Nota 2 2 3 2" xfId="1412"/>
    <cellStyle name="Nota 2 2 3 2 2" xfId="1413"/>
    <cellStyle name="Nota 2 2 3 2 2 2" xfId="1414"/>
    <cellStyle name="Nota 2 2 3 2 2 2 2" xfId="6527"/>
    <cellStyle name="Nota 2 2 3 2 2 2 2 2" xfId="13115"/>
    <cellStyle name="Nota 2 2 3 2 2 2 2 2 2" xfId="27437"/>
    <cellStyle name="Nota 2 2 3 2 2 2 2 3" xfId="18760"/>
    <cellStyle name="Nota 2 2 3 2 2 2 3" xfId="7454"/>
    <cellStyle name="Nota 2 2 3 2 2 2 3 2" xfId="10068"/>
    <cellStyle name="Nota 2 2 3 2 2 2 3 2 2" xfId="16330"/>
    <cellStyle name="Nota 2 2 3 2 2 2 3 2 2 2" xfId="29746"/>
    <cellStyle name="Nota 2 2 3 2 2 2 3 2 3" xfId="21075"/>
    <cellStyle name="Nota 2 2 3 2 2 2 3 3" xfId="14058"/>
    <cellStyle name="Nota 2 2 3 2 2 2 3 3 2" xfId="28380"/>
    <cellStyle name="Nota 2 2 3 2 2 2 3 4" xfId="19703"/>
    <cellStyle name="Nota 2 2 3 2 2 2 4" xfId="2829"/>
    <cellStyle name="Nota 2 2 3 2 2 2 4 2" xfId="22392"/>
    <cellStyle name="Nota 2 2 3 2 2 2 5" xfId="3704"/>
    <cellStyle name="Nota 2 2 3 2 2 3" xfId="1415"/>
    <cellStyle name="Nota 2 2 3 2 2 3 2" xfId="7610"/>
    <cellStyle name="Nota 2 2 3 2 2 3 2 2" xfId="10224"/>
    <cellStyle name="Nota 2 2 3 2 2 3 2 2 2" xfId="16486"/>
    <cellStyle name="Nota 2 2 3 2 2 3 2 2 2 2" xfId="29902"/>
    <cellStyle name="Nota 2 2 3 2 2 3 2 2 3" xfId="21231"/>
    <cellStyle name="Nota 2 2 3 2 2 3 2 3" xfId="14214"/>
    <cellStyle name="Nota 2 2 3 2 2 3 2 3 2" xfId="28536"/>
    <cellStyle name="Nota 2 2 3 2 2 3 2 4" xfId="19859"/>
    <cellStyle name="Nota 2 2 3 2 2 3 3" xfId="13314"/>
    <cellStyle name="Nota 2 2 3 2 2 3 3 2" xfId="27636"/>
    <cellStyle name="Nota 2 2 3 2 2 3 4" xfId="18959"/>
    <cellStyle name="Nota 2 2 3 2 2 4" xfId="5764"/>
    <cellStyle name="Nota 2 2 3 2 2 4 2" xfId="12317"/>
    <cellStyle name="Nota 2 2 3 2 2 4 2 2" xfId="26639"/>
    <cellStyle name="Nota 2 2 3 2 2 4 3" xfId="17962"/>
    <cellStyle name="Nota 2 2 3 2 2 5" xfId="3712"/>
    <cellStyle name="Nota 2 2 3 2 2 5 2" xfId="22539"/>
    <cellStyle name="Nota 2 2 3 2 2 6" xfId="15472"/>
    <cellStyle name="Nota 2 2 3 2 3" xfId="1416"/>
    <cellStyle name="Nota 2 2 3 2 3 2" xfId="1417"/>
    <cellStyle name="Nota 2 2 3 2 3 2 2" xfId="6555"/>
    <cellStyle name="Nota 2 2 3 2 3 2 2 2" xfId="13143"/>
    <cellStyle name="Nota 2 2 3 2 3 2 2 2 2" xfId="27465"/>
    <cellStyle name="Nota 2 2 3 2 3 2 2 3" xfId="18788"/>
    <cellStyle name="Nota 2 2 3 2 3 2 3" xfId="7301"/>
    <cellStyle name="Nota 2 2 3 2 3 2 3 2" xfId="9915"/>
    <cellStyle name="Nota 2 2 3 2 3 2 3 2 2" xfId="16177"/>
    <cellStyle name="Nota 2 2 3 2 3 2 3 2 2 2" xfId="29593"/>
    <cellStyle name="Nota 2 2 3 2 3 2 3 2 3" xfId="20922"/>
    <cellStyle name="Nota 2 2 3 2 3 2 3 3" xfId="13905"/>
    <cellStyle name="Nota 2 2 3 2 3 2 3 3 2" xfId="28227"/>
    <cellStyle name="Nota 2 2 3 2 3 2 3 4" xfId="19550"/>
    <cellStyle name="Nota 2 2 3 2 3 2 4" xfId="3475"/>
    <cellStyle name="Nota 2 2 3 2 3 2 4 2" xfId="22473"/>
    <cellStyle name="Nota 2 2 3 2 3 2 5" xfId="14996"/>
    <cellStyle name="Nota 2 2 3 2 3 3" xfId="1418"/>
    <cellStyle name="Nota 2 2 3 2 3 3 2" xfId="7116"/>
    <cellStyle name="Nota 2 2 3 2 3 3 2 2" xfId="9730"/>
    <cellStyle name="Nota 2 2 3 2 3 3 2 2 2" xfId="15992"/>
    <cellStyle name="Nota 2 2 3 2 3 3 2 2 2 2" xfId="29408"/>
    <cellStyle name="Nota 2 2 3 2 3 3 2 2 3" xfId="20737"/>
    <cellStyle name="Nota 2 2 3 2 3 3 2 3" xfId="13720"/>
    <cellStyle name="Nota 2 2 3 2 3 3 2 3 2" xfId="28042"/>
    <cellStyle name="Nota 2 2 3 2 3 3 2 4" xfId="19365"/>
    <cellStyle name="Nota 2 2 3 2 3 3 3" xfId="12619"/>
    <cellStyle name="Nota 2 2 3 2 3 3 3 2" xfId="26941"/>
    <cellStyle name="Nota 2 2 3 2 3 3 4" xfId="18264"/>
    <cellStyle name="Nota 2 2 3 2 3 4" xfId="3703"/>
    <cellStyle name="Nota 2 2 3 2 3 4 2" xfId="6573"/>
    <cellStyle name="Nota 2 2 3 2 3 4 2 2" xfId="23583"/>
    <cellStyle name="Nota 2 2 3 2 3 4 3" xfId="4616"/>
    <cellStyle name="Nota 2 2 3 2 3 5" xfId="3945"/>
    <cellStyle name="Nota 2 2 3 2 3 5 2" xfId="22661"/>
    <cellStyle name="Nota 2 2 3 2 3 6" xfId="14857"/>
    <cellStyle name="Nota 2 2 3 2 4" xfId="1419"/>
    <cellStyle name="Nota 2 2 3 2 4 2" xfId="6900"/>
    <cellStyle name="Nota 2 2 3 2 4 2 2" xfId="13504"/>
    <cellStyle name="Nota 2 2 3 2 4 2 2 2" xfId="27826"/>
    <cellStyle name="Nota 2 2 3 2 4 2 3" xfId="19149"/>
    <cellStyle name="Nota 2 2 3 2 4 3" xfId="7291"/>
    <cellStyle name="Nota 2 2 3 2 4 3 2" xfId="9905"/>
    <cellStyle name="Nota 2 2 3 2 4 3 2 2" xfId="16167"/>
    <cellStyle name="Nota 2 2 3 2 4 3 2 2 2" xfId="29583"/>
    <cellStyle name="Nota 2 2 3 2 4 3 2 3" xfId="20912"/>
    <cellStyle name="Nota 2 2 3 2 4 3 3" xfId="13895"/>
    <cellStyle name="Nota 2 2 3 2 4 3 3 2" xfId="28217"/>
    <cellStyle name="Nota 2 2 3 2 4 3 4" xfId="19540"/>
    <cellStyle name="Nota 2 2 3 2 4 4" xfId="11379"/>
    <cellStyle name="Nota 2 2 3 2 4 4 2" xfId="25701"/>
    <cellStyle name="Nota 2 2 3 2 4 5" xfId="17387"/>
    <cellStyle name="Nota 2 2 3 2 5" xfId="1420"/>
    <cellStyle name="Nota 2 2 3 2 5 2" xfId="7437"/>
    <cellStyle name="Nota 2 2 3 2 5 2 2" xfId="10051"/>
    <cellStyle name="Nota 2 2 3 2 5 2 2 2" xfId="16313"/>
    <cellStyle name="Nota 2 2 3 2 5 2 2 2 2" xfId="29729"/>
    <cellStyle name="Nota 2 2 3 2 5 2 2 3" xfId="21058"/>
    <cellStyle name="Nota 2 2 3 2 5 2 3" xfId="14041"/>
    <cellStyle name="Nota 2 2 3 2 5 2 3 2" xfId="28363"/>
    <cellStyle name="Nota 2 2 3 2 5 2 4" xfId="19686"/>
    <cellStyle name="Nota 2 2 3 2 5 3" xfId="12890"/>
    <cellStyle name="Nota 2 2 3 2 5 3 2" xfId="27212"/>
    <cellStyle name="Nota 2 2 3 2 5 4" xfId="18535"/>
    <cellStyle name="Nota 2 2 3 2 6" xfId="5508"/>
    <cellStyle name="Nota 2 2 3 2 6 2" xfId="12059"/>
    <cellStyle name="Nota 2 2 3 2 6 2 2" xfId="26381"/>
    <cellStyle name="Nota 2 2 3 2 6 3" xfId="17704"/>
    <cellStyle name="Nota 2 2 3 2 7" xfId="4411"/>
    <cellStyle name="Nota 2 2 3 2 7 2" xfId="22935"/>
    <cellStyle name="Nota 2 2 3 2 8" xfId="15332"/>
    <cellStyle name="Nota 2 2 3 3" xfId="1421"/>
    <cellStyle name="Nota 2 2 3 3 2" xfId="1422"/>
    <cellStyle name="Nota 2 2 3 3 2 2" xfId="1423"/>
    <cellStyle name="Nota 2 2 3 3 2 2 2" xfId="6459"/>
    <cellStyle name="Nota 2 2 3 3 2 2 2 2" xfId="13042"/>
    <cellStyle name="Nota 2 2 3 3 2 2 2 2 2" xfId="27364"/>
    <cellStyle name="Nota 2 2 3 3 2 2 2 3" xfId="18687"/>
    <cellStyle name="Nota 2 2 3 3 2 2 3" xfId="7185"/>
    <cellStyle name="Nota 2 2 3 3 2 2 3 2" xfId="9799"/>
    <cellStyle name="Nota 2 2 3 3 2 2 3 2 2" xfId="16061"/>
    <cellStyle name="Nota 2 2 3 3 2 2 3 2 2 2" xfId="29477"/>
    <cellStyle name="Nota 2 2 3 3 2 2 3 2 3" xfId="20806"/>
    <cellStyle name="Nota 2 2 3 3 2 2 3 3" xfId="13789"/>
    <cellStyle name="Nota 2 2 3 3 2 2 3 3 2" xfId="28111"/>
    <cellStyle name="Nota 2 2 3 3 2 2 3 4" xfId="19434"/>
    <cellStyle name="Nota 2 2 3 3 2 2 4" xfId="6151"/>
    <cellStyle name="Nota 2 2 3 3 2 2 4 2" xfId="23431"/>
    <cellStyle name="Nota 2 2 3 3 2 2 5" xfId="15168"/>
    <cellStyle name="Nota 2 2 3 3 2 3" xfId="1424"/>
    <cellStyle name="Nota 2 2 3 3 2 3 2" xfId="7174"/>
    <cellStyle name="Nota 2 2 3 3 2 3 2 2" xfId="9788"/>
    <cellStyle name="Nota 2 2 3 3 2 3 2 2 2" xfId="16050"/>
    <cellStyle name="Nota 2 2 3 3 2 3 2 2 2 2" xfId="29466"/>
    <cellStyle name="Nota 2 2 3 3 2 3 2 2 3" xfId="20795"/>
    <cellStyle name="Nota 2 2 3 3 2 3 2 3" xfId="13778"/>
    <cellStyle name="Nota 2 2 3 3 2 3 2 3 2" xfId="28100"/>
    <cellStyle name="Nota 2 2 3 3 2 3 2 4" xfId="19423"/>
    <cellStyle name="Nota 2 2 3 3 2 3 3" xfId="13350"/>
    <cellStyle name="Nota 2 2 3 3 2 3 3 2" xfId="27672"/>
    <cellStyle name="Nota 2 2 3 3 2 3 4" xfId="18995"/>
    <cellStyle name="Nota 2 2 3 3 2 4" xfId="5800"/>
    <cellStyle name="Nota 2 2 3 3 2 4 2" xfId="12353"/>
    <cellStyle name="Nota 2 2 3 3 2 4 2 2" xfId="26675"/>
    <cellStyle name="Nota 2 2 3 3 2 4 3" xfId="17998"/>
    <cellStyle name="Nota 2 2 3 3 2 5" xfId="6099"/>
    <cellStyle name="Nota 2 2 3 3 2 5 2" xfId="23415"/>
    <cellStyle name="Nota 2 2 3 3 2 6" xfId="15006"/>
    <cellStyle name="Nota 2 2 3 3 3" xfId="1425"/>
    <cellStyle name="Nota 2 2 3 3 3 2" xfId="1426"/>
    <cellStyle name="Nota 2 2 3 3 3 2 2" xfId="6126"/>
    <cellStyle name="Nota 2 2 3 3 3 2 2 2" xfId="12695"/>
    <cellStyle name="Nota 2 2 3 3 3 2 2 2 2" xfId="27017"/>
    <cellStyle name="Nota 2 2 3 3 3 2 2 3" xfId="18340"/>
    <cellStyle name="Nota 2 2 3 3 3 2 3" xfId="8066"/>
    <cellStyle name="Nota 2 2 3 3 3 2 3 2" xfId="10680"/>
    <cellStyle name="Nota 2 2 3 3 3 2 3 2 2" xfId="16942"/>
    <cellStyle name="Nota 2 2 3 3 3 2 3 2 2 2" xfId="30358"/>
    <cellStyle name="Nota 2 2 3 3 3 2 3 2 3" xfId="21687"/>
    <cellStyle name="Nota 2 2 3 3 3 2 3 3" xfId="14670"/>
    <cellStyle name="Nota 2 2 3 3 3 2 3 3 2" xfId="28992"/>
    <cellStyle name="Nota 2 2 3 3 3 2 3 4" xfId="20315"/>
    <cellStyle name="Nota 2 2 3 3 3 2 4" xfId="5577"/>
    <cellStyle name="Nota 2 2 3 3 3 2 4 2" xfId="23352"/>
    <cellStyle name="Nota 2 2 3 3 3 2 5" xfId="14817"/>
    <cellStyle name="Nota 2 2 3 3 3 3" xfId="1427"/>
    <cellStyle name="Nota 2 2 3 3 3 3 2" xfId="7395"/>
    <cellStyle name="Nota 2 2 3 3 3 3 2 2" xfId="10009"/>
    <cellStyle name="Nota 2 2 3 3 3 3 2 2 2" xfId="16271"/>
    <cellStyle name="Nota 2 2 3 3 3 3 2 2 2 2" xfId="29687"/>
    <cellStyle name="Nota 2 2 3 3 3 3 2 2 3" xfId="21016"/>
    <cellStyle name="Nota 2 2 3 3 3 3 2 3" xfId="13999"/>
    <cellStyle name="Nota 2 2 3 3 3 3 2 3 2" xfId="28321"/>
    <cellStyle name="Nota 2 2 3 3 3 3 2 4" xfId="19644"/>
    <cellStyle name="Nota 2 2 3 3 3 3 3" xfId="12458"/>
    <cellStyle name="Nota 2 2 3 3 3 3 3 2" xfId="26780"/>
    <cellStyle name="Nota 2 2 3 3 3 3 4" xfId="18103"/>
    <cellStyle name="Nota 2 2 3 3 3 4" xfId="3616"/>
    <cellStyle name="Nota 2 2 3 3 3 4 2" xfId="3864"/>
    <cellStyle name="Nota 2 2 3 3 3 4 2 2" xfId="22618"/>
    <cellStyle name="Nota 2 2 3 3 3 4 3" xfId="15303"/>
    <cellStyle name="Nota 2 2 3 3 3 5" xfId="3293"/>
    <cellStyle name="Nota 2 2 3 3 3 5 2" xfId="22466"/>
    <cellStyle name="Nota 2 2 3 3 3 6" xfId="15590"/>
    <cellStyle name="Nota 2 2 3 3 4" xfId="1428"/>
    <cellStyle name="Nota 2 2 3 3 4 2" xfId="6210"/>
    <cellStyle name="Nota 2 2 3 3 4 2 2" xfId="12783"/>
    <cellStyle name="Nota 2 2 3 3 4 2 2 2" xfId="27105"/>
    <cellStyle name="Nota 2 2 3 3 4 2 3" xfId="18428"/>
    <cellStyle name="Nota 2 2 3 3 4 3" xfId="7126"/>
    <cellStyle name="Nota 2 2 3 3 4 3 2" xfId="9740"/>
    <cellStyle name="Nota 2 2 3 3 4 3 2 2" xfId="16002"/>
    <cellStyle name="Nota 2 2 3 3 4 3 2 2 2" xfId="29418"/>
    <cellStyle name="Nota 2 2 3 3 4 3 2 3" xfId="20747"/>
    <cellStyle name="Nota 2 2 3 3 4 3 3" xfId="13730"/>
    <cellStyle name="Nota 2 2 3 3 4 3 3 2" xfId="28052"/>
    <cellStyle name="Nota 2 2 3 3 4 3 4" xfId="19375"/>
    <cellStyle name="Nota 2 2 3 3 4 4" xfId="6000"/>
    <cellStyle name="Nota 2 2 3 3 4 4 2" xfId="23392"/>
    <cellStyle name="Nota 2 2 3 3 4 5" xfId="17362"/>
    <cellStyle name="Nota 2 2 3 3 5" xfId="1429"/>
    <cellStyle name="Nota 2 2 3 3 5 2" xfId="7151"/>
    <cellStyle name="Nota 2 2 3 3 5 2 2" xfId="9765"/>
    <cellStyle name="Nota 2 2 3 3 5 2 2 2" xfId="16027"/>
    <cellStyle name="Nota 2 2 3 3 5 2 2 2 2" xfId="29443"/>
    <cellStyle name="Nota 2 2 3 3 5 2 2 3" xfId="20772"/>
    <cellStyle name="Nota 2 2 3 3 5 2 3" xfId="13755"/>
    <cellStyle name="Nota 2 2 3 3 5 2 3 2" xfId="28077"/>
    <cellStyle name="Nota 2 2 3 3 5 2 4" xfId="19400"/>
    <cellStyle name="Nota 2 2 3 3 5 3" xfId="12926"/>
    <cellStyle name="Nota 2 2 3 3 5 3 2" xfId="27248"/>
    <cellStyle name="Nota 2 2 3 3 5 4" xfId="18571"/>
    <cellStyle name="Nota 2 2 3 3 6" xfId="5550"/>
    <cellStyle name="Nota 2 2 3 3 6 2" xfId="12101"/>
    <cellStyle name="Nota 2 2 3 3 6 2 2" xfId="26423"/>
    <cellStyle name="Nota 2 2 3 3 6 3" xfId="17746"/>
    <cellStyle name="Nota 2 2 3 3 7" xfId="4282"/>
    <cellStyle name="Nota 2 2 3 3 7 2" xfId="22868"/>
    <cellStyle name="Nota 2 2 3 3 8" xfId="17074"/>
    <cellStyle name="Nota 2 2 3 4" xfId="1430"/>
    <cellStyle name="Nota 2 2 3 4 2" xfId="1431"/>
    <cellStyle name="Nota 2 2 3 4 2 2" xfId="1432"/>
    <cellStyle name="Nota 2 2 3 4 2 2 2" xfId="6881"/>
    <cellStyle name="Nota 2 2 3 4 2 2 2 2" xfId="13485"/>
    <cellStyle name="Nota 2 2 3 4 2 2 2 2 2" xfId="27807"/>
    <cellStyle name="Nota 2 2 3 4 2 2 2 3" xfId="19130"/>
    <cellStyle name="Nota 2 2 3 4 2 2 3" xfId="7689"/>
    <cellStyle name="Nota 2 2 3 4 2 2 3 2" xfId="10303"/>
    <cellStyle name="Nota 2 2 3 4 2 2 3 2 2" xfId="16565"/>
    <cellStyle name="Nota 2 2 3 4 2 2 3 2 2 2" xfId="29981"/>
    <cellStyle name="Nota 2 2 3 4 2 2 3 2 3" xfId="21310"/>
    <cellStyle name="Nota 2 2 3 4 2 2 3 3" xfId="14293"/>
    <cellStyle name="Nota 2 2 3 4 2 2 3 3 2" xfId="28615"/>
    <cellStyle name="Nota 2 2 3 4 2 2 3 4" xfId="19938"/>
    <cellStyle name="Nota 2 2 3 4 2 2 4" xfId="11355"/>
    <cellStyle name="Nota 2 2 3 4 2 2 4 2" xfId="25677"/>
    <cellStyle name="Nota 2 2 3 4 2 2 5" xfId="15550"/>
    <cellStyle name="Nota 2 2 3 4 2 3" xfId="1433"/>
    <cellStyle name="Nota 2 2 3 4 2 3 2" xfId="7187"/>
    <cellStyle name="Nota 2 2 3 4 2 3 2 2" xfId="9801"/>
    <cellStyle name="Nota 2 2 3 4 2 3 2 2 2" xfId="16063"/>
    <cellStyle name="Nota 2 2 3 4 2 3 2 2 2 2" xfId="29479"/>
    <cellStyle name="Nota 2 2 3 4 2 3 2 2 3" xfId="20808"/>
    <cellStyle name="Nota 2 2 3 4 2 3 2 3" xfId="13791"/>
    <cellStyle name="Nota 2 2 3 4 2 3 2 3 2" xfId="28113"/>
    <cellStyle name="Nota 2 2 3 4 2 3 2 4" xfId="19436"/>
    <cellStyle name="Nota 2 2 3 4 2 3 3" xfId="13270"/>
    <cellStyle name="Nota 2 2 3 4 2 3 3 2" xfId="27592"/>
    <cellStyle name="Nota 2 2 3 4 2 3 4" xfId="18915"/>
    <cellStyle name="Nota 2 2 3 4 2 4" xfId="5716"/>
    <cellStyle name="Nota 2 2 3 4 2 4 2" xfId="12269"/>
    <cellStyle name="Nota 2 2 3 4 2 4 2 2" xfId="26591"/>
    <cellStyle name="Nota 2 2 3 4 2 4 3" xfId="17914"/>
    <cellStyle name="Nota 2 2 3 4 2 5" xfId="3793"/>
    <cellStyle name="Nota 2 2 3 4 2 5 2" xfId="22582"/>
    <cellStyle name="Nota 2 2 3 4 2 6" xfId="14781"/>
    <cellStyle name="Nota 2 2 3 4 3" xfId="1434"/>
    <cellStyle name="Nota 2 2 3 4 3 2" xfId="1435"/>
    <cellStyle name="Nota 2 2 3 4 3 2 2" xfId="6499"/>
    <cellStyle name="Nota 2 2 3 4 3 2 2 2" xfId="13085"/>
    <cellStyle name="Nota 2 2 3 4 3 2 2 2 2" xfId="27407"/>
    <cellStyle name="Nota 2 2 3 4 3 2 2 3" xfId="18730"/>
    <cellStyle name="Nota 2 2 3 4 3 2 3" xfId="3260"/>
    <cellStyle name="Nota 2 2 3 4 3 2 3 2" xfId="9050"/>
    <cellStyle name="Nota 2 2 3 4 3 2 3 2 2" xfId="15389"/>
    <cellStyle name="Nota 2 2 3 4 3 2 3 2 2 2" xfId="29008"/>
    <cellStyle name="Nota 2 2 3 4 3 2 3 2 3" xfId="20335"/>
    <cellStyle name="Nota 2 2 3 4 3 2 3 3" xfId="6620"/>
    <cellStyle name="Nota 2 2 3 4 3 2 3 3 2" xfId="23610"/>
    <cellStyle name="Nota 2 2 3 4 3 2 3 4" xfId="15475"/>
    <cellStyle name="Nota 2 2 3 4 3 2 4" xfId="3830"/>
    <cellStyle name="Nota 2 2 3 4 3 2 4 2" xfId="22602"/>
    <cellStyle name="Nota 2 2 3 4 3 2 5" xfId="6467"/>
    <cellStyle name="Nota 2 2 3 4 3 3" xfId="1436"/>
    <cellStyle name="Nota 2 2 3 4 3 3 2" xfId="7773"/>
    <cellStyle name="Nota 2 2 3 4 3 3 2 2" xfId="10387"/>
    <cellStyle name="Nota 2 2 3 4 3 3 2 2 2" xfId="16649"/>
    <cellStyle name="Nota 2 2 3 4 3 3 2 2 2 2" xfId="30065"/>
    <cellStyle name="Nota 2 2 3 4 3 3 2 2 3" xfId="21394"/>
    <cellStyle name="Nota 2 2 3 4 3 3 2 3" xfId="14377"/>
    <cellStyle name="Nota 2 2 3 4 3 3 2 3 2" xfId="28699"/>
    <cellStyle name="Nota 2 2 3 4 3 3 2 4" xfId="20022"/>
    <cellStyle name="Nota 2 2 3 4 3 3 3" xfId="13033"/>
    <cellStyle name="Nota 2 2 3 4 3 3 3 2" xfId="27355"/>
    <cellStyle name="Nota 2 2 3 4 3 3 4" xfId="18678"/>
    <cellStyle name="Nota 2 2 3 4 3 4" xfId="5346"/>
    <cellStyle name="Nota 2 2 3 4 3 4 2" xfId="11896"/>
    <cellStyle name="Nota 2 2 3 4 3 4 2 2" xfId="26218"/>
    <cellStyle name="Nota 2 2 3 4 3 4 3" xfId="17541"/>
    <cellStyle name="Nota 2 2 3 4 3 5" xfId="6290"/>
    <cellStyle name="Nota 2 2 3 4 3 5 2" xfId="23491"/>
    <cellStyle name="Nota 2 2 3 4 3 6" xfId="4416"/>
    <cellStyle name="Nota 2 2 3 4 4" xfId="1437"/>
    <cellStyle name="Nota 2 2 3 4 4 2" xfId="6983"/>
    <cellStyle name="Nota 2 2 3 4 4 2 2" xfId="13587"/>
    <cellStyle name="Nota 2 2 3 4 4 2 2 2" xfId="27909"/>
    <cellStyle name="Nota 2 2 3 4 4 2 3" xfId="19232"/>
    <cellStyle name="Nota 2 2 3 4 4 3" xfId="7348"/>
    <cellStyle name="Nota 2 2 3 4 4 3 2" xfId="9962"/>
    <cellStyle name="Nota 2 2 3 4 4 3 2 2" xfId="16224"/>
    <cellStyle name="Nota 2 2 3 4 4 3 2 2 2" xfId="29640"/>
    <cellStyle name="Nota 2 2 3 4 4 3 2 3" xfId="20969"/>
    <cellStyle name="Nota 2 2 3 4 4 3 3" xfId="13952"/>
    <cellStyle name="Nota 2 2 3 4 4 3 3 2" xfId="28274"/>
    <cellStyle name="Nota 2 2 3 4 4 3 4" xfId="19597"/>
    <cellStyle name="Nota 2 2 3 4 4 4" xfId="11495"/>
    <cellStyle name="Nota 2 2 3 4 4 4 2" xfId="25817"/>
    <cellStyle name="Nota 2 2 3 4 4 5" xfId="14811"/>
    <cellStyle name="Nota 2 2 3 4 5" xfId="1438"/>
    <cellStyle name="Nota 2 2 3 4 5 2" xfId="7511"/>
    <cellStyle name="Nota 2 2 3 4 5 2 2" xfId="10125"/>
    <cellStyle name="Nota 2 2 3 4 5 2 2 2" xfId="16387"/>
    <cellStyle name="Nota 2 2 3 4 5 2 2 2 2" xfId="29803"/>
    <cellStyle name="Nota 2 2 3 4 5 2 2 3" xfId="21132"/>
    <cellStyle name="Nota 2 2 3 4 5 2 3" xfId="14115"/>
    <cellStyle name="Nota 2 2 3 4 5 2 3 2" xfId="28437"/>
    <cellStyle name="Nota 2 2 3 4 5 2 4" xfId="19760"/>
    <cellStyle name="Nota 2 2 3 4 5 3" xfId="12828"/>
    <cellStyle name="Nota 2 2 3 4 5 3 2" xfId="27150"/>
    <cellStyle name="Nota 2 2 3 4 5 4" xfId="18473"/>
    <cellStyle name="Nota 2 2 3 4 6" xfId="5383"/>
    <cellStyle name="Nota 2 2 3 4 6 2" xfId="11933"/>
    <cellStyle name="Nota 2 2 3 4 6 2 2" xfId="26255"/>
    <cellStyle name="Nota 2 2 3 4 6 3" xfId="17578"/>
    <cellStyle name="Nota 2 2 3 4 7" xfId="2840"/>
    <cellStyle name="Nota 2 2 3 4 7 2" xfId="22403"/>
    <cellStyle name="Nota 2 2 3 4 8" xfId="17130"/>
    <cellStyle name="Nota 2 2 3 5" xfId="1439"/>
    <cellStyle name="Nota 2 2 3 5 2" xfId="1440"/>
    <cellStyle name="Nota 2 2 3 5 2 2" xfId="1441"/>
    <cellStyle name="Nota 2 2 3 5 2 2 2" xfId="6455"/>
    <cellStyle name="Nota 2 2 3 5 2 2 2 2" xfId="13038"/>
    <cellStyle name="Nota 2 2 3 5 2 2 2 2 2" xfId="27360"/>
    <cellStyle name="Nota 2 2 3 5 2 2 2 3" xfId="18683"/>
    <cellStyle name="Nota 2 2 3 5 2 2 3" xfId="7800"/>
    <cellStyle name="Nota 2 2 3 5 2 2 3 2" xfId="10414"/>
    <cellStyle name="Nota 2 2 3 5 2 2 3 2 2" xfId="16676"/>
    <cellStyle name="Nota 2 2 3 5 2 2 3 2 2 2" xfId="30092"/>
    <cellStyle name="Nota 2 2 3 5 2 2 3 2 3" xfId="21421"/>
    <cellStyle name="Nota 2 2 3 5 2 2 3 3" xfId="14404"/>
    <cellStyle name="Nota 2 2 3 5 2 2 3 3 2" xfId="28726"/>
    <cellStyle name="Nota 2 2 3 5 2 2 3 4" xfId="20049"/>
    <cellStyle name="Nota 2 2 3 5 2 2 4" xfId="4962"/>
    <cellStyle name="Nota 2 2 3 5 2 2 4 2" xfId="23283"/>
    <cellStyle name="Nota 2 2 3 5 2 2 5" xfId="15100"/>
    <cellStyle name="Nota 2 2 3 5 2 3" xfId="1442"/>
    <cellStyle name="Nota 2 2 3 5 2 3 2" xfId="3933"/>
    <cellStyle name="Nota 2 2 3 5 2 3 2 2" xfId="9399"/>
    <cellStyle name="Nota 2 2 3 5 2 3 2 2 2" xfId="15661"/>
    <cellStyle name="Nota 2 2 3 5 2 3 2 2 2 2" xfId="29077"/>
    <cellStyle name="Nota 2 2 3 5 2 3 2 2 3" xfId="20406"/>
    <cellStyle name="Nota 2 2 3 5 2 3 2 3" xfId="4665"/>
    <cellStyle name="Nota 2 2 3 5 2 3 2 3 2" xfId="23104"/>
    <cellStyle name="Nota 2 2 3 5 2 3 2 4" xfId="15039"/>
    <cellStyle name="Nota 2 2 3 5 2 3 3" xfId="12133"/>
    <cellStyle name="Nota 2 2 3 5 2 3 3 2" xfId="26455"/>
    <cellStyle name="Nota 2 2 3 5 2 3 4" xfId="17778"/>
    <cellStyle name="Nota 2 2 3 5 2 4" xfId="4487"/>
    <cellStyle name="Nota 2 2 3 5 2 4 2" xfId="6181"/>
    <cellStyle name="Nota 2 2 3 5 2 4 2 2" xfId="23446"/>
    <cellStyle name="Nota 2 2 3 5 2 4 3" xfId="4379"/>
    <cellStyle name="Nota 2 2 3 5 2 5" xfId="4718"/>
    <cellStyle name="Nota 2 2 3 5 2 5 2" xfId="23148"/>
    <cellStyle name="Nota 2 2 3 5 2 6" xfId="15073"/>
    <cellStyle name="Nota 2 2 3 5 3" xfId="1443"/>
    <cellStyle name="Nota 2 2 3 5 3 2" xfId="6884"/>
    <cellStyle name="Nota 2 2 3 5 3 2 2" xfId="13488"/>
    <cellStyle name="Nota 2 2 3 5 3 2 2 2" xfId="27810"/>
    <cellStyle name="Nota 2 2 3 5 3 2 3" xfId="19133"/>
    <cellStyle name="Nota 2 2 3 5 3 3" xfId="4953"/>
    <cellStyle name="Nota 2 2 3 5 3 3 2" xfId="9524"/>
    <cellStyle name="Nota 2 2 3 5 3 3 2 2" xfId="15786"/>
    <cellStyle name="Nota 2 2 3 5 3 3 2 2 2" xfId="29202"/>
    <cellStyle name="Nota 2 2 3 5 3 3 2 3" xfId="20531"/>
    <cellStyle name="Nota 2 2 3 5 3 3 3" xfId="11492"/>
    <cellStyle name="Nota 2 2 3 5 3 3 3 2" xfId="25814"/>
    <cellStyle name="Nota 2 2 3 5 3 3 4" xfId="4634"/>
    <cellStyle name="Nota 2 2 3 5 3 4" xfId="11358"/>
    <cellStyle name="Nota 2 2 3 5 3 4 2" xfId="25680"/>
    <cellStyle name="Nota 2 2 3 5 3 5" xfId="4768"/>
    <cellStyle name="Nota 2 2 3 5 4" xfId="1444"/>
    <cellStyle name="Nota 2 2 3 5 4 2" xfId="5256"/>
    <cellStyle name="Nota 2 2 3 5 4 2 2" xfId="9565"/>
    <cellStyle name="Nota 2 2 3 5 4 2 2 2" xfId="15827"/>
    <cellStyle name="Nota 2 2 3 5 4 2 2 2 2" xfId="29243"/>
    <cellStyle name="Nota 2 2 3 5 4 2 2 3" xfId="20572"/>
    <cellStyle name="Nota 2 2 3 5 4 2 3" xfId="11806"/>
    <cellStyle name="Nota 2 2 3 5 4 2 3 2" xfId="26128"/>
    <cellStyle name="Nota 2 2 3 5 4 2 4" xfId="17451"/>
    <cellStyle name="Nota 2 2 3 5 4 3" xfId="12843"/>
    <cellStyle name="Nota 2 2 3 5 4 3 2" xfId="27165"/>
    <cellStyle name="Nota 2 2 3 5 4 4" xfId="18488"/>
    <cellStyle name="Nota 2 2 3 5 5" xfId="5424"/>
    <cellStyle name="Nota 2 2 3 5 5 2" xfId="11975"/>
    <cellStyle name="Nota 2 2 3 5 5 2 2" xfId="26297"/>
    <cellStyle name="Nota 2 2 3 5 5 3" xfId="17620"/>
    <cellStyle name="Nota 2 2 3 5 6" xfId="6128"/>
    <cellStyle name="Nota 2 2 3 5 6 2" xfId="23421"/>
    <cellStyle name="Nota 2 2 3 5 7" xfId="14782"/>
    <cellStyle name="Nota 2 2 3 6" xfId="1445"/>
    <cellStyle name="Nota 2 2 3 6 2" xfId="1446"/>
    <cellStyle name="Nota 2 2 3 6 2 2" xfId="5929"/>
    <cellStyle name="Nota 2 2 3 6 2 2 2" xfId="12484"/>
    <cellStyle name="Nota 2 2 3 6 2 2 2 2" xfId="26806"/>
    <cellStyle name="Nota 2 2 3 6 2 2 3" xfId="18129"/>
    <cellStyle name="Nota 2 2 3 6 2 3" xfId="7488"/>
    <cellStyle name="Nota 2 2 3 6 2 3 2" xfId="10102"/>
    <cellStyle name="Nota 2 2 3 6 2 3 2 2" xfId="16364"/>
    <cellStyle name="Nota 2 2 3 6 2 3 2 2 2" xfId="29780"/>
    <cellStyle name="Nota 2 2 3 6 2 3 2 3" xfId="21109"/>
    <cellStyle name="Nota 2 2 3 6 2 3 3" xfId="14092"/>
    <cellStyle name="Nota 2 2 3 6 2 3 3 2" xfId="28414"/>
    <cellStyle name="Nota 2 2 3 6 2 3 4" xfId="19737"/>
    <cellStyle name="Nota 2 2 3 6 2 4" xfId="6760"/>
    <cellStyle name="Nota 2 2 3 6 2 4 2" xfId="23708"/>
    <cellStyle name="Nota 2 2 3 6 2 5" xfId="15271"/>
    <cellStyle name="Nota 2 2 3 6 3" xfId="1447"/>
    <cellStyle name="Nota 2 2 3 6 3 2" xfId="7797"/>
    <cellStyle name="Nota 2 2 3 6 3 2 2" xfId="10411"/>
    <cellStyle name="Nota 2 2 3 6 3 2 2 2" xfId="16673"/>
    <cellStyle name="Nota 2 2 3 6 3 2 2 2 2" xfId="30089"/>
    <cellStyle name="Nota 2 2 3 6 3 2 2 3" xfId="21418"/>
    <cellStyle name="Nota 2 2 3 6 3 2 3" xfId="14401"/>
    <cellStyle name="Nota 2 2 3 6 3 2 3 2" xfId="28723"/>
    <cellStyle name="Nota 2 2 3 6 3 2 4" xfId="20046"/>
    <cellStyle name="Nota 2 2 3 6 3 3" xfId="13240"/>
    <cellStyle name="Nota 2 2 3 6 3 3 2" xfId="27562"/>
    <cellStyle name="Nota 2 2 3 6 3 4" xfId="18885"/>
    <cellStyle name="Nota 2 2 3 6 4" xfId="5681"/>
    <cellStyle name="Nota 2 2 3 6 4 2" xfId="12234"/>
    <cellStyle name="Nota 2 2 3 6 4 2 2" xfId="26556"/>
    <cellStyle name="Nota 2 2 3 6 4 3" xfId="17879"/>
    <cellStyle name="Nota 2 2 3 6 5" xfId="4958"/>
    <cellStyle name="Nota 2 2 3 6 5 2" xfId="23280"/>
    <cellStyle name="Nota 2 2 3 6 6" xfId="4000"/>
    <cellStyle name="Nota 2 2 3 7" xfId="1448"/>
    <cellStyle name="Nota 2 2 3 7 2" xfId="5930"/>
    <cellStyle name="Nota 2 2 3 7 2 2" xfId="12485"/>
    <cellStyle name="Nota 2 2 3 7 2 2 2" xfId="26807"/>
    <cellStyle name="Nota 2 2 3 7 2 3" xfId="18130"/>
    <cellStyle name="Nota 2 2 3 7 3" xfId="7702"/>
    <cellStyle name="Nota 2 2 3 7 3 2" xfId="10316"/>
    <cellStyle name="Nota 2 2 3 7 3 2 2" xfId="16578"/>
    <cellStyle name="Nota 2 2 3 7 3 2 2 2" xfId="29994"/>
    <cellStyle name="Nota 2 2 3 7 3 2 3" xfId="21323"/>
    <cellStyle name="Nota 2 2 3 7 3 3" xfId="14306"/>
    <cellStyle name="Nota 2 2 3 7 3 3 2" xfId="28628"/>
    <cellStyle name="Nota 2 2 3 7 3 4" xfId="19951"/>
    <cellStyle name="Nota 2 2 3 7 4" xfId="6747"/>
    <cellStyle name="Nota 2 2 3 7 4 2" xfId="23695"/>
    <cellStyle name="Nota 2 2 3 7 5" xfId="3947"/>
    <cellStyle name="Nota 2 2 3 8" xfId="1449"/>
    <cellStyle name="Nota 2 2 3 8 2" xfId="7995"/>
    <cellStyle name="Nota 2 2 3 8 2 2" xfId="10609"/>
    <cellStyle name="Nota 2 2 3 8 2 2 2" xfId="16871"/>
    <cellStyle name="Nota 2 2 3 8 2 2 2 2" xfId="30287"/>
    <cellStyle name="Nota 2 2 3 8 2 2 3" xfId="21616"/>
    <cellStyle name="Nota 2 2 3 8 2 3" xfId="14599"/>
    <cellStyle name="Nota 2 2 3 8 2 3 2" xfId="28921"/>
    <cellStyle name="Nota 2 2 3 8 2 4" xfId="20244"/>
    <cellStyle name="Nota 2 2 3 8 3" xfId="12753"/>
    <cellStyle name="Nota 2 2 3 8 3 2" xfId="27075"/>
    <cellStyle name="Nota 2 2 3 8 4" xfId="18398"/>
    <cellStyle name="Nota 2 2 3 9" xfId="5429"/>
    <cellStyle name="Nota 2 2 3 9 2" xfId="11980"/>
    <cellStyle name="Nota 2 2 3 9 2 2" xfId="26302"/>
    <cellStyle name="Nota 2 2 3 9 3" xfId="17625"/>
    <cellStyle name="Nota 2 2 4" xfId="1450"/>
    <cellStyle name="Nota 2 2 4 2" xfId="1451"/>
    <cellStyle name="Nota 2 2 4 2 2" xfId="1452"/>
    <cellStyle name="Nota 2 2 4 2 2 2" xfId="6213"/>
    <cellStyle name="Nota 2 2 4 2 2 2 2" xfId="12787"/>
    <cellStyle name="Nota 2 2 4 2 2 2 2 2" xfId="27109"/>
    <cellStyle name="Nota 2 2 4 2 2 2 3" xfId="18432"/>
    <cellStyle name="Nota 2 2 4 2 2 3" xfId="7860"/>
    <cellStyle name="Nota 2 2 4 2 2 3 2" xfId="10474"/>
    <cellStyle name="Nota 2 2 4 2 2 3 2 2" xfId="16736"/>
    <cellStyle name="Nota 2 2 4 2 2 3 2 2 2" xfId="30152"/>
    <cellStyle name="Nota 2 2 4 2 2 3 2 3" xfId="21481"/>
    <cellStyle name="Nota 2 2 4 2 2 3 3" xfId="14464"/>
    <cellStyle name="Nota 2 2 4 2 2 3 3 2" xfId="28786"/>
    <cellStyle name="Nota 2 2 4 2 2 3 4" xfId="20109"/>
    <cellStyle name="Nota 2 2 4 2 2 4" xfId="6634"/>
    <cellStyle name="Nota 2 2 4 2 2 4 2" xfId="23617"/>
    <cellStyle name="Nota 2 2 4 2 2 5" xfId="15161"/>
    <cellStyle name="Nota 2 2 4 2 3" xfId="1453"/>
    <cellStyle name="Nota 2 2 4 2 3 2" xfId="7944"/>
    <cellStyle name="Nota 2 2 4 2 3 2 2" xfId="10558"/>
    <cellStyle name="Nota 2 2 4 2 3 2 2 2" xfId="16820"/>
    <cellStyle name="Nota 2 2 4 2 3 2 2 2 2" xfId="30236"/>
    <cellStyle name="Nota 2 2 4 2 3 2 2 3" xfId="21565"/>
    <cellStyle name="Nota 2 2 4 2 3 2 3" xfId="14548"/>
    <cellStyle name="Nota 2 2 4 2 3 2 3 2" xfId="28870"/>
    <cellStyle name="Nota 2 2 4 2 3 2 4" xfId="20193"/>
    <cellStyle name="Nota 2 2 4 2 3 3" xfId="13199"/>
    <cellStyle name="Nota 2 2 4 2 3 3 2" xfId="27521"/>
    <cellStyle name="Nota 2 2 4 2 3 4" xfId="18844"/>
    <cellStyle name="Nota 2 2 4 2 4" xfId="5638"/>
    <cellStyle name="Nota 2 2 4 2 4 2" xfId="12191"/>
    <cellStyle name="Nota 2 2 4 2 4 2 2" xfId="26513"/>
    <cellStyle name="Nota 2 2 4 2 4 3" xfId="17836"/>
    <cellStyle name="Nota 2 2 4 2 5" xfId="4840"/>
    <cellStyle name="Nota 2 2 4 2 5 2" xfId="23215"/>
    <cellStyle name="Nota 2 2 4 2 6" xfId="14708"/>
    <cellStyle name="Nota 2 2 4 3" xfId="1454"/>
    <cellStyle name="Nota 2 2 4 3 2" xfId="1455"/>
    <cellStyle name="Nota 2 2 4 3 2 2" xfId="7015"/>
    <cellStyle name="Nota 2 2 4 3 2 2 2" xfId="13619"/>
    <cellStyle name="Nota 2 2 4 3 2 2 2 2" xfId="27941"/>
    <cellStyle name="Nota 2 2 4 3 2 2 3" xfId="19264"/>
    <cellStyle name="Nota 2 2 4 3 2 3" xfId="7884"/>
    <cellStyle name="Nota 2 2 4 3 2 3 2" xfId="10498"/>
    <cellStyle name="Nota 2 2 4 3 2 3 2 2" xfId="16760"/>
    <cellStyle name="Nota 2 2 4 3 2 3 2 2 2" xfId="30176"/>
    <cellStyle name="Nota 2 2 4 3 2 3 2 3" xfId="21505"/>
    <cellStyle name="Nota 2 2 4 3 2 3 3" xfId="14488"/>
    <cellStyle name="Nota 2 2 4 3 2 3 3 2" xfId="28810"/>
    <cellStyle name="Nota 2 2 4 3 2 3 4" xfId="20133"/>
    <cellStyle name="Nota 2 2 4 3 2 4" xfId="11544"/>
    <cellStyle name="Nota 2 2 4 3 2 4 2" xfId="25866"/>
    <cellStyle name="Nota 2 2 4 3 2 5" xfId="15197"/>
    <cellStyle name="Nota 2 2 4 3 3" xfId="1456"/>
    <cellStyle name="Nota 2 2 4 3 3 2" xfId="7688"/>
    <cellStyle name="Nota 2 2 4 3 3 2 2" xfId="10302"/>
    <cellStyle name="Nota 2 2 4 3 3 2 2 2" xfId="16564"/>
    <cellStyle name="Nota 2 2 4 3 3 2 2 2 2" xfId="29980"/>
    <cellStyle name="Nota 2 2 4 3 3 2 2 3" xfId="21309"/>
    <cellStyle name="Nota 2 2 4 3 3 2 3" xfId="14292"/>
    <cellStyle name="Nota 2 2 4 3 3 2 3 2" xfId="28614"/>
    <cellStyle name="Nota 2 2 4 3 3 2 4" xfId="19937"/>
    <cellStyle name="Nota 2 2 4 3 3 3" xfId="13074"/>
    <cellStyle name="Nota 2 2 4 3 3 3 2" xfId="27396"/>
    <cellStyle name="Nota 2 2 4 3 3 4" xfId="18719"/>
    <cellStyle name="Nota 2 2 4 3 4" xfId="5420"/>
    <cellStyle name="Nota 2 2 4 3 4 2" xfId="11971"/>
    <cellStyle name="Nota 2 2 4 3 4 2 2" xfId="26293"/>
    <cellStyle name="Nota 2 2 4 3 4 3" xfId="17616"/>
    <cellStyle name="Nota 2 2 4 3 5" xfId="6481"/>
    <cellStyle name="Nota 2 2 4 3 5 2" xfId="23563"/>
    <cellStyle name="Nota 2 2 4 3 6" xfId="3273"/>
    <cellStyle name="Nota 2 2 4 4" xfId="1457"/>
    <cellStyle name="Nota 2 2 4 4 2" xfId="5213"/>
    <cellStyle name="Nota 2 2 4 4 2 2" xfId="11762"/>
    <cellStyle name="Nota 2 2 4 4 2 2 2" xfId="26084"/>
    <cellStyle name="Nota 2 2 4 4 2 3" xfId="17407"/>
    <cellStyle name="Nota 2 2 4 4 3" xfId="7332"/>
    <cellStyle name="Nota 2 2 4 4 3 2" xfId="9946"/>
    <cellStyle name="Nota 2 2 4 4 3 2 2" xfId="16208"/>
    <cellStyle name="Nota 2 2 4 4 3 2 2 2" xfId="29624"/>
    <cellStyle name="Nota 2 2 4 4 3 2 3" xfId="20953"/>
    <cellStyle name="Nota 2 2 4 4 3 3" xfId="13936"/>
    <cellStyle name="Nota 2 2 4 4 3 3 2" xfId="28258"/>
    <cellStyle name="Nota 2 2 4 4 3 4" xfId="19581"/>
    <cellStyle name="Nota 2 2 4 4 4" xfId="6054"/>
    <cellStyle name="Nota 2 2 4 4 4 2" xfId="23400"/>
    <cellStyle name="Nota 2 2 4 4 5" xfId="15138"/>
    <cellStyle name="Nota 2 2 4 5" xfId="1458"/>
    <cellStyle name="Nota 2 2 4 5 2" xfId="7517"/>
    <cellStyle name="Nota 2 2 4 5 2 2" xfId="10131"/>
    <cellStyle name="Nota 2 2 4 5 2 2 2" xfId="16393"/>
    <cellStyle name="Nota 2 2 4 5 2 2 2 2" xfId="29809"/>
    <cellStyle name="Nota 2 2 4 5 2 2 3" xfId="21138"/>
    <cellStyle name="Nota 2 2 4 5 2 3" xfId="14121"/>
    <cellStyle name="Nota 2 2 4 5 2 3 2" xfId="28443"/>
    <cellStyle name="Nota 2 2 4 5 2 4" xfId="19766"/>
    <cellStyle name="Nota 2 2 4 5 3" xfId="11916"/>
    <cellStyle name="Nota 2 2 4 5 3 2" xfId="26238"/>
    <cellStyle name="Nota 2 2 4 5 4" xfId="17561"/>
    <cellStyle name="Nota 2 2 4 6" xfId="3992"/>
    <cellStyle name="Nota 2 2 4 6 2" xfId="3892"/>
    <cellStyle name="Nota 2 2 4 6 2 2" xfId="22631"/>
    <cellStyle name="Nota 2 2 4 6 3" xfId="6698"/>
    <cellStyle name="Nota 2 2 4 7" xfId="6651"/>
    <cellStyle name="Nota 2 2 4 7 2" xfId="23629"/>
    <cellStyle name="Nota 2 2 4 8" xfId="14702"/>
    <cellStyle name="Nota 2 2 5" xfId="1459"/>
    <cellStyle name="Nota 2 2 5 2" xfId="1460"/>
    <cellStyle name="Nota 2 2 5 2 2" xfId="1461"/>
    <cellStyle name="Nota 2 2 5 2 2 2" xfId="6136"/>
    <cellStyle name="Nota 2 2 5 2 2 2 2" xfId="12705"/>
    <cellStyle name="Nota 2 2 5 2 2 2 2 2" xfId="27027"/>
    <cellStyle name="Nota 2 2 5 2 2 2 3" xfId="18350"/>
    <cellStyle name="Nota 2 2 5 2 2 3" xfId="7851"/>
    <cellStyle name="Nota 2 2 5 2 2 3 2" xfId="10465"/>
    <cellStyle name="Nota 2 2 5 2 2 3 2 2" xfId="16727"/>
    <cellStyle name="Nota 2 2 5 2 2 3 2 2 2" xfId="30143"/>
    <cellStyle name="Nota 2 2 5 2 2 3 2 3" xfId="21472"/>
    <cellStyle name="Nota 2 2 5 2 2 3 3" xfId="14455"/>
    <cellStyle name="Nota 2 2 5 2 2 3 3 2" xfId="28777"/>
    <cellStyle name="Nota 2 2 5 2 2 3 4" xfId="20100"/>
    <cellStyle name="Nota 2 2 5 2 2 4" xfId="4315"/>
    <cellStyle name="Nota 2 2 5 2 2 4 2" xfId="22885"/>
    <cellStyle name="Nota 2 2 5 2 2 5" xfId="6042"/>
    <cellStyle name="Nota 2 2 5 2 3" xfId="1462"/>
    <cellStyle name="Nota 2 2 5 2 3 2" xfId="7444"/>
    <cellStyle name="Nota 2 2 5 2 3 2 2" xfId="10058"/>
    <cellStyle name="Nota 2 2 5 2 3 2 2 2" xfId="16320"/>
    <cellStyle name="Nota 2 2 5 2 3 2 2 2 2" xfId="29736"/>
    <cellStyle name="Nota 2 2 5 2 3 2 2 3" xfId="21065"/>
    <cellStyle name="Nota 2 2 5 2 3 2 3" xfId="14048"/>
    <cellStyle name="Nota 2 2 5 2 3 2 3 2" xfId="28370"/>
    <cellStyle name="Nota 2 2 5 2 3 2 4" xfId="19693"/>
    <cellStyle name="Nota 2 2 5 2 3 3" xfId="13276"/>
    <cellStyle name="Nota 2 2 5 2 3 3 2" xfId="27598"/>
    <cellStyle name="Nota 2 2 5 2 3 4" xfId="18921"/>
    <cellStyle name="Nota 2 2 5 2 4" xfId="5723"/>
    <cellStyle name="Nota 2 2 5 2 4 2" xfId="12276"/>
    <cellStyle name="Nota 2 2 5 2 4 2 2" xfId="26598"/>
    <cellStyle name="Nota 2 2 5 2 4 3" xfId="17921"/>
    <cellStyle name="Nota 2 2 5 2 5" xfId="3938"/>
    <cellStyle name="Nota 2 2 5 2 5 2" xfId="22655"/>
    <cellStyle name="Nota 2 2 5 2 6" xfId="17171"/>
    <cellStyle name="Nota 2 2 5 3" xfId="1463"/>
    <cellStyle name="Nota 2 2 5 3 2" xfId="1464"/>
    <cellStyle name="Nota 2 2 5 3 2 2" xfId="6973"/>
    <cellStyle name="Nota 2 2 5 3 2 2 2" xfId="13577"/>
    <cellStyle name="Nota 2 2 5 3 2 2 2 2" xfId="27899"/>
    <cellStyle name="Nota 2 2 5 3 2 2 3" xfId="19222"/>
    <cellStyle name="Nota 2 2 5 3 2 3" xfId="7605"/>
    <cellStyle name="Nota 2 2 5 3 2 3 2" xfId="10219"/>
    <cellStyle name="Nota 2 2 5 3 2 3 2 2" xfId="16481"/>
    <cellStyle name="Nota 2 2 5 3 2 3 2 2 2" xfId="29897"/>
    <cellStyle name="Nota 2 2 5 3 2 3 2 3" xfId="21226"/>
    <cellStyle name="Nota 2 2 5 3 2 3 3" xfId="14209"/>
    <cellStyle name="Nota 2 2 5 3 2 3 3 2" xfId="28531"/>
    <cellStyle name="Nota 2 2 5 3 2 3 4" xfId="19854"/>
    <cellStyle name="Nota 2 2 5 3 2 4" xfId="11480"/>
    <cellStyle name="Nota 2 2 5 3 2 4 2" xfId="25802"/>
    <cellStyle name="Nota 2 2 5 3 2 5" xfId="4172"/>
    <cellStyle name="Nota 2 2 5 3 3" xfId="1465"/>
    <cellStyle name="Nota 2 2 5 3 3 2" xfId="7551"/>
    <cellStyle name="Nota 2 2 5 3 3 2 2" xfId="10165"/>
    <cellStyle name="Nota 2 2 5 3 3 2 2 2" xfId="16427"/>
    <cellStyle name="Nota 2 2 5 3 3 2 2 2 2" xfId="29843"/>
    <cellStyle name="Nota 2 2 5 3 3 2 2 3" xfId="21172"/>
    <cellStyle name="Nota 2 2 5 3 3 2 3" xfId="14155"/>
    <cellStyle name="Nota 2 2 5 3 3 2 3 2" xfId="28477"/>
    <cellStyle name="Nota 2 2 5 3 3 2 4" xfId="19800"/>
    <cellStyle name="Nota 2 2 5 3 3 3" xfId="13081"/>
    <cellStyle name="Nota 2 2 5 3 3 3 2" xfId="27403"/>
    <cellStyle name="Nota 2 2 5 3 3 4" xfId="18726"/>
    <cellStyle name="Nota 2 2 5 3 4" xfId="5431"/>
    <cellStyle name="Nota 2 2 5 3 4 2" xfId="11982"/>
    <cellStyle name="Nota 2 2 5 3 4 2 2" xfId="26304"/>
    <cellStyle name="Nota 2 2 5 3 4 3" xfId="17627"/>
    <cellStyle name="Nota 2 2 5 3 5" xfId="3934"/>
    <cellStyle name="Nota 2 2 5 3 5 2" xfId="22652"/>
    <cellStyle name="Nota 2 2 5 3 6" xfId="14732"/>
    <cellStyle name="Nota 2 2 5 4" xfId="1466"/>
    <cellStyle name="Nota 2 2 5 4 2" xfId="6992"/>
    <cellStyle name="Nota 2 2 5 4 2 2" xfId="13596"/>
    <cellStyle name="Nota 2 2 5 4 2 2 2" xfId="27918"/>
    <cellStyle name="Nota 2 2 5 4 2 3" xfId="19241"/>
    <cellStyle name="Nota 2 2 5 4 3" xfId="7608"/>
    <cellStyle name="Nota 2 2 5 4 3 2" xfId="10222"/>
    <cellStyle name="Nota 2 2 5 4 3 2 2" xfId="16484"/>
    <cellStyle name="Nota 2 2 5 4 3 2 2 2" xfId="29900"/>
    <cellStyle name="Nota 2 2 5 4 3 2 3" xfId="21229"/>
    <cellStyle name="Nota 2 2 5 4 3 3" xfId="14212"/>
    <cellStyle name="Nota 2 2 5 4 3 3 2" xfId="28534"/>
    <cellStyle name="Nota 2 2 5 4 3 4" xfId="19857"/>
    <cellStyle name="Nota 2 2 5 4 4" xfId="11504"/>
    <cellStyle name="Nota 2 2 5 4 4 2" xfId="25826"/>
    <cellStyle name="Nota 2 2 5 4 5" xfId="15442"/>
    <cellStyle name="Nota 2 2 5 5" xfId="1467"/>
    <cellStyle name="Nota 2 2 5 5 2" xfId="7476"/>
    <cellStyle name="Nota 2 2 5 5 2 2" xfId="10090"/>
    <cellStyle name="Nota 2 2 5 5 2 2 2" xfId="16352"/>
    <cellStyle name="Nota 2 2 5 5 2 2 2 2" xfId="29768"/>
    <cellStyle name="Nota 2 2 5 5 2 2 3" xfId="21097"/>
    <cellStyle name="Nota 2 2 5 5 2 3" xfId="14080"/>
    <cellStyle name="Nota 2 2 5 5 2 3 2" xfId="28402"/>
    <cellStyle name="Nota 2 2 5 5 2 4" xfId="19725"/>
    <cellStyle name="Nota 2 2 5 5 3" xfId="12836"/>
    <cellStyle name="Nota 2 2 5 5 3 2" xfId="27158"/>
    <cellStyle name="Nota 2 2 5 5 4" xfId="18481"/>
    <cellStyle name="Nota 2 2 5 6" xfId="5409"/>
    <cellStyle name="Nota 2 2 5 6 2" xfId="11959"/>
    <cellStyle name="Nota 2 2 5 6 2 2" xfId="26281"/>
    <cellStyle name="Nota 2 2 5 6 3" xfId="17604"/>
    <cellStyle name="Nota 2 2 5 7" xfId="8072"/>
    <cellStyle name="Nota 2 2 5 7 2" xfId="23759"/>
    <cellStyle name="Nota 2 2 5 8" xfId="15496"/>
    <cellStyle name="Nota 2 2 6" xfId="1468"/>
    <cellStyle name="Nota 2 2 6 2" xfId="1469"/>
    <cellStyle name="Nota 2 2 6 2 2" xfId="1470"/>
    <cellStyle name="Nota 2 2 6 2 2 2" xfId="5130"/>
    <cellStyle name="Nota 2 2 6 2 2 2 2" xfId="11679"/>
    <cellStyle name="Nota 2 2 6 2 2 2 2 2" xfId="26001"/>
    <cellStyle name="Nota 2 2 6 2 2 2 3" xfId="2845"/>
    <cellStyle name="Nota 2 2 6 2 2 3" xfId="3779"/>
    <cellStyle name="Nota 2 2 6 2 2 3 2" xfId="9373"/>
    <cellStyle name="Nota 2 2 6 2 2 3 2 2" xfId="15635"/>
    <cellStyle name="Nota 2 2 6 2 2 3 2 2 2" xfId="29051"/>
    <cellStyle name="Nota 2 2 6 2 2 3 2 3" xfId="20380"/>
    <cellStyle name="Nota 2 2 6 2 2 3 3" xfId="6660"/>
    <cellStyle name="Nota 2 2 6 2 2 3 3 2" xfId="23636"/>
    <cellStyle name="Nota 2 2 6 2 2 3 4" xfId="17035"/>
    <cellStyle name="Nota 2 2 6 2 2 4" xfId="4045"/>
    <cellStyle name="Nota 2 2 6 2 2 4 2" xfId="22722"/>
    <cellStyle name="Nota 2 2 6 2 2 5" xfId="3593"/>
    <cellStyle name="Nota 2 2 6 2 3" xfId="1471"/>
    <cellStyle name="Nota 2 2 6 2 3 2" xfId="8058"/>
    <cellStyle name="Nota 2 2 6 2 3 2 2" xfId="10672"/>
    <cellStyle name="Nota 2 2 6 2 3 2 2 2" xfId="16934"/>
    <cellStyle name="Nota 2 2 6 2 3 2 2 2 2" xfId="30350"/>
    <cellStyle name="Nota 2 2 6 2 3 2 2 3" xfId="21679"/>
    <cellStyle name="Nota 2 2 6 2 3 2 3" xfId="14662"/>
    <cellStyle name="Nota 2 2 6 2 3 2 3 2" xfId="28984"/>
    <cellStyle name="Nota 2 2 6 2 3 2 4" xfId="20307"/>
    <cellStyle name="Nota 2 2 6 2 3 3" xfId="13362"/>
    <cellStyle name="Nota 2 2 6 2 3 3 2" xfId="27684"/>
    <cellStyle name="Nota 2 2 6 2 3 4" xfId="19007"/>
    <cellStyle name="Nota 2 2 6 2 4" xfId="5812"/>
    <cellStyle name="Nota 2 2 6 2 4 2" xfId="12365"/>
    <cellStyle name="Nota 2 2 6 2 4 2 2" xfId="26687"/>
    <cellStyle name="Nota 2 2 6 2 4 3" xfId="18010"/>
    <cellStyle name="Nota 2 2 6 2 5" xfId="3673"/>
    <cellStyle name="Nota 2 2 6 2 5 2" xfId="22519"/>
    <cellStyle name="Nota 2 2 6 2 6" xfId="14884"/>
    <cellStyle name="Nota 2 2 6 3" xfId="1472"/>
    <cellStyle name="Nota 2 2 6 3 2" xfId="1473"/>
    <cellStyle name="Nota 2 2 6 3 2 2" xfId="6914"/>
    <cellStyle name="Nota 2 2 6 3 2 2 2" xfId="13518"/>
    <cellStyle name="Nota 2 2 6 3 2 2 2 2" xfId="27840"/>
    <cellStyle name="Nota 2 2 6 3 2 2 3" xfId="19163"/>
    <cellStyle name="Nota 2 2 6 3 2 3" xfId="7107"/>
    <cellStyle name="Nota 2 2 6 3 2 3 2" xfId="9721"/>
    <cellStyle name="Nota 2 2 6 3 2 3 2 2" xfId="15983"/>
    <cellStyle name="Nota 2 2 6 3 2 3 2 2 2" xfId="29399"/>
    <cellStyle name="Nota 2 2 6 3 2 3 2 3" xfId="20728"/>
    <cellStyle name="Nota 2 2 6 3 2 3 3" xfId="13711"/>
    <cellStyle name="Nota 2 2 6 3 2 3 3 2" xfId="28033"/>
    <cellStyle name="Nota 2 2 6 3 2 3 4" xfId="19356"/>
    <cellStyle name="Nota 2 2 6 3 2 4" xfId="11400"/>
    <cellStyle name="Nota 2 2 6 3 2 4 2" xfId="25722"/>
    <cellStyle name="Nota 2 2 6 3 2 5" xfId="15527"/>
    <cellStyle name="Nota 2 2 6 3 3" xfId="1474"/>
    <cellStyle name="Nota 2 2 6 3 3 2" xfId="7678"/>
    <cellStyle name="Nota 2 2 6 3 3 2 2" xfId="10292"/>
    <cellStyle name="Nota 2 2 6 3 3 2 2 2" xfId="16554"/>
    <cellStyle name="Nota 2 2 6 3 3 2 2 2 2" xfId="29970"/>
    <cellStyle name="Nota 2 2 6 3 3 2 2 3" xfId="21299"/>
    <cellStyle name="Nota 2 2 6 3 3 2 3" xfId="14282"/>
    <cellStyle name="Nota 2 2 6 3 3 2 3 2" xfId="28604"/>
    <cellStyle name="Nota 2 2 6 3 3 2 4" xfId="19927"/>
    <cellStyle name="Nota 2 2 6 3 3 3" xfId="13368"/>
    <cellStyle name="Nota 2 2 6 3 3 3 2" xfId="27690"/>
    <cellStyle name="Nota 2 2 6 3 3 4" xfId="19013"/>
    <cellStyle name="Nota 2 2 6 3 4" xfId="5819"/>
    <cellStyle name="Nota 2 2 6 3 4 2" xfId="12372"/>
    <cellStyle name="Nota 2 2 6 3 4 2 2" xfId="26694"/>
    <cellStyle name="Nota 2 2 6 3 4 3" xfId="18017"/>
    <cellStyle name="Nota 2 2 6 3 5" xfId="6736"/>
    <cellStyle name="Nota 2 2 6 3 5 2" xfId="23687"/>
    <cellStyle name="Nota 2 2 6 3 6" xfId="4322"/>
    <cellStyle name="Nota 2 2 6 4" xfId="1475"/>
    <cellStyle name="Nota 2 2 6 4 2" xfId="6145"/>
    <cellStyle name="Nota 2 2 6 4 2 2" xfId="12715"/>
    <cellStyle name="Nota 2 2 6 4 2 2 2" xfId="27037"/>
    <cellStyle name="Nota 2 2 6 4 2 3" xfId="18360"/>
    <cellStyle name="Nota 2 2 6 4 3" xfId="7112"/>
    <cellStyle name="Nota 2 2 6 4 3 2" xfId="9726"/>
    <cellStyle name="Nota 2 2 6 4 3 2 2" xfId="15988"/>
    <cellStyle name="Nota 2 2 6 4 3 2 2 2" xfId="29404"/>
    <cellStyle name="Nota 2 2 6 4 3 2 3" xfId="20733"/>
    <cellStyle name="Nota 2 2 6 4 3 3" xfId="13716"/>
    <cellStyle name="Nota 2 2 6 4 3 3 2" xfId="28038"/>
    <cellStyle name="Nota 2 2 6 4 3 4" xfId="19361"/>
    <cellStyle name="Nota 2 2 6 4 4" xfId="4689"/>
    <cellStyle name="Nota 2 2 6 4 4 2" xfId="23125"/>
    <cellStyle name="Nota 2 2 6 4 5" xfId="17024"/>
    <cellStyle name="Nota 2 2 6 5" xfId="1476"/>
    <cellStyle name="Nota 2 2 6 5 2" xfId="5249"/>
    <cellStyle name="Nota 2 2 6 5 2 2" xfId="9558"/>
    <cellStyle name="Nota 2 2 6 5 2 2 2" xfId="15820"/>
    <cellStyle name="Nota 2 2 6 5 2 2 2 2" xfId="29236"/>
    <cellStyle name="Nota 2 2 6 5 2 2 3" xfId="20565"/>
    <cellStyle name="Nota 2 2 6 5 2 3" xfId="11799"/>
    <cellStyle name="Nota 2 2 6 5 2 3 2" xfId="26121"/>
    <cellStyle name="Nota 2 2 6 5 2 4" xfId="17444"/>
    <cellStyle name="Nota 2 2 6 5 3" xfId="12938"/>
    <cellStyle name="Nota 2 2 6 5 3 2" xfId="27260"/>
    <cellStyle name="Nota 2 2 6 5 4" xfId="18583"/>
    <cellStyle name="Nota 2 2 6 6" xfId="5563"/>
    <cellStyle name="Nota 2 2 6 6 2" xfId="12114"/>
    <cellStyle name="Nota 2 2 6 6 2 2" xfId="26436"/>
    <cellStyle name="Nota 2 2 6 6 3" xfId="17759"/>
    <cellStyle name="Nota 2 2 6 7" xfId="4706"/>
    <cellStyle name="Nota 2 2 6 7 2" xfId="23139"/>
    <cellStyle name="Nota 2 2 6 8" xfId="14972"/>
    <cellStyle name="Nota 2 2 7" xfId="1477"/>
    <cellStyle name="Nota 2 2 7 2" xfId="1478"/>
    <cellStyle name="Nota 2 2 7 2 2" xfId="1479"/>
    <cellStyle name="Nota 2 2 7 2 2 2" xfId="6388"/>
    <cellStyle name="Nota 2 2 7 2 2 2 2" xfId="12971"/>
    <cellStyle name="Nota 2 2 7 2 2 2 2 2" xfId="27293"/>
    <cellStyle name="Nota 2 2 7 2 2 2 3" xfId="18616"/>
    <cellStyle name="Nota 2 2 7 2 2 3" xfId="7418"/>
    <cellStyle name="Nota 2 2 7 2 2 3 2" xfId="10032"/>
    <cellStyle name="Nota 2 2 7 2 2 3 2 2" xfId="16294"/>
    <cellStyle name="Nota 2 2 7 2 2 3 2 2 2" xfId="29710"/>
    <cellStyle name="Nota 2 2 7 2 2 3 2 3" xfId="21039"/>
    <cellStyle name="Nota 2 2 7 2 2 3 3" xfId="14022"/>
    <cellStyle name="Nota 2 2 7 2 2 3 3 2" xfId="28344"/>
    <cellStyle name="Nota 2 2 7 2 2 3 4" xfId="19667"/>
    <cellStyle name="Nota 2 2 7 2 2 4" xfId="3694"/>
    <cellStyle name="Nota 2 2 7 2 2 4 2" xfId="22533"/>
    <cellStyle name="Nota 2 2 7 2 2 5" xfId="17157"/>
    <cellStyle name="Nota 2 2 7 2 3" xfId="1480"/>
    <cellStyle name="Nota 2 2 7 2 3 2" xfId="7509"/>
    <cellStyle name="Nota 2 2 7 2 3 2 2" xfId="10123"/>
    <cellStyle name="Nota 2 2 7 2 3 2 2 2" xfId="16385"/>
    <cellStyle name="Nota 2 2 7 2 3 2 2 2 2" xfId="29801"/>
    <cellStyle name="Nota 2 2 7 2 3 2 2 3" xfId="21130"/>
    <cellStyle name="Nota 2 2 7 2 3 2 3" xfId="14113"/>
    <cellStyle name="Nota 2 2 7 2 3 2 3 2" xfId="28435"/>
    <cellStyle name="Nota 2 2 7 2 3 2 4" xfId="19758"/>
    <cellStyle name="Nota 2 2 7 2 3 3" xfId="12628"/>
    <cellStyle name="Nota 2 2 7 2 3 3 2" xfId="26950"/>
    <cellStyle name="Nota 2 2 7 2 3 4" xfId="18273"/>
    <cellStyle name="Nota 2 2 7 2 4" xfId="5134"/>
    <cellStyle name="Nota 2 2 7 2 4 2" xfId="11683"/>
    <cellStyle name="Nota 2 2 7 2 4 2 2" xfId="26005"/>
    <cellStyle name="Nota 2 2 7 2 4 3" xfId="4161"/>
    <cellStyle name="Nota 2 2 7 2 5" xfId="6484"/>
    <cellStyle name="Nota 2 2 7 2 5 2" xfId="23564"/>
    <cellStyle name="Nota 2 2 7 2 6" xfId="17291"/>
    <cellStyle name="Nota 2 2 7 3" xfId="1481"/>
    <cellStyle name="Nota 2 2 7 3 2" xfId="6002"/>
    <cellStyle name="Nota 2 2 7 3 2 2" xfId="12561"/>
    <cellStyle name="Nota 2 2 7 3 2 2 2" xfId="26883"/>
    <cellStyle name="Nota 2 2 7 3 2 3" xfId="18206"/>
    <cellStyle name="Nota 2 2 7 3 3" xfId="8019"/>
    <cellStyle name="Nota 2 2 7 3 3 2" xfId="10633"/>
    <cellStyle name="Nota 2 2 7 3 3 2 2" xfId="16895"/>
    <cellStyle name="Nota 2 2 7 3 3 2 2 2" xfId="30311"/>
    <cellStyle name="Nota 2 2 7 3 3 2 3" xfId="21640"/>
    <cellStyle name="Nota 2 2 7 3 3 3" xfId="14623"/>
    <cellStyle name="Nota 2 2 7 3 3 3 2" xfId="28945"/>
    <cellStyle name="Nota 2 2 7 3 3 4" xfId="20268"/>
    <cellStyle name="Nota 2 2 7 3 4" xfId="3652"/>
    <cellStyle name="Nota 2 2 7 3 4 2" xfId="22508"/>
    <cellStyle name="Nota 2 2 7 3 5" xfId="17039"/>
    <cellStyle name="Nota 2 2 7 4" xfId="1482"/>
    <cellStyle name="Nota 2 2 7 4 2" xfId="7407"/>
    <cellStyle name="Nota 2 2 7 4 2 2" xfId="10021"/>
    <cellStyle name="Nota 2 2 7 4 2 2 2" xfId="16283"/>
    <cellStyle name="Nota 2 2 7 4 2 2 2 2" xfId="29699"/>
    <cellStyle name="Nota 2 2 7 4 2 2 3" xfId="21028"/>
    <cellStyle name="Nota 2 2 7 4 2 3" xfId="14011"/>
    <cellStyle name="Nota 2 2 7 4 2 3 2" xfId="28333"/>
    <cellStyle name="Nota 2 2 7 4 2 4" xfId="19656"/>
    <cellStyle name="Nota 2 2 7 4 3" xfId="11514"/>
    <cellStyle name="Nota 2 2 7 4 3 2" xfId="25836"/>
    <cellStyle name="Nota 2 2 7 4 4" xfId="2881"/>
    <cellStyle name="Nota 2 2 7 5" xfId="5226"/>
    <cellStyle name="Nota 2 2 7 5 2" xfId="11776"/>
    <cellStyle name="Nota 2 2 7 5 2 2" xfId="26098"/>
    <cellStyle name="Nota 2 2 7 5 3" xfId="17421"/>
    <cellStyle name="Nota 2 2 7 6" xfId="3842"/>
    <cellStyle name="Nota 2 2 7 6 2" xfId="22607"/>
    <cellStyle name="Nota 2 2 7 7" xfId="5189"/>
    <cellStyle name="Nota 2 2 8" xfId="1483"/>
    <cellStyle name="Nota 2 2 8 2" xfId="1484"/>
    <cellStyle name="Nota 2 2 8 2 2" xfId="6485"/>
    <cellStyle name="Nota 2 2 8 2 2 2" xfId="13068"/>
    <cellStyle name="Nota 2 2 8 2 2 2 2" xfId="27390"/>
    <cellStyle name="Nota 2 2 8 2 2 3" xfId="18713"/>
    <cellStyle name="Nota 2 2 8 2 3" xfId="7458"/>
    <cellStyle name="Nota 2 2 8 2 3 2" xfId="10072"/>
    <cellStyle name="Nota 2 2 8 2 3 2 2" xfId="16334"/>
    <cellStyle name="Nota 2 2 8 2 3 2 2 2" xfId="29750"/>
    <cellStyle name="Nota 2 2 8 2 3 2 3" xfId="21079"/>
    <cellStyle name="Nota 2 2 8 2 3 3" xfId="14062"/>
    <cellStyle name="Nota 2 2 8 2 3 3 2" xfId="28384"/>
    <cellStyle name="Nota 2 2 8 2 3 4" xfId="19707"/>
    <cellStyle name="Nota 2 2 8 2 4" xfId="4278"/>
    <cellStyle name="Nota 2 2 8 2 4 2" xfId="22867"/>
    <cellStyle name="Nota 2 2 8 2 5" xfId="14999"/>
    <cellStyle name="Nota 2 2 8 3" xfId="1485"/>
    <cellStyle name="Nota 2 2 8 3 2" xfId="7286"/>
    <cellStyle name="Nota 2 2 8 3 2 2" xfId="9900"/>
    <cellStyle name="Nota 2 2 8 3 2 2 2" xfId="16162"/>
    <cellStyle name="Nota 2 2 8 3 2 2 2 2" xfId="29578"/>
    <cellStyle name="Nota 2 2 8 3 2 2 3" xfId="20907"/>
    <cellStyle name="Nota 2 2 8 3 2 3" xfId="13890"/>
    <cellStyle name="Nota 2 2 8 3 2 3 2" xfId="28212"/>
    <cellStyle name="Nota 2 2 8 3 2 4" xfId="19535"/>
    <cellStyle name="Nota 2 2 8 3 3" xfId="12390"/>
    <cellStyle name="Nota 2 2 8 3 3 2" xfId="26712"/>
    <cellStyle name="Nota 2 2 8 3 4" xfId="18035"/>
    <cellStyle name="Nota 2 2 8 4" xfId="4902"/>
    <cellStyle name="Nota 2 2 8 4 2" xfId="11439"/>
    <cellStyle name="Nota 2 2 8 4 2 2" xfId="25761"/>
    <cellStyle name="Nota 2 2 8 4 3" xfId="3258"/>
    <cellStyle name="Nota 2 2 8 5" xfId="4811"/>
    <cellStyle name="Nota 2 2 8 5 2" xfId="23199"/>
    <cellStyle name="Nota 2 2 8 6" xfId="3865"/>
    <cellStyle name="Nota 2 2 9" xfId="1486"/>
    <cellStyle name="Nota 2 2 9 2" xfId="6419"/>
    <cellStyle name="Nota 2 2 9 2 2" xfId="13002"/>
    <cellStyle name="Nota 2 2 9 2 2 2" xfId="27324"/>
    <cellStyle name="Nota 2 2 9 2 3" xfId="18647"/>
    <cellStyle name="Nota 2 2 9 3" xfId="3809"/>
    <cellStyle name="Nota 2 2 9 3 2" xfId="9377"/>
    <cellStyle name="Nota 2 2 9 3 2 2" xfId="15639"/>
    <cellStyle name="Nota 2 2 9 3 2 2 2" xfId="29055"/>
    <cellStyle name="Nota 2 2 9 3 2 3" xfId="20384"/>
    <cellStyle name="Nota 2 2 9 3 3" xfId="4231"/>
    <cellStyle name="Nota 2 2 9 3 3 2" xfId="22841"/>
    <cellStyle name="Nota 2 2 9 3 4" xfId="3861"/>
    <cellStyle name="Nota 2 2 9 4" xfId="4513"/>
    <cellStyle name="Nota 2 2 9 4 2" xfId="23000"/>
    <cellStyle name="Nota 2 2 9 5" xfId="17258"/>
    <cellStyle name="Nota 2 3" xfId="1487"/>
    <cellStyle name="Nota 2 3 2" xfId="6475"/>
    <cellStyle name="Nota 2 3 2 2" xfId="13058"/>
    <cellStyle name="Nota 2 3 2 2 2" xfId="27380"/>
    <cellStyle name="Nota 2 3 2 3" xfId="18703"/>
    <cellStyle name="Nota 2 3 3" xfId="4999"/>
    <cellStyle name="Nota 2 3 3 2" xfId="9536"/>
    <cellStyle name="Nota 2 3 3 2 2" xfId="15798"/>
    <cellStyle name="Nota 2 3 3 2 2 2" xfId="29214"/>
    <cellStyle name="Nota 2 3 3 2 3" xfId="20543"/>
    <cellStyle name="Nota 2 3 3 3" xfId="11542"/>
    <cellStyle name="Nota 2 3 3 3 2" xfId="25864"/>
    <cellStyle name="Nota 2 3 3 4" xfId="6744"/>
    <cellStyle name="Nota 2 3 4" xfId="3991"/>
    <cellStyle name="Nota 2 3 4 2" xfId="22690"/>
    <cellStyle name="Nota 2 3 5" xfId="3027"/>
    <cellStyle name="Nota 2 4" xfId="4084"/>
    <cellStyle name="Nota 2 4 2" xfId="4070"/>
    <cellStyle name="Nota 2 4 2 2" xfId="22742"/>
    <cellStyle name="Nota 2 4 3" xfId="15372"/>
    <cellStyle name="Nota 2 5" xfId="4945"/>
    <cellStyle name="Nota 2 5 2" xfId="23273"/>
    <cellStyle name="Nota 2 6" xfId="15155"/>
    <cellStyle name="Nota 2 7" xfId="21693"/>
    <cellStyle name="Nota 2 8" xfId="30364"/>
    <cellStyle name="Nota 3" xfId="1488"/>
    <cellStyle name="Nota 3 10" xfId="1489"/>
    <cellStyle name="Nota 3 10 2" xfId="7495"/>
    <cellStyle name="Nota 3 10 2 2" xfId="10109"/>
    <cellStyle name="Nota 3 10 2 2 2" xfId="16371"/>
    <cellStyle name="Nota 3 10 2 2 2 2" xfId="29787"/>
    <cellStyle name="Nota 3 10 2 2 3" xfId="21116"/>
    <cellStyle name="Nota 3 10 2 3" xfId="14099"/>
    <cellStyle name="Nota 3 10 2 3 2" xfId="28421"/>
    <cellStyle name="Nota 3 10 2 4" xfId="19744"/>
    <cellStyle name="Nota 3 10 3" xfId="11740"/>
    <cellStyle name="Nota 3 10 3 2" xfId="26062"/>
    <cellStyle name="Nota 3 10 4" xfId="4520"/>
    <cellStyle name="Nota 3 11" xfId="4749"/>
    <cellStyle name="Nota 3 11 2" xfId="2779"/>
    <cellStyle name="Nota 3 11 2 2" xfId="22348"/>
    <cellStyle name="Nota 3 11 3" xfId="17094"/>
    <cellStyle name="Nota 3 12" xfId="4863"/>
    <cellStyle name="Nota 3 12 2" xfId="23228"/>
    <cellStyle name="Nota 3 13" xfId="6629"/>
    <cellStyle name="Nota 3 2" xfId="1490"/>
    <cellStyle name="Nota 3 2 10" xfId="5398"/>
    <cellStyle name="Nota 3 2 10 2" xfId="11948"/>
    <cellStyle name="Nota 3 2 10 2 2" xfId="26270"/>
    <cellStyle name="Nota 3 2 10 3" xfId="17593"/>
    <cellStyle name="Nota 3 2 11" xfId="3276"/>
    <cellStyle name="Nota 3 2 11 2" xfId="22457"/>
    <cellStyle name="Nota 3 2 12" xfId="15243"/>
    <cellStyle name="Nota 3 2 2" xfId="1491"/>
    <cellStyle name="Nota 3 2 2 10" xfId="4450"/>
    <cellStyle name="Nota 3 2 2 10 2" xfId="22959"/>
    <cellStyle name="Nota 3 2 2 11" xfId="6190"/>
    <cellStyle name="Nota 3 2 2 2" xfId="1492"/>
    <cellStyle name="Nota 3 2 2 2 2" xfId="1493"/>
    <cellStyle name="Nota 3 2 2 2 2 2" xfId="1494"/>
    <cellStyle name="Nota 3 2 2 2 2 2 2" xfId="6396"/>
    <cellStyle name="Nota 3 2 2 2 2 2 2 2" xfId="12979"/>
    <cellStyle name="Nota 3 2 2 2 2 2 2 2 2" xfId="27301"/>
    <cellStyle name="Nota 3 2 2 2 2 2 2 3" xfId="18624"/>
    <cellStyle name="Nota 3 2 2 2 2 2 3" xfId="7078"/>
    <cellStyle name="Nota 3 2 2 2 2 2 3 2" xfId="9692"/>
    <cellStyle name="Nota 3 2 2 2 2 2 3 2 2" xfId="15954"/>
    <cellStyle name="Nota 3 2 2 2 2 2 3 2 2 2" xfId="29370"/>
    <cellStyle name="Nota 3 2 2 2 2 2 3 2 3" xfId="20699"/>
    <cellStyle name="Nota 3 2 2 2 2 2 3 3" xfId="13682"/>
    <cellStyle name="Nota 3 2 2 2 2 2 3 3 2" xfId="28004"/>
    <cellStyle name="Nota 3 2 2 2 2 2 3 4" xfId="19327"/>
    <cellStyle name="Nota 3 2 2 2 2 2 4" xfId="2785"/>
    <cellStyle name="Nota 3 2 2 2 2 2 4 2" xfId="22354"/>
    <cellStyle name="Nota 3 2 2 2 2 2 5" xfId="16976"/>
    <cellStyle name="Nota 3 2 2 2 2 3" xfId="1495"/>
    <cellStyle name="Nota 3 2 2 2 2 3 2" xfId="7888"/>
    <cellStyle name="Nota 3 2 2 2 2 3 2 2" xfId="10502"/>
    <cellStyle name="Nota 3 2 2 2 2 3 2 2 2" xfId="16764"/>
    <cellStyle name="Nota 3 2 2 2 2 3 2 2 2 2" xfId="30180"/>
    <cellStyle name="Nota 3 2 2 2 2 3 2 2 3" xfId="21509"/>
    <cellStyle name="Nota 3 2 2 2 2 3 2 3" xfId="14492"/>
    <cellStyle name="Nota 3 2 2 2 2 3 2 3 2" xfId="28814"/>
    <cellStyle name="Nota 3 2 2 2 2 3 2 4" xfId="20137"/>
    <cellStyle name="Nota 3 2 2 2 2 3 3" xfId="13322"/>
    <cellStyle name="Nota 3 2 2 2 2 3 3 2" xfId="27644"/>
    <cellStyle name="Nota 3 2 2 2 2 3 4" xfId="18967"/>
    <cellStyle name="Nota 3 2 2 2 2 4" xfId="5772"/>
    <cellStyle name="Nota 3 2 2 2 2 4 2" xfId="12325"/>
    <cellStyle name="Nota 3 2 2 2 2 4 2 2" xfId="26647"/>
    <cellStyle name="Nota 3 2 2 2 2 4 3" xfId="17970"/>
    <cellStyle name="Nota 3 2 2 2 2 5" xfId="4546"/>
    <cellStyle name="Nota 3 2 2 2 2 5 2" xfId="23024"/>
    <cellStyle name="Nota 3 2 2 2 2 6" xfId="17391"/>
    <cellStyle name="Nota 3 2 2 2 3" xfId="1496"/>
    <cellStyle name="Nota 3 2 2 2 3 2" xfId="1497"/>
    <cellStyle name="Nota 3 2 2 2 3 2 2" xfId="6557"/>
    <cellStyle name="Nota 3 2 2 2 3 2 2 2" xfId="13145"/>
    <cellStyle name="Nota 3 2 2 2 3 2 2 2 2" xfId="27467"/>
    <cellStyle name="Nota 3 2 2 2 3 2 2 3" xfId="18790"/>
    <cellStyle name="Nota 3 2 2 2 3 2 3" xfId="7554"/>
    <cellStyle name="Nota 3 2 2 2 3 2 3 2" xfId="10168"/>
    <cellStyle name="Nota 3 2 2 2 3 2 3 2 2" xfId="16430"/>
    <cellStyle name="Nota 3 2 2 2 3 2 3 2 2 2" xfId="29846"/>
    <cellStyle name="Nota 3 2 2 2 3 2 3 2 3" xfId="21175"/>
    <cellStyle name="Nota 3 2 2 2 3 2 3 3" xfId="14158"/>
    <cellStyle name="Nota 3 2 2 2 3 2 3 3 2" xfId="28480"/>
    <cellStyle name="Nota 3 2 2 2 3 2 3 4" xfId="19803"/>
    <cellStyle name="Nota 3 2 2 2 3 2 4" xfId="3887"/>
    <cellStyle name="Nota 3 2 2 2 3 2 4 2" xfId="22627"/>
    <cellStyle name="Nota 3 2 2 2 3 2 5" xfId="15324"/>
    <cellStyle name="Nota 3 2 2 2 3 3" xfId="1498"/>
    <cellStyle name="Nota 3 2 2 2 3 3 2" xfId="7853"/>
    <cellStyle name="Nota 3 2 2 2 3 3 2 2" xfId="10467"/>
    <cellStyle name="Nota 3 2 2 2 3 3 2 2 2" xfId="16729"/>
    <cellStyle name="Nota 3 2 2 2 3 3 2 2 2 2" xfId="30145"/>
    <cellStyle name="Nota 3 2 2 2 3 3 2 2 3" xfId="21474"/>
    <cellStyle name="Nota 3 2 2 2 3 3 2 3" xfId="14457"/>
    <cellStyle name="Nota 3 2 2 2 3 3 2 3 2" xfId="28779"/>
    <cellStyle name="Nota 3 2 2 2 3 3 2 4" xfId="20102"/>
    <cellStyle name="Nota 3 2 2 2 3 3 3" xfId="12128"/>
    <cellStyle name="Nota 3 2 2 2 3 3 3 2" xfId="26450"/>
    <cellStyle name="Nota 3 2 2 2 3 3 4" xfId="17773"/>
    <cellStyle name="Nota 3 2 2 2 3 4" xfId="5143"/>
    <cellStyle name="Nota 3 2 2 2 3 4 2" xfId="11692"/>
    <cellStyle name="Nota 3 2 2 2 3 4 2 2" xfId="26014"/>
    <cellStyle name="Nota 3 2 2 2 3 4 3" xfId="4153"/>
    <cellStyle name="Nota 3 2 2 2 3 5" xfId="4832"/>
    <cellStyle name="Nota 3 2 2 2 3 5 2" xfId="23210"/>
    <cellStyle name="Nota 3 2 2 2 3 6" xfId="15252"/>
    <cellStyle name="Nota 3 2 2 2 4" xfId="1499"/>
    <cellStyle name="Nota 3 2 2 2 4 2" xfId="6134"/>
    <cellStyle name="Nota 3 2 2 2 4 2 2" xfId="12703"/>
    <cellStyle name="Nota 3 2 2 2 4 2 2 2" xfId="27025"/>
    <cellStyle name="Nota 3 2 2 2 4 2 3" xfId="18348"/>
    <cellStyle name="Nota 3 2 2 2 4 3" xfId="7898"/>
    <cellStyle name="Nota 3 2 2 2 4 3 2" xfId="10512"/>
    <cellStyle name="Nota 3 2 2 2 4 3 2 2" xfId="16774"/>
    <cellStyle name="Nota 3 2 2 2 4 3 2 2 2" xfId="30190"/>
    <cellStyle name="Nota 3 2 2 2 4 3 2 3" xfId="21519"/>
    <cellStyle name="Nota 3 2 2 2 4 3 3" xfId="14502"/>
    <cellStyle name="Nota 3 2 2 2 4 3 3 2" xfId="28824"/>
    <cellStyle name="Nota 3 2 2 2 4 3 4" xfId="20147"/>
    <cellStyle name="Nota 3 2 2 2 4 4" xfId="5191"/>
    <cellStyle name="Nota 3 2 2 2 4 4 2" xfId="23334"/>
    <cellStyle name="Nota 3 2 2 2 4 5" xfId="15448"/>
    <cellStyle name="Nota 3 2 2 2 5" xfId="1500"/>
    <cellStyle name="Nota 3 2 2 2 5 2" xfId="5299"/>
    <cellStyle name="Nota 3 2 2 2 5 2 2" xfId="9608"/>
    <cellStyle name="Nota 3 2 2 2 5 2 2 2" xfId="15870"/>
    <cellStyle name="Nota 3 2 2 2 5 2 2 2 2" xfId="29286"/>
    <cellStyle name="Nota 3 2 2 2 5 2 2 3" xfId="20615"/>
    <cellStyle name="Nota 3 2 2 2 5 2 3" xfId="11849"/>
    <cellStyle name="Nota 3 2 2 2 5 2 3 2" xfId="26171"/>
    <cellStyle name="Nota 3 2 2 2 5 2 4" xfId="17494"/>
    <cellStyle name="Nota 3 2 2 2 5 3" xfId="12898"/>
    <cellStyle name="Nota 3 2 2 2 5 3 2" xfId="27220"/>
    <cellStyle name="Nota 3 2 2 2 5 4" xfId="18543"/>
    <cellStyle name="Nota 3 2 2 2 6" xfId="5516"/>
    <cellStyle name="Nota 3 2 2 2 6 2" xfId="12067"/>
    <cellStyle name="Nota 3 2 2 2 6 2 2" xfId="26389"/>
    <cellStyle name="Nota 3 2 2 2 6 3" xfId="17712"/>
    <cellStyle name="Nota 3 2 2 2 7" xfId="3858"/>
    <cellStyle name="Nota 3 2 2 2 7 2" xfId="22614"/>
    <cellStyle name="Nota 3 2 2 2 8" xfId="5970"/>
    <cellStyle name="Nota 3 2 2 3" xfId="1501"/>
    <cellStyle name="Nota 3 2 2 3 2" xfId="1502"/>
    <cellStyle name="Nota 3 2 2 3 2 2" xfId="1503"/>
    <cellStyle name="Nota 3 2 2 3 2 2 2" xfId="6858"/>
    <cellStyle name="Nota 3 2 2 3 2 2 2 2" xfId="13462"/>
    <cellStyle name="Nota 3 2 2 3 2 2 2 2 2" xfId="27784"/>
    <cellStyle name="Nota 3 2 2 3 2 2 2 3" xfId="19107"/>
    <cellStyle name="Nota 3 2 2 3 2 2 3" xfId="7879"/>
    <cellStyle name="Nota 3 2 2 3 2 2 3 2" xfId="10493"/>
    <cellStyle name="Nota 3 2 2 3 2 2 3 2 2" xfId="16755"/>
    <cellStyle name="Nota 3 2 2 3 2 2 3 2 2 2" xfId="30171"/>
    <cellStyle name="Nota 3 2 2 3 2 2 3 2 3" xfId="21500"/>
    <cellStyle name="Nota 3 2 2 3 2 2 3 3" xfId="14483"/>
    <cellStyle name="Nota 3 2 2 3 2 2 3 3 2" xfId="28805"/>
    <cellStyle name="Nota 3 2 2 3 2 2 3 4" xfId="20128"/>
    <cellStyle name="Nota 3 2 2 3 2 2 4" xfId="11316"/>
    <cellStyle name="Nota 3 2 2 3 2 2 4 2" xfId="25638"/>
    <cellStyle name="Nota 3 2 2 3 2 2 5" xfId="4900"/>
    <cellStyle name="Nota 3 2 2 3 2 3" xfId="1504"/>
    <cellStyle name="Nota 3 2 2 3 2 3 2" xfId="7159"/>
    <cellStyle name="Nota 3 2 2 3 2 3 2 2" xfId="9773"/>
    <cellStyle name="Nota 3 2 2 3 2 3 2 2 2" xfId="16035"/>
    <cellStyle name="Nota 3 2 2 3 2 3 2 2 2 2" xfId="29451"/>
    <cellStyle name="Nota 3 2 2 3 2 3 2 2 3" xfId="20780"/>
    <cellStyle name="Nota 3 2 2 3 2 3 2 3" xfId="13763"/>
    <cellStyle name="Nota 3 2 2 3 2 3 2 3 2" xfId="28085"/>
    <cellStyle name="Nota 3 2 2 3 2 3 2 4" xfId="19408"/>
    <cellStyle name="Nota 3 2 2 3 2 3 3" xfId="13358"/>
    <cellStyle name="Nota 3 2 2 3 2 3 3 2" xfId="27680"/>
    <cellStyle name="Nota 3 2 2 3 2 3 4" xfId="19003"/>
    <cellStyle name="Nota 3 2 2 3 2 4" xfId="5808"/>
    <cellStyle name="Nota 3 2 2 3 2 4 2" xfId="12361"/>
    <cellStyle name="Nota 3 2 2 3 2 4 2 2" xfId="26683"/>
    <cellStyle name="Nota 3 2 2 3 2 4 3" xfId="18006"/>
    <cellStyle name="Nota 3 2 2 3 2 5" xfId="4515"/>
    <cellStyle name="Nota 3 2 2 3 2 5 2" xfId="23002"/>
    <cellStyle name="Nota 3 2 2 3 2 6" xfId="14971"/>
    <cellStyle name="Nota 3 2 2 3 3" xfId="1505"/>
    <cellStyle name="Nota 3 2 2 3 3 2" xfId="1506"/>
    <cellStyle name="Nota 3 2 2 3 3 2 2" xfId="7038"/>
    <cellStyle name="Nota 3 2 2 3 3 2 2 2" xfId="13642"/>
    <cellStyle name="Nota 3 2 2 3 3 2 2 2 2" xfId="27964"/>
    <cellStyle name="Nota 3 2 2 3 3 2 2 3" xfId="19287"/>
    <cellStyle name="Nota 3 2 2 3 3 2 3" xfId="7826"/>
    <cellStyle name="Nota 3 2 2 3 3 2 3 2" xfId="10440"/>
    <cellStyle name="Nota 3 2 2 3 3 2 3 2 2" xfId="16702"/>
    <cellStyle name="Nota 3 2 2 3 3 2 3 2 2 2" xfId="30118"/>
    <cellStyle name="Nota 3 2 2 3 3 2 3 2 3" xfId="21447"/>
    <cellStyle name="Nota 3 2 2 3 3 2 3 3" xfId="14430"/>
    <cellStyle name="Nota 3 2 2 3 3 2 3 3 2" xfId="28752"/>
    <cellStyle name="Nota 3 2 2 3 3 2 3 4" xfId="20075"/>
    <cellStyle name="Nota 3 2 2 3 3 2 4" xfId="11583"/>
    <cellStyle name="Nota 3 2 2 3 3 2 4 2" xfId="25905"/>
    <cellStyle name="Nota 3 2 2 3 3 2 5" xfId="15533"/>
    <cellStyle name="Nota 3 2 2 3 3 3" xfId="1507"/>
    <cellStyle name="Nota 3 2 2 3 3 3 2" xfId="7574"/>
    <cellStyle name="Nota 3 2 2 3 3 3 2 2" xfId="10188"/>
    <cellStyle name="Nota 3 2 2 3 3 3 2 2 2" xfId="16450"/>
    <cellStyle name="Nota 3 2 2 3 3 3 2 2 2 2" xfId="29866"/>
    <cellStyle name="Nota 3 2 2 3 3 3 2 2 3" xfId="21195"/>
    <cellStyle name="Nota 3 2 2 3 3 3 2 3" xfId="14178"/>
    <cellStyle name="Nota 3 2 2 3 3 3 2 3 2" xfId="28500"/>
    <cellStyle name="Nota 3 2 2 3 3 3 2 4" xfId="19823"/>
    <cellStyle name="Nota 3 2 2 3 3 3 3" xfId="13167"/>
    <cellStyle name="Nota 3 2 2 3 3 3 3 2" xfId="27489"/>
    <cellStyle name="Nota 3 2 2 3 3 3 4" xfId="18812"/>
    <cellStyle name="Nota 3 2 2 3 3 4" xfId="5584"/>
    <cellStyle name="Nota 3 2 2 3 3 4 2" xfId="12136"/>
    <cellStyle name="Nota 3 2 2 3 3 4 2 2" xfId="26458"/>
    <cellStyle name="Nota 3 2 2 3 3 4 3" xfId="17781"/>
    <cellStyle name="Nota 3 2 2 3 3 5" xfId="6345"/>
    <cellStyle name="Nota 3 2 2 3 3 5 2" xfId="23531"/>
    <cellStyle name="Nota 3 2 2 3 3 6" xfId="15051"/>
    <cellStyle name="Nota 3 2 2 3 4" xfId="1508"/>
    <cellStyle name="Nota 3 2 2 3 4 2" xfId="5120"/>
    <cellStyle name="Nota 3 2 2 3 4 2 2" xfId="11668"/>
    <cellStyle name="Nota 3 2 2 3 4 2 2 2" xfId="25990"/>
    <cellStyle name="Nota 3 2 2 3 4 2 3" xfId="17193"/>
    <cellStyle name="Nota 3 2 2 3 4 3" xfId="8014"/>
    <cellStyle name="Nota 3 2 2 3 4 3 2" xfId="10628"/>
    <cellStyle name="Nota 3 2 2 3 4 3 2 2" xfId="16890"/>
    <cellStyle name="Nota 3 2 2 3 4 3 2 2 2" xfId="30306"/>
    <cellStyle name="Nota 3 2 2 3 4 3 2 3" xfId="21635"/>
    <cellStyle name="Nota 3 2 2 3 4 3 3" xfId="14618"/>
    <cellStyle name="Nota 3 2 2 3 4 3 3 2" xfId="28940"/>
    <cellStyle name="Nota 3 2 2 3 4 3 4" xfId="20263"/>
    <cellStyle name="Nota 3 2 2 3 4 4" xfId="4784"/>
    <cellStyle name="Nota 3 2 2 3 4 4 2" xfId="23185"/>
    <cellStyle name="Nota 3 2 2 3 4 5" xfId="17192"/>
    <cellStyle name="Nota 3 2 2 3 5" xfId="1509"/>
    <cellStyle name="Nota 3 2 2 3 5 2" xfId="7360"/>
    <cellStyle name="Nota 3 2 2 3 5 2 2" xfId="9974"/>
    <cellStyle name="Nota 3 2 2 3 5 2 2 2" xfId="16236"/>
    <cellStyle name="Nota 3 2 2 3 5 2 2 2 2" xfId="29652"/>
    <cellStyle name="Nota 3 2 2 3 5 2 2 3" xfId="20981"/>
    <cellStyle name="Nota 3 2 2 3 5 2 3" xfId="13964"/>
    <cellStyle name="Nota 3 2 2 3 5 2 3 2" xfId="28286"/>
    <cellStyle name="Nota 3 2 2 3 5 2 4" xfId="19609"/>
    <cellStyle name="Nota 3 2 2 3 5 3" xfId="12934"/>
    <cellStyle name="Nota 3 2 2 3 5 3 2" xfId="27256"/>
    <cellStyle name="Nota 3 2 2 3 5 4" xfId="18579"/>
    <cellStyle name="Nota 3 2 2 3 6" xfId="5558"/>
    <cellStyle name="Nota 3 2 2 3 6 2" xfId="12109"/>
    <cellStyle name="Nota 3 2 2 3 6 2 2" xfId="26431"/>
    <cellStyle name="Nota 3 2 2 3 6 3" xfId="17754"/>
    <cellStyle name="Nota 3 2 2 3 7" xfId="6323"/>
    <cellStyle name="Nota 3 2 2 3 7 2" xfId="23515"/>
    <cellStyle name="Nota 3 2 2 3 8" xfId="17034"/>
    <cellStyle name="Nota 3 2 2 4" xfId="1510"/>
    <cellStyle name="Nota 3 2 2 4 2" xfId="1511"/>
    <cellStyle name="Nota 3 2 2 4 2 2" xfId="1512"/>
    <cellStyle name="Nota 3 2 2 4 2 2 2" xfId="5944"/>
    <cellStyle name="Nota 3 2 2 4 2 2 2 2" xfId="12501"/>
    <cellStyle name="Nota 3 2 2 4 2 2 2 2 2" xfId="26823"/>
    <cellStyle name="Nota 3 2 2 4 2 2 2 3" xfId="18146"/>
    <cellStyle name="Nota 3 2 2 4 2 2 3" xfId="7409"/>
    <cellStyle name="Nota 3 2 2 4 2 2 3 2" xfId="10023"/>
    <cellStyle name="Nota 3 2 2 4 2 2 3 2 2" xfId="16285"/>
    <cellStyle name="Nota 3 2 2 4 2 2 3 2 2 2" xfId="29701"/>
    <cellStyle name="Nota 3 2 2 4 2 2 3 2 3" xfId="21030"/>
    <cellStyle name="Nota 3 2 2 4 2 2 3 3" xfId="14013"/>
    <cellStyle name="Nota 3 2 2 4 2 2 3 3 2" xfId="28335"/>
    <cellStyle name="Nota 3 2 2 4 2 2 3 4" xfId="19658"/>
    <cellStyle name="Nota 3 2 2 4 2 2 4" xfId="5932"/>
    <cellStyle name="Nota 3 2 2 4 2 2 4 2" xfId="23375"/>
    <cellStyle name="Nota 3 2 2 4 2 2 5" xfId="15455"/>
    <cellStyle name="Nota 3 2 2 4 2 3" xfId="1513"/>
    <cellStyle name="Nota 3 2 2 4 2 3 2" xfId="4816"/>
    <cellStyle name="Nota 3 2 2 4 2 3 2 2" xfId="9494"/>
    <cellStyle name="Nota 3 2 2 4 2 3 2 2 2" xfId="15756"/>
    <cellStyle name="Nota 3 2 2 4 2 3 2 2 2 2" xfId="29172"/>
    <cellStyle name="Nota 3 2 2 4 2 3 2 2 3" xfId="20501"/>
    <cellStyle name="Nota 3 2 2 4 2 3 2 3" xfId="11348"/>
    <cellStyle name="Nota 3 2 2 4 2 3 2 3 2" xfId="25670"/>
    <cellStyle name="Nota 3 2 2 4 2 3 2 4" xfId="15378"/>
    <cellStyle name="Nota 3 2 2 4 2 3 3" xfId="13233"/>
    <cellStyle name="Nota 3 2 2 4 2 3 3 2" xfId="27555"/>
    <cellStyle name="Nota 3 2 2 4 2 3 4" xfId="18878"/>
    <cellStyle name="Nota 3 2 2 4 2 4" xfId="5674"/>
    <cellStyle name="Nota 3 2 2 4 2 4 2" xfId="12227"/>
    <cellStyle name="Nota 3 2 2 4 2 4 2 2" xfId="26549"/>
    <cellStyle name="Nota 3 2 2 4 2 4 3" xfId="17872"/>
    <cellStyle name="Nota 3 2 2 4 2 5" xfId="4241"/>
    <cellStyle name="Nota 3 2 2 4 2 5 2" xfId="22849"/>
    <cellStyle name="Nota 3 2 2 4 2 6" xfId="14910"/>
    <cellStyle name="Nota 3 2 2 4 3" xfId="1514"/>
    <cellStyle name="Nota 3 2 2 4 3 2" xfId="1515"/>
    <cellStyle name="Nota 3 2 2 4 3 2 2" xfId="7034"/>
    <cellStyle name="Nota 3 2 2 4 3 2 2 2" xfId="13638"/>
    <cellStyle name="Nota 3 2 2 4 3 2 2 2 2" xfId="27960"/>
    <cellStyle name="Nota 3 2 2 4 3 2 2 3" xfId="19283"/>
    <cellStyle name="Nota 3 2 2 4 3 2 3" xfId="7175"/>
    <cellStyle name="Nota 3 2 2 4 3 2 3 2" xfId="9789"/>
    <cellStyle name="Nota 3 2 2 4 3 2 3 2 2" xfId="16051"/>
    <cellStyle name="Nota 3 2 2 4 3 2 3 2 2 2" xfId="29467"/>
    <cellStyle name="Nota 3 2 2 4 3 2 3 2 3" xfId="20796"/>
    <cellStyle name="Nota 3 2 2 4 3 2 3 3" xfId="13779"/>
    <cellStyle name="Nota 3 2 2 4 3 2 3 3 2" xfId="28101"/>
    <cellStyle name="Nota 3 2 2 4 3 2 3 4" xfId="19424"/>
    <cellStyle name="Nota 3 2 2 4 3 2 4" xfId="11575"/>
    <cellStyle name="Nota 3 2 2 4 3 2 4 2" xfId="25897"/>
    <cellStyle name="Nota 3 2 2 4 3 2 5" xfId="5927"/>
    <cellStyle name="Nota 3 2 2 4 3 3" xfId="1516"/>
    <cellStyle name="Nota 3 2 2 4 3 3 2" xfId="7413"/>
    <cellStyle name="Nota 3 2 2 4 3 3 2 2" xfId="10027"/>
    <cellStyle name="Nota 3 2 2 4 3 3 2 2 2" xfId="16289"/>
    <cellStyle name="Nota 3 2 2 4 3 3 2 2 2 2" xfId="29705"/>
    <cellStyle name="Nota 3 2 2 4 3 3 2 2 3" xfId="21034"/>
    <cellStyle name="Nota 3 2 2 4 3 3 2 3" xfId="14017"/>
    <cellStyle name="Nota 3 2 2 4 3 3 2 3 2" xfId="28339"/>
    <cellStyle name="Nota 3 2 2 4 3 3 2 4" xfId="19662"/>
    <cellStyle name="Nota 3 2 2 4 3 3 3" xfId="11701"/>
    <cellStyle name="Nota 3 2 2 4 3 3 3 2" xfId="26023"/>
    <cellStyle name="Nota 3 2 2 4 3 3 4" xfId="3149"/>
    <cellStyle name="Nota 3 2 2 4 3 4" xfId="4272"/>
    <cellStyle name="Nota 3 2 2 4 3 4 2" xfId="6310"/>
    <cellStyle name="Nota 3 2 2 4 3 4 2 2" xfId="23506"/>
    <cellStyle name="Nota 3 2 2 4 3 4 3" xfId="14975"/>
    <cellStyle name="Nota 3 2 2 4 3 5" xfId="4573"/>
    <cellStyle name="Nota 3 2 2 4 3 5 2" xfId="23040"/>
    <cellStyle name="Nota 3 2 2 4 3 6" xfId="17010"/>
    <cellStyle name="Nota 3 2 2 4 4" xfId="1517"/>
    <cellStyle name="Nota 3 2 2 4 4 2" xfId="6852"/>
    <cellStyle name="Nota 3 2 2 4 4 2 2" xfId="13456"/>
    <cellStyle name="Nota 3 2 2 4 4 2 2 2" xfId="27778"/>
    <cellStyle name="Nota 3 2 2 4 4 2 3" xfId="19101"/>
    <cellStyle name="Nota 3 2 2 4 4 3" xfId="7376"/>
    <cellStyle name="Nota 3 2 2 4 4 3 2" xfId="9990"/>
    <cellStyle name="Nota 3 2 2 4 4 3 2 2" xfId="16252"/>
    <cellStyle name="Nota 3 2 2 4 4 3 2 2 2" xfId="29668"/>
    <cellStyle name="Nota 3 2 2 4 4 3 2 3" xfId="20997"/>
    <cellStyle name="Nota 3 2 2 4 4 3 3" xfId="13980"/>
    <cellStyle name="Nota 3 2 2 4 4 3 3 2" xfId="28302"/>
    <cellStyle name="Nota 3 2 2 4 4 3 4" xfId="19625"/>
    <cellStyle name="Nota 3 2 2 4 4 4" xfId="2763"/>
    <cellStyle name="Nota 3 2 2 4 4 4 2" xfId="22332"/>
    <cellStyle name="Nota 3 2 2 4 4 5" xfId="15264"/>
    <cellStyle name="Nota 3 2 2 4 5" xfId="1518"/>
    <cellStyle name="Nota 3 2 2 4 5 2" xfId="7914"/>
    <cellStyle name="Nota 3 2 2 4 5 2 2" xfId="10528"/>
    <cellStyle name="Nota 3 2 2 4 5 2 2 2" xfId="16790"/>
    <cellStyle name="Nota 3 2 2 4 5 2 2 2 2" xfId="30206"/>
    <cellStyle name="Nota 3 2 2 4 5 2 2 3" xfId="21535"/>
    <cellStyle name="Nota 3 2 2 4 5 2 3" xfId="14518"/>
    <cellStyle name="Nota 3 2 2 4 5 2 3 2" xfId="28840"/>
    <cellStyle name="Nota 3 2 2 4 5 2 4" xfId="20163"/>
    <cellStyle name="Nota 3 2 2 4 5 3" xfId="12634"/>
    <cellStyle name="Nota 3 2 2 4 5 3 2" xfId="26956"/>
    <cellStyle name="Nota 3 2 2 4 5 4" xfId="18279"/>
    <cellStyle name="Nota 3 2 2 4 6" xfId="4060"/>
    <cellStyle name="Nota 3 2 2 4 6 2" xfId="5971"/>
    <cellStyle name="Nota 3 2 2 4 6 2 2" xfId="23385"/>
    <cellStyle name="Nota 3 2 2 4 6 3" xfId="15182"/>
    <cellStyle name="Nota 3 2 2 4 7" xfId="6822"/>
    <cellStyle name="Nota 3 2 2 4 7 2" xfId="23757"/>
    <cellStyle name="Nota 3 2 2 4 8" xfId="14983"/>
    <cellStyle name="Nota 3 2 2 5" xfId="1519"/>
    <cellStyle name="Nota 3 2 2 5 2" xfId="1520"/>
    <cellStyle name="Nota 3 2 2 5 2 2" xfId="1521"/>
    <cellStyle name="Nota 3 2 2 5 2 2 2" xfId="6448"/>
    <cellStyle name="Nota 3 2 2 5 2 2 2 2" xfId="13031"/>
    <cellStyle name="Nota 3 2 2 5 2 2 2 2 2" xfId="27353"/>
    <cellStyle name="Nota 3 2 2 5 2 2 2 3" xfId="18676"/>
    <cellStyle name="Nota 3 2 2 5 2 2 3" xfId="7644"/>
    <cellStyle name="Nota 3 2 2 5 2 2 3 2" xfId="10258"/>
    <cellStyle name="Nota 3 2 2 5 2 2 3 2 2" xfId="16520"/>
    <cellStyle name="Nota 3 2 2 5 2 2 3 2 2 2" xfId="29936"/>
    <cellStyle name="Nota 3 2 2 5 2 2 3 2 3" xfId="21265"/>
    <cellStyle name="Nota 3 2 2 5 2 2 3 3" xfId="14248"/>
    <cellStyle name="Nota 3 2 2 5 2 2 3 3 2" xfId="28570"/>
    <cellStyle name="Nota 3 2 2 5 2 2 3 4" xfId="19893"/>
    <cellStyle name="Nota 3 2 2 5 2 2 4" xfId="4654"/>
    <cellStyle name="Nota 3 2 2 5 2 2 4 2" xfId="23096"/>
    <cellStyle name="Nota 3 2 2 5 2 2 5" xfId="17250"/>
    <cellStyle name="Nota 3 2 2 5 2 3" xfId="1522"/>
    <cellStyle name="Nota 3 2 2 5 2 3 2" xfId="7623"/>
    <cellStyle name="Nota 3 2 2 5 2 3 2 2" xfId="10237"/>
    <cellStyle name="Nota 3 2 2 5 2 3 2 2 2" xfId="16499"/>
    <cellStyle name="Nota 3 2 2 5 2 3 2 2 2 2" xfId="29915"/>
    <cellStyle name="Nota 3 2 2 5 2 3 2 2 3" xfId="21244"/>
    <cellStyle name="Nota 3 2 2 5 2 3 2 3" xfId="14227"/>
    <cellStyle name="Nota 3 2 2 5 2 3 2 3 2" xfId="28549"/>
    <cellStyle name="Nota 3 2 2 5 2 3 2 4" xfId="19872"/>
    <cellStyle name="Nota 3 2 2 5 2 3 3" xfId="13398"/>
    <cellStyle name="Nota 3 2 2 5 2 3 3 2" xfId="27720"/>
    <cellStyle name="Nota 3 2 2 5 2 3 4" xfId="19043"/>
    <cellStyle name="Nota 3 2 2 5 2 4" xfId="5862"/>
    <cellStyle name="Nota 3 2 2 5 2 4 2" xfId="12415"/>
    <cellStyle name="Nota 3 2 2 5 2 4 2 2" xfId="26737"/>
    <cellStyle name="Nota 3 2 2 5 2 4 3" xfId="18060"/>
    <cellStyle name="Nota 3 2 2 5 2 5" xfId="4790"/>
    <cellStyle name="Nota 3 2 2 5 2 5 2" xfId="23189"/>
    <cellStyle name="Nota 3 2 2 5 2 6" xfId="14767"/>
    <cellStyle name="Nota 3 2 2 5 3" xfId="1523"/>
    <cellStyle name="Nota 3 2 2 5 3 2" xfId="6876"/>
    <cellStyle name="Nota 3 2 2 5 3 2 2" xfId="13480"/>
    <cellStyle name="Nota 3 2 2 5 3 2 2 2" xfId="27802"/>
    <cellStyle name="Nota 3 2 2 5 3 2 3" xfId="19125"/>
    <cellStyle name="Nota 3 2 2 5 3 3" xfId="7886"/>
    <cellStyle name="Nota 3 2 2 5 3 3 2" xfId="10500"/>
    <cellStyle name="Nota 3 2 2 5 3 3 2 2" xfId="16762"/>
    <cellStyle name="Nota 3 2 2 5 3 3 2 2 2" xfId="30178"/>
    <cellStyle name="Nota 3 2 2 5 3 3 2 3" xfId="21507"/>
    <cellStyle name="Nota 3 2 2 5 3 3 3" xfId="14490"/>
    <cellStyle name="Nota 3 2 2 5 3 3 3 2" xfId="28812"/>
    <cellStyle name="Nota 3 2 2 5 3 3 4" xfId="20135"/>
    <cellStyle name="Nota 3 2 2 5 3 4" xfId="11345"/>
    <cellStyle name="Nota 3 2 2 5 3 4 2" xfId="25667"/>
    <cellStyle name="Nota 3 2 2 5 3 5" xfId="17026"/>
    <cellStyle name="Nota 3 2 2 5 4" xfId="1524"/>
    <cellStyle name="Nota 3 2 2 5 4 2" xfId="8016"/>
    <cellStyle name="Nota 3 2 2 5 4 2 2" xfId="10630"/>
    <cellStyle name="Nota 3 2 2 5 4 2 2 2" xfId="16892"/>
    <cellStyle name="Nota 3 2 2 5 4 2 2 2 2" xfId="30308"/>
    <cellStyle name="Nota 3 2 2 5 4 2 2 3" xfId="21637"/>
    <cellStyle name="Nota 3 2 2 5 4 2 3" xfId="14620"/>
    <cellStyle name="Nota 3 2 2 5 4 2 3 2" xfId="28942"/>
    <cellStyle name="Nota 3 2 2 5 4 2 4" xfId="20265"/>
    <cellStyle name="Nota 3 2 2 5 4 3" xfId="12942"/>
    <cellStyle name="Nota 3 2 2 5 4 3 2" xfId="27264"/>
    <cellStyle name="Nota 3 2 2 5 4 4" xfId="18587"/>
    <cellStyle name="Nota 3 2 2 5 5" xfId="5595"/>
    <cellStyle name="Nota 3 2 2 5 5 2" xfId="12147"/>
    <cellStyle name="Nota 3 2 2 5 5 2 2" xfId="26469"/>
    <cellStyle name="Nota 3 2 2 5 5 3" xfId="17792"/>
    <cellStyle name="Nota 3 2 2 5 6" xfId="4199"/>
    <cellStyle name="Nota 3 2 2 5 6 2" xfId="22816"/>
    <cellStyle name="Nota 3 2 2 5 7" xfId="14885"/>
    <cellStyle name="Nota 3 2 2 6" xfId="1525"/>
    <cellStyle name="Nota 3 2 2 6 2" xfId="1526"/>
    <cellStyle name="Nota 3 2 2 6 2 2" xfId="6216"/>
    <cellStyle name="Nota 3 2 2 6 2 2 2" xfId="12790"/>
    <cellStyle name="Nota 3 2 2 6 2 2 2 2" xfId="27112"/>
    <cellStyle name="Nota 3 2 2 6 2 2 3" xfId="18435"/>
    <cellStyle name="Nota 3 2 2 6 2 3" xfId="7760"/>
    <cellStyle name="Nota 3 2 2 6 2 3 2" xfId="10374"/>
    <cellStyle name="Nota 3 2 2 6 2 3 2 2" xfId="16636"/>
    <cellStyle name="Nota 3 2 2 6 2 3 2 2 2" xfId="30052"/>
    <cellStyle name="Nota 3 2 2 6 2 3 2 3" xfId="21381"/>
    <cellStyle name="Nota 3 2 2 6 2 3 3" xfId="14364"/>
    <cellStyle name="Nota 3 2 2 6 2 3 3 2" xfId="28686"/>
    <cellStyle name="Nota 3 2 2 6 2 3 4" xfId="20009"/>
    <cellStyle name="Nota 3 2 2 6 2 4" xfId="6263"/>
    <cellStyle name="Nota 3 2 2 6 2 4 2" xfId="23481"/>
    <cellStyle name="Nota 3 2 2 6 2 5" xfId="17020"/>
    <cellStyle name="Nota 3 2 2 6 3" xfId="1527"/>
    <cellStyle name="Nota 3 2 2 6 3 2" xfId="4942"/>
    <cellStyle name="Nota 3 2 2 6 3 2 2" xfId="9520"/>
    <cellStyle name="Nota 3 2 2 6 3 2 2 2" xfId="15782"/>
    <cellStyle name="Nota 3 2 2 6 3 2 2 2 2" xfId="29198"/>
    <cellStyle name="Nota 3 2 2 6 3 2 2 3" xfId="20527"/>
    <cellStyle name="Nota 3 2 2 6 3 2 3" xfId="11481"/>
    <cellStyle name="Nota 3 2 2 6 3 2 3 2" xfId="25803"/>
    <cellStyle name="Nota 3 2 2 6 3 2 4" xfId="15347"/>
    <cellStyle name="Nota 3 2 2 6 3 3" xfId="12461"/>
    <cellStyle name="Nota 3 2 2 6 3 3 2" xfId="26783"/>
    <cellStyle name="Nota 3 2 2 6 3 4" xfId="18106"/>
    <cellStyle name="Nota 3 2 2 6 4" xfId="5065"/>
    <cellStyle name="Nota 3 2 2 6 4 2" xfId="11612"/>
    <cellStyle name="Nota 3 2 2 6 4 2 2" xfId="25934"/>
    <cellStyle name="Nota 3 2 2 6 4 3" xfId="15170"/>
    <cellStyle name="Nota 3 2 2 6 5" xfId="3778"/>
    <cellStyle name="Nota 3 2 2 6 5 2" xfId="22573"/>
    <cellStyle name="Nota 3 2 2 6 6" xfId="15256"/>
    <cellStyle name="Nota 3 2 2 7" xfId="1528"/>
    <cellStyle name="Nota 3 2 2 7 2" xfId="5891"/>
    <cellStyle name="Nota 3 2 2 7 2 2" xfId="12444"/>
    <cellStyle name="Nota 3 2 2 7 2 2 2" xfId="26766"/>
    <cellStyle name="Nota 3 2 2 7 2 3" xfId="18089"/>
    <cellStyle name="Nota 3 2 2 7 3" xfId="3868"/>
    <cellStyle name="Nota 3 2 2 7 3 2" xfId="9387"/>
    <cellStyle name="Nota 3 2 2 7 3 2 2" xfId="15649"/>
    <cellStyle name="Nota 3 2 2 7 3 2 2 2" xfId="29065"/>
    <cellStyle name="Nota 3 2 2 7 3 2 3" xfId="20394"/>
    <cellStyle name="Nota 3 2 2 7 3 3" xfId="4739"/>
    <cellStyle name="Nota 3 2 2 7 3 3 2" xfId="23162"/>
    <cellStyle name="Nota 3 2 2 7 3 4" xfId="3854"/>
    <cellStyle name="Nota 3 2 2 7 4" xfId="4238"/>
    <cellStyle name="Nota 3 2 2 7 4 2" xfId="22848"/>
    <cellStyle name="Nota 3 2 2 7 5" xfId="15512"/>
    <cellStyle name="Nota 3 2 2 8" xfId="1529"/>
    <cellStyle name="Nota 3 2 2 8 2" xfId="7680"/>
    <cellStyle name="Nota 3 2 2 8 2 2" xfId="10294"/>
    <cellStyle name="Nota 3 2 2 8 2 2 2" xfId="16556"/>
    <cellStyle name="Nota 3 2 2 8 2 2 2 2" xfId="29972"/>
    <cellStyle name="Nota 3 2 2 8 2 2 3" xfId="21301"/>
    <cellStyle name="Nota 3 2 2 8 2 3" xfId="14284"/>
    <cellStyle name="Nota 3 2 2 8 2 3 2" xfId="28606"/>
    <cellStyle name="Nota 3 2 2 8 2 4" xfId="19929"/>
    <cellStyle name="Nota 3 2 2 8 3" xfId="12762"/>
    <cellStyle name="Nota 3 2 2 8 3 2" xfId="27084"/>
    <cellStyle name="Nota 3 2 2 8 4" xfId="18407"/>
    <cellStyle name="Nota 3 2 2 9" xfId="5473"/>
    <cellStyle name="Nota 3 2 2 9 2" xfId="12024"/>
    <cellStyle name="Nota 3 2 2 9 2 2" xfId="26346"/>
    <cellStyle name="Nota 3 2 2 9 3" xfId="17669"/>
    <cellStyle name="Nota 3 2 3" xfId="1530"/>
    <cellStyle name="Nota 3 2 3 2" xfId="1531"/>
    <cellStyle name="Nota 3 2 3 2 2" xfId="1532"/>
    <cellStyle name="Nota 3 2 3 2 2 2" xfId="6080"/>
    <cellStyle name="Nota 3 2 3 2 2 2 2" xfId="12646"/>
    <cellStyle name="Nota 3 2 3 2 2 2 2 2" xfId="26968"/>
    <cellStyle name="Nota 3 2 3 2 2 2 3" xfId="18291"/>
    <cellStyle name="Nota 3 2 3 2 2 3" xfId="8009"/>
    <cellStyle name="Nota 3 2 3 2 2 3 2" xfId="10623"/>
    <cellStyle name="Nota 3 2 3 2 2 3 2 2" xfId="16885"/>
    <cellStyle name="Nota 3 2 3 2 2 3 2 2 2" xfId="30301"/>
    <cellStyle name="Nota 3 2 3 2 2 3 2 3" xfId="21630"/>
    <cellStyle name="Nota 3 2 3 2 2 3 3" xfId="14613"/>
    <cellStyle name="Nota 3 2 3 2 2 3 3 2" xfId="28935"/>
    <cellStyle name="Nota 3 2 3 2 2 3 4" xfId="20258"/>
    <cellStyle name="Nota 3 2 3 2 2 4" xfId="4236"/>
    <cellStyle name="Nota 3 2 3 2 2 4 2" xfId="22846"/>
    <cellStyle name="Nota 3 2 3 2 2 5" xfId="15380"/>
    <cellStyle name="Nota 3 2 3 2 3" xfId="1533"/>
    <cellStyle name="Nota 3 2 3 2 3 2" xfId="7593"/>
    <cellStyle name="Nota 3 2 3 2 3 2 2" xfId="10207"/>
    <cellStyle name="Nota 3 2 3 2 3 2 2 2" xfId="16469"/>
    <cellStyle name="Nota 3 2 3 2 3 2 2 2 2" xfId="29885"/>
    <cellStyle name="Nota 3 2 3 2 3 2 2 3" xfId="21214"/>
    <cellStyle name="Nota 3 2 3 2 3 2 3" xfId="14197"/>
    <cellStyle name="Nota 3 2 3 2 3 2 3 2" xfId="28519"/>
    <cellStyle name="Nota 3 2 3 2 3 2 4" xfId="19842"/>
    <cellStyle name="Nota 3 2 3 2 3 3" xfId="13308"/>
    <cellStyle name="Nota 3 2 3 2 3 3 2" xfId="27630"/>
    <cellStyle name="Nota 3 2 3 2 3 4" xfId="18953"/>
    <cellStyle name="Nota 3 2 3 2 4" xfId="5758"/>
    <cellStyle name="Nota 3 2 3 2 4 2" xfId="12311"/>
    <cellStyle name="Nota 3 2 3 2 4 2 2" xfId="26633"/>
    <cellStyle name="Nota 3 2 3 2 4 3" xfId="17956"/>
    <cellStyle name="Nota 3 2 3 2 5" xfId="4597"/>
    <cellStyle name="Nota 3 2 3 2 5 2" xfId="23058"/>
    <cellStyle name="Nota 3 2 3 2 6" xfId="15042"/>
    <cellStyle name="Nota 3 2 3 3" xfId="1534"/>
    <cellStyle name="Nota 3 2 3 3 2" xfId="1535"/>
    <cellStyle name="Nota 3 2 3 3 2 2" xfId="6101"/>
    <cellStyle name="Nota 3 2 3 3 2 2 2" xfId="12668"/>
    <cellStyle name="Nota 3 2 3 3 2 2 2 2" xfId="26990"/>
    <cellStyle name="Nota 3 2 3 3 2 2 3" xfId="18313"/>
    <cellStyle name="Nota 3 2 3 3 2 3" xfId="7961"/>
    <cellStyle name="Nota 3 2 3 3 2 3 2" xfId="10575"/>
    <cellStyle name="Nota 3 2 3 3 2 3 2 2" xfId="16837"/>
    <cellStyle name="Nota 3 2 3 3 2 3 2 2 2" xfId="30253"/>
    <cellStyle name="Nota 3 2 3 3 2 3 2 3" xfId="21582"/>
    <cellStyle name="Nota 3 2 3 3 2 3 3" xfId="14565"/>
    <cellStyle name="Nota 3 2 3 3 2 3 3 2" xfId="28887"/>
    <cellStyle name="Nota 3 2 3 3 2 3 4" xfId="20210"/>
    <cellStyle name="Nota 3 2 3 3 2 4" xfId="3469"/>
    <cellStyle name="Nota 3 2 3 3 2 4 2" xfId="22471"/>
    <cellStyle name="Nota 3 2 3 3 2 5" xfId="14919"/>
    <cellStyle name="Nota 3 2 3 3 3" xfId="1536"/>
    <cellStyle name="Nota 3 2 3 3 3 2" xfId="4769"/>
    <cellStyle name="Nota 3 2 3 3 3 2 2" xfId="9481"/>
    <cellStyle name="Nota 3 2 3 3 3 2 2 2" xfId="15743"/>
    <cellStyle name="Nota 3 2 3 3 3 2 2 2 2" xfId="29159"/>
    <cellStyle name="Nota 3 2 3 3 3 2 2 3" xfId="20488"/>
    <cellStyle name="Nota 3 2 3 3 3 2 3" xfId="2770"/>
    <cellStyle name="Nota 3 2 3 3 3 2 3 2" xfId="22339"/>
    <cellStyle name="Nota 3 2 3 3 3 2 4" xfId="6644"/>
    <cellStyle name="Nota 3 2 3 3 3 3" xfId="11992"/>
    <cellStyle name="Nota 3 2 3 3 3 3 2" xfId="26314"/>
    <cellStyle name="Nota 3 2 3 3 3 4" xfId="17637"/>
    <cellStyle name="Nota 3 2 3 3 4" xfId="4937"/>
    <cellStyle name="Nota 3 2 3 3 4 2" xfId="11475"/>
    <cellStyle name="Nota 3 2 3 3 4 2 2" xfId="25797"/>
    <cellStyle name="Nota 3 2 3 3 4 3" xfId="16956"/>
    <cellStyle name="Nota 3 2 3 3 5" xfId="4115"/>
    <cellStyle name="Nota 3 2 3 3 5 2" xfId="22761"/>
    <cellStyle name="Nota 3 2 3 3 6" xfId="6315"/>
    <cellStyle name="Nota 3 2 3 4" xfId="1537"/>
    <cellStyle name="Nota 3 2 3 4 2" xfId="6066"/>
    <cellStyle name="Nota 3 2 3 4 2 2" xfId="12632"/>
    <cellStyle name="Nota 3 2 3 4 2 2 2" xfId="26954"/>
    <cellStyle name="Nota 3 2 3 4 2 3" xfId="18277"/>
    <cellStyle name="Nota 3 2 3 4 3" xfId="7279"/>
    <cellStyle name="Nota 3 2 3 4 3 2" xfId="9893"/>
    <cellStyle name="Nota 3 2 3 4 3 2 2" xfId="16155"/>
    <cellStyle name="Nota 3 2 3 4 3 2 2 2" xfId="29571"/>
    <cellStyle name="Nota 3 2 3 4 3 2 3" xfId="20900"/>
    <cellStyle name="Nota 3 2 3 4 3 3" xfId="13883"/>
    <cellStyle name="Nota 3 2 3 4 3 3 2" xfId="28205"/>
    <cellStyle name="Nota 3 2 3 4 3 4" xfId="19528"/>
    <cellStyle name="Nota 3 2 3 4 4" xfId="4204"/>
    <cellStyle name="Nota 3 2 3 4 4 2" xfId="22819"/>
    <cellStyle name="Nota 3 2 3 4 5" xfId="14779"/>
    <cellStyle name="Nota 3 2 3 5" xfId="1538"/>
    <cellStyle name="Nota 3 2 3 5 2" xfId="7847"/>
    <cellStyle name="Nota 3 2 3 5 2 2" xfId="10461"/>
    <cellStyle name="Nota 3 2 3 5 2 2 2" xfId="16723"/>
    <cellStyle name="Nota 3 2 3 5 2 2 2 2" xfId="30139"/>
    <cellStyle name="Nota 3 2 3 5 2 2 3" xfId="21468"/>
    <cellStyle name="Nota 3 2 3 5 2 3" xfId="14451"/>
    <cellStyle name="Nota 3 2 3 5 2 3 2" xfId="28773"/>
    <cellStyle name="Nota 3 2 3 5 2 4" xfId="20096"/>
    <cellStyle name="Nota 3 2 3 5 3" xfId="12884"/>
    <cellStyle name="Nota 3 2 3 5 3 2" xfId="27206"/>
    <cellStyle name="Nota 3 2 3 5 4" xfId="18529"/>
    <cellStyle name="Nota 3 2 3 6" xfId="5502"/>
    <cellStyle name="Nota 3 2 3 6 2" xfId="12053"/>
    <cellStyle name="Nota 3 2 3 6 2 2" xfId="26375"/>
    <cellStyle name="Nota 3 2 3 6 3" xfId="17698"/>
    <cellStyle name="Nota 3 2 3 7" xfId="3765"/>
    <cellStyle name="Nota 3 2 3 7 2" xfId="22570"/>
    <cellStyle name="Nota 3 2 3 8" xfId="17070"/>
    <cellStyle name="Nota 3 2 4" xfId="1539"/>
    <cellStyle name="Nota 3 2 4 2" xfId="1540"/>
    <cellStyle name="Nota 3 2 4 2 2" xfId="1541"/>
    <cellStyle name="Nota 3 2 4 2 2 2" xfId="6406"/>
    <cellStyle name="Nota 3 2 4 2 2 2 2" xfId="12989"/>
    <cellStyle name="Nota 3 2 4 2 2 2 2 2" xfId="27311"/>
    <cellStyle name="Nota 3 2 4 2 2 2 3" xfId="18634"/>
    <cellStyle name="Nota 3 2 4 2 2 3" xfId="7580"/>
    <cellStyle name="Nota 3 2 4 2 2 3 2" xfId="10194"/>
    <cellStyle name="Nota 3 2 4 2 2 3 2 2" xfId="16456"/>
    <cellStyle name="Nota 3 2 4 2 2 3 2 2 2" xfId="29872"/>
    <cellStyle name="Nota 3 2 4 2 2 3 2 3" xfId="21201"/>
    <cellStyle name="Nota 3 2 4 2 2 3 3" xfId="14184"/>
    <cellStyle name="Nota 3 2 4 2 2 3 3 2" xfId="28506"/>
    <cellStyle name="Nota 3 2 4 2 2 3 4" xfId="19829"/>
    <cellStyle name="Nota 3 2 4 2 2 4" xfId="6093"/>
    <cellStyle name="Nota 3 2 4 2 2 4 2" xfId="23412"/>
    <cellStyle name="Nota 3 2 4 2 2 5" xfId="17334"/>
    <cellStyle name="Nota 3 2 4 2 3" xfId="1542"/>
    <cellStyle name="Nota 3 2 4 2 3 2" xfId="5330"/>
    <cellStyle name="Nota 3 2 4 2 3 2 2" xfId="9639"/>
    <cellStyle name="Nota 3 2 4 2 3 2 2 2" xfId="15901"/>
    <cellStyle name="Nota 3 2 4 2 3 2 2 2 2" xfId="29317"/>
    <cellStyle name="Nota 3 2 4 2 3 2 2 3" xfId="20646"/>
    <cellStyle name="Nota 3 2 4 2 3 2 3" xfId="11880"/>
    <cellStyle name="Nota 3 2 4 2 3 2 3 2" xfId="26202"/>
    <cellStyle name="Nota 3 2 4 2 3 2 4" xfId="17525"/>
    <cellStyle name="Nota 3 2 4 2 3 3" xfId="13344"/>
    <cellStyle name="Nota 3 2 4 2 3 3 2" xfId="27666"/>
    <cellStyle name="Nota 3 2 4 2 3 4" xfId="18989"/>
    <cellStyle name="Nota 3 2 4 2 4" xfId="5794"/>
    <cellStyle name="Nota 3 2 4 2 4 2" xfId="12347"/>
    <cellStyle name="Nota 3 2 4 2 4 2 2" xfId="26669"/>
    <cellStyle name="Nota 3 2 4 2 4 3" xfId="17992"/>
    <cellStyle name="Nota 3 2 4 2 5" xfId="3154"/>
    <cellStyle name="Nota 3 2 4 2 5 2" xfId="22422"/>
    <cellStyle name="Nota 3 2 4 2 6" xfId="6265"/>
    <cellStyle name="Nota 3 2 4 3" xfId="1543"/>
    <cellStyle name="Nota 3 2 4 3 2" xfId="1544"/>
    <cellStyle name="Nota 3 2 4 3 2 2" xfId="6912"/>
    <cellStyle name="Nota 3 2 4 3 2 2 2" xfId="13516"/>
    <cellStyle name="Nota 3 2 4 3 2 2 2 2" xfId="27838"/>
    <cellStyle name="Nota 3 2 4 3 2 2 3" xfId="19161"/>
    <cellStyle name="Nota 3 2 4 3 2 3" xfId="7152"/>
    <cellStyle name="Nota 3 2 4 3 2 3 2" xfId="9766"/>
    <cellStyle name="Nota 3 2 4 3 2 3 2 2" xfId="16028"/>
    <cellStyle name="Nota 3 2 4 3 2 3 2 2 2" xfId="29444"/>
    <cellStyle name="Nota 3 2 4 3 2 3 2 3" xfId="20773"/>
    <cellStyle name="Nota 3 2 4 3 2 3 3" xfId="13756"/>
    <cellStyle name="Nota 3 2 4 3 2 3 3 2" xfId="28078"/>
    <cellStyle name="Nota 3 2 4 3 2 3 4" xfId="19401"/>
    <cellStyle name="Nota 3 2 4 3 2 4" xfId="11398"/>
    <cellStyle name="Nota 3 2 4 3 2 4 2" xfId="25720"/>
    <cellStyle name="Nota 3 2 4 3 2 5" xfId="17121"/>
    <cellStyle name="Nota 3 2 4 3 3" xfId="1545"/>
    <cellStyle name="Nota 3 2 4 3 3 2" xfId="3725"/>
    <cellStyle name="Nota 3 2 4 3 3 2 2" xfId="9364"/>
    <cellStyle name="Nota 3 2 4 3 3 2 2 2" xfId="15626"/>
    <cellStyle name="Nota 3 2 4 3 3 2 2 2 2" xfId="29042"/>
    <cellStyle name="Nota 3 2 4 3 3 2 2 3" xfId="20371"/>
    <cellStyle name="Nota 3 2 4 3 3 2 3" xfId="6037"/>
    <cellStyle name="Nota 3 2 4 3 3 2 3 2" xfId="23396"/>
    <cellStyle name="Nota 3 2 4 3 3 2 4" xfId="17312"/>
    <cellStyle name="Nota 3 2 4 3 3 3" xfId="13399"/>
    <cellStyle name="Nota 3 2 4 3 3 3 2" xfId="27721"/>
    <cellStyle name="Nota 3 2 4 3 3 4" xfId="19044"/>
    <cellStyle name="Nota 3 2 4 3 4" xfId="5863"/>
    <cellStyle name="Nota 3 2 4 3 4 2" xfId="12416"/>
    <cellStyle name="Nota 3 2 4 3 4 2 2" xfId="26738"/>
    <cellStyle name="Nota 3 2 4 3 4 3" xfId="18061"/>
    <cellStyle name="Nota 3 2 4 3 5" xfId="4572"/>
    <cellStyle name="Nota 3 2 4 3 5 2" xfId="23039"/>
    <cellStyle name="Nota 3 2 4 3 6" xfId="15439"/>
    <cellStyle name="Nota 3 2 4 4" xfId="1546"/>
    <cellStyle name="Nota 3 2 4 4 2" xfId="6928"/>
    <cellStyle name="Nota 3 2 4 4 2 2" xfId="13532"/>
    <cellStyle name="Nota 3 2 4 4 2 2 2" xfId="27854"/>
    <cellStyle name="Nota 3 2 4 4 2 3" xfId="19177"/>
    <cellStyle name="Nota 3 2 4 4 3" xfId="4921"/>
    <cellStyle name="Nota 3 2 4 4 3 2" xfId="9515"/>
    <cellStyle name="Nota 3 2 4 4 3 2 2" xfId="15777"/>
    <cellStyle name="Nota 3 2 4 4 3 2 2 2" xfId="29193"/>
    <cellStyle name="Nota 3 2 4 4 3 2 3" xfId="20522"/>
    <cellStyle name="Nota 3 2 4 4 3 3" xfId="11458"/>
    <cellStyle name="Nota 3 2 4 4 3 3 2" xfId="25780"/>
    <cellStyle name="Nota 3 2 4 4 3 4" xfId="14791"/>
    <cellStyle name="Nota 3 2 4 4 4" xfId="11421"/>
    <cellStyle name="Nota 3 2 4 4 4 2" xfId="25743"/>
    <cellStyle name="Nota 3 2 4 4 5" xfId="17163"/>
    <cellStyle name="Nota 3 2 4 5" xfId="1547"/>
    <cellStyle name="Nota 3 2 4 5 2" xfId="7066"/>
    <cellStyle name="Nota 3 2 4 5 2 2" xfId="9680"/>
    <cellStyle name="Nota 3 2 4 5 2 2 2" xfId="15942"/>
    <cellStyle name="Nota 3 2 4 5 2 2 2 2" xfId="29358"/>
    <cellStyle name="Nota 3 2 4 5 2 2 3" xfId="20687"/>
    <cellStyle name="Nota 3 2 4 5 2 3" xfId="13670"/>
    <cellStyle name="Nota 3 2 4 5 2 3 2" xfId="27992"/>
    <cellStyle name="Nota 3 2 4 5 2 4" xfId="19315"/>
    <cellStyle name="Nota 3 2 4 5 3" xfId="12920"/>
    <cellStyle name="Nota 3 2 4 5 3 2" xfId="27242"/>
    <cellStyle name="Nota 3 2 4 5 4" xfId="18565"/>
    <cellStyle name="Nota 3 2 4 6" xfId="5544"/>
    <cellStyle name="Nota 3 2 4 6 2" xfId="12095"/>
    <cellStyle name="Nota 3 2 4 6 2 2" xfId="26417"/>
    <cellStyle name="Nota 3 2 4 6 3" xfId="17740"/>
    <cellStyle name="Nota 3 2 4 7" xfId="4930"/>
    <cellStyle name="Nota 3 2 4 7 2" xfId="23267"/>
    <cellStyle name="Nota 3 2 4 8" xfId="15519"/>
    <cellStyle name="Nota 3 2 5" xfId="1548"/>
    <cellStyle name="Nota 3 2 5 2" xfId="1549"/>
    <cellStyle name="Nota 3 2 5 2 2" xfId="1550"/>
    <cellStyle name="Nota 3 2 5 2 2 2" xfId="6090"/>
    <cellStyle name="Nota 3 2 5 2 2 2 2" xfId="12657"/>
    <cellStyle name="Nota 3 2 5 2 2 2 2 2" xfId="26979"/>
    <cellStyle name="Nota 3 2 5 2 2 2 3" xfId="18302"/>
    <cellStyle name="Nota 3 2 5 2 2 3" xfId="7079"/>
    <cellStyle name="Nota 3 2 5 2 2 3 2" xfId="9693"/>
    <cellStyle name="Nota 3 2 5 2 2 3 2 2" xfId="15955"/>
    <cellStyle name="Nota 3 2 5 2 2 3 2 2 2" xfId="29371"/>
    <cellStyle name="Nota 3 2 5 2 2 3 2 3" xfId="20700"/>
    <cellStyle name="Nota 3 2 5 2 2 3 3" xfId="13683"/>
    <cellStyle name="Nota 3 2 5 2 2 3 3 2" xfId="28005"/>
    <cellStyle name="Nota 3 2 5 2 2 3 4" xfId="19328"/>
    <cellStyle name="Nota 3 2 5 2 2 4" xfId="6748"/>
    <cellStyle name="Nota 3 2 5 2 2 4 2" xfId="23696"/>
    <cellStyle name="Nota 3 2 5 2 2 5" xfId="15511"/>
    <cellStyle name="Nota 3 2 5 2 3" xfId="1551"/>
    <cellStyle name="Nota 3 2 5 2 3 2" xfId="7093"/>
    <cellStyle name="Nota 3 2 5 2 3 2 2" xfId="9707"/>
    <cellStyle name="Nota 3 2 5 2 3 2 2 2" xfId="15969"/>
    <cellStyle name="Nota 3 2 5 2 3 2 2 2 2" xfId="29385"/>
    <cellStyle name="Nota 3 2 5 2 3 2 2 3" xfId="20714"/>
    <cellStyle name="Nota 3 2 5 2 3 2 3" xfId="13697"/>
    <cellStyle name="Nota 3 2 5 2 3 2 3 2" xfId="28019"/>
    <cellStyle name="Nota 3 2 5 2 3 2 4" xfId="19342"/>
    <cellStyle name="Nota 3 2 5 2 3 3" xfId="13204"/>
    <cellStyle name="Nota 3 2 5 2 3 3 2" xfId="27526"/>
    <cellStyle name="Nota 3 2 5 2 3 4" xfId="18849"/>
    <cellStyle name="Nota 3 2 5 2 4" xfId="5643"/>
    <cellStyle name="Nota 3 2 5 2 4 2" xfId="12196"/>
    <cellStyle name="Nota 3 2 5 2 4 2 2" xfId="26518"/>
    <cellStyle name="Nota 3 2 5 2 4 3" xfId="17841"/>
    <cellStyle name="Nota 3 2 5 2 5" xfId="3685"/>
    <cellStyle name="Nota 3 2 5 2 5 2" xfId="22527"/>
    <cellStyle name="Nota 3 2 5 2 6" xfId="15371"/>
    <cellStyle name="Nota 3 2 5 3" xfId="1552"/>
    <cellStyle name="Nota 3 2 5 3 2" xfId="1553"/>
    <cellStyle name="Nota 3 2 5 3 2 2" xfId="6447"/>
    <cellStyle name="Nota 3 2 5 3 2 2 2" xfId="13030"/>
    <cellStyle name="Nota 3 2 5 3 2 2 2 2" xfId="27352"/>
    <cellStyle name="Nota 3 2 5 3 2 2 3" xfId="18675"/>
    <cellStyle name="Nota 3 2 5 3 2 3" xfId="7746"/>
    <cellStyle name="Nota 3 2 5 3 2 3 2" xfId="10360"/>
    <cellStyle name="Nota 3 2 5 3 2 3 2 2" xfId="16622"/>
    <cellStyle name="Nota 3 2 5 3 2 3 2 2 2" xfId="30038"/>
    <cellStyle name="Nota 3 2 5 3 2 3 2 3" xfId="21367"/>
    <cellStyle name="Nota 3 2 5 3 2 3 3" xfId="14350"/>
    <cellStyle name="Nota 3 2 5 3 2 3 3 2" xfId="28672"/>
    <cellStyle name="Nota 3 2 5 3 2 3 4" xfId="19995"/>
    <cellStyle name="Nota 3 2 5 3 2 4" xfId="6737"/>
    <cellStyle name="Nota 3 2 5 3 2 4 2" xfId="23688"/>
    <cellStyle name="Nota 3 2 5 3 2 5" xfId="14778"/>
    <cellStyle name="Nota 3 2 5 3 3" xfId="1554"/>
    <cellStyle name="Nota 3 2 5 3 3 2" xfId="7714"/>
    <cellStyle name="Nota 3 2 5 3 3 2 2" xfId="10328"/>
    <cellStyle name="Nota 3 2 5 3 3 2 2 2" xfId="16590"/>
    <cellStyle name="Nota 3 2 5 3 3 2 2 2 2" xfId="30006"/>
    <cellStyle name="Nota 3 2 5 3 3 2 2 3" xfId="21335"/>
    <cellStyle name="Nota 3 2 5 3 3 2 3" xfId="14318"/>
    <cellStyle name="Nota 3 2 5 3 3 2 3 2" xfId="28640"/>
    <cellStyle name="Nota 3 2 5 3 3 2 4" xfId="19963"/>
    <cellStyle name="Nota 3 2 5 3 3 3" xfId="12698"/>
    <cellStyle name="Nota 3 2 5 3 3 3 2" xfId="27020"/>
    <cellStyle name="Nota 3 2 5 3 3 4" xfId="18343"/>
    <cellStyle name="Nota 3 2 5 3 4" xfId="3983"/>
    <cellStyle name="Nota 3 2 5 3 4 2" xfId="3026"/>
    <cellStyle name="Nota 3 2 5 3 4 2 2" xfId="22414"/>
    <cellStyle name="Nota 3 2 5 3 4 3" xfId="17248"/>
    <cellStyle name="Nota 3 2 5 3 5" xfId="6729"/>
    <cellStyle name="Nota 3 2 5 3 5 2" xfId="23682"/>
    <cellStyle name="Nota 3 2 5 3 6" xfId="15019"/>
    <cellStyle name="Nota 3 2 5 4" xfId="1555"/>
    <cellStyle name="Nota 3 2 5 4 2" xfId="5433"/>
    <cellStyle name="Nota 3 2 5 4 2 2" xfId="11984"/>
    <cellStyle name="Nota 3 2 5 4 2 2 2" xfId="26306"/>
    <cellStyle name="Nota 3 2 5 4 2 3" xfId="17629"/>
    <cellStyle name="Nota 3 2 5 4 3" xfId="7546"/>
    <cellStyle name="Nota 3 2 5 4 3 2" xfId="10160"/>
    <cellStyle name="Nota 3 2 5 4 3 2 2" xfId="16422"/>
    <cellStyle name="Nota 3 2 5 4 3 2 2 2" xfId="29838"/>
    <cellStyle name="Nota 3 2 5 4 3 2 3" xfId="21167"/>
    <cellStyle name="Nota 3 2 5 4 3 3" xfId="14150"/>
    <cellStyle name="Nota 3 2 5 4 3 3 2" xfId="28472"/>
    <cellStyle name="Nota 3 2 5 4 3 4" xfId="19795"/>
    <cellStyle name="Nota 3 2 5 4 4" xfId="4725"/>
    <cellStyle name="Nota 3 2 5 4 4 2" xfId="23152"/>
    <cellStyle name="Nota 3 2 5 4 5" xfId="15521"/>
    <cellStyle name="Nota 3 2 5 5" xfId="1556"/>
    <cellStyle name="Nota 3 2 5 5 2" xfId="4023"/>
    <cellStyle name="Nota 3 2 5 5 2 2" xfId="9413"/>
    <cellStyle name="Nota 3 2 5 5 2 2 2" xfId="15675"/>
    <cellStyle name="Nota 3 2 5 5 2 2 2 2" xfId="29091"/>
    <cellStyle name="Nota 3 2 5 5 2 2 3" xfId="20420"/>
    <cellStyle name="Nota 3 2 5 5 2 3" xfId="6264"/>
    <cellStyle name="Nota 3 2 5 5 2 3 2" xfId="23482"/>
    <cellStyle name="Nota 3 2 5 5 2 4" xfId="14997"/>
    <cellStyle name="Nota 3 2 5 5 3" xfId="12509"/>
    <cellStyle name="Nota 3 2 5 5 3 2" xfId="26831"/>
    <cellStyle name="Nota 3 2 5 5 4" xfId="18154"/>
    <cellStyle name="Nota 3 2 5 6" xfId="5219"/>
    <cellStyle name="Nota 3 2 5 6 2" xfId="11768"/>
    <cellStyle name="Nota 3 2 5 6 2 2" xfId="26090"/>
    <cellStyle name="Nota 3 2 5 6 3" xfId="17413"/>
    <cellStyle name="Nota 3 2 5 7" xfId="6161"/>
    <cellStyle name="Nota 3 2 5 7 2" xfId="23436"/>
    <cellStyle name="Nota 3 2 5 8" xfId="15105"/>
    <cellStyle name="Nota 3 2 6" xfId="1557"/>
    <cellStyle name="Nota 3 2 6 2" xfId="1558"/>
    <cellStyle name="Nota 3 2 6 2 2" xfId="1559"/>
    <cellStyle name="Nota 3 2 6 2 2 2" xfId="6980"/>
    <cellStyle name="Nota 3 2 6 2 2 2 2" xfId="13584"/>
    <cellStyle name="Nota 3 2 6 2 2 2 2 2" xfId="27906"/>
    <cellStyle name="Nota 3 2 6 2 2 2 3" xfId="19229"/>
    <cellStyle name="Nota 3 2 6 2 2 3" xfId="7863"/>
    <cellStyle name="Nota 3 2 6 2 2 3 2" xfId="10477"/>
    <cellStyle name="Nota 3 2 6 2 2 3 2 2" xfId="16739"/>
    <cellStyle name="Nota 3 2 6 2 2 3 2 2 2" xfId="30155"/>
    <cellStyle name="Nota 3 2 6 2 2 3 2 3" xfId="21484"/>
    <cellStyle name="Nota 3 2 6 2 2 3 3" xfId="14467"/>
    <cellStyle name="Nota 3 2 6 2 2 3 3 2" xfId="28789"/>
    <cellStyle name="Nota 3 2 6 2 2 3 4" xfId="20112"/>
    <cellStyle name="Nota 3 2 6 2 2 4" xfId="11491"/>
    <cellStyle name="Nota 3 2 6 2 2 4 2" xfId="25813"/>
    <cellStyle name="Nota 3 2 6 2 2 5" xfId="4079"/>
    <cellStyle name="Nota 3 2 6 2 3" xfId="1560"/>
    <cellStyle name="Nota 3 2 6 2 3 2" xfId="7309"/>
    <cellStyle name="Nota 3 2 6 2 3 2 2" xfId="9923"/>
    <cellStyle name="Nota 3 2 6 2 3 2 2 2" xfId="16185"/>
    <cellStyle name="Nota 3 2 6 2 3 2 2 2 2" xfId="29601"/>
    <cellStyle name="Nota 3 2 6 2 3 2 2 3" xfId="20930"/>
    <cellStyle name="Nota 3 2 6 2 3 2 3" xfId="13913"/>
    <cellStyle name="Nota 3 2 6 2 3 2 3 2" xfId="28235"/>
    <cellStyle name="Nota 3 2 6 2 3 2 4" xfId="19558"/>
    <cellStyle name="Nota 3 2 6 2 3 3" xfId="12770"/>
    <cellStyle name="Nota 3 2 6 2 3 3 2" xfId="27092"/>
    <cellStyle name="Nota 3 2 6 2 3 4" xfId="18415"/>
    <cellStyle name="Nota 3 2 6 2 4" xfId="4807"/>
    <cellStyle name="Nota 3 2 6 2 4 2" xfId="11338"/>
    <cellStyle name="Nota 3 2 6 2 4 2 2" xfId="25660"/>
    <cellStyle name="Nota 3 2 6 2 4 3" xfId="3283"/>
    <cellStyle name="Nota 3 2 6 2 5" xfId="3906"/>
    <cellStyle name="Nota 3 2 6 2 5 2" xfId="22638"/>
    <cellStyle name="Nota 3 2 6 2 6" xfId="4447"/>
    <cellStyle name="Nota 3 2 6 3" xfId="1561"/>
    <cellStyle name="Nota 3 2 6 3 2" xfId="6487"/>
    <cellStyle name="Nota 3 2 6 3 2 2" xfId="13070"/>
    <cellStyle name="Nota 3 2 6 3 2 2 2" xfId="27392"/>
    <cellStyle name="Nota 3 2 6 3 2 3" xfId="18715"/>
    <cellStyle name="Nota 3 2 6 3 3" xfId="7959"/>
    <cellStyle name="Nota 3 2 6 3 3 2" xfId="10573"/>
    <cellStyle name="Nota 3 2 6 3 3 2 2" xfId="16835"/>
    <cellStyle name="Nota 3 2 6 3 3 2 2 2" xfId="30251"/>
    <cellStyle name="Nota 3 2 6 3 3 2 3" xfId="21580"/>
    <cellStyle name="Nota 3 2 6 3 3 3" xfId="14563"/>
    <cellStyle name="Nota 3 2 6 3 3 3 2" xfId="28885"/>
    <cellStyle name="Nota 3 2 6 3 3 4" xfId="20208"/>
    <cellStyle name="Nota 3 2 6 3 4" xfId="4630"/>
    <cellStyle name="Nota 3 2 6 3 4 2" xfId="23075"/>
    <cellStyle name="Nota 3 2 6 3 5" xfId="14918"/>
    <cellStyle name="Nota 3 2 6 4" xfId="1562"/>
    <cellStyle name="Nota 3 2 6 4 2" xfId="7818"/>
    <cellStyle name="Nota 3 2 6 4 2 2" xfId="10432"/>
    <cellStyle name="Nota 3 2 6 4 2 2 2" xfId="16694"/>
    <cellStyle name="Nota 3 2 6 4 2 2 2 2" xfId="30110"/>
    <cellStyle name="Nota 3 2 6 4 2 2 3" xfId="21439"/>
    <cellStyle name="Nota 3 2 6 4 2 3" xfId="14422"/>
    <cellStyle name="Nota 3 2 6 4 2 3 2" xfId="28744"/>
    <cellStyle name="Nota 3 2 6 4 2 4" xfId="20067"/>
    <cellStyle name="Nota 3 2 6 4 3" xfId="12944"/>
    <cellStyle name="Nota 3 2 6 4 3 2" xfId="27266"/>
    <cellStyle name="Nota 3 2 6 4 4" xfId="18589"/>
    <cellStyle name="Nota 3 2 6 5" xfId="5599"/>
    <cellStyle name="Nota 3 2 6 5 2" xfId="12151"/>
    <cellStyle name="Nota 3 2 6 5 2 2" xfId="26473"/>
    <cellStyle name="Nota 3 2 6 5 3" xfId="17796"/>
    <cellStyle name="Nota 3 2 6 6" xfId="3896"/>
    <cellStyle name="Nota 3 2 6 6 2" xfId="22632"/>
    <cellStyle name="Nota 3 2 6 7" xfId="17355"/>
    <cellStyle name="Nota 3 2 7" xfId="1563"/>
    <cellStyle name="Nota 3 2 7 2" xfId="1564"/>
    <cellStyle name="Nota 3 2 7 2 2" xfId="5997"/>
    <cellStyle name="Nota 3 2 7 2 2 2" xfId="12555"/>
    <cellStyle name="Nota 3 2 7 2 2 2 2" xfId="26877"/>
    <cellStyle name="Nota 3 2 7 2 2 3" xfId="18200"/>
    <cellStyle name="Nota 3 2 7 2 3" xfId="7993"/>
    <cellStyle name="Nota 3 2 7 2 3 2" xfId="10607"/>
    <cellStyle name="Nota 3 2 7 2 3 2 2" xfId="16869"/>
    <cellStyle name="Nota 3 2 7 2 3 2 2 2" xfId="30285"/>
    <cellStyle name="Nota 3 2 7 2 3 2 3" xfId="21614"/>
    <cellStyle name="Nota 3 2 7 2 3 3" xfId="14597"/>
    <cellStyle name="Nota 3 2 7 2 3 3 2" xfId="28919"/>
    <cellStyle name="Nota 3 2 7 2 3 4" xfId="20242"/>
    <cellStyle name="Nota 3 2 7 2 4" xfId="3772"/>
    <cellStyle name="Nota 3 2 7 2 4 2" xfId="22571"/>
    <cellStyle name="Nota 3 2 7 2 5" xfId="15219"/>
    <cellStyle name="Nota 3 2 7 3" xfId="1565"/>
    <cellStyle name="Nota 3 2 7 3 2" xfId="7265"/>
    <cellStyle name="Nota 3 2 7 3 2 2" xfId="9879"/>
    <cellStyle name="Nota 3 2 7 3 2 2 2" xfId="16141"/>
    <cellStyle name="Nota 3 2 7 3 2 2 2 2" xfId="29557"/>
    <cellStyle name="Nota 3 2 7 3 2 2 3" xfId="20886"/>
    <cellStyle name="Nota 3 2 7 3 2 3" xfId="13869"/>
    <cellStyle name="Nota 3 2 7 3 2 3 2" xfId="28191"/>
    <cellStyle name="Nota 3 2 7 3 2 4" xfId="19514"/>
    <cellStyle name="Nota 3 2 7 3 3" xfId="12793"/>
    <cellStyle name="Nota 3 2 7 3 3 2" xfId="27115"/>
    <cellStyle name="Nota 3 2 7 3 4" xfId="18438"/>
    <cellStyle name="Nota 3 2 7 4" xfId="5139"/>
    <cellStyle name="Nota 3 2 7 4 2" xfId="11688"/>
    <cellStyle name="Nota 3 2 7 4 2 2" xfId="26010"/>
    <cellStyle name="Nota 3 2 7 4 3" xfId="3878"/>
    <cellStyle name="Nota 3 2 7 5" xfId="6687"/>
    <cellStyle name="Nota 3 2 7 5 2" xfId="23655"/>
    <cellStyle name="Nota 3 2 7 6" xfId="14957"/>
    <cellStyle name="Nota 3 2 8" xfId="1566"/>
    <cellStyle name="Nota 3 2 8 2" xfId="6150"/>
    <cellStyle name="Nota 3 2 8 2 2" xfId="12720"/>
    <cellStyle name="Nota 3 2 8 2 2 2" xfId="27042"/>
    <cellStyle name="Nota 3 2 8 2 3" xfId="18365"/>
    <cellStyle name="Nota 3 2 8 3" xfId="7734"/>
    <cellStyle name="Nota 3 2 8 3 2" xfId="10348"/>
    <cellStyle name="Nota 3 2 8 3 2 2" xfId="16610"/>
    <cellStyle name="Nota 3 2 8 3 2 2 2" xfId="30026"/>
    <cellStyle name="Nota 3 2 8 3 2 3" xfId="21355"/>
    <cellStyle name="Nota 3 2 8 3 3" xfId="14338"/>
    <cellStyle name="Nota 3 2 8 3 3 2" xfId="28660"/>
    <cellStyle name="Nota 3 2 8 3 4" xfId="19983"/>
    <cellStyle name="Nota 3 2 8 4" xfId="6257"/>
    <cellStyle name="Nota 3 2 8 4 2" xfId="23477"/>
    <cellStyle name="Nota 3 2 8 5" xfId="14961"/>
    <cellStyle name="Nota 3 2 9" xfId="1567"/>
    <cellStyle name="Nota 3 2 9 2" xfId="7629"/>
    <cellStyle name="Nota 3 2 9 2 2" xfId="10243"/>
    <cellStyle name="Nota 3 2 9 2 2 2" xfId="16505"/>
    <cellStyle name="Nota 3 2 9 2 2 2 2" xfId="29921"/>
    <cellStyle name="Nota 3 2 9 2 2 3" xfId="21250"/>
    <cellStyle name="Nota 3 2 9 2 3" xfId="14233"/>
    <cellStyle name="Nota 3 2 9 2 3 2" xfId="28555"/>
    <cellStyle name="Nota 3 2 9 2 4" xfId="19878"/>
    <cellStyle name="Nota 3 2 9 3" xfId="12725"/>
    <cellStyle name="Nota 3 2 9 3 2" xfId="27047"/>
    <cellStyle name="Nota 3 2 9 4" xfId="18370"/>
    <cellStyle name="Nota 3 3" xfId="1568"/>
    <cellStyle name="Nota 3 3 10" xfId="6617"/>
    <cellStyle name="Nota 3 3 10 2" xfId="23609"/>
    <cellStyle name="Nota 3 3 11" xfId="15137"/>
    <cellStyle name="Nota 3 3 2" xfId="1569"/>
    <cellStyle name="Nota 3 3 2 2" xfId="1570"/>
    <cellStyle name="Nota 3 3 2 2 2" xfId="1571"/>
    <cellStyle name="Nota 3 3 2 2 2 2" xfId="5570"/>
    <cellStyle name="Nota 3 3 2 2 2 2 2" xfId="12121"/>
    <cellStyle name="Nota 3 3 2 2 2 2 2 2" xfId="26443"/>
    <cellStyle name="Nota 3 3 2 2 2 2 3" xfId="17766"/>
    <cellStyle name="Nota 3 3 2 2 2 3" xfId="5331"/>
    <cellStyle name="Nota 3 3 2 2 2 3 2" xfId="9640"/>
    <cellStyle name="Nota 3 3 2 2 2 3 2 2" xfId="15902"/>
    <cellStyle name="Nota 3 3 2 2 2 3 2 2 2" xfId="29318"/>
    <cellStyle name="Nota 3 3 2 2 2 3 2 3" xfId="20647"/>
    <cellStyle name="Nota 3 3 2 2 2 3 3" xfId="11881"/>
    <cellStyle name="Nota 3 3 2 2 2 3 3 2" xfId="26203"/>
    <cellStyle name="Nota 3 3 2 2 2 3 4" xfId="17526"/>
    <cellStyle name="Nota 3 3 2 2 2 4" xfId="4657"/>
    <cellStyle name="Nota 3 3 2 2 2 4 2" xfId="23098"/>
    <cellStyle name="Nota 3 3 2 2 2 5" xfId="3932"/>
    <cellStyle name="Nota 3 3 2 2 3" xfId="1572"/>
    <cellStyle name="Nota 3 3 2 2 3 2" xfId="7979"/>
    <cellStyle name="Nota 3 3 2 2 3 2 2" xfId="10593"/>
    <cellStyle name="Nota 3 3 2 2 3 2 2 2" xfId="16855"/>
    <cellStyle name="Nota 3 3 2 2 3 2 2 2 2" xfId="30271"/>
    <cellStyle name="Nota 3 3 2 2 3 2 2 3" xfId="21600"/>
    <cellStyle name="Nota 3 3 2 2 3 2 3" xfId="14583"/>
    <cellStyle name="Nota 3 3 2 2 3 2 3 2" xfId="28905"/>
    <cellStyle name="Nota 3 3 2 2 3 2 4" xfId="20228"/>
    <cellStyle name="Nota 3 3 2 2 3 3" xfId="13299"/>
    <cellStyle name="Nota 3 3 2 2 3 3 2" xfId="27621"/>
    <cellStyle name="Nota 3 3 2 2 3 4" xfId="18944"/>
    <cellStyle name="Nota 3 3 2 2 4" xfId="5749"/>
    <cellStyle name="Nota 3 3 2 2 4 2" xfId="12302"/>
    <cellStyle name="Nota 3 3 2 2 4 2 2" xfId="26624"/>
    <cellStyle name="Nota 3 3 2 2 4 3" xfId="17947"/>
    <cellStyle name="Nota 3 3 2 2 5" xfId="3889"/>
    <cellStyle name="Nota 3 3 2 2 5 2" xfId="22629"/>
    <cellStyle name="Nota 3 3 2 2 6" xfId="17350"/>
    <cellStyle name="Nota 3 3 2 3" xfId="1573"/>
    <cellStyle name="Nota 3 3 2 3 2" xfId="1574"/>
    <cellStyle name="Nota 3 3 2 3 2 2" xfId="5045"/>
    <cellStyle name="Nota 3 3 2 3 2 2 2" xfId="11592"/>
    <cellStyle name="Nota 3 3 2 3 2 2 2 2" xfId="25914"/>
    <cellStyle name="Nota 3 3 2 3 2 2 3" xfId="17292"/>
    <cellStyle name="Nota 3 3 2 3 2 3" xfId="7802"/>
    <cellStyle name="Nota 3 3 2 3 2 3 2" xfId="10416"/>
    <cellStyle name="Nota 3 3 2 3 2 3 2 2" xfId="16678"/>
    <cellStyle name="Nota 3 3 2 3 2 3 2 2 2" xfId="30094"/>
    <cellStyle name="Nota 3 3 2 3 2 3 2 3" xfId="21423"/>
    <cellStyle name="Nota 3 3 2 3 2 3 3" xfId="14406"/>
    <cellStyle name="Nota 3 3 2 3 2 3 3 2" xfId="28728"/>
    <cellStyle name="Nota 3 3 2 3 2 3 4" xfId="20051"/>
    <cellStyle name="Nota 3 3 2 3 2 4" xfId="3883"/>
    <cellStyle name="Nota 3 3 2 3 2 4 2" xfId="22626"/>
    <cellStyle name="Nota 3 3 2 3 2 5" xfId="14681"/>
    <cellStyle name="Nota 3 3 2 3 3" xfId="1575"/>
    <cellStyle name="Nota 3 3 2 3 3 2" xfId="3840"/>
    <cellStyle name="Nota 3 3 2 3 3 2 2" xfId="9385"/>
    <cellStyle name="Nota 3 3 2 3 3 2 2 2" xfId="15647"/>
    <cellStyle name="Nota 3 3 2 3 3 2 2 2 2" xfId="29063"/>
    <cellStyle name="Nota 3 3 2 3 3 2 2 3" xfId="20392"/>
    <cellStyle name="Nota 3 3 2 3 3 2 3" xfId="3912"/>
    <cellStyle name="Nota 3 3 2 3 3 2 3 2" xfId="22642"/>
    <cellStyle name="Nota 3 3 2 3 3 2 4" xfId="17222"/>
    <cellStyle name="Nota 3 3 2 3 3 3" xfId="13426"/>
    <cellStyle name="Nota 3 3 2 3 3 3 2" xfId="27748"/>
    <cellStyle name="Nota 3 3 2 3 3 4" xfId="19071"/>
    <cellStyle name="Nota 3 3 2 3 4" xfId="5900"/>
    <cellStyle name="Nota 3 3 2 3 4 2" xfId="12454"/>
    <cellStyle name="Nota 3 3 2 3 4 2 2" xfId="26776"/>
    <cellStyle name="Nota 3 3 2 3 4 3" xfId="18099"/>
    <cellStyle name="Nota 3 3 2 3 5" xfId="2824"/>
    <cellStyle name="Nota 3 3 2 3 5 2" xfId="22387"/>
    <cellStyle name="Nota 3 3 2 3 6" xfId="14863"/>
    <cellStyle name="Nota 3 3 2 4" xfId="1576"/>
    <cellStyle name="Nota 3 3 2 4 2" xfId="6957"/>
    <cellStyle name="Nota 3 3 2 4 2 2" xfId="13561"/>
    <cellStyle name="Nota 3 3 2 4 2 2 2" xfId="27883"/>
    <cellStyle name="Nota 3 3 2 4 2 3" xfId="19206"/>
    <cellStyle name="Nota 3 3 2 4 3" xfId="7048"/>
    <cellStyle name="Nota 3 3 2 4 3 2" xfId="9662"/>
    <cellStyle name="Nota 3 3 2 4 3 2 2" xfId="15924"/>
    <cellStyle name="Nota 3 3 2 4 3 2 2 2" xfId="29340"/>
    <cellStyle name="Nota 3 3 2 4 3 2 3" xfId="20669"/>
    <cellStyle name="Nota 3 3 2 4 3 3" xfId="13652"/>
    <cellStyle name="Nota 3 3 2 4 3 3 2" xfId="27974"/>
    <cellStyle name="Nota 3 3 2 4 3 4" xfId="19297"/>
    <cellStyle name="Nota 3 3 2 4 4" xfId="11457"/>
    <cellStyle name="Nota 3 3 2 4 4 2" xfId="25779"/>
    <cellStyle name="Nota 3 3 2 4 5" xfId="17061"/>
    <cellStyle name="Nota 3 3 2 5" xfId="1577"/>
    <cellStyle name="Nota 3 3 2 5 2" xfId="7096"/>
    <cellStyle name="Nota 3 3 2 5 2 2" xfId="9710"/>
    <cellStyle name="Nota 3 3 2 5 2 2 2" xfId="15972"/>
    <cellStyle name="Nota 3 3 2 5 2 2 2 2" xfId="29388"/>
    <cellStyle name="Nota 3 3 2 5 2 2 3" xfId="20717"/>
    <cellStyle name="Nota 3 3 2 5 2 3" xfId="13700"/>
    <cellStyle name="Nota 3 3 2 5 2 3 2" xfId="28022"/>
    <cellStyle name="Nota 3 3 2 5 2 4" xfId="19345"/>
    <cellStyle name="Nota 3 3 2 5 3" xfId="12875"/>
    <cellStyle name="Nota 3 3 2 5 3 2" xfId="27197"/>
    <cellStyle name="Nota 3 3 2 5 4" xfId="18520"/>
    <cellStyle name="Nota 3 3 2 6" xfId="5493"/>
    <cellStyle name="Nota 3 3 2 6 2" xfId="12044"/>
    <cellStyle name="Nota 3 3 2 6 2 2" xfId="26366"/>
    <cellStyle name="Nota 3 3 2 6 3" xfId="17689"/>
    <cellStyle name="Nota 3 3 2 7" xfId="6175"/>
    <cellStyle name="Nota 3 3 2 7 2" xfId="23443"/>
    <cellStyle name="Nota 3 3 2 8" xfId="15250"/>
    <cellStyle name="Nota 3 3 3" xfId="1578"/>
    <cellStyle name="Nota 3 3 3 2" xfId="1579"/>
    <cellStyle name="Nota 3 3 3 2 2" xfId="1580"/>
    <cellStyle name="Nota 3 3 3 2 2 2" xfId="6444"/>
    <cellStyle name="Nota 3 3 3 2 2 2 2" xfId="13027"/>
    <cellStyle name="Nota 3 3 3 2 2 2 2 2" xfId="27349"/>
    <cellStyle name="Nota 3 3 3 2 2 2 3" xfId="18672"/>
    <cellStyle name="Nota 3 3 3 2 2 3" xfId="7718"/>
    <cellStyle name="Nota 3 3 3 2 2 3 2" xfId="10332"/>
    <cellStyle name="Nota 3 3 3 2 2 3 2 2" xfId="16594"/>
    <cellStyle name="Nota 3 3 3 2 2 3 2 2 2" xfId="30010"/>
    <cellStyle name="Nota 3 3 3 2 2 3 2 3" xfId="21339"/>
    <cellStyle name="Nota 3 3 3 2 2 3 3" xfId="14322"/>
    <cellStyle name="Nota 3 3 3 2 2 3 3 2" xfId="28644"/>
    <cellStyle name="Nota 3 3 3 2 2 3 4" xfId="19967"/>
    <cellStyle name="Nota 3 3 3 2 2 4" xfId="4443"/>
    <cellStyle name="Nota 3 3 3 2 2 4 2" xfId="22955"/>
    <cellStyle name="Nota 3 3 3 2 2 5" xfId="4076"/>
    <cellStyle name="Nota 3 3 3 2 3" xfId="1581"/>
    <cellStyle name="Nota 3 3 3 2 3 2" xfId="8037"/>
    <cellStyle name="Nota 3 3 3 2 3 2 2" xfId="10651"/>
    <cellStyle name="Nota 3 3 3 2 3 2 2 2" xfId="16913"/>
    <cellStyle name="Nota 3 3 3 2 3 2 2 2 2" xfId="30329"/>
    <cellStyle name="Nota 3 3 3 2 3 2 2 3" xfId="21658"/>
    <cellStyle name="Nota 3 3 3 2 3 2 3" xfId="14641"/>
    <cellStyle name="Nota 3 3 3 2 3 2 3 2" xfId="28963"/>
    <cellStyle name="Nota 3 3 3 2 3 2 4" xfId="20286"/>
    <cellStyle name="Nota 3 3 3 2 3 3" xfId="13335"/>
    <cellStyle name="Nota 3 3 3 2 3 3 2" xfId="27657"/>
    <cellStyle name="Nota 3 3 3 2 3 4" xfId="18980"/>
    <cellStyle name="Nota 3 3 3 2 4" xfId="5785"/>
    <cellStyle name="Nota 3 3 3 2 4 2" xfId="12338"/>
    <cellStyle name="Nota 3 3 3 2 4 2 2" xfId="26660"/>
    <cellStyle name="Nota 3 3 3 2 4 3" xfId="17983"/>
    <cellStyle name="Nota 3 3 3 2 5" xfId="5142"/>
    <cellStyle name="Nota 3 3 3 2 5 2" xfId="23330"/>
    <cellStyle name="Nota 3 3 3 2 6" xfId="14678"/>
    <cellStyle name="Nota 3 3 3 3" xfId="1582"/>
    <cellStyle name="Nota 3 3 3 3 2" xfId="1583"/>
    <cellStyle name="Nota 3 3 3 3 2 2" xfId="6479"/>
    <cellStyle name="Nota 3 3 3 3 2 2 2" xfId="13062"/>
    <cellStyle name="Nota 3 3 3 3 2 2 2 2" xfId="27384"/>
    <cellStyle name="Nota 3 3 3 3 2 2 3" xfId="18707"/>
    <cellStyle name="Nota 3 3 3 3 2 3" xfId="7825"/>
    <cellStyle name="Nota 3 3 3 3 2 3 2" xfId="10439"/>
    <cellStyle name="Nota 3 3 3 3 2 3 2 2" xfId="16701"/>
    <cellStyle name="Nota 3 3 3 3 2 3 2 2 2" xfId="30117"/>
    <cellStyle name="Nota 3 3 3 3 2 3 2 3" xfId="21446"/>
    <cellStyle name="Nota 3 3 3 3 2 3 3" xfId="14429"/>
    <cellStyle name="Nota 3 3 3 3 2 3 3 2" xfId="28751"/>
    <cellStyle name="Nota 3 3 3 3 2 3 4" xfId="20074"/>
    <cellStyle name="Nota 3 3 3 3 2 4" xfId="4524"/>
    <cellStyle name="Nota 3 3 3 3 2 4 2" xfId="23007"/>
    <cellStyle name="Nota 3 3 3 3 2 5" xfId="15038"/>
    <cellStyle name="Nota 3 3 3 3 3" xfId="1584"/>
    <cellStyle name="Nota 3 3 3 3 3 2" xfId="3589"/>
    <cellStyle name="Nota 3 3 3 3 3 2 2" xfId="9339"/>
    <cellStyle name="Nota 3 3 3 3 3 2 2 2" xfId="15601"/>
    <cellStyle name="Nota 3 3 3 3 3 2 2 2 2" xfId="29017"/>
    <cellStyle name="Nota 3 3 3 3 3 2 2 3" xfId="20346"/>
    <cellStyle name="Nota 3 3 3 3 3 2 3" xfId="4136"/>
    <cellStyle name="Nota 3 3 3 3 3 2 3 2" xfId="22775"/>
    <cellStyle name="Nota 3 3 3 3 3 2 4" xfId="4614"/>
    <cellStyle name="Nota 3 3 3 3 3 3" xfId="13067"/>
    <cellStyle name="Nota 3 3 3 3 3 3 2" xfId="27389"/>
    <cellStyle name="Nota 3 3 3 3 3 4" xfId="18712"/>
    <cellStyle name="Nota 3 3 3 3 4" xfId="5406"/>
    <cellStyle name="Nota 3 3 3 3 4 2" xfId="11956"/>
    <cellStyle name="Nota 3 3 3 3 4 2 2" xfId="26278"/>
    <cellStyle name="Nota 3 3 3 3 4 3" xfId="17601"/>
    <cellStyle name="Nota 3 3 3 3 5" xfId="6589"/>
    <cellStyle name="Nota 3 3 3 3 5 2" xfId="23592"/>
    <cellStyle name="Nota 3 3 3 3 6" xfId="17268"/>
    <cellStyle name="Nota 3 3 3 4" xfId="1585"/>
    <cellStyle name="Nota 3 3 3 4 2" xfId="5114"/>
    <cellStyle name="Nota 3 3 3 4 2 2" xfId="11662"/>
    <cellStyle name="Nota 3 3 3 4 2 2 2" xfId="25984"/>
    <cellStyle name="Nota 3 3 3 4 2 3" xfId="14677"/>
    <cellStyle name="Nota 3 3 3 4 3" xfId="7354"/>
    <cellStyle name="Nota 3 3 3 4 3 2" xfId="9968"/>
    <cellStyle name="Nota 3 3 3 4 3 2 2" xfId="16230"/>
    <cellStyle name="Nota 3 3 3 4 3 2 2 2" xfId="29646"/>
    <cellStyle name="Nota 3 3 3 4 3 2 3" xfId="20975"/>
    <cellStyle name="Nota 3 3 3 4 3 3" xfId="13958"/>
    <cellStyle name="Nota 3 3 3 4 3 3 2" xfId="28280"/>
    <cellStyle name="Nota 3 3 3 4 3 4" xfId="19603"/>
    <cellStyle name="Nota 3 3 3 4 4" xfId="4581"/>
    <cellStyle name="Nota 3 3 3 4 4 2" xfId="23047"/>
    <cellStyle name="Nota 3 3 3 4 5" xfId="15438"/>
    <cellStyle name="Nota 3 3 3 5" xfId="1586"/>
    <cellStyle name="Nota 3 3 3 5 2" xfId="7300"/>
    <cellStyle name="Nota 3 3 3 5 2 2" xfId="9914"/>
    <cellStyle name="Nota 3 3 3 5 2 2 2" xfId="16176"/>
    <cellStyle name="Nota 3 3 3 5 2 2 2 2" xfId="29592"/>
    <cellStyle name="Nota 3 3 3 5 2 2 3" xfId="20921"/>
    <cellStyle name="Nota 3 3 3 5 2 3" xfId="13904"/>
    <cellStyle name="Nota 3 3 3 5 2 3 2" xfId="28226"/>
    <cellStyle name="Nota 3 3 3 5 2 4" xfId="19549"/>
    <cellStyle name="Nota 3 3 3 5 3" xfId="12911"/>
    <cellStyle name="Nota 3 3 3 5 3 2" xfId="27233"/>
    <cellStyle name="Nota 3 3 3 5 4" xfId="18556"/>
    <cellStyle name="Nota 3 3 3 6" xfId="5535"/>
    <cellStyle name="Nota 3 3 3 6 2" xfId="12086"/>
    <cellStyle name="Nota 3 3 3 6 2 2" xfId="26408"/>
    <cellStyle name="Nota 3 3 3 6 3" xfId="17731"/>
    <cellStyle name="Nota 3 3 3 7" xfId="4637"/>
    <cellStyle name="Nota 3 3 3 7 2" xfId="23081"/>
    <cellStyle name="Nota 3 3 3 8" xfId="3735"/>
    <cellStyle name="Nota 3 3 4" xfId="1587"/>
    <cellStyle name="Nota 3 3 4 2" xfId="1588"/>
    <cellStyle name="Nota 3 3 4 2 2" xfId="1589"/>
    <cellStyle name="Nota 3 3 4 2 2 2" xfId="6222"/>
    <cellStyle name="Nota 3 3 4 2 2 2 2" xfId="12797"/>
    <cellStyle name="Nota 3 3 4 2 2 2 2 2" xfId="27119"/>
    <cellStyle name="Nota 3 3 4 2 2 2 3" xfId="18442"/>
    <cellStyle name="Nota 3 3 4 2 2 3" xfId="4993"/>
    <cellStyle name="Nota 3 3 4 2 2 3 2" xfId="9534"/>
    <cellStyle name="Nota 3 3 4 2 2 3 2 2" xfId="15796"/>
    <cellStyle name="Nota 3 3 4 2 2 3 2 2 2" xfId="29212"/>
    <cellStyle name="Nota 3 3 4 2 2 3 2 3" xfId="20541"/>
    <cellStyle name="Nota 3 3 4 2 2 3 3" xfId="11536"/>
    <cellStyle name="Nota 3 3 4 2 2 3 3 2" xfId="25858"/>
    <cellStyle name="Nota 3 3 4 2 2 3 4" xfId="15237"/>
    <cellStyle name="Nota 3 3 4 2 2 4" xfId="4061"/>
    <cellStyle name="Nota 3 3 4 2 2 4 2" xfId="22735"/>
    <cellStyle name="Nota 3 3 4 2 2 5" xfId="15072"/>
    <cellStyle name="Nota 3 3 4 2 3" xfId="1590"/>
    <cellStyle name="Nota 3 3 4 2 3 2" xfId="7477"/>
    <cellStyle name="Nota 3 3 4 2 3 2 2" xfId="10091"/>
    <cellStyle name="Nota 3 3 4 2 3 2 2 2" xfId="16353"/>
    <cellStyle name="Nota 3 3 4 2 3 2 2 2 2" xfId="29769"/>
    <cellStyle name="Nota 3 3 4 2 3 2 2 3" xfId="21098"/>
    <cellStyle name="Nota 3 3 4 2 3 2 3" xfId="14081"/>
    <cellStyle name="Nota 3 3 4 2 3 2 3 2" xfId="28403"/>
    <cellStyle name="Nota 3 3 4 2 3 2 4" xfId="19726"/>
    <cellStyle name="Nota 3 3 4 2 3 3" xfId="13198"/>
    <cellStyle name="Nota 3 3 4 2 3 3 2" xfId="27520"/>
    <cellStyle name="Nota 3 3 4 2 3 4" xfId="18843"/>
    <cellStyle name="Nota 3 3 4 2 4" xfId="5635"/>
    <cellStyle name="Nota 3 3 4 2 4 2" xfId="12188"/>
    <cellStyle name="Nota 3 3 4 2 4 2 2" xfId="26510"/>
    <cellStyle name="Nota 3 3 4 2 4 3" xfId="17833"/>
    <cellStyle name="Nota 3 3 4 2 5" xfId="6655"/>
    <cellStyle name="Nota 3 3 4 2 5 2" xfId="23632"/>
    <cellStyle name="Nota 3 3 4 2 6" xfId="16979"/>
    <cellStyle name="Nota 3 3 4 3" xfId="1591"/>
    <cellStyle name="Nota 3 3 4 3 2" xfId="1592"/>
    <cellStyle name="Nota 3 3 4 3 2 2" xfId="6556"/>
    <cellStyle name="Nota 3 3 4 3 2 2 2" xfId="13144"/>
    <cellStyle name="Nota 3 3 4 3 2 2 2 2" xfId="27466"/>
    <cellStyle name="Nota 3 3 4 3 2 2 3" xfId="18789"/>
    <cellStyle name="Nota 3 3 4 3 2 3" xfId="4462"/>
    <cellStyle name="Nota 3 3 4 3 2 3 2" xfId="9469"/>
    <cellStyle name="Nota 3 3 4 3 2 3 2 2" xfId="15731"/>
    <cellStyle name="Nota 3 3 4 3 2 3 2 2 2" xfId="29147"/>
    <cellStyle name="Nota 3 3 4 3 2 3 2 3" xfId="20476"/>
    <cellStyle name="Nota 3 3 4 3 2 3 3" xfId="3978"/>
    <cellStyle name="Nota 3 3 4 3 2 3 3 2" xfId="22682"/>
    <cellStyle name="Nota 3 3 4 3 2 3 4" xfId="17143"/>
    <cellStyle name="Nota 3 3 4 3 2 4" xfId="6578"/>
    <cellStyle name="Nota 3 3 4 3 2 4 2" xfId="23587"/>
    <cellStyle name="Nota 3 3 4 3 2 5" xfId="4107"/>
    <cellStyle name="Nota 3 3 4 3 3" xfId="1593"/>
    <cellStyle name="Nota 3 3 4 3 3 2" xfId="4397"/>
    <cellStyle name="Nota 3 3 4 3 3 2 2" xfId="9460"/>
    <cellStyle name="Nota 3 3 4 3 3 2 2 2" xfId="15722"/>
    <cellStyle name="Nota 3 3 4 3 3 2 2 2 2" xfId="29138"/>
    <cellStyle name="Nota 3 3 4 3 3 2 2 3" xfId="20467"/>
    <cellStyle name="Nota 3 3 4 3 3 2 3" xfId="4432"/>
    <cellStyle name="Nota 3 3 4 3 3 2 3 2" xfId="22948"/>
    <cellStyle name="Nota 3 3 4 3 3 2 4" xfId="15469"/>
    <cellStyle name="Nota 3 3 4 3 3 3" xfId="12489"/>
    <cellStyle name="Nota 3 3 4 3 3 3 2" xfId="26811"/>
    <cellStyle name="Nota 3 3 4 3 3 4" xfId="18134"/>
    <cellStyle name="Nota 3 3 4 3 4" xfId="5198"/>
    <cellStyle name="Nota 3 3 4 3 4 2" xfId="11747"/>
    <cellStyle name="Nota 3 3 4 3 4 2 2" xfId="26069"/>
    <cellStyle name="Nota 3 3 4 3 4 3" xfId="4146"/>
    <cellStyle name="Nota 3 3 4 3 5" xfId="3974"/>
    <cellStyle name="Nota 3 3 4 3 5 2" xfId="22679"/>
    <cellStyle name="Nota 3 3 4 3 6" xfId="4319"/>
    <cellStyle name="Nota 3 3 4 4" xfId="1594"/>
    <cellStyle name="Nota 3 3 4 4 2" xfId="6102"/>
    <cellStyle name="Nota 3 3 4 4 2 2" xfId="12669"/>
    <cellStyle name="Nota 3 3 4 4 2 2 2" xfId="26991"/>
    <cellStyle name="Nota 3 3 4 4 2 3" xfId="18314"/>
    <cellStyle name="Nota 3 3 4 4 3" xfId="7977"/>
    <cellStyle name="Nota 3 3 4 4 3 2" xfId="10591"/>
    <cellStyle name="Nota 3 3 4 4 3 2 2" xfId="16853"/>
    <cellStyle name="Nota 3 3 4 4 3 2 2 2" xfId="30269"/>
    <cellStyle name="Nota 3 3 4 4 3 2 3" xfId="21598"/>
    <cellStyle name="Nota 3 3 4 4 3 3" xfId="14581"/>
    <cellStyle name="Nota 3 3 4 4 3 3 2" xfId="28903"/>
    <cellStyle name="Nota 3 3 4 4 3 4" xfId="20226"/>
    <cellStyle name="Nota 3 3 4 4 4" xfId="5907"/>
    <cellStyle name="Nota 3 3 4 4 4 2" xfId="23370"/>
    <cellStyle name="Nota 3 3 4 4 5" xfId="15593"/>
    <cellStyle name="Nota 3 3 4 5" xfId="1595"/>
    <cellStyle name="Nota 3 3 4 5 2" xfId="3184"/>
    <cellStyle name="Nota 3 3 4 5 2 2" xfId="9005"/>
    <cellStyle name="Nota 3 3 4 5 2 2 2" xfId="15353"/>
    <cellStyle name="Nota 3 3 4 5 2 2 2 2" xfId="29003"/>
    <cellStyle name="Nota 3 3 4 5 2 2 3" xfId="20330"/>
    <cellStyle name="Nota 3 3 4 5 2 3" xfId="4594"/>
    <cellStyle name="Nota 3 3 4 5 2 3 2" xfId="23056"/>
    <cellStyle name="Nota 3 3 4 5 2 4" xfId="17386"/>
    <cellStyle name="Nota 3 3 4 5 3" xfId="12478"/>
    <cellStyle name="Nota 3 3 4 5 3 2" xfId="26800"/>
    <cellStyle name="Nota 3 3 4 5 4" xfId="18123"/>
    <cellStyle name="Nota 3 3 4 6" xfId="3819"/>
    <cellStyle name="Nota 3 3 4 6 2" xfId="5221"/>
    <cellStyle name="Nota 3 3 4 6 2 2" xfId="23337"/>
    <cellStyle name="Nota 3 3 4 6 3" xfId="14769"/>
    <cellStyle name="Nota 3 3 4 7" xfId="4663"/>
    <cellStyle name="Nota 3 3 4 7 2" xfId="23103"/>
    <cellStyle name="Nota 3 3 4 8" xfId="15240"/>
    <cellStyle name="Nota 3 3 5" xfId="1596"/>
    <cellStyle name="Nota 3 3 5 2" xfId="1597"/>
    <cellStyle name="Nota 3 3 5 2 2" xfId="1598"/>
    <cellStyle name="Nota 3 3 5 2 2 2" xfId="5591"/>
    <cellStyle name="Nota 3 3 5 2 2 2 2" xfId="12143"/>
    <cellStyle name="Nota 3 3 5 2 2 2 2 2" xfId="26465"/>
    <cellStyle name="Nota 3 3 5 2 2 2 3" xfId="17788"/>
    <cellStyle name="Nota 3 3 5 2 2 3" xfId="7819"/>
    <cellStyle name="Nota 3 3 5 2 2 3 2" xfId="10433"/>
    <cellStyle name="Nota 3 3 5 2 2 3 2 2" xfId="16695"/>
    <cellStyle name="Nota 3 3 5 2 2 3 2 2 2" xfId="30111"/>
    <cellStyle name="Nota 3 3 5 2 2 3 2 3" xfId="21440"/>
    <cellStyle name="Nota 3 3 5 2 2 3 3" xfId="14423"/>
    <cellStyle name="Nota 3 3 5 2 2 3 3 2" xfId="28745"/>
    <cellStyle name="Nota 3 3 5 2 2 3 4" xfId="20068"/>
    <cellStyle name="Nota 3 3 5 2 2 4" xfId="6708"/>
    <cellStyle name="Nota 3 3 5 2 2 4 2" xfId="23664"/>
    <cellStyle name="Nota 3 3 5 2 2 5" xfId="17196"/>
    <cellStyle name="Nota 3 3 5 2 3" xfId="1599"/>
    <cellStyle name="Nota 3 3 5 2 3 2" xfId="4008"/>
    <cellStyle name="Nota 3 3 5 2 3 2 2" xfId="9411"/>
    <cellStyle name="Nota 3 3 5 2 3 2 2 2" xfId="15673"/>
    <cellStyle name="Nota 3 3 5 2 3 2 2 2 2" xfId="29089"/>
    <cellStyle name="Nota 3 3 5 2 3 2 2 3" xfId="20418"/>
    <cellStyle name="Nota 3 3 5 2 3 2 3" xfId="6684"/>
    <cellStyle name="Nota 3 3 5 2 3 2 3 2" xfId="23652"/>
    <cellStyle name="Nota 3 3 5 2 3 2 4" xfId="15549"/>
    <cellStyle name="Nota 3 3 5 2 3 3" xfId="13326"/>
    <cellStyle name="Nota 3 3 5 2 3 3 2" xfId="27648"/>
    <cellStyle name="Nota 3 3 5 2 3 4" xfId="18971"/>
    <cellStyle name="Nota 3 3 5 2 4" xfId="5776"/>
    <cellStyle name="Nota 3 3 5 2 4 2" xfId="12329"/>
    <cellStyle name="Nota 3 3 5 2 4 2 2" xfId="26651"/>
    <cellStyle name="Nota 3 3 5 2 4 3" xfId="17974"/>
    <cellStyle name="Nota 3 3 5 2 5" xfId="5991"/>
    <cellStyle name="Nota 3 3 5 2 5 2" xfId="23391"/>
    <cellStyle name="Nota 3 3 5 2 6" xfId="3756"/>
    <cellStyle name="Nota 3 3 5 3" xfId="1600"/>
    <cellStyle name="Nota 3 3 5 3 2" xfId="6537"/>
    <cellStyle name="Nota 3 3 5 3 2 2" xfId="13125"/>
    <cellStyle name="Nota 3 3 5 3 2 2 2" xfId="27447"/>
    <cellStyle name="Nota 3 3 5 3 2 3" xfId="18770"/>
    <cellStyle name="Nota 3 3 5 3 3" xfId="7909"/>
    <cellStyle name="Nota 3 3 5 3 3 2" xfId="10523"/>
    <cellStyle name="Nota 3 3 5 3 3 2 2" xfId="16785"/>
    <cellStyle name="Nota 3 3 5 3 3 2 2 2" xfId="30201"/>
    <cellStyle name="Nota 3 3 5 3 3 2 3" xfId="21530"/>
    <cellStyle name="Nota 3 3 5 3 3 3" xfId="14513"/>
    <cellStyle name="Nota 3 3 5 3 3 3 2" xfId="28835"/>
    <cellStyle name="Nota 3 3 5 3 3 4" xfId="20158"/>
    <cellStyle name="Nota 3 3 5 3 4" xfId="3190"/>
    <cellStyle name="Nota 3 3 5 3 4 2" xfId="22433"/>
    <cellStyle name="Nota 3 3 5 3 5" xfId="15548"/>
    <cellStyle name="Nota 3 3 5 4" xfId="1601"/>
    <cellStyle name="Nota 3 3 5 4 2" xfId="7318"/>
    <cellStyle name="Nota 3 3 5 4 2 2" xfId="9932"/>
    <cellStyle name="Nota 3 3 5 4 2 2 2" xfId="16194"/>
    <cellStyle name="Nota 3 3 5 4 2 2 2 2" xfId="29610"/>
    <cellStyle name="Nota 3 3 5 4 2 2 3" xfId="20939"/>
    <cellStyle name="Nota 3 3 5 4 2 3" xfId="13922"/>
    <cellStyle name="Nota 3 3 5 4 2 3 2" xfId="28244"/>
    <cellStyle name="Nota 3 3 5 4 2 4" xfId="19567"/>
    <cellStyle name="Nota 3 3 5 4 3" xfId="12827"/>
    <cellStyle name="Nota 3 3 5 4 3 2" xfId="27149"/>
    <cellStyle name="Nota 3 3 5 4 4" xfId="18472"/>
    <cellStyle name="Nota 3 3 5 5" xfId="5380"/>
    <cellStyle name="Nota 3 3 5 5 2" xfId="11930"/>
    <cellStyle name="Nota 3 3 5 5 2 2" xfId="26252"/>
    <cellStyle name="Nota 3 3 5 5 3" xfId="17575"/>
    <cellStyle name="Nota 3 3 5 6" xfId="2847"/>
    <cellStyle name="Nota 3 3 5 6 2" xfId="22405"/>
    <cellStyle name="Nota 3 3 5 7" xfId="15270"/>
    <cellStyle name="Nota 3 3 6" xfId="1602"/>
    <cellStyle name="Nota 3 3 6 2" xfId="1603"/>
    <cellStyle name="Nota 3 3 6 2 2" xfId="6439"/>
    <cellStyle name="Nota 3 3 6 2 2 2" xfId="13022"/>
    <cellStyle name="Nota 3 3 6 2 2 2 2" xfId="27344"/>
    <cellStyle name="Nota 3 3 6 2 2 3" xfId="18667"/>
    <cellStyle name="Nota 3 3 6 2 3" xfId="7743"/>
    <cellStyle name="Nota 3 3 6 2 3 2" xfId="10357"/>
    <cellStyle name="Nota 3 3 6 2 3 2 2" xfId="16619"/>
    <cellStyle name="Nota 3 3 6 2 3 2 2 2" xfId="30035"/>
    <cellStyle name="Nota 3 3 6 2 3 2 3" xfId="21364"/>
    <cellStyle name="Nota 3 3 6 2 3 3" xfId="14347"/>
    <cellStyle name="Nota 3 3 6 2 3 3 2" xfId="28669"/>
    <cellStyle name="Nota 3 3 6 2 3 4" xfId="19992"/>
    <cellStyle name="Nota 3 3 6 2 4" xfId="4793"/>
    <cellStyle name="Nota 3 3 6 2 4 2" xfId="23192"/>
    <cellStyle name="Nota 3 3 6 2 5" xfId="15058"/>
    <cellStyle name="Nota 3 3 6 3" xfId="1604"/>
    <cellStyle name="Nota 3 3 6 3 2" xfId="7098"/>
    <cellStyle name="Nota 3 3 6 3 2 2" xfId="9712"/>
    <cellStyle name="Nota 3 3 6 3 2 2 2" xfId="15974"/>
    <cellStyle name="Nota 3 3 6 3 2 2 2 2" xfId="29390"/>
    <cellStyle name="Nota 3 3 6 3 2 2 3" xfId="20719"/>
    <cellStyle name="Nota 3 3 6 3 2 3" xfId="13702"/>
    <cellStyle name="Nota 3 3 6 3 2 3 2" xfId="28024"/>
    <cellStyle name="Nota 3 3 6 3 2 4" xfId="19347"/>
    <cellStyle name="Nota 3 3 6 3 3" xfId="13100"/>
    <cellStyle name="Nota 3 3 6 3 3 2" xfId="27422"/>
    <cellStyle name="Nota 3 3 6 3 4" xfId="18745"/>
    <cellStyle name="Nota 3 3 6 4" xfId="5461"/>
    <cellStyle name="Nota 3 3 6 4 2" xfId="12012"/>
    <cellStyle name="Nota 3 3 6 4 2 2" xfId="26334"/>
    <cellStyle name="Nota 3 3 6 4 3" xfId="17657"/>
    <cellStyle name="Nota 3 3 6 5" xfId="4738"/>
    <cellStyle name="Nota 3 3 6 5 2" xfId="23161"/>
    <cellStyle name="Nota 3 3 6 6" xfId="4137"/>
    <cellStyle name="Nota 3 3 7" xfId="1605"/>
    <cellStyle name="Nota 3 3 7 2" xfId="6931"/>
    <cellStyle name="Nota 3 3 7 2 2" xfId="13535"/>
    <cellStyle name="Nota 3 3 7 2 2 2" xfId="27857"/>
    <cellStyle name="Nota 3 3 7 2 3" xfId="19180"/>
    <cellStyle name="Nota 3 3 7 3" xfId="3755"/>
    <cellStyle name="Nota 3 3 7 3 2" xfId="9369"/>
    <cellStyle name="Nota 3 3 7 3 2 2" xfId="15631"/>
    <cellStyle name="Nota 3 3 7 3 2 2 2" xfId="29047"/>
    <cellStyle name="Nota 3 3 7 3 2 3" xfId="20376"/>
    <cellStyle name="Nota 3 3 7 3 3" xfId="4267"/>
    <cellStyle name="Nota 3 3 7 3 3 2" xfId="22860"/>
    <cellStyle name="Nota 3 3 7 3 4" xfId="16996"/>
    <cellStyle name="Nota 3 3 7 4" xfId="11424"/>
    <cellStyle name="Nota 3 3 7 4 2" xfId="25746"/>
    <cellStyle name="Nota 3 3 7 5" xfId="17364"/>
    <cellStyle name="Nota 3 3 8" xfId="1606"/>
    <cellStyle name="Nota 3 3 8 2" xfId="7430"/>
    <cellStyle name="Nota 3 3 8 2 2" xfId="10044"/>
    <cellStyle name="Nota 3 3 8 2 2 2" xfId="16306"/>
    <cellStyle name="Nota 3 3 8 2 2 2 2" xfId="29722"/>
    <cellStyle name="Nota 3 3 8 2 2 3" xfId="21051"/>
    <cellStyle name="Nota 3 3 8 2 3" xfId="14034"/>
    <cellStyle name="Nota 3 3 8 2 3 2" xfId="28356"/>
    <cellStyle name="Nota 3 3 8 2 4" xfId="19679"/>
    <cellStyle name="Nota 3 3 8 3" xfId="4427"/>
    <cellStyle name="Nota 3 3 8 3 2" xfId="22945"/>
    <cellStyle name="Nota 3 3 8 4" xfId="4521"/>
    <cellStyle name="Nota 3 3 9" xfId="3824"/>
    <cellStyle name="Nota 3 3 9 2" xfId="4676"/>
    <cellStyle name="Nota 3 3 9 2 2" xfId="23115"/>
    <cellStyle name="Nota 3 3 9 3" xfId="15299"/>
    <cellStyle name="Nota 3 4" xfId="1607"/>
    <cellStyle name="Nota 3 4 2" xfId="1608"/>
    <cellStyle name="Nota 3 4 2 2" xfId="1609"/>
    <cellStyle name="Nota 3 4 2 2 2" xfId="6203"/>
    <cellStyle name="Nota 3 4 2 2 2 2" xfId="12776"/>
    <cellStyle name="Nota 3 4 2 2 2 2 2" xfId="27098"/>
    <cellStyle name="Nota 3 4 2 2 2 3" xfId="18421"/>
    <cellStyle name="Nota 3 4 2 2 3" xfId="7968"/>
    <cellStyle name="Nota 3 4 2 2 3 2" xfId="10582"/>
    <cellStyle name="Nota 3 4 2 2 3 2 2" xfId="16844"/>
    <cellStyle name="Nota 3 4 2 2 3 2 2 2" xfId="30260"/>
    <cellStyle name="Nota 3 4 2 2 3 2 3" xfId="21589"/>
    <cellStyle name="Nota 3 4 2 2 3 3" xfId="14572"/>
    <cellStyle name="Nota 3 4 2 2 3 3 2" xfId="28894"/>
    <cellStyle name="Nota 3 4 2 2 3 4" xfId="20217"/>
    <cellStyle name="Nota 3 4 2 2 4" xfId="6815"/>
    <cellStyle name="Nota 3 4 2 2 4 2" xfId="23751"/>
    <cellStyle name="Nota 3 4 2 2 5" xfId="17209"/>
    <cellStyle name="Nota 3 4 2 3" xfId="1610"/>
    <cellStyle name="Nota 3 4 2 3 2" xfId="7824"/>
    <cellStyle name="Nota 3 4 2 3 2 2" xfId="10438"/>
    <cellStyle name="Nota 3 4 2 3 2 2 2" xfId="16700"/>
    <cellStyle name="Nota 3 4 2 3 2 2 2 2" xfId="30116"/>
    <cellStyle name="Nota 3 4 2 3 2 2 3" xfId="21445"/>
    <cellStyle name="Nota 3 4 2 3 2 3" xfId="14428"/>
    <cellStyle name="Nota 3 4 2 3 2 3 2" xfId="28750"/>
    <cellStyle name="Nota 3 4 2 3 2 4" xfId="20073"/>
    <cellStyle name="Nota 3 4 2 3 3" xfId="13281"/>
    <cellStyle name="Nota 3 4 2 3 3 2" xfId="27603"/>
    <cellStyle name="Nota 3 4 2 3 4" xfId="18926"/>
    <cellStyle name="Nota 3 4 2 4" xfId="5731"/>
    <cellStyle name="Nota 3 4 2 4 2" xfId="12284"/>
    <cellStyle name="Nota 3 4 2 4 2 2" xfId="26606"/>
    <cellStyle name="Nota 3 4 2 4 3" xfId="17929"/>
    <cellStyle name="Nota 3 4 2 5" xfId="4737"/>
    <cellStyle name="Nota 3 4 2 5 2" xfId="23160"/>
    <cellStyle name="Nota 3 4 2 6" xfId="4777"/>
    <cellStyle name="Nota 3 4 3" xfId="1611"/>
    <cellStyle name="Nota 3 4 3 2" xfId="1612"/>
    <cellStyle name="Nota 3 4 3 2 2" xfId="6381"/>
    <cellStyle name="Nota 3 4 3 2 2 2" xfId="12964"/>
    <cellStyle name="Nota 3 4 3 2 2 2 2" xfId="27286"/>
    <cellStyle name="Nota 3 4 3 2 2 3" xfId="18609"/>
    <cellStyle name="Nota 3 4 3 2 3" xfId="7902"/>
    <cellStyle name="Nota 3 4 3 2 3 2" xfId="10516"/>
    <cellStyle name="Nota 3 4 3 2 3 2 2" xfId="16778"/>
    <cellStyle name="Nota 3 4 3 2 3 2 2 2" xfId="30194"/>
    <cellStyle name="Nota 3 4 3 2 3 2 3" xfId="21523"/>
    <cellStyle name="Nota 3 4 3 2 3 3" xfId="14506"/>
    <cellStyle name="Nota 3 4 3 2 3 3 2" xfId="28828"/>
    <cellStyle name="Nota 3 4 3 2 3 4" xfId="20151"/>
    <cellStyle name="Nota 3 4 3 2 4" xfId="4874"/>
    <cellStyle name="Nota 3 4 3 2 4 2" xfId="23237"/>
    <cellStyle name="Nota 3 4 3 2 5" xfId="3769"/>
    <cellStyle name="Nota 3 4 3 3" xfId="1613"/>
    <cellStyle name="Nota 3 4 3 3 2" xfId="7654"/>
    <cellStyle name="Nota 3 4 3 3 2 2" xfId="10268"/>
    <cellStyle name="Nota 3 4 3 3 2 2 2" xfId="16530"/>
    <cellStyle name="Nota 3 4 3 3 2 2 2 2" xfId="29946"/>
    <cellStyle name="Nota 3 4 3 3 2 2 3" xfId="21275"/>
    <cellStyle name="Nota 3 4 3 3 2 3" xfId="14258"/>
    <cellStyle name="Nota 3 4 3 3 2 3 2" xfId="28580"/>
    <cellStyle name="Nota 3 4 3 3 2 4" xfId="19903"/>
    <cellStyle name="Nota 3 4 3 3 3" xfId="13422"/>
    <cellStyle name="Nota 3 4 3 3 3 2" xfId="27744"/>
    <cellStyle name="Nota 3 4 3 3 4" xfId="19067"/>
    <cellStyle name="Nota 3 4 3 4" xfId="5895"/>
    <cellStyle name="Nota 3 4 3 4 2" xfId="12448"/>
    <cellStyle name="Nota 3 4 3 4 2 2" xfId="26770"/>
    <cellStyle name="Nota 3 4 3 4 3" xfId="18093"/>
    <cellStyle name="Nota 3 4 3 5" xfId="3017"/>
    <cellStyle name="Nota 3 4 3 5 2" xfId="22408"/>
    <cellStyle name="Nota 3 4 3 6" xfId="14952"/>
    <cellStyle name="Nota 3 4 4" xfId="1614"/>
    <cellStyle name="Nota 3 4 4 2" xfId="6559"/>
    <cellStyle name="Nota 3 4 4 2 2" xfId="13147"/>
    <cellStyle name="Nota 3 4 4 2 2 2" xfId="27469"/>
    <cellStyle name="Nota 3 4 4 2 3" xfId="18792"/>
    <cellStyle name="Nota 3 4 4 3" xfId="7063"/>
    <cellStyle name="Nota 3 4 4 3 2" xfId="9677"/>
    <cellStyle name="Nota 3 4 4 3 2 2" xfId="15939"/>
    <cellStyle name="Nota 3 4 4 3 2 2 2" xfId="29355"/>
    <cellStyle name="Nota 3 4 4 3 2 3" xfId="20684"/>
    <cellStyle name="Nota 3 4 4 3 3" xfId="13667"/>
    <cellStyle name="Nota 3 4 4 3 3 2" xfId="27989"/>
    <cellStyle name="Nota 3 4 4 3 4" xfId="19312"/>
    <cellStyle name="Nota 3 4 4 4" xfId="3820"/>
    <cellStyle name="Nota 3 4 4 4 2" xfId="22598"/>
    <cellStyle name="Nota 3 4 4 5" xfId="15588"/>
    <cellStyle name="Nota 3 4 5" xfId="1615"/>
    <cellStyle name="Nota 3 4 5 2" xfId="7831"/>
    <cellStyle name="Nota 3 4 5 2 2" xfId="10445"/>
    <cellStyle name="Nota 3 4 5 2 2 2" xfId="16707"/>
    <cellStyle name="Nota 3 4 5 2 2 2 2" xfId="30123"/>
    <cellStyle name="Nota 3 4 5 2 2 3" xfId="21452"/>
    <cellStyle name="Nota 3 4 5 2 3" xfId="14435"/>
    <cellStyle name="Nota 3 4 5 2 3 2" xfId="28757"/>
    <cellStyle name="Nota 3 4 5 2 4" xfId="20080"/>
    <cellStyle name="Nota 3 4 5 3" xfId="12848"/>
    <cellStyle name="Nota 3 4 5 3 2" xfId="27170"/>
    <cellStyle name="Nota 3 4 5 4" xfId="18493"/>
    <cellStyle name="Nota 3 4 6" xfId="5435"/>
    <cellStyle name="Nota 3 4 6 2" xfId="11986"/>
    <cellStyle name="Nota 3 4 6 2 2" xfId="26308"/>
    <cellStyle name="Nota 3 4 6 3" xfId="17631"/>
    <cellStyle name="Nota 3 4 7" xfId="3975"/>
    <cellStyle name="Nota 3 4 7 2" xfId="22680"/>
    <cellStyle name="Nota 3 4 8" xfId="15313"/>
    <cellStyle name="Nota 3 5" xfId="1616"/>
    <cellStyle name="Nota 3 5 2" xfId="1617"/>
    <cellStyle name="Nota 3 5 2 2" xfId="1618"/>
    <cellStyle name="Nota 3 5 2 2 2" xfId="6826"/>
    <cellStyle name="Nota 3 5 2 2 2 2" xfId="13430"/>
    <cellStyle name="Nota 3 5 2 2 2 2 2" xfId="27752"/>
    <cellStyle name="Nota 3 5 2 2 2 3" xfId="19075"/>
    <cellStyle name="Nota 3 5 2 2 3" xfId="5322"/>
    <cellStyle name="Nota 3 5 2 2 3 2" xfId="9631"/>
    <cellStyle name="Nota 3 5 2 2 3 2 2" xfId="15893"/>
    <cellStyle name="Nota 3 5 2 2 3 2 2 2" xfId="29309"/>
    <cellStyle name="Nota 3 5 2 2 3 2 3" xfId="20638"/>
    <cellStyle name="Nota 3 5 2 2 3 3" xfId="11872"/>
    <cellStyle name="Nota 3 5 2 2 3 3 2" xfId="26194"/>
    <cellStyle name="Nota 3 5 2 2 3 4" xfId="17517"/>
    <cellStyle name="Nota 3 5 2 2 4" xfId="2782"/>
    <cellStyle name="Nota 3 5 2 2 4 2" xfId="22351"/>
    <cellStyle name="Nota 3 5 2 2 5" xfId="6188"/>
    <cellStyle name="Nota 3 5 2 3" xfId="1619"/>
    <cellStyle name="Nota 3 5 2 3 2" xfId="7522"/>
    <cellStyle name="Nota 3 5 2 3 2 2" xfId="10136"/>
    <cellStyle name="Nota 3 5 2 3 2 2 2" xfId="16398"/>
    <cellStyle name="Nota 3 5 2 3 2 2 2 2" xfId="29814"/>
    <cellStyle name="Nota 3 5 2 3 2 2 3" xfId="21143"/>
    <cellStyle name="Nota 3 5 2 3 2 3" xfId="14126"/>
    <cellStyle name="Nota 3 5 2 3 2 3 2" xfId="28448"/>
    <cellStyle name="Nota 3 5 2 3 2 4" xfId="19771"/>
    <cellStyle name="Nota 3 5 2 3 3" xfId="13258"/>
    <cellStyle name="Nota 3 5 2 3 3 2" xfId="27580"/>
    <cellStyle name="Nota 3 5 2 3 4" xfId="18903"/>
    <cellStyle name="Nota 3 5 2 4" xfId="5703"/>
    <cellStyle name="Nota 3 5 2 4 2" xfId="12256"/>
    <cellStyle name="Nota 3 5 2 4 2 2" xfId="26578"/>
    <cellStyle name="Nota 3 5 2 4 3" xfId="17901"/>
    <cellStyle name="Nota 3 5 2 5" xfId="4922"/>
    <cellStyle name="Nota 3 5 2 5 2" xfId="23264"/>
    <cellStyle name="Nota 3 5 2 6" xfId="4700"/>
    <cellStyle name="Nota 3 5 3" xfId="1620"/>
    <cellStyle name="Nota 3 5 3 2" xfId="1621"/>
    <cellStyle name="Nota 3 5 3 2 2" xfId="6021"/>
    <cellStyle name="Nota 3 5 3 2 2 2" xfId="12581"/>
    <cellStyle name="Nota 3 5 3 2 2 2 2" xfId="26903"/>
    <cellStyle name="Nota 3 5 3 2 2 3" xfId="18226"/>
    <cellStyle name="Nota 3 5 3 2 3" xfId="7841"/>
    <cellStyle name="Nota 3 5 3 2 3 2" xfId="10455"/>
    <cellStyle name="Nota 3 5 3 2 3 2 2" xfId="16717"/>
    <cellStyle name="Nota 3 5 3 2 3 2 2 2" xfId="30133"/>
    <cellStyle name="Nota 3 5 3 2 3 2 3" xfId="21462"/>
    <cellStyle name="Nota 3 5 3 2 3 3" xfId="14445"/>
    <cellStyle name="Nota 3 5 3 2 3 3 2" xfId="28767"/>
    <cellStyle name="Nota 3 5 3 2 3 4" xfId="20090"/>
    <cellStyle name="Nota 3 5 3 2 4" xfId="6148"/>
    <cellStyle name="Nota 3 5 3 2 4 2" xfId="23429"/>
    <cellStyle name="Nota 3 5 3 2 5" xfId="17134"/>
    <cellStyle name="Nota 3 5 3 3" xfId="1622"/>
    <cellStyle name="Nota 3 5 3 3 2" xfId="7074"/>
    <cellStyle name="Nota 3 5 3 3 2 2" xfId="9688"/>
    <cellStyle name="Nota 3 5 3 3 2 2 2" xfId="15950"/>
    <cellStyle name="Nota 3 5 3 3 2 2 2 2" xfId="29366"/>
    <cellStyle name="Nota 3 5 3 3 2 2 3" xfId="20695"/>
    <cellStyle name="Nota 3 5 3 3 2 3" xfId="13678"/>
    <cellStyle name="Nota 3 5 3 3 2 3 2" xfId="28000"/>
    <cellStyle name="Nota 3 5 3 3 2 4" xfId="19323"/>
    <cellStyle name="Nota 3 5 3 3 3" xfId="13379"/>
    <cellStyle name="Nota 3 5 3 3 3 2" xfId="27701"/>
    <cellStyle name="Nota 3 5 3 3 4" xfId="19024"/>
    <cellStyle name="Nota 3 5 3 4" xfId="5835"/>
    <cellStyle name="Nota 3 5 3 4 2" xfId="12388"/>
    <cellStyle name="Nota 3 5 3 4 2 2" xfId="26710"/>
    <cellStyle name="Nota 3 5 3 4 3" xfId="18033"/>
    <cellStyle name="Nota 3 5 3 5" xfId="4621"/>
    <cellStyle name="Nota 3 5 3 5 2" xfId="23070"/>
    <cellStyle name="Nota 3 5 3 6" xfId="4551"/>
    <cellStyle name="Nota 3 5 4" xfId="1623"/>
    <cellStyle name="Nota 3 5 4 2" xfId="6878"/>
    <cellStyle name="Nota 3 5 4 2 2" xfId="13482"/>
    <cellStyle name="Nota 3 5 4 2 2 2" xfId="27804"/>
    <cellStyle name="Nota 3 5 4 2 3" xfId="19127"/>
    <cellStyle name="Nota 3 5 4 3" xfId="7562"/>
    <cellStyle name="Nota 3 5 4 3 2" xfId="10176"/>
    <cellStyle name="Nota 3 5 4 3 2 2" xfId="16438"/>
    <cellStyle name="Nota 3 5 4 3 2 2 2" xfId="29854"/>
    <cellStyle name="Nota 3 5 4 3 2 3" xfId="21183"/>
    <cellStyle name="Nota 3 5 4 3 3" xfId="14166"/>
    <cellStyle name="Nota 3 5 4 3 3 2" xfId="28488"/>
    <cellStyle name="Nota 3 5 4 3 4" xfId="19811"/>
    <cellStyle name="Nota 3 5 4 4" xfId="11347"/>
    <cellStyle name="Nota 3 5 4 4 2" xfId="25669"/>
    <cellStyle name="Nota 3 5 4 5" xfId="3967"/>
    <cellStyle name="Nota 3 5 5" xfId="1624"/>
    <cellStyle name="Nota 3 5 5 2" xfId="7955"/>
    <cellStyle name="Nota 3 5 5 2 2" xfId="10569"/>
    <cellStyle name="Nota 3 5 5 2 2 2" xfId="16831"/>
    <cellStyle name="Nota 3 5 5 2 2 2 2" xfId="30247"/>
    <cellStyle name="Nota 3 5 5 2 2 3" xfId="21576"/>
    <cellStyle name="Nota 3 5 5 2 3" xfId="14559"/>
    <cellStyle name="Nota 3 5 5 2 3 2" xfId="28881"/>
    <cellStyle name="Nota 3 5 5 2 4" xfId="20204"/>
    <cellStyle name="Nota 3 5 5 3" xfId="12766"/>
    <cellStyle name="Nota 3 5 5 3 2" xfId="27088"/>
    <cellStyle name="Nota 3 5 5 4" xfId="18411"/>
    <cellStyle name="Nota 3 5 6" xfId="4113"/>
    <cellStyle name="Nota 3 5 6 2" xfId="6753"/>
    <cellStyle name="Nota 3 5 6 2 2" xfId="23701"/>
    <cellStyle name="Nota 3 5 6 3" xfId="17381"/>
    <cellStyle name="Nota 3 5 7" xfId="4872"/>
    <cellStyle name="Nota 3 5 7 2" xfId="23235"/>
    <cellStyle name="Nota 3 5 8" xfId="15486"/>
    <cellStyle name="Nota 3 6" xfId="1625"/>
    <cellStyle name="Nota 3 6 2" xfId="1626"/>
    <cellStyle name="Nota 3 6 2 2" xfId="1627"/>
    <cellStyle name="Nota 3 6 2 2 2" xfId="6112"/>
    <cellStyle name="Nota 3 6 2 2 2 2" xfId="12680"/>
    <cellStyle name="Nota 3 6 2 2 2 2 2" xfId="27002"/>
    <cellStyle name="Nota 3 6 2 2 2 3" xfId="18325"/>
    <cellStyle name="Nota 3 6 2 2 3" xfId="7926"/>
    <cellStyle name="Nota 3 6 2 2 3 2" xfId="10540"/>
    <cellStyle name="Nota 3 6 2 2 3 2 2" xfId="16802"/>
    <cellStyle name="Nota 3 6 2 2 3 2 2 2" xfId="30218"/>
    <cellStyle name="Nota 3 6 2 2 3 2 3" xfId="21547"/>
    <cellStyle name="Nota 3 6 2 2 3 3" xfId="14530"/>
    <cellStyle name="Nota 3 6 2 2 3 3 2" xfId="28852"/>
    <cellStyle name="Nota 3 6 2 2 3 4" xfId="20175"/>
    <cellStyle name="Nota 3 6 2 2 4" xfId="5028"/>
    <cellStyle name="Nota 3 6 2 2 4 2" xfId="23313"/>
    <cellStyle name="Nota 3 6 2 2 5" xfId="17003"/>
    <cellStyle name="Nota 3 6 2 3" xfId="1628"/>
    <cellStyle name="Nota 3 6 2 3 2" xfId="7922"/>
    <cellStyle name="Nota 3 6 2 3 2 2" xfId="10536"/>
    <cellStyle name="Nota 3 6 2 3 2 2 2" xfId="16798"/>
    <cellStyle name="Nota 3 6 2 3 2 2 2 2" xfId="30214"/>
    <cellStyle name="Nota 3 6 2 3 2 2 3" xfId="21543"/>
    <cellStyle name="Nota 3 6 2 3 2 3" xfId="14526"/>
    <cellStyle name="Nota 3 6 2 3 2 3 2" xfId="28848"/>
    <cellStyle name="Nota 3 6 2 3 2 4" xfId="20171"/>
    <cellStyle name="Nota 3 6 2 3 3" xfId="13244"/>
    <cellStyle name="Nota 3 6 2 3 3 2" xfId="27566"/>
    <cellStyle name="Nota 3 6 2 3 4" xfId="18889"/>
    <cellStyle name="Nota 3 6 2 4" xfId="5685"/>
    <cellStyle name="Nota 3 6 2 4 2" xfId="12238"/>
    <cellStyle name="Nota 3 6 2 4 2 2" xfId="26560"/>
    <cellStyle name="Nota 3 6 2 4 3" xfId="17883"/>
    <cellStyle name="Nota 3 6 2 5" xfId="4825"/>
    <cellStyle name="Nota 3 6 2 5 2" xfId="23206"/>
    <cellStyle name="Nota 3 6 2 6" xfId="15411"/>
    <cellStyle name="Nota 3 6 3" xfId="1629"/>
    <cellStyle name="Nota 3 6 3 2" xfId="1630"/>
    <cellStyle name="Nota 3 6 3 2 2" xfId="6374"/>
    <cellStyle name="Nota 3 6 3 2 2 2" xfId="12957"/>
    <cellStyle name="Nota 3 6 3 2 2 2 2" xfId="27279"/>
    <cellStyle name="Nota 3 6 3 2 2 3" xfId="18602"/>
    <cellStyle name="Nota 3 6 3 2 3" xfId="7155"/>
    <cellStyle name="Nota 3 6 3 2 3 2" xfId="9769"/>
    <cellStyle name="Nota 3 6 3 2 3 2 2" xfId="16031"/>
    <cellStyle name="Nota 3 6 3 2 3 2 2 2" xfId="29447"/>
    <cellStyle name="Nota 3 6 3 2 3 2 3" xfId="20776"/>
    <cellStyle name="Nota 3 6 3 2 3 3" xfId="13759"/>
    <cellStyle name="Nota 3 6 3 2 3 3 2" xfId="28081"/>
    <cellStyle name="Nota 3 6 3 2 3 4" xfId="19404"/>
    <cellStyle name="Nota 3 6 3 2 4" xfId="4833"/>
    <cellStyle name="Nota 3 6 3 2 4 2" xfId="23211"/>
    <cellStyle name="Nota 3 6 3 2 5" xfId="17337"/>
    <cellStyle name="Nota 3 6 3 3" xfId="1631"/>
    <cellStyle name="Nota 3 6 3 3 2" xfId="7966"/>
    <cellStyle name="Nota 3 6 3 3 2 2" xfId="10580"/>
    <cellStyle name="Nota 3 6 3 3 2 2 2" xfId="16842"/>
    <cellStyle name="Nota 3 6 3 3 2 2 2 2" xfId="30258"/>
    <cellStyle name="Nota 3 6 3 3 2 2 3" xfId="21587"/>
    <cellStyle name="Nota 3 6 3 3 2 3" xfId="14570"/>
    <cellStyle name="Nota 3 6 3 3 2 3 2" xfId="28892"/>
    <cellStyle name="Nota 3 6 3 3 2 4" xfId="20215"/>
    <cellStyle name="Nota 3 6 3 3 3" xfId="13388"/>
    <cellStyle name="Nota 3 6 3 3 3 2" xfId="27710"/>
    <cellStyle name="Nota 3 6 3 3 4" xfId="19033"/>
    <cellStyle name="Nota 3 6 3 4" xfId="5849"/>
    <cellStyle name="Nota 3 6 3 4 2" xfId="12402"/>
    <cellStyle name="Nota 3 6 3 4 2 2" xfId="26724"/>
    <cellStyle name="Nota 3 6 3 4 3" xfId="18047"/>
    <cellStyle name="Nota 3 6 3 5" xfId="5585"/>
    <cellStyle name="Nota 3 6 3 5 2" xfId="23355"/>
    <cellStyle name="Nota 3 6 3 6" xfId="15217"/>
    <cellStyle name="Nota 3 6 4" xfId="1632"/>
    <cellStyle name="Nota 3 6 4 2" xfId="6583"/>
    <cellStyle name="Nota 3 6 4 2 2" xfId="13172"/>
    <cellStyle name="Nota 3 6 4 2 2 2" xfId="27494"/>
    <cellStyle name="Nota 3 6 4 2 3" xfId="18817"/>
    <cellStyle name="Nota 3 6 4 3" xfId="3813"/>
    <cellStyle name="Nota 3 6 4 3 2" xfId="9379"/>
    <cellStyle name="Nota 3 6 4 3 2 2" xfId="15641"/>
    <cellStyle name="Nota 3 6 4 3 2 2 2" xfId="29057"/>
    <cellStyle name="Nota 3 6 4 3 2 3" xfId="20386"/>
    <cellStyle name="Nota 3 6 4 3 3" xfId="4324"/>
    <cellStyle name="Nota 3 6 4 3 3 2" xfId="22888"/>
    <cellStyle name="Nota 3 6 4 3 4" xfId="14810"/>
    <cellStyle name="Nota 3 6 4 4" xfId="6755"/>
    <cellStyle name="Nota 3 6 4 4 2" xfId="23703"/>
    <cellStyle name="Nota 3 6 4 5" xfId="14812"/>
    <cellStyle name="Nota 3 6 5" xfId="1633"/>
    <cellStyle name="Nota 3 6 5 2" xfId="7801"/>
    <cellStyle name="Nota 3 6 5 2 2" xfId="10415"/>
    <cellStyle name="Nota 3 6 5 2 2 2" xfId="16677"/>
    <cellStyle name="Nota 3 6 5 2 2 2 2" xfId="30093"/>
    <cellStyle name="Nota 3 6 5 2 2 3" xfId="21422"/>
    <cellStyle name="Nota 3 6 5 2 3" xfId="14405"/>
    <cellStyle name="Nota 3 6 5 2 3 2" xfId="28727"/>
    <cellStyle name="Nota 3 6 5 2 4" xfId="20050"/>
    <cellStyle name="Nota 3 6 5 3" xfId="12716"/>
    <cellStyle name="Nota 3 6 5 3 2" xfId="27038"/>
    <cellStyle name="Nota 3 6 5 4" xfId="18361"/>
    <cellStyle name="Nota 3 6 6" xfId="5115"/>
    <cellStyle name="Nota 3 6 6 2" xfId="11663"/>
    <cellStyle name="Nota 3 6 6 2 2" xfId="25985"/>
    <cellStyle name="Nota 3 6 6 3" xfId="15395"/>
    <cellStyle name="Nota 3 6 7" xfId="6765"/>
    <cellStyle name="Nota 3 6 7 2" xfId="23711"/>
    <cellStyle name="Nota 3 6 8" xfId="14755"/>
    <cellStyle name="Nota 3 7" xfId="1634"/>
    <cellStyle name="Nota 3 7 2" xfId="1635"/>
    <cellStyle name="Nota 3 7 2 2" xfId="1636"/>
    <cellStyle name="Nota 3 7 2 2 2" xfId="6212"/>
    <cellStyle name="Nota 3 7 2 2 2 2" xfId="12785"/>
    <cellStyle name="Nota 3 7 2 2 2 2 2" xfId="27107"/>
    <cellStyle name="Nota 3 7 2 2 2 3" xfId="18430"/>
    <cellStyle name="Nota 3 7 2 2 3" xfId="4774"/>
    <cellStyle name="Nota 3 7 2 2 3 2" xfId="9482"/>
    <cellStyle name="Nota 3 7 2 2 3 2 2" xfId="15744"/>
    <cellStyle name="Nota 3 7 2 2 3 2 2 2" xfId="29160"/>
    <cellStyle name="Nota 3 7 2 2 3 2 3" xfId="20489"/>
    <cellStyle name="Nota 3 7 2 2 3 3" xfId="2810"/>
    <cellStyle name="Nota 3 7 2 2 3 3 2" xfId="22373"/>
    <cellStyle name="Nota 3 7 2 2 3 4" xfId="15406"/>
    <cellStyle name="Nota 3 7 2 2 4" xfId="6078"/>
    <cellStyle name="Nota 3 7 2 2 4 2" xfId="23409"/>
    <cellStyle name="Nota 3 7 2 2 5" xfId="3834"/>
    <cellStyle name="Nota 3 7 2 3" xfId="1637"/>
    <cellStyle name="Nota 3 7 2 3 2" xfId="8013"/>
    <cellStyle name="Nota 3 7 2 3 2 2" xfId="10627"/>
    <cellStyle name="Nota 3 7 2 3 2 2 2" xfId="16889"/>
    <cellStyle name="Nota 3 7 2 3 2 2 2 2" xfId="30305"/>
    <cellStyle name="Nota 3 7 2 3 2 2 3" xfId="21634"/>
    <cellStyle name="Nota 3 7 2 3 2 3" xfId="14617"/>
    <cellStyle name="Nota 3 7 2 3 2 3 2" xfId="28939"/>
    <cellStyle name="Nota 3 7 2 3 2 4" xfId="20262"/>
    <cellStyle name="Nota 3 7 2 3 3" xfId="13414"/>
    <cellStyle name="Nota 3 7 2 3 3 2" xfId="27736"/>
    <cellStyle name="Nota 3 7 2 3 4" xfId="19059"/>
    <cellStyle name="Nota 3 7 2 4" xfId="5882"/>
    <cellStyle name="Nota 3 7 2 4 2" xfId="12435"/>
    <cellStyle name="Nota 3 7 2 4 2 2" xfId="26757"/>
    <cellStyle name="Nota 3 7 2 4 3" xfId="18080"/>
    <cellStyle name="Nota 3 7 2 5" xfId="4582"/>
    <cellStyle name="Nota 3 7 2 5 2" xfId="23048"/>
    <cellStyle name="Nota 3 7 2 6" xfId="16975"/>
    <cellStyle name="Nota 3 7 3" xfId="1638"/>
    <cellStyle name="Nota 3 7 3 2" xfId="5202"/>
    <cellStyle name="Nota 3 7 3 2 2" xfId="11751"/>
    <cellStyle name="Nota 3 7 3 2 2 2" xfId="26073"/>
    <cellStyle name="Nota 3 7 3 2 3" xfId="4088"/>
    <cellStyle name="Nota 3 7 3 3" xfId="7319"/>
    <cellStyle name="Nota 3 7 3 3 2" xfId="9933"/>
    <cellStyle name="Nota 3 7 3 3 2 2" xfId="16195"/>
    <cellStyle name="Nota 3 7 3 3 2 2 2" xfId="29611"/>
    <cellStyle name="Nota 3 7 3 3 2 3" xfId="20940"/>
    <cellStyle name="Nota 3 7 3 3 3" xfId="13923"/>
    <cellStyle name="Nota 3 7 3 3 3 2" xfId="28245"/>
    <cellStyle name="Nota 3 7 3 3 4" xfId="19568"/>
    <cellStyle name="Nota 3 7 3 4" xfId="4990"/>
    <cellStyle name="Nota 3 7 3 4 2" xfId="23297"/>
    <cellStyle name="Nota 3 7 3 5" xfId="17367"/>
    <cellStyle name="Nota 3 7 4" xfId="1639"/>
    <cellStyle name="Nota 3 7 4 2" xfId="7919"/>
    <cellStyle name="Nota 3 7 4 2 2" xfId="10533"/>
    <cellStyle name="Nota 3 7 4 2 2 2" xfId="16795"/>
    <cellStyle name="Nota 3 7 4 2 2 2 2" xfId="30211"/>
    <cellStyle name="Nota 3 7 4 2 2 3" xfId="21540"/>
    <cellStyle name="Nota 3 7 4 2 3" xfId="14523"/>
    <cellStyle name="Nota 3 7 4 2 3 2" xfId="28845"/>
    <cellStyle name="Nota 3 7 4 2 4" xfId="20168"/>
    <cellStyle name="Nota 3 7 4 3" xfId="12718"/>
    <cellStyle name="Nota 3 7 4 3 2" xfId="27040"/>
    <cellStyle name="Nota 3 7 4 4" xfId="18363"/>
    <cellStyle name="Nota 3 7 5" xfId="4914"/>
    <cellStyle name="Nota 3 7 5 2" xfId="11451"/>
    <cellStyle name="Nota 3 7 5 2 2" xfId="25773"/>
    <cellStyle name="Nota 3 7 5 3" xfId="15506"/>
    <cellStyle name="Nota 3 7 6" xfId="4683"/>
    <cellStyle name="Nota 3 7 6 2" xfId="23119"/>
    <cellStyle name="Nota 3 7 7" xfId="15376"/>
    <cellStyle name="Nota 3 8" xfId="1640"/>
    <cellStyle name="Nota 3 8 2" xfId="1641"/>
    <cellStyle name="Nota 3 8 2 2" xfId="6966"/>
    <cellStyle name="Nota 3 8 2 2 2" xfId="13570"/>
    <cellStyle name="Nota 3 8 2 2 2 2" xfId="27892"/>
    <cellStyle name="Nota 3 8 2 2 3" xfId="19215"/>
    <cellStyle name="Nota 3 8 2 3" xfId="7846"/>
    <cellStyle name="Nota 3 8 2 3 2" xfId="10460"/>
    <cellStyle name="Nota 3 8 2 3 2 2" xfId="16722"/>
    <cellStyle name="Nota 3 8 2 3 2 2 2" xfId="30138"/>
    <cellStyle name="Nota 3 8 2 3 2 3" xfId="21467"/>
    <cellStyle name="Nota 3 8 2 3 3" xfId="14450"/>
    <cellStyle name="Nota 3 8 2 3 3 2" xfId="28772"/>
    <cellStyle name="Nota 3 8 2 3 4" xfId="20095"/>
    <cellStyle name="Nota 3 8 2 4" xfId="11470"/>
    <cellStyle name="Nota 3 8 2 4 2" xfId="25792"/>
    <cellStyle name="Nota 3 8 2 5" xfId="5236"/>
    <cellStyle name="Nota 3 8 3" xfId="1642"/>
    <cellStyle name="Nota 3 8 3 2" xfId="5314"/>
    <cellStyle name="Nota 3 8 3 2 2" xfId="9623"/>
    <cellStyle name="Nota 3 8 3 2 2 2" xfId="15885"/>
    <cellStyle name="Nota 3 8 3 2 2 2 2" xfId="29301"/>
    <cellStyle name="Nota 3 8 3 2 2 3" xfId="20630"/>
    <cellStyle name="Nota 3 8 3 2 3" xfId="11864"/>
    <cellStyle name="Nota 3 8 3 2 3 2" xfId="26186"/>
    <cellStyle name="Nota 3 8 3 2 4" xfId="17509"/>
    <cellStyle name="Nota 3 8 3 3" xfId="13041"/>
    <cellStyle name="Nota 3 8 3 3 2" xfId="27363"/>
    <cellStyle name="Nota 3 8 3 4" xfId="18686"/>
    <cellStyle name="Nota 3 8 4" xfId="5359"/>
    <cellStyle name="Nota 3 8 4 2" xfId="11909"/>
    <cellStyle name="Nota 3 8 4 2 2" xfId="26231"/>
    <cellStyle name="Nota 3 8 4 3" xfId="17554"/>
    <cellStyle name="Nota 3 8 5" xfId="3645"/>
    <cellStyle name="Nota 3 8 5 2" xfId="22504"/>
    <cellStyle name="Nota 3 8 6" xfId="4955"/>
    <cellStyle name="Nota 3 9" xfId="1643"/>
    <cellStyle name="Nota 3 9 2" xfId="6077"/>
    <cellStyle name="Nota 3 9 2 2" xfId="12643"/>
    <cellStyle name="Nota 3 9 2 2 2" xfId="26965"/>
    <cellStyle name="Nota 3 9 2 3" xfId="18288"/>
    <cellStyle name="Nota 3 9 3" xfId="5255"/>
    <cellStyle name="Nota 3 9 3 2" xfId="9564"/>
    <cellStyle name="Nota 3 9 3 2 2" xfId="15826"/>
    <cellStyle name="Nota 3 9 3 2 2 2" xfId="29242"/>
    <cellStyle name="Nota 3 9 3 2 3" xfId="20571"/>
    <cellStyle name="Nota 3 9 3 3" xfId="11805"/>
    <cellStyle name="Nota 3 9 3 3 2" xfId="26127"/>
    <cellStyle name="Nota 3 9 3 4" xfId="17450"/>
    <cellStyle name="Nota 3 9 4" xfId="6361"/>
    <cellStyle name="Nota 3 9 4 2" xfId="23545"/>
    <cellStyle name="Nota 3 9 5" xfId="14717"/>
    <cellStyle name="Nota 4" xfId="1644"/>
    <cellStyle name="Nota 4 2" xfId="6115"/>
    <cellStyle name="Nota 4 2 2" xfId="12683"/>
    <cellStyle name="Nota 4 2 2 2" xfId="27005"/>
    <cellStyle name="Nota 4 2 3" xfId="18328"/>
    <cellStyle name="Nota 4 3" xfId="7154"/>
    <cellStyle name="Nota 4 3 2" xfId="9768"/>
    <cellStyle name="Nota 4 3 2 2" xfId="16030"/>
    <cellStyle name="Nota 4 3 2 2 2" xfId="29446"/>
    <cellStyle name="Nota 4 3 2 3" xfId="20775"/>
    <cellStyle name="Nota 4 3 3" xfId="13758"/>
    <cellStyle name="Nota 4 3 3 2" xfId="28080"/>
    <cellStyle name="Nota 4 3 4" xfId="19403"/>
    <cellStyle name="Nota 4 4" xfId="4564"/>
    <cellStyle name="Nota 4 4 2" xfId="23033"/>
    <cellStyle name="Nota 4 5" xfId="17203"/>
    <cellStyle name="Nota 5" xfId="4283"/>
    <cellStyle name="Nota 5 2" xfId="5370"/>
    <cellStyle name="Nota 5 2 2" xfId="23341"/>
    <cellStyle name="Nota 5 3" xfId="6588"/>
    <cellStyle name="Nota 6" xfId="4987"/>
    <cellStyle name="Nota 6 2" xfId="23295"/>
    <cellStyle name="Nota 7" xfId="14905"/>
    <cellStyle name="Nota 8" xfId="20343"/>
    <cellStyle name="Nota 9" xfId="30365"/>
    <cellStyle name="Note 2" xfId="1645"/>
    <cellStyle name="Note 2 2" xfId="1646"/>
    <cellStyle name="Note 2 2 2" xfId="1647"/>
    <cellStyle name="Note 2 2 2 10" xfId="1648"/>
    <cellStyle name="Note 2 2 2 10 2" xfId="7471"/>
    <cellStyle name="Note 2 2 2 10 2 2" xfId="10085"/>
    <cellStyle name="Note 2 2 2 10 2 2 2" xfId="16347"/>
    <cellStyle name="Note 2 2 2 10 2 2 2 2" xfId="29763"/>
    <cellStyle name="Note 2 2 2 10 2 2 3" xfId="21092"/>
    <cellStyle name="Note 2 2 2 10 2 3" xfId="14075"/>
    <cellStyle name="Note 2 2 2 10 2 3 2" xfId="28397"/>
    <cellStyle name="Note 2 2 2 10 2 4" xfId="19720"/>
    <cellStyle name="Note 2 2 2 10 3" xfId="12366"/>
    <cellStyle name="Note 2 2 2 10 3 2" xfId="26688"/>
    <cellStyle name="Note 2 2 2 10 4" xfId="18011"/>
    <cellStyle name="Note 2 2 2 11" xfId="3766"/>
    <cellStyle name="Note 2 2 2 11 2" xfId="6693"/>
    <cellStyle name="Note 2 2 2 11 2 2" xfId="23657"/>
    <cellStyle name="Note 2 2 2 11 3" xfId="15520"/>
    <cellStyle name="Note 2 2 2 12" xfId="4666"/>
    <cellStyle name="Note 2 2 2 12 2" xfId="23105"/>
    <cellStyle name="Note 2 2 2 13" xfId="14737"/>
    <cellStyle name="Note 2 2 2 2" xfId="1649"/>
    <cellStyle name="Note 2 2 2 2 10" xfId="5374"/>
    <cellStyle name="Note 2 2 2 2 10 2" xfId="11924"/>
    <cellStyle name="Note 2 2 2 2 10 2 2" xfId="26246"/>
    <cellStyle name="Note 2 2 2 2 10 3" xfId="17569"/>
    <cellStyle name="Note 2 2 2 2 11" xfId="4604"/>
    <cellStyle name="Note 2 2 2 2 11 2" xfId="23062"/>
    <cellStyle name="Note 2 2 2 2 12" xfId="15076"/>
    <cellStyle name="Note 2 2 2 2 2" xfId="1650"/>
    <cellStyle name="Note 2 2 2 2 2 10" xfId="4479"/>
    <cellStyle name="Note 2 2 2 2 2 10 2" xfId="22977"/>
    <cellStyle name="Note 2 2 2 2 2 11" xfId="17320"/>
    <cellStyle name="Note 2 2 2 2 2 2" xfId="1651"/>
    <cellStyle name="Note 2 2 2 2 2 2 2" xfId="1652"/>
    <cellStyle name="Note 2 2 2 2 2 2 2 2" xfId="1653"/>
    <cellStyle name="Note 2 2 2 2 2 2 2 2 2" xfId="6028"/>
    <cellStyle name="Note 2 2 2 2 2 2 2 2 2 2" xfId="12589"/>
    <cellStyle name="Note 2 2 2 2 2 2 2 2 2 2 2" xfId="26911"/>
    <cellStyle name="Note 2 2 2 2 2 2 2 2 2 3" xfId="18234"/>
    <cellStyle name="Note 2 2 2 2 2 2 2 2 3" xfId="7515"/>
    <cellStyle name="Note 2 2 2 2 2 2 2 2 3 2" xfId="10129"/>
    <cellStyle name="Note 2 2 2 2 2 2 2 2 3 2 2" xfId="16391"/>
    <cellStyle name="Note 2 2 2 2 2 2 2 2 3 2 2 2" xfId="29807"/>
    <cellStyle name="Note 2 2 2 2 2 2 2 2 3 2 3" xfId="21136"/>
    <cellStyle name="Note 2 2 2 2 2 2 2 2 3 3" xfId="14119"/>
    <cellStyle name="Note 2 2 2 2 2 2 2 2 3 3 2" xfId="28441"/>
    <cellStyle name="Note 2 2 2 2 2 2 2 2 3 4" xfId="19764"/>
    <cellStyle name="Note 2 2 2 2 2 2 2 2 4" xfId="4255"/>
    <cellStyle name="Note 2 2 2 2 2 2 2 2 4 2" xfId="22853"/>
    <cellStyle name="Note 2 2 2 2 2 2 2 2 5" xfId="14827"/>
    <cellStyle name="Note 2 2 2 2 2 2 2 3" xfId="1654"/>
    <cellStyle name="Note 2 2 2 2 2 2 2 3 2" xfId="7371"/>
    <cellStyle name="Note 2 2 2 2 2 2 2 3 2 2" xfId="9985"/>
    <cellStyle name="Note 2 2 2 2 2 2 2 3 2 2 2" xfId="16247"/>
    <cellStyle name="Note 2 2 2 2 2 2 2 3 2 2 2 2" xfId="29663"/>
    <cellStyle name="Note 2 2 2 2 2 2 2 3 2 2 3" xfId="20992"/>
    <cellStyle name="Note 2 2 2 2 2 2 2 3 2 3" xfId="13975"/>
    <cellStyle name="Note 2 2 2 2 2 2 2 3 2 3 2" xfId="28297"/>
    <cellStyle name="Note 2 2 2 2 2 2 2 3 2 4" xfId="19620"/>
    <cellStyle name="Note 2 2 2 2 2 2 2 3 3" xfId="13319"/>
    <cellStyle name="Note 2 2 2 2 2 2 2 3 3 2" xfId="27641"/>
    <cellStyle name="Note 2 2 2 2 2 2 2 3 4" xfId="18964"/>
    <cellStyle name="Note 2 2 2 2 2 2 2 4" xfId="5769"/>
    <cellStyle name="Note 2 2 2 2 2 2 2 4 2" xfId="12322"/>
    <cellStyle name="Note 2 2 2 2 2 2 2 4 2 2" xfId="26644"/>
    <cellStyle name="Note 2 2 2 2 2 2 2 4 3" xfId="17967"/>
    <cellStyle name="Note 2 2 2 2 2 2 2 5" xfId="4062"/>
    <cellStyle name="Note 2 2 2 2 2 2 2 5 2" xfId="22736"/>
    <cellStyle name="Note 2 2 2 2 2 2 2 6" xfId="17189"/>
    <cellStyle name="Note 2 2 2 2 2 2 3" xfId="1655"/>
    <cellStyle name="Note 2 2 2 2 2 2 3 2" xfId="1656"/>
    <cellStyle name="Note 2 2 2 2 2 2 3 2 2" xfId="5987"/>
    <cellStyle name="Note 2 2 2 2 2 2 3 2 2 2" xfId="12545"/>
    <cellStyle name="Note 2 2 2 2 2 2 3 2 2 2 2" xfId="26867"/>
    <cellStyle name="Note 2 2 2 2 2 2 3 2 2 3" xfId="18190"/>
    <cellStyle name="Note 2 2 2 2 2 2 3 2 3" xfId="7209"/>
    <cellStyle name="Note 2 2 2 2 2 2 3 2 3 2" xfId="9823"/>
    <cellStyle name="Note 2 2 2 2 2 2 3 2 3 2 2" xfId="16085"/>
    <cellStyle name="Note 2 2 2 2 2 2 3 2 3 2 2 2" xfId="29501"/>
    <cellStyle name="Note 2 2 2 2 2 2 3 2 3 2 3" xfId="20830"/>
    <cellStyle name="Note 2 2 2 2 2 2 3 2 3 3" xfId="13813"/>
    <cellStyle name="Note 2 2 2 2 2 2 3 2 3 3 2" xfId="28135"/>
    <cellStyle name="Note 2 2 2 2 2 2 3 2 3 4" xfId="19458"/>
    <cellStyle name="Note 2 2 2 2 2 2 3 2 4" xfId="4631"/>
    <cellStyle name="Note 2 2 2 2 2 2 3 2 4 2" xfId="23076"/>
    <cellStyle name="Note 2 2 2 2 2 2 3 2 5" xfId="14748"/>
    <cellStyle name="Note 2 2 2 2 2 2 3 3" xfId="1657"/>
    <cellStyle name="Note 2 2 2 2 2 2 3 3 2" xfId="7880"/>
    <cellStyle name="Note 2 2 2 2 2 2 3 3 2 2" xfId="10494"/>
    <cellStyle name="Note 2 2 2 2 2 2 3 3 2 2 2" xfId="16756"/>
    <cellStyle name="Note 2 2 2 2 2 2 3 3 2 2 2 2" xfId="30172"/>
    <cellStyle name="Note 2 2 2 2 2 2 3 3 2 2 3" xfId="21501"/>
    <cellStyle name="Note 2 2 2 2 2 2 3 3 2 3" xfId="14484"/>
    <cellStyle name="Note 2 2 2 2 2 2 3 3 2 3 2" xfId="28806"/>
    <cellStyle name="Note 2 2 2 2 2 2 3 3 2 4" xfId="20129"/>
    <cellStyle name="Note 2 2 2 2 2 2 3 3 3" xfId="11725"/>
    <cellStyle name="Note 2 2 2 2 2 2 3 3 3 2" xfId="26047"/>
    <cellStyle name="Note 2 2 2 2 2 2 3 3 4" xfId="6633"/>
    <cellStyle name="Note 2 2 2 2 2 2 3 4" xfId="5101"/>
    <cellStyle name="Note 2 2 2 2 2 2 3 4 2" xfId="11648"/>
    <cellStyle name="Note 2 2 2 2 2 2 3 4 2 2" xfId="25970"/>
    <cellStyle name="Note 2 2 2 2 2 2 3 4 3" xfId="14920"/>
    <cellStyle name="Note 2 2 2 2 2 2 3 5" xfId="5230"/>
    <cellStyle name="Note 2 2 2 2 2 2 3 5 2" xfId="23338"/>
    <cellStyle name="Note 2 2 2 2 2 2 3 6" xfId="15247"/>
    <cellStyle name="Note 2 2 2 2 2 2 4" xfId="1658"/>
    <cellStyle name="Note 2 2 2 2 2 2 4 2" xfId="6901"/>
    <cellStyle name="Note 2 2 2 2 2 2 4 2 2" xfId="13505"/>
    <cellStyle name="Note 2 2 2 2 2 2 4 2 2 2" xfId="27827"/>
    <cellStyle name="Note 2 2 2 2 2 2 4 2 3" xfId="19150"/>
    <cellStyle name="Note 2 2 2 2 2 2 4 3" xfId="4757"/>
    <cellStyle name="Note 2 2 2 2 2 2 4 3 2" xfId="9477"/>
    <cellStyle name="Note 2 2 2 2 2 2 4 3 2 2" xfId="15739"/>
    <cellStyle name="Note 2 2 2 2 2 2 4 3 2 2 2" xfId="29155"/>
    <cellStyle name="Note 2 2 2 2 2 2 4 3 2 3" xfId="20484"/>
    <cellStyle name="Note 2 2 2 2 2 2 4 3 3" xfId="2777"/>
    <cellStyle name="Note 2 2 2 2 2 2 4 3 3 2" xfId="22346"/>
    <cellStyle name="Note 2 2 2 2 2 2 4 3 4" xfId="17054"/>
    <cellStyle name="Note 2 2 2 2 2 2 4 4" xfId="11380"/>
    <cellStyle name="Note 2 2 2 2 2 2 4 4 2" xfId="25702"/>
    <cellStyle name="Note 2 2 2 2 2 2 4 5" xfId="15117"/>
    <cellStyle name="Note 2 2 2 2 2 2 5" xfId="1659"/>
    <cellStyle name="Note 2 2 2 2 2 2 5 2" xfId="3281"/>
    <cellStyle name="Note 2 2 2 2 2 2 5 2 2" xfId="9053"/>
    <cellStyle name="Note 2 2 2 2 2 2 5 2 2 2" xfId="15392"/>
    <cellStyle name="Note 2 2 2 2 2 2 5 2 2 2 2" xfId="29011"/>
    <cellStyle name="Note 2 2 2 2 2 2 5 2 2 3" xfId="20338"/>
    <cellStyle name="Note 2 2 2 2 2 2 5 2 3" xfId="4548"/>
    <cellStyle name="Note 2 2 2 2 2 2 5 2 3 2" xfId="23025"/>
    <cellStyle name="Note 2 2 2 2 2 2 5 2 4" xfId="14730"/>
    <cellStyle name="Note 2 2 2 2 2 2 5 3" xfId="12895"/>
    <cellStyle name="Note 2 2 2 2 2 2 5 3 2" xfId="27217"/>
    <cellStyle name="Note 2 2 2 2 2 2 5 4" xfId="18540"/>
    <cellStyle name="Note 2 2 2 2 2 2 6" xfId="5513"/>
    <cellStyle name="Note 2 2 2 2 2 2 6 2" xfId="12064"/>
    <cellStyle name="Note 2 2 2 2 2 2 6 2 2" xfId="26386"/>
    <cellStyle name="Note 2 2 2 2 2 2 6 3" xfId="17709"/>
    <cellStyle name="Note 2 2 2 2 2 2 7" xfId="6342"/>
    <cellStyle name="Note 2 2 2 2 2 2 7 2" xfId="23528"/>
    <cellStyle name="Note 2 2 2 2 2 2 8" xfId="15122"/>
    <cellStyle name="Note 2 2 2 2 2 3" xfId="1660"/>
    <cellStyle name="Note 2 2 2 2 2 3 2" xfId="1661"/>
    <cellStyle name="Note 2 2 2 2 2 3 2 2" xfId="1662"/>
    <cellStyle name="Note 2 2 2 2 2 3 2 2 2" xfId="6426"/>
    <cellStyle name="Note 2 2 2 2 2 3 2 2 2 2" xfId="13009"/>
    <cellStyle name="Note 2 2 2 2 2 3 2 2 2 2 2" xfId="27331"/>
    <cellStyle name="Note 2 2 2 2 2 3 2 2 2 3" xfId="18654"/>
    <cellStyle name="Note 2 2 2 2 2 3 2 2 3" xfId="7482"/>
    <cellStyle name="Note 2 2 2 2 2 3 2 2 3 2" xfId="10096"/>
    <cellStyle name="Note 2 2 2 2 2 3 2 2 3 2 2" xfId="16358"/>
    <cellStyle name="Note 2 2 2 2 2 3 2 2 3 2 2 2" xfId="29774"/>
    <cellStyle name="Note 2 2 2 2 2 3 2 2 3 2 3" xfId="21103"/>
    <cellStyle name="Note 2 2 2 2 2 3 2 2 3 3" xfId="14086"/>
    <cellStyle name="Note 2 2 2 2 2 3 2 2 3 3 2" xfId="28408"/>
    <cellStyle name="Note 2 2 2 2 2 3 2 2 3 4" xfId="19731"/>
    <cellStyle name="Note 2 2 2 2 2 3 2 2 4" xfId="6673"/>
    <cellStyle name="Note 2 2 2 2 2 3 2 2 4 2" xfId="23645"/>
    <cellStyle name="Note 2 2 2 2 2 3 2 2 5" xfId="15144"/>
    <cellStyle name="Note 2 2 2 2 2 3 2 3" xfId="1663"/>
    <cellStyle name="Note 2 2 2 2 2 3 2 3 2" xfId="7104"/>
    <cellStyle name="Note 2 2 2 2 2 3 2 3 2 2" xfId="9718"/>
    <cellStyle name="Note 2 2 2 2 2 3 2 3 2 2 2" xfId="15980"/>
    <cellStyle name="Note 2 2 2 2 2 3 2 3 2 2 2 2" xfId="29396"/>
    <cellStyle name="Note 2 2 2 2 2 3 2 3 2 2 3" xfId="20725"/>
    <cellStyle name="Note 2 2 2 2 2 3 2 3 2 3" xfId="13708"/>
    <cellStyle name="Note 2 2 2 2 2 3 2 3 2 3 2" xfId="28030"/>
    <cellStyle name="Note 2 2 2 2 2 3 2 3 2 4" xfId="19353"/>
    <cellStyle name="Note 2 2 2 2 2 3 2 3 3" xfId="13355"/>
    <cellStyle name="Note 2 2 2 2 2 3 2 3 3 2" xfId="27677"/>
    <cellStyle name="Note 2 2 2 2 2 3 2 3 4" xfId="19000"/>
    <cellStyle name="Note 2 2 2 2 2 3 2 4" xfId="5805"/>
    <cellStyle name="Note 2 2 2 2 2 3 2 4 2" xfId="12358"/>
    <cellStyle name="Note 2 2 2 2 2 3 2 4 2 2" xfId="26680"/>
    <cellStyle name="Note 2 2 2 2 2 3 2 4 3" xfId="18003"/>
    <cellStyle name="Note 2 2 2 2 2 3 2 5" xfId="4889"/>
    <cellStyle name="Note 2 2 2 2 2 3 2 5 2" xfId="23247"/>
    <cellStyle name="Note 2 2 2 2 2 3 2 6" xfId="14764"/>
    <cellStyle name="Note 2 2 2 2 2 3 3" xfId="1664"/>
    <cellStyle name="Note 2 2 2 2 2 3 3 2" xfId="1665"/>
    <cellStyle name="Note 2 2 2 2 2 3 3 2 2" xfId="6934"/>
    <cellStyle name="Note 2 2 2 2 2 3 3 2 2 2" xfId="13538"/>
    <cellStyle name="Note 2 2 2 2 2 3 3 2 2 2 2" xfId="27860"/>
    <cellStyle name="Note 2 2 2 2 2 3 3 2 2 3" xfId="19183"/>
    <cellStyle name="Note 2 2 2 2 2 3 3 2 3" xfId="7368"/>
    <cellStyle name="Note 2 2 2 2 2 3 3 2 3 2" xfId="9982"/>
    <cellStyle name="Note 2 2 2 2 2 3 3 2 3 2 2" xfId="16244"/>
    <cellStyle name="Note 2 2 2 2 2 3 3 2 3 2 2 2" xfId="29660"/>
    <cellStyle name="Note 2 2 2 2 2 3 3 2 3 2 3" xfId="20989"/>
    <cellStyle name="Note 2 2 2 2 2 3 3 2 3 3" xfId="13972"/>
    <cellStyle name="Note 2 2 2 2 2 3 3 2 3 3 2" xfId="28294"/>
    <cellStyle name="Note 2 2 2 2 2 3 3 2 3 4" xfId="19617"/>
    <cellStyle name="Note 2 2 2 2 2 3 3 2 4" xfId="11427"/>
    <cellStyle name="Note 2 2 2 2 2 3 3 2 4 2" xfId="25749"/>
    <cellStyle name="Note 2 2 2 2 2 3 3 2 5" xfId="3963"/>
    <cellStyle name="Note 2 2 2 2 2 3 3 3" xfId="1666"/>
    <cellStyle name="Note 2 2 2 2 2 3 3 3 2" xfId="7180"/>
    <cellStyle name="Note 2 2 2 2 2 3 3 3 2 2" xfId="9794"/>
    <cellStyle name="Note 2 2 2 2 2 3 3 3 2 2 2" xfId="16056"/>
    <cellStyle name="Note 2 2 2 2 2 3 3 3 2 2 2 2" xfId="29472"/>
    <cellStyle name="Note 2 2 2 2 2 3 3 3 2 2 3" xfId="20801"/>
    <cellStyle name="Note 2 2 2 2 2 3 3 3 2 3" xfId="13784"/>
    <cellStyle name="Note 2 2 2 2 2 3 3 3 2 3 2" xfId="28106"/>
    <cellStyle name="Note 2 2 2 2 2 3 3 3 2 4" xfId="19429"/>
    <cellStyle name="Note 2 2 2 2 2 3 3 3 3" xfId="11770"/>
    <cellStyle name="Note 2 2 2 2 2 3 3 3 3 2" xfId="26092"/>
    <cellStyle name="Note 2 2 2 2 2 3 3 3 4" xfId="17415"/>
    <cellStyle name="Note 2 2 2 2 2 3 3 4" xfId="3699"/>
    <cellStyle name="Note 2 2 2 2 2 3 3 4 2" xfId="4121"/>
    <cellStyle name="Note 2 2 2 2 2 3 3 4 2 2" xfId="22765"/>
    <cellStyle name="Note 2 2 2 2 2 3 3 4 3" xfId="15578"/>
    <cellStyle name="Note 2 2 2 2 2 3 3 5" xfId="4396"/>
    <cellStyle name="Note 2 2 2 2 2 3 3 5 2" xfId="22926"/>
    <cellStyle name="Note 2 2 2 2 2 3 3 6" xfId="15326"/>
    <cellStyle name="Note 2 2 2 2 2 3 4" xfId="1667"/>
    <cellStyle name="Note 2 2 2 2 2 3 4 2" xfId="5852"/>
    <cellStyle name="Note 2 2 2 2 2 3 4 2 2" xfId="12405"/>
    <cellStyle name="Note 2 2 2 2 2 3 4 2 2 2" xfId="26727"/>
    <cellStyle name="Note 2 2 2 2 2 3 4 2 3" xfId="18050"/>
    <cellStyle name="Note 2 2 2 2 2 3 4 3" xfId="7896"/>
    <cellStyle name="Note 2 2 2 2 2 3 4 3 2" xfId="10510"/>
    <cellStyle name="Note 2 2 2 2 2 3 4 3 2 2" xfId="16772"/>
    <cellStyle name="Note 2 2 2 2 2 3 4 3 2 2 2" xfId="30188"/>
    <cellStyle name="Note 2 2 2 2 2 3 4 3 2 3" xfId="21517"/>
    <cellStyle name="Note 2 2 2 2 2 3 4 3 3" xfId="14500"/>
    <cellStyle name="Note 2 2 2 2 2 3 4 3 3 2" xfId="28822"/>
    <cellStyle name="Note 2 2 2 2 2 3 4 3 4" xfId="20145"/>
    <cellStyle name="Note 2 2 2 2 2 3 4 4" xfId="4632"/>
    <cellStyle name="Note 2 2 2 2 2 3 4 4 2" xfId="23077"/>
    <cellStyle name="Note 2 2 2 2 2 3 4 5" xfId="17060"/>
    <cellStyle name="Note 2 2 2 2 2 3 5" xfId="1668"/>
    <cellStyle name="Note 2 2 2 2 2 3 5 2" xfId="7247"/>
    <cellStyle name="Note 2 2 2 2 2 3 5 2 2" xfId="9861"/>
    <cellStyle name="Note 2 2 2 2 2 3 5 2 2 2" xfId="16123"/>
    <cellStyle name="Note 2 2 2 2 2 3 5 2 2 2 2" xfId="29539"/>
    <cellStyle name="Note 2 2 2 2 2 3 5 2 2 3" xfId="20868"/>
    <cellStyle name="Note 2 2 2 2 2 3 5 2 3" xfId="13851"/>
    <cellStyle name="Note 2 2 2 2 2 3 5 2 3 2" xfId="28173"/>
    <cellStyle name="Note 2 2 2 2 2 3 5 2 4" xfId="19496"/>
    <cellStyle name="Note 2 2 2 2 2 3 5 3" xfId="12931"/>
    <cellStyle name="Note 2 2 2 2 2 3 5 3 2" xfId="27253"/>
    <cellStyle name="Note 2 2 2 2 2 3 5 4" xfId="18576"/>
    <cellStyle name="Note 2 2 2 2 2 3 6" xfId="5555"/>
    <cellStyle name="Note 2 2 2 2 2 3 6 2" xfId="12106"/>
    <cellStyle name="Note 2 2 2 2 2 3 6 2 2" xfId="26428"/>
    <cellStyle name="Note 2 2 2 2 2 3 6 3" xfId="17751"/>
    <cellStyle name="Note 2 2 2 2 2 3 7" xfId="3845"/>
    <cellStyle name="Note 2 2 2 2 2 3 7 2" xfId="22610"/>
    <cellStyle name="Note 2 2 2 2 2 3 8" xfId="4382"/>
    <cellStyle name="Note 2 2 2 2 2 4" xfId="1669"/>
    <cellStyle name="Note 2 2 2 2 2 4 2" xfId="1670"/>
    <cellStyle name="Note 2 2 2 2 2 4 2 2" xfId="1671"/>
    <cellStyle name="Note 2 2 2 2 2 4 2 2 2" xfId="6872"/>
    <cellStyle name="Note 2 2 2 2 2 4 2 2 2 2" xfId="13476"/>
    <cellStyle name="Note 2 2 2 2 2 4 2 2 2 2 2" xfId="27798"/>
    <cellStyle name="Note 2 2 2 2 2 4 2 2 2 3" xfId="19121"/>
    <cellStyle name="Note 2 2 2 2 2 4 2 2 3" xfId="7092"/>
    <cellStyle name="Note 2 2 2 2 2 4 2 2 3 2" xfId="9706"/>
    <cellStyle name="Note 2 2 2 2 2 4 2 2 3 2 2" xfId="15968"/>
    <cellStyle name="Note 2 2 2 2 2 4 2 2 3 2 2 2" xfId="29384"/>
    <cellStyle name="Note 2 2 2 2 2 4 2 2 3 2 3" xfId="20713"/>
    <cellStyle name="Note 2 2 2 2 2 4 2 2 3 3" xfId="13696"/>
    <cellStyle name="Note 2 2 2 2 2 4 2 2 3 3 2" xfId="28018"/>
    <cellStyle name="Note 2 2 2 2 2 4 2 2 3 4" xfId="19341"/>
    <cellStyle name="Note 2 2 2 2 2 4 2 2 4" xfId="11339"/>
    <cellStyle name="Note 2 2 2 2 2 4 2 2 4 2" xfId="25661"/>
    <cellStyle name="Note 2 2 2 2 2 4 2 2 5" xfId="4165"/>
    <cellStyle name="Note 2 2 2 2 2 4 2 3" xfId="1672"/>
    <cellStyle name="Note 2 2 2 2 2 4 2 3 2" xfId="7492"/>
    <cellStyle name="Note 2 2 2 2 2 4 2 3 2 2" xfId="10106"/>
    <cellStyle name="Note 2 2 2 2 2 4 2 3 2 2 2" xfId="16368"/>
    <cellStyle name="Note 2 2 2 2 2 4 2 3 2 2 2 2" xfId="29784"/>
    <cellStyle name="Note 2 2 2 2 2 4 2 3 2 2 3" xfId="21113"/>
    <cellStyle name="Note 2 2 2 2 2 4 2 3 2 3" xfId="14096"/>
    <cellStyle name="Note 2 2 2 2 2 4 2 3 2 3 2" xfId="28418"/>
    <cellStyle name="Note 2 2 2 2 2 4 2 3 2 4" xfId="19741"/>
    <cellStyle name="Note 2 2 2 2 2 4 2 3 3" xfId="13271"/>
    <cellStyle name="Note 2 2 2 2 2 4 2 3 3 2" xfId="27593"/>
    <cellStyle name="Note 2 2 2 2 2 4 2 3 4" xfId="18916"/>
    <cellStyle name="Note 2 2 2 2 2 4 2 4" xfId="5717"/>
    <cellStyle name="Note 2 2 2 2 2 4 2 4 2" xfId="12270"/>
    <cellStyle name="Note 2 2 2 2 2 4 2 4 2 2" xfId="26592"/>
    <cellStyle name="Note 2 2 2 2 2 4 2 4 3" xfId="17915"/>
    <cellStyle name="Note 2 2 2 2 2 4 2 5" xfId="6096"/>
    <cellStyle name="Note 2 2 2 2 2 4 2 5 2" xfId="23413"/>
    <cellStyle name="Note 2 2 2 2 2 4 2 6" xfId="15453"/>
    <cellStyle name="Note 2 2 2 2 2 4 3" xfId="1673"/>
    <cellStyle name="Note 2 2 2 2 2 4 3 2" xfId="1674"/>
    <cellStyle name="Note 2 2 2 2 2 4 3 2 2" xfId="6425"/>
    <cellStyle name="Note 2 2 2 2 2 4 3 2 2 2" xfId="13008"/>
    <cellStyle name="Note 2 2 2 2 2 4 3 2 2 2 2" xfId="27330"/>
    <cellStyle name="Note 2 2 2 2 2 4 3 2 2 3" xfId="18653"/>
    <cellStyle name="Note 2 2 2 2 2 4 3 2 3" xfId="7724"/>
    <cellStyle name="Note 2 2 2 2 2 4 3 2 3 2" xfId="10338"/>
    <cellStyle name="Note 2 2 2 2 2 4 3 2 3 2 2" xfId="16600"/>
    <cellStyle name="Note 2 2 2 2 2 4 3 2 3 2 2 2" xfId="30016"/>
    <cellStyle name="Note 2 2 2 2 2 4 3 2 3 2 3" xfId="21345"/>
    <cellStyle name="Note 2 2 2 2 2 4 3 2 3 3" xfId="14328"/>
    <cellStyle name="Note 2 2 2 2 2 4 3 2 3 3 2" xfId="28650"/>
    <cellStyle name="Note 2 2 2 2 2 4 3 2 3 4" xfId="19973"/>
    <cellStyle name="Note 2 2 2 2 2 4 3 2 4" xfId="3936"/>
    <cellStyle name="Note 2 2 2 2 2 4 3 2 4 2" xfId="22654"/>
    <cellStyle name="Note 2 2 2 2 2 4 3 2 5" xfId="5108"/>
    <cellStyle name="Note 2 2 2 2 2 4 3 3" xfId="1675"/>
    <cellStyle name="Note 2 2 2 2 2 4 3 3 2" xfId="4029"/>
    <cellStyle name="Note 2 2 2 2 2 4 3 3 2 2" xfId="9415"/>
    <cellStyle name="Note 2 2 2 2 2 4 3 3 2 2 2" xfId="15677"/>
    <cellStyle name="Note 2 2 2 2 2 4 3 3 2 2 2 2" xfId="29093"/>
    <cellStyle name="Note 2 2 2 2 2 4 3 3 2 2 3" xfId="20422"/>
    <cellStyle name="Note 2 2 2 2 2 4 3 3 2 3" xfId="4956"/>
    <cellStyle name="Note 2 2 2 2 2 4 3 3 2 3 2" xfId="23278"/>
    <cellStyle name="Note 2 2 2 2 2 4 3 3 2 4" xfId="15115"/>
    <cellStyle name="Note 2 2 2 2 2 4 3 3 3" xfId="13040"/>
    <cellStyle name="Note 2 2 2 2 2 4 3 3 3 2" xfId="27362"/>
    <cellStyle name="Note 2 2 2 2 2 4 3 3 4" xfId="18685"/>
    <cellStyle name="Note 2 2 2 2 2 4 3 4" xfId="5358"/>
    <cellStyle name="Note 2 2 2 2 2 4 3 4 2" xfId="11908"/>
    <cellStyle name="Note 2 2 2 2 2 4 3 4 2 2" xfId="26230"/>
    <cellStyle name="Note 2 2 2 2 2 4 3 4 3" xfId="17553"/>
    <cellStyle name="Note 2 2 2 2 2 4 3 5" xfId="4169"/>
    <cellStyle name="Note 2 2 2 2 2 4 3 5 2" xfId="22794"/>
    <cellStyle name="Note 2 2 2 2 2 4 3 6" xfId="6277"/>
    <cellStyle name="Note 2 2 2 2 2 4 4" xfId="1676"/>
    <cellStyle name="Note 2 2 2 2 2 4 4 2" xfId="5058"/>
    <cellStyle name="Note 2 2 2 2 2 4 4 2 2" xfId="11605"/>
    <cellStyle name="Note 2 2 2 2 2 4 4 2 2 2" xfId="25927"/>
    <cellStyle name="Note 2 2 2 2 2 4 4 2 3" xfId="14901"/>
    <cellStyle name="Note 2 2 2 2 2 4 4 3" xfId="7249"/>
    <cellStyle name="Note 2 2 2 2 2 4 4 3 2" xfId="9863"/>
    <cellStyle name="Note 2 2 2 2 2 4 4 3 2 2" xfId="16125"/>
    <cellStyle name="Note 2 2 2 2 2 4 4 3 2 2 2" xfId="29541"/>
    <cellStyle name="Note 2 2 2 2 2 4 4 3 2 3" xfId="20870"/>
    <cellStyle name="Note 2 2 2 2 2 4 4 3 3" xfId="13853"/>
    <cellStyle name="Note 2 2 2 2 2 4 4 3 3 2" xfId="28175"/>
    <cellStyle name="Note 2 2 2 2 2 4 4 3 4" xfId="19498"/>
    <cellStyle name="Note 2 2 2 2 2 4 4 4" xfId="3736"/>
    <cellStyle name="Note 2 2 2 2 2 4 4 4 2" xfId="22554"/>
    <cellStyle name="Note 2 2 2 2 2 4 4 5" xfId="17075"/>
    <cellStyle name="Note 2 2 2 2 2 4 5" xfId="1677"/>
    <cellStyle name="Note 2 2 2 2 2 4 5 2" xfId="8046"/>
    <cellStyle name="Note 2 2 2 2 2 4 5 2 2" xfId="10660"/>
    <cellStyle name="Note 2 2 2 2 2 4 5 2 2 2" xfId="16922"/>
    <cellStyle name="Note 2 2 2 2 2 4 5 2 2 2 2" xfId="30338"/>
    <cellStyle name="Note 2 2 2 2 2 4 5 2 2 3" xfId="21667"/>
    <cellStyle name="Note 2 2 2 2 2 4 5 2 3" xfId="14650"/>
    <cellStyle name="Note 2 2 2 2 2 4 5 2 3 2" xfId="28972"/>
    <cellStyle name="Note 2 2 2 2 2 4 5 2 4" xfId="20295"/>
    <cellStyle name="Note 2 2 2 2 2 4 5 3" xfId="12829"/>
    <cellStyle name="Note 2 2 2 2 2 4 5 3 2" xfId="27151"/>
    <cellStyle name="Note 2 2 2 2 2 4 5 4" xfId="18474"/>
    <cellStyle name="Note 2 2 2 2 2 4 6" xfId="5389"/>
    <cellStyle name="Note 2 2 2 2 2 4 6 2" xfId="11939"/>
    <cellStyle name="Note 2 2 2 2 2 4 6 2 2" xfId="26261"/>
    <cellStyle name="Note 2 2 2 2 2 4 6 3" xfId="17584"/>
    <cellStyle name="Note 2 2 2 2 2 4 7" xfId="3137"/>
    <cellStyle name="Note 2 2 2 2 2 4 7 2" xfId="22416"/>
    <cellStyle name="Note 2 2 2 2 2 4 8" xfId="14861"/>
    <cellStyle name="Note 2 2 2 2 2 5" xfId="1678"/>
    <cellStyle name="Note 2 2 2 2 2 5 2" xfId="1679"/>
    <cellStyle name="Note 2 2 2 2 2 5 2 2" xfId="1680"/>
    <cellStyle name="Note 2 2 2 2 2 5 2 2 2" xfId="6420"/>
    <cellStyle name="Note 2 2 2 2 2 5 2 2 2 2" xfId="13003"/>
    <cellStyle name="Note 2 2 2 2 2 5 2 2 2 2 2" xfId="27325"/>
    <cellStyle name="Note 2 2 2 2 2 5 2 2 2 3" xfId="18648"/>
    <cellStyle name="Note 2 2 2 2 2 5 2 2 3" xfId="7630"/>
    <cellStyle name="Note 2 2 2 2 2 5 2 2 3 2" xfId="10244"/>
    <cellStyle name="Note 2 2 2 2 2 5 2 2 3 2 2" xfId="16506"/>
    <cellStyle name="Note 2 2 2 2 2 5 2 2 3 2 2 2" xfId="29922"/>
    <cellStyle name="Note 2 2 2 2 2 5 2 2 3 2 3" xfId="21251"/>
    <cellStyle name="Note 2 2 2 2 2 5 2 2 3 3" xfId="14234"/>
    <cellStyle name="Note 2 2 2 2 2 5 2 2 3 3 2" xfId="28556"/>
    <cellStyle name="Note 2 2 2 2 2 5 2 2 3 4" xfId="19879"/>
    <cellStyle name="Note 2 2 2 2 2 5 2 2 4" xfId="3796"/>
    <cellStyle name="Note 2 2 2 2 2 5 2 2 4 2" xfId="22584"/>
    <cellStyle name="Note 2 2 2 2 2 5 2 2 5" xfId="3780"/>
    <cellStyle name="Note 2 2 2 2 2 5 2 3" xfId="1681"/>
    <cellStyle name="Note 2 2 2 2 2 5 2 3 2" xfId="3951"/>
    <cellStyle name="Note 2 2 2 2 2 5 2 3 2 2" xfId="9402"/>
    <cellStyle name="Note 2 2 2 2 2 5 2 3 2 2 2" xfId="15664"/>
    <cellStyle name="Note 2 2 2 2 2 5 2 3 2 2 2 2" xfId="29080"/>
    <cellStyle name="Note 2 2 2 2 2 5 2 3 2 2 3" xfId="20409"/>
    <cellStyle name="Note 2 2 2 2 2 5 2 3 2 3" xfId="4358"/>
    <cellStyle name="Note 2 2 2 2 2 5 2 3 2 3 2" xfId="22903"/>
    <cellStyle name="Note 2 2 2 2 2 5 2 3 2 4" xfId="4926"/>
    <cellStyle name="Note 2 2 2 2 2 5 2 3 3" xfId="12512"/>
    <cellStyle name="Note 2 2 2 2 2 5 2 3 3 2" xfId="26834"/>
    <cellStyle name="Note 2 2 2 2 2 5 2 3 4" xfId="18157"/>
    <cellStyle name="Note 2 2 2 2 2 5 2 4" xfId="5147"/>
    <cellStyle name="Note 2 2 2 2 2 5 2 4 2" xfId="11696"/>
    <cellStyle name="Note 2 2 2 2 2 5 2 4 2 2" xfId="26018"/>
    <cellStyle name="Note 2 2 2 2 2 5 2 4 3" xfId="6271"/>
    <cellStyle name="Note 2 2 2 2 2 5 2 5" xfId="4575"/>
    <cellStyle name="Note 2 2 2 2 2 5 2 5 2" xfId="23042"/>
    <cellStyle name="Note 2 2 2 2 2 5 2 6" xfId="4208"/>
    <cellStyle name="Note 2 2 2 2 2 5 3" xfId="1682"/>
    <cellStyle name="Note 2 2 2 2 2 5 3 2" xfId="6522"/>
    <cellStyle name="Note 2 2 2 2 2 5 3 2 2" xfId="13110"/>
    <cellStyle name="Note 2 2 2 2 2 5 3 2 2 2" xfId="27432"/>
    <cellStyle name="Note 2 2 2 2 2 5 3 2 3" xfId="18755"/>
    <cellStyle name="Note 2 2 2 2 2 5 3 3" xfId="7349"/>
    <cellStyle name="Note 2 2 2 2 2 5 3 3 2" xfId="9963"/>
    <cellStyle name="Note 2 2 2 2 2 5 3 3 2 2" xfId="16225"/>
    <cellStyle name="Note 2 2 2 2 2 5 3 3 2 2 2" xfId="29641"/>
    <cellStyle name="Note 2 2 2 2 2 5 3 3 2 3" xfId="20970"/>
    <cellStyle name="Note 2 2 2 2 2 5 3 3 3" xfId="13953"/>
    <cellStyle name="Note 2 2 2 2 2 5 3 3 3 2" xfId="28275"/>
    <cellStyle name="Note 2 2 2 2 2 5 3 3 4" xfId="19598"/>
    <cellStyle name="Note 2 2 2 2 2 5 3 4" xfId="2835"/>
    <cellStyle name="Note 2 2 2 2 2 5 3 4 2" xfId="22398"/>
    <cellStyle name="Note 2 2 2 2 2 5 3 5" xfId="14895"/>
    <cellStyle name="Note 2 2 2 2 2 5 4" xfId="1683"/>
    <cellStyle name="Note 2 2 2 2 2 5 4 2" xfId="7874"/>
    <cellStyle name="Note 2 2 2 2 2 5 4 2 2" xfId="10488"/>
    <cellStyle name="Note 2 2 2 2 2 5 4 2 2 2" xfId="16750"/>
    <cellStyle name="Note 2 2 2 2 2 5 4 2 2 2 2" xfId="30166"/>
    <cellStyle name="Note 2 2 2 2 2 5 4 2 2 3" xfId="21495"/>
    <cellStyle name="Note 2 2 2 2 2 5 4 2 3" xfId="14478"/>
    <cellStyle name="Note 2 2 2 2 2 5 4 2 3 2" xfId="28800"/>
    <cellStyle name="Note 2 2 2 2 2 5 4 2 4" xfId="20123"/>
    <cellStyle name="Note 2 2 2 2 2 5 4 3" xfId="12939"/>
    <cellStyle name="Note 2 2 2 2 2 5 4 3 2" xfId="27261"/>
    <cellStyle name="Note 2 2 2 2 2 5 4 4" xfId="18584"/>
    <cellStyle name="Note 2 2 2 2 2 5 5" xfId="5569"/>
    <cellStyle name="Note 2 2 2 2 2 5 5 2" xfId="12120"/>
    <cellStyle name="Note 2 2 2 2 2 5 5 2 2" xfId="26442"/>
    <cellStyle name="Note 2 2 2 2 2 5 5 3" xfId="17765"/>
    <cellStyle name="Note 2 2 2 2 2 5 6" xfId="6734"/>
    <cellStyle name="Note 2 2 2 2 2 5 6 2" xfId="23686"/>
    <cellStyle name="Note 2 2 2 2 2 5 7" xfId="5999"/>
    <cellStyle name="Note 2 2 2 2 2 6" xfId="1684"/>
    <cellStyle name="Note 2 2 2 2 2 6 2" xfId="1685"/>
    <cellStyle name="Note 2 2 2 2 2 6 2 2" xfId="5172"/>
    <cellStyle name="Note 2 2 2 2 2 6 2 2 2" xfId="11721"/>
    <cellStyle name="Note 2 2 2 2 2 6 2 2 2 2" xfId="26043"/>
    <cellStyle name="Note 2 2 2 2 2 6 2 2 3" xfId="6803"/>
    <cellStyle name="Note 2 2 2 2 2 6 2 3" xfId="5303"/>
    <cellStyle name="Note 2 2 2 2 2 6 2 3 2" xfId="9612"/>
    <cellStyle name="Note 2 2 2 2 2 6 2 3 2 2" xfId="15874"/>
    <cellStyle name="Note 2 2 2 2 2 6 2 3 2 2 2" xfId="29290"/>
    <cellStyle name="Note 2 2 2 2 2 6 2 3 2 3" xfId="20619"/>
    <cellStyle name="Note 2 2 2 2 2 6 2 3 3" xfId="11853"/>
    <cellStyle name="Note 2 2 2 2 2 6 2 3 3 2" xfId="26175"/>
    <cellStyle name="Note 2 2 2 2 2 6 2 3 4" xfId="17498"/>
    <cellStyle name="Note 2 2 2 2 2 6 2 4" xfId="3928"/>
    <cellStyle name="Note 2 2 2 2 2 6 2 4 2" xfId="22650"/>
    <cellStyle name="Note 2 2 2 2 2 6 2 5" xfId="17112"/>
    <cellStyle name="Note 2 2 2 2 2 6 3" xfId="1686"/>
    <cellStyle name="Note 2 2 2 2 2 6 3 2" xfId="7415"/>
    <cellStyle name="Note 2 2 2 2 2 6 3 2 2" xfId="10029"/>
    <cellStyle name="Note 2 2 2 2 2 6 3 2 2 2" xfId="16291"/>
    <cellStyle name="Note 2 2 2 2 2 6 3 2 2 2 2" xfId="29707"/>
    <cellStyle name="Note 2 2 2 2 2 6 3 2 2 3" xfId="21036"/>
    <cellStyle name="Note 2 2 2 2 2 6 3 2 3" xfId="14019"/>
    <cellStyle name="Note 2 2 2 2 2 6 3 2 3 2" xfId="28341"/>
    <cellStyle name="Note 2 2 2 2 2 6 3 2 4" xfId="19664"/>
    <cellStyle name="Note 2 2 2 2 2 6 3 3" xfId="13217"/>
    <cellStyle name="Note 2 2 2 2 2 6 3 3 2" xfId="27539"/>
    <cellStyle name="Note 2 2 2 2 2 6 3 4" xfId="18862"/>
    <cellStyle name="Note 2 2 2 2 2 6 4" xfId="5658"/>
    <cellStyle name="Note 2 2 2 2 2 6 4 2" xfId="12211"/>
    <cellStyle name="Note 2 2 2 2 2 6 4 2 2" xfId="26533"/>
    <cellStyle name="Note 2 2 2 2 2 6 4 3" xfId="17856"/>
    <cellStyle name="Note 2 2 2 2 2 6 5" xfId="3761"/>
    <cellStyle name="Note 2 2 2 2 2 6 5 2" xfId="22567"/>
    <cellStyle name="Note 2 2 2 2 2 6 6" xfId="17098"/>
    <cellStyle name="Note 2 2 2 2 2 7" xfId="1687"/>
    <cellStyle name="Note 2 2 2 2 2 7 2" xfId="6545"/>
    <cellStyle name="Note 2 2 2 2 2 7 2 2" xfId="13133"/>
    <cellStyle name="Note 2 2 2 2 2 7 2 2 2" xfId="27455"/>
    <cellStyle name="Note 2 2 2 2 2 7 2 3" xfId="18778"/>
    <cellStyle name="Note 2 2 2 2 2 7 3" xfId="7595"/>
    <cellStyle name="Note 2 2 2 2 2 7 3 2" xfId="10209"/>
    <cellStyle name="Note 2 2 2 2 2 7 3 2 2" xfId="16471"/>
    <cellStyle name="Note 2 2 2 2 2 7 3 2 2 2" xfId="29887"/>
    <cellStyle name="Note 2 2 2 2 2 7 3 2 3" xfId="21216"/>
    <cellStyle name="Note 2 2 2 2 2 7 3 3" xfId="14199"/>
    <cellStyle name="Note 2 2 2 2 2 7 3 3 2" xfId="28521"/>
    <cellStyle name="Note 2 2 2 2 2 7 3 4" xfId="19844"/>
    <cellStyle name="Note 2 2 2 2 2 7 4" xfId="5199"/>
    <cellStyle name="Note 2 2 2 2 2 7 4 2" xfId="23335"/>
    <cellStyle name="Note 2 2 2 2 2 7 5" xfId="15507"/>
    <cellStyle name="Note 2 2 2 2 2 8" xfId="1688"/>
    <cellStyle name="Note 2 2 2 2 2 8 2" xfId="7173"/>
    <cellStyle name="Note 2 2 2 2 2 8 2 2" xfId="9787"/>
    <cellStyle name="Note 2 2 2 2 2 8 2 2 2" xfId="16049"/>
    <cellStyle name="Note 2 2 2 2 2 8 2 2 2 2" xfId="29465"/>
    <cellStyle name="Note 2 2 2 2 2 8 2 2 3" xfId="20794"/>
    <cellStyle name="Note 2 2 2 2 2 8 2 3" xfId="13777"/>
    <cellStyle name="Note 2 2 2 2 2 8 2 3 2" xfId="28099"/>
    <cellStyle name="Note 2 2 2 2 2 8 2 4" xfId="19422"/>
    <cellStyle name="Note 2 2 2 2 2 8 3" xfId="12759"/>
    <cellStyle name="Note 2 2 2 2 2 8 3 2" xfId="27081"/>
    <cellStyle name="Note 2 2 2 2 2 8 4" xfId="18404"/>
    <cellStyle name="Note 2 2 2 2 2 9" xfId="5470"/>
    <cellStyle name="Note 2 2 2 2 2 9 2" xfId="12021"/>
    <cellStyle name="Note 2 2 2 2 2 9 2 2" xfId="26343"/>
    <cellStyle name="Note 2 2 2 2 2 9 3" xfId="17666"/>
    <cellStyle name="Note 2 2 2 2 3" xfId="1689"/>
    <cellStyle name="Note 2 2 2 2 3 2" xfId="1690"/>
    <cellStyle name="Note 2 2 2 2 3 2 2" xfId="1691"/>
    <cellStyle name="Note 2 2 2 2 3 2 2 2" xfId="6399"/>
    <cellStyle name="Note 2 2 2 2 3 2 2 2 2" xfId="12982"/>
    <cellStyle name="Note 2 2 2 2 3 2 2 2 2 2" xfId="27304"/>
    <cellStyle name="Note 2 2 2 2 3 2 2 2 3" xfId="18627"/>
    <cellStyle name="Note 2 2 2 2 3 2 2 3" xfId="7285"/>
    <cellStyle name="Note 2 2 2 2 3 2 2 3 2" xfId="9899"/>
    <cellStyle name="Note 2 2 2 2 3 2 2 3 2 2" xfId="16161"/>
    <cellStyle name="Note 2 2 2 2 3 2 2 3 2 2 2" xfId="29577"/>
    <cellStyle name="Note 2 2 2 2 3 2 2 3 2 3" xfId="20906"/>
    <cellStyle name="Note 2 2 2 2 3 2 2 3 3" xfId="13889"/>
    <cellStyle name="Note 2 2 2 2 3 2 2 3 3 2" xfId="28211"/>
    <cellStyle name="Note 2 2 2 2 3 2 2 3 4" xfId="19534"/>
    <cellStyle name="Note 2 2 2 2 3 2 2 4" xfId="2796"/>
    <cellStyle name="Note 2 2 2 2 3 2 2 4 2" xfId="22363"/>
    <cellStyle name="Note 2 2 2 2 3 2 2 5" xfId="17013"/>
    <cellStyle name="Note 2 2 2 2 3 2 3" xfId="1692"/>
    <cellStyle name="Note 2 2 2 2 3 2 3 2" xfId="7139"/>
    <cellStyle name="Note 2 2 2 2 3 2 3 2 2" xfId="9753"/>
    <cellStyle name="Note 2 2 2 2 3 2 3 2 2 2" xfId="16015"/>
    <cellStyle name="Note 2 2 2 2 3 2 3 2 2 2 2" xfId="29431"/>
    <cellStyle name="Note 2 2 2 2 3 2 3 2 2 3" xfId="20760"/>
    <cellStyle name="Note 2 2 2 2 3 2 3 2 3" xfId="13743"/>
    <cellStyle name="Note 2 2 2 2 3 2 3 2 3 2" xfId="28065"/>
    <cellStyle name="Note 2 2 2 2 3 2 3 2 4" xfId="19388"/>
    <cellStyle name="Note 2 2 2 2 3 2 3 3" xfId="13305"/>
    <cellStyle name="Note 2 2 2 2 3 2 3 3 2" xfId="27627"/>
    <cellStyle name="Note 2 2 2 2 3 2 3 4" xfId="18950"/>
    <cellStyle name="Note 2 2 2 2 3 2 4" xfId="5755"/>
    <cellStyle name="Note 2 2 2 2 3 2 4 2" xfId="12308"/>
    <cellStyle name="Note 2 2 2 2 3 2 4 2 2" xfId="26630"/>
    <cellStyle name="Note 2 2 2 2 3 2 4 3" xfId="17953"/>
    <cellStyle name="Note 2 2 2 2 3 2 5" xfId="3263"/>
    <cellStyle name="Note 2 2 2 2 3 2 5 2" xfId="22449"/>
    <cellStyle name="Note 2 2 2 2 3 2 6" xfId="14840"/>
    <cellStyle name="Note 2 2 2 2 3 3" xfId="1693"/>
    <cellStyle name="Note 2 2 2 2 3 3 2" xfId="1694"/>
    <cellStyle name="Note 2 2 2 2 3 3 2 2" xfId="7029"/>
    <cellStyle name="Note 2 2 2 2 3 3 2 2 2" xfId="13633"/>
    <cellStyle name="Note 2 2 2 2 3 3 2 2 2 2" xfId="27955"/>
    <cellStyle name="Note 2 2 2 2 3 3 2 2 3" xfId="19278"/>
    <cellStyle name="Note 2 2 2 2 3 3 2 3" xfId="7327"/>
    <cellStyle name="Note 2 2 2 2 3 3 2 3 2" xfId="9941"/>
    <cellStyle name="Note 2 2 2 2 3 3 2 3 2 2" xfId="16203"/>
    <cellStyle name="Note 2 2 2 2 3 3 2 3 2 2 2" xfId="29619"/>
    <cellStyle name="Note 2 2 2 2 3 3 2 3 2 3" xfId="20948"/>
    <cellStyle name="Note 2 2 2 2 3 3 2 3 3" xfId="13931"/>
    <cellStyle name="Note 2 2 2 2 3 3 2 3 3 2" xfId="28253"/>
    <cellStyle name="Note 2 2 2 2 3 3 2 3 4" xfId="19576"/>
    <cellStyle name="Note 2 2 2 2 3 3 2 4" xfId="11568"/>
    <cellStyle name="Note 2 2 2 2 3 3 2 4 2" xfId="25890"/>
    <cellStyle name="Note 2 2 2 2 3 3 2 5" xfId="4779"/>
    <cellStyle name="Note 2 2 2 2 3 3 3" xfId="1695"/>
    <cellStyle name="Note 2 2 2 2 3 3 3 2" xfId="3148"/>
    <cellStyle name="Note 2 2 2 2 3 3 3 2 2" xfId="8982"/>
    <cellStyle name="Note 2 2 2 2 3 3 3 2 2 2" xfId="15337"/>
    <cellStyle name="Note 2 2 2 2 3 3 3 2 2 2 2" xfId="29000"/>
    <cellStyle name="Note 2 2 2 2 3 3 3 2 2 3" xfId="20327"/>
    <cellStyle name="Note 2 2 2 2 3 3 3 2 3" xfId="4119"/>
    <cellStyle name="Note 2 2 2 2 3 3 3 2 3 2" xfId="22764"/>
    <cellStyle name="Note 2 2 2 2 3 3 3 2 4" xfId="15166"/>
    <cellStyle name="Note 2 2 2 2 3 3 3 3" xfId="12248"/>
    <cellStyle name="Note 2 2 2 2 3 3 3 3 2" xfId="26570"/>
    <cellStyle name="Note 2 2 2 2 3 3 3 4" xfId="17893"/>
    <cellStyle name="Note 2 2 2 2 3 3 4" xfId="5188"/>
    <cellStyle name="Note 2 2 2 2 3 3 4 2" xfId="11737"/>
    <cellStyle name="Note 2 2 2 2 3 3 4 2 2" xfId="26059"/>
    <cellStyle name="Note 2 2 2 2 3 3 4 3" xfId="15129"/>
    <cellStyle name="Note 2 2 2 2 3 3 5" xfId="6357"/>
    <cellStyle name="Note 2 2 2 2 3 3 5 2" xfId="23541"/>
    <cellStyle name="Note 2 2 2 2 3 3 6" xfId="15124"/>
    <cellStyle name="Note 2 2 2 2 3 4" xfId="1696"/>
    <cellStyle name="Note 2 2 2 2 3 4 2" xfId="6230"/>
    <cellStyle name="Note 2 2 2 2 3 4 2 2" xfId="12805"/>
    <cellStyle name="Note 2 2 2 2 3 4 2 2 2" xfId="27127"/>
    <cellStyle name="Note 2 2 2 2 3 4 2 3" xfId="18450"/>
    <cellStyle name="Note 2 2 2 2 3 4 3" xfId="7072"/>
    <cellStyle name="Note 2 2 2 2 3 4 3 2" xfId="9686"/>
    <cellStyle name="Note 2 2 2 2 3 4 3 2 2" xfId="15948"/>
    <cellStyle name="Note 2 2 2 2 3 4 3 2 2 2" xfId="29364"/>
    <cellStyle name="Note 2 2 2 2 3 4 3 2 3" xfId="20693"/>
    <cellStyle name="Note 2 2 2 2 3 4 3 3" xfId="13676"/>
    <cellStyle name="Note 2 2 2 2 3 4 3 3 2" xfId="27998"/>
    <cellStyle name="Note 2 2 2 2 3 4 3 4" xfId="19321"/>
    <cellStyle name="Note 2 2 2 2 3 4 4" xfId="6779"/>
    <cellStyle name="Note 2 2 2 2 3 4 4 2" xfId="23724"/>
    <cellStyle name="Note 2 2 2 2 3 4 5" xfId="3895"/>
    <cellStyle name="Note 2 2 2 2 3 5" xfId="1697"/>
    <cellStyle name="Note 2 2 2 2 3 5 2" xfId="5307"/>
    <cellStyle name="Note 2 2 2 2 3 5 2 2" xfId="9616"/>
    <cellStyle name="Note 2 2 2 2 3 5 2 2 2" xfId="15878"/>
    <cellStyle name="Note 2 2 2 2 3 5 2 2 2 2" xfId="29294"/>
    <cellStyle name="Note 2 2 2 2 3 5 2 2 3" xfId="20623"/>
    <cellStyle name="Note 2 2 2 2 3 5 2 3" xfId="11857"/>
    <cellStyle name="Note 2 2 2 2 3 5 2 3 2" xfId="26179"/>
    <cellStyle name="Note 2 2 2 2 3 5 2 4" xfId="17502"/>
    <cellStyle name="Note 2 2 2 2 3 5 3" xfId="12881"/>
    <cellStyle name="Note 2 2 2 2 3 5 3 2" xfId="27203"/>
    <cellStyle name="Note 2 2 2 2 3 5 4" xfId="18526"/>
    <cellStyle name="Note 2 2 2 2 3 6" xfId="5499"/>
    <cellStyle name="Note 2 2 2 2 3 6 2" xfId="12050"/>
    <cellStyle name="Note 2 2 2 2 3 6 2 2" xfId="26372"/>
    <cellStyle name="Note 2 2 2 2 3 6 3" xfId="17695"/>
    <cellStyle name="Note 2 2 2 2 3 7" xfId="3795"/>
    <cellStyle name="Note 2 2 2 2 3 7 2" xfId="22583"/>
    <cellStyle name="Note 2 2 2 2 3 8" xfId="6800"/>
    <cellStyle name="Note 2 2 2 2 4" xfId="1698"/>
    <cellStyle name="Note 2 2 2 2 4 2" xfId="1699"/>
    <cellStyle name="Note 2 2 2 2 4 2 2" xfId="1700"/>
    <cellStyle name="Note 2 2 2 2 4 2 2 2" xfId="5619"/>
    <cellStyle name="Note 2 2 2 2 4 2 2 2 2" xfId="12172"/>
    <cellStyle name="Note 2 2 2 2 4 2 2 2 2 2" xfId="26494"/>
    <cellStyle name="Note 2 2 2 2 4 2 2 2 3" xfId="17817"/>
    <cellStyle name="Note 2 2 2 2 4 2 2 3" xfId="7740"/>
    <cellStyle name="Note 2 2 2 2 4 2 2 3 2" xfId="10354"/>
    <cellStyle name="Note 2 2 2 2 4 2 2 3 2 2" xfId="16616"/>
    <cellStyle name="Note 2 2 2 2 4 2 2 3 2 2 2" xfId="30032"/>
    <cellStyle name="Note 2 2 2 2 4 2 2 3 2 3" xfId="21361"/>
    <cellStyle name="Note 2 2 2 2 4 2 2 3 3" xfId="14344"/>
    <cellStyle name="Note 2 2 2 2 4 2 2 3 3 2" xfId="28666"/>
    <cellStyle name="Note 2 2 2 2 4 2 2 3 4" xfId="19989"/>
    <cellStyle name="Note 2 2 2 2 4 2 2 4" xfId="6674"/>
    <cellStyle name="Note 2 2 2 2 4 2 2 4 2" xfId="23646"/>
    <cellStyle name="Note 2 2 2 2 4 2 2 5" xfId="14916"/>
    <cellStyle name="Note 2 2 2 2 4 2 3" xfId="1701"/>
    <cellStyle name="Note 2 2 2 2 4 2 3 2" xfId="3937"/>
    <cellStyle name="Note 2 2 2 2 4 2 3 2 2" xfId="9400"/>
    <cellStyle name="Note 2 2 2 2 4 2 3 2 2 2" xfId="15662"/>
    <cellStyle name="Note 2 2 2 2 4 2 3 2 2 2 2" xfId="29078"/>
    <cellStyle name="Note 2 2 2 2 4 2 3 2 2 3" xfId="20407"/>
    <cellStyle name="Note 2 2 2 2 4 2 3 2 3" xfId="5441"/>
    <cellStyle name="Note 2 2 2 2 4 2 3 2 3 2" xfId="23346"/>
    <cellStyle name="Note 2 2 2 2 4 2 3 2 4" xfId="17066"/>
    <cellStyle name="Note 2 2 2 2 4 2 3 3" xfId="13341"/>
    <cellStyle name="Note 2 2 2 2 4 2 3 3 2" xfId="27663"/>
    <cellStyle name="Note 2 2 2 2 4 2 3 4" xfId="18986"/>
    <cellStyle name="Note 2 2 2 2 4 2 4" xfId="5791"/>
    <cellStyle name="Note 2 2 2 2 4 2 4 2" xfId="12344"/>
    <cellStyle name="Note 2 2 2 2 4 2 4 2 2" xfId="26666"/>
    <cellStyle name="Note 2 2 2 2 4 2 4 3" xfId="17989"/>
    <cellStyle name="Note 2 2 2 2 4 2 5" xfId="4181"/>
    <cellStyle name="Note 2 2 2 2 4 2 5 2" xfId="22803"/>
    <cellStyle name="Note 2 2 2 2 4 2 6" xfId="17194"/>
    <cellStyle name="Note 2 2 2 2 4 3" xfId="1702"/>
    <cellStyle name="Note 2 2 2 2 4 3 2" xfId="1703"/>
    <cellStyle name="Note 2 2 2 2 4 3 2 2" xfId="6861"/>
    <cellStyle name="Note 2 2 2 2 4 3 2 2 2" xfId="13465"/>
    <cellStyle name="Note 2 2 2 2 4 3 2 2 2 2" xfId="27787"/>
    <cellStyle name="Note 2 2 2 2 4 3 2 2 3" xfId="19110"/>
    <cellStyle name="Note 2 2 2 2 4 3 2 3" xfId="7779"/>
    <cellStyle name="Note 2 2 2 2 4 3 2 3 2" xfId="10393"/>
    <cellStyle name="Note 2 2 2 2 4 3 2 3 2 2" xfId="16655"/>
    <cellStyle name="Note 2 2 2 2 4 3 2 3 2 2 2" xfId="30071"/>
    <cellStyle name="Note 2 2 2 2 4 3 2 3 2 3" xfId="21400"/>
    <cellStyle name="Note 2 2 2 2 4 3 2 3 3" xfId="14383"/>
    <cellStyle name="Note 2 2 2 2 4 3 2 3 3 2" xfId="28705"/>
    <cellStyle name="Note 2 2 2 2 4 3 2 3 4" xfId="20028"/>
    <cellStyle name="Note 2 2 2 2 4 3 2 4" xfId="11320"/>
    <cellStyle name="Note 2 2 2 2 4 3 2 4 2" xfId="25642"/>
    <cellStyle name="Note 2 2 2 2 4 3 2 5" xfId="15491"/>
    <cellStyle name="Note 2 2 2 2 4 3 3" xfId="1704"/>
    <cellStyle name="Note 2 2 2 2 4 3 3 2" xfId="7669"/>
    <cellStyle name="Note 2 2 2 2 4 3 3 2 2" xfId="10283"/>
    <cellStyle name="Note 2 2 2 2 4 3 3 2 2 2" xfId="16545"/>
    <cellStyle name="Note 2 2 2 2 4 3 3 2 2 2 2" xfId="29961"/>
    <cellStyle name="Note 2 2 2 2 4 3 3 2 2 3" xfId="21290"/>
    <cellStyle name="Note 2 2 2 2 4 3 3 2 3" xfId="14273"/>
    <cellStyle name="Note 2 2 2 2 4 3 3 2 3 2" xfId="28595"/>
    <cellStyle name="Note 2 2 2 2 4 3 3 2 4" xfId="19918"/>
    <cellStyle name="Note 2 2 2 2 4 3 3 3" xfId="12769"/>
    <cellStyle name="Note 2 2 2 2 4 3 3 3 2" xfId="27091"/>
    <cellStyle name="Note 2 2 2 2 4 3 3 4" xfId="18414"/>
    <cellStyle name="Note 2 2 2 2 4 3 4" xfId="5044"/>
    <cellStyle name="Note 2 2 2 2 4 3 4 2" xfId="11591"/>
    <cellStyle name="Note 2 2 2 2 4 3 4 2 2" xfId="25913"/>
    <cellStyle name="Note 2 2 2 2 4 3 4 3" xfId="15494"/>
    <cellStyle name="Note 2 2 2 2 4 3 5" xfId="5016"/>
    <cellStyle name="Note 2 2 2 2 4 3 5 2" xfId="23308"/>
    <cellStyle name="Note 2 2 2 2 4 3 6" xfId="6138"/>
    <cellStyle name="Note 2 2 2 2 4 4" xfId="1705"/>
    <cellStyle name="Note 2 2 2 2 4 4 2" xfId="5586"/>
    <cellStyle name="Note 2 2 2 2 4 4 2 2" xfId="12138"/>
    <cellStyle name="Note 2 2 2 2 4 4 2 2 2" xfId="26460"/>
    <cellStyle name="Note 2 2 2 2 4 4 2 3" xfId="17783"/>
    <cellStyle name="Note 2 2 2 2 4 4 3" xfId="7531"/>
    <cellStyle name="Note 2 2 2 2 4 4 3 2" xfId="10145"/>
    <cellStyle name="Note 2 2 2 2 4 4 3 2 2" xfId="16407"/>
    <cellStyle name="Note 2 2 2 2 4 4 3 2 2 2" xfId="29823"/>
    <cellStyle name="Note 2 2 2 2 4 4 3 2 3" xfId="21152"/>
    <cellStyle name="Note 2 2 2 2 4 4 3 3" xfId="14135"/>
    <cellStyle name="Note 2 2 2 2 4 4 3 3 2" xfId="28457"/>
    <cellStyle name="Note 2 2 2 2 4 4 3 4" xfId="19780"/>
    <cellStyle name="Note 2 2 2 2 4 4 4" xfId="4258"/>
    <cellStyle name="Note 2 2 2 2 4 4 4 2" xfId="22855"/>
    <cellStyle name="Note 2 2 2 2 4 4 5" xfId="4448"/>
    <cellStyle name="Note 2 2 2 2 4 5" xfId="1706"/>
    <cellStyle name="Note 2 2 2 2 4 5 2" xfId="7342"/>
    <cellStyle name="Note 2 2 2 2 4 5 2 2" xfId="9956"/>
    <cellStyle name="Note 2 2 2 2 4 5 2 2 2" xfId="16218"/>
    <cellStyle name="Note 2 2 2 2 4 5 2 2 2 2" xfId="29634"/>
    <cellStyle name="Note 2 2 2 2 4 5 2 2 3" xfId="20963"/>
    <cellStyle name="Note 2 2 2 2 4 5 2 3" xfId="13946"/>
    <cellStyle name="Note 2 2 2 2 4 5 2 3 2" xfId="28268"/>
    <cellStyle name="Note 2 2 2 2 4 5 2 4" xfId="19591"/>
    <cellStyle name="Note 2 2 2 2 4 5 3" xfId="12917"/>
    <cellStyle name="Note 2 2 2 2 4 5 3 2" xfId="27239"/>
    <cellStyle name="Note 2 2 2 2 4 5 4" xfId="18562"/>
    <cellStyle name="Note 2 2 2 2 4 6" xfId="5541"/>
    <cellStyle name="Note 2 2 2 2 4 6 2" xfId="12092"/>
    <cellStyle name="Note 2 2 2 2 4 6 2 2" xfId="26414"/>
    <cellStyle name="Note 2 2 2 2 4 6 3" xfId="17737"/>
    <cellStyle name="Note 2 2 2 2 4 7" xfId="4338"/>
    <cellStyle name="Note 2 2 2 2 4 7 2" xfId="22895"/>
    <cellStyle name="Note 2 2 2 2 4 8" xfId="15254"/>
    <cellStyle name="Note 2 2 2 2 5" xfId="1707"/>
    <cellStyle name="Note 2 2 2 2 5 2" xfId="1708"/>
    <cellStyle name="Note 2 2 2 2 5 2 2" xfId="1709"/>
    <cellStyle name="Note 2 2 2 2 5 2 2 2" xfId="5218"/>
    <cellStyle name="Note 2 2 2 2 5 2 2 2 2" xfId="11767"/>
    <cellStyle name="Note 2 2 2 2 5 2 2 2 2 2" xfId="26089"/>
    <cellStyle name="Note 2 2 2 2 5 2 2 2 3" xfId="17412"/>
    <cellStyle name="Note 2 2 2 2 5 2 2 3" xfId="5275"/>
    <cellStyle name="Note 2 2 2 2 5 2 2 3 2" xfId="9584"/>
    <cellStyle name="Note 2 2 2 2 5 2 2 3 2 2" xfId="15846"/>
    <cellStyle name="Note 2 2 2 2 5 2 2 3 2 2 2" xfId="29262"/>
    <cellStyle name="Note 2 2 2 2 5 2 2 3 2 3" xfId="20591"/>
    <cellStyle name="Note 2 2 2 2 5 2 2 3 3" xfId="11825"/>
    <cellStyle name="Note 2 2 2 2 5 2 2 3 3 2" xfId="26147"/>
    <cellStyle name="Note 2 2 2 2 5 2 2 3 4" xfId="17470"/>
    <cellStyle name="Note 2 2 2 2 5 2 2 4" xfId="4831"/>
    <cellStyle name="Note 2 2 2 2 5 2 2 4 2" xfId="23209"/>
    <cellStyle name="Note 2 2 2 2 5 2 2 5" xfId="4626"/>
    <cellStyle name="Note 2 2 2 2 5 2 3" xfId="1710"/>
    <cellStyle name="Note 2 2 2 2 5 2 3 2" xfId="7472"/>
    <cellStyle name="Note 2 2 2 2 5 2 3 2 2" xfId="10086"/>
    <cellStyle name="Note 2 2 2 2 5 2 3 2 2 2" xfId="16348"/>
    <cellStyle name="Note 2 2 2 2 5 2 3 2 2 2 2" xfId="29764"/>
    <cellStyle name="Note 2 2 2 2 5 2 3 2 2 3" xfId="21093"/>
    <cellStyle name="Note 2 2 2 2 5 2 3 2 3" xfId="14076"/>
    <cellStyle name="Note 2 2 2 2 5 2 3 2 3 2" xfId="28398"/>
    <cellStyle name="Note 2 2 2 2 5 2 3 2 4" xfId="19721"/>
    <cellStyle name="Note 2 2 2 2 5 2 3 3" xfId="13251"/>
    <cellStyle name="Note 2 2 2 2 5 2 3 3 2" xfId="27573"/>
    <cellStyle name="Note 2 2 2 2 5 2 3 4" xfId="18896"/>
    <cellStyle name="Note 2 2 2 2 5 2 4" xfId="5693"/>
    <cellStyle name="Note 2 2 2 2 5 2 4 2" xfId="12246"/>
    <cellStyle name="Note 2 2 2 2 5 2 4 2 2" xfId="26568"/>
    <cellStyle name="Note 2 2 2 2 5 2 4 3" xfId="17891"/>
    <cellStyle name="Note 2 2 2 2 5 2 5" xfId="4228"/>
    <cellStyle name="Note 2 2 2 2 5 2 5 2" xfId="22839"/>
    <cellStyle name="Note 2 2 2 2 5 2 6" xfId="3713"/>
    <cellStyle name="Note 2 2 2 2 5 3" xfId="1711"/>
    <cellStyle name="Note 2 2 2 2 5 3 2" xfId="1712"/>
    <cellStyle name="Note 2 2 2 2 5 3 2 2" xfId="6560"/>
    <cellStyle name="Note 2 2 2 2 5 3 2 2 2" xfId="13148"/>
    <cellStyle name="Note 2 2 2 2 5 3 2 2 2 2" xfId="27470"/>
    <cellStyle name="Note 2 2 2 2 5 3 2 2 3" xfId="18793"/>
    <cellStyle name="Note 2 2 2 2 5 3 2 3" xfId="7859"/>
    <cellStyle name="Note 2 2 2 2 5 3 2 3 2" xfId="10473"/>
    <cellStyle name="Note 2 2 2 2 5 3 2 3 2 2" xfId="16735"/>
    <cellStyle name="Note 2 2 2 2 5 3 2 3 2 2 2" xfId="30151"/>
    <cellStyle name="Note 2 2 2 2 5 3 2 3 2 3" xfId="21480"/>
    <cellStyle name="Note 2 2 2 2 5 3 2 3 3" xfId="14463"/>
    <cellStyle name="Note 2 2 2 2 5 3 2 3 3 2" xfId="28785"/>
    <cellStyle name="Note 2 2 2 2 5 3 2 3 4" xfId="20108"/>
    <cellStyle name="Note 2 2 2 2 5 3 2 4" xfId="4534"/>
    <cellStyle name="Note 2 2 2 2 5 3 2 4 2" xfId="23014"/>
    <cellStyle name="Note 2 2 2 2 5 3 2 5" xfId="17384"/>
    <cellStyle name="Note 2 2 2 2 5 3 3" xfId="1713"/>
    <cellStyle name="Note 2 2 2 2 5 3 3 2" xfId="7855"/>
    <cellStyle name="Note 2 2 2 2 5 3 3 2 2" xfId="10469"/>
    <cellStyle name="Note 2 2 2 2 5 3 3 2 2 2" xfId="16731"/>
    <cellStyle name="Note 2 2 2 2 5 3 3 2 2 2 2" xfId="30147"/>
    <cellStyle name="Note 2 2 2 2 5 3 3 2 2 3" xfId="21476"/>
    <cellStyle name="Note 2 2 2 2 5 3 3 2 3" xfId="14459"/>
    <cellStyle name="Note 2 2 2 2 5 3 3 2 3 2" xfId="28781"/>
    <cellStyle name="Note 2 2 2 2 5 3 3 2 4" xfId="20104"/>
    <cellStyle name="Note 2 2 2 2 5 3 3 3" xfId="13366"/>
    <cellStyle name="Note 2 2 2 2 5 3 3 3 2" xfId="27688"/>
    <cellStyle name="Note 2 2 2 2 5 3 3 4" xfId="19011"/>
    <cellStyle name="Note 2 2 2 2 5 3 4" xfId="5817"/>
    <cellStyle name="Note 2 2 2 2 5 3 4 2" xfId="12370"/>
    <cellStyle name="Note 2 2 2 2 5 3 4 2 2" xfId="26692"/>
    <cellStyle name="Note 2 2 2 2 5 3 4 3" xfId="18015"/>
    <cellStyle name="Note 2 2 2 2 5 3 5" xfId="3943"/>
    <cellStyle name="Note 2 2 2 2 5 3 5 2" xfId="22659"/>
    <cellStyle name="Note 2 2 2 2 5 3 6" xfId="4441"/>
    <cellStyle name="Note 2 2 2 2 5 4" xfId="1714"/>
    <cellStyle name="Note 2 2 2 2 5 4 2" xfId="6405"/>
    <cellStyle name="Note 2 2 2 2 5 4 2 2" xfId="12988"/>
    <cellStyle name="Note 2 2 2 2 5 4 2 2 2" xfId="27310"/>
    <cellStyle name="Note 2 2 2 2 5 4 2 3" xfId="18633"/>
    <cellStyle name="Note 2 2 2 2 5 4 3" xfId="7321"/>
    <cellStyle name="Note 2 2 2 2 5 4 3 2" xfId="9935"/>
    <cellStyle name="Note 2 2 2 2 5 4 3 2 2" xfId="16197"/>
    <cellStyle name="Note 2 2 2 2 5 4 3 2 2 2" xfId="29613"/>
    <cellStyle name="Note 2 2 2 2 5 4 3 2 3" xfId="20942"/>
    <cellStyle name="Note 2 2 2 2 5 4 3 3" xfId="13925"/>
    <cellStyle name="Note 2 2 2 2 5 4 3 3 2" xfId="28247"/>
    <cellStyle name="Note 2 2 2 2 5 4 3 4" xfId="19570"/>
    <cellStyle name="Note 2 2 2 2 5 4 4" xfId="4291"/>
    <cellStyle name="Note 2 2 2 2 5 4 4 2" xfId="22875"/>
    <cellStyle name="Note 2 2 2 2 5 4 5" xfId="15273"/>
    <cellStyle name="Note 2 2 2 2 5 5" xfId="1715"/>
    <cellStyle name="Note 2 2 2 2 5 5 2" xfId="4782"/>
    <cellStyle name="Note 2 2 2 2 5 5 2 2" xfId="9484"/>
    <cellStyle name="Note 2 2 2 2 5 5 2 2 2" xfId="15746"/>
    <cellStyle name="Note 2 2 2 2 5 5 2 2 2 2" xfId="29162"/>
    <cellStyle name="Note 2 2 2 2 5 5 2 2 3" xfId="20491"/>
    <cellStyle name="Note 2 2 2 2 5 5 2 3" xfId="2761"/>
    <cellStyle name="Note 2 2 2 2 5 5 2 3 2" xfId="22330"/>
    <cellStyle name="Note 2 2 2 2 5 5 2 4" xfId="14855"/>
    <cellStyle name="Note 2 2 2 2 5 5 3" xfId="12745"/>
    <cellStyle name="Note 2 2 2 2 5 5 3 2" xfId="27067"/>
    <cellStyle name="Note 2 2 2 2 5 5 4" xfId="18390"/>
    <cellStyle name="Note 2 2 2 2 5 6" xfId="4063"/>
    <cellStyle name="Note 2 2 2 2 5 6 2" xfId="4978"/>
    <cellStyle name="Note 2 2 2 2 5 6 2 2" xfId="23291"/>
    <cellStyle name="Note 2 2 2 2 5 6 3" xfId="15444"/>
    <cellStyle name="Note 2 2 2 2 5 7" xfId="4598"/>
    <cellStyle name="Note 2 2 2 2 5 7 2" xfId="23059"/>
    <cellStyle name="Note 2 2 2 2 5 8" xfId="16955"/>
    <cellStyle name="Note 2 2 2 2 6" xfId="1716"/>
    <cellStyle name="Note 2 2 2 2 6 2" xfId="1717"/>
    <cellStyle name="Note 2 2 2 2 6 2 2" xfId="1718"/>
    <cellStyle name="Note 2 2 2 2 6 2 2 2" xfId="5089"/>
    <cellStyle name="Note 2 2 2 2 6 2 2 2 2" xfId="11636"/>
    <cellStyle name="Note 2 2 2 2 6 2 2 2 2 2" xfId="25958"/>
    <cellStyle name="Note 2 2 2 2 6 2 2 2 3" xfId="15041"/>
    <cellStyle name="Note 2 2 2 2 6 2 2 3" xfId="7808"/>
    <cellStyle name="Note 2 2 2 2 6 2 2 3 2" xfId="10422"/>
    <cellStyle name="Note 2 2 2 2 6 2 2 3 2 2" xfId="16684"/>
    <cellStyle name="Note 2 2 2 2 6 2 2 3 2 2 2" xfId="30100"/>
    <cellStyle name="Note 2 2 2 2 6 2 2 3 2 3" xfId="21429"/>
    <cellStyle name="Note 2 2 2 2 6 2 2 3 3" xfId="14412"/>
    <cellStyle name="Note 2 2 2 2 6 2 2 3 3 2" xfId="28734"/>
    <cellStyle name="Note 2 2 2 2 6 2 2 3 4" xfId="20057"/>
    <cellStyle name="Note 2 2 2 2 6 2 2 4" xfId="5041"/>
    <cellStyle name="Note 2 2 2 2 6 2 2 4 2" xfId="23319"/>
    <cellStyle name="Note 2 2 2 2 6 2 2 5" xfId="15333"/>
    <cellStyle name="Note 2 2 2 2 6 2 3" xfId="1719"/>
    <cellStyle name="Note 2 2 2 2 6 2 3 2" xfId="8029"/>
    <cellStyle name="Note 2 2 2 2 6 2 3 2 2" xfId="10643"/>
    <cellStyle name="Note 2 2 2 2 6 2 3 2 2 2" xfId="16905"/>
    <cellStyle name="Note 2 2 2 2 6 2 3 2 2 2 2" xfId="30321"/>
    <cellStyle name="Note 2 2 2 2 6 2 3 2 2 3" xfId="21650"/>
    <cellStyle name="Note 2 2 2 2 6 2 3 2 3" xfId="14633"/>
    <cellStyle name="Note 2 2 2 2 6 2 3 2 3 2" xfId="28955"/>
    <cellStyle name="Note 2 2 2 2 6 2 3 2 4" xfId="20278"/>
    <cellStyle name="Note 2 2 2 2 6 2 3 3" xfId="13175"/>
    <cellStyle name="Note 2 2 2 2 6 2 3 3 2" xfId="27497"/>
    <cellStyle name="Note 2 2 2 2 6 2 3 4" xfId="18820"/>
    <cellStyle name="Note 2 2 2 2 6 2 4" xfId="5598"/>
    <cellStyle name="Note 2 2 2 2 6 2 4 2" xfId="12150"/>
    <cellStyle name="Note 2 2 2 2 6 2 4 2 2" xfId="26472"/>
    <cellStyle name="Note 2 2 2 2 6 2 4 3" xfId="17795"/>
    <cellStyle name="Note 2 2 2 2 6 2 5" xfId="4220"/>
    <cellStyle name="Note 2 2 2 2 6 2 5 2" xfId="22832"/>
    <cellStyle name="Note 2 2 2 2 6 2 6" xfId="15014"/>
    <cellStyle name="Note 2 2 2 2 6 3" xfId="1720"/>
    <cellStyle name="Note 2 2 2 2 6 3 2" xfId="6839"/>
    <cellStyle name="Note 2 2 2 2 6 3 2 2" xfId="13443"/>
    <cellStyle name="Note 2 2 2 2 6 3 2 2 2" xfId="27765"/>
    <cellStyle name="Note 2 2 2 2 6 3 2 3" xfId="19088"/>
    <cellStyle name="Note 2 2 2 2 6 3 3" xfId="7621"/>
    <cellStyle name="Note 2 2 2 2 6 3 3 2" xfId="10235"/>
    <cellStyle name="Note 2 2 2 2 6 3 3 2 2" xfId="16497"/>
    <cellStyle name="Note 2 2 2 2 6 3 3 2 2 2" xfId="29913"/>
    <cellStyle name="Note 2 2 2 2 6 3 3 2 3" xfId="21242"/>
    <cellStyle name="Note 2 2 2 2 6 3 3 3" xfId="14225"/>
    <cellStyle name="Note 2 2 2 2 6 3 3 3 2" xfId="28547"/>
    <cellStyle name="Note 2 2 2 2 6 3 3 4" xfId="19870"/>
    <cellStyle name="Note 2 2 2 2 6 3 4" xfId="2815"/>
    <cellStyle name="Note 2 2 2 2 6 3 4 2" xfId="22378"/>
    <cellStyle name="Note 2 2 2 2 6 3 5" xfId="17174"/>
    <cellStyle name="Note 2 2 2 2 6 4" xfId="1721"/>
    <cellStyle name="Note 2 2 2 2 6 4 2" xfId="7243"/>
    <cellStyle name="Note 2 2 2 2 6 4 2 2" xfId="9857"/>
    <cellStyle name="Note 2 2 2 2 6 4 2 2 2" xfId="16119"/>
    <cellStyle name="Note 2 2 2 2 6 4 2 2 2 2" xfId="29535"/>
    <cellStyle name="Note 2 2 2 2 6 4 2 2 3" xfId="20864"/>
    <cellStyle name="Note 2 2 2 2 6 4 2 3" xfId="13847"/>
    <cellStyle name="Note 2 2 2 2 6 4 2 3 2" xfId="28169"/>
    <cellStyle name="Note 2 2 2 2 6 4 2 4" xfId="19492"/>
    <cellStyle name="Note 2 2 2 2 6 4 3" xfId="12674"/>
    <cellStyle name="Note 2 2 2 2 6 4 3 2" xfId="26996"/>
    <cellStyle name="Note 2 2 2 2 6 4 4" xfId="18319"/>
    <cellStyle name="Note 2 2 2 2 6 5" xfId="4449"/>
    <cellStyle name="Note 2 2 2 2 6 5 2" xfId="2830"/>
    <cellStyle name="Note 2 2 2 2 6 5 2 2" xfId="22393"/>
    <cellStyle name="Note 2 2 2 2 6 5 3" xfId="4406"/>
    <cellStyle name="Note 2 2 2 2 6 6" xfId="6797"/>
    <cellStyle name="Note 2 2 2 2 6 6 2" xfId="23738"/>
    <cellStyle name="Note 2 2 2 2 6 7" xfId="3922"/>
    <cellStyle name="Note 2 2 2 2 7" xfId="1722"/>
    <cellStyle name="Note 2 2 2 2 7 2" xfId="1723"/>
    <cellStyle name="Note 2 2 2 2 7 2 2" xfId="6535"/>
    <cellStyle name="Note 2 2 2 2 7 2 2 2" xfId="13123"/>
    <cellStyle name="Note 2 2 2 2 7 2 2 2 2" xfId="27445"/>
    <cellStyle name="Note 2 2 2 2 7 2 2 3" xfId="18768"/>
    <cellStyle name="Note 2 2 2 2 7 2 3" xfId="4109"/>
    <cellStyle name="Note 2 2 2 2 7 2 3 2" xfId="9428"/>
    <cellStyle name="Note 2 2 2 2 7 2 3 2 2" xfId="15690"/>
    <cellStyle name="Note 2 2 2 2 7 2 3 2 2 2" xfId="29106"/>
    <cellStyle name="Note 2 2 2 2 7 2 3 2 3" xfId="20435"/>
    <cellStyle name="Note 2 2 2 2 7 2 3 3" xfId="4877"/>
    <cellStyle name="Note 2 2 2 2 7 2 3 3 2" xfId="23240"/>
    <cellStyle name="Note 2 2 2 2 7 2 3 4" xfId="15321"/>
    <cellStyle name="Note 2 2 2 2 7 2 4" xfId="4720"/>
    <cellStyle name="Note 2 2 2 2 7 2 4 2" xfId="23149"/>
    <cellStyle name="Note 2 2 2 2 7 2 5" xfId="15283"/>
    <cellStyle name="Note 2 2 2 2 7 3" xfId="1724"/>
    <cellStyle name="Note 2 2 2 2 7 3 2" xfId="7516"/>
    <cellStyle name="Note 2 2 2 2 7 3 2 2" xfId="10130"/>
    <cellStyle name="Note 2 2 2 2 7 3 2 2 2" xfId="16392"/>
    <cellStyle name="Note 2 2 2 2 7 3 2 2 2 2" xfId="29808"/>
    <cellStyle name="Note 2 2 2 2 7 3 2 2 3" xfId="21137"/>
    <cellStyle name="Note 2 2 2 2 7 3 2 3" xfId="14120"/>
    <cellStyle name="Note 2 2 2 2 7 3 2 3 2" xfId="28442"/>
    <cellStyle name="Note 2 2 2 2 7 3 2 4" xfId="19765"/>
    <cellStyle name="Note 2 2 2 2 7 3 3" xfId="13286"/>
    <cellStyle name="Note 2 2 2 2 7 3 3 2" xfId="27608"/>
    <cellStyle name="Note 2 2 2 2 7 3 4" xfId="18931"/>
    <cellStyle name="Note 2 2 2 2 7 4" xfId="5736"/>
    <cellStyle name="Note 2 2 2 2 7 4 2" xfId="12289"/>
    <cellStyle name="Note 2 2 2 2 7 4 2 2" xfId="26611"/>
    <cellStyle name="Note 2 2 2 2 7 4 3" xfId="17934"/>
    <cellStyle name="Note 2 2 2 2 7 5" xfId="6276"/>
    <cellStyle name="Note 2 2 2 2 7 5 2" xfId="23487"/>
    <cellStyle name="Note 2 2 2 2 7 6" xfId="14720"/>
    <cellStyle name="Note 2 2 2 2 8" xfId="1725"/>
    <cellStyle name="Note 2 2 2 2 8 2" xfId="6516"/>
    <cellStyle name="Note 2 2 2 2 8 2 2" xfId="13104"/>
    <cellStyle name="Note 2 2 2 2 8 2 2 2" xfId="27426"/>
    <cellStyle name="Note 2 2 2 2 8 2 3" xfId="18749"/>
    <cellStyle name="Note 2 2 2 2 8 3" xfId="7564"/>
    <cellStyle name="Note 2 2 2 2 8 3 2" xfId="10178"/>
    <cellStyle name="Note 2 2 2 2 8 3 2 2" xfId="16440"/>
    <cellStyle name="Note 2 2 2 2 8 3 2 2 2" xfId="29856"/>
    <cellStyle name="Note 2 2 2 2 8 3 2 3" xfId="21185"/>
    <cellStyle name="Note 2 2 2 2 8 3 3" xfId="14168"/>
    <cellStyle name="Note 2 2 2 2 8 3 3 2" xfId="28490"/>
    <cellStyle name="Note 2 2 2 2 8 3 4" xfId="19813"/>
    <cellStyle name="Note 2 2 2 2 8 4" xfId="4188"/>
    <cellStyle name="Note 2 2 2 2 8 4 2" xfId="22810"/>
    <cellStyle name="Note 2 2 2 2 8 5" xfId="15447"/>
    <cellStyle name="Note 2 2 2 2 9" xfId="1726"/>
    <cellStyle name="Note 2 2 2 2 9 2" xfId="4980"/>
    <cellStyle name="Note 2 2 2 2 9 2 2" xfId="9530"/>
    <cellStyle name="Note 2 2 2 2 9 2 2 2" xfId="15792"/>
    <cellStyle name="Note 2 2 2 2 9 2 2 2 2" xfId="29208"/>
    <cellStyle name="Note 2 2 2 2 9 2 2 3" xfId="20537"/>
    <cellStyle name="Note 2 2 2 2 9 2 3" xfId="11523"/>
    <cellStyle name="Note 2 2 2 2 9 2 3 2" xfId="25845"/>
    <cellStyle name="Note 2 2 2 2 9 2 4" xfId="6252"/>
    <cellStyle name="Note 2 2 2 2 9 3" xfId="12722"/>
    <cellStyle name="Note 2 2 2 2 9 3 2" xfId="27044"/>
    <cellStyle name="Note 2 2 2 2 9 4" xfId="18367"/>
    <cellStyle name="Note 2 2 2 3" xfId="1727"/>
    <cellStyle name="Note 2 2 2 3 10" xfId="4699"/>
    <cellStyle name="Note 2 2 2 3 10 2" xfId="23134"/>
    <cellStyle name="Note 2 2 2 3 11" xfId="17259"/>
    <cellStyle name="Note 2 2 2 3 2" xfId="1728"/>
    <cellStyle name="Note 2 2 2 3 2 2" xfId="1729"/>
    <cellStyle name="Note 2 2 2 3 2 2 2" xfId="1730"/>
    <cellStyle name="Note 2 2 2 3 2 2 2 2" xfId="6143"/>
    <cellStyle name="Note 2 2 2 3 2 2 2 2 2" xfId="12713"/>
    <cellStyle name="Note 2 2 2 3 2 2 2 2 2 2" xfId="27035"/>
    <cellStyle name="Note 2 2 2 3 2 2 2 2 3" xfId="18358"/>
    <cellStyle name="Note 2 2 2 3 2 2 2 3" xfId="7748"/>
    <cellStyle name="Note 2 2 2 3 2 2 2 3 2" xfId="10362"/>
    <cellStyle name="Note 2 2 2 3 2 2 2 3 2 2" xfId="16624"/>
    <cellStyle name="Note 2 2 2 3 2 2 2 3 2 2 2" xfId="30040"/>
    <cellStyle name="Note 2 2 2 3 2 2 2 3 2 3" xfId="21369"/>
    <cellStyle name="Note 2 2 2 3 2 2 2 3 3" xfId="14352"/>
    <cellStyle name="Note 2 2 2 3 2 2 2 3 3 2" xfId="28674"/>
    <cellStyle name="Note 2 2 2 3 2 2 2 3 4" xfId="19997"/>
    <cellStyle name="Note 2 2 2 3 2 2 2 4" xfId="3998"/>
    <cellStyle name="Note 2 2 2 3 2 2 2 4 2" xfId="22693"/>
    <cellStyle name="Note 2 2 2 3 2 2 2 5" xfId="16984"/>
    <cellStyle name="Note 2 2 2 3 2 2 3" xfId="1731"/>
    <cellStyle name="Note 2 2 2 3 2 2 3 2" xfId="4948"/>
    <cellStyle name="Note 2 2 2 3 2 2 3 2 2" xfId="9523"/>
    <cellStyle name="Note 2 2 2 3 2 2 3 2 2 2" xfId="15785"/>
    <cellStyle name="Note 2 2 2 3 2 2 3 2 2 2 2" xfId="29201"/>
    <cellStyle name="Note 2 2 2 3 2 2 3 2 2 3" xfId="20530"/>
    <cellStyle name="Note 2 2 2 3 2 2 3 2 3" xfId="11487"/>
    <cellStyle name="Note 2 2 2 3 2 2 3 2 3 2" xfId="25809"/>
    <cellStyle name="Note 2 2 2 3 2 2 3 2 4" xfId="14848"/>
    <cellStyle name="Note 2 2 2 3 2 2 3 3" xfId="13301"/>
    <cellStyle name="Note 2 2 2 3 2 2 3 3 2" xfId="27623"/>
    <cellStyle name="Note 2 2 2 3 2 2 3 4" xfId="18946"/>
    <cellStyle name="Note 2 2 2 3 2 2 4" xfId="5751"/>
    <cellStyle name="Note 2 2 2 3 2 2 4 2" xfId="12304"/>
    <cellStyle name="Note 2 2 2 3 2 2 4 2 2" xfId="26626"/>
    <cellStyle name="Note 2 2 2 3 2 2 4 3" xfId="17949"/>
    <cellStyle name="Note 2 2 2 3 2 2 5" xfId="4893"/>
    <cellStyle name="Note 2 2 2 3 2 2 5 2" xfId="23251"/>
    <cellStyle name="Note 2 2 2 3 2 2 6" xfId="4678"/>
    <cellStyle name="Note 2 2 2 3 2 3" xfId="1732"/>
    <cellStyle name="Note 2 2 2 3 2 3 2" xfId="1733"/>
    <cellStyle name="Note 2 2 2 3 2 3 2 2" xfId="6888"/>
    <cellStyle name="Note 2 2 2 3 2 3 2 2 2" xfId="13492"/>
    <cellStyle name="Note 2 2 2 3 2 3 2 2 2 2" xfId="27814"/>
    <cellStyle name="Note 2 2 2 3 2 3 2 2 3" xfId="19137"/>
    <cellStyle name="Note 2 2 2 3 2 3 2 3" xfId="7358"/>
    <cellStyle name="Note 2 2 2 3 2 3 2 3 2" xfId="9972"/>
    <cellStyle name="Note 2 2 2 3 2 3 2 3 2 2" xfId="16234"/>
    <cellStyle name="Note 2 2 2 3 2 3 2 3 2 2 2" xfId="29650"/>
    <cellStyle name="Note 2 2 2 3 2 3 2 3 2 3" xfId="20979"/>
    <cellStyle name="Note 2 2 2 3 2 3 2 3 3" xfId="13962"/>
    <cellStyle name="Note 2 2 2 3 2 3 2 3 3 2" xfId="28284"/>
    <cellStyle name="Note 2 2 2 3 2 3 2 3 4" xfId="19607"/>
    <cellStyle name="Note 2 2 2 3 2 3 2 4" xfId="11364"/>
    <cellStyle name="Note 2 2 2 3 2 3 2 4 2" xfId="25686"/>
    <cellStyle name="Note 2 2 2 3 2 3 2 5" xfId="17306"/>
    <cellStyle name="Note 2 2 2 3 2 3 3" xfId="1734"/>
    <cellStyle name="Note 2 2 2 3 2 3 3 2" xfId="8035"/>
    <cellStyle name="Note 2 2 2 3 2 3 3 2 2" xfId="10649"/>
    <cellStyle name="Note 2 2 2 3 2 3 3 2 2 2" xfId="16911"/>
    <cellStyle name="Note 2 2 2 3 2 3 3 2 2 2 2" xfId="30327"/>
    <cellStyle name="Note 2 2 2 3 2 3 3 2 2 3" xfId="21656"/>
    <cellStyle name="Note 2 2 2 3 2 3 3 2 3" xfId="14639"/>
    <cellStyle name="Note 2 2 2 3 2 3 3 2 3 2" xfId="28961"/>
    <cellStyle name="Note 2 2 2 3 2 3 3 2 4" xfId="20284"/>
    <cellStyle name="Note 2 2 2 3 2 3 3 3" xfId="13411"/>
    <cellStyle name="Note 2 2 2 3 2 3 3 3 2" xfId="27733"/>
    <cellStyle name="Note 2 2 2 3 2 3 3 4" xfId="19056"/>
    <cellStyle name="Note 2 2 2 3 2 3 4" xfId="5879"/>
    <cellStyle name="Note 2 2 2 3 2 3 4 2" xfId="12432"/>
    <cellStyle name="Note 2 2 2 3 2 3 4 2 2" xfId="26754"/>
    <cellStyle name="Note 2 2 2 3 2 3 4 3" xfId="18077"/>
    <cellStyle name="Note 2 2 2 3 2 3 5" xfId="4954"/>
    <cellStyle name="Note 2 2 2 3 2 3 5 2" xfId="23277"/>
    <cellStyle name="Note 2 2 2 3 2 3 6" xfId="3592"/>
    <cellStyle name="Note 2 2 2 3 2 4" xfId="1735"/>
    <cellStyle name="Note 2 2 2 3 2 4 2" xfId="6382"/>
    <cellStyle name="Note 2 2 2 3 2 4 2 2" xfId="12965"/>
    <cellStyle name="Note 2 2 2 3 2 4 2 2 2" xfId="27287"/>
    <cellStyle name="Note 2 2 2 3 2 4 2 3" xfId="18610"/>
    <cellStyle name="Note 2 2 2 3 2 4 3" xfId="7394"/>
    <cellStyle name="Note 2 2 2 3 2 4 3 2" xfId="10008"/>
    <cellStyle name="Note 2 2 2 3 2 4 3 2 2" xfId="16270"/>
    <cellStyle name="Note 2 2 2 3 2 4 3 2 2 2" xfId="29686"/>
    <cellStyle name="Note 2 2 2 3 2 4 3 2 3" xfId="21015"/>
    <cellStyle name="Note 2 2 2 3 2 4 3 3" xfId="13998"/>
    <cellStyle name="Note 2 2 2 3 2 4 3 3 2" xfId="28320"/>
    <cellStyle name="Note 2 2 2 3 2 4 3 4" xfId="19643"/>
    <cellStyle name="Note 2 2 2 3 2 4 4" xfId="4530"/>
    <cellStyle name="Note 2 2 2 3 2 4 4 2" xfId="23010"/>
    <cellStyle name="Note 2 2 2 3 2 4 5" xfId="15178"/>
    <cellStyle name="Note 2 2 2 3 2 5" xfId="1736"/>
    <cellStyle name="Note 2 2 2 3 2 5 2" xfId="7798"/>
    <cellStyle name="Note 2 2 2 3 2 5 2 2" xfId="10412"/>
    <cellStyle name="Note 2 2 2 3 2 5 2 2 2" xfId="16674"/>
    <cellStyle name="Note 2 2 2 3 2 5 2 2 2 2" xfId="30090"/>
    <cellStyle name="Note 2 2 2 3 2 5 2 2 3" xfId="21419"/>
    <cellStyle name="Note 2 2 2 3 2 5 2 3" xfId="14402"/>
    <cellStyle name="Note 2 2 2 3 2 5 2 3 2" xfId="28724"/>
    <cellStyle name="Note 2 2 2 3 2 5 2 4" xfId="20047"/>
    <cellStyle name="Note 2 2 2 3 2 5 3" xfId="12877"/>
    <cellStyle name="Note 2 2 2 3 2 5 3 2" xfId="27199"/>
    <cellStyle name="Note 2 2 2 3 2 5 4" xfId="18522"/>
    <cellStyle name="Note 2 2 2 3 2 6" xfId="5495"/>
    <cellStyle name="Note 2 2 2 3 2 6 2" xfId="12046"/>
    <cellStyle name="Note 2 2 2 3 2 6 2 2" xfId="26368"/>
    <cellStyle name="Note 2 2 2 3 2 6 3" xfId="17691"/>
    <cellStyle name="Note 2 2 2 3 2 7" xfId="6504"/>
    <cellStyle name="Note 2 2 2 3 2 7 2" xfId="23573"/>
    <cellStyle name="Note 2 2 2 3 2 8" xfId="14841"/>
    <cellStyle name="Note 2 2 2 3 3" xfId="1737"/>
    <cellStyle name="Note 2 2 2 3 3 2" xfId="1738"/>
    <cellStyle name="Note 2 2 2 3 3 2 2" xfId="1739"/>
    <cellStyle name="Note 2 2 2 3 3 2 2 2" xfId="6207"/>
    <cellStyle name="Note 2 2 2 3 3 2 2 2 2" xfId="12780"/>
    <cellStyle name="Note 2 2 2 3 3 2 2 2 2 2" xfId="27102"/>
    <cellStyle name="Note 2 2 2 3 3 2 2 2 3" xfId="18425"/>
    <cellStyle name="Note 2 2 2 3 3 2 2 3" xfId="7956"/>
    <cellStyle name="Note 2 2 2 3 3 2 2 3 2" xfId="10570"/>
    <cellStyle name="Note 2 2 2 3 3 2 2 3 2 2" xfId="16832"/>
    <cellStyle name="Note 2 2 2 3 3 2 2 3 2 2 2" xfId="30248"/>
    <cellStyle name="Note 2 2 2 3 3 2 2 3 2 3" xfId="21577"/>
    <cellStyle name="Note 2 2 2 3 3 2 2 3 3" xfId="14560"/>
    <cellStyle name="Note 2 2 2 3 3 2 2 3 3 2" xfId="28882"/>
    <cellStyle name="Note 2 2 2 3 3 2 2 3 4" xfId="20205"/>
    <cellStyle name="Note 2 2 2 3 3 2 2 4" xfId="3630"/>
    <cellStyle name="Note 2 2 2 3 3 2 2 4 2" xfId="22494"/>
    <cellStyle name="Note 2 2 2 3 3 2 2 5" xfId="17161"/>
    <cellStyle name="Note 2 2 2 3 3 2 3" xfId="1740"/>
    <cellStyle name="Note 2 2 2 3 3 2 3 2" xfId="7596"/>
    <cellStyle name="Note 2 2 2 3 3 2 3 2 2" xfId="10210"/>
    <cellStyle name="Note 2 2 2 3 3 2 3 2 2 2" xfId="16472"/>
    <cellStyle name="Note 2 2 2 3 3 2 3 2 2 2 2" xfId="29888"/>
    <cellStyle name="Note 2 2 2 3 3 2 3 2 2 3" xfId="21217"/>
    <cellStyle name="Note 2 2 2 3 3 2 3 2 3" xfId="14200"/>
    <cellStyle name="Note 2 2 2 3 3 2 3 2 3 2" xfId="28522"/>
    <cellStyle name="Note 2 2 2 3 3 2 3 2 4" xfId="19845"/>
    <cellStyle name="Note 2 2 2 3 3 2 3 3" xfId="13337"/>
    <cellStyle name="Note 2 2 2 3 3 2 3 3 2" xfId="27659"/>
    <cellStyle name="Note 2 2 2 3 3 2 3 4" xfId="18982"/>
    <cellStyle name="Note 2 2 2 3 3 2 4" xfId="5787"/>
    <cellStyle name="Note 2 2 2 3 3 2 4 2" xfId="12340"/>
    <cellStyle name="Note 2 2 2 3 3 2 4 2 2" xfId="26662"/>
    <cellStyle name="Note 2 2 2 3 3 2 4 3" xfId="17985"/>
    <cellStyle name="Note 2 2 2 3 3 2 5" xfId="3219"/>
    <cellStyle name="Note 2 2 2 3 3 2 5 2" xfId="22439"/>
    <cellStyle name="Note 2 2 2 3 3 2 6" xfId="16994"/>
    <cellStyle name="Note 2 2 2 3 3 3" xfId="1741"/>
    <cellStyle name="Note 2 2 2 3 3 3 2" xfId="1742"/>
    <cellStyle name="Note 2 2 2 3 3 3 2 2" xfId="6209"/>
    <cellStyle name="Note 2 2 2 3 3 3 2 2 2" xfId="12782"/>
    <cellStyle name="Note 2 2 2 3 3 3 2 2 2 2" xfId="27104"/>
    <cellStyle name="Note 2 2 2 3 3 3 2 2 3" xfId="18427"/>
    <cellStyle name="Note 2 2 2 3 3 3 2 3" xfId="7575"/>
    <cellStyle name="Note 2 2 2 3 3 3 2 3 2" xfId="10189"/>
    <cellStyle name="Note 2 2 2 3 3 3 2 3 2 2" xfId="16451"/>
    <cellStyle name="Note 2 2 2 3 3 3 2 3 2 2 2" xfId="29867"/>
    <cellStyle name="Note 2 2 2 3 3 3 2 3 2 3" xfId="21196"/>
    <cellStyle name="Note 2 2 2 3 3 3 2 3 3" xfId="14179"/>
    <cellStyle name="Note 2 2 2 3 3 3 2 3 3 2" xfId="28501"/>
    <cellStyle name="Note 2 2 2 3 3 3 2 3 4" xfId="19824"/>
    <cellStyle name="Note 2 2 2 3 3 3 2 4" xfId="3891"/>
    <cellStyle name="Note 2 2 2 3 3 3 2 4 2" xfId="22630"/>
    <cellStyle name="Note 2 2 2 3 3 3 2 5" xfId="15566"/>
    <cellStyle name="Note 2 2 2 3 3 3 3" xfId="1743"/>
    <cellStyle name="Note 2 2 2 3 3 3 3 2" xfId="7687"/>
    <cellStyle name="Note 2 2 2 3 3 3 3 2 2" xfId="10301"/>
    <cellStyle name="Note 2 2 2 3 3 3 3 2 2 2" xfId="16563"/>
    <cellStyle name="Note 2 2 2 3 3 3 3 2 2 2 2" xfId="29979"/>
    <cellStyle name="Note 2 2 2 3 3 3 3 2 2 3" xfId="21308"/>
    <cellStyle name="Note 2 2 2 3 3 3 3 2 3" xfId="14291"/>
    <cellStyle name="Note 2 2 2 3 3 3 3 2 3 2" xfId="28613"/>
    <cellStyle name="Note 2 2 2 3 3 3 3 2 4" xfId="19936"/>
    <cellStyle name="Note 2 2 2 3 3 3 3 3" xfId="13206"/>
    <cellStyle name="Note 2 2 2 3 3 3 3 3 2" xfId="27528"/>
    <cellStyle name="Note 2 2 2 3 3 3 3 4" xfId="18851"/>
    <cellStyle name="Note 2 2 2 3 3 3 4" xfId="5645"/>
    <cellStyle name="Note 2 2 2 3 3 3 4 2" xfId="12198"/>
    <cellStyle name="Note 2 2 2 3 3 3 4 2 2" xfId="26520"/>
    <cellStyle name="Note 2 2 2 3 3 3 4 3" xfId="17843"/>
    <cellStyle name="Note 2 2 2 3 3 3 5" xfId="4754"/>
    <cellStyle name="Note 2 2 2 3 3 3 5 2" xfId="23171"/>
    <cellStyle name="Note 2 2 2 3 3 3 6" xfId="14956"/>
    <cellStyle name="Note 2 2 2 3 3 4" xfId="1744"/>
    <cellStyle name="Note 2 2 2 3 3 4 2" xfId="5941"/>
    <cellStyle name="Note 2 2 2 3 3 4 2 2" xfId="12498"/>
    <cellStyle name="Note 2 2 2 3 3 4 2 2 2" xfId="26820"/>
    <cellStyle name="Note 2 2 2 3 3 4 2 3" xfId="18143"/>
    <cellStyle name="Note 2 2 2 3 3 4 3" xfId="7197"/>
    <cellStyle name="Note 2 2 2 3 3 4 3 2" xfId="9811"/>
    <cellStyle name="Note 2 2 2 3 3 4 3 2 2" xfId="16073"/>
    <cellStyle name="Note 2 2 2 3 3 4 3 2 2 2" xfId="29489"/>
    <cellStyle name="Note 2 2 2 3 3 4 3 2 3" xfId="20818"/>
    <cellStyle name="Note 2 2 2 3 3 4 3 3" xfId="13801"/>
    <cellStyle name="Note 2 2 2 3 3 4 3 3 2" xfId="28123"/>
    <cellStyle name="Note 2 2 2 3 3 4 3 4" xfId="19446"/>
    <cellStyle name="Note 2 2 2 3 3 4 4" xfId="4510"/>
    <cellStyle name="Note 2 2 2 3 3 4 4 2" xfId="22997"/>
    <cellStyle name="Note 2 2 2 3 3 4 5" xfId="16981"/>
    <cellStyle name="Note 2 2 2 3 3 5" xfId="1745"/>
    <cellStyle name="Note 2 2 2 3 3 5 2" xfId="7212"/>
    <cellStyle name="Note 2 2 2 3 3 5 2 2" xfId="9826"/>
    <cellStyle name="Note 2 2 2 3 3 5 2 2 2" xfId="16088"/>
    <cellStyle name="Note 2 2 2 3 3 5 2 2 2 2" xfId="29504"/>
    <cellStyle name="Note 2 2 2 3 3 5 2 2 3" xfId="20833"/>
    <cellStyle name="Note 2 2 2 3 3 5 2 3" xfId="13816"/>
    <cellStyle name="Note 2 2 2 3 3 5 2 3 2" xfId="28138"/>
    <cellStyle name="Note 2 2 2 3 3 5 2 4" xfId="19461"/>
    <cellStyle name="Note 2 2 2 3 3 5 3" xfId="12913"/>
    <cellStyle name="Note 2 2 2 3 3 5 3 2" xfId="27235"/>
    <cellStyle name="Note 2 2 2 3 3 5 4" xfId="18558"/>
    <cellStyle name="Note 2 2 2 3 3 6" xfId="5537"/>
    <cellStyle name="Note 2 2 2 3 3 6 2" xfId="12088"/>
    <cellStyle name="Note 2 2 2 3 3 6 2 2" xfId="26410"/>
    <cellStyle name="Note 2 2 2 3 3 6 3" xfId="17733"/>
    <cellStyle name="Note 2 2 2 3 3 7" xfId="4038"/>
    <cellStyle name="Note 2 2 2 3 3 7 2" xfId="22716"/>
    <cellStyle name="Note 2 2 2 3 3 8" xfId="17195"/>
    <cellStyle name="Note 2 2 2 3 4" xfId="1746"/>
    <cellStyle name="Note 2 2 2 3 4 2" xfId="1747"/>
    <cellStyle name="Note 2 2 2 3 4 2 2" xfId="1748"/>
    <cellStyle name="Note 2 2 2 3 4 2 2 2" xfId="6376"/>
    <cellStyle name="Note 2 2 2 3 4 2 2 2 2" xfId="12959"/>
    <cellStyle name="Note 2 2 2 3 4 2 2 2 2 2" xfId="27281"/>
    <cellStyle name="Note 2 2 2 3 4 2 2 2 3" xfId="18604"/>
    <cellStyle name="Note 2 2 2 3 4 2 2 3" xfId="5324"/>
    <cellStyle name="Note 2 2 2 3 4 2 2 3 2" xfId="9633"/>
    <cellStyle name="Note 2 2 2 3 4 2 2 3 2 2" xfId="15895"/>
    <cellStyle name="Note 2 2 2 3 4 2 2 3 2 2 2" xfId="29311"/>
    <cellStyle name="Note 2 2 2 3 4 2 2 3 2 3" xfId="20640"/>
    <cellStyle name="Note 2 2 2 3 4 2 2 3 3" xfId="11874"/>
    <cellStyle name="Note 2 2 2 3 4 2 2 3 3 2" xfId="26196"/>
    <cellStyle name="Note 2 2 2 3 4 2 2 3 4" xfId="17519"/>
    <cellStyle name="Note 2 2 2 3 4 2 2 4" xfId="4522"/>
    <cellStyle name="Note 2 2 2 3 4 2 2 4 2" xfId="23006"/>
    <cellStyle name="Note 2 2 2 3 4 2 2 5" xfId="3856"/>
    <cellStyle name="Note 2 2 2 3 4 2 3" xfId="1749"/>
    <cellStyle name="Note 2 2 2 3 4 2 3 2" xfId="3722"/>
    <cellStyle name="Note 2 2 2 3 4 2 3 2 2" xfId="9363"/>
    <cellStyle name="Note 2 2 2 3 4 2 3 2 2 2" xfId="15625"/>
    <cellStyle name="Note 2 2 2 3 4 2 3 2 2 2 2" xfId="29041"/>
    <cellStyle name="Note 2 2 2 3 4 2 3 2 2 3" xfId="20370"/>
    <cellStyle name="Note 2 2 2 3 4 2 3 2 3" xfId="4996"/>
    <cellStyle name="Note 2 2 2 3 4 2 3 2 3 2" xfId="23300"/>
    <cellStyle name="Note 2 2 2 3 4 2 3 2 4" xfId="17111"/>
    <cellStyle name="Note 2 2 2 3 4 2 3 3" xfId="13092"/>
    <cellStyle name="Note 2 2 2 3 4 2 3 3 2" xfId="27414"/>
    <cellStyle name="Note 2 2 2 3 4 2 3 4" xfId="18737"/>
    <cellStyle name="Note 2 2 2 3 4 2 4" xfId="5447"/>
    <cellStyle name="Note 2 2 2 3 4 2 4 2" xfId="11998"/>
    <cellStyle name="Note 2 2 2 3 4 2 4 2 2" xfId="26320"/>
    <cellStyle name="Note 2 2 2 3 4 2 4 3" xfId="17643"/>
    <cellStyle name="Note 2 2 2 3 4 2 5" xfId="4695"/>
    <cellStyle name="Note 2 2 2 3 4 2 5 2" xfId="23131"/>
    <cellStyle name="Note 2 2 2 3 4 2 6" xfId="4341"/>
    <cellStyle name="Note 2 2 2 3 4 3" xfId="1750"/>
    <cellStyle name="Note 2 2 2 3 4 3 2" xfId="1751"/>
    <cellStyle name="Note 2 2 2 3 4 3 2 2" xfId="6909"/>
    <cellStyle name="Note 2 2 2 3 4 3 2 2 2" xfId="13513"/>
    <cellStyle name="Note 2 2 2 3 4 3 2 2 2 2" xfId="27835"/>
    <cellStyle name="Note 2 2 2 3 4 3 2 2 3" xfId="19158"/>
    <cellStyle name="Note 2 2 2 3 4 3 2 3" xfId="7138"/>
    <cellStyle name="Note 2 2 2 3 4 3 2 3 2" xfId="9752"/>
    <cellStyle name="Note 2 2 2 3 4 3 2 3 2 2" xfId="16014"/>
    <cellStyle name="Note 2 2 2 3 4 3 2 3 2 2 2" xfId="29430"/>
    <cellStyle name="Note 2 2 2 3 4 3 2 3 2 3" xfId="20759"/>
    <cellStyle name="Note 2 2 2 3 4 3 2 3 3" xfId="13742"/>
    <cellStyle name="Note 2 2 2 3 4 3 2 3 3 2" xfId="28064"/>
    <cellStyle name="Note 2 2 2 3 4 3 2 3 4" xfId="19387"/>
    <cellStyle name="Note 2 2 2 3 4 3 2 4" xfId="11395"/>
    <cellStyle name="Note 2 2 2 3 4 3 2 4 2" xfId="25717"/>
    <cellStyle name="Note 2 2 2 3 4 3 2 5" xfId="14943"/>
    <cellStyle name="Note 2 2 2 3 4 3 3" xfId="1752"/>
    <cellStyle name="Note 2 2 2 3 4 3 3 2" xfId="7428"/>
    <cellStyle name="Note 2 2 2 3 4 3 3 2 2" xfId="10042"/>
    <cellStyle name="Note 2 2 2 3 4 3 3 2 2 2" xfId="16304"/>
    <cellStyle name="Note 2 2 2 3 4 3 3 2 2 2 2" xfId="29720"/>
    <cellStyle name="Note 2 2 2 3 4 3 3 2 2 3" xfId="21049"/>
    <cellStyle name="Note 2 2 2 3 4 3 3 2 3" xfId="14032"/>
    <cellStyle name="Note 2 2 2 3 4 3 3 2 3 2" xfId="28354"/>
    <cellStyle name="Note 2 2 2 3 4 3 3 2 4" xfId="19677"/>
    <cellStyle name="Note 2 2 2 3 4 3 3 3" xfId="13158"/>
    <cellStyle name="Note 2 2 2 3 4 3 3 3 2" xfId="27480"/>
    <cellStyle name="Note 2 2 2 3 4 3 3 4" xfId="18803"/>
    <cellStyle name="Note 2 2 2 3 4 3 4" xfId="5567"/>
    <cellStyle name="Note 2 2 2 3 4 3 4 2" xfId="12118"/>
    <cellStyle name="Note 2 2 2 3 4 3 4 2 2" xfId="26440"/>
    <cellStyle name="Note 2 2 2 3 4 3 4 3" xfId="17763"/>
    <cellStyle name="Note 2 2 2 3 4 3 5" xfId="3285"/>
    <cellStyle name="Note 2 2 2 3 4 3 5 2" xfId="22461"/>
    <cellStyle name="Note 2 2 2 3 4 3 6" xfId="14728"/>
    <cellStyle name="Note 2 2 2 3 4 4" xfId="1753"/>
    <cellStyle name="Note 2 2 2 3 4 4 2" xfId="6380"/>
    <cellStyle name="Note 2 2 2 3 4 4 2 2" xfId="12963"/>
    <cellStyle name="Note 2 2 2 3 4 4 2 2 2" xfId="27285"/>
    <cellStyle name="Note 2 2 2 3 4 4 2 3" xfId="18608"/>
    <cellStyle name="Note 2 2 2 3 4 4 3" xfId="7915"/>
    <cellStyle name="Note 2 2 2 3 4 4 3 2" xfId="10529"/>
    <cellStyle name="Note 2 2 2 3 4 4 3 2 2" xfId="16791"/>
    <cellStyle name="Note 2 2 2 3 4 4 3 2 2 2" xfId="30207"/>
    <cellStyle name="Note 2 2 2 3 4 4 3 2 3" xfId="21536"/>
    <cellStyle name="Note 2 2 2 3 4 4 3 3" xfId="14519"/>
    <cellStyle name="Note 2 2 2 3 4 4 3 3 2" xfId="28841"/>
    <cellStyle name="Note 2 2 2 3 4 4 3 4" xfId="20164"/>
    <cellStyle name="Note 2 2 2 3 4 4 4" xfId="3270"/>
    <cellStyle name="Note 2 2 2 3 4 4 4 2" xfId="22454"/>
    <cellStyle name="Note 2 2 2 3 4 4 5" xfId="15011"/>
    <cellStyle name="Note 2 2 2 3 4 5" xfId="1754"/>
    <cellStyle name="Note 2 2 2 3 4 5 2" xfId="7640"/>
    <cellStyle name="Note 2 2 2 3 4 5 2 2" xfId="10254"/>
    <cellStyle name="Note 2 2 2 3 4 5 2 2 2" xfId="16516"/>
    <cellStyle name="Note 2 2 2 3 4 5 2 2 2 2" xfId="29932"/>
    <cellStyle name="Note 2 2 2 3 4 5 2 2 3" xfId="21261"/>
    <cellStyle name="Note 2 2 2 3 4 5 2 3" xfId="14244"/>
    <cellStyle name="Note 2 2 2 3 4 5 2 3 2" xfId="28566"/>
    <cellStyle name="Note 2 2 2 3 4 5 2 4" xfId="19889"/>
    <cellStyle name="Note 2 2 2 3 4 5 3" xfId="11588"/>
    <cellStyle name="Note 2 2 2 3 4 5 3 2" xfId="25910"/>
    <cellStyle name="Note 2 2 2 3 4 5 4" xfId="15230"/>
    <cellStyle name="Note 2 2 2 3 4 6" xfId="5162"/>
    <cellStyle name="Note 2 2 2 3 4 6 2" xfId="11711"/>
    <cellStyle name="Note 2 2 2 3 4 6 2 2" xfId="26033"/>
    <cellStyle name="Note 2 2 2 3 4 6 3" xfId="4507"/>
    <cellStyle name="Note 2 2 2 3 4 7" xfId="4721"/>
    <cellStyle name="Note 2 2 2 3 4 7 2" xfId="23150"/>
    <cellStyle name="Note 2 2 2 3 4 8" xfId="5090"/>
    <cellStyle name="Note 2 2 2 3 5" xfId="1755"/>
    <cellStyle name="Note 2 2 2 3 5 2" xfId="1756"/>
    <cellStyle name="Note 2 2 2 3 5 2 2" xfId="1757"/>
    <cellStyle name="Note 2 2 2 3 5 2 2 2" xfId="6179"/>
    <cellStyle name="Note 2 2 2 3 5 2 2 2 2" xfId="12752"/>
    <cellStyle name="Note 2 2 2 3 5 2 2 2 2 2" xfId="27074"/>
    <cellStyle name="Note 2 2 2 3 5 2 2 2 3" xfId="18397"/>
    <cellStyle name="Note 2 2 2 3 5 2 2 3" xfId="7543"/>
    <cellStyle name="Note 2 2 2 3 5 2 2 3 2" xfId="10157"/>
    <cellStyle name="Note 2 2 2 3 5 2 2 3 2 2" xfId="16419"/>
    <cellStyle name="Note 2 2 2 3 5 2 2 3 2 2 2" xfId="29835"/>
    <cellStyle name="Note 2 2 2 3 5 2 2 3 2 3" xfId="21164"/>
    <cellStyle name="Note 2 2 2 3 5 2 2 3 3" xfId="14147"/>
    <cellStyle name="Note 2 2 2 3 5 2 2 3 3 2" xfId="28469"/>
    <cellStyle name="Note 2 2 2 3 5 2 2 3 4" xfId="19792"/>
    <cellStyle name="Note 2 2 2 3 5 2 2 4" xfId="6754"/>
    <cellStyle name="Note 2 2 2 3 5 2 2 4 2" xfId="23702"/>
    <cellStyle name="Note 2 2 2 3 5 2 2 5" xfId="17199"/>
    <cellStyle name="Note 2 2 2 3 5 2 3" xfId="1758"/>
    <cellStyle name="Note 2 2 2 3 5 2 3 2" xfId="7809"/>
    <cellStyle name="Note 2 2 2 3 5 2 3 2 2" xfId="10423"/>
    <cellStyle name="Note 2 2 2 3 5 2 3 2 2 2" xfId="16685"/>
    <cellStyle name="Note 2 2 2 3 5 2 3 2 2 2 2" xfId="30101"/>
    <cellStyle name="Note 2 2 2 3 5 2 3 2 2 3" xfId="21430"/>
    <cellStyle name="Note 2 2 2 3 5 2 3 2 3" xfId="14413"/>
    <cellStyle name="Note 2 2 2 3 5 2 3 2 3 2" xfId="28735"/>
    <cellStyle name="Note 2 2 2 3 5 2 3 2 4" xfId="20058"/>
    <cellStyle name="Note 2 2 2 3 5 2 3 3" xfId="12743"/>
    <cellStyle name="Note 2 2 2 3 5 2 3 3 2" xfId="27065"/>
    <cellStyle name="Note 2 2 2 3 5 2 3 4" xfId="18388"/>
    <cellStyle name="Note 2 2 2 3 5 2 4" xfId="4773"/>
    <cellStyle name="Note 2 2 2 3 5 2 4 2" xfId="2766"/>
    <cellStyle name="Note 2 2 2 3 5 2 4 2 2" xfId="22335"/>
    <cellStyle name="Note 2 2 2 3 5 2 4 3" xfId="14696"/>
    <cellStyle name="Note 2 2 2 3 5 2 5" xfId="6678"/>
    <cellStyle name="Note 2 2 2 3 5 2 5 2" xfId="23649"/>
    <cellStyle name="Note 2 2 2 3 5 2 6" xfId="4541"/>
    <cellStyle name="Note 2 2 2 3 5 3" xfId="1759"/>
    <cellStyle name="Note 2 2 2 3 5 3 2" xfId="6862"/>
    <cellStyle name="Note 2 2 2 3 5 3 2 2" xfId="13466"/>
    <cellStyle name="Note 2 2 2 3 5 3 2 2 2" xfId="27788"/>
    <cellStyle name="Note 2 2 2 3 5 3 2 3" xfId="19111"/>
    <cellStyle name="Note 2 2 2 3 5 3 3" xfId="5345"/>
    <cellStyle name="Note 2 2 2 3 5 3 3 2" xfId="9654"/>
    <cellStyle name="Note 2 2 2 3 5 3 3 2 2" xfId="15916"/>
    <cellStyle name="Note 2 2 2 3 5 3 3 2 2 2" xfId="29332"/>
    <cellStyle name="Note 2 2 2 3 5 3 3 2 3" xfId="20661"/>
    <cellStyle name="Note 2 2 2 3 5 3 3 3" xfId="11895"/>
    <cellStyle name="Note 2 2 2 3 5 3 3 3 2" xfId="26217"/>
    <cellStyle name="Note 2 2 2 3 5 3 3 4" xfId="17540"/>
    <cellStyle name="Note 2 2 2 3 5 3 4" xfId="11321"/>
    <cellStyle name="Note 2 2 2 3 5 3 4 2" xfId="25643"/>
    <cellStyle name="Note 2 2 2 3 5 3 5" xfId="17289"/>
    <cellStyle name="Note 2 2 2 3 5 4" xfId="1760"/>
    <cellStyle name="Note 2 2 2 3 5 4 2" xfId="7815"/>
    <cellStyle name="Note 2 2 2 3 5 4 2 2" xfId="10429"/>
    <cellStyle name="Note 2 2 2 3 5 4 2 2 2" xfId="16691"/>
    <cellStyle name="Note 2 2 2 3 5 4 2 2 2 2" xfId="30107"/>
    <cellStyle name="Note 2 2 2 3 5 4 2 2 3" xfId="21436"/>
    <cellStyle name="Note 2 2 2 3 5 4 2 3" xfId="14419"/>
    <cellStyle name="Note 2 2 2 3 5 4 2 3 2" xfId="28741"/>
    <cellStyle name="Note 2 2 2 3 5 4 2 4" xfId="20064"/>
    <cellStyle name="Note 2 2 2 3 5 4 3" xfId="12845"/>
    <cellStyle name="Note 2 2 2 3 5 4 3 2" xfId="27167"/>
    <cellStyle name="Note 2 2 2 3 5 4 4" xfId="18490"/>
    <cellStyle name="Note 2 2 2 3 5 5" xfId="5428"/>
    <cellStyle name="Note 2 2 2 3 5 5 2" xfId="11979"/>
    <cellStyle name="Note 2 2 2 3 5 5 2 2" xfId="26301"/>
    <cellStyle name="Note 2 2 2 3 5 5 3" xfId="17624"/>
    <cellStyle name="Note 2 2 2 3 5 6" xfId="6784"/>
    <cellStyle name="Note 2 2 2 3 5 6 2" xfId="23728"/>
    <cellStyle name="Note 2 2 2 3 5 7" xfId="17254"/>
    <cellStyle name="Note 2 2 2 3 6" xfId="1761"/>
    <cellStyle name="Note 2 2 2 3 6 2" xfId="1762"/>
    <cellStyle name="Note 2 2 2 3 6 2 2" xfId="6848"/>
    <cellStyle name="Note 2 2 2 3 6 2 2 2" xfId="13452"/>
    <cellStyle name="Note 2 2 2 3 6 2 2 2 2" xfId="27774"/>
    <cellStyle name="Note 2 2 2 3 6 2 2 3" xfId="19097"/>
    <cellStyle name="Note 2 2 2 3 6 2 3" xfId="7214"/>
    <cellStyle name="Note 2 2 2 3 6 2 3 2" xfId="9828"/>
    <cellStyle name="Note 2 2 2 3 6 2 3 2 2" xfId="16090"/>
    <cellStyle name="Note 2 2 2 3 6 2 3 2 2 2" xfId="29506"/>
    <cellStyle name="Note 2 2 2 3 6 2 3 2 3" xfId="20835"/>
    <cellStyle name="Note 2 2 2 3 6 2 3 3" xfId="13818"/>
    <cellStyle name="Note 2 2 2 3 6 2 3 3 2" xfId="28140"/>
    <cellStyle name="Note 2 2 2 3 6 2 3 4" xfId="19463"/>
    <cellStyle name="Note 2 2 2 3 6 2 4" xfId="2807"/>
    <cellStyle name="Note 2 2 2 3 6 2 4 2" xfId="22370"/>
    <cellStyle name="Note 2 2 2 3 6 2 5" xfId="3749"/>
    <cellStyle name="Note 2 2 2 3 6 3" xfId="1763"/>
    <cellStyle name="Note 2 2 2 3 6 3 2" xfId="5019"/>
    <cellStyle name="Note 2 2 2 3 6 3 2 2" xfId="9545"/>
    <cellStyle name="Note 2 2 2 3 6 3 2 2 2" xfId="15807"/>
    <cellStyle name="Note 2 2 2 3 6 3 2 2 2 2" xfId="29223"/>
    <cellStyle name="Note 2 2 2 3 6 3 2 2 3" xfId="20552"/>
    <cellStyle name="Note 2 2 2 3 6 3 2 3" xfId="11565"/>
    <cellStyle name="Note 2 2 2 3 6 3 2 3 2" xfId="25887"/>
    <cellStyle name="Note 2 2 2 3 6 3 2 4" xfId="17197"/>
    <cellStyle name="Note 2 2 2 3 6 3 3" xfId="12533"/>
    <cellStyle name="Note 2 2 2 3 6 3 3 2" xfId="26855"/>
    <cellStyle name="Note 2 2 2 3 6 3 4" xfId="18178"/>
    <cellStyle name="Note 2 2 2 3 6 4" xfId="4799"/>
    <cellStyle name="Note 2 2 2 3 6 4 2" xfId="11329"/>
    <cellStyle name="Note 2 2 2 3 6 4 2 2" xfId="25651"/>
    <cellStyle name="Note 2 2 2 3 6 4 3" xfId="17249"/>
    <cellStyle name="Note 2 2 2 3 6 5" xfId="4342"/>
    <cellStyle name="Note 2 2 2 3 6 5 2" xfId="22897"/>
    <cellStyle name="Note 2 2 2 3 6 6" xfId="14912"/>
    <cellStyle name="Note 2 2 2 3 7" xfId="1764"/>
    <cellStyle name="Note 2 2 2 3 7 2" xfId="6859"/>
    <cellStyle name="Note 2 2 2 3 7 2 2" xfId="13463"/>
    <cellStyle name="Note 2 2 2 3 7 2 2 2" xfId="27785"/>
    <cellStyle name="Note 2 2 2 3 7 2 3" xfId="19108"/>
    <cellStyle name="Note 2 2 2 3 7 3" xfId="7506"/>
    <cellStyle name="Note 2 2 2 3 7 3 2" xfId="10120"/>
    <cellStyle name="Note 2 2 2 3 7 3 2 2" xfId="16382"/>
    <cellStyle name="Note 2 2 2 3 7 3 2 2 2" xfId="29798"/>
    <cellStyle name="Note 2 2 2 3 7 3 2 3" xfId="21127"/>
    <cellStyle name="Note 2 2 2 3 7 3 3" xfId="14110"/>
    <cellStyle name="Note 2 2 2 3 7 3 3 2" xfId="28432"/>
    <cellStyle name="Note 2 2 2 3 7 3 4" xfId="19755"/>
    <cellStyle name="Note 2 2 2 3 7 4" xfId="11317"/>
    <cellStyle name="Note 2 2 2 3 7 4 2" xfId="25639"/>
    <cellStyle name="Note 2 2 2 3 7 5" xfId="15227"/>
    <cellStyle name="Note 2 2 2 3 8" xfId="1765"/>
    <cellStyle name="Note 2 2 2 3 8 2" xfId="7657"/>
    <cellStyle name="Note 2 2 2 3 8 2 2" xfId="10271"/>
    <cellStyle name="Note 2 2 2 3 8 2 2 2" xfId="16533"/>
    <cellStyle name="Note 2 2 2 3 8 2 2 2 2" xfId="29949"/>
    <cellStyle name="Note 2 2 2 3 8 2 2 3" xfId="21278"/>
    <cellStyle name="Note 2 2 2 3 8 2 3" xfId="14261"/>
    <cellStyle name="Note 2 2 2 3 8 2 3 2" xfId="28583"/>
    <cellStyle name="Note 2 2 2 3 8 2 4" xfId="19906"/>
    <cellStyle name="Note 2 2 2 3 8 3" xfId="12598"/>
    <cellStyle name="Note 2 2 2 3 8 3 2" xfId="26920"/>
    <cellStyle name="Note 2 2 2 3 8 4" xfId="18243"/>
    <cellStyle name="Note 2 2 2 3 9" xfId="5159"/>
    <cellStyle name="Note 2 2 2 3 9 2" xfId="11708"/>
    <cellStyle name="Note 2 2 2 3 9 2 2" xfId="26030"/>
    <cellStyle name="Note 2 2 2 3 9 3" xfId="4202"/>
    <cellStyle name="Note 2 2 2 4" xfId="1766"/>
    <cellStyle name="Note 2 2 2 4 2" xfId="1767"/>
    <cellStyle name="Note 2 2 2 4 2 2" xfId="1768"/>
    <cellStyle name="Note 2 2 2 4 2 2 2" xfId="7013"/>
    <cellStyle name="Note 2 2 2 4 2 2 2 2" xfId="13617"/>
    <cellStyle name="Note 2 2 2 4 2 2 2 2 2" xfId="27939"/>
    <cellStyle name="Note 2 2 2 4 2 2 2 3" xfId="19262"/>
    <cellStyle name="Note 2 2 2 4 2 2 3" xfId="7261"/>
    <cellStyle name="Note 2 2 2 4 2 2 3 2" xfId="9875"/>
    <cellStyle name="Note 2 2 2 4 2 2 3 2 2" xfId="16137"/>
    <cellStyle name="Note 2 2 2 4 2 2 3 2 2 2" xfId="29553"/>
    <cellStyle name="Note 2 2 2 4 2 2 3 2 3" xfId="20882"/>
    <cellStyle name="Note 2 2 2 4 2 2 3 3" xfId="13865"/>
    <cellStyle name="Note 2 2 2 4 2 2 3 3 2" xfId="28187"/>
    <cellStyle name="Note 2 2 2 4 2 2 3 4" xfId="19510"/>
    <cellStyle name="Note 2 2 2 4 2 2 4" xfId="11539"/>
    <cellStyle name="Note 2 2 2 4 2 2 4 2" xfId="25861"/>
    <cellStyle name="Note 2 2 2 4 2 2 5" xfId="15502"/>
    <cellStyle name="Note 2 2 2 4 2 3" xfId="1769"/>
    <cellStyle name="Note 2 2 2 4 2 3 2" xfId="4924"/>
    <cellStyle name="Note 2 2 2 4 2 3 2 2" xfId="9517"/>
    <cellStyle name="Note 2 2 2 4 2 3 2 2 2" xfId="15779"/>
    <cellStyle name="Note 2 2 2 4 2 3 2 2 2 2" xfId="29195"/>
    <cellStyle name="Note 2 2 2 4 2 3 2 2 3" xfId="20524"/>
    <cellStyle name="Note 2 2 2 4 2 3 2 3" xfId="11462"/>
    <cellStyle name="Note 2 2 2 4 2 3 2 3 2" xfId="25784"/>
    <cellStyle name="Note 2 2 2 4 2 3 2 4" xfId="6283"/>
    <cellStyle name="Note 2 2 2 4 2 3 3" xfId="13231"/>
    <cellStyle name="Note 2 2 2 4 2 3 3 2" xfId="27553"/>
    <cellStyle name="Note 2 2 2 4 2 3 4" xfId="18876"/>
    <cellStyle name="Note 2 2 2 4 2 4" xfId="5672"/>
    <cellStyle name="Note 2 2 2 4 2 4 2" xfId="12225"/>
    <cellStyle name="Note 2 2 2 4 2 4 2 2" xfId="26547"/>
    <cellStyle name="Note 2 2 2 4 2 4 3" xfId="17870"/>
    <cellStyle name="Note 2 2 2 4 2 5" xfId="4907"/>
    <cellStyle name="Note 2 2 2 4 2 5 2" xfId="23259"/>
    <cellStyle name="Note 2 2 2 4 2 6" xfId="15320"/>
    <cellStyle name="Note 2 2 2 4 3" xfId="1770"/>
    <cellStyle name="Note 2 2 2 4 3 2" xfId="1771"/>
    <cellStyle name="Note 2 2 2 4 3 2 2" xfId="6236"/>
    <cellStyle name="Note 2 2 2 4 3 2 2 2" xfId="12812"/>
    <cellStyle name="Note 2 2 2 4 3 2 2 2 2" xfId="27134"/>
    <cellStyle name="Note 2 2 2 4 3 2 2 3" xfId="18457"/>
    <cellStyle name="Note 2 2 2 4 3 2 3" xfId="8065"/>
    <cellStyle name="Note 2 2 2 4 3 2 3 2" xfId="10679"/>
    <cellStyle name="Note 2 2 2 4 3 2 3 2 2" xfId="16941"/>
    <cellStyle name="Note 2 2 2 4 3 2 3 2 2 2" xfId="30357"/>
    <cellStyle name="Note 2 2 2 4 3 2 3 2 3" xfId="21686"/>
    <cellStyle name="Note 2 2 2 4 3 2 3 3" xfId="14669"/>
    <cellStyle name="Note 2 2 2 4 3 2 3 3 2" xfId="28991"/>
    <cellStyle name="Note 2 2 2 4 3 2 3 4" xfId="20314"/>
    <cellStyle name="Note 2 2 2 4 3 2 4" xfId="4670"/>
    <cellStyle name="Note 2 2 2 4 3 2 4 2" xfId="23109"/>
    <cellStyle name="Note 2 2 2 4 3 2 5" xfId="3698"/>
    <cellStyle name="Note 2 2 2 4 3 3" xfId="1772"/>
    <cellStyle name="Note 2 2 2 4 3 3 2" xfId="7335"/>
    <cellStyle name="Note 2 2 2 4 3 3 2 2" xfId="9949"/>
    <cellStyle name="Note 2 2 2 4 3 3 2 2 2" xfId="16211"/>
    <cellStyle name="Note 2 2 2 4 3 3 2 2 2 2" xfId="29627"/>
    <cellStyle name="Note 2 2 2 4 3 3 2 2 3" xfId="20956"/>
    <cellStyle name="Note 2 2 2 4 3 3 2 3" xfId="13939"/>
    <cellStyle name="Note 2 2 2 4 3 3 2 3 2" xfId="28261"/>
    <cellStyle name="Note 2 2 2 4 3 3 2 4" xfId="19584"/>
    <cellStyle name="Note 2 2 2 4 3 3 3" xfId="12579"/>
    <cellStyle name="Note 2 2 2 4 3 3 3 2" xfId="26901"/>
    <cellStyle name="Note 2 2 2 4 3 3 4" xfId="18224"/>
    <cellStyle name="Note 2 2 2 4 3 4" xfId="5155"/>
    <cellStyle name="Note 2 2 2 4 3 4 2" xfId="11704"/>
    <cellStyle name="Note 2 2 2 4 3 4 2 2" xfId="26026"/>
    <cellStyle name="Note 2 2 2 4 3 4 3" xfId="4159"/>
    <cellStyle name="Note 2 2 2 4 3 5" xfId="4932"/>
    <cellStyle name="Note 2 2 2 4 3 5 2" xfId="23268"/>
    <cellStyle name="Note 2 2 2 4 3 6" xfId="6569"/>
    <cellStyle name="Note 2 2 2 4 4" xfId="1773"/>
    <cellStyle name="Note 2 2 2 4 4 2" xfId="6943"/>
    <cellStyle name="Note 2 2 2 4 4 2 2" xfId="13547"/>
    <cellStyle name="Note 2 2 2 4 4 2 2 2" xfId="27869"/>
    <cellStyle name="Note 2 2 2 4 4 2 3" xfId="19192"/>
    <cellStyle name="Note 2 2 2 4 4 3" xfId="7862"/>
    <cellStyle name="Note 2 2 2 4 4 3 2" xfId="10476"/>
    <cellStyle name="Note 2 2 2 4 4 3 2 2" xfId="16738"/>
    <cellStyle name="Note 2 2 2 4 4 3 2 2 2" xfId="30154"/>
    <cellStyle name="Note 2 2 2 4 4 3 2 3" xfId="21483"/>
    <cellStyle name="Note 2 2 2 4 4 3 3" xfId="14466"/>
    <cellStyle name="Note 2 2 2 4 4 3 3 2" xfId="28788"/>
    <cellStyle name="Note 2 2 2 4 4 3 4" xfId="20111"/>
    <cellStyle name="Note 2 2 2 4 4 4" xfId="11436"/>
    <cellStyle name="Note 2 2 2 4 4 4 2" xfId="25758"/>
    <cellStyle name="Note 2 2 2 4 4 5" xfId="15374"/>
    <cellStyle name="Note 2 2 2 4 5" xfId="1774"/>
    <cellStyle name="Note 2 2 2 4 5 2" xfId="3474"/>
    <cellStyle name="Note 2 2 2 4 5 2 2" xfId="9228"/>
    <cellStyle name="Note 2 2 2 4 5 2 2 2" xfId="15522"/>
    <cellStyle name="Note 2 2 2 4 5 2 2 2 2" xfId="29014"/>
    <cellStyle name="Note 2 2 2 4 5 2 2 3" xfId="20342"/>
    <cellStyle name="Note 2 2 2 4 5 2 3" xfId="4446"/>
    <cellStyle name="Note 2 2 2 4 5 2 3 2" xfId="22958"/>
    <cellStyle name="Note 2 2 2 4 5 2 4" xfId="15207"/>
    <cellStyle name="Note 2 2 2 4 5 3" xfId="12609"/>
    <cellStyle name="Note 2 2 2 4 5 3 2" xfId="26931"/>
    <cellStyle name="Note 2 2 2 4 5 4" xfId="18254"/>
    <cellStyle name="Note 2 2 2 4 6" xfId="5094"/>
    <cellStyle name="Note 2 2 2 4 6 2" xfId="11641"/>
    <cellStyle name="Note 2 2 2 4 6 2 2" xfId="25963"/>
    <cellStyle name="Note 2 2 2 4 6 3" xfId="14798"/>
    <cellStyle name="Note 2 2 2 4 7" xfId="6513"/>
    <cellStyle name="Note 2 2 2 4 7 2" xfId="23577"/>
    <cellStyle name="Note 2 2 2 4 8" xfId="15408"/>
    <cellStyle name="Note 2 2 2 5" xfId="1775"/>
    <cellStyle name="Note 2 2 2 5 2" xfId="1776"/>
    <cellStyle name="Note 2 2 2 5 2 2" xfId="1777"/>
    <cellStyle name="Note 2 2 2 5 2 2 2" xfId="6892"/>
    <cellStyle name="Note 2 2 2 5 2 2 2 2" xfId="13496"/>
    <cellStyle name="Note 2 2 2 5 2 2 2 2 2" xfId="27818"/>
    <cellStyle name="Note 2 2 2 5 2 2 2 3" xfId="19141"/>
    <cellStyle name="Note 2 2 2 5 2 2 3" xfId="7149"/>
    <cellStyle name="Note 2 2 2 5 2 2 3 2" xfId="9763"/>
    <cellStyle name="Note 2 2 2 5 2 2 3 2 2" xfId="16025"/>
    <cellStyle name="Note 2 2 2 5 2 2 3 2 2 2" xfId="29441"/>
    <cellStyle name="Note 2 2 2 5 2 2 3 2 3" xfId="20770"/>
    <cellStyle name="Note 2 2 2 5 2 2 3 3" xfId="13753"/>
    <cellStyle name="Note 2 2 2 5 2 2 3 3 2" xfId="28075"/>
    <cellStyle name="Note 2 2 2 5 2 2 3 4" xfId="19398"/>
    <cellStyle name="Note 2 2 2 5 2 2 4" xfId="11369"/>
    <cellStyle name="Note 2 2 2 5 2 2 4 2" xfId="25691"/>
    <cellStyle name="Note 2 2 2 5 2 2 5" xfId="17064"/>
    <cellStyle name="Note 2 2 2 5 2 3" xfId="1778"/>
    <cellStyle name="Note 2 2 2 5 2 3 2" xfId="7278"/>
    <cellStyle name="Note 2 2 2 5 2 3 2 2" xfId="9892"/>
    <cellStyle name="Note 2 2 2 5 2 3 2 2 2" xfId="16154"/>
    <cellStyle name="Note 2 2 2 5 2 3 2 2 2 2" xfId="29570"/>
    <cellStyle name="Note 2 2 2 5 2 3 2 2 3" xfId="20899"/>
    <cellStyle name="Note 2 2 2 5 2 3 2 3" xfId="13882"/>
    <cellStyle name="Note 2 2 2 5 2 3 2 3 2" xfId="28204"/>
    <cellStyle name="Note 2 2 2 5 2 3 2 4" xfId="19527"/>
    <cellStyle name="Note 2 2 2 5 2 3 3" xfId="13268"/>
    <cellStyle name="Note 2 2 2 5 2 3 3 2" xfId="27590"/>
    <cellStyle name="Note 2 2 2 5 2 3 4" xfId="18913"/>
    <cellStyle name="Note 2 2 2 5 2 4" xfId="5714"/>
    <cellStyle name="Note 2 2 2 5 2 4 2" xfId="12267"/>
    <cellStyle name="Note 2 2 2 5 2 4 2 2" xfId="26589"/>
    <cellStyle name="Note 2 2 2 5 2 4 3" xfId="17912"/>
    <cellStyle name="Note 2 2 2 5 2 5" xfId="5983"/>
    <cellStyle name="Note 2 2 2 5 2 5 2" xfId="23389"/>
    <cellStyle name="Note 2 2 2 5 2 6" xfId="15191"/>
    <cellStyle name="Note 2 2 2 5 3" xfId="1779"/>
    <cellStyle name="Note 2 2 2 5 3 2" xfId="1780"/>
    <cellStyle name="Note 2 2 2 5 3 2 2" xfId="6591"/>
    <cellStyle name="Note 2 2 2 5 3 2 2 2" xfId="13180"/>
    <cellStyle name="Note 2 2 2 5 3 2 2 2 2" xfId="27502"/>
    <cellStyle name="Note 2 2 2 5 3 2 2 3" xfId="18825"/>
    <cellStyle name="Note 2 2 2 5 3 2 3" xfId="7513"/>
    <cellStyle name="Note 2 2 2 5 3 2 3 2" xfId="10127"/>
    <cellStyle name="Note 2 2 2 5 3 2 3 2 2" xfId="16389"/>
    <cellStyle name="Note 2 2 2 5 3 2 3 2 2 2" xfId="29805"/>
    <cellStyle name="Note 2 2 2 5 3 2 3 2 3" xfId="21134"/>
    <cellStyle name="Note 2 2 2 5 3 2 3 3" xfId="14117"/>
    <cellStyle name="Note 2 2 2 5 3 2 3 3 2" xfId="28439"/>
    <cellStyle name="Note 2 2 2 5 3 2 3 4" xfId="19762"/>
    <cellStyle name="Note 2 2 2 5 3 2 4" xfId="3672"/>
    <cellStyle name="Note 2 2 2 5 3 2 4 2" xfId="22518"/>
    <cellStyle name="Note 2 2 2 5 3 2 5" xfId="14692"/>
    <cellStyle name="Note 2 2 2 5 3 3" xfId="1781"/>
    <cellStyle name="Note 2 2 2 5 3 3 2" xfId="7113"/>
    <cellStyle name="Note 2 2 2 5 3 3 2 2" xfId="9727"/>
    <cellStyle name="Note 2 2 2 5 3 3 2 2 2" xfId="15989"/>
    <cellStyle name="Note 2 2 2 5 3 3 2 2 2 2" xfId="29405"/>
    <cellStyle name="Note 2 2 2 5 3 3 2 2 3" xfId="20734"/>
    <cellStyle name="Note 2 2 2 5 3 3 2 3" xfId="13717"/>
    <cellStyle name="Note 2 2 2 5 3 3 2 3 2" xfId="28039"/>
    <cellStyle name="Note 2 2 2 5 3 3 2 4" xfId="19362"/>
    <cellStyle name="Note 2 2 2 5 3 3 3" xfId="13370"/>
    <cellStyle name="Note 2 2 2 5 3 3 3 2" xfId="27692"/>
    <cellStyle name="Note 2 2 2 5 3 3 4" xfId="19015"/>
    <cellStyle name="Note 2 2 2 5 3 4" xfId="5821"/>
    <cellStyle name="Note 2 2 2 5 3 4 2" xfId="12374"/>
    <cellStyle name="Note 2 2 2 5 3 4 2 2" xfId="26696"/>
    <cellStyle name="Note 2 2 2 5 3 4 3" xfId="18019"/>
    <cellStyle name="Note 2 2 2 5 3 5" xfId="4653"/>
    <cellStyle name="Note 2 2 2 5 3 5 2" xfId="23095"/>
    <cellStyle name="Note 2 2 2 5 3 6" xfId="16960"/>
    <cellStyle name="Note 2 2 2 5 4" xfId="1782"/>
    <cellStyle name="Note 2 2 2 5 4 2" xfId="6869"/>
    <cellStyle name="Note 2 2 2 5 4 2 2" xfId="13473"/>
    <cellStyle name="Note 2 2 2 5 4 2 2 2" xfId="27795"/>
    <cellStyle name="Note 2 2 2 5 4 2 3" xfId="19118"/>
    <cellStyle name="Note 2 2 2 5 4 3" xfId="7405"/>
    <cellStyle name="Note 2 2 2 5 4 3 2" xfId="10019"/>
    <cellStyle name="Note 2 2 2 5 4 3 2 2" xfId="16281"/>
    <cellStyle name="Note 2 2 2 5 4 3 2 2 2" xfId="29697"/>
    <cellStyle name="Note 2 2 2 5 4 3 2 3" xfId="21026"/>
    <cellStyle name="Note 2 2 2 5 4 3 3" xfId="14009"/>
    <cellStyle name="Note 2 2 2 5 4 3 3 2" xfId="28331"/>
    <cellStyle name="Note 2 2 2 5 4 3 4" xfId="19654"/>
    <cellStyle name="Note 2 2 2 5 4 4" xfId="11332"/>
    <cellStyle name="Note 2 2 2 5 4 4 2" xfId="25654"/>
    <cellStyle name="Note 2 2 2 5 4 5" xfId="15308"/>
    <cellStyle name="Note 2 2 2 5 5" xfId="1783"/>
    <cellStyle name="Note 2 2 2 5 5 2" xfId="7753"/>
    <cellStyle name="Note 2 2 2 5 5 2 2" xfId="10367"/>
    <cellStyle name="Note 2 2 2 5 5 2 2 2" xfId="16629"/>
    <cellStyle name="Note 2 2 2 5 5 2 2 2 2" xfId="30045"/>
    <cellStyle name="Note 2 2 2 5 5 2 2 3" xfId="21374"/>
    <cellStyle name="Note 2 2 2 5 5 2 3" xfId="14357"/>
    <cellStyle name="Note 2 2 2 5 5 2 3 2" xfId="28679"/>
    <cellStyle name="Note 2 2 2 5 5 2 4" xfId="20002"/>
    <cellStyle name="Note 2 2 2 5 5 3" xfId="12825"/>
    <cellStyle name="Note 2 2 2 5 5 3 2" xfId="27147"/>
    <cellStyle name="Note 2 2 2 5 5 4" xfId="18470"/>
    <cellStyle name="Note 2 2 2 5 6" xfId="5373"/>
    <cellStyle name="Note 2 2 2 5 6 2" xfId="11923"/>
    <cellStyle name="Note 2 2 2 5 6 2 2" xfId="26245"/>
    <cellStyle name="Note 2 2 2 5 6 3" xfId="17568"/>
    <cellStyle name="Note 2 2 2 5 7" xfId="5883"/>
    <cellStyle name="Note 2 2 2 5 7 2" xfId="23368"/>
    <cellStyle name="Note 2 2 2 5 8" xfId="14950"/>
    <cellStyle name="Note 2 2 2 6" xfId="1784"/>
    <cellStyle name="Note 2 2 2 6 2" xfId="1785"/>
    <cellStyle name="Note 2 2 2 6 2 2" xfId="1786"/>
    <cellStyle name="Note 2 2 2 6 2 2 2" xfId="5478"/>
    <cellStyle name="Note 2 2 2 6 2 2 2 2" xfId="12029"/>
    <cellStyle name="Note 2 2 2 6 2 2 2 2 2" xfId="26351"/>
    <cellStyle name="Note 2 2 2 6 2 2 2 3" xfId="17674"/>
    <cellStyle name="Note 2 2 2 6 2 2 3" xfId="4752"/>
    <cellStyle name="Note 2 2 2 6 2 2 3 2" xfId="9475"/>
    <cellStyle name="Note 2 2 2 6 2 2 3 2 2" xfId="15737"/>
    <cellStyle name="Note 2 2 2 6 2 2 3 2 2 2" xfId="29153"/>
    <cellStyle name="Note 2 2 2 6 2 2 3 2 3" xfId="20482"/>
    <cellStyle name="Note 2 2 2 6 2 2 3 3" xfId="2821"/>
    <cellStyle name="Note 2 2 2 6 2 2 3 3 2" xfId="22384"/>
    <cellStyle name="Note 2 2 2 6 2 2 3 4" xfId="17296"/>
    <cellStyle name="Note 2 2 2 6 2 2 4" xfId="6260"/>
    <cellStyle name="Note 2 2 2 6 2 2 4 2" xfId="23478"/>
    <cellStyle name="Note 2 2 2 6 2 2 5" xfId="5206"/>
    <cellStyle name="Note 2 2 2 6 2 3" xfId="1787"/>
    <cellStyle name="Note 2 2 2 6 2 3 2" xfId="3924"/>
    <cellStyle name="Note 2 2 2 6 2 3 2 2" xfId="9397"/>
    <cellStyle name="Note 2 2 2 6 2 3 2 2 2" xfId="15659"/>
    <cellStyle name="Note 2 2 2 6 2 3 2 2 2 2" xfId="29075"/>
    <cellStyle name="Note 2 2 2 6 2 3 2 2 3" xfId="20404"/>
    <cellStyle name="Note 2 2 2 6 2 3 2 3" xfId="3931"/>
    <cellStyle name="Note 2 2 2 6 2 3 2 3 2" xfId="22651"/>
    <cellStyle name="Note 2 2 2 6 2 3 2 4" xfId="15552"/>
    <cellStyle name="Note 2 2 2 6 2 3 3" xfId="13248"/>
    <cellStyle name="Note 2 2 2 6 2 3 3 2" xfId="27570"/>
    <cellStyle name="Note 2 2 2 6 2 3 4" xfId="18893"/>
    <cellStyle name="Note 2 2 2 6 2 4" xfId="5690"/>
    <cellStyle name="Note 2 2 2 6 2 4 2" xfId="12243"/>
    <cellStyle name="Note 2 2 2 6 2 4 2 2" xfId="26565"/>
    <cellStyle name="Note 2 2 2 6 2 4 3" xfId="17888"/>
    <cellStyle name="Note 2 2 2 6 2 5" xfId="6763"/>
    <cellStyle name="Note 2 2 2 6 2 5 2" xfId="23710"/>
    <cellStyle name="Note 2 2 2 6 2 6" xfId="15363"/>
    <cellStyle name="Note 2 2 2 6 3" xfId="1788"/>
    <cellStyle name="Note 2 2 2 6 3 2" xfId="1789"/>
    <cellStyle name="Note 2 2 2 6 3 2 2" xfId="6025"/>
    <cellStyle name="Note 2 2 2 6 3 2 2 2" xfId="12586"/>
    <cellStyle name="Note 2 2 2 6 3 2 2 2 2" xfId="26908"/>
    <cellStyle name="Note 2 2 2 6 3 2 2 3" xfId="18231"/>
    <cellStyle name="Note 2 2 2 6 3 2 3" xfId="7218"/>
    <cellStyle name="Note 2 2 2 6 3 2 3 2" xfId="9832"/>
    <cellStyle name="Note 2 2 2 6 3 2 3 2 2" xfId="16094"/>
    <cellStyle name="Note 2 2 2 6 3 2 3 2 2 2" xfId="29510"/>
    <cellStyle name="Note 2 2 2 6 3 2 3 2 3" xfId="20839"/>
    <cellStyle name="Note 2 2 2 6 3 2 3 3" xfId="13822"/>
    <cellStyle name="Note 2 2 2 6 3 2 3 3 2" xfId="28144"/>
    <cellStyle name="Note 2 2 2 6 3 2 3 4" xfId="19467"/>
    <cellStyle name="Note 2 2 2 6 3 2 4" xfId="4001"/>
    <cellStyle name="Note 2 2 2 6 3 2 4 2" xfId="22695"/>
    <cellStyle name="Note 2 2 2 6 3 2 5" xfId="6543"/>
    <cellStyle name="Note 2 2 2 6 3 3" xfId="1790"/>
    <cellStyle name="Note 2 2 2 6 3 3 2" xfId="7316"/>
    <cellStyle name="Note 2 2 2 6 3 3 2 2" xfId="9930"/>
    <cellStyle name="Note 2 2 2 6 3 3 2 2 2" xfId="16192"/>
    <cellStyle name="Note 2 2 2 6 3 3 2 2 2 2" xfId="29608"/>
    <cellStyle name="Note 2 2 2 6 3 3 2 2 3" xfId="20937"/>
    <cellStyle name="Note 2 2 2 6 3 3 2 3" xfId="13920"/>
    <cellStyle name="Note 2 2 2 6 3 3 2 3 2" xfId="28242"/>
    <cellStyle name="Note 2 2 2 6 3 3 2 4" xfId="19565"/>
    <cellStyle name="Note 2 2 2 6 3 3 3" xfId="13161"/>
    <cellStyle name="Note 2 2 2 6 3 3 3 2" xfId="27483"/>
    <cellStyle name="Note 2 2 2 6 3 3 4" xfId="18806"/>
    <cellStyle name="Note 2 2 2 6 3 4" xfId="5574"/>
    <cellStyle name="Note 2 2 2 6 3 4 2" xfId="12125"/>
    <cellStyle name="Note 2 2 2 6 3 4 2 2" xfId="26447"/>
    <cellStyle name="Note 2 2 2 6 3 4 3" xfId="17770"/>
    <cellStyle name="Note 2 2 2 6 3 5" xfId="6791"/>
    <cellStyle name="Note 2 2 2 6 3 5 2" xfId="23734"/>
    <cellStyle name="Note 2 2 2 6 3 6" xfId="14930"/>
    <cellStyle name="Note 2 2 2 6 4" xfId="1791"/>
    <cellStyle name="Note 2 2 2 6 4 2" xfId="6963"/>
    <cellStyle name="Note 2 2 2 6 4 2 2" xfId="13567"/>
    <cellStyle name="Note 2 2 2 6 4 2 2 2" xfId="27889"/>
    <cellStyle name="Note 2 2 2 6 4 2 3" xfId="19212"/>
    <cellStyle name="Note 2 2 2 6 4 3" xfId="7463"/>
    <cellStyle name="Note 2 2 2 6 4 3 2" xfId="10077"/>
    <cellStyle name="Note 2 2 2 6 4 3 2 2" xfId="16339"/>
    <cellStyle name="Note 2 2 2 6 4 3 2 2 2" xfId="29755"/>
    <cellStyle name="Note 2 2 2 6 4 3 2 3" xfId="21084"/>
    <cellStyle name="Note 2 2 2 6 4 3 3" xfId="14067"/>
    <cellStyle name="Note 2 2 2 6 4 3 3 2" xfId="28389"/>
    <cellStyle name="Note 2 2 2 6 4 3 4" xfId="19712"/>
    <cellStyle name="Note 2 2 2 6 4 4" xfId="11466"/>
    <cellStyle name="Note 2 2 2 6 4 4 2" xfId="25788"/>
    <cellStyle name="Note 2 2 2 6 4 5" xfId="15587"/>
    <cellStyle name="Note 2 2 2 6 5" xfId="1792"/>
    <cellStyle name="Note 2 2 2 6 5 2" xfId="7865"/>
    <cellStyle name="Note 2 2 2 6 5 2 2" xfId="10479"/>
    <cellStyle name="Note 2 2 2 6 5 2 2 2" xfId="16741"/>
    <cellStyle name="Note 2 2 2 6 5 2 2 2 2" xfId="30157"/>
    <cellStyle name="Note 2 2 2 6 5 2 2 3" xfId="21486"/>
    <cellStyle name="Note 2 2 2 6 5 2 3" xfId="14469"/>
    <cellStyle name="Note 2 2 2 6 5 2 3 2" xfId="28791"/>
    <cellStyle name="Note 2 2 2 6 5 2 4" xfId="20114"/>
    <cellStyle name="Note 2 2 2 6 5 3" xfId="12732"/>
    <cellStyle name="Note 2 2 2 6 5 3 2" xfId="27054"/>
    <cellStyle name="Note 2 2 2 6 5 4" xfId="18377"/>
    <cellStyle name="Note 2 2 2 6 6" xfId="4320"/>
    <cellStyle name="Note 2 2 2 6 6 2" xfId="3665"/>
    <cellStyle name="Note 2 2 2 6 6 2 2" xfId="22513"/>
    <cellStyle name="Note 2 2 2 6 6 3" xfId="14907"/>
    <cellStyle name="Note 2 2 2 6 7" xfId="3641"/>
    <cellStyle name="Note 2 2 2 6 7 2" xfId="22501"/>
    <cellStyle name="Note 2 2 2 6 8" xfId="17063"/>
    <cellStyle name="Note 2 2 2 7" xfId="1793"/>
    <cellStyle name="Note 2 2 2 7 2" xfId="1794"/>
    <cellStyle name="Note 2 2 2 7 2 2" xfId="1795"/>
    <cellStyle name="Note 2 2 2 7 2 2 2" xfId="6926"/>
    <cellStyle name="Note 2 2 2 7 2 2 2 2" xfId="13530"/>
    <cellStyle name="Note 2 2 2 7 2 2 2 2 2" xfId="27852"/>
    <cellStyle name="Note 2 2 2 7 2 2 2 3" xfId="19175"/>
    <cellStyle name="Note 2 2 2 7 2 2 3" xfId="5027"/>
    <cellStyle name="Note 2 2 2 7 2 2 3 2" xfId="9547"/>
    <cellStyle name="Note 2 2 2 7 2 2 3 2 2" xfId="15809"/>
    <cellStyle name="Note 2 2 2 7 2 2 3 2 2 2" xfId="29225"/>
    <cellStyle name="Note 2 2 2 7 2 2 3 2 3" xfId="20554"/>
    <cellStyle name="Note 2 2 2 7 2 2 3 3" xfId="11574"/>
    <cellStyle name="Note 2 2 2 7 2 2 3 3 2" xfId="25896"/>
    <cellStyle name="Note 2 2 2 7 2 2 3 4" xfId="14738"/>
    <cellStyle name="Note 2 2 2 7 2 2 4" xfId="11417"/>
    <cellStyle name="Note 2 2 2 7 2 2 4 2" xfId="25739"/>
    <cellStyle name="Note 2 2 2 7 2 2 5" xfId="17246"/>
    <cellStyle name="Note 2 2 2 7 2 3" xfId="1796"/>
    <cellStyle name="Note 2 2 2 7 2 3 2" xfId="7752"/>
    <cellStyle name="Note 2 2 2 7 2 3 2 2" xfId="10366"/>
    <cellStyle name="Note 2 2 2 7 2 3 2 2 2" xfId="16628"/>
    <cellStyle name="Note 2 2 2 7 2 3 2 2 2 2" xfId="30044"/>
    <cellStyle name="Note 2 2 2 7 2 3 2 2 3" xfId="21373"/>
    <cellStyle name="Note 2 2 2 7 2 3 2 3" xfId="14356"/>
    <cellStyle name="Note 2 2 2 7 2 3 2 3 2" xfId="28678"/>
    <cellStyle name="Note 2 2 2 7 2 3 2 4" xfId="20001"/>
    <cellStyle name="Note 2 2 2 7 2 3 3" xfId="12818"/>
    <cellStyle name="Note 2 2 2 7 2 3 3 2" xfId="27140"/>
    <cellStyle name="Note 2 2 2 7 2 3 4" xfId="18463"/>
    <cellStyle name="Note 2 2 2 7 2 4" xfId="5232"/>
    <cellStyle name="Note 2 2 2 7 2 4 2" xfId="11782"/>
    <cellStyle name="Note 2 2 2 7 2 4 2 2" xfId="26104"/>
    <cellStyle name="Note 2 2 2 7 2 4 3" xfId="17427"/>
    <cellStyle name="Note 2 2 2 7 2 5" xfId="4589"/>
    <cellStyle name="Note 2 2 2 7 2 5 2" xfId="23052"/>
    <cellStyle name="Note 2 2 2 7 2 6" xfId="14701"/>
    <cellStyle name="Note 2 2 2 7 3" xfId="1797"/>
    <cellStyle name="Note 2 2 2 7 3 2" xfId="6122"/>
    <cellStyle name="Note 2 2 2 7 3 2 2" xfId="12691"/>
    <cellStyle name="Note 2 2 2 7 3 2 2 2" xfId="27013"/>
    <cellStyle name="Note 2 2 2 7 3 2 3" xfId="18336"/>
    <cellStyle name="Note 2 2 2 7 3 3" xfId="5243"/>
    <cellStyle name="Note 2 2 2 7 3 3 2" xfId="9553"/>
    <cellStyle name="Note 2 2 2 7 3 3 2 2" xfId="15815"/>
    <cellStyle name="Note 2 2 2 7 3 3 2 2 2" xfId="29231"/>
    <cellStyle name="Note 2 2 2 7 3 3 2 3" xfId="20560"/>
    <cellStyle name="Note 2 2 2 7 3 3 3" xfId="11793"/>
    <cellStyle name="Note 2 2 2 7 3 3 3 2" xfId="26115"/>
    <cellStyle name="Note 2 2 2 7 3 3 4" xfId="17438"/>
    <cellStyle name="Note 2 2 2 7 3 4" xfId="4679"/>
    <cellStyle name="Note 2 2 2 7 3 4 2" xfId="23117"/>
    <cellStyle name="Note 2 2 2 7 3 5" xfId="4730"/>
    <cellStyle name="Note 2 2 2 7 4" xfId="1798"/>
    <cellStyle name="Note 2 2 2 7 4 2" xfId="5022"/>
    <cellStyle name="Note 2 2 2 7 4 2 2" xfId="9546"/>
    <cellStyle name="Note 2 2 2 7 4 2 2 2" xfId="15808"/>
    <cellStyle name="Note 2 2 2 7 4 2 2 2 2" xfId="29224"/>
    <cellStyle name="Note 2 2 2 7 4 2 2 3" xfId="20553"/>
    <cellStyle name="Note 2 2 2 7 4 2 3" xfId="11569"/>
    <cellStyle name="Note 2 2 2 7 4 2 3 2" xfId="25891"/>
    <cellStyle name="Note 2 2 2 7 4 2 4" xfId="15147"/>
    <cellStyle name="Note 2 2 2 7 4 3" xfId="12839"/>
    <cellStyle name="Note 2 2 2 7 4 3 2" xfId="27161"/>
    <cellStyle name="Note 2 2 2 7 4 4" xfId="18484"/>
    <cellStyle name="Note 2 2 2 7 5" xfId="5413"/>
    <cellStyle name="Note 2 2 2 7 5 2" xfId="11963"/>
    <cellStyle name="Note 2 2 2 7 5 2 2" xfId="26285"/>
    <cellStyle name="Note 2 2 2 7 5 3" xfId="17608"/>
    <cellStyle name="Note 2 2 2 7 6" xfId="3602"/>
    <cellStyle name="Note 2 2 2 7 6 2" xfId="22482"/>
    <cellStyle name="Note 2 2 2 7 7" xfId="4431"/>
    <cellStyle name="Note 2 2 2 8" xfId="1799"/>
    <cellStyle name="Note 2 2 2 8 2" xfId="1800"/>
    <cellStyle name="Note 2 2 2 8 2 2" xfId="6159"/>
    <cellStyle name="Note 2 2 2 8 2 2 2" xfId="12730"/>
    <cellStyle name="Note 2 2 2 8 2 2 2 2" xfId="27052"/>
    <cellStyle name="Note 2 2 2 8 2 2 3" xfId="18375"/>
    <cellStyle name="Note 2 2 2 8 2 3" xfId="7445"/>
    <cellStyle name="Note 2 2 2 8 2 3 2" xfId="10059"/>
    <cellStyle name="Note 2 2 2 8 2 3 2 2" xfId="16321"/>
    <cellStyle name="Note 2 2 2 8 2 3 2 2 2" xfId="29737"/>
    <cellStyle name="Note 2 2 2 8 2 3 2 3" xfId="21066"/>
    <cellStyle name="Note 2 2 2 8 2 3 3" xfId="14049"/>
    <cellStyle name="Note 2 2 2 8 2 3 3 2" xfId="28371"/>
    <cellStyle name="Note 2 2 2 8 2 3 4" xfId="19694"/>
    <cellStyle name="Note 2 2 2 8 2 4" xfId="4533"/>
    <cellStyle name="Note 2 2 2 8 2 4 2" xfId="23013"/>
    <cellStyle name="Note 2 2 2 8 2 5" xfId="6463"/>
    <cellStyle name="Note 2 2 2 8 3" xfId="1801"/>
    <cellStyle name="Note 2 2 2 8 3 2" xfId="7928"/>
    <cellStyle name="Note 2 2 2 8 3 2 2" xfId="10542"/>
    <cellStyle name="Note 2 2 2 8 3 2 2 2" xfId="16804"/>
    <cellStyle name="Note 2 2 2 8 3 2 2 2 2" xfId="30220"/>
    <cellStyle name="Note 2 2 2 8 3 2 2 3" xfId="21549"/>
    <cellStyle name="Note 2 2 2 8 3 2 3" xfId="14532"/>
    <cellStyle name="Note 2 2 2 8 3 2 3 2" xfId="28854"/>
    <cellStyle name="Note 2 2 2 8 3 2 4" xfId="20177"/>
    <cellStyle name="Note 2 2 2 8 3 3" xfId="12488"/>
    <cellStyle name="Note 2 2 2 8 3 3 2" xfId="26810"/>
    <cellStyle name="Note 2 2 2 8 3 4" xfId="18133"/>
    <cellStyle name="Note 2 2 2 8 4" xfId="5212"/>
    <cellStyle name="Note 2 2 2 8 4 2" xfId="11761"/>
    <cellStyle name="Note 2 2 2 8 4 2 2" xfId="26083"/>
    <cellStyle name="Note 2 2 2 8 4 3" xfId="17406"/>
    <cellStyle name="Note 2 2 2 8 5" xfId="6743"/>
    <cellStyle name="Note 2 2 2 8 5 2" xfId="23692"/>
    <cellStyle name="Note 2 2 2 8 6" xfId="3850"/>
    <cellStyle name="Note 2 2 2 9" xfId="1802"/>
    <cellStyle name="Note 2 2 2 9 2" xfId="6166"/>
    <cellStyle name="Note 2 2 2 9 2 2" xfId="12739"/>
    <cellStyle name="Note 2 2 2 9 2 2 2" xfId="27061"/>
    <cellStyle name="Note 2 2 2 9 2 3" xfId="18384"/>
    <cellStyle name="Note 2 2 2 9 3" xfId="4327"/>
    <cellStyle name="Note 2 2 2 9 3 2" xfId="9449"/>
    <cellStyle name="Note 2 2 2 9 3 2 2" xfId="15711"/>
    <cellStyle name="Note 2 2 2 9 3 2 2 2" xfId="29127"/>
    <cellStyle name="Note 2 2 2 9 3 2 3" xfId="20456"/>
    <cellStyle name="Note 2 2 2 9 3 3" xfId="4365"/>
    <cellStyle name="Note 2 2 2 9 3 3 2" xfId="22907"/>
    <cellStyle name="Note 2 2 2 9 3 4" xfId="5724"/>
    <cellStyle name="Note 2 2 2 9 4" xfId="3640"/>
    <cellStyle name="Note 2 2 2 9 4 2" xfId="22500"/>
    <cellStyle name="Note 2 2 2 9 5" xfId="14915"/>
    <cellStyle name="Note 2 2 3" xfId="1803"/>
    <cellStyle name="Note 2 2 3 2" xfId="6930"/>
    <cellStyle name="Note 2 2 3 2 2" xfId="13534"/>
    <cellStyle name="Note 2 2 3 2 2 2" xfId="27856"/>
    <cellStyle name="Note 2 2 3 2 3" xfId="19179"/>
    <cellStyle name="Note 2 2 3 3" xfId="7110"/>
    <cellStyle name="Note 2 2 3 3 2" xfId="9724"/>
    <cellStyle name="Note 2 2 3 3 2 2" xfId="15986"/>
    <cellStyle name="Note 2 2 3 3 2 2 2" xfId="29402"/>
    <cellStyle name="Note 2 2 3 3 2 3" xfId="20731"/>
    <cellStyle name="Note 2 2 3 3 3" xfId="13714"/>
    <cellStyle name="Note 2 2 3 3 3 2" xfId="28036"/>
    <cellStyle name="Note 2 2 3 3 4" xfId="19359"/>
    <cellStyle name="Note 2 2 3 4" xfId="11423"/>
    <cellStyle name="Note 2 2 3 4 2" xfId="25745"/>
    <cellStyle name="Note 2 2 3 5" xfId="15568"/>
    <cellStyle name="Note 2 2 4" xfId="3874"/>
    <cellStyle name="Note 2 2 4 2" xfId="4888"/>
    <cellStyle name="Note 2 2 4 2 2" xfId="23246"/>
    <cellStyle name="Note 2 2 4 3" xfId="14698"/>
    <cellStyle name="Note 2 2 5" xfId="4894"/>
    <cellStyle name="Note 2 2 5 2" xfId="23252"/>
    <cellStyle name="Note 2 2 6" xfId="4191"/>
    <cellStyle name="Note 2 2 7" xfId="14797"/>
    <cellStyle name="Note 2 2 8" xfId="21702"/>
    <cellStyle name="Note 2 3" xfId="1804"/>
    <cellStyle name="Note 2 3 10" xfId="1805"/>
    <cellStyle name="Note 2 3 10 2" xfId="7433"/>
    <cellStyle name="Note 2 3 10 2 2" xfId="10047"/>
    <cellStyle name="Note 2 3 10 2 2 2" xfId="16309"/>
    <cellStyle name="Note 2 3 10 2 2 2 2" xfId="29725"/>
    <cellStyle name="Note 2 3 10 2 2 3" xfId="21054"/>
    <cellStyle name="Note 2 3 10 2 3" xfId="14037"/>
    <cellStyle name="Note 2 3 10 2 3 2" xfId="28359"/>
    <cellStyle name="Note 2 3 10 2 4" xfId="19682"/>
    <cellStyle name="Note 2 3 10 3" xfId="11965"/>
    <cellStyle name="Note 2 3 10 3 2" xfId="26287"/>
    <cellStyle name="Note 2 3 10 4" xfId="17610"/>
    <cellStyle name="Note 2 3 11" xfId="4827"/>
    <cellStyle name="Note 2 3 11 2" xfId="11360"/>
    <cellStyle name="Note 2 3 11 2 2" xfId="25682"/>
    <cellStyle name="Note 2 3 11 3" xfId="15244"/>
    <cellStyle name="Note 2 3 12" xfId="6749"/>
    <cellStyle name="Note 2 3 12 2" xfId="23697"/>
    <cellStyle name="Note 2 3 13" xfId="15409"/>
    <cellStyle name="Note 2 3 2" xfId="1806"/>
    <cellStyle name="Note 2 3 2 10" xfId="5378"/>
    <cellStyle name="Note 2 3 2 10 2" xfId="11928"/>
    <cellStyle name="Note 2 3 2 10 2 2" xfId="26250"/>
    <cellStyle name="Note 2 3 2 10 3" xfId="17573"/>
    <cellStyle name="Note 2 3 2 11" xfId="4138"/>
    <cellStyle name="Note 2 3 2 11 2" xfId="22776"/>
    <cellStyle name="Note 2 3 2 12" xfId="4552"/>
    <cellStyle name="Note 2 3 2 2" xfId="1807"/>
    <cellStyle name="Note 2 3 2 2 10" xfId="3882"/>
    <cellStyle name="Note 2 3 2 2 10 2" xfId="22625"/>
    <cellStyle name="Note 2 3 2 2 11" xfId="15052"/>
    <cellStyle name="Note 2 3 2 2 2" xfId="1808"/>
    <cellStyle name="Note 2 3 2 2 2 2" xfId="1809"/>
    <cellStyle name="Note 2 3 2 2 2 2 2" xfId="1810"/>
    <cellStyle name="Note 2 3 2 2 2 2 2 2" xfId="6552"/>
    <cellStyle name="Note 2 3 2 2 2 2 2 2 2" xfId="13140"/>
    <cellStyle name="Note 2 3 2 2 2 2 2 2 2 2" xfId="27462"/>
    <cellStyle name="Note 2 3 2 2 2 2 2 2 3" xfId="18785"/>
    <cellStyle name="Note 2 3 2 2 2 2 2 3" xfId="7130"/>
    <cellStyle name="Note 2 3 2 2 2 2 2 3 2" xfId="9744"/>
    <cellStyle name="Note 2 3 2 2 2 2 2 3 2 2" xfId="16006"/>
    <cellStyle name="Note 2 3 2 2 2 2 2 3 2 2 2" xfId="29422"/>
    <cellStyle name="Note 2 3 2 2 2 2 2 3 2 3" xfId="20751"/>
    <cellStyle name="Note 2 3 2 2 2 2 2 3 3" xfId="13734"/>
    <cellStyle name="Note 2 3 2 2 2 2 2 3 3 2" xfId="28056"/>
    <cellStyle name="Note 2 3 2 2 2 2 2 3 4" xfId="19379"/>
    <cellStyle name="Note 2 3 2 2 2 2 2 4" xfId="4128"/>
    <cellStyle name="Note 2 3 2 2 2 2 2 4 2" xfId="22770"/>
    <cellStyle name="Note 2 3 2 2 2 2 2 5" xfId="14792"/>
    <cellStyle name="Note 2 3 2 2 2 2 3" xfId="1811"/>
    <cellStyle name="Note 2 3 2 2 2 2 3 2" xfId="5341"/>
    <cellStyle name="Note 2 3 2 2 2 2 3 2 2" xfId="9650"/>
    <cellStyle name="Note 2 3 2 2 2 2 3 2 2 2" xfId="15912"/>
    <cellStyle name="Note 2 3 2 2 2 2 3 2 2 2 2" xfId="29328"/>
    <cellStyle name="Note 2 3 2 2 2 2 3 2 2 3" xfId="20657"/>
    <cellStyle name="Note 2 3 2 2 2 2 3 2 3" xfId="11891"/>
    <cellStyle name="Note 2 3 2 2 2 2 3 2 3 2" xfId="26213"/>
    <cellStyle name="Note 2 3 2 2 2 2 3 2 4" xfId="17536"/>
    <cellStyle name="Note 2 3 2 2 2 2 3 3" xfId="13320"/>
    <cellStyle name="Note 2 3 2 2 2 2 3 3 2" xfId="27642"/>
    <cellStyle name="Note 2 3 2 2 2 2 3 4" xfId="18965"/>
    <cellStyle name="Note 2 3 2 2 2 2 4" xfId="5770"/>
    <cellStyle name="Note 2 3 2 2 2 2 4 2" xfId="12323"/>
    <cellStyle name="Note 2 3 2 2 2 2 4 2 2" xfId="26645"/>
    <cellStyle name="Note 2 3 2 2 2 2 4 3" xfId="17968"/>
    <cellStyle name="Note 2 3 2 2 2 2 5" xfId="6624"/>
    <cellStyle name="Note 2 3 2 2 2 2 5 2" xfId="23613"/>
    <cellStyle name="Note 2 3 2 2 2 2 6" xfId="14921"/>
    <cellStyle name="Note 2 3 2 2 2 3" xfId="1812"/>
    <cellStyle name="Note 2 3 2 2 2 3 2" xfId="1813"/>
    <cellStyle name="Note 2 3 2 2 2 3 2 2" xfId="5980"/>
    <cellStyle name="Note 2 3 2 2 2 3 2 2 2" xfId="12538"/>
    <cellStyle name="Note 2 3 2 2 2 3 2 2 2 2" xfId="26860"/>
    <cellStyle name="Note 2 3 2 2 2 3 2 2 3" xfId="18183"/>
    <cellStyle name="Note 2 3 2 2 2 3 2 3" xfId="7674"/>
    <cellStyle name="Note 2 3 2 2 2 3 2 3 2" xfId="10288"/>
    <cellStyle name="Note 2 3 2 2 2 3 2 3 2 2" xfId="16550"/>
    <cellStyle name="Note 2 3 2 2 2 3 2 3 2 2 2" xfId="29966"/>
    <cellStyle name="Note 2 3 2 2 2 3 2 3 2 3" xfId="21295"/>
    <cellStyle name="Note 2 3 2 2 2 3 2 3 3" xfId="14278"/>
    <cellStyle name="Note 2 3 2 2 2 3 2 3 3 2" xfId="28600"/>
    <cellStyle name="Note 2 3 2 2 2 3 2 3 4" xfId="19923"/>
    <cellStyle name="Note 2 3 2 2 2 3 2 4" xfId="3182"/>
    <cellStyle name="Note 2 3 2 2 2 3 2 4 2" xfId="22428"/>
    <cellStyle name="Note 2 3 2 2 2 3 2 5" xfId="17356"/>
    <cellStyle name="Note 2 3 2 2 2 3 3" xfId="1814"/>
    <cellStyle name="Note 2 3 2 2 2 3 3 2" xfId="7589"/>
    <cellStyle name="Note 2 3 2 2 2 3 3 2 2" xfId="10203"/>
    <cellStyle name="Note 2 3 2 2 2 3 3 2 2 2" xfId="16465"/>
    <cellStyle name="Note 2 3 2 2 2 3 3 2 2 2 2" xfId="29881"/>
    <cellStyle name="Note 2 3 2 2 2 3 3 2 2 3" xfId="21210"/>
    <cellStyle name="Note 2 3 2 2 2 3 3 2 3" xfId="14193"/>
    <cellStyle name="Note 2 3 2 2 2 3 3 2 3 2" xfId="28515"/>
    <cellStyle name="Note 2 3 2 2 2 3 3 2 4" xfId="19838"/>
    <cellStyle name="Note 2 3 2 2 2 3 3 3" xfId="12639"/>
    <cellStyle name="Note 2 3 2 2 2 3 3 3 2" xfId="26961"/>
    <cellStyle name="Note 2 3 2 2 2 3 3 4" xfId="18284"/>
    <cellStyle name="Note 2 3 2 2 2 3 4" xfId="5193"/>
    <cellStyle name="Note 2 3 2 2 2 3 4 2" xfId="11742"/>
    <cellStyle name="Note 2 3 2 2 2 3 4 2 2" xfId="26064"/>
    <cellStyle name="Note 2 3 2 2 2 3 4 3" xfId="6595"/>
    <cellStyle name="Note 2 3 2 2 2 3 5" xfId="3747"/>
    <cellStyle name="Note 2 3 2 2 2 3 5 2" xfId="22561"/>
    <cellStyle name="Note 2 3 2 2 2 3 6" xfId="15101"/>
    <cellStyle name="Note 2 3 2 2 2 4" xfId="1815"/>
    <cellStyle name="Note 2 3 2 2 2 4 2" xfId="6378"/>
    <cellStyle name="Note 2 3 2 2 2 4 2 2" xfId="12961"/>
    <cellStyle name="Note 2 3 2 2 2 4 2 2 2" xfId="27283"/>
    <cellStyle name="Note 2 3 2 2 2 4 2 3" xfId="18606"/>
    <cellStyle name="Note 2 3 2 2 2 4 3" xfId="7290"/>
    <cellStyle name="Note 2 3 2 2 2 4 3 2" xfId="9904"/>
    <cellStyle name="Note 2 3 2 2 2 4 3 2 2" xfId="16166"/>
    <cellStyle name="Note 2 3 2 2 2 4 3 2 2 2" xfId="29582"/>
    <cellStyle name="Note 2 3 2 2 2 4 3 2 3" xfId="20911"/>
    <cellStyle name="Note 2 3 2 2 2 4 3 3" xfId="13894"/>
    <cellStyle name="Note 2 3 2 2 2 4 3 3 2" xfId="28216"/>
    <cellStyle name="Note 2 3 2 2 2 4 3 4" xfId="19539"/>
    <cellStyle name="Note 2 3 2 2 2 4 4" xfId="3952"/>
    <cellStyle name="Note 2 3 2 2 2 4 4 2" xfId="22665"/>
    <cellStyle name="Note 2 3 2 2 2 4 5" xfId="15482"/>
    <cellStyle name="Note 2 3 2 2 2 5" xfId="1816"/>
    <cellStyle name="Note 2 3 2 2 2 5 2" xfId="7439"/>
    <cellStyle name="Note 2 3 2 2 2 5 2 2" xfId="10053"/>
    <cellStyle name="Note 2 3 2 2 2 5 2 2 2" xfId="16315"/>
    <cellStyle name="Note 2 3 2 2 2 5 2 2 2 2" xfId="29731"/>
    <cellStyle name="Note 2 3 2 2 2 5 2 2 3" xfId="21060"/>
    <cellStyle name="Note 2 3 2 2 2 5 2 3" xfId="14043"/>
    <cellStyle name="Note 2 3 2 2 2 5 2 3 2" xfId="28365"/>
    <cellStyle name="Note 2 3 2 2 2 5 2 4" xfId="19688"/>
    <cellStyle name="Note 2 3 2 2 2 5 3" xfId="12896"/>
    <cellStyle name="Note 2 3 2 2 2 5 3 2" xfId="27218"/>
    <cellStyle name="Note 2 3 2 2 2 5 4" xfId="18541"/>
    <cellStyle name="Note 2 3 2 2 2 6" xfId="5514"/>
    <cellStyle name="Note 2 3 2 2 2 6 2" xfId="12065"/>
    <cellStyle name="Note 2 3 2 2 2 6 2 2" xfId="26387"/>
    <cellStyle name="Note 2 3 2 2 2 6 3" xfId="17710"/>
    <cellStyle name="Note 2 3 2 2 2 7" xfId="4333"/>
    <cellStyle name="Note 2 3 2 2 2 7 2" xfId="22892"/>
    <cellStyle name="Note 2 3 2 2 2 8" xfId="4858"/>
    <cellStyle name="Note 2 3 2 2 3" xfId="1817"/>
    <cellStyle name="Note 2 3 2 2 3 2" xfId="1818"/>
    <cellStyle name="Note 2 3 2 2 3 2 2" xfId="1819"/>
    <cellStyle name="Note 2 3 2 2 3 2 2 2" xfId="6830"/>
    <cellStyle name="Note 2 3 2 2 3 2 2 2 2" xfId="13434"/>
    <cellStyle name="Note 2 3 2 2 3 2 2 2 2 2" xfId="27756"/>
    <cellStyle name="Note 2 3 2 2 3 2 2 2 3" xfId="19079"/>
    <cellStyle name="Note 2 3 2 2 3 2 2 3" xfId="5011"/>
    <cellStyle name="Note 2 3 2 2 3 2 2 3 2" xfId="9541"/>
    <cellStyle name="Note 2 3 2 2 3 2 2 3 2 2" xfId="15803"/>
    <cellStyle name="Note 2 3 2 2 3 2 2 3 2 2 2" xfId="29219"/>
    <cellStyle name="Note 2 3 2 2 3 2 2 3 2 3" xfId="20548"/>
    <cellStyle name="Note 2 3 2 2 3 2 2 3 3" xfId="11556"/>
    <cellStyle name="Note 2 3 2 2 3 2 2 3 3 2" xfId="25878"/>
    <cellStyle name="Note 2 3 2 2 3 2 2 3 4" xfId="15109"/>
    <cellStyle name="Note 2 3 2 2 3 2 2 4" xfId="2820"/>
    <cellStyle name="Note 2 3 2 2 3 2 2 4 2" xfId="22383"/>
    <cellStyle name="Note 2 3 2 2 3 2 2 5" xfId="15027"/>
    <cellStyle name="Note 2 3 2 2 3 2 3" xfId="1820"/>
    <cellStyle name="Note 2 3 2 2 3 2 3 2" xfId="7364"/>
    <cellStyle name="Note 2 3 2 2 3 2 3 2 2" xfId="9978"/>
    <cellStyle name="Note 2 3 2 2 3 2 3 2 2 2" xfId="16240"/>
    <cellStyle name="Note 2 3 2 2 3 2 3 2 2 2 2" xfId="29656"/>
    <cellStyle name="Note 2 3 2 2 3 2 3 2 2 3" xfId="20985"/>
    <cellStyle name="Note 2 3 2 2 3 2 3 2 3" xfId="13968"/>
    <cellStyle name="Note 2 3 2 2 3 2 3 2 3 2" xfId="28290"/>
    <cellStyle name="Note 2 3 2 2 3 2 3 2 4" xfId="19613"/>
    <cellStyle name="Note 2 3 2 2 3 2 3 3" xfId="13356"/>
    <cellStyle name="Note 2 3 2 2 3 2 3 3 2" xfId="27678"/>
    <cellStyle name="Note 2 3 2 2 3 2 3 4" xfId="19001"/>
    <cellStyle name="Note 2 3 2 2 3 2 4" xfId="5806"/>
    <cellStyle name="Note 2 3 2 2 3 2 4 2" xfId="12359"/>
    <cellStyle name="Note 2 3 2 2 3 2 4 2 2" xfId="26681"/>
    <cellStyle name="Note 2 3 2 2 3 2 4 3" xfId="18004"/>
    <cellStyle name="Note 2 3 2 2 3 2 5" xfId="6590"/>
    <cellStyle name="Note 2 3 2 2 3 2 5 2" xfId="23593"/>
    <cellStyle name="Note 2 3 2 2 3 2 6" xfId="15436"/>
    <cellStyle name="Note 2 3 2 2 3 3" xfId="1821"/>
    <cellStyle name="Note 2 3 2 2 3 3 2" xfId="1822"/>
    <cellStyle name="Note 2 3 2 2 3 3 2 2" xfId="6592"/>
    <cellStyle name="Note 2 3 2 2 3 3 2 2 2" xfId="13181"/>
    <cellStyle name="Note 2 3 2 2 3 3 2 2 2 2" xfId="27503"/>
    <cellStyle name="Note 2 3 2 2 3 3 2 2 3" xfId="18826"/>
    <cellStyle name="Note 2 3 2 2 3 3 2 3" xfId="4418"/>
    <cellStyle name="Note 2 3 2 2 3 3 2 3 2" xfId="9465"/>
    <cellStyle name="Note 2 3 2 2 3 3 2 3 2 2" xfId="15727"/>
    <cellStyle name="Note 2 3 2 2 3 3 2 3 2 2 2" xfId="29143"/>
    <cellStyle name="Note 2 3 2 2 3 3 2 3 2 3" xfId="20472"/>
    <cellStyle name="Note 2 3 2 2 3 3 2 3 3" xfId="6480"/>
    <cellStyle name="Note 2 3 2 2 3 3 2 3 3 2" xfId="23562"/>
    <cellStyle name="Note 2 3 2 2 3 3 2 3 4" xfId="4394"/>
    <cellStyle name="Note 2 3 2 2 3 3 2 4" xfId="4271"/>
    <cellStyle name="Note 2 3 2 2 3 3 2 4 2" xfId="22862"/>
    <cellStyle name="Note 2 3 2 2 3 3 2 5" xfId="17041"/>
    <cellStyle name="Note 2 3 2 2 3 3 3" xfId="1823"/>
    <cellStyle name="Note 2 3 2 2 3 3 3 2" xfId="7393"/>
    <cellStyle name="Note 2 3 2 2 3 3 3 2 2" xfId="10007"/>
    <cellStyle name="Note 2 3 2 2 3 3 3 2 2 2" xfId="16269"/>
    <cellStyle name="Note 2 3 2 2 3 3 3 2 2 2 2" xfId="29685"/>
    <cellStyle name="Note 2 3 2 2 3 3 3 2 2 3" xfId="21014"/>
    <cellStyle name="Note 2 3 2 2 3 3 3 2 3" xfId="13997"/>
    <cellStyle name="Note 2 3 2 2 3 3 3 2 3 2" xfId="28319"/>
    <cellStyle name="Note 2 3 2 2 3 3 3 2 4" xfId="19642"/>
    <cellStyle name="Note 2 3 2 2 3 3 3 3" xfId="12696"/>
    <cellStyle name="Note 2 3 2 2 3 3 3 3 2" xfId="27018"/>
    <cellStyle name="Note 2 3 2 2 3 3 3 4" xfId="18341"/>
    <cellStyle name="Note 2 3 2 2 3 3 4" xfId="5145"/>
    <cellStyle name="Note 2 3 2 2 3 3 4 2" xfId="11694"/>
    <cellStyle name="Note 2 3 2 2 3 3 4 2 2" xfId="26016"/>
    <cellStyle name="Note 2 3 2 2 3 3 4 3" xfId="3885"/>
    <cellStyle name="Note 2 3 2 2 3 3 5" xfId="4481"/>
    <cellStyle name="Note 2 3 2 2 3 3 5 2" xfId="22979"/>
    <cellStyle name="Note 2 3 2 2 3 3 6" xfId="15490"/>
    <cellStyle name="Note 2 3 2 2 3 4" xfId="1824"/>
    <cellStyle name="Note 2 3 2 2 3 4 2" xfId="6416"/>
    <cellStyle name="Note 2 3 2 2 3 4 2 2" xfId="12999"/>
    <cellStyle name="Note 2 3 2 2 3 4 2 2 2" xfId="27321"/>
    <cellStyle name="Note 2 3 2 2 3 4 2 3" xfId="18644"/>
    <cellStyle name="Note 2 3 2 2 3 4 3" xfId="3588"/>
    <cellStyle name="Note 2 3 2 2 3 4 3 2" xfId="9338"/>
    <cellStyle name="Note 2 3 2 2 3 4 3 2 2" xfId="15600"/>
    <cellStyle name="Note 2 3 2 2 3 4 3 2 2 2" xfId="29016"/>
    <cellStyle name="Note 2 3 2 2 3 4 3 2 3" xfId="20345"/>
    <cellStyle name="Note 2 3 2 2 3 4 3 3" xfId="4424"/>
    <cellStyle name="Note 2 3 2 2 3 4 3 3 2" xfId="22942"/>
    <cellStyle name="Note 2 3 2 2 3 4 3 4" xfId="14932"/>
    <cellStyle name="Note 2 3 2 2 3 4 4" xfId="4539"/>
    <cellStyle name="Note 2 3 2 2 3 4 4 2" xfId="23019"/>
    <cellStyle name="Note 2 3 2 2 3 4 5" xfId="17055"/>
    <cellStyle name="Note 2 3 2 2 3 5" xfId="1825"/>
    <cellStyle name="Note 2 3 2 2 3 5 2" xfId="7460"/>
    <cellStyle name="Note 2 3 2 2 3 5 2 2" xfId="10074"/>
    <cellStyle name="Note 2 3 2 2 3 5 2 2 2" xfId="16336"/>
    <cellStyle name="Note 2 3 2 2 3 5 2 2 2 2" xfId="29752"/>
    <cellStyle name="Note 2 3 2 2 3 5 2 2 3" xfId="21081"/>
    <cellStyle name="Note 2 3 2 2 3 5 2 3" xfId="14064"/>
    <cellStyle name="Note 2 3 2 2 3 5 2 3 2" xfId="28386"/>
    <cellStyle name="Note 2 3 2 2 3 5 2 4" xfId="19709"/>
    <cellStyle name="Note 2 3 2 2 3 5 3" xfId="12932"/>
    <cellStyle name="Note 2 3 2 2 3 5 3 2" xfId="27254"/>
    <cellStyle name="Note 2 3 2 2 3 5 4" xfId="18577"/>
    <cellStyle name="Note 2 3 2 2 3 6" xfId="5556"/>
    <cellStyle name="Note 2 3 2 2 3 6 2" xfId="12107"/>
    <cellStyle name="Note 2 3 2 2 3 6 2 2" xfId="26429"/>
    <cellStyle name="Note 2 3 2 2 3 6 3" xfId="17752"/>
    <cellStyle name="Note 2 3 2 2 3 7" xfId="4588"/>
    <cellStyle name="Note 2 3 2 2 3 7 2" xfId="23051"/>
    <cellStyle name="Note 2 3 2 2 3 8" xfId="4374"/>
    <cellStyle name="Note 2 3 2 2 4" xfId="1826"/>
    <cellStyle name="Note 2 3 2 2 4 2" xfId="1827"/>
    <cellStyle name="Note 2 3 2 2 4 2 2" xfId="1828"/>
    <cellStyle name="Note 2 3 2 2 4 2 2 2" xfId="6882"/>
    <cellStyle name="Note 2 3 2 2 4 2 2 2 2" xfId="13486"/>
    <cellStyle name="Note 2 3 2 2 4 2 2 2 2 2" xfId="27808"/>
    <cellStyle name="Note 2 3 2 2 4 2 2 2 3" xfId="19131"/>
    <cellStyle name="Note 2 3 2 2 4 2 2 3" xfId="7585"/>
    <cellStyle name="Note 2 3 2 2 4 2 2 3 2" xfId="10199"/>
    <cellStyle name="Note 2 3 2 2 4 2 2 3 2 2" xfId="16461"/>
    <cellStyle name="Note 2 3 2 2 4 2 2 3 2 2 2" xfId="29877"/>
    <cellStyle name="Note 2 3 2 2 4 2 2 3 2 3" xfId="21206"/>
    <cellStyle name="Note 2 3 2 2 4 2 2 3 3" xfId="14189"/>
    <cellStyle name="Note 2 3 2 2 4 2 2 3 3 2" xfId="28511"/>
    <cellStyle name="Note 2 3 2 2 4 2 2 3 4" xfId="19834"/>
    <cellStyle name="Note 2 3 2 2 4 2 2 4" xfId="11356"/>
    <cellStyle name="Note 2 3 2 2 4 2 2 4 2" xfId="25678"/>
    <cellStyle name="Note 2 3 2 2 4 2 2 5" xfId="17346"/>
    <cellStyle name="Note 2 3 2 2 4 2 3" xfId="1829"/>
    <cellStyle name="Note 2 3 2 2 4 2 3 2" xfId="4457"/>
    <cellStyle name="Note 2 3 2 2 4 2 3 2 2" xfId="9467"/>
    <cellStyle name="Note 2 3 2 2 4 2 3 2 2 2" xfId="15729"/>
    <cellStyle name="Note 2 3 2 2 4 2 3 2 2 2 2" xfId="29145"/>
    <cellStyle name="Note 2 3 2 2 4 2 3 2 2 3" xfId="20474"/>
    <cellStyle name="Note 2 3 2 2 4 2 3 2 3" xfId="6131"/>
    <cellStyle name="Note 2 3 2 2 4 2 3 2 3 2" xfId="23423"/>
    <cellStyle name="Note 2 3 2 2 4 2 3 2 4" xfId="15375"/>
    <cellStyle name="Note 2 3 2 2 4 2 3 3" xfId="13242"/>
    <cellStyle name="Note 2 3 2 2 4 2 3 3 2" xfId="27564"/>
    <cellStyle name="Note 2 3 2 2 4 2 3 4" xfId="18887"/>
    <cellStyle name="Note 2 3 2 2 4 2 4" xfId="5683"/>
    <cellStyle name="Note 2 3 2 2 4 2 4 2" xfId="12236"/>
    <cellStyle name="Note 2 3 2 2 4 2 4 2 2" xfId="26558"/>
    <cellStyle name="Note 2 3 2 2 4 2 4 3" xfId="17881"/>
    <cellStyle name="Note 2 3 2 2 4 2 5" xfId="4233"/>
    <cellStyle name="Note 2 3 2 2 4 2 5 2" xfId="22843"/>
    <cellStyle name="Note 2 3 2 2 4 2 6" xfId="16971"/>
    <cellStyle name="Note 2 3 2 2 4 3" xfId="1830"/>
    <cellStyle name="Note 2 3 2 2 4 3 2" xfId="1831"/>
    <cellStyle name="Note 2 3 2 2 4 3 2 2" xfId="6846"/>
    <cellStyle name="Note 2 3 2 2 4 3 2 2 2" xfId="13450"/>
    <cellStyle name="Note 2 3 2 2 4 3 2 2 2 2" xfId="27772"/>
    <cellStyle name="Note 2 3 2 2 4 3 2 2 3" xfId="19095"/>
    <cellStyle name="Note 2 3 2 2 4 3 2 3" xfId="5284"/>
    <cellStyle name="Note 2 3 2 2 4 3 2 3 2" xfId="9593"/>
    <cellStyle name="Note 2 3 2 2 4 3 2 3 2 2" xfId="15855"/>
    <cellStyle name="Note 2 3 2 2 4 3 2 3 2 2 2" xfId="29271"/>
    <cellStyle name="Note 2 3 2 2 4 3 2 3 2 3" xfId="20600"/>
    <cellStyle name="Note 2 3 2 2 4 3 2 3 3" xfId="11834"/>
    <cellStyle name="Note 2 3 2 2 4 3 2 3 3 2" xfId="26156"/>
    <cellStyle name="Note 2 3 2 2 4 3 2 3 4" xfId="17479"/>
    <cellStyle name="Note 2 3 2 2 4 3 2 4" xfId="2809"/>
    <cellStyle name="Note 2 3 2 2 4 3 2 4 2" xfId="22372"/>
    <cellStyle name="Note 2 3 2 2 4 3 2 5" xfId="17004"/>
    <cellStyle name="Note 2 3 2 2 4 3 3" xfId="1832"/>
    <cellStyle name="Note 2 3 2 2 4 3 3 2" xfId="7845"/>
    <cellStyle name="Note 2 3 2 2 4 3 3 2 2" xfId="10459"/>
    <cellStyle name="Note 2 3 2 2 4 3 3 2 2 2" xfId="16721"/>
    <cellStyle name="Note 2 3 2 2 4 3 3 2 2 2 2" xfId="30137"/>
    <cellStyle name="Note 2 3 2 2 4 3 3 2 2 3" xfId="21466"/>
    <cellStyle name="Note 2 3 2 2 4 3 3 2 3" xfId="14449"/>
    <cellStyle name="Note 2 3 2 2 4 3 3 2 3 2" xfId="28771"/>
    <cellStyle name="Note 2 3 2 2 4 3 3 2 4" xfId="20094"/>
    <cellStyle name="Note 2 3 2 2 4 3 3 3" xfId="13035"/>
    <cellStyle name="Note 2 3 2 2 4 3 3 3 2" xfId="27357"/>
    <cellStyle name="Note 2 3 2 2 4 3 3 4" xfId="18680"/>
    <cellStyle name="Note 2 3 2 2 4 3 4" xfId="5348"/>
    <cellStyle name="Note 2 3 2 2 4 3 4 2" xfId="11898"/>
    <cellStyle name="Note 2 3 2 2 4 3 4 2 2" xfId="26220"/>
    <cellStyle name="Note 2 3 2 2 4 3 4 3" xfId="17543"/>
    <cellStyle name="Note 2 3 2 2 4 3 5" xfId="6574"/>
    <cellStyle name="Note 2 3 2 2 4 3 5 2" xfId="23584"/>
    <cellStyle name="Note 2 3 2 2 4 3 6" xfId="17168"/>
    <cellStyle name="Note 2 3 2 2 4 4" xfId="1833"/>
    <cellStyle name="Note 2 3 2 2 4 4 2" xfId="6229"/>
    <cellStyle name="Note 2 3 2 2 4 4 2 2" xfId="12804"/>
    <cellStyle name="Note 2 3 2 2 4 4 2 2 2" xfId="27126"/>
    <cellStyle name="Note 2 3 2 2 4 4 2 3" xfId="18449"/>
    <cellStyle name="Note 2 3 2 2 4 4 3" xfId="7788"/>
    <cellStyle name="Note 2 3 2 2 4 4 3 2" xfId="10402"/>
    <cellStyle name="Note 2 3 2 2 4 4 3 2 2" xfId="16664"/>
    <cellStyle name="Note 2 3 2 2 4 4 3 2 2 2" xfId="30080"/>
    <cellStyle name="Note 2 3 2 2 4 4 3 2 3" xfId="21409"/>
    <cellStyle name="Note 2 3 2 2 4 4 3 3" xfId="14392"/>
    <cellStyle name="Note 2 3 2 2 4 4 3 3 2" xfId="28714"/>
    <cellStyle name="Note 2 3 2 2 4 4 3 4" xfId="20037"/>
    <cellStyle name="Note 2 3 2 2 4 4 4" xfId="6261"/>
    <cellStyle name="Note 2 3 2 2 4 4 4 2" xfId="23479"/>
    <cellStyle name="Note 2 3 2 2 4 4 5" xfId="15032"/>
    <cellStyle name="Note 2 3 2 2 4 5" xfId="1834"/>
    <cellStyle name="Note 2 3 2 2 4 5 2" xfId="7468"/>
    <cellStyle name="Note 2 3 2 2 4 5 2 2" xfId="10082"/>
    <cellStyle name="Note 2 3 2 2 4 5 2 2 2" xfId="16344"/>
    <cellStyle name="Note 2 3 2 2 4 5 2 2 2 2" xfId="29760"/>
    <cellStyle name="Note 2 3 2 2 4 5 2 2 3" xfId="21089"/>
    <cellStyle name="Note 2 3 2 2 4 5 2 3" xfId="14072"/>
    <cellStyle name="Note 2 3 2 2 4 5 2 3 2" xfId="28394"/>
    <cellStyle name="Note 2 3 2 2 4 5 2 4" xfId="19717"/>
    <cellStyle name="Note 2 3 2 2 4 5 3" xfId="12702"/>
    <cellStyle name="Note 2 3 2 2 4 5 3 2" xfId="27024"/>
    <cellStyle name="Note 2 3 2 2 4 5 4" xfId="18347"/>
    <cellStyle name="Note 2 3 2 2 4 6" xfId="5131"/>
    <cellStyle name="Note 2 3 2 2 4 6 2" xfId="11680"/>
    <cellStyle name="Note 2 3 2 2 4 6 2 2" xfId="26002"/>
    <cellStyle name="Note 2 3 2 2 4 6 3" xfId="3642"/>
    <cellStyle name="Note 2 3 2 2 4 7" xfId="4013"/>
    <cellStyle name="Note 2 3 2 2 4 7 2" xfId="22701"/>
    <cellStyle name="Note 2 3 2 2 4 8" xfId="14776"/>
    <cellStyle name="Note 2 3 2 2 5" xfId="1835"/>
    <cellStyle name="Note 2 3 2 2 5 2" xfId="1836"/>
    <cellStyle name="Note 2 3 2 2 5 2 2" xfId="1837"/>
    <cellStyle name="Note 2 3 2 2 5 2 2 2" xfId="6139"/>
    <cellStyle name="Note 2 3 2 2 5 2 2 2 2" xfId="12709"/>
    <cellStyle name="Note 2 3 2 2 5 2 2 2 2 2" xfId="27031"/>
    <cellStyle name="Note 2 3 2 2 5 2 2 2 3" xfId="18354"/>
    <cellStyle name="Note 2 3 2 2 5 2 2 3" xfId="4968"/>
    <cellStyle name="Note 2 3 2 2 5 2 2 3 2" xfId="9527"/>
    <cellStyle name="Note 2 3 2 2 5 2 2 3 2 2" xfId="15789"/>
    <cellStyle name="Note 2 3 2 2 5 2 2 3 2 2 2" xfId="29205"/>
    <cellStyle name="Note 2 3 2 2 5 2 2 3 2 3" xfId="20534"/>
    <cellStyle name="Note 2 3 2 2 5 2 2 3 3" xfId="11510"/>
    <cellStyle name="Note 2 3 2 2 5 2 2 3 3 2" xfId="25832"/>
    <cellStyle name="Note 2 3 2 2 5 2 2 3 4" xfId="14890"/>
    <cellStyle name="Note 2 3 2 2 5 2 2 4" xfId="3818"/>
    <cellStyle name="Note 2 3 2 2 5 2 2 4 2" xfId="22597"/>
    <cellStyle name="Note 2 3 2 2 5 2 2 5" xfId="17366"/>
    <cellStyle name="Note 2 3 2 2 5 2 3" xfId="1838"/>
    <cellStyle name="Note 2 3 2 2 5 2 3 2" xfId="7904"/>
    <cellStyle name="Note 2 3 2 2 5 2 3 2 2" xfId="10518"/>
    <cellStyle name="Note 2 3 2 2 5 2 3 2 2 2" xfId="16780"/>
    <cellStyle name="Note 2 3 2 2 5 2 3 2 2 2 2" xfId="30196"/>
    <cellStyle name="Note 2 3 2 2 5 2 3 2 2 3" xfId="21525"/>
    <cellStyle name="Note 2 3 2 2 5 2 3 2 3" xfId="14508"/>
    <cellStyle name="Note 2 3 2 2 5 2 3 2 3 2" xfId="28830"/>
    <cellStyle name="Note 2 3 2 2 5 2 3 2 4" xfId="20153"/>
    <cellStyle name="Note 2 3 2 2 5 2 3 3" xfId="13371"/>
    <cellStyle name="Note 2 3 2 2 5 2 3 3 2" xfId="27693"/>
    <cellStyle name="Note 2 3 2 2 5 2 3 4" xfId="19016"/>
    <cellStyle name="Note 2 3 2 2 5 2 4" xfId="5822"/>
    <cellStyle name="Note 2 3 2 2 5 2 4 2" xfId="12375"/>
    <cellStyle name="Note 2 3 2 2 5 2 4 2 2" xfId="26697"/>
    <cellStyle name="Note 2 3 2 2 5 2 4 3" xfId="18020"/>
    <cellStyle name="Note 2 3 2 2 5 2 5" xfId="4200"/>
    <cellStyle name="Note 2 3 2 2 5 2 5 2" xfId="22817"/>
    <cellStyle name="Note 2 3 2 2 5 2 6" xfId="14689"/>
    <cellStyle name="Note 2 3 2 2 5 3" xfId="1839"/>
    <cellStyle name="Note 2 3 2 2 5 3 2" xfId="6438"/>
    <cellStyle name="Note 2 3 2 2 5 3 2 2" xfId="13021"/>
    <cellStyle name="Note 2 3 2 2 5 3 2 2 2" xfId="27343"/>
    <cellStyle name="Note 2 3 2 2 5 3 2 3" xfId="18666"/>
    <cellStyle name="Note 2 3 2 2 5 3 3" xfId="7118"/>
    <cellStyle name="Note 2 3 2 2 5 3 3 2" xfId="9732"/>
    <cellStyle name="Note 2 3 2 2 5 3 3 2 2" xfId="15994"/>
    <cellStyle name="Note 2 3 2 2 5 3 3 2 2 2" xfId="29410"/>
    <cellStyle name="Note 2 3 2 2 5 3 3 2 3" xfId="20739"/>
    <cellStyle name="Note 2 3 2 2 5 3 3 3" xfId="13722"/>
    <cellStyle name="Note 2 3 2 2 5 3 3 3 2" xfId="28044"/>
    <cellStyle name="Note 2 3 2 2 5 3 3 4" xfId="19367"/>
    <cellStyle name="Note 2 3 2 2 5 3 4" xfId="6262"/>
    <cellStyle name="Note 2 3 2 2 5 3 4 2" xfId="23480"/>
    <cellStyle name="Note 2 3 2 2 5 3 5" xfId="17327"/>
    <cellStyle name="Note 2 3 2 2 5 4" xfId="1840"/>
    <cellStyle name="Note 2 3 2 2 5 4 2" xfId="5245"/>
    <cellStyle name="Note 2 3 2 2 5 4 2 2" xfId="9555"/>
    <cellStyle name="Note 2 3 2 2 5 4 2 2 2" xfId="15817"/>
    <cellStyle name="Note 2 3 2 2 5 4 2 2 2 2" xfId="29233"/>
    <cellStyle name="Note 2 3 2 2 5 4 2 2 3" xfId="20562"/>
    <cellStyle name="Note 2 3 2 2 5 4 2 3" xfId="11795"/>
    <cellStyle name="Note 2 3 2 2 5 4 2 3 2" xfId="26117"/>
    <cellStyle name="Note 2 3 2 2 5 4 2 4" xfId="17440"/>
    <cellStyle name="Note 2 3 2 2 5 4 3" xfId="12719"/>
    <cellStyle name="Note 2 3 2 2 5 4 3 2" xfId="27041"/>
    <cellStyle name="Note 2 3 2 2 5 4 4" xfId="18364"/>
    <cellStyle name="Note 2 3 2 2 5 5" xfId="3144"/>
    <cellStyle name="Note 2 3 2 2 5 5 2" xfId="4713"/>
    <cellStyle name="Note 2 3 2 2 5 5 2 2" xfId="23145"/>
    <cellStyle name="Note 2 3 2 2 5 5 3" xfId="15098"/>
    <cellStyle name="Note 2 3 2 2 5 6" xfId="4230"/>
    <cellStyle name="Note 2 3 2 2 5 6 2" xfId="22840"/>
    <cellStyle name="Note 2 3 2 2 5 7" xfId="17229"/>
    <cellStyle name="Note 2 3 2 2 6" xfId="1841"/>
    <cellStyle name="Note 2 3 2 2 6 2" xfId="1842"/>
    <cellStyle name="Note 2 3 2 2 6 2 2" xfId="5912"/>
    <cellStyle name="Note 2 3 2 2 6 2 2 2" xfId="12466"/>
    <cellStyle name="Note 2 3 2 2 6 2 2 2 2" xfId="26788"/>
    <cellStyle name="Note 2 3 2 2 6 2 2 3" xfId="18111"/>
    <cellStyle name="Note 2 3 2 2 6 2 3" xfId="7500"/>
    <cellStyle name="Note 2 3 2 2 6 2 3 2" xfId="10114"/>
    <cellStyle name="Note 2 3 2 2 6 2 3 2 2" xfId="16376"/>
    <cellStyle name="Note 2 3 2 2 6 2 3 2 2 2" xfId="29792"/>
    <cellStyle name="Note 2 3 2 2 6 2 3 2 3" xfId="21121"/>
    <cellStyle name="Note 2 3 2 2 6 2 3 3" xfId="14104"/>
    <cellStyle name="Note 2 3 2 2 6 2 3 3 2" xfId="28426"/>
    <cellStyle name="Note 2 3 2 2 6 2 3 4" xfId="19749"/>
    <cellStyle name="Note 2 3 2 2 6 2 4" xfId="4476"/>
    <cellStyle name="Note 2 3 2 2 6 2 4 2" xfId="22974"/>
    <cellStyle name="Note 2 3 2 2 6 2 5" xfId="14824"/>
    <cellStyle name="Note 2 3 2 2 6 3" xfId="1843"/>
    <cellStyle name="Note 2 3 2 2 6 3 2" xfId="7310"/>
    <cellStyle name="Note 2 3 2 2 6 3 2 2" xfId="9924"/>
    <cellStyle name="Note 2 3 2 2 6 3 2 2 2" xfId="16186"/>
    <cellStyle name="Note 2 3 2 2 6 3 2 2 2 2" xfId="29602"/>
    <cellStyle name="Note 2 3 2 2 6 3 2 2 3" xfId="20931"/>
    <cellStyle name="Note 2 3 2 2 6 3 2 3" xfId="13914"/>
    <cellStyle name="Note 2 3 2 2 6 3 2 3 2" xfId="28236"/>
    <cellStyle name="Note 2 3 2 2 6 3 2 4" xfId="19559"/>
    <cellStyle name="Note 2 3 2 2 6 3 3" xfId="11682"/>
    <cellStyle name="Note 2 3 2 2 6 3 3 2" xfId="26004"/>
    <cellStyle name="Note 2 3 2 2 6 3 4" xfId="3948"/>
    <cellStyle name="Note 2 3 2 2 6 4" xfId="5129"/>
    <cellStyle name="Note 2 3 2 2 6 4 2" xfId="11678"/>
    <cellStyle name="Note 2 3 2 2 6 4 2 2" xfId="26000"/>
    <cellStyle name="Note 2 3 2 2 6 4 3" xfId="6339"/>
    <cellStyle name="Note 2 3 2 2 6 5" xfId="3739"/>
    <cellStyle name="Note 2 3 2 2 6 5 2" xfId="22556"/>
    <cellStyle name="Note 2 3 2 2 6 6" xfId="15045"/>
    <cellStyle name="Note 2 3 2 2 7" xfId="1844"/>
    <cellStyle name="Note 2 3 2 2 7 2" xfId="6052"/>
    <cellStyle name="Note 2 3 2 2 7 2 2" xfId="12618"/>
    <cellStyle name="Note 2 3 2 2 7 2 2 2" xfId="26940"/>
    <cellStyle name="Note 2 3 2 2 7 2 3" xfId="18263"/>
    <cellStyle name="Note 2 3 2 2 7 3" xfId="7893"/>
    <cellStyle name="Note 2 3 2 2 7 3 2" xfId="10507"/>
    <cellStyle name="Note 2 3 2 2 7 3 2 2" xfId="16769"/>
    <cellStyle name="Note 2 3 2 2 7 3 2 2 2" xfId="30185"/>
    <cellStyle name="Note 2 3 2 2 7 3 2 3" xfId="21514"/>
    <cellStyle name="Note 2 3 2 2 7 3 3" xfId="14497"/>
    <cellStyle name="Note 2 3 2 2 7 3 3 2" xfId="28819"/>
    <cellStyle name="Note 2 3 2 2 7 3 4" xfId="20142"/>
    <cellStyle name="Note 2 3 2 2 7 4" xfId="5923"/>
    <cellStyle name="Note 2 3 2 2 7 4 2" xfId="23373"/>
    <cellStyle name="Note 2 3 2 2 7 5" xfId="17126"/>
    <cellStyle name="Note 2 3 2 2 8" xfId="1845"/>
    <cellStyle name="Note 2 3 2 2 8 2" xfId="7827"/>
    <cellStyle name="Note 2 3 2 2 8 2 2" xfId="10441"/>
    <cellStyle name="Note 2 3 2 2 8 2 2 2" xfId="16703"/>
    <cellStyle name="Note 2 3 2 2 8 2 2 2 2" xfId="30119"/>
    <cellStyle name="Note 2 3 2 2 8 2 2 3" xfId="21448"/>
    <cellStyle name="Note 2 3 2 2 8 2 3" xfId="14431"/>
    <cellStyle name="Note 2 3 2 2 8 2 3 2" xfId="28753"/>
    <cellStyle name="Note 2 3 2 2 8 2 4" xfId="20076"/>
    <cellStyle name="Note 2 3 2 2 8 3" xfId="12760"/>
    <cellStyle name="Note 2 3 2 2 8 3 2" xfId="27082"/>
    <cellStyle name="Note 2 3 2 2 8 4" xfId="18405"/>
    <cellStyle name="Note 2 3 2 2 9" xfId="5471"/>
    <cellStyle name="Note 2 3 2 2 9 2" xfId="12022"/>
    <cellStyle name="Note 2 3 2 2 9 2 2" xfId="26344"/>
    <cellStyle name="Note 2 3 2 2 9 3" xfId="17667"/>
    <cellStyle name="Note 2 3 2 3" xfId="1846"/>
    <cellStyle name="Note 2 3 2 3 2" xfId="1847"/>
    <cellStyle name="Note 2 3 2 3 2 2" xfId="1848"/>
    <cellStyle name="Note 2 3 2 3 2 2 2" xfId="6571"/>
    <cellStyle name="Note 2 3 2 3 2 2 2 2" xfId="13159"/>
    <cellStyle name="Note 2 3 2 3 2 2 2 2 2" xfId="27481"/>
    <cellStyle name="Note 2 3 2 3 2 2 2 3" xfId="18804"/>
    <cellStyle name="Note 2 3 2 3 2 2 3" xfId="7603"/>
    <cellStyle name="Note 2 3 2 3 2 2 3 2" xfId="10217"/>
    <cellStyle name="Note 2 3 2 3 2 2 3 2 2" xfId="16479"/>
    <cellStyle name="Note 2 3 2 3 2 2 3 2 2 2" xfId="29895"/>
    <cellStyle name="Note 2 3 2 3 2 2 3 2 3" xfId="21224"/>
    <cellStyle name="Note 2 3 2 3 2 2 3 3" xfId="14207"/>
    <cellStyle name="Note 2 3 2 3 2 2 3 3 2" xfId="28529"/>
    <cellStyle name="Note 2 3 2 3 2 2 3 4" xfId="19852"/>
    <cellStyle name="Note 2 3 2 3 2 2 4" xfId="3994"/>
    <cellStyle name="Note 2 3 2 3 2 2 4 2" xfId="22691"/>
    <cellStyle name="Note 2 3 2 3 2 2 5" xfId="3771"/>
    <cellStyle name="Note 2 3 2 3 2 3" xfId="1849"/>
    <cellStyle name="Note 2 3 2 3 2 3 2" xfId="7388"/>
    <cellStyle name="Note 2 3 2 3 2 3 2 2" xfId="10002"/>
    <cellStyle name="Note 2 3 2 3 2 3 2 2 2" xfId="16264"/>
    <cellStyle name="Note 2 3 2 3 2 3 2 2 2 2" xfId="29680"/>
    <cellStyle name="Note 2 3 2 3 2 3 2 2 3" xfId="21009"/>
    <cellStyle name="Note 2 3 2 3 2 3 2 3" xfId="13992"/>
    <cellStyle name="Note 2 3 2 3 2 3 2 3 2" xfId="28314"/>
    <cellStyle name="Note 2 3 2 3 2 3 2 4" xfId="19637"/>
    <cellStyle name="Note 2 3 2 3 2 3 3" xfId="13306"/>
    <cellStyle name="Note 2 3 2 3 2 3 3 2" xfId="27628"/>
    <cellStyle name="Note 2 3 2 3 2 3 4" xfId="18951"/>
    <cellStyle name="Note 2 3 2 3 2 4" xfId="5756"/>
    <cellStyle name="Note 2 3 2 3 2 4 2" xfId="12309"/>
    <cellStyle name="Note 2 3 2 3 2 4 2 2" xfId="26631"/>
    <cellStyle name="Note 2 3 2 3 2 4 3" xfId="17954"/>
    <cellStyle name="Note 2 3 2 3 2 5" xfId="6677"/>
    <cellStyle name="Note 2 3 2 3 2 5 2" xfId="23648"/>
    <cellStyle name="Note 2 3 2 3 2 6" xfId="15514"/>
    <cellStyle name="Note 2 3 2 3 3" xfId="1850"/>
    <cellStyle name="Note 2 3 2 3 3 2" xfId="1851"/>
    <cellStyle name="Note 2 3 2 3 3 2 2" xfId="6936"/>
    <cellStyle name="Note 2 3 2 3 3 2 2 2" xfId="13540"/>
    <cellStyle name="Note 2 3 2 3 3 2 2 2 2" xfId="27862"/>
    <cellStyle name="Note 2 3 2 3 3 2 2 3" xfId="19185"/>
    <cellStyle name="Note 2 3 2 3 3 2 3" xfId="7833"/>
    <cellStyle name="Note 2 3 2 3 3 2 3 2" xfId="10447"/>
    <cellStyle name="Note 2 3 2 3 3 2 3 2 2" xfId="16709"/>
    <cellStyle name="Note 2 3 2 3 3 2 3 2 2 2" xfId="30125"/>
    <cellStyle name="Note 2 3 2 3 3 2 3 2 3" xfId="21454"/>
    <cellStyle name="Note 2 3 2 3 3 2 3 3" xfId="14437"/>
    <cellStyle name="Note 2 3 2 3 3 2 3 3 2" xfId="28759"/>
    <cellStyle name="Note 2 3 2 3 3 2 3 4" xfId="20082"/>
    <cellStyle name="Note 2 3 2 3 3 2 4" xfId="11429"/>
    <cellStyle name="Note 2 3 2 3 3 2 4 2" xfId="25751"/>
    <cellStyle name="Note 2 3 2 3 3 2 5" xfId="15163"/>
    <cellStyle name="Note 2 3 2 3 3 3" xfId="1852"/>
    <cellStyle name="Note 2 3 2 3 3 3 2" xfId="7952"/>
    <cellStyle name="Note 2 3 2 3 3 3 2 2" xfId="10566"/>
    <cellStyle name="Note 2 3 2 3 3 3 2 2 2" xfId="16828"/>
    <cellStyle name="Note 2 3 2 3 3 3 2 2 2 2" xfId="30244"/>
    <cellStyle name="Note 2 3 2 3 3 3 2 2 3" xfId="21573"/>
    <cellStyle name="Note 2 3 2 3 3 3 2 3" xfId="14556"/>
    <cellStyle name="Note 2 3 2 3 3 3 2 3 2" xfId="28878"/>
    <cellStyle name="Note 2 3 2 3 3 3 2 4" xfId="20201"/>
    <cellStyle name="Note 2 3 2 3 3 3 3" xfId="13245"/>
    <cellStyle name="Note 2 3 2 3 3 3 3 2" xfId="27567"/>
    <cellStyle name="Note 2 3 2 3 3 3 4" xfId="18890"/>
    <cellStyle name="Note 2 3 2 3 3 4" xfId="5687"/>
    <cellStyle name="Note 2 3 2 3 3 4 2" xfId="12240"/>
    <cellStyle name="Note 2 3 2 3 3 4 2 2" xfId="26562"/>
    <cellStyle name="Note 2 3 2 3 3 4 3" xfId="17885"/>
    <cellStyle name="Note 2 3 2 3 3 5" xfId="6493"/>
    <cellStyle name="Note 2 3 2 3 3 5 2" xfId="23569"/>
    <cellStyle name="Note 2 3 2 3 3 6" xfId="17008"/>
    <cellStyle name="Note 2 3 2 3 4" xfId="1853"/>
    <cellStyle name="Note 2 3 2 3 4 2" xfId="7014"/>
    <cellStyle name="Note 2 3 2 3 4 2 2" xfId="13618"/>
    <cellStyle name="Note 2 3 2 3 4 2 2 2" xfId="27940"/>
    <cellStyle name="Note 2 3 2 3 4 2 3" xfId="19263"/>
    <cellStyle name="Note 2 3 2 3 4 3" xfId="8063"/>
    <cellStyle name="Note 2 3 2 3 4 3 2" xfId="10677"/>
    <cellStyle name="Note 2 3 2 3 4 3 2 2" xfId="16939"/>
    <cellStyle name="Note 2 3 2 3 4 3 2 2 2" xfId="30355"/>
    <cellStyle name="Note 2 3 2 3 4 3 2 3" xfId="21684"/>
    <cellStyle name="Note 2 3 2 3 4 3 3" xfId="14667"/>
    <cellStyle name="Note 2 3 2 3 4 3 3 2" xfId="28989"/>
    <cellStyle name="Note 2 3 2 3 4 3 4" xfId="20312"/>
    <cellStyle name="Note 2 3 2 3 4 4" xfId="11540"/>
    <cellStyle name="Note 2 3 2 3 4 4 2" xfId="25862"/>
    <cellStyle name="Note 2 3 2 3 4 5" xfId="17299"/>
    <cellStyle name="Note 2 3 2 3 5" xfId="1854"/>
    <cellStyle name="Note 2 3 2 3 5 2" xfId="8052"/>
    <cellStyle name="Note 2 3 2 3 5 2 2" xfId="10666"/>
    <cellStyle name="Note 2 3 2 3 5 2 2 2" xfId="16928"/>
    <cellStyle name="Note 2 3 2 3 5 2 2 2 2" xfId="30344"/>
    <cellStyle name="Note 2 3 2 3 5 2 2 3" xfId="21673"/>
    <cellStyle name="Note 2 3 2 3 5 2 3" xfId="14656"/>
    <cellStyle name="Note 2 3 2 3 5 2 3 2" xfId="28978"/>
    <cellStyle name="Note 2 3 2 3 5 2 4" xfId="20301"/>
    <cellStyle name="Note 2 3 2 3 5 3" xfId="12882"/>
    <cellStyle name="Note 2 3 2 3 5 3 2" xfId="27204"/>
    <cellStyle name="Note 2 3 2 3 5 4" xfId="18527"/>
    <cellStyle name="Note 2 3 2 3 6" xfId="5500"/>
    <cellStyle name="Note 2 3 2 3 6 2" xfId="12051"/>
    <cellStyle name="Note 2 3 2 3 6 2 2" xfId="26373"/>
    <cellStyle name="Note 2 3 2 3 6 3" xfId="17696"/>
    <cellStyle name="Note 2 3 2 3 7" xfId="5062"/>
    <cellStyle name="Note 2 3 2 3 7 2" xfId="23322"/>
    <cellStyle name="Note 2 3 2 3 8" xfId="4098"/>
    <cellStyle name="Note 2 3 2 4" xfId="1855"/>
    <cellStyle name="Note 2 3 2 4 2" xfId="1856"/>
    <cellStyle name="Note 2 3 2 4 2 2" xfId="1857"/>
    <cellStyle name="Note 2 3 2 4 2 2 2" xfId="6500"/>
    <cellStyle name="Note 2 3 2 4 2 2 2 2" xfId="13086"/>
    <cellStyle name="Note 2 3 2 4 2 2 2 2 2" xfId="27408"/>
    <cellStyle name="Note 2 3 2 4 2 2 2 3" xfId="18731"/>
    <cellStyle name="Note 2 3 2 4 2 2 3" xfId="7443"/>
    <cellStyle name="Note 2 3 2 4 2 2 3 2" xfId="10057"/>
    <cellStyle name="Note 2 3 2 4 2 2 3 2 2" xfId="16319"/>
    <cellStyle name="Note 2 3 2 4 2 2 3 2 2 2" xfId="29735"/>
    <cellStyle name="Note 2 3 2 4 2 2 3 2 3" xfId="21064"/>
    <cellStyle name="Note 2 3 2 4 2 2 3 3" xfId="14047"/>
    <cellStyle name="Note 2 3 2 4 2 2 3 3 2" xfId="28369"/>
    <cellStyle name="Note 2 3 2 4 2 2 3 4" xfId="19692"/>
    <cellStyle name="Note 2 3 2 4 2 2 4" xfId="4501"/>
    <cellStyle name="Note 2 3 2 4 2 2 4 2" xfId="22993"/>
    <cellStyle name="Note 2 3 2 4 2 2 5" xfId="15262"/>
    <cellStyle name="Note 2 3 2 4 2 3" xfId="1858"/>
    <cellStyle name="Note 2 3 2 4 2 3 2" xfId="5251"/>
    <cellStyle name="Note 2 3 2 4 2 3 2 2" xfId="9560"/>
    <cellStyle name="Note 2 3 2 4 2 3 2 2 2" xfId="15822"/>
    <cellStyle name="Note 2 3 2 4 2 3 2 2 2 2" xfId="29238"/>
    <cellStyle name="Note 2 3 2 4 2 3 2 2 3" xfId="20567"/>
    <cellStyle name="Note 2 3 2 4 2 3 2 3" xfId="11801"/>
    <cellStyle name="Note 2 3 2 4 2 3 2 3 2" xfId="26123"/>
    <cellStyle name="Note 2 3 2 4 2 3 2 4" xfId="17446"/>
    <cellStyle name="Note 2 3 2 4 2 3 3" xfId="13342"/>
    <cellStyle name="Note 2 3 2 4 2 3 3 2" xfId="27664"/>
    <cellStyle name="Note 2 3 2 4 2 3 4" xfId="18987"/>
    <cellStyle name="Note 2 3 2 4 2 4" xfId="5792"/>
    <cellStyle name="Note 2 3 2 4 2 4 2" xfId="12345"/>
    <cellStyle name="Note 2 3 2 4 2 4 2 2" xfId="26667"/>
    <cellStyle name="Note 2 3 2 4 2 4 3" xfId="17990"/>
    <cellStyle name="Note 2 3 2 4 2 5" xfId="4036"/>
    <cellStyle name="Note 2 3 2 4 2 5 2" xfId="22714"/>
    <cellStyle name="Note 2 3 2 4 2 6" xfId="14926"/>
    <cellStyle name="Note 2 3 2 4 3" xfId="1859"/>
    <cellStyle name="Note 2 3 2 4 3 2" xfId="1860"/>
    <cellStyle name="Note 2 3 2 4 3 2 2" xfId="6844"/>
    <cellStyle name="Note 2 3 2 4 3 2 2 2" xfId="13448"/>
    <cellStyle name="Note 2 3 2 4 3 2 2 2 2" xfId="27770"/>
    <cellStyle name="Note 2 3 2 4 3 2 2 3" xfId="19093"/>
    <cellStyle name="Note 2 3 2 4 3 2 3" xfId="8048"/>
    <cellStyle name="Note 2 3 2 4 3 2 3 2" xfId="10662"/>
    <cellStyle name="Note 2 3 2 4 3 2 3 2 2" xfId="16924"/>
    <cellStyle name="Note 2 3 2 4 3 2 3 2 2 2" xfId="30340"/>
    <cellStyle name="Note 2 3 2 4 3 2 3 2 3" xfId="21669"/>
    <cellStyle name="Note 2 3 2 4 3 2 3 3" xfId="14652"/>
    <cellStyle name="Note 2 3 2 4 3 2 3 3 2" xfId="28974"/>
    <cellStyle name="Note 2 3 2 4 3 2 3 4" xfId="20297"/>
    <cellStyle name="Note 2 3 2 4 3 2 4" xfId="2768"/>
    <cellStyle name="Note 2 3 2 4 3 2 4 2" xfId="22337"/>
    <cellStyle name="Note 2 3 2 4 3 2 5" xfId="15143"/>
    <cellStyle name="Note 2 3 2 4 3 3" xfId="1861"/>
    <cellStyle name="Note 2 3 2 4 3 3 2" xfId="5253"/>
    <cellStyle name="Note 2 3 2 4 3 3 2 2" xfId="9562"/>
    <cellStyle name="Note 2 3 2 4 3 3 2 2 2" xfId="15824"/>
    <cellStyle name="Note 2 3 2 4 3 3 2 2 2 2" xfId="29240"/>
    <cellStyle name="Note 2 3 2 4 3 3 2 2 3" xfId="20569"/>
    <cellStyle name="Note 2 3 2 4 3 3 2 3" xfId="11803"/>
    <cellStyle name="Note 2 3 2 4 3 3 2 3 2" xfId="26125"/>
    <cellStyle name="Note 2 3 2 4 3 3 2 4" xfId="17448"/>
    <cellStyle name="Note 2 3 2 4 3 3 3" xfId="13400"/>
    <cellStyle name="Note 2 3 2 4 3 3 3 2" xfId="27722"/>
    <cellStyle name="Note 2 3 2 4 3 3 4" xfId="19045"/>
    <cellStyle name="Note 2 3 2 4 3 4" xfId="5864"/>
    <cellStyle name="Note 2 3 2 4 3 4 2" xfId="12417"/>
    <cellStyle name="Note 2 3 2 4 3 4 2 2" xfId="26739"/>
    <cellStyle name="Note 2 3 2 4 3 4 3" xfId="18062"/>
    <cellStyle name="Note 2 3 2 4 3 5" xfId="3979"/>
    <cellStyle name="Note 2 3 2 4 3 5 2" xfId="22683"/>
    <cellStyle name="Note 2 3 2 4 3 6" xfId="17242"/>
    <cellStyle name="Note 2 3 2 4 4" xfId="1862"/>
    <cellStyle name="Note 2 3 2 4 4 2" xfId="5620"/>
    <cellStyle name="Note 2 3 2 4 4 2 2" xfId="12173"/>
    <cellStyle name="Note 2 3 2 4 4 2 2 2" xfId="26495"/>
    <cellStyle name="Note 2 3 2 4 4 2 3" xfId="17818"/>
    <cellStyle name="Note 2 3 2 4 4 3" xfId="7576"/>
    <cellStyle name="Note 2 3 2 4 4 3 2" xfId="10190"/>
    <cellStyle name="Note 2 3 2 4 4 3 2 2" xfId="16452"/>
    <cellStyle name="Note 2 3 2 4 4 3 2 2 2" xfId="29868"/>
    <cellStyle name="Note 2 3 2 4 4 3 2 3" xfId="21197"/>
    <cellStyle name="Note 2 3 2 4 4 3 3" xfId="14180"/>
    <cellStyle name="Note 2 3 2 4 4 3 3 2" xfId="28502"/>
    <cellStyle name="Note 2 3 2 4 4 3 4" xfId="19825"/>
    <cellStyle name="Note 2 3 2 4 4 4" xfId="3844"/>
    <cellStyle name="Note 2 3 2 4 4 4 2" xfId="22609"/>
    <cellStyle name="Note 2 3 2 4 4 5" xfId="17325"/>
    <cellStyle name="Note 2 3 2 4 5" xfId="1863"/>
    <cellStyle name="Note 2 3 2 4 5 2" xfId="5033"/>
    <cellStyle name="Note 2 3 2 4 5 2 2" xfId="9551"/>
    <cellStyle name="Note 2 3 2 4 5 2 2 2" xfId="15813"/>
    <cellStyle name="Note 2 3 2 4 5 2 2 2 2" xfId="29229"/>
    <cellStyle name="Note 2 3 2 4 5 2 2 3" xfId="20558"/>
    <cellStyle name="Note 2 3 2 4 5 2 3" xfId="11580"/>
    <cellStyle name="Note 2 3 2 4 5 2 3 2" xfId="25902"/>
    <cellStyle name="Note 2 3 2 4 5 2 4" xfId="15268"/>
    <cellStyle name="Note 2 3 2 4 5 3" xfId="12918"/>
    <cellStyle name="Note 2 3 2 4 5 3 2" xfId="27240"/>
    <cellStyle name="Note 2 3 2 4 5 4" xfId="18563"/>
    <cellStyle name="Note 2 3 2 4 6" xfId="5542"/>
    <cellStyle name="Note 2 3 2 4 6 2" xfId="12093"/>
    <cellStyle name="Note 2 3 2 4 6 2 2" xfId="26415"/>
    <cellStyle name="Note 2 3 2 4 6 3" xfId="17738"/>
    <cellStyle name="Note 2 3 2 4 7" xfId="4387"/>
    <cellStyle name="Note 2 3 2 4 7 2" xfId="22921"/>
    <cellStyle name="Note 2 3 2 4 8" xfId="17114"/>
    <cellStyle name="Note 2 3 2 5" xfId="1864"/>
    <cellStyle name="Note 2 3 2 5 2" xfId="1865"/>
    <cellStyle name="Note 2 3 2 5 2 2" xfId="1866"/>
    <cellStyle name="Note 2 3 2 5 2 2 2" xfId="6079"/>
    <cellStyle name="Note 2 3 2 5 2 2 2 2" xfId="12645"/>
    <cellStyle name="Note 2 3 2 5 2 2 2 2 2" xfId="26967"/>
    <cellStyle name="Note 2 3 2 5 2 2 2 3" xfId="18290"/>
    <cellStyle name="Note 2 3 2 5 2 2 3" xfId="7838"/>
    <cellStyle name="Note 2 3 2 5 2 2 3 2" xfId="10452"/>
    <cellStyle name="Note 2 3 2 5 2 2 3 2 2" xfId="16714"/>
    <cellStyle name="Note 2 3 2 5 2 2 3 2 2 2" xfId="30130"/>
    <cellStyle name="Note 2 3 2 5 2 2 3 2 3" xfId="21459"/>
    <cellStyle name="Note 2 3 2 5 2 2 3 3" xfId="14442"/>
    <cellStyle name="Note 2 3 2 5 2 2 3 3 2" xfId="28764"/>
    <cellStyle name="Note 2 3 2 5 2 2 3 4" xfId="20087"/>
    <cellStyle name="Note 2 3 2 5 2 2 4" xfId="4952"/>
    <cellStyle name="Note 2 3 2 5 2 2 4 2" xfId="23276"/>
    <cellStyle name="Note 2 3 2 5 2 2 5" xfId="14759"/>
    <cellStyle name="Note 2 3 2 5 2 3" xfId="1867"/>
    <cellStyle name="Note 2 3 2 5 2 3 2" xfId="5273"/>
    <cellStyle name="Note 2 3 2 5 2 3 2 2" xfId="9582"/>
    <cellStyle name="Note 2 3 2 5 2 3 2 2 2" xfId="15844"/>
    <cellStyle name="Note 2 3 2 5 2 3 2 2 2 2" xfId="29260"/>
    <cellStyle name="Note 2 3 2 5 2 3 2 2 3" xfId="20589"/>
    <cellStyle name="Note 2 3 2 5 2 3 2 3" xfId="11823"/>
    <cellStyle name="Note 2 3 2 5 2 3 2 3 2" xfId="26145"/>
    <cellStyle name="Note 2 3 2 5 2 3 2 4" xfId="17468"/>
    <cellStyle name="Note 2 3 2 5 2 3 3" xfId="13263"/>
    <cellStyle name="Note 2 3 2 5 2 3 3 2" xfId="27585"/>
    <cellStyle name="Note 2 3 2 5 2 3 4" xfId="18908"/>
    <cellStyle name="Note 2 3 2 5 2 4" xfId="5709"/>
    <cellStyle name="Note 2 3 2 5 2 4 2" xfId="12262"/>
    <cellStyle name="Note 2 3 2 5 2 4 2 2" xfId="26584"/>
    <cellStyle name="Note 2 3 2 5 2 4 3" xfId="17907"/>
    <cellStyle name="Note 2 3 2 5 2 5" xfId="5099"/>
    <cellStyle name="Note 2 3 2 5 2 5 2" xfId="23325"/>
    <cellStyle name="Note 2 3 2 5 2 6" xfId="15495"/>
    <cellStyle name="Note 2 3 2 5 3" xfId="1868"/>
    <cellStyle name="Note 2 3 2 5 3 2" xfId="1869"/>
    <cellStyle name="Note 2 3 2 5 3 2 2" xfId="6403"/>
    <cellStyle name="Note 2 3 2 5 3 2 2 2" xfId="12986"/>
    <cellStyle name="Note 2 3 2 5 3 2 2 2 2" xfId="27308"/>
    <cellStyle name="Note 2 3 2 5 3 2 2 3" xfId="18631"/>
    <cellStyle name="Note 2 3 2 5 3 2 3" xfId="7119"/>
    <cellStyle name="Note 2 3 2 5 3 2 3 2" xfId="9733"/>
    <cellStyle name="Note 2 3 2 5 3 2 3 2 2" xfId="15995"/>
    <cellStyle name="Note 2 3 2 5 3 2 3 2 2 2" xfId="29411"/>
    <cellStyle name="Note 2 3 2 5 3 2 3 2 3" xfId="20740"/>
    <cellStyle name="Note 2 3 2 5 3 2 3 3" xfId="13723"/>
    <cellStyle name="Note 2 3 2 5 3 2 3 3 2" xfId="28045"/>
    <cellStyle name="Note 2 3 2 5 3 2 3 4" xfId="19368"/>
    <cellStyle name="Note 2 3 2 5 3 2 4" xfId="2788"/>
    <cellStyle name="Note 2 3 2 5 3 2 4 2" xfId="22356"/>
    <cellStyle name="Note 2 3 2 5 3 2 5" xfId="17221"/>
    <cellStyle name="Note 2 3 2 5 3 3" xfId="1870"/>
    <cellStyle name="Note 2 3 2 5 3 3 2" xfId="7080"/>
    <cellStyle name="Note 2 3 2 5 3 3 2 2" xfId="9694"/>
    <cellStyle name="Note 2 3 2 5 3 3 2 2 2" xfId="15956"/>
    <cellStyle name="Note 2 3 2 5 3 3 2 2 2 2" xfId="29372"/>
    <cellStyle name="Note 2 3 2 5 3 3 2 2 3" xfId="20701"/>
    <cellStyle name="Note 2 3 2 5 3 3 2 3" xfId="13684"/>
    <cellStyle name="Note 2 3 2 5 3 3 2 3 2" xfId="28006"/>
    <cellStyle name="Note 2 3 2 5 3 3 2 4" xfId="19329"/>
    <cellStyle name="Note 2 3 2 5 3 3 3" xfId="13372"/>
    <cellStyle name="Note 2 3 2 5 3 3 3 2" xfId="27694"/>
    <cellStyle name="Note 2 3 2 5 3 3 4" xfId="19017"/>
    <cellStyle name="Note 2 3 2 5 3 4" xfId="5824"/>
    <cellStyle name="Note 2 3 2 5 3 4 2" xfId="12377"/>
    <cellStyle name="Note 2 3 2 5 3 4 2 2" xfId="26699"/>
    <cellStyle name="Note 2 3 2 5 3 4 3" xfId="18022"/>
    <cellStyle name="Note 2 3 2 5 3 5" xfId="6289"/>
    <cellStyle name="Note 2 3 2 5 3 5 2" xfId="23490"/>
    <cellStyle name="Note 2 3 2 5 3 6" xfId="15418"/>
    <cellStyle name="Note 2 3 2 5 4" xfId="1871"/>
    <cellStyle name="Note 2 3 2 5 4 2" xfId="6217"/>
    <cellStyle name="Note 2 3 2 5 4 2 2" xfId="12792"/>
    <cellStyle name="Note 2 3 2 5 4 2 2 2" xfId="27114"/>
    <cellStyle name="Note 2 3 2 5 4 2 3" xfId="18437"/>
    <cellStyle name="Note 2 3 2 5 4 3" xfId="3905"/>
    <cellStyle name="Note 2 3 2 5 4 3 2" xfId="9392"/>
    <cellStyle name="Note 2 3 2 5 4 3 2 2" xfId="15654"/>
    <cellStyle name="Note 2 3 2 5 4 3 2 2 2" xfId="29070"/>
    <cellStyle name="Note 2 3 2 5 4 3 2 3" xfId="20399"/>
    <cellStyle name="Note 2 3 2 5 4 3 3" xfId="4625"/>
    <cellStyle name="Note 2 3 2 5 4 3 3 2" xfId="23072"/>
    <cellStyle name="Note 2 3 2 5 4 3 4" xfId="15574"/>
    <cellStyle name="Note 2 3 2 5 4 4" xfId="4500"/>
    <cellStyle name="Note 2 3 2 5 4 4 2" xfId="22992"/>
    <cellStyle name="Note 2 3 2 5 4 5" xfId="17225"/>
    <cellStyle name="Note 2 3 2 5 5" xfId="1872"/>
    <cellStyle name="Note 2 3 2 5 5 2" xfId="7281"/>
    <cellStyle name="Note 2 3 2 5 5 2 2" xfId="9895"/>
    <cellStyle name="Note 2 3 2 5 5 2 2 2" xfId="16157"/>
    <cellStyle name="Note 2 3 2 5 5 2 2 2 2" xfId="29573"/>
    <cellStyle name="Note 2 3 2 5 5 2 2 3" xfId="20902"/>
    <cellStyle name="Note 2 3 2 5 5 2 3" xfId="13885"/>
    <cellStyle name="Note 2 3 2 5 5 2 3 2" xfId="28207"/>
    <cellStyle name="Note 2 3 2 5 5 2 4" xfId="19530"/>
    <cellStyle name="Note 2 3 2 5 5 3" xfId="12819"/>
    <cellStyle name="Note 2 3 2 5 5 3 2" xfId="27141"/>
    <cellStyle name="Note 2 3 2 5 5 4" xfId="18464"/>
    <cellStyle name="Note 2 3 2 5 6" xfId="5357"/>
    <cellStyle name="Note 2 3 2 5 6 2" xfId="11907"/>
    <cellStyle name="Note 2 3 2 5 6 2 2" xfId="26229"/>
    <cellStyle name="Note 2 3 2 5 6 3" xfId="17552"/>
    <cellStyle name="Note 2 3 2 5 7" xfId="6720"/>
    <cellStyle name="Note 2 3 2 5 7 2" xfId="23674"/>
    <cellStyle name="Note 2 3 2 5 8" xfId="15412"/>
    <cellStyle name="Note 2 3 2 6" xfId="1873"/>
    <cellStyle name="Note 2 3 2 6 2" xfId="1874"/>
    <cellStyle name="Note 2 3 2 6 2 2" xfId="1875"/>
    <cellStyle name="Note 2 3 2 6 2 2 2" xfId="6955"/>
    <cellStyle name="Note 2 3 2 6 2 2 2 2" xfId="13559"/>
    <cellStyle name="Note 2 3 2 6 2 2 2 2 2" xfId="27881"/>
    <cellStyle name="Note 2 3 2 6 2 2 2 3" xfId="19204"/>
    <cellStyle name="Note 2 3 2 6 2 2 3" xfId="5280"/>
    <cellStyle name="Note 2 3 2 6 2 2 3 2" xfId="9589"/>
    <cellStyle name="Note 2 3 2 6 2 2 3 2 2" xfId="15851"/>
    <cellStyle name="Note 2 3 2 6 2 2 3 2 2 2" xfId="29267"/>
    <cellStyle name="Note 2 3 2 6 2 2 3 2 3" xfId="20596"/>
    <cellStyle name="Note 2 3 2 6 2 2 3 3" xfId="11830"/>
    <cellStyle name="Note 2 3 2 6 2 2 3 3 2" xfId="26152"/>
    <cellStyle name="Note 2 3 2 6 2 2 3 4" xfId="17475"/>
    <cellStyle name="Note 2 3 2 6 2 2 4" xfId="11453"/>
    <cellStyle name="Note 2 3 2 6 2 2 4 2" xfId="25775"/>
    <cellStyle name="Note 2 3 2 6 2 2 5" xfId="15034"/>
    <cellStyle name="Note 2 3 2 6 2 3" xfId="1876"/>
    <cellStyle name="Note 2 3 2 6 2 3 2" xfId="3770"/>
    <cellStyle name="Note 2 3 2 6 2 3 2 2" xfId="9372"/>
    <cellStyle name="Note 2 3 2 6 2 3 2 2 2" xfId="15634"/>
    <cellStyle name="Note 2 3 2 6 2 3 2 2 2 2" xfId="29050"/>
    <cellStyle name="Note 2 3 2 6 2 3 2 2 3" xfId="20379"/>
    <cellStyle name="Note 2 3 2 6 2 3 2 3" xfId="4763"/>
    <cellStyle name="Note 2 3 2 6 2 3 2 3 2" xfId="23176"/>
    <cellStyle name="Note 2 3 2 6 2 3 2 4" xfId="4214"/>
    <cellStyle name="Note 2 3 2 6 2 3 3" xfId="13173"/>
    <cellStyle name="Note 2 3 2 6 2 3 3 2" xfId="27495"/>
    <cellStyle name="Note 2 3 2 6 2 3 4" xfId="18818"/>
    <cellStyle name="Note 2 3 2 6 2 4" xfId="5596"/>
    <cellStyle name="Note 2 3 2 6 2 4 2" xfId="12148"/>
    <cellStyle name="Note 2 3 2 6 2 4 2 2" xfId="26470"/>
    <cellStyle name="Note 2 3 2 6 2 4 3" xfId="17793"/>
    <cellStyle name="Note 2 3 2 6 2 5" xfId="3803"/>
    <cellStyle name="Note 2 3 2 6 2 5 2" xfId="22591"/>
    <cellStyle name="Note 2 3 2 6 2 6" xfId="15485"/>
    <cellStyle name="Note 2 3 2 6 3" xfId="1877"/>
    <cellStyle name="Note 2 3 2 6 3 2" xfId="6534"/>
    <cellStyle name="Note 2 3 2 6 3 2 2" xfId="13122"/>
    <cellStyle name="Note 2 3 2 6 3 2 2 2" xfId="27444"/>
    <cellStyle name="Note 2 3 2 6 3 2 3" xfId="18767"/>
    <cellStyle name="Note 2 3 2 6 3 3" xfId="7723"/>
    <cellStyle name="Note 2 3 2 6 3 3 2" xfId="10337"/>
    <cellStyle name="Note 2 3 2 6 3 3 2 2" xfId="16599"/>
    <cellStyle name="Note 2 3 2 6 3 3 2 2 2" xfId="30015"/>
    <cellStyle name="Note 2 3 2 6 3 3 2 3" xfId="21344"/>
    <cellStyle name="Note 2 3 2 6 3 3 3" xfId="14327"/>
    <cellStyle name="Note 2 3 2 6 3 3 3 2" xfId="28649"/>
    <cellStyle name="Note 2 3 2 6 3 3 4" xfId="19972"/>
    <cellStyle name="Note 2 3 2 6 3 4" xfId="3595"/>
    <cellStyle name="Note 2 3 2 6 3 4 2" xfId="22478"/>
    <cellStyle name="Note 2 3 2 6 3 5" xfId="5522"/>
    <cellStyle name="Note 2 3 2 6 4" xfId="1878"/>
    <cellStyle name="Note 2 3 2 6 4 2" xfId="7647"/>
    <cellStyle name="Note 2 3 2 6 4 2 2" xfId="10261"/>
    <cellStyle name="Note 2 3 2 6 4 2 2 2" xfId="16523"/>
    <cellStyle name="Note 2 3 2 6 4 2 2 2 2" xfId="29939"/>
    <cellStyle name="Note 2 3 2 6 4 2 2 3" xfId="21268"/>
    <cellStyle name="Note 2 3 2 6 4 2 3" xfId="14251"/>
    <cellStyle name="Note 2 3 2 6 4 2 3 2" xfId="28573"/>
    <cellStyle name="Note 2 3 2 6 4 2 4" xfId="19896"/>
    <cellStyle name="Note 2 3 2 6 4 3" xfId="12945"/>
    <cellStyle name="Note 2 3 2 6 4 3 2" xfId="27267"/>
    <cellStyle name="Note 2 3 2 6 4 4" xfId="18590"/>
    <cellStyle name="Note 2 3 2 6 5" xfId="5606"/>
    <cellStyle name="Note 2 3 2 6 5 2" xfId="12158"/>
    <cellStyle name="Note 2 3 2 6 5 2 2" xfId="26480"/>
    <cellStyle name="Note 2 3 2 6 5 3" xfId="17803"/>
    <cellStyle name="Note 2 3 2 6 6" xfId="5182"/>
    <cellStyle name="Note 2 3 2 6 6 2" xfId="23333"/>
    <cellStyle name="Note 2 3 2 6 7" xfId="15086"/>
    <cellStyle name="Note 2 3 2 7" xfId="1879"/>
    <cellStyle name="Note 2 3 2 7 2" xfId="1880"/>
    <cellStyle name="Note 2 3 2 7 2 2" xfId="7005"/>
    <cellStyle name="Note 2 3 2 7 2 2 2" xfId="13609"/>
    <cellStyle name="Note 2 3 2 7 2 2 2 2" xfId="27931"/>
    <cellStyle name="Note 2 3 2 7 2 2 3" xfId="19254"/>
    <cellStyle name="Note 2 3 2 7 2 3" xfId="7298"/>
    <cellStyle name="Note 2 3 2 7 2 3 2" xfId="9912"/>
    <cellStyle name="Note 2 3 2 7 2 3 2 2" xfId="16174"/>
    <cellStyle name="Note 2 3 2 7 2 3 2 2 2" xfId="29590"/>
    <cellStyle name="Note 2 3 2 7 2 3 2 3" xfId="20919"/>
    <cellStyle name="Note 2 3 2 7 2 3 3" xfId="13902"/>
    <cellStyle name="Note 2 3 2 7 2 3 3 2" xfId="28224"/>
    <cellStyle name="Note 2 3 2 7 2 3 4" xfId="19547"/>
    <cellStyle name="Note 2 3 2 7 2 4" xfId="11525"/>
    <cellStyle name="Note 2 3 2 7 2 4 2" xfId="25847"/>
    <cellStyle name="Note 2 3 2 7 2 5" xfId="17223"/>
    <cellStyle name="Note 2 3 2 7 3" xfId="1881"/>
    <cellStyle name="Note 2 3 2 7 3 2" xfId="3910"/>
    <cellStyle name="Note 2 3 2 7 3 2 2" xfId="9394"/>
    <cellStyle name="Note 2 3 2 7 3 2 2 2" xfId="15656"/>
    <cellStyle name="Note 2 3 2 7 3 2 2 2 2" xfId="29072"/>
    <cellStyle name="Note 2 3 2 7 3 2 2 3" xfId="20401"/>
    <cellStyle name="Note 2 3 2 7 3 2 3" xfId="3811"/>
    <cellStyle name="Note 2 3 2 7 3 2 3 2" xfId="22595"/>
    <cellStyle name="Note 2 3 2 7 3 2 4" xfId="15169"/>
    <cellStyle name="Note 2 3 2 7 3 3" xfId="13061"/>
    <cellStyle name="Note 2 3 2 7 3 3 2" xfId="27383"/>
    <cellStyle name="Note 2 3 2 7 3 4" xfId="18706"/>
    <cellStyle name="Note 2 3 2 7 4" xfId="5394"/>
    <cellStyle name="Note 2 3 2 7 4 2" xfId="11944"/>
    <cellStyle name="Note 2 3 2 7 4 2 2" xfId="26266"/>
    <cellStyle name="Note 2 3 2 7 4 3" xfId="17589"/>
    <cellStyle name="Note 2 3 2 7 5" xfId="5035"/>
    <cellStyle name="Note 2 3 2 7 5 2" xfId="23315"/>
    <cellStyle name="Note 2 3 2 7 6" xfId="14836"/>
    <cellStyle name="Note 2 3 2 8" xfId="1882"/>
    <cellStyle name="Note 2 3 2 8 2" xfId="5996"/>
    <cellStyle name="Note 2 3 2 8 2 2" xfId="12554"/>
    <cellStyle name="Note 2 3 2 8 2 2 2" xfId="26876"/>
    <cellStyle name="Note 2 3 2 8 2 3" xfId="18199"/>
    <cellStyle name="Note 2 3 2 8 3" xfId="7184"/>
    <cellStyle name="Note 2 3 2 8 3 2" xfId="9798"/>
    <cellStyle name="Note 2 3 2 8 3 2 2" xfId="16060"/>
    <cellStyle name="Note 2 3 2 8 3 2 2 2" xfId="29476"/>
    <cellStyle name="Note 2 3 2 8 3 2 3" xfId="20805"/>
    <cellStyle name="Note 2 3 2 8 3 3" xfId="13788"/>
    <cellStyle name="Note 2 3 2 8 3 3 2" xfId="28110"/>
    <cellStyle name="Note 2 3 2 8 3 4" xfId="19433"/>
    <cellStyle name="Note 2 3 2 8 4" xfId="3649"/>
    <cellStyle name="Note 2 3 2 8 4 2" xfId="22506"/>
    <cellStyle name="Note 2 3 2 8 5" xfId="15069"/>
    <cellStyle name="Note 2 3 2 9" xfId="1883"/>
    <cellStyle name="Note 2 3 2 9 2" xfId="7998"/>
    <cellStyle name="Note 2 3 2 9 2 2" xfId="10612"/>
    <cellStyle name="Note 2 3 2 9 2 2 2" xfId="16874"/>
    <cellStyle name="Note 2 3 2 9 2 2 2 2" xfId="30290"/>
    <cellStyle name="Note 2 3 2 9 2 2 3" xfId="21619"/>
    <cellStyle name="Note 2 3 2 9 2 3" xfId="14602"/>
    <cellStyle name="Note 2 3 2 9 2 3 2" xfId="28924"/>
    <cellStyle name="Note 2 3 2 9 2 4" xfId="20247"/>
    <cellStyle name="Note 2 3 2 9 3" xfId="12723"/>
    <cellStyle name="Note 2 3 2 9 3 2" xfId="27045"/>
    <cellStyle name="Note 2 3 2 9 4" xfId="18368"/>
    <cellStyle name="Note 2 3 3" xfId="1884"/>
    <cellStyle name="Note 2 3 3 10" xfId="4055"/>
    <cellStyle name="Note 2 3 3 10 2" xfId="22730"/>
    <cellStyle name="Note 2 3 3 11" xfId="17176"/>
    <cellStyle name="Note 2 3 3 2" xfId="1885"/>
    <cellStyle name="Note 2 3 3 2 2" xfId="1886"/>
    <cellStyle name="Note 2 3 3 2 2 2" xfId="1887"/>
    <cellStyle name="Note 2 3 3 2 2 2 2" xfId="6922"/>
    <cellStyle name="Note 2 3 3 2 2 2 2 2" xfId="13526"/>
    <cellStyle name="Note 2 3 3 2 2 2 2 2 2" xfId="27848"/>
    <cellStyle name="Note 2 3 3 2 2 2 2 3" xfId="19171"/>
    <cellStyle name="Note 2 3 3 2 2 2 3" xfId="5031"/>
    <cellStyle name="Note 2 3 3 2 2 2 3 2" xfId="9549"/>
    <cellStyle name="Note 2 3 3 2 2 2 3 2 2" xfId="15811"/>
    <cellStyle name="Note 2 3 3 2 2 2 3 2 2 2" xfId="29227"/>
    <cellStyle name="Note 2 3 3 2 2 2 3 2 3" xfId="20556"/>
    <cellStyle name="Note 2 3 3 2 2 2 3 3" xfId="11578"/>
    <cellStyle name="Note 2 3 3 2 2 2 3 3 2" xfId="25900"/>
    <cellStyle name="Note 2 3 3 2 2 2 3 4" xfId="14948"/>
    <cellStyle name="Note 2 3 3 2 2 2 4" xfId="11410"/>
    <cellStyle name="Note 2 3 3 2 2 2 4 2" xfId="25732"/>
    <cellStyle name="Note 2 3 3 2 2 2 5" xfId="15017"/>
    <cellStyle name="Note 2 3 3 2 2 3" xfId="1888"/>
    <cellStyle name="Note 2 3 3 2 2 3 2" xfId="7260"/>
    <cellStyle name="Note 2 3 3 2 2 3 2 2" xfId="9874"/>
    <cellStyle name="Note 2 3 3 2 2 3 2 2 2" xfId="16136"/>
    <cellStyle name="Note 2 3 3 2 2 3 2 2 2 2" xfId="29552"/>
    <cellStyle name="Note 2 3 3 2 2 3 2 2 3" xfId="20881"/>
    <cellStyle name="Note 2 3 3 2 2 3 2 3" xfId="13864"/>
    <cellStyle name="Note 2 3 3 2 2 3 2 3 2" xfId="28186"/>
    <cellStyle name="Note 2 3 3 2 2 3 2 4" xfId="19509"/>
    <cellStyle name="Note 2 3 3 2 2 3 3" xfId="13302"/>
    <cellStyle name="Note 2 3 3 2 2 3 3 2" xfId="27624"/>
    <cellStyle name="Note 2 3 3 2 2 3 4" xfId="18947"/>
    <cellStyle name="Note 2 3 3 2 2 4" xfId="5752"/>
    <cellStyle name="Note 2 3 3 2 2 4 2" xfId="12305"/>
    <cellStyle name="Note 2 3 3 2 2 4 2 2" xfId="26627"/>
    <cellStyle name="Note 2 3 3 2 2 4 3" xfId="17950"/>
    <cellStyle name="Note 2 3 3 2 2 5" xfId="4536"/>
    <cellStyle name="Note 2 3 3 2 2 5 2" xfId="23016"/>
    <cellStyle name="Note 2 3 3 2 2 6" xfId="3585"/>
    <cellStyle name="Note 2 3 3 2 3" xfId="1889"/>
    <cellStyle name="Note 2 3 3 2 3 2" xfId="1890"/>
    <cellStyle name="Note 2 3 3 2 3 2 2" xfId="6386"/>
    <cellStyle name="Note 2 3 3 2 3 2 2 2" xfId="12969"/>
    <cellStyle name="Note 2 3 3 2 3 2 2 2 2" xfId="27291"/>
    <cellStyle name="Note 2 3 3 2 3 2 2 3" xfId="18614"/>
    <cellStyle name="Note 2 3 3 2 3 2 3" xfId="7864"/>
    <cellStyle name="Note 2 3 3 2 3 2 3 2" xfId="10478"/>
    <cellStyle name="Note 2 3 3 2 3 2 3 2 2" xfId="16740"/>
    <cellStyle name="Note 2 3 3 2 3 2 3 2 2 2" xfId="30156"/>
    <cellStyle name="Note 2 3 3 2 3 2 3 2 3" xfId="21485"/>
    <cellStyle name="Note 2 3 3 2 3 2 3 3" xfId="14468"/>
    <cellStyle name="Note 2 3 3 2 3 2 3 3 2" xfId="28790"/>
    <cellStyle name="Note 2 3 3 2 3 2 3 4" xfId="20113"/>
    <cellStyle name="Note 2 3 3 2 3 2 4" xfId="4451"/>
    <cellStyle name="Note 2 3 3 2 3 2 4 2" xfId="22960"/>
    <cellStyle name="Note 2 3 3 2 3 2 5" xfId="3871"/>
    <cellStyle name="Note 2 3 3 2 3 3" xfId="1891"/>
    <cellStyle name="Note 2 3 3 2 3 3 2" xfId="7085"/>
    <cellStyle name="Note 2 3 3 2 3 3 2 2" xfId="9699"/>
    <cellStyle name="Note 2 3 3 2 3 3 2 2 2" xfId="15961"/>
    <cellStyle name="Note 2 3 3 2 3 3 2 2 2 2" xfId="29377"/>
    <cellStyle name="Note 2 3 3 2 3 3 2 2 3" xfId="20706"/>
    <cellStyle name="Note 2 3 3 2 3 3 2 3" xfId="13689"/>
    <cellStyle name="Note 2 3 3 2 3 3 2 3 2" xfId="28011"/>
    <cellStyle name="Note 2 3 3 2 3 3 2 4" xfId="19334"/>
    <cellStyle name="Note 2 3 3 2 3 3 3" xfId="12608"/>
    <cellStyle name="Note 2 3 3 2 3 3 3 2" xfId="26930"/>
    <cellStyle name="Note 2 3 3 2 3 3 4" xfId="18253"/>
    <cellStyle name="Note 2 3 3 2 3 4" xfId="5072"/>
    <cellStyle name="Note 2 3 3 2 3 4 2" xfId="11619"/>
    <cellStyle name="Note 2 3 3 2 3 4 2 2" xfId="25941"/>
    <cellStyle name="Note 2 3 3 2 3 4 3" xfId="15381"/>
    <cellStyle name="Note 2 3 3 2 3 5" xfId="3743"/>
    <cellStyle name="Note 2 3 3 2 3 5 2" xfId="22558"/>
    <cellStyle name="Note 2 3 3 2 3 6" xfId="16969"/>
    <cellStyle name="Note 2 3 3 2 4" xfId="1892"/>
    <cellStyle name="Note 2 3 3 2 4 2" xfId="6034"/>
    <cellStyle name="Note 2 3 3 2 4 2 2" xfId="12595"/>
    <cellStyle name="Note 2 3 3 2 4 2 2 2" xfId="26917"/>
    <cellStyle name="Note 2 3 3 2 4 2 3" xfId="18240"/>
    <cellStyle name="Note 2 3 3 2 4 3" xfId="7529"/>
    <cellStyle name="Note 2 3 3 2 4 3 2" xfId="10143"/>
    <cellStyle name="Note 2 3 3 2 4 3 2 2" xfId="16405"/>
    <cellStyle name="Note 2 3 3 2 4 3 2 2 2" xfId="29821"/>
    <cellStyle name="Note 2 3 3 2 4 3 2 3" xfId="21150"/>
    <cellStyle name="Note 2 3 3 2 4 3 3" xfId="14133"/>
    <cellStyle name="Note 2 3 3 2 4 3 3 2" xfId="28455"/>
    <cellStyle name="Note 2 3 3 2 4 3 4" xfId="19778"/>
    <cellStyle name="Note 2 3 3 2 4 4" xfId="4815"/>
    <cellStyle name="Note 2 3 3 2 4 4 2" xfId="23202"/>
    <cellStyle name="Note 2 3 3 2 4 5" xfId="17056"/>
    <cellStyle name="Note 2 3 3 2 5" xfId="1893"/>
    <cellStyle name="Note 2 3 3 2 5 2" xfId="7663"/>
    <cellStyle name="Note 2 3 3 2 5 2 2" xfId="10277"/>
    <cellStyle name="Note 2 3 3 2 5 2 2 2" xfId="16539"/>
    <cellStyle name="Note 2 3 3 2 5 2 2 2 2" xfId="29955"/>
    <cellStyle name="Note 2 3 3 2 5 2 2 3" xfId="21284"/>
    <cellStyle name="Note 2 3 3 2 5 2 3" xfId="14267"/>
    <cellStyle name="Note 2 3 3 2 5 2 3 2" xfId="28589"/>
    <cellStyle name="Note 2 3 3 2 5 2 4" xfId="19912"/>
    <cellStyle name="Note 2 3 3 2 5 3" xfId="12878"/>
    <cellStyle name="Note 2 3 3 2 5 3 2" xfId="27200"/>
    <cellStyle name="Note 2 3 3 2 5 4" xfId="18523"/>
    <cellStyle name="Note 2 3 3 2 6" xfId="5496"/>
    <cellStyle name="Note 2 3 3 2 6 2" xfId="12047"/>
    <cellStyle name="Note 2 3 3 2 6 2 2" xfId="26369"/>
    <cellStyle name="Note 2 3 3 2 6 3" xfId="17692"/>
    <cellStyle name="Note 2 3 3 2 7" xfId="4905"/>
    <cellStyle name="Note 2 3 3 2 7 2" xfId="23258"/>
    <cellStyle name="Note 2 3 3 2 8" xfId="15515"/>
    <cellStyle name="Note 2 3 3 3" xfId="1894"/>
    <cellStyle name="Note 2 3 3 3 2" xfId="1895"/>
    <cellStyle name="Note 2 3 3 3 2 2" xfId="1896"/>
    <cellStyle name="Note 2 3 3 3 2 2 2" xfId="6940"/>
    <cellStyle name="Note 2 3 3 3 2 2 2 2" xfId="13544"/>
    <cellStyle name="Note 2 3 3 3 2 2 2 2 2" xfId="27866"/>
    <cellStyle name="Note 2 3 3 3 2 2 2 3" xfId="19189"/>
    <cellStyle name="Note 2 3 3 3 2 2 3" xfId="8045"/>
    <cellStyle name="Note 2 3 3 3 2 2 3 2" xfId="10659"/>
    <cellStyle name="Note 2 3 3 3 2 2 3 2 2" xfId="16921"/>
    <cellStyle name="Note 2 3 3 3 2 2 3 2 2 2" xfId="30337"/>
    <cellStyle name="Note 2 3 3 3 2 2 3 2 3" xfId="21666"/>
    <cellStyle name="Note 2 3 3 3 2 2 3 3" xfId="14649"/>
    <cellStyle name="Note 2 3 3 3 2 2 3 3 2" xfId="28971"/>
    <cellStyle name="Note 2 3 3 3 2 2 3 4" xfId="20294"/>
    <cellStyle name="Note 2 3 3 3 2 2 4" xfId="11433"/>
    <cellStyle name="Note 2 3 3 3 2 2 4 2" xfId="25755"/>
    <cellStyle name="Note 2 3 3 3 2 2 5" xfId="17022"/>
    <cellStyle name="Note 2 3 3 3 2 3" xfId="1897"/>
    <cellStyle name="Note 2 3 3 3 2 3 2" xfId="4257"/>
    <cellStyle name="Note 2 3 3 3 2 3 2 2" xfId="9437"/>
    <cellStyle name="Note 2 3 3 3 2 3 2 2 2" xfId="15699"/>
    <cellStyle name="Note 2 3 3 3 2 3 2 2 2 2" xfId="29115"/>
    <cellStyle name="Note 2 3 3 3 2 3 2 2 3" xfId="20444"/>
    <cellStyle name="Note 2 3 3 3 2 3 2 3" xfId="4284"/>
    <cellStyle name="Note 2 3 3 3 2 3 2 3 2" xfId="22869"/>
    <cellStyle name="Note 2 3 3 3 2 3 2 4" xfId="6505"/>
    <cellStyle name="Note 2 3 3 3 2 3 3" xfId="13338"/>
    <cellStyle name="Note 2 3 3 3 2 3 3 2" xfId="27660"/>
    <cellStyle name="Note 2 3 3 3 2 3 4" xfId="18983"/>
    <cellStyle name="Note 2 3 3 3 2 4" xfId="5788"/>
    <cellStyle name="Note 2 3 3 3 2 4 2" xfId="12341"/>
    <cellStyle name="Note 2 3 3 3 2 4 2 2" xfId="26663"/>
    <cellStyle name="Note 2 3 3 3 2 4 3" xfId="17986"/>
    <cellStyle name="Note 2 3 3 3 2 5" xfId="6718"/>
    <cellStyle name="Note 2 3 3 3 2 5 2" xfId="23672"/>
    <cellStyle name="Note 2 3 3 3 2 6" xfId="14724"/>
    <cellStyle name="Note 2 3 3 3 3" xfId="1898"/>
    <cellStyle name="Note 2 3 3 3 3 2" xfId="1899"/>
    <cellStyle name="Note 2 3 3 3 3 2 2" xfId="6041"/>
    <cellStyle name="Note 2 3 3 3 3 2 2 2" xfId="12605"/>
    <cellStyle name="Note 2 3 3 3 3 2 2 2 2" xfId="26927"/>
    <cellStyle name="Note 2 3 3 3 3 2 2 3" xfId="18250"/>
    <cellStyle name="Note 2 3 3 3 3 2 3" xfId="7196"/>
    <cellStyle name="Note 2 3 3 3 3 2 3 2" xfId="9810"/>
    <cellStyle name="Note 2 3 3 3 3 2 3 2 2" xfId="16072"/>
    <cellStyle name="Note 2 3 3 3 3 2 3 2 2 2" xfId="29488"/>
    <cellStyle name="Note 2 3 3 3 3 2 3 2 3" xfId="20817"/>
    <cellStyle name="Note 2 3 3 3 3 2 3 3" xfId="13800"/>
    <cellStyle name="Note 2 3 3 3 3 2 3 3 2" xfId="28122"/>
    <cellStyle name="Note 2 3 3 3 3 2 3 4" xfId="19445"/>
    <cellStyle name="Note 2 3 3 3 3 2 4" xfId="6689"/>
    <cellStyle name="Note 2 3 3 3 3 2 4 2" xfId="23656"/>
    <cellStyle name="Note 2 3 3 3 3 2 5" xfId="4951"/>
    <cellStyle name="Note 2 3 3 3 3 3" xfId="1900"/>
    <cellStyle name="Note 2 3 3 3 3 3 2" xfId="4985"/>
    <cellStyle name="Note 2 3 3 3 3 3 2 2" xfId="9531"/>
    <cellStyle name="Note 2 3 3 3 3 3 2 2 2" xfId="15793"/>
    <cellStyle name="Note 2 3 3 3 3 3 2 2 2 2" xfId="29209"/>
    <cellStyle name="Note 2 3 3 3 3 3 2 2 3" xfId="20538"/>
    <cellStyle name="Note 2 3 3 3 3 3 2 3" xfId="11528"/>
    <cellStyle name="Note 2 3 3 3 3 3 2 3 2" xfId="25850"/>
    <cellStyle name="Note 2 3 3 3 3 3 2 4" xfId="15278"/>
    <cellStyle name="Note 2 3 3 3 3 3 3" xfId="13373"/>
    <cellStyle name="Note 2 3 3 3 3 3 3 2" xfId="27695"/>
    <cellStyle name="Note 2 3 3 3 3 3 4" xfId="19018"/>
    <cellStyle name="Note 2 3 3 3 3 4" xfId="5825"/>
    <cellStyle name="Note 2 3 3 3 3 4 2" xfId="12378"/>
    <cellStyle name="Note 2 3 3 3 3 4 2 2" xfId="26700"/>
    <cellStyle name="Note 2 3 3 3 3 4 3" xfId="18023"/>
    <cellStyle name="Note 2 3 3 3 3 5" xfId="3911"/>
    <cellStyle name="Note 2 3 3 3 3 5 2" xfId="22641"/>
    <cellStyle name="Note 2 3 3 3 3 6" xfId="17015"/>
    <cellStyle name="Note 2 3 3 3 4" xfId="1901"/>
    <cellStyle name="Note 2 3 3 3 4 2" xfId="6893"/>
    <cellStyle name="Note 2 3 3 3 4 2 2" xfId="13497"/>
    <cellStyle name="Note 2 3 3 3 4 2 2 2" xfId="27819"/>
    <cellStyle name="Note 2 3 3 3 4 2 3" xfId="19142"/>
    <cellStyle name="Note 2 3 3 3 4 3" xfId="5318"/>
    <cellStyle name="Note 2 3 3 3 4 3 2" xfId="9627"/>
    <cellStyle name="Note 2 3 3 3 4 3 2 2" xfId="15889"/>
    <cellStyle name="Note 2 3 3 3 4 3 2 2 2" xfId="29305"/>
    <cellStyle name="Note 2 3 3 3 4 3 2 3" xfId="20634"/>
    <cellStyle name="Note 2 3 3 3 4 3 3" xfId="11868"/>
    <cellStyle name="Note 2 3 3 3 4 3 3 2" xfId="26190"/>
    <cellStyle name="Note 2 3 3 3 4 3 4" xfId="17513"/>
    <cellStyle name="Note 2 3 3 3 4 4" xfId="11370"/>
    <cellStyle name="Note 2 3 3 3 4 4 2" xfId="25692"/>
    <cellStyle name="Note 2 3 3 3 4 5" xfId="14794"/>
    <cellStyle name="Note 2 3 3 3 5" xfId="1902"/>
    <cellStyle name="Note 2 3 3 3 5 2" xfId="7755"/>
    <cellStyle name="Note 2 3 3 3 5 2 2" xfId="10369"/>
    <cellStyle name="Note 2 3 3 3 5 2 2 2" xfId="16631"/>
    <cellStyle name="Note 2 3 3 3 5 2 2 2 2" xfId="30047"/>
    <cellStyle name="Note 2 3 3 3 5 2 2 3" xfId="21376"/>
    <cellStyle name="Note 2 3 3 3 5 2 3" xfId="14359"/>
    <cellStyle name="Note 2 3 3 3 5 2 3 2" xfId="28681"/>
    <cellStyle name="Note 2 3 3 3 5 2 4" xfId="20004"/>
    <cellStyle name="Note 2 3 3 3 5 3" xfId="12914"/>
    <cellStyle name="Note 2 3 3 3 5 3 2" xfId="27236"/>
    <cellStyle name="Note 2 3 3 3 5 4" xfId="18559"/>
    <cellStyle name="Note 2 3 3 3 6" xfId="5538"/>
    <cellStyle name="Note 2 3 3 3 6 2" xfId="12089"/>
    <cellStyle name="Note 2 3 3 3 6 2 2" xfId="26411"/>
    <cellStyle name="Note 2 3 3 3 6 3" xfId="17734"/>
    <cellStyle name="Note 2 3 3 3 7" xfId="5950"/>
    <cellStyle name="Note 2 3 3 3 7 2" xfId="23380"/>
    <cellStyle name="Note 2 3 3 3 8" xfId="14927"/>
    <cellStyle name="Note 2 3 3 4" xfId="1903"/>
    <cellStyle name="Note 2 3 3 4 2" xfId="1904"/>
    <cellStyle name="Note 2 3 3 4 2 2" xfId="1905"/>
    <cellStyle name="Note 2 3 3 4 2 2 2" xfId="5924"/>
    <cellStyle name="Note 2 3 3 4 2 2 2 2" xfId="12479"/>
    <cellStyle name="Note 2 3 3 4 2 2 2 2 2" xfId="26801"/>
    <cellStyle name="Note 2 3 3 4 2 2 2 3" xfId="18124"/>
    <cellStyle name="Note 2 3 3 4 2 2 3" xfId="7333"/>
    <cellStyle name="Note 2 3 3 4 2 2 3 2" xfId="9947"/>
    <cellStyle name="Note 2 3 3 4 2 2 3 2 2" xfId="16209"/>
    <cellStyle name="Note 2 3 3 4 2 2 3 2 2 2" xfId="29625"/>
    <cellStyle name="Note 2 3 3 4 2 2 3 2 3" xfId="20954"/>
    <cellStyle name="Note 2 3 3 4 2 2 3 3" xfId="13937"/>
    <cellStyle name="Note 2 3 3 4 2 2 3 3 2" xfId="28259"/>
    <cellStyle name="Note 2 3 3 4 2 2 3 4" xfId="19582"/>
    <cellStyle name="Note 2 3 3 4 2 2 4" xfId="4875"/>
    <cellStyle name="Note 2 3 3 4 2 2 4 2" xfId="23238"/>
    <cellStyle name="Note 2 3 3 4 2 2 5" xfId="17210"/>
    <cellStyle name="Note 2 3 3 4 2 3" xfId="1906"/>
    <cellStyle name="Note 2 3 3 4 2 3 2" xfId="3980"/>
    <cellStyle name="Note 2 3 3 4 2 3 2 2" xfId="9405"/>
    <cellStyle name="Note 2 3 3 4 2 3 2 2 2" xfId="15667"/>
    <cellStyle name="Note 2 3 3 4 2 3 2 2 2 2" xfId="29083"/>
    <cellStyle name="Note 2 3 3 4 2 3 2 2 3" xfId="20412"/>
    <cellStyle name="Note 2 3 3 4 2 3 2 3" xfId="4052"/>
    <cellStyle name="Note 2 3 3 4 2 3 2 3 2" xfId="22728"/>
    <cellStyle name="Note 2 3 3 4 2 3 2 4" xfId="17046"/>
    <cellStyle name="Note 2 3 3 4 2 3 3" xfId="13237"/>
    <cellStyle name="Note 2 3 3 4 2 3 3 2" xfId="27559"/>
    <cellStyle name="Note 2 3 3 4 2 3 4" xfId="18882"/>
    <cellStyle name="Note 2 3 3 4 2 4" xfId="5678"/>
    <cellStyle name="Note 2 3 3 4 2 4 2" xfId="12231"/>
    <cellStyle name="Note 2 3 3 4 2 4 2 2" xfId="26553"/>
    <cellStyle name="Note 2 3 3 4 2 4 3" xfId="17876"/>
    <cellStyle name="Note 2 3 3 4 2 5" xfId="4845"/>
    <cellStyle name="Note 2 3 3 4 2 5 2" xfId="23219"/>
    <cellStyle name="Note 2 3 3 4 2 6" xfId="4103"/>
    <cellStyle name="Note 2 3 3 4 3" xfId="1907"/>
    <cellStyle name="Note 2 3 3 4 3 2" xfId="1908"/>
    <cellStyle name="Note 2 3 3 4 3 2 2" xfId="5909"/>
    <cellStyle name="Note 2 3 3 4 3 2 2 2" xfId="12463"/>
    <cellStyle name="Note 2 3 3 4 3 2 2 2 2" xfId="26785"/>
    <cellStyle name="Note 2 3 3 4 3 2 2 3" xfId="18108"/>
    <cellStyle name="Note 2 3 3 4 3 2 3" xfId="7613"/>
    <cellStyle name="Note 2 3 3 4 3 2 3 2" xfId="10227"/>
    <cellStyle name="Note 2 3 3 4 3 2 3 2 2" xfId="16489"/>
    <cellStyle name="Note 2 3 3 4 3 2 3 2 2 2" xfId="29905"/>
    <cellStyle name="Note 2 3 3 4 3 2 3 2 3" xfId="21234"/>
    <cellStyle name="Note 2 3 3 4 3 2 3 3" xfId="14217"/>
    <cellStyle name="Note 2 3 3 4 3 2 3 3 2" xfId="28539"/>
    <cellStyle name="Note 2 3 3 4 3 2 3 4" xfId="19862"/>
    <cellStyle name="Note 2 3 3 4 3 2 4" xfId="5721"/>
    <cellStyle name="Note 2 3 3 4 3 2 4 2" xfId="23362"/>
    <cellStyle name="Note 2 3 3 4 3 2 5" xfId="4719"/>
    <cellStyle name="Note 2 3 3 4 3 3" xfId="1909"/>
    <cellStyle name="Note 2 3 3 4 3 3 2" xfId="8067"/>
    <cellStyle name="Note 2 3 3 4 3 3 2 2" xfId="10681"/>
    <cellStyle name="Note 2 3 3 4 3 3 2 2 2" xfId="16943"/>
    <cellStyle name="Note 2 3 3 4 3 3 2 2 2 2" xfId="30359"/>
    <cellStyle name="Note 2 3 3 4 3 3 2 2 3" xfId="21688"/>
    <cellStyle name="Note 2 3 3 4 3 3 2 3" xfId="14671"/>
    <cellStyle name="Note 2 3 3 4 3 3 2 3 2" xfId="28993"/>
    <cellStyle name="Note 2 3 3 4 3 3 2 4" xfId="20316"/>
    <cellStyle name="Note 2 3 3 4 3 3 3" xfId="13044"/>
    <cellStyle name="Note 2 3 3 4 3 3 3 2" xfId="27366"/>
    <cellStyle name="Note 2 3 3 4 3 3 4" xfId="18689"/>
    <cellStyle name="Note 2 3 3 4 3 4" xfId="5363"/>
    <cellStyle name="Note 2 3 3 4 3 4 2" xfId="11913"/>
    <cellStyle name="Note 2 3 3 4 3 4 2 2" xfId="26235"/>
    <cellStyle name="Note 2 3 3 4 3 4 3" xfId="17558"/>
    <cellStyle name="Note 2 3 3 4 3 5" xfId="6792"/>
    <cellStyle name="Note 2 3 3 4 3 5 2" xfId="23735"/>
    <cellStyle name="Note 2 3 3 4 3 6" xfId="14716"/>
    <cellStyle name="Note 2 3 3 4 4" xfId="1910"/>
    <cellStyle name="Note 2 3 3 4 4 2" xfId="5916"/>
    <cellStyle name="Note 2 3 3 4 4 2 2" xfId="12471"/>
    <cellStyle name="Note 2 3 3 4 4 2 2 2" xfId="26793"/>
    <cellStyle name="Note 2 3 3 4 4 2 3" xfId="18116"/>
    <cellStyle name="Note 2 3 3 4 4 3" xfId="7690"/>
    <cellStyle name="Note 2 3 3 4 4 3 2" xfId="10304"/>
    <cellStyle name="Note 2 3 3 4 4 3 2 2" xfId="16566"/>
    <cellStyle name="Note 2 3 3 4 4 3 2 2 2" xfId="29982"/>
    <cellStyle name="Note 2 3 3 4 4 3 2 3" xfId="21311"/>
    <cellStyle name="Note 2 3 3 4 4 3 3" xfId="14294"/>
    <cellStyle name="Note 2 3 3 4 4 3 3 2" xfId="28616"/>
    <cellStyle name="Note 2 3 3 4 4 3 4" xfId="19939"/>
    <cellStyle name="Note 2 3 3 4 4 4" xfId="6713"/>
    <cellStyle name="Note 2 3 3 4 4 4 2" xfId="23668"/>
    <cellStyle name="Note 2 3 3 4 4 5" xfId="4701"/>
    <cellStyle name="Note 2 3 3 4 5" xfId="1911"/>
    <cellStyle name="Note 2 3 3 4 5 2" xfId="8064"/>
    <cellStyle name="Note 2 3 3 4 5 2 2" xfId="10678"/>
    <cellStyle name="Note 2 3 3 4 5 2 2 2" xfId="16940"/>
    <cellStyle name="Note 2 3 3 4 5 2 2 2 2" xfId="30356"/>
    <cellStyle name="Note 2 3 3 4 5 2 2 3" xfId="21685"/>
    <cellStyle name="Note 2 3 3 4 5 2 3" xfId="14668"/>
    <cellStyle name="Note 2 3 3 4 5 2 3 2" xfId="28990"/>
    <cellStyle name="Note 2 3 3 4 5 2 4" xfId="20313"/>
    <cellStyle name="Note 2 3 3 4 5 3" xfId="12677"/>
    <cellStyle name="Note 2 3 3 4 5 3 2" xfId="26999"/>
    <cellStyle name="Note 2 3 3 4 5 4" xfId="18322"/>
    <cellStyle name="Note 2 3 3 4 6" xfId="5225"/>
    <cellStyle name="Note 2 3 3 4 6 2" xfId="11775"/>
    <cellStyle name="Note 2 3 3 4 6 2 2" xfId="26097"/>
    <cellStyle name="Note 2 3 3 4 6 3" xfId="17420"/>
    <cellStyle name="Note 2 3 3 4 7" xfId="6068"/>
    <cellStyle name="Note 2 3 3 4 7 2" xfId="23405"/>
    <cellStyle name="Note 2 3 3 4 8" xfId="16958"/>
    <cellStyle name="Note 2 3 3 5" xfId="1912"/>
    <cellStyle name="Note 2 3 3 5 2" xfId="1913"/>
    <cellStyle name="Note 2 3 3 5 2 2" xfId="1914"/>
    <cellStyle name="Note 2 3 3 5 2 2 2" xfId="6431"/>
    <cellStyle name="Note 2 3 3 5 2 2 2 2" xfId="13014"/>
    <cellStyle name="Note 2 3 3 5 2 2 2 2 2" xfId="27336"/>
    <cellStyle name="Note 2 3 3 5 2 2 2 3" xfId="18659"/>
    <cellStyle name="Note 2 3 3 5 2 2 3" xfId="7873"/>
    <cellStyle name="Note 2 3 3 5 2 2 3 2" xfId="10487"/>
    <cellStyle name="Note 2 3 3 5 2 2 3 2 2" xfId="16749"/>
    <cellStyle name="Note 2 3 3 5 2 2 3 2 2 2" xfId="30165"/>
    <cellStyle name="Note 2 3 3 5 2 2 3 2 3" xfId="21494"/>
    <cellStyle name="Note 2 3 3 5 2 2 3 3" xfId="14477"/>
    <cellStyle name="Note 2 3 3 5 2 2 3 3 2" xfId="28799"/>
    <cellStyle name="Note 2 3 3 5 2 2 3 4" xfId="20122"/>
    <cellStyle name="Note 2 3 3 5 2 2 4" xfId="4344"/>
    <cellStyle name="Note 2 3 3 5 2 2 4 2" xfId="22899"/>
    <cellStyle name="Note 2 3 3 5 2 2 5" xfId="15360"/>
    <cellStyle name="Note 2 3 3 5 2 3" xfId="1915"/>
    <cellStyle name="Note 2 3 3 5 2 3 2" xfId="8004"/>
    <cellStyle name="Note 2 3 3 5 2 3 2 2" xfId="10618"/>
    <cellStyle name="Note 2 3 3 5 2 3 2 2 2" xfId="16880"/>
    <cellStyle name="Note 2 3 3 5 2 3 2 2 2 2" xfId="30296"/>
    <cellStyle name="Note 2 3 3 5 2 3 2 2 3" xfId="21625"/>
    <cellStyle name="Note 2 3 3 5 2 3 2 3" xfId="14608"/>
    <cellStyle name="Note 2 3 3 5 2 3 2 3 2" xfId="28930"/>
    <cellStyle name="Note 2 3 3 5 2 3 2 4" xfId="20253"/>
    <cellStyle name="Note 2 3 3 5 2 3 3" xfId="13087"/>
    <cellStyle name="Note 2 3 3 5 2 3 3 2" xfId="27409"/>
    <cellStyle name="Note 2 3 3 5 2 3 4" xfId="18732"/>
    <cellStyle name="Note 2 3 3 5 2 4" xfId="5442"/>
    <cellStyle name="Note 2 3 3 5 2 4 2" xfId="11993"/>
    <cellStyle name="Note 2 3 3 5 2 4 2 2" xfId="26315"/>
    <cellStyle name="Note 2 3 3 5 2 4 3" xfId="17638"/>
    <cellStyle name="Note 2 3 3 5 2 5" xfId="3471"/>
    <cellStyle name="Note 2 3 3 5 2 5 2" xfId="22472"/>
    <cellStyle name="Note 2 3 3 5 2 6" xfId="17122"/>
    <cellStyle name="Note 2 3 3 5 3" xfId="1916"/>
    <cellStyle name="Note 2 3 3 5 3 2" xfId="6465"/>
    <cellStyle name="Note 2 3 3 5 3 2 2" xfId="13048"/>
    <cellStyle name="Note 2 3 3 5 3 2 2 2" xfId="27370"/>
    <cellStyle name="Note 2 3 3 5 3 2 3" xfId="18693"/>
    <cellStyle name="Note 2 3 3 5 3 3" xfId="7397"/>
    <cellStyle name="Note 2 3 3 5 3 3 2" xfId="10011"/>
    <cellStyle name="Note 2 3 3 5 3 3 2 2" xfId="16273"/>
    <cellStyle name="Note 2 3 3 5 3 3 2 2 2" xfId="29689"/>
    <cellStyle name="Note 2 3 3 5 3 3 2 3" xfId="21018"/>
    <cellStyle name="Note 2 3 3 5 3 3 3" xfId="14001"/>
    <cellStyle name="Note 2 3 3 5 3 3 3 2" xfId="28323"/>
    <cellStyle name="Note 2 3 3 5 3 3 4" xfId="19646"/>
    <cellStyle name="Note 2 3 3 5 3 4" xfId="6786"/>
    <cellStyle name="Note 2 3 3 5 3 4 2" xfId="23730"/>
    <cellStyle name="Note 2 3 3 5 3 5" xfId="15379"/>
    <cellStyle name="Note 2 3 3 5 4" xfId="1917"/>
    <cellStyle name="Note 2 3 3 5 4 2" xfId="4408"/>
    <cellStyle name="Note 2 3 3 5 4 2 2" xfId="9462"/>
    <cellStyle name="Note 2 3 3 5 4 2 2 2" xfId="15724"/>
    <cellStyle name="Note 2 3 3 5 4 2 2 2 2" xfId="29140"/>
    <cellStyle name="Note 2 3 3 5 4 2 2 3" xfId="20469"/>
    <cellStyle name="Note 2 3 3 5 4 2 3" xfId="3677"/>
    <cellStyle name="Note 2 3 3 5 4 2 3 2" xfId="22522"/>
    <cellStyle name="Note 2 3 3 5 4 2 4" xfId="3846"/>
    <cellStyle name="Note 2 3 3 5 4 3" xfId="12834"/>
    <cellStyle name="Note 2 3 3 5 4 3 2" xfId="27156"/>
    <cellStyle name="Note 2 3 3 5 4 4" xfId="18479"/>
    <cellStyle name="Note 2 3 3 5 5" xfId="5405"/>
    <cellStyle name="Note 2 3 3 5 5 2" xfId="11955"/>
    <cellStyle name="Note 2 3 3 5 5 2 2" xfId="26277"/>
    <cellStyle name="Note 2 3 3 5 5 3" xfId="17600"/>
    <cellStyle name="Note 2 3 3 5 6" xfId="2838"/>
    <cellStyle name="Note 2 3 3 5 6 2" xfId="22401"/>
    <cellStyle name="Note 2 3 3 5 7" xfId="17092"/>
    <cellStyle name="Note 2 3 3 6" xfId="1918"/>
    <cellStyle name="Note 2 3 3 6 2" xfId="1919"/>
    <cellStyle name="Note 2 3 3 6 2 2" xfId="6907"/>
    <cellStyle name="Note 2 3 3 6 2 2 2" xfId="13511"/>
    <cellStyle name="Note 2 3 3 6 2 2 2 2" xfId="27833"/>
    <cellStyle name="Note 2 3 3 6 2 2 3" xfId="19156"/>
    <cellStyle name="Note 2 3 3 6 2 3" xfId="7355"/>
    <cellStyle name="Note 2 3 3 6 2 3 2" xfId="9969"/>
    <cellStyle name="Note 2 3 3 6 2 3 2 2" xfId="16231"/>
    <cellStyle name="Note 2 3 3 6 2 3 2 2 2" xfId="29647"/>
    <cellStyle name="Note 2 3 3 6 2 3 2 3" xfId="20976"/>
    <cellStyle name="Note 2 3 3 6 2 3 3" xfId="13959"/>
    <cellStyle name="Note 2 3 3 6 2 3 3 2" xfId="28281"/>
    <cellStyle name="Note 2 3 3 6 2 3 4" xfId="19604"/>
    <cellStyle name="Note 2 3 3 6 2 4" xfId="11392"/>
    <cellStyle name="Note 2 3 3 6 2 4 2" xfId="25714"/>
    <cellStyle name="Note 2 3 3 6 2 5" xfId="3289"/>
    <cellStyle name="Note 2 3 3 6 3" xfId="1920"/>
    <cellStyle name="Note 2 3 3 6 3 2" xfId="7496"/>
    <cellStyle name="Note 2 3 3 6 3 2 2" xfId="10110"/>
    <cellStyle name="Note 2 3 3 6 3 2 2 2" xfId="16372"/>
    <cellStyle name="Note 2 3 3 6 3 2 2 2 2" xfId="29788"/>
    <cellStyle name="Note 2 3 3 6 3 2 2 3" xfId="21117"/>
    <cellStyle name="Note 2 3 3 6 3 2 3" xfId="14100"/>
    <cellStyle name="Note 2 3 3 6 3 2 3 2" xfId="28422"/>
    <cellStyle name="Note 2 3 3 6 3 2 4" xfId="19745"/>
    <cellStyle name="Note 2 3 3 6 3 3" xfId="13114"/>
    <cellStyle name="Note 2 3 3 6 3 3 2" xfId="27436"/>
    <cellStyle name="Note 2 3 3 6 3 4" xfId="18759"/>
    <cellStyle name="Note 2 3 3 6 4" xfId="5482"/>
    <cellStyle name="Note 2 3 3 6 4 2" xfId="12033"/>
    <cellStyle name="Note 2 3 3 6 4 2 2" xfId="26355"/>
    <cellStyle name="Note 2 3 3 6 4 3" xfId="17678"/>
    <cellStyle name="Note 2 3 3 6 5" xfId="2831"/>
    <cellStyle name="Note 2 3 3 6 5 2" xfId="22394"/>
    <cellStyle name="Note 2 3 3 6 6" xfId="4025"/>
    <cellStyle name="Note 2 3 3 7" xfId="1921"/>
    <cellStyle name="Note 2 3 3 7 2" xfId="6442"/>
    <cellStyle name="Note 2 3 3 7 2 2" xfId="13025"/>
    <cellStyle name="Note 2 3 3 7 2 2 2" xfId="27347"/>
    <cellStyle name="Note 2 3 3 7 2 3" xfId="18670"/>
    <cellStyle name="Note 2 3 3 7 3" xfId="7248"/>
    <cellStyle name="Note 2 3 3 7 3 2" xfId="9862"/>
    <cellStyle name="Note 2 3 3 7 3 2 2" xfId="16124"/>
    <cellStyle name="Note 2 3 3 7 3 2 2 2" xfId="29540"/>
    <cellStyle name="Note 2 3 3 7 3 2 3" xfId="20869"/>
    <cellStyle name="Note 2 3 3 7 3 3" xfId="13852"/>
    <cellStyle name="Note 2 3 3 7 3 3 2" xfId="28174"/>
    <cellStyle name="Note 2 3 3 7 3 4" xfId="19497"/>
    <cellStyle name="Note 2 3 3 7 4" xfId="6686"/>
    <cellStyle name="Note 2 3 3 7 4 2" xfId="23654"/>
    <cellStyle name="Note 2 3 3 7 5" xfId="17088"/>
    <cellStyle name="Note 2 3 3 8" xfId="1922"/>
    <cellStyle name="Note 2 3 3 8 2" xfId="7384"/>
    <cellStyle name="Note 2 3 3 8 2 2" xfId="9998"/>
    <cellStyle name="Note 2 3 3 8 2 2 2" xfId="16260"/>
    <cellStyle name="Note 2 3 3 8 2 2 2 2" xfId="29676"/>
    <cellStyle name="Note 2 3 3 8 2 2 3" xfId="21005"/>
    <cellStyle name="Note 2 3 3 8 2 3" xfId="13988"/>
    <cellStyle name="Note 2 3 3 8 2 3 2" xfId="28310"/>
    <cellStyle name="Note 2 3 3 8 2 4" xfId="19633"/>
    <cellStyle name="Note 2 3 3 8 3" xfId="12602"/>
    <cellStyle name="Note 2 3 3 8 3 2" xfId="26924"/>
    <cellStyle name="Note 2 3 3 8 4" xfId="18247"/>
    <cellStyle name="Note 2 3 3 9" xfId="5203"/>
    <cellStyle name="Note 2 3 3 9 2" xfId="11752"/>
    <cellStyle name="Note 2 3 3 9 2 2" xfId="26074"/>
    <cellStyle name="Note 2 3 3 9 3" xfId="3651"/>
    <cellStyle name="Note 2 3 4" xfId="1923"/>
    <cellStyle name="Note 2 3 4 2" xfId="1924"/>
    <cellStyle name="Note 2 3 4 2 2" xfId="1925"/>
    <cellStyle name="Note 2 3 4 2 2 2" xfId="5616"/>
    <cellStyle name="Note 2 3 4 2 2 2 2" xfId="12169"/>
    <cellStyle name="Note 2 3 4 2 2 2 2 2" xfId="26491"/>
    <cellStyle name="Note 2 3 4 2 2 2 3" xfId="17814"/>
    <cellStyle name="Note 2 3 4 2 2 3" xfId="7186"/>
    <cellStyle name="Note 2 3 4 2 2 3 2" xfId="9800"/>
    <cellStyle name="Note 2 3 4 2 2 3 2 2" xfId="16062"/>
    <cellStyle name="Note 2 3 4 2 2 3 2 2 2" xfId="29478"/>
    <cellStyle name="Note 2 3 4 2 2 3 2 3" xfId="20807"/>
    <cellStyle name="Note 2 3 4 2 2 3 3" xfId="13790"/>
    <cellStyle name="Note 2 3 4 2 2 3 3 2" xfId="28112"/>
    <cellStyle name="Note 2 3 4 2 2 3 4" xfId="19435"/>
    <cellStyle name="Note 2 3 4 2 2 4" xfId="4232"/>
    <cellStyle name="Note 2 3 4 2 2 4 2" xfId="22842"/>
    <cellStyle name="Note 2 3 4 2 2 5" xfId="5018"/>
    <cellStyle name="Note 2 3 4 2 3" xfId="1926"/>
    <cellStyle name="Note 2 3 4 2 3 2" xfId="7573"/>
    <cellStyle name="Note 2 3 4 2 3 2 2" xfId="10187"/>
    <cellStyle name="Note 2 3 4 2 3 2 2 2" xfId="16449"/>
    <cellStyle name="Note 2 3 4 2 3 2 2 2 2" xfId="29865"/>
    <cellStyle name="Note 2 3 4 2 3 2 2 3" xfId="21194"/>
    <cellStyle name="Note 2 3 4 2 3 2 3" xfId="14177"/>
    <cellStyle name="Note 2 3 4 2 3 2 3 2" xfId="28499"/>
    <cellStyle name="Note 2 3 4 2 3 2 4" xfId="19822"/>
    <cellStyle name="Note 2 3 4 2 3 3" xfId="13222"/>
    <cellStyle name="Note 2 3 4 2 3 3 2" xfId="27544"/>
    <cellStyle name="Note 2 3 4 2 3 4" xfId="18867"/>
    <cellStyle name="Note 2 3 4 2 4" xfId="5663"/>
    <cellStyle name="Note 2 3 4 2 4 2" xfId="12216"/>
    <cellStyle name="Note 2 3 4 2 4 2 2" xfId="26538"/>
    <cellStyle name="Note 2 3 4 2 4 3" xfId="17861"/>
    <cellStyle name="Note 2 3 4 2 5" xfId="4180"/>
    <cellStyle name="Note 2 3 4 2 5 2" xfId="22802"/>
    <cellStyle name="Note 2 3 4 2 6" xfId="4949"/>
    <cellStyle name="Note 2 3 4 3" xfId="1927"/>
    <cellStyle name="Note 2 3 4 3 2" xfId="1928"/>
    <cellStyle name="Note 2 3 4 3 2 2" xfId="6020"/>
    <cellStyle name="Note 2 3 4 3 2 2 2" xfId="12580"/>
    <cellStyle name="Note 2 3 4 3 2 2 2 2" xfId="26902"/>
    <cellStyle name="Note 2 3 4 3 2 2 3" xfId="18225"/>
    <cellStyle name="Note 2 3 4 3 2 3" xfId="7717"/>
    <cellStyle name="Note 2 3 4 3 2 3 2" xfId="10331"/>
    <cellStyle name="Note 2 3 4 3 2 3 2 2" xfId="16593"/>
    <cellStyle name="Note 2 3 4 3 2 3 2 2 2" xfId="30009"/>
    <cellStyle name="Note 2 3 4 3 2 3 2 3" xfId="21338"/>
    <cellStyle name="Note 2 3 4 3 2 3 3" xfId="14321"/>
    <cellStyle name="Note 2 3 4 3 2 3 3 2" xfId="28643"/>
    <cellStyle name="Note 2 3 4 3 2 3 4" xfId="19966"/>
    <cellStyle name="Note 2 3 4 3 2 4" xfId="4368"/>
    <cellStyle name="Note 2 3 4 3 2 4 2" xfId="22910"/>
    <cellStyle name="Note 2 3 4 3 2 5" xfId="15274"/>
    <cellStyle name="Note 2 3 4 3 3" xfId="1929"/>
    <cellStyle name="Note 2 3 4 3 3 2" xfId="7097"/>
    <cellStyle name="Note 2 3 4 3 3 2 2" xfId="9711"/>
    <cellStyle name="Note 2 3 4 3 3 2 2 2" xfId="15973"/>
    <cellStyle name="Note 2 3 4 3 3 2 2 2 2" xfId="29389"/>
    <cellStyle name="Note 2 3 4 3 3 2 2 3" xfId="20718"/>
    <cellStyle name="Note 2 3 4 3 3 2 3" xfId="13701"/>
    <cellStyle name="Note 2 3 4 3 3 2 3 2" xfId="28023"/>
    <cellStyle name="Note 2 3 4 3 3 2 4" xfId="19346"/>
    <cellStyle name="Note 2 3 4 3 3 3" xfId="13416"/>
    <cellStyle name="Note 2 3 4 3 3 3 2" xfId="27738"/>
    <cellStyle name="Note 2 3 4 3 3 4" xfId="19061"/>
    <cellStyle name="Note 2 3 4 3 4" xfId="5885"/>
    <cellStyle name="Note 2 3 4 3 4 2" xfId="12438"/>
    <cellStyle name="Note 2 3 4 3 4 2 2" xfId="26760"/>
    <cellStyle name="Note 2 3 4 3 4 3" xfId="18083"/>
    <cellStyle name="Note 2 3 4 3 5" xfId="4959"/>
    <cellStyle name="Note 2 3 4 3 5 2" xfId="23281"/>
    <cellStyle name="Note 2 3 4 3 6" xfId="15415"/>
    <cellStyle name="Note 2 3 4 4" xfId="1930"/>
    <cellStyle name="Note 2 3 4 4 2" xfId="6470"/>
    <cellStyle name="Note 2 3 4 4 2 2" xfId="13053"/>
    <cellStyle name="Note 2 3 4 4 2 2 2" xfId="27375"/>
    <cellStyle name="Note 2 3 4 4 2 3" xfId="18698"/>
    <cellStyle name="Note 2 3 4 4 3" xfId="7402"/>
    <cellStyle name="Note 2 3 4 4 3 2" xfId="10016"/>
    <cellStyle name="Note 2 3 4 4 3 2 2" xfId="16278"/>
    <cellStyle name="Note 2 3 4 4 3 2 2 2" xfId="29694"/>
    <cellStyle name="Note 2 3 4 4 3 2 3" xfId="21023"/>
    <cellStyle name="Note 2 3 4 4 3 3" xfId="14006"/>
    <cellStyle name="Note 2 3 4 4 3 3 2" xfId="28328"/>
    <cellStyle name="Note 2 3 4 4 3 4" xfId="19651"/>
    <cellStyle name="Note 2 3 4 4 4" xfId="4964"/>
    <cellStyle name="Note 2 3 4 4 4 2" xfId="23285"/>
    <cellStyle name="Note 2 3 4 4 5" xfId="17146"/>
    <cellStyle name="Note 2 3 4 5" xfId="1931"/>
    <cellStyle name="Note 2 3 4 5 2" xfId="7305"/>
    <cellStyle name="Note 2 3 4 5 2 2" xfId="9919"/>
    <cellStyle name="Note 2 3 4 5 2 2 2" xfId="16181"/>
    <cellStyle name="Note 2 3 4 5 2 2 2 2" xfId="29597"/>
    <cellStyle name="Note 2 3 4 5 2 2 3" xfId="20926"/>
    <cellStyle name="Note 2 3 4 5 2 3" xfId="13909"/>
    <cellStyle name="Note 2 3 4 5 2 3 2" xfId="28231"/>
    <cellStyle name="Note 2 3 4 5 2 4" xfId="19554"/>
    <cellStyle name="Note 2 3 4 5 3" xfId="12542"/>
    <cellStyle name="Note 2 3 4 5 3 2" xfId="26864"/>
    <cellStyle name="Note 2 3 4 5 4" xfId="18187"/>
    <cellStyle name="Note 2 3 4 6" xfId="5136"/>
    <cellStyle name="Note 2 3 4 6 2" xfId="11685"/>
    <cellStyle name="Note 2 3 4 6 2 2" xfId="26007"/>
    <cellStyle name="Note 2 3 4 6 3" xfId="4974"/>
    <cellStyle name="Note 2 3 4 7" xfId="3269"/>
    <cellStyle name="Note 2 3 4 7 2" xfId="22453"/>
    <cellStyle name="Note 2 3 4 8" xfId="14691"/>
    <cellStyle name="Note 2 3 5" xfId="1932"/>
    <cellStyle name="Note 2 3 5 2" xfId="1933"/>
    <cellStyle name="Note 2 3 5 2 2" xfId="1934"/>
    <cellStyle name="Note 2 3 5 2 2 2" xfId="6231"/>
    <cellStyle name="Note 2 3 5 2 2 2 2" xfId="12806"/>
    <cellStyle name="Note 2 3 5 2 2 2 2 2" xfId="27128"/>
    <cellStyle name="Note 2 3 5 2 2 2 3" xfId="18451"/>
    <cellStyle name="Note 2 3 5 2 2 3" xfId="7207"/>
    <cellStyle name="Note 2 3 5 2 2 3 2" xfId="9821"/>
    <cellStyle name="Note 2 3 5 2 2 3 2 2" xfId="16083"/>
    <cellStyle name="Note 2 3 5 2 2 3 2 2 2" xfId="29499"/>
    <cellStyle name="Note 2 3 5 2 2 3 2 3" xfId="20828"/>
    <cellStyle name="Note 2 3 5 2 2 3 3" xfId="13811"/>
    <cellStyle name="Note 2 3 5 2 2 3 3 2" xfId="28133"/>
    <cellStyle name="Note 2 3 5 2 2 3 4" xfId="19456"/>
    <cellStyle name="Note 2 3 5 2 2 4" xfId="4983"/>
    <cellStyle name="Note 2 3 5 2 2 4 2" xfId="23293"/>
    <cellStyle name="Note 2 3 5 2 2 5" xfId="15199"/>
    <cellStyle name="Note 2 3 5 2 3" xfId="1935"/>
    <cellStyle name="Note 2 3 5 2 3 2" xfId="7772"/>
    <cellStyle name="Note 2 3 5 2 3 2 2" xfId="10386"/>
    <cellStyle name="Note 2 3 5 2 3 2 2 2" xfId="16648"/>
    <cellStyle name="Note 2 3 5 2 3 2 2 2 2" xfId="30064"/>
    <cellStyle name="Note 2 3 5 2 3 2 2 3" xfId="21393"/>
    <cellStyle name="Note 2 3 5 2 3 2 3" xfId="14376"/>
    <cellStyle name="Note 2 3 5 2 3 2 3 2" xfId="28698"/>
    <cellStyle name="Note 2 3 5 2 3 2 4" xfId="20021"/>
    <cellStyle name="Note 2 3 5 2 3 3" xfId="12522"/>
    <cellStyle name="Note 2 3 5 2 3 3 2" xfId="26844"/>
    <cellStyle name="Note 2 3 5 2 3 4" xfId="18167"/>
    <cellStyle name="Note 2 3 5 2 4" xfId="4114"/>
    <cellStyle name="Note 2 3 5 2 4 2" xfId="3909"/>
    <cellStyle name="Note 2 3 5 2 4 2 2" xfId="22640"/>
    <cellStyle name="Note 2 3 5 2 4 3" xfId="15111"/>
    <cellStyle name="Note 2 3 5 2 5" xfId="4882"/>
    <cellStyle name="Note 2 3 5 2 5 2" xfId="23242"/>
    <cellStyle name="Note 2 3 5 2 6" xfId="14904"/>
    <cellStyle name="Note 2 3 5 3" xfId="1936"/>
    <cellStyle name="Note 2 3 5 3 2" xfId="1937"/>
    <cellStyle name="Note 2 3 5 3 2 2" xfId="7023"/>
    <cellStyle name="Note 2 3 5 3 2 2 2" xfId="13627"/>
    <cellStyle name="Note 2 3 5 3 2 2 2 2" xfId="27949"/>
    <cellStyle name="Note 2 3 5 3 2 2 3" xfId="19272"/>
    <cellStyle name="Note 2 3 5 3 2 3" xfId="4853"/>
    <cellStyle name="Note 2 3 5 3 2 3 2" xfId="9503"/>
    <cellStyle name="Note 2 3 5 3 2 3 2 2" xfId="15765"/>
    <cellStyle name="Note 2 3 5 3 2 3 2 2 2" xfId="29181"/>
    <cellStyle name="Note 2 3 5 3 2 3 2 3" xfId="20510"/>
    <cellStyle name="Note 2 3 5 3 2 3 3" xfId="11387"/>
    <cellStyle name="Note 2 3 5 3 2 3 3 2" xfId="25709"/>
    <cellStyle name="Note 2 3 5 3 2 3 4" xfId="16966"/>
    <cellStyle name="Note 2 3 5 3 2 4" xfId="11558"/>
    <cellStyle name="Note 2 3 5 3 2 4 2" xfId="25880"/>
    <cellStyle name="Note 2 3 5 3 2 5" xfId="5566"/>
    <cellStyle name="Note 2 3 5 3 3" xfId="1938"/>
    <cellStyle name="Note 2 3 5 3 3 2" xfId="7763"/>
    <cellStyle name="Note 2 3 5 3 3 2 2" xfId="10377"/>
    <cellStyle name="Note 2 3 5 3 3 2 2 2" xfId="16639"/>
    <cellStyle name="Note 2 3 5 3 3 2 2 2 2" xfId="30055"/>
    <cellStyle name="Note 2 3 5 3 3 2 2 3" xfId="21384"/>
    <cellStyle name="Note 2 3 5 3 3 2 3" xfId="14367"/>
    <cellStyle name="Note 2 3 5 3 3 2 3 2" xfId="28689"/>
    <cellStyle name="Note 2 3 5 3 3 2 4" xfId="20012"/>
    <cellStyle name="Note 2 3 5 3 3 3" xfId="12610"/>
    <cellStyle name="Note 2 3 5 3 3 3 2" xfId="26932"/>
    <cellStyle name="Note 2 3 5 3 3 4" xfId="18255"/>
    <cellStyle name="Note 2 3 5 3 4" xfId="5158"/>
    <cellStyle name="Note 2 3 5 3 4 2" xfId="11707"/>
    <cellStyle name="Note 2 3 5 3 4 2 2" xfId="26029"/>
    <cellStyle name="Note 2 3 5 3 4 3" xfId="6291"/>
    <cellStyle name="Note 2 3 5 3 5" xfId="4343"/>
    <cellStyle name="Note 2 3 5 3 5 2" xfId="22898"/>
    <cellStyle name="Note 2 3 5 3 6" xfId="17006"/>
    <cellStyle name="Note 2 3 5 4" xfId="1939"/>
    <cellStyle name="Note 2 3 5 4 2" xfId="6029"/>
    <cellStyle name="Note 2 3 5 4 2 2" xfId="12590"/>
    <cellStyle name="Note 2 3 5 4 2 2 2" xfId="26912"/>
    <cellStyle name="Note 2 3 5 4 2 3" xfId="18235"/>
    <cellStyle name="Note 2 3 5 4 3" xfId="3740"/>
    <cellStyle name="Note 2 3 5 4 3 2" xfId="9365"/>
    <cellStyle name="Note 2 3 5 4 3 2 2" xfId="15627"/>
    <cellStyle name="Note 2 3 5 4 3 2 2 2" xfId="29043"/>
    <cellStyle name="Note 2 3 5 4 3 2 3" xfId="20372"/>
    <cellStyle name="Note 2 3 5 4 3 3" xfId="4494"/>
    <cellStyle name="Note 2 3 5 4 3 3 2" xfId="22987"/>
    <cellStyle name="Note 2 3 5 4 3 4" xfId="17393"/>
    <cellStyle name="Note 2 3 5 4 4" xfId="6653"/>
    <cellStyle name="Note 2 3 5 4 4 2" xfId="23630"/>
    <cellStyle name="Note 2 3 5 4 5" xfId="17298"/>
    <cellStyle name="Note 2 3 5 5" xfId="1940"/>
    <cellStyle name="Note 2 3 5 5 2" xfId="3666"/>
    <cellStyle name="Note 2 3 5 5 2 2" xfId="9357"/>
    <cellStyle name="Note 2 3 5 5 2 2 2" xfId="15619"/>
    <cellStyle name="Note 2 3 5 5 2 2 2 2" xfId="29035"/>
    <cellStyle name="Note 2 3 5 5 2 2 3" xfId="20364"/>
    <cellStyle name="Note 2 3 5 5 2 3" xfId="4775"/>
    <cellStyle name="Note 2 3 5 5 2 3 2" xfId="23181"/>
    <cellStyle name="Note 2 3 5 5 2 4" xfId="15150"/>
    <cellStyle name="Note 2 3 5 5 3" xfId="11655"/>
    <cellStyle name="Note 2 3 5 5 3 2" xfId="25977"/>
    <cellStyle name="Note 2 3 5 5 4" xfId="3702"/>
    <cellStyle name="Note 2 3 5 6" xfId="5104"/>
    <cellStyle name="Note 2 3 5 6 2" xfId="11651"/>
    <cellStyle name="Note 2 3 5 6 2 2" xfId="25973"/>
    <cellStyle name="Note 2 3 5 6 3" xfId="15120"/>
    <cellStyle name="Note 2 3 5 7" xfId="4786"/>
    <cellStyle name="Note 2 3 5 7 2" xfId="23186"/>
    <cellStyle name="Note 2 3 5 8" xfId="17011"/>
    <cellStyle name="Note 2 3 6" xfId="1941"/>
    <cellStyle name="Note 2 3 6 2" xfId="1942"/>
    <cellStyle name="Note 2 3 6 2 2" xfId="1943"/>
    <cellStyle name="Note 2 3 6 2 2 2" xfId="6994"/>
    <cellStyle name="Note 2 3 6 2 2 2 2" xfId="13598"/>
    <cellStyle name="Note 2 3 6 2 2 2 2 2" xfId="27920"/>
    <cellStyle name="Note 2 3 6 2 2 2 3" xfId="19243"/>
    <cellStyle name="Note 2 3 6 2 2 3" xfId="7775"/>
    <cellStyle name="Note 2 3 6 2 2 3 2" xfId="10389"/>
    <cellStyle name="Note 2 3 6 2 2 3 2 2" xfId="16651"/>
    <cellStyle name="Note 2 3 6 2 2 3 2 2 2" xfId="30067"/>
    <cellStyle name="Note 2 3 6 2 2 3 2 3" xfId="21396"/>
    <cellStyle name="Note 2 3 6 2 2 3 3" xfId="14379"/>
    <cellStyle name="Note 2 3 6 2 2 3 3 2" xfId="28701"/>
    <cellStyle name="Note 2 3 6 2 2 3 4" xfId="20024"/>
    <cellStyle name="Note 2 3 6 2 2 4" xfId="11508"/>
    <cellStyle name="Note 2 3 6 2 2 4 2" xfId="25830"/>
    <cellStyle name="Note 2 3 6 2 2 5" xfId="15300"/>
    <cellStyle name="Note 2 3 6 2 3" xfId="1944"/>
    <cellStyle name="Note 2 3 6 2 3 2" xfId="7946"/>
    <cellStyle name="Note 2 3 6 2 3 2 2" xfId="10560"/>
    <cellStyle name="Note 2 3 6 2 3 2 2 2" xfId="16822"/>
    <cellStyle name="Note 2 3 6 2 3 2 2 2 2" xfId="30238"/>
    <cellStyle name="Note 2 3 6 2 3 2 2 3" xfId="21567"/>
    <cellStyle name="Note 2 3 6 2 3 2 3" xfId="14550"/>
    <cellStyle name="Note 2 3 6 2 3 2 3 2" xfId="28872"/>
    <cellStyle name="Note 2 3 6 2 3 2 4" xfId="20195"/>
    <cellStyle name="Note 2 3 6 2 3 3" xfId="13207"/>
    <cellStyle name="Note 2 3 6 2 3 3 2" xfId="27529"/>
    <cellStyle name="Note 2 3 6 2 3 4" xfId="18852"/>
    <cellStyle name="Note 2 3 6 2 4" xfId="5646"/>
    <cellStyle name="Note 2 3 6 2 4 2" xfId="12199"/>
    <cellStyle name="Note 2 3 6 2 4 2 2" xfId="26521"/>
    <cellStyle name="Note 2 3 6 2 4 3" xfId="17844"/>
    <cellStyle name="Note 2 3 6 2 5" xfId="6788"/>
    <cellStyle name="Note 2 3 6 2 5 2" xfId="23732"/>
    <cellStyle name="Note 2 3 6 2 6" xfId="4620"/>
    <cellStyle name="Note 2 3 6 3" xfId="1945"/>
    <cellStyle name="Note 2 3 6 3 2" xfId="1946"/>
    <cellStyle name="Note 2 3 6 3 2 2" xfId="6849"/>
    <cellStyle name="Note 2 3 6 3 2 2 2" xfId="13453"/>
    <cellStyle name="Note 2 3 6 3 2 2 2 2" xfId="27775"/>
    <cellStyle name="Note 2 3 6 3 2 2 3" xfId="19098"/>
    <cellStyle name="Note 2 3 6 3 2 3" xfId="7108"/>
    <cellStyle name="Note 2 3 6 3 2 3 2" xfId="9722"/>
    <cellStyle name="Note 2 3 6 3 2 3 2 2" xfId="15984"/>
    <cellStyle name="Note 2 3 6 3 2 3 2 2 2" xfId="29400"/>
    <cellStyle name="Note 2 3 6 3 2 3 2 3" xfId="20729"/>
    <cellStyle name="Note 2 3 6 3 2 3 3" xfId="13712"/>
    <cellStyle name="Note 2 3 6 3 2 3 3 2" xfId="28034"/>
    <cellStyle name="Note 2 3 6 3 2 3 4" xfId="19357"/>
    <cellStyle name="Note 2 3 6 3 2 4" xfId="2806"/>
    <cellStyle name="Note 2 3 6 3 2 4 2" xfId="22369"/>
    <cellStyle name="Note 2 3 6 3 2 5" xfId="15359"/>
    <cellStyle name="Note 2 3 6 3 3" xfId="1947"/>
    <cellStyle name="Note 2 3 6 3 3 2" xfId="4806"/>
    <cellStyle name="Note 2 3 6 3 3 2 2" xfId="9491"/>
    <cellStyle name="Note 2 3 6 3 3 2 2 2" xfId="15753"/>
    <cellStyle name="Note 2 3 6 3 3 2 2 2 2" xfId="29169"/>
    <cellStyle name="Note 2 3 6 3 3 2 2 3" xfId="20498"/>
    <cellStyle name="Note 2 3 6 3 3 2 3" xfId="11337"/>
    <cellStyle name="Note 2 3 6 3 3 2 3 2" xfId="25659"/>
    <cellStyle name="Note 2 3 6 3 3 2 4" xfId="15099"/>
    <cellStyle name="Note 2 3 6 3 3 3" xfId="13054"/>
    <cellStyle name="Note 2 3 6 3 3 3 2" xfId="27376"/>
    <cellStyle name="Note 2 3 6 3 3 4" xfId="18699"/>
    <cellStyle name="Note 2 3 6 3 4" xfId="5382"/>
    <cellStyle name="Note 2 3 6 3 4 2" xfId="11932"/>
    <cellStyle name="Note 2 3 6 3 4 2 2" xfId="26254"/>
    <cellStyle name="Note 2 3 6 3 4 3" xfId="17577"/>
    <cellStyle name="Note 2 3 6 3 5" xfId="6508"/>
    <cellStyle name="Note 2 3 6 3 5 2" xfId="23575"/>
    <cellStyle name="Note 2 3 6 3 6" xfId="14877"/>
    <cellStyle name="Note 2 3 6 4" xfId="1948"/>
    <cellStyle name="Note 2 3 6 4 2" xfId="6040"/>
    <cellStyle name="Note 2 3 6 4 2 2" xfId="12604"/>
    <cellStyle name="Note 2 3 6 4 2 2 2" xfId="26926"/>
    <cellStyle name="Note 2 3 6 4 2 3" xfId="18249"/>
    <cellStyle name="Note 2 3 6 4 3" xfId="7220"/>
    <cellStyle name="Note 2 3 6 4 3 2" xfId="9834"/>
    <cellStyle name="Note 2 3 6 4 3 2 2" xfId="16096"/>
    <cellStyle name="Note 2 3 6 4 3 2 2 2" xfId="29512"/>
    <cellStyle name="Note 2 3 6 4 3 2 3" xfId="20841"/>
    <cellStyle name="Note 2 3 6 4 3 3" xfId="13824"/>
    <cellStyle name="Note 2 3 6 4 3 3 2" xfId="28146"/>
    <cellStyle name="Note 2 3 6 4 3 4" xfId="19469"/>
    <cellStyle name="Note 2 3 6 4 4" xfId="4484"/>
    <cellStyle name="Note 2 3 6 4 4 2" xfId="22981"/>
    <cellStyle name="Note 2 3 6 4 5" xfId="15582"/>
    <cellStyle name="Note 2 3 6 5" xfId="1949"/>
    <cellStyle name="Note 2 3 6 5 2" xfId="7272"/>
    <cellStyle name="Note 2 3 6 5 2 2" xfId="9886"/>
    <cellStyle name="Note 2 3 6 5 2 2 2" xfId="16148"/>
    <cellStyle name="Note 2 3 6 5 2 2 2 2" xfId="29564"/>
    <cellStyle name="Note 2 3 6 5 2 2 3" xfId="20893"/>
    <cellStyle name="Note 2 3 6 5 2 3" xfId="13876"/>
    <cellStyle name="Note 2 3 6 5 2 3 2" xfId="28198"/>
    <cellStyle name="Note 2 3 6 5 2 4" xfId="19521"/>
    <cellStyle name="Note 2 3 6 5 3" xfId="12490"/>
    <cellStyle name="Note 2 3 6 5 3 2" xfId="26812"/>
    <cellStyle name="Note 2 3 6 5 4" xfId="18135"/>
    <cellStyle name="Note 2 3 6 6" xfId="5075"/>
    <cellStyle name="Note 2 3 6 6 2" xfId="11622"/>
    <cellStyle name="Note 2 3 6 6 2 2" xfId="25944"/>
    <cellStyle name="Note 2 3 6 6 3" xfId="3612"/>
    <cellStyle name="Note 2 3 6 7" xfId="4836"/>
    <cellStyle name="Note 2 3 6 7 2" xfId="23213"/>
    <cellStyle name="Note 2 3 6 8" xfId="15292"/>
    <cellStyle name="Note 2 3 7" xfId="1950"/>
    <cellStyle name="Note 2 3 7 2" xfId="1951"/>
    <cellStyle name="Note 2 3 7 2 2" xfId="1952"/>
    <cellStyle name="Note 2 3 7 2 2 2" xfId="3468"/>
    <cellStyle name="Note 2 3 7 2 2 2 2" xfId="3242"/>
    <cellStyle name="Note 2 3 7 2 2 2 2 2" xfId="22440"/>
    <cellStyle name="Note 2 3 7 2 2 2 3" xfId="14838"/>
    <cellStyle name="Note 2 3 7 2 2 3" xfId="7738"/>
    <cellStyle name="Note 2 3 7 2 2 3 2" xfId="10352"/>
    <cellStyle name="Note 2 3 7 2 2 3 2 2" xfId="16614"/>
    <cellStyle name="Note 2 3 7 2 2 3 2 2 2" xfId="30030"/>
    <cellStyle name="Note 2 3 7 2 2 3 2 3" xfId="21359"/>
    <cellStyle name="Note 2 3 7 2 2 3 3" xfId="14342"/>
    <cellStyle name="Note 2 3 7 2 2 3 3 2" xfId="28664"/>
    <cellStyle name="Note 2 3 7 2 2 3 4" xfId="19987"/>
    <cellStyle name="Note 2 3 7 2 2 4" xfId="6330"/>
    <cellStyle name="Note 2 3 7 2 2 4 2" xfId="23519"/>
    <cellStyle name="Note 2 3 7 2 2 5" xfId="4149"/>
    <cellStyle name="Note 2 3 7 2 3" xfId="1953"/>
    <cellStyle name="Note 2 3 7 2 3 2" xfId="7083"/>
    <cellStyle name="Note 2 3 7 2 3 2 2" xfId="9697"/>
    <cellStyle name="Note 2 3 7 2 3 2 2 2" xfId="15959"/>
    <cellStyle name="Note 2 3 7 2 3 2 2 2 2" xfId="29375"/>
    <cellStyle name="Note 2 3 7 2 3 2 2 3" xfId="20704"/>
    <cellStyle name="Note 2 3 7 2 3 2 3" xfId="13687"/>
    <cellStyle name="Note 2 3 7 2 3 2 3 2" xfId="28009"/>
    <cellStyle name="Note 2 3 7 2 3 2 4" xfId="19332"/>
    <cellStyle name="Note 2 3 7 2 3 3" xfId="13083"/>
    <cellStyle name="Note 2 3 7 2 3 3 2" xfId="27405"/>
    <cellStyle name="Note 2 3 7 2 3 4" xfId="18728"/>
    <cellStyle name="Note 2 3 7 2 4" xfId="5436"/>
    <cellStyle name="Note 2 3 7 2 4 2" xfId="11987"/>
    <cellStyle name="Note 2 3 7 2 4 2 2" xfId="26309"/>
    <cellStyle name="Note 2 3 7 2 4 3" xfId="17632"/>
    <cellStyle name="Note 2 3 7 2 5" xfId="4392"/>
    <cellStyle name="Note 2 3 7 2 5 2" xfId="22924"/>
    <cellStyle name="Note 2 3 7 2 6" xfId="17202"/>
    <cellStyle name="Note 2 3 7 3" xfId="1954"/>
    <cellStyle name="Note 2 3 7 3 2" xfId="6047"/>
    <cellStyle name="Note 2 3 7 3 2 2" xfId="12613"/>
    <cellStyle name="Note 2 3 7 3 2 2 2" xfId="26935"/>
    <cellStyle name="Note 2 3 7 3 2 3" xfId="18258"/>
    <cellStyle name="Note 2 3 7 3 3" xfId="7320"/>
    <cellStyle name="Note 2 3 7 3 3 2" xfId="9934"/>
    <cellStyle name="Note 2 3 7 3 3 2 2" xfId="16196"/>
    <cellStyle name="Note 2 3 7 3 3 2 2 2" xfId="29612"/>
    <cellStyle name="Note 2 3 7 3 3 2 3" xfId="20941"/>
    <cellStyle name="Note 2 3 7 3 3 3" xfId="13924"/>
    <cellStyle name="Note 2 3 7 3 3 3 2" xfId="28246"/>
    <cellStyle name="Note 2 3 7 3 3 4" xfId="19569"/>
    <cellStyle name="Note 2 3 7 3 4" xfId="4463"/>
    <cellStyle name="Note 2 3 7 3 4 2" xfId="22965"/>
    <cellStyle name="Note 2 3 7 3 5" xfId="15361"/>
    <cellStyle name="Note 2 3 7 4" xfId="1955"/>
    <cellStyle name="Note 2 3 7 4 2" xfId="7306"/>
    <cellStyle name="Note 2 3 7 4 2 2" xfId="9920"/>
    <cellStyle name="Note 2 3 7 4 2 2 2" xfId="16182"/>
    <cellStyle name="Note 2 3 7 4 2 2 2 2" xfId="29598"/>
    <cellStyle name="Note 2 3 7 4 2 2 3" xfId="20927"/>
    <cellStyle name="Note 2 3 7 4 2 3" xfId="13910"/>
    <cellStyle name="Note 2 3 7 4 2 3 2" xfId="28232"/>
    <cellStyle name="Note 2 3 7 4 2 4" xfId="19555"/>
    <cellStyle name="Note 2 3 7 4 3" xfId="12903"/>
    <cellStyle name="Note 2 3 7 4 3 2" xfId="27225"/>
    <cellStyle name="Note 2 3 7 4 4" xfId="18548"/>
    <cellStyle name="Note 2 3 7 5" xfId="5527"/>
    <cellStyle name="Note 2 3 7 5 2" xfId="12078"/>
    <cellStyle name="Note 2 3 7 5 2 2" xfId="26400"/>
    <cellStyle name="Note 2 3 7 5 3" xfId="17723"/>
    <cellStyle name="Note 2 3 7 6" xfId="4217"/>
    <cellStyle name="Note 2 3 7 6 2" xfId="22829"/>
    <cellStyle name="Note 2 3 7 7" xfId="15132"/>
    <cellStyle name="Note 2 3 8" xfId="1956"/>
    <cellStyle name="Note 2 3 8 2" xfId="1957"/>
    <cellStyle name="Note 2 3 8 2 2" xfId="6050"/>
    <cellStyle name="Note 2 3 8 2 2 2" xfId="12616"/>
    <cellStyle name="Note 2 3 8 2 2 2 2" xfId="26938"/>
    <cellStyle name="Note 2 3 8 2 2 3" xfId="18261"/>
    <cellStyle name="Note 2 3 8 2 3" xfId="7935"/>
    <cellStyle name="Note 2 3 8 2 3 2" xfId="10549"/>
    <cellStyle name="Note 2 3 8 2 3 2 2" xfId="16811"/>
    <cellStyle name="Note 2 3 8 2 3 2 2 2" xfId="30227"/>
    <cellStyle name="Note 2 3 8 2 3 2 3" xfId="21556"/>
    <cellStyle name="Note 2 3 8 2 3 3" xfId="14539"/>
    <cellStyle name="Note 2 3 8 2 3 3 2" xfId="28861"/>
    <cellStyle name="Note 2 3 8 2 3 4" xfId="20184"/>
    <cellStyle name="Note 2 3 8 2 4" xfId="4650"/>
    <cellStyle name="Note 2 3 8 2 4 2" xfId="23093"/>
    <cellStyle name="Note 2 3 8 2 5" xfId="3984"/>
    <cellStyle name="Note 2 3 8 3" xfId="1958"/>
    <cellStyle name="Note 2 3 8 3 2" xfId="7356"/>
    <cellStyle name="Note 2 3 8 3 2 2" xfId="9970"/>
    <cellStyle name="Note 2 3 8 3 2 2 2" xfId="16232"/>
    <cellStyle name="Note 2 3 8 3 2 2 2 2" xfId="29648"/>
    <cellStyle name="Note 2 3 8 3 2 2 3" xfId="20977"/>
    <cellStyle name="Note 2 3 8 3 2 3" xfId="13960"/>
    <cellStyle name="Note 2 3 8 3 2 3 2" xfId="28282"/>
    <cellStyle name="Note 2 3 8 3 2 4" xfId="19605"/>
    <cellStyle name="Note 2 3 8 3 3" xfId="12738"/>
    <cellStyle name="Note 2 3 8 3 3 2" xfId="27060"/>
    <cellStyle name="Note 2 3 8 3 4" xfId="18383"/>
    <cellStyle name="Note 2 3 8 4" xfId="5039"/>
    <cellStyle name="Note 2 3 8 4 2" xfId="11586"/>
    <cellStyle name="Note 2 3 8 4 2 2" xfId="25908"/>
    <cellStyle name="Note 2 3 8 4 3" xfId="4354"/>
    <cellStyle name="Note 2 3 8 5" xfId="4366"/>
    <cellStyle name="Note 2 3 8 5 2" xfId="22908"/>
    <cellStyle name="Note 2 3 8 6" xfId="17183"/>
    <cellStyle name="Note 2 3 9" xfId="1959"/>
    <cellStyle name="Note 2 3 9 2" xfId="6144"/>
    <cellStyle name="Note 2 3 9 2 2" xfId="12714"/>
    <cellStyle name="Note 2 3 9 2 2 2" xfId="27036"/>
    <cellStyle name="Note 2 3 9 2 3" xfId="18359"/>
    <cellStyle name="Note 2 3 9 3" xfId="7701"/>
    <cellStyle name="Note 2 3 9 3 2" xfId="10315"/>
    <cellStyle name="Note 2 3 9 3 2 2" xfId="16577"/>
    <cellStyle name="Note 2 3 9 3 2 2 2" xfId="29993"/>
    <cellStyle name="Note 2 3 9 3 2 3" xfId="21322"/>
    <cellStyle name="Note 2 3 9 3 3" xfId="14305"/>
    <cellStyle name="Note 2 3 9 3 3 2" xfId="28627"/>
    <cellStyle name="Note 2 3 9 3 4" xfId="19950"/>
    <cellStyle name="Note 2 3 9 4" xfId="6771"/>
    <cellStyle name="Note 2 3 9 4 2" xfId="23717"/>
    <cellStyle name="Note 2 3 9 5" xfId="14713"/>
    <cellStyle name="Note 2 4" xfId="1960"/>
    <cellStyle name="Note 2 4 2" xfId="6012"/>
    <cellStyle name="Note 2 4 2 2" xfId="12572"/>
    <cellStyle name="Note 2 4 2 2 2" xfId="26894"/>
    <cellStyle name="Note 2 4 2 3" xfId="18217"/>
    <cellStyle name="Note 2 4 3" xfId="5342"/>
    <cellStyle name="Note 2 4 3 2" xfId="9651"/>
    <cellStyle name="Note 2 4 3 2 2" xfId="15913"/>
    <cellStyle name="Note 2 4 3 2 2 2" xfId="29329"/>
    <cellStyle name="Note 2 4 3 2 3" xfId="20658"/>
    <cellStyle name="Note 2 4 3 3" xfId="11892"/>
    <cellStyle name="Note 2 4 3 3 2" xfId="26214"/>
    <cellStyle name="Note 2 4 3 4" xfId="17537"/>
    <cellStyle name="Note 2 4 4" xfId="4049"/>
    <cellStyle name="Note 2 4 4 2" xfId="22726"/>
    <cellStyle name="Note 2 4 5" xfId="16977"/>
    <cellStyle name="Note 2 5" xfId="3731"/>
    <cellStyle name="Note 2 5 2" xfId="4792"/>
    <cellStyle name="Note 2 5 2 2" xfId="23191"/>
    <cellStyle name="Note 2 5 3" xfId="14801"/>
    <cellStyle name="Note 2 6" xfId="4867"/>
    <cellStyle name="Note 2 6 2" xfId="23232"/>
    <cellStyle name="Note 2 7" xfId="17036"/>
    <cellStyle name="Note 2 8" xfId="20321"/>
    <cellStyle name="Note 2 9" xfId="21700"/>
    <cellStyle name="Note 3" xfId="1961"/>
    <cellStyle name="Note 3 2" xfId="1962"/>
    <cellStyle name="Note 3 2 2" xfId="1963"/>
    <cellStyle name="Note 3 2 2 10" xfId="1964"/>
    <cellStyle name="Note 3 2 2 10 2" xfId="3827"/>
    <cellStyle name="Note 3 2 2 10 2 2" xfId="9383"/>
    <cellStyle name="Note 3 2 2 10 2 2 2" xfId="15645"/>
    <cellStyle name="Note 3 2 2 10 2 2 2 2" xfId="29061"/>
    <cellStyle name="Note 3 2 2 10 2 2 3" xfId="20390"/>
    <cellStyle name="Note 3 2 2 10 2 3" xfId="4847"/>
    <cellStyle name="Note 3 2 2 10 2 3 2" xfId="23221"/>
    <cellStyle name="Note 3 2 2 10 2 4" xfId="15563"/>
    <cellStyle name="Note 3 2 2 10 3" xfId="12162"/>
    <cellStyle name="Note 3 2 2 10 3 2" xfId="26484"/>
    <cellStyle name="Note 3 2 2 10 4" xfId="17807"/>
    <cellStyle name="Note 3 2 2 11" xfId="3763"/>
    <cellStyle name="Note 3 2 2 11 2" xfId="3860"/>
    <cellStyle name="Note 3 2 2 11 2 2" xfId="22616"/>
    <cellStyle name="Note 3 2 2 11 3" xfId="15255"/>
    <cellStyle name="Note 3 2 2 12" xfId="6317"/>
    <cellStyle name="Note 3 2 2 12 2" xfId="23512"/>
    <cellStyle name="Note 3 2 2 13" xfId="14718"/>
    <cellStyle name="Note 3 2 2 2" xfId="1965"/>
    <cellStyle name="Note 3 2 2 2 10" xfId="5395"/>
    <cellStyle name="Note 3 2 2 2 10 2" xfId="11945"/>
    <cellStyle name="Note 3 2 2 2 10 2 2" xfId="26267"/>
    <cellStyle name="Note 3 2 2 2 10 3" xfId="17590"/>
    <cellStyle name="Note 3 2 2 2 11" xfId="5366"/>
    <cellStyle name="Note 3 2 2 2 11 2" xfId="23340"/>
    <cellStyle name="Note 3 2 2 2 12" xfId="4193"/>
    <cellStyle name="Note 3 2 2 2 2" xfId="1966"/>
    <cellStyle name="Note 3 2 2 2 2 10" xfId="6721"/>
    <cellStyle name="Note 3 2 2 2 2 10 2" xfId="23675"/>
    <cellStyle name="Note 3 2 2 2 2 11" xfId="4120"/>
    <cellStyle name="Note 3 2 2 2 2 2" xfId="1967"/>
    <cellStyle name="Note 3 2 2 2 2 2 2" xfId="1968"/>
    <cellStyle name="Note 3 2 2 2 2 2 2 2" xfId="1969"/>
    <cellStyle name="Note 3 2 2 2 2 2 2 2 2" xfId="6428"/>
    <cellStyle name="Note 3 2 2 2 2 2 2 2 2 2" xfId="13011"/>
    <cellStyle name="Note 3 2 2 2 2 2 2 2 2 2 2" xfId="27333"/>
    <cellStyle name="Note 3 2 2 2 2 2 2 2 2 3" xfId="18656"/>
    <cellStyle name="Note 3 2 2 2 2 2 2 2 3" xfId="4915"/>
    <cellStyle name="Note 3 2 2 2 2 2 2 2 3 2" xfId="9512"/>
    <cellStyle name="Note 3 2 2 2 2 2 2 2 3 2 2" xfId="15774"/>
    <cellStyle name="Note 3 2 2 2 2 2 2 2 3 2 2 2" xfId="29190"/>
    <cellStyle name="Note 3 2 2 2 2 2 2 2 3 2 3" xfId="20519"/>
    <cellStyle name="Note 3 2 2 2 2 2 2 2 3 3" xfId="11452"/>
    <cellStyle name="Note 3 2 2 2 2 2 2 2 3 3 2" xfId="25774"/>
    <cellStyle name="Note 3 2 2 2 2 2 2 2 3 4" xfId="17303"/>
    <cellStyle name="Note 3 2 2 2 2 2 2 2 4" xfId="4593"/>
    <cellStyle name="Note 3 2 2 2 2 2 2 2 4 2" xfId="23055"/>
    <cellStyle name="Note 3 2 2 2 2 2 2 2 5" xfId="14697"/>
    <cellStyle name="Note 3 2 2 2 2 2 2 3" xfId="1970"/>
    <cellStyle name="Note 3 2 2 2 2 2 2 3 2" xfId="3594"/>
    <cellStyle name="Note 3 2 2 2 2 2 2 3 2 2" xfId="9340"/>
    <cellStyle name="Note 3 2 2 2 2 2 2 3 2 2 2" xfId="15602"/>
    <cellStyle name="Note 3 2 2 2 2 2 2 3 2 2 2 2" xfId="29018"/>
    <cellStyle name="Note 3 2 2 2 2 2 2 3 2 2 3" xfId="20347"/>
    <cellStyle name="Note 3 2 2 2 2 2 2 3 2 3" xfId="4371"/>
    <cellStyle name="Note 3 2 2 2 2 2 2 3 2 3 2" xfId="22913"/>
    <cellStyle name="Note 3 2 2 2 2 2 2 3 2 4" xfId="17321"/>
    <cellStyle name="Note 3 2 2 2 2 2 2 3 3" xfId="13321"/>
    <cellStyle name="Note 3 2 2 2 2 2 2 3 3 2" xfId="27643"/>
    <cellStyle name="Note 3 2 2 2 2 2 2 3 4" xfId="18966"/>
    <cellStyle name="Note 3 2 2 2 2 2 2 4" xfId="5771"/>
    <cellStyle name="Note 3 2 2 2 2 2 2 4 2" xfId="12324"/>
    <cellStyle name="Note 3 2 2 2 2 2 2 4 2 2" xfId="26646"/>
    <cellStyle name="Note 3 2 2 2 2 2 2 4 3" xfId="17969"/>
    <cellStyle name="Note 3 2 2 2 2 2 2 5" xfId="4821"/>
    <cellStyle name="Note 3 2 2 2 2 2 2 5 2" xfId="23203"/>
    <cellStyle name="Note 3 2 2 2 2 2 2 6" xfId="15595"/>
    <cellStyle name="Note 3 2 2 2 2 2 3" xfId="1971"/>
    <cellStyle name="Note 3 2 2 2 2 2 3 2" xfId="1972"/>
    <cellStyle name="Note 3 2 2 2 2 2 3 2 2" xfId="6517"/>
    <cellStyle name="Note 3 2 2 2 2 2 3 2 2 2" xfId="13105"/>
    <cellStyle name="Note 3 2 2 2 2 2 3 2 2 2 2" xfId="27427"/>
    <cellStyle name="Note 3 2 2 2 2 2 3 2 2 3" xfId="18750"/>
    <cellStyle name="Note 3 2 2 2 2 2 3 2 3" xfId="5340"/>
    <cellStyle name="Note 3 2 2 2 2 2 3 2 3 2" xfId="9649"/>
    <cellStyle name="Note 3 2 2 2 2 2 3 2 3 2 2" xfId="15911"/>
    <cellStyle name="Note 3 2 2 2 2 2 3 2 3 2 2 2" xfId="29327"/>
    <cellStyle name="Note 3 2 2 2 2 2 3 2 3 2 3" xfId="20656"/>
    <cellStyle name="Note 3 2 2 2 2 2 3 2 3 3" xfId="11890"/>
    <cellStyle name="Note 3 2 2 2 2 2 3 2 3 3 2" xfId="26212"/>
    <cellStyle name="Note 3 2 2 2 2 2 3 2 3 4" xfId="17535"/>
    <cellStyle name="Note 3 2 2 2 2 2 3 2 4" xfId="4048"/>
    <cellStyle name="Note 3 2 2 2 2 2 3 2 4 2" xfId="22725"/>
    <cellStyle name="Note 3 2 2 2 2 2 3 2 5" xfId="17247"/>
    <cellStyle name="Note 3 2 2 2 2 2 3 3" xfId="1973"/>
    <cellStyle name="Note 3 2 2 2 2 2 3 3 2" xfId="7932"/>
    <cellStyle name="Note 3 2 2 2 2 2 3 3 2 2" xfId="10546"/>
    <cellStyle name="Note 3 2 2 2 2 2 3 3 2 2 2" xfId="16808"/>
    <cellStyle name="Note 3 2 2 2 2 2 3 3 2 2 2 2" xfId="30224"/>
    <cellStyle name="Note 3 2 2 2 2 2 3 3 2 2 3" xfId="21553"/>
    <cellStyle name="Note 3 2 2 2 2 2 3 3 2 3" xfId="14536"/>
    <cellStyle name="Note 3 2 2 2 2 2 3 3 2 3 2" xfId="28858"/>
    <cellStyle name="Note 3 2 2 2 2 2 3 3 2 4" xfId="20181"/>
    <cellStyle name="Note 3 2 2 2 2 2 3 3 3" xfId="12811"/>
    <cellStyle name="Note 3 2 2 2 2 2 3 3 3 2" xfId="27133"/>
    <cellStyle name="Note 3 2 2 2 2 2 3 3 4" xfId="18456"/>
    <cellStyle name="Note 3 2 2 2 2 2 3 4" xfId="5180"/>
    <cellStyle name="Note 3 2 2 2 2 2 3 4 2" xfId="11729"/>
    <cellStyle name="Note 3 2 2 2 2 2 3 4 2 2" xfId="26051"/>
    <cellStyle name="Note 3 2 2 2 2 2 3 4 3" xfId="6327"/>
    <cellStyle name="Note 3 2 2 2 2 2 3 5" xfId="4702"/>
    <cellStyle name="Note 3 2 2 2 2 2 3 5 2" xfId="23135"/>
    <cellStyle name="Note 3 2 2 2 2 2 3 6" xfId="15585"/>
    <cellStyle name="Note 3 2 2 2 2 2 4" xfId="1974"/>
    <cellStyle name="Note 3 2 2 2 2 2 4 2" xfId="6039"/>
    <cellStyle name="Note 3 2 2 2 2 2 4 2 2" xfId="12603"/>
    <cellStyle name="Note 3 2 2 2 2 2 4 2 2 2" xfId="26925"/>
    <cellStyle name="Note 3 2 2 2 2 2 4 2 3" xfId="18248"/>
    <cellStyle name="Note 3 2 2 2 2 2 4 3" xfId="7435"/>
    <cellStyle name="Note 3 2 2 2 2 2 4 3 2" xfId="10049"/>
    <cellStyle name="Note 3 2 2 2 2 2 4 3 2 2" xfId="16311"/>
    <cellStyle name="Note 3 2 2 2 2 2 4 3 2 2 2" xfId="29727"/>
    <cellStyle name="Note 3 2 2 2 2 2 4 3 2 3" xfId="21056"/>
    <cellStyle name="Note 3 2 2 2 2 2 4 3 3" xfId="14039"/>
    <cellStyle name="Note 3 2 2 2 2 2 4 3 3 2" xfId="28361"/>
    <cellStyle name="Note 3 2 2 2 2 2 4 3 4" xfId="19684"/>
    <cellStyle name="Note 3 2 2 2 2 2 4 4" xfId="6268"/>
    <cellStyle name="Note 3 2 2 2 2 2 4 4 2" xfId="23484"/>
    <cellStyle name="Note 3 2 2 2 2 2 4 5" xfId="14908"/>
    <cellStyle name="Note 3 2 2 2 2 2 5" xfId="1975"/>
    <cellStyle name="Note 3 2 2 2 2 2 5 2" xfId="7943"/>
    <cellStyle name="Note 3 2 2 2 2 2 5 2 2" xfId="10557"/>
    <cellStyle name="Note 3 2 2 2 2 2 5 2 2 2" xfId="16819"/>
    <cellStyle name="Note 3 2 2 2 2 2 5 2 2 2 2" xfId="30235"/>
    <cellStyle name="Note 3 2 2 2 2 2 5 2 2 3" xfId="21564"/>
    <cellStyle name="Note 3 2 2 2 2 2 5 2 3" xfId="14547"/>
    <cellStyle name="Note 3 2 2 2 2 2 5 2 3 2" xfId="28869"/>
    <cellStyle name="Note 3 2 2 2 2 2 5 2 4" xfId="20192"/>
    <cellStyle name="Note 3 2 2 2 2 2 5 3" xfId="12897"/>
    <cellStyle name="Note 3 2 2 2 2 2 5 3 2" xfId="27219"/>
    <cellStyle name="Note 3 2 2 2 2 2 5 4" xfId="18542"/>
    <cellStyle name="Note 3 2 2 2 2 2 6" xfId="5515"/>
    <cellStyle name="Note 3 2 2 2 2 2 6 2" xfId="12066"/>
    <cellStyle name="Note 3 2 2 2 2 2 6 2 2" xfId="26388"/>
    <cellStyle name="Note 3 2 2 2 2 2 6 3" xfId="17711"/>
    <cellStyle name="Note 3 2 2 2 2 2 7" xfId="6490"/>
    <cellStyle name="Note 3 2 2 2 2 2 7 2" xfId="23567"/>
    <cellStyle name="Note 3 2 2 2 2 2 8" xfId="4018"/>
    <cellStyle name="Note 3 2 2 2 2 3" xfId="1976"/>
    <cellStyle name="Note 3 2 2 2 2 3 2" xfId="1977"/>
    <cellStyle name="Note 3 2 2 2 2 3 2 2" xfId="1978"/>
    <cellStyle name="Note 3 2 2 2 2 3 2 2 2" xfId="6449"/>
    <cellStyle name="Note 3 2 2 2 2 3 2 2 2 2" xfId="13032"/>
    <cellStyle name="Note 3 2 2 2 2 3 2 2 2 2 2" xfId="27354"/>
    <cellStyle name="Note 3 2 2 2 2 3 2 2 2 3" xfId="18677"/>
    <cellStyle name="Note 3 2 2 2 2 3 2 2 3" xfId="4750"/>
    <cellStyle name="Note 3 2 2 2 2 3 2 2 3 2" xfId="9474"/>
    <cellStyle name="Note 3 2 2 2 2 3 2 2 3 2 2" xfId="15736"/>
    <cellStyle name="Note 3 2 2 2 2 3 2 2 3 2 2 2" xfId="29152"/>
    <cellStyle name="Note 3 2 2 2 2 3 2 2 3 2 3" xfId="20481"/>
    <cellStyle name="Note 3 2 2 2 2 3 2 2 3 3" xfId="2778"/>
    <cellStyle name="Note 3 2 2 2 2 3 2 2 3 3 2" xfId="22347"/>
    <cellStyle name="Note 3 2 2 2 2 3 2 2 3 4" xfId="14825"/>
    <cellStyle name="Note 3 2 2 2 2 3 2 2 4" xfId="4201"/>
    <cellStyle name="Note 3 2 2 2 2 3 2 2 4 2" xfId="22818"/>
    <cellStyle name="Note 3 2 2 2 2 3 2 2 5" xfId="14982"/>
    <cellStyle name="Note 3 2 2 2 2 3 2 3" xfId="1979"/>
    <cellStyle name="Note 3 2 2 2 2 3 2 3 2" xfId="7466"/>
    <cellStyle name="Note 3 2 2 2 2 3 2 3 2 2" xfId="10080"/>
    <cellStyle name="Note 3 2 2 2 2 3 2 3 2 2 2" xfId="16342"/>
    <cellStyle name="Note 3 2 2 2 2 3 2 3 2 2 2 2" xfId="29758"/>
    <cellStyle name="Note 3 2 2 2 2 3 2 3 2 2 3" xfId="21087"/>
    <cellStyle name="Note 3 2 2 2 2 3 2 3 2 3" xfId="14070"/>
    <cellStyle name="Note 3 2 2 2 2 3 2 3 2 3 2" xfId="28392"/>
    <cellStyle name="Note 3 2 2 2 2 3 2 3 2 4" xfId="19715"/>
    <cellStyle name="Note 3 2 2 2 2 3 2 3 3" xfId="13357"/>
    <cellStyle name="Note 3 2 2 2 2 3 2 3 3 2" xfId="27679"/>
    <cellStyle name="Note 3 2 2 2 2 3 2 3 4" xfId="19002"/>
    <cellStyle name="Note 3 2 2 2 2 3 2 4" xfId="5807"/>
    <cellStyle name="Note 3 2 2 2 2 3 2 4 2" xfId="12360"/>
    <cellStyle name="Note 3 2 2 2 2 3 2 4 2 2" xfId="26682"/>
    <cellStyle name="Note 3 2 2 2 2 3 2 4 3" xfId="18005"/>
    <cellStyle name="Note 3 2 2 2 2 3 2 5" xfId="4783"/>
    <cellStyle name="Note 3 2 2 2 2 3 2 5 2" xfId="23184"/>
    <cellStyle name="Note 3 2 2 2 2 3 2 6" xfId="17239"/>
    <cellStyle name="Note 3 2 2 2 2 3 3" xfId="1980"/>
    <cellStyle name="Note 3 2 2 2 2 3 3 2" xfId="1981"/>
    <cellStyle name="Note 3 2 2 2 2 3 3 2 2" xfId="6917"/>
    <cellStyle name="Note 3 2 2 2 2 3 3 2 2 2" xfId="13521"/>
    <cellStyle name="Note 3 2 2 2 2 3 3 2 2 2 2" xfId="27843"/>
    <cellStyle name="Note 3 2 2 2 2 3 3 2 2 3" xfId="19166"/>
    <cellStyle name="Note 3 2 2 2 2 3 3 2 3" xfId="7424"/>
    <cellStyle name="Note 3 2 2 2 2 3 3 2 3 2" xfId="10038"/>
    <cellStyle name="Note 3 2 2 2 2 3 3 2 3 2 2" xfId="16300"/>
    <cellStyle name="Note 3 2 2 2 2 3 3 2 3 2 2 2" xfId="29716"/>
    <cellStyle name="Note 3 2 2 2 2 3 3 2 3 2 3" xfId="21045"/>
    <cellStyle name="Note 3 2 2 2 2 3 3 2 3 3" xfId="14028"/>
    <cellStyle name="Note 3 2 2 2 2 3 3 2 3 3 2" xfId="28350"/>
    <cellStyle name="Note 3 2 2 2 2 3 3 2 3 4" xfId="19673"/>
    <cellStyle name="Note 3 2 2 2 2 3 3 2 4" xfId="11403"/>
    <cellStyle name="Note 3 2 2 2 2 3 3 2 4 2" xfId="25725"/>
    <cellStyle name="Note 3 2 2 2 2 3 3 2 5" xfId="6810"/>
    <cellStyle name="Note 3 2 2 2 2 3 3 3" xfId="1982"/>
    <cellStyle name="Note 3 2 2 2 2 3 3 3 2" xfId="7730"/>
    <cellStyle name="Note 3 2 2 2 2 3 3 3 2 2" xfId="10344"/>
    <cellStyle name="Note 3 2 2 2 2 3 3 3 2 2 2" xfId="16606"/>
    <cellStyle name="Note 3 2 2 2 2 3 3 3 2 2 2 2" xfId="30022"/>
    <cellStyle name="Note 3 2 2 2 2 3 3 3 2 2 3" xfId="21351"/>
    <cellStyle name="Note 3 2 2 2 2 3 3 3 2 3" xfId="14334"/>
    <cellStyle name="Note 3 2 2 2 2 3 3 3 2 3 2" xfId="28656"/>
    <cellStyle name="Note 3 2 2 2 2 3 3 3 2 4" xfId="19979"/>
    <cellStyle name="Note 3 2 2 2 2 3 3 3 3" xfId="13396"/>
    <cellStyle name="Note 3 2 2 2 2 3 3 3 3 2" xfId="27718"/>
    <cellStyle name="Note 3 2 2 2 2 3 3 3 4" xfId="19041"/>
    <cellStyle name="Note 3 2 2 2 2 3 3 4" xfId="5860"/>
    <cellStyle name="Note 3 2 2 2 2 3 3 4 2" xfId="12413"/>
    <cellStyle name="Note 3 2 2 2 2 3 3 4 2 2" xfId="26735"/>
    <cellStyle name="Note 3 2 2 2 2 3 3 4 3" xfId="18058"/>
    <cellStyle name="Note 3 2 2 2 2 3 3 5" xfId="3197"/>
    <cellStyle name="Note 3 2 2 2 2 3 3 5 2" xfId="22438"/>
    <cellStyle name="Note 3 2 2 2 2 3 3 6" xfId="15177"/>
    <cellStyle name="Note 3 2 2 2 2 3 4" xfId="1983"/>
    <cellStyle name="Note 3 2 2 2 2 3 4 2" xfId="6841"/>
    <cellStyle name="Note 3 2 2 2 2 3 4 2 2" xfId="13445"/>
    <cellStyle name="Note 3 2 2 2 2 3 4 2 2 2" xfId="27767"/>
    <cellStyle name="Note 3 2 2 2 2 3 4 2 3" xfId="19090"/>
    <cellStyle name="Note 3 2 2 2 2 3 4 3" xfId="7503"/>
    <cellStyle name="Note 3 2 2 2 2 3 4 3 2" xfId="10117"/>
    <cellStyle name="Note 3 2 2 2 2 3 4 3 2 2" xfId="16379"/>
    <cellStyle name="Note 3 2 2 2 2 3 4 3 2 2 2" xfId="29795"/>
    <cellStyle name="Note 3 2 2 2 2 3 4 3 2 3" xfId="21124"/>
    <cellStyle name="Note 3 2 2 2 2 3 4 3 3" xfId="14107"/>
    <cellStyle name="Note 3 2 2 2 2 3 4 3 3 2" xfId="28429"/>
    <cellStyle name="Note 3 2 2 2 2 3 4 3 4" xfId="19752"/>
    <cellStyle name="Note 3 2 2 2 2 3 4 4" xfId="2771"/>
    <cellStyle name="Note 3 2 2 2 2 3 4 4 2" xfId="22340"/>
    <cellStyle name="Note 3 2 2 2 2 3 4 5" xfId="3714"/>
    <cellStyle name="Note 3 2 2 2 2 3 5" xfId="1984"/>
    <cellStyle name="Note 3 2 2 2 2 3 5 2" xfId="7082"/>
    <cellStyle name="Note 3 2 2 2 2 3 5 2 2" xfId="9696"/>
    <cellStyle name="Note 3 2 2 2 2 3 5 2 2 2" xfId="15958"/>
    <cellStyle name="Note 3 2 2 2 2 3 5 2 2 2 2" xfId="29374"/>
    <cellStyle name="Note 3 2 2 2 2 3 5 2 2 3" xfId="20703"/>
    <cellStyle name="Note 3 2 2 2 2 3 5 2 3" xfId="13686"/>
    <cellStyle name="Note 3 2 2 2 2 3 5 2 3 2" xfId="28008"/>
    <cellStyle name="Note 3 2 2 2 2 3 5 2 4" xfId="19331"/>
    <cellStyle name="Note 3 2 2 2 2 3 5 3" xfId="12933"/>
    <cellStyle name="Note 3 2 2 2 2 3 5 3 2" xfId="27255"/>
    <cellStyle name="Note 3 2 2 2 2 3 5 4" xfId="18578"/>
    <cellStyle name="Note 3 2 2 2 2 3 6" xfId="5557"/>
    <cellStyle name="Note 3 2 2 2 2 3 6 2" xfId="12108"/>
    <cellStyle name="Note 3 2 2 2 2 3 6 2 2" xfId="26430"/>
    <cellStyle name="Note 3 2 2 2 2 3 6 3" xfId="17753"/>
    <cellStyle name="Note 3 2 2 2 2 3 7" xfId="4056"/>
    <cellStyle name="Note 3 2 2 2 2 3 7 2" xfId="22731"/>
    <cellStyle name="Note 3 2 2 2 2 3 8" xfId="15175"/>
    <cellStyle name="Note 3 2 2 2 2 4" xfId="1985"/>
    <cellStyle name="Note 3 2 2 2 2 4 2" xfId="1986"/>
    <cellStyle name="Note 3 2 2 2 2 4 2 2" xfId="1987"/>
    <cellStyle name="Note 3 2 2 2 2 4 2 2 2" xfId="6886"/>
    <cellStyle name="Note 3 2 2 2 2 4 2 2 2 2" xfId="13490"/>
    <cellStyle name="Note 3 2 2 2 2 4 2 2 2 2 2" xfId="27812"/>
    <cellStyle name="Note 3 2 2 2 2 4 2 2 2 3" xfId="19135"/>
    <cellStyle name="Note 3 2 2 2 2 4 2 2 3" xfId="7230"/>
    <cellStyle name="Note 3 2 2 2 2 4 2 2 3 2" xfId="9844"/>
    <cellStyle name="Note 3 2 2 2 2 4 2 2 3 2 2" xfId="16106"/>
    <cellStyle name="Note 3 2 2 2 2 4 2 2 3 2 2 2" xfId="29522"/>
    <cellStyle name="Note 3 2 2 2 2 4 2 2 3 2 3" xfId="20851"/>
    <cellStyle name="Note 3 2 2 2 2 4 2 2 3 3" xfId="13834"/>
    <cellStyle name="Note 3 2 2 2 2 4 2 2 3 3 2" xfId="28156"/>
    <cellStyle name="Note 3 2 2 2 2 4 2 2 3 4" xfId="19479"/>
    <cellStyle name="Note 3 2 2 2 2 4 2 2 4" xfId="11361"/>
    <cellStyle name="Note 3 2 2 2 2 4 2 2 4 2" xfId="25683"/>
    <cellStyle name="Note 3 2 2 2 2 4 2 2 5" xfId="17104"/>
    <cellStyle name="Note 3 2 2 2 2 4 2 3" xfId="1988"/>
    <cellStyle name="Note 3 2 2 2 2 4 2 3 2" xfId="4796"/>
    <cellStyle name="Note 3 2 2 2 2 4 2 3 2 2" xfId="9486"/>
    <cellStyle name="Note 3 2 2 2 2 4 2 3 2 2 2" xfId="15748"/>
    <cellStyle name="Note 3 2 2 2 2 4 2 3 2 2 2 2" xfId="29164"/>
    <cellStyle name="Note 3 2 2 2 2 4 2 3 2 2 3" xfId="20493"/>
    <cellStyle name="Note 3 2 2 2 2 4 2 3 2 3" xfId="11325"/>
    <cellStyle name="Note 3 2 2 2 2 4 2 3 2 3 2" xfId="25647"/>
    <cellStyle name="Note 3 2 2 2 2 4 2 3 2 4" xfId="15187"/>
    <cellStyle name="Note 3 2 2 2 2 4 2 3 3" xfId="13220"/>
    <cellStyle name="Note 3 2 2 2 2 4 2 3 3 2" xfId="27542"/>
    <cellStyle name="Note 3 2 2 2 2 4 2 3 4" xfId="18865"/>
    <cellStyle name="Note 3 2 2 2 2 4 2 4" xfId="5661"/>
    <cellStyle name="Note 3 2 2 2 2 4 2 4 2" xfId="12214"/>
    <cellStyle name="Note 3 2 2 2 2 4 2 4 2 2" xfId="26536"/>
    <cellStyle name="Note 3 2 2 2 2 4 2 4 3" xfId="17859"/>
    <cellStyle name="Note 3 2 2 2 2 4 2 5" xfId="4756"/>
    <cellStyle name="Note 3 2 2 2 2 4 2 5 2" xfId="23172"/>
    <cellStyle name="Note 3 2 2 2 2 4 2 6" xfId="17300"/>
    <cellStyle name="Note 3 2 2 2 2 4 3" xfId="1989"/>
    <cellStyle name="Note 3 2 2 2 2 4 3 2" xfId="1990"/>
    <cellStyle name="Note 3 2 2 2 2 4 3 2 2" xfId="6104"/>
    <cellStyle name="Note 3 2 2 2 2 4 3 2 2 2" xfId="12671"/>
    <cellStyle name="Note 3 2 2 2 2 4 3 2 2 2 2" xfId="26993"/>
    <cellStyle name="Note 3 2 2 2 2 4 3 2 2 3" xfId="18316"/>
    <cellStyle name="Note 3 2 2 2 2 4 3 2 3" xfId="8071"/>
    <cellStyle name="Note 3 2 2 2 2 4 3 2 3 2" xfId="10685"/>
    <cellStyle name="Note 3 2 2 2 2 4 3 2 3 2 2" xfId="16947"/>
    <cellStyle name="Note 3 2 2 2 2 4 3 2 3 2 2 2" xfId="30363"/>
    <cellStyle name="Note 3 2 2 2 2 4 3 2 3 2 3" xfId="21692"/>
    <cellStyle name="Note 3 2 2 2 2 4 3 2 3 3" xfId="14675"/>
    <cellStyle name="Note 3 2 2 2 2 4 3 2 3 3 2" xfId="28997"/>
    <cellStyle name="Note 3 2 2 2 2 4 3 2 3 4" xfId="20320"/>
    <cellStyle name="Note 3 2 2 2 2 4 3 2 4" xfId="3284"/>
    <cellStyle name="Note 3 2 2 2 2 4 3 2 4 2" xfId="22460"/>
    <cellStyle name="Note 3 2 2 2 2 4 3 2 5" xfId="15119"/>
    <cellStyle name="Note 3 2 2 2 2 4 3 3" xfId="1991"/>
    <cellStyle name="Note 3 2 2 2 2 4 3 3 2" xfId="7133"/>
    <cellStyle name="Note 3 2 2 2 2 4 3 3 2 2" xfId="9747"/>
    <cellStyle name="Note 3 2 2 2 2 4 3 3 2 2 2" xfId="16009"/>
    <cellStyle name="Note 3 2 2 2 2 4 3 3 2 2 2 2" xfId="29425"/>
    <cellStyle name="Note 3 2 2 2 2 4 3 3 2 2 3" xfId="20754"/>
    <cellStyle name="Note 3 2 2 2 2 4 3 3 2 3" xfId="13737"/>
    <cellStyle name="Note 3 2 2 2 2 4 3 3 2 3 2" xfId="28059"/>
    <cellStyle name="Note 3 2 2 2 2 4 3 3 2 4" xfId="19382"/>
    <cellStyle name="Note 3 2 2 2 2 4 3 3 3" xfId="12514"/>
    <cellStyle name="Note 3 2 2 2 2 4 3 3 3 2" xfId="26836"/>
    <cellStyle name="Note 3 2 2 2 2 4 3 3 4" xfId="18159"/>
    <cellStyle name="Note 3 2 2 2 2 4 3 4" xfId="5097"/>
    <cellStyle name="Note 3 2 2 2 2 4 3 4 2" xfId="11644"/>
    <cellStyle name="Note 3 2 2 2 2 4 3 4 2 2" xfId="25966"/>
    <cellStyle name="Note 3 2 2 2 2 4 3 4 3" xfId="15001"/>
    <cellStyle name="Note 3 2 2 2 2 4 3 5" xfId="4050"/>
    <cellStyle name="Note 3 2 2 2 2 4 3 5 2" xfId="22727"/>
    <cellStyle name="Note 3 2 2 2 2 4 3 6" xfId="15026"/>
    <cellStyle name="Note 3 2 2 2 2 4 4" xfId="1992"/>
    <cellStyle name="Note 3 2 2 2 2 4 4 2" xfId="6111"/>
    <cellStyle name="Note 3 2 2 2 2 4 4 2 2" xfId="12679"/>
    <cellStyle name="Note 3 2 2 2 2 4 4 2 2 2" xfId="27001"/>
    <cellStyle name="Note 3 2 2 2 2 4 4 2 3" xfId="18324"/>
    <cellStyle name="Note 3 2 2 2 2 4 4 3" xfId="7067"/>
    <cellStyle name="Note 3 2 2 2 2 4 4 3 2" xfId="9681"/>
    <cellStyle name="Note 3 2 2 2 2 4 4 3 2 2" xfId="15943"/>
    <cellStyle name="Note 3 2 2 2 2 4 4 3 2 2 2" xfId="29359"/>
    <cellStyle name="Note 3 2 2 2 2 4 4 3 2 3" xfId="20688"/>
    <cellStyle name="Note 3 2 2 2 2 4 4 3 3" xfId="13671"/>
    <cellStyle name="Note 3 2 2 2 2 4 4 3 3 2" xfId="27993"/>
    <cellStyle name="Note 3 2 2 2 2 4 4 3 4" xfId="19316"/>
    <cellStyle name="Note 3 2 2 2 2 4 4 4" xfId="5152"/>
    <cellStyle name="Note 3 2 2 2 2 4 4 4 2" xfId="23331"/>
    <cellStyle name="Note 3 2 2 2 2 4 4 5" xfId="15405"/>
    <cellStyle name="Note 3 2 2 2 2 4 5" xfId="1993"/>
    <cellStyle name="Note 3 2 2 2 2 4 5 2" xfId="7737"/>
    <cellStyle name="Note 3 2 2 2 2 4 5 2 2" xfId="10351"/>
    <cellStyle name="Note 3 2 2 2 2 4 5 2 2 2" xfId="16613"/>
    <cellStyle name="Note 3 2 2 2 2 4 5 2 2 2 2" xfId="30029"/>
    <cellStyle name="Note 3 2 2 2 2 4 5 2 2 3" xfId="21358"/>
    <cellStyle name="Note 3 2 2 2 2 4 5 2 3" xfId="14341"/>
    <cellStyle name="Note 3 2 2 2 2 4 5 2 3 2" xfId="28663"/>
    <cellStyle name="Note 3 2 2 2 2 4 5 2 4" xfId="19986"/>
    <cellStyle name="Note 3 2 2 2 2 4 5 3" xfId="12455"/>
    <cellStyle name="Note 3 2 2 2 2 4 5 3 2" xfId="26777"/>
    <cellStyle name="Note 3 2 2 2 2 4 5 4" xfId="18100"/>
    <cellStyle name="Note 3 2 2 2 2 4 6" xfId="4455"/>
    <cellStyle name="Note 3 2 2 2 2 4 6 2" xfId="3688"/>
    <cellStyle name="Note 3 2 2 2 2 4 6 2 2" xfId="22530"/>
    <cellStyle name="Note 3 2 2 2 2 4 6 3" xfId="14754"/>
    <cellStyle name="Note 3 2 2 2 2 4 7" xfId="4791"/>
    <cellStyle name="Note 3 2 2 2 2 4 7 2" xfId="23190"/>
    <cellStyle name="Note 3 2 2 2 2 4 8" xfId="17155"/>
    <cellStyle name="Note 3 2 2 2 2 5" xfId="1994"/>
    <cellStyle name="Note 3 2 2 2 2 5 2" xfId="1995"/>
    <cellStyle name="Note 3 2 2 2 2 5 2 2" xfId="1996"/>
    <cellStyle name="Note 3 2 2 2 2 5 2 2 2" xfId="6038"/>
    <cellStyle name="Note 3 2 2 2 2 5 2 2 2 2" xfId="12599"/>
    <cellStyle name="Note 3 2 2 2 2 5 2 2 2 2 2" xfId="26921"/>
    <cellStyle name="Note 3 2 2 2 2 5 2 2 2 3" xfId="18244"/>
    <cellStyle name="Note 3 2 2 2 2 5 2 2 3" xfId="7532"/>
    <cellStyle name="Note 3 2 2 2 2 5 2 2 3 2" xfId="10146"/>
    <cellStyle name="Note 3 2 2 2 2 5 2 2 3 2 2" xfId="16408"/>
    <cellStyle name="Note 3 2 2 2 2 5 2 2 3 2 2 2" xfId="29824"/>
    <cellStyle name="Note 3 2 2 2 2 5 2 2 3 2 3" xfId="21153"/>
    <cellStyle name="Note 3 2 2 2 2 5 2 2 3 3" xfId="14136"/>
    <cellStyle name="Note 3 2 2 2 2 5 2 2 3 3 2" xfId="28458"/>
    <cellStyle name="Note 3 2 2 2 2 5 2 2 3 4" xfId="19781"/>
    <cellStyle name="Note 3 2 2 2 2 5 2 2 4" xfId="6667"/>
    <cellStyle name="Note 3 2 2 2 2 5 2 2 4 2" xfId="23639"/>
    <cellStyle name="Note 3 2 2 2 2 5 2 2 5" xfId="14990"/>
    <cellStyle name="Note 3 2 2 2 2 5 2 3" xfId="1997"/>
    <cellStyle name="Note 3 2 2 2 2 5 2 3 2" xfId="7981"/>
    <cellStyle name="Note 3 2 2 2 2 5 2 3 2 2" xfId="10595"/>
    <cellStyle name="Note 3 2 2 2 2 5 2 3 2 2 2" xfId="16857"/>
    <cellStyle name="Note 3 2 2 2 2 5 2 3 2 2 2 2" xfId="30273"/>
    <cellStyle name="Note 3 2 2 2 2 5 2 3 2 2 3" xfId="21602"/>
    <cellStyle name="Note 3 2 2 2 2 5 2 3 2 3" xfId="14585"/>
    <cellStyle name="Note 3 2 2 2 2 5 2 3 2 3 2" xfId="28907"/>
    <cellStyle name="Note 3 2 2 2 2 5 2 3 2 4" xfId="20230"/>
    <cellStyle name="Note 3 2 2 2 2 5 2 3 3" xfId="13091"/>
    <cellStyle name="Note 3 2 2 2 2 5 2 3 3 2" xfId="27413"/>
    <cellStyle name="Note 3 2 2 2 2 5 2 3 4" xfId="18736"/>
    <cellStyle name="Note 3 2 2 2 2 5 2 4" xfId="5446"/>
    <cellStyle name="Note 3 2 2 2 2 5 2 4 2" xfId="11997"/>
    <cellStyle name="Note 3 2 2 2 2 5 2 4 2 2" xfId="26319"/>
    <cellStyle name="Note 3 2 2 2 2 5 2 4 3" xfId="17642"/>
    <cellStyle name="Note 3 2 2 2 2 5 2 5" xfId="3958"/>
    <cellStyle name="Note 3 2 2 2 2 5 2 5 2" xfId="22669"/>
    <cellStyle name="Note 3 2 2 2 2 5 2 6" xfId="15055"/>
    <cellStyle name="Note 3 2 2 2 2 5 3" xfId="1998"/>
    <cellStyle name="Note 3 2 2 2 2 5 3 2" xfId="6089"/>
    <cellStyle name="Note 3 2 2 2 2 5 3 2 2" xfId="12656"/>
    <cellStyle name="Note 3 2 2 2 2 5 3 2 2 2" xfId="26978"/>
    <cellStyle name="Note 3 2 2 2 2 5 3 2 3" xfId="18301"/>
    <cellStyle name="Note 3 2 2 2 2 5 3 3" xfId="7983"/>
    <cellStyle name="Note 3 2 2 2 2 5 3 3 2" xfId="10597"/>
    <cellStyle name="Note 3 2 2 2 2 5 3 3 2 2" xfId="16859"/>
    <cellStyle name="Note 3 2 2 2 2 5 3 3 2 2 2" xfId="30275"/>
    <cellStyle name="Note 3 2 2 2 2 5 3 3 2 3" xfId="21604"/>
    <cellStyle name="Note 3 2 2 2 2 5 3 3 3" xfId="14587"/>
    <cellStyle name="Note 3 2 2 2 2 5 3 3 3 2" xfId="28909"/>
    <cellStyle name="Note 3 2 2 2 2 5 3 3 4" xfId="20232"/>
    <cellStyle name="Note 3 2 2 2 2 5 3 4" xfId="4717"/>
    <cellStyle name="Note 3 2 2 2 2 5 3 4 2" xfId="23147"/>
    <cellStyle name="Note 3 2 2 2 2 5 3 5" xfId="14837"/>
    <cellStyle name="Note 3 2 2 2 2 5 4" xfId="1999"/>
    <cellStyle name="Note 3 2 2 2 2 5 4 2" xfId="5278"/>
    <cellStyle name="Note 3 2 2 2 2 5 4 2 2" xfId="9587"/>
    <cellStyle name="Note 3 2 2 2 2 5 4 2 2 2" xfId="15849"/>
    <cellStyle name="Note 3 2 2 2 2 5 4 2 2 2 2" xfId="29265"/>
    <cellStyle name="Note 3 2 2 2 2 5 4 2 2 3" xfId="20594"/>
    <cellStyle name="Note 3 2 2 2 2 5 4 2 3" xfId="11828"/>
    <cellStyle name="Note 3 2 2 2 2 5 4 2 3 2" xfId="26150"/>
    <cellStyle name="Note 3 2 2 2 2 5 4 2 4" xfId="17473"/>
    <cellStyle name="Note 3 2 2 2 2 5 4 3" xfId="12582"/>
    <cellStyle name="Note 3 2 2 2 2 5 4 3 2" xfId="26904"/>
    <cellStyle name="Note 3 2 2 2 2 5 4 4" xfId="18227"/>
    <cellStyle name="Note 3 2 2 2 2 5 5" xfId="5201"/>
    <cellStyle name="Note 3 2 2 2 2 5 5 2" xfId="11750"/>
    <cellStyle name="Note 3 2 2 2 2 5 5 2 2" xfId="26072"/>
    <cellStyle name="Note 3 2 2 2 2 5 5 3" xfId="5637"/>
    <cellStyle name="Note 3 2 2 2 2 5 6" xfId="3143"/>
    <cellStyle name="Note 3 2 2 2 2 5 6 2" xfId="22419"/>
    <cellStyle name="Note 3 2 2 2 2 5 7" xfId="14865"/>
    <cellStyle name="Note 3 2 2 2 2 6" xfId="2000"/>
    <cellStyle name="Note 3 2 2 2 2 6 2" xfId="2001"/>
    <cellStyle name="Note 3 2 2 2 2 6 2 2" xfId="6838"/>
    <cellStyle name="Note 3 2 2 2 2 6 2 2 2" xfId="13442"/>
    <cellStyle name="Note 3 2 2 2 2 6 2 2 2 2" xfId="27764"/>
    <cellStyle name="Note 3 2 2 2 2 6 2 2 3" xfId="19087"/>
    <cellStyle name="Note 3 2 2 2 2 6 2 3" xfId="7280"/>
    <cellStyle name="Note 3 2 2 2 2 6 2 3 2" xfId="9894"/>
    <cellStyle name="Note 3 2 2 2 2 6 2 3 2 2" xfId="16156"/>
    <cellStyle name="Note 3 2 2 2 2 6 2 3 2 2 2" xfId="29572"/>
    <cellStyle name="Note 3 2 2 2 2 6 2 3 2 3" xfId="20901"/>
    <cellStyle name="Note 3 2 2 2 2 6 2 3 3" xfId="13884"/>
    <cellStyle name="Note 3 2 2 2 2 6 2 3 3 2" xfId="28206"/>
    <cellStyle name="Note 3 2 2 2 2 6 2 3 4" xfId="19529"/>
    <cellStyle name="Note 3 2 2 2 2 6 2 4" xfId="2816"/>
    <cellStyle name="Note 3 2 2 2 2 6 2 4 2" xfId="22379"/>
    <cellStyle name="Note 3 2 2 2 2 6 2 5" xfId="15315"/>
    <cellStyle name="Note 3 2 2 2 2 6 3" xfId="2002"/>
    <cellStyle name="Note 3 2 2 2 2 6 3 2" xfId="7942"/>
    <cellStyle name="Note 3 2 2 2 2 6 3 2 2" xfId="10556"/>
    <cellStyle name="Note 3 2 2 2 2 6 3 2 2 2" xfId="16818"/>
    <cellStyle name="Note 3 2 2 2 2 6 3 2 2 2 2" xfId="30234"/>
    <cellStyle name="Note 3 2 2 2 2 6 3 2 2 3" xfId="21563"/>
    <cellStyle name="Note 3 2 2 2 2 6 3 2 3" xfId="14546"/>
    <cellStyle name="Note 3 2 2 2 2 6 3 2 3 2" xfId="28868"/>
    <cellStyle name="Note 3 2 2 2 2 6 3 2 4" xfId="20191"/>
    <cellStyle name="Note 3 2 2 2 2 6 3 3" xfId="13131"/>
    <cellStyle name="Note 3 2 2 2 2 6 3 3 2" xfId="27453"/>
    <cellStyle name="Note 3 2 2 2 2 6 3 4" xfId="18776"/>
    <cellStyle name="Note 3 2 2 2 2 6 4" xfId="5525"/>
    <cellStyle name="Note 3 2 2 2 2 6 4 2" xfId="12076"/>
    <cellStyle name="Note 3 2 2 2 2 6 4 2 2" xfId="26398"/>
    <cellStyle name="Note 3 2 2 2 2 6 4 3" xfId="17721"/>
    <cellStyle name="Note 3 2 2 2 2 6 5" xfId="4565"/>
    <cellStyle name="Note 3 2 2 2 2 6 5 2" xfId="23034"/>
    <cellStyle name="Note 3 2 2 2 2 6 6" xfId="17102"/>
    <cellStyle name="Note 3 2 2 2 2 7" xfId="2003"/>
    <cellStyle name="Note 3 2 2 2 2 7 2" xfId="5965"/>
    <cellStyle name="Note 3 2 2 2 2 7 2 2" xfId="12523"/>
    <cellStyle name="Note 3 2 2 2 2 7 2 2 2" xfId="26845"/>
    <cellStyle name="Note 3 2 2 2 2 7 2 3" xfId="18168"/>
    <cellStyle name="Note 3 2 2 2 2 7 3" xfId="7923"/>
    <cellStyle name="Note 3 2 2 2 2 7 3 2" xfId="10537"/>
    <cellStyle name="Note 3 2 2 2 2 7 3 2 2" xfId="16799"/>
    <cellStyle name="Note 3 2 2 2 2 7 3 2 2 2" xfId="30215"/>
    <cellStyle name="Note 3 2 2 2 2 7 3 2 3" xfId="21544"/>
    <cellStyle name="Note 3 2 2 2 2 7 3 3" xfId="14527"/>
    <cellStyle name="Note 3 2 2 2 2 7 3 3 2" xfId="28849"/>
    <cellStyle name="Note 3 2 2 2 2 7 3 4" xfId="20172"/>
    <cellStyle name="Note 3 2 2 2 2 7 4" xfId="4174"/>
    <cellStyle name="Note 3 2 2 2 2 7 4 2" xfId="22797"/>
    <cellStyle name="Note 3 2 2 2 2 7 5" xfId="4744"/>
    <cellStyle name="Note 3 2 2 2 2 8" xfId="2004"/>
    <cellStyle name="Note 3 2 2 2 2 8 2" xfId="5287"/>
    <cellStyle name="Note 3 2 2 2 2 8 2 2" xfId="9596"/>
    <cellStyle name="Note 3 2 2 2 2 8 2 2 2" xfId="15858"/>
    <cellStyle name="Note 3 2 2 2 2 8 2 2 2 2" xfId="29274"/>
    <cellStyle name="Note 3 2 2 2 2 8 2 2 3" xfId="20603"/>
    <cellStyle name="Note 3 2 2 2 2 8 2 3" xfId="11837"/>
    <cellStyle name="Note 3 2 2 2 2 8 2 3 2" xfId="26159"/>
    <cellStyle name="Note 3 2 2 2 2 8 2 4" xfId="17482"/>
    <cellStyle name="Note 3 2 2 2 2 8 3" xfId="12761"/>
    <cellStyle name="Note 3 2 2 2 2 8 3 2" xfId="27083"/>
    <cellStyle name="Note 3 2 2 2 2 8 4" xfId="18406"/>
    <cellStyle name="Note 3 2 2 2 2 9" xfId="5472"/>
    <cellStyle name="Note 3 2 2 2 2 9 2" xfId="12023"/>
    <cellStyle name="Note 3 2 2 2 2 9 2 2" xfId="26345"/>
    <cellStyle name="Note 3 2 2 2 2 9 3" xfId="17668"/>
    <cellStyle name="Note 3 2 2 2 3" xfId="2005"/>
    <cellStyle name="Note 3 2 2 2 3 2" xfId="2006"/>
    <cellStyle name="Note 3 2 2 2 3 2 2" xfId="2007"/>
    <cellStyle name="Note 3 2 2 2 3 2 2 2" xfId="6856"/>
    <cellStyle name="Note 3 2 2 2 3 2 2 2 2" xfId="13460"/>
    <cellStyle name="Note 3 2 2 2 3 2 2 2 2 2" xfId="27782"/>
    <cellStyle name="Note 3 2 2 2 3 2 2 2 3" xfId="19105"/>
    <cellStyle name="Note 3 2 2 2 3 2 2 3" xfId="7541"/>
    <cellStyle name="Note 3 2 2 2 3 2 2 3 2" xfId="10155"/>
    <cellStyle name="Note 3 2 2 2 3 2 2 3 2 2" xfId="16417"/>
    <cellStyle name="Note 3 2 2 2 3 2 2 3 2 2 2" xfId="29833"/>
    <cellStyle name="Note 3 2 2 2 3 2 2 3 2 3" xfId="21162"/>
    <cellStyle name="Note 3 2 2 2 3 2 2 3 3" xfId="14145"/>
    <cellStyle name="Note 3 2 2 2 3 2 2 3 3 2" xfId="28467"/>
    <cellStyle name="Note 3 2 2 2 3 2 2 3 4" xfId="19790"/>
    <cellStyle name="Note 3 2 2 2 3 2 2 4" xfId="11314"/>
    <cellStyle name="Note 3 2 2 2 3 2 2 4 2" xfId="25636"/>
    <cellStyle name="Note 3 2 2 2 3 2 2 5" xfId="15057"/>
    <cellStyle name="Note 3 2 2 2 3 2 3" xfId="2008"/>
    <cellStyle name="Note 3 2 2 2 3 2 3 2" xfId="5310"/>
    <cellStyle name="Note 3 2 2 2 3 2 3 2 2" xfId="9619"/>
    <cellStyle name="Note 3 2 2 2 3 2 3 2 2 2" xfId="15881"/>
    <cellStyle name="Note 3 2 2 2 3 2 3 2 2 2 2" xfId="29297"/>
    <cellStyle name="Note 3 2 2 2 3 2 3 2 2 3" xfId="20626"/>
    <cellStyle name="Note 3 2 2 2 3 2 3 2 3" xfId="11860"/>
    <cellStyle name="Note 3 2 2 2 3 2 3 2 3 2" xfId="26182"/>
    <cellStyle name="Note 3 2 2 2 3 2 3 2 4" xfId="17505"/>
    <cellStyle name="Note 3 2 2 2 3 2 3 3" xfId="13307"/>
    <cellStyle name="Note 3 2 2 2 3 2 3 3 2" xfId="27629"/>
    <cellStyle name="Note 3 2 2 2 3 2 3 4" xfId="18952"/>
    <cellStyle name="Note 3 2 2 2 3 2 4" xfId="5757"/>
    <cellStyle name="Note 3 2 2 2 3 2 4 2" xfId="12310"/>
    <cellStyle name="Note 3 2 2 2 3 2 4 2 2" xfId="26632"/>
    <cellStyle name="Note 3 2 2 2 3 2 4 3" xfId="17955"/>
    <cellStyle name="Note 3 2 2 2 3 2 5" xfId="4410"/>
    <cellStyle name="Note 3 2 2 2 3 2 5 2" xfId="22934"/>
    <cellStyle name="Note 3 2 2 2 3 2 6" xfId="17310"/>
    <cellStyle name="Note 3 2 2 2 3 3" xfId="2009"/>
    <cellStyle name="Note 3 2 2 2 3 3 2" xfId="2010"/>
    <cellStyle name="Note 3 2 2 2 3 3 2 2" xfId="6445"/>
    <cellStyle name="Note 3 2 2 2 3 3 2 2 2" xfId="13028"/>
    <cellStyle name="Note 3 2 2 2 3 3 2 2 2 2" xfId="27350"/>
    <cellStyle name="Note 3 2 2 2 3 3 2 2 3" xfId="18673"/>
    <cellStyle name="Note 3 2 2 2 3 3 2 3" xfId="7550"/>
    <cellStyle name="Note 3 2 2 2 3 3 2 3 2" xfId="10164"/>
    <cellStyle name="Note 3 2 2 2 3 3 2 3 2 2" xfId="16426"/>
    <cellStyle name="Note 3 2 2 2 3 3 2 3 2 2 2" xfId="29842"/>
    <cellStyle name="Note 3 2 2 2 3 3 2 3 2 3" xfId="21171"/>
    <cellStyle name="Note 3 2 2 2 3 3 2 3 3" xfId="14154"/>
    <cellStyle name="Note 3 2 2 2 3 3 2 3 3 2" xfId="28476"/>
    <cellStyle name="Note 3 2 2 2 3 3 2 3 4" xfId="19799"/>
    <cellStyle name="Note 3 2 2 2 3 3 2 4" xfId="3620"/>
    <cellStyle name="Note 3 2 2 2 3 3 2 4 2" xfId="22490"/>
    <cellStyle name="Note 3 2 2 2 3 3 2 5" xfId="15188"/>
    <cellStyle name="Note 3 2 2 2 3 3 3" xfId="2011"/>
    <cellStyle name="Note 3 2 2 2 3 3 3 2" xfId="4246"/>
    <cellStyle name="Note 3 2 2 2 3 3 3 2 2" xfId="9431"/>
    <cellStyle name="Note 3 2 2 2 3 3 3 2 2 2" xfId="15693"/>
    <cellStyle name="Note 3 2 2 2 3 3 3 2 2 2 2" xfId="29109"/>
    <cellStyle name="Note 3 2 2 2 3 3 3 2 2 3" xfId="20438"/>
    <cellStyle name="Note 3 2 2 2 3 3 3 2 3" xfId="4261"/>
    <cellStyle name="Note 3 2 2 2 3 3 3 2 3 2" xfId="22856"/>
    <cellStyle name="Note 3 2 2 2 3 3 3 2 4" xfId="4970"/>
    <cellStyle name="Note 3 2 2 2 3 3 3 3" xfId="13380"/>
    <cellStyle name="Note 3 2 2 2 3 3 3 3 2" xfId="27702"/>
    <cellStyle name="Note 3 2 2 2 3 3 3 4" xfId="19025"/>
    <cellStyle name="Note 3 2 2 2 3 3 4" xfId="5838"/>
    <cellStyle name="Note 3 2 2 2 3 3 4 2" xfId="12391"/>
    <cellStyle name="Note 3 2 2 2 3 3 4 2 2" xfId="26713"/>
    <cellStyle name="Note 3 2 2 2 3 3 4 3" xfId="18036"/>
    <cellStyle name="Note 3 2 2 2 3 3 5" xfId="4168"/>
    <cellStyle name="Note 3 2 2 2 3 3 5 2" xfId="22793"/>
    <cellStyle name="Note 3 2 2 2 3 3 6" xfId="15275"/>
    <cellStyle name="Note 3 2 2 2 3 4" xfId="2012"/>
    <cellStyle name="Note 3 2 2 2 3 4 2" xfId="6933"/>
    <cellStyle name="Note 3 2 2 2 3 4 2 2" xfId="13537"/>
    <cellStyle name="Note 3 2 2 2 3 4 2 2 2" xfId="27859"/>
    <cellStyle name="Note 3 2 2 2 3 4 2 3" xfId="19182"/>
    <cellStyle name="Note 3 2 2 2 3 4 3" xfId="7577"/>
    <cellStyle name="Note 3 2 2 2 3 4 3 2" xfId="10191"/>
    <cellStyle name="Note 3 2 2 2 3 4 3 2 2" xfId="16453"/>
    <cellStyle name="Note 3 2 2 2 3 4 3 2 2 2" xfId="29869"/>
    <cellStyle name="Note 3 2 2 2 3 4 3 2 3" xfId="21198"/>
    <cellStyle name="Note 3 2 2 2 3 4 3 3" xfId="14181"/>
    <cellStyle name="Note 3 2 2 2 3 4 3 3 2" xfId="28503"/>
    <cellStyle name="Note 3 2 2 2 3 4 3 4" xfId="19826"/>
    <cellStyle name="Note 3 2 2 2 3 4 4" xfId="11426"/>
    <cellStyle name="Note 3 2 2 2 3 4 4 2" xfId="25748"/>
    <cellStyle name="Note 3 2 2 2 3 4 5" xfId="3880"/>
    <cellStyle name="Note 3 2 2 2 3 5" xfId="2013"/>
    <cellStyle name="Note 3 2 2 2 3 5 2" xfId="7778"/>
    <cellStyle name="Note 3 2 2 2 3 5 2 2" xfId="10392"/>
    <cellStyle name="Note 3 2 2 2 3 5 2 2 2" xfId="16654"/>
    <cellStyle name="Note 3 2 2 2 3 5 2 2 2 2" xfId="30070"/>
    <cellStyle name="Note 3 2 2 2 3 5 2 2 3" xfId="21399"/>
    <cellStyle name="Note 3 2 2 2 3 5 2 3" xfId="14382"/>
    <cellStyle name="Note 3 2 2 2 3 5 2 3 2" xfId="28704"/>
    <cellStyle name="Note 3 2 2 2 3 5 2 4" xfId="20027"/>
    <cellStyle name="Note 3 2 2 2 3 5 3" xfId="12883"/>
    <cellStyle name="Note 3 2 2 2 3 5 3 2" xfId="27205"/>
    <cellStyle name="Note 3 2 2 2 3 5 4" xfId="18528"/>
    <cellStyle name="Note 3 2 2 2 3 6" xfId="5501"/>
    <cellStyle name="Note 3 2 2 2 3 6 2" xfId="12052"/>
    <cellStyle name="Note 3 2 2 2 3 6 2 2" xfId="26374"/>
    <cellStyle name="Note 3 2 2 2 3 6 3" xfId="17697"/>
    <cellStyle name="Note 3 2 2 2 3 7" xfId="3633"/>
    <cellStyle name="Note 3 2 2 2 3 7 2" xfId="22496"/>
    <cellStyle name="Note 3 2 2 2 3 8" xfId="15210"/>
    <cellStyle name="Note 3 2 2 2 4" xfId="2014"/>
    <cellStyle name="Note 3 2 2 2 4 2" xfId="2015"/>
    <cellStyle name="Note 3 2 2 2 4 2 2" xfId="2016"/>
    <cellStyle name="Note 3 2 2 2 4 2 2 2" xfId="5828"/>
    <cellStyle name="Note 3 2 2 2 4 2 2 2 2" xfId="12381"/>
    <cellStyle name="Note 3 2 2 2 4 2 2 2 2 2" xfId="26703"/>
    <cellStyle name="Note 3 2 2 2 4 2 2 2 3" xfId="18026"/>
    <cellStyle name="Note 3 2 2 2 4 2 2 3" xfId="3997"/>
    <cellStyle name="Note 3 2 2 2 4 2 2 3 2" xfId="9407"/>
    <cellStyle name="Note 3 2 2 2 4 2 2 3 2 2" xfId="15669"/>
    <cellStyle name="Note 3 2 2 2 4 2 2 3 2 2 2" xfId="29085"/>
    <cellStyle name="Note 3 2 2 2 4 2 2 3 2 3" xfId="20414"/>
    <cellStyle name="Note 3 2 2 2 4 2 2 3 3" xfId="4866"/>
    <cellStyle name="Note 3 2 2 2 4 2 2 3 3 2" xfId="23231"/>
    <cellStyle name="Note 3 2 2 2 4 2 2 3 4" xfId="15427"/>
    <cellStyle name="Note 3 2 2 2 4 2 2 4" xfId="3254"/>
    <cellStyle name="Note 3 2 2 2 4 2 2 4 2" xfId="22446"/>
    <cellStyle name="Note 3 2 2 2 4 2 2 5" xfId="15322"/>
    <cellStyle name="Note 3 2 2 2 4 2 3" xfId="2017"/>
    <cellStyle name="Note 3 2 2 2 4 2 3 2" xfId="7235"/>
    <cellStyle name="Note 3 2 2 2 4 2 3 2 2" xfId="9849"/>
    <cellStyle name="Note 3 2 2 2 4 2 3 2 2 2" xfId="16111"/>
    <cellStyle name="Note 3 2 2 2 4 2 3 2 2 2 2" xfId="29527"/>
    <cellStyle name="Note 3 2 2 2 4 2 3 2 2 3" xfId="20856"/>
    <cellStyle name="Note 3 2 2 2 4 2 3 2 3" xfId="13839"/>
    <cellStyle name="Note 3 2 2 2 4 2 3 2 3 2" xfId="28161"/>
    <cellStyle name="Note 3 2 2 2 4 2 3 2 4" xfId="19484"/>
    <cellStyle name="Note 3 2 2 2 4 2 3 3" xfId="13343"/>
    <cellStyle name="Note 3 2 2 2 4 2 3 3 2" xfId="27665"/>
    <cellStyle name="Note 3 2 2 2 4 2 3 4" xfId="18988"/>
    <cellStyle name="Note 3 2 2 2 4 2 4" xfId="5793"/>
    <cellStyle name="Note 3 2 2 2 4 2 4 2" xfId="12346"/>
    <cellStyle name="Note 3 2 2 2 4 2 4 2 2" xfId="26668"/>
    <cellStyle name="Note 3 2 2 2 4 2 4 3" xfId="17991"/>
    <cellStyle name="Note 3 2 2 2 4 2 5" xfId="5381"/>
    <cellStyle name="Note 3 2 2 2 4 2 5 2" xfId="23343"/>
    <cellStyle name="Note 3 2 2 2 4 2 6" xfId="4239"/>
    <cellStyle name="Note 3 2 2 2 4 3" xfId="2018"/>
    <cellStyle name="Note 3 2 2 2 4 3 2" xfId="2019"/>
    <cellStyle name="Note 3 2 2 2 4 3 2 2" xfId="6437"/>
    <cellStyle name="Note 3 2 2 2 4 3 2 2 2" xfId="13020"/>
    <cellStyle name="Note 3 2 2 2 4 3 2 2 2 2" xfId="27342"/>
    <cellStyle name="Note 3 2 2 2 4 3 2 2 3" xfId="18665"/>
    <cellStyle name="Note 3 2 2 2 4 3 2 3" xfId="7614"/>
    <cellStyle name="Note 3 2 2 2 4 3 2 3 2" xfId="10228"/>
    <cellStyle name="Note 3 2 2 2 4 3 2 3 2 2" xfId="16490"/>
    <cellStyle name="Note 3 2 2 2 4 3 2 3 2 2 2" xfId="29906"/>
    <cellStyle name="Note 3 2 2 2 4 3 2 3 2 3" xfId="21235"/>
    <cellStyle name="Note 3 2 2 2 4 3 2 3 3" xfId="14218"/>
    <cellStyle name="Note 3 2 2 2 4 3 2 3 3 2" xfId="28540"/>
    <cellStyle name="Note 3 2 2 2 4 3 2 3 4" xfId="19863"/>
    <cellStyle name="Note 3 2 2 2 4 3 2 4" xfId="4235"/>
    <cellStyle name="Note 3 2 2 2 4 3 2 4 2" xfId="22845"/>
    <cellStyle name="Note 3 2 2 2 4 3 2 5" xfId="15531"/>
    <cellStyle name="Note 3 2 2 2 4 3 3" xfId="2020"/>
    <cellStyle name="Note 3 2 2 2 4 3 3 2" xfId="3908"/>
    <cellStyle name="Note 3 2 2 2 4 3 3 2 2" xfId="9393"/>
    <cellStyle name="Note 3 2 2 2 4 3 3 2 2 2" xfId="15655"/>
    <cellStyle name="Note 3 2 2 2 4 3 3 2 2 2 2" xfId="29071"/>
    <cellStyle name="Note 3 2 2 2 4 3 3 2 2 3" xfId="20400"/>
    <cellStyle name="Note 3 2 2 2 4 3 3 2 3" xfId="6155"/>
    <cellStyle name="Note 3 2 2 2 4 3 3 2 3 2" xfId="23434"/>
    <cellStyle name="Note 3 2 2 2 4 3 3 2 4" xfId="4197"/>
    <cellStyle name="Note 3 2 2 2 4 3 3 3" xfId="13413"/>
    <cellStyle name="Note 3 2 2 2 4 3 3 3 2" xfId="27735"/>
    <cellStyle name="Note 3 2 2 2 4 3 3 4" xfId="19058"/>
    <cellStyle name="Note 3 2 2 2 4 3 4" xfId="5881"/>
    <cellStyle name="Note 3 2 2 2 4 3 4 2" xfId="12434"/>
    <cellStyle name="Note 3 2 2 2 4 3 4 2 2" xfId="26756"/>
    <cellStyle name="Note 3 2 2 2 4 3 4 3" xfId="18079"/>
    <cellStyle name="Note 3 2 2 2 4 3 5" xfId="3876"/>
    <cellStyle name="Note 3 2 2 2 4 3 5 2" xfId="22622"/>
    <cellStyle name="Note 3 2 2 2 4 3 6" xfId="15152"/>
    <cellStyle name="Note 3 2 2 2 4 4" xfId="2021"/>
    <cellStyle name="Note 3 2 2 2 4 4 2" xfId="6969"/>
    <cellStyle name="Note 3 2 2 2 4 4 2 2" xfId="13573"/>
    <cellStyle name="Note 3 2 2 2 4 4 2 2 2" xfId="27895"/>
    <cellStyle name="Note 3 2 2 2 4 4 2 3" xfId="19218"/>
    <cellStyle name="Note 3 2 2 2 4 4 3" xfId="4316"/>
    <cellStyle name="Note 3 2 2 2 4 4 3 2" xfId="9447"/>
    <cellStyle name="Note 3 2 2 2 4 4 3 2 2" xfId="15709"/>
    <cellStyle name="Note 3 2 2 2 4 4 3 2 2 2" xfId="29125"/>
    <cellStyle name="Note 3 2 2 2 4 4 3 2 3" xfId="20454"/>
    <cellStyle name="Note 3 2 2 2 4 4 3 3" xfId="6081"/>
    <cellStyle name="Note 3 2 2 2 4 4 3 3 2" xfId="23410"/>
    <cellStyle name="Note 3 2 2 2 4 4 3 4" xfId="14989"/>
    <cellStyle name="Note 3 2 2 2 4 4 4" xfId="11476"/>
    <cellStyle name="Note 3 2 2 2 4 4 4 2" xfId="25798"/>
    <cellStyle name="Note 3 2 2 2 4 4 5" xfId="14685"/>
    <cellStyle name="Note 3 2 2 2 4 5" xfId="2022"/>
    <cellStyle name="Note 3 2 2 2 4 5 2" xfId="7925"/>
    <cellStyle name="Note 3 2 2 2 4 5 2 2" xfId="10539"/>
    <cellStyle name="Note 3 2 2 2 4 5 2 2 2" xfId="16801"/>
    <cellStyle name="Note 3 2 2 2 4 5 2 2 2 2" xfId="30217"/>
    <cellStyle name="Note 3 2 2 2 4 5 2 2 3" xfId="21546"/>
    <cellStyle name="Note 3 2 2 2 4 5 2 3" xfId="14529"/>
    <cellStyle name="Note 3 2 2 2 4 5 2 3 2" xfId="28851"/>
    <cellStyle name="Note 3 2 2 2 4 5 2 4" xfId="20174"/>
    <cellStyle name="Note 3 2 2 2 4 5 3" xfId="12919"/>
    <cellStyle name="Note 3 2 2 2 4 5 3 2" xfId="27241"/>
    <cellStyle name="Note 3 2 2 2 4 5 4" xfId="18564"/>
    <cellStyle name="Note 3 2 2 2 4 6" xfId="5543"/>
    <cellStyle name="Note 3 2 2 2 4 6 2" xfId="12094"/>
    <cellStyle name="Note 3 2 2 2 4 6 2 2" xfId="26416"/>
    <cellStyle name="Note 3 2 2 2 4 6 3" xfId="17739"/>
    <cellStyle name="Note 3 2 2 2 4 7" xfId="5582"/>
    <cellStyle name="Note 3 2 2 2 4 7 2" xfId="23354"/>
    <cellStyle name="Note 3 2 2 2 4 8" xfId="14845"/>
    <cellStyle name="Note 3 2 2 2 5" xfId="2023"/>
    <cellStyle name="Note 3 2 2 2 5 2" xfId="2024"/>
    <cellStyle name="Note 3 2 2 2 5 2 2" xfId="2025"/>
    <cellStyle name="Note 3 2 2 2 5 2 2 2" xfId="6215"/>
    <cellStyle name="Note 3 2 2 2 5 2 2 2 2" xfId="12789"/>
    <cellStyle name="Note 3 2 2 2 5 2 2 2 2 2" xfId="27111"/>
    <cellStyle name="Note 3 2 2 2 5 2 2 2 3" xfId="18434"/>
    <cellStyle name="Note 3 2 2 2 5 2 2 3" xfId="7170"/>
    <cellStyle name="Note 3 2 2 2 5 2 2 3 2" xfId="9784"/>
    <cellStyle name="Note 3 2 2 2 5 2 2 3 2 2" xfId="16046"/>
    <cellStyle name="Note 3 2 2 2 5 2 2 3 2 2 2" xfId="29462"/>
    <cellStyle name="Note 3 2 2 2 5 2 2 3 2 3" xfId="20791"/>
    <cellStyle name="Note 3 2 2 2 5 2 2 3 3" xfId="13774"/>
    <cellStyle name="Note 3 2 2 2 5 2 2 3 3 2" xfId="28096"/>
    <cellStyle name="Note 3 2 2 2 5 2 2 3 4" xfId="19419"/>
    <cellStyle name="Note 3 2 2 2 5 2 2 4" xfId="4556"/>
    <cellStyle name="Note 3 2 2 2 5 2 2 4 2" xfId="23028"/>
    <cellStyle name="Note 3 2 2 2 5 2 2 5" xfId="14709"/>
    <cellStyle name="Note 3 2 2 2 5 2 3" xfId="2026"/>
    <cellStyle name="Note 3 2 2 2 5 2 3 2" xfId="8021"/>
    <cellStyle name="Note 3 2 2 2 5 2 3 2 2" xfId="10635"/>
    <cellStyle name="Note 3 2 2 2 5 2 3 2 2 2" xfId="16897"/>
    <cellStyle name="Note 3 2 2 2 5 2 3 2 2 2 2" xfId="30313"/>
    <cellStyle name="Note 3 2 2 2 5 2 3 2 2 3" xfId="21642"/>
    <cellStyle name="Note 3 2 2 2 5 2 3 2 3" xfId="14625"/>
    <cellStyle name="Note 3 2 2 2 5 2 3 2 3 2" xfId="28947"/>
    <cellStyle name="Note 3 2 2 2 5 2 3 2 4" xfId="20270"/>
    <cellStyle name="Note 3 2 2 2 5 2 3 3" xfId="13262"/>
    <cellStyle name="Note 3 2 2 2 5 2 3 3 2" xfId="27584"/>
    <cellStyle name="Note 3 2 2 2 5 2 3 4" xfId="18907"/>
    <cellStyle name="Note 3 2 2 2 5 2 4" xfId="5708"/>
    <cellStyle name="Note 3 2 2 2 5 2 4 2" xfId="12261"/>
    <cellStyle name="Note 3 2 2 2 5 2 4 2 2" xfId="26583"/>
    <cellStyle name="Note 3 2 2 2 5 2 4 3" xfId="17906"/>
    <cellStyle name="Note 3 2 2 2 5 2 5" xfId="4014"/>
    <cellStyle name="Note 3 2 2 2 5 2 5 2" xfId="22702"/>
    <cellStyle name="Note 3 2 2 2 5 2 6" xfId="14822"/>
    <cellStyle name="Note 3 2 2 2 5 3" xfId="2027"/>
    <cellStyle name="Note 3 2 2 2 5 3 2" xfId="2028"/>
    <cellStyle name="Note 3 2 2 2 5 3 2 2" xfId="6091"/>
    <cellStyle name="Note 3 2 2 2 5 3 2 2 2" xfId="12658"/>
    <cellStyle name="Note 3 2 2 2 5 3 2 2 2 2" xfId="26980"/>
    <cellStyle name="Note 3 2 2 2 5 3 2 2 3" xfId="18303"/>
    <cellStyle name="Note 3 2 2 2 5 3 2 3" xfId="3286"/>
    <cellStyle name="Note 3 2 2 2 5 3 2 3 2" xfId="9054"/>
    <cellStyle name="Note 3 2 2 2 5 3 2 3 2 2" xfId="15393"/>
    <cellStyle name="Note 3 2 2 2 5 3 2 3 2 2 2" xfId="29012"/>
    <cellStyle name="Note 3 2 2 2 5 3 2 3 2 3" xfId="20339"/>
    <cellStyle name="Note 3 2 2 2 5 3 2 3 3" xfId="4439"/>
    <cellStyle name="Note 3 2 2 2 5 3 2 3 3 2" xfId="22953"/>
    <cellStyle name="Note 3 2 2 2 5 3 2 3 4" xfId="14847"/>
    <cellStyle name="Note 3 2 2 2 5 3 2 4" xfId="4299"/>
    <cellStyle name="Note 3 2 2 2 5 3 2 4 2" xfId="22878"/>
    <cellStyle name="Note 3 2 2 2 5 3 2 5" xfId="17308"/>
    <cellStyle name="Note 3 2 2 2 5 3 3" xfId="2029"/>
    <cellStyle name="Note 3 2 2 2 5 3 3 2" xfId="7796"/>
    <cellStyle name="Note 3 2 2 2 5 3 3 2 2" xfId="10410"/>
    <cellStyle name="Note 3 2 2 2 5 3 3 2 2 2" xfId="16672"/>
    <cellStyle name="Note 3 2 2 2 5 3 3 2 2 2 2" xfId="30088"/>
    <cellStyle name="Note 3 2 2 2 5 3 3 2 2 3" xfId="21417"/>
    <cellStyle name="Note 3 2 2 2 5 3 3 2 3" xfId="14400"/>
    <cellStyle name="Note 3 2 2 2 5 3 3 2 3 2" xfId="28722"/>
    <cellStyle name="Note 3 2 2 2 5 3 3 2 4" xfId="20045"/>
    <cellStyle name="Note 3 2 2 2 5 3 3 3" xfId="13111"/>
    <cellStyle name="Note 3 2 2 2 5 3 3 3 2" xfId="27433"/>
    <cellStyle name="Note 3 2 2 2 5 3 3 4" xfId="18756"/>
    <cellStyle name="Note 3 2 2 2 5 3 4" xfId="5476"/>
    <cellStyle name="Note 3 2 2 2 5 3 4 2" xfId="12027"/>
    <cellStyle name="Note 3 2 2 2 5 3 4 2 2" xfId="26349"/>
    <cellStyle name="Note 3 2 2 2 5 3 4 3" xfId="17672"/>
    <cellStyle name="Note 3 2 2 2 5 3 5" xfId="2834"/>
    <cellStyle name="Note 3 2 2 2 5 3 5 2" xfId="22397"/>
    <cellStyle name="Note 3 2 2 2 5 3 6" xfId="15569"/>
    <cellStyle name="Note 3 2 2 2 5 4" xfId="2030"/>
    <cellStyle name="Note 3 2 2 2 5 4 2" xfId="5989"/>
    <cellStyle name="Note 3 2 2 2 5 4 2 2" xfId="12547"/>
    <cellStyle name="Note 3 2 2 2 5 4 2 2 2" xfId="26869"/>
    <cellStyle name="Note 3 2 2 2 5 4 2 3" xfId="18192"/>
    <cellStyle name="Note 3 2 2 2 5 4 3" xfId="8062"/>
    <cellStyle name="Note 3 2 2 2 5 4 3 2" xfId="10676"/>
    <cellStyle name="Note 3 2 2 2 5 4 3 2 2" xfId="16938"/>
    <cellStyle name="Note 3 2 2 2 5 4 3 2 2 2" xfId="30354"/>
    <cellStyle name="Note 3 2 2 2 5 4 3 2 3" xfId="21683"/>
    <cellStyle name="Note 3 2 2 2 5 4 3 3" xfId="14666"/>
    <cellStyle name="Note 3 2 2 2 5 4 3 3 2" xfId="28988"/>
    <cellStyle name="Note 3 2 2 2 5 4 3 4" xfId="20311"/>
    <cellStyle name="Note 3 2 2 2 5 4 4" xfId="6186"/>
    <cellStyle name="Note 3 2 2 2 5 4 4 2" xfId="23451"/>
    <cellStyle name="Note 3 2 2 2 5 4 5" xfId="15352"/>
    <cellStyle name="Note 3 2 2 2 5 5" xfId="2031"/>
    <cellStyle name="Note 3 2 2 2 5 5 2" xfId="7233"/>
    <cellStyle name="Note 3 2 2 2 5 5 2 2" xfId="9847"/>
    <cellStyle name="Note 3 2 2 2 5 5 2 2 2" xfId="16109"/>
    <cellStyle name="Note 3 2 2 2 5 5 2 2 2 2" xfId="29525"/>
    <cellStyle name="Note 3 2 2 2 5 5 2 2 3" xfId="20854"/>
    <cellStyle name="Note 3 2 2 2 5 5 2 3" xfId="13837"/>
    <cellStyle name="Note 3 2 2 2 5 5 2 3 2" xfId="28159"/>
    <cellStyle name="Note 3 2 2 2 5 5 2 4" xfId="19482"/>
    <cellStyle name="Note 3 2 2 2 5 5 3" xfId="12817"/>
    <cellStyle name="Note 3 2 2 2 5 5 3 2" xfId="27139"/>
    <cellStyle name="Note 3 2 2 2 5 5 4" xfId="18462"/>
    <cellStyle name="Note 3 2 2 2 5 6" xfId="5354"/>
    <cellStyle name="Note 3 2 2 2 5 6 2" xfId="11904"/>
    <cellStyle name="Note 3 2 2 2 5 6 2 2" xfId="26226"/>
    <cellStyle name="Note 3 2 2 2 5 6 3" xfId="17549"/>
    <cellStyle name="Note 3 2 2 2 5 7" xfId="4345"/>
    <cellStyle name="Note 3 2 2 2 5 7 2" xfId="22900"/>
    <cellStyle name="Note 3 2 2 2 5 8" xfId="16972"/>
    <cellStyle name="Note 3 2 2 2 6" xfId="2032"/>
    <cellStyle name="Note 3 2 2 2 6 2" xfId="2033"/>
    <cellStyle name="Note 3 2 2 2 6 2 2" xfId="2034"/>
    <cellStyle name="Note 3 2 2 2 6 2 2 2" xfId="5934"/>
    <cellStyle name="Note 3 2 2 2 6 2 2 2 2" xfId="12491"/>
    <cellStyle name="Note 3 2 2 2 6 2 2 2 2 2" xfId="26813"/>
    <cellStyle name="Note 3 2 2 2 6 2 2 2 3" xfId="18136"/>
    <cellStyle name="Note 3 2 2 2 6 2 2 3" xfId="7913"/>
    <cellStyle name="Note 3 2 2 2 6 2 2 3 2" xfId="10527"/>
    <cellStyle name="Note 3 2 2 2 6 2 2 3 2 2" xfId="16789"/>
    <cellStyle name="Note 3 2 2 2 6 2 2 3 2 2 2" xfId="30205"/>
    <cellStyle name="Note 3 2 2 2 6 2 2 3 2 3" xfId="21534"/>
    <cellStyle name="Note 3 2 2 2 6 2 2 3 3" xfId="14517"/>
    <cellStyle name="Note 3 2 2 2 6 2 2 3 3 2" xfId="28839"/>
    <cellStyle name="Note 3 2 2 2 6 2 2 3 4" xfId="20162"/>
    <cellStyle name="Note 3 2 2 2 6 2 2 4" xfId="6314"/>
    <cellStyle name="Note 3 2 2 2 6 2 2 4 2" xfId="23510"/>
    <cellStyle name="Note 3 2 2 2 6 2 2 5" xfId="17332"/>
    <cellStyle name="Note 3 2 2 2 6 2 3" xfId="2035"/>
    <cellStyle name="Note 3 2 2 2 6 2 3 2" xfId="7150"/>
    <cellStyle name="Note 3 2 2 2 6 2 3 2 2" xfId="9764"/>
    <cellStyle name="Note 3 2 2 2 6 2 3 2 2 2" xfId="16026"/>
    <cellStyle name="Note 3 2 2 2 6 2 3 2 2 2 2" xfId="29442"/>
    <cellStyle name="Note 3 2 2 2 6 2 3 2 2 3" xfId="20771"/>
    <cellStyle name="Note 3 2 2 2 6 2 3 2 3" xfId="13754"/>
    <cellStyle name="Note 3 2 2 2 6 2 3 2 3 2" xfId="28076"/>
    <cellStyle name="Note 3 2 2 2 6 2 3 2 4" xfId="19399"/>
    <cellStyle name="Note 3 2 2 2 6 2 3 3" xfId="11780"/>
    <cellStyle name="Note 3 2 2 2 6 2 3 3 2" xfId="26102"/>
    <cellStyle name="Note 3 2 2 2 6 2 3 4" xfId="17425"/>
    <cellStyle name="Note 3 2 2 2 6 2 4" xfId="3700"/>
    <cellStyle name="Note 3 2 2 2 6 2 4 2" xfId="4141"/>
    <cellStyle name="Note 3 2 2 2 6 2 4 2 2" xfId="22779"/>
    <cellStyle name="Note 3 2 2 2 6 2 4 3" xfId="17374"/>
    <cellStyle name="Note 3 2 2 2 6 2 5" xfId="4879"/>
    <cellStyle name="Note 3 2 2 2 6 2 5 2" xfId="23241"/>
    <cellStyle name="Note 3 2 2 2 6 2 6" xfId="3787"/>
    <cellStyle name="Note 3 2 2 2 6 3" xfId="2036"/>
    <cellStyle name="Note 3 2 2 2 6 3 2" xfId="6551"/>
    <cellStyle name="Note 3 2 2 2 6 3 2 2" xfId="13139"/>
    <cellStyle name="Note 3 2 2 2 6 3 2 2 2" xfId="27461"/>
    <cellStyle name="Note 3 2 2 2 6 3 2 3" xfId="18784"/>
    <cellStyle name="Note 3 2 2 2 6 3 3" xfId="5329"/>
    <cellStyle name="Note 3 2 2 2 6 3 3 2" xfId="9638"/>
    <cellStyle name="Note 3 2 2 2 6 3 3 2 2" xfId="15900"/>
    <cellStyle name="Note 3 2 2 2 6 3 3 2 2 2" xfId="29316"/>
    <cellStyle name="Note 3 2 2 2 6 3 3 2 3" xfId="20645"/>
    <cellStyle name="Note 3 2 2 2 6 3 3 3" xfId="11879"/>
    <cellStyle name="Note 3 2 2 2 6 3 3 3 2" xfId="26201"/>
    <cellStyle name="Note 3 2 2 2 6 3 3 4" xfId="17524"/>
    <cellStyle name="Note 3 2 2 2 6 3 4" xfId="3716"/>
    <cellStyle name="Note 3 2 2 2 6 3 4 2" xfId="22541"/>
    <cellStyle name="Note 3 2 2 2 6 3 5" xfId="17062"/>
    <cellStyle name="Note 3 2 2 2 6 4" xfId="2037"/>
    <cellStyle name="Note 3 2 2 2 6 4 2" xfId="7050"/>
    <cellStyle name="Note 3 2 2 2 6 4 2 2" xfId="9664"/>
    <cellStyle name="Note 3 2 2 2 6 4 2 2 2" xfId="15926"/>
    <cellStyle name="Note 3 2 2 2 6 4 2 2 2 2" xfId="29342"/>
    <cellStyle name="Note 3 2 2 2 6 4 2 2 3" xfId="20671"/>
    <cellStyle name="Note 3 2 2 2 6 4 2 3" xfId="13654"/>
    <cellStyle name="Note 3 2 2 2 6 4 2 3 2" xfId="27976"/>
    <cellStyle name="Note 3 2 2 2 6 4 2 4" xfId="19299"/>
    <cellStyle name="Note 3 2 2 2 6 4 3" xfId="12946"/>
    <cellStyle name="Note 3 2 2 2 6 4 3 2" xfId="27268"/>
    <cellStyle name="Note 3 2 2 2 6 4 4" xfId="18591"/>
    <cellStyle name="Note 3 2 2 2 6 5" xfId="5611"/>
    <cellStyle name="Note 3 2 2 2 6 5 2" xfId="12164"/>
    <cellStyle name="Note 3 2 2 2 6 5 2 2" xfId="26486"/>
    <cellStyle name="Note 3 2 2 2 6 5 3" xfId="17809"/>
    <cellStyle name="Note 3 2 2 2 6 6" xfId="3721"/>
    <cellStyle name="Note 3 2 2 2 6 6 2" xfId="22545"/>
    <cellStyle name="Note 3 2 2 2 6 7" xfId="4112"/>
    <cellStyle name="Note 3 2 2 2 7" xfId="2038"/>
    <cellStyle name="Note 3 2 2 2 7 2" xfId="2039"/>
    <cellStyle name="Note 3 2 2 2 7 2 2" xfId="6383"/>
    <cellStyle name="Note 3 2 2 2 7 2 2 2" xfId="12966"/>
    <cellStyle name="Note 3 2 2 2 7 2 2 2 2" xfId="27288"/>
    <cellStyle name="Note 3 2 2 2 7 2 2 3" xfId="18611"/>
    <cellStyle name="Note 3 2 2 2 7 2 3" xfId="3872"/>
    <cellStyle name="Note 3 2 2 2 7 2 3 2" xfId="9388"/>
    <cellStyle name="Note 3 2 2 2 7 2 3 2 2" xfId="15650"/>
    <cellStyle name="Note 3 2 2 2 7 2 3 2 2 2" xfId="29066"/>
    <cellStyle name="Note 3 2 2 2 7 2 3 2 3" xfId="20395"/>
    <cellStyle name="Note 3 2 2 2 7 2 3 3" xfId="4150"/>
    <cellStyle name="Note 3 2 2 2 7 2 3 3 2" xfId="22785"/>
    <cellStyle name="Note 3 2 2 2 7 2 3 4" xfId="15145"/>
    <cellStyle name="Note 3 2 2 2 7 2 4" xfId="6756"/>
    <cellStyle name="Note 3 2 2 2 7 2 4 2" xfId="23704"/>
    <cellStyle name="Note 3 2 2 2 7 2 5" xfId="17038"/>
    <cellStyle name="Note 3 2 2 2 7 3" xfId="2040"/>
    <cellStyle name="Note 3 2 2 2 7 3 2" xfId="8003"/>
    <cellStyle name="Note 3 2 2 2 7 3 2 2" xfId="10617"/>
    <cellStyle name="Note 3 2 2 2 7 3 2 2 2" xfId="16879"/>
    <cellStyle name="Note 3 2 2 2 7 3 2 2 2 2" xfId="30295"/>
    <cellStyle name="Note 3 2 2 2 7 3 2 2 3" xfId="21624"/>
    <cellStyle name="Note 3 2 2 2 7 3 2 3" xfId="14607"/>
    <cellStyle name="Note 3 2 2 2 7 3 2 3 2" xfId="28929"/>
    <cellStyle name="Note 3 2 2 2 7 3 2 4" xfId="20252"/>
    <cellStyle name="Note 3 2 2 2 7 3 3" xfId="13402"/>
    <cellStyle name="Note 3 2 2 2 7 3 3 2" xfId="27724"/>
    <cellStyle name="Note 3 2 2 2 7 3 4" xfId="19047"/>
    <cellStyle name="Note 3 2 2 2 7 4" xfId="5866"/>
    <cellStyle name="Note 3 2 2 2 7 4 2" xfId="12419"/>
    <cellStyle name="Note 3 2 2 2 7 4 2 2" xfId="26741"/>
    <cellStyle name="Note 3 2 2 2 7 4 3" xfId="18064"/>
    <cellStyle name="Note 3 2 2 2 7 5" xfId="3684"/>
    <cellStyle name="Note 3 2 2 2 7 5 2" xfId="22526"/>
    <cellStyle name="Note 3 2 2 2 7 6" xfId="4561"/>
    <cellStyle name="Note 3 2 2 2 8" xfId="2041"/>
    <cellStyle name="Note 3 2 2 2 8 2" xfId="6990"/>
    <cellStyle name="Note 3 2 2 2 8 2 2" xfId="13594"/>
    <cellStyle name="Note 3 2 2 2 8 2 2 2" xfId="27916"/>
    <cellStyle name="Note 3 2 2 2 8 2 3" xfId="19239"/>
    <cellStyle name="Note 3 2 2 2 8 3" xfId="7540"/>
    <cellStyle name="Note 3 2 2 2 8 3 2" xfId="10154"/>
    <cellStyle name="Note 3 2 2 2 8 3 2 2" xfId="16416"/>
    <cellStyle name="Note 3 2 2 2 8 3 2 2 2" xfId="29832"/>
    <cellStyle name="Note 3 2 2 2 8 3 2 3" xfId="21161"/>
    <cellStyle name="Note 3 2 2 2 8 3 3" xfId="14144"/>
    <cellStyle name="Note 3 2 2 2 8 3 3 2" xfId="28466"/>
    <cellStyle name="Note 3 2 2 2 8 3 4" xfId="19789"/>
    <cellStyle name="Note 3 2 2 2 8 4" xfId="11502"/>
    <cellStyle name="Note 3 2 2 2 8 4 2" xfId="25824"/>
    <cellStyle name="Note 3 2 2 2 8 5" xfId="17040"/>
    <cellStyle name="Note 3 2 2 2 9" xfId="2042"/>
    <cellStyle name="Note 3 2 2 2 9 2" xfId="7425"/>
    <cellStyle name="Note 3 2 2 2 9 2 2" xfId="10039"/>
    <cellStyle name="Note 3 2 2 2 9 2 2 2" xfId="16301"/>
    <cellStyle name="Note 3 2 2 2 9 2 2 2 2" xfId="29717"/>
    <cellStyle name="Note 3 2 2 2 9 2 2 3" xfId="21046"/>
    <cellStyle name="Note 3 2 2 2 9 2 3" xfId="14029"/>
    <cellStyle name="Note 3 2 2 2 9 2 3 2" xfId="28351"/>
    <cellStyle name="Note 3 2 2 2 9 2 4" xfId="19674"/>
    <cellStyle name="Note 3 2 2 2 9 3" xfId="12724"/>
    <cellStyle name="Note 3 2 2 2 9 3 2" xfId="27046"/>
    <cellStyle name="Note 3 2 2 2 9 4" xfId="18369"/>
    <cellStyle name="Note 3 2 2 3" xfId="2043"/>
    <cellStyle name="Note 3 2 2 3 10" xfId="4971"/>
    <cellStyle name="Note 3 2 2 3 10 2" xfId="23287"/>
    <cellStyle name="Note 3 2 2 3 11" xfId="15570"/>
    <cellStyle name="Note 3 2 2 3 2" xfId="2044"/>
    <cellStyle name="Note 3 2 2 3 2 2" xfId="2045"/>
    <cellStyle name="Note 3 2 2 3 2 2 2" xfId="2046"/>
    <cellStyle name="Note 3 2 2 3 2 2 2 2" xfId="5958"/>
    <cellStyle name="Note 3 2 2 3 2 2 2 2 2" xfId="12516"/>
    <cellStyle name="Note 3 2 2 3 2 2 2 2 2 2" xfId="26838"/>
    <cellStyle name="Note 3 2 2 3 2 2 2 2 3" xfId="18161"/>
    <cellStyle name="Note 3 2 2 3 2 2 2 3" xfId="7835"/>
    <cellStyle name="Note 3 2 2 3 2 2 2 3 2" xfId="10449"/>
    <cellStyle name="Note 3 2 2 3 2 2 2 3 2 2" xfId="16711"/>
    <cellStyle name="Note 3 2 2 3 2 2 2 3 2 2 2" xfId="30127"/>
    <cellStyle name="Note 3 2 2 3 2 2 2 3 2 3" xfId="21456"/>
    <cellStyle name="Note 3 2 2 3 2 2 2 3 3" xfId="14439"/>
    <cellStyle name="Note 3 2 2 3 2 2 2 3 3 2" xfId="28761"/>
    <cellStyle name="Note 3 2 2 3 2 2 2 3 4" xfId="20084"/>
    <cellStyle name="Note 3 2 2 3 2 2 2 4" xfId="4273"/>
    <cellStyle name="Note 3 2 2 3 2 2 2 4 2" xfId="22863"/>
    <cellStyle name="Note 3 2 2 3 2 2 2 5" xfId="14773"/>
    <cellStyle name="Note 3 2 2 3 2 2 3" xfId="2047"/>
    <cellStyle name="Note 3 2 2 3 2 2 3 2" xfId="7985"/>
    <cellStyle name="Note 3 2 2 3 2 2 3 2 2" xfId="10599"/>
    <cellStyle name="Note 3 2 2 3 2 2 3 2 2 2" xfId="16861"/>
    <cellStyle name="Note 3 2 2 3 2 2 3 2 2 2 2" xfId="30277"/>
    <cellStyle name="Note 3 2 2 3 2 2 3 2 2 3" xfId="21606"/>
    <cellStyle name="Note 3 2 2 3 2 2 3 2 3" xfId="14589"/>
    <cellStyle name="Note 3 2 2 3 2 2 3 2 3 2" xfId="28911"/>
    <cellStyle name="Note 3 2 2 3 2 2 3 2 4" xfId="20234"/>
    <cellStyle name="Note 3 2 2 3 2 2 3 3" xfId="13303"/>
    <cellStyle name="Note 3 2 2 3 2 2 3 3 2" xfId="27625"/>
    <cellStyle name="Note 3 2 2 3 2 2 3 4" xfId="18948"/>
    <cellStyle name="Note 3 2 2 3 2 2 4" xfId="5753"/>
    <cellStyle name="Note 3 2 2 3 2 2 4 2" xfId="12306"/>
    <cellStyle name="Note 3 2 2 3 2 2 4 2 2" xfId="26628"/>
    <cellStyle name="Note 3 2 2 3 2 2 4 3" xfId="17951"/>
    <cellStyle name="Note 3 2 2 3 2 2 5" xfId="3682"/>
    <cellStyle name="Note 3 2 2 3 2 2 5 2" xfId="22525"/>
    <cellStyle name="Note 3 2 2 3 2 2 6" xfId="15249"/>
    <cellStyle name="Note 3 2 2 3 2 3" xfId="2048"/>
    <cellStyle name="Note 3 2 2 3 2 3 2" xfId="2049"/>
    <cellStyle name="Note 3 2 2 3 2 3 2 2" xfId="5391"/>
    <cellStyle name="Note 3 2 2 3 2 3 2 2 2" xfId="11941"/>
    <cellStyle name="Note 3 2 2 3 2 3 2 2 2 2" xfId="26263"/>
    <cellStyle name="Note 3 2 2 3 2 3 2 2 3" xfId="17586"/>
    <cellStyle name="Note 3 2 2 3 2 3 2 3" xfId="7715"/>
    <cellStyle name="Note 3 2 2 3 2 3 2 3 2" xfId="10329"/>
    <cellStyle name="Note 3 2 2 3 2 3 2 3 2 2" xfId="16591"/>
    <cellStyle name="Note 3 2 2 3 2 3 2 3 2 2 2" xfId="30007"/>
    <cellStyle name="Note 3 2 2 3 2 3 2 3 2 3" xfId="21336"/>
    <cellStyle name="Note 3 2 2 3 2 3 2 3 3" xfId="14319"/>
    <cellStyle name="Note 3 2 2 3 2 3 2 3 3 2" xfId="28641"/>
    <cellStyle name="Note 3 2 2 3 2 3 2 3 4" xfId="19964"/>
    <cellStyle name="Note 3 2 2 3 2 3 2 4" xfId="4078"/>
    <cellStyle name="Note 3 2 2 3 2 3 2 4 2" xfId="22748"/>
    <cellStyle name="Note 3 2 2 3 2 3 2 5" xfId="15293"/>
    <cellStyle name="Note 3 2 2 3 2 3 3" xfId="2050"/>
    <cellStyle name="Note 3 2 2 3 2 3 3 2" xfId="3647"/>
    <cellStyle name="Note 3 2 2 3 2 3 3 2 2" xfId="9352"/>
    <cellStyle name="Note 3 2 2 3 2 3 3 2 2 2" xfId="15614"/>
    <cellStyle name="Note 3 2 2 3 2 3 3 2 2 2 2" xfId="29030"/>
    <cellStyle name="Note 3 2 2 3 2 3 3 2 2 3" xfId="20359"/>
    <cellStyle name="Note 3 2 2 3 2 3 3 2 3" xfId="6654"/>
    <cellStyle name="Note 3 2 2 3 2 3 3 2 3 2" xfId="23631"/>
    <cellStyle name="Note 3 2 2 3 2 3 3 2 4" xfId="17302"/>
    <cellStyle name="Note 3 2 2 3 2 3 3 3" xfId="13046"/>
    <cellStyle name="Note 3 2 2 3 2 3 3 3 2" xfId="27368"/>
    <cellStyle name="Note 3 2 2 3 2 3 3 4" xfId="18691"/>
    <cellStyle name="Note 3 2 2 3 2 3 4" xfId="5365"/>
    <cellStyle name="Note 3 2 2 3 2 3 4 2" xfId="11915"/>
    <cellStyle name="Note 3 2 2 3 2 3 4 2 2" xfId="26237"/>
    <cellStyle name="Note 3 2 2 3 2 3 4 3" xfId="17560"/>
    <cellStyle name="Note 3 2 2 3 2 3 5" xfId="4711"/>
    <cellStyle name="Note 3 2 2 3 2 3 5 2" xfId="23143"/>
    <cellStyle name="Note 3 2 2 3 2 3 6" xfId="17027"/>
    <cellStyle name="Note 3 2 2 3 2 4" xfId="2051"/>
    <cellStyle name="Note 3 2 2 3 2 4 2" xfId="6564"/>
    <cellStyle name="Note 3 2 2 3 2 4 2 2" xfId="13152"/>
    <cellStyle name="Note 3 2 2 3 2 4 2 2 2" xfId="27474"/>
    <cellStyle name="Note 3 2 2 3 2 4 2 3" xfId="18797"/>
    <cellStyle name="Note 3 2 2 3 2 4 3" xfId="5258"/>
    <cellStyle name="Note 3 2 2 3 2 4 3 2" xfId="9567"/>
    <cellStyle name="Note 3 2 2 3 2 4 3 2 2" xfId="15829"/>
    <cellStyle name="Note 3 2 2 3 2 4 3 2 2 2" xfId="29245"/>
    <cellStyle name="Note 3 2 2 3 2 4 3 2 3" xfId="20574"/>
    <cellStyle name="Note 3 2 2 3 2 4 3 3" xfId="11808"/>
    <cellStyle name="Note 3 2 2 3 2 4 3 3 2" xfId="26130"/>
    <cellStyle name="Note 3 2 2 3 2 4 3 4" xfId="17453"/>
    <cellStyle name="Note 3 2 2 3 2 4 4" xfId="3600"/>
    <cellStyle name="Note 3 2 2 3 2 4 4 2" xfId="22481"/>
    <cellStyle name="Note 3 2 2 3 2 4 5" xfId="3653"/>
    <cellStyle name="Note 3 2 2 3 2 5" xfId="2052"/>
    <cellStyle name="Note 3 2 2 3 2 5 2" xfId="7861"/>
    <cellStyle name="Note 3 2 2 3 2 5 2 2" xfId="10475"/>
    <cellStyle name="Note 3 2 2 3 2 5 2 2 2" xfId="16737"/>
    <cellStyle name="Note 3 2 2 3 2 5 2 2 2 2" xfId="30153"/>
    <cellStyle name="Note 3 2 2 3 2 5 2 2 3" xfId="21482"/>
    <cellStyle name="Note 3 2 2 3 2 5 2 3" xfId="14465"/>
    <cellStyle name="Note 3 2 2 3 2 5 2 3 2" xfId="28787"/>
    <cellStyle name="Note 3 2 2 3 2 5 2 4" xfId="20110"/>
    <cellStyle name="Note 3 2 2 3 2 5 3" xfId="12879"/>
    <cellStyle name="Note 3 2 2 3 2 5 3 2" xfId="27201"/>
    <cellStyle name="Note 3 2 2 3 2 5 4" xfId="18524"/>
    <cellStyle name="Note 3 2 2 3 2 6" xfId="5497"/>
    <cellStyle name="Note 3 2 2 3 2 6 2" xfId="12048"/>
    <cellStyle name="Note 3 2 2 3 2 6 2 2" xfId="26370"/>
    <cellStyle name="Note 3 2 2 3 2 6 3" xfId="17693"/>
    <cellStyle name="Note 3 2 2 3 2 7" xfId="4426"/>
    <cellStyle name="Note 3 2 2 3 2 7 2" xfId="22944"/>
    <cellStyle name="Note 3 2 2 3 2 8" xfId="17311"/>
    <cellStyle name="Note 3 2 2 3 3" xfId="2053"/>
    <cellStyle name="Note 3 2 2 3 3 2" xfId="2054"/>
    <cellStyle name="Note 3 2 2 3 3 2 2" xfId="2055"/>
    <cellStyle name="Note 3 2 2 3 3 2 2 2" xfId="6977"/>
    <cellStyle name="Note 3 2 2 3 3 2 2 2 2" xfId="13581"/>
    <cellStyle name="Note 3 2 2 3 3 2 2 2 2 2" xfId="27903"/>
    <cellStyle name="Note 3 2 2 3 3 2 2 2 3" xfId="19226"/>
    <cellStyle name="Note 3 2 2 3 3 2 2 3" xfId="7548"/>
    <cellStyle name="Note 3 2 2 3 3 2 2 3 2" xfId="10162"/>
    <cellStyle name="Note 3 2 2 3 3 2 2 3 2 2" xfId="16424"/>
    <cellStyle name="Note 3 2 2 3 3 2 2 3 2 2 2" xfId="29840"/>
    <cellStyle name="Note 3 2 2 3 3 2 2 3 2 3" xfId="21169"/>
    <cellStyle name="Note 3 2 2 3 3 2 2 3 3" xfId="14152"/>
    <cellStyle name="Note 3 2 2 3 3 2 2 3 3 2" xfId="28474"/>
    <cellStyle name="Note 3 2 2 3 3 2 2 3 4" xfId="19797"/>
    <cellStyle name="Note 3 2 2 3 3 2 2 4" xfId="11488"/>
    <cellStyle name="Note 3 2 2 3 3 2 2 4 2" xfId="25810"/>
    <cellStyle name="Note 3 2 2 3 3 2 2 5" xfId="15523"/>
    <cellStyle name="Note 3 2 2 3 3 2 3" xfId="2056"/>
    <cellStyle name="Note 3 2 2 3 3 2 3 2" xfId="7807"/>
    <cellStyle name="Note 3 2 2 3 3 2 3 2 2" xfId="10421"/>
    <cellStyle name="Note 3 2 2 3 3 2 3 2 2 2" xfId="16683"/>
    <cellStyle name="Note 3 2 2 3 3 2 3 2 2 2 2" xfId="30099"/>
    <cellStyle name="Note 3 2 2 3 3 2 3 2 2 3" xfId="21428"/>
    <cellStyle name="Note 3 2 2 3 3 2 3 2 3" xfId="14411"/>
    <cellStyle name="Note 3 2 2 3 3 2 3 2 3 2" xfId="28733"/>
    <cellStyle name="Note 3 2 2 3 3 2 3 2 4" xfId="20056"/>
    <cellStyle name="Note 3 2 2 3 3 2 3 3" xfId="13339"/>
    <cellStyle name="Note 3 2 2 3 3 2 3 3 2" xfId="27661"/>
    <cellStyle name="Note 3 2 2 3 3 2 3 4" xfId="18984"/>
    <cellStyle name="Note 3 2 2 3 3 2 4" xfId="5789"/>
    <cellStyle name="Note 3 2 2 3 3 2 4 2" xfId="12342"/>
    <cellStyle name="Note 3 2 2 3 3 2 4 2 2" xfId="26664"/>
    <cellStyle name="Note 3 2 2 3 3 2 4 3" xfId="17987"/>
    <cellStyle name="Note 3 2 2 3 3 2 5" xfId="4851"/>
    <cellStyle name="Note 3 2 2 3 3 2 5 2" xfId="23222"/>
    <cellStyle name="Note 3 2 2 3 3 2 6" xfId="6707"/>
    <cellStyle name="Note 3 2 2 3 3 3" xfId="2057"/>
    <cellStyle name="Note 3 2 2 3 3 3 2" xfId="2058"/>
    <cellStyle name="Note 3 2 2 3 3 3 2 2" xfId="6988"/>
    <cellStyle name="Note 3 2 2 3 3 3 2 2 2" xfId="13592"/>
    <cellStyle name="Note 3 2 2 3 3 3 2 2 2 2" xfId="27914"/>
    <cellStyle name="Note 3 2 2 3 3 3 2 2 3" xfId="19237"/>
    <cellStyle name="Note 3 2 2 3 3 3 2 3" xfId="7964"/>
    <cellStyle name="Note 3 2 2 3 3 3 2 3 2" xfId="10578"/>
    <cellStyle name="Note 3 2 2 3 3 3 2 3 2 2" xfId="16840"/>
    <cellStyle name="Note 3 2 2 3 3 3 2 3 2 2 2" xfId="30256"/>
    <cellStyle name="Note 3 2 2 3 3 3 2 3 2 3" xfId="21585"/>
    <cellStyle name="Note 3 2 2 3 3 3 2 3 3" xfId="14568"/>
    <cellStyle name="Note 3 2 2 3 3 3 2 3 3 2" xfId="28890"/>
    <cellStyle name="Note 3 2 2 3 3 3 2 3 4" xfId="20213"/>
    <cellStyle name="Note 3 2 2 3 3 3 2 4" xfId="11500"/>
    <cellStyle name="Note 3 2 2 3 3 3 2 4 2" xfId="25822"/>
    <cellStyle name="Note 3 2 2 3 3 3 2 5" xfId="6525"/>
    <cellStyle name="Note 3 2 2 3 3 3 3" xfId="2059"/>
    <cellStyle name="Note 3 2 2 3 3 3 3 2" xfId="7514"/>
    <cellStyle name="Note 3 2 2 3 3 3 3 2 2" xfId="10128"/>
    <cellStyle name="Note 3 2 2 3 3 3 3 2 2 2" xfId="16390"/>
    <cellStyle name="Note 3 2 2 3 3 3 3 2 2 2 2" xfId="29806"/>
    <cellStyle name="Note 3 2 2 3 3 3 3 2 2 3" xfId="21135"/>
    <cellStyle name="Note 3 2 2 3 3 3 3 2 3" xfId="14118"/>
    <cellStyle name="Note 3 2 2 3 3 3 3 2 3 2" xfId="28440"/>
    <cellStyle name="Note 3 2 2 3 3 3 3 2 4" xfId="19763"/>
    <cellStyle name="Note 3 2 2 3 3 3 3 3" xfId="12570"/>
    <cellStyle name="Note 3 2 2 3 3 3 3 3 2" xfId="26892"/>
    <cellStyle name="Note 3 2 2 3 3 3 3 4" xfId="18215"/>
    <cellStyle name="Note 3 2 2 3 3 3 4" xfId="5178"/>
    <cellStyle name="Note 3 2 2 3 3 3 4 2" xfId="11727"/>
    <cellStyle name="Note 3 2 2 3 3 3 4 2 2" xfId="26049"/>
    <cellStyle name="Note 3 2 2 3 3 3 4 3" xfId="3603"/>
    <cellStyle name="Note 3 2 2 3 3 3 5" xfId="3852"/>
    <cellStyle name="Note 3 2 2 3 3 3 5 2" xfId="22613"/>
    <cellStyle name="Note 3 2 2 3 3 3 6" xfId="5197"/>
    <cellStyle name="Note 3 2 2 3 3 4" xfId="2060"/>
    <cellStyle name="Note 3 2 2 3 3 4 2" xfId="6853"/>
    <cellStyle name="Note 3 2 2 3 3 4 2 2" xfId="13457"/>
    <cellStyle name="Note 3 2 2 3 3 4 2 2 2" xfId="27779"/>
    <cellStyle name="Note 3 2 2 3 3 4 2 3" xfId="19102"/>
    <cellStyle name="Note 3 2 2 3 3 4 3" xfId="7900"/>
    <cellStyle name="Note 3 2 2 3 3 4 3 2" xfId="10514"/>
    <cellStyle name="Note 3 2 2 3 3 4 3 2 2" xfId="16776"/>
    <cellStyle name="Note 3 2 2 3 3 4 3 2 2 2" xfId="30192"/>
    <cellStyle name="Note 3 2 2 3 3 4 3 2 3" xfId="21521"/>
    <cellStyle name="Note 3 2 2 3 3 4 3 3" xfId="14504"/>
    <cellStyle name="Note 3 2 2 3 3 4 3 3 2" xfId="28826"/>
    <cellStyle name="Note 3 2 2 3 3 4 3 4" xfId="20149"/>
    <cellStyle name="Note 3 2 2 3 3 4 4" xfId="2762"/>
    <cellStyle name="Note 3 2 2 3 3 4 4 2" xfId="22331"/>
    <cellStyle name="Note 3 2 2 3 3 4 5" xfId="17124"/>
    <cellStyle name="Note 3 2 2 3 3 5" xfId="2061"/>
    <cellStyle name="Note 3 2 2 3 3 5 2" xfId="3810"/>
    <cellStyle name="Note 3 2 2 3 3 5 2 2" xfId="9378"/>
    <cellStyle name="Note 3 2 2 3 3 5 2 2 2" xfId="15640"/>
    <cellStyle name="Note 3 2 2 3 3 5 2 2 2 2" xfId="29056"/>
    <cellStyle name="Note 3 2 2 3 3 5 2 2 3" xfId="20385"/>
    <cellStyle name="Note 3 2 2 3 3 5 2 3" xfId="6251"/>
    <cellStyle name="Note 3 2 2 3 3 5 2 3 2" xfId="23475"/>
    <cellStyle name="Note 3 2 2 3 3 5 2 4" xfId="4680"/>
    <cellStyle name="Note 3 2 2 3 3 5 3" xfId="12915"/>
    <cellStyle name="Note 3 2 2 3 3 5 3 2" xfId="27237"/>
    <cellStyle name="Note 3 2 2 3 3 5 4" xfId="18560"/>
    <cellStyle name="Note 3 2 2 3 3 6" xfId="5539"/>
    <cellStyle name="Note 3 2 2 3 3 6 2" xfId="12090"/>
    <cellStyle name="Note 3 2 2 3 3 6 2 2" xfId="26412"/>
    <cellStyle name="Note 3 2 2 3 3 6 3" xfId="17735"/>
    <cellStyle name="Note 3 2 2 3 3 7" xfId="3949"/>
    <cellStyle name="Note 3 2 2 3 3 7 2" xfId="22663"/>
    <cellStyle name="Note 3 2 2 3 3 8" xfId="6275"/>
    <cellStyle name="Note 3 2 2 3 4" xfId="2062"/>
    <cellStyle name="Note 3 2 2 3 4 2" xfId="2063"/>
    <cellStyle name="Note 3 2 2 3 4 2 2" xfId="2064"/>
    <cellStyle name="Note 3 2 2 3 4 2 2 2" xfId="5842"/>
    <cellStyle name="Note 3 2 2 3 4 2 2 2 2" xfId="12395"/>
    <cellStyle name="Note 3 2 2 3 4 2 2 2 2 2" xfId="26717"/>
    <cellStyle name="Note 3 2 2 3 4 2 2 2 3" xfId="18040"/>
    <cellStyle name="Note 3 2 2 3 4 2 2 3" xfId="7947"/>
    <cellStyle name="Note 3 2 2 3 4 2 2 3 2" xfId="10561"/>
    <cellStyle name="Note 3 2 2 3 4 2 2 3 2 2" xfId="16823"/>
    <cellStyle name="Note 3 2 2 3 4 2 2 3 2 2 2" xfId="30239"/>
    <cellStyle name="Note 3 2 2 3 4 2 2 3 2 3" xfId="21568"/>
    <cellStyle name="Note 3 2 2 3 4 2 2 3 3" xfId="14551"/>
    <cellStyle name="Note 3 2 2 3 4 2 2 3 3 2" xfId="28873"/>
    <cellStyle name="Note 3 2 2 3 4 2 2 3 4" xfId="20196"/>
    <cellStyle name="Note 3 2 2 3 4 2 2 4" xfId="6623"/>
    <cellStyle name="Note 3 2 2 3 4 2 2 4 2" xfId="23612"/>
    <cellStyle name="Note 3 2 2 3 4 2 2 5" xfId="14843"/>
    <cellStyle name="Note 3 2 2 3 4 2 3" xfId="2065"/>
    <cellStyle name="Note 3 2 2 3 4 2 3 2" xfId="5317"/>
    <cellStyle name="Note 3 2 2 3 4 2 3 2 2" xfId="9626"/>
    <cellStyle name="Note 3 2 2 3 4 2 3 2 2 2" xfId="15888"/>
    <cellStyle name="Note 3 2 2 3 4 2 3 2 2 2 2" xfId="29304"/>
    <cellStyle name="Note 3 2 2 3 4 2 3 2 2 3" xfId="20633"/>
    <cellStyle name="Note 3 2 2 3 4 2 3 2 3" xfId="11867"/>
    <cellStyle name="Note 3 2 2 3 4 2 3 2 3 2" xfId="26189"/>
    <cellStyle name="Note 3 2 2 3 4 2 3 2 4" xfId="17512"/>
    <cellStyle name="Note 3 2 2 3 4 2 3 3" xfId="13194"/>
    <cellStyle name="Note 3 2 2 3 4 2 3 3 2" xfId="27516"/>
    <cellStyle name="Note 3 2 2 3 4 2 3 4" xfId="18839"/>
    <cellStyle name="Note 3 2 2 3 4 2 4" xfId="5631"/>
    <cellStyle name="Note 3 2 2 3 4 2 4 2" xfId="12184"/>
    <cellStyle name="Note 3 2 2 3 4 2 4 2 2" xfId="26506"/>
    <cellStyle name="Note 3 2 2 3 4 2 4 3" xfId="17829"/>
    <cellStyle name="Note 3 2 2 3 4 2 5" xfId="4684"/>
    <cellStyle name="Note 3 2 2 3 4 2 5 2" xfId="23120"/>
    <cellStyle name="Note 3 2 2 3 4 2 6" xfId="2841"/>
    <cellStyle name="Note 3 2 2 3 4 3" xfId="2066"/>
    <cellStyle name="Note 3 2 2 3 4 3 2" xfId="2067"/>
    <cellStyle name="Note 3 2 2 3 4 3 2 2" xfId="5955"/>
    <cellStyle name="Note 3 2 2 3 4 3 2 2 2" xfId="12513"/>
    <cellStyle name="Note 3 2 2 3 4 3 2 2 2 2" xfId="26835"/>
    <cellStyle name="Note 3 2 2 3 4 3 2 2 3" xfId="18158"/>
    <cellStyle name="Note 3 2 2 3 4 3 2 3" xfId="7417"/>
    <cellStyle name="Note 3 2 2 3 4 3 2 3 2" xfId="10031"/>
    <cellStyle name="Note 3 2 2 3 4 3 2 3 2 2" xfId="16293"/>
    <cellStyle name="Note 3 2 2 3 4 3 2 3 2 2 2" xfId="29709"/>
    <cellStyle name="Note 3 2 2 3 4 3 2 3 2 3" xfId="21038"/>
    <cellStyle name="Note 3 2 2 3 4 3 2 3 3" xfId="14021"/>
    <cellStyle name="Note 3 2 2 3 4 3 2 3 3 2" xfId="28343"/>
    <cellStyle name="Note 3 2 2 3 4 3 2 3 4" xfId="19666"/>
    <cellStyle name="Note 3 2 2 3 4 3 2 4" xfId="6187"/>
    <cellStyle name="Note 3 2 2 3 4 3 2 4 2" xfId="23452"/>
    <cellStyle name="Note 3 2 2 3 4 3 2 5" xfId="15463"/>
    <cellStyle name="Note 3 2 2 3 4 3 3" xfId="2068"/>
    <cellStyle name="Note 3 2 2 3 4 3 3 2" xfId="8010"/>
    <cellStyle name="Note 3 2 2 3 4 3 3 2 2" xfId="10624"/>
    <cellStyle name="Note 3 2 2 3 4 3 3 2 2 2" xfId="16886"/>
    <cellStyle name="Note 3 2 2 3 4 3 3 2 2 2 2" xfId="30302"/>
    <cellStyle name="Note 3 2 2 3 4 3 3 2 2 3" xfId="21631"/>
    <cellStyle name="Note 3 2 2 3 4 3 3 2 3" xfId="14614"/>
    <cellStyle name="Note 3 2 2 3 4 3 3 2 3 2" xfId="28936"/>
    <cellStyle name="Note 3 2 2 3 4 3 3 2 4" xfId="20259"/>
    <cellStyle name="Note 3 2 2 3 4 3 3 3" xfId="13096"/>
    <cellStyle name="Note 3 2 2 3 4 3 3 3 2" xfId="27418"/>
    <cellStyle name="Note 3 2 2 3 4 3 3 4" xfId="18741"/>
    <cellStyle name="Note 3 2 2 3 4 3 4" xfId="5452"/>
    <cellStyle name="Note 3 2 2 3 4 3 4 2" xfId="12003"/>
    <cellStyle name="Note 3 2 2 3 4 3 4 2 2" xfId="26325"/>
    <cellStyle name="Note 3 2 2 3 4 3 4 3" xfId="17648"/>
    <cellStyle name="Note 3 2 2 3 4 3 5" xfId="4223"/>
    <cellStyle name="Note 3 2 2 3 4 3 5 2" xfId="22835"/>
    <cellStyle name="Note 3 2 2 3 4 3 6" xfId="14816"/>
    <cellStyle name="Note 3 2 2 3 4 4" xfId="2069"/>
    <cellStyle name="Note 3 2 2 3 4 4 2" xfId="6370"/>
    <cellStyle name="Note 3 2 2 3 4 4 2 2" xfId="12953"/>
    <cellStyle name="Note 3 2 2 3 4 4 2 2 2" xfId="27275"/>
    <cellStyle name="Note 3 2 2 3 4 4 2 3" xfId="18598"/>
    <cellStyle name="Note 3 2 2 3 4 4 3" xfId="7781"/>
    <cellStyle name="Note 3 2 2 3 4 4 3 2" xfId="10395"/>
    <cellStyle name="Note 3 2 2 3 4 4 3 2 2" xfId="16657"/>
    <cellStyle name="Note 3 2 2 3 4 4 3 2 2 2" xfId="30073"/>
    <cellStyle name="Note 3 2 2 3 4 4 3 2 3" xfId="21402"/>
    <cellStyle name="Note 3 2 2 3 4 4 3 3" xfId="14385"/>
    <cellStyle name="Note 3 2 2 3 4 4 3 3 2" xfId="28707"/>
    <cellStyle name="Note 3 2 2 3 4 4 3 4" xfId="20030"/>
    <cellStyle name="Note 3 2 2 3 4 4 4" xfId="6474"/>
    <cellStyle name="Note 3 2 2 3 4 4 4 2" xfId="23558"/>
    <cellStyle name="Note 3 2 2 3 4 4 5" xfId="14747"/>
    <cellStyle name="Note 3 2 2 3 4 5" xfId="2070"/>
    <cellStyle name="Note 3 2 2 3 4 5 2" xfId="7975"/>
    <cellStyle name="Note 3 2 2 3 4 5 2 2" xfId="10589"/>
    <cellStyle name="Note 3 2 2 3 4 5 2 2 2" xfId="16851"/>
    <cellStyle name="Note 3 2 2 3 4 5 2 2 2 2" xfId="30267"/>
    <cellStyle name="Note 3 2 2 3 4 5 2 2 3" xfId="21596"/>
    <cellStyle name="Note 3 2 2 3 4 5 2 3" xfId="14579"/>
    <cellStyle name="Note 3 2 2 3 4 5 2 3 2" xfId="28901"/>
    <cellStyle name="Note 3 2 2 3 4 5 2 4" xfId="20224"/>
    <cellStyle name="Note 3 2 2 3 4 5 3" xfId="12467"/>
    <cellStyle name="Note 3 2 2 3 4 5 3 2" xfId="26789"/>
    <cellStyle name="Note 3 2 2 3 4 5 4" xfId="18112"/>
    <cellStyle name="Note 3 2 2 3 4 6" xfId="5067"/>
    <cellStyle name="Note 3 2 2 3 4 6 2" xfId="11614"/>
    <cellStyle name="Note 3 2 2 3 4 6 2 2" xfId="25936"/>
    <cellStyle name="Note 3 2 2 3 4 6 3" xfId="14719"/>
    <cellStyle name="Note 3 2 2 3 4 7" xfId="3859"/>
    <cellStyle name="Note 3 2 2 3 4 7 2" xfId="22615"/>
    <cellStyle name="Note 3 2 2 3 4 8" xfId="15445"/>
    <cellStyle name="Note 3 2 2 3 5" xfId="2071"/>
    <cellStyle name="Note 3 2 2 3 5 2" xfId="2072"/>
    <cellStyle name="Note 3 2 2 3 5 2 2" xfId="2073"/>
    <cellStyle name="Note 3 2 2 3 5 2 2 2" xfId="7004"/>
    <cellStyle name="Note 3 2 2 3 5 2 2 2 2" xfId="13608"/>
    <cellStyle name="Note 3 2 2 3 5 2 2 2 2 2" xfId="27930"/>
    <cellStyle name="Note 3 2 2 3 5 2 2 2 3" xfId="19253"/>
    <cellStyle name="Note 3 2 2 3 5 2 2 3" xfId="7242"/>
    <cellStyle name="Note 3 2 2 3 5 2 2 3 2" xfId="9856"/>
    <cellStyle name="Note 3 2 2 3 5 2 2 3 2 2" xfId="16118"/>
    <cellStyle name="Note 3 2 2 3 5 2 2 3 2 2 2" xfId="29534"/>
    <cellStyle name="Note 3 2 2 3 5 2 2 3 2 3" xfId="20863"/>
    <cellStyle name="Note 3 2 2 3 5 2 2 3 3" xfId="13846"/>
    <cellStyle name="Note 3 2 2 3 5 2 2 3 3 2" xfId="28168"/>
    <cellStyle name="Note 3 2 2 3 5 2 2 3 4" xfId="19491"/>
    <cellStyle name="Note 3 2 2 3 5 2 2 4" xfId="11524"/>
    <cellStyle name="Note 3 2 2 3 5 2 2 4 2" xfId="25846"/>
    <cellStyle name="Note 3 2 2 3 5 2 2 5" xfId="15370"/>
    <cellStyle name="Note 3 2 2 3 5 2 3" xfId="2074"/>
    <cellStyle name="Note 3 2 2 3 5 2 3 2" xfId="7245"/>
    <cellStyle name="Note 3 2 2 3 5 2 3 2 2" xfId="9859"/>
    <cellStyle name="Note 3 2 2 3 5 2 3 2 2 2" xfId="16121"/>
    <cellStyle name="Note 3 2 2 3 5 2 3 2 2 2 2" xfId="29537"/>
    <cellStyle name="Note 3 2 2 3 5 2 3 2 2 3" xfId="20866"/>
    <cellStyle name="Note 3 2 2 3 5 2 3 2 3" xfId="13849"/>
    <cellStyle name="Note 3 2 2 3 5 2 3 2 3 2" xfId="28171"/>
    <cellStyle name="Note 3 2 2 3 5 2 3 2 4" xfId="19494"/>
    <cellStyle name="Note 3 2 2 3 5 2 3 3" xfId="12786"/>
    <cellStyle name="Note 3 2 2 3 5 2 3 3 2" xfId="27108"/>
    <cellStyle name="Note 3 2 2 3 5 2 3 4" xfId="18431"/>
    <cellStyle name="Note 3 2 2 3 5 2 4" xfId="3773"/>
    <cellStyle name="Note 3 2 2 3 5 2 4 2" xfId="4512"/>
    <cellStyle name="Note 3 2 2 3 5 2 4 2 2" xfId="22999"/>
    <cellStyle name="Note 3 2 2 3 5 2 4 3" xfId="14805"/>
    <cellStyle name="Note 3 2 2 3 5 2 5" xfId="3913"/>
    <cellStyle name="Note 3 2 2 3 5 2 5 2" xfId="22643"/>
    <cellStyle name="Note 3 2 2 3 5 2 6" xfId="2792"/>
    <cellStyle name="Note 3 2 2 3 5 3" xfId="2075"/>
    <cellStyle name="Note 3 2 2 3 5 3 2" xfId="6075"/>
    <cellStyle name="Note 3 2 2 3 5 3 2 2" xfId="12641"/>
    <cellStyle name="Note 3 2 2 3 5 3 2 2 2" xfId="26963"/>
    <cellStyle name="Note 3 2 2 3 5 3 2 3" xfId="18286"/>
    <cellStyle name="Note 3 2 2 3 5 3 3" xfId="4302"/>
    <cellStyle name="Note 3 2 2 3 5 3 3 2" xfId="9444"/>
    <cellStyle name="Note 3 2 2 3 5 3 3 2 2" xfId="15706"/>
    <cellStyle name="Note 3 2 2 3 5 3 3 2 2 2" xfId="29122"/>
    <cellStyle name="Note 3 2 2 3 5 3 3 2 3" xfId="20451"/>
    <cellStyle name="Note 3 2 2 3 5 3 3 3" xfId="4433"/>
    <cellStyle name="Note 3 2 2 3 5 3 3 3 2" xfId="22949"/>
    <cellStyle name="Note 3 2 2 3 5 3 3 4" xfId="6353"/>
    <cellStyle name="Note 3 2 2 3 5 3 4" xfId="6218"/>
    <cellStyle name="Note 3 2 2 3 5 3 4 2" xfId="23462"/>
    <cellStyle name="Note 3 2 2 3 5 3 5" xfId="6733"/>
    <cellStyle name="Note 3 2 2 3 5 4" xfId="2076"/>
    <cellStyle name="Note 3 2 2 3 5 4 2" xfId="5289"/>
    <cellStyle name="Note 3 2 2 3 5 4 2 2" xfId="9598"/>
    <cellStyle name="Note 3 2 2 3 5 4 2 2 2" xfId="15860"/>
    <cellStyle name="Note 3 2 2 3 5 4 2 2 2 2" xfId="29276"/>
    <cellStyle name="Note 3 2 2 3 5 4 2 2 3" xfId="20605"/>
    <cellStyle name="Note 3 2 2 3 5 4 2 3" xfId="11839"/>
    <cellStyle name="Note 3 2 2 3 5 4 2 3 2" xfId="26161"/>
    <cellStyle name="Note 3 2 2 3 5 4 2 4" xfId="17484"/>
    <cellStyle name="Note 3 2 2 3 5 4 3" xfId="12612"/>
    <cellStyle name="Note 3 2 2 3 5 4 3 2" xfId="26934"/>
    <cellStyle name="Note 3 2 2 3 5 4 4" xfId="18257"/>
    <cellStyle name="Note 3 2 2 3 5 5" xfId="3697"/>
    <cellStyle name="Note 3 2 2 3 5 5 2" xfId="3969"/>
    <cellStyle name="Note 3 2 2 3 5 5 2 2" xfId="22675"/>
    <cellStyle name="Note 3 2 2 3 5 5 3" xfId="15314"/>
    <cellStyle name="Note 3 2 2 3 5 6" xfId="6249"/>
    <cellStyle name="Note 3 2 2 3 5 6 2" xfId="23473"/>
    <cellStyle name="Note 3 2 2 3 5 7" xfId="3146"/>
    <cellStyle name="Note 3 2 2 3 6" xfId="2077"/>
    <cellStyle name="Note 3 2 2 3 6 2" xfId="2078"/>
    <cellStyle name="Note 3 2 2 3 6 2 2" xfId="5388"/>
    <cellStyle name="Note 3 2 2 3 6 2 2 2" xfId="11938"/>
    <cellStyle name="Note 3 2 2 3 6 2 2 2 2" xfId="26260"/>
    <cellStyle name="Note 3 2 2 3 6 2 2 3" xfId="17583"/>
    <cellStyle name="Note 3 2 2 3 6 2 3" xfId="7204"/>
    <cellStyle name="Note 3 2 2 3 6 2 3 2" xfId="9818"/>
    <cellStyle name="Note 3 2 2 3 6 2 3 2 2" xfId="16080"/>
    <cellStyle name="Note 3 2 2 3 6 2 3 2 2 2" xfId="29496"/>
    <cellStyle name="Note 3 2 2 3 6 2 3 2 3" xfId="20825"/>
    <cellStyle name="Note 3 2 2 3 6 2 3 3" xfId="13808"/>
    <cellStyle name="Note 3 2 2 3 6 2 3 3 2" xfId="28130"/>
    <cellStyle name="Note 3 2 2 3 6 2 3 4" xfId="19453"/>
    <cellStyle name="Note 3 2 2 3 6 2 4" xfId="4035"/>
    <cellStyle name="Note 3 2 2 3 6 2 4 2" xfId="22713"/>
    <cellStyle name="Note 3 2 2 3 6 2 5" xfId="17241"/>
    <cellStyle name="Note 3 2 2 3 6 3" xfId="2079"/>
    <cellStyle name="Note 3 2 2 3 6 3 2" xfId="7638"/>
    <cellStyle name="Note 3 2 2 3 6 3 2 2" xfId="10252"/>
    <cellStyle name="Note 3 2 2 3 6 3 2 2 2" xfId="16514"/>
    <cellStyle name="Note 3 2 2 3 6 3 2 2 2 2" xfId="29930"/>
    <cellStyle name="Note 3 2 2 3 6 3 2 2 3" xfId="21259"/>
    <cellStyle name="Note 3 2 2 3 6 3 2 3" xfId="14242"/>
    <cellStyle name="Note 3 2 2 3 6 3 2 3 2" xfId="28564"/>
    <cellStyle name="Note 3 2 2 3 6 3 2 4" xfId="19887"/>
    <cellStyle name="Note 3 2 2 3 6 3 3" xfId="13168"/>
    <cellStyle name="Note 3 2 2 3 6 3 3 2" xfId="27490"/>
    <cellStyle name="Note 3 2 2 3 6 3 4" xfId="18813"/>
    <cellStyle name="Note 3 2 2 3 6 4" xfId="5587"/>
    <cellStyle name="Note 3 2 2 3 6 4 2" xfId="12139"/>
    <cellStyle name="Note 3 2 2 3 6 4 2 2" xfId="26461"/>
    <cellStyle name="Note 3 2 2 3 6 4 3" xfId="17784"/>
    <cellStyle name="Note 3 2 2 3 6 5" xfId="4758"/>
    <cellStyle name="Note 3 2 2 3 6 5 2" xfId="23173"/>
    <cellStyle name="Note 3 2 2 3 6 6" xfId="4591"/>
    <cellStyle name="Note 3 2 2 3 7" xfId="2080"/>
    <cellStyle name="Note 3 2 2 3 7 2" xfId="6027"/>
    <cellStyle name="Note 3 2 2 3 7 2 2" xfId="12588"/>
    <cellStyle name="Note 3 2 2 3 7 2 2 2" xfId="26910"/>
    <cellStyle name="Note 3 2 2 3 7 2 3" xfId="18233"/>
    <cellStyle name="Note 3 2 2 3 7 3" xfId="7675"/>
    <cellStyle name="Note 3 2 2 3 7 3 2" xfId="10289"/>
    <cellStyle name="Note 3 2 2 3 7 3 2 2" xfId="16551"/>
    <cellStyle name="Note 3 2 2 3 7 3 2 2 2" xfId="29967"/>
    <cellStyle name="Note 3 2 2 3 7 3 2 3" xfId="21296"/>
    <cellStyle name="Note 3 2 2 3 7 3 3" xfId="14279"/>
    <cellStyle name="Note 3 2 2 3 7 3 3 2" xfId="28601"/>
    <cellStyle name="Note 3 2 2 3 7 3 4" xfId="19924"/>
    <cellStyle name="Note 3 2 2 3 7 4" xfId="4509"/>
    <cellStyle name="Note 3 2 2 3 7 4 2" xfId="22996"/>
    <cellStyle name="Note 3 2 2 3 7 5" xfId="15236"/>
    <cellStyle name="Note 3 2 2 3 8" xfId="2081"/>
    <cellStyle name="Note 3 2 2 3 8 2" xfId="4004"/>
    <cellStyle name="Note 3 2 2 3 8 2 2" xfId="9408"/>
    <cellStyle name="Note 3 2 2 3 8 2 2 2" xfId="15670"/>
    <cellStyle name="Note 3 2 2 3 8 2 2 2 2" xfId="29086"/>
    <cellStyle name="Note 3 2 2 3 8 2 2 3" xfId="20415"/>
    <cellStyle name="Note 3 2 2 3 8 2 3" xfId="4963"/>
    <cellStyle name="Note 3 2 2 3 8 2 3 2" xfId="23284"/>
    <cellStyle name="Note 3 2 2 3 8 2 4" xfId="3016"/>
    <cellStyle name="Note 3 2 2 3 8 3" xfId="12708"/>
    <cellStyle name="Note 3 2 2 3 8 3 2" xfId="27030"/>
    <cellStyle name="Note 3 2 2 3 8 4" xfId="18353"/>
    <cellStyle name="Note 3 2 2 3 9" xfId="5107"/>
    <cellStyle name="Note 3 2 2 3 9 2" xfId="11654"/>
    <cellStyle name="Note 3 2 2 3 9 2 2" xfId="25976"/>
    <cellStyle name="Note 3 2 2 3 9 3" xfId="4547"/>
    <cellStyle name="Note 3 2 2 4" xfId="2082"/>
    <cellStyle name="Note 3 2 2 4 2" xfId="2083"/>
    <cellStyle name="Note 3 2 2 4 2 2" xfId="2084"/>
    <cellStyle name="Note 3 2 2 4 2 2 2" xfId="6108"/>
    <cellStyle name="Note 3 2 2 4 2 2 2 2" xfId="12676"/>
    <cellStyle name="Note 3 2 2 4 2 2 2 2 2" xfId="26998"/>
    <cellStyle name="Note 3 2 2 4 2 2 2 3" xfId="18321"/>
    <cellStyle name="Note 3 2 2 4 2 2 3" xfId="7905"/>
    <cellStyle name="Note 3 2 2 4 2 2 3 2" xfId="10519"/>
    <cellStyle name="Note 3 2 2 4 2 2 3 2 2" xfId="16781"/>
    <cellStyle name="Note 3 2 2 4 2 2 3 2 2 2" xfId="30197"/>
    <cellStyle name="Note 3 2 2 4 2 2 3 2 3" xfId="21526"/>
    <cellStyle name="Note 3 2 2 4 2 2 3 3" xfId="14509"/>
    <cellStyle name="Note 3 2 2 4 2 2 3 3 2" xfId="28831"/>
    <cellStyle name="Note 3 2 2 4 2 2 3 4" xfId="20154"/>
    <cellStyle name="Note 3 2 2 4 2 2 4" xfId="4234"/>
    <cellStyle name="Note 3 2 2 4 2 2 4 2" xfId="22844"/>
    <cellStyle name="Note 3 2 2 4 2 2 5" xfId="15141"/>
    <cellStyle name="Note 3 2 2 4 2 3" xfId="2085"/>
    <cellStyle name="Note 3 2 2 4 2 3 2" xfId="7624"/>
    <cellStyle name="Note 3 2 2 4 2 3 2 2" xfId="10238"/>
    <cellStyle name="Note 3 2 2 4 2 3 2 2 2" xfId="16500"/>
    <cellStyle name="Note 3 2 2 4 2 3 2 2 2 2" xfId="29916"/>
    <cellStyle name="Note 3 2 2 4 2 3 2 2 3" xfId="21245"/>
    <cellStyle name="Note 3 2 2 4 2 3 2 3" xfId="14228"/>
    <cellStyle name="Note 3 2 2 4 2 3 2 3 2" xfId="28550"/>
    <cellStyle name="Note 3 2 2 4 2 3 2 4" xfId="19873"/>
    <cellStyle name="Note 3 2 2 4 2 3 3" xfId="13225"/>
    <cellStyle name="Note 3 2 2 4 2 3 3 2" xfId="27547"/>
    <cellStyle name="Note 3 2 2 4 2 3 4" xfId="18870"/>
    <cellStyle name="Note 3 2 2 4 2 4" xfId="5666"/>
    <cellStyle name="Note 3 2 2 4 2 4 2" xfId="12219"/>
    <cellStyle name="Note 3 2 2 4 2 4 2 2" xfId="26541"/>
    <cellStyle name="Note 3 2 2 4 2 4 3" xfId="17864"/>
    <cellStyle name="Note 3 2 2 4 2 5" xfId="6812"/>
    <cellStyle name="Note 3 2 2 4 2 5 2" xfId="23750"/>
    <cellStyle name="Note 3 2 2 4 2 6" xfId="17058"/>
    <cellStyle name="Note 3 2 2 4 3" xfId="2086"/>
    <cellStyle name="Note 3 2 2 4 3 2" xfId="2087"/>
    <cellStyle name="Note 3 2 2 4 3 2 2" xfId="6453"/>
    <cellStyle name="Note 3 2 2 4 3 2 2 2" xfId="13036"/>
    <cellStyle name="Note 3 2 2 4 3 2 2 2 2" xfId="27358"/>
    <cellStyle name="Note 3 2 2 4 3 2 2 3" xfId="18681"/>
    <cellStyle name="Note 3 2 2 4 3 2 3" xfId="7949"/>
    <cellStyle name="Note 3 2 2 4 3 2 3 2" xfId="10563"/>
    <cellStyle name="Note 3 2 2 4 3 2 3 2 2" xfId="16825"/>
    <cellStyle name="Note 3 2 2 4 3 2 3 2 2 2" xfId="30241"/>
    <cellStyle name="Note 3 2 2 4 3 2 3 2 3" xfId="21570"/>
    <cellStyle name="Note 3 2 2 4 3 2 3 3" xfId="14553"/>
    <cellStyle name="Note 3 2 2 4 3 2 3 3 2" xfId="28875"/>
    <cellStyle name="Note 3 2 2 4 3 2 3 4" xfId="20198"/>
    <cellStyle name="Note 3 2 2 4 3 2 4" xfId="3185"/>
    <cellStyle name="Note 3 2 2 4 3 2 4 2" xfId="22430"/>
    <cellStyle name="Note 3 2 2 4 3 2 5" xfId="14899"/>
    <cellStyle name="Note 3 2 2 4 3 3" xfId="2088"/>
    <cellStyle name="Note 3 2 2 4 3 3 2" xfId="7385"/>
    <cellStyle name="Note 3 2 2 4 3 3 2 2" xfId="9999"/>
    <cellStyle name="Note 3 2 2 4 3 3 2 2 2" xfId="16261"/>
    <cellStyle name="Note 3 2 2 4 3 3 2 2 2 2" xfId="29677"/>
    <cellStyle name="Note 3 2 2 4 3 3 2 2 3" xfId="21006"/>
    <cellStyle name="Note 3 2 2 4 3 3 2 3" xfId="13989"/>
    <cellStyle name="Note 3 2 2 4 3 3 2 3 2" xfId="28311"/>
    <cellStyle name="Note 3 2 2 4 3 3 2 4" xfId="19634"/>
    <cellStyle name="Note 3 2 2 4 3 3 3" xfId="12655"/>
    <cellStyle name="Note 3 2 2 4 3 3 3 2" xfId="26977"/>
    <cellStyle name="Note 3 2 2 4 3 3 4" xfId="18300"/>
    <cellStyle name="Note 3 2 2 4 3 4" xfId="3733"/>
    <cellStyle name="Note 3 2 2 4 3 4 2" xfId="4042"/>
    <cellStyle name="Note 3 2 2 4 3 4 2 2" xfId="22719"/>
    <cellStyle name="Note 3 2 2 4 3 4 3" xfId="17273"/>
    <cellStyle name="Note 3 2 2 4 3 5" xfId="4864"/>
    <cellStyle name="Note 3 2 2 4 3 5 2" xfId="23229"/>
    <cellStyle name="Note 3 2 2 4 3 6" xfId="17106"/>
    <cellStyle name="Note 3 2 2 4 4" xfId="2089"/>
    <cellStyle name="Note 3 2 2 4 4 2" xfId="7019"/>
    <cellStyle name="Note 3 2 2 4 4 2 2" xfId="13623"/>
    <cellStyle name="Note 3 2 2 4 4 2 2 2" xfId="27945"/>
    <cellStyle name="Note 3 2 2 4 4 2 3" xfId="19268"/>
    <cellStyle name="Note 3 2 2 4 4 3" xfId="7293"/>
    <cellStyle name="Note 3 2 2 4 4 3 2" xfId="9907"/>
    <cellStyle name="Note 3 2 2 4 4 3 2 2" xfId="16169"/>
    <cellStyle name="Note 3 2 2 4 4 3 2 2 2" xfId="29585"/>
    <cellStyle name="Note 3 2 2 4 4 3 2 3" xfId="20914"/>
    <cellStyle name="Note 3 2 2 4 4 3 3" xfId="13897"/>
    <cellStyle name="Note 3 2 2 4 4 3 3 2" xfId="28219"/>
    <cellStyle name="Note 3 2 2 4 4 3 4" xfId="19542"/>
    <cellStyle name="Note 3 2 2 4 4 4" xfId="11549"/>
    <cellStyle name="Note 3 2 2 4 4 4 2" xfId="25871"/>
    <cellStyle name="Note 3 2 2 4 4 5" xfId="14991"/>
    <cellStyle name="Note 3 2 2 4 5" xfId="2090"/>
    <cellStyle name="Note 3 2 2 4 5 2" xfId="4260"/>
    <cellStyle name="Note 3 2 2 4 5 2 2" xfId="9439"/>
    <cellStyle name="Note 3 2 2 4 5 2 2 2" xfId="15701"/>
    <cellStyle name="Note 3 2 2 4 5 2 2 2 2" xfId="29117"/>
    <cellStyle name="Note 3 2 2 4 5 2 2 3" xfId="20446"/>
    <cellStyle name="Note 3 2 2 4 5 2 3" xfId="4318"/>
    <cellStyle name="Note 3 2 2 4 5 2 3 2" xfId="22887"/>
    <cellStyle name="Note 3 2 2 4 5 2 4" xfId="17078"/>
    <cellStyle name="Note 3 2 2 4 5 3" xfId="12559"/>
    <cellStyle name="Note 3 2 2 4 5 3 2" xfId="26881"/>
    <cellStyle name="Note 3 2 2 4 5 4" xfId="18204"/>
    <cellStyle name="Note 3 2 2 4 6" xfId="5074"/>
    <cellStyle name="Note 3 2 2 4 6 2" xfId="11621"/>
    <cellStyle name="Note 3 2 2 4 6 2 2" xfId="25943"/>
    <cellStyle name="Note 3 2 2 4 6 3" xfId="14966"/>
    <cellStyle name="Note 3 2 2 4 7" xfId="4131"/>
    <cellStyle name="Note 3 2 2 4 7 2" xfId="22773"/>
    <cellStyle name="Note 3 2 2 4 8" xfId="6256"/>
    <cellStyle name="Note 3 2 2 5" xfId="2091"/>
    <cellStyle name="Note 3 2 2 5 2" xfId="2092"/>
    <cellStyle name="Note 3 2 2 5 2 2" xfId="2093"/>
    <cellStyle name="Note 3 2 2 5 2 2 2" xfId="6162"/>
    <cellStyle name="Note 3 2 2 5 2 2 2 2" xfId="12733"/>
    <cellStyle name="Note 3 2 2 5 2 2 2 2 2" xfId="27055"/>
    <cellStyle name="Note 3 2 2 5 2 2 2 3" xfId="18378"/>
    <cellStyle name="Note 3 2 2 5 2 2 3" xfId="7480"/>
    <cellStyle name="Note 3 2 2 5 2 2 3 2" xfId="10094"/>
    <cellStyle name="Note 3 2 2 5 2 2 3 2 2" xfId="16356"/>
    <cellStyle name="Note 3 2 2 5 2 2 3 2 2 2" xfId="29772"/>
    <cellStyle name="Note 3 2 2 5 2 2 3 2 3" xfId="21101"/>
    <cellStyle name="Note 3 2 2 5 2 2 3 3" xfId="14084"/>
    <cellStyle name="Note 3 2 2 5 2 2 3 3 2" xfId="28406"/>
    <cellStyle name="Note 3 2 2 5 2 2 3 4" xfId="19729"/>
    <cellStyle name="Note 3 2 2 5 2 2 4" xfId="6649"/>
    <cellStyle name="Note 3 2 2 5 2 2 4 2" xfId="23627"/>
    <cellStyle name="Note 3 2 2 5 2 2 5" xfId="14793"/>
    <cellStyle name="Note 3 2 2 5 2 3" xfId="2094"/>
    <cellStyle name="Note 3 2 2 5 2 3 2" xfId="3918"/>
    <cellStyle name="Note 3 2 2 5 2 3 2 2" xfId="9396"/>
    <cellStyle name="Note 3 2 2 5 2 3 2 2 2" xfId="15658"/>
    <cellStyle name="Note 3 2 2 5 2 3 2 2 2 2" xfId="29074"/>
    <cellStyle name="Note 3 2 2 5 2 3 2 2 3" xfId="20403"/>
    <cellStyle name="Note 3 2 2 5 2 3 2 3" xfId="5951"/>
    <cellStyle name="Note 3 2 2 5 2 3 2 3 2" xfId="23381"/>
    <cellStyle name="Note 3 2 2 5 2 3 2 4" xfId="17233"/>
    <cellStyle name="Note 3 2 2 5 2 3 3" xfId="13055"/>
    <cellStyle name="Note 3 2 2 5 2 3 3 2" xfId="27377"/>
    <cellStyle name="Note 3 2 2 5 2 3 4" xfId="18700"/>
    <cellStyle name="Note 3 2 2 5 2 4" xfId="5384"/>
    <cellStyle name="Note 3 2 2 5 2 4 2" xfId="11934"/>
    <cellStyle name="Note 3 2 2 5 2 4 2 2" xfId="26256"/>
    <cellStyle name="Note 3 2 2 5 2 4 3" xfId="17579"/>
    <cellStyle name="Note 3 2 2 5 2 5" xfId="4429"/>
    <cellStyle name="Note 3 2 2 5 2 5 2" xfId="22946"/>
    <cellStyle name="Note 3 2 2 5 2 6" xfId="17347"/>
    <cellStyle name="Note 3 2 2 5 3" xfId="2095"/>
    <cellStyle name="Note 3 2 2 5 3 2" xfId="2096"/>
    <cellStyle name="Note 3 2 2 5 3 2 2" xfId="5957"/>
    <cellStyle name="Note 3 2 2 5 3 2 2 2" xfId="12515"/>
    <cellStyle name="Note 3 2 2 5 3 2 2 2 2" xfId="26837"/>
    <cellStyle name="Note 3 2 2 5 3 2 2 3" xfId="18160"/>
    <cellStyle name="Note 3 2 2 5 3 2 3" xfId="4838"/>
    <cellStyle name="Note 3 2 2 5 3 2 3 2" xfId="9498"/>
    <cellStyle name="Note 3 2 2 5 3 2 3 2 2" xfId="15760"/>
    <cellStyle name="Note 3 2 2 5 3 2 3 2 2 2" xfId="29176"/>
    <cellStyle name="Note 3 2 2 5 3 2 3 2 3" xfId="20505"/>
    <cellStyle name="Note 3 2 2 5 3 2 3 3" xfId="11371"/>
    <cellStyle name="Note 3 2 2 5 3 2 3 3 2" xfId="25693"/>
    <cellStyle name="Note 3 2 2 5 3 2 3 4" xfId="15468"/>
    <cellStyle name="Note 3 2 2 5 3 2 4" xfId="4578"/>
    <cellStyle name="Note 3 2 2 5 3 2 4 2" xfId="23044"/>
    <cellStyle name="Note 3 2 2 5 3 2 5" xfId="15435"/>
    <cellStyle name="Note 3 2 2 5 3 3" xfId="2097"/>
    <cellStyle name="Note 3 2 2 5 3 3 2" xfId="7742"/>
    <cellStyle name="Note 3 2 2 5 3 3 2 2" xfId="10356"/>
    <cellStyle name="Note 3 2 2 5 3 3 2 2 2" xfId="16618"/>
    <cellStyle name="Note 3 2 2 5 3 3 2 2 2 2" xfId="30034"/>
    <cellStyle name="Note 3 2 2 5 3 3 2 2 3" xfId="21363"/>
    <cellStyle name="Note 3 2 2 5 3 3 2 3" xfId="14346"/>
    <cellStyle name="Note 3 2 2 5 3 3 2 3 2" xfId="28668"/>
    <cellStyle name="Note 3 2 2 5 3 3 2 4" xfId="19991"/>
    <cellStyle name="Note 3 2 2 5 3 3 3" xfId="13187"/>
    <cellStyle name="Note 3 2 2 5 3 3 3 2" xfId="27509"/>
    <cellStyle name="Note 3 2 2 5 3 3 4" xfId="18832"/>
    <cellStyle name="Note 3 2 2 5 3 4" xfId="5623"/>
    <cellStyle name="Note 3 2 2 5 3 4 2" xfId="12176"/>
    <cellStyle name="Note 3 2 2 5 3 4 2 2" xfId="26498"/>
    <cellStyle name="Note 3 2 2 5 3 4 3" xfId="17821"/>
    <cellStyle name="Note 3 2 2 5 3 5" xfId="6631"/>
    <cellStyle name="Note 3 2 2 5 3 5 2" xfId="23616"/>
    <cellStyle name="Note 3 2 2 5 3 6" xfId="6824"/>
    <cellStyle name="Note 3 2 2 5 4" xfId="2098"/>
    <cellStyle name="Note 3 2 2 5 4 2" xfId="6956"/>
    <cellStyle name="Note 3 2 2 5 4 2 2" xfId="13560"/>
    <cellStyle name="Note 3 2 2 5 4 2 2 2" xfId="27882"/>
    <cellStyle name="Note 3 2 2 5 4 2 3" xfId="19205"/>
    <cellStyle name="Note 3 2 2 5 4 3" xfId="7117"/>
    <cellStyle name="Note 3 2 2 5 4 3 2" xfId="9731"/>
    <cellStyle name="Note 3 2 2 5 4 3 2 2" xfId="15993"/>
    <cellStyle name="Note 3 2 2 5 4 3 2 2 2" xfId="29409"/>
    <cellStyle name="Note 3 2 2 5 4 3 2 3" xfId="20738"/>
    <cellStyle name="Note 3 2 2 5 4 3 3" xfId="13721"/>
    <cellStyle name="Note 3 2 2 5 4 3 3 2" xfId="28043"/>
    <cellStyle name="Note 3 2 2 5 4 3 4" xfId="19366"/>
    <cellStyle name="Note 3 2 2 5 4 4" xfId="11455"/>
    <cellStyle name="Note 3 2 2 5 4 4 2" xfId="25777"/>
    <cellStyle name="Note 3 2 2 5 4 5" xfId="6320"/>
    <cellStyle name="Note 3 2 2 5 5" xfId="2099"/>
    <cellStyle name="Note 3 2 2 5 5 2" xfId="4030"/>
    <cellStyle name="Note 3 2 2 5 5 2 2" xfId="9416"/>
    <cellStyle name="Note 3 2 2 5 5 2 2 2" xfId="15678"/>
    <cellStyle name="Note 3 2 2 5 5 2 2 2 2" xfId="29094"/>
    <cellStyle name="Note 3 2 2 5 5 2 2 3" xfId="20423"/>
    <cellStyle name="Note 3 2 2 5 5 2 3" xfId="6450"/>
    <cellStyle name="Note 3 2 2 5 5 2 3 2" xfId="23549"/>
    <cellStyle name="Note 3 2 2 5 5 2 4" xfId="6813"/>
    <cellStyle name="Note 3 2 2 5 5 3" xfId="11657"/>
    <cellStyle name="Note 3 2 2 5 5 3 2" xfId="25979"/>
    <cellStyle name="Note 3 2 2 5 5 4" xfId="4502"/>
    <cellStyle name="Note 3 2 2 5 6" xfId="5081"/>
    <cellStyle name="Note 3 2 2 5 6 2" xfId="11628"/>
    <cellStyle name="Note 3 2 2 5 6 2 2" xfId="25950"/>
    <cellStyle name="Note 3 2 2 5 6 3" xfId="15080"/>
    <cellStyle name="Note 3 2 2 5 7" xfId="6240"/>
    <cellStyle name="Note 3 2 2 5 7 2" xfId="23466"/>
    <cellStyle name="Note 3 2 2 5 8" xfId="17166"/>
    <cellStyle name="Note 3 2 2 6" xfId="2100"/>
    <cellStyle name="Note 3 2 2 6 2" xfId="2101"/>
    <cellStyle name="Note 3 2 2 6 2 2" xfId="2102"/>
    <cellStyle name="Note 3 2 2 6 2 2 2" xfId="6224"/>
    <cellStyle name="Note 3 2 2 6 2 2 2 2" xfId="12799"/>
    <cellStyle name="Note 3 2 2 6 2 2 2 2 2" xfId="27121"/>
    <cellStyle name="Note 3 2 2 6 2 2 2 3" xfId="18444"/>
    <cellStyle name="Note 3 2 2 6 2 2 3" xfId="3926"/>
    <cellStyle name="Note 3 2 2 6 2 2 3 2" xfId="9398"/>
    <cellStyle name="Note 3 2 2 6 2 2 3 2 2" xfId="15660"/>
    <cellStyle name="Note 3 2 2 6 2 2 3 2 2 2" xfId="29076"/>
    <cellStyle name="Note 3 2 2 6 2 2 3 2 3" xfId="20405"/>
    <cellStyle name="Note 3 2 2 6 2 2 3 3" xfId="3701"/>
    <cellStyle name="Note 3 2 2 6 2 2 3 3 2" xfId="22536"/>
    <cellStyle name="Note 3 2 2 6 2 2 3 4" xfId="15079"/>
    <cellStyle name="Note 3 2 2 6 2 2 4" xfId="6238"/>
    <cellStyle name="Note 3 2 2 6 2 2 4 2" xfId="23464"/>
    <cellStyle name="Note 3 2 2 6 2 2 5" xfId="3903"/>
    <cellStyle name="Note 3 2 2 6 2 3" xfId="2103"/>
    <cellStyle name="Note 3 2 2 6 2 3 2" xfId="7475"/>
    <cellStyle name="Note 3 2 2 6 2 3 2 2" xfId="10089"/>
    <cellStyle name="Note 3 2 2 6 2 3 2 2 2" xfId="16351"/>
    <cellStyle name="Note 3 2 2 6 2 3 2 2 2 2" xfId="29767"/>
    <cellStyle name="Note 3 2 2 6 2 3 2 2 3" xfId="21096"/>
    <cellStyle name="Note 3 2 2 6 2 3 2 3" xfId="14079"/>
    <cellStyle name="Note 3 2 2 6 2 3 2 3 2" xfId="28401"/>
    <cellStyle name="Note 3 2 2 6 2 3 2 4" xfId="19724"/>
    <cellStyle name="Note 3 2 2 6 2 3 3" xfId="13290"/>
    <cellStyle name="Note 3 2 2 6 2 3 3 2" xfId="27612"/>
    <cellStyle name="Note 3 2 2 6 2 3 4" xfId="18935"/>
    <cellStyle name="Note 3 2 2 6 2 4" xfId="5740"/>
    <cellStyle name="Note 3 2 2 6 2 4 2" xfId="12293"/>
    <cellStyle name="Note 3 2 2 6 2 4 2 2" xfId="26615"/>
    <cellStyle name="Note 3 2 2 6 2 4 3" xfId="17938"/>
    <cellStyle name="Note 3 2 2 6 2 5" xfId="3189"/>
    <cellStyle name="Note 3 2 2 6 2 5 2" xfId="22432"/>
    <cellStyle name="Note 3 2 2 6 2 6" xfId="6814"/>
    <cellStyle name="Note 3 2 2 6 3" xfId="2104"/>
    <cellStyle name="Note 3 2 2 6 3 2" xfId="2105"/>
    <cellStyle name="Note 3 2 2 6 3 2 2" xfId="6549"/>
    <cellStyle name="Note 3 2 2 6 3 2 2 2" xfId="13137"/>
    <cellStyle name="Note 3 2 2 6 3 2 2 2 2" xfId="27459"/>
    <cellStyle name="Note 3 2 2 6 3 2 2 3" xfId="18782"/>
    <cellStyle name="Note 3 2 2 6 3 2 3" xfId="3916"/>
    <cellStyle name="Note 3 2 2 6 3 2 3 2" xfId="9395"/>
    <cellStyle name="Note 3 2 2 6 3 2 3 2 2" xfId="15657"/>
    <cellStyle name="Note 3 2 2 6 3 2 3 2 2 2" xfId="29073"/>
    <cellStyle name="Note 3 2 2 6 3 2 3 2 3" xfId="20402"/>
    <cellStyle name="Note 3 2 2 6 3 2 3 3" xfId="4059"/>
    <cellStyle name="Note 3 2 2 6 3 2 3 3 2" xfId="22734"/>
    <cellStyle name="Note 3 2 2 6 3 2 3 4" xfId="3957"/>
    <cellStyle name="Note 3 2 2 6 3 2 4" xfId="3836"/>
    <cellStyle name="Note 3 2 2 6 3 2 4 2" xfId="22605"/>
    <cellStyle name="Note 3 2 2 6 3 2 5" xfId="4464"/>
    <cellStyle name="Note 3 2 2 6 3 3" xfId="2106"/>
    <cellStyle name="Note 3 2 2 6 3 3 2" xfId="3288"/>
    <cellStyle name="Note 3 2 2 6 3 3 2 2" xfId="9055"/>
    <cellStyle name="Note 3 2 2 6 3 3 2 2 2" xfId="15394"/>
    <cellStyle name="Note 3 2 2 6 3 3 2 2 2 2" xfId="29013"/>
    <cellStyle name="Note 3 2 2 6 3 3 2 2 3" xfId="20340"/>
    <cellStyle name="Note 3 2 2 6 3 3 2 3" xfId="6741"/>
    <cellStyle name="Note 3 2 2 6 3 3 2 3 2" xfId="23690"/>
    <cellStyle name="Note 3 2 2 6 3 3 2 4" xfId="17317"/>
    <cellStyle name="Note 3 2 2 6 3 3 3" xfId="13257"/>
    <cellStyle name="Note 3 2 2 6 3 3 3 2" xfId="27579"/>
    <cellStyle name="Note 3 2 2 6 3 3 4" xfId="18902"/>
    <cellStyle name="Note 3 2 2 6 3 4" xfId="5702"/>
    <cellStyle name="Note 3 2 2 6 3 4 2" xfId="12255"/>
    <cellStyle name="Note 3 2 2 6 3 4 2 2" xfId="26577"/>
    <cellStyle name="Note 3 2 2 6 3 4 3" xfId="17900"/>
    <cellStyle name="Note 3 2 2 6 3 5" xfId="6730"/>
    <cellStyle name="Note 3 2 2 6 3 5 2" xfId="23683"/>
    <cellStyle name="Note 3 2 2 6 3 6" xfId="15061"/>
    <cellStyle name="Note 3 2 2 6 4" xfId="2107"/>
    <cellStyle name="Note 3 2 2 6 4 2" xfId="6235"/>
    <cellStyle name="Note 3 2 2 6 4 2 2" xfId="12810"/>
    <cellStyle name="Note 3 2 2 6 4 2 2 2" xfId="27132"/>
    <cellStyle name="Note 3 2 2 6 4 2 3" xfId="18455"/>
    <cellStyle name="Note 3 2 2 6 4 3" xfId="7487"/>
    <cellStyle name="Note 3 2 2 6 4 3 2" xfId="10101"/>
    <cellStyle name="Note 3 2 2 6 4 3 2 2" xfId="16363"/>
    <cellStyle name="Note 3 2 2 6 4 3 2 2 2" xfId="29779"/>
    <cellStyle name="Note 3 2 2 6 4 3 2 3" xfId="21108"/>
    <cellStyle name="Note 3 2 2 6 4 3 3" xfId="14091"/>
    <cellStyle name="Note 3 2 2 6 4 3 3 2" xfId="28413"/>
    <cellStyle name="Note 3 2 2 6 4 3 4" xfId="19736"/>
    <cellStyle name="Note 3 2 2 6 4 4" xfId="4142"/>
    <cellStyle name="Note 3 2 2 6 4 4 2" xfId="22780"/>
    <cellStyle name="Note 3 2 2 6 4 5" xfId="14993"/>
    <cellStyle name="Note 3 2 2 6 5" xfId="2108"/>
    <cellStyle name="Note 3 2 2 6 5 2" xfId="7916"/>
    <cellStyle name="Note 3 2 2 6 5 2 2" xfId="10530"/>
    <cellStyle name="Note 3 2 2 6 5 2 2 2" xfId="16792"/>
    <cellStyle name="Note 3 2 2 6 5 2 2 2 2" xfId="30208"/>
    <cellStyle name="Note 3 2 2 6 5 2 2 3" xfId="21537"/>
    <cellStyle name="Note 3 2 2 6 5 2 3" xfId="14520"/>
    <cellStyle name="Note 3 2 2 6 5 2 3 2" xfId="28842"/>
    <cellStyle name="Note 3 2 2 6 5 2 4" xfId="20165"/>
    <cellStyle name="Note 3 2 2 6 5 3" xfId="12865"/>
    <cellStyle name="Note 3 2 2 6 5 3 2" xfId="27187"/>
    <cellStyle name="Note 3 2 2 6 5 4" xfId="18510"/>
    <cellStyle name="Note 3 2 2 6 6" xfId="5477"/>
    <cellStyle name="Note 3 2 2 6 6 2" xfId="12028"/>
    <cellStyle name="Note 3 2 2 6 6 2 2" xfId="26350"/>
    <cellStyle name="Note 3 2 2 6 6 3" xfId="17673"/>
    <cellStyle name="Note 3 2 2 6 7" xfId="3465"/>
    <cellStyle name="Note 3 2 2 6 7 2" xfId="22469"/>
    <cellStyle name="Note 3 2 2 6 8" xfId="14968"/>
    <cellStyle name="Note 3 2 2 7" xfId="2109"/>
    <cellStyle name="Note 3 2 2 7 2" xfId="2110"/>
    <cellStyle name="Note 3 2 2 7 2 2" xfId="2111"/>
    <cellStyle name="Note 3 2 2 7 2 2 2" xfId="6498"/>
    <cellStyle name="Note 3 2 2 7 2 2 2 2" xfId="13084"/>
    <cellStyle name="Note 3 2 2 7 2 2 2 2 2" xfId="27406"/>
    <cellStyle name="Note 3 2 2 7 2 2 2 3" xfId="18729"/>
    <cellStyle name="Note 3 2 2 7 2 2 3" xfId="7211"/>
    <cellStyle name="Note 3 2 2 7 2 2 3 2" xfId="9825"/>
    <cellStyle name="Note 3 2 2 7 2 2 3 2 2" xfId="16087"/>
    <cellStyle name="Note 3 2 2 7 2 2 3 2 2 2" xfId="29503"/>
    <cellStyle name="Note 3 2 2 7 2 2 3 2 3" xfId="20832"/>
    <cellStyle name="Note 3 2 2 7 2 2 3 3" xfId="13815"/>
    <cellStyle name="Note 3 2 2 7 2 2 3 3 2" xfId="28137"/>
    <cellStyle name="Note 3 2 2 7 2 2 3 4" xfId="19460"/>
    <cellStyle name="Note 3 2 2 7 2 2 4" xfId="6576"/>
    <cellStyle name="Note 3 2 2 7 2 2 4 2" xfId="23586"/>
    <cellStyle name="Note 3 2 2 7 2 2 5" xfId="14934"/>
    <cellStyle name="Note 3 2 2 7 2 3" xfId="2112"/>
    <cellStyle name="Note 3 2 2 7 2 3 2" xfId="7313"/>
    <cellStyle name="Note 3 2 2 7 2 3 2 2" xfId="9927"/>
    <cellStyle name="Note 3 2 2 7 2 3 2 2 2" xfId="16189"/>
    <cellStyle name="Note 3 2 2 7 2 3 2 2 2 2" xfId="29605"/>
    <cellStyle name="Note 3 2 2 7 2 3 2 2 3" xfId="20934"/>
    <cellStyle name="Note 3 2 2 7 2 3 2 3" xfId="13917"/>
    <cellStyle name="Note 3 2 2 7 2 3 2 3 2" xfId="28239"/>
    <cellStyle name="Note 3 2 2 7 2 3 2 4" xfId="19562"/>
    <cellStyle name="Note 3 2 2 7 2 3 3" xfId="12569"/>
    <cellStyle name="Note 3 2 2 7 2 3 3 2" xfId="26891"/>
    <cellStyle name="Note 3 2 2 7 2 3 4" xfId="18214"/>
    <cellStyle name="Note 3 2 2 7 2 4" xfId="5156"/>
    <cellStyle name="Note 3 2 2 7 2 4 2" xfId="11705"/>
    <cellStyle name="Note 3 2 2 7 2 4 2 2" xfId="26027"/>
    <cellStyle name="Note 3 2 2 7 2 4 3" xfId="3829"/>
    <cellStyle name="Note 3 2 2 7 2 5" xfId="6726"/>
    <cellStyle name="Note 3 2 2 7 2 5 2" xfId="23680"/>
    <cellStyle name="Note 3 2 2 7 2 6" xfId="6647"/>
    <cellStyle name="Note 3 2 2 7 3" xfId="2113"/>
    <cellStyle name="Note 3 2 2 7 3 2" xfId="5953"/>
    <cellStyle name="Note 3 2 2 7 3 2 2" xfId="12511"/>
    <cellStyle name="Note 3 2 2 7 3 2 2 2" xfId="26833"/>
    <cellStyle name="Note 3 2 2 7 3 2 3" xfId="18156"/>
    <cellStyle name="Note 3 2 2 7 3 3" xfId="7288"/>
    <cellStyle name="Note 3 2 2 7 3 3 2" xfId="9902"/>
    <cellStyle name="Note 3 2 2 7 3 3 2 2" xfId="16164"/>
    <cellStyle name="Note 3 2 2 7 3 3 2 2 2" xfId="29580"/>
    <cellStyle name="Note 3 2 2 7 3 3 2 3" xfId="20909"/>
    <cellStyle name="Note 3 2 2 7 3 3 3" xfId="13892"/>
    <cellStyle name="Note 3 2 2 7 3 3 3 2" xfId="28214"/>
    <cellStyle name="Note 3 2 2 7 3 3 4" xfId="19537"/>
    <cellStyle name="Note 3 2 2 7 3 4" xfId="4691"/>
    <cellStyle name="Note 3 2 2 7 3 4 2" xfId="23127"/>
    <cellStyle name="Note 3 2 2 7 3 5" xfId="14969"/>
    <cellStyle name="Note 3 2 2 7 4" xfId="2114"/>
    <cellStyle name="Note 3 2 2 7 4 2" xfId="5333"/>
    <cellStyle name="Note 3 2 2 7 4 2 2" xfId="9642"/>
    <cellStyle name="Note 3 2 2 7 4 2 2 2" xfId="15904"/>
    <cellStyle name="Note 3 2 2 7 4 2 2 2 2" xfId="29320"/>
    <cellStyle name="Note 3 2 2 7 4 2 2 3" xfId="20649"/>
    <cellStyle name="Note 3 2 2 7 4 2 3" xfId="11883"/>
    <cellStyle name="Note 3 2 2 7 4 2 3 2" xfId="26205"/>
    <cellStyle name="Note 3 2 2 7 4 2 4" xfId="17528"/>
    <cellStyle name="Note 3 2 2 7 4 3" xfId="12937"/>
    <cellStyle name="Note 3 2 2 7 4 3 2" xfId="27259"/>
    <cellStyle name="Note 3 2 2 7 4 4" xfId="18582"/>
    <cellStyle name="Note 3 2 2 7 5" xfId="5561"/>
    <cellStyle name="Note 3 2 2 7 5 2" xfId="12112"/>
    <cellStyle name="Note 3 2 2 7 5 2 2" xfId="26434"/>
    <cellStyle name="Note 3 2 2 7 5 3" xfId="17757"/>
    <cellStyle name="Note 3 2 2 7 6" xfId="3897"/>
    <cellStyle name="Note 3 2 2 7 6 2" xfId="22633"/>
    <cellStyle name="Note 3 2 2 7 7" xfId="17240"/>
    <cellStyle name="Note 3 2 2 8" xfId="2115"/>
    <cellStyle name="Note 3 2 2 8 2" xfId="2116"/>
    <cellStyle name="Note 3 2 2 8 2 2" xfId="6281"/>
    <cellStyle name="Note 3 2 2 8 2 2 2" xfId="12863"/>
    <cellStyle name="Note 3 2 2 8 2 2 2 2" xfId="27185"/>
    <cellStyle name="Note 3 2 2 8 2 2 3" xfId="18508"/>
    <cellStyle name="Note 3 2 2 8 2 3" xfId="3601"/>
    <cellStyle name="Note 3 2 2 8 2 3 2" xfId="9343"/>
    <cellStyle name="Note 3 2 2 8 2 3 2 2" xfId="15605"/>
    <cellStyle name="Note 3 2 2 8 2 3 2 2 2" xfId="29021"/>
    <cellStyle name="Note 3 2 2 8 2 3 2 3" xfId="20350"/>
    <cellStyle name="Note 3 2 2 8 2 3 3" xfId="6776"/>
    <cellStyle name="Note 3 2 2 8 2 3 3 2" xfId="23722"/>
    <cellStyle name="Note 3 2 2 8 2 3 4" xfId="15487"/>
    <cellStyle name="Note 3 2 2 8 2 4" xfId="5935"/>
    <cellStyle name="Note 3 2 2 8 2 4 2" xfId="23377"/>
    <cellStyle name="Note 3 2 2 8 2 5" xfId="3691"/>
    <cellStyle name="Note 3 2 2 8 3" xfId="2117"/>
    <cellStyle name="Note 3 2 2 8 3 2" xfId="7392"/>
    <cellStyle name="Note 3 2 2 8 3 2 2" xfId="10006"/>
    <cellStyle name="Note 3 2 2 8 3 2 2 2" xfId="16268"/>
    <cellStyle name="Note 3 2 2 8 3 2 2 2 2" xfId="29684"/>
    <cellStyle name="Note 3 2 2 8 3 2 2 3" xfId="21013"/>
    <cellStyle name="Note 3 2 2 8 3 2 3" xfId="13996"/>
    <cellStyle name="Note 3 2 2 8 3 2 3 2" xfId="28318"/>
    <cellStyle name="Note 3 2 2 8 3 2 4" xfId="19641"/>
    <cellStyle name="Note 3 2 2 8 3 3" xfId="3757"/>
    <cellStyle name="Note 3 2 2 8 3 3 2" xfId="22564"/>
    <cellStyle name="Note 3 2 2 8 3 4" xfId="14766"/>
    <cellStyle name="Note 3 2 2 8 4" xfId="5216"/>
    <cellStyle name="Note 3 2 2 8 4 2" xfId="11765"/>
    <cellStyle name="Note 3 2 2 8 4 2 2" xfId="26087"/>
    <cellStyle name="Note 3 2 2 8 4 3" xfId="17410"/>
    <cellStyle name="Note 3 2 2 8 5" xfId="6460"/>
    <cellStyle name="Note 3 2 2 8 5 2" xfId="23555"/>
    <cellStyle name="Note 3 2 2 8 6" xfId="14962"/>
    <cellStyle name="Note 3 2 2 9" xfId="2118"/>
    <cellStyle name="Note 3 2 2 9 2" xfId="5967"/>
    <cellStyle name="Note 3 2 2 9 2 2" xfId="12525"/>
    <cellStyle name="Note 3 2 2 9 2 2 2" xfId="26847"/>
    <cellStyle name="Note 3 2 2 9 2 3" xfId="18170"/>
    <cellStyle name="Note 3 2 2 9 3" xfId="7710"/>
    <cellStyle name="Note 3 2 2 9 3 2" xfId="10324"/>
    <cellStyle name="Note 3 2 2 9 3 2 2" xfId="16586"/>
    <cellStyle name="Note 3 2 2 9 3 2 2 2" xfId="30002"/>
    <cellStyle name="Note 3 2 2 9 3 2 3" xfId="21331"/>
    <cellStyle name="Note 3 2 2 9 3 3" xfId="14314"/>
    <cellStyle name="Note 3 2 2 9 3 3 2" xfId="28636"/>
    <cellStyle name="Note 3 2 2 9 3 4" xfId="19959"/>
    <cellStyle name="Note 3 2 2 9 4" xfId="4892"/>
    <cellStyle name="Note 3 2 2 9 4 2" xfId="23250"/>
    <cellStyle name="Note 3 2 2 9 5" xfId="15033"/>
    <cellStyle name="Note 3 2 3" xfId="2119"/>
    <cellStyle name="Note 3 2 3 2" xfId="6842"/>
    <cellStyle name="Note 3 2 3 2 2" xfId="13446"/>
    <cellStyle name="Note 3 2 3 2 2 2" xfId="27768"/>
    <cellStyle name="Note 3 2 3 2 3" xfId="19091"/>
    <cellStyle name="Note 3 2 3 3" xfId="5293"/>
    <cellStyle name="Note 3 2 3 3 2" xfId="9602"/>
    <cellStyle name="Note 3 2 3 3 2 2" xfId="15864"/>
    <cellStyle name="Note 3 2 3 3 2 2 2" xfId="29280"/>
    <cellStyle name="Note 3 2 3 3 2 3" xfId="20609"/>
    <cellStyle name="Note 3 2 3 3 3" xfId="11843"/>
    <cellStyle name="Note 3 2 3 3 3 2" xfId="26165"/>
    <cellStyle name="Note 3 2 3 3 4" xfId="17488"/>
    <cellStyle name="Note 3 2 3 4" xfId="8699"/>
    <cellStyle name="Note 3 2 3 4 2" xfId="24386"/>
    <cellStyle name="Note 3 2 3 5" xfId="3674"/>
    <cellStyle name="Note 3 2 4" xfId="4401"/>
    <cellStyle name="Note 3 2 4 2" xfId="6711"/>
    <cellStyle name="Note 3 2 4 2 2" xfId="23666"/>
    <cellStyle name="Note 3 2 4 3" xfId="15328"/>
    <cellStyle name="Note 3 2 5" xfId="4140"/>
    <cellStyle name="Note 3 2 5 2" xfId="22778"/>
    <cellStyle name="Note 3 2 6" xfId="15318"/>
    <cellStyle name="Note 3 2 7" xfId="21694"/>
    <cellStyle name="Note 3 2 8" xfId="20325"/>
    <cellStyle name="Note 3 3" xfId="2120"/>
    <cellStyle name="Note 3 3 10" xfId="2121"/>
    <cellStyle name="Note 3 3 10 2" xfId="7224"/>
    <cellStyle name="Note 3 3 10 2 2" xfId="9838"/>
    <cellStyle name="Note 3 3 10 2 2 2" xfId="16100"/>
    <cellStyle name="Note 3 3 10 2 2 2 2" xfId="29516"/>
    <cellStyle name="Note 3 3 10 2 2 3" xfId="20845"/>
    <cellStyle name="Note 3 3 10 2 3" xfId="13828"/>
    <cellStyle name="Note 3 3 10 2 3 2" xfId="28150"/>
    <cellStyle name="Note 3 3 10 2 4" xfId="19473"/>
    <cellStyle name="Note 3 3 10 3" xfId="11755"/>
    <cellStyle name="Note 3 3 10 3 2" xfId="26077"/>
    <cellStyle name="Note 3 3 10 4" xfId="17400"/>
    <cellStyle name="Note 3 3 11" xfId="4975"/>
    <cellStyle name="Note 3 3 11 2" xfId="11518"/>
    <cellStyle name="Note 3 3 11 2 2" xfId="25840"/>
    <cellStyle name="Note 3 3 11 3" xfId="16978"/>
    <cellStyle name="Note 3 3 12" xfId="4425"/>
    <cellStyle name="Note 3 3 12 2" xfId="22943"/>
    <cellStyle name="Note 3 3 13" xfId="15267"/>
    <cellStyle name="Note 3 3 2" xfId="2122"/>
    <cellStyle name="Note 3 3 2 10" xfId="5214"/>
    <cellStyle name="Note 3 3 2 10 2" xfId="11763"/>
    <cellStyle name="Note 3 3 2 10 2 2" xfId="26085"/>
    <cellStyle name="Note 3 3 2 10 3" xfId="17408"/>
    <cellStyle name="Note 3 3 2 11" xfId="4759"/>
    <cellStyle name="Note 3 3 2 11 2" xfId="23174"/>
    <cellStyle name="Note 3 3 2 12" xfId="3629"/>
    <cellStyle name="Note 3 3 2 2" xfId="2123"/>
    <cellStyle name="Note 3 3 2 2 10" xfId="3800"/>
    <cellStyle name="Note 3 3 2 2 10 2" xfId="22588"/>
    <cellStyle name="Note 3 3 2 2 11" xfId="15084"/>
    <cellStyle name="Note 3 3 2 2 2" xfId="2124"/>
    <cellStyle name="Note 3 3 2 2 2 2" xfId="2125"/>
    <cellStyle name="Note 3 3 2 2 2 2 2" xfId="2126"/>
    <cellStyle name="Note 3 3 2 2 2 2 2 2" xfId="6871"/>
    <cellStyle name="Note 3 3 2 2 2 2 2 2 2" xfId="13475"/>
    <cellStyle name="Note 3 3 2 2 2 2 2 2 2 2" xfId="27797"/>
    <cellStyle name="Note 3 3 2 2 2 2 2 2 3" xfId="19120"/>
    <cellStyle name="Note 3 3 2 2 2 2 2 3" xfId="7901"/>
    <cellStyle name="Note 3 3 2 2 2 2 2 3 2" xfId="10515"/>
    <cellStyle name="Note 3 3 2 2 2 2 2 3 2 2" xfId="16777"/>
    <cellStyle name="Note 3 3 2 2 2 2 2 3 2 2 2" xfId="30193"/>
    <cellStyle name="Note 3 3 2 2 2 2 2 3 2 3" xfId="21522"/>
    <cellStyle name="Note 3 3 2 2 2 2 2 3 3" xfId="14505"/>
    <cellStyle name="Note 3 3 2 2 2 2 2 3 3 2" xfId="28827"/>
    <cellStyle name="Note 3 3 2 2 2 2 2 3 4" xfId="20150"/>
    <cellStyle name="Note 3 3 2 2 2 2 2 4" xfId="11336"/>
    <cellStyle name="Note 3 3 2 2 2 2 2 4 2" xfId="25658"/>
    <cellStyle name="Note 3 3 2 2 2 2 2 5" xfId="17368"/>
    <cellStyle name="Note 3 3 2 2 2 2 3" xfId="2127"/>
    <cellStyle name="Note 3 3 2 2 2 2 3 2" xfId="5282"/>
    <cellStyle name="Note 3 3 2 2 2 2 3 2 2" xfId="9591"/>
    <cellStyle name="Note 3 3 2 2 2 2 3 2 2 2" xfId="15853"/>
    <cellStyle name="Note 3 3 2 2 2 2 3 2 2 2 2" xfId="29269"/>
    <cellStyle name="Note 3 3 2 2 2 2 3 2 2 3" xfId="20598"/>
    <cellStyle name="Note 3 3 2 2 2 2 3 2 3" xfId="11832"/>
    <cellStyle name="Note 3 3 2 2 2 2 3 2 3 2" xfId="26154"/>
    <cellStyle name="Note 3 3 2 2 2 2 3 2 4" xfId="17477"/>
    <cellStyle name="Note 3 3 2 2 2 2 3 3" xfId="13229"/>
    <cellStyle name="Note 3 3 2 2 2 2 3 3 2" xfId="27551"/>
    <cellStyle name="Note 3 3 2 2 2 2 3 4" xfId="18874"/>
    <cellStyle name="Note 3 3 2 2 2 2 4" xfId="5670"/>
    <cellStyle name="Note 3 3 2 2 2 2 4 2" xfId="12223"/>
    <cellStyle name="Note 3 3 2 2 2 2 4 2 2" xfId="26545"/>
    <cellStyle name="Note 3 3 2 2 2 2 4 3" xfId="17868"/>
    <cellStyle name="Note 3 3 2 2 2 2 5" xfId="3828"/>
    <cellStyle name="Note 3 3 2 2 2 2 5 2" xfId="22601"/>
    <cellStyle name="Note 3 3 2 2 2 2 6" xfId="14992"/>
    <cellStyle name="Note 3 3 2 2 2 3" xfId="2128"/>
    <cellStyle name="Note 3 3 2 2 2 3 2" xfId="2129"/>
    <cellStyle name="Note 3 3 2 2 2 3 2 2" xfId="6267"/>
    <cellStyle name="Note 3 3 2 2 2 3 2 2 2" xfId="12846"/>
    <cellStyle name="Note 3 3 2 2 2 3 2 2 2 2" xfId="27168"/>
    <cellStyle name="Note 3 3 2 2 2 3 2 2 3" xfId="18491"/>
    <cellStyle name="Note 3 3 2 2 2 3 2 3" xfId="8000"/>
    <cellStyle name="Note 3 3 2 2 2 3 2 3 2" xfId="10614"/>
    <cellStyle name="Note 3 3 2 2 2 3 2 3 2 2" xfId="16876"/>
    <cellStyle name="Note 3 3 2 2 2 3 2 3 2 2 2" xfId="30292"/>
    <cellStyle name="Note 3 3 2 2 2 3 2 3 2 3" xfId="21621"/>
    <cellStyle name="Note 3 3 2 2 2 3 2 3 3" xfId="14604"/>
    <cellStyle name="Note 3 3 2 2 2 3 2 3 3 2" xfId="28926"/>
    <cellStyle name="Note 3 3 2 2 2 3 2 3 4" xfId="20249"/>
    <cellStyle name="Note 3 3 2 2 2 3 2 4" xfId="4032"/>
    <cellStyle name="Note 3 3 2 2 2 3 2 4 2" xfId="22710"/>
    <cellStyle name="Note 3 3 2 2 2 3 2 5" xfId="14986"/>
    <cellStyle name="Note 3 3 2 2 2 3 3" xfId="2130"/>
    <cellStyle name="Note 3 3 2 2 2 3 3 2" xfId="7456"/>
    <cellStyle name="Note 3 3 2 2 2 3 3 2 2" xfId="10070"/>
    <cellStyle name="Note 3 3 2 2 2 3 3 2 2 2" xfId="16332"/>
    <cellStyle name="Note 3 3 2 2 2 3 3 2 2 2 2" xfId="29748"/>
    <cellStyle name="Note 3 3 2 2 2 3 3 2 2 3" xfId="21077"/>
    <cellStyle name="Note 3 3 2 2 2 3 3 2 3" xfId="14060"/>
    <cellStyle name="Note 3 3 2 2 2 3 3 2 3 2" xfId="28382"/>
    <cellStyle name="Note 3 3 2 2 2 3 3 2 4" xfId="19705"/>
    <cellStyle name="Note 3 3 2 2 2 3 3 3" xfId="13080"/>
    <cellStyle name="Note 3 3 2 2 2 3 3 3 2" xfId="27402"/>
    <cellStyle name="Note 3 3 2 2 2 3 3 4" xfId="18725"/>
    <cellStyle name="Note 3 3 2 2 2 3 4" xfId="5430"/>
    <cellStyle name="Note 3 3 2 2 2 3 4 2" xfId="11981"/>
    <cellStyle name="Note 3 3 2 2 2 3 4 2 2" xfId="26303"/>
    <cellStyle name="Note 3 3 2 2 2 3 4 3" xfId="17626"/>
    <cellStyle name="Note 3 3 2 2 2 3 5" xfId="5872"/>
    <cellStyle name="Note 3 3 2 2 2 3 5 2" xfId="23367"/>
    <cellStyle name="Note 3 3 2 2 2 3 6" xfId="17002"/>
    <cellStyle name="Note 3 3 2 2 2 4" xfId="2131"/>
    <cellStyle name="Note 3 3 2 2 2 4 2" xfId="5963"/>
    <cellStyle name="Note 3 3 2 2 2 4 2 2" xfId="12521"/>
    <cellStyle name="Note 3 3 2 2 2 4 2 2 2" xfId="26843"/>
    <cellStyle name="Note 3 3 2 2 2 4 2 3" xfId="18166"/>
    <cellStyle name="Note 3 3 2 2 2 4 3" xfId="7569"/>
    <cellStyle name="Note 3 3 2 2 2 4 3 2" xfId="10183"/>
    <cellStyle name="Note 3 3 2 2 2 4 3 2 2" xfId="16445"/>
    <cellStyle name="Note 3 3 2 2 2 4 3 2 2 2" xfId="29861"/>
    <cellStyle name="Note 3 3 2 2 2 4 3 2 3" xfId="21190"/>
    <cellStyle name="Note 3 3 2 2 2 4 3 3" xfId="14173"/>
    <cellStyle name="Note 3 3 2 2 2 4 3 3 2" xfId="28495"/>
    <cellStyle name="Note 3 3 2 2 2 4 3 4" xfId="19818"/>
    <cellStyle name="Note 3 3 2 2 2 4 4" xfId="4026"/>
    <cellStyle name="Note 3 3 2 2 2 4 4 2" xfId="22708"/>
    <cellStyle name="Note 3 3 2 2 2 4 5" xfId="14783"/>
    <cellStyle name="Note 3 3 2 2 2 5" xfId="2132"/>
    <cellStyle name="Note 3 3 2 2 2 5 2" xfId="8042"/>
    <cellStyle name="Note 3 3 2 2 2 5 2 2" xfId="10656"/>
    <cellStyle name="Note 3 3 2 2 2 5 2 2 2" xfId="16918"/>
    <cellStyle name="Note 3 3 2 2 2 5 2 2 2 2" xfId="30334"/>
    <cellStyle name="Note 3 3 2 2 2 5 2 2 3" xfId="21663"/>
    <cellStyle name="Note 3 3 2 2 2 5 2 3" xfId="14646"/>
    <cellStyle name="Note 3 3 2 2 2 5 2 3 2" xfId="28968"/>
    <cellStyle name="Note 3 3 2 2 2 5 2 4" xfId="20291"/>
    <cellStyle name="Note 3 3 2 2 2 5 3" xfId="12606"/>
    <cellStyle name="Note 3 3 2 2 2 5 3 2" xfId="26928"/>
    <cellStyle name="Note 3 3 2 2 2 5 4" xfId="18251"/>
    <cellStyle name="Note 3 3 2 2 2 6" xfId="5144"/>
    <cellStyle name="Note 3 3 2 2 2 6 2" xfId="11693"/>
    <cellStyle name="Note 3 3 2 2 2 6 2 2" xfId="26015"/>
    <cellStyle name="Note 3 3 2 2 2 6 3" xfId="4611"/>
    <cellStyle name="Note 3 3 2 2 2 7" xfId="4065"/>
    <cellStyle name="Note 3 3 2 2 2 7 2" xfId="22737"/>
    <cellStyle name="Note 3 3 2 2 2 8" xfId="4566"/>
    <cellStyle name="Note 3 3 2 2 3" xfId="2133"/>
    <cellStyle name="Note 3 3 2 2 3 2" xfId="2134"/>
    <cellStyle name="Note 3 3 2 2 3 2 2" xfId="2135"/>
    <cellStyle name="Note 3 3 2 2 3 2 2 2" xfId="5928"/>
    <cellStyle name="Note 3 3 2 2 3 2 2 2 2" xfId="12483"/>
    <cellStyle name="Note 3 3 2 2 3 2 2 2 2 2" xfId="26805"/>
    <cellStyle name="Note 3 3 2 2 3 2 2 2 3" xfId="18128"/>
    <cellStyle name="Note 3 3 2 2 3 2 2 3" xfId="7672"/>
    <cellStyle name="Note 3 3 2 2 3 2 2 3 2" xfId="10286"/>
    <cellStyle name="Note 3 3 2 2 3 2 2 3 2 2" xfId="16548"/>
    <cellStyle name="Note 3 3 2 2 3 2 2 3 2 2 2" xfId="29964"/>
    <cellStyle name="Note 3 3 2 2 3 2 2 3 2 3" xfId="21293"/>
    <cellStyle name="Note 3 3 2 2 3 2 2 3 3" xfId="14276"/>
    <cellStyle name="Note 3 3 2 2 3 2 2 3 3 2" xfId="28598"/>
    <cellStyle name="Note 3 3 2 2 3 2 2 3 4" xfId="19921"/>
    <cellStyle name="Note 3 3 2 2 3 2 2 4" xfId="3881"/>
    <cellStyle name="Note 3 3 2 2 3 2 2 4 2" xfId="22624"/>
    <cellStyle name="Note 3 3 2 2 3 2 2 5" xfId="17263"/>
    <cellStyle name="Note 3 3 2 2 3 2 3" xfId="2136"/>
    <cellStyle name="Note 3 3 2 2 3 2 3 2" xfId="5012"/>
    <cellStyle name="Note 3 3 2 2 3 2 3 2 2" xfId="9542"/>
    <cellStyle name="Note 3 3 2 2 3 2 3 2 2 2" xfId="15804"/>
    <cellStyle name="Note 3 3 2 2 3 2 3 2 2 2 2" xfId="29220"/>
    <cellStyle name="Note 3 3 2 2 3 2 3 2 2 3" xfId="20549"/>
    <cellStyle name="Note 3 3 2 2 3 2 3 2 3" xfId="11557"/>
    <cellStyle name="Note 3 3 2 2 3 2 3 2 3 2" xfId="25879"/>
    <cellStyle name="Note 3 3 2 2 3 2 3 2 4" xfId="5964"/>
    <cellStyle name="Note 3 3 2 2 3 2 3 3" xfId="13285"/>
    <cellStyle name="Note 3 3 2 2 3 2 3 3 2" xfId="27607"/>
    <cellStyle name="Note 3 3 2 2 3 2 3 4" xfId="18930"/>
    <cellStyle name="Note 3 3 2 2 3 2 4" xfId="5735"/>
    <cellStyle name="Note 3 3 2 2 3 2 4 2" xfId="12288"/>
    <cellStyle name="Note 3 3 2 2 3 2 4 2 2" xfId="26610"/>
    <cellStyle name="Note 3 3 2 2 3 2 4 3" xfId="17933"/>
    <cellStyle name="Note 3 3 2 2 3 2 5" xfId="4195"/>
    <cellStyle name="Note 3 3 2 2 3 2 5 2" xfId="22815"/>
    <cellStyle name="Note 3 3 2 2 3 2 6" xfId="16990"/>
    <cellStyle name="Note 3 3 2 2 3 3" xfId="2137"/>
    <cellStyle name="Note 3 3 2 2 3 3 2" xfId="2138"/>
    <cellStyle name="Note 3 3 2 2 3 3 2 2" xfId="6417"/>
    <cellStyle name="Note 3 3 2 2 3 3 2 2 2" xfId="13000"/>
    <cellStyle name="Note 3 3 2 2 3 3 2 2 2 2" xfId="27322"/>
    <cellStyle name="Note 3 3 2 2 3 3 2 2 3" xfId="18645"/>
    <cellStyle name="Note 3 3 2 2 3 3 2 3" xfId="7537"/>
    <cellStyle name="Note 3 3 2 2 3 3 2 3 2" xfId="10151"/>
    <cellStyle name="Note 3 3 2 2 3 3 2 3 2 2" xfId="16413"/>
    <cellStyle name="Note 3 3 2 2 3 3 2 3 2 2 2" xfId="29829"/>
    <cellStyle name="Note 3 3 2 2 3 3 2 3 2 3" xfId="21158"/>
    <cellStyle name="Note 3 3 2 2 3 3 2 3 3" xfId="14141"/>
    <cellStyle name="Note 3 3 2 2 3 3 2 3 3 2" xfId="28463"/>
    <cellStyle name="Note 3 3 2 2 3 3 2 3 4" xfId="19786"/>
    <cellStyle name="Note 3 3 2 2 3 3 2 4" xfId="3705"/>
    <cellStyle name="Note 3 3 2 2 3 3 2 4 2" xfId="22537"/>
    <cellStyle name="Note 3 3 2 2 3 3 2 5" xfId="14785"/>
    <cellStyle name="Note 3 3 2 2 3 3 3" xfId="2139"/>
    <cellStyle name="Note 3 3 2 2 3 3 3 2" xfId="7579"/>
    <cellStyle name="Note 3 3 2 2 3 3 3 2 2" xfId="10193"/>
    <cellStyle name="Note 3 3 2 2 3 3 3 2 2 2" xfId="16455"/>
    <cellStyle name="Note 3 3 2 2 3 3 3 2 2 2 2" xfId="29871"/>
    <cellStyle name="Note 3 3 2 2 3 3 3 2 2 3" xfId="21200"/>
    <cellStyle name="Note 3 3 2 2 3 3 3 2 3" xfId="14183"/>
    <cellStyle name="Note 3 3 2 2 3 3 3 2 3 2" xfId="28505"/>
    <cellStyle name="Note 3 3 2 2 3 3 3 2 4" xfId="19828"/>
    <cellStyle name="Note 3 3 2 2 3 3 3 3" xfId="13361"/>
    <cellStyle name="Note 3 3 2 2 3 3 3 3 2" xfId="27683"/>
    <cellStyle name="Note 3 3 2 2 3 3 3 4" xfId="19006"/>
    <cellStyle name="Note 3 3 2 2 3 3 4" xfId="5811"/>
    <cellStyle name="Note 3 3 2 2 3 3 4 2" xfId="12364"/>
    <cellStyle name="Note 3 3 2 2 3 3 4 2 2" xfId="26686"/>
    <cellStyle name="Note 3 3 2 2 3 3 4 3" xfId="18009"/>
    <cellStyle name="Note 3 3 2 2 3 3 5" xfId="4535"/>
    <cellStyle name="Note 3 3 2 2 3 3 5 2" xfId="23015"/>
    <cellStyle name="Note 3 3 2 2 3 3 6" xfId="17153"/>
    <cellStyle name="Note 3 3 2 2 3 4" xfId="2140"/>
    <cellStyle name="Note 3 3 2 2 3 4 2" xfId="6201"/>
    <cellStyle name="Note 3 3 2 2 3 4 2 2" xfId="12774"/>
    <cellStyle name="Note 3 3 2 2 3 4 2 2 2" xfId="27096"/>
    <cellStyle name="Note 3 3 2 2 3 4 2 3" xfId="18419"/>
    <cellStyle name="Note 3 3 2 2 3 4 3" xfId="7328"/>
    <cellStyle name="Note 3 3 2 2 3 4 3 2" xfId="9942"/>
    <cellStyle name="Note 3 3 2 2 3 4 3 2 2" xfId="16204"/>
    <cellStyle name="Note 3 3 2 2 3 4 3 2 2 2" xfId="29620"/>
    <cellStyle name="Note 3 3 2 2 3 4 3 2 3" xfId="20949"/>
    <cellStyle name="Note 3 3 2 2 3 4 3 3" xfId="13932"/>
    <cellStyle name="Note 3 3 2 2 3 4 3 3 2" xfId="28254"/>
    <cellStyle name="Note 3 3 2 2 3 4 3 4" xfId="19577"/>
    <cellStyle name="Note 3 3 2 2 3 4 4" xfId="6061"/>
    <cellStyle name="Note 3 3 2 2 3 4 4 2" xfId="23403"/>
    <cellStyle name="Note 3 3 2 2 3 4 5" xfId="4682"/>
    <cellStyle name="Note 3 3 2 2 3 5" xfId="2141"/>
    <cellStyle name="Note 3 3 2 2 3 5 2" xfId="7786"/>
    <cellStyle name="Note 3 3 2 2 3 5 2 2" xfId="10400"/>
    <cellStyle name="Note 3 3 2 2 3 5 2 2 2" xfId="16662"/>
    <cellStyle name="Note 3 3 2 2 3 5 2 2 2 2" xfId="30078"/>
    <cellStyle name="Note 3 3 2 2 3 5 2 2 3" xfId="21407"/>
    <cellStyle name="Note 3 3 2 2 3 5 2 3" xfId="14390"/>
    <cellStyle name="Note 3 3 2 2 3 5 2 3 2" xfId="28712"/>
    <cellStyle name="Note 3 3 2 2 3 5 2 4" xfId="20035"/>
    <cellStyle name="Note 3 3 2 2 3 5 3" xfId="12853"/>
    <cellStyle name="Note 3 3 2 2 3 5 3 2" xfId="27175"/>
    <cellStyle name="Note 3 3 2 2 3 5 4" xfId="18498"/>
    <cellStyle name="Note 3 3 2 2 3 6" xfId="5454"/>
    <cellStyle name="Note 3 3 2 2 3 6 2" xfId="12005"/>
    <cellStyle name="Note 3 3 2 2 3 6 2 2" xfId="26327"/>
    <cellStyle name="Note 3 3 2 2 3 6 3" xfId="17650"/>
    <cellStyle name="Note 3 3 2 2 3 7" xfId="3941"/>
    <cellStyle name="Note 3 3 2 2 3 7 2" xfId="22657"/>
    <cellStyle name="Note 3 3 2 2 3 8" xfId="15104"/>
    <cellStyle name="Note 3 3 2 2 4" xfId="2142"/>
    <cellStyle name="Note 3 3 2 2 4 2" xfId="2143"/>
    <cellStyle name="Note 3 3 2 2 4 2 2" xfId="2144"/>
    <cellStyle name="Note 3 3 2 2 4 2 2 2" xfId="6847"/>
    <cellStyle name="Note 3 3 2 2 4 2 2 2 2" xfId="13451"/>
    <cellStyle name="Note 3 3 2 2 4 2 2 2 2 2" xfId="27773"/>
    <cellStyle name="Note 3 3 2 2 4 2 2 2 3" xfId="19096"/>
    <cellStyle name="Note 3 3 2 2 4 2 2 3" xfId="7840"/>
    <cellStyle name="Note 3 3 2 2 4 2 2 3 2" xfId="10454"/>
    <cellStyle name="Note 3 3 2 2 4 2 2 3 2 2" xfId="16716"/>
    <cellStyle name="Note 3 3 2 2 4 2 2 3 2 2 2" xfId="30132"/>
    <cellStyle name="Note 3 3 2 2 4 2 2 3 2 3" xfId="21461"/>
    <cellStyle name="Note 3 3 2 2 4 2 2 3 3" xfId="14444"/>
    <cellStyle name="Note 3 3 2 2 4 2 2 3 3 2" xfId="28766"/>
    <cellStyle name="Note 3 3 2 2 4 2 2 3 4" xfId="20089"/>
    <cellStyle name="Note 3 3 2 2 4 2 2 4" xfId="2808"/>
    <cellStyle name="Note 3 3 2 2 4 2 2 4 2" xfId="22371"/>
    <cellStyle name="Note 3 3 2 2 4 2 2 5" xfId="14734"/>
    <cellStyle name="Note 3 3 2 2 4 2 3" xfId="2145"/>
    <cellStyle name="Note 3 3 2 2 4 2 3 2" xfId="7924"/>
    <cellStyle name="Note 3 3 2 2 4 2 3 2 2" xfId="10538"/>
    <cellStyle name="Note 3 3 2 2 4 2 3 2 2 2" xfId="16800"/>
    <cellStyle name="Note 3 3 2 2 4 2 3 2 2 2 2" xfId="30216"/>
    <cellStyle name="Note 3 3 2 2 4 2 3 2 2 3" xfId="21545"/>
    <cellStyle name="Note 3 3 2 2 4 2 3 2 3" xfId="14528"/>
    <cellStyle name="Note 3 3 2 2 4 2 3 2 3 2" xfId="28850"/>
    <cellStyle name="Note 3 3 2 2 4 2 3 2 4" xfId="20173"/>
    <cellStyle name="Note 3 3 2 2 4 2 3 3" xfId="13230"/>
    <cellStyle name="Note 3 3 2 2 4 2 3 3 2" xfId="27552"/>
    <cellStyle name="Note 3 3 2 2 4 2 3 4" xfId="18875"/>
    <cellStyle name="Note 3 3 2 2 4 2 4" xfId="5671"/>
    <cellStyle name="Note 3 3 2 2 4 2 4 2" xfId="12224"/>
    <cellStyle name="Note 3 3 2 2 4 2 4 2 2" xfId="26546"/>
    <cellStyle name="Note 3 3 2 2 4 2 4 3" xfId="17869"/>
    <cellStyle name="Note 3 3 2 2 4 2 5" xfId="6806"/>
    <cellStyle name="Note 3 3 2 2 4 2 5 2" xfId="23745"/>
    <cellStyle name="Note 3 3 2 2 4 2 6" xfId="4421"/>
    <cellStyle name="Note 3 3 2 2 4 3" xfId="2146"/>
    <cellStyle name="Note 3 3 2 2 4 3 2" xfId="2147"/>
    <cellStyle name="Note 3 3 2 2 4 3 2 2" xfId="6565"/>
    <cellStyle name="Note 3 3 2 2 4 3 2 2 2" xfId="13153"/>
    <cellStyle name="Note 3 3 2 2 4 3 2 2 2 2" xfId="27475"/>
    <cellStyle name="Note 3 3 2 2 4 3 2 2 3" xfId="18798"/>
    <cellStyle name="Note 3 3 2 2 4 3 2 3" xfId="4998"/>
    <cellStyle name="Note 3 3 2 2 4 3 2 3 2" xfId="9535"/>
    <cellStyle name="Note 3 3 2 2 4 3 2 3 2 2" xfId="15797"/>
    <cellStyle name="Note 3 3 2 2 4 3 2 3 2 2 2" xfId="29213"/>
    <cellStyle name="Note 3 3 2 2 4 3 2 3 2 3" xfId="20542"/>
    <cellStyle name="Note 3 3 2 2 4 3 2 3 3" xfId="11541"/>
    <cellStyle name="Note 3 3 2 2 4 3 2 3 3 2" xfId="25863"/>
    <cellStyle name="Note 3 3 2 2 4 3 2 3 4" xfId="15030"/>
    <cellStyle name="Note 3 3 2 2 4 3 2 4" xfId="4559"/>
    <cellStyle name="Note 3 3 2 2 4 3 2 4 2" xfId="23030"/>
    <cellStyle name="Note 3 3 2 2 4 3 2 5" xfId="3176"/>
    <cellStyle name="Note 3 3 2 2 4 3 3" xfId="2148"/>
    <cellStyle name="Note 3 3 2 2 4 3 3 2" xfId="7408"/>
    <cellStyle name="Note 3 3 2 2 4 3 3 2 2" xfId="10022"/>
    <cellStyle name="Note 3 3 2 2 4 3 3 2 2 2" xfId="16284"/>
    <cellStyle name="Note 3 3 2 2 4 3 3 2 2 2 2" xfId="29700"/>
    <cellStyle name="Note 3 3 2 2 4 3 3 2 2 3" xfId="21029"/>
    <cellStyle name="Note 3 3 2 2 4 3 3 2 3" xfId="14012"/>
    <cellStyle name="Note 3 3 2 2 4 3 3 2 3 2" xfId="28334"/>
    <cellStyle name="Note 3 3 2 2 4 3 3 2 4" xfId="19657"/>
    <cellStyle name="Note 3 3 2 2 4 3 3 3" xfId="12557"/>
    <cellStyle name="Note 3 3 2 2 4 3 3 3 2" xfId="26879"/>
    <cellStyle name="Note 3 3 2 2 4 3 3 4" xfId="18202"/>
    <cellStyle name="Note 3 3 2 2 4 3 4" xfId="5043"/>
    <cellStyle name="Note 3 3 2 2 4 3 4 2" xfId="11590"/>
    <cellStyle name="Note 3 3 2 2 4 3 4 2 2" xfId="25912"/>
    <cellStyle name="Note 3 3 2 2 4 3 4 3" xfId="14821"/>
    <cellStyle name="Note 3 3 2 2 4 3 5" xfId="4367"/>
    <cellStyle name="Note 3 3 2 2 4 3 5 2" xfId="22909"/>
    <cellStyle name="Note 3 3 2 2 4 3 6" xfId="15483"/>
    <cellStyle name="Note 3 3 2 2 4 4" xfId="2149"/>
    <cellStyle name="Note 3 3 2 2 4 4 2" xfId="6404"/>
    <cellStyle name="Note 3 3 2 2 4 4 2 2" xfId="12987"/>
    <cellStyle name="Note 3 3 2 2 4 4 2 2 2" xfId="27309"/>
    <cellStyle name="Note 3 3 2 2 4 4 2 3" xfId="18632"/>
    <cellStyle name="Note 3 3 2 2 4 4 3" xfId="7129"/>
    <cellStyle name="Note 3 3 2 2 4 4 3 2" xfId="9743"/>
    <cellStyle name="Note 3 3 2 2 4 4 3 2 2" xfId="16005"/>
    <cellStyle name="Note 3 3 2 2 4 4 3 2 2 2" xfId="29421"/>
    <cellStyle name="Note 3 3 2 2 4 4 3 2 3" xfId="20750"/>
    <cellStyle name="Note 3 3 2 2 4 4 3 3" xfId="13733"/>
    <cellStyle name="Note 3 3 2 2 4 4 3 3 2" xfId="28055"/>
    <cellStyle name="Note 3 3 2 2 4 4 3 4" xfId="19378"/>
    <cellStyle name="Note 3 3 2 2 4 4 4" xfId="4104"/>
    <cellStyle name="Note 3 3 2 2 4 4 4 2" xfId="22759"/>
    <cellStyle name="Note 3 3 2 2 4 4 5" xfId="4279"/>
    <cellStyle name="Note 3 3 2 2 4 5" xfId="2150"/>
    <cellStyle name="Note 3 3 2 2 4 5 2" xfId="7856"/>
    <cellStyle name="Note 3 3 2 2 4 5 2 2" xfId="10470"/>
    <cellStyle name="Note 3 3 2 2 4 5 2 2 2" xfId="16732"/>
    <cellStyle name="Note 3 3 2 2 4 5 2 2 2 2" xfId="30148"/>
    <cellStyle name="Note 3 3 2 2 4 5 2 2 3" xfId="21477"/>
    <cellStyle name="Note 3 3 2 2 4 5 2 3" xfId="14460"/>
    <cellStyle name="Note 3 3 2 2 4 5 2 3 2" xfId="28782"/>
    <cellStyle name="Note 3 3 2 2 4 5 2 4" xfId="20105"/>
    <cellStyle name="Note 3 3 2 2 4 5 3" xfId="12607"/>
    <cellStyle name="Note 3 3 2 2 4 5 3 2" xfId="26929"/>
    <cellStyle name="Note 3 3 2 2 4 5 4" xfId="18252"/>
    <cellStyle name="Note 3 3 2 2 4 6" xfId="5071"/>
    <cellStyle name="Note 3 3 2 2 4 6 2" xfId="11618"/>
    <cellStyle name="Note 3 3 2 2 4 6 2 2" xfId="25940"/>
    <cellStyle name="Note 3 3 2 2 4 6 3" xfId="4377"/>
    <cellStyle name="Note 3 3 2 2 4 7" xfId="4609"/>
    <cellStyle name="Note 3 3 2 2 4 7 2" xfId="23066"/>
    <cellStyle name="Note 3 3 2 2 4 8" xfId="4099"/>
    <cellStyle name="Note 3 3 2 2 5" xfId="2151"/>
    <cellStyle name="Note 3 3 2 2 5 2" xfId="2152"/>
    <cellStyle name="Note 3 3 2 2 5 2 2" xfId="2153"/>
    <cellStyle name="Note 3 3 2 2 5 2 2 2" xfId="5977"/>
    <cellStyle name="Note 3 3 2 2 5 2 2 2 2" xfId="12535"/>
    <cellStyle name="Note 3 3 2 2 5 2 2 2 2 2" xfId="26857"/>
    <cellStyle name="Note 3 3 2 2 5 2 2 2 3" xfId="18180"/>
    <cellStyle name="Note 3 3 2 2 5 2 2 3" xfId="3277"/>
    <cellStyle name="Note 3 3 2 2 5 2 2 3 2" xfId="9051"/>
    <cellStyle name="Note 3 3 2 2 5 2 2 3 2 2" xfId="15390"/>
    <cellStyle name="Note 3 3 2 2 5 2 2 3 2 2 2" xfId="29009"/>
    <cellStyle name="Note 3 3 2 2 5 2 2 3 2 3" xfId="20336"/>
    <cellStyle name="Note 3 3 2 2 5 2 2 3 3" xfId="3272"/>
    <cellStyle name="Note 3 3 2 2 5 2 2 3 3 2" xfId="22456"/>
    <cellStyle name="Note 3 3 2 2 5 2 2 3 4" xfId="16952"/>
    <cellStyle name="Note 3 3 2 2 5 2 2 4" xfId="3019"/>
    <cellStyle name="Note 3 3 2 2 5 2 2 4 2" xfId="22410"/>
    <cellStyle name="Note 3 3 2 2 5 2 2 5" xfId="15193"/>
    <cellStyle name="Note 3 3 2 2 5 2 3" xfId="2154"/>
    <cellStyle name="Note 3 3 2 2 5 2 3 2" xfId="7347"/>
    <cellStyle name="Note 3 3 2 2 5 2 3 2 2" xfId="9961"/>
    <cellStyle name="Note 3 3 2 2 5 2 3 2 2 2" xfId="16223"/>
    <cellStyle name="Note 3 3 2 2 5 2 3 2 2 2 2" xfId="29639"/>
    <cellStyle name="Note 3 3 2 2 5 2 3 2 2 3" xfId="20968"/>
    <cellStyle name="Note 3 3 2 2 5 2 3 2 3" xfId="13951"/>
    <cellStyle name="Note 3 3 2 2 5 2 3 2 3 2" xfId="28273"/>
    <cellStyle name="Note 3 3 2 2 5 2 3 2 4" xfId="19596"/>
    <cellStyle name="Note 3 3 2 2 5 2 3 3" xfId="13418"/>
    <cellStyle name="Note 3 3 2 2 5 2 3 3 2" xfId="27740"/>
    <cellStyle name="Note 3 3 2 2 5 2 3 4" xfId="19063"/>
    <cellStyle name="Note 3 3 2 2 5 2 4" xfId="5888"/>
    <cellStyle name="Note 3 3 2 2 5 2 4 2" xfId="12441"/>
    <cellStyle name="Note 3 3 2 2 5 2 4 2 2" xfId="26763"/>
    <cellStyle name="Note 3 3 2 2 5 2 4 3" xfId="18086"/>
    <cellStyle name="Note 3 3 2 2 5 2 5" xfId="4187"/>
    <cellStyle name="Note 3 3 2 2 5 2 5 2" xfId="22809"/>
    <cellStyle name="Note 3 3 2 2 5 2 6" xfId="14743"/>
    <cellStyle name="Note 3 3 2 2 5 3" xfId="2155"/>
    <cellStyle name="Note 3 3 2 2 5 3 2" xfId="6468"/>
    <cellStyle name="Note 3 3 2 2 5 3 2 2" xfId="13051"/>
    <cellStyle name="Note 3 3 2 2 5 3 2 2 2" xfId="27373"/>
    <cellStyle name="Note 3 3 2 2 5 3 2 3" xfId="18696"/>
    <cellStyle name="Note 3 3 2 2 5 3 3" xfId="7634"/>
    <cellStyle name="Note 3 3 2 2 5 3 3 2" xfId="10248"/>
    <cellStyle name="Note 3 3 2 2 5 3 3 2 2" xfId="16510"/>
    <cellStyle name="Note 3 3 2 2 5 3 3 2 2 2" xfId="29926"/>
    <cellStyle name="Note 3 3 2 2 5 3 3 2 3" xfId="21255"/>
    <cellStyle name="Note 3 3 2 2 5 3 3 3" xfId="14238"/>
    <cellStyle name="Note 3 3 2 2 5 3 3 3 2" xfId="28560"/>
    <cellStyle name="Note 3 3 2 2 5 3 3 4" xfId="19883"/>
    <cellStyle name="Note 3 3 2 2 5 3 4" xfId="4118"/>
    <cellStyle name="Note 3 3 2 2 5 3 4 2" xfId="22763"/>
    <cellStyle name="Note 3 3 2 2 5 3 5" xfId="6013"/>
    <cellStyle name="Note 3 3 2 2 5 4" xfId="2156"/>
    <cellStyle name="Note 3 3 2 2 5 4 2" xfId="7780"/>
    <cellStyle name="Note 3 3 2 2 5 4 2 2" xfId="10394"/>
    <cellStyle name="Note 3 3 2 2 5 4 2 2 2" xfId="16656"/>
    <cellStyle name="Note 3 3 2 2 5 4 2 2 2 2" xfId="30072"/>
    <cellStyle name="Note 3 3 2 2 5 4 2 2 3" xfId="21401"/>
    <cellStyle name="Note 3 3 2 2 5 4 2 3" xfId="14384"/>
    <cellStyle name="Note 3 3 2 2 5 4 2 3 2" xfId="28706"/>
    <cellStyle name="Note 3 3 2 2 5 4 2 4" xfId="20029"/>
    <cellStyle name="Note 3 3 2 2 5 4 3" xfId="12736"/>
    <cellStyle name="Note 3 3 2 2 5 4 3 2" xfId="27058"/>
    <cellStyle name="Note 3 3 2 2 5 4 4" xfId="18381"/>
    <cellStyle name="Note 3 3 2 2 5 5" xfId="5138"/>
    <cellStyle name="Note 3 3 2 2 5 5 2" xfId="11687"/>
    <cellStyle name="Note 3 3 2 2 5 5 2 2" xfId="26009"/>
    <cellStyle name="Note 3 3 2 2 5 5 3" xfId="14676"/>
    <cellStyle name="Note 3 3 2 2 5 6" xfId="4826"/>
    <cellStyle name="Note 3 3 2 2 5 6 2" xfId="23207"/>
    <cellStyle name="Note 3 3 2 2 5 7" xfId="6666"/>
    <cellStyle name="Note 3 3 2 2 6" xfId="2157"/>
    <cellStyle name="Note 3 3 2 2 6 2" xfId="2158"/>
    <cellStyle name="Note 3 3 2 2 6 2 2" xfId="6113"/>
    <cellStyle name="Note 3 3 2 2 6 2 2 2" xfId="12681"/>
    <cellStyle name="Note 3 3 2 2 6 2 2 2 2" xfId="27003"/>
    <cellStyle name="Note 3 3 2 2 6 2 2 3" xfId="18326"/>
    <cellStyle name="Note 3 3 2 2 6 2 3" xfId="7659"/>
    <cellStyle name="Note 3 3 2 2 6 2 3 2" xfId="10273"/>
    <cellStyle name="Note 3 3 2 2 6 2 3 2 2" xfId="16535"/>
    <cellStyle name="Note 3 3 2 2 6 2 3 2 2 2" xfId="29951"/>
    <cellStyle name="Note 3 3 2 2 6 2 3 2 3" xfId="21280"/>
    <cellStyle name="Note 3 3 2 2 6 2 3 3" xfId="14263"/>
    <cellStyle name="Note 3 3 2 2 6 2 3 3 2" xfId="28585"/>
    <cellStyle name="Note 3 3 2 2 6 2 3 4" xfId="19908"/>
    <cellStyle name="Note 3 3 2 2 6 2 4" xfId="3669"/>
    <cellStyle name="Note 3 3 2 2 6 2 4 2" xfId="22515"/>
    <cellStyle name="Note 3 3 2 2 6 2 5" xfId="14733"/>
    <cellStyle name="Note 3 3 2 2 6 3" xfId="2159"/>
    <cellStyle name="Note 3 3 2 2 6 3 2" xfId="7103"/>
    <cellStyle name="Note 3 3 2 2 6 3 2 2" xfId="9717"/>
    <cellStyle name="Note 3 3 2 2 6 3 2 2 2" xfId="15979"/>
    <cellStyle name="Note 3 3 2 2 6 3 2 2 2 2" xfId="29395"/>
    <cellStyle name="Note 3 3 2 2 6 3 2 2 3" xfId="20724"/>
    <cellStyle name="Note 3 3 2 2 6 3 2 3" xfId="13707"/>
    <cellStyle name="Note 3 3 2 2 6 3 2 3 2" xfId="28029"/>
    <cellStyle name="Note 3 3 2 2 6 3 2 4" xfId="19352"/>
    <cellStyle name="Note 3 3 2 2 6 3 3" xfId="13039"/>
    <cellStyle name="Note 3 3 2 2 6 3 3 2" xfId="27361"/>
    <cellStyle name="Note 3 3 2 2 6 3 4" xfId="18684"/>
    <cellStyle name="Note 3 3 2 2 6 4" xfId="5356"/>
    <cellStyle name="Note 3 3 2 2 6 4 2" xfId="11906"/>
    <cellStyle name="Note 3 3 2 2 6 4 2 2" xfId="26228"/>
    <cellStyle name="Note 3 3 2 2 6 4 3" xfId="17551"/>
    <cellStyle name="Note 3 3 2 2 6 5" xfId="4622"/>
    <cellStyle name="Note 3 3 2 2 6 5 2" xfId="23071"/>
    <cellStyle name="Note 3 3 2 2 6 6" xfId="4420"/>
    <cellStyle name="Note 3 3 2 2 7" xfId="2160"/>
    <cellStyle name="Note 3 3 2 2 7 2" xfId="6120"/>
    <cellStyle name="Note 3 3 2 2 7 2 2" xfId="12689"/>
    <cellStyle name="Note 3 3 2 2 7 2 2 2" xfId="27011"/>
    <cellStyle name="Note 3 3 2 2 7 2 3" xfId="18334"/>
    <cellStyle name="Note 3 3 2 2 7 3" xfId="7821"/>
    <cellStyle name="Note 3 3 2 2 7 3 2" xfId="10435"/>
    <cellStyle name="Note 3 3 2 2 7 3 2 2" xfId="16697"/>
    <cellStyle name="Note 3 3 2 2 7 3 2 2 2" xfId="30113"/>
    <cellStyle name="Note 3 3 2 2 7 3 2 3" xfId="21442"/>
    <cellStyle name="Note 3 3 2 2 7 3 3" xfId="14425"/>
    <cellStyle name="Note 3 3 2 2 7 3 3 2" xfId="28747"/>
    <cellStyle name="Note 3 3 2 2 7 3 4" xfId="20070"/>
    <cellStyle name="Note 3 3 2 2 7 4" xfId="6761"/>
    <cellStyle name="Note 3 3 2 2 7 4 2" xfId="23709"/>
    <cellStyle name="Note 3 3 2 2 7 5" xfId="17324"/>
    <cellStyle name="Note 3 3 2 2 8" xfId="2161"/>
    <cellStyle name="Note 3 3 2 2 8 2" xfId="7910"/>
    <cellStyle name="Note 3 3 2 2 8 2 2" xfId="10524"/>
    <cellStyle name="Note 3 3 2 2 8 2 2 2" xfId="16786"/>
    <cellStyle name="Note 3 3 2 2 8 2 2 2 2" xfId="30202"/>
    <cellStyle name="Note 3 3 2 2 8 2 2 3" xfId="21531"/>
    <cellStyle name="Note 3 3 2 2 8 2 3" xfId="14514"/>
    <cellStyle name="Note 3 3 2 2 8 2 3 2" xfId="28836"/>
    <cellStyle name="Note 3 3 2 2 8 2 4" xfId="20159"/>
    <cellStyle name="Note 3 3 2 2 8 3" xfId="11637"/>
    <cellStyle name="Note 3 3 2 2 8 3 2" xfId="25959"/>
    <cellStyle name="Note 3 3 2 2 8 4" xfId="6154"/>
    <cellStyle name="Note 3 3 2 2 9" xfId="4350"/>
    <cellStyle name="Note 3 3 2 2 9 2" xfId="4143"/>
    <cellStyle name="Note 3 3 2 2 9 2 2" xfId="22781"/>
    <cellStyle name="Note 3 3 2 2 9 3" xfId="17290"/>
    <cellStyle name="Note 3 3 2 3" xfId="2162"/>
    <cellStyle name="Note 3 3 2 3 2" xfId="2163"/>
    <cellStyle name="Note 3 3 2 3 2 2" xfId="2164"/>
    <cellStyle name="Note 3 3 2 3 2 2 2" xfId="6418"/>
    <cellStyle name="Note 3 3 2 3 2 2 2 2" xfId="13001"/>
    <cellStyle name="Note 3 3 2 3 2 2 2 2 2" xfId="27323"/>
    <cellStyle name="Note 3 3 2 3 2 2 2 3" xfId="18646"/>
    <cellStyle name="Note 3 3 2 3 2 2 3" xfId="7566"/>
    <cellStyle name="Note 3 3 2 3 2 2 3 2" xfId="10180"/>
    <cellStyle name="Note 3 3 2 3 2 2 3 2 2" xfId="16442"/>
    <cellStyle name="Note 3 3 2 3 2 2 3 2 2 2" xfId="29858"/>
    <cellStyle name="Note 3 3 2 3 2 2 3 2 3" xfId="21187"/>
    <cellStyle name="Note 3 3 2 3 2 2 3 3" xfId="14170"/>
    <cellStyle name="Note 3 3 2 3 2 2 3 3 2" xfId="28492"/>
    <cellStyle name="Note 3 3 2 3 2 2 3 4" xfId="19815"/>
    <cellStyle name="Note 3 3 2 3 2 2 4" xfId="5520"/>
    <cellStyle name="Note 3 3 2 3 2 2 4 2" xfId="23348"/>
    <cellStyle name="Note 3 3 2 3 2 2 5" xfId="15458"/>
    <cellStyle name="Note 3 3 2 3 2 3" xfId="2165"/>
    <cellStyle name="Note 3 3 2 3 2 3 2" xfId="8034"/>
    <cellStyle name="Note 3 3 2 3 2 3 2 2" xfId="10648"/>
    <cellStyle name="Note 3 3 2 3 2 3 2 2 2" xfId="16910"/>
    <cellStyle name="Note 3 3 2 3 2 3 2 2 2 2" xfId="30326"/>
    <cellStyle name="Note 3 3 2 3 2 3 2 2 3" xfId="21655"/>
    <cellStyle name="Note 3 3 2 3 2 3 2 3" xfId="14638"/>
    <cellStyle name="Note 3 3 2 3 2 3 2 3 2" xfId="28960"/>
    <cellStyle name="Note 3 3 2 3 2 3 2 4" xfId="20283"/>
    <cellStyle name="Note 3 3 2 3 2 3 3" xfId="13272"/>
    <cellStyle name="Note 3 3 2 3 2 3 3 2" xfId="27594"/>
    <cellStyle name="Note 3 3 2 3 2 3 4" xfId="18917"/>
    <cellStyle name="Note 3 3 2 3 2 4" xfId="5718"/>
    <cellStyle name="Note 3 3 2 3 2 4 2" xfId="12271"/>
    <cellStyle name="Note 3 3 2 3 2 4 2 2" xfId="26593"/>
    <cellStyle name="Note 3 3 2 3 2 4 3" xfId="17916"/>
    <cellStyle name="Note 3 3 2 3 2 5" xfId="4904"/>
    <cellStyle name="Note 3 3 2 3 2 5 2" xfId="23257"/>
    <cellStyle name="Note 3 3 2 3 2 6" xfId="17253"/>
    <cellStyle name="Note 3 3 2 3 3" xfId="2166"/>
    <cellStyle name="Note 3 3 2 3 3 2" xfId="2167"/>
    <cellStyle name="Note 3 3 2 3 3 2 2" xfId="3921"/>
    <cellStyle name="Note 3 3 2 3 3 2 2 2" xfId="4356"/>
    <cellStyle name="Note 3 3 2 3 3 2 2 2 2" xfId="22902"/>
    <cellStyle name="Note 3 3 2 3 3 2 2 3" xfId="15288"/>
    <cellStyle name="Note 3 3 2 3 3 2 3" xfId="7887"/>
    <cellStyle name="Note 3 3 2 3 3 2 3 2" xfId="10501"/>
    <cellStyle name="Note 3 3 2 3 3 2 3 2 2" xfId="16763"/>
    <cellStyle name="Note 3 3 2 3 3 2 3 2 2 2" xfId="30179"/>
    <cellStyle name="Note 3 3 2 3 3 2 3 2 3" xfId="21508"/>
    <cellStyle name="Note 3 3 2 3 3 2 3 3" xfId="14491"/>
    <cellStyle name="Note 3 3 2 3 3 2 3 3 2" xfId="28813"/>
    <cellStyle name="Note 3 3 2 3 3 2 3 4" xfId="20136"/>
    <cellStyle name="Note 3 3 2 3 3 2 4" xfId="6295"/>
    <cellStyle name="Note 3 3 2 3 3 2 4 2" xfId="23494"/>
    <cellStyle name="Note 3 3 2 3 3 2 5" xfId="15398"/>
    <cellStyle name="Note 3 3 2 3 3 3" xfId="2168"/>
    <cellStyle name="Note 3 3 2 3 3 3 2" xfId="7736"/>
    <cellStyle name="Note 3 3 2 3 3 3 2 2" xfId="10350"/>
    <cellStyle name="Note 3 3 2 3 3 3 2 2 2" xfId="16612"/>
    <cellStyle name="Note 3 3 2 3 3 3 2 2 2 2" xfId="30028"/>
    <cellStyle name="Note 3 3 2 3 3 3 2 2 3" xfId="21357"/>
    <cellStyle name="Note 3 3 2 3 3 3 2 3" xfId="14340"/>
    <cellStyle name="Note 3 3 2 3 3 3 2 3 2" xfId="28662"/>
    <cellStyle name="Note 3 3 2 3 3 3 2 4" xfId="19985"/>
    <cellStyle name="Note 3 3 2 3 3 3 3" xfId="12156"/>
    <cellStyle name="Note 3 3 2 3 3 3 3 2" xfId="26478"/>
    <cellStyle name="Note 3 3 2 3 3 3 4" xfId="17801"/>
    <cellStyle name="Note 3 3 2 3 3 4" xfId="5126"/>
    <cellStyle name="Note 3 3 2 3 3 4 2" xfId="11675"/>
    <cellStyle name="Note 3 3 2 3 3 4 2 2" xfId="25997"/>
    <cellStyle name="Note 3 3 2 3 3 4 3" xfId="17314"/>
    <cellStyle name="Note 3 3 2 3 3 5" xfId="5945"/>
    <cellStyle name="Note 3 3 2 3 3 5 2" xfId="23379"/>
    <cellStyle name="Note 3 3 2 3 3 6" xfId="4733"/>
    <cellStyle name="Note 3 3 2 3 4" xfId="2169"/>
    <cellStyle name="Note 3 3 2 3 4 2" xfId="6836"/>
    <cellStyle name="Note 3 3 2 3 4 2 2" xfId="13440"/>
    <cellStyle name="Note 3 3 2 3 4 2 2 2" xfId="27762"/>
    <cellStyle name="Note 3 3 2 3 4 2 3" xfId="19085"/>
    <cellStyle name="Note 3 3 2 3 4 3" xfId="7387"/>
    <cellStyle name="Note 3 3 2 3 4 3 2" xfId="10001"/>
    <cellStyle name="Note 3 3 2 3 4 3 2 2" xfId="16263"/>
    <cellStyle name="Note 3 3 2 3 4 3 2 2 2" xfId="29679"/>
    <cellStyle name="Note 3 3 2 3 4 3 2 3" xfId="21008"/>
    <cellStyle name="Note 3 3 2 3 4 3 3" xfId="13991"/>
    <cellStyle name="Note 3 3 2 3 4 3 3 2" xfId="28313"/>
    <cellStyle name="Note 3 3 2 3 4 3 4" xfId="19636"/>
    <cellStyle name="Note 3 3 2 3 4 4" xfId="2773"/>
    <cellStyle name="Note 3 3 2 3 4 4 2" xfId="22342"/>
    <cellStyle name="Note 3 3 2 3 4 5" xfId="14988"/>
    <cellStyle name="Note 3 3 2 3 5" xfId="2170"/>
    <cellStyle name="Note 3 3 2 3 5 2" xfId="7759"/>
    <cellStyle name="Note 3 3 2 3 5 2 2" xfId="10373"/>
    <cellStyle name="Note 3 3 2 3 5 2 2 2" xfId="16635"/>
    <cellStyle name="Note 3 3 2 3 5 2 2 2 2" xfId="30051"/>
    <cellStyle name="Note 3 3 2 3 5 2 2 3" xfId="21380"/>
    <cellStyle name="Note 3 3 2 3 5 2 3" xfId="14363"/>
    <cellStyle name="Note 3 3 2 3 5 2 3 2" xfId="28685"/>
    <cellStyle name="Note 3 3 2 3 5 2 4" xfId="20008"/>
    <cellStyle name="Note 3 3 2 3 5 3" xfId="12831"/>
    <cellStyle name="Note 3 3 2 3 5 3 2" xfId="27153"/>
    <cellStyle name="Note 3 3 2 3 5 4" xfId="18476"/>
    <cellStyle name="Note 3 3 2 3 6" xfId="5396"/>
    <cellStyle name="Note 3 3 2 3 6 2" xfId="11946"/>
    <cellStyle name="Note 3 3 2 3 6 2 2" xfId="26268"/>
    <cellStyle name="Note 3 3 2 3 6 3" xfId="17591"/>
    <cellStyle name="Note 3 3 2 3 7" xfId="2864"/>
    <cellStyle name="Note 3 3 2 3 7 2" xfId="22406"/>
    <cellStyle name="Note 3 3 2 3 8" xfId="15062"/>
    <cellStyle name="Note 3 3 2 4" xfId="2171"/>
    <cellStyle name="Note 3 3 2 4 2" xfId="2172"/>
    <cellStyle name="Note 3 3 2 4 2 2" xfId="2173"/>
    <cellStyle name="Note 3 3 2 4 2 2 2" xfId="6997"/>
    <cellStyle name="Note 3 3 2 4 2 2 2 2" xfId="13601"/>
    <cellStyle name="Note 3 3 2 4 2 2 2 2 2" xfId="27923"/>
    <cellStyle name="Note 3 3 2 4 2 2 2 3" xfId="19246"/>
    <cellStyle name="Note 3 3 2 4 2 2 3" xfId="7668"/>
    <cellStyle name="Note 3 3 2 4 2 2 3 2" xfId="10282"/>
    <cellStyle name="Note 3 3 2 4 2 2 3 2 2" xfId="16544"/>
    <cellStyle name="Note 3 3 2 4 2 2 3 2 2 2" xfId="29960"/>
    <cellStyle name="Note 3 3 2 4 2 2 3 2 3" xfId="21289"/>
    <cellStyle name="Note 3 3 2 4 2 2 3 3" xfId="14272"/>
    <cellStyle name="Note 3 3 2 4 2 2 3 3 2" xfId="28594"/>
    <cellStyle name="Note 3 3 2 4 2 2 3 4" xfId="19917"/>
    <cellStyle name="Note 3 3 2 4 2 2 4" xfId="11512"/>
    <cellStyle name="Note 3 3 2 4 2 2 4 2" xfId="25834"/>
    <cellStyle name="Note 3 3 2 4 2 2 5" xfId="17360"/>
    <cellStyle name="Note 3 3 2 4 2 3" xfId="2174"/>
    <cellStyle name="Note 3 3 2 4 2 3 2" xfId="7530"/>
    <cellStyle name="Note 3 3 2 4 2 3 2 2" xfId="10144"/>
    <cellStyle name="Note 3 3 2 4 2 3 2 2 2" xfId="16406"/>
    <cellStyle name="Note 3 3 2 4 2 3 2 2 2 2" xfId="29822"/>
    <cellStyle name="Note 3 3 2 4 2 3 2 2 3" xfId="21151"/>
    <cellStyle name="Note 3 3 2 4 2 3 2 3" xfId="14134"/>
    <cellStyle name="Note 3 3 2 4 2 3 2 3 2" xfId="28456"/>
    <cellStyle name="Note 3 3 2 4 2 3 2 4" xfId="19779"/>
    <cellStyle name="Note 3 3 2 4 2 3 3" xfId="13247"/>
    <cellStyle name="Note 3 3 2 4 2 3 3 2" xfId="27569"/>
    <cellStyle name="Note 3 3 2 4 2 3 4" xfId="18892"/>
    <cellStyle name="Note 3 3 2 4 2 4" xfId="5689"/>
    <cellStyle name="Note 3 3 2 4 2 4 2" xfId="12242"/>
    <cellStyle name="Note 3 3 2 4 2 4 2 2" xfId="26564"/>
    <cellStyle name="Note 3 3 2 4 2 4 3" xfId="17887"/>
    <cellStyle name="Note 3 3 2 4 2 5" xfId="4413"/>
    <cellStyle name="Note 3 3 2 4 2 5 2" xfId="22936"/>
    <cellStyle name="Note 3 3 2 4 2 6" xfId="4817"/>
    <cellStyle name="Note 3 3 2 4 3" xfId="2175"/>
    <cellStyle name="Note 3 3 2 4 3 2" xfId="2176"/>
    <cellStyle name="Note 3 3 2 4 3 2 2" xfId="5706"/>
    <cellStyle name="Note 3 3 2 4 3 2 2 2" xfId="12259"/>
    <cellStyle name="Note 3 3 2 4 3 2 2 2 2" xfId="26581"/>
    <cellStyle name="Note 3 3 2 4 3 2 2 3" xfId="17904"/>
    <cellStyle name="Note 3 3 2 4 3 2 3" xfId="7597"/>
    <cellStyle name="Note 3 3 2 4 3 2 3 2" xfId="10211"/>
    <cellStyle name="Note 3 3 2 4 3 2 3 2 2" xfId="16473"/>
    <cellStyle name="Note 3 3 2 4 3 2 3 2 2 2" xfId="29889"/>
    <cellStyle name="Note 3 3 2 4 3 2 3 2 3" xfId="21218"/>
    <cellStyle name="Note 3 3 2 4 3 2 3 3" xfId="14201"/>
    <cellStyle name="Note 3 3 2 4 3 2 3 3 2" xfId="28523"/>
    <cellStyle name="Note 3 3 2 4 3 2 3 4" xfId="19846"/>
    <cellStyle name="Note 3 3 2 4 3 2 4" xfId="6572"/>
    <cellStyle name="Note 3 3 2 4 3 2 4 2" xfId="23582"/>
    <cellStyle name="Note 3 3 2 4 3 2 5" xfId="6638"/>
    <cellStyle name="Note 3 3 2 4 3 3" xfId="2177"/>
    <cellStyle name="Note 3 3 2 4 3 3 2" xfId="7216"/>
    <cellStyle name="Note 3 3 2 4 3 3 2 2" xfId="9830"/>
    <cellStyle name="Note 3 3 2 4 3 3 2 2 2" xfId="16092"/>
    <cellStyle name="Note 3 3 2 4 3 3 2 2 2 2" xfId="29508"/>
    <cellStyle name="Note 3 3 2 4 3 3 2 2 3" xfId="20837"/>
    <cellStyle name="Note 3 3 2 4 3 3 2 3" xfId="13820"/>
    <cellStyle name="Note 3 3 2 4 3 3 2 3 2" xfId="28142"/>
    <cellStyle name="Note 3 3 2 4 3 3 2 4" xfId="19465"/>
    <cellStyle name="Note 3 3 2 4 3 3 3" xfId="11772"/>
    <cellStyle name="Note 3 3 2 4 3 3 3 2" xfId="26094"/>
    <cellStyle name="Note 3 3 2 4 3 3 4" xfId="17417"/>
    <cellStyle name="Note 3 3 2 4 3 4" xfId="5175"/>
    <cellStyle name="Note 3 3 2 4 3 4 2" xfId="11724"/>
    <cellStyle name="Note 3 3 2 4 3 4 2 2" xfId="26046"/>
    <cellStyle name="Note 3 3 2 4 3 4 3" xfId="3841"/>
    <cellStyle name="Note 3 3 2 4 3 5" xfId="6802"/>
    <cellStyle name="Note 3 3 2 4 3 5 2" xfId="23742"/>
    <cellStyle name="Note 3 3 2 4 3 6" xfId="17025"/>
    <cellStyle name="Note 3 3 2 4 4" xfId="2178"/>
    <cellStyle name="Note 3 3 2 4 4 2" xfId="7032"/>
    <cellStyle name="Note 3 3 2 4 4 2 2" xfId="13636"/>
    <cellStyle name="Note 3 3 2 4 4 2 2 2" xfId="27958"/>
    <cellStyle name="Note 3 3 2 4 4 2 3" xfId="19281"/>
    <cellStyle name="Note 3 3 2 4 4 3" xfId="5296"/>
    <cellStyle name="Note 3 3 2 4 4 3 2" xfId="9605"/>
    <cellStyle name="Note 3 3 2 4 4 3 2 2" xfId="15867"/>
    <cellStyle name="Note 3 3 2 4 4 3 2 2 2" xfId="29283"/>
    <cellStyle name="Note 3 3 2 4 4 3 2 3" xfId="20612"/>
    <cellStyle name="Note 3 3 2 4 4 3 3" xfId="11846"/>
    <cellStyle name="Note 3 3 2 4 4 3 3 2" xfId="26168"/>
    <cellStyle name="Note 3 3 2 4 4 3 4" xfId="17491"/>
    <cellStyle name="Note 3 3 2 4 4 4" xfId="11572"/>
    <cellStyle name="Note 3 3 2 4 4 4 2" xfId="25894"/>
    <cellStyle name="Note 3 3 2 4 4 5" xfId="15410"/>
    <cellStyle name="Note 3 3 2 4 5" xfId="2179"/>
    <cellStyle name="Note 3 3 2 4 5 2" xfId="4766"/>
    <cellStyle name="Note 3 3 2 4 5 2 2" xfId="9479"/>
    <cellStyle name="Note 3 3 2 4 5 2 2 2" xfId="15741"/>
    <cellStyle name="Note 3 3 2 4 5 2 2 2 2" xfId="29157"/>
    <cellStyle name="Note 3 3 2 4 5 2 2 3" xfId="20486"/>
    <cellStyle name="Note 3 3 2 4 5 2 3" xfId="2812"/>
    <cellStyle name="Note 3 3 2 4 5 2 3 2" xfId="22375"/>
    <cellStyle name="Note 3 3 2 4 5 2 4" xfId="17376"/>
    <cellStyle name="Note 3 3 2 4 5 3" xfId="12729"/>
    <cellStyle name="Note 3 3 2 4 5 3 2" xfId="27051"/>
    <cellStyle name="Note 3 3 2 4 5 4" xfId="18374"/>
    <cellStyle name="Note 3 3 2 4 6" xfId="5125"/>
    <cellStyle name="Note 3 3 2 4 6 2" xfId="11674"/>
    <cellStyle name="Note 3 3 2 4 6 2 2" xfId="25996"/>
    <cellStyle name="Note 3 3 2 4 6 3" xfId="15518"/>
    <cellStyle name="Note 3 3 2 4 7" xfId="6610"/>
    <cellStyle name="Note 3 3 2 4 7 2" xfId="23602"/>
    <cellStyle name="Note 3 3 2 4 8" xfId="17305"/>
    <cellStyle name="Note 3 3 2 5" xfId="2180"/>
    <cellStyle name="Note 3 3 2 5 2" xfId="2181"/>
    <cellStyle name="Note 3 3 2 5 2 2" xfId="2182"/>
    <cellStyle name="Note 3 3 2 5 2 2 2" xfId="5459"/>
    <cellStyle name="Note 3 3 2 5 2 2 2 2" xfId="12010"/>
    <cellStyle name="Note 3 3 2 5 2 2 2 2 2" xfId="26332"/>
    <cellStyle name="Note 3 3 2 5 2 2 2 3" xfId="17655"/>
    <cellStyle name="Note 3 3 2 5 2 2 3" xfId="3152"/>
    <cellStyle name="Note 3 3 2 5 2 2 3 2" xfId="8984"/>
    <cellStyle name="Note 3 3 2 5 2 2 3 2 2" xfId="15339"/>
    <cellStyle name="Note 3 3 2 5 2 2 3 2 2 2" xfId="29002"/>
    <cellStyle name="Note 3 3 2 5 2 2 3 2 3" xfId="20329"/>
    <cellStyle name="Note 3 3 2 5 2 2 3 3" xfId="5038"/>
    <cellStyle name="Note 3 3 2 5 2 2 3 3 2" xfId="23318"/>
    <cellStyle name="Note 3 3 2 5 2 2 3 4" xfId="14756"/>
    <cellStyle name="Note 3 3 2 5 2 2 4" xfId="3255"/>
    <cellStyle name="Note 3 3 2 5 2 2 4 2" xfId="22447"/>
    <cellStyle name="Note 3 3 2 5 2 2 5" xfId="15526"/>
    <cellStyle name="Note 3 3 2 5 2 3" xfId="2183"/>
    <cellStyle name="Note 3 3 2 5 2 3 2" xfId="7481"/>
    <cellStyle name="Note 3 3 2 5 2 3 2 2" xfId="10095"/>
    <cellStyle name="Note 3 3 2 5 2 3 2 2 2" xfId="16357"/>
    <cellStyle name="Note 3 3 2 5 2 3 2 2 2 2" xfId="29773"/>
    <cellStyle name="Note 3 3 2 5 2 3 2 2 3" xfId="21102"/>
    <cellStyle name="Note 3 3 2 5 2 3 2 3" xfId="14085"/>
    <cellStyle name="Note 3 3 2 5 2 3 2 3 2" xfId="28407"/>
    <cellStyle name="Note 3 3 2 5 2 3 2 4" xfId="19730"/>
    <cellStyle name="Note 3 3 2 5 2 3 3" xfId="13243"/>
    <cellStyle name="Note 3 3 2 5 2 3 3 2" xfId="27565"/>
    <cellStyle name="Note 3 3 2 5 2 3 4" xfId="18888"/>
    <cellStyle name="Note 3 3 2 5 2 4" xfId="5684"/>
    <cellStyle name="Note 3 3 2 5 2 4 2" xfId="12237"/>
    <cellStyle name="Note 3 3 2 5 2 4 2 2" xfId="26559"/>
    <cellStyle name="Note 3 3 2 5 2 4 3" xfId="17882"/>
    <cellStyle name="Note 3 3 2 5 2 5" xfId="6354"/>
    <cellStyle name="Note 3 3 2 5 2 5 2" xfId="23538"/>
    <cellStyle name="Note 3 3 2 5 2 6" xfId="14700"/>
    <cellStyle name="Note 3 3 2 5 3" xfId="2184"/>
    <cellStyle name="Note 3 3 2 5 3 2" xfId="2185"/>
    <cellStyle name="Note 3 3 2 5 3 2 2" xfId="6879"/>
    <cellStyle name="Note 3 3 2 5 3 2 2 2" xfId="13483"/>
    <cellStyle name="Note 3 3 2 5 3 2 2 2 2" xfId="27805"/>
    <cellStyle name="Note 3 3 2 5 3 2 2 3" xfId="19128"/>
    <cellStyle name="Note 3 3 2 5 3 2 3" xfId="7507"/>
    <cellStyle name="Note 3 3 2 5 3 2 3 2" xfId="10121"/>
    <cellStyle name="Note 3 3 2 5 3 2 3 2 2" xfId="16383"/>
    <cellStyle name="Note 3 3 2 5 3 2 3 2 2 2" xfId="29799"/>
    <cellStyle name="Note 3 3 2 5 3 2 3 2 3" xfId="21128"/>
    <cellStyle name="Note 3 3 2 5 3 2 3 3" xfId="14111"/>
    <cellStyle name="Note 3 3 2 5 3 2 3 3 2" xfId="28433"/>
    <cellStyle name="Note 3 3 2 5 3 2 3 4" xfId="19756"/>
    <cellStyle name="Note 3 3 2 5 3 2 4" xfId="11349"/>
    <cellStyle name="Note 3 3 2 5 3 2 4 2" xfId="25671"/>
    <cellStyle name="Note 3 3 2 5 3 2 5" xfId="17231"/>
    <cellStyle name="Note 3 3 2 5 3 3" xfId="2186"/>
    <cellStyle name="Note 3 3 2 5 3 3 2" xfId="7271"/>
    <cellStyle name="Note 3 3 2 5 3 3 2 2" xfId="9885"/>
    <cellStyle name="Note 3 3 2 5 3 3 2 2 2" xfId="16147"/>
    <cellStyle name="Note 3 3 2 5 3 3 2 2 2 2" xfId="29563"/>
    <cellStyle name="Note 3 3 2 5 3 3 2 2 3" xfId="20892"/>
    <cellStyle name="Note 3 3 2 5 3 3 2 3" xfId="13875"/>
    <cellStyle name="Note 3 3 2 5 3 3 2 3 2" xfId="28197"/>
    <cellStyle name="Note 3 3 2 5 3 3 2 4" xfId="19520"/>
    <cellStyle name="Note 3 3 2 5 3 3 3" xfId="12482"/>
    <cellStyle name="Note 3 3 2 5 3 3 3 2" xfId="26804"/>
    <cellStyle name="Note 3 3 2 5 3 3 4" xfId="18127"/>
    <cellStyle name="Note 3 3 2 5 3 4" xfId="3467"/>
    <cellStyle name="Note 3 3 2 5 3 4 2" xfId="3680"/>
    <cellStyle name="Note 3 3 2 5 3 4 2 2" xfId="22524"/>
    <cellStyle name="Note 3 3 2 5 3 4 3" xfId="17107"/>
    <cellStyle name="Note 3 3 2 5 3 5" xfId="4802"/>
    <cellStyle name="Note 3 3 2 5 3 5 2" xfId="23195"/>
    <cellStyle name="Note 3 3 2 5 3 6" xfId="4735"/>
    <cellStyle name="Note 3 3 2 5 4" xfId="2187"/>
    <cellStyle name="Note 3 3 2 5 4 2" xfId="6524"/>
    <cellStyle name="Note 3 3 2 5 4 2 2" xfId="13112"/>
    <cellStyle name="Note 3 3 2 5 4 2 2 2" xfId="27434"/>
    <cellStyle name="Note 3 3 2 5 4 2 3" xfId="18757"/>
    <cellStyle name="Note 3 3 2 5 4 3" xfId="7190"/>
    <cellStyle name="Note 3 3 2 5 4 3 2" xfId="9804"/>
    <cellStyle name="Note 3 3 2 5 4 3 2 2" xfId="16066"/>
    <cellStyle name="Note 3 3 2 5 4 3 2 2 2" xfId="29482"/>
    <cellStyle name="Note 3 3 2 5 4 3 2 3" xfId="20811"/>
    <cellStyle name="Note 3 3 2 5 4 3 3" xfId="13794"/>
    <cellStyle name="Note 3 3 2 5 4 3 3 2" xfId="28116"/>
    <cellStyle name="Note 3 3 2 5 4 3 4" xfId="19439"/>
    <cellStyle name="Note 3 3 2 5 4 4" xfId="2833"/>
    <cellStyle name="Note 3 3 2 5 4 4 2" xfId="22396"/>
    <cellStyle name="Note 3 3 2 5 4 5" xfId="17365"/>
    <cellStyle name="Note 3 3 2 5 5" xfId="2188"/>
    <cellStyle name="Note 3 3 2 5 5 2" xfId="7948"/>
    <cellStyle name="Note 3 3 2 5 5 2 2" xfId="10562"/>
    <cellStyle name="Note 3 3 2 5 5 2 2 2" xfId="16824"/>
    <cellStyle name="Note 3 3 2 5 5 2 2 2 2" xfId="30240"/>
    <cellStyle name="Note 3 3 2 5 5 2 2 3" xfId="21569"/>
    <cellStyle name="Note 3 3 2 5 5 2 3" xfId="14552"/>
    <cellStyle name="Note 3 3 2 5 5 2 3 2" xfId="28874"/>
    <cellStyle name="Note 3 3 2 5 5 2 4" xfId="20197"/>
    <cellStyle name="Note 3 3 2 5 5 3" xfId="12706"/>
    <cellStyle name="Note 3 3 2 5 5 3 2" xfId="27028"/>
    <cellStyle name="Note 3 3 2 5 5 4" xfId="18351"/>
    <cellStyle name="Note 3 3 2 5 6" xfId="5084"/>
    <cellStyle name="Note 3 3 2 5 6 2" xfId="11631"/>
    <cellStyle name="Note 3 3 2 5 6 2 2" xfId="25953"/>
    <cellStyle name="Note 3 3 2 5 6 3" xfId="15248"/>
    <cellStyle name="Note 3 3 2 5 7" xfId="4399"/>
    <cellStyle name="Note 3 3 2 5 7 2" xfId="22928"/>
    <cellStyle name="Note 3 3 2 5 8" xfId="17165"/>
    <cellStyle name="Note 3 3 2 6" xfId="2189"/>
    <cellStyle name="Note 3 3 2 6 2" xfId="2190"/>
    <cellStyle name="Note 3 3 2 6 2 2" xfId="2191"/>
    <cellStyle name="Note 3 3 2 6 2 2 2" xfId="5132"/>
    <cellStyle name="Note 3 3 2 6 2 2 2 2" xfId="11681"/>
    <cellStyle name="Note 3 3 2 6 2 2 2 2 2" xfId="26003"/>
    <cellStyle name="Note 3 3 2 6 2 2 2 3" xfId="6664"/>
    <cellStyle name="Note 3 3 2 6 2 2 3" xfId="7769"/>
    <cellStyle name="Note 3 3 2 6 2 2 3 2" xfId="10383"/>
    <cellStyle name="Note 3 3 2 6 2 2 3 2 2" xfId="16645"/>
    <cellStyle name="Note 3 3 2 6 2 2 3 2 2 2" xfId="30061"/>
    <cellStyle name="Note 3 3 2 6 2 2 3 2 3" xfId="21390"/>
    <cellStyle name="Note 3 3 2 6 2 2 3 3" xfId="14373"/>
    <cellStyle name="Note 3 3 2 6 2 2 3 3 2" xfId="28695"/>
    <cellStyle name="Note 3 3 2 6 2 2 3 4" xfId="20018"/>
    <cellStyle name="Note 3 3 2 6 2 2 4" xfId="4540"/>
    <cellStyle name="Note 3 3 2 6 2 2 4 2" xfId="23020"/>
    <cellStyle name="Note 3 3 2 6 2 2 5" xfId="15133"/>
    <cellStyle name="Note 3 3 2 6 2 3" xfId="2192"/>
    <cellStyle name="Note 3 3 2 6 2 3 2" xfId="7767"/>
    <cellStyle name="Note 3 3 2 6 2 3 2 2" xfId="10381"/>
    <cellStyle name="Note 3 3 2 6 2 3 2 2 2" xfId="16643"/>
    <cellStyle name="Note 3 3 2 6 2 3 2 2 2 2" xfId="30059"/>
    <cellStyle name="Note 3 3 2 6 2 3 2 2 3" xfId="21388"/>
    <cellStyle name="Note 3 3 2 6 2 3 2 3" xfId="14371"/>
    <cellStyle name="Note 3 3 2 6 2 3 2 3 2" xfId="28693"/>
    <cellStyle name="Note 3 3 2 6 2 3 2 4" xfId="20016"/>
    <cellStyle name="Note 3 3 2 6 2 3 3" xfId="13377"/>
    <cellStyle name="Note 3 3 2 6 2 3 3 2" xfId="27699"/>
    <cellStyle name="Note 3 3 2 6 2 3 4" xfId="19022"/>
    <cellStyle name="Note 3 3 2 6 2 4" xfId="5830"/>
    <cellStyle name="Note 3 3 2 6 2 4 2" xfId="12383"/>
    <cellStyle name="Note 3 3 2 6 2 4 2 2" xfId="26705"/>
    <cellStyle name="Note 3 3 2 6 2 4 3" xfId="18028"/>
    <cellStyle name="Note 3 3 2 6 2 5" xfId="6702"/>
    <cellStyle name="Note 3 3 2 6 2 5 2" xfId="23661"/>
    <cellStyle name="Note 3 3 2 6 2 6" xfId="17205"/>
    <cellStyle name="Note 3 3 2 6 3" xfId="2193"/>
    <cellStyle name="Note 3 3 2 6 3 2" xfId="6536"/>
    <cellStyle name="Note 3 3 2 6 3 2 2" xfId="13124"/>
    <cellStyle name="Note 3 3 2 6 3 2 2 2" xfId="27446"/>
    <cellStyle name="Note 3 3 2 6 3 2 3" xfId="18769"/>
    <cellStyle name="Note 3 3 2 6 3 3" xfId="7790"/>
    <cellStyle name="Note 3 3 2 6 3 3 2" xfId="10404"/>
    <cellStyle name="Note 3 3 2 6 3 3 2 2" xfId="16666"/>
    <cellStyle name="Note 3 3 2 6 3 3 2 2 2" xfId="30082"/>
    <cellStyle name="Note 3 3 2 6 3 3 2 3" xfId="21411"/>
    <cellStyle name="Note 3 3 2 6 3 3 3" xfId="14394"/>
    <cellStyle name="Note 3 3 2 6 3 3 3 2" xfId="28716"/>
    <cellStyle name="Note 3 3 2 6 3 3 4" xfId="20039"/>
    <cellStyle name="Note 3 3 2 6 3 4" xfId="6069"/>
    <cellStyle name="Note 3 3 2 6 3 4 2" xfId="23406"/>
    <cellStyle name="Note 3 3 2 6 3 5" xfId="14874"/>
    <cellStyle name="Note 3 3 2 6 4" xfId="2194"/>
    <cellStyle name="Note 3 3 2 6 4 2" xfId="7891"/>
    <cellStyle name="Note 3 3 2 6 4 2 2" xfId="10505"/>
    <cellStyle name="Note 3 3 2 6 4 2 2 2" xfId="16767"/>
    <cellStyle name="Note 3 3 2 6 4 2 2 2 2" xfId="30183"/>
    <cellStyle name="Note 3 3 2 6 4 2 2 3" xfId="21512"/>
    <cellStyle name="Note 3 3 2 6 4 2 3" xfId="14495"/>
    <cellStyle name="Note 3 3 2 6 4 2 3 2" xfId="28817"/>
    <cellStyle name="Note 3 3 2 6 4 2 4" xfId="20140"/>
    <cellStyle name="Note 3 3 2 6 4 3" xfId="4250"/>
    <cellStyle name="Note 3 3 2 6 4 3 2" xfId="22852"/>
    <cellStyle name="Note 3 3 2 6 4 4" xfId="14864"/>
    <cellStyle name="Note 3 3 2 6 5" xfId="5215"/>
    <cellStyle name="Note 3 3 2 6 5 2" xfId="11764"/>
    <cellStyle name="Note 3 3 2 6 5 2 2" xfId="26086"/>
    <cellStyle name="Note 3 3 2 6 5 3" xfId="17409"/>
    <cellStyle name="Note 3 3 2 6 6" xfId="4492"/>
    <cellStyle name="Note 3 3 2 6 6 2" xfId="22985"/>
    <cellStyle name="Note 3 3 2 6 7" xfId="4618"/>
    <cellStyle name="Note 3 3 2 7" xfId="2195"/>
    <cellStyle name="Note 3 3 2 7 2" xfId="2196"/>
    <cellStyle name="Note 3 3 2 7 2 2" xfId="5437"/>
    <cellStyle name="Note 3 3 2 7 2 2 2" xfId="11988"/>
    <cellStyle name="Note 3 3 2 7 2 2 2 2" xfId="26310"/>
    <cellStyle name="Note 3 3 2 7 2 2 3" xfId="17633"/>
    <cellStyle name="Note 3 3 2 7 2 3" xfId="7931"/>
    <cellStyle name="Note 3 3 2 7 2 3 2" xfId="10545"/>
    <cellStyle name="Note 3 3 2 7 2 3 2 2" xfId="16807"/>
    <cellStyle name="Note 3 3 2 7 2 3 2 2 2" xfId="30223"/>
    <cellStyle name="Note 3 3 2 7 2 3 2 3" xfId="21552"/>
    <cellStyle name="Note 3 3 2 7 2 3 3" xfId="14535"/>
    <cellStyle name="Note 3 3 2 7 2 3 3 2" xfId="28857"/>
    <cellStyle name="Note 3 3 2 7 2 3 4" xfId="20180"/>
    <cellStyle name="Note 3 3 2 7 2 4" xfId="4452"/>
    <cellStyle name="Note 3 3 2 7 2 4 2" xfId="22961"/>
    <cellStyle name="Note 3 3 2 7 2 5" xfId="15049"/>
    <cellStyle name="Note 3 3 2 7 3" xfId="2197"/>
    <cellStyle name="Note 3 3 2 7 3 2" xfId="4839"/>
    <cellStyle name="Note 3 3 2 7 3 2 2" xfId="9499"/>
    <cellStyle name="Note 3 3 2 7 3 2 2 2" xfId="15761"/>
    <cellStyle name="Note 3 3 2 7 3 2 2 2 2" xfId="29177"/>
    <cellStyle name="Note 3 3 2 7 3 2 2 3" xfId="20506"/>
    <cellStyle name="Note 3 3 2 7 3 2 3" xfId="11372"/>
    <cellStyle name="Note 3 3 2 7 3 2 3 2" xfId="25694"/>
    <cellStyle name="Note 3 3 2 7 3 2 4" xfId="17267"/>
    <cellStyle name="Note 3 3 2 7 3 3" xfId="13065"/>
    <cellStyle name="Note 3 3 2 7 3 3 2" xfId="27387"/>
    <cellStyle name="Note 3 3 2 7 3 4" xfId="18710"/>
    <cellStyle name="Note 3 3 2 7 4" xfId="5401"/>
    <cellStyle name="Note 3 3 2 7 4 2" xfId="11951"/>
    <cellStyle name="Note 3 3 2 7 4 2 2" xfId="26273"/>
    <cellStyle name="Note 3 3 2 7 4 3" xfId="17596"/>
    <cellStyle name="Note 3 3 2 7 5" xfId="4661"/>
    <cellStyle name="Note 3 3 2 7 5 2" xfId="23101"/>
    <cellStyle name="Note 3 3 2 7 6" xfId="15205"/>
    <cellStyle name="Note 3 3 2 8" xfId="2198"/>
    <cellStyle name="Note 3 3 2 8 2" xfId="7035"/>
    <cellStyle name="Note 3 3 2 8 2 2" xfId="13639"/>
    <cellStyle name="Note 3 3 2 8 2 2 2" xfId="27961"/>
    <cellStyle name="Note 3 3 2 8 2 3" xfId="19284"/>
    <cellStyle name="Note 3 3 2 8 3" xfId="7722"/>
    <cellStyle name="Note 3 3 2 8 3 2" xfId="10336"/>
    <cellStyle name="Note 3 3 2 8 3 2 2" xfId="16598"/>
    <cellStyle name="Note 3 3 2 8 3 2 2 2" xfId="30014"/>
    <cellStyle name="Note 3 3 2 8 3 2 3" xfId="21343"/>
    <cellStyle name="Note 3 3 2 8 3 3" xfId="14326"/>
    <cellStyle name="Note 3 3 2 8 3 3 2" xfId="28648"/>
    <cellStyle name="Note 3 3 2 8 3 4" xfId="19971"/>
    <cellStyle name="Note 3 3 2 8 4" xfId="11577"/>
    <cellStyle name="Note 3 3 2 8 4 2" xfId="25899"/>
    <cellStyle name="Note 3 3 2 8 5" xfId="17215"/>
    <cellStyle name="Note 3 3 2 9" xfId="2199"/>
    <cellStyle name="Note 3 3 2 9 2" xfId="7984"/>
    <cellStyle name="Note 3 3 2 9 2 2" xfId="10598"/>
    <cellStyle name="Note 3 3 2 9 2 2 2" xfId="16860"/>
    <cellStyle name="Note 3 3 2 9 2 2 2 2" xfId="30276"/>
    <cellStyle name="Note 3 3 2 9 2 2 3" xfId="21605"/>
    <cellStyle name="Note 3 3 2 9 2 3" xfId="14588"/>
    <cellStyle name="Note 3 3 2 9 2 3 2" xfId="28910"/>
    <cellStyle name="Note 3 3 2 9 2 4" xfId="20233"/>
    <cellStyle name="Note 3 3 2 9 3" xfId="11669"/>
    <cellStyle name="Note 3 3 2 9 3 2" xfId="25991"/>
    <cellStyle name="Note 3 3 2 9 4" xfId="14925"/>
    <cellStyle name="Note 3 3 3" xfId="2200"/>
    <cellStyle name="Note 3 3 3 10" xfId="6586"/>
    <cellStyle name="Note 3 3 3 10 2" xfId="23591"/>
    <cellStyle name="Note 3 3 3 11" xfId="15215"/>
    <cellStyle name="Note 3 3 3 2" xfId="2201"/>
    <cellStyle name="Note 3 3 3 2 2" xfId="2202"/>
    <cellStyle name="Note 3 3 3 2 2 2" xfId="2203"/>
    <cellStyle name="Note 3 3 3 2 2 2 2" xfId="5368"/>
    <cellStyle name="Note 3 3 3 2 2 2 2 2" xfId="11918"/>
    <cellStyle name="Note 3 3 3 2 2 2 2 2 2" xfId="26240"/>
    <cellStyle name="Note 3 3 3 2 2 2 2 3" xfId="17563"/>
    <cellStyle name="Note 3 3 3 2 2 2 3" xfId="7120"/>
    <cellStyle name="Note 3 3 3 2 2 2 3 2" xfId="9734"/>
    <cellStyle name="Note 3 3 3 2 2 2 3 2 2" xfId="15996"/>
    <cellStyle name="Note 3 3 3 2 2 2 3 2 2 2" xfId="29412"/>
    <cellStyle name="Note 3 3 3 2 2 2 3 2 3" xfId="20741"/>
    <cellStyle name="Note 3 3 3 2 2 2 3 3" xfId="13724"/>
    <cellStyle name="Note 3 3 3 2 2 2 3 3 2" xfId="28046"/>
    <cellStyle name="Note 3 3 3 2 2 2 3 4" xfId="19369"/>
    <cellStyle name="Note 3 3 3 2 2 2 4" xfId="4147"/>
    <cellStyle name="Note 3 3 3 2 2 2 4 2" xfId="22784"/>
    <cellStyle name="Note 3 3 3 2 2 2 5" xfId="4523"/>
    <cellStyle name="Note 3 3 3 2 2 3" xfId="2204"/>
    <cellStyle name="Note 3 3 3 2 2 3 2" xfId="7089"/>
    <cellStyle name="Note 3 3 3 2 2 3 2 2" xfId="9703"/>
    <cellStyle name="Note 3 3 3 2 2 3 2 2 2" xfId="15965"/>
    <cellStyle name="Note 3 3 3 2 2 3 2 2 2 2" xfId="29381"/>
    <cellStyle name="Note 3 3 3 2 2 3 2 2 3" xfId="20710"/>
    <cellStyle name="Note 3 3 3 2 2 3 2 3" xfId="13693"/>
    <cellStyle name="Note 3 3 3 2 2 3 2 3 2" xfId="28015"/>
    <cellStyle name="Note 3 3 3 2 2 3 2 4" xfId="19338"/>
    <cellStyle name="Note 3 3 3 2 2 3 3" xfId="13300"/>
    <cellStyle name="Note 3 3 3 2 2 3 3 2" xfId="27622"/>
    <cellStyle name="Note 3 3 3 2 2 3 4" xfId="18945"/>
    <cellStyle name="Note 3 3 3 2 2 4" xfId="5750"/>
    <cellStyle name="Note 3 3 3 2 2 4 2" xfId="12303"/>
    <cellStyle name="Note 3 3 3 2 2 4 2 2" xfId="26625"/>
    <cellStyle name="Note 3 3 3 2 2 4 3" xfId="17948"/>
    <cellStyle name="Note 3 3 3 2 2 5" xfId="6613"/>
    <cellStyle name="Note 3 3 3 2 2 5 2" xfId="23605"/>
    <cellStyle name="Note 3 3 3 2 2 6" xfId="15081"/>
    <cellStyle name="Note 3 3 3 2 3" xfId="2205"/>
    <cellStyle name="Note 3 3 3 2 3 2" xfId="2206"/>
    <cellStyle name="Note 3 3 3 2 3 2 2" xfId="7027"/>
    <cellStyle name="Note 3 3 3 2 3 2 2 2" xfId="13631"/>
    <cellStyle name="Note 3 3 3 2 3 2 2 2 2" xfId="27953"/>
    <cellStyle name="Note 3 3 3 2 3 2 2 3" xfId="19276"/>
    <cellStyle name="Note 3 3 3 2 3 2 3" xfId="7889"/>
    <cellStyle name="Note 3 3 3 2 3 2 3 2" xfId="10503"/>
    <cellStyle name="Note 3 3 3 2 3 2 3 2 2" xfId="16765"/>
    <cellStyle name="Note 3 3 3 2 3 2 3 2 2 2" xfId="30181"/>
    <cellStyle name="Note 3 3 3 2 3 2 3 2 3" xfId="21510"/>
    <cellStyle name="Note 3 3 3 2 3 2 3 3" xfId="14493"/>
    <cellStyle name="Note 3 3 3 2 3 2 3 3 2" xfId="28815"/>
    <cellStyle name="Note 3 3 3 2 3 2 3 4" xfId="20138"/>
    <cellStyle name="Note 3 3 3 2 3 2 4" xfId="11566"/>
    <cellStyle name="Note 3 3 3 2 3 2 4 2" xfId="25888"/>
    <cellStyle name="Note 3 3 3 2 3 2 5" xfId="14929"/>
    <cellStyle name="Note 3 3 3 2 3 3" xfId="2207"/>
    <cellStyle name="Note 3 3 3 2 3 3 2" xfId="7499"/>
    <cellStyle name="Note 3 3 3 2 3 3 2 2" xfId="10113"/>
    <cellStyle name="Note 3 3 3 2 3 3 2 2 2" xfId="16375"/>
    <cellStyle name="Note 3 3 3 2 3 3 2 2 2 2" xfId="29791"/>
    <cellStyle name="Note 3 3 3 2 3 3 2 2 3" xfId="21120"/>
    <cellStyle name="Note 3 3 3 2 3 3 2 3" xfId="14103"/>
    <cellStyle name="Note 3 3 3 2 3 3 2 3 2" xfId="28425"/>
    <cellStyle name="Note 3 3 3 2 3 3 2 4" xfId="19748"/>
    <cellStyle name="Note 3 3 3 2 3 3 3" xfId="13171"/>
    <cellStyle name="Note 3 3 3 2 3 3 3 2" xfId="27493"/>
    <cellStyle name="Note 3 3 3 2 3 3 4" xfId="18816"/>
    <cellStyle name="Note 3 3 3 2 3 4" xfId="5594"/>
    <cellStyle name="Note 3 3 3 2 3 4 2" xfId="12146"/>
    <cellStyle name="Note 3 3 3 2 3 4 2 2" xfId="26468"/>
    <cellStyle name="Note 3 3 3 2 3 4 3" xfId="17791"/>
    <cellStyle name="Note 3 3 3 2 3 5" xfId="4740"/>
    <cellStyle name="Note 3 3 3 2 3 5 2" xfId="23163"/>
    <cellStyle name="Note 3 3 3 2 3 6" xfId="17081"/>
    <cellStyle name="Note 3 3 3 2 4" xfId="2208"/>
    <cellStyle name="Note 3 3 3 2 4 2" xfId="6843"/>
    <cellStyle name="Note 3 3 3 2 4 2 2" xfId="13447"/>
    <cellStyle name="Note 3 3 3 2 4 2 2 2" xfId="27769"/>
    <cellStyle name="Note 3 3 3 2 4 2 3" xfId="19092"/>
    <cellStyle name="Note 3 3 3 2 4 3" xfId="7882"/>
    <cellStyle name="Note 3 3 3 2 4 3 2" xfId="10496"/>
    <cellStyle name="Note 3 3 3 2 4 3 2 2" xfId="16758"/>
    <cellStyle name="Note 3 3 3 2 4 3 2 2 2" xfId="30174"/>
    <cellStyle name="Note 3 3 3 2 4 3 2 3" xfId="21503"/>
    <cellStyle name="Note 3 3 3 2 4 3 3" xfId="14486"/>
    <cellStyle name="Note 3 3 3 2 4 3 3 2" xfId="28808"/>
    <cellStyle name="Note 3 3 3 2 4 3 4" xfId="20131"/>
    <cellStyle name="Note 3 3 3 2 4 4" xfId="2769"/>
    <cellStyle name="Note 3 3 3 2 4 4 2" xfId="22338"/>
    <cellStyle name="Note 3 3 3 2 4 5" xfId="3758"/>
    <cellStyle name="Note 3 3 3 2 5" xfId="2209"/>
    <cellStyle name="Note 3 3 3 2 5 2" xfId="8069"/>
    <cellStyle name="Note 3 3 3 2 5 2 2" xfId="10683"/>
    <cellStyle name="Note 3 3 3 2 5 2 2 2" xfId="16945"/>
    <cellStyle name="Note 3 3 3 2 5 2 2 2 2" xfId="30361"/>
    <cellStyle name="Note 3 3 3 2 5 2 2 3" xfId="21690"/>
    <cellStyle name="Note 3 3 3 2 5 2 3" xfId="14673"/>
    <cellStyle name="Note 3 3 3 2 5 2 3 2" xfId="28995"/>
    <cellStyle name="Note 3 3 3 2 5 2 4" xfId="20318"/>
    <cellStyle name="Note 3 3 3 2 5 3" xfId="12876"/>
    <cellStyle name="Note 3 3 3 2 5 3 2" xfId="27198"/>
    <cellStyle name="Note 3 3 3 2 5 4" xfId="18521"/>
    <cellStyle name="Note 3 3 3 2 6" xfId="5494"/>
    <cellStyle name="Note 3 3 3 2 6 2" xfId="12045"/>
    <cellStyle name="Note 3 3 3 2 6 2 2" xfId="26367"/>
    <cellStyle name="Note 3 3 3 2 6 3" xfId="17690"/>
    <cellStyle name="Note 3 3 3 2 7" xfId="4404"/>
    <cellStyle name="Note 3 3 3 2 7 2" xfId="22931"/>
    <cellStyle name="Note 3 3 3 2 8" xfId="17110"/>
    <cellStyle name="Note 3 3 3 3" xfId="2210"/>
    <cellStyle name="Note 3 3 3 3 2" xfId="2211"/>
    <cellStyle name="Note 3 3 3 3 2 2" xfId="2212"/>
    <cellStyle name="Note 3 3 3 3 2 2 2" xfId="6529"/>
    <cellStyle name="Note 3 3 3 3 2 2 2 2" xfId="13117"/>
    <cellStyle name="Note 3 3 3 3 2 2 2 2 2" xfId="27439"/>
    <cellStyle name="Note 3 3 3 3 2 2 2 3" xfId="18762"/>
    <cellStyle name="Note 3 3 3 3 2 2 3" xfId="4402"/>
    <cellStyle name="Note 3 3 3 3 2 2 3 2" xfId="9461"/>
    <cellStyle name="Note 3 3 3 3 2 2 3 2 2" xfId="15723"/>
    <cellStyle name="Note 3 3 3 3 2 2 3 2 2 2" xfId="29139"/>
    <cellStyle name="Note 3 3 3 3 2 2 3 2 3" xfId="20468"/>
    <cellStyle name="Note 3 3 3 3 2 2 3 3" xfId="3727"/>
    <cellStyle name="Note 3 3 3 3 2 2 3 3 2" xfId="22549"/>
    <cellStyle name="Note 3 3 3 3 2 2 3 4" xfId="17186"/>
    <cellStyle name="Note 3 3 3 3 2 2 4" xfId="2828"/>
    <cellStyle name="Note 3 3 3 3 2 2 4 2" xfId="22391"/>
    <cellStyle name="Note 3 3 3 3 2 2 5" xfId="16983"/>
    <cellStyle name="Note 3 3 3 3 2 3" xfId="2213"/>
    <cellStyle name="Note 3 3 3 3 2 3 2" xfId="7525"/>
    <cellStyle name="Note 3 3 3 3 2 3 2 2" xfId="10139"/>
    <cellStyle name="Note 3 3 3 3 2 3 2 2 2" xfId="16401"/>
    <cellStyle name="Note 3 3 3 3 2 3 2 2 2 2" xfId="29817"/>
    <cellStyle name="Note 3 3 3 3 2 3 2 2 3" xfId="21146"/>
    <cellStyle name="Note 3 3 3 3 2 3 2 3" xfId="14129"/>
    <cellStyle name="Note 3 3 3 3 2 3 2 3 2" xfId="28451"/>
    <cellStyle name="Note 3 3 3 3 2 3 2 4" xfId="19774"/>
    <cellStyle name="Note 3 3 3 3 2 3 3" xfId="13336"/>
    <cellStyle name="Note 3 3 3 3 2 3 3 2" xfId="27658"/>
    <cellStyle name="Note 3 3 3 3 2 3 4" xfId="18981"/>
    <cellStyle name="Note 3 3 3 3 2 4" xfId="5786"/>
    <cellStyle name="Note 3 3 3 3 2 4 2" xfId="12339"/>
    <cellStyle name="Note 3 3 3 3 2 4 2 2" xfId="26661"/>
    <cellStyle name="Note 3 3 3 3 2 4 3" xfId="17984"/>
    <cellStyle name="Note 3 3 3 3 2 5" xfId="4290"/>
    <cellStyle name="Note 3 3 3 3 2 5 2" xfId="22874"/>
    <cellStyle name="Note 3 3 3 3 2 6" xfId="15396"/>
    <cellStyle name="Note 3 3 3 3 3" xfId="2214"/>
    <cellStyle name="Note 3 3 3 3 3 2" xfId="2215"/>
    <cellStyle name="Note 3 3 3 3 3 2 2" xfId="6515"/>
    <cellStyle name="Note 3 3 3 3 3 2 2 2" xfId="13103"/>
    <cellStyle name="Note 3 3 3 3 3 2 2 2 2" xfId="27425"/>
    <cellStyle name="Note 3 3 3 3 3 2 2 3" xfId="18748"/>
    <cellStyle name="Note 3 3 3 3 3 2 3" xfId="5326"/>
    <cellStyle name="Note 3 3 3 3 3 2 3 2" xfId="9635"/>
    <cellStyle name="Note 3 3 3 3 3 2 3 2 2" xfId="15897"/>
    <cellStyle name="Note 3 3 3 3 3 2 3 2 2 2" xfId="29313"/>
    <cellStyle name="Note 3 3 3 3 3 2 3 2 3" xfId="20642"/>
    <cellStyle name="Note 3 3 3 3 3 2 3 3" xfId="11876"/>
    <cellStyle name="Note 3 3 3 3 3 2 3 3 2" xfId="26198"/>
    <cellStyle name="Note 3 3 3 3 3 2 3 4" xfId="17521"/>
    <cellStyle name="Note 3 3 3 3 3 2 4" xfId="4643"/>
    <cellStyle name="Note 3 3 3 3 3 2 4 2" xfId="23087"/>
    <cellStyle name="Note 3 3 3 3 3 2 5" xfId="14775"/>
    <cellStyle name="Note 3 3 3 3 3 3" xfId="2216"/>
    <cellStyle name="Note 3 3 3 3 3 3 2" xfId="7102"/>
    <cellStyle name="Note 3 3 3 3 3 3 2 2" xfId="9716"/>
    <cellStyle name="Note 3 3 3 3 3 3 2 2 2" xfId="15978"/>
    <cellStyle name="Note 3 3 3 3 3 3 2 2 2 2" xfId="29394"/>
    <cellStyle name="Note 3 3 3 3 3 3 2 2 3" xfId="20723"/>
    <cellStyle name="Note 3 3 3 3 3 3 2 3" xfId="13706"/>
    <cellStyle name="Note 3 3 3 3 3 3 2 3 2" xfId="28028"/>
    <cellStyle name="Note 3 3 3 3 3 3 2 4" xfId="19351"/>
    <cellStyle name="Note 3 3 3 3 3 3 3" xfId="13408"/>
    <cellStyle name="Note 3 3 3 3 3 3 3 2" xfId="27730"/>
    <cellStyle name="Note 3 3 3 3 3 3 4" xfId="19053"/>
    <cellStyle name="Note 3 3 3 3 3 4" xfId="5876"/>
    <cellStyle name="Note 3 3 3 3 3 4 2" xfId="12429"/>
    <cellStyle name="Note 3 3 3 3 3 4 2 2" xfId="26751"/>
    <cellStyle name="Note 3 3 3 3 3 4 3" xfId="18074"/>
    <cellStyle name="Note 3 3 3 3 3 5" xfId="4674"/>
    <cellStyle name="Note 3 3 3 3 3 5 2" xfId="23113"/>
    <cellStyle name="Note 3 3 3 3 3 6" xfId="15088"/>
    <cellStyle name="Note 3 3 3 3 4" xfId="2217"/>
    <cellStyle name="Note 3 3 3 3 4 2" xfId="5886"/>
    <cellStyle name="Note 3 3 3 3 4 2 2" xfId="12439"/>
    <cellStyle name="Note 3 3 3 3 4 2 2 2" xfId="26761"/>
    <cellStyle name="Note 3 3 3 3 4 2 3" xfId="18084"/>
    <cellStyle name="Note 3 3 3 3 4 3" xfId="7070"/>
    <cellStyle name="Note 3 3 3 3 4 3 2" xfId="9684"/>
    <cellStyle name="Note 3 3 3 3 4 3 2 2" xfId="15946"/>
    <cellStyle name="Note 3 3 3 3 4 3 2 2 2" xfId="29362"/>
    <cellStyle name="Note 3 3 3 3 4 3 2 3" xfId="20691"/>
    <cellStyle name="Note 3 3 3 3 4 3 3" xfId="13674"/>
    <cellStyle name="Note 3 3 3 3 4 3 3 2" xfId="27996"/>
    <cellStyle name="Note 3 3 3 3 4 3 4" xfId="19319"/>
    <cellStyle name="Note 3 3 3 3 4 4" xfId="4687"/>
    <cellStyle name="Note 3 3 3 3 4 4 2" xfId="23123"/>
    <cellStyle name="Note 3 3 3 3 4 5" xfId="15176"/>
    <cellStyle name="Note 3 3 3 3 5" xfId="2218"/>
    <cellStyle name="Note 3 3 3 3 5 2" xfId="5259"/>
    <cellStyle name="Note 3 3 3 3 5 2 2" xfId="9568"/>
    <cellStyle name="Note 3 3 3 3 5 2 2 2" xfId="15830"/>
    <cellStyle name="Note 3 3 3 3 5 2 2 2 2" xfId="29246"/>
    <cellStyle name="Note 3 3 3 3 5 2 2 3" xfId="20575"/>
    <cellStyle name="Note 3 3 3 3 5 2 3" xfId="11809"/>
    <cellStyle name="Note 3 3 3 3 5 2 3 2" xfId="26131"/>
    <cellStyle name="Note 3 3 3 3 5 2 4" xfId="17454"/>
    <cellStyle name="Note 3 3 3 3 5 3" xfId="12912"/>
    <cellStyle name="Note 3 3 3 3 5 3 2" xfId="27234"/>
    <cellStyle name="Note 3 3 3 3 5 4" xfId="18557"/>
    <cellStyle name="Note 3 3 3 3 6" xfId="5536"/>
    <cellStyle name="Note 3 3 3 3 6 2" xfId="12087"/>
    <cellStyle name="Note 3 3 3 3 6 2 2" xfId="26409"/>
    <cellStyle name="Note 3 3 3 3 6 3" xfId="17732"/>
    <cellStyle name="Note 3 3 3 3 7" xfId="4182"/>
    <cellStyle name="Note 3 3 3 3 7 2" xfId="22804"/>
    <cellStyle name="Note 3 3 3 3 8" xfId="15341"/>
    <cellStyle name="Note 3 3 3 4" xfId="2219"/>
    <cellStyle name="Note 3 3 3 4 2" xfId="2220"/>
    <cellStyle name="Note 3 3 3 4 2 2" xfId="2221"/>
    <cellStyle name="Note 3 3 3 4 2 2 2" xfId="6837"/>
    <cellStyle name="Note 3 3 3 4 2 2 2 2" xfId="13441"/>
    <cellStyle name="Note 3 3 3 4 2 2 2 2 2" xfId="27763"/>
    <cellStyle name="Note 3 3 3 4 2 2 2 3" xfId="19086"/>
    <cellStyle name="Note 3 3 3 4 2 2 3" xfId="7075"/>
    <cellStyle name="Note 3 3 3 4 2 2 3 2" xfId="9689"/>
    <cellStyle name="Note 3 3 3 4 2 2 3 2 2" xfId="15951"/>
    <cellStyle name="Note 3 3 3 4 2 2 3 2 2 2" xfId="29367"/>
    <cellStyle name="Note 3 3 3 4 2 2 3 2 3" xfId="20696"/>
    <cellStyle name="Note 3 3 3 4 2 2 3 3" xfId="13679"/>
    <cellStyle name="Note 3 3 3 4 2 2 3 3 2" xfId="28001"/>
    <cellStyle name="Note 3 3 3 4 2 2 3 4" xfId="19324"/>
    <cellStyle name="Note 3 3 3 4 2 2 4" xfId="2772"/>
    <cellStyle name="Note 3 3 3 4 2 2 4 2" xfId="22341"/>
    <cellStyle name="Note 3 3 3 4 2 2 5" xfId="3648"/>
    <cellStyle name="Note 3 3 3 4 2 3" xfId="2222"/>
    <cellStyle name="Note 3 3 3 4 2 3 2" xfId="7661"/>
    <cellStyle name="Note 3 3 3 4 2 3 2 2" xfId="10275"/>
    <cellStyle name="Note 3 3 3 4 2 3 2 2 2" xfId="16537"/>
    <cellStyle name="Note 3 3 3 4 2 3 2 2 2 2" xfId="29953"/>
    <cellStyle name="Note 3 3 3 4 2 3 2 2 3" xfId="21282"/>
    <cellStyle name="Note 3 3 3 4 2 3 2 3" xfId="14265"/>
    <cellStyle name="Note 3 3 3 4 2 3 2 3 2" xfId="28587"/>
    <cellStyle name="Note 3 3 3 4 2 3 2 4" xfId="19910"/>
    <cellStyle name="Note 3 3 3 4 2 3 3" xfId="13216"/>
    <cellStyle name="Note 3 3 3 4 2 3 3 2" xfId="27538"/>
    <cellStyle name="Note 3 3 3 4 2 3 4" xfId="18861"/>
    <cellStyle name="Note 3 3 3 4 2 4" xfId="5657"/>
    <cellStyle name="Note 3 3 3 4 2 4 2" xfId="12210"/>
    <cellStyle name="Note 3 3 3 4 2 4 2 2" xfId="26532"/>
    <cellStyle name="Note 3 3 3 4 2 4 3" xfId="17855"/>
    <cellStyle name="Note 3 3 3 4 2 5" xfId="6486"/>
    <cellStyle name="Note 3 3 3 4 2 5 2" xfId="23565"/>
    <cellStyle name="Note 3 3 3 4 2 6" xfId="15238"/>
    <cellStyle name="Note 3 3 3 4 3" xfId="2223"/>
    <cellStyle name="Note 3 3 3 4 3 2" xfId="2224"/>
    <cellStyle name="Note 3 3 3 4 3 2 2" xfId="5128"/>
    <cellStyle name="Note 3 3 3 4 3 2 2 2" xfId="11677"/>
    <cellStyle name="Note 3 3 3 4 3 2 2 2 2" xfId="25999"/>
    <cellStyle name="Note 3 3 3 4 3 2 2 3" xfId="6363"/>
    <cellStyle name="Note 3 3 3 4 3 2 3" xfId="7921"/>
    <cellStyle name="Note 3 3 3 4 3 2 3 2" xfId="10535"/>
    <cellStyle name="Note 3 3 3 4 3 2 3 2 2" xfId="16797"/>
    <cellStyle name="Note 3 3 3 4 3 2 3 2 2 2" xfId="30213"/>
    <cellStyle name="Note 3 3 3 4 3 2 3 2 3" xfId="21542"/>
    <cellStyle name="Note 3 3 3 4 3 2 3 3" xfId="14525"/>
    <cellStyle name="Note 3 3 3 4 3 2 3 3 2" xfId="28847"/>
    <cellStyle name="Note 3 3 3 4 3 2 3 4" xfId="20170"/>
    <cellStyle name="Note 3 3 3 4 3 2 4" xfId="4497"/>
    <cellStyle name="Note 3 3 3 4 3 2 4 2" xfId="22989"/>
    <cellStyle name="Note 3 3 3 4 3 2 5" xfId="4303"/>
    <cellStyle name="Note 3 3 3 4 3 3" xfId="2225"/>
    <cellStyle name="Note 3 3 3 4 3 3 2" xfId="7636"/>
    <cellStyle name="Note 3 3 3 4 3 3 2 2" xfId="10250"/>
    <cellStyle name="Note 3 3 3 4 3 3 2 2 2" xfId="16512"/>
    <cellStyle name="Note 3 3 3 4 3 3 2 2 2 2" xfId="29928"/>
    <cellStyle name="Note 3 3 3 4 3 3 2 2 3" xfId="21257"/>
    <cellStyle name="Note 3 3 3 4 3 3 2 3" xfId="14240"/>
    <cellStyle name="Note 3 3 3 4 3 3 2 3 2" xfId="28562"/>
    <cellStyle name="Note 3 3 3 4 3 3 2 4" xfId="19885"/>
    <cellStyle name="Note 3 3 3 4 3 3 3" xfId="12620"/>
    <cellStyle name="Note 3 3 3 4 3 3 3 2" xfId="26942"/>
    <cellStyle name="Note 3 3 3 4 3 3 4" xfId="18265"/>
    <cellStyle name="Note 3 3 3 4 3 4" xfId="5083"/>
    <cellStyle name="Note 3 3 3 4 3 4 2" xfId="11630"/>
    <cellStyle name="Note 3 3 3 4 3 4 2 2" xfId="25952"/>
    <cellStyle name="Note 3 3 3 4 3 4 3" xfId="5918"/>
    <cellStyle name="Note 3 3 3 4 3 5" xfId="5933"/>
    <cellStyle name="Note 3 3 3 4 3 5 2" xfId="23376"/>
    <cellStyle name="Note 3 3 3 4 3 6" xfId="15532"/>
    <cellStyle name="Note 3 3 3 4 4" xfId="2226"/>
    <cellStyle name="Note 3 3 3 4 4 2" xfId="6389"/>
    <cellStyle name="Note 3 3 3 4 4 2 2" xfId="12972"/>
    <cellStyle name="Note 3 3 3 4 4 2 2 2" xfId="27294"/>
    <cellStyle name="Note 3 3 3 4 4 2 3" xfId="18617"/>
    <cellStyle name="Note 3 3 3 4 4 3" xfId="7069"/>
    <cellStyle name="Note 3 3 3 4 4 3 2" xfId="9683"/>
    <cellStyle name="Note 3 3 3 4 4 3 2 2" xfId="15945"/>
    <cellStyle name="Note 3 3 3 4 4 3 2 2 2" xfId="29361"/>
    <cellStyle name="Note 3 3 3 4 4 3 2 3" xfId="20690"/>
    <cellStyle name="Note 3 3 3 4 4 3 3" xfId="13673"/>
    <cellStyle name="Note 3 3 3 4 4 3 3 2" xfId="27995"/>
    <cellStyle name="Note 3 3 3 4 4 3 4" xfId="19318"/>
    <cellStyle name="Note 3 3 3 4 4 4" xfId="4690"/>
    <cellStyle name="Note 3 3 3 4 4 4 2" xfId="23126"/>
    <cellStyle name="Note 3 3 3 4 4 5" xfId="14888"/>
    <cellStyle name="Note 3 3 3 4 5" xfId="2227"/>
    <cellStyle name="Note 3 3 3 4 5 2" xfId="7749"/>
    <cellStyle name="Note 3 3 3 4 5 2 2" xfId="10363"/>
    <cellStyle name="Note 3 3 3 4 5 2 2 2" xfId="16625"/>
    <cellStyle name="Note 3 3 3 4 5 2 2 2 2" xfId="30041"/>
    <cellStyle name="Note 3 3 3 4 5 2 2 3" xfId="21370"/>
    <cellStyle name="Note 3 3 3 4 5 2 3" xfId="14353"/>
    <cellStyle name="Note 3 3 3 4 5 2 3 2" xfId="28675"/>
    <cellStyle name="Note 3 3 3 4 5 2 4" xfId="19998"/>
    <cellStyle name="Note 3 3 3 4 5 3" xfId="4123"/>
    <cellStyle name="Note 3 3 3 4 5 3 2" xfId="22767"/>
    <cellStyle name="Note 3 3 3 4 5 4" xfId="15407"/>
    <cellStyle name="Note 3 3 3 4 6" xfId="5157"/>
    <cellStyle name="Note 3 3 3 4 6 2" xfId="11706"/>
    <cellStyle name="Note 3 3 3 4 6 2 2" xfId="26028"/>
    <cellStyle name="Note 3 3 3 4 6 3" xfId="4946"/>
    <cellStyle name="Note 3 3 3 4 7" xfId="6152"/>
    <cellStyle name="Note 3 3 3 4 7 2" xfId="23432"/>
    <cellStyle name="Note 3 3 3 4 8" xfId="17115"/>
    <cellStyle name="Note 3 3 3 5" xfId="2228"/>
    <cellStyle name="Note 3 3 3 5 2" xfId="2229"/>
    <cellStyle name="Note 3 3 3 5 2 2" xfId="2230"/>
    <cellStyle name="Note 3 3 3 5 2 2 2" xfId="6553"/>
    <cellStyle name="Note 3 3 3 5 2 2 2 2" xfId="13141"/>
    <cellStyle name="Note 3 3 3 5 2 2 2 2 2" xfId="27463"/>
    <cellStyle name="Note 3 3 3 5 2 2 2 3" xfId="18786"/>
    <cellStyle name="Note 3 3 3 5 2 2 3" xfId="4979"/>
    <cellStyle name="Note 3 3 3 5 2 2 3 2" xfId="9529"/>
    <cellStyle name="Note 3 3 3 5 2 2 3 2 2" xfId="15791"/>
    <cellStyle name="Note 3 3 3 5 2 2 3 2 2 2" xfId="29207"/>
    <cellStyle name="Note 3 3 3 5 2 2 3 2 3" xfId="20536"/>
    <cellStyle name="Note 3 3 3 5 2 2 3 3" xfId="11522"/>
    <cellStyle name="Note 3 3 3 5 2 2 3 3 2" xfId="25844"/>
    <cellStyle name="Note 3 3 3 5 2 2 3 4" xfId="14749"/>
    <cellStyle name="Note 3 3 3 5 2 2 4" xfId="3163"/>
    <cellStyle name="Note 3 3 3 5 2 2 4 2" xfId="22425"/>
    <cellStyle name="Note 3 3 3 5 2 2 5" xfId="15465"/>
    <cellStyle name="Note 3 3 3 5 2 3" xfId="2231"/>
    <cellStyle name="Note 3 3 3 5 2 3 2" xfId="8060"/>
    <cellStyle name="Note 3 3 3 5 2 3 2 2" xfId="10674"/>
    <cellStyle name="Note 3 3 3 5 2 3 2 2 2" xfId="16936"/>
    <cellStyle name="Note 3 3 3 5 2 3 2 2 2 2" xfId="30352"/>
    <cellStyle name="Note 3 3 3 5 2 3 2 2 3" xfId="21681"/>
    <cellStyle name="Note 3 3 3 5 2 3 2 3" xfId="14664"/>
    <cellStyle name="Note 3 3 3 5 2 3 2 3 2" xfId="28986"/>
    <cellStyle name="Note 3 3 3 5 2 3 2 4" xfId="20309"/>
    <cellStyle name="Note 3 3 3 5 2 3 3" xfId="13160"/>
    <cellStyle name="Note 3 3 3 5 2 3 3 2" xfId="27482"/>
    <cellStyle name="Note 3 3 3 5 2 3 4" xfId="18805"/>
    <cellStyle name="Note 3 3 3 5 2 4" xfId="5573"/>
    <cellStyle name="Note 3 3 3 5 2 4 2" xfId="12124"/>
    <cellStyle name="Note 3 3 3 5 2 4 2 2" xfId="26446"/>
    <cellStyle name="Note 3 3 3 5 2 4 3" xfId="17769"/>
    <cellStyle name="Note 3 3 3 5 2 5" xfId="4829"/>
    <cellStyle name="Note 3 3 3 5 2 5 2" xfId="23208"/>
    <cellStyle name="Note 3 3 3 5 2 6" xfId="17198"/>
    <cellStyle name="Note 3 3 3 5 3" xfId="2232"/>
    <cellStyle name="Note 3 3 3 5 3 2" xfId="6049"/>
    <cellStyle name="Note 3 3 3 5 3 2 2" xfId="12615"/>
    <cellStyle name="Note 3 3 3 5 3 2 2 2" xfId="26937"/>
    <cellStyle name="Note 3 3 3 5 3 2 3" xfId="18260"/>
    <cellStyle name="Note 3 3 3 5 3 3" xfId="7649"/>
    <cellStyle name="Note 3 3 3 5 3 3 2" xfId="10263"/>
    <cellStyle name="Note 3 3 3 5 3 3 2 2" xfId="16525"/>
    <cellStyle name="Note 3 3 3 5 3 3 2 2 2" xfId="29941"/>
    <cellStyle name="Note 3 3 3 5 3 3 2 3" xfId="21270"/>
    <cellStyle name="Note 3 3 3 5 3 3 3" xfId="14253"/>
    <cellStyle name="Note 3 3 3 5 3 3 3 2" xfId="28575"/>
    <cellStyle name="Note 3 3 3 5 3 3 4" xfId="19898"/>
    <cellStyle name="Note 3 3 3 5 3 4" xfId="3759"/>
    <cellStyle name="Note 3 3 3 5 3 4 2" xfId="22565"/>
    <cellStyle name="Note 3 3 3 5 3 5" xfId="14946"/>
    <cellStyle name="Note 3 3 3 5 4" xfId="2233"/>
    <cellStyle name="Note 3 3 3 5 4 2" xfId="7694"/>
    <cellStyle name="Note 3 3 3 5 4 2 2" xfId="10308"/>
    <cellStyle name="Note 3 3 3 5 4 2 2 2" xfId="16570"/>
    <cellStyle name="Note 3 3 3 5 4 2 2 2 2" xfId="29986"/>
    <cellStyle name="Note 3 3 3 5 4 2 2 3" xfId="21315"/>
    <cellStyle name="Note 3 3 3 5 4 2 3" xfId="14298"/>
    <cellStyle name="Note 3 3 3 5 4 2 3 2" xfId="28620"/>
    <cellStyle name="Note 3 3 3 5 4 2 4" xfId="19943"/>
    <cellStyle name="Note 3 3 3 5 4 3" xfId="12940"/>
    <cellStyle name="Note 3 3 3 5 4 3 2" xfId="27262"/>
    <cellStyle name="Note 3 3 3 5 4 4" xfId="18585"/>
    <cellStyle name="Note 3 3 3 5 5" xfId="5572"/>
    <cellStyle name="Note 3 3 3 5 5 2" xfId="12123"/>
    <cellStyle name="Note 3 3 3 5 5 2 2" xfId="26445"/>
    <cellStyle name="Note 3 3 3 5 5 3" xfId="17768"/>
    <cellStyle name="Note 3 3 3 5 6" xfId="4876"/>
    <cellStyle name="Note 3 3 3 5 6 2" xfId="23239"/>
    <cellStyle name="Note 3 3 3 5 7" xfId="15295"/>
    <cellStyle name="Note 3 3 3 6" xfId="2234"/>
    <cellStyle name="Note 3 3 3 6 2" xfId="2235"/>
    <cellStyle name="Note 3 3 3 6 2 2" xfId="5455"/>
    <cellStyle name="Note 3 3 3 6 2 2 2" xfId="12006"/>
    <cellStyle name="Note 3 3 3 6 2 2 2 2" xfId="26328"/>
    <cellStyle name="Note 3 3 3 6 2 2 3" xfId="17651"/>
    <cellStyle name="Note 3 3 3 6 2 3" xfId="7311"/>
    <cellStyle name="Note 3 3 3 6 2 3 2" xfId="9925"/>
    <cellStyle name="Note 3 3 3 6 2 3 2 2" xfId="16187"/>
    <cellStyle name="Note 3 3 3 6 2 3 2 2 2" xfId="29603"/>
    <cellStyle name="Note 3 3 3 6 2 3 2 3" xfId="20932"/>
    <cellStyle name="Note 3 3 3 6 2 3 3" xfId="13915"/>
    <cellStyle name="Note 3 3 3 6 2 3 3 2" xfId="28237"/>
    <cellStyle name="Note 3 3 3 6 2 3 4" xfId="19560"/>
    <cellStyle name="Note 3 3 3 6 2 4" xfId="3981"/>
    <cellStyle name="Note 3 3 3 6 2 4 2" xfId="22684"/>
    <cellStyle name="Note 3 3 3 6 2 5" xfId="14741"/>
    <cellStyle name="Note 3 3 3 6 3" xfId="2236"/>
    <cellStyle name="Note 3 3 3 6 3 2" xfId="7234"/>
    <cellStyle name="Note 3 3 3 6 3 2 2" xfId="9848"/>
    <cellStyle name="Note 3 3 3 6 3 2 2 2" xfId="16110"/>
    <cellStyle name="Note 3 3 3 6 3 2 2 2 2" xfId="29526"/>
    <cellStyle name="Note 3 3 3 6 3 2 2 3" xfId="20855"/>
    <cellStyle name="Note 3 3 3 6 3 2 3" xfId="13838"/>
    <cellStyle name="Note 3 3 3 6 3 2 3 2" xfId="28160"/>
    <cellStyle name="Note 3 3 3 6 3 2 4" xfId="19483"/>
    <cellStyle name="Note 3 3 3 6 3 3" xfId="11615"/>
    <cellStyle name="Note 3 3 3 6 3 3 2" xfId="25937"/>
    <cellStyle name="Note 3 3 3 6 3 4" xfId="15432"/>
    <cellStyle name="Note 3 3 3 6 4" xfId="4456"/>
    <cellStyle name="Note 3 3 3 6 4 2" xfId="4527"/>
    <cellStyle name="Note 3 3 3 6 4 2 2" xfId="23008"/>
    <cellStyle name="Note 3 3 3 6 4 3" xfId="4314"/>
    <cellStyle name="Note 3 3 3 6 5" xfId="6582"/>
    <cellStyle name="Note 3 3 3 6 5 2" xfId="23589"/>
    <cellStyle name="Note 3 3 3 6 6" xfId="14806"/>
    <cellStyle name="Note 3 3 3 7" xfId="2237"/>
    <cellStyle name="Note 3 3 3 7 2" xfId="6855"/>
    <cellStyle name="Note 3 3 3 7 2 2" xfId="13459"/>
    <cellStyle name="Note 3 3 3 7 2 2 2" xfId="27781"/>
    <cellStyle name="Note 3 3 3 7 2 3" xfId="19104"/>
    <cellStyle name="Note 3 3 3 7 3" xfId="5242"/>
    <cellStyle name="Note 3 3 3 7 3 2" xfId="9552"/>
    <cellStyle name="Note 3 3 3 7 3 2 2" xfId="15814"/>
    <cellStyle name="Note 3 3 3 7 3 2 2 2" xfId="29230"/>
    <cellStyle name="Note 3 3 3 7 3 2 3" xfId="20559"/>
    <cellStyle name="Note 3 3 3 7 3 3" xfId="11792"/>
    <cellStyle name="Note 3 3 3 7 3 3 2" xfId="26114"/>
    <cellStyle name="Note 3 3 3 7 3 4" xfId="17437"/>
    <cellStyle name="Note 3 3 3 7 4" xfId="11313"/>
    <cellStyle name="Note 3 3 3 7 4 2" xfId="25635"/>
    <cellStyle name="Note 3 3 3 7 5" xfId="17326"/>
    <cellStyle name="Note 3 3 3 8" xfId="2238"/>
    <cellStyle name="Note 3 3 3 8 2" xfId="7375"/>
    <cellStyle name="Note 3 3 3 8 2 2" xfId="9989"/>
    <cellStyle name="Note 3 3 3 8 2 2 2" xfId="16251"/>
    <cellStyle name="Note 3 3 3 8 2 2 2 2" xfId="29667"/>
    <cellStyle name="Note 3 3 3 8 2 2 3" xfId="20996"/>
    <cellStyle name="Note 3 3 3 8 2 3" xfId="13979"/>
    <cellStyle name="Note 3 3 3 8 2 3 2" xfId="28301"/>
    <cellStyle name="Note 3 3 3 8 2 4" xfId="19624"/>
    <cellStyle name="Note 3 3 3 8 3" xfId="11690"/>
    <cellStyle name="Note 3 3 3 8 3 2" xfId="26012"/>
    <cellStyle name="Note 3 3 3 8 4" xfId="6795"/>
    <cellStyle name="Note 3 3 3 9" xfId="5177"/>
    <cellStyle name="Note 3 3 3 9 2" xfId="11726"/>
    <cellStyle name="Note 3 3 3 9 2 2" xfId="26048"/>
    <cellStyle name="Note 3 3 3 9 3" xfId="4116"/>
    <cellStyle name="Note 3 3 4" xfId="2239"/>
    <cellStyle name="Note 3 3 4 2" xfId="2240"/>
    <cellStyle name="Note 3 3 4 2 2" xfId="2241"/>
    <cellStyle name="Note 3 3 4 2 2 2" xfId="6840"/>
    <cellStyle name="Note 3 3 4 2 2 2 2" xfId="13444"/>
    <cellStyle name="Note 3 3 4 2 2 2 2 2" xfId="27766"/>
    <cellStyle name="Note 3 3 4 2 2 2 3" xfId="19089"/>
    <cellStyle name="Note 3 3 4 2 2 3" xfId="7225"/>
    <cellStyle name="Note 3 3 4 2 2 3 2" xfId="9839"/>
    <cellStyle name="Note 3 3 4 2 2 3 2 2" xfId="16101"/>
    <cellStyle name="Note 3 3 4 2 2 3 2 2 2" xfId="29517"/>
    <cellStyle name="Note 3 3 4 2 2 3 2 3" xfId="20846"/>
    <cellStyle name="Note 3 3 4 2 2 3 3" xfId="13829"/>
    <cellStyle name="Note 3 3 4 2 2 3 3 2" xfId="28151"/>
    <cellStyle name="Note 3 3 4 2 2 3 4" xfId="19474"/>
    <cellStyle name="Note 3 3 4 2 2 4" xfId="2814"/>
    <cellStyle name="Note 3 3 4 2 2 4 2" xfId="22377"/>
    <cellStyle name="Note 3 3 4 2 2 5" xfId="14906"/>
    <cellStyle name="Note 3 3 4 2 3" xfId="2242"/>
    <cellStyle name="Note 3 3 4 2 3 2" xfId="7128"/>
    <cellStyle name="Note 3 3 4 2 3 2 2" xfId="9742"/>
    <cellStyle name="Note 3 3 4 2 3 2 2 2" xfId="16004"/>
    <cellStyle name="Note 3 3 4 2 3 2 2 2 2" xfId="29420"/>
    <cellStyle name="Note 3 3 4 2 3 2 2 3" xfId="20749"/>
    <cellStyle name="Note 3 3 4 2 3 2 3" xfId="13732"/>
    <cellStyle name="Note 3 3 4 2 3 2 3 2" xfId="28054"/>
    <cellStyle name="Note 3 3 4 2 3 2 4" xfId="19377"/>
    <cellStyle name="Note 3 3 4 2 3 3" xfId="13209"/>
    <cellStyle name="Note 3 3 4 2 3 3 2" xfId="27531"/>
    <cellStyle name="Note 3 3 4 2 3 4" xfId="18854"/>
    <cellStyle name="Note 3 3 4 2 4" xfId="5648"/>
    <cellStyle name="Note 3 3 4 2 4 2" xfId="12201"/>
    <cellStyle name="Note 3 3 4 2 4 2 2" xfId="26523"/>
    <cellStyle name="Note 3 3 4 2 4 3" xfId="17846"/>
    <cellStyle name="Note 3 3 4 2 5" xfId="4707"/>
    <cellStyle name="Note 3 3 4 2 5 2" xfId="23140"/>
    <cellStyle name="Note 3 3 4 2 6" xfId="17139"/>
    <cellStyle name="Note 3 3 4 3" xfId="2243"/>
    <cellStyle name="Note 3 3 4 3 2" xfId="2244"/>
    <cellStyle name="Note 3 3 4 3 2 2" xfId="6410"/>
    <cellStyle name="Note 3 3 4 3 2 2 2" xfId="12993"/>
    <cellStyle name="Note 3 3 4 3 2 2 2 2" xfId="27315"/>
    <cellStyle name="Note 3 3 4 3 2 2 3" xfId="18638"/>
    <cellStyle name="Note 3 3 4 3 2 3" xfId="7153"/>
    <cellStyle name="Note 3 3 4 3 2 3 2" xfId="9767"/>
    <cellStyle name="Note 3 3 4 3 2 3 2 2" xfId="16029"/>
    <cellStyle name="Note 3 3 4 3 2 3 2 2 2" xfId="29445"/>
    <cellStyle name="Note 3 3 4 3 2 3 2 3" xfId="20774"/>
    <cellStyle name="Note 3 3 4 3 2 3 3" xfId="13757"/>
    <cellStyle name="Note 3 3 4 3 2 3 3 2" xfId="28079"/>
    <cellStyle name="Note 3 3 4 3 2 3 4" xfId="19402"/>
    <cellStyle name="Note 3 3 4 3 2 4" xfId="3935"/>
    <cellStyle name="Note 3 3 4 3 2 4 2" xfId="22653"/>
    <cellStyle name="Note 3 3 4 3 2 5" xfId="17095"/>
    <cellStyle name="Note 3 3 4 3 3" xfId="2245"/>
    <cellStyle name="Note 3 3 4 3 3 2" xfId="5294"/>
    <cellStyle name="Note 3 3 4 3 3 2 2" xfId="9603"/>
    <cellStyle name="Note 3 3 4 3 3 2 2 2" xfId="15865"/>
    <cellStyle name="Note 3 3 4 3 3 2 2 2 2" xfId="29281"/>
    <cellStyle name="Note 3 3 4 3 3 2 2 3" xfId="20610"/>
    <cellStyle name="Note 3 3 4 3 3 2 3" xfId="11844"/>
    <cellStyle name="Note 3 3 4 3 3 2 3 2" xfId="26166"/>
    <cellStyle name="Note 3 3 4 3 3 2 4" xfId="17489"/>
    <cellStyle name="Note 3 3 4 3 3 3" xfId="13129"/>
    <cellStyle name="Note 3 3 4 3 3 3 2" xfId="27451"/>
    <cellStyle name="Note 3 3 4 3 3 4" xfId="18774"/>
    <cellStyle name="Note 3 3 4 3 4" xfId="5519"/>
    <cellStyle name="Note 3 3 4 3 4 2" xfId="12070"/>
    <cellStyle name="Note 3 3 4 3 4 2 2" xfId="26392"/>
    <cellStyle name="Note 3 3 4 3 4 3" xfId="17715"/>
    <cellStyle name="Note 3 3 4 3 5" xfId="6643"/>
    <cellStyle name="Note 3 3 4 3 5 2" xfId="23623"/>
    <cellStyle name="Note 3 3 4 3 6" xfId="4647"/>
    <cellStyle name="Note 3 3 4 4" xfId="2246"/>
    <cellStyle name="Note 3 3 4 4 2" xfId="6834"/>
    <cellStyle name="Note 3 3 4 4 2 2" xfId="13438"/>
    <cellStyle name="Note 3 3 4 4 2 2 2" xfId="27760"/>
    <cellStyle name="Note 3 3 4 4 2 3" xfId="19083"/>
    <cellStyle name="Note 3 3 4 4 3" xfId="7761"/>
    <cellStyle name="Note 3 3 4 4 3 2" xfId="10375"/>
    <cellStyle name="Note 3 3 4 4 3 2 2" xfId="16637"/>
    <cellStyle name="Note 3 3 4 4 3 2 2 2" xfId="30053"/>
    <cellStyle name="Note 3 3 4 4 3 2 3" xfId="21382"/>
    <cellStyle name="Note 3 3 4 4 3 3" xfId="14365"/>
    <cellStyle name="Note 3 3 4 4 3 3 2" xfId="28687"/>
    <cellStyle name="Note 3 3 4 4 3 4" xfId="20010"/>
    <cellStyle name="Note 3 3 4 4 4" xfId="2775"/>
    <cellStyle name="Note 3 3 4 4 4 2" xfId="22344"/>
    <cellStyle name="Note 3 3 4 4 5" xfId="15457"/>
    <cellStyle name="Note 3 3 4 5" xfId="2247"/>
    <cellStyle name="Note 3 3 4 5 2" xfId="5304"/>
    <cellStyle name="Note 3 3 4 5 2 2" xfId="9613"/>
    <cellStyle name="Note 3 3 4 5 2 2 2" xfId="15875"/>
    <cellStyle name="Note 3 3 4 5 2 2 2 2" xfId="29291"/>
    <cellStyle name="Note 3 3 4 5 2 2 3" xfId="20620"/>
    <cellStyle name="Note 3 3 4 5 2 3" xfId="11854"/>
    <cellStyle name="Note 3 3 4 5 2 3 2" xfId="26176"/>
    <cellStyle name="Note 3 3 4 5 2 4" xfId="17499"/>
    <cellStyle name="Note 3 3 4 5 3" xfId="12274"/>
    <cellStyle name="Note 3 3 4 5 3 2" xfId="26596"/>
    <cellStyle name="Note 3 3 4 5 4" xfId="17919"/>
    <cellStyle name="Note 3 3 4 6" xfId="5079"/>
    <cellStyle name="Note 3 3 4 6 2" xfId="11626"/>
    <cellStyle name="Note 3 3 4 6 2 2" xfId="25948"/>
    <cellStyle name="Note 3 3 4 6 3" xfId="15553"/>
    <cellStyle name="Note 3 3 4 7" xfId="4788"/>
    <cellStyle name="Note 3 3 4 7 2" xfId="23188"/>
    <cellStyle name="Note 3 3 4 8" xfId="15044"/>
    <cellStyle name="Note 3 3 5" xfId="2248"/>
    <cellStyle name="Note 3 3 5 2" xfId="2249"/>
    <cellStyle name="Note 3 3 5 2 2" xfId="2250"/>
    <cellStyle name="Note 3 3 5 2 2 2" xfId="7002"/>
    <cellStyle name="Note 3 3 5 2 2 2 2" xfId="13606"/>
    <cellStyle name="Note 3 3 5 2 2 2 2 2" xfId="27928"/>
    <cellStyle name="Note 3 3 5 2 2 2 3" xfId="19251"/>
    <cellStyle name="Note 3 3 5 2 2 3" xfId="3656"/>
    <cellStyle name="Note 3 3 5 2 2 3 2" xfId="9354"/>
    <cellStyle name="Note 3 3 5 2 2 3 2 2" xfId="15616"/>
    <cellStyle name="Note 3 3 5 2 2 3 2 2 2" xfId="29032"/>
    <cellStyle name="Note 3 3 5 2 2 3 2 3" xfId="20361"/>
    <cellStyle name="Note 3 3 5 2 2 3 3" xfId="3686"/>
    <cellStyle name="Note 3 3 5 2 2 3 3 2" xfId="22528"/>
    <cellStyle name="Note 3 3 5 2 2 3 4" xfId="4229"/>
    <cellStyle name="Note 3 3 5 2 2 4" xfId="11520"/>
    <cellStyle name="Note 3 3 5 2 2 4 2" xfId="25842"/>
    <cellStyle name="Note 3 3 5 2 2 5" xfId="15421"/>
    <cellStyle name="Note 3 3 5 2 3" xfId="2251"/>
    <cellStyle name="Note 3 3 5 2 3 2" xfId="4830"/>
    <cellStyle name="Note 3 3 5 2 3 2 2" xfId="9496"/>
    <cellStyle name="Note 3 3 5 2 3 2 2 2" xfId="15758"/>
    <cellStyle name="Note 3 3 5 2 3 2 2 2 2" xfId="29174"/>
    <cellStyle name="Note 3 3 5 2 3 2 2 3" xfId="20503"/>
    <cellStyle name="Note 3 3 5 2 3 2 3" xfId="11363"/>
    <cellStyle name="Note 3 3 5 2 3 2 3 2" xfId="25685"/>
    <cellStyle name="Note 3 3 5 2 3 2 4" xfId="15509"/>
    <cellStyle name="Note 3 3 5 2 3 3" xfId="13212"/>
    <cellStyle name="Note 3 3 5 2 3 3 2" xfId="27534"/>
    <cellStyle name="Note 3 3 5 2 3 4" xfId="18857"/>
    <cellStyle name="Note 3 3 5 2 4" xfId="5651"/>
    <cellStyle name="Note 3 3 5 2 4 2" xfId="12204"/>
    <cellStyle name="Note 3 3 5 2 4 2 2" xfId="26526"/>
    <cellStyle name="Note 3 3 5 2 4 3" xfId="17849"/>
    <cellStyle name="Note 3 3 5 2 5" xfId="4667"/>
    <cellStyle name="Note 3 3 5 2 5 2" xfId="23106"/>
    <cellStyle name="Note 3 3 5 2 6" xfId="17340"/>
    <cellStyle name="Note 3 3 5 3" xfId="2252"/>
    <cellStyle name="Note 3 3 5 3 2" xfId="2253"/>
    <cellStyle name="Note 3 3 5 3 2 2" xfId="6889"/>
    <cellStyle name="Note 3 3 5 3 2 2 2" xfId="13493"/>
    <cellStyle name="Note 3 3 5 3 2 2 2 2" xfId="27815"/>
    <cellStyle name="Note 3 3 5 3 2 2 3" xfId="19138"/>
    <cellStyle name="Note 3 3 5 3 2 3" xfId="7594"/>
    <cellStyle name="Note 3 3 5 3 2 3 2" xfId="10208"/>
    <cellStyle name="Note 3 3 5 3 2 3 2 2" xfId="16470"/>
    <cellStyle name="Note 3 3 5 3 2 3 2 2 2" xfId="29886"/>
    <cellStyle name="Note 3 3 5 3 2 3 2 3" xfId="21215"/>
    <cellStyle name="Note 3 3 5 3 2 3 3" xfId="14198"/>
    <cellStyle name="Note 3 3 5 3 2 3 3 2" xfId="28520"/>
    <cellStyle name="Note 3 3 5 3 2 3 4" xfId="19843"/>
    <cellStyle name="Note 3 3 5 3 2 4" xfId="11365"/>
    <cellStyle name="Note 3 3 5 3 2 4 2" xfId="25687"/>
    <cellStyle name="Note 3 3 5 3 2 5" xfId="15037"/>
    <cellStyle name="Note 3 3 5 3 3" xfId="2254"/>
    <cellStyle name="Note 3 3 5 3 3 2" xfId="7590"/>
    <cellStyle name="Note 3 3 5 3 3 2 2" xfId="10204"/>
    <cellStyle name="Note 3 3 5 3 3 2 2 2" xfId="16466"/>
    <cellStyle name="Note 3 3 5 3 3 2 2 2 2" xfId="29882"/>
    <cellStyle name="Note 3 3 5 3 3 2 2 3" xfId="21211"/>
    <cellStyle name="Note 3 3 5 3 3 2 3" xfId="14194"/>
    <cellStyle name="Note 3 3 5 3 3 2 3 2" xfId="28516"/>
    <cellStyle name="Note 3 3 5 3 3 2 4" xfId="19839"/>
    <cellStyle name="Note 3 3 5 3 3 3" xfId="12653"/>
    <cellStyle name="Note 3 3 5 3 3 3 2" xfId="26975"/>
    <cellStyle name="Note 3 3 5 3 3 4" xfId="18298"/>
    <cellStyle name="Note 3 3 5 3 4" xfId="4017"/>
    <cellStyle name="Note 3 3 5 3 4 2" xfId="3668"/>
    <cellStyle name="Note 3 3 5 3 4 2 2" xfId="22514"/>
    <cellStyle name="Note 3 3 5 3 4 3" xfId="6790"/>
    <cellStyle name="Note 3 3 5 3 5" xfId="4885"/>
    <cellStyle name="Note 3 3 5 3 5 2" xfId="23243"/>
    <cellStyle name="Note 3 3 5 3 6" xfId="2842"/>
    <cellStyle name="Note 3 3 5 4" xfId="2255"/>
    <cellStyle name="Note 3 3 5 4 2" xfId="6874"/>
    <cellStyle name="Note 3 3 5 4 2 2" xfId="13478"/>
    <cellStyle name="Note 3 3 5 4 2 2 2" xfId="27800"/>
    <cellStyle name="Note 3 3 5 4 2 3" xfId="19123"/>
    <cellStyle name="Note 3 3 5 4 3" xfId="7351"/>
    <cellStyle name="Note 3 3 5 4 3 2" xfId="9965"/>
    <cellStyle name="Note 3 3 5 4 3 2 2" xfId="16227"/>
    <cellStyle name="Note 3 3 5 4 3 2 2 2" xfId="29643"/>
    <cellStyle name="Note 3 3 5 4 3 2 3" xfId="20972"/>
    <cellStyle name="Note 3 3 5 4 3 3" xfId="13955"/>
    <cellStyle name="Note 3 3 5 4 3 3 2" xfId="28277"/>
    <cellStyle name="Note 3 3 5 4 3 4" xfId="19600"/>
    <cellStyle name="Note 3 3 5 4 4" xfId="11342"/>
    <cellStyle name="Note 3 3 5 4 4 2" xfId="25664"/>
    <cellStyle name="Note 3 3 5 4 5" xfId="16986"/>
    <cellStyle name="Note 3 3 5 5" xfId="2256"/>
    <cellStyle name="Note 3 3 5 5 2" xfId="7343"/>
    <cellStyle name="Note 3 3 5 5 2 2" xfId="9957"/>
    <cellStyle name="Note 3 3 5 5 2 2 2" xfId="16219"/>
    <cellStyle name="Note 3 3 5 5 2 2 2 2" xfId="29635"/>
    <cellStyle name="Note 3 3 5 5 2 2 3" xfId="20964"/>
    <cellStyle name="Note 3 3 5 5 2 3" xfId="13947"/>
    <cellStyle name="Note 3 3 5 5 2 3 2" xfId="28269"/>
    <cellStyle name="Note 3 3 5 5 2 4" xfId="19592"/>
    <cellStyle name="Note 3 3 5 5 3" xfId="4470"/>
    <cellStyle name="Note 3 3 5 5 3 2" xfId="22969"/>
    <cellStyle name="Note 3 3 5 5 4" xfId="17207"/>
    <cellStyle name="Note 3 3 5 6" xfId="5166"/>
    <cellStyle name="Note 3 3 5 6 2" xfId="11715"/>
    <cellStyle name="Note 3 3 5 6 2 2" xfId="26037"/>
    <cellStyle name="Note 3 3 5 6 3" xfId="6118"/>
    <cellStyle name="Note 3 3 5 7" xfId="4861"/>
    <cellStyle name="Note 3 3 5 7 2" xfId="23226"/>
    <cellStyle name="Note 3 3 5 8" xfId="15597"/>
    <cellStyle name="Note 3 3 6" xfId="2257"/>
    <cellStyle name="Note 3 3 6 2" xfId="2258"/>
    <cellStyle name="Note 3 3 6 2 2" xfId="2259"/>
    <cellStyle name="Note 3 3 6 2 2 2" xfId="6897"/>
    <cellStyle name="Note 3 3 6 2 2 2 2" xfId="13501"/>
    <cellStyle name="Note 3 3 6 2 2 2 2 2" xfId="27823"/>
    <cellStyle name="Note 3 3 6 2 2 2 3" xfId="19146"/>
    <cellStyle name="Note 3 3 6 2 2 3" xfId="4110"/>
    <cellStyle name="Note 3 3 6 2 2 3 2" xfId="9429"/>
    <cellStyle name="Note 3 3 6 2 2 3 2 2" xfId="15691"/>
    <cellStyle name="Note 3 3 6 2 2 3 2 2 2" xfId="29107"/>
    <cellStyle name="Note 3 3 6 2 2 3 2 3" xfId="20436"/>
    <cellStyle name="Note 3 3 6 2 2 3 3" xfId="6783"/>
    <cellStyle name="Note 3 3 6 2 2 3 3 2" xfId="23727"/>
    <cellStyle name="Note 3 3 6 2 2 3 4" xfId="17179"/>
    <cellStyle name="Note 3 3 6 2 2 4" xfId="11376"/>
    <cellStyle name="Note 3 3 6 2 2 4 2" xfId="25698"/>
    <cellStyle name="Note 3 3 6 2 2 5" xfId="17185"/>
    <cellStyle name="Note 3 3 6 2 3" xfId="2260"/>
    <cellStyle name="Note 3 3 6 2 3 2" xfId="5311"/>
    <cellStyle name="Note 3 3 6 2 3 2 2" xfId="9620"/>
    <cellStyle name="Note 3 3 6 2 3 2 2 2" xfId="15882"/>
    <cellStyle name="Note 3 3 6 2 3 2 2 2 2" xfId="29298"/>
    <cellStyle name="Note 3 3 6 2 3 2 2 3" xfId="20627"/>
    <cellStyle name="Note 3 3 6 2 3 2 3" xfId="11861"/>
    <cellStyle name="Note 3 3 6 2 3 2 3 2" xfId="26183"/>
    <cellStyle name="Note 3 3 6 2 3 2 4" xfId="17506"/>
    <cellStyle name="Note 3 3 6 2 3 3" xfId="13250"/>
    <cellStyle name="Note 3 3 6 2 3 3 2" xfId="27572"/>
    <cellStyle name="Note 3 3 6 2 3 4" xfId="18895"/>
    <cellStyle name="Note 3 3 6 2 4" xfId="5692"/>
    <cellStyle name="Note 3 3 6 2 4 2" xfId="12245"/>
    <cellStyle name="Note 3 3 6 2 4 2 2" xfId="26567"/>
    <cellStyle name="Note 3 3 6 2 4 3" xfId="17890"/>
    <cellStyle name="Note 3 3 6 2 5" xfId="4681"/>
    <cellStyle name="Note 3 3 6 2 5 2" xfId="23118"/>
    <cellStyle name="Note 3 3 6 2 6" xfId="14949"/>
    <cellStyle name="Note 3 3 6 3" xfId="2261"/>
    <cellStyle name="Note 3 3 6 3 2" xfId="2262"/>
    <cellStyle name="Note 3 3 6 3 2 2" xfId="6925"/>
    <cellStyle name="Note 3 3 6 3 2 2 2" xfId="13529"/>
    <cellStyle name="Note 3 3 6 3 2 2 2 2" xfId="27851"/>
    <cellStyle name="Note 3 3 6 3 2 2 3" xfId="19174"/>
    <cellStyle name="Note 3 3 6 3 2 3" xfId="7870"/>
    <cellStyle name="Note 3 3 6 3 2 3 2" xfId="10484"/>
    <cellStyle name="Note 3 3 6 3 2 3 2 2" xfId="16746"/>
    <cellStyle name="Note 3 3 6 3 2 3 2 2 2" xfId="30162"/>
    <cellStyle name="Note 3 3 6 3 2 3 2 3" xfId="21491"/>
    <cellStyle name="Note 3 3 6 3 2 3 3" xfId="14474"/>
    <cellStyle name="Note 3 3 6 3 2 3 3 2" xfId="28796"/>
    <cellStyle name="Note 3 3 6 3 2 3 4" xfId="20119"/>
    <cellStyle name="Note 3 3 6 3 2 4" xfId="11414"/>
    <cellStyle name="Note 3 3 6 3 2 4 2" xfId="25736"/>
    <cellStyle name="Note 3 3 6 3 2 5" xfId="17044"/>
    <cellStyle name="Note 3 3 6 3 3" xfId="2263"/>
    <cellStyle name="Note 3 3 6 3 3 2" xfId="7524"/>
    <cellStyle name="Note 3 3 6 3 3 2 2" xfId="10138"/>
    <cellStyle name="Note 3 3 6 3 3 2 2 2" xfId="16400"/>
    <cellStyle name="Note 3 3 6 3 3 2 2 2 2" xfId="29816"/>
    <cellStyle name="Note 3 3 6 3 3 2 2 3" xfId="21145"/>
    <cellStyle name="Note 3 3 6 3 3 2 3" xfId="14128"/>
    <cellStyle name="Note 3 3 6 3 3 2 3 2" xfId="28450"/>
    <cellStyle name="Note 3 3 6 3 3 2 4" xfId="19773"/>
    <cellStyle name="Note 3 3 6 3 3 3" xfId="12788"/>
    <cellStyle name="Note 3 3 6 3 3 3 2" xfId="27110"/>
    <cellStyle name="Note 3 3 6 3 3 4" xfId="18433"/>
    <cellStyle name="Note 3 3 6 3 4" xfId="4293"/>
    <cellStyle name="Note 3 3 6 3 4 2" xfId="2787"/>
    <cellStyle name="Note 3 3 6 3 4 2 2" xfId="22355"/>
    <cellStyle name="Note 3 3 6 3 4 3" xfId="14953"/>
    <cellStyle name="Note 3 3 6 3 5" xfId="4814"/>
    <cellStyle name="Note 3 3 6 3 5 2" xfId="23201"/>
    <cellStyle name="Note 3 3 6 3 6" xfId="16980"/>
    <cellStyle name="Note 3 3 6 4" xfId="2264"/>
    <cellStyle name="Note 3 3 6 4 2" xfId="6520"/>
    <cellStyle name="Note 3 3 6 4 2 2" xfId="13108"/>
    <cellStyle name="Note 3 3 6 4 2 2 2" xfId="27430"/>
    <cellStyle name="Note 3 3 6 4 2 3" xfId="18753"/>
    <cellStyle name="Note 3 3 6 4 3" xfId="3657"/>
    <cellStyle name="Note 3 3 6 4 3 2" xfId="9355"/>
    <cellStyle name="Note 3 3 6 4 3 2 2" xfId="15617"/>
    <cellStyle name="Note 3 3 6 4 3 2 2 2" xfId="29033"/>
    <cellStyle name="Note 3 3 6 4 3 2 3" xfId="20362"/>
    <cellStyle name="Note 3 3 6 4 3 3" xfId="6149"/>
    <cellStyle name="Note 3 3 6 4 3 3 2" xfId="23430"/>
    <cellStyle name="Note 3 3 6 4 3 4" xfId="17180"/>
    <cellStyle name="Note 3 3 6 4 4" xfId="3025"/>
    <cellStyle name="Note 3 3 6 4 4 2" xfId="22413"/>
    <cellStyle name="Note 3 3 6 4 5" xfId="15305"/>
    <cellStyle name="Note 3 3 6 5" xfId="2265"/>
    <cellStyle name="Note 3 3 6 5 2" xfId="7719"/>
    <cellStyle name="Note 3 3 6 5 2 2" xfId="10333"/>
    <cellStyle name="Note 3 3 6 5 2 2 2" xfId="16595"/>
    <cellStyle name="Note 3 3 6 5 2 2 2 2" xfId="30011"/>
    <cellStyle name="Note 3 3 6 5 2 2 3" xfId="21340"/>
    <cellStyle name="Note 3 3 6 5 2 3" xfId="14323"/>
    <cellStyle name="Note 3 3 6 5 2 3 2" xfId="28645"/>
    <cellStyle name="Note 3 3 6 5 2 4" xfId="19968"/>
    <cellStyle name="Note 3 3 6 5 3" xfId="12744"/>
    <cellStyle name="Note 3 3 6 5 3 2" xfId="27066"/>
    <cellStyle name="Note 3 3 6 5 4" xfId="18389"/>
    <cellStyle name="Note 3 3 6 6" xfId="5047"/>
    <cellStyle name="Note 3 3 6 6 2" xfId="11594"/>
    <cellStyle name="Note 3 3 6 6 2 2" xfId="25916"/>
    <cellStyle name="Note 3 3 6 6 3" xfId="6509"/>
    <cellStyle name="Note 3 3 6 7" xfId="4823"/>
    <cellStyle name="Note 3 3 6 7 2" xfId="23204"/>
    <cellStyle name="Note 3 3 6 8" xfId="6665"/>
    <cellStyle name="Note 3 3 7" xfId="2266"/>
    <cellStyle name="Note 3 3 7 2" xfId="2267"/>
    <cellStyle name="Note 3 3 7 2 2" xfId="2268"/>
    <cellStyle name="Note 3 3 7 2 2 2" xfId="6368"/>
    <cellStyle name="Note 3 3 7 2 2 2 2" xfId="12951"/>
    <cellStyle name="Note 3 3 7 2 2 2 2 2" xfId="27273"/>
    <cellStyle name="Note 3 3 7 2 2 2 3" xfId="18596"/>
    <cellStyle name="Note 3 3 7 2 2 3" xfId="7869"/>
    <cellStyle name="Note 3 3 7 2 2 3 2" xfId="10483"/>
    <cellStyle name="Note 3 3 7 2 2 3 2 2" xfId="16745"/>
    <cellStyle name="Note 3 3 7 2 2 3 2 2 2" xfId="30161"/>
    <cellStyle name="Note 3 3 7 2 2 3 2 3" xfId="21490"/>
    <cellStyle name="Note 3 3 7 2 2 3 3" xfId="14473"/>
    <cellStyle name="Note 3 3 7 2 2 3 3 2" xfId="28795"/>
    <cellStyle name="Note 3 3 7 2 2 3 4" xfId="20118"/>
    <cellStyle name="Note 3 3 7 2 2 4" xfId="4166"/>
    <cellStyle name="Note 3 3 7 2 2 4 2" xfId="22792"/>
    <cellStyle name="Note 3 3 7 2 2 5" xfId="14690"/>
    <cellStyle name="Note 3 3 7 2 3" xfId="2269"/>
    <cellStyle name="Note 3 3 7 2 3 2" xfId="7498"/>
    <cellStyle name="Note 3 3 7 2 3 2 2" xfId="10112"/>
    <cellStyle name="Note 3 3 7 2 3 2 2 2" xfId="16374"/>
    <cellStyle name="Note 3 3 7 2 3 2 2 2 2" xfId="29790"/>
    <cellStyle name="Note 3 3 7 2 3 2 2 3" xfId="21119"/>
    <cellStyle name="Note 3 3 7 2 3 2 3" xfId="14102"/>
    <cellStyle name="Note 3 3 7 2 3 2 3 2" xfId="28424"/>
    <cellStyle name="Note 3 3 7 2 3 2 4" xfId="19747"/>
    <cellStyle name="Note 3 3 7 2 3 3" xfId="13190"/>
    <cellStyle name="Note 3 3 7 2 3 3 2" xfId="27512"/>
    <cellStyle name="Note 3 3 7 2 3 4" xfId="18835"/>
    <cellStyle name="Note 3 3 7 2 4" xfId="5627"/>
    <cellStyle name="Note 3 3 7 2 4 2" xfId="12180"/>
    <cellStyle name="Note 3 3 7 2 4 2 2" xfId="26502"/>
    <cellStyle name="Note 3 3 7 2 4 3" xfId="17825"/>
    <cellStyle name="Note 3 3 7 2 5" xfId="5211"/>
    <cellStyle name="Note 3 3 7 2 5 2" xfId="23336"/>
    <cellStyle name="Note 3 3 7 2 6" xfId="14891"/>
    <cellStyle name="Note 3 3 7 3" xfId="2270"/>
    <cellStyle name="Note 3 3 7 3 2" xfId="5939"/>
    <cellStyle name="Note 3 3 7 3 2 2" xfId="12496"/>
    <cellStyle name="Note 3 3 7 3 2 2 2" xfId="26818"/>
    <cellStyle name="Note 3 3 7 3 2 3" xfId="18141"/>
    <cellStyle name="Note 3 3 7 3 3" xfId="7695"/>
    <cellStyle name="Note 3 3 7 3 3 2" xfId="10309"/>
    <cellStyle name="Note 3 3 7 3 3 2 2" xfId="16571"/>
    <cellStyle name="Note 3 3 7 3 3 2 2 2" xfId="29987"/>
    <cellStyle name="Note 3 3 7 3 3 2 3" xfId="21316"/>
    <cellStyle name="Note 3 3 7 3 3 3" xfId="14299"/>
    <cellStyle name="Note 3 3 7 3 3 3 2" xfId="28621"/>
    <cellStyle name="Note 3 3 7 3 3 4" xfId="19944"/>
    <cellStyle name="Note 3 3 7 3 4" xfId="6709"/>
    <cellStyle name="Note 3 3 7 3 4 2" xfId="23665"/>
    <cellStyle name="Note 3 3 7 3 5" xfId="15357"/>
    <cellStyle name="Note 3 3 7 4" xfId="2271"/>
    <cellStyle name="Note 3 3 7 4 2" xfId="7058"/>
    <cellStyle name="Note 3 3 7 4 2 2" xfId="9672"/>
    <cellStyle name="Note 3 3 7 4 2 2 2" xfId="15934"/>
    <cellStyle name="Note 3 3 7 4 2 2 2 2" xfId="29350"/>
    <cellStyle name="Note 3 3 7 4 2 2 3" xfId="20679"/>
    <cellStyle name="Note 3 3 7 4 2 3" xfId="13662"/>
    <cellStyle name="Note 3 3 7 4 2 3 2" xfId="27984"/>
    <cellStyle name="Note 3 3 7 4 2 4" xfId="19307"/>
    <cellStyle name="Note 3 3 7 4 3" xfId="11969"/>
    <cellStyle name="Note 3 3 7 4 3 2" xfId="26291"/>
    <cellStyle name="Note 3 3 7 4 4" xfId="17614"/>
    <cellStyle name="Note 3 3 7 5" xfId="5208"/>
    <cellStyle name="Note 3 3 7 5 2" xfId="11757"/>
    <cellStyle name="Note 3 3 7 5 2 2" xfId="26079"/>
    <cellStyle name="Note 3 3 7 5 3" xfId="17402"/>
    <cellStyle name="Note 3 3 7 6" xfId="6746"/>
    <cellStyle name="Note 3 3 7 6 2" xfId="23694"/>
    <cellStyle name="Note 3 3 7 7" xfId="15560"/>
    <cellStyle name="Note 3 3 8" xfId="2272"/>
    <cellStyle name="Note 3 3 8 2" xfId="2273"/>
    <cellStyle name="Note 3 3 8 2 2" xfId="4906"/>
    <cellStyle name="Note 3 3 8 2 2 2" xfId="11443"/>
    <cellStyle name="Note 3 3 8 2 2 2 2" xfId="25765"/>
    <cellStyle name="Note 3 3 8 2 2 3" xfId="15547"/>
    <cellStyle name="Note 3 3 8 2 3" xfId="8070"/>
    <cellStyle name="Note 3 3 8 2 3 2" xfId="10684"/>
    <cellStyle name="Note 3 3 8 2 3 2 2" xfId="16946"/>
    <cellStyle name="Note 3 3 8 2 3 2 2 2" xfId="30362"/>
    <cellStyle name="Note 3 3 8 2 3 2 3" xfId="21691"/>
    <cellStyle name="Note 3 3 8 2 3 3" xfId="14674"/>
    <cellStyle name="Note 3 3 8 2 3 3 2" xfId="28996"/>
    <cellStyle name="Note 3 3 8 2 3 4" xfId="20319"/>
    <cellStyle name="Note 3 3 8 2 4" xfId="4776"/>
    <cellStyle name="Note 3 3 8 2 4 2" xfId="23182"/>
    <cellStyle name="Note 3 3 8 2 5" xfId="4529"/>
    <cellStyle name="Note 3 3 8 3" xfId="2274"/>
    <cellStyle name="Note 3 3 8 3 2" xfId="7198"/>
    <cellStyle name="Note 3 3 8 3 2 2" xfId="9812"/>
    <cellStyle name="Note 3 3 8 3 2 2 2" xfId="16074"/>
    <cellStyle name="Note 3 3 8 3 2 2 2 2" xfId="29490"/>
    <cellStyle name="Note 3 3 8 3 2 2 3" xfId="20819"/>
    <cellStyle name="Note 3 3 8 3 2 3" xfId="13802"/>
    <cellStyle name="Note 3 3 8 3 2 3 2" xfId="28124"/>
    <cellStyle name="Note 3 3 8 3 2 4" xfId="19447"/>
    <cellStyle name="Note 3 3 8 3 3" xfId="12573"/>
    <cellStyle name="Note 3 3 8 3 3 2" xfId="26895"/>
    <cellStyle name="Note 3 3 8 3 4" xfId="18218"/>
    <cellStyle name="Note 3 3 8 4" xfId="5160"/>
    <cellStyle name="Note 3 3 8 4 2" xfId="11709"/>
    <cellStyle name="Note 3 3 8 4 2 2" xfId="26031"/>
    <cellStyle name="Note 3 3 8 4 3" xfId="4655"/>
    <cellStyle name="Note 3 3 8 5" xfId="4010"/>
    <cellStyle name="Note 3 3 8 5 2" xfId="22699"/>
    <cellStyle name="Note 3 3 8 6" xfId="14706"/>
    <cellStyle name="Note 3 3 9" xfId="2275"/>
    <cellStyle name="Note 3 3 9 2" xfId="5867"/>
    <cellStyle name="Note 3 3 9 2 2" xfId="12420"/>
    <cellStyle name="Note 3 3 9 2 2 2" xfId="26742"/>
    <cellStyle name="Note 3 3 9 2 3" xfId="18065"/>
    <cellStyle name="Note 3 3 9 3" xfId="7520"/>
    <cellStyle name="Note 3 3 9 3 2" xfId="10134"/>
    <cellStyle name="Note 3 3 9 3 2 2" xfId="16396"/>
    <cellStyle name="Note 3 3 9 3 2 2 2" xfId="29812"/>
    <cellStyle name="Note 3 3 9 3 2 3" xfId="21141"/>
    <cellStyle name="Note 3 3 9 3 3" xfId="14124"/>
    <cellStyle name="Note 3 3 9 3 3 2" xfId="28446"/>
    <cellStyle name="Note 3 3 9 3 4" xfId="19769"/>
    <cellStyle name="Note 3 3 9 4" xfId="4376"/>
    <cellStyle name="Note 3 3 9 4 2" xfId="22915"/>
    <cellStyle name="Note 3 3 9 5" xfId="4544"/>
    <cellStyle name="Note 3 4" xfId="2276"/>
    <cellStyle name="Note 3 4 2" xfId="6446"/>
    <cellStyle name="Note 3 4 2 2" xfId="13029"/>
    <cellStyle name="Note 3 4 2 2 2" xfId="27351"/>
    <cellStyle name="Note 3 4 2 3" xfId="18674"/>
    <cellStyle name="Note 3 4 3" xfId="7266"/>
    <cellStyle name="Note 3 4 3 2" xfId="9880"/>
    <cellStyle name="Note 3 4 3 2 2" xfId="16142"/>
    <cellStyle name="Note 3 4 3 2 2 2" xfId="29558"/>
    <cellStyle name="Note 3 4 3 2 3" xfId="20887"/>
    <cellStyle name="Note 3 4 3 3" xfId="13870"/>
    <cellStyle name="Note 3 4 3 3 2" xfId="28192"/>
    <cellStyle name="Note 3 4 3 4" xfId="19515"/>
    <cellStyle name="Note 3 4 4" xfId="4742"/>
    <cellStyle name="Note 3 4 4 2" xfId="23164"/>
    <cellStyle name="Note 3 4 5" xfId="17048"/>
    <cellStyle name="Note 3 5" xfId="4881"/>
    <cellStyle name="Note 3 5 2" xfId="11416"/>
    <cellStyle name="Note 3 5 2 2" xfId="25738"/>
    <cellStyle name="Note 3 5 3" xfId="15446"/>
    <cellStyle name="Note 3 6" xfId="6599"/>
    <cellStyle name="Note 3 6 2" xfId="23595"/>
    <cellStyle name="Note 3 7" xfId="15579"/>
    <cellStyle name="Note 3 8" xfId="21697"/>
    <cellStyle name="Note 3 9" xfId="30366"/>
    <cellStyle name="Output 2" xfId="2277"/>
    <cellStyle name="Output 2 2" xfId="2278"/>
    <cellStyle name="Output 2 2 10" xfId="2279"/>
    <cellStyle name="Output 2 2 10 2" xfId="3901"/>
    <cellStyle name="Output 2 2 10 2 2" xfId="9391"/>
    <cellStyle name="Output 2 2 10 2 2 2" xfId="15653"/>
    <cellStyle name="Output 2 2 10 2 2 2 2" xfId="29069"/>
    <cellStyle name="Output 2 2 10 2 2 3" xfId="20398"/>
    <cellStyle name="Output 2 2 10 2 3" xfId="3278"/>
    <cellStyle name="Output 2 2 10 2 3 2" xfId="22458"/>
    <cellStyle name="Output 2 2 10 2 4" xfId="6639"/>
    <cellStyle name="Output 2 2 10 3" xfId="12073"/>
    <cellStyle name="Output 2 2 10 3 2" xfId="26395"/>
    <cellStyle name="Output 2 2 10 4" xfId="17718"/>
    <cellStyle name="Output 2 2 11" xfId="4880"/>
    <cellStyle name="Output 2 2 11 2" xfId="11415"/>
    <cellStyle name="Output 2 2 11 2 2" xfId="25737"/>
    <cellStyle name="Output 2 2 11 3" xfId="14774"/>
    <cellStyle name="Output 2 2 12" xfId="3626"/>
    <cellStyle name="Output 2 2 12 2" xfId="22493"/>
    <cellStyle name="Output 2 2 13" xfId="3681"/>
    <cellStyle name="Output 2 2 2" xfId="2280"/>
    <cellStyle name="Output 2 2 2 10" xfId="5165"/>
    <cellStyle name="Output 2 2 2 10 2" xfId="11714"/>
    <cellStyle name="Output 2 2 2 10 2 2" xfId="26036"/>
    <cellStyle name="Output 2 2 2 10 3" xfId="3849"/>
    <cellStyle name="Output 2 2 2 11" xfId="4304"/>
    <cellStyle name="Output 2 2 2 11 2" xfId="22881"/>
    <cellStyle name="Output 2 2 2 12" xfId="17072"/>
    <cellStyle name="Output 2 2 2 2" xfId="2281"/>
    <cellStyle name="Output 2 2 2 2 10" xfId="4628"/>
    <cellStyle name="Output 2 2 2 2 10 2" xfId="23074"/>
    <cellStyle name="Output 2 2 2 2 11" xfId="14942"/>
    <cellStyle name="Output 2 2 2 2 2" xfId="2282"/>
    <cellStyle name="Output 2 2 2 2 2 2" xfId="2283"/>
    <cellStyle name="Output 2 2 2 2 2 2 2" xfId="2284"/>
    <cellStyle name="Output 2 2 2 2 2 2 2 2" xfId="6941"/>
    <cellStyle name="Output 2 2 2 2 2 2 2 2 2" xfId="13545"/>
    <cellStyle name="Output 2 2 2 2 2 2 2 2 2 2" xfId="27867"/>
    <cellStyle name="Output 2 2 2 2 2 2 2 2 3" xfId="19190"/>
    <cellStyle name="Output 2 2 2 2 2 2 2 3" xfId="7536"/>
    <cellStyle name="Output 2 2 2 2 2 2 2 3 2" xfId="10150"/>
    <cellStyle name="Output 2 2 2 2 2 2 2 3 2 2" xfId="16412"/>
    <cellStyle name="Output 2 2 2 2 2 2 2 3 2 2 2" xfId="29828"/>
    <cellStyle name="Output 2 2 2 2 2 2 2 3 2 3" xfId="21157"/>
    <cellStyle name="Output 2 2 2 2 2 2 2 3 3" xfId="14140"/>
    <cellStyle name="Output 2 2 2 2 2 2 2 3 3 2" xfId="28462"/>
    <cellStyle name="Output 2 2 2 2 2 2 2 3 4" xfId="19785"/>
    <cellStyle name="Output 2 2 2 2 2 2 2 4" xfId="11434"/>
    <cellStyle name="Output 2 2 2 2 2 2 2 4 2" xfId="25756"/>
    <cellStyle name="Output 2 2 2 2 2 2 2 5" xfId="14753"/>
    <cellStyle name="Output 2 2 2 2 2 2 3" xfId="2285"/>
    <cellStyle name="Output 2 2 2 2 2 2 3 2" xfId="7270"/>
    <cellStyle name="Output 2 2 2 2 2 2 3 2 2" xfId="9884"/>
    <cellStyle name="Output 2 2 2 2 2 2 3 2 2 2" xfId="16146"/>
    <cellStyle name="Output 2 2 2 2 2 2 3 2 2 2 2" xfId="29562"/>
    <cellStyle name="Output 2 2 2 2 2 2 3 2 2 3" xfId="20891"/>
    <cellStyle name="Output 2 2 2 2 2 2 3 2 3" xfId="13874"/>
    <cellStyle name="Output 2 2 2 2 2 2 3 2 3 2" xfId="28196"/>
    <cellStyle name="Output 2 2 2 2 2 2 3 2 4" xfId="19519"/>
    <cellStyle name="Output 2 2 2 2 2 2 3 3" xfId="13294"/>
    <cellStyle name="Output 2 2 2 2 2 2 3 3 2" xfId="27616"/>
    <cellStyle name="Output 2 2 2 2 2 2 3 4" xfId="18939"/>
    <cellStyle name="Output 2 2 2 2 2 2 4" xfId="5744"/>
    <cellStyle name="Output 2 2 2 2 2 2 4 2" xfId="12297"/>
    <cellStyle name="Output 2 2 2 2 2 2 4 2 2" xfId="26619"/>
    <cellStyle name="Output 2 2 2 2 2 2 4 3" xfId="17942"/>
    <cellStyle name="Output 2 2 2 2 2 2 5" xfId="4158"/>
    <cellStyle name="Output 2 2 2 2 2 2 5 2" xfId="22789"/>
    <cellStyle name="Output 2 2 2 2 2 2 6" xfId="6601"/>
    <cellStyle name="Output 2 2 2 2 2 3" xfId="2286"/>
    <cellStyle name="Output 2 2 2 2 2 3 2" xfId="2287"/>
    <cellStyle name="Output 2 2 2 2 2 3 2 2" xfId="6904"/>
    <cellStyle name="Output 2 2 2 2 2 3 2 2 2" xfId="13508"/>
    <cellStyle name="Output 2 2 2 2 2 3 2 2 2 2" xfId="27830"/>
    <cellStyle name="Output 2 2 2 2 2 3 2 2 3" xfId="19153"/>
    <cellStyle name="Output 2 2 2 2 2 3 2 3" xfId="7329"/>
    <cellStyle name="Output 2 2 2 2 2 3 2 3 2" xfId="9943"/>
    <cellStyle name="Output 2 2 2 2 2 3 2 3 2 2" xfId="16205"/>
    <cellStyle name="Output 2 2 2 2 2 3 2 3 2 2 2" xfId="29621"/>
    <cellStyle name="Output 2 2 2 2 2 3 2 3 2 3" xfId="20950"/>
    <cellStyle name="Output 2 2 2 2 2 3 2 3 3" xfId="13933"/>
    <cellStyle name="Output 2 2 2 2 2 3 2 3 3 2" xfId="28255"/>
    <cellStyle name="Output 2 2 2 2 2 3 2 3 4" xfId="19578"/>
    <cellStyle name="Output 2 2 2 2 2 3 2 4" xfId="11386"/>
    <cellStyle name="Output 2 2 2 2 2 3 2 4 2" xfId="25708"/>
    <cellStyle name="Output 2 2 2 2 2 3 2 5" xfId="15139"/>
    <cellStyle name="Output 2 2 2 2 2 3 3" xfId="2288"/>
    <cellStyle name="Output 2 2 2 2 2 3 3 2" xfId="5344"/>
    <cellStyle name="Output 2 2 2 2 2 3 3 2 2" xfId="9653"/>
    <cellStyle name="Output 2 2 2 2 2 3 3 2 2 2" xfId="15915"/>
    <cellStyle name="Output 2 2 2 2 2 3 3 2 2 2 2" xfId="29331"/>
    <cellStyle name="Output 2 2 2 2 2 3 3 2 2 3" xfId="20660"/>
    <cellStyle name="Output 2 2 2 2 2 3 3 2 3" xfId="11894"/>
    <cellStyle name="Output 2 2 2 2 2 3 3 2 3 2" xfId="26216"/>
    <cellStyle name="Output 2 2 2 2 2 3 3 2 4" xfId="17539"/>
    <cellStyle name="Output 2 2 2 2 2 3 3 3" xfId="13157"/>
    <cellStyle name="Output 2 2 2 2 2 3 3 3 2" xfId="27479"/>
    <cellStyle name="Output 2 2 2 2 2 3 3 4" xfId="18802"/>
    <cellStyle name="Output 2 2 2 2 2 3 4" xfId="5564"/>
    <cellStyle name="Output 2 2 2 2 2 3 4 2" xfId="12115"/>
    <cellStyle name="Output 2 2 2 2 2 3 4 2 2" xfId="26437"/>
    <cellStyle name="Output 2 2 2 2 2 3 4 3" xfId="17760"/>
    <cellStyle name="Output 2 2 2 2 2 3 5" xfId="5034"/>
    <cellStyle name="Output 2 2 2 2 2 3 5 2" xfId="23314"/>
    <cellStyle name="Output 2 2 2 2 2 3 6" xfId="16998"/>
    <cellStyle name="Output 2 2 2 2 2 4" xfId="2289"/>
    <cellStyle name="Output 2 2 2 2 2 4 2" xfId="6392"/>
    <cellStyle name="Output 2 2 2 2 2 4 2 2" xfId="12975"/>
    <cellStyle name="Output 2 2 2 2 2 4 2 2 2" xfId="27297"/>
    <cellStyle name="Output 2 2 2 2 2 4 2 3" xfId="18620"/>
    <cellStyle name="Output 2 2 2 2 2 4 3" xfId="5312"/>
    <cellStyle name="Output 2 2 2 2 2 4 3 2" xfId="9621"/>
    <cellStyle name="Output 2 2 2 2 2 4 3 2 2" xfId="15883"/>
    <cellStyle name="Output 2 2 2 2 2 4 3 2 2 2" xfId="29299"/>
    <cellStyle name="Output 2 2 2 2 2 4 3 2 3" xfId="20628"/>
    <cellStyle name="Output 2 2 2 2 2 4 3 3" xfId="11862"/>
    <cellStyle name="Output 2 2 2 2 2 4 3 3 2" xfId="26184"/>
    <cellStyle name="Output 2 2 2 2 2 4 3 4" xfId="17507"/>
    <cellStyle name="Output 2 2 2 2 2 4 4" xfId="4641"/>
    <cellStyle name="Output 2 2 2 2 2 4 4 2" xfId="23085"/>
    <cellStyle name="Output 2 2 2 2 2 4 5" xfId="15089"/>
    <cellStyle name="Output 2 2 2 2 2 5" xfId="2290"/>
    <cellStyle name="Output 2 2 2 2 2 5 2" xfId="5250"/>
    <cellStyle name="Output 2 2 2 2 2 5 2 2" xfId="9559"/>
    <cellStyle name="Output 2 2 2 2 2 5 2 2 2" xfId="15821"/>
    <cellStyle name="Output 2 2 2 2 2 5 2 2 2 2" xfId="29237"/>
    <cellStyle name="Output 2 2 2 2 2 5 2 2 3" xfId="20566"/>
    <cellStyle name="Output 2 2 2 2 2 5 2 3" xfId="11800"/>
    <cellStyle name="Output 2 2 2 2 2 5 2 3 2" xfId="26122"/>
    <cellStyle name="Output 2 2 2 2 2 5 2 4" xfId="17445"/>
    <cellStyle name="Output 2 2 2 2 2 5 3" xfId="12870"/>
    <cellStyle name="Output 2 2 2 2 2 5 3 2" xfId="27192"/>
    <cellStyle name="Output 2 2 2 2 2 5 4" xfId="18515"/>
    <cellStyle name="Output 2 2 2 2 2 6" xfId="5488"/>
    <cellStyle name="Output 2 2 2 2 2 6 2" xfId="12039"/>
    <cellStyle name="Output 2 2 2 2 2 6 2 2" xfId="26361"/>
    <cellStyle name="Output 2 2 2 2 2 6 3" xfId="17684"/>
    <cellStyle name="Output 2 2 2 2 2 7" xfId="4698"/>
    <cellStyle name="Output 2 2 2 2 2 7 2" xfId="23133"/>
    <cellStyle name="Output 2 2 2 2 2 8" xfId="15555"/>
    <cellStyle name="Output 2 2 2 2 3" xfId="2291"/>
    <cellStyle name="Output 2 2 2 2 3 2" xfId="2292"/>
    <cellStyle name="Output 2 2 2 2 3 2 2" xfId="2293"/>
    <cellStyle name="Output 2 2 2 2 3 2 2 2" xfId="6422"/>
    <cellStyle name="Output 2 2 2 2 3 2 2 2 2" xfId="13005"/>
    <cellStyle name="Output 2 2 2 2 3 2 2 2 2 2" xfId="27327"/>
    <cellStyle name="Output 2 2 2 2 3 2 2 2 3" xfId="18650"/>
    <cellStyle name="Output 2 2 2 2 3 2 2 3" xfId="4412"/>
    <cellStyle name="Output 2 2 2 2 3 2 2 3 2" xfId="9463"/>
    <cellStyle name="Output 2 2 2 2 3 2 2 3 2 2" xfId="15725"/>
    <cellStyle name="Output 2 2 2 2 3 2 2 3 2 2 2" xfId="29141"/>
    <cellStyle name="Output 2 2 2 2 3 2 2 3 2 3" xfId="20470"/>
    <cellStyle name="Output 2 2 2 2 3 2 2 3 3" xfId="6211"/>
    <cellStyle name="Output 2 2 2 2 3 2 2 3 3 2" xfId="23460"/>
    <cellStyle name="Output 2 2 2 2 3 2 2 3 4" xfId="15140"/>
    <cellStyle name="Output 2 2 2 2 3 2 2 4" xfId="6621"/>
    <cellStyle name="Output 2 2 2 2 3 2 2 4 2" xfId="23611"/>
    <cellStyle name="Output 2 2 2 2 3 2 2 5" xfId="17175"/>
    <cellStyle name="Output 2 2 2 2 3 2 3" xfId="2294"/>
    <cellStyle name="Output 2 2 2 2 3 2 3 2" xfId="7136"/>
    <cellStyle name="Output 2 2 2 2 3 2 3 2 2" xfId="9750"/>
    <cellStyle name="Output 2 2 2 2 3 2 3 2 2 2" xfId="16012"/>
    <cellStyle name="Output 2 2 2 2 3 2 3 2 2 2 2" xfId="29428"/>
    <cellStyle name="Output 2 2 2 2 3 2 3 2 2 3" xfId="20757"/>
    <cellStyle name="Output 2 2 2 2 3 2 3 2 3" xfId="13740"/>
    <cellStyle name="Output 2 2 2 2 3 2 3 2 3 2" xfId="28062"/>
    <cellStyle name="Output 2 2 2 2 3 2 3 2 4" xfId="19385"/>
    <cellStyle name="Output 2 2 2 2 3 2 3 3" xfId="13330"/>
    <cellStyle name="Output 2 2 2 2 3 2 3 3 2" xfId="27652"/>
    <cellStyle name="Output 2 2 2 2 3 2 3 4" xfId="18975"/>
    <cellStyle name="Output 2 2 2 2 3 2 4" xfId="5780"/>
    <cellStyle name="Output 2 2 2 2 3 2 4 2" xfId="12333"/>
    <cellStyle name="Output 2 2 2 2 3 2 4 2 2" xfId="26655"/>
    <cellStyle name="Output 2 2 2 2 3 2 4 3" xfId="17978"/>
    <cellStyle name="Output 2 2 2 2 3 2 5" xfId="4068"/>
    <cellStyle name="Output 2 2 2 2 3 2 5 2" xfId="22740"/>
    <cellStyle name="Output 2 2 2 2 3 2 6" xfId="6688"/>
    <cellStyle name="Output 2 2 2 2 3 3" xfId="2295"/>
    <cellStyle name="Output 2 2 2 2 3 3 2" xfId="2296"/>
    <cellStyle name="Output 2 2 2 2 3 3 2 2" xfId="6908"/>
    <cellStyle name="Output 2 2 2 2 3 3 2 2 2" xfId="13512"/>
    <cellStyle name="Output 2 2 2 2 3 3 2 2 2 2" xfId="27834"/>
    <cellStyle name="Output 2 2 2 2 3 3 2 2 3" xfId="19157"/>
    <cellStyle name="Output 2 2 2 2 3 3 2 3" xfId="7201"/>
    <cellStyle name="Output 2 2 2 2 3 3 2 3 2" xfId="9815"/>
    <cellStyle name="Output 2 2 2 2 3 3 2 3 2 2" xfId="16077"/>
    <cellStyle name="Output 2 2 2 2 3 3 2 3 2 2 2" xfId="29493"/>
    <cellStyle name="Output 2 2 2 2 3 3 2 3 2 3" xfId="20822"/>
    <cellStyle name="Output 2 2 2 2 3 3 2 3 3" xfId="13805"/>
    <cellStyle name="Output 2 2 2 2 3 3 2 3 3 2" xfId="28127"/>
    <cellStyle name="Output 2 2 2 2 3 3 2 3 4" xfId="19450"/>
    <cellStyle name="Output 2 2 2 2 3 3 2 4" xfId="11394"/>
    <cellStyle name="Output 2 2 2 2 3 3 2 4 2" xfId="25716"/>
    <cellStyle name="Output 2 2 2 2 3 3 2 5" xfId="17211"/>
    <cellStyle name="Output 2 2 2 2 3 3 3" xfId="2297"/>
    <cellStyle name="Output 2 2 2 2 3 3 3 2" xfId="7406"/>
    <cellStyle name="Output 2 2 2 2 3 3 3 2 2" xfId="10020"/>
    <cellStyle name="Output 2 2 2 2 3 3 3 2 2 2" xfId="16282"/>
    <cellStyle name="Output 2 2 2 2 3 3 3 2 2 2 2" xfId="29698"/>
    <cellStyle name="Output 2 2 2 2 3 3 3 2 2 3" xfId="21027"/>
    <cellStyle name="Output 2 2 2 2 3 3 3 2 3" xfId="14010"/>
    <cellStyle name="Output 2 2 2 2 3 3 3 2 3 2" xfId="28332"/>
    <cellStyle name="Output 2 2 2 2 3 3 3 2 4" xfId="19655"/>
    <cellStyle name="Output 2 2 2 2 3 3 3 3" xfId="12508"/>
    <cellStyle name="Output 2 2 2 2 3 3 3 3 2" xfId="26830"/>
    <cellStyle name="Output 2 2 2 2 3 3 3 4" xfId="18153"/>
    <cellStyle name="Output 2 2 2 2 3 3 4" xfId="5095"/>
    <cellStyle name="Output 2 2 2 2 3 3 4 2" xfId="11642"/>
    <cellStyle name="Output 2 2 2 2 3 3 4 2 2" xfId="25964"/>
    <cellStyle name="Output 2 2 2 2 3 3 4 3" xfId="15471"/>
    <cellStyle name="Output 2 2 2 2 3 3 5" xfId="6676"/>
    <cellStyle name="Output 2 2 2 2 3 3 5 2" xfId="23647"/>
    <cellStyle name="Output 2 2 2 2 3 3 6" xfId="4525"/>
    <cellStyle name="Output 2 2 2 2 3 4" xfId="2298"/>
    <cellStyle name="Output 2 2 2 2 3 4 2" xfId="6135"/>
    <cellStyle name="Output 2 2 2 2 3 4 2 2" xfId="12704"/>
    <cellStyle name="Output 2 2 2 2 3 4 2 2 2" xfId="27026"/>
    <cellStyle name="Output 2 2 2 2 3 4 2 3" xfId="18349"/>
    <cellStyle name="Output 2 2 2 2 3 4 3" xfId="7837"/>
    <cellStyle name="Output 2 2 2 2 3 4 3 2" xfId="10451"/>
    <cellStyle name="Output 2 2 2 2 3 4 3 2 2" xfId="16713"/>
    <cellStyle name="Output 2 2 2 2 3 4 3 2 2 2" xfId="30129"/>
    <cellStyle name="Output 2 2 2 2 3 4 3 2 3" xfId="21458"/>
    <cellStyle name="Output 2 2 2 2 3 4 3 3" xfId="14441"/>
    <cellStyle name="Output 2 2 2 2 3 4 3 3 2" xfId="28763"/>
    <cellStyle name="Output 2 2 2 2 3 4 3 4" xfId="20086"/>
    <cellStyle name="Output 2 2 2 2 3 4 4" xfId="4385"/>
    <cellStyle name="Output 2 2 2 2 3 4 4 2" xfId="22919"/>
    <cellStyle name="Output 2 2 2 2 3 4 5" xfId="14980"/>
    <cellStyle name="Output 2 2 2 2 3 5" xfId="2299"/>
    <cellStyle name="Output 2 2 2 2 3 5 2" xfId="7612"/>
    <cellStyle name="Output 2 2 2 2 3 5 2 2" xfId="10226"/>
    <cellStyle name="Output 2 2 2 2 3 5 2 2 2" xfId="16488"/>
    <cellStyle name="Output 2 2 2 2 3 5 2 2 2 2" xfId="29904"/>
    <cellStyle name="Output 2 2 2 2 3 5 2 2 3" xfId="21233"/>
    <cellStyle name="Output 2 2 2 2 3 5 2 3" xfId="14216"/>
    <cellStyle name="Output 2 2 2 2 3 5 2 3 2" xfId="28538"/>
    <cellStyle name="Output 2 2 2 2 3 5 2 4" xfId="19861"/>
    <cellStyle name="Output 2 2 2 2 3 5 3" xfId="12906"/>
    <cellStyle name="Output 2 2 2 2 3 5 3 2" xfId="27228"/>
    <cellStyle name="Output 2 2 2 2 3 5 4" xfId="18551"/>
    <cellStyle name="Output 2 2 2 2 3 6" xfId="5530"/>
    <cellStyle name="Output 2 2 2 2 3 6 2" xfId="12081"/>
    <cellStyle name="Output 2 2 2 2 3 6 2 2" xfId="26403"/>
    <cellStyle name="Output 2 2 2 2 3 6 3" xfId="17726"/>
    <cellStyle name="Output 2 2 2 2 3 7" xfId="6662"/>
    <cellStyle name="Output 2 2 2 2 3 7 2" xfId="23638"/>
    <cellStyle name="Output 2 2 2 2 3 8" xfId="16950"/>
    <cellStyle name="Output 2 2 2 2 4" xfId="2300"/>
    <cellStyle name="Output 2 2 2 2 4 2" xfId="2301"/>
    <cellStyle name="Output 2 2 2 2 4 2 2" xfId="2302"/>
    <cellStyle name="Output 2 2 2 2 4 2 2 2" xfId="5993"/>
    <cellStyle name="Output 2 2 2 2 4 2 2 2 2" xfId="12551"/>
    <cellStyle name="Output 2 2 2 2 4 2 2 2 2 2" xfId="26873"/>
    <cellStyle name="Output 2 2 2 2 4 2 2 2 3" xfId="18196"/>
    <cellStyle name="Output 2 2 2 2 4 2 2 3" xfId="7671"/>
    <cellStyle name="Output 2 2 2 2 4 2 2 3 2" xfId="10285"/>
    <cellStyle name="Output 2 2 2 2 4 2 2 3 2 2" xfId="16547"/>
    <cellStyle name="Output 2 2 2 2 4 2 2 3 2 2 2" xfId="29963"/>
    <cellStyle name="Output 2 2 2 2 4 2 2 3 2 3" xfId="21292"/>
    <cellStyle name="Output 2 2 2 2 4 2 2 3 3" xfId="14275"/>
    <cellStyle name="Output 2 2 2 2 4 2 2 3 3 2" xfId="28597"/>
    <cellStyle name="Output 2 2 2 2 4 2 2 3 4" xfId="19920"/>
    <cellStyle name="Output 2 2 2 2 4 2 2 4" xfId="6356"/>
    <cellStyle name="Output 2 2 2 2 4 2 2 4 2" xfId="23540"/>
    <cellStyle name="Output 2 2 2 2 4 2 2 5" xfId="17137"/>
    <cellStyle name="Output 2 2 2 2 4 2 3" xfId="2303"/>
    <cellStyle name="Output 2 2 2 2 4 2 3 2" xfId="7284"/>
    <cellStyle name="Output 2 2 2 2 4 2 3 2 2" xfId="9898"/>
    <cellStyle name="Output 2 2 2 2 4 2 3 2 2 2" xfId="16160"/>
    <cellStyle name="Output 2 2 2 2 4 2 3 2 2 2 2" xfId="29576"/>
    <cellStyle name="Output 2 2 2 2 4 2 3 2 2 3" xfId="20905"/>
    <cellStyle name="Output 2 2 2 2 4 2 3 2 3" xfId="13888"/>
    <cellStyle name="Output 2 2 2 2 4 2 3 2 3 2" xfId="28210"/>
    <cellStyle name="Output 2 2 2 2 4 2 3 2 4" xfId="19533"/>
    <cellStyle name="Output 2 2 2 2 4 2 3 3" xfId="13267"/>
    <cellStyle name="Output 2 2 2 2 4 2 3 3 2" xfId="27589"/>
    <cellStyle name="Output 2 2 2 2 4 2 3 4" xfId="18912"/>
    <cellStyle name="Output 2 2 2 2 4 2 4" xfId="5713"/>
    <cellStyle name="Output 2 2 2 2 4 2 4 2" xfId="12266"/>
    <cellStyle name="Output 2 2 2 2 4 2 4 2 2" xfId="26588"/>
    <cellStyle name="Output 2 2 2 2 4 2 4 3" xfId="17911"/>
    <cellStyle name="Output 2 2 2 2 4 2 5" xfId="3946"/>
    <cellStyle name="Output 2 2 2 2 4 2 5 2" xfId="22662"/>
    <cellStyle name="Output 2 2 2 2 4 2 6" xfId="6292"/>
    <cellStyle name="Output 2 2 2 2 4 3" xfId="2304"/>
    <cellStyle name="Output 2 2 2 2 4 3 2" xfId="2305"/>
    <cellStyle name="Output 2 2 2 2 4 3 2 2" xfId="6177"/>
    <cellStyle name="Output 2 2 2 2 4 3 2 2 2" xfId="12750"/>
    <cellStyle name="Output 2 2 2 2 4 3 2 2 2 2" xfId="27072"/>
    <cellStyle name="Output 2 2 2 2 4 3 2 2 3" xfId="18395"/>
    <cellStyle name="Output 2 2 2 2 4 3 2 3" xfId="4091"/>
    <cellStyle name="Output 2 2 2 2 4 3 2 3 2" xfId="9422"/>
    <cellStyle name="Output 2 2 2 2 4 3 2 3 2 2" xfId="15684"/>
    <cellStyle name="Output 2 2 2 2 4 3 2 3 2 2 2" xfId="29100"/>
    <cellStyle name="Output 2 2 2 2 4 3 2 3 2 3" xfId="20429"/>
    <cellStyle name="Output 2 2 2 2 4 3 2 3 3" xfId="3181"/>
    <cellStyle name="Output 2 2 2 2 4 3 2 3 3 2" xfId="22427"/>
    <cellStyle name="Output 2 2 2 2 4 3 2 3 4" xfId="15545"/>
    <cellStyle name="Output 2 2 2 2 4 3 2 4" xfId="3973"/>
    <cellStyle name="Output 2 2 2 2 4 3 2 4 2" xfId="22678"/>
    <cellStyle name="Output 2 2 2 2 4 3 2 5" xfId="5121"/>
    <cellStyle name="Output 2 2 2 2 4 3 3" xfId="2306"/>
    <cellStyle name="Output 2 2 2 2 4 3 3 2" xfId="7962"/>
    <cellStyle name="Output 2 2 2 2 4 3 3 2 2" xfId="10576"/>
    <cellStyle name="Output 2 2 2 2 4 3 3 2 2 2" xfId="16838"/>
    <cellStyle name="Output 2 2 2 2 4 3 3 2 2 2 2" xfId="30254"/>
    <cellStyle name="Output 2 2 2 2 4 3 3 2 2 3" xfId="21583"/>
    <cellStyle name="Output 2 2 2 2 4 3 3 2 3" xfId="14566"/>
    <cellStyle name="Output 2 2 2 2 4 3 3 2 3 2" xfId="28888"/>
    <cellStyle name="Output 2 2 2 2 4 3 3 2 4" xfId="20211"/>
    <cellStyle name="Output 2 2 2 2 4 3 3 3" xfId="13428"/>
    <cellStyle name="Output 2 2 2 2 4 3 3 3 2" xfId="27750"/>
    <cellStyle name="Output 2 2 2 2 4 3 3 4" xfId="19073"/>
    <cellStyle name="Output 2 2 2 2 4 3 4" xfId="5903"/>
    <cellStyle name="Output 2 2 2 2 4 3 4 2" xfId="12457"/>
    <cellStyle name="Output 2 2 2 2 4 3 4 2 2" xfId="26779"/>
    <cellStyle name="Output 2 2 2 2 4 3 4 3" xfId="18102"/>
    <cellStyle name="Output 2 2 2 2 4 3 5" xfId="2791"/>
    <cellStyle name="Output 2 2 2 2 4 3 5 2" xfId="22359"/>
    <cellStyle name="Output 2 2 2 2 4 3 6" xfId="17333"/>
    <cellStyle name="Output 2 2 2 2 4 4" xfId="2307"/>
    <cellStyle name="Output 2 2 2 2 4 4 2" xfId="5947"/>
    <cellStyle name="Output 2 2 2 2 4 4 2 2" xfId="12504"/>
    <cellStyle name="Output 2 2 2 2 4 4 2 2 2" xfId="26826"/>
    <cellStyle name="Output 2 2 2 2 4 4 2 3" xfId="18149"/>
    <cellStyle name="Output 2 2 2 2 4 4 3" xfId="7991"/>
    <cellStyle name="Output 2 2 2 2 4 4 3 2" xfId="10605"/>
    <cellStyle name="Output 2 2 2 2 4 4 3 2 2" xfId="16867"/>
    <cellStyle name="Output 2 2 2 2 4 4 3 2 2 2" xfId="30283"/>
    <cellStyle name="Output 2 2 2 2 4 4 3 2 3" xfId="21612"/>
    <cellStyle name="Output 2 2 2 2 4 4 3 3" xfId="14595"/>
    <cellStyle name="Output 2 2 2 2 4 4 3 3 2" xfId="28917"/>
    <cellStyle name="Output 2 2 2 2 4 4 3 4" xfId="20240"/>
    <cellStyle name="Output 2 2 2 2 4 4 4" xfId="4211"/>
    <cellStyle name="Output 2 2 2 2 4 4 4 2" xfId="22825"/>
    <cellStyle name="Output 2 2 2 2 4 4 5" xfId="17100"/>
    <cellStyle name="Output 2 2 2 2 4 5" xfId="2308"/>
    <cellStyle name="Output 2 2 2 2 4 5 2" xfId="7903"/>
    <cellStyle name="Output 2 2 2 2 4 5 2 2" xfId="10517"/>
    <cellStyle name="Output 2 2 2 2 4 5 2 2 2" xfId="16779"/>
    <cellStyle name="Output 2 2 2 2 4 5 2 2 2 2" xfId="30195"/>
    <cellStyle name="Output 2 2 2 2 4 5 2 2 3" xfId="21524"/>
    <cellStyle name="Output 2 2 2 2 4 5 2 3" xfId="14507"/>
    <cellStyle name="Output 2 2 2 2 4 5 2 3 2" xfId="28829"/>
    <cellStyle name="Output 2 2 2 2 4 5 2 4" xfId="20152"/>
    <cellStyle name="Output 2 2 2 2 4 5 3" xfId="12824"/>
    <cellStyle name="Output 2 2 2 2 4 5 3 2" xfId="27146"/>
    <cellStyle name="Output 2 2 2 2 4 5 4" xfId="18469"/>
    <cellStyle name="Output 2 2 2 2 4 6" xfId="5372"/>
    <cellStyle name="Output 2 2 2 2 4 6 2" xfId="11922"/>
    <cellStyle name="Output 2 2 2 2 4 6 2 2" xfId="26244"/>
    <cellStyle name="Output 2 2 2 2 4 6 3" xfId="17567"/>
    <cellStyle name="Output 2 2 2 2 4 7" xfId="3147"/>
    <cellStyle name="Output 2 2 2 2 4 7 2" xfId="22420"/>
    <cellStyle name="Output 2 2 2 2 4 8" xfId="17217"/>
    <cellStyle name="Output 2 2 2 2 5" xfId="2309"/>
    <cellStyle name="Output 2 2 2 2 5 2" xfId="2310"/>
    <cellStyle name="Output 2 2 2 2 5 2 2" xfId="2311"/>
    <cellStyle name="Output 2 2 2 2 5 2 2 2" xfId="6857"/>
    <cellStyle name="Output 2 2 2 2 5 2 2 2 2" xfId="13461"/>
    <cellStyle name="Output 2 2 2 2 5 2 2 2 2 2" xfId="27783"/>
    <cellStyle name="Output 2 2 2 2 5 2 2 2 3" xfId="19106"/>
    <cellStyle name="Output 2 2 2 2 5 2 2 3" xfId="7361"/>
    <cellStyle name="Output 2 2 2 2 5 2 2 3 2" xfId="9975"/>
    <cellStyle name="Output 2 2 2 2 5 2 2 3 2 2" xfId="16237"/>
    <cellStyle name="Output 2 2 2 2 5 2 2 3 2 2 2" xfId="29653"/>
    <cellStyle name="Output 2 2 2 2 5 2 2 3 2 3" xfId="20982"/>
    <cellStyle name="Output 2 2 2 2 5 2 2 3 3" xfId="13965"/>
    <cellStyle name="Output 2 2 2 2 5 2 2 3 3 2" xfId="28287"/>
    <cellStyle name="Output 2 2 2 2 5 2 2 3 4" xfId="19610"/>
    <cellStyle name="Output 2 2 2 2 5 2 2 4" xfId="11315"/>
    <cellStyle name="Output 2 2 2 2 5 2 2 4 2" xfId="25637"/>
    <cellStyle name="Output 2 2 2 2 5 2 2 5" xfId="4664"/>
    <cellStyle name="Output 2 2 2 2 5 2 3" xfId="2312"/>
    <cellStyle name="Output 2 2 2 2 5 2 3 2" xfId="5267"/>
    <cellStyle name="Output 2 2 2 2 5 2 3 2 2" xfId="9576"/>
    <cellStyle name="Output 2 2 2 2 5 2 3 2 2 2" xfId="15838"/>
    <cellStyle name="Output 2 2 2 2 5 2 3 2 2 2 2" xfId="29254"/>
    <cellStyle name="Output 2 2 2 2 5 2 3 2 2 3" xfId="20583"/>
    <cellStyle name="Output 2 2 2 2 5 2 3 2 3" xfId="11817"/>
    <cellStyle name="Output 2 2 2 2 5 2 3 2 3 2" xfId="26139"/>
    <cellStyle name="Output 2 2 2 2 5 2 3 2 4" xfId="17462"/>
    <cellStyle name="Output 2 2 2 2 5 2 3 3" xfId="13393"/>
    <cellStyle name="Output 2 2 2 2 5 2 3 3 2" xfId="27715"/>
    <cellStyle name="Output 2 2 2 2 5 2 3 4" xfId="19038"/>
    <cellStyle name="Output 2 2 2 2 5 2 4" xfId="5857"/>
    <cellStyle name="Output 2 2 2 2 5 2 4 2" xfId="12410"/>
    <cellStyle name="Output 2 2 2 2 5 2 4 2 2" xfId="26732"/>
    <cellStyle name="Output 2 2 2 2 5 2 4 3" xfId="18055"/>
    <cellStyle name="Output 2 2 2 2 5 2 5" xfId="4378"/>
    <cellStyle name="Output 2 2 2 2 5 2 5 2" xfId="22916"/>
    <cellStyle name="Output 2 2 2 2 5 2 6" xfId="15010"/>
    <cellStyle name="Output 2 2 2 2 5 3" xfId="2313"/>
    <cellStyle name="Output 2 2 2 2 5 3 2" xfId="6918"/>
    <cellStyle name="Output 2 2 2 2 5 3 2 2" xfId="13522"/>
    <cellStyle name="Output 2 2 2 2 5 3 2 2 2" xfId="27844"/>
    <cellStyle name="Output 2 2 2 2 5 3 2 3" xfId="19167"/>
    <cellStyle name="Output 2 2 2 2 5 3 3" xfId="7908"/>
    <cellStyle name="Output 2 2 2 2 5 3 3 2" xfId="10522"/>
    <cellStyle name="Output 2 2 2 2 5 3 3 2 2" xfId="16784"/>
    <cellStyle name="Output 2 2 2 2 5 3 3 2 2 2" xfId="30200"/>
    <cellStyle name="Output 2 2 2 2 5 3 3 2 3" xfId="21529"/>
    <cellStyle name="Output 2 2 2 2 5 3 3 3" xfId="14512"/>
    <cellStyle name="Output 2 2 2 2 5 3 3 3 2" xfId="28834"/>
    <cellStyle name="Output 2 2 2 2 5 3 3 4" xfId="20157"/>
    <cellStyle name="Output 2 2 2 2 5 3 4" xfId="11405"/>
    <cellStyle name="Output 2 2 2 2 5 3 4 2" xfId="25727"/>
    <cellStyle name="Output 2 2 2 2 5 3 5" xfId="15224"/>
    <cellStyle name="Output 2 2 2 2 5 4" xfId="2314"/>
    <cellStyle name="Output 2 2 2 2 5 4 2" xfId="8030"/>
    <cellStyle name="Output 2 2 2 2 5 4 2 2" xfId="10644"/>
    <cellStyle name="Output 2 2 2 2 5 4 2 2 2" xfId="16906"/>
    <cellStyle name="Output 2 2 2 2 5 4 2 2 2 2" xfId="30322"/>
    <cellStyle name="Output 2 2 2 2 5 4 2 2 3" xfId="21651"/>
    <cellStyle name="Output 2 2 2 2 5 4 2 3" xfId="14634"/>
    <cellStyle name="Output 2 2 2 2 5 4 2 3 2" xfId="28956"/>
    <cellStyle name="Output 2 2 2 2 5 4 2 4" xfId="20279"/>
    <cellStyle name="Output 2 2 2 2 5 4 3" xfId="12755"/>
    <cellStyle name="Output 2 2 2 2 5 4 3 2" xfId="27077"/>
    <cellStyle name="Output 2 2 2 2 5 4 4" xfId="18400"/>
    <cellStyle name="Output 2 2 2 2 5 5" xfId="5110"/>
    <cellStyle name="Output 2 2 2 2 5 5 2" xfId="11658"/>
    <cellStyle name="Output 2 2 2 2 5 5 2 2" xfId="25980"/>
    <cellStyle name="Output 2 2 2 2 5 5 3" xfId="15130"/>
    <cellStyle name="Output 2 2 2 2 5 6" xfId="4219"/>
    <cellStyle name="Output 2 2 2 2 5 6 2" xfId="22831"/>
    <cellStyle name="Output 2 2 2 2 5 7" xfId="15259"/>
    <cellStyle name="Output 2 2 2 2 6" xfId="2315"/>
    <cellStyle name="Output 2 2 2 2 6 2" xfId="2316"/>
    <cellStyle name="Output 2 2 2 2 6 2 2" xfId="6205"/>
    <cellStyle name="Output 2 2 2 2 6 2 2 2" xfId="12778"/>
    <cellStyle name="Output 2 2 2 2 6 2 2 2 2" xfId="27100"/>
    <cellStyle name="Output 2 2 2 2 6 2 2 3" xfId="18423"/>
    <cellStyle name="Output 2 2 2 2 6 2 3" xfId="7088"/>
    <cellStyle name="Output 2 2 2 2 6 2 3 2" xfId="9702"/>
    <cellStyle name="Output 2 2 2 2 6 2 3 2 2" xfId="15964"/>
    <cellStyle name="Output 2 2 2 2 6 2 3 2 2 2" xfId="29380"/>
    <cellStyle name="Output 2 2 2 2 6 2 3 2 3" xfId="20709"/>
    <cellStyle name="Output 2 2 2 2 6 2 3 3" xfId="13692"/>
    <cellStyle name="Output 2 2 2 2 6 2 3 3 2" xfId="28014"/>
    <cellStyle name="Output 2 2 2 2 6 2 3 4" xfId="19337"/>
    <cellStyle name="Output 2 2 2 2 6 2 4" xfId="4736"/>
    <cellStyle name="Output 2 2 2 2 6 2 4 2" xfId="23159"/>
    <cellStyle name="Output 2 2 2 2 6 2 5" xfId="4040"/>
    <cellStyle name="Output 2 2 2 2 6 3" xfId="2317"/>
    <cellStyle name="Output 2 2 2 2 6 3 2" xfId="3939"/>
    <cellStyle name="Output 2 2 2 2 6 3 2 2" xfId="9401"/>
    <cellStyle name="Output 2 2 2 2 6 3 2 2 2" xfId="15663"/>
    <cellStyle name="Output 2 2 2 2 6 3 2 2 2 2" xfId="29079"/>
    <cellStyle name="Output 2 2 2 2 6 3 2 2 3" xfId="20408"/>
    <cellStyle name="Output 2 2 2 2 6 3 2 3" xfId="6715"/>
    <cellStyle name="Output 2 2 2 2 6 3 2 3 2" xfId="23669"/>
    <cellStyle name="Output 2 2 2 2 6 3 2 4" xfId="17269"/>
    <cellStyle name="Output 2 2 2 2 6 3 3" xfId="11661"/>
    <cellStyle name="Output 2 2 2 2 6 3 3 2" xfId="25983"/>
    <cellStyle name="Output 2 2 2 2 6 3 4" xfId="16948"/>
    <cellStyle name="Output 2 2 2 2 6 4" xfId="5051"/>
    <cellStyle name="Output 2 2 2 2 6 4 2" xfId="11598"/>
    <cellStyle name="Output 2 2 2 2 6 4 2 2" xfId="25920"/>
    <cellStyle name="Output 2 2 2 2 6 4 3" xfId="14780"/>
    <cellStyle name="Output 2 2 2 2 6 5" xfId="3604"/>
    <cellStyle name="Output 2 2 2 2 6 5 2" xfId="22483"/>
    <cellStyle name="Output 2 2 2 2 6 6" xfId="14987"/>
    <cellStyle name="Output 2 2 2 2 7" xfId="2318"/>
    <cellStyle name="Output 2 2 2 2 7 2" xfId="6466"/>
    <cellStyle name="Output 2 2 2 2 7 2 2" xfId="13049"/>
    <cellStyle name="Output 2 2 2 2 7 2 2 2" xfId="27371"/>
    <cellStyle name="Output 2 2 2 2 7 2 3" xfId="18694"/>
    <cellStyle name="Output 2 2 2 2 7 3" xfId="7055"/>
    <cellStyle name="Output 2 2 2 2 7 3 2" xfId="9669"/>
    <cellStyle name="Output 2 2 2 2 7 3 2 2" xfId="15931"/>
    <cellStyle name="Output 2 2 2 2 7 3 2 2 2" xfId="29347"/>
    <cellStyle name="Output 2 2 2 2 7 3 2 3" xfId="20676"/>
    <cellStyle name="Output 2 2 2 2 7 3 3" xfId="13659"/>
    <cellStyle name="Output 2 2 2 2 7 3 3 2" xfId="27981"/>
    <cellStyle name="Output 2 2 2 2 7 3 4" xfId="19304"/>
    <cellStyle name="Output 2 2 2 2 7 4" xfId="3971"/>
    <cellStyle name="Output 2 2 2 2 7 4 2" xfId="22677"/>
    <cellStyle name="Output 2 2 2 2 7 5" xfId="17232"/>
    <cellStyle name="Output 2 2 2 2 8" xfId="2319"/>
    <cellStyle name="Output 2 2 2 2 8 2" xfId="7547"/>
    <cellStyle name="Output 2 2 2 2 8 2 2" xfId="10161"/>
    <cellStyle name="Output 2 2 2 2 8 2 2 2" xfId="16423"/>
    <cellStyle name="Output 2 2 2 2 8 2 2 2 2" xfId="29839"/>
    <cellStyle name="Output 2 2 2 2 8 2 2 3" xfId="21168"/>
    <cellStyle name="Output 2 2 2 2 8 2 3" xfId="14151"/>
    <cellStyle name="Output 2 2 2 2 8 2 3 2" xfId="28473"/>
    <cellStyle name="Output 2 2 2 2 8 2 4" xfId="19796"/>
    <cellStyle name="Output 2 2 2 2 8 3" xfId="12502"/>
    <cellStyle name="Output 2 2 2 2 8 3 2" xfId="26824"/>
    <cellStyle name="Output 2 2 2 2 8 4" xfId="18147"/>
    <cellStyle name="Output 2 2 2 2 9" xfId="5183"/>
    <cellStyle name="Output 2 2 2 2 9 2" xfId="11732"/>
    <cellStyle name="Output 2 2 2 2 9 2 2" xfId="26054"/>
    <cellStyle name="Output 2 2 2 2 9 3" xfId="4251"/>
    <cellStyle name="Output 2 2 2 3" xfId="2320"/>
    <cellStyle name="Output 2 2 2 3 2" xfId="2321"/>
    <cellStyle name="Output 2 2 2 3 2 2" xfId="2322"/>
    <cellStyle name="Output 2 2 2 3 2 2 2" xfId="5458"/>
    <cellStyle name="Output 2 2 2 3 2 2 2 2" xfId="12009"/>
    <cellStyle name="Output 2 2 2 3 2 2 2 2 2" xfId="26331"/>
    <cellStyle name="Output 2 2 2 3 2 2 2 3" xfId="17654"/>
    <cellStyle name="Output 2 2 2 3 2 2 3" xfId="7583"/>
    <cellStyle name="Output 2 2 2 3 2 2 3 2" xfId="10197"/>
    <cellStyle name="Output 2 2 2 3 2 2 3 2 2" xfId="16459"/>
    <cellStyle name="Output 2 2 2 3 2 2 3 2 2 2" xfId="29875"/>
    <cellStyle name="Output 2 2 2 3 2 2 3 2 3" xfId="21204"/>
    <cellStyle name="Output 2 2 2 3 2 2 3 3" xfId="14187"/>
    <cellStyle name="Output 2 2 2 3 2 2 3 3 2" xfId="28509"/>
    <cellStyle name="Output 2 2 2 3 2 2 3 4" xfId="19832"/>
    <cellStyle name="Output 2 2 2 3 2 2 4" xfId="4770"/>
    <cellStyle name="Output 2 2 2 3 2 2 4 2" xfId="23178"/>
    <cellStyle name="Output 2 2 2 3 2 2 5" xfId="17076"/>
    <cellStyle name="Output 2 2 2 3 2 3" xfId="2323"/>
    <cellStyle name="Output 2 2 2 3 2 3 2" xfId="7303"/>
    <cellStyle name="Output 2 2 2 3 2 3 2 2" xfId="9917"/>
    <cellStyle name="Output 2 2 2 3 2 3 2 2 2" xfId="16179"/>
    <cellStyle name="Output 2 2 2 3 2 3 2 2 2 2" xfId="29595"/>
    <cellStyle name="Output 2 2 2 3 2 3 2 2 3" xfId="20924"/>
    <cellStyle name="Output 2 2 2 3 2 3 2 3" xfId="13907"/>
    <cellStyle name="Output 2 2 2 3 2 3 2 3 2" xfId="28229"/>
    <cellStyle name="Output 2 2 2 3 2 3 2 4" xfId="19552"/>
    <cellStyle name="Output 2 2 2 3 2 3 3" xfId="13265"/>
    <cellStyle name="Output 2 2 2 3 2 3 3 2" xfId="27587"/>
    <cellStyle name="Output 2 2 2 3 2 3 4" xfId="18910"/>
    <cellStyle name="Output 2 2 2 3 2 4" xfId="5711"/>
    <cellStyle name="Output 2 2 2 3 2 4 2" xfId="12264"/>
    <cellStyle name="Output 2 2 2 3 2 4 2 2" xfId="26586"/>
    <cellStyle name="Output 2 2 2 3 2 4 3" xfId="17909"/>
    <cellStyle name="Output 2 2 2 3 2 5" xfId="2827"/>
    <cellStyle name="Output 2 2 2 3 2 5 2" xfId="22390"/>
    <cellStyle name="Output 2 2 2 3 2 6" xfId="15024"/>
    <cellStyle name="Output 2 2 2 3 3" xfId="2324"/>
    <cellStyle name="Output 2 2 2 3 3 2" xfId="2325"/>
    <cellStyle name="Output 2 2 2 3 3 2 2" xfId="6483"/>
    <cellStyle name="Output 2 2 2 3 3 2 2 2" xfId="13066"/>
    <cellStyle name="Output 2 2 2 3 3 2 2 2 2" xfId="27388"/>
    <cellStyle name="Output 2 2 2 3 3 2 2 3" xfId="18711"/>
    <cellStyle name="Output 2 2 2 3 3 2 3" xfId="7582"/>
    <cellStyle name="Output 2 2 2 3 3 2 3 2" xfId="10196"/>
    <cellStyle name="Output 2 2 2 3 3 2 3 2 2" xfId="16458"/>
    <cellStyle name="Output 2 2 2 3 3 2 3 2 2 2" xfId="29874"/>
    <cellStyle name="Output 2 2 2 3 3 2 3 2 3" xfId="21203"/>
    <cellStyle name="Output 2 2 2 3 3 2 3 3" xfId="14186"/>
    <cellStyle name="Output 2 2 2 3 3 2 3 3 2" xfId="28508"/>
    <cellStyle name="Output 2 2 2 3 3 2 3 4" xfId="19831"/>
    <cellStyle name="Output 2 2 2 3 3 2 4" xfId="6298"/>
    <cellStyle name="Output 2 2 2 3 3 2 4 2" xfId="23496"/>
    <cellStyle name="Output 2 2 2 3 3 2 5" xfId="14795"/>
    <cellStyle name="Output 2 2 2 3 3 3" xfId="2326"/>
    <cellStyle name="Output 2 2 2 3 3 3 2" xfId="3839"/>
    <cellStyle name="Output 2 2 2 3 3 3 2 2" xfId="9384"/>
    <cellStyle name="Output 2 2 2 3 3 3 2 2 2" xfId="15646"/>
    <cellStyle name="Output 2 2 2 3 3 3 2 2 2 2" xfId="29062"/>
    <cellStyle name="Output 2 2 2 3 3 3 2 2 3" xfId="20391"/>
    <cellStyle name="Output 2 2 2 3 3 3 2 3" xfId="3960"/>
    <cellStyle name="Output 2 2 2 3 3 3 2 3 2" xfId="22670"/>
    <cellStyle name="Output 2 2 2 3 3 3 2 4" xfId="15369"/>
    <cellStyle name="Output 2 2 2 3 3 3 3" xfId="12791"/>
    <cellStyle name="Output 2 2 2 3 3 3 3 2" xfId="27113"/>
    <cellStyle name="Output 2 2 2 3 3 3 4" xfId="18436"/>
    <cellStyle name="Output 2 2 2 3 3 4" xfId="5042"/>
    <cellStyle name="Output 2 2 2 3 3 4 2" xfId="11589"/>
    <cellStyle name="Output 2 2 2 3 3 4 2 2" xfId="25911"/>
    <cellStyle name="Output 2 2 2 3 3 4 3" xfId="17090"/>
    <cellStyle name="Output 2 2 2 3 3 5" xfId="4901"/>
    <cellStyle name="Output 2 2 2 3 3 5 2" xfId="23256"/>
    <cellStyle name="Output 2 2 2 3 3 6" xfId="14751"/>
    <cellStyle name="Output 2 2 2 3 4" xfId="2327"/>
    <cellStyle name="Output 2 2 2 3 4 2" xfId="6518"/>
    <cellStyle name="Output 2 2 2 3 4 2 2" xfId="13106"/>
    <cellStyle name="Output 2 2 2 3 4 2 2 2" xfId="27428"/>
    <cellStyle name="Output 2 2 2 3 4 2 3" xfId="18751"/>
    <cellStyle name="Output 2 2 2 3 4 3" xfId="7464"/>
    <cellStyle name="Output 2 2 2 3 4 3 2" xfId="10078"/>
    <cellStyle name="Output 2 2 2 3 4 3 2 2" xfId="16340"/>
    <cellStyle name="Output 2 2 2 3 4 3 2 2 2" xfId="29756"/>
    <cellStyle name="Output 2 2 2 3 4 3 2 3" xfId="21085"/>
    <cellStyle name="Output 2 2 2 3 4 3 3" xfId="14068"/>
    <cellStyle name="Output 2 2 2 3 4 3 3 2" xfId="28390"/>
    <cellStyle name="Output 2 2 2 3 4 3 4" xfId="19713"/>
    <cellStyle name="Output 2 2 2 3 4 4" xfId="4009"/>
    <cellStyle name="Output 2 2 2 3 4 4 2" xfId="22698"/>
    <cellStyle name="Output 2 2 2 3 4 5" xfId="14979"/>
    <cellStyle name="Output 2 2 2 3 5" xfId="2328"/>
    <cellStyle name="Output 2 2 2 3 5 2" xfId="7642"/>
    <cellStyle name="Output 2 2 2 3 5 2 2" xfId="10256"/>
    <cellStyle name="Output 2 2 2 3 5 2 2 2" xfId="16518"/>
    <cellStyle name="Output 2 2 2 3 5 2 2 2 2" xfId="29934"/>
    <cellStyle name="Output 2 2 2 3 5 2 2 3" xfId="21263"/>
    <cellStyle name="Output 2 2 2 3 5 2 3" xfId="14246"/>
    <cellStyle name="Output 2 2 2 3 5 2 3 2" xfId="28568"/>
    <cellStyle name="Output 2 2 2 3 5 2 4" xfId="19891"/>
    <cellStyle name="Output 2 2 2 3 5 3" xfId="12821"/>
    <cellStyle name="Output 2 2 2 3 5 3 2" xfId="27143"/>
    <cellStyle name="Output 2 2 2 3 5 4" xfId="18466"/>
    <cellStyle name="Output 2 2 2 3 6" xfId="5361"/>
    <cellStyle name="Output 2 2 2 3 6 2" xfId="11911"/>
    <cellStyle name="Output 2 2 2 3 6 2 2" xfId="26233"/>
    <cellStyle name="Output 2 2 2 3 6 3" xfId="17556"/>
    <cellStyle name="Output 2 2 2 3 7" xfId="4638"/>
    <cellStyle name="Output 2 2 2 3 7 2" xfId="23082"/>
    <cellStyle name="Output 2 2 2 3 8" xfId="14740"/>
    <cellStyle name="Output 2 2 2 4" xfId="2329"/>
    <cellStyle name="Output 2 2 2 4 2" xfId="2330"/>
    <cellStyle name="Output 2 2 2 4 2 2" xfId="2331"/>
    <cellStyle name="Output 2 2 2 4 2 2 2" xfId="6927"/>
    <cellStyle name="Output 2 2 2 4 2 2 2 2" xfId="13531"/>
    <cellStyle name="Output 2 2 2 4 2 2 2 2 2" xfId="27853"/>
    <cellStyle name="Output 2 2 2 4 2 2 2 3" xfId="19176"/>
    <cellStyle name="Output 2 2 2 4 2 2 3" xfId="3279"/>
    <cellStyle name="Output 2 2 2 4 2 2 3 2" xfId="9052"/>
    <cellStyle name="Output 2 2 2 4 2 2 3 2 2" xfId="15391"/>
    <cellStyle name="Output 2 2 2 4 2 2 3 2 2 2" xfId="29010"/>
    <cellStyle name="Output 2 2 2 4 2 2 3 2 3" xfId="20337"/>
    <cellStyle name="Output 2 2 2 4 2 2 3 3" xfId="6626"/>
    <cellStyle name="Output 2 2 2 4 2 2 3 3 2" xfId="23614"/>
    <cellStyle name="Output 2 2 2 4 2 2 3 4" xfId="15402"/>
    <cellStyle name="Output 2 2 2 4 2 2 4" xfId="11419"/>
    <cellStyle name="Output 2 2 2 4 2 2 4 2" xfId="25741"/>
    <cellStyle name="Output 2 2 2 4 2 2 5" xfId="4612"/>
    <cellStyle name="Output 2 2 2 4 2 3" xfId="2332"/>
    <cellStyle name="Output 2 2 2 4 2 3 2" xfId="7183"/>
    <cellStyle name="Output 2 2 2 4 2 3 2 2" xfId="9797"/>
    <cellStyle name="Output 2 2 2 4 2 3 2 2 2" xfId="16059"/>
    <cellStyle name="Output 2 2 2 4 2 3 2 2 2 2" xfId="29475"/>
    <cellStyle name="Output 2 2 2 4 2 3 2 2 3" xfId="20804"/>
    <cellStyle name="Output 2 2 2 4 2 3 2 3" xfId="13787"/>
    <cellStyle name="Output 2 2 2 4 2 3 2 3 2" xfId="28109"/>
    <cellStyle name="Output 2 2 2 4 2 3 2 4" xfId="19432"/>
    <cellStyle name="Output 2 2 2 4 2 3 3" xfId="13219"/>
    <cellStyle name="Output 2 2 2 4 2 3 3 2" xfId="27541"/>
    <cellStyle name="Output 2 2 2 4 2 3 4" xfId="18864"/>
    <cellStyle name="Output 2 2 2 4 2 4" xfId="5660"/>
    <cellStyle name="Output 2 2 2 4 2 4 2" xfId="12213"/>
    <cellStyle name="Output 2 2 2 4 2 4 2 2" xfId="26535"/>
    <cellStyle name="Output 2 2 2 4 2 4 3" xfId="17858"/>
    <cellStyle name="Output 2 2 2 4 2 5" xfId="6717"/>
    <cellStyle name="Output 2 2 2 4 2 5 2" xfId="23671"/>
    <cellStyle name="Output 2 2 2 4 2 6" xfId="15503"/>
    <cellStyle name="Output 2 2 2 4 3" xfId="2333"/>
    <cellStyle name="Output 2 2 2 4 3 2" xfId="2334"/>
    <cellStyle name="Output 2 2 2 4 3 2 2" xfId="6953"/>
    <cellStyle name="Output 2 2 2 4 3 2 2 2" xfId="13557"/>
    <cellStyle name="Output 2 2 2 4 3 2 2 2 2" xfId="27879"/>
    <cellStyle name="Output 2 2 2 4 3 2 2 3" xfId="19202"/>
    <cellStyle name="Output 2 2 2 4 3 2 3" xfId="5008"/>
    <cellStyle name="Output 2 2 2 4 3 2 3 2" xfId="9540"/>
    <cellStyle name="Output 2 2 2 4 3 2 3 2 2" xfId="15802"/>
    <cellStyle name="Output 2 2 2 4 3 2 3 2 2 2" xfId="29218"/>
    <cellStyle name="Output 2 2 2 4 3 2 3 2 3" xfId="20547"/>
    <cellStyle name="Output 2 2 2 4 3 2 3 3" xfId="11553"/>
    <cellStyle name="Output 2 2 2 4 3 2 3 3 2" xfId="25875"/>
    <cellStyle name="Output 2 2 2 4 3 2 3 4" xfId="14909"/>
    <cellStyle name="Output 2 2 2 4 3 2 4" xfId="11449"/>
    <cellStyle name="Output 2 2 2 4 3 2 4 2" xfId="25771"/>
    <cellStyle name="Output 2 2 2 4 3 2 5" xfId="17101"/>
    <cellStyle name="Output 2 2 2 4 3 3" xfId="2335"/>
    <cellStyle name="Output 2 2 2 4 3 3 2" xfId="3789"/>
    <cellStyle name="Output 2 2 2 4 3 3 2 2" xfId="9374"/>
    <cellStyle name="Output 2 2 2 4 3 3 2 2 2" xfId="15636"/>
    <cellStyle name="Output 2 2 2 4 3 3 2 2 2 2" xfId="29052"/>
    <cellStyle name="Output 2 2 2 4 3 3 2 2 3" xfId="20381"/>
    <cellStyle name="Output 2 2 2 4 3 3 2 3" xfId="4662"/>
    <cellStyle name="Output 2 2 2 4 3 3 2 3 2" xfId="23102"/>
    <cellStyle name="Output 2 2 2 4 3 3 2 4" xfId="15087"/>
    <cellStyle name="Output 2 2 2 4 3 3 3" xfId="13050"/>
    <cellStyle name="Output 2 2 2 4 3 3 3 2" xfId="27372"/>
    <cellStyle name="Output 2 2 2 4 3 3 4" xfId="18695"/>
    <cellStyle name="Output 2 2 2 4 3 4" xfId="5375"/>
    <cellStyle name="Output 2 2 2 4 3 4 2" xfId="11925"/>
    <cellStyle name="Output 2 2 2 4 3 4 2 2" xfId="26247"/>
    <cellStyle name="Output 2 2 2 4 3 4 3" xfId="17570"/>
    <cellStyle name="Output 2 2 2 4 3 5" xfId="4705"/>
    <cellStyle name="Output 2 2 2 4 3 5 2" xfId="23138"/>
    <cellStyle name="Output 2 2 2 4 3 6" xfId="14964"/>
    <cellStyle name="Output 2 2 2 4 4" xfId="2336"/>
    <cellStyle name="Output 2 2 2 4 4 2" xfId="6835"/>
    <cellStyle name="Output 2 2 2 4 4 2 2" xfId="13439"/>
    <cellStyle name="Output 2 2 2 4 4 2 2 2" xfId="27761"/>
    <cellStyle name="Output 2 2 2 4 4 2 3" xfId="19084"/>
    <cellStyle name="Output 2 2 2 4 4 3" xfId="7599"/>
    <cellStyle name="Output 2 2 2 4 4 3 2" xfId="10213"/>
    <cellStyle name="Output 2 2 2 4 4 3 2 2" xfId="16475"/>
    <cellStyle name="Output 2 2 2 4 4 3 2 2 2" xfId="29891"/>
    <cellStyle name="Output 2 2 2 4 4 3 2 3" xfId="21220"/>
    <cellStyle name="Output 2 2 2 4 4 3 3" xfId="14203"/>
    <cellStyle name="Output 2 2 2 4 4 3 3 2" xfId="28525"/>
    <cellStyle name="Output 2 2 2 4 4 3 4" xfId="19848"/>
    <cellStyle name="Output 2 2 2 4 4 4" xfId="2774"/>
    <cellStyle name="Output 2 2 2 4 4 4 2" xfId="22343"/>
    <cellStyle name="Output 2 2 2 4 4 5" xfId="17257"/>
    <cellStyle name="Output 2 2 2 4 5" xfId="2337"/>
    <cellStyle name="Output 2 2 2 4 5 2" xfId="7429"/>
    <cellStyle name="Output 2 2 2 4 5 2 2" xfId="10043"/>
    <cellStyle name="Output 2 2 2 4 5 2 2 2" xfId="16305"/>
    <cellStyle name="Output 2 2 2 4 5 2 2 2 2" xfId="29721"/>
    <cellStyle name="Output 2 2 2 4 5 2 2 3" xfId="21050"/>
    <cellStyle name="Output 2 2 2 4 5 2 3" xfId="14033"/>
    <cellStyle name="Output 2 2 2 4 5 2 3 2" xfId="28355"/>
    <cellStyle name="Output 2 2 2 4 5 2 4" xfId="19678"/>
    <cellStyle name="Output 2 2 2 4 5 3" xfId="12130"/>
    <cellStyle name="Output 2 2 2 4 5 3 2" xfId="26452"/>
    <cellStyle name="Output 2 2 2 4 5 4" xfId="17775"/>
    <cellStyle name="Output 2 2 2 4 6" xfId="3249"/>
    <cellStyle name="Output 2 2 2 4 6 2" xfId="6087"/>
    <cellStyle name="Output 2 2 2 4 6 2 2" xfId="23411"/>
    <cellStyle name="Output 2 2 2 4 6 3" xfId="4466"/>
    <cellStyle name="Output 2 2 2 4 7" xfId="3742"/>
    <cellStyle name="Output 2 2 2 4 7 2" xfId="22557"/>
    <cellStyle name="Output 2 2 2 4 8" xfId="4490"/>
    <cellStyle name="Output 2 2 2 5" xfId="2338"/>
    <cellStyle name="Output 2 2 2 5 2" xfId="2339"/>
    <cellStyle name="Output 2 2 2 5 2 2" xfId="2340"/>
    <cellStyle name="Output 2 2 2 5 2 2 2" xfId="5839"/>
    <cellStyle name="Output 2 2 2 5 2 2 2 2" xfId="12392"/>
    <cellStyle name="Output 2 2 2 5 2 2 2 2 2" xfId="26714"/>
    <cellStyle name="Output 2 2 2 5 2 2 2 3" xfId="18037"/>
    <cellStyle name="Output 2 2 2 5 2 2 3" xfId="4884"/>
    <cellStyle name="Output 2 2 2 5 2 2 3 2" xfId="9510"/>
    <cellStyle name="Output 2 2 2 5 2 2 3 2 2" xfId="15772"/>
    <cellStyle name="Output 2 2 2 5 2 2 3 2 2 2" xfId="29188"/>
    <cellStyle name="Output 2 2 2 5 2 2 3 2 3" xfId="20517"/>
    <cellStyle name="Output 2 2 2 5 2 2 3 3" xfId="11420"/>
    <cellStyle name="Output 2 2 2 5 2 2 3 3 2" xfId="25742"/>
    <cellStyle name="Output 2 2 2 5 2 2 3 4" xfId="15304"/>
    <cellStyle name="Output 2 2 2 5 2 2 4" xfId="6541"/>
    <cellStyle name="Output 2 2 2 5 2 2 4 2" xfId="23579"/>
    <cellStyle name="Output 2 2 2 5 2 2 5" xfId="15212"/>
    <cellStyle name="Output 2 2 2 5 2 3" xfId="2341"/>
    <cellStyle name="Output 2 2 2 5 2 3 2" xfId="7363"/>
    <cellStyle name="Output 2 2 2 5 2 3 2 2" xfId="9977"/>
    <cellStyle name="Output 2 2 2 5 2 3 2 2 2" xfId="16239"/>
    <cellStyle name="Output 2 2 2 5 2 3 2 2 2 2" xfId="29655"/>
    <cellStyle name="Output 2 2 2 5 2 3 2 2 3" xfId="20984"/>
    <cellStyle name="Output 2 2 2 5 2 3 2 3" xfId="13967"/>
    <cellStyle name="Output 2 2 2 5 2 3 2 3 2" xfId="28289"/>
    <cellStyle name="Output 2 2 2 5 2 3 2 4" xfId="19612"/>
    <cellStyle name="Output 2 2 2 5 2 3 3" xfId="13287"/>
    <cellStyle name="Output 2 2 2 5 2 3 3 2" xfId="27609"/>
    <cellStyle name="Output 2 2 2 5 2 3 4" xfId="18932"/>
    <cellStyle name="Output 2 2 2 5 2 4" xfId="5737"/>
    <cellStyle name="Output 2 2 2 5 2 4 2" xfId="12290"/>
    <cellStyle name="Output 2 2 2 5 2 4 2 2" xfId="26612"/>
    <cellStyle name="Output 2 2 2 5 2 4 3" xfId="17935"/>
    <cellStyle name="Output 2 2 2 5 2 5" xfId="3835"/>
    <cellStyle name="Output 2 2 2 5 2 5 2" xfId="22604"/>
    <cellStyle name="Output 2 2 2 5 2 6" xfId="15433"/>
    <cellStyle name="Output 2 2 2 5 3" xfId="2342"/>
    <cellStyle name="Output 2 2 2 5 3 2" xfId="2343"/>
    <cellStyle name="Output 2 2 2 5 3 2 2" xfId="6533"/>
    <cellStyle name="Output 2 2 2 5 3 2 2 2" xfId="13121"/>
    <cellStyle name="Output 2 2 2 5 3 2 2 2 2" xfId="27443"/>
    <cellStyle name="Output 2 2 2 5 3 2 2 3" xfId="18766"/>
    <cellStyle name="Output 2 2 2 5 3 2 3" xfId="3822"/>
    <cellStyle name="Output 2 2 2 5 3 2 3 2" xfId="9382"/>
    <cellStyle name="Output 2 2 2 5 3 2 3 2 2" xfId="15644"/>
    <cellStyle name="Output 2 2 2 5 3 2 3 2 2 2" xfId="29060"/>
    <cellStyle name="Output 2 2 2 5 3 2 3 2 3" xfId="20389"/>
    <cellStyle name="Output 2 2 2 5 3 2 3 3" xfId="6759"/>
    <cellStyle name="Output 2 2 2 5 3 2 3 3 2" xfId="23707"/>
    <cellStyle name="Output 2 2 2 5 3 2 3 4" xfId="14976"/>
    <cellStyle name="Output 2 2 2 5 3 2 4" xfId="6801"/>
    <cellStyle name="Output 2 2 2 5 3 2 4 2" xfId="23741"/>
    <cellStyle name="Output 2 2 2 5 3 2 5" xfId="14960"/>
    <cellStyle name="Output 2 2 2 5 3 3" xfId="2344"/>
    <cellStyle name="Output 2 2 2 5 3 3 2" xfId="7771"/>
    <cellStyle name="Output 2 2 2 5 3 3 2 2" xfId="10385"/>
    <cellStyle name="Output 2 2 2 5 3 3 2 2 2" xfId="16647"/>
    <cellStyle name="Output 2 2 2 5 3 3 2 2 2 2" xfId="30063"/>
    <cellStyle name="Output 2 2 2 5 3 3 2 2 3" xfId="21392"/>
    <cellStyle name="Output 2 2 2 5 3 3 2 3" xfId="14375"/>
    <cellStyle name="Output 2 2 2 5 3 3 2 3 2" xfId="28697"/>
    <cellStyle name="Output 2 2 2 5 3 3 2 4" xfId="20020"/>
    <cellStyle name="Output 2 2 2 5 3 3 3" xfId="13095"/>
    <cellStyle name="Output 2 2 2 5 3 3 3 2" xfId="27417"/>
    <cellStyle name="Output 2 2 2 5 3 3 4" xfId="18740"/>
    <cellStyle name="Output 2 2 2 5 3 4" xfId="5451"/>
    <cellStyle name="Output 2 2 2 5 3 4 2" xfId="12002"/>
    <cellStyle name="Output 2 2 2 5 3 4 2 2" xfId="26324"/>
    <cellStyle name="Output 2 2 2 5 3 4 3" xfId="17647"/>
    <cellStyle name="Output 2 2 2 5 3 5" xfId="4675"/>
    <cellStyle name="Output 2 2 2 5 3 5 2" xfId="23114"/>
    <cellStyle name="Output 2 2 2 5 3 6" xfId="17085"/>
    <cellStyle name="Output 2 2 2 5 4" xfId="2345"/>
    <cellStyle name="Output 2 2 2 5 4 2" xfId="6895"/>
    <cellStyle name="Output 2 2 2 5 4 2 2" xfId="13499"/>
    <cellStyle name="Output 2 2 2 5 4 2 2 2" xfId="27821"/>
    <cellStyle name="Output 2 2 2 5 4 2 3" xfId="19144"/>
    <cellStyle name="Output 2 2 2 5 4 3" xfId="7086"/>
    <cellStyle name="Output 2 2 2 5 4 3 2" xfId="9700"/>
    <cellStyle name="Output 2 2 2 5 4 3 2 2" xfId="15962"/>
    <cellStyle name="Output 2 2 2 5 4 3 2 2 2" xfId="29378"/>
    <cellStyle name="Output 2 2 2 5 4 3 2 3" xfId="20707"/>
    <cellStyle name="Output 2 2 2 5 4 3 3" xfId="13690"/>
    <cellStyle name="Output 2 2 2 5 4 3 3 2" xfId="28012"/>
    <cellStyle name="Output 2 2 2 5 4 3 4" xfId="19335"/>
    <cellStyle name="Output 2 2 2 5 4 4" xfId="11374"/>
    <cellStyle name="Output 2 2 2 5 4 4 2" xfId="25696"/>
    <cellStyle name="Output 2 2 2 5 4 5" xfId="6697"/>
    <cellStyle name="Output 2 2 2 5 5" xfId="2346"/>
    <cellStyle name="Output 2 2 2 5 5 2" xfId="7213"/>
    <cellStyle name="Output 2 2 2 5 5 2 2" xfId="9827"/>
    <cellStyle name="Output 2 2 2 5 5 2 2 2" xfId="16089"/>
    <cellStyle name="Output 2 2 2 5 5 2 2 2 2" xfId="29505"/>
    <cellStyle name="Output 2 2 2 5 5 2 2 3" xfId="20834"/>
    <cellStyle name="Output 2 2 2 5 5 2 3" xfId="13817"/>
    <cellStyle name="Output 2 2 2 5 5 2 3 2" xfId="28139"/>
    <cellStyle name="Output 2 2 2 5 5 2 4" xfId="19462"/>
    <cellStyle name="Output 2 2 2 5 5 3" xfId="12856"/>
    <cellStyle name="Output 2 2 2 5 5 3 2" xfId="27178"/>
    <cellStyle name="Output 2 2 2 5 5 4" xfId="18501"/>
    <cellStyle name="Output 2 2 2 5 6" xfId="5464"/>
    <cellStyle name="Output 2 2 2 5 6 2" xfId="12015"/>
    <cellStyle name="Output 2 2 2 5 6 2 2" xfId="26337"/>
    <cellStyle name="Output 2 2 2 5 6 3" xfId="17660"/>
    <cellStyle name="Output 2 2 2 5 7" xfId="4531"/>
    <cellStyle name="Output 2 2 2 5 7 2" xfId="23011"/>
    <cellStyle name="Output 2 2 2 5 8" xfId="3637"/>
    <cellStyle name="Output 2 2 2 6" xfId="2347"/>
    <cellStyle name="Output 2 2 2 6 2" xfId="2348"/>
    <cellStyle name="Output 2 2 2 6 2 2" xfId="2349"/>
    <cellStyle name="Output 2 2 2 6 2 2 2" xfId="6546"/>
    <cellStyle name="Output 2 2 2 6 2 2 2 2" xfId="13134"/>
    <cellStyle name="Output 2 2 2 6 2 2 2 2 2" xfId="27456"/>
    <cellStyle name="Output 2 2 2 6 2 2 2 3" xfId="18779"/>
    <cellStyle name="Output 2 2 2 6 2 2 3" xfId="5264"/>
    <cellStyle name="Output 2 2 2 6 2 2 3 2" xfId="9573"/>
    <cellStyle name="Output 2 2 2 6 2 2 3 2 2" xfId="15835"/>
    <cellStyle name="Output 2 2 2 6 2 2 3 2 2 2" xfId="29251"/>
    <cellStyle name="Output 2 2 2 6 2 2 3 2 3" xfId="20580"/>
    <cellStyle name="Output 2 2 2 6 2 2 3 3" xfId="11814"/>
    <cellStyle name="Output 2 2 2 6 2 2 3 3 2" xfId="26136"/>
    <cellStyle name="Output 2 2 2 6 2 2 3 4" xfId="17459"/>
    <cellStyle name="Output 2 2 2 6 2 2 4" xfId="4488"/>
    <cellStyle name="Output 2 2 2 6 2 2 4 2" xfId="22983"/>
    <cellStyle name="Output 2 2 2 6 2 2 5" xfId="17304"/>
    <cellStyle name="Output 2 2 2 6 2 3" xfId="2350"/>
    <cellStyle name="Output 2 2 2 6 2 3 2" xfId="5319"/>
    <cellStyle name="Output 2 2 2 6 2 3 2 2" xfId="9628"/>
    <cellStyle name="Output 2 2 2 6 2 3 2 2 2" xfId="15890"/>
    <cellStyle name="Output 2 2 2 6 2 3 2 2 2 2" xfId="29306"/>
    <cellStyle name="Output 2 2 2 6 2 3 2 2 3" xfId="20635"/>
    <cellStyle name="Output 2 2 2 6 2 3 2 3" xfId="11869"/>
    <cellStyle name="Output 2 2 2 6 2 3 2 3 2" xfId="26191"/>
    <cellStyle name="Output 2 2 2 6 2 3 2 4" xfId="17514"/>
    <cellStyle name="Output 2 2 2 6 2 3 3" xfId="13043"/>
    <cellStyle name="Output 2 2 2 6 2 3 3 2" xfId="27365"/>
    <cellStyle name="Output 2 2 2 6 2 3 4" xfId="18688"/>
    <cellStyle name="Output 2 2 2 6 2 4" xfId="5362"/>
    <cellStyle name="Output 2 2 2 6 2 4 2" xfId="11912"/>
    <cellStyle name="Output 2 2 2 6 2 4 2 2" xfId="26234"/>
    <cellStyle name="Output 2 2 2 6 2 4 3" xfId="17557"/>
    <cellStyle name="Output 2 2 2 6 2 5" xfId="3825"/>
    <cellStyle name="Output 2 2 2 6 2 5 2" xfId="22600"/>
    <cellStyle name="Output 2 2 2 6 2 6" xfId="16987"/>
    <cellStyle name="Output 2 2 2 6 3" xfId="2351"/>
    <cellStyle name="Output 2 2 2 6 3 2" xfId="5386"/>
    <cellStyle name="Output 2 2 2 6 3 2 2" xfId="11936"/>
    <cellStyle name="Output 2 2 2 6 3 2 2 2" xfId="26258"/>
    <cellStyle name="Output 2 2 2 6 3 2 3" xfId="17581"/>
    <cellStyle name="Output 2 2 2 6 3 3" xfId="7895"/>
    <cellStyle name="Output 2 2 2 6 3 3 2" xfId="10509"/>
    <cellStyle name="Output 2 2 2 6 3 3 2 2" xfId="16771"/>
    <cellStyle name="Output 2 2 2 6 3 3 2 2 2" xfId="30187"/>
    <cellStyle name="Output 2 2 2 6 3 3 2 3" xfId="21516"/>
    <cellStyle name="Output 2 2 2 6 3 3 3" xfId="14499"/>
    <cellStyle name="Output 2 2 2 6 3 3 3 2" xfId="28821"/>
    <cellStyle name="Output 2 2 2 6 3 3 4" xfId="20144"/>
    <cellStyle name="Output 2 2 2 6 3 4" xfId="3862"/>
    <cellStyle name="Output 2 2 2 6 3 4 2" xfId="22617"/>
    <cellStyle name="Output 2 2 2 6 3 5" xfId="15307"/>
    <cellStyle name="Output 2 2 2 6 4" xfId="2352"/>
    <cellStyle name="Output 2 2 2 6 4 2" xfId="8018"/>
    <cellStyle name="Output 2 2 2 6 4 2 2" xfId="10632"/>
    <cellStyle name="Output 2 2 2 6 4 2 2 2" xfId="16894"/>
    <cellStyle name="Output 2 2 2 6 4 2 2 2 2" xfId="30310"/>
    <cellStyle name="Output 2 2 2 6 4 2 2 3" xfId="21639"/>
    <cellStyle name="Output 2 2 2 6 4 2 3" xfId="14622"/>
    <cellStyle name="Output 2 2 2 6 4 2 3 2" xfId="28944"/>
    <cellStyle name="Output 2 2 2 6 4 2 4" xfId="20267"/>
    <cellStyle name="Output 2 2 2 6 4 3" xfId="12947"/>
    <cellStyle name="Output 2 2 2 6 4 3 2" xfId="27269"/>
    <cellStyle name="Output 2 2 2 6 4 4" xfId="18592"/>
    <cellStyle name="Output 2 2 2 6 5" xfId="5612"/>
    <cellStyle name="Output 2 2 2 6 5 2" xfId="12165"/>
    <cellStyle name="Output 2 2 2 6 5 2 2" xfId="26487"/>
    <cellStyle name="Output 2 2 2 6 5 3" xfId="17810"/>
    <cellStyle name="Output 2 2 2 6 6" xfId="3264"/>
    <cellStyle name="Output 2 2 2 6 6 2" xfId="22450"/>
    <cellStyle name="Output 2 2 2 6 7" xfId="4438"/>
    <cellStyle name="Output 2 2 2 7" xfId="2353"/>
    <cellStyle name="Output 2 2 2 7 2" xfId="2354"/>
    <cellStyle name="Output 2 2 2 7 2 2" xfId="7040"/>
    <cellStyle name="Output 2 2 2 7 2 2 2" xfId="13644"/>
    <cellStyle name="Output 2 2 2 7 2 2 2 2" xfId="27966"/>
    <cellStyle name="Output 2 2 2 7 2 2 3" xfId="19289"/>
    <cellStyle name="Output 2 2 2 7 2 3" xfId="8051"/>
    <cellStyle name="Output 2 2 2 7 2 3 2" xfId="10665"/>
    <cellStyle name="Output 2 2 2 7 2 3 2 2" xfId="16927"/>
    <cellStyle name="Output 2 2 2 7 2 3 2 2 2" xfId="30343"/>
    <cellStyle name="Output 2 2 2 7 2 3 2 3" xfId="21672"/>
    <cellStyle name="Output 2 2 2 7 2 3 3" xfId="14655"/>
    <cellStyle name="Output 2 2 2 7 2 3 3 2" xfId="28977"/>
    <cellStyle name="Output 2 2 2 7 2 3 4" xfId="20300"/>
    <cellStyle name="Output 2 2 2 7 2 4" xfId="11585"/>
    <cellStyle name="Output 2 2 2 7 2 4 2" xfId="25907"/>
    <cellStyle name="Output 2 2 2 7 2 5" xfId="15060"/>
    <cellStyle name="Output 2 2 2 7 3" xfId="2355"/>
    <cellStyle name="Output 2 2 2 7 3 2" xfId="7795"/>
    <cellStyle name="Output 2 2 2 7 3 2 2" xfId="10409"/>
    <cellStyle name="Output 2 2 2 7 3 2 2 2" xfId="16671"/>
    <cellStyle name="Output 2 2 2 7 3 2 2 2 2" xfId="30087"/>
    <cellStyle name="Output 2 2 2 7 3 2 2 3" xfId="21416"/>
    <cellStyle name="Output 2 2 2 7 3 2 3" xfId="14399"/>
    <cellStyle name="Output 2 2 2 7 3 2 3 2" xfId="28721"/>
    <cellStyle name="Output 2 2 2 7 3 2 4" xfId="20044"/>
    <cellStyle name="Output 2 2 2 7 3 3" xfId="13404"/>
    <cellStyle name="Output 2 2 2 7 3 3 2" xfId="27726"/>
    <cellStyle name="Output 2 2 2 7 3 4" xfId="19049"/>
    <cellStyle name="Output 2 2 2 7 4" xfId="5869"/>
    <cellStyle name="Output 2 2 2 7 4 2" xfId="12422"/>
    <cellStyle name="Output 2 2 2 7 4 2 2" xfId="26744"/>
    <cellStyle name="Output 2 2 2 7 4 3" xfId="18067"/>
    <cellStyle name="Output 2 2 2 7 5" xfId="4988"/>
    <cellStyle name="Output 2 2 2 7 5 2" xfId="23296"/>
    <cellStyle name="Output 2 2 2 7 6" xfId="17156"/>
    <cellStyle name="Output 2 2 2 8" xfId="2356"/>
    <cellStyle name="Output 2 2 2 8 2" xfId="5994"/>
    <cellStyle name="Output 2 2 2 8 2 2" xfId="12552"/>
    <cellStyle name="Output 2 2 2 8 2 2 2" xfId="26874"/>
    <cellStyle name="Output 2 2 2 8 2 3" xfId="18197"/>
    <cellStyle name="Output 2 2 2 8 3" xfId="7412"/>
    <cellStyle name="Output 2 2 2 8 3 2" xfId="10026"/>
    <cellStyle name="Output 2 2 2 8 3 2 2" xfId="16288"/>
    <cellStyle name="Output 2 2 2 8 3 2 2 2" xfId="29704"/>
    <cellStyle name="Output 2 2 2 8 3 2 3" xfId="21033"/>
    <cellStyle name="Output 2 2 2 8 3 3" xfId="14016"/>
    <cellStyle name="Output 2 2 2 8 3 3 2" xfId="28338"/>
    <cellStyle name="Output 2 2 2 8 3 4" xfId="19661"/>
    <cellStyle name="Output 2 2 2 8 4" xfId="4445"/>
    <cellStyle name="Output 2 2 2 8 4 2" xfId="22957"/>
    <cellStyle name="Output 2 2 2 8 5" xfId="14868"/>
    <cellStyle name="Output 2 2 2 9" xfId="2357"/>
    <cellStyle name="Output 2 2 2 9 2" xfId="7231"/>
    <cellStyle name="Output 2 2 2 9 2 2" xfId="9845"/>
    <cellStyle name="Output 2 2 2 9 2 2 2" xfId="16107"/>
    <cellStyle name="Output 2 2 2 9 2 2 2 2" xfId="29523"/>
    <cellStyle name="Output 2 2 2 9 2 2 3" xfId="20852"/>
    <cellStyle name="Output 2 2 2 9 2 3" xfId="13835"/>
    <cellStyle name="Output 2 2 2 9 2 3 2" xfId="28157"/>
    <cellStyle name="Output 2 2 2 9 2 4" xfId="19480"/>
    <cellStyle name="Output 2 2 2 9 3" xfId="12384"/>
    <cellStyle name="Output 2 2 2 9 3 2" xfId="26706"/>
    <cellStyle name="Output 2 2 2 9 4" xfId="18029"/>
    <cellStyle name="Output 2 2 3" xfId="2358"/>
    <cellStyle name="Output 2 2 3 10" xfId="3139"/>
    <cellStyle name="Output 2 2 3 10 2" xfId="22417"/>
    <cellStyle name="Output 2 2 3 11" xfId="17230"/>
    <cellStyle name="Output 2 2 3 2" xfId="2359"/>
    <cellStyle name="Output 2 2 3 2 2" xfId="2360"/>
    <cellStyle name="Output 2 2 3 2 2 2" xfId="2361"/>
    <cellStyle name="Output 2 2 3 2 2 2 2" xfId="6567"/>
    <cellStyle name="Output 2 2 3 2 2 2 2 2" xfId="13155"/>
    <cellStyle name="Output 2 2 3 2 2 2 2 2 2" xfId="27477"/>
    <cellStyle name="Output 2 2 3 2 2 2 2 3" xfId="18800"/>
    <cellStyle name="Output 2 2 3 2 2 2 3" xfId="7792"/>
    <cellStyle name="Output 2 2 3 2 2 2 3 2" xfId="10406"/>
    <cellStyle name="Output 2 2 3 2 2 2 3 2 2" xfId="16668"/>
    <cellStyle name="Output 2 2 3 2 2 2 3 2 2 2" xfId="30084"/>
    <cellStyle name="Output 2 2 3 2 2 2 3 2 3" xfId="21413"/>
    <cellStyle name="Output 2 2 3 2 2 2 3 3" xfId="14396"/>
    <cellStyle name="Output 2 2 3 2 2 2 3 3 2" xfId="28718"/>
    <cellStyle name="Output 2 2 3 2 2 2 3 4" xfId="20041"/>
    <cellStyle name="Output 2 2 3 2 2 2 4" xfId="4419"/>
    <cellStyle name="Output 2 2 3 2 2 2 4 2" xfId="22939"/>
    <cellStyle name="Output 2 2 3 2 2 2 5" xfId="14683"/>
    <cellStyle name="Output 2 2 3 2 2 3" xfId="2362"/>
    <cellStyle name="Output 2 2 3 2 2 3 2" xfId="7350"/>
    <cellStyle name="Output 2 2 3 2 2 3 2 2" xfId="9964"/>
    <cellStyle name="Output 2 2 3 2 2 3 2 2 2" xfId="16226"/>
    <cellStyle name="Output 2 2 3 2 2 3 2 2 2 2" xfId="29642"/>
    <cellStyle name="Output 2 2 3 2 2 3 2 2 3" xfId="20971"/>
    <cellStyle name="Output 2 2 3 2 2 3 2 3" xfId="13954"/>
    <cellStyle name="Output 2 2 3 2 2 3 2 3 2" xfId="28276"/>
    <cellStyle name="Output 2 2 3 2 2 3 2 4" xfId="19599"/>
    <cellStyle name="Output 2 2 3 2 2 3 3" xfId="13261"/>
    <cellStyle name="Output 2 2 3 2 2 3 3 2" xfId="27583"/>
    <cellStyle name="Output 2 2 3 2 2 3 4" xfId="18906"/>
    <cellStyle name="Output 2 2 3 2 2 4" xfId="5707"/>
    <cellStyle name="Output 2 2 3 2 2 4 2" xfId="12260"/>
    <cellStyle name="Output 2 2 3 2 2 4 2 2" xfId="26582"/>
    <cellStyle name="Output 2 2 3 2 2 4 3" xfId="17905"/>
    <cellStyle name="Output 2 2 3 2 2 5" xfId="4053"/>
    <cellStyle name="Output 2 2 3 2 2 5 2" xfId="22729"/>
    <cellStyle name="Output 2 2 3 2 2 6" xfId="17091"/>
    <cellStyle name="Output 2 2 3 2 3" xfId="2363"/>
    <cellStyle name="Output 2 2 3 2 3 2" xfId="2364"/>
    <cellStyle name="Output 2 2 3 2 3 2 2" xfId="7010"/>
    <cellStyle name="Output 2 2 3 2 3 2 2 2" xfId="13614"/>
    <cellStyle name="Output 2 2 3 2 3 2 2 2 2" xfId="27936"/>
    <cellStyle name="Output 2 2 3 2 3 2 2 3" xfId="19259"/>
    <cellStyle name="Output 2 2 3 2 3 2 3" xfId="7602"/>
    <cellStyle name="Output 2 2 3 2 3 2 3 2" xfId="10216"/>
    <cellStyle name="Output 2 2 3 2 3 2 3 2 2" xfId="16478"/>
    <cellStyle name="Output 2 2 3 2 3 2 3 2 2 2" xfId="29894"/>
    <cellStyle name="Output 2 2 3 2 3 2 3 2 3" xfId="21223"/>
    <cellStyle name="Output 2 2 3 2 3 2 3 3" xfId="14206"/>
    <cellStyle name="Output 2 2 3 2 3 2 3 3 2" xfId="28528"/>
    <cellStyle name="Output 2 2 3 2 3 2 3 4" xfId="19851"/>
    <cellStyle name="Output 2 2 3 2 3 2 4" xfId="11533"/>
    <cellStyle name="Output 2 2 3 2 3 2 4 2" xfId="25855"/>
    <cellStyle name="Output 2 2 3 2 3 2 5" xfId="15070"/>
    <cellStyle name="Output 2 2 3 2 3 3" xfId="2365"/>
    <cellStyle name="Output 2 2 3 2 3 3 2" xfId="5283"/>
    <cellStyle name="Output 2 2 3 2 3 3 2 2" xfId="9592"/>
    <cellStyle name="Output 2 2 3 2 3 3 2 2 2" xfId="15854"/>
    <cellStyle name="Output 2 2 3 2 3 3 2 2 2 2" xfId="29270"/>
    <cellStyle name="Output 2 2 3 2 3 3 2 2 3" xfId="20599"/>
    <cellStyle name="Output 2 2 3 2 3 3 2 3" xfId="11833"/>
    <cellStyle name="Output 2 2 3 2 3 3 2 3 2" xfId="26155"/>
    <cellStyle name="Output 2 2 3 2 3 3 2 4" xfId="17478"/>
    <cellStyle name="Output 2 2 3 2 3 3 3" xfId="13394"/>
    <cellStyle name="Output 2 2 3 2 3 3 3 2" xfId="27716"/>
    <cellStyle name="Output 2 2 3 2 3 3 4" xfId="19039"/>
    <cellStyle name="Output 2 2 3 2 3 4" xfId="5858"/>
    <cellStyle name="Output 2 2 3 2 3 4 2" xfId="12411"/>
    <cellStyle name="Output 2 2 3 2 3 4 2 2" xfId="26733"/>
    <cellStyle name="Output 2 2 3 2 3 4 3" xfId="18056"/>
    <cellStyle name="Output 2 2 3 2 3 5" xfId="5057"/>
    <cellStyle name="Output 2 2 3 2 3 5 2" xfId="23320"/>
    <cellStyle name="Output 2 2 3 2 3 6" xfId="4363"/>
    <cellStyle name="Output 2 2 3 2 4" xfId="2366"/>
    <cellStyle name="Output 2 2 3 2 4 2" xfId="6987"/>
    <cellStyle name="Output 2 2 3 2 4 2 2" xfId="13591"/>
    <cellStyle name="Output 2 2 3 2 4 2 2 2" xfId="27913"/>
    <cellStyle name="Output 2 2 3 2 4 2 3" xfId="19236"/>
    <cellStyle name="Output 2 2 3 2 4 3" xfId="7770"/>
    <cellStyle name="Output 2 2 3 2 4 3 2" xfId="10384"/>
    <cellStyle name="Output 2 2 3 2 4 3 2 2" xfId="16646"/>
    <cellStyle name="Output 2 2 3 2 4 3 2 2 2" xfId="30062"/>
    <cellStyle name="Output 2 2 3 2 4 3 2 3" xfId="21391"/>
    <cellStyle name="Output 2 2 3 2 4 3 3" xfId="14374"/>
    <cellStyle name="Output 2 2 3 2 4 3 3 2" xfId="28696"/>
    <cellStyle name="Output 2 2 3 2 4 3 4" xfId="20019"/>
    <cellStyle name="Output 2 2 3 2 4 4" xfId="11499"/>
    <cellStyle name="Output 2 2 3 2 4 4 2" xfId="25821"/>
    <cellStyle name="Output 2 2 3 2 4 5" xfId="4557"/>
    <cellStyle name="Output 2 2 3 2 5" xfId="2367"/>
    <cellStyle name="Output 2 2 3 2 5 2" xfId="7047"/>
    <cellStyle name="Output 2 2 3 2 5 2 2" xfId="9661"/>
    <cellStyle name="Output 2 2 3 2 5 2 2 2" xfId="15923"/>
    <cellStyle name="Output 2 2 3 2 5 2 2 2 2" xfId="29339"/>
    <cellStyle name="Output 2 2 3 2 5 2 2 3" xfId="20668"/>
    <cellStyle name="Output 2 2 3 2 5 2 3" xfId="13651"/>
    <cellStyle name="Output 2 2 3 2 5 2 3 2" xfId="27973"/>
    <cellStyle name="Output 2 2 3 2 5 2 4" xfId="19296"/>
    <cellStyle name="Output 2 2 3 2 5 3" xfId="12816"/>
    <cellStyle name="Output 2 2 3 2 5 3 2" xfId="27138"/>
    <cellStyle name="Output 2 2 3 2 5 4" xfId="18461"/>
    <cellStyle name="Output 2 2 3 2 6" xfId="5353"/>
    <cellStyle name="Output 2 2 3 2 6 2" xfId="11903"/>
    <cellStyle name="Output 2 2 3 2 6 2 2" xfId="26225"/>
    <cellStyle name="Output 2 2 3 2 6 3" xfId="17548"/>
    <cellStyle name="Output 2 2 3 2 7" xfId="6669"/>
    <cellStyle name="Output 2 2 3 2 7 2" xfId="23641"/>
    <cellStyle name="Output 2 2 3 2 8" xfId="15149"/>
    <cellStyle name="Output 2 2 3 3" xfId="2368"/>
    <cellStyle name="Output 2 2 3 3 2" xfId="2369"/>
    <cellStyle name="Output 2 2 3 3 2 2" xfId="2370"/>
    <cellStyle name="Output 2 2 3 3 2 2 2" xfId="6851"/>
    <cellStyle name="Output 2 2 3 3 2 2 2 2" xfId="13455"/>
    <cellStyle name="Output 2 2 3 3 2 2 2 2 2" xfId="27777"/>
    <cellStyle name="Output 2 2 3 3 2 2 2 3" xfId="19100"/>
    <cellStyle name="Output 2 2 3 3 2 2 3" xfId="7665"/>
    <cellStyle name="Output 2 2 3 3 2 2 3 2" xfId="10279"/>
    <cellStyle name="Output 2 2 3 3 2 2 3 2 2" xfId="16541"/>
    <cellStyle name="Output 2 2 3 3 2 2 3 2 2 2" xfId="29957"/>
    <cellStyle name="Output 2 2 3 3 2 2 3 2 3" xfId="21286"/>
    <cellStyle name="Output 2 2 3 3 2 2 3 3" xfId="14269"/>
    <cellStyle name="Output 2 2 3 3 2 2 3 3 2" xfId="28591"/>
    <cellStyle name="Output 2 2 3 3 2 2 3 4" xfId="19914"/>
    <cellStyle name="Output 2 2 3 3 2 2 4" xfId="2764"/>
    <cellStyle name="Output 2 2 3 3 2 2 4 2" xfId="22333"/>
    <cellStyle name="Output 2 2 3 3 2 2 5" xfId="4126"/>
    <cellStyle name="Output 2 2 3 3 2 3" xfId="2371"/>
    <cellStyle name="Output 2 2 3 3 2 3 2" xfId="7510"/>
    <cellStyle name="Output 2 2 3 3 2 3 2 2" xfId="10124"/>
    <cellStyle name="Output 2 2 3 3 2 3 2 2 2" xfId="16386"/>
    <cellStyle name="Output 2 2 3 3 2 3 2 2 2 2" xfId="29802"/>
    <cellStyle name="Output 2 2 3 3 2 3 2 2 3" xfId="21131"/>
    <cellStyle name="Output 2 2 3 3 2 3 2 3" xfId="14114"/>
    <cellStyle name="Output 2 2 3 3 2 3 2 3 2" xfId="28436"/>
    <cellStyle name="Output 2 2 3 3 2 3 2 4" xfId="19759"/>
    <cellStyle name="Output 2 2 3 3 2 3 3" xfId="13228"/>
    <cellStyle name="Output 2 2 3 3 2 3 3 2" xfId="27550"/>
    <cellStyle name="Output 2 2 3 3 2 3 4" xfId="18873"/>
    <cellStyle name="Output 2 2 3 3 2 4" xfId="5669"/>
    <cellStyle name="Output 2 2 3 3 2 4 2" xfId="12222"/>
    <cellStyle name="Output 2 2 3 3 2 4 2 2" xfId="26544"/>
    <cellStyle name="Output 2 2 3 3 2 4 3" xfId="17867"/>
    <cellStyle name="Output 2 2 3 3 2 5" xfId="6366"/>
    <cellStyle name="Output 2 2 3 3 2 5 2" xfId="23548"/>
    <cellStyle name="Output 2 2 3 3 2 6" xfId="17261"/>
    <cellStyle name="Output 2 2 3 3 3" xfId="2372"/>
    <cellStyle name="Output 2 2 3 3 3 2" xfId="2373"/>
    <cellStyle name="Output 2 2 3 3 3 2 2" xfId="6160"/>
    <cellStyle name="Output 2 2 3 3 3 2 2 2" xfId="12731"/>
    <cellStyle name="Output 2 2 3 3 3 2 2 2 2" xfId="27053"/>
    <cellStyle name="Output 2 2 3 3 3 2 2 3" xfId="18376"/>
    <cellStyle name="Output 2 2 3 3 3 2 3" xfId="7453"/>
    <cellStyle name="Output 2 2 3 3 3 2 3 2" xfId="10067"/>
    <cellStyle name="Output 2 2 3 3 3 2 3 2 2" xfId="16329"/>
    <cellStyle name="Output 2 2 3 3 3 2 3 2 2 2" xfId="29745"/>
    <cellStyle name="Output 2 2 3 3 3 2 3 2 3" xfId="21074"/>
    <cellStyle name="Output 2 2 3 3 3 2 3 3" xfId="14057"/>
    <cellStyle name="Output 2 2 3 3 3 2 3 3 2" xfId="28379"/>
    <cellStyle name="Output 2 2 3 3 3 2 3 4" xfId="19702"/>
    <cellStyle name="Output 2 2 3 3 3 2 4" xfId="6180"/>
    <cellStyle name="Output 2 2 3 3 3 2 4 2" xfId="23445"/>
    <cellStyle name="Output 2 2 3 3 3 2 5" xfId="15203"/>
    <cellStyle name="Output 2 2 3 3 3 3" xfId="2374"/>
    <cellStyle name="Output 2 2 3 3 3 3 2" xfId="7954"/>
    <cellStyle name="Output 2 2 3 3 3 3 2 2" xfId="10568"/>
    <cellStyle name="Output 2 2 3 3 3 3 2 2 2" xfId="16830"/>
    <cellStyle name="Output 2 2 3 3 3 3 2 2 2 2" xfId="30246"/>
    <cellStyle name="Output 2 2 3 3 3 3 2 2 3" xfId="21575"/>
    <cellStyle name="Output 2 2 3 3 3 3 2 3" xfId="14558"/>
    <cellStyle name="Output 2 2 3 3 3 3 2 3 2" xfId="28880"/>
    <cellStyle name="Output 2 2 3 3 3 3 2 4" xfId="20203"/>
    <cellStyle name="Output 2 2 3 3 3 3 3" xfId="13185"/>
    <cellStyle name="Output 2 2 3 3 3 3 3 2" xfId="27507"/>
    <cellStyle name="Output 2 2 3 3 3 3 4" xfId="18830"/>
    <cellStyle name="Output 2 2 3 3 3 4" xfId="5621"/>
    <cellStyle name="Output 2 2 3 3 3 4 2" xfId="12174"/>
    <cellStyle name="Output 2 2 3 3 3 4 2 2" xfId="26496"/>
    <cellStyle name="Output 2 2 3 3 3 4 3" xfId="17819"/>
    <cellStyle name="Output 2 2 3 3 3 5" xfId="6156"/>
    <cellStyle name="Output 2 2 3 3 3 5 2" xfId="23435"/>
    <cellStyle name="Output 2 2 3 3 3 6" xfId="17208"/>
    <cellStyle name="Output 2 2 3 3 4" xfId="2375"/>
    <cellStyle name="Output 2 2 3 3 4 2" xfId="6429"/>
    <cellStyle name="Output 2 2 3 3 4 2 2" xfId="13012"/>
    <cellStyle name="Output 2 2 3 3 4 2 2 2" xfId="27334"/>
    <cellStyle name="Output 2 2 3 3 4 2 3" xfId="18657"/>
    <cellStyle name="Output 2 2 3 3 4 3" xfId="7609"/>
    <cellStyle name="Output 2 2 3 3 4 3 2" xfId="10223"/>
    <cellStyle name="Output 2 2 3 3 4 3 2 2" xfId="16485"/>
    <cellStyle name="Output 2 2 3 3 4 3 2 2 2" xfId="29901"/>
    <cellStyle name="Output 2 2 3 3 4 3 2 3" xfId="21230"/>
    <cellStyle name="Output 2 2 3 3 4 3 3" xfId="14213"/>
    <cellStyle name="Output 2 2 3 3 4 3 3 2" xfId="28535"/>
    <cellStyle name="Output 2 2 3 3 4 3 4" xfId="19858"/>
    <cellStyle name="Output 2 2 3 3 4 4" xfId="5978"/>
    <cellStyle name="Output 2 2 3 3 4 4 2" xfId="23388"/>
    <cellStyle name="Output 2 2 3 3 4 5" xfId="17005"/>
    <cellStyle name="Output 2 2 3 3 5" xfId="2376"/>
    <cellStyle name="Output 2 2 3 3 5 2" xfId="7125"/>
    <cellStyle name="Output 2 2 3 3 5 2 2" xfId="9739"/>
    <cellStyle name="Output 2 2 3 3 5 2 2 2" xfId="16001"/>
    <cellStyle name="Output 2 2 3 3 5 2 2 2 2" xfId="29417"/>
    <cellStyle name="Output 2 2 3 3 5 2 2 3" xfId="20746"/>
    <cellStyle name="Output 2 2 3 3 5 2 3" xfId="13729"/>
    <cellStyle name="Output 2 2 3 3 5 2 3 2" xfId="28051"/>
    <cellStyle name="Output 2 2 3 3 5 2 4" xfId="19374"/>
    <cellStyle name="Output 2 2 3 3 5 3" xfId="12600"/>
    <cellStyle name="Output 2 2 3 3 5 3 2" xfId="26922"/>
    <cellStyle name="Output 2 2 3 3 5 4" xfId="18245"/>
    <cellStyle name="Output 2 2 3 3 6" xfId="5052"/>
    <cellStyle name="Output 2 2 3 3 6 2" xfId="11599"/>
    <cellStyle name="Output 2 2 3 3 6 2 2" xfId="25921"/>
    <cellStyle name="Output 2 2 3 3 6 3" xfId="15452"/>
    <cellStyle name="Output 2 2 3 3 7" xfId="4746"/>
    <cellStyle name="Output 2 2 3 3 7 2" xfId="23166"/>
    <cellStyle name="Output 2 2 3 3 8" xfId="4162"/>
    <cellStyle name="Output 2 2 3 4" xfId="2377"/>
    <cellStyle name="Output 2 2 3 4 2" xfId="2378"/>
    <cellStyle name="Output 2 2 3 4 2 2" xfId="2379"/>
    <cellStyle name="Output 2 2 3 4 2 2 2" xfId="6023"/>
    <cellStyle name="Output 2 2 3 4 2 2 2 2" xfId="12584"/>
    <cellStyle name="Output 2 2 3 4 2 2 2 2 2" xfId="26906"/>
    <cellStyle name="Output 2 2 3 4 2 2 2 3" xfId="18229"/>
    <cellStyle name="Output 2 2 3 4 2 2 3" xfId="7881"/>
    <cellStyle name="Output 2 2 3 4 2 2 3 2" xfId="10495"/>
    <cellStyle name="Output 2 2 3 4 2 2 3 2 2" xfId="16757"/>
    <cellStyle name="Output 2 2 3 4 2 2 3 2 2 2" xfId="30173"/>
    <cellStyle name="Output 2 2 3 4 2 2 3 2 3" xfId="21502"/>
    <cellStyle name="Output 2 2 3 4 2 2 3 3" xfId="14485"/>
    <cellStyle name="Output 2 2 3 4 2 2 3 3 2" xfId="28807"/>
    <cellStyle name="Output 2 2 3 4 2 2 3 4" xfId="20130"/>
    <cellStyle name="Output 2 2 3 4 2 2 4" xfId="4074"/>
    <cellStyle name="Output 2 2 3 4 2 2 4 2" xfId="22746"/>
    <cellStyle name="Output 2 2 3 4 2 2 5" xfId="17335"/>
    <cellStyle name="Output 2 2 3 4 2 3" xfId="2380"/>
    <cellStyle name="Output 2 2 3 4 2 3 2" xfId="7255"/>
    <cellStyle name="Output 2 2 3 4 2 3 2 2" xfId="9869"/>
    <cellStyle name="Output 2 2 3 4 2 3 2 2 2" xfId="16131"/>
    <cellStyle name="Output 2 2 3 4 2 3 2 2 2 2" xfId="29547"/>
    <cellStyle name="Output 2 2 3 4 2 3 2 2 3" xfId="20876"/>
    <cellStyle name="Output 2 2 3 4 2 3 2 3" xfId="13859"/>
    <cellStyle name="Output 2 2 3 4 2 3 2 3 2" xfId="28181"/>
    <cellStyle name="Output 2 2 3 4 2 3 2 4" xfId="19504"/>
    <cellStyle name="Output 2 2 3 4 2 3 3" xfId="13218"/>
    <cellStyle name="Output 2 2 3 4 2 3 3 2" xfId="27540"/>
    <cellStyle name="Output 2 2 3 4 2 3 4" xfId="18863"/>
    <cellStyle name="Output 2 2 3 4 2 4" xfId="5659"/>
    <cellStyle name="Output 2 2 3 4 2 4 2" xfId="12212"/>
    <cellStyle name="Output 2 2 3 4 2 4 2 2" xfId="26534"/>
    <cellStyle name="Output 2 2 3 4 2 4 3" xfId="17857"/>
    <cellStyle name="Output 2 2 3 4 2 5" xfId="4400"/>
    <cellStyle name="Output 2 2 3 4 2 5 2" xfId="22929"/>
    <cellStyle name="Output 2 2 3 4 2 6" xfId="14829"/>
    <cellStyle name="Output 2 2 3 4 3" xfId="2381"/>
    <cellStyle name="Output 2 2 3 4 3 2" xfId="2382"/>
    <cellStyle name="Output 2 2 3 4 3 2 2" xfId="6202"/>
    <cellStyle name="Output 2 2 3 4 3 2 2 2" xfId="12775"/>
    <cellStyle name="Output 2 2 3 4 3 2 2 2 2" xfId="27097"/>
    <cellStyle name="Output 2 2 3 4 3 2 2 3" xfId="18420"/>
    <cellStyle name="Output 2 2 3 4 3 2 3" xfId="7304"/>
    <cellStyle name="Output 2 2 3 4 3 2 3 2" xfId="9918"/>
    <cellStyle name="Output 2 2 3 4 3 2 3 2 2" xfId="16180"/>
    <cellStyle name="Output 2 2 3 4 3 2 3 2 2 2" xfId="29596"/>
    <cellStyle name="Output 2 2 3 4 3 2 3 2 3" xfId="20925"/>
    <cellStyle name="Output 2 2 3 4 3 2 3 3" xfId="13908"/>
    <cellStyle name="Output 2 2 3 4 3 2 3 3 2" xfId="28230"/>
    <cellStyle name="Output 2 2 3 4 3 2 3 4" xfId="19553"/>
    <cellStyle name="Output 2 2 3 4 3 2 4" xfId="4934"/>
    <cellStyle name="Output 2 2 3 4 3 2 4 2" xfId="23269"/>
    <cellStyle name="Output 2 2 3 4 3 2 5" xfId="15356"/>
    <cellStyle name="Output 2 2 3 4 3 3" xfId="2383"/>
    <cellStyle name="Output 2 2 3 4 3 3 2" xfId="7501"/>
    <cellStyle name="Output 2 2 3 4 3 3 2 2" xfId="10115"/>
    <cellStyle name="Output 2 2 3 4 3 3 2 2 2" xfId="16377"/>
    <cellStyle name="Output 2 2 3 4 3 3 2 2 2 2" xfId="29793"/>
    <cellStyle name="Output 2 2 3 4 3 3 2 2 3" xfId="21122"/>
    <cellStyle name="Output 2 2 3 4 3 3 2 3" xfId="14105"/>
    <cellStyle name="Output 2 2 3 4 3 3 2 3 2" xfId="28427"/>
    <cellStyle name="Output 2 2 3 4 3 3 2 4" xfId="19750"/>
    <cellStyle name="Output 2 2 3 4 3 3 3" xfId="13211"/>
    <cellStyle name="Output 2 2 3 4 3 3 3 2" xfId="27533"/>
    <cellStyle name="Output 2 2 3 4 3 3 4" xfId="18856"/>
    <cellStyle name="Output 2 2 3 4 3 4" xfId="5650"/>
    <cellStyle name="Output 2 2 3 4 3 4 2" xfId="12203"/>
    <cellStyle name="Output 2 2 3 4 3 4 2 2" xfId="26525"/>
    <cellStyle name="Output 2 2 3 4 3 4 3" xfId="17848"/>
    <cellStyle name="Output 2 2 3 4 3 5" xfId="3187"/>
    <cellStyle name="Output 2 2 3 4 3 5 2" xfId="22431"/>
    <cellStyle name="Output 2 2 3 4 3 6" xfId="15544"/>
    <cellStyle name="Output 2 2 3 4 4" xfId="2384"/>
    <cellStyle name="Output 2 2 3 4 4 2" xfId="6443"/>
    <cellStyle name="Output 2 2 3 4 4 2 2" xfId="13026"/>
    <cellStyle name="Output 2 2 3 4 4 2 2 2" xfId="27348"/>
    <cellStyle name="Output 2 2 3 4 4 2 3" xfId="18671"/>
    <cellStyle name="Output 2 2 3 4 4 3" xfId="7601"/>
    <cellStyle name="Output 2 2 3 4 4 3 2" xfId="10215"/>
    <cellStyle name="Output 2 2 3 4 4 3 2 2" xfId="16477"/>
    <cellStyle name="Output 2 2 3 4 4 3 2 2 2" xfId="29893"/>
    <cellStyle name="Output 2 2 3 4 4 3 2 3" xfId="21222"/>
    <cellStyle name="Output 2 2 3 4 4 3 3" xfId="14205"/>
    <cellStyle name="Output 2 2 3 4 4 3 3 2" xfId="28527"/>
    <cellStyle name="Output 2 2 3 4 4 3 4" xfId="19850"/>
    <cellStyle name="Output 2 2 3 4 4 4" xfId="4606"/>
    <cellStyle name="Output 2 2 3 4 4 4 2" xfId="23064"/>
    <cellStyle name="Output 2 2 3 4 4 5" xfId="15492"/>
    <cellStyle name="Output 2 2 3 4 5" xfId="2385"/>
    <cellStyle name="Output 2 2 3 4 5 2" xfId="7167"/>
    <cellStyle name="Output 2 2 3 4 5 2 2" xfId="9781"/>
    <cellStyle name="Output 2 2 3 4 5 2 2 2" xfId="16043"/>
    <cellStyle name="Output 2 2 3 4 5 2 2 2 2" xfId="29459"/>
    <cellStyle name="Output 2 2 3 4 5 2 2 3" xfId="20788"/>
    <cellStyle name="Output 2 2 3 4 5 2 3" xfId="13771"/>
    <cellStyle name="Output 2 2 3 4 5 2 3 2" xfId="28093"/>
    <cellStyle name="Output 2 2 3 4 5 2 4" xfId="19416"/>
    <cellStyle name="Output 2 2 3 4 5 3" xfId="11786"/>
    <cellStyle name="Output 2 2 3 4 5 3 2" xfId="26108"/>
    <cellStyle name="Output 2 2 3 4 5 4" xfId="17431"/>
    <cellStyle name="Output 2 2 3 4 6" xfId="3738"/>
    <cellStyle name="Output 2 2 3 4 6 2" xfId="6570"/>
    <cellStyle name="Output 2 2 3 4 6 2 2" xfId="23581"/>
    <cellStyle name="Output 2 2 3 4 6 3" xfId="14923"/>
    <cellStyle name="Output 2 2 3 4 7" xfId="6172"/>
    <cellStyle name="Output 2 2 3 4 7 2" xfId="23441"/>
    <cellStyle name="Output 2 2 3 4 8" xfId="17277"/>
    <cellStyle name="Output 2 2 3 5" xfId="2386"/>
    <cellStyle name="Output 2 2 3 5 2" xfId="2387"/>
    <cellStyle name="Output 2 2 3 5 2 2" xfId="2388"/>
    <cellStyle name="Output 2 2 3 5 2 2 2" xfId="6972"/>
    <cellStyle name="Output 2 2 3 5 2 2 2 2" xfId="13576"/>
    <cellStyle name="Output 2 2 3 5 2 2 2 2 2" xfId="27898"/>
    <cellStyle name="Output 2 2 3 5 2 2 2 3" xfId="19221"/>
    <cellStyle name="Output 2 2 3 5 2 2 3" xfId="8050"/>
    <cellStyle name="Output 2 2 3 5 2 2 3 2" xfId="10664"/>
    <cellStyle name="Output 2 2 3 5 2 2 3 2 2" xfId="16926"/>
    <cellStyle name="Output 2 2 3 5 2 2 3 2 2 2" xfId="30342"/>
    <cellStyle name="Output 2 2 3 5 2 2 3 2 3" xfId="21671"/>
    <cellStyle name="Output 2 2 3 5 2 2 3 3" xfId="14654"/>
    <cellStyle name="Output 2 2 3 5 2 2 3 3 2" xfId="28976"/>
    <cellStyle name="Output 2 2 3 5 2 2 3 4" xfId="20299"/>
    <cellStyle name="Output 2 2 3 5 2 2 4" xfId="11479"/>
    <cellStyle name="Output 2 2 3 5 2 2 4 2" xfId="25801"/>
    <cellStyle name="Output 2 2 3 5 2 2 5" xfId="14727"/>
    <cellStyle name="Output 2 2 3 5 2 3" xfId="2389"/>
    <cellStyle name="Output 2 2 3 5 2 3 2" xfId="7917"/>
    <cellStyle name="Output 2 2 3 5 2 3 2 2" xfId="10531"/>
    <cellStyle name="Output 2 2 3 5 2 3 2 2 2" xfId="16793"/>
    <cellStyle name="Output 2 2 3 5 2 3 2 2 2 2" xfId="30209"/>
    <cellStyle name="Output 2 2 3 5 2 3 2 2 3" xfId="21538"/>
    <cellStyle name="Output 2 2 3 5 2 3 2 3" xfId="14521"/>
    <cellStyle name="Output 2 2 3 5 2 3 2 3 2" xfId="28843"/>
    <cellStyle name="Output 2 2 3 5 2 3 2 4" xfId="20166"/>
    <cellStyle name="Output 2 2 3 5 2 3 3" xfId="12117"/>
    <cellStyle name="Output 2 2 3 5 2 3 3 2" xfId="26439"/>
    <cellStyle name="Output 2 2 3 5 2 3 4" xfId="17762"/>
    <cellStyle name="Output 2 2 3 5 2 4" xfId="3986"/>
    <cellStyle name="Output 2 2 3 5 2 4 2" xfId="5837"/>
    <cellStyle name="Output 2 2 3 5 2 4 2 2" xfId="23366"/>
    <cellStyle name="Output 2 2 3 5 2 4 3" xfId="15306"/>
    <cellStyle name="Output 2 2 3 5 2 5" xfId="4444"/>
    <cellStyle name="Output 2 2 3 5 2 5 2" xfId="22956"/>
    <cellStyle name="Output 2 2 3 5 2 6" xfId="17238"/>
    <cellStyle name="Output 2 2 3 5 3" xfId="2390"/>
    <cellStyle name="Output 2 2 3 5 3 2" xfId="7018"/>
    <cellStyle name="Output 2 2 3 5 3 2 2" xfId="13622"/>
    <cellStyle name="Output 2 2 3 5 3 2 2 2" xfId="27944"/>
    <cellStyle name="Output 2 2 3 5 3 2 3" xfId="19267"/>
    <cellStyle name="Output 2 2 3 5 3 3" xfId="7090"/>
    <cellStyle name="Output 2 2 3 5 3 3 2" xfId="9704"/>
    <cellStyle name="Output 2 2 3 5 3 3 2 2" xfId="15966"/>
    <cellStyle name="Output 2 2 3 5 3 3 2 2 2" xfId="29382"/>
    <cellStyle name="Output 2 2 3 5 3 3 2 3" xfId="20711"/>
    <cellStyle name="Output 2 2 3 5 3 3 3" xfId="13694"/>
    <cellStyle name="Output 2 2 3 5 3 3 3 2" xfId="28016"/>
    <cellStyle name="Output 2 2 3 5 3 3 4" xfId="19339"/>
    <cellStyle name="Output 2 2 3 5 3 4" xfId="11548"/>
    <cellStyle name="Output 2 2 3 5 3 4 2" xfId="25870"/>
    <cellStyle name="Output 2 2 3 5 3 5" xfId="17260"/>
    <cellStyle name="Output 2 2 3 5 4" xfId="2391"/>
    <cellStyle name="Output 2 2 3 5 4 2" xfId="7426"/>
    <cellStyle name="Output 2 2 3 5 4 2 2" xfId="10040"/>
    <cellStyle name="Output 2 2 3 5 4 2 2 2" xfId="16302"/>
    <cellStyle name="Output 2 2 3 5 4 2 2 2 2" xfId="29718"/>
    <cellStyle name="Output 2 2 3 5 4 2 2 3" xfId="21047"/>
    <cellStyle name="Output 2 2 3 5 4 2 3" xfId="14030"/>
    <cellStyle name="Output 2 2 3 5 4 2 3 2" xfId="28352"/>
    <cellStyle name="Output 2 2 3 5 4 2 4" xfId="19675"/>
    <cellStyle name="Output 2 2 3 5 4 3" xfId="12830"/>
    <cellStyle name="Output 2 2 3 5 4 3 2" xfId="27152"/>
    <cellStyle name="Output 2 2 3 5 4 4" xfId="18475"/>
    <cellStyle name="Output 2 2 3 5 5" xfId="5390"/>
    <cellStyle name="Output 2 2 3 5 5 2" xfId="11940"/>
    <cellStyle name="Output 2 2 3 5 5 2 2" xfId="26262"/>
    <cellStyle name="Output 2 2 3 5 5 3" xfId="17585"/>
    <cellStyle name="Output 2 2 3 5 6" xfId="2839"/>
    <cellStyle name="Output 2 2 3 5 6 2" xfId="22402"/>
    <cellStyle name="Output 2 2 3 5 7" xfId="15535"/>
    <cellStyle name="Output 2 2 3 6" xfId="2392"/>
    <cellStyle name="Output 2 2 3 6 2" xfId="2393"/>
    <cellStyle name="Output 2 2 3 6 2 2" xfId="6979"/>
    <cellStyle name="Output 2 2 3 6 2 2 2" xfId="13583"/>
    <cellStyle name="Output 2 2 3 6 2 2 2 2" xfId="27905"/>
    <cellStyle name="Output 2 2 3 6 2 2 3" xfId="19228"/>
    <cellStyle name="Output 2 2 3 6 2 3" xfId="7850"/>
    <cellStyle name="Output 2 2 3 6 2 3 2" xfId="10464"/>
    <cellStyle name="Output 2 2 3 6 2 3 2 2" xfId="16726"/>
    <cellStyle name="Output 2 2 3 6 2 3 2 2 2" xfId="30142"/>
    <cellStyle name="Output 2 2 3 6 2 3 2 3" xfId="21471"/>
    <cellStyle name="Output 2 2 3 6 2 3 3" xfId="14454"/>
    <cellStyle name="Output 2 2 3 6 2 3 3 2" xfId="28776"/>
    <cellStyle name="Output 2 2 3 6 2 3 4" xfId="20099"/>
    <cellStyle name="Output 2 2 3 6 2 4" xfId="11490"/>
    <cellStyle name="Output 2 2 3 6 2 4 2" xfId="25812"/>
    <cellStyle name="Output 2 2 3 6 2 5" xfId="15050"/>
    <cellStyle name="Output 2 2 3 6 3" xfId="2394"/>
    <cellStyle name="Output 2 2 3 6 3 2" xfId="5261"/>
    <cellStyle name="Output 2 2 3 6 3 2 2" xfId="9570"/>
    <cellStyle name="Output 2 2 3 6 3 2 2 2" xfId="15832"/>
    <cellStyle name="Output 2 2 3 6 3 2 2 2 2" xfId="29248"/>
    <cellStyle name="Output 2 2 3 6 3 2 2 3" xfId="20577"/>
    <cellStyle name="Output 2 2 3 6 3 2 3" xfId="11811"/>
    <cellStyle name="Output 2 2 3 6 3 2 3 2" xfId="26133"/>
    <cellStyle name="Output 2 2 3 6 3 2 4" xfId="17456"/>
    <cellStyle name="Output 2 2 3 6 3 3" xfId="13169"/>
    <cellStyle name="Output 2 2 3 6 3 3 2" xfId="27491"/>
    <cellStyle name="Output 2 2 3 6 3 4" xfId="18814"/>
    <cellStyle name="Output 2 2 3 6 4" xfId="5588"/>
    <cellStyle name="Output 2 2 3 6 4 2" xfId="12140"/>
    <cellStyle name="Output 2 2 3 6 4 2 2" xfId="26462"/>
    <cellStyle name="Output 2 2 3 6 4 3" xfId="17785"/>
    <cellStyle name="Output 2 2 3 6 5" xfId="6819"/>
    <cellStyle name="Output 2 2 3 6 5 2" xfId="23755"/>
    <cellStyle name="Output 2 2 3 6 6" xfId="4179"/>
    <cellStyle name="Output 2 2 3 7" xfId="2395"/>
    <cellStyle name="Output 2 2 3 7 2" xfId="5163"/>
    <cellStyle name="Output 2 2 3 7 2 2" xfId="11712"/>
    <cellStyle name="Output 2 2 3 7 2 2 2" xfId="26034"/>
    <cellStyle name="Output 2 2 3 7 2 3" xfId="4486"/>
    <cellStyle name="Output 2 2 3 7 3" xfId="7370"/>
    <cellStyle name="Output 2 2 3 7 3 2" xfId="9984"/>
    <cellStyle name="Output 2 2 3 7 3 2 2" xfId="16246"/>
    <cellStyle name="Output 2 2 3 7 3 2 2 2" xfId="29662"/>
    <cellStyle name="Output 2 2 3 7 3 2 3" xfId="20991"/>
    <cellStyle name="Output 2 2 3 7 3 3" xfId="13974"/>
    <cellStyle name="Output 2 2 3 7 3 3 2" xfId="28296"/>
    <cellStyle name="Output 2 2 3 7 3 4" xfId="19619"/>
    <cellStyle name="Output 2 2 3 7 4" xfId="4518"/>
    <cellStyle name="Output 2 2 3 7 4 2" xfId="23004"/>
    <cellStyle name="Output 2 2 3 7 5" xfId="14951"/>
    <cellStyle name="Output 2 2 3 8" xfId="2396"/>
    <cellStyle name="Output 2 2 3 8 2" xfId="7467"/>
    <cellStyle name="Output 2 2 3 8 2 2" xfId="10081"/>
    <cellStyle name="Output 2 2 3 8 2 2 2" xfId="16343"/>
    <cellStyle name="Output 2 2 3 8 2 2 2 2" xfId="29759"/>
    <cellStyle name="Output 2 2 3 8 2 2 3" xfId="21088"/>
    <cellStyle name="Output 2 2 3 8 2 3" xfId="14071"/>
    <cellStyle name="Output 2 2 3 8 2 3 2" xfId="28393"/>
    <cellStyle name="Output 2 2 3 8 2 4" xfId="19716"/>
    <cellStyle name="Output 2 2 3 8 3" xfId="3661"/>
    <cellStyle name="Output 2 2 3 8 3 2" xfId="22511"/>
    <cellStyle name="Output 2 2 3 8 4" xfId="17236"/>
    <cellStyle name="Output 2 2 3 9" xfId="5248"/>
    <cellStyle name="Output 2 2 3 9 2" xfId="11798"/>
    <cellStyle name="Output 2 2 3 9 2 2" xfId="26120"/>
    <cellStyle name="Output 2 2 3 9 3" xfId="17443"/>
    <cellStyle name="Output 2 2 4" xfId="2397"/>
    <cellStyle name="Output 2 2 4 2" xfId="2398"/>
    <cellStyle name="Output 2 2 4 2 2" xfId="2399"/>
    <cellStyle name="Output 2 2 4 2 2 2" xfId="6030"/>
    <cellStyle name="Output 2 2 4 2 2 2 2" xfId="12591"/>
    <cellStyle name="Output 2 2 4 2 2 2 2 2" xfId="26913"/>
    <cellStyle name="Output 2 2 4 2 2 2 3" xfId="18236"/>
    <cellStyle name="Output 2 2 4 2 2 3" xfId="7268"/>
    <cellStyle name="Output 2 2 4 2 2 3 2" xfId="9882"/>
    <cellStyle name="Output 2 2 4 2 2 3 2 2" xfId="16144"/>
    <cellStyle name="Output 2 2 4 2 2 3 2 2 2" xfId="29560"/>
    <cellStyle name="Output 2 2 4 2 2 3 2 3" xfId="20889"/>
    <cellStyle name="Output 2 2 4 2 2 3 3" xfId="13872"/>
    <cellStyle name="Output 2 2 4 2 2 3 3 2" xfId="28194"/>
    <cellStyle name="Output 2 2 4 2 2 3 4" xfId="19517"/>
    <cellStyle name="Output 2 2 4 2 2 4" xfId="3956"/>
    <cellStyle name="Output 2 2 4 2 2 4 2" xfId="22668"/>
    <cellStyle name="Output 2 2 4 2 2 5" xfId="15029"/>
    <cellStyle name="Output 2 2 4 2 3" xfId="2400"/>
    <cellStyle name="Output 2 2 4 2 3 2" xfId="7544"/>
    <cellStyle name="Output 2 2 4 2 3 2 2" xfId="10158"/>
    <cellStyle name="Output 2 2 4 2 3 2 2 2" xfId="16420"/>
    <cellStyle name="Output 2 2 4 2 3 2 2 2 2" xfId="29836"/>
    <cellStyle name="Output 2 2 4 2 3 2 2 3" xfId="21165"/>
    <cellStyle name="Output 2 2 4 2 3 2 3" xfId="14148"/>
    <cellStyle name="Output 2 2 4 2 3 2 3 2" xfId="28470"/>
    <cellStyle name="Output 2 2 4 2 3 2 4" xfId="19793"/>
    <cellStyle name="Output 2 2 4 2 3 3" xfId="13289"/>
    <cellStyle name="Output 2 2 4 2 3 3 2" xfId="27611"/>
    <cellStyle name="Output 2 2 4 2 3 4" xfId="18934"/>
    <cellStyle name="Output 2 2 4 2 4" xfId="5739"/>
    <cellStyle name="Output 2 2 4 2 4 2" xfId="12292"/>
    <cellStyle name="Output 2 2 4 2 4 2 2" xfId="26614"/>
    <cellStyle name="Output 2 2 4 2 4 3" xfId="17937"/>
    <cellStyle name="Output 2 2 4 2 5" xfId="5003"/>
    <cellStyle name="Output 2 2 4 2 5 2" xfId="23304"/>
    <cellStyle name="Output 2 2 4 2 6" xfId="14761"/>
    <cellStyle name="Output 2 2 4 3" xfId="2401"/>
    <cellStyle name="Output 2 2 4 3 2" xfId="2402"/>
    <cellStyle name="Output 2 2 4 3 2 2" xfId="7028"/>
    <cellStyle name="Output 2 2 4 3 2 2 2" xfId="13632"/>
    <cellStyle name="Output 2 2 4 3 2 2 2 2" xfId="27954"/>
    <cellStyle name="Output 2 2 4 3 2 2 3" xfId="19277"/>
    <cellStyle name="Output 2 2 4 3 2 3" xfId="7518"/>
    <cellStyle name="Output 2 2 4 3 2 3 2" xfId="10132"/>
    <cellStyle name="Output 2 2 4 3 2 3 2 2" xfId="16394"/>
    <cellStyle name="Output 2 2 4 3 2 3 2 2 2" xfId="29810"/>
    <cellStyle name="Output 2 2 4 3 2 3 2 3" xfId="21139"/>
    <cellStyle name="Output 2 2 4 3 2 3 3" xfId="14122"/>
    <cellStyle name="Output 2 2 4 3 2 3 3 2" xfId="28444"/>
    <cellStyle name="Output 2 2 4 3 2 3 4" xfId="19767"/>
    <cellStyle name="Output 2 2 4 3 2 4" xfId="11567"/>
    <cellStyle name="Output 2 2 4 3 2 4 2" xfId="25889"/>
    <cellStyle name="Output 2 2 4 3 2 5" xfId="4459"/>
    <cellStyle name="Output 2 2 4 3 3" xfId="2403"/>
    <cellStyle name="Output 2 2 4 3 3 2" xfId="8012"/>
    <cellStyle name="Output 2 2 4 3 3 2 2" xfId="10626"/>
    <cellStyle name="Output 2 2 4 3 3 2 2 2" xfId="16888"/>
    <cellStyle name="Output 2 2 4 3 3 2 2 2 2" xfId="30304"/>
    <cellStyle name="Output 2 2 4 3 3 2 2 3" xfId="21633"/>
    <cellStyle name="Output 2 2 4 3 3 2 3" xfId="14616"/>
    <cellStyle name="Output 2 2 4 3 3 2 3 2" xfId="28938"/>
    <cellStyle name="Output 2 2 4 3 3 2 4" xfId="20261"/>
    <cellStyle name="Output 2 2 4 3 3 3" xfId="13389"/>
    <cellStyle name="Output 2 2 4 3 3 3 2" xfId="27711"/>
    <cellStyle name="Output 2 2 4 3 3 4" xfId="19034"/>
    <cellStyle name="Output 2 2 4 3 4" xfId="5853"/>
    <cellStyle name="Output 2 2 4 3 4 2" xfId="12406"/>
    <cellStyle name="Output 2 2 4 3 4 2 2" xfId="26728"/>
    <cellStyle name="Output 2 2 4 3 4 3" xfId="18051"/>
    <cellStyle name="Output 2 2 4 3 5" xfId="4307"/>
    <cellStyle name="Output 2 2 4 3 5 2" xfId="22883"/>
    <cellStyle name="Output 2 2 4 3 6" xfId="17077"/>
    <cellStyle name="Output 2 2 4 4" xfId="2404"/>
    <cellStyle name="Output 2 2 4 4 2" xfId="6006"/>
    <cellStyle name="Output 2 2 4 4 2 2" xfId="12565"/>
    <cellStyle name="Output 2 2 4 4 2 2 2" xfId="26887"/>
    <cellStyle name="Output 2 2 4 4 2 3" xfId="18210"/>
    <cellStyle name="Output 2 2 4 4 3" xfId="7147"/>
    <cellStyle name="Output 2 2 4 4 3 2" xfId="9761"/>
    <cellStyle name="Output 2 2 4 4 3 2 2" xfId="16023"/>
    <cellStyle name="Output 2 2 4 4 3 2 2 2" xfId="29439"/>
    <cellStyle name="Output 2 2 4 4 3 2 3" xfId="20768"/>
    <cellStyle name="Output 2 2 4 4 3 3" xfId="13751"/>
    <cellStyle name="Output 2 2 4 4 3 3 2" xfId="28073"/>
    <cellStyle name="Output 2 2 4 4 3 4" xfId="19396"/>
    <cellStyle name="Output 2 2 4 4 4" xfId="6313"/>
    <cellStyle name="Output 2 2 4 4 4 2" xfId="23509"/>
    <cellStyle name="Output 2 2 4 4 5" xfId="14889"/>
    <cellStyle name="Output 2 2 4 5" xfId="2405"/>
    <cellStyle name="Output 2 2 4 5 2" xfId="7830"/>
    <cellStyle name="Output 2 2 4 5 2 2" xfId="10444"/>
    <cellStyle name="Output 2 2 4 5 2 2 2" xfId="16706"/>
    <cellStyle name="Output 2 2 4 5 2 2 2 2" xfId="30122"/>
    <cellStyle name="Output 2 2 4 5 2 2 3" xfId="21451"/>
    <cellStyle name="Output 2 2 4 5 2 3" xfId="14434"/>
    <cellStyle name="Output 2 2 4 5 2 3 2" xfId="28756"/>
    <cellStyle name="Output 2 2 4 5 2 4" xfId="20079"/>
    <cellStyle name="Output 2 2 4 5 3" xfId="12858"/>
    <cellStyle name="Output 2 2 4 5 3 2" xfId="27180"/>
    <cellStyle name="Output 2 2 4 5 4" xfId="18503"/>
    <cellStyle name="Output 2 2 4 6" xfId="5466"/>
    <cellStyle name="Output 2 2 4 6 2" xfId="12017"/>
    <cellStyle name="Output 2 2 4 6 2 2" xfId="26339"/>
    <cellStyle name="Output 2 2 4 6 3" xfId="17662"/>
    <cellStyle name="Output 2 2 4 7" xfId="5571"/>
    <cellStyle name="Output 2 2 4 7 2" xfId="23351"/>
    <cellStyle name="Output 2 2 4 8" xfId="16991"/>
    <cellStyle name="Output 2 2 5" xfId="2406"/>
    <cellStyle name="Output 2 2 5 2" xfId="2407"/>
    <cellStyle name="Output 2 2 5 2 2" xfId="2408"/>
    <cellStyle name="Output 2 2 5 2 2 2" xfId="6067"/>
    <cellStyle name="Output 2 2 5 2 2 2 2" xfId="12633"/>
    <cellStyle name="Output 2 2 5 2 2 2 2 2" xfId="26955"/>
    <cellStyle name="Output 2 2 5 2 2 2 3" xfId="18278"/>
    <cellStyle name="Output 2 2 5 2 2 3" xfId="8026"/>
    <cellStyle name="Output 2 2 5 2 2 3 2" xfId="10640"/>
    <cellStyle name="Output 2 2 5 2 2 3 2 2" xfId="16902"/>
    <cellStyle name="Output 2 2 5 2 2 3 2 2 2" xfId="30318"/>
    <cellStyle name="Output 2 2 5 2 2 3 2 3" xfId="21647"/>
    <cellStyle name="Output 2 2 5 2 2 3 3" xfId="14630"/>
    <cellStyle name="Output 2 2 5 2 2 3 3 2" xfId="28952"/>
    <cellStyle name="Output 2 2 5 2 2 3 4" xfId="20275"/>
    <cellStyle name="Output 2 2 5 2 2 4" xfId="6293"/>
    <cellStyle name="Output 2 2 5 2 2 4 2" xfId="23492"/>
    <cellStyle name="Output 2 2 5 2 2 5" xfId="15451"/>
    <cellStyle name="Output 2 2 5 2 3" xfId="2409"/>
    <cellStyle name="Output 2 2 5 2 3 2" xfId="7521"/>
    <cellStyle name="Output 2 2 5 2 3 2 2" xfId="10135"/>
    <cellStyle name="Output 2 2 5 2 3 2 2 2" xfId="16397"/>
    <cellStyle name="Output 2 2 5 2 3 2 2 2 2" xfId="29813"/>
    <cellStyle name="Output 2 2 5 2 3 2 2 3" xfId="21142"/>
    <cellStyle name="Output 2 2 5 2 3 2 3" xfId="14125"/>
    <cellStyle name="Output 2 2 5 2 3 2 3 2" xfId="28447"/>
    <cellStyle name="Output 2 2 5 2 3 2 4" xfId="19770"/>
    <cellStyle name="Output 2 2 5 2 3 3" xfId="13291"/>
    <cellStyle name="Output 2 2 5 2 3 3 2" xfId="27613"/>
    <cellStyle name="Output 2 2 5 2 3 4" xfId="18936"/>
    <cellStyle name="Output 2 2 5 2 4" xfId="5741"/>
    <cellStyle name="Output 2 2 5 2 4 2" xfId="12294"/>
    <cellStyle name="Output 2 2 5 2 4 2 2" xfId="26616"/>
    <cellStyle name="Output 2 2 5 2 4 3" xfId="17939"/>
    <cellStyle name="Output 2 2 5 2 5" xfId="6695"/>
    <cellStyle name="Output 2 2 5 2 5 2" xfId="23658"/>
    <cellStyle name="Output 2 2 5 2 6" xfId="15382"/>
    <cellStyle name="Output 2 2 5 3" xfId="2410"/>
    <cellStyle name="Output 2 2 5 3 2" xfId="2411"/>
    <cellStyle name="Output 2 2 5 3 2 2" xfId="6117"/>
    <cellStyle name="Output 2 2 5 3 2 2 2" xfId="12685"/>
    <cellStyle name="Output 2 2 5 3 2 2 2 2" xfId="27007"/>
    <cellStyle name="Output 2 2 5 3 2 2 3" xfId="18330"/>
    <cellStyle name="Output 2 2 5 3 2 3" xfId="7137"/>
    <cellStyle name="Output 2 2 5 3 2 3 2" xfId="9751"/>
    <cellStyle name="Output 2 2 5 3 2 3 2 2" xfId="16013"/>
    <cellStyle name="Output 2 2 5 3 2 3 2 2 2" xfId="29429"/>
    <cellStyle name="Output 2 2 5 3 2 3 2 3" xfId="20758"/>
    <cellStyle name="Output 2 2 5 3 2 3 3" xfId="13741"/>
    <cellStyle name="Output 2 2 5 3 2 3 3 2" xfId="28063"/>
    <cellStyle name="Output 2 2 5 3 2 3 4" xfId="19386"/>
    <cellStyle name="Output 2 2 5 3 2 4" xfId="3265"/>
    <cellStyle name="Output 2 2 5 3 2 4 2" xfId="22451"/>
    <cellStyle name="Output 2 2 5 3 2 5" xfId="15263"/>
    <cellStyle name="Output 2 2 5 3 3" xfId="2412"/>
    <cellStyle name="Output 2 2 5 3 3 2" xfId="5276"/>
    <cellStyle name="Output 2 2 5 3 3 2 2" xfId="9585"/>
    <cellStyle name="Output 2 2 5 3 3 2 2 2" xfId="15847"/>
    <cellStyle name="Output 2 2 5 3 3 2 2 2 2" xfId="29263"/>
    <cellStyle name="Output 2 2 5 3 3 2 2 3" xfId="20592"/>
    <cellStyle name="Output 2 2 5 3 3 2 3" xfId="11826"/>
    <cellStyle name="Output 2 2 5 3 3 2 3 2" xfId="26148"/>
    <cellStyle name="Output 2 2 5 3 3 2 4" xfId="17471"/>
    <cellStyle name="Output 2 2 5 3 3 3" xfId="13073"/>
    <cellStyle name="Output 2 2 5 3 3 3 2" xfId="27395"/>
    <cellStyle name="Output 2 2 5 3 3 4" xfId="18718"/>
    <cellStyle name="Output 2 2 5 3 4" xfId="5419"/>
    <cellStyle name="Output 2 2 5 3 4 2" xfId="11970"/>
    <cellStyle name="Output 2 2 5 3 4 2 2" xfId="26292"/>
    <cellStyle name="Output 2 2 5 3 4 3" xfId="17615"/>
    <cellStyle name="Output 2 2 5 3 5" xfId="4269"/>
    <cellStyle name="Output 2 2 5 3 5 2" xfId="22861"/>
    <cellStyle name="Output 2 2 5 3 6" xfId="15118"/>
    <cellStyle name="Output 2 2 5 4" xfId="2413"/>
    <cellStyle name="Output 2 2 5 4 2" xfId="6393"/>
    <cellStyle name="Output 2 2 5 4 2 2" xfId="12976"/>
    <cellStyle name="Output 2 2 5 4 2 2 2" xfId="27298"/>
    <cellStyle name="Output 2 2 5 4 2 3" xfId="18621"/>
    <cellStyle name="Output 2 2 5 4 3" xfId="4966"/>
    <cellStyle name="Output 2 2 5 4 3 2" xfId="9526"/>
    <cellStyle name="Output 2 2 5 4 3 2 2" xfId="15788"/>
    <cellStyle name="Output 2 2 5 4 3 2 2 2" xfId="29204"/>
    <cellStyle name="Output 2 2 5 4 3 2 3" xfId="20533"/>
    <cellStyle name="Output 2 2 5 4 3 3" xfId="11507"/>
    <cellStyle name="Output 2 2 5 4 3 3 2" xfId="25829"/>
    <cellStyle name="Output 2 2 5 4 3 4" xfId="6764"/>
    <cellStyle name="Output 2 2 5 4 4" xfId="4046"/>
    <cellStyle name="Output 2 2 5 4 4 2" xfId="22723"/>
    <cellStyle name="Output 2 2 5 4 5" xfId="4405"/>
    <cellStyle name="Output 2 2 5 5" xfId="2414"/>
    <cellStyle name="Output 2 2 5 5 2" xfId="7803"/>
    <cellStyle name="Output 2 2 5 5 2 2" xfId="10417"/>
    <cellStyle name="Output 2 2 5 5 2 2 2" xfId="16679"/>
    <cellStyle name="Output 2 2 5 5 2 2 2 2" xfId="30095"/>
    <cellStyle name="Output 2 2 5 5 2 2 3" xfId="21424"/>
    <cellStyle name="Output 2 2 5 5 2 3" xfId="14407"/>
    <cellStyle name="Output 2 2 5 5 2 3 2" xfId="28729"/>
    <cellStyle name="Output 2 2 5 5 2 4" xfId="20052"/>
    <cellStyle name="Output 2 2 5 5 3" xfId="12867"/>
    <cellStyle name="Output 2 2 5 5 3 2" xfId="27189"/>
    <cellStyle name="Output 2 2 5 5 4" xfId="18512"/>
    <cellStyle name="Output 2 2 5 6" xfId="5484"/>
    <cellStyle name="Output 2 2 5 6 2" xfId="12035"/>
    <cellStyle name="Output 2 2 5 6 2 2" xfId="26357"/>
    <cellStyle name="Output 2 2 5 6 3" xfId="17680"/>
    <cellStyle name="Output 2 2 5 7" xfId="5023"/>
    <cellStyle name="Output 2 2 5 7 2" xfId="23311"/>
    <cellStyle name="Output 2 2 5 8" xfId="15291"/>
    <cellStyle name="Output 2 2 6" xfId="2415"/>
    <cellStyle name="Output 2 2 6 2" xfId="2416"/>
    <cellStyle name="Output 2 2 6 2 2" xfId="2417"/>
    <cellStyle name="Output 2 2 6 2 2 2" xfId="6989"/>
    <cellStyle name="Output 2 2 6 2 2 2 2" xfId="13593"/>
    <cellStyle name="Output 2 2 6 2 2 2 2 2" xfId="27915"/>
    <cellStyle name="Output 2 2 6 2 2 2 3" xfId="19238"/>
    <cellStyle name="Output 2 2 6 2 2 3" xfId="7626"/>
    <cellStyle name="Output 2 2 6 2 2 3 2" xfId="10240"/>
    <cellStyle name="Output 2 2 6 2 2 3 2 2" xfId="16502"/>
    <cellStyle name="Output 2 2 6 2 2 3 2 2 2" xfId="29918"/>
    <cellStyle name="Output 2 2 6 2 2 3 2 3" xfId="21247"/>
    <cellStyle name="Output 2 2 6 2 2 3 3" xfId="14230"/>
    <cellStyle name="Output 2 2 6 2 2 3 3 2" xfId="28552"/>
    <cellStyle name="Output 2 2 6 2 2 3 4" xfId="19875"/>
    <cellStyle name="Output 2 2 6 2 2 4" xfId="11501"/>
    <cellStyle name="Output 2 2 6 2 2 4 2" xfId="25823"/>
    <cellStyle name="Output 2 2 6 2 2 5" xfId="15180"/>
    <cellStyle name="Output 2 2 6 2 3" xfId="2418"/>
    <cellStyle name="Output 2 2 6 2 3 2" xfId="4778"/>
    <cellStyle name="Output 2 2 6 2 3 2 2" xfId="9483"/>
    <cellStyle name="Output 2 2 6 2 3 2 2 2" xfId="15745"/>
    <cellStyle name="Output 2 2 6 2 3 2 2 2 2" xfId="29161"/>
    <cellStyle name="Output 2 2 6 2 3 2 2 3" xfId="20490"/>
    <cellStyle name="Output 2 2 6 2 3 2 3" xfId="2765"/>
    <cellStyle name="Output 2 2 6 2 3 2 3 2" xfId="22334"/>
    <cellStyle name="Output 2 2 6 2 3 2 4" xfId="14944"/>
    <cellStyle name="Output 2 2 6 2 3 3" xfId="13238"/>
    <cellStyle name="Output 2 2 6 2 3 3 2" xfId="27560"/>
    <cellStyle name="Output 2 2 6 2 3 4" xfId="18883"/>
    <cellStyle name="Output 2 2 6 2 4" xfId="5679"/>
    <cellStyle name="Output 2 2 6 2 4 2" xfId="12232"/>
    <cellStyle name="Output 2 2 6 2 4 2 2" xfId="26554"/>
    <cellStyle name="Output 2 2 6 2 4 3" xfId="17877"/>
    <cellStyle name="Output 2 2 6 2 5" xfId="4095"/>
    <cellStyle name="Output 2 2 6 2 5 2" xfId="22755"/>
    <cellStyle name="Output 2 2 6 2 6" xfId="4940"/>
    <cellStyle name="Output 2 2 6 3" xfId="2419"/>
    <cellStyle name="Output 2 2 6 3 2" xfId="2420"/>
    <cellStyle name="Output 2 2 6 3 2 2" xfId="5521"/>
    <cellStyle name="Output 2 2 6 3 2 2 2" xfId="12072"/>
    <cellStyle name="Output 2 2 6 3 2 2 2 2" xfId="26394"/>
    <cellStyle name="Output 2 2 6 3 2 2 3" xfId="17717"/>
    <cellStyle name="Output 2 2 6 3 2 3" xfId="7978"/>
    <cellStyle name="Output 2 2 6 3 2 3 2" xfId="10592"/>
    <cellStyle name="Output 2 2 6 3 2 3 2 2" xfId="16854"/>
    <cellStyle name="Output 2 2 6 3 2 3 2 2 2" xfId="30270"/>
    <cellStyle name="Output 2 2 6 3 2 3 2 3" xfId="21599"/>
    <cellStyle name="Output 2 2 6 3 2 3 3" xfId="14582"/>
    <cellStyle name="Output 2 2 6 3 2 3 3 2" xfId="28904"/>
    <cellStyle name="Output 2 2 6 3 2 3 4" xfId="20227"/>
    <cellStyle name="Output 2 2 6 3 2 4" xfId="4067"/>
    <cellStyle name="Output 2 2 6 3 2 4 2" xfId="22739"/>
    <cellStyle name="Output 2 2 6 3 2 5" xfId="6322"/>
    <cellStyle name="Output 2 2 6 3 3" xfId="2421"/>
    <cellStyle name="Output 2 2 6 3 3 2" xfId="7739"/>
    <cellStyle name="Output 2 2 6 3 3 2 2" xfId="10353"/>
    <cellStyle name="Output 2 2 6 3 3 2 2 2" xfId="16615"/>
    <cellStyle name="Output 2 2 6 3 3 2 2 2 2" xfId="30031"/>
    <cellStyle name="Output 2 2 6 3 3 2 2 3" xfId="21360"/>
    <cellStyle name="Output 2 2 6 3 3 2 3" xfId="14343"/>
    <cellStyle name="Output 2 2 6 3 3 2 3 2" xfId="28665"/>
    <cellStyle name="Output 2 2 6 3 3 2 4" xfId="19988"/>
    <cellStyle name="Output 2 2 6 3 3 3" xfId="13072"/>
    <cellStyle name="Output 2 2 6 3 3 3 2" xfId="27394"/>
    <cellStyle name="Output 2 2 6 3 3 4" xfId="18717"/>
    <cellStyle name="Output 2 2 6 3 4" xfId="5417"/>
    <cellStyle name="Output 2 2 6 3 4 2" xfId="11967"/>
    <cellStyle name="Output 2 2 6 3 4 2 2" xfId="26289"/>
    <cellStyle name="Output 2 2 6 3 4 3" xfId="17612"/>
    <cellStyle name="Output 2 2 6 3 5" xfId="6185"/>
    <cellStyle name="Output 2 2 6 3 5 2" xfId="23450"/>
    <cellStyle name="Output 2 2 6 3 6" xfId="17388"/>
    <cellStyle name="Output 2 2 6 4" xfId="2422"/>
    <cellStyle name="Output 2 2 6 4 2" xfId="6036"/>
    <cellStyle name="Output 2 2 6 4 2 2" xfId="12597"/>
    <cellStyle name="Output 2 2 6 4 2 2 2" xfId="26919"/>
    <cellStyle name="Output 2 2 6 4 2 3" xfId="18242"/>
    <cellStyle name="Output 2 2 6 4 3" xfId="7615"/>
    <cellStyle name="Output 2 2 6 4 3 2" xfId="10229"/>
    <cellStyle name="Output 2 2 6 4 3 2 2" xfId="16491"/>
    <cellStyle name="Output 2 2 6 4 3 2 2 2" xfId="29907"/>
    <cellStyle name="Output 2 2 6 4 3 2 3" xfId="21236"/>
    <cellStyle name="Output 2 2 6 4 3 3" xfId="14219"/>
    <cellStyle name="Output 2 2 6 4 3 3 2" xfId="28541"/>
    <cellStyle name="Output 2 2 6 4 3 4" xfId="19864"/>
    <cellStyle name="Output 2 2 6 4 4" xfId="3843"/>
    <cellStyle name="Output 2 2 6 4 4 2" xfId="22608"/>
    <cellStyle name="Output 2 2 6 4 5" xfId="15459"/>
    <cellStyle name="Output 2 2 6 5" xfId="2423"/>
    <cellStyle name="Output 2 2 6 5 2" xfId="7276"/>
    <cellStyle name="Output 2 2 6 5 2 2" xfId="9890"/>
    <cellStyle name="Output 2 2 6 5 2 2 2" xfId="16152"/>
    <cellStyle name="Output 2 2 6 5 2 2 2 2" xfId="29568"/>
    <cellStyle name="Output 2 2 6 5 2 2 3" xfId="20897"/>
    <cellStyle name="Output 2 2 6 5 2 3" xfId="13880"/>
    <cellStyle name="Output 2 2 6 5 2 3 2" xfId="28202"/>
    <cellStyle name="Output 2 2 6 5 2 4" xfId="19525"/>
    <cellStyle name="Output 2 2 6 5 3" xfId="12686"/>
    <cellStyle name="Output 2 2 6 5 3 2" xfId="27008"/>
    <cellStyle name="Output 2 2 6 5 4" xfId="18331"/>
    <cellStyle name="Output 2 2 6 6" xfId="5227"/>
    <cellStyle name="Output 2 2 6 6 2" xfId="11777"/>
    <cellStyle name="Output 2 2 6 6 2 2" xfId="26099"/>
    <cellStyle name="Output 2 2 6 6 3" xfId="17422"/>
    <cellStyle name="Output 2 2 6 7" xfId="6579"/>
    <cellStyle name="Output 2 2 6 7 2" xfId="23588"/>
    <cellStyle name="Output 2 2 6 8" xfId="17123"/>
    <cellStyle name="Output 2 2 7" xfId="2424"/>
    <cellStyle name="Output 2 2 7 2" xfId="2425"/>
    <cellStyle name="Output 2 2 7 2 2" xfId="2426"/>
    <cellStyle name="Output 2 2 7 2 2 2" xfId="6548"/>
    <cellStyle name="Output 2 2 7 2 2 2 2" xfId="13136"/>
    <cellStyle name="Output 2 2 7 2 2 2 2 2" xfId="27458"/>
    <cellStyle name="Output 2 2 7 2 2 2 3" xfId="18781"/>
    <cellStyle name="Output 2 2 7 2 2 3" xfId="7581"/>
    <cellStyle name="Output 2 2 7 2 2 3 2" xfId="10195"/>
    <cellStyle name="Output 2 2 7 2 2 3 2 2" xfId="16457"/>
    <cellStyle name="Output 2 2 7 2 2 3 2 2 2" xfId="29873"/>
    <cellStyle name="Output 2 2 7 2 2 3 2 3" xfId="21202"/>
    <cellStyle name="Output 2 2 7 2 2 3 3" xfId="14185"/>
    <cellStyle name="Output 2 2 7 2 2 3 3 2" xfId="28507"/>
    <cellStyle name="Output 2 2 7 2 2 3 4" xfId="19830"/>
    <cellStyle name="Output 2 2 7 2 2 4" xfId="3723"/>
    <cellStyle name="Output 2 2 7 2 2 4 2" xfId="22546"/>
    <cellStyle name="Output 2 2 7 2 2 5" xfId="4489"/>
    <cellStyle name="Output 2 2 7 2 3" xfId="2427"/>
    <cellStyle name="Output 2 2 7 2 3 2" xfId="8038"/>
    <cellStyle name="Output 2 2 7 2 3 2 2" xfId="10652"/>
    <cellStyle name="Output 2 2 7 2 3 2 2 2" xfId="16914"/>
    <cellStyle name="Output 2 2 7 2 3 2 2 2 2" xfId="30330"/>
    <cellStyle name="Output 2 2 7 2 3 2 2 3" xfId="21659"/>
    <cellStyle name="Output 2 2 7 2 3 2 3" xfId="14642"/>
    <cellStyle name="Output 2 2 7 2 3 2 3 2" xfId="28964"/>
    <cellStyle name="Output 2 2 7 2 3 2 4" xfId="20287"/>
    <cellStyle name="Output 2 2 7 2 3 3" xfId="13102"/>
    <cellStyle name="Output 2 2 7 2 3 3 2" xfId="27424"/>
    <cellStyle name="Output 2 2 7 2 3 4" xfId="18747"/>
    <cellStyle name="Output 2 2 7 2 4" xfId="5463"/>
    <cellStyle name="Output 2 2 7 2 4 2" xfId="12014"/>
    <cellStyle name="Output 2 2 7 2 4 2 2" xfId="26336"/>
    <cellStyle name="Output 2 2 7 2 4 3" xfId="17659"/>
    <cellStyle name="Output 2 2 7 2 5" xfId="3243"/>
    <cellStyle name="Output 2 2 7 2 5 2" xfId="22441"/>
    <cellStyle name="Output 2 2 7 2 6" xfId="17045"/>
    <cellStyle name="Output 2 2 7 3" xfId="2428"/>
    <cellStyle name="Output 2 2 7 3 2" xfId="6540"/>
    <cellStyle name="Output 2 2 7 3 2 2" xfId="13128"/>
    <cellStyle name="Output 2 2 7 3 2 2 2" xfId="27450"/>
    <cellStyle name="Output 2 2 7 3 2 3" xfId="18773"/>
    <cellStyle name="Output 2 2 7 3 3" xfId="7611"/>
    <cellStyle name="Output 2 2 7 3 3 2" xfId="10225"/>
    <cellStyle name="Output 2 2 7 3 3 2 2" xfId="16487"/>
    <cellStyle name="Output 2 2 7 3 3 2 2 2" xfId="29903"/>
    <cellStyle name="Output 2 2 7 3 3 2 3" xfId="21232"/>
    <cellStyle name="Output 2 2 7 3 3 3" xfId="14215"/>
    <cellStyle name="Output 2 2 7 3 3 3 2" xfId="28537"/>
    <cellStyle name="Output 2 2 7 3 3 4" xfId="19860"/>
    <cellStyle name="Output 2 2 7 3 4" xfId="3639"/>
    <cellStyle name="Output 2 2 7 3 4 2" xfId="22499"/>
    <cellStyle name="Output 2 2 7 3 5" xfId="4828"/>
    <cellStyle name="Output 2 2 7 4" xfId="2429"/>
    <cellStyle name="Output 2 2 7 4 2" xfId="7816"/>
    <cellStyle name="Output 2 2 7 4 2 2" xfId="10430"/>
    <cellStyle name="Output 2 2 7 4 2 2 2" xfId="16692"/>
    <cellStyle name="Output 2 2 7 4 2 2 2 2" xfId="30108"/>
    <cellStyle name="Output 2 2 7 4 2 2 3" xfId="21437"/>
    <cellStyle name="Output 2 2 7 4 2 3" xfId="14420"/>
    <cellStyle name="Output 2 2 7 4 2 3 2" xfId="28742"/>
    <cellStyle name="Output 2 2 7 4 2 4" xfId="20065"/>
    <cellStyle name="Output 2 2 7 4 3" xfId="11738"/>
    <cellStyle name="Output 2 2 7 4 3 2" xfId="26060"/>
    <cellStyle name="Output 2 2 7 4 4" xfId="5998"/>
    <cellStyle name="Output 2 2 7 5" xfId="5117"/>
    <cellStyle name="Output 2 2 7 5 2" xfId="11665"/>
    <cellStyle name="Output 2 2 7 5 2 2" xfId="25987"/>
    <cellStyle name="Output 2 2 7 5 3" xfId="14723"/>
    <cellStyle name="Output 2 2 7 6" xfId="6133"/>
    <cellStyle name="Output 2 2 7 6 2" xfId="23425"/>
    <cellStyle name="Output 2 2 7 7" xfId="4132"/>
    <cellStyle name="Output 2 2 8" xfId="2430"/>
    <cellStyle name="Output 2 2 8 2" xfId="2431"/>
    <cellStyle name="Output 2 2 8 2 2" xfId="5223"/>
    <cellStyle name="Output 2 2 8 2 2 2" xfId="11773"/>
    <cellStyle name="Output 2 2 8 2 2 2 2" xfId="26095"/>
    <cellStyle name="Output 2 2 8 2 2 3" xfId="17418"/>
    <cellStyle name="Output 2 2 8 2 3" xfId="8059"/>
    <cellStyle name="Output 2 2 8 2 3 2" xfId="10673"/>
    <cellStyle name="Output 2 2 8 2 3 2 2" xfId="16935"/>
    <cellStyle name="Output 2 2 8 2 3 2 2 2" xfId="30351"/>
    <cellStyle name="Output 2 2 8 2 3 2 3" xfId="21680"/>
    <cellStyle name="Output 2 2 8 2 3 3" xfId="14663"/>
    <cellStyle name="Output 2 2 8 2 3 3 2" xfId="28985"/>
    <cellStyle name="Output 2 2 8 2 3 4" xfId="20308"/>
    <cellStyle name="Output 2 2 8 2 4" xfId="4375"/>
    <cellStyle name="Output 2 2 8 2 4 2" xfId="22914"/>
    <cellStyle name="Output 2 2 8 2 5" xfId="5030"/>
    <cellStyle name="Output 2 2 8 3" xfId="2432"/>
    <cellStyle name="Output 2 2 8 3 2" xfId="5247"/>
    <cellStyle name="Output 2 2 8 3 2 2" xfId="9557"/>
    <cellStyle name="Output 2 2 8 3 2 2 2" xfId="15819"/>
    <cellStyle name="Output 2 2 8 3 2 2 2 2" xfId="29235"/>
    <cellStyle name="Output 2 2 8 3 2 2 3" xfId="20564"/>
    <cellStyle name="Output 2 2 8 3 2 3" xfId="11797"/>
    <cellStyle name="Output 2 2 8 3 2 3 2" xfId="26119"/>
    <cellStyle name="Output 2 2 8 3 2 4" xfId="17442"/>
    <cellStyle name="Output 2 2 8 3 3" xfId="12473"/>
    <cellStyle name="Output 2 2 8 3 3 2" xfId="26795"/>
    <cellStyle name="Output 2 2 8 3 4" xfId="18118"/>
    <cellStyle name="Output 2 2 8 4" xfId="5234"/>
    <cellStyle name="Output 2 2 8 4 2" xfId="11784"/>
    <cellStyle name="Output 2 2 8 4 2 2" xfId="26106"/>
    <cellStyle name="Output 2 2 8 4 3" xfId="17429"/>
    <cellStyle name="Output 2 2 8 5" xfId="6773"/>
    <cellStyle name="Output 2 2 8 5 2" xfId="23719"/>
    <cellStyle name="Output 2 2 8 6" xfId="15384"/>
    <cellStyle name="Output 2 2 9" xfId="2433"/>
    <cellStyle name="Output 2 2 9 2" xfId="6850"/>
    <cellStyle name="Output 2 2 9 2 2" xfId="13454"/>
    <cellStyle name="Output 2 2 9 2 2 2" xfId="27776"/>
    <cellStyle name="Output 2 2 9 2 3" xfId="19099"/>
    <cellStyle name="Output 2 2 9 3" xfId="7534"/>
    <cellStyle name="Output 2 2 9 3 2" xfId="10148"/>
    <cellStyle name="Output 2 2 9 3 2 2" xfId="16410"/>
    <cellStyle name="Output 2 2 9 3 2 2 2" xfId="29826"/>
    <cellStyle name="Output 2 2 9 3 2 3" xfId="21155"/>
    <cellStyle name="Output 2 2 9 3 3" xfId="14138"/>
    <cellStyle name="Output 2 2 9 3 3 2" xfId="28460"/>
    <cellStyle name="Output 2 2 9 3 4" xfId="19783"/>
    <cellStyle name="Output 2 2 9 4" xfId="2805"/>
    <cellStyle name="Output 2 2 9 4 2" xfId="22368"/>
    <cellStyle name="Output 2 2 9 5" xfId="17212"/>
    <cellStyle name="Output 2 3" xfId="2434"/>
    <cellStyle name="Output 2 3 2" xfId="6954"/>
    <cellStyle name="Output 2 3 2 2" xfId="13558"/>
    <cellStyle name="Output 2 3 2 2 2" xfId="27880"/>
    <cellStyle name="Output 2 3 2 3" xfId="19203"/>
    <cellStyle name="Output 2 3 3" xfId="4265"/>
    <cellStyle name="Output 2 3 3 2" xfId="9440"/>
    <cellStyle name="Output 2 3 3 2 2" xfId="15702"/>
    <cellStyle name="Output 2 3 3 2 2 2" xfId="29118"/>
    <cellStyle name="Output 2 3 3 2 3" xfId="20447"/>
    <cellStyle name="Output 2 3 3 3" xfId="6607"/>
    <cellStyle name="Output 2 3 3 3 2" xfId="23599"/>
    <cellStyle name="Output 2 3 3 4" xfId="3929"/>
    <cellStyle name="Output 2 3 4" xfId="11450"/>
    <cellStyle name="Output 2 3 4 2" xfId="25772"/>
    <cellStyle name="Output 2 3 5" xfId="14832"/>
    <cellStyle name="Output 2 4" xfId="4820"/>
    <cellStyle name="Output 2 4 2" xfId="11352"/>
    <cellStyle name="Output 2 4 2 2" xfId="25674"/>
    <cellStyle name="Output 2 4 3" xfId="15286"/>
    <cellStyle name="Output 2 5" xfId="6648"/>
    <cellStyle name="Output 2 5 2" xfId="23626"/>
    <cellStyle name="Output 2 6" xfId="14807"/>
    <cellStyle name="Output 2 7" xfId="20341"/>
    <cellStyle name="Output 2 8" xfId="21704"/>
    <cellStyle name="Saída" xfId="2435"/>
    <cellStyle name="Saída 2" xfId="2436"/>
    <cellStyle name="Saída 2 10" xfId="2437"/>
    <cellStyle name="Saída 2 10 2" xfId="3768"/>
    <cellStyle name="Saída 2 10 2 2" xfId="9371"/>
    <cellStyle name="Saída 2 10 2 2 2" xfId="15633"/>
    <cellStyle name="Saída 2 10 2 2 2 2" xfId="29049"/>
    <cellStyle name="Saída 2 10 2 2 3" xfId="20378"/>
    <cellStyle name="Saída 2 10 2 3" xfId="4613"/>
    <cellStyle name="Saída 2 10 2 3 2" xfId="23067"/>
    <cellStyle name="Saída 2 10 2 4" xfId="15048"/>
    <cellStyle name="Saída 2 10 3" xfId="12464"/>
    <cellStyle name="Saída 2 10 3 2" xfId="26786"/>
    <cellStyle name="Saída 2 10 4" xfId="18109"/>
    <cellStyle name="Saída 2 11" xfId="3833"/>
    <cellStyle name="Saída 2 11 2" xfId="4189"/>
    <cellStyle name="Saída 2 11 2 2" xfId="22811"/>
    <cellStyle name="Saída 2 11 3" xfId="15154"/>
    <cellStyle name="Saída 2 12" xfId="6716"/>
    <cellStyle name="Saída 2 12 2" xfId="23670"/>
    <cellStyle name="Saída 2 13" xfId="17127"/>
    <cellStyle name="Saída 2 2" xfId="2438"/>
    <cellStyle name="Saída 2 2 10" xfId="5411"/>
    <cellStyle name="Saída 2 2 10 2" xfId="11961"/>
    <cellStyle name="Saída 2 2 10 2 2" xfId="26283"/>
    <cellStyle name="Saída 2 2 10 3" xfId="17606"/>
    <cellStyle name="Saída 2 2 11" xfId="6489"/>
    <cellStyle name="Saída 2 2 11 2" xfId="23566"/>
    <cellStyle name="Saída 2 2 12" xfId="17103"/>
    <cellStyle name="Saída 2 2 2" xfId="2439"/>
    <cellStyle name="Saída 2 2 2 10" xfId="4639"/>
    <cellStyle name="Saída 2 2 2 10 2" xfId="23083"/>
    <cellStyle name="Saída 2 2 2 11" xfId="15222"/>
    <cellStyle name="Saída 2 2 2 2" xfId="2440"/>
    <cellStyle name="Saída 2 2 2 2 2" xfId="2441"/>
    <cellStyle name="Saída 2 2 2 2 2 2" xfId="2442"/>
    <cellStyle name="Saída 2 2 2 2 2 2 2" xfId="6939"/>
    <cellStyle name="Saída 2 2 2 2 2 2 2 2" xfId="13543"/>
    <cellStyle name="Saída 2 2 2 2 2 2 2 2 2" xfId="27865"/>
    <cellStyle name="Saída 2 2 2 2 2 2 2 3" xfId="19188"/>
    <cellStyle name="Saída 2 2 2 2 2 2 3" xfId="7637"/>
    <cellStyle name="Saída 2 2 2 2 2 2 3 2" xfId="10251"/>
    <cellStyle name="Saída 2 2 2 2 2 2 3 2 2" xfId="16513"/>
    <cellStyle name="Saída 2 2 2 2 2 2 3 2 2 2" xfId="29929"/>
    <cellStyle name="Saída 2 2 2 2 2 2 3 2 3" xfId="21258"/>
    <cellStyle name="Saída 2 2 2 2 2 2 3 3" xfId="14241"/>
    <cellStyle name="Saída 2 2 2 2 2 2 3 3 2" xfId="28563"/>
    <cellStyle name="Saída 2 2 2 2 2 2 3 4" xfId="19886"/>
    <cellStyle name="Saída 2 2 2 2 2 2 4" xfId="11432"/>
    <cellStyle name="Saída 2 2 2 2 2 2 4 2" xfId="25754"/>
    <cellStyle name="Saída 2 2 2 2 2 2 5" xfId="15425"/>
    <cellStyle name="Saída 2 2 2 2 2 3" xfId="2443"/>
    <cellStyle name="Saída 2 2 2 2 2 3 2" xfId="7768"/>
    <cellStyle name="Saída 2 2 2 2 2 3 2 2" xfId="10382"/>
    <cellStyle name="Saída 2 2 2 2 2 3 2 2 2" xfId="16644"/>
    <cellStyle name="Saída 2 2 2 2 2 3 2 2 2 2" xfId="30060"/>
    <cellStyle name="Saída 2 2 2 2 2 3 2 2 3" xfId="21389"/>
    <cellStyle name="Saída 2 2 2 2 2 3 2 3" xfId="14372"/>
    <cellStyle name="Saída 2 2 2 2 2 3 2 3 2" xfId="28694"/>
    <cellStyle name="Saída 2 2 2 2 2 3 2 4" xfId="20017"/>
    <cellStyle name="Saída 2 2 2 2 2 3 3" xfId="13323"/>
    <cellStyle name="Saída 2 2 2 2 2 3 3 2" xfId="27645"/>
    <cellStyle name="Saída 2 2 2 2 2 3 4" xfId="18968"/>
    <cellStyle name="Saída 2 2 2 2 2 4" xfId="5773"/>
    <cellStyle name="Saída 2 2 2 2 2 4 2" xfId="12326"/>
    <cellStyle name="Saída 2 2 2 2 2 4 2 2" xfId="26648"/>
    <cellStyle name="Saída 2 2 2 2 2 4 3" xfId="17971"/>
    <cellStyle name="Saída 2 2 2 2 2 5" xfId="3745"/>
    <cellStyle name="Saída 2 2 2 2 2 5 2" xfId="22559"/>
    <cellStyle name="Saída 2 2 2 2 2 6" xfId="15121"/>
    <cellStyle name="Saída 2 2 2 2 3" xfId="2444"/>
    <cellStyle name="Saída 2 2 2 2 3 2" xfId="2445"/>
    <cellStyle name="Saída 2 2 2 2 3 2 2" xfId="6070"/>
    <cellStyle name="Saída 2 2 2 2 3 2 2 2" xfId="12636"/>
    <cellStyle name="Saída 2 2 2 2 3 2 2 2 2" xfId="26958"/>
    <cellStyle name="Saída 2 2 2 2 3 2 2 3" xfId="18281"/>
    <cellStyle name="Saída 2 2 2 2 3 2 3" xfId="7793"/>
    <cellStyle name="Saída 2 2 2 2 3 2 3 2" xfId="10407"/>
    <cellStyle name="Saída 2 2 2 2 3 2 3 2 2" xfId="16669"/>
    <cellStyle name="Saída 2 2 2 2 3 2 3 2 2 2" xfId="30085"/>
    <cellStyle name="Saída 2 2 2 2 3 2 3 2 3" xfId="21414"/>
    <cellStyle name="Saída 2 2 2 2 3 2 3 3" xfId="14397"/>
    <cellStyle name="Saída 2 2 2 2 3 2 3 3 2" xfId="28719"/>
    <cellStyle name="Saída 2 2 2 2 3 2 3 4" xfId="20042"/>
    <cellStyle name="Saída 2 2 2 2 3 2 4" xfId="6706"/>
    <cellStyle name="Saída 2 2 2 2 3 2 4 2" xfId="23663"/>
    <cellStyle name="Saída 2 2 2 2 3 2 5" xfId="17169"/>
    <cellStyle name="Saída 2 2 2 2 3 3" xfId="2446"/>
    <cellStyle name="Saída 2 2 2 2 3 3 2" xfId="7858"/>
    <cellStyle name="Saída 2 2 2 2 3 3 2 2" xfId="10472"/>
    <cellStyle name="Saída 2 2 2 2 3 3 2 2 2" xfId="16734"/>
    <cellStyle name="Saída 2 2 2 2 3 3 2 2 2 2" xfId="30150"/>
    <cellStyle name="Saída 2 2 2 2 3 3 2 2 3" xfId="21479"/>
    <cellStyle name="Saída 2 2 2 2 3 3 2 3" xfId="14462"/>
    <cellStyle name="Saída 2 2 2 2 3 3 2 3 2" xfId="28784"/>
    <cellStyle name="Saída 2 2 2 2 3 3 2 4" xfId="20107"/>
    <cellStyle name="Saída 2 2 2 2 3 3 3" xfId="13045"/>
    <cellStyle name="Saída 2 2 2 2 3 3 3 2" xfId="27367"/>
    <cellStyle name="Saída 2 2 2 2 3 3 4" xfId="18690"/>
    <cellStyle name="Saída 2 2 2 2 3 4" xfId="5364"/>
    <cellStyle name="Saída 2 2 2 2 3 4 2" xfId="11914"/>
    <cellStyle name="Saída 2 2 2 2 3 4 2 2" xfId="26236"/>
    <cellStyle name="Saída 2 2 2 2 3 4 3" xfId="17559"/>
    <cellStyle name="Saída 2 2 2 2 3 5" xfId="3597"/>
    <cellStyle name="Saída 2 2 2 2 3 5 2" xfId="22480"/>
    <cellStyle name="Saída 2 2 2 2 3 6" xfId="15430"/>
    <cellStyle name="Saída 2 2 2 2 4" xfId="2447"/>
    <cellStyle name="Saída 2 2 2 2 4 2" xfId="6032"/>
    <cellStyle name="Saída 2 2 2 2 4 2 2" xfId="12593"/>
    <cellStyle name="Saída 2 2 2 2 4 2 2 2" xfId="26915"/>
    <cellStyle name="Saída 2 2 2 2 4 2 3" xfId="18238"/>
    <cellStyle name="Saída 2 2 2 2 4 3" xfId="3611"/>
    <cellStyle name="Saída 2 2 2 2 4 3 2" xfId="9344"/>
    <cellStyle name="Saída 2 2 2 2 4 3 2 2" xfId="15606"/>
    <cellStyle name="Saída 2 2 2 2 4 3 2 2 2" xfId="29022"/>
    <cellStyle name="Saída 2 2 2 2 4 3 2 3" xfId="20351"/>
    <cellStyle name="Saída 2 2 2 2 4 3 3" xfId="3873"/>
    <cellStyle name="Saída 2 2 2 2 4 3 3 2" xfId="22620"/>
    <cellStyle name="Saída 2 2 2 2 4 3 4" xfId="6692"/>
    <cellStyle name="Saída 2 2 2 2 4 4" xfId="3999"/>
    <cellStyle name="Saída 2 2 2 2 4 4 2" xfId="22694"/>
    <cellStyle name="Saída 2 2 2 2 4 5" xfId="4624"/>
    <cellStyle name="Saída 2 2 2 2 5" xfId="2448"/>
    <cellStyle name="Saída 2 2 2 2 5 2" xfId="7591"/>
    <cellStyle name="Saída 2 2 2 2 5 2 2" xfId="10205"/>
    <cellStyle name="Saída 2 2 2 2 5 2 2 2" xfId="16467"/>
    <cellStyle name="Saída 2 2 2 2 5 2 2 2 2" xfId="29883"/>
    <cellStyle name="Saída 2 2 2 2 5 2 2 3" xfId="21212"/>
    <cellStyle name="Saída 2 2 2 2 5 2 3" xfId="14195"/>
    <cellStyle name="Saída 2 2 2 2 5 2 3 2" xfId="28517"/>
    <cellStyle name="Saída 2 2 2 2 5 2 4" xfId="19840"/>
    <cellStyle name="Saída 2 2 2 2 5 3" xfId="12899"/>
    <cellStyle name="Saída 2 2 2 2 5 3 2" xfId="27221"/>
    <cellStyle name="Saída 2 2 2 2 5 4" xfId="18544"/>
    <cellStyle name="Saída 2 2 2 2 6" xfId="5517"/>
    <cellStyle name="Saída 2 2 2 2 6 2" xfId="12068"/>
    <cellStyle name="Saída 2 2 2 2 6 2 2" xfId="26390"/>
    <cellStyle name="Saída 2 2 2 2 6 3" xfId="17713"/>
    <cellStyle name="Saída 2 2 2 2 7" xfId="4409"/>
    <cellStyle name="Saída 2 2 2 2 7 2" xfId="22933"/>
    <cellStyle name="Saída 2 2 2 2 8" xfId="4198"/>
    <cellStyle name="Saída 2 2 2 3" xfId="2449"/>
    <cellStyle name="Saída 2 2 2 3 2" xfId="2450"/>
    <cellStyle name="Saída 2 2 2 3 2 2" xfId="2451"/>
    <cellStyle name="Saída 2 2 2 3 2 2 2" xfId="6031"/>
    <cellStyle name="Saída 2 2 2 3 2 2 2 2" xfId="12592"/>
    <cellStyle name="Saída 2 2 2 3 2 2 2 2 2" xfId="26914"/>
    <cellStyle name="Saída 2 2 2 3 2 2 2 3" xfId="18237"/>
    <cellStyle name="Saída 2 2 2 3 2 2 3" xfId="7650"/>
    <cellStyle name="Saída 2 2 2 3 2 2 3 2" xfId="10264"/>
    <cellStyle name="Saída 2 2 2 3 2 2 3 2 2" xfId="16526"/>
    <cellStyle name="Saída 2 2 2 3 2 2 3 2 2 2" xfId="29942"/>
    <cellStyle name="Saída 2 2 2 3 2 2 3 2 3" xfId="21271"/>
    <cellStyle name="Saída 2 2 2 3 2 2 3 3" xfId="14254"/>
    <cellStyle name="Saída 2 2 2 3 2 2 3 3 2" xfId="28576"/>
    <cellStyle name="Saída 2 2 2 3 2 2 3 4" xfId="19899"/>
    <cellStyle name="Saída 2 2 2 3 2 2 4" xfId="4574"/>
    <cellStyle name="Saída 2 2 2 3 2 2 4 2" xfId="23041"/>
    <cellStyle name="Saída 2 2 2 3 2 2 5" xfId="4781"/>
    <cellStyle name="Saída 2 2 2 3 2 3" xfId="2452"/>
    <cellStyle name="Saída 2 2 2 3 2 3 2" xfId="7971"/>
    <cellStyle name="Saída 2 2 2 3 2 3 2 2" xfId="10585"/>
    <cellStyle name="Saída 2 2 2 3 2 3 2 2 2" xfId="16847"/>
    <cellStyle name="Saída 2 2 2 3 2 3 2 2 2 2" xfId="30263"/>
    <cellStyle name="Saída 2 2 2 3 2 3 2 2 3" xfId="21592"/>
    <cellStyle name="Saída 2 2 2 3 2 3 2 3" xfId="14575"/>
    <cellStyle name="Saída 2 2 2 3 2 3 2 3 2" xfId="28897"/>
    <cellStyle name="Saída 2 2 2 3 2 3 2 4" xfId="20220"/>
    <cellStyle name="Saída 2 2 2 3 2 3 3" xfId="13359"/>
    <cellStyle name="Saída 2 2 2 3 2 3 3 2" xfId="27681"/>
    <cellStyle name="Saída 2 2 2 3 2 3 4" xfId="19004"/>
    <cellStyle name="Saída 2 2 2 3 2 4" xfId="5809"/>
    <cellStyle name="Saída 2 2 2 3 2 4 2" xfId="12362"/>
    <cellStyle name="Saída 2 2 2 3 2 4 2 2" xfId="26684"/>
    <cellStyle name="Saída 2 2 2 3 2 4 3" xfId="18007"/>
    <cellStyle name="Saída 2 2 2 3 2 5" xfId="6612"/>
    <cellStyle name="Saída 2 2 2 3 2 5 2" xfId="23604"/>
    <cellStyle name="Saída 2 2 2 3 2 6" xfId="4294"/>
    <cellStyle name="Saída 2 2 2 3 3" xfId="2453"/>
    <cellStyle name="Saída 2 2 2 3 3 2" xfId="2454"/>
    <cellStyle name="Saída 2 2 2 3 3 2 2" xfId="6885"/>
    <cellStyle name="Saída 2 2 2 3 3 2 2 2" xfId="13489"/>
    <cellStyle name="Saída 2 2 2 3 3 2 2 2 2" xfId="27811"/>
    <cellStyle name="Saída 2 2 2 3 3 2 2 3" xfId="19134"/>
    <cellStyle name="Saída 2 2 2 3 3 2 3" xfId="7785"/>
    <cellStyle name="Saída 2 2 2 3 3 2 3 2" xfId="10399"/>
    <cellStyle name="Saída 2 2 2 3 3 2 3 2 2" xfId="16661"/>
    <cellStyle name="Saída 2 2 2 3 3 2 3 2 2 2" xfId="30077"/>
    <cellStyle name="Saída 2 2 2 3 3 2 3 2 3" xfId="21406"/>
    <cellStyle name="Saída 2 2 2 3 3 2 3 3" xfId="14389"/>
    <cellStyle name="Saída 2 2 2 3 3 2 3 3 2" xfId="28711"/>
    <cellStyle name="Saída 2 2 2 3 3 2 3 4" xfId="20034"/>
    <cellStyle name="Saída 2 2 2 3 3 2 4" xfId="11359"/>
    <cellStyle name="Saída 2 2 2 3 3 2 4 2" xfId="25681"/>
    <cellStyle name="Saída 2 2 2 3 3 2 5" xfId="5910"/>
    <cellStyle name="Saída 2 2 2 3 3 3" xfId="2455"/>
    <cellStyle name="Saída 2 2 2 3 3 3 2" xfId="7794"/>
    <cellStyle name="Saída 2 2 2 3 3 3 2 2" xfId="10408"/>
    <cellStyle name="Saída 2 2 2 3 3 3 2 2 2" xfId="16670"/>
    <cellStyle name="Saída 2 2 2 3 3 3 2 2 2 2" xfId="30086"/>
    <cellStyle name="Saída 2 2 2 3 3 3 2 2 3" xfId="21415"/>
    <cellStyle name="Saída 2 2 2 3 3 3 2 3" xfId="14398"/>
    <cellStyle name="Saída 2 2 2 3 3 3 2 3 2" xfId="28720"/>
    <cellStyle name="Saída 2 2 2 3 3 3 2 4" xfId="20043"/>
    <cellStyle name="Saída 2 2 2 3 3 3 3" xfId="12859"/>
    <cellStyle name="Saída 2 2 2 3 3 3 3 2" xfId="27181"/>
    <cellStyle name="Saída 2 2 2 3 3 3 4" xfId="18504"/>
    <cellStyle name="Saída 2 2 2 3 3 4" xfId="5210"/>
    <cellStyle name="Saída 2 2 2 3 3 4 2" xfId="11759"/>
    <cellStyle name="Saída 2 2 2 3 3 4 2 2" xfId="26081"/>
    <cellStyle name="Saída 2 2 2 3 3 4 3" xfId="17404"/>
    <cellStyle name="Saída 2 2 2 3 3 5" xfId="4156"/>
    <cellStyle name="Saída 2 2 2 3 3 5 2" xfId="22787"/>
    <cellStyle name="Saída 2 2 2 3 3 6" xfId="14721"/>
    <cellStyle name="Saída 2 2 2 3 4" xfId="2456"/>
    <cellStyle name="Saída 2 2 2 3 4 2" xfId="4244"/>
    <cellStyle name="Saída 2 2 2 3 4 2 2" xfId="6183"/>
    <cellStyle name="Saída 2 2 2 3 4 2 2 2" xfId="23448"/>
    <cellStyle name="Saída 2 2 2 3 4 2 3" xfId="15419"/>
    <cellStyle name="Saída 2 2 2 3 4 3" xfId="7241"/>
    <cellStyle name="Saída 2 2 2 3 4 3 2" xfId="9855"/>
    <cellStyle name="Saída 2 2 2 3 4 3 2 2" xfId="16117"/>
    <cellStyle name="Saída 2 2 2 3 4 3 2 2 2" xfId="29533"/>
    <cellStyle name="Saída 2 2 2 3 4 3 2 3" xfId="20862"/>
    <cellStyle name="Saída 2 2 2 3 4 3 3" xfId="13845"/>
    <cellStyle name="Saída 2 2 2 3 4 3 3 2" xfId="28167"/>
    <cellStyle name="Saída 2 2 2 3 4 3 4" xfId="19490"/>
    <cellStyle name="Saída 2 2 2 3 4 4" xfId="6019"/>
    <cellStyle name="Saída 2 2 2 3 4 4 2" xfId="23395"/>
    <cellStyle name="Saída 2 2 2 3 4 5" xfId="15083"/>
    <cellStyle name="Saída 2 2 2 3 5" xfId="2457"/>
    <cellStyle name="Saída 2 2 2 3 5 2" xfId="4005"/>
    <cellStyle name="Saída 2 2 2 3 5 2 2" xfId="9409"/>
    <cellStyle name="Saída 2 2 2 3 5 2 2 2" xfId="15671"/>
    <cellStyle name="Saída 2 2 2 3 5 2 2 2 2" xfId="29087"/>
    <cellStyle name="Saída 2 2 2 3 5 2 2 3" xfId="20416"/>
    <cellStyle name="Saída 2 2 2 3 5 2 3" xfId="6495"/>
    <cellStyle name="Saída 2 2 2 3 5 2 3 2" xfId="23570"/>
    <cellStyle name="Saída 2 2 2 3 5 2 4" xfId="15284"/>
    <cellStyle name="Saída 2 2 2 3 5 3" xfId="12935"/>
    <cellStyle name="Saída 2 2 2 3 5 3 2" xfId="27257"/>
    <cellStyle name="Saída 2 2 2 3 5 4" xfId="18580"/>
    <cellStyle name="Saída 2 2 2 3 6" xfId="5559"/>
    <cellStyle name="Saída 2 2 2 3 6 2" xfId="12110"/>
    <cellStyle name="Saída 2 2 2 3 6 2 2" xfId="26432"/>
    <cellStyle name="Saída 2 2 2 3 6 3" xfId="17755"/>
    <cellStyle name="Saída 2 2 2 3 7" xfId="3689"/>
    <cellStyle name="Saída 2 2 2 3 7 2" xfId="22531"/>
    <cellStyle name="Saída 2 2 2 3 8" xfId="14765"/>
    <cellStyle name="Saída 2 2 2 4" xfId="2458"/>
    <cellStyle name="Saída 2 2 2 4 2" xfId="2459"/>
    <cellStyle name="Saída 2 2 2 4 2 2" xfId="2460"/>
    <cellStyle name="Saída 2 2 2 4 2 2 2" xfId="3618"/>
    <cellStyle name="Saída 2 2 2 4 2 2 2 2" xfId="3808"/>
    <cellStyle name="Saída 2 2 2 4 2 2 2 2 2" xfId="22594"/>
    <cellStyle name="Saída 2 2 2 4 2 2 2 3" xfId="14893"/>
    <cellStyle name="Saída 2 2 2 4 2 2 3" xfId="7106"/>
    <cellStyle name="Saída 2 2 2 4 2 2 3 2" xfId="9720"/>
    <cellStyle name="Saída 2 2 2 4 2 2 3 2 2" xfId="15982"/>
    <cellStyle name="Saída 2 2 2 4 2 2 3 2 2 2" xfId="29398"/>
    <cellStyle name="Saída 2 2 2 4 2 2 3 2 3" xfId="20727"/>
    <cellStyle name="Saída 2 2 2 4 2 2 3 3" xfId="13710"/>
    <cellStyle name="Saída 2 2 2 4 2 2 3 3 2" xfId="28032"/>
    <cellStyle name="Saída 2 2 2 4 2 2 3 4" xfId="19355"/>
    <cellStyle name="Saída 2 2 2 4 2 2 4" xfId="4824"/>
    <cellStyle name="Saída 2 2 2 4 2 2 4 2" xfId="23205"/>
    <cellStyle name="Saída 2 2 2 4 2 2 5" xfId="15413"/>
    <cellStyle name="Saída 2 2 2 4 2 3" xfId="2461"/>
    <cellStyle name="Saída 2 2 2 4 2 3 2" xfId="7676"/>
    <cellStyle name="Saída 2 2 2 4 2 3 2 2" xfId="10290"/>
    <cellStyle name="Saída 2 2 2 4 2 3 2 2 2" xfId="16552"/>
    <cellStyle name="Saída 2 2 2 4 2 3 2 2 2 2" xfId="29968"/>
    <cellStyle name="Saída 2 2 2 4 2 3 2 2 3" xfId="21297"/>
    <cellStyle name="Saída 2 2 2 4 2 3 2 3" xfId="14280"/>
    <cellStyle name="Saída 2 2 2 4 2 3 2 3 2" xfId="28602"/>
    <cellStyle name="Saída 2 2 2 4 2 3 2 4" xfId="19925"/>
    <cellStyle name="Saída 2 2 2 4 2 3 3" xfId="13284"/>
    <cellStyle name="Saída 2 2 2 4 2 3 3 2" xfId="27606"/>
    <cellStyle name="Saída 2 2 2 4 2 3 4" xfId="18929"/>
    <cellStyle name="Saída 2 2 2 4 2 4" xfId="5734"/>
    <cellStyle name="Saída 2 2 2 4 2 4 2" xfId="12287"/>
    <cellStyle name="Saída 2 2 2 4 2 4 2 2" xfId="26609"/>
    <cellStyle name="Saída 2 2 2 4 2 4 3" xfId="17932"/>
    <cellStyle name="Saída 2 2 2 4 2 5" xfId="4649"/>
    <cellStyle name="Saída 2 2 2 4 2 5 2" xfId="23092"/>
    <cellStyle name="Saída 2 2 2 4 2 6" xfId="15171"/>
    <cellStyle name="Saída 2 2 2 4 3" xfId="2462"/>
    <cellStyle name="Saída 2 2 2 4 3 2" xfId="2463"/>
    <cellStyle name="Saída 2 2 2 4 3 2 2" xfId="6433"/>
    <cellStyle name="Saída 2 2 2 4 3 2 2 2" xfId="13016"/>
    <cellStyle name="Saída 2 2 2 4 3 2 2 2 2" xfId="27338"/>
    <cellStyle name="Saída 2 2 2 4 3 2 2 3" xfId="18661"/>
    <cellStyle name="Saída 2 2 2 4 3 2 3" xfId="7505"/>
    <cellStyle name="Saída 2 2 2 4 3 2 3 2" xfId="10119"/>
    <cellStyle name="Saída 2 2 2 4 3 2 3 2 2" xfId="16381"/>
    <cellStyle name="Saída 2 2 2 4 3 2 3 2 2 2" xfId="29797"/>
    <cellStyle name="Saída 2 2 2 4 3 2 3 2 3" xfId="21126"/>
    <cellStyle name="Saída 2 2 2 4 3 2 3 3" xfId="14109"/>
    <cellStyle name="Saída 2 2 2 4 3 2 3 3 2" xfId="28431"/>
    <cellStyle name="Saída 2 2 2 4 3 2 3 4" xfId="19754"/>
    <cellStyle name="Saída 2 2 2 4 3 2 4" xfId="6360"/>
    <cellStyle name="Saída 2 2 2 4 3 2 4 2" xfId="23544"/>
    <cellStyle name="Saída 2 2 2 4 3 2 5" xfId="14945"/>
    <cellStyle name="Saída 2 2 2 4 3 3" xfId="2464"/>
    <cellStyle name="Saída 2 2 2 4 3 3 2" xfId="7205"/>
    <cellStyle name="Saída 2 2 2 4 3 3 2 2" xfId="9819"/>
    <cellStyle name="Saída 2 2 2 4 3 3 2 2 2" xfId="16081"/>
    <cellStyle name="Saída 2 2 2 4 3 3 2 2 2 2" xfId="29497"/>
    <cellStyle name="Saída 2 2 2 4 3 3 2 2 3" xfId="20826"/>
    <cellStyle name="Saída 2 2 2 4 3 3 2 3" xfId="13809"/>
    <cellStyle name="Saída 2 2 2 4 3 3 2 3 2" xfId="28131"/>
    <cellStyle name="Saída 2 2 2 4 3 3 2 4" xfId="19454"/>
    <cellStyle name="Saída 2 2 2 4 3 3 3" xfId="13191"/>
    <cellStyle name="Saída 2 2 2 4 3 3 3 2" xfId="27513"/>
    <cellStyle name="Saída 2 2 2 4 3 3 4" xfId="18836"/>
    <cellStyle name="Saída 2 2 2 4 3 4" xfId="5628"/>
    <cellStyle name="Saída 2 2 2 4 3 4 2" xfId="12181"/>
    <cellStyle name="Saída 2 2 2 4 3 4 2 2" xfId="26503"/>
    <cellStyle name="Saída 2 2 2 4 3 4 3" xfId="17826"/>
    <cellStyle name="Saída 2 2 2 4 3 5" xfId="4287"/>
    <cellStyle name="Saída 2 2 2 4 3 5 2" xfId="22871"/>
    <cellStyle name="Saída 2 2 2 4 3 6" xfId="15565"/>
    <cellStyle name="Saída 2 2 2 4 4" xfId="2465"/>
    <cellStyle name="Saída 2 2 2 4 4 2" xfId="6223"/>
    <cellStyle name="Saída 2 2 2 4 4 2 2" xfId="12798"/>
    <cellStyle name="Saída 2 2 2 4 4 2 2 2" xfId="27120"/>
    <cellStyle name="Saída 2 2 2 4 4 2 3" xfId="18443"/>
    <cellStyle name="Saída 2 2 2 4 4 3" xfId="7325"/>
    <cellStyle name="Saída 2 2 2 4 4 3 2" xfId="9939"/>
    <cellStyle name="Saída 2 2 2 4 4 3 2 2" xfId="16201"/>
    <cellStyle name="Saída 2 2 2 4 4 3 2 2 2" xfId="29617"/>
    <cellStyle name="Saída 2 2 2 4 4 3 2 3" xfId="20946"/>
    <cellStyle name="Saída 2 2 2 4 4 3 3" xfId="13929"/>
    <cellStyle name="Saída 2 2 2 4 4 3 3 2" xfId="28251"/>
    <cellStyle name="Saída 2 2 2 4 4 3 4" xfId="19574"/>
    <cellStyle name="Saída 2 2 2 4 4 4" xfId="3659"/>
    <cellStyle name="Saída 2 2 2 4 4 4 2" xfId="22510"/>
    <cellStyle name="Saída 2 2 2 4 4 5" xfId="5956"/>
    <cellStyle name="Saída 2 2 2 4 5" xfId="2466"/>
    <cellStyle name="Saída 2 2 2 4 5 2" xfId="5327"/>
    <cellStyle name="Saída 2 2 2 4 5 2 2" xfId="9636"/>
    <cellStyle name="Saída 2 2 2 4 5 2 2 2" xfId="15898"/>
    <cellStyle name="Saída 2 2 2 4 5 2 2 2 2" xfId="29314"/>
    <cellStyle name="Saída 2 2 2 4 5 2 2 3" xfId="20643"/>
    <cellStyle name="Saída 2 2 2 4 5 2 3" xfId="11877"/>
    <cellStyle name="Saída 2 2 2 4 5 2 3 2" xfId="26199"/>
    <cellStyle name="Saída 2 2 2 4 5 2 4" xfId="17522"/>
    <cellStyle name="Saída 2 2 2 4 5 3" xfId="12852"/>
    <cellStyle name="Saída 2 2 2 4 5 3 2" xfId="27174"/>
    <cellStyle name="Saída 2 2 2 4 5 4" xfId="18497"/>
    <cellStyle name="Saída 2 2 2 4 6" xfId="5453"/>
    <cellStyle name="Saída 2 2 2 4 6 2" xfId="12004"/>
    <cellStyle name="Saída 2 2 2 4 6 2 2" xfId="26326"/>
    <cellStyle name="Saída 2 2 2 4 6 3" xfId="17649"/>
    <cellStyle name="Saída 2 2 2 4 7" xfId="4511"/>
    <cellStyle name="Saída 2 2 2 4 7 2" xfId="22998"/>
    <cellStyle name="Saída 2 2 2 4 8" xfId="17373"/>
    <cellStyle name="Saída 2 2 2 5" xfId="2467"/>
    <cellStyle name="Saída 2 2 2 5 2" xfId="2468"/>
    <cellStyle name="Saída 2 2 2 5 2 2" xfId="2469"/>
    <cellStyle name="Saída 2 2 2 5 2 2 2" xfId="6944"/>
    <cellStyle name="Saída 2 2 2 5 2 2 2 2" xfId="13548"/>
    <cellStyle name="Saída 2 2 2 5 2 2 2 2 2" xfId="27870"/>
    <cellStyle name="Saída 2 2 2 5 2 2 2 3" xfId="19193"/>
    <cellStyle name="Saída 2 2 2 5 2 2 3" xfId="7308"/>
    <cellStyle name="Saída 2 2 2 5 2 2 3 2" xfId="9922"/>
    <cellStyle name="Saída 2 2 2 5 2 2 3 2 2" xfId="16184"/>
    <cellStyle name="Saída 2 2 2 5 2 2 3 2 2 2" xfId="29600"/>
    <cellStyle name="Saída 2 2 2 5 2 2 3 2 3" xfId="20929"/>
    <cellStyle name="Saída 2 2 2 5 2 2 3 3" xfId="13912"/>
    <cellStyle name="Saída 2 2 2 5 2 2 3 3 2" xfId="28234"/>
    <cellStyle name="Saída 2 2 2 5 2 2 3 4" xfId="19557"/>
    <cellStyle name="Saída 2 2 2 5 2 2 4" xfId="11437"/>
    <cellStyle name="Saída 2 2 2 5 2 2 4 2" xfId="25759"/>
    <cellStyle name="Saída 2 2 2 5 2 2 5" xfId="17227"/>
    <cellStyle name="Saída 2 2 2 5 2 3" xfId="2470"/>
    <cellStyle name="Saída 2 2 2 5 2 3 2" xfId="7848"/>
    <cellStyle name="Saída 2 2 2 5 2 3 2 2" xfId="10462"/>
    <cellStyle name="Saída 2 2 2 5 2 3 2 2 2" xfId="16724"/>
    <cellStyle name="Saída 2 2 2 5 2 3 2 2 2 2" xfId="30140"/>
    <cellStyle name="Saída 2 2 2 5 2 3 2 2 3" xfId="21469"/>
    <cellStyle name="Saída 2 2 2 5 2 3 2 3" xfId="14452"/>
    <cellStyle name="Saída 2 2 2 5 2 3 2 3 2" xfId="28774"/>
    <cellStyle name="Saída 2 2 2 5 2 3 2 4" xfId="20097"/>
    <cellStyle name="Saída 2 2 2 5 2 3 3" xfId="13397"/>
    <cellStyle name="Saída 2 2 2 5 2 3 3 2" xfId="27719"/>
    <cellStyle name="Saída 2 2 2 5 2 3 4" xfId="19042"/>
    <cellStyle name="Saída 2 2 2 5 2 4" xfId="5861"/>
    <cellStyle name="Saída 2 2 2 5 2 4 2" xfId="12414"/>
    <cellStyle name="Saída 2 2 2 5 2 4 2 2" xfId="26736"/>
    <cellStyle name="Saída 2 2 2 5 2 4 3" xfId="18059"/>
    <cellStyle name="Saída 2 2 2 5 2 5" xfId="6650"/>
    <cellStyle name="Saída 2 2 2 5 2 5 2" xfId="23628"/>
    <cellStyle name="Saída 2 2 2 5 2 6" xfId="17037"/>
    <cellStyle name="Saída 2 2 2 5 3" xfId="2471"/>
    <cellStyle name="Saída 2 2 2 5 3 2" xfId="5926"/>
    <cellStyle name="Saída 2 2 2 5 3 2 2" xfId="12481"/>
    <cellStyle name="Saída 2 2 2 5 3 2 2 2" xfId="26803"/>
    <cellStyle name="Saída 2 2 2 5 3 2 3" xfId="18126"/>
    <cellStyle name="Saída 2 2 2 5 3 3" xfId="7179"/>
    <cellStyle name="Saída 2 2 2 5 3 3 2" xfId="9793"/>
    <cellStyle name="Saída 2 2 2 5 3 3 2 2" xfId="16055"/>
    <cellStyle name="Saída 2 2 2 5 3 3 2 2 2" xfId="29471"/>
    <cellStyle name="Saída 2 2 2 5 3 3 2 3" xfId="20800"/>
    <cellStyle name="Saída 2 2 2 5 3 3 3" xfId="13783"/>
    <cellStyle name="Saída 2 2 2 5 3 3 3 2" xfId="28105"/>
    <cellStyle name="Saída 2 2 2 5 3 3 4" xfId="19428"/>
    <cellStyle name="Saída 2 2 2 5 3 4" xfId="6478"/>
    <cellStyle name="Saída 2 2 2 5 3 4 2" xfId="23561"/>
    <cellStyle name="Saída 2 2 2 5 3 5" xfId="15567"/>
    <cellStyle name="Saída 2 2 2 5 4" xfId="2472"/>
    <cellStyle name="Saída 2 2 2 5 4 2" xfId="7836"/>
    <cellStyle name="Saída 2 2 2 5 4 2 2" xfId="10450"/>
    <cellStyle name="Saída 2 2 2 5 4 2 2 2" xfId="16712"/>
    <cellStyle name="Saída 2 2 2 5 4 2 2 2 2" xfId="30128"/>
    <cellStyle name="Saída 2 2 2 5 4 2 2 3" xfId="21457"/>
    <cellStyle name="Saída 2 2 2 5 4 2 3" xfId="14440"/>
    <cellStyle name="Saída 2 2 2 5 4 2 3 2" xfId="28762"/>
    <cellStyle name="Saída 2 2 2 5 4 2 4" xfId="20085"/>
    <cellStyle name="Saída 2 2 2 5 4 3" xfId="12948"/>
    <cellStyle name="Saída 2 2 2 5 4 3 2" xfId="27270"/>
    <cellStyle name="Saída 2 2 2 5 4 4" xfId="18593"/>
    <cellStyle name="Saída 2 2 2 5 5" xfId="5613"/>
    <cellStyle name="Saída 2 2 2 5 5 2" xfId="12166"/>
    <cellStyle name="Saída 2 2 2 5 5 2 2" xfId="26488"/>
    <cellStyle name="Saída 2 2 2 5 5 3" xfId="17811"/>
    <cellStyle name="Saída 2 2 2 5 6" xfId="6700"/>
    <cellStyle name="Saída 2 2 2 5 6 2" xfId="23659"/>
    <cellStyle name="Saída 2 2 2 5 7" xfId="3863"/>
    <cellStyle name="Saída 2 2 2 6" xfId="2473"/>
    <cellStyle name="Saída 2 2 2 6 2" xfId="2474"/>
    <cellStyle name="Saída 2 2 2 6 2 2" xfId="6412"/>
    <cellStyle name="Saída 2 2 2 6 2 2 2" xfId="12995"/>
    <cellStyle name="Saída 2 2 2 6 2 2 2 2" xfId="27317"/>
    <cellStyle name="Saída 2 2 2 6 2 2 3" xfId="18640"/>
    <cellStyle name="Saída 2 2 2 6 2 3" xfId="7344"/>
    <cellStyle name="Saída 2 2 2 6 2 3 2" xfId="9958"/>
    <cellStyle name="Saída 2 2 2 6 2 3 2 2" xfId="16220"/>
    <cellStyle name="Saída 2 2 2 6 2 3 2 2 2" xfId="29636"/>
    <cellStyle name="Saída 2 2 2 6 2 3 2 3" xfId="20965"/>
    <cellStyle name="Saída 2 2 2 6 2 3 3" xfId="13948"/>
    <cellStyle name="Saída 2 2 2 6 2 3 3 2" xfId="28270"/>
    <cellStyle name="Saída 2 2 2 6 2 3 4" xfId="19593"/>
    <cellStyle name="Saída 2 2 2 6 2 4" xfId="4469"/>
    <cellStyle name="Saída 2 2 2 6 2 4 2" xfId="22968"/>
    <cellStyle name="Saída 2 2 2 6 2 5" xfId="15500"/>
    <cellStyle name="Saída 2 2 2 6 3" xfId="2475"/>
    <cellStyle name="Saída 2 2 2 6 3 2" xfId="7109"/>
    <cellStyle name="Saída 2 2 2 6 3 2 2" xfId="9723"/>
    <cellStyle name="Saída 2 2 2 6 3 2 2 2" xfId="15985"/>
    <cellStyle name="Saída 2 2 2 6 3 2 2 2 2" xfId="29401"/>
    <cellStyle name="Saída 2 2 2 6 3 2 2 3" xfId="20730"/>
    <cellStyle name="Saída 2 2 2 6 3 2 3" xfId="13713"/>
    <cellStyle name="Saída 2 2 2 6 3 2 3 2" xfId="28035"/>
    <cellStyle name="Saída 2 2 2 6 3 2 4" xfId="19358"/>
    <cellStyle name="Saída 2 2 2 6 3 3" xfId="13407"/>
    <cellStyle name="Saída 2 2 2 6 3 3 2" xfId="27729"/>
    <cellStyle name="Saída 2 2 2 6 3 4" xfId="19052"/>
    <cellStyle name="Saída 2 2 2 6 4" xfId="5875"/>
    <cellStyle name="Saída 2 2 2 6 4 2" xfId="12428"/>
    <cellStyle name="Saída 2 2 2 6 4 2 2" xfId="26750"/>
    <cellStyle name="Saída 2 2 2 6 4 3" xfId="18073"/>
    <cellStyle name="Saída 2 2 2 6 5" xfId="3192"/>
    <cellStyle name="Saída 2 2 2 6 5 2" xfId="22435"/>
    <cellStyle name="Saída 2 2 2 6 6" xfId="17357"/>
    <cellStyle name="Saída 2 2 2 7" xfId="2476"/>
    <cellStyle name="Saída 2 2 2 7 2" xfId="6016"/>
    <cellStyle name="Saída 2 2 2 7 2 2" xfId="12576"/>
    <cellStyle name="Saída 2 2 2 7 2 2 2" xfId="26898"/>
    <cellStyle name="Saída 2 2 2 7 2 3" xfId="18221"/>
    <cellStyle name="Saída 2 2 2 7 3" xfId="5244"/>
    <cellStyle name="Saída 2 2 2 7 3 2" xfId="9554"/>
    <cellStyle name="Saída 2 2 2 7 3 2 2" xfId="15816"/>
    <cellStyle name="Saída 2 2 2 7 3 2 2 2" xfId="29232"/>
    <cellStyle name="Saída 2 2 2 7 3 2 3" xfId="20561"/>
    <cellStyle name="Saída 2 2 2 7 3 3" xfId="11794"/>
    <cellStyle name="Saída 2 2 2 7 3 3 2" xfId="26116"/>
    <cellStyle name="Saída 2 2 2 7 3 4" xfId="17439"/>
    <cellStyle name="Saída 2 2 2 7 4" xfId="2802"/>
    <cellStyle name="Saída 2 2 2 7 4 2" xfId="22367"/>
    <cellStyle name="Saída 2 2 2 7 5" xfId="14745"/>
    <cellStyle name="Saída 2 2 2 8" xfId="2477"/>
    <cellStyle name="Saída 2 2 2 8 2" xfId="3678"/>
    <cellStyle name="Saída 2 2 2 8 2 2" xfId="9359"/>
    <cellStyle name="Saída 2 2 2 8 2 2 2" xfId="15621"/>
    <cellStyle name="Saída 2 2 2 8 2 2 2 2" xfId="29037"/>
    <cellStyle name="Saída 2 2 2 8 2 2 3" xfId="20366"/>
    <cellStyle name="Saída 2 2 2 8 2 3" xfId="4677"/>
    <cellStyle name="Saída 2 2 2 8 2 3 2" xfId="23116"/>
    <cellStyle name="Saída 2 2 2 8 2 4" xfId="14862"/>
    <cellStyle name="Saída 2 2 2 8 3" xfId="12763"/>
    <cellStyle name="Saída 2 2 2 8 3 2" xfId="27085"/>
    <cellStyle name="Saída 2 2 2 8 4" xfId="18408"/>
    <cellStyle name="Saída 2 2 2 9" xfId="5474"/>
    <cellStyle name="Saída 2 2 2 9 2" xfId="12025"/>
    <cellStyle name="Saída 2 2 2 9 2 2" xfId="26347"/>
    <cellStyle name="Saída 2 2 2 9 3" xfId="17670"/>
    <cellStyle name="Saída 2 2 3" xfId="2478"/>
    <cellStyle name="Saída 2 2 3 2" xfId="2479"/>
    <cellStyle name="Saída 2 2 3 2 2" xfId="2480"/>
    <cellStyle name="Saída 2 2 3 2 2 2" xfId="6427"/>
    <cellStyle name="Saída 2 2 3 2 2 2 2" xfId="13010"/>
    <cellStyle name="Saída 2 2 3 2 2 2 2 2" xfId="27332"/>
    <cellStyle name="Saída 2 2 3 2 2 2 3" xfId="18655"/>
    <cellStyle name="Saída 2 2 3 2 2 3" xfId="7584"/>
    <cellStyle name="Saída 2 2 3 2 2 3 2" xfId="10198"/>
    <cellStyle name="Saída 2 2 3 2 2 3 2 2" xfId="16460"/>
    <cellStyle name="Saída 2 2 3 2 2 3 2 2 2" xfId="29876"/>
    <cellStyle name="Saída 2 2 3 2 2 3 2 3" xfId="21205"/>
    <cellStyle name="Saída 2 2 3 2 2 3 3" xfId="14188"/>
    <cellStyle name="Saída 2 2 3 2 2 3 3 2" xfId="28510"/>
    <cellStyle name="Saída 2 2 3 2 2 3 4" xfId="19833"/>
    <cellStyle name="Saída 2 2 3 2 2 4" xfId="4414"/>
    <cellStyle name="Saída 2 2 3 2 2 4 2" xfId="22937"/>
    <cellStyle name="Saída 2 2 3 2 2 5" xfId="16968"/>
    <cellStyle name="Saída 2 2 3 2 3" xfId="2481"/>
    <cellStyle name="Saída 2 2 3 2 3 2" xfId="3816"/>
    <cellStyle name="Saída 2 2 3 2 3 2 2" xfId="9381"/>
    <cellStyle name="Saída 2 2 3 2 3 2 2 2" xfId="15643"/>
    <cellStyle name="Saída 2 2 3 2 3 2 2 2 2" xfId="29059"/>
    <cellStyle name="Saída 2 2 3 2 3 2 2 3" xfId="20388"/>
    <cellStyle name="Saída 2 2 3 2 3 2 3" xfId="4599"/>
    <cellStyle name="Saída 2 2 3 2 3 2 3 2" xfId="23060"/>
    <cellStyle name="Saída 2 2 3 2 3 2 4" xfId="6635"/>
    <cellStyle name="Saída 2 2 3 2 3 3" xfId="13309"/>
    <cellStyle name="Saída 2 2 3 2 3 3 2" xfId="27631"/>
    <cellStyle name="Saída 2 2 3 2 3 4" xfId="18954"/>
    <cellStyle name="Saída 2 2 3 2 4" xfId="5759"/>
    <cellStyle name="Saída 2 2 3 2 4 2" xfId="12312"/>
    <cellStyle name="Saída 2 2 3 2 4 2 2" xfId="26634"/>
    <cellStyle name="Saída 2 2 3 2 4 3" xfId="17957"/>
    <cellStyle name="Saída 2 2 3 2 5" xfId="5966"/>
    <cellStyle name="Saída 2 2 3 2 5 2" xfId="23384"/>
    <cellStyle name="Saída 2 2 3 2 6" xfId="4961"/>
    <cellStyle name="Saída 2 2 3 3" xfId="2482"/>
    <cellStyle name="Saída 2 2 3 3 2" xfId="2483"/>
    <cellStyle name="Saída 2 2 3 3 2 2" xfId="6911"/>
    <cellStyle name="Saída 2 2 3 3 2 2 2" xfId="13515"/>
    <cellStyle name="Saída 2 2 3 3 2 2 2 2" xfId="27837"/>
    <cellStyle name="Saída 2 2 3 3 2 2 3" xfId="19160"/>
    <cellStyle name="Saída 2 2 3 3 2 3" xfId="7251"/>
    <cellStyle name="Saída 2 2 3 3 2 3 2" xfId="9865"/>
    <cellStyle name="Saída 2 2 3 3 2 3 2 2" xfId="16127"/>
    <cellStyle name="Saída 2 2 3 3 2 3 2 2 2" xfId="29543"/>
    <cellStyle name="Saída 2 2 3 3 2 3 2 3" xfId="20872"/>
    <cellStyle name="Saída 2 2 3 3 2 3 3" xfId="13855"/>
    <cellStyle name="Saída 2 2 3 3 2 3 3 2" xfId="28177"/>
    <cellStyle name="Saída 2 2 3 3 2 3 4" xfId="19500"/>
    <cellStyle name="Saída 2 2 3 3 2 4" xfId="11397"/>
    <cellStyle name="Saída 2 2 3 3 2 4 2" xfId="25719"/>
    <cellStyle name="Saída 2 2 3 3 2 5" xfId="15261"/>
    <cellStyle name="Saída 2 2 3 3 3" xfId="2484"/>
    <cellStyle name="Saída 2 2 3 3 3 2" xfId="7346"/>
    <cellStyle name="Saída 2 2 3 3 3 2 2" xfId="9960"/>
    <cellStyle name="Saída 2 2 3 3 3 2 2 2" xfId="16222"/>
    <cellStyle name="Saída 2 2 3 3 3 2 2 2 2" xfId="29638"/>
    <cellStyle name="Saída 2 2 3 3 3 2 2 3" xfId="20967"/>
    <cellStyle name="Saída 2 2 3 3 3 2 3" xfId="13950"/>
    <cellStyle name="Saída 2 2 3 3 3 2 3 2" xfId="28272"/>
    <cellStyle name="Saída 2 2 3 3 3 2 4" xfId="19595"/>
    <cellStyle name="Saída 2 2 3 3 3 3" xfId="13088"/>
    <cellStyle name="Saída 2 2 3 3 3 3 2" xfId="27410"/>
    <cellStyle name="Saída 2 2 3 3 3 4" xfId="18733"/>
    <cellStyle name="Saída 2 2 3 3 4" xfId="5443"/>
    <cellStyle name="Saída 2 2 3 3 4 2" xfId="11994"/>
    <cellStyle name="Saída 2 2 3 3 4 2 2" xfId="26316"/>
    <cellStyle name="Saída 2 2 3 3 4 3" xfId="17639"/>
    <cellStyle name="Saída 2 2 3 3 5" xfId="6348"/>
    <cellStyle name="Saída 2 2 3 3 5 2" xfId="23534"/>
    <cellStyle name="Saída 2 2 3 3 6" xfId="14853"/>
    <cellStyle name="Saída 2 2 3 4" xfId="2485"/>
    <cellStyle name="Saída 2 2 3 4 2" xfId="6558"/>
    <cellStyle name="Saída 2 2 3 4 2 2" xfId="13146"/>
    <cellStyle name="Saída 2 2 3 4 2 2 2" xfId="27468"/>
    <cellStyle name="Saída 2 2 3 4 2 3" xfId="18791"/>
    <cellStyle name="Saída 2 2 3 4 3" xfId="7222"/>
    <cellStyle name="Saída 2 2 3 4 3 2" xfId="9836"/>
    <cellStyle name="Saída 2 2 3 4 3 2 2" xfId="16098"/>
    <cellStyle name="Saída 2 2 3 4 3 2 2 2" xfId="29514"/>
    <cellStyle name="Saída 2 2 3 4 3 2 3" xfId="20843"/>
    <cellStyle name="Saída 2 2 3 4 3 3" xfId="13826"/>
    <cellStyle name="Saída 2 2 3 4 3 3 2" xfId="28148"/>
    <cellStyle name="Saída 2 2 3 4 3 4" xfId="19471"/>
    <cellStyle name="Saída 2 2 3 4 4" xfId="4503"/>
    <cellStyle name="Saída 2 2 3 4 4 2" xfId="22994"/>
    <cellStyle name="Saída 2 2 3 4 5" xfId="17182"/>
    <cellStyle name="Saída 2 2 3 5" xfId="2486"/>
    <cellStyle name="Saída 2 2 3 5 2" xfId="4015"/>
    <cellStyle name="Saída 2 2 3 5 2 2" xfId="9412"/>
    <cellStyle name="Saída 2 2 3 5 2 2 2" xfId="15674"/>
    <cellStyle name="Saída 2 2 3 5 2 2 2 2" xfId="29090"/>
    <cellStyle name="Saída 2 2 3 5 2 2 3" xfId="20419"/>
    <cellStyle name="Saída 2 2 3 5 2 3" xfId="4077"/>
    <cellStyle name="Saída 2 2 3 5 2 3 2" xfId="22747"/>
    <cellStyle name="Saída 2 2 3 5 2 4" xfId="15036"/>
    <cellStyle name="Saída 2 2 3 5 3" xfId="12885"/>
    <cellStyle name="Saída 2 2 3 5 3 2" xfId="27207"/>
    <cellStyle name="Saída 2 2 3 5 4" xfId="18530"/>
    <cellStyle name="Saída 2 2 3 6" xfId="5503"/>
    <cellStyle name="Saída 2 2 3 6 2" xfId="12054"/>
    <cellStyle name="Saída 2 2 3 6 2 2" xfId="26376"/>
    <cellStyle name="Saída 2 2 3 6 3" xfId="17699"/>
    <cellStyle name="Saída 2 2 3 7" xfId="4152"/>
    <cellStyle name="Saída 2 2 3 7 2" xfId="22786"/>
    <cellStyle name="Saída 2 2 3 8" xfId="14800"/>
    <cellStyle name="Saída 2 2 4" xfId="2487"/>
    <cellStyle name="Saída 2 2 4 2" xfId="2488"/>
    <cellStyle name="Saída 2 2 4 2 2" xfId="2489"/>
    <cellStyle name="Saída 2 2 4 2 2 2" xfId="6946"/>
    <cellStyle name="Saída 2 2 4 2 2 2 2" xfId="13550"/>
    <cellStyle name="Saída 2 2 4 2 2 2 2 2" xfId="27872"/>
    <cellStyle name="Saída 2 2 4 2 2 2 3" xfId="19195"/>
    <cellStyle name="Saída 2 2 4 2 2 3" xfId="7604"/>
    <cellStyle name="Saída 2 2 4 2 2 3 2" xfId="10218"/>
    <cellStyle name="Saída 2 2 4 2 2 3 2 2" xfId="16480"/>
    <cellStyle name="Saída 2 2 4 2 2 3 2 2 2" xfId="29896"/>
    <cellStyle name="Saída 2 2 4 2 2 3 2 3" xfId="21225"/>
    <cellStyle name="Saída 2 2 4 2 2 3 3" xfId="14208"/>
    <cellStyle name="Saída 2 2 4 2 2 3 3 2" xfId="28530"/>
    <cellStyle name="Saída 2 2 4 2 2 3 4" xfId="19853"/>
    <cellStyle name="Saída 2 2 4 2 2 4" xfId="11440"/>
    <cellStyle name="Saída 2 2 4 2 2 4 2" xfId="25762"/>
    <cellStyle name="Saída 2 2 4 2 2 5" xfId="15282"/>
    <cellStyle name="Saída 2 2 4 2 3" xfId="2490"/>
    <cellStyle name="Saída 2 2 4 2 3 2" xfId="7493"/>
    <cellStyle name="Saída 2 2 4 2 3 2 2" xfId="10107"/>
    <cellStyle name="Saída 2 2 4 2 3 2 2 2" xfId="16369"/>
    <cellStyle name="Saída 2 2 4 2 3 2 2 2 2" xfId="29785"/>
    <cellStyle name="Saída 2 2 4 2 3 2 2 3" xfId="21114"/>
    <cellStyle name="Saída 2 2 4 2 3 2 3" xfId="14097"/>
    <cellStyle name="Saída 2 2 4 2 3 2 3 2" xfId="28419"/>
    <cellStyle name="Saída 2 2 4 2 3 2 4" xfId="19742"/>
    <cellStyle name="Saída 2 2 4 2 3 3" xfId="13345"/>
    <cellStyle name="Saída 2 2 4 2 3 3 2" xfId="27667"/>
    <cellStyle name="Saída 2 2 4 2 3 4" xfId="18990"/>
    <cellStyle name="Saída 2 2 4 2 4" xfId="5795"/>
    <cellStyle name="Saída 2 2 4 2 4 2" xfId="12348"/>
    <cellStyle name="Saída 2 2 4 2 4 2 2" xfId="26670"/>
    <cellStyle name="Saída 2 2 4 2 4 3" xfId="17993"/>
    <cellStyle name="Saída 2 2 4 2 5" xfId="5656"/>
    <cellStyle name="Saída 2 2 4 2 5 2" xfId="23360"/>
    <cellStyle name="Saída 2 2 4 2 6" xfId="15213"/>
    <cellStyle name="Saída 2 2 4 3" xfId="2491"/>
    <cellStyle name="Saída 2 2 4 3 2" xfId="2492"/>
    <cellStyle name="Saída 2 2 4 3 2 2" xfId="6116"/>
    <cellStyle name="Saída 2 2 4 3 2 2 2" xfId="12684"/>
    <cellStyle name="Saída 2 2 4 3 2 2 2 2" xfId="27006"/>
    <cellStyle name="Saída 2 2 4 3 2 2 3" xfId="18329"/>
    <cellStyle name="Saída 2 2 4 3 2 3" xfId="7176"/>
    <cellStyle name="Saída 2 2 4 3 2 3 2" xfId="9790"/>
    <cellStyle name="Saída 2 2 4 3 2 3 2 2" xfId="16052"/>
    <cellStyle name="Saída 2 2 4 3 2 3 2 2 2" xfId="29468"/>
    <cellStyle name="Saída 2 2 4 3 2 3 2 3" xfId="20797"/>
    <cellStyle name="Saída 2 2 4 3 2 3 3" xfId="13780"/>
    <cellStyle name="Saída 2 2 4 3 2 3 3 2" xfId="28102"/>
    <cellStyle name="Saída 2 2 4 3 2 3 4" xfId="19425"/>
    <cellStyle name="Saída 2 2 4 3 2 4" xfId="3900"/>
    <cellStyle name="Saída 2 2 4 3 2 4 2" xfId="22635"/>
    <cellStyle name="Saída 2 2 4 3 2 5" xfId="14935"/>
    <cellStyle name="Saída 2 2 4 3 3" xfId="2493"/>
    <cellStyle name="Saída 2 2 4 3 3 2" xfId="4296"/>
    <cellStyle name="Saída 2 2 4 3 3 2 2" xfId="9442"/>
    <cellStyle name="Saída 2 2 4 3 3 2 2 2" xfId="15704"/>
    <cellStyle name="Saída 2 2 4 3 3 2 2 2 2" xfId="29120"/>
    <cellStyle name="Saída 2 2 4 3 3 2 2 3" xfId="20449"/>
    <cellStyle name="Saída 2 2 4 3 3 2 3" xfId="6636"/>
    <cellStyle name="Saída 2 2 4 3 3 2 3 2" xfId="23618"/>
    <cellStyle name="Saída 2 2 4 3 3 2 4" xfId="17133"/>
    <cellStyle name="Saída 2 2 4 3 3 3" xfId="13412"/>
    <cellStyle name="Saída 2 2 4 3 3 3 2" xfId="27734"/>
    <cellStyle name="Saída 2 2 4 3 3 4" xfId="19057"/>
    <cellStyle name="Saída 2 2 4 3 4" xfId="5880"/>
    <cellStyle name="Saída 2 2 4 3 4 2" xfId="12433"/>
    <cellStyle name="Saída 2 2 4 3 4 2 2" xfId="26755"/>
    <cellStyle name="Saída 2 2 4 3 4 3" xfId="18078"/>
    <cellStyle name="Saída 2 2 4 3 5" xfId="6661"/>
    <cellStyle name="Saída 2 2 4 3 5 2" xfId="23637"/>
    <cellStyle name="Saída 2 2 4 3 6" xfId="6259"/>
    <cellStyle name="Saída 2 2 4 4" xfId="2494"/>
    <cellStyle name="Saída 2 2 4 4 2" xfId="5913"/>
    <cellStyle name="Saída 2 2 4 4 2 2" xfId="12468"/>
    <cellStyle name="Saída 2 2 4 4 2 2 2" xfId="26790"/>
    <cellStyle name="Saída 2 2 4 4 2 3" xfId="18113"/>
    <cellStyle name="Saída 2 2 4 4 3" xfId="7228"/>
    <cellStyle name="Saída 2 2 4 4 3 2" xfId="9842"/>
    <cellStyle name="Saída 2 2 4 4 3 2 2" xfId="16104"/>
    <cellStyle name="Saída 2 2 4 4 3 2 2 2" xfId="29520"/>
    <cellStyle name="Saída 2 2 4 4 3 2 3" xfId="20849"/>
    <cellStyle name="Saída 2 2 4 4 3 3" xfId="13832"/>
    <cellStyle name="Saída 2 2 4 4 3 3 2" xfId="28154"/>
    <cellStyle name="Saída 2 2 4 4 3 4" xfId="19477"/>
    <cellStyle name="Saída 2 2 4 4 4" xfId="4237"/>
    <cellStyle name="Saída 2 2 4 4 4 2" xfId="22847"/>
    <cellStyle name="Saída 2 2 4 4 5" xfId="14710"/>
    <cellStyle name="Saída 2 2 4 5" xfId="2495"/>
    <cellStyle name="Saída 2 2 4 5 2" xfId="7969"/>
    <cellStyle name="Saída 2 2 4 5 2 2" xfId="10583"/>
    <cellStyle name="Saída 2 2 4 5 2 2 2" xfId="16845"/>
    <cellStyle name="Saída 2 2 4 5 2 2 2 2" xfId="30261"/>
    <cellStyle name="Saída 2 2 4 5 2 2 3" xfId="21590"/>
    <cellStyle name="Saída 2 2 4 5 2 3" xfId="14573"/>
    <cellStyle name="Saída 2 2 4 5 2 3 2" xfId="28895"/>
    <cellStyle name="Saída 2 2 4 5 2 4" xfId="20218"/>
    <cellStyle name="Saída 2 2 4 5 3" xfId="12921"/>
    <cellStyle name="Saída 2 2 4 5 3 2" xfId="27243"/>
    <cellStyle name="Saída 2 2 4 5 4" xfId="18566"/>
    <cellStyle name="Saída 2 2 4 6" xfId="5545"/>
    <cellStyle name="Saída 2 2 4 6 2" xfId="12096"/>
    <cellStyle name="Saída 2 2 4 6 2 2" xfId="26418"/>
    <cellStyle name="Saída 2 2 4 6 3" xfId="17741"/>
    <cellStyle name="Saída 2 2 4 7" xfId="6476"/>
    <cellStyle name="Saída 2 2 4 7 2" xfId="23559"/>
    <cellStyle name="Saída 2 2 4 8" xfId="17315"/>
    <cellStyle name="Saída 2 2 5" xfId="2496"/>
    <cellStyle name="Saída 2 2 5 2" xfId="2497"/>
    <cellStyle name="Saída 2 2 5 2 2" xfId="2498"/>
    <cellStyle name="Saída 2 2 5 2 2 2" xfId="6227"/>
    <cellStyle name="Saída 2 2 5 2 2 2 2" xfId="12802"/>
    <cellStyle name="Saída 2 2 5 2 2 2 2 2" xfId="27124"/>
    <cellStyle name="Saída 2 2 5 2 2 2 3" xfId="18447"/>
    <cellStyle name="Saída 2 2 5 2 2 3" xfId="7906"/>
    <cellStyle name="Saída 2 2 5 2 2 3 2" xfId="10520"/>
    <cellStyle name="Saída 2 2 5 2 2 3 2 2" xfId="16782"/>
    <cellStyle name="Saída 2 2 5 2 2 3 2 2 2" xfId="30198"/>
    <cellStyle name="Saída 2 2 5 2 2 3 2 3" xfId="21527"/>
    <cellStyle name="Saída 2 2 5 2 2 3 3" xfId="14510"/>
    <cellStyle name="Saída 2 2 5 2 2 3 3 2" xfId="28832"/>
    <cellStyle name="Saída 2 2 5 2 2 3 4" xfId="20155"/>
    <cellStyle name="Saída 2 2 5 2 2 4" xfId="4437"/>
    <cellStyle name="Saída 2 2 5 2 2 4 2" xfId="22952"/>
    <cellStyle name="Saída 2 2 5 2 2 5" xfId="15504"/>
    <cellStyle name="Saída 2 2 5 2 3" xfId="2499"/>
    <cellStyle name="Saída 2 2 5 2 3 2" xfId="7852"/>
    <cellStyle name="Saída 2 2 5 2 3 2 2" xfId="10466"/>
    <cellStyle name="Saída 2 2 5 2 3 2 2 2" xfId="16728"/>
    <cellStyle name="Saída 2 2 5 2 3 2 2 2 2" xfId="30144"/>
    <cellStyle name="Saída 2 2 5 2 3 2 2 3" xfId="21473"/>
    <cellStyle name="Saída 2 2 5 2 3 2 3" xfId="14456"/>
    <cellStyle name="Saída 2 2 5 2 3 2 3 2" xfId="28778"/>
    <cellStyle name="Saída 2 2 5 2 3 2 4" xfId="20101"/>
    <cellStyle name="Saída 2 2 5 2 3 3" xfId="13195"/>
    <cellStyle name="Saída 2 2 5 2 3 3 2" xfId="27517"/>
    <cellStyle name="Saída 2 2 5 2 3 4" xfId="18840"/>
    <cellStyle name="Saída 2 2 5 2 4" xfId="5632"/>
    <cellStyle name="Saída 2 2 5 2 4 2" xfId="12185"/>
    <cellStyle name="Saída 2 2 5 2 4 2 2" xfId="26507"/>
    <cellStyle name="Saída 2 2 5 2 4 3" xfId="17830"/>
    <cellStyle name="Saída 2 2 5 2 5" xfId="3591"/>
    <cellStyle name="Saída 2 2 5 2 5 2" xfId="22477"/>
    <cellStyle name="Saída 2 2 5 2 6" xfId="3964"/>
    <cellStyle name="Saída 2 2 5 3" xfId="2500"/>
    <cellStyle name="Saída 2 2 5 3 2" xfId="2501"/>
    <cellStyle name="Saída 2 2 5 3 2 2" xfId="6867"/>
    <cellStyle name="Saída 2 2 5 3 2 2 2" xfId="13471"/>
    <cellStyle name="Saída 2 2 5 3 2 2 2 2" xfId="27793"/>
    <cellStyle name="Saída 2 2 5 3 2 2 3" xfId="19116"/>
    <cellStyle name="Saída 2 2 5 3 2 3" xfId="7330"/>
    <cellStyle name="Saída 2 2 5 3 2 3 2" xfId="9944"/>
    <cellStyle name="Saída 2 2 5 3 2 3 2 2" xfId="16206"/>
    <cellStyle name="Saída 2 2 5 3 2 3 2 2 2" xfId="29622"/>
    <cellStyle name="Saída 2 2 5 3 2 3 2 3" xfId="20951"/>
    <cellStyle name="Saída 2 2 5 3 2 3 3" xfId="13934"/>
    <cellStyle name="Saída 2 2 5 3 2 3 3 2" xfId="28256"/>
    <cellStyle name="Saída 2 2 5 3 2 3 4" xfId="19579"/>
    <cellStyle name="Saída 2 2 5 3 2 4" xfId="11328"/>
    <cellStyle name="Saída 2 2 5 3 2 4 2" xfId="25650"/>
    <cellStyle name="Saída 2 2 5 3 2 5" xfId="15449"/>
    <cellStyle name="Saída 2 2 5 3 3" xfId="2502"/>
    <cellStyle name="Saída 2 2 5 3 3 2" xfId="7315"/>
    <cellStyle name="Saída 2 2 5 3 3 2 2" xfId="9929"/>
    <cellStyle name="Saída 2 2 5 3 3 2 2 2" xfId="16191"/>
    <cellStyle name="Saída 2 2 5 3 3 2 2 2 2" xfId="29607"/>
    <cellStyle name="Saída 2 2 5 3 3 2 2 3" xfId="20936"/>
    <cellStyle name="Saída 2 2 5 3 3 2 3" xfId="13919"/>
    <cellStyle name="Saída 2 2 5 3 3 2 3 2" xfId="28241"/>
    <cellStyle name="Saída 2 2 5 3 3 2 4" xfId="19564"/>
    <cellStyle name="Saída 2 2 5 3 3 3" xfId="11672"/>
    <cellStyle name="Saída 2 2 5 3 3 3 2" xfId="25994"/>
    <cellStyle name="Saída 2 2 5 3 3 4" xfId="17113"/>
    <cellStyle name="Saída 2 2 5 3 4" xfId="5207"/>
    <cellStyle name="Saída 2 2 5 3 4 2" xfId="11756"/>
    <cellStyle name="Saída 2 2 5 3 4 2 2" xfId="26078"/>
    <cellStyle name="Saída 2 2 5 3 4 3" xfId="17401"/>
    <cellStyle name="Saída 2 2 5 3 5" xfId="4843"/>
    <cellStyle name="Saída 2 2 5 3 5 2" xfId="23217"/>
    <cellStyle name="Saída 2 2 5 3 6" xfId="14883"/>
    <cellStyle name="Saída 2 2 5 4" xfId="2503"/>
    <cellStyle name="Saída 2 2 5 4 2" xfId="6415"/>
    <cellStyle name="Saída 2 2 5 4 2 2" xfId="12998"/>
    <cellStyle name="Saída 2 2 5 4 2 2 2" xfId="27320"/>
    <cellStyle name="Saída 2 2 5 4 2 3" xfId="18643"/>
    <cellStyle name="Saída 2 2 5 4 3" xfId="7448"/>
    <cellStyle name="Saída 2 2 5 4 3 2" xfId="10062"/>
    <cellStyle name="Saída 2 2 5 4 3 2 2" xfId="16324"/>
    <cellStyle name="Saída 2 2 5 4 3 2 2 2" xfId="29740"/>
    <cellStyle name="Saída 2 2 5 4 3 2 3" xfId="21069"/>
    <cellStyle name="Saída 2 2 5 4 3 3" xfId="14052"/>
    <cellStyle name="Saída 2 2 5 4 3 3 2" xfId="28374"/>
    <cellStyle name="Saída 2 2 5 4 3 4" xfId="19697"/>
    <cellStyle name="Saída 2 2 5 4 4" xfId="3888"/>
    <cellStyle name="Saída 2 2 5 4 4 2" xfId="22628"/>
    <cellStyle name="Saída 2 2 5 4 5" xfId="6333"/>
    <cellStyle name="Saída 2 2 5 5" xfId="2504"/>
    <cellStyle name="Saída 2 2 5 5 2" xfId="7252"/>
    <cellStyle name="Saída 2 2 5 5 2 2" xfId="9866"/>
    <cellStyle name="Saída 2 2 5 5 2 2 2" xfId="16128"/>
    <cellStyle name="Saída 2 2 5 5 2 2 2 2" xfId="29544"/>
    <cellStyle name="Saída 2 2 5 5 2 2 3" xfId="20873"/>
    <cellStyle name="Saída 2 2 5 5 2 3" xfId="13856"/>
    <cellStyle name="Saída 2 2 5 5 2 3 2" xfId="28178"/>
    <cellStyle name="Saída 2 2 5 5 2 4" xfId="19501"/>
    <cellStyle name="Saída 2 2 5 5 3" xfId="12032"/>
    <cellStyle name="Saída 2 2 5 5 3 2" xfId="26354"/>
    <cellStyle name="Saída 2 2 5 5 4" xfId="17677"/>
    <cellStyle name="Saída 2 2 5 6" xfId="3267"/>
    <cellStyle name="Saída 2 2 5 6 2" xfId="3670"/>
    <cellStyle name="Saída 2 2 5 6 2 2" xfId="22516"/>
    <cellStyle name="Saída 2 2 5 6 3" xfId="15598"/>
    <cellStyle name="Saída 2 2 5 7" xfId="6775"/>
    <cellStyle name="Saída 2 2 5 7 2" xfId="23721"/>
    <cellStyle name="Saída 2 2 5 8" xfId="14752"/>
    <cellStyle name="Saída 2 2 6" xfId="2505"/>
    <cellStyle name="Saída 2 2 6 2" xfId="2506"/>
    <cellStyle name="Saída 2 2 6 2 2" xfId="2507"/>
    <cellStyle name="Saída 2 2 6 2 2 2" xfId="6157"/>
    <cellStyle name="Saída 2 2 6 2 2 2 2" xfId="12728"/>
    <cellStyle name="Saída 2 2 6 2 2 2 2 2" xfId="27050"/>
    <cellStyle name="Saída 2 2 6 2 2 2 3" xfId="18373"/>
    <cellStyle name="Saída 2 2 6 2 2 3" xfId="7791"/>
    <cellStyle name="Saída 2 2 6 2 2 3 2" xfId="10405"/>
    <cellStyle name="Saída 2 2 6 2 2 3 2 2" xfId="16667"/>
    <cellStyle name="Saída 2 2 6 2 2 3 2 2 2" xfId="30083"/>
    <cellStyle name="Saída 2 2 6 2 2 3 2 3" xfId="21412"/>
    <cellStyle name="Saída 2 2 6 2 2 3 3" xfId="14395"/>
    <cellStyle name="Saída 2 2 6 2 2 3 3 2" xfId="28717"/>
    <cellStyle name="Saída 2 2 6 2 2 3 4" xfId="20040"/>
    <cellStyle name="Saída 2 2 6 2 2 4" xfId="4407"/>
    <cellStyle name="Saída 2 2 6 2 2 4 2" xfId="22932"/>
    <cellStyle name="Saída 2 2 6 2 2 5" xfId="15508"/>
    <cellStyle name="Saída 2 2 6 2 3" xfId="2508"/>
    <cellStyle name="Saída 2 2 6 2 3 2" xfId="3708"/>
    <cellStyle name="Saída 2 2 6 2 3 2 2" xfId="9362"/>
    <cellStyle name="Saída 2 2 6 2 3 2 2 2" xfId="15624"/>
    <cellStyle name="Saída 2 2 6 2 3 2 2 2 2" xfId="29040"/>
    <cellStyle name="Saída 2 2 6 2 3 2 2 3" xfId="20369"/>
    <cellStyle name="Saída 2 2 6 2 3 2 3" xfId="4019"/>
    <cellStyle name="Saída 2 2 6 2 3 2 3 2" xfId="22704"/>
    <cellStyle name="Saída 2 2 6 2 3 2 4" xfId="17032"/>
    <cellStyle name="Saída 2 2 6 2 3 3" xfId="13390"/>
    <cellStyle name="Saída 2 2 6 2 3 3 2" xfId="27712"/>
    <cellStyle name="Saída 2 2 6 2 3 4" xfId="19035"/>
    <cellStyle name="Saída 2 2 6 2 4" xfId="5854"/>
    <cellStyle name="Saída 2 2 6 2 4 2" xfId="12407"/>
    <cellStyle name="Saída 2 2 6 2 4 2 2" xfId="26729"/>
    <cellStyle name="Saída 2 2 6 2 4 3" xfId="18052"/>
    <cellStyle name="Saída 2 2 6 2 5" xfId="3734"/>
    <cellStyle name="Saída 2 2 6 2 5 2" xfId="22553"/>
    <cellStyle name="Saída 2 2 6 2 6" xfId="14808"/>
    <cellStyle name="Saída 2 2 6 3" xfId="2509"/>
    <cellStyle name="Saída 2 2 6 3 2" xfId="6538"/>
    <cellStyle name="Saída 2 2 6 3 2 2" xfId="13126"/>
    <cellStyle name="Saída 2 2 6 3 2 2 2" xfId="27448"/>
    <cellStyle name="Saída 2 2 6 3 2 3" xfId="18771"/>
    <cellStyle name="Saída 2 2 6 3 3" xfId="4908"/>
    <cellStyle name="Saída 2 2 6 3 3 2" xfId="9511"/>
    <cellStyle name="Saída 2 2 6 3 3 2 2" xfId="15773"/>
    <cellStyle name="Saída 2 2 6 3 3 2 2 2" xfId="29189"/>
    <cellStyle name="Saída 2 2 6 3 3 2 3" xfId="20518"/>
    <cellStyle name="Saída 2 2 6 3 3 3" xfId="11445"/>
    <cellStyle name="Saída 2 2 6 3 3 3 2" xfId="25767"/>
    <cellStyle name="Saída 2 2 6 3 3 4" xfId="15074"/>
    <cellStyle name="Saída 2 2 6 3 4" xfId="5608"/>
    <cellStyle name="Saída 2 2 6 3 4 2" xfId="23357"/>
    <cellStyle name="Saída 2 2 6 3 5" xfId="17344"/>
    <cellStyle name="Saída 2 2 6 4" xfId="2510"/>
    <cellStyle name="Saída 2 2 6 4 2" xfId="5323"/>
    <cellStyle name="Saída 2 2 6 4 2 2" xfId="9632"/>
    <cellStyle name="Saída 2 2 6 4 2 2 2" xfId="15894"/>
    <cellStyle name="Saída 2 2 6 4 2 2 2 2" xfId="29310"/>
    <cellStyle name="Saída 2 2 6 4 2 2 3" xfId="20639"/>
    <cellStyle name="Saída 2 2 6 4 2 3" xfId="11873"/>
    <cellStyle name="Saída 2 2 6 4 2 3 2" xfId="26195"/>
    <cellStyle name="Saída 2 2 6 4 2 4" xfId="17518"/>
    <cellStyle name="Saída 2 2 6 4 3" xfId="12902"/>
    <cellStyle name="Saída 2 2 6 4 3 2" xfId="27224"/>
    <cellStyle name="Saída 2 2 6 4 4" xfId="18547"/>
    <cellStyle name="Saída 2 2 6 5" xfId="5526"/>
    <cellStyle name="Saída 2 2 6 5 2" xfId="12077"/>
    <cellStyle name="Saída 2 2 6 5 2 2" xfId="26399"/>
    <cellStyle name="Saída 2 2 6 5 3" xfId="17722"/>
    <cellStyle name="Saída 2 2 6 6" xfId="4669"/>
    <cellStyle name="Saída 2 2 6 6 2" xfId="23108"/>
    <cellStyle name="Saída 2 2 6 7" xfId="4323"/>
    <cellStyle name="Saída 2 2 7" xfId="2511"/>
    <cellStyle name="Saída 2 2 7 2" xfId="2512"/>
    <cellStyle name="Saída 2 2 7 2 2" xfId="6063"/>
    <cellStyle name="Saída 2 2 7 2 2 2" xfId="12629"/>
    <cellStyle name="Saída 2 2 7 2 2 2 2" xfId="26951"/>
    <cellStyle name="Saída 2 2 7 2 2 3" xfId="18274"/>
    <cellStyle name="Saída 2 2 7 2 3" xfId="7897"/>
    <cellStyle name="Saída 2 2 7 2 3 2" xfId="10511"/>
    <cellStyle name="Saída 2 2 7 2 3 2 2" xfId="16773"/>
    <cellStyle name="Saída 2 2 7 2 3 2 2 2" xfId="30189"/>
    <cellStyle name="Saída 2 2 7 2 3 2 3" xfId="21518"/>
    <cellStyle name="Saída 2 2 7 2 3 3" xfId="14501"/>
    <cellStyle name="Saída 2 2 7 2 3 3 2" xfId="28823"/>
    <cellStyle name="Saída 2 2 7 2 3 4" xfId="20146"/>
    <cellStyle name="Saída 2 2 7 2 4" xfId="6740"/>
    <cellStyle name="Saída 2 2 7 2 4 2" xfId="23689"/>
    <cellStyle name="Saída 2 2 7 2 5" xfId="6739"/>
    <cellStyle name="Saída 2 2 7 3" xfId="2513"/>
    <cellStyle name="Saída 2 2 7 3 2" xfId="8007"/>
    <cellStyle name="Saída 2 2 7 3 2 2" xfId="10621"/>
    <cellStyle name="Saída 2 2 7 3 2 2 2" xfId="16883"/>
    <cellStyle name="Saída 2 2 7 3 2 2 2 2" xfId="30299"/>
    <cellStyle name="Saída 2 2 7 3 2 2 3" xfId="21628"/>
    <cellStyle name="Saída 2 2 7 3 2 3" xfId="14611"/>
    <cellStyle name="Saída 2 2 7 3 2 3 2" xfId="28933"/>
    <cellStyle name="Saída 2 2 7 3 2 4" xfId="20256"/>
    <cellStyle name="Saída 2 2 7 3 3" xfId="13381"/>
    <cellStyle name="Saída 2 2 7 3 3 2" xfId="27703"/>
    <cellStyle name="Saída 2 2 7 3 4" xfId="19026"/>
    <cellStyle name="Saída 2 2 7 4" xfId="5840"/>
    <cellStyle name="Saída 2 2 7 4 2" xfId="12393"/>
    <cellStyle name="Saída 2 2 7 4 2 2" xfId="26715"/>
    <cellStyle name="Saída 2 2 7 4 3" xfId="18038"/>
    <cellStyle name="Saída 2 2 7 5" xfId="6184"/>
    <cellStyle name="Saída 2 2 7 5 2" xfId="23449"/>
    <cellStyle name="Saída 2 2 7 6" xfId="17135"/>
    <cellStyle name="Saída 2 2 8" xfId="2514"/>
    <cellStyle name="Saída 2 2 8 2" xfId="6434"/>
    <cellStyle name="Saída 2 2 8 2 2" xfId="13017"/>
    <cellStyle name="Saída 2 2 8 2 2 2" xfId="27339"/>
    <cellStyle name="Saída 2 2 8 2 3" xfId="18662"/>
    <cellStyle name="Saída 2 2 8 3" xfId="5288"/>
    <cellStyle name="Saída 2 2 8 3 2" xfId="9597"/>
    <cellStyle name="Saída 2 2 8 3 2 2" xfId="15859"/>
    <cellStyle name="Saída 2 2 8 3 2 2 2" xfId="29275"/>
    <cellStyle name="Saída 2 2 8 3 2 3" xfId="20604"/>
    <cellStyle name="Saída 2 2 8 3 3" xfId="11838"/>
    <cellStyle name="Saída 2 2 8 3 3 2" xfId="26160"/>
    <cellStyle name="Saída 2 2 8 3 4" xfId="17483"/>
    <cellStyle name="Saída 2 2 8 4" xfId="3687"/>
    <cellStyle name="Saída 2 2 8 4 2" xfId="22529"/>
    <cellStyle name="Saída 2 2 8 5" xfId="6324"/>
    <cellStyle name="Saída 2 2 9" xfId="2515"/>
    <cellStyle name="Saída 2 2 9 2" xfId="8033"/>
    <cellStyle name="Saída 2 2 9 2 2" xfId="10647"/>
    <cellStyle name="Saída 2 2 9 2 2 2" xfId="16909"/>
    <cellStyle name="Saída 2 2 9 2 2 2 2" xfId="30325"/>
    <cellStyle name="Saída 2 2 9 2 2 3" xfId="21654"/>
    <cellStyle name="Saída 2 2 9 2 3" xfId="14637"/>
    <cellStyle name="Saída 2 2 9 2 3 2" xfId="28959"/>
    <cellStyle name="Saída 2 2 9 2 4" xfId="20282"/>
    <cellStyle name="Saída 2 2 9 3" xfId="12726"/>
    <cellStyle name="Saída 2 2 9 3 2" xfId="27048"/>
    <cellStyle name="Saída 2 2 9 4" xfId="18371"/>
    <cellStyle name="Saída 2 3" xfId="2516"/>
    <cellStyle name="Saída 2 3 10" xfId="6657"/>
    <cellStyle name="Saída 2 3 10 2" xfId="23633"/>
    <cellStyle name="Saída 2 3 11" xfId="16992"/>
    <cellStyle name="Saída 2 3 2" xfId="2517"/>
    <cellStyle name="Saída 2 3 2 2" xfId="2518"/>
    <cellStyle name="Saída 2 3 2 2 2" xfId="2519"/>
    <cellStyle name="Saída 2 3 2 2 2 2" xfId="6221"/>
    <cellStyle name="Saída 2 3 2 2 2 2 2" xfId="12796"/>
    <cellStyle name="Saída 2 3 2 2 2 2 2 2" xfId="27118"/>
    <cellStyle name="Saída 2 3 2 2 2 2 3" xfId="18441"/>
    <cellStyle name="Saída 2 3 2 2 2 3" xfId="7419"/>
    <cellStyle name="Saída 2 3 2 2 2 3 2" xfId="10033"/>
    <cellStyle name="Saída 2 3 2 2 2 3 2 2" xfId="16295"/>
    <cellStyle name="Saída 2 3 2 2 2 3 2 2 2" xfId="29711"/>
    <cellStyle name="Saída 2 3 2 2 2 3 2 3" xfId="21040"/>
    <cellStyle name="Saída 2 3 2 2 2 3 3" xfId="14023"/>
    <cellStyle name="Saída 2 3 2 2 2 3 3 2" xfId="28345"/>
    <cellStyle name="Saída 2 3 2 2 2 3 4" xfId="19668"/>
    <cellStyle name="Saída 2 3 2 2 2 4" xfId="6178"/>
    <cellStyle name="Saída 2 3 2 2 2 4 2" xfId="23444"/>
    <cellStyle name="Saída 2 3 2 2 2 5" xfId="14871"/>
    <cellStyle name="Saída 2 3 2 2 3" xfId="2520"/>
    <cellStyle name="Saída 2 3 2 2 3 2" xfId="8039"/>
    <cellStyle name="Saída 2 3 2 2 3 2 2" xfId="10653"/>
    <cellStyle name="Saída 2 3 2 2 3 2 2 2" xfId="16915"/>
    <cellStyle name="Saída 2 3 2 2 3 2 2 2 2" xfId="30331"/>
    <cellStyle name="Saída 2 3 2 2 3 2 2 3" xfId="21660"/>
    <cellStyle name="Saída 2 3 2 2 3 2 3" xfId="14643"/>
    <cellStyle name="Saída 2 3 2 2 3 2 3 2" xfId="28965"/>
    <cellStyle name="Saída 2 3 2 2 3 2 4" xfId="20288"/>
    <cellStyle name="Saída 2 3 2 2 3 3" xfId="13298"/>
    <cellStyle name="Saída 2 3 2 2 3 3 2" xfId="27620"/>
    <cellStyle name="Saída 2 3 2 2 3 4" xfId="18943"/>
    <cellStyle name="Saída 2 3 2 2 4" xfId="5748"/>
    <cellStyle name="Saída 2 3 2 2 4 2" xfId="12301"/>
    <cellStyle name="Saída 2 3 2 2 4 2 2" xfId="26623"/>
    <cellStyle name="Saída 2 3 2 2 4 3" xfId="17946"/>
    <cellStyle name="Saída 2 3 2 2 5" xfId="3988"/>
    <cellStyle name="Saída 2 3 2 2 5 2" xfId="22687"/>
    <cellStyle name="Saída 2 3 2 2 6" xfId="15554"/>
    <cellStyle name="Saída 2 3 2 3" xfId="2521"/>
    <cellStyle name="Saída 2 3 2 3 2" xfId="2522"/>
    <cellStyle name="Saída 2 3 2 3 2 2" xfId="6532"/>
    <cellStyle name="Saída 2 3 2 3 2 2 2" xfId="13120"/>
    <cellStyle name="Saída 2 3 2 3 2 2 2 2" xfId="27442"/>
    <cellStyle name="Saída 2 3 2 3 2 2 3" xfId="18765"/>
    <cellStyle name="Saída 2 3 2 3 2 3" xfId="7236"/>
    <cellStyle name="Saída 2 3 2 3 2 3 2" xfId="9850"/>
    <cellStyle name="Saída 2 3 2 3 2 3 2 2" xfId="16112"/>
    <cellStyle name="Saída 2 3 2 3 2 3 2 2 2" xfId="29528"/>
    <cellStyle name="Saída 2 3 2 3 2 3 2 3" xfId="20857"/>
    <cellStyle name="Saída 2 3 2 3 2 3 3" xfId="13840"/>
    <cellStyle name="Saída 2 3 2 3 2 3 3 2" xfId="28162"/>
    <cellStyle name="Saída 2 3 2 3 2 3 4" xfId="19485"/>
    <cellStyle name="Saída 2 3 2 3 2 4" xfId="6603"/>
    <cellStyle name="Saída 2 3 2 3 2 4 2" xfId="23597"/>
    <cellStyle name="Saída 2 3 2 3 2 5" xfId="17023"/>
    <cellStyle name="Saída 2 3 2 3 3" xfId="2523"/>
    <cellStyle name="Saída 2 3 2 3 3 2" xfId="3621"/>
    <cellStyle name="Saída 2 3 2 3 3 2 2" xfId="9345"/>
    <cellStyle name="Saída 2 3 2 3 3 2 2 2" xfId="15607"/>
    <cellStyle name="Saída 2 3 2 3 3 2 2 2 2" xfId="29023"/>
    <cellStyle name="Saída 2 3 2 3 3 2 2 3" xfId="20352"/>
    <cellStyle name="Saída 2 3 2 3 3 2 3" xfId="6362"/>
    <cellStyle name="Saída 2 3 2 3 3 2 3 2" xfId="23546"/>
    <cellStyle name="Saída 2 3 2 3 3 2 4" xfId="3996"/>
    <cellStyle name="Saída 2 3 2 3 3 3" xfId="13427"/>
    <cellStyle name="Saída 2 3 2 3 3 3 2" xfId="27749"/>
    <cellStyle name="Saída 2 3 2 3 3 4" xfId="19072"/>
    <cellStyle name="Saída 2 3 2 3 4" xfId="5902"/>
    <cellStyle name="Saída 2 3 2 3 4 2" xfId="12456"/>
    <cellStyle name="Saída 2 3 2 3 4 2 2" xfId="26778"/>
    <cellStyle name="Saída 2 3 2 3 4 3" xfId="18101"/>
    <cellStyle name="Saída 2 3 2 3 5" xfId="2823"/>
    <cellStyle name="Saída 2 3 2 3 5 2" xfId="22386"/>
    <cellStyle name="Saída 2 3 2 3 6" xfId="15537"/>
    <cellStyle name="Saída 2 3 2 4" xfId="2524"/>
    <cellStyle name="Saída 2 3 2 4 2" xfId="7022"/>
    <cellStyle name="Saída 2 3 2 4 2 2" xfId="13626"/>
    <cellStyle name="Saída 2 3 2 4 2 2 2" xfId="27948"/>
    <cellStyle name="Saída 2 3 2 4 2 3" xfId="19271"/>
    <cellStyle name="Saída 2 3 2 4 3" xfId="5325"/>
    <cellStyle name="Saída 2 3 2 4 3 2" xfId="9634"/>
    <cellStyle name="Saída 2 3 2 4 3 2 2" xfId="15896"/>
    <cellStyle name="Saída 2 3 2 4 3 2 2 2" xfId="29312"/>
    <cellStyle name="Saída 2 3 2 4 3 2 3" xfId="20641"/>
    <cellStyle name="Saída 2 3 2 4 3 3" xfId="11875"/>
    <cellStyle name="Saída 2 3 2 4 3 3 2" xfId="26197"/>
    <cellStyle name="Saída 2 3 2 4 3 4" xfId="17520"/>
    <cellStyle name="Saída 2 3 2 4 4" xfId="11555"/>
    <cellStyle name="Saída 2 3 2 4 4 2" xfId="25877"/>
    <cellStyle name="Saída 2 3 2 4 5" xfId="17379"/>
    <cellStyle name="Saída 2 3 2 5" xfId="2525"/>
    <cellStyle name="Saída 2 3 2 5 2" xfId="7930"/>
    <cellStyle name="Saída 2 3 2 5 2 2" xfId="10544"/>
    <cellStyle name="Saída 2 3 2 5 2 2 2" xfId="16806"/>
    <cellStyle name="Saída 2 3 2 5 2 2 2 2" xfId="30222"/>
    <cellStyle name="Saída 2 3 2 5 2 2 3" xfId="21551"/>
    <cellStyle name="Saída 2 3 2 5 2 3" xfId="14534"/>
    <cellStyle name="Saída 2 3 2 5 2 3 2" xfId="28856"/>
    <cellStyle name="Saída 2 3 2 5 2 4" xfId="20179"/>
    <cellStyle name="Saída 2 3 2 5 3" xfId="12874"/>
    <cellStyle name="Saída 2 3 2 5 3 2" xfId="27196"/>
    <cellStyle name="Saída 2 3 2 5 4" xfId="18519"/>
    <cellStyle name="Saída 2 3 2 6" xfId="5492"/>
    <cellStyle name="Saída 2 3 2 6 2" xfId="12043"/>
    <cellStyle name="Saída 2 3 2 6 2 2" xfId="26365"/>
    <cellStyle name="Saída 2 3 2 6 3" xfId="17688"/>
    <cellStyle name="Saída 2 3 2 7" xfId="4022"/>
    <cellStyle name="Saída 2 3 2 7 2" xfId="22706"/>
    <cellStyle name="Saída 2 3 2 8" xfId="3711"/>
    <cellStyle name="Saída 2 3 3" xfId="2526"/>
    <cellStyle name="Saída 2 3 3 2" xfId="2527"/>
    <cellStyle name="Saída 2 3 3 2 2" xfId="2528"/>
    <cellStyle name="Saída 2 3 3 2 2 2" xfId="6875"/>
    <cellStyle name="Saída 2 3 3 2 2 2 2" xfId="13479"/>
    <cellStyle name="Saída 2 3 3 2 2 2 2 2" xfId="27801"/>
    <cellStyle name="Saída 2 3 3 2 2 2 3" xfId="19124"/>
    <cellStyle name="Saída 2 3 3 2 2 3" xfId="7957"/>
    <cellStyle name="Saída 2 3 3 2 2 3 2" xfId="10571"/>
    <cellStyle name="Saída 2 3 3 2 2 3 2 2" xfId="16833"/>
    <cellStyle name="Saída 2 3 3 2 2 3 2 2 2" xfId="30249"/>
    <cellStyle name="Saída 2 3 3 2 2 3 2 3" xfId="21578"/>
    <cellStyle name="Saída 2 3 3 2 2 3 3" xfId="14561"/>
    <cellStyle name="Saída 2 3 3 2 2 3 3 2" xfId="28883"/>
    <cellStyle name="Saída 2 3 3 2 2 3 4" xfId="20206"/>
    <cellStyle name="Saída 2 3 3 2 2 4" xfId="11343"/>
    <cellStyle name="Saída 2 3 3 2 2 4 2" xfId="25665"/>
    <cellStyle name="Saída 2 3 3 2 2 5" xfId="14715"/>
    <cellStyle name="Saída 2 3 3 2 3" xfId="2529"/>
    <cellStyle name="Saída 2 3 3 2 3 2" xfId="7994"/>
    <cellStyle name="Saída 2 3 3 2 3 2 2" xfId="10608"/>
    <cellStyle name="Saída 2 3 3 2 3 2 2 2" xfId="16870"/>
    <cellStyle name="Saída 2 3 3 2 3 2 2 2 2" xfId="30286"/>
    <cellStyle name="Saída 2 3 3 2 3 2 2 3" xfId="21615"/>
    <cellStyle name="Saída 2 3 3 2 3 2 3" xfId="14598"/>
    <cellStyle name="Saída 2 3 3 2 3 2 3 2" xfId="28920"/>
    <cellStyle name="Saída 2 3 3 2 3 2 4" xfId="20243"/>
    <cellStyle name="Saída 2 3 3 2 3 3" xfId="13334"/>
    <cellStyle name="Saída 2 3 3 2 3 3 2" xfId="27656"/>
    <cellStyle name="Saída 2 3 3 2 3 4" xfId="18979"/>
    <cellStyle name="Saída 2 3 3 2 4" xfId="5784"/>
    <cellStyle name="Saída 2 3 3 2 4 2" xfId="12337"/>
    <cellStyle name="Saída 2 3 3 2 4 2 2" xfId="26659"/>
    <cellStyle name="Saída 2 3 3 2 4 3" xfId="17982"/>
    <cellStyle name="Saída 2 3 3 2 5" xfId="3746"/>
    <cellStyle name="Saída 2 3 3 2 5 2" xfId="22560"/>
    <cellStyle name="Saída 2 3 3 2 6" xfId="16949"/>
    <cellStyle name="Saída 2 3 3 3" xfId="2530"/>
    <cellStyle name="Saída 2 3 3 3 2" xfId="2531"/>
    <cellStyle name="Saída 2 3 3 3 2 2" xfId="5118"/>
    <cellStyle name="Saída 2 3 3 3 2 2 2" xfId="11666"/>
    <cellStyle name="Saída 2 3 3 3 2 2 2 2" xfId="25988"/>
    <cellStyle name="Saída 2 3 3 3 2 2 3" xfId="4508"/>
    <cellStyle name="Saída 2 3 3 3 2 3" xfId="7114"/>
    <cellStyle name="Saída 2 3 3 3 2 3 2" xfId="9728"/>
    <cellStyle name="Saída 2 3 3 3 2 3 2 2" xfId="15990"/>
    <cellStyle name="Saída 2 3 3 3 2 3 2 2 2" xfId="29406"/>
    <cellStyle name="Saída 2 3 3 3 2 3 2 3" xfId="20735"/>
    <cellStyle name="Saída 2 3 3 3 2 3 3" xfId="13718"/>
    <cellStyle name="Saída 2 3 3 3 2 3 3 2" xfId="28040"/>
    <cellStyle name="Saída 2 3 3 3 2 3 4" xfId="19363"/>
    <cellStyle name="Saída 2 3 3 3 2 4" xfId="4485"/>
    <cellStyle name="Saída 2 3 3 3 2 4 2" xfId="22982"/>
    <cellStyle name="Saída 2 3 3 3 2 5" xfId="5871"/>
    <cellStyle name="Saída 2 3 3 3 3" xfId="2532"/>
    <cellStyle name="Saída 2 3 3 3 3 2" xfId="4919"/>
    <cellStyle name="Saída 2 3 3 3 3 2 2" xfId="9514"/>
    <cellStyle name="Saída 2 3 3 3 3 2 2 2" xfId="15776"/>
    <cellStyle name="Saída 2 3 3 3 3 2 2 2 2" xfId="29192"/>
    <cellStyle name="Saída 2 3 3 3 3 2 2 3" xfId="20521"/>
    <cellStyle name="Saída 2 3 3 3 3 2 3" xfId="11456"/>
    <cellStyle name="Saída 2 3 3 3 3 2 3 2" xfId="25778"/>
    <cellStyle name="Saída 2 3 3 3 3 2 4" xfId="15201"/>
    <cellStyle name="Saída 2 3 3 3 3 3" xfId="13417"/>
    <cellStyle name="Saída 2 3 3 3 3 3 2" xfId="27739"/>
    <cellStyle name="Saída 2 3 3 3 3 4" xfId="19062"/>
    <cellStyle name="Saída 2 3 3 3 4" xfId="5887"/>
    <cellStyle name="Saída 2 3 3 3 4 2" xfId="12440"/>
    <cellStyle name="Saída 2 3 3 3 4 2 2" xfId="26762"/>
    <cellStyle name="Saída 2 3 3 3 4 3" xfId="18085"/>
    <cellStyle name="Saída 2 3 3 3 5" xfId="4642"/>
    <cellStyle name="Saída 2 3 3 3 5 2" xfId="23086"/>
    <cellStyle name="Saída 2 3 3 3 6" xfId="17012"/>
    <cellStyle name="Saída 2 3 3 4" xfId="2533"/>
    <cellStyle name="Saída 2 3 3 4 2" xfId="6035"/>
    <cellStyle name="Saída 2 3 3 4 2 2" xfId="12596"/>
    <cellStyle name="Saída 2 3 3 4 2 2 2" xfId="26918"/>
    <cellStyle name="Saída 2 3 3 4 2 3" xfId="18241"/>
    <cellStyle name="Saída 2 3 3 4 3" xfId="7945"/>
    <cellStyle name="Saída 2 3 3 4 3 2" xfId="10559"/>
    <cellStyle name="Saída 2 3 3 4 3 2 2" xfId="16821"/>
    <cellStyle name="Saída 2 3 3 4 3 2 2 2" xfId="30237"/>
    <cellStyle name="Saída 2 3 3 4 3 2 3" xfId="21566"/>
    <cellStyle name="Saída 2 3 3 4 3 3" xfId="14549"/>
    <cellStyle name="Saída 2 3 3 4 3 3 2" xfId="28871"/>
    <cellStyle name="Saída 2 3 3 4 3 4" xfId="20194"/>
    <cellStyle name="Saída 2 3 3 4 4" xfId="6781"/>
    <cellStyle name="Saída 2 3 3 4 4 2" xfId="23726"/>
    <cellStyle name="Saída 2 3 3 4 5" xfId="14786"/>
    <cellStyle name="Saída 2 3 3 5" xfId="2534"/>
    <cellStyle name="Saída 2 3 3 5 2" xfId="7416"/>
    <cellStyle name="Saída 2 3 3 5 2 2" xfId="10030"/>
    <cellStyle name="Saída 2 3 3 5 2 2 2" xfId="16292"/>
    <cellStyle name="Saída 2 3 3 5 2 2 2 2" xfId="29708"/>
    <cellStyle name="Saída 2 3 3 5 2 2 3" xfId="21037"/>
    <cellStyle name="Saída 2 3 3 5 2 3" xfId="14020"/>
    <cellStyle name="Saída 2 3 3 5 2 3 2" xfId="28342"/>
    <cellStyle name="Saída 2 3 3 5 2 4" xfId="19665"/>
    <cellStyle name="Saída 2 3 3 5 3" xfId="12910"/>
    <cellStyle name="Saída 2 3 3 5 3 2" xfId="27232"/>
    <cellStyle name="Saída 2 3 3 5 4" xfId="18555"/>
    <cellStyle name="Saída 2 3 3 6" xfId="5534"/>
    <cellStyle name="Saída 2 3 3 6 2" xfId="12085"/>
    <cellStyle name="Saída 2 3 3 6 2 2" xfId="26407"/>
    <cellStyle name="Saída 2 3 3 6 3" xfId="17730"/>
    <cellStyle name="Saída 2 3 3 7" xfId="4898"/>
    <cellStyle name="Saída 2 3 3 7 2" xfId="23254"/>
    <cellStyle name="Saída 2 3 3 8" xfId="14725"/>
    <cellStyle name="Saída 2 3 4" xfId="2535"/>
    <cellStyle name="Saída 2 3 4 2" xfId="2536"/>
    <cellStyle name="Saída 2 3 4 2 2" xfId="2537"/>
    <cellStyle name="Saída 2 3 4 2 2 2" xfId="6958"/>
    <cellStyle name="Saída 2 3 4 2 2 2 2" xfId="13562"/>
    <cellStyle name="Saída 2 3 4 2 2 2 2 2" xfId="27884"/>
    <cellStyle name="Saída 2 3 4 2 2 2 3" xfId="19207"/>
    <cellStyle name="Saída 2 3 4 2 2 3" xfId="7708"/>
    <cellStyle name="Saída 2 3 4 2 2 3 2" xfId="10322"/>
    <cellStyle name="Saída 2 3 4 2 2 3 2 2" xfId="16584"/>
    <cellStyle name="Saída 2 3 4 2 2 3 2 2 2" xfId="30000"/>
    <cellStyle name="Saída 2 3 4 2 2 3 2 3" xfId="21329"/>
    <cellStyle name="Saída 2 3 4 2 2 3 3" xfId="14312"/>
    <cellStyle name="Saída 2 3 4 2 2 3 3 2" xfId="28634"/>
    <cellStyle name="Saída 2 3 4 2 2 3 4" xfId="19957"/>
    <cellStyle name="Saída 2 3 4 2 2 4" xfId="11459"/>
    <cellStyle name="Saída 2 3 4 2 2 4 2" xfId="25781"/>
    <cellStyle name="Saída 2 3 4 2 2 5" xfId="15464"/>
    <cellStyle name="Saída 2 3 4 2 3" xfId="2538"/>
    <cellStyle name="Saída 2 3 4 2 3 2" xfId="7799"/>
    <cellStyle name="Saída 2 3 4 2 3 2 2" xfId="10413"/>
    <cellStyle name="Saída 2 3 4 2 3 2 2 2" xfId="16675"/>
    <cellStyle name="Saída 2 3 4 2 3 2 2 2 2" xfId="30091"/>
    <cellStyle name="Saída 2 3 4 2 3 2 2 3" xfId="21420"/>
    <cellStyle name="Saída 2 3 4 2 3 2 3" xfId="14403"/>
    <cellStyle name="Saída 2 3 4 2 3 2 3 2" xfId="28725"/>
    <cellStyle name="Saída 2 3 4 2 3 2 4" xfId="20048"/>
    <cellStyle name="Saída 2 3 4 2 3 3" xfId="13275"/>
    <cellStyle name="Saída 2 3 4 2 3 3 2" xfId="27597"/>
    <cellStyle name="Saída 2 3 4 2 3 4" xfId="18920"/>
    <cellStyle name="Saída 2 3 4 2 4" xfId="5722"/>
    <cellStyle name="Saída 2 3 4 2 4 2" xfId="12275"/>
    <cellStyle name="Saída 2 3 4 2 4 2 2" xfId="26597"/>
    <cellStyle name="Saída 2 3 4 2 4 3" xfId="17920"/>
    <cellStyle name="Saída 2 3 4 2 5" xfId="3196"/>
    <cellStyle name="Saída 2 3 4 2 5 2" xfId="22437"/>
    <cellStyle name="Saída 2 3 4 2 6" xfId="15312"/>
    <cellStyle name="Saída 2 3 4 3" xfId="2539"/>
    <cellStyle name="Saída 2 3 4 3 2" xfId="2540"/>
    <cellStyle name="Saída 2 3 4 3 2 2" xfId="6387"/>
    <cellStyle name="Saída 2 3 4 3 2 2 2" xfId="12970"/>
    <cellStyle name="Saída 2 3 4 3 2 2 2 2" xfId="27292"/>
    <cellStyle name="Saída 2 3 4 3 2 2 3" xfId="18615"/>
    <cellStyle name="Saída 2 3 4 3 2 3" xfId="7232"/>
    <cellStyle name="Saída 2 3 4 3 2 3 2" xfId="9846"/>
    <cellStyle name="Saída 2 3 4 3 2 3 2 2" xfId="16108"/>
    <cellStyle name="Saída 2 3 4 3 2 3 2 2 2" xfId="29524"/>
    <cellStyle name="Saída 2 3 4 3 2 3 2 3" xfId="20853"/>
    <cellStyle name="Saída 2 3 4 3 2 3 3" xfId="13836"/>
    <cellStyle name="Saída 2 3 4 3 2 3 3 2" xfId="28158"/>
    <cellStyle name="Saída 2 3 4 3 2 3 4" xfId="19481"/>
    <cellStyle name="Saída 2 3 4 3 2 4" xfId="6772"/>
    <cellStyle name="Saída 2 3 4 3 2 4 2" xfId="23718"/>
    <cellStyle name="Saída 2 3 4 3 2 5" xfId="15298"/>
    <cellStyle name="Saída 2 3 4 3 3" xfId="2541"/>
    <cellStyle name="Saída 2 3 4 3 3 2" xfId="7182"/>
    <cellStyle name="Saída 2 3 4 3 3 2 2" xfId="9796"/>
    <cellStyle name="Saída 2 3 4 3 3 2 2 2" xfId="16058"/>
    <cellStyle name="Saída 2 3 4 3 3 2 2 2 2" xfId="29474"/>
    <cellStyle name="Saída 2 3 4 3 3 2 2 3" xfId="20803"/>
    <cellStyle name="Saída 2 3 4 3 3 2 3" xfId="13786"/>
    <cellStyle name="Saída 2 3 4 3 3 2 3 2" xfId="28108"/>
    <cellStyle name="Saída 2 3 4 3 3 2 4" xfId="19431"/>
    <cellStyle name="Saída 2 3 4 3 3 3" xfId="13113"/>
    <cellStyle name="Saída 2 3 4 3 3 3 2" xfId="27435"/>
    <cellStyle name="Saída 2 3 4 3 3 4" xfId="18758"/>
    <cellStyle name="Saída 2 3 4 3 4" xfId="5479"/>
    <cellStyle name="Saída 2 3 4 3 4 2" xfId="12030"/>
    <cellStyle name="Saída 2 3 4 3 4 2 2" xfId="26352"/>
    <cellStyle name="Saída 2 3 4 3 4 3" xfId="17675"/>
    <cellStyle name="Saída 2 3 4 3 5" xfId="2832"/>
    <cellStyle name="Saída 2 3 4 3 5 2" xfId="22395"/>
    <cellStyle name="Saída 2 3 4 3 6" xfId="15096"/>
    <cellStyle name="Saída 2 3 4 4" xfId="2542"/>
    <cellStyle name="Saída 2 3 4 4 2" xfId="6998"/>
    <cellStyle name="Saída 2 3 4 4 2 2" xfId="13602"/>
    <cellStyle name="Saída 2 3 4 4 2 2 2" xfId="27924"/>
    <cellStyle name="Saída 2 3 4 4 2 3" xfId="19247"/>
    <cellStyle name="Saída 2 3 4 4 3" xfId="5017"/>
    <cellStyle name="Saída 2 3 4 4 3 2" xfId="9544"/>
    <cellStyle name="Saída 2 3 4 4 3 2 2" xfId="15806"/>
    <cellStyle name="Saída 2 3 4 4 3 2 2 2" xfId="29222"/>
    <cellStyle name="Saída 2 3 4 4 3 2 3" xfId="20551"/>
    <cellStyle name="Saída 2 3 4 4 3 3" xfId="11563"/>
    <cellStyle name="Saída 2 3 4 4 3 3 2" xfId="25885"/>
    <cellStyle name="Saída 2 3 4 4 3 4" xfId="14682"/>
    <cellStyle name="Saída 2 3 4 4 4" xfId="11513"/>
    <cellStyle name="Saída 2 3 4 4 4 2" xfId="25835"/>
    <cellStyle name="Saída 2 3 4 4 5" xfId="15091"/>
    <cellStyle name="Saída 2 3 4 5" xfId="2543"/>
    <cellStyle name="Saída 2 3 4 5 2" xfId="7042"/>
    <cellStyle name="Saída 2 3 4 5 2 2" xfId="9656"/>
    <cellStyle name="Saída 2 3 4 5 2 2 2" xfId="15918"/>
    <cellStyle name="Saída 2 3 4 5 2 2 2 2" xfId="29334"/>
    <cellStyle name="Saída 2 3 4 5 2 2 3" xfId="20663"/>
    <cellStyle name="Saída 2 3 4 5 2 3" xfId="13646"/>
    <cellStyle name="Saída 2 3 4 5 2 3 2" xfId="27968"/>
    <cellStyle name="Saída 2 3 4 5 2 4" xfId="19291"/>
    <cellStyle name="Saída 2 3 4 5 3" xfId="12835"/>
    <cellStyle name="Saída 2 3 4 5 3 2" xfId="27157"/>
    <cellStyle name="Saída 2 3 4 5 4" xfId="18480"/>
    <cellStyle name="Saída 2 3 4 6" xfId="5407"/>
    <cellStyle name="Saída 2 3 4 6 2" xfId="11957"/>
    <cellStyle name="Saída 2 3 4 6 2 2" xfId="26279"/>
    <cellStyle name="Saída 2 3 4 6 3" xfId="17602"/>
    <cellStyle name="Saída 2 3 4 7" xfId="2789"/>
    <cellStyle name="Saída 2 3 4 7 2" xfId="22357"/>
    <cellStyle name="Saída 2 3 4 8" xfId="14823"/>
    <cellStyle name="Saída 2 3 5" xfId="2544"/>
    <cellStyle name="Saída 2 3 5 2" xfId="2545"/>
    <cellStyle name="Saída 2 3 5 2 2" xfId="2546"/>
    <cellStyle name="Saída 2 3 5 2 2 2" xfId="5915"/>
    <cellStyle name="Saída 2 3 5 2 2 2 2" xfId="12470"/>
    <cellStyle name="Saída 2 3 5 2 2 2 2 2" xfId="26792"/>
    <cellStyle name="Saída 2 3 5 2 2 2 3" xfId="18115"/>
    <cellStyle name="Saída 2 3 5 2 2 3" xfId="7447"/>
    <cellStyle name="Saída 2 3 5 2 2 3 2" xfId="10061"/>
    <cellStyle name="Saída 2 3 5 2 2 3 2 2" xfId="16323"/>
    <cellStyle name="Saída 2 3 5 2 2 3 2 2 2" xfId="29739"/>
    <cellStyle name="Saída 2 3 5 2 2 3 2 3" xfId="21068"/>
    <cellStyle name="Saída 2 3 5 2 2 3 3" xfId="14051"/>
    <cellStyle name="Saída 2 3 5 2 2 3 3 2" xfId="28373"/>
    <cellStyle name="Saída 2 3 5 2 2 3 4" xfId="19696"/>
    <cellStyle name="Saída 2 3 5 2 2 4" xfId="4896"/>
    <cellStyle name="Saída 2 3 5 2 2 4 2" xfId="23253"/>
    <cellStyle name="Saída 2 3 5 2 2 5" xfId="6683"/>
    <cellStyle name="Saída 2 3 5 2 3" xfId="2547"/>
    <cellStyle name="Saída 2 3 5 2 3 2" xfId="7556"/>
    <cellStyle name="Saída 2 3 5 2 3 2 2" xfId="10170"/>
    <cellStyle name="Saída 2 3 5 2 3 2 2 2" xfId="16432"/>
    <cellStyle name="Saída 2 3 5 2 3 2 2 2 2" xfId="29848"/>
    <cellStyle name="Saída 2 3 5 2 3 2 2 3" xfId="21177"/>
    <cellStyle name="Saída 2 3 5 2 3 2 3" xfId="14160"/>
    <cellStyle name="Saída 2 3 5 2 3 2 3 2" xfId="28482"/>
    <cellStyle name="Saída 2 3 5 2 3 2 4" xfId="19805"/>
    <cellStyle name="Saída 2 3 5 2 3 3" xfId="12487"/>
    <cellStyle name="Saída 2 3 5 2 3 3 2" xfId="26809"/>
    <cellStyle name="Saída 2 3 5 2 3 4" xfId="18132"/>
    <cellStyle name="Saída 2 3 5 2 4" xfId="5229"/>
    <cellStyle name="Saída 2 3 5 2 4 2" xfId="11779"/>
    <cellStyle name="Saída 2 3 5 2 4 2 2" xfId="26101"/>
    <cellStyle name="Saída 2 3 5 2 4 3" xfId="17424"/>
    <cellStyle name="Saída 2 3 5 2 5" xfId="4982"/>
    <cellStyle name="Saída 2 3 5 2 5 2" xfId="23292"/>
    <cellStyle name="Saída 2 3 5 2 6" xfId="17363"/>
    <cellStyle name="Saída 2 3 5 3" xfId="2548"/>
    <cellStyle name="Saída 2 3 5 3 2" xfId="6562"/>
    <cellStyle name="Saída 2 3 5 3 2 2" xfId="13150"/>
    <cellStyle name="Saída 2 3 5 3 2 2 2" xfId="27472"/>
    <cellStyle name="Saída 2 3 5 3 2 3" xfId="18795"/>
    <cellStyle name="Saída 2 3 5 3 3" xfId="7486"/>
    <cellStyle name="Saída 2 3 5 3 3 2" xfId="10100"/>
    <cellStyle name="Saída 2 3 5 3 3 2 2" xfId="16362"/>
    <cellStyle name="Saída 2 3 5 3 3 2 2 2" xfId="29778"/>
    <cellStyle name="Saída 2 3 5 3 3 2 3" xfId="21107"/>
    <cellStyle name="Saída 2 3 5 3 3 3" xfId="14090"/>
    <cellStyle name="Saída 2 3 5 3 3 3 2" xfId="28412"/>
    <cellStyle name="Saída 2 3 5 3 3 4" xfId="19735"/>
    <cellStyle name="Saída 2 3 5 3 4" xfId="4957"/>
    <cellStyle name="Saída 2 3 5 3 4 2" xfId="23279"/>
    <cellStyle name="Saída 2 3 5 3 5" xfId="4349"/>
    <cellStyle name="Saída 2 3 5 4" xfId="2549"/>
    <cellStyle name="Saída 2 3 5 4 2" xfId="7071"/>
    <cellStyle name="Saída 2 3 5 4 2 2" xfId="9685"/>
    <cellStyle name="Saída 2 3 5 4 2 2 2" xfId="15947"/>
    <cellStyle name="Saída 2 3 5 4 2 2 2 2" xfId="29363"/>
    <cellStyle name="Saída 2 3 5 4 2 2 3" xfId="20692"/>
    <cellStyle name="Saída 2 3 5 4 2 3" xfId="13675"/>
    <cellStyle name="Saída 2 3 5 4 2 3 2" xfId="27997"/>
    <cellStyle name="Saída 2 3 5 4 2 4" xfId="19320"/>
    <cellStyle name="Saída 2 3 5 4 3" xfId="12424"/>
    <cellStyle name="Saída 2 3 5 4 3 2" xfId="26746"/>
    <cellStyle name="Saída 2 3 5 4 4" xfId="18069"/>
    <cellStyle name="Saída 2 3 5 5" xfId="5046"/>
    <cellStyle name="Saída 2 3 5 5 2" xfId="11593"/>
    <cellStyle name="Saída 2 3 5 5 2 2" xfId="25915"/>
    <cellStyle name="Saída 2 3 5 5 3" xfId="15023"/>
    <cellStyle name="Saída 2 3 5 6" xfId="6106"/>
    <cellStyle name="Saída 2 3 5 6 2" xfId="23416"/>
    <cellStyle name="Saída 2 3 5 7" xfId="6523"/>
    <cellStyle name="Saída 2 3 6" xfId="2550"/>
    <cellStyle name="Saída 2 3 6 2" xfId="2551"/>
    <cellStyle name="Saída 2 3 6 2 2" xfId="6125"/>
    <cellStyle name="Saída 2 3 6 2 2 2" xfId="12694"/>
    <cellStyle name="Saída 2 3 6 2 2 2 2" xfId="27016"/>
    <cellStyle name="Saída 2 3 6 2 2 3" xfId="18339"/>
    <cellStyle name="Saída 2 3 6 2 3" xfId="7160"/>
    <cellStyle name="Saída 2 3 6 2 3 2" xfId="9774"/>
    <cellStyle name="Saída 2 3 6 2 3 2 2" xfId="16036"/>
    <cellStyle name="Saída 2 3 6 2 3 2 2 2" xfId="29452"/>
    <cellStyle name="Saída 2 3 6 2 3 2 3" xfId="20781"/>
    <cellStyle name="Saída 2 3 6 2 3 3" xfId="13764"/>
    <cellStyle name="Saída 2 3 6 2 3 3 2" xfId="28086"/>
    <cellStyle name="Saída 2 3 6 2 3 4" xfId="19409"/>
    <cellStyle name="Saída 2 3 6 2 4" xfId="3982"/>
    <cellStyle name="Saída 2 3 6 2 4 2" xfId="22685"/>
    <cellStyle name="Saída 2 3 6 2 5" xfId="17086"/>
    <cellStyle name="Saída 2 3 6 3" xfId="2552"/>
    <cellStyle name="Saída 2 3 6 3 2" xfId="7366"/>
    <cellStyle name="Saída 2 3 6 3 2 2" xfId="9980"/>
    <cellStyle name="Saída 2 3 6 3 2 2 2" xfId="16242"/>
    <cellStyle name="Saída 2 3 6 3 2 2 2 2" xfId="29658"/>
    <cellStyle name="Saída 2 3 6 3 2 2 3" xfId="20987"/>
    <cellStyle name="Saída 2 3 6 3 2 3" xfId="13970"/>
    <cellStyle name="Saída 2 3 6 3 2 3 2" xfId="28292"/>
    <cellStyle name="Saída 2 3 6 3 2 4" xfId="19615"/>
    <cellStyle name="Saída 2 3 6 3 3" xfId="13047"/>
    <cellStyle name="Saída 2 3 6 3 3 2" xfId="27369"/>
    <cellStyle name="Saída 2 3 6 3 4" xfId="18692"/>
    <cellStyle name="Saída 2 3 6 4" xfId="5369"/>
    <cellStyle name="Saída 2 3 6 4 2" xfId="11919"/>
    <cellStyle name="Saída 2 3 6 4 2 2" xfId="26241"/>
    <cellStyle name="Saída 2 3 6 4 3" xfId="17564"/>
    <cellStyle name="Saída 2 3 6 5" xfId="3590"/>
    <cellStyle name="Saída 2 3 6 5 2" xfId="22476"/>
    <cellStyle name="Saída 2 3 6 6" xfId="6456"/>
    <cellStyle name="Saída 2 3 7" xfId="2553"/>
    <cellStyle name="Saída 2 3 7 2" xfId="6167"/>
    <cellStyle name="Saída 2 3 7 2 2" xfId="12740"/>
    <cellStyle name="Saída 2 3 7 2 2 2" xfId="27062"/>
    <cellStyle name="Saída 2 3 7 2 3" xfId="18385"/>
    <cellStyle name="Saída 2 3 7 3" xfId="7111"/>
    <cellStyle name="Saída 2 3 7 3 2" xfId="9725"/>
    <cellStyle name="Saída 2 3 7 3 2 2" xfId="15987"/>
    <cellStyle name="Saída 2 3 7 3 2 2 2" xfId="29403"/>
    <cellStyle name="Saída 2 3 7 3 2 3" xfId="20732"/>
    <cellStyle name="Saída 2 3 7 3 3" xfId="13715"/>
    <cellStyle name="Saída 2 3 7 3 3 2" xfId="28037"/>
    <cellStyle name="Saída 2 3 7 3 4" xfId="19360"/>
    <cellStyle name="Saída 2 3 7 4" xfId="4145"/>
    <cellStyle name="Saída 2 3 7 4 2" xfId="22783"/>
    <cellStyle name="Saída 2 3 7 5" xfId="15589"/>
    <cellStyle name="Saída 2 3 8" xfId="2554"/>
    <cellStyle name="Saída 2 3 8 2" xfId="7326"/>
    <cellStyle name="Saída 2 3 8 2 2" xfId="9940"/>
    <cellStyle name="Saída 2 3 8 2 2 2" xfId="16202"/>
    <cellStyle name="Saída 2 3 8 2 2 2 2" xfId="29618"/>
    <cellStyle name="Saída 2 3 8 2 2 3" xfId="20947"/>
    <cellStyle name="Saída 2 3 8 2 3" xfId="13930"/>
    <cellStyle name="Saída 2 3 8 2 3 2" xfId="28252"/>
    <cellStyle name="Saída 2 3 8 2 4" xfId="19575"/>
    <cellStyle name="Saída 2 3 8 3" xfId="12528"/>
    <cellStyle name="Saída 2 3 8 3 2" xfId="26850"/>
    <cellStyle name="Saída 2 3 8 4" xfId="18173"/>
    <cellStyle name="Saída 2 3 9" xfId="4325"/>
    <cellStyle name="Saída 2 3 9 2" xfId="6454"/>
    <cellStyle name="Saída 2 3 9 2 2" xfId="23552"/>
    <cellStyle name="Saída 2 3 9 3" xfId="6580"/>
    <cellStyle name="Saída 2 4" xfId="2555"/>
    <cellStyle name="Saída 2 4 2" xfId="2556"/>
    <cellStyle name="Saída 2 4 2 2" xfId="2557"/>
    <cellStyle name="Saída 2 4 2 2 2" xfId="6920"/>
    <cellStyle name="Saída 2 4 2 2 2 2" xfId="13524"/>
    <cellStyle name="Saída 2 4 2 2 2 2 2" xfId="27846"/>
    <cellStyle name="Saída 2 4 2 2 2 3" xfId="19169"/>
    <cellStyle name="Saída 2 4 2 2 3" xfId="7489"/>
    <cellStyle name="Saída 2 4 2 2 3 2" xfId="10103"/>
    <cellStyle name="Saída 2 4 2 2 3 2 2" xfId="16365"/>
    <cellStyle name="Saída 2 4 2 2 3 2 2 2" xfId="29781"/>
    <cellStyle name="Saída 2 4 2 2 3 2 3" xfId="21110"/>
    <cellStyle name="Saída 2 4 2 2 3 3" xfId="14093"/>
    <cellStyle name="Saída 2 4 2 2 3 3 2" xfId="28415"/>
    <cellStyle name="Saída 2 4 2 2 3 4" xfId="19738"/>
    <cellStyle name="Saída 2 4 2 2 4" xfId="11408"/>
    <cellStyle name="Saída 2 4 2 2 4 2" xfId="25730"/>
    <cellStyle name="Saída 2 4 2 2 5" xfId="15488"/>
    <cellStyle name="Saída 2 4 2 3" xfId="2558"/>
    <cellStyle name="Saída 2 4 2 3 2" xfId="5032"/>
    <cellStyle name="Saída 2 4 2 3 2 2" xfId="9550"/>
    <cellStyle name="Saída 2 4 2 3 2 2 2" xfId="15812"/>
    <cellStyle name="Saída 2 4 2 3 2 2 2 2" xfId="29228"/>
    <cellStyle name="Saída 2 4 2 3 2 2 3" xfId="20557"/>
    <cellStyle name="Saída 2 4 2 3 2 3" xfId="11579"/>
    <cellStyle name="Saída 2 4 2 3 2 3 2" xfId="25901"/>
    <cellStyle name="Saída 2 4 2 3 2 4" xfId="4860"/>
    <cellStyle name="Saída 2 4 2 3 3" xfId="13214"/>
    <cellStyle name="Saída 2 4 2 3 3 2" xfId="27536"/>
    <cellStyle name="Saída 2 4 2 3 4" xfId="18859"/>
    <cellStyle name="Saída 2 4 2 4" xfId="5654"/>
    <cellStyle name="Saída 2 4 2 4 2" xfId="12207"/>
    <cellStyle name="Saída 2 4 2 4 2 2" xfId="26529"/>
    <cellStyle name="Saída 2 4 2 4 3" xfId="17852"/>
    <cellStyle name="Saída 2 4 2 5" xfId="6304"/>
    <cellStyle name="Saída 2 4 2 5 2" xfId="23500"/>
    <cellStyle name="Saída 2 4 2 6" xfId="3955"/>
    <cellStyle name="Saída 2 4 3" xfId="2559"/>
    <cellStyle name="Saída 2 4 3 2" xfId="2560"/>
    <cellStyle name="Saída 2 4 3 2 2" xfId="7033"/>
    <cellStyle name="Saída 2 4 3 2 2 2" xfId="13637"/>
    <cellStyle name="Saída 2 4 3 2 2 2 2" xfId="27959"/>
    <cellStyle name="Saída 2 4 3 2 2 3" xfId="19282"/>
    <cellStyle name="Saída 2 4 3 2 3" xfId="5272"/>
    <cellStyle name="Saída 2 4 3 2 3 2" xfId="9581"/>
    <cellStyle name="Saída 2 4 3 2 3 2 2" xfId="15843"/>
    <cellStyle name="Saída 2 4 3 2 3 2 2 2" xfId="29259"/>
    <cellStyle name="Saída 2 4 3 2 3 2 3" xfId="20588"/>
    <cellStyle name="Saída 2 4 3 2 3 3" xfId="11822"/>
    <cellStyle name="Saída 2 4 3 2 3 3 2" xfId="26144"/>
    <cellStyle name="Saída 2 4 3 2 3 4" xfId="17467"/>
    <cellStyle name="Saída 2 4 3 2 4" xfId="11573"/>
    <cellStyle name="Saída 2 4 3 2 4 2" xfId="25895"/>
    <cellStyle name="Saída 2 4 3 2 5" xfId="17007"/>
    <cellStyle name="Saída 2 4 3 3" xfId="2561"/>
    <cellStyle name="Saída 2 4 3 3 2" xfId="7600"/>
    <cellStyle name="Saída 2 4 3 3 2 2" xfId="10214"/>
    <cellStyle name="Saída 2 4 3 3 2 2 2" xfId="16476"/>
    <cellStyle name="Saída 2 4 3 3 2 2 2 2" xfId="29892"/>
    <cellStyle name="Saída 2 4 3 3 2 2 3" xfId="21221"/>
    <cellStyle name="Saída 2 4 3 3 2 3" xfId="14204"/>
    <cellStyle name="Saída 2 4 3 3 2 3 2" xfId="28526"/>
    <cellStyle name="Saída 2 4 3 3 2 4" xfId="19849"/>
    <cellStyle name="Saída 2 4 3 3 3" xfId="12649"/>
    <cellStyle name="Saída 2 4 3 3 3 2" xfId="26971"/>
    <cellStyle name="Saída 2 4 3 3 4" xfId="18294"/>
    <cellStyle name="Saída 2 4 3 4" xfId="5148"/>
    <cellStyle name="Saída 2 4 3 4 2" xfId="11697"/>
    <cellStyle name="Saída 2 4 3 4 2 2" xfId="26019"/>
    <cellStyle name="Saída 2 4 3 4 3" xfId="5897"/>
    <cellStyle name="Saída 2 4 3 5" xfId="3976"/>
    <cellStyle name="Saída 2 4 3 5 2" xfId="22681"/>
    <cellStyle name="Saída 2 4 3 6" xfId="17147"/>
    <cellStyle name="Saída 2 4 4" xfId="2562"/>
    <cellStyle name="Saída 2 4 4 2" xfId="6864"/>
    <cellStyle name="Saída 2 4 4 2 2" xfId="13468"/>
    <cellStyle name="Saída 2 4 4 2 2 2" xfId="27790"/>
    <cellStyle name="Saída 2 4 4 2 3" xfId="19113"/>
    <cellStyle name="Saída 2 4 4 3" xfId="7158"/>
    <cellStyle name="Saída 2 4 4 3 2" xfId="9772"/>
    <cellStyle name="Saída 2 4 4 3 2 2" xfId="16034"/>
    <cellStyle name="Saída 2 4 4 3 2 2 2" xfId="29450"/>
    <cellStyle name="Saída 2 4 4 3 2 3" xfId="20779"/>
    <cellStyle name="Saída 2 4 4 3 3" xfId="13762"/>
    <cellStyle name="Saída 2 4 4 3 3 2" xfId="28084"/>
    <cellStyle name="Saída 2 4 4 3 4" xfId="19407"/>
    <cellStyle name="Saída 2 4 4 4" xfId="11323"/>
    <cellStyle name="Saída 2 4 4 4 2" xfId="25645"/>
    <cellStyle name="Saída 2 4 4 5" xfId="4981"/>
    <cellStyle name="Saída 2 4 5" xfId="2563"/>
    <cellStyle name="Saída 2 4 5 2" xfId="7479"/>
    <cellStyle name="Saída 2 4 5 2 2" xfId="10093"/>
    <cellStyle name="Saída 2 4 5 2 2 2" xfId="16355"/>
    <cellStyle name="Saída 2 4 5 2 2 2 2" xfId="29771"/>
    <cellStyle name="Saída 2 4 5 2 2 3" xfId="21100"/>
    <cellStyle name="Saída 2 4 5 2 3" xfId="14083"/>
    <cellStyle name="Saída 2 4 5 2 3 2" xfId="28405"/>
    <cellStyle name="Saída 2 4 5 2 4" xfId="19728"/>
    <cellStyle name="Saída 2 4 5 3" xfId="12450"/>
    <cellStyle name="Saída 2 4 5 3 2" xfId="26772"/>
    <cellStyle name="Saída 2 4 5 4" xfId="18095"/>
    <cellStyle name="Saída 2 4 6" xfId="5123"/>
    <cellStyle name="Saída 2 4 6 2" xfId="11671"/>
    <cellStyle name="Saída 2 4 6 2 2" xfId="25993"/>
    <cellStyle name="Saída 2 4 6 3" xfId="15253"/>
    <cellStyle name="Saída 2 4 7" xfId="6808"/>
    <cellStyle name="Saída 2 4 7 2" xfId="23747"/>
    <cellStyle name="Saída 2 4 8" xfId="14726"/>
    <cellStyle name="Saída 2 5" xfId="2564"/>
    <cellStyle name="Saída 2 5 2" xfId="2565"/>
    <cellStyle name="Saída 2 5 2 2" xfId="2566"/>
    <cellStyle name="Saída 2 5 2 2 2" xfId="5109"/>
    <cellStyle name="Saída 2 5 2 2 2 2" xfId="11656"/>
    <cellStyle name="Saída 2 5 2 2 2 2 2" xfId="25978"/>
    <cellStyle name="Saída 2 5 2 2 2 3" xfId="4286"/>
    <cellStyle name="Saída 2 5 2 2 3" xfId="7314"/>
    <cellStyle name="Saída 2 5 2 2 3 2" xfId="9928"/>
    <cellStyle name="Saída 2 5 2 2 3 2 2" xfId="16190"/>
    <cellStyle name="Saída 2 5 2 2 3 2 2 2" xfId="29606"/>
    <cellStyle name="Saída 2 5 2 2 3 2 3" xfId="20935"/>
    <cellStyle name="Saída 2 5 2 2 3 3" xfId="13918"/>
    <cellStyle name="Saída 2 5 2 2 3 3 2" xfId="28240"/>
    <cellStyle name="Saída 2 5 2 2 3 4" xfId="19563"/>
    <cellStyle name="Saída 2 5 2 2 4" xfId="6794"/>
    <cellStyle name="Saída 2 5 2 2 4 2" xfId="23737"/>
    <cellStyle name="Saída 2 5 2 2 5" xfId="15571"/>
    <cellStyle name="Saída 2 5 2 3" xfId="2567"/>
    <cellStyle name="Saída 2 5 2 3 2" xfId="4321"/>
    <cellStyle name="Saída 2 5 2 3 2 2" xfId="9448"/>
    <cellStyle name="Saída 2 5 2 3 2 2 2" xfId="15710"/>
    <cellStyle name="Saída 2 5 2 3 2 2 2 2" xfId="29126"/>
    <cellStyle name="Saída 2 5 2 3 2 2 3" xfId="20455"/>
    <cellStyle name="Saída 2 5 2 3 2 3" xfId="4543"/>
    <cellStyle name="Saída 2 5 2 3 2 3 2" xfId="23022"/>
    <cellStyle name="Saída 2 5 2 3 2 4" xfId="15581"/>
    <cellStyle name="Saída 2 5 2 3 3" xfId="13266"/>
    <cellStyle name="Saída 2 5 2 3 3 2" xfId="27588"/>
    <cellStyle name="Saída 2 5 2 3 4" xfId="18911"/>
    <cellStyle name="Saída 2 5 2 4" xfId="5712"/>
    <cellStyle name="Saída 2 5 2 4 2" xfId="12265"/>
    <cellStyle name="Saída 2 5 2 4 2 2" xfId="26587"/>
    <cellStyle name="Saída 2 5 2 4 3" xfId="17910"/>
    <cellStyle name="Saída 2 5 2 5" xfId="3801"/>
    <cellStyle name="Saída 2 5 2 5 2" xfId="22589"/>
    <cellStyle name="Saída 2 5 2 6" xfId="3654"/>
    <cellStyle name="Saída 2 5 3" xfId="2568"/>
    <cellStyle name="Saída 2 5 3 2" xfId="2569"/>
    <cellStyle name="Saída 2 5 3 2 2" xfId="6057"/>
    <cellStyle name="Saída 2 5 3 2 2 2" xfId="12623"/>
    <cellStyle name="Saída 2 5 3 2 2 2 2" xfId="26945"/>
    <cellStyle name="Saída 2 5 3 2 2 3" xfId="18268"/>
    <cellStyle name="Saída 2 5 3 2 3" xfId="7927"/>
    <cellStyle name="Saída 2 5 3 2 3 2" xfId="10541"/>
    <cellStyle name="Saída 2 5 3 2 3 2 2" xfId="16803"/>
    <cellStyle name="Saída 2 5 3 2 3 2 2 2" xfId="30219"/>
    <cellStyle name="Saída 2 5 3 2 3 2 3" xfId="21548"/>
    <cellStyle name="Saída 2 5 3 2 3 3" xfId="14531"/>
    <cellStyle name="Saída 2 5 3 2 3 3 2" xfId="28853"/>
    <cellStyle name="Saída 2 5 3 2 3 4" xfId="20176"/>
    <cellStyle name="Saída 2 5 3 2 4" xfId="6609"/>
    <cellStyle name="Saída 2 5 3 2 4 2" xfId="23601"/>
    <cellStyle name="Saída 2 5 3 2 5" xfId="6301"/>
    <cellStyle name="Saída 2 5 3 3" xfId="2570"/>
    <cellStyle name="Saída 2 5 3 3 2" xfId="7854"/>
    <cellStyle name="Saída 2 5 3 3 2 2" xfId="10468"/>
    <cellStyle name="Saída 2 5 3 3 2 2 2" xfId="16730"/>
    <cellStyle name="Saída 2 5 3 3 2 2 2 2" xfId="30146"/>
    <cellStyle name="Saída 2 5 3 3 2 2 3" xfId="21475"/>
    <cellStyle name="Saída 2 5 3 3 2 3" xfId="14458"/>
    <cellStyle name="Saída 2 5 3 3 2 3 2" xfId="28780"/>
    <cellStyle name="Saída 2 5 3 3 2 4" xfId="20103"/>
    <cellStyle name="Saída 2 5 3 3 3" xfId="13254"/>
    <cellStyle name="Saída 2 5 3 3 3 2" xfId="27576"/>
    <cellStyle name="Saída 2 5 3 3 4" xfId="18899"/>
    <cellStyle name="Saída 2 5 3 4" xfId="5697"/>
    <cellStyle name="Saída 2 5 3 4 2" xfId="12250"/>
    <cellStyle name="Saída 2 5 3 4 2 2" xfId="26572"/>
    <cellStyle name="Saída 2 5 3 4 3" xfId="17895"/>
    <cellStyle name="Saída 2 5 3 5" xfId="6768"/>
    <cellStyle name="Saída 2 5 3 5 2" xfId="23714"/>
    <cellStyle name="Saída 2 5 3 6" xfId="14860"/>
    <cellStyle name="Saída 2 5 4" xfId="2571"/>
    <cellStyle name="Saída 2 5 4 2" xfId="6001"/>
    <cellStyle name="Saída 2 5 4 2 2" xfId="12560"/>
    <cellStyle name="Saída 2 5 4 2 2 2" xfId="26882"/>
    <cellStyle name="Saída 2 5 4 2 3" xfId="18205"/>
    <cellStyle name="Saída 2 5 4 3" xfId="4810"/>
    <cellStyle name="Saída 2 5 4 3 2" xfId="9492"/>
    <cellStyle name="Saída 2 5 4 3 2 2" xfId="15754"/>
    <cellStyle name="Saída 2 5 4 3 2 2 2" xfId="29170"/>
    <cellStyle name="Saída 2 5 4 3 2 3" xfId="20499"/>
    <cellStyle name="Saída 2 5 4 3 3" xfId="11341"/>
    <cellStyle name="Saída 2 5 4 3 3 2" xfId="25663"/>
    <cellStyle name="Saída 2 5 4 3 4" xfId="15167"/>
    <cellStyle name="Saída 2 5 4 4" xfId="6349"/>
    <cellStyle name="Saída 2 5 4 4 2" xfId="23535"/>
    <cellStyle name="Saída 2 5 4 5" xfId="15179"/>
    <cellStyle name="Saída 2 5 5" xfId="2572"/>
    <cellStyle name="Saída 2 5 5 2" xfId="7115"/>
    <cellStyle name="Saída 2 5 5 2 2" xfId="9729"/>
    <cellStyle name="Saída 2 5 5 2 2 2" xfId="15991"/>
    <cellStyle name="Saída 2 5 5 2 2 2 2" xfId="29407"/>
    <cellStyle name="Saída 2 5 5 2 2 3" xfId="20736"/>
    <cellStyle name="Saída 2 5 5 2 3" xfId="13719"/>
    <cellStyle name="Saída 2 5 5 2 3 2" xfId="28041"/>
    <cellStyle name="Saída 2 5 5 2 4" xfId="19364"/>
    <cellStyle name="Saída 2 5 5 3" xfId="12822"/>
    <cellStyle name="Saída 2 5 5 3 2" xfId="27144"/>
    <cellStyle name="Saída 2 5 5 4" xfId="18467"/>
    <cellStyle name="Saída 2 5 6" xfId="5367"/>
    <cellStyle name="Saída 2 5 6 2" xfId="11917"/>
    <cellStyle name="Saída 2 5 6 2 2" xfId="26239"/>
    <cellStyle name="Saída 2 5 6 3" xfId="17562"/>
    <cellStyle name="Saída 2 5 7" xfId="4183"/>
    <cellStyle name="Saída 2 5 7 2" xfId="22805"/>
    <cellStyle name="Saída 2 5 8" xfId="3710"/>
    <cellStyle name="Saída 2 6" xfId="2573"/>
    <cellStyle name="Saída 2 6 2" xfId="2574"/>
    <cellStyle name="Saída 2 6 2 2" xfId="2575"/>
    <cellStyle name="Saída 2 6 2 2 2" xfId="6951"/>
    <cellStyle name="Saída 2 6 2 2 2 2" xfId="13555"/>
    <cellStyle name="Saída 2 6 2 2 2 2 2" xfId="27877"/>
    <cellStyle name="Saída 2 6 2 2 2 3" xfId="19200"/>
    <cellStyle name="Saída 2 6 2 2 3" xfId="7965"/>
    <cellStyle name="Saída 2 6 2 2 3 2" xfId="10579"/>
    <cellStyle name="Saída 2 6 2 2 3 2 2" xfId="16841"/>
    <cellStyle name="Saída 2 6 2 2 3 2 2 2" xfId="30257"/>
    <cellStyle name="Saída 2 6 2 2 3 2 3" xfId="21586"/>
    <cellStyle name="Saída 2 6 2 2 3 3" xfId="14569"/>
    <cellStyle name="Saída 2 6 2 2 3 3 2" xfId="28891"/>
    <cellStyle name="Saída 2 6 2 2 3 4" xfId="20214"/>
    <cellStyle name="Saída 2 6 2 2 4" xfId="11447"/>
    <cellStyle name="Saída 2 6 2 2 4 2" xfId="25769"/>
    <cellStyle name="Saída 2 6 2 2 5" xfId="4895"/>
    <cellStyle name="Saída 2 6 2 3" xfId="2576"/>
    <cellStyle name="Saída 2 6 2 3 2" xfId="3959"/>
    <cellStyle name="Saída 2 6 2 3 2 2" xfId="9403"/>
    <cellStyle name="Saída 2 6 2 3 2 2 2" xfId="15665"/>
    <cellStyle name="Saída 2 6 2 3 2 2 2 2" xfId="29081"/>
    <cellStyle name="Saída 2 6 2 3 2 2 3" xfId="20410"/>
    <cellStyle name="Saída 2 6 2 3 2 3" xfId="3693"/>
    <cellStyle name="Saída 2 6 2 3 2 3 2" xfId="22532"/>
    <cellStyle name="Saída 2 6 2 3 2 4" xfId="15349"/>
    <cellStyle name="Saída 2 6 2 3 3" xfId="13235"/>
    <cellStyle name="Saída 2 6 2 3 3 2" xfId="27557"/>
    <cellStyle name="Saída 2 6 2 3 4" xfId="18880"/>
    <cellStyle name="Saída 2 6 2 4" xfId="5676"/>
    <cellStyle name="Saída 2 6 2 4 2" xfId="12229"/>
    <cellStyle name="Saída 2 6 2 4 2 2" xfId="26551"/>
    <cellStyle name="Saída 2 6 2 4 3" xfId="17874"/>
    <cellStyle name="Saída 2 6 2 5" xfId="4873"/>
    <cellStyle name="Saída 2 6 2 5 2" xfId="23236"/>
    <cellStyle name="Saída 2 6 2 6" xfId="17380"/>
    <cellStyle name="Saída 2 6 3" xfId="2577"/>
    <cellStyle name="Saída 2 6 3 2" xfId="2578"/>
    <cellStyle name="Saída 2 6 3 2 2" xfId="6200"/>
    <cellStyle name="Saída 2 6 3 2 2 2" xfId="12773"/>
    <cellStyle name="Saída 2 6 3 2 2 2 2" xfId="27095"/>
    <cellStyle name="Saída 2 6 3 2 2 3" xfId="18418"/>
    <cellStyle name="Saída 2 6 3 2 3" xfId="5290"/>
    <cellStyle name="Saída 2 6 3 2 3 2" xfId="9599"/>
    <cellStyle name="Saída 2 6 3 2 3 2 2" xfId="15861"/>
    <cellStyle name="Saída 2 6 3 2 3 2 2 2" xfId="29277"/>
    <cellStyle name="Saída 2 6 3 2 3 2 3" xfId="20606"/>
    <cellStyle name="Saída 2 6 3 2 3 3" xfId="11840"/>
    <cellStyle name="Saída 2 6 3 2 3 3 2" xfId="26162"/>
    <cellStyle name="Saída 2 6 3 2 3 4" xfId="17485"/>
    <cellStyle name="Saída 2 6 3 2 4" xfId="3609"/>
    <cellStyle name="Saída 2 6 3 2 4 2" xfId="22487"/>
    <cellStyle name="Saída 2 6 3 2 5" xfId="14772"/>
    <cellStyle name="Saída 2 6 3 3" xfId="2579"/>
    <cellStyle name="Saída 2 6 3 3 2" xfId="7238"/>
    <cellStyle name="Saída 2 6 3 3 2 2" xfId="9852"/>
    <cellStyle name="Saída 2 6 3 3 2 2 2" xfId="16114"/>
    <cellStyle name="Saída 2 6 3 3 2 2 2 2" xfId="29530"/>
    <cellStyle name="Saída 2 6 3 3 2 2 3" xfId="20859"/>
    <cellStyle name="Saída 2 6 3 3 2 3" xfId="13842"/>
    <cellStyle name="Saída 2 6 3 3 2 3 2" xfId="28164"/>
    <cellStyle name="Saída 2 6 3 3 2 4" xfId="19487"/>
    <cellStyle name="Saída 2 6 3 3 3" xfId="13089"/>
    <cellStyle name="Saída 2 6 3 3 3 2" xfId="27411"/>
    <cellStyle name="Saída 2 6 3 3 4" xfId="18734"/>
    <cellStyle name="Saída 2 6 3 4" xfId="5444"/>
    <cellStyle name="Saída 2 6 3 4 2" xfId="11995"/>
    <cellStyle name="Saída 2 6 3 4 2 2" xfId="26317"/>
    <cellStyle name="Saída 2 6 3 4 3" xfId="17640"/>
    <cellStyle name="Saída 2 6 3 5" xfId="3925"/>
    <cellStyle name="Saída 2 6 3 5 2" xfId="22648"/>
    <cellStyle name="Saída 2 6 3 6" xfId="15528"/>
    <cellStyle name="Saída 2 6 4" xfId="2580"/>
    <cellStyle name="Saída 2 6 4 2" xfId="5607"/>
    <cellStyle name="Saída 2 6 4 2 2" xfId="12159"/>
    <cellStyle name="Saída 2 6 4 2 2 2" xfId="26481"/>
    <cellStyle name="Saída 2 6 4 2 3" xfId="17804"/>
    <cellStyle name="Saída 2 6 4 3" xfId="7145"/>
    <cellStyle name="Saída 2 6 4 3 2" xfId="9759"/>
    <cellStyle name="Saída 2 6 4 3 2 2" xfId="16021"/>
    <cellStyle name="Saída 2 6 4 3 2 2 2" xfId="29437"/>
    <cellStyle name="Saída 2 6 4 3 2 3" xfId="20766"/>
    <cellStyle name="Saída 2 6 4 3 3" xfId="13749"/>
    <cellStyle name="Saída 2 6 4 3 3 2" xfId="28071"/>
    <cellStyle name="Saída 2 6 4 3 4" xfId="19394"/>
    <cellStyle name="Saída 2 6 4 4" xfId="3507"/>
    <cellStyle name="Saída 2 6 4 4 2" xfId="22474"/>
    <cellStyle name="Saída 2 6 4 5" xfId="14872"/>
    <cellStyle name="Saída 2 6 5" xfId="2581"/>
    <cellStyle name="Saída 2 6 5 2" xfId="7627"/>
    <cellStyle name="Saída 2 6 5 2 2" xfId="10241"/>
    <cellStyle name="Saída 2 6 5 2 2 2" xfId="16503"/>
    <cellStyle name="Saída 2 6 5 2 2 2 2" xfId="29919"/>
    <cellStyle name="Saída 2 6 5 2 2 3" xfId="21248"/>
    <cellStyle name="Saída 2 6 5 2 3" xfId="14231"/>
    <cellStyle name="Saída 2 6 5 2 3 2" xfId="28553"/>
    <cellStyle name="Saída 2 6 5 2 4" xfId="19876"/>
    <cellStyle name="Saída 2 6 5 3" xfId="12662"/>
    <cellStyle name="Saída 2 6 5 3 2" xfId="26984"/>
    <cellStyle name="Saída 2 6 5 4" xfId="18307"/>
    <cellStyle name="Saída 2 6 6" xfId="5149"/>
    <cellStyle name="Saída 2 6 6 2" xfId="11698"/>
    <cellStyle name="Saída 2 6 6 2 2" xfId="26020"/>
    <cellStyle name="Saída 2 6 6 3" xfId="3660"/>
    <cellStyle name="Saída 2 6 7" xfId="3944"/>
    <cellStyle name="Saída 2 6 7 2" xfId="22660"/>
    <cellStyle name="Saída 2 6 8" xfId="14796"/>
    <cellStyle name="Saída 2 7" xfId="2582"/>
    <cellStyle name="Saída 2 7 2" xfId="2583"/>
    <cellStyle name="Saída 2 7 2 2" xfId="2584"/>
    <cellStyle name="Saída 2 7 2 2 2" xfId="6088"/>
    <cellStyle name="Saída 2 7 2 2 2 2" xfId="12654"/>
    <cellStyle name="Saída 2 7 2 2 2 2 2" xfId="26976"/>
    <cellStyle name="Saída 2 7 2 2 2 3" xfId="18299"/>
    <cellStyle name="Saída 2 7 2 2 3" xfId="7523"/>
    <cellStyle name="Saída 2 7 2 2 3 2" xfId="10137"/>
    <cellStyle name="Saída 2 7 2 2 3 2 2" xfId="16399"/>
    <cellStyle name="Saída 2 7 2 2 3 2 2 2" xfId="29815"/>
    <cellStyle name="Saída 2 7 2 2 3 2 3" xfId="21144"/>
    <cellStyle name="Saída 2 7 2 2 3 3" xfId="14127"/>
    <cellStyle name="Saída 2 7 2 2 3 3 2" xfId="28449"/>
    <cellStyle name="Saída 2 7 2 2 3 4" xfId="19772"/>
    <cellStyle name="Saída 2 7 2 2 4" xfId="6798"/>
    <cellStyle name="Saída 2 7 2 2 4 2" xfId="23739"/>
    <cellStyle name="Saída 2 7 2 2 5" xfId="15246"/>
    <cellStyle name="Saída 2 7 2 3" xfId="2585"/>
    <cellStyle name="Saída 2 7 2 3 2" xfId="7345"/>
    <cellStyle name="Saída 2 7 2 3 2 2" xfId="9959"/>
    <cellStyle name="Saída 2 7 2 3 2 2 2" xfId="16221"/>
    <cellStyle name="Saída 2 7 2 3 2 2 2 2" xfId="29637"/>
    <cellStyle name="Saída 2 7 2 3 2 2 3" xfId="20966"/>
    <cellStyle name="Saída 2 7 2 3 2 3" xfId="13949"/>
    <cellStyle name="Saída 2 7 2 3 2 3 2" xfId="28271"/>
    <cellStyle name="Saída 2 7 2 3 2 4" xfId="19594"/>
    <cellStyle name="Saída 2 7 2 3 3" xfId="13327"/>
    <cellStyle name="Saída 2 7 2 3 3 2" xfId="27649"/>
    <cellStyle name="Saída 2 7 2 3 4" xfId="18972"/>
    <cellStyle name="Saída 2 7 2 4" xfId="5777"/>
    <cellStyle name="Saída 2 7 2 4 2" xfId="12330"/>
    <cellStyle name="Saída 2 7 2 4 2 2" xfId="26652"/>
    <cellStyle name="Saída 2 7 2 4 3" xfId="17975"/>
    <cellStyle name="Saída 2 7 2 5" xfId="4862"/>
    <cellStyle name="Saída 2 7 2 5 2" xfId="23227"/>
    <cellStyle name="Saída 2 7 2 6" xfId="4651"/>
    <cellStyle name="Saída 2 7 3" xfId="2586"/>
    <cellStyle name="Saída 2 7 3 2" xfId="6982"/>
    <cellStyle name="Saída 2 7 3 2 2" xfId="13586"/>
    <cellStyle name="Saída 2 7 3 2 2 2" xfId="27908"/>
    <cellStyle name="Saída 2 7 3 2 3" xfId="19231"/>
    <cellStyle name="Saída 2 7 3 3" xfId="7357"/>
    <cellStyle name="Saída 2 7 3 3 2" xfId="9971"/>
    <cellStyle name="Saída 2 7 3 3 2 2" xfId="16233"/>
    <cellStyle name="Saída 2 7 3 3 2 2 2" xfId="29649"/>
    <cellStyle name="Saída 2 7 3 3 2 3" xfId="20978"/>
    <cellStyle name="Saída 2 7 3 3 3" xfId="13961"/>
    <cellStyle name="Saída 2 7 3 3 3 2" xfId="28283"/>
    <cellStyle name="Saída 2 7 3 3 4" xfId="19606"/>
    <cellStyle name="Saída 2 7 3 4" xfId="11494"/>
    <cellStyle name="Saída 2 7 3 4 2" xfId="25816"/>
    <cellStyle name="Saída 2 7 3 5" xfId="17080"/>
    <cellStyle name="Saída 2 7 4" xfId="2587"/>
    <cellStyle name="Saída 2 7 4 2" xfId="7784"/>
    <cellStyle name="Saída 2 7 4 2 2" xfId="10398"/>
    <cellStyle name="Saída 2 7 4 2 2 2" xfId="16660"/>
    <cellStyle name="Saída 2 7 4 2 2 2 2" xfId="30076"/>
    <cellStyle name="Saída 2 7 4 2 2 3" xfId="21405"/>
    <cellStyle name="Saída 2 7 4 2 3" xfId="14388"/>
    <cellStyle name="Saída 2 7 4 2 3 2" xfId="28710"/>
    <cellStyle name="Saída 2 7 4 2 4" xfId="20033"/>
    <cellStyle name="Saída 2 7 4 3" xfId="12866"/>
    <cellStyle name="Saída 2 7 4 3 2" xfId="27188"/>
    <cellStyle name="Saída 2 7 4 4" xfId="18511"/>
    <cellStyle name="Saída 2 7 5" xfId="5480"/>
    <cellStyle name="Saída 2 7 5 2" xfId="12031"/>
    <cellStyle name="Saída 2 7 5 2 2" xfId="26353"/>
    <cellStyle name="Saída 2 7 5 3" xfId="17676"/>
    <cellStyle name="Saída 2 7 6" xfId="6164"/>
    <cellStyle name="Saída 2 7 6 2" xfId="23437"/>
    <cellStyle name="Saída 2 7 7" xfId="4243"/>
    <cellStyle name="Saída 2 8" xfId="2588"/>
    <cellStyle name="Saída 2 8 2" xfId="2589"/>
    <cellStyle name="Saída 2 8 2 2" xfId="5931"/>
    <cellStyle name="Saída 2 8 2 2 2" xfId="12486"/>
    <cellStyle name="Saída 2 8 2 2 2 2" xfId="26808"/>
    <cellStyle name="Saída 2 8 2 2 3" xfId="18131"/>
    <cellStyle name="Saída 2 8 2 3" xfId="7619"/>
    <cellStyle name="Saída 2 8 2 3 2" xfId="10233"/>
    <cellStyle name="Saída 2 8 2 3 2 2" xfId="16495"/>
    <cellStyle name="Saída 2 8 2 3 2 2 2" xfId="29911"/>
    <cellStyle name="Saída 2 8 2 3 2 3" xfId="21240"/>
    <cellStyle name="Saída 2 8 2 3 3" xfId="14223"/>
    <cellStyle name="Saída 2 8 2 3 3 2" xfId="28545"/>
    <cellStyle name="Saída 2 8 2 3 4" xfId="19868"/>
    <cellStyle name="Saída 2 8 2 4" xfId="6242"/>
    <cellStyle name="Saída 2 8 2 4 2" xfId="23467"/>
    <cellStyle name="Saída 2 8 2 5" xfId="17173"/>
    <cellStyle name="Saída 2 8 3" xfId="2590"/>
    <cellStyle name="Saída 2 8 3 2" xfId="4007"/>
    <cellStyle name="Saída 2 8 3 2 2" xfId="9410"/>
    <cellStyle name="Saída 2 8 3 2 2 2" xfId="15672"/>
    <cellStyle name="Saída 2 8 3 2 2 2 2" xfId="29088"/>
    <cellStyle name="Saída 2 8 3 2 2 3" xfId="20417"/>
    <cellStyle name="Saída 2 8 3 2 3" xfId="4417"/>
    <cellStyle name="Saída 2 8 3 2 3 2" xfId="22938"/>
    <cellStyle name="Saída 2 8 3 2 4" xfId="14875"/>
    <cellStyle name="Saída 2 8 3 3" xfId="13130"/>
    <cellStyle name="Saída 2 8 3 3 2" xfId="27452"/>
    <cellStyle name="Saída 2 8 3 4" xfId="18775"/>
    <cellStyle name="Saída 2 8 4" xfId="5523"/>
    <cellStyle name="Saída 2 8 4 2" xfId="12074"/>
    <cellStyle name="Saída 2 8 4 2 2" xfId="26396"/>
    <cellStyle name="Saída 2 8 4 3" xfId="17719"/>
    <cellStyle name="Saída 2 8 5" xfId="3587"/>
    <cellStyle name="Saída 2 8 5 2" xfId="22475"/>
    <cellStyle name="Saída 2 8 6" xfId="15242"/>
    <cellStyle name="Saída 2 9" xfId="2591"/>
    <cellStyle name="Saída 2 9 2" xfId="5922"/>
    <cellStyle name="Saída 2 9 2 2" xfId="12477"/>
    <cellStyle name="Saída 2 9 2 2 2" xfId="26799"/>
    <cellStyle name="Saída 2 9 2 3" xfId="18122"/>
    <cellStyle name="Saída 2 9 3" xfId="7682"/>
    <cellStyle name="Saída 2 9 3 2" xfId="10296"/>
    <cellStyle name="Saída 2 9 3 2 2" xfId="16558"/>
    <cellStyle name="Saída 2 9 3 2 2 2" xfId="29974"/>
    <cellStyle name="Saída 2 9 3 2 3" xfId="21303"/>
    <cellStyle name="Saída 2 9 3 3" xfId="14286"/>
    <cellStyle name="Saída 2 9 3 3 2" xfId="28608"/>
    <cellStyle name="Saída 2 9 3 4" xfId="19931"/>
    <cellStyle name="Saída 2 9 4" xfId="3848"/>
    <cellStyle name="Saída 2 9 4 2" xfId="22612"/>
    <cellStyle name="Saída 2 9 5" xfId="6503"/>
    <cellStyle name="Saída 3" xfId="2592"/>
    <cellStyle name="Saída 3 2" xfId="5040"/>
    <cellStyle name="Saída 3 2 2" xfId="11587"/>
    <cellStyle name="Saída 3 2 2 2" xfId="25909"/>
    <cellStyle name="Saída 3 2 3" xfId="6602"/>
    <cellStyle name="Saída 3 3" xfId="3241"/>
    <cellStyle name="Saída 3 3 2" xfId="9047"/>
    <cellStyle name="Saída 3 3 2 2" xfId="15386"/>
    <cellStyle name="Saída 3 3 2 2 2" xfId="29005"/>
    <cellStyle name="Saída 3 3 2 3" xfId="20332"/>
    <cellStyle name="Saída 3 3 3" xfId="6214"/>
    <cellStyle name="Saída 3 3 3 2" xfId="23461"/>
    <cellStyle name="Saída 3 3 4" xfId="14970"/>
    <cellStyle name="Saída 3 4" xfId="4085"/>
    <cellStyle name="Saída 3 4 2" xfId="22751"/>
    <cellStyle name="Saída 3 5" xfId="17021"/>
    <cellStyle name="Saída 4" xfId="4134"/>
    <cellStyle name="Saída 4 2" xfId="2759"/>
    <cellStyle name="Saída 4 2 2" xfId="22328"/>
    <cellStyle name="Saída 4 3" xfId="4526"/>
    <cellStyle name="Saída 5" xfId="3606"/>
    <cellStyle name="Saída 5 2" xfId="22485"/>
    <cellStyle name="Saída 6" xfId="17375"/>
    <cellStyle name="Saída 7" xfId="20324"/>
    <cellStyle name="Saída 8" xfId="21703"/>
    <cellStyle name="Texto de Aviso" xfId="2593"/>
    <cellStyle name="Texto Explicativo" xfId="2594"/>
    <cellStyle name="Title 2" xfId="2595"/>
    <cellStyle name="Título" xfId="2596"/>
    <cellStyle name="Total 2" xfId="2597"/>
    <cellStyle name="Total 2 2" xfId="2598"/>
    <cellStyle name="Total 2 2 10" xfId="2599"/>
    <cellStyle name="Total 2 2 10 2" xfId="3586"/>
    <cellStyle name="Total 2 2 10 2 2" xfId="9337"/>
    <cellStyle name="Total 2 2 10 2 2 2" xfId="15599"/>
    <cellStyle name="Total 2 2 10 2 2 2 2" xfId="29015"/>
    <cellStyle name="Total 2 2 10 2 2 3" xfId="20344"/>
    <cellStyle name="Total 2 2 10 2 3" xfId="6501"/>
    <cellStyle name="Total 2 2 10 2 3 2" xfId="23571"/>
    <cellStyle name="Total 2 2 10 2 4" xfId="15346"/>
    <cellStyle name="Total 2 2 10 3" xfId="11746"/>
    <cellStyle name="Total 2 2 10 3 2" xfId="26068"/>
    <cellStyle name="Total 2 2 10 4" xfId="6269"/>
    <cellStyle name="Total 2 2 11" xfId="3866"/>
    <cellStyle name="Total 2 2 11 2" xfId="6818"/>
    <cellStyle name="Total 2 2 11 2 2" xfId="23754"/>
    <cellStyle name="Total 2 2 11 3" xfId="17378"/>
    <cellStyle name="Total 2 2 12" xfId="4729"/>
    <cellStyle name="Total 2 2 12 2" xfId="23156"/>
    <cellStyle name="Total 2 2 13" xfId="14688"/>
    <cellStyle name="Total 2 2 2" xfId="2600"/>
    <cellStyle name="Total 2 2 2 10" xfId="5055"/>
    <cellStyle name="Total 2 2 2 10 2" xfId="11602"/>
    <cellStyle name="Total 2 2 2 10 2 2" xfId="25924"/>
    <cellStyle name="Total 2 2 2 10 3" xfId="3870"/>
    <cellStyle name="Total 2 2 2 11" xfId="4542"/>
    <cellStyle name="Total 2 2 2 11 2" xfId="23021"/>
    <cellStyle name="Total 2 2 2 12" xfId="15005"/>
    <cellStyle name="Total 2 2 2 2" xfId="2601"/>
    <cellStyle name="Total 2 2 2 2 10" xfId="6461"/>
    <cellStyle name="Total 2 2 2 2 10 2" xfId="23556"/>
    <cellStyle name="Total 2 2 2 2 11" xfId="14851"/>
    <cellStyle name="Total 2 2 2 2 2" xfId="2602"/>
    <cellStyle name="Total 2 2 2 2 2 2" xfId="2603"/>
    <cellStyle name="Total 2 2 2 2 2 2 2" xfId="2604"/>
    <cellStyle name="Total 2 2 2 2 2 2 2 2" xfId="6593"/>
    <cellStyle name="Total 2 2 2 2 2 2 2 2 2" xfId="13182"/>
    <cellStyle name="Total 2 2 2 2 2 2 2 2 2 2" xfId="27504"/>
    <cellStyle name="Total 2 2 2 2 2 2 2 2 3" xfId="18827"/>
    <cellStyle name="Total 2 2 2 2 2 2 2 3" xfId="7990"/>
    <cellStyle name="Total 2 2 2 2 2 2 2 3 2" xfId="10604"/>
    <cellStyle name="Total 2 2 2 2 2 2 2 3 2 2" xfId="16866"/>
    <cellStyle name="Total 2 2 2 2 2 2 2 3 2 2 2" xfId="30282"/>
    <cellStyle name="Total 2 2 2 2 2 2 2 3 2 3" xfId="21611"/>
    <cellStyle name="Total 2 2 2 2 2 2 2 3 3" xfId="14594"/>
    <cellStyle name="Total 2 2 2 2 2 2 2 3 3 2" xfId="28916"/>
    <cellStyle name="Total 2 2 2 2 2 2 2 3 4" xfId="20239"/>
    <cellStyle name="Total 2 2 2 2 2 2 2 4" xfId="4640"/>
    <cellStyle name="Total 2 2 2 2 2 2 2 4 2" xfId="23084"/>
    <cellStyle name="Total 2 2 2 2 2 2 2 5" xfId="14771"/>
    <cellStyle name="Total 2 2 2 2 2 2 3" xfId="2605"/>
    <cellStyle name="Total 2 2 2 2 2 2 3 2" xfId="3751"/>
    <cellStyle name="Total 2 2 2 2 2 2 3 2 2" xfId="9367"/>
    <cellStyle name="Total 2 2 2 2 2 2 3 2 2 2" xfId="15629"/>
    <cellStyle name="Total 2 2 2 2 2 2 3 2 2 2 2" xfId="29045"/>
    <cellStyle name="Total 2 2 2 2 2 2 3 2 2 3" xfId="20374"/>
    <cellStyle name="Total 2 2 2 2 2 2 3 2 3" xfId="4069"/>
    <cellStyle name="Total 2 2 2 2 2 2 3 2 3 2" xfId="22741"/>
    <cellStyle name="Total 2 2 2 2 2 2 3 2 4" xfId="15128"/>
    <cellStyle name="Total 2 2 2 2 2 2 3 3" xfId="13292"/>
    <cellStyle name="Total 2 2 2 2 2 2 3 3 2" xfId="27614"/>
    <cellStyle name="Total 2 2 2 2 2 2 3 4" xfId="18937"/>
    <cellStyle name="Total 2 2 2 2 2 2 4" xfId="5742"/>
    <cellStyle name="Total 2 2 2 2 2 2 4 2" xfId="12295"/>
    <cellStyle name="Total 2 2 2 2 2 2 4 2 2" xfId="26617"/>
    <cellStyle name="Total 2 2 2 2 2 2 4 3" xfId="17940"/>
    <cellStyle name="Total 2 2 2 2 2 2 5" xfId="4747"/>
    <cellStyle name="Total 2 2 2 2 2 2 5 2" xfId="23167"/>
    <cellStyle name="Total 2 2 2 2 2 2 6" xfId="17235"/>
    <cellStyle name="Total 2 2 2 2 2 3" xfId="2606"/>
    <cellStyle name="Total 2 2 2 2 2 3 2" xfId="2607"/>
    <cellStyle name="Total 2 2 2 2 2 3 2 2" xfId="6423"/>
    <cellStyle name="Total 2 2 2 2 2 3 2 2 2" xfId="13006"/>
    <cellStyle name="Total 2 2 2 2 2 3 2 2 2 2" xfId="27328"/>
    <cellStyle name="Total 2 2 2 2 2 3 2 2 3" xfId="18651"/>
    <cellStyle name="Total 2 2 2 2 2 3 2 3" xfId="7757"/>
    <cellStyle name="Total 2 2 2 2 2 3 2 3 2" xfId="10371"/>
    <cellStyle name="Total 2 2 2 2 2 3 2 3 2 2" xfId="16633"/>
    <cellStyle name="Total 2 2 2 2 2 3 2 3 2 2 2" xfId="30049"/>
    <cellStyle name="Total 2 2 2 2 2 3 2 3 2 3" xfId="21378"/>
    <cellStyle name="Total 2 2 2 2 2 3 2 3 3" xfId="14361"/>
    <cellStyle name="Total 2 2 2 2 2 3 2 3 3 2" xfId="28683"/>
    <cellStyle name="Total 2 2 2 2 2 3 2 3 4" xfId="20006"/>
    <cellStyle name="Total 2 2 2 2 2 3 2 4" xfId="3729"/>
    <cellStyle name="Total 2 2 2 2 2 3 2 4 2" xfId="22550"/>
    <cellStyle name="Total 2 2 2 2 2 3 2 5" xfId="17377"/>
    <cellStyle name="Total 2 2 2 2 2 3 3" xfId="2608"/>
    <cellStyle name="Total 2 2 2 2 2 3 3 2" xfId="7950"/>
    <cellStyle name="Total 2 2 2 2 2 3 3 2 2" xfId="10564"/>
    <cellStyle name="Total 2 2 2 2 2 3 3 2 2 2" xfId="16826"/>
    <cellStyle name="Total 2 2 2 2 2 3 3 2 2 2 2" xfId="30242"/>
    <cellStyle name="Total 2 2 2 2 2 3 3 2 2 3" xfId="21571"/>
    <cellStyle name="Total 2 2 2 2 2 3 3 2 3" xfId="14554"/>
    <cellStyle name="Total 2 2 2 2 2 3 3 2 3 2" xfId="28876"/>
    <cellStyle name="Total 2 2 2 2 2 3 3 2 4" xfId="20199"/>
    <cellStyle name="Total 2 2 2 2 2 3 3 3" xfId="12601"/>
    <cellStyle name="Total 2 2 2 2 2 3 3 3 2" xfId="26923"/>
    <cellStyle name="Total 2 2 2 2 2 3 3 4" xfId="18246"/>
    <cellStyle name="Total 2 2 2 2 2 3 4" xfId="5053"/>
    <cellStyle name="Total 2 2 2 2 2 3 4 2" xfId="11600"/>
    <cellStyle name="Total 2 2 2 2 2 3 4 2 2" xfId="25922"/>
    <cellStyle name="Total 2 2 2 2 2 3 4 3" xfId="17252"/>
    <cellStyle name="Total 2 2 2 2 2 3 5" xfId="4587"/>
    <cellStyle name="Total 2 2 2 2 2 3 5 2" xfId="23050"/>
    <cellStyle name="Total 2 2 2 2 2 3 6" xfId="15317"/>
    <cellStyle name="Total 2 2 2 2 2 4" xfId="2609"/>
    <cellStyle name="Total 2 2 2 2 2 4 2" xfId="6409"/>
    <cellStyle name="Total 2 2 2 2 2 4 2 2" xfId="12992"/>
    <cellStyle name="Total 2 2 2 2 2 4 2 2 2" xfId="27314"/>
    <cellStyle name="Total 2 2 2 2 2 4 2 3" xfId="18637"/>
    <cellStyle name="Total 2 2 2 2 2 4 3" xfId="7692"/>
    <cellStyle name="Total 2 2 2 2 2 4 3 2" xfId="10306"/>
    <cellStyle name="Total 2 2 2 2 2 4 3 2 2" xfId="16568"/>
    <cellStyle name="Total 2 2 2 2 2 4 3 2 2 2" xfId="29984"/>
    <cellStyle name="Total 2 2 2 2 2 4 3 2 3" xfId="21313"/>
    <cellStyle name="Total 2 2 2 2 2 4 3 3" xfId="14296"/>
    <cellStyle name="Total 2 2 2 2 2 4 3 3 2" xfId="28618"/>
    <cellStyle name="Total 2 2 2 2 2 4 3 4" xfId="19941"/>
    <cellStyle name="Total 2 2 2 2 2 4 4" xfId="4361"/>
    <cellStyle name="Total 2 2 2 2 2 4 4 2" xfId="22905"/>
    <cellStyle name="Total 2 2 2 2 2 4 5" xfId="15235"/>
    <cellStyle name="Total 2 2 2 2 2 5" xfId="2610"/>
    <cellStyle name="Total 2 2 2 2 2 5 2" xfId="7751"/>
    <cellStyle name="Total 2 2 2 2 2 5 2 2" xfId="10365"/>
    <cellStyle name="Total 2 2 2 2 2 5 2 2 2" xfId="16627"/>
    <cellStyle name="Total 2 2 2 2 2 5 2 2 2 2" xfId="30043"/>
    <cellStyle name="Total 2 2 2 2 2 5 2 2 3" xfId="21372"/>
    <cellStyle name="Total 2 2 2 2 2 5 2 3" xfId="14355"/>
    <cellStyle name="Total 2 2 2 2 2 5 2 3 2" xfId="28677"/>
    <cellStyle name="Total 2 2 2 2 2 5 2 4" xfId="20000"/>
    <cellStyle name="Total 2 2 2 2 2 5 3" xfId="12868"/>
    <cellStyle name="Total 2 2 2 2 2 5 3 2" xfId="27190"/>
    <cellStyle name="Total 2 2 2 2 2 5 4" xfId="18513"/>
    <cellStyle name="Total 2 2 2 2 2 6" xfId="5486"/>
    <cellStyle name="Total 2 2 2 2 2 6 2" xfId="12037"/>
    <cellStyle name="Total 2 2 2 2 2 6 2 2" xfId="26359"/>
    <cellStyle name="Total 2 2 2 2 2 6 3" xfId="17682"/>
    <cellStyle name="Total 2 2 2 2 2 7" xfId="6780"/>
    <cellStyle name="Total 2 2 2 2 2 7 2" xfId="23725"/>
    <cellStyle name="Total 2 2 2 2 2 8" xfId="17150"/>
    <cellStyle name="Total 2 2 2 2 3" xfId="2611"/>
    <cellStyle name="Total 2 2 2 2 3 2" xfId="2612"/>
    <cellStyle name="Total 2 2 2 2 3 2 2" xfId="2613"/>
    <cellStyle name="Total 2 2 2 2 3 2 2 2" xfId="5919"/>
    <cellStyle name="Total 2 2 2 2 3 2 2 2 2" xfId="12474"/>
    <cellStyle name="Total 2 2 2 2 3 2 2 2 2 2" xfId="26796"/>
    <cellStyle name="Total 2 2 2 2 3 2 2 2 3" xfId="18119"/>
    <cellStyle name="Total 2 2 2 2 3 2 2 3" xfId="5295"/>
    <cellStyle name="Total 2 2 2 2 3 2 2 3 2" xfId="9604"/>
    <cellStyle name="Total 2 2 2 2 3 2 2 3 2 2" xfId="15866"/>
    <cellStyle name="Total 2 2 2 2 3 2 2 3 2 2 2" xfId="29282"/>
    <cellStyle name="Total 2 2 2 2 3 2 2 3 2 3" xfId="20611"/>
    <cellStyle name="Total 2 2 2 2 3 2 2 3 3" xfId="11845"/>
    <cellStyle name="Total 2 2 2 2 3 2 2 3 3 2" xfId="26167"/>
    <cellStyle name="Total 2 2 2 2 3 2 2 3 4" xfId="17490"/>
    <cellStyle name="Total 2 2 2 2 3 2 2 4" xfId="4928"/>
    <cellStyle name="Total 2 2 2 2 3 2 2 4 2" xfId="23266"/>
    <cellStyle name="Total 2 2 2 2 3 2 2 5" xfId="6618"/>
    <cellStyle name="Total 2 2 2 2 3 2 3" xfId="2614"/>
    <cellStyle name="Total 2 2 2 2 3 2 3 2" xfId="7936"/>
    <cellStyle name="Total 2 2 2 2 3 2 3 2 2" xfId="10550"/>
    <cellStyle name="Total 2 2 2 2 3 2 3 2 2 2" xfId="16812"/>
    <cellStyle name="Total 2 2 2 2 3 2 3 2 2 2 2" xfId="30228"/>
    <cellStyle name="Total 2 2 2 2 3 2 3 2 2 3" xfId="21557"/>
    <cellStyle name="Total 2 2 2 2 3 2 3 2 3" xfId="14540"/>
    <cellStyle name="Total 2 2 2 2 3 2 3 2 3 2" xfId="28862"/>
    <cellStyle name="Total 2 2 2 2 3 2 3 2 4" xfId="20185"/>
    <cellStyle name="Total 2 2 2 2 3 2 3 3" xfId="13328"/>
    <cellStyle name="Total 2 2 2 2 3 2 3 3 2" xfId="27650"/>
    <cellStyle name="Total 2 2 2 2 3 2 3 4" xfId="18973"/>
    <cellStyle name="Total 2 2 2 2 3 2 4" xfId="5778"/>
    <cellStyle name="Total 2 2 2 2 3 2 4 2" xfId="12331"/>
    <cellStyle name="Total 2 2 2 2 3 2 4 2 2" xfId="26653"/>
    <cellStyle name="Total 2 2 2 2 3 2 4 3" xfId="17976"/>
    <cellStyle name="Total 2 2 2 2 3 2 5" xfId="3802"/>
    <cellStyle name="Total 2 2 2 2 3 2 5 2" xfId="22590"/>
    <cellStyle name="Total 2 2 2 2 3 2 6" xfId="3239"/>
    <cellStyle name="Total 2 2 2 2 3 3" xfId="2615"/>
    <cellStyle name="Total 2 2 2 2 3 3 2" xfId="2616"/>
    <cellStyle name="Total 2 2 2 2 3 3 2 2" xfId="6961"/>
    <cellStyle name="Total 2 2 2 2 3 3 2 2 2" xfId="13565"/>
    <cellStyle name="Total 2 2 2 2 3 3 2 2 2 2" xfId="27887"/>
    <cellStyle name="Total 2 2 2 2 3 3 2 2 3" xfId="19210"/>
    <cellStyle name="Total 2 2 2 2 3 3 2 3" xfId="7200"/>
    <cellStyle name="Total 2 2 2 2 3 3 2 3 2" xfId="9814"/>
    <cellStyle name="Total 2 2 2 2 3 3 2 3 2 2" xfId="16076"/>
    <cellStyle name="Total 2 2 2 2 3 3 2 3 2 2 2" xfId="29492"/>
    <cellStyle name="Total 2 2 2 2 3 3 2 3 2 3" xfId="20821"/>
    <cellStyle name="Total 2 2 2 2 3 3 2 3 3" xfId="13804"/>
    <cellStyle name="Total 2 2 2 2 3 3 2 3 3 2" xfId="28126"/>
    <cellStyle name="Total 2 2 2 2 3 3 2 3 4" xfId="19449"/>
    <cellStyle name="Total 2 2 2 2 3 3 2 4" xfId="11464"/>
    <cellStyle name="Total 2 2 2 2 3 3 2 4 2" xfId="25786"/>
    <cellStyle name="Total 2 2 2 2 3 3 2 5" xfId="17181"/>
    <cellStyle name="Total 2 2 2 2 3 3 3" xfId="2617"/>
    <cellStyle name="Total 2 2 2 2 3 3 3 2" xfId="8031"/>
    <cellStyle name="Total 2 2 2 2 3 3 3 2 2" xfId="10645"/>
    <cellStyle name="Total 2 2 2 2 3 3 3 2 2 2" xfId="16907"/>
    <cellStyle name="Total 2 2 2 2 3 3 3 2 2 2 2" xfId="30323"/>
    <cellStyle name="Total 2 2 2 2 3 3 3 2 2 3" xfId="21652"/>
    <cellStyle name="Total 2 2 2 2 3 3 3 2 3" xfId="14635"/>
    <cellStyle name="Total 2 2 2 2 3 3 3 2 3 2" xfId="28957"/>
    <cellStyle name="Total 2 2 2 2 3 3 3 2 4" xfId="20280"/>
    <cellStyle name="Total 2 2 2 2 3 3 3 3" xfId="13374"/>
    <cellStyle name="Total 2 2 2 2 3 3 3 3 2" xfId="27696"/>
    <cellStyle name="Total 2 2 2 2 3 3 3 4" xfId="19019"/>
    <cellStyle name="Total 2 2 2 2 3 3 4" xfId="5826"/>
    <cellStyle name="Total 2 2 2 2 3 3 4 2" xfId="12379"/>
    <cellStyle name="Total 2 2 2 2 3 3 4 2 2" xfId="26701"/>
    <cellStyle name="Total 2 2 2 2 3 3 4 3" xfId="18024"/>
    <cellStyle name="Total 2 2 2 2 3 3 5" xfId="5124"/>
    <cellStyle name="Total 2 2 2 2 3 3 5 2" xfId="23327"/>
    <cellStyle name="Total 2 2 2 2 3 3 6" xfId="14746"/>
    <cellStyle name="Total 2 2 2 2 3 4" xfId="2618"/>
    <cellStyle name="Total 2 2 2 2 3 4 2" xfId="6865"/>
    <cellStyle name="Total 2 2 2 2 3 4 2 2" xfId="13469"/>
    <cellStyle name="Total 2 2 2 2 3 4 2 2 2" xfId="27791"/>
    <cellStyle name="Total 2 2 2 2 3 4 2 3" xfId="19114"/>
    <cellStyle name="Total 2 2 2 2 3 4 3" xfId="7337"/>
    <cellStyle name="Total 2 2 2 2 3 4 3 2" xfId="9951"/>
    <cellStyle name="Total 2 2 2 2 3 4 3 2 2" xfId="16213"/>
    <cellStyle name="Total 2 2 2 2 3 4 3 2 2 2" xfId="29629"/>
    <cellStyle name="Total 2 2 2 2 3 4 3 2 3" xfId="20958"/>
    <cellStyle name="Total 2 2 2 2 3 4 3 3" xfId="13941"/>
    <cellStyle name="Total 2 2 2 2 3 4 3 3 2" xfId="28263"/>
    <cellStyle name="Total 2 2 2 2 3 4 3 4" xfId="19586"/>
    <cellStyle name="Total 2 2 2 2 3 4 4" xfId="11324"/>
    <cellStyle name="Total 2 2 2 2 3 4 4 2" xfId="25646"/>
    <cellStyle name="Total 2 2 2 2 3 4 5" xfId="3777"/>
    <cellStyle name="Total 2 2 2 2 3 5" xfId="2619"/>
    <cellStyle name="Total 2 2 2 2 3 5 2" xfId="7452"/>
    <cellStyle name="Total 2 2 2 2 3 5 2 2" xfId="10066"/>
    <cellStyle name="Total 2 2 2 2 3 5 2 2 2" xfId="16328"/>
    <cellStyle name="Total 2 2 2 2 3 5 2 2 2 2" xfId="29744"/>
    <cellStyle name="Total 2 2 2 2 3 5 2 2 3" xfId="21073"/>
    <cellStyle name="Total 2 2 2 2 3 5 2 3" xfId="14056"/>
    <cellStyle name="Total 2 2 2 2 3 5 2 3 2" xfId="28378"/>
    <cellStyle name="Total 2 2 2 2 3 5 2 4" xfId="19701"/>
    <cellStyle name="Total 2 2 2 2 3 5 3" xfId="12904"/>
    <cellStyle name="Total 2 2 2 2 3 5 3 2" xfId="27226"/>
    <cellStyle name="Total 2 2 2 2 3 5 4" xfId="18549"/>
    <cellStyle name="Total 2 2 2 2 3 6" xfId="5528"/>
    <cellStyle name="Total 2 2 2 2 3 6 2" xfId="12079"/>
    <cellStyle name="Total 2 2 2 2 3 6 2 2" xfId="26401"/>
    <cellStyle name="Total 2 2 2 2 3 6 3" xfId="17724"/>
    <cellStyle name="Total 2 2 2 2 3 7" xfId="6306"/>
    <cellStyle name="Total 2 2 2 2 3 7 2" xfId="23502"/>
    <cellStyle name="Total 2 2 2 2 3 8" xfId="17397"/>
    <cellStyle name="Total 2 2 2 2 4" xfId="2620"/>
    <cellStyle name="Total 2 2 2 2 4 2" xfId="2621"/>
    <cellStyle name="Total 2 2 2 2 4 2 2" xfId="2622"/>
    <cellStyle name="Total 2 2 2 2 4 2 2 2" xfId="5968"/>
    <cellStyle name="Total 2 2 2 2 4 2 2 2 2" xfId="12526"/>
    <cellStyle name="Total 2 2 2 2 4 2 2 2 2 2" xfId="26848"/>
    <cellStyle name="Total 2 2 2 2 4 2 2 2 3" xfId="18171"/>
    <cellStyle name="Total 2 2 2 2 4 2 2 3" xfId="5305"/>
    <cellStyle name="Total 2 2 2 2 4 2 2 3 2" xfId="9614"/>
    <cellStyle name="Total 2 2 2 2 4 2 2 3 2 2" xfId="15876"/>
    <cellStyle name="Total 2 2 2 2 4 2 2 3 2 2 2" xfId="29292"/>
    <cellStyle name="Total 2 2 2 2 4 2 2 3 2 3" xfId="20621"/>
    <cellStyle name="Total 2 2 2 2 4 2 2 3 3" xfId="11855"/>
    <cellStyle name="Total 2 2 2 2 4 2 2 3 3 2" xfId="26177"/>
    <cellStyle name="Total 2 2 2 2 4 2 2 3 4" xfId="17500"/>
    <cellStyle name="Total 2 2 2 2 4 2 2 4" xfId="4177"/>
    <cellStyle name="Total 2 2 2 2 4 2 2 4 2" xfId="22800"/>
    <cellStyle name="Total 2 2 2 2 4 2 2 5" xfId="14790"/>
    <cellStyle name="Total 2 2 2 2 4 2 3" xfId="2623"/>
    <cellStyle name="Total 2 2 2 2 4 2 3 2" xfId="7693"/>
    <cellStyle name="Total 2 2 2 2 4 2 3 2 2" xfId="10307"/>
    <cellStyle name="Total 2 2 2 2 4 2 3 2 2 2" xfId="16569"/>
    <cellStyle name="Total 2 2 2 2 4 2 3 2 2 2 2" xfId="29985"/>
    <cellStyle name="Total 2 2 2 2 4 2 3 2 2 3" xfId="21314"/>
    <cellStyle name="Total 2 2 2 2 4 2 3 2 3" xfId="14297"/>
    <cellStyle name="Total 2 2 2 2 4 2 3 2 3 2" xfId="28619"/>
    <cellStyle name="Total 2 2 2 2 4 2 3 2 4" xfId="19942"/>
    <cellStyle name="Total 2 2 2 2 4 2 3 3" xfId="13208"/>
    <cellStyle name="Total 2 2 2 2 4 2 3 3 2" xfId="27530"/>
    <cellStyle name="Total 2 2 2 2 4 2 3 4" xfId="18853"/>
    <cellStyle name="Total 2 2 2 2 4 2 4" xfId="5647"/>
    <cellStyle name="Total 2 2 2 2 4 2 4 2" xfId="12200"/>
    <cellStyle name="Total 2 2 2 2 4 2 4 2 2" xfId="26522"/>
    <cellStyle name="Total 2 2 2 2 4 2 4 3" xfId="17845"/>
    <cellStyle name="Total 2 2 2 2 4 2 5" xfId="4037"/>
    <cellStyle name="Total 2 2 2 2 4 2 5 2" xfId="22715"/>
    <cellStyle name="Total 2 2 2 2 4 2 6" xfId="15279"/>
    <cellStyle name="Total 2 2 2 2 4 3" xfId="2624"/>
    <cellStyle name="Total 2 2 2 2 4 3 2" xfId="2625"/>
    <cellStyle name="Total 2 2 2 2 4 3 2 2" xfId="6970"/>
    <cellStyle name="Total 2 2 2 2 4 3 2 2 2" xfId="13574"/>
    <cellStyle name="Total 2 2 2 2 4 3 2 2 2 2" xfId="27896"/>
    <cellStyle name="Total 2 2 2 2 4 3 2 2 3" xfId="19219"/>
    <cellStyle name="Total 2 2 2 2 4 3 2 3" xfId="5266"/>
    <cellStyle name="Total 2 2 2 2 4 3 2 3 2" xfId="9575"/>
    <cellStyle name="Total 2 2 2 2 4 3 2 3 2 2" xfId="15837"/>
    <cellStyle name="Total 2 2 2 2 4 3 2 3 2 2 2" xfId="29253"/>
    <cellStyle name="Total 2 2 2 2 4 3 2 3 2 3" xfId="20582"/>
    <cellStyle name="Total 2 2 2 2 4 3 2 3 3" xfId="11816"/>
    <cellStyle name="Total 2 2 2 2 4 3 2 3 3 2" xfId="26138"/>
    <cellStyle name="Total 2 2 2 2 4 3 2 3 4" xfId="17461"/>
    <cellStyle name="Total 2 2 2 2 4 3 2 4" xfId="11477"/>
    <cellStyle name="Total 2 2 2 2 4 3 2 4 2" xfId="25799"/>
    <cellStyle name="Total 2 2 2 2 4 3 2 5" xfId="15399"/>
    <cellStyle name="Total 2 2 2 2 4 3 3" xfId="2626"/>
    <cellStyle name="Total 2 2 2 2 4 3 3 2" xfId="4111"/>
    <cellStyle name="Total 2 2 2 2 4 3 3 2 2" xfId="9430"/>
    <cellStyle name="Total 2 2 2 2 4 3 3 2 2 2" xfId="15692"/>
    <cellStyle name="Total 2 2 2 2 4 3 3 2 2 2 2" xfId="29108"/>
    <cellStyle name="Total 2 2 2 2 4 3 3 2 2 3" xfId="20437"/>
    <cellStyle name="Total 2 2 2 2 4 3 3 2 3" xfId="4105"/>
    <cellStyle name="Total 2 2 2 2 4 3 3 2 3 2" xfId="22760"/>
    <cellStyle name="Total 2 2 2 2 4 3 3 2 4" xfId="14911"/>
    <cellStyle name="Total 2 2 2 2 4 3 3 3" xfId="12617"/>
    <cellStyle name="Total 2 2 2 2 4 3 3 3 2" xfId="26939"/>
    <cellStyle name="Total 2 2 2 2 4 3 3 4" xfId="18262"/>
    <cellStyle name="Total 2 2 2 2 4 3 4" xfId="5171"/>
    <cellStyle name="Total 2 2 2 2 4 3 4 2" xfId="11720"/>
    <cellStyle name="Total 2 2 2 2 4 3 4 2 2" xfId="26042"/>
    <cellStyle name="Total 2 2 2 2 4 3 4 3" xfId="3274"/>
    <cellStyle name="Total 2 2 2 2 4 3 5" xfId="4129"/>
    <cellStyle name="Total 2 2 2 2 4 3 5 2" xfId="22771"/>
    <cellStyle name="Total 2 2 2 2 4 3 6" xfId="15266"/>
    <cellStyle name="Total 2 2 2 2 4 4" xfId="2627"/>
    <cellStyle name="Total 2 2 2 2 4 4 2" xfId="6147"/>
    <cellStyle name="Total 2 2 2 2 4 4 2 2" xfId="12717"/>
    <cellStyle name="Total 2 2 2 2 4 4 2 2 2" xfId="27039"/>
    <cellStyle name="Total 2 2 2 2 4 4 2 3" xfId="18362"/>
    <cellStyle name="Total 2 2 2 2 4 4 3" xfId="7999"/>
    <cellStyle name="Total 2 2 2 2 4 4 3 2" xfId="10613"/>
    <cellStyle name="Total 2 2 2 2 4 4 3 2 2" xfId="16875"/>
    <cellStyle name="Total 2 2 2 2 4 4 3 2 2 2" xfId="30291"/>
    <cellStyle name="Total 2 2 2 2 4 4 3 2 3" xfId="21620"/>
    <cellStyle name="Total 2 2 2 2 4 4 3 3" xfId="14603"/>
    <cellStyle name="Total 2 2 2 2 4 4 3 3 2" xfId="28925"/>
    <cellStyle name="Total 2 2 2 2 4 4 3 4" xfId="20248"/>
    <cellStyle name="Total 2 2 2 2 4 4 4" xfId="3195"/>
    <cellStyle name="Total 2 2 2 2 4 4 4 2" xfId="22436"/>
    <cellStyle name="Total 2 2 2 2 4 4 5" xfId="4600"/>
    <cellStyle name="Total 2 2 2 2 4 5" xfId="2628"/>
    <cellStyle name="Total 2 2 2 2 4 5 2" xfId="8032"/>
    <cellStyle name="Total 2 2 2 2 4 5 2 2" xfId="10646"/>
    <cellStyle name="Total 2 2 2 2 4 5 2 2 2" xfId="16908"/>
    <cellStyle name="Total 2 2 2 2 4 5 2 2 2 2" xfId="30324"/>
    <cellStyle name="Total 2 2 2 2 4 5 2 2 3" xfId="21653"/>
    <cellStyle name="Total 2 2 2 2 4 5 2 3" xfId="14636"/>
    <cellStyle name="Total 2 2 2 2 4 5 2 3 2" xfId="28958"/>
    <cellStyle name="Total 2 2 2 2 4 5 2 4" xfId="20281"/>
    <cellStyle name="Total 2 2 2 2 4 5 3" xfId="12469"/>
    <cellStyle name="Total 2 2 2 2 4 5 3 2" xfId="26791"/>
    <cellStyle name="Total 2 2 2 2 4 5 4" xfId="18114"/>
    <cellStyle name="Total 2 2 2 2 4 6" xfId="5048"/>
    <cellStyle name="Total 2 2 2 2 4 6 2" xfId="11595"/>
    <cellStyle name="Total 2 2 2 2 4 6 2 2" xfId="25917"/>
    <cellStyle name="Total 2 2 2 2 4 6 3" xfId="4203"/>
    <cellStyle name="Total 2 2 2 2 4 7" xfId="4899"/>
    <cellStyle name="Total 2 2 2 2 4 7 2" xfId="23255"/>
    <cellStyle name="Total 2 2 2 2 4 8" xfId="17352"/>
    <cellStyle name="Total 2 2 2 2 5" xfId="2629"/>
    <cellStyle name="Total 2 2 2 2 5 2" xfId="2630"/>
    <cellStyle name="Total 2 2 2 2 5 2 2" xfId="2631"/>
    <cellStyle name="Total 2 2 2 2 5 2 2 2" xfId="6055"/>
    <cellStyle name="Total 2 2 2 2 5 2 2 2 2" xfId="12621"/>
    <cellStyle name="Total 2 2 2 2 5 2 2 2 2 2" xfId="26943"/>
    <cellStyle name="Total 2 2 2 2 5 2 2 2 3" xfId="18266"/>
    <cellStyle name="Total 2 2 2 2 5 2 2 3" xfId="7060"/>
    <cellStyle name="Total 2 2 2 2 5 2 2 3 2" xfId="9674"/>
    <cellStyle name="Total 2 2 2 2 5 2 2 3 2 2" xfId="15936"/>
    <cellStyle name="Total 2 2 2 2 5 2 2 3 2 2 2" xfId="29352"/>
    <cellStyle name="Total 2 2 2 2 5 2 2 3 2 3" xfId="20681"/>
    <cellStyle name="Total 2 2 2 2 5 2 2 3 3" xfId="13664"/>
    <cellStyle name="Total 2 2 2 2 5 2 2 3 3 2" xfId="27986"/>
    <cellStyle name="Total 2 2 2 2 5 2 2 3 4" xfId="19309"/>
    <cellStyle name="Total 2 2 2 2 5 2 2 4" xfId="4480"/>
    <cellStyle name="Total 2 2 2 2 5 2 2 4 2" xfId="22978"/>
    <cellStyle name="Total 2 2 2 2 5 2 2 5" xfId="17328"/>
    <cellStyle name="Total 2 2 2 2 5 2 3" xfId="2632"/>
    <cellStyle name="Total 2 2 2 2 5 2 3 2" xfId="7194"/>
    <cellStyle name="Total 2 2 2 2 5 2 3 2 2" xfId="9808"/>
    <cellStyle name="Total 2 2 2 2 5 2 3 2 2 2" xfId="16070"/>
    <cellStyle name="Total 2 2 2 2 5 2 3 2 2 2 2" xfId="29486"/>
    <cellStyle name="Total 2 2 2 2 5 2 3 2 2 3" xfId="20815"/>
    <cellStyle name="Total 2 2 2 2 5 2 3 2 3" xfId="13798"/>
    <cellStyle name="Total 2 2 2 2 5 2 3 2 3 2" xfId="28120"/>
    <cellStyle name="Total 2 2 2 2 5 2 3 2 4" xfId="19443"/>
    <cellStyle name="Total 2 2 2 2 5 2 3 3" xfId="13177"/>
    <cellStyle name="Total 2 2 2 2 5 2 3 3 2" xfId="27499"/>
    <cellStyle name="Total 2 2 2 2 5 2 3 4" xfId="18822"/>
    <cellStyle name="Total 2 2 2 2 5 2 4" xfId="5600"/>
    <cellStyle name="Total 2 2 2 2 5 2 4 2" xfId="12152"/>
    <cellStyle name="Total 2 2 2 2 5 2 4 2 2" xfId="26474"/>
    <cellStyle name="Total 2 2 2 2 5 2 4 3" xfId="17797"/>
    <cellStyle name="Total 2 2 2 2 5 2 5" xfId="3970"/>
    <cellStyle name="Total 2 2 2 2 5 2 5 2" xfId="22676"/>
    <cellStyle name="Total 2 2 2 2 5 2 6" xfId="4274"/>
    <cellStyle name="Total 2 2 2 2 5 3" xfId="2633"/>
    <cellStyle name="Total 2 2 2 2 5 3 2" xfId="5921"/>
    <cellStyle name="Total 2 2 2 2 5 3 2 2" xfId="12476"/>
    <cellStyle name="Total 2 2 2 2 5 3 2 2 2" xfId="26798"/>
    <cellStyle name="Total 2 2 2 2 5 3 2 3" xfId="18121"/>
    <cellStyle name="Total 2 2 2 2 5 3 3" xfId="7210"/>
    <cellStyle name="Total 2 2 2 2 5 3 3 2" xfId="9824"/>
    <cellStyle name="Total 2 2 2 2 5 3 3 2 2" xfId="16086"/>
    <cellStyle name="Total 2 2 2 2 5 3 3 2 2 2" xfId="29502"/>
    <cellStyle name="Total 2 2 2 2 5 3 3 2 3" xfId="20831"/>
    <cellStyle name="Total 2 2 2 2 5 3 3 3" xfId="13814"/>
    <cellStyle name="Total 2 2 2 2 5 3 3 3 2" xfId="28136"/>
    <cellStyle name="Total 2 2 2 2 5 3 3 4" xfId="19459"/>
    <cellStyle name="Total 2 2 2 2 5 3 4" xfId="4423"/>
    <cellStyle name="Total 2 2 2 2 5 3 4 2" xfId="22941"/>
    <cellStyle name="Total 2 2 2 2 5 3 5" xfId="4372"/>
    <cellStyle name="Total 2 2 2 2 5 4" xfId="2634"/>
    <cellStyle name="Total 2 2 2 2 5 4 2" xfId="7367"/>
    <cellStyle name="Total 2 2 2 2 5 4 2 2" xfId="9981"/>
    <cellStyle name="Total 2 2 2 2 5 4 2 2 2" xfId="16243"/>
    <cellStyle name="Total 2 2 2 2 5 4 2 2 2 2" xfId="29659"/>
    <cellStyle name="Total 2 2 2 2 5 4 2 2 3" xfId="20988"/>
    <cellStyle name="Total 2 2 2 2 5 4 2 3" xfId="13971"/>
    <cellStyle name="Total 2 2 2 2 5 4 2 3 2" xfId="28293"/>
    <cellStyle name="Total 2 2 2 2 5 4 2 4" xfId="19616"/>
    <cellStyle name="Total 2 2 2 2 5 4 3" xfId="12838"/>
    <cellStyle name="Total 2 2 2 2 5 4 3 2" xfId="27160"/>
    <cellStyle name="Total 2 2 2 2 5 4 4" xfId="18483"/>
    <cellStyle name="Total 2 2 2 2 5 5" xfId="5412"/>
    <cellStyle name="Total 2 2 2 2 5 5 2" xfId="11962"/>
    <cellStyle name="Total 2 2 2 2 5 5 2 2" xfId="26284"/>
    <cellStyle name="Total 2 2 2 2 5 5 3" xfId="17607"/>
    <cellStyle name="Total 2 2 2 2 5 6" xfId="4087"/>
    <cellStyle name="Total 2 2 2 2 5 6 2" xfId="22753"/>
    <cellStyle name="Total 2 2 2 2 5 7" xfId="15025"/>
    <cellStyle name="Total 2 2 2 2 6" xfId="2635"/>
    <cellStyle name="Total 2 2 2 2 6 2" xfId="2636"/>
    <cellStyle name="Total 2 2 2 2 6 2 2" xfId="5948"/>
    <cellStyle name="Total 2 2 2 2 6 2 2 2" xfId="12505"/>
    <cellStyle name="Total 2 2 2 2 6 2 2 2 2" xfId="26827"/>
    <cellStyle name="Total 2 2 2 2 6 2 2 3" xfId="18150"/>
    <cellStyle name="Total 2 2 2 2 6 2 3" xfId="7706"/>
    <cellStyle name="Total 2 2 2 2 6 2 3 2" xfId="10320"/>
    <cellStyle name="Total 2 2 2 2 6 2 3 2 2" xfId="16582"/>
    <cellStyle name="Total 2 2 2 2 6 2 3 2 2 2" xfId="29998"/>
    <cellStyle name="Total 2 2 2 2 6 2 3 2 3" xfId="21327"/>
    <cellStyle name="Total 2 2 2 2 6 2 3 3" xfId="14310"/>
    <cellStyle name="Total 2 2 2 2 6 2 3 3 2" xfId="28632"/>
    <cellStyle name="Total 2 2 2 2 6 2 3 4" xfId="19955"/>
    <cellStyle name="Total 2 2 2 2 6 2 4" xfId="4262"/>
    <cellStyle name="Total 2 2 2 2 6 2 4 2" xfId="22857"/>
    <cellStyle name="Total 2 2 2 2 6 2 5" xfId="15063"/>
    <cellStyle name="Total 2 2 2 2 6 3" xfId="2637"/>
    <cellStyle name="Total 2 2 2 2 6 3 2" xfId="7338"/>
    <cellStyle name="Total 2 2 2 2 6 3 2 2" xfId="9952"/>
    <cellStyle name="Total 2 2 2 2 6 3 2 2 2" xfId="16214"/>
    <cellStyle name="Total 2 2 2 2 6 3 2 2 2 2" xfId="29630"/>
    <cellStyle name="Total 2 2 2 2 6 3 2 2 3" xfId="20959"/>
    <cellStyle name="Total 2 2 2 2 6 3 2 3" xfId="13942"/>
    <cellStyle name="Total 2 2 2 2 6 3 2 3 2" xfId="28264"/>
    <cellStyle name="Total 2 2 2 2 6 3 2 4" xfId="19587"/>
    <cellStyle name="Total 2 2 2 2 6 3 3" xfId="13401"/>
    <cellStyle name="Total 2 2 2 2 6 3 3 2" xfId="27723"/>
    <cellStyle name="Total 2 2 2 2 6 3 4" xfId="19046"/>
    <cellStyle name="Total 2 2 2 2 6 4" xfId="5865"/>
    <cellStyle name="Total 2 2 2 2 6 4 2" xfId="12418"/>
    <cellStyle name="Total 2 2 2 2 6 4 2 2" xfId="26740"/>
    <cellStyle name="Total 2 2 2 2 6 4 3" xfId="18063"/>
    <cellStyle name="Total 2 2 2 2 6 5" xfId="6347"/>
    <cellStyle name="Total 2 2 2 2 6 5 2" xfId="23533"/>
    <cellStyle name="Total 2 2 2 2 6 6" xfId="14974"/>
    <cellStyle name="Total 2 2 2 2 7" xfId="2638"/>
    <cellStyle name="Total 2 2 2 2 7 2" xfId="6228"/>
    <cellStyle name="Total 2 2 2 2 7 2 2" xfId="12803"/>
    <cellStyle name="Total 2 2 2 2 7 2 2 2" xfId="27125"/>
    <cellStyle name="Total 2 2 2 2 7 2 3" xfId="18448"/>
    <cellStyle name="Total 2 2 2 2 7 3" xfId="7744"/>
    <cellStyle name="Total 2 2 2 2 7 3 2" xfId="10358"/>
    <cellStyle name="Total 2 2 2 2 7 3 2 2" xfId="16620"/>
    <cellStyle name="Total 2 2 2 2 7 3 2 2 2" xfId="30036"/>
    <cellStyle name="Total 2 2 2 2 7 3 2 3" xfId="21365"/>
    <cellStyle name="Total 2 2 2 2 7 3 3" xfId="14348"/>
    <cellStyle name="Total 2 2 2 2 7 3 3 2" xfId="28670"/>
    <cellStyle name="Total 2 2 2 2 7 3 4" xfId="19993"/>
    <cellStyle name="Total 2 2 2 2 7 4" xfId="4117"/>
    <cellStyle name="Total 2 2 2 2 7 4 2" xfId="22762"/>
    <cellStyle name="Total 2 2 2 2 7 5" xfId="17301"/>
    <cellStyle name="Total 2 2 2 2 8" xfId="2639"/>
    <cellStyle name="Total 2 2 2 2 8 2" xfId="7440"/>
    <cellStyle name="Total 2 2 2 2 8 2 2" xfId="10054"/>
    <cellStyle name="Total 2 2 2 2 8 2 2 2" xfId="16316"/>
    <cellStyle name="Total 2 2 2 2 8 2 2 2 2" xfId="29732"/>
    <cellStyle name="Total 2 2 2 2 8 2 2 3" xfId="21061"/>
    <cellStyle name="Total 2 2 2 2 8 2 3" xfId="14044"/>
    <cellStyle name="Total 2 2 2 2 8 2 3 2" xfId="28366"/>
    <cellStyle name="Total 2 2 2 2 8 2 4" xfId="19689"/>
    <cellStyle name="Total 2 2 2 2 8 3" xfId="12277"/>
    <cellStyle name="Total 2 2 2 2 8 3 2" xfId="26599"/>
    <cellStyle name="Total 2 2 2 2 8 4" xfId="17922"/>
    <cellStyle name="Total 2 2 2 2 9" xfId="5146"/>
    <cellStyle name="Total 2 2 2 2 9 2" xfId="11695"/>
    <cellStyle name="Total 2 2 2 2 9 2 2" xfId="26017"/>
    <cellStyle name="Total 2 2 2 2 9 3" xfId="3266"/>
    <cellStyle name="Total 2 2 2 3" xfId="2640"/>
    <cellStyle name="Total 2 2 2 3 2" xfId="2641"/>
    <cellStyle name="Total 2 2 2 3 2 2" xfId="2642"/>
    <cellStyle name="Total 2 2 2 3 2 2 2" xfId="7026"/>
    <cellStyle name="Total 2 2 2 3 2 2 2 2" xfId="13630"/>
    <cellStyle name="Total 2 2 2 3 2 2 2 2 2" xfId="27952"/>
    <cellStyle name="Total 2 2 2 3 2 2 2 3" xfId="19275"/>
    <cellStyle name="Total 2 2 2 3 2 2 3" xfId="7787"/>
    <cellStyle name="Total 2 2 2 3 2 2 3 2" xfId="10401"/>
    <cellStyle name="Total 2 2 2 3 2 2 3 2 2" xfId="16663"/>
    <cellStyle name="Total 2 2 2 3 2 2 3 2 2 2" xfId="30079"/>
    <cellStyle name="Total 2 2 2 3 2 2 3 2 3" xfId="21408"/>
    <cellStyle name="Total 2 2 2 3 2 2 3 3" xfId="14391"/>
    <cellStyle name="Total 2 2 2 3 2 2 3 3 2" xfId="28713"/>
    <cellStyle name="Total 2 2 2 3 2 2 3 4" xfId="20036"/>
    <cellStyle name="Total 2 2 2 3 2 2 4" xfId="11564"/>
    <cellStyle name="Total 2 2 2 3 2 2 4 2" xfId="25886"/>
    <cellStyle name="Total 2 2 2 3 2 2 5" xfId="15343"/>
    <cellStyle name="Total 2 2 2 3 2 3" xfId="2643"/>
    <cellStyle name="Total 2 2 2 3 2 3 2" xfId="7783"/>
    <cellStyle name="Total 2 2 2 3 2 3 2 2" xfId="10397"/>
    <cellStyle name="Total 2 2 2 3 2 3 2 2 2" xfId="16659"/>
    <cellStyle name="Total 2 2 2 3 2 3 2 2 2 2" xfId="30075"/>
    <cellStyle name="Total 2 2 2 3 2 3 2 2 3" xfId="21404"/>
    <cellStyle name="Total 2 2 2 3 2 3 2 3" xfId="14387"/>
    <cellStyle name="Total 2 2 2 3 2 3 2 3 2" xfId="28709"/>
    <cellStyle name="Total 2 2 2 3 2 3 2 4" xfId="20032"/>
    <cellStyle name="Total 2 2 2 3 2 3 3" xfId="13215"/>
    <cellStyle name="Total 2 2 2 3 2 3 3 2" xfId="27537"/>
    <cellStyle name="Total 2 2 2 3 2 3 4" xfId="18860"/>
    <cellStyle name="Total 2 2 2 3 2 4" xfId="5655"/>
    <cellStyle name="Total 2 2 2 3 2 4 2" xfId="12208"/>
    <cellStyle name="Total 2 2 2 3 2 4 2 2" xfId="26530"/>
    <cellStyle name="Total 2 2 2 3 2 4 3" xfId="17853"/>
    <cellStyle name="Total 2 2 2 3 2 5" xfId="4855"/>
    <cellStyle name="Total 2 2 2 3 2 5 2" xfId="23224"/>
    <cellStyle name="Total 2 2 2 3 2 6" xfId="6462"/>
    <cellStyle name="Total 2 2 2 3 3" xfId="2644"/>
    <cellStyle name="Total 2 2 2 3 3 2" xfId="2645"/>
    <cellStyle name="Total 2 2 2 3 3 2 2" xfId="5686"/>
    <cellStyle name="Total 2 2 2 3 3 2 2 2" xfId="12239"/>
    <cellStyle name="Total 2 2 2 3 3 2 2 2 2" xfId="26561"/>
    <cellStyle name="Total 2 2 2 3 3 2 2 3" xfId="17884"/>
    <cellStyle name="Total 2 2 2 3 3 2 3" xfId="7892"/>
    <cellStyle name="Total 2 2 2 3 3 2 3 2" xfId="10506"/>
    <cellStyle name="Total 2 2 2 3 3 2 3 2 2" xfId="16768"/>
    <cellStyle name="Total 2 2 2 3 3 2 3 2 2 2" xfId="30184"/>
    <cellStyle name="Total 2 2 2 3 3 2 3 2 3" xfId="21513"/>
    <cellStyle name="Total 2 2 2 3 3 2 3 3" xfId="14496"/>
    <cellStyle name="Total 2 2 2 3 3 2 3 3 2" xfId="28818"/>
    <cellStyle name="Total 2 2 2 3 3 2 3 4" xfId="20141"/>
    <cellStyle name="Total 2 2 2 3 3 2 4" xfId="6171"/>
    <cellStyle name="Total 2 2 2 3 3 2 4 2" xfId="23440"/>
    <cellStyle name="Total 2 2 2 3 3 2 5" xfId="15385"/>
    <cellStyle name="Total 2 2 2 3 3 3" xfId="2646"/>
    <cellStyle name="Total 2 2 2 3 3 3 2" xfId="7973"/>
    <cellStyle name="Total 2 2 2 3 3 3 2 2" xfId="10587"/>
    <cellStyle name="Total 2 2 2 3 3 3 2 2 2" xfId="16849"/>
    <cellStyle name="Total 2 2 2 3 3 3 2 2 2 2" xfId="30265"/>
    <cellStyle name="Total 2 2 2 3 3 3 2 2 3" xfId="21594"/>
    <cellStyle name="Total 2 2 2 3 3 3 2 3" xfId="14577"/>
    <cellStyle name="Total 2 2 2 3 3 3 2 3 2" xfId="28899"/>
    <cellStyle name="Total 2 2 2 3 3 3 2 4" xfId="20222"/>
    <cellStyle name="Total 2 2 2 3 3 3 3" xfId="13255"/>
    <cellStyle name="Total 2 2 2 3 3 3 3 2" xfId="27577"/>
    <cellStyle name="Total 2 2 2 3 3 3 4" xfId="18900"/>
    <cellStyle name="Total 2 2 2 3 3 4" xfId="5698"/>
    <cellStyle name="Total 2 2 2 3 3 4 2" xfId="12251"/>
    <cellStyle name="Total 2 2 2 3 3 4 2 2" xfId="26573"/>
    <cellStyle name="Total 2 2 2 3 3 4 3" xfId="17896"/>
    <cellStyle name="Total 2 2 2 3 3 5" xfId="4066"/>
    <cellStyle name="Total 2 2 2 3 3 5 2" xfId="22738"/>
    <cellStyle name="Total 2 2 2 3 3 6" xfId="15534"/>
    <cellStyle name="Total 2 2 2 3 4" xfId="2647"/>
    <cellStyle name="Total 2 2 2 3 4 2" xfId="6397"/>
    <cellStyle name="Total 2 2 2 3 4 2 2" xfId="12980"/>
    <cellStyle name="Total 2 2 2 3 4 2 2 2" xfId="27302"/>
    <cellStyle name="Total 2 2 2 3 4 2 3" xfId="18625"/>
    <cellStyle name="Total 2 2 2 3 4 3" xfId="7274"/>
    <cellStyle name="Total 2 2 2 3 4 3 2" xfId="9888"/>
    <cellStyle name="Total 2 2 2 3 4 3 2 2" xfId="16150"/>
    <cellStyle name="Total 2 2 2 3 4 3 2 2 2" xfId="29566"/>
    <cellStyle name="Total 2 2 2 3 4 3 2 3" xfId="20895"/>
    <cellStyle name="Total 2 2 2 3 4 3 3" xfId="13878"/>
    <cellStyle name="Total 2 2 2 3 4 3 3 2" xfId="28200"/>
    <cellStyle name="Total 2 2 2 3 4 3 4" xfId="19523"/>
    <cellStyle name="Total 2 2 2 3 4 4" xfId="2837"/>
    <cellStyle name="Total 2 2 2 3 4 4 2" xfId="22400"/>
    <cellStyle name="Total 2 2 2 3 4 5" xfId="14705"/>
    <cellStyle name="Total 2 2 2 3 5" xfId="2648"/>
    <cellStyle name="Total 2 2 2 3 5 2" xfId="7122"/>
    <cellStyle name="Total 2 2 2 3 5 2 2" xfId="9736"/>
    <cellStyle name="Total 2 2 2 3 5 2 2 2" xfId="15998"/>
    <cellStyle name="Total 2 2 2 3 5 2 2 2 2" xfId="29414"/>
    <cellStyle name="Total 2 2 2 3 5 2 2 3" xfId="20743"/>
    <cellStyle name="Total 2 2 2 3 5 2 3" xfId="13726"/>
    <cellStyle name="Total 2 2 2 3 5 2 3 2" xfId="28048"/>
    <cellStyle name="Total 2 2 2 3 5 2 4" xfId="19371"/>
    <cellStyle name="Total 2 2 2 3 5 3" xfId="12163"/>
    <cellStyle name="Total 2 2 2 3 5 3 2" xfId="26485"/>
    <cellStyle name="Total 2 2 2 3 5 4" xfId="17808"/>
    <cellStyle name="Total 2 2 2 3 6" xfId="5200"/>
    <cellStyle name="Total 2 2 2 3 6 2" xfId="11749"/>
    <cellStyle name="Total 2 2 2 3 6 2 2" xfId="26071"/>
    <cellStyle name="Total 2 2 2 3 6 3" xfId="3923"/>
    <cellStyle name="Total 2 2 2 3 7" xfId="4728"/>
    <cellStyle name="Total 2 2 2 3 7 2" xfId="23155"/>
    <cellStyle name="Total 2 2 2 3 8" xfId="15342"/>
    <cellStyle name="Total 2 2 2 4" xfId="2649"/>
    <cellStyle name="Total 2 2 2 4 2" xfId="2650"/>
    <cellStyle name="Total 2 2 2 4 2 2" xfId="2651"/>
    <cellStyle name="Total 2 2 2 4 2 2 2" xfId="6960"/>
    <cellStyle name="Total 2 2 2 4 2 2 2 2" xfId="13564"/>
    <cellStyle name="Total 2 2 2 4 2 2 2 2 2" xfId="27886"/>
    <cellStyle name="Total 2 2 2 4 2 2 2 3" xfId="19209"/>
    <cellStyle name="Total 2 2 2 4 2 2 3" xfId="7741"/>
    <cellStyle name="Total 2 2 2 4 2 2 3 2" xfId="10355"/>
    <cellStyle name="Total 2 2 2 4 2 2 3 2 2" xfId="16617"/>
    <cellStyle name="Total 2 2 2 4 2 2 3 2 2 2" xfId="30033"/>
    <cellStyle name="Total 2 2 2 4 2 2 3 2 3" xfId="21362"/>
    <cellStyle name="Total 2 2 2 4 2 2 3 3" xfId="14345"/>
    <cellStyle name="Total 2 2 2 4 2 2 3 3 2" xfId="28667"/>
    <cellStyle name="Total 2 2 2 4 2 2 3 4" xfId="19990"/>
    <cellStyle name="Total 2 2 2 4 2 2 4" xfId="11463"/>
    <cellStyle name="Total 2 2 2 4 2 2 4 2" xfId="25785"/>
    <cellStyle name="Total 2 2 2 4 2 2 5" xfId="15323"/>
    <cellStyle name="Total 2 2 2 4 2 3" xfId="2652"/>
    <cellStyle name="Total 2 2 2 4 2 3 2" xfId="7254"/>
    <cellStyle name="Total 2 2 2 4 2 3 2 2" xfId="9868"/>
    <cellStyle name="Total 2 2 2 4 2 3 2 2 2" xfId="16130"/>
    <cellStyle name="Total 2 2 2 4 2 3 2 2 2 2" xfId="29546"/>
    <cellStyle name="Total 2 2 2 4 2 3 2 2 3" xfId="20875"/>
    <cellStyle name="Total 2 2 2 4 2 3 2 3" xfId="13858"/>
    <cellStyle name="Total 2 2 2 4 2 3 2 3 2" xfId="28180"/>
    <cellStyle name="Total 2 2 2 4 2 3 2 4" xfId="19503"/>
    <cellStyle name="Total 2 2 2 4 2 3 3" xfId="13273"/>
    <cellStyle name="Total 2 2 2 4 2 3 3 2" xfId="27595"/>
    <cellStyle name="Total 2 2 2 4 2 3 4" xfId="18918"/>
    <cellStyle name="Total 2 2 2 4 2 4" xfId="5719"/>
    <cellStyle name="Total 2 2 2 4 2 4 2" xfId="12272"/>
    <cellStyle name="Total 2 2 2 4 2 4 2 2" xfId="26594"/>
    <cellStyle name="Total 2 2 2 4 2 4 3" xfId="17917"/>
    <cellStyle name="Total 2 2 2 4 2 5" xfId="5911"/>
    <cellStyle name="Total 2 2 2 4 2 5 2" xfId="23371"/>
    <cellStyle name="Total 2 2 2 4 2 6" xfId="14985"/>
    <cellStyle name="Total 2 2 2 4 3" xfId="2653"/>
    <cellStyle name="Total 2 2 2 4 3 2" xfId="2654"/>
    <cellStyle name="Total 2 2 2 4 3 2 2" xfId="6521"/>
    <cellStyle name="Total 2 2 2 4 3 2 2 2" xfId="13109"/>
    <cellStyle name="Total 2 2 2 4 3 2 2 2 2" xfId="27431"/>
    <cellStyle name="Total 2 2 2 4 3 2 2 3" xfId="18754"/>
    <cellStyle name="Total 2 2 2 4 3 2 3" xfId="7598"/>
    <cellStyle name="Total 2 2 2 4 3 2 3 2" xfId="10212"/>
    <cellStyle name="Total 2 2 2 4 3 2 3 2 2" xfId="16474"/>
    <cellStyle name="Total 2 2 2 4 3 2 3 2 2 2" xfId="29890"/>
    <cellStyle name="Total 2 2 2 4 3 2 3 2 3" xfId="21219"/>
    <cellStyle name="Total 2 2 2 4 3 2 3 3" xfId="14202"/>
    <cellStyle name="Total 2 2 2 4 3 2 3 3 2" xfId="28524"/>
    <cellStyle name="Total 2 2 2 4 3 2 3 4" xfId="19847"/>
    <cellStyle name="Total 2 2 2 4 3 2 4" xfId="2836"/>
    <cellStyle name="Total 2 2 2 4 3 2 4 2" xfId="22399"/>
    <cellStyle name="Total 2 2 2 4 3 2 5" xfId="17164"/>
    <cellStyle name="Total 2 2 2 4 3 3" xfId="2655"/>
    <cellStyle name="Total 2 2 2 4 3 3 2" xfId="8044"/>
    <cellStyle name="Total 2 2 2 4 3 3 2 2" xfId="10658"/>
    <cellStyle name="Total 2 2 2 4 3 3 2 2 2" xfId="16920"/>
    <cellStyle name="Total 2 2 2 4 3 3 2 2 2 2" xfId="30336"/>
    <cellStyle name="Total 2 2 2 4 3 3 2 2 3" xfId="21665"/>
    <cellStyle name="Total 2 2 2 4 3 3 2 3" xfId="14648"/>
    <cellStyle name="Total 2 2 2 4 3 3 2 3 2" xfId="28970"/>
    <cellStyle name="Total 2 2 2 4 3 3 2 4" xfId="20293"/>
    <cellStyle name="Total 2 2 2 4 3 3 3" xfId="13256"/>
    <cellStyle name="Total 2 2 2 4 3 3 3 2" xfId="27578"/>
    <cellStyle name="Total 2 2 2 4 3 3 4" xfId="18901"/>
    <cellStyle name="Total 2 2 2 4 3 4" xfId="5700"/>
    <cellStyle name="Total 2 2 2 4 3 4 2" xfId="12253"/>
    <cellStyle name="Total 2 2 2 4 3 4 2 2" xfId="26575"/>
    <cellStyle name="Total 2 2 2 4 3 4 3" xfId="17898"/>
    <cellStyle name="Total 2 2 2 4 3 5" xfId="4686"/>
    <cellStyle name="Total 2 2 2 4 3 5 2" xfId="23122"/>
    <cellStyle name="Total 2 2 2 4 3 6" xfId="17330"/>
    <cellStyle name="Total 2 2 2 4 4" xfId="2656"/>
    <cellStyle name="Total 2 2 2 4 4 2" xfId="5592"/>
    <cellStyle name="Total 2 2 2 4 4 2 2" xfId="12144"/>
    <cellStyle name="Total 2 2 2 4 4 2 2 2" xfId="26466"/>
    <cellStyle name="Total 2 2 2 4 4 2 3" xfId="17789"/>
    <cellStyle name="Total 2 2 2 4 4 3" xfId="7539"/>
    <cellStyle name="Total 2 2 2 4 4 3 2" xfId="10153"/>
    <cellStyle name="Total 2 2 2 4 4 3 2 2" xfId="16415"/>
    <cellStyle name="Total 2 2 2 4 4 3 2 2 2" xfId="29831"/>
    <cellStyle name="Total 2 2 2 4 4 3 2 3" xfId="21160"/>
    <cellStyle name="Total 2 2 2 4 4 3 3" xfId="14143"/>
    <cellStyle name="Total 2 2 2 4 4 3 3 2" xfId="28465"/>
    <cellStyle name="Total 2 2 2 4 4 3 4" xfId="19788"/>
    <cellStyle name="Total 2 2 2 4 4 4" xfId="3784"/>
    <cellStyle name="Total 2 2 2 4 4 4 2" xfId="22576"/>
    <cellStyle name="Total 2 2 2 4 4 5" xfId="15467"/>
    <cellStyle name="Total 2 2 2 4 5" xfId="2657"/>
    <cellStyle name="Total 2 2 2 4 5 2" xfId="7750"/>
    <cellStyle name="Total 2 2 2 4 5 2 2" xfId="10364"/>
    <cellStyle name="Total 2 2 2 4 5 2 2 2" xfId="16626"/>
    <cellStyle name="Total 2 2 2 4 5 2 2 2 2" xfId="30042"/>
    <cellStyle name="Total 2 2 2 4 5 2 2 3" xfId="21371"/>
    <cellStyle name="Total 2 2 2 4 5 2 3" xfId="14354"/>
    <cellStyle name="Total 2 2 2 4 5 2 3 2" xfId="28676"/>
    <cellStyle name="Total 2 2 2 4 5 2 4" xfId="19999"/>
    <cellStyle name="Total 2 2 2 4 5 3" xfId="12832"/>
    <cellStyle name="Total 2 2 2 4 5 3 2" xfId="27154"/>
    <cellStyle name="Total 2 2 2 4 5 4" xfId="18477"/>
    <cellStyle name="Total 2 2 2 4 6" xfId="5397"/>
    <cellStyle name="Total 2 2 2 4 6 2" xfId="11947"/>
    <cellStyle name="Total 2 2 2 4 6 2 2" xfId="26269"/>
    <cellStyle name="Total 2 2 2 4 6 3" xfId="17592"/>
    <cellStyle name="Total 2 2 2 4 7" xfId="2800"/>
    <cellStyle name="Total 2 2 2 4 7 2" xfId="22366"/>
    <cellStyle name="Total 2 2 2 4 8" xfId="6714"/>
    <cellStyle name="Total 2 2 2 5" xfId="2658"/>
    <cellStyle name="Total 2 2 2 5 2" xfId="2659"/>
    <cellStyle name="Total 2 2 2 5 2 2" xfId="2660"/>
    <cellStyle name="Total 2 2 2 5 2 2 2" xfId="6424"/>
    <cellStyle name="Total 2 2 2 5 2 2 2 2" xfId="13007"/>
    <cellStyle name="Total 2 2 2 5 2 2 2 2 2" xfId="27329"/>
    <cellStyle name="Total 2 2 2 5 2 2 2 3" xfId="18652"/>
    <cellStyle name="Total 2 2 2 5 2 2 3" xfId="7436"/>
    <cellStyle name="Total 2 2 2 5 2 2 3 2" xfId="10050"/>
    <cellStyle name="Total 2 2 2 5 2 2 3 2 2" xfId="16312"/>
    <cellStyle name="Total 2 2 2 5 2 2 3 2 2 2" xfId="29728"/>
    <cellStyle name="Total 2 2 2 5 2 2 3 2 3" xfId="21057"/>
    <cellStyle name="Total 2 2 2 5 2 2 3 3" xfId="14040"/>
    <cellStyle name="Total 2 2 2 5 2 2 3 3 2" xfId="28362"/>
    <cellStyle name="Total 2 2 2 5 2 2 3 4" xfId="19685"/>
    <cellStyle name="Total 2 2 2 5 2 2 4" xfId="6244"/>
    <cellStyle name="Total 2 2 2 5 2 2 4 2" xfId="23469"/>
    <cellStyle name="Total 2 2 2 5 2 2 5" xfId="15107"/>
    <cellStyle name="Total 2 2 2 5 2 3" xfId="2661"/>
    <cellStyle name="Total 2 2 2 5 2 3 2" xfId="7292"/>
    <cellStyle name="Total 2 2 2 5 2 3 2 2" xfId="9906"/>
    <cellStyle name="Total 2 2 2 5 2 3 2 2 2" xfId="16168"/>
    <cellStyle name="Total 2 2 2 5 2 3 2 2 2 2" xfId="29584"/>
    <cellStyle name="Total 2 2 2 5 2 3 2 2 3" xfId="20913"/>
    <cellStyle name="Total 2 2 2 5 2 3 2 3" xfId="13896"/>
    <cellStyle name="Total 2 2 2 5 2 3 2 3 2" xfId="28218"/>
    <cellStyle name="Total 2 2 2 5 2 3 2 4" xfId="19541"/>
    <cellStyle name="Total 2 2 2 5 2 3 3" xfId="13280"/>
    <cellStyle name="Total 2 2 2 5 2 3 3 2" xfId="27602"/>
    <cellStyle name="Total 2 2 2 5 2 3 4" xfId="18925"/>
    <cellStyle name="Total 2 2 2 5 2 4" xfId="5730"/>
    <cellStyle name="Total 2 2 2 5 2 4 2" xfId="12283"/>
    <cellStyle name="Total 2 2 2 5 2 4 2 2" xfId="26605"/>
    <cellStyle name="Total 2 2 2 5 2 4 3" xfId="17928"/>
    <cellStyle name="Total 2 2 2 5 2 5" xfId="4909"/>
    <cellStyle name="Total 2 2 2 5 2 5 2" xfId="23260"/>
    <cellStyle name="Total 2 2 2 5 2 6" xfId="15103"/>
    <cellStyle name="Total 2 2 2 5 3" xfId="2662"/>
    <cellStyle name="Total 2 2 2 5 3 2" xfId="2663"/>
    <cellStyle name="Total 2 2 2 5 3 2 2" xfId="6974"/>
    <cellStyle name="Total 2 2 2 5 3 2 2 2" xfId="13578"/>
    <cellStyle name="Total 2 2 2 5 3 2 2 2 2" xfId="27900"/>
    <cellStyle name="Total 2 2 2 5 3 2 2 3" xfId="19223"/>
    <cellStyle name="Total 2 2 2 5 3 2 3" xfId="4311"/>
    <cellStyle name="Total 2 2 2 5 3 2 3 2" xfId="9446"/>
    <cellStyle name="Total 2 2 2 5 3 2 3 2 2" xfId="15708"/>
    <cellStyle name="Total 2 2 2 5 3 2 3 2 2 2" xfId="29124"/>
    <cellStyle name="Total 2 2 2 5 3 2 3 2 3" xfId="20453"/>
    <cellStyle name="Total 2 2 2 5 3 2 3 3" xfId="4256"/>
    <cellStyle name="Total 2 2 2 5 3 2 3 3 2" xfId="22854"/>
    <cellStyle name="Total 2 2 2 5 3 2 3 4" xfId="15195"/>
    <cellStyle name="Total 2 2 2 5 3 2 4" xfId="11484"/>
    <cellStyle name="Total 2 2 2 5 3 2 4 2" xfId="25806"/>
    <cellStyle name="Total 2 2 2 5 3 2 5" xfId="4760"/>
    <cellStyle name="Total 2 2 2 5 3 3" xfId="2664"/>
    <cellStyle name="Total 2 2 2 5 3 3 2" xfId="8011"/>
    <cellStyle name="Total 2 2 2 5 3 3 2 2" xfId="10625"/>
    <cellStyle name="Total 2 2 2 5 3 3 2 2 2" xfId="16887"/>
    <cellStyle name="Total 2 2 2 5 3 3 2 2 2 2" xfId="30303"/>
    <cellStyle name="Total 2 2 2 5 3 3 2 2 3" xfId="21632"/>
    <cellStyle name="Total 2 2 2 5 3 3 2 3" xfId="14615"/>
    <cellStyle name="Total 2 2 2 5 3 3 2 3 2" xfId="28937"/>
    <cellStyle name="Total 2 2 2 5 3 3 2 4" xfId="20260"/>
    <cellStyle name="Total 2 2 2 5 3 3 3" xfId="13395"/>
    <cellStyle name="Total 2 2 2 5 3 3 3 2" xfId="27717"/>
    <cellStyle name="Total 2 2 2 5 3 3 4" xfId="19040"/>
    <cellStyle name="Total 2 2 2 5 3 4" xfId="5859"/>
    <cellStyle name="Total 2 2 2 5 3 4 2" xfId="12412"/>
    <cellStyle name="Total 2 2 2 5 3 4 2 2" xfId="26734"/>
    <cellStyle name="Total 2 2 2 5 3 4 3" xfId="18057"/>
    <cellStyle name="Total 2 2 2 5 3 5" xfId="4844"/>
    <cellStyle name="Total 2 2 2 5 3 5 2" xfId="23218"/>
    <cellStyle name="Total 2 2 2 5 3 6" xfId="3619"/>
    <cellStyle name="Total 2 2 2 5 4" xfId="2665"/>
    <cellStyle name="Total 2 2 2 5 4 2" xfId="6234"/>
    <cellStyle name="Total 2 2 2 5 4 2 2" xfId="12809"/>
    <cellStyle name="Total 2 2 2 5 4 2 2 2" xfId="27131"/>
    <cellStyle name="Total 2 2 2 5 4 2 3" xfId="18454"/>
    <cellStyle name="Total 2 2 2 5 4 3" xfId="7762"/>
    <cellStyle name="Total 2 2 2 5 4 3 2" xfId="10376"/>
    <cellStyle name="Total 2 2 2 5 4 3 2 2" xfId="16638"/>
    <cellStyle name="Total 2 2 2 5 4 3 2 2 2" xfId="30054"/>
    <cellStyle name="Total 2 2 2 5 4 3 2 3" xfId="21383"/>
    <cellStyle name="Total 2 2 2 5 4 3 3" xfId="14366"/>
    <cellStyle name="Total 2 2 2 5 4 3 3 2" xfId="28688"/>
    <cellStyle name="Total 2 2 2 5 4 3 4" xfId="20011"/>
    <cellStyle name="Total 2 2 2 5 4 4" xfId="4605"/>
    <cellStyle name="Total 2 2 2 5 4 4 2" xfId="23063"/>
    <cellStyle name="Total 2 2 2 5 4 5" xfId="17262"/>
    <cellStyle name="Total 2 2 2 5 5" xfId="2666"/>
    <cellStyle name="Total 2 2 2 5 5 2" xfId="5286"/>
    <cellStyle name="Total 2 2 2 5 5 2 2" xfId="9595"/>
    <cellStyle name="Total 2 2 2 5 5 2 2 2" xfId="15857"/>
    <cellStyle name="Total 2 2 2 5 5 2 2 2 2" xfId="29273"/>
    <cellStyle name="Total 2 2 2 5 5 2 2 3" xfId="20602"/>
    <cellStyle name="Total 2 2 2 5 5 2 3" xfId="11836"/>
    <cellStyle name="Total 2 2 2 5 5 2 3 2" xfId="26158"/>
    <cellStyle name="Total 2 2 2 5 5 2 4" xfId="17481"/>
    <cellStyle name="Total 2 2 2 5 5 3" xfId="12847"/>
    <cellStyle name="Total 2 2 2 5 5 3 2" xfId="27169"/>
    <cellStyle name="Total 2 2 2 5 5 4" xfId="18492"/>
    <cellStyle name="Total 2 2 2 5 6" xfId="5434"/>
    <cellStyle name="Total 2 2 2 5 6 2" xfId="11985"/>
    <cellStyle name="Total 2 2 2 5 6 2 2" xfId="26307"/>
    <cellStyle name="Total 2 2 2 5 6 3" xfId="17630"/>
    <cellStyle name="Total 2 2 2 5 7" xfId="4703"/>
    <cellStyle name="Total 2 2 2 5 7 2" xfId="23136"/>
    <cellStyle name="Total 2 2 2 5 8" xfId="3256"/>
    <cellStyle name="Total 2 2 2 6" xfId="2667"/>
    <cellStyle name="Total 2 2 2 6 2" xfId="2668"/>
    <cellStyle name="Total 2 2 2 6 2 2" xfId="2669"/>
    <cellStyle name="Total 2 2 2 6 2 2 2" xfId="5937"/>
    <cellStyle name="Total 2 2 2 6 2 2 2 2" xfId="12494"/>
    <cellStyle name="Total 2 2 2 6 2 2 2 2 2" xfId="26816"/>
    <cellStyle name="Total 2 2 2 6 2 2 2 3" xfId="18139"/>
    <cellStyle name="Total 2 2 2 6 2 2 3" xfId="7721"/>
    <cellStyle name="Total 2 2 2 6 2 2 3 2" xfId="10335"/>
    <cellStyle name="Total 2 2 2 6 2 2 3 2 2" xfId="16597"/>
    <cellStyle name="Total 2 2 2 6 2 2 3 2 2 2" xfId="30013"/>
    <cellStyle name="Total 2 2 2 6 2 2 3 2 3" xfId="21342"/>
    <cellStyle name="Total 2 2 2 6 2 2 3 3" xfId="14325"/>
    <cellStyle name="Total 2 2 2 6 2 2 3 3 2" xfId="28647"/>
    <cellStyle name="Total 2 2 2 6 2 2 3 4" xfId="19970"/>
    <cellStyle name="Total 2 2 2 6 2 2 4" xfId="4207"/>
    <cellStyle name="Total 2 2 2 6 2 2 4 2" xfId="22822"/>
    <cellStyle name="Total 2 2 2 6 2 2 5" xfId="16965"/>
    <cellStyle name="Total 2 2 2 6 2 3" xfId="2670"/>
    <cellStyle name="Total 2 2 2 6 2 3 2" xfId="7987"/>
    <cellStyle name="Total 2 2 2 6 2 3 2 2" xfId="10601"/>
    <cellStyle name="Total 2 2 2 6 2 3 2 2 2" xfId="16863"/>
    <cellStyle name="Total 2 2 2 6 2 3 2 2 2 2" xfId="30279"/>
    <cellStyle name="Total 2 2 2 6 2 3 2 2 3" xfId="21608"/>
    <cellStyle name="Total 2 2 2 6 2 3 2 3" xfId="14591"/>
    <cellStyle name="Total 2 2 2 6 2 3 2 3 2" xfId="28913"/>
    <cellStyle name="Total 2 2 2 6 2 3 2 4" xfId="20236"/>
    <cellStyle name="Total 2 2 2 6 2 3 3" xfId="13188"/>
    <cellStyle name="Total 2 2 2 6 2 3 3 2" xfId="27510"/>
    <cellStyle name="Total 2 2 2 6 2 3 4" xfId="18833"/>
    <cellStyle name="Total 2 2 2 6 2 4" xfId="5625"/>
    <cellStyle name="Total 2 2 2 6 2 4 2" xfId="12178"/>
    <cellStyle name="Total 2 2 2 6 2 4 2 2" xfId="26500"/>
    <cellStyle name="Total 2 2 2 6 2 4 3" xfId="17823"/>
    <cellStyle name="Total 2 2 2 6 2 5" xfId="3191"/>
    <cellStyle name="Total 2 2 2 6 2 5 2" xfId="22434"/>
    <cellStyle name="Total 2 2 2 6 2 6" xfId="15301"/>
    <cellStyle name="Total 2 2 2 6 3" xfId="2671"/>
    <cellStyle name="Total 2 2 2 6 3 2" xfId="7008"/>
    <cellStyle name="Total 2 2 2 6 3 2 2" xfId="13612"/>
    <cellStyle name="Total 2 2 2 6 3 2 2 2" xfId="27934"/>
    <cellStyle name="Total 2 2 2 6 3 2 3" xfId="19257"/>
    <cellStyle name="Total 2 2 2 6 3 3" xfId="7976"/>
    <cellStyle name="Total 2 2 2 6 3 3 2" xfId="10590"/>
    <cellStyle name="Total 2 2 2 6 3 3 2 2" xfId="16852"/>
    <cellStyle name="Total 2 2 2 6 3 3 2 2 2" xfId="30268"/>
    <cellStyle name="Total 2 2 2 6 3 3 2 3" xfId="21597"/>
    <cellStyle name="Total 2 2 2 6 3 3 3" xfId="14580"/>
    <cellStyle name="Total 2 2 2 6 3 3 3 2" xfId="28902"/>
    <cellStyle name="Total 2 2 2 6 3 3 4" xfId="20225"/>
    <cellStyle name="Total 2 2 2 6 3 4" xfId="11530"/>
    <cellStyle name="Total 2 2 2 6 3 4 2" xfId="25852"/>
    <cellStyle name="Total 2 2 2 6 3 5" xfId="14869"/>
    <cellStyle name="Total 2 2 2 6 4" xfId="2672"/>
    <cellStyle name="Total 2 2 2 6 4 2" xfId="4812"/>
    <cellStyle name="Total 2 2 2 6 4 2 2" xfId="9493"/>
    <cellStyle name="Total 2 2 2 6 4 2 2 2" xfId="15755"/>
    <cellStyle name="Total 2 2 2 6 4 2 2 2 2" xfId="29171"/>
    <cellStyle name="Total 2 2 2 6 4 2 2 3" xfId="20500"/>
    <cellStyle name="Total 2 2 2 6 4 2 3" xfId="11344"/>
    <cellStyle name="Total 2 2 2 6 4 2 3 2" xfId="25666"/>
    <cellStyle name="Total 2 2 2 6 4 2 4" xfId="15429"/>
    <cellStyle name="Total 2 2 2 6 4 3" xfId="12823"/>
    <cellStyle name="Total 2 2 2 6 4 3 2" xfId="27145"/>
    <cellStyle name="Total 2 2 2 6 4 4" xfId="18468"/>
    <cellStyle name="Total 2 2 2 6 5" xfId="5371"/>
    <cellStyle name="Total 2 2 2 6 5 2" xfId="11921"/>
    <cellStyle name="Total 2 2 2 6 5 2 2" xfId="26243"/>
    <cellStyle name="Total 2 2 2 6 5 3" xfId="17566"/>
    <cellStyle name="Total 2 2 2 6 6" xfId="4041"/>
    <cellStyle name="Total 2 2 2 6 6 2" xfId="22718"/>
    <cellStyle name="Total 2 2 2 6 7" xfId="15364"/>
    <cellStyle name="Total 2 2 2 7" xfId="2673"/>
    <cellStyle name="Total 2 2 2 7 2" xfId="2674"/>
    <cellStyle name="Total 2 2 2 7 2 2" xfId="7001"/>
    <cellStyle name="Total 2 2 2 7 2 2 2" xfId="13605"/>
    <cellStyle name="Total 2 2 2 7 2 2 2 2" xfId="27927"/>
    <cellStyle name="Total 2 2 2 7 2 2 3" xfId="19250"/>
    <cellStyle name="Total 2 2 2 7 2 3" xfId="5321"/>
    <cellStyle name="Total 2 2 2 7 2 3 2" xfId="9630"/>
    <cellStyle name="Total 2 2 2 7 2 3 2 2" xfId="15892"/>
    <cellStyle name="Total 2 2 2 7 2 3 2 2 2" xfId="29308"/>
    <cellStyle name="Total 2 2 2 7 2 3 2 3" xfId="20637"/>
    <cellStyle name="Total 2 2 2 7 2 3 3" xfId="11871"/>
    <cellStyle name="Total 2 2 2 7 2 3 3 2" xfId="26193"/>
    <cellStyle name="Total 2 2 2 7 2 3 4" xfId="17516"/>
    <cellStyle name="Total 2 2 2 7 2 4" xfId="11517"/>
    <cellStyle name="Total 2 2 2 7 2 4 2" xfId="25839"/>
    <cellStyle name="Total 2 2 2 7 2 5" xfId="15159"/>
    <cellStyle name="Total 2 2 2 7 3" xfId="2675"/>
    <cellStyle name="Total 2 2 2 7 3 2" xfId="5260"/>
    <cellStyle name="Total 2 2 2 7 3 2 2" xfId="9569"/>
    <cellStyle name="Total 2 2 2 7 3 2 2 2" xfId="15831"/>
    <cellStyle name="Total 2 2 2 7 3 2 2 2 2" xfId="29247"/>
    <cellStyle name="Total 2 2 2 7 3 2 2 3" xfId="20576"/>
    <cellStyle name="Total 2 2 2 7 3 2 3" xfId="11810"/>
    <cellStyle name="Total 2 2 2 7 3 2 3 2" xfId="26132"/>
    <cellStyle name="Total 2 2 2 7 3 2 4" xfId="17455"/>
    <cellStyle name="Total 2 2 2 7 3 3" xfId="13165"/>
    <cellStyle name="Total 2 2 2 7 3 3 2" xfId="27487"/>
    <cellStyle name="Total 2 2 2 7 3 4" xfId="18810"/>
    <cellStyle name="Total 2 2 2 7 4" xfId="5579"/>
    <cellStyle name="Total 2 2 2 7 4 2" xfId="12131"/>
    <cellStyle name="Total 2 2 2 7 4 2 2" xfId="26453"/>
    <cellStyle name="Total 2 2 2 7 4 3" xfId="17776"/>
    <cellStyle name="Total 2 2 2 7 5" xfId="4857"/>
    <cellStyle name="Total 2 2 2 7 5 2" xfId="23225"/>
    <cellStyle name="Total 2 2 2 7 6" xfId="14849"/>
    <cellStyle name="Total 2 2 2 8" xfId="2676"/>
    <cellStyle name="Total 2 2 2 8 2" xfId="6258"/>
    <cellStyle name="Total 2 2 2 8 2 2" xfId="12837"/>
    <cellStyle name="Total 2 2 2 8 2 2 2" xfId="27159"/>
    <cellStyle name="Total 2 2 2 8 2 3" xfId="18482"/>
    <cellStyle name="Total 2 2 2 8 3" xfId="3635"/>
    <cellStyle name="Total 2 2 2 8 3 2" xfId="9350"/>
    <cellStyle name="Total 2 2 2 8 3 2 2" xfId="15612"/>
    <cellStyle name="Total 2 2 2 8 3 2 2 2" xfId="29028"/>
    <cellStyle name="Total 2 2 2 8 3 2 3" xfId="20357"/>
    <cellStyle name="Total 2 2 2 8 3 3" xfId="4122"/>
    <cellStyle name="Total 2 2 2 8 3 3 2" xfId="22766"/>
    <cellStyle name="Total 2 2 2 8 3 4" xfId="15281"/>
    <cellStyle name="Total 2 2 2 8 4" xfId="2797"/>
    <cellStyle name="Total 2 2 2 8 4 2" xfId="22364"/>
    <cellStyle name="Total 2 2 2 8 5" xfId="17294"/>
    <cellStyle name="Total 2 2 2 9" xfId="2677"/>
    <cellStyle name="Total 2 2 2 9 2" xfId="7256"/>
    <cellStyle name="Total 2 2 2 9 2 2" xfId="9870"/>
    <cellStyle name="Total 2 2 2 9 2 2 2" xfId="16132"/>
    <cellStyle name="Total 2 2 2 9 2 2 2 2" xfId="29548"/>
    <cellStyle name="Total 2 2 2 9 2 2 3" xfId="20877"/>
    <cellStyle name="Total 2 2 2 9 2 3" xfId="13860"/>
    <cellStyle name="Total 2 2 2 9 2 3 2" xfId="28182"/>
    <cellStyle name="Total 2 2 2 9 2 4" xfId="19505"/>
    <cellStyle name="Total 2 2 2 9 3" xfId="12451"/>
    <cellStyle name="Total 2 2 2 9 3 2" xfId="26773"/>
    <cellStyle name="Total 2 2 2 9 4" xfId="18096"/>
    <cellStyle name="Total 2 2 3" xfId="2678"/>
    <cellStyle name="Total 2 2 3 10" xfId="3989"/>
    <cellStyle name="Total 2 2 3 10 2" xfId="22688"/>
    <cellStyle name="Total 2 2 3 11" xfId="17382"/>
    <cellStyle name="Total 2 2 3 2" xfId="2679"/>
    <cellStyle name="Total 2 2 3 2 2" xfId="2680"/>
    <cellStyle name="Total 2 2 3 2 2 2" xfId="2681"/>
    <cellStyle name="Total 2 2 3 2 2 2 2" xfId="5908"/>
    <cellStyle name="Total 2 2 3 2 2 2 2 2" xfId="12462"/>
    <cellStyle name="Total 2 2 3 2 2 2 2 2 2" xfId="26784"/>
    <cellStyle name="Total 2 2 3 2 2 2 2 3" xfId="18107"/>
    <cellStyle name="Total 2 2 3 2 2 2 3" xfId="7105"/>
    <cellStyle name="Total 2 2 3 2 2 2 3 2" xfId="9719"/>
    <cellStyle name="Total 2 2 3 2 2 2 3 2 2" xfId="15981"/>
    <cellStyle name="Total 2 2 3 2 2 2 3 2 2 2" xfId="29397"/>
    <cellStyle name="Total 2 2 3 2 2 2 3 2 3" xfId="20726"/>
    <cellStyle name="Total 2 2 3 2 2 2 3 3" xfId="13709"/>
    <cellStyle name="Total 2 2 3 2 2 2 3 3 2" xfId="28031"/>
    <cellStyle name="Total 2 2 3 2 2 2 3 4" xfId="19354"/>
    <cellStyle name="Total 2 2 3 2 2 2 4" xfId="3155"/>
    <cellStyle name="Total 2 2 3 2 2 2 4 2" xfId="22423"/>
    <cellStyle name="Total 2 2 3 2 2 2 5" xfId="16985"/>
    <cellStyle name="Total 2 2 3 2 2 3" xfId="2682"/>
    <cellStyle name="Total 2 2 3 2 2 3 2" xfId="5281"/>
    <cellStyle name="Total 2 2 3 2 2 3 2 2" xfId="9590"/>
    <cellStyle name="Total 2 2 3 2 2 3 2 2 2" xfId="15852"/>
    <cellStyle name="Total 2 2 3 2 2 3 2 2 2 2" xfId="29268"/>
    <cellStyle name="Total 2 2 3 2 2 3 2 2 3" xfId="20597"/>
    <cellStyle name="Total 2 2 3 2 2 3 2 3" xfId="11831"/>
    <cellStyle name="Total 2 2 3 2 2 3 2 3 2" xfId="26153"/>
    <cellStyle name="Total 2 2 3 2 2 3 2 4" xfId="17476"/>
    <cellStyle name="Total 2 2 3 2 2 3 3" xfId="13297"/>
    <cellStyle name="Total 2 2 3 2 2 3 3 2" xfId="27619"/>
    <cellStyle name="Total 2 2 3 2 2 3 4" xfId="18942"/>
    <cellStyle name="Total 2 2 3 2 2 4" xfId="5747"/>
    <cellStyle name="Total 2 2 3 2 2 4 2" xfId="12300"/>
    <cellStyle name="Total 2 2 3 2 2 4 2 2" xfId="26622"/>
    <cellStyle name="Total 2 2 3 2 2 4 3" xfId="17945"/>
    <cellStyle name="Total 2 2 3 2 2 5" xfId="6060"/>
    <cellStyle name="Total 2 2 3 2 2 5 2" xfId="23402"/>
    <cellStyle name="Total 2 2 3 2 2 6" xfId="14880"/>
    <cellStyle name="Total 2 2 3 2 3" xfId="2683"/>
    <cellStyle name="Total 2 2 3 2 3 2" xfId="2684"/>
    <cellStyle name="Total 2 2 3 2 3 2 2" xfId="6008"/>
    <cellStyle name="Total 2 2 3 2 3 2 2 2" xfId="12567"/>
    <cellStyle name="Total 2 2 3 2 3 2 2 2 2" xfId="26889"/>
    <cellStyle name="Total 2 2 3 2 3 2 2 3" xfId="18212"/>
    <cellStyle name="Total 2 2 3 2 3 2 3" xfId="7049"/>
    <cellStyle name="Total 2 2 3 2 3 2 3 2" xfId="9663"/>
    <cellStyle name="Total 2 2 3 2 3 2 3 2 2" xfId="15925"/>
    <cellStyle name="Total 2 2 3 2 3 2 3 2 2 2" xfId="29341"/>
    <cellStyle name="Total 2 2 3 2 3 2 3 2 3" xfId="20670"/>
    <cellStyle name="Total 2 2 3 2 3 2 3 3" xfId="13653"/>
    <cellStyle name="Total 2 2 3 2 3 2 3 3 2" xfId="27975"/>
    <cellStyle name="Total 2 2 3 2 3 2 3 4" xfId="19298"/>
    <cellStyle name="Total 2 2 3 2 3 2 4" xfId="3797"/>
    <cellStyle name="Total 2 2 3 2 3 2 4 2" xfId="22585"/>
    <cellStyle name="Total 2 2 3 2 3 2 5" xfId="15090"/>
    <cellStyle name="Total 2 2 3 2 3 3" xfId="2685"/>
    <cellStyle name="Total 2 2 3 2 3 3 2" xfId="7699"/>
    <cellStyle name="Total 2 2 3 2 3 3 2 2" xfId="10313"/>
    <cellStyle name="Total 2 2 3 2 3 3 2 2 2" xfId="16575"/>
    <cellStyle name="Total 2 2 3 2 3 3 2 2 2 2" xfId="29991"/>
    <cellStyle name="Total 2 2 3 2 3 3 2 2 3" xfId="21320"/>
    <cellStyle name="Total 2 2 3 2 3 3 2 3" xfId="14303"/>
    <cellStyle name="Total 2 2 3 2 3 3 2 3 2" xfId="28625"/>
    <cellStyle name="Total 2 2 3 2 3 3 2 4" xfId="19948"/>
    <cellStyle name="Total 2 2 3 2 3 3 3" xfId="13429"/>
    <cellStyle name="Total 2 2 3 2 3 3 3 2" xfId="27751"/>
    <cellStyle name="Total 2 2 3 2 3 3 4" xfId="19074"/>
    <cellStyle name="Total 2 2 3 2 3 4" xfId="5906"/>
    <cellStyle name="Total 2 2 3 2 3 4 2" xfId="12460"/>
    <cellStyle name="Total 2 2 3 2 3 4 2 2" xfId="26782"/>
    <cellStyle name="Total 2 2 3 2 3 4 3" xfId="18105"/>
    <cellStyle name="Total 2 2 3 2 3 5" xfId="2783"/>
    <cellStyle name="Total 2 2 3 2 3 5 2" xfId="22352"/>
    <cellStyle name="Total 2 2 3 2 3 6" xfId="15064"/>
    <cellStyle name="Total 2 2 3 2 4" xfId="2686"/>
    <cellStyle name="Total 2 2 3 2 4 2" xfId="6975"/>
    <cellStyle name="Total 2 2 3 2 4 2 2" xfId="13579"/>
    <cellStyle name="Total 2 2 3 2 4 2 2 2" xfId="27901"/>
    <cellStyle name="Total 2 2 3 2 4 2 3" xfId="19224"/>
    <cellStyle name="Total 2 2 3 2 4 3" xfId="4965"/>
    <cellStyle name="Total 2 2 3 2 4 3 2" xfId="9525"/>
    <cellStyle name="Total 2 2 3 2 4 3 2 2" xfId="15787"/>
    <cellStyle name="Total 2 2 3 2 4 3 2 2 2" xfId="29203"/>
    <cellStyle name="Total 2 2 3 2 4 3 2 3" xfId="20532"/>
    <cellStyle name="Total 2 2 3 2 4 3 3" xfId="11506"/>
    <cellStyle name="Total 2 2 3 2 4 3 3 2" xfId="25828"/>
    <cellStyle name="Total 2 2 3 2 4 3 4" xfId="14977"/>
    <cellStyle name="Total 2 2 3 2 4 4" xfId="11485"/>
    <cellStyle name="Total 2 2 3 2 4 4 2" xfId="25807"/>
    <cellStyle name="Total 2 2 3 2 4 5" xfId="15257"/>
    <cellStyle name="Total 2 2 3 2 5" xfId="2687"/>
    <cellStyle name="Total 2 2 3 2 5 2" xfId="7643"/>
    <cellStyle name="Total 2 2 3 2 5 2 2" xfId="10257"/>
    <cellStyle name="Total 2 2 3 2 5 2 2 2" xfId="16519"/>
    <cellStyle name="Total 2 2 3 2 5 2 2 2 2" xfId="29935"/>
    <cellStyle name="Total 2 2 3 2 5 2 2 3" xfId="21264"/>
    <cellStyle name="Total 2 2 3 2 5 2 3" xfId="14247"/>
    <cellStyle name="Total 2 2 3 2 5 2 3 2" xfId="28569"/>
    <cellStyle name="Total 2 2 3 2 5 2 4" xfId="19892"/>
    <cellStyle name="Total 2 2 3 2 5 3" xfId="12873"/>
    <cellStyle name="Total 2 2 3 2 5 3 2" xfId="27195"/>
    <cellStyle name="Total 2 2 3 2 5 4" xfId="18518"/>
    <cellStyle name="Total 2 2 3 2 6" xfId="5491"/>
    <cellStyle name="Total 2 2 3 2 6 2" xfId="12042"/>
    <cellStyle name="Total 2 2 3 2 6 2 2" xfId="26364"/>
    <cellStyle name="Total 2 2 3 2 6 3" xfId="17687"/>
    <cellStyle name="Total 2 2 3 2 7" xfId="4579"/>
    <cellStyle name="Total 2 2 3 2 7 2" xfId="23045"/>
    <cellStyle name="Total 2 2 3 2 8" xfId="4226"/>
    <cellStyle name="Total 2 2 3 3" xfId="2688"/>
    <cellStyle name="Total 2 2 3 3 2" xfId="2689"/>
    <cellStyle name="Total 2 2 3 3 2 2" xfId="2690"/>
    <cellStyle name="Total 2 2 3 3 2 2 2" xfId="6192"/>
    <cellStyle name="Total 2 2 3 3 2 2 2 2" xfId="12765"/>
    <cellStyle name="Total 2 2 3 3 2 2 2 2 2" xfId="27087"/>
    <cellStyle name="Total 2 2 3 3 2 2 2 3" xfId="18410"/>
    <cellStyle name="Total 2 2 3 3 2 2 3" xfId="8006"/>
    <cellStyle name="Total 2 2 3 3 2 2 3 2" xfId="10620"/>
    <cellStyle name="Total 2 2 3 3 2 2 3 2 2" xfId="16882"/>
    <cellStyle name="Total 2 2 3 3 2 2 3 2 2 2" xfId="30298"/>
    <cellStyle name="Total 2 2 3 3 2 2 3 2 3" xfId="21627"/>
    <cellStyle name="Total 2 2 3 3 2 2 3 3" xfId="14610"/>
    <cellStyle name="Total 2 2 3 3 2 2 3 3 2" xfId="28932"/>
    <cellStyle name="Total 2 2 3 3 2 2 3 4" xfId="20255"/>
    <cellStyle name="Total 2 2 3 3 2 2 4" xfId="4043"/>
    <cellStyle name="Total 2 2 3 3 2 2 4 2" xfId="22720"/>
    <cellStyle name="Total 2 2 3 3 2 2 5" xfId="14813"/>
    <cellStyle name="Total 2 2 3 3 2 3" xfId="2691"/>
    <cellStyle name="Total 2 2 3 3 2 3 2" xfId="7877"/>
    <cellStyle name="Total 2 2 3 3 2 3 2 2" xfId="10491"/>
    <cellStyle name="Total 2 2 3 3 2 3 2 2 2" xfId="16753"/>
    <cellStyle name="Total 2 2 3 3 2 3 2 2 2 2" xfId="30169"/>
    <cellStyle name="Total 2 2 3 3 2 3 2 2 3" xfId="21498"/>
    <cellStyle name="Total 2 2 3 3 2 3 2 3" xfId="14481"/>
    <cellStyle name="Total 2 2 3 3 2 3 2 3 2" xfId="28803"/>
    <cellStyle name="Total 2 2 3 3 2 3 2 4" xfId="20126"/>
    <cellStyle name="Total 2 2 3 3 2 3 3" xfId="13333"/>
    <cellStyle name="Total 2 2 3 3 2 3 3 2" xfId="27655"/>
    <cellStyle name="Total 2 2 3 3 2 3 4" xfId="18978"/>
    <cellStyle name="Total 2 2 3 3 2 4" xfId="5783"/>
    <cellStyle name="Total 2 2 3 3 2 4 2" xfId="12336"/>
    <cellStyle name="Total 2 2 3 3 2 4 2 2" xfId="26658"/>
    <cellStyle name="Total 2 2 3 3 2 4 3" xfId="17981"/>
    <cellStyle name="Total 2 2 3 3 2 5" xfId="6305"/>
    <cellStyle name="Total 2 2 3 3 2 5 2" xfId="23501"/>
    <cellStyle name="Total 2 2 3 3 2 6" xfId="15126"/>
    <cellStyle name="Total 2 2 3 3 3" xfId="2692"/>
    <cellStyle name="Total 2 2 3 3 3 2" xfId="2693"/>
    <cellStyle name="Total 2 2 3 3 3 2 2" xfId="4006"/>
    <cellStyle name="Total 2 2 3 3 3 2 2 2" xfId="4941"/>
    <cellStyle name="Total 2 2 3 3 3 2 2 2 2" xfId="23272"/>
    <cellStyle name="Total 2 2 3 3 3 2 2 3" xfId="17144"/>
    <cellStyle name="Total 2 2 3 3 3 2 3" xfId="7712"/>
    <cellStyle name="Total 2 2 3 3 3 2 3 2" xfId="10326"/>
    <cellStyle name="Total 2 2 3 3 3 2 3 2 2" xfId="16588"/>
    <cellStyle name="Total 2 2 3 3 3 2 3 2 2 2" xfId="30004"/>
    <cellStyle name="Total 2 2 3 3 3 2 3 2 3" xfId="21333"/>
    <cellStyle name="Total 2 2 3 3 3 2 3 3" xfId="14316"/>
    <cellStyle name="Total 2 2 3 3 3 2 3 3 2" xfId="28638"/>
    <cellStyle name="Total 2 2 3 3 3 2 3 4" xfId="19961"/>
    <cellStyle name="Total 2 2 3 3 3 2 4" xfId="4330"/>
    <cellStyle name="Total 2 2 3 3 3 2 4 2" xfId="22891"/>
    <cellStyle name="Total 2 2 3 3 3 2 5" xfId="15142"/>
    <cellStyle name="Total 2 2 3 3 3 3" xfId="2694"/>
    <cellStyle name="Total 2 2 3 3 3 3 2" xfId="7555"/>
    <cellStyle name="Total 2 2 3 3 3 3 2 2" xfId="10169"/>
    <cellStyle name="Total 2 2 3 3 3 3 2 2 2" xfId="16431"/>
    <cellStyle name="Total 2 2 3 3 3 3 2 2 2 2" xfId="29847"/>
    <cellStyle name="Total 2 2 3 3 3 3 2 2 3" xfId="21176"/>
    <cellStyle name="Total 2 2 3 3 3 3 2 3" xfId="14159"/>
    <cellStyle name="Total 2 2 3 3 3 3 2 3 2" xfId="28481"/>
    <cellStyle name="Total 2 2 3 3 3 3 2 4" xfId="19804"/>
    <cellStyle name="Total 2 2 3 3 3 3 3" xfId="13405"/>
    <cellStyle name="Total 2 2 3 3 3 3 3 2" xfId="27727"/>
    <cellStyle name="Total 2 2 3 3 3 3 4" xfId="19050"/>
    <cellStyle name="Total 2 2 3 3 3 4" xfId="5870"/>
    <cellStyle name="Total 2 2 3 3 3 4 2" xfId="12423"/>
    <cellStyle name="Total 2 2 3 3 3 4 2 2" xfId="26745"/>
    <cellStyle name="Total 2 2 3 3 3 4 3" xfId="18068"/>
    <cellStyle name="Total 2 2 3 3 3 5" xfId="4160"/>
    <cellStyle name="Total 2 2 3 3 3 5 2" xfId="22790"/>
    <cellStyle name="Total 2 2 3 3 3 6" xfId="14887"/>
    <cellStyle name="Total 2 2 3 3 4" xfId="2695"/>
    <cellStyle name="Total 2 2 3 3 4 2" xfId="6995"/>
    <cellStyle name="Total 2 2 3 3 4 2 2" xfId="13599"/>
    <cellStyle name="Total 2 2 3 3 4 2 2 2" xfId="27921"/>
    <cellStyle name="Total 2 2 3 3 4 2 3" xfId="19244"/>
    <cellStyle name="Total 2 2 3 3 4 3" xfId="7379"/>
    <cellStyle name="Total 2 2 3 3 4 3 2" xfId="9993"/>
    <cellStyle name="Total 2 2 3 3 4 3 2 2" xfId="16255"/>
    <cellStyle name="Total 2 2 3 3 4 3 2 2 2" xfId="29671"/>
    <cellStyle name="Total 2 2 3 3 4 3 2 3" xfId="21000"/>
    <cellStyle name="Total 2 2 3 3 4 3 3" xfId="13983"/>
    <cellStyle name="Total 2 2 3 3 4 3 3 2" xfId="28305"/>
    <cellStyle name="Total 2 2 3 3 4 3 4" xfId="19628"/>
    <cellStyle name="Total 2 2 3 3 4 4" xfId="11509"/>
    <cellStyle name="Total 2 2 3 3 4 4 2" xfId="25831"/>
    <cellStyle name="Total 2 2 3 3 4 5" xfId="17159"/>
    <cellStyle name="Total 2 2 3 3 5" xfId="2696"/>
    <cellStyle name="Total 2 2 3 3 5 2" xfId="5337"/>
    <cellStyle name="Total 2 2 3 3 5 2 2" xfId="9646"/>
    <cellStyle name="Total 2 2 3 3 5 2 2 2" xfId="15908"/>
    <cellStyle name="Total 2 2 3 3 5 2 2 2 2" xfId="29324"/>
    <cellStyle name="Total 2 2 3 3 5 2 2 3" xfId="20653"/>
    <cellStyle name="Total 2 2 3 3 5 2 3" xfId="11887"/>
    <cellStyle name="Total 2 2 3 3 5 2 3 2" xfId="26209"/>
    <cellStyle name="Total 2 2 3 3 5 2 4" xfId="17532"/>
    <cellStyle name="Total 2 2 3 3 5 3" xfId="12909"/>
    <cellStyle name="Total 2 2 3 3 5 3 2" xfId="27231"/>
    <cellStyle name="Total 2 2 3 3 5 4" xfId="18554"/>
    <cellStyle name="Total 2 2 3 3 6" xfId="5533"/>
    <cellStyle name="Total 2 2 3 3 6 2" xfId="12084"/>
    <cellStyle name="Total 2 2 3 3 6 2 2" xfId="26406"/>
    <cellStyle name="Total 2 2 3 3 6 3" xfId="17729"/>
    <cellStyle name="Total 2 2 3 3 7" xfId="6719"/>
    <cellStyle name="Total 2 2 3 3 7 2" xfId="23673"/>
    <cellStyle name="Total 2 2 3 3 8" xfId="16995"/>
    <cellStyle name="Total 2 2 3 4" xfId="2697"/>
    <cellStyle name="Total 2 2 3 4 2" xfId="2698"/>
    <cellStyle name="Total 2 2 3 4 2 2" xfId="2699"/>
    <cellStyle name="Total 2 2 3 4 2 2 2" xfId="6373"/>
    <cellStyle name="Total 2 2 3 4 2 2 2 2" xfId="12956"/>
    <cellStyle name="Total 2 2 3 4 2 2 2 2 2" xfId="27278"/>
    <cellStyle name="Total 2 2 3 4 2 2 2 3" xfId="18601"/>
    <cellStyle name="Total 2 2 3 4 2 2 3" xfId="7077"/>
    <cellStyle name="Total 2 2 3 4 2 2 3 2" xfId="9691"/>
    <cellStyle name="Total 2 2 3 4 2 2 3 2 2" xfId="15953"/>
    <cellStyle name="Total 2 2 3 4 2 2 3 2 2 2" xfId="29369"/>
    <cellStyle name="Total 2 2 3 4 2 2 3 2 3" xfId="20698"/>
    <cellStyle name="Total 2 2 3 4 2 2 3 3" xfId="13681"/>
    <cellStyle name="Total 2 2 3 4 2 2 3 3 2" xfId="28003"/>
    <cellStyle name="Total 2 2 3 4 2 2 3 4" xfId="19326"/>
    <cellStyle name="Total 2 2 3 4 2 2 4" xfId="4039"/>
    <cellStyle name="Total 2 2 3 4 2 2 4 2" xfId="22717"/>
    <cellStyle name="Total 2 2 3 4 2 2 5" xfId="15276"/>
    <cellStyle name="Total 2 2 3 4 2 3" xfId="2700"/>
    <cellStyle name="Total 2 2 3 4 2 3 2" xfId="7684"/>
    <cellStyle name="Total 2 2 3 4 2 3 2 2" xfId="10298"/>
    <cellStyle name="Total 2 2 3 4 2 3 2 2 2" xfId="16560"/>
    <cellStyle name="Total 2 2 3 4 2 3 2 2 2 2" xfId="29976"/>
    <cellStyle name="Total 2 2 3 4 2 3 2 2 3" xfId="21305"/>
    <cellStyle name="Total 2 2 3 4 2 3 2 3" xfId="14288"/>
    <cellStyle name="Total 2 2 3 4 2 3 2 3 2" xfId="28610"/>
    <cellStyle name="Total 2 2 3 4 2 3 2 4" xfId="19933"/>
    <cellStyle name="Total 2 2 3 4 2 3 3" xfId="13282"/>
    <cellStyle name="Total 2 2 3 4 2 3 3 2" xfId="27604"/>
    <cellStyle name="Total 2 2 3 4 2 3 4" xfId="18927"/>
    <cellStyle name="Total 2 2 3 4 2 4" xfId="5732"/>
    <cellStyle name="Total 2 2 3 4 2 4 2" xfId="12285"/>
    <cellStyle name="Total 2 2 3 4 2 4 2 2" xfId="26607"/>
    <cellStyle name="Total 2 2 3 4 2 4 3" xfId="17930"/>
    <cellStyle name="Total 2 2 3 4 2 5" xfId="6731"/>
    <cellStyle name="Total 2 2 3 4 2 5 2" xfId="23684"/>
    <cellStyle name="Total 2 2 3 4 2 6" xfId="6696"/>
    <cellStyle name="Total 2 2 3 4 3" xfId="2701"/>
    <cellStyle name="Total 2 2 3 4 3 2" xfId="2702"/>
    <cellStyle name="Total 2 2 3 4 3 2 2" xfId="6531"/>
    <cellStyle name="Total 2 2 3 4 3 2 2 2" xfId="13119"/>
    <cellStyle name="Total 2 2 3 4 3 2 2 2 2" xfId="27441"/>
    <cellStyle name="Total 2 2 3 4 3 2 2 3" xfId="18764"/>
    <cellStyle name="Total 2 2 3 4 3 2 3" xfId="7389"/>
    <cellStyle name="Total 2 2 3 4 3 2 3 2" xfId="10003"/>
    <cellStyle name="Total 2 2 3 4 3 2 3 2 2" xfId="16265"/>
    <cellStyle name="Total 2 2 3 4 3 2 3 2 2 2" xfId="29681"/>
    <cellStyle name="Total 2 2 3 4 3 2 3 2 3" xfId="21010"/>
    <cellStyle name="Total 2 2 3 4 3 2 3 3" xfId="13993"/>
    <cellStyle name="Total 2 2 3 4 3 2 3 3 2" xfId="28315"/>
    <cellStyle name="Total 2 2 3 4 3 2 3 4" xfId="19638"/>
    <cellStyle name="Total 2 2 3 4 3 2 4" xfId="3596"/>
    <cellStyle name="Total 2 2 3 4 3 2 4 2" xfId="22479"/>
    <cellStyle name="Total 2 2 3 4 3 2 5" xfId="15426"/>
    <cellStyle name="Total 2 2 3 4 3 3" xfId="2703"/>
    <cellStyle name="Total 2 2 3 4 3 3 2" xfId="7221"/>
    <cellStyle name="Total 2 2 3 4 3 3 2 2" xfId="9835"/>
    <cellStyle name="Total 2 2 3 4 3 3 2 2 2" xfId="16097"/>
    <cellStyle name="Total 2 2 3 4 3 3 2 2 2 2" xfId="29513"/>
    <cellStyle name="Total 2 2 3 4 3 3 2 2 3" xfId="20842"/>
    <cellStyle name="Total 2 2 3 4 3 3 2 3" xfId="13825"/>
    <cellStyle name="Total 2 2 3 4 3 3 2 3 2" xfId="28147"/>
    <cellStyle name="Total 2 2 3 4 3 3 2 4" xfId="19470"/>
    <cellStyle name="Total 2 2 3 4 3 3 3" xfId="12699"/>
    <cellStyle name="Total 2 2 3 4 3 3 3 2" xfId="27021"/>
    <cellStyle name="Total 2 2 3 4 3 3 4" xfId="18344"/>
    <cellStyle name="Total 2 2 3 4 3 4" xfId="5091"/>
    <cellStyle name="Total 2 2 3 4 3 4 2" xfId="11638"/>
    <cellStyle name="Total 2 2 3 4 3 4 2 2" xfId="25960"/>
    <cellStyle name="Total 2 2 3 4 3 4 3" xfId="3244"/>
    <cellStyle name="Total 2 2 3 4 3 5" xfId="4285"/>
    <cellStyle name="Total 2 2 3 4 3 5 2" xfId="22870"/>
    <cellStyle name="Total 2 2 3 4 3 6" xfId="6046"/>
    <cellStyle name="Total 2 2 3 4 4" xfId="2704"/>
    <cellStyle name="Total 2 2 3 4 4 2" xfId="6965"/>
    <cellStyle name="Total 2 2 3 4 4 2 2" xfId="13569"/>
    <cellStyle name="Total 2 2 3 4 4 2 2 2" xfId="27891"/>
    <cellStyle name="Total 2 2 3 4 4 2 3" xfId="19214"/>
    <cellStyle name="Total 2 2 3 4 4 3" xfId="7681"/>
    <cellStyle name="Total 2 2 3 4 4 3 2" xfId="10295"/>
    <cellStyle name="Total 2 2 3 4 4 3 2 2" xfId="16557"/>
    <cellStyle name="Total 2 2 3 4 4 3 2 2 2" xfId="29973"/>
    <cellStyle name="Total 2 2 3 4 4 3 2 3" xfId="21302"/>
    <cellStyle name="Total 2 2 3 4 4 3 3" xfId="14285"/>
    <cellStyle name="Total 2 2 3 4 4 3 3 2" xfId="28607"/>
    <cellStyle name="Total 2 2 3 4 4 3 4" xfId="19930"/>
    <cellStyle name="Total 2 2 3 4 4 4" xfId="11469"/>
    <cellStyle name="Total 2 2 3 4 4 4 2" xfId="25791"/>
    <cellStyle name="Total 2 2 3 4 4 5" xfId="5984"/>
    <cellStyle name="Total 2 2 3 4 5" xfId="2705"/>
    <cellStyle name="Total 2 2 3 4 5 2" xfId="8025"/>
    <cellStyle name="Total 2 2 3 4 5 2 2" xfId="10639"/>
    <cellStyle name="Total 2 2 3 4 5 2 2 2" xfId="16901"/>
    <cellStyle name="Total 2 2 3 4 5 2 2 2 2" xfId="30317"/>
    <cellStyle name="Total 2 2 3 4 5 2 2 3" xfId="21646"/>
    <cellStyle name="Total 2 2 3 4 5 2 3" xfId="14629"/>
    <cellStyle name="Total 2 2 3 4 5 2 3 2" xfId="28951"/>
    <cellStyle name="Total 2 2 3 4 5 2 4" xfId="20274"/>
    <cellStyle name="Total 2 2 3 4 5 3" xfId="12849"/>
    <cellStyle name="Total 2 2 3 4 5 3 2" xfId="27171"/>
    <cellStyle name="Total 2 2 3 4 5 4" xfId="18494"/>
    <cellStyle name="Total 2 2 3 4 6" xfId="5438"/>
    <cellStyle name="Total 2 2 3 4 6 2" xfId="11989"/>
    <cellStyle name="Total 2 2 3 4 6 2 2" xfId="26311"/>
    <cellStyle name="Total 2 2 3 4 6 3" xfId="17634"/>
    <cellStyle name="Total 2 2 3 4 7" xfId="5624"/>
    <cellStyle name="Total 2 2 3 4 7 2" xfId="23358"/>
    <cellStyle name="Total 2 2 3 4 8" xfId="17172"/>
    <cellStyle name="Total 2 2 3 5" xfId="2706"/>
    <cellStyle name="Total 2 2 3 5 2" xfId="2707"/>
    <cellStyle name="Total 2 2 3 5 2 2" xfId="2708"/>
    <cellStyle name="Total 2 2 3 5 2 2 2" xfId="6379"/>
    <cellStyle name="Total 2 2 3 5 2 2 2 2" xfId="12962"/>
    <cellStyle name="Total 2 2 3 5 2 2 2 2 2" xfId="27284"/>
    <cellStyle name="Total 2 2 3 5 2 2 2 3" xfId="18607"/>
    <cellStyle name="Total 2 2 3 5 2 2 3" xfId="7992"/>
    <cellStyle name="Total 2 2 3 5 2 2 3 2" xfId="10606"/>
    <cellStyle name="Total 2 2 3 5 2 2 3 2 2" xfId="16868"/>
    <cellStyle name="Total 2 2 3 5 2 2 3 2 2 2" xfId="30284"/>
    <cellStyle name="Total 2 2 3 5 2 2 3 2 3" xfId="21613"/>
    <cellStyle name="Total 2 2 3 5 2 2 3 3" xfId="14596"/>
    <cellStyle name="Total 2 2 3 5 2 2 3 3 2" xfId="28918"/>
    <cellStyle name="Total 2 2 3 5 2 2 3 4" xfId="20241"/>
    <cellStyle name="Total 2 2 3 5 2 2 4" xfId="6346"/>
    <cellStyle name="Total 2 2 3 5 2 2 4 2" xfId="23532"/>
    <cellStyle name="Total 2 2 3 5 2 2 5" xfId="17280"/>
    <cellStyle name="Total 2 2 3 5 2 3" xfId="2709"/>
    <cellStyle name="Total 2 2 3 5 2 3 2" xfId="7166"/>
    <cellStyle name="Total 2 2 3 5 2 3 2 2" xfId="9780"/>
    <cellStyle name="Total 2 2 3 5 2 3 2 2 2" xfId="16042"/>
    <cellStyle name="Total 2 2 3 5 2 3 2 2 2 2" xfId="29458"/>
    <cellStyle name="Total 2 2 3 5 2 3 2 2 3" xfId="20787"/>
    <cellStyle name="Total 2 2 3 5 2 3 2 3" xfId="13770"/>
    <cellStyle name="Total 2 2 3 5 2 3 2 3 2" xfId="28092"/>
    <cellStyle name="Total 2 2 3 5 2 3 2 4" xfId="19415"/>
    <cellStyle name="Total 2 2 3 5 2 3 3" xfId="13093"/>
    <cellStyle name="Total 2 2 3 5 2 3 3 2" xfId="27415"/>
    <cellStyle name="Total 2 2 3 5 2 3 4" xfId="18738"/>
    <cellStyle name="Total 2 2 3 5 2 4" xfId="5448"/>
    <cellStyle name="Total 2 2 3 5 2 4 2" xfId="11999"/>
    <cellStyle name="Total 2 2 3 5 2 4 2 2" xfId="26321"/>
    <cellStyle name="Total 2 2 3 5 2 4 3" xfId="17644"/>
    <cellStyle name="Total 2 2 3 5 2 5" xfId="6758"/>
    <cellStyle name="Total 2 2 3 5 2 5 2" xfId="23706"/>
    <cellStyle name="Total 2 2 3 5 2 6" xfId="4724"/>
    <cellStyle name="Total 2 2 3 5 3" xfId="2710"/>
    <cellStyle name="Total 2 2 3 5 3 2" xfId="6938"/>
    <cellStyle name="Total 2 2 3 5 3 2 2" xfId="13542"/>
    <cellStyle name="Total 2 2 3 5 3 2 2 2" xfId="27864"/>
    <cellStyle name="Total 2 2 3 5 3 2 3" xfId="19187"/>
    <cellStyle name="Total 2 2 3 5 3 3" xfId="7899"/>
    <cellStyle name="Total 2 2 3 5 3 3 2" xfId="10513"/>
    <cellStyle name="Total 2 2 3 5 3 3 2 2" xfId="16775"/>
    <cellStyle name="Total 2 2 3 5 3 3 2 2 2" xfId="30191"/>
    <cellStyle name="Total 2 2 3 5 3 3 2 3" xfId="21520"/>
    <cellStyle name="Total 2 2 3 5 3 3 3" xfId="14503"/>
    <cellStyle name="Total 2 2 3 5 3 3 3 2" xfId="28825"/>
    <cellStyle name="Total 2 2 3 5 3 3 4" xfId="20148"/>
    <cellStyle name="Total 2 2 3 5 3 4" xfId="11431"/>
    <cellStyle name="Total 2 2 3 5 3 4 2" xfId="25753"/>
    <cellStyle name="Total 2 2 3 5 3 5" xfId="14711"/>
    <cellStyle name="Total 2 2 3 5 4" xfId="2711"/>
    <cellStyle name="Total 2 2 3 5 4 2" xfId="7206"/>
    <cellStyle name="Total 2 2 3 5 4 2 2" xfId="9820"/>
    <cellStyle name="Total 2 2 3 5 4 2 2 2" xfId="16082"/>
    <cellStyle name="Total 2 2 3 5 4 2 2 2 2" xfId="29498"/>
    <cellStyle name="Total 2 2 3 5 4 2 2 3" xfId="20827"/>
    <cellStyle name="Total 2 2 3 5 4 2 3" xfId="13810"/>
    <cellStyle name="Total 2 2 3 5 4 2 3 2" xfId="28132"/>
    <cellStyle name="Total 2 2 3 5 4 2 4" xfId="19455"/>
    <cellStyle name="Total 2 2 3 5 4 3" xfId="12844"/>
    <cellStyle name="Total 2 2 3 5 4 3 2" xfId="27166"/>
    <cellStyle name="Total 2 2 3 5 4 4" xfId="18489"/>
    <cellStyle name="Total 2 2 3 5 5" xfId="5426"/>
    <cellStyle name="Total 2 2 3 5 5 2" xfId="11977"/>
    <cellStyle name="Total 2 2 3 5 5 2 2" xfId="26299"/>
    <cellStyle name="Total 2 2 3 5 5 3" xfId="17622"/>
    <cellStyle name="Total 2 2 3 5 6" xfId="3632"/>
    <cellStyle name="Total 2 2 3 5 6 2" xfId="22495"/>
    <cellStyle name="Total 2 2 3 5 7" xfId="15454"/>
    <cellStyle name="Total 2 2 3 6" xfId="2712"/>
    <cellStyle name="Total 2 2 3 6 2" xfId="2713"/>
    <cellStyle name="Total 2 2 3 6 2 2" xfId="6278"/>
    <cellStyle name="Total 2 2 3 6 2 2 2" xfId="12860"/>
    <cellStyle name="Total 2 2 3 6 2 2 2 2" xfId="27182"/>
    <cellStyle name="Total 2 2 3 6 2 2 3" xfId="18505"/>
    <cellStyle name="Total 2 2 3 6 2 3" xfId="4989"/>
    <cellStyle name="Total 2 2 3 6 2 3 2" xfId="9533"/>
    <cellStyle name="Total 2 2 3 6 2 3 2 2" xfId="15795"/>
    <cellStyle name="Total 2 2 3 6 2 3 2 2 2" xfId="29211"/>
    <cellStyle name="Total 2 2 3 6 2 3 2 3" xfId="20540"/>
    <cellStyle name="Total 2 2 3 6 2 3 3" xfId="11532"/>
    <cellStyle name="Total 2 2 3 6 2 3 3 2" xfId="25854"/>
    <cellStyle name="Total 2 2 3 6 2 3 4" xfId="17339"/>
    <cellStyle name="Total 2 2 3 6 2 4" xfId="5917"/>
    <cellStyle name="Total 2 2 3 6 2 4 2" xfId="23372"/>
    <cellStyle name="Total 2 2 3 6 2 5" xfId="15434"/>
    <cellStyle name="Total 2 2 3 6 3" xfId="2714"/>
    <cellStyle name="Total 2 2 3 6 3 2" xfId="7839"/>
    <cellStyle name="Total 2 2 3 6 3 2 2" xfId="10453"/>
    <cellStyle name="Total 2 2 3 6 3 2 2 2" xfId="16715"/>
    <cellStyle name="Total 2 2 3 6 3 2 2 2 2" xfId="30131"/>
    <cellStyle name="Total 2 2 3 6 3 2 2 3" xfId="21460"/>
    <cellStyle name="Total 2 2 3 6 3 2 3" xfId="14443"/>
    <cellStyle name="Total 2 2 3 6 3 2 3 2" xfId="28765"/>
    <cellStyle name="Total 2 2 3 6 3 2 4" xfId="20088"/>
    <cellStyle name="Total 2 2 3 6 3 3" xfId="12672"/>
    <cellStyle name="Total 2 2 3 6 3 3 2" xfId="26994"/>
    <cellStyle name="Total 2 2 3 6 3 4" xfId="18317"/>
    <cellStyle name="Total 2 2 3 6 4" xfId="5238"/>
    <cellStyle name="Total 2 2 3 6 4 2" xfId="11788"/>
    <cellStyle name="Total 2 2 3 6 4 2 2" xfId="26110"/>
    <cellStyle name="Total 2 2 3 6 4 3" xfId="17433"/>
    <cellStyle name="Total 2 2 3 6 5" xfId="6359"/>
    <cellStyle name="Total 2 2 3 6 5 2" xfId="23543"/>
    <cellStyle name="Total 2 2 3 6 6" xfId="4554"/>
    <cellStyle name="Total 2 2 3 7" xfId="2715"/>
    <cellStyle name="Total 2 2 3 7 2" xfId="6048"/>
    <cellStyle name="Total 2 2 3 7 2 2" xfId="12614"/>
    <cellStyle name="Total 2 2 3 7 2 2 2" xfId="26936"/>
    <cellStyle name="Total 2 2 3 7 2 3" xfId="18259"/>
    <cellStyle name="Total 2 2 3 7 3" xfId="7632"/>
    <cellStyle name="Total 2 2 3 7 3 2" xfId="10246"/>
    <cellStyle name="Total 2 2 3 7 3 2 2" xfId="16508"/>
    <cellStyle name="Total 2 2 3 7 3 2 2 2" xfId="29924"/>
    <cellStyle name="Total 2 2 3 7 3 2 3" xfId="21253"/>
    <cellStyle name="Total 2 2 3 7 3 3" xfId="14236"/>
    <cellStyle name="Total 2 2 3 7 3 3 2" xfId="28558"/>
    <cellStyle name="Total 2 2 3 7 3 4" xfId="19881"/>
    <cellStyle name="Total 2 2 3 7 4" xfId="6732"/>
    <cellStyle name="Total 2 2 3 7 4 2" xfId="23685"/>
    <cellStyle name="Total 2 2 3 7 5" xfId="17214"/>
    <cellStyle name="Total 2 2 3 8" xfId="2716"/>
    <cellStyle name="Total 2 2 3 8 2" xfId="7939"/>
    <cellStyle name="Total 2 2 3 8 2 2" xfId="10553"/>
    <cellStyle name="Total 2 2 3 8 2 2 2" xfId="16815"/>
    <cellStyle name="Total 2 2 3 8 2 2 2 2" xfId="30231"/>
    <cellStyle name="Total 2 2 3 8 2 2 3" xfId="21560"/>
    <cellStyle name="Total 2 2 3 8 2 3" xfId="14543"/>
    <cellStyle name="Total 2 2 3 8 2 3 2" xfId="28865"/>
    <cellStyle name="Total 2 2 3 8 2 4" xfId="20188"/>
    <cellStyle name="Total 2 2 3 8 3" xfId="12500"/>
    <cellStyle name="Total 2 2 3 8 3 2" xfId="26822"/>
    <cellStyle name="Total 2 2 3 8 4" xfId="18145"/>
    <cellStyle name="Total 2 2 3 9" xfId="5168"/>
    <cellStyle name="Total 2 2 3 9 2" xfId="11717"/>
    <cellStyle name="Total 2 2 3 9 2 2" xfId="26039"/>
    <cellStyle name="Total 2 2 3 9 3" xfId="4054"/>
    <cellStyle name="Total 2 2 4" xfId="2717"/>
    <cellStyle name="Total 2 2 4 2" xfId="2718"/>
    <cellStyle name="Total 2 2 4 2 2" xfId="2719"/>
    <cellStyle name="Total 2 2 4 2 2 2" xfId="6056"/>
    <cellStyle name="Total 2 2 4 2 2 2 2" xfId="12622"/>
    <cellStyle name="Total 2 2 4 2 2 2 2 2" xfId="26944"/>
    <cellStyle name="Total 2 2 4 2 2 2 3" xfId="18267"/>
    <cellStyle name="Total 2 2 4 2 2 3" xfId="7986"/>
    <cellStyle name="Total 2 2 4 2 2 3 2" xfId="10600"/>
    <cellStyle name="Total 2 2 4 2 2 3 2 2" xfId="16862"/>
    <cellStyle name="Total 2 2 4 2 2 3 2 2 2" xfId="30278"/>
    <cellStyle name="Total 2 2 4 2 2 3 2 3" xfId="21607"/>
    <cellStyle name="Total 2 2 4 2 2 3 3" xfId="14590"/>
    <cellStyle name="Total 2 2 4 2 2 3 3 2" xfId="28912"/>
    <cellStyle name="Total 2 2 4 2 2 3 4" xfId="20235"/>
    <cellStyle name="Total 2 2 4 2 2 4" xfId="3675"/>
    <cellStyle name="Total 2 2 4 2 2 4 2" xfId="22520"/>
    <cellStyle name="Total 2 2 4 2 2 5" xfId="15059"/>
    <cellStyle name="Total 2 2 4 2 3" xfId="2720"/>
    <cellStyle name="Total 2 2 4 2 3 2" xfId="7871"/>
    <cellStyle name="Total 2 2 4 2 3 2 2" xfId="10485"/>
    <cellStyle name="Total 2 2 4 2 3 2 2 2" xfId="16747"/>
    <cellStyle name="Total 2 2 4 2 3 2 2 2 2" xfId="30163"/>
    <cellStyle name="Total 2 2 4 2 3 2 2 3" xfId="21492"/>
    <cellStyle name="Total 2 2 4 2 3 2 3" xfId="14475"/>
    <cellStyle name="Total 2 2 4 2 3 2 3 2" xfId="28797"/>
    <cellStyle name="Total 2 2 4 2 3 2 4" xfId="20120"/>
    <cellStyle name="Total 2 2 4 2 3 3" xfId="13283"/>
    <cellStyle name="Total 2 2 4 2 3 3 2" xfId="27605"/>
    <cellStyle name="Total 2 2 4 2 3 4" xfId="18928"/>
    <cellStyle name="Total 2 2 4 2 4" xfId="5733"/>
    <cellStyle name="Total 2 2 4 2 4 2" xfId="12286"/>
    <cellStyle name="Total 2 2 4 2 4 2 2" xfId="26608"/>
    <cellStyle name="Total 2 2 4 2 4 3" xfId="17931"/>
    <cellStyle name="Total 2 2 4 2 5" xfId="3748"/>
    <cellStyle name="Total 2 2 4 2 5 2" xfId="22562"/>
    <cellStyle name="Total 2 2 4 2 6" xfId="6095"/>
    <cellStyle name="Total 2 2 4 3" xfId="2721"/>
    <cellStyle name="Total 2 2 4 3 2" xfId="2722"/>
    <cellStyle name="Total 2 2 4 3 2 2" xfId="6915"/>
    <cellStyle name="Total 2 2 4 3 2 2 2" xfId="13519"/>
    <cellStyle name="Total 2 2 4 3 2 2 2 2" xfId="27841"/>
    <cellStyle name="Total 2 2 4 3 2 2 3" xfId="19164"/>
    <cellStyle name="Total 2 2 4 3 2 3" xfId="7633"/>
    <cellStyle name="Total 2 2 4 3 2 3 2" xfId="10247"/>
    <cellStyle name="Total 2 2 4 3 2 3 2 2" xfId="16509"/>
    <cellStyle name="Total 2 2 4 3 2 3 2 2 2" xfId="29925"/>
    <cellStyle name="Total 2 2 4 3 2 3 2 3" xfId="21254"/>
    <cellStyle name="Total 2 2 4 3 2 3 3" xfId="14237"/>
    <cellStyle name="Total 2 2 4 3 2 3 3 2" xfId="28559"/>
    <cellStyle name="Total 2 2 4 3 2 3 4" xfId="19882"/>
    <cellStyle name="Total 2 2 4 3 2 4" xfId="11401"/>
    <cellStyle name="Total 2 2 4 3 2 4 2" xfId="25723"/>
    <cellStyle name="Total 2 2 4 3 2 5" xfId="17322"/>
    <cellStyle name="Total 2 2 4 3 3" xfId="2723"/>
    <cellStyle name="Total 2 2 4 3 3 2" xfId="7616"/>
    <cellStyle name="Total 2 2 4 3 3 2 2" xfId="10230"/>
    <cellStyle name="Total 2 2 4 3 3 2 2 2" xfId="16492"/>
    <cellStyle name="Total 2 2 4 3 3 2 2 2 2" xfId="29908"/>
    <cellStyle name="Total 2 2 4 3 3 2 2 3" xfId="21237"/>
    <cellStyle name="Total 2 2 4 3 3 2 3" xfId="14220"/>
    <cellStyle name="Total 2 2 4 3 3 2 3 2" xfId="28542"/>
    <cellStyle name="Total 2 2 4 3 3 2 4" xfId="19865"/>
    <cellStyle name="Total 2 2 4 3 3 3" xfId="13424"/>
    <cellStyle name="Total 2 2 4 3 3 3 2" xfId="27746"/>
    <cellStyle name="Total 2 2 4 3 3 4" xfId="19069"/>
    <cellStyle name="Total 2 2 4 3 4" xfId="5898"/>
    <cellStyle name="Total 2 2 4 3 4 2" xfId="12452"/>
    <cellStyle name="Total 2 2 4 3 4 2 2" xfId="26774"/>
    <cellStyle name="Total 2 2 4 3 4 3" xfId="18097"/>
    <cellStyle name="Total 2 2 4 3 5" xfId="2826"/>
    <cellStyle name="Total 2 2 4 3 5 2" xfId="22389"/>
    <cellStyle name="Total 2 2 4 3 6" xfId="15272"/>
    <cellStyle name="Total 2 2 4 4" xfId="2724"/>
    <cellStyle name="Total 2 2 4 4 2" xfId="5112"/>
    <cellStyle name="Total 2 2 4 4 2 2" xfId="11660"/>
    <cellStyle name="Total 2 2 4 4 2 2 2" xfId="25982"/>
    <cellStyle name="Total 2 2 4 4 2 3" xfId="15125"/>
    <cellStyle name="Total 2 2 4 4 3" xfId="4755"/>
    <cellStyle name="Total 2 2 4 4 3 2" xfId="9476"/>
    <cellStyle name="Total 2 2 4 4 3 2 2" xfId="15738"/>
    <cellStyle name="Total 2 2 4 4 3 2 2 2" xfId="29154"/>
    <cellStyle name="Total 2 2 4 4 3 2 3" xfId="20483"/>
    <cellStyle name="Total 2 2 4 4 3 3" xfId="2818"/>
    <cellStyle name="Total 2 2 4 4 3 3 2" xfId="22381"/>
    <cellStyle name="Total 2 2 4 4 3 4" xfId="6705"/>
    <cellStyle name="Total 2 2 4 4 4" xfId="5068"/>
    <cellStyle name="Total 2 2 4 4 4 2" xfId="23323"/>
    <cellStyle name="Total 2 2 4 4 5" xfId="14924"/>
    <cellStyle name="Total 2 2 4 5" xfId="2725"/>
    <cellStyle name="Total 2 2 4 5 2" xfId="7823"/>
    <cellStyle name="Total 2 2 4 5 2 2" xfId="10437"/>
    <cellStyle name="Total 2 2 4 5 2 2 2" xfId="16699"/>
    <cellStyle name="Total 2 2 4 5 2 2 2 2" xfId="30115"/>
    <cellStyle name="Total 2 2 4 5 2 2 3" xfId="21444"/>
    <cellStyle name="Total 2 2 4 5 2 3" xfId="14427"/>
    <cellStyle name="Total 2 2 4 5 2 3 2" xfId="28749"/>
    <cellStyle name="Total 2 2 4 5 2 4" xfId="20072"/>
    <cellStyle name="Total 2 2 4 5 3" xfId="12851"/>
    <cellStyle name="Total 2 2 4 5 3 2" xfId="27173"/>
    <cellStyle name="Total 2 2 4 5 4" xfId="18496"/>
    <cellStyle name="Total 2 2 4 6" xfId="5440"/>
    <cellStyle name="Total 2 2 4 6 2" xfId="11991"/>
    <cellStyle name="Total 2 2 4 6 2 2" xfId="26313"/>
    <cellStyle name="Total 2 2 4 6 3" xfId="17636"/>
    <cellStyle name="Total 2 2 4 7" xfId="6098"/>
    <cellStyle name="Total 2 2 4 7 2" xfId="23414"/>
    <cellStyle name="Total 2 2 4 8" xfId="15577"/>
    <cellStyle name="Total 2 2 5" xfId="2726"/>
    <cellStyle name="Total 2 2 5 2" xfId="2727"/>
    <cellStyle name="Total 2 2 5 2 2" xfId="2728"/>
    <cellStyle name="Total 2 2 5 2 2 2" xfId="6371"/>
    <cellStyle name="Total 2 2 5 2 2 2 2" xfId="12954"/>
    <cellStyle name="Total 2 2 5 2 2 2 2 2" xfId="27276"/>
    <cellStyle name="Total 2 2 5 2 2 2 3" xfId="18599"/>
    <cellStyle name="Total 2 2 5 2 2 3" xfId="7062"/>
    <cellStyle name="Total 2 2 5 2 2 3 2" xfId="9676"/>
    <cellStyle name="Total 2 2 5 2 2 3 2 2" xfId="15938"/>
    <cellStyle name="Total 2 2 5 2 2 3 2 2 2" xfId="29354"/>
    <cellStyle name="Total 2 2 5 2 2 3 2 3" xfId="20683"/>
    <cellStyle name="Total 2 2 5 2 2 3 3" xfId="13666"/>
    <cellStyle name="Total 2 2 5 2 2 3 3 2" xfId="27988"/>
    <cellStyle name="Total 2 2 5 2 2 3 4" xfId="19311"/>
    <cellStyle name="Total 2 2 5 2 2 4" xfId="3623"/>
    <cellStyle name="Total 2 2 5 2 2 4 2" xfId="22491"/>
    <cellStyle name="Total 2 2 5 2 2 5" xfId="14938"/>
    <cellStyle name="Total 2 2 5 2 3" xfId="2729"/>
    <cellStyle name="Total 2 2 5 2 3 2" xfId="5335"/>
    <cellStyle name="Total 2 2 5 2 3 2 2" xfId="9644"/>
    <cellStyle name="Total 2 2 5 2 3 2 2 2" xfId="15906"/>
    <cellStyle name="Total 2 2 5 2 3 2 2 2 2" xfId="29322"/>
    <cellStyle name="Total 2 2 5 2 3 2 2 3" xfId="20651"/>
    <cellStyle name="Total 2 2 5 2 3 2 3" xfId="11885"/>
    <cellStyle name="Total 2 2 5 2 3 2 3 2" xfId="26207"/>
    <cellStyle name="Total 2 2 5 2 3 2 4" xfId="17530"/>
    <cellStyle name="Total 2 2 5 2 3 3" xfId="13239"/>
    <cellStyle name="Total 2 2 5 2 3 3 2" xfId="27561"/>
    <cellStyle name="Total 2 2 5 2 3 4" xfId="18884"/>
    <cellStyle name="Total 2 2 5 2 4" xfId="5680"/>
    <cellStyle name="Total 2 2 5 2 4 2" xfId="12233"/>
    <cellStyle name="Total 2 2 5 2 4 2 2" xfId="26555"/>
    <cellStyle name="Total 2 2 5 2 4 3" xfId="17878"/>
    <cellStyle name="Total 2 2 5 2 5" xfId="6767"/>
    <cellStyle name="Total 2 2 5 2 5 2" xfId="23713"/>
    <cellStyle name="Total 2 2 5 2 6" xfId="3886"/>
    <cellStyle name="Total 2 2 5 3" xfId="2730"/>
    <cellStyle name="Total 2 2 5 3 2" xfId="2731"/>
    <cellStyle name="Total 2 2 5 3 2 2" xfId="6561"/>
    <cellStyle name="Total 2 2 5 3 2 2 2" xfId="13149"/>
    <cellStyle name="Total 2 2 5 3 2 2 2 2" xfId="27471"/>
    <cellStyle name="Total 2 2 5 3 2 2 3" xfId="18794"/>
    <cellStyle name="Total 2 2 5 3 2 3" xfId="8001"/>
    <cellStyle name="Total 2 2 5 3 2 3 2" xfId="10615"/>
    <cellStyle name="Total 2 2 5 3 2 3 2 2" xfId="16877"/>
    <cellStyle name="Total 2 2 5 3 2 3 2 2 2" xfId="30293"/>
    <cellStyle name="Total 2 2 5 3 2 3 2 3" xfId="21622"/>
    <cellStyle name="Total 2 2 5 3 2 3 3" xfId="14605"/>
    <cellStyle name="Total 2 2 5 3 2 3 3 2" xfId="28927"/>
    <cellStyle name="Total 2 2 5 3 2 3 4" xfId="20250"/>
    <cellStyle name="Total 2 2 5 3 2 4" xfId="3671"/>
    <cellStyle name="Total 2 2 5 3 2 4 2" xfId="22517"/>
    <cellStyle name="Total 2 2 5 3 2 5" xfId="15114"/>
    <cellStyle name="Total 2 2 5 3 3" xfId="2732"/>
    <cellStyle name="Total 2 2 5 3 3 2" xfId="8024"/>
    <cellStyle name="Total 2 2 5 3 3 2 2" xfId="10638"/>
    <cellStyle name="Total 2 2 5 3 3 2 2 2" xfId="16900"/>
    <cellStyle name="Total 2 2 5 3 3 2 2 2 2" xfId="30316"/>
    <cellStyle name="Total 2 2 5 3 3 2 2 3" xfId="21645"/>
    <cellStyle name="Total 2 2 5 3 3 2 3" xfId="14628"/>
    <cellStyle name="Total 2 2 5 3 3 2 3 2" xfId="28950"/>
    <cellStyle name="Total 2 2 5 3 3 2 4" xfId="20273"/>
    <cellStyle name="Total 2 2 5 3 3 3" xfId="13170"/>
    <cellStyle name="Total 2 2 5 3 3 3 2" xfId="27492"/>
    <cellStyle name="Total 2 2 5 3 3 4" xfId="18815"/>
    <cellStyle name="Total 2 2 5 3 4" xfId="5593"/>
    <cellStyle name="Total 2 2 5 3 4 2" xfId="12145"/>
    <cellStyle name="Total 2 2 5 3 4 2 2" xfId="26467"/>
    <cellStyle name="Total 2 2 5 3 4 3" xfId="17790"/>
    <cellStyle name="Total 2 2 5 3 5" xfId="5009"/>
    <cellStyle name="Total 2 2 5 3 5 2" xfId="23306"/>
    <cellStyle name="Total 2 2 5 3 6" xfId="15221"/>
    <cellStyle name="Total 2 2 5 4" xfId="2733"/>
    <cellStyle name="Total 2 2 5 4 2" xfId="6026"/>
    <cellStyle name="Total 2 2 5 4 2 2" xfId="12587"/>
    <cellStyle name="Total 2 2 5 4 2 2 2" xfId="26909"/>
    <cellStyle name="Total 2 2 5 4 2 3" xfId="18232"/>
    <cellStyle name="Total 2 2 5 4 3" xfId="7172"/>
    <cellStyle name="Total 2 2 5 4 3 2" xfId="9786"/>
    <cellStyle name="Total 2 2 5 4 3 2 2" xfId="16048"/>
    <cellStyle name="Total 2 2 5 4 3 2 2 2" xfId="29464"/>
    <cellStyle name="Total 2 2 5 4 3 2 3" xfId="20793"/>
    <cellStyle name="Total 2 2 5 4 3 3" xfId="13776"/>
    <cellStyle name="Total 2 2 5 4 3 3 2" xfId="28098"/>
    <cellStyle name="Total 2 2 5 4 3 4" xfId="19421"/>
    <cellStyle name="Total 2 2 5 4 4" xfId="6146"/>
    <cellStyle name="Total 2 2 5 4 4 2" xfId="23428"/>
    <cellStyle name="Total 2 2 5 4 5" xfId="3718"/>
    <cellStyle name="Total 2 2 5 5" xfId="2734"/>
    <cellStyle name="Total 2 2 5 5 2" xfId="5285"/>
    <cellStyle name="Total 2 2 5 5 2 2" xfId="9594"/>
    <cellStyle name="Total 2 2 5 5 2 2 2" xfId="15856"/>
    <cellStyle name="Total 2 2 5 5 2 2 2 2" xfId="29272"/>
    <cellStyle name="Total 2 2 5 5 2 2 3" xfId="20601"/>
    <cellStyle name="Total 2 2 5 5 2 3" xfId="11835"/>
    <cellStyle name="Total 2 2 5 5 2 3 2" xfId="26157"/>
    <cellStyle name="Total 2 2 5 5 2 4" xfId="17480"/>
    <cellStyle name="Total 2 2 5 5 3" xfId="12687"/>
    <cellStyle name="Total 2 2 5 5 3 2" xfId="27009"/>
    <cellStyle name="Total 2 2 5 5 4" xfId="18332"/>
    <cellStyle name="Total 2 2 5 6" xfId="5070"/>
    <cellStyle name="Total 2 2 5 6 2" xfId="11617"/>
    <cellStyle name="Total 2 2 5 6 2 2" xfId="25939"/>
    <cellStyle name="Total 2 2 5 6 3" xfId="14760"/>
    <cellStyle name="Total 2 2 5 7" xfId="5036"/>
    <cellStyle name="Total 2 2 5 7 2" xfId="23316"/>
    <cellStyle name="Total 2 2 5 8" xfId="14854"/>
    <cellStyle name="Total 2 2 6" xfId="2735"/>
    <cellStyle name="Total 2 2 6 2" xfId="2736"/>
    <cellStyle name="Total 2 2 6 2 2" xfId="2737"/>
    <cellStyle name="Total 2 2 6 2 2 2" xfId="6018"/>
    <cellStyle name="Total 2 2 6 2 2 2 2" xfId="12578"/>
    <cellStyle name="Total 2 2 6 2 2 2 2 2" xfId="26900"/>
    <cellStyle name="Total 2 2 6 2 2 2 3" xfId="18223"/>
    <cellStyle name="Total 2 2 6 2 2 3" xfId="7438"/>
    <cellStyle name="Total 2 2 6 2 2 3 2" xfId="10052"/>
    <cellStyle name="Total 2 2 6 2 2 3 2 2" xfId="16314"/>
    <cellStyle name="Total 2 2 6 2 2 3 2 2 2" xfId="29730"/>
    <cellStyle name="Total 2 2 6 2 2 3 2 3" xfId="21059"/>
    <cellStyle name="Total 2 2 6 2 2 3 3" xfId="14042"/>
    <cellStyle name="Total 2 2 6 2 2 3 3 2" xfId="28364"/>
    <cellStyle name="Total 2 2 6 2 2 3 4" xfId="19687"/>
    <cellStyle name="Total 2 2 6 2 2 4" xfId="6458"/>
    <cellStyle name="Total 2 2 6 2 2 4 2" xfId="23554"/>
    <cellStyle name="Total 2 2 6 2 2 5" xfId="14954"/>
    <cellStyle name="Total 2 2 6 2 3" xfId="2738"/>
    <cellStyle name="Total 2 2 6 2 3 2" xfId="7381"/>
    <cellStyle name="Total 2 2 6 2 3 2 2" xfId="9995"/>
    <cellStyle name="Total 2 2 6 2 3 2 2 2" xfId="16257"/>
    <cellStyle name="Total 2 2 6 2 3 2 2 2 2" xfId="29673"/>
    <cellStyle name="Total 2 2 6 2 3 2 2 3" xfId="21002"/>
    <cellStyle name="Total 2 2 6 2 3 2 3" xfId="13985"/>
    <cellStyle name="Total 2 2 6 2 3 2 3 2" xfId="28307"/>
    <cellStyle name="Total 2 2 6 2 3 2 4" xfId="19630"/>
    <cellStyle name="Total 2 2 6 2 3 3" xfId="13223"/>
    <cellStyle name="Total 2 2 6 2 3 3 2" xfId="27545"/>
    <cellStyle name="Total 2 2 6 2 3 4" xfId="18868"/>
    <cellStyle name="Total 2 2 6 2 4" xfId="5664"/>
    <cellStyle name="Total 2 2 6 2 4 2" xfId="12217"/>
    <cellStyle name="Total 2 2 6 2 4 2 2" xfId="26539"/>
    <cellStyle name="Total 2 2 6 2 4 3" xfId="17862"/>
    <cellStyle name="Total 2 2 6 2 5" xfId="6191"/>
    <cellStyle name="Total 2 2 6 2 5 2" xfId="23454"/>
    <cellStyle name="Total 2 2 6 2 6" xfId="6782"/>
    <cellStyle name="Total 2 2 6 3" xfId="2739"/>
    <cellStyle name="Total 2 2 6 3 2" xfId="2740"/>
    <cellStyle name="Total 2 2 6 3 2 2" xfId="5088"/>
    <cellStyle name="Total 2 2 6 3 2 2 2" xfId="11635"/>
    <cellStyle name="Total 2 2 6 3 2 2 2 2" xfId="25957"/>
    <cellStyle name="Total 2 2 6 3 2 2 3" xfId="17309"/>
    <cellStyle name="Total 2 2 6 3 2 3" xfId="4517"/>
    <cellStyle name="Total 2 2 6 3 2 3 2" xfId="9473"/>
    <cellStyle name="Total 2 2 6 3 2 3 2 2" xfId="15735"/>
    <cellStyle name="Total 2 2 6 3 2 3 2 2 2" xfId="29151"/>
    <cellStyle name="Total 2 2 6 3 2 3 2 3" xfId="20480"/>
    <cellStyle name="Total 2 2 6 3 2 3 3" xfId="6722"/>
    <cellStyle name="Total 2 2 6 3 2 3 3 2" xfId="23676"/>
    <cellStyle name="Total 2 2 6 3 2 3 4" xfId="15443"/>
    <cellStyle name="Total 2 2 6 3 2 4" xfId="4694"/>
    <cellStyle name="Total 2 2 6 3 2 4 2" xfId="23130"/>
    <cellStyle name="Total 2 2 6 3 2 5" xfId="15016"/>
    <cellStyle name="Total 2 2 6 3 3" xfId="2741"/>
    <cellStyle name="Total 2 2 6 3 3 2" xfId="7262"/>
    <cellStyle name="Total 2 2 6 3 3 2 2" xfId="9876"/>
    <cellStyle name="Total 2 2 6 3 3 2 2 2" xfId="16138"/>
    <cellStyle name="Total 2 2 6 3 3 2 2 2 2" xfId="29554"/>
    <cellStyle name="Total 2 2 6 3 3 2 2 3" xfId="20883"/>
    <cellStyle name="Total 2 2 6 3 3 2 3" xfId="13866"/>
    <cellStyle name="Total 2 2 6 3 3 2 3 2" xfId="28188"/>
    <cellStyle name="Total 2 2 6 3 3 2 4" xfId="19511"/>
    <cellStyle name="Total 2 2 6 3 3 3" xfId="12813"/>
    <cellStyle name="Total 2 2 6 3 3 3 2" xfId="27135"/>
    <cellStyle name="Total 2 2 6 3 3 4" xfId="18458"/>
    <cellStyle name="Total 2 2 6 3 4" xfId="3752"/>
    <cellStyle name="Total 2 2 6 3 4 2" xfId="4658"/>
    <cellStyle name="Total 2 2 6 3 4 2 2" xfId="23099"/>
    <cellStyle name="Total 2 2 6 3 4 3" xfId="16951"/>
    <cellStyle name="Total 2 2 6 3 5" xfId="4218"/>
    <cellStyle name="Total 2 2 6 3 5 2" xfId="22830"/>
    <cellStyle name="Total 2 2 6 3 6" xfId="3240"/>
    <cellStyle name="Total 2 2 6 4" xfId="2742"/>
    <cellStyle name="Total 2 2 6 4 2" xfId="5976"/>
    <cellStyle name="Total 2 2 6 4 2 2" xfId="12534"/>
    <cellStyle name="Total 2 2 6 4 2 2 2" xfId="26856"/>
    <cellStyle name="Total 2 2 6 4 2 3" xfId="18179"/>
    <cellStyle name="Total 2 2 6 4 3" xfId="7483"/>
    <cellStyle name="Total 2 2 6 4 3 2" xfId="10097"/>
    <cellStyle name="Total 2 2 6 4 3 2 2" xfId="16359"/>
    <cellStyle name="Total 2 2 6 4 3 2 2 2" xfId="29775"/>
    <cellStyle name="Total 2 2 6 4 3 2 3" xfId="21104"/>
    <cellStyle name="Total 2 2 6 4 3 3" xfId="14087"/>
    <cellStyle name="Total 2 2 6 4 3 3 2" xfId="28409"/>
    <cellStyle name="Total 2 2 6 4 3 4" xfId="19732"/>
    <cellStyle name="Total 2 2 6 4 4" xfId="4887"/>
    <cellStyle name="Total 2 2 6 4 4 2" xfId="23245"/>
    <cellStyle name="Total 2 2 6 4 5" xfId="17053"/>
    <cellStyle name="Total 2 2 6 5" xfId="2743"/>
    <cellStyle name="Total 2 2 6 5 2" xfId="7508"/>
    <cellStyle name="Total 2 2 6 5 2 2" xfId="10122"/>
    <cellStyle name="Total 2 2 6 5 2 2 2" xfId="16384"/>
    <cellStyle name="Total 2 2 6 5 2 2 2 2" xfId="29800"/>
    <cellStyle name="Total 2 2 6 5 2 2 3" xfId="21129"/>
    <cellStyle name="Total 2 2 6 5 2 3" xfId="14112"/>
    <cellStyle name="Total 2 2 6 5 2 3 2" xfId="28434"/>
    <cellStyle name="Total 2 2 6 5 2 4" xfId="19757"/>
    <cellStyle name="Total 2 2 6 5 3" xfId="12556"/>
    <cellStyle name="Total 2 2 6 5 3 2" xfId="26878"/>
    <cellStyle name="Total 2 2 6 5 4" xfId="18201"/>
    <cellStyle name="Total 2 2 6 6" xfId="5173"/>
    <cellStyle name="Total 2 2 6 6 2" xfId="11722"/>
    <cellStyle name="Total 2 2 6 6 2 2" xfId="26044"/>
    <cellStyle name="Total 2 2 6 6 3" xfId="4967"/>
    <cellStyle name="Total 2 2 6 7" xfId="6457"/>
    <cellStyle name="Total 2 2 6 7 2" xfId="23553"/>
    <cellStyle name="Total 2 2 6 8" xfId="17079"/>
    <cellStyle name="Total 2 2 7" xfId="2744"/>
    <cellStyle name="Total 2 2 7 2" xfId="2745"/>
    <cellStyle name="Total 2 2 7 2 2" xfId="2746"/>
    <cellStyle name="Total 2 2 7 2 2 2" xfId="6414"/>
    <cellStyle name="Total 2 2 7 2 2 2 2" xfId="12997"/>
    <cellStyle name="Total 2 2 7 2 2 2 2 2" xfId="27319"/>
    <cellStyle name="Total 2 2 7 2 2 2 3" xfId="18642"/>
    <cellStyle name="Total 2 2 7 2 2 3" xfId="7970"/>
    <cellStyle name="Total 2 2 7 2 2 3 2" xfId="10584"/>
    <cellStyle name="Total 2 2 7 2 2 3 2 2" xfId="16846"/>
    <cellStyle name="Total 2 2 7 2 2 3 2 2 2" xfId="30262"/>
    <cellStyle name="Total 2 2 7 2 2 3 2 3" xfId="21591"/>
    <cellStyle name="Total 2 2 7 2 2 3 3" xfId="14574"/>
    <cellStyle name="Total 2 2 7 2 2 3 3 2" xfId="28896"/>
    <cellStyle name="Total 2 2 7 2 2 3 4" xfId="20219"/>
    <cellStyle name="Total 2 2 7 2 2 4" xfId="3920"/>
    <cellStyle name="Total 2 2 7 2 2 4 2" xfId="22647"/>
    <cellStyle name="Total 2 2 7 2 2 5" xfId="15028"/>
    <cellStyle name="Total 2 2 7 2 3" xfId="2747"/>
    <cellStyle name="Total 2 2 7 2 3 2" xfId="4106"/>
    <cellStyle name="Total 2 2 7 2 3 2 2" xfId="9426"/>
    <cellStyle name="Total 2 2 7 2 3 2 2 2" xfId="15688"/>
    <cellStyle name="Total 2 2 7 2 3 2 2 2 2" xfId="29104"/>
    <cellStyle name="Total 2 2 7 2 3 2 2 3" xfId="20433"/>
    <cellStyle name="Total 2 2 7 2 3 2 3" xfId="4519"/>
    <cellStyle name="Total 2 2 7 2 3 2 3 2" xfId="23005"/>
    <cellStyle name="Total 2 2 7 2 3 2 4" xfId="15462"/>
    <cellStyle name="Total 2 2 7 2 3 3" xfId="13184"/>
    <cellStyle name="Total 2 2 7 2 3 3 2" xfId="27506"/>
    <cellStyle name="Total 2 2 7 2 3 4" xfId="18829"/>
    <cellStyle name="Total 2 2 7 2 4" xfId="5617"/>
    <cellStyle name="Total 2 2 7 2 4 2" xfId="12170"/>
    <cellStyle name="Total 2 2 7 2 4 2 2" xfId="26492"/>
    <cellStyle name="Total 2 2 7 2 4 3" xfId="17815"/>
    <cellStyle name="Total 2 2 7 2 5" xfId="4044"/>
    <cellStyle name="Total 2 2 7 2 5 2" xfId="22721"/>
    <cellStyle name="Total 2 2 7 2 6" xfId="15355"/>
    <cellStyle name="Total 2 2 7 3" xfId="2748"/>
    <cellStyle name="Total 2 2 7 3 2" xfId="6084"/>
    <cellStyle name="Total 2 2 7 3 2 2" xfId="12650"/>
    <cellStyle name="Total 2 2 7 3 2 2 2" xfId="26972"/>
    <cellStyle name="Total 2 2 7 3 2 3" xfId="18295"/>
    <cellStyle name="Total 2 2 7 3 3" xfId="7806"/>
    <cellStyle name="Total 2 2 7 3 3 2" xfId="10420"/>
    <cellStyle name="Total 2 2 7 3 3 2 2" xfId="16682"/>
    <cellStyle name="Total 2 2 7 3 3 2 2 2" xfId="30098"/>
    <cellStyle name="Total 2 2 7 3 3 2 3" xfId="21427"/>
    <cellStyle name="Total 2 2 7 3 3 3" xfId="14410"/>
    <cellStyle name="Total 2 2 7 3 3 3 2" xfId="28732"/>
    <cellStyle name="Total 2 2 7 3 3 4" xfId="20055"/>
    <cellStyle name="Total 2 2 7 3 4" xfId="6615"/>
    <cellStyle name="Total 2 2 7 3 4 2" xfId="23607"/>
    <cellStyle name="Total 2 2 7 3 5" xfId="14878"/>
    <cellStyle name="Total 2 2 7 4" xfId="2749"/>
    <cellStyle name="Total 2 2 7 4 2" xfId="7822"/>
    <cellStyle name="Total 2 2 7 4 2 2" xfId="10436"/>
    <cellStyle name="Total 2 2 7 4 2 2 2" xfId="16698"/>
    <cellStyle name="Total 2 2 7 4 2 2 2 2" xfId="30114"/>
    <cellStyle name="Total 2 2 7 4 2 2 3" xfId="21443"/>
    <cellStyle name="Total 2 2 7 4 2 3" xfId="14426"/>
    <cellStyle name="Total 2 2 7 4 2 3 2" xfId="28748"/>
    <cellStyle name="Total 2 2 7 4 2 4" xfId="20071"/>
    <cellStyle name="Total 2 2 7 4 3" xfId="12190"/>
    <cellStyle name="Total 2 2 7 4 3 2" xfId="26512"/>
    <cellStyle name="Total 2 2 7 4 4" xfId="17835"/>
    <cellStyle name="Total 2 2 7 5" xfId="5078"/>
    <cellStyle name="Total 2 2 7 5 2" xfId="11625"/>
    <cellStyle name="Total 2 2 7 5 2 2" xfId="25947"/>
    <cellStyle name="Total 2 2 7 5 3" xfId="14879"/>
    <cellStyle name="Total 2 2 7 6" xfId="3950"/>
    <cellStyle name="Total 2 2 7 6 2" xfId="22664"/>
    <cellStyle name="Total 2 2 7 7" xfId="15478"/>
    <cellStyle name="Total 2 2 8" xfId="2750"/>
    <cellStyle name="Total 2 2 8 2" xfId="2751"/>
    <cellStyle name="Total 2 2 8 2 2" xfId="5946"/>
    <cellStyle name="Total 2 2 8 2 2 2" xfId="12503"/>
    <cellStyle name="Total 2 2 8 2 2 2 2" xfId="26825"/>
    <cellStyle name="Total 2 2 8 2 2 3" xfId="18148"/>
    <cellStyle name="Total 2 2 8 2 3" xfId="7474"/>
    <cellStyle name="Total 2 2 8 2 3 2" xfId="10088"/>
    <cellStyle name="Total 2 2 8 2 3 2 2" xfId="16350"/>
    <cellStyle name="Total 2 2 8 2 3 2 2 2" xfId="29766"/>
    <cellStyle name="Total 2 2 8 2 3 2 3" xfId="21095"/>
    <cellStyle name="Total 2 2 8 2 3 3" xfId="14078"/>
    <cellStyle name="Total 2 2 8 2 3 3 2" xfId="28400"/>
    <cellStyle name="Total 2 2 8 2 3 4" xfId="19723"/>
    <cellStyle name="Total 2 2 8 2 4" xfId="4495"/>
    <cellStyle name="Total 2 2 8 2 4 2" xfId="22988"/>
    <cellStyle name="Total 2 2 8 2 5" xfId="15200"/>
    <cellStyle name="Total 2 2 8 3" xfId="2752"/>
    <cellStyle name="Total 2 2 8 3 2" xfId="7491"/>
    <cellStyle name="Total 2 2 8 3 2 2" xfId="10105"/>
    <cellStyle name="Total 2 2 8 3 2 2 2" xfId="16367"/>
    <cellStyle name="Total 2 2 8 3 2 2 2 2" xfId="29783"/>
    <cellStyle name="Total 2 2 8 3 2 2 3" xfId="21112"/>
    <cellStyle name="Total 2 2 8 3 2 3" xfId="14095"/>
    <cellStyle name="Total 2 2 8 3 2 3 2" xfId="28417"/>
    <cellStyle name="Total 2 2 8 3 2 4" xfId="19740"/>
    <cellStyle name="Total 2 2 8 3 3" xfId="12795"/>
    <cellStyle name="Total 2 2 8 3 3 2" xfId="27117"/>
    <cellStyle name="Total 2 2 8 3 4" xfId="18440"/>
    <cellStyle name="Total 2 2 8 4" xfId="5103"/>
    <cellStyle name="Total 2 2 8 4 2" xfId="11650"/>
    <cellStyle name="Total 2 2 8 4 2 2" xfId="25972"/>
    <cellStyle name="Total 2 2 8 4 3" xfId="17390"/>
    <cellStyle name="Total 2 2 8 5" xfId="4607"/>
    <cellStyle name="Total 2 2 8 5 2" xfId="23065"/>
    <cellStyle name="Total 2 2 8 6" xfId="15280"/>
    <cellStyle name="Total 2 2 9" xfId="2753"/>
    <cellStyle name="Total 2 2 9 2" xfId="6367"/>
    <cellStyle name="Total 2 2 9 2 2" xfId="12950"/>
    <cellStyle name="Total 2 2 9 2 2 2" xfId="27272"/>
    <cellStyle name="Total 2 2 9 2 3" xfId="18595"/>
    <cellStyle name="Total 2 2 9 3" xfId="7533"/>
    <cellStyle name="Total 2 2 9 3 2" xfId="10147"/>
    <cellStyle name="Total 2 2 9 3 2 2" xfId="16409"/>
    <cellStyle name="Total 2 2 9 3 2 2 2" xfId="29825"/>
    <cellStyle name="Total 2 2 9 3 2 3" xfId="21154"/>
    <cellStyle name="Total 2 2 9 3 3" xfId="14137"/>
    <cellStyle name="Total 2 2 9 3 3 2" xfId="28459"/>
    <cellStyle name="Total 2 2 9 3 4" xfId="19782"/>
    <cellStyle name="Total 2 2 9 4" xfId="4619"/>
    <cellStyle name="Total 2 2 9 4 2" xfId="23069"/>
    <cellStyle name="Total 2 2 9 5" xfId="16961"/>
    <cellStyle name="Total 2 3" xfId="2754"/>
    <cellStyle name="Total 2 3 2" xfId="6280"/>
    <cellStyle name="Total 2 3 2 2" xfId="12862"/>
    <cellStyle name="Total 2 3 2 2 2" xfId="27184"/>
    <cellStyle name="Total 2 3 2 3" xfId="18507"/>
    <cellStyle name="Total 2 3 3" xfId="7713"/>
    <cellStyle name="Total 2 3 3 2" xfId="10327"/>
    <cellStyle name="Total 2 3 3 2 2" xfId="16589"/>
    <cellStyle name="Total 2 3 3 2 2 2" xfId="30005"/>
    <cellStyle name="Total 2 3 3 2 3" xfId="21334"/>
    <cellStyle name="Total 2 3 3 3" xfId="14317"/>
    <cellStyle name="Total 2 3 3 3 2" xfId="28639"/>
    <cellStyle name="Total 2 3 3 4" xfId="19962"/>
    <cellStyle name="Total 2 3 4" xfId="3679"/>
    <cellStyle name="Total 2 3 4 2" xfId="22523"/>
    <cellStyle name="Total 2 3 5" xfId="14762"/>
    <cellStyle name="Total 2 4" xfId="4364"/>
    <cellStyle name="Total 2 4 2" xfId="4499"/>
    <cellStyle name="Total 2 4 2 2" xfId="22991"/>
    <cellStyle name="Total 2 4 3" xfId="15573"/>
    <cellStyle name="Total 2 5" xfId="3965"/>
    <cellStyle name="Total 2 5 2" xfId="22672"/>
    <cellStyle name="Total 2 6" xfId="15009"/>
    <cellStyle name="Total 2 7" xfId="14947"/>
    <cellStyle name="Total 2 8" xfId="28998"/>
    <cellStyle name="Verificar Célula" xfId="2755"/>
    <cellStyle name="Warning Text 2" xfId="2756"/>
  </cellStyles>
  <dxfs count="54">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99D6F0"/>
      <color rgb="FFFCC5C4"/>
      <color rgb="FF2ED23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B111FEAA-7475-4280-B25B-0C35D4B8D022}"/>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7"/>
  </cols>
  <sheetData>
    <row r="1" spans="7:7" x14ac:dyDescent="0.25">
      <c r="G1" s="12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B2:AX67"/>
  <sheetViews>
    <sheetView showZeros="0" zoomScale="70" zoomScaleNormal="70" workbookViewId="0">
      <pane xSplit="4" ySplit="5" topLeftCell="E20" activePane="bottomRight" state="frozen"/>
      <selection pane="topRight" activeCell="E1" sqref="E1"/>
      <selection pane="bottomLeft" activeCell="A6" sqref="A6"/>
      <selection pane="bottomRight" activeCell="I22" sqref="I22"/>
    </sheetView>
  </sheetViews>
  <sheetFormatPr defaultColWidth="9.140625" defaultRowHeight="15" x14ac:dyDescent="0.25"/>
  <cols>
    <col min="1" max="1" width="1.7109375" style="55" customWidth="1"/>
    <col min="2" max="2" width="9.140625" style="55" customWidth="1"/>
    <col min="3" max="3" width="22.28515625" style="55" customWidth="1"/>
    <col min="4" max="4" width="29.7109375" style="55" customWidth="1"/>
    <col min="5" max="5" width="8.5703125" style="55" customWidth="1"/>
    <col min="6" max="6" width="19.5703125" style="55" customWidth="1"/>
    <col min="7" max="7" width="15.7109375" style="55" customWidth="1"/>
    <col min="8" max="9" width="26.85546875" style="55" customWidth="1"/>
    <col min="10" max="10" width="15" style="55" customWidth="1"/>
    <col min="11" max="14" width="26.85546875" style="55" customWidth="1"/>
    <col min="15" max="15" width="4.85546875" style="55" customWidth="1"/>
    <col min="16" max="19" width="4.85546875" style="75" customWidth="1"/>
    <col min="20" max="23" width="4.85546875" style="55" customWidth="1"/>
    <col min="24" max="24" width="52.28515625" style="55" customWidth="1"/>
    <col min="25" max="25" width="64.85546875" style="55" bestFit="1" customWidth="1"/>
    <col min="26" max="26" width="15" style="55" hidden="1" customWidth="1"/>
    <col min="27" max="27" width="25.7109375" style="55" hidden="1" customWidth="1"/>
    <col min="28" max="28" width="4.85546875" style="55" hidden="1" customWidth="1"/>
    <col min="29" max="32" width="4.85546875" style="75" hidden="1" customWidth="1"/>
    <col min="33" max="36" width="4.85546875" style="55" hidden="1" customWidth="1"/>
    <col min="37" max="37" width="33.5703125" style="55" hidden="1" customWidth="1"/>
    <col min="38" max="38" width="15" style="55" hidden="1" customWidth="1"/>
    <col min="39" max="39" width="25.7109375" style="55" hidden="1" customWidth="1"/>
    <col min="40" max="40" width="4.85546875" style="55" hidden="1" customWidth="1"/>
    <col min="41" max="44" width="4.85546875" style="75" hidden="1" customWidth="1"/>
    <col min="45" max="48" width="4.85546875" style="55" hidden="1" customWidth="1"/>
    <col min="49" max="49" width="10" style="55" hidden="1" customWidth="1"/>
    <col min="50" max="50" width="48.140625" style="55" customWidth="1"/>
    <col min="51" max="16384" width="9.140625" style="55"/>
  </cols>
  <sheetData>
    <row r="2" spans="2:50" x14ac:dyDescent="0.25">
      <c r="O2" s="128" t="s">
        <v>24</v>
      </c>
      <c r="P2" s="128"/>
      <c r="Q2" s="128"/>
      <c r="R2" s="128"/>
      <c r="S2" s="128"/>
      <c r="T2" s="128"/>
      <c r="U2" s="128"/>
      <c r="V2" s="128"/>
      <c r="W2" s="128"/>
      <c r="AB2" s="128" t="s">
        <v>23</v>
      </c>
      <c r="AC2" s="128"/>
      <c r="AD2" s="128"/>
      <c r="AE2" s="128"/>
      <c r="AF2" s="128"/>
      <c r="AG2" s="128"/>
      <c r="AH2" s="128"/>
      <c r="AI2" s="128"/>
      <c r="AJ2" s="128"/>
      <c r="AN2" s="128" t="s">
        <v>37</v>
      </c>
      <c r="AO2" s="128"/>
      <c r="AP2" s="128"/>
      <c r="AQ2" s="128"/>
      <c r="AR2" s="128"/>
      <c r="AS2" s="128"/>
      <c r="AT2" s="128"/>
      <c r="AU2" s="128"/>
      <c r="AV2" s="128"/>
    </row>
    <row r="3" spans="2:50" ht="15.75" thickBot="1" x14ac:dyDescent="0.3">
      <c r="O3" s="128"/>
      <c r="P3" s="128"/>
      <c r="Q3" s="128"/>
      <c r="R3" s="128"/>
      <c r="S3" s="128"/>
      <c r="T3" s="128"/>
      <c r="U3" s="128"/>
      <c r="V3" s="128"/>
      <c r="W3" s="128"/>
      <c r="AB3" s="128"/>
      <c r="AC3" s="128"/>
      <c r="AD3" s="128"/>
      <c r="AE3" s="128"/>
      <c r="AF3" s="128"/>
      <c r="AG3" s="128"/>
      <c r="AH3" s="128"/>
      <c r="AI3" s="128"/>
      <c r="AJ3" s="128"/>
      <c r="AN3" s="128"/>
      <c r="AO3" s="128"/>
      <c r="AP3" s="128"/>
      <c r="AQ3" s="128"/>
      <c r="AR3" s="128"/>
      <c r="AS3" s="128"/>
      <c r="AT3" s="128"/>
      <c r="AU3" s="128"/>
      <c r="AV3" s="128"/>
    </row>
    <row r="4" spans="2:50" ht="21.75" thickBot="1" x14ac:dyDescent="0.4">
      <c r="B4" s="56" t="s">
        <v>7</v>
      </c>
      <c r="C4" s="57"/>
      <c r="P4" s="129" t="s">
        <v>29</v>
      </c>
      <c r="Q4" s="130"/>
      <c r="R4" s="130"/>
      <c r="S4" s="131"/>
      <c r="T4" s="132" t="s">
        <v>30</v>
      </c>
      <c r="U4" s="133"/>
      <c r="V4" s="133"/>
      <c r="W4" s="134"/>
      <c r="AC4" s="129" t="s">
        <v>29</v>
      </c>
      <c r="AD4" s="130"/>
      <c r="AE4" s="130"/>
      <c r="AF4" s="131"/>
      <c r="AG4" s="132" t="s">
        <v>30</v>
      </c>
      <c r="AH4" s="133"/>
      <c r="AI4" s="133"/>
      <c r="AJ4" s="134"/>
      <c r="AO4" s="129" t="s">
        <v>29</v>
      </c>
      <c r="AP4" s="130"/>
      <c r="AQ4" s="130"/>
      <c r="AR4" s="131"/>
      <c r="AS4" s="132" t="s">
        <v>30</v>
      </c>
      <c r="AT4" s="133"/>
      <c r="AU4" s="133"/>
      <c r="AV4" s="134"/>
    </row>
    <row r="5" spans="2:50" s="64" customFormat="1" ht="74.25" thickBot="1" x14ac:dyDescent="0.3">
      <c r="B5" s="58" t="s">
        <v>31</v>
      </c>
      <c r="C5" s="58" t="s">
        <v>2</v>
      </c>
      <c r="D5" s="58" t="s">
        <v>1</v>
      </c>
      <c r="E5" s="58" t="s">
        <v>19</v>
      </c>
      <c r="F5" s="58" t="s">
        <v>18</v>
      </c>
      <c r="G5" s="58" t="s">
        <v>3</v>
      </c>
      <c r="H5" s="58" t="s">
        <v>5</v>
      </c>
      <c r="I5" s="59" t="s">
        <v>11</v>
      </c>
      <c r="J5" s="58" t="s">
        <v>74</v>
      </c>
      <c r="K5" s="58" t="s">
        <v>8</v>
      </c>
      <c r="L5" s="58" t="s">
        <v>20</v>
      </c>
      <c r="M5" s="58" t="s">
        <v>21</v>
      </c>
      <c r="N5" s="58" t="s">
        <v>9</v>
      </c>
      <c r="O5" s="60" t="s">
        <v>27</v>
      </c>
      <c r="P5" s="61" t="s">
        <v>32</v>
      </c>
      <c r="Q5" s="62" t="s">
        <v>28</v>
      </c>
      <c r="R5" s="62" t="s">
        <v>25</v>
      </c>
      <c r="S5" s="63" t="s">
        <v>26</v>
      </c>
      <c r="T5" s="61" t="s">
        <v>32</v>
      </c>
      <c r="U5" s="62" t="s">
        <v>28</v>
      </c>
      <c r="V5" s="62" t="s">
        <v>25</v>
      </c>
      <c r="W5" s="63" t="s">
        <v>26</v>
      </c>
      <c r="X5" s="58" t="s">
        <v>4</v>
      </c>
      <c r="Y5" s="58" t="s">
        <v>159</v>
      </c>
      <c r="Z5" s="58" t="s">
        <v>22</v>
      </c>
      <c r="AA5" s="58" t="s">
        <v>36</v>
      </c>
      <c r="AB5" s="60" t="s">
        <v>27</v>
      </c>
      <c r="AC5" s="61" t="s">
        <v>32</v>
      </c>
      <c r="AD5" s="62" t="s">
        <v>28</v>
      </c>
      <c r="AE5" s="62" t="s">
        <v>25</v>
      </c>
      <c r="AF5" s="63" t="s">
        <v>26</v>
      </c>
      <c r="AG5" s="61" t="s">
        <v>32</v>
      </c>
      <c r="AH5" s="62" t="s">
        <v>28</v>
      </c>
      <c r="AI5" s="62" t="s">
        <v>25</v>
      </c>
      <c r="AJ5" s="63" t="s">
        <v>26</v>
      </c>
      <c r="AK5" s="58" t="s">
        <v>33</v>
      </c>
      <c r="AL5" s="58" t="s">
        <v>34</v>
      </c>
      <c r="AM5" s="58" t="s">
        <v>35</v>
      </c>
      <c r="AN5" s="60" t="s">
        <v>27</v>
      </c>
      <c r="AO5" s="61" t="s">
        <v>32</v>
      </c>
      <c r="AP5" s="62" t="s">
        <v>28</v>
      </c>
      <c r="AQ5" s="62" t="s">
        <v>25</v>
      </c>
      <c r="AR5" s="63" t="s">
        <v>26</v>
      </c>
      <c r="AS5" s="61" t="s">
        <v>32</v>
      </c>
      <c r="AT5" s="62" t="s">
        <v>28</v>
      </c>
      <c r="AU5" s="62" t="s">
        <v>25</v>
      </c>
      <c r="AV5" s="63" t="s">
        <v>26</v>
      </c>
      <c r="AW5" s="58" t="s">
        <v>10</v>
      </c>
      <c r="AX5" s="58" t="s">
        <v>6</v>
      </c>
    </row>
    <row r="6" spans="2:50" s="70" customFormat="1" ht="180" x14ac:dyDescent="0.25">
      <c r="B6" s="89" t="s">
        <v>111</v>
      </c>
      <c r="C6" s="90" t="s">
        <v>112</v>
      </c>
      <c r="D6" s="91" t="s">
        <v>184</v>
      </c>
      <c r="E6" s="92">
        <v>2</v>
      </c>
      <c r="F6" s="90" t="s">
        <v>126</v>
      </c>
      <c r="G6" s="90" t="s">
        <v>113</v>
      </c>
      <c r="H6" s="90" t="s">
        <v>114</v>
      </c>
      <c r="I6" s="90" t="s">
        <v>216</v>
      </c>
      <c r="J6" s="90" t="s">
        <v>40</v>
      </c>
      <c r="K6" s="90" t="s">
        <v>185</v>
      </c>
      <c r="L6" s="90" t="s">
        <v>185</v>
      </c>
      <c r="M6" s="90" t="s">
        <v>115</v>
      </c>
      <c r="N6" s="90" t="s">
        <v>116</v>
      </c>
      <c r="O6" s="93">
        <v>3</v>
      </c>
      <c r="P6" s="94">
        <v>4</v>
      </c>
      <c r="Q6" s="95">
        <v>7</v>
      </c>
      <c r="R6" s="95">
        <v>9</v>
      </c>
      <c r="S6" s="96">
        <v>9</v>
      </c>
      <c r="T6" s="65" t="str">
        <f t="shared" ref="T6:T18" ca="1" si="0">IF(AND(ISNUMBER(P6),ISNUMBER($O6)),OFFSET(RiskMatrixRef,-$O6+1,P6-1),"")</f>
        <v>Low</v>
      </c>
      <c r="U6" s="66" t="str">
        <f t="shared" ref="U6:U18" ca="1" si="1">IF(AND(ISNUMBER(Q6),ISNUMBER($O6)),OFFSET(RiskMatrixRef,-$O6+1,Q6-1),"")</f>
        <v>Low</v>
      </c>
      <c r="V6" s="66" t="str">
        <f t="shared" ref="V6:V18" ca="1" si="2">IF(AND(ISNUMBER(R6),ISNUMBER($O6)),OFFSET(RiskMatrixRef,-$O6+1,R6-1),"")</f>
        <v>Med</v>
      </c>
      <c r="W6" s="67" t="str">
        <f t="shared" ref="W6:W18" ca="1" si="3">IF(AND(ISNUMBER(S6),ISNUMBER($O6)),OFFSET(RiskMatrixRef,-$O6+1,S6-1),"")</f>
        <v>Med</v>
      </c>
      <c r="X6" s="97" t="s">
        <v>186</v>
      </c>
      <c r="Y6" s="98" t="s">
        <v>176</v>
      </c>
      <c r="Z6" s="91"/>
      <c r="AA6" s="91"/>
      <c r="AB6" s="93"/>
      <c r="AC6" s="94"/>
      <c r="AD6" s="95"/>
      <c r="AE6" s="95"/>
      <c r="AF6" s="96"/>
      <c r="AG6" s="65" t="str">
        <f t="shared" ref="AG6:AG18" ca="1" si="4">IF(AND(ISNUMBER(AC6),ISNUMBER($AB6)),OFFSET(RiskMatrixRef,-$AB6+1,AC6-1),"")</f>
        <v/>
      </c>
      <c r="AH6" s="66" t="str">
        <f t="shared" ref="AH6:AH18" ca="1" si="5">IF(AND(ISNUMBER(AD6),ISNUMBER($AB6)),OFFSET(RiskMatrixRef,-$AB6+1,AD6-1),"")</f>
        <v/>
      </c>
      <c r="AI6" s="66" t="str">
        <f t="shared" ref="AI6:AI18" ca="1" si="6">IF(AND(ISNUMBER(AE6),ISNUMBER($AB6)),OFFSET(RiskMatrixRef,-$AB6+1,AE6-1),"")</f>
        <v/>
      </c>
      <c r="AJ6" s="67" t="str">
        <f t="shared" ref="AJ6:AJ18" ca="1" si="7">IF(AND(ISNUMBER(AF6),ISNUMBER($AB6)),OFFSET(RiskMatrixRef,-$AB6+1,AF6-1),"")</f>
        <v/>
      </c>
      <c r="AK6" s="91"/>
      <c r="AL6" s="91"/>
      <c r="AM6" s="91"/>
      <c r="AN6" s="93"/>
      <c r="AO6" s="94"/>
      <c r="AP6" s="95"/>
      <c r="AQ6" s="95"/>
      <c r="AR6" s="96"/>
      <c r="AS6" s="65" t="str">
        <f t="shared" ref="AS6:AS18" ca="1" si="8">IF(AND(ISNUMBER(AO6),ISNUMBER($AN6)),OFFSET(RiskMatrixRef,-$AN6+1,AO6-1),"")</f>
        <v/>
      </c>
      <c r="AT6" s="66" t="str">
        <f t="shared" ref="AT6:AT18" ca="1" si="9">IF(AND(ISNUMBER(AP6),ISNUMBER($AN6)),OFFSET(RiskMatrixRef,-$AN6+1,AP6-1),"")</f>
        <v/>
      </c>
      <c r="AU6" s="66" t="str">
        <f t="shared" ref="AU6:AU18" ca="1" si="10">IF(AND(ISNUMBER(AQ6),ISNUMBER($AN6)),OFFSET(RiskMatrixRef,-$AN6+1,AQ6-1),"")</f>
        <v/>
      </c>
      <c r="AV6" s="67" t="str">
        <f t="shared" ref="AV6:AV18" ca="1" si="11">IF(AND(ISNUMBER(AR6),ISNUMBER($AN6)),OFFSET(RiskMatrixRef,-$AN6+1,AR6-1),"")</f>
        <v/>
      </c>
      <c r="AW6" s="99"/>
      <c r="AX6" s="91"/>
    </row>
    <row r="7" spans="2:50" s="70" customFormat="1" ht="270" x14ac:dyDescent="0.25">
      <c r="B7" s="89" t="s">
        <v>226</v>
      </c>
      <c r="C7" s="90" t="s">
        <v>112</v>
      </c>
      <c r="D7" s="91" t="s">
        <v>184</v>
      </c>
      <c r="E7" s="92">
        <v>2</v>
      </c>
      <c r="F7" s="90" t="s">
        <v>126</v>
      </c>
      <c r="G7" s="90" t="s">
        <v>113</v>
      </c>
      <c r="H7" s="90" t="s">
        <v>114</v>
      </c>
      <c r="I7" s="90" t="s">
        <v>139</v>
      </c>
      <c r="J7" s="90" t="s">
        <v>40</v>
      </c>
      <c r="K7" s="90" t="s">
        <v>185</v>
      </c>
      <c r="L7" s="90" t="s">
        <v>185</v>
      </c>
      <c r="M7" s="90" t="s">
        <v>115</v>
      </c>
      <c r="N7" s="90" t="s">
        <v>116</v>
      </c>
      <c r="O7" s="93">
        <v>7</v>
      </c>
      <c r="P7" s="94">
        <v>4</v>
      </c>
      <c r="Q7" s="95">
        <v>7</v>
      </c>
      <c r="R7" s="95">
        <v>9</v>
      </c>
      <c r="S7" s="96">
        <v>9</v>
      </c>
      <c r="T7" s="65" t="str">
        <f t="shared" ref="T7" ca="1" si="12">IF(AND(ISNUMBER(P7),ISNUMBER($O7)),OFFSET(RiskMatrixRef,-$O7+1,P7-1),"")</f>
        <v>Low</v>
      </c>
      <c r="U7" s="66" t="str">
        <f t="shared" ref="U7" ca="1" si="13">IF(AND(ISNUMBER(Q7),ISNUMBER($O7)),OFFSET(RiskMatrixRef,-$O7+1,Q7-1),"")</f>
        <v>Med</v>
      </c>
      <c r="V7" s="66" t="str">
        <f t="shared" ref="V7" ca="1" si="14">IF(AND(ISNUMBER(R7),ISNUMBER($O7)),OFFSET(RiskMatrixRef,-$O7+1,R7-1),"")</f>
        <v>High</v>
      </c>
      <c r="W7" s="67" t="str">
        <f t="shared" ref="W7" ca="1" si="15">IF(AND(ISNUMBER(S7),ISNUMBER($O7)),OFFSET(RiskMatrixRef,-$O7+1,S7-1),"")</f>
        <v>High</v>
      </c>
      <c r="X7" s="91" t="s">
        <v>187</v>
      </c>
      <c r="Y7" s="98" t="s">
        <v>177</v>
      </c>
      <c r="Z7" s="91"/>
      <c r="AA7" s="91"/>
      <c r="AB7" s="93"/>
      <c r="AC7" s="94"/>
      <c r="AD7" s="95"/>
      <c r="AE7" s="95"/>
      <c r="AF7" s="96"/>
      <c r="AG7" s="65" t="str">
        <f t="shared" ref="AG7" ca="1" si="16">IF(AND(ISNUMBER(AC7),ISNUMBER($AB7)),OFFSET(RiskMatrixRef,-$AB7+1,AC7-1),"")</f>
        <v/>
      </c>
      <c r="AH7" s="66" t="str">
        <f t="shared" ref="AH7" ca="1" si="17">IF(AND(ISNUMBER(AD7),ISNUMBER($AB7)),OFFSET(RiskMatrixRef,-$AB7+1,AD7-1),"")</f>
        <v/>
      </c>
      <c r="AI7" s="66" t="str">
        <f t="shared" ref="AI7" ca="1" si="18">IF(AND(ISNUMBER(AE7),ISNUMBER($AB7)),OFFSET(RiskMatrixRef,-$AB7+1,AE7-1),"")</f>
        <v/>
      </c>
      <c r="AJ7" s="67" t="str">
        <f t="shared" ref="AJ7" ca="1" si="19">IF(AND(ISNUMBER(AF7),ISNUMBER($AB7)),OFFSET(RiskMatrixRef,-$AB7+1,AF7-1),"")</f>
        <v/>
      </c>
      <c r="AK7" s="91"/>
      <c r="AL7" s="91"/>
      <c r="AM7" s="91"/>
      <c r="AN7" s="93"/>
      <c r="AO7" s="94"/>
      <c r="AP7" s="95"/>
      <c r="AQ7" s="95"/>
      <c r="AR7" s="96"/>
      <c r="AS7" s="65" t="str">
        <f t="shared" ref="AS7" ca="1" si="20">IF(AND(ISNUMBER(AO7),ISNUMBER($AN7)),OFFSET(RiskMatrixRef,-$AN7+1,AO7-1),"")</f>
        <v/>
      </c>
      <c r="AT7" s="66" t="str">
        <f t="shared" ref="AT7" ca="1" si="21">IF(AND(ISNUMBER(AP7),ISNUMBER($AN7)),OFFSET(RiskMatrixRef,-$AN7+1,AP7-1),"")</f>
        <v/>
      </c>
      <c r="AU7" s="66" t="str">
        <f t="shared" ref="AU7" ca="1" si="22">IF(AND(ISNUMBER(AQ7),ISNUMBER($AN7)),OFFSET(RiskMatrixRef,-$AN7+1,AQ7-1),"")</f>
        <v/>
      </c>
      <c r="AV7" s="67" t="str">
        <f t="shared" ref="AV7" ca="1" si="23">IF(AND(ISNUMBER(AR7),ISNUMBER($AN7)),OFFSET(RiskMatrixRef,-$AN7+1,AR7-1),"")</f>
        <v/>
      </c>
      <c r="AW7" s="99"/>
      <c r="AX7" s="91"/>
    </row>
    <row r="8" spans="2:50" s="70" customFormat="1" ht="105" x14ac:dyDescent="0.25">
      <c r="B8" s="89" t="s">
        <v>247</v>
      </c>
      <c r="C8" s="90" t="s">
        <v>245</v>
      </c>
      <c r="D8" s="100" t="s">
        <v>125</v>
      </c>
      <c r="E8" s="92">
        <v>2</v>
      </c>
      <c r="F8" s="90" t="s">
        <v>126</v>
      </c>
      <c r="G8" s="90" t="s">
        <v>191</v>
      </c>
      <c r="H8" s="90" t="s">
        <v>234</v>
      </c>
      <c r="I8" s="90" t="s">
        <v>190</v>
      </c>
      <c r="J8" s="90" t="s">
        <v>40</v>
      </c>
      <c r="K8" s="90" t="s">
        <v>92</v>
      </c>
      <c r="L8" s="90"/>
      <c r="M8" s="90" t="s">
        <v>95</v>
      </c>
      <c r="N8" s="90" t="s">
        <v>73</v>
      </c>
      <c r="O8" s="93">
        <v>4</v>
      </c>
      <c r="P8" s="94">
        <v>1</v>
      </c>
      <c r="Q8" s="94">
        <v>1</v>
      </c>
      <c r="R8" s="95">
        <v>7</v>
      </c>
      <c r="S8" s="96">
        <v>7</v>
      </c>
      <c r="T8" s="65" t="str">
        <f t="shared" ca="1" si="0"/>
        <v>Low</v>
      </c>
      <c r="U8" s="66" t="str">
        <f t="shared" ca="1" si="1"/>
        <v>Low</v>
      </c>
      <c r="V8" s="66" t="str">
        <f t="shared" ca="1" si="2"/>
        <v>Low</v>
      </c>
      <c r="W8" s="67" t="str">
        <f t="shared" ca="1" si="3"/>
        <v>Low</v>
      </c>
      <c r="X8" s="91" t="s">
        <v>193</v>
      </c>
      <c r="Y8" s="91" t="s">
        <v>160</v>
      </c>
      <c r="Z8" s="91"/>
      <c r="AA8" s="91"/>
      <c r="AB8" s="93"/>
      <c r="AC8" s="94"/>
      <c r="AD8" s="95"/>
      <c r="AE8" s="95"/>
      <c r="AF8" s="96"/>
      <c r="AG8" s="65" t="str">
        <f t="shared" ca="1" si="4"/>
        <v/>
      </c>
      <c r="AH8" s="66" t="str">
        <f t="shared" ca="1" si="5"/>
        <v/>
      </c>
      <c r="AI8" s="66" t="str">
        <f t="shared" ca="1" si="6"/>
        <v/>
      </c>
      <c r="AJ8" s="67" t="str">
        <f t="shared" ca="1" si="7"/>
        <v/>
      </c>
      <c r="AK8" s="91"/>
      <c r="AL8" s="91"/>
      <c r="AM8" s="91"/>
      <c r="AN8" s="93"/>
      <c r="AO8" s="94"/>
      <c r="AP8" s="95"/>
      <c r="AQ8" s="95"/>
      <c r="AR8" s="96"/>
      <c r="AS8" s="65" t="str">
        <f t="shared" ca="1" si="8"/>
        <v/>
      </c>
      <c r="AT8" s="66" t="str">
        <f t="shared" ca="1" si="9"/>
        <v/>
      </c>
      <c r="AU8" s="66" t="str">
        <f t="shared" ca="1" si="10"/>
        <v/>
      </c>
      <c r="AV8" s="67" t="str">
        <f t="shared" ca="1" si="11"/>
        <v/>
      </c>
      <c r="AW8" s="99"/>
      <c r="AX8" s="91" t="s">
        <v>189</v>
      </c>
    </row>
    <row r="9" spans="2:50" s="70" customFormat="1" ht="225" x14ac:dyDescent="0.25">
      <c r="B9" s="89" t="s">
        <v>248</v>
      </c>
      <c r="C9" s="90" t="s">
        <v>245</v>
      </c>
      <c r="D9" s="100" t="s">
        <v>125</v>
      </c>
      <c r="E9" s="92">
        <v>2</v>
      </c>
      <c r="F9" s="90" t="s">
        <v>126</v>
      </c>
      <c r="G9" s="90" t="s">
        <v>191</v>
      </c>
      <c r="H9" s="90" t="s">
        <v>234</v>
      </c>
      <c r="I9" s="90" t="s">
        <v>161</v>
      </c>
      <c r="J9" s="90" t="s">
        <v>40</v>
      </c>
      <c r="K9" s="90" t="s">
        <v>192</v>
      </c>
      <c r="L9" s="90"/>
      <c r="M9" s="90" t="s">
        <v>95</v>
      </c>
      <c r="N9" s="90" t="s">
        <v>73</v>
      </c>
      <c r="O9" s="93">
        <v>7</v>
      </c>
      <c r="P9" s="94">
        <v>1</v>
      </c>
      <c r="Q9" s="94">
        <v>1</v>
      </c>
      <c r="R9" s="95">
        <v>7</v>
      </c>
      <c r="S9" s="96">
        <v>7</v>
      </c>
      <c r="T9" s="65" t="str">
        <f t="shared" ca="1" si="0"/>
        <v>Low</v>
      </c>
      <c r="U9" s="66" t="str">
        <f t="shared" ca="1" si="1"/>
        <v>Low</v>
      </c>
      <c r="V9" s="66" t="str">
        <f t="shared" ca="1" si="2"/>
        <v>Med</v>
      </c>
      <c r="W9" s="67" t="str">
        <f t="shared" ca="1" si="3"/>
        <v>Med</v>
      </c>
      <c r="X9" s="91" t="s">
        <v>203</v>
      </c>
      <c r="Y9" s="91" t="s">
        <v>162</v>
      </c>
      <c r="Z9" s="91"/>
      <c r="AA9" s="91"/>
      <c r="AB9" s="93"/>
      <c r="AC9" s="94"/>
      <c r="AD9" s="95"/>
      <c r="AE9" s="95"/>
      <c r="AF9" s="96"/>
      <c r="AG9" s="65" t="str">
        <f t="shared" ca="1" si="4"/>
        <v/>
      </c>
      <c r="AH9" s="66" t="str">
        <f t="shared" ca="1" si="5"/>
        <v/>
      </c>
      <c r="AI9" s="66" t="str">
        <f t="shared" ca="1" si="6"/>
        <v/>
      </c>
      <c r="AJ9" s="67" t="str">
        <f t="shared" ca="1" si="7"/>
        <v/>
      </c>
      <c r="AK9" s="91"/>
      <c r="AL9" s="91"/>
      <c r="AM9" s="91"/>
      <c r="AN9" s="93"/>
      <c r="AO9" s="94"/>
      <c r="AP9" s="95"/>
      <c r="AQ9" s="95"/>
      <c r="AR9" s="96"/>
      <c r="AS9" s="65" t="str">
        <f t="shared" ca="1" si="8"/>
        <v/>
      </c>
      <c r="AT9" s="66" t="str">
        <f t="shared" ca="1" si="9"/>
        <v/>
      </c>
      <c r="AU9" s="66" t="str">
        <f t="shared" ca="1" si="10"/>
        <v/>
      </c>
      <c r="AV9" s="67" t="str">
        <f t="shared" ca="1" si="11"/>
        <v/>
      </c>
      <c r="AW9" s="99"/>
      <c r="AX9" s="91" t="s">
        <v>189</v>
      </c>
    </row>
    <row r="10" spans="2:50" s="70" customFormat="1" ht="60" x14ac:dyDescent="0.25">
      <c r="B10" s="89" t="s">
        <v>246</v>
      </c>
      <c r="C10" s="90" t="s">
        <v>245</v>
      </c>
      <c r="D10" s="100" t="s">
        <v>125</v>
      </c>
      <c r="E10" s="92">
        <v>2</v>
      </c>
      <c r="F10" s="90" t="s">
        <v>126</v>
      </c>
      <c r="G10" s="90" t="s">
        <v>235</v>
      </c>
      <c r="H10" s="90" t="s">
        <v>49</v>
      </c>
      <c r="I10" s="90" t="s">
        <v>50</v>
      </c>
      <c r="J10" s="90" t="s">
        <v>40</v>
      </c>
      <c r="K10" s="90" t="s">
        <v>69</v>
      </c>
      <c r="L10" s="90" t="s">
        <v>70</v>
      </c>
      <c r="M10" s="90" t="s">
        <v>51</v>
      </c>
      <c r="N10" s="90" t="s">
        <v>236</v>
      </c>
      <c r="O10" s="93">
        <v>6</v>
      </c>
      <c r="P10" s="94">
        <v>1</v>
      </c>
      <c r="Q10" s="94">
        <v>1</v>
      </c>
      <c r="R10" s="95">
        <v>7</v>
      </c>
      <c r="S10" s="96">
        <v>7</v>
      </c>
      <c r="T10" s="65" t="str">
        <f t="shared" ca="1" si="0"/>
        <v>Low</v>
      </c>
      <c r="U10" s="66" t="str">
        <f t="shared" ca="1" si="1"/>
        <v>Low</v>
      </c>
      <c r="V10" s="66" t="str">
        <f t="shared" ca="1" si="2"/>
        <v>Med</v>
      </c>
      <c r="W10" s="67" t="str">
        <f t="shared" ca="1" si="3"/>
        <v>Med</v>
      </c>
      <c r="X10" s="91" t="s">
        <v>197</v>
      </c>
      <c r="Y10" s="91" t="s">
        <v>140</v>
      </c>
      <c r="Z10" s="91"/>
      <c r="AA10" s="91"/>
      <c r="AB10" s="93"/>
      <c r="AC10" s="94"/>
      <c r="AD10" s="95"/>
      <c r="AE10" s="95"/>
      <c r="AF10" s="96"/>
      <c r="AG10" s="65" t="str">
        <f t="shared" ca="1" si="4"/>
        <v/>
      </c>
      <c r="AH10" s="66" t="str">
        <f t="shared" ca="1" si="5"/>
        <v/>
      </c>
      <c r="AI10" s="66" t="str">
        <f t="shared" ca="1" si="6"/>
        <v/>
      </c>
      <c r="AJ10" s="67" t="str">
        <f t="shared" ca="1" si="7"/>
        <v/>
      </c>
      <c r="AK10" s="91"/>
      <c r="AL10" s="91"/>
      <c r="AM10" s="91"/>
      <c r="AN10" s="93"/>
      <c r="AO10" s="94"/>
      <c r="AP10" s="95"/>
      <c r="AQ10" s="95"/>
      <c r="AR10" s="96"/>
      <c r="AS10" s="65" t="str">
        <f t="shared" ca="1" si="8"/>
        <v/>
      </c>
      <c r="AT10" s="66" t="str">
        <f t="shared" ca="1" si="9"/>
        <v/>
      </c>
      <c r="AU10" s="66" t="str">
        <f t="shared" ca="1" si="10"/>
        <v/>
      </c>
      <c r="AV10" s="67" t="str">
        <f t="shared" ca="1" si="11"/>
        <v/>
      </c>
      <c r="AW10" s="99"/>
      <c r="AX10" s="91"/>
    </row>
    <row r="11" spans="2:50" s="70" customFormat="1" ht="45" x14ac:dyDescent="0.25">
      <c r="B11" s="89" t="s">
        <v>249</v>
      </c>
      <c r="C11" s="90" t="s">
        <v>245</v>
      </c>
      <c r="D11" s="100" t="s">
        <v>125</v>
      </c>
      <c r="E11" s="92">
        <v>2</v>
      </c>
      <c r="F11" s="90" t="s">
        <v>126</v>
      </c>
      <c r="G11" s="90" t="s">
        <v>235</v>
      </c>
      <c r="H11" s="90" t="s">
        <v>49</v>
      </c>
      <c r="I11" s="90" t="s">
        <v>52</v>
      </c>
      <c r="J11" s="90" t="s">
        <v>40</v>
      </c>
      <c r="K11" s="90" t="s">
        <v>69</v>
      </c>
      <c r="L11" s="90"/>
      <c r="M11" s="90" t="s">
        <v>51</v>
      </c>
      <c r="N11" s="90" t="s">
        <v>53</v>
      </c>
      <c r="O11" s="93">
        <v>3</v>
      </c>
      <c r="P11" s="94">
        <v>1</v>
      </c>
      <c r="Q11" s="95">
        <v>5</v>
      </c>
      <c r="R11" s="95">
        <v>5</v>
      </c>
      <c r="S11" s="96">
        <v>5</v>
      </c>
      <c r="T11" s="65" t="str">
        <f t="shared" ca="1" si="0"/>
        <v>Low</v>
      </c>
      <c r="U11" s="66" t="str">
        <f t="shared" ca="1" si="1"/>
        <v>Low</v>
      </c>
      <c r="V11" s="66" t="str">
        <f t="shared" ca="1" si="2"/>
        <v>Low</v>
      </c>
      <c r="W11" s="67" t="str">
        <f t="shared" ca="1" si="3"/>
        <v>Low</v>
      </c>
      <c r="X11" s="91" t="s">
        <v>188</v>
      </c>
      <c r="Y11" s="91" t="s">
        <v>178</v>
      </c>
      <c r="Z11" s="91"/>
      <c r="AA11" s="91"/>
      <c r="AB11" s="93"/>
      <c r="AC11" s="94"/>
      <c r="AD11" s="95"/>
      <c r="AE11" s="95"/>
      <c r="AF11" s="96"/>
      <c r="AG11" s="65" t="str">
        <f t="shared" ca="1" si="4"/>
        <v/>
      </c>
      <c r="AH11" s="66" t="str">
        <f t="shared" ca="1" si="5"/>
        <v/>
      </c>
      <c r="AI11" s="66" t="str">
        <f t="shared" ca="1" si="6"/>
        <v/>
      </c>
      <c r="AJ11" s="67" t="str">
        <f t="shared" ca="1" si="7"/>
        <v/>
      </c>
      <c r="AK11" s="91"/>
      <c r="AL11" s="91"/>
      <c r="AM11" s="91"/>
      <c r="AN11" s="93"/>
      <c r="AO11" s="94"/>
      <c r="AP11" s="95"/>
      <c r="AQ11" s="95"/>
      <c r="AR11" s="96"/>
      <c r="AS11" s="65" t="str">
        <f t="shared" ca="1" si="8"/>
        <v/>
      </c>
      <c r="AT11" s="66" t="str">
        <f t="shared" ca="1" si="9"/>
        <v/>
      </c>
      <c r="AU11" s="66" t="str">
        <f t="shared" ca="1" si="10"/>
        <v/>
      </c>
      <c r="AV11" s="67" t="str">
        <f t="shared" ca="1" si="11"/>
        <v/>
      </c>
      <c r="AW11" s="99"/>
      <c r="AX11" s="91"/>
    </row>
    <row r="12" spans="2:50" s="70" customFormat="1" ht="45" x14ac:dyDescent="0.25">
      <c r="B12" s="89" t="s">
        <v>250</v>
      </c>
      <c r="C12" s="90" t="s">
        <v>245</v>
      </c>
      <c r="D12" s="100" t="s">
        <v>125</v>
      </c>
      <c r="E12" s="92">
        <v>2</v>
      </c>
      <c r="F12" s="90" t="s">
        <v>126</v>
      </c>
      <c r="G12" s="90" t="s">
        <v>79</v>
      </c>
      <c r="H12" s="90" t="s">
        <v>80</v>
      </c>
      <c r="I12" s="90" t="s">
        <v>52</v>
      </c>
      <c r="J12" s="90" t="s">
        <v>40</v>
      </c>
      <c r="K12" s="90" t="s">
        <v>69</v>
      </c>
      <c r="L12" s="90"/>
      <c r="M12" s="90" t="s">
        <v>48</v>
      </c>
      <c r="N12" s="90" t="s">
        <v>53</v>
      </c>
      <c r="O12" s="93">
        <v>6</v>
      </c>
      <c r="P12" s="94">
        <v>1</v>
      </c>
      <c r="Q12" s="95">
        <v>5</v>
      </c>
      <c r="R12" s="95">
        <v>5</v>
      </c>
      <c r="S12" s="96">
        <v>5</v>
      </c>
      <c r="T12" s="65" t="str">
        <f t="shared" ca="1" si="0"/>
        <v>Low</v>
      </c>
      <c r="U12" s="66" t="str">
        <f t="shared" ca="1" si="1"/>
        <v>Low</v>
      </c>
      <c r="V12" s="66" t="str">
        <f t="shared" ca="1" si="2"/>
        <v>Low</v>
      </c>
      <c r="W12" s="67" t="str">
        <f t="shared" ca="1" si="3"/>
        <v>Low</v>
      </c>
      <c r="X12" s="91" t="s">
        <v>188</v>
      </c>
      <c r="Y12" s="91" t="s">
        <v>178</v>
      </c>
      <c r="Z12" s="91"/>
      <c r="AA12" s="91"/>
      <c r="AB12" s="93"/>
      <c r="AC12" s="94"/>
      <c r="AD12" s="95"/>
      <c r="AE12" s="95"/>
      <c r="AF12" s="96"/>
      <c r="AG12" s="65" t="str">
        <f t="shared" ca="1" si="4"/>
        <v/>
      </c>
      <c r="AH12" s="66" t="str">
        <f t="shared" ca="1" si="5"/>
        <v/>
      </c>
      <c r="AI12" s="66" t="str">
        <f t="shared" ca="1" si="6"/>
        <v/>
      </c>
      <c r="AJ12" s="67" t="str">
        <f t="shared" ca="1" si="7"/>
        <v/>
      </c>
      <c r="AK12" s="91"/>
      <c r="AL12" s="91"/>
      <c r="AM12" s="91"/>
      <c r="AN12" s="93"/>
      <c r="AO12" s="94"/>
      <c r="AP12" s="95"/>
      <c r="AQ12" s="95"/>
      <c r="AR12" s="96"/>
      <c r="AS12" s="65" t="str">
        <f t="shared" ca="1" si="8"/>
        <v/>
      </c>
      <c r="AT12" s="66" t="str">
        <f t="shared" ca="1" si="9"/>
        <v/>
      </c>
      <c r="AU12" s="66" t="str">
        <f t="shared" ca="1" si="10"/>
        <v/>
      </c>
      <c r="AV12" s="67" t="str">
        <f t="shared" ca="1" si="11"/>
        <v/>
      </c>
      <c r="AW12" s="99"/>
      <c r="AX12" s="91"/>
    </row>
    <row r="13" spans="2:50" s="70" customFormat="1" ht="75" x14ac:dyDescent="0.25">
      <c r="B13" s="89" t="s">
        <v>251</v>
      </c>
      <c r="C13" s="90" t="s">
        <v>245</v>
      </c>
      <c r="D13" s="100" t="s">
        <v>125</v>
      </c>
      <c r="E13" s="92">
        <v>2</v>
      </c>
      <c r="F13" s="90" t="s">
        <v>126</v>
      </c>
      <c r="G13" s="90" t="s">
        <v>81</v>
      </c>
      <c r="H13" s="90" t="s">
        <v>84</v>
      </c>
      <c r="I13" s="90" t="s">
        <v>83</v>
      </c>
      <c r="J13" s="90" t="s">
        <v>40</v>
      </c>
      <c r="K13" s="90" t="s">
        <v>185</v>
      </c>
      <c r="L13" s="90"/>
      <c r="M13" s="90" t="s">
        <v>48</v>
      </c>
      <c r="N13" s="90"/>
      <c r="O13" s="93">
        <v>3</v>
      </c>
      <c r="P13" s="94">
        <v>10</v>
      </c>
      <c r="Q13" s="95">
        <v>1</v>
      </c>
      <c r="R13" s="95">
        <v>1</v>
      </c>
      <c r="S13" s="96">
        <v>1</v>
      </c>
      <c r="T13" s="65" t="str">
        <f t="shared" ca="1" si="0"/>
        <v>Med</v>
      </c>
      <c r="U13" s="66" t="str">
        <f t="shared" ca="1" si="1"/>
        <v>Low</v>
      </c>
      <c r="V13" s="66" t="str">
        <f t="shared" ca="1" si="2"/>
        <v>Low</v>
      </c>
      <c r="W13" s="67" t="str">
        <f t="shared" ca="1" si="3"/>
        <v>Low</v>
      </c>
      <c r="X13" s="91" t="s">
        <v>194</v>
      </c>
      <c r="Y13" s="91" t="s">
        <v>141</v>
      </c>
      <c r="Z13" s="91"/>
      <c r="AA13" s="91"/>
      <c r="AB13" s="93"/>
      <c r="AC13" s="94"/>
      <c r="AD13" s="95"/>
      <c r="AE13" s="95"/>
      <c r="AF13" s="96"/>
      <c r="AG13" s="65" t="str">
        <f t="shared" ca="1" si="4"/>
        <v/>
      </c>
      <c r="AH13" s="66" t="str">
        <f t="shared" ca="1" si="5"/>
        <v/>
      </c>
      <c r="AI13" s="66" t="str">
        <f t="shared" ca="1" si="6"/>
        <v/>
      </c>
      <c r="AJ13" s="67" t="str">
        <f t="shared" ca="1" si="7"/>
        <v/>
      </c>
      <c r="AK13" s="91"/>
      <c r="AL13" s="91"/>
      <c r="AM13" s="91"/>
      <c r="AN13" s="93"/>
      <c r="AO13" s="94"/>
      <c r="AP13" s="95"/>
      <c r="AQ13" s="95"/>
      <c r="AR13" s="96"/>
      <c r="AS13" s="65" t="str">
        <f t="shared" ca="1" si="8"/>
        <v/>
      </c>
      <c r="AT13" s="66" t="str">
        <f t="shared" ca="1" si="9"/>
        <v/>
      </c>
      <c r="AU13" s="66" t="str">
        <f t="shared" ca="1" si="10"/>
        <v/>
      </c>
      <c r="AV13" s="67" t="str">
        <f t="shared" ca="1" si="11"/>
        <v/>
      </c>
      <c r="AW13" s="99"/>
      <c r="AX13" s="91"/>
    </row>
    <row r="14" spans="2:50" s="70" customFormat="1" ht="60" x14ac:dyDescent="0.25">
      <c r="B14" s="89" t="s">
        <v>252</v>
      </c>
      <c r="C14" s="90" t="s">
        <v>245</v>
      </c>
      <c r="D14" s="100" t="s">
        <v>125</v>
      </c>
      <c r="E14" s="92">
        <v>2</v>
      </c>
      <c r="F14" s="90" t="s">
        <v>126</v>
      </c>
      <c r="G14" s="90" t="s">
        <v>82</v>
      </c>
      <c r="H14" s="90" t="s">
        <v>84</v>
      </c>
      <c r="I14" s="90" t="s">
        <v>182</v>
      </c>
      <c r="J14" s="90" t="s">
        <v>40</v>
      </c>
      <c r="K14" s="90" t="s">
        <v>185</v>
      </c>
      <c r="L14" s="90"/>
      <c r="M14" s="90" t="s">
        <v>48</v>
      </c>
      <c r="N14" s="90"/>
      <c r="O14" s="93">
        <v>3</v>
      </c>
      <c r="P14" s="94">
        <v>10</v>
      </c>
      <c r="Q14" s="95">
        <v>1</v>
      </c>
      <c r="R14" s="95">
        <v>1</v>
      </c>
      <c r="S14" s="96">
        <v>1</v>
      </c>
      <c r="T14" s="65" t="str">
        <f t="shared" ca="1" si="0"/>
        <v>Med</v>
      </c>
      <c r="U14" s="66" t="str">
        <f t="shared" ca="1" si="1"/>
        <v>Low</v>
      </c>
      <c r="V14" s="66" t="str">
        <f t="shared" ca="1" si="2"/>
        <v>Low</v>
      </c>
      <c r="W14" s="67" t="str">
        <f t="shared" ca="1" si="3"/>
        <v>Low</v>
      </c>
      <c r="X14" s="91" t="s">
        <v>195</v>
      </c>
      <c r="Y14" s="91" t="s">
        <v>163</v>
      </c>
      <c r="Z14" s="91"/>
      <c r="AA14" s="91"/>
      <c r="AB14" s="93"/>
      <c r="AC14" s="94"/>
      <c r="AD14" s="95"/>
      <c r="AE14" s="95"/>
      <c r="AF14" s="96"/>
      <c r="AG14" s="65" t="str">
        <f t="shared" ca="1" si="4"/>
        <v/>
      </c>
      <c r="AH14" s="66" t="str">
        <f t="shared" ca="1" si="5"/>
        <v/>
      </c>
      <c r="AI14" s="66" t="str">
        <f t="shared" ca="1" si="6"/>
        <v/>
      </c>
      <c r="AJ14" s="67" t="str">
        <f t="shared" ca="1" si="7"/>
        <v/>
      </c>
      <c r="AK14" s="91"/>
      <c r="AL14" s="91"/>
      <c r="AM14" s="91"/>
      <c r="AN14" s="93"/>
      <c r="AO14" s="94"/>
      <c r="AP14" s="95"/>
      <c r="AQ14" s="95"/>
      <c r="AR14" s="96"/>
      <c r="AS14" s="65" t="str">
        <f t="shared" ca="1" si="8"/>
        <v/>
      </c>
      <c r="AT14" s="66" t="str">
        <f t="shared" ca="1" si="9"/>
        <v/>
      </c>
      <c r="AU14" s="66" t="str">
        <f t="shared" ca="1" si="10"/>
        <v/>
      </c>
      <c r="AV14" s="67" t="str">
        <f t="shared" ca="1" si="11"/>
        <v/>
      </c>
      <c r="AW14" s="99"/>
      <c r="AX14" s="91"/>
    </row>
    <row r="15" spans="2:50" s="70" customFormat="1" ht="165" x14ac:dyDescent="0.25">
      <c r="B15" s="89" t="s">
        <v>253</v>
      </c>
      <c r="C15" s="90" t="s">
        <v>245</v>
      </c>
      <c r="D15" s="100" t="s">
        <v>125</v>
      </c>
      <c r="E15" s="92">
        <v>2</v>
      </c>
      <c r="F15" s="90" t="s">
        <v>126</v>
      </c>
      <c r="G15" s="90" t="s">
        <v>196</v>
      </c>
      <c r="H15" s="90" t="s">
        <v>68</v>
      </c>
      <c r="I15" s="90" t="s">
        <v>237</v>
      </c>
      <c r="J15" s="90" t="s">
        <v>40</v>
      </c>
      <c r="K15" s="90" t="s">
        <v>69</v>
      </c>
      <c r="L15" s="90" t="s">
        <v>70</v>
      </c>
      <c r="M15" s="90" t="s">
        <v>95</v>
      </c>
      <c r="N15" s="90" t="s">
        <v>73</v>
      </c>
      <c r="O15" s="93">
        <v>5</v>
      </c>
      <c r="P15" s="94">
        <v>1</v>
      </c>
      <c r="Q15" s="95">
        <v>1</v>
      </c>
      <c r="R15" s="95">
        <v>6</v>
      </c>
      <c r="S15" s="96">
        <v>7</v>
      </c>
      <c r="T15" s="65" t="str">
        <f t="shared" ca="1" si="0"/>
        <v>Low</v>
      </c>
      <c r="U15" s="66" t="str">
        <f t="shared" ca="1" si="1"/>
        <v>Low</v>
      </c>
      <c r="V15" s="66" t="str">
        <f t="shared" ca="1" si="2"/>
        <v>Low</v>
      </c>
      <c r="W15" s="67" t="str">
        <f t="shared" ca="1" si="3"/>
        <v>Med</v>
      </c>
      <c r="X15" s="91" t="s">
        <v>198</v>
      </c>
      <c r="Y15" s="91" t="s">
        <v>179</v>
      </c>
      <c r="Z15" s="91"/>
      <c r="AA15" s="91"/>
      <c r="AB15" s="93"/>
      <c r="AC15" s="94"/>
      <c r="AD15" s="95"/>
      <c r="AE15" s="95"/>
      <c r="AF15" s="96"/>
      <c r="AG15" s="65" t="str">
        <f t="shared" ca="1" si="4"/>
        <v/>
      </c>
      <c r="AH15" s="66" t="str">
        <f t="shared" ca="1" si="5"/>
        <v/>
      </c>
      <c r="AI15" s="66" t="str">
        <f t="shared" ca="1" si="6"/>
        <v/>
      </c>
      <c r="AJ15" s="67" t="str">
        <f t="shared" ca="1" si="7"/>
        <v/>
      </c>
      <c r="AK15" s="91"/>
      <c r="AL15" s="91"/>
      <c r="AM15" s="91"/>
      <c r="AN15" s="93"/>
      <c r="AO15" s="94"/>
      <c r="AP15" s="95"/>
      <c r="AQ15" s="95"/>
      <c r="AR15" s="96"/>
      <c r="AS15" s="65" t="str">
        <f t="shared" ca="1" si="8"/>
        <v/>
      </c>
      <c r="AT15" s="66" t="str">
        <f t="shared" ca="1" si="9"/>
        <v/>
      </c>
      <c r="AU15" s="66" t="str">
        <f t="shared" ca="1" si="10"/>
        <v/>
      </c>
      <c r="AV15" s="67" t="str">
        <f t="shared" ca="1" si="11"/>
        <v/>
      </c>
      <c r="AW15" s="99"/>
      <c r="AX15" s="91"/>
    </row>
    <row r="16" spans="2:50" s="70" customFormat="1" ht="135" x14ac:dyDescent="0.25">
      <c r="B16" s="89" t="s">
        <v>254</v>
      </c>
      <c r="C16" s="90" t="s">
        <v>245</v>
      </c>
      <c r="D16" s="100" t="s">
        <v>125</v>
      </c>
      <c r="E16" s="92">
        <v>2</v>
      </c>
      <c r="F16" s="90" t="s">
        <v>126</v>
      </c>
      <c r="G16" s="90" t="s">
        <v>196</v>
      </c>
      <c r="H16" s="90" t="s">
        <v>68</v>
      </c>
      <c r="I16" s="90" t="s">
        <v>65</v>
      </c>
      <c r="J16" s="90" t="s">
        <v>40</v>
      </c>
      <c r="K16" s="101" t="s">
        <v>185</v>
      </c>
      <c r="L16" s="90" t="s">
        <v>70</v>
      </c>
      <c r="M16" s="90" t="s">
        <v>95</v>
      </c>
      <c r="N16" s="90" t="s">
        <v>73</v>
      </c>
      <c r="O16" s="93">
        <v>5</v>
      </c>
      <c r="P16" s="94">
        <v>1</v>
      </c>
      <c r="Q16" s="95">
        <v>1</v>
      </c>
      <c r="R16" s="95">
        <v>6</v>
      </c>
      <c r="S16" s="96">
        <v>7</v>
      </c>
      <c r="T16" s="65" t="str">
        <f t="shared" ca="1" si="0"/>
        <v>Low</v>
      </c>
      <c r="U16" s="66" t="str">
        <f t="shared" ca="1" si="1"/>
        <v>Low</v>
      </c>
      <c r="V16" s="66" t="str">
        <f t="shared" ca="1" si="2"/>
        <v>Low</v>
      </c>
      <c r="W16" s="67" t="str">
        <f t="shared" ca="1" si="3"/>
        <v>Med</v>
      </c>
      <c r="X16" s="91" t="s">
        <v>200</v>
      </c>
      <c r="Y16" s="91" t="s">
        <v>164</v>
      </c>
      <c r="Z16" s="91"/>
      <c r="AA16" s="91"/>
      <c r="AB16" s="93"/>
      <c r="AC16" s="94"/>
      <c r="AD16" s="95"/>
      <c r="AE16" s="95"/>
      <c r="AF16" s="96"/>
      <c r="AG16" s="65" t="str">
        <f t="shared" ca="1" si="4"/>
        <v/>
      </c>
      <c r="AH16" s="66" t="str">
        <f t="shared" ca="1" si="5"/>
        <v/>
      </c>
      <c r="AI16" s="66" t="str">
        <f t="shared" ca="1" si="6"/>
        <v/>
      </c>
      <c r="AJ16" s="67" t="str">
        <f t="shared" ca="1" si="7"/>
        <v/>
      </c>
      <c r="AK16" s="91"/>
      <c r="AL16" s="91"/>
      <c r="AM16" s="91"/>
      <c r="AN16" s="93"/>
      <c r="AO16" s="94"/>
      <c r="AP16" s="95"/>
      <c r="AQ16" s="95"/>
      <c r="AR16" s="96"/>
      <c r="AS16" s="65" t="str">
        <f t="shared" ca="1" si="8"/>
        <v/>
      </c>
      <c r="AT16" s="66" t="str">
        <f t="shared" ca="1" si="9"/>
        <v/>
      </c>
      <c r="AU16" s="66" t="str">
        <f t="shared" ca="1" si="10"/>
        <v/>
      </c>
      <c r="AV16" s="67" t="str">
        <f t="shared" ca="1" si="11"/>
        <v/>
      </c>
      <c r="AW16" s="99"/>
      <c r="AX16" s="91"/>
    </row>
    <row r="17" spans="2:50" s="70" customFormat="1" ht="228.75" customHeight="1" thickBot="1" x14ac:dyDescent="0.3">
      <c r="B17" s="89" t="s">
        <v>255</v>
      </c>
      <c r="C17" s="90" t="s">
        <v>245</v>
      </c>
      <c r="D17" s="100" t="s">
        <v>125</v>
      </c>
      <c r="E17" s="92">
        <v>2</v>
      </c>
      <c r="F17" s="90" t="s">
        <v>126</v>
      </c>
      <c r="G17" s="90" t="s">
        <v>196</v>
      </c>
      <c r="H17" s="90" t="s">
        <v>238</v>
      </c>
      <c r="I17" s="90" t="s">
        <v>57</v>
      </c>
      <c r="J17" s="90" t="s">
        <v>40</v>
      </c>
      <c r="K17" s="90" t="s">
        <v>199</v>
      </c>
      <c r="L17" s="90" t="s">
        <v>185</v>
      </c>
      <c r="M17" s="90" t="s">
        <v>95</v>
      </c>
      <c r="N17" s="90" t="s">
        <v>239</v>
      </c>
      <c r="O17" s="93">
        <v>8</v>
      </c>
      <c r="P17" s="94">
        <v>4</v>
      </c>
      <c r="Q17" s="95">
        <v>1</v>
      </c>
      <c r="R17" s="95">
        <v>6</v>
      </c>
      <c r="S17" s="96">
        <v>7</v>
      </c>
      <c r="T17" s="65" t="str">
        <f t="shared" ca="1" si="0"/>
        <v>Med</v>
      </c>
      <c r="U17" s="66" t="str">
        <f t="shared" ca="1" si="1"/>
        <v>Low</v>
      </c>
      <c r="V17" s="66" t="str">
        <f t="shared" ca="1" si="2"/>
        <v>Med</v>
      </c>
      <c r="W17" s="67" t="str">
        <f t="shared" ca="1" si="3"/>
        <v>Med</v>
      </c>
      <c r="X17" s="91" t="s">
        <v>202</v>
      </c>
      <c r="Y17" s="91" t="s">
        <v>180</v>
      </c>
      <c r="Z17" s="91"/>
      <c r="AA17" s="91"/>
      <c r="AB17" s="93"/>
      <c r="AC17" s="94"/>
      <c r="AD17" s="95"/>
      <c r="AE17" s="95"/>
      <c r="AF17" s="96"/>
      <c r="AG17" s="65" t="str">
        <f t="shared" ca="1" si="4"/>
        <v/>
      </c>
      <c r="AH17" s="66" t="str">
        <f t="shared" ca="1" si="5"/>
        <v/>
      </c>
      <c r="AI17" s="66" t="str">
        <f t="shared" ca="1" si="6"/>
        <v/>
      </c>
      <c r="AJ17" s="67" t="str">
        <f t="shared" ca="1" si="7"/>
        <v/>
      </c>
      <c r="AK17" s="91"/>
      <c r="AL17" s="91"/>
      <c r="AM17" s="91"/>
      <c r="AN17" s="93"/>
      <c r="AO17" s="94"/>
      <c r="AP17" s="95"/>
      <c r="AQ17" s="95"/>
      <c r="AR17" s="96"/>
      <c r="AS17" s="65" t="str">
        <f t="shared" ca="1" si="8"/>
        <v/>
      </c>
      <c r="AT17" s="66" t="str">
        <f t="shared" ca="1" si="9"/>
        <v/>
      </c>
      <c r="AU17" s="66" t="str">
        <f t="shared" ca="1" si="10"/>
        <v/>
      </c>
      <c r="AV17" s="67" t="str">
        <f t="shared" ca="1" si="11"/>
        <v/>
      </c>
      <c r="AW17" s="99"/>
      <c r="AX17" s="91"/>
    </row>
    <row r="18" spans="2:50" s="70" customFormat="1" ht="210.75" thickBot="1" x14ac:dyDescent="0.3">
      <c r="B18" s="89" t="s">
        <v>267</v>
      </c>
      <c r="C18" s="90" t="s">
        <v>268</v>
      </c>
      <c r="D18" s="100" t="s">
        <v>125</v>
      </c>
      <c r="E18" s="92">
        <v>2</v>
      </c>
      <c r="F18" s="90" t="s">
        <v>126</v>
      </c>
      <c r="G18" s="90" t="s">
        <v>67</v>
      </c>
      <c r="H18" s="90" t="s">
        <v>96</v>
      </c>
      <c r="I18" s="90" t="s">
        <v>66</v>
      </c>
      <c r="J18" s="90" t="s">
        <v>40</v>
      </c>
      <c r="K18" s="101" t="s">
        <v>185</v>
      </c>
      <c r="L18" s="90" t="s">
        <v>98</v>
      </c>
      <c r="M18" s="90" t="s">
        <v>97</v>
      </c>
      <c r="N18" s="90" t="s">
        <v>72</v>
      </c>
      <c r="O18" s="93">
        <v>4</v>
      </c>
      <c r="P18" s="94">
        <v>4</v>
      </c>
      <c r="Q18" s="95">
        <v>5</v>
      </c>
      <c r="R18" s="95">
        <v>9</v>
      </c>
      <c r="S18" s="96">
        <v>8</v>
      </c>
      <c r="T18" s="65" t="str">
        <f t="shared" ca="1" si="0"/>
        <v>Low</v>
      </c>
      <c r="U18" s="66" t="str">
        <f t="shared" ca="1" si="1"/>
        <v>Low</v>
      </c>
      <c r="V18" s="66" t="str">
        <f t="shared" ca="1" si="2"/>
        <v>Med</v>
      </c>
      <c r="W18" s="67" t="str">
        <f t="shared" ca="1" si="3"/>
        <v>Med</v>
      </c>
      <c r="X18" s="97" t="s">
        <v>201</v>
      </c>
      <c r="Y18" s="91" t="s">
        <v>172</v>
      </c>
      <c r="Z18" s="91"/>
      <c r="AA18" s="91"/>
      <c r="AB18" s="93"/>
      <c r="AC18" s="94"/>
      <c r="AD18" s="95"/>
      <c r="AE18" s="95"/>
      <c r="AF18" s="96"/>
      <c r="AG18" s="65" t="str">
        <f t="shared" ca="1" si="4"/>
        <v/>
      </c>
      <c r="AH18" s="66" t="str">
        <f t="shared" ca="1" si="5"/>
        <v/>
      </c>
      <c r="AI18" s="66" t="str">
        <f t="shared" ca="1" si="6"/>
        <v/>
      </c>
      <c r="AJ18" s="67" t="str">
        <f t="shared" ca="1" si="7"/>
        <v/>
      </c>
      <c r="AK18" s="91"/>
      <c r="AL18" s="91"/>
      <c r="AM18" s="91"/>
      <c r="AN18" s="93"/>
      <c r="AO18" s="94"/>
      <c r="AP18" s="95"/>
      <c r="AQ18" s="95"/>
      <c r="AR18" s="96"/>
      <c r="AS18" s="65" t="str">
        <f t="shared" ca="1" si="8"/>
        <v/>
      </c>
      <c r="AT18" s="66" t="str">
        <f t="shared" ca="1" si="9"/>
        <v/>
      </c>
      <c r="AU18" s="66" t="str">
        <f t="shared" ca="1" si="10"/>
        <v/>
      </c>
      <c r="AV18" s="67" t="str">
        <f t="shared" ca="1" si="11"/>
        <v/>
      </c>
      <c r="AW18" s="99"/>
      <c r="AX18" s="91"/>
    </row>
    <row r="19" spans="2:50" s="70" customFormat="1" ht="225.75" thickBot="1" x14ac:dyDescent="0.3">
      <c r="B19" s="102" t="s">
        <v>269</v>
      </c>
      <c r="C19" s="103" t="s">
        <v>270</v>
      </c>
      <c r="D19" s="103" t="s">
        <v>54</v>
      </c>
      <c r="E19" s="104">
        <v>2</v>
      </c>
      <c r="F19" s="103" t="s">
        <v>126</v>
      </c>
      <c r="G19" s="103" t="s">
        <v>39</v>
      </c>
      <c r="H19" s="105" t="s">
        <v>56</v>
      </c>
      <c r="I19" s="90" t="s">
        <v>240</v>
      </c>
      <c r="J19" s="103" t="s">
        <v>40</v>
      </c>
      <c r="K19" s="101" t="s">
        <v>185</v>
      </c>
      <c r="L19" s="103" t="s">
        <v>185</v>
      </c>
      <c r="M19" s="103" t="s">
        <v>41</v>
      </c>
      <c r="N19" s="103" t="s">
        <v>42</v>
      </c>
      <c r="O19" s="106">
        <v>7</v>
      </c>
      <c r="P19" s="107">
        <v>1</v>
      </c>
      <c r="Q19" s="108">
        <v>1</v>
      </c>
      <c r="R19" s="108">
        <v>6</v>
      </c>
      <c r="S19" s="109">
        <v>7</v>
      </c>
      <c r="T19" s="65" t="str">
        <f t="shared" ref="T19:T45" ca="1" si="24">IF(AND(ISNUMBER(P19),ISNUMBER($O19)),OFFSET(RiskMatrixRef,-$O19+1,P19-1),"")</f>
        <v>Low</v>
      </c>
      <c r="U19" s="66" t="str">
        <f t="shared" ref="U19:U45" ca="1" si="25">IF(AND(ISNUMBER(Q19),ISNUMBER($O19)),OFFSET(RiskMatrixRef,-$O19+1,Q19-1),"")</f>
        <v>Low</v>
      </c>
      <c r="V19" s="66" t="str">
        <f t="shared" ref="V19:V45" ca="1" si="26">IF(AND(ISNUMBER(R19),ISNUMBER($O19)),OFFSET(RiskMatrixRef,-$O19+1,R19-1),"")</f>
        <v>Med</v>
      </c>
      <c r="W19" s="67" t="str">
        <f t="shared" ref="W19:W45" ca="1" si="27">IF(AND(ISNUMBER(S19),ISNUMBER($O19)),OFFSET(RiskMatrixRef,-$O19+1,S19-1),"")</f>
        <v>Med</v>
      </c>
      <c r="X19" s="91" t="s">
        <v>203</v>
      </c>
      <c r="Y19" s="110" t="s">
        <v>162</v>
      </c>
      <c r="Z19" s="110"/>
      <c r="AA19" s="110"/>
      <c r="AB19" s="106"/>
      <c r="AC19" s="107"/>
      <c r="AD19" s="108"/>
      <c r="AE19" s="108"/>
      <c r="AF19" s="109"/>
      <c r="AG19" s="111" t="str">
        <f t="shared" ref="AG19:AG47" ca="1" si="28">IF(AND(ISNUMBER(AC19),ISNUMBER($AB19)),OFFSET(RiskMatrixRef,-$AB19+1,AC19-1),"")</f>
        <v/>
      </c>
      <c r="AH19" s="112" t="str">
        <f t="shared" ref="AH19:AH47" ca="1" si="29">IF(AND(ISNUMBER(AD19),ISNUMBER($AB19)),OFFSET(RiskMatrixRef,-$AB19+1,AD19-1),"")</f>
        <v/>
      </c>
      <c r="AI19" s="112" t="str">
        <f t="shared" ref="AI19:AI47" ca="1" si="30">IF(AND(ISNUMBER(AE19),ISNUMBER($AB19)),OFFSET(RiskMatrixRef,-$AB19+1,AE19-1),"")</f>
        <v/>
      </c>
      <c r="AJ19" s="113" t="str">
        <f t="shared" ref="AJ19:AJ47" ca="1" si="31">IF(AND(ISNUMBER(AF19),ISNUMBER($AB19)),OFFSET(RiskMatrixRef,-$AB19+1,AF19-1),"")</f>
        <v/>
      </c>
      <c r="AK19" s="110"/>
      <c r="AL19" s="110"/>
      <c r="AM19" s="110"/>
      <c r="AN19" s="106"/>
      <c r="AO19" s="107"/>
      <c r="AP19" s="108"/>
      <c r="AQ19" s="108"/>
      <c r="AR19" s="109"/>
      <c r="AS19" s="111" t="str">
        <f t="shared" ref="AS19:AS47" ca="1" si="32">IF(AND(ISNUMBER(AO19),ISNUMBER($AN19)),OFFSET(RiskMatrixRef,-$AN19+1,AO19-1),"")</f>
        <v/>
      </c>
      <c r="AT19" s="112" t="str">
        <f t="shared" ref="AT19:AT47" ca="1" si="33">IF(AND(ISNUMBER(AP19),ISNUMBER($AN19)),OFFSET(RiskMatrixRef,-$AN19+1,AP19-1),"")</f>
        <v/>
      </c>
      <c r="AU19" s="112" t="str">
        <f t="shared" ref="AU19:AU47" ca="1" si="34">IF(AND(ISNUMBER(AQ19),ISNUMBER($AN19)),OFFSET(RiskMatrixRef,-$AN19+1,AQ19-1),"")</f>
        <v/>
      </c>
      <c r="AV19" s="113" t="str">
        <f t="shared" ref="AV19:AV47" ca="1" si="35">IF(AND(ISNUMBER(AR19),ISNUMBER($AN19)),OFFSET(RiskMatrixRef,-$AN19+1,AR19-1),"")</f>
        <v/>
      </c>
      <c r="AW19" s="114"/>
      <c r="AX19" s="110"/>
    </row>
    <row r="20" spans="2:50" s="70" customFormat="1" ht="135.75" thickBot="1" x14ac:dyDescent="0.3">
      <c r="B20" s="102" t="s">
        <v>257</v>
      </c>
      <c r="C20" s="103" t="s">
        <v>256</v>
      </c>
      <c r="D20" s="103" t="s">
        <v>54</v>
      </c>
      <c r="E20" s="92">
        <v>2</v>
      </c>
      <c r="F20" s="90" t="s">
        <v>126</v>
      </c>
      <c r="G20" s="90" t="s">
        <v>39</v>
      </c>
      <c r="H20" s="90" t="s">
        <v>56</v>
      </c>
      <c r="I20" s="90" t="s">
        <v>43</v>
      </c>
      <c r="J20" s="90" t="s">
        <v>40</v>
      </c>
      <c r="K20" s="101" t="s">
        <v>185</v>
      </c>
      <c r="L20" s="90" t="s">
        <v>44</v>
      </c>
      <c r="M20" s="90" t="s">
        <v>41</v>
      </c>
      <c r="N20" s="90" t="s">
        <v>42</v>
      </c>
      <c r="O20" s="93">
        <v>7</v>
      </c>
      <c r="P20" s="94">
        <v>1</v>
      </c>
      <c r="Q20" s="95">
        <v>1</v>
      </c>
      <c r="R20" s="95">
        <v>6</v>
      </c>
      <c r="S20" s="96">
        <v>7</v>
      </c>
      <c r="T20" s="65" t="str">
        <f t="shared" ca="1" si="24"/>
        <v>Low</v>
      </c>
      <c r="U20" s="66" t="str">
        <f t="shared" ca="1" si="25"/>
        <v>Low</v>
      </c>
      <c r="V20" s="66" t="str">
        <f t="shared" ca="1" si="26"/>
        <v>Med</v>
      </c>
      <c r="W20" s="67" t="str">
        <f t="shared" ca="1" si="27"/>
        <v>Med</v>
      </c>
      <c r="X20" s="91" t="s">
        <v>205</v>
      </c>
      <c r="Y20" s="91" t="s">
        <v>164</v>
      </c>
      <c r="Z20" s="91"/>
      <c r="AA20" s="91"/>
      <c r="AB20" s="93"/>
      <c r="AC20" s="94"/>
      <c r="AD20" s="95"/>
      <c r="AE20" s="95"/>
      <c r="AF20" s="96"/>
      <c r="AG20" s="65" t="str">
        <f t="shared" ca="1" si="28"/>
        <v/>
      </c>
      <c r="AH20" s="66" t="str">
        <f t="shared" ca="1" si="29"/>
        <v/>
      </c>
      <c r="AI20" s="66" t="str">
        <f t="shared" ca="1" si="30"/>
        <v/>
      </c>
      <c r="AJ20" s="67" t="str">
        <f t="shared" ca="1" si="31"/>
        <v/>
      </c>
      <c r="AK20" s="91"/>
      <c r="AL20" s="91"/>
      <c r="AM20" s="91"/>
      <c r="AN20" s="93"/>
      <c r="AO20" s="94"/>
      <c r="AP20" s="95"/>
      <c r="AQ20" s="95"/>
      <c r="AR20" s="96"/>
      <c r="AS20" s="65" t="str">
        <f t="shared" ca="1" si="32"/>
        <v/>
      </c>
      <c r="AT20" s="66" t="str">
        <f t="shared" ca="1" si="33"/>
        <v/>
      </c>
      <c r="AU20" s="66" t="str">
        <f t="shared" ca="1" si="34"/>
        <v/>
      </c>
      <c r="AV20" s="67" t="str">
        <f t="shared" ca="1" si="35"/>
        <v/>
      </c>
      <c r="AW20" s="99"/>
      <c r="AX20" s="91"/>
    </row>
    <row r="21" spans="2:50" s="70" customFormat="1" ht="75.75" thickBot="1" x14ac:dyDescent="0.3">
      <c r="B21" s="102" t="s">
        <v>258</v>
      </c>
      <c r="C21" s="103" t="s">
        <v>256</v>
      </c>
      <c r="D21" s="103" t="s">
        <v>54</v>
      </c>
      <c r="E21" s="92">
        <v>2</v>
      </c>
      <c r="F21" s="90" t="s">
        <v>126</v>
      </c>
      <c r="G21" s="90" t="s">
        <v>39</v>
      </c>
      <c r="H21" s="115" t="s">
        <v>56</v>
      </c>
      <c r="I21" s="90" t="s">
        <v>45</v>
      </c>
      <c r="J21" s="90" t="s">
        <v>40</v>
      </c>
      <c r="K21" s="90" t="s">
        <v>199</v>
      </c>
      <c r="L21" s="90" t="s">
        <v>185</v>
      </c>
      <c r="M21" s="90" t="s">
        <v>41</v>
      </c>
      <c r="N21" s="90" t="s">
        <v>42</v>
      </c>
      <c r="O21" s="93">
        <v>4</v>
      </c>
      <c r="P21" s="94">
        <v>3</v>
      </c>
      <c r="Q21" s="95">
        <v>1</v>
      </c>
      <c r="R21" s="95">
        <v>6</v>
      </c>
      <c r="S21" s="96">
        <v>7</v>
      </c>
      <c r="T21" s="65" t="str">
        <f t="shared" ca="1" si="24"/>
        <v>Low</v>
      </c>
      <c r="U21" s="66" t="str">
        <f t="shared" ca="1" si="25"/>
        <v>Low</v>
      </c>
      <c r="V21" s="66" t="str">
        <f t="shared" ca="1" si="26"/>
        <v>Low</v>
      </c>
      <c r="W21" s="67" t="str">
        <f t="shared" ca="1" si="27"/>
        <v>Low</v>
      </c>
      <c r="X21" s="91" t="s">
        <v>204</v>
      </c>
      <c r="Y21" s="91" t="s">
        <v>142</v>
      </c>
      <c r="Z21" s="91"/>
      <c r="AA21" s="91"/>
      <c r="AB21" s="93"/>
      <c r="AC21" s="94"/>
      <c r="AD21" s="95"/>
      <c r="AE21" s="95"/>
      <c r="AF21" s="96"/>
      <c r="AG21" s="65" t="str">
        <f t="shared" ca="1" si="28"/>
        <v/>
      </c>
      <c r="AH21" s="66" t="str">
        <f t="shared" ca="1" si="29"/>
        <v/>
      </c>
      <c r="AI21" s="66" t="str">
        <f t="shared" ca="1" si="30"/>
        <v/>
      </c>
      <c r="AJ21" s="67" t="str">
        <f t="shared" ca="1" si="31"/>
        <v/>
      </c>
      <c r="AK21" s="91"/>
      <c r="AL21" s="91"/>
      <c r="AM21" s="91"/>
      <c r="AN21" s="93"/>
      <c r="AO21" s="94"/>
      <c r="AP21" s="95"/>
      <c r="AQ21" s="95"/>
      <c r="AR21" s="96"/>
      <c r="AS21" s="65" t="str">
        <f t="shared" ca="1" si="32"/>
        <v/>
      </c>
      <c r="AT21" s="66" t="str">
        <f t="shared" ca="1" si="33"/>
        <v/>
      </c>
      <c r="AU21" s="66" t="str">
        <f t="shared" ca="1" si="34"/>
        <v/>
      </c>
      <c r="AV21" s="67" t="str">
        <f t="shared" ca="1" si="35"/>
        <v/>
      </c>
      <c r="AW21" s="99"/>
      <c r="AX21" s="91"/>
    </row>
    <row r="22" spans="2:50" s="70" customFormat="1" ht="225.75" thickBot="1" x14ac:dyDescent="0.3">
      <c r="B22" s="89" t="s">
        <v>259</v>
      </c>
      <c r="C22" s="90" t="s">
        <v>260</v>
      </c>
      <c r="D22" s="103" t="s">
        <v>55</v>
      </c>
      <c r="E22" s="92">
        <v>2</v>
      </c>
      <c r="F22" s="90" t="s">
        <v>126</v>
      </c>
      <c r="G22" s="90" t="s">
        <v>46</v>
      </c>
      <c r="H22" s="90" t="s">
        <v>47</v>
      </c>
      <c r="I22" s="90" t="s">
        <v>240</v>
      </c>
      <c r="J22" s="90" t="s">
        <v>40</v>
      </c>
      <c r="K22" s="101" t="s">
        <v>185</v>
      </c>
      <c r="L22" s="90"/>
      <c r="M22" s="90" t="s">
        <v>48</v>
      </c>
      <c r="N22" s="90" t="s">
        <v>42</v>
      </c>
      <c r="O22" s="93">
        <v>7</v>
      </c>
      <c r="P22" s="94">
        <v>1</v>
      </c>
      <c r="Q22" s="95">
        <v>1</v>
      </c>
      <c r="R22" s="95">
        <v>6</v>
      </c>
      <c r="S22" s="96">
        <v>7</v>
      </c>
      <c r="T22" s="65" t="str">
        <f t="shared" ca="1" si="24"/>
        <v>Low</v>
      </c>
      <c r="U22" s="66" t="str">
        <f t="shared" ca="1" si="25"/>
        <v>Low</v>
      </c>
      <c r="V22" s="66" t="str">
        <f t="shared" ca="1" si="26"/>
        <v>Med</v>
      </c>
      <c r="W22" s="67" t="str">
        <f t="shared" ca="1" si="27"/>
        <v>Med</v>
      </c>
      <c r="X22" s="91" t="s">
        <v>203</v>
      </c>
      <c r="Y22" s="91" t="s">
        <v>165</v>
      </c>
      <c r="Z22" s="91"/>
      <c r="AA22" s="91"/>
      <c r="AB22" s="93"/>
      <c r="AC22" s="94"/>
      <c r="AD22" s="95"/>
      <c r="AE22" s="95"/>
      <c r="AF22" s="96"/>
      <c r="AG22" s="65" t="str">
        <f t="shared" ca="1" si="28"/>
        <v/>
      </c>
      <c r="AH22" s="66" t="str">
        <f t="shared" ca="1" si="29"/>
        <v/>
      </c>
      <c r="AI22" s="66" t="str">
        <f t="shared" ca="1" si="30"/>
        <v/>
      </c>
      <c r="AJ22" s="67" t="str">
        <f t="shared" ca="1" si="31"/>
        <v/>
      </c>
      <c r="AK22" s="91"/>
      <c r="AL22" s="91"/>
      <c r="AM22" s="91"/>
      <c r="AN22" s="93"/>
      <c r="AO22" s="94"/>
      <c r="AP22" s="95"/>
      <c r="AQ22" s="95"/>
      <c r="AR22" s="96"/>
      <c r="AS22" s="65" t="str">
        <f t="shared" ca="1" si="32"/>
        <v/>
      </c>
      <c r="AT22" s="66" t="str">
        <f t="shared" ca="1" si="33"/>
        <v/>
      </c>
      <c r="AU22" s="66" t="str">
        <f t="shared" ca="1" si="34"/>
        <v/>
      </c>
      <c r="AV22" s="67" t="str">
        <f t="shared" ca="1" si="35"/>
        <v/>
      </c>
      <c r="AW22" s="99"/>
      <c r="AX22" s="91"/>
    </row>
    <row r="23" spans="2:50" s="70" customFormat="1" ht="135.75" thickBot="1" x14ac:dyDescent="0.3">
      <c r="B23" s="89" t="s">
        <v>261</v>
      </c>
      <c r="C23" s="90" t="s">
        <v>260</v>
      </c>
      <c r="D23" s="103" t="s">
        <v>55</v>
      </c>
      <c r="E23" s="92">
        <v>2</v>
      </c>
      <c r="F23" s="90" t="s">
        <v>126</v>
      </c>
      <c r="G23" s="90" t="s">
        <v>46</v>
      </c>
      <c r="H23" s="90" t="s">
        <v>47</v>
      </c>
      <c r="I23" s="90" t="s">
        <v>43</v>
      </c>
      <c r="J23" s="90" t="s">
        <v>40</v>
      </c>
      <c r="K23" s="101" t="s">
        <v>185</v>
      </c>
      <c r="L23" s="90" t="s">
        <v>44</v>
      </c>
      <c r="M23" s="90" t="s">
        <v>48</v>
      </c>
      <c r="N23" s="90" t="s">
        <v>42</v>
      </c>
      <c r="O23" s="93">
        <v>7</v>
      </c>
      <c r="P23" s="94">
        <v>1</v>
      </c>
      <c r="Q23" s="95">
        <v>1</v>
      </c>
      <c r="R23" s="95">
        <v>6</v>
      </c>
      <c r="S23" s="96">
        <v>7</v>
      </c>
      <c r="T23" s="65" t="str">
        <f t="shared" ca="1" si="24"/>
        <v>Low</v>
      </c>
      <c r="U23" s="66" t="str">
        <f t="shared" ca="1" si="25"/>
        <v>Low</v>
      </c>
      <c r="V23" s="66" t="str">
        <f t="shared" ca="1" si="26"/>
        <v>Med</v>
      </c>
      <c r="W23" s="67" t="str">
        <f t="shared" ca="1" si="27"/>
        <v>Med</v>
      </c>
      <c r="X23" s="91" t="s">
        <v>205</v>
      </c>
      <c r="Y23" s="91" t="s">
        <v>164</v>
      </c>
      <c r="Z23" s="91"/>
      <c r="AA23" s="91"/>
      <c r="AB23" s="93"/>
      <c r="AC23" s="94"/>
      <c r="AD23" s="95"/>
      <c r="AE23" s="95"/>
      <c r="AF23" s="96"/>
      <c r="AG23" s="65" t="str">
        <f t="shared" ca="1" si="28"/>
        <v/>
      </c>
      <c r="AH23" s="66" t="str">
        <f t="shared" ca="1" si="29"/>
        <v/>
      </c>
      <c r="AI23" s="66" t="str">
        <f t="shared" ca="1" si="30"/>
        <v/>
      </c>
      <c r="AJ23" s="67" t="str">
        <f t="shared" ca="1" si="31"/>
        <v/>
      </c>
      <c r="AK23" s="91"/>
      <c r="AL23" s="91"/>
      <c r="AM23" s="91"/>
      <c r="AN23" s="93"/>
      <c r="AO23" s="94"/>
      <c r="AP23" s="95"/>
      <c r="AQ23" s="95"/>
      <c r="AR23" s="96"/>
      <c r="AS23" s="65" t="str">
        <f t="shared" ca="1" si="32"/>
        <v/>
      </c>
      <c r="AT23" s="66" t="str">
        <f t="shared" ca="1" si="33"/>
        <v/>
      </c>
      <c r="AU23" s="66" t="str">
        <f t="shared" ca="1" si="34"/>
        <v/>
      </c>
      <c r="AV23" s="67" t="str">
        <f t="shared" ca="1" si="35"/>
        <v/>
      </c>
      <c r="AW23" s="99"/>
      <c r="AX23" s="91"/>
    </row>
    <row r="24" spans="2:50" s="70" customFormat="1" ht="60" x14ac:dyDescent="0.25">
      <c r="B24" s="89" t="s">
        <v>262</v>
      </c>
      <c r="C24" s="90" t="s">
        <v>260</v>
      </c>
      <c r="D24" s="103" t="s">
        <v>55</v>
      </c>
      <c r="E24" s="92">
        <v>2</v>
      </c>
      <c r="F24" s="90" t="s">
        <v>126</v>
      </c>
      <c r="G24" s="90" t="s">
        <v>46</v>
      </c>
      <c r="H24" s="90" t="s">
        <v>47</v>
      </c>
      <c r="I24" s="90" t="s">
        <v>45</v>
      </c>
      <c r="J24" s="90" t="s">
        <v>40</v>
      </c>
      <c r="K24" s="90" t="s">
        <v>199</v>
      </c>
      <c r="L24" s="90" t="s">
        <v>185</v>
      </c>
      <c r="M24" s="90" t="s">
        <v>48</v>
      </c>
      <c r="N24" s="90" t="s">
        <v>42</v>
      </c>
      <c r="O24" s="93">
        <v>4</v>
      </c>
      <c r="P24" s="94">
        <v>3</v>
      </c>
      <c r="Q24" s="95">
        <v>1</v>
      </c>
      <c r="R24" s="95">
        <v>6</v>
      </c>
      <c r="S24" s="96">
        <v>7</v>
      </c>
      <c r="T24" s="65" t="str">
        <f t="shared" ca="1" si="24"/>
        <v>Low</v>
      </c>
      <c r="U24" s="66" t="str">
        <f t="shared" ca="1" si="25"/>
        <v>Low</v>
      </c>
      <c r="V24" s="66" t="str">
        <f t="shared" ca="1" si="26"/>
        <v>Low</v>
      </c>
      <c r="W24" s="67" t="str">
        <f t="shared" ca="1" si="27"/>
        <v>Low</v>
      </c>
      <c r="X24" s="91" t="s">
        <v>204</v>
      </c>
      <c r="Y24" s="91" t="s">
        <v>142</v>
      </c>
      <c r="Z24" s="91"/>
      <c r="AA24" s="91"/>
      <c r="AB24" s="93"/>
      <c r="AC24" s="94"/>
      <c r="AD24" s="95"/>
      <c r="AE24" s="95"/>
      <c r="AF24" s="96"/>
      <c r="AG24" s="65" t="str">
        <f t="shared" ca="1" si="28"/>
        <v/>
      </c>
      <c r="AH24" s="66" t="str">
        <f t="shared" ca="1" si="29"/>
        <v/>
      </c>
      <c r="AI24" s="66" t="str">
        <f t="shared" ca="1" si="30"/>
        <v/>
      </c>
      <c r="AJ24" s="67" t="str">
        <f t="shared" ca="1" si="31"/>
        <v/>
      </c>
      <c r="AK24" s="91"/>
      <c r="AL24" s="91"/>
      <c r="AM24" s="91"/>
      <c r="AN24" s="93"/>
      <c r="AO24" s="94"/>
      <c r="AP24" s="95"/>
      <c r="AQ24" s="95"/>
      <c r="AR24" s="96"/>
      <c r="AS24" s="65" t="str">
        <f t="shared" ca="1" si="32"/>
        <v/>
      </c>
      <c r="AT24" s="66" t="str">
        <f t="shared" ca="1" si="33"/>
        <v/>
      </c>
      <c r="AU24" s="66" t="str">
        <f t="shared" ca="1" si="34"/>
        <v/>
      </c>
      <c r="AV24" s="67" t="str">
        <f t="shared" ca="1" si="35"/>
        <v/>
      </c>
      <c r="AW24" s="99"/>
      <c r="AX24" s="91"/>
    </row>
    <row r="25" spans="2:50" s="70" customFormat="1" ht="120" x14ac:dyDescent="0.25">
      <c r="B25" s="89" t="s">
        <v>59</v>
      </c>
      <c r="C25" s="90" t="s">
        <v>60</v>
      </c>
      <c r="D25" s="90" t="s">
        <v>61</v>
      </c>
      <c r="E25" s="92">
        <v>2</v>
      </c>
      <c r="F25" s="90" t="s">
        <v>126</v>
      </c>
      <c r="G25" s="90" t="s">
        <v>76</v>
      </c>
      <c r="H25" s="90" t="s">
        <v>241</v>
      </c>
      <c r="I25" s="90" t="s">
        <v>207</v>
      </c>
      <c r="J25" s="90" t="s">
        <v>40</v>
      </c>
      <c r="K25" s="90" t="s">
        <v>78</v>
      </c>
      <c r="L25" s="90"/>
      <c r="M25" s="90" t="s">
        <v>109</v>
      </c>
      <c r="N25" s="90" t="s">
        <v>108</v>
      </c>
      <c r="O25" s="93">
        <v>4</v>
      </c>
      <c r="P25" s="94">
        <v>1</v>
      </c>
      <c r="Q25" s="95">
        <v>1</v>
      </c>
      <c r="R25" s="95">
        <v>1</v>
      </c>
      <c r="S25" s="96">
        <v>3</v>
      </c>
      <c r="T25" s="65" t="str">
        <f t="shared" ca="1" si="24"/>
        <v>Low</v>
      </c>
      <c r="U25" s="66" t="str">
        <f t="shared" ca="1" si="25"/>
        <v>Low</v>
      </c>
      <c r="V25" s="66" t="str">
        <f t="shared" ca="1" si="26"/>
        <v>Low</v>
      </c>
      <c r="W25" s="67" t="str">
        <f t="shared" ca="1" si="27"/>
        <v>Low</v>
      </c>
      <c r="X25" s="91" t="s">
        <v>193</v>
      </c>
      <c r="Y25" s="91" t="s">
        <v>167</v>
      </c>
      <c r="Z25" s="91"/>
      <c r="AA25" s="91"/>
      <c r="AB25" s="93"/>
      <c r="AC25" s="94"/>
      <c r="AD25" s="95"/>
      <c r="AE25" s="95"/>
      <c r="AF25" s="96"/>
      <c r="AG25" s="65" t="str">
        <f t="shared" ca="1" si="28"/>
        <v/>
      </c>
      <c r="AH25" s="66" t="str">
        <f t="shared" ca="1" si="29"/>
        <v/>
      </c>
      <c r="AI25" s="66" t="str">
        <f t="shared" ca="1" si="30"/>
        <v/>
      </c>
      <c r="AJ25" s="67" t="str">
        <f t="shared" ca="1" si="31"/>
        <v/>
      </c>
      <c r="AK25" s="91"/>
      <c r="AL25" s="91"/>
      <c r="AM25" s="91"/>
      <c r="AN25" s="93"/>
      <c r="AO25" s="94"/>
      <c r="AP25" s="95"/>
      <c r="AQ25" s="95"/>
      <c r="AR25" s="96"/>
      <c r="AS25" s="65" t="str">
        <f t="shared" ca="1" si="32"/>
        <v/>
      </c>
      <c r="AT25" s="66" t="str">
        <f t="shared" ca="1" si="33"/>
        <v/>
      </c>
      <c r="AU25" s="66" t="str">
        <f t="shared" ca="1" si="34"/>
        <v/>
      </c>
      <c r="AV25" s="67" t="str">
        <f t="shared" ca="1" si="35"/>
        <v/>
      </c>
      <c r="AW25" s="99"/>
      <c r="AX25" s="91" t="s">
        <v>110</v>
      </c>
    </row>
    <row r="26" spans="2:50" s="70" customFormat="1" ht="225" x14ac:dyDescent="0.25">
      <c r="B26" s="89" t="s">
        <v>85</v>
      </c>
      <c r="C26" s="90" t="s">
        <v>60</v>
      </c>
      <c r="D26" s="90" t="s">
        <v>61</v>
      </c>
      <c r="E26" s="92">
        <v>2</v>
      </c>
      <c r="F26" s="90" t="s">
        <v>126</v>
      </c>
      <c r="G26" s="90" t="s">
        <v>76</v>
      </c>
      <c r="H26" s="90" t="s">
        <v>241</v>
      </c>
      <c r="I26" s="90" t="s">
        <v>161</v>
      </c>
      <c r="J26" s="90" t="s">
        <v>40</v>
      </c>
      <c r="K26" s="90" t="s">
        <v>206</v>
      </c>
      <c r="L26" s="90"/>
      <c r="M26" s="90" t="s">
        <v>109</v>
      </c>
      <c r="N26" s="90" t="s">
        <v>77</v>
      </c>
      <c r="O26" s="93">
        <v>7</v>
      </c>
      <c r="P26" s="94">
        <v>1</v>
      </c>
      <c r="Q26" s="95">
        <v>1</v>
      </c>
      <c r="R26" s="95">
        <v>6</v>
      </c>
      <c r="S26" s="96">
        <v>7</v>
      </c>
      <c r="T26" s="65" t="str">
        <f ca="1">IF(AND(ISNUMBER(P26),ISNUMBER($O26)),OFFSET(RiskMatrixRef,-$O26+1,P26-1),"")</f>
        <v>Low</v>
      </c>
      <c r="U26" s="66" t="str">
        <f ca="1">IF(AND(ISNUMBER(Q26),ISNUMBER($O26)),OFFSET(RiskMatrixRef,-$O26+1,Q26-1),"")</f>
        <v>Low</v>
      </c>
      <c r="V26" s="66" t="str">
        <f ca="1">IF(AND(ISNUMBER(R26),ISNUMBER($O26)),OFFSET(RiskMatrixRef,-$O26+1,R26-1),"")</f>
        <v>Med</v>
      </c>
      <c r="W26" s="67" t="str">
        <f ca="1">IF(AND(ISNUMBER(S26),ISNUMBER($O26)),OFFSET(RiskMatrixRef,-$O26+1,S26-1),"")</f>
        <v>Med</v>
      </c>
      <c r="X26" s="91" t="s">
        <v>203</v>
      </c>
      <c r="Y26" s="91" t="s">
        <v>166</v>
      </c>
      <c r="Z26" s="91"/>
      <c r="AA26" s="91"/>
      <c r="AB26" s="93"/>
      <c r="AC26" s="94"/>
      <c r="AD26" s="95"/>
      <c r="AE26" s="95"/>
      <c r="AF26" s="96"/>
      <c r="AG26" s="65" t="str">
        <f ca="1">IF(AND(ISNUMBER(AC26),ISNUMBER($AB26)),OFFSET(RiskMatrixRef,-$AB26+1,AC26-1),"")</f>
        <v/>
      </c>
      <c r="AH26" s="66" t="str">
        <f ca="1">IF(AND(ISNUMBER(AD26),ISNUMBER($AB26)),OFFSET(RiskMatrixRef,-$AB26+1,AD26-1),"")</f>
        <v/>
      </c>
      <c r="AI26" s="66" t="str">
        <f ca="1">IF(AND(ISNUMBER(AE26),ISNUMBER($AB26)),OFFSET(RiskMatrixRef,-$AB26+1,AE26-1),"")</f>
        <v/>
      </c>
      <c r="AJ26" s="67" t="str">
        <f ca="1">IF(AND(ISNUMBER(AF26),ISNUMBER($AB26)),OFFSET(RiskMatrixRef,-$AB26+1,AF26-1),"")</f>
        <v/>
      </c>
      <c r="AK26" s="91"/>
      <c r="AL26" s="91"/>
      <c r="AM26" s="91"/>
      <c r="AN26" s="93"/>
      <c r="AO26" s="94"/>
      <c r="AP26" s="95"/>
      <c r="AQ26" s="95"/>
      <c r="AR26" s="96"/>
      <c r="AS26" s="65" t="str">
        <f ca="1">IF(AND(ISNUMBER(AO26),ISNUMBER($AN26)),OFFSET(RiskMatrixRef,-$AN26+1,AO26-1),"")</f>
        <v/>
      </c>
      <c r="AT26" s="66" t="str">
        <f ca="1">IF(AND(ISNUMBER(AP26),ISNUMBER($AN26)),OFFSET(RiskMatrixRef,-$AN26+1,AP26-1),"")</f>
        <v/>
      </c>
      <c r="AU26" s="66" t="str">
        <f ca="1">IF(AND(ISNUMBER(AQ26),ISNUMBER($AN26)),OFFSET(RiskMatrixRef,-$AN26+1,AQ26-1),"")</f>
        <v/>
      </c>
      <c r="AV26" s="67" t="str">
        <f ca="1">IF(AND(ISNUMBER(AR26),ISNUMBER($AN26)),OFFSET(RiskMatrixRef,-$AN26+1,AR26-1),"")</f>
        <v/>
      </c>
      <c r="AW26" s="99"/>
      <c r="AX26" s="91" t="s">
        <v>133</v>
      </c>
    </row>
    <row r="27" spans="2:50" s="70" customFormat="1" ht="120" x14ac:dyDescent="0.25">
      <c r="B27" s="89" t="s">
        <v>90</v>
      </c>
      <c r="C27" s="90" t="s">
        <v>87</v>
      </c>
      <c r="D27" s="90" t="s">
        <v>91</v>
      </c>
      <c r="E27" s="92">
        <v>2</v>
      </c>
      <c r="F27" s="90" t="s">
        <v>126</v>
      </c>
      <c r="G27" s="90" t="s">
        <v>101</v>
      </c>
      <c r="H27" s="90" t="s">
        <v>242</v>
      </c>
      <c r="I27" s="90" t="s">
        <v>207</v>
      </c>
      <c r="J27" s="90" t="s">
        <v>40</v>
      </c>
      <c r="K27" s="90" t="s">
        <v>102</v>
      </c>
      <c r="L27" s="90"/>
      <c r="M27" s="90" t="s">
        <v>103</v>
      </c>
      <c r="N27" s="90" t="s">
        <v>104</v>
      </c>
      <c r="O27" s="93">
        <v>4</v>
      </c>
      <c r="P27" s="94">
        <v>1</v>
      </c>
      <c r="Q27" s="95">
        <v>1</v>
      </c>
      <c r="R27" s="95">
        <v>1</v>
      </c>
      <c r="S27" s="96">
        <v>1</v>
      </c>
      <c r="T27" s="65" t="str">
        <f t="shared" ref="T27" ca="1" si="36">IF(AND(ISNUMBER(P27),ISNUMBER($O27)),OFFSET(RiskMatrixRef,-$O27+1,P27-1),"")</f>
        <v>Low</v>
      </c>
      <c r="U27" s="66" t="str">
        <f t="shared" ref="U27" ca="1" si="37">IF(AND(ISNUMBER(Q27),ISNUMBER($O27)),OFFSET(RiskMatrixRef,-$O27+1,Q27-1),"")</f>
        <v>Low</v>
      </c>
      <c r="V27" s="66" t="str">
        <f t="shared" ref="V27" ca="1" si="38">IF(AND(ISNUMBER(R27),ISNUMBER($O27)),OFFSET(RiskMatrixRef,-$O27+1,R27-1),"")</f>
        <v>Low</v>
      </c>
      <c r="W27" s="67" t="str">
        <f t="shared" ref="W27" ca="1" si="39">IF(AND(ISNUMBER(S27),ISNUMBER($O27)),OFFSET(RiskMatrixRef,-$O27+1,S27-1),"")</f>
        <v>Low</v>
      </c>
      <c r="X27" s="91" t="s">
        <v>209</v>
      </c>
      <c r="Y27" s="91" t="s">
        <v>167</v>
      </c>
      <c r="Z27" s="91"/>
      <c r="AA27" s="91"/>
      <c r="AB27" s="93"/>
      <c r="AC27" s="94"/>
      <c r="AD27" s="95"/>
      <c r="AE27" s="95"/>
      <c r="AF27" s="96"/>
      <c r="AG27" s="65" t="str">
        <f t="shared" ref="AG27" ca="1" si="40">IF(AND(ISNUMBER(AC27),ISNUMBER($AB27)),OFFSET(RiskMatrixRef,-$AB27+1,AC27-1),"")</f>
        <v/>
      </c>
      <c r="AH27" s="66" t="str">
        <f t="shared" ref="AH27" ca="1" si="41">IF(AND(ISNUMBER(AD27),ISNUMBER($AB27)),OFFSET(RiskMatrixRef,-$AB27+1,AD27-1),"")</f>
        <v/>
      </c>
      <c r="AI27" s="66" t="str">
        <f t="shared" ref="AI27" ca="1" si="42">IF(AND(ISNUMBER(AE27),ISNUMBER($AB27)),OFFSET(RiskMatrixRef,-$AB27+1,AE27-1),"")</f>
        <v/>
      </c>
      <c r="AJ27" s="67" t="str">
        <f t="shared" ref="AJ27" ca="1" si="43">IF(AND(ISNUMBER(AF27),ISNUMBER($AB27)),OFFSET(RiskMatrixRef,-$AB27+1,AF27-1),"")</f>
        <v/>
      </c>
      <c r="AK27" s="91"/>
      <c r="AL27" s="91"/>
      <c r="AM27" s="91"/>
      <c r="AN27" s="93"/>
      <c r="AO27" s="94"/>
      <c r="AP27" s="95"/>
      <c r="AQ27" s="95"/>
      <c r="AR27" s="96"/>
      <c r="AS27" s="65" t="str">
        <f t="shared" ref="AS27" ca="1" si="44">IF(AND(ISNUMBER(AO27),ISNUMBER($AN27)),OFFSET(RiskMatrixRef,-$AN27+1,AO27-1),"")</f>
        <v/>
      </c>
      <c r="AT27" s="66" t="str">
        <f t="shared" ref="AT27" ca="1" si="45">IF(AND(ISNUMBER(AP27),ISNUMBER($AN27)),OFFSET(RiskMatrixRef,-$AN27+1,AP27-1),"")</f>
        <v/>
      </c>
      <c r="AU27" s="66" t="str">
        <f t="shared" ref="AU27" ca="1" si="46">IF(AND(ISNUMBER(AQ27),ISNUMBER($AN27)),OFFSET(RiskMatrixRef,-$AN27+1,AQ27-1),"")</f>
        <v/>
      </c>
      <c r="AV27" s="67" t="str">
        <f t="shared" ref="AV27" ca="1" si="47">IF(AND(ISNUMBER(AR27),ISNUMBER($AN27)),OFFSET(RiskMatrixRef,-$AN27+1,AR27-1),"")</f>
        <v/>
      </c>
      <c r="AW27" s="99"/>
      <c r="AX27" s="91" t="s">
        <v>105</v>
      </c>
    </row>
    <row r="28" spans="2:50" s="70" customFormat="1" ht="255" x14ac:dyDescent="0.25">
      <c r="B28" s="89" t="s">
        <v>99</v>
      </c>
      <c r="C28" s="90" t="s">
        <v>87</v>
      </c>
      <c r="D28" s="90" t="s">
        <v>91</v>
      </c>
      <c r="E28" s="92">
        <v>2</v>
      </c>
      <c r="F28" s="90" t="s">
        <v>126</v>
      </c>
      <c r="G28" s="90" t="s">
        <v>101</v>
      </c>
      <c r="H28" s="90" t="s">
        <v>242</v>
      </c>
      <c r="I28" s="90" t="s">
        <v>161</v>
      </c>
      <c r="J28" s="90" t="s">
        <v>40</v>
      </c>
      <c r="K28" s="90" t="s">
        <v>208</v>
      </c>
      <c r="L28" s="90"/>
      <c r="M28" s="90" t="s">
        <v>103</v>
      </c>
      <c r="N28" s="90" t="s">
        <v>104</v>
      </c>
      <c r="O28" s="93">
        <v>5</v>
      </c>
      <c r="P28" s="94">
        <v>1</v>
      </c>
      <c r="Q28" s="95">
        <v>1</v>
      </c>
      <c r="R28" s="95">
        <v>1</v>
      </c>
      <c r="S28" s="96">
        <v>1</v>
      </c>
      <c r="T28" s="65" t="str">
        <f ca="1">IF(AND(ISNUMBER(P28),ISNUMBER($O28)),OFFSET(RiskMatrixRef,-$O28+1,P28-1),"")</f>
        <v>Low</v>
      </c>
      <c r="U28" s="66" t="str">
        <f ca="1">IF(AND(ISNUMBER(Q28),ISNUMBER($O28)),OFFSET(RiskMatrixRef,-$O28+1,Q28-1),"")</f>
        <v>Low</v>
      </c>
      <c r="V28" s="66" t="str">
        <f ca="1">IF(AND(ISNUMBER(R28),ISNUMBER($O28)),OFFSET(RiskMatrixRef,-$O28+1,R28-1),"")</f>
        <v>Low</v>
      </c>
      <c r="W28" s="67" t="str">
        <f ca="1">IF(AND(ISNUMBER(S28),ISNUMBER($O28)),OFFSET(RiskMatrixRef,-$O28+1,S28-1),"")</f>
        <v>Low</v>
      </c>
      <c r="X28" s="91" t="s">
        <v>210</v>
      </c>
      <c r="Y28" s="91" t="s">
        <v>168</v>
      </c>
      <c r="Z28" s="91"/>
      <c r="AA28" s="91"/>
      <c r="AB28" s="93"/>
      <c r="AC28" s="94"/>
      <c r="AD28" s="95"/>
      <c r="AE28" s="95"/>
      <c r="AF28" s="96"/>
      <c r="AG28" s="65" t="str">
        <f ca="1">IF(AND(ISNUMBER(AC28),ISNUMBER($AB28)),OFFSET(RiskMatrixRef,-$AB28+1,AC28-1),"")</f>
        <v/>
      </c>
      <c r="AH28" s="66" t="str">
        <f ca="1">IF(AND(ISNUMBER(AD28),ISNUMBER($AB28)),OFFSET(RiskMatrixRef,-$AB28+1,AD28-1),"")</f>
        <v/>
      </c>
      <c r="AI28" s="66" t="str">
        <f ca="1">IF(AND(ISNUMBER(AE28),ISNUMBER($AB28)),OFFSET(RiskMatrixRef,-$AB28+1,AE28-1),"")</f>
        <v/>
      </c>
      <c r="AJ28" s="67" t="str">
        <f ca="1">IF(AND(ISNUMBER(AF28),ISNUMBER($AB28)),OFFSET(RiskMatrixRef,-$AB28+1,AF28-1),"")</f>
        <v/>
      </c>
      <c r="AK28" s="91"/>
      <c r="AL28" s="91"/>
      <c r="AM28" s="91"/>
      <c r="AN28" s="93"/>
      <c r="AO28" s="94"/>
      <c r="AP28" s="95"/>
      <c r="AQ28" s="95"/>
      <c r="AR28" s="96"/>
      <c r="AS28" s="65" t="str">
        <f ca="1">IF(AND(ISNUMBER(AO28),ISNUMBER($AN28)),OFFSET(RiskMatrixRef,-$AN28+1,AO28-1),"")</f>
        <v/>
      </c>
      <c r="AT28" s="66" t="str">
        <f ca="1">IF(AND(ISNUMBER(AP28),ISNUMBER($AN28)),OFFSET(RiskMatrixRef,-$AN28+1,AP28-1),"")</f>
        <v/>
      </c>
      <c r="AU28" s="66" t="str">
        <f ca="1">IF(AND(ISNUMBER(AQ28),ISNUMBER($AN28)),OFFSET(RiskMatrixRef,-$AN28+1,AQ28-1),"")</f>
        <v/>
      </c>
      <c r="AV28" s="67" t="str">
        <f ca="1">IF(AND(ISNUMBER(AR28),ISNUMBER($AN28)),OFFSET(RiskMatrixRef,-$AN28+1,AR28-1),"")</f>
        <v/>
      </c>
      <c r="AW28" s="99"/>
      <c r="AX28" s="91" t="s">
        <v>105</v>
      </c>
    </row>
    <row r="29" spans="2:50" s="70" customFormat="1" ht="120" x14ac:dyDescent="0.25">
      <c r="B29" s="89" t="s">
        <v>264</v>
      </c>
      <c r="C29" s="90" t="s">
        <v>263</v>
      </c>
      <c r="D29" s="90" t="s">
        <v>91</v>
      </c>
      <c r="E29" s="92">
        <v>2</v>
      </c>
      <c r="F29" s="90" t="s">
        <v>126</v>
      </c>
      <c r="G29" s="90" t="s">
        <v>76</v>
      </c>
      <c r="H29" s="90" t="s">
        <v>243</v>
      </c>
      <c r="I29" s="90" t="s">
        <v>207</v>
      </c>
      <c r="J29" s="90" t="s">
        <v>40</v>
      </c>
      <c r="K29" s="90" t="s">
        <v>78</v>
      </c>
      <c r="L29" s="90"/>
      <c r="M29" s="90" t="s">
        <v>109</v>
      </c>
      <c r="N29" s="90" t="s">
        <v>108</v>
      </c>
      <c r="O29" s="93">
        <v>3</v>
      </c>
      <c r="P29" s="94">
        <v>1</v>
      </c>
      <c r="Q29" s="95">
        <v>1</v>
      </c>
      <c r="R29" s="95">
        <v>1</v>
      </c>
      <c r="S29" s="96">
        <v>3</v>
      </c>
      <c r="T29" s="65" t="str">
        <f t="shared" ref="T29" ca="1" si="48">IF(AND(ISNUMBER(P29),ISNUMBER($O29)),OFFSET(RiskMatrixRef,-$O29+1,P29-1),"")</f>
        <v>Low</v>
      </c>
      <c r="U29" s="66" t="str">
        <f t="shared" ref="U29" ca="1" si="49">IF(AND(ISNUMBER(Q29),ISNUMBER($O29)),OFFSET(RiskMatrixRef,-$O29+1,Q29-1),"")</f>
        <v>Low</v>
      </c>
      <c r="V29" s="66" t="str">
        <f t="shared" ref="V29" ca="1" si="50">IF(AND(ISNUMBER(R29),ISNUMBER($O29)),OFFSET(RiskMatrixRef,-$O29+1,R29-1),"")</f>
        <v>Low</v>
      </c>
      <c r="W29" s="67" t="str">
        <f t="shared" ref="W29" ca="1" si="51">IF(AND(ISNUMBER(S29),ISNUMBER($O29)),OFFSET(RiskMatrixRef,-$O29+1,S29-1),"")</f>
        <v>Low</v>
      </c>
      <c r="X29" s="91" t="s">
        <v>193</v>
      </c>
      <c r="Y29" s="91" t="s">
        <v>167</v>
      </c>
      <c r="Z29" s="91"/>
      <c r="AA29" s="91"/>
      <c r="AB29" s="93"/>
      <c r="AC29" s="94"/>
      <c r="AD29" s="95"/>
      <c r="AE29" s="95"/>
      <c r="AF29" s="96"/>
      <c r="AG29" s="65" t="str">
        <f t="shared" ref="AG29" ca="1" si="52">IF(AND(ISNUMBER(AC29),ISNUMBER($AB29)),OFFSET(RiskMatrixRef,-$AB29+1,AC29-1),"")</f>
        <v/>
      </c>
      <c r="AH29" s="66" t="str">
        <f t="shared" ref="AH29" ca="1" si="53">IF(AND(ISNUMBER(AD29),ISNUMBER($AB29)),OFFSET(RiskMatrixRef,-$AB29+1,AD29-1),"")</f>
        <v/>
      </c>
      <c r="AI29" s="66" t="str">
        <f t="shared" ref="AI29" ca="1" si="54">IF(AND(ISNUMBER(AE29),ISNUMBER($AB29)),OFFSET(RiskMatrixRef,-$AB29+1,AE29-1),"")</f>
        <v/>
      </c>
      <c r="AJ29" s="67" t="str">
        <f t="shared" ref="AJ29" ca="1" si="55">IF(AND(ISNUMBER(AF29),ISNUMBER($AB29)),OFFSET(RiskMatrixRef,-$AB29+1,AF29-1),"")</f>
        <v/>
      </c>
      <c r="AK29" s="91"/>
      <c r="AL29" s="91"/>
      <c r="AM29" s="91"/>
      <c r="AN29" s="93"/>
      <c r="AO29" s="94"/>
      <c r="AP29" s="95"/>
      <c r="AQ29" s="95"/>
      <c r="AR29" s="96"/>
      <c r="AS29" s="65" t="str">
        <f t="shared" ref="AS29" ca="1" si="56">IF(AND(ISNUMBER(AO29),ISNUMBER($AN29)),OFFSET(RiskMatrixRef,-$AN29+1,AO29-1),"")</f>
        <v/>
      </c>
      <c r="AT29" s="66" t="str">
        <f t="shared" ref="AT29" ca="1" si="57">IF(AND(ISNUMBER(AP29),ISNUMBER($AN29)),OFFSET(RiskMatrixRef,-$AN29+1,AP29-1),"")</f>
        <v/>
      </c>
      <c r="AU29" s="66" t="str">
        <f t="shared" ref="AU29" ca="1" si="58">IF(AND(ISNUMBER(AQ29),ISNUMBER($AN29)),OFFSET(RiskMatrixRef,-$AN29+1,AQ29-1),"")</f>
        <v/>
      </c>
      <c r="AV29" s="67" t="str">
        <f t="shared" ref="AV29" ca="1" si="59">IF(AND(ISNUMBER(AR29),ISNUMBER($AN29)),OFFSET(RiskMatrixRef,-$AN29+1,AR29-1),"")</f>
        <v/>
      </c>
      <c r="AW29" s="99"/>
      <c r="AX29" s="91"/>
    </row>
    <row r="30" spans="2:50" s="70" customFormat="1" ht="225" x14ac:dyDescent="0.25">
      <c r="B30" s="89" t="s">
        <v>265</v>
      </c>
      <c r="C30" s="90" t="s">
        <v>263</v>
      </c>
      <c r="D30" s="90" t="s">
        <v>91</v>
      </c>
      <c r="E30" s="92">
        <v>2</v>
      </c>
      <c r="F30" s="90" t="s">
        <v>126</v>
      </c>
      <c r="G30" s="90" t="s">
        <v>76</v>
      </c>
      <c r="H30" s="90" t="s">
        <v>243</v>
      </c>
      <c r="I30" s="90" t="s">
        <v>161</v>
      </c>
      <c r="J30" s="90" t="s">
        <v>40</v>
      </c>
      <c r="K30" s="90" t="s">
        <v>206</v>
      </c>
      <c r="L30" s="90"/>
      <c r="M30" s="90" t="s">
        <v>109</v>
      </c>
      <c r="N30" s="90" t="s">
        <v>77</v>
      </c>
      <c r="O30" s="93">
        <v>7</v>
      </c>
      <c r="P30" s="94">
        <v>1</v>
      </c>
      <c r="Q30" s="95">
        <v>1</v>
      </c>
      <c r="R30" s="95">
        <v>1</v>
      </c>
      <c r="S30" s="96">
        <v>7</v>
      </c>
      <c r="T30" s="65" t="str">
        <f ca="1">IF(AND(ISNUMBER(P30),ISNUMBER($O30)),OFFSET(RiskMatrixRef,-$O30+1,P30-1),"")</f>
        <v>Low</v>
      </c>
      <c r="U30" s="66" t="str">
        <f ca="1">IF(AND(ISNUMBER(Q30),ISNUMBER($O30)),OFFSET(RiskMatrixRef,-$O30+1,Q30-1),"")</f>
        <v>Low</v>
      </c>
      <c r="V30" s="66" t="str">
        <f ca="1">IF(AND(ISNUMBER(R30),ISNUMBER($O30)),OFFSET(RiskMatrixRef,-$O30+1,R30-1),"")</f>
        <v>Low</v>
      </c>
      <c r="W30" s="67" t="str">
        <f ca="1">IF(AND(ISNUMBER(S30),ISNUMBER($O30)),OFFSET(RiskMatrixRef,-$O30+1,S30-1),"")</f>
        <v>Med</v>
      </c>
      <c r="X30" s="91" t="s">
        <v>203</v>
      </c>
      <c r="Y30" s="91" t="s">
        <v>173</v>
      </c>
      <c r="Z30" s="91"/>
      <c r="AA30" s="91"/>
      <c r="AB30" s="93"/>
      <c r="AC30" s="94"/>
      <c r="AD30" s="95"/>
      <c r="AE30" s="95"/>
      <c r="AF30" s="96"/>
      <c r="AG30" s="65" t="str">
        <f ca="1">IF(AND(ISNUMBER(AC30),ISNUMBER($AB30)),OFFSET(RiskMatrixRef,-$AB30+1,AC30-1),"")</f>
        <v/>
      </c>
      <c r="AH30" s="66" t="str">
        <f ca="1">IF(AND(ISNUMBER(AD30),ISNUMBER($AB30)),OFFSET(RiskMatrixRef,-$AB30+1,AD30-1),"")</f>
        <v/>
      </c>
      <c r="AI30" s="66" t="str">
        <f ca="1">IF(AND(ISNUMBER(AE30),ISNUMBER($AB30)),OFFSET(RiskMatrixRef,-$AB30+1,AE30-1),"")</f>
        <v/>
      </c>
      <c r="AJ30" s="67" t="str">
        <f ca="1">IF(AND(ISNUMBER(AF30),ISNUMBER($AB30)),OFFSET(RiskMatrixRef,-$AB30+1,AF30-1),"")</f>
        <v/>
      </c>
      <c r="AK30" s="91"/>
      <c r="AL30" s="91"/>
      <c r="AM30" s="91"/>
      <c r="AN30" s="93"/>
      <c r="AO30" s="94"/>
      <c r="AP30" s="95"/>
      <c r="AQ30" s="95"/>
      <c r="AR30" s="96"/>
      <c r="AS30" s="65" t="str">
        <f ca="1">IF(AND(ISNUMBER(AO30),ISNUMBER($AN30)),OFFSET(RiskMatrixRef,-$AN30+1,AO30-1),"")</f>
        <v/>
      </c>
      <c r="AT30" s="66" t="str">
        <f ca="1">IF(AND(ISNUMBER(AP30),ISNUMBER($AN30)),OFFSET(RiskMatrixRef,-$AN30+1,AP30-1),"")</f>
        <v/>
      </c>
      <c r="AU30" s="66" t="str">
        <f ca="1">IF(AND(ISNUMBER(AQ30),ISNUMBER($AN30)),OFFSET(RiskMatrixRef,-$AN30+1,AQ30-1),"")</f>
        <v/>
      </c>
      <c r="AV30" s="67" t="str">
        <f ca="1">IF(AND(ISNUMBER(AR30),ISNUMBER($AN30)),OFFSET(RiskMatrixRef,-$AN30+1,AR30-1),"")</f>
        <v/>
      </c>
      <c r="AW30" s="99"/>
      <c r="AX30" s="91"/>
    </row>
    <row r="31" spans="2:50" s="70" customFormat="1" ht="105" x14ac:dyDescent="0.25">
      <c r="B31" s="89" t="s">
        <v>266</v>
      </c>
      <c r="C31" s="90" t="s">
        <v>263</v>
      </c>
      <c r="D31" s="90" t="s">
        <v>91</v>
      </c>
      <c r="E31" s="92">
        <v>2</v>
      </c>
      <c r="F31" s="90" t="s">
        <v>126</v>
      </c>
      <c r="G31" s="90" t="s">
        <v>76</v>
      </c>
      <c r="H31" s="90" t="s">
        <v>243</v>
      </c>
      <c r="I31" s="90" t="s">
        <v>107</v>
      </c>
      <c r="J31" s="90" t="s">
        <v>40</v>
      </c>
      <c r="K31" s="90" t="s">
        <v>244</v>
      </c>
      <c r="L31" s="90"/>
      <c r="M31" s="90" t="s">
        <v>109</v>
      </c>
      <c r="N31" s="90" t="s">
        <v>239</v>
      </c>
      <c r="O31" s="93">
        <v>3</v>
      </c>
      <c r="P31" s="94">
        <v>3</v>
      </c>
      <c r="Q31" s="95">
        <v>1</v>
      </c>
      <c r="R31" s="95">
        <v>6</v>
      </c>
      <c r="S31" s="96">
        <v>7</v>
      </c>
      <c r="T31" s="65" t="str">
        <f t="shared" ref="T31:T32" ca="1" si="60">IF(AND(ISNUMBER(P31),ISNUMBER($O31)),OFFSET(RiskMatrixRef,-$O31+1,P31-1),"")</f>
        <v>Low</v>
      </c>
      <c r="U31" s="66" t="str">
        <f t="shared" ref="U31:U32" ca="1" si="61">IF(AND(ISNUMBER(Q31),ISNUMBER($O31)),OFFSET(RiskMatrixRef,-$O31+1,Q31-1),"")</f>
        <v>Low</v>
      </c>
      <c r="V31" s="66" t="str">
        <f t="shared" ref="V31:V32" ca="1" si="62">IF(AND(ISNUMBER(R31),ISNUMBER($O31)),OFFSET(RiskMatrixRef,-$O31+1,R31-1),"")</f>
        <v>Low</v>
      </c>
      <c r="W31" s="67" t="str">
        <f t="shared" ref="W31:W32" ca="1" si="63">IF(AND(ISNUMBER(S31),ISNUMBER($O31)),OFFSET(RiskMatrixRef,-$O31+1,S31-1),"")</f>
        <v>Low</v>
      </c>
      <c r="X31" s="91" t="s">
        <v>204</v>
      </c>
      <c r="Y31" s="91" t="s">
        <v>142</v>
      </c>
      <c r="Z31" s="91"/>
      <c r="AA31" s="91"/>
      <c r="AB31" s="93"/>
      <c r="AC31" s="94"/>
      <c r="AD31" s="95"/>
      <c r="AE31" s="95"/>
      <c r="AF31" s="96"/>
      <c r="AG31" s="65" t="str">
        <f t="shared" ref="AG31:AG32" ca="1" si="64">IF(AND(ISNUMBER(AC31),ISNUMBER($AB31)),OFFSET(RiskMatrixRef,-$AB31+1,AC31-1),"")</f>
        <v/>
      </c>
      <c r="AH31" s="66" t="str">
        <f t="shared" ref="AH31:AH32" ca="1" si="65">IF(AND(ISNUMBER(AD31),ISNUMBER($AB31)),OFFSET(RiskMatrixRef,-$AB31+1,AD31-1),"")</f>
        <v/>
      </c>
      <c r="AI31" s="66" t="str">
        <f t="shared" ref="AI31:AI32" ca="1" si="66">IF(AND(ISNUMBER(AE31),ISNUMBER($AB31)),OFFSET(RiskMatrixRef,-$AB31+1,AE31-1),"")</f>
        <v/>
      </c>
      <c r="AJ31" s="67" t="str">
        <f t="shared" ref="AJ31:AJ32" ca="1" si="67">IF(AND(ISNUMBER(AF31),ISNUMBER($AB31)),OFFSET(RiskMatrixRef,-$AB31+1,AF31-1),"")</f>
        <v/>
      </c>
      <c r="AK31" s="91"/>
      <c r="AL31" s="91"/>
      <c r="AM31" s="91"/>
      <c r="AN31" s="93"/>
      <c r="AO31" s="94"/>
      <c r="AP31" s="95"/>
      <c r="AQ31" s="95"/>
      <c r="AR31" s="96"/>
      <c r="AS31" s="65" t="str">
        <f t="shared" ref="AS31:AS32" ca="1" si="68">IF(AND(ISNUMBER(AO31),ISNUMBER($AN31)),OFFSET(RiskMatrixRef,-$AN31+1,AO31-1),"")</f>
        <v/>
      </c>
      <c r="AT31" s="66" t="str">
        <f t="shared" ref="AT31:AT32" ca="1" si="69">IF(AND(ISNUMBER(AP31),ISNUMBER($AN31)),OFFSET(RiskMatrixRef,-$AN31+1,AP31-1),"")</f>
        <v/>
      </c>
      <c r="AU31" s="66" t="str">
        <f t="shared" ref="AU31:AU32" ca="1" si="70">IF(AND(ISNUMBER(AQ31),ISNUMBER($AN31)),OFFSET(RiskMatrixRef,-$AN31+1,AQ31-1),"")</f>
        <v/>
      </c>
      <c r="AV31" s="67" t="str">
        <f t="shared" ref="AV31:AV32" ca="1" si="71">IF(AND(ISNUMBER(AR31),ISNUMBER($AN31)),OFFSET(RiskMatrixRef,-$AN31+1,AR31-1),"")</f>
        <v/>
      </c>
      <c r="AW31" s="99"/>
      <c r="AX31" s="91"/>
    </row>
    <row r="32" spans="2:50" s="70" customFormat="1" ht="120" x14ac:dyDescent="0.25">
      <c r="B32" s="89" t="s">
        <v>88</v>
      </c>
      <c r="C32" s="90" t="s">
        <v>89</v>
      </c>
      <c r="D32" s="90" t="s">
        <v>91</v>
      </c>
      <c r="E32" s="92">
        <v>2</v>
      </c>
      <c r="F32" s="90" t="s">
        <v>126</v>
      </c>
      <c r="G32" s="90" t="s">
        <v>76</v>
      </c>
      <c r="H32" s="90" t="s">
        <v>243</v>
      </c>
      <c r="I32" s="90" t="s">
        <v>75</v>
      </c>
      <c r="J32" s="90" t="s">
        <v>40</v>
      </c>
      <c r="K32" s="90" t="s">
        <v>78</v>
      </c>
      <c r="L32" s="90"/>
      <c r="M32" s="90" t="s">
        <v>109</v>
      </c>
      <c r="N32" s="90" t="s">
        <v>108</v>
      </c>
      <c r="O32" s="93">
        <v>3</v>
      </c>
      <c r="P32" s="94">
        <v>1</v>
      </c>
      <c r="Q32" s="95">
        <v>1</v>
      </c>
      <c r="R32" s="95">
        <v>1</v>
      </c>
      <c r="S32" s="96">
        <v>3</v>
      </c>
      <c r="T32" s="65" t="str">
        <f t="shared" ca="1" si="60"/>
        <v>Low</v>
      </c>
      <c r="U32" s="66" t="str">
        <f t="shared" ca="1" si="61"/>
        <v>Low</v>
      </c>
      <c r="V32" s="66" t="str">
        <f t="shared" ca="1" si="62"/>
        <v>Low</v>
      </c>
      <c r="W32" s="67" t="str">
        <f t="shared" ca="1" si="63"/>
        <v>Low</v>
      </c>
      <c r="X32" s="91" t="s">
        <v>193</v>
      </c>
      <c r="Y32" s="91" t="s">
        <v>167</v>
      </c>
      <c r="Z32" s="91"/>
      <c r="AA32" s="91"/>
      <c r="AB32" s="93"/>
      <c r="AC32" s="94"/>
      <c r="AD32" s="95"/>
      <c r="AE32" s="95"/>
      <c r="AF32" s="96"/>
      <c r="AG32" s="65" t="str">
        <f t="shared" ca="1" si="64"/>
        <v/>
      </c>
      <c r="AH32" s="66" t="str">
        <f t="shared" ca="1" si="65"/>
        <v/>
      </c>
      <c r="AI32" s="66" t="str">
        <f t="shared" ca="1" si="66"/>
        <v/>
      </c>
      <c r="AJ32" s="67" t="str">
        <f t="shared" ca="1" si="67"/>
        <v/>
      </c>
      <c r="AK32" s="91"/>
      <c r="AL32" s="91"/>
      <c r="AM32" s="91"/>
      <c r="AN32" s="93"/>
      <c r="AO32" s="94"/>
      <c r="AP32" s="95"/>
      <c r="AQ32" s="95"/>
      <c r="AR32" s="96"/>
      <c r="AS32" s="65" t="str">
        <f t="shared" ca="1" si="68"/>
        <v/>
      </c>
      <c r="AT32" s="66" t="str">
        <f t="shared" ca="1" si="69"/>
        <v/>
      </c>
      <c r="AU32" s="66" t="str">
        <f t="shared" ca="1" si="70"/>
        <v/>
      </c>
      <c r="AV32" s="67" t="str">
        <f t="shared" ca="1" si="71"/>
        <v/>
      </c>
      <c r="AW32" s="99"/>
      <c r="AX32" s="91"/>
    </row>
    <row r="33" spans="2:50" s="70" customFormat="1" ht="225" x14ac:dyDescent="0.25">
      <c r="B33" s="89" t="s">
        <v>100</v>
      </c>
      <c r="C33" s="90" t="s">
        <v>89</v>
      </c>
      <c r="D33" s="90" t="s">
        <v>91</v>
      </c>
      <c r="E33" s="92">
        <v>2</v>
      </c>
      <c r="F33" s="90" t="s">
        <v>126</v>
      </c>
      <c r="G33" s="90" t="s">
        <v>76</v>
      </c>
      <c r="H33" s="90" t="s">
        <v>243</v>
      </c>
      <c r="I33" s="90" t="s">
        <v>161</v>
      </c>
      <c r="J33" s="90" t="s">
        <v>40</v>
      </c>
      <c r="K33" s="90" t="s">
        <v>206</v>
      </c>
      <c r="L33" s="90"/>
      <c r="M33" s="90" t="s">
        <v>109</v>
      </c>
      <c r="N33" s="90" t="s">
        <v>77</v>
      </c>
      <c r="O33" s="93">
        <v>4</v>
      </c>
      <c r="P33" s="94">
        <v>1</v>
      </c>
      <c r="Q33" s="95">
        <v>1</v>
      </c>
      <c r="R33" s="95">
        <v>1</v>
      </c>
      <c r="S33" s="96">
        <v>7</v>
      </c>
      <c r="T33" s="65" t="str">
        <f ca="1">IF(AND(ISNUMBER(P33),ISNUMBER($O33)),OFFSET(RiskMatrixRef,-$O33+1,P33-1),"")</f>
        <v>Low</v>
      </c>
      <c r="U33" s="66" t="str">
        <f ca="1">IF(AND(ISNUMBER(Q33),ISNUMBER($O33)),OFFSET(RiskMatrixRef,-$O33+1,Q33-1),"")</f>
        <v>Low</v>
      </c>
      <c r="V33" s="66" t="str">
        <f ca="1">IF(AND(ISNUMBER(R33),ISNUMBER($O33)),OFFSET(RiskMatrixRef,-$O33+1,R33-1),"")</f>
        <v>Low</v>
      </c>
      <c r="W33" s="67" t="str">
        <f ca="1">IF(AND(ISNUMBER(S33),ISNUMBER($O33)),OFFSET(RiskMatrixRef,-$O33+1,S33-1),"")</f>
        <v>Low</v>
      </c>
      <c r="X33" s="91" t="s">
        <v>203</v>
      </c>
      <c r="Y33" s="91" t="s">
        <v>168</v>
      </c>
      <c r="Z33" s="91"/>
      <c r="AA33" s="91"/>
      <c r="AB33" s="93"/>
      <c r="AC33" s="94"/>
      <c r="AD33" s="95"/>
      <c r="AE33" s="95"/>
      <c r="AF33" s="96"/>
      <c r="AG33" s="65" t="str">
        <f ca="1">IF(AND(ISNUMBER(AC33),ISNUMBER($AB33)),OFFSET(RiskMatrixRef,-$AB33+1,AC33-1),"")</f>
        <v/>
      </c>
      <c r="AH33" s="66" t="str">
        <f ca="1">IF(AND(ISNUMBER(AD33),ISNUMBER($AB33)),OFFSET(RiskMatrixRef,-$AB33+1,AD33-1),"")</f>
        <v/>
      </c>
      <c r="AI33" s="66" t="str">
        <f ca="1">IF(AND(ISNUMBER(AE33),ISNUMBER($AB33)),OFFSET(RiskMatrixRef,-$AB33+1,AE33-1),"")</f>
        <v/>
      </c>
      <c r="AJ33" s="67" t="str">
        <f ca="1">IF(AND(ISNUMBER(AF33),ISNUMBER($AB33)),OFFSET(RiskMatrixRef,-$AB33+1,AF33-1),"")</f>
        <v/>
      </c>
      <c r="AK33" s="91"/>
      <c r="AL33" s="91"/>
      <c r="AM33" s="91"/>
      <c r="AN33" s="93"/>
      <c r="AO33" s="94"/>
      <c r="AP33" s="95"/>
      <c r="AQ33" s="95"/>
      <c r="AR33" s="96"/>
      <c r="AS33" s="65" t="str">
        <f ca="1">IF(AND(ISNUMBER(AO33),ISNUMBER($AN33)),OFFSET(RiskMatrixRef,-$AN33+1,AO33-1),"")</f>
        <v/>
      </c>
      <c r="AT33" s="66" t="str">
        <f ca="1">IF(AND(ISNUMBER(AP33),ISNUMBER($AN33)),OFFSET(RiskMatrixRef,-$AN33+1,AP33-1),"")</f>
        <v/>
      </c>
      <c r="AU33" s="66" t="str">
        <f ca="1">IF(AND(ISNUMBER(AQ33),ISNUMBER($AN33)),OFFSET(RiskMatrixRef,-$AN33+1,AQ33-1),"")</f>
        <v/>
      </c>
      <c r="AV33" s="67" t="str">
        <f ca="1">IF(AND(ISNUMBER(AR33),ISNUMBER($AN33)),OFFSET(RiskMatrixRef,-$AN33+1,AR33-1),"")</f>
        <v/>
      </c>
      <c r="AW33" s="99"/>
      <c r="AX33" s="91"/>
    </row>
    <row r="34" spans="2:50" s="70" customFormat="1" ht="105" x14ac:dyDescent="0.25">
      <c r="B34" s="89" t="s">
        <v>106</v>
      </c>
      <c r="C34" s="90" t="s">
        <v>89</v>
      </c>
      <c r="D34" s="90" t="s">
        <v>91</v>
      </c>
      <c r="E34" s="92">
        <v>2</v>
      </c>
      <c r="F34" s="90" t="s">
        <v>126</v>
      </c>
      <c r="G34" s="90" t="s">
        <v>76</v>
      </c>
      <c r="H34" s="90" t="s">
        <v>243</v>
      </c>
      <c r="I34" s="90" t="s">
        <v>45</v>
      </c>
      <c r="J34" s="90" t="s">
        <v>40</v>
      </c>
      <c r="K34" s="90" t="s">
        <v>244</v>
      </c>
      <c r="L34" s="90"/>
      <c r="M34" s="90" t="s">
        <v>109</v>
      </c>
      <c r="N34" s="90" t="s">
        <v>239</v>
      </c>
      <c r="O34" s="93">
        <v>3</v>
      </c>
      <c r="P34" s="94">
        <v>3</v>
      </c>
      <c r="Q34" s="95">
        <v>1</v>
      </c>
      <c r="R34" s="95">
        <v>6</v>
      </c>
      <c r="S34" s="96">
        <v>7</v>
      </c>
      <c r="T34" s="65" t="str">
        <f t="shared" ref="T34:T35" ca="1" si="72">IF(AND(ISNUMBER(P34),ISNUMBER($O34)),OFFSET(RiskMatrixRef,-$O34+1,P34-1),"")</f>
        <v>Low</v>
      </c>
      <c r="U34" s="66" t="str">
        <f t="shared" ref="U34:U35" ca="1" si="73">IF(AND(ISNUMBER(Q34),ISNUMBER($O34)),OFFSET(RiskMatrixRef,-$O34+1,Q34-1),"")</f>
        <v>Low</v>
      </c>
      <c r="V34" s="66" t="str">
        <f t="shared" ref="V34:V35" ca="1" si="74">IF(AND(ISNUMBER(R34),ISNUMBER($O34)),OFFSET(RiskMatrixRef,-$O34+1,R34-1),"")</f>
        <v>Low</v>
      </c>
      <c r="W34" s="67" t="str">
        <f t="shared" ref="W34:W35" ca="1" si="75">IF(AND(ISNUMBER(S34),ISNUMBER($O34)),OFFSET(RiskMatrixRef,-$O34+1,S34-1),"")</f>
        <v>Low</v>
      </c>
      <c r="X34" s="91" t="s">
        <v>204</v>
      </c>
      <c r="Y34" s="91" t="s">
        <v>142</v>
      </c>
      <c r="Z34" s="91"/>
      <c r="AA34" s="91"/>
      <c r="AB34" s="93"/>
      <c r="AC34" s="94"/>
      <c r="AD34" s="95"/>
      <c r="AE34" s="95"/>
      <c r="AF34" s="96"/>
      <c r="AG34" s="65" t="str">
        <f t="shared" ref="AG34:AG35" ca="1" si="76">IF(AND(ISNUMBER(AC34),ISNUMBER($AB34)),OFFSET(RiskMatrixRef,-$AB34+1,AC34-1),"")</f>
        <v/>
      </c>
      <c r="AH34" s="66" t="str">
        <f t="shared" ref="AH34:AH35" ca="1" si="77">IF(AND(ISNUMBER(AD34),ISNUMBER($AB34)),OFFSET(RiskMatrixRef,-$AB34+1,AD34-1),"")</f>
        <v/>
      </c>
      <c r="AI34" s="66" t="str">
        <f t="shared" ref="AI34:AI35" ca="1" si="78">IF(AND(ISNUMBER(AE34),ISNUMBER($AB34)),OFFSET(RiskMatrixRef,-$AB34+1,AE34-1),"")</f>
        <v/>
      </c>
      <c r="AJ34" s="67" t="str">
        <f t="shared" ref="AJ34:AJ35" ca="1" si="79">IF(AND(ISNUMBER(AF34),ISNUMBER($AB34)),OFFSET(RiskMatrixRef,-$AB34+1,AF34-1),"")</f>
        <v/>
      </c>
      <c r="AK34" s="91"/>
      <c r="AL34" s="91"/>
      <c r="AM34" s="91"/>
      <c r="AN34" s="93"/>
      <c r="AO34" s="94"/>
      <c r="AP34" s="95"/>
      <c r="AQ34" s="95"/>
      <c r="AR34" s="96"/>
      <c r="AS34" s="65" t="str">
        <f t="shared" ref="AS34:AS35" ca="1" si="80">IF(AND(ISNUMBER(AO34),ISNUMBER($AN34)),OFFSET(RiskMatrixRef,-$AN34+1,AO34-1),"")</f>
        <v/>
      </c>
      <c r="AT34" s="66" t="str">
        <f t="shared" ref="AT34:AT35" ca="1" si="81">IF(AND(ISNUMBER(AP34),ISNUMBER($AN34)),OFFSET(RiskMatrixRef,-$AN34+1,AP34-1),"")</f>
        <v/>
      </c>
      <c r="AU34" s="66" t="str">
        <f t="shared" ref="AU34:AU35" ca="1" si="82">IF(AND(ISNUMBER(AQ34),ISNUMBER($AN34)),OFFSET(RiskMatrixRef,-$AN34+1,AQ34-1),"")</f>
        <v/>
      </c>
      <c r="AV34" s="67" t="str">
        <f t="shared" ref="AV34:AV35" ca="1" si="83">IF(AND(ISNUMBER(AR34),ISNUMBER($AN34)),OFFSET(RiskMatrixRef,-$AN34+1,AR34-1),"")</f>
        <v/>
      </c>
      <c r="AW34" s="99"/>
      <c r="AX34" s="91"/>
    </row>
    <row r="35" spans="2:50" s="70" customFormat="1" ht="120" x14ac:dyDescent="0.25">
      <c r="B35" s="89" t="s">
        <v>129</v>
      </c>
      <c r="C35" s="90" t="s">
        <v>128</v>
      </c>
      <c r="D35" s="90" t="s">
        <v>127</v>
      </c>
      <c r="E35" s="92">
        <v>2</v>
      </c>
      <c r="F35" s="90" t="s">
        <v>126</v>
      </c>
      <c r="G35" s="90" t="s">
        <v>76</v>
      </c>
      <c r="H35" s="90" t="s">
        <v>243</v>
      </c>
      <c r="I35" s="90" t="s">
        <v>75</v>
      </c>
      <c r="J35" s="90" t="s">
        <v>40</v>
      </c>
      <c r="K35" s="90" t="s">
        <v>78</v>
      </c>
      <c r="L35" s="90"/>
      <c r="M35" s="90" t="s">
        <v>109</v>
      </c>
      <c r="N35" s="90" t="s">
        <v>108</v>
      </c>
      <c r="O35" s="93">
        <v>4</v>
      </c>
      <c r="P35" s="94">
        <v>1</v>
      </c>
      <c r="Q35" s="95">
        <v>1</v>
      </c>
      <c r="R35" s="95">
        <v>1</v>
      </c>
      <c r="S35" s="96">
        <v>3</v>
      </c>
      <c r="T35" s="65" t="str">
        <f t="shared" ca="1" si="72"/>
        <v>Low</v>
      </c>
      <c r="U35" s="66" t="str">
        <f t="shared" ca="1" si="73"/>
        <v>Low</v>
      </c>
      <c r="V35" s="66" t="str">
        <f t="shared" ca="1" si="74"/>
        <v>Low</v>
      </c>
      <c r="W35" s="67" t="str">
        <f t="shared" ca="1" si="75"/>
        <v>Low</v>
      </c>
      <c r="X35" s="91" t="s">
        <v>193</v>
      </c>
      <c r="Y35" s="91" t="s">
        <v>167</v>
      </c>
      <c r="Z35" s="91"/>
      <c r="AA35" s="91"/>
      <c r="AB35" s="93"/>
      <c r="AC35" s="94"/>
      <c r="AD35" s="95"/>
      <c r="AE35" s="95"/>
      <c r="AF35" s="96"/>
      <c r="AG35" s="65" t="str">
        <f t="shared" ca="1" si="76"/>
        <v/>
      </c>
      <c r="AH35" s="66" t="str">
        <f t="shared" ca="1" si="77"/>
        <v/>
      </c>
      <c r="AI35" s="66" t="str">
        <f t="shared" ca="1" si="78"/>
        <v/>
      </c>
      <c r="AJ35" s="67" t="str">
        <f t="shared" ca="1" si="79"/>
        <v/>
      </c>
      <c r="AK35" s="91"/>
      <c r="AL35" s="91"/>
      <c r="AM35" s="91"/>
      <c r="AN35" s="93"/>
      <c r="AO35" s="94"/>
      <c r="AP35" s="95"/>
      <c r="AQ35" s="95"/>
      <c r="AR35" s="96"/>
      <c r="AS35" s="65" t="str">
        <f t="shared" ca="1" si="80"/>
        <v/>
      </c>
      <c r="AT35" s="66" t="str">
        <f t="shared" ca="1" si="81"/>
        <v/>
      </c>
      <c r="AU35" s="66" t="str">
        <f t="shared" ca="1" si="82"/>
        <v/>
      </c>
      <c r="AV35" s="67" t="str">
        <f t="shared" ca="1" si="83"/>
        <v/>
      </c>
      <c r="AW35" s="99"/>
      <c r="AX35" s="91"/>
    </row>
    <row r="36" spans="2:50" s="70" customFormat="1" ht="225" x14ac:dyDescent="0.25">
      <c r="B36" s="89" t="s">
        <v>130</v>
      </c>
      <c r="C36" s="90" t="s">
        <v>128</v>
      </c>
      <c r="D36" s="90" t="s">
        <v>127</v>
      </c>
      <c r="E36" s="92">
        <v>2</v>
      </c>
      <c r="F36" s="90" t="s">
        <v>126</v>
      </c>
      <c r="G36" s="90" t="s">
        <v>76</v>
      </c>
      <c r="H36" s="90" t="s">
        <v>243</v>
      </c>
      <c r="I36" s="90" t="s">
        <v>161</v>
      </c>
      <c r="J36" s="90" t="s">
        <v>40</v>
      </c>
      <c r="K36" s="90" t="s">
        <v>206</v>
      </c>
      <c r="L36" s="90"/>
      <c r="M36" s="90" t="s">
        <v>93</v>
      </c>
      <c r="N36" s="90" t="s">
        <v>77</v>
      </c>
      <c r="O36" s="93">
        <v>5</v>
      </c>
      <c r="P36" s="94">
        <v>1</v>
      </c>
      <c r="Q36" s="95">
        <v>1</v>
      </c>
      <c r="R36" s="95">
        <v>6</v>
      </c>
      <c r="S36" s="96">
        <v>7</v>
      </c>
      <c r="T36" s="65" t="str">
        <f ca="1">IF(AND(ISNUMBER(P36),ISNUMBER($O36)),OFFSET(RiskMatrixRef,-$O36+1,P36-1),"")</f>
        <v>Low</v>
      </c>
      <c r="U36" s="66" t="str">
        <f ca="1">IF(AND(ISNUMBER(Q36),ISNUMBER($O36)),OFFSET(RiskMatrixRef,-$O36+1,Q36-1),"")</f>
        <v>Low</v>
      </c>
      <c r="V36" s="66" t="str">
        <f ca="1">IF(AND(ISNUMBER(R36),ISNUMBER($O36)),OFFSET(RiskMatrixRef,-$O36+1,R36-1),"")</f>
        <v>Low</v>
      </c>
      <c r="W36" s="67" t="str">
        <f ca="1">IF(AND(ISNUMBER(S36),ISNUMBER($O36)),OFFSET(RiskMatrixRef,-$O36+1,S36-1),"")</f>
        <v>Med</v>
      </c>
      <c r="X36" s="91" t="s">
        <v>203</v>
      </c>
      <c r="Y36" s="91" t="s">
        <v>168</v>
      </c>
      <c r="Z36" s="91"/>
      <c r="AA36" s="91"/>
      <c r="AB36" s="93"/>
      <c r="AC36" s="94"/>
      <c r="AD36" s="95"/>
      <c r="AE36" s="95"/>
      <c r="AF36" s="96"/>
      <c r="AG36" s="65" t="str">
        <f ca="1">IF(AND(ISNUMBER(AC36),ISNUMBER($AB36)),OFFSET(RiskMatrixRef,-$AB36+1,AC36-1),"")</f>
        <v/>
      </c>
      <c r="AH36" s="66" t="str">
        <f ca="1">IF(AND(ISNUMBER(AD36),ISNUMBER($AB36)),OFFSET(RiskMatrixRef,-$AB36+1,AD36-1),"")</f>
        <v/>
      </c>
      <c r="AI36" s="66" t="str">
        <f ca="1">IF(AND(ISNUMBER(AE36),ISNUMBER($AB36)),OFFSET(RiskMatrixRef,-$AB36+1,AE36-1),"")</f>
        <v/>
      </c>
      <c r="AJ36" s="67" t="str">
        <f ca="1">IF(AND(ISNUMBER(AF36),ISNUMBER($AB36)),OFFSET(RiskMatrixRef,-$AB36+1,AF36-1),"")</f>
        <v/>
      </c>
      <c r="AK36" s="91"/>
      <c r="AL36" s="91"/>
      <c r="AM36" s="91"/>
      <c r="AN36" s="93"/>
      <c r="AO36" s="94"/>
      <c r="AP36" s="95"/>
      <c r="AQ36" s="95"/>
      <c r="AR36" s="96"/>
      <c r="AS36" s="65" t="str">
        <f ca="1">IF(AND(ISNUMBER(AO36),ISNUMBER($AN36)),OFFSET(RiskMatrixRef,-$AN36+1,AO36-1),"")</f>
        <v/>
      </c>
      <c r="AT36" s="66" t="str">
        <f ca="1">IF(AND(ISNUMBER(AP36),ISNUMBER($AN36)),OFFSET(RiskMatrixRef,-$AN36+1,AP36-1),"")</f>
        <v/>
      </c>
      <c r="AU36" s="66" t="str">
        <f ca="1">IF(AND(ISNUMBER(AQ36),ISNUMBER($AN36)),OFFSET(RiskMatrixRef,-$AN36+1,AQ36-1),"")</f>
        <v/>
      </c>
      <c r="AV36" s="67" t="str">
        <f ca="1">IF(AND(ISNUMBER(AR36),ISNUMBER($AN36)),OFFSET(RiskMatrixRef,-$AN36+1,AR36-1),"")</f>
        <v/>
      </c>
      <c r="AW36" s="99"/>
      <c r="AX36" s="91"/>
    </row>
    <row r="37" spans="2:50" s="70" customFormat="1" ht="105" x14ac:dyDescent="0.25">
      <c r="B37" s="89" t="s">
        <v>131</v>
      </c>
      <c r="C37" s="90" t="s">
        <v>128</v>
      </c>
      <c r="D37" s="90" t="s">
        <v>127</v>
      </c>
      <c r="E37" s="92">
        <v>2</v>
      </c>
      <c r="F37" s="90" t="s">
        <v>126</v>
      </c>
      <c r="G37" s="90" t="s">
        <v>76</v>
      </c>
      <c r="H37" s="90" t="s">
        <v>243</v>
      </c>
      <c r="I37" s="90" t="s">
        <v>57</v>
      </c>
      <c r="J37" s="90" t="s">
        <v>40</v>
      </c>
      <c r="K37" s="90" t="s">
        <v>244</v>
      </c>
      <c r="L37" s="90"/>
      <c r="M37" s="90" t="s">
        <v>71</v>
      </c>
      <c r="N37" s="90" t="s">
        <v>239</v>
      </c>
      <c r="O37" s="93">
        <v>8</v>
      </c>
      <c r="P37" s="94">
        <v>2</v>
      </c>
      <c r="Q37" s="95">
        <v>1</v>
      </c>
      <c r="R37" s="95">
        <v>6</v>
      </c>
      <c r="S37" s="96">
        <v>7</v>
      </c>
      <c r="T37" s="65" t="str">
        <f t="shared" ca="1" si="24"/>
        <v>Low</v>
      </c>
      <c r="U37" s="66" t="str">
        <f t="shared" ca="1" si="25"/>
        <v>Low</v>
      </c>
      <c r="V37" s="66" t="str">
        <f t="shared" ca="1" si="26"/>
        <v>Med</v>
      </c>
      <c r="W37" s="67" t="str">
        <f t="shared" ca="1" si="27"/>
        <v>Med</v>
      </c>
      <c r="X37" s="91" t="s">
        <v>204</v>
      </c>
      <c r="Y37" s="91" t="s">
        <v>169</v>
      </c>
      <c r="Z37" s="91"/>
      <c r="AA37" s="91"/>
      <c r="AB37" s="93"/>
      <c r="AC37" s="94"/>
      <c r="AD37" s="95"/>
      <c r="AE37" s="95"/>
      <c r="AF37" s="96"/>
      <c r="AG37" s="65" t="str">
        <f t="shared" ca="1" si="28"/>
        <v/>
      </c>
      <c r="AH37" s="66" t="str">
        <f t="shared" ca="1" si="29"/>
        <v/>
      </c>
      <c r="AI37" s="66" t="str">
        <f t="shared" ca="1" si="30"/>
        <v/>
      </c>
      <c r="AJ37" s="67" t="str">
        <f t="shared" ca="1" si="31"/>
        <v/>
      </c>
      <c r="AK37" s="91"/>
      <c r="AL37" s="91"/>
      <c r="AM37" s="91"/>
      <c r="AN37" s="93"/>
      <c r="AO37" s="94"/>
      <c r="AP37" s="95"/>
      <c r="AQ37" s="95"/>
      <c r="AR37" s="96"/>
      <c r="AS37" s="65" t="str">
        <f t="shared" ca="1" si="32"/>
        <v/>
      </c>
      <c r="AT37" s="66" t="str">
        <f t="shared" ca="1" si="33"/>
        <v/>
      </c>
      <c r="AU37" s="66" t="str">
        <f t="shared" ca="1" si="34"/>
        <v/>
      </c>
      <c r="AV37" s="67" t="str">
        <f t="shared" ca="1" si="35"/>
        <v/>
      </c>
      <c r="AW37" s="99"/>
      <c r="AX37" s="91"/>
    </row>
    <row r="38" spans="2:50" s="70" customFormat="1" ht="105.75" thickBot="1" x14ac:dyDescent="0.3">
      <c r="B38" s="89" t="s">
        <v>132</v>
      </c>
      <c r="C38" s="90" t="s">
        <v>128</v>
      </c>
      <c r="D38" s="90" t="s">
        <v>127</v>
      </c>
      <c r="E38" s="92">
        <v>2</v>
      </c>
      <c r="F38" s="90" t="s">
        <v>126</v>
      </c>
      <c r="G38" s="90" t="s">
        <v>76</v>
      </c>
      <c r="H38" s="90" t="s">
        <v>243</v>
      </c>
      <c r="I38" s="90" t="s">
        <v>58</v>
      </c>
      <c r="J38" s="90" t="s">
        <v>40</v>
      </c>
      <c r="K38" s="90" t="s">
        <v>206</v>
      </c>
      <c r="L38" s="90"/>
      <c r="M38" s="90" t="s">
        <v>71</v>
      </c>
      <c r="N38" s="90" t="s">
        <v>239</v>
      </c>
      <c r="O38" s="93">
        <v>5</v>
      </c>
      <c r="P38" s="94">
        <v>2</v>
      </c>
      <c r="Q38" s="95">
        <v>1</v>
      </c>
      <c r="R38" s="95">
        <v>6</v>
      </c>
      <c r="S38" s="96">
        <v>7</v>
      </c>
      <c r="T38" s="65" t="str">
        <f t="shared" ca="1" si="24"/>
        <v>Low</v>
      </c>
      <c r="U38" s="66" t="str">
        <f t="shared" ca="1" si="25"/>
        <v>Low</v>
      </c>
      <c r="V38" s="66" t="str">
        <f t="shared" ca="1" si="26"/>
        <v>Low</v>
      </c>
      <c r="W38" s="67" t="str">
        <f t="shared" ca="1" si="27"/>
        <v>Med</v>
      </c>
      <c r="X38" s="91" t="s">
        <v>211</v>
      </c>
      <c r="Y38" s="91" t="s">
        <v>168</v>
      </c>
      <c r="Z38" s="91"/>
      <c r="AA38" s="91"/>
      <c r="AB38" s="93"/>
      <c r="AC38" s="94"/>
      <c r="AD38" s="95"/>
      <c r="AE38" s="95"/>
      <c r="AF38" s="96"/>
      <c r="AG38" s="65" t="str">
        <f t="shared" ca="1" si="28"/>
        <v/>
      </c>
      <c r="AH38" s="66" t="str">
        <f t="shared" ca="1" si="29"/>
        <v/>
      </c>
      <c r="AI38" s="66" t="str">
        <f t="shared" ca="1" si="30"/>
        <v/>
      </c>
      <c r="AJ38" s="67" t="str">
        <f t="shared" ca="1" si="31"/>
        <v/>
      </c>
      <c r="AK38" s="91"/>
      <c r="AL38" s="91"/>
      <c r="AM38" s="91"/>
      <c r="AN38" s="93"/>
      <c r="AO38" s="94"/>
      <c r="AP38" s="95"/>
      <c r="AQ38" s="95"/>
      <c r="AR38" s="96"/>
      <c r="AS38" s="65" t="str">
        <f t="shared" ca="1" si="32"/>
        <v/>
      </c>
      <c r="AT38" s="66" t="str">
        <f t="shared" ca="1" si="33"/>
        <v/>
      </c>
      <c r="AU38" s="66" t="str">
        <f t="shared" ca="1" si="34"/>
        <v/>
      </c>
      <c r="AV38" s="67" t="str">
        <f t="shared" ca="1" si="35"/>
        <v/>
      </c>
      <c r="AW38" s="99"/>
      <c r="AX38" s="91"/>
    </row>
    <row r="39" spans="2:50" s="70" customFormat="1" ht="180" x14ac:dyDescent="0.25">
      <c r="B39" s="89" t="s">
        <v>212</v>
      </c>
      <c r="C39" s="90" t="s">
        <v>215</v>
      </c>
      <c r="D39" s="90" t="s">
        <v>151</v>
      </c>
      <c r="E39" s="92">
        <v>2</v>
      </c>
      <c r="F39" s="90" t="s">
        <v>157</v>
      </c>
      <c r="G39" s="90" t="s">
        <v>152</v>
      </c>
      <c r="H39" s="90" t="s">
        <v>154</v>
      </c>
      <c r="I39" s="90" t="s">
        <v>216</v>
      </c>
      <c r="J39" s="90" t="s">
        <v>40</v>
      </c>
      <c r="K39" s="90"/>
      <c r="L39" s="90"/>
      <c r="M39" s="90" t="s">
        <v>217</v>
      </c>
      <c r="N39" s="90" t="s">
        <v>156</v>
      </c>
      <c r="O39" s="93">
        <v>5</v>
      </c>
      <c r="P39" s="94">
        <v>1</v>
      </c>
      <c r="Q39" s="95">
        <v>1</v>
      </c>
      <c r="R39" s="95">
        <v>7</v>
      </c>
      <c r="S39" s="96">
        <v>7</v>
      </c>
      <c r="T39" s="65" t="str">
        <f t="shared" ref="T39:T41" ca="1" si="84">IF(AND(ISNUMBER(P39),ISNUMBER($O39)),OFFSET(RiskMatrixRef,-$O39+1,P39-1),"")</f>
        <v>Low</v>
      </c>
      <c r="U39" s="66" t="str">
        <f t="shared" ref="U39:U41" ca="1" si="85">IF(AND(ISNUMBER(Q39),ISNUMBER($O39)),OFFSET(RiskMatrixRef,-$O39+1,Q39-1),"")</f>
        <v>Low</v>
      </c>
      <c r="V39" s="66" t="str">
        <f t="shared" ref="V39:V41" ca="1" si="86">IF(AND(ISNUMBER(R39),ISNUMBER($O39)),OFFSET(RiskMatrixRef,-$O39+1,R39-1),"")</f>
        <v>Med</v>
      </c>
      <c r="W39" s="67" t="str">
        <f t="shared" ref="W39:W41" ca="1" si="87">IF(AND(ISNUMBER(S39),ISNUMBER($O39)),OFFSET(RiskMatrixRef,-$O39+1,S39-1),"")</f>
        <v>Med</v>
      </c>
      <c r="X39" s="97" t="s">
        <v>186</v>
      </c>
      <c r="Y39" s="91" t="s">
        <v>168</v>
      </c>
      <c r="Z39" s="91"/>
      <c r="AA39" s="91"/>
      <c r="AB39" s="93"/>
      <c r="AC39" s="94"/>
      <c r="AD39" s="95"/>
      <c r="AE39" s="95"/>
      <c r="AF39" s="96"/>
      <c r="AG39" s="65"/>
      <c r="AH39" s="66"/>
      <c r="AI39" s="66"/>
      <c r="AJ39" s="67"/>
      <c r="AK39" s="91"/>
      <c r="AL39" s="91"/>
      <c r="AM39" s="91"/>
      <c r="AN39" s="93"/>
      <c r="AO39" s="94"/>
      <c r="AP39" s="95"/>
      <c r="AQ39" s="95"/>
      <c r="AR39" s="96"/>
      <c r="AS39" s="65"/>
      <c r="AT39" s="66"/>
      <c r="AU39" s="66"/>
      <c r="AV39" s="67"/>
      <c r="AW39" s="99"/>
      <c r="AX39" s="91"/>
    </row>
    <row r="40" spans="2:50" s="70" customFormat="1" ht="135" x14ac:dyDescent="0.25">
      <c r="B40" s="89" t="s">
        <v>214</v>
      </c>
      <c r="C40" s="90" t="s">
        <v>215</v>
      </c>
      <c r="D40" s="90" t="s">
        <v>151</v>
      </c>
      <c r="E40" s="92">
        <v>2</v>
      </c>
      <c r="F40" s="90" t="s">
        <v>157</v>
      </c>
      <c r="G40" s="90" t="s">
        <v>152</v>
      </c>
      <c r="H40" s="90" t="s">
        <v>154</v>
      </c>
      <c r="I40" s="90" t="s">
        <v>155</v>
      </c>
      <c r="J40" s="90" t="s">
        <v>40</v>
      </c>
      <c r="K40" s="90"/>
      <c r="L40" s="90"/>
      <c r="M40" s="90" t="s">
        <v>217</v>
      </c>
      <c r="N40" s="90" t="s">
        <v>156</v>
      </c>
      <c r="O40" s="93">
        <v>7</v>
      </c>
      <c r="P40" s="94">
        <v>1</v>
      </c>
      <c r="Q40" s="95">
        <v>1</v>
      </c>
      <c r="R40" s="95">
        <v>7</v>
      </c>
      <c r="S40" s="96">
        <v>7</v>
      </c>
      <c r="T40" s="65" t="str">
        <f t="shared" ca="1" si="84"/>
        <v>Low</v>
      </c>
      <c r="U40" s="66" t="str">
        <f t="shared" ca="1" si="85"/>
        <v>Low</v>
      </c>
      <c r="V40" s="66" t="str">
        <f t="shared" ca="1" si="86"/>
        <v>Med</v>
      </c>
      <c r="W40" s="67" t="str">
        <f t="shared" ca="1" si="87"/>
        <v>Med</v>
      </c>
      <c r="X40" s="91" t="s">
        <v>218</v>
      </c>
      <c r="Y40" s="91" t="s">
        <v>168</v>
      </c>
      <c r="Z40" s="91"/>
      <c r="AA40" s="91"/>
      <c r="AB40" s="93"/>
      <c r="AC40" s="94"/>
      <c r="AD40" s="95"/>
      <c r="AE40" s="95"/>
      <c r="AF40" s="96"/>
      <c r="AG40" s="65"/>
      <c r="AH40" s="66"/>
      <c r="AI40" s="66"/>
      <c r="AJ40" s="67"/>
      <c r="AK40" s="91"/>
      <c r="AL40" s="91"/>
      <c r="AM40" s="91"/>
      <c r="AN40" s="93"/>
      <c r="AO40" s="94"/>
      <c r="AP40" s="95"/>
      <c r="AQ40" s="95"/>
      <c r="AR40" s="96"/>
      <c r="AS40" s="65"/>
      <c r="AT40" s="66"/>
      <c r="AU40" s="66"/>
      <c r="AV40" s="67"/>
      <c r="AW40" s="99"/>
      <c r="AX40" s="91"/>
    </row>
    <row r="41" spans="2:50" s="70" customFormat="1" ht="225" x14ac:dyDescent="0.25">
      <c r="B41" s="89" t="s">
        <v>213</v>
      </c>
      <c r="C41" s="90" t="s">
        <v>215</v>
      </c>
      <c r="D41" s="90" t="s">
        <v>151</v>
      </c>
      <c r="E41" s="92">
        <v>2</v>
      </c>
      <c r="F41" s="90" t="s">
        <v>157</v>
      </c>
      <c r="G41" s="90" t="s">
        <v>153</v>
      </c>
      <c r="H41" s="90" t="s">
        <v>154</v>
      </c>
      <c r="I41" s="90" t="s">
        <v>219</v>
      </c>
      <c r="J41" s="90" t="s">
        <v>40</v>
      </c>
      <c r="K41" s="90"/>
      <c r="L41" s="90"/>
      <c r="M41" s="90" t="s">
        <v>217</v>
      </c>
      <c r="N41" s="90" t="s">
        <v>156</v>
      </c>
      <c r="O41" s="93">
        <v>7</v>
      </c>
      <c r="P41" s="94">
        <v>1</v>
      </c>
      <c r="Q41" s="95">
        <v>1</v>
      </c>
      <c r="R41" s="95">
        <v>7</v>
      </c>
      <c r="S41" s="96">
        <v>7</v>
      </c>
      <c r="T41" s="65" t="str">
        <f t="shared" ca="1" si="84"/>
        <v>Low</v>
      </c>
      <c r="U41" s="66" t="str">
        <f t="shared" ca="1" si="85"/>
        <v>Low</v>
      </c>
      <c r="V41" s="66" t="str">
        <f t="shared" ca="1" si="86"/>
        <v>Med</v>
      </c>
      <c r="W41" s="67" t="str">
        <f t="shared" ca="1" si="87"/>
        <v>Med</v>
      </c>
      <c r="X41" s="91" t="s">
        <v>203</v>
      </c>
      <c r="Y41" s="91" t="s">
        <v>168</v>
      </c>
      <c r="Z41" s="91"/>
      <c r="AA41" s="91"/>
      <c r="AB41" s="93"/>
      <c r="AC41" s="94"/>
      <c r="AD41" s="95"/>
      <c r="AE41" s="95"/>
      <c r="AF41" s="96"/>
      <c r="AG41" s="65"/>
      <c r="AH41" s="66"/>
      <c r="AI41" s="66"/>
      <c r="AJ41" s="67"/>
      <c r="AK41" s="91"/>
      <c r="AL41" s="91"/>
      <c r="AM41" s="91"/>
      <c r="AN41" s="93"/>
      <c r="AO41" s="94"/>
      <c r="AP41" s="95"/>
      <c r="AQ41" s="95"/>
      <c r="AR41" s="96"/>
      <c r="AS41" s="65"/>
      <c r="AT41" s="66"/>
      <c r="AU41" s="66"/>
      <c r="AV41" s="67"/>
      <c r="AW41" s="99"/>
      <c r="AX41" s="91"/>
    </row>
    <row r="42" spans="2:50" s="70" customFormat="1" ht="60" x14ac:dyDescent="0.25">
      <c r="B42" s="89" t="s">
        <v>62</v>
      </c>
      <c r="C42" s="90" t="s">
        <v>63</v>
      </c>
      <c r="D42" s="90" t="s">
        <v>64</v>
      </c>
      <c r="E42" s="92">
        <v>2</v>
      </c>
      <c r="F42" s="90" t="s">
        <v>126</v>
      </c>
      <c r="G42" s="90" t="s">
        <v>76</v>
      </c>
      <c r="H42" s="90" t="s">
        <v>242</v>
      </c>
      <c r="I42" s="90" t="s">
        <v>75</v>
      </c>
      <c r="J42" s="90" t="s">
        <v>40</v>
      </c>
      <c r="K42" s="90" t="s">
        <v>94</v>
      </c>
      <c r="L42" s="90"/>
      <c r="M42" s="90" t="s">
        <v>103</v>
      </c>
      <c r="N42" s="90" t="s">
        <v>104</v>
      </c>
      <c r="O42" s="93">
        <v>4</v>
      </c>
      <c r="P42" s="94">
        <v>1</v>
      </c>
      <c r="Q42" s="95">
        <v>1</v>
      </c>
      <c r="R42" s="95">
        <v>1</v>
      </c>
      <c r="S42" s="96">
        <v>1</v>
      </c>
      <c r="T42" s="65" t="str">
        <f t="shared" ref="T42" ca="1" si="88">IF(AND(ISNUMBER(P42),ISNUMBER($O42)),OFFSET(RiskMatrixRef,-$O42+1,P42-1),"")</f>
        <v>Low</v>
      </c>
      <c r="U42" s="66" t="str">
        <f t="shared" ref="U42" ca="1" si="89">IF(AND(ISNUMBER(Q42),ISNUMBER($O42)),OFFSET(RiskMatrixRef,-$O42+1,Q42-1),"")</f>
        <v>Low</v>
      </c>
      <c r="V42" s="66" t="str">
        <f t="shared" ref="V42" ca="1" si="90">IF(AND(ISNUMBER(R42),ISNUMBER($O42)),OFFSET(RiskMatrixRef,-$O42+1,R42-1),"")</f>
        <v>Low</v>
      </c>
      <c r="W42" s="67" t="str">
        <f t="shared" ref="W42" ca="1" si="91">IF(AND(ISNUMBER(S42),ISNUMBER($O42)),OFFSET(RiskMatrixRef,-$O42+1,S42-1),"")</f>
        <v>Low</v>
      </c>
      <c r="X42" s="91" t="s">
        <v>193</v>
      </c>
      <c r="Y42" s="91" t="s">
        <v>168</v>
      </c>
      <c r="Z42" s="91"/>
      <c r="AA42" s="91"/>
      <c r="AB42" s="93"/>
      <c r="AC42" s="94"/>
      <c r="AD42" s="95"/>
      <c r="AE42" s="95"/>
      <c r="AF42" s="96"/>
      <c r="AG42" s="65" t="str">
        <f t="shared" ref="AG42" ca="1" si="92">IF(AND(ISNUMBER(AC42),ISNUMBER($AB42)),OFFSET(RiskMatrixRef,-$AB42+1,AC42-1),"")</f>
        <v/>
      </c>
      <c r="AH42" s="66" t="str">
        <f t="shared" ref="AH42" ca="1" si="93">IF(AND(ISNUMBER(AD42),ISNUMBER($AB42)),OFFSET(RiskMatrixRef,-$AB42+1,AD42-1),"")</f>
        <v/>
      </c>
      <c r="AI42" s="66" t="str">
        <f t="shared" ref="AI42" ca="1" si="94">IF(AND(ISNUMBER(AE42),ISNUMBER($AB42)),OFFSET(RiskMatrixRef,-$AB42+1,AE42-1),"")</f>
        <v/>
      </c>
      <c r="AJ42" s="67" t="str">
        <f t="shared" ref="AJ42" ca="1" si="95">IF(AND(ISNUMBER(AF42),ISNUMBER($AB42)),OFFSET(RiskMatrixRef,-$AB42+1,AF42-1),"")</f>
        <v/>
      </c>
      <c r="AK42" s="91"/>
      <c r="AL42" s="91"/>
      <c r="AM42" s="91"/>
      <c r="AN42" s="93"/>
      <c r="AO42" s="94"/>
      <c r="AP42" s="95"/>
      <c r="AQ42" s="95"/>
      <c r="AR42" s="96"/>
      <c r="AS42" s="65" t="str">
        <f t="shared" ref="AS42" ca="1" si="96">IF(AND(ISNUMBER(AO42),ISNUMBER($AN42)),OFFSET(RiskMatrixRef,-$AN42+1,AO42-1),"")</f>
        <v/>
      </c>
      <c r="AT42" s="66" t="str">
        <f t="shared" ref="AT42" ca="1" si="97">IF(AND(ISNUMBER(AP42),ISNUMBER($AN42)),OFFSET(RiskMatrixRef,-$AN42+1,AP42-1),"")</f>
        <v/>
      </c>
      <c r="AU42" s="66" t="str">
        <f t="shared" ref="AU42" ca="1" si="98">IF(AND(ISNUMBER(AQ42),ISNUMBER($AN42)),OFFSET(RiskMatrixRef,-$AN42+1,AQ42-1),"")</f>
        <v/>
      </c>
      <c r="AV42" s="67" t="str">
        <f t="shared" ref="AV42" ca="1" si="99">IF(AND(ISNUMBER(AR42),ISNUMBER($AN42)),OFFSET(RiskMatrixRef,-$AN42+1,AR42-1),"")</f>
        <v/>
      </c>
      <c r="AW42" s="99"/>
      <c r="AX42" s="91"/>
    </row>
    <row r="43" spans="2:50" s="70" customFormat="1" ht="225.75" thickBot="1" x14ac:dyDescent="0.3">
      <c r="B43" s="89" t="s">
        <v>86</v>
      </c>
      <c r="C43" s="90" t="s">
        <v>63</v>
      </c>
      <c r="D43" s="90" t="s">
        <v>64</v>
      </c>
      <c r="E43" s="92">
        <v>2</v>
      </c>
      <c r="F43" s="90" t="s">
        <v>126</v>
      </c>
      <c r="G43" s="90" t="s">
        <v>76</v>
      </c>
      <c r="H43" s="90" t="s">
        <v>242</v>
      </c>
      <c r="I43" s="90" t="s">
        <v>161</v>
      </c>
      <c r="J43" s="90" t="s">
        <v>40</v>
      </c>
      <c r="K43" s="90" t="s">
        <v>220</v>
      </c>
      <c r="L43" s="90"/>
      <c r="M43" s="90" t="s">
        <v>103</v>
      </c>
      <c r="N43" s="90" t="s">
        <v>104</v>
      </c>
      <c r="O43" s="93">
        <v>7</v>
      </c>
      <c r="P43" s="94">
        <v>1</v>
      </c>
      <c r="Q43" s="95">
        <v>1</v>
      </c>
      <c r="R43" s="95">
        <v>1</v>
      </c>
      <c r="S43" s="96">
        <v>1</v>
      </c>
      <c r="T43" s="65" t="str">
        <f t="shared" ref="T43" ca="1" si="100">IF(AND(ISNUMBER(P43),ISNUMBER($O43)),OFFSET(RiskMatrixRef,-$O43+1,P43-1),"")</f>
        <v>Low</v>
      </c>
      <c r="U43" s="66" t="str">
        <f t="shared" ref="U43" ca="1" si="101">IF(AND(ISNUMBER(Q43),ISNUMBER($O43)),OFFSET(RiskMatrixRef,-$O43+1,Q43-1),"")</f>
        <v>Low</v>
      </c>
      <c r="V43" s="66" t="str">
        <f t="shared" ref="V43" ca="1" si="102">IF(AND(ISNUMBER(R43),ISNUMBER($O43)),OFFSET(RiskMatrixRef,-$O43+1,R43-1),"")</f>
        <v>Low</v>
      </c>
      <c r="W43" s="67" t="str">
        <f t="shared" ref="W43" ca="1" si="103">IF(AND(ISNUMBER(S43),ISNUMBER($O43)),OFFSET(RiskMatrixRef,-$O43+1,S43-1),"")</f>
        <v>Low</v>
      </c>
      <c r="X43" s="91" t="s">
        <v>203</v>
      </c>
      <c r="Y43" s="91" t="s">
        <v>168</v>
      </c>
      <c r="Z43" s="91"/>
      <c r="AA43" s="91"/>
      <c r="AB43" s="93"/>
      <c r="AC43" s="94"/>
      <c r="AD43" s="95"/>
      <c r="AE43" s="95"/>
      <c r="AF43" s="96"/>
      <c r="AG43" s="65" t="str">
        <f t="shared" ref="AG43" ca="1" si="104">IF(AND(ISNUMBER(AC43),ISNUMBER($AB43)),OFFSET(RiskMatrixRef,-$AB43+1,AC43-1),"")</f>
        <v/>
      </c>
      <c r="AH43" s="66" t="str">
        <f t="shared" ref="AH43" ca="1" si="105">IF(AND(ISNUMBER(AD43),ISNUMBER($AB43)),OFFSET(RiskMatrixRef,-$AB43+1,AD43-1),"")</f>
        <v/>
      </c>
      <c r="AI43" s="66" t="str">
        <f t="shared" ref="AI43" ca="1" si="106">IF(AND(ISNUMBER(AE43),ISNUMBER($AB43)),OFFSET(RiskMatrixRef,-$AB43+1,AE43-1),"")</f>
        <v/>
      </c>
      <c r="AJ43" s="67" t="str">
        <f t="shared" ref="AJ43" ca="1" si="107">IF(AND(ISNUMBER(AF43),ISNUMBER($AB43)),OFFSET(RiskMatrixRef,-$AB43+1,AF43-1),"")</f>
        <v/>
      </c>
      <c r="AK43" s="91"/>
      <c r="AL43" s="91"/>
      <c r="AM43" s="91"/>
      <c r="AN43" s="93"/>
      <c r="AO43" s="94"/>
      <c r="AP43" s="95"/>
      <c r="AQ43" s="95"/>
      <c r="AR43" s="96"/>
      <c r="AS43" s="65" t="str">
        <f t="shared" ref="AS43" ca="1" si="108">IF(AND(ISNUMBER(AO43),ISNUMBER($AN43)),OFFSET(RiskMatrixRef,-$AN43+1,AO43-1),"")</f>
        <v/>
      </c>
      <c r="AT43" s="66" t="str">
        <f t="shared" ref="AT43" ca="1" si="109">IF(AND(ISNUMBER(AP43),ISNUMBER($AN43)),OFFSET(RiskMatrixRef,-$AN43+1,AP43-1),"")</f>
        <v/>
      </c>
      <c r="AU43" s="66" t="str">
        <f t="shared" ref="AU43" ca="1" si="110">IF(AND(ISNUMBER(AQ43),ISNUMBER($AN43)),OFFSET(RiskMatrixRef,-$AN43+1,AQ43-1),"")</f>
        <v/>
      </c>
      <c r="AV43" s="67" t="str">
        <f t="shared" ref="AV43" ca="1" si="111">IF(AND(ISNUMBER(AR43),ISNUMBER($AN43)),OFFSET(RiskMatrixRef,-$AN43+1,AR43-1),"")</f>
        <v/>
      </c>
      <c r="AW43" s="99"/>
      <c r="AX43" s="91"/>
    </row>
    <row r="44" spans="2:50" s="70" customFormat="1" ht="285" x14ac:dyDescent="0.25">
      <c r="B44" s="90" t="s">
        <v>221</v>
      </c>
      <c r="C44" s="90" t="s">
        <v>143</v>
      </c>
      <c r="D44" s="90" t="s">
        <v>222</v>
      </c>
      <c r="E44" s="92">
        <v>2</v>
      </c>
      <c r="F44" s="90" t="s">
        <v>144</v>
      </c>
      <c r="G44" s="90" t="s">
        <v>148</v>
      </c>
      <c r="H44" s="90" t="s">
        <v>145</v>
      </c>
      <c r="I44" s="90" t="s">
        <v>216</v>
      </c>
      <c r="J44" s="90" t="s">
        <v>40</v>
      </c>
      <c r="K44" s="90" t="s">
        <v>185</v>
      </c>
      <c r="L44" s="90"/>
      <c r="M44" s="90" t="s">
        <v>223</v>
      </c>
      <c r="N44" s="90" t="s">
        <v>147</v>
      </c>
      <c r="O44" s="93">
        <v>5</v>
      </c>
      <c r="P44" s="94">
        <v>1</v>
      </c>
      <c r="Q44" s="95">
        <v>1</v>
      </c>
      <c r="R44" s="95">
        <v>7</v>
      </c>
      <c r="S44" s="96">
        <v>7</v>
      </c>
      <c r="T44" s="65" t="str">
        <f t="shared" ref="T44" ca="1" si="112">IF(AND(ISNUMBER(P44),ISNUMBER($O44)),OFFSET(RiskMatrixRef,-$O44+1,P44-1),"")</f>
        <v>Low</v>
      </c>
      <c r="U44" s="66" t="str">
        <f t="shared" ref="U44" ca="1" si="113">IF(AND(ISNUMBER(Q44),ISNUMBER($O44)),OFFSET(RiskMatrixRef,-$O44+1,Q44-1),"")</f>
        <v>Low</v>
      </c>
      <c r="V44" s="66" t="str">
        <f t="shared" ref="V44" ca="1" si="114">IF(AND(ISNUMBER(R44),ISNUMBER($O44)),OFFSET(RiskMatrixRef,-$O44+1,R44-1),"")</f>
        <v>Med</v>
      </c>
      <c r="W44" s="67" t="str">
        <f t="shared" ref="W44" ca="1" si="115">IF(AND(ISNUMBER(S44),ISNUMBER($O44)),OFFSET(RiskMatrixRef,-$O44+1,S44-1),"")</f>
        <v>Med</v>
      </c>
      <c r="X44" s="97" t="s">
        <v>224</v>
      </c>
      <c r="Y44" s="91" t="s">
        <v>170</v>
      </c>
      <c r="Z44" s="91"/>
      <c r="AA44" s="91"/>
      <c r="AB44" s="93"/>
      <c r="AC44" s="94"/>
      <c r="AD44" s="95"/>
      <c r="AE44" s="95"/>
      <c r="AF44" s="96"/>
      <c r="AG44" s="65"/>
      <c r="AH44" s="66"/>
      <c r="AI44" s="66"/>
      <c r="AJ44" s="67"/>
      <c r="AK44" s="91"/>
      <c r="AL44" s="91"/>
      <c r="AM44" s="91"/>
      <c r="AN44" s="93"/>
      <c r="AO44" s="94"/>
      <c r="AP44" s="95"/>
      <c r="AQ44" s="95"/>
      <c r="AR44" s="96"/>
      <c r="AS44" s="65"/>
      <c r="AT44" s="66"/>
      <c r="AU44" s="66"/>
      <c r="AV44" s="67"/>
      <c r="AW44" s="99"/>
      <c r="AX44" s="91"/>
    </row>
    <row r="45" spans="2:50" s="70" customFormat="1" ht="225" x14ac:dyDescent="0.25">
      <c r="B45" s="89" t="s">
        <v>225</v>
      </c>
      <c r="C45" s="90" t="s">
        <v>143</v>
      </c>
      <c r="D45" s="90" t="s">
        <v>222</v>
      </c>
      <c r="E45" s="92">
        <v>2</v>
      </c>
      <c r="F45" s="90" t="s">
        <v>144</v>
      </c>
      <c r="G45" s="90" t="s">
        <v>148</v>
      </c>
      <c r="H45" s="90" t="s">
        <v>145</v>
      </c>
      <c r="I45" s="90" t="s">
        <v>146</v>
      </c>
      <c r="J45" s="90" t="s">
        <v>40</v>
      </c>
      <c r="K45" s="90" t="s">
        <v>185</v>
      </c>
      <c r="L45" s="90"/>
      <c r="M45" s="90" t="s">
        <v>223</v>
      </c>
      <c r="N45" s="90" t="s">
        <v>147</v>
      </c>
      <c r="O45" s="93">
        <v>7</v>
      </c>
      <c r="P45" s="94">
        <v>1</v>
      </c>
      <c r="Q45" s="95">
        <v>1</v>
      </c>
      <c r="R45" s="95">
        <v>7</v>
      </c>
      <c r="S45" s="96">
        <v>7</v>
      </c>
      <c r="T45" s="65" t="str">
        <f t="shared" ca="1" si="24"/>
        <v>Low</v>
      </c>
      <c r="U45" s="66" t="str">
        <f t="shared" ca="1" si="25"/>
        <v>Low</v>
      </c>
      <c r="V45" s="66" t="str">
        <f t="shared" ca="1" si="26"/>
        <v>Med</v>
      </c>
      <c r="W45" s="67" t="str">
        <f t="shared" ca="1" si="27"/>
        <v>Med</v>
      </c>
      <c r="X45" s="91" t="s">
        <v>203</v>
      </c>
      <c r="Y45" s="91" t="s">
        <v>171</v>
      </c>
      <c r="Z45" s="91"/>
      <c r="AA45" s="91"/>
      <c r="AB45" s="93"/>
      <c r="AC45" s="94"/>
      <c r="AD45" s="95"/>
      <c r="AE45" s="95"/>
      <c r="AF45" s="96"/>
      <c r="AG45" s="65" t="str">
        <f t="shared" ca="1" si="28"/>
        <v/>
      </c>
      <c r="AH45" s="66" t="str">
        <f t="shared" ca="1" si="29"/>
        <v/>
      </c>
      <c r="AI45" s="66" t="str">
        <f t="shared" ca="1" si="30"/>
        <v/>
      </c>
      <c r="AJ45" s="67" t="str">
        <f t="shared" ca="1" si="31"/>
        <v/>
      </c>
      <c r="AK45" s="91"/>
      <c r="AL45" s="91"/>
      <c r="AM45" s="91"/>
      <c r="AN45" s="93"/>
      <c r="AO45" s="94"/>
      <c r="AP45" s="95"/>
      <c r="AQ45" s="95"/>
      <c r="AR45" s="96"/>
      <c r="AS45" s="65" t="str">
        <f t="shared" ca="1" si="32"/>
        <v/>
      </c>
      <c r="AT45" s="66" t="str">
        <f t="shared" ca="1" si="33"/>
        <v/>
      </c>
      <c r="AU45" s="66" t="str">
        <f t="shared" ca="1" si="34"/>
        <v/>
      </c>
      <c r="AV45" s="67" t="str">
        <f t="shared" ca="1" si="35"/>
        <v/>
      </c>
      <c r="AW45" s="99"/>
      <c r="AX45" s="91"/>
    </row>
    <row r="46" spans="2:50" s="70" customFormat="1" ht="135" x14ac:dyDescent="0.25">
      <c r="B46" s="116" t="s">
        <v>227</v>
      </c>
      <c r="C46" s="117" t="s">
        <v>149</v>
      </c>
      <c r="D46" s="117" t="s">
        <v>150</v>
      </c>
      <c r="E46" s="118">
        <v>2</v>
      </c>
      <c r="F46" s="117" t="s">
        <v>158</v>
      </c>
      <c r="G46" s="117" t="s">
        <v>174</v>
      </c>
      <c r="H46" s="117" t="s">
        <v>175</v>
      </c>
      <c r="I46" s="90" t="s">
        <v>216</v>
      </c>
      <c r="J46" s="90" t="s">
        <v>40</v>
      </c>
      <c r="K46" s="90" t="s">
        <v>185</v>
      </c>
      <c r="L46" s="117"/>
      <c r="M46" s="117" t="s">
        <v>217</v>
      </c>
      <c r="N46" s="90" t="s">
        <v>147</v>
      </c>
      <c r="O46" s="93">
        <v>4</v>
      </c>
      <c r="P46" s="94">
        <v>1</v>
      </c>
      <c r="Q46" s="95">
        <v>1</v>
      </c>
      <c r="R46" s="95">
        <v>7</v>
      </c>
      <c r="S46" s="96">
        <v>7</v>
      </c>
      <c r="T46" s="65" t="str">
        <f t="shared" ref="T46:T47" ca="1" si="116">IF(AND(ISNUMBER(P46),ISNUMBER($O46)),OFFSET(RiskMatrixRef,-$O46+1,P46-1),"")</f>
        <v>Low</v>
      </c>
      <c r="U46" s="66" t="str">
        <f t="shared" ref="U46:U47" ca="1" si="117">IF(AND(ISNUMBER(Q46),ISNUMBER($O46)),OFFSET(RiskMatrixRef,-$O46+1,Q46-1),"")</f>
        <v>Low</v>
      </c>
      <c r="V46" s="66" t="str">
        <f t="shared" ref="V46:V47" ca="1" si="118">IF(AND(ISNUMBER(R46),ISNUMBER($O46)),OFFSET(RiskMatrixRef,-$O46+1,R46-1),"")</f>
        <v>Low</v>
      </c>
      <c r="W46" s="67" t="str">
        <f t="shared" ref="W46:W47" ca="1" si="119">IF(AND(ISNUMBER(S46),ISNUMBER($O46)),OFFSET(RiskMatrixRef,-$O46+1,S46-1),"")</f>
        <v>Low</v>
      </c>
      <c r="X46" s="68" t="s">
        <v>185</v>
      </c>
      <c r="Y46" s="91" t="s">
        <v>183</v>
      </c>
      <c r="Z46" s="68"/>
      <c r="AA46" s="68"/>
      <c r="AB46" s="93"/>
      <c r="AC46" s="94"/>
      <c r="AD46" s="95"/>
      <c r="AE46" s="95"/>
      <c r="AF46" s="96"/>
      <c r="AG46" s="65" t="str">
        <f t="shared" ca="1" si="28"/>
        <v/>
      </c>
      <c r="AH46" s="66" t="str">
        <f t="shared" ca="1" si="29"/>
        <v/>
      </c>
      <c r="AI46" s="66" t="str">
        <f t="shared" ca="1" si="30"/>
        <v/>
      </c>
      <c r="AJ46" s="67" t="str">
        <f t="shared" ca="1" si="31"/>
        <v/>
      </c>
      <c r="AK46" s="68"/>
      <c r="AL46" s="68"/>
      <c r="AM46" s="68"/>
      <c r="AN46" s="93"/>
      <c r="AO46" s="94"/>
      <c r="AP46" s="95"/>
      <c r="AQ46" s="95"/>
      <c r="AR46" s="96"/>
      <c r="AS46" s="65" t="str">
        <f t="shared" ca="1" si="32"/>
        <v/>
      </c>
      <c r="AT46" s="66" t="str">
        <f t="shared" ca="1" si="33"/>
        <v/>
      </c>
      <c r="AU46" s="66" t="str">
        <f t="shared" ca="1" si="34"/>
        <v/>
      </c>
      <c r="AV46" s="67" t="str">
        <f t="shared" ca="1" si="35"/>
        <v/>
      </c>
      <c r="AW46" s="69"/>
      <c r="AX46" s="68"/>
    </row>
    <row r="47" spans="2:50" s="70" customFormat="1" ht="225.75" thickBot="1" x14ac:dyDescent="0.3">
      <c r="B47" s="119" t="s">
        <v>228</v>
      </c>
      <c r="C47" s="117" t="s">
        <v>149</v>
      </c>
      <c r="D47" s="117" t="s">
        <v>150</v>
      </c>
      <c r="E47" s="120">
        <v>2</v>
      </c>
      <c r="F47" s="117" t="s">
        <v>158</v>
      </c>
      <c r="G47" s="117" t="s">
        <v>174</v>
      </c>
      <c r="H47" s="117" t="s">
        <v>175</v>
      </c>
      <c r="I47" s="90" t="s">
        <v>146</v>
      </c>
      <c r="J47" s="90" t="s">
        <v>40</v>
      </c>
      <c r="K47" s="119" t="s">
        <v>185</v>
      </c>
      <c r="L47" s="121"/>
      <c r="M47" s="117" t="s">
        <v>217</v>
      </c>
      <c r="N47" s="90" t="s">
        <v>147</v>
      </c>
      <c r="O47" s="122">
        <v>6</v>
      </c>
      <c r="P47" s="94">
        <v>1</v>
      </c>
      <c r="Q47" s="95">
        <v>1</v>
      </c>
      <c r="R47" s="95">
        <v>7</v>
      </c>
      <c r="S47" s="96">
        <v>7</v>
      </c>
      <c r="T47" s="65" t="str">
        <f t="shared" ca="1" si="116"/>
        <v>Low</v>
      </c>
      <c r="U47" s="66" t="str">
        <f t="shared" ca="1" si="117"/>
        <v>Low</v>
      </c>
      <c r="V47" s="66" t="str">
        <f t="shared" ca="1" si="118"/>
        <v>Med</v>
      </c>
      <c r="W47" s="67" t="str">
        <f t="shared" ca="1" si="119"/>
        <v>Med</v>
      </c>
      <c r="X47" s="91" t="s">
        <v>203</v>
      </c>
      <c r="Y47" s="91" t="s">
        <v>181</v>
      </c>
      <c r="Z47" s="123"/>
      <c r="AA47" s="123"/>
      <c r="AB47" s="122"/>
      <c r="AC47" s="124"/>
      <c r="AD47" s="125"/>
      <c r="AE47" s="125"/>
      <c r="AF47" s="126"/>
      <c r="AG47" s="71" t="str">
        <f t="shared" ca="1" si="28"/>
        <v/>
      </c>
      <c r="AH47" s="72" t="str">
        <f t="shared" ca="1" si="29"/>
        <v/>
      </c>
      <c r="AI47" s="72" t="str">
        <f t="shared" ca="1" si="30"/>
        <v/>
      </c>
      <c r="AJ47" s="73" t="str">
        <f t="shared" ca="1" si="31"/>
        <v/>
      </c>
      <c r="AK47" s="123"/>
      <c r="AL47" s="123"/>
      <c r="AM47" s="123"/>
      <c r="AN47" s="122"/>
      <c r="AO47" s="124"/>
      <c r="AP47" s="125"/>
      <c r="AQ47" s="125"/>
      <c r="AR47" s="126"/>
      <c r="AS47" s="71" t="str">
        <f t="shared" ca="1" si="32"/>
        <v/>
      </c>
      <c r="AT47" s="72" t="str">
        <f t="shared" ca="1" si="33"/>
        <v/>
      </c>
      <c r="AU47" s="72" t="str">
        <f t="shared" ca="1" si="34"/>
        <v/>
      </c>
      <c r="AV47" s="73" t="str">
        <f t="shared" ca="1" si="35"/>
        <v/>
      </c>
      <c r="AW47" s="123"/>
      <c r="AX47" s="123"/>
    </row>
    <row r="49" spans="2:48" x14ac:dyDescent="0.25">
      <c r="B49" s="74"/>
      <c r="R49" s="76"/>
      <c r="S49" s="77"/>
      <c r="T49" s="78"/>
      <c r="U49" s="78"/>
      <c r="V49" s="78"/>
      <c r="W49" s="78"/>
      <c r="X49" s="78"/>
      <c r="Y49" s="78"/>
      <c r="AE49" s="76"/>
      <c r="AF49" s="77"/>
      <c r="AG49" s="78"/>
      <c r="AH49" s="78"/>
      <c r="AI49" s="78"/>
      <c r="AJ49" s="78"/>
      <c r="AK49" s="78"/>
      <c r="AQ49" s="76"/>
      <c r="AR49" s="77"/>
      <c r="AS49" s="78"/>
      <c r="AT49" s="78"/>
      <c r="AU49" s="78"/>
      <c r="AV49" s="78"/>
    </row>
    <row r="50" spans="2:48" x14ac:dyDescent="0.25">
      <c r="B50" s="74"/>
      <c r="R50" s="76"/>
      <c r="S50" s="79"/>
      <c r="T50" s="78"/>
      <c r="U50" s="78"/>
      <c r="V50" s="78"/>
      <c r="W50" s="78"/>
      <c r="X50" s="78"/>
      <c r="Y50" s="78"/>
      <c r="AE50" s="76"/>
      <c r="AF50" s="79"/>
      <c r="AG50" s="78"/>
      <c r="AH50" s="78"/>
      <c r="AI50" s="78"/>
      <c r="AJ50" s="78"/>
      <c r="AK50" s="78"/>
      <c r="AQ50" s="76"/>
      <c r="AR50" s="79"/>
      <c r="AS50" s="78"/>
      <c r="AT50" s="78"/>
      <c r="AU50" s="78"/>
      <c r="AV50" s="78"/>
    </row>
    <row r="51" spans="2:48" x14ac:dyDescent="0.25">
      <c r="B51" s="74"/>
      <c r="R51" s="76"/>
      <c r="S51" s="80"/>
      <c r="T51" s="81"/>
      <c r="U51" s="82"/>
      <c r="V51" s="82"/>
      <c r="W51" s="81"/>
      <c r="X51" s="78"/>
      <c r="Y51" s="78"/>
      <c r="AE51" s="76"/>
      <c r="AF51" s="80"/>
      <c r="AG51" s="81"/>
      <c r="AH51" s="82"/>
      <c r="AI51" s="82"/>
      <c r="AJ51" s="81"/>
      <c r="AK51" s="78"/>
      <c r="AQ51" s="76"/>
      <c r="AR51" s="80"/>
      <c r="AS51" s="81"/>
      <c r="AT51" s="82"/>
      <c r="AU51" s="82"/>
      <c r="AV51" s="81"/>
    </row>
    <row r="52" spans="2:48" x14ac:dyDescent="0.25">
      <c r="B52" s="74"/>
      <c r="R52" s="76"/>
      <c r="S52" s="80"/>
      <c r="T52" s="81"/>
      <c r="U52" s="81"/>
      <c r="V52" s="81"/>
      <c r="W52" s="81"/>
      <c r="X52" s="78"/>
      <c r="Y52" s="78"/>
      <c r="AE52" s="76"/>
      <c r="AF52" s="80"/>
      <c r="AG52" s="81"/>
      <c r="AH52" s="81"/>
      <c r="AI52" s="81"/>
      <c r="AJ52" s="81"/>
      <c r="AK52" s="78"/>
      <c r="AQ52" s="76"/>
      <c r="AR52" s="80"/>
      <c r="AS52" s="81"/>
      <c r="AT52" s="81"/>
      <c r="AU52" s="81"/>
      <c r="AV52" s="81"/>
    </row>
    <row r="53" spans="2:48" x14ac:dyDescent="0.25">
      <c r="B53" s="74"/>
      <c r="R53" s="76"/>
      <c r="S53" s="80"/>
      <c r="T53" s="81"/>
      <c r="U53" s="83"/>
      <c r="V53" s="83"/>
      <c r="W53" s="81"/>
      <c r="X53" s="78"/>
      <c r="Y53" s="78"/>
      <c r="AE53" s="76"/>
      <c r="AF53" s="80"/>
      <c r="AG53" s="81"/>
      <c r="AH53" s="83"/>
      <c r="AI53" s="83"/>
      <c r="AJ53" s="81"/>
      <c r="AK53" s="78"/>
      <c r="AQ53" s="76"/>
      <c r="AR53" s="80"/>
      <c r="AS53" s="81"/>
      <c r="AT53" s="83"/>
      <c r="AU53" s="83"/>
      <c r="AV53" s="81"/>
    </row>
    <row r="54" spans="2:48" x14ac:dyDescent="0.25">
      <c r="B54" s="74"/>
      <c r="R54" s="76"/>
      <c r="S54" s="79"/>
      <c r="T54" s="78"/>
      <c r="U54" s="78"/>
      <c r="V54" s="78"/>
      <c r="W54" s="78"/>
      <c r="X54" s="78"/>
      <c r="Y54" s="78"/>
      <c r="AE54" s="76"/>
      <c r="AF54" s="79"/>
      <c r="AG54" s="78"/>
      <c r="AH54" s="78"/>
      <c r="AI54" s="78"/>
      <c r="AJ54" s="78"/>
      <c r="AK54" s="78"/>
      <c r="AQ54" s="76"/>
      <c r="AR54" s="79"/>
      <c r="AS54" s="78"/>
      <c r="AT54" s="78"/>
      <c r="AU54" s="78"/>
      <c r="AV54" s="78"/>
    </row>
    <row r="55" spans="2:48" x14ac:dyDescent="0.25">
      <c r="B55" s="74"/>
      <c r="R55" s="76"/>
      <c r="S55" s="84"/>
      <c r="T55" s="81"/>
      <c r="U55" s="85"/>
      <c r="V55" s="85"/>
      <c r="W55" s="81"/>
      <c r="X55" s="78"/>
      <c r="Y55" s="78"/>
      <c r="AE55" s="76"/>
      <c r="AF55" s="84"/>
      <c r="AG55" s="81"/>
      <c r="AH55" s="85"/>
      <c r="AI55" s="85"/>
      <c r="AJ55" s="81"/>
      <c r="AK55" s="78"/>
      <c r="AQ55" s="76"/>
      <c r="AR55" s="84"/>
      <c r="AS55" s="81"/>
      <c r="AT55" s="85"/>
      <c r="AU55" s="85"/>
      <c r="AV55" s="81"/>
    </row>
    <row r="56" spans="2:48" x14ac:dyDescent="0.25">
      <c r="B56" s="74"/>
      <c r="R56" s="76"/>
      <c r="S56" s="84"/>
      <c r="T56" s="81"/>
      <c r="U56" s="86"/>
      <c r="V56" s="86"/>
      <c r="W56" s="81"/>
      <c r="X56" s="78"/>
      <c r="Y56" s="78"/>
      <c r="AE56" s="76"/>
      <c r="AF56" s="84"/>
      <c r="AG56" s="81"/>
      <c r="AH56" s="86"/>
      <c r="AI56" s="86"/>
      <c r="AJ56" s="81"/>
      <c r="AK56" s="78"/>
      <c r="AQ56" s="76"/>
      <c r="AR56" s="84"/>
      <c r="AS56" s="81"/>
      <c r="AT56" s="86"/>
      <c r="AU56" s="86"/>
      <c r="AV56" s="81"/>
    </row>
    <row r="57" spans="2:48" x14ac:dyDescent="0.25">
      <c r="B57" s="74"/>
      <c r="R57" s="76"/>
      <c r="S57" s="84"/>
      <c r="T57" s="81"/>
      <c r="U57" s="87"/>
      <c r="V57" s="87"/>
      <c r="W57" s="81"/>
      <c r="X57" s="78"/>
      <c r="Y57" s="78"/>
      <c r="AE57" s="76"/>
      <c r="AF57" s="84"/>
      <c r="AG57" s="81"/>
      <c r="AH57" s="87"/>
      <c r="AI57" s="87"/>
      <c r="AJ57" s="81"/>
      <c r="AK57" s="78"/>
      <c r="AQ57" s="76"/>
      <c r="AR57" s="84"/>
      <c r="AS57" s="81"/>
      <c r="AT57" s="87"/>
      <c r="AU57" s="87"/>
      <c r="AV57" s="81"/>
    </row>
    <row r="58" spans="2:48" x14ac:dyDescent="0.25">
      <c r="R58" s="76"/>
      <c r="S58" s="79"/>
      <c r="T58" s="78"/>
      <c r="U58" s="78"/>
      <c r="V58" s="78"/>
      <c r="W58" s="78"/>
      <c r="X58" s="78"/>
      <c r="Y58" s="78"/>
      <c r="AE58" s="76"/>
      <c r="AF58" s="79"/>
      <c r="AG58" s="78"/>
      <c r="AH58" s="78"/>
      <c r="AI58" s="78"/>
      <c r="AJ58" s="78"/>
      <c r="AK58" s="78"/>
      <c r="AQ58" s="76"/>
      <c r="AR58" s="79"/>
      <c r="AS58" s="78"/>
      <c r="AT58" s="78"/>
      <c r="AU58" s="78"/>
      <c r="AV58" s="78"/>
    </row>
    <row r="59" spans="2:48" x14ac:dyDescent="0.25">
      <c r="R59" s="76"/>
      <c r="S59" s="84"/>
      <c r="T59" s="81"/>
      <c r="U59" s="85"/>
      <c r="V59" s="85"/>
      <c r="W59" s="81"/>
      <c r="X59" s="78"/>
      <c r="Y59" s="78"/>
      <c r="AE59" s="76"/>
      <c r="AF59" s="84"/>
      <c r="AG59" s="81"/>
      <c r="AH59" s="85"/>
      <c r="AI59" s="85"/>
      <c r="AJ59" s="81"/>
      <c r="AK59" s="78"/>
      <c r="AQ59" s="76"/>
      <c r="AR59" s="84"/>
      <c r="AS59" s="81"/>
      <c r="AT59" s="85"/>
      <c r="AU59" s="85"/>
      <c r="AV59" s="81"/>
    </row>
    <row r="60" spans="2:48" x14ac:dyDescent="0.25">
      <c r="R60" s="76"/>
      <c r="S60" s="84"/>
      <c r="T60" s="81"/>
      <c r="U60" s="86"/>
      <c r="V60" s="86"/>
      <c r="W60" s="81"/>
      <c r="X60" s="78"/>
      <c r="Y60" s="78"/>
      <c r="AE60" s="76"/>
      <c r="AF60" s="84"/>
      <c r="AG60" s="81"/>
      <c r="AH60" s="86"/>
      <c r="AI60" s="86"/>
      <c r="AJ60" s="81"/>
      <c r="AK60" s="78"/>
      <c r="AQ60" s="76"/>
      <c r="AR60" s="84"/>
      <c r="AS60" s="81"/>
      <c r="AT60" s="86"/>
      <c r="AU60" s="86"/>
      <c r="AV60" s="81"/>
    </row>
    <row r="61" spans="2:48" x14ac:dyDescent="0.25">
      <c r="G61" s="75"/>
      <c r="H61" s="75"/>
      <c r="I61" s="75"/>
      <c r="J61" s="75"/>
      <c r="O61" s="75"/>
      <c r="P61" s="55"/>
      <c r="Q61" s="55"/>
      <c r="R61" s="78"/>
      <c r="S61" s="84"/>
      <c r="T61" s="81"/>
      <c r="U61" s="87"/>
      <c r="V61" s="87"/>
      <c r="W61" s="81"/>
      <c r="X61" s="78"/>
      <c r="Y61" s="78"/>
      <c r="AB61" s="75"/>
      <c r="AC61" s="55"/>
      <c r="AD61" s="55"/>
      <c r="AE61" s="78"/>
      <c r="AF61" s="84"/>
      <c r="AG61" s="81"/>
      <c r="AH61" s="87"/>
      <c r="AI61" s="87"/>
      <c r="AJ61" s="81"/>
      <c r="AK61" s="78"/>
      <c r="AN61" s="75"/>
      <c r="AO61" s="55"/>
      <c r="AP61" s="55"/>
      <c r="AQ61" s="78"/>
      <c r="AR61" s="84"/>
      <c r="AS61" s="81"/>
      <c r="AT61" s="87"/>
      <c r="AU61" s="87"/>
      <c r="AV61" s="81"/>
    </row>
    <row r="62" spans="2:48" x14ac:dyDescent="0.25">
      <c r="G62" s="75"/>
      <c r="H62" s="75"/>
      <c r="I62" s="75"/>
      <c r="J62" s="75"/>
      <c r="O62" s="75"/>
      <c r="P62" s="55"/>
      <c r="Q62" s="55"/>
      <c r="R62" s="78"/>
      <c r="S62" s="78"/>
      <c r="T62" s="78"/>
      <c r="U62" s="78"/>
      <c r="V62" s="78"/>
      <c r="W62" s="78"/>
      <c r="X62" s="78"/>
      <c r="Y62" s="78"/>
      <c r="AB62" s="75"/>
      <c r="AC62" s="55"/>
      <c r="AD62" s="55"/>
      <c r="AE62" s="78"/>
      <c r="AF62" s="78"/>
      <c r="AG62" s="78"/>
      <c r="AH62" s="78"/>
      <c r="AI62" s="78"/>
      <c r="AJ62" s="78"/>
      <c r="AK62" s="78"/>
      <c r="AN62" s="75"/>
      <c r="AO62" s="55"/>
      <c r="AP62" s="55"/>
      <c r="AQ62" s="78"/>
      <c r="AR62" s="78"/>
      <c r="AS62" s="78"/>
      <c r="AT62" s="78"/>
      <c r="AU62" s="78"/>
      <c r="AV62" s="78"/>
    </row>
    <row r="63" spans="2:48" x14ac:dyDescent="0.25">
      <c r="G63" s="75"/>
      <c r="H63" s="75"/>
      <c r="I63" s="75"/>
      <c r="J63" s="75"/>
      <c r="O63" s="75"/>
      <c r="P63" s="55"/>
      <c r="Q63" s="55"/>
      <c r="R63" s="78"/>
      <c r="S63" s="88"/>
      <c r="T63" s="88"/>
      <c r="U63" s="88"/>
      <c r="V63" s="88"/>
      <c r="W63" s="88"/>
      <c r="X63" s="78"/>
      <c r="Y63" s="78"/>
      <c r="AB63" s="75"/>
      <c r="AC63" s="55"/>
      <c r="AD63" s="55"/>
      <c r="AE63" s="78"/>
      <c r="AF63" s="88"/>
      <c r="AG63" s="88"/>
      <c r="AH63" s="88"/>
      <c r="AI63" s="88"/>
      <c r="AJ63" s="88"/>
      <c r="AK63" s="78"/>
      <c r="AN63" s="75"/>
      <c r="AO63" s="55"/>
      <c r="AP63" s="55"/>
      <c r="AQ63" s="78"/>
      <c r="AR63" s="88"/>
      <c r="AS63" s="88"/>
      <c r="AT63" s="88"/>
      <c r="AU63" s="88"/>
      <c r="AV63" s="88"/>
    </row>
    <row r="64" spans="2:48" x14ac:dyDescent="0.25">
      <c r="G64" s="75"/>
      <c r="H64" s="75"/>
      <c r="I64" s="75"/>
      <c r="J64" s="75"/>
      <c r="O64" s="75"/>
      <c r="P64" s="55"/>
      <c r="Q64" s="55"/>
      <c r="R64" s="78"/>
      <c r="S64" s="80"/>
      <c r="T64" s="81"/>
      <c r="U64" s="82"/>
      <c r="V64" s="82"/>
      <c r="W64" s="81"/>
      <c r="X64" s="78"/>
      <c r="Y64" s="78"/>
      <c r="AB64" s="75"/>
      <c r="AC64" s="55"/>
      <c r="AD64" s="55"/>
      <c r="AE64" s="78"/>
      <c r="AF64" s="80"/>
      <c r="AG64" s="81"/>
      <c r="AH64" s="82"/>
      <c r="AI64" s="82"/>
      <c r="AJ64" s="81"/>
      <c r="AK64" s="78"/>
      <c r="AN64" s="75"/>
      <c r="AO64" s="55"/>
      <c r="AP64" s="55"/>
      <c r="AQ64" s="78"/>
      <c r="AR64" s="80"/>
      <c r="AS64" s="81"/>
      <c r="AT64" s="82"/>
      <c r="AU64" s="82"/>
      <c r="AV64" s="81"/>
    </row>
    <row r="65" spans="7:48" x14ac:dyDescent="0.25">
      <c r="G65" s="75"/>
      <c r="H65" s="75"/>
      <c r="I65" s="75"/>
      <c r="J65" s="75"/>
      <c r="O65" s="75"/>
      <c r="P65" s="55"/>
      <c r="Q65" s="55"/>
      <c r="R65" s="78"/>
      <c r="S65" s="80"/>
      <c r="T65" s="81"/>
      <c r="U65" s="81"/>
      <c r="V65" s="81"/>
      <c r="W65" s="81"/>
      <c r="X65" s="78"/>
      <c r="Y65" s="78"/>
      <c r="AB65" s="75"/>
      <c r="AC65" s="55"/>
      <c r="AD65" s="55"/>
      <c r="AE65" s="78"/>
      <c r="AF65" s="80"/>
      <c r="AG65" s="81"/>
      <c r="AH65" s="81"/>
      <c r="AI65" s="81"/>
      <c r="AJ65" s="81"/>
      <c r="AK65" s="78"/>
      <c r="AN65" s="75"/>
      <c r="AO65" s="55"/>
      <c r="AP65" s="55"/>
      <c r="AQ65" s="78"/>
      <c r="AR65" s="80"/>
      <c r="AS65" s="81"/>
      <c r="AT65" s="81"/>
      <c r="AU65" s="81"/>
      <c r="AV65" s="81"/>
    </row>
    <row r="66" spans="7:48" x14ac:dyDescent="0.25">
      <c r="R66" s="76"/>
      <c r="S66" s="80"/>
      <c r="T66" s="81"/>
      <c r="U66" s="83"/>
      <c r="V66" s="83"/>
      <c r="W66" s="81"/>
      <c r="X66" s="78"/>
      <c r="Y66" s="78"/>
      <c r="AE66" s="76"/>
      <c r="AF66" s="80"/>
      <c r="AG66" s="81"/>
      <c r="AH66" s="83"/>
      <c r="AI66" s="83"/>
      <c r="AJ66" s="81"/>
      <c r="AK66" s="78"/>
      <c r="AQ66" s="76"/>
      <c r="AR66" s="80"/>
      <c r="AS66" s="81"/>
      <c r="AT66" s="83"/>
      <c r="AU66" s="83"/>
      <c r="AV66" s="81"/>
    </row>
    <row r="67" spans="7:48" x14ac:dyDescent="0.25">
      <c r="R67" s="76"/>
      <c r="S67" s="76"/>
      <c r="T67" s="78"/>
      <c r="U67" s="78"/>
      <c r="V67" s="78"/>
      <c r="W67" s="78"/>
      <c r="X67" s="78"/>
      <c r="Y67" s="78"/>
      <c r="AE67" s="76"/>
      <c r="AF67" s="76"/>
      <c r="AG67" s="78"/>
      <c r="AH67" s="78"/>
      <c r="AI67" s="78"/>
      <c r="AJ67" s="78"/>
      <c r="AK67" s="78"/>
      <c r="AQ67" s="76"/>
      <c r="AR67" s="76"/>
      <c r="AS67" s="78"/>
      <c r="AT67" s="78"/>
      <c r="AU67" s="78"/>
      <c r="AV67" s="78"/>
    </row>
  </sheetData>
  <autoFilter ref="B5:AX47"/>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N2:AV3"/>
    <mergeCell ref="AO4:AR4"/>
    <mergeCell ref="AS4:AV4"/>
    <mergeCell ref="P4:S4"/>
    <mergeCell ref="T4:W4"/>
    <mergeCell ref="O2:W3"/>
    <mergeCell ref="AB2:AJ3"/>
    <mergeCell ref="AC4:AF4"/>
    <mergeCell ref="AG4:AJ4"/>
  </mergeCells>
  <conditionalFormatting sqref="AG26:AJ26 AS26:AV26 AG43:AJ47 AS43:AV47 AS36:AV41 AG36:AJ41 T45:W47 AG8:AJ24 AS8:AV24 T8:W43">
    <cfRule type="cellIs" dxfId="53" priority="86" operator="equal">
      <formula>"High"</formula>
    </cfRule>
    <cfRule type="cellIs" dxfId="52" priority="87" operator="equal">
      <formula>"Med"</formula>
    </cfRule>
    <cfRule type="cellIs" dxfId="51" priority="88" operator="equal">
      <formula>"Low"</formula>
    </cfRule>
  </conditionalFormatting>
  <conditionalFormatting sqref="AS25:AV25 AG25:AJ25 T25:W25">
    <cfRule type="cellIs" dxfId="50" priority="64" operator="equal">
      <formula>"High"</formula>
    </cfRule>
    <cfRule type="cellIs" dxfId="49" priority="65" operator="equal">
      <formula>"Med"</formula>
    </cfRule>
    <cfRule type="cellIs" dxfId="48" priority="66" operator="equal">
      <formula>"Low"</formula>
    </cfRule>
  </conditionalFormatting>
  <conditionalFormatting sqref="AS42:AV42 AG42:AJ42 T42:W42">
    <cfRule type="cellIs" dxfId="47" priority="58" operator="equal">
      <formula>"High"</formula>
    </cfRule>
    <cfRule type="cellIs" dxfId="46" priority="59" operator="equal">
      <formula>"Med"</formula>
    </cfRule>
    <cfRule type="cellIs" dxfId="45" priority="60" operator="equal">
      <formula>"Low"</formula>
    </cfRule>
  </conditionalFormatting>
  <conditionalFormatting sqref="AS27:AV27 AG27:AJ27 T27:W27">
    <cfRule type="cellIs" dxfId="44" priority="55" operator="equal">
      <formula>"High"</formula>
    </cfRule>
    <cfRule type="cellIs" dxfId="43" priority="56" operator="equal">
      <formula>"Med"</formula>
    </cfRule>
    <cfRule type="cellIs" dxfId="42" priority="57" operator="equal">
      <formula>"Low"</formula>
    </cfRule>
  </conditionalFormatting>
  <conditionalFormatting sqref="AS29:AV29 AG29:AJ29 T29:W29">
    <cfRule type="cellIs" dxfId="41" priority="46" operator="equal">
      <formula>"High"</formula>
    </cfRule>
    <cfRule type="cellIs" dxfId="40" priority="47" operator="equal">
      <formula>"Med"</formula>
    </cfRule>
    <cfRule type="cellIs" dxfId="39" priority="48" operator="equal">
      <formula>"Low"</formula>
    </cfRule>
  </conditionalFormatting>
  <conditionalFormatting sqref="T30:W30 AG30:AJ30 AS30:AV30">
    <cfRule type="cellIs" dxfId="38" priority="40" operator="equal">
      <formula>"High"</formula>
    </cfRule>
    <cfRule type="cellIs" dxfId="37" priority="41" operator="equal">
      <formula>"Med"</formula>
    </cfRule>
    <cfRule type="cellIs" dxfId="36" priority="42" operator="equal">
      <formula>"Low"</formula>
    </cfRule>
  </conditionalFormatting>
  <conditionalFormatting sqref="AS33:AV33 AG33:AJ33 T33:W33">
    <cfRule type="cellIs" dxfId="35" priority="31" operator="equal">
      <formula>"High"</formula>
    </cfRule>
    <cfRule type="cellIs" dxfId="34" priority="32" operator="equal">
      <formula>"Med"</formula>
    </cfRule>
    <cfRule type="cellIs" dxfId="33" priority="33" operator="equal">
      <formula>"Low"</formula>
    </cfRule>
  </conditionalFormatting>
  <conditionalFormatting sqref="AS28:AV28 AG28:AJ28 T28:W28">
    <cfRule type="cellIs" dxfId="32" priority="34" operator="equal">
      <formula>"High"</formula>
    </cfRule>
    <cfRule type="cellIs" dxfId="31" priority="35" operator="equal">
      <formula>"Med"</formula>
    </cfRule>
    <cfRule type="cellIs" dxfId="30" priority="36" operator="equal">
      <formula>"Low"</formula>
    </cfRule>
  </conditionalFormatting>
  <conditionalFormatting sqref="T31:W31 AG31:AJ31 AS31:AV31">
    <cfRule type="cellIs" dxfId="29" priority="28" operator="equal">
      <formula>"High"</formula>
    </cfRule>
    <cfRule type="cellIs" dxfId="28" priority="29" operator="equal">
      <formula>"Med"</formula>
    </cfRule>
    <cfRule type="cellIs" dxfId="27" priority="30" operator="equal">
      <formula>"Low"</formula>
    </cfRule>
  </conditionalFormatting>
  <conditionalFormatting sqref="T34:W34 AG34:AJ34 AS34:AV34">
    <cfRule type="cellIs" dxfId="26" priority="25" operator="equal">
      <formula>"High"</formula>
    </cfRule>
    <cfRule type="cellIs" dxfId="25" priority="26" operator="equal">
      <formula>"Med"</formula>
    </cfRule>
    <cfRule type="cellIs" dxfId="24" priority="27" operator="equal">
      <formula>"Low"</formula>
    </cfRule>
  </conditionalFormatting>
  <conditionalFormatting sqref="AS32:AV32 AG32:AJ32 T32:W32">
    <cfRule type="cellIs" dxfId="23" priority="19" operator="equal">
      <formula>"High"</formula>
    </cfRule>
    <cfRule type="cellIs" dxfId="22" priority="20" operator="equal">
      <formula>"Med"</formula>
    </cfRule>
    <cfRule type="cellIs" dxfId="21" priority="21" operator="equal">
      <formula>"Low"</formula>
    </cfRule>
  </conditionalFormatting>
  <conditionalFormatting sqref="AS35:AV35 AG35:AJ35 T35:W35">
    <cfRule type="cellIs" dxfId="20" priority="16" operator="equal">
      <formula>"High"</formula>
    </cfRule>
    <cfRule type="cellIs" dxfId="19" priority="17" operator="equal">
      <formula>"Med"</formula>
    </cfRule>
    <cfRule type="cellIs" dxfId="18" priority="18" operator="equal">
      <formula>"Low"</formula>
    </cfRule>
  </conditionalFormatting>
  <conditionalFormatting sqref="AG6:AJ6 AS6:AV6">
    <cfRule type="cellIs" dxfId="17" priority="13" operator="equal">
      <formula>"High"</formula>
    </cfRule>
    <cfRule type="cellIs" dxfId="16" priority="14" operator="equal">
      <formula>"Med"</formula>
    </cfRule>
    <cfRule type="cellIs" dxfId="15" priority="15" operator="equal">
      <formula>"Low"</formula>
    </cfRule>
  </conditionalFormatting>
  <conditionalFormatting sqref="T6:W6">
    <cfRule type="cellIs" dxfId="14" priority="10" operator="equal">
      <formula>"High"</formula>
    </cfRule>
    <cfRule type="cellIs" dxfId="13" priority="11" operator="equal">
      <formula>"Med"</formula>
    </cfRule>
    <cfRule type="cellIs" dxfId="12" priority="12" operator="equal">
      <formula>"Low"</formula>
    </cfRule>
  </conditionalFormatting>
  <conditionalFormatting sqref="AG7:AJ7 AS7:AV7">
    <cfRule type="cellIs" dxfId="11" priority="7" operator="equal">
      <formula>"High"</formula>
    </cfRule>
    <cfRule type="cellIs" dxfId="10" priority="8" operator="equal">
      <formula>"Med"</formula>
    </cfRule>
    <cfRule type="cellIs" dxfId="9" priority="9" operator="equal">
      <formula>"Low"</formula>
    </cfRule>
  </conditionalFormatting>
  <conditionalFormatting sqref="T7:W7">
    <cfRule type="cellIs" dxfId="8" priority="4" operator="equal">
      <formula>"High"</formula>
    </cfRule>
    <cfRule type="cellIs" dxfId="7" priority="5" operator="equal">
      <formula>"Med"</formula>
    </cfRule>
    <cfRule type="cellIs" dxfId="6" priority="6" operator="equal">
      <formula>"Low"</formula>
    </cfRule>
  </conditionalFormatting>
  <conditionalFormatting sqref="T44:W44">
    <cfRule type="cellIs" dxfId="5" priority="1" operator="equal">
      <formula>"High"</formula>
    </cfRule>
    <cfRule type="cellIs" dxfId="4" priority="2" operator="equal">
      <formula>"Med"</formula>
    </cfRule>
    <cfRule type="cellIs" dxfId="3" priority="3" operator="equal">
      <formula>"Low"</formula>
    </cfRule>
  </conditionalFormatting>
  <pageMargins left="0.25" right="0.25" top="0.75" bottom="0.75" header="0.3" footer="0.3"/>
  <pageSetup scale="21"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3"/>
  <sheetViews>
    <sheetView zoomScaleNormal="100" workbookViewId="0">
      <selection activeCell="E4" sqref="E4"/>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137" t="s">
        <v>117</v>
      </c>
      <c r="C1" s="137"/>
    </row>
    <row r="2" spans="1:3" x14ac:dyDescent="0.25">
      <c r="A2" s="3" t="s">
        <v>13</v>
      </c>
      <c r="B2" s="137" t="s">
        <v>118</v>
      </c>
      <c r="C2" s="137"/>
    </row>
    <row r="3" spans="1:3" x14ac:dyDescent="0.25">
      <c r="A3" s="3" t="s">
        <v>14</v>
      </c>
      <c r="B3" s="138" t="s">
        <v>230</v>
      </c>
      <c r="C3" s="138"/>
    </row>
    <row r="4" spans="1:3" x14ac:dyDescent="0.25">
      <c r="A4" s="3" t="s">
        <v>15</v>
      </c>
      <c r="B4" s="137" t="s">
        <v>119</v>
      </c>
      <c r="C4" s="137"/>
    </row>
    <row r="5" spans="1:3" x14ac:dyDescent="0.25">
      <c r="A5" s="3" t="s">
        <v>134</v>
      </c>
      <c r="B5" s="137" t="s">
        <v>138</v>
      </c>
      <c r="C5" s="137"/>
    </row>
    <row r="6" spans="1:3" x14ac:dyDescent="0.25">
      <c r="A6" s="3" t="s">
        <v>135</v>
      </c>
      <c r="B6" s="135"/>
      <c r="C6" s="136"/>
    </row>
    <row r="7" spans="1:3" x14ac:dyDescent="0.25">
      <c r="A7" s="3" t="s">
        <v>136</v>
      </c>
      <c r="B7" s="135"/>
      <c r="C7" s="136"/>
    </row>
    <row r="8" spans="1:3" x14ac:dyDescent="0.25">
      <c r="A8" s="3" t="s">
        <v>137</v>
      </c>
      <c r="B8" s="135"/>
      <c r="C8" s="136"/>
    </row>
    <row r="9" spans="1:3" x14ac:dyDescent="0.25">
      <c r="A9" s="2"/>
      <c r="B9" s="2"/>
      <c r="C9" s="2"/>
    </row>
    <row r="10" spans="1:3" x14ac:dyDescent="0.25">
      <c r="A10" s="2"/>
      <c r="B10" s="2"/>
      <c r="C10" s="2"/>
    </row>
    <row r="11" spans="1:3" x14ac:dyDescent="0.25">
      <c r="A11" s="3" t="s">
        <v>14</v>
      </c>
      <c r="B11" s="3" t="s">
        <v>0</v>
      </c>
      <c r="C11" s="3" t="s">
        <v>16</v>
      </c>
    </row>
    <row r="12" spans="1:3" x14ac:dyDescent="0.25">
      <c r="A12" s="51" t="s">
        <v>120</v>
      </c>
      <c r="B12" s="4">
        <v>41673</v>
      </c>
      <c r="C12" s="50" t="s">
        <v>121</v>
      </c>
    </row>
    <row r="13" spans="1:3" x14ac:dyDescent="0.25">
      <c r="A13" s="50">
        <v>1.1000000000000001</v>
      </c>
      <c r="B13" s="4">
        <v>41716</v>
      </c>
      <c r="C13" s="50" t="s">
        <v>122</v>
      </c>
    </row>
    <row r="14" spans="1:3" x14ac:dyDescent="0.25">
      <c r="A14" s="51" t="s">
        <v>123</v>
      </c>
      <c r="B14" s="4">
        <v>41968</v>
      </c>
      <c r="C14" s="50" t="s">
        <v>124</v>
      </c>
    </row>
    <row r="15" spans="1:3" x14ac:dyDescent="0.25">
      <c r="A15" s="53">
        <v>2.1</v>
      </c>
      <c r="B15" s="4">
        <v>42398</v>
      </c>
      <c r="C15" s="5" t="s">
        <v>229</v>
      </c>
    </row>
    <row r="16" spans="1:3" x14ac:dyDescent="0.25">
      <c r="A16" s="54" t="s">
        <v>230</v>
      </c>
      <c r="B16" s="4">
        <v>42576</v>
      </c>
      <c r="C16" s="5" t="s">
        <v>231</v>
      </c>
    </row>
    <row r="17" spans="1:3" x14ac:dyDescent="0.25">
      <c r="A17" s="5"/>
      <c r="B17" s="5"/>
      <c r="C17" s="5"/>
    </row>
    <row r="18" spans="1:3" x14ac:dyDescent="0.25">
      <c r="A18" s="5"/>
      <c r="B18" s="5"/>
      <c r="C18" s="5"/>
    </row>
    <row r="19" spans="1:3" x14ac:dyDescent="0.25">
      <c r="A19" s="5"/>
      <c r="B19" s="5"/>
      <c r="C19" s="5"/>
    </row>
    <row r="23" spans="1:3" x14ac:dyDescent="0.25">
      <c r="A23" s="6" t="s">
        <v>17</v>
      </c>
    </row>
  </sheetData>
  <mergeCells count="8">
    <mergeCell ref="B6:C6"/>
    <mergeCell ref="B7:C7"/>
    <mergeCell ref="B8:C8"/>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S6" sqref="S6"/>
    </sheetView>
  </sheetViews>
  <sheetFormatPr defaultRowHeight="15" x14ac:dyDescent="0.25"/>
  <cols>
    <col min="1" max="1" width="1.85546875" customWidth="1"/>
    <col min="2" max="3" width="12.7109375" customWidth="1"/>
    <col min="4" max="4" width="12.7109375" style="7" customWidth="1"/>
    <col min="5" max="10" width="12.7109375" customWidth="1"/>
    <col min="11" max="11" width="12.7109375" style="7" customWidth="1"/>
    <col min="12" max="12" width="12.7109375" customWidth="1"/>
    <col min="13" max="13" width="12.7109375" style="7" customWidth="1"/>
    <col min="14" max="14" width="12.7109375" customWidth="1"/>
    <col min="15" max="15" width="12.7109375" style="7" customWidth="1"/>
    <col min="16" max="16" width="12.7109375" customWidth="1"/>
    <col min="17" max="17" width="12.7109375" style="7" customWidth="1"/>
    <col min="18" max="28" width="12.7109375" customWidth="1"/>
  </cols>
  <sheetData>
    <row r="2" spans="2:19" ht="18.75" x14ac:dyDescent="0.3">
      <c r="C2" s="166" t="str">
        <f>linkedPage!C2</f>
        <v>Risk = Occ + Sev</v>
      </c>
      <c r="D2" s="166"/>
      <c r="E2" s="166"/>
      <c r="F2" s="166"/>
      <c r="G2" s="166"/>
      <c r="H2" s="166"/>
      <c r="I2" s="166"/>
      <c r="J2" s="166"/>
      <c r="K2" s="166"/>
      <c r="L2" s="166"/>
      <c r="O2" t="str">
        <f>linkedPage!T2</f>
        <v>Note:</v>
      </c>
    </row>
    <row r="3" spans="2:19" ht="18.75" x14ac:dyDescent="0.3">
      <c r="B3" s="5"/>
      <c r="C3" s="165" t="str">
        <f>linkedPage!C3</f>
        <v>Severity</v>
      </c>
      <c r="D3" s="165"/>
      <c r="E3" s="165"/>
      <c r="F3" s="165"/>
      <c r="G3" s="165"/>
      <c r="H3" s="165"/>
      <c r="I3" s="165"/>
      <c r="J3" s="165"/>
      <c r="K3" s="165"/>
      <c r="L3" s="165"/>
      <c r="O3" s="7" t="str">
        <f>linkedPage!T3</f>
        <v>- 'set up' and 'linkedPage' are both linked to workbook 'FMECA Master v3.xlsx'</v>
      </c>
    </row>
    <row r="4" spans="2:19" ht="18.75" x14ac:dyDescent="0.3">
      <c r="B4" s="48" t="str">
        <f>IF(linkedPage!B4=0,"",linkedPage!B4)</f>
        <v>Occ</v>
      </c>
      <c r="C4" s="29">
        <f>IF(linkedPage!C4=0,"",linkedPage!C4)</f>
        <v>1</v>
      </c>
      <c r="D4" s="29">
        <f>IF(linkedPage!D4=0,"",linkedPage!D4)</f>
        <v>2</v>
      </c>
      <c r="E4" s="29">
        <f>IF(linkedPage!E4=0,"",linkedPage!E4)</f>
        <v>3</v>
      </c>
      <c r="F4" s="29">
        <f>IF(linkedPage!F4=0,"",linkedPage!F4)</f>
        <v>4</v>
      </c>
      <c r="G4" s="29">
        <f>IF(linkedPage!G4=0,"",linkedPage!G4)</f>
        <v>5</v>
      </c>
      <c r="H4" s="29">
        <f>IF(linkedPage!H4=0,"",linkedPage!H4)</f>
        <v>6</v>
      </c>
      <c r="I4" s="29">
        <f>IF(linkedPage!I4=0,"",linkedPage!I4)</f>
        <v>7</v>
      </c>
      <c r="J4" s="29">
        <f>IF(linkedPage!J4=0,"",linkedPage!J4)</f>
        <v>8</v>
      </c>
      <c r="K4" s="29">
        <f>IF(linkedPage!K4=0,"",linkedPage!K4)</f>
        <v>9</v>
      </c>
      <c r="L4" s="29">
        <f>IF(linkedPage!L4=0,"",linkedPage!L4)</f>
        <v>10</v>
      </c>
      <c r="M4" s="7" t="str">
        <f>IF(linkedPage!M4=0,"",linkedPage!M4)</f>
        <v/>
      </c>
      <c r="N4" t="str">
        <f>IF(linkedPage!N4=0,"",linkedPage!N4)</f>
        <v/>
      </c>
      <c r="O4" s="7" t="str">
        <f>linkedPage!T4</f>
        <v>- changes to the tables, risk scores, etc must be made in 'FMECA Master v3.xlsx'</v>
      </c>
      <c r="P4" s="7"/>
    </row>
    <row r="5" spans="2:19" s="7" customFormat="1" x14ac:dyDescent="0.25">
      <c r="B5" s="29">
        <f>IF(linkedPage!B5=0,"",linkedPage!B5)</f>
        <v>10</v>
      </c>
      <c r="C5" s="5" t="str">
        <f>IF(linkedPage!C5=0,"",linkedPage!C5)</f>
        <v>Low</v>
      </c>
      <c r="D5" s="5" t="str">
        <f>IF(linkedPage!D5=0,"",linkedPage!D5)</f>
        <v>Med</v>
      </c>
      <c r="E5" s="5" t="str">
        <f>IF(linkedPage!E5=0,"",linkedPage!E5)</f>
        <v>Med</v>
      </c>
      <c r="F5" s="5" t="str">
        <f>IF(linkedPage!F5=0,"",linkedPage!F5)</f>
        <v>Med</v>
      </c>
      <c r="G5" s="5" t="str">
        <f>IF(linkedPage!G5=0,"",linkedPage!G5)</f>
        <v>Med</v>
      </c>
      <c r="H5" s="5" t="str">
        <f>IF(linkedPage!H5=0,"",linkedPage!H5)</f>
        <v>High</v>
      </c>
      <c r="I5" s="5" t="str">
        <f>IF(linkedPage!I5=0,"",linkedPage!I5)</f>
        <v>High</v>
      </c>
      <c r="J5" s="5" t="str">
        <f>IF(linkedPage!J5=0,"",linkedPage!J5)</f>
        <v>High</v>
      </c>
      <c r="K5" s="5" t="str">
        <f>IF(linkedPage!K5=0,"",linkedPage!K5)</f>
        <v>High</v>
      </c>
      <c r="L5" s="5" t="str">
        <f>IF(linkedPage!L5=0,"",linkedPage!L5)</f>
        <v>High</v>
      </c>
      <c r="M5" s="7" t="str">
        <f>IF(linkedPage!M5=0,"",linkedPage!M5)</f>
        <v/>
      </c>
      <c r="N5" t="str">
        <f>IF(linkedPage!N5=0,"",linkedPage!N5)</f>
        <v/>
      </c>
      <c r="O5" s="7" t="str">
        <f>IF(linkedPage!O5=0,"",linkedPage!O5)</f>
        <v/>
      </c>
    </row>
    <row r="6" spans="2:19" s="7" customFormat="1" ht="16.5" x14ac:dyDescent="0.35">
      <c r="B6" s="29">
        <f>IF(linkedPage!B6=0,"",linkedPage!B6)</f>
        <v>9</v>
      </c>
      <c r="C6" s="5" t="str">
        <f>IF(linkedPage!C6=0,"",linkedPage!C6)</f>
        <v>Low</v>
      </c>
      <c r="D6" s="5" t="str">
        <f>IF(linkedPage!D6=0,"",linkedPage!D6)</f>
        <v>Low</v>
      </c>
      <c r="E6" s="5" t="str">
        <f>IF(linkedPage!E6=0,"",linkedPage!E6)</f>
        <v>Med</v>
      </c>
      <c r="F6" s="5" t="str">
        <f>IF(linkedPage!F6=0,"",linkedPage!F6)</f>
        <v>Med</v>
      </c>
      <c r="G6" s="5" t="str">
        <f>IF(linkedPage!G6=0,"",linkedPage!G6)</f>
        <v>Med</v>
      </c>
      <c r="H6" s="5" t="str">
        <f>IF(linkedPage!H6=0,"",linkedPage!H6)</f>
        <v>Med</v>
      </c>
      <c r="I6" s="5" t="str">
        <f>IF(linkedPage!I6=0,"",linkedPage!I6)</f>
        <v>High</v>
      </c>
      <c r="J6" s="5" t="str">
        <f>IF(linkedPage!J6=0,"",linkedPage!J6)</f>
        <v>High</v>
      </c>
      <c r="K6" s="5" t="str">
        <f>IF(linkedPage!K6=0,"",linkedPage!K6)</f>
        <v>High</v>
      </c>
      <c r="L6" s="5" t="str">
        <f>IF(linkedPage!L6=0,"",linkedPage!L6)</f>
        <v>High</v>
      </c>
      <c r="M6" s="18" t="str">
        <f>IF(linkedPage!M6=0,"",linkedPage!M6)</f>
        <v>low &lt;=</v>
      </c>
      <c r="N6" s="2">
        <f>IF(linkedPage!N6=0,"",linkedPage!N6)</f>
        <v>11</v>
      </c>
      <c r="O6" s="7" t="str">
        <f>IF(linkedPage!O6=0,"",linkedPage!O6)</f>
        <v/>
      </c>
    </row>
    <row r="7" spans="2:19" s="7" customFormat="1" ht="16.5" x14ac:dyDescent="0.35">
      <c r="B7" s="29">
        <f>IF(linkedPage!B7=0,"",linkedPage!B7)</f>
        <v>8</v>
      </c>
      <c r="C7" s="5" t="str">
        <f>IF(linkedPage!C7=0,"",linkedPage!C7)</f>
        <v>Low</v>
      </c>
      <c r="D7" s="5" t="str">
        <f>IF(linkedPage!D7=0,"",linkedPage!D7)</f>
        <v>Low</v>
      </c>
      <c r="E7" s="5" t="str">
        <f>IF(linkedPage!E7=0,"",linkedPage!E7)</f>
        <v>Low</v>
      </c>
      <c r="F7" s="5" t="str">
        <f>IF(linkedPage!F7=0,"",linkedPage!F7)</f>
        <v>Med</v>
      </c>
      <c r="G7" s="5" t="str">
        <f>IF(linkedPage!G7=0,"",linkedPage!G7)</f>
        <v>Med</v>
      </c>
      <c r="H7" s="5" t="str">
        <f>IF(linkedPage!H7=0,"",linkedPage!H7)</f>
        <v>Med</v>
      </c>
      <c r="I7" s="5" t="str">
        <f>IF(linkedPage!I7=0,"",linkedPage!I7)</f>
        <v>Med</v>
      </c>
      <c r="J7" s="5" t="str">
        <f>IF(linkedPage!J7=0,"",linkedPage!J7)</f>
        <v>High</v>
      </c>
      <c r="K7" s="5" t="str">
        <f>IF(linkedPage!K7=0,"",linkedPage!K7)</f>
        <v>High</v>
      </c>
      <c r="L7" s="5" t="str">
        <f>IF(linkedPage!L7=0,"",linkedPage!L7)</f>
        <v>High</v>
      </c>
      <c r="M7" s="18" t="str">
        <f>IF(linkedPage!M7=0,"",linkedPage!M7)</f>
        <v>high&gt;</v>
      </c>
      <c r="N7" s="2">
        <f>IF(linkedPage!N7=0,"",linkedPage!N7)</f>
        <v>15</v>
      </c>
      <c r="O7" s="7" t="str">
        <f>IF(linkedPage!O7=0,"",linkedPage!O7)</f>
        <v/>
      </c>
    </row>
    <row r="8" spans="2:19" s="7" customFormat="1" x14ac:dyDescent="0.25">
      <c r="B8" s="29">
        <f>IF(linkedPage!B8=0,"",linkedPage!B8)</f>
        <v>7</v>
      </c>
      <c r="C8" s="5" t="str">
        <f>IF(linkedPage!C8=0,"",linkedPage!C8)</f>
        <v>Low</v>
      </c>
      <c r="D8" s="5" t="str">
        <f>IF(linkedPage!D8=0,"",linkedPage!D8)</f>
        <v>Low</v>
      </c>
      <c r="E8" s="5" t="str">
        <f>IF(linkedPage!E8=0,"",linkedPage!E8)</f>
        <v>Low</v>
      </c>
      <c r="F8" s="5" t="str">
        <f>IF(linkedPage!F8=0,"",linkedPage!F8)</f>
        <v>Low</v>
      </c>
      <c r="G8" s="5" t="str">
        <f>IF(linkedPage!G8=0,"",linkedPage!G8)</f>
        <v>Med</v>
      </c>
      <c r="H8" s="5" t="str">
        <f>IF(linkedPage!H8=0,"",linkedPage!H8)</f>
        <v>Med</v>
      </c>
      <c r="I8" s="5" t="str">
        <f>IF(linkedPage!I8=0,"",linkedPage!I8)</f>
        <v>Med</v>
      </c>
      <c r="J8" s="5" t="str">
        <f>IF(linkedPage!J8=0,"",linkedPage!J8)</f>
        <v>Med</v>
      </c>
      <c r="K8" s="5" t="str">
        <f>IF(linkedPage!K8=0,"",linkedPage!K8)</f>
        <v>High</v>
      </c>
      <c r="L8" s="5" t="str">
        <f>IF(linkedPage!L8=0,"",linkedPage!L8)</f>
        <v>High</v>
      </c>
      <c r="M8" s="7" t="str">
        <f>IF(linkedPage!M8=0,"",linkedPage!M8)</f>
        <v/>
      </c>
      <c r="N8" t="str">
        <f>IF(linkedPage!N8=0,"",linkedPage!N8)</f>
        <v/>
      </c>
      <c r="O8" s="7" t="str">
        <f>IF(linkedPage!O8=0,"",linkedPage!O8)</f>
        <v/>
      </c>
    </row>
    <row r="9" spans="2:19" s="7" customFormat="1" x14ac:dyDescent="0.25">
      <c r="B9" s="29">
        <f>IF(linkedPage!B9=0,"",linkedPage!B9)</f>
        <v>6</v>
      </c>
      <c r="C9" s="5" t="str">
        <f>IF(linkedPage!C9=0,"",linkedPage!C9)</f>
        <v>Low</v>
      </c>
      <c r="D9" s="5" t="str">
        <f>IF(linkedPage!D9=0,"",linkedPage!D9)</f>
        <v>Low</v>
      </c>
      <c r="E9" s="5" t="str">
        <f>IF(linkedPage!E9=0,"",linkedPage!E9)</f>
        <v>Low</v>
      </c>
      <c r="F9" s="5" t="str">
        <f>IF(linkedPage!F9=0,"",linkedPage!F9)</f>
        <v>Low</v>
      </c>
      <c r="G9" s="5" t="str">
        <f>IF(linkedPage!G9=0,"",linkedPage!G9)</f>
        <v>Low</v>
      </c>
      <c r="H9" s="5" t="str">
        <f>IF(linkedPage!H9=0,"",linkedPage!H9)</f>
        <v>Med</v>
      </c>
      <c r="I9" s="5" t="str">
        <f>IF(linkedPage!I9=0,"",linkedPage!I9)</f>
        <v>Med</v>
      </c>
      <c r="J9" s="5" t="str">
        <f>IF(linkedPage!J9=0,"",linkedPage!J9)</f>
        <v>Med</v>
      </c>
      <c r="K9" s="5" t="str">
        <f>IF(linkedPage!K9=0,"",linkedPage!K9)</f>
        <v>Med</v>
      </c>
      <c r="L9" s="5" t="str">
        <f>IF(linkedPage!L9=0,"",linkedPage!L9)</f>
        <v>High</v>
      </c>
      <c r="M9" s="7" t="str">
        <f>IF(linkedPage!M9=0,"",linkedPage!M9)</f>
        <v/>
      </c>
      <c r="N9" t="str">
        <f>IF(linkedPage!N9=0,"",linkedPage!N9)</f>
        <v/>
      </c>
      <c r="O9" s="7" t="str">
        <f>IF(linkedPage!O9=0,"",linkedPage!O9)</f>
        <v/>
      </c>
    </row>
    <row r="10" spans="2:19" s="7" customFormat="1" x14ac:dyDescent="0.25">
      <c r="B10" s="29">
        <f>IF(linkedPage!B10=0,"",linkedPage!B10)</f>
        <v>5</v>
      </c>
      <c r="C10" s="5" t="str">
        <f>IF(linkedPage!C10=0,"",linkedPage!C10)</f>
        <v>Low</v>
      </c>
      <c r="D10" s="5" t="str">
        <f>IF(linkedPage!D10=0,"",linkedPage!D10)</f>
        <v>Low</v>
      </c>
      <c r="E10" s="5" t="str">
        <f>IF(linkedPage!E10=0,"",linkedPage!E10)</f>
        <v>Low</v>
      </c>
      <c r="F10" s="5" t="str">
        <f>IF(linkedPage!F10=0,"",linkedPage!F10)</f>
        <v>Low</v>
      </c>
      <c r="G10" s="5" t="str">
        <f>IF(linkedPage!G10=0,"",linkedPage!G10)</f>
        <v>Low</v>
      </c>
      <c r="H10" s="5" t="str">
        <f>IF(linkedPage!H10=0,"",linkedPage!H10)</f>
        <v>Low</v>
      </c>
      <c r="I10" s="5" t="str">
        <f>IF(linkedPage!I10=0,"",linkedPage!I10)</f>
        <v>Med</v>
      </c>
      <c r="J10" s="5" t="str">
        <f>IF(linkedPage!J10=0,"",linkedPage!J10)</f>
        <v>Med</v>
      </c>
      <c r="K10" s="5" t="str">
        <f>IF(linkedPage!K10=0,"",linkedPage!K10)</f>
        <v>Med</v>
      </c>
      <c r="L10" s="5" t="str">
        <f>IF(linkedPage!L10=0,"",linkedPage!L10)</f>
        <v>Med</v>
      </c>
      <c r="M10" s="7" t="str">
        <f>IF(linkedPage!M10=0,"",linkedPage!M10)</f>
        <v/>
      </c>
      <c r="N10" s="7" t="str">
        <f>IF(linkedPage!N10=0,"",linkedPage!N10)</f>
        <v/>
      </c>
      <c r="O10" s="7" t="str">
        <f>IF(linkedPage!O10=0,"",linkedPage!O10)</f>
        <v/>
      </c>
    </row>
    <row r="11" spans="2:19" s="7" customFormat="1" x14ac:dyDescent="0.25">
      <c r="B11" s="29">
        <f>IF(linkedPage!B11=0,"",linkedPage!B11)</f>
        <v>4</v>
      </c>
      <c r="C11" s="5" t="str">
        <f>IF(linkedPage!C11=0,"",linkedPage!C11)</f>
        <v>Low</v>
      </c>
      <c r="D11" s="5" t="str">
        <f>IF(linkedPage!D11=0,"",linkedPage!D11)</f>
        <v>Low</v>
      </c>
      <c r="E11" s="5" t="str">
        <f>IF(linkedPage!E11=0,"",linkedPage!E11)</f>
        <v>Low</v>
      </c>
      <c r="F11" s="5" t="str">
        <f>IF(linkedPage!F11=0,"",linkedPage!F11)</f>
        <v>Low</v>
      </c>
      <c r="G11" s="5" t="str">
        <f>IF(linkedPage!G11=0,"",linkedPage!G11)</f>
        <v>Low</v>
      </c>
      <c r="H11" s="5" t="str">
        <f>IF(linkedPage!H11=0,"",linkedPage!H11)</f>
        <v>Low</v>
      </c>
      <c r="I11" s="5" t="str">
        <f>IF(linkedPage!I11=0,"",linkedPage!I11)</f>
        <v>Low</v>
      </c>
      <c r="J11" s="5" t="str">
        <f>IF(linkedPage!J11=0,"",linkedPage!J11)</f>
        <v>Med</v>
      </c>
      <c r="K11" s="5" t="str">
        <f>IF(linkedPage!K11=0,"",linkedPage!K11)</f>
        <v>Med</v>
      </c>
      <c r="L11" s="5" t="str">
        <f>IF(linkedPage!L11=0,"",linkedPage!L11)</f>
        <v>Med</v>
      </c>
      <c r="M11" s="7" t="str">
        <f>IF(linkedPage!M11=0,"",linkedPage!M11)</f>
        <v/>
      </c>
      <c r="N11" s="15" t="str">
        <f>IF(linkedPage!N11=0,"",linkedPage!N11)</f>
        <v>Low</v>
      </c>
      <c r="O11" s="17" t="str">
        <f>IF(linkedPage!O11=0,"",linkedPage!O11)</f>
        <v>Tolerable, no engineer action required</v>
      </c>
    </row>
    <row r="12" spans="2:19" s="7" customFormat="1" x14ac:dyDescent="0.25">
      <c r="B12" s="29">
        <f>IF(linkedPage!B12=0,"",linkedPage!B12)</f>
        <v>3</v>
      </c>
      <c r="C12" s="5" t="str">
        <f>IF(linkedPage!C12=0,"",linkedPage!C12)</f>
        <v>Low</v>
      </c>
      <c r="D12" s="5" t="str">
        <f>IF(linkedPage!D12=0,"",linkedPage!D12)</f>
        <v>Low</v>
      </c>
      <c r="E12" s="5" t="str">
        <f>IF(linkedPage!E12=0,"",linkedPage!E12)</f>
        <v>Low</v>
      </c>
      <c r="F12" s="5" t="str">
        <f>IF(linkedPage!F12=0,"",linkedPage!F12)</f>
        <v>Low</v>
      </c>
      <c r="G12" s="5" t="str">
        <f>IF(linkedPage!G12=0,"",linkedPage!G12)</f>
        <v>Low</v>
      </c>
      <c r="H12" s="5" t="str">
        <f>IF(linkedPage!H12=0,"",linkedPage!H12)</f>
        <v>Low</v>
      </c>
      <c r="I12" s="5" t="str">
        <f>IF(linkedPage!I12=0,"",linkedPage!I12)</f>
        <v>Low</v>
      </c>
      <c r="J12" s="5" t="str">
        <f>IF(linkedPage!J12=0,"",linkedPage!J12)</f>
        <v>Low</v>
      </c>
      <c r="K12" s="5" t="str">
        <f>IF(linkedPage!K12=0,"",linkedPage!K12)</f>
        <v>Med</v>
      </c>
      <c r="L12" s="5" t="str">
        <f>IF(linkedPage!L12=0,"",linkedPage!L12)</f>
        <v>Med</v>
      </c>
      <c r="M12" s="7" t="str">
        <f>IF(linkedPage!M12=0,"",linkedPage!M12)</f>
        <v/>
      </c>
      <c r="N12" s="13" t="str">
        <f>IF(linkedPage!N12=0,"",linkedPage!N12)</f>
        <v>Med</v>
      </c>
      <c r="O12" s="17" t="str">
        <f>IF(linkedPage!O12=0,"",linkedPage!O12)</f>
        <v>Undesirable, consider engineer actions to mitigate risk</v>
      </c>
    </row>
    <row r="13" spans="2:19" s="7" customFormat="1" x14ac:dyDescent="0.25">
      <c r="B13" s="29">
        <f>IF(linkedPage!B13=0,"",linkedPage!B13)</f>
        <v>2</v>
      </c>
      <c r="C13" s="5" t="str">
        <f>IF(linkedPage!C13=0,"",linkedPage!C13)</f>
        <v>Low</v>
      </c>
      <c r="D13" s="5" t="str">
        <f>IF(linkedPage!D13=0,"",linkedPage!D13)</f>
        <v>Low</v>
      </c>
      <c r="E13" s="5" t="str">
        <f>IF(linkedPage!E13=0,"",linkedPage!E13)</f>
        <v>Low</v>
      </c>
      <c r="F13" s="5" t="str">
        <f>IF(linkedPage!F13=0,"",linkedPage!F13)</f>
        <v>Low</v>
      </c>
      <c r="G13" s="5" t="str">
        <f>IF(linkedPage!G13=0,"",linkedPage!G13)</f>
        <v>Low</v>
      </c>
      <c r="H13" s="5" t="str">
        <f>IF(linkedPage!H13=0,"",linkedPage!H13)</f>
        <v>Low</v>
      </c>
      <c r="I13" s="5" t="str">
        <f>IF(linkedPage!I13=0,"",linkedPage!I13)</f>
        <v>Low</v>
      </c>
      <c r="J13" s="5" t="str">
        <f>IF(linkedPage!J13=0,"",linkedPage!J13)</f>
        <v>Low</v>
      </c>
      <c r="K13" s="5" t="str">
        <f>IF(linkedPage!K13=0,"",linkedPage!K13)</f>
        <v>Low</v>
      </c>
      <c r="L13" s="5" t="str">
        <f>IF(linkedPage!L13=0,"",linkedPage!L13)</f>
        <v>Med</v>
      </c>
      <c r="M13" s="7" t="str">
        <f>IF(linkedPage!M13=0,"",linkedPage!M13)</f>
        <v/>
      </c>
      <c r="N13" s="16" t="str">
        <f>IF(linkedPage!N13=0,"",linkedPage!N13)</f>
        <v>High</v>
      </c>
      <c r="O13" s="17" t="str">
        <f>IF(linkedPage!O13=0,"",linkedPage!O13)</f>
        <v>Intolerable, engineering action required</v>
      </c>
    </row>
    <row r="14" spans="2:19" s="7" customFormat="1" x14ac:dyDescent="0.25">
      <c r="B14" s="29">
        <f>IF(linkedPage!B14=0,"",linkedPage!B14)</f>
        <v>1</v>
      </c>
      <c r="C14" s="5" t="str">
        <f>IF(linkedPage!C14=0,"",linkedPage!C14)</f>
        <v>Low</v>
      </c>
      <c r="D14" s="5" t="str">
        <f>IF(linkedPage!D14=0,"",linkedPage!D14)</f>
        <v>Low</v>
      </c>
      <c r="E14" s="5" t="str">
        <f>IF(linkedPage!E14=0,"",linkedPage!E14)</f>
        <v>Low</v>
      </c>
      <c r="F14" s="5" t="str">
        <f>IF(linkedPage!F14=0,"",linkedPage!F14)</f>
        <v>Low</v>
      </c>
      <c r="G14" s="5" t="str">
        <f>IF(linkedPage!G14=0,"",linkedPage!G14)</f>
        <v>Low</v>
      </c>
      <c r="H14" s="5" t="str">
        <f>IF(linkedPage!H14=0,"",linkedPage!H14)</f>
        <v>Low</v>
      </c>
      <c r="I14" s="5" t="str">
        <f>IF(linkedPage!I14=0,"",linkedPage!I14)</f>
        <v>Low</v>
      </c>
      <c r="J14" s="5" t="str">
        <f>IF(linkedPage!J14=0,"",linkedPage!J14)</f>
        <v>Low</v>
      </c>
      <c r="K14" s="5" t="str">
        <f>IF(linkedPage!K14=0,"",linkedPage!K14)</f>
        <v>Low</v>
      </c>
      <c r="L14" s="5" t="str">
        <f>IF(linkedPage!L14=0,"",linkedPage!L14)</f>
        <v>Low</v>
      </c>
      <c r="M14" s="7" t="str">
        <f>IF(linkedPage!M14=0,"",linkedPage!M14)</f>
        <v/>
      </c>
      <c r="N14" t="str">
        <f>IF(linkedPage!N14=0,"",linkedPage!N14)</f>
        <v/>
      </c>
      <c r="O14" s="7" t="str">
        <f>IF(linkedPage!O14=0,"",linkedPage!O14)</f>
        <v/>
      </c>
    </row>
    <row r="16" spans="2:19" ht="19.5" thickBot="1" x14ac:dyDescent="0.35">
      <c r="B16" s="42" t="str">
        <f>IF(linkedPage!B16=0,"",linkedPage!B16)</f>
        <v>Occurrence</v>
      </c>
      <c r="C16" s="43"/>
      <c r="D16" s="43"/>
      <c r="E16" s="43"/>
      <c r="F16" s="43"/>
      <c r="H16" s="42" t="str">
        <f>IF(linkedPage!H16=0,"",linkedPage!H16)</f>
        <v>Severity</v>
      </c>
      <c r="I16" s="43"/>
      <c r="J16" s="43"/>
      <c r="K16" s="43"/>
      <c r="L16" s="43"/>
      <c r="M16" s="43"/>
      <c r="N16" s="43"/>
      <c r="O16" s="43"/>
      <c r="P16" s="43"/>
      <c r="Q16" s="43"/>
      <c r="R16" s="25"/>
      <c r="S16" s="25"/>
    </row>
    <row r="17" spans="1:23" ht="57" thickBot="1" x14ac:dyDescent="0.35">
      <c r="B17" s="44" t="str">
        <f>IF(linkedPage!B17=0,"",linkedPage!B17)</f>
        <v>Rating</v>
      </c>
      <c r="C17" s="157" t="str">
        <f>IF(linkedPage!C17=0,"",linkedPage!C17)</f>
        <v>Occurrence</v>
      </c>
      <c r="D17" s="158" t="str">
        <f>IF(linkedPage!D17=0,"",linkedPage!D17)</f>
        <v/>
      </c>
      <c r="E17" s="44" t="str">
        <f>IF(linkedPage!E17=0,"",linkedPage!E17)</f>
        <v>Annual Failure Rate</v>
      </c>
      <c r="F17" s="45" t="str">
        <f>IF(linkedPage!F17=0,"",linkedPage!F17)</f>
        <v>Return Period [years]</v>
      </c>
      <c r="G17" s="9"/>
      <c r="H17" s="46" t="str">
        <f>IF(linkedPage!H17=0,"",linkedPage!H17)</f>
        <v>Rating</v>
      </c>
      <c r="I17" s="47" t="str">
        <f>IF(linkedPage!I17=0,"",linkedPage!I17)</f>
        <v>Severity</v>
      </c>
      <c r="J17" s="163" t="str">
        <f>IF(linkedPage!J17=0,"",linkedPage!J17)</f>
        <v>Human Safety</v>
      </c>
      <c r="K17" s="156" t="str">
        <f>IF(linkedPage!K17=0,"",linkedPage!K17)</f>
        <v/>
      </c>
      <c r="L17" s="163" t="str">
        <f>IF(linkedPage!L17=0,"",linkedPage!L17)</f>
        <v>Environment</v>
      </c>
      <c r="M17" s="164" t="str">
        <f>IF(linkedPage!M17=0,"",linkedPage!M17)</f>
        <v/>
      </c>
      <c r="N17" s="155" t="str">
        <f>IF(linkedPage!N17=0,"",linkedPage!N17)</f>
        <v>WEC Operation</v>
      </c>
      <c r="O17" s="156" t="str">
        <f>IF(linkedPage!O17=0,"",linkedPage!O17)</f>
        <v/>
      </c>
      <c r="P17" s="159" t="str">
        <f>IF(linkedPage!P17=0,"",linkedPage!P17)</f>
        <v xml:space="preserve">Assets </v>
      </c>
      <c r="Q17" s="160" t="str">
        <f>IF(linkedPage!Q17=0,"",linkedPage!Q17)</f>
        <v/>
      </c>
      <c r="R17" s="26"/>
      <c r="S17" s="25"/>
    </row>
    <row r="18" spans="1:23" ht="42.75" customHeight="1" x14ac:dyDescent="0.25">
      <c r="A18" s="7"/>
      <c r="B18" s="12">
        <f>IF(linkedPage!B18=0,"",linkedPage!B18)</f>
        <v>1</v>
      </c>
      <c r="C18" s="167" t="str">
        <f>IF(linkedPage!C18=0,"",linkedPage!C18)</f>
        <v>Exceptionally unlikely to occur</v>
      </c>
      <c r="D18" s="168" t="str">
        <f>IF(linkedPage!D18=0,"",linkedPage!D18)</f>
        <v/>
      </c>
      <c r="E18" s="30">
        <f>IF(linkedPage!E18=0,"",linkedPage!E18)</f>
        <v>1.0000000000000001E-5</v>
      </c>
      <c r="F18" s="38">
        <f>IF(linkedPage!F18=0,"",linkedPage!F18)</f>
        <v>100000</v>
      </c>
      <c r="G18" s="9"/>
      <c r="H18" s="24">
        <f>IF(linkedPage!H18=0,"",linkedPage!H18)</f>
        <v>1</v>
      </c>
      <c r="I18" s="22" t="str">
        <f>IF(linkedPage!I18=0,"",linkedPage!I18)</f>
        <v>Insignificant</v>
      </c>
      <c r="J18" s="143" t="str">
        <f>IF(linkedPage!J18=0,"",linkedPage!J18)</f>
        <v>Negligible injury, effect on health (e.g. band aid)</v>
      </c>
      <c r="K18" s="162" t="str">
        <f>IF(linkedPage!K18=0,"",linkedPage!K18)</f>
        <v/>
      </c>
      <c r="L18" s="143" t="str">
        <f>IF(linkedPage!L18=0,"",linkedPage!L18)</f>
        <v>Negligible pollution or no effect on environment</v>
      </c>
      <c r="M18" s="144" t="str">
        <f>IF(linkedPage!M18=0,"",linkedPage!M18)</f>
        <v/>
      </c>
      <c r="N18" s="161" t="str">
        <f>IF(linkedPage!N18=0,"",linkedPage!N18)</f>
        <v>Negligible effect on performance</v>
      </c>
      <c r="O18" s="162" t="str">
        <f>IF(linkedPage!O18=0,"",linkedPage!O18)</f>
        <v/>
      </c>
      <c r="P18" s="143" t="str">
        <f>IF(linkedPage!P18=0,"",linkedPage!P18)</f>
        <v>Negligible</v>
      </c>
      <c r="Q18" s="144" t="str">
        <f>IF(linkedPage!Q18=0,"",linkedPage!Q18)</f>
        <v/>
      </c>
      <c r="R18" s="27"/>
      <c r="S18" s="25"/>
      <c r="U18" s="7"/>
    </row>
    <row r="19" spans="1:23" ht="42.75" customHeight="1" x14ac:dyDescent="0.25">
      <c r="A19" s="7"/>
      <c r="B19" s="10">
        <f>IF(linkedPage!B19=0,"",linkedPage!B19)</f>
        <v>2</v>
      </c>
      <c r="C19" s="149" t="str">
        <f>IF(linkedPage!C19=0,"",linkedPage!C19)</f>
        <v/>
      </c>
      <c r="D19" s="150" t="str">
        <f>IF(linkedPage!D19=0,"",linkedPage!D19)</f>
        <v/>
      </c>
      <c r="E19" s="31">
        <f>IF(linkedPage!E19=0,"",linkedPage!E19)</f>
        <v>3.1622776601683789E-5</v>
      </c>
      <c r="F19" s="39">
        <f>IF(linkedPage!F19=0,"",linkedPage!F19)</f>
        <v>31600</v>
      </c>
      <c r="G19" s="9"/>
      <c r="H19" s="10">
        <f>IF(linkedPage!H19=0,"",linkedPage!H19)</f>
        <v>2</v>
      </c>
      <c r="I19" s="23" t="str">
        <f>IF(linkedPage!I19=0,"",linkedPage!I19)</f>
        <v/>
      </c>
      <c r="J19" s="145" t="str">
        <f>IF(linkedPage!J19=0,"",linkedPage!J19)</f>
        <v/>
      </c>
      <c r="K19" s="140" t="str">
        <f>IF(linkedPage!K19=0,"",linkedPage!K19)</f>
        <v/>
      </c>
      <c r="L19" s="145" t="str">
        <f>IF(linkedPage!L19=0,"",linkedPage!L19)</f>
        <v/>
      </c>
      <c r="M19" s="146" t="str">
        <f>IF(linkedPage!M19=0,"",linkedPage!M19)</f>
        <v/>
      </c>
      <c r="N19" s="139" t="str">
        <f>IF(linkedPage!N19=0,"",linkedPage!N19)</f>
        <v/>
      </c>
      <c r="O19" s="140" t="str">
        <f>IF(linkedPage!O19=0,"",linkedPage!O19)</f>
        <v/>
      </c>
      <c r="P19" s="145" t="str">
        <f>IF(linkedPage!P19=0,"",linkedPage!P19)</f>
        <v>[1.5k USD]</v>
      </c>
      <c r="Q19" s="146" t="str">
        <f>IF(linkedPage!Q19=0,"",linkedPage!Q19)</f>
        <v/>
      </c>
      <c r="R19" s="27"/>
      <c r="S19" s="25"/>
    </row>
    <row r="20" spans="1:23" ht="42.75" customHeight="1" x14ac:dyDescent="0.25">
      <c r="A20" s="7"/>
      <c r="B20" s="10">
        <f>IF(linkedPage!B20=0,"",linkedPage!B20)</f>
        <v>3</v>
      </c>
      <c r="C20" s="149" t="str">
        <f>IF(linkedPage!C20=0,"",linkedPage!C20)</f>
        <v>Extremely unlikely to occur</v>
      </c>
      <c r="D20" s="150" t="str">
        <f>IF(linkedPage!D20=0,"",linkedPage!D20)</f>
        <v/>
      </c>
      <c r="E20" s="32">
        <f>IF(linkedPage!E20=0,"",linkedPage!E20)</f>
        <v>1E-4</v>
      </c>
      <c r="F20" s="39">
        <f>IF(linkedPage!F20=0,"",linkedPage!F20)</f>
        <v>10000</v>
      </c>
      <c r="G20" s="9"/>
      <c r="H20" s="10">
        <f>IF(linkedPage!H20=0,"",linkedPage!H20)</f>
        <v>3</v>
      </c>
      <c r="I20" s="23" t="str">
        <f>IF(linkedPage!I20=0,"",linkedPage!I20)</f>
        <v>Minor</v>
      </c>
      <c r="J20" s="145" t="str">
        <f>IF(linkedPage!J20=0,"",linkedPage!J20)</f>
        <v>Minor injuries, health effects (e.g. stitches)</v>
      </c>
      <c r="K20" s="140" t="str">
        <f>IF(linkedPage!K20=0,"",linkedPage!K20)</f>
        <v/>
      </c>
      <c r="L20" s="145" t="str">
        <f>IF(linkedPage!L20=0,"",linkedPage!L20)</f>
        <v>Minor pollution / slight effect on environment (min disruption on marine life)</v>
      </c>
      <c r="M20" s="146" t="str">
        <f>IF(linkedPage!M20=0,"",linkedPage!M20)</f>
        <v/>
      </c>
      <c r="N20" s="139" t="str">
        <f>IF(linkedPage!N20=0,"",linkedPage!N20)</f>
        <v>Minor system degradation</v>
      </c>
      <c r="O20" s="140" t="str">
        <f>IF(linkedPage!O20=0,"",linkedPage!O20)</f>
        <v/>
      </c>
      <c r="P20" s="145" t="str">
        <f>IF(linkedPage!P20=0,"",linkedPage!P20)</f>
        <v>Repairable in-situ, at next maintenance interval 
[5k USD]</v>
      </c>
      <c r="Q20" s="146" t="str">
        <f>IF(linkedPage!Q20=0,"",linkedPage!Q20)</f>
        <v/>
      </c>
      <c r="R20" s="27"/>
      <c r="S20" s="25"/>
      <c r="U20" s="7"/>
    </row>
    <row r="21" spans="1:23" ht="42.75" customHeight="1" x14ac:dyDescent="0.25">
      <c r="A21" s="7"/>
      <c r="B21" s="10">
        <f>IF(linkedPage!B21=0,"",linkedPage!B21)</f>
        <v>4</v>
      </c>
      <c r="C21" s="149" t="str">
        <f>IF(linkedPage!C21=0,"",linkedPage!C21)</f>
        <v/>
      </c>
      <c r="D21" s="150" t="str">
        <f>IF(linkedPage!D21=0,"",linkedPage!D21)</f>
        <v/>
      </c>
      <c r="E21" s="32">
        <f>IF(linkedPage!E21=0,"",linkedPage!E21)</f>
        <v>3.1622776601683789E-4</v>
      </c>
      <c r="F21" s="39">
        <f>IF(linkedPage!F21=0,"",linkedPage!F21)</f>
        <v>3160</v>
      </c>
      <c r="G21" s="9"/>
      <c r="H21" s="10">
        <f>IF(linkedPage!H21=0,"",linkedPage!H21)</f>
        <v>4</v>
      </c>
      <c r="I21" s="23" t="str">
        <f>IF(linkedPage!I21=0,"",linkedPage!I21)</f>
        <v/>
      </c>
      <c r="J21" s="145" t="str">
        <f>IF(linkedPage!J21=0,"",linkedPage!J21)</f>
        <v>Moderate injuries and/or health effects (e.g. broken bone)</v>
      </c>
      <c r="K21" s="140" t="str">
        <f>IF(linkedPage!K21=0,"",linkedPage!K21)</f>
        <v/>
      </c>
      <c r="L21" s="145" t="str">
        <f>IF(linkedPage!L21=0,"",linkedPage!L21)</f>
        <v/>
      </c>
      <c r="M21" s="146" t="str">
        <f>IF(linkedPage!M21=0,"",linkedPage!M21)</f>
        <v/>
      </c>
      <c r="N21" s="139" t="str">
        <f>IF(linkedPage!N21=0,"",linkedPage!N21)</f>
        <v>Moderate system degradation (e.g. loss of MoMo)</v>
      </c>
      <c r="O21" s="140" t="str">
        <f>IF(linkedPage!O21=0,"",linkedPage!O21)</f>
        <v/>
      </c>
      <c r="P21" s="145" t="str">
        <f>IF(linkedPage!P21=0,"",linkedPage!P21)</f>
        <v>Repairable in-situ, outside maintenance interval 
(1 day) [15k USD]</v>
      </c>
      <c r="Q21" s="146" t="str">
        <f>IF(linkedPage!Q21=0,"",linkedPage!Q21)</f>
        <v/>
      </c>
      <c r="R21" s="27"/>
      <c r="S21" s="25"/>
      <c r="U21" s="7"/>
    </row>
    <row r="22" spans="1:23" ht="42.75" customHeight="1" x14ac:dyDescent="0.25">
      <c r="A22" s="7"/>
      <c r="B22" s="10">
        <f>IF(linkedPage!B22=0,"",linkedPage!B22)</f>
        <v>5</v>
      </c>
      <c r="C22" s="149" t="str">
        <f>IF(linkedPage!C22=0,"",linkedPage!C22)</f>
        <v>Very unlikely to occur</v>
      </c>
      <c r="D22" s="150" t="str">
        <f>IF(linkedPage!D22=0,"",linkedPage!D22)</f>
        <v/>
      </c>
      <c r="E22" s="33">
        <f>IF(linkedPage!E22=0,"",linkedPage!E22)</f>
        <v>1E-3</v>
      </c>
      <c r="F22" s="39">
        <f>IF(linkedPage!F22=0,"",linkedPage!F22)</f>
        <v>1000</v>
      </c>
      <c r="G22" s="9"/>
      <c r="H22" s="10">
        <f>IF(linkedPage!H22=0,"",linkedPage!H22)</f>
        <v>5</v>
      </c>
      <c r="I22" s="23" t="str">
        <f>IF(linkedPage!I22=0,"",linkedPage!I22)</f>
        <v>Major</v>
      </c>
      <c r="J22" s="145" t="str">
        <f>IF(linkedPage!J22=0,"",linkedPage!J22)</f>
        <v/>
      </c>
      <c r="K22" s="140" t="str">
        <f>IF(linkedPage!K22=0,"",linkedPage!K22)</f>
        <v/>
      </c>
      <c r="L22" s="145" t="str">
        <f>IF(linkedPage!L22=0,"",linkedPage!L22)</f>
        <v>Limited levels of pollution, manageable / moderate effect on environment</v>
      </c>
      <c r="M22" s="146" t="str">
        <f>IF(linkedPage!M22=0,"",linkedPage!M22)</f>
        <v/>
      </c>
      <c r="N22" s="139" t="str">
        <f>IF(linkedPage!N22=0,"",linkedPage!N22)</f>
        <v/>
      </c>
      <c r="O22" s="140" t="str">
        <f>IF(linkedPage!O22=0,"",linkedPage!O22)</f>
        <v/>
      </c>
      <c r="P22" s="145" t="str">
        <f>IF(linkedPage!P22=0,"",linkedPage!P22)</f>
        <v>Repairable in-situ, outside maintenance interval 
(1 week) [50k USD]</v>
      </c>
      <c r="Q22" s="146" t="str">
        <f>IF(linkedPage!Q22=0,"",linkedPage!Q22)</f>
        <v/>
      </c>
      <c r="R22" s="27"/>
      <c r="S22" s="25"/>
      <c r="T22" s="7"/>
      <c r="U22" s="7"/>
    </row>
    <row r="23" spans="1:23" ht="42.75" customHeight="1" x14ac:dyDescent="0.25">
      <c r="A23" s="7"/>
      <c r="B23" s="10">
        <f>IF(linkedPage!B23=0,"",linkedPage!B23)</f>
        <v>6</v>
      </c>
      <c r="C23" s="149" t="str">
        <f>IF(linkedPage!C23=0,"",linkedPage!C23)</f>
        <v/>
      </c>
      <c r="D23" s="150" t="str">
        <f>IF(linkedPage!D23=0,"",linkedPage!D23)</f>
        <v/>
      </c>
      <c r="E23" s="33">
        <f>IF(linkedPage!E23=0,"",linkedPage!E23)</f>
        <v>3.162277660168379E-3</v>
      </c>
      <c r="F23" s="39">
        <f>IF(linkedPage!F23=0,"",linkedPage!F23)</f>
        <v>316</v>
      </c>
      <c r="G23" s="9"/>
      <c r="H23" s="10">
        <f>IF(linkedPage!H23=0,"",linkedPage!H23)</f>
        <v>6</v>
      </c>
      <c r="I23" s="23" t="str">
        <f>IF(linkedPage!I23=0,"",linkedPage!I23)</f>
        <v/>
      </c>
      <c r="J23" s="145" t="str">
        <f>IF(linkedPage!J23=0,"",linkedPage!J23)</f>
        <v/>
      </c>
      <c r="K23" s="140" t="str">
        <f>IF(linkedPage!K23=0,"",linkedPage!K23)</f>
        <v/>
      </c>
      <c r="L23" s="145" t="str">
        <f>IF(linkedPage!L23=0,"",linkedPage!L23)</f>
        <v/>
      </c>
      <c r="M23" s="146" t="str">
        <f>IF(linkedPage!M23=0,"",linkedPage!M23)</f>
        <v/>
      </c>
      <c r="N23" s="139" t="str">
        <f>IF(linkedPage!N23=0,"",linkedPage!N23)</f>
        <v>Major system degradation or loss of operation for 1 month</v>
      </c>
      <c r="O23" s="140" t="str">
        <f>IF(linkedPage!O23=0,"",linkedPage!O23)</f>
        <v/>
      </c>
      <c r="P23" s="145" t="str">
        <f>IF(linkedPage!P23=0,"",linkedPage!P23)</f>
        <v>[150k USD]</v>
      </c>
      <c r="Q23" s="146" t="str">
        <f>IF(linkedPage!Q23=0,"",linkedPage!Q23)</f>
        <v/>
      </c>
      <c r="R23" s="27"/>
      <c r="S23" s="27"/>
      <c r="T23" s="7"/>
      <c r="U23" s="7"/>
    </row>
    <row r="24" spans="1:23" ht="42.75" customHeight="1" x14ac:dyDescent="0.25">
      <c r="B24" s="10">
        <f>IF(linkedPage!B24=0,"",linkedPage!B24)</f>
        <v>7</v>
      </c>
      <c r="C24" s="149" t="str">
        <f>IF(linkedPage!C24=0,"",linkedPage!C24)</f>
        <v>Rarely expected to occur</v>
      </c>
      <c r="D24" s="150" t="str">
        <f>IF(linkedPage!D24=0,"",linkedPage!D24)</f>
        <v/>
      </c>
      <c r="E24" s="34">
        <f>IF(linkedPage!E24=0,"",linkedPage!E24)</f>
        <v>0.01</v>
      </c>
      <c r="F24" s="39">
        <f>IF(linkedPage!F24=0,"",linkedPage!F24)</f>
        <v>100</v>
      </c>
      <c r="G24" s="9"/>
      <c r="H24" s="10">
        <f>IF(linkedPage!H24=0,"",linkedPage!H24)</f>
        <v>7</v>
      </c>
      <c r="I24" s="23" t="str">
        <f>IF(linkedPage!I24=0,"",linkedPage!I24)</f>
        <v>Critical</v>
      </c>
      <c r="J24" s="145" t="str">
        <f>IF(linkedPage!J24=0,"",linkedPage!J24)</f>
        <v>Hospitalization (with full recovery)</v>
      </c>
      <c r="K24" s="140" t="str">
        <f>IF(linkedPage!K24=0,"",linkedPage!K24)</f>
        <v/>
      </c>
      <c r="L24" s="145" t="str">
        <f>IF(linkedPage!L24=0,"",linkedPage!L24)</f>
        <v>Moderate pollution (some clean-up costs) / Serious effect on environment</v>
      </c>
      <c r="M24" s="146" t="str">
        <f>IF(linkedPage!M24=0,"",linkedPage!M24)</f>
        <v/>
      </c>
      <c r="N24" s="139" t="str">
        <f>IF(linkedPage!N24=0,"",linkedPage!N24)</f>
        <v>Major system degradation or loss of operation for 3 months</v>
      </c>
      <c r="O24" s="140" t="str">
        <f>IF(linkedPage!O24=0,"",linkedPage!O24)</f>
        <v/>
      </c>
      <c r="P24" s="145" t="str">
        <f>IF(linkedPage!P24=0,"",linkedPage!P24)</f>
        <v>Dry dock required for repair
[500k USD]</v>
      </c>
      <c r="Q24" s="146" t="str">
        <f>IF(linkedPage!Q24=0,"",linkedPage!Q24)</f>
        <v/>
      </c>
      <c r="R24" s="27"/>
      <c r="S24" s="27"/>
      <c r="T24" s="7"/>
      <c r="U24" s="7"/>
    </row>
    <row r="25" spans="1:23" ht="42.75" customHeight="1" x14ac:dyDescent="0.25">
      <c r="B25" s="10">
        <f>IF(linkedPage!B25=0,"",linkedPage!B25)</f>
        <v>8</v>
      </c>
      <c r="C25" s="149" t="str">
        <f>IF(linkedPage!C25=0,"",linkedPage!C25)</f>
        <v/>
      </c>
      <c r="D25" s="150" t="str">
        <f>IF(linkedPage!D25=0,"",linkedPage!D25)</f>
        <v/>
      </c>
      <c r="E25" s="34">
        <f>IF(linkedPage!E25=0,"",linkedPage!E25)</f>
        <v>3.1622776601683791E-2</v>
      </c>
      <c r="F25" s="39">
        <f>IF(linkedPage!F25=0,"",linkedPage!F25)</f>
        <v>31.6</v>
      </c>
      <c r="G25" s="9"/>
      <c r="H25" s="10">
        <f>IF(linkedPage!H25=0,"",linkedPage!H25)</f>
        <v>8</v>
      </c>
      <c r="I25" s="23" t="str">
        <f>IF(linkedPage!I25=0,"",linkedPage!I25)</f>
        <v/>
      </c>
      <c r="J25" s="145" t="str">
        <f>IF(linkedPage!J25=0,"",linkedPage!J25)</f>
        <v/>
      </c>
      <c r="K25" s="140" t="str">
        <f>IF(linkedPage!K25=0,"",linkedPage!K25)</f>
        <v/>
      </c>
      <c r="L25" s="145" t="str">
        <f>IF(linkedPage!L25=0,"",linkedPage!L25)</f>
        <v/>
      </c>
      <c r="M25" s="146" t="str">
        <f>IF(linkedPage!M25=0,"",linkedPage!M25)</f>
        <v/>
      </c>
      <c r="N25" s="139" t="str">
        <f>IF(linkedPage!N25=0,"",linkedPage!N25)</f>
        <v>Critical system degradation or loss of operation for 6 months</v>
      </c>
      <c r="O25" s="140" t="str">
        <f>IF(linkedPage!O25=0,"",linkedPage!O25)</f>
        <v/>
      </c>
      <c r="P25" s="145" t="str">
        <f>IF(linkedPage!P25=0,"",linkedPage!P25)</f>
        <v>[1.5M USD]</v>
      </c>
      <c r="Q25" s="146" t="str">
        <f>IF(linkedPage!Q25=0,"",linkedPage!Q25)</f>
        <v/>
      </c>
      <c r="R25" s="27"/>
      <c r="S25" s="27"/>
      <c r="T25" s="7"/>
      <c r="U25" s="7"/>
    </row>
    <row r="26" spans="1:23" ht="42.75" customHeight="1" x14ac:dyDescent="0.25">
      <c r="B26" s="10">
        <f>IF(linkedPage!B26=0,"",linkedPage!B26)</f>
        <v>9</v>
      </c>
      <c r="C26" s="149" t="str">
        <f>IF(linkedPage!C26=0,"",linkedPage!C26)</f>
        <v>One or more during 20 yr lifetime</v>
      </c>
      <c r="D26" s="150" t="str">
        <f>IF(linkedPage!D26=0,"",linkedPage!D26)</f>
        <v/>
      </c>
      <c r="E26" s="35">
        <f>IF(linkedPage!E26=0,"",linkedPage!E26)</f>
        <v>0.1</v>
      </c>
      <c r="F26" s="39">
        <f>IF(linkedPage!F26=0,"",linkedPage!F26)</f>
        <v>10</v>
      </c>
      <c r="G26" s="9"/>
      <c r="H26" s="10">
        <f>IF(linkedPage!H26=0,"",linkedPage!H26)</f>
        <v>9</v>
      </c>
      <c r="I26" s="23" t="str">
        <f>IF(linkedPage!I26=0,"",linkedPage!I26)</f>
        <v>Catastrophic</v>
      </c>
      <c r="J26" s="145" t="str">
        <f>IF(linkedPage!J26=0,"",linkedPage!J26)</f>
        <v>Hospitalization (with lasting disabilities)</v>
      </c>
      <c r="K26" s="140" t="str">
        <f>IF(linkedPage!K26=0,"",linkedPage!K26)</f>
        <v/>
      </c>
      <c r="L26" s="145" t="str">
        <f>IF(linkedPage!L26=0,"",linkedPage!L26)</f>
        <v>Major pollution (significant clean-up costs) / disastrous effects on the environment</v>
      </c>
      <c r="M26" s="146" t="str">
        <f>IF(linkedPage!M26=0,"",linkedPage!M26)</f>
        <v/>
      </c>
      <c r="N26" s="139" t="str">
        <f>IF(linkedPage!N26=0,"",linkedPage!N26)</f>
        <v>Failure to generate power for remainder of project, complete failure</v>
      </c>
      <c r="O26" s="140" t="str">
        <f>IF(linkedPage!O26=0,"",linkedPage!O26)</f>
        <v/>
      </c>
      <c r="P26" s="145" t="str">
        <f>IF(linkedPage!P26=0,"",linkedPage!P26)</f>
        <v>Loss of device
[5M USD]</v>
      </c>
      <c r="Q26" s="146" t="str">
        <f>IF(linkedPage!Q26=0,"",linkedPage!Q26)</f>
        <v/>
      </c>
      <c r="R26" s="28"/>
      <c r="S26" s="28"/>
      <c r="T26" s="7"/>
      <c r="U26" s="7"/>
    </row>
    <row r="27" spans="1:23" ht="42.75" customHeight="1" thickBot="1" x14ac:dyDescent="0.3">
      <c r="A27" s="7"/>
      <c r="B27" s="11">
        <f>IF(linkedPage!B27=0,"",linkedPage!B27)</f>
        <v>10</v>
      </c>
      <c r="C27" s="151" t="str">
        <f>IF(linkedPage!C27=0,"",linkedPage!C27)</f>
        <v/>
      </c>
      <c r="D27" s="152" t="str">
        <f>IF(linkedPage!D27=0,"",linkedPage!D27)</f>
        <v/>
      </c>
      <c r="E27" s="36">
        <f>IF(linkedPage!E27=0,"",linkedPage!E27)</f>
        <v>0.31622776601683794</v>
      </c>
      <c r="F27" s="40">
        <f>IF(linkedPage!F27=0,"",linkedPage!F27)</f>
        <v>3.16</v>
      </c>
      <c r="G27" s="9"/>
      <c r="H27" s="11">
        <f>IF(linkedPage!H27=0,"",linkedPage!H27)</f>
        <v>10</v>
      </c>
      <c r="I27" s="37" t="str">
        <f>IF(linkedPage!I27=0,"",linkedPage!I27)</f>
        <v/>
      </c>
      <c r="J27" s="153" t="str">
        <f>IF(linkedPage!J27=0,"",linkedPage!J27)</f>
        <v>A fatality</v>
      </c>
      <c r="K27" s="154" t="str">
        <f>IF(linkedPage!K27=0,"",linkedPage!K27)</f>
        <v/>
      </c>
      <c r="L27" s="147" t="str">
        <f>IF(linkedPage!L27=0,"",linkedPage!L27)</f>
        <v/>
      </c>
      <c r="M27" s="148" t="str">
        <f>IF(linkedPage!M27=0,"",linkedPage!M27)</f>
        <v/>
      </c>
      <c r="N27" s="141" t="str">
        <f>IF(linkedPage!N27=0,"",linkedPage!N27)</f>
        <v/>
      </c>
      <c r="O27" s="142" t="str">
        <f>IF(linkedPage!O27=0,"",linkedPage!O27)</f>
        <v/>
      </c>
      <c r="P27" s="147" t="str">
        <f>IF(linkedPage!P27=0,"",linkedPage!P27)</f>
        <v/>
      </c>
      <c r="Q27" s="148" t="str">
        <f>IF(linkedPage!Q27=0,"",linkedPage!Q27)</f>
        <v/>
      </c>
      <c r="R27" s="28"/>
      <c r="S27" s="28"/>
    </row>
    <row r="28" spans="1:23" x14ac:dyDescent="0.25">
      <c r="R28" s="25"/>
      <c r="S28" s="25"/>
      <c r="T28" s="7"/>
      <c r="U28" s="7"/>
      <c r="V28" s="7"/>
      <c r="W28" s="7"/>
    </row>
    <row r="29" spans="1:23" ht="15" customHeight="1" x14ac:dyDescent="0.25">
      <c r="S29" s="7"/>
      <c r="T29" s="7"/>
      <c r="U29" s="7"/>
      <c r="V29" s="7"/>
      <c r="W29" s="7"/>
    </row>
    <row r="34" spans="2:26" x14ac:dyDescent="0.25">
      <c r="B34" s="52"/>
    </row>
    <row r="43" spans="2:26" x14ac:dyDescent="0.25">
      <c r="O43"/>
      <c r="X43" s="7"/>
      <c r="Z43" s="7"/>
    </row>
    <row r="44" spans="2:26" ht="15" customHeight="1" x14ac:dyDescent="0.25"/>
    <row r="45" spans="2:26" ht="15.75" x14ac:dyDescent="0.25">
      <c r="C45" s="21"/>
      <c r="D45" s="21"/>
      <c r="E45" s="21"/>
      <c r="F45" s="21"/>
      <c r="G45" s="21"/>
      <c r="H45" s="21"/>
      <c r="I45" s="21"/>
      <c r="J45" s="21"/>
      <c r="K45" s="21"/>
      <c r="L45" s="21"/>
    </row>
    <row r="46" spans="2:26" ht="16.5" x14ac:dyDescent="0.35">
      <c r="C46" s="20"/>
      <c r="D46" s="20"/>
      <c r="E46" s="20"/>
      <c r="F46" s="20"/>
      <c r="G46" s="20"/>
      <c r="H46" s="20"/>
      <c r="I46" s="20"/>
      <c r="J46" s="20"/>
      <c r="K46" s="20"/>
      <c r="L46" s="20"/>
      <c r="M46" s="8"/>
      <c r="N46" s="8"/>
    </row>
    <row r="47" spans="2:26" ht="16.5" x14ac:dyDescent="0.35">
      <c r="B47" s="14"/>
      <c r="C47" s="14"/>
      <c r="D47" s="14"/>
      <c r="E47" s="14"/>
      <c r="F47" s="14"/>
      <c r="G47" s="14"/>
      <c r="H47" s="14"/>
      <c r="I47" s="14"/>
      <c r="J47" s="14"/>
      <c r="K47" s="14"/>
      <c r="L47" s="14"/>
      <c r="M47" s="8"/>
      <c r="N47" s="8"/>
    </row>
    <row r="48" spans="2:26" ht="16.5" x14ac:dyDescent="0.35">
      <c r="B48" s="14"/>
      <c r="E48" s="7"/>
      <c r="F48" s="7"/>
      <c r="G48" s="7"/>
      <c r="H48" s="7"/>
      <c r="I48" s="7"/>
      <c r="J48" s="7"/>
      <c r="L48" s="7"/>
      <c r="M48" s="8"/>
      <c r="N48" s="8"/>
    </row>
    <row r="49" spans="2:14" customFormat="1" ht="16.5" x14ac:dyDescent="0.35">
      <c r="B49" s="14"/>
      <c r="C49" s="7"/>
      <c r="D49" s="7"/>
      <c r="E49" s="7"/>
      <c r="F49" s="7"/>
      <c r="G49" s="7"/>
      <c r="H49" s="7"/>
      <c r="I49" s="7"/>
      <c r="J49" s="7"/>
      <c r="K49" s="7"/>
      <c r="L49" s="7"/>
      <c r="M49" s="18"/>
      <c r="N49" s="19"/>
    </row>
    <row r="50" spans="2:14" customFormat="1" ht="16.5" x14ac:dyDescent="0.35">
      <c r="B50" s="14"/>
      <c r="C50" s="7"/>
      <c r="D50" s="7"/>
      <c r="E50" s="7"/>
      <c r="F50" s="7"/>
      <c r="G50" s="7"/>
      <c r="H50" s="7"/>
      <c r="I50" s="7"/>
      <c r="J50" s="7"/>
      <c r="K50" s="7"/>
      <c r="L50" s="7"/>
      <c r="M50" s="18"/>
      <c r="N50" s="19"/>
    </row>
    <row r="51" spans="2:14" customFormat="1" x14ac:dyDescent="0.25">
      <c r="B51" s="14"/>
      <c r="C51" s="7"/>
      <c r="D51" s="7"/>
      <c r="E51" s="7"/>
      <c r="F51" s="7"/>
      <c r="G51" s="7"/>
      <c r="H51" s="7"/>
      <c r="I51" s="7"/>
      <c r="J51" s="7"/>
      <c r="K51" s="7"/>
      <c r="L51" s="7"/>
      <c r="M51" s="7"/>
    </row>
    <row r="52" spans="2:14" customFormat="1" x14ac:dyDescent="0.25">
      <c r="B52" s="14"/>
      <c r="C52" s="7"/>
      <c r="D52" s="7"/>
      <c r="E52" s="7"/>
      <c r="F52" s="7"/>
      <c r="G52" s="7"/>
      <c r="H52" s="7"/>
      <c r="I52" s="7"/>
      <c r="J52" s="7"/>
      <c r="K52" s="7"/>
      <c r="L52" s="7"/>
      <c r="M52" s="7"/>
    </row>
    <row r="53" spans="2:14" customFormat="1" x14ac:dyDescent="0.25">
      <c r="B53" s="14"/>
      <c r="C53" s="7"/>
      <c r="D53" s="7"/>
      <c r="E53" s="7"/>
      <c r="F53" s="7"/>
      <c r="G53" s="7"/>
      <c r="H53" s="7"/>
      <c r="I53" s="7"/>
      <c r="J53" s="7"/>
      <c r="K53" s="7"/>
      <c r="L53" s="7"/>
      <c r="M53" s="7"/>
    </row>
    <row r="54" spans="2:14" customFormat="1" x14ac:dyDescent="0.25">
      <c r="B54" s="14"/>
      <c r="C54" s="7"/>
      <c r="D54" s="7"/>
      <c r="E54" s="7"/>
      <c r="F54" s="7"/>
      <c r="G54" s="7"/>
      <c r="H54" s="7"/>
      <c r="I54" s="7"/>
      <c r="J54" s="7"/>
      <c r="K54" s="7"/>
      <c r="L54" s="7"/>
      <c r="M54" s="7"/>
    </row>
    <row r="55" spans="2:14" customFormat="1" x14ac:dyDescent="0.25">
      <c r="B55" s="14"/>
      <c r="C55" s="7"/>
      <c r="D55" s="7"/>
      <c r="E55" s="7"/>
      <c r="F55" s="7"/>
      <c r="G55" s="7"/>
      <c r="H55" s="7"/>
      <c r="I55" s="7"/>
      <c r="J55" s="7"/>
      <c r="K55" s="7"/>
      <c r="L55" s="7"/>
      <c r="M55" s="7"/>
    </row>
    <row r="56" spans="2:14" customFormat="1" x14ac:dyDescent="0.25">
      <c r="B56" s="14"/>
      <c r="C56" s="7"/>
      <c r="D56" s="7"/>
      <c r="E56" s="7"/>
      <c r="F56" s="7"/>
      <c r="G56" s="7"/>
      <c r="H56" s="7"/>
      <c r="I56" s="7"/>
      <c r="J56" s="7"/>
      <c r="K56" s="7"/>
      <c r="L56" s="7"/>
      <c r="M56" s="7"/>
    </row>
    <row r="57" spans="2:14" customFormat="1" x14ac:dyDescent="0.25">
      <c r="B57" s="14"/>
      <c r="C57" s="7"/>
      <c r="D57" s="7"/>
      <c r="E57" s="7"/>
      <c r="F57" s="7"/>
      <c r="G57" s="7"/>
      <c r="H57" s="7"/>
      <c r="I57" s="7"/>
      <c r="J57" s="7"/>
      <c r="K57" s="7"/>
      <c r="L57" s="7"/>
      <c r="M57" s="7"/>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5" sqref="T5"/>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7" t="s">
        <v>38</v>
      </c>
    </row>
    <row r="3" spans="1:20" x14ac:dyDescent="0.25">
      <c r="A3">
        <v>0</v>
      </c>
      <c r="B3">
        <v>0</v>
      </c>
      <c r="C3" t="str">
        <v>Severity</v>
      </c>
      <c r="D3">
        <v>0</v>
      </c>
      <c r="E3">
        <v>0</v>
      </c>
      <c r="F3">
        <v>0</v>
      </c>
      <c r="G3">
        <v>0</v>
      </c>
      <c r="H3">
        <v>0</v>
      </c>
      <c r="I3">
        <v>0</v>
      </c>
      <c r="J3">
        <v>0</v>
      </c>
      <c r="K3">
        <v>0</v>
      </c>
      <c r="L3">
        <v>0</v>
      </c>
      <c r="M3">
        <v>0</v>
      </c>
      <c r="N3">
        <v>0</v>
      </c>
      <c r="O3">
        <v>0</v>
      </c>
      <c r="P3">
        <v>0</v>
      </c>
      <c r="Q3">
        <v>0</v>
      </c>
      <c r="T3" s="49" t="s">
        <v>232</v>
      </c>
    </row>
    <row r="4" spans="1:20" x14ac:dyDescent="0.25">
      <c r="A4">
        <v>0</v>
      </c>
      <c r="B4" t="str">
        <v>Occ</v>
      </c>
      <c r="C4">
        <v>1</v>
      </c>
      <c r="D4">
        <v>2</v>
      </c>
      <c r="E4">
        <v>3</v>
      </c>
      <c r="F4">
        <v>4</v>
      </c>
      <c r="G4">
        <v>5</v>
      </c>
      <c r="H4">
        <v>6</v>
      </c>
      <c r="I4">
        <v>7</v>
      </c>
      <c r="J4">
        <v>8</v>
      </c>
      <c r="K4">
        <v>9</v>
      </c>
      <c r="L4">
        <v>10</v>
      </c>
      <c r="M4">
        <v>0</v>
      </c>
      <c r="N4">
        <v>0</v>
      </c>
      <c r="O4">
        <v>0</v>
      </c>
      <c r="P4">
        <v>0</v>
      </c>
      <c r="Q4">
        <v>0</v>
      </c>
      <c r="T4" s="49" t="s">
        <v>233</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1">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1">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1">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1">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1">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Data Rights Notice</vt:lpstr>
      <vt:lpstr>0100 Hull System</vt:lpstr>
      <vt:lpstr>version history</vt:lpstr>
      <vt:lpstr>set up</vt:lpstr>
      <vt:lpstr>linkedPage</vt:lpstr>
      <vt:lpstr>'0100 Hull System'!Print_Area</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2016-01-05T14:20:16Z</cp:lastPrinted>
  <dcterms:created xsi:type="dcterms:W3CDTF">2013-05-20T22:14:35Z</dcterms:created>
  <dcterms:modified xsi:type="dcterms:W3CDTF">2017-03-03T17:51:04Z</dcterms:modified>
</cp:coreProperties>
</file>