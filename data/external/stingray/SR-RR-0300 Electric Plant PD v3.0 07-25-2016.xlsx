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5" r:id="rId1"/>
    <sheet name="0300 Electric Plant System" sheetId="1" r:id="rId2"/>
    <sheet name="version history" sheetId="2" r:id="rId3"/>
    <sheet name="set up" sheetId="3" r:id="rId4"/>
    <sheet name="linkedPage" sheetId="4" r:id="rId5"/>
  </sheets>
  <externalReferences>
    <externalReference r:id="rId6"/>
    <externalReference r:id="rId7"/>
  </externalReferences>
  <definedNames>
    <definedName name="_xlnm._FilterDatabase" localSheetId="1" hidden="1">'0300 Electric Plant System'!$B$5:$AX$55</definedName>
    <definedName name="_xlnm.Print_Area" localSheetId="3">'set up'!$B$16:$S$43</definedName>
    <definedName name="RiskMatrixRef" localSheetId="0">'[2]set up'!$C$14</definedName>
    <definedName name="RiskMatrixRef">'set up'!$C$14</definedName>
    <definedName name="Z_5394EF70_363B_4A5A_8784_B29D58D73735_.wvu.FilterData" localSheetId="1" hidden="1">'0300 Electric Plant System'!$B$5:$W$55</definedName>
    <definedName name="Z_5394EF70_363B_4A5A_8784_B29D58D73735_.wvu.PrintArea" localSheetId="3" hidden="1">'set up'!$B$16:$S$43</definedName>
    <definedName name="Z_84811DD3_6559_4831_BD04_E0626479DBCE_.wvu.FilterData" localSheetId="1" hidden="1">'0300 Electric Plant System'!$B$5:$W$55</definedName>
    <definedName name="Z_84811DD3_6559_4831_BD04_E0626479DBCE_.wvu.PrintArea" localSheetId="3" hidden="1">'set up'!$B$16:$S$43</definedName>
    <definedName name="Z_B34B7122_C738_4555_8537_3B6E30D60D80_.wvu.FilterData" localSheetId="1" hidden="1">'0300 Electric Plant System'!$B$5:$W$55</definedName>
    <definedName name="Z_B34B7122_C738_4555_8537_3B6E30D60D80_.wvu.PrintArea" localSheetId="3" hidden="1">'set up'!$B$16:$S$43</definedName>
  </definedNames>
  <calcPr calcId="171027"/>
  <customWorkbookViews>
    <customWorkbookView name="Joe Prudell - Personal View" guid="{84811DD3-6559-4831-BD04-E0626479DBCE}" mergeInterval="0" personalView="1" maximized="1" xWindow="-8" yWindow="-8" windowWidth="1936" windowHeight="1056" activeSheetId="1"/>
    <customWorkbookView name="pukha lenee-bluhm - Personal View" guid="{B34B7122-C738-4555-8537-3B6E30D60D80}" mergeInterval="0" personalView="1" maximized="1" xWindow="-8" yWindow="-8" windowWidth="1936" windowHeight="1056" activeSheetId="1"/>
    <customWorkbookView name="Erik Hammagren - Personal View" guid="{5394EF70-363B-4A5A-8784-B29D58D73735}" mergeInterval="0" personalView="1" maximized="1" xWindow="-8" yWindow="-8" windowWidth="1040" windowHeight="744" activeSheetId="1"/>
  </customWorkbookViews>
</workbook>
</file>

<file path=xl/calcChain.xml><?xml version="1.0" encoding="utf-8"?>
<calcChain xmlns="http://schemas.openxmlformats.org/spreadsheetml/2006/main">
  <c r="AF22" i="1" l="1"/>
  <c r="AG22" i="1"/>
  <c r="AH22" i="1"/>
  <c r="AI22" i="1"/>
  <c r="AR22" i="1"/>
  <c r="AS22" i="1"/>
  <c r="AT22" i="1"/>
  <c r="AU22" i="1"/>
  <c r="AF23" i="1"/>
  <c r="AG23" i="1"/>
  <c r="AH23" i="1"/>
  <c r="AI23" i="1"/>
  <c r="AR23" i="1"/>
  <c r="AS23" i="1"/>
  <c r="AT23" i="1"/>
  <c r="AU23" i="1"/>
  <c r="O4" i="3" l="1"/>
  <c r="O3" i="3"/>
  <c r="O2" i="3"/>
  <c r="A1" i="4" a="1"/>
  <c r="E1" i="4" s="1"/>
  <c r="A1" i="4"/>
  <c r="B1" i="4"/>
  <c r="C1" i="4"/>
  <c r="G1" i="4"/>
  <c r="H1" i="4"/>
  <c r="I1" i="4"/>
  <c r="J1" i="4"/>
  <c r="K1" i="4"/>
  <c r="O1" i="4"/>
  <c r="P1" i="4"/>
  <c r="Q1" i="4"/>
  <c r="A2" i="4"/>
  <c r="B2" i="4"/>
  <c r="F2" i="4"/>
  <c r="G2" i="4"/>
  <c r="H2" i="4"/>
  <c r="I2" i="4"/>
  <c r="J2" i="4"/>
  <c r="N2" i="4"/>
  <c r="O2" i="4"/>
  <c r="P2" i="4"/>
  <c r="Q2" i="4"/>
  <c r="A3" i="4"/>
  <c r="E3" i="4"/>
  <c r="F3" i="4"/>
  <c r="G3" i="4"/>
  <c r="H3" i="4"/>
  <c r="I3" i="4"/>
  <c r="M3" i="4"/>
  <c r="N3" i="4"/>
  <c r="O3" i="4"/>
  <c r="P3" i="4"/>
  <c r="Q3" i="4"/>
  <c r="D4" i="4"/>
  <c r="E4" i="4"/>
  <c r="F4" i="4"/>
  <c r="G4" i="4"/>
  <c r="H4" i="4"/>
  <c r="L4" i="4"/>
  <c r="M4" i="4"/>
  <c r="N4" i="4"/>
  <c r="O4" i="4"/>
  <c r="P4" i="4"/>
  <c r="C5" i="4"/>
  <c r="D5" i="4"/>
  <c r="E5" i="4"/>
  <c r="F5" i="4"/>
  <c r="G5" i="4"/>
  <c r="K5" i="4"/>
  <c r="L5" i="4"/>
  <c r="M5" i="4"/>
  <c r="N5" i="4"/>
  <c r="O5" i="4"/>
  <c r="B6" i="4"/>
  <c r="C6" i="4"/>
  <c r="D6" i="4"/>
  <c r="E6" i="4"/>
  <c r="F6" i="4"/>
  <c r="J6" i="4"/>
  <c r="K6" i="4"/>
  <c r="L6" i="4"/>
  <c r="M6" i="4"/>
  <c r="N6" i="4"/>
  <c r="A7" i="4"/>
  <c r="B7" i="4"/>
  <c r="C7" i="4"/>
  <c r="D7" i="4"/>
  <c r="E7" i="4"/>
  <c r="I7" i="4"/>
  <c r="J7" i="4"/>
  <c r="K7" i="4"/>
  <c r="L7" i="4"/>
  <c r="M7" i="4"/>
  <c r="Q7" i="4"/>
  <c r="A8" i="4"/>
  <c r="B8" i="4"/>
  <c r="C8" i="4"/>
  <c r="D8" i="4"/>
  <c r="H8" i="4"/>
  <c r="I8" i="4"/>
  <c r="J8" i="4"/>
  <c r="K8" i="4"/>
  <c r="L8" i="4"/>
  <c r="P8" i="4"/>
  <c r="Q8" i="4"/>
  <c r="A9" i="4"/>
  <c r="B9" i="4"/>
  <c r="C9" i="4"/>
  <c r="G9" i="4"/>
  <c r="H9" i="4"/>
  <c r="I9" i="4"/>
  <c r="J9" i="4"/>
  <c r="K9" i="4"/>
  <c r="O9" i="4"/>
  <c r="P9" i="4"/>
  <c r="Q9" i="4"/>
  <c r="A10" i="4"/>
  <c r="B10" i="4"/>
  <c r="F10" i="4"/>
  <c r="G10" i="4"/>
  <c r="H10" i="4"/>
  <c r="I10" i="4"/>
  <c r="J10" i="4"/>
  <c r="N10" i="4"/>
  <c r="O10" i="4"/>
  <c r="P10" i="4"/>
  <c r="Q10" i="4"/>
  <c r="A11" i="4"/>
  <c r="E11" i="4"/>
  <c r="F11" i="4"/>
  <c r="G11" i="4"/>
  <c r="H11" i="4"/>
  <c r="I11" i="4"/>
  <c r="M11" i="4"/>
  <c r="N11" i="4"/>
  <c r="O11" i="4"/>
  <c r="P11" i="4"/>
  <c r="Q11" i="4"/>
  <c r="D12" i="4"/>
  <c r="E12" i="4"/>
  <c r="F12" i="4"/>
  <c r="G12" i="4"/>
  <c r="H12" i="4"/>
  <c r="L12" i="4"/>
  <c r="M12" i="4"/>
  <c r="N12" i="4"/>
  <c r="O12" i="4"/>
  <c r="P12" i="4"/>
  <c r="C13" i="4"/>
  <c r="D13" i="4"/>
  <c r="E13" i="4"/>
  <c r="F13" i="4"/>
  <c r="G13" i="4"/>
  <c r="K13" i="4"/>
  <c r="L13" i="4"/>
  <c r="M13" i="4"/>
  <c r="N13" i="4"/>
  <c r="O13" i="4"/>
  <c r="B14" i="4"/>
  <c r="C14" i="4"/>
  <c r="D14" i="4"/>
  <c r="E14" i="4"/>
  <c r="F14" i="4"/>
  <c r="J14" i="4"/>
  <c r="K14" i="4"/>
  <c r="L14" i="4"/>
  <c r="M14" i="4"/>
  <c r="N14" i="4"/>
  <c r="A15" i="4"/>
  <c r="B15" i="4"/>
  <c r="C15" i="4"/>
  <c r="D15" i="4"/>
  <c r="E15" i="4"/>
  <c r="I15" i="4"/>
  <c r="J15" i="4"/>
  <c r="K15" i="4"/>
  <c r="L15" i="4"/>
  <c r="M15" i="4"/>
  <c r="Q15" i="4"/>
  <c r="A16" i="4"/>
  <c r="B16" i="4"/>
  <c r="C16" i="4"/>
  <c r="D16" i="4"/>
  <c r="H16" i="4"/>
  <c r="I16" i="4"/>
  <c r="J16" i="4"/>
  <c r="K16" i="4"/>
  <c r="L16" i="4"/>
  <c r="P16" i="4"/>
  <c r="Q16" i="4"/>
  <c r="A17" i="4"/>
  <c r="B17" i="4"/>
  <c r="C17" i="4"/>
  <c r="G17" i="4"/>
  <c r="H17" i="4"/>
  <c r="I17" i="4"/>
  <c r="J17" i="4"/>
  <c r="K17" i="4"/>
  <c r="O17" i="4"/>
  <c r="P17" i="4"/>
  <c r="Q17" i="4"/>
  <c r="A18" i="4"/>
  <c r="B18" i="4"/>
  <c r="F18" i="4"/>
  <c r="G18" i="4"/>
  <c r="H18" i="4"/>
  <c r="I18" i="4"/>
  <c r="J18" i="4"/>
  <c r="N18" i="4"/>
  <c r="O18" i="4"/>
  <c r="P18" i="4"/>
  <c r="Q18" i="4"/>
  <c r="A19" i="4"/>
  <c r="E19" i="4"/>
  <c r="F19" i="4"/>
  <c r="G19" i="4"/>
  <c r="H19" i="4"/>
  <c r="I19" i="4"/>
  <c r="M19" i="4"/>
  <c r="N19" i="4"/>
  <c r="O19" i="4"/>
  <c r="P19" i="4"/>
  <c r="Q19" i="4"/>
  <c r="D20" i="4"/>
  <c r="E20" i="4"/>
  <c r="F20" i="4"/>
  <c r="G20" i="4"/>
  <c r="H20" i="4"/>
  <c r="L20" i="4"/>
  <c r="M20" i="4"/>
  <c r="N20" i="4"/>
  <c r="O20" i="4"/>
  <c r="P20" i="4"/>
  <c r="C21" i="4"/>
  <c r="D21" i="4"/>
  <c r="E21" i="4"/>
  <c r="F21" i="4"/>
  <c r="G21" i="4"/>
  <c r="K21" i="4"/>
  <c r="L21" i="4"/>
  <c r="M21" i="4"/>
  <c r="N21" i="4"/>
  <c r="O21" i="4"/>
  <c r="B22" i="4"/>
  <c r="C22" i="4"/>
  <c r="D22" i="4"/>
  <c r="E22" i="4"/>
  <c r="F22" i="4"/>
  <c r="I22" i="4"/>
  <c r="J22" i="4"/>
  <c r="K22" i="4"/>
  <c r="L22" i="4"/>
  <c r="M22" i="4"/>
  <c r="N22" i="4"/>
  <c r="Q22" i="4"/>
  <c r="A23" i="4"/>
  <c r="B23" i="4"/>
  <c r="C23" i="4"/>
  <c r="D23" i="4"/>
  <c r="E23" i="4"/>
  <c r="H23" i="4"/>
  <c r="I23" i="4"/>
  <c r="J23" i="4"/>
  <c r="K23" i="4"/>
  <c r="L23" i="4"/>
  <c r="M23" i="4"/>
  <c r="P23" i="4"/>
  <c r="Q23" i="4"/>
  <c r="A24" i="4"/>
  <c r="B24" i="4"/>
  <c r="C24" i="4"/>
  <c r="D24" i="4"/>
  <c r="G24" i="4"/>
  <c r="H24" i="4"/>
  <c r="I24" i="4"/>
  <c r="J24" i="4"/>
  <c r="K24" i="4"/>
  <c r="L24" i="4"/>
  <c r="O24" i="4"/>
  <c r="P24" i="4"/>
  <c r="Q24" i="4"/>
  <c r="A25" i="4"/>
  <c r="B25" i="4"/>
  <c r="C25" i="4"/>
  <c r="F25" i="4"/>
  <c r="G25" i="4"/>
  <c r="H25" i="4"/>
  <c r="I25" i="4"/>
  <c r="J25" i="4"/>
  <c r="K25" i="4"/>
  <c r="N25" i="4"/>
  <c r="O25" i="4"/>
  <c r="P25" i="4"/>
  <c r="Q25" i="4"/>
  <c r="A26" i="4"/>
  <c r="B26" i="4"/>
  <c r="E26" i="4"/>
  <c r="F26" i="4"/>
  <c r="G26" i="4"/>
  <c r="H26" i="4"/>
  <c r="I26" i="4"/>
  <c r="J26" i="4"/>
  <c r="M26" i="4"/>
  <c r="N26" i="4"/>
  <c r="O26" i="4"/>
  <c r="P26" i="4"/>
  <c r="Q26" i="4"/>
  <c r="A27" i="4"/>
  <c r="D27" i="4"/>
  <c r="E27" i="4"/>
  <c r="F27" i="4"/>
  <c r="G27" i="4"/>
  <c r="H27" i="4"/>
  <c r="I27" i="4"/>
  <c r="L27" i="4"/>
  <c r="M27" i="4"/>
  <c r="N27" i="4"/>
  <c r="O27" i="4"/>
  <c r="P27" i="4"/>
  <c r="Q27" i="4"/>
  <c r="C27" i="4" l="1"/>
  <c r="L26" i="4"/>
  <c r="D26" i="4"/>
  <c r="M25" i="4"/>
  <c r="E25" i="4"/>
  <c r="N24" i="4"/>
  <c r="O23" i="4"/>
  <c r="G23" i="4"/>
  <c r="P22" i="4"/>
  <c r="H22" i="4"/>
  <c r="Q21" i="4"/>
  <c r="A21" i="4"/>
  <c r="J20" i="4"/>
  <c r="B20" i="4"/>
  <c r="C19" i="4"/>
  <c r="D18" i="4"/>
  <c r="F16" i="4"/>
  <c r="J27" i="4"/>
  <c r="B27" i="4"/>
  <c r="K26" i="4"/>
  <c r="C26" i="4"/>
  <c r="L25" i="4"/>
  <c r="D25" i="4"/>
  <c r="M24" i="4"/>
  <c r="E24" i="4"/>
  <c r="N23" i="4"/>
  <c r="F23" i="4"/>
  <c r="O22" i="4"/>
  <c r="G22" i="4"/>
  <c r="P21" i="4"/>
  <c r="H21" i="4"/>
  <c r="Q20" i="4"/>
  <c r="I20" i="4"/>
  <c r="A20" i="4"/>
  <c r="J19" i="4"/>
  <c r="B19" i="4"/>
  <c r="K18" i="4"/>
  <c r="C18" i="4"/>
  <c r="L17" i="4"/>
  <c r="D17" i="4"/>
  <c r="M16" i="4"/>
  <c r="E16" i="4"/>
  <c r="N15" i="4"/>
  <c r="F15" i="4"/>
  <c r="O14" i="4"/>
  <c r="G14" i="4"/>
  <c r="P13" i="4"/>
  <c r="H13" i="4"/>
  <c r="Q12" i="4"/>
  <c r="I12" i="4"/>
  <c r="A12" i="4"/>
  <c r="J11" i="4"/>
  <c r="B11" i="4"/>
  <c r="K10" i="4"/>
  <c r="C10" i="4"/>
  <c r="L9" i="4"/>
  <c r="D9" i="4"/>
  <c r="M8" i="4"/>
  <c r="E8" i="4"/>
  <c r="N7" i="4"/>
  <c r="F7" i="4"/>
  <c r="O6" i="4"/>
  <c r="G6" i="4"/>
  <c r="P5" i="4"/>
  <c r="H5" i="4"/>
  <c r="Q4" i="4"/>
  <c r="I4" i="4"/>
  <c r="A4" i="4"/>
  <c r="J3" i="4"/>
  <c r="B3" i="4"/>
  <c r="K2" i="4"/>
  <c r="C2" i="4"/>
  <c r="L1" i="4"/>
  <c r="D1" i="4"/>
  <c r="A22" i="4"/>
  <c r="J21" i="4"/>
  <c r="B21" i="4"/>
  <c r="K20" i="4"/>
  <c r="C20" i="4"/>
  <c r="L19" i="4"/>
  <c r="D19" i="4"/>
  <c r="M18" i="4"/>
  <c r="E18" i="4"/>
  <c r="N17" i="4"/>
  <c r="F17" i="4"/>
  <c r="O16" i="4"/>
  <c r="G16" i="4"/>
  <c r="P15" i="4"/>
  <c r="H15" i="4"/>
  <c r="Q14" i="4"/>
  <c r="I14" i="4"/>
  <c r="A14" i="4"/>
  <c r="J13" i="4"/>
  <c r="B13" i="4"/>
  <c r="K12" i="4"/>
  <c r="C12" i="4"/>
  <c r="L11" i="4"/>
  <c r="D11" i="4"/>
  <c r="M10" i="4"/>
  <c r="E10" i="4"/>
  <c r="N9" i="4"/>
  <c r="F9" i="4"/>
  <c r="O8" i="4"/>
  <c r="G8" i="4"/>
  <c r="P7" i="4"/>
  <c r="H7" i="4"/>
  <c r="Q6" i="4"/>
  <c r="I6" i="4"/>
  <c r="A6" i="4"/>
  <c r="J5" i="4"/>
  <c r="B5" i="4"/>
  <c r="K4" i="4"/>
  <c r="C4" i="4"/>
  <c r="L3" i="4"/>
  <c r="D3" i="4"/>
  <c r="M2" i="4"/>
  <c r="E2" i="4"/>
  <c r="N1" i="4"/>
  <c r="F1" i="4"/>
  <c r="K27" i="4"/>
  <c r="F24" i="4"/>
  <c r="I21" i="4"/>
  <c r="K19" i="4"/>
  <c r="L18" i="4"/>
  <c r="M17" i="4"/>
  <c r="E17" i="4"/>
  <c r="N16" i="4"/>
  <c r="O15" i="4"/>
  <c r="G15" i="4"/>
  <c r="P14" i="4"/>
  <c r="H14" i="4"/>
  <c r="Q13" i="4"/>
  <c r="I13" i="4"/>
  <c r="A13" i="4"/>
  <c r="J12" i="4"/>
  <c r="B12" i="4"/>
  <c r="K11" i="4"/>
  <c r="C11" i="4"/>
  <c r="L10" i="4"/>
  <c r="D10" i="4"/>
  <c r="M9" i="4"/>
  <c r="E9" i="4"/>
  <c r="N8" i="4"/>
  <c r="F8" i="4"/>
  <c r="O7" i="4"/>
  <c r="G7" i="4"/>
  <c r="P6" i="4"/>
  <c r="H6" i="4"/>
  <c r="Q5" i="4"/>
  <c r="I5" i="4"/>
  <c r="A5" i="4"/>
  <c r="J4" i="4"/>
  <c r="B4" i="4"/>
  <c r="K3" i="4"/>
  <c r="C3" i="4"/>
  <c r="L2" i="4"/>
  <c r="D2" i="4"/>
  <c r="M1" i="4"/>
  <c r="AF33" i="1"/>
  <c r="AG33" i="1"/>
  <c r="AH33" i="1"/>
  <c r="AI33" i="1"/>
  <c r="AR33" i="1"/>
  <c r="AS33" i="1"/>
  <c r="AT33" i="1"/>
  <c r="AU33" i="1"/>
  <c r="AF34" i="1"/>
  <c r="AG34" i="1"/>
  <c r="AH34" i="1"/>
  <c r="AI34" i="1"/>
  <c r="AR34" i="1"/>
  <c r="AS34" i="1"/>
  <c r="AT34" i="1"/>
  <c r="AU34" i="1"/>
  <c r="AF35" i="1"/>
  <c r="AG35" i="1"/>
  <c r="AH35" i="1"/>
  <c r="AI35" i="1"/>
  <c r="AR35" i="1"/>
  <c r="AS35" i="1"/>
  <c r="AT35" i="1"/>
  <c r="AU35" i="1"/>
  <c r="AF36" i="1"/>
  <c r="AG36" i="1"/>
  <c r="AH36" i="1"/>
  <c r="AI36" i="1"/>
  <c r="AR36" i="1"/>
  <c r="AS36" i="1"/>
  <c r="AT36" i="1"/>
  <c r="AU36" i="1"/>
  <c r="AF37" i="1"/>
  <c r="AG37" i="1"/>
  <c r="AH37" i="1"/>
  <c r="AI37" i="1"/>
  <c r="AR37" i="1"/>
  <c r="AS37" i="1"/>
  <c r="AT37" i="1"/>
  <c r="AU37" i="1"/>
  <c r="AF38" i="1"/>
  <c r="AG38" i="1"/>
  <c r="AH38" i="1"/>
  <c r="AI38" i="1"/>
  <c r="AR38" i="1"/>
  <c r="AS38" i="1"/>
  <c r="AT38" i="1"/>
  <c r="AU38" i="1"/>
  <c r="AF39" i="1"/>
  <c r="AG39" i="1"/>
  <c r="AH39" i="1"/>
  <c r="AI39" i="1"/>
  <c r="AR39" i="1"/>
  <c r="AS39" i="1"/>
  <c r="AT39" i="1"/>
  <c r="AU39" i="1"/>
  <c r="AF40" i="1"/>
  <c r="AG40" i="1"/>
  <c r="AH40" i="1"/>
  <c r="AI40" i="1"/>
  <c r="AR40" i="1"/>
  <c r="AS40" i="1"/>
  <c r="AT40" i="1"/>
  <c r="AU40" i="1"/>
  <c r="AF41" i="1"/>
  <c r="AG41" i="1"/>
  <c r="AH41" i="1"/>
  <c r="AI41" i="1"/>
  <c r="AR41" i="1"/>
  <c r="AS41" i="1"/>
  <c r="AT41" i="1"/>
  <c r="AU41" i="1"/>
  <c r="AF42" i="1"/>
  <c r="AG42" i="1"/>
  <c r="AH42" i="1"/>
  <c r="AI42" i="1"/>
  <c r="AR42" i="1"/>
  <c r="AS42" i="1"/>
  <c r="AT42" i="1"/>
  <c r="AU42" i="1"/>
  <c r="AF43" i="1"/>
  <c r="AG43" i="1"/>
  <c r="AH43" i="1"/>
  <c r="AI43" i="1"/>
  <c r="AR43" i="1"/>
  <c r="AS43" i="1"/>
  <c r="AT43" i="1"/>
  <c r="AU43" i="1"/>
  <c r="AF44" i="1"/>
  <c r="AG44" i="1"/>
  <c r="AH44" i="1"/>
  <c r="AI44" i="1"/>
  <c r="AR44" i="1"/>
  <c r="AS44" i="1"/>
  <c r="AT44" i="1"/>
  <c r="AU44" i="1"/>
  <c r="AF45" i="1"/>
  <c r="AG45" i="1"/>
  <c r="AH45" i="1"/>
  <c r="AI45" i="1"/>
  <c r="AR45" i="1"/>
  <c r="AS45" i="1"/>
  <c r="AT45" i="1"/>
  <c r="AU45" i="1"/>
  <c r="AF46" i="1"/>
  <c r="AG46" i="1"/>
  <c r="AH46" i="1"/>
  <c r="AI46" i="1"/>
  <c r="AR46" i="1"/>
  <c r="AS46" i="1"/>
  <c r="AT46" i="1"/>
  <c r="AU46" i="1"/>
  <c r="AF47" i="1"/>
  <c r="AG47" i="1"/>
  <c r="AH47" i="1"/>
  <c r="AI47" i="1"/>
  <c r="AR47" i="1"/>
  <c r="AS47" i="1"/>
  <c r="AT47" i="1"/>
  <c r="AU47" i="1"/>
  <c r="AF48" i="1"/>
  <c r="AG48" i="1"/>
  <c r="AH48" i="1"/>
  <c r="AI48" i="1"/>
  <c r="AR48" i="1"/>
  <c r="AS48" i="1"/>
  <c r="AT48" i="1"/>
  <c r="AU48" i="1"/>
  <c r="AF49" i="1"/>
  <c r="AG49" i="1"/>
  <c r="AH49" i="1"/>
  <c r="AI49" i="1"/>
  <c r="AR49" i="1"/>
  <c r="AS49" i="1"/>
  <c r="AT49" i="1"/>
  <c r="AU49" i="1"/>
  <c r="AF50" i="1"/>
  <c r="AG50" i="1"/>
  <c r="AH50" i="1"/>
  <c r="AI50" i="1"/>
  <c r="AR50" i="1"/>
  <c r="AS50" i="1"/>
  <c r="AT50" i="1"/>
  <c r="AU50" i="1"/>
  <c r="AF51" i="1"/>
  <c r="AG51" i="1"/>
  <c r="AH51" i="1"/>
  <c r="AI51" i="1"/>
  <c r="AR51" i="1"/>
  <c r="AS51" i="1"/>
  <c r="AT51" i="1"/>
  <c r="AU51" i="1"/>
  <c r="AF52" i="1"/>
  <c r="AG52" i="1"/>
  <c r="AH52" i="1"/>
  <c r="AI52" i="1"/>
  <c r="AR52" i="1"/>
  <c r="AS52" i="1"/>
  <c r="AT52" i="1"/>
  <c r="AU52" i="1"/>
  <c r="AF53" i="1"/>
  <c r="AG53" i="1"/>
  <c r="AH53" i="1"/>
  <c r="AI53" i="1"/>
  <c r="AR53" i="1"/>
  <c r="AS53" i="1"/>
  <c r="AT53" i="1"/>
  <c r="AU53" i="1"/>
  <c r="AF54" i="1"/>
  <c r="AG54" i="1"/>
  <c r="AH54" i="1"/>
  <c r="AI54" i="1"/>
  <c r="AR54" i="1"/>
  <c r="AS54" i="1"/>
  <c r="AT54" i="1"/>
  <c r="AU54" i="1"/>
  <c r="AU14" i="1" l="1"/>
  <c r="AT14" i="1"/>
  <c r="AS14" i="1"/>
  <c r="AR14" i="1"/>
  <c r="AI14" i="1"/>
  <c r="AH14" i="1"/>
  <c r="AG14" i="1"/>
  <c r="AF14" i="1"/>
  <c r="AU18" i="1"/>
  <c r="AT18" i="1"/>
  <c r="AS18" i="1"/>
  <c r="AR18" i="1"/>
  <c r="AI18" i="1"/>
  <c r="AH18" i="1"/>
  <c r="AG18" i="1"/>
  <c r="AF18" i="1"/>
  <c r="AU17" i="1"/>
  <c r="AT17" i="1"/>
  <c r="AS17" i="1"/>
  <c r="AR17" i="1"/>
  <c r="AI17" i="1"/>
  <c r="AH17" i="1"/>
  <c r="AG17" i="1"/>
  <c r="AF17" i="1"/>
  <c r="AU16" i="1"/>
  <c r="AT16" i="1"/>
  <c r="AS16" i="1"/>
  <c r="AR16" i="1"/>
  <c r="AI16" i="1"/>
  <c r="AH16" i="1"/>
  <c r="AG16" i="1"/>
  <c r="AF16" i="1"/>
  <c r="AU15" i="1"/>
  <c r="AT15" i="1"/>
  <c r="AS15" i="1"/>
  <c r="AR15" i="1"/>
  <c r="AI15" i="1"/>
  <c r="AH15" i="1"/>
  <c r="AG15" i="1"/>
  <c r="AF15" i="1"/>
  <c r="AU55" i="1" l="1"/>
  <c r="AT55" i="1"/>
  <c r="AS55" i="1"/>
  <c r="AR55" i="1"/>
  <c r="AI55" i="1"/>
  <c r="AH55" i="1"/>
  <c r="AG55" i="1"/>
  <c r="AF55" i="1"/>
  <c r="AU27" i="1"/>
  <c r="AT27" i="1"/>
  <c r="AS27" i="1"/>
  <c r="AR27" i="1"/>
  <c r="AI27" i="1"/>
  <c r="AH27" i="1"/>
  <c r="AG27" i="1"/>
  <c r="AF27" i="1"/>
  <c r="AU21" i="1"/>
  <c r="AT21" i="1"/>
  <c r="AS21" i="1"/>
  <c r="AR21" i="1"/>
  <c r="AI21" i="1"/>
  <c r="AH21" i="1"/>
  <c r="AG21" i="1"/>
  <c r="AF21" i="1"/>
  <c r="AU9" i="1"/>
  <c r="AT9" i="1"/>
  <c r="AS9" i="1"/>
  <c r="AR9" i="1"/>
  <c r="AI9" i="1"/>
  <c r="AH9" i="1"/>
  <c r="AG9" i="1"/>
  <c r="AF9" i="1"/>
  <c r="AU28" i="1" l="1"/>
  <c r="AT28" i="1"/>
  <c r="AS28" i="1"/>
  <c r="AR28" i="1"/>
  <c r="AI28" i="1"/>
  <c r="AH28" i="1"/>
  <c r="AG28" i="1"/>
  <c r="AF28" i="1"/>
  <c r="AU26" i="1"/>
  <c r="AT26" i="1"/>
  <c r="AS26" i="1"/>
  <c r="AR26" i="1"/>
  <c r="AI26" i="1"/>
  <c r="AH26" i="1"/>
  <c r="AG26" i="1"/>
  <c r="AF26" i="1"/>
  <c r="AU25" i="1"/>
  <c r="AT25" i="1"/>
  <c r="AS25" i="1"/>
  <c r="AR25" i="1"/>
  <c r="AI25" i="1"/>
  <c r="AH25" i="1"/>
  <c r="AG25" i="1"/>
  <c r="AF25" i="1"/>
  <c r="AU24" i="1"/>
  <c r="AT24" i="1"/>
  <c r="AS24" i="1"/>
  <c r="AR24" i="1"/>
  <c r="AI24" i="1"/>
  <c r="AH24" i="1"/>
  <c r="AG24" i="1"/>
  <c r="AF24" i="1"/>
  <c r="AU20" i="1"/>
  <c r="AT20" i="1"/>
  <c r="AS20" i="1"/>
  <c r="AR20" i="1"/>
  <c r="AI20" i="1"/>
  <c r="AH20" i="1"/>
  <c r="AG20" i="1"/>
  <c r="AF20" i="1"/>
  <c r="AU19" i="1"/>
  <c r="AT19" i="1"/>
  <c r="AS19" i="1"/>
  <c r="AR19" i="1"/>
  <c r="AI19" i="1"/>
  <c r="AH19" i="1"/>
  <c r="AG19" i="1"/>
  <c r="AF19" i="1"/>
  <c r="AU13" i="1" l="1"/>
  <c r="AT13" i="1"/>
  <c r="AS13" i="1"/>
  <c r="AR13" i="1"/>
  <c r="AU12" i="1"/>
  <c r="AT12" i="1"/>
  <c r="AS12" i="1"/>
  <c r="AR12" i="1"/>
  <c r="AU11" i="1"/>
  <c r="AT11" i="1"/>
  <c r="AS11" i="1"/>
  <c r="AR11" i="1"/>
  <c r="AU10" i="1"/>
  <c r="AT10" i="1"/>
  <c r="AS10" i="1"/>
  <c r="AR10" i="1"/>
  <c r="AU8" i="1"/>
  <c r="AT8" i="1"/>
  <c r="AS8" i="1"/>
  <c r="AR8" i="1"/>
  <c r="AU7" i="1"/>
  <c r="AT7" i="1"/>
  <c r="AS7" i="1"/>
  <c r="AR7" i="1"/>
  <c r="AU6" i="1"/>
  <c r="AT6" i="1"/>
  <c r="AS6" i="1"/>
  <c r="AR6" i="1"/>
  <c r="AU32" i="1"/>
  <c r="AT32" i="1"/>
  <c r="AS32" i="1"/>
  <c r="AR32" i="1"/>
  <c r="AU31" i="1"/>
  <c r="AT31" i="1"/>
  <c r="AS31" i="1"/>
  <c r="AR31" i="1"/>
  <c r="AU30" i="1"/>
  <c r="AT30" i="1"/>
  <c r="AS30" i="1"/>
  <c r="AR30" i="1"/>
  <c r="AI13" i="1"/>
  <c r="AH13" i="1"/>
  <c r="AG13" i="1"/>
  <c r="AF13" i="1"/>
  <c r="AI12" i="1"/>
  <c r="AH12" i="1"/>
  <c r="AG12" i="1"/>
  <c r="AF12" i="1"/>
  <c r="AI11" i="1"/>
  <c r="AH11" i="1"/>
  <c r="AG11" i="1"/>
  <c r="AF11" i="1"/>
  <c r="AI10" i="1"/>
  <c r="AH10" i="1"/>
  <c r="AG10" i="1"/>
  <c r="AF10" i="1"/>
  <c r="AI8" i="1"/>
  <c r="AH8" i="1"/>
  <c r="AG8" i="1"/>
  <c r="AF8" i="1"/>
  <c r="AI7" i="1"/>
  <c r="AH7" i="1"/>
  <c r="AG7" i="1"/>
  <c r="AF7" i="1"/>
  <c r="AI6" i="1"/>
  <c r="AH6" i="1"/>
  <c r="AG6" i="1"/>
  <c r="AF6" i="1"/>
  <c r="AI32" i="1"/>
  <c r="AH32" i="1"/>
  <c r="AG32" i="1"/>
  <c r="AF32" i="1"/>
  <c r="AI31" i="1"/>
  <c r="AH31" i="1"/>
  <c r="AG31" i="1"/>
  <c r="AF31" i="1"/>
  <c r="AI30" i="1"/>
  <c r="AH30" i="1"/>
  <c r="AG30" i="1"/>
  <c r="AF30" i="1"/>
  <c r="AU29" i="1"/>
  <c r="AT29" i="1"/>
  <c r="AS29" i="1"/>
  <c r="AR29" i="1"/>
  <c r="AG29" i="1"/>
  <c r="AI29" i="1"/>
  <c r="AH29" i="1"/>
  <c r="AF29" i="1"/>
  <c r="O11" i="3" l="1"/>
  <c r="F22" i="3"/>
  <c r="M12" i="3"/>
  <c r="D5" i="3"/>
  <c r="Q26" i="3"/>
  <c r="I18" i="3"/>
  <c r="F9" i="3"/>
  <c r="N24" i="3"/>
  <c r="L7" i="3"/>
  <c r="L21" i="3"/>
  <c r="I8" i="3"/>
  <c r="F4" i="3"/>
  <c r="I26" i="3"/>
  <c r="D24" i="3"/>
  <c r="P27" i="3"/>
  <c r="J23" i="3"/>
  <c r="M17" i="3"/>
  <c r="G14" i="3"/>
  <c r="H27" i="3"/>
  <c r="H25" i="3"/>
  <c r="P22" i="3"/>
  <c r="E20" i="3"/>
  <c r="I13" i="3"/>
  <c r="D10" i="3"/>
  <c r="O6" i="3"/>
  <c r="C4" i="3"/>
  <c r="I4" i="3"/>
  <c r="N4" i="3"/>
  <c r="B5" i="3"/>
  <c r="H5" i="3"/>
  <c r="M5" i="3"/>
  <c r="G6" i="3"/>
  <c r="L6" i="3"/>
  <c r="F7" i="3"/>
  <c r="K7" i="3"/>
  <c r="E8" i="3"/>
  <c r="J8" i="3"/>
  <c r="O8" i="3"/>
  <c r="D9" i="3"/>
  <c r="I9" i="3"/>
  <c r="V42" i="1" s="1"/>
  <c r="N9" i="3"/>
  <c r="C10" i="3"/>
  <c r="H10" i="3"/>
  <c r="M10" i="3"/>
  <c r="B11" i="3"/>
  <c r="G11" i="3"/>
  <c r="L11" i="3"/>
  <c r="F12" i="3"/>
  <c r="K12" i="3"/>
  <c r="E13" i="3"/>
  <c r="J13" i="3"/>
  <c r="D14" i="3"/>
  <c r="I14" i="3"/>
  <c r="O14" i="3"/>
  <c r="B16" i="3"/>
  <c r="F17" i="3"/>
  <c r="L17" i="3"/>
  <c r="Q17" i="3"/>
  <c r="E18" i="3"/>
  <c r="K18" i="3"/>
  <c r="P18" i="3"/>
  <c r="D19" i="3"/>
  <c r="J19" i="3"/>
  <c r="O19" i="3"/>
  <c r="C20" i="3"/>
  <c r="I20" i="3"/>
  <c r="N20" i="3"/>
  <c r="B21" i="3"/>
  <c r="F21" i="3"/>
  <c r="J21" i="3"/>
  <c r="N21" i="3"/>
  <c r="E22" i="3"/>
  <c r="I22" i="3"/>
  <c r="M22" i="3"/>
  <c r="Q22" i="3"/>
  <c r="D23" i="3"/>
  <c r="H23" i="3"/>
  <c r="L23" i="3"/>
  <c r="P23" i="3"/>
  <c r="C24" i="3"/>
  <c r="K24" i="3"/>
  <c r="O24" i="3"/>
  <c r="B25" i="3"/>
  <c r="F25" i="3"/>
  <c r="J25" i="3"/>
  <c r="N25" i="3"/>
  <c r="C3" i="3"/>
  <c r="G4" i="3"/>
  <c r="E5" i="3"/>
  <c r="L5" i="3"/>
  <c r="C6" i="3"/>
  <c r="I6" i="3"/>
  <c r="G7" i="3"/>
  <c r="N7" i="3"/>
  <c r="C8" i="3"/>
  <c r="K8" i="3"/>
  <c r="H9" i="3"/>
  <c r="E10" i="3"/>
  <c r="L10" i="3"/>
  <c r="C11" i="3"/>
  <c r="J11" i="3"/>
  <c r="G12" i="3"/>
  <c r="N12" i="3"/>
  <c r="D13" i="3"/>
  <c r="L13" i="3"/>
  <c r="H14" i="3"/>
  <c r="H17" i="3"/>
  <c r="N17" i="3"/>
  <c r="D18" i="3"/>
  <c r="L18" i="3"/>
  <c r="B19" i="3"/>
  <c r="H19" i="3"/>
  <c r="P19" i="3"/>
  <c r="F20" i="3"/>
  <c r="M20" i="3"/>
  <c r="C21" i="3"/>
  <c r="H21" i="3"/>
  <c r="M21" i="3"/>
  <c r="B22" i="3"/>
  <c r="L22" i="3"/>
  <c r="F23" i="3"/>
  <c r="K23" i="3"/>
  <c r="Q23" i="3"/>
  <c r="E24" i="3"/>
  <c r="J24" i="3"/>
  <c r="P24" i="3"/>
  <c r="D25" i="3"/>
  <c r="I25" i="3"/>
  <c r="O25" i="3"/>
  <c r="B26" i="3"/>
  <c r="F26" i="3"/>
  <c r="J26" i="3"/>
  <c r="N26" i="3"/>
  <c r="E27" i="3"/>
  <c r="I27" i="3"/>
  <c r="M27" i="3"/>
  <c r="Q27" i="3"/>
  <c r="B4" i="3"/>
  <c r="J4" i="3"/>
  <c r="F5" i="3"/>
  <c r="N5" i="3"/>
  <c r="D6" i="3"/>
  <c r="K6" i="3"/>
  <c r="B7" i="3"/>
  <c r="H7" i="3"/>
  <c r="O7" i="3"/>
  <c r="F8" i="3"/>
  <c r="M8" i="3"/>
  <c r="B9" i="3"/>
  <c r="J9" i="3"/>
  <c r="G10" i="3"/>
  <c r="O10" i="3"/>
  <c r="D11" i="3"/>
  <c r="K11" i="3"/>
  <c r="B12" i="3"/>
  <c r="I12" i="3"/>
  <c r="V48" i="1" s="1"/>
  <c r="O12" i="3"/>
  <c r="F13" i="3"/>
  <c r="M13" i="3"/>
  <c r="C14" i="3"/>
  <c r="K14" i="3"/>
  <c r="B17" i="3"/>
  <c r="I17" i="3"/>
  <c r="P17" i="3"/>
  <c r="M18" i="3"/>
  <c r="C19" i="3"/>
  <c r="K19" i="3"/>
  <c r="O20" i="3"/>
  <c r="D21" i="3"/>
  <c r="I21" i="3"/>
  <c r="O21" i="3"/>
  <c r="C22" i="3"/>
  <c r="H22" i="3"/>
  <c r="N22" i="3"/>
  <c r="B23" i="3"/>
  <c r="M23" i="3"/>
  <c r="F24" i="3"/>
  <c r="L24" i="3"/>
  <c r="Q24" i="3"/>
  <c r="E25" i="3"/>
  <c r="K25" i="3"/>
  <c r="P25" i="3"/>
  <c r="C26" i="3"/>
  <c r="K26" i="3"/>
  <c r="O26" i="3"/>
  <c r="B27" i="3"/>
  <c r="F27" i="3"/>
  <c r="J27" i="3"/>
  <c r="N27" i="3"/>
  <c r="O27" i="3"/>
  <c r="P26" i="3"/>
  <c r="H26" i="3"/>
  <c r="Q25" i="3"/>
  <c r="M24" i="3"/>
  <c r="B24" i="3"/>
  <c r="I23" i="3"/>
  <c r="O22" i="3"/>
  <c r="D22" i="3"/>
  <c r="K21" i="3"/>
  <c r="Q20" i="3"/>
  <c r="B20" i="3"/>
  <c r="F19" i="3"/>
  <c r="H18" i="3"/>
  <c r="J17" i="3"/>
  <c r="E14" i="3"/>
  <c r="H13" i="3"/>
  <c r="J12" i="3"/>
  <c r="N11" i="3"/>
  <c r="E9" i="3"/>
  <c r="G8" i="3"/>
  <c r="J7" i="3"/>
  <c r="M6" i="3"/>
  <c r="E4" i="3"/>
  <c r="L27" i="3"/>
  <c r="D27" i="3"/>
  <c r="M26" i="3"/>
  <c r="E26" i="3"/>
  <c r="M25" i="3"/>
  <c r="C25" i="3"/>
  <c r="I24" i="3"/>
  <c r="O23" i="3"/>
  <c r="E23" i="3"/>
  <c r="K22" i="3"/>
  <c r="Q21" i="3"/>
  <c r="K20" i="3"/>
  <c r="N19" i="3"/>
  <c r="Q18" i="3"/>
  <c r="C18" i="3"/>
  <c r="E17" i="3"/>
  <c r="M14" i="3"/>
  <c r="B13" i="3"/>
  <c r="E12" i="3"/>
  <c r="H11" i="3"/>
  <c r="K10" i="3"/>
  <c r="M9" i="3"/>
  <c r="B8" i="3"/>
  <c r="D7" i="3"/>
  <c r="H6" i="3"/>
  <c r="J5" i="3"/>
  <c r="M4" i="3"/>
  <c r="K27" i="3"/>
  <c r="C27" i="3"/>
  <c r="L26" i="3"/>
  <c r="D26" i="3"/>
  <c r="L25" i="3"/>
  <c r="H24" i="3"/>
  <c r="N23" i="3"/>
  <c r="C23" i="3"/>
  <c r="J22" i="3"/>
  <c r="P21" i="3"/>
  <c r="E21" i="3"/>
  <c r="J20" i="3"/>
  <c r="L19" i="3"/>
  <c r="O18" i="3"/>
  <c r="D17" i="3"/>
  <c r="L14" i="3"/>
  <c r="N13" i="3"/>
  <c r="C12" i="3"/>
  <c r="F11" i="3"/>
  <c r="I10" i="3"/>
  <c r="L9" i="3"/>
  <c r="N8" i="3"/>
  <c r="C7" i="3"/>
  <c r="E6" i="3"/>
  <c r="I5" i="3"/>
  <c r="K4" i="3"/>
  <c r="C2" i="3"/>
  <c r="P20" i="3"/>
  <c r="L20" i="3"/>
  <c r="H20" i="3"/>
  <c r="D20" i="3"/>
  <c r="Q19" i="3"/>
  <c r="M19" i="3"/>
  <c r="I19" i="3"/>
  <c r="E19" i="3"/>
  <c r="N18" i="3"/>
  <c r="J18" i="3"/>
  <c r="F18" i="3"/>
  <c r="B18" i="3"/>
  <c r="O17" i="3"/>
  <c r="K17" i="3"/>
  <c r="C17" i="3"/>
  <c r="H16" i="3"/>
  <c r="N14" i="3"/>
  <c r="J14" i="3"/>
  <c r="F14" i="3"/>
  <c r="B14" i="3"/>
  <c r="O13" i="3"/>
  <c r="K13" i="3"/>
  <c r="G13" i="3"/>
  <c r="C13" i="3"/>
  <c r="L12" i="3"/>
  <c r="H12" i="3"/>
  <c r="D12" i="3"/>
  <c r="U48" i="1" s="1"/>
  <c r="M11" i="3"/>
  <c r="I11" i="3"/>
  <c r="E11" i="3"/>
  <c r="N10" i="3"/>
  <c r="J10" i="3"/>
  <c r="F10" i="3"/>
  <c r="B10" i="3"/>
  <c r="O9" i="3"/>
  <c r="K9" i="3"/>
  <c r="G9" i="3"/>
  <c r="C9" i="3"/>
  <c r="L8" i="3"/>
  <c r="H8" i="3"/>
  <c r="D8" i="3"/>
  <c r="M7" i="3"/>
  <c r="I7" i="3"/>
  <c r="E7" i="3"/>
  <c r="N6" i="3"/>
  <c r="J6" i="3"/>
  <c r="F6" i="3"/>
  <c r="B6" i="3"/>
  <c r="O5" i="3"/>
  <c r="K5" i="3"/>
  <c r="G5" i="3"/>
  <c r="C5" i="3"/>
  <c r="L4" i="3"/>
  <c r="H4" i="3"/>
  <c r="D4" i="3"/>
  <c r="V22" i="1" l="1"/>
  <c r="W23" i="1"/>
  <c r="W22" i="1"/>
  <c r="V23" i="1"/>
  <c r="T22" i="1"/>
  <c r="U22" i="1"/>
  <c r="T23" i="1"/>
  <c r="U23" i="1"/>
  <c r="U55" i="1"/>
  <c r="T55" i="1"/>
  <c r="W43" i="1"/>
  <c r="W37" i="1"/>
  <c r="W35" i="1"/>
  <c r="V47" i="1"/>
  <c r="V45" i="1"/>
  <c r="V43" i="1"/>
  <c r="V37" i="1"/>
  <c r="V35" i="1"/>
  <c r="V38" i="1"/>
  <c r="V46" i="1"/>
  <c r="W38" i="1"/>
  <c r="W36" i="1"/>
  <c r="V36" i="1"/>
  <c r="W31" i="1"/>
  <c r="W27" i="1"/>
  <c r="W8" i="1"/>
  <c r="V8" i="1"/>
  <c r="V9" i="1"/>
  <c r="W32" i="1"/>
  <c r="W26" i="1"/>
  <c r="W9" i="1"/>
  <c r="V27" i="1"/>
  <c r="V26" i="1"/>
  <c r="W42" i="1"/>
  <c r="W48" i="1"/>
  <c r="W47" i="1"/>
  <c r="W45" i="1"/>
  <c r="W46" i="1"/>
  <c r="V24" i="1"/>
  <c r="W39" i="1"/>
  <c r="V53" i="1"/>
  <c r="V52" i="1"/>
  <c r="W52" i="1"/>
  <c r="V30" i="1"/>
  <c r="W14" i="1"/>
  <c r="V29" i="1"/>
  <c r="V14" i="1"/>
  <c r="V13" i="1"/>
  <c r="W13" i="1"/>
  <c r="W11" i="1"/>
  <c r="V11" i="1"/>
  <c r="W24" i="1"/>
  <c r="W29" i="1"/>
  <c r="W18" i="1"/>
  <c r="V18" i="1"/>
  <c r="V15" i="1"/>
  <c r="V28" i="1"/>
  <c r="V19" i="1"/>
  <c r="W44" i="1"/>
  <c r="W28" i="1"/>
  <c r="W19" i="1"/>
  <c r="W15" i="1"/>
  <c r="W55" i="1"/>
  <c r="W49" i="1"/>
  <c r="W33" i="1"/>
  <c r="V55" i="1"/>
  <c r="V49" i="1"/>
  <c r="V41" i="1"/>
  <c r="V33" i="1"/>
  <c r="V40" i="1"/>
  <c r="T24" i="1"/>
  <c r="U24" i="1"/>
  <c r="T11" i="1"/>
  <c r="U18" i="1"/>
  <c r="U14" i="1"/>
  <c r="T13" i="1"/>
  <c r="U39" i="1"/>
  <c r="U29" i="1"/>
  <c r="T34" i="1"/>
  <c r="T39" i="1"/>
  <c r="T29" i="1"/>
  <c r="T18" i="1"/>
  <c r="T14" i="1"/>
  <c r="T28" i="1"/>
  <c r="T15" i="1"/>
  <c r="T19" i="1"/>
  <c r="U44" i="1"/>
  <c r="U34" i="1"/>
  <c r="U28" i="1"/>
  <c r="U19" i="1"/>
  <c r="U15" i="1"/>
  <c r="U13" i="1"/>
  <c r="U11" i="1"/>
  <c r="T44" i="1"/>
  <c r="W41" i="1"/>
  <c r="V51" i="1"/>
  <c r="V25" i="1"/>
  <c r="V50" i="1"/>
  <c r="W50" i="1"/>
  <c r="W40" i="1"/>
  <c r="V54" i="1"/>
  <c r="U47" i="1"/>
  <c r="U45" i="1"/>
  <c r="U43" i="1"/>
  <c r="U37" i="1"/>
  <c r="U35" i="1"/>
  <c r="T47" i="1"/>
  <c r="T45" i="1"/>
  <c r="T43" i="1"/>
  <c r="T37" i="1"/>
  <c r="T35" i="1"/>
  <c r="U46" i="1"/>
  <c r="U38" i="1"/>
  <c r="U36" i="1"/>
  <c r="T46" i="1"/>
  <c r="T38" i="1"/>
  <c r="T36" i="1"/>
  <c r="U25" i="1"/>
  <c r="U53" i="1"/>
  <c r="U51" i="1"/>
  <c r="U49" i="1"/>
  <c r="U41" i="1"/>
  <c r="U33" i="1"/>
  <c r="U20" i="1"/>
  <c r="U16" i="1"/>
  <c r="U10" i="1"/>
  <c r="T21" i="1"/>
  <c r="T53" i="1"/>
  <c r="T51" i="1"/>
  <c r="T49" i="1"/>
  <c r="T41" i="1"/>
  <c r="T33" i="1"/>
  <c r="T25" i="1"/>
  <c r="T20" i="1"/>
  <c r="T16" i="1"/>
  <c r="T10" i="1"/>
  <c r="T30" i="1"/>
  <c r="U54" i="1"/>
  <c r="U52" i="1"/>
  <c r="U50" i="1"/>
  <c r="U40" i="1"/>
  <c r="U30" i="1"/>
  <c r="U21" i="1"/>
  <c r="U17" i="1"/>
  <c r="U7" i="1"/>
  <c r="T54" i="1"/>
  <c r="T52" i="1"/>
  <c r="T50" i="1"/>
  <c r="T40" i="1"/>
  <c r="T17" i="1"/>
  <c r="T7" i="1"/>
  <c r="U12" i="1"/>
  <c r="U8" i="1"/>
  <c r="T32" i="1"/>
  <c r="U31" i="1"/>
  <c r="U27" i="1"/>
  <c r="T9" i="1"/>
  <c r="T31" i="1"/>
  <c r="T27" i="1"/>
  <c r="T12" i="1"/>
  <c r="T8" i="1"/>
  <c r="U42" i="1"/>
  <c r="U32" i="1"/>
  <c r="U26" i="1"/>
  <c r="U9" i="1"/>
  <c r="T42" i="1"/>
  <c r="T26" i="1"/>
  <c r="T48" i="1"/>
  <c r="W53" i="1"/>
  <c r="W51" i="1"/>
  <c r="W25" i="1"/>
  <c r="W20" i="1"/>
  <c r="W16" i="1"/>
  <c r="W10" i="1"/>
  <c r="V17" i="1"/>
  <c r="V7" i="1"/>
  <c r="V20" i="1"/>
  <c r="V16" i="1"/>
  <c r="V10" i="1"/>
  <c r="W54" i="1"/>
  <c r="W30" i="1"/>
  <c r="W21" i="1"/>
  <c r="W17" i="1"/>
  <c r="W7" i="1"/>
  <c r="V21" i="1"/>
  <c r="V39" i="1"/>
  <c r="V34" i="1"/>
  <c r="W34" i="1"/>
  <c r="V44" i="1"/>
  <c r="W12" i="1"/>
  <c r="V31" i="1"/>
  <c r="V12" i="1"/>
  <c r="V32" i="1"/>
  <c r="W6" i="1"/>
  <c r="U6" i="1"/>
  <c r="T6" i="1" l="1"/>
  <c r="V6" i="1"/>
</calcChain>
</file>

<file path=xl/sharedStrings.xml><?xml version="1.0" encoding="utf-8"?>
<sst xmlns="http://schemas.openxmlformats.org/spreadsheetml/2006/main" count="808" uniqueCount="294">
  <si>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</si>
  <si>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</si>
  <si>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</si>
  <si>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</si>
  <si>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</si>
  <si>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</si>
  <si>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</si>
  <si>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</si>
  <si>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</si>
  <si>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</si>
  <si>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</si>
  <si>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</si>
  <si>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</si>
  <si>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</si>
  <si>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</si>
  <si>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</si>
  <si>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</si>
  <si>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</si>
  <si>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</si>
  <si>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</si>
  <si>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</si>
  <si>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</si>
  <si>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</si>
  <si>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</si>
  <si>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</si>
  <si>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</si>
  <si>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</si>
  <si>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</si>
  <si>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</si>
  <si>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</si>
  <si>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</si>
  <si>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</si>
  <si>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</si>
  <si>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</si>
  <si>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</si>
  <si>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</si>
  <si>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</si>
  <si>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</si>
  <si>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</si>
  <si>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0340-2</t>
  </si>
  <si>
    <t>0340-1</t>
  </si>
  <si>
    <t>0340-3</t>
  </si>
  <si>
    <t>0340-4</t>
  </si>
  <si>
    <t>0340-5</t>
  </si>
  <si>
    <t>0320-1</t>
  </si>
  <si>
    <t>0320-4</t>
  </si>
  <si>
    <t>0320-2</t>
  </si>
  <si>
    <t>0320-3</t>
  </si>
  <si>
    <t>0320-5</t>
  </si>
  <si>
    <t>0330-1</t>
  </si>
  <si>
    <t>0330-2</t>
  </si>
  <si>
    <t>0330-3</t>
  </si>
  <si>
    <t>0330-4</t>
  </si>
  <si>
    <t>0330-5</t>
  </si>
  <si>
    <t>0310-1</t>
  </si>
  <si>
    <t>0310-2</t>
  </si>
  <si>
    <t>0310-3</t>
  </si>
  <si>
    <t>0310-4</t>
  </si>
  <si>
    <t>0310-5</t>
  </si>
  <si>
    <t>0350-1</t>
  </si>
  <si>
    <t>0350-2</t>
  </si>
  <si>
    <t>0350-3</t>
  </si>
  <si>
    <t>0350-4</t>
  </si>
  <si>
    <t>0350-5</t>
  </si>
  <si>
    <t>ALM+AIM grid interface</t>
  </si>
  <si>
    <t>ALM+AIM grid interface
Enclosure</t>
  </si>
  <si>
    <t>DC Bus</t>
  </si>
  <si>
    <t xml:space="preserve">Energy Storage </t>
  </si>
  <si>
    <t>MV Transformer</t>
  </si>
  <si>
    <t>MV Transformer Enclosure</t>
  </si>
  <si>
    <t xml:space="preserve">Controls level and quality of power delivered to the grid 
</t>
  </si>
  <si>
    <t>Failed ALM+AIM grid interface</t>
  </si>
  <si>
    <t>Fire/smoke</t>
  </si>
  <si>
    <t>Failed multiple (x) MoMos</t>
  </si>
  <si>
    <t>Failed single MoMo</t>
  </si>
  <si>
    <t>Failed MV Transformer</t>
  </si>
  <si>
    <t>Corrosion induced failure short circuit</t>
  </si>
  <si>
    <t>Improper installation or manufacturing defect results in failure</t>
  </si>
  <si>
    <t>Vibration and/or motion induced failure</t>
  </si>
  <si>
    <t>Water induced failure 
(non-corrosion)</t>
  </si>
  <si>
    <t>Electrical short</t>
  </si>
  <si>
    <t>Water induced failure (non-corrosion)</t>
  </si>
  <si>
    <t>Normal</t>
  </si>
  <si>
    <t>1)Marine rated corrosion resistance design
2) Redundant design, two ALM+AIM grid interface modules</t>
  </si>
  <si>
    <t>1) V&amp;V (QC)</t>
  </si>
  <si>
    <t>1)Marine rated waterproof enclosure
2) Redundant design, two ALM+AIM grid interface modules</t>
  </si>
  <si>
    <t>1) Vibration analysis
2) Equipment and installation designed for dynamic environment</t>
  </si>
  <si>
    <t>1) Vibration analysis
2) Equipment and installation designed for dynamic environment
2) Redundant design, 6 MoMo per generator</t>
  </si>
  <si>
    <t xml:space="preserve">1) Marine rated waterproof enclosure
2) Limit number of MoMo per enclosure
3) Redundant design, 6 MoMo per generator
</t>
  </si>
  <si>
    <t xml:space="preserve">1) Marine rated transformer
</t>
  </si>
  <si>
    <t xml:space="preserve">1) Airtight enclosure </t>
  </si>
  <si>
    <t>1) Visual inspection</t>
  </si>
  <si>
    <t>none</t>
  </si>
  <si>
    <t>1) SCADA diagnostics 
2) Visual inspection</t>
  </si>
  <si>
    <t xml:space="preserve">1) Fire/smoke alarm
</t>
  </si>
  <si>
    <t>SCADA Diagnostics</t>
  </si>
  <si>
    <t>1) Enclosure fire alarm
2) Enclosure temperature
3) Visible and IR camera</t>
  </si>
  <si>
    <t>Manual in-situ inspection and repair</t>
  </si>
  <si>
    <t>Manual in-situ repair and inspection</t>
  </si>
  <si>
    <t xml:space="preserve">Use watertight cable, connectors and enclosures.  Route cable for no rubbing abrasion. </t>
  </si>
  <si>
    <t xml:space="preserve">Use a CRT marine rated transformer
</t>
  </si>
  <si>
    <t>0300 Electric Plant (Motion-to-Grid, Siemens) FMECA Table</t>
  </si>
  <si>
    <t>0360-1</t>
  </si>
  <si>
    <t>0370-1</t>
  </si>
  <si>
    <t>Emergency Resistor</t>
  </si>
  <si>
    <t xml:space="preserve">Load for burning power in case of DC bus overvoltage during a loss of grid </t>
  </si>
  <si>
    <t>0380-1</t>
  </si>
  <si>
    <t>Electrical connection between MoMos, ALMs, Energy Storage, and Emergency resistor</t>
  </si>
  <si>
    <t>0360-2</t>
  </si>
  <si>
    <t>0360-3</t>
  </si>
  <si>
    <t>0360-4</t>
  </si>
  <si>
    <t>0360-5</t>
  </si>
  <si>
    <t xml:space="preserve">1) Electrically isolate transformer 
2) Loss of grid connection
3) Reduction in power production to station power level
4) Islanding mode
5) Significant reduction in damping
</t>
  </si>
  <si>
    <t>Electrical short (no water or corrosion)</t>
  </si>
  <si>
    <t>Motor Modules (MoMo)</t>
  </si>
  <si>
    <t>0390-1</t>
  </si>
  <si>
    <t>M2G Enclosures</t>
  </si>
  <si>
    <t>1) V&amp;V (QC)
2) Automatic fire extinguishers</t>
  </si>
  <si>
    <t xml:space="preserve">1) Free-wheeling one PTO
2) Electrical isolation of port/strd M2G systems
3) Automatic fire extinguisher
</t>
  </si>
  <si>
    <t>Short DC bus</t>
  </si>
  <si>
    <t>Open DC bus</t>
  </si>
  <si>
    <t>Faulted Energy Storage</t>
  </si>
  <si>
    <t>Corrosion induced failure short/open circuit</t>
  </si>
  <si>
    <t xml:space="preserve">Electrical short fault leads to smoke/fire  </t>
  </si>
  <si>
    <t>Depending on the amount of power smoothing required, power reduction or power burn could occur.  For example, if power is allowed to vary from 0-500kW and each ALM is 300kW, power now is reduced to band of 0-300kW.</t>
  </si>
  <si>
    <t>Transforms AC power from 480V to 11.5kV for utility grid connection</t>
  </si>
  <si>
    <t xml:space="preserve">1) Electrically isolate transformer 
2) Loss of grid connection
3) Reduction in power production to station power level
4) Islanding mode
5) Significant reduction in damping
6) Automatic fire extinguisher
</t>
  </si>
  <si>
    <t>1)Automatic fire extinguisher</t>
  </si>
  <si>
    <t xml:space="preserve">Medium voltage (11.5kV) connection from transformer to umbilical cable. </t>
  </si>
  <si>
    <t>Fault - short circuit</t>
  </si>
  <si>
    <t>1) Marine rated design and components</t>
  </si>
  <si>
    <t xml:space="preserve">1) Visual inspection
</t>
  </si>
  <si>
    <t>1) Grid connection breaker over-circuit trip
2) SCADA diagnostics</t>
  </si>
  <si>
    <t xml:space="preserve">1) V&amp;V (QC) during manufacturing and assembly
</t>
  </si>
  <si>
    <t>1) Grid connection breakers for electrical isolation
2) Marine rated MV equipment design</t>
  </si>
  <si>
    <t xml:space="preserve">1) Visual inspections
</t>
  </si>
  <si>
    <t>0370-2</t>
  </si>
  <si>
    <t>0370-3</t>
  </si>
  <si>
    <t>0370-4</t>
  </si>
  <si>
    <t>0370-5</t>
  </si>
  <si>
    <t xml:space="preserve">1) Marine rated design
</t>
  </si>
  <si>
    <t xml:space="preserve">1) Fire/smoke alarm
2) High temperature alarm on emergency resistors
</t>
  </si>
  <si>
    <t xml:space="preserve">1) Marine rated design
2) Automatic fire extinguishers
</t>
  </si>
  <si>
    <t>Fault - open circuit</t>
  </si>
  <si>
    <t>Make/Break MV connection to grid</t>
  </si>
  <si>
    <t>Switch Gear - MV breaker, transformer</t>
  </si>
  <si>
    <t>Switch Gear - LV breaker, transformer</t>
  </si>
  <si>
    <t>Make/Break 480vac connection to electric plant</t>
  </si>
  <si>
    <t>Make/Break fwd ALM 480vac connection to transformer</t>
  </si>
  <si>
    <t>Make/Break DC bus cross connection</t>
  </si>
  <si>
    <t>Make/Break fwd DC bus to energy storage connection</t>
  </si>
  <si>
    <t xml:space="preserve">1) loss of grid connection
2) Reduction in power production to station power level
3) Islanding mode
4) Significant reduction in damping
</t>
  </si>
  <si>
    <t>Electrical fault</t>
  </si>
  <si>
    <t xml:space="preserve">1) V&amp;V (QC) </t>
  </si>
  <si>
    <t xml:space="preserve">none
</t>
  </si>
  <si>
    <t>1) SCADA Diagnostics</t>
  </si>
  <si>
    <t>1) Reduction in peak power to grid limit</t>
  </si>
  <si>
    <t>1) redundant design, two ALMs</t>
  </si>
  <si>
    <t>1) Emergency resistors over-current breaker trip - open
2) SCADA diagnostics
 - loss of grid
 - DC bus voltage</t>
  </si>
  <si>
    <t>Switch Gear - Fwd /Aft ALM breaker</t>
  </si>
  <si>
    <t>1) Change in operation power flow</t>
  </si>
  <si>
    <t>Switch Gear - DC energy storage breaker ,  1 &amp; 2</t>
  </si>
  <si>
    <t xml:space="preserve">1) Reduction in power smoothing, possible reduction in  power to grid </t>
  </si>
  <si>
    <t>Fault - open circuit, both energy storage system breakers open</t>
  </si>
  <si>
    <t>1) Loss of all power smoothing
2) Reduction is power to grid
3) Reduced damping or active power burn</t>
  </si>
  <si>
    <t xml:space="preserve">Is there enough current capacity in the MoMos to make up for the reduced torque limit? Depend on final design </t>
  </si>
  <si>
    <t>Check vibration ratings and standards, use LandRAY vibration data</t>
  </si>
  <si>
    <t>Dry control room standards during installation and maintenance</t>
  </si>
  <si>
    <t xml:space="preserve">1) HECO interface requirements needed
</t>
  </si>
  <si>
    <t>Should include controllable power burn resistor bank for loss of energy storage &amp; loss of grid connection faults</t>
  </si>
  <si>
    <t xml:space="preserve">1) HECO interface requirements needed
2) Define energy storage water resistance
</t>
  </si>
  <si>
    <t>Should include controllable power burn resistor bank for loss of energy storage &amp; loss of grid connection faults,  Caps are IP-65</t>
  </si>
  <si>
    <t>Umbilical Cable Connection (All MV equipment)</t>
  </si>
  <si>
    <t>Switch Gear - DC cross-connection breaker 1</t>
  </si>
  <si>
    <t xml:space="preserve">1) Disconnect from resistor
2) Disconnect all stators from MoMo
3) Open DC cross-connection
4) Free wheeling
5) reduced controlled shut-down speed
</t>
  </si>
  <si>
    <t>Following a Loss of grid
1) Huge waves
2) Over-voltage 
3) Resistor fault - short circuit</t>
  </si>
  <si>
    <t xml:space="preserve">
</t>
  </si>
  <si>
    <t>0320-6</t>
  </si>
  <si>
    <t>0320-7</t>
  </si>
  <si>
    <t>0320-8</t>
  </si>
  <si>
    <t xml:space="preserve">1)Marine rated corrosion resistance design
2) Independent buses, one for each PTO
</t>
  </si>
  <si>
    <t>1) V&amp;V (QC)
2) Independent buses, one for each PTO</t>
  </si>
  <si>
    <t>1) Dry control room
2) Marine rated design 
3) Independent buses, one for each PTO</t>
  </si>
  <si>
    <t>1) Vibration analysis
2) Equipment and installation designed for dynamic environment
3) Independent buses, one for each PTO</t>
  </si>
  <si>
    <t xml:space="preserve">1)Marine rated corrosion resistance design
2) Segmented generator, controlled by 9 independent  MoMos. 
</t>
  </si>
  <si>
    <t xml:space="preserve">1) Vibration analysis
2) Equipment and installation designed for dynamic environment
2) Segmented generator, controlled by 9 independent  MoMos. </t>
  </si>
  <si>
    <t xml:space="preserve">1) V&amp;V (QC)
2) Segmented generator, controlled by 9 independent  MoMos. </t>
  </si>
  <si>
    <t xml:space="preserve">1) Marine rated waterproof enclosure
2) Limit number of MoMo per enclosure
3) Segmented generator, controlled by 9 independent  MoMos. 
</t>
  </si>
  <si>
    <t>1)Marine rated corrosion resistance design
2) Independent buses, one for each PTO</t>
  </si>
  <si>
    <t xml:space="preserve">1) Marine rated corrosion resistance design
2) Divided system, two energy storage, one port, one stbd. 
</t>
  </si>
  <si>
    <t xml:space="preserve">1) V&amp;V (QC)
2) Divided system, two energy storage, one port, one stbd. </t>
  </si>
  <si>
    <t xml:space="preserve">1) Vibration analysis
2) Equipment and installation designed for dynamic environment
3) Divided system, two energy storage, one port, one stbd. </t>
  </si>
  <si>
    <t xml:space="preserve">1) Marine rated waterproof design 
2) Divided system, two energy storage, one port, one stbd. 
</t>
  </si>
  <si>
    <t>1) V&amp;V (QC)
2) Redundant design, two ALM+AIM grid interface modules</t>
  </si>
  <si>
    <t>1) Vibration analysis
2) Equipment and installation designed for dynamic environment
3) Redundant design, 2 ALM+AIM grid interface modules</t>
  </si>
  <si>
    <t>0320-9</t>
  </si>
  <si>
    <t>0380-2</t>
  </si>
  <si>
    <t>0380-3</t>
  </si>
  <si>
    <t>0380-4</t>
  </si>
  <si>
    <t>0380-5</t>
  </si>
  <si>
    <t>0380-6</t>
  </si>
  <si>
    <t>SR-RR-0300</t>
  </si>
  <si>
    <t>2.0</t>
  </si>
  <si>
    <t>J Prudell</t>
  </si>
  <si>
    <t>1.0</t>
  </si>
  <si>
    <t>Released to GH for review</t>
  </si>
  <si>
    <t>Edits following GH review</t>
  </si>
  <si>
    <t>P Lenee-Bluhm, E Hammagren, A Schacher, Z Zhang, M Ondusko</t>
  </si>
  <si>
    <t>New format and risk ranking, additional input</t>
  </si>
  <si>
    <t>StingRAY Electric Plant FMECA</t>
  </si>
  <si>
    <t>Islanding Mode</t>
  </si>
  <si>
    <t>0310-6</t>
  </si>
  <si>
    <t>0310-7</t>
  </si>
  <si>
    <t>0310-8</t>
  </si>
  <si>
    <t>0310-9</t>
  </si>
  <si>
    <t>Power smoothing
Stores and provides energy to the ALM</t>
  </si>
  <si>
    <t>Provide applicable IEC IP rating</t>
  </si>
  <si>
    <t>1) Include automatic fire extinguisher systems in the enclosures
2) What is required for personnel and ventilation - Marine Contractor (TBD)</t>
  </si>
  <si>
    <t>Expert Review</t>
  </si>
  <si>
    <t>Corp Appr</t>
  </si>
  <si>
    <t>Eng man Appr</t>
  </si>
  <si>
    <t>CPwr Review</t>
  </si>
  <si>
    <t>Failed multiple (x) MoMos in enclosure due to enclosure short</t>
  </si>
  <si>
    <t>DNV GL comments</t>
  </si>
  <si>
    <t xml:space="preserve">1) Disconnect from resistor
2) Disconnect all stators from MoMo
3) Open DC cross-connection
4) Free wheeling
5) reduced controlled shut-down speed
</t>
  </si>
  <si>
    <t>A marine cast resin transformer will be used. The transformer will be centrally located in the nacelle isolated to limit personnel access.</t>
  </si>
  <si>
    <t xml:space="preserve">1) Disconnect from resistor
2) Disconnect all stators from MoMo
3) Open DC cross-connection
4) Free wheeling
5) reduced controlled shut-down speed
</t>
  </si>
  <si>
    <t>It is assumed that failure due to improper installation or manufacturing faults are usually mitigated via manufacturer's in house quality control and testing of the components. The failure mode should focus on quality control or testing specific to the WEC applications. Hence, the description of failure cause to be more specific to capture the failure causes unique to StingRAY device, or remove if none has been identified.</t>
  </si>
  <si>
    <t>See comment in Risk ID 0310-2</t>
  </si>
  <si>
    <t>Please clarify the "Open DC cross connect" failure effect</t>
  </si>
  <si>
    <t>See comment in Risk ID 0330-1</t>
  </si>
  <si>
    <t>0310: Failure mode: overspeed in motor operation possible/ to be considered? Furthermore, asynchronous or motor operation  of single MoMos possible?
Please clarify if overspeed during motor operation, asynchronous of motor operation of single MoMos is possible. Failure mode needs to be considered.
General comment:
All electrical components can be repaired in-situ. This is assuming that the repair is possible considering the limitations below: 
1. Limitation due to access and size of the hatches and size of the modules to be repaired.
2. Movement of WEC
3. Commissioning/partial commissioning or testing offshore after repair or replacement of parts.
Please clarify.
For the failure that requires replacement of the whole module, would a dry dock repair required due to the limitations mentioned above?
Also see risk ID 0330-1 for comment on occurrence class</t>
  </si>
  <si>
    <t>see comment in risk 0320-3</t>
  </si>
  <si>
    <t>See comment in risk ID 0320-9</t>
  </si>
  <si>
    <t>See comment in risk ID 0320-9
Dry dock repair is assumed to match the severity class</t>
  </si>
  <si>
    <t>Internal fault causing short-term high/over pressure inside the nacelle, such as gas pressure resulting from internal arcs within the switchboard, needs to be considered. Please clarify.</t>
  </si>
  <si>
    <t>see comment in risk ID 0320-3</t>
  </si>
  <si>
    <t>Corrosion induced failure should have probability of failure corresponding to FLS design criteria. Although the component is marinised, the probability of failure remains uncertain unless the manufacturer is able to provide evidence or data to demonstrate the reliability of the component is compatible to the occurrence class assigned. Therefore, it is recommended to use severity class 7 such that a recommended action is given to ensure the risks are controlled.</t>
  </si>
  <si>
    <t>Occurrence class is lower than that in the MoMo for the same failure cause. Please explain.</t>
  </si>
  <si>
    <t xml:space="preserve">1) Disconnect from transformer
2) Disconnect from grid at shore 4) loss of grid connection
5) Reduction in power production to station power level
6) Islanding mode
7) Significant reduction in damping
</t>
  </si>
  <si>
    <t xml:space="preserve">1) Disconnect from transformer
2) Disconnect from grid at shore 4) loss of grid connection
5) Reduction in power production to station power level
6) Islanding mode
7) Significant reduction in damping
8)Automatic fire extinguisher
</t>
  </si>
  <si>
    <t>Please provide the basis of using different occurrence class for failure cause "Vibration and/or motion induced failure" for all the components in the electric plant.
Vibration induced failure is normally expected to have occurrence class 7, same as that for MoMo. Given the novelty, the probability of failure remains uncertain unless manufacturer is able to provide evidence or data to show that the reliability of the component is compatible to the occurrence class assigned. Therefore, it is recommended to use severity class 7 such that a recommended action is given to ensure the risks are controlled.</t>
  </si>
  <si>
    <t>The electric plant is normally operates with all MoMo connected to cross connected DC bus.  For flux weakening, current must flow.  The opposite PTO could be used as a motor, current sink, to keep voltage down. Resistors are a extreme case protection components.</t>
  </si>
  <si>
    <t>1) After HECO IRS interface - work on MV disconnects/breakers required on-shore and on WEC</t>
  </si>
  <si>
    <t>The electric plant is normally operated with all MoMo connected to cross connected DC bus.  For flux weakening, current must flow.  The opposite PTO could be used as a motor, current sink, to keep voltage down. Resistors are a extreme case protection components.
1) Method for manually testing the resistors operational readiness
2) Is there an active burn system?
3) Can we use the other PTO at a motor?</t>
  </si>
  <si>
    <t>CPwr Comment</t>
  </si>
  <si>
    <t xml:space="preserve">The speed rating for the machine is 150% higher than extreme seas freewheeling worst case real seas simulation.  In the case of speed being higher than set point of 100% speed (~15rpm) M2G MoMo controller can disconnect and allow freewheeling.  While freewheeling, all power electronics are isolated from higher voltage potentials. The MoMos are 4-quadrant controllers, which motor or generate in either direction. An error in controller could cause issue with direction, but M2G control diagnostics would quickly alarm and fault out.  Mechanically designed to either motor or generate at any given time. </t>
  </si>
  <si>
    <t>All electrical components can be repaired in-situ. This is assuming that the repair is possible considering the limitations below: 
1. Limitation due to access and size of the hatches and size of the modules to be repaired.
2. Movement of WEC
3. Commissioning/partial commissioning or testing offshore after repair or replacement of parts.
Clarify between failure that requires replacement of the whole module (dry dock) and partial replacement (in-situ)
Also see risk ID 0330-1 for comment on occurrence class</t>
  </si>
  <si>
    <t>It is assumed that failure due to improper installation or manufacturing faults are usually mitigated via manufacturer's in house quality control and testing of the components.  Anything outisde of what is normal should be documented.</t>
  </si>
  <si>
    <t>Vibration induced failure is normally expected to have occurrence class 7, same as that for MoMo. Given the novelty, the probability of failure remains uncertain unless manufacturer is able to provide evidence or data to show that the reliability of the component is compatible to the occurrence class assigned. Therefore, it is recommended to use severity class 7 such that a recommended action is given to ensure the risks are controlled.</t>
  </si>
  <si>
    <t>OK</t>
  </si>
  <si>
    <t xml:space="preserve">Aggreed. Most are coverd by manufacture with regards to the equipment.  Installation into the WEC is performed by a 3rd party and requires additional V&amp;V of the final complete system assembled inside of the nacelle/WEC. </t>
  </si>
  <si>
    <t xml:space="preserve">Agreed. Vibration analysis at mounting location and design to incorporate vibration mitigation to reduce risk of a vibration induced failure or fault shall be included in all 0300 engineering design requirements. </t>
  </si>
  <si>
    <t xml:space="preserve">1) PTO controlled shutdown
2) Operator can re-start once diagnostics determines fault is isloated and there is no further risk. Re-start PTO with: 
  a. Partial loss of Generator, x/9 
  b. Reduced max torque by x/9
  c. Reduced max damping
  d. Reduction in power due to torque limit reduction by x/9
</t>
  </si>
  <si>
    <t xml:space="preserve">1) PTO controlled shutdown
2) Operator can re-start once diagnostics determines fault is isloated and there is no further risk. Re-start PTO with: 
  a. Partial loss of Generator, 1/9 
  b. Reduced max torque by x19
  c. Reduced max damping
  d. Reduction in power due to torque limit reduction by 1/9
</t>
  </si>
  <si>
    <t xml:space="preserve">1) Marine rated corrosion resistance design
2) Redundant design Segmented generator, controlled by 6 groups of MoMos. 
</t>
  </si>
  <si>
    <t>DC cross-connection is an electrical DC connection linking all MoMo to a signal DC bus. This allows for better power smoothing and increases the reliability of power production.  Port/Stbd MoMo power production can therfore be fed to either port/stbd ALM+AIM to grid.</t>
  </si>
  <si>
    <t>OK add notes</t>
  </si>
  <si>
    <t xml:space="preserve">1) Loss of power smoothing capability
2) Reduction in power production to HECO grid connection limit 500kW. No power smoothing results in reduced average power production  
3) Reduced damping due to power limit
</t>
  </si>
  <si>
    <t xml:space="preserve">1) Electrically isolate enclosures with smoke/fire
2) Automatic fire suppression activated in enclosure by presence of fire/heat
3) Loss of power smoothing capability
4) Reduction in power production to HECO grid connection limit 500kW. No power smoothing results in reduced average power production  
5) Reduced damping due to power limit
</t>
  </si>
  <si>
    <t xml:space="preserve">Energy storage will include resistive discharge in case of a fire. Energy storage will electrically isolate from the M2G then discharge the capacitors via local discharge resistor. </t>
  </si>
  <si>
    <t>Engineering design requirements are being modified to increase safety for maintenance and in care of fault.</t>
  </si>
  <si>
    <t xml:space="preserve">1) Safety &amp; Emergency system - smoke alarm - SCADA initiated electrical isolation of enclosures with smoke/fire
2) Automatic fire suppression activated in enclosure by presence of fire/heat – CO2 fills enclosure
3) Loss of power smoothing capability
4) Reduction in power production to HECO grid connection limit 500kW. No power smoothing results in reduced average power production  
5) Reduced damping due to power limit
</t>
  </si>
  <si>
    <t>Manual in-situ inspection and repair  - dry dock repair is damage is extensive</t>
  </si>
  <si>
    <t>1) Safety &amp; Emergency system - smoke alarm - SCADA initiated electrical isolation of enclosures with smoke/fire
2) Automatic fire suppression activated in enclosure by presence of fire/heat – CO2 fills enclosure
3) Redundant design, two PTOs
4) Redundant design, two ALM+AIM grid interface modules</t>
  </si>
  <si>
    <t xml:space="preserve">1) Safety &amp; Emergency systems smoke alarm - isolate before fire breaks out
2) SCADA diagnostics 
3) Surveillance  - visual inspection 
</t>
  </si>
  <si>
    <t xml:space="preserve">1) Safety &amp; Emergency systems smoke alarm - isolate before fire breaks out
2) SCADA diagnostics 
3) Surveillance - visual inspection 
</t>
  </si>
  <si>
    <t xml:space="preserve">Dry dock repair </t>
  </si>
  <si>
    <t>Design in-situ replacement if possible.  ALM+AIM is a large component in enclosure and would be difficult to replace in-situ.  Design planning for replacement method necessary.</t>
  </si>
  <si>
    <t>Dry dock repair</t>
  </si>
  <si>
    <t>OK, agreed on all dry dock repair.</t>
  </si>
  <si>
    <t>OK, agreed on all dry dock repair. Marine cast resin transformers (CRT) are certified for marine and offshore applications by DNV GL, ABS etc. all over the world.  How does the rated corrosion resistance relate to the FLS? Seems the FLS would relate to the mounting hardware etc. and not to the electrical properties of the transformer performing its function.  This is not a higher occurrence since it's application same as other marine transformers.  Do other marine transformers have a high rate of corrosion induced failure? A high failure rate would be bad for the marine transformer industry. The mounting technique will be put under FLS scrutiny</t>
  </si>
  <si>
    <t>OK - FLS - "vibrations" need to be applied to the mounting of all equipment within the enclosures. The control room climate control system is responsible for maintaining the humidity, and corrosion due to the presence of moisture should be maintained at an acceptable level beyond any risk of FLS.</t>
  </si>
  <si>
    <t>OK,  but disagree with increased occurrence the blanketed response using "FLS" for reasoning  - Explain how to relate Fatigue Limit State to the hard mounted electrical bus?</t>
  </si>
  <si>
    <t>OK,  FLS might apply to the spar platform mounting power resistor.  The power resistor is a protective circuit to allow operations in extreme wave climates.  Otherwise PTO controlled shutdown at a lower sea state.  The operational risk is less.  Reduced the risk.  It should also pose less risk to assets.</t>
  </si>
  <si>
    <t>Hull is vented to atmosphere to prevent any overpressure occurrence.  Switchgear is rated UL 1741, per IEEE 1547, in accordance with NFPA 70. Risk of arc is reduced.  Safety per NFPA 70E.  During maintenance, when NFPA safety applies, spaced a ventilated per DNV-OSS-312.  Further details as design matures more.</t>
  </si>
  <si>
    <t>OK, extent of fire damage will always be analyzed prior to making a decision to go to dry dock.  No reason to go to dry dock when you can replace a smoked IGBT in-situ.</t>
  </si>
  <si>
    <t>There are more MoMo enclosures than energy storage. Put to the same value of occurrence.</t>
  </si>
  <si>
    <t>revised following RC review</t>
  </si>
  <si>
    <t>3.0</t>
  </si>
  <si>
    <t>Updated risk matrix, updated for WEC v3.3 technology</t>
  </si>
  <si>
    <t>- 'set up' and 'linkedPage' are both linked to workbook 'FMECA Master v3.xlsx'</t>
  </si>
  <si>
    <t>- changes to the tables, risk scores, etc must be made in 'FMECA Master v3.xlsx'</t>
  </si>
  <si>
    <t>See comment in Risk ID 0330-2</t>
  </si>
  <si>
    <t>See comment in Risk ID 0310-3</t>
  </si>
  <si>
    <t>Maintenance intervals;
Good control of ambient and temperature;
Vibrations</t>
  </si>
  <si>
    <r>
      <rPr>
        <strike/>
        <sz val="12"/>
        <rFont val="Times New Roman"/>
        <family val="1"/>
      </rPr>
      <t>1</t>
    </r>
    <r>
      <rPr>
        <sz val="12"/>
        <rFont val="Times New Roman"/>
        <family val="1"/>
      </rPr>
      <t xml:space="preserve">
2</t>
    </r>
  </si>
  <si>
    <r>
      <rPr>
        <strike/>
        <sz val="12"/>
        <rFont val="Times New Roman"/>
        <family val="1"/>
      </rPr>
      <t>none</t>
    </r>
    <r>
      <rPr>
        <sz val="12"/>
        <rFont val="Times New Roman"/>
        <family val="1"/>
      </rPr>
      <t xml:space="preserve">
Maintenance intervals;
Good control of ambient and temperature;
Vibrations</t>
    </r>
  </si>
  <si>
    <t>Dry dock repair - pending investigation by service vessel.</t>
  </si>
  <si>
    <r>
      <t xml:space="preserve">
</t>
    </r>
    <r>
      <rPr>
        <sz val="12"/>
        <rFont val="Times New Roman"/>
        <family val="1"/>
      </rPr>
      <t>Dry dock repair - pending investigation by service vessel.</t>
    </r>
  </si>
  <si>
    <t>Control and synchronize a group of stator segments</t>
  </si>
  <si>
    <r>
      <t xml:space="preserve">1) PTO controlled shutdown
</t>
    </r>
    <r>
      <rPr>
        <sz val="12"/>
        <color rgb="FFFF0000"/>
        <rFont val="Times New Roman"/>
        <family val="1"/>
      </rPr>
      <t>2) Loss of AC power generation</t>
    </r>
    <r>
      <rPr>
        <sz val="12"/>
        <rFont val="Times New Roman"/>
        <family val="1"/>
      </rPr>
      <t xml:space="preserve">
</t>
    </r>
    <r>
      <rPr>
        <strike/>
        <sz val="12"/>
        <rFont val="Times New Roman"/>
        <family val="1"/>
      </rPr>
      <t>2) Loss of  power production from one PTO
3) Open DC cross connect to isolate port from stbd PT</t>
    </r>
    <r>
      <rPr>
        <sz val="12"/>
        <rFont val="Times New Roman"/>
        <family val="1"/>
      </rPr>
      <t>O</t>
    </r>
  </si>
  <si>
    <r>
      <t xml:space="preserve">1) Electrically isolate the ALM+AIM from dc bus 
</t>
    </r>
    <r>
      <rPr>
        <strike/>
        <sz val="12"/>
        <rFont val="Times New Roman"/>
        <family val="1"/>
      </rPr>
      <t>2) Power to grid  reduced to one ALM, half capacity (e.g. 300kW)</t>
    </r>
    <r>
      <rPr>
        <sz val="12"/>
        <rFont val="Times New Roman"/>
        <family val="1"/>
      </rPr>
      <t xml:space="preserve">
</t>
    </r>
    <r>
      <rPr>
        <sz val="12"/>
        <color rgb="FFFF0000"/>
        <rFont val="Times New Roman"/>
        <family val="1"/>
      </rPr>
      <t xml:space="preserve">2) Loss of power generation </t>
    </r>
    <r>
      <rPr>
        <sz val="12"/>
        <rFont val="Times New Roman"/>
        <family val="1"/>
      </rPr>
      <t xml:space="preserve">
3)Adverse effect in heavy wave climate</t>
    </r>
  </si>
  <si>
    <r>
      <t xml:space="preserve">1) Electrically isolate enclosures with smoke/fire
2) Automatic fire suppression activated in enclosure by presence of fire/heat
</t>
    </r>
    <r>
      <rPr>
        <sz val="12"/>
        <color rgb="FFFF0000"/>
        <rFont val="Times New Roman"/>
        <family val="1"/>
      </rPr>
      <t>3) Loss of power generation</t>
    </r>
    <r>
      <rPr>
        <sz val="12"/>
        <rFont val="Times New Roman"/>
        <family val="1"/>
      </rPr>
      <t xml:space="preserve">
4) Adverse effect in heavy wave climate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</si>
</sst>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19"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b/>
      <sz val="14"/>
      <color theme="1"/>
      <name val="Calibri"/>
      <family val="2"/>
      <scheme val="minor"/>
    </font>
    <font>
      <sz val="14"/>
      <color theme="1"/>
      <name val="Calibri"/>
      <family val="2"/>
      <scheme val="minor"/>
    </font>
    <font>
      <sz val="11"/>
      <color indexed="8"/>
      <name val="Calibri"/>
      <family val="2"/>
    </font>
    <font>
      <b/>
      <sz val="12"/>
      <name val="Times New Roman"/>
      <family val="1"/>
    </font>
    <font>
      <sz val="12"/>
      <name val="Calibri"/>
      <family val="2"/>
      <scheme val="minor"/>
    </font>
    <font>
      <b/>
      <sz val="12"/>
      <name val="Calibri"/>
      <family val="2"/>
      <scheme val="minor"/>
    </font>
    <font>
      <b/>
      <sz val="12"/>
      <name val="Calibri"/>
      <family val="2"/>
    </font>
    <font>
      <sz val="12"/>
      <name val="Times New Roman"/>
      <family val="1"/>
    </font>
    <font>
      <strike/>
      <sz val="12"/>
      <name val="Times New Roman"/>
      <family val="1"/>
    </font>
    <font>
      <sz val="12"/>
      <color rgb="FFFF0000"/>
      <name val="Times New Roman"/>
      <family val="1"/>
    </font>
  </fonts>
  <fills count="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indexed="44"/>
      </patternFill>
    </fill>
    <fill>
      <patternFill patternType="solid">
        <fgColor theme="8" tint="0.79998168889431442"/>
        <bgColor indexed="64"/>
      </patternFill>
    </fill>
    <fill>
      <patternFill patternType="solid">
        <fgColor theme="9" tint="0.79998168889431442"/>
        <bgColor indexed="64"/>
      </patternFill>
    </fill>
  </fills>
  <borders count="35">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s>
  <cellStyleXfs count="3">
    <xf numFmtId="0" fontId="0" fillId="0" borderId="0"/>
    <xf numFmtId="43" fontId="4" fillId="0" borderId="0" applyFont="0" applyFill="0" applyBorder="0" applyAlignment="0" applyProtection="0"/>
    <xf numFmtId="0" fontId="11" fillId="6" borderId="0" applyNumberFormat="0" applyBorder="0" applyAlignment="0" applyProtection="0"/>
  </cellStyleXfs>
  <cellXfs count="178">
    <xf numFmtId="0" fontId="0" fillId="0" borderId="0" xfId="0"/>
    <xf numFmtId="0" fontId="0" fillId="0" borderId="0" xfId="0" applyAlignment="1">
      <alignment wrapText="1"/>
    </xf>
    <xf numFmtId="0" fontId="0" fillId="0" borderId="0" xfId="0" applyAlignment="1">
      <alignment horizontal="left"/>
    </xf>
    <xf numFmtId="0" fontId="1" fillId="0" borderId="6" xfId="0" applyFont="1" applyBorder="1" applyAlignment="1">
      <alignment horizontal="left"/>
    </xf>
    <xf numFmtId="0" fontId="0" fillId="0" borderId="6" xfId="0" quotePrefix="1" applyBorder="1" applyAlignment="1">
      <alignment horizontal="left"/>
    </xf>
    <xf numFmtId="14" fontId="0" fillId="0" borderId="6" xfId="0" applyNumberFormat="1" applyBorder="1" applyAlignment="1">
      <alignment horizontal="left"/>
    </xf>
    <xf numFmtId="0" fontId="0" fillId="0" borderId="6" xfId="0" applyBorder="1" applyAlignment="1">
      <alignment horizontal="left"/>
    </xf>
    <xf numFmtId="0" fontId="0" fillId="0" borderId="6"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6"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1" fillId="0" borderId="0" xfId="0" applyFont="1" applyAlignment="1">
      <alignment horizontal="center"/>
    </xf>
    <xf numFmtId="0" fontId="5" fillId="0" borderId="0" xfId="0" applyFont="1" applyAlignment="1">
      <alignment horizontal="center"/>
    </xf>
    <xf numFmtId="0" fontId="8" fillId="0" borderId="2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1"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6" xfId="0" applyFont="1" applyBorder="1" applyAlignment="1">
      <alignment horizontal="center"/>
    </xf>
    <xf numFmtId="168" fontId="8" fillId="0" borderId="16" xfId="0" applyNumberFormat="1" applyFont="1" applyBorder="1" applyAlignment="1">
      <alignment horizontal="center" vertical="center"/>
    </xf>
    <xf numFmtId="168" fontId="8" fillId="0" borderId="13" xfId="0" applyNumberFormat="1" applyFont="1" applyBorder="1" applyAlignment="1">
      <alignment horizontal="center" vertical="center"/>
    </xf>
    <xf numFmtId="167" fontId="8" fillId="0" borderId="13" xfId="0" applyNumberFormat="1" applyFont="1" applyBorder="1" applyAlignment="1">
      <alignment horizontal="center" vertical="center"/>
    </xf>
    <xf numFmtId="165" fontId="8" fillId="0" borderId="13" xfId="0" applyNumberFormat="1" applyFont="1" applyBorder="1" applyAlignment="1">
      <alignment horizontal="center" vertical="center"/>
    </xf>
    <xf numFmtId="164" fontId="8" fillId="0" borderId="13" xfId="0" applyNumberFormat="1" applyFont="1" applyBorder="1" applyAlignment="1">
      <alignment horizontal="center" vertical="center"/>
    </xf>
    <xf numFmtId="166" fontId="8" fillId="0" borderId="13" xfId="0" applyNumberFormat="1" applyFont="1" applyBorder="1" applyAlignment="1">
      <alignment horizontal="center" vertical="center"/>
    </xf>
    <xf numFmtId="166" fontId="8" fillId="0" borderId="14" xfId="0" applyNumberFormat="1" applyFont="1" applyBorder="1" applyAlignment="1">
      <alignment horizontal="center" vertical="center"/>
    </xf>
    <xf numFmtId="0" fontId="8" fillId="0" borderId="23" xfId="0" applyFont="1" applyBorder="1" applyAlignment="1">
      <alignment horizontal="center" vertical="center" wrapText="1"/>
    </xf>
    <xf numFmtId="3" fontId="8" fillId="0" borderId="17" xfId="1" applyNumberFormat="1" applyFont="1" applyBorder="1" applyAlignment="1">
      <alignment horizontal="center" vertical="center"/>
    </xf>
    <xf numFmtId="3" fontId="8" fillId="0" borderId="10" xfId="1" applyNumberFormat="1" applyFont="1" applyBorder="1" applyAlignment="1">
      <alignment horizontal="center" vertical="center"/>
    </xf>
    <xf numFmtId="3" fontId="8" fillId="0" borderId="15" xfId="1" applyNumberFormat="1" applyFont="1" applyBorder="1" applyAlignment="1">
      <alignment horizontal="center" vertical="center"/>
    </xf>
    <xf numFmtId="3" fontId="0" fillId="0" borderId="0" xfId="0" applyNumberFormat="1"/>
    <xf numFmtId="0" fontId="9" fillId="0" borderId="0" xfId="0" applyFont="1"/>
    <xf numFmtId="0" fontId="10" fillId="0" borderId="0" xfId="0" applyFont="1"/>
    <xf numFmtId="0" fontId="9" fillId="0" borderId="18" xfId="0" applyFont="1" applyBorder="1" applyAlignment="1">
      <alignment horizontal="center" wrapText="1"/>
    </xf>
    <xf numFmtId="0" fontId="9" fillId="0" borderId="20" xfId="0" applyFont="1" applyBorder="1" applyAlignment="1">
      <alignment horizontal="center" wrapText="1"/>
    </xf>
    <xf numFmtId="0" fontId="9" fillId="0" borderId="26" xfId="0" applyFont="1" applyBorder="1" applyAlignment="1">
      <alignment horizontal="center"/>
    </xf>
    <xf numFmtId="0" fontId="9" fillId="0" borderId="27" xfId="0" applyFont="1" applyBorder="1" applyAlignment="1">
      <alignment horizontal="center" wrapText="1"/>
    </xf>
    <xf numFmtId="0" fontId="9" fillId="0" borderId="6" xfId="0" applyFont="1" applyBorder="1" applyAlignment="1">
      <alignment horizontal="center"/>
    </xf>
    <xf numFmtId="0" fontId="0" fillId="0" borderId="0" xfId="0" quotePrefix="1"/>
    <xf numFmtId="0" fontId="0" fillId="0" borderId="6" xfId="0" quotePrefix="1" applyBorder="1" applyAlignment="1">
      <alignment horizontal="left"/>
    </xf>
    <xf numFmtId="0" fontId="0" fillId="0" borderId="6" xfId="0" applyBorder="1" applyAlignment="1">
      <alignment horizontal="left"/>
    </xf>
    <xf numFmtId="0" fontId="0" fillId="0" borderId="6" xfId="0" quotePrefix="1" applyBorder="1"/>
    <xf numFmtId="0" fontId="12" fillId="0" borderId="13"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3" fillId="0" borderId="0" xfId="0" applyFont="1" applyFill="1" applyAlignment="1">
      <alignment horizontal="center" wrapText="1"/>
    </xf>
    <xf numFmtId="0" fontId="13" fillId="0" borderId="0" xfId="0" applyFont="1" applyFill="1" applyAlignment="1">
      <alignment wrapText="1"/>
    </xf>
    <xf numFmtId="0" fontId="12" fillId="0" borderId="0" xfId="0" applyFont="1" applyFill="1" applyAlignment="1">
      <alignment horizontal="left"/>
    </xf>
    <xf numFmtId="0" fontId="12" fillId="0" borderId="5"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2" xfId="0" applyFont="1" applyFill="1" applyBorder="1" applyAlignment="1">
      <alignment horizontal="center" vertical="center" textRotation="90" wrapText="1"/>
    </xf>
    <xf numFmtId="0" fontId="12" fillId="0" borderId="18" xfId="0" applyFont="1" applyFill="1" applyBorder="1" applyAlignment="1">
      <alignment vertical="center" textRotation="90" wrapText="1"/>
    </xf>
    <xf numFmtId="0" fontId="12" fillId="0" borderId="19" xfId="0" applyFont="1" applyFill="1" applyBorder="1" applyAlignment="1">
      <alignment vertical="center" textRotation="90" wrapText="1"/>
    </xf>
    <xf numFmtId="0" fontId="12" fillId="0" borderId="20" xfId="0" applyFont="1" applyFill="1" applyBorder="1" applyAlignment="1">
      <alignment vertical="center" textRotation="90" wrapText="1"/>
    </xf>
    <xf numFmtId="0" fontId="12" fillId="0" borderId="4" xfId="0" applyFont="1" applyFill="1" applyBorder="1" applyAlignment="1">
      <alignment horizontal="center" vertical="center" wrapText="1"/>
    </xf>
    <xf numFmtId="0" fontId="15" fillId="6" borderId="34" xfId="2" applyFont="1" applyBorder="1" applyAlignment="1">
      <alignment horizontal="center" vertical="center" wrapText="1"/>
    </xf>
    <xf numFmtId="0" fontId="15" fillId="7" borderId="34" xfId="2" applyFont="1" applyFill="1" applyBorder="1" applyAlignment="1">
      <alignment horizontal="center" vertical="center" wrapText="1"/>
    </xf>
    <xf numFmtId="0" fontId="14" fillId="0" borderId="0" xfId="0" applyFont="1" applyFill="1" applyAlignment="1">
      <alignment wrapText="1"/>
    </xf>
    <xf numFmtId="49" fontId="16" fillId="7" borderId="1" xfId="0" applyNumberFormat="1" applyFont="1" applyFill="1" applyBorder="1" applyAlignment="1">
      <alignment horizontal="center" vertical="top" wrapText="1"/>
    </xf>
    <xf numFmtId="0" fontId="16" fillId="7" borderId="1" xfId="0" applyFont="1" applyFill="1" applyBorder="1" applyAlignment="1">
      <alignment vertical="top" wrapText="1"/>
    </xf>
    <xf numFmtId="0" fontId="16" fillId="7" borderId="1" xfId="0" applyFont="1" applyFill="1" applyBorder="1" applyAlignment="1">
      <alignment horizontal="center" vertical="top" wrapText="1"/>
    </xf>
    <xf numFmtId="0" fontId="14" fillId="7" borderId="13" xfId="0" applyFont="1" applyFill="1" applyBorder="1" applyAlignment="1">
      <alignment horizontal="center" vertical="center"/>
    </xf>
    <xf numFmtId="0" fontId="14" fillId="7" borderId="6" xfId="0" applyFont="1" applyFill="1" applyBorder="1" applyAlignment="1">
      <alignment horizontal="center" vertical="center"/>
    </xf>
    <xf numFmtId="0" fontId="14" fillId="7" borderId="10" xfId="0" applyFont="1" applyFill="1" applyBorder="1" applyAlignment="1">
      <alignment horizontal="center" vertical="center"/>
    </xf>
    <xf numFmtId="0" fontId="16" fillId="7" borderId="31" xfId="0" applyFont="1" applyFill="1" applyBorder="1" applyAlignment="1">
      <alignment horizontal="left" vertical="top" wrapText="1"/>
    </xf>
    <xf numFmtId="0" fontId="16" fillId="7" borderId="1" xfId="0" applyFont="1" applyFill="1" applyBorder="1" applyAlignment="1">
      <alignment horizontal="left" vertical="top" wrapText="1"/>
    </xf>
    <xf numFmtId="0" fontId="16" fillId="7" borderId="1" xfId="0" applyFont="1" applyFill="1" applyBorder="1" applyAlignment="1">
      <alignment horizontal="center" vertical="center" wrapText="1"/>
    </xf>
    <xf numFmtId="46" fontId="13" fillId="7" borderId="1" xfId="0" applyNumberFormat="1" applyFont="1" applyFill="1" applyBorder="1" applyAlignment="1">
      <alignment horizontal="left" vertical="top" wrapText="1"/>
    </xf>
    <xf numFmtId="0" fontId="13" fillId="7" borderId="0" xfId="0" applyFont="1" applyFill="1" applyAlignment="1">
      <alignment wrapText="1"/>
    </xf>
    <xf numFmtId="0" fontId="16" fillId="7" borderId="6" xfId="0" applyFont="1" applyFill="1" applyBorder="1" applyAlignment="1">
      <alignment horizontal="left" vertical="top" wrapText="1"/>
    </xf>
    <xf numFmtId="0" fontId="13" fillId="7" borderId="1" xfId="0" applyFont="1" applyFill="1" applyBorder="1" applyAlignment="1">
      <alignment horizontal="left" vertical="top" wrapText="1"/>
    </xf>
    <xf numFmtId="49" fontId="16" fillId="0" borderId="1" xfId="0" applyNumberFormat="1" applyFont="1" applyFill="1" applyBorder="1" applyAlignment="1">
      <alignment horizontal="center" vertical="top" wrapText="1"/>
    </xf>
    <xf numFmtId="0" fontId="16" fillId="0" borderId="1" xfId="0" applyFont="1" applyFill="1" applyBorder="1" applyAlignment="1">
      <alignment vertical="top" wrapText="1"/>
    </xf>
    <xf numFmtId="0" fontId="16" fillId="0" borderId="6" xfId="0" applyFont="1" applyFill="1" applyBorder="1" applyAlignment="1">
      <alignment horizontal="left" vertical="top" wrapText="1"/>
    </xf>
    <xf numFmtId="0" fontId="16" fillId="0" borderId="1" xfId="0" applyFont="1" applyFill="1" applyBorder="1" applyAlignment="1">
      <alignment horizontal="center" vertical="top" wrapText="1"/>
    </xf>
    <xf numFmtId="0" fontId="14" fillId="0" borderId="13"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10" xfId="0" applyFont="1" applyFill="1" applyBorder="1" applyAlignment="1">
      <alignment horizontal="center" vertical="center"/>
    </xf>
    <xf numFmtId="0" fontId="16" fillId="0" borderId="31" xfId="0" applyFont="1" applyFill="1" applyBorder="1" applyAlignment="1">
      <alignment horizontal="left" vertical="top" wrapText="1"/>
    </xf>
    <xf numFmtId="0" fontId="16" fillId="0" borderId="1" xfId="0" applyFont="1" applyFill="1" applyBorder="1" applyAlignment="1">
      <alignment horizontal="left" vertical="top" wrapText="1"/>
    </xf>
    <xf numFmtId="0" fontId="16" fillId="0" borderId="1" xfId="0" applyFont="1" applyFill="1" applyBorder="1" applyAlignment="1">
      <alignment horizontal="center" vertical="center" wrapText="1"/>
    </xf>
    <xf numFmtId="0" fontId="13" fillId="0" borderId="1" xfId="0" applyFont="1" applyFill="1" applyBorder="1" applyAlignment="1">
      <alignment horizontal="left" vertical="top" wrapText="1"/>
    </xf>
    <xf numFmtId="0" fontId="13" fillId="8" borderId="0" xfId="0" applyFont="1" applyFill="1" applyAlignment="1">
      <alignment wrapText="1"/>
    </xf>
    <xf numFmtId="49" fontId="16" fillId="8" borderId="1" xfId="0" applyNumberFormat="1" applyFont="1" applyFill="1" applyBorder="1" applyAlignment="1">
      <alignment horizontal="center" vertical="top" wrapText="1"/>
    </xf>
    <xf numFmtId="0" fontId="16" fillId="8" borderId="1" xfId="0" applyFont="1" applyFill="1" applyBorder="1" applyAlignment="1">
      <alignment vertical="top" wrapText="1"/>
    </xf>
    <xf numFmtId="0" fontId="16" fillId="8" borderId="6" xfId="0" applyFont="1" applyFill="1" applyBorder="1" applyAlignment="1">
      <alignment horizontal="left" vertical="top" wrapText="1"/>
    </xf>
    <xf numFmtId="0" fontId="16" fillId="8" borderId="1" xfId="0" applyFont="1" applyFill="1" applyBorder="1" applyAlignment="1">
      <alignment horizontal="center" vertical="top" wrapText="1"/>
    </xf>
    <xf numFmtId="0" fontId="14" fillId="8" borderId="13"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10" xfId="0" applyFont="1" applyFill="1" applyBorder="1" applyAlignment="1">
      <alignment horizontal="center" vertical="center"/>
    </xf>
    <xf numFmtId="0" fontId="16" fillId="8" borderId="31" xfId="0" applyFont="1" applyFill="1" applyBorder="1" applyAlignment="1">
      <alignment horizontal="left" vertical="top" wrapText="1"/>
    </xf>
    <xf numFmtId="0" fontId="16" fillId="8" borderId="1" xfId="0" applyFont="1" applyFill="1" applyBorder="1" applyAlignment="1">
      <alignment horizontal="left" vertical="top" wrapText="1"/>
    </xf>
    <xf numFmtId="0" fontId="16" fillId="8" borderId="1" xfId="0" applyFont="1" applyFill="1" applyBorder="1" applyAlignment="1">
      <alignment horizontal="center" vertical="center" wrapText="1"/>
    </xf>
    <xf numFmtId="0" fontId="13" fillId="8" borderId="1" xfId="0" applyFont="1" applyFill="1" applyBorder="1" applyAlignment="1">
      <alignment horizontal="left" vertical="top" wrapText="1"/>
    </xf>
    <xf numFmtId="46" fontId="13" fillId="0" borderId="1" xfId="0" applyNumberFormat="1" applyFont="1" applyFill="1" applyBorder="1" applyAlignment="1">
      <alignment horizontal="left" vertical="top" wrapText="1"/>
    </xf>
    <xf numFmtId="0" fontId="16" fillId="7" borderId="7" xfId="0" applyFont="1" applyFill="1" applyBorder="1" applyAlignment="1">
      <alignment vertical="top" wrapText="1"/>
    </xf>
    <xf numFmtId="0" fontId="16" fillId="7" borderId="33" xfId="0" applyFont="1" applyFill="1" applyBorder="1" applyAlignment="1">
      <alignment horizontal="left" vertical="top" wrapText="1"/>
    </xf>
    <xf numFmtId="0" fontId="16" fillId="7" borderId="7" xfId="0" applyFont="1" applyFill="1" applyBorder="1" applyAlignment="1">
      <alignment horizontal="left" vertical="top" wrapText="1"/>
    </xf>
    <xf numFmtId="0" fontId="16" fillId="7" borderId="7" xfId="0" applyFont="1" applyFill="1" applyBorder="1" applyAlignment="1">
      <alignment horizontal="center" vertical="center" wrapText="1"/>
    </xf>
    <xf numFmtId="0" fontId="16" fillId="0" borderId="7" xfId="0" applyFont="1" applyFill="1" applyBorder="1" applyAlignment="1">
      <alignment vertical="top" wrapText="1"/>
    </xf>
    <xf numFmtId="0" fontId="16" fillId="0" borderId="33" xfId="0" applyFont="1" applyFill="1" applyBorder="1" applyAlignment="1">
      <alignment horizontal="left" vertical="top" wrapText="1"/>
    </xf>
    <xf numFmtId="0" fontId="16" fillId="0" borderId="7" xfId="0" applyFont="1" applyFill="1" applyBorder="1" applyAlignment="1">
      <alignment horizontal="left" vertical="top" wrapText="1"/>
    </xf>
    <xf numFmtId="0" fontId="16" fillId="0" borderId="7" xfId="0" applyFont="1" applyFill="1" applyBorder="1" applyAlignment="1">
      <alignment horizontal="center" vertical="center" wrapText="1"/>
    </xf>
    <xf numFmtId="0" fontId="17" fillId="7" borderId="1" xfId="0" applyFont="1" applyFill="1" applyBorder="1" applyAlignment="1">
      <alignment vertical="top" wrapText="1"/>
    </xf>
    <xf numFmtId="0" fontId="16" fillId="0" borderId="0" xfId="0" applyFont="1" applyFill="1" applyAlignment="1">
      <alignment horizontal="center" vertical="center"/>
    </xf>
    <xf numFmtId="0" fontId="13" fillId="0" borderId="0" xfId="0" applyFont="1" applyFill="1" applyBorder="1" applyAlignment="1">
      <alignment horizontal="center" wrapText="1"/>
    </xf>
    <xf numFmtId="0" fontId="14" fillId="0" borderId="0" xfId="0" applyFont="1" applyFill="1" applyBorder="1" applyAlignment="1">
      <alignment horizontal="left"/>
    </xf>
    <xf numFmtId="0" fontId="13" fillId="0" borderId="0" xfId="0" applyFont="1" applyFill="1" applyBorder="1" applyAlignment="1">
      <alignment wrapText="1"/>
    </xf>
    <xf numFmtId="0" fontId="14" fillId="0" borderId="0" xfId="0" applyFont="1" applyFill="1" applyBorder="1" applyAlignment="1">
      <alignment horizontal="center" wrapText="1"/>
    </xf>
    <xf numFmtId="0" fontId="14" fillId="0" borderId="0" xfId="0" applyFont="1" applyFill="1" applyBorder="1" applyAlignment="1">
      <alignment vertical="center" wrapText="1"/>
    </xf>
    <xf numFmtId="0" fontId="14" fillId="0" borderId="0" xfId="0" applyFont="1" applyFill="1" applyBorder="1" applyAlignment="1">
      <alignment horizontal="center" vertical="center"/>
    </xf>
    <xf numFmtId="16" fontId="14" fillId="0" borderId="0" xfId="0" applyNumberFormat="1" applyFont="1" applyFill="1" applyBorder="1" applyAlignment="1">
      <alignment horizontal="center" vertical="center" wrapText="1"/>
    </xf>
    <xf numFmtId="0" fontId="14" fillId="0" borderId="0" xfId="0" applyFont="1" applyFill="1" applyBorder="1" applyAlignment="1">
      <alignment horizontal="center" vertical="center" wrapText="1"/>
    </xf>
    <xf numFmtId="0" fontId="14" fillId="0" borderId="0" xfId="0" applyFont="1" applyFill="1" applyBorder="1"/>
    <xf numFmtId="0" fontId="14" fillId="0" borderId="0" xfId="0" applyFont="1" applyFill="1" applyAlignment="1">
      <alignment horizontal="center" wrapText="1"/>
    </xf>
    <xf numFmtId="0" fontId="12" fillId="0" borderId="2" xfId="0" applyFont="1" applyFill="1" applyBorder="1" applyAlignment="1">
      <alignment horizontal="center" wrapText="1"/>
    </xf>
    <xf numFmtId="0" fontId="12" fillId="0" borderId="3" xfId="0" applyFont="1" applyFill="1" applyBorder="1" applyAlignment="1">
      <alignment horizontal="center" wrapText="1"/>
    </xf>
    <xf numFmtId="0" fontId="12" fillId="0" borderId="4" xfId="0" applyFont="1" applyFill="1" applyBorder="1" applyAlignment="1">
      <alignment horizontal="center" wrapText="1"/>
    </xf>
    <xf numFmtId="0" fontId="14" fillId="0" borderId="2" xfId="0" applyFont="1" applyFill="1" applyBorder="1" applyAlignment="1">
      <alignment horizontal="center"/>
    </xf>
    <xf numFmtId="0" fontId="14" fillId="0" borderId="3" xfId="0" applyFont="1" applyFill="1" applyBorder="1" applyAlignment="1">
      <alignment horizontal="center"/>
    </xf>
    <xf numFmtId="0" fontId="14" fillId="0" borderId="4" xfId="0" applyFont="1" applyFill="1"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6" xfId="0" applyBorder="1" applyAlignment="1">
      <alignment horizontal="left"/>
    </xf>
    <xf numFmtId="0" fontId="0" fillId="0" borderId="6" xfId="0" quotePrefix="1" applyBorder="1" applyAlignment="1">
      <alignment horizontal="left"/>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5" borderId="24"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0" xfId="0" applyFont="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32" xfId="0" applyFont="1" applyFill="1" applyBorder="1" applyAlignment="1">
      <alignment horizontal="center" vertical="center" wrapText="1"/>
    </xf>
    <xf numFmtId="0" fontId="8" fillId="0" borderId="14" xfId="0" applyFont="1" applyBorder="1" applyAlignment="1">
      <alignment horizontal="center" vertical="center" wrapText="1"/>
    </xf>
    <xf numFmtId="0" fontId="8" fillId="0" borderId="23" xfId="0" applyFont="1" applyBorder="1" applyAlignment="1">
      <alignment horizontal="center" vertical="center" wrapText="1"/>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5" xfId="0" applyFont="1" applyFill="1" applyBorder="1" applyAlignment="1">
      <alignment horizontal="center" wrapText="1"/>
    </xf>
    <xf numFmtId="0" fontId="9" fillId="0" borderId="3" xfId="0" applyFont="1" applyFill="1" applyBorder="1" applyAlignment="1">
      <alignment horizontal="center" wrapText="1"/>
    </xf>
    <xf numFmtId="0" fontId="9" fillId="0" borderId="2" xfId="0" applyFont="1" applyBorder="1" applyAlignment="1">
      <alignment horizontal="center" wrapText="1"/>
    </xf>
    <xf numFmtId="0" fontId="9" fillId="0" borderId="4" xfId="0" applyFont="1" applyBorder="1" applyAlignment="1">
      <alignment horizontal="center" wrapText="1"/>
    </xf>
    <xf numFmtId="0" fontId="8" fillId="0" borderId="22" xfId="0" applyFont="1" applyBorder="1" applyAlignment="1">
      <alignment horizontal="center" vertical="center" wrapText="1"/>
    </xf>
    <xf numFmtId="0" fontId="8" fillId="0" borderId="21" xfId="0" applyFont="1" applyBorder="1" applyAlignment="1">
      <alignment horizontal="center" vertical="center" wrapText="1"/>
    </xf>
    <xf numFmtId="0" fontId="9" fillId="0" borderId="26" xfId="0" applyFont="1" applyBorder="1" applyAlignment="1">
      <alignment horizontal="center" wrapText="1"/>
    </xf>
    <xf numFmtId="0" fontId="9" fillId="0" borderId="28" xfId="0" applyFont="1" applyBorder="1" applyAlignment="1">
      <alignment horizontal="center" wrapText="1"/>
    </xf>
    <xf numFmtId="0" fontId="9" fillId="0" borderId="6" xfId="0" applyFont="1" applyBorder="1" applyAlignment="1">
      <alignment horizontal="center"/>
    </xf>
    <xf numFmtId="0" fontId="9" fillId="0" borderId="0" xfId="0" applyFont="1" applyAlignment="1">
      <alignment horizontal="center"/>
    </xf>
    <xf numFmtId="0" fontId="8" fillId="0" borderId="21" xfId="0" applyFont="1" applyFill="1" applyBorder="1" applyAlignment="1">
      <alignment horizontal="center" vertical="center" wrapText="1"/>
    </xf>
    <xf numFmtId="0" fontId="8" fillId="0" borderId="30" xfId="0" applyFont="1" applyFill="1" applyBorder="1" applyAlignment="1">
      <alignment horizontal="center" vertical="center" wrapText="1"/>
    </xf>
    <xf numFmtId="0" fontId="0" fillId="0" borderId="0" xfId="0" applyAlignment="1">
      <alignment horizontal="center"/>
    </xf>
  </cellXfs>
  <cellStyles count="3">
    <cellStyle name="40% - Accent5 2" xfId="2"/>
    <cellStyle name="Comma" xfId="1" builtinId="3"/>
    <cellStyle name="Normal" xfId="0" builtinId="0"/>
  </cellStyles>
  <dxfs count="126">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CC5C4"/>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20AD32AD-66E8-41BC-B241-9316DE08B0BB}"/>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9"/>
  </cols>
  <sheetData>
    <row r="1" spans="7:7" x14ac:dyDescent="0.25">
      <c r="G1" s="17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AY75"/>
  <sheetViews>
    <sheetView showZeros="0" topLeftCell="A3" zoomScale="70" zoomScaleNormal="70" workbookViewId="0">
      <pane xSplit="9" ySplit="3" topLeftCell="J52" activePane="bottomRight" state="frozen"/>
      <selection activeCell="A3" sqref="A3"/>
      <selection pane="topRight" activeCell="J3" sqref="J3"/>
      <selection pane="bottomLeft" activeCell="A6" sqref="A6"/>
      <selection pane="bottomRight" activeCell="H55" sqref="H55"/>
    </sheetView>
  </sheetViews>
  <sheetFormatPr defaultColWidth="9.140625" defaultRowHeight="15.75" x14ac:dyDescent="0.25"/>
  <cols>
    <col min="1" max="1" width="1.7109375" style="68" customWidth="1"/>
    <col min="2" max="2" width="9.140625" style="67" customWidth="1"/>
    <col min="3" max="3" width="19" style="68" customWidth="1"/>
    <col min="4" max="4" width="22.42578125" style="68" customWidth="1"/>
    <col min="5" max="5" width="8.5703125" style="68" customWidth="1"/>
    <col min="6" max="7" width="15.7109375" style="68" customWidth="1"/>
    <col min="8" max="8" width="28.7109375" style="68" customWidth="1"/>
    <col min="9" max="9" width="21.5703125" style="68" customWidth="1"/>
    <col min="10" max="10" width="16.140625" style="68" customWidth="1"/>
    <col min="11" max="12" width="26.85546875" style="68" customWidth="1"/>
    <col min="13" max="13" width="23.85546875" style="68" customWidth="1"/>
    <col min="14" max="14" width="26.85546875" style="68" customWidth="1"/>
    <col min="15" max="15" width="4.85546875" style="68" customWidth="1"/>
    <col min="16" max="19" width="4.85546875" style="67" customWidth="1"/>
    <col min="20" max="23" width="4.85546875" style="68" customWidth="1"/>
    <col min="24" max="24" width="48.28515625" style="68" customWidth="1"/>
    <col min="25" max="25" width="15" style="68" hidden="1" customWidth="1"/>
    <col min="26" max="26" width="25.7109375" style="68" hidden="1" customWidth="1"/>
    <col min="27" max="27" width="4.85546875" style="68" hidden="1" customWidth="1"/>
    <col min="28" max="31" width="4.85546875" style="67" hidden="1" customWidth="1"/>
    <col min="32" max="35" width="4.85546875" style="68" hidden="1" customWidth="1"/>
    <col min="36" max="36" width="33.5703125" style="68" hidden="1" customWidth="1"/>
    <col min="37" max="37" width="15" style="68" hidden="1" customWidth="1"/>
    <col min="38" max="38" width="25.7109375" style="68" hidden="1" customWidth="1"/>
    <col min="39" max="39" width="4.85546875" style="68" hidden="1" customWidth="1"/>
    <col min="40" max="43" width="4.85546875" style="67" hidden="1" customWidth="1"/>
    <col min="44" max="47" width="4.85546875" style="68" hidden="1" customWidth="1"/>
    <col min="48" max="48" width="10" style="68" hidden="1" customWidth="1"/>
    <col min="49" max="49" width="32" style="68" hidden="1" customWidth="1"/>
    <col min="50" max="51" width="54.5703125" style="68" customWidth="1"/>
    <col min="52" max="55" width="9.140625" style="68"/>
    <col min="56" max="56" width="39.42578125" style="68" customWidth="1"/>
    <col min="57" max="16384" width="9.140625" style="68"/>
  </cols>
  <sheetData>
    <row r="1" spans="2:51" ht="12" customHeight="1" x14ac:dyDescent="0.25"/>
    <row r="2" spans="2:51" ht="15" customHeight="1" x14ac:dyDescent="0.25">
      <c r="O2" s="136" t="s">
        <v>24</v>
      </c>
      <c r="P2" s="136"/>
      <c r="Q2" s="136"/>
      <c r="R2" s="136"/>
      <c r="S2" s="136"/>
      <c r="T2" s="136"/>
      <c r="U2" s="136"/>
      <c r="V2" s="136"/>
      <c r="W2" s="136"/>
      <c r="AA2" s="136" t="s">
        <v>23</v>
      </c>
      <c r="AB2" s="136"/>
      <c r="AC2" s="136"/>
      <c r="AD2" s="136"/>
      <c r="AE2" s="136"/>
      <c r="AF2" s="136"/>
      <c r="AG2" s="136"/>
      <c r="AH2" s="136"/>
      <c r="AI2" s="136"/>
      <c r="AM2" s="136" t="s">
        <v>37</v>
      </c>
      <c r="AN2" s="136"/>
      <c r="AO2" s="136"/>
      <c r="AP2" s="136"/>
      <c r="AQ2" s="136"/>
      <c r="AR2" s="136"/>
      <c r="AS2" s="136"/>
      <c r="AT2" s="136"/>
      <c r="AU2" s="136"/>
    </row>
    <row r="3" spans="2:51" ht="15.75" customHeight="1" thickBot="1" x14ac:dyDescent="0.3">
      <c r="O3" s="136"/>
      <c r="P3" s="136"/>
      <c r="Q3" s="136"/>
      <c r="R3" s="136"/>
      <c r="S3" s="136"/>
      <c r="T3" s="136"/>
      <c r="U3" s="136"/>
      <c r="V3" s="136"/>
      <c r="W3" s="136"/>
      <c r="AA3" s="136"/>
      <c r="AB3" s="136"/>
      <c r="AC3" s="136"/>
      <c r="AD3" s="136"/>
      <c r="AE3" s="136"/>
      <c r="AF3" s="136"/>
      <c r="AG3" s="136"/>
      <c r="AH3" s="136"/>
      <c r="AI3" s="136"/>
      <c r="AM3" s="136"/>
      <c r="AN3" s="136"/>
      <c r="AO3" s="136"/>
      <c r="AP3" s="136"/>
      <c r="AQ3" s="136"/>
      <c r="AR3" s="136"/>
      <c r="AS3" s="136"/>
      <c r="AT3" s="136"/>
      <c r="AU3" s="136"/>
    </row>
    <row r="4" spans="2:51" ht="27" customHeight="1" thickBot="1" x14ac:dyDescent="0.3">
      <c r="B4" s="69" t="s">
        <v>101</v>
      </c>
      <c r="P4" s="137" t="s">
        <v>29</v>
      </c>
      <c r="Q4" s="138"/>
      <c r="R4" s="138"/>
      <c r="S4" s="139"/>
      <c r="T4" s="140" t="s">
        <v>30</v>
      </c>
      <c r="U4" s="141"/>
      <c r="V4" s="141"/>
      <c r="W4" s="142"/>
      <c r="AB4" s="137" t="s">
        <v>29</v>
      </c>
      <c r="AC4" s="138"/>
      <c r="AD4" s="138"/>
      <c r="AE4" s="139"/>
      <c r="AF4" s="140" t="s">
        <v>30</v>
      </c>
      <c r="AG4" s="141"/>
      <c r="AH4" s="141"/>
      <c r="AI4" s="142"/>
      <c r="AN4" s="137" t="s">
        <v>29</v>
      </c>
      <c r="AO4" s="138"/>
      <c r="AP4" s="138"/>
      <c r="AQ4" s="139"/>
      <c r="AR4" s="140" t="s">
        <v>30</v>
      </c>
      <c r="AS4" s="141"/>
      <c r="AT4" s="141"/>
      <c r="AU4" s="142"/>
    </row>
    <row r="5" spans="2:51" s="79" customFormat="1" ht="78" thickBot="1" x14ac:dyDescent="0.3">
      <c r="B5" s="70" t="s">
        <v>31</v>
      </c>
      <c r="C5" s="70" t="s">
        <v>2</v>
      </c>
      <c r="D5" s="70" t="s">
        <v>1</v>
      </c>
      <c r="E5" s="70" t="s">
        <v>19</v>
      </c>
      <c r="F5" s="70" t="s">
        <v>18</v>
      </c>
      <c r="G5" s="70" t="s">
        <v>3</v>
      </c>
      <c r="H5" s="70" t="s">
        <v>5</v>
      </c>
      <c r="I5" s="71" t="s">
        <v>11</v>
      </c>
      <c r="J5" s="70" t="s">
        <v>8</v>
      </c>
      <c r="K5" s="70" t="s">
        <v>7</v>
      </c>
      <c r="L5" s="70" t="s">
        <v>20</v>
      </c>
      <c r="M5" s="70" t="s">
        <v>21</v>
      </c>
      <c r="N5" s="70" t="s">
        <v>9</v>
      </c>
      <c r="O5" s="72" t="s">
        <v>27</v>
      </c>
      <c r="P5" s="73" t="s">
        <v>32</v>
      </c>
      <c r="Q5" s="74" t="s">
        <v>28</v>
      </c>
      <c r="R5" s="74" t="s">
        <v>25</v>
      </c>
      <c r="S5" s="75" t="s">
        <v>26</v>
      </c>
      <c r="T5" s="73" t="s">
        <v>32</v>
      </c>
      <c r="U5" s="74" t="s">
        <v>28</v>
      </c>
      <c r="V5" s="74" t="s">
        <v>25</v>
      </c>
      <c r="W5" s="75" t="s">
        <v>26</v>
      </c>
      <c r="X5" s="76" t="s">
        <v>4</v>
      </c>
      <c r="Y5" s="70" t="s">
        <v>22</v>
      </c>
      <c r="Z5" s="70" t="s">
        <v>36</v>
      </c>
      <c r="AA5" s="72" t="s">
        <v>27</v>
      </c>
      <c r="AB5" s="73" t="s">
        <v>32</v>
      </c>
      <c r="AC5" s="74" t="s">
        <v>28</v>
      </c>
      <c r="AD5" s="74" t="s">
        <v>25</v>
      </c>
      <c r="AE5" s="75" t="s">
        <v>26</v>
      </c>
      <c r="AF5" s="73" t="s">
        <v>32</v>
      </c>
      <c r="AG5" s="74" t="s">
        <v>28</v>
      </c>
      <c r="AH5" s="74" t="s">
        <v>25</v>
      </c>
      <c r="AI5" s="75" t="s">
        <v>26</v>
      </c>
      <c r="AJ5" s="70" t="s">
        <v>33</v>
      </c>
      <c r="AK5" s="70" t="s">
        <v>34</v>
      </c>
      <c r="AL5" s="70" t="s">
        <v>35</v>
      </c>
      <c r="AM5" s="72" t="s">
        <v>27</v>
      </c>
      <c r="AN5" s="73" t="s">
        <v>32</v>
      </c>
      <c r="AO5" s="74" t="s">
        <v>28</v>
      </c>
      <c r="AP5" s="74" t="s">
        <v>25</v>
      </c>
      <c r="AQ5" s="75" t="s">
        <v>26</v>
      </c>
      <c r="AR5" s="73" t="s">
        <v>32</v>
      </c>
      <c r="AS5" s="74" t="s">
        <v>28</v>
      </c>
      <c r="AT5" s="74" t="s">
        <v>25</v>
      </c>
      <c r="AU5" s="75" t="s">
        <v>26</v>
      </c>
      <c r="AV5" s="70" t="s">
        <v>10</v>
      </c>
      <c r="AW5" s="70" t="s">
        <v>6</v>
      </c>
      <c r="AX5" s="77" t="s">
        <v>223</v>
      </c>
      <c r="AY5" s="78" t="s">
        <v>245</v>
      </c>
    </row>
    <row r="6" spans="2:51" s="90" customFormat="1" ht="330.75" x14ac:dyDescent="0.25">
      <c r="B6" s="80" t="s">
        <v>54</v>
      </c>
      <c r="C6" s="81" t="s">
        <v>114</v>
      </c>
      <c r="D6" s="81" t="s">
        <v>290</v>
      </c>
      <c r="E6" s="82">
        <v>2</v>
      </c>
      <c r="F6" s="81" t="s">
        <v>285</v>
      </c>
      <c r="G6" s="81" t="s">
        <v>73</v>
      </c>
      <c r="H6" s="81" t="s">
        <v>253</v>
      </c>
      <c r="I6" s="81" t="s">
        <v>76</v>
      </c>
      <c r="J6" s="81" t="s">
        <v>82</v>
      </c>
      <c r="K6" s="81" t="s">
        <v>255</v>
      </c>
      <c r="L6" s="81" t="s">
        <v>91</v>
      </c>
      <c r="M6" s="81" t="s">
        <v>95</v>
      </c>
      <c r="N6" s="81" t="s">
        <v>97</v>
      </c>
      <c r="O6" s="59">
        <v>7</v>
      </c>
      <c r="P6" s="60">
        <v>1</v>
      </c>
      <c r="Q6" s="61">
        <v>1</v>
      </c>
      <c r="R6" s="61">
        <v>5</v>
      </c>
      <c r="S6" s="62">
        <v>5</v>
      </c>
      <c r="T6" s="83" t="str">
        <f t="shared" ref="T6" ca="1" si="0">IF(AND(ISNUMBER(P6),ISNUMBER($O6)),OFFSET(RiskMatrixRef,-$O6+1,P6-1),"")</f>
        <v>Low</v>
      </c>
      <c r="U6" s="84" t="str">
        <f t="shared" ref="U6" ca="1" si="1">IF(AND(ISNUMBER(Q6),ISNUMBER($O6)),OFFSET(RiskMatrixRef,-$O6+1,Q6-1),"")</f>
        <v>Low</v>
      </c>
      <c r="V6" s="84" t="str">
        <f t="shared" ref="V6" ca="1" si="2">IF(AND(ISNUMBER(R6),ISNUMBER($O6)),OFFSET(RiskMatrixRef,-$O6+1,R6-1),"")</f>
        <v>Med</v>
      </c>
      <c r="W6" s="85" t="str">
        <f t="shared" ref="W6" ca="1" si="3">IF(AND(ISNUMBER(S6),ISNUMBER($O6)),OFFSET(RiskMatrixRef,-$O6+1,S6-1),"")</f>
        <v>Med</v>
      </c>
      <c r="X6" s="86" t="s">
        <v>247</v>
      </c>
      <c r="Y6" s="87"/>
      <c r="Z6" s="87"/>
      <c r="AA6" s="59"/>
      <c r="AB6" s="60"/>
      <c r="AC6" s="61"/>
      <c r="AD6" s="61"/>
      <c r="AE6" s="62"/>
      <c r="AF6" s="83" t="str">
        <f t="shared" ref="AF6:AF28" ca="1" si="4">IF(AND(ISNUMBER(AB6),ISNUMBER($AA6)),OFFSET(RiskMatrixRef,-$AA6+1,AB6-1),"")</f>
        <v/>
      </c>
      <c r="AG6" s="84" t="str">
        <f t="shared" ref="AG6:AG28" ca="1" si="5">IF(AND(ISNUMBER(AC6),ISNUMBER($AA6)),OFFSET(RiskMatrixRef,-$AA6+1,AC6-1),"")</f>
        <v/>
      </c>
      <c r="AH6" s="84" t="str">
        <f t="shared" ref="AH6:AH28" ca="1" si="6">IF(AND(ISNUMBER(AD6),ISNUMBER($AA6)),OFFSET(RiskMatrixRef,-$AA6+1,AD6-1),"")</f>
        <v/>
      </c>
      <c r="AI6" s="85" t="str">
        <f t="shared" ref="AI6:AI28" ca="1" si="7">IF(AND(ISNUMBER(AE6),ISNUMBER($AA6)),OFFSET(RiskMatrixRef,-$AA6+1,AE6-1),"")</f>
        <v/>
      </c>
      <c r="AJ6" s="87"/>
      <c r="AK6" s="87"/>
      <c r="AL6" s="87"/>
      <c r="AM6" s="59"/>
      <c r="AN6" s="60"/>
      <c r="AO6" s="61"/>
      <c r="AP6" s="61"/>
      <c r="AQ6" s="62"/>
      <c r="AR6" s="83" t="str">
        <f t="shared" ref="AR6:AR28" ca="1" si="8">IF(AND(ISNUMBER(AN6),ISNUMBER($AM6)),OFFSET(RiskMatrixRef,-$AM6+1,AN6-1),"")</f>
        <v/>
      </c>
      <c r="AS6" s="84" t="str">
        <f t="shared" ref="AS6:AS28" ca="1" si="9">IF(AND(ISNUMBER(AO6),ISNUMBER($AM6)),OFFSET(RiskMatrixRef,-$AM6+1,AO6-1),"")</f>
        <v/>
      </c>
      <c r="AT6" s="84" t="str">
        <f t="shared" ref="AT6:AT28" ca="1" si="10">IF(AND(ISNUMBER(AP6),ISNUMBER($AM6)),OFFSET(RiskMatrixRef,-$AM6+1,AP6-1),"")</f>
        <v/>
      </c>
      <c r="AU6" s="85" t="str">
        <f t="shared" ref="AU6:AU28" ca="1" si="11">IF(AND(ISNUMBER(AQ6),ISNUMBER($AM6)),OFFSET(RiskMatrixRef,-$AM6+1,AQ6-1),"")</f>
        <v/>
      </c>
      <c r="AV6" s="88"/>
      <c r="AW6" s="87"/>
      <c r="AX6" s="89" t="s">
        <v>231</v>
      </c>
      <c r="AY6" s="89" t="s">
        <v>246</v>
      </c>
    </row>
    <row r="7" spans="2:51" s="90" customFormat="1" ht="220.5" x14ac:dyDescent="0.25">
      <c r="B7" s="80" t="s">
        <v>55</v>
      </c>
      <c r="C7" s="81" t="s">
        <v>114</v>
      </c>
      <c r="D7" s="81" t="s">
        <v>290</v>
      </c>
      <c r="E7" s="82">
        <v>2</v>
      </c>
      <c r="F7" s="81" t="s">
        <v>285</v>
      </c>
      <c r="G7" s="81" t="s">
        <v>73</v>
      </c>
      <c r="H7" s="81" t="s">
        <v>253</v>
      </c>
      <c r="I7" s="81" t="s">
        <v>77</v>
      </c>
      <c r="J7" s="81" t="s">
        <v>82</v>
      </c>
      <c r="K7" s="81" t="s">
        <v>84</v>
      </c>
      <c r="L7" s="81" t="s">
        <v>92</v>
      </c>
      <c r="M7" s="81" t="s">
        <v>95</v>
      </c>
      <c r="N7" s="81" t="s">
        <v>97</v>
      </c>
      <c r="O7" s="59">
        <v>5</v>
      </c>
      <c r="P7" s="60">
        <v>1</v>
      </c>
      <c r="Q7" s="61">
        <v>1</v>
      </c>
      <c r="R7" s="61">
        <v>5</v>
      </c>
      <c r="S7" s="62">
        <v>5</v>
      </c>
      <c r="T7" s="83" t="str">
        <f t="shared" ref="T7:T55" ca="1" si="12">IF(AND(ISNUMBER(P7),ISNUMBER($O7)),OFFSET(RiskMatrixRef,-$O7+1,P7-1),"")</f>
        <v>Low</v>
      </c>
      <c r="U7" s="84" t="str">
        <f t="shared" ref="U7:U55" ca="1" si="13">IF(AND(ISNUMBER(Q7),ISNUMBER($O7)),OFFSET(RiskMatrixRef,-$O7+1,Q7-1),"")</f>
        <v>Low</v>
      </c>
      <c r="V7" s="84" t="str">
        <f t="shared" ref="V7:V55" ca="1" si="14">IF(AND(ISNUMBER(R7),ISNUMBER($O7)),OFFSET(RiskMatrixRef,-$O7+1,R7-1),"")</f>
        <v>Low</v>
      </c>
      <c r="W7" s="85" t="str">
        <f t="shared" ref="W7:W55" ca="1" si="15">IF(AND(ISNUMBER(S7),ISNUMBER($O7)),OFFSET(RiskMatrixRef,-$O7+1,S7-1),"")</f>
        <v>Low</v>
      </c>
      <c r="X7" s="86" t="s">
        <v>248</v>
      </c>
      <c r="Y7" s="87"/>
      <c r="Z7" s="87"/>
      <c r="AA7" s="59"/>
      <c r="AB7" s="60"/>
      <c r="AC7" s="61"/>
      <c r="AD7" s="61"/>
      <c r="AE7" s="62"/>
      <c r="AF7" s="83" t="str">
        <f t="shared" ca="1" si="4"/>
        <v/>
      </c>
      <c r="AG7" s="84" t="str">
        <f t="shared" ca="1" si="5"/>
        <v/>
      </c>
      <c r="AH7" s="84" t="str">
        <f t="shared" ca="1" si="6"/>
        <v/>
      </c>
      <c r="AI7" s="85" t="str">
        <f t="shared" ca="1" si="7"/>
        <v/>
      </c>
      <c r="AJ7" s="87"/>
      <c r="AK7" s="87"/>
      <c r="AL7" s="87"/>
      <c r="AM7" s="59"/>
      <c r="AN7" s="60"/>
      <c r="AO7" s="61"/>
      <c r="AP7" s="61"/>
      <c r="AQ7" s="62"/>
      <c r="AR7" s="83" t="str">
        <f t="shared" ca="1" si="8"/>
        <v/>
      </c>
      <c r="AS7" s="84" t="str">
        <f t="shared" ca="1" si="9"/>
        <v/>
      </c>
      <c r="AT7" s="84" t="str">
        <f t="shared" ca="1" si="10"/>
        <v/>
      </c>
      <c r="AU7" s="85" t="str">
        <f t="shared" ca="1" si="11"/>
        <v/>
      </c>
      <c r="AV7" s="88"/>
      <c r="AW7" s="87"/>
      <c r="AX7" s="92" t="s">
        <v>227</v>
      </c>
      <c r="AY7" s="92" t="s">
        <v>251</v>
      </c>
    </row>
    <row r="8" spans="2:51" s="90" customFormat="1" ht="220.5" x14ac:dyDescent="0.25">
      <c r="B8" s="80" t="s">
        <v>56</v>
      </c>
      <c r="C8" s="81" t="s">
        <v>114</v>
      </c>
      <c r="D8" s="81" t="s">
        <v>290</v>
      </c>
      <c r="E8" s="82">
        <v>2</v>
      </c>
      <c r="F8" s="81" t="s">
        <v>285</v>
      </c>
      <c r="G8" s="81" t="s">
        <v>73</v>
      </c>
      <c r="H8" s="81" t="s">
        <v>253</v>
      </c>
      <c r="I8" s="81" t="s">
        <v>78</v>
      </c>
      <c r="J8" s="81" t="s">
        <v>82</v>
      </c>
      <c r="K8" s="81" t="s">
        <v>87</v>
      </c>
      <c r="L8" s="81" t="s">
        <v>92</v>
      </c>
      <c r="M8" s="81" t="s">
        <v>95</v>
      </c>
      <c r="N8" s="81" t="s">
        <v>97</v>
      </c>
      <c r="O8" s="59">
        <v>6</v>
      </c>
      <c r="P8" s="60">
        <v>1</v>
      </c>
      <c r="Q8" s="61">
        <v>1</v>
      </c>
      <c r="R8" s="61">
        <v>5</v>
      </c>
      <c r="S8" s="62">
        <v>5</v>
      </c>
      <c r="T8" s="83" t="str">
        <f t="shared" ca="1" si="12"/>
        <v>Low</v>
      </c>
      <c r="U8" s="84" t="str">
        <f t="shared" ca="1" si="13"/>
        <v>Low</v>
      </c>
      <c r="V8" s="84" t="str">
        <f t="shared" ca="1" si="14"/>
        <v>Low</v>
      </c>
      <c r="W8" s="85" t="str">
        <f t="shared" ca="1" si="15"/>
        <v>Low</v>
      </c>
      <c r="X8" s="86"/>
      <c r="Y8" s="87"/>
      <c r="Z8" s="87"/>
      <c r="AA8" s="59"/>
      <c r="AB8" s="60"/>
      <c r="AC8" s="61"/>
      <c r="AD8" s="61"/>
      <c r="AE8" s="62"/>
      <c r="AF8" s="83" t="str">
        <f t="shared" ca="1" si="4"/>
        <v/>
      </c>
      <c r="AG8" s="84" t="str">
        <f t="shared" ca="1" si="5"/>
        <v/>
      </c>
      <c r="AH8" s="84" t="str">
        <f t="shared" ca="1" si="6"/>
        <v/>
      </c>
      <c r="AI8" s="85" t="str">
        <f t="shared" ca="1" si="7"/>
        <v/>
      </c>
      <c r="AJ8" s="87"/>
      <c r="AK8" s="87"/>
      <c r="AL8" s="87"/>
      <c r="AM8" s="59"/>
      <c r="AN8" s="60"/>
      <c r="AO8" s="61"/>
      <c r="AP8" s="61"/>
      <c r="AQ8" s="62"/>
      <c r="AR8" s="83" t="str">
        <f t="shared" ca="1" si="8"/>
        <v/>
      </c>
      <c r="AS8" s="84" t="str">
        <f t="shared" ca="1" si="9"/>
        <v/>
      </c>
      <c r="AT8" s="84" t="str">
        <f t="shared" ca="1" si="10"/>
        <v/>
      </c>
      <c r="AU8" s="85" t="str">
        <f t="shared" ca="1" si="11"/>
        <v/>
      </c>
      <c r="AV8" s="88"/>
      <c r="AW8" s="87"/>
      <c r="AX8" s="92"/>
      <c r="AY8" s="92"/>
    </row>
    <row r="9" spans="2:51" s="90" customFormat="1" ht="220.5" x14ac:dyDescent="0.25">
      <c r="B9" s="80" t="s">
        <v>57</v>
      </c>
      <c r="C9" s="81" t="s">
        <v>114</v>
      </c>
      <c r="D9" s="81" t="s">
        <v>290</v>
      </c>
      <c r="E9" s="82">
        <v>2</v>
      </c>
      <c r="F9" s="81" t="s">
        <v>285</v>
      </c>
      <c r="G9" s="81" t="s">
        <v>73</v>
      </c>
      <c r="H9" s="81" t="s">
        <v>253</v>
      </c>
      <c r="I9" s="81" t="s">
        <v>79</v>
      </c>
      <c r="J9" s="81" t="s">
        <v>82</v>
      </c>
      <c r="K9" s="81" t="s">
        <v>88</v>
      </c>
      <c r="L9" s="81" t="s">
        <v>93</v>
      </c>
      <c r="M9" s="81" t="s">
        <v>95</v>
      </c>
      <c r="N9" s="81" t="s">
        <v>97</v>
      </c>
      <c r="O9" s="59">
        <v>6</v>
      </c>
      <c r="P9" s="60">
        <v>1</v>
      </c>
      <c r="Q9" s="61">
        <v>1</v>
      </c>
      <c r="R9" s="61">
        <v>5</v>
      </c>
      <c r="S9" s="62">
        <v>5</v>
      </c>
      <c r="T9" s="83" t="str">
        <f t="shared" ca="1" si="12"/>
        <v>Low</v>
      </c>
      <c r="U9" s="84" t="str">
        <f t="shared" ca="1" si="13"/>
        <v>Low</v>
      </c>
      <c r="V9" s="84" t="str">
        <f t="shared" ca="1" si="14"/>
        <v>Low</v>
      </c>
      <c r="W9" s="85" t="str">
        <f t="shared" ca="1" si="15"/>
        <v>Low</v>
      </c>
      <c r="X9" s="86"/>
      <c r="Y9" s="87"/>
      <c r="Z9" s="87"/>
      <c r="AA9" s="59"/>
      <c r="AB9" s="60"/>
      <c r="AC9" s="61"/>
      <c r="AD9" s="61"/>
      <c r="AE9" s="62"/>
      <c r="AF9" s="83" t="str">
        <f ca="1">IF(AND(ISNUMBER(AB9),ISNUMBER($AA9)),OFFSET(RiskMatrixRef,-$AA9+1,AB9-1),"")</f>
        <v/>
      </c>
      <c r="AG9" s="84" t="str">
        <f ca="1">IF(AND(ISNUMBER(AC9),ISNUMBER($AA9)),OFFSET(RiskMatrixRef,-$AA9+1,AC9-1),"")</f>
        <v/>
      </c>
      <c r="AH9" s="84" t="str">
        <f ca="1">IF(AND(ISNUMBER(AD9),ISNUMBER($AA9)),OFFSET(RiskMatrixRef,-$AA9+1,AD9-1),"")</f>
        <v/>
      </c>
      <c r="AI9" s="85" t="str">
        <f ca="1">IF(AND(ISNUMBER(AE9),ISNUMBER($AA9)),OFFSET(RiskMatrixRef,-$AA9+1,AE9-1),"")</f>
        <v/>
      </c>
      <c r="AJ9" s="87"/>
      <c r="AK9" s="87"/>
      <c r="AL9" s="87"/>
      <c r="AM9" s="59"/>
      <c r="AN9" s="60"/>
      <c r="AO9" s="61"/>
      <c r="AP9" s="61"/>
      <c r="AQ9" s="62"/>
      <c r="AR9" s="83" t="str">
        <f ca="1">IF(AND(ISNUMBER(AN9),ISNUMBER($AM9)),OFFSET(RiskMatrixRef,-$AM9+1,AN9-1),"")</f>
        <v/>
      </c>
      <c r="AS9" s="84" t="str">
        <f ca="1">IF(AND(ISNUMBER(AO9),ISNUMBER($AM9)),OFFSET(RiskMatrixRef,-$AM9+1,AO9-1),"")</f>
        <v/>
      </c>
      <c r="AT9" s="84" t="str">
        <f ca="1">IF(AND(ISNUMBER(AP9),ISNUMBER($AM9)),OFFSET(RiskMatrixRef,-$AM9+1,AP9-1),"")</f>
        <v/>
      </c>
      <c r="AU9" s="85" t="str">
        <f ca="1">IF(AND(ISNUMBER(AQ9),ISNUMBER($AM9)),OFFSET(RiskMatrixRef,-$AM9+1,AQ9-1),"")</f>
        <v/>
      </c>
      <c r="AV9" s="88"/>
      <c r="AW9" s="87"/>
      <c r="AX9" s="92"/>
      <c r="AY9" s="92"/>
    </row>
    <row r="10" spans="2:51" s="90" customFormat="1" ht="220.5" x14ac:dyDescent="0.25">
      <c r="B10" s="80" t="s">
        <v>58</v>
      </c>
      <c r="C10" s="81" t="s">
        <v>114</v>
      </c>
      <c r="D10" s="81" t="s">
        <v>290</v>
      </c>
      <c r="E10" s="82">
        <v>2</v>
      </c>
      <c r="F10" s="81" t="s">
        <v>285</v>
      </c>
      <c r="G10" s="81" t="s">
        <v>222</v>
      </c>
      <c r="H10" s="81" t="s">
        <v>253</v>
      </c>
      <c r="I10" s="81" t="s">
        <v>113</v>
      </c>
      <c r="J10" s="81" t="s">
        <v>82</v>
      </c>
      <c r="K10" s="81" t="s">
        <v>88</v>
      </c>
      <c r="L10" s="81" t="s">
        <v>93</v>
      </c>
      <c r="M10" s="81" t="s">
        <v>95</v>
      </c>
      <c r="N10" s="81" t="s">
        <v>97</v>
      </c>
      <c r="O10" s="59">
        <v>5</v>
      </c>
      <c r="P10" s="60">
        <v>1</v>
      </c>
      <c r="Q10" s="61">
        <v>1</v>
      </c>
      <c r="R10" s="61">
        <v>5</v>
      </c>
      <c r="S10" s="62">
        <v>5</v>
      </c>
      <c r="T10" s="83" t="str">
        <f t="shared" ca="1" si="12"/>
        <v>Low</v>
      </c>
      <c r="U10" s="84" t="str">
        <f t="shared" ca="1" si="13"/>
        <v>Low</v>
      </c>
      <c r="V10" s="84" t="str">
        <f t="shared" ca="1" si="14"/>
        <v>Low</v>
      </c>
      <c r="W10" s="85" t="str">
        <f t="shared" ca="1" si="15"/>
        <v>Low</v>
      </c>
      <c r="X10" s="86"/>
      <c r="Y10" s="87"/>
      <c r="Z10" s="87"/>
      <c r="AA10" s="59"/>
      <c r="AB10" s="60"/>
      <c r="AC10" s="61"/>
      <c r="AD10" s="61"/>
      <c r="AE10" s="62"/>
      <c r="AF10" s="83" t="str">
        <f t="shared" ca="1" si="4"/>
        <v/>
      </c>
      <c r="AG10" s="84" t="str">
        <f t="shared" ca="1" si="5"/>
        <v/>
      </c>
      <c r="AH10" s="84" t="str">
        <f t="shared" ca="1" si="6"/>
        <v/>
      </c>
      <c r="AI10" s="85" t="str">
        <f t="shared" ca="1" si="7"/>
        <v/>
      </c>
      <c r="AJ10" s="87"/>
      <c r="AK10" s="87"/>
      <c r="AL10" s="87"/>
      <c r="AM10" s="59"/>
      <c r="AN10" s="60"/>
      <c r="AO10" s="61"/>
      <c r="AP10" s="61"/>
      <c r="AQ10" s="62"/>
      <c r="AR10" s="83" t="str">
        <f t="shared" ca="1" si="8"/>
        <v/>
      </c>
      <c r="AS10" s="84" t="str">
        <f t="shared" ca="1" si="9"/>
        <v/>
      </c>
      <c r="AT10" s="84" t="str">
        <f t="shared" ca="1" si="10"/>
        <v/>
      </c>
      <c r="AU10" s="85" t="str">
        <f t="shared" ca="1" si="11"/>
        <v/>
      </c>
      <c r="AV10" s="88"/>
      <c r="AW10" s="87"/>
      <c r="AX10" s="92"/>
      <c r="AY10" s="92"/>
    </row>
    <row r="11" spans="2:51" s="90" customFormat="1" ht="220.5" x14ac:dyDescent="0.25">
      <c r="B11" s="80" t="s">
        <v>211</v>
      </c>
      <c r="C11" s="81" t="s">
        <v>114</v>
      </c>
      <c r="D11" s="81" t="s">
        <v>290</v>
      </c>
      <c r="E11" s="82">
        <v>2</v>
      </c>
      <c r="F11" s="81" t="s">
        <v>285</v>
      </c>
      <c r="G11" s="81" t="s">
        <v>74</v>
      </c>
      <c r="H11" s="81" t="s">
        <v>254</v>
      </c>
      <c r="I11" s="81" t="s">
        <v>76</v>
      </c>
      <c r="J11" s="81" t="s">
        <v>82</v>
      </c>
      <c r="K11" s="81" t="s">
        <v>184</v>
      </c>
      <c r="L11" s="81" t="s">
        <v>93</v>
      </c>
      <c r="M11" s="81" t="s">
        <v>95</v>
      </c>
      <c r="N11" s="81" t="s">
        <v>97</v>
      </c>
      <c r="O11" s="59">
        <v>7</v>
      </c>
      <c r="P11" s="60">
        <v>1</v>
      </c>
      <c r="Q11" s="61">
        <v>1</v>
      </c>
      <c r="R11" s="61">
        <v>4</v>
      </c>
      <c r="S11" s="62">
        <v>4</v>
      </c>
      <c r="T11" s="83" t="str">
        <f t="shared" ca="1" si="12"/>
        <v>Low</v>
      </c>
      <c r="U11" s="84" t="str">
        <f t="shared" ca="1" si="13"/>
        <v>Low</v>
      </c>
      <c r="V11" s="84" t="str">
        <f t="shared" ca="1" si="14"/>
        <v>Low</v>
      </c>
      <c r="W11" s="85" t="str">
        <f t="shared" ca="1" si="15"/>
        <v>Low</v>
      </c>
      <c r="X11" s="86"/>
      <c r="Y11" s="87"/>
      <c r="Z11" s="87"/>
      <c r="AA11" s="59"/>
      <c r="AB11" s="60"/>
      <c r="AC11" s="61"/>
      <c r="AD11" s="61"/>
      <c r="AE11" s="62"/>
      <c r="AF11" s="83" t="str">
        <f t="shared" ca="1" si="4"/>
        <v/>
      </c>
      <c r="AG11" s="84" t="str">
        <f t="shared" ca="1" si="5"/>
        <v/>
      </c>
      <c r="AH11" s="84" t="str">
        <f t="shared" ca="1" si="6"/>
        <v/>
      </c>
      <c r="AI11" s="85" t="str">
        <f t="shared" ca="1" si="7"/>
        <v/>
      </c>
      <c r="AJ11" s="87"/>
      <c r="AK11" s="87"/>
      <c r="AL11" s="87"/>
      <c r="AM11" s="59"/>
      <c r="AN11" s="60"/>
      <c r="AO11" s="61"/>
      <c r="AP11" s="61"/>
      <c r="AQ11" s="62"/>
      <c r="AR11" s="83" t="str">
        <f t="shared" ca="1" si="8"/>
        <v/>
      </c>
      <c r="AS11" s="84" t="str">
        <f t="shared" ca="1" si="9"/>
        <v/>
      </c>
      <c r="AT11" s="84" t="str">
        <f t="shared" ca="1" si="10"/>
        <v/>
      </c>
      <c r="AU11" s="85" t="str">
        <f t="shared" ca="1" si="11"/>
        <v/>
      </c>
      <c r="AV11" s="88"/>
      <c r="AW11" s="87" t="s">
        <v>165</v>
      </c>
      <c r="AX11" s="92" t="s">
        <v>230</v>
      </c>
      <c r="AY11" s="92" t="s">
        <v>250</v>
      </c>
    </row>
    <row r="12" spans="2:51" s="90" customFormat="1" ht="220.5" x14ac:dyDescent="0.25">
      <c r="B12" s="80" t="s">
        <v>212</v>
      </c>
      <c r="C12" s="81" t="s">
        <v>114</v>
      </c>
      <c r="D12" s="81" t="s">
        <v>290</v>
      </c>
      <c r="E12" s="82">
        <v>2</v>
      </c>
      <c r="F12" s="81" t="s">
        <v>285</v>
      </c>
      <c r="G12" s="81" t="s">
        <v>74</v>
      </c>
      <c r="H12" s="81" t="s">
        <v>254</v>
      </c>
      <c r="I12" s="81" t="s">
        <v>77</v>
      </c>
      <c r="J12" s="81" t="s">
        <v>82</v>
      </c>
      <c r="K12" s="81" t="s">
        <v>186</v>
      </c>
      <c r="L12" s="81" t="s">
        <v>92</v>
      </c>
      <c r="M12" s="81" t="s">
        <v>95</v>
      </c>
      <c r="N12" s="81" t="s">
        <v>97</v>
      </c>
      <c r="O12" s="59">
        <v>6</v>
      </c>
      <c r="P12" s="60">
        <v>1</v>
      </c>
      <c r="Q12" s="61">
        <v>1</v>
      </c>
      <c r="R12" s="61">
        <v>4</v>
      </c>
      <c r="S12" s="62">
        <v>4</v>
      </c>
      <c r="T12" s="83" t="str">
        <f t="shared" ca="1" si="12"/>
        <v>Low</v>
      </c>
      <c r="U12" s="84" t="str">
        <f t="shared" ca="1" si="13"/>
        <v>Low</v>
      </c>
      <c r="V12" s="84" t="str">
        <f t="shared" ca="1" si="14"/>
        <v>Low</v>
      </c>
      <c r="W12" s="85" t="str">
        <f t="shared" ca="1" si="15"/>
        <v>Low</v>
      </c>
      <c r="X12" s="86"/>
      <c r="Y12" s="87"/>
      <c r="Z12" s="87"/>
      <c r="AA12" s="59"/>
      <c r="AB12" s="60"/>
      <c r="AC12" s="61"/>
      <c r="AD12" s="61"/>
      <c r="AE12" s="62"/>
      <c r="AF12" s="83" t="str">
        <f t="shared" ca="1" si="4"/>
        <v/>
      </c>
      <c r="AG12" s="84" t="str">
        <f t="shared" ca="1" si="5"/>
        <v/>
      </c>
      <c r="AH12" s="84" t="str">
        <f t="shared" ca="1" si="6"/>
        <v/>
      </c>
      <c r="AI12" s="85" t="str">
        <f t="shared" ca="1" si="7"/>
        <v/>
      </c>
      <c r="AJ12" s="87"/>
      <c r="AK12" s="87"/>
      <c r="AL12" s="87"/>
      <c r="AM12" s="59"/>
      <c r="AN12" s="60"/>
      <c r="AO12" s="61"/>
      <c r="AP12" s="61"/>
      <c r="AQ12" s="62"/>
      <c r="AR12" s="83" t="str">
        <f t="shared" ca="1" si="8"/>
        <v/>
      </c>
      <c r="AS12" s="84" t="str">
        <f t="shared" ca="1" si="9"/>
        <v/>
      </c>
      <c r="AT12" s="84" t="str">
        <f t="shared" ca="1" si="10"/>
        <v/>
      </c>
      <c r="AU12" s="85" t="str">
        <f t="shared" ca="1" si="11"/>
        <v/>
      </c>
      <c r="AV12" s="88"/>
      <c r="AW12" s="87"/>
      <c r="AX12" s="92" t="s">
        <v>228</v>
      </c>
      <c r="AY12" s="92" t="s">
        <v>250</v>
      </c>
    </row>
    <row r="13" spans="2:51" s="90" customFormat="1" ht="220.5" x14ac:dyDescent="0.25">
      <c r="B13" s="80" t="s">
        <v>213</v>
      </c>
      <c r="C13" s="81" t="s">
        <v>114</v>
      </c>
      <c r="D13" s="81" t="s">
        <v>290</v>
      </c>
      <c r="E13" s="82" t="s">
        <v>286</v>
      </c>
      <c r="F13" s="81" t="s">
        <v>287</v>
      </c>
      <c r="G13" s="81" t="s">
        <v>74</v>
      </c>
      <c r="H13" s="81" t="s">
        <v>254</v>
      </c>
      <c r="I13" s="81" t="s">
        <v>78</v>
      </c>
      <c r="J13" s="81" t="s">
        <v>82</v>
      </c>
      <c r="K13" s="81" t="s">
        <v>185</v>
      </c>
      <c r="L13" s="81" t="s">
        <v>91</v>
      </c>
      <c r="M13" s="81" t="s">
        <v>95</v>
      </c>
      <c r="N13" s="81" t="s">
        <v>97</v>
      </c>
      <c r="O13" s="59">
        <v>7</v>
      </c>
      <c r="P13" s="60">
        <v>1</v>
      </c>
      <c r="Q13" s="61">
        <v>1</v>
      </c>
      <c r="R13" s="61">
        <v>4</v>
      </c>
      <c r="S13" s="62">
        <v>4</v>
      </c>
      <c r="T13" s="83" t="str">
        <f t="shared" ca="1" si="12"/>
        <v>Low</v>
      </c>
      <c r="U13" s="84" t="str">
        <f t="shared" ca="1" si="13"/>
        <v>Low</v>
      </c>
      <c r="V13" s="84" t="str">
        <f t="shared" ca="1" si="14"/>
        <v>Low</v>
      </c>
      <c r="W13" s="85" t="str">
        <f t="shared" ca="1" si="15"/>
        <v>Low</v>
      </c>
      <c r="X13" s="86" t="s">
        <v>166</v>
      </c>
      <c r="Y13" s="87"/>
      <c r="Z13" s="87"/>
      <c r="AA13" s="59"/>
      <c r="AB13" s="60"/>
      <c r="AC13" s="61"/>
      <c r="AD13" s="61"/>
      <c r="AE13" s="62"/>
      <c r="AF13" s="83" t="str">
        <f t="shared" ca="1" si="4"/>
        <v/>
      </c>
      <c r="AG13" s="84" t="str">
        <f t="shared" ca="1" si="5"/>
        <v/>
      </c>
      <c r="AH13" s="84" t="str">
        <f t="shared" ca="1" si="6"/>
        <v/>
      </c>
      <c r="AI13" s="85" t="str">
        <f t="shared" ca="1" si="7"/>
        <v/>
      </c>
      <c r="AJ13" s="87"/>
      <c r="AK13" s="87"/>
      <c r="AL13" s="87"/>
      <c r="AM13" s="59"/>
      <c r="AN13" s="60"/>
      <c r="AO13" s="61"/>
      <c r="AP13" s="61"/>
      <c r="AQ13" s="62"/>
      <c r="AR13" s="83" t="str">
        <f t="shared" ca="1" si="8"/>
        <v/>
      </c>
      <c r="AS13" s="84" t="str">
        <f t="shared" ca="1" si="9"/>
        <v/>
      </c>
      <c r="AT13" s="84" t="str">
        <f t="shared" ca="1" si="10"/>
        <v/>
      </c>
      <c r="AU13" s="85" t="str">
        <f t="shared" ca="1" si="11"/>
        <v/>
      </c>
      <c r="AV13" s="88"/>
      <c r="AW13" s="87"/>
      <c r="AX13" s="92"/>
      <c r="AY13" s="92"/>
    </row>
    <row r="14" spans="2:51" s="90" customFormat="1" ht="220.5" x14ac:dyDescent="0.25">
      <c r="B14" s="80" t="s">
        <v>214</v>
      </c>
      <c r="C14" s="81" t="s">
        <v>114</v>
      </c>
      <c r="D14" s="81" t="s">
        <v>290</v>
      </c>
      <c r="E14" s="82">
        <v>2</v>
      </c>
      <c r="F14" s="81" t="s">
        <v>285</v>
      </c>
      <c r="G14" s="81" t="s">
        <v>74</v>
      </c>
      <c r="H14" s="81" t="s">
        <v>254</v>
      </c>
      <c r="I14" s="81" t="s">
        <v>79</v>
      </c>
      <c r="J14" s="81" t="s">
        <v>82</v>
      </c>
      <c r="K14" s="81" t="s">
        <v>187</v>
      </c>
      <c r="L14" s="81" t="s">
        <v>93</v>
      </c>
      <c r="M14" s="81" t="s">
        <v>95</v>
      </c>
      <c r="N14" s="81" t="s">
        <v>97</v>
      </c>
      <c r="O14" s="59">
        <v>7</v>
      </c>
      <c r="P14" s="60">
        <v>1</v>
      </c>
      <c r="Q14" s="61">
        <v>1</v>
      </c>
      <c r="R14" s="61">
        <v>4</v>
      </c>
      <c r="S14" s="62">
        <v>4</v>
      </c>
      <c r="T14" s="83" t="str">
        <f t="shared" ca="1" si="12"/>
        <v>Low</v>
      </c>
      <c r="U14" s="84" t="str">
        <f t="shared" ca="1" si="13"/>
        <v>Low</v>
      </c>
      <c r="V14" s="84" t="str">
        <f t="shared" ca="1" si="14"/>
        <v>Low</v>
      </c>
      <c r="W14" s="85" t="str">
        <f t="shared" ca="1" si="15"/>
        <v>Low</v>
      </c>
      <c r="X14" s="86" t="s">
        <v>167</v>
      </c>
      <c r="Y14" s="87"/>
      <c r="Z14" s="87"/>
      <c r="AA14" s="59"/>
      <c r="AB14" s="60"/>
      <c r="AC14" s="61"/>
      <c r="AD14" s="61"/>
      <c r="AE14" s="62"/>
      <c r="AF14" s="83" t="str">
        <f t="shared" ref="AF14" ca="1" si="16">IF(AND(ISNUMBER(AB14),ISNUMBER($AA14)),OFFSET(RiskMatrixRef,-$AA14+1,AB14-1),"")</f>
        <v/>
      </c>
      <c r="AG14" s="84" t="str">
        <f t="shared" ref="AG14" ca="1" si="17">IF(AND(ISNUMBER(AC14),ISNUMBER($AA14)),OFFSET(RiskMatrixRef,-$AA14+1,AC14-1),"")</f>
        <v/>
      </c>
      <c r="AH14" s="84" t="str">
        <f t="shared" ref="AH14" ca="1" si="18">IF(AND(ISNUMBER(AD14),ISNUMBER($AA14)),OFFSET(RiskMatrixRef,-$AA14+1,AD14-1),"")</f>
        <v/>
      </c>
      <c r="AI14" s="85" t="str">
        <f t="shared" ref="AI14" ca="1" si="19">IF(AND(ISNUMBER(AE14),ISNUMBER($AA14)),OFFSET(RiskMatrixRef,-$AA14+1,AE14-1),"")</f>
        <v/>
      </c>
      <c r="AJ14" s="87"/>
      <c r="AK14" s="87"/>
      <c r="AL14" s="87"/>
      <c r="AM14" s="59"/>
      <c r="AN14" s="60"/>
      <c r="AO14" s="61"/>
      <c r="AP14" s="61"/>
      <c r="AQ14" s="62"/>
      <c r="AR14" s="83" t="str">
        <f t="shared" ref="AR14" ca="1" si="20">IF(AND(ISNUMBER(AN14),ISNUMBER($AM14)),OFFSET(RiskMatrixRef,-$AM14+1,AN14-1),"")</f>
        <v/>
      </c>
      <c r="AS14" s="84" t="str">
        <f t="shared" ref="AS14" ca="1" si="21">IF(AND(ISNUMBER(AO14),ISNUMBER($AM14)),OFFSET(RiskMatrixRef,-$AM14+1,AO14-1),"")</f>
        <v/>
      </c>
      <c r="AT14" s="84" t="str">
        <f t="shared" ref="AT14" ca="1" si="22">IF(AND(ISNUMBER(AP14),ISNUMBER($AM14)),OFFSET(RiskMatrixRef,-$AM14+1,AP14-1),"")</f>
        <v/>
      </c>
      <c r="AU14" s="85" t="str">
        <f t="shared" ref="AU14" ca="1" si="23">IF(AND(ISNUMBER(AQ14),ISNUMBER($AM14)),OFFSET(RiskMatrixRef,-$AM14+1,AQ14-1),"")</f>
        <v/>
      </c>
      <c r="AV14" s="88"/>
      <c r="AW14" s="87"/>
      <c r="AX14" s="92"/>
      <c r="AY14" s="92"/>
    </row>
    <row r="15" spans="2:51" ht="110.25" x14ac:dyDescent="0.25">
      <c r="B15" s="93" t="s">
        <v>44</v>
      </c>
      <c r="C15" s="94" t="s">
        <v>66</v>
      </c>
      <c r="D15" s="95" t="s">
        <v>107</v>
      </c>
      <c r="E15" s="96">
        <v>2</v>
      </c>
      <c r="F15" s="94" t="s">
        <v>285</v>
      </c>
      <c r="G15" s="94" t="s">
        <v>119</v>
      </c>
      <c r="H15" s="94" t="s">
        <v>291</v>
      </c>
      <c r="I15" s="94" t="s">
        <v>76</v>
      </c>
      <c r="J15" s="94" t="s">
        <v>82</v>
      </c>
      <c r="K15" s="94" t="s">
        <v>188</v>
      </c>
      <c r="L15" s="94" t="s">
        <v>91</v>
      </c>
      <c r="M15" s="94" t="s">
        <v>95</v>
      </c>
      <c r="N15" s="94" t="s">
        <v>97</v>
      </c>
      <c r="O15" s="58">
        <v>7</v>
      </c>
      <c r="P15" s="55">
        <v>1</v>
      </c>
      <c r="Q15" s="56">
        <v>1</v>
      </c>
      <c r="R15" s="56">
        <v>5</v>
      </c>
      <c r="S15" s="57">
        <v>5</v>
      </c>
      <c r="T15" s="97" t="str">
        <f t="shared" ca="1" si="12"/>
        <v>Low</v>
      </c>
      <c r="U15" s="98" t="str">
        <f t="shared" ca="1" si="13"/>
        <v>Low</v>
      </c>
      <c r="V15" s="98" t="str">
        <f t="shared" ca="1" si="14"/>
        <v>Med</v>
      </c>
      <c r="W15" s="99" t="str">
        <f t="shared" ca="1" si="15"/>
        <v>Med</v>
      </c>
      <c r="X15" s="100" t="s">
        <v>99</v>
      </c>
      <c r="Y15" s="101"/>
      <c r="Z15" s="101"/>
      <c r="AA15" s="58"/>
      <c r="AB15" s="55"/>
      <c r="AC15" s="56"/>
      <c r="AD15" s="56"/>
      <c r="AE15" s="57"/>
      <c r="AF15" s="97" t="str">
        <f t="shared" ref="AF15" ca="1" si="24">IF(AND(ISNUMBER(AB15),ISNUMBER($AA15)),OFFSET(RiskMatrixRef,-$AA15+1,AB15-1),"")</f>
        <v/>
      </c>
      <c r="AG15" s="98" t="str">
        <f t="shared" ref="AG15" ca="1" si="25">IF(AND(ISNUMBER(AC15),ISNUMBER($AA15)),OFFSET(RiskMatrixRef,-$AA15+1,AC15-1),"")</f>
        <v/>
      </c>
      <c r="AH15" s="98" t="str">
        <f t="shared" ref="AH15" ca="1" si="26">IF(AND(ISNUMBER(AD15),ISNUMBER($AA15)),OFFSET(RiskMatrixRef,-$AA15+1,AD15-1),"")</f>
        <v/>
      </c>
      <c r="AI15" s="99" t="str">
        <f t="shared" ref="AI15" ca="1" si="27">IF(AND(ISNUMBER(AE15),ISNUMBER($AA15)),OFFSET(RiskMatrixRef,-$AA15+1,AE15-1),"")</f>
        <v/>
      </c>
      <c r="AJ15" s="101"/>
      <c r="AK15" s="101"/>
      <c r="AL15" s="101"/>
      <c r="AM15" s="58"/>
      <c r="AN15" s="55"/>
      <c r="AO15" s="56"/>
      <c r="AP15" s="56"/>
      <c r="AQ15" s="57"/>
      <c r="AR15" s="97" t="str">
        <f t="shared" ref="AR15" ca="1" si="28">IF(AND(ISNUMBER(AN15),ISNUMBER($AM15)),OFFSET(RiskMatrixRef,-$AM15+1,AN15-1),"")</f>
        <v/>
      </c>
      <c r="AS15" s="98" t="str">
        <f t="shared" ref="AS15" ca="1" si="29">IF(AND(ISNUMBER(AO15),ISNUMBER($AM15)),OFFSET(RiskMatrixRef,-$AM15+1,AO15-1),"")</f>
        <v/>
      </c>
      <c r="AT15" s="98" t="str">
        <f t="shared" ref="AT15" ca="1" si="30">IF(AND(ISNUMBER(AP15),ISNUMBER($AM15)),OFFSET(RiskMatrixRef,-$AM15+1,AP15-1),"")</f>
        <v/>
      </c>
      <c r="AU15" s="99" t="str">
        <f t="shared" ref="AU15" ca="1" si="31">IF(AND(ISNUMBER(AQ15),ISNUMBER($AM15)),OFFSET(RiskMatrixRef,-$AM15+1,AQ15-1),"")</f>
        <v/>
      </c>
      <c r="AV15" s="102"/>
      <c r="AW15" s="101"/>
      <c r="AX15" s="103" t="s">
        <v>230</v>
      </c>
      <c r="AY15" s="103" t="s">
        <v>250</v>
      </c>
    </row>
    <row r="16" spans="2:51" ht="110.25" x14ac:dyDescent="0.25">
      <c r="B16" s="93" t="s">
        <v>46</v>
      </c>
      <c r="C16" s="94" t="s">
        <v>66</v>
      </c>
      <c r="D16" s="95" t="s">
        <v>107</v>
      </c>
      <c r="E16" s="96">
        <v>2</v>
      </c>
      <c r="F16" s="94" t="s">
        <v>285</v>
      </c>
      <c r="G16" s="94" t="s">
        <v>119</v>
      </c>
      <c r="H16" s="94" t="s">
        <v>291</v>
      </c>
      <c r="I16" s="94" t="s">
        <v>77</v>
      </c>
      <c r="J16" s="94" t="s">
        <v>82</v>
      </c>
      <c r="K16" s="94" t="s">
        <v>181</v>
      </c>
      <c r="L16" s="94" t="s">
        <v>92</v>
      </c>
      <c r="M16" s="94" t="s">
        <v>95</v>
      </c>
      <c r="N16" s="94" t="s">
        <v>97</v>
      </c>
      <c r="O16" s="58">
        <v>5</v>
      </c>
      <c r="P16" s="55">
        <v>1</v>
      </c>
      <c r="Q16" s="56">
        <v>1</v>
      </c>
      <c r="R16" s="56">
        <v>5</v>
      </c>
      <c r="S16" s="57">
        <v>5</v>
      </c>
      <c r="T16" s="97" t="str">
        <f t="shared" ca="1" si="12"/>
        <v>Low</v>
      </c>
      <c r="U16" s="98" t="str">
        <f t="shared" ca="1" si="13"/>
        <v>Low</v>
      </c>
      <c r="V16" s="98" t="str">
        <f t="shared" ca="1" si="14"/>
        <v>Low</v>
      </c>
      <c r="W16" s="99" t="str">
        <f t="shared" ca="1" si="15"/>
        <v>Low</v>
      </c>
      <c r="X16" s="100"/>
      <c r="Y16" s="101"/>
      <c r="Z16" s="101"/>
      <c r="AA16" s="58"/>
      <c r="AB16" s="55"/>
      <c r="AC16" s="56"/>
      <c r="AD16" s="56"/>
      <c r="AE16" s="57"/>
      <c r="AF16" s="97" t="str">
        <f t="shared" ref="AF16:AI17" ca="1" si="32">IF(AND(ISNUMBER(AB16),ISNUMBER($AA16)),OFFSET(RiskMatrixRef,-$AA16+1,AB16-1),"")</f>
        <v/>
      </c>
      <c r="AG16" s="98" t="str">
        <f t="shared" ca="1" si="32"/>
        <v/>
      </c>
      <c r="AH16" s="98" t="str">
        <f t="shared" ca="1" si="32"/>
        <v/>
      </c>
      <c r="AI16" s="99" t="str">
        <f t="shared" ca="1" si="32"/>
        <v/>
      </c>
      <c r="AJ16" s="101"/>
      <c r="AK16" s="101"/>
      <c r="AL16" s="101"/>
      <c r="AM16" s="58"/>
      <c r="AN16" s="55"/>
      <c r="AO16" s="56"/>
      <c r="AP16" s="56"/>
      <c r="AQ16" s="57"/>
      <c r="AR16" s="97" t="str">
        <f t="shared" ref="AR16:AU17" ca="1" si="33">IF(AND(ISNUMBER(AN16),ISNUMBER($AM16)),OFFSET(RiskMatrixRef,-$AM16+1,AN16-1),"")</f>
        <v/>
      </c>
      <c r="AS16" s="98" t="str">
        <f t="shared" ca="1" si="33"/>
        <v/>
      </c>
      <c r="AT16" s="98" t="str">
        <f t="shared" ca="1" si="33"/>
        <v/>
      </c>
      <c r="AU16" s="99" t="str">
        <f t="shared" ca="1" si="33"/>
        <v/>
      </c>
      <c r="AV16" s="102"/>
      <c r="AW16" s="101"/>
      <c r="AX16" s="103" t="s">
        <v>228</v>
      </c>
      <c r="AY16" s="103" t="s">
        <v>250</v>
      </c>
    </row>
    <row r="17" spans="2:51" ht="195.75" customHeight="1" x14ac:dyDescent="0.25">
      <c r="B17" s="93" t="s">
        <v>47</v>
      </c>
      <c r="C17" s="94" t="s">
        <v>66</v>
      </c>
      <c r="D17" s="95" t="s">
        <v>107</v>
      </c>
      <c r="E17" s="96">
        <v>2</v>
      </c>
      <c r="F17" s="94" t="s">
        <v>285</v>
      </c>
      <c r="G17" s="94" t="s">
        <v>119</v>
      </c>
      <c r="H17" s="94" t="s">
        <v>291</v>
      </c>
      <c r="I17" s="94" t="s">
        <v>78</v>
      </c>
      <c r="J17" s="94" t="s">
        <v>82</v>
      </c>
      <c r="K17" s="94" t="s">
        <v>183</v>
      </c>
      <c r="L17" s="94" t="s">
        <v>92</v>
      </c>
      <c r="M17" s="94" t="s">
        <v>95</v>
      </c>
      <c r="N17" s="94" t="s">
        <v>97</v>
      </c>
      <c r="O17" s="58">
        <v>5</v>
      </c>
      <c r="P17" s="55">
        <v>1</v>
      </c>
      <c r="Q17" s="56">
        <v>1</v>
      </c>
      <c r="R17" s="56">
        <v>5</v>
      </c>
      <c r="S17" s="57">
        <v>5</v>
      </c>
      <c r="T17" s="97" t="str">
        <f t="shared" ca="1" si="12"/>
        <v>Low</v>
      </c>
      <c r="U17" s="98" t="str">
        <f t="shared" ca="1" si="13"/>
        <v>Low</v>
      </c>
      <c r="V17" s="98" t="str">
        <f t="shared" ca="1" si="14"/>
        <v>Low</v>
      </c>
      <c r="W17" s="99" t="str">
        <f t="shared" ca="1" si="15"/>
        <v>Low</v>
      </c>
      <c r="X17" s="100" t="s">
        <v>249</v>
      </c>
      <c r="Y17" s="101"/>
      <c r="Z17" s="101"/>
      <c r="AA17" s="58"/>
      <c r="AB17" s="55"/>
      <c r="AC17" s="56"/>
      <c r="AD17" s="56"/>
      <c r="AE17" s="57"/>
      <c r="AF17" s="97" t="str">
        <f t="shared" ca="1" si="32"/>
        <v/>
      </c>
      <c r="AG17" s="98" t="str">
        <f t="shared" ca="1" si="32"/>
        <v/>
      </c>
      <c r="AH17" s="98" t="str">
        <f t="shared" ca="1" si="32"/>
        <v/>
      </c>
      <c r="AI17" s="99" t="str">
        <f t="shared" ca="1" si="32"/>
        <v/>
      </c>
      <c r="AJ17" s="101"/>
      <c r="AK17" s="101"/>
      <c r="AL17" s="101"/>
      <c r="AM17" s="58"/>
      <c r="AN17" s="55"/>
      <c r="AO17" s="56"/>
      <c r="AP17" s="56"/>
      <c r="AQ17" s="57"/>
      <c r="AR17" s="97" t="str">
        <f t="shared" ca="1" si="33"/>
        <v/>
      </c>
      <c r="AS17" s="98" t="str">
        <f t="shared" ca="1" si="33"/>
        <v/>
      </c>
      <c r="AT17" s="98" t="str">
        <f t="shared" ca="1" si="33"/>
        <v/>
      </c>
      <c r="AU17" s="99" t="str">
        <f t="shared" ca="1" si="33"/>
        <v/>
      </c>
      <c r="AV17" s="102"/>
      <c r="AW17" s="101"/>
      <c r="AX17" s="103" t="s">
        <v>241</v>
      </c>
      <c r="AY17" s="103" t="s">
        <v>252</v>
      </c>
    </row>
    <row r="18" spans="2:51" ht="141.75" x14ac:dyDescent="0.25">
      <c r="B18" s="93" t="s">
        <v>45</v>
      </c>
      <c r="C18" s="94" t="s">
        <v>66</v>
      </c>
      <c r="D18" s="95" t="s">
        <v>107</v>
      </c>
      <c r="E18" s="96">
        <v>2</v>
      </c>
      <c r="F18" s="94" t="s">
        <v>285</v>
      </c>
      <c r="G18" s="94" t="s">
        <v>119</v>
      </c>
      <c r="H18" s="94" t="s">
        <v>291</v>
      </c>
      <c r="I18" s="94" t="s">
        <v>79</v>
      </c>
      <c r="J18" s="94" t="s">
        <v>82</v>
      </c>
      <c r="K18" s="94" t="s">
        <v>182</v>
      </c>
      <c r="L18" s="94" t="s">
        <v>93</v>
      </c>
      <c r="M18" s="94" t="s">
        <v>95</v>
      </c>
      <c r="N18" s="94" t="s">
        <v>97</v>
      </c>
      <c r="O18" s="58">
        <v>7</v>
      </c>
      <c r="P18" s="55">
        <v>1</v>
      </c>
      <c r="Q18" s="56">
        <v>1</v>
      </c>
      <c r="R18" s="56">
        <v>5</v>
      </c>
      <c r="S18" s="57">
        <v>5</v>
      </c>
      <c r="T18" s="97" t="str">
        <f t="shared" ca="1" si="12"/>
        <v>Low</v>
      </c>
      <c r="U18" s="98" t="str">
        <f t="shared" ca="1" si="13"/>
        <v>Low</v>
      </c>
      <c r="V18" s="98" t="str">
        <f t="shared" ca="1" si="14"/>
        <v>Med</v>
      </c>
      <c r="W18" s="99" t="str">
        <f t="shared" ca="1" si="15"/>
        <v>Med</v>
      </c>
      <c r="X18" s="100"/>
      <c r="Y18" s="101"/>
      <c r="Z18" s="101"/>
      <c r="AA18" s="58"/>
      <c r="AB18" s="55"/>
      <c r="AC18" s="56"/>
      <c r="AD18" s="56"/>
      <c r="AE18" s="57"/>
      <c r="AF18" s="97" t="str">
        <f t="shared" ref="AF18" ca="1" si="34">IF(AND(ISNUMBER(AB18),ISNUMBER($AA18)),OFFSET(RiskMatrixRef,-$AA18+1,AB18-1),"")</f>
        <v/>
      </c>
      <c r="AG18" s="98" t="str">
        <f t="shared" ref="AG18" ca="1" si="35">IF(AND(ISNUMBER(AC18),ISNUMBER($AA18)),OFFSET(RiskMatrixRef,-$AA18+1,AC18-1),"")</f>
        <v/>
      </c>
      <c r="AH18" s="98" t="str">
        <f t="shared" ref="AH18" ca="1" si="36">IF(AND(ISNUMBER(AD18),ISNUMBER($AA18)),OFFSET(RiskMatrixRef,-$AA18+1,AD18-1),"")</f>
        <v/>
      </c>
      <c r="AI18" s="99" t="str">
        <f t="shared" ref="AI18" ca="1" si="37">IF(AND(ISNUMBER(AE18),ISNUMBER($AA18)),OFFSET(RiskMatrixRef,-$AA18+1,AE18-1),"")</f>
        <v/>
      </c>
      <c r="AJ18" s="101"/>
      <c r="AK18" s="101"/>
      <c r="AL18" s="101"/>
      <c r="AM18" s="58"/>
      <c r="AN18" s="55"/>
      <c r="AO18" s="56"/>
      <c r="AP18" s="56"/>
      <c r="AQ18" s="57"/>
      <c r="AR18" s="97" t="str">
        <f t="shared" ref="AR18" ca="1" si="38">IF(AND(ISNUMBER(AN18),ISNUMBER($AM18)),OFFSET(RiskMatrixRef,-$AM18+1,AN18-1),"")</f>
        <v/>
      </c>
      <c r="AS18" s="98" t="str">
        <f t="shared" ref="AS18" ca="1" si="39">IF(AND(ISNUMBER(AO18),ISNUMBER($AM18)),OFFSET(RiskMatrixRef,-$AM18+1,AO18-1),"")</f>
        <v/>
      </c>
      <c r="AT18" s="98" t="str">
        <f t="shared" ref="AT18" ca="1" si="40">IF(AND(ISNUMBER(AP18),ISNUMBER($AM18)),OFFSET(RiskMatrixRef,-$AM18+1,AP18-1),"")</f>
        <v/>
      </c>
      <c r="AU18" s="99" t="str">
        <f t="shared" ref="AU18" ca="1" si="41">IF(AND(ISNUMBER(AQ18),ISNUMBER($AM18)),OFFSET(RiskMatrixRef,-$AM18+1,AQ18-1),"")</f>
        <v/>
      </c>
      <c r="AV18" s="102"/>
      <c r="AW18" s="101" t="s">
        <v>256</v>
      </c>
      <c r="AX18" s="103" t="s">
        <v>229</v>
      </c>
      <c r="AY18" s="103" t="s">
        <v>257</v>
      </c>
    </row>
    <row r="19" spans="2:51" ht="110.25" x14ac:dyDescent="0.25">
      <c r="B19" s="93" t="s">
        <v>48</v>
      </c>
      <c r="C19" s="94" t="s">
        <v>66</v>
      </c>
      <c r="D19" s="95" t="s">
        <v>107</v>
      </c>
      <c r="E19" s="96">
        <v>2</v>
      </c>
      <c r="F19" s="94" t="s">
        <v>285</v>
      </c>
      <c r="G19" s="94" t="s">
        <v>120</v>
      </c>
      <c r="H19" s="94" t="s">
        <v>291</v>
      </c>
      <c r="I19" s="94" t="s">
        <v>76</v>
      </c>
      <c r="J19" s="94" t="s">
        <v>82</v>
      </c>
      <c r="K19" s="94" t="s">
        <v>180</v>
      </c>
      <c r="L19" s="94" t="s">
        <v>91</v>
      </c>
      <c r="M19" s="94" t="s">
        <v>95</v>
      </c>
      <c r="N19" s="94" t="s">
        <v>97</v>
      </c>
      <c r="O19" s="58">
        <v>7</v>
      </c>
      <c r="P19" s="55">
        <v>1</v>
      </c>
      <c r="Q19" s="56">
        <v>1</v>
      </c>
      <c r="R19" s="56">
        <v>5</v>
      </c>
      <c r="S19" s="57">
        <v>5</v>
      </c>
      <c r="T19" s="97" t="str">
        <f t="shared" ca="1" si="12"/>
        <v>Low</v>
      </c>
      <c r="U19" s="98" t="str">
        <f t="shared" ca="1" si="13"/>
        <v>Low</v>
      </c>
      <c r="V19" s="98" t="str">
        <f t="shared" ca="1" si="14"/>
        <v>Med</v>
      </c>
      <c r="W19" s="99" t="str">
        <f t="shared" ca="1" si="15"/>
        <v>Med</v>
      </c>
      <c r="X19" s="100" t="s">
        <v>99</v>
      </c>
      <c r="Y19" s="101"/>
      <c r="Z19" s="101"/>
      <c r="AA19" s="58"/>
      <c r="AB19" s="55"/>
      <c r="AC19" s="56"/>
      <c r="AD19" s="56"/>
      <c r="AE19" s="57"/>
      <c r="AF19" s="97" t="str">
        <f t="shared" ca="1" si="4"/>
        <v/>
      </c>
      <c r="AG19" s="98" t="str">
        <f t="shared" ca="1" si="5"/>
        <v/>
      </c>
      <c r="AH19" s="98" t="str">
        <f t="shared" ca="1" si="6"/>
        <v/>
      </c>
      <c r="AI19" s="99" t="str">
        <f t="shared" ca="1" si="7"/>
        <v/>
      </c>
      <c r="AJ19" s="101"/>
      <c r="AK19" s="101"/>
      <c r="AL19" s="101"/>
      <c r="AM19" s="58"/>
      <c r="AN19" s="55"/>
      <c r="AO19" s="56"/>
      <c r="AP19" s="56"/>
      <c r="AQ19" s="57"/>
      <c r="AR19" s="97" t="str">
        <f t="shared" ca="1" si="8"/>
        <v/>
      </c>
      <c r="AS19" s="98" t="str">
        <f t="shared" ca="1" si="9"/>
        <v/>
      </c>
      <c r="AT19" s="98" t="str">
        <f t="shared" ca="1" si="10"/>
        <v/>
      </c>
      <c r="AU19" s="99" t="str">
        <f t="shared" ca="1" si="11"/>
        <v/>
      </c>
      <c r="AV19" s="102"/>
      <c r="AW19" s="101"/>
      <c r="AX19" s="103" t="s">
        <v>230</v>
      </c>
      <c r="AY19" s="103" t="s">
        <v>273</v>
      </c>
    </row>
    <row r="20" spans="2:51" ht="110.25" x14ac:dyDescent="0.25">
      <c r="B20" s="93" t="s">
        <v>177</v>
      </c>
      <c r="C20" s="94" t="s">
        <v>66</v>
      </c>
      <c r="D20" s="95" t="s">
        <v>107</v>
      </c>
      <c r="E20" s="96">
        <v>2</v>
      </c>
      <c r="F20" s="94" t="s">
        <v>285</v>
      </c>
      <c r="G20" s="94" t="s">
        <v>120</v>
      </c>
      <c r="H20" s="94" t="s">
        <v>291</v>
      </c>
      <c r="I20" s="94" t="s">
        <v>77</v>
      </c>
      <c r="J20" s="94" t="s">
        <v>82</v>
      </c>
      <c r="K20" s="94" t="s">
        <v>181</v>
      </c>
      <c r="L20" s="94" t="s">
        <v>92</v>
      </c>
      <c r="M20" s="94" t="s">
        <v>95</v>
      </c>
      <c r="N20" s="94" t="s">
        <v>97</v>
      </c>
      <c r="O20" s="58">
        <v>5</v>
      </c>
      <c r="P20" s="55">
        <v>1</v>
      </c>
      <c r="Q20" s="56">
        <v>1</v>
      </c>
      <c r="R20" s="56">
        <v>5</v>
      </c>
      <c r="S20" s="57">
        <v>5</v>
      </c>
      <c r="T20" s="97" t="str">
        <f t="shared" ca="1" si="12"/>
        <v>Low</v>
      </c>
      <c r="U20" s="98" t="str">
        <f t="shared" ca="1" si="13"/>
        <v>Low</v>
      </c>
      <c r="V20" s="98" t="str">
        <f t="shared" ca="1" si="14"/>
        <v>Low</v>
      </c>
      <c r="W20" s="99" t="str">
        <f t="shared" ca="1" si="15"/>
        <v>Low</v>
      </c>
      <c r="X20" s="100"/>
      <c r="Y20" s="101"/>
      <c r="Z20" s="101"/>
      <c r="AA20" s="58"/>
      <c r="AB20" s="55"/>
      <c r="AC20" s="56"/>
      <c r="AD20" s="56"/>
      <c r="AE20" s="57"/>
      <c r="AF20" s="97" t="str">
        <f t="shared" ref="AF20:AI23" ca="1" si="42">IF(AND(ISNUMBER(AB20),ISNUMBER($AA20)),OFFSET(RiskMatrixRef,-$AA20+1,AB20-1),"")</f>
        <v/>
      </c>
      <c r="AG20" s="98" t="str">
        <f t="shared" ca="1" si="42"/>
        <v/>
      </c>
      <c r="AH20" s="98" t="str">
        <f t="shared" ca="1" si="42"/>
        <v/>
      </c>
      <c r="AI20" s="99" t="str">
        <f t="shared" ca="1" si="42"/>
        <v/>
      </c>
      <c r="AJ20" s="101"/>
      <c r="AK20" s="101"/>
      <c r="AL20" s="101"/>
      <c r="AM20" s="58"/>
      <c r="AN20" s="55"/>
      <c r="AO20" s="56"/>
      <c r="AP20" s="56"/>
      <c r="AQ20" s="57"/>
      <c r="AR20" s="97" t="str">
        <f t="shared" ref="AR20:AU23" ca="1" si="43">IF(AND(ISNUMBER(AN20),ISNUMBER($AM20)),OFFSET(RiskMatrixRef,-$AM20+1,AN20-1),"")</f>
        <v/>
      </c>
      <c r="AS20" s="98" t="str">
        <f t="shared" ca="1" si="43"/>
        <v/>
      </c>
      <c r="AT20" s="98" t="str">
        <f t="shared" ca="1" si="43"/>
        <v/>
      </c>
      <c r="AU20" s="99" t="str">
        <f t="shared" ca="1" si="43"/>
        <v/>
      </c>
      <c r="AV20" s="102"/>
      <c r="AW20" s="101"/>
      <c r="AX20" s="103" t="s">
        <v>228</v>
      </c>
      <c r="AY20" s="103" t="s">
        <v>250</v>
      </c>
    </row>
    <row r="21" spans="2:51" ht="110.25" x14ac:dyDescent="0.25">
      <c r="B21" s="93" t="s">
        <v>178</v>
      </c>
      <c r="C21" s="94" t="s">
        <v>66</v>
      </c>
      <c r="D21" s="95" t="s">
        <v>107</v>
      </c>
      <c r="E21" s="96">
        <v>2</v>
      </c>
      <c r="F21" s="94" t="s">
        <v>285</v>
      </c>
      <c r="G21" s="94" t="s">
        <v>120</v>
      </c>
      <c r="H21" s="94" t="s">
        <v>291</v>
      </c>
      <c r="I21" s="94" t="s">
        <v>78</v>
      </c>
      <c r="J21" s="94" t="s">
        <v>82</v>
      </c>
      <c r="K21" s="94" t="s">
        <v>183</v>
      </c>
      <c r="L21" s="94" t="s">
        <v>92</v>
      </c>
      <c r="M21" s="94" t="s">
        <v>95</v>
      </c>
      <c r="N21" s="94" t="s">
        <v>97</v>
      </c>
      <c r="O21" s="58">
        <v>5</v>
      </c>
      <c r="P21" s="55">
        <v>1</v>
      </c>
      <c r="Q21" s="56">
        <v>1</v>
      </c>
      <c r="R21" s="56">
        <v>5</v>
      </c>
      <c r="S21" s="57">
        <v>5</v>
      </c>
      <c r="T21" s="97" t="str">
        <f t="shared" ca="1" si="12"/>
        <v>Low</v>
      </c>
      <c r="U21" s="98" t="str">
        <f t="shared" ca="1" si="13"/>
        <v>Low</v>
      </c>
      <c r="V21" s="98" t="str">
        <f t="shared" ca="1" si="14"/>
        <v>Low</v>
      </c>
      <c r="W21" s="99" t="str">
        <f t="shared" ca="1" si="15"/>
        <v>Low</v>
      </c>
      <c r="X21" s="100"/>
      <c r="Y21" s="101"/>
      <c r="Z21" s="101"/>
      <c r="AA21" s="58"/>
      <c r="AB21" s="55"/>
      <c r="AC21" s="56"/>
      <c r="AD21" s="56"/>
      <c r="AE21" s="57"/>
      <c r="AF21" s="97" t="str">
        <f t="shared" ca="1" si="42"/>
        <v/>
      </c>
      <c r="AG21" s="98" t="str">
        <f t="shared" ca="1" si="42"/>
        <v/>
      </c>
      <c r="AH21" s="98" t="str">
        <f t="shared" ca="1" si="42"/>
        <v/>
      </c>
      <c r="AI21" s="99" t="str">
        <f t="shared" ca="1" si="42"/>
        <v/>
      </c>
      <c r="AJ21" s="101"/>
      <c r="AK21" s="101"/>
      <c r="AL21" s="101"/>
      <c r="AM21" s="58"/>
      <c r="AN21" s="55"/>
      <c r="AO21" s="56"/>
      <c r="AP21" s="56"/>
      <c r="AQ21" s="57"/>
      <c r="AR21" s="97" t="str">
        <f t="shared" ca="1" si="43"/>
        <v/>
      </c>
      <c r="AS21" s="98" t="str">
        <f t="shared" ca="1" si="43"/>
        <v/>
      </c>
      <c r="AT21" s="98" t="str">
        <f t="shared" ca="1" si="43"/>
        <v/>
      </c>
      <c r="AU21" s="99" t="str">
        <f t="shared" ca="1" si="43"/>
        <v/>
      </c>
      <c r="AV21" s="102"/>
      <c r="AW21" s="101"/>
      <c r="AX21" s="103" t="s">
        <v>232</v>
      </c>
      <c r="AY21" s="103" t="s">
        <v>250</v>
      </c>
    </row>
    <row r="22" spans="2:51" ht="110.25" x14ac:dyDescent="0.25">
      <c r="B22" s="93" t="s">
        <v>179</v>
      </c>
      <c r="C22" s="94" t="s">
        <v>66</v>
      </c>
      <c r="D22" s="95" t="s">
        <v>107</v>
      </c>
      <c r="E22" s="96">
        <v>3</v>
      </c>
      <c r="F22" s="94" t="s">
        <v>285</v>
      </c>
      <c r="G22" s="94" t="s">
        <v>119</v>
      </c>
      <c r="H22" s="94" t="s">
        <v>291</v>
      </c>
      <c r="I22" s="94" t="s">
        <v>76</v>
      </c>
      <c r="J22" s="94" t="s">
        <v>82</v>
      </c>
      <c r="K22" s="94" t="s">
        <v>188</v>
      </c>
      <c r="L22" s="94" t="s">
        <v>91</v>
      </c>
      <c r="M22" s="94" t="s">
        <v>95</v>
      </c>
      <c r="N22" s="94" t="s">
        <v>97</v>
      </c>
      <c r="O22" s="58">
        <v>5.28571428571429</v>
      </c>
      <c r="P22" s="55">
        <v>1</v>
      </c>
      <c r="Q22" s="56">
        <v>1</v>
      </c>
      <c r="R22" s="56">
        <v>5</v>
      </c>
      <c r="S22" s="57">
        <v>5</v>
      </c>
      <c r="T22" s="97" t="str">
        <f t="shared" ref="T22:T23" ca="1" si="44">IF(AND(ISNUMBER(P22),ISNUMBER($O22)),OFFSET(RiskMatrixRef,-$O22+1,P22-1),"")</f>
        <v>Low</v>
      </c>
      <c r="U22" s="98" t="str">
        <f t="shared" ref="U22:U23" ca="1" si="45">IF(AND(ISNUMBER(Q22),ISNUMBER($O22)),OFFSET(RiskMatrixRef,-$O22+1,Q22-1),"")</f>
        <v>Low</v>
      </c>
      <c r="V22" s="98" t="str">
        <f t="shared" ref="V22:V23" ca="1" si="46">IF(AND(ISNUMBER(R22),ISNUMBER($O22)),OFFSET(RiskMatrixRef,-$O22+1,R22-1),"")</f>
        <v>Low</v>
      </c>
      <c r="W22" s="99" t="str">
        <f t="shared" ref="W22:W23" ca="1" si="47">IF(AND(ISNUMBER(S22),ISNUMBER($O22)),OFFSET(RiskMatrixRef,-$O22+1,S22-1),"")</f>
        <v>Low</v>
      </c>
      <c r="X22" s="100" t="s">
        <v>99</v>
      </c>
      <c r="Y22" s="101"/>
      <c r="Z22" s="101"/>
      <c r="AA22" s="58"/>
      <c r="AB22" s="55"/>
      <c r="AC22" s="56"/>
      <c r="AD22" s="56"/>
      <c r="AE22" s="57"/>
      <c r="AF22" s="97" t="str">
        <f t="shared" ca="1" si="42"/>
        <v/>
      </c>
      <c r="AG22" s="98" t="str">
        <f t="shared" ca="1" si="42"/>
        <v/>
      </c>
      <c r="AH22" s="98" t="str">
        <f t="shared" ca="1" si="42"/>
        <v/>
      </c>
      <c r="AI22" s="99" t="str">
        <f t="shared" ca="1" si="42"/>
        <v/>
      </c>
      <c r="AJ22" s="101"/>
      <c r="AK22" s="101"/>
      <c r="AL22" s="101"/>
      <c r="AM22" s="58"/>
      <c r="AN22" s="55"/>
      <c r="AO22" s="56"/>
      <c r="AP22" s="56"/>
      <c r="AQ22" s="57"/>
      <c r="AR22" s="97" t="str">
        <f t="shared" ca="1" si="43"/>
        <v/>
      </c>
      <c r="AS22" s="98" t="str">
        <f t="shared" ca="1" si="43"/>
        <v/>
      </c>
      <c r="AT22" s="98" t="str">
        <f t="shared" ca="1" si="43"/>
        <v/>
      </c>
      <c r="AU22" s="99" t="str">
        <f t="shared" ca="1" si="43"/>
        <v/>
      </c>
      <c r="AV22" s="102"/>
      <c r="AW22" s="101"/>
      <c r="AX22" s="103" t="s">
        <v>283</v>
      </c>
      <c r="AY22" s="103" t="s">
        <v>250</v>
      </c>
    </row>
    <row r="23" spans="2:51" ht="110.25" x14ac:dyDescent="0.25">
      <c r="B23" s="93" t="s">
        <v>195</v>
      </c>
      <c r="C23" s="94" t="s">
        <v>66</v>
      </c>
      <c r="D23" s="95" t="s">
        <v>107</v>
      </c>
      <c r="E23" s="96">
        <v>4</v>
      </c>
      <c r="F23" s="94" t="s">
        <v>285</v>
      </c>
      <c r="G23" s="94" t="s">
        <v>119</v>
      </c>
      <c r="H23" s="94" t="s">
        <v>291</v>
      </c>
      <c r="I23" s="94" t="s">
        <v>77</v>
      </c>
      <c r="J23" s="94" t="s">
        <v>82</v>
      </c>
      <c r="K23" s="94" t="s">
        <v>181</v>
      </c>
      <c r="L23" s="94" t="s">
        <v>92</v>
      </c>
      <c r="M23" s="94" t="s">
        <v>95</v>
      </c>
      <c r="N23" s="94" t="s">
        <v>97</v>
      </c>
      <c r="O23" s="58">
        <v>5.1428571428571503</v>
      </c>
      <c r="P23" s="55">
        <v>1</v>
      </c>
      <c r="Q23" s="56">
        <v>1</v>
      </c>
      <c r="R23" s="56">
        <v>5</v>
      </c>
      <c r="S23" s="57">
        <v>5</v>
      </c>
      <c r="T23" s="97" t="str">
        <f t="shared" ca="1" si="44"/>
        <v>Low</v>
      </c>
      <c r="U23" s="98" t="str">
        <f t="shared" ca="1" si="45"/>
        <v>Low</v>
      </c>
      <c r="V23" s="98" t="str">
        <f t="shared" ca="1" si="46"/>
        <v>Low</v>
      </c>
      <c r="W23" s="99" t="str">
        <f t="shared" ca="1" si="47"/>
        <v>Low</v>
      </c>
      <c r="X23" s="100"/>
      <c r="Y23" s="101"/>
      <c r="Z23" s="101"/>
      <c r="AA23" s="58"/>
      <c r="AB23" s="55"/>
      <c r="AC23" s="56"/>
      <c r="AD23" s="56"/>
      <c r="AE23" s="57"/>
      <c r="AF23" s="97" t="str">
        <f t="shared" ca="1" si="42"/>
        <v/>
      </c>
      <c r="AG23" s="98" t="str">
        <f t="shared" ca="1" si="42"/>
        <v/>
      </c>
      <c r="AH23" s="98" t="str">
        <f t="shared" ca="1" si="42"/>
        <v/>
      </c>
      <c r="AI23" s="99" t="str">
        <f t="shared" ca="1" si="42"/>
        <v/>
      </c>
      <c r="AJ23" s="101"/>
      <c r="AK23" s="101"/>
      <c r="AL23" s="101"/>
      <c r="AM23" s="58"/>
      <c r="AN23" s="55"/>
      <c r="AO23" s="56"/>
      <c r="AP23" s="56"/>
      <c r="AQ23" s="57"/>
      <c r="AR23" s="97" t="str">
        <f t="shared" ca="1" si="43"/>
        <v/>
      </c>
      <c r="AS23" s="98" t="str">
        <f t="shared" ca="1" si="43"/>
        <v/>
      </c>
      <c r="AT23" s="98" t="str">
        <f t="shared" ca="1" si="43"/>
        <v/>
      </c>
      <c r="AU23" s="99" t="str">
        <f t="shared" ca="1" si="43"/>
        <v/>
      </c>
      <c r="AV23" s="102"/>
      <c r="AW23" s="101"/>
      <c r="AX23" s="103" t="s">
        <v>284</v>
      </c>
      <c r="AY23" s="103" t="s">
        <v>250</v>
      </c>
    </row>
    <row r="24" spans="2:51" s="104" customFormat="1" ht="173.25" x14ac:dyDescent="0.25">
      <c r="B24" s="105" t="s">
        <v>49</v>
      </c>
      <c r="C24" s="106" t="s">
        <v>67</v>
      </c>
      <c r="D24" s="107" t="s">
        <v>215</v>
      </c>
      <c r="E24" s="108">
        <v>2</v>
      </c>
      <c r="F24" s="106" t="s">
        <v>285</v>
      </c>
      <c r="G24" s="106" t="s">
        <v>121</v>
      </c>
      <c r="H24" s="106" t="s">
        <v>258</v>
      </c>
      <c r="I24" s="106" t="s">
        <v>122</v>
      </c>
      <c r="J24" s="106" t="s">
        <v>82</v>
      </c>
      <c r="K24" s="106" t="s">
        <v>189</v>
      </c>
      <c r="L24" s="106" t="s">
        <v>91</v>
      </c>
      <c r="M24" s="106" t="s">
        <v>95</v>
      </c>
      <c r="N24" s="106" t="s">
        <v>97</v>
      </c>
      <c r="O24" s="63">
        <v>7</v>
      </c>
      <c r="P24" s="64">
        <v>1</v>
      </c>
      <c r="Q24" s="65">
        <v>1</v>
      </c>
      <c r="R24" s="65">
        <v>6</v>
      </c>
      <c r="S24" s="66">
        <v>5</v>
      </c>
      <c r="T24" s="109" t="str">
        <f t="shared" ref="T24" ca="1" si="48">IF(AND(ISNUMBER(P24),ISNUMBER($O24)),OFFSET(RiskMatrixRef,-$O24+1,P24-1),"")</f>
        <v>Low</v>
      </c>
      <c r="U24" s="110" t="str">
        <f t="shared" ref="U24" ca="1" si="49">IF(AND(ISNUMBER(Q24),ISNUMBER($O24)),OFFSET(RiskMatrixRef,-$O24+1,Q24-1),"")</f>
        <v>Low</v>
      </c>
      <c r="V24" s="110" t="str">
        <f t="shared" ref="V24" ca="1" si="50">IF(AND(ISNUMBER(R24),ISNUMBER($O24)),OFFSET(RiskMatrixRef,-$O24+1,R24-1),"")</f>
        <v>Med</v>
      </c>
      <c r="W24" s="111" t="str">
        <f t="shared" ref="W24" ca="1" si="51">IF(AND(ISNUMBER(S24),ISNUMBER($O24)),OFFSET(RiskMatrixRef,-$O24+1,S24-1),"")</f>
        <v>Med</v>
      </c>
      <c r="X24" s="112" t="s">
        <v>168</v>
      </c>
      <c r="Y24" s="113"/>
      <c r="Z24" s="113"/>
      <c r="AA24" s="63"/>
      <c r="AB24" s="64"/>
      <c r="AC24" s="65"/>
      <c r="AD24" s="65"/>
      <c r="AE24" s="66"/>
      <c r="AF24" s="109" t="str">
        <f t="shared" ca="1" si="4"/>
        <v/>
      </c>
      <c r="AG24" s="110" t="str">
        <f t="shared" ca="1" si="5"/>
        <v/>
      </c>
      <c r="AH24" s="110" t="str">
        <f t="shared" ca="1" si="6"/>
        <v/>
      </c>
      <c r="AI24" s="111" t="str">
        <f t="shared" ca="1" si="7"/>
        <v/>
      </c>
      <c r="AJ24" s="113"/>
      <c r="AK24" s="113"/>
      <c r="AL24" s="113"/>
      <c r="AM24" s="63"/>
      <c r="AN24" s="64"/>
      <c r="AO24" s="65"/>
      <c r="AP24" s="65"/>
      <c r="AQ24" s="66"/>
      <c r="AR24" s="109" t="str">
        <f t="shared" ca="1" si="8"/>
        <v/>
      </c>
      <c r="AS24" s="110" t="str">
        <f t="shared" ca="1" si="9"/>
        <v/>
      </c>
      <c r="AT24" s="110" t="str">
        <f t="shared" ca="1" si="10"/>
        <v/>
      </c>
      <c r="AU24" s="111" t="str">
        <f t="shared" ca="1" si="11"/>
        <v/>
      </c>
      <c r="AV24" s="114"/>
      <c r="AW24" s="113" t="s">
        <v>169</v>
      </c>
      <c r="AX24" s="115" t="s">
        <v>237</v>
      </c>
      <c r="AY24" s="115" t="s">
        <v>272</v>
      </c>
    </row>
    <row r="25" spans="2:51" s="104" customFormat="1" ht="173.25" x14ac:dyDescent="0.25">
      <c r="B25" s="105" t="s">
        <v>50</v>
      </c>
      <c r="C25" s="106" t="s">
        <v>67</v>
      </c>
      <c r="D25" s="107" t="s">
        <v>215</v>
      </c>
      <c r="E25" s="108">
        <v>2</v>
      </c>
      <c r="F25" s="106" t="s">
        <v>285</v>
      </c>
      <c r="G25" s="106" t="s">
        <v>121</v>
      </c>
      <c r="H25" s="106" t="s">
        <v>258</v>
      </c>
      <c r="I25" s="106" t="s">
        <v>77</v>
      </c>
      <c r="J25" s="106" t="s">
        <v>82</v>
      </c>
      <c r="K25" s="106" t="s">
        <v>190</v>
      </c>
      <c r="L25" s="106" t="s">
        <v>92</v>
      </c>
      <c r="M25" s="106" t="s">
        <v>95</v>
      </c>
      <c r="N25" s="106" t="s">
        <v>97</v>
      </c>
      <c r="O25" s="63">
        <v>5</v>
      </c>
      <c r="P25" s="64">
        <v>1</v>
      </c>
      <c r="Q25" s="65">
        <v>1</v>
      </c>
      <c r="R25" s="65">
        <v>6</v>
      </c>
      <c r="S25" s="66">
        <v>5</v>
      </c>
      <c r="T25" s="109" t="str">
        <f t="shared" ca="1" si="12"/>
        <v>Low</v>
      </c>
      <c r="U25" s="110" t="str">
        <f t="shared" ca="1" si="13"/>
        <v>Low</v>
      </c>
      <c r="V25" s="110" t="str">
        <f t="shared" ca="1" si="14"/>
        <v>Low</v>
      </c>
      <c r="W25" s="111" t="str">
        <f t="shared" ca="1" si="15"/>
        <v>Low</v>
      </c>
      <c r="X25" s="112" t="s">
        <v>168</v>
      </c>
      <c r="Y25" s="113"/>
      <c r="Z25" s="113"/>
      <c r="AA25" s="63"/>
      <c r="AB25" s="64"/>
      <c r="AC25" s="65"/>
      <c r="AD25" s="65"/>
      <c r="AE25" s="66"/>
      <c r="AF25" s="109" t="str">
        <f t="shared" ca="1" si="4"/>
        <v/>
      </c>
      <c r="AG25" s="110" t="str">
        <f t="shared" ca="1" si="5"/>
        <v/>
      </c>
      <c r="AH25" s="110" t="str">
        <f t="shared" ca="1" si="6"/>
        <v/>
      </c>
      <c r="AI25" s="111" t="str">
        <f t="shared" ca="1" si="7"/>
        <v/>
      </c>
      <c r="AJ25" s="113"/>
      <c r="AK25" s="113"/>
      <c r="AL25" s="113"/>
      <c r="AM25" s="63"/>
      <c r="AN25" s="64"/>
      <c r="AO25" s="65"/>
      <c r="AP25" s="65"/>
      <c r="AQ25" s="66"/>
      <c r="AR25" s="109" t="str">
        <f t="shared" ca="1" si="8"/>
        <v/>
      </c>
      <c r="AS25" s="110" t="str">
        <f t="shared" ca="1" si="9"/>
        <v/>
      </c>
      <c r="AT25" s="110" t="str">
        <f t="shared" ca="1" si="10"/>
        <v/>
      </c>
      <c r="AU25" s="111" t="str">
        <f t="shared" ca="1" si="11"/>
        <v/>
      </c>
      <c r="AV25" s="114"/>
      <c r="AW25" s="113" t="s">
        <v>169</v>
      </c>
      <c r="AX25" s="115" t="s">
        <v>228</v>
      </c>
      <c r="AY25" s="115" t="s">
        <v>250</v>
      </c>
    </row>
    <row r="26" spans="2:51" s="104" customFormat="1" ht="173.25" x14ac:dyDescent="0.25">
      <c r="B26" s="105" t="s">
        <v>51</v>
      </c>
      <c r="C26" s="106" t="s">
        <v>67</v>
      </c>
      <c r="D26" s="107" t="s">
        <v>215</v>
      </c>
      <c r="E26" s="108">
        <v>2</v>
      </c>
      <c r="F26" s="106" t="s">
        <v>285</v>
      </c>
      <c r="G26" s="106" t="s">
        <v>121</v>
      </c>
      <c r="H26" s="106" t="s">
        <v>258</v>
      </c>
      <c r="I26" s="106" t="s">
        <v>78</v>
      </c>
      <c r="J26" s="106" t="s">
        <v>82</v>
      </c>
      <c r="K26" s="106" t="s">
        <v>191</v>
      </c>
      <c r="L26" s="106" t="s">
        <v>92</v>
      </c>
      <c r="M26" s="106" t="s">
        <v>95</v>
      </c>
      <c r="N26" s="106" t="s">
        <v>97</v>
      </c>
      <c r="O26" s="63">
        <v>6</v>
      </c>
      <c r="P26" s="64">
        <v>1</v>
      </c>
      <c r="Q26" s="65">
        <v>1</v>
      </c>
      <c r="R26" s="65">
        <v>6</v>
      </c>
      <c r="S26" s="66">
        <v>5</v>
      </c>
      <c r="T26" s="109" t="str">
        <f t="shared" ca="1" si="12"/>
        <v>Low</v>
      </c>
      <c r="U26" s="110" t="str">
        <f t="shared" ca="1" si="13"/>
        <v>Low</v>
      </c>
      <c r="V26" s="110" t="str">
        <f t="shared" ca="1" si="14"/>
        <v>Med</v>
      </c>
      <c r="W26" s="111" t="str">
        <f t="shared" ca="1" si="15"/>
        <v>Low</v>
      </c>
      <c r="X26" s="112" t="s">
        <v>168</v>
      </c>
      <c r="Y26" s="113"/>
      <c r="Z26" s="113"/>
      <c r="AA26" s="63"/>
      <c r="AB26" s="64"/>
      <c r="AC26" s="65"/>
      <c r="AD26" s="65"/>
      <c r="AE26" s="66"/>
      <c r="AF26" s="109" t="str">
        <f t="shared" ca="1" si="4"/>
        <v/>
      </c>
      <c r="AG26" s="110" t="str">
        <f t="shared" ca="1" si="5"/>
        <v/>
      </c>
      <c r="AH26" s="110" t="str">
        <f t="shared" ca="1" si="6"/>
        <v/>
      </c>
      <c r="AI26" s="111" t="str">
        <f t="shared" ca="1" si="7"/>
        <v/>
      </c>
      <c r="AJ26" s="113"/>
      <c r="AK26" s="113"/>
      <c r="AL26" s="113"/>
      <c r="AM26" s="63"/>
      <c r="AN26" s="64"/>
      <c r="AO26" s="65"/>
      <c r="AP26" s="65"/>
      <c r="AQ26" s="66"/>
      <c r="AR26" s="109" t="str">
        <f t="shared" ca="1" si="8"/>
        <v/>
      </c>
      <c r="AS26" s="110" t="str">
        <f t="shared" ca="1" si="9"/>
        <v/>
      </c>
      <c r="AT26" s="110" t="str">
        <f t="shared" ca="1" si="10"/>
        <v/>
      </c>
      <c r="AU26" s="111" t="str">
        <f t="shared" ca="1" si="11"/>
        <v/>
      </c>
      <c r="AV26" s="114"/>
      <c r="AW26" s="113" t="s">
        <v>169</v>
      </c>
      <c r="AX26" s="115" t="s">
        <v>232</v>
      </c>
      <c r="AY26" s="115" t="s">
        <v>250</v>
      </c>
    </row>
    <row r="27" spans="2:51" s="104" customFormat="1" ht="173.25" x14ac:dyDescent="0.25">
      <c r="B27" s="105" t="s">
        <v>52</v>
      </c>
      <c r="C27" s="106" t="s">
        <v>67</v>
      </c>
      <c r="D27" s="107" t="s">
        <v>215</v>
      </c>
      <c r="E27" s="108">
        <v>2</v>
      </c>
      <c r="F27" s="106" t="s">
        <v>285</v>
      </c>
      <c r="G27" s="106" t="s">
        <v>121</v>
      </c>
      <c r="H27" s="106" t="s">
        <v>258</v>
      </c>
      <c r="I27" s="106" t="s">
        <v>79</v>
      </c>
      <c r="J27" s="106" t="s">
        <v>82</v>
      </c>
      <c r="K27" s="106" t="s">
        <v>192</v>
      </c>
      <c r="L27" s="106" t="s">
        <v>93</v>
      </c>
      <c r="M27" s="106" t="s">
        <v>95</v>
      </c>
      <c r="N27" s="106" t="s">
        <v>97</v>
      </c>
      <c r="O27" s="63">
        <v>4</v>
      </c>
      <c r="P27" s="64">
        <v>1</v>
      </c>
      <c r="Q27" s="65">
        <v>1</v>
      </c>
      <c r="R27" s="65">
        <v>6</v>
      </c>
      <c r="S27" s="66">
        <v>5</v>
      </c>
      <c r="T27" s="109" t="str">
        <f t="shared" ca="1" si="12"/>
        <v>Low</v>
      </c>
      <c r="U27" s="110" t="str">
        <f t="shared" ca="1" si="13"/>
        <v>Low</v>
      </c>
      <c r="V27" s="110" t="str">
        <f t="shared" ca="1" si="14"/>
        <v>Low</v>
      </c>
      <c r="W27" s="111" t="str">
        <f t="shared" ca="1" si="15"/>
        <v>Low</v>
      </c>
      <c r="X27" s="112" t="s">
        <v>170</v>
      </c>
      <c r="Y27" s="113"/>
      <c r="Z27" s="113"/>
      <c r="AA27" s="63"/>
      <c r="AB27" s="64"/>
      <c r="AC27" s="65"/>
      <c r="AD27" s="65"/>
      <c r="AE27" s="66"/>
      <c r="AF27" s="109" t="str">
        <f ca="1">IF(AND(ISNUMBER(AB27),ISNUMBER($AA27)),OFFSET(RiskMatrixRef,-$AA27+1,AB27-1),"")</f>
        <v/>
      </c>
      <c r="AG27" s="110" t="str">
        <f ca="1">IF(AND(ISNUMBER(AC27),ISNUMBER($AA27)),OFFSET(RiskMatrixRef,-$AA27+1,AC27-1),"")</f>
        <v/>
      </c>
      <c r="AH27" s="110" t="str">
        <f ca="1">IF(AND(ISNUMBER(AD27),ISNUMBER($AA27)),OFFSET(RiskMatrixRef,-$AA27+1,AD27-1),"")</f>
        <v/>
      </c>
      <c r="AI27" s="111" t="str">
        <f ca="1">IF(AND(ISNUMBER(AE27),ISNUMBER($AA27)),OFFSET(RiskMatrixRef,-$AA27+1,AE27-1),"")</f>
        <v/>
      </c>
      <c r="AJ27" s="113"/>
      <c r="AK27" s="113"/>
      <c r="AL27" s="113"/>
      <c r="AM27" s="63"/>
      <c r="AN27" s="64"/>
      <c r="AO27" s="65"/>
      <c r="AP27" s="65"/>
      <c r="AQ27" s="66"/>
      <c r="AR27" s="109" t="str">
        <f ca="1">IF(AND(ISNUMBER(AN27),ISNUMBER($AM27)),OFFSET(RiskMatrixRef,-$AM27+1,AN27-1),"")</f>
        <v/>
      </c>
      <c r="AS27" s="110" t="str">
        <f ca="1">IF(AND(ISNUMBER(AO27),ISNUMBER($AM27)),OFFSET(RiskMatrixRef,-$AM27+1,AO27-1),"")</f>
        <v/>
      </c>
      <c r="AT27" s="110" t="str">
        <f ca="1">IF(AND(ISNUMBER(AP27),ISNUMBER($AM27)),OFFSET(RiskMatrixRef,-$AM27+1,AP27-1),"")</f>
        <v/>
      </c>
      <c r="AU27" s="111" t="str">
        <f ca="1">IF(AND(ISNUMBER(AQ27),ISNUMBER($AM27)),OFFSET(RiskMatrixRef,-$AM27+1,AQ27-1),"")</f>
        <v/>
      </c>
      <c r="AV27" s="114"/>
      <c r="AW27" s="113" t="s">
        <v>171</v>
      </c>
      <c r="AX27" s="115" t="s">
        <v>238</v>
      </c>
      <c r="AY27" s="115" t="s">
        <v>277</v>
      </c>
    </row>
    <row r="28" spans="2:51" s="104" customFormat="1" ht="330.75" x14ac:dyDescent="0.25">
      <c r="B28" s="105" t="s">
        <v>53</v>
      </c>
      <c r="C28" s="106" t="s">
        <v>67</v>
      </c>
      <c r="D28" s="107" t="s">
        <v>215</v>
      </c>
      <c r="E28" s="108">
        <v>2</v>
      </c>
      <c r="F28" s="106" t="s">
        <v>285</v>
      </c>
      <c r="G28" s="106" t="s">
        <v>72</v>
      </c>
      <c r="H28" s="106" t="s">
        <v>259</v>
      </c>
      <c r="I28" s="106" t="s">
        <v>123</v>
      </c>
      <c r="J28" s="106" t="s">
        <v>82</v>
      </c>
      <c r="K28" s="106" t="s">
        <v>262</v>
      </c>
      <c r="L28" s="106" t="s">
        <v>266</v>
      </c>
      <c r="M28" s="106" t="s">
        <v>95</v>
      </c>
      <c r="N28" s="106" t="s">
        <v>263</v>
      </c>
      <c r="O28" s="63">
        <v>7</v>
      </c>
      <c r="P28" s="64">
        <v>1</v>
      </c>
      <c r="Q28" s="65">
        <v>1</v>
      </c>
      <c r="R28" s="65">
        <v>5</v>
      </c>
      <c r="S28" s="66">
        <v>5</v>
      </c>
      <c r="T28" s="109" t="str">
        <f t="shared" ca="1" si="12"/>
        <v>Low</v>
      </c>
      <c r="U28" s="110" t="str">
        <f t="shared" ca="1" si="13"/>
        <v>Low</v>
      </c>
      <c r="V28" s="110" t="str">
        <f t="shared" ca="1" si="14"/>
        <v>Med</v>
      </c>
      <c r="W28" s="111" t="str">
        <f t="shared" ca="1" si="15"/>
        <v>Med</v>
      </c>
      <c r="X28" s="112" t="s">
        <v>260</v>
      </c>
      <c r="Y28" s="113"/>
      <c r="Z28" s="113"/>
      <c r="AA28" s="63"/>
      <c r="AB28" s="64"/>
      <c r="AC28" s="65"/>
      <c r="AD28" s="65"/>
      <c r="AE28" s="66"/>
      <c r="AF28" s="109" t="str">
        <f t="shared" ca="1" si="4"/>
        <v/>
      </c>
      <c r="AG28" s="110" t="str">
        <f t="shared" ca="1" si="5"/>
        <v/>
      </c>
      <c r="AH28" s="110" t="str">
        <f t="shared" ca="1" si="6"/>
        <v/>
      </c>
      <c r="AI28" s="111" t="str">
        <f t="shared" ca="1" si="7"/>
        <v/>
      </c>
      <c r="AJ28" s="113"/>
      <c r="AK28" s="113"/>
      <c r="AL28" s="113"/>
      <c r="AM28" s="63"/>
      <c r="AN28" s="64"/>
      <c r="AO28" s="65"/>
      <c r="AP28" s="65"/>
      <c r="AQ28" s="66"/>
      <c r="AR28" s="109" t="str">
        <f t="shared" ca="1" si="8"/>
        <v/>
      </c>
      <c r="AS28" s="110" t="str">
        <f t="shared" ca="1" si="9"/>
        <v/>
      </c>
      <c r="AT28" s="110" t="str">
        <f t="shared" ca="1" si="10"/>
        <v/>
      </c>
      <c r="AU28" s="111" t="str">
        <f t="shared" ca="1" si="11"/>
        <v/>
      </c>
      <c r="AV28" s="114"/>
      <c r="AW28" s="113" t="s">
        <v>169</v>
      </c>
      <c r="AX28" s="115" t="s">
        <v>233</v>
      </c>
      <c r="AY28" s="115" t="s">
        <v>261</v>
      </c>
    </row>
    <row r="29" spans="2:51" ht="126" x14ac:dyDescent="0.25">
      <c r="B29" s="93" t="s">
        <v>40</v>
      </c>
      <c r="C29" s="94" t="s">
        <v>64</v>
      </c>
      <c r="D29" s="95" t="s">
        <v>70</v>
      </c>
      <c r="E29" s="96">
        <v>2</v>
      </c>
      <c r="F29" s="94" t="s">
        <v>285</v>
      </c>
      <c r="G29" s="94" t="s">
        <v>71</v>
      </c>
      <c r="H29" s="94" t="s">
        <v>292</v>
      </c>
      <c r="I29" s="94" t="s">
        <v>76</v>
      </c>
      <c r="J29" s="94" t="s">
        <v>82</v>
      </c>
      <c r="K29" s="94" t="s">
        <v>83</v>
      </c>
      <c r="L29" s="94" t="s">
        <v>91</v>
      </c>
      <c r="M29" s="94" t="s">
        <v>95</v>
      </c>
      <c r="N29" s="94" t="s">
        <v>97</v>
      </c>
      <c r="O29" s="58">
        <v>7</v>
      </c>
      <c r="P29" s="55">
        <v>1</v>
      </c>
      <c r="Q29" s="56">
        <v>1</v>
      </c>
      <c r="R29" s="56">
        <v>4</v>
      </c>
      <c r="S29" s="57">
        <v>5</v>
      </c>
      <c r="T29" s="97" t="str">
        <f t="shared" ca="1" si="12"/>
        <v>Low</v>
      </c>
      <c r="U29" s="98" t="str">
        <f t="shared" ca="1" si="13"/>
        <v>Low</v>
      </c>
      <c r="V29" s="98" t="str">
        <f t="shared" ca="1" si="14"/>
        <v>Low</v>
      </c>
      <c r="W29" s="99" t="str">
        <f t="shared" ca="1" si="15"/>
        <v>Med</v>
      </c>
      <c r="X29" s="100"/>
      <c r="Y29" s="101"/>
      <c r="Z29" s="101"/>
      <c r="AA29" s="58"/>
      <c r="AB29" s="55"/>
      <c r="AC29" s="56"/>
      <c r="AD29" s="56"/>
      <c r="AE29" s="57"/>
      <c r="AF29" s="97" t="str">
        <f t="shared" ref="AF29:AF47" ca="1" si="52">IF(AND(ISNUMBER(AB29),ISNUMBER($AA29)),OFFSET(RiskMatrixRef,-$AA29+1,AB29-1),"")</f>
        <v/>
      </c>
      <c r="AG29" s="98" t="str">
        <f t="shared" ref="AG29:AG47" ca="1" si="53">IF(AND(ISNUMBER(AC29),ISNUMBER($AA29)),OFFSET(RiskMatrixRef,-$AA29+1,AC29-1),"")</f>
        <v/>
      </c>
      <c r="AH29" s="98" t="str">
        <f t="shared" ref="AH29:AH47" ca="1" si="54">IF(AND(ISNUMBER(AD29),ISNUMBER($AA29)),OFFSET(RiskMatrixRef,-$AA29+1,AD29-1),"")</f>
        <v/>
      </c>
      <c r="AI29" s="99" t="str">
        <f t="shared" ref="AI29:AI47" ca="1" si="55">IF(AND(ISNUMBER(AE29),ISNUMBER($AA29)),OFFSET(RiskMatrixRef,-$AA29+1,AE29-1),"")</f>
        <v/>
      </c>
      <c r="AJ29" s="101"/>
      <c r="AK29" s="101"/>
      <c r="AL29" s="101"/>
      <c r="AM29" s="58"/>
      <c r="AN29" s="55"/>
      <c r="AO29" s="56"/>
      <c r="AP29" s="56"/>
      <c r="AQ29" s="57"/>
      <c r="AR29" s="97" t="str">
        <f t="shared" ref="AR29:AR47" ca="1" si="56">IF(AND(ISNUMBER(AN29),ISNUMBER($AM29)),OFFSET(RiskMatrixRef,-$AM29+1,AN29-1),"")</f>
        <v/>
      </c>
      <c r="AS29" s="98" t="str">
        <f t="shared" ref="AS29:AS47" ca="1" si="57">IF(AND(ISNUMBER(AO29),ISNUMBER($AM29)),OFFSET(RiskMatrixRef,-$AM29+1,AO29-1),"")</f>
        <v/>
      </c>
      <c r="AT29" s="98" t="str">
        <f t="shared" ref="AT29:AT47" ca="1" si="58">IF(AND(ISNUMBER(AP29),ISNUMBER($AM29)),OFFSET(RiskMatrixRef,-$AM29+1,AP29-1),"")</f>
        <v/>
      </c>
      <c r="AU29" s="99" t="str">
        <f t="shared" ref="AU29:AU47" ca="1" si="59">IF(AND(ISNUMBER(AQ29),ISNUMBER($AM29)),OFFSET(RiskMatrixRef,-$AM29+1,AQ29-1),"")</f>
        <v/>
      </c>
      <c r="AV29" s="102"/>
      <c r="AW29" s="101" t="s">
        <v>124</v>
      </c>
      <c r="AX29" s="116" t="s">
        <v>230</v>
      </c>
      <c r="AY29" s="116" t="s">
        <v>250</v>
      </c>
    </row>
    <row r="30" spans="2:51" ht="126" x14ac:dyDescent="0.25">
      <c r="B30" s="93" t="s">
        <v>39</v>
      </c>
      <c r="C30" s="94" t="s">
        <v>64</v>
      </c>
      <c r="D30" s="95" t="s">
        <v>70</v>
      </c>
      <c r="E30" s="96">
        <v>2</v>
      </c>
      <c r="F30" s="94" t="s">
        <v>285</v>
      </c>
      <c r="G30" s="94" t="s">
        <v>71</v>
      </c>
      <c r="H30" s="94" t="s">
        <v>292</v>
      </c>
      <c r="I30" s="94" t="s">
        <v>77</v>
      </c>
      <c r="J30" s="94" t="s">
        <v>82</v>
      </c>
      <c r="K30" s="94" t="s">
        <v>193</v>
      </c>
      <c r="L30" s="94" t="s">
        <v>92</v>
      </c>
      <c r="M30" s="94" t="s">
        <v>95</v>
      </c>
      <c r="N30" s="94" t="s">
        <v>97</v>
      </c>
      <c r="O30" s="58">
        <v>5</v>
      </c>
      <c r="P30" s="55">
        <v>1</v>
      </c>
      <c r="Q30" s="56">
        <v>1</v>
      </c>
      <c r="R30" s="56">
        <v>4</v>
      </c>
      <c r="S30" s="57">
        <v>5</v>
      </c>
      <c r="T30" s="97" t="str">
        <f t="shared" ca="1" si="12"/>
        <v>Low</v>
      </c>
      <c r="U30" s="98" t="str">
        <f t="shared" ca="1" si="13"/>
        <v>Low</v>
      </c>
      <c r="V30" s="98" t="str">
        <f t="shared" ca="1" si="14"/>
        <v>Low</v>
      </c>
      <c r="W30" s="99" t="str">
        <f t="shared" ca="1" si="15"/>
        <v>Low</v>
      </c>
      <c r="X30" s="100"/>
      <c r="Y30" s="101"/>
      <c r="Z30" s="101"/>
      <c r="AA30" s="58"/>
      <c r="AB30" s="55"/>
      <c r="AC30" s="56"/>
      <c r="AD30" s="56"/>
      <c r="AE30" s="57"/>
      <c r="AF30" s="97" t="str">
        <f t="shared" ca="1" si="52"/>
        <v/>
      </c>
      <c r="AG30" s="98" t="str">
        <f t="shared" ca="1" si="53"/>
        <v/>
      </c>
      <c r="AH30" s="98" t="str">
        <f t="shared" ca="1" si="54"/>
        <v/>
      </c>
      <c r="AI30" s="99" t="str">
        <f t="shared" ca="1" si="55"/>
        <v/>
      </c>
      <c r="AJ30" s="101"/>
      <c r="AK30" s="101"/>
      <c r="AL30" s="101"/>
      <c r="AM30" s="58"/>
      <c r="AN30" s="55"/>
      <c r="AO30" s="56"/>
      <c r="AP30" s="56"/>
      <c r="AQ30" s="57"/>
      <c r="AR30" s="97" t="str">
        <f t="shared" ca="1" si="56"/>
        <v/>
      </c>
      <c r="AS30" s="98" t="str">
        <f t="shared" ca="1" si="57"/>
        <v/>
      </c>
      <c r="AT30" s="98" t="str">
        <f t="shared" ca="1" si="58"/>
        <v/>
      </c>
      <c r="AU30" s="99" t="str">
        <f t="shared" ca="1" si="59"/>
        <v/>
      </c>
      <c r="AV30" s="102"/>
      <c r="AW30" s="101" t="s">
        <v>124</v>
      </c>
      <c r="AX30" s="103" t="s">
        <v>228</v>
      </c>
      <c r="AY30" s="116" t="s">
        <v>250</v>
      </c>
    </row>
    <row r="31" spans="2:51" ht="126" x14ac:dyDescent="0.25">
      <c r="B31" s="93" t="s">
        <v>41</v>
      </c>
      <c r="C31" s="94" t="s">
        <v>64</v>
      </c>
      <c r="D31" s="95" t="s">
        <v>70</v>
      </c>
      <c r="E31" s="96">
        <v>2</v>
      </c>
      <c r="F31" s="94" t="s">
        <v>285</v>
      </c>
      <c r="G31" s="94" t="s">
        <v>71</v>
      </c>
      <c r="H31" s="94" t="s">
        <v>292</v>
      </c>
      <c r="I31" s="94" t="s">
        <v>78</v>
      </c>
      <c r="J31" s="94" t="s">
        <v>82</v>
      </c>
      <c r="K31" s="94" t="s">
        <v>194</v>
      </c>
      <c r="L31" s="94" t="s">
        <v>92</v>
      </c>
      <c r="M31" s="94" t="s">
        <v>95</v>
      </c>
      <c r="N31" s="94" t="s">
        <v>97</v>
      </c>
      <c r="O31" s="58">
        <v>6</v>
      </c>
      <c r="P31" s="55">
        <v>1</v>
      </c>
      <c r="Q31" s="56">
        <v>1</v>
      </c>
      <c r="R31" s="56">
        <v>4</v>
      </c>
      <c r="S31" s="57">
        <v>5</v>
      </c>
      <c r="T31" s="97" t="str">
        <f t="shared" ca="1" si="12"/>
        <v>Low</v>
      </c>
      <c r="U31" s="98" t="str">
        <f t="shared" ca="1" si="13"/>
        <v>Low</v>
      </c>
      <c r="V31" s="98" t="str">
        <f t="shared" ca="1" si="14"/>
        <v>Low</v>
      </c>
      <c r="W31" s="99" t="str">
        <f t="shared" ca="1" si="15"/>
        <v>Low</v>
      </c>
      <c r="X31" s="100"/>
      <c r="Y31" s="101"/>
      <c r="Z31" s="101"/>
      <c r="AA31" s="58"/>
      <c r="AB31" s="55"/>
      <c r="AC31" s="56"/>
      <c r="AD31" s="56"/>
      <c r="AE31" s="57"/>
      <c r="AF31" s="97" t="str">
        <f t="shared" ca="1" si="52"/>
        <v/>
      </c>
      <c r="AG31" s="98" t="str">
        <f t="shared" ca="1" si="53"/>
        <v/>
      </c>
      <c r="AH31" s="98" t="str">
        <f t="shared" ca="1" si="54"/>
        <v/>
      </c>
      <c r="AI31" s="99" t="str">
        <f t="shared" ca="1" si="55"/>
        <v/>
      </c>
      <c r="AJ31" s="101"/>
      <c r="AK31" s="101"/>
      <c r="AL31" s="101"/>
      <c r="AM31" s="58"/>
      <c r="AN31" s="55"/>
      <c r="AO31" s="56"/>
      <c r="AP31" s="56"/>
      <c r="AQ31" s="57"/>
      <c r="AR31" s="97" t="str">
        <f t="shared" ca="1" si="56"/>
        <v/>
      </c>
      <c r="AS31" s="98" t="str">
        <f t="shared" ca="1" si="57"/>
        <v/>
      </c>
      <c r="AT31" s="98" t="str">
        <f t="shared" ca="1" si="58"/>
        <v/>
      </c>
      <c r="AU31" s="99" t="str">
        <f t="shared" ca="1" si="59"/>
        <v/>
      </c>
      <c r="AV31" s="102"/>
      <c r="AW31" s="101" t="s">
        <v>124</v>
      </c>
      <c r="AX31" s="103" t="s">
        <v>232</v>
      </c>
      <c r="AY31" s="116" t="s">
        <v>250</v>
      </c>
    </row>
    <row r="32" spans="2:51" ht="126" x14ac:dyDescent="0.25">
      <c r="B32" s="93" t="s">
        <v>42</v>
      </c>
      <c r="C32" s="94" t="s">
        <v>64</v>
      </c>
      <c r="D32" s="95" t="s">
        <v>70</v>
      </c>
      <c r="E32" s="96">
        <v>2</v>
      </c>
      <c r="F32" s="94" t="s">
        <v>285</v>
      </c>
      <c r="G32" s="94" t="s">
        <v>71</v>
      </c>
      <c r="H32" s="94" t="s">
        <v>292</v>
      </c>
      <c r="I32" s="94" t="s">
        <v>79</v>
      </c>
      <c r="J32" s="94" t="s">
        <v>82</v>
      </c>
      <c r="K32" s="94" t="s">
        <v>85</v>
      </c>
      <c r="L32" s="94" t="s">
        <v>93</v>
      </c>
      <c r="M32" s="94" t="s">
        <v>95</v>
      </c>
      <c r="N32" s="94" t="s">
        <v>97</v>
      </c>
      <c r="O32" s="58">
        <v>6</v>
      </c>
      <c r="P32" s="55">
        <v>1</v>
      </c>
      <c r="Q32" s="56">
        <v>1</v>
      </c>
      <c r="R32" s="56">
        <v>4</v>
      </c>
      <c r="S32" s="57">
        <v>5</v>
      </c>
      <c r="T32" s="97" t="str">
        <f t="shared" ca="1" si="12"/>
        <v>Low</v>
      </c>
      <c r="U32" s="98" t="str">
        <f t="shared" ca="1" si="13"/>
        <v>Low</v>
      </c>
      <c r="V32" s="98" t="str">
        <f t="shared" ca="1" si="14"/>
        <v>Low</v>
      </c>
      <c r="W32" s="99" t="str">
        <f t="shared" ca="1" si="15"/>
        <v>Low</v>
      </c>
      <c r="X32" s="100"/>
      <c r="Y32" s="101"/>
      <c r="Z32" s="101"/>
      <c r="AA32" s="58"/>
      <c r="AB32" s="55"/>
      <c r="AC32" s="56"/>
      <c r="AD32" s="56"/>
      <c r="AE32" s="57"/>
      <c r="AF32" s="97" t="str">
        <f t="shared" ca="1" si="52"/>
        <v/>
      </c>
      <c r="AG32" s="98" t="str">
        <f t="shared" ca="1" si="53"/>
        <v/>
      </c>
      <c r="AH32" s="98" t="str">
        <f t="shared" ca="1" si="54"/>
        <v/>
      </c>
      <c r="AI32" s="99" t="str">
        <f t="shared" ca="1" si="55"/>
        <v/>
      </c>
      <c r="AJ32" s="101"/>
      <c r="AK32" s="101"/>
      <c r="AL32" s="101"/>
      <c r="AM32" s="58"/>
      <c r="AN32" s="55"/>
      <c r="AO32" s="56"/>
      <c r="AP32" s="56"/>
      <c r="AQ32" s="57"/>
      <c r="AR32" s="97" t="str">
        <f t="shared" ca="1" si="56"/>
        <v/>
      </c>
      <c r="AS32" s="98" t="str">
        <f t="shared" ca="1" si="57"/>
        <v/>
      </c>
      <c r="AT32" s="98" t="str">
        <f t="shared" ca="1" si="58"/>
        <v/>
      </c>
      <c r="AU32" s="99" t="str">
        <f t="shared" ca="1" si="59"/>
        <v/>
      </c>
      <c r="AV32" s="102"/>
      <c r="AW32" s="101" t="s">
        <v>124</v>
      </c>
      <c r="AX32" s="103" t="s">
        <v>238</v>
      </c>
      <c r="AY32" s="116" t="s">
        <v>250</v>
      </c>
    </row>
    <row r="33" spans="2:51" ht="220.5" x14ac:dyDescent="0.25">
      <c r="B33" s="93" t="s">
        <v>43</v>
      </c>
      <c r="C33" s="94" t="s">
        <v>65</v>
      </c>
      <c r="D33" s="95" t="s">
        <v>70</v>
      </c>
      <c r="E33" s="96">
        <v>2</v>
      </c>
      <c r="F33" s="94" t="s">
        <v>285</v>
      </c>
      <c r="G33" s="94" t="s">
        <v>72</v>
      </c>
      <c r="H33" s="94" t="s">
        <v>293</v>
      </c>
      <c r="I33" s="94" t="s">
        <v>123</v>
      </c>
      <c r="J33" s="94" t="s">
        <v>82</v>
      </c>
      <c r="K33" s="94" t="s">
        <v>264</v>
      </c>
      <c r="L33" s="94" t="s">
        <v>265</v>
      </c>
      <c r="M33" s="94" t="s">
        <v>96</v>
      </c>
      <c r="N33" s="94" t="s">
        <v>267</v>
      </c>
      <c r="O33" s="58">
        <v>5</v>
      </c>
      <c r="P33" s="55">
        <v>1</v>
      </c>
      <c r="Q33" s="56">
        <v>1</v>
      </c>
      <c r="R33" s="56">
        <v>7</v>
      </c>
      <c r="S33" s="57">
        <v>7</v>
      </c>
      <c r="T33" s="97" t="str">
        <f t="shared" ca="1" si="12"/>
        <v>Low</v>
      </c>
      <c r="U33" s="98" t="str">
        <f t="shared" ca="1" si="13"/>
        <v>Low</v>
      </c>
      <c r="V33" s="98" t="str">
        <f t="shared" ca="1" si="14"/>
        <v>Med</v>
      </c>
      <c r="W33" s="99" t="str">
        <f t="shared" ca="1" si="15"/>
        <v>Med</v>
      </c>
      <c r="X33" s="100" t="s">
        <v>268</v>
      </c>
      <c r="Y33" s="101"/>
      <c r="Z33" s="101"/>
      <c r="AA33" s="58"/>
      <c r="AB33" s="55"/>
      <c r="AC33" s="56"/>
      <c r="AD33" s="56"/>
      <c r="AE33" s="57"/>
      <c r="AF33" s="97" t="str">
        <f t="shared" ca="1" si="52"/>
        <v/>
      </c>
      <c r="AG33" s="98" t="str">
        <f t="shared" ca="1" si="53"/>
        <v/>
      </c>
      <c r="AH33" s="98" t="str">
        <f t="shared" ca="1" si="54"/>
        <v/>
      </c>
      <c r="AI33" s="99" t="str">
        <f t="shared" ca="1" si="55"/>
        <v/>
      </c>
      <c r="AJ33" s="101"/>
      <c r="AK33" s="101"/>
      <c r="AL33" s="101"/>
      <c r="AM33" s="58"/>
      <c r="AN33" s="55"/>
      <c r="AO33" s="56"/>
      <c r="AP33" s="56"/>
      <c r="AQ33" s="57"/>
      <c r="AR33" s="97" t="str">
        <f t="shared" ca="1" si="56"/>
        <v/>
      </c>
      <c r="AS33" s="98" t="str">
        <f t="shared" ca="1" si="57"/>
        <v/>
      </c>
      <c r="AT33" s="98" t="str">
        <f t="shared" ca="1" si="58"/>
        <v/>
      </c>
      <c r="AU33" s="99" t="str">
        <f t="shared" ca="1" si="59"/>
        <v/>
      </c>
      <c r="AV33" s="102"/>
      <c r="AW33" s="101"/>
      <c r="AX33" s="103" t="s">
        <v>234</v>
      </c>
      <c r="AY33" s="103" t="s">
        <v>250</v>
      </c>
    </row>
    <row r="34" spans="2:51" s="90" customFormat="1" ht="189" x14ac:dyDescent="0.25">
      <c r="B34" s="80" t="s">
        <v>59</v>
      </c>
      <c r="C34" s="81" t="s">
        <v>68</v>
      </c>
      <c r="D34" s="91" t="s">
        <v>125</v>
      </c>
      <c r="E34" s="82">
        <v>2</v>
      </c>
      <c r="F34" s="81" t="s">
        <v>285</v>
      </c>
      <c r="G34" s="81" t="s">
        <v>75</v>
      </c>
      <c r="H34" s="81" t="s">
        <v>112</v>
      </c>
      <c r="I34" s="81" t="s">
        <v>76</v>
      </c>
      <c r="J34" s="81" t="s">
        <v>82</v>
      </c>
      <c r="K34" s="81" t="s">
        <v>89</v>
      </c>
      <c r="L34" s="81" t="s">
        <v>91</v>
      </c>
      <c r="M34" s="81" t="s">
        <v>95</v>
      </c>
      <c r="N34" s="81" t="s">
        <v>269</v>
      </c>
      <c r="O34" s="59">
        <v>6</v>
      </c>
      <c r="P34" s="60">
        <v>1</v>
      </c>
      <c r="Q34" s="61">
        <v>1</v>
      </c>
      <c r="R34" s="61">
        <v>7</v>
      </c>
      <c r="S34" s="62">
        <v>7</v>
      </c>
      <c r="T34" s="83" t="str">
        <f t="shared" ca="1" si="12"/>
        <v>Low</v>
      </c>
      <c r="U34" s="84" t="str">
        <f t="shared" ca="1" si="13"/>
        <v>Low</v>
      </c>
      <c r="V34" s="84" t="str">
        <f t="shared" ca="1" si="14"/>
        <v>Med</v>
      </c>
      <c r="W34" s="85" t="str">
        <f t="shared" ca="1" si="15"/>
        <v>Med</v>
      </c>
      <c r="X34" s="86" t="s">
        <v>100</v>
      </c>
      <c r="Y34" s="87"/>
      <c r="Z34" s="87"/>
      <c r="AA34" s="59"/>
      <c r="AB34" s="60"/>
      <c r="AC34" s="61"/>
      <c r="AD34" s="61"/>
      <c r="AE34" s="62"/>
      <c r="AF34" s="83" t="str">
        <f t="shared" ca="1" si="52"/>
        <v/>
      </c>
      <c r="AG34" s="84" t="str">
        <f t="shared" ca="1" si="53"/>
        <v/>
      </c>
      <c r="AH34" s="84" t="str">
        <f t="shared" ca="1" si="54"/>
        <v/>
      </c>
      <c r="AI34" s="85" t="str">
        <f t="shared" ca="1" si="55"/>
        <v/>
      </c>
      <c r="AJ34" s="87"/>
      <c r="AK34" s="87"/>
      <c r="AL34" s="87"/>
      <c r="AM34" s="59"/>
      <c r="AN34" s="60"/>
      <c r="AO34" s="61"/>
      <c r="AP34" s="61"/>
      <c r="AQ34" s="62"/>
      <c r="AR34" s="83" t="str">
        <f t="shared" ca="1" si="56"/>
        <v/>
      </c>
      <c r="AS34" s="84" t="str">
        <f t="shared" ca="1" si="57"/>
        <v/>
      </c>
      <c r="AT34" s="84" t="str">
        <f t="shared" ca="1" si="58"/>
        <v/>
      </c>
      <c r="AU34" s="85" t="str">
        <f t="shared" ca="1" si="59"/>
        <v/>
      </c>
      <c r="AV34" s="88"/>
      <c r="AW34" s="87" t="s">
        <v>225</v>
      </c>
      <c r="AX34" s="92" t="s">
        <v>230</v>
      </c>
      <c r="AY34" s="92" t="s">
        <v>271</v>
      </c>
    </row>
    <row r="35" spans="2:51" s="90" customFormat="1" ht="157.5" x14ac:dyDescent="0.25">
      <c r="B35" s="80" t="s">
        <v>60</v>
      </c>
      <c r="C35" s="81" t="s">
        <v>68</v>
      </c>
      <c r="D35" s="91" t="s">
        <v>125</v>
      </c>
      <c r="E35" s="82">
        <v>2</v>
      </c>
      <c r="F35" s="81" t="s">
        <v>285</v>
      </c>
      <c r="G35" s="81" t="s">
        <v>75</v>
      </c>
      <c r="H35" s="81" t="s">
        <v>112</v>
      </c>
      <c r="I35" s="81" t="s">
        <v>77</v>
      </c>
      <c r="J35" s="81" t="s">
        <v>82</v>
      </c>
      <c r="K35" s="81" t="s">
        <v>84</v>
      </c>
      <c r="L35" s="81" t="s">
        <v>92</v>
      </c>
      <c r="M35" s="81" t="s">
        <v>95</v>
      </c>
      <c r="N35" s="81" t="s">
        <v>269</v>
      </c>
      <c r="O35" s="59">
        <v>4</v>
      </c>
      <c r="P35" s="60">
        <v>1</v>
      </c>
      <c r="Q35" s="61">
        <v>1</v>
      </c>
      <c r="R35" s="61">
        <v>7</v>
      </c>
      <c r="S35" s="62">
        <v>7</v>
      </c>
      <c r="T35" s="83" t="str">
        <f t="shared" ca="1" si="12"/>
        <v>Low</v>
      </c>
      <c r="U35" s="84" t="str">
        <f t="shared" ca="1" si="13"/>
        <v>Low</v>
      </c>
      <c r="V35" s="84" t="str">
        <f t="shared" ca="1" si="14"/>
        <v>Low</v>
      </c>
      <c r="W35" s="85" t="str">
        <f t="shared" ca="1" si="15"/>
        <v>Low</v>
      </c>
      <c r="X35" s="86"/>
      <c r="Y35" s="87"/>
      <c r="Z35" s="87"/>
      <c r="AA35" s="59"/>
      <c r="AB35" s="60"/>
      <c r="AC35" s="61"/>
      <c r="AD35" s="61"/>
      <c r="AE35" s="62"/>
      <c r="AF35" s="83" t="str">
        <f t="shared" ca="1" si="52"/>
        <v/>
      </c>
      <c r="AG35" s="84" t="str">
        <f t="shared" ca="1" si="53"/>
        <v/>
      </c>
      <c r="AH35" s="84" t="str">
        <f t="shared" ca="1" si="54"/>
        <v/>
      </c>
      <c r="AI35" s="85" t="str">
        <f t="shared" ca="1" si="55"/>
        <v/>
      </c>
      <c r="AJ35" s="87"/>
      <c r="AK35" s="87"/>
      <c r="AL35" s="87"/>
      <c r="AM35" s="59"/>
      <c r="AN35" s="60"/>
      <c r="AO35" s="61"/>
      <c r="AP35" s="61"/>
      <c r="AQ35" s="62"/>
      <c r="AR35" s="83" t="str">
        <f t="shared" ca="1" si="56"/>
        <v/>
      </c>
      <c r="AS35" s="84" t="str">
        <f t="shared" ca="1" si="57"/>
        <v/>
      </c>
      <c r="AT35" s="84" t="str">
        <f t="shared" ca="1" si="58"/>
        <v/>
      </c>
      <c r="AU35" s="85" t="str">
        <f t="shared" ca="1" si="59"/>
        <v/>
      </c>
      <c r="AV35" s="88"/>
      <c r="AW35" s="87"/>
      <c r="AX35" s="92" t="s">
        <v>228</v>
      </c>
      <c r="AY35" s="92" t="s">
        <v>270</v>
      </c>
    </row>
    <row r="36" spans="2:51" s="90" customFormat="1" ht="157.5" x14ac:dyDescent="0.25">
      <c r="B36" s="80" t="s">
        <v>61</v>
      </c>
      <c r="C36" s="81" t="s">
        <v>68</v>
      </c>
      <c r="D36" s="91" t="s">
        <v>125</v>
      </c>
      <c r="E36" s="82">
        <v>2</v>
      </c>
      <c r="F36" s="81" t="s">
        <v>285</v>
      </c>
      <c r="G36" s="81" t="s">
        <v>75</v>
      </c>
      <c r="H36" s="81" t="s">
        <v>112</v>
      </c>
      <c r="I36" s="81" t="s">
        <v>78</v>
      </c>
      <c r="J36" s="81" t="s">
        <v>82</v>
      </c>
      <c r="K36" s="81" t="s">
        <v>86</v>
      </c>
      <c r="L36" s="81" t="s">
        <v>92</v>
      </c>
      <c r="M36" s="81" t="s">
        <v>95</v>
      </c>
      <c r="N36" s="81" t="s">
        <v>269</v>
      </c>
      <c r="O36" s="59">
        <v>4</v>
      </c>
      <c r="P36" s="60">
        <v>1</v>
      </c>
      <c r="Q36" s="61">
        <v>1</v>
      </c>
      <c r="R36" s="61">
        <v>7</v>
      </c>
      <c r="S36" s="62">
        <v>7</v>
      </c>
      <c r="T36" s="83" t="str">
        <f t="shared" ca="1" si="12"/>
        <v>Low</v>
      </c>
      <c r="U36" s="84" t="str">
        <f t="shared" ca="1" si="13"/>
        <v>Low</v>
      </c>
      <c r="V36" s="84" t="str">
        <f t="shared" ca="1" si="14"/>
        <v>Low</v>
      </c>
      <c r="W36" s="85" t="str">
        <f t="shared" ca="1" si="15"/>
        <v>Low</v>
      </c>
      <c r="X36" s="86"/>
      <c r="Y36" s="87"/>
      <c r="Z36" s="87"/>
      <c r="AA36" s="59"/>
      <c r="AB36" s="60"/>
      <c r="AC36" s="61"/>
      <c r="AD36" s="61"/>
      <c r="AE36" s="62"/>
      <c r="AF36" s="83" t="str">
        <f t="shared" ca="1" si="52"/>
        <v/>
      </c>
      <c r="AG36" s="84" t="str">
        <f t="shared" ca="1" si="53"/>
        <v/>
      </c>
      <c r="AH36" s="84" t="str">
        <f t="shared" ca="1" si="54"/>
        <v/>
      </c>
      <c r="AI36" s="85" t="str">
        <f t="shared" ca="1" si="55"/>
        <v/>
      </c>
      <c r="AJ36" s="87"/>
      <c r="AK36" s="87"/>
      <c r="AL36" s="87"/>
      <c r="AM36" s="59"/>
      <c r="AN36" s="60"/>
      <c r="AO36" s="61"/>
      <c r="AP36" s="61"/>
      <c r="AQ36" s="62"/>
      <c r="AR36" s="83" t="str">
        <f t="shared" ca="1" si="56"/>
        <v/>
      </c>
      <c r="AS36" s="84" t="str">
        <f t="shared" ca="1" si="57"/>
        <v/>
      </c>
      <c r="AT36" s="84" t="str">
        <f t="shared" ca="1" si="58"/>
        <v/>
      </c>
      <c r="AU36" s="85" t="str">
        <f t="shared" ca="1" si="59"/>
        <v/>
      </c>
      <c r="AV36" s="88"/>
      <c r="AW36" s="87"/>
      <c r="AX36" s="92" t="s">
        <v>236</v>
      </c>
      <c r="AY36" s="92" t="s">
        <v>270</v>
      </c>
    </row>
    <row r="37" spans="2:51" s="90" customFormat="1" ht="157.5" x14ac:dyDescent="0.25">
      <c r="B37" s="80" t="s">
        <v>62</v>
      </c>
      <c r="C37" s="81" t="s">
        <v>68</v>
      </c>
      <c r="D37" s="91" t="s">
        <v>125</v>
      </c>
      <c r="E37" s="82">
        <v>2</v>
      </c>
      <c r="F37" s="81" t="s">
        <v>285</v>
      </c>
      <c r="G37" s="81" t="s">
        <v>75</v>
      </c>
      <c r="H37" s="81" t="s">
        <v>112</v>
      </c>
      <c r="I37" s="81" t="s">
        <v>81</v>
      </c>
      <c r="J37" s="81" t="s">
        <v>82</v>
      </c>
      <c r="K37" s="81" t="s">
        <v>89</v>
      </c>
      <c r="L37" s="81" t="s">
        <v>93</v>
      </c>
      <c r="M37" s="81" t="s">
        <v>95</v>
      </c>
      <c r="N37" s="81" t="s">
        <v>269</v>
      </c>
      <c r="O37" s="59">
        <v>4</v>
      </c>
      <c r="P37" s="60">
        <v>1</v>
      </c>
      <c r="Q37" s="61">
        <v>1</v>
      </c>
      <c r="R37" s="61">
        <v>7</v>
      </c>
      <c r="S37" s="62">
        <v>7</v>
      </c>
      <c r="T37" s="83" t="str">
        <f t="shared" ca="1" si="12"/>
        <v>Low</v>
      </c>
      <c r="U37" s="84" t="str">
        <f t="shared" ca="1" si="13"/>
        <v>Low</v>
      </c>
      <c r="V37" s="84" t="str">
        <f t="shared" ca="1" si="14"/>
        <v>Low</v>
      </c>
      <c r="W37" s="85" t="str">
        <f t="shared" ca="1" si="15"/>
        <v>Low</v>
      </c>
      <c r="X37" s="86"/>
      <c r="Y37" s="87"/>
      <c r="Z37" s="87"/>
      <c r="AA37" s="59"/>
      <c r="AB37" s="60"/>
      <c r="AC37" s="61"/>
      <c r="AD37" s="61"/>
      <c r="AE37" s="62"/>
      <c r="AF37" s="83" t="str">
        <f t="shared" ca="1" si="52"/>
        <v/>
      </c>
      <c r="AG37" s="84" t="str">
        <f t="shared" ca="1" si="53"/>
        <v/>
      </c>
      <c r="AH37" s="84" t="str">
        <f t="shared" ca="1" si="54"/>
        <v/>
      </c>
      <c r="AI37" s="85" t="str">
        <f t="shared" ca="1" si="55"/>
        <v/>
      </c>
      <c r="AJ37" s="87"/>
      <c r="AK37" s="87"/>
      <c r="AL37" s="87"/>
      <c r="AM37" s="59"/>
      <c r="AN37" s="60"/>
      <c r="AO37" s="61"/>
      <c r="AP37" s="61"/>
      <c r="AQ37" s="62"/>
      <c r="AR37" s="83" t="str">
        <f t="shared" ca="1" si="56"/>
        <v/>
      </c>
      <c r="AS37" s="84" t="str">
        <f t="shared" ca="1" si="57"/>
        <v/>
      </c>
      <c r="AT37" s="84" t="str">
        <f t="shared" ca="1" si="58"/>
        <v/>
      </c>
      <c r="AU37" s="85" t="str">
        <f t="shared" ca="1" si="59"/>
        <v/>
      </c>
      <c r="AV37" s="88"/>
      <c r="AW37" s="87"/>
      <c r="AX37" s="92" t="s">
        <v>238</v>
      </c>
      <c r="AY37" s="92" t="s">
        <v>270</v>
      </c>
    </row>
    <row r="38" spans="2:51" s="90" customFormat="1" ht="150" customHeight="1" x14ac:dyDescent="0.25">
      <c r="B38" s="80" t="s">
        <v>63</v>
      </c>
      <c r="C38" s="81" t="s">
        <v>69</v>
      </c>
      <c r="D38" s="91" t="s">
        <v>125</v>
      </c>
      <c r="E38" s="82">
        <v>2</v>
      </c>
      <c r="F38" s="81" t="s">
        <v>285</v>
      </c>
      <c r="G38" s="81" t="s">
        <v>72</v>
      </c>
      <c r="H38" s="81" t="s">
        <v>126</v>
      </c>
      <c r="I38" s="81" t="s">
        <v>113</v>
      </c>
      <c r="J38" s="81" t="s">
        <v>82</v>
      </c>
      <c r="K38" s="81" t="s">
        <v>127</v>
      </c>
      <c r="L38" s="81" t="s">
        <v>94</v>
      </c>
      <c r="M38" s="81" t="s">
        <v>96</v>
      </c>
      <c r="N38" s="81" t="s">
        <v>269</v>
      </c>
      <c r="O38" s="59">
        <v>4</v>
      </c>
      <c r="P38" s="60">
        <v>1</v>
      </c>
      <c r="Q38" s="61">
        <v>1</v>
      </c>
      <c r="R38" s="61">
        <v>7</v>
      </c>
      <c r="S38" s="62">
        <v>7</v>
      </c>
      <c r="T38" s="83" t="str">
        <f t="shared" ca="1" si="12"/>
        <v>Low</v>
      </c>
      <c r="U38" s="84" t="str">
        <f t="shared" ca="1" si="13"/>
        <v>Low</v>
      </c>
      <c r="V38" s="84" t="str">
        <f t="shared" ca="1" si="14"/>
        <v>Low</v>
      </c>
      <c r="W38" s="85" t="str">
        <f t="shared" ca="1" si="15"/>
        <v>Low</v>
      </c>
      <c r="X38" s="86"/>
      <c r="Y38" s="87"/>
      <c r="Z38" s="87"/>
      <c r="AA38" s="59"/>
      <c r="AB38" s="60"/>
      <c r="AC38" s="61"/>
      <c r="AD38" s="61"/>
      <c r="AE38" s="62"/>
      <c r="AF38" s="83" t="str">
        <f t="shared" ca="1" si="52"/>
        <v/>
      </c>
      <c r="AG38" s="84" t="str">
        <f t="shared" ca="1" si="53"/>
        <v/>
      </c>
      <c r="AH38" s="84" t="str">
        <f t="shared" ca="1" si="54"/>
        <v/>
      </c>
      <c r="AI38" s="85" t="str">
        <f t="shared" ca="1" si="55"/>
        <v/>
      </c>
      <c r="AJ38" s="87"/>
      <c r="AK38" s="87"/>
      <c r="AL38" s="87"/>
      <c r="AM38" s="59"/>
      <c r="AN38" s="60"/>
      <c r="AO38" s="61"/>
      <c r="AP38" s="61"/>
      <c r="AQ38" s="62"/>
      <c r="AR38" s="83" t="str">
        <f t="shared" ca="1" si="56"/>
        <v/>
      </c>
      <c r="AS38" s="84" t="str">
        <f t="shared" ca="1" si="57"/>
        <v/>
      </c>
      <c r="AT38" s="84" t="str">
        <f t="shared" ca="1" si="58"/>
        <v/>
      </c>
      <c r="AU38" s="85" t="str">
        <f t="shared" ca="1" si="59"/>
        <v/>
      </c>
      <c r="AV38" s="88"/>
      <c r="AW38" s="87"/>
      <c r="AX38" s="92" t="s">
        <v>233</v>
      </c>
      <c r="AY38" s="92" t="s">
        <v>270</v>
      </c>
    </row>
    <row r="39" spans="2:51" ht="157.5" x14ac:dyDescent="0.25">
      <c r="B39" s="93" t="s">
        <v>102</v>
      </c>
      <c r="C39" s="94" t="s">
        <v>172</v>
      </c>
      <c r="D39" s="95" t="s">
        <v>128</v>
      </c>
      <c r="E39" s="96">
        <v>2</v>
      </c>
      <c r="F39" s="94" t="s">
        <v>285</v>
      </c>
      <c r="G39" s="94" t="s">
        <v>129</v>
      </c>
      <c r="H39" s="94" t="s">
        <v>239</v>
      </c>
      <c r="I39" s="94" t="s">
        <v>76</v>
      </c>
      <c r="J39" s="94" t="s">
        <v>82</v>
      </c>
      <c r="K39" s="94" t="s">
        <v>130</v>
      </c>
      <c r="L39" s="94" t="s">
        <v>131</v>
      </c>
      <c r="M39" s="94" t="s">
        <v>132</v>
      </c>
      <c r="N39" s="94" t="s">
        <v>98</v>
      </c>
      <c r="O39" s="58">
        <v>6</v>
      </c>
      <c r="P39" s="55">
        <v>1</v>
      </c>
      <c r="Q39" s="56">
        <v>1</v>
      </c>
      <c r="R39" s="56">
        <v>7</v>
      </c>
      <c r="S39" s="57">
        <v>6</v>
      </c>
      <c r="T39" s="97" t="str">
        <f t="shared" ca="1" si="12"/>
        <v>Low</v>
      </c>
      <c r="U39" s="98" t="str">
        <f t="shared" ca="1" si="13"/>
        <v>Low</v>
      </c>
      <c r="V39" s="98" t="str">
        <f t="shared" ca="1" si="14"/>
        <v>Med</v>
      </c>
      <c r="W39" s="99" t="str">
        <f t="shared" ca="1" si="15"/>
        <v>Med</v>
      </c>
      <c r="X39" s="100"/>
      <c r="Y39" s="101"/>
      <c r="Z39" s="101"/>
      <c r="AA39" s="58"/>
      <c r="AB39" s="55"/>
      <c r="AC39" s="56"/>
      <c r="AD39" s="56"/>
      <c r="AE39" s="57"/>
      <c r="AF39" s="97" t="str">
        <f t="shared" ca="1" si="52"/>
        <v/>
      </c>
      <c r="AG39" s="98" t="str">
        <f t="shared" ca="1" si="53"/>
        <v/>
      </c>
      <c r="AH39" s="98" t="str">
        <f t="shared" ca="1" si="54"/>
        <v/>
      </c>
      <c r="AI39" s="99" t="str">
        <f t="shared" ca="1" si="55"/>
        <v/>
      </c>
      <c r="AJ39" s="101"/>
      <c r="AK39" s="101"/>
      <c r="AL39" s="101"/>
      <c r="AM39" s="58"/>
      <c r="AN39" s="55"/>
      <c r="AO39" s="56"/>
      <c r="AP39" s="56"/>
      <c r="AQ39" s="57"/>
      <c r="AR39" s="97" t="str">
        <f t="shared" ca="1" si="56"/>
        <v/>
      </c>
      <c r="AS39" s="98" t="str">
        <f t="shared" ca="1" si="57"/>
        <v/>
      </c>
      <c r="AT39" s="98" t="str">
        <f t="shared" ca="1" si="58"/>
        <v/>
      </c>
      <c r="AU39" s="99" t="str">
        <f t="shared" ca="1" si="59"/>
        <v/>
      </c>
      <c r="AV39" s="102"/>
      <c r="AW39" s="101"/>
      <c r="AX39" s="103" t="s">
        <v>230</v>
      </c>
      <c r="AY39" s="92" t="s">
        <v>273</v>
      </c>
    </row>
    <row r="40" spans="2:51" ht="157.5" x14ac:dyDescent="0.25">
      <c r="B40" s="93" t="s">
        <v>108</v>
      </c>
      <c r="C40" s="94" t="s">
        <v>172</v>
      </c>
      <c r="D40" s="95" t="s">
        <v>128</v>
      </c>
      <c r="E40" s="96">
        <v>2</v>
      </c>
      <c r="F40" s="94" t="s">
        <v>285</v>
      </c>
      <c r="G40" s="94" t="s">
        <v>129</v>
      </c>
      <c r="H40" s="94" t="s">
        <v>239</v>
      </c>
      <c r="I40" s="94" t="s">
        <v>77</v>
      </c>
      <c r="J40" s="94" t="s">
        <v>82</v>
      </c>
      <c r="K40" s="94" t="s">
        <v>130</v>
      </c>
      <c r="L40" s="94" t="s">
        <v>133</v>
      </c>
      <c r="M40" s="94" t="s">
        <v>132</v>
      </c>
      <c r="N40" s="94" t="s">
        <v>98</v>
      </c>
      <c r="O40" s="58">
        <v>5</v>
      </c>
      <c r="P40" s="55">
        <v>1</v>
      </c>
      <c r="Q40" s="56">
        <v>1</v>
      </c>
      <c r="R40" s="56">
        <v>7</v>
      </c>
      <c r="S40" s="57">
        <v>6</v>
      </c>
      <c r="T40" s="97" t="str">
        <f t="shared" ca="1" si="12"/>
        <v>Low</v>
      </c>
      <c r="U40" s="98" t="str">
        <f t="shared" ca="1" si="13"/>
        <v>Low</v>
      </c>
      <c r="V40" s="98" t="str">
        <f t="shared" ca="1" si="14"/>
        <v>Med</v>
      </c>
      <c r="W40" s="99" t="str">
        <f t="shared" ca="1" si="15"/>
        <v>Low</v>
      </c>
      <c r="X40" s="100"/>
      <c r="Y40" s="101"/>
      <c r="Z40" s="101"/>
      <c r="AA40" s="58"/>
      <c r="AB40" s="55"/>
      <c r="AC40" s="56"/>
      <c r="AD40" s="56"/>
      <c r="AE40" s="57"/>
      <c r="AF40" s="97" t="str">
        <f t="shared" ca="1" si="52"/>
        <v/>
      </c>
      <c r="AG40" s="98" t="str">
        <f t="shared" ca="1" si="53"/>
        <v/>
      </c>
      <c r="AH40" s="98" t="str">
        <f t="shared" ca="1" si="54"/>
        <v/>
      </c>
      <c r="AI40" s="99" t="str">
        <f t="shared" ca="1" si="55"/>
        <v/>
      </c>
      <c r="AJ40" s="101"/>
      <c r="AK40" s="101"/>
      <c r="AL40" s="101"/>
      <c r="AM40" s="58"/>
      <c r="AN40" s="55"/>
      <c r="AO40" s="56"/>
      <c r="AP40" s="56"/>
      <c r="AQ40" s="57"/>
      <c r="AR40" s="97" t="str">
        <f t="shared" ca="1" si="56"/>
        <v/>
      </c>
      <c r="AS40" s="98" t="str">
        <f t="shared" ca="1" si="57"/>
        <v/>
      </c>
      <c r="AT40" s="98" t="str">
        <f t="shared" ca="1" si="58"/>
        <v/>
      </c>
      <c r="AU40" s="99" t="str">
        <f t="shared" ca="1" si="59"/>
        <v/>
      </c>
      <c r="AV40" s="102"/>
      <c r="AW40" s="101"/>
      <c r="AX40" s="103" t="s">
        <v>228</v>
      </c>
      <c r="AY40" s="92" t="s">
        <v>250</v>
      </c>
    </row>
    <row r="41" spans="2:51" ht="157.5" x14ac:dyDescent="0.25">
      <c r="B41" s="93" t="s">
        <v>109</v>
      </c>
      <c r="C41" s="94" t="s">
        <v>172</v>
      </c>
      <c r="D41" s="95" t="s">
        <v>128</v>
      </c>
      <c r="E41" s="96">
        <v>2</v>
      </c>
      <c r="F41" s="94" t="s">
        <v>285</v>
      </c>
      <c r="G41" s="94" t="s">
        <v>129</v>
      </c>
      <c r="H41" s="94" t="s">
        <v>239</v>
      </c>
      <c r="I41" s="94" t="s">
        <v>78</v>
      </c>
      <c r="J41" s="94" t="s">
        <v>82</v>
      </c>
      <c r="K41" s="94" t="s">
        <v>130</v>
      </c>
      <c r="L41" s="94" t="s">
        <v>131</v>
      </c>
      <c r="M41" s="94" t="s">
        <v>132</v>
      </c>
      <c r="N41" s="94" t="s">
        <v>98</v>
      </c>
      <c r="O41" s="58">
        <v>5</v>
      </c>
      <c r="P41" s="55">
        <v>1</v>
      </c>
      <c r="Q41" s="56">
        <v>1</v>
      </c>
      <c r="R41" s="56">
        <v>7</v>
      </c>
      <c r="S41" s="57">
        <v>6</v>
      </c>
      <c r="T41" s="97" t="str">
        <f t="shared" ca="1" si="12"/>
        <v>Low</v>
      </c>
      <c r="U41" s="98" t="str">
        <f t="shared" ca="1" si="13"/>
        <v>Low</v>
      </c>
      <c r="V41" s="98" t="str">
        <f t="shared" ca="1" si="14"/>
        <v>Med</v>
      </c>
      <c r="W41" s="99" t="str">
        <f t="shared" ca="1" si="15"/>
        <v>Low</v>
      </c>
      <c r="X41" s="100"/>
      <c r="Y41" s="101"/>
      <c r="Z41" s="101"/>
      <c r="AA41" s="58"/>
      <c r="AB41" s="55"/>
      <c r="AC41" s="56"/>
      <c r="AD41" s="56"/>
      <c r="AE41" s="57"/>
      <c r="AF41" s="97" t="str">
        <f t="shared" ca="1" si="52"/>
        <v/>
      </c>
      <c r="AG41" s="98" t="str">
        <f t="shared" ca="1" si="53"/>
        <v/>
      </c>
      <c r="AH41" s="98" t="str">
        <f t="shared" ca="1" si="54"/>
        <v/>
      </c>
      <c r="AI41" s="99" t="str">
        <f t="shared" ca="1" si="55"/>
        <v/>
      </c>
      <c r="AJ41" s="101"/>
      <c r="AK41" s="101"/>
      <c r="AL41" s="101"/>
      <c r="AM41" s="58"/>
      <c r="AN41" s="55"/>
      <c r="AO41" s="56"/>
      <c r="AP41" s="56"/>
      <c r="AQ41" s="57"/>
      <c r="AR41" s="97" t="str">
        <f t="shared" ca="1" si="56"/>
        <v/>
      </c>
      <c r="AS41" s="98" t="str">
        <f t="shared" ca="1" si="57"/>
        <v/>
      </c>
      <c r="AT41" s="98" t="str">
        <f t="shared" ca="1" si="58"/>
        <v/>
      </c>
      <c r="AU41" s="99" t="str">
        <f t="shared" ca="1" si="59"/>
        <v/>
      </c>
      <c r="AV41" s="102"/>
      <c r="AW41" s="101"/>
      <c r="AX41" s="103" t="s">
        <v>232</v>
      </c>
      <c r="AY41" s="92" t="s">
        <v>250</v>
      </c>
    </row>
    <row r="42" spans="2:51" ht="157.5" x14ac:dyDescent="0.25">
      <c r="B42" s="93" t="s">
        <v>110</v>
      </c>
      <c r="C42" s="94" t="s">
        <v>172</v>
      </c>
      <c r="D42" s="95" t="s">
        <v>128</v>
      </c>
      <c r="E42" s="96">
        <v>2</v>
      </c>
      <c r="F42" s="94" t="s">
        <v>285</v>
      </c>
      <c r="G42" s="94" t="s">
        <v>129</v>
      </c>
      <c r="H42" s="94" t="s">
        <v>239</v>
      </c>
      <c r="I42" s="94" t="s">
        <v>81</v>
      </c>
      <c r="J42" s="94" t="s">
        <v>82</v>
      </c>
      <c r="K42" s="94" t="s">
        <v>130</v>
      </c>
      <c r="L42" s="94" t="s">
        <v>131</v>
      </c>
      <c r="M42" s="94" t="s">
        <v>132</v>
      </c>
      <c r="N42" s="94" t="s">
        <v>98</v>
      </c>
      <c r="O42" s="58">
        <v>6</v>
      </c>
      <c r="P42" s="55">
        <v>1</v>
      </c>
      <c r="Q42" s="56">
        <v>1</v>
      </c>
      <c r="R42" s="56">
        <v>7</v>
      </c>
      <c r="S42" s="57">
        <v>6</v>
      </c>
      <c r="T42" s="97" t="str">
        <f t="shared" ca="1" si="12"/>
        <v>Low</v>
      </c>
      <c r="U42" s="98" t="str">
        <f t="shared" ca="1" si="13"/>
        <v>Low</v>
      </c>
      <c r="V42" s="98" t="str">
        <f t="shared" ca="1" si="14"/>
        <v>Med</v>
      </c>
      <c r="W42" s="99" t="str">
        <f t="shared" ca="1" si="15"/>
        <v>Med</v>
      </c>
      <c r="X42" s="100"/>
      <c r="Y42" s="101"/>
      <c r="Z42" s="101"/>
      <c r="AA42" s="58"/>
      <c r="AB42" s="55"/>
      <c r="AC42" s="56"/>
      <c r="AD42" s="56"/>
      <c r="AE42" s="57"/>
      <c r="AF42" s="97" t="str">
        <f t="shared" ca="1" si="52"/>
        <v/>
      </c>
      <c r="AG42" s="98" t="str">
        <f t="shared" ca="1" si="53"/>
        <v/>
      </c>
      <c r="AH42" s="98" t="str">
        <f t="shared" ca="1" si="54"/>
        <v/>
      </c>
      <c r="AI42" s="99" t="str">
        <f t="shared" ca="1" si="55"/>
        <v/>
      </c>
      <c r="AJ42" s="101"/>
      <c r="AK42" s="101"/>
      <c r="AL42" s="101"/>
      <c r="AM42" s="58"/>
      <c r="AN42" s="55"/>
      <c r="AO42" s="56"/>
      <c r="AP42" s="56"/>
      <c r="AQ42" s="57"/>
      <c r="AR42" s="97" t="str">
        <f t="shared" ca="1" si="56"/>
        <v/>
      </c>
      <c r="AS42" s="98" t="str">
        <f t="shared" ca="1" si="57"/>
        <v/>
      </c>
      <c r="AT42" s="98" t="str">
        <f t="shared" ca="1" si="58"/>
        <v/>
      </c>
      <c r="AU42" s="99" t="str">
        <f t="shared" ca="1" si="59"/>
        <v/>
      </c>
      <c r="AV42" s="102"/>
      <c r="AW42" s="101"/>
      <c r="AX42" s="103" t="s">
        <v>238</v>
      </c>
      <c r="AY42" s="92" t="s">
        <v>250</v>
      </c>
    </row>
    <row r="43" spans="2:51" ht="150" customHeight="1" x14ac:dyDescent="0.25">
      <c r="B43" s="93" t="s">
        <v>111</v>
      </c>
      <c r="C43" s="94" t="s">
        <v>172</v>
      </c>
      <c r="D43" s="95" t="s">
        <v>128</v>
      </c>
      <c r="E43" s="96">
        <v>2</v>
      </c>
      <c r="F43" s="94" t="s">
        <v>285</v>
      </c>
      <c r="G43" s="94" t="s">
        <v>72</v>
      </c>
      <c r="H43" s="94" t="s">
        <v>240</v>
      </c>
      <c r="I43" s="94" t="s">
        <v>113</v>
      </c>
      <c r="J43" s="94" t="s">
        <v>82</v>
      </c>
      <c r="K43" s="94" t="s">
        <v>134</v>
      </c>
      <c r="L43" s="94" t="s">
        <v>135</v>
      </c>
      <c r="M43" s="94" t="s">
        <v>96</v>
      </c>
      <c r="N43" s="94" t="s">
        <v>288</v>
      </c>
      <c r="O43" s="58">
        <v>4</v>
      </c>
      <c r="P43" s="55">
        <v>1</v>
      </c>
      <c r="Q43" s="56">
        <v>1</v>
      </c>
      <c r="R43" s="56">
        <v>7</v>
      </c>
      <c r="S43" s="57">
        <v>7</v>
      </c>
      <c r="T43" s="97" t="str">
        <f t="shared" ca="1" si="12"/>
        <v>Low</v>
      </c>
      <c r="U43" s="98" t="str">
        <f t="shared" ca="1" si="13"/>
        <v>Low</v>
      </c>
      <c r="V43" s="98" t="str">
        <f t="shared" ca="1" si="14"/>
        <v>Low</v>
      </c>
      <c r="W43" s="99" t="str">
        <f t="shared" ca="1" si="15"/>
        <v>Low</v>
      </c>
      <c r="X43" s="100"/>
      <c r="Y43" s="101"/>
      <c r="Z43" s="101"/>
      <c r="AA43" s="58"/>
      <c r="AB43" s="55"/>
      <c r="AC43" s="56"/>
      <c r="AD43" s="56"/>
      <c r="AE43" s="57"/>
      <c r="AF43" s="97" t="str">
        <f t="shared" ca="1" si="52"/>
        <v/>
      </c>
      <c r="AG43" s="98" t="str">
        <f t="shared" ca="1" si="53"/>
        <v/>
      </c>
      <c r="AH43" s="98" t="str">
        <f t="shared" ca="1" si="54"/>
        <v/>
      </c>
      <c r="AI43" s="99" t="str">
        <f t="shared" ca="1" si="55"/>
        <v/>
      </c>
      <c r="AJ43" s="101"/>
      <c r="AK43" s="101"/>
      <c r="AL43" s="101"/>
      <c r="AM43" s="58"/>
      <c r="AN43" s="55"/>
      <c r="AO43" s="56"/>
      <c r="AP43" s="56"/>
      <c r="AQ43" s="57"/>
      <c r="AR43" s="97" t="str">
        <f t="shared" ca="1" si="56"/>
        <v/>
      </c>
      <c r="AS43" s="98" t="str">
        <f t="shared" ca="1" si="57"/>
        <v/>
      </c>
      <c r="AT43" s="98" t="str">
        <f t="shared" ca="1" si="58"/>
        <v/>
      </c>
      <c r="AU43" s="99" t="str">
        <f t="shared" ca="1" si="59"/>
        <v/>
      </c>
      <c r="AV43" s="102"/>
      <c r="AW43" s="101"/>
      <c r="AX43" s="103" t="s">
        <v>233</v>
      </c>
      <c r="AY43" s="92" t="s">
        <v>250</v>
      </c>
    </row>
    <row r="44" spans="2:51" s="90" customFormat="1" ht="220.5" x14ac:dyDescent="0.25">
      <c r="B44" s="80" t="s">
        <v>103</v>
      </c>
      <c r="C44" s="117" t="s">
        <v>104</v>
      </c>
      <c r="D44" s="117" t="s">
        <v>105</v>
      </c>
      <c r="E44" s="82">
        <v>2</v>
      </c>
      <c r="F44" s="81" t="s">
        <v>285</v>
      </c>
      <c r="G44" s="117" t="s">
        <v>175</v>
      </c>
      <c r="H44" s="117" t="s">
        <v>226</v>
      </c>
      <c r="I44" s="117" t="s">
        <v>76</v>
      </c>
      <c r="J44" s="117" t="s">
        <v>210</v>
      </c>
      <c r="K44" s="81" t="s">
        <v>140</v>
      </c>
      <c r="L44" s="117" t="s">
        <v>131</v>
      </c>
      <c r="M44" s="117" t="s">
        <v>158</v>
      </c>
      <c r="N44" s="81" t="s">
        <v>98</v>
      </c>
      <c r="O44" s="59">
        <v>7</v>
      </c>
      <c r="P44" s="60">
        <v>1</v>
      </c>
      <c r="Q44" s="61">
        <v>1</v>
      </c>
      <c r="R44" s="61">
        <v>5</v>
      </c>
      <c r="S44" s="62">
        <v>4</v>
      </c>
      <c r="T44" s="83" t="str">
        <f t="shared" ca="1" si="12"/>
        <v>Low</v>
      </c>
      <c r="U44" s="84" t="str">
        <f t="shared" ca="1" si="13"/>
        <v>Low</v>
      </c>
      <c r="V44" s="84" t="str">
        <f t="shared" ca="1" si="14"/>
        <v>Med</v>
      </c>
      <c r="W44" s="85" t="str">
        <f t="shared" ca="1" si="15"/>
        <v>Low</v>
      </c>
      <c r="X44" s="118"/>
      <c r="Y44" s="119"/>
      <c r="Z44" s="119"/>
      <c r="AA44" s="59"/>
      <c r="AB44" s="60"/>
      <c r="AC44" s="61"/>
      <c r="AD44" s="61"/>
      <c r="AE44" s="62"/>
      <c r="AF44" s="83" t="str">
        <f t="shared" ca="1" si="52"/>
        <v/>
      </c>
      <c r="AG44" s="84" t="str">
        <f t="shared" ca="1" si="53"/>
        <v/>
      </c>
      <c r="AH44" s="84" t="str">
        <f t="shared" ca="1" si="54"/>
        <v/>
      </c>
      <c r="AI44" s="85" t="str">
        <f t="shared" ca="1" si="55"/>
        <v/>
      </c>
      <c r="AJ44" s="119"/>
      <c r="AK44" s="119"/>
      <c r="AL44" s="119"/>
      <c r="AM44" s="59"/>
      <c r="AN44" s="60"/>
      <c r="AO44" s="61"/>
      <c r="AP44" s="61"/>
      <c r="AQ44" s="62"/>
      <c r="AR44" s="83" t="str">
        <f t="shared" ca="1" si="56"/>
        <v/>
      </c>
      <c r="AS44" s="84" t="str">
        <f t="shared" ca="1" si="57"/>
        <v/>
      </c>
      <c r="AT44" s="84" t="str">
        <f t="shared" ca="1" si="58"/>
        <v/>
      </c>
      <c r="AU44" s="85" t="str">
        <f t="shared" ca="1" si="59"/>
        <v/>
      </c>
      <c r="AV44" s="120"/>
      <c r="AW44" s="119" t="s">
        <v>244</v>
      </c>
      <c r="AX44" s="92" t="s">
        <v>230</v>
      </c>
      <c r="AY44" s="92" t="s">
        <v>274</v>
      </c>
    </row>
    <row r="45" spans="2:51" s="90" customFormat="1" ht="157.5" x14ac:dyDescent="0.25">
      <c r="B45" s="80" t="s">
        <v>136</v>
      </c>
      <c r="C45" s="81" t="s">
        <v>104</v>
      </c>
      <c r="D45" s="91" t="s">
        <v>105</v>
      </c>
      <c r="E45" s="82">
        <v>2</v>
      </c>
      <c r="F45" s="81" t="s">
        <v>285</v>
      </c>
      <c r="G45" s="81" t="s">
        <v>175</v>
      </c>
      <c r="H45" s="81" t="s">
        <v>174</v>
      </c>
      <c r="I45" s="81" t="s">
        <v>77</v>
      </c>
      <c r="J45" s="81" t="s">
        <v>210</v>
      </c>
      <c r="K45" s="81" t="s">
        <v>140</v>
      </c>
      <c r="L45" s="81" t="s">
        <v>131</v>
      </c>
      <c r="M45" s="81" t="s">
        <v>158</v>
      </c>
      <c r="N45" s="81" t="s">
        <v>98</v>
      </c>
      <c r="O45" s="59">
        <v>4</v>
      </c>
      <c r="P45" s="60">
        <v>1</v>
      </c>
      <c r="Q45" s="61">
        <v>1</v>
      </c>
      <c r="R45" s="61">
        <v>5</v>
      </c>
      <c r="S45" s="62">
        <v>4</v>
      </c>
      <c r="T45" s="83" t="str">
        <f t="shared" ca="1" si="12"/>
        <v>Low</v>
      </c>
      <c r="U45" s="84" t="str">
        <f t="shared" ca="1" si="13"/>
        <v>Low</v>
      </c>
      <c r="V45" s="84" t="str">
        <f t="shared" ca="1" si="14"/>
        <v>Low</v>
      </c>
      <c r="W45" s="85" t="str">
        <f t="shared" ca="1" si="15"/>
        <v>Low</v>
      </c>
      <c r="X45" s="86"/>
      <c r="Y45" s="87"/>
      <c r="Z45" s="87"/>
      <c r="AA45" s="59"/>
      <c r="AB45" s="60"/>
      <c r="AC45" s="61"/>
      <c r="AD45" s="61"/>
      <c r="AE45" s="62"/>
      <c r="AF45" s="83" t="str">
        <f t="shared" ca="1" si="52"/>
        <v/>
      </c>
      <c r="AG45" s="84" t="str">
        <f t="shared" ca="1" si="53"/>
        <v/>
      </c>
      <c r="AH45" s="84" t="str">
        <f t="shared" ca="1" si="54"/>
        <v/>
      </c>
      <c r="AI45" s="85" t="str">
        <f t="shared" ca="1" si="55"/>
        <v/>
      </c>
      <c r="AJ45" s="87"/>
      <c r="AK45" s="87"/>
      <c r="AL45" s="87"/>
      <c r="AM45" s="59"/>
      <c r="AN45" s="60"/>
      <c r="AO45" s="61"/>
      <c r="AP45" s="61"/>
      <c r="AQ45" s="62"/>
      <c r="AR45" s="83" t="str">
        <f t="shared" ca="1" si="56"/>
        <v/>
      </c>
      <c r="AS45" s="84" t="str">
        <f t="shared" ca="1" si="57"/>
        <v/>
      </c>
      <c r="AT45" s="84" t="str">
        <f t="shared" ca="1" si="58"/>
        <v/>
      </c>
      <c r="AU45" s="85" t="str">
        <f t="shared" ca="1" si="59"/>
        <v/>
      </c>
      <c r="AV45" s="88"/>
      <c r="AW45" s="87" t="s">
        <v>242</v>
      </c>
      <c r="AX45" s="92" t="s">
        <v>228</v>
      </c>
      <c r="AY45" s="92" t="s">
        <v>250</v>
      </c>
    </row>
    <row r="46" spans="2:51" s="90" customFormat="1" ht="157.5" x14ac:dyDescent="0.25">
      <c r="B46" s="80" t="s">
        <v>137</v>
      </c>
      <c r="C46" s="81" t="s">
        <v>104</v>
      </c>
      <c r="D46" s="91" t="s">
        <v>105</v>
      </c>
      <c r="E46" s="82">
        <v>2</v>
      </c>
      <c r="F46" s="81" t="s">
        <v>285</v>
      </c>
      <c r="G46" s="81" t="s">
        <v>175</v>
      </c>
      <c r="H46" s="81" t="s">
        <v>174</v>
      </c>
      <c r="I46" s="81" t="s">
        <v>78</v>
      </c>
      <c r="J46" s="81" t="s">
        <v>210</v>
      </c>
      <c r="K46" s="81" t="s">
        <v>140</v>
      </c>
      <c r="L46" s="81" t="s">
        <v>131</v>
      </c>
      <c r="M46" s="81" t="s">
        <v>158</v>
      </c>
      <c r="N46" s="81" t="s">
        <v>98</v>
      </c>
      <c r="O46" s="59">
        <v>4</v>
      </c>
      <c r="P46" s="60">
        <v>1</v>
      </c>
      <c r="Q46" s="61">
        <v>1</v>
      </c>
      <c r="R46" s="61">
        <v>5</v>
      </c>
      <c r="S46" s="62">
        <v>4</v>
      </c>
      <c r="T46" s="83" t="str">
        <f t="shared" ca="1" si="12"/>
        <v>Low</v>
      </c>
      <c r="U46" s="84" t="str">
        <f t="shared" ca="1" si="13"/>
        <v>Low</v>
      </c>
      <c r="V46" s="84" t="str">
        <f t="shared" ca="1" si="14"/>
        <v>Low</v>
      </c>
      <c r="W46" s="85" t="str">
        <f t="shared" ca="1" si="15"/>
        <v>Low</v>
      </c>
      <c r="X46" s="86"/>
      <c r="Y46" s="87"/>
      <c r="Z46" s="87"/>
      <c r="AA46" s="59"/>
      <c r="AB46" s="60"/>
      <c r="AC46" s="61"/>
      <c r="AD46" s="61"/>
      <c r="AE46" s="62"/>
      <c r="AF46" s="83" t="str">
        <f t="shared" ca="1" si="52"/>
        <v/>
      </c>
      <c r="AG46" s="84" t="str">
        <f t="shared" ca="1" si="53"/>
        <v/>
      </c>
      <c r="AH46" s="84" t="str">
        <f t="shared" ca="1" si="54"/>
        <v/>
      </c>
      <c r="AI46" s="85" t="str">
        <f t="shared" ca="1" si="55"/>
        <v/>
      </c>
      <c r="AJ46" s="87"/>
      <c r="AK46" s="87"/>
      <c r="AL46" s="87"/>
      <c r="AM46" s="59"/>
      <c r="AN46" s="60"/>
      <c r="AO46" s="61"/>
      <c r="AP46" s="61"/>
      <c r="AQ46" s="62"/>
      <c r="AR46" s="83" t="str">
        <f t="shared" ca="1" si="56"/>
        <v/>
      </c>
      <c r="AS46" s="84" t="str">
        <f t="shared" ca="1" si="57"/>
        <v/>
      </c>
      <c r="AT46" s="84" t="str">
        <f t="shared" ca="1" si="58"/>
        <v/>
      </c>
      <c r="AU46" s="85" t="str">
        <f t="shared" ca="1" si="59"/>
        <v/>
      </c>
      <c r="AV46" s="88"/>
      <c r="AW46" s="87" t="s">
        <v>242</v>
      </c>
      <c r="AX46" s="92" t="s">
        <v>232</v>
      </c>
      <c r="AY46" s="92" t="s">
        <v>250</v>
      </c>
    </row>
    <row r="47" spans="2:51" s="90" customFormat="1" ht="157.5" x14ac:dyDescent="0.25">
      <c r="B47" s="80" t="s">
        <v>138</v>
      </c>
      <c r="C47" s="81" t="s">
        <v>104</v>
      </c>
      <c r="D47" s="91" t="s">
        <v>105</v>
      </c>
      <c r="E47" s="82">
        <v>2</v>
      </c>
      <c r="F47" s="81" t="s">
        <v>285</v>
      </c>
      <c r="G47" s="81" t="s">
        <v>175</v>
      </c>
      <c r="H47" s="81" t="s">
        <v>174</v>
      </c>
      <c r="I47" s="81" t="s">
        <v>81</v>
      </c>
      <c r="J47" s="81" t="s">
        <v>210</v>
      </c>
      <c r="K47" s="81" t="s">
        <v>140</v>
      </c>
      <c r="L47" s="81" t="s">
        <v>131</v>
      </c>
      <c r="M47" s="81" t="s">
        <v>158</v>
      </c>
      <c r="N47" s="81" t="s">
        <v>98</v>
      </c>
      <c r="O47" s="59">
        <v>4</v>
      </c>
      <c r="P47" s="60">
        <v>1</v>
      </c>
      <c r="Q47" s="61">
        <v>1</v>
      </c>
      <c r="R47" s="61">
        <v>5</v>
      </c>
      <c r="S47" s="62">
        <v>4</v>
      </c>
      <c r="T47" s="83" t="str">
        <f t="shared" ca="1" si="12"/>
        <v>Low</v>
      </c>
      <c r="U47" s="84" t="str">
        <f t="shared" ca="1" si="13"/>
        <v>Low</v>
      </c>
      <c r="V47" s="84" t="str">
        <f t="shared" ca="1" si="14"/>
        <v>Low</v>
      </c>
      <c r="W47" s="85" t="str">
        <f t="shared" ca="1" si="15"/>
        <v>Low</v>
      </c>
      <c r="X47" s="86"/>
      <c r="Y47" s="87"/>
      <c r="Z47" s="87"/>
      <c r="AA47" s="59"/>
      <c r="AB47" s="60"/>
      <c r="AC47" s="61"/>
      <c r="AD47" s="61"/>
      <c r="AE47" s="62"/>
      <c r="AF47" s="83" t="str">
        <f t="shared" ca="1" si="52"/>
        <v/>
      </c>
      <c r="AG47" s="84" t="str">
        <f t="shared" ca="1" si="53"/>
        <v/>
      </c>
      <c r="AH47" s="84" t="str">
        <f t="shared" ca="1" si="54"/>
        <v/>
      </c>
      <c r="AI47" s="85" t="str">
        <f t="shared" ca="1" si="55"/>
        <v/>
      </c>
      <c r="AJ47" s="87"/>
      <c r="AK47" s="87"/>
      <c r="AL47" s="87"/>
      <c r="AM47" s="59"/>
      <c r="AN47" s="60"/>
      <c r="AO47" s="61"/>
      <c r="AP47" s="61"/>
      <c r="AQ47" s="62"/>
      <c r="AR47" s="83" t="str">
        <f t="shared" ca="1" si="56"/>
        <v/>
      </c>
      <c r="AS47" s="84" t="str">
        <f t="shared" ca="1" si="57"/>
        <v/>
      </c>
      <c r="AT47" s="84" t="str">
        <f t="shared" ca="1" si="58"/>
        <v/>
      </c>
      <c r="AU47" s="85" t="str">
        <f t="shared" ca="1" si="59"/>
        <v/>
      </c>
      <c r="AV47" s="88"/>
      <c r="AW47" s="87" t="s">
        <v>242</v>
      </c>
      <c r="AX47" s="92" t="s">
        <v>238</v>
      </c>
      <c r="AY47" s="92" t="s">
        <v>250</v>
      </c>
    </row>
    <row r="48" spans="2:51" s="90" customFormat="1" ht="141.75" x14ac:dyDescent="0.25">
      <c r="B48" s="80" t="s">
        <v>139</v>
      </c>
      <c r="C48" s="117" t="s">
        <v>104</v>
      </c>
      <c r="D48" s="117" t="s">
        <v>105</v>
      </c>
      <c r="E48" s="82">
        <v>2</v>
      </c>
      <c r="F48" s="81" t="s">
        <v>285</v>
      </c>
      <c r="G48" s="117" t="s">
        <v>175</v>
      </c>
      <c r="H48" s="117" t="s">
        <v>224</v>
      </c>
      <c r="I48" s="117" t="s">
        <v>113</v>
      </c>
      <c r="J48" s="117" t="s">
        <v>210</v>
      </c>
      <c r="K48" s="81" t="s">
        <v>142</v>
      </c>
      <c r="L48" s="117" t="s">
        <v>141</v>
      </c>
      <c r="M48" s="117" t="s">
        <v>158</v>
      </c>
      <c r="N48" s="81" t="s">
        <v>98</v>
      </c>
      <c r="O48" s="59">
        <v>3</v>
      </c>
      <c r="P48" s="60">
        <v>1</v>
      </c>
      <c r="Q48" s="61">
        <v>2</v>
      </c>
      <c r="R48" s="61">
        <v>5</v>
      </c>
      <c r="S48" s="62">
        <v>4</v>
      </c>
      <c r="T48" s="83" t="str">
        <f t="shared" ca="1" si="12"/>
        <v>Low</v>
      </c>
      <c r="U48" s="84" t="str">
        <f t="shared" ca="1" si="13"/>
        <v>Low</v>
      </c>
      <c r="V48" s="84" t="str">
        <f t="shared" ca="1" si="14"/>
        <v>Low</v>
      </c>
      <c r="W48" s="85" t="str">
        <f t="shared" ca="1" si="15"/>
        <v>Low</v>
      </c>
      <c r="X48" s="118"/>
      <c r="Y48" s="119"/>
      <c r="Z48" s="119"/>
      <c r="AA48" s="59"/>
      <c r="AB48" s="60"/>
      <c r="AC48" s="61"/>
      <c r="AD48" s="61"/>
      <c r="AE48" s="62"/>
      <c r="AF48" s="83" t="str">
        <f t="shared" ref="AF48:AF53" ca="1" si="60">IF(AND(ISNUMBER(AB48),ISNUMBER($AA48)),OFFSET(RiskMatrixRef,-$AA48+1,AB48-1),"")</f>
        <v/>
      </c>
      <c r="AG48" s="84" t="str">
        <f t="shared" ref="AG48:AG53" ca="1" si="61">IF(AND(ISNUMBER(AC48),ISNUMBER($AA48)),OFFSET(RiskMatrixRef,-$AA48+1,AC48-1),"")</f>
        <v/>
      </c>
      <c r="AH48" s="84" t="str">
        <f t="shared" ref="AH48:AH53" ca="1" si="62">IF(AND(ISNUMBER(AD48),ISNUMBER($AA48)),OFFSET(RiskMatrixRef,-$AA48+1,AD48-1),"")</f>
        <v/>
      </c>
      <c r="AI48" s="85" t="str">
        <f t="shared" ref="AI48:AI53" ca="1" si="63">IF(AND(ISNUMBER(AE48),ISNUMBER($AA48)),OFFSET(RiskMatrixRef,-$AA48+1,AE48-1),"")</f>
        <v/>
      </c>
      <c r="AJ48" s="119"/>
      <c r="AK48" s="119"/>
      <c r="AL48" s="119"/>
      <c r="AM48" s="59"/>
      <c r="AN48" s="60"/>
      <c r="AO48" s="61"/>
      <c r="AP48" s="61"/>
      <c r="AQ48" s="62"/>
      <c r="AR48" s="83" t="str">
        <f t="shared" ref="AR48:AR53" ca="1" si="64">IF(AND(ISNUMBER(AN48),ISNUMBER($AM48)),OFFSET(RiskMatrixRef,-$AM48+1,AN48-1),"")</f>
        <v/>
      </c>
      <c r="AS48" s="84" t="str">
        <f t="shared" ref="AS48:AS53" ca="1" si="65">IF(AND(ISNUMBER(AO48),ISNUMBER($AM48)),OFFSET(RiskMatrixRef,-$AM48+1,AO48-1),"")</f>
        <v/>
      </c>
      <c r="AT48" s="84" t="str">
        <f t="shared" ref="AT48:AT53" ca="1" si="66">IF(AND(ISNUMBER(AP48),ISNUMBER($AM48)),OFFSET(RiskMatrixRef,-$AM48+1,AP48-1),"")</f>
        <v/>
      </c>
      <c r="AU48" s="85" t="str">
        <f t="shared" ref="AU48:AU53" ca="1" si="67">IF(AND(ISNUMBER(AQ48),ISNUMBER($AM48)),OFFSET(RiskMatrixRef,-$AM48+1,AQ48-1),"")</f>
        <v/>
      </c>
      <c r="AV48" s="120"/>
      <c r="AW48" s="119" t="s">
        <v>242</v>
      </c>
      <c r="AX48" s="92"/>
      <c r="AY48" s="92" t="s">
        <v>250</v>
      </c>
    </row>
    <row r="49" spans="2:51" ht="126" x14ac:dyDescent="0.25">
      <c r="B49" s="93" t="s">
        <v>106</v>
      </c>
      <c r="C49" s="94" t="s">
        <v>145</v>
      </c>
      <c r="D49" s="95" t="s">
        <v>144</v>
      </c>
      <c r="E49" s="96">
        <v>2</v>
      </c>
      <c r="F49" s="94" t="s">
        <v>285</v>
      </c>
      <c r="G49" s="94" t="s">
        <v>143</v>
      </c>
      <c r="H49" s="94" t="s">
        <v>151</v>
      </c>
      <c r="I49" s="94" t="s">
        <v>152</v>
      </c>
      <c r="J49" s="94" t="s">
        <v>82</v>
      </c>
      <c r="K49" s="94" t="s">
        <v>153</v>
      </c>
      <c r="L49" s="94" t="s">
        <v>154</v>
      </c>
      <c r="M49" s="94" t="s">
        <v>155</v>
      </c>
      <c r="N49" s="94" t="s">
        <v>98</v>
      </c>
      <c r="O49" s="58">
        <v>5</v>
      </c>
      <c r="P49" s="55">
        <v>1</v>
      </c>
      <c r="Q49" s="56">
        <v>1</v>
      </c>
      <c r="R49" s="56">
        <v>7</v>
      </c>
      <c r="S49" s="57">
        <v>7</v>
      </c>
      <c r="T49" s="97" t="str">
        <f t="shared" ca="1" si="12"/>
        <v>Low</v>
      </c>
      <c r="U49" s="98" t="str">
        <f t="shared" ca="1" si="13"/>
        <v>Low</v>
      </c>
      <c r="V49" s="98" t="str">
        <f t="shared" ca="1" si="14"/>
        <v>Med</v>
      </c>
      <c r="W49" s="99" t="str">
        <f t="shared" ca="1" si="15"/>
        <v>Med</v>
      </c>
      <c r="X49" s="100" t="s">
        <v>176</v>
      </c>
      <c r="Y49" s="101"/>
      <c r="Z49" s="101"/>
      <c r="AA49" s="58"/>
      <c r="AB49" s="55"/>
      <c r="AC49" s="56"/>
      <c r="AD49" s="56"/>
      <c r="AE49" s="57"/>
      <c r="AF49" s="97" t="str">
        <f t="shared" ref="AF49:AI51" ca="1" si="68">IF(AND(ISNUMBER(AB49),ISNUMBER($AA49)),OFFSET(RiskMatrixRef,-$AA49+1,AB49-1),"")</f>
        <v/>
      </c>
      <c r="AG49" s="98" t="str">
        <f t="shared" ca="1" si="68"/>
        <v/>
      </c>
      <c r="AH49" s="98" t="str">
        <f t="shared" ca="1" si="68"/>
        <v/>
      </c>
      <c r="AI49" s="99" t="str">
        <f t="shared" ca="1" si="68"/>
        <v/>
      </c>
      <c r="AJ49" s="101"/>
      <c r="AK49" s="101"/>
      <c r="AL49" s="101"/>
      <c r="AM49" s="58"/>
      <c r="AN49" s="55"/>
      <c r="AO49" s="56"/>
      <c r="AP49" s="56"/>
      <c r="AQ49" s="57"/>
      <c r="AR49" s="97" t="str">
        <f t="shared" ref="AR49:AU51" ca="1" si="69">IF(AND(ISNUMBER(AN49),ISNUMBER($AM49)),OFFSET(RiskMatrixRef,-$AM49+1,AN49-1),"")</f>
        <v/>
      </c>
      <c r="AS49" s="98" t="str">
        <f t="shared" ca="1" si="69"/>
        <v/>
      </c>
      <c r="AT49" s="98" t="str">
        <f t="shared" ca="1" si="69"/>
        <v/>
      </c>
      <c r="AU49" s="99" t="str">
        <f t="shared" ca="1" si="69"/>
        <v/>
      </c>
      <c r="AV49" s="102"/>
      <c r="AW49" s="101" t="s">
        <v>243</v>
      </c>
      <c r="AX49" s="103" t="s">
        <v>235</v>
      </c>
      <c r="AY49" s="92" t="s">
        <v>275</v>
      </c>
    </row>
    <row r="50" spans="2:51" ht="126" x14ac:dyDescent="0.25">
      <c r="B50" s="93" t="s">
        <v>196</v>
      </c>
      <c r="C50" s="94" t="s">
        <v>146</v>
      </c>
      <c r="D50" s="95" t="s">
        <v>147</v>
      </c>
      <c r="E50" s="96">
        <v>2</v>
      </c>
      <c r="F50" s="94" t="s">
        <v>285</v>
      </c>
      <c r="G50" s="94" t="s">
        <v>143</v>
      </c>
      <c r="H50" s="94" t="s">
        <v>151</v>
      </c>
      <c r="I50" s="94" t="s">
        <v>80</v>
      </c>
      <c r="J50" s="94" t="s">
        <v>82</v>
      </c>
      <c r="K50" s="94" t="s">
        <v>90</v>
      </c>
      <c r="L50" s="94" t="s">
        <v>154</v>
      </c>
      <c r="M50" s="94" t="s">
        <v>155</v>
      </c>
      <c r="N50" s="94" t="s">
        <v>98</v>
      </c>
      <c r="O50" s="58">
        <v>5</v>
      </c>
      <c r="P50" s="55">
        <v>1</v>
      </c>
      <c r="Q50" s="56">
        <v>1</v>
      </c>
      <c r="R50" s="56">
        <v>6</v>
      </c>
      <c r="S50" s="57">
        <v>6</v>
      </c>
      <c r="T50" s="97" t="str">
        <f t="shared" ca="1" si="12"/>
        <v>Low</v>
      </c>
      <c r="U50" s="98" t="str">
        <f t="shared" ca="1" si="13"/>
        <v>Low</v>
      </c>
      <c r="V50" s="98" t="str">
        <f t="shared" ca="1" si="14"/>
        <v>Low</v>
      </c>
      <c r="W50" s="99" t="str">
        <f t="shared" ca="1" si="15"/>
        <v>Low</v>
      </c>
      <c r="X50" s="100"/>
      <c r="Y50" s="101"/>
      <c r="Z50" s="101"/>
      <c r="AA50" s="58"/>
      <c r="AB50" s="55"/>
      <c r="AC50" s="56"/>
      <c r="AD50" s="56"/>
      <c r="AE50" s="57"/>
      <c r="AF50" s="97" t="str">
        <f t="shared" ca="1" si="68"/>
        <v/>
      </c>
      <c r="AG50" s="98" t="str">
        <f t="shared" ca="1" si="68"/>
        <v/>
      </c>
      <c r="AH50" s="98" t="str">
        <f t="shared" ca="1" si="68"/>
        <v/>
      </c>
      <c r="AI50" s="99" t="str">
        <f t="shared" ca="1" si="68"/>
        <v/>
      </c>
      <c r="AJ50" s="101"/>
      <c r="AK50" s="101"/>
      <c r="AL50" s="101"/>
      <c r="AM50" s="58"/>
      <c r="AN50" s="55"/>
      <c r="AO50" s="56"/>
      <c r="AP50" s="56"/>
      <c r="AQ50" s="57"/>
      <c r="AR50" s="97" t="str">
        <f t="shared" ca="1" si="69"/>
        <v/>
      </c>
      <c r="AS50" s="98" t="str">
        <f t="shared" ca="1" si="69"/>
        <v/>
      </c>
      <c r="AT50" s="98" t="str">
        <f t="shared" ca="1" si="69"/>
        <v/>
      </c>
      <c r="AU50" s="99" t="str">
        <f t="shared" ca="1" si="69"/>
        <v/>
      </c>
      <c r="AV50" s="102"/>
      <c r="AW50" s="101"/>
      <c r="AX50" s="103"/>
      <c r="AY50" s="92" t="s">
        <v>250</v>
      </c>
    </row>
    <row r="51" spans="2:51" ht="125.25" customHeight="1" x14ac:dyDescent="0.25">
      <c r="B51" s="93" t="s">
        <v>197</v>
      </c>
      <c r="C51" s="94" t="s">
        <v>159</v>
      </c>
      <c r="D51" s="95" t="s">
        <v>148</v>
      </c>
      <c r="E51" s="96">
        <v>2</v>
      </c>
      <c r="F51" s="94" t="s">
        <v>285</v>
      </c>
      <c r="G51" s="94" t="s">
        <v>143</v>
      </c>
      <c r="H51" s="94" t="s">
        <v>156</v>
      </c>
      <c r="I51" s="94" t="s">
        <v>80</v>
      </c>
      <c r="J51" s="94" t="s">
        <v>82</v>
      </c>
      <c r="K51" s="94" t="s">
        <v>157</v>
      </c>
      <c r="L51" s="94" t="s">
        <v>154</v>
      </c>
      <c r="M51" s="94" t="s">
        <v>155</v>
      </c>
      <c r="N51" s="94" t="s">
        <v>98</v>
      </c>
      <c r="O51" s="58">
        <v>5</v>
      </c>
      <c r="P51" s="55">
        <v>1</v>
      </c>
      <c r="Q51" s="56">
        <v>1</v>
      </c>
      <c r="R51" s="56">
        <v>6</v>
      </c>
      <c r="S51" s="57">
        <v>5</v>
      </c>
      <c r="T51" s="97" t="str">
        <f t="shared" ca="1" si="12"/>
        <v>Low</v>
      </c>
      <c r="U51" s="98" t="str">
        <f t="shared" ca="1" si="13"/>
        <v>Low</v>
      </c>
      <c r="V51" s="98" t="str">
        <f t="shared" ca="1" si="14"/>
        <v>Low</v>
      </c>
      <c r="W51" s="99" t="str">
        <f t="shared" ca="1" si="15"/>
        <v>Low</v>
      </c>
      <c r="X51" s="100"/>
      <c r="Y51" s="101"/>
      <c r="Z51" s="101"/>
      <c r="AA51" s="58"/>
      <c r="AB51" s="55"/>
      <c r="AC51" s="56"/>
      <c r="AD51" s="56"/>
      <c r="AE51" s="57"/>
      <c r="AF51" s="97" t="str">
        <f t="shared" ca="1" si="68"/>
        <v/>
      </c>
      <c r="AG51" s="98" t="str">
        <f t="shared" ca="1" si="68"/>
        <v/>
      </c>
      <c r="AH51" s="98" t="str">
        <f t="shared" ca="1" si="68"/>
        <v/>
      </c>
      <c r="AI51" s="99" t="str">
        <f t="shared" ca="1" si="68"/>
        <v/>
      </c>
      <c r="AJ51" s="101"/>
      <c r="AK51" s="101"/>
      <c r="AL51" s="101"/>
      <c r="AM51" s="58"/>
      <c r="AN51" s="55"/>
      <c r="AO51" s="56"/>
      <c r="AP51" s="56"/>
      <c r="AQ51" s="57"/>
      <c r="AR51" s="97" t="str">
        <f t="shared" ca="1" si="69"/>
        <v/>
      </c>
      <c r="AS51" s="98" t="str">
        <f t="shared" ca="1" si="69"/>
        <v/>
      </c>
      <c r="AT51" s="98" t="str">
        <f t="shared" ca="1" si="69"/>
        <v/>
      </c>
      <c r="AU51" s="99" t="str">
        <f t="shared" ca="1" si="69"/>
        <v/>
      </c>
      <c r="AV51" s="102"/>
      <c r="AW51" s="101"/>
      <c r="AX51" s="116"/>
      <c r="AY51" s="92" t="s">
        <v>250</v>
      </c>
    </row>
    <row r="52" spans="2:51" ht="94.5" x14ac:dyDescent="0.25">
      <c r="B52" s="93" t="s">
        <v>198</v>
      </c>
      <c r="C52" s="94" t="s">
        <v>173</v>
      </c>
      <c r="D52" s="95" t="s">
        <v>149</v>
      </c>
      <c r="E52" s="96">
        <v>2</v>
      </c>
      <c r="F52" s="94" t="s">
        <v>285</v>
      </c>
      <c r="G52" s="94" t="s">
        <v>143</v>
      </c>
      <c r="H52" s="94" t="s">
        <v>160</v>
      </c>
      <c r="I52" s="94" t="s">
        <v>80</v>
      </c>
      <c r="J52" s="94" t="s">
        <v>82</v>
      </c>
      <c r="K52" s="94" t="s">
        <v>90</v>
      </c>
      <c r="L52" s="94" t="s">
        <v>154</v>
      </c>
      <c r="M52" s="94" t="s">
        <v>155</v>
      </c>
      <c r="N52" s="94" t="s">
        <v>98</v>
      </c>
      <c r="O52" s="58">
        <v>5</v>
      </c>
      <c r="P52" s="55">
        <v>1</v>
      </c>
      <c r="Q52" s="56">
        <v>1</v>
      </c>
      <c r="R52" s="56">
        <v>4</v>
      </c>
      <c r="S52" s="57">
        <v>4</v>
      </c>
      <c r="T52" s="97" t="str">
        <f t="shared" ca="1" si="12"/>
        <v>Low</v>
      </c>
      <c r="U52" s="98" t="str">
        <f t="shared" ca="1" si="13"/>
        <v>Low</v>
      </c>
      <c r="V52" s="98" t="str">
        <f t="shared" ca="1" si="14"/>
        <v>Low</v>
      </c>
      <c r="W52" s="99" t="str">
        <f t="shared" ca="1" si="15"/>
        <v>Low</v>
      </c>
      <c r="X52" s="100"/>
      <c r="Y52" s="101"/>
      <c r="Z52" s="101"/>
      <c r="AA52" s="58"/>
      <c r="AB52" s="55"/>
      <c r="AC52" s="56"/>
      <c r="AD52" s="56"/>
      <c r="AE52" s="57"/>
      <c r="AF52" s="97" t="str">
        <f t="shared" ca="1" si="60"/>
        <v/>
      </c>
      <c r="AG52" s="98" t="str">
        <f t="shared" ca="1" si="61"/>
        <v/>
      </c>
      <c r="AH52" s="98" t="str">
        <f t="shared" ca="1" si="62"/>
        <v/>
      </c>
      <c r="AI52" s="99" t="str">
        <f t="shared" ca="1" si="63"/>
        <v/>
      </c>
      <c r="AJ52" s="101"/>
      <c r="AK52" s="101"/>
      <c r="AL52" s="101"/>
      <c r="AM52" s="58"/>
      <c r="AN52" s="55"/>
      <c r="AO52" s="56"/>
      <c r="AP52" s="56"/>
      <c r="AQ52" s="57"/>
      <c r="AR52" s="97" t="str">
        <f t="shared" ca="1" si="64"/>
        <v/>
      </c>
      <c r="AS52" s="98" t="str">
        <f t="shared" ca="1" si="65"/>
        <v/>
      </c>
      <c r="AT52" s="98" t="str">
        <f t="shared" ca="1" si="66"/>
        <v/>
      </c>
      <c r="AU52" s="99" t="str">
        <f t="shared" ca="1" si="67"/>
        <v/>
      </c>
      <c r="AV52" s="102"/>
      <c r="AW52" s="101"/>
      <c r="AX52" s="103"/>
      <c r="AY52" s="92" t="s">
        <v>250</v>
      </c>
    </row>
    <row r="53" spans="2:51" ht="94.5" x14ac:dyDescent="0.25">
      <c r="B53" s="93" t="s">
        <v>199</v>
      </c>
      <c r="C53" s="94" t="s">
        <v>161</v>
      </c>
      <c r="D53" s="95" t="s">
        <v>150</v>
      </c>
      <c r="E53" s="96">
        <v>2</v>
      </c>
      <c r="F53" s="94" t="s">
        <v>285</v>
      </c>
      <c r="G53" s="94" t="s">
        <v>143</v>
      </c>
      <c r="H53" s="94" t="s">
        <v>162</v>
      </c>
      <c r="I53" s="94" t="s">
        <v>80</v>
      </c>
      <c r="J53" s="94" t="s">
        <v>82</v>
      </c>
      <c r="K53" s="94" t="s">
        <v>90</v>
      </c>
      <c r="L53" s="94" t="s">
        <v>154</v>
      </c>
      <c r="M53" s="94" t="s">
        <v>155</v>
      </c>
      <c r="N53" s="94" t="s">
        <v>98</v>
      </c>
      <c r="O53" s="58">
        <v>5</v>
      </c>
      <c r="P53" s="55">
        <v>1</v>
      </c>
      <c r="Q53" s="56">
        <v>1</v>
      </c>
      <c r="R53" s="56">
        <v>4</v>
      </c>
      <c r="S53" s="57">
        <v>5</v>
      </c>
      <c r="T53" s="97" t="str">
        <f t="shared" ca="1" si="12"/>
        <v>Low</v>
      </c>
      <c r="U53" s="98" t="str">
        <f t="shared" ca="1" si="13"/>
        <v>Low</v>
      </c>
      <c r="V53" s="98" t="str">
        <f t="shared" ca="1" si="14"/>
        <v>Low</v>
      </c>
      <c r="W53" s="99" t="str">
        <f t="shared" ca="1" si="15"/>
        <v>Low</v>
      </c>
      <c r="X53" s="100"/>
      <c r="Y53" s="101"/>
      <c r="Z53" s="101"/>
      <c r="AA53" s="58"/>
      <c r="AB53" s="55"/>
      <c r="AC53" s="56"/>
      <c r="AD53" s="56"/>
      <c r="AE53" s="57"/>
      <c r="AF53" s="97" t="str">
        <f t="shared" ca="1" si="60"/>
        <v/>
      </c>
      <c r="AG53" s="98" t="str">
        <f t="shared" ca="1" si="61"/>
        <v/>
      </c>
      <c r="AH53" s="98" t="str">
        <f t="shared" ca="1" si="62"/>
        <v/>
      </c>
      <c r="AI53" s="99" t="str">
        <f t="shared" ca="1" si="63"/>
        <v/>
      </c>
      <c r="AJ53" s="101"/>
      <c r="AK53" s="101"/>
      <c r="AL53" s="101"/>
      <c r="AM53" s="58"/>
      <c r="AN53" s="55"/>
      <c r="AO53" s="56"/>
      <c r="AP53" s="56"/>
      <c r="AQ53" s="57"/>
      <c r="AR53" s="97" t="str">
        <f t="shared" ca="1" si="64"/>
        <v/>
      </c>
      <c r="AS53" s="98" t="str">
        <f t="shared" ca="1" si="65"/>
        <v/>
      </c>
      <c r="AT53" s="98" t="str">
        <f t="shared" ca="1" si="66"/>
        <v/>
      </c>
      <c r="AU53" s="99" t="str">
        <f t="shared" ca="1" si="67"/>
        <v/>
      </c>
      <c r="AV53" s="102"/>
      <c r="AW53" s="101"/>
      <c r="AX53" s="103"/>
      <c r="AY53" s="92" t="s">
        <v>250</v>
      </c>
    </row>
    <row r="54" spans="2:51" ht="94.5" x14ac:dyDescent="0.25">
      <c r="B54" s="93" t="s">
        <v>200</v>
      </c>
      <c r="C54" s="121" t="s">
        <v>161</v>
      </c>
      <c r="D54" s="121" t="s">
        <v>150</v>
      </c>
      <c r="E54" s="96">
        <v>2</v>
      </c>
      <c r="F54" s="94" t="s">
        <v>285</v>
      </c>
      <c r="G54" s="121" t="s">
        <v>163</v>
      </c>
      <c r="H54" s="121" t="s">
        <v>164</v>
      </c>
      <c r="I54" s="121" t="s">
        <v>80</v>
      </c>
      <c r="J54" s="121" t="s">
        <v>82</v>
      </c>
      <c r="K54" s="94" t="s">
        <v>90</v>
      </c>
      <c r="L54" s="121" t="s">
        <v>154</v>
      </c>
      <c r="M54" s="121" t="s">
        <v>155</v>
      </c>
      <c r="N54" s="94" t="s">
        <v>98</v>
      </c>
      <c r="O54" s="58">
        <v>5</v>
      </c>
      <c r="P54" s="55">
        <v>1</v>
      </c>
      <c r="Q54" s="56">
        <v>1</v>
      </c>
      <c r="R54" s="56">
        <v>6</v>
      </c>
      <c r="S54" s="57">
        <v>5</v>
      </c>
      <c r="T54" s="97" t="str">
        <f t="shared" ca="1" si="12"/>
        <v>Low</v>
      </c>
      <c r="U54" s="98" t="str">
        <f t="shared" ca="1" si="13"/>
        <v>Low</v>
      </c>
      <c r="V54" s="98" t="str">
        <f t="shared" ca="1" si="14"/>
        <v>Low</v>
      </c>
      <c r="W54" s="99" t="str">
        <f t="shared" ca="1" si="15"/>
        <v>Low</v>
      </c>
      <c r="X54" s="122"/>
      <c r="Y54" s="123"/>
      <c r="Z54" s="123"/>
      <c r="AA54" s="58"/>
      <c r="AB54" s="55"/>
      <c r="AC54" s="56"/>
      <c r="AD54" s="56"/>
      <c r="AE54" s="57"/>
      <c r="AF54" s="97" t="str">
        <f t="shared" ref="AF54:AI55" ca="1" si="70">IF(AND(ISNUMBER(AB54),ISNUMBER($AA54)),OFFSET(RiskMatrixRef,-$AA54+1,AB54-1),"")</f>
        <v/>
      </c>
      <c r="AG54" s="98" t="str">
        <f t="shared" ca="1" si="70"/>
        <v/>
      </c>
      <c r="AH54" s="98" t="str">
        <f t="shared" ca="1" si="70"/>
        <v/>
      </c>
      <c r="AI54" s="99" t="str">
        <f t="shared" ca="1" si="70"/>
        <v/>
      </c>
      <c r="AJ54" s="123"/>
      <c r="AK54" s="123"/>
      <c r="AL54" s="123"/>
      <c r="AM54" s="58"/>
      <c r="AN54" s="55"/>
      <c r="AO54" s="56"/>
      <c r="AP54" s="56"/>
      <c r="AQ54" s="57"/>
      <c r="AR54" s="97" t="str">
        <f t="shared" ref="AR54:AU55" ca="1" si="71">IF(AND(ISNUMBER(AN54),ISNUMBER($AM54)),OFFSET(RiskMatrixRef,-$AM54+1,AN54-1),"")</f>
        <v/>
      </c>
      <c r="AS54" s="98" t="str">
        <f t="shared" ca="1" si="71"/>
        <v/>
      </c>
      <c r="AT54" s="98" t="str">
        <f t="shared" ca="1" si="71"/>
        <v/>
      </c>
      <c r="AU54" s="99" t="str">
        <f t="shared" ca="1" si="71"/>
        <v/>
      </c>
      <c r="AV54" s="124"/>
      <c r="AW54" s="123"/>
      <c r="AX54" s="103"/>
      <c r="AY54" s="92" t="s">
        <v>250</v>
      </c>
    </row>
    <row r="55" spans="2:51" s="90" customFormat="1" ht="94.5" x14ac:dyDescent="0.25">
      <c r="B55" s="80" t="s">
        <v>115</v>
      </c>
      <c r="C55" s="81" t="s">
        <v>116</v>
      </c>
      <c r="D55" s="91" t="s">
        <v>216</v>
      </c>
      <c r="E55" s="82">
        <v>2</v>
      </c>
      <c r="F55" s="81" t="s">
        <v>285</v>
      </c>
      <c r="G55" s="81" t="s">
        <v>72</v>
      </c>
      <c r="H55" s="81" t="s">
        <v>118</v>
      </c>
      <c r="I55" s="81" t="s">
        <v>80</v>
      </c>
      <c r="J55" s="81" t="s">
        <v>82</v>
      </c>
      <c r="K55" s="81" t="s">
        <v>117</v>
      </c>
      <c r="L55" s="81" t="s">
        <v>154</v>
      </c>
      <c r="M55" s="81" t="s">
        <v>155</v>
      </c>
      <c r="N55" s="125" t="s">
        <v>289</v>
      </c>
      <c r="O55" s="59">
        <v>5</v>
      </c>
      <c r="P55" s="60">
        <v>3</v>
      </c>
      <c r="Q55" s="61">
        <v>3</v>
      </c>
      <c r="R55" s="61">
        <v>7</v>
      </c>
      <c r="S55" s="62">
        <v>7</v>
      </c>
      <c r="T55" s="83" t="str">
        <f t="shared" ca="1" si="12"/>
        <v>Low</v>
      </c>
      <c r="U55" s="84" t="str">
        <f t="shared" ca="1" si="13"/>
        <v>Low</v>
      </c>
      <c r="V55" s="84" t="str">
        <f t="shared" ca="1" si="14"/>
        <v>Med</v>
      </c>
      <c r="W55" s="85" t="str">
        <f t="shared" ca="1" si="15"/>
        <v>Med</v>
      </c>
      <c r="X55" s="86"/>
      <c r="Y55" s="87"/>
      <c r="Z55" s="87"/>
      <c r="AA55" s="59"/>
      <c r="AB55" s="60"/>
      <c r="AC55" s="61"/>
      <c r="AD55" s="61"/>
      <c r="AE55" s="62"/>
      <c r="AF55" s="83" t="str">
        <f t="shared" ca="1" si="70"/>
        <v/>
      </c>
      <c r="AG55" s="84" t="str">
        <f t="shared" ca="1" si="70"/>
        <v/>
      </c>
      <c r="AH55" s="84" t="str">
        <f t="shared" ca="1" si="70"/>
        <v/>
      </c>
      <c r="AI55" s="85" t="str">
        <f t="shared" ca="1" si="70"/>
        <v/>
      </c>
      <c r="AJ55" s="87"/>
      <c r="AK55" s="87"/>
      <c r="AL55" s="87"/>
      <c r="AM55" s="59"/>
      <c r="AN55" s="60"/>
      <c r="AO55" s="61"/>
      <c r="AP55" s="61"/>
      <c r="AQ55" s="62"/>
      <c r="AR55" s="83" t="str">
        <f t="shared" ca="1" si="71"/>
        <v/>
      </c>
      <c r="AS55" s="84" t="str">
        <f t="shared" ca="1" si="71"/>
        <v/>
      </c>
      <c r="AT55" s="84" t="str">
        <f t="shared" ca="1" si="71"/>
        <v/>
      </c>
      <c r="AU55" s="85" t="str">
        <f t="shared" ca="1" si="71"/>
        <v/>
      </c>
      <c r="AV55" s="88"/>
      <c r="AW55" s="87" t="s">
        <v>217</v>
      </c>
      <c r="AX55" s="92" t="s">
        <v>233</v>
      </c>
      <c r="AY55" s="92" t="s">
        <v>276</v>
      </c>
    </row>
    <row r="57" spans="2:51" x14ac:dyDescent="0.25">
      <c r="B57" s="126"/>
      <c r="R57" s="127"/>
      <c r="S57" s="128"/>
      <c r="T57" s="129"/>
      <c r="U57" s="129"/>
      <c r="V57" s="129"/>
      <c r="W57" s="129"/>
      <c r="X57" s="129"/>
      <c r="AD57" s="127"/>
      <c r="AE57" s="128"/>
      <c r="AF57" s="129"/>
      <c r="AG57" s="129"/>
      <c r="AH57" s="129"/>
      <c r="AI57" s="129"/>
      <c r="AJ57" s="129"/>
      <c r="AP57" s="127"/>
      <c r="AQ57" s="128"/>
      <c r="AR57" s="129"/>
      <c r="AS57" s="129"/>
      <c r="AT57" s="129"/>
      <c r="AU57" s="129"/>
    </row>
    <row r="58" spans="2:51" x14ac:dyDescent="0.25">
      <c r="B58" s="126"/>
      <c r="R58" s="127"/>
      <c r="S58" s="130"/>
      <c r="T58" s="129"/>
      <c r="U58" s="129"/>
      <c r="V58" s="129"/>
      <c r="W58" s="129"/>
      <c r="X58" s="129"/>
      <c r="AD58" s="127"/>
      <c r="AE58" s="130"/>
      <c r="AF58" s="129"/>
      <c r="AG58" s="129"/>
      <c r="AH58" s="129"/>
      <c r="AI58" s="129"/>
      <c r="AJ58" s="129"/>
      <c r="AP58" s="127"/>
      <c r="AQ58" s="130"/>
      <c r="AR58" s="129"/>
      <c r="AS58" s="129"/>
      <c r="AT58" s="129"/>
      <c r="AU58" s="129"/>
    </row>
    <row r="59" spans="2:51" x14ac:dyDescent="0.25">
      <c r="B59" s="126"/>
      <c r="R59" s="127"/>
      <c r="S59" s="131"/>
      <c r="T59" s="132"/>
      <c r="U59" s="133"/>
      <c r="V59" s="133"/>
      <c r="W59" s="132"/>
      <c r="X59" s="129"/>
      <c r="AD59" s="127"/>
      <c r="AE59" s="131"/>
      <c r="AF59" s="132"/>
      <c r="AG59" s="133"/>
      <c r="AH59" s="133"/>
      <c r="AI59" s="132"/>
      <c r="AJ59" s="129"/>
      <c r="AP59" s="127"/>
      <c r="AQ59" s="131"/>
      <c r="AR59" s="132"/>
      <c r="AS59" s="133"/>
      <c r="AT59" s="133"/>
      <c r="AU59" s="132"/>
    </row>
    <row r="60" spans="2:51" x14ac:dyDescent="0.25">
      <c r="B60" s="126"/>
      <c r="R60" s="127"/>
      <c r="S60" s="131"/>
      <c r="T60" s="132"/>
      <c r="U60" s="132"/>
      <c r="V60" s="132"/>
      <c r="W60" s="132"/>
      <c r="X60" s="129"/>
      <c r="AD60" s="127"/>
      <c r="AE60" s="131"/>
      <c r="AF60" s="132"/>
      <c r="AG60" s="132"/>
      <c r="AH60" s="132"/>
      <c r="AI60" s="132"/>
      <c r="AJ60" s="129"/>
      <c r="AP60" s="127"/>
      <c r="AQ60" s="131"/>
      <c r="AR60" s="132"/>
      <c r="AS60" s="132"/>
      <c r="AT60" s="132"/>
      <c r="AU60" s="132"/>
    </row>
    <row r="61" spans="2:51" x14ac:dyDescent="0.25">
      <c r="B61" s="126"/>
      <c r="R61" s="127"/>
      <c r="S61" s="131"/>
      <c r="T61" s="132"/>
      <c r="U61" s="134"/>
      <c r="V61" s="134"/>
      <c r="W61" s="132"/>
      <c r="X61" s="129"/>
      <c r="AD61" s="127"/>
      <c r="AE61" s="131"/>
      <c r="AF61" s="132"/>
      <c r="AG61" s="134"/>
      <c r="AH61" s="134"/>
      <c r="AI61" s="132"/>
      <c r="AJ61" s="129"/>
      <c r="AP61" s="127"/>
      <c r="AQ61" s="131"/>
      <c r="AR61" s="132"/>
      <c r="AS61" s="134"/>
      <c r="AT61" s="134"/>
      <c r="AU61" s="132"/>
    </row>
    <row r="62" spans="2:51" x14ac:dyDescent="0.25">
      <c r="B62" s="126"/>
      <c r="R62" s="127"/>
      <c r="S62" s="130"/>
      <c r="T62" s="129"/>
      <c r="U62" s="129"/>
      <c r="V62" s="129"/>
      <c r="W62" s="129"/>
      <c r="X62" s="129"/>
      <c r="AD62" s="127"/>
      <c r="AE62" s="130"/>
      <c r="AF62" s="129"/>
      <c r="AG62" s="129"/>
      <c r="AH62" s="129"/>
      <c r="AI62" s="129"/>
      <c r="AJ62" s="129"/>
      <c r="AP62" s="127"/>
      <c r="AQ62" s="130"/>
      <c r="AR62" s="129"/>
      <c r="AS62" s="129"/>
      <c r="AT62" s="129"/>
      <c r="AU62" s="129"/>
    </row>
    <row r="63" spans="2:51" x14ac:dyDescent="0.25">
      <c r="B63" s="126"/>
      <c r="R63" s="127"/>
      <c r="S63" s="131"/>
      <c r="T63" s="132"/>
      <c r="U63" s="133"/>
      <c r="V63" s="133"/>
      <c r="W63" s="132"/>
      <c r="X63" s="129"/>
      <c r="AD63" s="127"/>
      <c r="AE63" s="131"/>
      <c r="AF63" s="132"/>
      <c r="AG63" s="133"/>
      <c r="AH63" s="133"/>
      <c r="AI63" s="132"/>
      <c r="AJ63" s="129"/>
      <c r="AP63" s="127"/>
      <c r="AQ63" s="131"/>
      <c r="AR63" s="132"/>
      <c r="AS63" s="133"/>
      <c r="AT63" s="133"/>
      <c r="AU63" s="132"/>
    </row>
    <row r="64" spans="2:51" x14ac:dyDescent="0.25">
      <c r="B64" s="126"/>
      <c r="R64" s="127"/>
      <c r="S64" s="131"/>
      <c r="T64" s="132"/>
      <c r="U64" s="132"/>
      <c r="V64" s="132"/>
      <c r="W64" s="132"/>
      <c r="X64" s="129"/>
      <c r="AD64" s="127"/>
      <c r="AE64" s="131"/>
      <c r="AF64" s="132"/>
      <c r="AG64" s="132"/>
      <c r="AH64" s="132"/>
      <c r="AI64" s="132"/>
      <c r="AJ64" s="129"/>
      <c r="AP64" s="127"/>
      <c r="AQ64" s="131"/>
      <c r="AR64" s="132"/>
      <c r="AS64" s="132"/>
      <c r="AT64" s="132"/>
      <c r="AU64" s="132"/>
    </row>
    <row r="65" spans="2:47" x14ac:dyDescent="0.25">
      <c r="B65" s="126"/>
      <c r="R65" s="127"/>
      <c r="S65" s="131"/>
      <c r="T65" s="132"/>
      <c r="U65" s="134"/>
      <c r="V65" s="134"/>
      <c r="W65" s="132"/>
      <c r="X65" s="129"/>
      <c r="AD65" s="127"/>
      <c r="AE65" s="131"/>
      <c r="AF65" s="132"/>
      <c r="AG65" s="134"/>
      <c r="AH65" s="134"/>
      <c r="AI65" s="132"/>
      <c r="AJ65" s="129"/>
      <c r="AP65" s="127"/>
      <c r="AQ65" s="131"/>
      <c r="AR65" s="132"/>
      <c r="AS65" s="134"/>
      <c r="AT65" s="134"/>
      <c r="AU65" s="132"/>
    </row>
    <row r="66" spans="2:47" x14ac:dyDescent="0.25">
      <c r="R66" s="127"/>
      <c r="S66" s="130"/>
      <c r="T66" s="129"/>
      <c r="U66" s="129"/>
      <c r="V66" s="129"/>
      <c r="W66" s="129"/>
      <c r="X66" s="129"/>
      <c r="AD66" s="127"/>
      <c r="AE66" s="130"/>
      <c r="AF66" s="129"/>
      <c r="AG66" s="129"/>
      <c r="AH66" s="129"/>
      <c r="AI66" s="129"/>
      <c r="AJ66" s="129"/>
      <c r="AP66" s="127"/>
      <c r="AQ66" s="130"/>
      <c r="AR66" s="129"/>
      <c r="AS66" s="129"/>
      <c r="AT66" s="129"/>
      <c r="AU66" s="129"/>
    </row>
    <row r="67" spans="2:47" x14ac:dyDescent="0.25">
      <c r="R67" s="127"/>
      <c r="S67" s="131"/>
      <c r="T67" s="132"/>
      <c r="U67" s="133"/>
      <c r="V67" s="133"/>
      <c r="W67" s="132"/>
      <c r="X67" s="129"/>
      <c r="AD67" s="127"/>
      <c r="AE67" s="131"/>
      <c r="AF67" s="132"/>
      <c r="AG67" s="133"/>
      <c r="AH67" s="133"/>
      <c r="AI67" s="132"/>
      <c r="AJ67" s="129"/>
      <c r="AP67" s="127"/>
      <c r="AQ67" s="131"/>
      <c r="AR67" s="132"/>
      <c r="AS67" s="133"/>
      <c r="AT67" s="133"/>
      <c r="AU67" s="132"/>
    </row>
    <row r="68" spans="2:47" x14ac:dyDescent="0.25">
      <c r="R68" s="127"/>
      <c r="S68" s="131"/>
      <c r="T68" s="132"/>
      <c r="U68" s="132"/>
      <c r="V68" s="132"/>
      <c r="W68" s="132"/>
      <c r="X68" s="129"/>
      <c r="AD68" s="127"/>
      <c r="AE68" s="131"/>
      <c r="AF68" s="132"/>
      <c r="AG68" s="132"/>
      <c r="AH68" s="132"/>
      <c r="AI68" s="132"/>
      <c r="AJ68" s="129"/>
      <c r="AP68" s="127"/>
      <c r="AQ68" s="131"/>
      <c r="AR68" s="132"/>
      <c r="AS68" s="132"/>
      <c r="AT68" s="132"/>
      <c r="AU68" s="132"/>
    </row>
    <row r="69" spans="2:47" x14ac:dyDescent="0.25">
      <c r="G69" s="67"/>
      <c r="H69" s="67"/>
      <c r="I69" s="67"/>
      <c r="J69" s="67"/>
      <c r="O69" s="67"/>
      <c r="P69" s="68"/>
      <c r="Q69" s="68"/>
      <c r="R69" s="129"/>
      <c r="S69" s="131"/>
      <c r="T69" s="132"/>
      <c r="U69" s="134"/>
      <c r="V69" s="134"/>
      <c r="W69" s="132"/>
      <c r="X69" s="129"/>
      <c r="AA69" s="67"/>
      <c r="AB69" s="68"/>
      <c r="AC69" s="68"/>
      <c r="AD69" s="129"/>
      <c r="AE69" s="131"/>
      <c r="AF69" s="132"/>
      <c r="AG69" s="134"/>
      <c r="AH69" s="134"/>
      <c r="AI69" s="132"/>
      <c r="AJ69" s="129"/>
      <c r="AM69" s="67"/>
      <c r="AN69" s="68"/>
      <c r="AO69" s="68"/>
      <c r="AP69" s="129"/>
      <c r="AQ69" s="131"/>
      <c r="AR69" s="132"/>
      <c r="AS69" s="134"/>
      <c r="AT69" s="134"/>
      <c r="AU69" s="132"/>
    </row>
    <row r="70" spans="2:47" ht="15.75" customHeight="1" x14ac:dyDescent="0.25">
      <c r="G70" s="67"/>
      <c r="H70" s="67"/>
      <c r="I70" s="67"/>
      <c r="J70" s="67"/>
      <c r="O70" s="67"/>
      <c r="P70" s="68"/>
      <c r="Q70" s="68"/>
      <c r="R70" s="129"/>
      <c r="S70" s="129"/>
      <c r="T70" s="129"/>
      <c r="U70" s="129"/>
      <c r="V70" s="129"/>
      <c r="W70" s="129"/>
      <c r="X70" s="129"/>
      <c r="AA70" s="67"/>
      <c r="AB70" s="68"/>
      <c r="AC70" s="68"/>
      <c r="AD70" s="129"/>
      <c r="AE70" s="129"/>
      <c r="AF70" s="129"/>
      <c r="AG70" s="129"/>
      <c r="AH70" s="129"/>
      <c r="AI70" s="129"/>
      <c r="AJ70" s="129"/>
      <c r="AM70" s="67"/>
      <c r="AN70" s="68"/>
      <c r="AO70" s="68"/>
      <c r="AP70" s="129"/>
      <c r="AQ70" s="129"/>
      <c r="AR70" s="129"/>
      <c r="AS70" s="129"/>
      <c r="AT70" s="129"/>
      <c r="AU70" s="129"/>
    </row>
    <row r="71" spans="2:47" x14ac:dyDescent="0.25">
      <c r="G71" s="67"/>
      <c r="H71" s="67"/>
      <c r="I71" s="67"/>
      <c r="J71" s="67"/>
      <c r="O71" s="67"/>
      <c r="P71" s="68"/>
      <c r="Q71" s="68"/>
      <c r="R71" s="129"/>
      <c r="S71" s="135"/>
      <c r="T71" s="135"/>
      <c r="U71" s="135"/>
      <c r="V71" s="135"/>
      <c r="W71" s="135"/>
      <c r="X71" s="129"/>
      <c r="AA71" s="67"/>
      <c r="AB71" s="68"/>
      <c r="AC71" s="68"/>
      <c r="AD71" s="129"/>
      <c r="AE71" s="135"/>
      <c r="AF71" s="135"/>
      <c r="AG71" s="135"/>
      <c r="AH71" s="135"/>
      <c r="AI71" s="135"/>
      <c r="AJ71" s="129"/>
      <c r="AM71" s="67"/>
      <c r="AN71" s="68"/>
      <c r="AO71" s="68"/>
      <c r="AP71" s="129"/>
      <c r="AQ71" s="135"/>
      <c r="AR71" s="135"/>
      <c r="AS71" s="135"/>
      <c r="AT71" s="135"/>
      <c r="AU71" s="135"/>
    </row>
    <row r="72" spans="2:47" x14ac:dyDescent="0.25">
      <c r="G72" s="67"/>
      <c r="H72" s="67"/>
      <c r="I72" s="67"/>
      <c r="J72" s="67"/>
      <c r="O72" s="67"/>
      <c r="P72" s="68"/>
      <c r="Q72" s="68"/>
      <c r="R72" s="129"/>
      <c r="S72" s="131"/>
      <c r="T72" s="132"/>
      <c r="U72" s="133"/>
      <c r="V72" s="133"/>
      <c r="W72" s="132"/>
      <c r="X72" s="129"/>
      <c r="AA72" s="67"/>
      <c r="AB72" s="68"/>
      <c r="AC72" s="68"/>
      <c r="AD72" s="129"/>
      <c r="AE72" s="131"/>
      <c r="AF72" s="132"/>
      <c r="AG72" s="133"/>
      <c r="AH72" s="133"/>
      <c r="AI72" s="132"/>
      <c r="AJ72" s="129"/>
      <c r="AM72" s="67"/>
      <c r="AN72" s="68"/>
      <c r="AO72" s="68"/>
      <c r="AP72" s="129"/>
      <c r="AQ72" s="131"/>
      <c r="AR72" s="132"/>
      <c r="AS72" s="133"/>
      <c r="AT72" s="133"/>
      <c r="AU72" s="132"/>
    </row>
    <row r="73" spans="2:47" x14ac:dyDescent="0.25">
      <c r="G73" s="67"/>
      <c r="H73" s="67"/>
      <c r="I73" s="67"/>
      <c r="J73" s="67"/>
      <c r="O73" s="67"/>
      <c r="P73" s="68"/>
      <c r="Q73" s="68"/>
      <c r="R73" s="129"/>
      <c r="S73" s="131"/>
      <c r="T73" s="132"/>
      <c r="U73" s="132"/>
      <c r="V73" s="132"/>
      <c r="W73" s="132"/>
      <c r="X73" s="129"/>
      <c r="AA73" s="67"/>
      <c r="AB73" s="68"/>
      <c r="AC73" s="68"/>
      <c r="AD73" s="129"/>
      <c r="AE73" s="131"/>
      <c r="AF73" s="132"/>
      <c r="AG73" s="132"/>
      <c r="AH73" s="132"/>
      <c r="AI73" s="132"/>
      <c r="AJ73" s="129"/>
      <c r="AM73" s="67"/>
      <c r="AN73" s="68"/>
      <c r="AO73" s="68"/>
      <c r="AP73" s="129"/>
      <c r="AQ73" s="131"/>
      <c r="AR73" s="132"/>
      <c r="AS73" s="132"/>
      <c r="AT73" s="132"/>
      <c r="AU73" s="132"/>
    </row>
    <row r="74" spans="2:47" x14ac:dyDescent="0.25">
      <c r="R74" s="127"/>
      <c r="S74" s="131"/>
      <c r="T74" s="132"/>
      <c r="U74" s="134"/>
      <c r="V74" s="134"/>
      <c r="W74" s="132"/>
      <c r="X74" s="129"/>
      <c r="AD74" s="127"/>
      <c r="AE74" s="131"/>
      <c r="AF74" s="132"/>
      <c r="AG74" s="134"/>
      <c r="AH74" s="134"/>
      <c r="AI74" s="132"/>
      <c r="AJ74" s="129"/>
      <c r="AP74" s="127"/>
      <c r="AQ74" s="131"/>
      <c r="AR74" s="132"/>
      <c r="AS74" s="134"/>
      <c r="AT74" s="134"/>
      <c r="AU74" s="132"/>
    </row>
    <row r="75" spans="2:47" x14ac:dyDescent="0.25">
      <c r="R75" s="127"/>
      <c r="S75" s="127"/>
      <c r="T75" s="129"/>
      <c r="U75" s="129"/>
      <c r="V75" s="129"/>
      <c r="W75" s="129"/>
      <c r="X75" s="129"/>
      <c r="AD75" s="127"/>
      <c r="AE75" s="127"/>
      <c r="AF75" s="129"/>
      <c r="AG75" s="129"/>
      <c r="AH75" s="129"/>
      <c r="AI75" s="129"/>
      <c r="AJ75" s="129"/>
      <c r="AP75" s="127"/>
      <c r="AQ75" s="127"/>
      <c r="AR75" s="129"/>
      <c r="AS75" s="129"/>
      <c r="AT75" s="129"/>
      <c r="AU75" s="129"/>
    </row>
  </sheetData>
  <autoFilter ref="B5:AX55"/>
  <sortState ref="B6:AI23">
    <sortCondition ref="C6:C23"/>
    <sortCondition ref="G6:G23"/>
    <sortCondition ref="I6:I23"/>
  </sortState>
  <customSheetViews>
    <customSheetView guid="{84811DD3-6559-4831-BD04-E0626479DBCE}" scale="70" zeroValues="0" topLeftCell="E21">
      <selection activeCell="X24" sqref="X24"/>
      <pageMargins left="0.7" right="0.7" top="0.75" bottom="0.75" header="0.3" footer="0.3"/>
      <pageSetup orientation="portrait" r:id="rId1"/>
    </customSheetView>
    <customSheetView guid="{B34B7122-C738-4555-8537-3B6E30D60D80}" scale="85" zeroValues="0">
      <pane xSplit="9" ySplit="5" topLeftCell="J6" activePane="bottomRight" state="frozen"/>
      <selection pane="bottomRight" activeCell="H54" sqref="H54"/>
      <pageMargins left="0.7" right="0.7" top="0.75" bottom="0.75" header="0.3" footer="0.3"/>
      <pageSetup orientation="portrait" r:id="rId2"/>
    </customSheetView>
    <customSheetView guid="{5394EF70-363B-4A5A-8784-B29D58D73735}" scale="70" zeroValues="0" topLeftCell="L4">
      <selection activeCell="N6" sqref="M6:N7"/>
      <pageMargins left="0.7" right="0.7" top="0.75" bottom="0.75" header="0.3" footer="0.3"/>
      <pageSetup orientation="portrait" r:id="rId3"/>
    </customSheetView>
  </customSheetViews>
  <mergeCells count="9">
    <mergeCell ref="AM2:AU3"/>
    <mergeCell ref="AN4:AQ4"/>
    <mergeCell ref="AR4:AU4"/>
    <mergeCell ref="P4:S4"/>
    <mergeCell ref="T4:W4"/>
    <mergeCell ref="O2:W3"/>
    <mergeCell ref="AA2:AI3"/>
    <mergeCell ref="AB4:AE4"/>
    <mergeCell ref="AF4:AI4"/>
  </mergeCells>
  <conditionalFormatting sqref="T6:W8 AF6:AI8 AR6:AU8 AR10:AU13 AF10:AI13 T10:W13">
    <cfRule type="cellIs" dxfId="125" priority="554" operator="equal">
      <formula>"High"</formula>
    </cfRule>
    <cfRule type="cellIs" dxfId="124" priority="555" operator="equal">
      <formula>"Med"</formula>
    </cfRule>
    <cfRule type="cellIs" dxfId="123" priority="556" operator="equal">
      <formula>"Low"</formula>
    </cfRule>
  </conditionalFormatting>
  <conditionalFormatting sqref="T48:W48">
    <cfRule type="cellIs" dxfId="122" priority="508" operator="equal">
      <formula>"High"</formula>
    </cfRule>
    <cfRule type="cellIs" dxfId="121" priority="509" operator="equal">
      <formula>"Med"</formula>
    </cfRule>
    <cfRule type="cellIs" dxfId="120" priority="510" operator="equal">
      <formula>"Low"</formula>
    </cfRule>
  </conditionalFormatting>
  <conditionalFormatting sqref="AF48:AI48">
    <cfRule type="cellIs" dxfId="119" priority="504" operator="equal">
      <formula>"High"</formula>
    </cfRule>
    <cfRule type="cellIs" dxfId="118" priority="505" operator="equal">
      <formula>"Med"</formula>
    </cfRule>
    <cfRule type="cellIs" dxfId="117" priority="506" operator="equal">
      <formula>"Low"</formula>
    </cfRule>
  </conditionalFormatting>
  <conditionalFormatting sqref="AR48:AU48">
    <cfRule type="cellIs" dxfId="116" priority="500" operator="equal">
      <formula>"High"</formula>
    </cfRule>
    <cfRule type="cellIs" dxfId="115" priority="501" operator="equal">
      <formula>"Med"</formula>
    </cfRule>
    <cfRule type="cellIs" dxfId="114" priority="502" operator="equal">
      <formula>"Low"</formula>
    </cfRule>
  </conditionalFormatting>
  <conditionalFormatting sqref="AR9:AU9 AF9:AI9 T9:W9">
    <cfRule type="cellIs" dxfId="113" priority="352" operator="equal">
      <formula>"High"</formula>
    </cfRule>
    <cfRule type="cellIs" dxfId="112" priority="353" operator="equal">
      <formula>"Med"</formula>
    </cfRule>
    <cfRule type="cellIs" dxfId="111" priority="354" operator="equal">
      <formula>"Low"</formula>
    </cfRule>
  </conditionalFormatting>
  <conditionalFormatting sqref="T44:W44">
    <cfRule type="cellIs" dxfId="110" priority="292" operator="equal">
      <formula>"High"</formula>
    </cfRule>
    <cfRule type="cellIs" dxfId="109" priority="293" operator="equal">
      <formula>"Med"</formula>
    </cfRule>
    <cfRule type="cellIs" dxfId="108" priority="294" operator="equal">
      <formula>"Low"</formula>
    </cfRule>
  </conditionalFormatting>
  <conditionalFormatting sqref="AF44:AI44">
    <cfRule type="cellIs" dxfId="107" priority="288" operator="equal">
      <formula>"High"</formula>
    </cfRule>
    <cfRule type="cellIs" dxfId="106" priority="289" operator="equal">
      <formula>"Med"</formula>
    </cfRule>
    <cfRule type="cellIs" dxfId="105" priority="290" operator="equal">
      <formula>"Low"</formula>
    </cfRule>
  </conditionalFormatting>
  <conditionalFormatting sqref="AR44:AU44">
    <cfRule type="cellIs" dxfId="104" priority="284" operator="equal">
      <formula>"High"</formula>
    </cfRule>
    <cfRule type="cellIs" dxfId="103" priority="285" operator="equal">
      <formula>"Med"</formula>
    </cfRule>
    <cfRule type="cellIs" dxfId="102" priority="286" operator="equal">
      <formula>"Low"</formula>
    </cfRule>
  </conditionalFormatting>
  <conditionalFormatting sqref="AR14:AU15 AF14:AI15 T14:W15 AR22:AU22 AF22:AI22 T22:W22">
    <cfRule type="cellIs" dxfId="101" priority="208" operator="equal">
      <formula>"High"</formula>
    </cfRule>
    <cfRule type="cellIs" dxfId="100" priority="209" operator="equal">
      <formula>"Med"</formula>
    </cfRule>
    <cfRule type="cellIs" dxfId="99" priority="210" operator="equal">
      <formula>"Low"</formula>
    </cfRule>
  </conditionalFormatting>
  <conditionalFormatting sqref="AR16:AU17 AF16:AI17 T16:W17 AR23:AU23 AF23:AI23 T23:W23">
    <cfRule type="cellIs" dxfId="98" priority="205" operator="equal">
      <formula>"High"</formula>
    </cfRule>
    <cfRule type="cellIs" dxfId="97" priority="206" operator="equal">
      <formula>"Med"</formula>
    </cfRule>
    <cfRule type="cellIs" dxfId="96" priority="207" operator="equal">
      <formula>"Low"</formula>
    </cfRule>
  </conditionalFormatting>
  <conditionalFormatting sqref="AR18:AU18 AF18:AI18 T18:W18">
    <cfRule type="cellIs" dxfId="95" priority="202" operator="equal">
      <formula>"High"</formula>
    </cfRule>
    <cfRule type="cellIs" dxfId="94" priority="203" operator="equal">
      <formula>"Med"</formula>
    </cfRule>
    <cfRule type="cellIs" dxfId="93" priority="204" operator="equal">
      <formula>"Low"</formula>
    </cfRule>
  </conditionalFormatting>
  <conditionalFormatting sqref="T25:W25 T29:W29 AF25:AI25 AF29:AI29 AR25:AU25 AR29:AU29">
    <cfRule type="cellIs" dxfId="92" priority="184" operator="equal">
      <formula>"High"</formula>
    </cfRule>
    <cfRule type="cellIs" dxfId="91" priority="185" operator="equal">
      <formula>"Med"</formula>
    </cfRule>
    <cfRule type="cellIs" dxfId="90" priority="186" operator="equal">
      <formula>"Low"</formula>
    </cfRule>
  </conditionalFormatting>
  <conditionalFormatting sqref="AR24:AU24 AR28:AU28 AF24:AI24 AF28:AI28 T24:W24 T28:W28">
    <cfRule type="cellIs" dxfId="89" priority="175" operator="equal">
      <formula>"High"</formula>
    </cfRule>
    <cfRule type="cellIs" dxfId="88" priority="176" operator="equal">
      <formula>"Med"</formula>
    </cfRule>
    <cfRule type="cellIs" dxfId="87" priority="177" operator="equal">
      <formula>"Low"</formula>
    </cfRule>
  </conditionalFormatting>
  <conditionalFormatting sqref="AR26:AU26 AR30:AU30 AF26:AI26 AF30:AI30 T26:W26 T30:W30 AR44:AU44 AR48:AU48 AF44:AI44 AF48:AI48 T44:W44 T48:W48">
    <cfRule type="cellIs" dxfId="86" priority="172" operator="equal">
      <formula>"High"</formula>
    </cfRule>
    <cfRule type="cellIs" dxfId="85" priority="173" operator="equal">
      <formula>"Med"</formula>
    </cfRule>
    <cfRule type="cellIs" dxfId="84" priority="174" operator="equal">
      <formula>"Low"</formula>
    </cfRule>
  </conditionalFormatting>
  <conditionalFormatting sqref="AR27:AU27 AR31:AU31 AF27:AI27 AF31:AI31 T27:W27 T31:W31">
    <cfRule type="cellIs" dxfId="83" priority="169" operator="equal">
      <formula>"High"</formula>
    </cfRule>
    <cfRule type="cellIs" dxfId="82" priority="170" operator="equal">
      <formula>"Med"</formula>
    </cfRule>
    <cfRule type="cellIs" dxfId="81" priority="171" operator="equal">
      <formula>"Low"</formula>
    </cfRule>
  </conditionalFormatting>
  <conditionalFormatting sqref="T35:W35 AF35:AI35 AR35:AU35">
    <cfRule type="cellIs" dxfId="80" priority="166" operator="equal">
      <formula>"High"</formula>
    </cfRule>
    <cfRule type="cellIs" dxfId="79" priority="167" operator="equal">
      <formula>"Med"</formula>
    </cfRule>
    <cfRule type="cellIs" dxfId="78" priority="168" operator="equal">
      <formula>"Low"</formula>
    </cfRule>
  </conditionalFormatting>
  <conditionalFormatting sqref="AR34:AU34 AF34:AI34 T34:W34">
    <cfRule type="cellIs" dxfId="77" priority="157" operator="equal">
      <formula>"High"</formula>
    </cfRule>
    <cfRule type="cellIs" dxfId="76" priority="158" operator="equal">
      <formula>"Med"</formula>
    </cfRule>
    <cfRule type="cellIs" dxfId="75" priority="159" operator="equal">
      <formula>"Low"</formula>
    </cfRule>
  </conditionalFormatting>
  <conditionalFormatting sqref="AR32:AU32 AR36:AU36 AF32:AI32 AF36:AI36 T32:W32 T36:W36">
    <cfRule type="cellIs" dxfId="74" priority="154" operator="equal">
      <formula>"High"</formula>
    </cfRule>
    <cfRule type="cellIs" dxfId="73" priority="155" operator="equal">
      <formula>"Med"</formula>
    </cfRule>
    <cfRule type="cellIs" dxfId="72" priority="156" operator="equal">
      <formula>"Low"</formula>
    </cfRule>
  </conditionalFormatting>
  <conditionalFormatting sqref="AR33:AU33 AF33:AI33 T33:W33">
    <cfRule type="cellIs" dxfId="71" priority="151" operator="equal">
      <formula>"High"</formula>
    </cfRule>
    <cfRule type="cellIs" dxfId="70" priority="152" operator="equal">
      <formula>"Med"</formula>
    </cfRule>
    <cfRule type="cellIs" dxfId="69" priority="153" operator="equal">
      <formula>"Low"</formula>
    </cfRule>
  </conditionalFormatting>
  <conditionalFormatting sqref="AR37:AU37 AF37:AI37 T37:W37">
    <cfRule type="cellIs" dxfId="68" priority="148" operator="equal">
      <formula>"High"</formula>
    </cfRule>
    <cfRule type="cellIs" dxfId="67" priority="149" operator="equal">
      <formula>"Med"</formula>
    </cfRule>
    <cfRule type="cellIs" dxfId="66" priority="150" operator="equal">
      <formula>"Low"</formula>
    </cfRule>
  </conditionalFormatting>
  <conditionalFormatting sqref="T41:W41 AF41:AI41 AR41:AU41">
    <cfRule type="cellIs" dxfId="65" priority="145" operator="equal">
      <formula>"High"</formula>
    </cfRule>
    <cfRule type="cellIs" dxfId="64" priority="146" operator="equal">
      <formula>"Med"</formula>
    </cfRule>
    <cfRule type="cellIs" dxfId="63" priority="147" operator="equal">
      <formula>"Low"</formula>
    </cfRule>
  </conditionalFormatting>
  <conditionalFormatting sqref="AR40:AU40 AF40:AI40 T40:W40">
    <cfRule type="cellIs" dxfId="62" priority="136" operator="equal">
      <formula>"High"</formula>
    </cfRule>
    <cfRule type="cellIs" dxfId="61" priority="137" operator="equal">
      <formula>"Med"</formula>
    </cfRule>
    <cfRule type="cellIs" dxfId="60" priority="138" operator="equal">
      <formula>"Low"</formula>
    </cfRule>
  </conditionalFormatting>
  <conditionalFormatting sqref="AR38:AU38 AF38:AI38 T38:W38">
    <cfRule type="cellIs" dxfId="59" priority="133" operator="equal">
      <formula>"High"</formula>
    </cfRule>
    <cfRule type="cellIs" dxfId="58" priority="134" operator="equal">
      <formula>"Med"</formula>
    </cfRule>
    <cfRule type="cellIs" dxfId="57" priority="135" operator="equal">
      <formula>"Low"</formula>
    </cfRule>
  </conditionalFormatting>
  <conditionalFormatting sqref="AR39:AU39 AF39:AI39 T39:W39">
    <cfRule type="cellIs" dxfId="56" priority="130" operator="equal">
      <formula>"High"</formula>
    </cfRule>
    <cfRule type="cellIs" dxfId="55" priority="131" operator="equal">
      <formula>"Med"</formula>
    </cfRule>
    <cfRule type="cellIs" dxfId="54" priority="132" operator="equal">
      <formula>"Low"</formula>
    </cfRule>
  </conditionalFormatting>
  <conditionalFormatting sqref="T43:W43 AF43:AI43 AR43:AU43">
    <cfRule type="cellIs" dxfId="53" priority="127" operator="equal">
      <formula>"High"</formula>
    </cfRule>
    <cfRule type="cellIs" dxfId="52" priority="128" operator="equal">
      <formula>"Med"</formula>
    </cfRule>
    <cfRule type="cellIs" dxfId="51" priority="129" operator="equal">
      <formula>"Low"</formula>
    </cfRule>
  </conditionalFormatting>
  <conditionalFormatting sqref="AR42:AU42 AF42:AI42 T42:W42">
    <cfRule type="cellIs" dxfId="50" priority="118" operator="equal">
      <formula>"High"</formula>
    </cfRule>
    <cfRule type="cellIs" dxfId="49" priority="119" operator="equal">
      <formula>"Med"</formula>
    </cfRule>
    <cfRule type="cellIs" dxfId="48" priority="120" operator="equal">
      <formula>"Low"</formula>
    </cfRule>
  </conditionalFormatting>
  <conditionalFormatting sqref="T45:W45 AF45:AI45 AR45:AU45">
    <cfRule type="cellIs" dxfId="47" priority="115" operator="equal">
      <formula>"High"</formula>
    </cfRule>
    <cfRule type="cellIs" dxfId="46" priority="116" operator="equal">
      <formula>"Med"</formula>
    </cfRule>
    <cfRule type="cellIs" dxfId="45" priority="117" operator="equal">
      <formula>"Low"</formula>
    </cfRule>
  </conditionalFormatting>
  <conditionalFormatting sqref="T47:W47 AF47:AI47 AR47:AU47">
    <cfRule type="cellIs" dxfId="44" priority="109" operator="equal">
      <formula>"High"</formula>
    </cfRule>
    <cfRule type="cellIs" dxfId="43" priority="110" operator="equal">
      <formula>"Med"</formula>
    </cfRule>
    <cfRule type="cellIs" dxfId="42" priority="111" operator="equal">
      <formula>"Low"</formula>
    </cfRule>
  </conditionalFormatting>
  <conditionalFormatting sqref="AR46:AU46 AF46:AI46 T46:W46">
    <cfRule type="cellIs" dxfId="41" priority="100" operator="equal">
      <formula>"High"</formula>
    </cfRule>
    <cfRule type="cellIs" dxfId="40" priority="101" operator="equal">
      <formula>"Med"</formula>
    </cfRule>
    <cfRule type="cellIs" dxfId="39" priority="102" operator="equal">
      <formula>"Low"</formula>
    </cfRule>
  </conditionalFormatting>
  <conditionalFormatting sqref="T49:W49 AF49:AI49 AR49:AU49">
    <cfRule type="cellIs" dxfId="38" priority="97" operator="equal">
      <formula>"High"</formula>
    </cfRule>
    <cfRule type="cellIs" dxfId="37" priority="98" operator="equal">
      <formula>"Med"</formula>
    </cfRule>
    <cfRule type="cellIs" dxfId="36" priority="99" operator="equal">
      <formula>"Low"</formula>
    </cfRule>
  </conditionalFormatting>
  <conditionalFormatting sqref="AR50:AU50 AF50:AI50 T50:W50">
    <cfRule type="cellIs" dxfId="35" priority="82" operator="equal">
      <formula>"High"</formula>
    </cfRule>
    <cfRule type="cellIs" dxfId="34" priority="83" operator="equal">
      <formula>"Med"</formula>
    </cfRule>
    <cfRule type="cellIs" dxfId="33" priority="84" operator="equal">
      <formula>"Low"</formula>
    </cfRule>
  </conditionalFormatting>
  <conditionalFormatting sqref="T54:W54">
    <cfRule type="cellIs" dxfId="32" priority="46" operator="equal">
      <formula>"High"</formula>
    </cfRule>
    <cfRule type="cellIs" dxfId="31" priority="47" operator="equal">
      <formula>"Med"</formula>
    </cfRule>
    <cfRule type="cellIs" dxfId="30" priority="48" operator="equal">
      <formula>"Low"</formula>
    </cfRule>
  </conditionalFormatting>
  <conditionalFormatting sqref="AF54:AI54">
    <cfRule type="cellIs" dxfId="29" priority="43" operator="equal">
      <formula>"High"</formula>
    </cfRule>
    <cfRule type="cellIs" dxfId="28" priority="44" operator="equal">
      <formula>"Med"</formula>
    </cfRule>
    <cfRule type="cellIs" dxfId="27" priority="45" operator="equal">
      <formula>"Low"</formula>
    </cfRule>
  </conditionalFormatting>
  <conditionalFormatting sqref="AR54:AU54">
    <cfRule type="cellIs" dxfId="26" priority="40" operator="equal">
      <formula>"High"</formula>
    </cfRule>
    <cfRule type="cellIs" dxfId="25" priority="41" operator="equal">
      <formula>"Med"</formula>
    </cfRule>
    <cfRule type="cellIs" dxfId="24" priority="42" operator="equal">
      <formula>"Low"</formula>
    </cfRule>
  </conditionalFormatting>
  <conditionalFormatting sqref="AR54:AU54 AF54:AI54 T54:W54">
    <cfRule type="cellIs" dxfId="23" priority="34" operator="equal">
      <formula>"High"</formula>
    </cfRule>
    <cfRule type="cellIs" dxfId="22" priority="35" operator="equal">
      <formula>"Med"</formula>
    </cfRule>
    <cfRule type="cellIs" dxfId="21" priority="36" operator="equal">
      <formula>"Low"</formula>
    </cfRule>
  </conditionalFormatting>
  <conditionalFormatting sqref="T51:W51 AF51:AI51 AR51:AU51">
    <cfRule type="cellIs" dxfId="20" priority="31" operator="equal">
      <formula>"High"</formula>
    </cfRule>
    <cfRule type="cellIs" dxfId="19" priority="32" operator="equal">
      <formula>"Med"</formula>
    </cfRule>
    <cfRule type="cellIs" dxfId="18" priority="33" operator="equal">
      <formula>"Low"</formula>
    </cfRule>
  </conditionalFormatting>
  <conditionalFormatting sqref="T53:W53 AF53:AI53 AR53:AU53">
    <cfRule type="cellIs" dxfId="17" priority="25" operator="equal">
      <formula>"High"</formula>
    </cfRule>
    <cfRule type="cellIs" dxfId="16" priority="26" operator="equal">
      <formula>"Med"</formula>
    </cfRule>
    <cfRule type="cellIs" dxfId="15" priority="27" operator="equal">
      <formula>"Low"</formula>
    </cfRule>
  </conditionalFormatting>
  <conditionalFormatting sqref="AR52:AU52 AF52:AI52 T52:W52">
    <cfRule type="cellIs" dxfId="14" priority="16" operator="equal">
      <formula>"High"</formula>
    </cfRule>
    <cfRule type="cellIs" dxfId="13" priority="17" operator="equal">
      <formula>"Med"</formula>
    </cfRule>
    <cfRule type="cellIs" dxfId="12" priority="18" operator="equal">
      <formula>"Low"</formula>
    </cfRule>
  </conditionalFormatting>
  <conditionalFormatting sqref="T55:W55 AF55:AI55 AR55:AU55">
    <cfRule type="cellIs" dxfId="11" priority="13" operator="equal">
      <formula>"High"</formula>
    </cfRule>
    <cfRule type="cellIs" dxfId="10" priority="14" operator="equal">
      <formula>"Med"</formula>
    </cfRule>
    <cfRule type="cellIs" dxfId="9" priority="15" operator="equal">
      <formula>"Low"</formula>
    </cfRule>
  </conditionalFormatting>
  <conditionalFormatting sqref="AR19:AU19 AF19:AI19 T19:W19">
    <cfRule type="cellIs" dxfId="8" priority="7" operator="equal">
      <formula>"High"</formula>
    </cfRule>
    <cfRule type="cellIs" dxfId="7" priority="8" operator="equal">
      <formula>"Med"</formula>
    </cfRule>
    <cfRule type="cellIs" dxfId="6" priority="9" operator="equal">
      <formula>"Low"</formula>
    </cfRule>
  </conditionalFormatting>
  <conditionalFormatting sqref="AR20:AU21 AF20:AI21 T20:W21">
    <cfRule type="cellIs" dxfId="5" priority="4" operator="equal">
      <formula>"High"</formula>
    </cfRule>
    <cfRule type="cellIs" dxfId="4" priority="5" operator="equal">
      <formula>"Med"</formula>
    </cfRule>
    <cfRule type="cellIs" dxfId="3" priority="6" operator="equal">
      <formula>"Low"</formula>
    </cfRule>
  </conditionalFormatting>
  <pageMargins left="0.70866141732283472" right="0.70866141732283472" top="0.74803149606299213" bottom="0.74803149606299213" header="0.31496062992125984" footer="0.31496062992125984"/>
  <pageSetup paperSize="8" scale="41" fitToHeight="0"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3"/>
  <sheetViews>
    <sheetView zoomScaleNormal="100" workbookViewId="0">
      <selection activeCell="A16" sqref="A16:C16"/>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45" t="s">
        <v>209</v>
      </c>
      <c r="C1" s="145"/>
    </row>
    <row r="2" spans="1:3" x14ac:dyDescent="0.25">
      <c r="A2" s="3" t="s">
        <v>13</v>
      </c>
      <c r="B2" s="145" t="s">
        <v>201</v>
      </c>
      <c r="C2" s="145"/>
    </row>
    <row r="3" spans="1:3" x14ac:dyDescent="0.25">
      <c r="A3" s="3" t="s">
        <v>14</v>
      </c>
      <c r="B3" s="146" t="s">
        <v>279</v>
      </c>
      <c r="C3" s="146"/>
    </row>
    <row r="4" spans="1:3" x14ac:dyDescent="0.25">
      <c r="A4" s="3" t="s">
        <v>15</v>
      </c>
      <c r="B4" s="145" t="s">
        <v>203</v>
      </c>
      <c r="C4" s="145"/>
    </row>
    <row r="5" spans="1:3" x14ac:dyDescent="0.25">
      <c r="A5" s="3" t="s">
        <v>221</v>
      </c>
      <c r="B5" s="145" t="s">
        <v>207</v>
      </c>
      <c r="C5" s="145"/>
    </row>
    <row r="6" spans="1:3" s="9" customFormat="1" x14ac:dyDescent="0.25">
      <c r="A6" s="3" t="s">
        <v>218</v>
      </c>
      <c r="B6" s="143"/>
      <c r="C6" s="144"/>
    </row>
    <row r="7" spans="1:3" s="9" customFormat="1" x14ac:dyDescent="0.25">
      <c r="A7" s="3" t="s">
        <v>220</v>
      </c>
      <c r="B7" s="143"/>
      <c r="C7" s="144"/>
    </row>
    <row r="8" spans="1:3" s="9" customFormat="1" x14ac:dyDescent="0.25">
      <c r="A8" s="3" t="s">
        <v>219</v>
      </c>
      <c r="B8" s="143"/>
      <c r="C8" s="144"/>
    </row>
    <row r="9" spans="1:3" x14ac:dyDescent="0.25">
      <c r="A9" s="2"/>
      <c r="B9" s="2"/>
      <c r="C9" s="2"/>
    </row>
    <row r="10" spans="1:3" x14ac:dyDescent="0.25">
      <c r="A10" s="2"/>
      <c r="B10" s="2"/>
      <c r="C10" s="2"/>
    </row>
    <row r="11" spans="1:3" x14ac:dyDescent="0.25">
      <c r="A11" s="3" t="s">
        <v>14</v>
      </c>
      <c r="B11" s="3" t="s">
        <v>0</v>
      </c>
      <c r="C11" s="3" t="s">
        <v>16</v>
      </c>
    </row>
    <row r="12" spans="1:3" x14ac:dyDescent="0.25">
      <c r="A12" s="4" t="s">
        <v>204</v>
      </c>
      <c r="B12" s="5">
        <v>41673</v>
      </c>
      <c r="C12" s="6" t="s">
        <v>205</v>
      </c>
    </row>
    <row r="13" spans="1:3" x14ac:dyDescent="0.25">
      <c r="A13" s="6">
        <v>1.1000000000000001</v>
      </c>
      <c r="B13" s="5">
        <v>41716</v>
      </c>
      <c r="C13" s="6" t="s">
        <v>206</v>
      </c>
    </row>
    <row r="14" spans="1:3" x14ac:dyDescent="0.25">
      <c r="A14" s="52" t="s">
        <v>202</v>
      </c>
      <c r="B14" s="5">
        <v>41969</v>
      </c>
      <c r="C14" s="6" t="s">
        <v>208</v>
      </c>
    </row>
    <row r="15" spans="1:3" x14ac:dyDescent="0.25">
      <c r="A15" s="53">
        <v>2.1</v>
      </c>
      <c r="B15" s="5">
        <v>42401</v>
      </c>
      <c r="C15" s="7" t="s">
        <v>278</v>
      </c>
    </row>
    <row r="16" spans="1:3" x14ac:dyDescent="0.25">
      <c r="A16" s="54" t="s">
        <v>279</v>
      </c>
      <c r="B16" s="5">
        <v>42576</v>
      </c>
      <c r="C16" s="7" t="s">
        <v>280</v>
      </c>
    </row>
    <row r="17" spans="1:3" x14ac:dyDescent="0.25">
      <c r="A17" s="7"/>
      <c r="B17" s="7"/>
      <c r="C17" s="7"/>
    </row>
    <row r="18" spans="1:3" x14ac:dyDescent="0.25">
      <c r="A18" s="7"/>
      <c r="B18" s="7"/>
      <c r="C18" s="7"/>
    </row>
    <row r="19" spans="1:3" x14ac:dyDescent="0.25">
      <c r="A19" s="7"/>
      <c r="B19" s="7"/>
      <c r="C19" s="7"/>
    </row>
    <row r="23" spans="1:3" x14ac:dyDescent="0.25">
      <c r="A23" s="8" t="s">
        <v>17</v>
      </c>
    </row>
  </sheetData>
  <customSheetViews>
    <customSheetView guid="{84811DD3-6559-4831-BD04-E0626479DBCE}">
      <selection activeCell="C23" sqref="C23"/>
      <pageMargins left="0.7" right="0.7" top="0.75" bottom="0.75" header="0.3" footer="0.3"/>
      <pageSetup orientation="portrait" horizontalDpi="300" verticalDpi="300" r:id="rId1"/>
    </customSheetView>
    <customSheetView guid="{B34B7122-C738-4555-8537-3B6E30D60D80}">
      <selection activeCell="B14" sqref="B14"/>
      <pageMargins left="0.7" right="0.7" top="0.75" bottom="0.75" header="0.3" footer="0.3"/>
      <pageSetup orientation="portrait" horizontalDpi="300" verticalDpi="300" r:id="rId2"/>
    </customSheetView>
    <customSheetView guid="{5394EF70-363B-4A5A-8784-B29D58D73735}">
      <selection activeCell="B10" sqref="B10:C10"/>
      <pageMargins left="0.7" right="0.7" top="0.75" bottom="0.75" header="0.3" footer="0.3"/>
      <pageSetup orientation="portrait" horizontalDpi="300" verticalDpi="300" r:id="rId3"/>
    </customSheetView>
  </customSheetViews>
  <mergeCells count="8">
    <mergeCell ref="B8:C8"/>
    <mergeCell ref="B7:C7"/>
    <mergeCell ref="B6:C6"/>
    <mergeCell ref="B1:C1"/>
    <mergeCell ref="B2:C2"/>
    <mergeCell ref="B3:C3"/>
    <mergeCell ref="B4:C4"/>
    <mergeCell ref="B5:C5"/>
  </mergeCells>
  <pageMargins left="0.7" right="0.7" top="0.75" bottom="0.75" header="0.3" footer="0.3"/>
  <pageSetup orientation="portrait" horizontalDpi="300" verticalDpi="300"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9" customWidth="1"/>
    <col min="5" max="10" width="12.7109375" customWidth="1"/>
    <col min="11" max="11" width="12.7109375" style="9" customWidth="1"/>
    <col min="12" max="12" width="12.7109375" customWidth="1"/>
    <col min="13" max="13" width="12.7109375" style="9" customWidth="1"/>
    <col min="14" max="14" width="12.7109375" customWidth="1"/>
    <col min="15" max="15" width="12.7109375" style="9" customWidth="1"/>
    <col min="16" max="16" width="12.7109375" customWidth="1"/>
    <col min="17" max="17" width="12.7109375" style="9" customWidth="1"/>
    <col min="18" max="28" width="12.7109375" customWidth="1"/>
  </cols>
  <sheetData>
    <row r="2" spans="2:19" ht="18.75" x14ac:dyDescent="0.3">
      <c r="C2" s="174" t="str">
        <f>linkedPage!C2</f>
        <v>Risk = Occ + Sev</v>
      </c>
      <c r="D2" s="174"/>
      <c r="E2" s="174"/>
      <c r="F2" s="174"/>
      <c r="G2" s="174"/>
      <c r="H2" s="174"/>
      <c r="I2" s="174"/>
      <c r="J2" s="174"/>
      <c r="K2" s="174"/>
      <c r="L2" s="174"/>
      <c r="O2" t="str">
        <f>linkedPage!T2</f>
        <v>Note:</v>
      </c>
    </row>
    <row r="3" spans="2:19" ht="18.75" x14ac:dyDescent="0.3">
      <c r="B3" s="7"/>
      <c r="C3" s="173" t="str">
        <f>linkedPage!C3</f>
        <v>Severity</v>
      </c>
      <c r="D3" s="173"/>
      <c r="E3" s="173"/>
      <c r="F3" s="173"/>
      <c r="G3" s="173"/>
      <c r="H3" s="173"/>
      <c r="I3" s="173"/>
      <c r="J3" s="173"/>
      <c r="K3" s="173"/>
      <c r="L3" s="173"/>
      <c r="O3" s="9" t="str">
        <f>linkedPage!T3</f>
        <v>- 'set up' and 'linkedPage' are both linked to workbook 'FMECA Master v3.xlsx'</v>
      </c>
    </row>
    <row r="4" spans="2:19" ht="18.75" x14ac:dyDescent="0.3">
      <c r="B4" s="50" t="str">
        <f>IF(linkedPage!B4=0,"",linkedPage!B4)</f>
        <v>Occ</v>
      </c>
      <c r="C4" s="31">
        <f>IF(linkedPage!C4=0,"",linkedPage!C4)</f>
        <v>1</v>
      </c>
      <c r="D4" s="31">
        <f>IF(linkedPage!D4=0,"",linkedPage!D4)</f>
        <v>2</v>
      </c>
      <c r="E4" s="31">
        <f>IF(linkedPage!E4=0,"",linkedPage!E4)</f>
        <v>3</v>
      </c>
      <c r="F4" s="31">
        <f>IF(linkedPage!F4=0,"",linkedPage!F4)</f>
        <v>4</v>
      </c>
      <c r="G4" s="31">
        <f>IF(linkedPage!G4=0,"",linkedPage!G4)</f>
        <v>5</v>
      </c>
      <c r="H4" s="31">
        <f>IF(linkedPage!H4=0,"",linkedPage!H4)</f>
        <v>6</v>
      </c>
      <c r="I4" s="31">
        <f>IF(linkedPage!I4=0,"",linkedPage!I4)</f>
        <v>7</v>
      </c>
      <c r="J4" s="31">
        <f>IF(linkedPage!J4=0,"",linkedPage!J4)</f>
        <v>8</v>
      </c>
      <c r="K4" s="31">
        <f>IF(linkedPage!K4=0,"",linkedPage!K4)</f>
        <v>9</v>
      </c>
      <c r="L4" s="31">
        <f>IF(linkedPage!L4=0,"",linkedPage!L4)</f>
        <v>10</v>
      </c>
      <c r="M4" s="9" t="str">
        <f>IF(linkedPage!M4=0,"",linkedPage!M4)</f>
        <v/>
      </c>
      <c r="N4" t="str">
        <f>IF(linkedPage!N4=0,"",linkedPage!N4)</f>
        <v/>
      </c>
      <c r="O4" s="9" t="str">
        <f>linkedPage!T4</f>
        <v>- changes to the tables, risk scores, etc must be made in 'FMECA Master v3.xlsx'</v>
      </c>
      <c r="P4" s="9"/>
    </row>
    <row r="5" spans="2:19" s="9" customFormat="1" x14ac:dyDescent="0.25">
      <c r="B5" s="31">
        <f>IF(linkedPage!B5=0,"",linkedPage!B5)</f>
        <v>10</v>
      </c>
      <c r="C5" s="7" t="str">
        <f>IF(linkedPage!C5=0,"",linkedPage!C5)</f>
        <v>Low</v>
      </c>
      <c r="D5" s="7" t="str">
        <f>IF(linkedPage!D5=0,"",linkedPage!D5)</f>
        <v>Med</v>
      </c>
      <c r="E5" s="7" t="str">
        <f>IF(linkedPage!E5=0,"",linkedPage!E5)</f>
        <v>Med</v>
      </c>
      <c r="F5" s="7" t="str">
        <f>IF(linkedPage!F5=0,"",linkedPage!F5)</f>
        <v>Med</v>
      </c>
      <c r="G5" s="7" t="str">
        <f>IF(linkedPage!G5=0,"",linkedPage!G5)</f>
        <v>Med</v>
      </c>
      <c r="H5" s="7" t="str">
        <f>IF(linkedPage!H5=0,"",linkedPage!H5)</f>
        <v>High</v>
      </c>
      <c r="I5" s="7" t="str">
        <f>IF(linkedPage!I5=0,"",linkedPage!I5)</f>
        <v>High</v>
      </c>
      <c r="J5" s="7" t="str">
        <f>IF(linkedPage!J5=0,"",linkedPage!J5)</f>
        <v>High</v>
      </c>
      <c r="K5" s="7" t="str">
        <f>IF(linkedPage!K5=0,"",linkedPage!K5)</f>
        <v>High</v>
      </c>
      <c r="L5" s="7" t="str">
        <f>IF(linkedPage!L5=0,"",linkedPage!L5)</f>
        <v>High</v>
      </c>
      <c r="M5" s="9" t="str">
        <f>IF(linkedPage!M5=0,"",linkedPage!M5)</f>
        <v/>
      </c>
      <c r="N5" t="str">
        <f>IF(linkedPage!N5=0,"",linkedPage!N5)</f>
        <v/>
      </c>
      <c r="O5" s="9" t="str">
        <f>IF(linkedPage!O5=0,"",linkedPage!O5)</f>
        <v/>
      </c>
    </row>
    <row r="6" spans="2:19" s="9" customFormat="1" ht="16.5" x14ac:dyDescent="0.35">
      <c r="B6" s="31">
        <f>IF(linkedPage!B6=0,"",linkedPage!B6)</f>
        <v>9</v>
      </c>
      <c r="C6" s="7" t="str">
        <f>IF(linkedPage!C6=0,"",linkedPage!C6)</f>
        <v>Low</v>
      </c>
      <c r="D6" s="7" t="str">
        <f>IF(linkedPage!D6=0,"",linkedPage!D6)</f>
        <v>Low</v>
      </c>
      <c r="E6" s="7" t="str">
        <f>IF(linkedPage!E6=0,"",linkedPage!E6)</f>
        <v>Med</v>
      </c>
      <c r="F6" s="7" t="str">
        <f>IF(linkedPage!F6=0,"",linkedPage!F6)</f>
        <v>Med</v>
      </c>
      <c r="G6" s="7" t="str">
        <f>IF(linkedPage!G6=0,"",linkedPage!G6)</f>
        <v>Med</v>
      </c>
      <c r="H6" s="7" t="str">
        <f>IF(linkedPage!H6=0,"",linkedPage!H6)</f>
        <v>Med</v>
      </c>
      <c r="I6" s="7" t="str">
        <f>IF(linkedPage!I6=0,"",linkedPage!I6)</f>
        <v>High</v>
      </c>
      <c r="J6" s="7" t="str">
        <f>IF(linkedPage!J6=0,"",linkedPage!J6)</f>
        <v>High</v>
      </c>
      <c r="K6" s="7" t="str">
        <f>IF(linkedPage!K6=0,"",linkedPage!K6)</f>
        <v>High</v>
      </c>
      <c r="L6" s="7" t="str">
        <f>IF(linkedPage!L6=0,"",linkedPage!L6)</f>
        <v>High</v>
      </c>
      <c r="M6" s="20" t="str">
        <f>IF(linkedPage!M6=0,"",linkedPage!M6)</f>
        <v>low &lt;=</v>
      </c>
      <c r="N6" s="2">
        <f>IF(linkedPage!N6=0,"",linkedPage!N6)</f>
        <v>11</v>
      </c>
      <c r="O6" s="9" t="str">
        <f>IF(linkedPage!O6=0,"",linkedPage!O6)</f>
        <v/>
      </c>
    </row>
    <row r="7" spans="2:19" s="9" customFormat="1" ht="16.5" x14ac:dyDescent="0.35">
      <c r="B7" s="31">
        <f>IF(linkedPage!B7=0,"",linkedPage!B7)</f>
        <v>8</v>
      </c>
      <c r="C7" s="7" t="str">
        <f>IF(linkedPage!C7=0,"",linkedPage!C7)</f>
        <v>Low</v>
      </c>
      <c r="D7" s="7" t="str">
        <f>IF(linkedPage!D7=0,"",linkedPage!D7)</f>
        <v>Low</v>
      </c>
      <c r="E7" s="7" t="str">
        <f>IF(linkedPage!E7=0,"",linkedPage!E7)</f>
        <v>Low</v>
      </c>
      <c r="F7" s="7" t="str">
        <f>IF(linkedPage!F7=0,"",linkedPage!F7)</f>
        <v>Med</v>
      </c>
      <c r="G7" s="7" t="str">
        <f>IF(linkedPage!G7=0,"",linkedPage!G7)</f>
        <v>Med</v>
      </c>
      <c r="H7" s="7" t="str">
        <f>IF(linkedPage!H7=0,"",linkedPage!H7)</f>
        <v>Med</v>
      </c>
      <c r="I7" s="7" t="str">
        <f>IF(linkedPage!I7=0,"",linkedPage!I7)</f>
        <v>Med</v>
      </c>
      <c r="J7" s="7" t="str">
        <f>IF(linkedPage!J7=0,"",linkedPage!J7)</f>
        <v>High</v>
      </c>
      <c r="K7" s="7" t="str">
        <f>IF(linkedPage!K7=0,"",linkedPage!K7)</f>
        <v>High</v>
      </c>
      <c r="L7" s="7" t="str">
        <f>IF(linkedPage!L7=0,"",linkedPage!L7)</f>
        <v>High</v>
      </c>
      <c r="M7" s="20" t="str">
        <f>IF(linkedPage!M7=0,"",linkedPage!M7)</f>
        <v>high&gt;</v>
      </c>
      <c r="N7" s="2">
        <f>IF(linkedPage!N7=0,"",linkedPage!N7)</f>
        <v>15</v>
      </c>
      <c r="O7" s="9" t="str">
        <f>IF(linkedPage!O7=0,"",linkedPage!O7)</f>
        <v/>
      </c>
    </row>
    <row r="8" spans="2:19" s="9" customFormat="1" x14ac:dyDescent="0.25">
      <c r="B8" s="31">
        <f>IF(linkedPage!B8=0,"",linkedPage!B8)</f>
        <v>7</v>
      </c>
      <c r="C8" s="7" t="str">
        <f>IF(linkedPage!C8=0,"",linkedPage!C8)</f>
        <v>Low</v>
      </c>
      <c r="D8" s="7" t="str">
        <f>IF(linkedPage!D8=0,"",linkedPage!D8)</f>
        <v>Low</v>
      </c>
      <c r="E8" s="7" t="str">
        <f>IF(linkedPage!E8=0,"",linkedPage!E8)</f>
        <v>Low</v>
      </c>
      <c r="F8" s="7" t="str">
        <f>IF(linkedPage!F8=0,"",linkedPage!F8)</f>
        <v>Low</v>
      </c>
      <c r="G8" s="7" t="str">
        <f>IF(linkedPage!G8=0,"",linkedPage!G8)</f>
        <v>Med</v>
      </c>
      <c r="H8" s="7" t="str">
        <f>IF(linkedPage!H8=0,"",linkedPage!H8)</f>
        <v>Med</v>
      </c>
      <c r="I8" s="7" t="str">
        <f>IF(linkedPage!I8=0,"",linkedPage!I8)</f>
        <v>Med</v>
      </c>
      <c r="J8" s="7" t="str">
        <f>IF(linkedPage!J8=0,"",linkedPage!J8)</f>
        <v>Med</v>
      </c>
      <c r="K8" s="7" t="str">
        <f>IF(linkedPage!K8=0,"",linkedPage!K8)</f>
        <v>High</v>
      </c>
      <c r="L8" s="7" t="str">
        <f>IF(linkedPage!L8=0,"",linkedPage!L8)</f>
        <v>High</v>
      </c>
      <c r="M8" s="9" t="str">
        <f>IF(linkedPage!M8=0,"",linkedPage!M8)</f>
        <v/>
      </c>
      <c r="N8" t="str">
        <f>IF(linkedPage!N8=0,"",linkedPage!N8)</f>
        <v/>
      </c>
      <c r="O8" s="9" t="str">
        <f>IF(linkedPage!O8=0,"",linkedPage!O8)</f>
        <v/>
      </c>
    </row>
    <row r="9" spans="2:19" s="9" customFormat="1" x14ac:dyDescent="0.25">
      <c r="B9" s="31">
        <f>IF(linkedPage!B9=0,"",linkedPage!B9)</f>
        <v>6</v>
      </c>
      <c r="C9" s="7" t="str">
        <f>IF(linkedPage!C9=0,"",linkedPage!C9)</f>
        <v>Low</v>
      </c>
      <c r="D9" s="7" t="str">
        <f>IF(linkedPage!D9=0,"",linkedPage!D9)</f>
        <v>Low</v>
      </c>
      <c r="E9" s="7" t="str">
        <f>IF(linkedPage!E9=0,"",linkedPage!E9)</f>
        <v>Low</v>
      </c>
      <c r="F9" s="7" t="str">
        <f>IF(linkedPage!F9=0,"",linkedPage!F9)</f>
        <v>Low</v>
      </c>
      <c r="G9" s="7" t="str">
        <f>IF(linkedPage!G9=0,"",linkedPage!G9)</f>
        <v>Low</v>
      </c>
      <c r="H9" s="7" t="str">
        <f>IF(linkedPage!H9=0,"",linkedPage!H9)</f>
        <v>Med</v>
      </c>
      <c r="I9" s="7" t="str">
        <f>IF(linkedPage!I9=0,"",linkedPage!I9)</f>
        <v>Med</v>
      </c>
      <c r="J9" s="7" t="str">
        <f>IF(linkedPage!J9=0,"",linkedPage!J9)</f>
        <v>Med</v>
      </c>
      <c r="K9" s="7" t="str">
        <f>IF(linkedPage!K9=0,"",linkedPage!K9)</f>
        <v>Med</v>
      </c>
      <c r="L9" s="7" t="str">
        <f>IF(linkedPage!L9=0,"",linkedPage!L9)</f>
        <v>High</v>
      </c>
      <c r="M9" s="9" t="str">
        <f>IF(linkedPage!M9=0,"",linkedPage!M9)</f>
        <v/>
      </c>
      <c r="N9" t="str">
        <f>IF(linkedPage!N9=0,"",linkedPage!N9)</f>
        <v/>
      </c>
      <c r="O9" s="9" t="str">
        <f>IF(linkedPage!O9=0,"",linkedPage!O9)</f>
        <v/>
      </c>
    </row>
    <row r="10" spans="2:19" s="9" customFormat="1" x14ac:dyDescent="0.25">
      <c r="B10" s="31">
        <f>IF(linkedPage!B10=0,"",linkedPage!B10)</f>
        <v>5</v>
      </c>
      <c r="C10" s="7" t="str">
        <f>IF(linkedPage!C10=0,"",linkedPage!C10)</f>
        <v>Low</v>
      </c>
      <c r="D10" s="7" t="str">
        <f>IF(linkedPage!D10=0,"",linkedPage!D10)</f>
        <v>Low</v>
      </c>
      <c r="E10" s="7" t="str">
        <f>IF(linkedPage!E10=0,"",linkedPage!E10)</f>
        <v>Low</v>
      </c>
      <c r="F10" s="7" t="str">
        <f>IF(linkedPage!F10=0,"",linkedPage!F10)</f>
        <v>Low</v>
      </c>
      <c r="G10" s="7" t="str">
        <f>IF(linkedPage!G10=0,"",linkedPage!G10)</f>
        <v>Low</v>
      </c>
      <c r="H10" s="7" t="str">
        <f>IF(linkedPage!H10=0,"",linkedPage!H10)</f>
        <v>Low</v>
      </c>
      <c r="I10" s="7" t="str">
        <f>IF(linkedPage!I10=0,"",linkedPage!I10)</f>
        <v>Med</v>
      </c>
      <c r="J10" s="7" t="str">
        <f>IF(linkedPage!J10=0,"",linkedPage!J10)</f>
        <v>Med</v>
      </c>
      <c r="K10" s="7" t="str">
        <f>IF(linkedPage!K10=0,"",linkedPage!K10)</f>
        <v>Med</v>
      </c>
      <c r="L10" s="7" t="str">
        <f>IF(linkedPage!L10=0,"",linkedPage!L10)</f>
        <v>Med</v>
      </c>
      <c r="M10" s="9" t="str">
        <f>IF(linkedPage!M10=0,"",linkedPage!M10)</f>
        <v/>
      </c>
      <c r="N10" s="9" t="str">
        <f>IF(linkedPage!N10=0,"",linkedPage!N10)</f>
        <v/>
      </c>
      <c r="O10" s="9" t="str">
        <f>IF(linkedPage!O10=0,"",linkedPage!O10)</f>
        <v/>
      </c>
    </row>
    <row r="11" spans="2:19" s="9" customFormat="1" x14ac:dyDescent="0.25">
      <c r="B11" s="31">
        <f>IF(linkedPage!B11=0,"",linkedPage!B11)</f>
        <v>4</v>
      </c>
      <c r="C11" s="7" t="str">
        <f>IF(linkedPage!C11=0,"",linkedPage!C11)</f>
        <v>Low</v>
      </c>
      <c r="D11" s="7" t="str">
        <f>IF(linkedPage!D11=0,"",linkedPage!D11)</f>
        <v>Low</v>
      </c>
      <c r="E11" s="7" t="str">
        <f>IF(linkedPage!E11=0,"",linkedPage!E11)</f>
        <v>Low</v>
      </c>
      <c r="F11" s="7" t="str">
        <f>IF(linkedPage!F11=0,"",linkedPage!F11)</f>
        <v>Low</v>
      </c>
      <c r="G11" s="7" t="str">
        <f>IF(linkedPage!G11=0,"",linkedPage!G11)</f>
        <v>Low</v>
      </c>
      <c r="H11" s="7" t="str">
        <f>IF(linkedPage!H11=0,"",linkedPage!H11)</f>
        <v>Low</v>
      </c>
      <c r="I11" s="7" t="str">
        <f>IF(linkedPage!I11=0,"",linkedPage!I11)</f>
        <v>Low</v>
      </c>
      <c r="J11" s="7" t="str">
        <f>IF(linkedPage!J11=0,"",linkedPage!J11)</f>
        <v>Med</v>
      </c>
      <c r="K11" s="7" t="str">
        <f>IF(linkedPage!K11=0,"",linkedPage!K11)</f>
        <v>Med</v>
      </c>
      <c r="L11" s="7" t="str">
        <f>IF(linkedPage!L11=0,"",linkedPage!L11)</f>
        <v>Med</v>
      </c>
      <c r="M11" s="9" t="str">
        <f>IF(linkedPage!M11=0,"",linkedPage!M11)</f>
        <v/>
      </c>
      <c r="N11" s="17" t="str">
        <f>IF(linkedPage!N11=0,"",linkedPage!N11)</f>
        <v>Low</v>
      </c>
      <c r="O11" s="19" t="str">
        <f>IF(linkedPage!O11=0,"",linkedPage!O11)</f>
        <v>Tolerable, no engineer action required</v>
      </c>
    </row>
    <row r="12" spans="2:19" s="9" customFormat="1" x14ac:dyDescent="0.25">
      <c r="B12" s="31">
        <f>IF(linkedPage!B12=0,"",linkedPage!B12)</f>
        <v>3</v>
      </c>
      <c r="C12" s="7" t="str">
        <f>IF(linkedPage!C12=0,"",linkedPage!C12)</f>
        <v>Low</v>
      </c>
      <c r="D12" s="7" t="str">
        <f>IF(linkedPage!D12=0,"",linkedPage!D12)</f>
        <v>Low</v>
      </c>
      <c r="E12" s="7" t="str">
        <f>IF(linkedPage!E12=0,"",linkedPage!E12)</f>
        <v>Low</v>
      </c>
      <c r="F12" s="7" t="str">
        <f>IF(linkedPage!F12=0,"",linkedPage!F12)</f>
        <v>Low</v>
      </c>
      <c r="G12" s="7" t="str">
        <f>IF(linkedPage!G12=0,"",linkedPage!G12)</f>
        <v>Low</v>
      </c>
      <c r="H12" s="7" t="str">
        <f>IF(linkedPage!H12=0,"",linkedPage!H12)</f>
        <v>Low</v>
      </c>
      <c r="I12" s="7" t="str">
        <f>IF(linkedPage!I12=0,"",linkedPage!I12)</f>
        <v>Low</v>
      </c>
      <c r="J12" s="7" t="str">
        <f>IF(linkedPage!J12=0,"",linkedPage!J12)</f>
        <v>Low</v>
      </c>
      <c r="K12" s="7" t="str">
        <f>IF(linkedPage!K12=0,"",linkedPage!K12)</f>
        <v>Med</v>
      </c>
      <c r="L12" s="7" t="str">
        <f>IF(linkedPage!L12=0,"",linkedPage!L12)</f>
        <v>Med</v>
      </c>
      <c r="M12" s="9" t="str">
        <f>IF(linkedPage!M12=0,"",linkedPage!M12)</f>
        <v/>
      </c>
      <c r="N12" s="15" t="str">
        <f>IF(linkedPage!N12=0,"",linkedPage!N12)</f>
        <v>Med</v>
      </c>
      <c r="O12" s="19" t="str">
        <f>IF(linkedPage!O12=0,"",linkedPage!O12)</f>
        <v>Undesirable, consider engineer actions to mitigate risk</v>
      </c>
    </row>
    <row r="13" spans="2:19" s="9" customFormat="1" x14ac:dyDescent="0.25">
      <c r="B13" s="31">
        <f>IF(linkedPage!B13=0,"",linkedPage!B13)</f>
        <v>2</v>
      </c>
      <c r="C13" s="7" t="str">
        <f>IF(linkedPage!C13=0,"",linkedPage!C13)</f>
        <v>Low</v>
      </c>
      <c r="D13" s="7" t="str">
        <f>IF(linkedPage!D13=0,"",linkedPage!D13)</f>
        <v>Low</v>
      </c>
      <c r="E13" s="7" t="str">
        <f>IF(linkedPage!E13=0,"",linkedPage!E13)</f>
        <v>Low</v>
      </c>
      <c r="F13" s="7" t="str">
        <f>IF(linkedPage!F13=0,"",linkedPage!F13)</f>
        <v>Low</v>
      </c>
      <c r="G13" s="7" t="str">
        <f>IF(linkedPage!G13=0,"",linkedPage!G13)</f>
        <v>Low</v>
      </c>
      <c r="H13" s="7" t="str">
        <f>IF(linkedPage!H13=0,"",linkedPage!H13)</f>
        <v>Low</v>
      </c>
      <c r="I13" s="7" t="str">
        <f>IF(linkedPage!I13=0,"",linkedPage!I13)</f>
        <v>Low</v>
      </c>
      <c r="J13" s="7" t="str">
        <f>IF(linkedPage!J13=0,"",linkedPage!J13)</f>
        <v>Low</v>
      </c>
      <c r="K13" s="7" t="str">
        <f>IF(linkedPage!K13=0,"",linkedPage!K13)</f>
        <v>Low</v>
      </c>
      <c r="L13" s="7" t="str">
        <f>IF(linkedPage!L13=0,"",linkedPage!L13)</f>
        <v>Med</v>
      </c>
      <c r="M13" s="9" t="str">
        <f>IF(linkedPage!M13=0,"",linkedPage!M13)</f>
        <v/>
      </c>
      <c r="N13" s="18" t="str">
        <f>IF(linkedPage!N13=0,"",linkedPage!N13)</f>
        <v>High</v>
      </c>
      <c r="O13" s="19" t="str">
        <f>IF(linkedPage!O13=0,"",linkedPage!O13)</f>
        <v>Intolerable, engineering action required</v>
      </c>
    </row>
    <row r="14" spans="2:19" s="9" customFormat="1" x14ac:dyDescent="0.25">
      <c r="B14" s="31">
        <f>IF(linkedPage!B14=0,"",linkedPage!B14)</f>
        <v>1</v>
      </c>
      <c r="C14" s="7" t="str">
        <f>IF(linkedPage!C14=0,"",linkedPage!C14)</f>
        <v>Low</v>
      </c>
      <c r="D14" s="7" t="str">
        <f>IF(linkedPage!D14=0,"",linkedPage!D14)</f>
        <v>Low</v>
      </c>
      <c r="E14" s="7" t="str">
        <f>IF(linkedPage!E14=0,"",linkedPage!E14)</f>
        <v>Low</v>
      </c>
      <c r="F14" s="7" t="str">
        <f>IF(linkedPage!F14=0,"",linkedPage!F14)</f>
        <v>Low</v>
      </c>
      <c r="G14" s="7" t="str">
        <f>IF(linkedPage!G14=0,"",linkedPage!G14)</f>
        <v>Low</v>
      </c>
      <c r="H14" s="7" t="str">
        <f>IF(linkedPage!H14=0,"",linkedPage!H14)</f>
        <v>Low</v>
      </c>
      <c r="I14" s="7" t="str">
        <f>IF(linkedPage!I14=0,"",linkedPage!I14)</f>
        <v>Low</v>
      </c>
      <c r="J14" s="7" t="str">
        <f>IF(linkedPage!J14=0,"",linkedPage!J14)</f>
        <v>Low</v>
      </c>
      <c r="K14" s="7" t="str">
        <f>IF(linkedPage!K14=0,"",linkedPage!K14)</f>
        <v>Low</v>
      </c>
      <c r="L14" s="7" t="str">
        <f>IF(linkedPage!L14=0,"",linkedPage!L14)</f>
        <v>Low</v>
      </c>
      <c r="M14" s="9" t="str">
        <f>IF(linkedPage!M14=0,"",linkedPage!M14)</f>
        <v/>
      </c>
      <c r="N14" t="str">
        <f>IF(linkedPage!N14=0,"",linkedPage!N14)</f>
        <v/>
      </c>
      <c r="O14" s="9" t="str">
        <f>IF(linkedPage!O14=0,"",linkedPage!O14)</f>
        <v/>
      </c>
    </row>
    <row r="16" spans="2:19" ht="19.5" thickBot="1" x14ac:dyDescent="0.35">
      <c r="B16" s="44" t="str">
        <f>IF(linkedPage!B16=0,"",linkedPage!B16)</f>
        <v>Occurrence</v>
      </c>
      <c r="C16" s="45"/>
      <c r="D16" s="45"/>
      <c r="E16" s="45"/>
      <c r="F16" s="45"/>
      <c r="H16" s="44" t="str">
        <f>IF(linkedPage!H16=0,"",linkedPage!H16)</f>
        <v>Severity</v>
      </c>
      <c r="I16" s="45"/>
      <c r="J16" s="45"/>
      <c r="K16" s="45"/>
      <c r="L16" s="45"/>
      <c r="M16" s="45"/>
      <c r="N16" s="45"/>
      <c r="O16" s="45"/>
      <c r="P16" s="45"/>
      <c r="Q16" s="45"/>
      <c r="R16" s="27"/>
      <c r="S16" s="27"/>
    </row>
    <row r="17" spans="1:23" ht="57" thickBot="1" x14ac:dyDescent="0.35">
      <c r="B17" s="46" t="str">
        <f>IF(linkedPage!B17=0,"",linkedPage!B17)</f>
        <v>Rating</v>
      </c>
      <c r="C17" s="165" t="str">
        <f>IF(linkedPage!C17=0,"",linkedPage!C17)</f>
        <v>Occurrence</v>
      </c>
      <c r="D17" s="166" t="str">
        <f>IF(linkedPage!D17=0,"",linkedPage!D17)</f>
        <v/>
      </c>
      <c r="E17" s="46" t="str">
        <f>IF(linkedPage!E17=0,"",linkedPage!E17)</f>
        <v>Annual Failure Rate</v>
      </c>
      <c r="F17" s="47" t="str">
        <f>IF(linkedPage!F17=0,"",linkedPage!F17)</f>
        <v>Return Period [years]</v>
      </c>
      <c r="G17" s="11"/>
      <c r="H17" s="48" t="str">
        <f>IF(linkedPage!H17=0,"",linkedPage!H17)</f>
        <v>Rating</v>
      </c>
      <c r="I17" s="49" t="str">
        <f>IF(linkedPage!I17=0,"",linkedPage!I17)</f>
        <v>Severity</v>
      </c>
      <c r="J17" s="171" t="str">
        <f>IF(linkedPage!J17=0,"",linkedPage!J17)</f>
        <v>Human Safety</v>
      </c>
      <c r="K17" s="164" t="str">
        <f>IF(linkedPage!K17=0,"",linkedPage!K17)</f>
        <v/>
      </c>
      <c r="L17" s="171" t="str">
        <f>IF(linkedPage!L17=0,"",linkedPage!L17)</f>
        <v>Environment</v>
      </c>
      <c r="M17" s="172" t="str">
        <f>IF(linkedPage!M17=0,"",linkedPage!M17)</f>
        <v/>
      </c>
      <c r="N17" s="163" t="str">
        <f>IF(linkedPage!N17=0,"",linkedPage!N17)</f>
        <v>WEC Operation</v>
      </c>
      <c r="O17" s="164" t="str">
        <f>IF(linkedPage!O17=0,"",linkedPage!O17)</f>
        <v/>
      </c>
      <c r="P17" s="167" t="str">
        <f>IF(linkedPage!P17=0,"",linkedPage!P17)</f>
        <v xml:space="preserve">Assets </v>
      </c>
      <c r="Q17" s="168" t="str">
        <f>IF(linkedPage!Q17=0,"",linkedPage!Q17)</f>
        <v/>
      </c>
      <c r="R17" s="28"/>
      <c r="S17" s="27"/>
    </row>
    <row r="18" spans="1:23" ht="42.75" customHeight="1" x14ac:dyDescent="0.25">
      <c r="A18" s="9"/>
      <c r="B18" s="14">
        <f>IF(linkedPage!B18=0,"",linkedPage!B18)</f>
        <v>1</v>
      </c>
      <c r="C18" s="175" t="str">
        <f>IF(linkedPage!C18=0,"",linkedPage!C18)</f>
        <v>Exceptionally unlikely to occur</v>
      </c>
      <c r="D18" s="176" t="str">
        <f>IF(linkedPage!D18=0,"",linkedPage!D18)</f>
        <v/>
      </c>
      <c r="E18" s="32">
        <f>IF(linkedPage!E18=0,"",linkedPage!E18)</f>
        <v>1.0000000000000001E-5</v>
      </c>
      <c r="F18" s="40">
        <f>IF(linkedPage!F18=0,"",linkedPage!F18)</f>
        <v>100000</v>
      </c>
      <c r="G18" s="11"/>
      <c r="H18" s="26">
        <f>IF(linkedPage!H18=0,"",linkedPage!H18)</f>
        <v>1</v>
      </c>
      <c r="I18" s="24" t="str">
        <f>IF(linkedPage!I18=0,"",linkedPage!I18)</f>
        <v>Insignificant</v>
      </c>
      <c r="J18" s="151" t="str">
        <f>IF(linkedPage!J18=0,"",linkedPage!J18)</f>
        <v>Negligible injury, effect on health (e.g. band aid)</v>
      </c>
      <c r="K18" s="170" t="str">
        <f>IF(linkedPage!K18=0,"",linkedPage!K18)</f>
        <v/>
      </c>
      <c r="L18" s="151" t="str">
        <f>IF(linkedPage!L18=0,"",linkedPage!L18)</f>
        <v>Negligible pollution or no effect on environment</v>
      </c>
      <c r="M18" s="152" t="str">
        <f>IF(linkedPage!M18=0,"",linkedPage!M18)</f>
        <v/>
      </c>
      <c r="N18" s="169" t="str">
        <f>IF(linkedPage!N18=0,"",linkedPage!N18)</f>
        <v>Negligible effect on performance</v>
      </c>
      <c r="O18" s="170" t="str">
        <f>IF(linkedPage!O18=0,"",linkedPage!O18)</f>
        <v/>
      </c>
      <c r="P18" s="151" t="str">
        <f>IF(linkedPage!P18=0,"",linkedPage!P18)</f>
        <v>Negligible</v>
      </c>
      <c r="Q18" s="152" t="str">
        <f>IF(linkedPage!Q18=0,"",linkedPage!Q18)</f>
        <v/>
      </c>
      <c r="R18" s="29"/>
      <c r="S18" s="27"/>
      <c r="U18" s="9"/>
    </row>
    <row r="19" spans="1:23" ht="42.75" customHeight="1" x14ac:dyDescent="0.25">
      <c r="A19" s="9"/>
      <c r="B19" s="12">
        <f>IF(linkedPage!B19=0,"",linkedPage!B19)</f>
        <v>2</v>
      </c>
      <c r="C19" s="157" t="str">
        <f>IF(linkedPage!C19=0,"",linkedPage!C19)</f>
        <v/>
      </c>
      <c r="D19" s="158" t="str">
        <f>IF(linkedPage!D19=0,"",linkedPage!D19)</f>
        <v/>
      </c>
      <c r="E19" s="33">
        <f>IF(linkedPage!E19=0,"",linkedPage!E19)</f>
        <v>3.1622776601683789E-5</v>
      </c>
      <c r="F19" s="41">
        <f>IF(linkedPage!F19=0,"",linkedPage!F19)</f>
        <v>31600</v>
      </c>
      <c r="G19" s="11"/>
      <c r="H19" s="12">
        <f>IF(linkedPage!H19=0,"",linkedPage!H19)</f>
        <v>2</v>
      </c>
      <c r="I19" s="25" t="str">
        <f>IF(linkedPage!I19=0,"",linkedPage!I19)</f>
        <v/>
      </c>
      <c r="J19" s="153" t="str">
        <f>IF(linkedPage!J19=0,"",linkedPage!J19)</f>
        <v/>
      </c>
      <c r="K19" s="148" t="str">
        <f>IF(linkedPage!K19=0,"",linkedPage!K19)</f>
        <v/>
      </c>
      <c r="L19" s="153" t="str">
        <f>IF(linkedPage!L19=0,"",linkedPage!L19)</f>
        <v/>
      </c>
      <c r="M19" s="154" t="str">
        <f>IF(linkedPage!M19=0,"",linkedPage!M19)</f>
        <v/>
      </c>
      <c r="N19" s="147" t="str">
        <f>IF(linkedPage!N19=0,"",linkedPage!N19)</f>
        <v/>
      </c>
      <c r="O19" s="148" t="str">
        <f>IF(linkedPage!O19=0,"",linkedPage!O19)</f>
        <v/>
      </c>
      <c r="P19" s="153" t="str">
        <f>IF(linkedPage!P19=0,"",linkedPage!P19)</f>
        <v>[1.5k USD]</v>
      </c>
      <c r="Q19" s="154" t="str">
        <f>IF(linkedPage!Q19=0,"",linkedPage!Q19)</f>
        <v/>
      </c>
      <c r="R19" s="29"/>
      <c r="S19" s="27"/>
    </row>
    <row r="20" spans="1:23" ht="42.75" customHeight="1" x14ac:dyDescent="0.25">
      <c r="A20" s="9"/>
      <c r="B20" s="12">
        <f>IF(linkedPage!B20=0,"",linkedPage!B20)</f>
        <v>3</v>
      </c>
      <c r="C20" s="157" t="str">
        <f>IF(linkedPage!C20=0,"",linkedPage!C20)</f>
        <v>Extremely unlikely to occur</v>
      </c>
      <c r="D20" s="158" t="str">
        <f>IF(linkedPage!D20=0,"",linkedPage!D20)</f>
        <v/>
      </c>
      <c r="E20" s="34">
        <f>IF(linkedPage!E20=0,"",linkedPage!E20)</f>
        <v>1E-4</v>
      </c>
      <c r="F20" s="41">
        <f>IF(linkedPage!F20=0,"",linkedPage!F20)</f>
        <v>10000</v>
      </c>
      <c r="G20" s="11"/>
      <c r="H20" s="12">
        <f>IF(linkedPage!H20=0,"",linkedPage!H20)</f>
        <v>3</v>
      </c>
      <c r="I20" s="25" t="str">
        <f>IF(linkedPage!I20=0,"",linkedPage!I20)</f>
        <v>Minor</v>
      </c>
      <c r="J20" s="153" t="str">
        <f>IF(linkedPage!J20=0,"",linkedPage!J20)</f>
        <v>Minor injuries, health effects (e.g. stitches)</v>
      </c>
      <c r="K20" s="148" t="str">
        <f>IF(linkedPage!K20=0,"",linkedPage!K20)</f>
        <v/>
      </c>
      <c r="L20" s="153" t="str">
        <f>IF(linkedPage!L20=0,"",linkedPage!L20)</f>
        <v>Minor pollution / slight effect on environment (min disruption on marine life)</v>
      </c>
      <c r="M20" s="154" t="str">
        <f>IF(linkedPage!M20=0,"",linkedPage!M20)</f>
        <v/>
      </c>
      <c r="N20" s="147" t="str">
        <f>IF(linkedPage!N20=0,"",linkedPage!N20)</f>
        <v>Minor system degradation</v>
      </c>
      <c r="O20" s="148" t="str">
        <f>IF(linkedPage!O20=0,"",linkedPage!O20)</f>
        <v/>
      </c>
      <c r="P20" s="153" t="str">
        <f>IF(linkedPage!P20=0,"",linkedPage!P20)</f>
        <v>Repairable in-situ, at next maintenance interval 
[5k USD]</v>
      </c>
      <c r="Q20" s="154" t="str">
        <f>IF(linkedPage!Q20=0,"",linkedPage!Q20)</f>
        <v/>
      </c>
      <c r="R20" s="29"/>
      <c r="S20" s="27"/>
      <c r="U20" s="9"/>
    </row>
    <row r="21" spans="1:23" ht="42.75" customHeight="1" x14ac:dyDescent="0.25">
      <c r="A21" s="9"/>
      <c r="B21" s="12">
        <f>IF(linkedPage!B21=0,"",linkedPage!B21)</f>
        <v>4</v>
      </c>
      <c r="C21" s="157" t="str">
        <f>IF(linkedPage!C21=0,"",linkedPage!C21)</f>
        <v/>
      </c>
      <c r="D21" s="158" t="str">
        <f>IF(linkedPage!D21=0,"",linkedPage!D21)</f>
        <v/>
      </c>
      <c r="E21" s="34">
        <f>IF(linkedPage!E21=0,"",linkedPage!E21)</f>
        <v>3.1622776601683789E-4</v>
      </c>
      <c r="F21" s="41">
        <f>IF(linkedPage!F21=0,"",linkedPage!F21)</f>
        <v>3160</v>
      </c>
      <c r="G21" s="11"/>
      <c r="H21" s="12">
        <f>IF(linkedPage!H21=0,"",linkedPage!H21)</f>
        <v>4</v>
      </c>
      <c r="I21" s="25" t="str">
        <f>IF(linkedPage!I21=0,"",linkedPage!I21)</f>
        <v/>
      </c>
      <c r="J21" s="153" t="str">
        <f>IF(linkedPage!J21=0,"",linkedPage!J21)</f>
        <v>Moderate injuries and/or health effects (e.g. broken bone)</v>
      </c>
      <c r="K21" s="148" t="str">
        <f>IF(linkedPage!K21=0,"",linkedPage!K21)</f>
        <v/>
      </c>
      <c r="L21" s="153" t="str">
        <f>IF(linkedPage!L21=0,"",linkedPage!L21)</f>
        <v/>
      </c>
      <c r="M21" s="154" t="str">
        <f>IF(linkedPage!M21=0,"",linkedPage!M21)</f>
        <v/>
      </c>
      <c r="N21" s="147" t="str">
        <f>IF(linkedPage!N21=0,"",linkedPage!N21)</f>
        <v>Moderate system degradation (e.g. loss of MoMo)</v>
      </c>
      <c r="O21" s="148" t="str">
        <f>IF(linkedPage!O21=0,"",linkedPage!O21)</f>
        <v/>
      </c>
      <c r="P21" s="153" t="str">
        <f>IF(linkedPage!P21=0,"",linkedPage!P21)</f>
        <v>Repairable in-situ, outside maintenance interval 
(1 day) [15k USD]</v>
      </c>
      <c r="Q21" s="154" t="str">
        <f>IF(linkedPage!Q21=0,"",linkedPage!Q21)</f>
        <v/>
      </c>
      <c r="R21" s="29"/>
      <c r="S21" s="27"/>
      <c r="U21" s="9"/>
    </row>
    <row r="22" spans="1:23" ht="42.75" customHeight="1" x14ac:dyDescent="0.25">
      <c r="A22" s="9"/>
      <c r="B22" s="12">
        <f>IF(linkedPage!B22=0,"",linkedPage!B22)</f>
        <v>5</v>
      </c>
      <c r="C22" s="157" t="str">
        <f>IF(linkedPage!C22=0,"",linkedPage!C22)</f>
        <v>Very unlikely to occur</v>
      </c>
      <c r="D22" s="158" t="str">
        <f>IF(linkedPage!D22=0,"",linkedPage!D22)</f>
        <v/>
      </c>
      <c r="E22" s="35">
        <f>IF(linkedPage!E22=0,"",linkedPage!E22)</f>
        <v>1E-3</v>
      </c>
      <c r="F22" s="41">
        <f>IF(linkedPage!F22=0,"",linkedPage!F22)</f>
        <v>1000</v>
      </c>
      <c r="G22" s="11"/>
      <c r="H22" s="12">
        <f>IF(linkedPage!H22=0,"",linkedPage!H22)</f>
        <v>5</v>
      </c>
      <c r="I22" s="25" t="str">
        <f>IF(linkedPage!I22=0,"",linkedPage!I22)</f>
        <v>Major</v>
      </c>
      <c r="J22" s="153" t="str">
        <f>IF(linkedPage!J22=0,"",linkedPage!J22)</f>
        <v/>
      </c>
      <c r="K22" s="148" t="str">
        <f>IF(linkedPage!K22=0,"",linkedPage!K22)</f>
        <v/>
      </c>
      <c r="L22" s="153" t="str">
        <f>IF(linkedPage!L22=0,"",linkedPage!L22)</f>
        <v>Limited levels of pollution, manageable / moderate effect on environment</v>
      </c>
      <c r="M22" s="154" t="str">
        <f>IF(linkedPage!M22=0,"",linkedPage!M22)</f>
        <v/>
      </c>
      <c r="N22" s="147" t="str">
        <f>IF(linkedPage!N22=0,"",linkedPage!N22)</f>
        <v/>
      </c>
      <c r="O22" s="148" t="str">
        <f>IF(linkedPage!O22=0,"",linkedPage!O22)</f>
        <v/>
      </c>
      <c r="P22" s="153" t="str">
        <f>IF(linkedPage!P22=0,"",linkedPage!P22)</f>
        <v>Repairable in-situ, outside maintenance interval 
(1 week) [50k USD]</v>
      </c>
      <c r="Q22" s="154" t="str">
        <f>IF(linkedPage!Q22=0,"",linkedPage!Q22)</f>
        <v/>
      </c>
      <c r="R22" s="29"/>
      <c r="S22" s="27"/>
      <c r="T22" s="9"/>
      <c r="U22" s="9"/>
    </row>
    <row r="23" spans="1:23" ht="42.75" customHeight="1" x14ac:dyDescent="0.25">
      <c r="A23" s="9"/>
      <c r="B23" s="12">
        <f>IF(linkedPage!B23=0,"",linkedPage!B23)</f>
        <v>6</v>
      </c>
      <c r="C23" s="157" t="str">
        <f>IF(linkedPage!C23=0,"",linkedPage!C23)</f>
        <v/>
      </c>
      <c r="D23" s="158" t="str">
        <f>IF(linkedPage!D23=0,"",linkedPage!D23)</f>
        <v/>
      </c>
      <c r="E23" s="35">
        <f>IF(linkedPage!E23=0,"",linkedPage!E23)</f>
        <v>3.162277660168379E-3</v>
      </c>
      <c r="F23" s="41">
        <f>IF(linkedPage!F23=0,"",linkedPage!F23)</f>
        <v>316</v>
      </c>
      <c r="G23" s="11"/>
      <c r="H23" s="12">
        <f>IF(linkedPage!H23=0,"",linkedPage!H23)</f>
        <v>6</v>
      </c>
      <c r="I23" s="25" t="str">
        <f>IF(linkedPage!I23=0,"",linkedPage!I23)</f>
        <v/>
      </c>
      <c r="J23" s="153" t="str">
        <f>IF(linkedPage!J23=0,"",linkedPage!J23)</f>
        <v/>
      </c>
      <c r="K23" s="148" t="str">
        <f>IF(linkedPage!K23=0,"",linkedPage!K23)</f>
        <v/>
      </c>
      <c r="L23" s="153" t="str">
        <f>IF(linkedPage!L23=0,"",linkedPage!L23)</f>
        <v/>
      </c>
      <c r="M23" s="154" t="str">
        <f>IF(linkedPage!M23=0,"",linkedPage!M23)</f>
        <v/>
      </c>
      <c r="N23" s="147" t="str">
        <f>IF(linkedPage!N23=0,"",linkedPage!N23)</f>
        <v>Major system degradation or loss of operation for 1 month</v>
      </c>
      <c r="O23" s="148" t="str">
        <f>IF(linkedPage!O23=0,"",linkedPage!O23)</f>
        <v/>
      </c>
      <c r="P23" s="153" t="str">
        <f>IF(linkedPage!P23=0,"",linkedPage!P23)</f>
        <v>[150k USD]</v>
      </c>
      <c r="Q23" s="154" t="str">
        <f>IF(linkedPage!Q23=0,"",linkedPage!Q23)</f>
        <v/>
      </c>
      <c r="R23" s="29"/>
      <c r="S23" s="29"/>
      <c r="T23" s="9"/>
      <c r="U23" s="9"/>
    </row>
    <row r="24" spans="1:23" ht="42.75" customHeight="1" x14ac:dyDescent="0.25">
      <c r="B24" s="12">
        <f>IF(linkedPage!B24=0,"",linkedPage!B24)</f>
        <v>7</v>
      </c>
      <c r="C24" s="157" t="str">
        <f>IF(linkedPage!C24=0,"",linkedPage!C24)</f>
        <v>Rarely expected to occur</v>
      </c>
      <c r="D24" s="158" t="str">
        <f>IF(linkedPage!D24=0,"",linkedPage!D24)</f>
        <v/>
      </c>
      <c r="E24" s="36">
        <f>IF(linkedPage!E24=0,"",linkedPage!E24)</f>
        <v>0.01</v>
      </c>
      <c r="F24" s="41">
        <f>IF(linkedPage!F24=0,"",linkedPage!F24)</f>
        <v>100</v>
      </c>
      <c r="G24" s="11"/>
      <c r="H24" s="12">
        <f>IF(linkedPage!H24=0,"",linkedPage!H24)</f>
        <v>7</v>
      </c>
      <c r="I24" s="25" t="str">
        <f>IF(linkedPage!I24=0,"",linkedPage!I24)</f>
        <v>Critical</v>
      </c>
      <c r="J24" s="153" t="str">
        <f>IF(linkedPage!J24=0,"",linkedPage!J24)</f>
        <v>Hospitalization (with full recovery)</v>
      </c>
      <c r="K24" s="148" t="str">
        <f>IF(linkedPage!K24=0,"",linkedPage!K24)</f>
        <v/>
      </c>
      <c r="L24" s="153" t="str">
        <f>IF(linkedPage!L24=0,"",linkedPage!L24)</f>
        <v>Moderate pollution (some clean-up costs) / Serious effect on environment</v>
      </c>
      <c r="M24" s="154" t="str">
        <f>IF(linkedPage!M24=0,"",linkedPage!M24)</f>
        <v/>
      </c>
      <c r="N24" s="147" t="str">
        <f>IF(linkedPage!N24=0,"",linkedPage!N24)</f>
        <v>Major system degradation or loss of operation for 3 months</v>
      </c>
      <c r="O24" s="148" t="str">
        <f>IF(linkedPage!O24=0,"",linkedPage!O24)</f>
        <v/>
      </c>
      <c r="P24" s="153" t="str">
        <f>IF(linkedPage!P24=0,"",linkedPage!P24)</f>
        <v>Dry dock required for repair
[500k USD]</v>
      </c>
      <c r="Q24" s="154" t="str">
        <f>IF(linkedPage!Q24=0,"",linkedPage!Q24)</f>
        <v/>
      </c>
      <c r="R24" s="29"/>
      <c r="S24" s="29"/>
      <c r="T24" s="9"/>
      <c r="U24" s="9"/>
    </row>
    <row r="25" spans="1:23" ht="42.75" customHeight="1" x14ac:dyDescent="0.25">
      <c r="B25" s="12">
        <f>IF(linkedPage!B25=0,"",linkedPage!B25)</f>
        <v>8</v>
      </c>
      <c r="C25" s="157" t="str">
        <f>IF(linkedPage!C25=0,"",linkedPage!C25)</f>
        <v/>
      </c>
      <c r="D25" s="158" t="str">
        <f>IF(linkedPage!D25=0,"",linkedPage!D25)</f>
        <v/>
      </c>
      <c r="E25" s="36">
        <f>IF(linkedPage!E25=0,"",linkedPage!E25)</f>
        <v>3.1622776601683791E-2</v>
      </c>
      <c r="F25" s="41">
        <f>IF(linkedPage!F25=0,"",linkedPage!F25)</f>
        <v>31.6</v>
      </c>
      <c r="G25" s="11"/>
      <c r="H25" s="12">
        <f>IF(linkedPage!H25=0,"",linkedPage!H25)</f>
        <v>8</v>
      </c>
      <c r="I25" s="25" t="str">
        <f>IF(linkedPage!I25=0,"",linkedPage!I25)</f>
        <v/>
      </c>
      <c r="J25" s="153" t="str">
        <f>IF(linkedPage!J25=0,"",linkedPage!J25)</f>
        <v/>
      </c>
      <c r="K25" s="148" t="str">
        <f>IF(linkedPage!K25=0,"",linkedPage!K25)</f>
        <v/>
      </c>
      <c r="L25" s="153" t="str">
        <f>IF(linkedPage!L25=0,"",linkedPage!L25)</f>
        <v/>
      </c>
      <c r="M25" s="154" t="str">
        <f>IF(linkedPage!M25=0,"",linkedPage!M25)</f>
        <v/>
      </c>
      <c r="N25" s="147" t="str">
        <f>IF(linkedPage!N25=0,"",linkedPage!N25)</f>
        <v>Critical system degradation or loss of operation for 6 months</v>
      </c>
      <c r="O25" s="148" t="str">
        <f>IF(linkedPage!O25=0,"",linkedPage!O25)</f>
        <v/>
      </c>
      <c r="P25" s="153" t="str">
        <f>IF(linkedPage!P25=0,"",linkedPage!P25)</f>
        <v>[1.5M USD]</v>
      </c>
      <c r="Q25" s="154" t="str">
        <f>IF(linkedPage!Q25=0,"",linkedPage!Q25)</f>
        <v/>
      </c>
      <c r="R25" s="29"/>
      <c r="S25" s="29"/>
      <c r="T25" s="9"/>
      <c r="U25" s="9"/>
    </row>
    <row r="26" spans="1:23" ht="42.75" customHeight="1" x14ac:dyDescent="0.25">
      <c r="B26" s="12">
        <f>IF(linkedPage!B26=0,"",linkedPage!B26)</f>
        <v>9</v>
      </c>
      <c r="C26" s="157" t="str">
        <f>IF(linkedPage!C26=0,"",linkedPage!C26)</f>
        <v>One or more during 20 yr lifetime</v>
      </c>
      <c r="D26" s="158" t="str">
        <f>IF(linkedPage!D26=0,"",linkedPage!D26)</f>
        <v/>
      </c>
      <c r="E26" s="37">
        <f>IF(linkedPage!E26=0,"",linkedPage!E26)</f>
        <v>0.1</v>
      </c>
      <c r="F26" s="41">
        <f>IF(linkedPage!F26=0,"",linkedPage!F26)</f>
        <v>10</v>
      </c>
      <c r="G26" s="11"/>
      <c r="H26" s="12">
        <f>IF(linkedPage!H26=0,"",linkedPage!H26)</f>
        <v>9</v>
      </c>
      <c r="I26" s="25" t="str">
        <f>IF(linkedPage!I26=0,"",linkedPage!I26)</f>
        <v>Catastrophic</v>
      </c>
      <c r="J26" s="153" t="str">
        <f>IF(linkedPage!J26=0,"",linkedPage!J26)</f>
        <v>Hospitalization (with lasting disabilities)</v>
      </c>
      <c r="K26" s="148" t="str">
        <f>IF(linkedPage!K26=0,"",linkedPage!K26)</f>
        <v/>
      </c>
      <c r="L26" s="153" t="str">
        <f>IF(linkedPage!L26=0,"",linkedPage!L26)</f>
        <v>Major pollution (significant clean-up costs) / disastrous effects on the environment</v>
      </c>
      <c r="M26" s="154" t="str">
        <f>IF(linkedPage!M26=0,"",linkedPage!M26)</f>
        <v/>
      </c>
      <c r="N26" s="147" t="str">
        <f>IF(linkedPage!N26=0,"",linkedPage!N26)</f>
        <v>Failure to generate power for remainder of project, complete failure</v>
      </c>
      <c r="O26" s="148" t="str">
        <f>IF(linkedPage!O26=0,"",linkedPage!O26)</f>
        <v/>
      </c>
      <c r="P26" s="153" t="str">
        <f>IF(linkedPage!P26=0,"",linkedPage!P26)</f>
        <v>Loss of device
[5M USD]</v>
      </c>
      <c r="Q26" s="154" t="str">
        <f>IF(linkedPage!Q26=0,"",linkedPage!Q26)</f>
        <v/>
      </c>
      <c r="R26" s="30"/>
      <c r="S26" s="30"/>
      <c r="T26" s="9"/>
      <c r="U26" s="9"/>
    </row>
    <row r="27" spans="1:23" ht="42.75" customHeight="1" thickBot="1" x14ac:dyDescent="0.3">
      <c r="A27" s="9"/>
      <c r="B27" s="13">
        <f>IF(linkedPage!B27=0,"",linkedPage!B27)</f>
        <v>10</v>
      </c>
      <c r="C27" s="159" t="str">
        <f>IF(linkedPage!C27=0,"",linkedPage!C27)</f>
        <v/>
      </c>
      <c r="D27" s="160" t="str">
        <f>IF(linkedPage!D27=0,"",linkedPage!D27)</f>
        <v/>
      </c>
      <c r="E27" s="38">
        <f>IF(linkedPage!E27=0,"",linkedPage!E27)</f>
        <v>0.31622776601683794</v>
      </c>
      <c r="F27" s="42">
        <f>IF(linkedPage!F27=0,"",linkedPage!F27)</f>
        <v>3.16</v>
      </c>
      <c r="G27" s="11"/>
      <c r="H27" s="13">
        <f>IF(linkedPage!H27=0,"",linkedPage!H27)</f>
        <v>10</v>
      </c>
      <c r="I27" s="39" t="str">
        <f>IF(linkedPage!I27=0,"",linkedPage!I27)</f>
        <v/>
      </c>
      <c r="J27" s="161" t="str">
        <f>IF(linkedPage!J27=0,"",linkedPage!J27)</f>
        <v>A fatality</v>
      </c>
      <c r="K27" s="162" t="str">
        <f>IF(linkedPage!K27=0,"",linkedPage!K27)</f>
        <v/>
      </c>
      <c r="L27" s="155" t="str">
        <f>IF(linkedPage!L27=0,"",linkedPage!L27)</f>
        <v/>
      </c>
      <c r="M27" s="156" t="str">
        <f>IF(linkedPage!M27=0,"",linkedPage!M27)</f>
        <v/>
      </c>
      <c r="N27" s="149" t="str">
        <f>IF(linkedPage!N27=0,"",linkedPage!N27)</f>
        <v/>
      </c>
      <c r="O27" s="150" t="str">
        <f>IF(linkedPage!O27=0,"",linkedPage!O27)</f>
        <v/>
      </c>
      <c r="P27" s="155" t="str">
        <f>IF(linkedPage!P27=0,"",linkedPage!P27)</f>
        <v/>
      </c>
      <c r="Q27" s="156" t="str">
        <f>IF(linkedPage!Q27=0,"",linkedPage!Q27)</f>
        <v/>
      </c>
      <c r="R27" s="30"/>
      <c r="S27" s="30"/>
    </row>
    <row r="28" spans="1:23" x14ac:dyDescent="0.25">
      <c r="R28" s="27"/>
      <c r="S28" s="27"/>
      <c r="T28" s="9"/>
      <c r="U28" s="9"/>
      <c r="V28" s="9"/>
      <c r="W28" s="9"/>
    </row>
    <row r="29" spans="1:23" ht="15" customHeight="1" x14ac:dyDescent="0.25">
      <c r="S29" s="9"/>
      <c r="T29" s="9"/>
      <c r="U29" s="9"/>
      <c r="V29" s="9"/>
      <c r="W29" s="9"/>
    </row>
    <row r="43" spans="2:26" x14ac:dyDescent="0.25">
      <c r="O43"/>
      <c r="X43" s="9"/>
      <c r="Z43" s="9"/>
    </row>
    <row r="44" spans="2:26" ht="15" customHeight="1" x14ac:dyDescent="0.25"/>
    <row r="45" spans="2:26" ht="15.75" x14ac:dyDescent="0.25">
      <c r="C45" s="23"/>
      <c r="D45" s="23"/>
      <c r="E45" s="23"/>
      <c r="F45" s="23"/>
      <c r="G45" s="23"/>
      <c r="H45" s="23"/>
      <c r="I45" s="23"/>
      <c r="J45" s="23"/>
      <c r="K45" s="23"/>
      <c r="L45" s="23"/>
    </row>
    <row r="46" spans="2:26" ht="16.5" x14ac:dyDescent="0.35">
      <c r="C46" s="22"/>
      <c r="D46" s="22"/>
      <c r="E46" s="22"/>
      <c r="F46" s="22"/>
      <c r="G46" s="22"/>
      <c r="H46" s="22"/>
      <c r="I46" s="22"/>
      <c r="J46" s="22"/>
      <c r="K46" s="22"/>
      <c r="L46" s="22"/>
      <c r="M46" s="10"/>
      <c r="N46" s="10"/>
    </row>
    <row r="47" spans="2:26" ht="16.5" x14ac:dyDescent="0.35">
      <c r="B47" s="16"/>
      <c r="C47" s="16"/>
      <c r="D47" s="16"/>
      <c r="E47" s="16"/>
      <c r="F47" s="16"/>
      <c r="G47" s="16"/>
      <c r="H47" s="16"/>
      <c r="I47" s="16"/>
      <c r="J47" s="16"/>
      <c r="K47" s="16"/>
      <c r="L47" s="16"/>
      <c r="M47" s="10"/>
      <c r="N47" s="10"/>
    </row>
    <row r="48" spans="2:26" ht="16.5" x14ac:dyDescent="0.35">
      <c r="B48" s="16"/>
      <c r="E48" s="9"/>
      <c r="F48" s="9"/>
      <c r="G48" s="9"/>
      <c r="H48" s="9"/>
      <c r="I48" s="9"/>
      <c r="J48" s="9"/>
      <c r="L48" s="9"/>
      <c r="M48" s="10"/>
      <c r="N48" s="10"/>
    </row>
    <row r="49" spans="2:14" ht="16.5" x14ac:dyDescent="0.35">
      <c r="B49" s="16"/>
      <c r="C49" s="9"/>
      <c r="E49" s="9"/>
      <c r="F49" s="9"/>
      <c r="G49" s="9"/>
      <c r="H49" s="9"/>
      <c r="I49" s="9"/>
      <c r="J49" s="9"/>
      <c r="L49" s="9"/>
      <c r="M49" s="20"/>
      <c r="N49" s="21"/>
    </row>
    <row r="50" spans="2:14" ht="16.5" x14ac:dyDescent="0.35">
      <c r="B50" s="16"/>
      <c r="C50" s="9"/>
      <c r="E50" s="9"/>
      <c r="F50" s="9"/>
      <c r="G50" s="9"/>
      <c r="H50" s="9"/>
      <c r="I50" s="9"/>
      <c r="J50" s="9"/>
      <c r="L50" s="9"/>
      <c r="M50" s="20"/>
      <c r="N50" s="21"/>
    </row>
    <row r="51" spans="2:14" x14ac:dyDescent="0.25">
      <c r="B51" s="16"/>
      <c r="C51" s="9"/>
      <c r="E51" s="9"/>
      <c r="F51" s="9"/>
      <c r="G51" s="9"/>
      <c r="H51" s="9"/>
      <c r="I51" s="9"/>
      <c r="J51" s="9"/>
      <c r="L51" s="9"/>
    </row>
    <row r="52" spans="2:14" x14ac:dyDescent="0.25">
      <c r="B52" s="16"/>
      <c r="C52" s="9"/>
      <c r="E52" s="9"/>
      <c r="F52" s="9"/>
      <c r="G52" s="9"/>
      <c r="H52" s="9"/>
      <c r="I52" s="9"/>
      <c r="J52" s="9"/>
      <c r="L52" s="9"/>
    </row>
    <row r="53" spans="2:14" x14ac:dyDescent="0.25">
      <c r="B53" s="16"/>
      <c r="C53" s="9"/>
      <c r="E53" s="9"/>
      <c r="F53" s="9"/>
      <c r="G53" s="9"/>
      <c r="H53" s="9"/>
      <c r="I53" s="9"/>
      <c r="J53" s="9"/>
      <c r="L53" s="9"/>
    </row>
    <row r="54" spans="2:14" x14ac:dyDescent="0.25">
      <c r="B54" s="16"/>
      <c r="C54" s="9"/>
      <c r="E54" s="9"/>
      <c r="F54" s="9"/>
      <c r="G54" s="9"/>
      <c r="H54" s="9"/>
      <c r="I54" s="9"/>
      <c r="J54" s="9"/>
      <c r="L54" s="9"/>
    </row>
    <row r="55" spans="2:14" x14ac:dyDescent="0.25">
      <c r="B55" s="16"/>
      <c r="C55" s="9"/>
      <c r="E55" s="9"/>
      <c r="F55" s="9"/>
      <c r="G55" s="9"/>
      <c r="H55" s="9"/>
      <c r="I55" s="9"/>
      <c r="J55" s="9"/>
      <c r="L55" s="9"/>
    </row>
    <row r="56" spans="2:14" x14ac:dyDescent="0.25">
      <c r="B56" s="16"/>
      <c r="C56" s="9"/>
      <c r="E56" s="9"/>
      <c r="F56" s="9"/>
      <c r="G56" s="9"/>
      <c r="H56" s="9"/>
      <c r="I56" s="9"/>
      <c r="J56" s="9"/>
      <c r="L56" s="9"/>
    </row>
    <row r="57" spans="2:14" x14ac:dyDescent="0.25">
      <c r="B57" s="16"/>
      <c r="C57" s="9"/>
      <c r="E57" s="9"/>
      <c r="F57" s="9"/>
      <c r="G57" s="9"/>
      <c r="H57" s="9"/>
      <c r="I57" s="9"/>
      <c r="J57" s="9"/>
      <c r="L57" s="9"/>
    </row>
  </sheetData>
  <customSheetViews>
    <customSheetView guid="{84811DD3-6559-4831-BD04-E0626479DBCE}" scale="80" showPageBreaks="1" fitToPage="1" printArea="1" topLeftCell="A7">
      <selection activeCell="R21" sqref="R21"/>
      <pageMargins left="0.7" right="0.7" top="0.75" bottom="0.75" header="0.3" footer="0.3"/>
      <pageSetup scale="53" orientation="landscape" r:id="rId1"/>
    </customSheetView>
    <customSheetView guid="{B34B7122-C738-4555-8537-3B6E30D60D80}" scale="80" showPageBreaks="1" fitToPage="1" printArea="1">
      <selection activeCell="F25" sqref="F25"/>
      <pageMargins left="0.7" right="0.7" top="0.75" bottom="0.75" header="0.3" footer="0.3"/>
      <pageSetup scale="53" orientation="landscape" r:id="rId2"/>
    </customSheetView>
    <customSheetView guid="{5394EF70-363B-4A5A-8784-B29D58D73735}" scale="80" fitToPage="1" topLeftCell="A7">
      <selection activeCell="R21" sqref="R21"/>
      <pageMargins left="0.7" right="0.7" top="0.75" bottom="0.75" header="0.3" footer="0.3"/>
      <pageSetup scale="53" orientation="landscape" r:id="rId3"/>
    </customSheetView>
  </customSheetViews>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9" t="s">
        <v>38</v>
      </c>
    </row>
    <row r="3" spans="1:20" x14ac:dyDescent="0.25">
      <c r="A3">
        <v>0</v>
      </c>
      <c r="B3">
        <v>0</v>
      </c>
      <c r="C3" t="str">
        <v>Severity</v>
      </c>
      <c r="D3">
        <v>0</v>
      </c>
      <c r="E3">
        <v>0</v>
      </c>
      <c r="F3">
        <v>0</v>
      </c>
      <c r="G3">
        <v>0</v>
      </c>
      <c r="H3">
        <v>0</v>
      </c>
      <c r="I3">
        <v>0</v>
      </c>
      <c r="J3">
        <v>0</v>
      </c>
      <c r="K3">
        <v>0</v>
      </c>
      <c r="L3">
        <v>0</v>
      </c>
      <c r="M3">
        <v>0</v>
      </c>
      <c r="N3">
        <v>0</v>
      </c>
      <c r="O3">
        <v>0</v>
      </c>
      <c r="P3">
        <v>0</v>
      </c>
      <c r="Q3">
        <v>0</v>
      </c>
      <c r="T3" s="51" t="s">
        <v>281</v>
      </c>
    </row>
    <row r="4" spans="1:20" x14ac:dyDescent="0.25">
      <c r="A4">
        <v>0</v>
      </c>
      <c r="B4" t="str">
        <v>Occ</v>
      </c>
      <c r="C4">
        <v>1</v>
      </c>
      <c r="D4">
        <v>2</v>
      </c>
      <c r="E4">
        <v>3</v>
      </c>
      <c r="F4">
        <v>4</v>
      </c>
      <c r="G4">
        <v>5</v>
      </c>
      <c r="H4">
        <v>6</v>
      </c>
      <c r="I4">
        <v>7</v>
      </c>
      <c r="J4">
        <v>8</v>
      </c>
      <c r="K4">
        <v>9</v>
      </c>
      <c r="L4">
        <v>10</v>
      </c>
      <c r="M4">
        <v>0</v>
      </c>
      <c r="N4">
        <v>0</v>
      </c>
      <c r="O4">
        <v>0</v>
      </c>
      <c r="P4">
        <v>0</v>
      </c>
      <c r="Q4">
        <v>0</v>
      </c>
      <c r="T4" s="51" t="s">
        <v>282</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3">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3">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3">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3">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3">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customSheetViews>
    <customSheetView guid="{84811DD3-6559-4831-BD04-E0626479DBCE}">
      <selection activeCell="U5" sqref="U5"/>
      <pageMargins left="0.7" right="0.7" top="0.75" bottom="0.75" header="0.3" footer="0.3"/>
    </customSheetView>
    <customSheetView guid="{B34B7122-C738-4555-8537-3B6E30D60D80}">
      <selection activeCell="U5" sqref="U5"/>
      <pageMargins left="0.7" right="0.7" top="0.75" bottom="0.75" header="0.3" footer="0.3"/>
    </customSheetView>
    <customSheetView guid="{5394EF70-363B-4A5A-8784-B29D58D73735}">
      <selection activeCell="U5" sqref="U5"/>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0300 Electric Plant System</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2016-01-13T18:38:23Z</cp:lastPrinted>
  <dcterms:created xsi:type="dcterms:W3CDTF">2013-05-20T22:14:35Z</dcterms:created>
  <dcterms:modified xsi:type="dcterms:W3CDTF">2017-03-03T17:44:24Z</dcterms:modified>
</cp:coreProperties>
</file>