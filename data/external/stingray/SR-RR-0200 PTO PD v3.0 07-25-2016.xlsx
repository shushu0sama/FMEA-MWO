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4000" windowHeight="10095"/>
  </bookViews>
  <sheets>
    <sheet name="Data Rights Notice" sheetId="9" r:id="rId1"/>
    <sheet name="0200 PTO System"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'0200 PTO System'!$B$5:$AY$97</definedName>
    <definedName name="_xlnm.Print_Area" localSheetId="3">'set up'!$B$16:$S$43</definedName>
    <definedName name="RiskMatrixRef" localSheetId="0">'[1]set up'!$C$14</definedName>
    <definedName name="RiskMatrixRef">'set up'!$C$14</definedName>
    <definedName name="Z_B34B7122_C738_4555_8537_3B6E30D60D80_.wvu.FilterData" localSheetId="1" hidden="1">'0200 PTO System'!$B$5:$W$97</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W84" i="2" l="1"/>
  <c r="AV84" i="2"/>
  <c r="AU84" i="2"/>
  <c r="AT84" i="2"/>
  <c r="AK84" i="2"/>
  <c r="AJ84" i="2"/>
  <c r="AI84" i="2"/>
  <c r="AH84" i="2"/>
  <c r="O4" i="6" l="1"/>
  <c r="O2" i="6"/>
  <c r="O3" i="6"/>
  <c r="A1" i="8" a="1"/>
  <c r="A1" i="8" s="1"/>
  <c r="N1" i="8"/>
  <c r="O2" i="8"/>
  <c r="D4" i="8"/>
  <c r="J5" i="8"/>
  <c r="K6" i="8"/>
  <c r="Q7" i="8"/>
  <c r="F9" i="8"/>
  <c r="G10" i="8"/>
  <c r="M11" i="8"/>
  <c r="B13" i="8"/>
  <c r="C14" i="8"/>
  <c r="A15" i="8"/>
  <c r="O15" i="8"/>
  <c r="I16" i="8"/>
  <c r="F17" i="8"/>
  <c r="M17" i="8"/>
  <c r="B18" i="8"/>
  <c r="G18" i="8"/>
  <c r="N18" i="8"/>
  <c r="D19" i="8"/>
  <c r="K19" i="8"/>
  <c r="Q19" i="8"/>
  <c r="E20" i="8"/>
  <c r="L20" i="8"/>
  <c r="B21" i="8"/>
  <c r="I21" i="8"/>
  <c r="O21" i="8"/>
  <c r="C22" i="8"/>
  <c r="J22" i="8"/>
  <c r="Q22" i="8"/>
  <c r="G23" i="8"/>
  <c r="M23" i="8"/>
  <c r="A24" i="8"/>
  <c r="H24" i="8"/>
  <c r="O24" i="8"/>
  <c r="E25" i="8"/>
  <c r="K25" i="8"/>
  <c r="P25" i="8"/>
  <c r="F26" i="8"/>
  <c r="M26" i="8"/>
  <c r="A27" i="8"/>
  <c r="C27" i="8"/>
  <c r="I27" i="8"/>
  <c r="M27" i="8"/>
  <c r="N27" i="8"/>
  <c r="E26" i="8" l="1"/>
  <c r="H25" i="8"/>
  <c r="N24" i="8"/>
  <c r="Q23" i="8"/>
  <c r="E23" i="8"/>
  <c r="I22" i="8"/>
  <c r="L21" i="8"/>
  <c r="A21" i="8"/>
  <c r="D20" i="8"/>
  <c r="I19" i="8"/>
  <c r="M18" i="8"/>
  <c r="P17" i="8"/>
  <c r="E17" i="8"/>
  <c r="H16" i="8"/>
  <c r="M15" i="8"/>
  <c r="Q14" i="8"/>
  <c r="B14" i="8"/>
  <c r="M12" i="8"/>
  <c r="L11" i="8"/>
  <c r="F10" i="8"/>
  <c r="Q8" i="8"/>
  <c r="P7" i="8"/>
  <c r="J6" i="8"/>
  <c r="D5" i="8"/>
  <c r="C4" i="8"/>
  <c r="N2" i="8"/>
  <c r="H1" i="8"/>
  <c r="L27" i="8"/>
  <c r="O26" i="8"/>
  <c r="D26" i="8"/>
  <c r="G25" i="8"/>
  <c r="L24" i="8"/>
  <c r="P23" i="8"/>
  <c r="B23" i="8"/>
  <c r="H22" i="8"/>
  <c r="K21" i="8"/>
  <c r="P20" i="8"/>
  <c r="C20" i="8"/>
  <c r="F19" i="8"/>
  <c r="L18" i="8"/>
  <c r="O17" i="8"/>
  <c r="C17" i="8"/>
  <c r="G16" i="8"/>
  <c r="J15" i="8"/>
  <c r="P14" i="8"/>
  <c r="A14" i="8"/>
  <c r="L12" i="8"/>
  <c r="F11" i="8"/>
  <c r="E10" i="8"/>
  <c r="P8" i="8"/>
  <c r="J7" i="8"/>
  <c r="I6" i="8"/>
  <c r="C5" i="8"/>
  <c r="N3" i="8"/>
  <c r="M2" i="8"/>
  <c r="G1" i="8"/>
  <c r="K27" i="8"/>
  <c r="N26" i="8"/>
  <c r="B26" i="8"/>
  <c r="F25" i="8"/>
  <c r="I24" i="8"/>
  <c r="O23" i="8"/>
  <c r="A23" i="8"/>
  <c r="F22" i="8"/>
  <c r="J21" i="8"/>
  <c r="M20" i="8"/>
  <c r="B20" i="8"/>
  <c r="E19" i="8"/>
  <c r="J18" i="8"/>
  <c r="N17" i="8"/>
  <c r="Q16" i="8"/>
  <c r="F16" i="8"/>
  <c r="I15" i="8"/>
  <c r="N14" i="8"/>
  <c r="L13" i="8"/>
  <c r="K12" i="8"/>
  <c r="E11" i="8"/>
  <c r="P9" i="8"/>
  <c r="O8" i="8"/>
  <c r="I7" i="8"/>
  <c r="C6" i="8"/>
  <c r="B5" i="8"/>
  <c r="M3" i="8"/>
  <c r="G2" i="8"/>
  <c r="F1" i="8"/>
  <c r="P16" i="8"/>
  <c r="D16" i="8"/>
  <c r="H15" i="8"/>
  <c r="K14" i="8"/>
  <c r="K13" i="8"/>
  <c r="E12" i="8"/>
  <c r="D11" i="8"/>
  <c r="O9" i="8"/>
  <c r="I8" i="8"/>
  <c r="H7" i="8"/>
  <c r="B6" i="8"/>
  <c r="M4" i="8"/>
  <c r="L3" i="8"/>
  <c r="F2" i="8"/>
  <c r="E27" i="8"/>
  <c r="J26" i="8"/>
  <c r="N25" i="8"/>
  <c r="Q24" i="8"/>
  <c r="F24" i="8"/>
  <c r="I23" i="8"/>
  <c r="N22" i="8"/>
  <c r="A22" i="8"/>
  <c r="D21" i="8"/>
  <c r="J20" i="8"/>
  <c r="M19" i="8"/>
  <c r="A19" i="8"/>
  <c r="E18" i="8"/>
  <c r="H17" i="8"/>
  <c r="N16" i="8"/>
  <c r="Q15" i="8"/>
  <c r="E15" i="8"/>
  <c r="I14" i="8"/>
  <c r="D13" i="8"/>
  <c r="C12" i="8"/>
  <c r="N10" i="8"/>
  <c r="H9" i="8"/>
  <c r="G8" i="8"/>
  <c r="A7" i="8"/>
  <c r="L5" i="8"/>
  <c r="K4" i="8"/>
  <c r="E3" i="8"/>
  <c r="P1" i="8"/>
  <c r="F27" i="8"/>
  <c r="L26" i="8"/>
  <c r="O25" i="8"/>
  <c r="C25" i="8"/>
  <c r="G24" i="8"/>
  <c r="J23" i="8"/>
  <c r="P22" i="8"/>
  <c r="B22" i="8"/>
  <c r="G21" i="8"/>
  <c r="K20" i="8"/>
  <c r="N19" i="8"/>
  <c r="C19" i="8"/>
  <c r="F18" i="8"/>
  <c r="K17" i="8"/>
  <c r="O16" i="8"/>
  <c r="A16" i="8"/>
  <c r="G15" i="8"/>
  <c r="J14" i="8"/>
  <c r="J13" i="8"/>
  <c r="D12" i="8"/>
  <c r="O10" i="8"/>
  <c r="N9" i="8"/>
  <c r="H8" i="8"/>
  <c r="B7" i="8"/>
  <c r="A6" i="8"/>
  <c r="L4" i="8"/>
  <c r="F3" i="8"/>
  <c r="E2" i="8"/>
  <c r="Q27" i="8"/>
  <c r="D27" i="8"/>
  <c r="G26" i="8"/>
  <c r="M25" i="8"/>
  <c r="P24" i="8"/>
  <c r="D24" i="8"/>
  <c r="H23" i="8"/>
  <c r="K22" i="8"/>
  <c r="Q21" i="8"/>
  <c r="C21" i="8"/>
  <c r="H20" i="8"/>
  <c r="L19" i="8"/>
  <c r="O18" i="8"/>
  <c r="D18" i="8"/>
  <c r="G17" i="8"/>
  <c r="L16" i="8"/>
  <c r="P15" i="8"/>
  <c r="B15" i="8"/>
  <c r="H14" i="8"/>
  <c r="C13" i="8"/>
  <c r="N11" i="8"/>
  <c r="M10" i="8"/>
  <c r="G9" i="8"/>
  <c r="A8" i="8"/>
  <c r="Q6" i="8"/>
  <c r="K5" i="8"/>
  <c r="E4" i="8"/>
  <c r="D3" i="8"/>
  <c r="O1" i="8"/>
  <c r="Q13" i="8"/>
  <c r="I13" i="8"/>
  <c r="A13" i="8"/>
  <c r="J12" i="8"/>
  <c r="B12" i="8"/>
  <c r="K11" i="8"/>
  <c r="C11" i="8"/>
  <c r="L10" i="8"/>
  <c r="D10" i="8"/>
  <c r="M9" i="8"/>
  <c r="E9" i="8"/>
  <c r="N8" i="8"/>
  <c r="F8" i="8"/>
  <c r="O7" i="8"/>
  <c r="G7" i="8"/>
  <c r="P6" i="8"/>
  <c r="H6" i="8"/>
  <c r="Q5" i="8"/>
  <c r="I5" i="8"/>
  <c r="A5" i="8"/>
  <c r="J4" i="8"/>
  <c r="B4" i="8"/>
  <c r="K3" i="8"/>
  <c r="C3" i="8"/>
  <c r="L2" i="8"/>
  <c r="D2" i="8"/>
  <c r="M1" i="8"/>
  <c r="E1" i="8"/>
  <c r="J27" i="8"/>
  <c r="B27" i="8"/>
  <c r="K26" i="8"/>
  <c r="C26" i="8"/>
  <c r="L25" i="8"/>
  <c r="D25" i="8"/>
  <c r="M24" i="8"/>
  <c r="E24" i="8"/>
  <c r="N23" i="8"/>
  <c r="F23" i="8"/>
  <c r="O22" i="8"/>
  <c r="G22" i="8"/>
  <c r="P21" i="8"/>
  <c r="H21" i="8"/>
  <c r="Q20" i="8"/>
  <c r="I20" i="8"/>
  <c r="A20" i="8"/>
  <c r="J19" i="8"/>
  <c r="B19" i="8"/>
  <c r="K18" i="8"/>
  <c r="C18" i="8"/>
  <c r="L17" i="8"/>
  <c r="D17" i="8"/>
  <c r="M16" i="8"/>
  <c r="E16" i="8"/>
  <c r="N15" i="8"/>
  <c r="F15" i="8"/>
  <c r="O14" i="8"/>
  <c r="G14" i="8"/>
  <c r="P13" i="8"/>
  <c r="H13" i="8"/>
  <c r="Q12" i="8"/>
  <c r="I12" i="8"/>
  <c r="A12" i="8"/>
  <c r="J11" i="8"/>
  <c r="B11" i="8"/>
  <c r="K10" i="8"/>
  <c r="C10" i="8"/>
  <c r="L9" i="8"/>
  <c r="D9" i="8"/>
  <c r="M8" i="8"/>
  <c r="E8" i="8"/>
  <c r="N7" i="8"/>
  <c r="F7" i="8"/>
  <c r="O6" i="8"/>
  <c r="G6" i="8"/>
  <c r="P5" i="8"/>
  <c r="H5" i="8"/>
  <c r="Q4" i="8"/>
  <c r="I4" i="8"/>
  <c r="A4" i="8"/>
  <c r="J3" i="8"/>
  <c r="B3" i="8"/>
  <c r="K2" i="8"/>
  <c r="C2" i="8"/>
  <c r="L1" i="8"/>
  <c r="D1" i="8"/>
  <c r="C1" i="8"/>
  <c r="F14" i="8"/>
  <c r="G13" i="8"/>
  <c r="P12" i="8"/>
  <c r="Q11" i="8"/>
  <c r="I11" i="8"/>
  <c r="J10" i="8"/>
  <c r="K9" i="8"/>
  <c r="C9" i="8"/>
  <c r="D8" i="8"/>
  <c r="E7" i="8"/>
  <c r="F6" i="8"/>
  <c r="G5" i="8"/>
  <c r="H4" i="8"/>
  <c r="I3" i="8"/>
  <c r="J2" i="8"/>
  <c r="K1" i="8"/>
  <c r="P27" i="8"/>
  <c r="H27" i="8"/>
  <c r="Q26" i="8"/>
  <c r="I26" i="8"/>
  <c r="A26" i="8"/>
  <c r="J25" i="8"/>
  <c r="B25" i="8"/>
  <c r="K24" i="8"/>
  <c r="C24" i="8"/>
  <c r="L23" i="8"/>
  <c r="D23" i="8"/>
  <c r="M22" i="8"/>
  <c r="E22" i="8"/>
  <c r="N21" i="8"/>
  <c r="F21" i="8"/>
  <c r="O20" i="8"/>
  <c r="G20" i="8"/>
  <c r="P19" i="8"/>
  <c r="H19" i="8"/>
  <c r="Q18" i="8"/>
  <c r="I18" i="8"/>
  <c r="A18" i="8"/>
  <c r="J17" i="8"/>
  <c r="B17" i="8"/>
  <c r="K16" i="8"/>
  <c r="C16" i="8"/>
  <c r="L15" i="8"/>
  <c r="D15" i="8"/>
  <c r="M14" i="8"/>
  <c r="E14" i="8"/>
  <c r="N13" i="8"/>
  <c r="F13" i="8"/>
  <c r="O12" i="8"/>
  <c r="G12" i="8"/>
  <c r="P11" i="8"/>
  <c r="H11" i="8"/>
  <c r="Q10" i="8"/>
  <c r="I10" i="8"/>
  <c r="A10" i="8"/>
  <c r="J9" i="8"/>
  <c r="B9" i="8"/>
  <c r="K8" i="8"/>
  <c r="C8" i="8"/>
  <c r="L7" i="8"/>
  <c r="D7" i="8"/>
  <c r="M6" i="8"/>
  <c r="E6" i="8"/>
  <c r="N5" i="8"/>
  <c r="F5" i="8"/>
  <c r="O4" i="8"/>
  <c r="G4" i="8"/>
  <c r="P3" i="8"/>
  <c r="H3" i="8"/>
  <c r="Q2" i="8"/>
  <c r="I2" i="8"/>
  <c r="A2" i="8"/>
  <c r="J1" i="8"/>
  <c r="B1" i="8"/>
  <c r="O13" i="8"/>
  <c r="H12" i="8"/>
  <c r="A11" i="8"/>
  <c r="B10" i="8"/>
  <c r="L8" i="8"/>
  <c r="M7" i="8"/>
  <c r="N6" i="8"/>
  <c r="O5" i="8"/>
  <c r="P4" i="8"/>
  <c r="Q3" i="8"/>
  <c r="A3" i="8"/>
  <c r="B2" i="8"/>
  <c r="O27" i="8"/>
  <c r="G27" i="8"/>
  <c r="P26" i="8"/>
  <c r="H26" i="8"/>
  <c r="Q25" i="8"/>
  <c r="I25" i="8"/>
  <c r="A25" i="8"/>
  <c r="J24" i="8"/>
  <c r="B24" i="8"/>
  <c r="K23" i="8"/>
  <c r="C23" i="8"/>
  <c r="L22" i="8"/>
  <c r="D22" i="8"/>
  <c r="M21" i="8"/>
  <c r="E21" i="8"/>
  <c r="N20" i="8"/>
  <c r="F20" i="8"/>
  <c r="O19" i="8"/>
  <c r="G19" i="8"/>
  <c r="P18" i="8"/>
  <c r="H18" i="8"/>
  <c r="Q17" i="8"/>
  <c r="I17" i="8"/>
  <c r="A17" i="8"/>
  <c r="J16" i="8"/>
  <c r="B16" i="8"/>
  <c r="K15" i="8"/>
  <c r="C15" i="8"/>
  <c r="L14" i="8"/>
  <c r="D14" i="8"/>
  <c r="M13" i="8"/>
  <c r="E13" i="8"/>
  <c r="N12" i="8"/>
  <c r="F12" i="8"/>
  <c r="O11" i="8"/>
  <c r="G11" i="8"/>
  <c r="P10" i="8"/>
  <c r="H10" i="8"/>
  <c r="Q9" i="8"/>
  <c r="I9" i="8"/>
  <c r="A9" i="8"/>
  <c r="J8" i="8"/>
  <c r="B8" i="8"/>
  <c r="K7" i="8"/>
  <c r="C7" i="8"/>
  <c r="L6" i="8"/>
  <c r="D6" i="8"/>
  <c r="M5" i="8"/>
  <c r="E5" i="8"/>
  <c r="N4" i="8"/>
  <c r="F4" i="8"/>
  <c r="O3" i="8"/>
  <c r="G3" i="8"/>
  <c r="P2" i="8"/>
  <c r="H2" i="8"/>
  <c r="Q1" i="8"/>
  <c r="I1" i="8"/>
  <c r="AW36" i="2"/>
  <c r="AV36" i="2"/>
  <c r="AU36" i="2"/>
  <c r="AT36" i="2"/>
  <c r="AK36" i="2"/>
  <c r="AJ36" i="2"/>
  <c r="AI36" i="2"/>
  <c r="AH36" i="2"/>
  <c r="AW35" i="2"/>
  <c r="AV35" i="2"/>
  <c r="AU35" i="2"/>
  <c r="AT35" i="2"/>
  <c r="AK35" i="2"/>
  <c r="AJ35" i="2"/>
  <c r="AI35" i="2"/>
  <c r="AH35" i="2"/>
  <c r="AW34" i="2"/>
  <c r="AV34" i="2"/>
  <c r="AU34" i="2"/>
  <c r="AT34" i="2"/>
  <c r="AK34" i="2"/>
  <c r="AJ34" i="2"/>
  <c r="AI34" i="2"/>
  <c r="AH34" i="2"/>
  <c r="AW33" i="2"/>
  <c r="AV33" i="2"/>
  <c r="AU33" i="2"/>
  <c r="AT33" i="2"/>
  <c r="AK33" i="2"/>
  <c r="AJ33" i="2"/>
  <c r="AI33" i="2"/>
  <c r="AH33" i="2"/>
  <c r="AW30" i="2"/>
  <c r="AV30" i="2"/>
  <c r="AU30" i="2"/>
  <c r="AT30" i="2"/>
  <c r="AK30" i="2"/>
  <c r="AJ30" i="2"/>
  <c r="AI30" i="2"/>
  <c r="AH30" i="2"/>
  <c r="AW29" i="2"/>
  <c r="AV29" i="2"/>
  <c r="AU29" i="2"/>
  <c r="AT29" i="2"/>
  <c r="AK29" i="2"/>
  <c r="AJ29" i="2"/>
  <c r="AI29" i="2"/>
  <c r="AH29" i="2"/>
  <c r="AW31" i="2"/>
  <c r="AV31" i="2"/>
  <c r="AU31" i="2"/>
  <c r="AT31" i="2"/>
  <c r="AK31" i="2"/>
  <c r="AJ31" i="2"/>
  <c r="AI31" i="2"/>
  <c r="AH31" i="2"/>
  <c r="AW26" i="2" l="1"/>
  <c r="AV26" i="2"/>
  <c r="AU26" i="2"/>
  <c r="AT26" i="2"/>
  <c r="AK26" i="2"/>
  <c r="AJ26" i="2"/>
  <c r="AI26" i="2"/>
  <c r="AH26" i="2"/>
  <c r="AW25" i="2"/>
  <c r="AV25" i="2"/>
  <c r="AU25" i="2"/>
  <c r="AT25" i="2"/>
  <c r="AK25" i="2"/>
  <c r="AJ25" i="2"/>
  <c r="AI25" i="2"/>
  <c r="AH25" i="2"/>
  <c r="AW27" i="2"/>
  <c r="AV27" i="2"/>
  <c r="AU27" i="2"/>
  <c r="AT27" i="2"/>
  <c r="AK27" i="2"/>
  <c r="AJ27" i="2"/>
  <c r="AI27" i="2"/>
  <c r="AH27" i="2"/>
  <c r="AW8" i="2" l="1"/>
  <c r="AV8" i="2"/>
  <c r="AU8" i="2"/>
  <c r="AT8" i="2"/>
  <c r="AK8" i="2"/>
  <c r="AJ8" i="2"/>
  <c r="AI8" i="2"/>
  <c r="AH8" i="2"/>
  <c r="AW45" i="2" l="1"/>
  <c r="AV45" i="2"/>
  <c r="AU45" i="2"/>
  <c r="AT45" i="2"/>
  <c r="AK45" i="2"/>
  <c r="AJ45" i="2"/>
  <c r="AI45" i="2"/>
  <c r="AH45" i="2"/>
  <c r="AW56" i="2" l="1"/>
  <c r="AV56" i="2"/>
  <c r="AU56" i="2"/>
  <c r="AT56" i="2"/>
  <c r="AK56" i="2"/>
  <c r="AJ56" i="2"/>
  <c r="AI56" i="2"/>
  <c r="AH56" i="2"/>
  <c r="AW71" i="2" l="1"/>
  <c r="AV71" i="2"/>
  <c r="AU71" i="2"/>
  <c r="AT71" i="2"/>
  <c r="AK71" i="2"/>
  <c r="AJ71" i="2"/>
  <c r="AI71" i="2"/>
  <c r="AH71" i="2"/>
  <c r="AW59" i="2" l="1"/>
  <c r="AV59" i="2"/>
  <c r="AU59" i="2"/>
  <c r="AT59" i="2"/>
  <c r="AK59" i="2"/>
  <c r="AJ59" i="2"/>
  <c r="AI59" i="2"/>
  <c r="AH59" i="2"/>
  <c r="AW73" i="2"/>
  <c r="AV73" i="2"/>
  <c r="AU73" i="2"/>
  <c r="AT73" i="2"/>
  <c r="AK73" i="2"/>
  <c r="AJ73" i="2"/>
  <c r="AI73" i="2"/>
  <c r="AH73" i="2"/>
  <c r="AW70" i="2"/>
  <c r="AV70" i="2"/>
  <c r="AU70" i="2"/>
  <c r="AT70" i="2"/>
  <c r="AK70" i="2"/>
  <c r="AJ70" i="2"/>
  <c r="AI70" i="2"/>
  <c r="AH70" i="2"/>
  <c r="AW69" i="2"/>
  <c r="AV69" i="2"/>
  <c r="AU69" i="2"/>
  <c r="AT69" i="2"/>
  <c r="AK69" i="2"/>
  <c r="AJ69" i="2"/>
  <c r="AI69" i="2"/>
  <c r="AH69" i="2"/>
  <c r="AW86" i="2" l="1"/>
  <c r="AV86" i="2"/>
  <c r="AU86" i="2"/>
  <c r="AT86" i="2"/>
  <c r="AK86" i="2"/>
  <c r="AJ86" i="2"/>
  <c r="AI86" i="2"/>
  <c r="AH86" i="2"/>
  <c r="AW85" i="2"/>
  <c r="AV85" i="2"/>
  <c r="AU85" i="2"/>
  <c r="AT85" i="2"/>
  <c r="AK85" i="2"/>
  <c r="AJ85" i="2"/>
  <c r="AI85" i="2"/>
  <c r="AH85" i="2"/>
  <c r="AW74" i="2"/>
  <c r="AV74" i="2"/>
  <c r="AU74" i="2"/>
  <c r="AT74" i="2"/>
  <c r="AK74" i="2"/>
  <c r="AJ74" i="2"/>
  <c r="AI74" i="2"/>
  <c r="AH74" i="2"/>
  <c r="AW78" i="2"/>
  <c r="AV78" i="2"/>
  <c r="AU78" i="2"/>
  <c r="AT78" i="2"/>
  <c r="AK78" i="2"/>
  <c r="AJ78" i="2"/>
  <c r="AI78" i="2"/>
  <c r="AH78" i="2"/>
  <c r="AW79" i="2"/>
  <c r="AV79" i="2"/>
  <c r="AU79" i="2"/>
  <c r="AT79" i="2"/>
  <c r="AK79" i="2"/>
  <c r="AJ79" i="2"/>
  <c r="AI79" i="2"/>
  <c r="AH79" i="2"/>
  <c r="AW91" i="2"/>
  <c r="AV91" i="2"/>
  <c r="AU91" i="2"/>
  <c r="AT91" i="2"/>
  <c r="AK91" i="2"/>
  <c r="AJ91" i="2"/>
  <c r="AI91" i="2"/>
  <c r="AH91" i="2"/>
  <c r="AW92" i="2"/>
  <c r="AV92" i="2"/>
  <c r="AU92" i="2"/>
  <c r="AT92" i="2"/>
  <c r="AK92" i="2"/>
  <c r="AJ92" i="2"/>
  <c r="AI92" i="2"/>
  <c r="AH92" i="2"/>
  <c r="AW63" i="2"/>
  <c r="AV63" i="2"/>
  <c r="AU63" i="2"/>
  <c r="AT63" i="2"/>
  <c r="AK63" i="2"/>
  <c r="AJ63" i="2"/>
  <c r="AI63" i="2"/>
  <c r="AH63" i="2"/>
  <c r="AW51" i="2"/>
  <c r="AV51" i="2"/>
  <c r="AU51" i="2"/>
  <c r="AT51" i="2"/>
  <c r="AK51" i="2"/>
  <c r="AJ51" i="2"/>
  <c r="AI51" i="2"/>
  <c r="AH51" i="2"/>
  <c r="AW46" i="2"/>
  <c r="AV46" i="2"/>
  <c r="AU46" i="2"/>
  <c r="AT46" i="2"/>
  <c r="AK46" i="2"/>
  <c r="AJ46" i="2"/>
  <c r="AI46" i="2"/>
  <c r="AH46" i="2"/>
  <c r="AW48" i="2"/>
  <c r="AV48" i="2"/>
  <c r="AU48" i="2"/>
  <c r="AT48" i="2"/>
  <c r="AK48" i="2"/>
  <c r="AJ48" i="2"/>
  <c r="AI48" i="2"/>
  <c r="AH48" i="2"/>
  <c r="AW42" i="2"/>
  <c r="AV42" i="2"/>
  <c r="AU42" i="2"/>
  <c r="AT42" i="2"/>
  <c r="AK42" i="2"/>
  <c r="AJ42" i="2"/>
  <c r="AI42" i="2"/>
  <c r="AH42" i="2"/>
  <c r="AW61" i="2"/>
  <c r="AV61" i="2"/>
  <c r="AU61" i="2"/>
  <c r="AT61" i="2"/>
  <c r="AK61" i="2"/>
  <c r="AJ61" i="2"/>
  <c r="AI61" i="2"/>
  <c r="AH61" i="2"/>
  <c r="AW66" i="2"/>
  <c r="AV66" i="2"/>
  <c r="AU66" i="2"/>
  <c r="AT66" i="2"/>
  <c r="AK66" i="2"/>
  <c r="AJ66" i="2"/>
  <c r="AI66" i="2"/>
  <c r="AH66" i="2"/>
  <c r="AW67" i="2"/>
  <c r="AV67" i="2"/>
  <c r="AU67" i="2"/>
  <c r="AT67" i="2"/>
  <c r="AK67" i="2"/>
  <c r="AJ67" i="2"/>
  <c r="AI67" i="2"/>
  <c r="AH67" i="2"/>
  <c r="AW16" i="2" l="1"/>
  <c r="AV16" i="2"/>
  <c r="AU16" i="2"/>
  <c r="AT16" i="2"/>
  <c r="AK16" i="2"/>
  <c r="AJ16" i="2"/>
  <c r="AI16" i="2"/>
  <c r="AH16" i="2"/>
  <c r="AW24" i="2" l="1"/>
  <c r="AV24" i="2"/>
  <c r="AU24" i="2"/>
  <c r="AT24" i="2"/>
  <c r="AK24" i="2"/>
  <c r="AJ24" i="2"/>
  <c r="AI24" i="2"/>
  <c r="AH24" i="2"/>
  <c r="AW23" i="2"/>
  <c r="AV23" i="2"/>
  <c r="AU23" i="2"/>
  <c r="AT23" i="2"/>
  <c r="AK23" i="2"/>
  <c r="AJ23" i="2"/>
  <c r="AI23" i="2"/>
  <c r="AH23" i="2"/>
  <c r="AW22" i="2"/>
  <c r="AV22" i="2"/>
  <c r="AU22" i="2"/>
  <c r="AT22" i="2"/>
  <c r="AK22" i="2"/>
  <c r="AJ22" i="2"/>
  <c r="AI22" i="2"/>
  <c r="AH22" i="2"/>
  <c r="AW21" i="2"/>
  <c r="AV21" i="2"/>
  <c r="AU21" i="2"/>
  <c r="AT21" i="2"/>
  <c r="AK21" i="2"/>
  <c r="AJ21" i="2"/>
  <c r="AI21" i="2"/>
  <c r="AH21" i="2"/>
  <c r="AW15" i="2"/>
  <c r="AV15" i="2"/>
  <c r="AU15" i="2"/>
  <c r="AT15" i="2"/>
  <c r="AK15" i="2"/>
  <c r="AJ15" i="2"/>
  <c r="AI15" i="2"/>
  <c r="AH15" i="2"/>
  <c r="AW14" i="2"/>
  <c r="AV14" i="2"/>
  <c r="AU14" i="2"/>
  <c r="AT14" i="2"/>
  <c r="AK14" i="2"/>
  <c r="AJ14" i="2"/>
  <c r="AI14" i="2"/>
  <c r="AH14" i="2"/>
  <c r="AW18" i="2" l="1"/>
  <c r="AV18" i="2"/>
  <c r="AU18" i="2"/>
  <c r="AT18" i="2"/>
  <c r="AK18" i="2"/>
  <c r="AJ18" i="2"/>
  <c r="AI18" i="2"/>
  <c r="AH18" i="2"/>
  <c r="AW17" i="2"/>
  <c r="AV17" i="2"/>
  <c r="AU17" i="2"/>
  <c r="AT17" i="2"/>
  <c r="AK17" i="2"/>
  <c r="AJ17" i="2"/>
  <c r="AI17" i="2"/>
  <c r="AH17" i="2"/>
  <c r="AW58" i="2"/>
  <c r="AV58" i="2"/>
  <c r="AU58" i="2"/>
  <c r="AT58" i="2"/>
  <c r="AK58" i="2"/>
  <c r="AJ58" i="2"/>
  <c r="AI58" i="2"/>
  <c r="AH58" i="2"/>
  <c r="AW55" i="2"/>
  <c r="AV55" i="2"/>
  <c r="AU55" i="2"/>
  <c r="AT55" i="2"/>
  <c r="AK55" i="2"/>
  <c r="AJ55" i="2"/>
  <c r="AI55" i="2"/>
  <c r="AH55" i="2"/>
  <c r="AW47" i="2"/>
  <c r="AV47" i="2"/>
  <c r="AU47" i="2"/>
  <c r="AT47" i="2"/>
  <c r="AK47" i="2"/>
  <c r="AJ47" i="2"/>
  <c r="AI47" i="2"/>
  <c r="AH47" i="2"/>
  <c r="AW32" i="2" l="1"/>
  <c r="AV32" i="2"/>
  <c r="AU32" i="2"/>
  <c r="AT32" i="2"/>
  <c r="AW28" i="2"/>
  <c r="AV28" i="2"/>
  <c r="AU28" i="2"/>
  <c r="AT28" i="2"/>
  <c r="AW81" i="2"/>
  <c r="AV81" i="2"/>
  <c r="AU81" i="2"/>
  <c r="AT81" i="2"/>
  <c r="AW64" i="2"/>
  <c r="AV64" i="2"/>
  <c r="AU64" i="2"/>
  <c r="AT64" i="2"/>
  <c r="AW62" i="2"/>
  <c r="AV62" i="2"/>
  <c r="AU62" i="2"/>
  <c r="AT62" i="2"/>
  <c r="AW12" i="2"/>
  <c r="AV12" i="2"/>
  <c r="AU12" i="2"/>
  <c r="AT12" i="2"/>
  <c r="AW11" i="2"/>
  <c r="AV11" i="2"/>
  <c r="AU11" i="2"/>
  <c r="AT11" i="2"/>
  <c r="AW10" i="2"/>
  <c r="AV10" i="2"/>
  <c r="AU10" i="2"/>
  <c r="AT10" i="2"/>
  <c r="AW9" i="2"/>
  <c r="AV9" i="2"/>
  <c r="AU9" i="2"/>
  <c r="AT9" i="2"/>
  <c r="AW7" i="2"/>
  <c r="AV7" i="2"/>
  <c r="AU7" i="2"/>
  <c r="AT7" i="2"/>
  <c r="AW80" i="2"/>
  <c r="AV80" i="2"/>
  <c r="AU80" i="2"/>
  <c r="AT80" i="2"/>
  <c r="AW90" i="2"/>
  <c r="AV90" i="2"/>
  <c r="AU90" i="2"/>
  <c r="AT90" i="2"/>
  <c r="AW19" i="2"/>
  <c r="AV19" i="2"/>
  <c r="AU19" i="2"/>
  <c r="AT19" i="2"/>
  <c r="AW44" i="2"/>
  <c r="AV44" i="2"/>
  <c r="AU44" i="2"/>
  <c r="AT44" i="2"/>
  <c r="AW43" i="2"/>
  <c r="AV43" i="2"/>
  <c r="AU43" i="2"/>
  <c r="AT43" i="2"/>
  <c r="AW37" i="2"/>
  <c r="AV37" i="2"/>
  <c r="AU37" i="2"/>
  <c r="AT37" i="2"/>
  <c r="AW52" i="2"/>
  <c r="AV52" i="2"/>
  <c r="AU52" i="2"/>
  <c r="AT52" i="2"/>
  <c r="AK32" i="2"/>
  <c r="AJ32" i="2"/>
  <c r="AI32" i="2"/>
  <c r="AH32" i="2"/>
  <c r="AK28" i="2"/>
  <c r="AJ28" i="2"/>
  <c r="AI28" i="2"/>
  <c r="AH28" i="2"/>
  <c r="AK81" i="2"/>
  <c r="AJ81" i="2"/>
  <c r="AI81" i="2"/>
  <c r="AH81" i="2"/>
  <c r="AK64" i="2"/>
  <c r="AJ64" i="2"/>
  <c r="AI64" i="2"/>
  <c r="AH64" i="2"/>
  <c r="AK62" i="2"/>
  <c r="AJ62" i="2"/>
  <c r="AI62" i="2"/>
  <c r="AH62" i="2"/>
  <c r="AK12" i="2"/>
  <c r="AJ12" i="2"/>
  <c r="AI12" i="2"/>
  <c r="AH12" i="2"/>
  <c r="AK11" i="2"/>
  <c r="AJ11" i="2"/>
  <c r="AI11" i="2"/>
  <c r="AH11" i="2"/>
  <c r="AK10" i="2"/>
  <c r="AJ10" i="2"/>
  <c r="AI10" i="2"/>
  <c r="AH10" i="2"/>
  <c r="AK9" i="2"/>
  <c r="AJ9" i="2"/>
  <c r="AI9" i="2"/>
  <c r="AH9" i="2"/>
  <c r="AK7" i="2"/>
  <c r="AJ7" i="2"/>
  <c r="AI7" i="2"/>
  <c r="AH7" i="2"/>
  <c r="AK80" i="2"/>
  <c r="AJ80" i="2"/>
  <c r="AI80" i="2"/>
  <c r="AH80" i="2"/>
  <c r="AK90" i="2"/>
  <c r="AJ90" i="2"/>
  <c r="AI90" i="2"/>
  <c r="AH90" i="2"/>
  <c r="AK19" i="2"/>
  <c r="AJ19" i="2"/>
  <c r="AI19" i="2"/>
  <c r="AH19" i="2"/>
  <c r="AK44" i="2"/>
  <c r="AJ44" i="2"/>
  <c r="AI44" i="2"/>
  <c r="AH44" i="2"/>
  <c r="AK43" i="2"/>
  <c r="AJ43" i="2"/>
  <c r="AI43" i="2"/>
  <c r="AH43" i="2"/>
  <c r="AK37" i="2"/>
  <c r="AJ37" i="2"/>
  <c r="AI37" i="2"/>
  <c r="AH37" i="2"/>
  <c r="AK52" i="2"/>
  <c r="AJ52" i="2"/>
  <c r="AI52" i="2"/>
  <c r="AH52" i="2"/>
  <c r="AW50" i="2"/>
  <c r="AV50" i="2"/>
  <c r="AU50" i="2"/>
  <c r="AT50" i="2"/>
  <c r="AI50" i="2"/>
  <c r="AK50" i="2"/>
  <c r="AJ50" i="2"/>
  <c r="AH50"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T8" i="2" s="1"/>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U8" i="2" s="1"/>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V61" i="2" s="1"/>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V80" i="2" s="1"/>
  <c r="J12" i="6"/>
  <c r="N11" i="6"/>
  <c r="E9" i="6"/>
  <c r="G8" i="6"/>
  <c r="W46" i="2" s="1"/>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U84" i="2" l="1"/>
  <c r="T84" i="2"/>
  <c r="W84" i="2"/>
  <c r="V84" i="2"/>
  <c r="W61" i="2"/>
  <c r="W8" i="2"/>
  <c r="V8" i="2"/>
  <c r="V36" i="2"/>
  <c r="V33" i="2"/>
  <c r="V29" i="2"/>
  <c r="V31" i="2"/>
  <c r="V25" i="2"/>
  <c r="V32" i="2"/>
  <c r="V28" i="2"/>
  <c r="W36" i="2"/>
  <c r="W31" i="2"/>
  <c r="W29" i="2"/>
  <c r="W33" i="2"/>
  <c r="W25" i="2"/>
  <c r="W32" i="2"/>
  <c r="W28" i="2"/>
  <c r="U25" i="2"/>
  <c r="U28" i="2"/>
  <c r="V13" i="2"/>
  <c r="W13" i="2"/>
  <c r="U36" i="2"/>
  <c r="U33" i="2"/>
  <c r="U29" i="2"/>
  <c r="U31" i="2"/>
  <c r="T36" i="2"/>
  <c r="T33" i="2"/>
  <c r="T29" i="2"/>
  <c r="T31" i="2"/>
  <c r="T25" i="2"/>
  <c r="U32" i="2"/>
  <c r="T32" i="2"/>
  <c r="T28" i="2"/>
  <c r="V35" i="2"/>
  <c r="V34" i="2"/>
  <c r="V30" i="2"/>
  <c r="V27" i="2"/>
  <c r="V26" i="2"/>
  <c r="V20" i="2"/>
  <c r="W20" i="2"/>
  <c r="U35" i="2"/>
  <c r="U34" i="2"/>
  <c r="U30" i="2"/>
  <c r="T35" i="2"/>
  <c r="T34" i="2"/>
  <c r="T30" i="2"/>
  <c r="T26" i="2"/>
  <c r="T27" i="2"/>
  <c r="T20" i="2"/>
  <c r="U20" i="2"/>
  <c r="W30" i="2"/>
  <c r="W35" i="2"/>
  <c r="W34" i="2"/>
  <c r="W26" i="2"/>
  <c r="W27" i="2"/>
  <c r="U26" i="2"/>
  <c r="U27" i="2"/>
  <c r="U80" i="2"/>
  <c r="T80" i="2"/>
  <c r="T70" i="2"/>
  <c r="U70" i="2"/>
  <c r="W90" i="2"/>
  <c r="W85" i="2"/>
  <c r="W71" i="2"/>
  <c r="W69" i="2"/>
  <c r="W52" i="2"/>
  <c r="W50" i="2"/>
  <c r="V71" i="2"/>
  <c r="V69" i="2"/>
  <c r="V52" i="2"/>
  <c r="V50" i="2"/>
  <c r="W77" i="2"/>
  <c r="W76" i="2"/>
  <c r="W72" i="2"/>
  <c r="V72" i="2"/>
  <c r="W97" i="2"/>
  <c r="V97" i="2"/>
  <c r="W75" i="2"/>
  <c r="V11" i="2"/>
  <c r="W9" i="2"/>
  <c r="W11" i="2"/>
  <c r="V9" i="2"/>
  <c r="W79" i="2"/>
  <c r="W86" i="2"/>
  <c r="W51" i="2"/>
  <c r="V51" i="2"/>
  <c r="W18" i="2"/>
  <c r="U60" i="2"/>
  <c r="T65" i="2"/>
  <c r="T60" i="2"/>
  <c r="U65" i="2"/>
  <c r="T38" i="2"/>
  <c r="T94" i="2"/>
  <c r="T95" i="2"/>
  <c r="U94" i="2"/>
  <c r="U95" i="2"/>
  <c r="V46" i="2"/>
  <c r="U74" i="2"/>
  <c r="U64" i="2"/>
  <c r="U62" i="2"/>
  <c r="U58" i="2"/>
  <c r="U56" i="2"/>
  <c r="U67" i="2"/>
  <c r="U24" i="2"/>
  <c r="U19" i="2"/>
  <c r="U16" i="2"/>
  <c r="T74" i="2"/>
  <c r="T64" i="2"/>
  <c r="T62" i="2"/>
  <c r="T58" i="2"/>
  <c r="T56" i="2"/>
  <c r="T67" i="2"/>
  <c r="T55" i="2"/>
  <c r="T46" i="2"/>
  <c r="T24" i="2"/>
  <c r="T21" i="2"/>
  <c r="T19" i="2"/>
  <c r="T16" i="2"/>
  <c r="U55" i="2"/>
  <c r="U21" i="2"/>
  <c r="V23" i="2"/>
  <c r="W23" i="2"/>
  <c r="V77" i="2"/>
  <c r="V76" i="2"/>
  <c r="V75" i="2"/>
  <c r="V79" i="2"/>
  <c r="V86" i="2"/>
  <c r="V18" i="2"/>
  <c r="W42" i="2"/>
  <c r="W37" i="2"/>
  <c r="W83" i="2"/>
  <c r="W82" i="2"/>
  <c r="V39" i="2"/>
  <c r="W39" i="2"/>
  <c r="W40" i="2"/>
  <c r="V40" i="2"/>
  <c r="W81" i="2"/>
  <c r="V10" i="2"/>
  <c r="W10" i="2"/>
  <c r="W92" i="2"/>
  <c r="W66" i="2"/>
  <c r="V15" i="2"/>
  <c r="W15" i="2"/>
  <c r="T77" i="2"/>
  <c r="U77" i="2"/>
  <c r="T76" i="2"/>
  <c r="U76" i="2"/>
  <c r="U72" i="2"/>
  <c r="T72" i="2"/>
  <c r="T97" i="2"/>
  <c r="U97" i="2"/>
  <c r="U75" i="2"/>
  <c r="T75" i="2"/>
  <c r="T9" i="2"/>
  <c r="T11" i="2"/>
  <c r="U9" i="2"/>
  <c r="U11" i="2"/>
  <c r="U79" i="2"/>
  <c r="U86" i="2"/>
  <c r="U42" i="2"/>
  <c r="U18" i="2"/>
  <c r="T79" i="2"/>
  <c r="T86" i="2"/>
  <c r="T51" i="2"/>
  <c r="T42" i="2"/>
  <c r="T37" i="2"/>
  <c r="T23" i="2"/>
  <c r="T18" i="2"/>
  <c r="U51" i="2"/>
  <c r="U37" i="2"/>
  <c r="U23" i="2"/>
  <c r="V90" i="2"/>
  <c r="V85" i="2"/>
  <c r="V42" i="2"/>
  <c r="V37" i="2"/>
  <c r="T89" i="2"/>
  <c r="U89" i="2"/>
  <c r="T88" i="2"/>
  <c r="U88" i="2"/>
  <c r="T68" i="2"/>
  <c r="T53" i="2"/>
  <c r="T54" i="2"/>
  <c r="U68" i="2"/>
  <c r="U53" i="2"/>
  <c r="U54" i="2"/>
  <c r="U57" i="2"/>
  <c r="T57" i="2"/>
  <c r="T41" i="2"/>
  <c r="T87" i="2"/>
  <c r="T96" i="2"/>
  <c r="U87" i="2"/>
  <c r="V49" i="2"/>
  <c r="U96" i="2"/>
  <c r="T49" i="2"/>
  <c r="T13" i="2"/>
  <c r="U13" i="2"/>
  <c r="U45" i="2"/>
  <c r="T45" i="2"/>
  <c r="U78" i="2"/>
  <c r="U91" i="2"/>
  <c r="U61" i="2"/>
  <c r="U44" i="2"/>
  <c r="U12" i="2"/>
  <c r="T78" i="2"/>
  <c r="T91" i="2"/>
  <c r="T61" i="2"/>
  <c r="T73" i="2"/>
  <c r="T44" i="2"/>
  <c r="T43" i="2"/>
  <c r="T17" i="2"/>
  <c r="T14" i="2"/>
  <c r="T12" i="2"/>
  <c r="U73" i="2"/>
  <c r="U43" i="2"/>
  <c r="U17" i="2"/>
  <c r="U14" i="2"/>
  <c r="V60" i="2"/>
  <c r="V74" i="2"/>
  <c r="V58" i="2"/>
  <c r="V67" i="2"/>
  <c r="V55" i="2"/>
  <c r="V19" i="2"/>
  <c r="V24" i="2"/>
  <c r="V21" i="2"/>
  <c r="W24" i="2"/>
  <c r="W21" i="2"/>
  <c r="U41" i="2"/>
  <c r="U49" i="2"/>
  <c r="U38" i="2"/>
  <c r="U46" i="2"/>
  <c r="W57" i="2"/>
  <c r="V57" i="2"/>
  <c r="V83" i="2"/>
  <c r="V82" i="2"/>
  <c r="V81" i="2"/>
  <c r="V92" i="2"/>
  <c r="V66" i="2"/>
  <c r="W89" i="2"/>
  <c r="W88" i="2"/>
  <c r="V53" i="2"/>
  <c r="W68" i="2"/>
  <c r="W53" i="2"/>
  <c r="W54" i="2"/>
  <c r="V54" i="2"/>
  <c r="V41" i="2"/>
  <c r="W41" i="2"/>
  <c r="V96" i="2"/>
  <c r="W87" i="2"/>
  <c r="W96" i="2"/>
  <c r="W45" i="2"/>
  <c r="V45" i="2"/>
  <c r="W78" i="2"/>
  <c r="W91" i="2"/>
  <c r="W73" i="2"/>
  <c r="V73" i="2"/>
  <c r="V14" i="2"/>
  <c r="V12" i="2"/>
  <c r="W17" i="2"/>
  <c r="W14" i="2"/>
  <c r="W12" i="2"/>
  <c r="V89" i="2"/>
  <c r="V88" i="2"/>
  <c r="V68" i="2"/>
  <c r="V87" i="2"/>
  <c r="V78" i="2"/>
  <c r="V91" i="2"/>
  <c r="V17" i="2"/>
  <c r="W44" i="2"/>
  <c r="W43" i="2"/>
  <c r="U90" i="2"/>
  <c r="U85" i="2"/>
  <c r="U71" i="2"/>
  <c r="U52" i="2"/>
  <c r="U50" i="2"/>
  <c r="T90" i="2"/>
  <c r="T85" i="2"/>
  <c r="T71" i="2"/>
  <c r="T69" i="2"/>
  <c r="T52" i="2"/>
  <c r="T50" i="2"/>
  <c r="U69" i="2"/>
  <c r="T83" i="2"/>
  <c r="U83" i="2"/>
  <c r="T82" i="2"/>
  <c r="U82" i="2"/>
  <c r="T39" i="2"/>
  <c r="T40" i="2"/>
  <c r="T81" i="2"/>
  <c r="U81" i="2"/>
  <c r="T10" i="2"/>
  <c r="U10" i="2"/>
  <c r="V48" i="2"/>
  <c r="V47" i="2"/>
  <c r="U92" i="2"/>
  <c r="U63" i="2"/>
  <c r="U66" i="2"/>
  <c r="U22" i="2"/>
  <c r="T92" i="2"/>
  <c r="T63" i="2"/>
  <c r="T59" i="2"/>
  <c r="T66" i="2"/>
  <c r="T48" i="2"/>
  <c r="T47" i="2"/>
  <c r="T22" i="2"/>
  <c r="T15" i="2"/>
  <c r="U59" i="2"/>
  <c r="U15" i="2"/>
  <c r="U39" i="2"/>
  <c r="U40" i="2"/>
  <c r="U47" i="2"/>
  <c r="U48" i="2"/>
  <c r="W63" i="2"/>
  <c r="W59" i="2"/>
  <c r="V63" i="2"/>
  <c r="V59" i="2"/>
  <c r="W49" i="2"/>
  <c r="V44" i="2"/>
  <c r="V43" i="2"/>
  <c r="W48" i="2"/>
  <c r="W47" i="2"/>
  <c r="V22" i="2"/>
  <c r="W22" i="2"/>
  <c r="W65" i="2"/>
  <c r="V65" i="2"/>
  <c r="W64" i="2"/>
  <c r="W62" i="2"/>
  <c r="W56" i="2"/>
  <c r="V64" i="2"/>
  <c r="V62" i="2"/>
  <c r="V56" i="2"/>
  <c r="W80" i="2"/>
  <c r="W70" i="2"/>
  <c r="V70" i="2"/>
  <c r="W60" i="2"/>
  <c r="V38" i="2"/>
  <c r="W38" i="2"/>
  <c r="V95" i="2"/>
  <c r="W94" i="2"/>
  <c r="W95" i="2"/>
  <c r="V94" i="2"/>
  <c r="W74" i="2"/>
  <c r="W58" i="2"/>
  <c r="W67" i="2"/>
  <c r="W55" i="2"/>
  <c r="V16" i="2"/>
  <c r="W19" i="2"/>
  <c r="W16" i="2"/>
  <c r="W7" i="2"/>
  <c r="V7" i="2"/>
  <c r="U7" i="2"/>
  <c r="T7" i="2"/>
</calcChain>
</file>

<file path=xl/sharedStrings.xml><?xml version="1.0" encoding="utf-8"?>
<sst xmlns="http://schemas.openxmlformats.org/spreadsheetml/2006/main" count="1311" uniqueCount="479">
  <si>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</si>
  <si>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</si>
  <si>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</si>
  <si>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</si>
  <si>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</si>
  <si>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</si>
  <si>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</si>
  <si>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</si>
  <si>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</si>
  <si>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</si>
  <si>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</si>
  <si>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</si>
  <si>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</si>
  <si>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</si>
  <si>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</si>
  <si>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</si>
  <si>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</si>
  <si>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</si>
  <si>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Novel Aspects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</si>
  <si>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</si>
  <si>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</si>
  <si>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</si>
  <si>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</si>
  <si>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</si>
  <si>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</si>
  <si>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</si>
  <si>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</si>
  <si>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</si>
  <si>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</si>
  <si>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</si>
  <si>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</si>
  <si>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</si>
  <si>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</si>
  <si>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</si>
  <si>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</si>
  <si>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</si>
  <si>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</si>
  <si>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</si>
  <si>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Rotor Segment</t>
  </si>
  <si>
    <t xml:space="preserve">Create magnetic field </t>
  </si>
  <si>
    <t>Shaft Seals</t>
  </si>
  <si>
    <t>Stator Segment</t>
  </si>
  <si>
    <t>Electromechanical energy conversion</t>
  </si>
  <si>
    <t>270-1</t>
  </si>
  <si>
    <t>270-2</t>
  </si>
  <si>
    <t>220-2</t>
  </si>
  <si>
    <t>220-1</t>
  </si>
  <si>
    <t>220-3</t>
  </si>
  <si>
    <t>220-4</t>
  </si>
  <si>
    <t>220-5</t>
  </si>
  <si>
    <t>280-1</t>
  </si>
  <si>
    <t>280-2</t>
  </si>
  <si>
    <t>210-1</t>
  </si>
  <si>
    <t>210-3</t>
  </si>
  <si>
    <t>210-4</t>
  </si>
  <si>
    <t>210-2</t>
  </si>
  <si>
    <t>210-5</t>
  </si>
  <si>
    <t>Contamination, corrosion</t>
  </si>
  <si>
    <t>Extreme loading</t>
  </si>
  <si>
    <t>1) Stator segment no longer attached to outer housing
2) Stator makes contact with rotor
3) Permanent damage to surrounding rotors and stators</t>
  </si>
  <si>
    <t>1) Air gap no longer controlled at that location
2) stator makes contact with rotor
3) Permanent damage to surrounding rotors</t>
  </si>
  <si>
    <t xml:space="preserve">Corrosion induced failure </t>
  </si>
  <si>
    <t>Manufacturing defect results in failure</t>
  </si>
  <si>
    <t>Vibration induced failure</t>
  </si>
  <si>
    <t>Large leak</t>
  </si>
  <si>
    <t>Moisture induced failure</t>
  </si>
  <si>
    <t>Failure of mechanical mounting</t>
  </si>
  <si>
    <t>Normal</t>
  </si>
  <si>
    <t>none</t>
  </si>
  <si>
    <t>Bearing seals</t>
  </si>
  <si>
    <t>1) Bearing and lubrication checks, look for signs of bearing failure and contaminants in used grease.</t>
  </si>
  <si>
    <t>V&amp;V</t>
  </si>
  <si>
    <t xml:space="preserve">Visual inspection
</t>
  </si>
  <si>
    <t>1) Resin encased
2) Modal analysis</t>
  </si>
  <si>
    <t>1) Vibration sensors and bearing temperature
2) Abnormal speed with respect to the wave climate and damping</t>
  </si>
  <si>
    <t>Dry dock repair</t>
  </si>
  <si>
    <t>level sensors</t>
  </si>
  <si>
    <t>dry dock repair of seal</t>
  </si>
  <si>
    <t>SCADA diagnostics</t>
  </si>
  <si>
    <t>0200 PTO System FMECA Table</t>
  </si>
  <si>
    <t xml:space="preserve">Tech. 
Class
</t>
  </si>
  <si>
    <t>Marine application</t>
  </si>
  <si>
    <t>270-5</t>
  </si>
  <si>
    <t>270-6</t>
  </si>
  <si>
    <t>230-1</t>
  </si>
  <si>
    <t>230-2</t>
  </si>
  <si>
    <t>230-3</t>
  </si>
  <si>
    <t>230-4</t>
  </si>
  <si>
    <t>Stator Cables</t>
  </si>
  <si>
    <t>Connection between stator segments in PTO compartment to MoMos in dry control room</t>
  </si>
  <si>
    <t>mechanical failure</t>
  </si>
  <si>
    <t>220-6</t>
  </si>
  <si>
    <t>270-3</t>
  </si>
  <si>
    <t>270-4</t>
  </si>
  <si>
    <t>Loading</t>
  </si>
  <si>
    <t xml:space="preserve">Transmit torque from stator segment to PTO structure
Maintains generator air gap locally
</t>
  </si>
  <si>
    <t>Stator Cart
Torque Rods</t>
  </si>
  <si>
    <t>Stator Cart
Track rollers</t>
  </si>
  <si>
    <t>Stator Cart
Stator segment mount</t>
  </si>
  <si>
    <t>Maintain watertight integrity of PTO structure where it is pierced by a rotating shaft</t>
  </si>
  <si>
    <t>Wear/fatigue</t>
  </si>
  <si>
    <t>Manufacturing defect</t>
  </si>
  <si>
    <t>Contamination puncture</t>
  </si>
  <si>
    <t>Debris</t>
  </si>
  <si>
    <t xml:space="preserve">Wear/fatigue </t>
  </si>
  <si>
    <t>Vibration</t>
  </si>
  <si>
    <t>Improper installation</t>
  </si>
  <si>
    <t>280-3</t>
  </si>
  <si>
    <t>280-4</t>
  </si>
  <si>
    <t>280-5</t>
  </si>
  <si>
    <t>280-6</t>
  </si>
  <si>
    <t>Contamination</t>
  </si>
  <si>
    <t>Moderate Leak</t>
  </si>
  <si>
    <t>1) Rope guard per DNV standards
2) Large pumps</t>
  </si>
  <si>
    <t>1) Precommissioning seal test
2) Large pumps</t>
  </si>
  <si>
    <t>1) Regular seal replacement
2) Large deflection in seal acceptable
3) Secondary Pump</t>
  </si>
  <si>
    <t>1) Rope guard per DNV standards
2) Secondary Pump</t>
  </si>
  <si>
    <t>1) Precommissioning seal test
2) Secondary Pump</t>
  </si>
  <si>
    <t>1) Regular seal replacement
2) Large deflection in seal acceptable
3) Large pumps</t>
  </si>
  <si>
    <t>280-7</t>
  </si>
  <si>
    <t>280-8</t>
  </si>
  <si>
    <t>280-9</t>
  </si>
  <si>
    <t>1) Vibration sensors
2) bearing temperature
3) lubrication inspection</t>
  </si>
  <si>
    <t>Extra lubrication stored in lubrication system</t>
  </si>
  <si>
    <t>Dry dock to replace bushing</t>
  </si>
  <si>
    <t>Single torque rod failure</t>
  </si>
  <si>
    <t>Double torque rod failure</t>
  </si>
  <si>
    <t>Surveillance camera</t>
  </si>
  <si>
    <t>Dry dock to replace torque rod</t>
  </si>
  <si>
    <t>Dry dock to replace damaged components</t>
  </si>
  <si>
    <t>270-7</t>
  </si>
  <si>
    <t>270-8</t>
  </si>
  <si>
    <t>270-9</t>
  </si>
  <si>
    <t>270-10</t>
  </si>
  <si>
    <t>270-11</t>
  </si>
  <si>
    <t>Single track roller failure</t>
  </si>
  <si>
    <t>Stator Cart
Track</t>
  </si>
  <si>
    <t xml:space="preserve">fatigue </t>
  </si>
  <si>
    <t>Single torque rod load cell failure</t>
  </si>
  <si>
    <t>Stator Cart
Wheel load pin</t>
  </si>
  <si>
    <t xml:space="preserve">Stator Cart
Torque rod load cell </t>
  </si>
  <si>
    <t>1) Each torque rod is designed to take the entire load</t>
  </si>
  <si>
    <t>1) Single track roller load pin fails
2) Stator makes contact with rotor
3) Permanent damage to surrounding rotors and stators</t>
  </si>
  <si>
    <t>270-12</t>
  </si>
  <si>
    <t>270-13</t>
  </si>
  <si>
    <t>270-14</t>
  </si>
  <si>
    <t xml:space="preserve">1) Loss of stator segment
2) Heat in segment
3) Command higher damping on other 35 stators
4) Reduced efficiency
</t>
  </si>
  <si>
    <t xml:space="preserve">1) Rotor segment impacts stator segments
</t>
  </si>
  <si>
    <t>1) Loss of field strength 
2) Reduction in voltage
3) Reduction in power</t>
  </si>
  <si>
    <t>Failure of single rotor magnet</t>
  </si>
  <si>
    <t>Rotor Segment
mounting</t>
  </si>
  <si>
    <t>Stator cable open</t>
  </si>
  <si>
    <t>Stator cable short</t>
  </si>
  <si>
    <t>1) Loss of stator segment
2) Other stator segments with same MoMo gets extra current for one wave cycle
3) failure detected
4) Command higher damping on other 35 stators
5) Reduced efficiency</t>
  </si>
  <si>
    <t xml:space="preserve">1) Marine rated cable and corrector
</t>
  </si>
  <si>
    <t xml:space="preserve">1) Commercial product
2) V&amp;V (QC)
</t>
  </si>
  <si>
    <t>1) Marine rated cable and corrector
2) Climate control</t>
  </si>
  <si>
    <t xml:space="preserve">1) Marine rated cable and corrector
2) Climate control
</t>
  </si>
  <si>
    <t>Accept failure or dry dock repair</t>
  </si>
  <si>
    <t>1) Automatic breaker trip
2) accept failure or dry dock repair</t>
  </si>
  <si>
    <t xml:space="preserve">1) Damaged raceway
2) Broken rollers
3) Added friction
</t>
  </si>
  <si>
    <t>Moderate increase in friction accepted</t>
  </si>
  <si>
    <t>Loss of lubrication</t>
  </si>
  <si>
    <t>1) Increase service outside of maintenance interval</t>
  </si>
  <si>
    <t>Binding</t>
  </si>
  <si>
    <t>1) Reduced efficiency 
2) Increased friction</t>
  </si>
  <si>
    <t>Vibration sensors on the inside of the nacelle tube, starboard side. Port side vibration sensors on shaft</t>
  </si>
  <si>
    <t xml:space="preserve">1) Vibration sensors
</t>
  </si>
  <si>
    <t xml:space="preserve">1) Surveillance camera
2) Surveillance microphone </t>
  </si>
  <si>
    <t>Rubber spacers to be investigated</t>
  </si>
  <si>
    <t xml:space="preserve">1) SCADA diagnostics
2) Surveillance camera
3) Surveillance microphone 
</t>
  </si>
  <si>
    <t>1) SCADA diagnostics
2) Surveillance camera
3) Surveillance microphone 
4) Accelerometer
5) Gap sensors</t>
  </si>
  <si>
    <t xml:space="preserve">Investigation of design and requirement for load pins. </t>
  </si>
  <si>
    <t>StingRAY PTO FMECA</t>
  </si>
  <si>
    <t>SR-0200-RR</t>
  </si>
  <si>
    <t>E Hammagren, J Prudell</t>
  </si>
  <si>
    <t>P Lenee-Bluhm, A Schacher, Z Zhang, M Ondusko</t>
  </si>
  <si>
    <t>1.0</t>
  </si>
  <si>
    <t>Released to GH for review</t>
  </si>
  <si>
    <t>Edits following GH review</t>
  </si>
  <si>
    <t>2.0</t>
  </si>
  <si>
    <t>New format and risk ranking, additional input</t>
  </si>
  <si>
    <t>1) Surveillance camera
2) Accelerometer on rotor/shaft
3) Noise detected on microphone</t>
  </si>
  <si>
    <t>plastic air hose used to clean off either inboard or outboard track</t>
  </si>
  <si>
    <t>Catastrophic leak greater than secondary bilge can handle</t>
  </si>
  <si>
    <t>1) Flooded bilge tank within primary bilge capabilities</t>
  </si>
  <si>
    <t>1) Flooded bilge tank beyond primary bilge capabilities
2) Secondary bilge turns on</t>
  </si>
  <si>
    <t>1) Flooded bilge tank beyond secondary bilge capabilities
2) water fills up bilge pipes to main bearings
3) seals in bearings keep water from entering PTO space</t>
  </si>
  <si>
    <t>Does lubrication system pressure exceed that of water from leaking seal?</t>
  </si>
  <si>
    <t>JP</t>
  </si>
  <si>
    <t>AS</t>
  </si>
  <si>
    <t>Hold rotor in place</t>
  </si>
  <si>
    <t>Main Bearings</t>
  </si>
  <si>
    <t>261-1
262-1</t>
  </si>
  <si>
    <t>Allow smooth rotation of rotor
Constrain relative generator (and float/nacelle) motion to 1 DOF
Transmit loads from drive arms to nacelle tube
Transmit loads on PTO hulls to PTO shafts</t>
  </si>
  <si>
    <t>261-2
262-2</t>
  </si>
  <si>
    <t>261-3
262-3</t>
  </si>
  <si>
    <t>261-4
262-4</t>
  </si>
  <si>
    <t>261-5
262-5</t>
  </si>
  <si>
    <t>261-6
262-6</t>
  </si>
  <si>
    <t>261-7
262-7</t>
  </si>
  <si>
    <t>Main Bearing
Seals</t>
  </si>
  <si>
    <t>Retain bearing lubrication</t>
  </si>
  <si>
    <t>Attach float idler arm to nacelle tube / PTO shaft
Support radial and axial loads</t>
  </si>
  <si>
    <t>261-8
262-8</t>
  </si>
  <si>
    <t>Bearing Failure</t>
  </si>
  <si>
    <t xml:space="preserve">1) Damaged raceway
2) Broken rollers
3) Added friction
4) Bearing damaged and unusable
</t>
  </si>
  <si>
    <t>dry dock replacement</t>
  </si>
  <si>
    <t>Expert Review</t>
  </si>
  <si>
    <t>Eng man Appr</t>
  </si>
  <si>
    <t>Corp Appr</t>
  </si>
  <si>
    <t>CPwr Review</t>
  </si>
  <si>
    <t>DVN GL comments</t>
  </si>
  <si>
    <t>Suggest text for recommended action:
Demonstrate, via structural analysis, the loading on the bearing is within the acceptance criteria, considering induction of other modes of loading, such as bending moment due to the long torque arm of float drive arms.</t>
  </si>
  <si>
    <t>Deformation of shaft</t>
  </si>
  <si>
    <t>CP to provide more specific description of the function</t>
  </si>
  <si>
    <t>Over pressurization</t>
  </si>
  <si>
    <t>Please include the FMECA of item 250</t>
  </si>
  <si>
    <t>PTO to hull interface</t>
  </si>
  <si>
    <t>Please include the FMECA of item 240</t>
  </si>
  <si>
    <t>Suggest text for recommended action:
Load derivation methodology to take into account the uncertainties in the loading due to site characterisation measurements and hydrodynamic modelling.
CP to demonstrate the derivation of loading is conservative for the site, including providing evidence from site assessment and validation of the overall loading upon deployment.</t>
  </si>
  <si>
    <t xml:space="preserve">Suggest text for recommended action:
Metal content / foreign particles in lubrication oil to be monitored and implementation of early detection measure in order to limit the consequence of failure. </t>
  </si>
  <si>
    <t>Suggest text for recommended action:
Demonstrate, via structural analysis, the loading on the bearing is within the acceptance criteria in the load case with largest deformation on the shaft.</t>
  </si>
  <si>
    <t>Seal failure</t>
  </si>
  <si>
    <t>1) Dry dock to replace seal failure</t>
  </si>
  <si>
    <t xml:space="preserve">1) Lubrication leaks out
2) Increase service outside of maintenance interval
</t>
  </si>
  <si>
    <t>Excessive wear (debris)</t>
  </si>
  <si>
    <t>Assume it has the same occurrence class as operation impact. Recommended action same as that for stator segment.
Please clarify what is the corrosion protection system on the rotor segment mounting.</t>
  </si>
  <si>
    <t>Loosening</t>
  </si>
  <si>
    <t>Loss of pretension</t>
  </si>
  <si>
    <t>1) Excessive vibration
2) Bolts travel into air gap, damaging the stator and rotor segments</t>
  </si>
  <si>
    <t>Material degradation</t>
  </si>
  <si>
    <t>Suggest text for recommended action:
Demonstrate, via analysis, that contact between stator and rotor segments can be avoided in the worse load case. If impact is possible, then the structural analysis shall demonstrate structural integrity of the component is within the acceptance criteria when subject to the impact</t>
  </si>
  <si>
    <t>Please state the material of the bolts and its corrosion protection system.
Suggest text for recommended action:
Demonstrate, via manufacturing documentation or testing reports, that the long term integrity of the coating is within the design criteria for the corrosion protection system on the rotor.</t>
  </si>
  <si>
    <t>Occurrence is low based on the assumption that Siemens is able to provide evidence for reliability compatible to the occurrence class. Please confirm</t>
  </si>
  <si>
    <t>De-magnetization of magnets (BH-curves of magnet material at elevated temperatures) due to short-circuit in e.g. connection line should be addressed as a risk somewhere, where the failure cause can range from material defects over thermal issues to damages by service personnel. Please update the FMECA.</t>
  </si>
  <si>
    <t>1) Surveillance camera
2) Lubrication level indicator
3) On-board inspection</t>
  </si>
  <si>
    <t xml:space="preserve">CP to define a debris management plan:
1. Define the acceptance criteria for debris, taking into account the gap between the bearings, the maximum acceptable damage. 
2. Define the debris management plan, such as design of diversion features for debris of unacceptable size, design features to reduce the part count per unit volume of debris and external debris identification and management.
CP to document the management plan, demonstrating the measures are being implemented in design, manufacturing and 
operational stages.
Consider the debris in the wear rate of the bearing pads, if not already considered by the manufacturer. The assessment of the effect of debris on bearing wear rate shall be based on the results of the site assessment on debris at the deployment site. Following that, the bearing inspection and maintenance plan can be defined based on the results of the assessments.  
It is to be demonstrate that the bearing life, considering the additional wear due to debris, is within the design limits between maintenance periods.
</t>
  </si>
  <si>
    <t>1) Stator segment loosely attached to outer housing
2) Shut down MoMo for stator group
3) Large side load on V-rail</t>
  </si>
  <si>
    <t>1) Items to be inspected by cameras have paint and indicators on them for the inspection
2) Surveillance audio - mechanical noise in PTO space</t>
  </si>
  <si>
    <t xml:space="preserve">1) Stator segment loosely attached to outer housing
2) Stator makes contact with neighbouring stators
3) Shut down MoMo for stator group.
</t>
  </si>
  <si>
    <t>CP to provide more specific description of the function
Fatigue and overload failure causes separated. 
See main bearing and Stator Cart Torque Rods for recommended action</t>
  </si>
  <si>
    <t>Air gap tolerance exceeded</t>
  </si>
  <si>
    <t>For probability of occurrence to be low (class 3), a quality control plan needs to be defined and implemented to verify the installation is correct. Hence, suggest increasing probability to class 7, and include the following recommended action:
A quality control plan to be implemented to verify correct assembly of every component during assembly.</t>
  </si>
  <si>
    <t>Suggest text for recommended action:
Demonstrate, via manufacturing documentation, that the long term stability of the integrity of the material is within the acceptance criteria for design</t>
  </si>
  <si>
    <t xml:space="preserve">CP to clarify if temperature monitoring of the stator segments/coil is present?
Suggest text for recommended action:
Demonstrate fire can be contained within a compartment. Definition of the acceptable damage due to fire to be provided, and it has to be demonstrated that extent of fireproofing is compatible with the allowable damage.
Manufacturing documentation to demonstrate the frequency of short circuit of coils are compatible with the occurrence class defined.
</t>
  </si>
  <si>
    <t>See risk ID 210-3 for comment</t>
  </si>
  <si>
    <t>CP to provide more specific description of the function
See risk ID 210-3 for comment</t>
  </si>
  <si>
    <t xml:space="preserve">CP to provide more specific description of the function
Occurrence compatible to FLS design.
Refer to main bearing for the recommended action on reducing uncertainties in loading
Wheel wear rate to be estimated via testing. The test results shall be used as the evidence to demonstrate that the wear rate on the wheel between maintenance intervals is within the acceptance criteria.
</t>
  </si>
  <si>
    <t>1) Roller bearing not functioning properly
2) Wheels slide on track
3) Increase wear on the wheel 
4) Air gap no longer controlled at that location
5) stator makes contact with rotor</t>
  </si>
  <si>
    <t>1)  Increase wear on the wheel 
2) Air gap no longer controlled at that location
3) stator makes contact with rotor</t>
  </si>
  <si>
    <t>Action the same as "Wear/fatigue" for main bearing</t>
  </si>
  <si>
    <t>Action the same as "Deformation of shaft" for main bearing</t>
  </si>
  <si>
    <t>Action the same as "Extreme Loading" for main bearing</t>
  </si>
  <si>
    <t xml:space="preserve">Probability class same as FLS design
Action the same as "Vibration" for rotor segment mounting
</t>
  </si>
  <si>
    <t xml:space="preserve">Probability class lower than that for single rod failure.
Action the same as "Wear/Fatigue" for the main bearing and Stator Cart Torque Rods </t>
  </si>
  <si>
    <t>Probability class lower than that for single rod failure.
Action the same as "Vibration" for rotor segment mounting</t>
  </si>
  <si>
    <t>Deformation of rotor</t>
  </si>
  <si>
    <t>Action the same as "Deformation of rotor" for stator cart torque rods</t>
  </si>
  <si>
    <t>It is expected damage on the rotors will occur (worst case) if air gap is not kept.
CP to provide more specific description of the function.
Suggested text for recommended action:
CP to define a debris management plan, including but not limited to the follow aspects:
a. Define the acceptance criteria for debris
b. Debris identification and management.
c. Design of diversion features for debris of unacceptable size, or design to reduce the impact on air gap i due to the presence of debris.
d. Design features to reduce the part count per unit volume of debris.
CP to document the management plan, demonstrating the measures are being implemented in design, manufacturing and operational stages.</t>
  </si>
  <si>
    <t>Action the same as "Contamination, corrosion" for the main bearings</t>
  </si>
  <si>
    <t xml:space="preserve">Single stator segment failure </t>
  </si>
  <si>
    <t>General comment for components with "Manufacturing defect results in failure" as the failure cause:
Occurrence is low based on the assumption that the manufacturer is able to provide evidence for reliability compatible to the occurrence class. Please confirm.</t>
  </si>
  <si>
    <t>Low severity assuming single failure</t>
  </si>
  <si>
    <t>Please clarify the watertight integrity requirements for the bulkhead in PTO, including the penetration for cable transits.</t>
  </si>
  <si>
    <t>General comment for components with maintenance intervals in novel aspects:
Please clarify if the manufacturer is able to provide evidence that reliability of the component is compatible to the occurrence class, given the loading envelopes (FLS and ULS) of the WEC.</t>
  </si>
  <si>
    <t xml:space="preserve">Suggest text for recommended action:
Identify the likely rotor deformation during operating conditions and extreme events. In the rotor FE model, the deformation is to be assessed with the stator/rotor loads and the environmental loading, and estimate the mode and magnitude of deformation in FE analysis. In the FE model, the results shall demonstrate stresses are within the acceptance criteria for associated strain and stresses imposed on the component. Measures to improve the design of the component to reduce deformation can be considered, if it is necessary. 
</t>
  </si>
  <si>
    <t xml:space="preserve">Suggested text for recommended action:
CP to demonstrate, via documented evidence (material certificate, testing reports), the pretension on the bolts can be maintained between maintenance intervals. </t>
  </si>
  <si>
    <t xml:space="preserve">Please explain how the pressure in the seal is maintained.
Suggest text for recommended action:
Demonstrate, via analysis, that the maximum pressure on the seal, taking into account the pressure fluctuation due to loading on the shaft, is within the acceptable limits in design. Consideration of active pressure compensation or the use of back up seal is possible to reduce the consequence if the risks cannot be lowered. </t>
  </si>
  <si>
    <t xml:space="preserve">Multiple stator segment failure in the failure mode is because of the possible resultant damage due to the debris in the air gap (from mechanical failure of a stator segment). </t>
  </si>
  <si>
    <t xml:space="preserve">Probability class same as FLS design
Suggested text for recommended action:
The recommended action is to investigate the dynamic movement of the rotor and assess the effect of the vibration loads on the structure integrity (fatigue) of the component. The acceptance criteria for the maximum vibration level shall be defined, based on FE analysis. 
The FE analysis, considering these failure mechanisms, need to demonstrate the structural strength is within the acceptance criteria in the standard and the impact on functionality of the device is within the acceptance criteria. 
The monitoring of the vibration shall be done to identify the level of vibrations during in-service life. If any excessive vibration is detected, intervention is required to reduce the vibration level below the maximum level, as defined in the acceptance criteria (conditioning monitoring). </t>
  </si>
  <si>
    <t>Probability class same as FLS design</t>
  </si>
  <si>
    <t>Probability class lower than that for FLS design because  of multiple failure of stator segment 
Suggested text for recommended action :
Manufacturing documentation to demonstrate the limits of vibration level on the component is higher than the maximum level of vibration of the WEC.</t>
  </si>
  <si>
    <t>Probability class same as FLS design
Action the same as "Vibration" for rotor segment mounting</t>
  </si>
  <si>
    <t>Low severity assuming single failure
Corrosion occurrence in line with corrosion failures (FLS)</t>
  </si>
  <si>
    <t>General comment for all items that has "high safety factors" as risk reduction design
Please clarify if "high safety factor" means higher than recommended safety factors in the standard and explain how it can be demonstrated that it provides sufficient margin to lower the probability of occurrence to the (occurrence) class assigned for each risks.</t>
  </si>
  <si>
    <r>
      <t xml:space="preserve">1. Probability class same as FLS design
2. Action the same as "Wear/Fatigue" for main bearing and to take into consideration the following loads in the derivation of fatigue loading: 
1. Load induced due to dynamic movement of the stator carts on the rotor 
2. Magnetic force induced by the rotor.
Fatigue assessment to demonstrate the structural strength is within the acceptance criteria in the standard. 
</t>
    </r>
    <r>
      <rPr>
        <u/>
        <sz val="11"/>
        <rFont val="Times New Roman"/>
        <family val="1"/>
      </rPr>
      <t>Recommended fatigue assessment methodology as below:</t>
    </r>
    <r>
      <rPr>
        <sz val="11"/>
        <rFont val="Times New Roman"/>
        <family val="1"/>
      </rPr>
      <t xml:space="preserve">
Use of the design fatigue factor (DFF) philosophy in DNV-RP-0005 (DNV-RP-C205) in fatigue assessment.
To take into account of the uncertainties in the loading, CP to define the fatigue philosophy which includes the definition of loading and structure response for fatigue damage calculation. CP shall define fatigue load cases that are representative of the lifetime of the specific components. 
Due to the level of uncertainties in the loading methodology, validation of the methodology for loading calculation, estimation of structural response based on the assessment of the data acquired from the existing prototype WECs should be provided.
In the fatigue calculation, the appropriate SN-curves need to be applied, taking into account the allowance for corrosion in case the corrosion protection system cannot provide full corrosion protection. </t>
    </r>
  </si>
  <si>
    <t>For probability of occurrence to be low (class 3), a quality control plan needs to be defined and implemented to verify the quality of the component. Please explain the quality control in place for the component and higher occurrence class is recommended.</t>
  </si>
  <si>
    <t xml:space="preserve">Occurrence class adjusted to be consistent with FLS criteria
Action the same as "Wear/Fatigue" for main bearing </t>
  </si>
  <si>
    <t xml:space="preserve">Use central lubrication system with small piping to all bearing lub points. Investigate lubrication canisters and camera locations for visual inspections </t>
  </si>
  <si>
    <t>CP to provide more specific description of function
Suggested text for recommended action:
1. Design of the roller to take into account higher level of contamination. Sufficient wear allowance between maintenance intervals shall be demonstrated (using the results from testing). The level of contamination shall be compatible with the expected debris in the compartment
2. CP to define a debris management plan, including but not limited to the follow aspects:
a. Define the acceptance criteria for debris
b. Debris identification and management.
c. Design of diversion features for debris of unacceptable size, or design to reduce the impact on air gap due to the presence of debris.
d. Design features to reduce the part count per unit volume of debris.
CP to document the management plan, demonstrating the measures are being implemented in design, manufacturing and operational stages.</t>
  </si>
  <si>
    <t xml:space="preserve">Commercial manufacturing techniques used for linear motors. Reliable compatible since manufacturing method is established and proven successful.   </t>
  </si>
  <si>
    <t>CPWR Response Notes</t>
  </si>
  <si>
    <t xml:space="preserve">Electrical short (non-moisture or corrosion)
- Short in coils
- Short in connector
- Short in PTC or KTY circuit
Creating an overheating condition which leads to fire/smoke
</t>
  </si>
  <si>
    <t>PTO</t>
  </si>
  <si>
    <t>Loading in fore-in-aft configuration greater than predicted (note that CPwr numerical modeling is not able to accurately represent the very low freeboard fore float in fore-in-aft configuration)</t>
  </si>
  <si>
    <t>1) Conservative partial safety factor
2) Numerical modeling with additional freeboard</t>
  </si>
  <si>
    <t>monitoring strain gauges (likely not on the fore float or arms, but rather on the shaft and/or nacelle tube)</t>
  </si>
  <si>
    <t>1) Surveillance
2) SCADA
3) etc</t>
  </si>
  <si>
    <t>Dry dock repair if possible, if not loss of projects</t>
  </si>
  <si>
    <t>Low</t>
  </si>
  <si>
    <t>Med</t>
  </si>
  <si>
    <t>Determine where strain monitoring can be used effectively</t>
  </si>
  <si>
    <t>Demonstrate fire can be contained within a compartment. Definition of the acceptable damage due to fire to be provided, and it has to be demonstrated that extent of fireproofing is compatible with the allowable damage.
Manufacturing documentation to demonstrate the frequency of short circuit of coils are compatible with the occurrence class defined.</t>
  </si>
  <si>
    <t>LandRAY - Testing reports of the stator segment to demonstrate that temperature of the stator segment is below the limit for overheating. The environment for testing shall replicate the actual operating conditions in WEC.</t>
  </si>
  <si>
    <t xml:space="preserve">Suggest text for recommended action:
Testing reports of the stator segment to demonstrate that temperature of the stator segment is below the limit for overheating. The environment for testing shall replicate the actual operating conditions in WEC. 
</t>
  </si>
  <si>
    <t>Structural failure
Loss of PTO</t>
  </si>
  <si>
    <t>Fire/smoke due to electrical short
Loss of stator segment
Loss of PTO</t>
  </si>
  <si>
    <t xml:space="preserve">Loss of stator segment due to high heat,
Loss of PTO </t>
  </si>
  <si>
    <t xml:space="preserve">Overheating - single stator segment cause by:
1) Short circuit in stator segment
2) Faulty PTC temperature
3) Short in back iron leading to high eddy current losses. 
4) Stator segment internal cooling tube blockage or leak. 
</t>
  </si>
  <si>
    <t xml:space="preserve">1) Segmented design
2) PTC elements iniating automatic disconnect on overtemperature
3) Circuit breaker isolates each stator segment on over current and/or ground fault
3) Quality marine design and manufacturing
4) V&amp;V (insulation check, pulse test, high voltage test)
</t>
  </si>
  <si>
    <t xml:space="preserve">1) KTY 84 sensor - temperature monitoring circuit for data trend analysis of each segment
2) Stator group performance analysis, data trend.
</t>
  </si>
  <si>
    <t>1) Segmented design
2) PTC elements iniating automatic disconnect on overtemperature
3) Circuit breaker isolates each stator segment on over current and/or ground fault
3) Quality marine design and manufacturing
4) V&amp;V (insulation check, pulse test, high voltage test)</t>
  </si>
  <si>
    <t xml:space="preserve">1) Automated stator disconnect, overcurrent protection.
2) PTC element initiates overtemperature shutdown.
3) KTY 84 sensor - temperature monitoring circuit for data trend analysis 
2) Stator group performance analysis, data trend.
</t>
  </si>
  <si>
    <t>Dry dock repair/overall depending on extent of the fire damage</t>
  </si>
  <si>
    <t xml:space="preserve">Each stator has KTY 84 sensor - temperature monitoring circuit and a PTC element for overtemperature shutdown.  Stators short circuit torque is less then rated torque, no mechanical issue.  Average thermal dissipation (heat) is much lower then rated. Further investigation during LandRAY testing will refine cooling requirements and cooling system controls. Cooling system will meet or exceed flow requirements of stator continuous load rating.  Stators will be rating either IEC 600034-1 S3, S9, or other based on LandRAY testing. LandRAY stator is rated S3, and will be analyzed for S9 non-periodic load and speed variations, and for real seas stochastic load variations. </t>
  </si>
  <si>
    <t xml:space="preserve">1) Stator fault Alarm - overtemperature stator segment
2) PTO shutdown fault Alarm
3) KTY temperature monitor data
</t>
  </si>
  <si>
    <t>1) Dry dock repair to replace stator segment, 
2) Determine segment is not an issue, and operate PTO with one less segment. PTO is design to operate with any number of stator segments to reduce dry dock repair frequency in the case of a stator segment fault.</t>
  </si>
  <si>
    <t xml:space="preserve">1) Resin encased stators
2) Sealing epoxy coating on stator segments to seal any mirco cracks in resin
2) Automatic disconnect due to overtemperaure
3) Automatic disconnect on overcurrent
4) Stainless and aluminum stator housing materials
</t>
  </si>
  <si>
    <t xml:space="preserve">1) Visual inspection
2) Surveillence system cameras
3) KTC stator tempature profile monitoring. Alarm if out of operating range before overtemperature.
</t>
  </si>
  <si>
    <t>1) PTC Stator fault Alarm - overtemperature stator segment
2) PTO shutdown fault Alarm
3) PTO fire Alarm
4) PTO compartment air quality monitoring &amp; alarm
5) Surveillance system - PTO visible &amp; IR camera</t>
  </si>
  <si>
    <t xml:space="preserve">1) PTC Stator fault Alarm - overtemperature stator segment
2) PTO shutdown fault Alarm
3) Surveillance system - PTO visible &amp; IR camera
4)Vibration monitoring: Vibration sensor threshold high alarm. </t>
  </si>
  <si>
    <t>Multiple stator failures considered. Risk is similar because occurrence goes down and severity goes up.
Specific to mechanical failure - complete structure degradation of stator segment. Very unliked.</t>
  </si>
  <si>
    <t xml:space="preserve">Moisture induced failure, moisture leads to stator internal electrical short. </t>
  </si>
  <si>
    <t>1) Resin encased stators
2) Sealing epoxy coating on stator segments to seal any mirco cracks in resin
2) Automatic disconnect due to overtemperaure
3) Automatic disconnect on overcurrent
4) Stainless and aluminum stator housing materials
5) Each segment has isolation breaker.</t>
  </si>
  <si>
    <t xml:space="preserve">1) Compartment environmental moniotring - moisture and humidity kept within compartmetnal specifications by climate control system
2) Bilge level sensor
3) Surveillence system cameras
4) Visual inspection
5) KTC stator tempature profile monitoring 
</t>
  </si>
  <si>
    <t xml:space="preserve">1) PTC Stator fault Alarm - overtemperature and overcurrent stator segment
2) PTO shutdown fault Alarm
3) Compartment environmental monitoring and bilge sensors
4) Surveillance system - PTO visible &amp; IR camera
5) Visual inspection
</t>
  </si>
  <si>
    <t xml:space="preserve">Moisture/ater induced electrical fault that does not lead to fire is more likely then fire.  Need to reduce occurance of fire/smoke. </t>
  </si>
  <si>
    <t>210-6</t>
  </si>
  <si>
    <t xml:space="preserve">1) Vibration monitoring
2) Torque rod load cells on smart cart.
</t>
  </si>
  <si>
    <t xml:space="preserve">1) Vibration monitoring
2) Stator Cart design engages segment locally to rotor
3) Reduced cogging forces
4) Structural rigidity high for extreme loads. Vibration load causes very minimal deflection/movement.
5) Structural design
</t>
  </si>
  <si>
    <t xml:space="preserve">1) PTC Stator fault Alarm - overtemperature and overcurrent stator segment
2) PTO shutdown fault Alarm
3) Surveillance system - PTO visible &amp; IR camera
4) Visual inspection
</t>
  </si>
  <si>
    <t>Vibration load should have minimal/negligible effects on the stator cart.  Initial analysis of design shows extreme loads much higher; therefore, due to rigidity of the design, deflection of component (stator cart and relative position on rotor) during vibration is fiducial, below reasonability detectable.  What is required for this proof?</t>
  </si>
  <si>
    <t>Accidental impact from rotor or Operational impact between stator segment and rotor.</t>
  </si>
  <si>
    <t>1) Stator cart design 
- localize tolerances to a single segment
- localize and isolate loads 
- Position of stator localized to rotor position below stator.</t>
  </si>
  <si>
    <t xml:space="preserve">1) Airgap sensors on smart cart
2) Noise monitoring
3) Surveillance systems - camera visually inspections
</t>
  </si>
  <si>
    <t xml:space="preserve">1) SCADA diagnostics - PTO shutdown
2)  Audio  noise threshold alarm
3) Vibration sensors
4) Suveillance system - camera 
 </t>
  </si>
  <si>
    <t xml:space="preserve">Design of stator care and rail bearingssystem, and FEA analysis of design for extreme loading, designed and proven no contact. Worst load case does not effect airgap, only acceleration in the X-Y axis, which in extreme increases airgap, not decreases. </t>
  </si>
  <si>
    <t xml:space="preserve">1) Rotor segment impacts stator segments
- Magnet comes loose
- Corrosion bubbles up the magent material greater than airgap
- Material scraping and damage to surfaces
</t>
  </si>
  <si>
    <t xml:space="preserve">1) Proper hardware material selection
2) Rotor special moisture resistance epoxy coating
3) Magnet coating design for marine applications
</t>
  </si>
  <si>
    <t xml:space="preserve">1) Surveillance system - PTO visible &amp; IR camera
2)Vibration monitoring: Vibration sensor threshold high alarm. </t>
  </si>
  <si>
    <t>Corrosion coating rated to meet or exceed the compartmental rating of the generator.  Each Rotor segment is vacuum impregnated with epoxy resin and them coating with marine grade epoxy coating.</t>
  </si>
  <si>
    <t>T-bar hardware failure
 - Bolts that hold T bar in place</t>
  </si>
  <si>
    <t>1) Surveillence system cameras
2) Visual inspection
3) Airgap measurement on smart stator cart</t>
  </si>
  <si>
    <t>Material selection and sourcing.  Quality bolts.</t>
  </si>
  <si>
    <t>1) V&amp;V
 - Quality of bolt
 - Torque spec inspection
2) Adjacent rotor hold rotor in place with magnetic force coupling of permanent magnets</t>
  </si>
  <si>
    <t xml:space="preserve">The recommended action is to investigate the dynamic movement of the rotor and assess the effect of the vibration loads on the structure integrity (fatigue) of the component. The acceptance criteria for the maximum vibration level shall be defined, based on FE analysis. 
The FE analysis, considering these failure mechanisms, need to demonstrate the structural strength is within the acceptance criteria in the standard and the impact on functionality of the device is within the acceptance criteria. 
The monitoring of the vibration shall be done to identify the level of vibrations during in-service life. If any excessive vibration is detected, intervention is required to reduce the vibration level below the maximum level, as defined in the acceptance criteria (conditioning monitoring). </t>
  </si>
  <si>
    <t>220-7</t>
  </si>
  <si>
    <t xml:space="preserve">Reduced magnetic field (EMF) for part of the rotor over the theta angle range of operation. </t>
  </si>
  <si>
    <t>Fault in stator segment
- High current
- High heat
Coupled with vibration</t>
  </si>
  <si>
    <t xml:space="preserve">1) Rare earth NdFeB magnetics reduce risk of de-mag
2) Airgap designed for mutual inductance high enough to protect against short circuit current.  Includes knowledge of phase shift of current with regards to the electrical pole position, out of pole alignment, reduced ability to demagnetize
</t>
  </si>
  <si>
    <t>1) Use of COTS mounting technique
2) Proper torque spec on hardware for mounting to FRP backing</t>
  </si>
  <si>
    <t>Extreme is much higher than vibration, for most cases, virbation fatique failure not a concern due to the extreme load design cases much higher then vibration. Will be investigatd further during LandRAY. As recommended, the acceptance criteria for the maximum vibration level shall be defined, based on FE analysis. 
Why is occurrence high? (7).   T-bar rotor attachment is a commerical standard used by Siemens.  The only varaition is using FRP for the rotor tire.  Torque specificaion takes into consideration the FRP properties. Analysis will be made and risk should be low.</t>
  </si>
  <si>
    <t>1) Resin encased
2) Special marine grade epoxy coating on surface mountied magnets</t>
  </si>
  <si>
    <t>Demonstrate, via manufacturing documentation or testing reports, that the long term integrity of the coating is within the design criteria for the corrosion protection system on the rotor.</t>
  </si>
  <si>
    <t>Components are/will designed to exceed the compartment environmental rating. Documentation of magnetic rotor segments and associated mounting hardware will be included</t>
  </si>
  <si>
    <t xml:space="preserve">Yes, Siemens is using commercial manufacturing techniques and quality control which will result in s low probability of manufacturing defects. </t>
  </si>
  <si>
    <t>Why is occurrence high? (7).   T-bar rotor attachment is a commerical standard used by Siemens.  The only varaition is using FRP for the rotor tire.  Torque specificaion takes into consideration the FRP properties. Analysis will be made and risk should be low.  Also StingRAY has a shorter deployment life.</t>
  </si>
  <si>
    <t xml:space="preserve">1) Short circuit in stator - high current and heat leading to
2) de-magnetization of magnets over range of operation of faulted stator segment. </t>
  </si>
  <si>
    <t xml:space="preserve">Design 
</t>
  </si>
  <si>
    <t xml:space="preserve">None </t>
  </si>
  <si>
    <t>OK, this is a second level contingency design, first there must be a short circuit in stator segment - Siemens noted as low risk due the NdFeB magnets, short circuit with relutance of magnetic circuit and phase shift of current would not normally cause de-mag. It should be documented and explained in more detail.</t>
  </si>
  <si>
    <t>DNVGL comments</t>
  </si>
  <si>
    <t>1) Load derivation methodology to take into account the uncertainties in the loading due to site characterization measurements and hydrodynamic modelling.</t>
  </si>
  <si>
    <t>None</t>
  </si>
  <si>
    <t>1) Redundant torque rod</t>
  </si>
  <si>
    <t>1) Redundant torque rod
2) V&amp;V</t>
  </si>
  <si>
    <t>1) V&amp;V</t>
  </si>
  <si>
    <t>See recommended action 1</t>
  </si>
  <si>
    <t>Lubrication (split water/oil) in novel aspects - There is no water in the main bearings. The bearings each have seals that keep lubrication in and contamination out.</t>
  </si>
  <si>
    <t>1) Load derivation methodology to take into account the uncertainties in the loading due to site characterization measurements and hydrodynamic modelling.
2) Research how to measure loads during StingRAY to increase certainty of extreme load modelling
3) Cpower to provide evidence that maintenance not needed in 20 years by manufacturer for all loading cases and with use of lubrication system</t>
  </si>
  <si>
    <t>1) Load derivation methodology to take into account the uncertainties in the loading due to site characterization measurements and hydrodynamic modelling.
2) CPower to demonstrate the derivation of loading is conservative for the site, including providing evidence from site assessment and validation of the overall loading upon deployment.</t>
  </si>
  <si>
    <t xml:space="preserve">1) Cpower to provide evidence that maintenance not needed in 20 years by manufacturer for all loading cases and with use of lubrication system
2) Metal content / foreign particles in lubrication oil to be monitored and implementation of early detection measure in order to limit the consequence of failure. </t>
  </si>
  <si>
    <t>1) Cpower to provide evidence that maintenance not needed in 20 years by manufacturer for all loading cases and with use of lubrication system
2) Occurrence is low based on the assumption that the manufacturer is able to provide evidence for reliability compatible to the occurrence class.</t>
  </si>
  <si>
    <t>1) Load derivation methodology to take into account the uncertainties in the loading due to site characterization measurements and hydrodynamic modelling.
2) Research how to measure loads during StingRAY to increase certainty of extreme load modelling
3) Cpower to provide evidence that maintenance not needed in 20 years by manufacturer for all loading cases and with use of lubrication system
4) FEA to show loading on bearing considers deformation of shaft</t>
  </si>
  <si>
    <t>See 261-4 recommended action #4</t>
  </si>
  <si>
    <t>1) Occurrence is low based on the assumption that the manufacturer is able to provide evidence for reliability compatible to the occurrence class.</t>
  </si>
  <si>
    <t>261-9
262-9</t>
  </si>
  <si>
    <t>261-10
262-10</t>
  </si>
  <si>
    <t>261-11
262-11</t>
  </si>
  <si>
    <t>261-12
262-12</t>
  </si>
  <si>
    <t>261-13
262-13</t>
  </si>
  <si>
    <t>1) Lose of lubrication
2) Bearing failure</t>
  </si>
  <si>
    <t>1) FEA to show ldeformation of shaft to be within range of seal tolerance</t>
  </si>
  <si>
    <t xml:space="preserve">1) Load derivation methodology to take into account the uncertainties in the loading due to site characterization measurements and hydrodynamic modelling.
2) CPower to demonstrate the derivation of loading is conservative for the site, including providing evidence from site assessment and validation of the overall loading upon deployment.
3) take into consideration the following loads in the derivation of fatigue loading: 
1. Load induced due to dynamic movement of the stator carts on the rotor 
2. Magnetic force induced by the rotor.
Fatigue assessment to demonstrate the structural strength is within the acceptance criteria in the standard. 
Recommended fatigue assessment methodology as below:
Use of the design fatigue factor (DFF) philosophy in DNV-RP-0005 (DNV-RP-C205) in fatigue assessment.
To take into account of the uncertainties in the loading, CP to define the fatigue philosophy which includes the definition of loading and structure response for fatigue damage calculation. CP shall define fatigue load cases that are representative of the lifetime of the specific components. 
Due to the level of uncertainties in the loading methodology, validation of the methodology for loading calculation, estimation of structural response based on the assessment of the data acquired from the existing prototype WECs should be provided.
In the fatigue calculation, the appropriate SN-curves need to be applied, taking into account the allowance for corrosion in case the corrosion protection system cannot provide full corrosion protection. </t>
  </si>
  <si>
    <t xml:space="preserve">Identify the likely rotor deformation during operating conditions and extreme events. In the rotor FE model, the deformation is to be assessed with the stator/rotor loads and the environmental loading, and estimate the mode and magnitude of deformation in FE analysis. In the FE model, the results shall demonstrate stresses are within the acceptance criteria for associated strain and stresses imposed on the component. Measures to improve the design of the component to reduce deformation can be considered, if it is necessary. </t>
  </si>
  <si>
    <t>270-15</t>
  </si>
  <si>
    <t>270-16</t>
  </si>
  <si>
    <t>270-17</t>
  </si>
  <si>
    <t>270-18</t>
  </si>
  <si>
    <t>270-19</t>
  </si>
  <si>
    <t>The load cell is used to measure the load in the torque rod. This value is used calculate the generator torque.</t>
  </si>
  <si>
    <t>The load pin is used to measure the normal force in each wheel. This data is used to guide future designs of the wheels. The wheels are large because of the high load on them.</t>
  </si>
  <si>
    <t>1. Design of the roller to take into account higher level of contamination. Sufficient wear allowance between maintenance intervals shall be demonstrated (using the results from testing). The level of contamination shall be compatible with the expected debris in the compartment
2. CP to define a debris management plan, including but not limited to the follow aspects:
a. Define the acceptance criteria for debris
b. Debris identification and management.
c. Design of diversion features for debris of unacceptable size, or design to reduce the impact on air gap due to the presence of debris.
d. Design features to reduce the part count per unit volume of debris.
CP to document the management plan, demonstrating the measures are being implemented in design, manufacturing and operational stages.</t>
  </si>
  <si>
    <t>1) Load derivation methodology to take into account the uncertainties in the loading due to site characterization measurements and hydrodynamic modelling.
2) The wheel manufacturer has a calculation to determine the L10 life of the bearing. The calculation includes radial load, speed, basic dynamic load rating, and time. The radial load will be measured from the load pins, the speed will be measured by the encoders, the basic dynamic load rating is a constant value for each part, and time will be accumulated. These values will be used to ensure the life is within expected values.
3) Our land based generator test will be used to validate our design values.</t>
  </si>
  <si>
    <t>The track rollers are wheels that are attached to the stator cart. These wheel ride on tracks that are attached to the rotor. The wheels maintain the airgap between the stator and rotor.</t>
  </si>
  <si>
    <t>1) Surveillance camera
2) Accelerometer on rotor/shaft</t>
  </si>
  <si>
    <t>The piece of debris would have to be extremely large to cause the v-wheel to jump off of the track. This is not expected and is the only way contact can happed between the stator and the rotor.</t>
  </si>
  <si>
    <t>1) V&amp;V (commissioning testing and post inspection)
2) Redundant hardware</t>
  </si>
  <si>
    <t>1) Modal Analysis
2) V&amp;V (commissioning testing and post inspection)
3) Redundant hardware
4) Loctite and proper torque specs</t>
  </si>
  <si>
    <t>1) V&amp;V (commissioning testing and post inspection)</t>
  </si>
  <si>
    <t>A quality control plan to be implemented to verify correct assembly of every component during assembly.</t>
  </si>
  <si>
    <t>All fasteners must be torqued to a set value. Once torqued, they are painted and checked prior to assembly sign off. Additionally, during commissioning testing, all components will be tested to ensure they are installed properly. Does this still need to be a 7?</t>
  </si>
  <si>
    <t>The commissioning testing will test each stator segment up to its full torque value. If an defect is found, it will be in a controlled enviornment and on the dock.</t>
  </si>
  <si>
    <t xml:space="preserve">The recommended action is to investigate the dynamic movement of the stator and assess the effect of the vibration loads on the structure integrity (fatigue) of the component. The acceptance criteria for the maximum vibration level shall be defined, based on FE analysis. 
The FE analysis, considering these failure mechanisms, need to demonstrate the structural strength is within the acceptance criteria in the standard and the impact on functionality of the device is within the acceptance criteria. 
The monitoring of the vibration shall be done to identify the level of vibrations during in-service life. If any excessive vibration is detected, intervention is required to reduce the vibration level below the maximum level, as defined in the acceptance criteria (conditioning monitoring). </t>
  </si>
  <si>
    <t>Stator Cart
Bolts</t>
  </si>
  <si>
    <t>1) painted torqued bolts
2) V&amp;V (commissioning testing and post inspection)
3) Redundant hardware
4) Loctite and proper torque specs</t>
  </si>
  <si>
    <t xml:space="preserve">CP to demonstrate, via documented evidence (material certificate, testing reports), the pretension on the bolts can be maintained between maintenance intervals. </t>
  </si>
  <si>
    <t>The land based test is measuring the deformation in the shafts for a given load. This data will be used to validate the expected travel and ensure the seals can handle that deflection.</t>
  </si>
  <si>
    <t xml:space="preserve">1) Metal content / foreign particles to be monitored and implementation of early detection measure in order to limit the consequence of failure. </t>
  </si>
  <si>
    <t>How do we monitor for contamination in the ocean water? Does the rope guard not cover against this?</t>
  </si>
  <si>
    <t>Our current design holds up to 100 psi at a max offset of 1/4". Both of these values are over the expected and not intended to happen at the same time. The land based generator test will test the system at 100 psi and with the maximum non torque loads expected. Any leaks will be detected. The pressure against the seal is provided by a seal carrier. This seal carrier is bolted into place and its initial position is determined by the gap between the seal carrier and the running surface. This gap is determined based on measurements take after the seal has been manufactured.</t>
  </si>
  <si>
    <t>Demonstrate, via manufacturing documentation, that the long term stability of the integrity of the material is within the acceptance criteria for design</t>
  </si>
  <si>
    <t xml:space="preserve">Identify the likely shaft deformation during operating conditions and extreme events. In the shaft FE model, the deformation is to be assessed with the stator/rotor loads and the environmental loading, and estimate the mode and magnitude of deformation in FE analysis. In the FE model, the results shall demonstrate stresses are within the acceptance criteria for associated strain and stresses imposed on the component. Measures to improve the design of the component to reduce deformation can be considered, if it is necessary. </t>
  </si>
  <si>
    <t>280-10</t>
  </si>
  <si>
    <t>280-11</t>
  </si>
  <si>
    <t>280-12</t>
  </si>
  <si>
    <t>280-13</t>
  </si>
  <si>
    <t>280-14</t>
  </si>
  <si>
    <t>280-15</t>
  </si>
  <si>
    <t>280-16</t>
  </si>
  <si>
    <t>280-17</t>
  </si>
  <si>
    <t>280-18</t>
  </si>
  <si>
    <t>240-1</t>
  </si>
  <si>
    <t>Transfer PTO and rotor loads to sub-structure</t>
  </si>
  <si>
    <t>240-2</t>
  </si>
  <si>
    <t>240-3</t>
  </si>
  <si>
    <t>240-4</t>
  </si>
  <si>
    <t>250-1</t>
  </si>
  <si>
    <t>250-2</t>
  </si>
  <si>
    <t>250-3</t>
  </si>
  <si>
    <t>250-4</t>
  </si>
  <si>
    <t>PTO shaft</t>
  </si>
  <si>
    <t>Transmit torque from float drive arm to the rotor</t>
  </si>
  <si>
    <t>250-5</t>
  </si>
  <si>
    <t>250-6</t>
  </si>
  <si>
    <t>250-7</t>
  </si>
  <si>
    <t>250-8</t>
  </si>
  <si>
    <t>PTO rotor</t>
  </si>
  <si>
    <t>Transmit torque from drive shaft to rotor segments</t>
  </si>
  <si>
    <t>FRP fracture</t>
  </si>
  <si>
    <t>Steel fracture</t>
  </si>
  <si>
    <t>1) Loss of torque transmitted by PTO
2) Flooded PTO compartment
3) Debris broken off</t>
  </si>
  <si>
    <t>1) Shaft broken off
2) Loss of torque transmitted to PTO
3) Damage to nacelle tube from broken off shaft and float arm</t>
  </si>
  <si>
    <t>1) FRP rotor no longer maintains airgap
2) Loss of PTO
3) Stator and rotor components damaged</t>
  </si>
  <si>
    <t>FRP material selection</t>
  </si>
  <si>
    <t>1) Load derivation methodology to take into account the uncertainties in the loading due to site characterization measurements and hydrodynamic modelling.
2) Research how to measure loads during StingRAY to increase certainty of extreme load modelling</t>
  </si>
  <si>
    <t>Loading
Local tolerance requirement
Long term behaviour</t>
  </si>
  <si>
    <t xml:space="preserve">Loading
Maintenance intervals
</t>
  </si>
  <si>
    <t>Loading
Local tolerance requirement
Long term behaviour
Wear rate</t>
  </si>
  <si>
    <t>Loading
Maintenance intervals
Deformation uncertainty
Long term behavior</t>
  </si>
  <si>
    <t xml:space="preserve">Overheating in single stator segment would note normally not lead to fire. Segment is immediately electrically isolated from the rest of the generator/electric plant. PTO controlled shut-down is initiated. Service request is submitted. 
**(Cooling demand is less then stator segment rated. Cooling system is design to be meet maximum rated cooling flow of segments. To increase efficiency, cooling flow is reduced to meet demand.) </t>
  </si>
  <si>
    <t>200-1</t>
  </si>
  <si>
    <t>3.0</t>
  </si>
  <si>
    <t>Updated risk matrix, updated for WEC v3.3 technology</t>
  </si>
  <si>
    <t>- 'set up' and 'linkedPage' are both linked to workbook 'FMECA Master v3.xlsx'</t>
  </si>
  <si>
    <t>- changes to the tables, risk scores, etc must be made in 'FMECA Master v3.xlsx'</t>
  </si>
  <si>
    <r>
      <t>PTO functions are electromechanical energy conversion, torque transmission,
constrain generator to 1DOF rotation and maintain rotor/stator airgap, with minimal friction. The PTO is composed of</t>
    </r>
    <r>
      <rPr>
        <b/>
        <sz val="11"/>
        <rFont val="Times New Roman"/>
        <family val="1"/>
      </rPr>
      <t xml:space="preserve"> electrical</t>
    </r>
    <r>
      <rPr>
        <sz val="11"/>
        <rFont val="Times New Roman"/>
        <family val="1"/>
      </rPr>
      <t xml:space="preserve"> and </t>
    </r>
    <r>
      <rPr>
        <b/>
        <sz val="11"/>
        <rFont val="Times New Roman"/>
        <family val="1"/>
      </rPr>
      <t>mechanical</t>
    </r>
    <r>
      <rPr>
        <sz val="11"/>
        <rFont val="Times New Roman"/>
        <family val="1"/>
      </rPr>
      <t xml:space="preserve"> components. </t>
    </r>
  </si>
  <si>
    <r>
      <rPr>
        <b/>
        <sz val="11"/>
        <rFont val="Times New Roman"/>
        <family val="1"/>
      </rPr>
      <t xml:space="preserve">Mechanical </t>
    </r>
    <r>
      <rPr>
        <sz val="11"/>
        <rFont val="Times New Roman"/>
        <family val="1"/>
      </rPr>
      <t xml:space="preserve">
Severe structural failure
WEC is no longer functioning</t>
    </r>
  </si>
  <si>
    <r>
      <rPr>
        <b/>
        <sz val="11"/>
        <rFont val="Times New Roman"/>
        <family val="1"/>
      </rPr>
      <t xml:space="preserve">Electrical </t>
    </r>
    <r>
      <rPr>
        <sz val="11"/>
        <rFont val="Times New Roman"/>
        <family val="1"/>
      </rPr>
      <t xml:space="preserve">
1) Stator segment is is electrical isolated 
2) PTO is shutdown and electrically isolated.
3) Heat production in shorted segment
4) Freshwater cooling flow is increased
5) smoke/fire 
6) Fire spreads
</t>
    </r>
  </si>
  <si>
    <r>
      <rPr>
        <b/>
        <sz val="11"/>
        <rFont val="Times New Roman"/>
        <family val="1"/>
      </rPr>
      <t xml:space="preserve">Electrical </t>
    </r>
    <r>
      <rPr>
        <sz val="11"/>
        <rFont val="Times New Roman"/>
        <family val="1"/>
      </rPr>
      <t xml:space="preserve">
1) Stator is isolated, PTC overtemperature initiates segment isolation breaker to open 
2) PTO inisates a controlled shutdown
3) Heat production in shorted segment
4) Cooling system flow is increased to reduce temperature
</t>
    </r>
  </si>
  <si>
    <r>
      <rPr>
        <strike/>
        <sz val="11"/>
        <rFont val="Times New Roman"/>
        <family val="1"/>
      </rPr>
      <t>Single</t>
    </r>
    <r>
      <rPr>
        <sz val="11"/>
        <rFont val="Times New Roman"/>
        <family val="1"/>
      </rPr>
      <t xml:space="preserve"> Multiple stator segment failure</t>
    </r>
  </si>
  <si>
    <r>
      <rPr>
        <b/>
        <sz val="11"/>
        <rFont val="Times New Roman"/>
        <family val="1"/>
      </rPr>
      <t xml:space="preserve">Mechanical </t>
    </r>
    <r>
      <rPr>
        <sz val="11"/>
        <rFont val="Times New Roman"/>
        <family val="1"/>
      </rPr>
      <t xml:space="preserve">
1) Heat in segment due to eddy currents at back iron corrosion location.
2) Corrosion leads to electrical short in coils, high heat and current.
3) Stator segment is electrically isolated, PTO is shut down. 
5) Deformation/expansion from </t>
    </r>
    <r>
      <rPr>
        <strike/>
        <sz val="11"/>
        <rFont val="Times New Roman"/>
        <family val="1"/>
      </rPr>
      <t>overheating</t>
    </r>
    <r>
      <rPr>
        <sz val="11"/>
        <rFont val="Times New Roman"/>
        <family val="1"/>
      </rPr>
      <t xml:space="preserve"> rusting back iron and reduction of air gap.
6) Impact with rotor, debris from damage travel to air gap causing damage to other segments and ultimately failure of the generator</t>
    </r>
  </si>
  <si>
    <r>
      <rPr>
        <strike/>
        <sz val="11"/>
        <rFont val="Times New Roman"/>
        <family val="1"/>
      </rPr>
      <t>Single</t>
    </r>
    <r>
      <rPr>
        <sz val="11"/>
        <rFont val="Times New Roman"/>
        <family val="1"/>
      </rPr>
      <t xml:space="preserve"> Multiple stator segment failure </t>
    </r>
  </si>
  <si>
    <r>
      <rPr>
        <b/>
        <sz val="11"/>
        <rFont val="Times New Roman"/>
        <family val="1"/>
      </rPr>
      <t xml:space="preserve">Electrical </t>
    </r>
    <r>
      <rPr>
        <sz val="11"/>
        <rFont val="Times New Roman"/>
        <family val="1"/>
      </rPr>
      <t xml:space="preserve">
1) Stator is isolated, PTC overtemperature or over current shutdown. 
2) PTO inisates a controlled shutdown
3) Heat production in shorted segment
4) Cooling system flow is increased to reduce temperature
</t>
    </r>
  </si>
  <si>
    <r>
      <rPr>
        <b/>
        <sz val="11"/>
        <rFont val="Times New Roman"/>
        <family val="1"/>
      </rPr>
      <t xml:space="preserve">Mechanical </t>
    </r>
    <r>
      <rPr>
        <sz val="11"/>
        <rFont val="Times New Roman"/>
        <family val="1"/>
      </rPr>
      <t xml:space="preserve">
1) Loss of stator segment
2) Loss of PTO - control shutdown after segment is lost.
3) Heat in segment
4) Damage to components and debris travel to air gap causing more damage</t>
    </r>
  </si>
  <si>
    <t>1) Loss of stator segment
2) Loss of PTO
3) Damage to components and debris travel to air gap causing more damage</t>
  </si>
  <si>
    <r>
      <t xml:space="preserve">Loading
Maintenance intervals
</t>
    </r>
    <r>
      <rPr>
        <strike/>
        <sz val="11"/>
        <rFont val="Times New Roman"/>
        <family val="1"/>
      </rPr>
      <t>Deformation uncertainty</t>
    </r>
    <r>
      <rPr>
        <sz val="11"/>
        <rFont val="Times New Roman"/>
        <family val="1"/>
      </rPr>
      <t xml:space="preserve">
Long term behavior</t>
    </r>
  </si>
  <si>
    <t xml:space="preserve">Marine application
</t>
  </si>
  <si>
    <r>
      <t xml:space="preserve">Marine application
</t>
    </r>
    <r>
      <rPr>
        <strike/>
        <sz val="11"/>
        <rFont val="Times New Roman"/>
        <family val="1"/>
      </rPr>
      <t/>
    </r>
  </si>
  <si>
    <t xml:space="preserve">Dry dock repair </t>
  </si>
  <si>
    <t xml:space="preserve">Multiple stator segment failure </t>
  </si>
  <si>
    <t xml:space="preserve">1) Air gap no longer controlled at that location
</t>
  </si>
  <si>
    <r>
      <t xml:space="preserve">Loading
Maintenance intervals
</t>
    </r>
    <r>
      <rPr>
        <sz val="11"/>
        <rFont val="Times New Roman"/>
        <family val="1"/>
      </rPr>
      <t>Long term behavior</t>
    </r>
  </si>
  <si>
    <r>
      <rPr>
        <strike/>
        <sz val="11"/>
        <color rgb="FFFF0000"/>
        <rFont val="Times New Roman"/>
        <family val="1"/>
      </rPr>
      <t>Idler Bearing - STBD</t>
    </r>
    <r>
      <rPr>
        <sz val="11"/>
        <rFont val="Times New Roman"/>
        <family val="1"/>
      </rPr>
      <t xml:space="preserve">
Idler Bearing - PORT</t>
    </r>
  </si>
  <si>
    <r>
      <rPr>
        <strike/>
        <sz val="11"/>
        <color rgb="FFFF0000"/>
        <rFont val="Times New Roman"/>
        <family val="1"/>
      </rPr>
      <t>265-1</t>
    </r>
    <r>
      <rPr>
        <sz val="11"/>
        <rFont val="Times New Roman"/>
        <family val="1"/>
      </rPr>
      <t xml:space="preserve">
266-1</t>
    </r>
  </si>
  <si>
    <r>
      <rPr>
        <strike/>
        <sz val="11"/>
        <color rgb="FFFF0000"/>
        <rFont val="Times New Roman"/>
        <family val="1"/>
      </rPr>
      <t>265-2</t>
    </r>
    <r>
      <rPr>
        <sz val="11"/>
        <rFont val="Times New Roman"/>
        <family val="1"/>
      </rPr>
      <t xml:space="preserve">
266-2</t>
    </r>
    <r>
      <rPr>
        <sz val="11"/>
        <color theme="1"/>
        <rFont val="Calibri"/>
        <family val="2"/>
        <scheme val="minor"/>
      </rPr>
      <t/>
    </r>
  </si>
  <si>
    <r>
      <rPr>
        <strike/>
        <sz val="11"/>
        <color rgb="FFFF0000"/>
        <rFont val="Times New Roman"/>
        <family val="1"/>
      </rPr>
      <t>265-3</t>
    </r>
    <r>
      <rPr>
        <sz val="11"/>
        <rFont val="Times New Roman"/>
        <family val="1"/>
      </rPr>
      <t xml:space="preserve">
266-3</t>
    </r>
    <r>
      <rPr>
        <sz val="11"/>
        <color theme="1"/>
        <rFont val="Calibri"/>
        <family val="2"/>
        <scheme val="minor"/>
      </rPr>
      <t/>
    </r>
  </si>
  <si>
    <r>
      <rPr>
        <strike/>
        <sz val="11"/>
        <color rgb="FFFF0000"/>
        <rFont val="Times New Roman"/>
        <family val="1"/>
      </rPr>
      <t>265-4</t>
    </r>
    <r>
      <rPr>
        <sz val="11"/>
        <rFont val="Times New Roman"/>
        <family val="1"/>
      </rPr>
      <t xml:space="preserve">
266-4</t>
    </r>
    <r>
      <rPr>
        <sz val="11"/>
        <color theme="1"/>
        <rFont val="Calibri"/>
        <family val="2"/>
        <scheme val="minor"/>
      </rPr>
      <t/>
    </r>
  </si>
  <si>
    <r>
      <rPr>
        <strike/>
        <sz val="11"/>
        <color rgb="FFFF0000"/>
        <rFont val="Times New Roman"/>
        <family val="1"/>
      </rPr>
      <t>265-5</t>
    </r>
    <r>
      <rPr>
        <sz val="11"/>
        <rFont val="Times New Roman"/>
        <family val="1"/>
      </rPr>
      <t xml:space="preserve">
266-5</t>
    </r>
    <r>
      <rPr>
        <sz val="11"/>
        <color theme="1"/>
        <rFont val="Calibri"/>
        <family val="2"/>
        <scheme val="minor"/>
      </rPr>
      <t/>
    </r>
  </si>
  <si>
    <t>280-19</t>
  </si>
  <si>
    <t>No seals availble for installation</t>
  </si>
  <si>
    <t>Assembly</t>
  </si>
  <si>
    <t>V&amp;V of assembly</t>
  </si>
  <si>
    <t>n/a</t>
  </si>
  <si>
    <t xml:space="preserve">New manufacturing design, re-analyse seal design </t>
  </si>
  <si>
    <t>Requires extensive investigation, more coorperative R&amp;D with seal manufacturer</t>
  </si>
  <si>
    <t>Quality control: Failure to manufacture to acceptable level of tolerance and/or inability to manufacture seals</t>
  </si>
  <si>
    <t>Design and manufacturing changes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</si>
</sst>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48" x14ac:knownFonts="1">
    <font>
      <sz val="11"/>
      <color theme="1"/>
      <name val="Calibri"/>
      <family val="2"/>
      <scheme val="minor"/>
    </font>
    <font>
      <b/>
      <sz val="11"/>
      <color theme="1"/>
      <name val="Calibri"/>
      <family val="2"/>
      <scheme val="minor"/>
    </font>
    <font>
      <sz val="9"/>
      <color rgb="FF000000"/>
      <name val="Times New Roman"/>
      <family val="1"/>
    </font>
    <font>
      <b/>
      <sz val="9"/>
      <color rgb="FF000000"/>
      <name val="Times New Roman"/>
      <family val="1"/>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7.5"/>
      <color indexed="12"/>
      <name val="Arial"/>
      <family val="2"/>
    </font>
    <font>
      <u/>
      <sz val="11"/>
      <name val="Times New Roman"/>
      <family val="1"/>
    </font>
    <font>
      <sz val="11"/>
      <name val="Calibri"/>
      <family val="2"/>
      <scheme val="minor"/>
    </font>
    <font>
      <b/>
      <sz val="18"/>
      <name val="Calibri"/>
      <family val="2"/>
      <scheme val="minor"/>
    </font>
    <font>
      <b/>
      <sz val="16"/>
      <name val="Times New Roman"/>
      <family val="1"/>
    </font>
    <font>
      <sz val="16"/>
      <name val="Calibri"/>
      <family val="2"/>
      <scheme val="minor"/>
    </font>
    <font>
      <b/>
      <sz val="11"/>
      <name val="Times New Roman"/>
      <family val="1"/>
    </font>
    <font>
      <b/>
      <sz val="11"/>
      <name val="Calibri"/>
      <family val="2"/>
      <scheme val="minor"/>
    </font>
    <font>
      <b/>
      <sz val="12"/>
      <name val="Times New Roman"/>
      <family val="1"/>
    </font>
    <font>
      <strike/>
      <sz val="11"/>
      <name val="Times New Roman"/>
      <family val="1"/>
    </font>
    <font>
      <b/>
      <strike/>
      <sz val="12"/>
      <name val="Times New Roman"/>
      <family val="1"/>
    </font>
    <font>
      <b/>
      <strike/>
      <sz val="11"/>
      <name val="Calibri"/>
      <family val="2"/>
      <scheme val="minor"/>
    </font>
    <font>
      <strike/>
      <sz val="11"/>
      <name val="Calibri"/>
      <family val="2"/>
      <scheme val="minor"/>
    </font>
    <font>
      <i/>
      <sz val="11"/>
      <name val="Times New Roman"/>
      <family val="1"/>
    </font>
    <font>
      <sz val="9"/>
      <name val="Times New Roman"/>
      <family val="1"/>
    </font>
    <font>
      <strike/>
      <sz val="11"/>
      <color rgb="FFFF0000"/>
      <name val="Times New Roman"/>
      <family val="1"/>
    </font>
    <font>
      <b/>
      <sz val="12"/>
      <color rgb="FFFF0000"/>
      <name val="Times New Roman"/>
      <family val="1"/>
    </font>
    <font>
      <sz val="11"/>
      <color rgb="FFFF0000"/>
      <name val="Times New Roman"/>
      <family val="1"/>
    </font>
  </fonts>
  <fills count="34">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9D6F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s>
  <borders count="48">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thin">
        <color indexed="64"/>
      </top>
      <bottom style="thin">
        <color indexed="64"/>
      </bottom>
      <diagonal/>
    </border>
    <border>
      <left/>
      <right/>
      <top style="thin">
        <color indexed="64"/>
      </top>
      <bottom style="thin">
        <color indexed="64"/>
      </bottom>
      <diagonal/>
    </border>
  </borders>
  <cellStyleXfs count="30370">
    <xf numFmtId="0" fontId="0" fillId="0" borderId="0"/>
    <xf numFmtId="43" fontId="4" fillId="0" borderId="0" applyFont="0" applyFill="0" applyBorder="0" applyAlignment="0" applyProtection="0"/>
    <xf numFmtId="0" fontId="12" fillId="0" borderId="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5" fillId="8" borderId="0" applyNumberFormat="0" applyBorder="0" applyAlignment="0" applyProtection="0"/>
    <xf numFmtId="0" fontId="20" fillId="0" borderId="37" applyNumberFormat="0" applyFill="0" applyAlignment="0" applyProtection="0"/>
    <xf numFmtId="0" fontId="21" fillId="0" borderId="38" applyNumberFormat="0" applyFill="0" applyAlignment="0" applyProtection="0"/>
    <xf numFmtId="0" fontId="22" fillId="0" borderId="39" applyNumberFormat="0" applyFill="0" applyAlignment="0" applyProtection="0"/>
    <xf numFmtId="0" fontId="22" fillId="0" borderId="0" applyNumberFormat="0" applyFill="0" applyBorder="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4" fillId="0" borderId="41" applyNumberFormat="0" applyFill="0" applyAlignment="0" applyProtection="0"/>
    <xf numFmtId="0" fontId="17" fillId="26" borderId="42" applyNumberFormat="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9" fillId="9" borderId="0" applyNumberFormat="0" applyBorder="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0" borderId="37" applyNumberFormat="0" applyFill="0" applyAlignment="0" applyProtection="0"/>
    <xf numFmtId="0" fontId="21" fillId="0" borderId="38" applyNumberFormat="0" applyFill="0" applyAlignment="0" applyProtection="0"/>
    <xf numFmtId="0" fontId="22" fillId="0" borderId="39" applyNumberFormat="0" applyFill="0" applyAlignment="0" applyProtection="0"/>
    <xf numFmtId="0" fontId="22" fillId="0" borderId="0" applyNumberFormat="0" applyFill="0" applyBorder="0" applyAlignment="0" applyProtection="0"/>
    <xf numFmtId="0" fontId="30" fillId="0" borderId="0" applyNumberFormat="0" applyFill="0" applyBorder="0" applyAlignment="0" applyProtection="0">
      <alignment vertical="top"/>
      <protection locked="0"/>
    </xf>
    <xf numFmtId="0" fontId="15" fillId="8" borderId="0" applyNumberFormat="0" applyBorder="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4" fillId="0" borderId="41" applyNumberFormat="0" applyFill="0" applyAlignment="0" applyProtection="0"/>
    <xf numFmtId="0" fontId="25" fillId="27" borderId="0" applyNumberFormat="0" applyBorder="0" applyAlignment="0" applyProtection="0"/>
    <xf numFmtId="0" fontId="25" fillId="27" borderId="0" applyNumberFormat="0" applyBorder="0" applyAlignment="0" applyProtection="0"/>
    <xf numFmtId="0" fontId="12" fillId="0" borderId="0"/>
    <xf numFmtId="0" fontId="12" fillId="0" borderId="0"/>
    <xf numFmtId="0" fontId="12"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9" fillId="0" borderId="0" applyNumberFormat="0" applyFill="0" applyBorder="0" applyAlignment="0" applyProtection="0"/>
    <xf numFmtId="0" fontId="1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17" fillId="26" borderId="42" applyNumberFormat="0" applyAlignment="0" applyProtection="0"/>
    <xf numFmtId="0" fontId="29" fillId="0" borderId="0" applyNumberFormat="0" applyFill="0" applyBorder="0" applyAlignment="0" applyProtection="0"/>
    <xf numFmtId="0" fontId="16" fillId="25" borderId="40" applyNumberFormat="0" applyAlignment="0" applyProtection="0"/>
    <xf numFmtId="0" fontId="4" fillId="0" borderId="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4" fillId="0" borderId="0"/>
    <xf numFmtId="0" fontId="26" fillId="25" borderId="44" applyNumberFormat="0" applyAlignment="0" applyProtection="0"/>
    <xf numFmtId="0" fontId="4" fillId="0" borderId="0"/>
    <xf numFmtId="0" fontId="4" fillId="0" borderId="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0" applyNumberFormat="0" applyAlignment="0" applyProtection="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4" fillId="0" borderId="0"/>
    <xf numFmtId="0" fontId="16" fillId="25" borderId="40" applyNumberFormat="0" applyAlignment="0" applyProtection="0"/>
    <xf numFmtId="0" fontId="4" fillId="0" borderId="0"/>
    <xf numFmtId="0" fontId="4" fillId="0" borderId="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12" fillId="28" borderId="43" applyNumberFormat="0" applyFont="0" applyAlignment="0" applyProtection="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3" fillId="12" borderId="40"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4" fillId="0" borderId="0"/>
    <xf numFmtId="0" fontId="4" fillId="0" borderId="0"/>
  </cellStyleXfs>
  <cellXfs count="285">
    <xf numFmtId="0" fontId="0" fillId="0" borderId="0" xfId="0"/>
    <xf numFmtId="0" fontId="0" fillId="0" borderId="0" xfId="0" applyAlignment="1">
      <alignment wrapText="1"/>
    </xf>
    <xf numFmtId="0" fontId="0" fillId="0" borderId="0" xfId="0" applyAlignment="1">
      <alignment horizontal="left"/>
    </xf>
    <xf numFmtId="0" fontId="1" fillId="0" borderId="7" xfId="0" applyFont="1" applyBorder="1" applyAlignment="1">
      <alignment horizontal="left"/>
    </xf>
    <xf numFmtId="14" fontId="0" fillId="0" borderId="7" xfId="0" applyNumberFormat="1" applyBorder="1" applyAlignment="1">
      <alignment horizontal="left"/>
    </xf>
    <xf numFmtId="0" fontId="0" fillId="0" borderId="7" xfId="0" applyBorder="1"/>
    <xf numFmtId="0" fontId="2" fillId="0" borderId="0" xfId="0" applyFont="1"/>
    <xf numFmtId="0" fontId="0" fillId="0" borderId="0" xfId="0"/>
    <xf numFmtId="0" fontId="6" fillId="0" borderId="0" xfId="0" applyFont="1" applyBorder="1" applyAlignment="1">
      <alignment wrapText="1"/>
    </xf>
    <xf numFmtId="0" fontId="8" fillId="0" borderId="0" xfId="0" applyFont="1"/>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9"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6" fillId="0" borderId="0" xfId="0" applyFont="1" applyBorder="1" applyAlignment="1">
      <alignment horizontal="right" wrapText="1"/>
    </xf>
    <xf numFmtId="0" fontId="6" fillId="0" borderId="0" xfId="0" applyFont="1" applyBorder="1" applyAlignment="1">
      <alignment horizontal="left" wrapText="1"/>
    </xf>
    <xf numFmtId="0" fontId="1" fillId="0" borderId="0" xfId="0" applyFont="1" applyAlignment="1">
      <alignment horizontal="center"/>
    </xf>
    <xf numFmtId="0" fontId="5" fillId="0" borderId="0" xfId="0" applyFont="1" applyAlignment="1">
      <alignment horizontal="center"/>
    </xf>
    <xf numFmtId="0" fontId="8" fillId="0" borderId="24"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2" xfId="0" applyFont="1" applyBorder="1" applyAlignment="1">
      <alignment horizontal="center" vertical="center"/>
    </xf>
    <xf numFmtId="0" fontId="0" fillId="0" borderId="0" xfId="0" applyFill="1" applyBorder="1"/>
    <xf numFmtId="0" fontId="7" fillId="0" borderId="0" xfId="0" applyFont="1" applyFill="1" applyBorder="1" applyAlignment="1">
      <alignment horizontal="center" wrapText="1"/>
    </xf>
    <xf numFmtId="0" fontId="8" fillId="0" borderId="0" xfId="0" applyFont="1" applyFill="1" applyBorder="1" applyAlignment="1">
      <alignment horizontal="center" vertical="center" wrapText="1"/>
    </xf>
    <xf numFmtId="43" fontId="8" fillId="0" borderId="0" xfId="1" applyFont="1" applyFill="1" applyBorder="1" applyAlignment="1">
      <alignment horizontal="center" vertical="center" wrapText="1"/>
    </xf>
    <xf numFmtId="0" fontId="1" fillId="0" borderId="7" xfId="0" applyFont="1" applyBorder="1" applyAlignment="1">
      <alignment horizontal="center"/>
    </xf>
    <xf numFmtId="168" fontId="8" fillId="0" borderId="19" xfId="0" applyNumberFormat="1" applyFont="1" applyBorder="1" applyAlignment="1">
      <alignment horizontal="center" vertical="center"/>
    </xf>
    <xf numFmtId="168" fontId="8" fillId="0" borderId="14" xfId="0" applyNumberFormat="1" applyFont="1" applyBorder="1" applyAlignment="1">
      <alignment horizontal="center" vertical="center"/>
    </xf>
    <xf numFmtId="167" fontId="8" fillId="0" borderId="14" xfId="0" applyNumberFormat="1" applyFont="1" applyBorder="1" applyAlignment="1">
      <alignment horizontal="center" vertical="center"/>
    </xf>
    <xf numFmtId="165" fontId="8" fillId="0" borderId="14" xfId="0" applyNumberFormat="1" applyFont="1" applyBorder="1" applyAlignment="1">
      <alignment horizontal="center" vertical="center"/>
    </xf>
    <xf numFmtId="164" fontId="8" fillId="0" borderId="14" xfId="0" applyNumberFormat="1" applyFont="1" applyBorder="1" applyAlignment="1">
      <alignment horizontal="center" vertical="center"/>
    </xf>
    <xf numFmtId="166" fontId="8" fillId="0" borderId="14" xfId="0" applyNumberFormat="1" applyFont="1" applyBorder="1" applyAlignment="1">
      <alignment horizontal="center" vertical="center"/>
    </xf>
    <xf numFmtId="166" fontId="8" fillId="0" borderId="15" xfId="0" applyNumberFormat="1" applyFont="1" applyBorder="1" applyAlignment="1">
      <alignment horizontal="center" vertical="center"/>
    </xf>
    <xf numFmtId="0" fontId="8" fillId="0" borderId="26" xfId="0" applyFont="1" applyBorder="1" applyAlignment="1">
      <alignment horizontal="center" vertical="center" wrapText="1"/>
    </xf>
    <xf numFmtId="3" fontId="8" fillId="0" borderId="20" xfId="1" applyNumberFormat="1" applyFont="1" applyBorder="1" applyAlignment="1">
      <alignment horizontal="center" vertical="center"/>
    </xf>
    <xf numFmtId="3" fontId="8" fillId="0" borderId="11" xfId="1" applyNumberFormat="1" applyFont="1" applyBorder="1" applyAlignment="1">
      <alignment horizontal="center" vertical="center"/>
    </xf>
    <xf numFmtId="3" fontId="8" fillId="0" borderId="17" xfId="1" applyNumberFormat="1" applyFont="1" applyBorder="1" applyAlignment="1">
      <alignment horizontal="center" vertical="center"/>
    </xf>
    <xf numFmtId="3" fontId="0" fillId="0" borderId="0" xfId="0" applyNumberFormat="1"/>
    <xf numFmtId="0" fontId="10" fillId="0" borderId="0" xfId="0" applyFont="1"/>
    <xf numFmtId="0" fontId="11" fillId="0" borderId="0" xfId="0" applyFont="1"/>
    <xf numFmtId="0" fontId="10" fillId="0" borderId="21" xfId="0" applyFont="1" applyBorder="1" applyAlignment="1">
      <alignment horizontal="center" wrapText="1"/>
    </xf>
    <xf numFmtId="0" fontId="10" fillId="0" borderId="23" xfId="0" applyFont="1" applyBorder="1" applyAlignment="1">
      <alignment horizontal="center" wrapText="1"/>
    </xf>
    <xf numFmtId="0" fontId="10" fillId="0" borderId="29" xfId="0" applyFont="1" applyBorder="1" applyAlignment="1">
      <alignment horizontal="center"/>
    </xf>
    <xf numFmtId="0" fontId="10" fillId="0" borderId="30" xfId="0" applyFont="1" applyBorder="1" applyAlignment="1">
      <alignment horizontal="center" wrapText="1"/>
    </xf>
    <xf numFmtId="0" fontId="10" fillId="0" borderId="7" xfId="0" applyFont="1" applyBorder="1" applyAlignment="1">
      <alignment horizontal="center"/>
    </xf>
    <xf numFmtId="0" fontId="0" fillId="0" borderId="0" xfId="0" quotePrefix="1"/>
    <xf numFmtId="0" fontId="0" fillId="0" borderId="7" xfId="0" applyBorder="1" applyAlignment="1">
      <alignment horizontal="left"/>
    </xf>
    <xf numFmtId="0" fontId="0" fillId="0" borderId="7" xfId="0" quotePrefix="1" applyBorder="1" applyAlignment="1">
      <alignment horizontal="left"/>
    </xf>
    <xf numFmtId="0" fontId="0" fillId="0" borderId="7" xfId="0" applyBorder="1" applyAlignment="1">
      <alignment horizontal="left"/>
    </xf>
    <xf numFmtId="0" fontId="0" fillId="0" borderId="7" xfId="0" quotePrefix="1" applyBorder="1"/>
    <xf numFmtId="0" fontId="32" fillId="0" borderId="0" xfId="0" applyFont="1" applyAlignment="1">
      <alignment horizontal="center" wrapText="1"/>
    </xf>
    <xf numFmtId="0" fontId="32" fillId="0" borderId="0" xfId="0" applyFont="1" applyAlignment="1">
      <alignment wrapText="1"/>
    </xf>
    <xf numFmtId="0" fontId="34" fillId="0" borderId="0" xfId="0" applyFont="1" applyAlignment="1">
      <alignment horizontal="left"/>
    </xf>
    <xf numFmtId="0" fontId="35" fillId="0" borderId="0" xfId="0" applyFont="1" applyAlignment="1">
      <alignment wrapText="1"/>
    </xf>
    <xf numFmtId="0" fontId="32" fillId="0" borderId="0" xfId="0" applyFont="1" applyAlignment="1"/>
    <xf numFmtId="0" fontId="36" fillId="0" borderId="5"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2" xfId="0" applyFont="1" applyBorder="1" applyAlignment="1">
      <alignment horizontal="center" vertical="center" textRotation="90" wrapText="1"/>
    </xf>
    <xf numFmtId="0" fontId="36" fillId="0" borderId="21" xfId="0" applyFont="1" applyBorder="1" applyAlignment="1">
      <alignment vertical="center" textRotation="90" wrapText="1"/>
    </xf>
    <xf numFmtId="0" fontId="36" fillId="0" borderId="22" xfId="0" applyFont="1" applyBorder="1" applyAlignment="1">
      <alignment vertical="center" textRotation="90" wrapText="1"/>
    </xf>
    <xf numFmtId="0" fontId="36" fillId="0" borderId="23" xfId="0" applyFont="1" applyBorder="1" applyAlignment="1">
      <alignment vertical="center" textRotation="90" wrapText="1"/>
    </xf>
    <xf numFmtId="0" fontId="36" fillId="29" borderId="5" xfId="0" applyFont="1" applyFill="1" applyBorder="1" applyAlignment="1">
      <alignment horizontal="center" vertical="center" wrapText="1"/>
    </xf>
    <xf numFmtId="0" fontId="37" fillId="0" borderId="0" xfId="0" applyFont="1" applyAlignment="1">
      <alignment wrapText="1"/>
    </xf>
    <xf numFmtId="0" fontId="44" fillId="0" borderId="0" xfId="0" applyFont="1" applyAlignment="1">
      <alignment horizontal="center" vertical="center"/>
    </xf>
    <xf numFmtId="0" fontId="32" fillId="0" borderId="0" xfId="0" applyFont="1" applyBorder="1" applyAlignment="1">
      <alignment horizontal="center" wrapText="1"/>
    </xf>
    <xf numFmtId="0" fontId="37" fillId="0" borderId="0" xfId="0" applyFont="1" applyBorder="1" applyAlignment="1">
      <alignment horizontal="left"/>
    </xf>
    <xf numFmtId="0" fontId="32" fillId="0" borderId="0" xfId="0" applyFont="1" applyBorder="1" applyAlignment="1">
      <alignment wrapText="1"/>
    </xf>
    <xf numFmtId="0" fontId="37" fillId="0" borderId="0" xfId="0" applyFont="1" applyBorder="1" applyAlignment="1">
      <alignment horizontal="center" wrapText="1"/>
    </xf>
    <xf numFmtId="0" fontId="37" fillId="0" borderId="0" xfId="0" applyFont="1" applyFill="1" applyBorder="1" applyAlignment="1">
      <alignment vertical="center" wrapText="1"/>
    </xf>
    <xf numFmtId="0" fontId="37" fillId="0" borderId="0" xfId="0" applyFont="1" applyFill="1" applyBorder="1" applyAlignment="1">
      <alignment horizontal="center" vertical="center"/>
    </xf>
    <xf numFmtId="16" fontId="37" fillId="0" borderId="0" xfId="0" applyNumberFormat="1" applyFont="1" applyFill="1" applyBorder="1" applyAlignment="1">
      <alignment horizontal="center" vertical="center" wrapText="1"/>
    </xf>
    <xf numFmtId="0" fontId="37" fillId="0" borderId="0" xfId="0" applyFont="1" applyFill="1" applyBorder="1" applyAlignment="1">
      <alignment horizontal="center" vertical="center" wrapText="1"/>
    </xf>
    <xf numFmtId="0" fontId="37" fillId="0" borderId="0" xfId="0" applyFont="1" applyBorder="1" applyAlignment="1">
      <alignment vertical="center" wrapText="1"/>
    </xf>
    <xf numFmtId="16" fontId="37" fillId="0" borderId="0" xfId="0" applyNumberFormat="1" applyFont="1" applyBorder="1" applyAlignment="1">
      <alignment horizontal="center" vertical="center" wrapText="1"/>
    </xf>
    <xf numFmtId="0" fontId="37" fillId="0" borderId="0" xfId="0" applyFont="1" applyBorder="1" applyAlignment="1">
      <alignment horizontal="center" vertical="center"/>
    </xf>
    <xf numFmtId="0" fontId="37" fillId="0" borderId="0" xfId="0" applyFont="1" applyBorder="1" applyAlignment="1">
      <alignment horizontal="center" vertical="center" wrapText="1"/>
    </xf>
    <xf numFmtId="0" fontId="37" fillId="0" borderId="0" xfId="0" applyFont="1" applyFill="1" applyBorder="1"/>
    <xf numFmtId="49" fontId="9" fillId="30" borderId="1" xfId="0" applyNumberFormat="1" applyFont="1" applyFill="1" applyBorder="1" applyAlignment="1">
      <alignment horizontal="center" vertical="top" wrapText="1"/>
    </xf>
    <xf numFmtId="0" fontId="9" fillId="30" borderId="1" xfId="0" applyFont="1" applyFill="1" applyBorder="1" applyAlignment="1">
      <alignment vertical="top" wrapText="1"/>
    </xf>
    <xf numFmtId="0" fontId="9" fillId="30" borderId="7" xfId="0" applyFont="1" applyFill="1" applyBorder="1" applyAlignment="1">
      <alignment horizontal="left" vertical="top" wrapText="1"/>
    </xf>
    <xf numFmtId="0" fontId="9" fillId="30" borderId="1" xfId="0" applyFont="1" applyFill="1" applyBorder="1" applyAlignment="1">
      <alignment horizontal="center" vertical="top" wrapText="1"/>
    </xf>
    <xf numFmtId="0" fontId="38" fillId="30" borderId="1" xfId="0" applyFont="1" applyFill="1" applyBorder="1" applyAlignment="1">
      <alignment horizontal="center" vertical="center" wrapText="1"/>
    </xf>
    <xf numFmtId="0" fontId="38" fillId="30" borderId="14" xfId="0" applyFont="1" applyFill="1" applyBorder="1" applyAlignment="1">
      <alignment horizontal="center" vertical="center" wrapText="1"/>
    </xf>
    <xf numFmtId="0" fontId="38" fillId="30" borderId="7" xfId="0" applyFont="1" applyFill="1" applyBorder="1" applyAlignment="1">
      <alignment horizontal="center" vertical="center" wrapText="1"/>
    </xf>
    <xf numFmtId="0" fontId="38" fillId="30" borderId="11" xfId="0" applyFont="1" applyFill="1" applyBorder="1" applyAlignment="1">
      <alignment horizontal="center" vertical="center" wrapText="1"/>
    </xf>
    <xf numFmtId="0" fontId="37" fillId="30" borderId="14" xfId="0" applyFont="1" applyFill="1" applyBorder="1" applyAlignment="1">
      <alignment horizontal="center" vertical="center"/>
    </xf>
    <xf numFmtId="0" fontId="37" fillId="30" borderId="7" xfId="0" applyFont="1" applyFill="1" applyBorder="1" applyAlignment="1">
      <alignment horizontal="center" vertical="center"/>
    </xf>
    <xf numFmtId="0" fontId="37" fillId="30" borderId="11" xfId="0" applyFont="1" applyFill="1" applyBorder="1" applyAlignment="1">
      <alignment horizontal="center" vertical="center"/>
    </xf>
    <xf numFmtId="0" fontId="9" fillId="30" borderId="1" xfId="0" applyFont="1" applyFill="1" applyBorder="1" applyAlignment="1">
      <alignment horizontal="left" vertical="top" wrapText="1"/>
    </xf>
    <xf numFmtId="0" fontId="9" fillId="30" borderId="1" xfId="0" applyFont="1" applyFill="1" applyBorder="1" applyAlignment="1">
      <alignment horizontal="center" vertical="center" wrapText="1"/>
    </xf>
    <xf numFmtId="0" fontId="32" fillId="30" borderId="0" xfId="0" applyFont="1" applyFill="1" applyAlignment="1">
      <alignment wrapText="1"/>
    </xf>
    <xf numFmtId="49" fontId="9" fillId="31" borderId="1" xfId="0" applyNumberFormat="1" applyFont="1" applyFill="1" applyBorder="1" applyAlignment="1">
      <alignment horizontal="center" vertical="top" wrapText="1"/>
    </xf>
    <xf numFmtId="0" fontId="9" fillId="31" borderId="1" xfId="0" applyFont="1" applyFill="1" applyBorder="1" applyAlignment="1">
      <alignment vertical="top" wrapText="1"/>
    </xf>
    <xf numFmtId="0" fontId="9" fillId="31" borderId="7" xfId="0" applyFont="1" applyFill="1" applyBorder="1" applyAlignment="1">
      <alignment horizontal="left" vertical="top" wrapText="1"/>
    </xf>
    <xf numFmtId="0" fontId="9" fillId="31" borderId="1" xfId="0" applyFont="1" applyFill="1" applyBorder="1" applyAlignment="1">
      <alignment horizontal="center" vertical="top" wrapText="1"/>
    </xf>
    <xf numFmtId="0" fontId="38" fillId="31" borderId="1" xfId="0" applyFont="1" applyFill="1" applyBorder="1" applyAlignment="1">
      <alignment horizontal="center" vertical="center" wrapText="1"/>
    </xf>
    <xf numFmtId="0" fontId="38" fillId="31" borderId="14" xfId="0" applyFont="1" applyFill="1" applyBorder="1" applyAlignment="1">
      <alignment horizontal="center" vertical="center" wrapText="1"/>
    </xf>
    <xf numFmtId="0" fontId="38" fillId="31" borderId="7" xfId="0" applyFont="1" applyFill="1" applyBorder="1" applyAlignment="1">
      <alignment horizontal="center" vertical="center" wrapText="1"/>
    </xf>
    <xf numFmtId="0" fontId="38" fillId="31" borderId="11" xfId="0" applyFont="1" applyFill="1" applyBorder="1" applyAlignment="1">
      <alignment horizontal="center" vertical="center" wrapText="1"/>
    </xf>
    <xf numFmtId="0" fontId="37" fillId="31" borderId="14" xfId="0" applyFont="1" applyFill="1" applyBorder="1" applyAlignment="1">
      <alignment horizontal="center" vertical="center"/>
    </xf>
    <xf numFmtId="0" fontId="37" fillId="31" borderId="7" xfId="0" applyFont="1" applyFill="1" applyBorder="1" applyAlignment="1">
      <alignment horizontal="center" vertical="center"/>
    </xf>
    <xf numFmtId="0" fontId="37" fillId="31" borderId="11" xfId="0" applyFont="1" applyFill="1" applyBorder="1" applyAlignment="1">
      <alignment horizontal="center" vertical="center"/>
    </xf>
    <xf numFmtId="0" fontId="9" fillId="31" borderId="1" xfId="0" applyFont="1" applyFill="1" applyBorder="1" applyAlignment="1">
      <alignment horizontal="left" vertical="top" wrapText="1"/>
    </xf>
    <xf numFmtId="0" fontId="9" fillId="31" borderId="1" xfId="0" applyFont="1" applyFill="1" applyBorder="1" applyAlignment="1">
      <alignment horizontal="center" vertical="center" wrapText="1"/>
    </xf>
    <xf numFmtId="0" fontId="32" fillId="31" borderId="0" xfId="0" applyFont="1" applyFill="1" applyAlignment="1">
      <alignment wrapText="1"/>
    </xf>
    <xf numFmtId="0" fontId="32" fillId="32" borderId="0" xfId="0" applyFont="1" applyFill="1" applyAlignment="1">
      <alignment wrapText="1"/>
    </xf>
    <xf numFmtId="49" fontId="9" fillId="32" borderId="1" xfId="0" applyNumberFormat="1" applyFont="1" applyFill="1" applyBorder="1" applyAlignment="1">
      <alignment horizontal="center" vertical="top" wrapText="1"/>
    </xf>
    <xf numFmtId="0" fontId="9" fillId="32" borderId="1" xfId="0" applyFont="1" applyFill="1" applyBorder="1" applyAlignment="1">
      <alignment vertical="top" wrapText="1"/>
    </xf>
    <xf numFmtId="0" fontId="9" fillId="32" borderId="7" xfId="0" applyFont="1" applyFill="1" applyBorder="1" applyAlignment="1">
      <alignment horizontal="left" vertical="top" wrapText="1"/>
    </xf>
    <xf numFmtId="0" fontId="9" fillId="32" borderId="1" xfId="0" applyFont="1" applyFill="1" applyBorder="1" applyAlignment="1">
      <alignment horizontal="center" vertical="top" wrapText="1"/>
    </xf>
    <xf numFmtId="0" fontId="38" fillId="32" borderId="1" xfId="0" applyFont="1" applyFill="1" applyBorder="1" applyAlignment="1">
      <alignment horizontal="center" vertical="center" wrapText="1"/>
    </xf>
    <xf numFmtId="0" fontId="38" fillId="32" borderId="14" xfId="0" applyFont="1" applyFill="1" applyBorder="1" applyAlignment="1">
      <alignment horizontal="center" vertical="center" wrapText="1"/>
    </xf>
    <xf numFmtId="0" fontId="38" fillId="32" borderId="7" xfId="0" applyFont="1" applyFill="1" applyBorder="1" applyAlignment="1">
      <alignment horizontal="center" vertical="center" wrapText="1"/>
    </xf>
    <xf numFmtId="0" fontId="38" fillId="32" borderId="11" xfId="0" applyFont="1" applyFill="1" applyBorder="1" applyAlignment="1">
      <alignment horizontal="center" vertical="center" wrapText="1"/>
    </xf>
    <xf numFmtId="0" fontId="37" fillId="32" borderId="14" xfId="0" applyFont="1" applyFill="1" applyBorder="1" applyAlignment="1">
      <alignment horizontal="center" vertical="center"/>
    </xf>
    <xf numFmtId="0" fontId="37" fillId="32" borderId="7" xfId="0" applyFont="1" applyFill="1" applyBorder="1" applyAlignment="1">
      <alignment horizontal="center" vertical="center"/>
    </xf>
    <xf numFmtId="0" fontId="37" fillId="32" borderId="11" xfId="0" applyFont="1" applyFill="1" applyBorder="1" applyAlignment="1">
      <alignment horizontal="center" vertical="center"/>
    </xf>
    <xf numFmtId="0" fontId="9" fillId="32" borderId="1" xfId="0" applyFont="1" applyFill="1" applyBorder="1" applyAlignment="1">
      <alignment horizontal="left" vertical="top" wrapText="1"/>
    </xf>
    <xf numFmtId="0" fontId="9" fillId="32" borderId="1" xfId="0" applyFont="1" applyFill="1" applyBorder="1" applyAlignment="1">
      <alignment horizontal="center" vertical="center" wrapText="1"/>
    </xf>
    <xf numFmtId="0" fontId="9" fillId="30" borderId="47" xfId="0" applyFont="1" applyFill="1" applyBorder="1" applyAlignment="1">
      <alignment vertical="top" wrapText="1"/>
    </xf>
    <xf numFmtId="0" fontId="9" fillId="30" borderId="18" xfId="0" applyFont="1" applyFill="1" applyBorder="1" applyAlignment="1">
      <alignment vertical="top" wrapText="1"/>
    </xf>
    <xf numFmtId="0" fontId="9" fillId="30" borderId="8" xfId="0" applyFont="1" applyFill="1" applyBorder="1" applyAlignment="1">
      <alignment vertical="top" wrapText="1"/>
    </xf>
    <xf numFmtId="0" fontId="9" fillId="30" borderId="8" xfId="0" applyFont="1" applyFill="1" applyBorder="1" applyAlignment="1">
      <alignment horizontal="center" vertical="top" wrapText="1"/>
    </xf>
    <xf numFmtId="0" fontId="9" fillId="30" borderId="8" xfId="0" applyFont="1" applyFill="1" applyBorder="1" applyAlignment="1">
      <alignment horizontal="left" vertical="top" wrapText="1"/>
    </xf>
    <xf numFmtId="0" fontId="9" fillId="30" borderId="8" xfId="0" applyFont="1" applyFill="1" applyBorder="1" applyAlignment="1">
      <alignment horizontal="center" vertical="center" wrapText="1"/>
    </xf>
    <xf numFmtId="0" fontId="43" fillId="30" borderId="8" xfId="0" applyFont="1" applyFill="1" applyBorder="1" applyAlignment="1">
      <alignment horizontal="center" vertical="top" wrapText="1"/>
    </xf>
    <xf numFmtId="0" fontId="43" fillId="30" borderId="8" xfId="0" applyFont="1" applyFill="1" applyBorder="1" applyAlignment="1">
      <alignment horizontal="left" vertical="top" wrapText="1"/>
    </xf>
    <xf numFmtId="0" fontId="9" fillId="30" borderId="6" xfId="0" applyFont="1" applyFill="1" applyBorder="1" applyAlignment="1">
      <alignment vertical="top" wrapText="1"/>
    </xf>
    <xf numFmtId="0" fontId="43" fillId="30" borderId="6" xfId="0" applyFont="1" applyFill="1" applyBorder="1" applyAlignment="1">
      <alignment horizontal="center" vertical="top" wrapText="1"/>
    </xf>
    <xf numFmtId="0" fontId="38" fillId="30" borderId="6" xfId="0" applyFont="1" applyFill="1" applyBorder="1" applyAlignment="1">
      <alignment horizontal="center" vertical="center" wrapText="1"/>
    </xf>
    <xf numFmtId="0" fontId="38" fillId="30" borderId="15" xfId="0" applyFont="1" applyFill="1" applyBorder="1" applyAlignment="1">
      <alignment horizontal="center" vertical="center" wrapText="1"/>
    </xf>
    <xf numFmtId="0" fontId="38" fillId="30" borderId="16" xfId="0" applyFont="1" applyFill="1" applyBorder="1" applyAlignment="1">
      <alignment horizontal="center" vertical="center" wrapText="1"/>
    </xf>
    <xf numFmtId="0" fontId="38" fillId="30" borderId="17" xfId="0" applyFont="1" applyFill="1" applyBorder="1" applyAlignment="1">
      <alignment horizontal="center" vertical="center" wrapText="1"/>
    </xf>
    <xf numFmtId="0" fontId="37" fillId="30" borderId="15" xfId="0" applyFont="1" applyFill="1" applyBorder="1" applyAlignment="1">
      <alignment horizontal="center" vertical="center"/>
    </xf>
    <xf numFmtId="0" fontId="37" fillId="30" borderId="16" xfId="0" applyFont="1" applyFill="1" applyBorder="1" applyAlignment="1">
      <alignment horizontal="center" vertical="center"/>
    </xf>
    <xf numFmtId="0" fontId="37" fillId="30" borderId="17" xfId="0" applyFont="1" applyFill="1" applyBorder="1" applyAlignment="1">
      <alignment horizontal="center" vertical="center"/>
    </xf>
    <xf numFmtId="0" fontId="43" fillId="30" borderId="6" xfId="0" applyFont="1" applyFill="1" applyBorder="1" applyAlignment="1">
      <alignment horizontal="left" vertical="top" wrapText="1"/>
    </xf>
    <xf numFmtId="0" fontId="32" fillId="0" borderId="0" xfId="0" applyFont="1" applyFill="1" applyAlignment="1">
      <alignment wrapText="1"/>
    </xf>
    <xf numFmtId="49" fontId="9" fillId="0" borderId="1" xfId="0" applyNumberFormat="1" applyFont="1" applyFill="1" applyBorder="1" applyAlignment="1">
      <alignment horizontal="center" vertical="top" wrapText="1"/>
    </xf>
    <xf numFmtId="0" fontId="9" fillId="0" borderId="1" xfId="0" applyFont="1" applyFill="1" applyBorder="1" applyAlignment="1">
      <alignment vertical="top" wrapText="1"/>
    </xf>
    <xf numFmtId="0" fontId="9" fillId="0" borderId="6" xfId="0" applyFont="1" applyFill="1" applyBorder="1" applyAlignment="1">
      <alignment vertical="top" wrapText="1"/>
    </xf>
    <xf numFmtId="0" fontId="9" fillId="0" borderId="6" xfId="0" applyFont="1" applyFill="1" applyBorder="1" applyAlignment="1">
      <alignment horizontal="center" vertical="top" wrapText="1"/>
    </xf>
    <xf numFmtId="0" fontId="9" fillId="0" borderId="8" xfId="0" applyFont="1" applyFill="1" applyBorder="1" applyAlignment="1">
      <alignment vertical="top" wrapText="1"/>
    </xf>
    <xf numFmtId="0" fontId="38" fillId="0" borderId="6"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17" xfId="0" applyFont="1" applyFill="1" applyBorder="1" applyAlignment="1">
      <alignment horizontal="center" vertical="center" wrapText="1"/>
    </xf>
    <xf numFmtId="0" fontId="37" fillId="0" borderId="15" xfId="0" applyFont="1" applyFill="1" applyBorder="1" applyAlignment="1">
      <alignment horizontal="center" vertical="center"/>
    </xf>
    <xf numFmtId="0" fontId="37" fillId="0" borderId="16" xfId="0" applyFont="1" applyFill="1" applyBorder="1" applyAlignment="1">
      <alignment horizontal="center" vertical="center"/>
    </xf>
    <xf numFmtId="0" fontId="37" fillId="0" borderId="17" xfId="0" applyFont="1" applyFill="1" applyBorder="1" applyAlignment="1">
      <alignment horizontal="center" vertical="center"/>
    </xf>
    <xf numFmtId="0" fontId="9" fillId="0" borderId="1" xfId="0" applyFont="1" applyFill="1" applyBorder="1" applyAlignment="1">
      <alignment horizontal="left" vertical="top" wrapText="1"/>
    </xf>
    <xf numFmtId="0" fontId="9" fillId="0" borderId="8" xfId="0" applyFont="1" applyFill="1" applyBorder="1" applyAlignment="1">
      <alignment horizontal="left" vertical="top" wrapText="1"/>
    </xf>
    <xf numFmtId="0" fontId="9" fillId="0" borderId="6" xfId="0" applyFont="1" applyFill="1" applyBorder="1" applyAlignment="1">
      <alignment horizontal="left" vertical="top" wrapText="1"/>
    </xf>
    <xf numFmtId="0" fontId="9" fillId="0" borderId="6" xfId="0" applyFont="1" applyFill="1" applyBorder="1" applyAlignment="1">
      <alignment horizontal="center" vertical="center" wrapText="1"/>
    </xf>
    <xf numFmtId="0" fontId="9" fillId="0" borderId="1" xfId="0" applyFont="1" applyFill="1" applyBorder="1" applyAlignment="1">
      <alignment horizontal="center" vertical="top" wrapText="1"/>
    </xf>
    <xf numFmtId="0" fontId="9" fillId="0" borderId="18" xfId="0" applyFont="1" applyFill="1" applyBorder="1" applyAlignment="1">
      <alignment vertical="top" wrapText="1"/>
    </xf>
    <xf numFmtId="0" fontId="38" fillId="0" borderId="1" xfId="0" applyFont="1" applyFill="1" applyBorder="1" applyAlignment="1">
      <alignment horizontal="center" vertical="center" wrapText="1"/>
    </xf>
    <xf numFmtId="0" fontId="38" fillId="0" borderId="14" xfId="0" applyFont="1" applyFill="1" applyBorder="1" applyAlignment="1">
      <alignment horizontal="center" vertical="center" wrapText="1"/>
    </xf>
    <xf numFmtId="0" fontId="38" fillId="0" borderId="7"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7" fillId="0" borderId="14" xfId="0" applyFont="1" applyFill="1" applyBorder="1" applyAlignment="1">
      <alignment horizontal="center" vertical="center"/>
    </xf>
    <xf numFmtId="0" fontId="37" fillId="0" borderId="7" xfId="0" applyFont="1" applyFill="1" applyBorder="1" applyAlignment="1">
      <alignment horizontal="center" vertical="center"/>
    </xf>
    <xf numFmtId="0" fontId="37" fillId="0" borderId="11" xfId="0" applyFont="1" applyFill="1" applyBorder="1" applyAlignment="1">
      <alignment horizontal="center" vertical="center"/>
    </xf>
    <xf numFmtId="0" fontId="9" fillId="0" borderId="1" xfId="0" applyFont="1" applyFill="1" applyBorder="1" applyAlignment="1">
      <alignment horizontal="center" vertical="center" wrapText="1"/>
    </xf>
    <xf numFmtId="0" fontId="42" fillId="0" borderId="0" xfId="0" applyFont="1" applyFill="1" applyAlignment="1">
      <alignment wrapText="1"/>
    </xf>
    <xf numFmtId="0" fontId="42" fillId="30" borderId="0" xfId="0" applyFont="1" applyFill="1" applyAlignment="1">
      <alignment wrapText="1"/>
    </xf>
    <xf numFmtId="0" fontId="9" fillId="30" borderId="18" xfId="0" applyFont="1" applyFill="1" applyBorder="1" applyAlignment="1">
      <alignment horizontal="left" vertical="top" wrapText="1"/>
    </xf>
    <xf numFmtId="0" fontId="32" fillId="33" borderId="0" xfId="0" applyFont="1" applyFill="1" applyAlignment="1">
      <alignment wrapText="1"/>
    </xf>
    <xf numFmtId="49" fontId="9" fillId="33" borderId="1" xfId="0" applyNumberFormat="1" applyFont="1" applyFill="1" applyBorder="1" applyAlignment="1">
      <alignment horizontal="center" vertical="top" wrapText="1"/>
    </xf>
    <xf numFmtId="0" fontId="9" fillId="33" borderId="1" xfId="0" applyFont="1" applyFill="1" applyBorder="1" applyAlignment="1">
      <alignment vertical="top" wrapText="1"/>
    </xf>
    <xf numFmtId="0" fontId="9" fillId="33" borderId="1" xfId="0" applyFont="1" applyFill="1" applyBorder="1" applyAlignment="1">
      <alignment horizontal="center" vertical="top" wrapText="1"/>
    </xf>
    <xf numFmtId="0" fontId="38" fillId="33" borderId="1" xfId="0" applyFont="1" applyFill="1" applyBorder="1" applyAlignment="1">
      <alignment horizontal="center" vertical="center" wrapText="1"/>
    </xf>
    <xf numFmtId="0" fontId="38" fillId="33" borderId="14" xfId="0" applyFont="1" applyFill="1" applyBorder="1" applyAlignment="1">
      <alignment horizontal="center" vertical="center" wrapText="1"/>
    </xf>
    <xf numFmtId="0" fontId="38" fillId="33" borderId="7" xfId="0" applyFont="1" applyFill="1" applyBorder="1" applyAlignment="1">
      <alignment horizontal="center" vertical="center" wrapText="1"/>
    </xf>
    <xf numFmtId="0" fontId="38" fillId="33" borderId="11" xfId="0" applyFont="1" applyFill="1" applyBorder="1" applyAlignment="1">
      <alignment horizontal="center" vertical="center" wrapText="1"/>
    </xf>
    <xf numFmtId="0" fontId="37" fillId="33" borderId="14" xfId="0" applyFont="1" applyFill="1" applyBorder="1" applyAlignment="1">
      <alignment horizontal="center" vertical="center"/>
    </xf>
    <xf numFmtId="0" fontId="37" fillId="33" borderId="7" xfId="0" applyFont="1" applyFill="1" applyBorder="1" applyAlignment="1">
      <alignment horizontal="center" vertical="center"/>
    </xf>
    <xf numFmtId="0" fontId="37" fillId="33" borderId="11" xfId="0" applyFont="1" applyFill="1" applyBorder="1" applyAlignment="1">
      <alignment horizontal="center" vertical="center"/>
    </xf>
    <xf numFmtId="0" fontId="9" fillId="33" borderId="18" xfId="0" applyFont="1" applyFill="1" applyBorder="1" applyAlignment="1">
      <alignment horizontal="left" vertical="top" wrapText="1"/>
    </xf>
    <xf numFmtId="0" fontId="38" fillId="33" borderId="18" xfId="0" applyFont="1" applyFill="1" applyBorder="1" applyAlignment="1">
      <alignment horizontal="center" vertical="center" wrapText="1"/>
    </xf>
    <xf numFmtId="0" fontId="38" fillId="33" borderId="19" xfId="0" applyFont="1" applyFill="1" applyBorder="1" applyAlignment="1">
      <alignment horizontal="center" vertical="center" wrapText="1"/>
    </xf>
    <xf numFmtId="0" fontId="38" fillId="33" borderId="36" xfId="0" applyFont="1" applyFill="1" applyBorder="1" applyAlignment="1">
      <alignment horizontal="center" vertical="center" wrapText="1"/>
    </xf>
    <xf numFmtId="0" fontId="38" fillId="33" borderId="20" xfId="0" applyFont="1" applyFill="1" applyBorder="1" applyAlignment="1">
      <alignment horizontal="center" vertical="center" wrapText="1"/>
    </xf>
    <xf numFmtId="0" fontId="37" fillId="33" borderId="19" xfId="0" applyFont="1" applyFill="1" applyBorder="1" applyAlignment="1">
      <alignment horizontal="center" vertical="center"/>
    </xf>
    <xf numFmtId="0" fontId="37" fillId="33" borderId="36" xfId="0" applyFont="1" applyFill="1" applyBorder="1" applyAlignment="1">
      <alignment horizontal="center" vertical="center"/>
    </xf>
    <xf numFmtId="0" fontId="37" fillId="33" borderId="20" xfId="0" applyFont="1" applyFill="1" applyBorder="1" applyAlignment="1">
      <alignment horizontal="center" vertical="center"/>
    </xf>
    <xf numFmtId="0" fontId="9" fillId="33" borderId="18" xfId="0" applyFont="1" applyFill="1" applyBorder="1" applyAlignment="1">
      <alignment horizontal="center" vertical="center" wrapText="1"/>
    </xf>
    <xf numFmtId="0" fontId="9" fillId="33" borderId="1" xfId="0" applyFont="1" applyFill="1" applyBorder="1" applyAlignment="1">
      <alignment horizontal="left" vertical="top" wrapText="1"/>
    </xf>
    <xf numFmtId="0" fontId="9" fillId="33" borderId="18" xfId="0" applyFont="1" applyFill="1" applyBorder="1" applyAlignment="1">
      <alignment vertical="top" wrapText="1"/>
    </xf>
    <xf numFmtId="49" fontId="9" fillId="30" borderId="18" xfId="0" applyNumberFormat="1" applyFont="1" applyFill="1" applyBorder="1" applyAlignment="1">
      <alignment horizontal="center" vertical="top" wrapText="1"/>
    </xf>
    <xf numFmtId="0" fontId="9" fillId="30" borderId="18" xfId="0" applyFont="1" applyFill="1" applyBorder="1" applyAlignment="1">
      <alignment horizontal="center" vertical="top" wrapText="1"/>
    </xf>
    <xf numFmtId="0" fontId="38" fillId="30" borderId="18" xfId="0" applyFont="1" applyFill="1" applyBorder="1" applyAlignment="1">
      <alignment horizontal="center" vertical="center" wrapText="1"/>
    </xf>
    <xf numFmtId="0" fontId="38" fillId="30" borderId="19" xfId="0" applyFont="1" applyFill="1" applyBorder="1" applyAlignment="1">
      <alignment horizontal="center" vertical="center" wrapText="1"/>
    </xf>
    <xf numFmtId="0" fontId="38" fillId="30" borderId="36" xfId="0" applyFont="1" applyFill="1" applyBorder="1" applyAlignment="1">
      <alignment horizontal="center" vertical="center" wrapText="1"/>
    </xf>
    <xf numFmtId="0" fontId="38" fillId="30" borderId="20" xfId="0" applyFont="1" applyFill="1" applyBorder="1" applyAlignment="1">
      <alignment horizontal="center" vertical="center" wrapText="1"/>
    </xf>
    <xf numFmtId="0" fontId="37" fillId="30" borderId="19" xfId="0" applyFont="1" applyFill="1" applyBorder="1" applyAlignment="1">
      <alignment horizontal="center" vertical="center"/>
    </xf>
    <xf numFmtId="0" fontId="37" fillId="30" borderId="36" xfId="0" applyFont="1" applyFill="1" applyBorder="1" applyAlignment="1">
      <alignment horizontal="center" vertical="center"/>
    </xf>
    <xf numFmtId="0" fontId="37" fillId="30" borderId="20" xfId="0" applyFont="1" applyFill="1" applyBorder="1" applyAlignment="1">
      <alignment horizontal="center" vertical="center"/>
    </xf>
    <xf numFmtId="0" fontId="9" fillId="30" borderId="18" xfId="0" applyFont="1" applyFill="1" applyBorder="1" applyAlignment="1">
      <alignment horizontal="center" vertical="center" wrapText="1"/>
    </xf>
    <xf numFmtId="49" fontId="9" fillId="0" borderId="18" xfId="0" applyNumberFormat="1" applyFont="1" applyFill="1" applyBorder="1" applyAlignment="1">
      <alignment horizontal="center" vertical="top" wrapText="1"/>
    </xf>
    <xf numFmtId="0" fontId="9" fillId="0" borderId="18" xfId="0" applyFont="1" applyFill="1" applyBorder="1" applyAlignment="1">
      <alignment horizontal="center" vertical="top" wrapText="1"/>
    </xf>
    <xf numFmtId="0" fontId="38" fillId="0" borderId="18" xfId="0" applyFont="1" applyFill="1" applyBorder="1" applyAlignment="1">
      <alignment horizontal="center" vertical="center" wrapText="1"/>
    </xf>
    <xf numFmtId="0" fontId="38" fillId="0" borderId="19" xfId="0" applyFont="1" applyFill="1" applyBorder="1" applyAlignment="1">
      <alignment horizontal="center" vertical="center" wrapText="1"/>
    </xf>
    <xf numFmtId="0" fontId="38" fillId="0" borderId="36" xfId="0" applyFont="1" applyFill="1" applyBorder="1" applyAlignment="1">
      <alignment horizontal="center" vertical="center" wrapText="1"/>
    </xf>
    <xf numFmtId="0" fontId="38" fillId="0" borderId="20" xfId="0" applyFont="1" applyFill="1" applyBorder="1" applyAlignment="1">
      <alignment horizontal="center" vertical="center" wrapText="1"/>
    </xf>
    <xf numFmtId="0" fontId="37" fillId="0" borderId="19" xfId="0" applyFont="1" applyFill="1" applyBorder="1" applyAlignment="1">
      <alignment horizontal="center" vertical="center"/>
    </xf>
    <xf numFmtId="0" fontId="37" fillId="0" borderId="36" xfId="0" applyFont="1" applyFill="1" applyBorder="1" applyAlignment="1">
      <alignment horizontal="center" vertical="center"/>
    </xf>
    <xf numFmtId="0" fontId="37" fillId="0" borderId="20" xfId="0" applyFont="1" applyFill="1" applyBorder="1" applyAlignment="1">
      <alignment horizontal="center" vertical="center"/>
    </xf>
    <xf numFmtId="0" fontId="9" fillId="0" borderId="18" xfId="0" applyFont="1" applyFill="1" applyBorder="1" applyAlignment="1">
      <alignment horizontal="left" vertical="top" wrapText="1"/>
    </xf>
    <xf numFmtId="0" fontId="9" fillId="0" borderId="18" xfId="0" applyFont="1" applyFill="1" applyBorder="1" applyAlignment="1">
      <alignment horizontal="center" vertical="center" wrapText="1"/>
    </xf>
    <xf numFmtId="0" fontId="9" fillId="30" borderId="7" xfId="0" applyFont="1" applyFill="1" applyBorder="1" applyAlignment="1">
      <alignment vertical="top" wrapText="1"/>
    </xf>
    <xf numFmtId="0" fontId="38" fillId="30" borderId="46" xfId="0" applyFont="1" applyFill="1" applyBorder="1" applyAlignment="1">
      <alignment horizontal="center" vertical="center" wrapText="1"/>
    </xf>
    <xf numFmtId="0" fontId="9" fillId="0" borderId="7" xfId="0" applyFont="1" applyFill="1" applyBorder="1" applyAlignment="1">
      <alignment vertical="top" wrapText="1"/>
    </xf>
    <xf numFmtId="0" fontId="38" fillId="0" borderId="46" xfId="0" applyFont="1" applyFill="1" applyBorder="1" applyAlignment="1">
      <alignment horizontal="center" vertical="center" wrapText="1"/>
    </xf>
    <xf numFmtId="0" fontId="9" fillId="0" borderId="7" xfId="0" applyFont="1" applyFill="1" applyBorder="1" applyAlignment="1">
      <alignment horizontal="left" vertical="top" wrapText="1"/>
    </xf>
    <xf numFmtId="49" fontId="39" fillId="0" borderId="1" xfId="0" applyNumberFormat="1" applyFont="1" applyFill="1" applyBorder="1" applyAlignment="1">
      <alignment horizontal="center" vertical="top" wrapText="1"/>
    </xf>
    <xf numFmtId="0" fontId="39" fillId="0" borderId="1" xfId="0" applyFont="1" applyFill="1" applyBorder="1" applyAlignment="1">
      <alignment vertical="top" wrapText="1"/>
    </xf>
    <xf numFmtId="0" fontId="39" fillId="0" borderId="7" xfId="0" applyFont="1" applyFill="1" applyBorder="1" applyAlignment="1">
      <alignment vertical="top" wrapText="1"/>
    </xf>
    <xf numFmtId="0" fontId="39" fillId="0" borderId="1" xfId="0" applyFont="1" applyFill="1" applyBorder="1" applyAlignment="1">
      <alignment horizontal="center" vertical="top" wrapText="1"/>
    </xf>
    <xf numFmtId="0" fontId="40" fillId="0" borderId="1" xfId="0" applyFont="1" applyFill="1" applyBorder="1" applyAlignment="1">
      <alignment horizontal="center" vertical="center" wrapText="1"/>
    </xf>
    <xf numFmtId="0" fontId="40" fillId="0" borderId="14" xfId="0" applyFont="1" applyFill="1" applyBorder="1" applyAlignment="1">
      <alignment horizontal="center" vertical="center" wrapText="1"/>
    </xf>
    <xf numFmtId="0" fontId="40" fillId="0" borderId="7" xfId="0" applyFont="1" applyFill="1" applyBorder="1" applyAlignment="1">
      <alignment horizontal="center" vertical="center" wrapText="1"/>
    </xf>
    <xf numFmtId="0" fontId="40" fillId="0" borderId="11" xfId="0" applyFont="1" applyFill="1" applyBorder="1" applyAlignment="1">
      <alignment horizontal="center" vertical="center" wrapText="1"/>
    </xf>
    <xf numFmtId="0" fontId="41" fillId="0" borderId="14" xfId="0" applyFont="1" applyFill="1" applyBorder="1" applyAlignment="1">
      <alignment horizontal="center" vertical="center"/>
    </xf>
    <xf numFmtId="0" fontId="41" fillId="0" borderId="7" xfId="0" applyFont="1" applyFill="1" applyBorder="1" applyAlignment="1">
      <alignment horizontal="center" vertical="center"/>
    </xf>
    <xf numFmtId="0" fontId="41" fillId="0" borderId="11" xfId="0" applyFont="1" applyFill="1" applyBorder="1" applyAlignment="1">
      <alignment horizontal="center" vertical="center"/>
    </xf>
    <xf numFmtId="0" fontId="39" fillId="0" borderId="1" xfId="0" applyFont="1" applyFill="1" applyBorder="1" applyAlignment="1">
      <alignment horizontal="left" vertical="top" wrapText="1"/>
    </xf>
    <xf numFmtId="0" fontId="39" fillId="0" borderId="1" xfId="0" applyFont="1" applyFill="1" applyBorder="1" applyAlignment="1">
      <alignment horizontal="center" vertical="center" wrapText="1"/>
    </xf>
    <xf numFmtId="0" fontId="39" fillId="0" borderId="8" xfId="0" applyFont="1" applyFill="1" applyBorder="1" applyAlignment="1">
      <alignment horizontal="left" vertical="top" wrapText="1"/>
    </xf>
    <xf numFmtId="0" fontId="39" fillId="0" borderId="8" xfId="0" applyFont="1" applyFill="1" applyBorder="1" applyAlignment="1">
      <alignment horizontal="center" vertical="center" wrapText="1"/>
    </xf>
    <xf numFmtId="0" fontId="46" fillId="0" borderId="1" xfId="0" applyFont="1" applyFill="1" applyBorder="1" applyAlignment="1">
      <alignment horizontal="center" vertical="center" wrapText="1"/>
    </xf>
    <xf numFmtId="49" fontId="47" fillId="0" borderId="1" xfId="0" applyNumberFormat="1" applyFont="1" applyFill="1" applyBorder="1" applyAlignment="1">
      <alignment horizontal="center" vertical="top" wrapText="1"/>
    </xf>
    <xf numFmtId="0" fontId="47" fillId="0" borderId="1" xfId="0" applyFont="1" applyFill="1" applyBorder="1" applyAlignment="1">
      <alignment vertical="top" wrapText="1"/>
    </xf>
    <xf numFmtId="0" fontId="46" fillId="0" borderId="14" xfId="0" applyFont="1" applyFill="1" applyBorder="1" applyAlignment="1">
      <alignment horizontal="center" vertical="center" wrapText="1"/>
    </xf>
    <xf numFmtId="0" fontId="46" fillId="0" borderId="7" xfId="0" applyFont="1" applyFill="1" applyBorder="1" applyAlignment="1">
      <alignment horizontal="center" vertical="center" wrapText="1"/>
    </xf>
    <xf numFmtId="0" fontId="46" fillId="0" borderId="11" xfId="0" applyFont="1" applyFill="1" applyBorder="1" applyAlignment="1">
      <alignment horizontal="center" vertical="center" wrapText="1"/>
    </xf>
    <xf numFmtId="0" fontId="47" fillId="0" borderId="7" xfId="0" applyFont="1" applyFill="1" applyBorder="1" applyAlignment="1">
      <alignment horizontal="left" vertical="top" wrapText="1"/>
    </xf>
    <xf numFmtId="0" fontId="47" fillId="0" borderId="1" xfId="0" applyFont="1" applyFill="1" applyBorder="1" applyAlignment="1">
      <alignment horizontal="center" vertical="top" wrapText="1"/>
    </xf>
    <xf numFmtId="0" fontId="47" fillId="0" borderId="1" xfId="0" applyFont="1" applyFill="1" applyBorder="1" applyAlignment="1">
      <alignment horizontal="left" vertical="top" wrapText="1"/>
    </xf>
    <xf numFmtId="0" fontId="0" fillId="0" borderId="0" xfId="0" applyAlignment="1">
      <alignment horizontal="center"/>
    </xf>
    <xf numFmtId="0" fontId="33" fillId="0" borderId="0" xfId="0" applyFont="1" applyAlignment="1">
      <alignment horizontal="center" wrapText="1"/>
    </xf>
    <xf numFmtId="0" fontId="36" fillId="0" borderId="2" xfId="0" applyFont="1" applyBorder="1" applyAlignment="1">
      <alignment horizontal="center" wrapText="1"/>
    </xf>
    <xf numFmtId="0" fontId="36" fillId="0" borderId="3" xfId="0" applyFont="1" applyBorder="1" applyAlignment="1">
      <alignment horizontal="center" wrapText="1"/>
    </xf>
    <xf numFmtId="0" fontId="36" fillId="0" borderId="4" xfId="0" applyFont="1" applyBorder="1" applyAlignment="1">
      <alignment horizontal="center" wrapText="1"/>
    </xf>
    <xf numFmtId="0" fontId="37" fillId="0" borderId="2" xfId="0" applyFont="1" applyFill="1" applyBorder="1" applyAlignment="1">
      <alignment horizontal="center"/>
    </xf>
    <xf numFmtId="0" fontId="37" fillId="0" borderId="3" xfId="0" applyFont="1" applyFill="1" applyBorder="1" applyAlignment="1">
      <alignment horizontal="center"/>
    </xf>
    <xf numFmtId="0" fontId="37" fillId="0" borderId="4" xfId="0" applyFont="1" applyFill="1"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7" xfId="0" applyBorder="1" applyAlignment="1">
      <alignment horizontal="left"/>
    </xf>
    <xf numFmtId="0" fontId="0" fillId="0" borderId="7" xfId="0" quotePrefix="1" applyBorder="1" applyAlignment="1">
      <alignment horizontal="left"/>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5" borderId="27" xfId="0" applyFont="1" applyFill="1" applyBorder="1" applyAlignment="1">
      <alignment horizontal="center" vertical="center" wrapText="1"/>
    </xf>
    <xf numFmtId="0" fontId="8" fillId="5" borderId="26" xfId="0" applyFont="1" applyFill="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1" xfId="0" applyFont="1" applyBorder="1" applyAlignment="1">
      <alignment horizontal="center" vertical="center" wrapText="1"/>
    </xf>
    <xf numFmtId="0" fontId="8" fillId="5" borderId="15"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26" xfId="0" applyFont="1" applyFill="1" applyBorder="1" applyAlignment="1">
      <alignment horizontal="center" vertical="center" wrapText="1"/>
    </xf>
    <xf numFmtId="0" fontId="8" fillId="0" borderId="35" xfId="0" applyFont="1" applyFill="1" applyBorder="1" applyAlignment="1">
      <alignment horizontal="center" vertical="center" wrapText="1"/>
    </xf>
    <xf numFmtId="0" fontId="8" fillId="0" borderId="15" xfId="0" applyFont="1" applyBorder="1" applyAlignment="1">
      <alignment horizontal="center" vertical="center" wrapText="1"/>
    </xf>
    <xf numFmtId="0" fontId="8" fillId="0" borderId="26" xfId="0" applyFont="1" applyBorder="1" applyAlignment="1">
      <alignment horizontal="center" vertical="center" wrapText="1"/>
    </xf>
    <xf numFmtId="0" fontId="10" fillId="0" borderId="32" xfId="0" applyFont="1" applyBorder="1" applyAlignment="1">
      <alignment horizontal="center" wrapText="1"/>
    </xf>
    <xf numFmtId="0" fontId="10" fillId="0" borderId="30" xfId="0" applyFont="1" applyBorder="1" applyAlignment="1">
      <alignment horizontal="center" wrapText="1"/>
    </xf>
    <xf numFmtId="0" fontId="10" fillId="0" borderId="28" xfId="0" applyFont="1" applyFill="1" applyBorder="1" applyAlignment="1">
      <alignment horizontal="center" wrapText="1"/>
    </xf>
    <xf numFmtId="0" fontId="10" fillId="0" borderId="3" xfId="0" applyFont="1" applyFill="1" applyBorder="1" applyAlignment="1">
      <alignment horizontal="center" wrapText="1"/>
    </xf>
    <xf numFmtId="0" fontId="10" fillId="0" borderId="2" xfId="0" applyFont="1" applyBorder="1" applyAlignment="1">
      <alignment horizontal="center" wrapText="1"/>
    </xf>
    <xf numFmtId="0" fontId="10" fillId="0" borderId="4" xfId="0" applyFont="1" applyBorder="1" applyAlignment="1">
      <alignment horizontal="center" wrapText="1"/>
    </xf>
    <xf numFmtId="0" fontId="8" fillId="0" borderId="25" xfId="0" applyFont="1" applyBorder="1" applyAlignment="1">
      <alignment horizontal="center" vertical="center" wrapText="1"/>
    </xf>
    <xf numFmtId="0" fontId="8" fillId="0" borderId="24" xfId="0" applyFont="1" applyBorder="1" applyAlignment="1">
      <alignment horizontal="center" vertical="center" wrapText="1"/>
    </xf>
    <xf numFmtId="0" fontId="10" fillId="0" borderId="29" xfId="0" applyFont="1" applyBorder="1" applyAlignment="1">
      <alignment horizontal="center" wrapText="1"/>
    </xf>
    <xf numFmtId="0" fontId="10" fillId="0" borderId="31" xfId="0" applyFont="1" applyBorder="1" applyAlignment="1">
      <alignment horizontal="center" wrapText="1"/>
    </xf>
    <xf numFmtId="0" fontId="10" fillId="0" borderId="7" xfId="0" applyFont="1" applyBorder="1" applyAlignment="1">
      <alignment horizontal="center"/>
    </xf>
    <xf numFmtId="0" fontId="10" fillId="0" borderId="0" xfId="0" applyFont="1" applyAlignment="1">
      <alignment horizontal="center"/>
    </xf>
    <xf numFmtId="0" fontId="8" fillId="0" borderId="24" xfId="0" applyFont="1" applyFill="1" applyBorder="1" applyAlignment="1">
      <alignment horizontal="center" vertical="center" wrapText="1"/>
    </xf>
    <xf numFmtId="0" fontId="8" fillId="0" borderId="33" xfId="0" applyFont="1" applyFill="1" applyBorder="1" applyAlignment="1">
      <alignment horizontal="center" vertical="center" wrapText="1"/>
    </xf>
  </cellXfs>
  <cellStyles count="30370">
    <cellStyle name="20% - Accent1 2" xfId="3"/>
    <cellStyle name="20% - Accent2 2" xfId="4"/>
    <cellStyle name="20% - Accent3 2" xfId="5"/>
    <cellStyle name="20% - Accent4 2" xfId="6"/>
    <cellStyle name="20% - Accent5 2" xfId="7"/>
    <cellStyle name="20% - Accent6 2" xfId="8"/>
    <cellStyle name="20% - Cor1" xfId="9"/>
    <cellStyle name="20% - Cor2" xfId="10"/>
    <cellStyle name="20% - Cor3" xfId="11"/>
    <cellStyle name="20% - Cor4" xfId="12"/>
    <cellStyle name="20% - Cor5" xfId="13"/>
    <cellStyle name="20% - Cor6" xfId="14"/>
    <cellStyle name="40% - Accent1 2" xfId="15"/>
    <cellStyle name="40% - Accent2 2" xfId="16"/>
    <cellStyle name="40% - Accent3 2" xfId="17"/>
    <cellStyle name="40% - Accent4 2" xfId="18"/>
    <cellStyle name="40% - Accent5 2" xfId="19"/>
    <cellStyle name="40% - Accent6 2" xfId="20"/>
    <cellStyle name="40% - Accent6 3" xfId="11312"/>
    <cellStyle name="40% - Accent6 3 2" xfId="25634"/>
    <cellStyle name="40% - Cor1" xfId="21"/>
    <cellStyle name="40% - Cor2" xfId="22"/>
    <cellStyle name="40% - Cor3" xfId="23"/>
    <cellStyle name="40% - Cor4" xfId="24"/>
    <cellStyle name="40% - Cor5" xfId="25"/>
    <cellStyle name="40% - Cor6" xfId="26"/>
    <cellStyle name="60% - Accent1 2" xfId="27"/>
    <cellStyle name="60% - Accent2 2" xfId="28"/>
    <cellStyle name="60% - Accent3 2" xfId="29"/>
    <cellStyle name="60% - Accent4 2" xfId="30"/>
    <cellStyle name="60% - Accent5 2" xfId="31"/>
    <cellStyle name="60% - Accent6 2" xfId="32"/>
    <cellStyle name="60% - Cor1" xfId="33"/>
    <cellStyle name="60% - Cor2" xfId="34"/>
    <cellStyle name="60% - Cor3" xfId="35"/>
    <cellStyle name="60% - Cor4" xfId="36"/>
    <cellStyle name="60% - Cor5" xfId="37"/>
    <cellStyle name="60% - Cor6" xfId="38"/>
    <cellStyle name="Accent1 2" xfId="39"/>
    <cellStyle name="Accent2 2" xfId="40"/>
    <cellStyle name="Accent3 2" xfId="41"/>
    <cellStyle name="Accent4 2" xfId="42"/>
    <cellStyle name="Accent5 2" xfId="43"/>
    <cellStyle name="Accent6 2" xfId="44"/>
    <cellStyle name="Bad 2" xfId="45"/>
    <cellStyle name="Cabeçalho 1" xfId="46"/>
    <cellStyle name="Cabeçalho 2" xfId="47"/>
    <cellStyle name="Cabeçalho 3" xfId="48"/>
    <cellStyle name="Cabeçalho 4" xfId="49"/>
    <cellStyle name="Calculation 2" xfId="50"/>
    <cellStyle name="Calculation 2 2" xfId="51"/>
    <cellStyle name="Calculation 2 2 10" xfId="52"/>
    <cellStyle name="Calculation 2 2 10 2" xfId="7731"/>
    <cellStyle name="Calculation 2 2 10 2 2" xfId="10345"/>
    <cellStyle name="Calculation 2 2 10 2 2 2" xfId="16607"/>
    <cellStyle name="Calculation 2 2 10 2 2 2 2" xfId="30023"/>
    <cellStyle name="Calculation 2 2 10 2 2 3" xfId="21352"/>
    <cellStyle name="Calculation 2 2 10 2 3" xfId="14335"/>
    <cellStyle name="Calculation 2 2 10 2 3 2" xfId="28657"/>
    <cellStyle name="Calculation 2 2 10 2 4" xfId="19980"/>
    <cellStyle name="Calculation 2 2 10 3" xfId="12155"/>
    <cellStyle name="Calculation 2 2 10 3 2" xfId="26477"/>
    <cellStyle name="Calculation 2 2 10 4" xfId="17800"/>
    <cellStyle name="Calculation 2 2 11" xfId="3744"/>
    <cellStyle name="Calculation 2 2 11 2" xfId="3153"/>
    <cellStyle name="Calculation 2 2 11 2 2" xfId="22421"/>
    <cellStyle name="Calculation 2 2 11 3" xfId="4027"/>
    <cellStyle name="Calculation 2 2 12" xfId="6809"/>
    <cellStyle name="Calculation 2 2 12 2" xfId="23748"/>
    <cellStyle name="Calculation 2 2 13" xfId="15146"/>
    <cellStyle name="Calculation 2 2 2" xfId="53"/>
    <cellStyle name="Calculation 2 2 2 10" xfId="5069"/>
    <cellStyle name="Calculation 2 2 2 10 2" xfId="11616"/>
    <cellStyle name="Calculation 2 2 2 10 2 2" xfId="25938"/>
    <cellStyle name="Calculation 2 2 2 10 3" xfId="17029"/>
    <cellStyle name="Calculation 2 2 2 11" xfId="4592"/>
    <cellStyle name="Calculation 2 2 2 11 2" xfId="23054"/>
    <cellStyle name="Calculation 2 2 2 12" xfId="3614"/>
    <cellStyle name="Calculation 2 2 2 2" xfId="54"/>
    <cellStyle name="Calculation 2 2 2 2 10" xfId="4846"/>
    <cellStyle name="Calculation 2 2 2 2 10 2" xfId="23220"/>
    <cellStyle name="Calculation 2 2 2 2 11" xfId="14850"/>
    <cellStyle name="Calculation 2 2 2 2 2" xfId="55"/>
    <cellStyle name="Calculation 2 2 2 2 2 2" xfId="56"/>
    <cellStyle name="Calculation 2 2 2 2 2 2 2" xfId="57"/>
    <cellStyle name="Calculation 2 2 2 2 2 2 2 2" xfId="6986"/>
    <cellStyle name="Calculation 2 2 2 2 2 2 2 2 2" xfId="13590"/>
    <cellStyle name="Calculation 2 2 2 2 2 2 2 2 2 2" xfId="27912"/>
    <cellStyle name="Calculation 2 2 2 2 2 2 2 2 3" xfId="19235"/>
    <cellStyle name="Calculation 2 2 2 2 2 2 2 3" xfId="4075"/>
    <cellStyle name="Calculation 2 2 2 2 2 2 2 3 2" xfId="9418"/>
    <cellStyle name="Calculation 2 2 2 2 2 2 2 3 2 2" xfId="15680"/>
    <cellStyle name="Calculation 2 2 2 2 2 2 2 3 2 2 2" xfId="29096"/>
    <cellStyle name="Calculation 2 2 2 2 2 2 2 3 2 3" xfId="20425"/>
    <cellStyle name="Calculation 2 2 2 2 2 2 2 3 3" xfId="5037"/>
    <cellStyle name="Calculation 2 2 2 2 2 2 2 3 3 2" xfId="23317"/>
    <cellStyle name="Calculation 2 2 2 2 2 2 2 3 4" xfId="6285"/>
    <cellStyle name="Calculation 2 2 2 2 2 2 2 4" xfId="11498"/>
    <cellStyle name="Calculation 2 2 2 2 2 2 2 4 2" xfId="25820"/>
    <cellStyle name="Calculation 2 2 2 2 2 2 2 5" xfId="15013"/>
    <cellStyle name="Calculation 2 2 2 2 2 2 3" xfId="58"/>
    <cellStyle name="Calculation 2 2 2 2 2 2 3 2" xfId="3624"/>
    <cellStyle name="Calculation 2 2 2 2 2 2 3 2 2" xfId="9347"/>
    <cellStyle name="Calculation 2 2 2 2 2 2 3 2 2 2" xfId="15609"/>
    <cellStyle name="Calculation 2 2 2 2 2 2 3 2 2 2 2" xfId="29025"/>
    <cellStyle name="Calculation 2 2 2 2 2 2 3 2 2 3" xfId="20354"/>
    <cellStyle name="Calculation 2 2 2 2 2 2 3 2 3" xfId="4916"/>
    <cellStyle name="Calculation 2 2 2 2 2 2 3 2 3 2" xfId="23262"/>
    <cellStyle name="Calculation 2 2 2 2 2 2 3 2 4" xfId="15162"/>
    <cellStyle name="Calculation 2 2 2 2 2 2 3 3" xfId="13317"/>
    <cellStyle name="Calculation 2 2 2 2 2 2 3 3 2" xfId="27639"/>
    <cellStyle name="Calculation 2 2 2 2 2 2 3 4" xfId="18962"/>
    <cellStyle name="Calculation 2 2 2 2 2 2 4" xfId="5767"/>
    <cellStyle name="Calculation 2 2 2 2 2 2 4 2" xfId="12320"/>
    <cellStyle name="Calculation 2 2 2 2 2 2 4 2 2" xfId="26642"/>
    <cellStyle name="Calculation 2 2 2 2 2 2 4 3" xfId="17965"/>
    <cellStyle name="Calculation 2 2 2 2 2 2 5" xfId="6199"/>
    <cellStyle name="Calculation 2 2 2 2 2 2 5 2" xfId="23459"/>
    <cellStyle name="Calculation 2 2 2 2 2 2 6" xfId="6598"/>
    <cellStyle name="Calculation 2 2 2 2 2 3" xfId="59"/>
    <cellStyle name="Calculation 2 2 2 2 2 3 2" xfId="60"/>
    <cellStyle name="Calculation 2 2 2 2 2 3 2 2" xfId="6045"/>
    <cellStyle name="Calculation 2 2 2 2 2 3 2 2 2" xfId="12611"/>
    <cellStyle name="Calculation 2 2 2 2 2 3 2 2 2 2" xfId="26933"/>
    <cellStyle name="Calculation 2 2 2 2 2 3 2 2 3" xfId="18256"/>
    <cellStyle name="Calculation 2 2 2 2 2 3 2 3" xfId="7192"/>
    <cellStyle name="Calculation 2 2 2 2 2 3 2 3 2" xfId="9806"/>
    <cellStyle name="Calculation 2 2 2 2 2 3 2 3 2 2" xfId="16068"/>
    <cellStyle name="Calculation 2 2 2 2 2 3 2 3 2 2 2" xfId="29484"/>
    <cellStyle name="Calculation 2 2 2 2 2 3 2 3 2 3" xfId="20813"/>
    <cellStyle name="Calculation 2 2 2 2 2 3 2 3 3" xfId="13796"/>
    <cellStyle name="Calculation 2 2 2 2 2 3 2 3 3 2" xfId="28118"/>
    <cellStyle name="Calculation 2 2 2 2 2 3 2 3 4" xfId="19441"/>
    <cellStyle name="Calculation 2 2 2 2 2 3 2 4" xfId="4436"/>
    <cellStyle name="Calculation 2 2 2 2 2 3 2 4 2" xfId="22951"/>
    <cellStyle name="Calculation 2 2 2 2 2 3 2 5" xfId="14736"/>
    <cellStyle name="Calculation 2 2 2 2 2 3 3" xfId="61"/>
    <cellStyle name="Calculation 2 2 2 2 2 3 3 2" xfId="7811"/>
    <cellStyle name="Calculation 2 2 2 2 2 3 3 2 2" xfId="10425"/>
    <cellStyle name="Calculation 2 2 2 2 2 3 3 2 2 2" xfId="16687"/>
    <cellStyle name="Calculation 2 2 2 2 2 3 3 2 2 2 2" xfId="30103"/>
    <cellStyle name="Calculation 2 2 2 2 2 3 3 2 2 3" xfId="21432"/>
    <cellStyle name="Calculation 2 2 2 2 2 3 3 2 3" xfId="14415"/>
    <cellStyle name="Calculation 2 2 2 2 2 3 3 2 3 2" xfId="28737"/>
    <cellStyle name="Calculation 2 2 2 2 2 3 3 2 4" xfId="20060"/>
    <cellStyle name="Calculation 2 2 2 2 2 3 3 3" xfId="13252"/>
    <cellStyle name="Calculation 2 2 2 2 2 3 3 3 2" xfId="27574"/>
    <cellStyle name="Calculation 2 2 2 2 2 3 3 4" xfId="18897"/>
    <cellStyle name="Calculation 2 2 2 2 2 3 4" xfId="5694"/>
    <cellStyle name="Calculation 2 2 2 2 2 3 4 2" xfId="12247"/>
    <cellStyle name="Calculation 2 2 2 2 2 3 4 2 2" xfId="26569"/>
    <cellStyle name="Calculation 2 2 2 2 2 3 4 3" xfId="17892"/>
    <cellStyle name="Calculation 2 2 2 2 2 3 5" xfId="6318"/>
    <cellStyle name="Calculation 2 2 2 2 2 3 5 2" xfId="23513"/>
    <cellStyle name="Calculation 2 2 2 2 2 3 6" xfId="15269"/>
    <cellStyle name="Calculation 2 2 2 2 2 4" xfId="62"/>
    <cellStyle name="Calculation 2 2 2 2 2 4 2" xfId="6981"/>
    <cellStyle name="Calculation 2 2 2 2 2 4 2 2" xfId="13585"/>
    <cellStyle name="Calculation 2 2 2 2 2 4 2 2 2" xfId="27907"/>
    <cellStyle name="Calculation 2 2 2 2 2 4 2 3" xfId="19230"/>
    <cellStyle name="Calculation 2 2 2 2 2 4 3" xfId="7774"/>
    <cellStyle name="Calculation 2 2 2 2 2 4 3 2" xfId="10388"/>
    <cellStyle name="Calculation 2 2 2 2 2 4 3 2 2" xfId="16650"/>
    <cellStyle name="Calculation 2 2 2 2 2 4 3 2 2 2" xfId="30066"/>
    <cellStyle name="Calculation 2 2 2 2 2 4 3 2 3" xfId="21395"/>
    <cellStyle name="Calculation 2 2 2 2 2 4 3 3" xfId="14378"/>
    <cellStyle name="Calculation 2 2 2 2 2 4 3 3 2" xfId="28700"/>
    <cellStyle name="Calculation 2 2 2 2 2 4 3 4" xfId="20023"/>
    <cellStyle name="Calculation 2 2 2 2 2 4 4" xfId="11493"/>
    <cellStyle name="Calculation 2 2 2 2 2 4 4 2" xfId="25815"/>
    <cellStyle name="Calculation 2 2 2 2 2 4 5" xfId="15220"/>
    <cellStyle name="Calculation 2 2 2 2 2 5" xfId="63"/>
    <cellStyle name="Calculation 2 2 2 2 2 5 2" xfId="7046"/>
    <cellStyle name="Calculation 2 2 2 2 2 5 2 2" xfId="9660"/>
    <cellStyle name="Calculation 2 2 2 2 2 5 2 2 2" xfId="15922"/>
    <cellStyle name="Calculation 2 2 2 2 2 5 2 2 2 2" xfId="29338"/>
    <cellStyle name="Calculation 2 2 2 2 2 5 2 2 3" xfId="20667"/>
    <cellStyle name="Calculation 2 2 2 2 2 5 2 3" xfId="13650"/>
    <cellStyle name="Calculation 2 2 2 2 2 5 2 3 2" xfId="27972"/>
    <cellStyle name="Calculation 2 2 2 2 2 5 2 4" xfId="19295"/>
    <cellStyle name="Calculation 2 2 2 2 2 5 3" xfId="12893"/>
    <cellStyle name="Calculation 2 2 2 2 2 5 3 2" xfId="27215"/>
    <cellStyle name="Calculation 2 2 2 2 2 5 4" xfId="18538"/>
    <cellStyle name="Calculation 2 2 2 2 2 6" xfId="5511"/>
    <cellStyle name="Calculation 2 2 2 2 2 6 2" xfId="12062"/>
    <cellStyle name="Calculation 2 2 2 2 2 6 2 2" xfId="26384"/>
    <cellStyle name="Calculation 2 2 2 2 2 6 3" xfId="17707"/>
    <cellStyle name="Calculation 2 2 2 2 2 7" xfId="4528"/>
    <cellStyle name="Calculation 2 2 2 2 2 7 2" xfId="23009"/>
    <cellStyle name="Calculation 2 2 2 2 2 8" xfId="15596"/>
    <cellStyle name="Calculation 2 2 2 2 3" xfId="64"/>
    <cellStyle name="Calculation 2 2 2 2 3 2" xfId="65"/>
    <cellStyle name="Calculation 2 2 2 2 3 2 2" xfId="66"/>
    <cellStyle name="Calculation 2 2 2 2 3 2 2 2" xfId="5892"/>
    <cellStyle name="Calculation 2 2 2 2 3 2 2 2 2" xfId="12445"/>
    <cellStyle name="Calculation 2 2 2 2 3 2 2 2 2 2" xfId="26767"/>
    <cellStyle name="Calculation 2 2 2 2 3 2 2 2 3" xfId="18090"/>
    <cellStyle name="Calculation 2 2 2 2 3 2 2 3" xfId="7868"/>
    <cellStyle name="Calculation 2 2 2 2 3 2 2 3 2" xfId="10482"/>
    <cellStyle name="Calculation 2 2 2 2 3 2 2 3 2 2" xfId="16744"/>
    <cellStyle name="Calculation 2 2 2 2 3 2 2 3 2 2 2" xfId="30160"/>
    <cellStyle name="Calculation 2 2 2 2 3 2 2 3 2 3" xfId="21489"/>
    <cellStyle name="Calculation 2 2 2 2 3 2 2 3 3" xfId="14472"/>
    <cellStyle name="Calculation 2 2 2 2 3 2 2 3 3 2" xfId="28794"/>
    <cellStyle name="Calculation 2 2 2 2 3 2 2 3 4" xfId="20117"/>
    <cellStyle name="Calculation 2 2 2 2 3 2 2 4" xfId="6793"/>
    <cellStyle name="Calculation 2 2 2 2 3 2 2 4 2" xfId="23736"/>
    <cellStyle name="Calculation 2 2 2 2 3 2 2 5" xfId="15414"/>
    <cellStyle name="Calculation 2 2 2 2 3 2 3" xfId="67"/>
    <cellStyle name="Calculation 2 2 2 2 3 2 3 2" xfId="5297"/>
    <cellStyle name="Calculation 2 2 2 2 3 2 3 2 2" xfId="9606"/>
    <cellStyle name="Calculation 2 2 2 2 3 2 3 2 2 2" xfId="15868"/>
    <cellStyle name="Calculation 2 2 2 2 3 2 3 2 2 2 2" xfId="29284"/>
    <cellStyle name="Calculation 2 2 2 2 3 2 3 2 2 3" xfId="20613"/>
    <cellStyle name="Calculation 2 2 2 2 3 2 3 2 3" xfId="11847"/>
    <cellStyle name="Calculation 2 2 2 2 3 2 3 2 3 2" xfId="26169"/>
    <cellStyle name="Calculation 2 2 2 2 3 2 3 2 4" xfId="17492"/>
    <cellStyle name="Calculation 2 2 2 2 3 2 3 3" xfId="13353"/>
    <cellStyle name="Calculation 2 2 2 2 3 2 3 3 2" xfId="27675"/>
    <cellStyle name="Calculation 2 2 2 2 3 2 3 4" xfId="18998"/>
    <cellStyle name="Calculation 2 2 2 2 3 2 4" xfId="5803"/>
    <cellStyle name="Calculation 2 2 2 2 3 2 4 2" xfId="12356"/>
    <cellStyle name="Calculation 2 2 2 2 3 2 4 2 2" xfId="26678"/>
    <cellStyle name="Calculation 2 2 2 2 3 2 4 3" xfId="18001"/>
    <cellStyle name="Calculation 2 2 2 2 3 2 5" xfId="3783"/>
    <cellStyle name="Calculation 2 2 2 2 3 2 5 2" xfId="22575"/>
    <cellStyle name="Calculation 2 2 2 2 3 2 6" xfId="15174"/>
    <cellStyle name="Calculation 2 2 2 2 3 3" xfId="68"/>
    <cellStyle name="Calculation 2 2 2 2 3 3 2" xfId="69"/>
    <cellStyle name="Calculation 2 2 2 2 3 3 2 2" xfId="7009"/>
    <cellStyle name="Calculation 2 2 2 2 3 3 2 2 2" xfId="13613"/>
    <cellStyle name="Calculation 2 2 2 2 3 3 2 2 2 2" xfId="27935"/>
    <cellStyle name="Calculation 2 2 2 2 3 3 2 2 3" xfId="19258"/>
    <cellStyle name="Calculation 2 2 2 2 3 3 2 3" xfId="7240"/>
    <cellStyle name="Calculation 2 2 2 2 3 3 2 3 2" xfId="9854"/>
    <cellStyle name="Calculation 2 2 2 2 3 3 2 3 2 2" xfId="16116"/>
    <cellStyle name="Calculation 2 2 2 2 3 3 2 3 2 2 2" xfId="29532"/>
    <cellStyle name="Calculation 2 2 2 2 3 3 2 3 2 3" xfId="20861"/>
    <cellStyle name="Calculation 2 2 2 2 3 3 2 3 3" xfId="13844"/>
    <cellStyle name="Calculation 2 2 2 2 3 3 2 3 3 2" xfId="28166"/>
    <cellStyle name="Calculation 2 2 2 2 3 3 2 3 4" xfId="19489"/>
    <cellStyle name="Calculation 2 2 2 2 3 3 2 4" xfId="11531"/>
    <cellStyle name="Calculation 2 2 2 2 3 3 2 4 2" xfId="25853"/>
    <cellStyle name="Calculation 2 2 2 2 3 3 2 5" xfId="15543"/>
    <cellStyle name="Calculation 2 2 2 2 3 3 3" xfId="70"/>
    <cellStyle name="Calculation 2 2 2 2 3 3 3 2" xfId="7625"/>
    <cellStyle name="Calculation 2 2 2 2 3 3 3 2 2" xfId="10239"/>
    <cellStyle name="Calculation 2 2 2 2 3 3 3 2 2 2" xfId="16501"/>
    <cellStyle name="Calculation 2 2 2 2 3 3 3 2 2 2 2" xfId="29917"/>
    <cellStyle name="Calculation 2 2 2 2 3 3 3 2 2 3" xfId="21246"/>
    <cellStyle name="Calculation 2 2 2 2 3 3 3 2 3" xfId="14229"/>
    <cellStyle name="Calculation 2 2 2 2 3 3 3 2 3 2" xfId="28551"/>
    <cellStyle name="Calculation 2 2 2 2 3 3 3 2 4" xfId="19874"/>
    <cellStyle name="Calculation 2 2 2 2 3 3 3 3" xfId="12861"/>
    <cellStyle name="Calculation 2 2 2 2 3 3 3 3 2" xfId="27183"/>
    <cellStyle name="Calculation 2 2 2 2 3 3 3 4" xfId="18506"/>
    <cellStyle name="Calculation 2 2 2 2 3 3 4" xfId="5231"/>
    <cellStyle name="Calculation 2 2 2 2 3 3 4 2" xfId="11781"/>
    <cellStyle name="Calculation 2 2 2 2 3 3 4 2 2" xfId="26103"/>
    <cellStyle name="Calculation 2 2 2 2 3 3 4 3" xfId="17426"/>
    <cellStyle name="Calculation 2 2 2 2 3 3 5" xfId="3786"/>
    <cellStyle name="Calculation 2 2 2 2 3 3 5 2" xfId="22578"/>
    <cellStyle name="Calculation 2 2 2 2 3 3 6" xfId="17031"/>
    <cellStyle name="Calculation 2 2 2 2 3 4" xfId="71"/>
    <cellStyle name="Calculation 2 2 2 2 3 4 2" xfId="5959"/>
    <cellStyle name="Calculation 2 2 2 2 3 4 2 2" xfId="12517"/>
    <cellStyle name="Calculation 2 2 2 2 3 4 2 2 2" xfId="26839"/>
    <cellStyle name="Calculation 2 2 2 2 3 4 2 3" xfId="18162"/>
    <cellStyle name="Calculation 2 2 2 2 3 4 3" xfId="4849"/>
    <cellStyle name="Calculation 2 2 2 2 3 4 3 2" xfId="9501"/>
    <cellStyle name="Calculation 2 2 2 2 3 4 3 2 2" xfId="15763"/>
    <cellStyle name="Calculation 2 2 2 2 3 4 3 2 2 2" xfId="29179"/>
    <cellStyle name="Calculation 2 2 2 2 3 4 3 2 3" xfId="20508"/>
    <cellStyle name="Calculation 2 2 2 2 3 4 3 3" xfId="11382"/>
    <cellStyle name="Calculation 2 2 2 2 3 4 3 3 2" xfId="25704"/>
    <cellStyle name="Calculation 2 2 2 2 3 4 3 4" xfId="6628"/>
    <cellStyle name="Calculation 2 2 2 2 3 4 4" xfId="3907"/>
    <cellStyle name="Calculation 2 2 2 2 3 4 4 2" xfId="22639"/>
    <cellStyle name="Calculation 2 2 2 2 3 4 5" xfId="15233"/>
    <cellStyle name="Calculation 2 2 2 2 3 5" xfId="72"/>
    <cellStyle name="Calculation 2 2 2 2 3 5 2" xfId="7526"/>
    <cellStyle name="Calculation 2 2 2 2 3 5 2 2" xfId="10140"/>
    <cellStyle name="Calculation 2 2 2 2 3 5 2 2 2" xfId="16402"/>
    <cellStyle name="Calculation 2 2 2 2 3 5 2 2 2 2" xfId="29818"/>
    <cellStyle name="Calculation 2 2 2 2 3 5 2 2 3" xfId="21147"/>
    <cellStyle name="Calculation 2 2 2 2 3 5 2 3" xfId="14130"/>
    <cellStyle name="Calculation 2 2 2 2 3 5 2 3 2" xfId="28452"/>
    <cellStyle name="Calculation 2 2 2 2 3 5 2 4" xfId="19775"/>
    <cellStyle name="Calculation 2 2 2 2 3 5 3" xfId="12929"/>
    <cellStyle name="Calculation 2 2 2 2 3 5 3 2" xfId="27251"/>
    <cellStyle name="Calculation 2 2 2 2 3 5 4" xfId="18574"/>
    <cellStyle name="Calculation 2 2 2 2 3 6" xfId="5553"/>
    <cellStyle name="Calculation 2 2 2 2 3 6 2" xfId="12104"/>
    <cellStyle name="Calculation 2 2 2 2 3 6 2 2" xfId="26426"/>
    <cellStyle name="Calculation 2 2 2 2 3 6 3" xfId="17749"/>
    <cellStyle name="Calculation 2 2 2 2 3 7" xfId="4493"/>
    <cellStyle name="Calculation 2 2 2 2 3 7 2" xfId="22986"/>
    <cellStyle name="Calculation 2 2 2 2 3 8" xfId="17276"/>
    <cellStyle name="Calculation 2 2 2 2 4" xfId="73"/>
    <cellStyle name="Calculation 2 2 2 2 4 2" xfId="74"/>
    <cellStyle name="Calculation 2 2 2 2 4 2 2" xfId="75"/>
    <cellStyle name="Calculation 2 2 2 2 4 2 2 2" xfId="6860"/>
    <cellStyle name="Calculation 2 2 2 2 4 2 2 2 2" xfId="13464"/>
    <cellStyle name="Calculation 2 2 2 2 4 2 2 2 2 2" xfId="27786"/>
    <cellStyle name="Calculation 2 2 2 2 4 2 2 2 3" xfId="19109"/>
    <cellStyle name="Calculation 2 2 2 2 4 2 2 3" xfId="7162"/>
    <cellStyle name="Calculation 2 2 2 2 4 2 2 3 2" xfId="9776"/>
    <cellStyle name="Calculation 2 2 2 2 4 2 2 3 2 2" xfId="16038"/>
    <cellStyle name="Calculation 2 2 2 2 4 2 2 3 2 2 2" xfId="29454"/>
    <cellStyle name="Calculation 2 2 2 2 4 2 2 3 2 3" xfId="20783"/>
    <cellStyle name="Calculation 2 2 2 2 4 2 2 3 3" xfId="13766"/>
    <cellStyle name="Calculation 2 2 2 2 4 2 2 3 3 2" xfId="28088"/>
    <cellStyle name="Calculation 2 2 2 2 4 2 2 3 4" xfId="19411"/>
    <cellStyle name="Calculation 2 2 2 2 4 2 2 4" xfId="11319"/>
    <cellStyle name="Calculation 2 2 2 2 4 2 2 4 2" xfId="25641"/>
    <cellStyle name="Calculation 2 2 2 2 4 2 2 5" xfId="14818"/>
    <cellStyle name="Calculation 2 2 2 2 4 2 3" xfId="76"/>
    <cellStyle name="Calculation 2 2 2 2 4 2 3 2" xfId="7960"/>
    <cellStyle name="Calculation 2 2 2 2 4 2 3 2 2" xfId="10574"/>
    <cellStyle name="Calculation 2 2 2 2 4 2 3 2 2 2" xfId="16836"/>
    <cellStyle name="Calculation 2 2 2 2 4 2 3 2 2 2 2" xfId="30252"/>
    <cellStyle name="Calculation 2 2 2 2 4 2 3 2 2 3" xfId="21581"/>
    <cellStyle name="Calculation 2 2 2 2 4 2 3 2 3" xfId="14564"/>
    <cellStyle name="Calculation 2 2 2 2 4 2 3 2 3 2" xfId="28886"/>
    <cellStyle name="Calculation 2 2 2 2 4 2 3 2 4" xfId="20209"/>
    <cellStyle name="Calculation 2 2 2 2 4 2 3 3" xfId="13241"/>
    <cellStyle name="Calculation 2 2 2 2 4 2 3 3 2" xfId="27563"/>
    <cellStyle name="Calculation 2 2 2 2 4 2 3 4" xfId="18886"/>
    <cellStyle name="Calculation 2 2 2 2 4 2 4" xfId="5682"/>
    <cellStyle name="Calculation 2 2 2 2 4 2 4 2" xfId="12235"/>
    <cellStyle name="Calculation 2 2 2 2 4 2 4 2 2" xfId="26557"/>
    <cellStyle name="Calculation 2 2 2 2 4 2 4 3" xfId="17880"/>
    <cellStyle name="Calculation 2 2 2 2 4 2 5" xfId="4685"/>
    <cellStyle name="Calculation 2 2 2 2 4 2 5 2" xfId="23121"/>
    <cellStyle name="Calculation 2 2 2 2 4 2 6" xfId="15148"/>
    <cellStyle name="Calculation 2 2 2 2 4 3" xfId="77"/>
    <cellStyle name="Calculation 2 2 2 2 4 3 2" xfId="78"/>
    <cellStyle name="Calculation 2 2 2 2 4 3 2 2" xfId="6898"/>
    <cellStyle name="Calculation 2 2 2 2 4 3 2 2 2" xfId="13502"/>
    <cellStyle name="Calculation 2 2 2 2 4 3 2 2 2 2" xfId="27824"/>
    <cellStyle name="Calculation 2 2 2 2 4 3 2 2 3" xfId="19147"/>
    <cellStyle name="Calculation 2 2 2 2 4 3 2 3" xfId="7461"/>
    <cellStyle name="Calculation 2 2 2 2 4 3 2 3 2" xfId="10075"/>
    <cellStyle name="Calculation 2 2 2 2 4 3 2 3 2 2" xfId="16337"/>
    <cellStyle name="Calculation 2 2 2 2 4 3 2 3 2 2 2" xfId="29753"/>
    <cellStyle name="Calculation 2 2 2 2 4 3 2 3 2 3" xfId="21082"/>
    <cellStyle name="Calculation 2 2 2 2 4 3 2 3 3" xfId="14065"/>
    <cellStyle name="Calculation 2 2 2 2 4 3 2 3 3 2" xfId="28387"/>
    <cellStyle name="Calculation 2 2 2 2 4 3 2 3 4" xfId="19710"/>
    <cellStyle name="Calculation 2 2 2 2 4 3 2 4" xfId="11377"/>
    <cellStyle name="Calculation 2 2 2 2 4 3 2 4 2" xfId="25699"/>
    <cellStyle name="Calculation 2 2 2 2 4 3 2 5" xfId="14917"/>
    <cellStyle name="Calculation 2 2 2 2 4 3 3" xfId="79"/>
    <cellStyle name="Calculation 2 2 2 2 4 3 3 2" xfId="7132"/>
    <cellStyle name="Calculation 2 2 2 2 4 3 3 2 2" xfId="9746"/>
    <cellStyle name="Calculation 2 2 2 2 4 3 3 2 2 2" xfId="16008"/>
    <cellStyle name="Calculation 2 2 2 2 4 3 3 2 2 2 2" xfId="29424"/>
    <cellStyle name="Calculation 2 2 2 2 4 3 3 2 2 3" xfId="20753"/>
    <cellStyle name="Calculation 2 2 2 2 4 3 3 2 3" xfId="13736"/>
    <cellStyle name="Calculation 2 2 2 2 4 3 3 2 3 2" xfId="28058"/>
    <cellStyle name="Calculation 2 2 2 2 4 3 3 2 4" xfId="19381"/>
    <cellStyle name="Calculation 2 2 2 2 4 3 3 3" xfId="11604"/>
    <cellStyle name="Calculation 2 2 2 2 4 3 3 3 2" xfId="25926"/>
    <cellStyle name="Calculation 2 2 2 2 4 3 3 4" xfId="17170"/>
    <cellStyle name="Calculation 2 2 2 2 4 3 4" xfId="5240"/>
    <cellStyle name="Calculation 2 2 2 2 4 3 4 2" xfId="11790"/>
    <cellStyle name="Calculation 2 2 2 2 4 3 4 2 2" xfId="26112"/>
    <cellStyle name="Calculation 2 2 2 2 4 3 4 3" xfId="17435"/>
    <cellStyle name="Calculation 2 2 2 2 4 3 5" xfId="3644"/>
    <cellStyle name="Calculation 2 2 2 2 4 3 5 2" xfId="22503"/>
    <cellStyle name="Calculation 2 2 2 2 4 3 6" xfId="17219"/>
    <cellStyle name="Calculation 2 2 2 2 4 4" xfId="80"/>
    <cellStyle name="Calculation 2 2 2 2 4 4 2" xfId="6469"/>
    <cellStyle name="Calculation 2 2 2 2 4 4 2 2" xfId="13052"/>
    <cellStyle name="Calculation 2 2 2 2 4 4 2 2 2" xfId="27374"/>
    <cellStyle name="Calculation 2 2 2 2 4 4 2 3" xfId="18697"/>
    <cellStyle name="Calculation 2 2 2 2 4 4 3" xfId="7572"/>
    <cellStyle name="Calculation 2 2 2 2 4 4 3 2" xfId="10186"/>
    <cellStyle name="Calculation 2 2 2 2 4 4 3 2 2" xfId="16448"/>
    <cellStyle name="Calculation 2 2 2 2 4 4 3 2 2 2" xfId="29864"/>
    <cellStyle name="Calculation 2 2 2 2 4 4 3 2 3" xfId="21193"/>
    <cellStyle name="Calculation 2 2 2 2 4 4 3 3" xfId="14176"/>
    <cellStyle name="Calculation 2 2 2 2 4 4 3 3 2" xfId="28498"/>
    <cellStyle name="Calculation 2 2 2 2 4 4 3 4" xfId="19821"/>
    <cellStyle name="Calculation 2 2 2 2 4 4 4" xfId="5077"/>
    <cellStyle name="Calculation 2 2 2 2 4 4 4 2" xfId="23324"/>
    <cellStyle name="Calculation 2 2 2 2 4 4 5" xfId="15287"/>
    <cellStyle name="Calculation 2 2 2 2 4 5" xfId="81"/>
    <cellStyle name="Calculation 2 2 2 2 4 5 2" xfId="7257"/>
    <cellStyle name="Calculation 2 2 2 2 4 5 2 2" xfId="9871"/>
    <cellStyle name="Calculation 2 2 2 2 4 5 2 2 2" xfId="16133"/>
    <cellStyle name="Calculation 2 2 2 2 4 5 2 2 2 2" xfId="29549"/>
    <cellStyle name="Calculation 2 2 2 2 4 5 2 2 3" xfId="20878"/>
    <cellStyle name="Calculation 2 2 2 2 4 5 2 3" xfId="13861"/>
    <cellStyle name="Calculation 2 2 2 2 4 5 2 3 2" xfId="28183"/>
    <cellStyle name="Calculation 2 2 2 2 4 5 2 4" xfId="19506"/>
    <cellStyle name="Calculation 2 2 2 2 4 5 3" xfId="12701"/>
    <cellStyle name="Calculation 2 2 2 2 4 5 3 2" xfId="27023"/>
    <cellStyle name="Calculation 2 2 2 2 4 5 4" xfId="18346"/>
    <cellStyle name="Calculation 2 2 2 2 4 6" xfId="5105"/>
    <cellStyle name="Calculation 2 2 2 2 4 6 2" xfId="11652"/>
    <cellStyle name="Calculation 2 2 2 2 4 6 2 2" xfId="25974"/>
    <cellStyle name="Calculation 2 2 2 2 4 6 3" xfId="4347"/>
    <cellStyle name="Calculation 2 2 2 2 4 7" xfId="4192"/>
    <cellStyle name="Calculation 2 2 2 2 4 7 2" xfId="22813"/>
    <cellStyle name="Calculation 2 2 2 2 4 8" xfId="15186"/>
    <cellStyle name="Calculation 2 2 2 2 5" xfId="82"/>
    <cellStyle name="Calculation 2 2 2 2 5 2" xfId="83"/>
    <cellStyle name="Calculation 2 2 2 2 5 2 2" xfId="84"/>
    <cellStyle name="Calculation 2 2 2 2 5 2 2 2" xfId="6413"/>
    <cellStyle name="Calculation 2 2 2 2 5 2 2 2 2" xfId="12996"/>
    <cellStyle name="Calculation 2 2 2 2 5 2 2 2 2 2" xfId="27318"/>
    <cellStyle name="Calculation 2 2 2 2 5 2 2 2 3" xfId="18641"/>
    <cellStyle name="Calculation 2 2 2 2 5 2 2 3" xfId="7383"/>
    <cellStyle name="Calculation 2 2 2 2 5 2 2 3 2" xfId="9997"/>
    <cellStyle name="Calculation 2 2 2 2 5 2 2 3 2 2" xfId="16259"/>
    <cellStyle name="Calculation 2 2 2 2 5 2 2 3 2 2 2" xfId="29675"/>
    <cellStyle name="Calculation 2 2 2 2 5 2 2 3 2 3" xfId="21004"/>
    <cellStyle name="Calculation 2 2 2 2 5 2 2 3 3" xfId="13987"/>
    <cellStyle name="Calculation 2 2 2 2 5 2 2 3 3 2" xfId="28309"/>
    <cellStyle name="Calculation 2 2 2 2 5 2 2 3 4" xfId="19632"/>
    <cellStyle name="Calculation 2 2 2 2 5 2 2 4" xfId="6059"/>
    <cellStyle name="Calculation 2 2 2 2 5 2 2 4 2" xfId="23401"/>
    <cellStyle name="Calculation 2 2 2 2 5 2 2 5" xfId="17297"/>
    <cellStyle name="Calculation 2 2 2 2 5 2 3" xfId="85"/>
    <cellStyle name="Calculation 2 2 2 2 5 2 3 2" xfId="3664"/>
    <cellStyle name="Calculation 2 2 2 2 5 2 3 2 2" xfId="9356"/>
    <cellStyle name="Calculation 2 2 2 2 5 2 3 2 2 2" xfId="15618"/>
    <cellStyle name="Calculation 2 2 2 2 5 2 3 2 2 2 2" xfId="29034"/>
    <cellStyle name="Calculation 2 2 2 2 5 2 3 2 2 3" xfId="20363"/>
    <cellStyle name="Calculation 2 2 2 2 5 2 3 2 3" xfId="4100"/>
    <cellStyle name="Calculation 2 2 2 2 5 2 3 2 3 2" xfId="22757"/>
    <cellStyle name="Calculation 2 2 2 2 5 2 3 2 4" xfId="6675"/>
    <cellStyle name="Calculation 2 2 2 2 5 2 3 3" xfId="12137"/>
    <cellStyle name="Calculation 2 2 2 2 5 2 3 3 2" xfId="26459"/>
    <cellStyle name="Calculation 2 2 2 2 5 2 3 4" xfId="17782"/>
    <cellStyle name="Calculation 2 2 2 2 5 2 4" xfId="3914"/>
    <cellStyle name="Calculation 2 2 2 2 5 2 4 2" xfId="6197"/>
    <cellStyle name="Calculation 2 2 2 2 5 2 4 2 2" xfId="23458"/>
    <cellStyle name="Calculation 2 2 2 2 5 2 4 3" xfId="17028"/>
    <cellStyle name="Calculation 2 2 2 2 5 2 5" xfId="4033"/>
    <cellStyle name="Calculation 2 2 2 2 5 2 5 2" xfId="22711"/>
    <cellStyle name="Calculation 2 2 2 2 5 2 6" xfId="15004"/>
    <cellStyle name="Calculation 2 2 2 2 5 3" xfId="86"/>
    <cellStyle name="Calculation 2 2 2 2 5 3 2" xfId="6996"/>
    <cellStyle name="Calculation 2 2 2 2 5 3 2 2" xfId="13600"/>
    <cellStyle name="Calculation 2 2 2 2 5 3 2 2 2" xfId="27922"/>
    <cellStyle name="Calculation 2 2 2 2 5 3 2 3" xfId="19245"/>
    <cellStyle name="Calculation 2 2 2 2 5 3 3" xfId="8049"/>
    <cellStyle name="Calculation 2 2 2 2 5 3 3 2" xfId="10663"/>
    <cellStyle name="Calculation 2 2 2 2 5 3 3 2 2" xfId="16925"/>
    <cellStyle name="Calculation 2 2 2 2 5 3 3 2 2 2" xfId="30341"/>
    <cellStyle name="Calculation 2 2 2 2 5 3 3 2 3" xfId="21670"/>
    <cellStyle name="Calculation 2 2 2 2 5 3 3 3" xfId="14653"/>
    <cellStyle name="Calculation 2 2 2 2 5 3 3 3 2" xfId="28975"/>
    <cellStyle name="Calculation 2 2 2 2 5 3 3 4" xfId="20298"/>
    <cellStyle name="Calculation 2 2 2 2 5 3 4" xfId="11511"/>
    <cellStyle name="Calculation 2 2 2 2 5 3 4 2" xfId="25833"/>
    <cellStyle name="Calculation 2 2 2 2 5 3 5" xfId="15564"/>
    <cellStyle name="Calculation 2 2 2 2 5 4" xfId="87"/>
    <cellStyle name="Calculation 2 2 2 2 5 4 2" xfId="4767"/>
    <cellStyle name="Calculation 2 2 2 2 5 4 2 2" xfId="9480"/>
    <cellStyle name="Calculation 2 2 2 2 5 4 2 2 2" xfId="15742"/>
    <cellStyle name="Calculation 2 2 2 2 5 4 2 2 2 2" xfId="29158"/>
    <cellStyle name="Calculation 2 2 2 2 5 4 2 2 3" xfId="20487"/>
    <cellStyle name="Calculation 2 2 2 2 5 4 2 3" xfId="2811"/>
    <cellStyle name="Calculation 2 2 2 2 5 4 2 3 2" xfId="22374"/>
    <cellStyle name="Calculation 2 2 2 2 5 4 2 4" xfId="15106"/>
    <cellStyle name="Calculation 2 2 2 2 5 4 3" xfId="12855"/>
    <cellStyle name="Calculation 2 2 2 2 5 4 3 2" xfId="27177"/>
    <cellStyle name="Calculation 2 2 2 2 5 4 4" xfId="18500"/>
    <cellStyle name="Calculation 2 2 2 2 5 5" xfId="5457"/>
    <cellStyle name="Calculation 2 2 2 2 5 5 2" xfId="12008"/>
    <cellStyle name="Calculation 2 2 2 2 5 5 2 2" xfId="26330"/>
    <cellStyle name="Calculation 2 2 2 2 5 5 3" xfId="17653"/>
    <cellStyle name="Calculation 2 2 2 2 5 6" xfId="5002"/>
    <cellStyle name="Calculation 2 2 2 2 5 6 2" xfId="23303"/>
    <cellStyle name="Calculation 2 2 2 2 5 7" xfId="3855"/>
    <cellStyle name="Calculation 2 2 2 2 6" xfId="88"/>
    <cellStyle name="Calculation 2 2 2 2 6 2" xfId="89"/>
    <cellStyle name="Calculation 2 2 2 2 6 2 2" xfId="5416"/>
    <cellStyle name="Calculation 2 2 2 2 6 2 2 2" xfId="11966"/>
    <cellStyle name="Calculation 2 2 2 2 6 2 2 2 2" xfId="26288"/>
    <cellStyle name="Calculation 2 2 2 2 6 2 2 3" xfId="17611"/>
    <cellStyle name="Calculation 2 2 2 2 6 2 3" xfId="4340"/>
    <cellStyle name="Calculation 2 2 2 2 6 2 3 2" xfId="9451"/>
    <cellStyle name="Calculation 2 2 2 2 6 2 3 2 2" xfId="15713"/>
    <cellStyle name="Calculation 2 2 2 2 6 2 3 2 2 2" xfId="29129"/>
    <cellStyle name="Calculation 2 2 2 2 6 2 3 2 3" xfId="20458"/>
    <cellStyle name="Calculation 2 2 2 2 6 2 3 3" xfId="4727"/>
    <cellStyle name="Calculation 2 2 2 2 6 2 3 3 2" xfId="23154"/>
    <cellStyle name="Calculation 2 2 2 2 6 2 3 4" xfId="14856"/>
    <cellStyle name="Calculation 2 2 2 2 6 2 4" xfId="6196"/>
    <cellStyle name="Calculation 2 2 2 2 6 2 4 2" xfId="23457"/>
    <cellStyle name="Calculation 2 2 2 2 6 2 5" xfId="15296"/>
    <cellStyle name="Calculation 2 2 2 2 6 3" xfId="90"/>
    <cellStyle name="Calculation 2 2 2 2 6 3 2" xfId="7658"/>
    <cellStyle name="Calculation 2 2 2 2 6 3 2 2" xfId="10272"/>
    <cellStyle name="Calculation 2 2 2 2 6 3 2 2 2" xfId="16534"/>
    <cellStyle name="Calculation 2 2 2 2 6 3 2 2 2 2" xfId="29950"/>
    <cellStyle name="Calculation 2 2 2 2 6 3 2 2 3" xfId="21279"/>
    <cellStyle name="Calculation 2 2 2 2 6 3 2 3" xfId="14262"/>
    <cellStyle name="Calculation 2 2 2 2 6 3 2 3 2" xfId="28584"/>
    <cellStyle name="Calculation 2 2 2 2 6 3 2 4" xfId="19907"/>
    <cellStyle name="Calculation 2 2 2 2 6 3 3" xfId="13367"/>
    <cellStyle name="Calculation 2 2 2 2 6 3 3 2" xfId="27689"/>
    <cellStyle name="Calculation 2 2 2 2 6 3 4" xfId="19012"/>
    <cellStyle name="Calculation 2 2 2 2 6 4" xfId="5818"/>
    <cellStyle name="Calculation 2 2 2 2 6 4 2" xfId="12371"/>
    <cellStyle name="Calculation 2 2 2 2 6 4 2 2" xfId="26693"/>
    <cellStyle name="Calculation 2 2 2 2 6 4 3" xfId="18016"/>
    <cellStyle name="Calculation 2 2 2 2 6 5" xfId="4383"/>
    <cellStyle name="Calculation 2 2 2 2 6 5 2" xfId="22917"/>
    <cellStyle name="Calculation 2 2 2 2 6 6" xfId="4473"/>
    <cellStyle name="Calculation 2 2 2 2 7" xfId="91"/>
    <cellStyle name="Calculation 2 2 2 2 7 2" xfId="6168"/>
    <cellStyle name="Calculation 2 2 2 2 7 2 2" xfId="12741"/>
    <cellStyle name="Calculation 2 2 2 2 7 2 2 2" xfId="27063"/>
    <cellStyle name="Calculation 2 2 2 2 7 2 3" xfId="18386"/>
    <cellStyle name="Calculation 2 2 2 2 7 3" xfId="7427"/>
    <cellStyle name="Calculation 2 2 2 2 7 3 2" xfId="10041"/>
    <cellStyle name="Calculation 2 2 2 2 7 3 2 2" xfId="16303"/>
    <cellStyle name="Calculation 2 2 2 2 7 3 2 2 2" xfId="29719"/>
    <cellStyle name="Calculation 2 2 2 2 7 3 2 3" xfId="21048"/>
    <cellStyle name="Calculation 2 2 2 2 7 3 3" xfId="14031"/>
    <cellStyle name="Calculation 2 2 2 2 7 3 3 2" xfId="28353"/>
    <cellStyle name="Calculation 2 2 2 2 7 3 4" xfId="19676"/>
    <cellStyle name="Calculation 2 2 2 2 7 4" xfId="4422"/>
    <cellStyle name="Calculation 2 2 2 2 7 4 2" xfId="22940"/>
    <cellStyle name="Calculation 2 2 2 2 7 5" xfId="6622"/>
    <cellStyle name="Calculation 2 2 2 2 8" xfId="92"/>
    <cellStyle name="Calculation 2 2 2 2 8 2" xfId="7988"/>
    <cellStyle name="Calculation 2 2 2 2 8 2 2" xfId="10602"/>
    <cellStyle name="Calculation 2 2 2 2 8 2 2 2" xfId="16864"/>
    <cellStyle name="Calculation 2 2 2 2 8 2 2 2 2" xfId="30280"/>
    <cellStyle name="Calculation 2 2 2 2 8 2 2 3" xfId="21609"/>
    <cellStyle name="Calculation 2 2 2 2 8 2 3" xfId="14592"/>
    <cellStyle name="Calculation 2 2 2 2 8 2 3 2" xfId="28914"/>
    <cellStyle name="Calculation 2 2 2 2 8 2 4" xfId="20237"/>
    <cellStyle name="Calculation 2 2 2 2 8 3" xfId="12757"/>
    <cellStyle name="Calculation 2 2 2 2 8 3 2" xfId="27079"/>
    <cellStyle name="Calculation 2 2 2 2 8 4" xfId="18402"/>
    <cellStyle name="Calculation 2 2 2 2 9" xfId="5468"/>
    <cellStyle name="Calculation 2 2 2 2 9 2" xfId="12019"/>
    <cellStyle name="Calculation 2 2 2 2 9 2 2" xfId="26341"/>
    <cellStyle name="Calculation 2 2 2 2 9 3" xfId="17664"/>
    <cellStyle name="Calculation 2 2 2 3" xfId="93"/>
    <cellStyle name="Calculation 2 2 2 3 2" xfId="94"/>
    <cellStyle name="Calculation 2 2 2 3 2 2" xfId="95"/>
    <cellStyle name="Calculation 2 2 2 3 2 2 2" xfId="6828"/>
    <cellStyle name="Calculation 2 2 2 3 2 2 2 2" xfId="13432"/>
    <cellStyle name="Calculation 2 2 2 3 2 2 2 2 2" xfId="27754"/>
    <cellStyle name="Calculation 2 2 2 3 2 2 2 3" xfId="19077"/>
    <cellStyle name="Calculation 2 2 2 3 2 2 3" xfId="7849"/>
    <cellStyle name="Calculation 2 2 2 3 2 2 3 2" xfId="10463"/>
    <cellStyle name="Calculation 2 2 2 3 2 2 3 2 2" xfId="16725"/>
    <cellStyle name="Calculation 2 2 2 3 2 2 3 2 2 2" xfId="30141"/>
    <cellStyle name="Calculation 2 2 2 3 2 2 3 2 3" xfId="21470"/>
    <cellStyle name="Calculation 2 2 2 3 2 2 3 3" xfId="14453"/>
    <cellStyle name="Calculation 2 2 2 3 2 2 3 3 2" xfId="28775"/>
    <cellStyle name="Calculation 2 2 2 3 2 2 3 4" xfId="20098"/>
    <cellStyle name="Calculation 2 2 2 3 2 2 4" xfId="2780"/>
    <cellStyle name="Calculation 2 2 2 3 2 2 4 2" xfId="22349"/>
    <cellStyle name="Calculation 2 2 2 3 2 2 5" xfId="15234"/>
    <cellStyle name="Calculation 2 2 2 3 2 3" xfId="96"/>
    <cellStyle name="Calculation 2 2 2 3 2 3 2" xfId="7191"/>
    <cellStyle name="Calculation 2 2 2 3 2 3 2 2" xfId="9805"/>
    <cellStyle name="Calculation 2 2 2 3 2 3 2 2 2" xfId="16067"/>
    <cellStyle name="Calculation 2 2 2 3 2 3 2 2 2 2" xfId="29483"/>
    <cellStyle name="Calculation 2 2 2 3 2 3 2 2 3" xfId="20812"/>
    <cellStyle name="Calculation 2 2 2 3 2 3 2 3" xfId="13795"/>
    <cellStyle name="Calculation 2 2 2 3 2 3 2 3 2" xfId="28117"/>
    <cellStyle name="Calculation 2 2 2 3 2 3 2 4" xfId="19440"/>
    <cellStyle name="Calculation 2 2 2 3 2 3 3" xfId="13295"/>
    <cellStyle name="Calculation 2 2 2 3 2 3 3 2" xfId="27617"/>
    <cellStyle name="Calculation 2 2 2 3 2 3 4" xfId="18940"/>
    <cellStyle name="Calculation 2 2 2 3 2 4" xfId="5745"/>
    <cellStyle name="Calculation 2 2 2 3 2 4 2" xfId="12298"/>
    <cellStyle name="Calculation 2 2 2 3 2 4 2 2" xfId="26620"/>
    <cellStyle name="Calculation 2 2 2 3 2 4 3" xfId="17943"/>
    <cellStyle name="Calculation 2 2 2 3 2 5" xfId="5972"/>
    <cellStyle name="Calculation 2 2 2 3 2 5 2" xfId="23386"/>
    <cellStyle name="Calculation 2 2 2 3 2 6" xfId="15290"/>
    <cellStyle name="Calculation 2 2 2 3 3" xfId="97"/>
    <cellStyle name="Calculation 2 2 2 3 3 2" xfId="98"/>
    <cellStyle name="Calculation 2 2 2 3 3 2 2" xfId="6870"/>
    <cellStyle name="Calculation 2 2 2 3 3 2 2 2" xfId="13474"/>
    <cellStyle name="Calculation 2 2 2 3 3 2 2 2 2" xfId="27796"/>
    <cellStyle name="Calculation 2 2 2 3 3 2 2 3" xfId="19119"/>
    <cellStyle name="Calculation 2 2 2 3 3 2 3" xfId="7485"/>
    <cellStyle name="Calculation 2 2 2 3 3 2 3 2" xfId="10099"/>
    <cellStyle name="Calculation 2 2 2 3 3 2 3 2 2" xfId="16361"/>
    <cellStyle name="Calculation 2 2 2 3 3 2 3 2 2 2" xfId="29777"/>
    <cellStyle name="Calculation 2 2 2 3 3 2 3 2 3" xfId="21106"/>
    <cellStyle name="Calculation 2 2 2 3 3 2 3 3" xfId="14089"/>
    <cellStyle name="Calculation 2 2 2 3 3 2 3 3 2" xfId="28411"/>
    <cellStyle name="Calculation 2 2 2 3 3 2 3 4" xfId="19734"/>
    <cellStyle name="Calculation 2 2 2 3 3 2 4" xfId="11333"/>
    <cellStyle name="Calculation 2 2 2 3 3 2 4 2" xfId="25655"/>
    <cellStyle name="Calculation 2 2 2 3 3 2 5" xfId="17167"/>
    <cellStyle name="Calculation 2 2 2 3 3 3" xfId="99"/>
    <cellStyle name="Calculation 2 2 2 3 3 3 2" xfId="7703"/>
    <cellStyle name="Calculation 2 2 2 3 3 3 2 2" xfId="10317"/>
    <cellStyle name="Calculation 2 2 2 3 3 3 2 2 2" xfId="16579"/>
    <cellStyle name="Calculation 2 2 2 3 3 3 2 2 2 2" xfId="29995"/>
    <cellStyle name="Calculation 2 2 2 3 3 3 2 2 3" xfId="21324"/>
    <cellStyle name="Calculation 2 2 2 3 3 3 2 3" xfId="14307"/>
    <cellStyle name="Calculation 2 2 2 3 3 3 2 3 2" xfId="28629"/>
    <cellStyle name="Calculation 2 2 2 3 3 3 2 4" xfId="19952"/>
    <cellStyle name="Calculation 2 2 2 3 3 3 3" xfId="11673"/>
    <cellStyle name="Calculation 2 2 2 3 3 3 3 2" xfId="25995"/>
    <cellStyle name="Calculation 2 2 2 3 3 3 4" xfId="14844"/>
    <cellStyle name="Calculation 2 2 2 3 3 4" xfId="3157"/>
    <cellStyle name="Calculation 2 2 2 3 3 4 2" xfId="4370"/>
    <cellStyle name="Calculation 2 2 2 3 3 4 2 2" xfId="22912"/>
    <cellStyle name="Calculation 2 2 2 3 3 4 3" xfId="15285"/>
    <cellStyle name="Calculation 2 2 2 3 3 5" xfId="4477"/>
    <cellStyle name="Calculation 2 2 2 3 3 5 2" xfId="22975"/>
    <cellStyle name="Calculation 2 2 2 3 3 6" xfId="6464"/>
    <cellStyle name="Calculation 2 2 2 3 4" xfId="100"/>
    <cellStyle name="Calculation 2 2 2 3 4 2" xfId="6076"/>
    <cellStyle name="Calculation 2 2 2 3 4 2 2" xfId="12642"/>
    <cellStyle name="Calculation 2 2 2 3 4 2 2 2" xfId="26964"/>
    <cellStyle name="Calculation 2 2 2 3 4 2 3" xfId="18287"/>
    <cellStyle name="Calculation 2 2 2 3 4 3" xfId="8043"/>
    <cellStyle name="Calculation 2 2 2 3 4 3 2" xfId="10657"/>
    <cellStyle name="Calculation 2 2 2 3 4 3 2 2" xfId="16919"/>
    <cellStyle name="Calculation 2 2 2 3 4 3 2 2 2" xfId="30335"/>
    <cellStyle name="Calculation 2 2 2 3 4 3 2 3" xfId="21664"/>
    <cellStyle name="Calculation 2 2 2 3 4 3 3" xfId="14647"/>
    <cellStyle name="Calculation 2 2 2 3 4 3 3 2" xfId="28969"/>
    <cellStyle name="Calculation 2 2 2 3 4 3 4" xfId="20292"/>
    <cellStyle name="Calculation 2 2 2 3 4 4" xfId="4086"/>
    <cellStyle name="Calculation 2 2 2 3 4 4 2" xfId="22752"/>
    <cellStyle name="Calculation 2 2 2 3 4 5" xfId="16988"/>
    <cellStyle name="Calculation 2 2 2 3 5" xfId="101"/>
    <cellStyle name="Calculation 2 2 2 3 5 2" xfId="7704"/>
    <cellStyle name="Calculation 2 2 2 3 5 2 2" xfId="10318"/>
    <cellStyle name="Calculation 2 2 2 3 5 2 2 2" xfId="16580"/>
    <cellStyle name="Calculation 2 2 2 3 5 2 2 2 2" xfId="29996"/>
    <cellStyle name="Calculation 2 2 2 3 5 2 2 3" xfId="21325"/>
    <cellStyle name="Calculation 2 2 2 3 5 2 3" xfId="14308"/>
    <cellStyle name="Calculation 2 2 2 3 5 2 3 2" xfId="28630"/>
    <cellStyle name="Calculation 2 2 2 3 5 2 4" xfId="19953"/>
    <cellStyle name="Calculation 2 2 2 3 5 3" xfId="12871"/>
    <cellStyle name="Calculation 2 2 2 3 5 3 2" xfId="27193"/>
    <cellStyle name="Calculation 2 2 2 3 5 4" xfId="18516"/>
    <cellStyle name="Calculation 2 2 2 3 6" xfId="5489"/>
    <cellStyle name="Calculation 2 2 2 3 6 2" xfId="12040"/>
    <cellStyle name="Calculation 2 2 2 3 6 2 2" xfId="26362"/>
    <cellStyle name="Calculation 2 2 2 3 6 3" xfId="17685"/>
    <cellStyle name="Calculation 2 2 2 3 7" xfId="6658"/>
    <cellStyle name="Calculation 2 2 2 3 7 2" xfId="23634"/>
    <cellStyle name="Calculation 2 2 2 3 8" xfId="17351"/>
    <cellStyle name="Calculation 2 2 2 4" xfId="102"/>
    <cellStyle name="Calculation 2 2 2 4 2" xfId="103"/>
    <cellStyle name="Calculation 2 2 2 4 2 2" xfId="104"/>
    <cellStyle name="Calculation 2 2 2 4 2 2 2" xfId="6547"/>
    <cellStyle name="Calculation 2 2 2 4 2 2 2 2" xfId="13135"/>
    <cellStyle name="Calculation 2 2 2 4 2 2 2 2 2" xfId="27457"/>
    <cellStyle name="Calculation 2 2 2 4 2 2 2 3" xfId="18780"/>
    <cellStyle name="Calculation 2 2 2 4 2 2 3" xfId="7372"/>
    <cellStyle name="Calculation 2 2 2 4 2 2 3 2" xfId="9986"/>
    <cellStyle name="Calculation 2 2 2 4 2 2 3 2 2" xfId="16248"/>
    <cellStyle name="Calculation 2 2 2 4 2 2 3 2 2 2" xfId="29664"/>
    <cellStyle name="Calculation 2 2 2 4 2 2 3 2 3" xfId="20993"/>
    <cellStyle name="Calculation 2 2 2 4 2 2 3 3" xfId="13976"/>
    <cellStyle name="Calculation 2 2 2 4 2 2 3 3 2" xfId="28298"/>
    <cellStyle name="Calculation 2 2 2 4 2 2 3 4" xfId="19621"/>
    <cellStyle name="Calculation 2 2 2 4 2 2 4" xfId="6015"/>
    <cellStyle name="Calculation 2 2 2 4 2 2 4 2" xfId="23394"/>
    <cellStyle name="Calculation 2 2 2 4 2 2 5" xfId="15035"/>
    <cellStyle name="Calculation 2 2 2 4 2 3" xfId="105"/>
    <cellStyle name="Calculation 2 2 2 4 2 3 2" xfId="7420"/>
    <cellStyle name="Calculation 2 2 2 4 2 3 2 2" xfId="10034"/>
    <cellStyle name="Calculation 2 2 2 4 2 3 2 2 2" xfId="16296"/>
    <cellStyle name="Calculation 2 2 2 4 2 3 2 2 2 2" xfId="29712"/>
    <cellStyle name="Calculation 2 2 2 4 2 3 2 2 3" xfId="21041"/>
    <cellStyle name="Calculation 2 2 2 4 2 3 2 3" xfId="14024"/>
    <cellStyle name="Calculation 2 2 2 4 2 3 2 3 2" xfId="28346"/>
    <cellStyle name="Calculation 2 2 2 4 2 3 2 4" xfId="19669"/>
    <cellStyle name="Calculation 2 2 2 4 2 3 3" xfId="13331"/>
    <cellStyle name="Calculation 2 2 2 4 2 3 3 2" xfId="27653"/>
    <cellStyle name="Calculation 2 2 2 4 2 3 4" xfId="18976"/>
    <cellStyle name="Calculation 2 2 2 4 2 4" xfId="5781"/>
    <cellStyle name="Calculation 2 2 2 4 2 4 2" xfId="12334"/>
    <cellStyle name="Calculation 2 2 2 4 2 4 2 2" xfId="26656"/>
    <cellStyle name="Calculation 2 2 2 4 2 4 3" xfId="17979"/>
    <cellStyle name="Calculation 2 2 2 4 2 5" xfId="4668"/>
    <cellStyle name="Calculation 2 2 2 4 2 5 2" xfId="23107"/>
    <cellStyle name="Calculation 2 2 2 4 2 6" xfId="15131"/>
    <cellStyle name="Calculation 2 2 2 4 3" xfId="106"/>
    <cellStyle name="Calculation 2 2 2 4 3 2" xfId="107"/>
    <cellStyle name="Calculation 2 2 2 4 3 2 2" xfId="6100"/>
    <cellStyle name="Calculation 2 2 2 4 3 2 2 2" xfId="12667"/>
    <cellStyle name="Calculation 2 2 2 4 3 2 2 2 2" xfId="26989"/>
    <cellStyle name="Calculation 2 2 2 4 3 2 2 3" xfId="18312"/>
    <cellStyle name="Calculation 2 2 2 4 3 2 3" xfId="8022"/>
    <cellStyle name="Calculation 2 2 2 4 3 2 3 2" xfId="10636"/>
    <cellStyle name="Calculation 2 2 2 4 3 2 3 2 2" xfId="16898"/>
    <cellStyle name="Calculation 2 2 2 4 3 2 3 2 2 2" xfId="30314"/>
    <cellStyle name="Calculation 2 2 2 4 3 2 3 2 3" xfId="21643"/>
    <cellStyle name="Calculation 2 2 2 4 3 2 3 3" xfId="14626"/>
    <cellStyle name="Calculation 2 2 2 4 3 2 3 3 2" xfId="28948"/>
    <cellStyle name="Calculation 2 2 2 4 3 2 3 4" xfId="20271"/>
    <cellStyle name="Calculation 2 2 2 4 3 2 4" xfId="6189"/>
    <cellStyle name="Calculation 2 2 2 4 3 2 4 2" xfId="23453"/>
    <cellStyle name="Calculation 2 2 2 4 3 2 5" xfId="17187"/>
    <cellStyle name="Calculation 2 2 2 4 3 3" xfId="108"/>
    <cellStyle name="Calculation 2 2 2 4 3 3 2" xfId="3814"/>
    <cellStyle name="Calculation 2 2 2 4 3 3 2 2" xfId="9380"/>
    <cellStyle name="Calculation 2 2 2 4 3 3 2 2 2" xfId="15642"/>
    <cellStyle name="Calculation 2 2 2 4 3 3 2 2 2 2" xfId="29058"/>
    <cellStyle name="Calculation 2 2 2 4 3 3 2 2 3" xfId="20387"/>
    <cellStyle name="Calculation 2 2 2 4 3 3 2 3" xfId="6679"/>
    <cellStyle name="Calculation 2 2 2 4 3 3 2 3 2" xfId="23650"/>
    <cellStyle name="Calculation 2 2 2 4 3 3 2 4" xfId="17281"/>
    <cellStyle name="Calculation 2 2 2 4 3 3 3" xfId="13056"/>
    <cellStyle name="Calculation 2 2 2 4 3 3 3 2" xfId="27378"/>
    <cellStyle name="Calculation 2 2 2 4 3 3 4" xfId="18701"/>
    <cellStyle name="Calculation 2 2 2 4 3 4" xfId="5385"/>
    <cellStyle name="Calculation 2 2 2 4 3 4 2" xfId="11935"/>
    <cellStyle name="Calculation 2 2 2 4 3 4 2 2" xfId="26257"/>
    <cellStyle name="Calculation 2 2 2 4 3 4 3" xfId="17580"/>
    <cellStyle name="Calculation 2 2 2 4 3 5" xfId="6141"/>
    <cellStyle name="Calculation 2 2 2 4 3 5 2" xfId="23426"/>
    <cellStyle name="Calculation 2 2 2 4 3 6" xfId="15078"/>
    <cellStyle name="Calculation 2 2 2 4 4" xfId="109"/>
    <cellStyle name="Calculation 2 2 2 4 4 2" xfId="6999"/>
    <cellStyle name="Calculation 2 2 2 4 4 2 2" xfId="13603"/>
    <cellStyle name="Calculation 2 2 2 4 4 2 2 2" xfId="27925"/>
    <cellStyle name="Calculation 2 2 2 4 4 2 3" xfId="19248"/>
    <cellStyle name="Calculation 2 2 2 4 4 3" xfId="7578"/>
    <cellStyle name="Calculation 2 2 2 4 4 3 2" xfId="10192"/>
    <cellStyle name="Calculation 2 2 2 4 4 3 2 2" xfId="16454"/>
    <cellStyle name="Calculation 2 2 2 4 4 3 2 2 2" xfId="29870"/>
    <cellStyle name="Calculation 2 2 2 4 4 3 2 3" xfId="21199"/>
    <cellStyle name="Calculation 2 2 2 4 4 3 3" xfId="14182"/>
    <cellStyle name="Calculation 2 2 2 4 4 3 3 2" xfId="28504"/>
    <cellStyle name="Calculation 2 2 2 4 4 3 4" xfId="19827"/>
    <cellStyle name="Calculation 2 2 2 4 4 4" xfId="11515"/>
    <cellStyle name="Calculation 2 2 2 4 4 4 2" xfId="25837"/>
    <cellStyle name="Calculation 2 2 2 4 4 5" xfId="4569"/>
    <cellStyle name="Calculation 2 2 2 4 5" xfId="110"/>
    <cellStyle name="Calculation 2 2 2 4 5 2" xfId="7810"/>
    <cellStyle name="Calculation 2 2 2 4 5 2 2" xfId="10424"/>
    <cellStyle name="Calculation 2 2 2 4 5 2 2 2" xfId="16686"/>
    <cellStyle name="Calculation 2 2 2 4 5 2 2 2 2" xfId="30102"/>
    <cellStyle name="Calculation 2 2 2 4 5 2 2 3" xfId="21431"/>
    <cellStyle name="Calculation 2 2 2 4 5 2 3" xfId="14414"/>
    <cellStyle name="Calculation 2 2 2 4 5 2 3 2" xfId="28736"/>
    <cellStyle name="Calculation 2 2 2 4 5 2 4" xfId="20059"/>
    <cellStyle name="Calculation 2 2 2 4 5 3" xfId="12907"/>
    <cellStyle name="Calculation 2 2 2 4 5 3 2" xfId="27229"/>
    <cellStyle name="Calculation 2 2 2 4 5 4" xfId="18552"/>
    <cellStyle name="Calculation 2 2 2 4 6" xfId="5531"/>
    <cellStyle name="Calculation 2 2 2 4 6 2" xfId="12082"/>
    <cellStyle name="Calculation 2 2 2 4 6 2 2" xfId="26404"/>
    <cellStyle name="Calculation 2 2 2 4 6 3" xfId="17727"/>
    <cellStyle name="Calculation 2 2 2 4 7" xfId="3807"/>
    <cellStyle name="Calculation 2 2 2 4 7 2" xfId="22593"/>
    <cellStyle name="Calculation 2 2 2 4 8" xfId="14679"/>
    <cellStyle name="Calculation 2 2 2 5" xfId="111"/>
    <cellStyle name="Calculation 2 2 2 5 2" xfId="112"/>
    <cellStyle name="Calculation 2 2 2 5 2 2" xfId="113"/>
    <cellStyle name="Calculation 2 2 2 5 2 2 2" xfId="5942"/>
    <cellStyle name="Calculation 2 2 2 5 2 2 2 2" xfId="12499"/>
    <cellStyle name="Calculation 2 2 2 5 2 2 2 2 2" xfId="26821"/>
    <cellStyle name="Calculation 2 2 2 5 2 2 2 3" xfId="18144"/>
    <cellStyle name="Calculation 2 2 2 5 2 2 3" xfId="7707"/>
    <cellStyle name="Calculation 2 2 2 5 2 2 3 2" xfId="10321"/>
    <cellStyle name="Calculation 2 2 2 5 2 2 3 2 2" xfId="16583"/>
    <cellStyle name="Calculation 2 2 2 5 2 2 3 2 2 2" xfId="29999"/>
    <cellStyle name="Calculation 2 2 2 5 2 2 3 2 3" xfId="21328"/>
    <cellStyle name="Calculation 2 2 2 5 2 2 3 3" xfId="14311"/>
    <cellStyle name="Calculation 2 2 2 5 2 2 3 3 2" xfId="28633"/>
    <cellStyle name="Calculation 2 2 2 5 2 2 3 4" xfId="19956"/>
    <cellStyle name="Calculation 2 2 2 5 2 2 4" xfId="6044"/>
    <cellStyle name="Calculation 2 2 2 5 2 2 4 2" xfId="23398"/>
    <cellStyle name="Calculation 2 2 2 5 2 2 5" xfId="15556"/>
    <cellStyle name="Calculation 2 2 2 5 2 3" xfId="114"/>
    <cellStyle name="Calculation 2 2 2 5 2 3 2" xfId="7592"/>
    <cellStyle name="Calculation 2 2 2 5 2 3 2 2" xfId="10206"/>
    <cellStyle name="Calculation 2 2 2 5 2 3 2 2 2" xfId="16468"/>
    <cellStyle name="Calculation 2 2 2 5 2 3 2 2 2 2" xfId="29884"/>
    <cellStyle name="Calculation 2 2 2 5 2 3 2 2 3" xfId="21213"/>
    <cellStyle name="Calculation 2 2 2 5 2 3 2 3" xfId="14196"/>
    <cellStyle name="Calculation 2 2 2 5 2 3 2 3 2" xfId="28518"/>
    <cellStyle name="Calculation 2 2 2 5 2 3 2 4" xfId="19841"/>
    <cellStyle name="Calculation 2 2 2 5 2 3 3" xfId="13201"/>
    <cellStyle name="Calculation 2 2 2 5 2 3 3 2" xfId="27523"/>
    <cellStyle name="Calculation 2 2 2 5 2 3 4" xfId="18846"/>
    <cellStyle name="Calculation 2 2 2 5 2 4" xfId="5640"/>
    <cellStyle name="Calculation 2 2 2 5 2 4 2" xfId="12193"/>
    <cellStyle name="Calculation 2 2 2 5 2 4 2 2" xfId="26515"/>
    <cellStyle name="Calculation 2 2 2 5 2 4 3" xfId="17838"/>
    <cellStyle name="Calculation 2 2 2 5 2 5" xfId="6614"/>
    <cellStyle name="Calculation 2 2 2 5 2 5 2" xfId="23606"/>
    <cellStyle name="Calculation 2 2 2 5 2 6" xfId="17019"/>
    <cellStyle name="Calculation 2 2 2 5 3" xfId="115"/>
    <cellStyle name="Calculation 2 2 2 5 3 2" xfId="116"/>
    <cellStyle name="Calculation 2 2 2 5 3 2 2" xfId="6854"/>
    <cellStyle name="Calculation 2 2 2 5 3 2 2 2" xfId="13458"/>
    <cellStyle name="Calculation 2 2 2 5 3 2 2 2 2" xfId="27780"/>
    <cellStyle name="Calculation 2 2 2 5 3 2 2 3" xfId="19103"/>
    <cellStyle name="Calculation 2 2 2 5 3 2 3" xfId="7698"/>
    <cellStyle name="Calculation 2 2 2 5 3 2 3 2" xfId="10312"/>
    <cellStyle name="Calculation 2 2 2 5 3 2 3 2 2" xfId="16574"/>
    <cellStyle name="Calculation 2 2 2 5 3 2 3 2 2 2" xfId="29990"/>
    <cellStyle name="Calculation 2 2 2 5 3 2 3 2 3" xfId="21319"/>
    <cellStyle name="Calculation 2 2 2 5 3 2 3 3" xfId="14302"/>
    <cellStyle name="Calculation 2 2 2 5 3 2 3 3 2" xfId="28624"/>
    <cellStyle name="Calculation 2 2 2 5 3 2 3 4" xfId="19947"/>
    <cellStyle name="Calculation 2 2 2 5 3 2 4" xfId="2760"/>
    <cellStyle name="Calculation 2 2 2 5 3 2 4 2" xfId="22329"/>
    <cellStyle name="Calculation 2 2 2 5 3 2 5" xfId="15530"/>
    <cellStyle name="Calculation 2 2 2 5 3 3" xfId="117"/>
    <cellStyle name="Calculation 2 2 2 5 3 3 2" xfId="7336"/>
    <cellStyle name="Calculation 2 2 2 5 3 3 2 2" xfId="9950"/>
    <cellStyle name="Calculation 2 2 2 5 3 3 2 2 2" xfId="16212"/>
    <cellStyle name="Calculation 2 2 2 5 3 3 2 2 2 2" xfId="29628"/>
    <cellStyle name="Calculation 2 2 2 5 3 3 2 2 3" xfId="20957"/>
    <cellStyle name="Calculation 2 2 2 5 3 3 2 3" xfId="13940"/>
    <cellStyle name="Calculation 2 2 2 5 3 3 2 3 2" xfId="28262"/>
    <cellStyle name="Calculation 2 2 2 5 3 3 2 4" xfId="19585"/>
    <cellStyle name="Calculation 2 2 2 5 3 3 3" xfId="13179"/>
    <cellStyle name="Calculation 2 2 2 5 3 3 3 2" xfId="27501"/>
    <cellStyle name="Calculation 2 2 2 5 3 3 4" xfId="18824"/>
    <cellStyle name="Calculation 2 2 2 5 3 4" xfId="5602"/>
    <cellStyle name="Calculation 2 2 2 5 3 4 2" xfId="12154"/>
    <cellStyle name="Calculation 2 2 2 5 3 4 2 2" xfId="26476"/>
    <cellStyle name="Calculation 2 2 2 5 3 4 3" xfId="17799"/>
    <cellStyle name="Calculation 2 2 2 5 3 5" xfId="3715"/>
    <cellStyle name="Calculation 2 2 2 5 3 5 2" xfId="22540"/>
    <cellStyle name="Calculation 2 2 2 5 3 6" xfId="16963"/>
    <cellStyle name="Calculation 2 2 2 5 4" xfId="118"/>
    <cellStyle name="Calculation 2 2 2 5 4 2" xfId="6932"/>
    <cellStyle name="Calculation 2 2 2 5 4 2 2" xfId="13536"/>
    <cellStyle name="Calculation 2 2 2 5 4 2 2 2" xfId="27858"/>
    <cellStyle name="Calculation 2 2 2 5 4 2 3" xfId="19181"/>
    <cellStyle name="Calculation 2 2 2 5 4 3" xfId="4415"/>
    <cellStyle name="Calculation 2 2 2 5 4 3 2" xfId="9464"/>
    <cellStyle name="Calculation 2 2 2 5 4 3 2 2" xfId="15726"/>
    <cellStyle name="Calculation 2 2 2 5 4 3 2 2 2" xfId="29142"/>
    <cellStyle name="Calculation 2 2 2 5 4 3 2 3" xfId="20471"/>
    <cellStyle name="Calculation 2 2 2 5 4 3 3" xfId="3832"/>
    <cellStyle name="Calculation 2 2 2 5 4 3 3 2" xfId="22603"/>
    <cellStyle name="Calculation 2 2 2 5 4 3 4" xfId="15404"/>
    <cellStyle name="Calculation 2 2 2 5 4 4" xfId="11425"/>
    <cellStyle name="Calculation 2 2 2 5 4 4 2" xfId="25747"/>
    <cellStyle name="Calculation 2 2 2 5 4 5" xfId="15095"/>
    <cellStyle name="Calculation 2 2 2 5 5" xfId="119"/>
    <cellStyle name="Calculation 2 2 2 5 5 2" xfId="3599"/>
    <cellStyle name="Calculation 2 2 2 5 5 2 2" xfId="9342"/>
    <cellStyle name="Calculation 2 2 2 5 5 2 2 2" xfId="15604"/>
    <cellStyle name="Calculation 2 2 2 5 5 2 2 2 2" xfId="29020"/>
    <cellStyle name="Calculation 2 2 2 5 5 2 2 3" xfId="20349"/>
    <cellStyle name="Calculation 2 2 2 5 5 2 3" xfId="6332"/>
    <cellStyle name="Calculation 2 2 2 5 5 2 3 2" xfId="23521"/>
    <cellStyle name="Calculation 2 2 2 5 5 2 4" xfId="17083"/>
    <cellStyle name="Calculation 2 2 2 5 5 3" xfId="11968"/>
    <cellStyle name="Calculation 2 2 2 5 5 3 2" xfId="26290"/>
    <cellStyle name="Calculation 2 2 2 5 5 4" xfId="17613"/>
    <cellStyle name="Calculation 2 2 2 5 6" xfId="5111"/>
    <cellStyle name="Calculation 2 2 2 5 6 2" xfId="11659"/>
    <cellStyle name="Calculation 2 2 2 5 6 2 2" xfId="25981"/>
    <cellStyle name="Calculation 2 2 2 5 6 3" xfId="17395"/>
    <cellStyle name="Calculation 2 2 2 5 7" xfId="6127"/>
    <cellStyle name="Calculation 2 2 2 5 7 2" xfId="23420"/>
    <cellStyle name="Calculation 2 2 2 5 8" xfId="17218"/>
    <cellStyle name="Calculation 2 2 2 6" xfId="120"/>
    <cellStyle name="Calculation 2 2 2 6 2" xfId="121"/>
    <cellStyle name="Calculation 2 2 2 6 2 2" xfId="122"/>
    <cellStyle name="Calculation 2 2 2 6 2 2 2" xfId="5432"/>
    <cellStyle name="Calculation 2 2 2 6 2 2 2 2" xfId="11983"/>
    <cellStyle name="Calculation 2 2 2 6 2 2 2 2 2" xfId="26305"/>
    <cellStyle name="Calculation 2 2 2 6 2 2 2 3" xfId="17628"/>
    <cellStyle name="Calculation 2 2 2 6 2 2 3" xfId="4496"/>
    <cellStyle name="Calculation 2 2 2 6 2 2 3 2" xfId="9471"/>
    <cellStyle name="Calculation 2 2 2 6 2 2 3 2 2" xfId="15733"/>
    <cellStyle name="Calculation 2 2 2 6 2 2 3 2 2 2" xfId="29149"/>
    <cellStyle name="Calculation 2 2 2 6 2 2 3 2 3" xfId="20478"/>
    <cellStyle name="Calculation 2 2 2 6 2 2 3 3" xfId="6254"/>
    <cellStyle name="Calculation 2 2 2 6 2 2 3 3 2" xfId="23476"/>
    <cellStyle name="Calculation 2 2 2 6 2 2 3 4" xfId="15344"/>
    <cellStyle name="Calculation 2 2 2 6 2 2 4" xfId="4960"/>
    <cellStyle name="Calculation 2 2 2 6 2 2 4 2" xfId="23282"/>
    <cellStyle name="Calculation 2 2 2 6 2 2 5" xfId="14897"/>
    <cellStyle name="Calculation 2 2 2 6 2 3" xfId="123"/>
    <cellStyle name="Calculation 2 2 2 6 2 3 2" xfId="7140"/>
    <cellStyle name="Calculation 2 2 2 6 2 3 2 2" xfId="9754"/>
    <cellStyle name="Calculation 2 2 2 6 2 3 2 2 2" xfId="16016"/>
    <cellStyle name="Calculation 2 2 2 6 2 3 2 2 2 2" xfId="29432"/>
    <cellStyle name="Calculation 2 2 2 6 2 3 2 2 3" xfId="20761"/>
    <cellStyle name="Calculation 2 2 2 6 2 3 2 3" xfId="13744"/>
    <cellStyle name="Calculation 2 2 2 6 2 3 2 3 2" xfId="28066"/>
    <cellStyle name="Calculation 2 2 2 6 2 3 2 4" xfId="19389"/>
    <cellStyle name="Calculation 2 2 2 6 2 3 3" xfId="12666"/>
    <cellStyle name="Calculation 2 2 2 6 2 3 3 2" xfId="26988"/>
    <cellStyle name="Calculation 2 2 2 6 2 3 4" xfId="18311"/>
    <cellStyle name="Calculation 2 2 2 6 2 4" xfId="5049"/>
    <cellStyle name="Calculation 2 2 2 6 2 4 2" xfId="11596"/>
    <cellStyle name="Calculation 2 2 2 6 2 4 2 2" xfId="25918"/>
    <cellStyle name="Calculation 2 2 2 6 2 4 3" xfId="15190"/>
    <cellStyle name="Calculation 2 2 2 6 2 5" xfId="4178"/>
    <cellStyle name="Calculation 2 2 2 6 2 5 2" xfId="22801"/>
    <cellStyle name="Calculation 2 2 2 6 2 6" xfId="15329"/>
    <cellStyle name="Calculation 2 2 2 6 3" xfId="124"/>
    <cellStyle name="Calculation 2 2 2 6 3 2" xfId="5589"/>
    <cellStyle name="Calculation 2 2 2 6 3 2 2" xfId="12141"/>
    <cellStyle name="Calculation 2 2 2 6 3 2 2 2" xfId="26463"/>
    <cellStyle name="Calculation 2 2 2 6 3 2 3" xfId="17786"/>
    <cellStyle name="Calculation 2 2 2 6 3 3" xfId="7473"/>
    <cellStyle name="Calculation 2 2 2 6 3 3 2" xfId="10087"/>
    <cellStyle name="Calculation 2 2 2 6 3 3 2 2" xfId="16349"/>
    <cellStyle name="Calculation 2 2 2 6 3 3 2 2 2" xfId="29765"/>
    <cellStyle name="Calculation 2 2 2 6 3 3 2 3" xfId="21094"/>
    <cellStyle name="Calculation 2 2 2 6 3 3 3" xfId="14077"/>
    <cellStyle name="Calculation 2 2 2 6 3 3 3 2" xfId="28399"/>
    <cellStyle name="Calculation 2 2 2 6 3 3 4" xfId="19722"/>
    <cellStyle name="Calculation 2 2 2 6 3 4" xfId="3294"/>
    <cellStyle name="Calculation 2 2 2 6 3 4 2" xfId="22467"/>
    <cellStyle name="Calculation 2 2 2 6 3 5" xfId="17394"/>
    <cellStyle name="Calculation 2 2 2 6 4" xfId="125"/>
    <cellStyle name="Calculation 2 2 2 6 4 2" xfId="7053"/>
    <cellStyle name="Calculation 2 2 2 6 4 2 2" xfId="9667"/>
    <cellStyle name="Calculation 2 2 2 6 4 2 2 2" xfId="15929"/>
    <cellStyle name="Calculation 2 2 2 6 4 2 2 2 2" xfId="29345"/>
    <cellStyle name="Calculation 2 2 2 6 4 2 2 3" xfId="20674"/>
    <cellStyle name="Calculation 2 2 2 6 4 2 3" xfId="13657"/>
    <cellStyle name="Calculation 2 2 2 6 4 2 3 2" xfId="27979"/>
    <cellStyle name="Calculation 2 2 2 6 4 2 4" xfId="19302"/>
    <cellStyle name="Calculation 2 2 2 6 4 3" xfId="12206"/>
    <cellStyle name="Calculation 2 2 2 6 4 3 2" xfId="26528"/>
    <cellStyle name="Calculation 2 2 2 6 4 4" xfId="17851"/>
    <cellStyle name="Calculation 2 2 2 6 5" xfId="5153"/>
    <cellStyle name="Calculation 2 2 2 6 5 2" xfId="11702"/>
    <cellStyle name="Calculation 2 2 2 6 5 2 2" xfId="26024"/>
    <cellStyle name="Calculation 2 2 2 6 5 3" xfId="6704"/>
    <cellStyle name="Calculation 2 2 2 6 6" xfId="6335"/>
    <cellStyle name="Calculation 2 2 2 6 6 2" xfId="23523"/>
    <cellStyle name="Calculation 2 2 2 6 7" xfId="14973"/>
    <cellStyle name="Calculation 2 2 2 7" xfId="126"/>
    <cellStyle name="Calculation 2 2 2 7 2" xfId="127"/>
    <cellStyle name="Calculation 2 2 2 7 2 2" xfId="6024"/>
    <cellStyle name="Calculation 2 2 2 7 2 2 2" xfId="12585"/>
    <cellStyle name="Calculation 2 2 2 7 2 2 2 2" xfId="26907"/>
    <cellStyle name="Calculation 2 2 2 7 2 2 3" xfId="18230"/>
    <cellStyle name="Calculation 2 2 2 7 2 3" xfId="7656"/>
    <cellStyle name="Calculation 2 2 2 7 2 3 2" xfId="10270"/>
    <cellStyle name="Calculation 2 2 2 7 2 3 2 2" xfId="16532"/>
    <cellStyle name="Calculation 2 2 2 7 2 3 2 2 2" xfId="29948"/>
    <cellStyle name="Calculation 2 2 2 7 2 3 2 3" xfId="21277"/>
    <cellStyle name="Calculation 2 2 2 7 2 3 3" xfId="14260"/>
    <cellStyle name="Calculation 2 2 2 7 2 3 3 2" xfId="28582"/>
    <cellStyle name="Calculation 2 2 2 7 2 3 4" xfId="19905"/>
    <cellStyle name="Calculation 2 2 2 7 2 4" xfId="4731"/>
    <cellStyle name="Calculation 2 2 2 7 2 4 2" xfId="23157"/>
    <cellStyle name="Calculation 2 2 2 7 2 5" xfId="15066"/>
    <cellStyle name="Calculation 2 2 2 7 3" xfId="128"/>
    <cellStyle name="Calculation 2 2 2 7 3 2" xfId="7542"/>
    <cellStyle name="Calculation 2 2 2 7 3 2 2" xfId="10156"/>
    <cellStyle name="Calculation 2 2 2 7 3 2 2 2" xfId="16418"/>
    <cellStyle name="Calculation 2 2 2 7 3 2 2 2 2" xfId="29834"/>
    <cellStyle name="Calculation 2 2 2 7 3 2 2 3" xfId="21163"/>
    <cellStyle name="Calculation 2 2 2 7 3 2 3" xfId="14146"/>
    <cellStyle name="Calculation 2 2 2 7 3 2 3 2" xfId="28468"/>
    <cellStyle name="Calculation 2 2 2 7 3 2 4" xfId="19791"/>
    <cellStyle name="Calculation 2 2 2 7 3 3" xfId="12209"/>
    <cellStyle name="Calculation 2 2 2 7 3 3 2" xfId="26531"/>
    <cellStyle name="Calculation 2 2 2 7 3 4" xfId="17854"/>
    <cellStyle name="Calculation 2 2 2 7 4" xfId="5150"/>
    <cellStyle name="Calculation 2 2 2 7 4 2" xfId="11699"/>
    <cellStyle name="Calculation 2 2 2 7 4 2 2" xfId="26021"/>
    <cellStyle name="Calculation 2 2 2 7 4 3" xfId="4170"/>
    <cellStyle name="Calculation 2 2 2 7 5" xfId="4580"/>
    <cellStyle name="Calculation 2 2 2 7 5 2" xfId="23046"/>
    <cellStyle name="Calculation 2 2 2 7 6" xfId="15557"/>
    <cellStyle name="Calculation 2 2 2 8" xfId="129"/>
    <cellStyle name="Calculation 2 2 2 8 2" xfId="5590"/>
    <cellStyle name="Calculation 2 2 2 8 2 2" xfId="12142"/>
    <cellStyle name="Calculation 2 2 2 8 2 2 2" xfId="26464"/>
    <cellStyle name="Calculation 2 2 2 8 2 3" xfId="17787"/>
    <cellStyle name="Calculation 2 2 2 8 3" xfId="5268"/>
    <cellStyle name="Calculation 2 2 2 8 3 2" xfId="9577"/>
    <cellStyle name="Calculation 2 2 2 8 3 2 2" xfId="15839"/>
    <cellStyle name="Calculation 2 2 2 8 3 2 2 2" xfId="29255"/>
    <cellStyle name="Calculation 2 2 2 8 3 2 3" xfId="20584"/>
    <cellStyle name="Calculation 2 2 2 8 3 3" xfId="11818"/>
    <cellStyle name="Calculation 2 2 2 8 3 3 2" xfId="26140"/>
    <cellStyle name="Calculation 2 2 2 8 3 4" xfId="17463"/>
    <cellStyle name="Calculation 2 2 2 8 4" xfId="6364"/>
    <cellStyle name="Calculation 2 2 2 8 4 2" xfId="23547"/>
    <cellStyle name="Calculation 2 2 2 8 5" xfId="15377"/>
    <cellStyle name="Calculation 2 2 2 9" xfId="130"/>
    <cellStyle name="Calculation 2 2 2 9 2" xfId="7399"/>
    <cellStyle name="Calculation 2 2 2 9 2 2" xfId="10013"/>
    <cellStyle name="Calculation 2 2 2 9 2 2 2" xfId="16275"/>
    <cellStyle name="Calculation 2 2 2 9 2 2 2 2" xfId="29691"/>
    <cellStyle name="Calculation 2 2 2 9 2 2 3" xfId="21020"/>
    <cellStyle name="Calculation 2 2 2 9 2 3" xfId="14003"/>
    <cellStyle name="Calculation 2 2 2 9 2 3 2" xfId="28325"/>
    <cellStyle name="Calculation 2 2 2 9 2 4" xfId="19648"/>
    <cellStyle name="Calculation 2 2 2 9 3" xfId="11931"/>
    <cellStyle name="Calculation 2 2 2 9 3 2" xfId="26253"/>
    <cellStyle name="Calculation 2 2 2 9 4" xfId="17576"/>
    <cellStyle name="Calculation 2 2 3" xfId="131"/>
    <cellStyle name="Calculation 2 2 3 10" xfId="4130"/>
    <cellStyle name="Calculation 2 2 3 10 2" xfId="22772"/>
    <cellStyle name="Calculation 2 2 3 11" xfId="14684"/>
    <cellStyle name="Calculation 2 2 3 2" xfId="132"/>
    <cellStyle name="Calculation 2 2 3 2 2" xfId="133"/>
    <cellStyle name="Calculation 2 2 3 2 2 2" xfId="134"/>
    <cellStyle name="Calculation 2 2 3 2 2 2 2" xfId="6902"/>
    <cellStyle name="Calculation 2 2 3 2 2 2 2 2" xfId="13506"/>
    <cellStyle name="Calculation 2 2 3 2 2 2 2 2 2" xfId="27828"/>
    <cellStyle name="Calculation 2 2 3 2 2 2 2 3" xfId="19151"/>
    <cellStyle name="Calculation 2 2 3 2 2 2 3" xfId="7764"/>
    <cellStyle name="Calculation 2 2 3 2 2 2 3 2" xfId="10378"/>
    <cellStyle name="Calculation 2 2 3 2 2 2 3 2 2" xfId="16640"/>
    <cellStyle name="Calculation 2 2 3 2 2 2 3 2 2 2" xfId="30056"/>
    <cellStyle name="Calculation 2 2 3 2 2 2 3 2 3" xfId="21385"/>
    <cellStyle name="Calculation 2 2 3 2 2 2 3 3" xfId="14368"/>
    <cellStyle name="Calculation 2 2 3 2 2 2 3 3 2" xfId="28690"/>
    <cellStyle name="Calculation 2 2 3 2 2 2 3 4" xfId="20013"/>
    <cellStyle name="Calculation 2 2 3 2 2 2 4" xfId="11384"/>
    <cellStyle name="Calculation 2 2 3 2 2 2 4 2" xfId="25706"/>
    <cellStyle name="Calculation 2 2 3 2 2 2 5" xfId="4795"/>
    <cellStyle name="Calculation 2 2 3 2 2 3" xfId="135"/>
    <cellStyle name="Calculation 2 2 3 2 2 3 2" xfId="4101"/>
    <cellStyle name="Calculation 2 2 3 2 2 3 2 2" xfId="9425"/>
    <cellStyle name="Calculation 2 2 3 2 2 3 2 2 2" xfId="15687"/>
    <cellStyle name="Calculation 2 2 3 2 2 3 2 2 2 2" xfId="29103"/>
    <cellStyle name="Calculation 2 2 3 2 2 3 2 2 3" xfId="20432"/>
    <cellStyle name="Calculation 2 2 3 2 2 3 2 3" xfId="4021"/>
    <cellStyle name="Calculation 2 2 3 2 2 3 2 3 2" xfId="22705"/>
    <cellStyle name="Calculation 2 2 3 2 2 3 2 4" xfId="4660"/>
    <cellStyle name="Calculation 2 2 3 2 2 3 3" xfId="13311"/>
    <cellStyle name="Calculation 2 2 3 2 2 3 3 2" xfId="27633"/>
    <cellStyle name="Calculation 2 2 3 2 2 3 4" xfId="18956"/>
    <cellStyle name="Calculation 2 2 3 2 2 4" xfId="5761"/>
    <cellStyle name="Calculation 2 2 3 2 2 4 2" xfId="12314"/>
    <cellStyle name="Calculation 2 2 3 2 2 4 2 2" xfId="26636"/>
    <cellStyle name="Calculation 2 2 3 2 2 4 3" xfId="17959"/>
    <cellStyle name="Calculation 2 2 3 2 2 5" xfId="6804"/>
    <cellStyle name="Calculation 2 2 3 2 2 5 2" xfId="23743"/>
    <cellStyle name="Calculation 2 2 3 2 2 6" xfId="15209"/>
    <cellStyle name="Calculation 2 2 3 2 3" xfId="136"/>
    <cellStyle name="Calculation 2 2 3 2 3 2" xfId="137"/>
    <cellStyle name="Calculation 2 2 3 2 3 2 2" xfId="6401"/>
    <cellStyle name="Calculation 2 2 3 2 3 2 2 2" xfId="12984"/>
    <cellStyle name="Calculation 2 2 3 2 3 2 2 2 2" xfId="27306"/>
    <cellStyle name="Calculation 2 2 3 2 3 2 2 3" xfId="18629"/>
    <cellStyle name="Calculation 2 2 3 2 3 2 3" xfId="7667"/>
    <cellStyle name="Calculation 2 2 3 2 3 2 3 2" xfId="10281"/>
    <cellStyle name="Calculation 2 2 3 2 3 2 3 2 2" xfId="16543"/>
    <cellStyle name="Calculation 2 2 3 2 3 2 3 2 2 2" xfId="29959"/>
    <cellStyle name="Calculation 2 2 3 2 3 2 3 2 3" xfId="21288"/>
    <cellStyle name="Calculation 2 2 3 2 3 2 3 3" xfId="14271"/>
    <cellStyle name="Calculation 2 2 3 2 3 2 3 3 2" xfId="28593"/>
    <cellStyle name="Calculation 2 2 3 2 3 2 3 4" xfId="19916"/>
    <cellStyle name="Calculation 2 2 3 2 3 2 4" xfId="2794"/>
    <cellStyle name="Calculation 2 2 3 2 3 2 4 2" xfId="22361"/>
    <cellStyle name="Calculation 2 2 3 2 3 2 5" xfId="6158"/>
    <cellStyle name="Calculation 2 2 3 2 3 3" xfId="138"/>
    <cellStyle name="Calculation 2 2 3 2 3 3 2" xfId="7188"/>
    <cellStyle name="Calculation 2 2 3 2 3 3 2 2" xfId="9802"/>
    <cellStyle name="Calculation 2 2 3 2 3 3 2 2 2" xfId="16064"/>
    <cellStyle name="Calculation 2 2 3 2 3 3 2 2 2 2" xfId="29480"/>
    <cellStyle name="Calculation 2 2 3 2 3 3 2 2 3" xfId="20809"/>
    <cellStyle name="Calculation 2 2 3 2 3 3 2 3" xfId="13792"/>
    <cellStyle name="Calculation 2 2 3 2 3 3 2 3 2" xfId="28114"/>
    <cellStyle name="Calculation 2 2 3 2 3 3 2 4" xfId="19437"/>
    <cellStyle name="Calculation 2 2 3 2 3 3 3" xfId="11691"/>
    <cellStyle name="Calculation 2 2 3 2 3 3 3 2" xfId="26013"/>
    <cellStyle name="Calculation 2 2 3 2 3 3 4" xfId="5943"/>
    <cellStyle name="Calculation 2 2 3 2 3 4" xfId="5217"/>
    <cellStyle name="Calculation 2 2 3 2 3 4 2" xfId="11766"/>
    <cellStyle name="Calculation 2 2 3 2 3 4 2 2" xfId="26088"/>
    <cellStyle name="Calculation 2 2 3 2 3 4 3" xfId="17411"/>
    <cellStyle name="Calculation 2 2 3 2 3 5" xfId="6701"/>
    <cellStyle name="Calculation 2 2 3 2 3 5 2" xfId="23660"/>
    <cellStyle name="Calculation 2 2 3 2 3 6" xfId="15456"/>
    <cellStyle name="Calculation 2 2 3 2 4" xfId="139"/>
    <cellStyle name="Calculation 2 2 3 2 4 2" xfId="5096"/>
    <cellStyle name="Calculation 2 2 3 2 4 2 2" xfId="11643"/>
    <cellStyle name="Calculation 2 2 3 2 4 2 2 2" xfId="25965"/>
    <cellStyle name="Calculation 2 2 3 2 4 2 3" xfId="17270"/>
    <cellStyle name="Calculation 2 2 3 2 4 3" xfId="7199"/>
    <cellStyle name="Calculation 2 2 3 2 4 3 2" xfId="9813"/>
    <cellStyle name="Calculation 2 2 3 2 4 3 2 2" xfId="16075"/>
    <cellStyle name="Calculation 2 2 3 2 4 3 2 2 2" xfId="29491"/>
    <cellStyle name="Calculation 2 2 3 2 4 3 2 3" xfId="20820"/>
    <cellStyle name="Calculation 2 2 3 2 4 3 3" xfId="13803"/>
    <cellStyle name="Calculation 2 2 3 2 4 3 3 2" xfId="28125"/>
    <cellStyle name="Calculation 2 2 3 2 4 3 4" xfId="19448"/>
    <cellStyle name="Calculation 2 2 3 2 4 4" xfId="3625"/>
    <cellStyle name="Calculation 2 2 3 2 4 4 2" xfId="22492"/>
    <cellStyle name="Calculation 2 2 3 2 4 5" xfId="6625"/>
    <cellStyle name="Calculation 2 2 3 2 5" xfId="140"/>
    <cellStyle name="Calculation 2 2 3 2 5 2" xfId="4878"/>
    <cellStyle name="Calculation 2 2 3 2 5 2 2" xfId="9508"/>
    <cellStyle name="Calculation 2 2 3 2 5 2 2 2" xfId="15770"/>
    <cellStyle name="Calculation 2 2 3 2 5 2 2 2 2" xfId="29186"/>
    <cellStyle name="Calculation 2 2 3 2 5 2 2 3" xfId="20515"/>
    <cellStyle name="Calculation 2 2 3 2 5 2 3" xfId="11413"/>
    <cellStyle name="Calculation 2 2 3 2 5 2 3 2" xfId="25735"/>
    <cellStyle name="Calculation 2 2 3 2 5 2 4" xfId="15184"/>
    <cellStyle name="Calculation 2 2 3 2 5 3" xfId="12887"/>
    <cellStyle name="Calculation 2 2 3 2 5 3 2" xfId="27209"/>
    <cellStyle name="Calculation 2 2 3 2 5 4" xfId="18532"/>
    <cellStyle name="Calculation 2 2 3 2 6" xfId="5505"/>
    <cellStyle name="Calculation 2 2 3 2 6 2" xfId="12056"/>
    <cellStyle name="Calculation 2 2 3 2 6 2 2" xfId="26378"/>
    <cellStyle name="Calculation 2 2 3 2 6 3" xfId="17701"/>
    <cellStyle name="Calculation 2 2 3 2 7" xfId="3838"/>
    <cellStyle name="Calculation 2 2 3 2 7 2" xfId="22606"/>
    <cellStyle name="Calculation 2 2 3 2 8" xfId="17272"/>
    <cellStyle name="Calculation 2 2 3 3" xfId="141"/>
    <cellStyle name="Calculation 2 2 3 3 2" xfId="142"/>
    <cellStyle name="Calculation 2 2 3 3 2 2" xfId="143"/>
    <cellStyle name="Calculation 2 2 3 3 2 2 2" xfId="6206"/>
    <cellStyle name="Calculation 2 2 3 3 2 2 2 2" xfId="12779"/>
    <cellStyle name="Calculation 2 2 3 3 2 2 2 2 2" xfId="27101"/>
    <cellStyle name="Calculation 2 2 3 3 2 2 2 3" xfId="18424"/>
    <cellStyle name="Calculation 2 2 3 3 2 2 3" xfId="7982"/>
    <cellStyle name="Calculation 2 2 3 3 2 2 3 2" xfId="10596"/>
    <cellStyle name="Calculation 2 2 3 3 2 2 3 2 2" xfId="16858"/>
    <cellStyle name="Calculation 2 2 3 3 2 2 3 2 2 2" xfId="30274"/>
    <cellStyle name="Calculation 2 2 3 3 2 2 3 2 3" xfId="21603"/>
    <cellStyle name="Calculation 2 2 3 3 2 2 3 3" xfId="14586"/>
    <cellStyle name="Calculation 2 2 3 3 2 2 3 3 2" xfId="28908"/>
    <cellStyle name="Calculation 2 2 3 3 2 2 3 4" xfId="20231"/>
    <cellStyle name="Calculation 2 2 3 3 2 2 4" xfId="6641"/>
    <cellStyle name="Calculation 2 2 3 3 2 2 4 2" xfId="23621"/>
    <cellStyle name="Calculation 2 2 3 3 2 2 5" xfId="15302"/>
    <cellStyle name="Calculation 2 2 3 3 2 3" xfId="144"/>
    <cellStyle name="Calculation 2 2 3 3 2 3 2" xfId="7359"/>
    <cellStyle name="Calculation 2 2 3 3 2 3 2 2" xfId="9973"/>
    <cellStyle name="Calculation 2 2 3 3 2 3 2 2 2" xfId="16235"/>
    <cellStyle name="Calculation 2 2 3 3 2 3 2 2 2 2" xfId="29651"/>
    <cellStyle name="Calculation 2 2 3 3 2 3 2 2 3" xfId="20980"/>
    <cellStyle name="Calculation 2 2 3 3 2 3 2 3" xfId="13963"/>
    <cellStyle name="Calculation 2 2 3 3 2 3 2 3 2" xfId="28285"/>
    <cellStyle name="Calculation 2 2 3 3 2 3 2 4" xfId="19608"/>
    <cellStyle name="Calculation 2 2 3 3 2 3 3" xfId="13347"/>
    <cellStyle name="Calculation 2 2 3 3 2 3 3 2" xfId="27669"/>
    <cellStyle name="Calculation 2 2 3 3 2 3 4" xfId="18992"/>
    <cellStyle name="Calculation 2 2 3 3 2 4" xfId="5797"/>
    <cellStyle name="Calculation 2 2 3 3 2 4 2" xfId="12350"/>
    <cellStyle name="Calculation 2 2 3 3 2 4 2 2" xfId="26672"/>
    <cellStyle name="Calculation 2 2 3 3 2 4 3" xfId="17995"/>
    <cellStyle name="Calculation 2 2 3 3 2 5" xfId="3245"/>
    <cellStyle name="Calculation 2 2 3 3 2 5 2" xfId="22442"/>
    <cellStyle name="Calculation 2 2 3 3 2 6" xfId="14803"/>
    <cellStyle name="Calculation 2 2 3 3 3" xfId="145"/>
    <cellStyle name="Calculation 2 2 3 3 3 2" xfId="146"/>
    <cellStyle name="Calculation 2 2 3 3 3 2 2" xfId="6910"/>
    <cellStyle name="Calculation 2 2 3 3 3 2 2 2" xfId="13514"/>
    <cellStyle name="Calculation 2 2 3 3 3 2 2 2 2" xfId="27836"/>
    <cellStyle name="Calculation 2 2 3 3 3 2 2 3" xfId="19159"/>
    <cellStyle name="Calculation 2 2 3 3 3 2 3" xfId="7620"/>
    <cellStyle name="Calculation 2 2 3 3 3 2 3 2" xfId="10234"/>
    <cellStyle name="Calculation 2 2 3 3 3 2 3 2 2" xfId="16496"/>
    <cellStyle name="Calculation 2 2 3 3 3 2 3 2 2 2" xfId="29912"/>
    <cellStyle name="Calculation 2 2 3 3 3 2 3 2 3" xfId="21241"/>
    <cellStyle name="Calculation 2 2 3 3 3 2 3 3" xfId="14224"/>
    <cellStyle name="Calculation 2 2 3 3 3 2 3 3 2" xfId="28546"/>
    <cellStyle name="Calculation 2 2 3 3 3 2 3 4" xfId="19869"/>
    <cellStyle name="Calculation 2 2 3 3 3 2 4" xfId="11396"/>
    <cellStyle name="Calculation 2 2 3 3 3 2 4 2" xfId="25718"/>
    <cellStyle name="Calculation 2 2 3 3 3 2 5" xfId="3804"/>
    <cellStyle name="Calculation 2 2 3 3 3 3" xfId="147"/>
    <cellStyle name="Calculation 2 2 3 3 3 3 2" xfId="7157"/>
    <cellStyle name="Calculation 2 2 3 3 3 3 2 2" xfId="9771"/>
    <cellStyle name="Calculation 2 2 3 3 3 3 2 2 2" xfId="16033"/>
    <cellStyle name="Calculation 2 2 3 3 3 3 2 2 2 2" xfId="29449"/>
    <cellStyle name="Calculation 2 2 3 3 3 3 2 2 3" xfId="20778"/>
    <cellStyle name="Calculation 2 2 3 3 3 3 2 3" xfId="13761"/>
    <cellStyle name="Calculation 2 2 3 3 3 3 2 3 2" xfId="28083"/>
    <cellStyle name="Calculation 2 2 3 3 3 3 2 4" xfId="19406"/>
    <cellStyle name="Calculation 2 2 3 3 3 3 3" xfId="12549"/>
    <cellStyle name="Calculation 2 2 3 3 3 3 3 2" xfId="26871"/>
    <cellStyle name="Calculation 2 2 3 3 3 3 4" xfId="18194"/>
    <cellStyle name="Calculation 2 2 3 3 3 4" xfId="3282"/>
    <cellStyle name="Calculation 2 2 3 3 3 4 2" xfId="3764"/>
    <cellStyle name="Calculation 2 2 3 3 3 4 2 2" xfId="22569"/>
    <cellStyle name="Calculation 2 2 3 3 3 4 3" xfId="6482"/>
    <cellStyle name="Calculation 2 2 3 3 3 5" xfId="3251"/>
    <cellStyle name="Calculation 2 2 3 3 3 5 2" xfId="22445"/>
    <cellStyle name="Calculation 2 2 3 3 3 6" xfId="4442"/>
    <cellStyle name="Calculation 2 2 3 3 4" xfId="148"/>
    <cellStyle name="Calculation 2 2 3 3 4 2" xfId="5093"/>
    <cellStyle name="Calculation 2 2 3 3 4 2 2" xfId="11640"/>
    <cellStyle name="Calculation 2 2 3 3 4 2 2 2" xfId="25962"/>
    <cellStyle name="Calculation 2 2 3 3 4 2 3" xfId="17068"/>
    <cellStyle name="Calculation 2 2 3 3 4 3" xfId="7567"/>
    <cellStyle name="Calculation 2 2 3 3 4 3 2" xfId="10181"/>
    <cellStyle name="Calculation 2 2 3 3 4 3 2 2" xfId="16443"/>
    <cellStyle name="Calculation 2 2 3 3 4 3 2 2 2" xfId="29859"/>
    <cellStyle name="Calculation 2 2 3 3 4 3 2 3" xfId="21188"/>
    <cellStyle name="Calculation 2 2 3 3 4 3 3" xfId="14171"/>
    <cellStyle name="Calculation 2 2 3 3 4 3 3 2" xfId="28493"/>
    <cellStyle name="Calculation 2 2 3 3 4 3 4" xfId="19816"/>
    <cellStyle name="Calculation 2 2 3 3 4 4" xfId="4762"/>
    <cellStyle name="Calculation 2 2 3 3 4 4 2" xfId="23175"/>
    <cellStyle name="Calculation 2 2 3 3 4 5" xfId="17000"/>
    <cellStyle name="Calculation 2 2 3 3 5" xfId="149"/>
    <cellStyle name="Calculation 2 2 3 3 5 2" xfId="4247"/>
    <cellStyle name="Calculation 2 2 3 3 5 2 2" xfId="9432"/>
    <cellStyle name="Calculation 2 2 3 3 5 2 2 2" xfId="15694"/>
    <cellStyle name="Calculation 2 2 3 3 5 2 2 2 2" xfId="29110"/>
    <cellStyle name="Calculation 2 2 3 3 5 2 2 3" xfId="20439"/>
    <cellStyle name="Calculation 2 2 3 3 5 2 3" xfId="4384"/>
    <cellStyle name="Calculation 2 2 3 3 5 2 3 2" xfId="22918"/>
    <cellStyle name="Calculation 2 2 3 3 5 2 4" xfId="15351"/>
    <cellStyle name="Calculation 2 2 3 3 5 3" xfId="12923"/>
    <cellStyle name="Calculation 2 2 3 3 5 3 2" xfId="27245"/>
    <cellStyle name="Calculation 2 2 3 3 5 4" xfId="18568"/>
    <cellStyle name="Calculation 2 2 3 3 6" xfId="5547"/>
    <cellStyle name="Calculation 2 2 3 3 6 2" xfId="12098"/>
    <cellStyle name="Calculation 2 2 3 3 6 2 2" xfId="26420"/>
    <cellStyle name="Calculation 2 2 3 3 6 3" xfId="17743"/>
    <cellStyle name="Calculation 2 2 3 3 7" xfId="4386"/>
    <cellStyle name="Calculation 2 2 3 3 7 2" xfId="22920"/>
    <cellStyle name="Calculation 2 2 3 3 8" xfId="6241"/>
    <cellStyle name="Calculation 2 2 3 4" xfId="150"/>
    <cellStyle name="Calculation 2 2 3 4 2" xfId="151"/>
    <cellStyle name="Calculation 2 2 3 4 2 2" xfId="152"/>
    <cellStyle name="Calculation 2 2 3 4 2 2 2" xfId="6880"/>
    <cellStyle name="Calculation 2 2 3 4 2 2 2 2" xfId="13484"/>
    <cellStyle name="Calculation 2 2 3 4 2 2 2 2 2" xfId="27806"/>
    <cellStyle name="Calculation 2 2 3 4 2 2 2 3" xfId="19129"/>
    <cellStyle name="Calculation 2 2 3 4 2 2 3" xfId="5292"/>
    <cellStyle name="Calculation 2 2 3 4 2 2 3 2" xfId="9601"/>
    <cellStyle name="Calculation 2 2 3 4 2 2 3 2 2" xfId="15863"/>
    <cellStyle name="Calculation 2 2 3 4 2 2 3 2 2 2" xfId="29279"/>
    <cellStyle name="Calculation 2 2 3 4 2 2 3 2 3" xfId="20608"/>
    <cellStyle name="Calculation 2 2 3 4 2 2 3 3" xfId="11842"/>
    <cellStyle name="Calculation 2 2 3 4 2 2 3 3 2" xfId="26164"/>
    <cellStyle name="Calculation 2 2 3 4 2 2 3 4" xfId="17487"/>
    <cellStyle name="Calculation 2 2 3 4 2 2 4" xfId="11353"/>
    <cellStyle name="Calculation 2 2 3 4 2 2 4 2" xfId="25675"/>
    <cellStyle name="Calculation 2 2 3 4 2 2 5" xfId="17145"/>
    <cellStyle name="Calculation 2 2 3 4 2 3" xfId="153"/>
    <cellStyle name="Calculation 2 2 3 4 2 3 2" xfId="7362"/>
    <cellStyle name="Calculation 2 2 3 4 2 3 2 2" xfId="9976"/>
    <cellStyle name="Calculation 2 2 3 4 2 3 2 2 2" xfId="16238"/>
    <cellStyle name="Calculation 2 2 3 4 2 3 2 2 2 2" xfId="29654"/>
    <cellStyle name="Calculation 2 2 3 4 2 3 2 2 3" xfId="20983"/>
    <cellStyle name="Calculation 2 2 3 4 2 3 2 3" xfId="13966"/>
    <cellStyle name="Calculation 2 2 3 4 2 3 2 3 2" xfId="28288"/>
    <cellStyle name="Calculation 2 2 3 4 2 3 2 4" xfId="19611"/>
    <cellStyle name="Calculation 2 2 3 4 2 3 3" xfId="13213"/>
    <cellStyle name="Calculation 2 2 3 4 2 3 3 2" xfId="27535"/>
    <cellStyle name="Calculation 2 2 3 4 2 3 4" xfId="18858"/>
    <cellStyle name="Calculation 2 2 3 4 2 4" xfId="5652"/>
    <cellStyle name="Calculation 2 2 3 4 2 4 2" xfId="12205"/>
    <cellStyle name="Calculation 2 2 3 4 2 4 2 2" xfId="26527"/>
    <cellStyle name="Calculation 2 2 3 4 2 4 3" xfId="17850"/>
    <cellStyle name="Calculation 2 2 3 4 2 5" xfId="4215"/>
    <cellStyle name="Calculation 2 2 3 4 2 5 2" xfId="22827"/>
    <cellStyle name="Calculation 2 2 3 4 2 6" xfId="15071"/>
    <cellStyle name="Calculation 2 2 3 4 3" xfId="154"/>
    <cellStyle name="Calculation 2 2 3 4 3 2" xfId="155"/>
    <cellStyle name="Calculation 2 2 3 4 3 2 2" xfId="6829"/>
    <cellStyle name="Calculation 2 2 3 4 3 2 2 2" xfId="13433"/>
    <cellStyle name="Calculation 2 2 3 4 3 2 2 2 2" xfId="27755"/>
    <cellStyle name="Calculation 2 2 3 4 3 2 2 3" xfId="19078"/>
    <cellStyle name="Calculation 2 2 3 4 3 2 3" xfId="7377"/>
    <cellStyle name="Calculation 2 2 3 4 3 2 3 2" xfId="9991"/>
    <cellStyle name="Calculation 2 2 3 4 3 2 3 2 2" xfId="16253"/>
    <cellStyle name="Calculation 2 2 3 4 3 2 3 2 2 2" xfId="29669"/>
    <cellStyle name="Calculation 2 2 3 4 3 2 3 2 3" xfId="20998"/>
    <cellStyle name="Calculation 2 2 3 4 3 2 3 3" xfId="13981"/>
    <cellStyle name="Calculation 2 2 3 4 3 2 3 3 2" xfId="28303"/>
    <cellStyle name="Calculation 2 2 3 4 3 2 3 4" xfId="19626"/>
    <cellStyle name="Calculation 2 2 3 4 3 2 4" xfId="2822"/>
    <cellStyle name="Calculation 2 2 3 4 3 2 4 2" xfId="22385"/>
    <cellStyle name="Calculation 2 2 3 4 3 2 5" xfId="15499"/>
    <cellStyle name="Calculation 2 2 3 4 3 3" xfId="156"/>
    <cellStyle name="Calculation 2 2 3 4 3 3 2" xfId="7653"/>
    <cellStyle name="Calculation 2 2 3 4 3 3 2 2" xfId="10267"/>
    <cellStyle name="Calculation 2 2 3 4 3 3 2 2 2" xfId="16529"/>
    <cellStyle name="Calculation 2 2 3 4 3 3 2 2 2 2" xfId="29945"/>
    <cellStyle name="Calculation 2 2 3 4 3 3 2 2 3" xfId="21274"/>
    <cellStyle name="Calculation 2 2 3 4 3 3 2 3" xfId="14257"/>
    <cellStyle name="Calculation 2 2 3 4 3 3 2 3 2" xfId="28579"/>
    <cellStyle name="Calculation 2 2 3 4 3 3 2 4" xfId="19902"/>
    <cellStyle name="Calculation 2 2 3 4 3 3 3" xfId="12772"/>
    <cellStyle name="Calculation 2 2 3 4 3 3 3 2" xfId="27094"/>
    <cellStyle name="Calculation 2 2 3 4 3 3 4" xfId="18417"/>
    <cellStyle name="Calculation 2 2 3 4 3 4" xfId="5161"/>
    <cellStyle name="Calculation 2 2 3 4 3 4 2" xfId="11710"/>
    <cellStyle name="Calculation 2 2 3 4 3 4 2 2" xfId="26032"/>
    <cellStyle name="Calculation 2 2 3 4 3 4 3" xfId="4741"/>
    <cellStyle name="Calculation 2 2 3 4 3 5" xfId="6512"/>
    <cellStyle name="Calculation 2 2 3 4 3 5 2" xfId="23576"/>
    <cellStyle name="Calculation 2 2 3 4 3 6" xfId="14693"/>
    <cellStyle name="Calculation 2 2 3 4 4" xfId="157"/>
    <cellStyle name="Calculation 2 2 3 4 4 2" xfId="6896"/>
    <cellStyle name="Calculation 2 2 3 4 4 2 2" xfId="13500"/>
    <cellStyle name="Calculation 2 2 3 4 4 2 2 2" xfId="27822"/>
    <cellStyle name="Calculation 2 2 3 4 4 2 3" xfId="19145"/>
    <cellStyle name="Calculation 2 2 3 4 4 3" xfId="7844"/>
    <cellStyle name="Calculation 2 2 3 4 4 3 2" xfId="10458"/>
    <cellStyle name="Calculation 2 2 3 4 4 3 2 2" xfId="16720"/>
    <cellStyle name="Calculation 2 2 3 4 4 3 2 2 2" xfId="30136"/>
    <cellStyle name="Calculation 2 2 3 4 4 3 2 3" xfId="21465"/>
    <cellStyle name="Calculation 2 2 3 4 4 3 3" xfId="14448"/>
    <cellStyle name="Calculation 2 2 3 4 4 3 3 2" xfId="28770"/>
    <cellStyle name="Calculation 2 2 3 4 4 3 4" xfId="20093"/>
    <cellStyle name="Calculation 2 2 3 4 4 4" xfId="11375"/>
    <cellStyle name="Calculation 2 2 3 4 4 4 2" xfId="25697"/>
    <cellStyle name="Calculation 2 2 3 4 4 5" xfId="15327"/>
    <cellStyle name="Calculation 2 2 3 4 5" xfId="158"/>
    <cellStyle name="Calculation 2 2 3 4 5 2" xfId="7732"/>
    <cellStyle name="Calculation 2 2 3 4 5 2 2" xfId="10346"/>
    <cellStyle name="Calculation 2 2 3 4 5 2 2 2" xfId="16608"/>
    <cellStyle name="Calculation 2 2 3 4 5 2 2 2 2" xfId="30024"/>
    <cellStyle name="Calculation 2 2 3 4 5 2 2 3" xfId="21353"/>
    <cellStyle name="Calculation 2 2 3 4 5 2 3" xfId="14336"/>
    <cellStyle name="Calculation 2 2 3 4 5 2 3 2" xfId="28658"/>
    <cellStyle name="Calculation 2 2 3 4 5 2 4" xfId="19981"/>
    <cellStyle name="Calculation 2 2 3 4 5 3" xfId="12034"/>
    <cellStyle name="Calculation 2 2 3 4 5 3 2" xfId="26356"/>
    <cellStyle name="Calculation 2 2 3 4 5 4" xfId="17679"/>
    <cellStyle name="Calculation 2 2 3 4 6" xfId="3253"/>
    <cellStyle name="Calculation 2 2 3 4 6 2" xfId="4545"/>
    <cellStyle name="Calculation 2 2 3 4 6 2 2" xfId="23023"/>
    <cellStyle name="Calculation 2 2 3 4 6 3" xfId="17313"/>
    <cellStyle name="Calculation 2 2 3 4 7" xfId="6331"/>
    <cellStyle name="Calculation 2 2 3 4 7 2" xfId="23520"/>
    <cellStyle name="Calculation 2 2 3 4 8" xfId="6286"/>
    <cellStyle name="Calculation 2 2 3 5" xfId="159"/>
    <cellStyle name="Calculation 2 2 3 5 2" xfId="160"/>
    <cellStyle name="Calculation 2 2 3 5 2 2" xfId="161"/>
    <cellStyle name="Calculation 2 2 3 5 2 2 2" xfId="6140"/>
    <cellStyle name="Calculation 2 2 3 5 2 2 2 2" xfId="12710"/>
    <cellStyle name="Calculation 2 2 3 5 2 2 2 2 2" xfId="27032"/>
    <cellStyle name="Calculation 2 2 3 5 2 2 2 3" xfId="18355"/>
    <cellStyle name="Calculation 2 2 3 5 2 2 3" xfId="7648"/>
    <cellStyle name="Calculation 2 2 3 5 2 2 3 2" xfId="10262"/>
    <cellStyle name="Calculation 2 2 3 5 2 2 3 2 2" xfId="16524"/>
    <cellStyle name="Calculation 2 2 3 5 2 2 3 2 2 2" xfId="29940"/>
    <cellStyle name="Calculation 2 2 3 5 2 2 3 2 3" xfId="21269"/>
    <cellStyle name="Calculation 2 2 3 5 2 2 3 3" xfId="14252"/>
    <cellStyle name="Calculation 2 2 3 5 2 2 3 3 2" xfId="28574"/>
    <cellStyle name="Calculation 2 2 3 5 2 2 3 4" xfId="19897"/>
    <cellStyle name="Calculation 2 2 3 5 2 2 4" xfId="6062"/>
    <cellStyle name="Calculation 2 2 3 5 2 2 4 2" xfId="23404"/>
    <cellStyle name="Calculation 2 2 3 5 2 2 5" xfId="15097"/>
    <cellStyle name="Calculation 2 2 3 5 2 3" xfId="162"/>
    <cellStyle name="Calculation 2 2 3 5 2 3 2" xfId="8056"/>
    <cellStyle name="Calculation 2 2 3 5 2 3 2 2" xfId="10670"/>
    <cellStyle name="Calculation 2 2 3 5 2 3 2 2 2" xfId="16932"/>
    <cellStyle name="Calculation 2 2 3 5 2 3 2 2 2 2" xfId="30348"/>
    <cellStyle name="Calculation 2 2 3 5 2 3 2 2 3" xfId="21677"/>
    <cellStyle name="Calculation 2 2 3 5 2 3 2 3" xfId="14660"/>
    <cellStyle name="Calculation 2 2 3 5 2 3 2 3 2" xfId="28982"/>
    <cellStyle name="Calculation 2 2 3 5 2 3 2 4" xfId="20305"/>
    <cellStyle name="Calculation 2 2 3 5 2 3 3" xfId="13406"/>
    <cellStyle name="Calculation 2 2 3 5 2 3 3 2" xfId="27728"/>
    <cellStyle name="Calculation 2 2 3 5 2 3 4" xfId="19051"/>
    <cellStyle name="Calculation 2 2 3 5 2 4" xfId="5874"/>
    <cellStyle name="Calculation 2 2 3 5 2 4 2" xfId="12427"/>
    <cellStyle name="Calculation 2 2 3 5 2 4 2 2" xfId="26749"/>
    <cellStyle name="Calculation 2 2 3 5 2 4 3" xfId="18072"/>
    <cellStyle name="Calculation 2 2 3 5 2 5" xfId="6757"/>
    <cellStyle name="Calculation 2 2 3 5 2 5 2" xfId="23705"/>
    <cellStyle name="Calculation 2 2 3 5 2 6" xfId="15561"/>
    <cellStyle name="Calculation 2 2 3 5 3" xfId="163"/>
    <cellStyle name="Calculation 2 2 3 5 3 2" xfId="6195"/>
    <cellStyle name="Calculation 2 2 3 5 3 2 2" xfId="12768"/>
    <cellStyle name="Calculation 2 2 3 5 3 2 2 2" xfId="27090"/>
    <cellStyle name="Calculation 2 2 3 5 3 2 3" xfId="18413"/>
    <cellStyle name="Calculation 2 2 3 5 3 3" xfId="7953"/>
    <cellStyle name="Calculation 2 2 3 5 3 3 2" xfId="10567"/>
    <cellStyle name="Calculation 2 2 3 5 3 3 2 2" xfId="16829"/>
    <cellStyle name="Calculation 2 2 3 5 3 3 2 2 2" xfId="30245"/>
    <cellStyle name="Calculation 2 2 3 5 3 3 2 3" xfId="21574"/>
    <cellStyle name="Calculation 2 2 3 5 3 3 3" xfId="14557"/>
    <cellStyle name="Calculation 2 2 3 5 3 3 3 2" xfId="28879"/>
    <cellStyle name="Calculation 2 2 3 5 3 3 4" xfId="20202"/>
    <cellStyle name="Calculation 2 2 3 5 3 4" xfId="6072"/>
    <cellStyle name="Calculation 2 2 3 5 3 4 2" xfId="23407"/>
    <cellStyle name="Calculation 2 2 3 5 3 5" xfId="15015"/>
    <cellStyle name="Calculation 2 2 3 5 4" xfId="164"/>
    <cellStyle name="Calculation 2 2 3 5 4 2" xfId="7414"/>
    <cellStyle name="Calculation 2 2 3 5 4 2 2" xfId="10028"/>
    <cellStyle name="Calculation 2 2 3 5 4 2 2 2" xfId="16290"/>
    <cellStyle name="Calculation 2 2 3 5 4 2 2 2 2" xfId="29706"/>
    <cellStyle name="Calculation 2 2 3 5 4 2 2 3" xfId="21035"/>
    <cellStyle name="Calculation 2 2 3 5 4 2 3" xfId="14018"/>
    <cellStyle name="Calculation 2 2 3 5 4 2 3 2" xfId="28340"/>
    <cellStyle name="Calculation 2 2 3 5 4 2 4" xfId="19663"/>
    <cellStyle name="Calculation 2 2 3 5 4 3" xfId="12524"/>
    <cellStyle name="Calculation 2 2 3 5 4 3 2" xfId="26846"/>
    <cellStyle name="Calculation 2 2 3 5 4 4" xfId="18169"/>
    <cellStyle name="Calculation 2 2 3 5 5" xfId="5194"/>
    <cellStyle name="Calculation 2 2 3 5 5 2" xfId="11743"/>
    <cellStyle name="Calculation 2 2 3 5 5 2 2" xfId="26065"/>
    <cellStyle name="Calculation 2 2 3 5 5 3" xfId="4454"/>
    <cellStyle name="Calculation 2 2 3 5 6" xfId="4516"/>
    <cellStyle name="Calculation 2 2 3 5 6 2" xfId="23003"/>
    <cellStyle name="Calculation 2 2 3 5 7" xfId="17237"/>
    <cellStyle name="Calculation 2 2 3 6" xfId="165"/>
    <cellStyle name="Calculation 2 2 3 6 2" xfId="166"/>
    <cellStyle name="Calculation 2 2 3 6 2 2" xfId="6491"/>
    <cellStyle name="Calculation 2 2 3 6 2 2 2" xfId="13076"/>
    <cellStyle name="Calculation 2 2 3 6 2 2 2 2" xfId="27398"/>
    <cellStyle name="Calculation 2 2 3 6 2 2 3" xfId="18721"/>
    <cellStyle name="Calculation 2 2 3 6 2 3" xfId="4346"/>
    <cellStyle name="Calculation 2 2 3 6 2 3 2" xfId="9452"/>
    <cellStyle name="Calculation 2 2 3 6 2 3 2 2" xfId="15714"/>
    <cellStyle name="Calculation 2 2 3 6 2 3 2 2 2" xfId="29130"/>
    <cellStyle name="Calculation 2 2 3 6 2 3 2 3" xfId="20459"/>
    <cellStyle name="Calculation 2 2 3 6 2 3 3" xfId="3968"/>
    <cellStyle name="Calculation 2 2 3 6 2 3 3 2" xfId="22674"/>
    <cellStyle name="Calculation 2 2 3 6 2 3 4" xfId="15228"/>
    <cellStyle name="Calculation 2 2 3 6 2 4" xfId="6011"/>
    <cellStyle name="Calculation 2 2 3 6 2 4 2" xfId="23393"/>
    <cellStyle name="Calculation 2 2 3 6 2 5" xfId="6777"/>
    <cellStyle name="Calculation 2 2 3 6 3" xfId="167"/>
    <cellStyle name="Calculation 2 2 3 6 3 2" xfId="7570"/>
    <cellStyle name="Calculation 2 2 3 6 3 2 2" xfId="10184"/>
    <cellStyle name="Calculation 2 2 3 6 3 2 2 2" xfId="16446"/>
    <cellStyle name="Calculation 2 2 3 6 3 2 2 2 2" xfId="29862"/>
    <cellStyle name="Calculation 2 2 3 6 3 2 2 3" xfId="21191"/>
    <cellStyle name="Calculation 2 2 3 6 3 2 3" xfId="14174"/>
    <cellStyle name="Calculation 2 2 3 6 3 2 3 2" xfId="28496"/>
    <cellStyle name="Calculation 2 2 3 6 3 2 4" xfId="19819"/>
    <cellStyle name="Calculation 2 2 3 6 3 3" xfId="13269"/>
    <cellStyle name="Calculation 2 2 3 6 3 3 2" xfId="27591"/>
    <cellStyle name="Calculation 2 2 3 6 3 4" xfId="18914"/>
    <cellStyle name="Calculation 2 2 3 6 4" xfId="5715"/>
    <cellStyle name="Calculation 2 2 3 6 4 2" xfId="12268"/>
    <cellStyle name="Calculation 2 2 3 6 4 2 2" xfId="26590"/>
    <cellStyle name="Calculation 2 2 3 6 4 3" xfId="17913"/>
    <cellStyle name="Calculation 2 2 3 6 5" xfId="4834"/>
    <cellStyle name="Calculation 2 2 3 6 5 2" xfId="23212"/>
    <cellStyle name="Calculation 2 2 3 6 6" xfId="17051"/>
    <cellStyle name="Calculation 2 2 3 7" xfId="168"/>
    <cellStyle name="Calculation 2 2 3 7 2" xfId="5847"/>
    <cellStyle name="Calculation 2 2 3 7 2 2" xfId="12400"/>
    <cellStyle name="Calculation 2 2 3 7 2 2 2" xfId="26722"/>
    <cellStyle name="Calculation 2 2 3 7 2 3" xfId="18045"/>
    <cellStyle name="Calculation 2 2 3 7 3" xfId="7334"/>
    <cellStyle name="Calculation 2 2 3 7 3 2" xfId="9948"/>
    <cellStyle name="Calculation 2 2 3 7 3 2 2" xfId="16210"/>
    <cellStyle name="Calculation 2 2 3 7 3 2 2 2" xfId="29626"/>
    <cellStyle name="Calculation 2 2 3 7 3 2 3" xfId="20955"/>
    <cellStyle name="Calculation 2 2 3 7 3 3" xfId="13938"/>
    <cellStyle name="Calculation 2 2 3 7 3 3 2" xfId="28260"/>
    <cellStyle name="Calculation 2 2 3 7 3 4" xfId="19583"/>
    <cellStyle name="Calculation 2 2 3 7 4" xfId="3726"/>
    <cellStyle name="Calculation 2 2 3 7 4 2" xfId="22548"/>
    <cellStyle name="Calculation 2 2 3 7 5" xfId="6472"/>
    <cellStyle name="Calculation 2 2 3 8" xfId="169"/>
    <cellStyle name="Calculation 2 2 3 8 2" xfId="7758"/>
    <cellStyle name="Calculation 2 2 3 8 2 2" xfId="10372"/>
    <cellStyle name="Calculation 2 2 3 8 2 2 2" xfId="16634"/>
    <cellStyle name="Calculation 2 2 3 8 2 2 2 2" xfId="30050"/>
    <cellStyle name="Calculation 2 2 3 8 2 2 3" xfId="21379"/>
    <cellStyle name="Calculation 2 2 3 8 2 3" xfId="14362"/>
    <cellStyle name="Calculation 2 2 3 8 2 3 2" xfId="28684"/>
    <cellStyle name="Calculation 2 2 3 8 2 4" xfId="20007"/>
    <cellStyle name="Calculation 2 2 3 8 3" xfId="12746"/>
    <cellStyle name="Calculation 2 2 3 8 3 2" xfId="27068"/>
    <cellStyle name="Calculation 2 2 3 8 4" xfId="18391"/>
    <cellStyle name="Calculation 2 2 3 9" xfId="5377"/>
    <cellStyle name="Calculation 2 2 3 9 2" xfId="11927"/>
    <cellStyle name="Calculation 2 2 3 9 2 2" xfId="26249"/>
    <cellStyle name="Calculation 2 2 3 9 3" xfId="17572"/>
    <cellStyle name="Calculation 2 2 4" xfId="170"/>
    <cellStyle name="Calculation 2 2 4 2" xfId="171"/>
    <cellStyle name="Calculation 2 2 4 2 2" xfId="172"/>
    <cellStyle name="Calculation 2 2 4 2 2 2" xfId="6937"/>
    <cellStyle name="Calculation 2 2 4 2 2 2 2" xfId="13541"/>
    <cellStyle name="Calculation 2 2 4 2 2 2 2 2" xfId="27863"/>
    <cellStyle name="Calculation 2 2 4 2 2 2 3" xfId="19186"/>
    <cellStyle name="Calculation 2 2 4 2 2 3" xfId="5279"/>
    <cellStyle name="Calculation 2 2 4 2 2 3 2" xfId="9588"/>
    <cellStyle name="Calculation 2 2 4 2 2 3 2 2" xfId="15850"/>
    <cellStyle name="Calculation 2 2 4 2 2 3 2 2 2" xfId="29266"/>
    <cellStyle name="Calculation 2 2 4 2 2 3 2 3" xfId="20595"/>
    <cellStyle name="Calculation 2 2 4 2 2 3 3" xfId="11829"/>
    <cellStyle name="Calculation 2 2 4 2 2 3 3 2" xfId="26151"/>
    <cellStyle name="Calculation 2 2 4 2 2 3 4" xfId="17474"/>
    <cellStyle name="Calculation 2 2 4 2 2 4" xfId="11430"/>
    <cellStyle name="Calculation 2 2 4 2 2 4 2" xfId="25752"/>
    <cellStyle name="Calculation 2 2 4 2 2 5" xfId="16982"/>
    <cellStyle name="Calculation 2 2 4 2 3" xfId="173"/>
    <cellStyle name="Calculation 2 2 4 2 3 2" xfId="7273"/>
    <cellStyle name="Calculation 2 2 4 2 3 2 2" xfId="9887"/>
    <cellStyle name="Calculation 2 2 4 2 3 2 2 2" xfId="16149"/>
    <cellStyle name="Calculation 2 2 4 2 3 2 2 2 2" xfId="29565"/>
    <cellStyle name="Calculation 2 2 4 2 3 2 2 3" xfId="20894"/>
    <cellStyle name="Calculation 2 2 4 2 3 2 3" xfId="13877"/>
    <cellStyle name="Calculation 2 2 4 2 3 2 3 2" xfId="28199"/>
    <cellStyle name="Calculation 2 2 4 2 3 2 4" xfId="19522"/>
    <cellStyle name="Calculation 2 2 4 2 3 3" xfId="13202"/>
    <cellStyle name="Calculation 2 2 4 2 3 3 2" xfId="27524"/>
    <cellStyle name="Calculation 2 2 4 2 3 4" xfId="18847"/>
    <cellStyle name="Calculation 2 2 4 2 4" xfId="5641"/>
    <cellStyle name="Calculation 2 2 4 2 4 2" xfId="12194"/>
    <cellStyle name="Calculation 2 2 4 2 4 2 2" xfId="26516"/>
    <cellStyle name="Calculation 2 2 4 2 4 3" xfId="17839"/>
    <cellStyle name="Calculation 2 2 4 2 5" xfId="4478"/>
    <cellStyle name="Calculation 2 2 4 2 5 2" xfId="22976"/>
    <cellStyle name="Calculation 2 2 4 2 6" xfId="14750"/>
    <cellStyle name="Calculation 2 2 4 3" xfId="174"/>
    <cellStyle name="Calculation 2 2 4 3 2" xfId="175"/>
    <cellStyle name="Calculation 2 2 4 3 2 2" xfId="6137"/>
    <cellStyle name="Calculation 2 2 4 3 2 2 2" xfId="12707"/>
    <cellStyle name="Calculation 2 2 4 3 2 2 2 2" xfId="27029"/>
    <cellStyle name="Calculation 2 2 4 3 2 2 3" xfId="18352"/>
    <cellStyle name="Calculation 2 2 4 3 2 3" xfId="4859"/>
    <cellStyle name="Calculation 2 2 4 3 2 3 2" xfId="9506"/>
    <cellStyle name="Calculation 2 2 4 3 2 3 2 2" xfId="15768"/>
    <cellStyle name="Calculation 2 2 4 3 2 3 2 2 2" xfId="29184"/>
    <cellStyle name="Calculation 2 2 4 3 2 3 2 3" xfId="20513"/>
    <cellStyle name="Calculation 2 2 4 3 2 3 3" xfId="11393"/>
    <cellStyle name="Calculation 2 2 4 3 2 3 3 2" xfId="25715"/>
    <cellStyle name="Calculation 2 2 4 3 2 3 4" xfId="15358"/>
    <cellStyle name="Calculation 2 2 4 3 2 4" xfId="3248"/>
    <cellStyle name="Calculation 2 2 4 3 2 4 2" xfId="22443"/>
    <cellStyle name="Calculation 2 2 4 3 2 5" xfId="14896"/>
    <cellStyle name="Calculation 2 2 4 3 3" xfId="176"/>
    <cellStyle name="Calculation 2 2 4 3 3 2" xfId="7842"/>
    <cellStyle name="Calculation 2 2 4 3 3 2 2" xfId="10456"/>
    <cellStyle name="Calculation 2 2 4 3 3 2 2 2" xfId="16718"/>
    <cellStyle name="Calculation 2 2 4 3 3 2 2 2 2" xfId="30134"/>
    <cellStyle name="Calculation 2 2 4 3 3 2 2 3" xfId="21463"/>
    <cellStyle name="Calculation 2 2 4 3 3 2 3" xfId="14446"/>
    <cellStyle name="Calculation 2 2 4 3 3 2 3 2" xfId="28768"/>
    <cellStyle name="Calculation 2 2 4 3 3 2 4" xfId="20091"/>
    <cellStyle name="Calculation 2 2 4 3 3 3" xfId="12626"/>
    <cellStyle name="Calculation 2 2 4 3 3 3 2" xfId="26948"/>
    <cellStyle name="Calculation 2 2 4 3 3 4" xfId="18271"/>
    <cellStyle name="Calculation 2 2 4 3 4" xfId="3776"/>
    <cellStyle name="Calculation 2 2 4 3 4 2" xfId="6769"/>
    <cellStyle name="Calculation 2 2 4 3 4 2 2" xfId="23715"/>
    <cellStyle name="Calculation 2 2 4 3 4 3" xfId="3140"/>
    <cellStyle name="Calculation 2 2 4 3 5" xfId="3643"/>
    <cellStyle name="Calculation 2 2 4 3 5 2" xfId="22502"/>
    <cellStyle name="Calculation 2 2 4 3 6" xfId="17089"/>
    <cellStyle name="Calculation 2 2 4 4" xfId="177"/>
    <cellStyle name="Calculation 2 2 4 4 2" xfId="4822"/>
    <cellStyle name="Calculation 2 2 4 4 2 2" xfId="11354"/>
    <cellStyle name="Calculation 2 2 4 4 2 2 2" xfId="25676"/>
    <cellStyle name="Calculation 2 2 4 4 2 3" xfId="14876"/>
    <cellStyle name="Calculation 2 2 4 4 3" xfId="7095"/>
    <cellStyle name="Calculation 2 2 4 4 3 2" xfId="9709"/>
    <cellStyle name="Calculation 2 2 4 4 3 2 2" xfId="15971"/>
    <cellStyle name="Calculation 2 2 4 4 3 2 2 2" xfId="29387"/>
    <cellStyle name="Calculation 2 2 4 4 3 2 3" xfId="20716"/>
    <cellStyle name="Calculation 2 2 4 4 3 3" xfId="13699"/>
    <cellStyle name="Calculation 2 2 4 4 3 3 2" xfId="28021"/>
    <cellStyle name="Calculation 2 2 4 4 3 4" xfId="19344"/>
    <cellStyle name="Calculation 2 2 4 4 4" xfId="4295"/>
    <cellStyle name="Calculation 2 2 4 4 4 2" xfId="22877"/>
    <cellStyle name="Calculation 2 2 4 4 5" xfId="15008"/>
    <cellStyle name="Calculation 2 2 4 5" xfId="178"/>
    <cellStyle name="Calculation 2 2 4 5 2" xfId="7639"/>
    <cellStyle name="Calculation 2 2 4 5 2 2" xfId="10253"/>
    <cellStyle name="Calculation 2 2 4 5 2 2 2" xfId="16515"/>
    <cellStyle name="Calculation 2 2 4 5 2 2 2 2" xfId="29931"/>
    <cellStyle name="Calculation 2 2 4 5 2 2 3" xfId="21260"/>
    <cellStyle name="Calculation 2 2 4 5 2 3" xfId="14243"/>
    <cellStyle name="Calculation 2 2 4 5 2 3 2" xfId="28565"/>
    <cellStyle name="Calculation 2 2 4 5 2 4" xfId="19888"/>
    <cellStyle name="Calculation 2 2 4 5 3" xfId="12530"/>
    <cellStyle name="Calculation 2 2 4 5 3 2" xfId="26852"/>
    <cellStyle name="Calculation 2 2 4 5 4" xfId="18175"/>
    <cellStyle name="Calculation 2 2 4 6" xfId="5100"/>
    <cellStyle name="Calculation 2 2 4 6 2" xfId="11647"/>
    <cellStyle name="Calculation 2 2 4 6 2 2" xfId="25969"/>
    <cellStyle name="Calculation 2 2 4 6 3" xfId="17188"/>
    <cellStyle name="Calculation 2 2 4 7" xfId="6073"/>
    <cellStyle name="Calculation 2 2 4 7 2" xfId="23408"/>
    <cellStyle name="Calculation 2 2 4 8" xfId="4785"/>
    <cellStyle name="Calculation 2 2 5" xfId="179"/>
    <cellStyle name="Calculation 2 2 5 2" xfId="180"/>
    <cellStyle name="Calculation 2 2 5 2 2" xfId="181"/>
    <cellStyle name="Calculation 2 2 5 2 2 2" xfId="6827"/>
    <cellStyle name="Calculation 2 2 5 2 2 2 2" xfId="13431"/>
    <cellStyle name="Calculation 2 2 5 2 2 2 2 2" xfId="27753"/>
    <cellStyle name="Calculation 2 2 5 2 2 2 3" xfId="19076"/>
    <cellStyle name="Calculation 2 2 5 2 2 3" xfId="7894"/>
    <cellStyle name="Calculation 2 2 5 2 2 3 2" xfId="10508"/>
    <cellStyle name="Calculation 2 2 5 2 2 3 2 2" xfId="16770"/>
    <cellStyle name="Calculation 2 2 5 2 2 3 2 2 2" xfId="30186"/>
    <cellStyle name="Calculation 2 2 5 2 2 3 2 3" xfId="21515"/>
    <cellStyle name="Calculation 2 2 5 2 2 3 3" xfId="14498"/>
    <cellStyle name="Calculation 2 2 5 2 2 3 3 2" xfId="28820"/>
    <cellStyle name="Calculation 2 2 5 2 2 3 4" xfId="20143"/>
    <cellStyle name="Calculation 2 2 5 2 2 4" xfId="2781"/>
    <cellStyle name="Calculation 2 2 5 2 2 4 2" xfId="22350"/>
    <cellStyle name="Calculation 2 2 5 2 2 5" xfId="4154"/>
    <cellStyle name="Calculation 2 2 5 2 3" xfId="182"/>
    <cellStyle name="Calculation 2 2 5 2 3 2" xfId="3622"/>
    <cellStyle name="Calculation 2 2 5 2 3 2 2" xfId="9346"/>
    <cellStyle name="Calculation 2 2 5 2 3 2 2 2" xfId="15608"/>
    <cellStyle name="Calculation 2 2 5 2 3 2 2 2 2" xfId="29024"/>
    <cellStyle name="Calculation 2 2 5 2 3 2 2 3" xfId="20353"/>
    <cellStyle name="Calculation 2 2 5 2 3 2 3" xfId="4460"/>
    <cellStyle name="Calculation 2 2 5 2 3 2 3 2" xfId="22963"/>
    <cellStyle name="Calculation 2 2 5 2 3 2 4" xfId="4281"/>
    <cellStyle name="Calculation 2 2 5 2 3 3" xfId="13288"/>
    <cellStyle name="Calculation 2 2 5 2 3 3 2" xfId="27610"/>
    <cellStyle name="Calculation 2 2 5 2 3 4" xfId="18933"/>
    <cellStyle name="Calculation 2 2 5 2 4" xfId="5738"/>
    <cellStyle name="Calculation 2 2 5 2 4 2" xfId="12291"/>
    <cellStyle name="Calculation 2 2 5 2 4 2 2" xfId="26613"/>
    <cellStyle name="Calculation 2 2 5 2 4 3" xfId="17936"/>
    <cellStyle name="Calculation 2 2 5 2 5" xfId="5833"/>
    <cellStyle name="Calculation 2 2 5 2 5 2" xfId="23365"/>
    <cellStyle name="Calculation 2 2 5 2 6" xfId="17030"/>
    <cellStyle name="Calculation 2 2 5 3" xfId="183"/>
    <cellStyle name="Calculation 2 2 5 3 2" xfId="184"/>
    <cellStyle name="Calculation 2 2 5 3 2 2" xfId="7017"/>
    <cellStyle name="Calculation 2 2 5 3 2 2 2" xfId="13621"/>
    <cellStyle name="Calculation 2 2 5 3 2 2 2 2" xfId="27943"/>
    <cellStyle name="Calculation 2 2 5 3 2 2 3" xfId="19266"/>
    <cellStyle name="Calculation 2 2 5 3 2 3" xfId="7628"/>
    <cellStyle name="Calculation 2 2 5 3 2 3 2" xfId="10242"/>
    <cellStyle name="Calculation 2 2 5 3 2 3 2 2" xfId="16504"/>
    <cellStyle name="Calculation 2 2 5 3 2 3 2 2 2" xfId="29920"/>
    <cellStyle name="Calculation 2 2 5 3 2 3 2 3" xfId="21249"/>
    <cellStyle name="Calculation 2 2 5 3 2 3 3" xfId="14232"/>
    <cellStyle name="Calculation 2 2 5 3 2 3 3 2" xfId="28554"/>
    <cellStyle name="Calculation 2 2 5 3 2 3 4" xfId="19877"/>
    <cellStyle name="Calculation 2 2 5 3 2 4" xfId="11546"/>
    <cellStyle name="Calculation 2 2 5 3 2 4 2" xfId="25868"/>
    <cellStyle name="Calculation 2 2 5 3 2 5" xfId="14787"/>
    <cellStyle name="Calculation 2 2 5 3 3" xfId="185"/>
    <cellStyle name="Calculation 2 2 5 3 3 2" xfId="4353"/>
    <cellStyle name="Calculation 2 2 5 3 3 2 2" xfId="9455"/>
    <cellStyle name="Calculation 2 2 5 3 3 2 2 2" xfId="15717"/>
    <cellStyle name="Calculation 2 2 5 3 3 2 2 2 2" xfId="29133"/>
    <cellStyle name="Calculation 2 2 5 3 3 2 2 3" xfId="20462"/>
    <cellStyle name="Calculation 2 2 5 3 3 2 3" xfId="6821"/>
    <cellStyle name="Calculation 2 2 5 3 3 2 3 2" xfId="23756"/>
    <cellStyle name="Calculation 2 2 5 3 3 2 4" xfId="4734"/>
    <cellStyle name="Calculation 2 2 5 3 3 3" xfId="12386"/>
    <cellStyle name="Calculation 2 2 5 3 3 3 2" xfId="26708"/>
    <cellStyle name="Calculation 2 2 5 3 3 4" xfId="18031"/>
    <cellStyle name="Calculation 2 2 5 3 4" xfId="5237"/>
    <cellStyle name="Calculation 2 2 5 3 4 2" xfId="11787"/>
    <cellStyle name="Calculation 2 2 5 3 4 2 2" xfId="26109"/>
    <cellStyle name="Calculation 2 2 5 3 4 3" xfId="17432"/>
    <cellStyle name="Calculation 2 2 5 3 5" xfId="3695"/>
    <cellStyle name="Calculation 2 2 5 3 5 2" xfId="22534"/>
    <cellStyle name="Calculation 2 2 5 3 6" xfId="15151"/>
    <cellStyle name="Calculation 2 2 5 4" xfId="186"/>
    <cellStyle name="Calculation 2 2 5 4 2" xfId="6014"/>
    <cellStyle name="Calculation 2 2 5 4 2 2" xfId="12574"/>
    <cellStyle name="Calculation 2 2 5 4 2 2 2" xfId="26896"/>
    <cellStyle name="Calculation 2 2 5 4 2 3" xfId="18219"/>
    <cellStyle name="Calculation 2 2 5 4 3" xfId="7121"/>
    <cellStyle name="Calculation 2 2 5 4 3 2" xfId="9735"/>
    <cellStyle name="Calculation 2 2 5 4 3 2 2" xfId="15997"/>
    <cellStyle name="Calculation 2 2 5 4 3 2 2 2" xfId="29413"/>
    <cellStyle name="Calculation 2 2 5 4 3 2 3" xfId="20742"/>
    <cellStyle name="Calculation 2 2 5 4 3 3" xfId="13725"/>
    <cellStyle name="Calculation 2 2 5 4 3 3 2" xfId="28047"/>
    <cellStyle name="Calculation 2 2 5 4 3 4" xfId="19370"/>
    <cellStyle name="Calculation 2 2 5 4 4" xfId="5813"/>
    <cellStyle name="Calculation 2 2 5 4 4 2" xfId="23363"/>
    <cellStyle name="Calculation 2 2 5 4 5" xfId="15417"/>
    <cellStyle name="Calculation 2 2 5 5" xfId="187"/>
    <cellStyle name="Calculation 2 2 5 5 2" xfId="7733"/>
    <cellStyle name="Calculation 2 2 5 5 2 2" xfId="10347"/>
    <cellStyle name="Calculation 2 2 5 5 2 2 2" xfId="16609"/>
    <cellStyle name="Calculation 2 2 5 5 2 2 2 2" xfId="30025"/>
    <cellStyle name="Calculation 2 2 5 5 2 2 3" xfId="21354"/>
    <cellStyle name="Calculation 2 2 5 5 2 3" xfId="14337"/>
    <cellStyle name="Calculation 2 2 5 5 2 3 2" xfId="28659"/>
    <cellStyle name="Calculation 2 2 5 5 2 4" xfId="19982"/>
    <cellStyle name="Calculation 2 2 5 5 3" xfId="12857"/>
    <cellStyle name="Calculation 2 2 5 5 3 2" xfId="27179"/>
    <cellStyle name="Calculation 2 2 5 5 4" xfId="18502"/>
    <cellStyle name="Calculation 2 2 5 6" xfId="5465"/>
    <cellStyle name="Calculation 2 2 5 6 2" xfId="12016"/>
    <cellStyle name="Calculation 2 2 5 6 2 2" xfId="26338"/>
    <cellStyle name="Calculation 2 2 5 6 3" xfId="17661"/>
    <cellStyle name="Calculation 2 2 5 7" xfId="3638"/>
    <cellStyle name="Calculation 2 2 5 7 2" xfId="22498"/>
    <cellStyle name="Calculation 2 2 5 8" xfId="15172"/>
    <cellStyle name="Calculation 2 2 6" xfId="188"/>
    <cellStyle name="Calculation 2 2 6 2" xfId="189"/>
    <cellStyle name="Calculation 2 2 6 2 2" xfId="190"/>
    <cellStyle name="Calculation 2 2 6 2 2 2" xfId="5054"/>
    <cellStyle name="Calculation 2 2 6 2 2 2 2" xfId="11601"/>
    <cellStyle name="Calculation 2 2 6 2 2 2 2 2" xfId="25923"/>
    <cellStyle name="Calculation 2 2 6 2 2 2 3" xfId="14984"/>
    <cellStyle name="Calculation 2 2 6 2 2 3" xfId="4933"/>
    <cellStyle name="Calculation 2 2 6 2 2 3 2" xfId="9519"/>
    <cellStyle name="Calculation 2 2 6 2 2 3 2 2" xfId="15781"/>
    <cellStyle name="Calculation 2 2 6 2 2 3 2 2 2" xfId="29197"/>
    <cellStyle name="Calculation 2 2 6 2 2 3 2 3" xfId="20526"/>
    <cellStyle name="Calculation 2 2 6 2 2 3 3" xfId="11471"/>
    <cellStyle name="Calculation 2 2 6 2 2 3 3 2" xfId="25793"/>
    <cellStyle name="Calculation 2 2 6 2 2 3 4" xfId="3142"/>
    <cellStyle name="Calculation 2 2 6 2 2 4" xfId="4071"/>
    <cellStyle name="Calculation 2 2 6 2 2 4 2" xfId="22743"/>
    <cellStyle name="Calculation 2 2 6 2 2 5" xfId="4608"/>
    <cellStyle name="Calculation 2 2 6 2 3" xfId="191"/>
    <cellStyle name="Calculation 2 2 6 2 3 2" xfId="7277"/>
    <cellStyle name="Calculation 2 2 6 2 3 2 2" xfId="9891"/>
    <cellStyle name="Calculation 2 2 6 2 3 2 2 2" xfId="16153"/>
    <cellStyle name="Calculation 2 2 6 2 3 2 2 2 2" xfId="29569"/>
    <cellStyle name="Calculation 2 2 6 2 3 2 2 3" xfId="20898"/>
    <cellStyle name="Calculation 2 2 6 2 3 2 3" xfId="13881"/>
    <cellStyle name="Calculation 2 2 6 2 3 2 3 2" xfId="28203"/>
    <cellStyle name="Calculation 2 2 6 2 3 2 4" xfId="19526"/>
    <cellStyle name="Calculation 2 2 6 2 3 3" xfId="13325"/>
    <cellStyle name="Calculation 2 2 6 2 3 3 2" xfId="27647"/>
    <cellStyle name="Calculation 2 2 6 2 3 4" xfId="18970"/>
    <cellStyle name="Calculation 2 2 6 2 4" xfId="5775"/>
    <cellStyle name="Calculation 2 2 6 2 4 2" xfId="12328"/>
    <cellStyle name="Calculation 2 2 6 2 4 2 2" xfId="26650"/>
    <cellStyle name="Calculation 2 2 6 2 4 3" xfId="17973"/>
    <cellStyle name="Calculation 2 2 6 2 5" xfId="3280"/>
    <cellStyle name="Calculation 2 2 6 2 5 2" xfId="22459"/>
    <cellStyle name="Calculation 2 2 6 2 6" xfId="6596"/>
    <cellStyle name="Calculation 2 2 6 3" xfId="192"/>
    <cellStyle name="Calculation 2 2 6 3 2" xfId="193"/>
    <cellStyle name="Calculation 2 2 6 3 2 2" xfId="6950"/>
    <cellStyle name="Calculation 2 2 6 3 2 2 2" xfId="13554"/>
    <cellStyle name="Calculation 2 2 6 3 2 2 2 2" xfId="27876"/>
    <cellStyle name="Calculation 2 2 6 3 2 2 3" xfId="19199"/>
    <cellStyle name="Calculation 2 2 6 3 2 3" xfId="7065"/>
    <cellStyle name="Calculation 2 2 6 3 2 3 2" xfId="9679"/>
    <cellStyle name="Calculation 2 2 6 3 2 3 2 2" xfId="15941"/>
    <cellStyle name="Calculation 2 2 6 3 2 3 2 2 2" xfId="29357"/>
    <cellStyle name="Calculation 2 2 6 3 2 3 2 3" xfId="20686"/>
    <cellStyle name="Calculation 2 2 6 3 2 3 3" xfId="13669"/>
    <cellStyle name="Calculation 2 2 6 3 2 3 3 2" xfId="27991"/>
    <cellStyle name="Calculation 2 2 6 3 2 3 4" xfId="19314"/>
    <cellStyle name="Calculation 2 2 6 3 2 4" xfId="11446"/>
    <cellStyle name="Calculation 2 2 6 3 2 4 2" xfId="25768"/>
    <cellStyle name="Calculation 2 2 6 3 2 5" xfId="6630"/>
    <cellStyle name="Calculation 2 2 6 3 3" xfId="194"/>
    <cellStyle name="Calculation 2 2 6 3 3 2" xfId="7181"/>
    <cellStyle name="Calculation 2 2 6 3 3 2 2" xfId="9795"/>
    <cellStyle name="Calculation 2 2 6 3 3 2 2 2" xfId="16057"/>
    <cellStyle name="Calculation 2 2 6 3 3 2 2 2 2" xfId="29473"/>
    <cellStyle name="Calculation 2 2 6 3 3 2 2 3" xfId="20802"/>
    <cellStyle name="Calculation 2 2 6 3 3 2 3" xfId="13785"/>
    <cellStyle name="Calculation 2 2 6 3 3 2 3 2" xfId="28107"/>
    <cellStyle name="Calculation 2 2 6 3 3 2 4" xfId="19430"/>
    <cellStyle name="Calculation 2 2 6 3 3 3" xfId="13420"/>
    <cellStyle name="Calculation 2 2 6 3 3 3 2" xfId="27742"/>
    <cellStyle name="Calculation 2 2 6 3 3 4" xfId="19065"/>
    <cellStyle name="Calculation 2 2 6 3 4" xfId="5893"/>
    <cellStyle name="Calculation 2 2 6 3 4 2" xfId="12446"/>
    <cellStyle name="Calculation 2 2 6 3 4 2 2" xfId="26768"/>
    <cellStyle name="Calculation 2 2 6 3 4 3" xfId="18091"/>
    <cellStyle name="Calculation 2 2 6 3 5" xfId="3634"/>
    <cellStyle name="Calculation 2 2 6 3 5 2" xfId="22497"/>
    <cellStyle name="Calculation 2 2 6 3 6" xfId="15367"/>
    <cellStyle name="Calculation 2 2 6 4" xfId="195"/>
    <cellStyle name="Calculation 2 2 6 4 2" xfId="5228"/>
    <cellStyle name="Calculation 2 2 6 4 2 2" xfId="11778"/>
    <cellStyle name="Calculation 2 2 6 4 2 2 2" xfId="26100"/>
    <cellStyle name="Calculation 2 2 6 4 2 3" xfId="17423"/>
    <cellStyle name="Calculation 2 2 6 4 3" xfId="7662"/>
    <cellStyle name="Calculation 2 2 6 4 3 2" xfId="10276"/>
    <cellStyle name="Calculation 2 2 6 4 3 2 2" xfId="16538"/>
    <cellStyle name="Calculation 2 2 6 4 3 2 2 2" xfId="29954"/>
    <cellStyle name="Calculation 2 2 6 4 3 2 3" xfId="21283"/>
    <cellStyle name="Calculation 2 2 6 4 3 3" xfId="14266"/>
    <cellStyle name="Calculation 2 2 6 4 3 3 2" xfId="28588"/>
    <cellStyle name="Calculation 2 2 6 4 3 4" xfId="19911"/>
    <cellStyle name="Calculation 2 2 6 4 4" xfId="6170"/>
    <cellStyle name="Calculation 2 2 6 4 4 2" xfId="23439"/>
    <cellStyle name="Calculation 2 2 6 4 5" xfId="15474"/>
    <cellStyle name="Calculation 2 2 6 5" xfId="196"/>
    <cellStyle name="Calculation 2 2 6 5 2" xfId="4870"/>
    <cellStyle name="Calculation 2 2 6 5 2 2" xfId="9507"/>
    <cellStyle name="Calculation 2 2 6 5 2 2 2" xfId="15769"/>
    <cellStyle name="Calculation 2 2 6 5 2 2 2 2" xfId="29185"/>
    <cellStyle name="Calculation 2 2 6 5 2 2 3" xfId="20514"/>
    <cellStyle name="Calculation 2 2 6 5 2 3" xfId="11404"/>
    <cellStyle name="Calculation 2 2 6 5 2 3 2" xfId="25726"/>
    <cellStyle name="Calculation 2 2 6 5 2 4" xfId="4306"/>
    <cellStyle name="Calculation 2 2 6 5 3" xfId="12901"/>
    <cellStyle name="Calculation 2 2 6 5 3 2" xfId="27223"/>
    <cellStyle name="Calculation 2 2 6 5 4" xfId="18546"/>
    <cellStyle name="Calculation 2 2 6 6" xfId="5524"/>
    <cellStyle name="Calculation 2 2 6 6 2" xfId="12075"/>
    <cellStyle name="Calculation 2 2 6 6 2 2" xfId="26397"/>
    <cellStyle name="Calculation 2 2 6 6 3" xfId="17720"/>
    <cellStyle name="Calculation 2 2 6 7" xfId="4798"/>
    <cellStyle name="Calculation 2 2 6 7 2" xfId="23193"/>
    <cellStyle name="Calculation 2 2 6 8" xfId="15136"/>
    <cellStyle name="Calculation 2 2 7" xfId="197"/>
    <cellStyle name="Calculation 2 2 7 2" xfId="198"/>
    <cellStyle name="Calculation 2 2 7 2 2" xfId="199"/>
    <cellStyle name="Calculation 2 2 7 2 2 2" xfId="5952"/>
    <cellStyle name="Calculation 2 2 7 2 2 2 2" xfId="12510"/>
    <cellStyle name="Calculation 2 2 7 2 2 2 2 2" xfId="26832"/>
    <cellStyle name="Calculation 2 2 7 2 2 2 3" xfId="18155"/>
    <cellStyle name="Calculation 2 2 7 2 2 3" xfId="7918"/>
    <cellStyle name="Calculation 2 2 7 2 2 3 2" xfId="10532"/>
    <cellStyle name="Calculation 2 2 7 2 2 3 2 2" xfId="16794"/>
    <cellStyle name="Calculation 2 2 7 2 2 3 2 2 2" xfId="30210"/>
    <cellStyle name="Calculation 2 2 7 2 2 3 2 3" xfId="21539"/>
    <cellStyle name="Calculation 2 2 7 2 2 3 3" xfId="14522"/>
    <cellStyle name="Calculation 2 2 7 2 2 3 3 2" xfId="28844"/>
    <cellStyle name="Calculation 2 2 7 2 2 3 4" xfId="20167"/>
    <cellStyle name="Calculation 2 2 7 2 2 4" xfId="6153"/>
    <cellStyle name="Calculation 2 2 7 2 2 4 2" xfId="23433"/>
    <cellStyle name="Calculation 2 2 7 2 2 5" xfId="17162"/>
    <cellStyle name="Calculation 2 2 7 2 3" xfId="200"/>
    <cellStyle name="Calculation 2 2 7 2 3 2" xfId="7282"/>
    <cellStyle name="Calculation 2 2 7 2 3 2 2" xfId="9896"/>
    <cellStyle name="Calculation 2 2 7 2 3 2 2 2" xfId="16158"/>
    <cellStyle name="Calculation 2 2 7 2 3 2 2 2 2" xfId="29574"/>
    <cellStyle name="Calculation 2 2 7 2 3 2 2 3" xfId="20903"/>
    <cellStyle name="Calculation 2 2 7 2 3 2 3" xfId="13886"/>
    <cellStyle name="Calculation 2 2 7 2 3 2 3 2" xfId="28208"/>
    <cellStyle name="Calculation 2 2 7 2 3 2 4" xfId="19531"/>
    <cellStyle name="Calculation 2 2 7 2 3 3" xfId="12465"/>
    <cellStyle name="Calculation 2 2 7 2 3 3 2" xfId="26787"/>
    <cellStyle name="Calculation 2 2 7 2 3 4" xfId="18110"/>
    <cellStyle name="Calculation 2 2 7 2 4" xfId="5184"/>
    <cellStyle name="Calculation 2 2 7 2 4 2" xfId="11733"/>
    <cellStyle name="Calculation 2 2 7 2 4 2 2" xfId="26055"/>
    <cellStyle name="Calculation 2 2 7 2 4 3" xfId="6690"/>
    <cellStyle name="Calculation 2 2 7 2 5" xfId="6246"/>
    <cellStyle name="Calculation 2 2 7 2 5 2" xfId="23470"/>
    <cellStyle name="Calculation 2 2 7 2 6" xfId="15366"/>
    <cellStyle name="Calculation 2 2 7 3" xfId="201"/>
    <cellStyle name="Calculation 2 2 7 3 2" xfId="6947"/>
    <cellStyle name="Calculation 2 2 7 3 2 2" xfId="13551"/>
    <cellStyle name="Calculation 2 2 7 3 2 2 2" xfId="27873"/>
    <cellStyle name="Calculation 2 2 7 3 2 3" xfId="19196"/>
    <cellStyle name="Calculation 2 2 7 3 3" xfId="7195"/>
    <cellStyle name="Calculation 2 2 7 3 3 2" xfId="9809"/>
    <cellStyle name="Calculation 2 2 7 3 3 2 2" xfId="16071"/>
    <cellStyle name="Calculation 2 2 7 3 3 2 2 2" xfId="29487"/>
    <cellStyle name="Calculation 2 2 7 3 3 2 3" xfId="20816"/>
    <cellStyle name="Calculation 2 2 7 3 3 3" xfId="13799"/>
    <cellStyle name="Calculation 2 2 7 3 3 3 2" xfId="28121"/>
    <cellStyle name="Calculation 2 2 7 3 3 4" xfId="19444"/>
    <cellStyle name="Calculation 2 2 7 3 4" xfId="11441"/>
    <cellStyle name="Calculation 2 2 7 3 4 2" xfId="25763"/>
    <cellStyle name="Calculation 2 2 7 3 5" xfId="17142"/>
    <cellStyle name="Calculation 2 2 7 4" xfId="202"/>
    <cellStyle name="Calculation 2 2 7 4 2" xfId="5308"/>
    <cellStyle name="Calculation 2 2 7 4 2 2" xfId="9617"/>
    <cellStyle name="Calculation 2 2 7 4 2 2 2" xfId="15879"/>
    <cellStyle name="Calculation 2 2 7 4 2 2 2 2" xfId="29295"/>
    <cellStyle name="Calculation 2 2 7 4 2 2 3" xfId="20624"/>
    <cellStyle name="Calculation 2 2 7 4 2 3" xfId="11858"/>
    <cellStyle name="Calculation 2 2 7 4 2 3 2" xfId="26180"/>
    <cellStyle name="Calculation 2 2 7 4 2 4" xfId="17503"/>
    <cellStyle name="Calculation 2 2 7 4 3" xfId="12663"/>
    <cellStyle name="Calculation 2 2 7 4 3 2" xfId="26985"/>
    <cellStyle name="Calculation 2 2 7 4 4" xfId="18308"/>
    <cellStyle name="Calculation 2 2 7 5" xfId="5140"/>
    <cellStyle name="Calculation 2 2 7 5 2" xfId="11689"/>
    <cellStyle name="Calculation 2 2 7 5 2 2" xfId="26011"/>
    <cellStyle name="Calculation 2 2 7 5 3" xfId="6577"/>
    <cellStyle name="Calculation 2 2 7 6" xfId="3719"/>
    <cellStyle name="Calculation 2 2 7 6 2" xfId="22543"/>
    <cellStyle name="Calculation 2 2 7 7" xfId="15470"/>
    <cellStyle name="Calculation 2 2 8" xfId="203"/>
    <cellStyle name="Calculation 2 2 8 2" xfId="204"/>
    <cellStyle name="Calculation 2 2 8 2 2" xfId="6891"/>
    <cellStyle name="Calculation 2 2 8 2 2 2" xfId="13495"/>
    <cellStyle name="Calculation 2 2 8 2 2 2 2" xfId="27817"/>
    <cellStyle name="Calculation 2 2 8 2 2 3" xfId="19140"/>
    <cellStyle name="Calculation 2 2 8 2 3" xfId="4381"/>
    <cellStyle name="Calculation 2 2 8 2 3 2" xfId="9457"/>
    <cellStyle name="Calculation 2 2 8 2 3 2 2" xfId="15719"/>
    <cellStyle name="Calculation 2 2 8 2 3 2 2 2" xfId="29135"/>
    <cellStyle name="Calculation 2 2 8 2 3 2 3" xfId="20464"/>
    <cellStyle name="Calculation 2 2 8 2 3 3" xfId="3261"/>
    <cellStyle name="Calculation 2 2 8 2 3 3 2" xfId="22448"/>
    <cellStyle name="Calculation 2 2 8 2 3 4" xfId="15551"/>
    <cellStyle name="Calculation 2 2 8 2 4" xfId="11367"/>
    <cellStyle name="Calculation 2 2 8 2 4 2" xfId="25689"/>
    <cellStyle name="Calculation 2 2 8 2 5" xfId="4196"/>
    <cellStyle name="Calculation 2 2 8 3" xfId="205"/>
    <cellStyle name="Calculation 2 2 8 3 2" xfId="7165"/>
    <cellStyle name="Calculation 2 2 8 3 2 2" xfId="9779"/>
    <cellStyle name="Calculation 2 2 8 3 2 2 2" xfId="16041"/>
    <cellStyle name="Calculation 2 2 8 3 2 2 2 2" xfId="29457"/>
    <cellStyle name="Calculation 2 2 8 3 2 2 3" xfId="20786"/>
    <cellStyle name="Calculation 2 2 8 3 2 3" xfId="13769"/>
    <cellStyle name="Calculation 2 2 8 3 2 3 2" xfId="28091"/>
    <cellStyle name="Calculation 2 2 8 3 2 4" xfId="19414"/>
    <cellStyle name="Calculation 2 2 8 3 3" xfId="12541"/>
    <cellStyle name="Calculation 2 2 8 3 3 2" xfId="26863"/>
    <cellStyle name="Calculation 2 2 8 3 4" xfId="18186"/>
    <cellStyle name="Calculation 2 2 8 4" xfId="5233"/>
    <cellStyle name="Calculation 2 2 8 4 2" xfId="11783"/>
    <cellStyle name="Calculation 2 2 8 4 2 2" xfId="26105"/>
    <cellStyle name="Calculation 2 2 8 4 3" xfId="17428"/>
    <cellStyle name="Calculation 2 2 8 5" xfId="5695"/>
    <cellStyle name="Calculation 2 2 8 5 2" xfId="23361"/>
    <cellStyle name="Calculation 2 2 8 6" xfId="15158"/>
    <cellStyle name="Calculation 2 2 9" xfId="206"/>
    <cellStyle name="Calculation 2 2 9 2" xfId="6103"/>
    <cellStyle name="Calculation 2 2 9 2 2" xfId="12670"/>
    <cellStyle name="Calculation 2 2 9 2 2 2" xfId="26992"/>
    <cellStyle name="Calculation 2 2 9 2 3" xfId="18315"/>
    <cellStyle name="Calculation 2 2 9 3" xfId="7996"/>
    <cellStyle name="Calculation 2 2 9 3 2" xfId="10610"/>
    <cellStyle name="Calculation 2 2 9 3 2 2" xfId="16872"/>
    <cellStyle name="Calculation 2 2 9 3 2 2 2" xfId="30288"/>
    <cellStyle name="Calculation 2 2 9 3 2 3" xfId="21617"/>
    <cellStyle name="Calculation 2 2 9 3 3" xfId="14600"/>
    <cellStyle name="Calculation 2 2 9 3 3 2" xfId="28922"/>
    <cellStyle name="Calculation 2 2 9 3 4" xfId="20245"/>
    <cellStyle name="Calculation 2 2 9 4" xfId="4081"/>
    <cellStyle name="Calculation 2 2 9 4 2" xfId="22749"/>
    <cellStyle name="Calculation 2 2 9 5" xfId="17389"/>
    <cellStyle name="Calculation 2 3" xfId="207"/>
    <cellStyle name="Calculation 2 3 2" xfId="5990"/>
    <cellStyle name="Calculation 2 3 2 2" xfId="12548"/>
    <cellStyle name="Calculation 2 3 2 2 2" xfId="26870"/>
    <cellStyle name="Calculation 2 3 2 3" xfId="18193"/>
    <cellStyle name="Calculation 2 3 3" xfId="7571"/>
    <cellStyle name="Calculation 2 3 3 2" xfId="10185"/>
    <cellStyle name="Calculation 2 3 3 2 2" xfId="16447"/>
    <cellStyle name="Calculation 2 3 3 2 2 2" xfId="29863"/>
    <cellStyle name="Calculation 2 3 3 2 3" xfId="21192"/>
    <cellStyle name="Calculation 2 3 3 3" xfId="14175"/>
    <cellStyle name="Calculation 2 3 3 3 2" xfId="28497"/>
    <cellStyle name="Calculation 2 3 3 4" xfId="19820"/>
    <cellStyle name="Calculation 2 3 4" xfId="6627"/>
    <cellStyle name="Calculation 2 3 4 2" xfId="23615"/>
    <cellStyle name="Calculation 2 3 5" xfId="14939"/>
    <cellStyle name="Calculation 2 4" xfId="3275"/>
    <cellStyle name="Calculation 2 4 2" xfId="4276"/>
    <cellStyle name="Calculation 2 4 2 2" xfId="22865"/>
    <cellStyle name="Calculation 2 4 3" xfId="4586"/>
    <cellStyle name="Calculation 2 5" xfId="4249"/>
    <cellStyle name="Calculation 2 5 2" xfId="22851"/>
    <cellStyle name="Calculation 2 6" xfId="15480"/>
    <cellStyle name="Calculation 2 7" xfId="21695"/>
    <cellStyle name="Calculation 2 8" xfId="21701"/>
    <cellStyle name="Cálculo" xfId="208"/>
    <cellStyle name="Cálculo 2" xfId="209"/>
    <cellStyle name="Cálculo 2 10" xfId="210"/>
    <cellStyle name="Cálculo 2 10 2" xfId="7735"/>
    <cellStyle name="Cálculo 2 10 2 2" xfId="10349"/>
    <cellStyle name="Cálculo 2 10 2 2 2" xfId="16611"/>
    <cellStyle name="Cálculo 2 10 2 2 2 2" xfId="30027"/>
    <cellStyle name="Cálculo 2 10 2 2 3" xfId="21356"/>
    <cellStyle name="Cálculo 2 10 2 3" xfId="14339"/>
    <cellStyle name="Cálculo 2 10 2 3 2" xfId="28661"/>
    <cellStyle name="Cálculo 2 10 2 4" xfId="19984"/>
    <cellStyle name="Cálculo 2 10 3" xfId="11646"/>
    <cellStyle name="Cálculo 2 10 3 2" xfId="25968"/>
    <cellStyle name="Cálculo 2 10 4" xfId="15330"/>
    <cellStyle name="Cálculo 2 11" xfId="4991"/>
    <cellStyle name="Cálculo 2 11 2" xfId="11534"/>
    <cellStyle name="Cálculo 2 11 2 2" xfId="25856"/>
    <cellStyle name="Cálculo 2 11 3" xfId="5901"/>
    <cellStyle name="Cálculo 2 12" xfId="4482"/>
    <cellStyle name="Cálculo 2 12 2" xfId="22980"/>
    <cellStyle name="Cálculo 2 13" xfId="17204"/>
    <cellStyle name="Cálculo 2 2" xfId="211"/>
    <cellStyle name="Cálculo 2 2 10" xfId="5456"/>
    <cellStyle name="Cálculo 2 2 10 2" xfId="12007"/>
    <cellStyle name="Cálculo 2 2 10 2 2" xfId="26329"/>
    <cellStyle name="Cálculo 2 2 10 3" xfId="17652"/>
    <cellStyle name="Cálculo 2 2 11" xfId="5001"/>
    <cellStyle name="Cálculo 2 2 11 2" xfId="23302"/>
    <cellStyle name="Cálculo 2 2 12" xfId="14834"/>
    <cellStyle name="Cálculo 2 2 2" xfId="212"/>
    <cellStyle name="Cálculo 2 2 2 10" xfId="4184"/>
    <cellStyle name="Cálculo 2 2 2 10 2" xfId="22806"/>
    <cellStyle name="Cálculo 2 2 2 11" xfId="17082"/>
    <cellStyle name="Cálculo 2 2 2 2" xfId="213"/>
    <cellStyle name="Cálculo 2 2 2 2 2" xfId="214"/>
    <cellStyle name="Cálculo 2 2 2 2 2 2" xfId="215"/>
    <cellStyle name="Cálculo 2 2 2 2 2 2 2" xfId="6959"/>
    <cellStyle name="Cálculo 2 2 2 2 2 2 2 2" xfId="13563"/>
    <cellStyle name="Cálculo 2 2 2 2 2 2 2 2 2" xfId="27885"/>
    <cellStyle name="Cálculo 2 2 2 2 2 2 2 3" xfId="19208"/>
    <cellStyle name="Cálculo 2 2 2 2 2 2 3" xfId="4028"/>
    <cellStyle name="Cálculo 2 2 2 2 2 2 3 2" xfId="9414"/>
    <cellStyle name="Cálculo 2 2 2 2 2 2 3 2 2" xfId="15676"/>
    <cellStyle name="Cálculo 2 2 2 2 2 2 3 2 2 2" xfId="29092"/>
    <cellStyle name="Cálculo 2 2 2 2 2 2 3 2 3" xfId="20421"/>
    <cellStyle name="Cálculo 2 2 2 2 2 2 3 3" xfId="6250"/>
    <cellStyle name="Cálculo 2 2 2 2 2 2 3 3 2" xfId="23474"/>
    <cellStyle name="Cálculo 2 2 2 2 2 2 3 4" xfId="17385"/>
    <cellStyle name="Cálculo 2 2 2 2 2 2 4" xfId="11460"/>
    <cellStyle name="Cálculo 2 2 2 2 2 2 4 2" xfId="25782"/>
    <cellStyle name="Cálculo 2 2 2 2 2 2 5" xfId="17264"/>
    <cellStyle name="Cálculo 2 2 2 2 2 3" xfId="216"/>
    <cellStyle name="Cálculo 2 2 2 2 2 3 2" xfId="8047"/>
    <cellStyle name="Cálculo 2 2 2 2 2 3 2 2" xfId="10661"/>
    <cellStyle name="Cálculo 2 2 2 2 2 3 2 2 2" xfId="16923"/>
    <cellStyle name="Cálculo 2 2 2 2 2 3 2 2 2 2" xfId="30339"/>
    <cellStyle name="Cálculo 2 2 2 2 2 3 2 2 3" xfId="21668"/>
    <cellStyle name="Cálculo 2 2 2 2 2 3 2 3" xfId="14651"/>
    <cellStyle name="Cálculo 2 2 2 2 2 3 2 3 2" xfId="28973"/>
    <cellStyle name="Cálculo 2 2 2 2 2 3 2 4" xfId="20296"/>
    <cellStyle name="Cálculo 2 2 2 2 2 3 3" xfId="13324"/>
    <cellStyle name="Cálculo 2 2 2 2 2 3 3 2" xfId="27646"/>
    <cellStyle name="Cálculo 2 2 2 2 2 3 4" xfId="18969"/>
    <cellStyle name="Cálculo 2 2 2 2 2 4" xfId="5774"/>
    <cellStyle name="Cálculo 2 2 2 2 2 4 2" xfId="12327"/>
    <cellStyle name="Cálculo 2 2 2 2 2 4 2 2" xfId="26649"/>
    <cellStyle name="Cálculo 2 2 2 2 2 4 3" xfId="17972"/>
    <cellStyle name="Cálculo 2 2 2 2 2 5" xfId="6341"/>
    <cellStyle name="Cálculo 2 2 2 2 2 5 2" xfId="23527"/>
    <cellStyle name="Cálculo 2 2 2 2 2 6" xfId="6526"/>
    <cellStyle name="Cálculo 2 2 2 2 3" xfId="217"/>
    <cellStyle name="Cálculo 2 2 2 2 3 2" xfId="218"/>
    <cellStyle name="Cálculo 2 2 2 2 3 2 2" xfId="6204"/>
    <cellStyle name="Cálculo 2 2 2 2 3 2 2 2" xfId="12777"/>
    <cellStyle name="Cálculo 2 2 2 2 3 2 2 2 2" xfId="27099"/>
    <cellStyle name="Cálculo 2 2 2 2 3 2 2 3" xfId="18422"/>
    <cellStyle name="Cálculo 2 2 2 2 3 2 3" xfId="7124"/>
    <cellStyle name="Cálculo 2 2 2 2 3 2 3 2" xfId="9738"/>
    <cellStyle name="Cálculo 2 2 2 2 3 2 3 2 2" xfId="16000"/>
    <cellStyle name="Cálculo 2 2 2 2 3 2 3 2 2 2" xfId="29416"/>
    <cellStyle name="Cálculo 2 2 2 2 3 2 3 2 3" xfId="20745"/>
    <cellStyle name="Cálculo 2 2 2 2 3 2 3 3" xfId="13728"/>
    <cellStyle name="Cálculo 2 2 2 2 3 2 3 3 2" xfId="28050"/>
    <cellStyle name="Cálculo 2 2 2 2 3 2 3 4" xfId="19373"/>
    <cellStyle name="Cálculo 2 2 2 2 3 2 4" xfId="4950"/>
    <cellStyle name="Cálculo 2 2 2 2 3 2 4 2" xfId="23275"/>
    <cellStyle name="Cálculo 2 2 2 2 3 2 5" xfId="14941"/>
    <cellStyle name="Cálculo 2 2 2 2 3 3" xfId="219"/>
    <cellStyle name="Cálculo 2 2 2 2 3 3 2" xfId="7559"/>
    <cellStyle name="Cálculo 2 2 2 2 3 3 2 2" xfId="10173"/>
    <cellStyle name="Cálculo 2 2 2 2 3 3 2 2 2" xfId="16435"/>
    <cellStyle name="Cálculo 2 2 2 2 3 3 2 2 2 2" xfId="29851"/>
    <cellStyle name="Cálculo 2 2 2 2 3 3 2 2 3" xfId="21180"/>
    <cellStyle name="Cálculo 2 2 2 2 3 3 2 3" xfId="14163"/>
    <cellStyle name="Cálculo 2 2 2 2 3 3 2 3 2" xfId="28485"/>
    <cellStyle name="Cálculo 2 2 2 2 3 3 2 4" xfId="19808"/>
    <cellStyle name="Cálculo 2 2 2 2 3 3 3" xfId="13365"/>
    <cellStyle name="Cálculo 2 2 2 2 3 3 3 2" xfId="27687"/>
    <cellStyle name="Cálculo 2 2 2 2 3 3 4" xfId="19010"/>
    <cellStyle name="Cálculo 2 2 2 2 3 4" xfId="5816"/>
    <cellStyle name="Cálculo 2 2 2 2 3 4 2" xfId="12369"/>
    <cellStyle name="Cálculo 2 2 2 2 3 4 2 2" xfId="26691"/>
    <cellStyle name="Cálculo 2 2 2 2 3 4 3" xfId="18014"/>
    <cellStyle name="Cálculo 2 2 2 2 3 5" xfId="6473"/>
    <cellStyle name="Cálculo 2 2 2 2 3 5 2" xfId="23557"/>
    <cellStyle name="Cálculo 2 2 2 2 3 6" xfId="15085"/>
    <cellStyle name="Cálculo 2 2 2 2 4" xfId="220"/>
    <cellStyle name="Cálculo 2 2 2 2 4 2" xfId="6282"/>
    <cellStyle name="Cálculo 2 2 2 2 4 2 2" xfId="12864"/>
    <cellStyle name="Cálculo 2 2 2 2 4 2 2 2" xfId="27186"/>
    <cellStyle name="Cálculo 2 2 2 2 4 2 3" xfId="18509"/>
    <cellStyle name="Cálculo 2 2 2 2 4 3" xfId="7937"/>
    <cellStyle name="Cálculo 2 2 2 2 4 3 2" xfId="10551"/>
    <cellStyle name="Cálculo 2 2 2 2 4 3 2 2" xfId="16813"/>
    <cellStyle name="Cálculo 2 2 2 2 4 3 2 2 2" xfId="30229"/>
    <cellStyle name="Cálculo 2 2 2 2 4 3 2 3" xfId="21558"/>
    <cellStyle name="Cálculo 2 2 2 2 4 3 3" xfId="14541"/>
    <cellStyle name="Cálculo 2 2 2 2 4 3 3 2" xfId="28863"/>
    <cellStyle name="Cálculo 2 2 2 2 4 3 4" xfId="20186"/>
    <cellStyle name="Cálculo 2 2 2 2 4 4" xfId="4453"/>
    <cellStyle name="Cálculo 2 2 2 2 4 4 2" xfId="22962"/>
    <cellStyle name="Cálculo 2 2 2 2 4 5" xfId="15383"/>
    <cellStyle name="Cálculo 2 2 2 2 5" xfId="221"/>
    <cellStyle name="Cálculo 2 2 2 2 5 2" xfId="3993"/>
    <cellStyle name="Cálculo 2 2 2 2 5 2 2" xfId="9406"/>
    <cellStyle name="Cálculo 2 2 2 2 5 2 2 2" xfId="15668"/>
    <cellStyle name="Cálculo 2 2 2 2 5 2 2 2 2" xfId="29084"/>
    <cellStyle name="Cálculo 2 2 2 2 5 2 2 3" xfId="20413"/>
    <cellStyle name="Cálculo 2 2 2 2 5 2 3" xfId="3720"/>
    <cellStyle name="Cálculo 2 2 2 2 5 2 3 2" xfId="22544"/>
    <cellStyle name="Cálculo 2 2 2 2 5 2 4" xfId="6542"/>
    <cellStyle name="Cálculo 2 2 2 2 5 3" xfId="12900"/>
    <cellStyle name="Cálculo 2 2 2 2 5 3 2" xfId="27222"/>
    <cellStyle name="Cálculo 2 2 2 2 5 4" xfId="18545"/>
    <cellStyle name="Cálculo 2 2 2 2 6" xfId="5518"/>
    <cellStyle name="Cálculo 2 2 2 2 6 2" xfId="12069"/>
    <cellStyle name="Cálculo 2 2 2 2 6 2 2" xfId="26391"/>
    <cellStyle name="Cálculo 2 2 2 2 6 3" xfId="17714"/>
    <cellStyle name="Cálculo 2 2 2 2 7" xfId="6752"/>
    <cellStyle name="Cálculo 2 2 2 2 7 2" xfId="23700"/>
    <cellStyle name="Cálculo 2 2 2 2 8" xfId="4585"/>
    <cellStyle name="Cálculo 2 2 2 3" xfId="222"/>
    <cellStyle name="Cálculo 2 2 2 3 2" xfId="223"/>
    <cellStyle name="Cálculo 2 2 2 3 2 2" xfId="224"/>
    <cellStyle name="Cálculo 2 2 2 3 2 2 2" xfId="7031"/>
    <cellStyle name="Cálculo 2 2 2 3 2 2 2 2" xfId="13635"/>
    <cellStyle name="Cálculo 2 2 2 3 2 2 2 2 2" xfId="27957"/>
    <cellStyle name="Cálculo 2 2 2 3 2 2 2 3" xfId="19280"/>
    <cellStyle name="Cálculo 2 2 2 3 2 2 3" xfId="4848"/>
    <cellStyle name="Cálculo 2 2 2 3 2 2 3 2" xfId="9500"/>
    <cellStyle name="Cálculo 2 2 2 3 2 2 3 2 2" xfId="15762"/>
    <cellStyle name="Cálculo 2 2 2 3 2 2 3 2 2 2" xfId="29178"/>
    <cellStyle name="Cálculo 2 2 2 3 2 2 3 2 3" xfId="20507"/>
    <cellStyle name="Cálculo 2 2 2 3 2 2 3 3" xfId="11381"/>
    <cellStyle name="Cálculo 2 2 2 3 2 2 3 3 2" xfId="25703"/>
    <cellStyle name="Cálculo 2 2 2 3 2 2 3 4" xfId="6632"/>
    <cellStyle name="Cálculo 2 2 2 3 2 2 4" xfId="11571"/>
    <cellStyle name="Cálculo 2 2 2 3 2 2 4 2" xfId="25893"/>
    <cellStyle name="Cálculo 2 2 2 3 2 2 5" xfId="14699"/>
    <cellStyle name="Cálculo 2 2 2 3 2 3" xfId="225"/>
    <cellStyle name="Cálculo 2 2 2 3 2 3 2" xfId="5300"/>
    <cellStyle name="Cálculo 2 2 2 3 2 3 2 2" xfId="9609"/>
    <cellStyle name="Cálculo 2 2 2 3 2 3 2 2 2" xfId="15871"/>
    <cellStyle name="Cálculo 2 2 2 3 2 3 2 2 2 2" xfId="29287"/>
    <cellStyle name="Cálculo 2 2 2 3 2 3 2 2 3" xfId="20616"/>
    <cellStyle name="Cálculo 2 2 2 3 2 3 2 3" xfId="11850"/>
    <cellStyle name="Cálculo 2 2 2 3 2 3 2 3 2" xfId="26172"/>
    <cellStyle name="Cálculo 2 2 2 3 2 3 2 4" xfId="17495"/>
    <cellStyle name="Cálculo 2 2 2 3 2 3 3" xfId="13360"/>
    <cellStyle name="Cálculo 2 2 2 3 2 3 3 2" xfId="27682"/>
    <cellStyle name="Cálculo 2 2 2 3 2 3 4" xfId="19005"/>
    <cellStyle name="Cálculo 2 2 2 3 2 4" xfId="5810"/>
    <cellStyle name="Cálculo 2 2 2 3 2 4 2" xfId="12363"/>
    <cellStyle name="Cálculo 2 2 2 3 2 4 2 2" xfId="26685"/>
    <cellStyle name="Cálculo 2 2 2 3 2 4 3" xfId="18008"/>
    <cellStyle name="Cálculo 2 2 2 3 2 5" xfId="3717"/>
    <cellStyle name="Cálculo 2 2 2 3 2 5 2" xfId="22542"/>
    <cellStyle name="Cálculo 2 2 2 3 2 6" xfId="15294"/>
    <cellStyle name="Cálculo 2 2 2 3 3" xfId="226"/>
    <cellStyle name="Cálculo 2 2 2 3 3 2" xfId="227"/>
    <cellStyle name="Cálculo 2 2 2 3 3 2 2" xfId="5615"/>
    <cellStyle name="Cálculo 2 2 2 3 3 2 2 2" xfId="12168"/>
    <cellStyle name="Cálculo 2 2 2 3 3 2 2 2 2" xfId="26490"/>
    <cellStyle name="Cálculo 2 2 2 3 3 2 2 3" xfId="17813"/>
    <cellStyle name="Cálculo 2 2 2 3 3 2 3" xfId="7100"/>
    <cellStyle name="Cálculo 2 2 2 3 3 2 3 2" xfId="9714"/>
    <cellStyle name="Cálculo 2 2 2 3 3 2 3 2 2" xfId="15976"/>
    <cellStyle name="Cálculo 2 2 2 3 3 2 3 2 2 2" xfId="29392"/>
    <cellStyle name="Cálculo 2 2 2 3 3 2 3 2 3" xfId="20721"/>
    <cellStyle name="Cálculo 2 2 2 3 3 2 3 3" xfId="13704"/>
    <cellStyle name="Cálculo 2 2 2 3 3 2 3 3 2" xfId="28026"/>
    <cellStyle name="Cálculo 2 2 2 3 3 2 3 4" xfId="19349"/>
    <cellStyle name="Cálculo 2 2 2 3 3 2 4" xfId="3875"/>
    <cellStyle name="Cálculo 2 2 2 3 3 2 4 2" xfId="22621"/>
    <cellStyle name="Cálculo 2 2 2 3 3 2 5" xfId="15516"/>
    <cellStyle name="Cálculo 2 2 2 3 3 3" xfId="228"/>
    <cellStyle name="Cálculo 2 2 2 3 3 3 2" xfId="7123"/>
    <cellStyle name="Cálculo 2 2 2 3 3 3 2 2" xfId="9737"/>
    <cellStyle name="Cálculo 2 2 2 3 3 3 2 2 2" xfId="15999"/>
    <cellStyle name="Cálculo 2 2 2 3 3 3 2 2 2 2" xfId="29415"/>
    <cellStyle name="Cálculo 2 2 2 3 3 3 2 2 3" xfId="20744"/>
    <cellStyle name="Cálculo 2 2 2 3 3 3 2 3" xfId="13727"/>
    <cellStyle name="Cálculo 2 2 2 3 3 3 2 3 2" xfId="28049"/>
    <cellStyle name="Cálculo 2 2 2 3 3 3 2 4" xfId="19372"/>
    <cellStyle name="Cálculo 2 2 2 3 3 3 3" xfId="13078"/>
    <cellStyle name="Cálculo 2 2 2 3 3 3 3 2" xfId="27400"/>
    <cellStyle name="Cálculo 2 2 2 3 3 3 4" xfId="18723"/>
    <cellStyle name="Cálculo 2 2 2 3 3 4" xfId="5427"/>
    <cellStyle name="Cálculo 2 2 2 3 3 4 2" xfId="11978"/>
    <cellStyle name="Cálculo 2 2 2 3 3 4 2 2" xfId="26300"/>
    <cellStyle name="Cálculo 2 2 2 3 3 4 3" xfId="17623"/>
    <cellStyle name="Cálculo 2 2 2 3 3 5" xfId="3954"/>
    <cellStyle name="Cálculo 2 2 2 3 3 5 2" xfId="22667"/>
    <cellStyle name="Cálculo 2 2 2 3 3 6" xfId="16957"/>
    <cellStyle name="Cálculo 2 2 2 3 4" xfId="229"/>
    <cellStyle name="Cálculo 2 2 2 3 4 2" xfId="6883"/>
    <cellStyle name="Cálculo 2 2 2 3 4 2 2" xfId="13487"/>
    <cellStyle name="Cálculo 2 2 2 3 4 2 2 2" xfId="27809"/>
    <cellStyle name="Cálculo 2 2 2 3 4 2 3" xfId="19132"/>
    <cellStyle name="Cálculo 2 2 2 3 4 3" xfId="7549"/>
    <cellStyle name="Cálculo 2 2 2 3 4 3 2" xfId="10163"/>
    <cellStyle name="Cálculo 2 2 2 3 4 3 2 2" xfId="16425"/>
    <cellStyle name="Cálculo 2 2 2 3 4 3 2 2 2" xfId="29841"/>
    <cellStyle name="Cálculo 2 2 2 3 4 3 2 3" xfId="21170"/>
    <cellStyle name="Cálculo 2 2 2 3 4 3 3" xfId="14153"/>
    <cellStyle name="Cálculo 2 2 2 3 4 3 3 2" xfId="28475"/>
    <cellStyle name="Cálculo 2 2 2 3 4 3 4" xfId="19798"/>
    <cellStyle name="Cálculo 2 2 2 3 4 4" xfId="11357"/>
    <cellStyle name="Cálculo 2 2 2 3 4 4 2" xfId="25679"/>
    <cellStyle name="Cálculo 2 2 2 3 4 5" xfId="15077"/>
    <cellStyle name="Cálculo 2 2 2 3 5" xfId="230"/>
    <cellStyle name="Cálculo 2 2 2 3 5 2" xfId="7057"/>
    <cellStyle name="Cálculo 2 2 2 3 5 2 2" xfId="9671"/>
    <cellStyle name="Cálculo 2 2 2 3 5 2 2 2" xfId="15933"/>
    <cellStyle name="Cálculo 2 2 2 3 5 2 2 2 2" xfId="29349"/>
    <cellStyle name="Cálculo 2 2 2 3 5 2 2 3" xfId="20678"/>
    <cellStyle name="Cálculo 2 2 2 3 5 2 3" xfId="13661"/>
    <cellStyle name="Cálculo 2 2 2 3 5 2 3 2" xfId="27983"/>
    <cellStyle name="Cálculo 2 2 2 3 5 2 4" xfId="19306"/>
    <cellStyle name="Cálculo 2 2 2 3 5 3" xfId="12936"/>
    <cellStyle name="Cálculo 2 2 2 3 5 3 2" xfId="27258"/>
    <cellStyle name="Cálculo 2 2 2 3 5 4" xfId="18581"/>
    <cellStyle name="Cálculo 2 2 2 3 6" xfId="5560"/>
    <cellStyle name="Cálculo 2 2 2 3 6 2" xfId="12111"/>
    <cellStyle name="Cálculo 2 2 2 3 6 2 2" xfId="26433"/>
    <cellStyle name="Cálculo 2 2 2 3 6 3" xfId="17756"/>
    <cellStyle name="Cálculo 2 2 2 3 7" xfId="6787"/>
    <cellStyle name="Cálculo 2 2 2 3 7 2" xfId="23731"/>
    <cellStyle name="Cálculo 2 2 2 3 8" xfId="15437"/>
    <cellStyle name="Cálculo 2 2 2 4" xfId="231"/>
    <cellStyle name="Cálculo 2 2 2 4 2" xfId="232"/>
    <cellStyle name="Cálculo 2 2 2 4 2 2" xfId="233"/>
    <cellStyle name="Cálculo 2 2 2 4 2 2 2" xfId="6985"/>
    <cellStyle name="Cálculo 2 2 2 4 2 2 2 2" xfId="13589"/>
    <cellStyle name="Cálculo 2 2 2 4 2 2 2 2 2" xfId="27911"/>
    <cellStyle name="Cálculo 2 2 2 4 2 2 2 3" xfId="19234"/>
    <cellStyle name="Cálculo 2 2 2 4 2 2 3" xfId="7056"/>
    <cellStyle name="Cálculo 2 2 2 4 2 2 3 2" xfId="9670"/>
    <cellStyle name="Cálculo 2 2 2 4 2 2 3 2 2" xfId="15932"/>
    <cellStyle name="Cálculo 2 2 2 4 2 2 3 2 2 2" xfId="29348"/>
    <cellStyle name="Cálculo 2 2 2 4 2 2 3 2 3" xfId="20677"/>
    <cellStyle name="Cálculo 2 2 2 4 2 2 3 3" xfId="13660"/>
    <cellStyle name="Cálculo 2 2 2 4 2 2 3 3 2" xfId="27982"/>
    <cellStyle name="Cálculo 2 2 2 4 2 2 3 4" xfId="19305"/>
    <cellStyle name="Cálculo 2 2 2 4 2 2 4" xfId="11497"/>
    <cellStyle name="Cálculo 2 2 2 4 2 2 4 2" xfId="25819"/>
    <cellStyle name="Cálculo 2 2 2 4 2 2 5" xfId="17282"/>
    <cellStyle name="Cálculo 2 2 2 4 2 3" xfId="234"/>
    <cellStyle name="Cálculo 2 2 2 4 2 3 2" xfId="7606"/>
    <cellStyle name="Cálculo 2 2 2 4 2 3 2 2" xfId="10220"/>
    <cellStyle name="Cálculo 2 2 2 4 2 3 2 2 2" xfId="16482"/>
    <cellStyle name="Cálculo 2 2 2 4 2 3 2 2 2 2" xfId="29898"/>
    <cellStyle name="Cálculo 2 2 2 4 2 3 2 2 3" xfId="21227"/>
    <cellStyle name="Cálculo 2 2 2 4 2 3 2 3" xfId="14210"/>
    <cellStyle name="Cálculo 2 2 2 4 2 3 2 3 2" xfId="28532"/>
    <cellStyle name="Cálculo 2 2 2 4 2 3 2 4" xfId="19855"/>
    <cellStyle name="Cálculo 2 2 2 4 2 3 3" xfId="13364"/>
    <cellStyle name="Cálculo 2 2 2 4 2 3 3 2" xfId="27686"/>
    <cellStyle name="Cálculo 2 2 2 4 2 3 4" xfId="19009"/>
    <cellStyle name="Cálculo 2 2 2 4 2 4" xfId="5815"/>
    <cellStyle name="Cálculo 2 2 2 4 2 4 2" xfId="12368"/>
    <cellStyle name="Cálculo 2 2 2 4 2 4 2 2" xfId="26690"/>
    <cellStyle name="Cálculo 2 2 2 4 2 4 3" xfId="18013"/>
    <cellStyle name="Cálculo 2 2 2 4 2 5" xfId="4972"/>
    <cellStyle name="Cálculo 2 2 2 4 2 5 2" xfId="23288"/>
    <cellStyle name="Cálculo 2 2 2 4 2 6" xfId="17354"/>
    <cellStyle name="Cálculo 2 2 2 4 3" xfId="235"/>
    <cellStyle name="Cálculo 2 2 2 4 3 2" xfId="236"/>
    <cellStyle name="Cálculo 2 2 2 4 3 2 2" xfId="6899"/>
    <cellStyle name="Cálculo 2 2 2 4 3 2 2 2" xfId="13503"/>
    <cellStyle name="Cálculo 2 2 2 4 3 2 2 2 2" xfId="27825"/>
    <cellStyle name="Cálculo 2 2 2 4 3 2 2 3" xfId="19148"/>
    <cellStyle name="Cálculo 2 2 2 4 3 2 3" xfId="7307"/>
    <cellStyle name="Cálculo 2 2 2 4 3 2 3 2" xfId="9921"/>
    <cellStyle name="Cálculo 2 2 2 4 3 2 3 2 2" xfId="16183"/>
    <cellStyle name="Cálculo 2 2 2 4 3 2 3 2 2 2" xfId="29599"/>
    <cellStyle name="Cálculo 2 2 2 4 3 2 3 2 3" xfId="20928"/>
    <cellStyle name="Cálculo 2 2 2 4 3 2 3 3" xfId="13911"/>
    <cellStyle name="Cálculo 2 2 2 4 3 2 3 3 2" xfId="28233"/>
    <cellStyle name="Cálculo 2 2 2 4 3 2 3 4" xfId="19556"/>
    <cellStyle name="Cálculo 2 2 2 4 3 2 4" xfId="11378"/>
    <cellStyle name="Cálculo 2 2 2 4 3 2 4 2" xfId="25700"/>
    <cellStyle name="Cálculo 2 2 2 4 3 2 5" xfId="15591"/>
    <cellStyle name="Cálculo 2 2 2 4 3 3" xfId="237"/>
    <cellStyle name="Cálculo 2 2 2 4 3 3 2" xfId="7127"/>
    <cellStyle name="Cálculo 2 2 2 4 3 3 2 2" xfId="9741"/>
    <cellStyle name="Cálculo 2 2 2 4 3 3 2 2 2" xfId="16003"/>
    <cellStyle name="Cálculo 2 2 2 4 3 3 2 2 2 2" xfId="29419"/>
    <cellStyle name="Cálculo 2 2 2 4 3 3 2 2 3" xfId="20748"/>
    <cellStyle name="Cálculo 2 2 2 4 3 3 2 3" xfId="13731"/>
    <cellStyle name="Cálculo 2 2 2 4 3 3 2 3 2" xfId="28053"/>
    <cellStyle name="Cálculo 2 2 2 4 3 3 2 4" xfId="19376"/>
    <cellStyle name="Cálculo 2 2 2 4 3 3 3" xfId="12800"/>
    <cellStyle name="Cálculo 2 2 2 4 3 3 3 2" xfId="27122"/>
    <cellStyle name="Cálculo 2 2 2 4 3 3 4" xfId="18445"/>
    <cellStyle name="Cálculo 2 2 2 4 3 4" xfId="5167"/>
    <cellStyle name="Cálculo 2 2 2 4 3 4 2" xfId="11716"/>
    <cellStyle name="Cálculo 2 2 2 4 3 4 2 2" xfId="26038"/>
    <cellStyle name="Cálculo 2 2 2 4 3 4 3" xfId="3812"/>
    <cellStyle name="Cálculo 2 2 2 4 3 5" xfId="4947"/>
    <cellStyle name="Cálculo 2 2 2 4 3 5 2" xfId="23274"/>
    <cellStyle name="Cálculo 2 2 2 4 3 6" xfId="15239"/>
    <cellStyle name="Cálculo 2 2 2 4 4" xfId="238"/>
    <cellStyle name="Cálculo 2 2 2 4 4 2" xfId="6919"/>
    <cellStyle name="Cálculo 2 2 2 4 4 2 2" xfId="13523"/>
    <cellStyle name="Cálculo 2 2 2 4 4 2 2 2" xfId="27845"/>
    <cellStyle name="Cálculo 2 2 2 4 4 2 3" xfId="19168"/>
    <cellStyle name="Cálculo 2 2 2 4 4 3" xfId="7135"/>
    <cellStyle name="Cálculo 2 2 2 4 4 3 2" xfId="9749"/>
    <cellStyle name="Cálculo 2 2 2 4 4 3 2 2" xfId="16011"/>
    <cellStyle name="Cálculo 2 2 2 4 4 3 2 2 2" xfId="29427"/>
    <cellStyle name="Cálculo 2 2 2 4 4 3 2 3" xfId="20756"/>
    <cellStyle name="Cálculo 2 2 2 4 4 3 3" xfId="13739"/>
    <cellStyle name="Cálculo 2 2 2 4 4 3 3 2" xfId="28061"/>
    <cellStyle name="Cálculo 2 2 2 4 4 3 4" xfId="19384"/>
    <cellStyle name="Cálculo 2 2 2 4 4 4" xfId="11407"/>
    <cellStyle name="Cálculo 2 2 2 4 4 4 2" xfId="25729"/>
    <cellStyle name="Cálculo 2 2 2 4 4 5" xfId="14815"/>
    <cellStyle name="Cálculo 2 2 2 4 5" xfId="239"/>
    <cellStyle name="Cálculo 2 2 2 4 5 2" xfId="7545"/>
    <cellStyle name="Cálculo 2 2 2 4 5 2 2" xfId="10159"/>
    <cellStyle name="Cálculo 2 2 2 4 5 2 2 2" xfId="16421"/>
    <cellStyle name="Cálculo 2 2 2 4 5 2 2 2 2" xfId="29837"/>
    <cellStyle name="Cálculo 2 2 2 4 5 2 2 3" xfId="21166"/>
    <cellStyle name="Cálculo 2 2 2 4 5 2 3" xfId="14149"/>
    <cellStyle name="Cálculo 2 2 2 4 5 2 3 2" xfId="28471"/>
    <cellStyle name="Cálculo 2 2 2 4 5 2 4" xfId="19794"/>
    <cellStyle name="Cálculo 2 2 2 4 5 3" xfId="12941"/>
    <cellStyle name="Cálculo 2 2 2 4 5 3 2" xfId="27263"/>
    <cellStyle name="Cálculo 2 2 2 4 5 4" xfId="18586"/>
    <cellStyle name="Cálculo 2 2 2 4 6" xfId="5583"/>
    <cellStyle name="Cálculo 2 2 2 4 6 2" xfId="12135"/>
    <cellStyle name="Cálculo 2 2 2 4 6 2 2" xfId="26457"/>
    <cellStyle name="Cálculo 2 2 2 4 6 3" xfId="17780"/>
    <cellStyle name="Cálculo 2 2 2 4 7" xfId="4652"/>
    <cellStyle name="Cálculo 2 2 2 4 7 2" xfId="23094"/>
    <cellStyle name="Cálculo 2 2 2 4 8" xfId="17154"/>
    <cellStyle name="Cálculo 2 2 2 5" xfId="240"/>
    <cellStyle name="Cálculo 2 2 2 5 2" xfId="241"/>
    <cellStyle name="Cálculo 2 2 2 5 2 2" xfId="242"/>
    <cellStyle name="Cálculo 2 2 2 5 2 2 2" xfId="6949"/>
    <cellStyle name="Cálculo 2 2 2 5 2 2 2 2" xfId="13553"/>
    <cellStyle name="Cálculo 2 2 2 5 2 2 2 2 2" xfId="27875"/>
    <cellStyle name="Cálculo 2 2 2 5 2 2 2 3" xfId="19198"/>
    <cellStyle name="Cálculo 2 2 2 5 2 2 3" xfId="7812"/>
    <cellStyle name="Cálculo 2 2 2 5 2 2 3 2" xfId="10426"/>
    <cellStyle name="Cálculo 2 2 2 5 2 2 3 2 2" xfId="16688"/>
    <cellStyle name="Cálculo 2 2 2 5 2 2 3 2 2 2" xfId="30104"/>
    <cellStyle name="Cálculo 2 2 2 5 2 2 3 2 3" xfId="21433"/>
    <cellStyle name="Cálculo 2 2 2 5 2 2 3 3" xfId="14416"/>
    <cellStyle name="Cálculo 2 2 2 5 2 2 3 3 2" xfId="28738"/>
    <cellStyle name="Cálculo 2 2 2 5 2 2 3 4" xfId="20061"/>
    <cellStyle name="Cálculo 2 2 2 5 2 2 4" xfId="11444"/>
    <cellStyle name="Cálculo 2 2 2 5 2 2 4 2" xfId="25766"/>
    <cellStyle name="Cálculo 2 2 2 5 2 2 5" xfId="17343"/>
    <cellStyle name="Cálculo 2 2 2 5 2 3" xfId="243"/>
    <cellStyle name="Cálculo 2 2 2 5 2 3 2" xfId="7587"/>
    <cellStyle name="Cálculo 2 2 2 5 2 3 2 2" xfId="10201"/>
    <cellStyle name="Cálculo 2 2 2 5 2 3 2 2 2" xfId="16463"/>
    <cellStyle name="Cálculo 2 2 2 5 2 3 2 2 2 2" xfId="29879"/>
    <cellStyle name="Cálculo 2 2 2 5 2 3 2 2 3" xfId="21208"/>
    <cellStyle name="Cálculo 2 2 2 5 2 3 2 3" xfId="14191"/>
    <cellStyle name="Cálculo 2 2 2 5 2 3 2 3 2" xfId="28513"/>
    <cellStyle name="Cálculo 2 2 2 5 2 3 2 4" xfId="19836"/>
    <cellStyle name="Cálculo 2 2 2 5 2 3 3" xfId="13409"/>
    <cellStyle name="Cálculo 2 2 2 5 2 3 3 2" xfId="27731"/>
    <cellStyle name="Cálculo 2 2 2 5 2 3 4" xfId="19054"/>
    <cellStyle name="Cálculo 2 2 2 5 2 4" xfId="5877"/>
    <cellStyle name="Cálculo 2 2 2 5 2 4 2" xfId="12430"/>
    <cellStyle name="Cálculo 2 2 2 5 2 4 2 2" xfId="26752"/>
    <cellStyle name="Cálculo 2 2 2 5 2 4 3" xfId="18075"/>
    <cellStyle name="Cálculo 2 2 2 5 2 5" xfId="4222"/>
    <cellStyle name="Cálculo 2 2 2 5 2 5 2" xfId="22834"/>
    <cellStyle name="Cálculo 2 2 2 5 2 6" xfId="4051"/>
    <cellStyle name="Cálculo 2 2 2 5 3" xfId="244"/>
    <cellStyle name="Cálculo 2 2 2 5 3 2" xfId="6007"/>
    <cellStyle name="Cálculo 2 2 2 5 3 2 2" xfId="12566"/>
    <cellStyle name="Cálculo 2 2 2 5 3 2 2 2" xfId="26888"/>
    <cellStyle name="Cálculo 2 2 2 5 3 2 3" xfId="18211"/>
    <cellStyle name="Cálculo 2 2 2 5 3 3" xfId="4818"/>
    <cellStyle name="Cálculo 2 2 2 5 3 3 2" xfId="9495"/>
    <cellStyle name="Cálculo 2 2 2 5 3 3 2 2" xfId="15757"/>
    <cellStyle name="Cálculo 2 2 2 5 3 3 2 2 2" xfId="29173"/>
    <cellStyle name="Cálculo 2 2 2 5 3 3 2 3" xfId="20502"/>
    <cellStyle name="Cálculo 2 2 2 5 3 3 3" xfId="11350"/>
    <cellStyle name="Cálculo 2 2 2 5 3 3 3 2" xfId="25672"/>
    <cellStyle name="Cálculo 2 2 2 5 3 3 4" xfId="14963"/>
    <cellStyle name="Cálculo 2 2 2 5 3 4" xfId="5176"/>
    <cellStyle name="Cálculo 2 2 2 5 3 4 2" xfId="23332"/>
    <cellStyle name="Cálculo 2 2 2 5 3 5" xfId="17359"/>
    <cellStyle name="Cálculo 2 2 2 5 4" xfId="245"/>
    <cellStyle name="Cálculo 2 2 2 5 4 2" xfId="5298"/>
    <cellStyle name="Cálculo 2 2 2 5 4 2 2" xfId="9607"/>
    <cellStyle name="Cálculo 2 2 2 5 4 2 2 2" xfId="15869"/>
    <cellStyle name="Cálculo 2 2 2 5 4 2 2 2 2" xfId="29285"/>
    <cellStyle name="Cálculo 2 2 2 5 4 2 2 3" xfId="20614"/>
    <cellStyle name="Cálculo 2 2 2 5 4 2 3" xfId="11848"/>
    <cellStyle name="Cálculo 2 2 2 5 4 2 3 2" xfId="26170"/>
    <cellStyle name="Cálculo 2 2 2 5 4 2 4" xfId="17493"/>
    <cellStyle name="Cálculo 2 2 2 5 4 3" xfId="12949"/>
    <cellStyle name="Cálculo 2 2 2 5 4 3 2" xfId="27271"/>
    <cellStyle name="Cálculo 2 2 2 5 4 4" xfId="18594"/>
    <cellStyle name="Cálculo 2 2 2 5 5" xfId="5614"/>
    <cellStyle name="Cálculo 2 2 2 5 5 2" xfId="12167"/>
    <cellStyle name="Cálculo 2 2 2 5 5 2 2" xfId="26489"/>
    <cellStyle name="Cálculo 2 2 2 5 5 3" xfId="17812"/>
    <cellStyle name="Cálculo 2 2 2 5 6" xfId="4301"/>
    <cellStyle name="Cálculo 2 2 2 5 6 2" xfId="22880"/>
    <cellStyle name="Cálculo 2 2 2 5 7" xfId="15157"/>
    <cellStyle name="Cálculo 2 2 2 6" xfId="246"/>
    <cellStyle name="Cálculo 2 2 2 6 2" xfId="247"/>
    <cellStyle name="Cálculo 2 2 2 6 2 2" xfId="6903"/>
    <cellStyle name="Cálculo 2 2 2 6 2 2 2" xfId="13507"/>
    <cellStyle name="Cálculo 2 2 2 6 2 2 2 2" xfId="27829"/>
    <cellStyle name="Cálculo 2 2 2 6 2 2 3" xfId="19152"/>
    <cellStyle name="Cálculo 2 2 2 6 2 3" xfId="7651"/>
    <cellStyle name="Cálculo 2 2 2 6 2 3 2" xfId="10265"/>
    <cellStyle name="Cálculo 2 2 2 6 2 3 2 2" xfId="16527"/>
    <cellStyle name="Cálculo 2 2 2 6 2 3 2 2 2" xfId="29943"/>
    <cellStyle name="Cálculo 2 2 2 6 2 3 2 3" xfId="21272"/>
    <cellStyle name="Cálculo 2 2 2 6 2 3 3" xfId="14255"/>
    <cellStyle name="Cálculo 2 2 2 6 2 3 3 2" xfId="28577"/>
    <cellStyle name="Cálculo 2 2 2 6 2 3 4" xfId="19900"/>
    <cellStyle name="Cálculo 2 2 2 6 2 4" xfId="11385"/>
    <cellStyle name="Cálculo 2 2 2 6 2 4 2" xfId="25707"/>
    <cellStyle name="Cálculo 2 2 2 6 2 5" xfId="6681"/>
    <cellStyle name="Cálculo 2 2 2 6 3" xfId="248"/>
    <cellStyle name="Cálculo 2 2 2 6 3 2" xfId="7296"/>
    <cellStyle name="Cálculo 2 2 2 6 3 2 2" xfId="9910"/>
    <cellStyle name="Cálculo 2 2 2 6 3 2 2 2" xfId="16172"/>
    <cellStyle name="Cálculo 2 2 2 6 3 2 2 2 2" xfId="29588"/>
    <cellStyle name="Cálculo 2 2 2 6 3 2 2 3" xfId="20917"/>
    <cellStyle name="Cálculo 2 2 2 6 3 2 3" xfId="13900"/>
    <cellStyle name="Cálculo 2 2 2 6 3 2 3 2" xfId="28222"/>
    <cellStyle name="Cálculo 2 2 2 6 3 2 4" xfId="19545"/>
    <cellStyle name="Cálculo 2 2 2 6 3 3" xfId="13415"/>
    <cellStyle name="Cálculo 2 2 2 6 3 3 2" xfId="27737"/>
    <cellStyle name="Cálculo 2 2 2 6 3 4" xfId="19060"/>
    <cellStyle name="Cálculo 2 2 2 6 4" xfId="5884"/>
    <cellStyle name="Cálculo 2 2 2 6 4 2" xfId="12437"/>
    <cellStyle name="Cálculo 2 2 2 6 4 2 2" xfId="26759"/>
    <cellStyle name="Cálculo 2 2 2 6 4 3" xfId="18082"/>
    <cellStyle name="Cálculo 2 2 2 6 5" xfId="6724"/>
    <cellStyle name="Cálculo 2 2 2 6 5 2" xfId="23678"/>
    <cellStyle name="Cálculo 2 2 2 6 6" xfId="14704"/>
    <cellStyle name="Cálculo 2 2 2 7" xfId="249"/>
    <cellStyle name="Cálculo 2 2 2 7 2" xfId="6432"/>
    <cellStyle name="Cálculo 2 2 2 7 2 2" xfId="13015"/>
    <cellStyle name="Cálculo 2 2 2 7 2 2 2" xfId="27337"/>
    <cellStyle name="Cálculo 2 2 2 7 2 3" xfId="18660"/>
    <cellStyle name="Cálculo 2 2 2 7 3" xfId="7478"/>
    <cellStyle name="Cálculo 2 2 2 7 3 2" xfId="10092"/>
    <cellStyle name="Cálculo 2 2 2 7 3 2 2" xfId="16354"/>
    <cellStyle name="Cálculo 2 2 2 7 3 2 2 2" xfId="29770"/>
    <cellStyle name="Cálculo 2 2 2 7 3 2 3" xfId="21099"/>
    <cellStyle name="Cálculo 2 2 2 7 3 3" xfId="14082"/>
    <cellStyle name="Cálculo 2 2 2 7 3 3 2" xfId="28404"/>
    <cellStyle name="Cálculo 2 2 2 7 3 4" xfId="19727"/>
    <cellStyle name="Cálculo 2 2 2 7 4" xfId="4704"/>
    <cellStyle name="Cálculo 2 2 2 7 4 2" xfId="23137"/>
    <cellStyle name="Cálculo 2 2 2 7 5" xfId="17213"/>
    <cellStyle name="Cálculo 2 2 2 8" xfId="250"/>
    <cellStyle name="Cálculo 2 2 2 8 2" xfId="4390"/>
    <cellStyle name="Cálculo 2 2 2 8 2 2" xfId="9458"/>
    <cellStyle name="Cálculo 2 2 2 8 2 2 2" xfId="15720"/>
    <cellStyle name="Cálculo 2 2 2 8 2 2 2 2" xfId="29136"/>
    <cellStyle name="Cálculo 2 2 2 8 2 2 3" xfId="20465"/>
    <cellStyle name="Cálculo 2 2 2 8 2 3" xfId="4097"/>
    <cellStyle name="Cálculo 2 2 2 8 2 3 2" xfId="22756"/>
    <cellStyle name="Cálculo 2 2 2 8 2 4" xfId="17307"/>
    <cellStyle name="Cálculo 2 2 2 8 3" xfId="12764"/>
    <cellStyle name="Cálculo 2 2 2 8 3 2" xfId="27086"/>
    <cellStyle name="Cálculo 2 2 2 8 4" xfId="18409"/>
    <cellStyle name="Cálculo 2 2 2 9" xfId="5475"/>
    <cellStyle name="Cálculo 2 2 2 9 2" xfId="12026"/>
    <cellStyle name="Cálculo 2 2 2 9 2 2" xfId="26348"/>
    <cellStyle name="Cálculo 2 2 2 9 3" xfId="17671"/>
    <cellStyle name="Cálculo 2 2 3" xfId="251"/>
    <cellStyle name="Cálculo 2 2 3 2" xfId="252"/>
    <cellStyle name="Cálculo 2 2 3 2 2" xfId="253"/>
    <cellStyle name="Cálculo 2 2 3 2 2 2" xfId="6832"/>
    <cellStyle name="Cálculo 2 2 3 2 2 2 2" xfId="13436"/>
    <cellStyle name="Cálculo 2 2 3 2 2 2 2 2" xfId="27758"/>
    <cellStyle name="Cálculo 2 2 3 2 2 2 3" xfId="19081"/>
    <cellStyle name="Cálculo 2 2 3 2 2 3" xfId="3655"/>
    <cellStyle name="Cálculo 2 2 3 2 2 3 2" xfId="9353"/>
    <cellStyle name="Cálculo 2 2 3 2 2 3 2 2" xfId="15615"/>
    <cellStyle name="Cálculo 2 2 3 2 2 3 2 2 2" xfId="29031"/>
    <cellStyle name="Cálculo 2 2 3 2 2 3 2 3" xfId="20360"/>
    <cellStyle name="Cálculo 2 2 3 2 2 3 3" xfId="5133"/>
    <cellStyle name="Cálculo 2 2 3 2 2 3 3 2" xfId="23328"/>
    <cellStyle name="Cálculo 2 2 3 2 2 3 4" xfId="14994"/>
    <cellStyle name="Cálculo 2 2 3 2 2 4" xfId="2817"/>
    <cellStyle name="Cálculo 2 2 3 2 2 4 2" xfId="22380"/>
    <cellStyle name="Cálculo 2 2 3 2 2 5" xfId="15194"/>
    <cellStyle name="Cálculo 2 2 3 2 3" xfId="254"/>
    <cellStyle name="Cálculo 2 2 3 2 3 2" xfId="7933"/>
    <cellStyle name="Cálculo 2 2 3 2 3 2 2" xfId="10547"/>
    <cellStyle name="Cálculo 2 2 3 2 3 2 2 2" xfId="16809"/>
    <cellStyle name="Cálculo 2 2 3 2 3 2 2 2 2" xfId="30225"/>
    <cellStyle name="Cálculo 2 2 3 2 3 2 2 3" xfId="21554"/>
    <cellStyle name="Cálculo 2 2 3 2 3 2 3" xfId="14537"/>
    <cellStyle name="Cálculo 2 2 3 2 3 2 3 2" xfId="28859"/>
    <cellStyle name="Cálculo 2 2 3 2 3 2 4" xfId="20182"/>
    <cellStyle name="Cálculo 2 2 3 2 3 3" xfId="13310"/>
    <cellStyle name="Cálculo 2 2 3 2 3 3 2" xfId="27632"/>
    <cellStyle name="Cálculo 2 2 3 2 3 4" xfId="18955"/>
    <cellStyle name="Cálculo 2 2 3 2 4" xfId="5760"/>
    <cellStyle name="Cálculo 2 2 3 2 4 2" xfId="12313"/>
    <cellStyle name="Cálculo 2 2 3 2 4 2 2" xfId="26635"/>
    <cellStyle name="Cálculo 2 2 3 2 4 3" xfId="17958"/>
    <cellStyle name="Cálculo 2 2 3 2 5" xfId="4057"/>
    <cellStyle name="Cálculo 2 2 3 2 5 2" xfId="22732"/>
    <cellStyle name="Cálculo 2 2 3 2 6" xfId="6606"/>
    <cellStyle name="Cálculo 2 2 3 3" xfId="255"/>
    <cellStyle name="Cálculo 2 2 3 3 2" xfId="256"/>
    <cellStyle name="Cálculo 2 2 3 3 2 2" xfId="3890"/>
    <cellStyle name="Cálculo 2 2 3 3 2 2 2" xfId="6329"/>
    <cellStyle name="Cálculo 2 2 3 3 2 2 2 2" xfId="23518"/>
    <cellStyle name="Cálculo 2 2 3 3 2 2 3" xfId="14820"/>
    <cellStyle name="Cálculo 2 2 3 3 2 3" xfId="7885"/>
    <cellStyle name="Cálculo 2 2 3 3 2 3 2" xfId="10499"/>
    <cellStyle name="Cálculo 2 2 3 3 2 3 2 2" xfId="16761"/>
    <cellStyle name="Cálculo 2 2 3 3 2 3 2 2 2" xfId="30177"/>
    <cellStyle name="Cálculo 2 2 3 3 2 3 2 3" xfId="21506"/>
    <cellStyle name="Cálculo 2 2 3 3 2 3 3" xfId="14489"/>
    <cellStyle name="Cálculo 2 2 3 3 2 3 3 2" xfId="28811"/>
    <cellStyle name="Cálculo 2 2 3 3 2 3 4" xfId="20134"/>
    <cellStyle name="Cálculo 2 2 3 3 2 4" xfId="4627"/>
    <cellStyle name="Cálculo 2 2 3 3 2 4 2" xfId="23073"/>
    <cellStyle name="Cálculo 2 2 3 3 2 5" xfId="4841"/>
    <cellStyle name="Cálculo 2 2 3 3 3" xfId="257"/>
    <cellStyle name="Cálculo 2 2 3 3 3 2" xfId="5265"/>
    <cellStyle name="Cálculo 2 2 3 3 3 2 2" xfId="9574"/>
    <cellStyle name="Cálculo 2 2 3 3 3 2 2 2" xfId="15836"/>
    <cellStyle name="Cálculo 2 2 3 3 3 2 2 2 2" xfId="29252"/>
    <cellStyle name="Cálculo 2 2 3 3 3 2 2 3" xfId="20581"/>
    <cellStyle name="Cálculo 2 2 3 3 3 2 3" xfId="11815"/>
    <cellStyle name="Cálculo 2 2 3 3 3 2 3 2" xfId="26137"/>
    <cellStyle name="Cálculo 2 2 3 3 3 2 4" xfId="17460"/>
    <cellStyle name="Cálculo 2 2 3 3 3 3" xfId="13069"/>
    <cellStyle name="Cálculo 2 2 3 3 3 3 2" xfId="27391"/>
    <cellStyle name="Cálculo 2 2 3 3 3 4" xfId="18714"/>
    <cellStyle name="Cálculo 2 2 3 3 4" xfId="5408"/>
    <cellStyle name="Cálculo 2 2 3 3 4 2" xfId="11958"/>
    <cellStyle name="Cálculo 2 2 3 3 4 2 2" xfId="26280"/>
    <cellStyle name="Cálculo 2 2 3 3 4 3" xfId="17603"/>
    <cellStyle name="Cálculo 2 2 3 3 5" xfId="4514"/>
    <cellStyle name="Cálculo 2 2 3 3 5 2" xfId="23001"/>
    <cellStyle name="Cálculo 2 2 3 3 6" xfId="4094"/>
    <cellStyle name="Cálculo 2 2 3 4" xfId="258"/>
    <cellStyle name="Cálculo 2 2 3 4 2" xfId="6905"/>
    <cellStyle name="Cálculo 2 2 3 4 2 2" xfId="13509"/>
    <cellStyle name="Cálculo 2 2 3 4 2 2 2" xfId="27831"/>
    <cellStyle name="Cálculo 2 2 3 4 2 3" xfId="19154"/>
    <cellStyle name="Cálculo 2 2 3 4 3" xfId="7709"/>
    <cellStyle name="Cálculo 2 2 3 4 3 2" xfId="10323"/>
    <cellStyle name="Cálculo 2 2 3 4 3 2 2" xfId="16585"/>
    <cellStyle name="Cálculo 2 2 3 4 3 2 2 2" xfId="30001"/>
    <cellStyle name="Cálculo 2 2 3 4 3 2 3" xfId="21330"/>
    <cellStyle name="Cálculo 2 2 3 4 3 3" xfId="14313"/>
    <cellStyle name="Cálculo 2 2 3 4 3 3 2" xfId="28635"/>
    <cellStyle name="Cálculo 2 2 3 4 3 4" xfId="19958"/>
    <cellStyle name="Cálculo 2 2 3 4 4" xfId="11389"/>
    <cellStyle name="Cálculo 2 2 3 4 4 2" xfId="25711"/>
    <cellStyle name="Cálculo 2 2 3 4 5" xfId="15403"/>
    <cellStyle name="Cálculo 2 2 3 5" xfId="259"/>
    <cellStyle name="Cálculo 2 2 3 5 2" xfId="7398"/>
    <cellStyle name="Cálculo 2 2 3 5 2 2" xfId="10012"/>
    <cellStyle name="Cálculo 2 2 3 5 2 2 2" xfId="16274"/>
    <cellStyle name="Cálculo 2 2 3 5 2 2 2 2" xfId="29690"/>
    <cellStyle name="Cálculo 2 2 3 5 2 2 3" xfId="21019"/>
    <cellStyle name="Cálculo 2 2 3 5 2 3" xfId="14002"/>
    <cellStyle name="Cálculo 2 2 3 5 2 3 2" xfId="28324"/>
    <cellStyle name="Cálculo 2 2 3 5 2 4" xfId="19647"/>
    <cellStyle name="Cálculo 2 2 3 5 3" xfId="12886"/>
    <cellStyle name="Cálculo 2 2 3 5 3 2" xfId="27208"/>
    <cellStyle name="Cálculo 2 2 3 5 4" xfId="18531"/>
    <cellStyle name="Cálculo 2 2 3 6" xfId="5504"/>
    <cellStyle name="Cálculo 2 2 3 6 2" xfId="12055"/>
    <cellStyle name="Cálculo 2 2 3 6 2 2" xfId="26377"/>
    <cellStyle name="Cálculo 2 2 3 6 3" xfId="17700"/>
    <cellStyle name="Cálculo 2 2 3 7" xfId="5376"/>
    <cellStyle name="Cálculo 2 2 3 7 2" xfId="23342"/>
    <cellStyle name="Cálculo 2 2 3 8" xfId="15473"/>
    <cellStyle name="Cálculo 2 2 4" xfId="260"/>
    <cellStyle name="Cálculo 2 2 4 2" xfId="261"/>
    <cellStyle name="Cálculo 2 2 4 2 2" xfId="262"/>
    <cellStyle name="Cálculo 2 2 4 2 2 2" xfId="5063"/>
    <cellStyle name="Cálculo 2 2 4 2 2 2 2" xfId="11610"/>
    <cellStyle name="Cálculo 2 2 4 2 2 2 2 2" xfId="25932"/>
    <cellStyle name="Cálculo 2 2 4 2 2 2 3" xfId="4709"/>
    <cellStyle name="Cálculo 2 2 4 2 2 3" xfId="8017"/>
    <cellStyle name="Cálculo 2 2 4 2 2 3 2" xfId="10631"/>
    <cellStyle name="Cálculo 2 2 4 2 2 3 2 2" xfId="16893"/>
    <cellStyle name="Cálculo 2 2 4 2 2 3 2 2 2" xfId="30309"/>
    <cellStyle name="Cálculo 2 2 4 2 2 3 2 3" xfId="21638"/>
    <cellStyle name="Cálculo 2 2 4 2 2 3 3" xfId="14621"/>
    <cellStyle name="Cálculo 2 2 4 2 2 3 3 2" xfId="28943"/>
    <cellStyle name="Cálculo 2 2 4 2 2 3 4" xfId="20266"/>
    <cellStyle name="Cálculo 2 2 4 2 2 4" xfId="5113"/>
    <cellStyle name="Cálculo 2 2 4 2 2 4 2" xfId="23326"/>
    <cellStyle name="Cálculo 2 2 4 2 2 5" xfId="4794"/>
    <cellStyle name="Cálculo 2 2 4 2 3" xfId="263"/>
    <cellStyle name="Cálculo 2 2 4 2 3 2" xfId="7716"/>
    <cellStyle name="Cálculo 2 2 4 2 3 2 2" xfId="10330"/>
    <cellStyle name="Cálculo 2 2 4 2 3 2 2 2" xfId="16592"/>
    <cellStyle name="Cálculo 2 2 4 2 3 2 2 2 2" xfId="30008"/>
    <cellStyle name="Cálculo 2 2 4 2 3 2 2 3" xfId="21337"/>
    <cellStyle name="Cálculo 2 2 4 2 3 2 3" xfId="14320"/>
    <cellStyle name="Cálculo 2 2 4 2 3 2 3 2" xfId="28642"/>
    <cellStyle name="Cálculo 2 2 4 2 3 2 4" xfId="19965"/>
    <cellStyle name="Cálculo 2 2 4 2 3 3" xfId="13346"/>
    <cellStyle name="Cálculo 2 2 4 2 3 3 2" xfId="27668"/>
    <cellStyle name="Cálculo 2 2 4 2 3 4" xfId="18991"/>
    <cellStyle name="Cálculo 2 2 4 2 4" xfId="5796"/>
    <cellStyle name="Cálculo 2 2 4 2 4 2" xfId="12349"/>
    <cellStyle name="Cálculo 2 2 4 2 4 2 2" xfId="26671"/>
    <cellStyle name="Cálculo 2 2 4 2 4 3" xfId="17994"/>
    <cellStyle name="Cálculo 2 2 4 2 5" xfId="3847"/>
    <cellStyle name="Cálculo 2 2 4 2 5 2" xfId="22611"/>
    <cellStyle name="Cálculo 2 2 4 2 6" xfId="17073"/>
    <cellStyle name="Cálculo 2 2 4 3" xfId="264"/>
    <cellStyle name="Cálculo 2 2 4 3 2" xfId="265"/>
    <cellStyle name="Cálculo 2 2 4 3 2 2" xfId="6174"/>
    <cellStyle name="Cálculo 2 2 4 3 2 2 2" xfId="12747"/>
    <cellStyle name="Cálculo 2 2 4 3 2 2 2 2" xfId="27069"/>
    <cellStyle name="Cálculo 2 2 4 3 2 2 3" xfId="18392"/>
    <cellStyle name="Cálculo 2 2 4 3 2 3" xfId="7938"/>
    <cellStyle name="Cálculo 2 2 4 3 2 3 2" xfId="10552"/>
    <cellStyle name="Cálculo 2 2 4 3 2 3 2 2" xfId="16814"/>
    <cellStyle name="Cálculo 2 2 4 3 2 3 2 2 2" xfId="30230"/>
    <cellStyle name="Cálculo 2 2 4 3 2 3 2 3" xfId="21559"/>
    <cellStyle name="Cálculo 2 2 4 3 2 3 3" xfId="14542"/>
    <cellStyle name="Cálculo 2 2 4 3 2 3 3 2" xfId="28864"/>
    <cellStyle name="Cálculo 2 2 4 3 2 3 4" xfId="20187"/>
    <cellStyle name="Cálculo 2 2 4 3 2 4" xfId="6344"/>
    <cellStyle name="Cálculo 2 2 4 3 2 4 2" xfId="23530"/>
    <cellStyle name="Cálculo 2 2 4 3 2 5" xfId="15401"/>
    <cellStyle name="Cálculo 2 2 4 3 3" xfId="266"/>
    <cellStyle name="Cálculo 2 2 4 3 3 2" xfId="7963"/>
    <cellStyle name="Cálculo 2 2 4 3 3 2 2" xfId="10577"/>
    <cellStyle name="Cálculo 2 2 4 3 3 2 2 2" xfId="16839"/>
    <cellStyle name="Cálculo 2 2 4 3 3 2 2 2 2" xfId="30255"/>
    <cellStyle name="Cálculo 2 2 4 3 3 2 2 3" xfId="21584"/>
    <cellStyle name="Cálculo 2 2 4 3 3 2 3" xfId="14567"/>
    <cellStyle name="Cálculo 2 2 4 3 3 2 3 2" xfId="28889"/>
    <cellStyle name="Cálculo 2 2 4 3 3 2 4" xfId="20212"/>
    <cellStyle name="Cálculo 2 2 4 3 3 3" xfId="13387"/>
    <cellStyle name="Cálculo 2 2 4 3 3 3 2" xfId="27709"/>
    <cellStyle name="Cálculo 2 2 4 3 3 4" xfId="19032"/>
    <cellStyle name="Cálculo 2 2 4 3 4" xfId="5848"/>
    <cellStyle name="Cálculo 2 2 4 3 4 2" xfId="12401"/>
    <cellStyle name="Cálculo 2 2 4 3 4 2 2" xfId="26723"/>
    <cellStyle name="Cálculo 2 2 4 3 4 3" xfId="18046"/>
    <cellStyle name="Cálculo 2 2 4 3 5" xfId="4969"/>
    <cellStyle name="Cálculo 2 2 4 3 5 2" xfId="23286"/>
    <cellStyle name="Cálculo 2 2 4 3 6" xfId="6762"/>
    <cellStyle name="Cálculo 2 2 4 4" xfId="267"/>
    <cellStyle name="Cálculo 2 2 4 4 2" xfId="6831"/>
    <cellStyle name="Cálculo 2 2 4 4 2 2" xfId="13435"/>
    <cellStyle name="Cálculo 2 2 4 4 2 2 2" xfId="27757"/>
    <cellStyle name="Cálculo 2 2 4 4 2 3" xfId="19080"/>
    <cellStyle name="Cálculo 2 2 4 4 3" xfId="5306"/>
    <cellStyle name="Cálculo 2 2 4 4 3 2" xfId="9615"/>
    <cellStyle name="Cálculo 2 2 4 4 3 2 2" xfId="15877"/>
    <cellStyle name="Cálculo 2 2 4 4 3 2 2 2" xfId="29293"/>
    <cellStyle name="Cálculo 2 2 4 4 3 2 3" xfId="20622"/>
    <cellStyle name="Cálculo 2 2 4 4 3 3" xfId="11856"/>
    <cellStyle name="Cálculo 2 2 4 4 3 3 2" xfId="26178"/>
    <cellStyle name="Cálculo 2 2 4 4 3 4" xfId="17501"/>
    <cellStyle name="Cálculo 2 2 4 4 4" xfId="2819"/>
    <cellStyle name="Cálculo 2 2 4 4 4 2" xfId="22382"/>
    <cellStyle name="Cálculo 2 2 4 4 5" xfId="3608"/>
    <cellStyle name="Cálculo 2 2 4 5" xfId="268"/>
    <cellStyle name="Cálculo 2 2 4 5 2" xfId="7655"/>
    <cellStyle name="Cálculo 2 2 4 5 2 2" xfId="10269"/>
    <cellStyle name="Cálculo 2 2 4 5 2 2 2" xfId="16531"/>
    <cellStyle name="Cálculo 2 2 4 5 2 2 2 2" xfId="29947"/>
    <cellStyle name="Cálculo 2 2 4 5 2 2 3" xfId="21276"/>
    <cellStyle name="Cálculo 2 2 4 5 2 3" xfId="14259"/>
    <cellStyle name="Cálculo 2 2 4 5 2 3 2" xfId="28581"/>
    <cellStyle name="Cálculo 2 2 4 5 2 4" xfId="19904"/>
    <cellStyle name="Cálculo 2 2 4 5 3" xfId="12922"/>
    <cellStyle name="Cálculo 2 2 4 5 3 2" xfId="27244"/>
    <cellStyle name="Cálculo 2 2 4 5 4" xfId="18567"/>
    <cellStyle name="Cálculo 2 2 4 6" xfId="5546"/>
    <cellStyle name="Cálculo 2 2 4 6 2" xfId="12097"/>
    <cellStyle name="Cálculo 2 2 4 6 2 2" xfId="26419"/>
    <cellStyle name="Cálculo 2 2 4 6 3" xfId="17742"/>
    <cellStyle name="Cálculo 2 2 4 7" xfId="3821"/>
    <cellStyle name="Cálculo 2 2 4 7 2" xfId="22599"/>
    <cellStyle name="Cálculo 2 2 4 8" xfId="15047"/>
    <cellStyle name="Cálculo 2 2 5" xfId="269"/>
    <cellStyle name="Cálculo 2 2 5 2" xfId="270"/>
    <cellStyle name="Cálculo 2 2 5 2 2" xfId="271"/>
    <cellStyle name="Cálculo 2 2 5 2 2 2" xfId="6554"/>
    <cellStyle name="Cálculo 2 2 5 2 2 2 2" xfId="13142"/>
    <cellStyle name="Cálculo 2 2 5 2 2 2 2 2" xfId="27464"/>
    <cellStyle name="Cálculo 2 2 5 2 2 2 3" xfId="18787"/>
    <cellStyle name="Cálculo 2 2 5 2 2 3" xfId="3867"/>
    <cellStyle name="Cálculo 2 2 5 2 2 3 2" xfId="9386"/>
    <cellStyle name="Cálculo 2 2 5 2 2 3 2 2" xfId="15648"/>
    <cellStyle name="Cálculo 2 2 5 2 2 3 2 2 2" xfId="29064"/>
    <cellStyle name="Cálculo 2 2 5 2 2 3 2 3" xfId="20393"/>
    <cellStyle name="Cálculo 2 2 5 2 2 3 3" xfId="4266"/>
    <cellStyle name="Cálculo 2 2 5 2 2 3 3 2" xfId="22859"/>
    <cellStyle name="Cálculo 2 2 5 2 2 3 4" xfId="15108"/>
    <cellStyle name="Cálculo 2 2 5 2 2 4" xfId="5239"/>
    <cellStyle name="Cálculo 2 2 5 2 2 4 2" xfId="23339"/>
    <cellStyle name="Cálculo 2 2 5 2 2 5" xfId="17265"/>
    <cellStyle name="Cálculo 2 2 5 2 3" xfId="272"/>
    <cellStyle name="Cálculo 2 2 5 2 3 2" xfId="8015"/>
    <cellStyle name="Cálculo 2 2 5 2 3 2 2" xfId="10629"/>
    <cellStyle name="Cálculo 2 2 5 2 3 2 2 2" xfId="16891"/>
    <cellStyle name="Cálculo 2 2 5 2 3 2 2 2 2" xfId="30307"/>
    <cellStyle name="Cálculo 2 2 5 2 3 2 2 3" xfId="21636"/>
    <cellStyle name="Cálculo 2 2 5 2 3 2 3" xfId="14619"/>
    <cellStyle name="Cálculo 2 2 5 2 3 2 3 2" xfId="28941"/>
    <cellStyle name="Cálculo 2 2 5 2 3 2 4" xfId="20264"/>
    <cellStyle name="Cálculo 2 2 5 2 3 3" xfId="13203"/>
    <cellStyle name="Cálculo 2 2 5 2 3 3 2" xfId="27525"/>
    <cellStyle name="Cálculo 2 2 5 2 3 4" xfId="18848"/>
    <cellStyle name="Cálculo 2 2 5 2 4" xfId="5642"/>
    <cellStyle name="Cálculo 2 2 5 2 4 2" xfId="12195"/>
    <cellStyle name="Cálculo 2 2 5 2 4 2 2" xfId="26517"/>
    <cellStyle name="Cálculo 2 2 5 2 4 3" xfId="17840"/>
    <cellStyle name="Cálculo 2 2 5 2 5" xfId="4537"/>
    <cellStyle name="Cálculo 2 2 5 2 5 2" xfId="23017"/>
    <cellStyle name="Cálculo 2 2 5 2 6" xfId="4761"/>
    <cellStyle name="Cálculo 2 2 5 3" xfId="273"/>
    <cellStyle name="Cálculo 2 2 5 3 2" xfId="274"/>
    <cellStyle name="Cálculo 2 2 5 3 2 2" xfId="6894"/>
    <cellStyle name="Cálculo 2 2 5 3 2 2 2" xfId="13498"/>
    <cellStyle name="Cálculo 2 2 5 3 2 2 2 2" xfId="27820"/>
    <cellStyle name="Cálculo 2 2 5 3 2 2 3" xfId="19143"/>
    <cellStyle name="Cálculo 2 2 5 3 2 3" xfId="7941"/>
    <cellStyle name="Cálculo 2 2 5 3 2 3 2" xfId="10555"/>
    <cellStyle name="Cálculo 2 2 5 3 2 3 2 2" xfId="16817"/>
    <cellStyle name="Cálculo 2 2 5 3 2 3 2 2 2" xfId="30233"/>
    <cellStyle name="Cálculo 2 2 5 3 2 3 2 3" xfId="21562"/>
    <cellStyle name="Cálculo 2 2 5 3 2 3 3" xfId="14545"/>
    <cellStyle name="Cálculo 2 2 5 3 2 3 3 2" xfId="28867"/>
    <cellStyle name="Cálculo 2 2 5 3 2 3 4" xfId="20190"/>
    <cellStyle name="Cálculo 2 2 5 3 2 4" xfId="11373"/>
    <cellStyle name="Cálculo 2 2 5 3 2 4 2" xfId="25695"/>
    <cellStyle name="Cálculo 2 2 5 3 2 5" xfId="14998"/>
    <cellStyle name="Cálculo 2 2 5 3 3" xfId="275"/>
    <cellStyle name="Cálculo 2 2 5 3 3 2" xfId="7141"/>
    <cellStyle name="Cálculo 2 2 5 3 3 2 2" xfId="9755"/>
    <cellStyle name="Cálculo 2 2 5 3 3 2 2 2" xfId="16017"/>
    <cellStyle name="Cálculo 2 2 5 3 3 2 2 2 2" xfId="29433"/>
    <cellStyle name="Cálculo 2 2 5 3 3 2 2 3" xfId="20762"/>
    <cellStyle name="Cálculo 2 2 5 3 3 2 3" xfId="13745"/>
    <cellStyle name="Cálculo 2 2 5 3 3 2 3 2" xfId="28067"/>
    <cellStyle name="Cálculo 2 2 5 3 3 2 4" xfId="19390"/>
    <cellStyle name="Cálculo 2 2 5 3 3 3" xfId="13246"/>
    <cellStyle name="Cálculo 2 2 5 3 3 3 2" xfId="27568"/>
    <cellStyle name="Cálculo 2 2 5 3 3 4" xfId="18891"/>
    <cellStyle name="Cálculo 2 2 5 3 4" xfId="5688"/>
    <cellStyle name="Cálculo 2 2 5 3 4 2" xfId="12241"/>
    <cellStyle name="Cálculo 2 2 5 3 4 2 2" xfId="26563"/>
    <cellStyle name="Cálculo 2 2 5 3 4 3" xfId="17886"/>
    <cellStyle name="Cálculo 2 2 5 3 5" xfId="3724"/>
    <cellStyle name="Cálculo 2 2 5 3 5 2" xfId="22547"/>
    <cellStyle name="Cálculo 2 2 5 3 6" xfId="14739"/>
    <cellStyle name="Cálculo 2 2 5 4" xfId="276"/>
    <cellStyle name="Cálculo 2 2 5 4 2" xfId="6935"/>
    <cellStyle name="Cálculo 2 2 5 4 2 2" xfId="13539"/>
    <cellStyle name="Cálculo 2 2 5 4 2 2 2" xfId="27861"/>
    <cellStyle name="Cálculo 2 2 5 4 2 3" xfId="19184"/>
    <cellStyle name="Cálculo 2 2 5 4 3" xfId="4348"/>
    <cellStyle name="Cálculo 2 2 5 4 3 2" xfId="9453"/>
    <cellStyle name="Cálculo 2 2 5 4 3 2 2" xfId="15715"/>
    <cellStyle name="Cálculo 2 2 5 4 3 2 2 2" xfId="29131"/>
    <cellStyle name="Cálculo 2 2 5 4 3 2 3" xfId="20460"/>
    <cellStyle name="Cálculo 2 2 5 4 3 3" xfId="3760"/>
    <cellStyle name="Cálculo 2 2 5 4 3 3 2" xfId="22566"/>
    <cellStyle name="Cálculo 2 2 5 4 3 4" xfId="14819"/>
    <cellStyle name="Cálculo 2 2 5 4 4" xfId="11428"/>
    <cellStyle name="Cálculo 2 2 5 4 4 2" xfId="25750"/>
    <cellStyle name="Cálculo 2 2 5 4 5" xfId="3628"/>
    <cellStyle name="Cálculo 2 2 5 5" xfId="277"/>
    <cellStyle name="Cálculo 2 2 5 5 2" xfId="5313"/>
    <cellStyle name="Cálculo 2 2 5 5 2 2" xfId="9622"/>
    <cellStyle name="Cálculo 2 2 5 5 2 2 2" xfId="15884"/>
    <cellStyle name="Cálculo 2 2 5 5 2 2 2 2" xfId="29300"/>
    <cellStyle name="Cálculo 2 2 5 5 2 2 3" xfId="20629"/>
    <cellStyle name="Cálculo 2 2 5 5 2 3" xfId="11863"/>
    <cellStyle name="Cálculo 2 2 5 5 2 3 2" xfId="26185"/>
    <cellStyle name="Cálculo 2 2 5 5 2 4" xfId="17508"/>
    <cellStyle name="Cálculo 2 2 5 5 3" xfId="12497"/>
    <cellStyle name="Cálculo 2 2 5 5 3 2" xfId="26819"/>
    <cellStyle name="Cálculo 2 2 5 5 4" xfId="18142"/>
    <cellStyle name="Cálculo 2 2 5 6" xfId="5170"/>
    <cellStyle name="Cálculo 2 2 5 6 2" xfId="11719"/>
    <cellStyle name="Cálculo 2 2 5 6 2 2" xfId="26041"/>
    <cellStyle name="Cálculo 2 2 5 6 3" xfId="4722"/>
    <cellStyle name="Cálculo 2 2 5 7" xfId="6727"/>
    <cellStyle name="Cálculo 2 2 5 7 2" xfId="23681"/>
    <cellStyle name="Cálculo 2 2 5 8" xfId="17093"/>
    <cellStyle name="Cálculo 2 2 6" xfId="278"/>
    <cellStyle name="Cálculo 2 2 6 2" xfId="279"/>
    <cellStyle name="Cálculo 2 2 6 2 2" xfId="280"/>
    <cellStyle name="Cálculo 2 2 6 2 2 2" xfId="7007"/>
    <cellStyle name="Cálculo 2 2 6 2 2 2 2" xfId="13611"/>
    <cellStyle name="Cálculo 2 2 6 2 2 2 2 2" xfId="27933"/>
    <cellStyle name="Cálculo 2 2 6 2 2 2 3" xfId="19256"/>
    <cellStyle name="Cálculo 2 2 6 2 2 3" xfId="7563"/>
    <cellStyle name="Cálculo 2 2 6 2 2 3 2" xfId="10177"/>
    <cellStyle name="Cálculo 2 2 6 2 2 3 2 2" xfId="16439"/>
    <cellStyle name="Cálculo 2 2 6 2 2 3 2 2 2" xfId="29855"/>
    <cellStyle name="Cálculo 2 2 6 2 2 3 2 3" xfId="21184"/>
    <cellStyle name="Cálculo 2 2 6 2 2 3 3" xfId="14167"/>
    <cellStyle name="Cálculo 2 2 6 2 2 3 3 2" xfId="28489"/>
    <cellStyle name="Cálculo 2 2 6 2 2 3 4" xfId="19812"/>
    <cellStyle name="Cálculo 2 2 6 2 2 4" xfId="11527"/>
    <cellStyle name="Cálculo 2 2 6 2 2 4 2" xfId="25849"/>
    <cellStyle name="Cálculo 2 2 6 2 2 5" xfId="4897"/>
    <cellStyle name="Cálculo 2 2 6 2 3" xfId="281"/>
    <cellStyle name="Cálculo 2 2 6 2 3 2" xfId="7352"/>
    <cellStyle name="Cálculo 2 2 6 2 3 2 2" xfId="9966"/>
    <cellStyle name="Cálculo 2 2 6 2 3 2 2 2" xfId="16228"/>
    <cellStyle name="Cálculo 2 2 6 2 3 2 2 2 2" xfId="29644"/>
    <cellStyle name="Cálculo 2 2 6 2 3 2 2 3" xfId="20973"/>
    <cellStyle name="Cálculo 2 2 6 2 3 2 3" xfId="13956"/>
    <cellStyle name="Cálculo 2 2 6 2 3 2 3 2" xfId="28278"/>
    <cellStyle name="Cálculo 2 2 6 2 3 2 4" xfId="19601"/>
    <cellStyle name="Cálculo 2 2 6 2 3 3" xfId="13363"/>
    <cellStyle name="Cálculo 2 2 6 2 3 3 2" xfId="27685"/>
    <cellStyle name="Cálculo 2 2 6 2 3 4" xfId="19008"/>
    <cellStyle name="Cálculo 2 2 6 2 4" xfId="5814"/>
    <cellStyle name="Cálculo 2 2 6 2 4 2" xfId="12367"/>
    <cellStyle name="Cálculo 2 2 6 2 4 2 2" xfId="26689"/>
    <cellStyle name="Cálculo 2 2 6 2 4 3" xfId="18012"/>
    <cellStyle name="Cálculo 2 2 6 2 5" xfId="6325"/>
    <cellStyle name="Cálculo 2 2 6 2 5 2" xfId="23516"/>
    <cellStyle name="Cálculo 2 2 6 2 6" xfId="15558"/>
    <cellStyle name="Cálculo 2 2 6 3" xfId="282"/>
    <cellStyle name="Cálculo 2 2 6 3 2" xfId="6398"/>
    <cellStyle name="Cálculo 2 2 6 3 2 2" xfId="12981"/>
    <cellStyle name="Cálculo 2 2 6 3 2 2 2" xfId="27303"/>
    <cellStyle name="Cálculo 2 2 6 3 2 3" xfId="18626"/>
    <cellStyle name="Cálculo 2 2 6 3 3" xfId="7054"/>
    <cellStyle name="Cálculo 2 2 6 3 3 2" xfId="9668"/>
    <cellStyle name="Cálculo 2 2 6 3 3 2 2" xfId="15930"/>
    <cellStyle name="Cálculo 2 2 6 3 3 2 2 2" xfId="29346"/>
    <cellStyle name="Cálculo 2 2 6 3 3 2 3" xfId="20675"/>
    <cellStyle name="Cálculo 2 2 6 3 3 3" xfId="13658"/>
    <cellStyle name="Cálculo 2 2 6 3 3 3 2" xfId="27980"/>
    <cellStyle name="Cálculo 2 2 6 3 3 4" xfId="19303"/>
    <cellStyle name="Cálculo 2 2 6 3 4" xfId="2846"/>
    <cellStyle name="Cálculo 2 2 6 3 4 2" xfId="22404"/>
    <cellStyle name="Cálculo 2 2 6 3 5" xfId="15416"/>
    <cellStyle name="Cálculo 2 2 6 4" xfId="283"/>
    <cellStyle name="Cálculo 2 2 6 4 2" xfId="4252"/>
    <cellStyle name="Cálculo 2 2 6 4 2 2" xfId="9434"/>
    <cellStyle name="Cálculo 2 2 6 4 2 2 2" xfId="15696"/>
    <cellStyle name="Cálculo 2 2 6 4 2 2 2 2" xfId="29112"/>
    <cellStyle name="Cálculo 2 2 6 4 2 2 3" xfId="20441"/>
    <cellStyle name="Cálculo 2 2 6 4 2 3" xfId="4024"/>
    <cellStyle name="Cálculo 2 2 6 4 2 3 2" xfId="22707"/>
    <cellStyle name="Cálculo 2 2 6 4 2 4" xfId="17136"/>
    <cellStyle name="Cálculo 2 2 6 4 3" xfId="11760"/>
    <cellStyle name="Cálculo 2 2 6 4 3 2" xfId="26082"/>
    <cellStyle name="Cálculo 2 2 6 4 4" xfId="17405"/>
    <cellStyle name="Cálculo 2 2 6 5" xfId="5092"/>
    <cellStyle name="Cálculo 2 2 6 5 2" xfId="11639"/>
    <cellStyle name="Cálculo 2 2 6 5 2 2" xfId="25961"/>
    <cellStyle name="Cálculo 2 2 6 5 3" xfId="15208"/>
    <cellStyle name="Cálculo 2 2 6 6" xfId="3650"/>
    <cellStyle name="Cálculo 2 2 6 6 2" xfId="22507"/>
    <cellStyle name="Cálculo 2 2 6 7" xfId="17120"/>
    <cellStyle name="Cálculo 2 2 7" xfId="284"/>
    <cellStyle name="Cálculo 2 2 7 2" xfId="285"/>
    <cellStyle name="Cálculo 2 2 7 2 2" xfId="5836"/>
    <cellStyle name="Cálculo 2 2 7 2 2 2" xfId="12389"/>
    <cellStyle name="Cálculo 2 2 7 2 2 2 2" xfId="26711"/>
    <cellStyle name="Cálculo 2 2 7 2 2 3" xfId="18034"/>
    <cellStyle name="Cálculo 2 2 7 2 3" xfId="7164"/>
    <cellStyle name="Cálculo 2 2 7 2 3 2" xfId="9778"/>
    <cellStyle name="Cálculo 2 2 7 2 3 2 2" xfId="16040"/>
    <cellStyle name="Cálculo 2 2 7 2 3 2 2 2" xfId="29456"/>
    <cellStyle name="Cálculo 2 2 7 2 3 2 3" xfId="20785"/>
    <cellStyle name="Cálculo 2 2 7 2 3 3" xfId="13768"/>
    <cellStyle name="Cálculo 2 2 7 2 3 3 2" xfId="28090"/>
    <cellStyle name="Cálculo 2 2 7 2 3 4" xfId="19413"/>
    <cellStyle name="Cálculo 2 2 7 2 4" xfId="4871"/>
    <cellStyle name="Cálculo 2 2 7 2 4 2" xfId="23234"/>
    <cellStyle name="Cálculo 2 2 7 2 5" xfId="14703"/>
    <cellStyle name="Cálculo 2 2 7 3" xfId="286"/>
    <cellStyle name="Cálculo 2 2 7 3 2" xfId="7560"/>
    <cellStyle name="Cálculo 2 2 7 3 2 2" xfId="10174"/>
    <cellStyle name="Cálculo 2 2 7 3 2 2 2" xfId="16436"/>
    <cellStyle name="Cálculo 2 2 7 3 2 2 2 2" xfId="29852"/>
    <cellStyle name="Cálculo 2 2 7 3 2 2 3" xfId="21181"/>
    <cellStyle name="Cálculo 2 2 7 3 2 3" xfId="14164"/>
    <cellStyle name="Cálculo 2 2 7 3 2 3 2" xfId="28486"/>
    <cellStyle name="Cálculo 2 2 7 3 2 4" xfId="19809"/>
    <cellStyle name="Cálculo 2 2 7 3 3" xfId="13221"/>
    <cellStyle name="Cálculo 2 2 7 3 3 2" xfId="27543"/>
    <cellStyle name="Cálculo 2 2 7 3 4" xfId="18866"/>
    <cellStyle name="Cálculo 2 2 7 4" xfId="5662"/>
    <cellStyle name="Cálculo 2 2 7 4 2" xfId="12215"/>
    <cellStyle name="Cálculo 2 2 7 4 2 2" xfId="26537"/>
    <cellStyle name="Cálculo 2 2 7 4 3" xfId="17860"/>
    <cellStyle name="Cálculo 2 2 7 5" xfId="4635"/>
    <cellStyle name="Cálculo 2 2 7 5 2" xfId="23079"/>
    <cellStyle name="Cálculo 2 2 7 6" xfId="15031"/>
    <cellStyle name="Cálculo 2 2 8" xfId="287"/>
    <cellStyle name="Cálculo 2 2 8 2" xfId="6407"/>
    <cellStyle name="Cálculo 2 2 8 2 2" xfId="12990"/>
    <cellStyle name="Cálculo 2 2 8 2 2 2" xfId="27312"/>
    <cellStyle name="Cálculo 2 2 8 2 3" xfId="18635"/>
    <cellStyle name="Cálculo 2 2 8 3" xfId="4835"/>
    <cellStyle name="Cálculo 2 2 8 3 2" xfId="9497"/>
    <cellStyle name="Cálculo 2 2 8 3 2 2" xfId="15759"/>
    <cellStyle name="Cálculo 2 2 8 3 2 2 2" xfId="29175"/>
    <cellStyle name="Cálculo 2 2 8 3 2 3" xfId="20504"/>
    <cellStyle name="Cálculo 2 2 8 3 3" xfId="11368"/>
    <cellStyle name="Cálculo 2 2 8 3 3 2" xfId="25690"/>
    <cellStyle name="Cálculo 2 2 8 3 4" xfId="15204"/>
    <cellStyle name="Cálculo 2 2 8 4" xfId="3662"/>
    <cellStyle name="Cálculo 2 2 8 4 2" xfId="22512"/>
    <cellStyle name="Cálculo 2 2 8 5" xfId="15065"/>
    <cellStyle name="Cálculo 2 2 9" xfId="288"/>
    <cellStyle name="Cálculo 2 2 9 2" xfId="7457"/>
    <cellStyle name="Cálculo 2 2 9 2 2" xfId="10071"/>
    <cellStyle name="Cálculo 2 2 9 2 2 2" xfId="16333"/>
    <cellStyle name="Cálculo 2 2 9 2 2 2 2" xfId="29749"/>
    <cellStyle name="Cálculo 2 2 9 2 2 3" xfId="21078"/>
    <cellStyle name="Cálculo 2 2 9 2 3" xfId="14061"/>
    <cellStyle name="Cálculo 2 2 9 2 3 2" xfId="28383"/>
    <cellStyle name="Cálculo 2 2 9 2 4" xfId="19706"/>
    <cellStyle name="Cálculo 2 2 9 3" xfId="12727"/>
    <cellStyle name="Cálculo 2 2 9 3 2" xfId="27049"/>
    <cellStyle name="Cálculo 2 2 9 4" xfId="18372"/>
    <cellStyle name="Cálculo 2 3" xfId="289"/>
    <cellStyle name="Cálculo 2 3 10" xfId="4671"/>
    <cellStyle name="Cálculo 2 3 10 2" xfId="23110"/>
    <cellStyle name="Cálculo 2 3 11" xfId="3257"/>
    <cellStyle name="Cálculo 2 3 2" xfId="290"/>
    <cellStyle name="Cálculo 2 3 2 2" xfId="291"/>
    <cellStyle name="Cálculo 2 3 2 2 2" xfId="292"/>
    <cellStyle name="Cálculo 2 3 2 2 2 2" xfId="6385"/>
    <cellStyle name="Cálculo 2 3 2 2 2 2 2" xfId="12968"/>
    <cellStyle name="Cálculo 2 3 2 2 2 2 2 2" xfId="27290"/>
    <cellStyle name="Cálculo 2 3 2 2 2 2 3" xfId="18613"/>
    <cellStyle name="Cálculo 2 3 2 2 2 3" xfId="7297"/>
    <cellStyle name="Cálculo 2 3 2 2 2 3 2" xfId="9911"/>
    <cellStyle name="Cálculo 2 3 2 2 2 3 2 2" xfId="16173"/>
    <cellStyle name="Cálculo 2 3 2 2 2 3 2 2 2" xfId="29589"/>
    <cellStyle name="Cálculo 2 3 2 2 2 3 2 3" xfId="20918"/>
    <cellStyle name="Cálculo 2 3 2 2 2 3 3" xfId="13901"/>
    <cellStyle name="Cálculo 2 3 2 2 2 3 3 2" xfId="28223"/>
    <cellStyle name="Cálculo 2 3 2 2 2 3 4" xfId="19546"/>
    <cellStyle name="Cálculo 2 3 2 2 2 4" xfId="4221"/>
    <cellStyle name="Cálculo 2 3 2 2 2 4 2" xfId="22833"/>
    <cellStyle name="Cálculo 2 3 2 2 2 5" xfId="17243"/>
    <cellStyle name="Cálculo 2 3 2 2 3" xfId="293"/>
    <cellStyle name="Cálculo 2 3 2 2 3 2" xfId="7974"/>
    <cellStyle name="Cálculo 2 3 2 2 3 2 2" xfId="10588"/>
    <cellStyle name="Cálculo 2 3 2 2 3 2 2 2" xfId="16850"/>
    <cellStyle name="Cálculo 2 3 2 2 3 2 2 2 2" xfId="30266"/>
    <cellStyle name="Cálculo 2 3 2 2 3 2 2 3" xfId="21595"/>
    <cellStyle name="Cálculo 2 3 2 2 3 2 3" xfId="14578"/>
    <cellStyle name="Cálculo 2 3 2 2 3 2 3 2" xfId="28900"/>
    <cellStyle name="Cálculo 2 3 2 2 3 2 4" xfId="20223"/>
    <cellStyle name="Cálculo 2 3 2 2 3 3" xfId="13315"/>
    <cellStyle name="Cálculo 2 3 2 2 3 3 2" xfId="27637"/>
    <cellStyle name="Cálculo 2 3 2 2 3 4" xfId="18960"/>
    <cellStyle name="Cálculo 2 3 2 2 4" xfId="5765"/>
    <cellStyle name="Cálculo 2 3 2 2 4 2" xfId="12318"/>
    <cellStyle name="Cálculo 2 3 2 2 4 2 2" xfId="26640"/>
    <cellStyle name="Cálculo 2 3 2 2 4 3" xfId="17963"/>
    <cellStyle name="Cálculo 2 3 2 2 5" xfId="5483"/>
    <cellStyle name="Cálculo 2 3 2 2 5 2" xfId="23347"/>
    <cellStyle name="Cálculo 2 3 2 2 6" xfId="17271"/>
    <cellStyle name="Cálculo 2 3 2 3" xfId="294"/>
    <cellStyle name="Cálculo 2 3 2 3 2" xfId="295"/>
    <cellStyle name="Cálculo 2 3 2 3 2 2" xfId="5974"/>
    <cellStyle name="Cálculo 2 3 2 3 2 2 2" xfId="12532"/>
    <cellStyle name="Cálculo 2 3 2 3 2 2 2 2" xfId="26854"/>
    <cellStyle name="Cálculo 2 3 2 3 2 2 3" xfId="18177"/>
    <cellStyle name="Cálculo 2 3 2 3 2 3" xfId="7323"/>
    <cellStyle name="Cálculo 2 3 2 3 2 3 2" xfId="9937"/>
    <cellStyle name="Cálculo 2 3 2 3 2 3 2 2" xfId="16199"/>
    <cellStyle name="Cálculo 2 3 2 3 2 3 2 2 2" xfId="29615"/>
    <cellStyle name="Cálculo 2 3 2 3 2 3 2 3" xfId="20944"/>
    <cellStyle name="Cálculo 2 3 2 3 2 3 3" xfId="13927"/>
    <cellStyle name="Cálculo 2 3 2 3 2 3 3 2" xfId="28249"/>
    <cellStyle name="Cálculo 2 3 2 3 2 3 4" xfId="19572"/>
    <cellStyle name="Cálculo 2 3 2 3 2 4" xfId="4596"/>
    <cellStyle name="Cálculo 2 3 2 3 2 4 2" xfId="23057"/>
    <cellStyle name="Cálculo 2 3 2 3 2 5" xfId="17151"/>
    <cellStyle name="Cálculo 2 3 2 3 3" xfId="296"/>
    <cellStyle name="Cálculo 2 3 2 3 3 2" xfId="7324"/>
    <cellStyle name="Cálculo 2 3 2 3 3 2 2" xfId="9938"/>
    <cellStyle name="Cálculo 2 3 2 3 3 2 2 2" xfId="16200"/>
    <cellStyle name="Cálculo 2 3 2 3 3 2 2 2 2" xfId="29616"/>
    <cellStyle name="Cálculo 2 3 2 3 3 2 2 3" xfId="20945"/>
    <cellStyle name="Cálculo 2 3 2 3 3 2 3" xfId="13928"/>
    <cellStyle name="Cálculo 2 3 2 3 3 2 3 2" xfId="28250"/>
    <cellStyle name="Cálculo 2 3 2 3 3 2 4" xfId="19573"/>
    <cellStyle name="Cálculo 2 3 2 3 3 3" xfId="12116"/>
    <cellStyle name="Cálculo 2 3 2 3 3 3 2" xfId="26438"/>
    <cellStyle name="Cálculo 2 3 2 3 3 4" xfId="17761"/>
    <cellStyle name="Cálculo 2 3 2 3 4" xfId="3823"/>
    <cellStyle name="Cálculo 2 3 2 3 4 2" xfId="4328"/>
    <cellStyle name="Cálculo 2 3 2 3 4 2 2" xfId="22889"/>
    <cellStyle name="Cálculo 2 3 2 3 4 3" xfId="6272"/>
    <cellStyle name="Cálculo 2 3 2 3 5" xfId="4312"/>
    <cellStyle name="Cálculo 2 3 2 3 5 2" xfId="22884"/>
    <cellStyle name="Cálculo 2 3 2 3 6" xfId="15365"/>
    <cellStyle name="Cálculo 2 3 2 4" xfId="297"/>
    <cellStyle name="Cálculo 2 3 2 4 2" xfId="6123"/>
    <cellStyle name="Cálculo 2 3 2 4 2 2" xfId="12692"/>
    <cellStyle name="Cálculo 2 3 2 4 2 2 2" xfId="27014"/>
    <cellStyle name="Cálculo 2 3 2 4 2 3" xfId="18337"/>
    <cellStyle name="Cálculo 2 3 2 4 3" xfId="7142"/>
    <cellStyle name="Cálculo 2 3 2 4 3 2" xfId="9756"/>
    <cellStyle name="Cálculo 2 3 2 4 3 2 2" xfId="16018"/>
    <cellStyle name="Cálculo 2 3 2 4 3 2 2 2" xfId="29434"/>
    <cellStyle name="Cálculo 2 3 2 4 3 2 3" xfId="20763"/>
    <cellStyle name="Cálculo 2 3 2 4 3 3" xfId="13746"/>
    <cellStyle name="Cálculo 2 3 2 4 3 3 2" xfId="28068"/>
    <cellStyle name="Cálculo 2 3 2 4 3 4" xfId="19391"/>
    <cellStyle name="Cálculo 2 3 2 4 4" xfId="4227"/>
    <cellStyle name="Cálculo 2 3 2 4 4 2" xfId="22838"/>
    <cellStyle name="Cálculo 2 3 2 4 5" xfId="6365"/>
    <cellStyle name="Cálculo 2 3 2 5" xfId="298"/>
    <cellStyle name="Cálculo 2 3 2 5 2" xfId="7450"/>
    <cellStyle name="Cálculo 2 3 2 5 2 2" xfId="10064"/>
    <cellStyle name="Cálculo 2 3 2 5 2 2 2" xfId="16326"/>
    <cellStyle name="Cálculo 2 3 2 5 2 2 2 2" xfId="29742"/>
    <cellStyle name="Cálculo 2 3 2 5 2 2 3" xfId="21071"/>
    <cellStyle name="Cálculo 2 3 2 5 2 3" xfId="14054"/>
    <cellStyle name="Cálculo 2 3 2 5 2 3 2" xfId="28376"/>
    <cellStyle name="Cálculo 2 3 2 5 2 4" xfId="19699"/>
    <cellStyle name="Cálculo 2 3 2 5 3" xfId="12891"/>
    <cellStyle name="Cálculo 2 3 2 5 3 2" xfId="27213"/>
    <cellStyle name="Cálculo 2 3 2 5 4" xfId="18536"/>
    <cellStyle name="Cálculo 2 3 2 6" xfId="5509"/>
    <cellStyle name="Cálculo 2 3 2 6 2" xfId="12060"/>
    <cellStyle name="Cálculo 2 3 2 6 2 2" xfId="26382"/>
    <cellStyle name="Cálculo 2 3 2 6 3" xfId="17705"/>
    <cellStyle name="Cálculo 2 3 2 7" xfId="6604"/>
    <cellStyle name="Cálculo 2 3 2 7 2" xfId="23598"/>
    <cellStyle name="Cálculo 2 3 2 8" xfId="17190"/>
    <cellStyle name="Cálculo 2 3 3" xfId="299"/>
    <cellStyle name="Cálculo 2 3 3 2" xfId="300"/>
    <cellStyle name="Cálculo 2 3 3 2 2" xfId="301"/>
    <cellStyle name="Cálculo 2 3 3 2 2 2" xfId="5992"/>
    <cellStyle name="Cálculo 2 3 3 2 2 2 2" xfId="12550"/>
    <cellStyle name="Cálculo 2 3 3 2 2 2 2 2" xfId="26872"/>
    <cellStyle name="Cálculo 2 3 3 2 2 2 3" xfId="18195"/>
    <cellStyle name="Cálculo 2 3 3 2 2 3" xfId="7237"/>
    <cellStyle name="Cálculo 2 3 3 2 2 3 2" xfId="9851"/>
    <cellStyle name="Cálculo 2 3 3 2 2 3 2 2" xfId="16113"/>
    <cellStyle name="Cálculo 2 3 3 2 2 3 2 2 2" xfId="29529"/>
    <cellStyle name="Cálculo 2 3 3 2 2 3 2 3" xfId="20858"/>
    <cellStyle name="Cálculo 2 3 3 2 2 3 3" xfId="13841"/>
    <cellStyle name="Cálculo 2 3 3 2 2 3 3 2" xfId="28163"/>
    <cellStyle name="Cálculo 2 3 3 2 2 3 4" xfId="19486"/>
    <cellStyle name="Cálculo 2 3 3 2 2 4" xfId="4549"/>
    <cellStyle name="Cálculo 2 3 3 2 2 4 2" xfId="23026"/>
    <cellStyle name="Cálculo 2 3 3 2 2 5" xfId="15277"/>
    <cellStyle name="Cálculo 2 3 3 2 3" xfId="302"/>
    <cellStyle name="Cálculo 2 3 3 2 3 2" xfId="7299"/>
    <cellStyle name="Cálculo 2 3 3 2 3 2 2" xfId="9913"/>
    <cellStyle name="Cálculo 2 3 3 2 3 2 2 2" xfId="16175"/>
    <cellStyle name="Cálculo 2 3 3 2 3 2 2 2 2" xfId="29591"/>
    <cellStyle name="Cálculo 2 3 3 2 3 2 2 3" xfId="20920"/>
    <cellStyle name="Cálculo 2 3 3 2 3 2 3" xfId="13903"/>
    <cellStyle name="Cálculo 2 3 3 2 3 2 3 2" xfId="28225"/>
    <cellStyle name="Cálculo 2 3 3 2 3 2 4" xfId="19548"/>
    <cellStyle name="Cálculo 2 3 3 2 3 3" xfId="13351"/>
    <cellStyle name="Cálculo 2 3 3 2 3 3 2" xfId="27673"/>
    <cellStyle name="Cálculo 2 3 3 2 3 4" xfId="18996"/>
    <cellStyle name="Cálculo 2 3 3 2 4" xfId="5801"/>
    <cellStyle name="Cálculo 2 3 3 2 4 2" xfId="12354"/>
    <cellStyle name="Cálculo 2 3 3 2 4 2 2" xfId="26676"/>
    <cellStyle name="Cálculo 2 3 3 2 4 3" xfId="17999"/>
    <cellStyle name="Cálculo 2 3 3 2 5" xfId="3141"/>
    <cellStyle name="Cálculo 2 3 3 2 5 2" xfId="22418"/>
    <cellStyle name="Cálculo 2 3 3 2 6" xfId="4020"/>
    <cellStyle name="Cálculo 2 3 3 3" xfId="303"/>
    <cellStyle name="Cálculo 2 3 3 3 2" xfId="304"/>
    <cellStyle name="Cálculo 2 3 3 3 2 2" xfId="7021"/>
    <cellStyle name="Cálculo 2 3 3 3 2 2 2" xfId="13625"/>
    <cellStyle name="Cálculo 2 3 3 3 2 2 2 2" xfId="27947"/>
    <cellStyle name="Cálculo 2 3 3 3 2 2 3" xfId="19270"/>
    <cellStyle name="Cálculo 2 3 3 3 2 3" xfId="7341"/>
    <cellStyle name="Cálculo 2 3 3 3 2 3 2" xfId="9955"/>
    <cellStyle name="Cálculo 2 3 3 3 2 3 2 2" xfId="16217"/>
    <cellStyle name="Cálculo 2 3 3 3 2 3 2 2 2" xfId="29633"/>
    <cellStyle name="Cálculo 2 3 3 3 2 3 2 3" xfId="20962"/>
    <cellStyle name="Cálculo 2 3 3 3 2 3 3" xfId="13945"/>
    <cellStyle name="Cálculo 2 3 3 3 2 3 3 2" xfId="28267"/>
    <cellStyle name="Cálculo 2 3 3 3 2 3 4" xfId="19590"/>
    <cellStyle name="Cálculo 2 3 3 3 2 4" xfId="11554"/>
    <cellStyle name="Cálculo 2 3 3 3 2 4 2" xfId="25876"/>
    <cellStyle name="Cálculo 2 3 3 3 2 5" xfId="15583"/>
    <cellStyle name="Cálculo 2 3 3 3 3" xfId="305"/>
    <cellStyle name="Cálculo 2 3 3 3 3 2" xfId="7404"/>
    <cellStyle name="Cálculo 2 3 3 3 3 2 2" xfId="10018"/>
    <cellStyle name="Cálculo 2 3 3 3 3 2 2 2" xfId="16280"/>
    <cellStyle name="Cálculo 2 3 3 3 3 2 2 2 2" xfId="29696"/>
    <cellStyle name="Cálculo 2 3 3 3 3 2 2 3" xfId="21025"/>
    <cellStyle name="Cálculo 2 3 3 3 3 2 3" xfId="14008"/>
    <cellStyle name="Cálculo 2 3 3 3 3 2 3 2" xfId="28330"/>
    <cellStyle name="Cálculo 2 3 3 3 3 2 4" xfId="19653"/>
    <cellStyle name="Cálculo 2 3 3 3 3 3" xfId="13423"/>
    <cellStyle name="Cálculo 2 3 3 3 3 3 2" xfId="27745"/>
    <cellStyle name="Cálculo 2 3 3 3 3 4" xfId="19068"/>
    <cellStyle name="Cálculo 2 3 3 3 4" xfId="5896"/>
    <cellStyle name="Cálculo 2 3 3 3 4 2" xfId="12449"/>
    <cellStyle name="Cálculo 2 3 3 3 4 2 2" xfId="26771"/>
    <cellStyle name="Cálculo 2 3 3 3 4 3" xfId="18094"/>
    <cellStyle name="Cálculo 2 3 3 3 5" xfId="2784"/>
    <cellStyle name="Cálculo 2 3 3 3 5 2" xfId="22353"/>
    <cellStyle name="Cálculo 2 3 3 3 6" xfId="6288"/>
    <cellStyle name="Cálculo 2 3 3 4" xfId="306"/>
    <cellStyle name="Cálculo 2 3 3 4 2" xfId="6833"/>
    <cellStyle name="Cálculo 2 3 3 4 2 2" xfId="13437"/>
    <cellStyle name="Cálculo 2 3 3 4 2 2 2" xfId="27759"/>
    <cellStyle name="Cálculo 2 3 3 4 2 3" xfId="19082"/>
    <cellStyle name="Cálculo 2 3 3 4 3" xfId="4351"/>
    <cellStyle name="Cálculo 2 3 3 4 3 2" xfId="9454"/>
    <cellStyle name="Cálculo 2 3 3 4 3 2 2" xfId="15716"/>
    <cellStyle name="Cálculo 2 3 3 4 3 2 2 2" xfId="29132"/>
    <cellStyle name="Cálculo 2 3 3 4 3 2 3" xfId="20461"/>
    <cellStyle name="Cálculo 2 3 3 4 3 3" xfId="6326"/>
    <cellStyle name="Cálculo 2 3 3 4 3 3 2" xfId="23517"/>
    <cellStyle name="Cálculo 2 3 3 4 3 4" xfId="15021"/>
    <cellStyle name="Cálculo 2 3 3 4 4" xfId="2776"/>
    <cellStyle name="Cálculo 2 3 3 4 4 2" xfId="22345"/>
    <cellStyle name="Cálculo 2 3 3 4 5" xfId="14784"/>
    <cellStyle name="Cálculo 2 3 3 5" xfId="307"/>
    <cellStyle name="Cálculo 2 3 3 5 2" xfId="7867"/>
    <cellStyle name="Cálculo 2 3 3 5 2 2" xfId="10481"/>
    <cellStyle name="Cálculo 2 3 3 5 2 2 2" xfId="16743"/>
    <cellStyle name="Cálculo 2 3 3 5 2 2 2 2" xfId="30159"/>
    <cellStyle name="Cálculo 2 3 3 5 2 2 3" xfId="21488"/>
    <cellStyle name="Cálculo 2 3 3 5 2 3" xfId="14471"/>
    <cellStyle name="Cálculo 2 3 3 5 2 3 2" xfId="28793"/>
    <cellStyle name="Cálculo 2 3 3 5 2 4" xfId="20116"/>
    <cellStyle name="Cálculo 2 3 3 5 3" xfId="12927"/>
    <cellStyle name="Cálculo 2 3 3 5 3 2" xfId="27249"/>
    <cellStyle name="Cálculo 2 3 3 5 4" xfId="18572"/>
    <cellStyle name="Cálculo 2 3 3 6" xfId="5551"/>
    <cellStyle name="Cálculo 2 3 3 6 2" xfId="12102"/>
    <cellStyle name="Cálculo 2 3 3 6 2 2" xfId="26424"/>
    <cellStyle name="Cálculo 2 3 3 6 3" xfId="17747"/>
    <cellStyle name="Cálculo 2 3 3 7" xfId="6568"/>
    <cellStyle name="Cálculo 2 3 3 7 2" xfId="23580"/>
    <cellStyle name="Cálculo 2 3 3 8" xfId="14804"/>
    <cellStyle name="Cálculo 2 3 4" xfId="308"/>
    <cellStyle name="Cálculo 2 3 4 2" xfId="309"/>
    <cellStyle name="Cálculo 2 3 4 2 2" xfId="310"/>
    <cellStyle name="Cálculo 2 3 4 2 2 2" xfId="6906"/>
    <cellStyle name="Cálculo 2 3 4 2 2 2 2" xfId="13510"/>
    <cellStyle name="Cálculo 2 3 4 2 2 2 2 2" xfId="27832"/>
    <cellStyle name="Cálculo 2 3 4 2 2 2 3" xfId="19155"/>
    <cellStyle name="Cálculo 2 3 4 2 2 3" xfId="7805"/>
    <cellStyle name="Cálculo 2 3 4 2 2 3 2" xfId="10419"/>
    <cellStyle name="Cálculo 2 3 4 2 2 3 2 2" xfId="16681"/>
    <cellStyle name="Cálculo 2 3 4 2 2 3 2 2 2" xfId="30097"/>
    <cellStyle name="Cálculo 2 3 4 2 2 3 2 3" xfId="21426"/>
    <cellStyle name="Cálculo 2 3 4 2 2 3 3" xfId="14409"/>
    <cellStyle name="Cálculo 2 3 4 2 2 3 3 2" xfId="28731"/>
    <cellStyle name="Cálculo 2 3 4 2 2 3 4" xfId="20054"/>
    <cellStyle name="Cálculo 2 3 4 2 2 4" xfId="11391"/>
    <cellStyle name="Cálculo 2 3 4 2 2 4 2" xfId="25713"/>
    <cellStyle name="Cálculo 2 3 4 2 2 5" xfId="14731"/>
    <cellStyle name="Cálculo 2 3 4 2 3" xfId="311"/>
    <cellStyle name="Cálculo 2 3 4 2 3 2" xfId="7269"/>
    <cellStyle name="Cálculo 2 3 4 2 3 2 2" xfId="9883"/>
    <cellStyle name="Cálculo 2 3 4 2 3 2 2 2" xfId="16145"/>
    <cellStyle name="Cálculo 2 3 4 2 3 2 2 2 2" xfId="29561"/>
    <cellStyle name="Cálculo 2 3 4 2 3 2 2 3" xfId="20890"/>
    <cellStyle name="Cálculo 2 3 4 2 3 2 3" xfId="13873"/>
    <cellStyle name="Cálculo 2 3 4 2 3 2 3 2" xfId="28195"/>
    <cellStyle name="Cálculo 2 3 4 2 3 2 4" xfId="19518"/>
    <cellStyle name="Cálculo 2 3 4 2 3 3" xfId="13274"/>
    <cellStyle name="Cálculo 2 3 4 2 3 3 2" xfId="27596"/>
    <cellStyle name="Cálculo 2 3 4 2 3 4" xfId="18919"/>
    <cellStyle name="Cálculo 2 3 4 2 4" xfId="5720"/>
    <cellStyle name="Cálculo 2 3 4 2 4 2" xfId="12273"/>
    <cellStyle name="Cálculo 2 3 4 2 4 2 2" xfId="26595"/>
    <cellStyle name="Cálculo 2 3 4 2 4 3" xfId="17918"/>
    <cellStyle name="Cálculo 2 3 4 2 5" xfId="3617"/>
    <cellStyle name="Cálculo 2 3 4 2 5 2" xfId="22489"/>
    <cellStyle name="Cálculo 2 3 4 2 6" xfId="3247"/>
    <cellStyle name="Cálculo 2 3 4 3" xfId="312"/>
    <cellStyle name="Cálculo 2 3 4 3 2" xfId="313"/>
    <cellStyle name="Cálculo 2 3 4 3 2 2" xfId="6913"/>
    <cellStyle name="Cálculo 2 3 4 3 2 2 2" xfId="13517"/>
    <cellStyle name="Cálculo 2 3 4 3 2 2 2 2" xfId="27839"/>
    <cellStyle name="Cálculo 2 3 4 3 2 2 3" xfId="19162"/>
    <cellStyle name="Cálculo 2 3 4 3 2 3" xfId="7980"/>
    <cellStyle name="Cálculo 2 3 4 3 2 3 2" xfId="10594"/>
    <cellStyle name="Cálculo 2 3 4 3 2 3 2 2" xfId="16856"/>
    <cellStyle name="Cálculo 2 3 4 3 2 3 2 2 2" xfId="30272"/>
    <cellStyle name="Cálculo 2 3 4 3 2 3 2 3" xfId="21601"/>
    <cellStyle name="Cálculo 2 3 4 3 2 3 3" xfId="14584"/>
    <cellStyle name="Cálculo 2 3 4 3 2 3 3 2" xfId="28906"/>
    <cellStyle name="Cálculo 2 3 4 3 2 3 4" xfId="20229"/>
    <cellStyle name="Cálculo 2 3 4 3 2 4" xfId="11399"/>
    <cellStyle name="Cálculo 2 3 4 3 2 4 2" xfId="25721"/>
    <cellStyle name="Cálculo 2 3 4 3 2 5" xfId="14852"/>
    <cellStyle name="Cálculo 2 3 4 3 3" xfId="314"/>
    <cellStyle name="Cálculo 2 3 4 3 3 2" xfId="4986"/>
    <cellStyle name="Cálculo 2 3 4 3 3 2 2" xfId="9532"/>
    <cellStyle name="Cálculo 2 3 4 3 3 2 2 2" xfId="15794"/>
    <cellStyle name="Cálculo 2 3 4 3 3 2 2 2 2" xfId="29210"/>
    <cellStyle name="Cálculo 2 3 4 3 3 2 2 3" xfId="20539"/>
    <cellStyle name="Cálculo 2 3 4 3 3 2 3" xfId="11529"/>
    <cellStyle name="Cálculo 2 3 4 3 3 2 3 2" xfId="25851"/>
    <cellStyle name="Cálculo 2 3 4 3 3 2 4" xfId="17138"/>
    <cellStyle name="Cálculo 2 3 4 3 3 3" xfId="13391"/>
    <cellStyle name="Cálculo 2 3 4 3 3 3 2" xfId="27713"/>
    <cellStyle name="Cálculo 2 3 4 3 3 4" xfId="19036"/>
    <cellStyle name="Cálculo 2 3 4 3 4" xfId="5855"/>
    <cellStyle name="Cálculo 2 3 4 3 4 2" xfId="12408"/>
    <cellStyle name="Cálculo 2 3 4 3 4 2 2" xfId="26730"/>
    <cellStyle name="Cálculo 2 3 4 3 4 3" xfId="18053"/>
    <cellStyle name="Cálculo 2 3 4 3 5" xfId="4157"/>
    <cellStyle name="Cálculo 2 3 4 3 5 2" xfId="22788"/>
    <cellStyle name="Cálculo 2 3 4 3 6" xfId="15481"/>
    <cellStyle name="Cálculo 2 3 4 4" xfId="315"/>
    <cellStyle name="Cálculo 2 3 4 4 2" xfId="6887"/>
    <cellStyle name="Cálculo 2 3 4 4 2 2" xfId="13491"/>
    <cellStyle name="Cálculo 2 3 4 4 2 2 2" xfId="27813"/>
    <cellStyle name="Cálculo 2 3 4 4 2 3" xfId="19136"/>
    <cellStyle name="Cálculo 2 3 4 4 3" xfId="4254"/>
    <cellStyle name="Cálculo 2 3 4 4 3 2" xfId="9436"/>
    <cellStyle name="Cálculo 2 3 4 4 3 2 2" xfId="15698"/>
    <cellStyle name="Cálculo 2 3 4 4 3 2 2 2" xfId="29114"/>
    <cellStyle name="Cálculo 2 3 4 4 3 2 3" xfId="20443"/>
    <cellStyle name="Cálculo 2 3 4 4 3 3" xfId="6107"/>
    <cellStyle name="Cálculo 2 3 4 4 3 3 2" xfId="23417"/>
    <cellStyle name="Cálculo 2 3 4 4 3 4" xfId="15541"/>
    <cellStyle name="Cálculo 2 3 4 4 4" xfId="11362"/>
    <cellStyle name="Cálculo 2 3 4 4 4 2" xfId="25684"/>
    <cellStyle name="Cálculo 2 3 4 4 5" xfId="14835"/>
    <cellStyle name="Cálculo 2 3 4 5" xfId="316"/>
    <cellStyle name="Cálculo 2 3 4 5 2" xfId="8053"/>
    <cellStyle name="Cálculo 2 3 4 5 2 2" xfId="10667"/>
    <cellStyle name="Cálculo 2 3 4 5 2 2 2" xfId="16929"/>
    <cellStyle name="Cálculo 2 3 4 5 2 2 2 2" xfId="30345"/>
    <cellStyle name="Cálculo 2 3 4 5 2 2 3" xfId="21674"/>
    <cellStyle name="Cálculo 2 3 4 5 2 3" xfId="14657"/>
    <cellStyle name="Cálculo 2 3 4 5 2 3 2" xfId="28979"/>
    <cellStyle name="Cálculo 2 3 4 5 2 4" xfId="20302"/>
    <cellStyle name="Cálculo 2 3 4 5 3" xfId="12833"/>
    <cellStyle name="Cálculo 2 3 4 5 3 2" xfId="27155"/>
    <cellStyle name="Cálculo 2 3 4 5 4" xfId="18478"/>
    <cellStyle name="Cálculo 2 3 4 6" xfId="5402"/>
    <cellStyle name="Cálculo 2 3 4 6 2" xfId="11952"/>
    <cellStyle name="Cálculo 2 3 4 6 2 2" xfId="26274"/>
    <cellStyle name="Cálculo 2 3 4 6 3" xfId="17597"/>
    <cellStyle name="Cálculo 2 3 4 7" xfId="2757"/>
    <cellStyle name="Cálculo 2 3 4 7 2" xfId="22327"/>
    <cellStyle name="Cálculo 2 3 4 8" xfId="15232"/>
    <cellStyle name="Cálculo 2 3 5" xfId="317"/>
    <cellStyle name="Cálculo 2 3 5 2" xfId="318"/>
    <cellStyle name="Cálculo 2 3 5 2 2" xfId="319"/>
    <cellStyle name="Cálculo 2 3 5 2 2 2" xfId="7036"/>
    <cellStyle name="Cálculo 2 3 5 2 2 2 2" xfId="13640"/>
    <cellStyle name="Cálculo 2 3 5 2 2 2 2 2" xfId="27962"/>
    <cellStyle name="Cálculo 2 3 5 2 2 2 3" xfId="19285"/>
    <cellStyle name="Cálculo 2 3 5 2 2 3" xfId="5246"/>
    <cellStyle name="Cálculo 2 3 5 2 2 3 2" xfId="9556"/>
    <cellStyle name="Cálculo 2 3 5 2 2 3 2 2" xfId="15818"/>
    <cellStyle name="Cálculo 2 3 5 2 2 3 2 2 2" xfId="29234"/>
    <cellStyle name="Cálculo 2 3 5 2 2 3 2 3" xfId="20563"/>
    <cellStyle name="Cálculo 2 3 5 2 2 3 3" xfId="11796"/>
    <cellStyle name="Cálculo 2 3 5 2 2 3 3 2" xfId="26118"/>
    <cellStyle name="Cálculo 2 3 5 2 2 3 4" xfId="17441"/>
    <cellStyle name="Cálculo 2 3 5 2 2 4" xfId="11581"/>
    <cellStyle name="Cálculo 2 3 5 2 2 4 2" xfId="25903"/>
    <cellStyle name="Cálculo 2 3 5 2 2 5" xfId="17128"/>
    <cellStyle name="Cálculo 2 3 5 2 3" xfId="320"/>
    <cellStyle name="Cálculo 2 3 5 2 3 2" xfId="4373"/>
    <cellStyle name="Cálculo 2 3 5 2 3 2 2" xfId="9456"/>
    <cellStyle name="Cálculo 2 3 5 2 3 2 2 2" xfId="15718"/>
    <cellStyle name="Cálculo 2 3 5 2 3 2 2 2 2" xfId="29134"/>
    <cellStyle name="Cálculo 2 3 5 2 3 2 2 3" xfId="20463"/>
    <cellStyle name="Cálculo 2 3 5 2 3 2 3" xfId="6239"/>
    <cellStyle name="Cálculo 2 3 5 2 3 2 3 2" xfId="23465"/>
    <cellStyle name="Cálculo 2 3 5 2 3 2 4" xfId="14758"/>
    <cellStyle name="Cálculo 2 3 5 2 3 3" xfId="4205"/>
    <cellStyle name="Cálculo 2 3 5 2 3 3 2" xfId="22820"/>
    <cellStyle name="Cálculo 2 3 5 2 3 4" xfId="6303"/>
    <cellStyle name="Cálculo 2 3 5 2 4" xfId="5179"/>
    <cellStyle name="Cálculo 2 3 5 2 4 2" xfId="11728"/>
    <cellStyle name="Cálculo 2 3 5 2 4 2 2" xfId="26050"/>
    <cellStyle name="Cálculo 2 3 5 2 4 3" xfId="6237"/>
    <cellStyle name="Cálculo 2 3 5 2 5" xfId="6805"/>
    <cellStyle name="Cálculo 2 3 5 2 5 2" xfId="23744"/>
    <cellStyle name="Cálculo 2 3 5 2 6" xfId="17116"/>
    <cellStyle name="Cálculo 2 3 5 3" xfId="321"/>
    <cellStyle name="Cálculo 2 3 5 3 2" xfId="6496"/>
    <cellStyle name="Cálculo 2 3 5 3 2 2" xfId="13082"/>
    <cellStyle name="Cálculo 2 3 5 3 2 2 2" xfId="27404"/>
    <cellStyle name="Cálculo 2 3 5 3 2 3" xfId="18727"/>
    <cellStyle name="Cálculo 2 3 5 3 3" xfId="5000"/>
    <cellStyle name="Cálculo 2 3 5 3 3 2" xfId="9537"/>
    <cellStyle name="Cálculo 2 3 5 3 3 2 2" xfId="15799"/>
    <cellStyle name="Cálculo 2 3 5 3 3 2 2 2" xfId="29215"/>
    <cellStyle name="Cálculo 2 3 5 3 3 2 3" xfId="20544"/>
    <cellStyle name="Cálculo 2 3 5 3 3 3" xfId="11543"/>
    <cellStyle name="Cálculo 2 3 5 3 3 3 2" xfId="25865"/>
    <cellStyle name="Cálculo 2 3 5 3 3 4" xfId="4337"/>
    <cellStyle name="Cálculo 2 3 5 3 4" xfId="4973"/>
    <cellStyle name="Cálculo 2 3 5 3 4 2" xfId="23289"/>
    <cellStyle name="Cálculo 2 3 5 3 5" xfId="15348"/>
    <cellStyle name="Cálculo 2 3 5 4" xfId="322"/>
    <cellStyle name="Cálculo 2 3 5 4 2" xfId="4395"/>
    <cellStyle name="Cálculo 2 3 5 4 2 2" xfId="9459"/>
    <cellStyle name="Cálculo 2 3 5 4 2 2 2" xfId="15721"/>
    <cellStyle name="Cálculo 2 3 5 4 2 2 2 2" xfId="29137"/>
    <cellStyle name="Cálculo 2 3 5 4 2 2 3" xfId="20466"/>
    <cellStyle name="Cálculo 2 3 5 4 2 3" xfId="4209"/>
    <cellStyle name="Cálculo 2 3 5 4 2 3 2" xfId="22823"/>
    <cellStyle name="Cálculo 2 3 5 4 2 4" xfId="17065"/>
    <cellStyle name="Cálculo 2 3 5 4 3" xfId="12712"/>
    <cellStyle name="Cálculo 2 3 5 4 3 2" xfId="27034"/>
    <cellStyle name="Cálculo 2 3 5 4 4" xfId="18357"/>
    <cellStyle name="Cálculo 2 3 5 5" xfId="5195"/>
    <cellStyle name="Cálculo 2 3 5 5 2" xfId="11744"/>
    <cellStyle name="Cálculo 2 3 5 5 2 2" xfId="26066"/>
    <cellStyle name="Cálculo 2 3 5 5 3" xfId="6130"/>
    <cellStyle name="Cálculo 2 3 5 6" xfId="6355"/>
    <cellStyle name="Cálculo 2 3 5 6 2" xfId="23539"/>
    <cellStyle name="Cálculo 2 3 5 7" xfId="15165"/>
    <cellStyle name="Cálculo 2 3 6" xfId="323"/>
    <cellStyle name="Cálculo 2 3 6 2" xfId="324"/>
    <cellStyle name="Cálculo 2 3 6 2 2" xfId="5224"/>
    <cellStyle name="Cálculo 2 3 6 2 2 2" xfId="11774"/>
    <cellStyle name="Cálculo 2 3 6 2 2 2 2" xfId="26096"/>
    <cellStyle name="Cálculo 2 3 6 2 2 3" xfId="17419"/>
    <cellStyle name="Cálculo 2 3 6 2 3" xfId="5013"/>
    <cellStyle name="Cálculo 2 3 6 2 3 2" xfId="9543"/>
    <cellStyle name="Cálculo 2 3 6 2 3 2 2" xfId="15805"/>
    <cellStyle name="Cálculo 2 3 6 2 3 2 2 2" xfId="29221"/>
    <cellStyle name="Cálculo 2 3 6 2 3 2 3" xfId="20550"/>
    <cellStyle name="Cálculo 2 3 6 2 3 3" xfId="11559"/>
    <cellStyle name="Cálculo 2 3 6 2 3 3 2" xfId="25881"/>
    <cellStyle name="Cálculo 2 3 6 2 3 4" xfId="6663"/>
    <cellStyle name="Cálculo 2 3 6 2 4" xfId="4837"/>
    <cellStyle name="Cálculo 2 3 6 2 4 2" xfId="23214"/>
    <cellStyle name="Cálculo 2 3 6 2 5" xfId="14814"/>
    <cellStyle name="Cálculo 2 3 6 3" xfId="325"/>
    <cellStyle name="Cálculo 2 3 6 3 2" xfId="7883"/>
    <cellStyle name="Cálculo 2 3 6 3 2 2" xfId="10497"/>
    <cellStyle name="Cálculo 2 3 6 3 2 2 2" xfId="16759"/>
    <cellStyle name="Cálculo 2 3 6 3 2 2 2 2" xfId="30175"/>
    <cellStyle name="Cálculo 2 3 6 3 2 2 3" xfId="21504"/>
    <cellStyle name="Cálculo 2 3 6 3 2 3" xfId="14487"/>
    <cellStyle name="Cálculo 2 3 6 3 2 3 2" xfId="28809"/>
    <cellStyle name="Cálculo 2 3 6 3 2 4" xfId="20132"/>
    <cellStyle name="Cálculo 2 3 6 3 3" xfId="13227"/>
    <cellStyle name="Cálculo 2 3 6 3 3 2" xfId="27549"/>
    <cellStyle name="Cálculo 2 3 6 3 4" xfId="18872"/>
    <cellStyle name="Cálculo 2 3 6 4" xfId="5668"/>
    <cellStyle name="Cálculo 2 3 6 4 2" xfId="12221"/>
    <cellStyle name="Cálculo 2 3 6 4 2 2" xfId="26543"/>
    <cellStyle name="Cálculo 2 3 6 4 3" xfId="17866"/>
    <cellStyle name="Cálculo 2 3 6 5" xfId="4732"/>
    <cellStyle name="Cálculo 2 3 6 5 2" xfId="23158"/>
    <cellStyle name="Cálculo 2 3 6 6" xfId="15461"/>
    <cellStyle name="Cálculo 2 3 7" xfId="326"/>
    <cellStyle name="Cálculo 2 3 7 2" xfId="6984"/>
    <cellStyle name="Cálculo 2 3 7 2 2" xfId="13588"/>
    <cellStyle name="Cálculo 2 3 7 2 2 2" xfId="27910"/>
    <cellStyle name="Cálculo 2 3 7 2 3" xfId="19233"/>
    <cellStyle name="Cálculo 2 3 7 3" xfId="8068"/>
    <cellStyle name="Cálculo 2 3 7 3 2" xfId="10682"/>
    <cellStyle name="Cálculo 2 3 7 3 2 2" xfId="16944"/>
    <cellStyle name="Cálculo 2 3 7 3 2 2 2" xfId="30360"/>
    <cellStyle name="Cálculo 2 3 7 3 2 3" xfId="21689"/>
    <cellStyle name="Cálculo 2 3 7 3 3" xfId="14672"/>
    <cellStyle name="Cálculo 2 3 7 3 3 2" xfId="28994"/>
    <cellStyle name="Cálculo 2 3 7 3 4" xfId="20317"/>
    <cellStyle name="Cálculo 2 3 7 4" xfId="11496"/>
    <cellStyle name="Cálculo 2 3 7 4 2" xfId="25818"/>
    <cellStyle name="Cálculo 2 3 7 5" xfId="15484"/>
    <cellStyle name="Cálculo 2 3 8" xfId="327"/>
    <cellStyle name="Cálculo 2 3 8 2" xfId="5263"/>
    <cellStyle name="Cálculo 2 3 8 2 2" xfId="9572"/>
    <cellStyle name="Cálculo 2 3 8 2 2 2" xfId="15834"/>
    <cellStyle name="Cálculo 2 3 8 2 2 2 2" xfId="29250"/>
    <cellStyle name="Cálculo 2 3 8 2 2 3" xfId="20579"/>
    <cellStyle name="Cálculo 2 3 8 2 3" xfId="11813"/>
    <cellStyle name="Cálculo 2 3 8 2 3 2" xfId="26135"/>
    <cellStyle name="Cálculo 2 3 8 2 4" xfId="17458"/>
    <cellStyle name="Cálculo 2 3 8 3" xfId="12754"/>
    <cellStyle name="Cálculo 2 3 8 3 2" xfId="27076"/>
    <cellStyle name="Cálculo 2 3 8 4" xfId="18399"/>
    <cellStyle name="Cálculo 2 3 9" xfId="5449"/>
    <cellStyle name="Cálculo 2 3 9 2" xfId="12000"/>
    <cellStyle name="Cálculo 2 3 9 2 2" xfId="26322"/>
    <cellStyle name="Cálculo 2 3 9 3" xfId="17645"/>
    <cellStyle name="Cálculo 2 4" xfId="328"/>
    <cellStyle name="Cálculo 2 4 2" xfId="329"/>
    <cellStyle name="Cálculo 2 4 2 2" xfId="330"/>
    <cellStyle name="Cálculo 2 4 2 2 2" xfId="6003"/>
    <cellStyle name="Cálculo 2 4 2 2 2 2" xfId="12562"/>
    <cellStyle name="Cálculo 2 4 2 2 2 2 2" xfId="26884"/>
    <cellStyle name="Cálculo 2 4 2 2 2 3" xfId="18207"/>
    <cellStyle name="Cálculo 2 4 2 2 3" xfId="4797"/>
    <cellStyle name="Cálculo 2 4 2 2 3 2" xfId="9487"/>
    <cellStyle name="Cálculo 2 4 2 2 3 2 2" xfId="15749"/>
    <cellStyle name="Cálculo 2 4 2 2 3 2 2 2" xfId="29165"/>
    <cellStyle name="Cálculo 2 4 2 2 3 2 3" xfId="20494"/>
    <cellStyle name="Cálculo 2 4 2 2 3 3" xfId="11326"/>
    <cellStyle name="Cálculo 2 4 2 2 3 3 2" xfId="25648"/>
    <cellStyle name="Cálculo 2 4 2 2 3 4" xfId="17047"/>
    <cellStyle name="Cálculo 2 4 2 2 4" xfId="4890"/>
    <cellStyle name="Cálculo 2 4 2 2 4 2" xfId="23248"/>
    <cellStyle name="Cálculo 2 4 2 2 5" xfId="15441"/>
    <cellStyle name="Cálculo 2 4 2 3" xfId="331"/>
    <cellStyle name="Cálculo 2 4 2 3 2" xfId="5270"/>
    <cellStyle name="Cálculo 2 4 2 3 2 2" xfId="9579"/>
    <cellStyle name="Cálculo 2 4 2 3 2 2 2" xfId="15841"/>
    <cellStyle name="Cálculo 2 4 2 3 2 2 2 2" xfId="29257"/>
    <cellStyle name="Cálculo 2 4 2 3 2 2 3" xfId="20586"/>
    <cellStyle name="Cálculo 2 4 2 3 2 3" xfId="11820"/>
    <cellStyle name="Cálculo 2 4 2 3 2 3 2" xfId="26142"/>
    <cellStyle name="Cálculo 2 4 2 3 2 4" xfId="17465"/>
    <cellStyle name="Cálculo 2 4 2 3 3" xfId="13200"/>
    <cellStyle name="Cálculo 2 4 2 3 3 2" xfId="27522"/>
    <cellStyle name="Cálculo 2 4 2 3 4" xfId="18845"/>
    <cellStyle name="Cálculo 2 4 2 4" xfId="5639"/>
    <cellStyle name="Cálculo 2 4 2 4 2" xfId="12192"/>
    <cellStyle name="Cálculo 2 4 2 4 2 2" xfId="26514"/>
    <cellStyle name="Cálculo 2 4 2 4 3" xfId="17837"/>
    <cellStyle name="Cálculo 2 4 2 5" xfId="4576"/>
    <cellStyle name="Cálculo 2 4 2 5 2" xfId="23043"/>
    <cellStyle name="Cálculo 2 4 2 6" xfId="15422"/>
    <cellStyle name="Cálculo 2 4 3" xfId="332"/>
    <cellStyle name="Cálculo 2 4 3 2" xfId="333"/>
    <cellStyle name="Cálculo 2 4 3 2 2" xfId="6058"/>
    <cellStyle name="Cálculo 2 4 3 2 2 2" xfId="12624"/>
    <cellStyle name="Cálculo 2 4 3 2 2 2 2" xfId="26946"/>
    <cellStyle name="Cálculo 2 4 3 2 2 3" xfId="18269"/>
    <cellStyle name="Cálculo 2 4 3 2 3" xfId="7084"/>
    <cellStyle name="Cálculo 2 4 3 2 3 2" xfId="9698"/>
    <cellStyle name="Cálculo 2 4 3 2 3 2 2" xfId="15960"/>
    <cellStyle name="Cálculo 2 4 3 2 3 2 2 2" xfId="29376"/>
    <cellStyle name="Cálculo 2 4 3 2 3 2 3" xfId="20705"/>
    <cellStyle name="Cálculo 2 4 3 2 3 3" xfId="13688"/>
    <cellStyle name="Cálculo 2 4 3 2 3 3 2" xfId="28010"/>
    <cellStyle name="Cálculo 2 4 3 2 3 4" xfId="19333"/>
    <cellStyle name="Cálculo 2 4 3 2 4" xfId="4093"/>
    <cellStyle name="Cálculo 2 4 3 2 4 2" xfId="22754"/>
    <cellStyle name="Cálculo 2 4 3 2 5" xfId="4240"/>
    <cellStyle name="Cálculo 2 4 3 3" xfId="334"/>
    <cellStyle name="Cálculo 2 4 3 3 2" xfId="7455"/>
    <cellStyle name="Cálculo 2 4 3 3 2 2" xfId="10069"/>
    <cellStyle name="Cálculo 2 4 3 3 2 2 2" xfId="16331"/>
    <cellStyle name="Cálculo 2 4 3 3 2 2 2 2" xfId="29747"/>
    <cellStyle name="Cálculo 2 4 3 3 2 2 3" xfId="21076"/>
    <cellStyle name="Cálculo 2 4 3 3 2 3" xfId="14059"/>
    <cellStyle name="Cálculo 2 4 3 3 2 3 2" xfId="28381"/>
    <cellStyle name="Cálculo 2 4 3 3 2 4" xfId="19704"/>
    <cellStyle name="Cálculo 2 4 3 3 3" xfId="13166"/>
    <cellStyle name="Cálculo 2 4 3 3 3 2" xfId="27488"/>
    <cellStyle name="Cálculo 2 4 3 3 4" xfId="18811"/>
    <cellStyle name="Cálculo 2 4 3 4" xfId="5580"/>
    <cellStyle name="Cálculo 2 4 3 4 2" xfId="12132"/>
    <cellStyle name="Cálculo 2 4 3 4 2 2" xfId="26454"/>
    <cellStyle name="Cálculo 2 4 3 4 3" xfId="17777"/>
    <cellStyle name="Cálculo 2 4 3 5" xfId="4602"/>
    <cellStyle name="Cálculo 2 4 3 5 2" xfId="23061"/>
    <cellStyle name="Cálculo 2 4 3 6" xfId="15524"/>
    <cellStyle name="Cálculo 2 4 4" xfId="335"/>
    <cellStyle name="Cálculo 2 4 4 2" xfId="5187"/>
    <cellStyle name="Cálculo 2 4 4 2 2" xfId="11736"/>
    <cellStyle name="Cálculo 2 4 4 2 2 2" xfId="26058"/>
    <cellStyle name="Cálculo 2 4 4 2 3" xfId="3692"/>
    <cellStyle name="Cálculo 2 4 4 3" xfId="7322"/>
    <cellStyle name="Cálculo 2 4 4 3 2" xfId="9936"/>
    <cellStyle name="Cálculo 2 4 4 3 2 2" xfId="16198"/>
    <cellStyle name="Cálculo 2 4 4 3 2 2 2" xfId="29614"/>
    <cellStyle name="Cálculo 2 4 4 3 2 3" xfId="20943"/>
    <cellStyle name="Cálculo 2 4 4 3 3" xfId="13926"/>
    <cellStyle name="Cálculo 2 4 4 3 3 2" xfId="28248"/>
    <cellStyle name="Cálculo 2 4 4 3 4" xfId="19571"/>
    <cellStyle name="Cálculo 2 4 4 4" xfId="6671"/>
    <cellStyle name="Cálculo 2 4 4 4 2" xfId="23643"/>
    <cellStyle name="Cálculo 2 4 4 5" xfId="17067"/>
    <cellStyle name="Cálculo 2 4 5" xfId="336"/>
    <cellStyle name="Cálculo 2 4 5 2" xfId="7442"/>
    <cellStyle name="Cálculo 2 4 5 2 2" xfId="10056"/>
    <cellStyle name="Cálculo 2 4 5 2 2 2" xfId="16318"/>
    <cellStyle name="Cálculo 2 4 5 2 2 2 2" xfId="29734"/>
    <cellStyle name="Cálculo 2 4 5 2 2 3" xfId="21063"/>
    <cellStyle name="Cálculo 2 4 5 2 3" xfId="14046"/>
    <cellStyle name="Cálculo 2 4 5 2 3 2" xfId="28368"/>
    <cellStyle name="Cálculo 2 4 5 2 4" xfId="19691"/>
    <cellStyle name="Cálculo 2 4 5 3" xfId="11789"/>
    <cellStyle name="Cálculo 2 4 5 3 2" xfId="26111"/>
    <cellStyle name="Cálculo 2 4 5 4" xfId="17434"/>
    <cellStyle name="Cálculo 2 4 6" xfId="4133"/>
    <cellStyle name="Cálculo 2 4 6 2" xfId="2877"/>
    <cellStyle name="Cálculo 2 4 6 2 2" xfId="22407"/>
    <cellStyle name="Cálculo 2 4 6 3" xfId="17331"/>
    <cellStyle name="Cálculo 2 4 7" xfId="6350"/>
    <cellStyle name="Cálculo 2 4 7 2" xfId="23536"/>
    <cellStyle name="Cálculo 2 4 8" xfId="6652"/>
    <cellStyle name="Cálculo 2 5" xfId="337"/>
    <cellStyle name="Cálculo 2 5 2" xfId="338"/>
    <cellStyle name="Cálculo 2 5 2 2" xfId="339"/>
    <cellStyle name="Cálculo 2 5 2 2 2" xfId="5961"/>
    <cellStyle name="Cálculo 2 5 2 2 2 2" xfId="12519"/>
    <cellStyle name="Cálculo 2 5 2 2 2 2 2" xfId="26841"/>
    <cellStyle name="Cálculo 2 5 2 2 2 3" xfId="18164"/>
    <cellStyle name="Cálculo 2 5 2 2 3" xfId="5252"/>
    <cellStyle name="Cálculo 2 5 2 2 3 2" xfId="9561"/>
    <cellStyle name="Cálculo 2 5 2 2 3 2 2" xfId="15823"/>
    <cellStyle name="Cálculo 2 5 2 2 3 2 2 2" xfId="29239"/>
    <cellStyle name="Cálculo 2 5 2 2 3 2 3" xfId="20568"/>
    <cellStyle name="Cálculo 2 5 2 2 3 3" xfId="11802"/>
    <cellStyle name="Cálculo 2 5 2 2 3 3 2" xfId="26124"/>
    <cellStyle name="Cálculo 2 5 2 2 3 4" xfId="17447"/>
    <cellStyle name="Cálculo 2 5 2 2 4" xfId="4127"/>
    <cellStyle name="Cálculo 2 5 2 2 4 2" xfId="22769"/>
    <cellStyle name="Cálculo 2 5 2 2 5" xfId="14882"/>
    <cellStyle name="Cálculo 2 5 2 3" xfId="340"/>
    <cellStyle name="Cálculo 2 5 2 3 2" xfId="7227"/>
    <cellStyle name="Cálculo 2 5 2 3 2 2" xfId="9841"/>
    <cellStyle name="Cálculo 2 5 2 3 2 2 2" xfId="16103"/>
    <cellStyle name="Cálculo 2 5 2 3 2 2 2 2" xfId="29519"/>
    <cellStyle name="Cálculo 2 5 2 3 2 2 3" xfId="20848"/>
    <cellStyle name="Cálculo 2 5 2 3 2 3" xfId="13831"/>
    <cellStyle name="Cálculo 2 5 2 3 2 3 2" xfId="28153"/>
    <cellStyle name="Cálculo 2 5 2 3 2 4" xfId="19476"/>
    <cellStyle name="Cálculo 2 5 2 3 3" xfId="12826"/>
    <cellStyle name="Cálculo 2 5 2 3 3 2" xfId="27148"/>
    <cellStyle name="Cálculo 2 5 2 3 4" xfId="18471"/>
    <cellStyle name="Cálculo 2 5 2 4" xfId="5209"/>
    <cellStyle name="Cálculo 2 5 2 4 2" xfId="11758"/>
    <cellStyle name="Cálculo 2 5 2 4 2 2" xfId="26080"/>
    <cellStyle name="Cálculo 2 5 2 4 3" xfId="17403"/>
    <cellStyle name="Cálculo 2 5 2 5" xfId="3028"/>
    <cellStyle name="Cálculo 2 5 2 5 2" xfId="22415"/>
    <cellStyle name="Cálculo 2 5 2 6" xfId="6735"/>
    <cellStyle name="Cálculo 2 5 3" xfId="341"/>
    <cellStyle name="Cálculo 2 5 3 2" xfId="342"/>
    <cellStyle name="Cálculo 2 5 3 2 2" xfId="5873"/>
    <cellStyle name="Cálculo 2 5 3 2 2 2" xfId="12426"/>
    <cellStyle name="Cálculo 2 5 3 2 2 2 2" xfId="26748"/>
    <cellStyle name="Cálculo 2 5 3 2 2 3" xfId="18071"/>
    <cellStyle name="Cálculo 2 5 3 2 3" xfId="7226"/>
    <cellStyle name="Cálculo 2 5 3 2 3 2" xfId="9840"/>
    <cellStyle name="Cálculo 2 5 3 2 3 2 2" xfId="16102"/>
    <cellStyle name="Cálculo 2 5 3 2 3 2 2 2" xfId="29518"/>
    <cellStyle name="Cálculo 2 5 3 2 3 2 3" xfId="20847"/>
    <cellStyle name="Cálculo 2 5 3 2 3 3" xfId="13830"/>
    <cellStyle name="Cálculo 2 5 3 2 3 3 2" xfId="28152"/>
    <cellStyle name="Cálculo 2 5 3 2 3 4" xfId="19475"/>
    <cellStyle name="Cálculo 2 5 3 2 4" xfId="4562"/>
    <cellStyle name="Cálculo 2 5 3 2 4 2" xfId="23031"/>
    <cellStyle name="Cálculo 2 5 3 2 5" xfId="14842"/>
    <cellStyle name="Cálculo 2 5 3 3" xfId="343"/>
    <cellStyle name="Cálculo 2 5 3 3 2" xfId="5339"/>
    <cellStyle name="Cálculo 2 5 3 3 2 2" xfId="9648"/>
    <cellStyle name="Cálculo 2 5 3 3 2 2 2" xfId="15910"/>
    <cellStyle name="Cálculo 2 5 3 3 2 2 2 2" xfId="29326"/>
    <cellStyle name="Cálculo 2 5 3 3 2 2 3" xfId="20655"/>
    <cellStyle name="Cálculo 2 5 3 3 2 3" xfId="11889"/>
    <cellStyle name="Cálculo 2 5 3 3 2 3 2" xfId="26211"/>
    <cellStyle name="Cálculo 2 5 3 3 2 4" xfId="17534"/>
    <cellStyle name="Cálculo 2 5 3 3 3" xfId="12575"/>
    <cellStyle name="Cálculo 2 5 3 3 3 2" xfId="26897"/>
    <cellStyle name="Cálculo 2 5 3 3 4" xfId="18220"/>
    <cellStyle name="Cálculo 2 5 3 4" xfId="5190"/>
    <cellStyle name="Cálculo 2 5 3 4 2" xfId="11739"/>
    <cellStyle name="Cálculo 2 5 3 4 2 2" xfId="26061"/>
    <cellStyle name="Cálculo 2 5 3 4 3" xfId="3774"/>
    <cellStyle name="Cálculo 2 5 3 5" xfId="3021"/>
    <cellStyle name="Cálculo 2 5 3 5 2" xfId="22411"/>
    <cellStyle name="Cálculo 2 5 3 6" xfId="17014"/>
    <cellStyle name="Cálculo 2 5 4" xfId="344"/>
    <cellStyle name="Cálculo 2 5 4 2" xfId="6563"/>
    <cellStyle name="Cálculo 2 5 4 2 2" xfId="13151"/>
    <cellStyle name="Cálculo 2 5 4 2 2 2" xfId="27473"/>
    <cellStyle name="Cálculo 2 5 4 2 3" xfId="18796"/>
    <cellStyle name="Cálculo 2 5 4 3" xfId="4298"/>
    <cellStyle name="Cálculo 2 5 4 3 2" xfId="9443"/>
    <cellStyle name="Cálculo 2 5 4 3 2 2" xfId="15705"/>
    <cellStyle name="Cálculo 2 5 4 3 2 2 2" xfId="29121"/>
    <cellStyle name="Cálculo 2 5 4 3 2 3" xfId="20450"/>
    <cellStyle name="Cálculo 2 5 4 3 3" xfId="4558"/>
    <cellStyle name="Cálculo 2 5 4 3 3 2" xfId="23029"/>
    <cellStyle name="Cálculo 2 5 4 3 4" xfId="15538"/>
    <cellStyle name="Cálculo 2 5 4 4" xfId="6637"/>
    <cellStyle name="Cálculo 2 5 4 4 2" xfId="23619"/>
    <cellStyle name="Cálculo 2 5 4 5" xfId="4595"/>
    <cellStyle name="Cálculo 2 5 5" xfId="345"/>
    <cellStyle name="Cálculo 2 5 5 2" xfId="3753"/>
    <cellStyle name="Cálculo 2 5 5 2 2" xfId="9368"/>
    <cellStyle name="Cálculo 2 5 5 2 2 2" xfId="15630"/>
    <cellStyle name="Cálculo 2 5 5 2 2 2 2" xfId="29046"/>
    <cellStyle name="Cálculo 2 5 5 2 2 3" xfId="20375"/>
    <cellStyle name="Cálculo 2 5 5 2 3" xfId="4206"/>
    <cellStyle name="Cálculo 2 5 5 2 3 2" xfId="22821"/>
    <cellStyle name="Cálculo 2 5 5 2 4" xfId="14680"/>
    <cellStyle name="Cálculo 2 5 5 3" xfId="11748"/>
    <cellStyle name="Cálculo 2 5 5 3 2" xfId="26070"/>
    <cellStyle name="Cálculo 2 5 5 4" xfId="4428"/>
    <cellStyle name="Cálculo 2 5 6" xfId="5087"/>
    <cellStyle name="Cálculo 2 5 6 2" xfId="11634"/>
    <cellStyle name="Cálculo 2 5 6 2 2" xfId="25956"/>
    <cellStyle name="Cálculo 2 5 6 3" xfId="15513"/>
    <cellStyle name="Cálculo 2 5 7" xfId="4430"/>
    <cellStyle name="Cálculo 2 5 7 2" xfId="22947"/>
    <cellStyle name="Cálculo 2 5 8" xfId="6351"/>
    <cellStyle name="Cálculo 2 6" xfId="346"/>
    <cellStyle name="Cálculo 2 6 2" xfId="347"/>
    <cellStyle name="Cálculo 2 6 2 2" xfId="348"/>
    <cellStyle name="Cálculo 2 6 2 2 2" xfId="3706"/>
    <cellStyle name="Cálculo 2 6 2 2 2 2" xfId="3696"/>
    <cellStyle name="Cálculo 2 6 2 2 2 2 2" xfId="22535"/>
    <cellStyle name="Cálculo 2 6 2 2 2 3" xfId="14722"/>
    <cellStyle name="Cálculo 2 6 2 2 3" xfId="8020"/>
    <cellStyle name="Cálculo 2 6 2 2 3 2" xfId="10634"/>
    <cellStyle name="Cálculo 2 6 2 2 3 2 2" xfId="16896"/>
    <cellStyle name="Cálculo 2 6 2 2 3 2 2 2" xfId="30312"/>
    <cellStyle name="Cálculo 2 6 2 2 3 2 3" xfId="21641"/>
    <cellStyle name="Cálculo 2 6 2 2 3 3" xfId="14624"/>
    <cellStyle name="Cálculo 2 6 2 2 3 3 2" xfId="28946"/>
    <cellStyle name="Cálculo 2 6 2 2 3 4" xfId="20269"/>
    <cellStyle name="Cálculo 2 6 2 2 4" xfId="4334"/>
    <cellStyle name="Cálculo 2 6 2 2 4 2" xfId="22893"/>
    <cellStyle name="Cálculo 2 6 2 2 5" xfId="17200"/>
    <cellStyle name="Cálculo 2 6 2 3" xfId="349"/>
    <cellStyle name="Cálculo 2 6 2 3 2" xfId="7727"/>
    <cellStyle name="Cálculo 2 6 2 3 2 2" xfId="10341"/>
    <cellStyle name="Cálculo 2 6 2 3 2 2 2" xfId="16603"/>
    <cellStyle name="Cálculo 2 6 2 3 2 2 2 2" xfId="30019"/>
    <cellStyle name="Cálculo 2 6 2 3 2 2 3" xfId="21348"/>
    <cellStyle name="Cálculo 2 6 2 3 2 3" xfId="14331"/>
    <cellStyle name="Cálculo 2 6 2 3 2 3 2" xfId="28653"/>
    <cellStyle name="Cálculo 2 6 2 3 2 4" xfId="19976"/>
    <cellStyle name="Cálculo 2 6 2 3 3" xfId="13234"/>
    <cellStyle name="Cálculo 2 6 2 3 3 2" xfId="27556"/>
    <cellStyle name="Cálculo 2 6 2 3 4" xfId="18879"/>
    <cellStyle name="Cálculo 2 6 2 4" xfId="5675"/>
    <cellStyle name="Cálculo 2 6 2 4 2" xfId="12228"/>
    <cellStyle name="Cálculo 2 6 2 4 2 2" xfId="26550"/>
    <cellStyle name="Cálculo 2 6 2 4 3" xfId="17873"/>
    <cellStyle name="Cálculo 2 6 2 5" xfId="6358"/>
    <cellStyle name="Cálculo 2 6 2 5 2" xfId="23542"/>
    <cellStyle name="Cálculo 2 6 2 6" xfId="15584"/>
    <cellStyle name="Cálculo 2 6 3" xfId="350"/>
    <cellStyle name="Cálculo 2 6 3 2" xfId="351"/>
    <cellStyle name="Cálculo 2 6 3 2 2" xfId="6539"/>
    <cellStyle name="Cálculo 2 6 3 2 2 2" xfId="13127"/>
    <cellStyle name="Cálculo 2 6 3 2 2 2 2" xfId="27449"/>
    <cellStyle name="Cálculo 2 6 3 2 2 3" xfId="18772"/>
    <cellStyle name="Cálculo 2 6 3 2 3" xfId="3259"/>
    <cellStyle name="Cálculo 2 6 3 2 3 2" xfId="9049"/>
    <cellStyle name="Cálculo 2 6 3 2 3 2 2" xfId="15388"/>
    <cellStyle name="Cálculo 2 6 3 2 3 2 2 2" xfId="29007"/>
    <cellStyle name="Cálculo 2 6 3 2 3 2 3" xfId="20334"/>
    <cellStyle name="Cálculo 2 6 3 2 3 3" xfId="4467"/>
    <cellStyle name="Cálculo 2 6 3 2 3 3 2" xfId="22967"/>
    <cellStyle name="Cálculo 2 6 3 2 3 4" xfId="14802"/>
    <cellStyle name="Cálculo 2 6 3 2 4" xfId="4465"/>
    <cellStyle name="Cálculo 2 6 3 2 4 2" xfId="22966"/>
    <cellStyle name="Cálculo 2 6 3 2 5" xfId="15075"/>
    <cellStyle name="Cálculo 2 6 3 3" xfId="352"/>
    <cellStyle name="Cálculo 2 6 3 3 2" xfId="7711"/>
    <cellStyle name="Cálculo 2 6 3 3 2 2" xfId="10325"/>
    <cellStyle name="Cálculo 2 6 3 3 2 2 2" xfId="16587"/>
    <cellStyle name="Cálculo 2 6 3 3 2 2 2 2" xfId="30003"/>
    <cellStyle name="Cálculo 2 6 3 3 2 2 3" xfId="21332"/>
    <cellStyle name="Cálculo 2 6 3 3 2 3" xfId="14315"/>
    <cellStyle name="Cálculo 2 6 3 3 2 3 2" xfId="28637"/>
    <cellStyle name="Cálculo 2 6 3 3 2 4" xfId="19960"/>
    <cellStyle name="Cálculo 2 6 3 3 3" xfId="12160"/>
    <cellStyle name="Cálculo 2 6 3 3 3 2" xfId="26482"/>
    <cellStyle name="Cálculo 2 6 3 3 4" xfId="17805"/>
    <cellStyle name="Cálculo 2 6 3 4" xfId="5061"/>
    <cellStyle name="Cálculo 2 6 3 4 2" xfId="11608"/>
    <cellStyle name="Cálculo 2 6 3 4 2 2" xfId="25930"/>
    <cellStyle name="Cálculo 2 6 3 4 3" xfId="15102"/>
    <cellStyle name="Cálculo 2 6 3 5" xfId="4771"/>
    <cellStyle name="Cálculo 2 6 3 5 2" xfId="23179"/>
    <cellStyle name="Cálculo 2 6 3 6" xfId="17342"/>
    <cellStyle name="Cálculo 2 6 4" xfId="353"/>
    <cellStyle name="Cálculo 2 6 4 2" xfId="5823"/>
    <cellStyle name="Cálculo 2 6 4 2 2" xfId="12376"/>
    <cellStyle name="Cálculo 2 6 4 2 2 2" xfId="26698"/>
    <cellStyle name="Cálculo 2 6 4 2 3" xfId="18021"/>
    <cellStyle name="Cálculo 2 6 4 3" xfId="7144"/>
    <cellStyle name="Cálculo 2 6 4 3 2" xfId="9758"/>
    <cellStyle name="Cálculo 2 6 4 3 2 2" xfId="16020"/>
    <cellStyle name="Cálculo 2 6 4 3 2 2 2" xfId="29436"/>
    <cellStyle name="Cálculo 2 6 4 3 2 3" xfId="20765"/>
    <cellStyle name="Cálculo 2 6 4 3 3" xfId="13748"/>
    <cellStyle name="Cálculo 2 6 4 3 3 2" xfId="28070"/>
    <cellStyle name="Cálculo 2 6 4 3 4" xfId="19393"/>
    <cellStyle name="Cálculo 2 6 4 4" xfId="6182"/>
    <cellStyle name="Cálculo 2 6 4 4 2" xfId="23447"/>
    <cellStyle name="Cálculo 2 6 4 5" xfId="16974"/>
    <cellStyle name="Cálculo 2 6 5" xfId="354"/>
    <cellStyle name="Cálculo 2 6 5 2" xfId="5315"/>
    <cellStyle name="Cálculo 2 6 5 2 2" xfId="9624"/>
    <cellStyle name="Cálculo 2 6 5 2 2 2" xfId="15886"/>
    <cellStyle name="Cálculo 2 6 5 2 2 2 2" xfId="29302"/>
    <cellStyle name="Cálculo 2 6 5 2 2 3" xfId="20631"/>
    <cellStyle name="Cálculo 2 6 5 2 3" xfId="11865"/>
    <cellStyle name="Cálculo 2 6 5 2 3 2" xfId="26187"/>
    <cellStyle name="Cálculo 2 6 5 2 4" xfId="17510"/>
    <cellStyle name="Cálculo 2 6 5 3" xfId="12635"/>
    <cellStyle name="Cálculo 2 6 5 3 2" xfId="26957"/>
    <cellStyle name="Cálculo 2 6 5 4" xfId="18280"/>
    <cellStyle name="Cálculo 2 6 6" xfId="5164"/>
    <cellStyle name="Cálculo 2 6 6 2" xfId="11713"/>
    <cellStyle name="Cálculo 2 6 6 2 2" xfId="26035"/>
    <cellStyle name="Cálculo 2 6 6 3" xfId="6581"/>
    <cellStyle name="Cálculo 2 6 7" xfId="4743"/>
    <cellStyle name="Cálculo 2 6 7 2" xfId="23165"/>
    <cellStyle name="Cálculo 2 6 8" xfId="15310"/>
    <cellStyle name="Cálculo 2 7" xfId="355"/>
    <cellStyle name="Cálculo 2 7 2" xfId="356"/>
    <cellStyle name="Cálculo 2 7 2 2" xfId="357"/>
    <cellStyle name="Cálculo 2 7 2 2 2" xfId="5181"/>
    <cellStyle name="Cálculo 2 7 2 2 2 2" xfId="11730"/>
    <cellStyle name="Cálculo 2 7 2 2 2 2 2" xfId="26052"/>
    <cellStyle name="Cálculo 2 7 2 2 2 3" xfId="4151"/>
    <cellStyle name="Cálculo 2 7 2 2 3" xfId="7275"/>
    <cellStyle name="Cálculo 2 7 2 2 3 2" xfId="9889"/>
    <cellStyle name="Cálculo 2 7 2 2 3 2 2" xfId="16151"/>
    <cellStyle name="Cálculo 2 7 2 2 3 2 2 2" xfId="29567"/>
    <cellStyle name="Cálculo 2 7 2 2 3 2 3" xfId="20896"/>
    <cellStyle name="Cálculo 2 7 2 2 3 3" xfId="13879"/>
    <cellStyle name="Cálculo 2 7 2 2 3 3 2" xfId="28201"/>
    <cellStyle name="Cálculo 2 7 2 2 3 4" xfId="19524"/>
    <cellStyle name="Cálculo 2 7 2 2 4" xfId="6646"/>
    <cellStyle name="Cálculo 2 7 2 2 4 2" xfId="23625"/>
    <cellStyle name="Cálculo 2 7 2 2 5" xfId="15053"/>
    <cellStyle name="Cálculo 2 7 2 3" xfId="358"/>
    <cellStyle name="Cálculo 2 7 2 3 2" xfId="7215"/>
    <cellStyle name="Cálculo 2 7 2 3 2 2" xfId="9829"/>
    <cellStyle name="Cálculo 2 7 2 3 2 2 2" xfId="16091"/>
    <cellStyle name="Cálculo 2 7 2 3 2 2 2 2" xfId="29507"/>
    <cellStyle name="Cálculo 2 7 2 3 2 2 3" xfId="20836"/>
    <cellStyle name="Cálculo 2 7 2 3 2 3" xfId="13819"/>
    <cellStyle name="Cálculo 2 7 2 3 2 3 2" xfId="28141"/>
    <cellStyle name="Cálculo 2 7 2 3 2 4" xfId="19464"/>
    <cellStyle name="Cálculo 2 7 2 3 3" xfId="13403"/>
    <cellStyle name="Cálculo 2 7 2 3 3 2" xfId="27725"/>
    <cellStyle name="Cálculo 2 7 2 3 4" xfId="19048"/>
    <cellStyle name="Cálculo 2 7 2 4" xfId="5868"/>
    <cellStyle name="Cálculo 2 7 2 4 2" xfId="12421"/>
    <cellStyle name="Cálculo 2 7 2 4 2 2" xfId="26743"/>
    <cellStyle name="Cálculo 2 7 2 4 3" xfId="18066"/>
    <cellStyle name="Cálculo 2 7 2 5" xfId="6279"/>
    <cellStyle name="Cálculo 2 7 2 5 2" xfId="23488"/>
    <cellStyle name="Cálculo 2 7 2 6" xfId="15297"/>
    <cellStyle name="Cálculo 2 7 3" xfId="359"/>
    <cellStyle name="Cálculo 2 7 3 2" xfId="6873"/>
    <cellStyle name="Cálculo 2 7 3 2 2" xfId="13477"/>
    <cellStyle name="Cálculo 2 7 3 2 2 2" xfId="27799"/>
    <cellStyle name="Cálculo 2 7 3 2 3" xfId="19122"/>
    <cellStyle name="Cálculo 2 7 3 3" xfId="7776"/>
    <cellStyle name="Cálculo 2 7 3 3 2" xfId="10390"/>
    <cellStyle name="Cálculo 2 7 3 3 2 2" xfId="16652"/>
    <cellStyle name="Cálculo 2 7 3 3 2 2 2" xfId="30068"/>
    <cellStyle name="Cálculo 2 7 3 3 2 3" xfId="21397"/>
    <cellStyle name="Cálculo 2 7 3 3 3" xfId="14380"/>
    <cellStyle name="Cálculo 2 7 3 3 3 2" xfId="28702"/>
    <cellStyle name="Cálculo 2 7 3 3 4" xfId="20025"/>
    <cellStyle name="Cálculo 2 7 3 4" xfId="11340"/>
    <cellStyle name="Cálculo 2 7 3 4 2" xfId="25662"/>
    <cellStyle name="Cálculo 2 7 3 5" xfId="6284"/>
    <cellStyle name="Cálculo 2 7 4" xfId="360"/>
    <cellStyle name="Cálculo 2 7 4 2" xfId="5007"/>
    <cellStyle name="Cálculo 2 7 4 2 2" xfId="9539"/>
    <cellStyle name="Cálculo 2 7 4 2 2 2" xfId="15801"/>
    <cellStyle name="Cálculo 2 7 4 2 2 2 2" xfId="29217"/>
    <cellStyle name="Cálculo 2 7 4 2 2 3" xfId="20546"/>
    <cellStyle name="Cálculo 2 7 4 2 3" xfId="11552"/>
    <cellStyle name="Cálculo 2 7 4 2 3 2" xfId="25874"/>
    <cellStyle name="Cálculo 2 7 4 2 4" xfId="17177"/>
    <cellStyle name="Cálculo 2 7 4 3" xfId="12700"/>
    <cellStyle name="Cálculo 2 7 4 3 2" xfId="27022"/>
    <cellStyle name="Cálculo 2 7 4 4" xfId="18345"/>
    <cellStyle name="Cálculo 2 7 5" xfId="5080"/>
    <cellStyle name="Cálculo 2 7 5 2" xfId="11627"/>
    <cellStyle name="Cálculo 2 7 5 2 2" xfId="25949"/>
    <cellStyle name="Cálculo 2 7 5 3" xfId="17349"/>
    <cellStyle name="Cálculo 2 7 6" xfId="4646"/>
    <cellStyle name="Cálculo 2 7 6 2" xfId="23090"/>
    <cellStyle name="Cálculo 2 7 7" xfId="6328"/>
    <cellStyle name="Cálculo 2 8" xfId="361"/>
    <cellStyle name="Cálculo 2 8 2" xfId="362"/>
    <cellStyle name="Cálculo 2 8 2 2" xfId="5969"/>
    <cellStyle name="Cálculo 2 8 2 2 2" xfId="12527"/>
    <cellStyle name="Cálculo 2 8 2 2 2 2" xfId="26849"/>
    <cellStyle name="Cálculo 2 8 2 2 3" xfId="18172"/>
    <cellStyle name="Cálculo 2 8 2 3" xfId="7365"/>
    <cellStyle name="Cálculo 2 8 2 3 2" xfId="9979"/>
    <cellStyle name="Cálculo 2 8 2 3 2 2" xfId="16241"/>
    <cellStyle name="Cálculo 2 8 2 3 2 2 2" xfId="29657"/>
    <cellStyle name="Cálculo 2 8 2 3 2 3" xfId="20986"/>
    <cellStyle name="Cálculo 2 8 2 3 3" xfId="13969"/>
    <cellStyle name="Cálculo 2 8 2 3 3 2" xfId="28291"/>
    <cellStyle name="Cálculo 2 8 2 3 4" xfId="19614"/>
    <cellStyle name="Cálculo 2 8 2 4" xfId="4190"/>
    <cellStyle name="Cálculo 2 8 2 4 2" xfId="22812"/>
    <cellStyle name="Cálculo 2 8 2 5" xfId="17295"/>
    <cellStyle name="Cálculo 2 8 3" xfId="363"/>
    <cellStyle name="Cálculo 2 8 3 2" xfId="7729"/>
    <cellStyle name="Cálculo 2 8 3 2 2" xfId="10343"/>
    <cellStyle name="Cálculo 2 8 3 2 2 2" xfId="16605"/>
    <cellStyle name="Cálculo 2 8 3 2 2 2 2" xfId="30021"/>
    <cellStyle name="Cálculo 2 8 3 2 2 3" xfId="21350"/>
    <cellStyle name="Cálculo 2 8 3 2 3" xfId="14333"/>
    <cellStyle name="Cálculo 2 8 3 2 3 2" xfId="28655"/>
    <cellStyle name="Cálculo 2 8 3 2 4" xfId="19978"/>
    <cellStyle name="Cálculo 2 8 3 3" xfId="13192"/>
    <cellStyle name="Cálculo 2 8 3 3 2" xfId="27514"/>
    <cellStyle name="Cálculo 2 8 3 4" xfId="18837"/>
    <cellStyle name="Cálculo 2 8 4" xfId="5629"/>
    <cellStyle name="Cálculo 2 8 4 2" xfId="12182"/>
    <cellStyle name="Cálculo 2 8 4 2 2" xfId="26504"/>
    <cellStyle name="Cálculo 2 8 4 3" xfId="17827"/>
    <cellStyle name="Cálculo 2 8 5" xfId="6766"/>
    <cellStyle name="Cálculo 2 8 5 2" xfId="23712"/>
    <cellStyle name="Cálculo 2 8 6" xfId="17361"/>
    <cellStyle name="Cálculo 2 9" xfId="364"/>
    <cellStyle name="Cálculo 2 9 2" xfId="5106"/>
    <cellStyle name="Cálculo 2 9 2 2" xfId="11653"/>
    <cellStyle name="Cálculo 2 9 2 2 2" xfId="25975"/>
    <cellStyle name="Cálculo 2 9 2 3" xfId="4331"/>
    <cellStyle name="Cálculo 2 9 3" xfId="7557"/>
    <cellStyle name="Cálculo 2 9 3 2" xfId="10171"/>
    <cellStyle name="Cálculo 2 9 3 2 2" xfId="16433"/>
    <cellStyle name="Cálculo 2 9 3 2 2 2" xfId="29849"/>
    <cellStyle name="Cálculo 2 9 3 2 3" xfId="21178"/>
    <cellStyle name="Cálculo 2 9 3 3" xfId="14161"/>
    <cellStyle name="Cálculo 2 9 3 3 2" xfId="28483"/>
    <cellStyle name="Cálculo 2 9 3 4" xfId="19806"/>
    <cellStyle name="Cálculo 2 9 4" xfId="3613"/>
    <cellStyle name="Cálculo 2 9 4 2" xfId="22488"/>
    <cellStyle name="Cálculo 2 9 5" xfId="6337"/>
    <cellStyle name="Cálculo 3" xfId="365"/>
    <cellStyle name="Cálculo 3 2" xfId="6968"/>
    <cellStyle name="Cálculo 3 2 2" xfId="13572"/>
    <cellStyle name="Cálculo 3 2 2 2" xfId="27894"/>
    <cellStyle name="Cálculo 3 2 3" xfId="19217"/>
    <cellStyle name="Cálculo 3 3" xfId="7747"/>
    <cellStyle name="Cálculo 3 3 2" xfId="10361"/>
    <cellStyle name="Cálculo 3 3 2 2" xfId="16623"/>
    <cellStyle name="Cálculo 3 3 2 2 2" xfId="30039"/>
    <cellStyle name="Cálculo 3 3 2 3" xfId="21368"/>
    <cellStyle name="Cálculo 3 3 3" xfId="14351"/>
    <cellStyle name="Cálculo 3 3 3 2" xfId="28673"/>
    <cellStyle name="Cálculo 3 3 4" xfId="19996"/>
    <cellStyle name="Cálculo 3 4" xfId="11473"/>
    <cellStyle name="Cálculo 3 4 2" xfId="25795"/>
    <cellStyle name="Cálculo 3 5" xfId="6253"/>
    <cellStyle name="Cálculo 4" xfId="3851"/>
    <cellStyle name="Cálculo 4 2" xfId="6789"/>
    <cellStyle name="Cálculo 4 2 2" xfId="23733"/>
    <cellStyle name="Cálculo 4 3" xfId="17096"/>
    <cellStyle name="Cálculo 5" xfId="6825"/>
    <cellStyle name="Cálculo 5 2" xfId="23758"/>
    <cellStyle name="Cálculo 6" xfId="15498"/>
    <cellStyle name="Cálculo 7" xfId="21696"/>
    <cellStyle name="Cálculo 8" xfId="21699"/>
    <cellStyle name="Célula Ligada" xfId="366"/>
    <cellStyle name="Check Cell 2" xfId="367"/>
    <cellStyle name="Comma" xfId="1" builtinId="3"/>
    <cellStyle name="Cor1" xfId="368"/>
    <cellStyle name="Cor2" xfId="369"/>
    <cellStyle name="Cor3" xfId="370"/>
    <cellStyle name="Cor4" xfId="371"/>
    <cellStyle name="Cor5" xfId="372"/>
    <cellStyle name="Cor6" xfId="373"/>
    <cellStyle name="Correcto" xfId="374"/>
    <cellStyle name="Entrada" xfId="375"/>
    <cellStyle name="Entrada 2" xfId="376"/>
    <cellStyle name="Entrada 2 10" xfId="377"/>
    <cellStyle name="Entrada 2 10 2" xfId="7229"/>
    <cellStyle name="Entrada 2 10 2 2" xfId="9843"/>
    <cellStyle name="Entrada 2 10 2 2 2" xfId="16105"/>
    <cellStyle name="Entrada 2 10 2 2 2 2" xfId="29521"/>
    <cellStyle name="Entrada 2 10 2 2 3" xfId="20850"/>
    <cellStyle name="Entrada 2 10 2 3" xfId="13833"/>
    <cellStyle name="Entrada 2 10 2 3 2" xfId="28155"/>
    <cellStyle name="Entrada 2 10 2 4" xfId="19478"/>
    <cellStyle name="Entrada 2 10 3" xfId="12119"/>
    <cellStyle name="Entrada 2 10 3 2" xfId="26441"/>
    <cellStyle name="Entrada 2 10 4" xfId="17764"/>
    <cellStyle name="Entrada 2 11" xfId="4936"/>
    <cellStyle name="Entrada 2 11 2" xfId="11474"/>
    <cellStyle name="Entrada 2 11 2 2" xfId="25796"/>
    <cellStyle name="Entrada 2 11 3" xfId="15134"/>
    <cellStyle name="Entrada 2 12" xfId="6502"/>
    <cellStyle name="Entrada 2 12 2" xfId="23572"/>
    <cellStyle name="Entrada 2 13" xfId="14936"/>
    <cellStyle name="Entrada 2 2" xfId="378"/>
    <cellStyle name="Entrada 2 2 10" xfId="5355"/>
    <cellStyle name="Entrada 2 2 10 2" xfId="11905"/>
    <cellStyle name="Entrada 2 2 10 2 2" xfId="26227"/>
    <cellStyle name="Entrada 2 2 10 3" xfId="17550"/>
    <cellStyle name="Entrada 2 2 11" xfId="3985"/>
    <cellStyle name="Entrada 2 2 11 2" xfId="22686"/>
    <cellStyle name="Entrada 2 2 12" xfId="17345"/>
    <cellStyle name="Entrada 2 2 2" xfId="379"/>
    <cellStyle name="Entrada 2 2 2 10" xfId="6053"/>
    <cellStyle name="Entrada 2 2 2 10 2" xfId="23399"/>
    <cellStyle name="Entrada 2 2 2 11" xfId="15525"/>
    <cellStyle name="Entrada 2 2 2 2" xfId="380"/>
    <cellStyle name="Entrada 2 2 2 2 2" xfId="381"/>
    <cellStyle name="Entrada 2 2 2 2 2 2" xfId="382"/>
    <cellStyle name="Entrada 2 2 2 2 2 2 2" xfId="5404"/>
    <cellStyle name="Entrada 2 2 2 2 2 2 2 2" xfId="11954"/>
    <cellStyle name="Entrada 2 2 2 2 2 2 2 2 2" xfId="26276"/>
    <cellStyle name="Entrada 2 2 2 2 2 2 2 3" xfId="17599"/>
    <cellStyle name="Entrada 2 2 2 2 2 2 3" xfId="7264"/>
    <cellStyle name="Entrada 2 2 2 2 2 2 3 2" xfId="9878"/>
    <cellStyle name="Entrada 2 2 2 2 2 2 3 2 2" xfId="16140"/>
    <cellStyle name="Entrada 2 2 2 2 2 2 3 2 2 2" xfId="29556"/>
    <cellStyle name="Entrada 2 2 2 2 2 2 3 2 3" xfId="20885"/>
    <cellStyle name="Entrada 2 2 2 2 2 2 3 3" xfId="13868"/>
    <cellStyle name="Entrada 2 2 2 2 2 2 3 3 2" xfId="28190"/>
    <cellStyle name="Entrada 2 2 2 2 2 2 3 4" xfId="19513"/>
    <cellStyle name="Entrada 2 2 2 2 2 2 4" xfId="6659"/>
    <cellStyle name="Entrada 2 2 2 2 2 2 4 2" xfId="23635"/>
    <cellStyle name="Entrada 2 2 2 2 2 2 5" xfId="17152"/>
    <cellStyle name="Entrada 2 2 2 2 2 3" xfId="383"/>
    <cellStyle name="Entrada 2 2 2 2 2 3 2" xfId="4080"/>
    <cellStyle name="Entrada 2 2 2 2 2 3 2 2" xfId="9419"/>
    <cellStyle name="Entrada 2 2 2 2 2 3 2 2 2" xfId="15681"/>
    <cellStyle name="Entrada 2 2 2 2 2 3 2 2 2 2" xfId="29097"/>
    <cellStyle name="Entrada 2 2 2 2 2 3 2 2 3" xfId="20426"/>
    <cellStyle name="Entrada 2 2 2 2 2 3 2 3" xfId="3815"/>
    <cellStyle name="Entrada 2 2 2 2 2 3 2 3 2" xfId="22596"/>
    <cellStyle name="Entrada 2 2 2 2 2 3 2 4" xfId="15423"/>
    <cellStyle name="Entrada 2 2 2 2 2 3 3" xfId="13318"/>
    <cellStyle name="Entrada 2 2 2 2 2 3 3 2" xfId="27640"/>
    <cellStyle name="Entrada 2 2 2 2 2 3 4" xfId="18963"/>
    <cellStyle name="Entrada 2 2 2 2 2 4" xfId="5768"/>
    <cellStyle name="Entrada 2 2 2 2 2 4 2" xfId="12321"/>
    <cellStyle name="Entrada 2 2 2 2 2 4 2 2" xfId="26643"/>
    <cellStyle name="Entrada 2 2 2 2 2 4 3" xfId="17966"/>
    <cellStyle name="Entrada 2 2 2 2 2 5" xfId="4751"/>
    <cellStyle name="Entrada 2 2 2 2 2 5 2" xfId="23169"/>
    <cellStyle name="Entrada 2 2 2 2 2 6" xfId="15331"/>
    <cellStyle name="Entrada 2 2 2 2 3" xfId="384"/>
    <cellStyle name="Entrada 2 2 2 2 3 2" xfId="385"/>
    <cellStyle name="Entrada 2 2 2 2 3 2 2" xfId="6916"/>
    <cellStyle name="Entrada 2 2 2 2 3 2 2 2" xfId="13520"/>
    <cellStyle name="Entrada 2 2 2 2 3 2 2 2 2" xfId="27842"/>
    <cellStyle name="Entrada 2 2 2 2 3 2 2 3" xfId="19165"/>
    <cellStyle name="Entrada 2 2 2 2 3 2 3" xfId="7940"/>
    <cellStyle name="Entrada 2 2 2 2 3 2 3 2" xfId="10554"/>
    <cellStyle name="Entrada 2 2 2 2 3 2 3 2 2" xfId="16816"/>
    <cellStyle name="Entrada 2 2 2 2 3 2 3 2 2 2" xfId="30232"/>
    <cellStyle name="Entrada 2 2 2 2 3 2 3 2 3" xfId="21561"/>
    <cellStyle name="Entrada 2 2 2 2 3 2 3 3" xfId="14544"/>
    <cellStyle name="Entrada 2 2 2 2 3 2 3 3 2" xfId="28866"/>
    <cellStyle name="Entrada 2 2 2 2 3 2 3 4" xfId="20189"/>
    <cellStyle name="Entrada 2 2 2 2 3 2 4" xfId="11402"/>
    <cellStyle name="Entrada 2 2 2 2 3 2 4 2" xfId="25724"/>
    <cellStyle name="Entrada 2 2 2 2 3 2 5" xfId="15054"/>
    <cellStyle name="Entrada 2 2 2 2 3 3" xfId="386"/>
    <cellStyle name="Entrada 2 2 2 2 3 3 2" xfId="7178"/>
    <cellStyle name="Entrada 2 2 2 2 3 3 2 2" xfId="9792"/>
    <cellStyle name="Entrada 2 2 2 2 3 3 2 2 2" xfId="16054"/>
    <cellStyle name="Entrada 2 2 2 2 3 3 2 2 2 2" xfId="29470"/>
    <cellStyle name="Entrada 2 2 2 2 3 3 2 2 3" xfId="20799"/>
    <cellStyle name="Entrada 2 2 2 2 3 3 2 3" xfId="13782"/>
    <cellStyle name="Entrada 2 2 2 2 3 3 2 3 2" xfId="28104"/>
    <cellStyle name="Entrada 2 2 2 2 3 3 2 4" xfId="19427"/>
    <cellStyle name="Entrada 2 2 2 2 3 3 3" xfId="13421"/>
    <cellStyle name="Entrada 2 2 2 2 3 3 3 2" xfId="27743"/>
    <cellStyle name="Entrada 2 2 2 2 3 3 4" xfId="19066"/>
    <cellStyle name="Entrada 2 2 2 2 3 4" xfId="5894"/>
    <cellStyle name="Entrada 2 2 2 2 3 4 2" xfId="12447"/>
    <cellStyle name="Entrada 2 2 2 2 3 4 2 2" xfId="26769"/>
    <cellStyle name="Entrada 2 2 2 2 3 4 3" xfId="18092"/>
    <cellStyle name="Entrada 2 2 2 2 3 5" xfId="5603"/>
    <cellStyle name="Entrada 2 2 2 2 3 5 2" xfId="23356"/>
    <cellStyle name="Entrada 2 2 2 2 3 6" xfId="17220"/>
    <cellStyle name="Entrada 2 2 2 2 4" xfId="387"/>
    <cellStyle name="Entrada 2 2 2 2 4 2" xfId="6971"/>
    <cellStyle name="Entrada 2 2 2 2 4 2 2" xfId="13575"/>
    <cellStyle name="Entrada 2 2 2 2 4 2 2 2" xfId="27897"/>
    <cellStyle name="Entrada 2 2 2 2 4 2 3" xfId="19220"/>
    <cellStyle name="Entrada 2 2 2 2 4 3" xfId="7302"/>
    <cellStyle name="Entrada 2 2 2 2 4 3 2" xfId="9916"/>
    <cellStyle name="Entrada 2 2 2 2 4 3 2 2" xfId="16178"/>
    <cellStyle name="Entrada 2 2 2 2 4 3 2 2 2" xfId="29594"/>
    <cellStyle name="Entrada 2 2 2 2 4 3 2 3" xfId="20923"/>
    <cellStyle name="Entrada 2 2 2 2 4 3 3" xfId="13906"/>
    <cellStyle name="Entrada 2 2 2 2 4 3 3 2" xfId="28228"/>
    <cellStyle name="Entrada 2 2 2 2 4 3 4" xfId="19551"/>
    <cellStyle name="Entrada 2 2 2 2 4 4" xfId="11478"/>
    <cellStyle name="Entrada 2 2 2 2 4 4 2" xfId="25800"/>
    <cellStyle name="Entrada 2 2 2 2 4 5" xfId="16997"/>
    <cellStyle name="Entrada 2 2 2 2 5" xfId="388"/>
    <cellStyle name="Entrada 2 2 2 2 5 2" xfId="5029"/>
    <cellStyle name="Entrada 2 2 2 2 5 2 2" xfId="9548"/>
    <cellStyle name="Entrada 2 2 2 2 5 2 2 2" xfId="15810"/>
    <cellStyle name="Entrada 2 2 2 2 5 2 2 2 2" xfId="29226"/>
    <cellStyle name="Entrada 2 2 2 2 5 2 2 3" xfId="20555"/>
    <cellStyle name="Entrada 2 2 2 2 5 2 3" xfId="11576"/>
    <cellStyle name="Entrada 2 2 2 2 5 2 3 2" xfId="25898"/>
    <cellStyle name="Entrada 2 2 2 2 5 2 4" xfId="15362"/>
    <cellStyle name="Entrada 2 2 2 2 5 3" xfId="12894"/>
    <cellStyle name="Entrada 2 2 2 2 5 3 2" xfId="27216"/>
    <cellStyle name="Entrada 2 2 2 2 5 4" xfId="18539"/>
    <cellStyle name="Entrada 2 2 2 2 6" xfId="5512"/>
    <cellStyle name="Entrada 2 2 2 2 6 2" xfId="12063"/>
    <cellStyle name="Entrada 2 2 2 2 6 2 2" xfId="26385"/>
    <cellStyle name="Entrada 2 2 2 2 6 3" xfId="17708"/>
    <cellStyle name="Entrada 2 2 2 2 7" xfId="3605"/>
    <cellStyle name="Entrada 2 2 2 2 7 2" xfId="22484"/>
    <cellStyle name="Entrada 2 2 2 2 8" xfId="17392"/>
    <cellStyle name="Entrada 2 2 2 3" xfId="389"/>
    <cellStyle name="Entrada 2 2 2 3 2" xfId="390"/>
    <cellStyle name="Entrada 2 2 2 3 2 2" xfId="391"/>
    <cellStyle name="Entrada 2 2 2 3 2 2 2" xfId="6086"/>
    <cellStyle name="Entrada 2 2 2 3 2 2 2 2" xfId="12652"/>
    <cellStyle name="Entrada 2 2 2 3 2 2 2 2 2" xfId="26974"/>
    <cellStyle name="Entrada 2 2 2 3 2 2 2 3" xfId="18297"/>
    <cellStyle name="Entrada 2 2 2 3 2 2 3" xfId="7789"/>
    <cellStyle name="Entrada 2 2 2 3 2 2 3 2" xfId="10403"/>
    <cellStyle name="Entrada 2 2 2 3 2 2 3 2 2" xfId="16665"/>
    <cellStyle name="Entrada 2 2 2 3 2 2 3 2 2 2" xfId="30081"/>
    <cellStyle name="Entrada 2 2 2 3 2 2 3 2 3" xfId="21410"/>
    <cellStyle name="Entrada 2 2 2 3 2 2 3 3" xfId="14393"/>
    <cellStyle name="Entrada 2 2 2 3 2 2 3 3 2" xfId="28715"/>
    <cellStyle name="Entrada 2 2 2 3 2 2 3 4" xfId="20038"/>
    <cellStyle name="Entrada 2 2 2 3 2 2 4" xfId="6338"/>
    <cellStyle name="Entrada 2 2 2 3 2 2 4 2" xfId="23525"/>
    <cellStyle name="Entrada 2 2 2 3 2 2 5" xfId="4869"/>
    <cellStyle name="Entrada 2 2 2 3 2 3" xfId="392"/>
    <cellStyle name="Entrada 2 2 2 3 2 3 2" xfId="7618"/>
    <cellStyle name="Entrada 2 2 2 3 2 3 2 2" xfId="10232"/>
    <cellStyle name="Entrada 2 2 2 3 2 3 2 2 2" xfId="16494"/>
    <cellStyle name="Entrada 2 2 2 3 2 3 2 2 2 2" xfId="29910"/>
    <cellStyle name="Entrada 2 2 2 3 2 3 2 2 3" xfId="21239"/>
    <cellStyle name="Entrada 2 2 2 3 2 3 2 3" xfId="14222"/>
    <cellStyle name="Entrada 2 2 2 3 2 3 2 3 2" xfId="28544"/>
    <cellStyle name="Entrada 2 2 2 3 2 3 2 4" xfId="19867"/>
    <cellStyle name="Entrada 2 2 2 3 2 3 3" xfId="13354"/>
    <cellStyle name="Entrada 2 2 2 3 2 3 3 2" xfId="27676"/>
    <cellStyle name="Entrada 2 2 2 3 2 3 4" xfId="18999"/>
    <cellStyle name="Entrada 2 2 2 3 2 4" xfId="5804"/>
    <cellStyle name="Entrada 2 2 2 3 2 4 2" xfId="12357"/>
    <cellStyle name="Entrada 2 2 2 3 2 4 2 2" xfId="26679"/>
    <cellStyle name="Entrada 2 2 2 3 2 4 3" xfId="18002"/>
    <cellStyle name="Entrada 2 2 2 3 2 5" xfId="5418"/>
    <cellStyle name="Entrada 2 2 2 3 2 5 2" xfId="23345"/>
    <cellStyle name="Entrada 2 2 2 3 2 6" xfId="17033"/>
    <cellStyle name="Entrada 2 2 2 3 3" xfId="393"/>
    <cellStyle name="Entrada 2 2 2 3 3 2" xfId="394"/>
    <cellStyle name="Entrada 2 2 2 3 3 2 2" xfId="6114"/>
    <cellStyle name="Entrada 2 2 2 3 3 2 2 2" xfId="12682"/>
    <cellStyle name="Entrada 2 2 2 3 3 2 2 2 2" xfId="27004"/>
    <cellStyle name="Entrada 2 2 2 3 3 2 2 3" xfId="18327"/>
    <cellStyle name="Entrada 2 2 2 3 3 2 3" xfId="7064"/>
    <cellStyle name="Entrada 2 2 2 3 3 2 3 2" xfId="9678"/>
    <cellStyle name="Entrada 2 2 2 3 3 2 3 2 2" xfId="15940"/>
    <cellStyle name="Entrada 2 2 2 3 3 2 3 2 2 2" xfId="29356"/>
    <cellStyle name="Entrada 2 2 2 3 3 2 3 2 3" xfId="20685"/>
    <cellStyle name="Entrada 2 2 2 3 3 2 3 3" xfId="13668"/>
    <cellStyle name="Entrada 2 2 2 3 3 2 3 3 2" xfId="27990"/>
    <cellStyle name="Entrada 2 2 2 3 3 2 3 4" xfId="19313"/>
    <cellStyle name="Entrada 2 2 2 3 3 2 4" xfId="6642"/>
    <cellStyle name="Entrada 2 2 2 3 3 2 4 2" xfId="23622"/>
    <cellStyle name="Entrada 2 2 2 3 3 2 5" xfId="4297"/>
    <cellStyle name="Entrada 2 2 2 3 3 3" xfId="395"/>
    <cellStyle name="Entrada 2 2 2 3 3 3 2" xfId="8054"/>
    <cellStyle name="Entrada 2 2 2 3 3 3 2 2" xfId="10668"/>
    <cellStyle name="Entrada 2 2 2 3 3 3 2 2 2" xfId="16930"/>
    <cellStyle name="Entrada 2 2 2 3 3 3 2 2 2 2" xfId="30346"/>
    <cellStyle name="Entrada 2 2 2 3 3 3 2 2 3" xfId="21675"/>
    <cellStyle name="Entrada 2 2 2 3 3 3 2 3" xfId="14658"/>
    <cellStyle name="Entrada 2 2 2 3 3 3 2 3 2" xfId="28980"/>
    <cellStyle name="Entrada 2 2 2 3 3 3 2 4" xfId="20303"/>
    <cellStyle name="Entrada 2 2 2 3 3 3 3" xfId="13375"/>
    <cellStyle name="Entrada 2 2 2 3 3 3 3 2" xfId="27697"/>
    <cellStyle name="Entrada 2 2 2 3 3 3 4" xfId="19020"/>
    <cellStyle name="Entrada 2 2 2 3 3 4" xfId="5827"/>
    <cellStyle name="Entrada 2 2 2 3 3 4 2" xfId="12380"/>
    <cellStyle name="Entrada 2 2 2 3 3 4 2 2" xfId="26702"/>
    <cellStyle name="Entrada 2 2 2 3 3 4 3" xfId="18025"/>
    <cellStyle name="Entrada 2 2 2 3 3 5" xfId="4803"/>
    <cellStyle name="Entrada 2 2 2 3 3 5 2" xfId="23196"/>
    <cellStyle name="Entrada 2 2 2 3 3 6" xfId="6656"/>
    <cellStyle name="Entrada 2 2 2 3 4" xfId="396"/>
    <cellStyle name="Entrada 2 2 2 3 4 2" xfId="6085"/>
    <cellStyle name="Entrada 2 2 2 3 4 2 2" xfId="12651"/>
    <cellStyle name="Entrada 2 2 2 3 4 2 2 2" xfId="26973"/>
    <cellStyle name="Entrada 2 2 2 3 4 2 3" xfId="18296"/>
    <cellStyle name="Entrada 2 2 2 3 4 3" xfId="7253"/>
    <cellStyle name="Entrada 2 2 2 3 4 3 2" xfId="9867"/>
    <cellStyle name="Entrada 2 2 2 3 4 3 2 2" xfId="16129"/>
    <cellStyle name="Entrada 2 2 2 3 4 3 2 2 2" xfId="29545"/>
    <cellStyle name="Entrada 2 2 2 3 4 3 2 3" xfId="20874"/>
    <cellStyle name="Entrada 2 2 2 3 4 3 3" xfId="13857"/>
    <cellStyle name="Entrada 2 2 2 3 4 3 3 2" xfId="28179"/>
    <cellStyle name="Entrada 2 2 2 3 4 3 4" xfId="19502"/>
    <cellStyle name="Entrada 2 2 2 3 4 4" xfId="4538"/>
    <cellStyle name="Entrada 2 2 2 3 4 4 2" xfId="23018"/>
    <cellStyle name="Entrada 2 2 2 3 4 5" xfId="17348"/>
    <cellStyle name="Entrada 2 2 2 3 5" xfId="397"/>
    <cellStyle name="Entrada 2 2 2 3 5 2" xfId="7091"/>
    <cellStyle name="Entrada 2 2 2 3 5 2 2" xfId="9705"/>
    <cellStyle name="Entrada 2 2 2 3 5 2 2 2" xfId="15967"/>
    <cellStyle name="Entrada 2 2 2 3 5 2 2 2 2" xfId="29383"/>
    <cellStyle name="Entrada 2 2 2 3 5 2 2 3" xfId="20712"/>
    <cellStyle name="Entrada 2 2 2 3 5 2 3" xfId="13695"/>
    <cellStyle name="Entrada 2 2 2 3 5 2 3 2" xfId="28017"/>
    <cellStyle name="Entrada 2 2 2 3 5 2 4" xfId="19340"/>
    <cellStyle name="Entrada 2 2 2 3 5 3" xfId="12930"/>
    <cellStyle name="Entrada 2 2 2 3 5 3 2" xfId="27252"/>
    <cellStyle name="Entrada 2 2 2 3 5 4" xfId="18575"/>
    <cellStyle name="Entrada 2 2 2 3 6" xfId="5554"/>
    <cellStyle name="Entrada 2 2 2 3 6 2" xfId="12105"/>
    <cellStyle name="Entrada 2 2 2 3 6 2 2" xfId="26427"/>
    <cellStyle name="Entrada 2 2 2 3 6 3" xfId="17750"/>
    <cellStyle name="Entrada 2 2 2 3 7" xfId="6668"/>
    <cellStyle name="Entrada 2 2 2 3 7 2" xfId="23640"/>
    <cellStyle name="Entrada 2 2 2 3 8" xfId="15007"/>
    <cellStyle name="Entrada 2 2 2 4" xfId="398"/>
    <cellStyle name="Entrada 2 2 2 4 2" xfId="399"/>
    <cellStyle name="Entrada 2 2 2 4 2 2" xfId="400"/>
    <cellStyle name="Entrada 2 2 2 4 2 2 2" xfId="6009"/>
    <cellStyle name="Entrada 2 2 2 4 2 2 2 2" xfId="12568"/>
    <cellStyle name="Entrada 2 2 2 4 2 2 2 2 2" xfId="26890"/>
    <cellStyle name="Entrada 2 2 2 4 2 2 2 3" xfId="18213"/>
    <cellStyle name="Entrada 2 2 2 4 2 2 3" xfId="7396"/>
    <cellStyle name="Entrada 2 2 2 4 2 2 3 2" xfId="10010"/>
    <cellStyle name="Entrada 2 2 2 4 2 2 3 2 2" xfId="16272"/>
    <cellStyle name="Entrada 2 2 2 4 2 2 3 2 2 2" xfId="29688"/>
    <cellStyle name="Entrada 2 2 2 4 2 2 3 2 3" xfId="21017"/>
    <cellStyle name="Entrada 2 2 2 4 2 2 3 3" xfId="14000"/>
    <cellStyle name="Entrada 2 2 2 4 2 2 3 3 2" xfId="28322"/>
    <cellStyle name="Entrada 2 2 2 4 2 2 3 4" xfId="19645"/>
    <cellStyle name="Entrada 2 2 2 4 2 2 4" xfId="3466"/>
    <cellStyle name="Entrada 2 2 2 4 2 2 4 2" xfId="22470"/>
    <cellStyle name="Entrada 2 2 2 4 2 2 5" xfId="5610"/>
    <cellStyle name="Entrada 2 2 2 4 2 3" xfId="401"/>
    <cellStyle name="Entrada 2 2 2 4 2 3 2" xfId="5271"/>
    <cellStyle name="Entrada 2 2 2 4 2 3 2 2" xfId="9580"/>
    <cellStyle name="Entrada 2 2 2 4 2 3 2 2 2" xfId="15842"/>
    <cellStyle name="Entrada 2 2 2 4 2 3 2 2 2 2" xfId="29258"/>
    <cellStyle name="Entrada 2 2 2 4 2 3 2 2 3" xfId="20587"/>
    <cellStyle name="Entrada 2 2 2 4 2 3 2 3" xfId="11821"/>
    <cellStyle name="Entrada 2 2 2 4 2 3 2 3 2" xfId="26143"/>
    <cellStyle name="Entrada 2 2 2 4 2 3 2 4" xfId="17466"/>
    <cellStyle name="Entrada 2 2 2 4 2 3 3" xfId="13164"/>
    <cellStyle name="Entrada 2 2 2 4 2 3 3 2" xfId="27486"/>
    <cellStyle name="Entrada 2 2 2 4 2 3 4" xfId="18809"/>
    <cellStyle name="Entrada 2 2 2 4 2 4" xfId="5578"/>
    <cellStyle name="Entrada 2 2 2 4 2 4 2" xfId="12129"/>
    <cellStyle name="Entrada 2 2 2 4 2 4 2 2" xfId="26451"/>
    <cellStyle name="Entrada 2 2 2 4 2 4 3" xfId="17774"/>
    <cellStyle name="Entrada 2 2 2 4 2 5" xfId="6682"/>
    <cellStyle name="Entrada 2 2 2 4 2 5 2" xfId="23651"/>
    <cellStyle name="Entrada 2 2 2 4 2 6" xfId="17118"/>
    <cellStyle name="Entrada 2 2 2 4 3" xfId="402"/>
    <cellStyle name="Entrada 2 2 2 4 3 2" xfId="403"/>
    <cellStyle name="Entrada 2 2 2 4 3 2 2" xfId="7000"/>
    <cellStyle name="Entrada 2 2 2 4 3 2 2 2" xfId="13604"/>
    <cellStyle name="Entrada 2 2 2 4 3 2 2 2 2" xfId="27926"/>
    <cellStyle name="Entrada 2 2 2 4 3 2 2 3" xfId="19249"/>
    <cellStyle name="Entrada 2 2 2 4 3 2 3" xfId="5274"/>
    <cellStyle name="Entrada 2 2 2 4 3 2 3 2" xfId="9583"/>
    <cellStyle name="Entrada 2 2 2 4 3 2 3 2 2" xfId="15845"/>
    <cellStyle name="Entrada 2 2 2 4 3 2 3 2 2 2" xfId="29261"/>
    <cellStyle name="Entrada 2 2 2 4 3 2 3 2 3" xfId="20590"/>
    <cellStyle name="Entrada 2 2 2 4 3 2 3 3" xfId="11824"/>
    <cellStyle name="Entrada 2 2 2 4 3 2 3 3 2" xfId="26146"/>
    <cellStyle name="Entrada 2 2 2 4 3 2 3 4" xfId="17469"/>
    <cellStyle name="Entrada 2 2 2 4 3 2 4" xfId="11516"/>
    <cellStyle name="Entrada 2 2 2 4 3 2 4 2" xfId="25838"/>
    <cellStyle name="Entrada 2 2 2 4 3 2 5" xfId="2786"/>
    <cellStyle name="Entrada 2 2 2 4 3 3" xfId="404"/>
    <cellStyle name="Entrada 2 2 2 4 3 3 2" xfId="5336"/>
    <cellStyle name="Entrada 2 2 2 4 3 3 2 2" xfId="9645"/>
    <cellStyle name="Entrada 2 2 2 4 3 3 2 2 2" xfId="15907"/>
    <cellStyle name="Entrada 2 2 2 4 3 3 2 2 2 2" xfId="29323"/>
    <cellStyle name="Entrada 2 2 2 4 3 3 2 2 3" xfId="20652"/>
    <cellStyle name="Entrada 2 2 2 4 3 3 2 3" xfId="11886"/>
    <cellStyle name="Entrada 2 2 2 4 3 3 2 3 2" xfId="26208"/>
    <cellStyle name="Entrada 2 2 2 4 3 3 2 4" xfId="17531"/>
    <cellStyle name="Entrada 2 2 2 4 3 3 3" xfId="13063"/>
    <cellStyle name="Entrada 2 2 2 4 3 3 3 2" xfId="27385"/>
    <cellStyle name="Entrada 2 2 2 4 3 3 4" xfId="18708"/>
    <cellStyle name="Entrada 2 2 2 4 3 4" xfId="5399"/>
    <cellStyle name="Entrada 2 2 2 4 3 4 2" xfId="11949"/>
    <cellStyle name="Entrada 2 2 2 4 3 4 2 2" xfId="26271"/>
    <cellStyle name="Entrada 2 2 2 4 3 4 3" xfId="17594"/>
    <cellStyle name="Entrada 2 2 2 4 3 5" xfId="6745"/>
    <cellStyle name="Entrada 2 2 2 4 3 5 2" xfId="23693"/>
    <cellStyle name="Entrada 2 2 2 4 3 6" xfId="3610"/>
    <cellStyle name="Entrada 2 2 2 4 4" xfId="405"/>
    <cellStyle name="Entrada 2 2 2 4 4 2" xfId="6092"/>
    <cellStyle name="Entrada 2 2 2 4 4 2 2" xfId="12659"/>
    <cellStyle name="Entrada 2 2 2 4 4 2 2 2" xfId="26981"/>
    <cellStyle name="Entrada 2 2 2 4 4 2 3" xfId="18304"/>
    <cellStyle name="Entrada 2 2 2 4 4 3" xfId="7756"/>
    <cellStyle name="Entrada 2 2 2 4 4 3 2" xfId="10370"/>
    <cellStyle name="Entrada 2 2 2 4 4 3 2 2" xfId="16632"/>
    <cellStyle name="Entrada 2 2 2 4 4 3 2 2 2" xfId="30048"/>
    <cellStyle name="Entrada 2 2 2 4 4 3 2 3" xfId="21377"/>
    <cellStyle name="Entrada 2 2 2 4 4 3 3" xfId="14360"/>
    <cellStyle name="Entrada 2 2 2 4 4 3 3 2" xfId="28682"/>
    <cellStyle name="Entrada 2 2 2 4 4 3 4" xfId="20005"/>
    <cellStyle name="Entrada 2 2 2 4 4 4" xfId="4213"/>
    <cellStyle name="Entrada 2 2 2 4 4 4 2" xfId="22826"/>
    <cellStyle name="Entrada 2 2 2 4 4 5" xfId="4629"/>
    <cellStyle name="Entrada 2 2 2 4 5" xfId="406"/>
    <cellStyle name="Entrada 2 2 2 4 5 2" xfId="7432"/>
    <cellStyle name="Entrada 2 2 2 4 5 2 2" xfId="10046"/>
    <cellStyle name="Entrada 2 2 2 4 5 2 2 2" xfId="16308"/>
    <cellStyle name="Entrada 2 2 2 4 5 2 2 2 2" xfId="29724"/>
    <cellStyle name="Entrada 2 2 2 4 5 2 2 3" xfId="21053"/>
    <cellStyle name="Entrada 2 2 2 4 5 2 3" xfId="14036"/>
    <cellStyle name="Entrada 2 2 2 4 5 2 3 2" xfId="28358"/>
    <cellStyle name="Entrada 2 2 2 4 5 2 4" xfId="19681"/>
    <cellStyle name="Entrada 2 2 2 4 5 3" xfId="12425"/>
    <cellStyle name="Entrada 2 2 2 4 5 3 2" xfId="26747"/>
    <cellStyle name="Entrada 2 2 2 4 5 4" xfId="18070"/>
    <cellStyle name="Entrada 2 2 2 4 6" xfId="5056"/>
    <cellStyle name="Entrada 2 2 2 4 6 2" xfId="11603"/>
    <cellStyle name="Entrada 2 2 2 4 6 2 2" xfId="25925"/>
    <cellStyle name="Entrada 2 2 2 4 6 3" xfId="15311"/>
    <cellStyle name="Entrada 2 2 2 4 7" xfId="3799"/>
    <cellStyle name="Entrada 2 2 2 4 7 2" xfId="22587"/>
    <cellStyle name="Entrada 2 2 2 4 8" xfId="15040"/>
    <cellStyle name="Entrada 2 2 2 5" xfId="407"/>
    <cellStyle name="Entrada 2 2 2 5 2" xfId="408"/>
    <cellStyle name="Entrada 2 2 2 5 2 2" xfId="409"/>
    <cellStyle name="Entrada 2 2 2 5 2 2 2" xfId="6110"/>
    <cellStyle name="Entrada 2 2 2 5 2 2 2 2" xfId="12678"/>
    <cellStyle name="Entrada 2 2 2 5 2 2 2 2 2" xfId="27000"/>
    <cellStyle name="Entrada 2 2 2 5 2 2 2 3" xfId="18323"/>
    <cellStyle name="Entrada 2 2 2 5 2 2 3" xfId="7193"/>
    <cellStyle name="Entrada 2 2 2 5 2 2 3 2" xfId="9807"/>
    <cellStyle name="Entrada 2 2 2 5 2 2 3 2 2" xfId="16069"/>
    <cellStyle name="Entrada 2 2 2 5 2 2 3 2 2 2" xfId="29485"/>
    <cellStyle name="Entrada 2 2 2 5 2 2 3 2 3" xfId="20814"/>
    <cellStyle name="Entrada 2 2 2 5 2 2 3 3" xfId="13797"/>
    <cellStyle name="Entrada 2 2 2 5 2 2 3 3 2" xfId="28119"/>
    <cellStyle name="Entrada 2 2 2 5 2 2 3 4" xfId="19442"/>
    <cellStyle name="Entrada 2 2 2 5 2 2 4" xfId="4780"/>
    <cellStyle name="Entrada 2 2 2 5 2 2 4 2" xfId="23183"/>
    <cellStyle name="Entrada 2 2 2 5 2 2 5" xfId="14687"/>
    <cellStyle name="Entrada 2 2 2 5 2 3" xfId="410"/>
    <cellStyle name="Entrada 2 2 2 5 2 3 2" xfId="4856"/>
    <cellStyle name="Entrada 2 2 2 5 2 3 2 2" xfId="9505"/>
    <cellStyle name="Entrada 2 2 2 5 2 3 2 2 2" xfId="15767"/>
    <cellStyle name="Entrada 2 2 2 5 2 3 2 2 2 2" xfId="29183"/>
    <cellStyle name="Entrada 2 2 2 5 2 3 2 2 3" xfId="20512"/>
    <cellStyle name="Entrada 2 2 2 5 2 3 2 3" xfId="11390"/>
    <cellStyle name="Entrada 2 2 2 5 2 3 2 3 2" xfId="25712"/>
    <cellStyle name="Entrada 2 2 2 5 2 3 2 4" xfId="17001"/>
    <cellStyle name="Entrada 2 2 2 5 2 3 3" xfId="12784"/>
    <cellStyle name="Entrada 2 2 2 5 2 3 3 2" xfId="27106"/>
    <cellStyle name="Entrada 2 2 2 5 2 3 4" xfId="18429"/>
    <cellStyle name="Entrada 2 2 2 5 2 4" xfId="5174"/>
    <cellStyle name="Entrada 2 2 2 5 2 4 2" xfId="11723"/>
    <cellStyle name="Entrada 2 2 2 5 2 4 2 2" xfId="26045"/>
    <cellStyle name="Entrada 2 2 2 5 2 4 3" xfId="4555"/>
    <cellStyle name="Entrada 2 2 2 5 2 5" xfId="4772"/>
    <cellStyle name="Entrada 2 2 2 5 2 5 2" xfId="23180"/>
    <cellStyle name="Entrada 2 2 2 5 2 6" xfId="15093"/>
    <cellStyle name="Entrada 2 2 2 5 3" xfId="411"/>
    <cellStyle name="Entrada 2 2 2 5 3 2" xfId="7020"/>
    <cellStyle name="Entrada 2 2 2 5 3 2 2" xfId="13624"/>
    <cellStyle name="Entrada 2 2 2 5 3 2 2 2" xfId="27946"/>
    <cellStyle name="Entrada 2 2 2 5 3 2 3" xfId="19269"/>
    <cellStyle name="Entrada 2 2 2 5 3 3" xfId="3767"/>
    <cellStyle name="Entrada 2 2 2 5 3 3 2" xfId="9370"/>
    <cellStyle name="Entrada 2 2 2 5 3 3 2 2" xfId="15632"/>
    <cellStyle name="Entrada 2 2 2 5 3 3 2 2 2" xfId="29048"/>
    <cellStyle name="Entrada 2 2 2 5 3 3 2 3" xfId="20377"/>
    <cellStyle name="Entrada 2 2 2 5 3 3 3" xfId="4461"/>
    <cellStyle name="Entrada 2 2 2 5 3 3 3 2" xfId="22964"/>
    <cellStyle name="Entrada 2 2 2 5 3 3 4" xfId="17316"/>
    <cellStyle name="Entrada 2 2 2 5 3 4" xfId="11550"/>
    <cellStyle name="Entrada 2 2 2 5 3 4 2" xfId="25872"/>
    <cellStyle name="Entrada 2 2 2 5 3 5" xfId="6010"/>
    <cellStyle name="Entrada 2 2 2 5 4" xfId="412"/>
    <cellStyle name="Entrada 2 2 2 5 4 2" xfId="4850"/>
    <cellStyle name="Entrada 2 2 2 5 4 2 2" xfId="9502"/>
    <cellStyle name="Entrada 2 2 2 5 4 2 2 2" xfId="15764"/>
    <cellStyle name="Entrada 2 2 2 5 4 2 2 2 2" xfId="29180"/>
    <cellStyle name="Entrada 2 2 2 5 4 2 2 3" xfId="20509"/>
    <cellStyle name="Entrada 2 2 2 5 4 2 3" xfId="11383"/>
    <cellStyle name="Entrada 2 2 2 5 4 2 3 2" xfId="25705"/>
    <cellStyle name="Entrada 2 2 2 5 4 2 4" xfId="6083"/>
    <cellStyle name="Entrada 2 2 2 5 4 3" xfId="12571"/>
    <cellStyle name="Entrada 2 2 2 5 4 3 2" xfId="26893"/>
    <cellStyle name="Entrada 2 2 2 5 4 4" xfId="18216"/>
    <cellStyle name="Entrada 2 2 2 5 5" xfId="5205"/>
    <cellStyle name="Entrada 2 2 2 5 5 2" xfId="11754"/>
    <cellStyle name="Entrada 2 2 2 5 5 2 2" xfId="26076"/>
    <cellStyle name="Entrada 2 2 2 5 5 3" xfId="4242"/>
    <cellStyle name="Entrada 2 2 2 5 6" xfId="4644"/>
    <cellStyle name="Entrada 2 2 2 5 6 2" xfId="23088"/>
    <cellStyle name="Entrada 2 2 2 5 7" xfId="3884"/>
    <cellStyle name="Entrada 2 2 2 6" xfId="413"/>
    <cellStyle name="Entrada 2 2 2 6 2" xfId="414"/>
    <cellStyle name="Entrada 2 2 2 6 2 2" xfId="5609"/>
    <cellStyle name="Entrada 2 2 2 6 2 2 2" xfId="12161"/>
    <cellStyle name="Entrada 2 2 2 6 2 2 2 2" xfId="26483"/>
    <cellStyle name="Entrada 2 2 2 6 2 2 3" xfId="17806"/>
    <cellStyle name="Entrada 2 2 2 6 2 3" xfId="7143"/>
    <cellStyle name="Entrada 2 2 2 6 2 3 2" xfId="9757"/>
    <cellStyle name="Entrada 2 2 2 6 2 3 2 2" xfId="16019"/>
    <cellStyle name="Entrada 2 2 2 6 2 3 2 2 2" xfId="29435"/>
    <cellStyle name="Entrada 2 2 2 6 2 3 2 3" xfId="20764"/>
    <cellStyle name="Entrada 2 2 2 6 2 3 3" xfId="13747"/>
    <cellStyle name="Entrada 2 2 2 6 2 3 3 2" xfId="28069"/>
    <cellStyle name="Entrada 2 2 2 6 2 3 4" xfId="19392"/>
    <cellStyle name="Entrada 2 2 2 6 2 4" xfId="4753"/>
    <cellStyle name="Entrada 2 2 2 6 2 4 2" xfId="23170"/>
    <cellStyle name="Entrada 2 2 2 6 2 5" xfId="17131"/>
    <cellStyle name="Entrada 2 2 2 6 3" xfId="415"/>
    <cellStyle name="Entrada 2 2 2 6 3 2" xfId="7646"/>
    <cellStyle name="Entrada 2 2 2 6 3 2 2" xfId="10260"/>
    <cellStyle name="Entrada 2 2 2 6 3 2 2 2" xfId="16522"/>
    <cellStyle name="Entrada 2 2 2 6 3 2 2 2 2" xfId="29938"/>
    <cellStyle name="Entrada 2 2 2 6 3 2 2 3" xfId="21267"/>
    <cellStyle name="Entrada 2 2 2 6 3 2 3" xfId="14250"/>
    <cellStyle name="Entrada 2 2 2 6 3 2 3 2" xfId="28572"/>
    <cellStyle name="Entrada 2 2 2 6 3 2 4" xfId="19895"/>
    <cellStyle name="Entrada 2 2 2 6 3 3" xfId="13064"/>
    <cellStyle name="Entrada 2 2 2 6 3 3 2" xfId="27386"/>
    <cellStyle name="Entrada 2 2 2 6 3 4" xfId="18709"/>
    <cellStyle name="Entrada 2 2 2 6 4" xfId="5400"/>
    <cellStyle name="Entrada 2 2 2 6 4 2" xfId="11950"/>
    <cellStyle name="Entrada 2 2 2 6 4 2 2" xfId="26272"/>
    <cellStyle name="Entrada 2 2 2 6 4 3" xfId="17595"/>
    <cellStyle name="Entrada 2 2 2 6 5" xfId="3966"/>
    <cellStyle name="Entrada 2 2 2 6 5 2" xfId="22673"/>
    <cellStyle name="Entrada 2 2 2 6 6" xfId="5481"/>
    <cellStyle name="Entrada 2 2 2 7" xfId="416"/>
    <cellStyle name="Entrada 2 2 2 7 2" xfId="6384"/>
    <cellStyle name="Entrada 2 2 2 7 2 2" xfId="12967"/>
    <cellStyle name="Entrada 2 2 2 7 2 2 2" xfId="27289"/>
    <cellStyle name="Entrada 2 2 2 7 2 3" xfId="18612"/>
    <cellStyle name="Entrada 2 2 2 7 3" xfId="7294"/>
    <cellStyle name="Entrada 2 2 2 7 3 2" xfId="9908"/>
    <cellStyle name="Entrada 2 2 2 7 3 2 2" xfId="16170"/>
    <cellStyle name="Entrada 2 2 2 7 3 2 2 2" xfId="29586"/>
    <cellStyle name="Entrada 2 2 2 7 3 2 3" xfId="20915"/>
    <cellStyle name="Entrada 2 2 2 7 3 3" xfId="13898"/>
    <cellStyle name="Entrada 2 2 2 7 3 3 2" xfId="28220"/>
    <cellStyle name="Entrada 2 2 2 7 3 4" xfId="19543"/>
    <cellStyle name="Entrada 2 2 2 7 4" xfId="4339"/>
    <cellStyle name="Entrada 2 2 2 7 4 2" xfId="22896"/>
    <cellStyle name="Entrada 2 2 2 7 5" xfId="14768"/>
    <cellStyle name="Entrada 2 2 2 8" xfId="417"/>
    <cellStyle name="Entrada 2 2 2 8 2" xfId="7101"/>
    <cellStyle name="Entrada 2 2 2 8 2 2" xfId="9715"/>
    <cellStyle name="Entrada 2 2 2 8 2 2 2" xfId="15977"/>
    <cellStyle name="Entrada 2 2 2 8 2 2 2 2" xfId="29393"/>
    <cellStyle name="Entrada 2 2 2 8 2 2 3" xfId="20722"/>
    <cellStyle name="Entrada 2 2 2 8 2 3" xfId="13705"/>
    <cellStyle name="Entrada 2 2 2 8 2 3 2" xfId="28027"/>
    <cellStyle name="Entrada 2 2 2 8 2 4" xfId="19350"/>
    <cellStyle name="Entrada 2 2 2 8 3" xfId="12758"/>
    <cellStyle name="Entrada 2 2 2 8 3 2" xfId="27080"/>
    <cellStyle name="Entrada 2 2 2 8 4" xfId="18403"/>
    <cellStyle name="Entrada 2 2 2 9" xfId="5469"/>
    <cellStyle name="Entrada 2 2 2 9 2" xfId="12020"/>
    <cellStyle name="Entrada 2 2 2 9 2 2" xfId="26342"/>
    <cellStyle name="Entrada 2 2 2 9 3" xfId="17665"/>
    <cellStyle name="Entrada 2 2 3" xfId="418"/>
    <cellStyle name="Entrada 2 2 3 2" xfId="419"/>
    <cellStyle name="Entrada 2 2 3 2 2" xfId="420"/>
    <cellStyle name="Entrada 2 2 3 2 2 2" xfId="5728"/>
    <cellStyle name="Entrada 2 2 3 2 2 2 2" xfId="12281"/>
    <cellStyle name="Entrada 2 2 3 2 2 2 2 2" xfId="26603"/>
    <cellStyle name="Entrada 2 2 3 2 2 2 3" xfId="17926"/>
    <cellStyle name="Entrada 2 2 3 2 2 3" xfId="8057"/>
    <cellStyle name="Entrada 2 2 3 2 2 3 2" xfId="10671"/>
    <cellStyle name="Entrada 2 2 3 2 2 3 2 2" xfId="16933"/>
    <cellStyle name="Entrada 2 2 3 2 2 3 2 2 2" xfId="30349"/>
    <cellStyle name="Entrada 2 2 3 2 2 3 2 3" xfId="21678"/>
    <cellStyle name="Entrada 2 2 3 2 2 3 3" xfId="14661"/>
    <cellStyle name="Entrada 2 2 3 2 2 3 3 2" xfId="28983"/>
    <cellStyle name="Entrada 2 2 3 2 2 3 4" xfId="20306"/>
    <cellStyle name="Entrada 2 2 3 2 2 4" xfId="5975"/>
    <cellStyle name="Entrada 2 2 3 2 2 4 2" xfId="23387"/>
    <cellStyle name="Entrada 2 2 3 2 2 5" xfId="4268"/>
    <cellStyle name="Entrada 2 2 3 2 3" xfId="421"/>
    <cellStyle name="Entrada 2 2 3 2 3 2" xfId="5254"/>
    <cellStyle name="Entrada 2 2 3 2 3 2 2" xfId="9563"/>
    <cellStyle name="Entrada 2 2 3 2 3 2 2 2" xfId="15825"/>
    <cellStyle name="Entrada 2 2 3 2 3 2 2 2 2" xfId="29241"/>
    <cellStyle name="Entrada 2 2 3 2 3 2 2 3" xfId="20570"/>
    <cellStyle name="Entrada 2 2 3 2 3 2 3" xfId="11804"/>
    <cellStyle name="Entrada 2 2 3 2 3 2 3 2" xfId="26126"/>
    <cellStyle name="Entrada 2 2 3 2 3 2 4" xfId="17449"/>
    <cellStyle name="Entrada 2 2 3 2 3 3" xfId="13304"/>
    <cellStyle name="Entrada 2 2 3 2 3 3 2" xfId="27626"/>
    <cellStyle name="Entrada 2 2 3 2 3 4" xfId="18949"/>
    <cellStyle name="Entrada 2 2 3 2 4" xfId="5754"/>
    <cellStyle name="Entrada 2 2 3 2 4 2" xfId="12307"/>
    <cellStyle name="Entrada 2 2 3 2 4 2 2" xfId="26629"/>
    <cellStyle name="Entrada 2 2 3 2 4 3" xfId="17952"/>
    <cellStyle name="Entrada 2 2 3 2 5" xfId="6173"/>
    <cellStyle name="Entrada 2 2 3 2 5 2" xfId="23442"/>
    <cellStyle name="Entrada 2 2 3 2 6" xfId="17109"/>
    <cellStyle name="Entrada 2 2 3 3" xfId="422"/>
    <cellStyle name="Entrada 2 2 3 3 2" xfId="423"/>
    <cellStyle name="Entrada 2 2 3 3 2 2" xfId="6391"/>
    <cellStyle name="Entrada 2 2 3 3 2 2 2" xfId="12974"/>
    <cellStyle name="Entrada 2 2 3 3 2 2 2 2" xfId="27296"/>
    <cellStyle name="Entrada 2 2 3 3 2 2 3" xfId="18619"/>
    <cellStyle name="Entrada 2 2 3 3 2 3" xfId="7777"/>
    <cellStyle name="Entrada 2 2 3 3 2 3 2" xfId="10391"/>
    <cellStyle name="Entrada 2 2 3 3 2 3 2 2" xfId="16653"/>
    <cellStyle name="Entrada 2 2 3 3 2 3 2 2 2" xfId="30069"/>
    <cellStyle name="Entrada 2 2 3 3 2 3 2 3" xfId="21398"/>
    <cellStyle name="Entrada 2 2 3 3 2 3 3" xfId="14381"/>
    <cellStyle name="Entrada 2 2 3 3 2 3 3 2" xfId="28703"/>
    <cellStyle name="Entrada 2 2 3 3 2 3 4" xfId="20026"/>
    <cellStyle name="Entrada 2 2 3 3 2 4" xfId="4305"/>
    <cellStyle name="Entrada 2 2 3 3 2 4 2" xfId="22882"/>
    <cellStyle name="Entrada 2 2 3 3 2 5" xfId="17358"/>
    <cellStyle name="Entrada 2 2 3 3 3" xfId="424"/>
    <cellStyle name="Entrada 2 2 3 3 3 2" xfId="4434"/>
    <cellStyle name="Entrada 2 2 3 3 3 2 2" xfId="9466"/>
    <cellStyle name="Entrada 2 2 3 3 3 2 2 2" xfId="15728"/>
    <cellStyle name="Entrada 2 2 3 3 3 2 2 2 2" xfId="29144"/>
    <cellStyle name="Entrada 2 2 3 3 3 2 2 3" xfId="20473"/>
    <cellStyle name="Entrada 2 2 3 3 3 2 3" xfId="6817"/>
    <cellStyle name="Entrada 2 2 3 3 3 2 3 2" xfId="23753"/>
    <cellStyle name="Entrada 2 2 3 3 3 2 4" xfId="15018"/>
    <cellStyle name="Entrada 2 2 3 3 3 3" xfId="13178"/>
    <cellStyle name="Entrada 2 2 3 3 3 3 2" xfId="27500"/>
    <cellStyle name="Entrada 2 2 3 3 3 4" xfId="18823"/>
    <cellStyle name="Entrada 2 2 3 3 4" xfId="5601"/>
    <cellStyle name="Entrada 2 2 3 3 4 2" xfId="12153"/>
    <cellStyle name="Entrada 2 2 3 3 4 2 2" xfId="26475"/>
    <cellStyle name="Entrada 2 2 3 3 4 3" xfId="17798"/>
    <cellStyle name="Entrada 2 2 3 3 5" xfId="5565"/>
    <cellStyle name="Entrada 2 2 3 3 5 2" xfId="23349"/>
    <cellStyle name="Entrada 2 2 3 3 6" xfId="15181"/>
    <cellStyle name="Entrada 2 2 3 4" xfId="425"/>
    <cellStyle name="Entrada 2 2 3 4 2" xfId="6510"/>
    <cellStyle name="Entrada 2 2 3 4 2 2" xfId="13097"/>
    <cellStyle name="Entrada 2 2 3 4 2 2 2" xfId="27419"/>
    <cellStyle name="Entrada 2 2 3 4 2 3" xfId="18742"/>
    <cellStyle name="Entrada 2 2 3 4 3" xfId="7146"/>
    <cellStyle name="Entrada 2 2 3 4 3 2" xfId="9760"/>
    <cellStyle name="Entrada 2 2 3 4 3 2 2" xfId="16022"/>
    <cellStyle name="Entrada 2 2 3 4 3 2 2 2" xfId="29438"/>
    <cellStyle name="Entrada 2 2 3 4 3 2 3" xfId="20767"/>
    <cellStyle name="Entrada 2 2 3 4 3 3" xfId="13750"/>
    <cellStyle name="Entrada 2 2 3 4 3 3 2" xfId="28072"/>
    <cellStyle name="Entrada 2 2 3 4 3 4" xfId="19395"/>
    <cellStyle name="Entrada 2 2 3 4 4" xfId="6312"/>
    <cellStyle name="Entrada 2 2 3 4 4 2" xfId="23508"/>
    <cellStyle name="Entrada 2 2 3 4 5" xfId="15489"/>
    <cellStyle name="Entrada 2 2 3 5" xfId="426"/>
    <cellStyle name="Entrada 2 2 3 5 2" xfId="7250"/>
    <cellStyle name="Entrada 2 2 3 5 2 2" xfId="9864"/>
    <cellStyle name="Entrada 2 2 3 5 2 2 2" xfId="16126"/>
    <cellStyle name="Entrada 2 2 3 5 2 2 2 2" xfId="29542"/>
    <cellStyle name="Entrada 2 2 3 5 2 2 3" xfId="20871"/>
    <cellStyle name="Entrada 2 2 3 5 2 3" xfId="13854"/>
    <cellStyle name="Entrada 2 2 3 5 2 3 2" xfId="28176"/>
    <cellStyle name="Entrada 2 2 3 5 2 4" xfId="19499"/>
    <cellStyle name="Entrada 2 2 3 5 3" xfId="12880"/>
    <cellStyle name="Entrada 2 2 3 5 3 2" xfId="27202"/>
    <cellStyle name="Entrada 2 2 3 5 4" xfId="18525"/>
    <cellStyle name="Entrada 2 2 3 6" xfId="5498"/>
    <cellStyle name="Entrada 2 2 3 6 2" xfId="12049"/>
    <cellStyle name="Entrada 2 2 3 6 2 2" xfId="26371"/>
    <cellStyle name="Entrada 2 2 3 6 3" xfId="17694"/>
    <cellStyle name="Entrada 2 2 3 7" xfId="6270"/>
    <cellStyle name="Entrada 2 2 3 7 2" xfId="23485"/>
    <cellStyle name="Entrada 2 2 3 8" xfId="15043"/>
    <cellStyle name="Entrada 2 2 4" xfId="427"/>
    <cellStyle name="Entrada 2 2 4 2" xfId="428"/>
    <cellStyle name="Entrada 2 2 4 2 2" xfId="429"/>
    <cellStyle name="Entrada 2 2 4 2 2 2" xfId="6119"/>
    <cellStyle name="Entrada 2 2 4 2 2 2 2" xfId="12688"/>
    <cellStyle name="Entrada 2 2 4 2 2 2 2 2" xfId="27010"/>
    <cellStyle name="Entrada 2 2 4 2 2 2 3" xfId="18333"/>
    <cellStyle name="Entrada 2 2 4 2 2 3" xfId="7967"/>
    <cellStyle name="Entrada 2 2 4 2 2 3 2" xfId="10581"/>
    <cellStyle name="Entrada 2 2 4 2 2 3 2 2" xfId="16843"/>
    <cellStyle name="Entrada 2 2 4 2 2 3 2 2 2" xfId="30259"/>
    <cellStyle name="Entrada 2 2 4 2 2 3 2 3" xfId="21588"/>
    <cellStyle name="Entrada 2 2 4 2 2 3 3" xfId="14571"/>
    <cellStyle name="Entrada 2 2 4 2 2 3 3 2" xfId="28893"/>
    <cellStyle name="Entrada 2 2 4 2 2 3 4" xfId="20216"/>
    <cellStyle name="Entrada 2 2 4 2 2 4" xfId="4505"/>
    <cellStyle name="Entrada 2 2 4 2 2 4 2" xfId="22995"/>
    <cellStyle name="Entrada 2 2 4 2 2 5" xfId="15529"/>
    <cellStyle name="Entrada 2 2 4 2 3" xfId="430"/>
    <cellStyle name="Entrada 2 2 4 2 3 2" xfId="7289"/>
    <cellStyle name="Entrada 2 2 4 2 3 2 2" xfId="9903"/>
    <cellStyle name="Entrada 2 2 4 2 3 2 2 2" xfId="16165"/>
    <cellStyle name="Entrada 2 2 4 2 3 2 2 2 2" xfId="29581"/>
    <cellStyle name="Entrada 2 2 4 2 3 2 2 3" xfId="20910"/>
    <cellStyle name="Entrada 2 2 4 2 3 2 3" xfId="13893"/>
    <cellStyle name="Entrada 2 2 4 2 3 2 3 2" xfId="28215"/>
    <cellStyle name="Entrada 2 2 4 2 3 2 4" xfId="19538"/>
    <cellStyle name="Entrada 2 2 4 2 3 3" xfId="13340"/>
    <cellStyle name="Entrada 2 2 4 2 3 3 2" xfId="27662"/>
    <cellStyle name="Entrada 2 2 4 2 3 4" xfId="18985"/>
    <cellStyle name="Entrada 2 2 4 2 4" xfId="5790"/>
    <cellStyle name="Entrada 2 2 4 2 4 2" xfId="12343"/>
    <cellStyle name="Entrada 2 2 4 2 4 2 2" xfId="26665"/>
    <cellStyle name="Entrada 2 2 4 2 4 3" xfId="17988"/>
    <cellStyle name="Entrada 2 2 4 2 5" xfId="4636"/>
    <cellStyle name="Entrada 2 2 4 2 5 2" xfId="23080"/>
    <cellStyle name="Entrada 2 2 4 2 6" xfId="15340"/>
    <cellStyle name="Entrada 2 2 4 3" xfId="431"/>
    <cellStyle name="Entrada 2 2 4 3 2" xfId="432"/>
    <cellStyle name="Entrada 2 2 4 3 2 2" xfId="6226"/>
    <cellStyle name="Entrada 2 2 4 3 2 2 2" xfId="12801"/>
    <cellStyle name="Entrada 2 2 4 3 2 2 2 2" xfId="27123"/>
    <cellStyle name="Entrada 2 2 4 3 2 2 3" xfId="18446"/>
    <cellStyle name="Entrada 2 2 4 3 2 3" xfId="7814"/>
    <cellStyle name="Entrada 2 2 4 3 2 3 2" xfId="10428"/>
    <cellStyle name="Entrada 2 2 4 3 2 3 2 2" xfId="16690"/>
    <cellStyle name="Entrada 2 2 4 3 2 3 2 2 2" xfId="30106"/>
    <cellStyle name="Entrada 2 2 4 3 2 3 2 3" xfId="21435"/>
    <cellStyle name="Entrada 2 2 4 3 2 3 3" xfId="14418"/>
    <cellStyle name="Entrada 2 2 4 3 2 3 3 2" xfId="28740"/>
    <cellStyle name="Entrada 2 2 4 3 2 3 4" xfId="20063"/>
    <cellStyle name="Entrada 2 2 4 3 2 4" xfId="4911"/>
    <cellStyle name="Entrada 2 2 4 3 2 4 2" xfId="23261"/>
    <cellStyle name="Entrada 2 2 4 3 2 5" xfId="14830"/>
    <cellStyle name="Entrada 2 2 4 3 3" xfId="433"/>
    <cellStyle name="Entrada 2 2 4 3 3 2" xfId="7156"/>
    <cellStyle name="Entrada 2 2 4 3 3 2 2" xfId="9770"/>
    <cellStyle name="Entrada 2 2 4 3 3 2 2 2" xfId="16032"/>
    <cellStyle name="Entrada 2 2 4 3 3 2 2 2 2" xfId="29448"/>
    <cellStyle name="Entrada 2 2 4 3 3 2 2 3" xfId="20777"/>
    <cellStyle name="Entrada 2 2 4 3 3 2 3" xfId="13760"/>
    <cellStyle name="Entrada 2 2 4 3 3 2 3 2" xfId="28082"/>
    <cellStyle name="Entrada 2 2 4 3 3 2 4" xfId="19405"/>
    <cellStyle name="Entrada 2 2 4 3 3 3" xfId="13189"/>
    <cellStyle name="Entrada 2 2 4 3 3 3 2" xfId="27511"/>
    <cellStyle name="Entrada 2 2 4 3 3 4" xfId="18834"/>
    <cellStyle name="Entrada 2 2 4 3 4" xfId="5626"/>
    <cellStyle name="Entrada 2 2 4 3 4 2" xfId="12179"/>
    <cellStyle name="Entrada 2 2 4 3 4 2 2" xfId="26501"/>
    <cellStyle name="Entrada 2 2 4 3 4 3" xfId="17824"/>
    <cellStyle name="Entrada 2 2 4 3 5" xfId="4553"/>
    <cellStyle name="Entrada 2 2 4 3 5 2" xfId="23027"/>
    <cellStyle name="Entrada 2 2 4 3 6" xfId="17160"/>
    <cellStyle name="Entrada 2 2 4 4" xfId="434"/>
    <cellStyle name="Entrada 2 2 4 4 2" xfId="7037"/>
    <cellStyle name="Entrada 2 2 4 4 2 2" xfId="13641"/>
    <cellStyle name="Entrada 2 2 4 4 2 2 2" xfId="27963"/>
    <cellStyle name="Entrada 2 2 4 4 2 3" xfId="19286"/>
    <cellStyle name="Entrada 2 2 4 4 3" xfId="7168"/>
    <cellStyle name="Entrada 2 2 4 4 3 2" xfId="9782"/>
    <cellStyle name="Entrada 2 2 4 4 3 2 2" xfId="16044"/>
    <cellStyle name="Entrada 2 2 4 4 3 2 2 2" xfId="29460"/>
    <cellStyle name="Entrada 2 2 4 4 3 2 3" xfId="20789"/>
    <cellStyle name="Entrada 2 2 4 4 3 3" xfId="13772"/>
    <cellStyle name="Entrada 2 2 4 4 3 3 2" xfId="28094"/>
    <cellStyle name="Entrada 2 2 4 4 3 4" xfId="19417"/>
    <cellStyle name="Entrada 2 2 4 4 4" xfId="11582"/>
    <cellStyle name="Entrada 2 2 4 4 4 2" xfId="25904"/>
    <cellStyle name="Entrada 2 2 4 4 5" xfId="14859"/>
    <cellStyle name="Entrada 2 2 4 5" xfId="435"/>
    <cellStyle name="Entrada 2 2 4 5 2" xfId="3741"/>
    <cellStyle name="Entrada 2 2 4 5 2 2" xfId="9366"/>
    <cellStyle name="Entrada 2 2 4 5 2 2 2" xfId="15628"/>
    <cellStyle name="Entrada 2 2 4 5 2 2 2 2" xfId="29044"/>
    <cellStyle name="Entrada 2 2 4 5 2 2 3" xfId="20373"/>
    <cellStyle name="Entrada 2 2 4 5 2 3" xfId="6506"/>
    <cellStyle name="Entrada 2 2 4 5 2 3 2" xfId="23574"/>
    <cellStyle name="Entrada 2 2 4 5 2 4" xfId="15123"/>
    <cellStyle name="Entrada 2 2 4 5 3" xfId="12916"/>
    <cellStyle name="Entrada 2 2 4 5 3 2" xfId="27238"/>
    <cellStyle name="Entrada 2 2 4 5 4" xfId="18561"/>
    <cellStyle name="Entrada 2 2 4 6" xfId="5540"/>
    <cellStyle name="Entrada 2 2 4 6 2" xfId="12091"/>
    <cellStyle name="Entrada 2 2 4 6 2 2" xfId="26413"/>
    <cellStyle name="Entrada 2 2 4 6 3" xfId="17736"/>
    <cellStyle name="Entrada 2 2 4 7" xfId="6477"/>
    <cellStyle name="Entrada 2 2 4 7 2" xfId="23560"/>
    <cellStyle name="Entrada 2 2 4 8" xfId="6507"/>
    <cellStyle name="Entrada 2 2 5" xfId="436"/>
    <cellStyle name="Entrada 2 2 5 2" xfId="437"/>
    <cellStyle name="Entrada 2 2 5 2 2" xfId="438"/>
    <cellStyle name="Entrada 2 2 5 2 2 2" xfId="6369"/>
    <cellStyle name="Entrada 2 2 5 2 2 2 2" xfId="12952"/>
    <cellStyle name="Entrada 2 2 5 2 2 2 2 2" xfId="27274"/>
    <cellStyle name="Entrada 2 2 5 2 2 2 3" xfId="18597"/>
    <cellStyle name="Entrada 2 2 5 2 2 3" xfId="7645"/>
    <cellStyle name="Entrada 2 2 5 2 2 3 2" xfId="10259"/>
    <cellStyle name="Entrada 2 2 5 2 2 3 2 2" xfId="16521"/>
    <cellStyle name="Entrada 2 2 5 2 2 3 2 2 2" xfId="29937"/>
    <cellStyle name="Entrada 2 2 5 2 2 3 2 3" xfId="21266"/>
    <cellStyle name="Entrada 2 2 5 2 2 3 3" xfId="14249"/>
    <cellStyle name="Entrada 2 2 5 2 2 3 3 2" xfId="28571"/>
    <cellStyle name="Entrada 2 2 5 2 2 3 4" xfId="19894"/>
    <cellStyle name="Entrada 2 2 5 2 2 4" xfId="4886"/>
    <cellStyle name="Entrada 2 2 5 2 2 4 2" xfId="23244"/>
    <cellStyle name="Entrada 2 2 5 2 2 5" xfId="17016"/>
    <cellStyle name="Entrada 2 2 5 2 3" xfId="439"/>
    <cellStyle name="Entrada 2 2 5 2 3 2" xfId="7765"/>
    <cellStyle name="Entrada 2 2 5 2 3 2 2" xfId="10379"/>
    <cellStyle name="Entrada 2 2 5 2 3 2 2 2" xfId="16641"/>
    <cellStyle name="Entrada 2 2 5 2 3 2 2 2 2" xfId="30057"/>
    <cellStyle name="Entrada 2 2 5 2 3 2 2 3" xfId="21386"/>
    <cellStyle name="Entrada 2 2 5 2 3 2 3" xfId="14369"/>
    <cellStyle name="Entrada 2 2 5 2 3 2 3 2" xfId="28691"/>
    <cellStyle name="Entrada 2 2 5 2 3 2 4" xfId="20014"/>
    <cellStyle name="Entrada 2 2 5 2 3 3" xfId="12711"/>
    <cellStyle name="Entrada 2 2 5 2 3 3 2" xfId="27033"/>
    <cellStyle name="Entrada 2 2 5 2 3 4" xfId="18356"/>
    <cellStyle name="Entrada 2 2 5 2 4" xfId="5066"/>
    <cellStyle name="Entrada 2 2 5 2 4 2" xfId="11613"/>
    <cellStyle name="Entrada 2 2 5 2 4 2 2" xfId="25935"/>
    <cellStyle name="Entrada 2 2 5 2 4 3" xfId="16989"/>
    <cellStyle name="Entrada 2 2 5 2 5" xfId="4275"/>
    <cellStyle name="Entrada 2 2 5 2 5 2" xfId="22864"/>
    <cellStyle name="Entrada 2 2 5 2 6" xfId="6321"/>
    <cellStyle name="Entrada 2 2 5 3" xfId="440"/>
    <cellStyle name="Entrada 2 2 5 3 2" xfId="441"/>
    <cellStyle name="Entrada 2 2 5 3 2 2" xfId="5204"/>
    <cellStyle name="Entrada 2 2 5 3 2 2 2" xfId="11753"/>
    <cellStyle name="Entrada 2 2 5 3 2 2 2 2" xfId="26075"/>
    <cellStyle name="Entrada 2 2 5 3 2 2 3" xfId="6220"/>
    <cellStyle name="Entrada 2 2 5 3 2 3" xfId="4483"/>
    <cellStyle name="Entrada 2 2 5 3 2 3 2" xfId="9470"/>
    <cellStyle name="Entrada 2 2 5 3 2 3 2 2" xfId="15732"/>
    <cellStyle name="Entrada 2 2 5 3 2 3 2 2 2" xfId="29148"/>
    <cellStyle name="Entrada 2 2 5 3 2 3 2 3" xfId="20477"/>
    <cellStyle name="Entrada 2 2 5 3 2 3 3" xfId="6611"/>
    <cellStyle name="Entrada 2 2 5 3 2 3 3 2" xfId="23603"/>
    <cellStyle name="Entrada 2 2 5 3 2 3 4" xfId="14914"/>
    <cellStyle name="Entrada 2 2 5 3 2 4" xfId="4764"/>
    <cellStyle name="Entrada 2 2 5 3 2 4 2" xfId="23177"/>
    <cellStyle name="Entrada 2 2 5 3 2 5" xfId="17274"/>
    <cellStyle name="Entrada 2 2 5 3 3" xfId="442"/>
    <cellStyle name="Entrada 2 2 5 3 3 2" xfId="4310"/>
    <cellStyle name="Entrada 2 2 5 3 3 2 2" xfId="9445"/>
    <cellStyle name="Entrada 2 2 5 3 3 2 2 2" xfId="15707"/>
    <cellStyle name="Entrada 2 2 5 3 3 2 2 2 2" xfId="29123"/>
    <cellStyle name="Entrada 2 2 5 3 3 2 2 3" xfId="20452"/>
    <cellStyle name="Entrada 2 2 5 3 3 2 3" xfId="6616"/>
    <cellStyle name="Entrada 2 2 5 3 3 2 3 2" xfId="23608"/>
    <cellStyle name="Entrada 2 2 5 3 3 2 4" xfId="4090"/>
    <cellStyle name="Entrada 2 2 5 3 3 3" xfId="13094"/>
    <cellStyle name="Entrada 2 2 5 3 3 3 2" xfId="27416"/>
    <cellStyle name="Entrada 2 2 5 3 3 4" xfId="18739"/>
    <cellStyle name="Entrada 2 2 5 3 4" xfId="5450"/>
    <cellStyle name="Entrada 2 2 5 3 4 2" xfId="12001"/>
    <cellStyle name="Entrada 2 2 5 3 4 2 2" xfId="26323"/>
    <cellStyle name="Entrada 2 2 5 3 4 3" xfId="17646"/>
    <cellStyle name="Entrada 2 2 5 3 5" xfId="3927"/>
    <cellStyle name="Entrada 2 2 5 3 5 2" xfId="22649"/>
    <cellStyle name="Entrada 2 2 5 3 6" xfId="15225"/>
    <cellStyle name="Entrada 2 2 5 4" xfId="443"/>
    <cellStyle name="Entrada 2 2 5 4 2" xfId="6993"/>
    <cellStyle name="Entrada 2 2 5 4 2 2" xfId="13597"/>
    <cellStyle name="Entrada 2 2 5 4 2 2 2" xfId="27919"/>
    <cellStyle name="Entrada 2 2 5 4 2 3" xfId="19242"/>
    <cellStyle name="Entrada 2 2 5 4 3" xfId="7177"/>
    <cellStyle name="Entrada 2 2 5 4 3 2" xfId="9791"/>
    <cellStyle name="Entrada 2 2 5 4 3 2 2" xfId="16053"/>
    <cellStyle name="Entrada 2 2 5 4 3 2 2 2" xfId="29469"/>
    <cellStyle name="Entrada 2 2 5 4 3 2 3" xfId="20798"/>
    <cellStyle name="Entrada 2 2 5 4 3 3" xfId="13781"/>
    <cellStyle name="Entrada 2 2 5 4 3 3 2" xfId="28103"/>
    <cellStyle name="Entrada 2 2 5 4 3 4" xfId="19426"/>
    <cellStyle name="Entrada 2 2 5 4 4" xfId="11505"/>
    <cellStyle name="Entrada 2 2 5 4 4 2" xfId="25827"/>
    <cellStyle name="Entrada 2 2 5 4 5" xfId="17245"/>
    <cellStyle name="Entrada 2 2 5 5" xfId="444"/>
    <cellStyle name="Entrada 2 2 5 5 2" xfId="5338"/>
    <cellStyle name="Entrada 2 2 5 5 2 2" xfId="9647"/>
    <cellStyle name="Entrada 2 2 5 5 2 2 2" xfId="15909"/>
    <cellStyle name="Entrada 2 2 5 5 2 2 2 2" xfId="29325"/>
    <cellStyle name="Entrada 2 2 5 5 2 2 3" xfId="20654"/>
    <cellStyle name="Entrada 2 2 5 5 2 3" xfId="11888"/>
    <cellStyle name="Entrada 2 2 5 5 2 3 2" xfId="26210"/>
    <cellStyle name="Entrada 2 2 5 5 2 4" xfId="17533"/>
    <cellStyle name="Entrada 2 2 5 5 3" xfId="11624"/>
    <cellStyle name="Entrada 2 2 5 5 3 2" xfId="25946"/>
    <cellStyle name="Entrada 2 2 5 5 4" xfId="17148"/>
    <cellStyle name="Entrada 2 2 5 6" xfId="5135"/>
    <cellStyle name="Entrada 2 2 5 6 2" xfId="11684"/>
    <cellStyle name="Entrada 2 2 5 6 2 2" xfId="26006"/>
    <cellStyle name="Entrada 2 2 5 6 3" xfId="2798"/>
    <cellStyle name="Entrada 2 2 5 7" xfId="6294"/>
    <cellStyle name="Entrada 2 2 5 7 2" xfId="23493"/>
    <cellStyle name="Entrada 2 2 5 8" xfId="15216"/>
    <cellStyle name="Entrada 2 2 6" xfId="445"/>
    <cellStyle name="Entrada 2 2 6 2" xfId="446"/>
    <cellStyle name="Entrada 2 2 6 2 2" xfId="447"/>
    <cellStyle name="Entrada 2 2 6 2 2 2" xfId="6124"/>
    <cellStyle name="Entrada 2 2 6 2 2 2 2" xfId="12693"/>
    <cellStyle name="Entrada 2 2 6 2 2 2 2 2" xfId="27015"/>
    <cellStyle name="Entrada 2 2 6 2 2 2 3" xfId="18338"/>
    <cellStyle name="Entrada 2 2 6 2 2 3" xfId="7652"/>
    <cellStyle name="Entrada 2 2 6 2 2 3 2" xfId="10266"/>
    <cellStyle name="Entrada 2 2 6 2 2 3 2 2" xfId="16528"/>
    <cellStyle name="Entrada 2 2 6 2 2 3 2 2 2" xfId="29944"/>
    <cellStyle name="Entrada 2 2 6 2 2 3 2 3" xfId="21273"/>
    <cellStyle name="Entrada 2 2 6 2 2 3 3" xfId="14256"/>
    <cellStyle name="Entrada 2 2 6 2 2 3 3 2" xfId="28578"/>
    <cellStyle name="Entrada 2 2 6 2 2 3 4" xfId="19901"/>
    <cellStyle name="Entrada 2 2 6 2 2 4" xfId="6316"/>
    <cellStyle name="Entrada 2 2 6 2 2 4 2" xfId="23511"/>
    <cellStyle name="Entrada 2 2 6 2 2 5" xfId="15226"/>
    <cellStyle name="Entrada 2 2 6 2 3" xfId="448"/>
    <cellStyle name="Entrada 2 2 6 2 3 2" xfId="7497"/>
    <cellStyle name="Entrada 2 2 6 2 3 2 2" xfId="10111"/>
    <cellStyle name="Entrada 2 2 6 2 3 2 2 2" xfId="16373"/>
    <cellStyle name="Entrada 2 2 6 2 3 2 2 2 2" xfId="29789"/>
    <cellStyle name="Entrada 2 2 6 2 3 2 2 3" xfId="21118"/>
    <cellStyle name="Entrada 2 2 6 2 3 2 3" xfId="14101"/>
    <cellStyle name="Entrada 2 2 6 2 3 2 3 2" xfId="28423"/>
    <cellStyle name="Entrada 2 2 6 2 3 2 4" xfId="19746"/>
    <cellStyle name="Entrada 2 2 6 2 3 3" xfId="13385"/>
    <cellStyle name="Entrada 2 2 6 2 3 3 2" xfId="27707"/>
    <cellStyle name="Entrada 2 2 6 2 3 4" xfId="19030"/>
    <cellStyle name="Entrada 2 2 6 2 4" xfId="5845"/>
    <cellStyle name="Entrada 2 2 6 2 4 2" xfId="12398"/>
    <cellStyle name="Entrada 2 2 6 2 4 2 2" xfId="26720"/>
    <cellStyle name="Entrada 2 2 6 2 4 3" xfId="18043"/>
    <cellStyle name="Entrada 2 2 6 2 5" xfId="4688"/>
    <cellStyle name="Entrada 2 2 6 2 5 2" xfId="23124"/>
    <cellStyle name="Entrada 2 2 6 2 6" xfId="15067"/>
    <cellStyle name="Entrada 2 2 6 3" xfId="449"/>
    <cellStyle name="Entrada 2 2 6 3 2" xfId="5060"/>
    <cellStyle name="Entrada 2 2 6 3 2 2" xfId="11607"/>
    <cellStyle name="Entrada 2 2 6 3 2 2 2" xfId="25929"/>
    <cellStyle name="Entrada 2 2 6 3 2 3" xfId="17371"/>
    <cellStyle name="Entrada 2 2 6 3 3" xfId="7553"/>
    <cellStyle name="Entrada 2 2 6 3 3 2" xfId="10167"/>
    <cellStyle name="Entrada 2 2 6 3 3 2 2" xfId="16429"/>
    <cellStyle name="Entrada 2 2 6 3 3 2 2 2" xfId="29845"/>
    <cellStyle name="Entrada 2 2 6 3 3 2 3" xfId="21174"/>
    <cellStyle name="Entrada 2 2 6 3 3 3" xfId="14157"/>
    <cellStyle name="Entrada 2 2 6 3 3 3 2" xfId="28479"/>
    <cellStyle name="Entrada 2 2 6 3 3 4" xfId="19802"/>
    <cellStyle name="Entrada 2 2 6 3 4" xfId="6109"/>
    <cellStyle name="Entrada 2 2 6 3 4 2" xfId="23418"/>
    <cellStyle name="Entrada 2 2 6 3 5" xfId="15260"/>
    <cellStyle name="Entrada 2 2 6 4" xfId="450"/>
    <cellStyle name="Entrada 2 2 6 4 2" xfId="7446"/>
    <cellStyle name="Entrada 2 2 6 4 2 2" xfId="10060"/>
    <cellStyle name="Entrada 2 2 6 4 2 2 2" xfId="16322"/>
    <cellStyle name="Entrada 2 2 6 4 2 2 2 2" xfId="29738"/>
    <cellStyle name="Entrada 2 2 6 4 2 2 3" xfId="21067"/>
    <cellStyle name="Entrada 2 2 6 4 2 3" xfId="14050"/>
    <cellStyle name="Entrada 2 2 6 4 2 3 2" xfId="28372"/>
    <cellStyle name="Entrada 2 2 6 4 2 4" xfId="19695"/>
    <cellStyle name="Entrada 2 2 6 4 3" xfId="12815"/>
    <cellStyle name="Entrada 2 2 6 4 3 2" xfId="27137"/>
    <cellStyle name="Entrada 2 2 6 4 4" xfId="18460"/>
    <cellStyle name="Entrada 2 2 6 5" xfId="5351"/>
    <cellStyle name="Entrada 2 2 6 5 2" xfId="11901"/>
    <cellStyle name="Entrada 2 2 6 5 2 2" xfId="26223"/>
    <cellStyle name="Entrada 2 2 6 5 3" xfId="17546"/>
    <cellStyle name="Entrada 2 2 6 6" xfId="3792"/>
    <cellStyle name="Entrada 2 2 6 6 2" xfId="22581"/>
    <cellStyle name="Entrada 2 2 6 7" xfId="6051"/>
    <cellStyle name="Entrada 2 2 7" xfId="451"/>
    <cellStyle name="Entrada 2 2 7 2" xfId="452"/>
    <cellStyle name="Entrada 2 2 7 2 2" xfId="5729"/>
    <cellStyle name="Entrada 2 2 7 2 2 2" xfId="12282"/>
    <cellStyle name="Entrada 2 2 7 2 2 2 2" xfId="26604"/>
    <cellStyle name="Entrada 2 2 7 2 2 3" xfId="17927"/>
    <cellStyle name="Entrada 2 2 7 2 3" xfId="4976"/>
    <cellStyle name="Entrada 2 2 7 2 3 2" xfId="9528"/>
    <cellStyle name="Entrada 2 2 7 2 3 2 2" xfId="15790"/>
    <cellStyle name="Entrada 2 2 7 2 3 2 2 2" xfId="29206"/>
    <cellStyle name="Entrada 2 2 7 2 3 2 3" xfId="20535"/>
    <cellStyle name="Entrada 2 2 7 2 3 3" xfId="11519"/>
    <cellStyle name="Entrada 2 2 7 2 3 3 2" xfId="25841"/>
    <cellStyle name="Entrada 2 2 7 2 3 4" xfId="14707"/>
    <cellStyle name="Entrada 2 2 7 2 4" xfId="4568"/>
    <cellStyle name="Entrada 2 2 7 2 4 2" xfId="23036"/>
    <cellStyle name="Entrada 2 2 7 2 5" xfId="3837"/>
    <cellStyle name="Entrada 2 2 7 3" xfId="453"/>
    <cellStyle name="Entrada 2 2 7 3 2" xfId="7380"/>
    <cellStyle name="Entrada 2 2 7 3 2 2" xfId="9994"/>
    <cellStyle name="Entrada 2 2 7 3 2 2 2" xfId="16256"/>
    <cellStyle name="Entrada 2 2 7 3 2 2 2 2" xfId="29672"/>
    <cellStyle name="Entrada 2 2 7 3 2 2 3" xfId="21001"/>
    <cellStyle name="Entrada 2 2 7 3 2 3" xfId="13984"/>
    <cellStyle name="Entrada 2 2 7 3 2 3 2" xfId="28306"/>
    <cellStyle name="Entrada 2 2 7 3 2 4" xfId="19629"/>
    <cellStyle name="Entrada 2 2 7 3 3" xfId="13392"/>
    <cellStyle name="Entrada 2 2 7 3 3 2" xfId="27714"/>
    <cellStyle name="Entrada 2 2 7 3 4" xfId="19037"/>
    <cellStyle name="Entrada 2 2 7 4" xfId="5856"/>
    <cellStyle name="Entrada 2 2 7 4 2" xfId="12409"/>
    <cellStyle name="Entrada 2 2 7 4 2 2" xfId="26731"/>
    <cellStyle name="Entrada 2 2 7 4 3" xfId="18054"/>
    <cellStyle name="Entrada 2 2 7 5" xfId="6132"/>
    <cellStyle name="Entrada 2 2 7 5 2" xfId="23424"/>
    <cellStyle name="Entrada 2 2 7 6" xfId="17279"/>
    <cellStyle name="Entrada 2 2 8" xfId="454"/>
    <cellStyle name="Entrada 2 2 8 2" xfId="6005"/>
    <cellStyle name="Entrada 2 2 8 2 2" xfId="12564"/>
    <cellStyle name="Entrada 2 2 8 2 2 2" xfId="26886"/>
    <cellStyle name="Entrada 2 2 8 2 3" xfId="18209"/>
    <cellStyle name="Entrada 2 2 8 3" xfId="3683"/>
    <cellStyle name="Entrada 2 2 8 3 2" xfId="9360"/>
    <cellStyle name="Entrada 2 2 8 3 2 2" xfId="15622"/>
    <cellStyle name="Entrada 2 2 8 3 2 2 2" xfId="29038"/>
    <cellStyle name="Entrada 2 2 8 3 2 3" xfId="20367"/>
    <cellStyle name="Entrada 2 2 8 3 3" xfId="3788"/>
    <cellStyle name="Entrada 2 2 8 3 3 2" xfId="22579"/>
    <cellStyle name="Entrada 2 2 8 3 4" xfId="6691"/>
    <cellStyle name="Entrada 2 2 8 4" xfId="4224"/>
    <cellStyle name="Entrada 2 2 8 4 2" xfId="22836"/>
    <cellStyle name="Entrada 2 2 8 5" xfId="17158"/>
    <cellStyle name="Entrada 2 2 9" xfId="455"/>
    <cellStyle name="Entrada 2 2 9 2" xfId="7766"/>
    <cellStyle name="Entrada 2 2 9 2 2" xfId="10380"/>
    <cellStyle name="Entrada 2 2 9 2 2 2" xfId="16642"/>
    <cellStyle name="Entrada 2 2 9 2 2 2 2" xfId="30058"/>
    <cellStyle name="Entrada 2 2 9 2 2 3" xfId="21387"/>
    <cellStyle name="Entrada 2 2 9 2 3" xfId="14370"/>
    <cellStyle name="Entrada 2 2 9 2 3 2" xfId="28692"/>
    <cellStyle name="Entrada 2 2 9 2 4" xfId="20015"/>
    <cellStyle name="Entrada 2 2 9 3" xfId="12721"/>
    <cellStyle name="Entrada 2 2 9 3 2" xfId="27043"/>
    <cellStyle name="Entrada 2 2 9 4" xfId="18366"/>
    <cellStyle name="Entrada 2 3" xfId="456"/>
    <cellStyle name="Entrada 2 3 10" xfId="6300"/>
    <cellStyle name="Entrada 2 3 10 2" xfId="23498"/>
    <cellStyle name="Entrada 2 3 11" xfId="14831"/>
    <cellStyle name="Entrada 2 3 2" xfId="457"/>
    <cellStyle name="Entrada 2 3 2 2" xfId="458"/>
    <cellStyle name="Entrada 2 3 2 2 2" xfId="459"/>
    <cellStyle name="Entrada 2 3 2 2 2 2" xfId="6991"/>
    <cellStyle name="Entrada 2 3 2 2 2 2 2" xfId="13595"/>
    <cellStyle name="Entrada 2 3 2 2 2 2 2 2" xfId="27917"/>
    <cellStyle name="Entrada 2 3 2 2 2 2 3" xfId="19240"/>
    <cellStyle name="Entrada 2 3 2 2 2 3" xfId="7670"/>
    <cellStyle name="Entrada 2 3 2 2 2 3 2" xfId="10284"/>
    <cellStyle name="Entrada 2 3 2 2 2 3 2 2" xfId="16546"/>
    <cellStyle name="Entrada 2 3 2 2 2 3 2 2 2" xfId="29962"/>
    <cellStyle name="Entrada 2 3 2 2 2 3 2 3" xfId="21291"/>
    <cellStyle name="Entrada 2 3 2 2 2 3 3" xfId="14274"/>
    <cellStyle name="Entrada 2 3 2 2 2 3 3 2" xfId="28596"/>
    <cellStyle name="Entrada 2 3 2 2 2 3 4" xfId="19919"/>
    <cellStyle name="Entrada 2 3 2 2 2 4" xfId="11503"/>
    <cellStyle name="Entrada 2 3 2 2 2 4 2" xfId="25825"/>
    <cellStyle name="Entrada 2 3 2 2 2 5" xfId="14770"/>
    <cellStyle name="Entrada 2 3 2 2 3" xfId="460"/>
    <cellStyle name="Entrada 2 3 2 2 3 2" xfId="7068"/>
    <cellStyle name="Entrada 2 3 2 2 3 2 2" xfId="9682"/>
    <cellStyle name="Entrada 2 3 2 2 3 2 2 2" xfId="15944"/>
    <cellStyle name="Entrada 2 3 2 2 3 2 2 2 2" xfId="29360"/>
    <cellStyle name="Entrada 2 3 2 2 3 2 2 3" xfId="20689"/>
    <cellStyle name="Entrada 2 3 2 2 3 2 3" xfId="13672"/>
    <cellStyle name="Entrada 2 3 2 2 3 2 3 2" xfId="27994"/>
    <cellStyle name="Entrada 2 3 2 2 3 2 4" xfId="19317"/>
    <cellStyle name="Entrada 2 3 2 2 3 3" xfId="13296"/>
    <cellStyle name="Entrada 2 3 2 2 3 3 2" xfId="27618"/>
    <cellStyle name="Entrada 2 3 2 2 3 4" xfId="18941"/>
    <cellStyle name="Entrada 2 3 2 2 4" xfId="5746"/>
    <cellStyle name="Entrada 2 3 2 2 4 2" xfId="12299"/>
    <cellStyle name="Entrada 2 3 2 2 4 2 2" xfId="26621"/>
    <cellStyle name="Entrada 2 3 2 2 4 3" xfId="17944"/>
    <cellStyle name="Entrada 2 3 2 2 5" xfId="3775"/>
    <cellStyle name="Entrada 2 3 2 2 5 2" xfId="22572"/>
    <cellStyle name="Entrada 2 3 2 2 6" xfId="17149"/>
    <cellStyle name="Entrada 2 3 2 3" xfId="461"/>
    <cellStyle name="Entrada 2 3 2 3 2" xfId="462"/>
    <cellStyle name="Entrada 2 3 2 3 2 2" xfId="5834"/>
    <cellStyle name="Entrada 2 3 2 3 2 2 2" xfId="12387"/>
    <cellStyle name="Entrada 2 3 2 3 2 2 2 2" xfId="26709"/>
    <cellStyle name="Entrada 2 3 2 3 2 2 3" xfId="18032"/>
    <cellStyle name="Entrada 2 3 2 3 2 3" xfId="7872"/>
    <cellStyle name="Entrada 2 3 2 3 2 3 2" xfId="10486"/>
    <cellStyle name="Entrada 2 3 2 3 2 3 2 2" xfId="16748"/>
    <cellStyle name="Entrada 2 3 2 3 2 3 2 2 2" xfId="30164"/>
    <cellStyle name="Entrada 2 3 2 3 2 3 2 3" xfId="21493"/>
    <cellStyle name="Entrada 2 3 2 3 2 3 3" xfId="14476"/>
    <cellStyle name="Entrada 2 3 2 3 2 3 3 2" xfId="28798"/>
    <cellStyle name="Entrada 2 3 2 3 2 3 4" xfId="20121"/>
    <cellStyle name="Entrada 2 3 2 3 2 4" xfId="4124"/>
    <cellStyle name="Entrada 2 3 2 3 2 4 2" xfId="22768"/>
    <cellStyle name="Entrada 2 3 2 3 2 5" xfId="15116"/>
    <cellStyle name="Entrada 2 3 2 3 3" xfId="463"/>
    <cellStyle name="Entrada 2 3 2 3 3 2" xfId="7660"/>
    <cellStyle name="Entrada 2 3 2 3 3 2 2" xfId="10274"/>
    <cellStyle name="Entrada 2 3 2 3 3 2 2 2" xfId="16536"/>
    <cellStyle name="Entrada 2 3 2 3 3 2 2 2 2" xfId="29952"/>
    <cellStyle name="Entrada 2 3 2 3 3 2 2 3" xfId="21281"/>
    <cellStyle name="Entrada 2 3 2 3 3 2 3" xfId="14264"/>
    <cellStyle name="Entrada 2 3 2 3 3 2 3 2" xfId="28586"/>
    <cellStyle name="Entrada 2 3 2 3 3 2 4" xfId="19909"/>
    <cellStyle name="Entrada 2 3 2 3 3 3" xfId="13162"/>
    <cellStyle name="Entrada 2 3 2 3 3 3 2" xfId="27484"/>
    <cellStyle name="Entrada 2 3 2 3 3 4" xfId="18807"/>
    <cellStyle name="Entrada 2 3 2 3 4" xfId="5575"/>
    <cellStyle name="Entrada 2 3 2 3 4 2" xfId="12126"/>
    <cellStyle name="Entrada 2 3 2 3 4 2 2" xfId="26448"/>
    <cellStyle name="Entrada 2 3 2 3 4 3" xfId="17771"/>
    <cellStyle name="Entrada 2 3 2 3 5" xfId="4865"/>
    <cellStyle name="Entrada 2 3 2 3 5 2" xfId="23230"/>
    <cellStyle name="Entrada 2 3 2 3 6" xfId="6694"/>
    <cellStyle name="Entrada 2 3 2 4" xfId="464"/>
    <cellStyle name="Entrada 2 3 2 4 2" xfId="6390"/>
    <cellStyle name="Entrada 2 3 2 4 2 2" xfId="12973"/>
    <cellStyle name="Entrada 2 3 2 4 2 2 2" xfId="27295"/>
    <cellStyle name="Entrada 2 3 2 4 2 3" xfId="18618"/>
    <cellStyle name="Entrada 2 3 2 4 3" xfId="7558"/>
    <cellStyle name="Entrada 2 3 2 4 3 2" xfId="10172"/>
    <cellStyle name="Entrada 2 3 2 4 3 2 2" xfId="16434"/>
    <cellStyle name="Entrada 2 3 2 4 3 2 2 2" xfId="29850"/>
    <cellStyle name="Entrada 2 3 2 4 3 2 3" xfId="21179"/>
    <cellStyle name="Entrada 2 3 2 4 3 3" xfId="14162"/>
    <cellStyle name="Entrada 2 3 2 4 3 3 2" xfId="28484"/>
    <cellStyle name="Entrada 2 3 2 4 3 4" xfId="19807"/>
    <cellStyle name="Entrada 2 3 2 4 4" xfId="6723"/>
    <cellStyle name="Entrada 2 3 2 4 4 2" xfId="23677"/>
    <cellStyle name="Entrada 2 3 2 4 5" xfId="15562"/>
    <cellStyle name="Entrada 2 3 2 5" xfId="465"/>
    <cellStyle name="Entrada 2 3 2 5 2" xfId="7469"/>
    <cellStyle name="Entrada 2 3 2 5 2 2" xfId="10083"/>
    <cellStyle name="Entrada 2 3 2 5 2 2 2" xfId="16345"/>
    <cellStyle name="Entrada 2 3 2 5 2 2 2 2" xfId="29761"/>
    <cellStyle name="Entrada 2 3 2 5 2 2 3" xfId="21090"/>
    <cellStyle name="Entrada 2 3 2 5 2 3" xfId="14073"/>
    <cellStyle name="Entrada 2 3 2 5 2 3 2" xfId="28395"/>
    <cellStyle name="Entrada 2 3 2 5 2 4" xfId="19718"/>
    <cellStyle name="Entrada 2 3 2 5 3" xfId="12872"/>
    <cellStyle name="Entrada 2 3 2 5 3 2" xfId="27194"/>
    <cellStyle name="Entrada 2 3 2 5 4" xfId="18517"/>
    <cellStyle name="Entrada 2 3 2 6" xfId="5490"/>
    <cellStyle name="Entrada 2 3 2 6 2" xfId="12041"/>
    <cellStyle name="Entrada 2 3 2 6 2 2" xfId="26363"/>
    <cellStyle name="Entrada 2 3 2 6 3" xfId="17686"/>
    <cellStyle name="Entrada 2 3 2 7" xfId="4289"/>
    <cellStyle name="Entrada 2 3 2 7 2" xfId="22873"/>
    <cellStyle name="Entrada 2 3 2 8" xfId="15082"/>
    <cellStyle name="Entrada 2 3 3" xfId="466"/>
    <cellStyle name="Entrada 2 3 3 2" xfId="467"/>
    <cellStyle name="Entrada 2 3 3 2 2" xfId="468"/>
    <cellStyle name="Entrada 2 3 3 2 2 2" xfId="5981"/>
    <cellStyle name="Entrada 2 3 3 2 2 2 2" xfId="12539"/>
    <cellStyle name="Entrada 2 3 3 2 2 2 2 2" xfId="26861"/>
    <cellStyle name="Entrada 2 3 3 2 2 2 3" xfId="18184"/>
    <cellStyle name="Entrada 2 3 3 2 2 3" xfId="7131"/>
    <cellStyle name="Entrada 2 3 3 2 2 3 2" xfId="9745"/>
    <cellStyle name="Entrada 2 3 3 2 2 3 2 2" xfId="16007"/>
    <cellStyle name="Entrada 2 3 3 2 2 3 2 2 2" xfId="29423"/>
    <cellStyle name="Entrada 2 3 3 2 2 3 2 3" xfId="20752"/>
    <cellStyle name="Entrada 2 3 3 2 2 3 3" xfId="13735"/>
    <cellStyle name="Entrada 2 3 3 2 2 3 3 2" xfId="28057"/>
    <cellStyle name="Entrada 2 3 3 2 2 3 4" xfId="19380"/>
    <cellStyle name="Entrada 2 3 3 2 2 4" xfId="6299"/>
    <cellStyle name="Entrada 2 3 3 2 2 4 2" xfId="23497"/>
    <cellStyle name="Entrada 2 3 3 2 2 5" xfId="3663"/>
    <cellStyle name="Entrada 2 3 3 2 3" xfId="469"/>
    <cellStyle name="Entrada 2 3 3 2 3 2" xfId="3598"/>
    <cellStyle name="Entrada 2 3 3 2 3 2 2" xfId="9341"/>
    <cellStyle name="Entrada 2 3 3 2 3 2 2 2" xfId="15603"/>
    <cellStyle name="Entrada 2 3 3 2 3 2 2 2 2" xfId="29019"/>
    <cellStyle name="Entrada 2 3 3 2 3 2 2 3" xfId="20348"/>
    <cellStyle name="Entrada 2 3 3 2 3 2 3" xfId="3953"/>
    <cellStyle name="Entrada 2 3 3 2 3 2 3 2" xfId="22666"/>
    <cellStyle name="Entrada 2 3 3 2 3 2 4" xfId="15223"/>
    <cellStyle name="Entrada 2 3 3 2 3 3" xfId="13332"/>
    <cellStyle name="Entrada 2 3 3 2 3 3 2" xfId="27654"/>
    <cellStyle name="Entrada 2 3 3 2 3 4" xfId="18977"/>
    <cellStyle name="Entrada 2 3 3 2 4" xfId="5782"/>
    <cellStyle name="Entrada 2 3 3 2 4 2" xfId="12335"/>
    <cellStyle name="Entrada 2 3 3 2 4 2 2" xfId="26657"/>
    <cellStyle name="Entrada 2 3 3 2 4 3" xfId="17980"/>
    <cellStyle name="Entrada 2 3 3 2 5" xfId="4216"/>
    <cellStyle name="Entrada 2 3 3 2 5 2" xfId="22828"/>
    <cellStyle name="Entrada 2 3 3 2 6" xfId="17396"/>
    <cellStyle name="Entrada 2 3 3 3" xfId="470"/>
    <cellStyle name="Entrada 2 3 3 3 2" xfId="471"/>
    <cellStyle name="Entrada 2 3 3 3 2 2" xfId="5973"/>
    <cellStyle name="Entrada 2 3 3 3 2 2 2" xfId="12531"/>
    <cellStyle name="Entrada 2 3 3 3 2 2 2 2" xfId="26853"/>
    <cellStyle name="Entrada 2 3 3 3 2 2 3" xfId="18176"/>
    <cellStyle name="Entrada 2 3 3 3 2 3" xfId="7951"/>
    <cellStyle name="Entrada 2 3 3 3 2 3 2" xfId="10565"/>
    <cellStyle name="Entrada 2 3 3 3 2 3 2 2" xfId="16827"/>
    <cellStyle name="Entrada 2 3 3 3 2 3 2 2 2" xfId="30243"/>
    <cellStyle name="Entrada 2 3 3 3 2 3 2 3" xfId="21572"/>
    <cellStyle name="Entrada 2 3 3 3 2 3 3" xfId="14555"/>
    <cellStyle name="Entrada 2 3 3 3 2 3 3 2" xfId="28877"/>
    <cellStyle name="Entrada 2 3 3 3 2 3 4" xfId="20200"/>
    <cellStyle name="Entrada 2 3 3 3 2 4" xfId="4388"/>
    <cellStyle name="Entrada 2 3 3 3 2 4 2" xfId="22922"/>
    <cellStyle name="Entrada 2 3 3 3 2 5" xfId="15094"/>
    <cellStyle name="Entrada 2 3 3 3 3" xfId="472"/>
    <cellStyle name="Entrada 2 3 3 3 3 2" xfId="7219"/>
    <cellStyle name="Entrada 2 3 3 3 3 2 2" xfId="9833"/>
    <cellStyle name="Entrada 2 3 3 3 3 2 2 2" xfId="16095"/>
    <cellStyle name="Entrada 2 3 3 3 3 2 2 2 2" xfId="29511"/>
    <cellStyle name="Entrada 2 3 3 3 3 2 2 3" xfId="20840"/>
    <cellStyle name="Entrada 2 3 3 3 3 2 3" xfId="13823"/>
    <cellStyle name="Entrada 2 3 3 3 3 2 3 2" xfId="28145"/>
    <cellStyle name="Entrada 2 3 3 3 3 2 4" xfId="19468"/>
    <cellStyle name="Entrada 2 3 3 3 3 3" xfId="13425"/>
    <cellStyle name="Entrada 2 3 3 3 3 3 2" xfId="27747"/>
    <cellStyle name="Entrada 2 3 3 3 3 4" xfId="19070"/>
    <cellStyle name="Entrada 2 3 3 3 4" xfId="5899"/>
    <cellStyle name="Entrada 2 3 3 3 4 2" xfId="12453"/>
    <cellStyle name="Entrada 2 3 3 3 4 2 2" xfId="26775"/>
    <cellStyle name="Entrada 2 3 3 3 4 3" xfId="18098"/>
    <cellStyle name="Entrada 2 3 3 3 5" xfId="2825"/>
    <cellStyle name="Entrada 2 3 3 3 5 2" xfId="22388"/>
    <cellStyle name="Entrada 2 3 3 3 6" xfId="17132"/>
    <cellStyle name="Entrada 2 3 3 4" xfId="473"/>
    <cellStyle name="Entrada 2 3 3 4 2" xfId="6519"/>
    <cellStyle name="Entrada 2 3 3 4 2 2" xfId="13107"/>
    <cellStyle name="Entrada 2 3 3 4 2 2 2" xfId="27429"/>
    <cellStyle name="Entrada 2 3 3 4 2 3" xfId="18752"/>
    <cellStyle name="Entrada 2 3 3 4 3" xfId="4917"/>
    <cellStyle name="Entrada 2 3 3 4 3 2" xfId="9513"/>
    <cellStyle name="Entrada 2 3 3 4 3 2 2" xfId="15775"/>
    <cellStyle name="Entrada 2 3 3 4 3 2 2 2" xfId="29191"/>
    <cellStyle name="Entrada 2 3 3 4 3 2 3" xfId="20520"/>
    <cellStyle name="Entrada 2 3 3 4 3 3" xfId="11454"/>
    <cellStyle name="Entrada 2 3 3 4 3 3 2" xfId="25776"/>
    <cellStyle name="Entrada 2 3 3 4 3 4" xfId="6297"/>
    <cellStyle name="Entrada 2 3 3 4 4" xfId="5568"/>
    <cellStyle name="Entrada 2 3 3 4 4 2" xfId="23350"/>
    <cellStyle name="Entrada 2 3 3 4 5" xfId="4155"/>
    <cellStyle name="Entrada 2 3 3 5" xfId="474"/>
    <cellStyle name="Entrada 2 3 3 5 2" xfId="7528"/>
    <cellStyle name="Entrada 2 3 3 5 2 2" xfId="10142"/>
    <cellStyle name="Entrada 2 3 3 5 2 2 2" xfId="16404"/>
    <cellStyle name="Entrada 2 3 3 5 2 2 2 2" xfId="29820"/>
    <cellStyle name="Entrada 2 3 3 5 2 2 3" xfId="21149"/>
    <cellStyle name="Entrada 2 3 3 5 2 3" xfId="14132"/>
    <cellStyle name="Entrada 2 3 3 5 2 3 2" xfId="28454"/>
    <cellStyle name="Entrada 2 3 3 5 2 4" xfId="19777"/>
    <cellStyle name="Entrada 2 3 3 5 3" xfId="12908"/>
    <cellStyle name="Entrada 2 3 3 5 3 2" xfId="27230"/>
    <cellStyle name="Entrada 2 3 3 5 4" xfId="18553"/>
    <cellStyle name="Entrada 2 3 3 6" xfId="5532"/>
    <cellStyle name="Entrada 2 3 3 6 2" xfId="12083"/>
    <cellStyle name="Entrada 2 3 3 6 2 2" xfId="26405"/>
    <cellStyle name="Entrada 2 3 3 6 3" xfId="17728"/>
    <cellStyle name="Entrada 2 3 3 7" xfId="4583"/>
    <cellStyle name="Entrada 2 3 3 7 2" xfId="23049"/>
    <cellStyle name="Entrada 2 3 3 8" xfId="15397"/>
    <cellStyle name="Entrada 2 3 4" xfId="475"/>
    <cellStyle name="Entrada 2 3 4 2" xfId="476"/>
    <cellStyle name="Entrada 2 3 4 2 2" xfId="477"/>
    <cellStyle name="Entrada 2 3 4 2 2 2" xfId="5889"/>
    <cellStyle name="Entrada 2 3 4 2 2 2 2" xfId="12442"/>
    <cellStyle name="Entrada 2 3 4 2 2 2 2 2" xfId="26764"/>
    <cellStyle name="Entrada 2 3 4 2 2 2 3" xfId="18087"/>
    <cellStyle name="Entrada 2 3 4 2 2 3" xfId="7972"/>
    <cellStyle name="Entrada 2 3 4 2 2 3 2" xfId="10586"/>
    <cellStyle name="Entrada 2 3 4 2 2 3 2 2" xfId="16848"/>
    <cellStyle name="Entrada 2 3 4 2 2 3 2 2 2" xfId="30264"/>
    <cellStyle name="Entrada 2 3 4 2 2 3 2 3" xfId="21593"/>
    <cellStyle name="Entrada 2 3 4 2 2 3 3" xfId="14576"/>
    <cellStyle name="Entrada 2 3 4 2 2 3 3 2" xfId="28898"/>
    <cellStyle name="Entrada 2 3 4 2 2 3 4" xfId="20221"/>
    <cellStyle name="Entrada 2 3 4 2 2 4" xfId="3995"/>
    <cellStyle name="Entrada 2 3 4 2 2 4 2" xfId="22692"/>
    <cellStyle name="Entrada 2 3 4 2 2 5" xfId="14928"/>
    <cellStyle name="Entrada 2 3 4 2 3" xfId="478"/>
    <cellStyle name="Entrada 2 3 4 2 3 2" xfId="7666"/>
    <cellStyle name="Entrada 2 3 4 2 3 2 2" xfId="10280"/>
    <cellStyle name="Entrada 2 3 4 2 3 2 2 2" xfId="16542"/>
    <cellStyle name="Entrada 2 3 4 2 3 2 2 2 2" xfId="29958"/>
    <cellStyle name="Entrada 2 3 4 2 3 2 2 3" xfId="21287"/>
    <cellStyle name="Entrada 2 3 4 2 3 2 3" xfId="14270"/>
    <cellStyle name="Entrada 2 3 4 2 3 2 3 2" xfId="28592"/>
    <cellStyle name="Entrada 2 3 4 2 3 2 4" xfId="19915"/>
    <cellStyle name="Entrada 2 3 4 2 3 3" xfId="13278"/>
    <cellStyle name="Entrada 2 3 4 2 3 3 2" xfId="27600"/>
    <cellStyle name="Entrada 2 3 4 2 3 4" xfId="18923"/>
    <cellStyle name="Entrada 2 3 4 2 4" xfId="5726"/>
    <cellStyle name="Entrada 2 3 4 2 4 2" xfId="12279"/>
    <cellStyle name="Entrada 2 3 4 2 4 2 2" xfId="26601"/>
    <cellStyle name="Entrada 2 3 4 2 4 3" xfId="17924"/>
    <cellStyle name="Entrada 2 3 4 2 5" xfId="3732"/>
    <cellStyle name="Entrada 2 3 4 2 5 2" xfId="22552"/>
    <cellStyle name="Entrada 2 3 4 2 6" xfId="15576"/>
    <cellStyle name="Entrada 2 3 4 3" xfId="479"/>
    <cellStyle name="Entrada 2 3 4 3 2" xfId="480"/>
    <cellStyle name="Entrada 2 3 4 3 2 2" xfId="5086"/>
    <cellStyle name="Entrada 2 3 4 3 2 2 2" xfId="11633"/>
    <cellStyle name="Entrada 2 3 4 3 2 2 2 2" xfId="25955"/>
    <cellStyle name="Entrada 2 3 4 3 2 2 3" xfId="14839"/>
    <cellStyle name="Entrada 2 3 4 3 2 3" xfId="7782"/>
    <cellStyle name="Entrada 2 3 4 3 2 3 2" xfId="10396"/>
    <cellStyle name="Entrada 2 3 4 3 2 3 2 2" xfId="16658"/>
    <cellStyle name="Entrada 2 3 4 3 2 3 2 2 2" xfId="30074"/>
    <cellStyle name="Entrada 2 3 4 3 2 3 2 3" xfId="21403"/>
    <cellStyle name="Entrada 2 3 4 3 2 3 3" xfId="14386"/>
    <cellStyle name="Entrada 2 3 4 3 2 3 3 2" xfId="28708"/>
    <cellStyle name="Entrada 2 3 4 3 2 3 4" xfId="20031"/>
    <cellStyle name="Entrada 2 3 4 3 2 4" xfId="5020"/>
    <cellStyle name="Entrada 2 3 4 3 2 4 2" xfId="23309"/>
    <cellStyle name="Entrada 2 3 4 3 2 5" xfId="15479"/>
    <cellStyle name="Entrada 2 3 4 3 3" xfId="481"/>
    <cellStyle name="Entrada 2 3 4 3 3 2" xfId="8055"/>
    <cellStyle name="Entrada 2 3 4 3 3 2 2" xfId="10669"/>
    <cellStyle name="Entrada 2 3 4 3 3 2 2 2" xfId="16931"/>
    <cellStyle name="Entrada 2 3 4 3 3 2 2 2 2" xfId="30347"/>
    <cellStyle name="Entrada 2 3 4 3 3 2 2 3" xfId="21676"/>
    <cellStyle name="Entrada 2 3 4 3 3 2 3" xfId="14659"/>
    <cellStyle name="Entrada 2 3 4 3 3 2 3 2" xfId="28981"/>
    <cellStyle name="Entrada 2 3 4 3 3 2 4" xfId="20304"/>
    <cellStyle name="Entrada 2 3 4 3 3 3" xfId="12690"/>
    <cellStyle name="Entrada 2 3 4 3 3 3 2" xfId="27012"/>
    <cellStyle name="Entrada 2 3 4 3 3 4" xfId="18335"/>
    <cellStyle name="Entrada 2 3 4 3 4" xfId="5196"/>
    <cellStyle name="Entrada 2 3 4 3 4 2" xfId="11745"/>
    <cellStyle name="Entrada 2 3 4 3 4 2 2" xfId="26067"/>
    <cellStyle name="Entrada 2 3 4 3 4 3" xfId="4931"/>
    <cellStyle name="Entrada 2 3 4 3 5" xfId="4787"/>
    <cellStyle name="Entrada 2 3 4 3 5 2" xfId="23187"/>
    <cellStyle name="Entrada 2 3 4 3 6" xfId="15056"/>
    <cellStyle name="Entrada 2 3 4 4" xfId="482"/>
    <cellStyle name="Entrada 2 3 4 4 2" xfId="6863"/>
    <cellStyle name="Entrada 2 3 4 4 2 2" xfId="13467"/>
    <cellStyle name="Entrada 2 3 4 4 2 2 2" xfId="27789"/>
    <cellStyle name="Entrada 2 3 4 4 2 3" xfId="19112"/>
    <cellStyle name="Entrada 2 3 4 4 3" xfId="7817"/>
    <cellStyle name="Entrada 2 3 4 4 3 2" xfId="10431"/>
    <cellStyle name="Entrada 2 3 4 4 3 2 2" xfId="16693"/>
    <cellStyle name="Entrada 2 3 4 4 3 2 2 2" xfId="30109"/>
    <cellStyle name="Entrada 2 3 4 4 3 2 3" xfId="21438"/>
    <cellStyle name="Entrada 2 3 4 4 3 3" xfId="14421"/>
    <cellStyle name="Entrada 2 3 4 4 3 3 2" xfId="28743"/>
    <cellStyle name="Entrada 2 3 4 4 3 4" xfId="20066"/>
    <cellStyle name="Entrada 2 3 4 4 4" xfId="11322"/>
    <cellStyle name="Entrada 2 3 4 4 4 2" xfId="25644"/>
    <cellStyle name="Entrada 2 3 4 4 5" xfId="15020"/>
    <cellStyle name="Entrada 2 3 4 5" xfId="483"/>
    <cellStyle name="Entrada 2 3 4 5 2" xfId="7421"/>
    <cellStyle name="Entrada 2 3 4 5 2 2" xfId="10035"/>
    <cellStyle name="Entrada 2 3 4 5 2 2 2" xfId="16297"/>
    <cellStyle name="Entrada 2 3 4 5 2 2 2 2" xfId="29713"/>
    <cellStyle name="Entrada 2 3 4 5 2 2 3" xfId="21042"/>
    <cellStyle name="Entrada 2 3 4 5 2 3" xfId="14025"/>
    <cellStyle name="Entrada 2 3 4 5 2 3 2" xfId="28347"/>
    <cellStyle name="Entrada 2 3 4 5 2 4" xfId="19670"/>
    <cellStyle name="Entrada 2 3 4 5 3" xfId="12841"/>
    <cellStyle name="Entrada 2 3 4 5 3 2" xfId="27163"/>
    <cellStyle name="Entrada 2 3 4 5 4" xfId="18486"/>
    <cellStyle name="Entrada 2 3 4 6" xfId="5421"/>
    <cellStyle name="Entrada 2 3 4 6 2" xfId="11972"/>
    <cellStyle name="Entrada 2 3 4 6 2 2" xfId="26294"/>
    <cellStyle name="Entrada 2 3 4 6 3" xfId="17617"/>
    <cellStyle name="Entrada 2 3 4 7" xfId="4927"/>
    <cellStyle name="Entrada 2 3 4 7 2" xfId="23265"/>
    <cellStyle name="Entrada 2 3 4 8" xfId="15192"/>
    <cellStyle name="Entrada 2 3 5" xfId="484"/>
    <cellStyle name="Entrada 2 3 5 2" xfId="485"/>
    <cellStyle name="Entrada 2 3 5 2 2" xfId="486"/>
    <cellStyle name="Entrada 2 3 5 2 2 2" xfId="7024"/>
    <cellStyle name="Entrada 2 3 5 2 2 2 2" xfId="13628"/>
    <cellStyle name="Entrada 2 3 5 2 2 2 2 2" xfId="27950"/>
    <cellStyle name="Entrada 2 3 5 2 2 2 3" xfId="19273"/>
    <cellStyle name="Entrada 2 3 5 2 2 3" xfId="7725"/>
    <cellStyle name="Entrada 2 3 5 2 2 3 2" xfId="10339"/>
    <cellStyle name="Entrada 2 3 5 2 2 3 2 2" xfId="16601"/>
    <cellStyle name="Entrada 2 3 5 2 2 3 2 2 2" xfId="30017"/>
    <cellStyle name="Entrada 2 3 5 2 2 3 2 3" xfId="21346"/>
    <cellStyle name="Entrada 2 3 5 2 2 3 3" xfId="14329"/>
    <cellStyle name="Entrada 2 3 5 2 2 3 3 2" xfId="28651"/>
    <cellStyle name="Entrada 2 3 5 2 2 3 4" xfId="19974"/>
    <cellStyle name="Entrada 2 3 5 2 2 4" xfId="11561"/>
    <cellStyle name="Entrada 2 3 5 2 2 4 2" xfId="25883"/>
    <cellStyle name="Entrada 2 3 5 2 2 5" xfId="4714"/>
    <cellStyle name="Entrada 2 3 5 2 3" xfId="487"/>
    <cellStyle name="Entrada 2 3 5 2 3 2" xfId="7373"/>
    <cellStyle name="Entrada 2 3 5 2 3 2 2" xfId="9987"/>
    <cellStyle name="Entrada 2 3 5 2 3 2 2 2" xfId="16249"/>
    <cellStyle name="Entrada 2 3 5 2 3 2 2 2 2" xfId="29665"/>
    <cellStyle name="Entrada 2 3 5 2 3 2 2 3" xfId="20994"/>
    <cellStyle name="Entrada 2 3 5 2 3 2 3" xfId="13977"/>
    <cellStyle name="Entrada 2 3 5 2 3 2 3 2" xfId="28299"/>
    <cellStyle name="Entrada 2 3 5 2 3 2 4" xfId="19622"/>
    <cellStyle name="Entrada 2 3 5 2 3 3" xfId="13410"/>
    <cellStyle name="Entrada 2 3 5 2 3 3 2" xfId="27732"/>
    <cellStyle name="Entrada 2 3 5 2 3 4" xfId="19055"/>
    <cellStyle name="Entrada 2 3 5 2 4" xfId="5878"/>
    <cellStyle name="Entrada 2 3 5 2 4 2" xfId="12431"/>
    <cellStyle name="Entrada 2 3 5 2 4 2 2" xfId="26753"/>
    <cellStyle name="Entrada 2 3 5 2 4 3" xfId="18076"/>
    <cellStyle name="Entrada 2 3 5 2 5" xfId="6311"/>
    <cellStyle name="Entrada 2 3 5 2 5 2" xfId="23507"/>
    <cellStyle name="Entrada 2 3 5 2 6" xfId="3188"/>
    <cellStyle name="Entrada 2 3 5 3" xfId="488"/>
    <cellStyle name="Entrada 2 3 5 3 2" xfId="5920"/>
    <cellStyle name="Entrada 2 3 5 3 2 2" xfId="12475"/>
    <cellStyle name="Entrada 2 3 5 3 2 2 2" xfId="26797"/>
    <cellStyle name="Entrada 2 3 5 3 2 3" xfId="18120"/>
    <cellStyle name="Entrada 2 3 5 3 3" xfId="5316"/>
    <cellStyle name="Entrada 2 3 5 3 3 2" xfId="9625"/>
    <cellStyle name="Entrada 2 3 5 3 3 2 2" xfId="15887"/>
    <cellStyle name="Entrada 2 3 5 3 3 2 2 2" xfId="29303"/>
    <cellStyle name="Entrada 2 3 5 3 3 2 3" xfId="20632"/>
    <cellStyle name="Entrada 2 3 5 3 3 3" xfId="11866"/>
    <cellStyle name="Entrada 2 3 5 3 3 3 2" xfId="26188"/>
    <cellStyle name="Entrada 2 3 5 3 3 4" xfId="17511"/>
    <cellStyle name="Entrada 2 3 5 3 4" xfId="4645"/>
    <cellStyle name="Entrada 2 3 5 3 4 2" xfId="23089"/>
    <cellStyle name="Entrada 2 3 5 3 5" xfId="15497"/>
    <cellStyle name="Entrada 2 3 5 4" xfId="489"/>
    <cellStyle name="Entrada 2 3 5 4 2" xfId="4805"/>
    <cellStyle name="Entrada 2 3 5 4 2 2" xfId="9490"/>
    <cellStyle name="Entrada 2 3 5 4 2 2 2" xfId="15752"/>
    <cellStyle name="Entrada 2 3 5 4 2 2 2 2" xfId="29168"/>
    <cellStyle name="Entrada 2 3 5 4 2 2 3" xfId="20497"/>
    <cellStyle name="Entrada 2 3 5 4 2 3" xfId="11335"/>
    <cellStyle name="Entrada 2 3 5 4 2 3 2" xfId="25657"/>
    <cellStyle name="Entrada 2 3 5 4 2 4" xfId="15572"/>
    <cellStyle name="Entrada 2 3 5 4 3" xfId="12943"/>
    <cellStyle name="Entrada 2 3 5 4 3 2" xfId="27265"/>
    <cellStyle name="Entrada 2 3 5 4 4" xfId="18588"/>
    <cellStyle name="Entrada 2 3 5 5" xfId="5597"/>
    <cellStyle name="Entrada 2 3 5 5 2" xfId="12149"/>
    <cellStyle name="Entrada 2 3 5 5 2 2" xfId="26471"/>
    <cellStyle name="Entrada 2 3 5 5 3" xfId="17794"/>
    <cellStyle name="Entrada 2 3 5 6" xfId="6287"/>
    <cellStyle name="Entrada 2 3 5 6 2" xfId="23489"/>
    <cellStyle name="Entrada 2 3 5 7" xfId="15559"/>
    <cellStyle name="Entrada 2 3 6" xfId="490"/>
    <cellStyle name="Entrada 2 3 6 2" xfId="491"/>
    <cellStyle name="Entrada 2 3 6 2 2" xfId="6440"/>
    <cellStyle name="Entrada 2 3 6 2 2 2" xfId="13023"/>
    <cellStyle name="Entrada 2 3 6 2 2 2 2" xfId="27345"/>
    <cellStyle name="Entrada 2 3 6 2 2 3" xfId="18668"/>
    <cellStyle name="Entrada 2 3 6 2 3" xfId="4096"/>
    <cellStyle name="Entrada 2 3 6 2 3 2" xfId="9424"/>
    <cellStyle name="Entrada 2 3 6 2 3 2 2" xfId="15686"/>
    <cellStyle name="Entrada 2 3 6 2 3 2 2 2" xfId="29102"/>
    <cellStyle name="Entrada 2 3 6 2 3 2 3" xfId="20431"/>
    <cellStyle name="Entrada 2 3 6 2 3 3" xfId="6514"/>
    <cellStyle name="Entrada 2 3 6 2 3 3 2" xfId="23578"/>
    <cellStyle name="Entrada 2 3 6 2 3 4" xfId="17099"/>
    <cellStyle name="Entrada 2 3 6 2 4" xfId="6121"/>
    <cellStyle name="Entrada 2 3 6 2 4 2" xfId="23419"/>
    <cellStyle name="Entrada 2 3 6 2 5" xfId="4212"/>
    <cellStyle name="Entrada 2 3 6 3" xfId="492"/>
    <cellStyle name="Entrada 2 3 6 3 2" xfId="4765"/>
    <cellStyle name="Entrada 2 3 6 3 2 2" xfId="9478"/>
    <cellStyle name="Entrada 2 3 6 3 2 2 2" xfId="15740"/>
    <cellStyle name="Entrada 2 3 6 3 2 2 2 2" xfId="29156"/>
    <cellStyle name="Entrada 2 3 6 3 2 2 3" xfId="20485"/>
    <cellStyle name="Entrada 2 3 6 3 2 3" xfId="2813"/>
    <cellStyle name="Entrada 2 3 6 3 2 3 2" xfId="22376"/>
    <cellStyle name="Entrada 2 3 6 3 2 4" xfId="15580"/>
    <cellStyle name="Entrada 2 3 6 3 3" xfId="13384"/>
    <cellStyle name="Entrada 2 3 6 3 3 2" xfId="27706"/>
    <cellStyle name="Entrada 2 3 6 3 4" xfId="19029"/>
    <cellStyle name="Entrada 2 3 6 4" xfId="5844"/>
    <cellStyle name="Entrada 2 3 6 4 2" xfId="12397"/>
    <cellStyle name="Entrada 2 3 6 4 2 2" xfId="26719"/>
    <cellStyle name="Entrada 2 3 6 4 3" xfId="18042"/>
    <cellStyle name="Entrada 2 3 6 5" xfId="3785"/>
    <cellStyle name="Entrada 2 3 6 5 2" xfId="22577"/>
    <cellStyle name="Entrada 2 3 6 6" xfId="17336"/>
    <cellStyle name="Entrada 2 3 7" xfId="493"/>
    <cellStyle name="Entrada 2 3 7 2" xfId="7012"/>
    <cellStyle name="Entrada 2 3 7 2 2" xfId="13616"/>
    <cellStyle name="Entrada 2 3 7 2 2 2" xfId="27938"/>
    <cellStyle name="Entrada 2 3 7 2 3" xfId="19261"/>
    <cellStyle name="Entrada 2 3 7 3" xfId="3145"/>
    <cellStyle name="Entrada 2 3 7 3 2" xfId="8981"/>
    <cellStyle name="Entrada 2 3 7 3 2 2" xfId="15336"/>
    <cellStyle name="Entrada 2 3 7 3 2 2 2" xfId="28999"/>
    <cellStyle name="Entrada 2 3 7 3 2 3" xfId="20326"/>
    <cellStyle name="Entrada 2 3 7 3 3" xfId="6670"/>
    <cellStyle name="Entrada 2 3 7 3 3 2" xfId="23642"/>
    <cellStyle name="Entrada 2 3 7 3 4" xfId="6497"/>
    <cellStyle name="Entrada 2 3 7 4" xfId="11538"/>
    <cellStyle name="Entrada 2 3 7 4 2" xfId="25860"/>
    <cellStyle name="Entrada 2 3 7 5" xfId="14828"/>
    <cellStyle name="Entrada 2 3 8" xfId="494"/>
    <cellStyle name="Entrada 2 3 8 2" xfId="7171"/>
    <cellStyle name="Entrada 2 3 8 2 2" xfId="9785"/>
    <cellStyle name="Entrada 2 3 8 2 2 2" xfId="16047"/>
    <cellStyle name="Entrada 2 3 8 2 2 2 2" xfId="29463"/>
    <cellStyle name="Entrada 2 3 8 2 2 3" xfId="20792"/>
    <cellStyle name="Entrada 2 3 8 2 3" xfId="13775"/>
    <cellStyle name="Entrada 2 3 8 2 3 2" xfId="28097"/>
    <cellStyle name="Entrada 2 3 8 2 4" xfId="19420"/>
    <cellStyle name="Entrada 2 3 8 3" xfId="12536"/>
    <cellStyle name="Entrada 2 3 8 3 2" xfId="26858"/>
    <cellStyle name="Entrada 2 3 8 4" xfId="18181"/>
    <cellStyle name="Entrada 2 3 9" xfId="5076"/>
    <cellStyle name="Entrada 2 3 9 2" xfId="11623"/>
    <cellStyle name="Entrada 2 3 9 2 2" xfId="25945"/>
    <cellStyle name="Entrada 2 3 9 3" xfId="15289"/>
    <cellStyle name="Entrada 2 4" xfId="495"/>
    <cellStyle name="Entrada 2 4 2" xfId="496"/>
    <cellStyle name="Entrada 2 4 2 2" xfId="497"/>
    <cellStyle name="Entrada 2 4 2 2 2" xfId="6494"/>
    <cellStyle name="Entrada 2 4 2 2 2 2" xfId="13079"/>
    <cellStyle name="Entrada 2 4 2 2 2 2 2" xfId="27401"/>
    <cellStyle name="Entrada 2 4 2 2 2 3" xfId="18724"/>
    <cellStyle name="Entrada 2 4 2 2 3" xfId="7989"/>
    <cellStyle name="Entrada 2 4 2 2 3 2" xfId="10603"/>
    <cellStyle name="Entrada 2 4 2 2 3 2 2" xfId="16865"/>
    <cellStyle name="Entrada 2 4 2 2 3 2 2 2" xfId="30281"/>
    <cellStyle name="Entrada 2 4 2 2 3 2 3" xfId="21610"/>
    <cellStyle name="Entrada 2 4 2 2 3 3" xfId="14593"/>
    <cellStyle name="Entrada 2 4 2 2 3 3 2" xfId="28915"/>
    <cellStyle name="Entrada 2 4 2 2 3 4" xfId="20238"/>
    <cellStyle name="Entrada 2 4 2 2 4" xfId="4073"/>
    <cellStyle name="Entrada 2 4 2 2 4 2" xfId="22745"/>
    <cellStyle name="Entrada 2 4 2 2 5" xfId="14686"/>
    <cellStyle name="Entrada 2 4 2 3" xfId="498"/>
    <cellStyle name="Entrada 2 4 2 3 2" xfId="7263"/>
    <cellStyle name="Entrada 2 4 2 3 2 2" xfId="9877"/>
    <cellStyle name="Entrada 2 4 2 3 2 2 2" xfId="16139"/>
    <cellStyle name="Entrada 2 4 2 3 2 2 2 2" xfId="29555"/>
    <cellStyle name="Entrada 2 4 2 3 2 2 3" xfId="20884"/>
    <cellStyle name="Entrada 2 4 2 3 2 3" xfId="13867"/>
    <cellStyle name="Entrada 2 4 2 3 2 3 2" xfId="28189"/>
    <cellStyle name="Entrada 2 4 2 3 2 4" xfId="19512"/>
    <cellStyle name="Entrada 2 4 2 3 3" xfId="13264"/>
    <cellStyle name="Entrada 2 4 2 3 3 2" xfId="27586"/>
    <cellStyle name="Entrada 2 4 2 3 4" xfId="18909"/>
    <cellStyle name="Entrada 2 4 2 4" xfId="5710"/>
    <cellStyle name="Entrada 2 4 2 4 2" xfId="12263"/>
    <cellStyle name="Entrada 2 4 2 4 2 2" xfId="26585"/>
    <cellStyle name="Entrada 2 4 2 4 3" xfId="17908"/>
    <cellStyle name="Entrada 2 4 2 5" xfId="3024"/>
    <cellStyle name="Entrada 2 4 2 5 2" xfId="22412"/>
    <cellStyle name="Entrada 2 4 2 6" xfId="17293"/>
    <cellStyle name="Entrada 2 4 3" xfId="499"/>
    <cellStyle name="Entrada 2 4 3 2" xfId="500"/>
    <cellStyle name="Entrada 2 4 3 2 2" xfId="6566"/>
    <cellStyle name="Entrada 2 4 3 2 2 2" xfId="13154"/>
    <cellStyle name="Entrada 2 4 3 2 2 2 2" xfId="27476"/>
    <cellStyle name="Entrada 2 4 3 2 2 3" xfId="18799"/>
    <cellStyle name="Entrada 2 4 3 2 3" xfId="7052"/>
    <cellStyle name="Entrada 2 4 3 2 3 2" xfId="9666"/>
    <cellStyle name="Entrada 2 4 3 2 3 2 2" xfId="15928"/>
    <cellStyle name="Entrada 2 4 3 2 3 2 2 2" xfId="29344"/>
    <cellStyle name="Entrada 2 4 3 2 3 2 3" xfId="20673"/>
    <cellStyle name="Entrada 2 4 3 2 3 3" xfId="13656"/>
    <cellStyle name="Entrada 2 4 3 2 3 3 2" xfId="27978"/>
    <cellStyle name="Entrada 2 4 3 2 3 4" xfId="19301"/>
    <cellStyle name="Entrada 2 4 3 2 4" xfId="6142"/>
    <cellStyle name="Entrada 2 4 3 2 4 2" xfId="23427"/>
    <cellStyle name="Entrada 2 4 3 2 5" xfId="16954"/>
    <cellStyle name="Entrada 2 4 3 3" xfId="501"/>
    <cellStyle name="Entrada 2 4 3 3 2" xfId="7169"/>
    <cellStyle name="Entrada 2 4 3 3 2 2" xfId="9783"/>
    <cellStyle name="Entrada 2 4 3 3 2 2 2" xfId="16045"/>
    <cellStyle name="Entrada 2 4 3 3 2 2 2 2" xfId="29461"/>
    <cellStyle name="Entrada 2 4 3 3 2 2 3" xfId="20790"/>
    <cellStyle name="Entrada 2 4 3 3 2 3" xfId="13773"/>
    <cellStyle name="Entrada 2 4 3 3 2 3 2" xfId="28095"/>
    <cellStyle name="Entrada 2 4 3 3 2 4" xfId="19418"/>
    <cellStyle name="Entrada 2 4 3 3 3" xfId="13037"/>
    <cellStyle name="Entrada 2 4 3 3 3 2" xfId="27359"/>
    <cellStyle name="Entrada 2 4 3 3 4" xfId="18682"/>
    <cellStyle name="Entrada 2 4 3 4" xfId="5352"/>
    <cellStyle name="Entrada 2 4 3 4 2" xfId="11902"/>
    <cellStyle name="Entrada 2 4 3 4 2 2" xfId="26224"/>
    <cellStyle name="Entrada 2 4 3 4 3" xfId="17547"/>
    <cellStyle name="Entrada 2 4 3 5" xfId="6703"/>
    <cellStyle name="Entrada 2 4 3 5 2" xfId="23662"/>
    <cellStyle name="Entrada 2 4 3 6" xfId="17369"/>
    <cellStyle name="Entrada 2 4 4" xfId="502"/>
    <cellStyle name="Entrada 2 4 4 2" xfId="6094"/>
    <cellStyle name="Entrada 2 4 4 2 2" xfId="12661"/>
    <cellStyle name="Entrada 2 4 4 2 2 2" xfId="26983"/>
    <cellStyle name="Entrada 2 4 4 2 3" xfId="18306"/>
    <cellStyle name="Entrada 2 4 4 3" xfId="7527"/>
    <cellStyle name="Entrada 2 4 4 3 2" xfId="10141"/>
    <cellStyle name="Entrada 2 4 4 3 2 2" xfId="16403"/>
    <cellStyle name="Entrada 2 4 4 3 2 2 2" xfId="29819"/>
    <cellStyle name="Entrada 2 4 4 3 2 3" xfId="21148"/>
    <cellStyle name="Entrada 2 4 4 3 3" xfId="14131"/>
    <cellStyle name="Entrada 2 4 4 3 3 2" xfId="28453"/>
    <cellStyle name="Entrada 2 4 4 3 4" xfId="19776"/>
    <cellStyle name="Entrada 2 4 4 4" xfId="3898"/>
    <cellStyle name="Entrada 2 4 4 4 2" xfId="22634"/>
    <cellStyle name="Entrada 2 4 4 5" xfId="15206"/>
    <cellStyle name="Entrada 2 4 5" xfId="503"/>
    <cellStyle name="Entrada 2 4 5 2" xfId="5328"/>
    <cellStyle name="Entrada 2 4 5 2 2" xfId="9637"/>
    <cellStyle name="Entrada 2 4 5 2 2 2" xfId="15899"/>
    <cellStyle name="Entrada 2 4 5 2 2 2 2" xfId="29315"/>
    <cellStyle name="Entrada 2 4 5 2 2 3" xfId="20644"/>
    <cellStyle name="Entrada 2 4 5 2 3" xfId="11878"/>
    <cellStyle name="Entrada 2 4 5 2 3 2" xfId="26200"/>
    <cellStyle name="Entrada 2 4 5 2 4" xfId="17523"/>
    <cellStyle name="Entrada 2 4 5 3" xfId="12820"/>
    <cellStyle name="Entrada 2 4 5 3 2" xfId="27142"/>
    <cellStyle name="Entrada 2 4 5 4" xfId="18465"/>
    <cellStyle name="Entrada 2 4 6" xfId="5360"/>
    <cellStyle name="Entrada 2 4 6 2" xfId="11910"/>
    <cellStyle name="Entrada 2 4 6 2 2" xfId="26232"/>
    <cellStyle name="Entrada 2 4 6 3" xfId="17555"/>
    <cellStyle name="Entrada 2 4 7" xfId="4474"/>
    <cellStyle name="Entrada 2 4 7 2" xfId="22972"/>
    <cellStyle name="Entrada 2 4 8" xfId="17009"/>
    <cellStyle name="Entrada 2 5" xfId="504"/>
    <cellStyle name="Entrada 2 5 2" xfId="505"/>
    <cellStyle name="Entrada 2 5 2 2" xfId="506"/>
    <cellStyle name="Entrada 2 5 2 2 2" xfId="5905"/>
    <cellStyle name="Entrada 2 5 2 2 2 2" xfId="12459"/>
    <cellStyle name="Entrada 2 5 2 2 2 2 2" xfId="26781"/>
    <cellStyle name="Entrada 2 5 2 2 2 3" xfId="18104"/>
    <cellStyle name="Entrada 2 5 2 2 3" xfId="8023"/>
    <cellStyle name="Entrada 2 5 2 2 3 2" xfId="10637"/>
    <cellStyle name="Entrada 2 5 2 2 3 2 2" xfId="16899"/>
    <cellStyle name="Entrada 2 5 2 2 3 2 2 2" xfId="30315"/>
    <cellStyle name="Entrada 2 5 2 2 3 2 3" xfId="21644"/>
    <cellStyle name="Entrada 2 5 2 2 3 3" xfId="14627"/>
    <cellStyle name="Entrada 2 5 2 2 3 3 2" xfId="28949"/>
    <cellStyle name="Entrada 2 5 2 2 3 4" xfId="20272"/>
    <cellStyle name="Entrada 2 5 2 2 4" xfId="6452"/>
    <cellStyle name="Entrada 2 5 2 2 4 2" xfId="23551"/>
    <cellStyle name="Entrada 2 5 2 2 5" xfId="4938"/>
    <cellStyle name="Entrada 2 5 2 3" xfId="507"/>
    <cellStyle name="Entrada 2 5 2 3 2" xfId="7317"/>
    <cellStyle name="Entrada 2 5 2 3 2 2" xfId="9931"/>
    <cellStyle name="Entrada 2 5 2 3 2 2 2" xfId="16193"/>
    <cellStyle name="Entrada 2 5 2 3 2 2 2 2" xfId="29609"/>
    <cellStyle name="Entrada 2 5 2 3 2 2 3" xfId="20938"/>
    <cellStyle name="Entrada 2 5 2 3 2 3" xfId="13921"/>
    <cellStyle name="Entrada 2 5 2 3 2 3 2" xfId="28243"/>
    <cellStyle name="Entrada 2 5 2 3 2 4" xfId="19566"/>
    <cellStyle name="Entrada 2 5 2 3 3" xfId="13210"/>
    <cellStyle name="Entrada 2 5 2 3 3 2" xfId="27532"/>
    <cellStyle name="Entrada 2 5 2 3 4" xfId="18855"/>
    <cellStyle name="Entrada 2 5 2 4" xfId="5649"/>
    <cellStyle name="Entrada 2 5 2 4 2" xfId="12202"/>
    <cellStyle name="Entrada 2 5 2 4 2 2" xfId="26524"/>
    <cellStyle name="Entrada 2 5 2 4 3" xfId="17847"/>
    <cellStyle name="Entrada 2 5 2 5" xfId="6750"/>
    <cellStyle name="Entrada 2 5 2 5 2" xfId="23698"/>
    <cellStyle name="Entrada 2 5 2 6" xfId="14870"/>
    <cellStyle name="Entrada 2 5 3" xfId="508"/>
    <cellStyle name="Entrada 2 5 3 2" xfId="509"/>
    <cellStyle name="Entrada 2 5 3 2 2" xfId="5986"/>
    <cellStyle name="Entrada 2 5 3 2 2 2" xfId="12544"/>
    <cellStyle name="Entrada 2 5 3 2 2 2 2" xfId="26866"/>
    <cellStyle name="Entrada 2 5 3 2 2 3" xfId="18189"/>
    <cellStyle name="Entrada 2 5 3 2 3" xfId="7832"/>
    <cellStyle name="Entrada 2 5 3 2 3 2" xfId="10446"/>
    <cellStyle name="Entrada 2 5 3 2 3 2 2" xfId="16708"/>
    <cellStyle name="Entrada 2 5 3 2 3 2 2 2" xfId="30124"/>
    <cellStyle name="Entrada 2 5 3 2 3 2 3" xfId="21453"/>
    <cellStyle name="Entrada 2 5 3 2 3 3" xfId="14436"/>
    <cellStyle name="Entrada 2 5 3 2 3 3 2" xfId="28758"/>
    <cellStyle name="Entrada 2 5 3 2 3 4" xfId="20081"/>
    <cellStyle name="Entrada 2 5 3 2 4" xfId="4288"/>
    <cellStyle name="Entrada 2 5 3 2 4 2" xfId="22872"/>
    <cellStyle name="Entrada 2 5 3 2 5" xfId="17017"/>
    <cellStyle name="Entrada 2 5 3 3" xfId="510"/>
    <cellStyle name="Entrada 2 5 3 3 2" xfId="7378"/>
    <cellStyle name="Entrada 2 5 3 3 2 2" xfId="9992"/>
    <cellStyle name="Entrada 2 5 3 3 2 2 2" xfId="16254"/>
    <cellStyle name="Entrada 2 5 3 3 2 2 2 2" xfId="29670"/>
    <cellStyle name="Entrada 2 5 3 3 2 2 3" xfId="20999"/>
    <cellStyle name="Entrada 2 5 3 3 2 3" xfId="13982"/>
    <cellStyle name="Entrada 2 5 3 3 2 3 2" xfId="28304"/>
    <cellStyle name="Entrada 2 5 3 3 2 4" xfId="19627"/>
    <cellStyle name="Entrada 2 5 3 3 3" xfId="12647"/>
    <cellStyle name="Entrada 2 5 3 3 3 2" xfId="26969"/>
    <cellStyle name="Entrada 2 5 3 3 4" xfId="18292"/>
    <cellStyle name="Entrada 2 5 3 4" xfId="5222"/>
    <cellStyle name="Entrada 2 5 3 4 2" xfId="11771"/>
    <cellStyle name="Entrada 2 5 3 4 2 2" xfId="26093"/>
    <cellStyle name="Entrada 2 5 3 4 3" xfId="17416"/>
    <cellStyle name="Entrada 2 5 3 5" xfId="3287"/>
    <cellStyle name="Entrada 2 5 3 5 2" xfId="22462"/>
    <cellStyle name="Entrada 2 5 3 6" xfId="14965"/>
    <cellStyle name="Entrada 2 5 4" xfId="511"/>
    <cellStyle name="Entrada 2 5 4 2" xfId="6587"/>
    <cellStyle name="Entrada 2 5 4 2 2" xfId="13176"/>
    <cellStyle name="Entrada 2 5 4 2 2 2" xfId="27498"/>
    <cellStyle name="Entrada 2 5 4 2 3" xfId="18821"/>
    <cellStyle name="Entrada 2 5 4 3" xfId="7875"/>
    <cellStyle name="Entrada 2 5 4 3 2" xfId="10489"/>
    <cellStyle name="Entrada 2 5 4 3 2 2" xfId="16751"/>
    <cellStyle name="Entrada 2 5 4 3 2 2 2" xfId="30167"/>
    <cellStyle name="Entrada 2 5 4 3 2 3" xfId="21496"/>
    <cellStyle name="Entrada 2 5 4 3 3" xfId="14479"/>
    <cellStyle name="Entrada 2 5 4 3 3 2" xfId="28801"/>
    <cellStyle name="Entrada 2 5 4 3 4" xfId="20124"/>
    <cellStyle name="Entrada 2 5 4 4" xfId="6309"/>
    <cellStyle name="Entrada 2 5 4 4 2" xfId="23505"/>
    <cellStyle name="Entrada 2 5 4 5" xfId="3817"/>
    <cellStyle name="Entrada 2 5 5" xfId="512"/>
    <cellStyle name="Entrada 2 5 5 2" xfId="7462"/>
    <cellStyle name="Entrada 2 5 5 2 2" xfId="10076"/>
    <cellStyle name="Entrada 2 5 5 2 2 2" xfId="16338"/>
    <cellStyle name="Entrada 2 5 5 2 2 2 2" xfId="29754"/>
    <cellStyle name="Entrada 2 5 5 2 2 3" xfId="21083"/>
    <cellStyle name="Entrada 2 5 5 2 3" xfId="14066"/>
    <cellStyle name="Entrada 2 5 5 2 3 2" xfId="28388"/>
    <cellStyle name="Entrada 2 5 5 2 4" xfId="19711"/>
    <cellStyle name="Entrada 2 5 5 3" xfId="12071"/>
    <cellStyle name="Entrada 2 5 5 3 2" xfId="26393"/>
    <cellStyle name="Entrada 2 5 5 4" xfId="17716"/>
    <cellStyle name="Entrada 2 5 6" xfId="5185"/>
    <cellStyle name="Entrada 2 5 6 2" xfId="11734"/>
    <cellStyle name="Entrada 2 5 6 2 2" xfId="26056"/>
    <cellStyle name="Entrada 2 5 6 3" xfId="3977"/>
    <cellStyle name="Entrada 2 5 7" xfId="3658"/>
    <cellStyle name="Entrada 2 5 7 2" xfId="22509"/>
    <cellStyle name="Entrada 2 5 8" xfId="15211"/>
    <cellStyle name="Entrada 2 6" xfId="513"/>
    <cellStyle name="Entrada 2 6 2" xfId="514"/>
    <cellStyle name="Entrada 2 6 2 2" xfId="515"/>
    <cellStyle name="Entrada 2 6 2 2 2" xfId="6375"/>
    <cellStyle name="Entrada 2 6 2 2 2 2" xfId="12958"/>
    <cellStyle name="Entrada 2 6 2 2 2 2 2" xfId="27280"/>
    <cellStyle name="Entrada 2 6 2 2 2 3" xfId="18603"/>
    <cellStyle name="Entrada 2 6 2 2 3" xfId="7745"/>
    <cellStyle name="Entrada 2 6 2 2 3 2" xfId="10359"/>
    <cellStyle name="Entrada 2 6 2 2 3 2 2" xfId="16621"/>
    <cellStyle name="Entrada 2 6 2 2 3 2 2 2" xfId="30037"/>
    <cellStyle name="Entrada 2 6 2 2 3 2 3" xfId="21366"/>
    <cellStyle name="Entrada 2 6 2 2 3 3" xfId="14349"/>
    <cellStyle name="Entrada 2 6 2 2 3 3 2" xfId="28671"/>
    <cellStyle name="Entrada 2 6 2 2 3 4" xfId="19994"/>
    <cellStyle name="Entrada 2 6 2 2 4" xfId="6597"/>
    <cellStyle name="Entrada 2 6 2 2 4 2" xfId="23594"/>
    <cellStyle name="Entrada 2 6 2 2 5" xfId="15068"/>
    <cellStyle name="Entrada 2 6 2 3" xfId="516"/>
    <cellStyle name="Entrada 2 6 2 3 2" xfId="7911"/>
    <cellStyle name="Entrada 2 6 2 3 2 2" xfId="10525"/>
    <cellStyle name="Entrada 2 6 2 3 2 2 2" xfId="16787"/>
    <cellStyle name="Entrada 2 6 2 3 2 2 2 2" xfId="30203"/>
    <cellStyle name="Entrada 2 6 2 3 2 2 3" xfId="21532"/>
    <cellStyle name="Entrada 2 6 2 3 2 3" xfId="14515"/>
    <cellStyle name="Entrada 2 6 2 3 2 3 2" xfId="28837"/>
    <cellStyle name="Entrada 2 6 2 3 2 4" xfId="20160"/>
    <cellStyle name="Entrada 2 6 2 3 3" xfId="13205"/>
    <cellStyle name="Entrada 2 6 2 3 3 2" xfId="27527"/>
    <cellStyle name="Entrada 2 6 2 3 4" xfId="18850"/>
    <cellStyle name="Entrada 2 6 2 4" xfId="5644"/>
    <cellStyle name="Entrada 2 6 2 4 2" xfId="12197"/>
    <cellStyle name="Entrada 2 6 2 4 2 2" xfId="26519"/>
    <cellStyle name="Entrada 2 6 2 4 3" xfId="17842"/>
    <cellStyle name="Entrada 2 6 2 5" xfId="6340"/>
    <cellStyle name="Entrada 2 6 2 5 2" xfId="23526"/>
    <cellStyle name="Entrada 2 6 2 6" xfId="17224"/>
    <cellStyle name="Entrada 2 6 3" xfId="517"/>
    <cellStyle name="Entrada 2 6 3 2" xfId="518"/>
    <cellStyle name="Entrada 2 6 3 2 2" xfId="6082"/>
    <cellStyle name="Entrada 2 6 3 2 2 2" xfId="12648"/>
    <cellStyle name="Entrada 2 6 3 2 2 2 2" xfId="26970"/>
    <cellStyle name="Entrada 2 6 3 2 2 3" xfId="18293"/>
    <cellStyle name="Entrada 2 6 3 2 3" xfId="7312"/>
    <cellStyle name="Entrada 2 6 3 2 3 2" xfId="9926"/>
    <cellStyle name="Entrada 2 6 3 2 3 2 2" xfId="16188"/>
    <cellStyle name="Entrada 2 6 3 2 3 2 2 2" xfId="29604"/>
    <cellStyle name="Entrada 2 6 3 2 3 2 3" xfId="20933"/>
    <cellStyle name="Entrada 2 6 3 2 3 3" xfId="13916"/>
    <cellStyle name="Entrada 2 6 3 2 3 3 2" xfId="28238"/>
    <cellStyle name="Entrada 2 6 3 2 3 4" xfId="19561"/>
    <cellStyle name="Entrada 2 6 3 2 4" xfId="6129"/>
    <cellStyle name="Entrada 2 6 3 2 4 2" xfId="23422"/>
    <cellStyle name="Entrada 2 6 3 2 5" xfId="3728"/>
    <cellStyle name="Entrada 2 6 3 3" xfId="519"/>
    <cellStyle name="Entrada 2 6 3 3 2" xfId="5277"/>
    <cellStyle name="Entrada 2 6 3 3 2 2" xfId="9586"/>
    <cellStyle name="Entrada 2 6 3 3 2 2 2" xfId="15848"/>
    <cellStyle name="Entrada 2 6 3 3 2 2 2 2" xfId="29264"/>
    <cellStyle name="Entrada 2 6 3 3 2 2 3" xfId="20593"/>
    <cellStyle name="Entrada 2 6 3 3 2 3" xfId="11827"/>
    <cellStyle name="Entrada 2 6 3 3 2 3 2" xfId="26149"/>
    <cellStyle name="Entrada 2 6 3 3 2 4" xfId="17472"/>
    <cellStyle name="Entrada 2 6 3 3 3" xfId="12625"/>
    <cellStyle name="Entrada 2 6 3 3 3 2" xfId="26947"/>
    <cellStyle name="Entrada 2 6 3 3 4" xfId="18270"/>
    <cellStyle name="Entrada 2 6 3 4" xfId="4389"/>
    <cellStyle name="Entrada 2 6 3 4 2" xfId="6600"/>
    <cellStyle name="Entrada 2 6 3 4 2 2" xfId="23596"/>
    <cellStyle name="Entrada 2 6 3 4 3" xfId="15510"/>
    <cellStyle name="Entrada 2 6 3 5" xfId="4532"/>
    <cellStyle name="Entrada 2 6 3 5 2" xfId="23012"/>
    <cellStyle name="Entrada 2 6 3 6" xfId="15229"/>
    <cellStyle name="Entrada 2 6 4" xfId="520"/>
    <cellStyle name="Entrada 2 6 4 2" xfId="6544"/>
    <cellStyle name="Entrada 2 6 4 2 2" xfId="13132"/>
    <cellStyle name="Entrada 2 6 4 2 2 2" xfId="27454"/>
    <cellStyle name="Entrada 2 6 4 2 3" xfId="18777"/>
    <cellStyle name="Entrada 2 6 4 3" xfId="7720"/>
    <cellStyle name="Entrada 2 6 4 3 2" xfId="10334"/>
    <cellStyle name="Entrada 2 6 4 3 2 2" xfId="16596"/>
    <cellStyle name="Entrada 2 6 4 3 2 2 2" xfId="30012"/>
    <cellStyle name="Entrada 2 6 4 3 2 3" xfId="21341"/>
    <cellStyle name="Entrada 2 6 4 3 3" xfId="14324"/>
    <cellStyle name="Entrada 2 6 4 3 3 2" xfId="28646"/>
    <cellStyle name="Entrada 2 6 4 3 4" xfId="19969"/>
    <cellStyle name="Entrada 2 6 4 4" xfId="3902"/>
    <cellStyle name="Entrada 2 6 4 4 2" xfId="22636"/>
    <cellStyle name="Entrada 2 6 4 5" xfId="14833"/>
    <cellStyle name="Entrada 2 6 5" xfId="521"/>
    <cellStyle name="Entrada 2 6 5 2" xfId="7259"/>
    <cellStyle name="Entrada 2 6 5 2 2" xfId="9873"/>
    <cellStyle name="Entrada 2 6 5 2 2 2" xfId="16135"/>
    <cellStyle name="Entrada 2 6 5 2 2 2 2" xfId="29551"/>
    <cellStyle name="Entrada 2 6 5 2 2 3" xfId="20880"/>
    <cellStyle name="Entrada 2 6 5 2 3" xfId="13863"/>
    <cellStyle name="Entrada 2 6 5 2 3 2" xfId="28185"/>
    <cellStyle name="Entrada 2 6 5 2 4" xfId="19508"/>
    <cellStyle name="Entrada 2 6 5 3" xfId="12480"/>
    <cellStyle name="Entrada 2 6 5 3 2" xfId="26802"/>
    <cellStyle name="Entrada 2 6 5 4" xfId="18125"/>
    <cellStyle name="Entrada 2 6 6" xfId="5064"/>
    <cellStyle name="Entrada 2 6 6 2" xfId="11611"/>
    <cellStyle name="Entrada 2 6 6 2 2" xfId="25933"/>
    <cellStyle name="Entrada 2 6 6 3" xfId="4164"/>
    <cellStyle name="Entrada 2 6 7" xfId="4498"/>
    <cellStyle name="Entrada 2 6 7 2" xfId="22990"/>
    <cellStyle name="Entrada 2 6 8" xfId="15173"/>
    <cellStyle name="Entrada 2 7" xfId="522"/>
    <cellStyle name="Entrada 2 7 2" xfId="523"/>
    <cellStyle name="Entrada 2 7 2 2" xfId="524"/>
    <cellStyle name="Entrada 2 7 2 2 2" xfId="6511"/>
    <cellStyle name="Entrada 2 7 2 2 2 2" xfId="13098"/>
    <cellStyle name="Entrada 2 7 2 2 2 2 2" xfId="27420"/>
    <cellStyle name="Entrada 2 7 2 2 2 3" xfId="18743"/>
    <cellStyle name="Entrada 2 7 2 2 3" xfId="7635"/>
    <cellStyle name="Entrada 2 7 2 2 3 2" xfId="10249"/>
    <cellStyle name="Entrada 2 7 2 2 3 2 2" xfId="16511"/>
    <cellStyle name="Entrada 2 7 2 2 3 2 2 2" xfId="29927"/>
    <cellStyle name="Entrada 2 7 2 2 3 2 3" xfId="21256"/>
    <cellStyle name="Entrada 2 7 2 2 3 3" xfId="14239"/>
    <cellStyle name="Entrada 2 7 2 2 3 3 2" xfId="28561"/>
    <cellStyle name="Entrada 2 7 2 2 3 4" xfId="19884"/>
    <cellStyle name="Entrada 2 7 2 2 4" xfId="4939"/>
    <cellStyle name="Entrada 2 7 2 2 4 2" xfId="23271"/>
    <cellStyle name="Entrada 2 7 2 2 5" xfId="17287"/>
    <cellStyle name="Entrada 2 7 2 3" xfId="525"/>
    <cellStyle name="Entrada 2 7 2 3 2" xfId="7134"/>
    <cellStyle name="Entrada 2 7 2 3 2 2" xfId="9748"/>
    <cellStyle name="Entrada 2 7 2 3 2 2 2" xfId="16010"/>
    <cellStyle name="Entrada 2 7 2 3 2 2 2 2" xfId="29426"/>
    <cellStyle name="Entrada 2 7 2 3 2 2 3" xfId="20755"/>
    <cellStyle name="Entrada 2 7 2 3 2 3" xfId="13738"/>
    <cellStyle name="Entrada 2 7 2 3 2 3 2" xfId="28060"/>
    <cellStyle name="Entrada 2 7 2 3 2 4" xfId="19383"/>
    <cellStyle name="Entrada 2 7 2 3 3" xfId="13034"/>
    <cellStyle name="Entrada 2 7 2 3 3 2" xfId="27356"/>
    <cellStyle name="Entrada 2 7 2 3 4" xfId="18679"/>
    <cellStyle name="Entrada 2 7 2 4" xfId="5347"/>
    <cellStyle name="Entrada 2 7 2 4 2" xfId="11897"/>
    <cellStyle name="Entrada 2 7 2 4 2 2" xfId="26219"/>
    <cellStyle name="Entrada 2 7 2 4 3" xfId="17542"/>
    <cellStyle name="Entrada 2 7 2 5" xfId="4277"/>
    <cellStyle name="Entrada 2 7 2 5 2" xfId="22866"/>
    <cellStyle name="Entrada 2 7 2 6" xfId="15309"/>
    <cellStyle name="Entrada 2 7 3" xfId="526"/>
    <cellStyle name="Entrada 2 7 3 2" xfId="5850"/>
    <cellStyle name="Entrada 2 7 3 2 2" xfId="12403"/>
    <cellStyle name="Entrada 2 7 3 2 2 2" xfId="26725"/>
    <cellStyle name="Entrada 2 7 3 2 3" xfId="18048"/>
    <cellStyle name="Entrada 2 7 3 3" xfId="5269"/>
    <cellStyle name="Entrada 2 7 3 3 2" xfId="9578"/>
    <cellStyle name="Entrada 2 7 3 3 2 2" xfId="15840"/>
    <cellStyle name="Entrada 2 7 3 3 2 2 2" xfId="29256"/>
    <cellStyle name="Entrada 2 7 3 3 2 3" xfId="20585"/>
    <cellStyle name="Entrada 2 7 3 3 3" xfId="11819"/>
    <cellStyle name="Entrada 2 7 3 3 3 2" xfId="26141"/>
    <cellStyle name="Entrada 2 7 3 3 4" xfId="17464"/>
    <cellStyle name="Entrada 2 7 3 4" xfId="4002"/>
    <cellStyle name="Entrada 2 7 3 4 2" xfId="22696"/>
    <cellStyle name="Entrada 2 7 3 5" xfId="3193"/>
    <cellStyle name="Entrada 2 7 4" xfId="527"/>
    <cellStyle name="Entrada 2 7 4 2" xfId="8036"/>
    <cellStyle name="Entrada 2 7 4 2 2" xfId="10650"/>
    <cellStyle name="Entrada 2 7 4 2 2 2" xfId="16912"/>
    <cellStyle name="Entrada 2 7 4 2 2 2 2" xfId="30328"/>
    <cellStyle name="Entrada 2 7 4 2 2 3" xfId="21657"/>
    <cellStyle name="Entrada 2 7 4 2 3" xfId="14640"/>
    <cellStyle name="Entrada 2 7 4 2 3 2" xfId="28962"/>
    <cellStyle name="Entrada 2 7 4 2 4" xfId="20285"/>
    <cellStyle name="Entrada 2 7 4 3" xfId="12660"/>
    <cellStyle name="Entrada 2 7 4 3 2" xfId="26982"/>
    <cellStyle name="Entrada 2 7 4 4" xfId="18305"/>
    <cellStyle name="Entrada 2 7 5" xfId="4270"/>
    <cellStyle name="Entrada 2 7 5 2" xfId="4673"/>
    <cellStyle name="Entrada 2 7 5 2 2" xfId="23112"/>
    <cellStyle name="Entrada 2 7 5 3" xfId="15440"/>
    <cellStyle name="Entrada 2 7 6" xfId="6302"/>
    <cellStyle name="Entrada 2 7 6 2" xfId="23499"/>
    <cellStyle name="Entrada 2 7 7" xfId="4309"/>
    <cellStyle name="Entrada 2 8" xfId="528"/>
    <cellStyle name="Entrada 2 8 2" xfId="529"/>
    <cellStyle name="Entrada 2 8 2 2" xfId="6372"/>
    <cellStyle name="Entrada 2 8 2 2 2" xfId="12955"/>
    <cellStyle name="Entrada 2 8 2 2 2 2" xfId="27277"/>
    <cellStyle name="Entrada 2 8 2 2 3" xfId="18600"/>
    <cellStyle name="Entrada 2 8 2 3" xfId="4332"/>
    <cellStyle name="Entrada 2 8 2 3 2" xfId="9450"/>
    <cellStyle name="Entrada 2 8 2 3 2 2" xfId="15712"/>
    <cellStyle name="Entrada 2 8 2 3 2 2 2" xfId="29128"/>
    <cellStyle name="Entrada 2 8 2 3 2 3" xfId="20457"/>
    <cellStyle name="Entrada 2 8 2 3 3" xfId="4995"/>
    <cellStyle name="Entrada 2 8 2 3 3 2" xfId="23299"/>
    <cellStyle name="Entrada 2 8 2 3 4" xfId="14735"/>
    <cellStyle name="Entrada 2 8 2 4" xfId="6165"/>
    <cellStyle name="Entrada 2 8 2 4 2" xfId="23438"/>
    <cellStyle name="Entrada 2 8 2 5" xfId="6245"/>
    <cellStyle name="Entrada 2 8 3" xfId="530"/>
    <cellStyle name="Entrada 2 8 3 2" xfId="7679"/>
    <cellStyle name="Entrada 2 8 3 2 2" xfId="10293"/>
    <cellStyle name="Entrada 2 8 3 2 2 2" xfId="16555"/>
    <cellStyle name="Entrada 2 8 3 2 2 2 2" xfId="29971"/>
    <cellStyle name="Entrada 2 8 3 2 2 3" xfId="21300"/>
    <cellStyle name="Entrada 2 8 3 2 3" xfId="14283"/>
    <cellStyle name="Entrada 2 8 3 2 3 2" xfId="28605"/>
    <cellStyle name="Entrada 2 8 3 2 4" xfId="19928"/>
    <cellStyle name="Entrada 2 8 3 3" xfId="13226"/>
    <cellStyle name="Entrada 2 8 3 3 2" xfId="27548"/>
    <cellStyle name="Entrada 2 8 3 4" xfId="18871"/>
    <cellStyle name="Entrada 2 8 4" xfId="5667"/>
    <cellStyle name="Entrada 2 8 4 2" xfId="12220"/>
    <cellStyle name="Entrada 2 8 4 2 2" xfId="26542"/>
    <cellStyle name="Entrada 2 8 4 3" xfId="17865"/>
    <cellStyle name="Entrada 2 8 5" xfId="4852"/>
    <cellStyle name="Entrada 2 8 5 2" xfId="23223"/>
    <cellStyle name="Entrada 2 8 6" xfId="14788"/>
    <cellStyle name="Entrada 2 9" xfId="531"/>
    <cellStyle name="Entrada 2 9 2" xfId="6402"/>
    <cellStyle name="Entrada 2 9 2 2" xfId="12985"/>
    <cellStyle name="Entrada 2 9 2 2 2" xfId="27307"/>
    <cellStyle name="Entrada 2 9 2 3" xfId="18630"/>
    <cellStyle name="Entrada 2 9 3" xfId="7051"/>
    <cellStyle name="Entrada 2 9 3 2" xfId="9665"/>
    <cellStyle name="Entrada 2 9 3 2 2" xfId="15927"/>
    <cellStyle name="Entrada 2 9 3 2 2 2" xfId="29343"/>
    <cellStyle name="Entrada 2 9 3 2 3" xfId="20672"/>
    <cellStyle name="Entrada 2 9 3 3" xfId="13655"/>
    <cellStyle name="Entrada 2 9 3 3 2" xfId="27977"/>
    <cellStyle name="Entrada 2 9 3 4" xfId="19300"/>
    <cellStyle name="Entrada 2 9 4" xfId="2793"/>
    <cellStyle name="Entrada 2 9 4 2" xfId="22360"/>
    <cellStyle name="Entrada 2 9 5" xfId="15368"/>
    <cellStyle name="Entrada 3" xfId="532"/>
    <cellStyle name="Entrada 3 2" xfId="6232"/>
    <cellStyle name="Entrada 3 2 2" xfId="12807"/>
    <cellStyle name="Entrada 3 2 2 2" xfId="27129"/>
    <cellStyle name="Entrada 3 2 3" xfId="18452"/>
    <cellStyle name="Entrada 3 3" xfId="4064"/>
    <cellStyle name="Entrada 3 3 2" xfId="9417"/>
    <cellStyle name="Entrada 3 3 2 2" xfId="15679"/>
    <cellStyle name="Entrada 3 3 2 2 2" xfId="29095"/>
    <cellStyle name="Entrada 3 3 2 3" xfId="20424"/>
    <cellStyle name="Entrada 3 3 3" xfId="4435"/>
    <cellStyle name="Entrada 3 3 3 2" xfId="22950"/>
    <cellStyle name="Entrada 3 3 4" xfId="17042"/>
    <cellStyle name="Entrada 3 4" xfId="4696"/>
    <cellStyle name="Entrada 3 4 2" xfId="23132"/>
    <cellStyle name="Entrada 3 5" xfId="17059"/>
    <cellStyle name="Entrada 4" xfId="3790"/>
    <cellStyle name="Entrada 4 2" xfId="4210"/>
    <cellStyle name="Entrada 4 2 2" xfId="22824"/>
    <cellStyle name="Entrada 4 3" xfId="6728"/>
    <cellStyle name="Entrada 5" xfId="4139"/>
    <cellStyle name="Entrada 5 2" xfId="22777"/>
    <cellStyle name="Entrada 6" xfId="17256"/>
    <cellStyle name="Entrada 7" xfId="20322"/>
    <cellStyle name="Entrada 8" xfId="30367"/>
    <cellStyle name="Explanatory Text 2" xfId="533"/>
    <cellStyle name="Good 2" xfId="534"/>
    <cellStyle name="Heading 1 2" xfId="535"/>
    <cellStyle name="Heading 2 2" xfId="536"/>
    <cellStyle name="Heading 3 2" xfId="537"/>
    <cellStyle name="Heading 4 2" xfId="538"/>
    <cellStyle name="Hyperlink 2" xfId="539"/>
    <cellStyle name="Incorrecto" xfId="540"/>
    <cellStyle name="Input 2" xfId="541"/>
    <cellStyle name="Input 2 2" xfId="542"/>
    <cellStyle name="Input 2 2 10" xfId="543"/>
    <cellStyle name="Input 2 2 10 2" xfId="4083"/>
    <cellStyle name="Input 2 2 10 2 2" xfId="9420"/>
    <cellStyle name="Input 2 2 10 2 2 2" xfId="15682"/>
    <cellStyle name="Input 2 2 10 2 2 2 2" xfId="29098"/>
    <cellStyle name="Input 2 2 10 2 2 3" xfId="20427"/>
    <cellStyle name="Input 2 2 10 2 3" xfId="6575"/>
    <cellStyle name="Input 2 2 10 2 3 2" xfId="23585"/>
    <cellStyle name="Input 2 2 10 2 4" xfId="5604"/>
    <cellStyle name="Input 2 2 10 3" xfId="11920"/>
    <cellStyle name="Input 2 2 10 3 2" xfId="26242"/>
    <cellStyle name="Input 2 2 10 4" xfId="17565"/>
    <cellStyle name="Input 2 2 11" xfId="4357"/>
    <cellStyle name="Input 2 2 11 2" xfId="3791"/>
    <cellStyle name="Input 2 2 11 2 2" xfId="22580"/>
    <cellStyle name="Input 2 2 11 3" xfId="15450"/>
    <cellStyle name="Input 2 2 12" xfId="3961"/>
    <cellStyle name="Input 2 2 12 2" xfId="22671"/>
    <cellStyle name="Input 2 2 13" xfId="16959"/>
    <cellStyle name="Input 2 2 2" xfId="544"/>
    <cellStyle name="Input 2 2 2 10" xfId="3894"/>
    <cellStyle name="Input 2 2 2 10 2" xfId="4398"/>
    <cellStyle name="Input 2 2 2 10 2 2" xfId="22927"/>
    <cellStyle name="Input 2 2 2 10 3" xfId="3877"/>
    <cellStyle name="Input 2 2 2 11" xfId="6296"/>
    <cellStyle name="Input 2 2 2 11 2" xfId="23495"/>
    <cellStyle name="Input 2 2 2 12" xfId="14694"/>
    <cellStyle name="Input 2 2 2 2" xfId="545"/>
    <cellStyle name="Input 2 2 2 2 10" xfId="6308"/>
    <cellStyle name="Input 2 2 2 2 10 2" xfId="23504"/>
    <cellStyle name="Input 2 2 2 2 11" xfId="17119"/>
    <cellStyle name="Input 2 2 2 2 2" xfId="546"/>
    <cellStyle name="Input 2 2 2 2 2 2" xfId="547"/>
    <cellStyle name="Input 2 2 2 2 2 2 2" xfId="548"/>
    <cellStyle name="Input 2 2 2 2 2 2 2 2" xfId="6411"/>
    <cellStyle name="Input 2 2 2 2 2 2 2 2 2" xfId="12994"/>
    <cellStyle name="Input 2 2 2 2 2 2 2 2 2 2" xfId="27316"/>
    <cellStyle name="Input 2 2 2 2 2 2 2 2 3" xfId="18639"/>
    <cellStyle name="Input 2 2 2 2 2 2 2 3" xfId="7295"/>
    <cellStyle name="Input 2 2 2 2 2 2 2 3 2" xfId="9909"/>
    <cellStyle name="Input 2 2 2 2 2 2 2 3 2 2" xfId="16171"/>
    <cellStyle name="Input 2 2 2 2 2 2 2 3 2 2 2" xfId="29587"/>
    <cellStyle name="Input 2 2 2 2 2 2 2 3 2 3" xfId="20916"/>
    <cellStyle name="Input 2 2 2 2 2 2 2 3 3" xfId="13899"/>
    <cellStyle name="Input 2 2 2 2 2 2 2 3 3 2" xfId="28221"/>
    <cellStyle name="Input 2 2 2 2 2 2 2 3 4" xfId="19544"/>
    <cellStyle name="Input 2 2 2 2 2 2 2 4" xfId="5925"/>
    <cellStyle name="Input 2 2 2 2 2 2 2 4 2" xfId="23374"/>
    <cellStyle name="Input 2 2 2 2 2 2 2 5" xfId="14826"/>
    <cellStyle name="Input 2 2 2 2 2 2 3" xfId="549"/>
    <cellStyle name="Input 2 2 2 2 2 2 3 2" xfId="7934"/>
    <cellStyle name="Input 2 2 2 2 2 2 3 2 2" xfId="10548"/>
    <cellStyle name="Input 2 2 2 2 2 2 3 2 2 2" xfId="16810"/>
    <cellStyle name="Input 2 2 2 2 2 2 3 2 2 2 2" xfId="30226"/>
    <cellStyle name="Input 2 2 2 2 2 2 3 2 2 3" xfId="21555"/>
    <cellStyle name="Input 2 2 2 2 2 2 3 2 3" xfId="14538"/>
    <cellStyle name="Input 2 2 2 2 2 2 3 2 3 2" xfId="28860"/>
    <cellStyle name="Input 2 2 2 2 2 2 3 2 4" xfId="20183"/>
    <cellStyle name="Input 2 2 2 2 2 2 3 3" xfId="13316"/>
    <cellStyle name="Input 2 2 2 2 2 2 3 3 2" xfId="27638"/>
    <cellStyle name="Input 2 2 2 2 2 2 3 4" xfId="18961"/>
    <cellStyle name="Input 2 2 2 2 2 2 4" xfId="5766"/>
    <cellStyle name="Input 2 2 2 2 2 2 4 2" xfId="12319"/>
    <cellStyle name="Input 2 2 2 2 2 2 4 2 2" xfId="26641"/>
    <cellStyle name="Input 2 2 2 2 2 2 4 3" xfId="17964"/>
    <cellStyle name="Input 2 2 2 2 2 2 5" xfId="4842"/>
    <cellStyle name="Input 2 2 2 2 2 2 5 2" xfId="23216"/>
    <cellStyle name="Input 2 2 2 2 2 2 6" xfId="15002"/>
    <cellStyle name="Input 2 2 2 2 2 3" xfId="550"/>
    <cellStyle name="Input 2 2 2 2 2 3 2" xfId="551"/>
    <cellStyle name="Input 2 2 2 2 2 3 2 2" xfId="5936"/>
    <cellStyle name="Input 2 2 2 2 2 3 2 2 2" xfId="12493"/>
    <cellStyle name="Input 2 2 2 2 2 3 2 2 2 2" xfId="26815"/>
    <cellStyle name="Input 2 2 2 2 2 3 2 2 3" xfId="18138"/>
    <cellStyle name="Input 2 2 2 2 2 3 2 3" xfId="7244"/>
    <cellStyle name="Input 2 2 2 2 2 3 2 3 2" xfId="9858"/>
    <cellStyle name="Input 2 2 2 2 2 3 2 3 2 2" xfId="16120"/>
    <cellStyle name="Input 2 2 2 2 2 3 2 3 2 2 2" xfId="29536"/>
    <cellStyle name="Input 2 2 2 2 2 3 2 3 2 3" xfId="20865"/>
    <cellStyle name="Input 2 2 2 2 2 3 2 3 3" xfId="13848"/>
    <cellStyle name="Input 2 2 2 2 2 3 2 3 3 2" xfId="28170"/>
    <cellStyle name="Input 2 2 2 2 2 3 2 3 4" xfId="19493"/>
    <cellStyle name="Input 2 2 2 2 2 3 2 4" xfId="4016"/>
    <cellStyle name="Input 2 2 2 2 2 3 2 4 2" xfId="22703"/>
    <cellStyle name="Input 2 2 2 2 2 3 2 5" xfId="17255"/>
    <cellStyle name="Input 2 2 2 2 2 3 3" xfId="552"/>
    <cellStyle name="Input 2 2 2 2 2 3 3 2" xfId="7683"/>
    <cellStyle name="Input 2 2 2 2 2 3 3 2 2" xfId="10297"/>
    <cellStyle name="Input 2 2 2 2 2 3 3 2 2 2" xfId="16559"/>
    <cellStyle name="Input 2 2 2 2 2 3 3 2 2 2 2" xfId="29975"/>
    <cellStyle name="Input 2 2 2 2 2 3 3 2 2 3" xfId="21304"/>
    <cellStyle name="Input 2 2 2 2 2 3 3 2 3" xfId="14287"/>
    <cellStyle name="Input 2 2 2 2 2 3 3 2 3 2" xfId="28609"/>
    <cellStyle name="Input 2 2 2 2 2 3 3 2 4" xfId="19932"/>
    <cellStyle name="Input 2 2 2 2 2 3 3 3" xfId="13369"/>
    <cellStyle name="Input 2 2 2 2 2 3 3 3 2" xfId="27691"/>
    <cellStyle name="Input 2 2 2 2 2 3 3 4" xfId="19014"/>
    <cellStyle name="Input 2 2 2 2 2 3 4" xfId="5820"/>
    <cellStyle name="Input 2 2 2 2 2 3 4 2" xfId="12373"/>
    <cellStyle name="Input 2 2 2 2 2 3 4 2 2" xfId="26695"/>
    <cellStyle name="Input 2 2 2 2 2 3 4 3" xfId="18018"/>
    <cellStyle name="Input 2 2 2 2 2 3 5" xfId="4472"/>
    <cellStyle name="Input 2 2 2 2 2 3 5 2" xfId="22971"/>
    <cellStyle name="Input 2 2 2 2 2 3 6" xfId="15156"/>
    <cellStyle name="Input 2 2 2 2 2 4" xfId="553"/>
    <cellStyle name="Input 2 2 2 2 2 4 2" xfId="6528"/>
    <cellStyle name="Input 2 2 2 2 2 4 2 2" xfId="13116"/>
    <cellStyle name="Input 2 2 2 2 2 4 2 2 2" xfId="27438"/>
    <cellStyle name="Input 2 2 2 2 2 4 2 3" xfId="18761"/>
    <cellStyle name="Input 2 2 2 2 2 4 3" xfId="7073"/>
    <cellStyle name="Input 2 2 2 2 2 4 3 2" xfId="9687"/>
    <cellStyle name="Input 2 2 2 2 2 4 3 2 2" xfId="15949"/>
    <cellStyle name="Input 2 2 2 2 2 4 3 2 2 2" xfId="29365"/>
    <cellStyle name="Input 2 2 2 2 2 4 3 2 3" xfId="20694"/>
    <cellStyle name="Input 2 2 2 2 2 4 3 3" xfId="13677"/>
    <cellStyle name="Input 2 2 2 2 2 4 3 3 2" xfId="27999"/>
    <cellStyle name="Input 2 2 2 2 2 4 3 4" xfId="19322"/>
    <cellStyle name="Input 2 2 2 2 2 4 4" xfId="2799"/>
    <cellStyle name="Input 2 2 2 2 2 4 4 2" xfId="22365"/>
    <cellStyle name="Input 2 2 2 2 2 4 5" xfId="15164"/>
    <cellStyle name="Input 2 2 2 2 2 5" xfId="554"/>
    <cellStyle name="Input 2 2 2 2 2 5 2" xfId="5334"/>
    <cellStyle name="Input 2 2 2 2 2 5 2 2" xfId="9643"/>
    <cellStyle name="Input 2 2 2 2 2 5 2 2 2" xfId="15905"/>
    <cellStyle name="Input 2 2 2 2 2 5 2 2 2 2" xfId="29321"/>
    <cellStyle name="Input 2 2 2 2 2 5 2 2 3" xfId="20650"/>
    <cellStyle name="Input 2 2 2 2 2 5 2 3" xfId="11884"/>
    <cellStyle name="Input 2 2 2 2 2 5 2 3 2" xfId="26206"/>
    <cellStyle name="Input 2 2 2 2 2 5 2 4" xfId="17529"/>
    <cellStyle name="Input 2 2 2 2 2 5 3" xfId="12892"/>
    <cellStyle name="Input 2 2 2 2 2 5 3 2" xfId="27214"/>
    <cellStyle name="Input 2 2 2 2 2 5 4" xfId="18537"/>
    <cellStyle name="Input 2 2 2 2 2 6" xfId="5510"/>
    <cellStyle name="Input 2 2 2 2 2 6 2" xfId="12061"/>
    <cellStyle name="Input 2 2 2 2 2 6 2 2" xfId="26383"/>
    <cellStyle name="Input 2 2 2 2 2 6 3" xfId="17706"/>
    <cellStyle name="Input 2 2 2 2 2 7" xfId="3730"/>
    <cellStyle name="Input 2 2 2 2 2 7 2" xfId="22551"/>
    <cellStyle name="Input 2 2 2 2 2 8" xfId="14922"/>
    <cellStyle name="Input 2 2 2 2 3" xfId="555"/>
    <cellStyle name="Input 2 2 2 2 3 2" xfId="556"/>
    <cellStyle name="Input 2 2 2 2 3 2 2" xfId="557"/>
    <cellStyle name="Input 2 2 2 2 3 2 2 2" xfId="6436"/>
    <cellStyle name="Input 2 2 2 2 3 2 2 2 2" xfId="13019"/>
    <cellStyle name="Input 2 2 2 2 3 2 2 2 2 2" xfId="27341"/>
    <cellStyle name="Input 2 2 2 2 3 2 2 2 3" xfId="18664"/>
    <cellStyle name="Input 2 2 2 2 3 2 2 3" xfId="7043"/>
    <cellStyle name="Input 2 2 2 2 3 2 2 3 2" xfId="9657"/>
    <cellStyle name="Input 2 2 2 2 3 2 2 3 2 2" xfId="15919"/>
    <cellStyle name="Input 2 2 2 2 3 2 2 3 2 2 2" xfId="29335"/>
    <cellStyle name="Input 2 2 2 2 3 2 2 3 2 3" xfId="20664"/>
    <cellStyle name="Input 2 2 2 2 3 2 2 3 3" xfId="13647"/>
    <cellStyle name="Input 2 2 2 2 3 2 2 3 3 2" xfId="27969"/>
    <cellStyle name="Input 2 2 2 2 3 2 2 3 4" xfId="19292"/>
    <cellStyle name="Input 2 2 2 2 3 2 2 4" xfId="5015"/>
    <cellStyle name="Input 2 2 2 2 3 2 2 4 2" xfId="23307"/>
    <cellStyle name="Input 2 2 2 2 3 2 2 5" xfId="17125"/>
    <cellStyle name="Input 2 2 2 2 3 2 3" xfId="558"/>
    <cellStyle name="Input 2 2 2 2 3 2 3 2" xfId="7538"/>
    <cellStyle name="Input 2 2 2 2 3 2 3 2 2" xfId="10152"/>
    <cellStyle name="Input 2 2 2 2 3 2 3 2 2 2" xfId="16414"/>
    <cellStyle name="Input 2 2 2 2 3 2 3 2 2 2 2" xfId="29830"/>
    <cellStyle name="Input 2 2 2 2 3 2 3 2 2 3" xfId="21159"/>
    <cellStyle name="Input 2 2 2 2 3 2 3 2 3" xfId="14142"/>
    <cellStyle name="Input 2 2 2 2 3 2 3 2 3 2" xfId="28464"/>
    <cellStyle name="Input 2 2 2 2 3 2 3 2 4" xfId="19787"/>
    <cellStyle name="Input 2 2 2 2 3 2 3 3" xfId="13352"/>
    <cellStyle name="Input 2 2 2 2 3 2 3 3 2" xfId="27674"/>
    <cellStyle name="Input 2 2 2 2 3 2 3 4" xfId="18997"/>
    <cellStyle name="Input 2 2 2 2 3 2 4" xfId="5802"/>
    <cellStyle name="Input 2 2 2 2 3 2 4 2" xfId="12355"/>
    <cellStyle name="Input 2 2 2 2 3 2 4 2 2" xfId="26677"/>
    <cellStyle name="Input 2 2 2 2 3 2 4 3" xfId="18000"/>
    <cellStyle name="Input 2 2 2 2 3 2 5" xfId="3942"/>
    <cellStyle name="Input 2 2 2 2 3 2 5 2" xfId="22658"/>
    <cellStyle name="Input 2 2 2 2 3 2 6" xfId="3972"/>
    <cellStyle name="Input 2 2 2 2 3 3" xfId="559"/>
    <cellStyle name="Input 2 2 2 2 3 3 2" xfId="560"/>
    <cellStyle name="Input 2 2 2 2 3 3 2 2" xfId="6921"/>
    <cellStyle name="Input 2 2 2 2 3 3 2 2 2" xfId="13525"/>
    <cellStyle name="Input 2 2 2 2 3 3 2 2 2 2" xfId="27847"/>
    <cellStyle name="Input 2 2 2 2 3 3 2 2 3" xfId="19170"/>
    <cellStyle name="Input 2 2 2 2 3 3 2 3" xfId="7391"/>
    <cellStyle name="Input 2 2 2 2 3 3 2 3 2" xfId="10005"/>
    <cellStyle name="Input 2 2 2 2 3 3 2 3 2 2" xfId="16267"/>
    <cellStyle name="Input 2 2 2 2 3 3 2 3 2 2 2" xfId="29683"/>
    <cellStyle name="Input 2 2 2 2 3 3 2 3 2 3" xfId="21012"/>
    <cellStyle name="Input 2 2 2 2 3 3 2 3 3" xfId="13995"/>
    <cellStyle name="Input 2 2 2 2 3 3 2 3 3 2" xfId="28317"/>
    <cellStyle name="Input 2 2 2 2 3 3 2 3 4" xfId="19640"/>
    <cellStyle name="Input 2 2 2 2 3 3 2 4" xfId="11409"/>
    <cellStyle name="Input 2 2 2 2 3 3 2 4 2" xfId="25731"/>
    <cellStyle name="Input 2 2 2 2 3 3 2 5" xfId="17286"/>
    <cellStyle name="Input 2 2 2 2 3 3 3" xfId="561"/>
    <cellStyle name="Input 2 2 2 2 3 3 3 2" xfId="7339"/>
    <cellStyle name="Input 2 2 2 2 3 3 3 2 2" xfId="9953"/>
    <cellStyle name="Input 2 2 2 2 3 3 3 2 2 2" xfId="16215"/>
    <cellStyle name="Input 2 2 2 2 3 3 3 2 2 2 2" xfId="29631"/>
    <cellStyle name="Input 2 2 2 2 3 3 3 2 2 3" xfId="20960"/>
    <cellStyle name="Input 2 2 2 2 3 3 3 2 3" xfId="13943"/>
    <cellStyle name="Input 2 2 2 2 3 3 3 2 3 2" xfId="28265"/>
    <cellStyle name="Input 2 2 2 2 3 3 3 2 4" xfId="19588"/>
    <cellStyle name="Input 2 2 2 2 3 3 3 3" xfId="13196"/>
    <cellStyle name="Input 2 2 2 2 3 3 3 3 2" xfId="27518"/>
    <cellStyle name="Input 2 2 2 2 3 3 3 4" xfId="18841"/>
    <cellStyle name="Input 2 2 2 2 3 3 4" xfId="5633"/>
    <cellStyle name="Input 2 2 2 2 3 3 4 2" xfId="12186"/>
    <cellStyle name="Input 2 2 2 2 3 3 4 2 2" xfId="26508"/>
    <cellStyle name="Input 2 2 2 2 3 3 4 3" xfId="17831"/>
    <cellStyle name="Input 2 2 2 2 3 3 5" xfId="5940"/>
    <cellStyle name="Input 2 2 2 2 3 3 5 2" xfId="23378"/>
    <cellStyle name="Input 2 2 2 2 3 3 6" xfId="2844"/>
    <cellStyle name="Input 2 2 2 2 3 4" xfId="562"/>
    <cellStyle name="Input 2 2 2 2 3 4 2" xfId="5636"/>
    <cellStyle name="Input 2 2 2 2 3 4 2 2" xfId="12189"/>
    <cellStyle name="Input 2 2 2 2 3 4 2 2 2" xfId="26511"/>
    <cellStyle name="Input 2 2 2 2 3 4 2 3" xfId="17834"/>
    <cellStyle name="Input 2 2 2 2 3 4 3" xfId="7804"/>
    <cellStyle name="Input 2 2 2 2 3 4 3 2" xfId="10418"/>
    <cellStyle name="Input 2 2 2 2 3 4 3 2 2" xfId="16680"/>
    <cellStyle name="Input 2 2 2 2 3 4 3 2 2 2" xfId="30096"/>
    <cellStyle name="Input 2 2 2 2 3 4 3 2 3" xfId="21425"/>
    <cellStyle name="Input 2 2 2 2 3 4 3 3" xfId="14408"/>
    <cellStyle name="Input 2 2 2 2 3 4 3 3 2" xfId="28730"/>
    <cellStyle name="Input 2 2 2 2 3 4 3 4" xfId="20053"/>
    <cellStyle name="Input 2 2 2 2 3 4 4" xfId="3879"/>
    <cellStyle name="Input 2 2 2 2 3 4 4 2" xfId="22623"/>
    <cellStyle name="Input 2 2 2 2 3 4 5" xfId="6255"/>
    <cellStyle name="Input 2 2 2 2 3 5" xfId="563"/>
    <cellStyle name="Input 2 2 2 2 3 5 2" xfId="7561"/>
    <cellStyle name="Input 2 2 2 2 3 5 2 2" xfId="10175"/>
    <cellStyle name="Input 2 2 2 2 3 5 2 2 2" xfId="16437"/>
    <cellStyle name="Input 2 2 2 2 3 5 2 2 2 2" xfId="29853"/>
    <cellStyle name="Input 2 2 2 2 3 5 2 2 3" xfId="21182"/>
    <cellStyle name="Input 2 2 2 2 3 5 2 3" xfId="14165"/>
    <cellStyle name="Input 2 2 2 2 3 5 2 3 2" xfId="28487"/>
    <cellStyle name="Input 2 2 2 2 3 5 2 4" xfId="19810"/>
    <cellStyle name="Input 2 2 2 2 3 5 3" xfId="12928"/>
    <cellStyle name="Input 2 2 2 2 3 5 3 2" xfId="27250"/>
    <cellStyle name="Input 2 2 2 2 3 5 4" xfId="18573"/>
    <cellStyle name="Input 2 2 2 2 3 6" xfId="5552"/>
    <cellStyle name="Input 2 2 2 2 3 6 2" xfId="12103"/>
    <cellStyle name="Input 2 2 2 2 3 6 2 2" xfId="26425"/>
    <cellStyle name="Input 2 2 2 2 3 6 3" xfId="17748"/>
    <cellStyle name="Input 2 2 2 2 3 7" xfId="3156"/>
    <cellStyle name="Input 2 2 2 2 3 7 2" xfId="22424"/>
    <cellStyle name="Input 2 2 2 2 3 8" xfId="15477"/>
    <cellStyle name="Input 2 2 2 2 4" xfId="564"/>
    <cellStyle name="Input 2 2 2 2 4 2" xfId="565"/>
    <cellStyle name="Input 2 2 2 2 4 2 2" xfId="566"/>
    <cellStyle name="Input 2 2 2 2 4 2 2 2" xfId="6421"/>
    <cellStyle name="Input 2 2 2 2 4 2 2 2 2" xfId="13004"/>
    <cellStyle name="Input 2 2 2 2 4 2 2 2 2 2" xfId="27326"/>
    <cellStyle name="Input 2 2 2 2 4 2 2 2 3" xfId="18649"/>
    <cellStyle name="Input 2 2 2 2 4 2 2 3" xfId="7691"/>
    <cellStyle name="Input 2 2 2 2 4 2 2 3 2" xfId="10305"/>
    <cellStyle name="Input 2 2 2 2 4 2 2 3 2 2" xfId="16567"/>
    <cellStyle name="Input 2 2 2 2 4 2 2 3 2 2 2" xfId="29983"/>
    <cellStyle name="Input 2 2 2 2 4 2 2 3 2 3" xfId="21312"/>
    <cellStyle name="Input 2 2 2 2 4 2 2 3 3" xfId="14295"/>
    <cellStyle name="Input 2 2 2 2 4 2 2 3 3 2" xfId="28617"/>
    <cellStyle name="Input 2 2 2 2 4 2 2 3 4" xfId="19940"/>
    <cellStyle name="Input 2 2 2 2 4 2 2 4" xfId="3919"/>
    <cellStyle name="Input 2 2 2 2 4 2 2 4 2" xfId="22646"/>
    <cellStyle name="Input 2 2 2 2 4 2 2 5" xfId="15316"/>
    <cellStyle name="Input 2 2 2 2 4 2 3" xfId="567"/>
    <cellStyle name="Input 2 2 2 2 4 2 3 2" xfId="7246"/>
    <cellStyle name="Input 2 2 2 2 4 2 3 2 2" xfId="9860"/>
    <cellStyle name="Input 2 2 2 2 4 2 3 2 2 2" xfId="16122"/>
    <cellStyle name="Input 2 2 2 2 4 2 3 2 2 2 2" xfId="29538"/>
    <cellStyle name="Input 2 2 2 2 4 2 3 2 2 3" xfId="20867"/>
    <cellStyle name="Input 2 2 2 2 4 2 3 2 3" xfId="13850"/>
    <cellStyle name="Input 2 2 2 2 4 2 3 2 3 2" xfId="28172"/>
    <cellStyle name="Input 2 2 2 2 4 2 3 2 4" xfId="19495"/>
    <cellStyle name="Input 2 2 2 2 4 2 3 3" xfId="13236"/>
    <cellStyle name="Input 2 2 2 2 4 2 3 3 2" xfId="27558"/>
    <cellStyle name="Input 2 2 2 2 4 2 3 4" xfId="18881"/>
    <cellStyle name="Input 2 2 2 2 4 2 4" xfId="5677"/>
    <cellStyle name="Input 2 2 2 2 4 2 4 2" xfId="12230"/>
    <cellStyle name="Input 2 2 2 2 4 2 4 2 2" xfId="26552"/>
    <cellStyle name="Input 2 2 2 2 4 2 4 3" xfId="17875"/>
    <cellStyle name="Input 2 2 2 2 4 2 5" xfId="6225"/>
    <cellStyle name="Input 2 2 2 2 4 2 5 2" xfId="23463"/>
    <cellStyle name="Input 2 2 2 2 4 2 6" xfId="15110"/>
    <cellStyle name="Input 2 2 2 2 4 3" xfId="568"/>
    <cellStyle name="Input 2 2 2 2 4 3 2" xfId="569"/>
    <cellStyle name="Input 2 2 2 2 4 3 2 2" xfId="6395"/>
    <cellStyle name="Input 2 2 2 2 4 3 2 2 2" xfId="12978"/>
    <cellStyle name="Input 2 2 2 2 4 3 2 2 2 2" xfId="27300"/>
    <cellStyle name="Input 2 2 2 2 4 3 2 2 3" xfId="18623"/>
    <cellStyle name="Input 2 2 2 2 4 3 2 3" xfId="7087"/>
    <cellStyle name="Input 2 2 2 2 4 3 2 3 2" xfId="9701"/>
    <cellStyle name="Input 2 2 2 2 4 3 2 3 2 2" xfId="15963"/>
    <cellStyle name="Input 2 2 2 2 4 3 2 3 2 2 2" xfId="29379"/>
    <cellStyle name="Input 2 2 2 2 4 3 2 3 2 3" xfId="20708"/>
    <cellStyle name="Input 2 2 2 2 4 3 2 3 3" xfId="13691"/>
    <cellStyle name="Input 2 2 2 2 4 3 2 3 3 2" xfId="28013"/>
    <cellStyle name="Input 2 2 2 2 4 3 2 3 4" xfId="19336"/>
    <cellStyle name="Input 2 2 2 2 4 3 2 4" xfId="3018"/>
    <cellStyle name="Input 2 2 2 2 4 3 2 4 2" xfId="22409"/>
    <cellStyle name="Input 2 2 2 2 4 3 2 5" xfId="15153"/>
    <cellStyle name="Input 2 2 2 2 4 3 3" xfId="570"/>
    <cellStyle name="Input 2 2 2 2 4 3 3 2" xfId="3690"/>
    <cellStyle name="Input 2 2 2 2 4 3 3 2 2" xfId="9361"/>
    <cellStyle name="Input 2 2 2 2 4 3 3 2 2 2" xfId="15623"/>
    <cellStyle name="Input 2 2 2 2 4 3 3 2 2 2 2" xfId="29039"/>
    <cellStyle name="Input 2 2 2 2 4 3 3 2 2 3" xfId="20368"/>
    <cellStyle name="Input 2 2 2 2 4 3 3 2 3" xfId="5415"/>
    <cellStyle name="Input 2 2 2 2 4 3 3 2 3 2" xfId="23344"/>
    <cellStyle name="Input 2 2 2 2 4 3 3 2 4" xfId="6823"/>
    <cellStyle name="Input 2 2 2 2 4 3 3 3" xfId="13186"/>
    <cellStyle name="Input 2 2 2 2 4 3 3 3 2" xfId="27508"/>
    <cellStyle name="Input 2 2 2 2 4 3 3 4" xfId="18831"/>
    <cellStyle name="Input 2 2 2 2 4 3 4" xfId="5622"/>
    <cellStyle name="Input 2 2 2 2 4 3 4 2" xfId="12175"/>
    <cellStyle name="Input 2 2 2 2 4 3 4 2 2" xfId="26497"/>
    <cellStyle name="Input 2 2 2 2 4 3 4 3" xfId="17820"/>
    <cellStyle name="Input 2 2 2 2 4 3 5" xfId="4300"/>
    <cellStyle name="Input 2 2 2 2 4 3 5 2" xfId="22879"/>
    <cellStyle name="Input 2 2 2 2 4 3 6" xfId="14940"/>
    <cellStyle name="Input 2 2 2 2 4 4" xfId="571"/>
    <cellStyle name="Input 2 2 2 2 4 4 2" xfId="6890"/>
    <cellStyle name="Input 2 2 2 2 4 4 2 2" xfId="13494"/>
    <cellStyle name="Input 2 2 2 2 4 4 2 2 2" xfId="27816"/>
    <cellStyle name="Input 2 2 2 2 4 4 2 3" xfId="19139"/>
    <cellStyle name="Input 2 2 2 2 4 4 3" xfId="7568"/>
    <cellStyle name="Input 2 2 2 2 4 4 3 2" xfId="10182"/>
    <cellStyle name="Input 2 2 2 2 4 4 3 2 2" xfId="16444"/>
    <cellStyle name="Input 2 2 2 2 4 4 3 2 2 2" xfId="29860"/>
    <cellStyle name="Input 2 2 2 2 4 4 3 2 3" xfId="21189"/>
    <cellStyle name="Input 2 2 2 2 4 4 3 3" xfId="14172"/>
    <cellStyle name="Input 2 2 2 2 4 4 3 3 2" xfId="28494"/>
    <cellStyle name="Input 2 2 2 2 4 4 3 4" xfId="19817"/>
    <cellStyle name="Input 2 2 2 2 4 4 4" xfId="11366"/>
    <cellStyle name="Input 2 2 2 2 4 4 4 2" xfId="25688"/>
    <cellStyle name="Input 2 2 2 2 4 4 5" xfId="6710"/>
    <cellStyle name="Input 2 2 2 2 4 5" xfId="572"/>
    <cellStyle name="Input 2 2 2 2 4 5 2" xfId="7161"/>
    <cellStyle name="Input 2 2 2 2 4 5 2 2" xfId="9775"/>
    <cellStyle name="Input 2 2 2 2 4 5 2 2 2" xfId="16037"/>
    <cellStyle name="Input 2 2 2 2 4 5 2 2 2 2" xfId="29453"/>
    <cellStyle name="Input 2 2 2 2 4 5 2 2 3" xfId="20782"/>
    <cellStyle name="Input 2 2 2 2 4 5 2 3" xfId="13765"/>
    <cellStyle name="Input 2 2 2 2 4 5 2 3 2" xfId="28087"/>
    <cellStyle name="Input 2 2 2 2 4 5 2 4" xfId="19410"/>
    <cellStyle name="Input 2 2 2 2 4 5 3" xfId="12675"/>
    <cellStyle name="Input 2 2 2 2 4 5 3 2" xfId="26997"/>
    <cellStyle name="Input 2 2 2 2 4 5 4" xfId="18320"/>
    <cellStyle name="Input 2 2 2 2 4 6" xfId="5102"/>
    <cellStyle name="Input 2 2 2 2 4 6 2" xfId="11649"/>
    <cellStyle name="Input 2 2 2 2 4 6 2 2" xfId="25971"/>
    <cellStyle name="Input 2 2 2 2 4 6 3" xfId="15594"/>
    <cellStyle name="Input 2 2 2 2 4 7" xfId="4716"/>
    <cellStyle name="Input 2 2 2 2 4 7 2" xfId="23146"/>
    <cellStyle name="Input 2 2 2 2 4 8" xfId="4601"/>
    <cellStyle name="Input 2 2 2 2 5" xfId="573"/>
    <cellStyle name="Input 2 2 2 2 5 2" xfId="574"/>
    <cellStyle name="Input 2 2 2 2 5 2 2" xfId="575"/>
    <cellStyle name="Input 2 2 2 2 5 2 2 2" xfId="6176"/>
    <cellStyle name="Input 2 2 2 2 5 2 2 2 2" xfId="12749"/>
    <cellStyle name="Input 2 2 2 2 5 2 2 2 2 2" xfId="27071"/>
    <cellStyle name="Input 2 2 2 2 5 2 2 2 3" xfId="18394"/>
    <cellStyle name="Input 2 2 2 2 5 2 2 3" xfId="3893"/>
    <cellStyle name="Input 2 2 2 2 5 2 2 3 2" xfId="9389"/>
    <cellStyle name="Input 2 2 2 2 5 2 2 3 2 2" xfId="15651"/>
    <cellStyle name="Input 2 2 2 2 5 2 2 3 2 2 2" xfId="29067"/>
    <cellStyle name="Input 2 2 2 2 5 2 2 3 2 3" xfId="20396"/>
    <cellStyle name="Input 2 2 2 2 5 2 2 3 3" xfId="4391"/>
    <cellStyle name="Input 2 2 2 2 5 2 2 3 3 2" xfId="22923"/>
    <cellStyle name="Input 2 2 2 2 5 2 2 3 4" xfId="15022"/>
    <cellStyle name="Input 2 2 2 2 5 2 2 4" xfId="5904"/>
    <cellStyle name="Input 2 2 2 2 5 2 2 4 2" xfId="23369"/>
    <cellStyle name="Input 2 2 2 2 5 2 2 5" xfId="14729"/>
    <cellStyle name="Input 2 2 2 2 5 2 3" xfId="576"/>
    <cellStyle name="Input 2 2 2 2 5 2 3 2" xfId="7353"/>
    <cellStyle name="Input 2 2 2 2 5 2 3 2 2" xfId="9967"/>
    <cellStyle name="Input 2 2 2 2 5 2 3 2 2 2" xfId="16229"/>
    <cellStyle name="Input 2 2 2 2 5 2 3 2 2 2 2" xfId="29645"/>
    <cellStyle name="Input 2 2 2 2 5 2 3 2 2 3" xfId="20974"/>
    <cellStyle name="Input 2 2 2 2 5 2 3 2 3" xfId="13957"/>
    <cellStyle name="Input 2 2 2 2 5 2 3 2 3 2" xfId="28279"/>
    <cellStyle name="Input 2 2 2 2 5 2 3 2 4" xfId="19602"/>
    <cellStyle name="Input 2 2 2 2 5 2 3 3" xfId="12737"/>
    <cellStyle name="Input 2 2 2 2 5 2 3 3 2" xfId="27059"/>
    <cellStyle name="Input 2 2 2 2 5 2 3 4" xfId="18382"/>
    <cellStyle name="Input 2 2 2 2 5 2 4" xfId="5119"/>
    <cellStyle name="Input 2 2 2 2 5 2 4 2" xfId="11667"/>
    <cellStyle name="Input 2 2 2 2 5 2 4 2 2" xfId="25989"/>
    <cellStyle name="Input 2 2 2 2 5 2 4 3" xfId="15335"/>
    <cellStyle name="Input 2 2 2 2 5 2 5" xfId="5581"/>
    <cellStyle name="Input 2 2 2 2 5 2 5 2" xfId="23353"/>
    <cellStyle name="Input 2 2 2 2 5 2 6" xfId="15325"/>
    <cellStyle name="Input 2 2 2 2 5 3" xfId="577"/>
    <cellStyle name="Input 2 2 2 2 5 3 2" xfId="5960"/>
    <cellStyle name="Input 2 2 2 2 5 3 2 2" xfId="12518"/>
    <cellStyle name="Input 2 2 2 2 5 3 2 2 2" xfId="26840"/>
    <cellStyle name="Input 2 2 2 2 5 3 2 3" xfId="18163"/>
    <cellStyle name="Input 2 2 2 2 5 3 3" xfId="7641"/>
    <cellStyle name="Input 2 2 2 2 5 3 3 2" xfId="10255"/>
    <cellStyle name="Input 2 2 2 2 5 3 3 2 2" xfId="16517"/>
    <cellStyle name="Input 2 2 2 2 5 3 3 2 2 2" xfId="29933"/>
    <cellStyle name="Input 2 2 2 2 5 3 3 2 3" xfId="21262"/>
    <cellStyle name="Input 2 2 2 2 5 3 3 3" xfId="14245"/>
    <cellStyle name="Input 2 2 2 2 5 3 3 3 2" xfId="28567"/>
    <cellStyle name="Input 2 2 2 2 5 3 3 4" xfId="19890"/>
    <cellStyle name="Input 2 2 2 2 5 3 4" xfId="6584"/>
    <cellStyle name="Input 2 2 2 2 5 3 4 2" xfId="23590"/>
    <cellStyle name="Input 2 2 2 2 5 3 5" xfId="2843"/>
    <cellStyle name="Input 2 2 2 2 5 4" xfId="578"/>
    <cellStyle name="Input 2 2 2 2 5 4 2" xfId="8041"/>
    <cellStyle name="Input 2 2 2 2 5 4 2 2" xfId="10655"/>
    <cellStyle name="Input 2 2 2 2 5 4 2 2 2" xfId="16917"/>
    <cellStyle name="Input 2 2 2 2 5 4 2 2 2 2" xfId="30333"/>
    <cellStyle name="Input 2 2 2 2 5 4 2 2 3" xfId="21662"/>
    <cellStyle name="Input 2 2 2 2 5 4 2 3" xfId="14645"/>
    <cellStyle name="Input 2 2 2 2 5 4 2 3 2" xfId="28967"/>
    <cellStyle name="Input 2 2 2 2 5 4 2 4" xfId="20290"/>
    <cellStyle name="Input 2 2 2 2 5 4 3" xfId="11606"/>
    <cellStyle name="Input 2 2 2 2 5 4 3 2" xfId="25928"/>
    <cellStyle name="Input 2 2 2 2 5 4 4" xfId="15575"/>
    <cellStyle name="Input 2 2 2 2 5 5" xfId="4819"/>
    <cellStyle name="Input 2 2 2 2 5 5 2" xfId="11351"/>
    <cellStyle name="Input 2 2 2 2 5 5 2 2" xfId="25673"/>
    <cellStyle name="Input 2 2 2 2 5 5 3" xfId="3186"/>
    <cellStyle name="Input 2 2 2 2 5 6" xfId="4173"/>
    <cellStyle name="Input 2 2 2 2 5 6 2" xfId="22796"/>
    <cellStyle name="Input 2 2 2 2 5 7" xfId="4263"/>
    <cellStyle name="Input 2 2 2 2 6" xfId="579"/>
    <cellStyle name="Input 2 2 2 2 6 2" xfId="580"/>
    <cellStyle name="Input 2 2 2 2 6 2 2" xfId="6377"/>
    <cellStyle name="Input 2 2 2 2 6 2 2 2" xfId="12960"/>
    <cellStyle name="Input 2 2 2 2 6 2 2 2 2" xfId="27282"/>
    <cellStyle name="Input 2 2 2 2 6 2 2 3" xfId="18605"/>
    <cellStyle name="Input 2 2 2 2 6 2 3" xfId="7431"/>
    <cellStyle name="Input 2 2 2 2 6 2 3 2" xfId="10045"/>
    <cellStyle name="Input 2 2 2 2 6 2 3 2 2" xfId="16307"/>
    <cellStyle name="Input 2 2 2 2 6 2 3 2 2 2" xfId="29723"/>
    <cellStyle name="Input 2 2 2 2 6 2 3 2 3" xfId="21052"/>
    <cellStyle name="Input 2 2 2 2 6 2 3 3" xfId="14035"/>
    <cellStyle name="Input 2 2 2 2 6 2 3 3 2" xfId="28357"/>
    <cellStyle name="Input 2 2 2 2 6 2 3 4" xfId="19680"/>
    <cellStyle name="Input 2 2 2 2 6 2 4" xfId="4567"/>
    <cellStyle name="Input 2 2 2 2 6 2 4 2" xfId="23035"/>
    <cellStyle name="Input 2 2 2 2 6 2 5" xfId="14809"/>
    <cellStyle name="Input 2 2 2 2 6 3" xfId="581"/>
    <cellStyle name="Input 2 2 2 2 6 3 2" xfId="4108"/>
    <cellStyle name="Input 2 2 2 2 6 3 2 2" xfId="9427"/>
    <cellStyle name="Input 2 2 2 2 6 3 2 2 2" xfId="15689"/>
    <cellStyle name="Input 2 2 2 2 6 3 2 2 2 2" xfId="29105"/>
    <cellStyle name="Input 2 2 2 2 6 3 2 2 3" xfId="20434"/>
    <cellStyle name="Input 2 2 2 2 6 3 2 3" xfId="6343"/>
    <cellStyle name="Input 2 2 2 2 6 3 2 3 2" xfId="23529"/>
    <cellStyle name="Input 2 2 2 2 6 3 2 4" xfId="3831"/>
    <cellStyle name="Input 2 2 2 2 6 3 3" xfId="13057"/>
    <cellStyle name="Input 2 2 2 2 6 3 3 2" xfId="27379"/>
    <cellStyle name="Input 2 2 2 2 6 3 4" xfId="18702"/>
    <cellStyle name="Input 2 2 2 2 6 4" xfId="5387"/>
    <cellStyle name="Input 2 2 2 2 6 4 2" xfId="11937"/>
    <cellStyle name="Input 2 2 2 2 6 4 2 2" xfId="26259"/>
    <cellStyle name="Input 2 2 2 2 6 4 3" xfId="17582"/>
    <cellStyle name="Input 2 2 2 2 6 5" xfId="4245"/>
    <cellStyle name="Input 2 2 2 2 6 5 2" xfId="22850"/>
    <cellStyle name="Input 2 2 2 2 6 6" xfId="6796"/>
    <cellStyle name="Input 2 2 2 2 7" xfId="582"/>
    <cellStyle name="Input 2 2 2 2 7 2" xfId="6929"/>
    <cellStyle name="Input 2 2 2 2 7 2 2" xfId="13533"/>
    <cellStyle name="Input 2 2 2 2 7 2 2 2" xfId="27855"/>
    <cellStyle name="Input 2 2 2 2 7 2 3" xfId="19178"/>
    <cellStyle name="Input 2 2 2 2 7 3" xfId="7189"/>
    <cellStyle name="Input 2 2 2 2 7 3 2" xfId="9803"/>
    <cellStyle name="Input 2 2 2 2 7 3 2 2" xfId="16065"/>
    <cellStyle name="Input 2 2 2 2 7 3 2 2 2" xfId="29481"/>
    <cellStyle name="Input 2 2 2 2 7 3 2 3" xfId="20810"/>
    <cellStyle name="Input 2 2 2 2 7 3 3" xfId="13793"/>
    <cellStyle name="Input 2 2 2 2 7 3 3 2" xfId="28115"/>
    <cellStyle name="Input 2 2 2 2 7 3 4" xfId="19438"/>
    <cellStyle name="Input 2 2 2 2 7 4" xfId="11422"/>
    <cellStyle name="Input 2 2 2 2 7 4 2" xfId="25744"/>
    <cellStyle name="Input 2 2 2 2 7 5" xfId="14894"/>
    <cellStyle name="Input 2 2 2 2 8" xfId="583"/>
    <cellStyle name="Input 2 2 2 2 8 2" xfId="7202"/>
    <cellStyle name="Input 2 2 2 2 8 2 2" xfId="9816"/>
    <cellStyle name="Input 2 2 2 2 8 2 2 2" xfId="16078"/>
    <cellStyle name="Input 2 2 2 2 8 2 2 2 2" xfId="29494"/>
    <cellStyle name="Input 2 2 2 2 8 2 2 3" xfId="20823"/>
    <cellStyle name="Input 2 2 2 2 8 2 3" xfId="13806"/>
    <cellStyle name="Input 2 2 2 2 8 2 3 2" xfId="28128"/>
    <cellStyle name="Input 2 2 2 2 8 2 4" xfId="19451"/>
    <cellStyle name="Input 2 2 2 2 8 3" xfId="12756"/>
    <cellStyle name="Input 2 2 2 2 8 3 2" xfId="27078"/>
    <cellStyle name="Input 2 2 2 2 8 4" xfId="18401"/>
    <cellStyle name="Input 2 2 2 2 9" xfId="5467"/>
    <cellStyle name="Input 2 2 2 2 9 2" xfId="12018"/>
    <cellStyle name="Input 2 2 2 2 9 2 2" xfId="26340"/>
    <cellStyle name="Input 2 2 2 2 9 3" xfId="17663"/>
    <cellStyle name="Input 2 2 2 3" xfId="584"/>
    <cellStyle name="Input 2 2 2 3 2" xfId="585"/>
    <cellStyle name="Input 2 2 2 3 2 2" xfId="586"/>
    <cellStyle name="Input 2 2 2 3 2 2 2" xfId="6408"/>
    <cellStyle name="Input 2 2 2 3 2 2 2 2" xfId="12991"/>
    <cellStyle name="Input 2 2 2 3 2 2 2 2 2" xfId="27313"/>
    <cellStyle name="Input 2 2 2 3 2 2 2 3" xfId="18636"/>
    <cellStyle name="Input 2 2 2 3 2 2 3" xfId="4504"/>
    <cellStyle name="Input 2 2 2 3 2 2 3 2" xfId="9472"/>
    <cellStyle name="Input 2 2 2 3 2 2 3 2 2" xfId="15734"/>
    <cellStyle name="Input 2 2 2 3 2 2 3 2 2 2" xfId="29150"/>
    <cellStyle name="Input 2 2 2 3 2 2 3 2 3" xfId="20479"/>
    <cellStyle name="Input 2 2 2 3 2 2 3 3" xfId="4135"/>
    <cellStyle name="Input 2 2 2 3 2 2 3 3 2" xfId="22774"/>
    <cellStyle name="Input 2 2 2 3 2 2 3 4" xfId="17319"/>
    <cellStyle name="Input 2 2 2 3 2 2 4" xfId="6451"/>
    <cellStyle name="Input 2 2 2 3 2 2 4 2" xfId="23550"/>
    <cellStyle name="Input 2 2 2 3 2 2 5" xfId="3615"/>
    <cellStyle name="Input 2 2 2 3 2 3" xfId="587"/>
    <cellStyle name="Input 2 2 2 3 2 3 2" xfId="7470"/>
    <cellStyle name="Input 2 2 2 3 2 3 2 2" xfId="10084"/>
    <cellStyle name="Input 2 2 2 3 2 3 2 2 2" xfId="16346"/>
    <cellStyle name="Input 2 2 2 3 2 3 2 2 2 2" xfId="29762"/>
    <cellStyle name="Input 2 2 2 3 2 3 2 2 3" xfId="21091"/>
    <cellStyle name="Input 2 2 2 3 2 3 2 3" xfId="14074"/>
    <cellStyle name="Input 2 2 2 3 2 3 2 3 2" xfId="28396"/>
    <cellStyle name="Input 2 2 2 3 2 3 2 4" xfId="19719"/>
    <cellStyle name="Input 2 2 2 3 2 3 3" xfId="13293"/>
    <cellStyle name="Input 2 2 2 3 2 3 3 2" xfId="27615"/>
    <cellStyle name="Input 2 2 2 3 2 3 4" xfId="18938"/>
    <cellStyle name="Input 2 2 2 3 2 4" xfId="5743"/>
    <cellStyle name="Input 2 2 2 3 2 4 2" xfId="12296"/>
    <cellStyle name="Input 2 2 2 3 2 4 2 2" xfId="26618"/>
    <cellStyle name="Input 2 2 2 3 2 4 3" xfId="17941"/>
    <cellStyle name="Input 2 2 2 3 2 5" xfId="4615"/>
    <cellStyle name="Input 2 2 2 3 2 5 2" xfId="23068"/>
    <cellStyle name="Input 2 2 2 3 2 6" xfId="14967"/>
    <cellStyle name="Input 2 2 2 3 3" xfId="588"/>
    <cellStyle name="Input 2 2 2 3 3 2" xfId="589"/>
    <cellStyle name="Input 2 2 2 3 3 2 2" xfId="5851"/>
    <cellStyle name="Input 2 2 2 3 3 2 2 2" xfId="12404"/>
    <cellStyle name="Input 2 2 2 3 3 2 2 2 2" xfId="26726"/>
    <cellStyle name="Input 2 2 2 3 3 2 2 3" xfId="18049"/>
    <cellStyle name="Input 2 2 2 3 3 2 3" xfId="4253"/>
    <cellStyle name="Input 2 2 2 3 3 2 3 2" xfId="9435"/>
    <cellStyle name="Input 2 2 2 3 3 2 3 2 2" xfId="15697"/>
    <cellStyle name="Input 2 2 2 3 3 2 3 2 2 2" xfId="29113"/>
    <cellStyle name="Input 2 2 2 3 3 2 3 2 3" xfId="20442"/>
    <cellStyle name="Input 2 2 2 3 3 2 3 3" xfId="3762"/>
    <cellStyle name="Input 2 2 2 3 3 2 3 3 2" xfId="22568"/>
    <cellStyle name="Input 2 2 2 3 3 2 3 4" xfId="14867"/>
    <cellStyle name="Input 2 2 2 3 3 2 4" xfId="6640"/>
    <cellStyle name="Input 2 2 2 3 3 2 4 2" xfId="23620"/>
    <cellStyle name="Input 2 2 2 3 3 2 5" xfId="15251"/>
    <cellStyle name="Input 2 2 2 3 3 3" xfId="590"/>
    <cellStyle name="Input 2 2 2 3 3 3 2" xfId="7876"/>
    <cellStyle name="Input 2 2 2 3 3 3 2 2" xfId="10490"/>
    <cellStyle name="Input 2 2 2 3 3 3 2 2 2" xfId="16752"/>
    <cellStyle name="Input 2 2 2 3 3 3 2 2 2 2" xfId="30168"/>
    <cellStyle name="Input 2 2 2 3 3 3 2 2 3" xfId="21497"/>
    <cellStyle name="Input 2 2 2 3 3 3 2 3" xfId="14480"/>
    <cellStyle name="Input 2 2 2 3 3 3 2 3 2" xfId="28802"/>
    <cellStyle name="Input 2 2 2 3 3 3 2 4" xfId="20125"/>
    <cellStyle name="Input 2 2 2 3 3 3 3" xfId="11731"/>
    <cellStyle name="Input 2 2 2 3 3 3 3 2" xfId="26053"/>
    <cellStyle name="Input 2 2 2 3 3 3 4" xfId="4610"/>
    <cellStyle name="Input 2 2 2 3 3 4" xfId="5192"/>
    <cellStyle name="Input 2 2 2 3 3 4 2" xfId="11741"/>
    <cellStyle name="Input 2 2 2 3 3 4 2 2" xfId="26063"/>
    <cellStyle name="Input 2 2 2 3 3 4 3" xfId="4308"/>
    <cellStyle name="Input 2 2 2 3 3 5" xfId="5141"/>
    <cellStyle name="Input 2 2 2 3 3 5 2" xfId="23329"/>
    <cellStyle name="Input 2 2 2 3 3 6" xfId="15334"/>
    <cellStyle name="Input 2 2 2 3 4" xfId="591"/>
    <cellStyle name="Input 2 2 2 3 4 2" xfId="6064"/>
    <cellStyle name="Input 2 2 2 3 4 2 2" xfId="12630"/>
    <cellStyle name="Input 2 2 2 3 4 2 2 2" xfId="26952"/>
    <cellStyle name="Input 2 2 2 3 4 2 3" xfId="18275"/>
    <cellStyle name="Input 2 2 2 3 4 3" xfId="7673"/>
    <cellStyle name="Input 2 2 2 3 4 3 2" xfId="10287"/>
    <cellStyle name="Input 2 2 2 3 4 3 2 2" xfId="16549"/>
    <cellStyle name="Input 2 2 2 3 4 3 2 2 2" xfId="29965"/>
    <cellStyle name="Input 2 2 2 3 4 3 2 3" xfId="21294"/>
    <cellStyle name="Input 2 2 2 3 4 3 3" xfId="14277"/>
    <cellStyle name="Input 2 2 2 3 4 3 3 2" xfId="28599"/>
    <cellStyle name="Input 2 2 2 3 4 3 4" xfId="19922"/>
    <cellStyle name="Input 2 2 2 3 4 4" xfId="4352"/>
    <cellStyle name="Input 2 2 2 3 4 4 2" xfId="22901"/>
    <cellStyle name="Input 2 2 2 3 4 5" xfId="15189"/>
    <cellStyle name="Input 2 2 2 3 5" xfId="592"/>
    <cellStyle name="Input 2 2 2 3 5 2" xfId="3667"/>
    <cellStyle name="Input 2 2 2 3 5 2 2" xfId="9358"/>
    <cellStyle name="Input 2 2 2 3 5 2 2 2" xfId="15620"/>
    <cellStyle name="Input 2 2 2 3 5 2 2 2 2" xfId="29036"/>
    <cellStyle name="Input 2 2 2 3 5 2 2 3" xfId="20365"/>
    <cellStyle name="Input 2 2 2 3 5 2 3" xfId="4362"/>
    <cellStyle name="Input 2 2 2 3 5 2 3 2" xfId="22906"/>
    <cellStyle name="Input 2 2 2 3 5 2 4" xfId="16973"/>
    <cellStyle name="Input 2 2 2 3 5 3" xfId="12869"/>
    <cellStyle name="Input 2 2 2 3 5 3 2" xfId="27191"/>
    <cellStyle name="Input 2 2 2 3 5 4" xfId="18514"/>
    <cellStyle name="Input 2 2 2 3 6" xfId="5487"/>
    <cellStyle name="Input 2 2 2 3 6 2" xfId="12038"/>
    <cellStyle name="Input 2 2 2 3 6 2 2" xfId="26360"/>
    <cellStyle name="Input 2 2 2 3 6 3" xfId="17683"/>
    <cellStyle name="Input 2 2 2 3 7" xfId="3709"/>
    <cellStyle name="Input 2 2 2 3 7 2" xfId="22538"/>
    <cellStyle name="Input 2 2 2 3 8" xfId="14881"/>
    <cellStyle name="Input 2 2 2 4" xfId="593"/>
    <cellStyle name="Input 2 2 2 4 2" xfId="594"/>
    <cellStyle name="Input 2 2 2 4 2 2" xfId="595"/>
    <cellStyle name="Input 2 2 2 4 2 2 2" xfId="6923"/>
    <cellStyle name="Input 2 2 2 4 2 2 2 2" xfId="13527"/>
    <cellStyle name="Input 2 2 2 4 2 2 2 2 2" xfId="27849"/>
    <cellStyle name="Input 2 2 2 4 2 2 2 3" xfId="19172"/>
    <cellStyle name="Input 2 2 2 4 2 2 3" xfId="7423"/>
    <cellStyle name="Input 2 2 2 4 2 2 3 2" xfId="10037"/>
    <cellStyle name="Input 2 2 2 4 2 2 3 2 2" xfId="16299"/>
    <cellStyle name="Input 2 2 2 4 2 2 3 2 2 2" xfId="29715"/>
    <cellStyle name="Input 2 2 2 4 2 2 3 2 3" xfId="21044"/>
    <cellStyle name="Input 2 2 2 4 2 2 3 3" xfId="14027"/>
    <cellStyle name="Input 2 2 2 4 2 2 3 3 2" xfId="28349"/>
    <cellStyle name="Input 2 2 2 4 2 2 3 4" xfId="19672"/>
    <cellStyle name="Input 2 2 2 4 2 2 4" xfId="11411"/>
    <cellStyle name="Input 2 2 2 4 2 2 4 2" xfId="25733"/>
    <cellStyle name="Input 2 2 2 4 2 2 5" xfId="3782"/>
    <cellStyle name="Input 2 2 2 4 2 3" xfId="596"/>
    <cellStyle name="Input 2 2 2 4 2 3 2" xfId="4259"/>
    <cellStyle name="Input 2 2 2 4 2 3 2 2" xfId="9438"/>
    <cellStyle name="Input 2 2 2 4 2 3 2 2 2" xfId="15700"/>
    <cellStyle name="Input 2 2 2 4 2 3 2 2 2 2" xfId="29116"/>
    <cellStyle name="Input 2 2 2 4 2 3 2 2 3" xfId="20445"/>
    <cellStyle name="Input 2 2 2 4 2 3 2 3" xfId="6645"/>
    <cellStyle name="Input 2 2 2 4 2 3 2 3 2" xfId="23624"/>
    <cellStyle name="Input 2 2 2 4 2 3 2 4" xfId="15218"/>
    <cellStyle name="Input 2 2 2 4 2 3 3" xfId="13329"/>
    <cellStyle name="Input 2 2 2 4 2 3 3 2" xfId="27651"/>
    <cellStyle name="Input 2 2 2 4 2 3 4" xfId="18974"/>
    <cellStyle name="Input 2 2 2 4 2 4" xfId="5779"/>
    <cellStyle name="Input 2 2 2 4 2 4 2" xfId="12332"/>
    <cellStyle name="Input 2 2 2 4 2 4 2 2" xfId="26654"/>
    <cellStyle name="Input 2 2 2 4 2 4 3" xfId="17977"/>
    <cellStyle name="Input 2 2 2 4 2 5" xfId="6751"/>
    <cellStyle name="Input 2 2 2 4 2 5 2" xfId="23699"/>
    <cellStyle name="Input 2 2 2 4 2 6" xfId="15135"/>
    <cellStyle name="Input 2 2 2 4 3" xfId="597"/>
    <cellStyle name="Input 2 2 2 4 3 2" xfId="598"/>
    <cellStyle name="Input 2 2 2 4 3 2 2" xfId="6065"/>
    <cellStyle name="Input 2 2 2 4 3 2 2 2" xfId="12631"/>
    <cellStyle name="Input 2 2 2 4 3 2 2 2 2" xfId="26953"/>
    <cellStyle name="Input 2 2 2 4 3 2 2 3" xfId="18276"/>
    <cellStyle name="Input 2 2 2 4 3 2 3" xfId="7677"/>
    <cellStyle name="Input 2 2 2 4 3 2 3 2" xfId="10291"/>
    <cellStyle name="Input 2 2 2 4 3 2 3 2 2" xfId="16553"/>
    <cellStyle name="Input 2 2 2 4 3 2 3 2 2 2" xfId="29969"/>
    <cellStyle name="Input 2 2 2 4 3 2 3 2 3" xfId="21298"/>
    <cellStyle name="Input 2 2 2 4 3 2 3 3" xfId="14281"/>
    <cellStyle name="Input 2 2 2 4 3 2 3 3 2" xfId="28603"/>
    <cellStyle name="Input 2 2 2 4 3 2 3 4" xfId="19926"/>
    <cellStyle name="Input 2 2 2 4 3 2 4" xfId="4656"/>
    <cellStyle name="Input 2 2 2 4 3 2 4 2" xfId="23097"/>
    <cellStyle name="Input 2 2 2 4 3 2 5" xfId="17049"/>
    <cellStyle name="Input 2 2 2 4 3 3" xfId="599"/>
    <cellStyle name="Input 2 2 2 4 3 3 2" xfId="7434"/>
    <cellStyle name="Input 2 2 2 4 3 3 2 2" xfId="10048"/>
    <cellStyle name="Input 2 2 2 4 3 3 2 2 2" xfId="16310"/>
    <cellStyle name="Input 2 2 2 4 3 3 2 2 2 2" xfId="29726"/>
    <cellStyle name="Input 2 2 2 4 3 3 2 2 3" xfId="21055"/>
    <cellStyle name="Input 2 2 2 4 3 3 2 3" xfId="14038"/>
    <cellStyle name="Input 2 2 2 4 3 3 2 3 2" xfId="28360"/>
    <cellStyle name="Input 2 2 2 4 3 3 2 4" xfId="19683"/>
    <cellStyle name="Input 2 2 2 4 3 3 3" xfId="13386"/>
    <cellStyle name="Input 2 2 2 4 3 3 3 2" xfId="27708"/>
    <cellStyle name="Input 2 2 2 4 3 3 4" xfId="19031"/>
    <cellStyle name="Input 2 2 2 4 3 4" xfId="5846"/>
    <cellStyle name="Input 2 2 2 4 3 4 2" xfId="12399"/>
    <cellStyle name="Input 2 2 2 4 3 4 2 2" xfId="26721"/>
    <cellStyle name="Input 2 2 2 4 3 4 3" xfId="18044"/>
    <cellStyle name="Input 2 2 2 4 3 5" xfId="6274"/>
    <cellStyle name="Input 2 2 2 4 3 5 2" xfId="23486"/>
    <cellStyle name="Input 2 2 2 4 3 6" xfId="3930"/>
    <cellStyle name="Input 2 2 2 4 4" xfId="600"/>
    <cellStyle name="Input 2 2 2 4 4 2" xfId="5979"/>
    <cellStyle name="Input 2 2 2 4 4 2 2" xfId="12537"/>
    <cellStyle name="Input 2 2 2 4 4 2 2 2" xfId="26859"/>
    <cellStyle name="Input 2 2 2 4 4 2 3" xfId="18182"/>
    <cellStyle name="Input 2 2 2 4 4 3" xfId="7331"/>
    <cellStyle name="Input 2 2 2 4 4 3 2" xfId="9945"/>
    <cellStyle name="Input 2 2 2 4 4 3 2 2" xfId="16207"/>
    <cellStyle name="Input 2 2 2 4 4 3 2 2 2" xfId="29623"/>
    <cellStyle name="Input 2 2 2 4 4 3 2 3" xfId="20952"/>
    <cellStyle name="Input 2 2 2 4 4 3 3" xfId="13935"/>
    <cellStyle name="Input 2 2 2 4 4 3 3 2" xfId="28257"/>
    <cellStyle name="Input 2 2 2 4 4 3 4" xfId="19580"/>
    <cellStyle name="Input 2 2 2 4 4 4" xfId="4011"/>
    <cellStyle name="Input 2 2 2 4 4 4 2" xfId="22700"/>
    <cellStyle name="Input 2 2 2 4 4 5" xfId="6605"/>
    <cellStyle name="Input 2 2 2 4 5" xfId="601"/>
    <cellStyle name="Input 2 2 2 4 5 2" xfId="4923"/>
    <cellStyle name="Input 2 2 2 4 5 2 2" xfId="9516"/>
    <cellStyle name="Input 2 2 2 4 5 2 2 2" xfId="15778"/>
    <cellStyle name="Input 2 2 2 4 5 2 2 2 2" xfId="29194"/>
    <cellStyle name="Input 2 2 2 4 5 2 2 3" xfId="20523"/>
    <cellStyle name="Input 2 2 2 4 5 2 3" xfId="11461"/>
    <cellStyle name="Input 2 2 2 4 5 2 3 2" xfId="25783"/>
    <cellStyle name="Input 2 2 2 4 5 2 4" xfId="14995"/>
    <cellStyle name="Input 2 2 2 4 5 3" xfId="12905"/>
    <cellStyle name="Input 2 2 2 4 5 3 2" xfId="27227"/>
    <cellStyle name="Input 2 2 2 4 5 4" xfId="18550"/>
    <cellStyle name="Input 2 2 2 4 6" xfId="5529"/>
    <cellStyle name="Input 2 2 2 4 6 2" xfId="12080"/>
    <cellStyle name="Input 2 2 2 4 6 2 2" xfId="26402"/>
    <cellStyle name="Input 2 2 2 4 6 3" xfId="17725"/>
    <cellStyle name="Input 2 2 2 4 7" xfId="3646"/>
    <cellStyle name="Input 2 2 2 4 7 2" xfId="22505"/>
    <cellStyle name="Input 2 2 2 4 8" xfId="15127"/>
    <cellStyle name="Input 2 2 2 5" xfId="602"/>
    <cellStyle name="Input 2 2 2 5 2" xfId="603"/>
    <cellStyle name="Input 2 2 2 5 2 2" xfId="604"/>
    <cellStyle name="Input 2 2 2 5 2 2 2" xfId="6022"/>
    <cellStyle name="Input 2 2 2 5 2 2 2 2" xfId="12583"/>
    <cellStyle name="Input 2 2 2 5 2 2 2 2 2" xfId="26905"/>
    <cellStyle name="Input 2 2 2 5 2 2 2 3" xfId="18228"/>
    <cellStyle name="Input 2 2 2 5 2 2 3" xfId="7685"/>
    <cellStyle name="Input 2 2 2 5 2 2 3 2" xfId="10299"/>
    <cellStyle name="Input 2 2 2 5 2 2 3 2 2" xfId="16561"/>
    <cellStyle name="Input 2 2 2 5 2 2 3 2 2 2" xfId="29977"/>
    <cellStyle name="Input 2 2 2 5 2 2 3 2 3" xfId="21306"/>
    <cellStyle name="Input 2 2 2 5 2 2 3 3" xfId="14289"/>
    <cellStyle name="Input 2 2 2 5 2 2 3 3 2" xfId="28611"/>
    <cellStyle name="Input 2 2 2 5 2 2 3 4" xfId="19934"/>
    <cellStyle name="Input 2 2 2 5 2 2 4" xfId="6811"/>
    <cellStyle name="Input 2 2 2 5 2 2 4 2" xfId="23749"/>
    <cellStyle name="Input 2 2 2 5 2 2 5" xfId="15539"/>
    <cellStyle name="Input 2 2 2 5 2 3" xfId="605"/>
    <cellStyle name="Input 2 2 2 5 2 3 2" xfId="7535"/>
    <cellStyle name="Input 2 2 2 5 2 3 2 2" xfId="10149"/>
    <cellStyle name="Input 2 2 2 5 2 3 2 2 2" xfId="16411"/>
    <cellStyle name="Input 2 2 2 5 2 3 2 2 2 2" xfId="29827"/>
    <cellStyle name="Input 2 2 2 5 2 3 2 2 3" xfId="21156"/>
    <cellStyle name="Input 2 2 2 5 2 3 2 3" xfId="14139"/>
    <cellStyle name="Input 2 2 2 5 2 3 2 3 2" xfId="28461"/>
    <cellStyle name="Input 2 2 2 5 2 3 2 4" xfId="19784"/>
    <cellStyle name="Input 2 2 2 5 2 3 3" xfId="13259"/>
    <cellStyle name="Input 2 2 2 5 2 3 3 2" xfId="27581"/>
    <cellStyle name="Input 2 2 2 5 2 3 4" xfId="18904"/>
    <cellStyle name="Input 2 2 2 5 2 4" xfId="5704"/>
    <cellStyle name="Input 2 2 2 5 2 4 2" xfId="12257"/>
    <cellStyle name="Input 2 2 2 5 2 4 2 2" xfId="26579"/>
    <cellStyle name="Input 2 2 2 5 2 4 3" xfId="17902"/>
    <cellStyle name="Input 2 2 2 5 2 5" xfId="4648"/>
    <cellStyle name="Input 2 2 2 5 2 5 2" xfId="23091"/>
    <cellStyle name="Input 2 2 2 5 2 6" xfId="4336"/>
    <cellStyle name="Input 2 2 2 5 3" xfId="606"/>
    <cellStyle name="Input 2 2 2 5 3 2" xfId="607"/>
    <cellStyle name="Input 2 2 2 5 3 2 2" xfId="5350"/>
    <cellStyle name="Input 2 2 2 5 3 2 2 2" xfId="11900"/>
    <cellStyle name="Input 2 2 2 5 3 2 2 2 2" xfId="26222"/>
    <cellStyle name="Input 2 2 2 5 3 2 2 3" xfId="17545"/>
    <cellStyle name="Input 2 2 2 5 3 2 3" xfId="7631"/>
    <cellStyle name="Input 2 2 2 5 3 2 3 2" xfId="10245"/>
    <cellStyle name="Input 2 2 2 5 3 2 3 2 2" xfId="16507"/>
    <cellStyle name="Input 2 2 2 5 3 2 3 2 2 2" xfId="29923"/>
    <cellStyle name="Input 2 2 2 5 3 2 3 2 3" xfId="21252"/>
    <cellStyle name="Input 2 2 2 5 3 2 3 3" xfId="14235"/>
    <cellStyle name="Input 2 2 2 5 3 2 3 3 2" xfId="28557"/>
    <cellStyle name="Input 2 2 2 5 3 2 3 4" xfId="19880"/>
    <cellStyle name="Input 2 2 2 5 3 2 4" xfId="4471"/>
    <cellStyle name="Input 2 2 2 5 3 2 4 2" xfId="22970"/>
    <cellStyle name="Input 2 2 2 5 3 2 5" xfId="4355"/>
    <cellStyle name="Input 2 2 2 5 3 3" xfId="608"/>
    <cellStyle name="Input 2 2 2 5 3 3 2" xfId="7283"/>
    <cellStyle name="Input 2 2 2 5 3 3 2 2" xfId="9897"/>
    <cellStyle name="Input 2 2 2 5 3 3 2 2 2" xfId="16159"/>
    <cellStyle name="Input 2 2 2 5 3 3 2 2 2 2" xfId="29575"/>
    <cellStyle name="Input 2 2 2 5 3 3 2 2 3" xfId="20904"/>
    <cellStyle name="Input 2 2 2 5 3 3 2 3" xfId="13887"/>
    <cellStyle name="Input 2 2 2 5 3 3 2 3 2" xfId="28209"/>
    <cellStyle name="Input 2 2 2 5 3 3 2 4" xfId="19532"/>
    <cellStyle name="Input 2 2 2 5 3 3 3" xfId="13156"/>
    <cellStyle name="Input 2 2 2 5 3 3 3 2" xfId="27478"/>
    <cellStyle name="Input 2 2 2 5 3 3 4" xfId="18801"/>
    <cellStyle name="Input 2 2 2 5 3 4" xfId="5562"/>
    <cellStyle name="Input 2 2 2 5 3 4 2" xfId="12113"/>
    <cellStyle name="Input 2 2 2 5 3 4 2 2" xfId="26435"/>
    <cellStyle name="Input 2 2 2 5 3 4 3" xfId="17758"/>
    <cellStyle name="Input 2 2 2 5 3 5" xfId="3291"/>
    <cellStyle name="Input 2 2 2 5 3 5 2" xfId="22464"/>
    <cellStyle name="Input 2 2 2 5 3 6" xfId="15400"/>
    <cellStyle name="Input 2 2 2 5 4" xfId="609"/>
    <cellStyle name="Input 2 2 2 5 4 2" xfId="6394"/>
    <cellStyle name="Input 2 2 2 5 4 2 2" xfId="12977"/>
    <cellStyle name="Input 2 2 2 5 4 2 2 2" xfId="27299"/>
    <cellStyle name="Input 2 2 2 5 4 2 3" xfId="18622"/>
    <cellStyle name="Input 2 2 2 5 4 3" xfId="7504"/>
    <cellStyle name="Input 2 2 2 5 4 3 2" xfId="10118"/>
    <cellStyle name="Input 2 2 2 5 4 3 2 2" xfId="16380"/>
    <cellStyle name="Input 2 2 2 5 4 3 2 2 2" xfId="29796"/>
    <cellStyle name="Input 2 2 2 5 4 3 2 3" xfId="21125"/>
    <cellStyle name="Input 2 2 2 5 4 3 3" xfId="14108"/>
    <cellStyle name="Input 2 2 2 5 4 3 3 2" xfId="28430"/>
    <cellStyle name="Input 2 2 2 5 4 3 4" xfId="19753"/>
    <cellStyle name="Input 2 2 2 5 4 4" xfId="3607"/>
    <cellStyle name="Input 2 2 2 5 4 4 2" xfId="22486"/>
    <cellStyle name="Input 2 2 2 5 4 5" xfId="3262"/>
    <cellStyle name="Input 2 2 2 5 5" xfId="610"/>
    <cellStyle name="Input 2 2 2 5 5 2" xfId="3962"/>
    <cellStyle name="Input 2 2 2 5 5 2 2" xfId="9404"/>
    <cellStyle name="Input 2 2 2 5 5 2 2 2" xfId="15666"/>
    <cellStyle name="Input 2 2 2 5 5 2 2 2 2" xfId="29082"/>
    <cellStyle name="Input 2 2 2 5 5 2 2 3" xfId="20411"/>
    <cellStyle name="Input 2 2 2 5 5 2 3" xfId="6352"/>
    <cellStyle name="Input 2 2 2 5 5 2 3 2" xfId="23537"/>
    <cellStyle name="Input 2 2 2 5 5 2 4" xfId="4912"/>
    <cellStyle name="Input 2 2 2 5 5 3" xfId="12767"/>
    <cellStyle name="Input 2 2 2 5 5 3 2" xfId="27089"/>
    <cellStyle name="Input 2 2 2 5 5 4" xfId="18412"/>
    <cellStyle name="Input 2 2 2 5 6" xfId="4326"/>
    <cellStyle name="Input 2 2 2 5 6 2" xfId="4491"/>
    <cellStyle name="Input 2 2 2 5 6 2 2" xfId="22984"/>
    <cellStyle name="Input 2 2 2 5 6 3" xfId="4910"/>
    <cellStyle name="Input 2 2 2 5 7" xfId="4992"/>
    <cellStyle name="Input 2 2 2 5 7 2" xfId="23298"/>
    <cellStyle name="Input 2 2 2 5 8" xfId="17284"/>
    <cellStyle name="Input 2 2 2 6" xfId="611"/>
    <cellStyle name="Input 2 2 2 6 2" xfId="612"/>
    <cellStyle name="Input 2 2 2 6 2 2" xfId="613"/>
    <cellStyle name="Input 2 2 2 6 2 2 2" xfId="6004"/>
    <cellStyle name="Input 2 2 2 6 2 2 2 2" xfId="12563"/>
    <cellStyle name="Input 2 2 2 6 2 2 2 2 2" xfId="26885"/>
    <cellStyle name="Input 2 2 2 6 2 2 2 3" xfId="18208"/>
    <cellStyle name="Input 2 2 2 6 2 2 3" xfId="7617"/>
    <cellStyle name="Input 2 2 2 6 2 2 3 2" xfId="10231"/>
    <cellStyle name="Input 2 2 2 6 2 2 3 2 2" xfId="16493"/>
    <cellStyle name="Input 2 2 2 6 2 2 3 2 2 2" xfId="29909"/>
    <cellStyle name="Input 2 2 2 6 2 2 3 2 3" xfId="21238"/>
    <cellStyle name="Input 2 2 2 6 2 2 3 3" xfId="14221"/>
    <cellStyle name="Input 2 2 2 6 2 2 3 3 2" xfId="28543"/>
    <cellStyle name="Input 2 2 2 6 2 2 3 4" xfId="19866"/>
    <cellStyle name="Input 2 2 2 6 2 2 4" xfId="3180"/>
    <cellStyle name="Input 2 2 2 6 2 2 4 2" xfId="22426"/>
    <cellStyle name="Input 2 2 2 6 2 2 5" xfId="17244"/>
    <cellStyle name="Input 2 2 2 6 2 3" xfId="614"/>
    <cellStyle name="Input 2 2 2 6 2 3 2" xfId="7890"/>
    <cellStyle name="Input 2 2 2 6 2 3 2 2" xfId="10504"/>
    <cellStyle name="Input 2 2 2 6 2 3 2 2 2" xfId="16766"/>
    <cellStyle name="Input 2 2 2 6 2 3 2 2 2 2" xfId="30182"/>
    <cellStyle name="Input 2 2 2 6 2 3 2 2 3" xfId="21511"/>
    <cellStyle name="Input 2 2 2 6 2 3 2 3" xfId="14494"/>
    <cellStyle name="Input 2 2 2 6 2 3 2 3 2" xfId="28816"/>
    <cellStyle name="Input 2 2 2 6 2 3 2 4" xfId="20139"/>
    <cellStyle name="Input 2 2 2 6 2 3 3" xfId="13059"/>
    <cellStyle name="Input 2 2 2 6 2 3 3 2" xfId="27381"/>
    <cellStyle name="Input 2 2 2 6 2 3 4" xfId="18704"/>
    <cellStyle name="Input 2 2 2 6 2 4" xfId="5392"/>
    <cellStyle name="Input 2 2 2 6 2 4 2" xfId="11942"/>
    <cellStyle name="Input 2 2 2 6 2 4 2 2" xfId="26264"/>
    <cellStyle name="Input 2 2 2 6 2 4 3" xfId="17587"/>
    <cellStyle name="Input 2 2 2 6 2 5" xfId="3292"/>
    <cellStyle name="Input 2 2 2 6 2 5 2" xfId="22465"/>
    <cellStyle name="Input 2 2 2 6 2 6" xfId="15245"/>
    <cellStyle name="Input 2 2 2 6 3" xfId="615"/>
    <cellStyle name="Input 2 2 2 6 3 2" xfId="6964"/>
    <cellStyle name="Input 2 2 2 6 3 2 2" xfId="13568"/>
    <cellStyle name="Input 2 2 2 6 3 2 2 2" xfId="27890"/>
    <cellStyle name="Input 2 2 2 6 3 2 3" xfId="19213"/>
    <cellStyle name="Input 2 2 2 6 3 3" xfId="7411"/>
    <cellStyle name="Input 2 2 2 6 3 3 2" xfId="10025"/>
    <cellStyle name="Input 2 2 2 6 3 3 2 2" xfId="16287"/>
    <cellStyle name="Input 2 2 2 6 3 3 2 2 2" xfId="29703"/>
    <cellStyle name="Input 2 2 2 6 3 3 2 3" xfId="21032"/>
    <cellStyle name="Input 2 2 2 6 3 3 3" xfId="14015"/>
    <cellStyle name="Input 2 2 2 6 3 3 3 2" xfId="28337"/>
    <cellStyle name="Input 2 2 2 6 3 3 4" xfId="19660"/>
    <cellStyle name="Input 2 2 2 6 3 4" xfId="11468"/>
    <cellStyle name="Input 2 2 2 6 3 4 2" xfId="25790"/>
    <cellStyle name="Input 2 2 2 6 3 5" xfId="15113"/>
    <cellStyle name="Input 2 2 2 6 4" xfId="616"/>
    <cellStyle name="Input 2 2 2 6 4 2" xfId="3194"/>
    <cellStyle name="Input 2 2 2 6 4 2 2" xfId="9006"/>
    <cellStyle name="Input 2 2 2 6 4 2 2 2" xfId="15354"/>
    <cellStyle name="Input 2 2 2 6 4 2 2 2 2" xfId="29004"/>
    <cellStyle name="Input 2 2 2 6 4 2 2 3" xfId="20331"/>
    <cellStyle name="Input 2 2 2 6 4 2 3" xfId="4712"/>
    <cellStyle name="Input 2 2 2 6 4 2 3 2" xfId="23144"/>
    <cellStyle name="Input 2 2 2 6 4 2 4" xfId="14742"/>
    <cellStyle name="Input 2 2 2 6 4 3" xfId="12134"/>
    <cellStyle name="Input 2 2 2 6 4 3 2" xfId="26456"/>
    <cellStyle name="Input 2 2 2 6 4 4" xfId="17779"/>
    <cellStyle name="Input 2 2 2 6 5" xfId="5073"/>
    <cellStyle name="Input 2 2 2 6 5 2" xfId="11620"/>
    <cellStyle name="Input 2 2 2 6 5 2 2" xfId="25942"/>
    <cellStyle name="Input 2 2 2 6 5 3" xfId="17234"/>
    <cellStyle name="Input 2 2 2 6 6" xfId="4264"/>
    <cellStyle name="Input 2 2 2 6 6 2" xfId="22858"/>
    <cellStyle name="Input 2 2 2 6 7" xfId="17191"/>
    <cellStyle name="Input 2 2 2 7" xfId="617"/>
    <cellStyle name="Input 2 2 2 7 2" xfId="618"/>
    <cellStyle name="Input 2 2 2 7 2 2" xfId="6435"/>
    <cellStyle name="Input 2 2 2 7 2 2 2" xfId="13018"/>
    <cellStyle name="Input 2 2 2 7 2 2 2 2" xfId="27340"/>
    <cellStyle name="Input 2 2 2 7 2 2 3" xfId="18663"/>
    <cellStyle name="Input 2 2 2 7 2 3" xfId="7094"/>
    <cellStyle name="Input 2 2 2 7 2 3 2" xfId="9708"/>
    <cellStyle name="Input 2 2 2 7 2 3 2 2" xfId="15970"/>
    <cellStyle name="Input 2 2 2 7 2 3 2 2 2" xfId="29386"/>
    <cellStyle name="Input 2 2 2 7 2 3 2 3" xfId="20715"/>
    <cellStyle name="Input 2 2 2 7 2 3 3" xfId="13698"/>
    <cellStyle name="Input 2 2 2 7 2 3 3 2" xfId="28020"/>
    <cellStyle name="Input 2 2 2 7 2 3 4" xfId="19343"/>
    <cellStyle name="Input 2 2 2 7 2 4" xfId="6807"/>
    <cellStyle name="Input 2 2 2 7 2 4 2" xfId="23746"/>
    <cellStyle name="Input 2 2 2 7 2 5" xfId="15265"/>
    <cellStyle name="Input 2 2 2 7 3" xfId="619"/>
    <cellStyle name="Input 2 2 2 7 3 2" xfId="5262"/>
    <cellStyle name="Input 2 2 2 7 3 2 2" xfId="9571"/>
    <cellStyle name="Input 2 2 2 7 3 2 2 2" xfId="15833"/>
    <cellStyle name="Input 2 2 2 7 3 2 2 2 2" xfId="29249"/>
    <cellStyle name="Input 2 2 2 7 3 2 2 3" xfId="20578"/>
    <cellStyle name="Input 2 2 2 7 3 2 3" xfId="11812"/>
    <cellStyle name="Input 2 2 2 7 3 2 3 2" xfId="26134"/>
    <cellStyle name="Input 2 2 2 7 3 2 4" xfId="17457"/>
    <cellStyle name="Input 2 2 2 7 3 3" xfId="13060"/>
    <cellStyle name="Input 2 2 2 7 3 3 2" xfId="27382"/>
    <cellStyle name="Input 2 2 2 7 3 4" xfId="18705"/>
    <cellStyle name="Input 2 2 2 7 4" xfId="5393"/>
    <cellStyle name="Input 2 2 2 7 4 2" xfId="11943"/>
    <cellStyle name="Input 2 2 2 7 4 2 2" xfId="26265"/>
    <cellStyle name="Input 2 2 2 7 4 3" xfId="17588"/>
    <cellStyle name="Input 2 2 2 7 5" xfId="6334"/>
    <cellStyle name="Input 2 2 2 7 5 2" xfId="23522"/>
    <cellStyle name="Input 2 2 2 7 6" xfId="17105"/>
    <cellStyle name="Input 2 2 2 8" xfId="620"/>
    <cellStyle name="Input 2 2 2 8 2" xfId="6105"/>
    <cellStyle name="Input 2 2 2 8 2 2" xfId="12673"/>
    <cellStyle name="Input 2 2 2 8 2 2 2" xfId="26995"/>
    <cellStyle name="Input 2 2 2 8 2 3" xfId="18318"/>
    <cellStyle name="Input 2 2 2 8 3" xfId="7754"/>
    <cellStyle name="Input 2 2 2 8 3 2" xfId="10368"/>
    <cellStyle name="Input 2 2 2 8 3 2 2" xfId="16630"/>
    <cellStyle name="Input 2 2 2 8 3 2 2 2" xfId="30046"/>
    <cellStyle name="Input 2 2 2 8 3 2 3" xfId="21375"/>
    <cellStyle name="Input 2 2 2 8 3 3" xfId="14358"/>
    <cellStyle name="Input 2 2 2 8 3 3 2" xfId="28680"/>
    <cellStyle name="Input 2 2 2 8 3 4" xfId="20003"/>
    <cellStyle name="Input 2 2 2 8 4" xfId="4813"/>
    <cellStyle name="Input 2 2 2 8 4 2" xfId="23200"/>
    <cellStyle name="Input 2 2 2 8 5" xfId="4550"/>
    <cellStyle name="Input 2 2 2 9" xfId="621"/>
    <cellStyle name="Input 2 2 2 9 2" xfId="7857"/>
    <cellStyle name="Input 2 2 2 9 2 2" xfId="10471"/>
    <cellStyle name="Input 2 2 2 9 2 2 2" xfId="16733"/>
    <cellStyle name="Input 2 2 2 9 2 2 2 2" xfId="30149"/>
    <cellStyle name="Input 2 2 2 9 2 2 3" xfId="21478"/>
    <cellStyle name="Input 2 2 2 9 2 3" xfId="14461"/>
    <cellStyle name="Input 2 2 2 9 2 3 2" xfId="28783"/>
    <cellStyle name="Input 2 2 2 9 2 4" xfId="20106"/>
    <cellStyle name="Input 2 2 2 9 3" xfId="12507"/>
    <cellStyle name="Input 2 2 2 9 3 2" xfId="26829"/>
    <cellStyle name="Input 2 2 2 9 4" xfId="18152"/>
    <cellStyle name="Input 2 2 3" xfId="622"/>
    <cellStyle name="Input 2 2 3 10" xfId="4072"/>
    <cellStyle name="Input 2 2 3 10 2" xfId="22744"/>
    <cellStyle name="Input 2 2 3 11" xfId="16999"/>
    <cellStyle name="Input 2 2 3 2" xfId="623"/>
    <cellStyle name="Input 2 2 3 2 2" xfId="624"/>
    <cellStyle name="Input 2 2 3 2 2 2" xfId="625"/>
    <cellStyle name="Input 2 2 3 2 2 2 2" xfId="6942"/>
    <cellStyle name="Input 2 2 3 2 2 2 2 2" xfId="13546"/>
    <cellStyle name="Input 2 2 3 2 2 2 2 2 2" xfId="27868"/>
    <cellStyle name="Input 2 2 3 2 2 2 2 3" xfId="19191"/>
    <cellStyle name="Input 2 2 3 2 2 2 3" xfId="3246"/>
    <cellStyle name="Input 2 2 3 2 2 2 3 2" xfId="9048"/>
    <cellStyle name="Input 2 2 3 2 2 2 3 2 2" xfId="15387"/>
    <cellStyle name="Input 2 2 3 2 2 2 3 2 2 2" xfId="29006"/>
    <cellStyle name="Input 2 2 3 2 2 2 3 2 3" xfId="20333"/>
    <cellStyle name="Input 2 2 3 2 2 2 3 3" xfId="4034"/>
    <cellStyle name="Input 2 2 3 2 2 2 3 3 2" xfId="22712"/>
    <cellStyle name="Input 2 2 3 2 2 2 3 4" xfId="17353"/>
    <cellStyle name="Input 2 2 3 2 2 2 4" xfId="11435"/>
    <cellStyle name="Input 2 2 3 2 2 2 4 2" xfId="25757"/>
    <cellStyle name="Input 2 2 3 2 2 2 5" xfId="6680"/>
    <cellStyle name="Input 2 2 3 2 2 3" xfId="626"/>
    <cellStyle name="Input 2 2 3 2 2 3 2" xfId="7686"/>
    <cellStyle name="Input 2 2 3 2 2 3 2 2" xfId="10300"/>
    <cellStyle name="Input 2 2 3 2 2 3 2 2 2" xfId="16562"/>
    <cellStyle name="Input 2 2 3 2 2 3 2 2 2 2" xfId="29978"/>
    <cellStyle name="Input 2 2 3 2 2 3 2 2 3" xfId="21307"/>
    <cellStyle name="Input 2 2 3 2 2 3 2 3" xfId="14290"/>
    <cellStyle name="Input 2 2 3 2 2 3 2 3 2" xfId="28612"/>
    <cellStyle name="Input 2 2 3 2 2 3 2 4" xfId="19935"/>
    <cellStyle name="Input 2 2 3 2 2 3 3" xfId="13312"/>
    <cellStyle name="Input 2 2 3 2 2 3 3 2" xfId="27634"/>
    <cellStyle name="Input 2 2 3 2 2 3 4" xfId="18957"/>
    <cellStyle name="Input 2 2 3 2 2 4" xfId="5762"/>
    <cellStyle name="Input 2 2 3 2 2 4 2" xfId="12315"/>
    <cellStyle name="Input 2 2 3 2 2 4 2 2" xfId="26637"/>
    <cellStyle name="Input 2 2 3 2 2 4 3" xfId="17960"/>
    <cellStyle name="Input 2 2 3 2 2 5" xfId="3990"/>
    <cellStyle name="Input 2 2 3 2 2 5 2" xfId="22689"/>
    <cellStyle name="Input 2 2 3 2 2 6" xfId="17069"/>
    <cellStyle name="Input 2 2 3 2 3" xfId="627"/>
    <cellStyle name="Input 2 2 3 2 3 2" xfId="628"/>
    <cellStyle name="Input 2 2 3 2 3 2 2" xfId="5995"/>
    <cellStyle name="Input 2 2 3 2 3 2 2 2" xfId="12553"/>
    <cellStyle name="Input 2 2 3 2 3 2 2 2 2" xfId="26875"/>
    <cellStyle name="Input 2 2 3 2 3 2 2 3" xfId="18198"/>
    <cellStyle name="Input 2 2 3 2 3 2 3" xfId="7726"/>
    <cellStyle name="Input 2 2 3 2 3 2 3 2" xfId="10340"/>
    <cellStyle name="Input 2 2 3 2 3 2 3 2 2" xfId="16602"/>
    <cellStyle name="Input 2 2 3 2 3 2 3 2 2 2" xfId="30018"/>
    <cellStyle name="Input 2 2 3 2 3 2 3 2 3" xfId="21347"/>
    <cellStyle name="Input 2 2 3 2 3 2 3 3" xfId="14330"/>
    <cellStyle name="Input 2 2 3 2 3 2 3 3 2" xfId="28652"/>
    <cellStyle name="Input 2 2 3 2 3 2 3 4" xfId="19975"/>
    <cellStyle name="Input 2 2 3 2 3 2 4" xfId="4317"/>
    <cellStyle name="Input 2 2 3 2 3 2 4 2" xfId="22886"/>
    <cellStyle name="Input 2 2 3 2 3 2 5" xfId="17338"/>
    <cellStyle name="Input 2 2 3 2 3 3" xfId="629"/>
    <cellStyle name="Input 2 2 3 2 3 3 2" xfId="8028"/>
    <cellStyle name="Input 2 2 3 2 3 3 2 2" xfId="10642"/>
    <cellStyle name="Input 2 2 3 2 3 3 2 2 2" xfId="16904"/>
    <cellStyle name="Input 2 2 3 2 3 3 2 2 2 2" xfId="30320"/>
    <cellStyle name="Input 2 2 3 2 3 3 2 2 3" xfId="21649"/>
    <cellStyle name="Input 2 2 3 2 3 3 2 3" xfId="14632"/>
    <cellStyle name="Input 2 2 3 2 3 3 2 3 2" xfId="28954"/>
    <cellStyle name="Input 2 2 3 2 3 3 2 4" xfId="20277"/>
    <cellStyle name="Input 2 2 3 2 3 3 3" xfId="13253"/>
    <cellStyle name="Input 2 2 3 2 3 3 3 2" xfId="27575"/>
    <cellStyle name="Input 2 2 3 2 3 3 4" xfId="18898"/>
    <cellStyle name="Input 2 2 3 2 3 4" xfId="5696"/>
    <cellStyle name="Input 2 2 3 2 3 4 2" xfId="12249"/>
    <cellStyle name="Input 2 2 3 2 3 4 2 2" xfId="26571"/>
    <cellStyle name="Input 2 2 3 2 3 4 3" xfId="17894"/>
    <cellStyle name="Input 2 2 3 2 3 5" xfId="4163"/>
    <cellStyle name="Input 2 2 3 2 3 5 2" xfId="22791"/>
    <cellStyle name="Input 2 2 3 2 3 6" xfId="17129"/>
    <cellStyle name="Input 2 2 3 2 4" xfId="630"/>
    <cellStyle name="Input 2 2 3 2 4 2" xfId="5949"/>
    <cellStyle name="Input 2 2 3 2 4 2 2" xfId="12506"/>
    <cellStyle name="Input 2 2 3 2 4 2 2 2" xfId="26828"/>
    <cellStyle name="Input 2 2 3 2 4 2 3" xfId="18151"/>
    <cellStyle name="Input 2 2 3 2 4 3" xfId="5004"/>
    <cellStyle name="Input 2 2 3 2 4 3 2" xfId="9538"/>
    <cellStyle name="Input 2 2 3 2 4 3 2 2" xfId="15800"/>
    <cellStyle name="Input 2 2 3 2 4 3 2 2 2" xfId="29216"/>
    <cellStyle name="Input 2 2 3 2 4 3 2 3" xfId="20545"/>
    <cellStyle name="Input 2 2 3 2 4 3 3" xfId="11547"/>
    <cellStyle name="Input 2 2 3 2 4 3 3 2" xfId="25869"/>
    <cellStyle name="Input 2 2 3 2 4 3 4" xfId="15460"/>
    <cellStyle name="Input 2 2 3 2 4 4" xfId="4997"/>
    <cellStyle name="Input 2 2 3 2 4 4 2" xfId="23301"/>
    <cellStyle name="Input 2 2 3 2 4 5" xfId="15505"/>
    <cellStyle name="Input 2 2 3 2 5" xfId="631"/>
    <cellStyle name="Input 2 2 3 2 5 2" xfId="7490"/>
    <cellStyle name="Input 2 2 3 2 5 2 2" xfId="10104"/>
    <cellStyle name="Input 2 2 3 2 5 2 2 2" xfId="16366"/>
    <cellStyle name="Input 2 2 3 2 5 2 2 2 2" xfId="29782"/>
    <cellStyle name="Input 2 2 3 2 5 2 2 3" xfId="21111"/>
    <cellStyle name="Input 2 2 3 2 5 2 3" xfId="14094"/>
    <cellStyle name="Input 2 2 3 2 5 2 3 2" xfId="28416"/>
    <cellStyle name="Input 2 2 3 2 5 2 4" xfId="19739"/>
    <cellStyle name="Input 2 2 3 2 5 3" xfId="12888"/>
    <cellStyle name="Input 2 2 3 2 5 3 2" xfId="27210"/>
    <cellStyle name="Input 2 2 3 2 5 4" xfId="18533"/>
    <cellStyle name="Input 2 2 3 2 6" xfId="5506"/>
    <cellStyle name="Input 2 2 3 2 6 2" xfId="12057"/>
    <cellStyle name="Input 2 2 3 2 6 2 2" xfId="26379"/>
    <cellStyle name="Input 2 2 3 2 6 3" xfId="17702"/>
    <cellStyle name="Input 2 2 3 2 7" xfId="6492"/>
    <cellStyle name="Input 2 2 3 2 7 2" xfId="23568"/>
    <cellStyle name="Input 2 2 3 2 8" xfId="15003"/>
    <cellStyle name="Input 2 2 3 3" xfId="632"/>
    <cellStyle name="Input 2 2 3 3 2" xfId="633"/>
    <cellStyle name="Input 2 2 3 3 2 2" xfId="634"/>
    <cellStyle name="Input 2 2 3 3 2 2 2" xfId="6866"/>
    <cellStyle name="Input 2 2 3 3 2 2 2 2" xfId="13470"/>
    <cellStyle name="Input 2 2 3 3 2 2 2 2 2" xfId="27792"/>
    <cellStyle name="Input 2 2 3 3 2 2 2 3" xfId="19115"/>
    <cellStyle name="Input 2 2 3 3 2 2 3" xfId="7061"/>
    <cellStyle name="Input 2 2 3 3 2 2 3 2" xfId="9675"/>
    <cellStyle name="Input 2 2 3 3 2 2 3 2 2" xfId="15937"/>
    <cellStyle name="Input 2 2 3 3 2 2 3 2 2 2" xfId="29353"/>
    <cellStyle name="Input 2 2 3 3 2 2 3 2 3" xfId="20682"/>
    <cellStyle name="Input 2 2 3 3 2 2 3 3" xfId="13665"/>
    <cellStyle name="Input 2 2 3 3 2 2 3 3 2" xfId="27987"/>
    <cellStyle name="Input 2 2 3 3 2 2 3 4" xfId="19310"/>
    <cellStyle name="Input 2 2 3 3 2 2 4" xfId="11327"/>
    <cellStyle name="Input 2 2 3 3 2 2 4 2" xfId="25649"/>
    <cellStyle name="Input 2 2 3 3 2 2 5" xfId="14777"/>
    <cellStyle name="Input 2 2 3 3 2 3" xfId="635"/>
    <cellStyle name="Input 2 2 3 3 2 3 2" xfId="7099"/>
    <cellStyle name="Input 2 2 3 3 2 3 2 2" xfId="9713"/>
    <cellStyle name="Input 2 2 3 3 2 3 2 2 2" xfId="15975"/>
    <cellStyle name="Input 2 2 3 3 2 3 2 2 2 2" xfId="29391"/>
    <cellStyle name="Input 2 2 3 3 2 3 2 2 3" xfId="20720"/>
    <cellStyle name="Input 2 2 3 3 2 3 2 3" xfId="13703"/>
    <cellStyle name="Input 2 2 3 3 2 3 2 3 2" xfId="28025"/>
    <cellStyle name="Input 2 2 3 3 2 3 2 4" xfId="19348"/>
    <cellStyle name="Input 2 2 3 3 2 3 3" xfId="13348"/>
    <cellStyle name="Input 2 2 3 3 2 3 3 2" xfId="27670"/>
    <cellStyle name="Input 2 2 3 3 2 3 4" xfId="18993"/>
    <cellStyle name="Input 2 2 3 3 2 4" xfId="5798"/>
    <cellStyle name="Input 2 2 3 3 2 4 2" xfId="12351"/>
    <cellStyle name="Input 2 2 3 3 2 4 2 2" xfId="26673"/>
    <cellStyle name="Input 2 2 3 3 2 4 3" xfId="17996"/>
    <cellStyle name="Input 2 2 3 3 2 5" xfId="5653"/>
    <cellStyle name="Input 2 2 3 3 2 5 2" xfId="23359"/>
    <cellStyle name="Input 2 2 3 3 2 6" xfId="15476"/>
    <cellStyle name="Input 2 2 3 3 3" xfId="636"/>
    <cellStyle name="Input 2 2 3 3 3 2" xfId="637"/>
    <cellStyle name="Input 2 2 3 3 3 2 2" xfId="6033"/>
    <cellStyle name="Input 2 2 3 3 3 2 2 2" xfId="12594"/>
    <cellStyle name="Input 2 2 3 3 3 2 2 2 2" xfId="26916"/>
    <cellStyle name="Input 2 2 3 3 3 2 2 3" xfId="18239"/>
    <cellStyle name="Input 2 2 3 3 3 2 3" xfId="7484"/>
    <cellStyle name="Input 2 2 3 3 3 2 3 2" xfId="10098"/>
    <cellStyle name="Input 2 2 3 3 3 2 3 2 2" xfId="16360"/>
    <cellStyle name="Input 2 2 3 3 3 2 3 2 2 2" xfId="29776"/>
    <cellStyle name="Input 2 2 3 3 3 2 3 2 3" xfId="21105"/>
    <cellStyle name="Input 2 2 3 3 3 2 3 3" xfId="14088"/>
    <cellStyle name="Input 2 2 3 3 3 2 3 3 2" xfId="28410"/>
    <cellStyle name="Input 2 2 3 3 3 2 3 4" xfId="19733"/>
    <cellStyle name="Input 2 2 3 3 3 2 4" xfId="6193"/>
    <cellStyle name="Input 2 2 3 3 3 2 4 2" xfId="23455"/>
    <cellStyle name="Input 2 2 3 3 3 2 5" xfId="15196"/>
    <cellStyle name="Input 2 2 3 3 3 3" xfId="638"/>
    <cellStyle name="Input 2 2 3 3 3 3 2" xfId="7203"/>
    <cellStyle name="Input 2 2 3 3 3 3 2 2" xfId="9817"/>
    <cellStyle name="Input 2 2 3 3 3 3 2 2 2" xfId="16079"/>
    <cellStyle name="Input 2 2 3 3 3 3 2 2 2 2" xfId="29495"/>
    <cellStyle name="Input 2 2 3 3 3 3 2 2 3" xfId="20824"/>
    <cellStyle name="Input 2 2 3 3 3 3 2 3" xfId="13807"/>
    <cellStyle name="Input 2 2 3 3 3 3 2 3 2" xfId="28129"/>
    <cellStyle name="Input 2 2 3 3 3 3 2 4" xfId="19452"/>
    <cellStyle name="Input 2 2 3 3 3 3 3" xfId="13075"/>
    <cellStyle name="Input 2 2 3 3 3 3 3 2" xfId="27397"/>
    <cellStyle name="Input 2 2 3 3 3 3 4" xfId="18720"/>
    <cellStyle name="Input 2 2 3 3 3 4" xfId="5422"/>
    <cellStyle name="Input 2 2 3 3 3 4 2" xfId="11973"/>
    <cellStyle name="Input 2 2 3 3 3 4 2 2" xfId="26295"/>
    <cellStyle name="Input 2 2 3 3 3 4 3" xfId="17618"/>
    <cellStyle name="Input 2 2 3 3 3 5" xfId="4393"/>
    <cellStyle name="Input 2 2 3 3 3 5 2" xfId="22925"/>
    <cellStyle name="Input 2 2 3 3 3 6" xfId="5026"/>
    <cellStyle name="Input 2 2 3 3 4" xfId="639"/>
    <cellStyle name="Input 2 2 3 3 4 2" xfId="6430"/>
    <cellStyle name="Input 2 2 3 3 4 2 2" xfId="13013"/>
    <cellStyle name="Input 2 2 3 3 4 2 2 2" xfId="27335"/>
    <cellStyle name="Input 2 2 3 3 4 2 3" xfId="18658"/>
    <cellStyle name="Input 2 2 3 3 4 3" xfId="7340"/>
    <cellStyle name="Input 2 2 3 3 4 3 2" xfId="9954"/>
    <cellStyle name="Input 2 2 3 3 4 3 2 2" xfId="16216"/>
    <cellStyle name="Input 2 2 3 3 4 3 2 2 2" xfId="29632"/>
    <cellStyle name="Input 2 2 3 3 4 3 2 3" xfId="20961"/>
    <cellStyle name="Input 2 2 3 3 4 3 3" xfId="13944"/>
    <cellStyle name="Input 2 2 3 3 4 3 3 2" xfId="28266"/>
    <cellStyle name="Input 2 2 3 3 4 3 4" xfId="19589"/>
    <cellStyle name="Input 2 2 3 3 4 4" xfId="6785"/>
    <cellStyle name="Input 2 2 3 3 4 4 2" xfId="23729"/>
    <cellStyle name="Input 2 2 3 3 4 5" xfId="4697"/>
    <cellStyle name="Input 2 2 3 3 5" xfId="640"/>
    <cellStyle name="Input 2 2 3 3 5 2" xfId="8061"/>
    <cellStyle name="Input 2 2 3 3 5 2 2" xfId="10675"/>
    <cellStyle name="Input 2 2 3 3 5 2 2 2" xfId="16937"/>
    <cellStyle name="Input 2 2 3 3 5 2 2 2 2" xfId="30353"/>
    <cellStyle name="Input 2 2 3 3 5 2 2 3" xfId="21682"/>
    <cellStyle name="Input 2 2 3 3 5 2 3" xfId="14665"/>
    <cellStyle name="Input 2 2 3 3 5 2 3 2" xfId="28987"/>
    <cellStyle name="Input 2 2 3 3 5 2 4" xfId="20310"/>
    <cellStyle name="Input 2 2 3 3 5 3" xfId="12924"/>
    <cellStyle name="Input 2 2 3 3 5 3 2" xfId="27246"/>
    <cellStyle name="Input 2 2 3 3 5 4" xfId="18569"/>
    <cellStyle name="Input 2 2 3 3 6" xfId="5548"/>
    <cellStyle name="Input 2 2 3 3 6 2" xfId="12099"/>
    <cellStyle name="Input 2 2 3 3 6 2 2" xfId="26421"/>
    <cellStyle name="Input 2 2 3 3 6 3" xfId="17744"/>
    <cellStyle name="Input 2 2 3 3 7" xfId="3737"/>
    <cellStyle name="Input 2 2 3 3 7 2" xfId="22555"/>
    <cellStyle name="Input 2 2 3 3 8" xfId="4903"/>
    <cellStyle name="Input 2 2 3 4" xfId="641"/>
    <cellStyle name="Input 2 2 3 4 2" xfId="642"/>
    <cellStyle name="Input 2 2 3 4 2 2" xfId="643"/>
    <cellStyle name="Input 2 2 3 4 2 2 2" xfId="5485"/>
    <cellStyle name="Input 2 2 3 4 2 2 2 2" xfId="12036"/>
    <cellStyle name="Input 2 2 3 4 2 2 2 2 2" xfId="26358"/>
    <cellStyle name="Input 2 2 3 4 2 2 2 3" xfId="17681"/>
    <cellStyle name="Input 2 2 3 4 2 2 3" xfId="7607"/>
    <cellStyle name="Input 2 2 3 4 2 2 3 2" xfId="10221"/>
    <cellStyle name="Input 2 2 3 4 2 2 3 2 2" xfId="16483"/>
    <cellStyle name="Input 2 2 3 4 2 2 3 2 2 2" xfId="29899"/>
    <cellStyle name="Input 2 2 3 4 2 2 3 2 3" xfId="21228"/>
    <cellStyle name="Input 2 2 3 4 2 2 3 3" xfId="14211"/>
    <cellStyle name="Input 2 2 3 4 2 2 3 3 2" xfId="28533"/>
    <cellStyle name="Input 2 2 3 4 2 2 3 4" xfId="19856"/>
    <cellStyle name="Input 2 2 3 4 2 2 4" xfId="6266"/>
    <cellStyle name="Input 2 2 3 4 2 2 4 2" xfId="23483"/>
    <cellStyle name="Input 2 2 3 4 2 2 5" xfId="17071"/>
    <cellStyle name="Input 2 2 3 4 2 3" xfId="644"/>
    <cellStyle name="Input 2 2 3 4 2 3 2" xfId="7422"/>
    <cellStyle name="Input 2 2 3 4 2 3 2 2" xfId="10036"/>
    <cellStyle name="Input 2 2 3 4 2 3 2 2 2" xfId="16298"/>
    <cellStyle name="Input 2 2 3 4 2 3 2 2 2 2" xfId="29714"/>
    <cellStyle name="Input 2 2 3 4 2 3 2 2 3" xfId="21043"/>
    <cellStyle name="Input 2 2 3 4 2 3 2 3" xfId="14026"/>
    <cellStyle name="Input 2 2 3 4 2 3 2 3 2" xfId="28348"/>
    <cellStyle name="Input 2 2 3 4 2 3 2 4" xfId="19671"/>
    <cellStyle name="Input 2 2 3 4 2 3 3" xfId="13193"/>
    <cellStyle name="Input 2 2 3 4 2 3 3 2" xfId="27515"/>
    <cellStyle name="Input 2 2 3 4 2 3 4" xfId="18838"/>
    <cellStyle name="Input 2 2 3 4 2 4" xfId="5630"/>
    <cellStyle name="Input 2 2 3 4 2 4 2" xfId="12183"/>
    <cellStyle name="Input 2 2 3 4 2 4 2 2" xfId="26505"/>
    <cellStyle name="Input 2 2 3 4 2 4 3" xfId="17828"/>
    <cellStyle name="Input 2 2 3 4 2 5" xfId="4984"/>
    <cellStyle name="Input 2 2 3 4 2 5 2" xfId="23294"/>
    <cellStyle name="Input 2 2 3 4 2 6" xfId="15092"/>
    <cellStyle name="Input 2 2 3 4 3" xfId="645"/>
    <cellStyle name="Input 2 2 3 4 3 2" xfId="646"/>
    <cellStyle name="Input 2 2 3 4 3 2 2" xfId="6097"/>
    <cellStyle name="Input 2 2 3 4 3 2 2 2" xfId="12664"/>
    <cellStyle name="Input 2 2 3 4 3 2 2 2 2" xfId="26986"/>
    <cellStyle name="Input 2 2 3 4 3 2 2 3" xfId="18309"/>
    <cellStyle name="Input 2 2 3 4 3 2 3" xfId="7223"/>
    <cellStyle name="Input 2 2 3 4 3 2 3 2" xfId="9837"/>
    <cellStyle name="Input 2 2 3 4 3 2 3 2 2" xfId="16099"/>
    <cellStyle name="Input 2 2 3 4 3 2 3 2 2 2" xfId="29515"/>
    <cellStyle name="Input 2 2 3 4 3 2 3 2 3" xfId="20844"/>
    <cellStyle name="Input 2 2 3 4 3 2 3 3" xfId="13827"/>
    <cellStyle name="Input 2 2 3 4 3 2 3 3 2" xfId="28149"/>
    <cellStyle name="Input 2 2 3 4 3 2 3 4" xfId="19472"/>
    <cellStyle name="Input 2 2 3 4 3 2 4" xfId="3917"/>
    <cellStyle name="Input 2 2 3 4 3 2 4 2" xfId="22645"/>
    <cellStyle name="Input 2 2 3 4 3 2 5" xfId="15000"/>
    <cellStyle name="Input 2 2 3 4 3 3" xfId="647"/>
    <cellStyle name="Input 2 2 3 4 3 3 2" xfId="7267"/>
    <cellStyle name="Input 2 2 3 4 3 3 2 2" xfId="9881"/>
    <cellStyle name="Input 2 2 3 4 3 3 2 2 2" xfId="16143"/>
    <cellStyle name="Input 2 2 3 4 3 3 2 2 2 2" xfId="29559"/>
    <cellStyle name="Input 2 2 3 4 3 3 2 2 3" xfId="20888"/>
    <cellStyle name="Input 2 2 3 4 3 3 2 3" xfId="13871"/>
    <cellStyle name="Input 2 2 3 4 3 3 2 3 2" xfId="28193"/>
    <cellStyle name="Input 2 2 3 4 3 3 2 4" xfId="19516"/>
    <cellStyle name="Input 2 2 3 4 3 3 3" xfId="13077"/>
    <cellStyle name="Input 2 2 3 4 3 3 3 2" xfId="27399"/>
    <cellStyle name="Input 2 2 3 4 3 3 4" xfId="18722"/>
    <cellStyle name="Input 2 2 3 4 3 4" xfId="5425"/>
    <cellStyle name="Input 2 2 3 4 3 4 2" xfId="11976"/>
    <cellStyle name="Input 2 2 3 4 3 4 2 2" xfId="26298"/>
    <cellStyle name="Input 2 2 3 4 3 4 3" xfId="17621"/>
    <cellStyle name="Input 2 2 3 4 3 5" xfId="5005"/>
    <cellStyle name="Input 2 2 3 4 3 5 2" xfId="23305"/>
    <cellStyle name="Input 2 2 3 4 3 6" xfId="4925"/>
    <cellStyle name="Input 2 2 3 4 4" xfId="648"/>
    <cellStyle name="Input 2 2 3 4 4 2" xfId="6017"/>
    <cellStyle name="Input 2 2 3 4 4 2 2" xfId="12577"/>
    <cellStyle name="Input 2 2 3 4 4 2 2 2" xfId="26899"/>
    <cellStyle name="Input 2 2 3 4 4 2 3" xfId="18222"/>
    <cellStyle name="Input 2 2 3 4 4 3" xfId="7390"/>
    <cellStyle name="Input 2 2 3 4 4 3 2" xfId="10004"/>
    <cellStyle name="Input 2 2 3 4 4 3 2 2" xfId="16266"/>
    <cellStyle name="Input 2 2 3 4 4 3 2 2 2" xfId="29682"/>
    <cellStyle name="Input 2 2 3 4 4 3 2 3" xfId="21011"/>
    <cellStyle name="Input 2 2 3 4 4 3 3" xfId="13994"/>
    <cellStyle name="Input 2 2 3 4 4 3 3 2" xfId="28316"/>
    <cellStyle name="Input 2 2 3 4 4 3 4" xfId="19639"/>
    <cellStyle name="Input 2 2 3 4 4 4" xfId="2790"/>
    <cellStyle name="Input 2 2 3 4 4 4 2" xfId="22358"/>
    <cellStyle name="Input 2 2 3 4 4 5" xfId="5025"/>
    <cellStyle name="Input 2 2 3 4 5" xfId="649"/>
    <cellStyle name="Input 2 2 3 4 5 2" xfId="7664"/>
    <cellStyle name="Input 2 2 3 4 5 2 2" xfId="10278"/>
    <cellStyle name="Input 2 2 3 4 5 2 2 2" xfId="16540"/>
    <cellStyle name="Input 2 2 3 4 5 2 2 2 2" xfId="29956"/>
    <cellStyle name="Input 2 2 3 4 5 2 2 3" xfId="21285"/>
    <cellStyle name="Input 2 2 3 4 5 2 3" xfId="14268"/>
    <cellStyle name="Input 2 2 3 4 5 2 3 2" xfId="28590"/>
    <cellStyle name="Input 2 2 3 4 5 2 4" xfId="19913"/>
    <cellStyle name="Input 2 2 3 4 5 3" xfId="11926"/>
    <cellStyle name="Input 2 2 3 4 5 3 2" xfId="26248"/>
    <cellStyle name="Input 2 2 3 4 5 4" xfId="17571"/>
    <cellStyle name="Input 2 2 3 4 6" xfId="4994"/>
    <cellStyle name="Input 2 2 3 4 6 2" xfId="11537"/>
    <cellStyle name="Input 2 2 3 4 6 2 2" xfId="25859"/>
    <cellStyle name="Input 2 2 3 4 6 3" xfId="17097"/>
    <cellStyle name="Input 2 2 3 4 7" xfId="4659"/>
    <cellStyle name="Input 2 2 3 4 7 2" xfId="23100"/>
    <cellStyle name="Input 2 2 3 4 8" xfId="15183"/>
    <cellStyle name="Input 2 2 3 5" xfId="650"/>
    <cellStyle name="Input 2 2 3 5 2" xfId="651"/>
    <cellStyle name="Input 2 2 3 5 2 2" xfId="652"/>
    <cellStyle name="Input 2 2 3 5 2 2 2" xfId="5701"/>
    <cellStyle name="Input 2 2 3 5 2 2 2 2" xfId="12254"/>
    <cellStyle name="Input 2 2 3 5 2 2 2 2 2" xfId="26576"/>
    <cellStyle name="Input 2 2 3 5 2 2 2 3" xfId="17899"/>
    <cellStyle name="Input 2 2 3 5 2 2 3" xfId="4883"/>
    <cellStyle name="Input 2 2 3 5 2 2 3 2" xfId="9509"/>
    <cellStyle name="Input 2 2 3 5 2 2 3 2 2" xfId="15771"/>
    <cellStyle name="Input 2 2 3 5 2 2 3 2 2 2" xfId="29187"/>
    <cellStyle name="Input 2 2 3 5 2 2 3 2 3" xfId="20516"/>
    <cellStyle name="Input 2 2 3 5 2 2 3 3" xfId="11418"/>
    <cellStyle name="Input 2 2 3 5 2 2 3 3 2" xfId="25740"/>
    <cellStyle name="Input 2 2 3 5 2 2 3 4" xfId="14978"/>
    <cellStyle name="Input 2 2 3 5 2 2 4" xfId="3915"/>
    <cellStyle name="Input 2 2 3 5 2 2 4 2" xfId="22644"/>
    <cellStyle name="Input 2 2 3 5 2 2 5" xfId="14958"/>
    <cellStyle name="Input 2 2 3 5 2 3" xfId="653"/>
    <cellStyle name="Input 2 2 3 5 2 3 2" xfId="7045"/>
    <cellStyle name="Input 2 2 3 5 2 3 2 2" xfId="9659"/>
    <cellStyle name="Input 2 2 3 5 2 3 2 2 2" xfId="15921"/>
    <cellStyle name="Input 2 2 3 5 2 3 2 2 2 2" xfId="29337"/>
    <cellStyle name="Input 2 2 3 5 2 3 2 2 3" xfId="20666"/>
    <cellStyle name="Input 2 2 3 5 2 3 2 3" xfId="13649"/>
    <cellStyle name="Input 2 2 3 5 2 3 2 3 2" xfId="27971"/>
    <cellStyle name="Input 2 2 3 5 2 3 2 4" xfId="19294"/>
    <cellStyle name="Input 2 2 3 5 2 3 3" xfId="11609"/>
    <cellStyle name="Input 2 2 3 5 2 3 3 2" xfId="25931"/>
    <cellStyle name="Input 2 2 3 5 2 3 4" xfId="6471"/>
    <cellStyle name="Input 2 2 3 5 2 4" xfId="5006"/>
    <cellStyle name="Input 2 2 3 5 2 4 2" xfId="11551"/>
    <cellStyle name="Input 2 2 3 5 2 4 2 2" xfId="25873"/>
    <cellStyle name="Input 2 2 3 5 2 4 3" xfId="15319"/>
    <cellStyle name="Input 2 2 3 5 2 5" xfId="4440"/>
    <cellStyle name="Input 2 2 3 5 2 5 2" xfId="22954"/>
    <cellStyle name="Input 2 2 3 5 2 6" xfId="14846"/>
    <cellStyle name="Input 2 2 3 5 3" xfId="654"/>
    <cellStyle name="Input 2 2 3 5 3 2" xfId="5985"/>
    <cellStyle name="Input 2 2 3 5 3 2 2" xfId="12543"/>
    <cellStyle name="Input 2 2 3 5 3 2 2 2" xfId="26865"/>
    <cellStyle name="Input 2 2 3 5 3 2 3" xfId="18188"/>
    <cellStyle name="Input 2 2 3 5 3 3" xfId="7076"/>
    <cellStyle name="Input 2 2 3 5 3 3 2" xfId="9690"/>
    <cellStyle name="Input 2 2 3 5 3 3 2 2" xfId="15952"/>
    <cellStyle name="Input 2 2 3 5 3 3 2 2 2" xfId="29368"/>
    <cellStyle name="Input 2 2 3 5 3 3 2 3" xfId="20697"/>
    <cellStyle name="Input 2 2 3 5 3 3 3" xfId="13680"/>
    <cellStyle name="Input 2 2 3 5 3 3 3 2" xfId="28002"/>
    <cellStyle name="Input 2 2 3 5 3 3 4" xfId="19325"/>
    <cellStyle name="Input 2 2 3 5 3 4" xfId="6712"/>
    <cellStyle name="Input 2 2 3 5 3 4 2" xfId="23667"/>
    <cellStyle name="Input 2 2 3 5 3 5" xfId="15420"/>
    <cellStyle name="Input 2 2 3 5 4" xfId="655"/>
    <cellStyle name="Input 2 2 3 5 4 2" xfId="7512"/>
    <cellStyle name="Input 2 2 3 5 4 2 2" xfId="10126"/>
    <cellStyle name="Input 2 2 3 5 4 2 2 2" xfId="16388"/>
    <cellStyle name="Input 2 2 3 5 4 2 2 2 2" xfId="29804"/>
    <cellStyle name="Input 2 2 3 5 4 2 2 3" xfId="21133"/>
    <cellStyle name="Input 2 2 3 5 4 2 3" xfId="14116"/>
    <cellStyle name="Input 2 2 3 5 4 2 3 2" xfId="28438"/>
    <cellStyle name="Input 2 2 3 5 4 2 4" xfId="19761"/>
    <cellStyle name="Input 2 2 3 5 4 3" xfId="12850"/>
    <cellStyle name="Input 2 2 3 5 4 3 2" xfId="27172"/>
    <cellStyle name="Input 2 2 3 5 4 4" xfId="18495"/>
    <cellStyle name="Input 2 2 3 5 5" xfId="5439"/>
    <cellStyle name="Input 2 2 3 5 5 2" xfId="11990"/>
    <cellStyle name="Input 2 2 3 5 5 2 2" xfId="26312"/>
    <cellStyle name="Input 2 2 3 5 5 3" xfId="17635"/>
    <cellStyle name="Input 2 2 3 5 6" xfId="4801"/>
    <cellStyle name="Input 2 2 3 5 6 2" xfId="23194"/>
    <cellStyle name="Input 2 2 3 5 7" xfId="14903"/>
    <cellStyle name="Input 2 2 3 6" xfId="656"/>
    <cellStyle name="Input 2 2 3 6 2" xfId="657"/>
    <cellStyle name="Input 2 2 3 6 2 2" xfId="6948"/>
    <cellStyle name="Input 2 2 3 6 2 2 2" xfId="13552"/>
    <cellStyle name="Input 2 2 3 6 2 2 2 2" xfId="27874"/>
    <cellStyle name="Input 2 2 3 6 2 2 3" xfId="19197"/>
    <cellStyle name="Input 2 2 3 6 2 3" xfId="7369"/>
    <cellStyle name="Input 2 2 3 6 2 3 2" xfId="9983"/>
    <cellStyle name="Input 2 2 3 6 2 3 2 2" xfId="16245"/>
    <cellStyle name="Input 2 2 3 6 2 3 2 2 2" xfId="29661"/>
    <cellStyle name="Input 2 2 3 6 2 3 2 3" xfId="20990"/>
    <cellStyle name="Input 2 2 3 6 2 3 3" xfId="13973"/>
    <cellStyle name="Input 2 2 3 6 2 3 3 2" xfId="28295"/>
    <cellStyle name="Input 2 2 3 6 2 3 4" xfId="19618"/>
    <cellStyle name="Input 2 2 3 6 2 4" xfId="11442"/>
    <cellStyle name="Input 2 2 3 6 2 4 2" xfId="25764"/>
    <cellStyle name="Input 2 2 3 6 2 5" xfId="14873"/>
    <cellStyle name="Input 2 2 3 6 3" xfId="658"/>
    <cellStyle name="Input 2 2 3 6 3 2" xfId="5332"/>
    <cellStyle name="Input 2 2 3 6 3 2 2" xfId="9641"/>
    <cellStyle name="Input 2 2 3 6 3 2 2 2" xfId="15903"/>
    <cellStyle name="Input 2 2 3 6 3 2 2 2 2" xfId="29319"/>
    <cellStyle name="Input 2 2 3 6 3 2 2 3" xfId="20648"/>
    <cellStyle name="Input 2 2 3 6 3 2 3" xfId="11882"/>
    <cellStyle name="Input 2 2 3 6 3 2 3 2" xfId="26204"/>
    <cellStyle name="Input 2 2 3 6 3 2 4" xfId="17527"/>
    <cellStyle name="Input 2 2 3 6 3 3" xfId="13090"/>
    <cellStyle name="Input 2 2 3 6 3 3 2" xfId="27412"/>
    <cellStyle name="Input 2 2 3 6 3 4" xfId="18735"/>
    <cellStyle name="Input 2 2 3 6 4" xfId="5445"/>
    <cellStyle name="Input 2 2 3 6 4 2" xfId="11996"/>
    <cellStyle name="Input 2 2 3 6 4 2 2" xfId="26318"/>
    <cellStyle name="Input 2 2 3 6 4 3" xfId="17641"/>
    <cellStyle name="Input 2 2 3 6 5" xfId="6778"/>
    <cellStyle name="Input 2 2 3 6 5 2" xfId="23723"/>
    <cellStyle name="Input 2 2 3 6 6" xfId="17323"/>
    <cellStyle name="Input 2 2 3 7" xfId="659"/>
    <cellStyle name="Input 2 2 3 7 2" xfId="6488"/>
    <cellStyle name="Input 2 2 3 7 2 2" xfId="13071"/>
    <cellStyle name="Input 2 2 3 7 2 2 2" xfId="27393"/>
    <cellStyle name="Input 2 2 3 7 2 3" xfId="18716"/>
    <cellStyle name="Input 2 2 3 7 3" xfId="4789"/>
    <cellStyle name="Input 2 2 3 7 3 2" xfId="9485"/>
    <cellStyle name="Input 2 2 3 7 3 2 2" xfId="15747"/>
    <cellStyle name="Input 2 2 3 7 3 2 2 2" xfId="29163"/>
    <cellStyle name="Input 2 2 3 7 3 2 3" xfId="20492"/>
    <cellStyle name="Input 2 2 3 7 3 3" xfId="11318"/>
    <cellStyle name="Input 2 2 3 7 3 3 2" xfId="25640"/>
    <cellStyle name="Input 2 2 3 7 3 4" xfId="17087"/>
    <cellStyle name="Input 2 2 3 7 4" xfId="4175"/>
    <cellStyle name="Input 2 2 3 7 4 2" xfId="22798"/>
    <cellStyle name="Input 2 2 3 7 5" xfId="15592"/>
    <cellStyle name="Input 2 2 3 8" xfId="660"/>
    <cellStyle name="Input 2 2 3 8 2" xfId="7081"/>
    <cellStyle name="Input 2 2 3 8 2 2" xfId="9695"/>
    <cellStyle name="Input 2 2 3 8 2 2 2" xfId="15957"/>
    <cellStyle name="Input 2 2 3 8 2 2 2 2" xfId="29373"/>
    <cellStyle name="Input 2 2 3 8 2 2 3" xfId="20702"/>
    <cellStyle name="Input 2 2 3 8 2 3" xfId="13685"/>
    <cellStyle name="Input 2 2 3 8 2 3 2" xfId="28007"/>
    <cellStyle name="Input 2 2 3 8 2 4" xfId="19330"/>
    <cellStyle name="Input 2 2 3 8 3" xfId="12748"/>
    <cellStyle name="Input 2 2 3 8 3 2" xfId="27070"/>
    <cellStyle name="Input 2 2 3 8 4" xfId="18393"/>
    <cellStyle name="Input 2 2 3 9" xfId="5379"/>
    <cellStyle name="Input 2 2 3 9 2" xfId="11929"/>
    <cellStyle name="Input 2 2 3 9 2 2" xfId="26251"/>
    <cellStyle name="Input 2 2 3 9 3" xfId="17574"/>
    <cellStyle name="Input 2 2 4" xfId="661"/>
    <cellStyle name="Input 2 2 4 2" xfId="662"/>
    <cellStyle name="Input 2 2 4 2 2" xfId="663"/>
    <cellStyle name="Input 2 2 4 2 2 2" xfId="6400"/>
    <cellStyle name="Input 2 2 4 2 2 2 2" xfId="12983"/>
    <cellStyle name="Input 2 2 4 2 2 2 2 2" xfId="27305"/>
    <cellStyle name="Input 2 2 4 2 2 2 3" xfId="18628"/>
    <cellStyle name="Input 2 2 4 2 2 3" xfId="3899"/>
    <cellStyle name="Input 2 2 4 2 2 3 2" xfId="9390"/>
    <cellStyle name="Input 2 2 4 2 2 3 2 2" xfId="15652"/>
    <cellStyle name="Input 2 2 4 2 2 3 2 2 2" xfId="29068"/>
    <cellStyle name="Input 2 2 4 2 2 3 2 3" xfId="20397"/>
    <cellStyle name="Input 2 2 4 2 2 3 3" xfId="4920"/>
    <cellStyle name="Input 2 2 4 2 2 3 3 2" xfId="23263"/>
    <cellStyle name="Input 2 2 4 2 2 3 4" xfId="17251"/>
    <cellStyle name="Input 2 2 4 2 2 4" xfId="2795"/>
    <cellStyle name="Input 2 2 4 2 2 4 2" xfId="22362"/>
    <cellStyle name="Input 2 2 4 2 2 5" xfId="14744"/>
    <cellStyle name="Input 2 2 4 2 3" xfId="664"/>
    <cellStyle name="Input 2 2 4 2 3 2" xfId="4248"/>
    <cellStyle name="Input 2 2 4 2 3 2 2" xfId="9433"/>
    <cellStyle name="Input 2 2 4 2 3 2 2 2" xfId="15695"/>
    <cellStyle name="Input 2 2 4 2 3 2 2 2 2" xfId="29111"/>
    <cellStyle name="Input 2 2 4 2 3 2 2 3" xfId="20440"/>
    <cellStyle name="Input 2 2 4 2 3 2 3" xfId="5059"/>
    <cellStyle name="Input 2 2 4 2 3 2 3 2" xfId="23321"/>
    <cellStyle name="Input 2 2 4 2 3 2 4" xfId="17206"/>
    <cellStyle name="Input 2 2 4 2 3 3" xfId="13249"/>
    <cellStyle name="Input 2 2 4 2 3 3 2" xfId="27571"/>
    <cellStyle name="Input 2 2 4 2 3 4" xfId="18894"/>
    <cellStyle name="Input 2 2 4 2 4" xfId="5691"/>
    <cellStyle name="Input 2 2 4 2 4 2" xfId="12244"/>
    <cellStyle name="Input 2 2 4 2 4 2 2" xfId="26566"/>
    <cellStyle name="Input 2 2 4 2 4 3" xfId="17889"/>
    <cellStyle name="Input 2 2 4 2 5" xfId="5024"/>
    <cellStyle name="Input 2 2 4 2 5 2" xfId="23312"/>
    <cellStyle name="Input 2 2 4 2 6" xfId="17216"/>
    <cellStyle name="Input 2 2 4 3" xfId="665"/>
    <cellStyle name="Input 2 2 4 3 2" xfId="666"/>
    <cellStyle name="Input 2 2 4 3 2 2" xfId="5938"/>
    <cellStyle name="Input 2 2 4 3 2 2 2" xfId="12495"/>
    <cellStyle name="Input 2 2 4 3 2 2 2 2" xfId="26817"/>
    <cellStyle name="Input 2 2 4 3 2 2 3" xfId="18140"/>
    <cellStyle name="Input 2 2 4 3 2 3" xfId="5343"/>
    <cellStyle name="Input 2 2 4 3 2 3 2" xfId="9652"/>
    <cellStyle name="Input 2 2 4 3 2 3 2 2" xfId="15914"/>
    <cellStyle name="Input 2 2 4 3 2 3 2 2 2" xfId="29330"/>
    <cellStyle name="Input 2 2 4 3 2 3 2 3" xfId="20659"/>
    <cellStyle name="Input 2 2 4 3 2 3 3" xfId="11893"/>
    <cellStyle name="Input 2 2 4 3 2 3 3 2" xfId="26215"/>
    <cellStyle name="Input 2 2 4 3 2 3 4" xfId="17538"/>
    <cellStyle name="Input 2 2 4 3 2 4" xfId="6247"/>
    <cellStyle name="Input 2 2 4 3 2 4 2" xfId="23471"/>
    <cellStyle name="Input 2 2 4 3 2 5" xfId="14763"/>
    <cellStyle name="Input 2 2 4 3 3" xfId="667"/>
    <cellStyle name="Input 2 2 4 3 3 2" xfId="7997"/>
    <cellStyle name="Input 2 2 4 3 3 2 2" xfId="10611"/>
    <cellStyle name="Input 2 2 4 3 3 2 2 2" xfId="16873"/>
    <cellStyle name="Input 2 2 4 3 3 2 2 2 2" xfId="30289"/>
    <cellStyle name="Input 2 2 4 3 3 2 2 3" xfId="21618"/>
    <cellStyle name="Input 2 2 4 3 3 2 3" xfId="14601"/>
    <cellStyle name="Input 2 2 4 3 3 2 3 2" xfId="28923"/>
    <cellStyle name="Input 2 2 4 3 3 2 4" xfId="20246"/>
    <cellStyle name="Input 2 2 4 3 3 3" xfId="13378"/>
    <cellStyle name="Input 2 2 4 3 3 3 2" xfId="27700"/>
    <cellStyle name="Input 2 2 4 3 3 4" xfId="19023"/>
    <cellStyle name="Input 2 2 4 3 4" xfId="5832"/>
    <cellStyle name="Input 2 2 4 3 4 2" xfId="12385"/>
    <cellStyle name="Input 2 2 4 3 4 2 2" xfId="26707"/>
    <cellStyle name="Input 2 2 4 3 4 3" xfId="18030"/>
    <cellStyle name="Input 2 2 4 3 5" xfId="4748"/>
    <cellStyle name="Input 2 2 4 3 5 2" xfId="23168"/>
    <cellStyle name="Input 2 2 4 3 6" xfId="14937"/>
    <cellStyle name="Input 2 2 4 4" xfId="668"/>
    <cellStyle name="Input 2 2 4 4 2" xfId="7030"/>
    <cellStyle name="Input 2 2 4 4 2 2" xfId="13634"/>
    <cellStyle name="Input 2 2 4 4 2 2 2" xfId="27956"/>
    <cellStyle name="Input 2 2 4 4 2 3" xfId="19279"/>
    <cellStyle name="Input 2 2 4 4 3" xfId="8008"/>
    <cellStyle name="Input 2 2 4 4 3 2" xfId="10622"/>
    <cellStyle name="Input 2 2 4 4 3 2 2" xfId="16884"/>
    <cellStyle name="Input 2 2 4 4 3 2 2 2" xfId="30300"/>
    <cellStyle name="Input 2 2 4 4 3 2 3" xfId="21629"/>
    <cellStyle name="Input 2 2 4 4 3 3" xfId="14612"/>
    <cellStyle name="Input 2 2 4 4 3 3 2" xfId="28934"/>
    <cellStyle name="Input 2 2 4 4 3 4" xfId="20257"/>
    <cellStyle name="Input 2 2 4 4 4" xfId="11570"/>
    <cellStyle name="Input 2 2 4 4 4 2" xfId="25892"/>
    <cellStyle name="Input 2 2 4 4 5" xfId="16970"/>
    <cellStyle name="Input 2 2 4 5" xfId="669"/>
    <cellStyle name="Input 2 2 4 5 2" xfId="7834"/>
    <cellStyle name="Input 2 2 4 5 2 2" xfId="10448"/>
    <cellStyle name="Input 2 2 4 5 2 2 2" xfId="16710"/>
    <cellStyle name="Input 2 2 4 5 2 2 2 2" xfId="30126"/>
    <cellStyle name="Input 2 2 4 5 2 2 3" xfId="21455"/>
    <cellStyle name="Input 2 2 4 5 2 3" xfId="14438"/>
    <cellStyle name="Input 2 2 4 5 2 3 2" xfId="28760"/>
    <cellStyle name="Input 2 2 4 5 2 4" xfId="20083"/>
    <cellStyle name="Input 2 2 4 5 3" xfId="12735"/>
    <cellStyle name="Input 2 2 4 5 3 2" xfId="27057"/>
    <cellStyle name="Input 2 2 4 5 4" xfId="18380"/>
    <cellStyle name="Input 2 2 4 6" xfId="5151"/>
    <cellStyle name="Input 2 2 4 6 2" xfId="11700"/>
    <cellStyle name="Input 2 2 4 6 2 2" xfId="26022"/>
    <cellStyle name="Input 2 2 4 6 3" xfId="4623"/>
    <cellStyle name="Input 2 2 4 7" xfId="4571"/>
    <cellStyle name="Input 2 2 4 7 2" xfId="23038"/>
    <cellStyle name="Input 2 2 4 8" xfId="17266"/>
    <cellStyle name="Input 2 2 5" xfId="670"/>
    <cellStyle name="Input 2 2 5 2" xfId="671"/>
    <cellStyle name="Input 2 2 5 2 2" xfId="672"/>
    <cellStyle name="Input 2 2 5 2 2 2" xfId="6530"/>
    <cellStyle name="Input 2 2 5 2 2 2 2" xfId="13118"/>
    <cellStyle name="Input 2 2 5 2 2 2 2 2" xfId="27440"/>
    <cellStyle name="Input 2 2 5 2 2 2 3" xfId="18763"/>
    <cellStyle name="Input 2 2 5 2 2 3" xfId="7920"/>
    <cellStyle name="Input 2 2 5 2 2 3 2" xfId="10534"/>
    <cellStyle name="Input 2 2 5 2 2 3 2 2" xfId="16796"/>
    <cellStyle name="Input 2 2 5 2 2 3 2 2 2" xfId="30212"/>
    <cellStyle name="Input 2 2 5 2 2 3 2 3" xfId="21541"/>
    <cellStyle name="Input 2 2 5 2 2 3 3" xfId="14524"/>
    <cellStyle name="Input 2 2 5 2 2 3 3 2" xfId="28846"/>
    <cellStyle name="Input 2 2 5 2 2 3 4" xfId="20169"/>
    <cellStyle name="Input 2 2 5 2 2 4" xfId="4935"/>
    <cellStyle name="Input 2 2 5 2 2 4 2" xfId="23270"/>
    <cellStyle name="Input 2 2 5 2 2 5" xfId="14712"/>
    <cellStyle name="Input 2 2 5 2 3" xfId="673"/>
    <cellStyle name="Input 2 2 5 2 3 2" xfId="4944"/>
    <cellStyle name="Input 2 2 5 2 3 2 2" xfId="9522"/>
    <cellStyle name="Input 2 2 5 2 3 2 2 2" xfId="15784"/>
    <cellStyle name="Input 2 2 5 2 3 2 2 2 2" xfId="29200"/>
    <cellStyle name="Input 2 2 5 2 3 2 2 3" xfId="20529"/>
    <cellStyle name="Input 2 2 5 2 3 2 3" xfId="11483"/>
    <cellStyle name="Input 2 2 5 2 3 2 3 2" xfId="25805"/>
    <cellStyle name="Input 2 2 5 2 3 2 4" xfId="14933"/>
    <cellStyle name="Input 2 2 5 2 3 3" xfId="12492"/>
    <cellStyle name="Input 2 2 5 2 3 3 2" xfId="26814"/>
    <cellStyle name="Input 2 2 5 2 3 4" xfId="18137"/>
    <cellStyle name="Input 2 2 5 2 4" xfId="5116"/>
    <cellStyle name="Input 2 2 5 2 4 2" xfId="11664"/>
    <cellStyle name="Input 2 2 5 2 4 2 2" xfId="25986"/>
    <cellStyle name="Input 2 2 5 2 4 3" xfId="16993"/>
    <cellStyle name="Input 2 2 5 2 5" xfId="4692"/>
    <cellStyle name="Input 2 2 5 2 5 2" xfId="23128"/>
    <cellStyle name="Input 2 2 5 2 6" xfId="15112"/>
    <cellStyle name="Input 2 2 5 3" xfId="674"/>
    <cellStyle name="Input 2 2 5 3 2" xfId="675"/>
    <cellStyle name="Input 2 2 5 3 2 2" xfId="5699"/>
    <cellStyle name="Input 2 2 5 3 2 2 2" xfId="12252"/>
    <cellStyle name="Input 2 2 5 3 2 2 2 2" xfId="26574"/>
    <cellStyle name="Input 2 2 5 3 2 2 3" xfId="17897"/>
    <cellStyle name="Input 2 2 5 3 2 3" xfId="7374"/>
    <cellStyle name="Input 2 2 5 3 2 3 2" xfId="9988"/>
    <cellStyle name="Input 2 2 5 3 2 3 2 2" xfId="16250"/>
    <cellStyle name="Input 2 2 5 3 2 3 2 2 2" xfId="29666"/>
    <cellStyle name="Input 2 2 5 3 2 3 2 3" xfId="20995"/>
    <cellStyle name="Input 2 2 5 3 2 3 3" xfId="13978"/>
    <cellStyle name="Input 2 2 5 3 2 3 3 2" xfId="28300"/>
    <cellStyle name="Input 2 2 5 3 2 3 4" xfId="19623"/>
    <cellStyle name="Input 2 2 5 3 2 4" xfId="4058"/>
    <cellStyle name="Input 2 2 5 3 2 4 2" xfId="22733"/>
    <cellStyle name="Input 2 2 5 3 2 5" xfId="14886"/>
    <cellStyle name="Input 2 2 5 3 3" xfId="676"/>
    <cellStyle name="Input 2 2 5 3 3 2" xfId="7163"/>
    <cellStyle name="Input 2 2 5 3 3 2 2" xfId="9777"/>
    <cellStyle name="Input 2 2 5 3 3 2 2 2" xfId="16039"/>
    <cellStyle name="Input 2 2 5 3 3 2 2 2 2" xfId="29455"/>
    <cellStyle name="Input 2 2 5 3 3 2 2 3" xfId="20784"/>
    <cellStyle name="Input 2 2 5 3 3 2 3" xfId="13767"/>
    <cellStyle name="Input 2 2 5 3 3 2 3 2" xfId="28089"/>
    <cellStyle name="Input 2 2 5 3 3 2 4" xfId="19412"/>
    <cellStyle name="Input 2 2 5 3 3 3" xfId="12472"/>
    <cellStyle name="Input 2 2 5 3 3 3 2" xfId="26794"/>
    <cellStyle name="Input 2 2 5 3 3 4" xfId="18117"/>
    <cellStyle name="Input 2 2 5 3 4" xfId="5014"/>
    <cellStyle name="Input 2 2 5 3 4 2" xfId="11560"/>
    <cellStyle name="Input 2 2 5 3 4 2 2" xfId="25882"/>
    <cellStyle name="Input 2 2 5 3 4 3" xfId="5914"/>
    <cellStyle name="Input 2 2 5 3 5" xfId="4225"/>
    <cellStyle name="Input 2 2 5 3 5 2" xfId="22837"/>
    <cellStyle name="Input 2 2 5 3 6" xfId="15536"/>
    <cellStyle name="Input 2 2 5 4" xfId="677"/>
    <cellStyle name="Input 2 2 5 4 2" xfId="6273"/>
    <cellStyle name="Input 2 2 5 4 2 2" xfId="12854"/>
    <cellStyle name="Input 2 2 5 4 2 2 2" xfId="27176"/>
    <cellStyle name="Input 2 2 5 4 2 3" xfId="18499"/>
    <cellStyle name="Input 2 2 5 4 3" xfId="7451"/>
    <cellStyle name="Input 2 2 5 4 3 2" xfId="10065"/>
    <cellStyle name="Input 2 2 5 4 3 2 2" xfId="16327"/>
    <cellStyle name="Input 2 2 5 4 3 2 2 2" xfId="29743"/>
    <cellStyle name="Input 2 2 5 4 3 2 3" xfId="21072"/>
    <cellStyle name="Input 2 2 5 4 3 3" xfId="14055"/>
    <cellStyle name="Input 2 2 5 4 3 3 2" xfId="28377"/>
    <cellStyle name="Input 2 2 5 4 3 4" xfId="19700"/>
    <cellStyle name="Input 2 2 5 4 4" xfId="6608"/>
    <cellStyle name="Input 2 2 5 4 4 2" xfId="23600"/>
    <cellStyle name="Input 2 2 5 4 5" xfId="4380"/>
    <cellStyle name="Input 2 2 5 5" xfId="678"/>
    <cellStyle name="Input 2 2 5 5 2" xfId="7059"/>
    <cellStyle name="Input 2 2 5 5 2 2" xfId="9673"/>
    <cellStyle name="Input 2 2 5 5 2 2 2" xfId="15935"/>
    <cellStyle name="Input 2 2 5 5 2 2 2 2" xfId="29351"/>
    <cellStyle name="Input 2 2 5 5 2 2 3" xfId="20680"/>
    <cellStyle name="Input 2 2 5 5 2 3" xfId="13663"/>
    <cellStyle name="Input 2 2 5 5 2 3 2" xfId="27985"/>
    <cellStyle name="Input 2 2 5 5 2 4" xfId="19308"/>
    <cellStyle name="Input 2 2 5 5 3" xfId="12122"/>
    <cellStyle name="Input 2 2 5 5 3 2" xfId="26444"/>
    <cellStyle name="Input 2 2 5 5 4" xfId="17767"/>
    <cellStyle name="Input 2 2 5 6" xfId="5241"/>
    <cellStyle name="Input 2 2 5 6 2" xfId="11791"/>
    <cellStyle name="Input 2 2 5 6 2 2" xfId="26113"/>
    <cellStyle name="Input 2 2 5 6 3" xfId="17436"/>
    <cellStyle name="Input 2 2 5 7" xfId="4475"/>
    <cellStyle name="Input 2 2 5 7 2" xfId="22973"/>
    <cellStyle name="Input 2 2 5 8" xfId="4913"/>
    <cellStyle name="Input 2 2 6" xfId="679"/>
    <cellStyle name="Input 2 2 6 2" xfId="680"/>
    <cellStyle name="Input 2 2 6 2 2" xfId="681"/>
    <cellStyle name="Input 2 2 6 2 2 2" xfId="7016"/>
    <cellStyle name="Input 2 2 6 2 2 2 2" xfId="13620"/>
    <cellStyle name="Input 2 2 6 2 2 2 2 2" xfId="27942"/>
    <cellStyle name="Input 2 2 6 2 2 2 3" xfId="19265"/>
    <cellStyle name="Input 2 2 6 2 2 3" xfId="7878"/>
    <cellStyle name="Input 2 2 6 2 2 3 2" xfId="10492"/>
    <cellStyle name="Input 2 2 6 2 2 3 2 2" xfId="16754"/>
    <cellStyle name="Input 2 2 6 2 2 3 2 2 2" xfId="30170"/>
    <cellStyle name="Input 2 2 6 2 2 3 2 3" xfId="21499"/>
    <cellStyle name="Input 2 2 6 2 2 3 3" xfId="14482"/>
    <cellStyle name="Input 2 2 6 2 2 3 3 2" xfId="28804"/>
    <cellStyle name="Input 2 2 6 2 2 3 4" xfId="20127"/>
    <cellStyle name="Input 2 2 6 2 2 4" xfId="11545"/>
    <cellStyle name="Input 2 2 6 2 2 4 2" xfId="25867"/>
    <cellStyle name="Input 2 2 6 2 2 5" xfId="17057"/>
    <cellStyle name="Input 2 2 6 2 3" xfId="682"/>
    <cellStyle name="Input 2 2 6 2 3 2" xfId="7287"/>
    <cellStyle name="Input 2 2 6 2 3 2 2" xfId="9901"/>
    <cellStyle name="Input 2 2 6 2 3 2 2 2" xfId="16163"/>
    <cellStyle name="Input 2 2 6 2 3 2 2 2 2" xfId="29579"/>
    <cellStyle name="Input 2 2 6 2 3 2 2 3" xfId="20908"/>
    <cellStyle name="Input 2 2 6 2 3 2 3" xfId="13891"/>
    <cellStyle name="Input 2 2 6 2 3 2 3 2" xfId="28213"/>
    <cellStyle name="Input 2 2 6 2 3 2 4" xfId="19536"/>
    <cellStyle name="Input 2 2 6 2 3 3" xfId="13197"/>
    <cellStyle name="Input 2 2 6 2 3 3 2" xfId="27519"/>
    <cellStyle name="Input 2 2 6 2 3 4" xfId="18842"/>
    <cellStyle name="Input 2 2 6 2 4" xfId="5634"/>
    <cellStyle name="Input 2 2 6 2 4 2" xfId="12187"/>
    <cellStyle name="Input 2 2 6 2 4 2 2" xfId="26509"/>
    <cellStyle name="Input 2 2 6 2 4 3" xfId="17832"/>
    <cellStyle name="Input 2 2 6 2 5" xfId="4891"/>
    <cellStyle name="Input 2 2 6 2 5 2" xfId="23249"/>
    <cellStyle name="Input 2 2 6 2 6" xfId="15160"/>
    <cellStyle name="Input 2 2 6 3" xfId="683"/>
    <cellStyle name="Input 2 2 6 3 2" xfId="684"/>
    <cellStyle name="Input 2 2 6 3 2 2" xfId="6585"/>
    <cellStyle name="Input 2 2 6 3 2 2 2" xfId="13174"/>
    <cellStyle name="Input 2 2 6 3 2 2 2 2" xfId="27496"/>
    <cellStyle name="Input 2 2 6 3 2 2 3" xfId="18819"/>
    <cellStyle name="Input 2 2 6 3 2 3" xfId="7829"/>
    <cellStyle name="Input 2 2 6 3 2 3 2" xfId="10443"/>
    <cellStyle name="Input 2 2 6 3 2 3 2 2" xfId="16705"/>
    <cellStyle name="Input 2 2 6 3 2 3 2 2 2" xfId="30121"/>
    <cellStyle name="Input 2 2 6 3 2 3 2 3" xfId="21450"/>
    <cellStyle name="Input 2 2 6 3 2 3 3" xfId="14433"/>
    <cellStyle name="Input 2 2 6 3 2 3 3 2" xfId="28755"/>
    <cellStyle name="Input 2 2 6 3 2 3 4" xfId="20078"/>
    <cellStyle name="Input 2 2 6 3 2 4" xfId="4672"/>
    <cellStyle name="Input 2 2 6 3 2 4 2" xfId="23111"/>
    <cellStyle name="Input 2 2 6 3 2 5" xfId="17283"/>
    <cellStyle name="Input 2 2 6 3 3" xfId="685"/>
    <cellStyle name="Input 2 2 6 3 3 2" xfId="4854"/>
    <cellStyle name="Input 2 2 6 3 3 2 2" xfId="9504"/>
    <cellStyle name="Input 2 2 6 3 3 2 2 2" xfId="15766"/>
    <cellStyle name="Input 2 2 6 3 3 2 2 2 2" xfId="29182"/>
    <cellStyle name="Input 2 2 6 3 3 2 2 3" xfId="20511"/>
    <cellStyle name="Input 2 2 6 3 3 2 3" xfId="11388"/>
    <cellStyle name="Input 2 2 6 3 3 2 3 2" xfId="25710"/>
    <cellStyle name="Input 2 2 6 3 3 2 4" xfId="14695"/>
    <cellStyle name="Input 2 2 6 3 3 3" xfId="12665"/>
    <cellStyle name="Input 2 2 6 3 3 3 2" xfId="26987"/>
    <cellStyle name="Input 2 2 6 3 3 4" xfId="18310"/>
    <cellStyle name="Input 2 2 6 3 4" xfId="5127"/>
    <cellStyle name="Input 2 2 6 3 4 2" xfId="11676"/>
    <cellStyle name="Input 2 2 6 3 4 2 2" xfId="25998"/>
    <cellStyle name="Input 2 2 6 3 4 3" xfId="15046"/>
    <cellStyle name="Input 2 2 6 3 5" xfId="4633"/>
    <cellStyle name="Input 2 2 6 3 5 2" xfId="23078"/>
    <cellStyle name="Input 2 2 6 3 6" xfId="4617"/>
    <cellStyle name="Input 2 2 6 4" xfId="686"/>
    <cellStyle name="Input 2 2 6 4 2" xfId="6868"/>
    <cellStyle name="Input 2 2 6 4 2 2" xfId="13472"/>
    <cellStyle name="Input 2 2 6 4 2 2 2" xfId="27794"/>
    <cellStyle name="Input 2 2 6 4 2 3" xfId="19117"/>
    <cellStyle name="Input 2 2 6 4 3" xfId="4092"/>
    <cellStyle name="Input 2 2 6 4 3 2" xfId="9423"/>
    <cellStyle name="Input 2 2 6 4 3 2 2" xfId="15685"/>
    <cellStyle name="Input 2 2 6 4 3 2 2 2" xfId="29101"/>
    <cellStyle name="Input 2 2 6 4 3 2 3" xfId="20430"/>
    <cellStyle name="Input 2 2 6 4 3 3" xfId="5962"/>
    <cellStyle name="Input 2 2 6 4 3 3 2" xfId="23383"/>
    <cellStyle name="Input 2 2 6 4 3 4" xfId="17341"/>
    <cellStyle name="Input 2 2 6 4 4" xfId="11331"/>
    <cellStyle name="Input 2 2 6 4 4 2" xfId="25653"/>
    <cellStyle name="Input 2 2 6 4 5" xfId="4148"/>
    <cellStyle name="Input 2 2 6 5" xfId="687"/>
    <cellStyle name="Input 2 2 6 5 2" xfId="7728"/>
    <cellStyle name="Input 2 2 6 5 2 2" xfId="10342"/>
    <cellStyle name="Input 2 2 6 5 2 2 2" xfId="16604"/>
    <cellStyle name="Input 2 2 6 5 2 2 2 2" xfId="30020"/>
    <cellStyle name="Input 2 2 6 5 2 2 3" xfId="21349"/>
    <cellStyle name="Input 2 2 6 5 2 3" xfId="14332"/>
    <cellStyle name="Input 2 2 6 5 2 3 2" xfId="28654"/>
    <cellStyle name="Input 2 2 6 5 2 4" xfId="19977"/>
    <cellStyle name="Input 2 2 6 5 3" xfId="12177"/>
    <cellStyle name="Input 2 2 6 5 3 2" xfId="26499"/>
    <cellStyle name="Input 2 2 6 5 4" xfId="17822"/>
    <cellStyle name="Input 2 2 6 6" xfId="5122"/>
    <cellStyle name="Input 2 2 6 6 2" xfId="11670"/>
    <cellStyle name="Input 2 2 6 6 2 2" xfId="25992"/>
    <cellStyle name="Input 2 2 6 6 3" xfId="4560"/>
    <cellStyle name="Input 2 2 6 7" xfId="6799"/>
    <cellStyle name="Input 2 2 6 7 2" xfId="23740"/>
    <cellStyle name="Input 2 2 6 8" xfId="15546"/>
    <cellStyle name="Input 2 2 7" xfId="688"/>
    <cellStyle name="Input 2 2 7 2" xfId="689"/>
    <cellStyle name="Input 2 2 7 2 2" xfId="690"/>
    <cellStyle name="Input 2 2 7 2 2 2" xfId="6169"/>
    <cellStyle name="Input 2 2 7 2 2 2 2" xfId="12742"/>
    <cellStyle name="Input 2 2 7 2 2 2 2 2" xfId="27064"/>
    <cellStyle name="Input 2 2 7 2 2 2 3" xfId="18387"/>
    <cellStyle name="Input 2 2 7 2 2 3" xfId="4943"/>
    <cellStyle name="Input 2 2 7 2 2 3 2" xfId="9521"/>
    <cellStyle name="Input 2 2 7 2 2 3 2 2" xfId="15783"/>
    <cellStyle name="Input 2 2 7 2 2 3 2 2 2" xfId="29199"/>
    <cellStyle name="Input 2 2 7 2 2 3 2 3" xfId="20528"/>
    <cellStyle name="Input 2 2 7 2 2 3 3" xfId="11482"/>
    <cellStyle name="Input 2 2 7 2 2 3 3 2" xfId="25804"/>
    <cellStyle name="Input 2 2 7 2 2 3 4" xfId="17201"/>
    <cellStyle name="Input 2 2 7 2 2 4" xfId="4360"/>
    <cellStyle name="Input 2 2 7 2 2 4 2" xfId="22904"/>
    <cellStyle name="Input 2 2 7 2 2 5" xfId="4125"/>
    <cellStyle name="Input 2 2 7 2 3" xfId="691"/>
    <cellStyle name="Input 2 2 7 2 3 2" xfId="4458"/>
    <cellStyle name="Input 2 2 7 2 3 2 2" xfId="9468"/>
    <cellStyle name="Input 2 2 7 2 3 2 2 2" xfId="15730"/>
    <cellStyle name="Input 2 2 7 2 3 2 2 2 2" xfId="29146"/>
    <cellStyle name="Input 2 2 7 2 3 2 2 3" xfId="20475"/>
    <cellStyle name="Input 2 2 7 2 3 2 3" xfId="4809"/>
    <cellStyle name="Input 2 2 7 2 3 2 3 2" xfId="23198"/>
    <cellStyle name="Input 2 2 7 2 3 2 4" xfId="17228"/>
    <cellStyle name="Input 2 2 7 2 3 3" xfId="13383"/>
    <cellStyle name="Input 2 2 7 2 3 3 2" xfId="27705"/>
    <cellStyle name="Input 2 2 7 2 3 4" xfId="19028"/>
    <cellStyle name="Input 2 2 7 2 4" xfId="5843"/>
    <cellStyle name="Input 2 2 7 2 4 2" xfId="12396"/>
    <cellStyle name="Input 2 2 7 2 4 2 2" xfId="26718"/>
    <cellStyle name="Input 2 2 7 2 4 3" xfId="18041"/>
    <cellStyle name="Input 2 2 7 2 5" xfId="6770"/>
    <cellStyle name="Input 2 2 7 2 5 2" xfId="23716"/>
    <cellStyle name="Input 2 2 7 2 6" xfId="15540"/>
    <cellStyle name="Input 2 2 7 3" xfId="692"/>
    <cellStyle name="Input 2 2 7 3 2" xfId="5169"/>
    <cellStyle name="Input 2 2 7 3 2 2" xfId="11718"/>
    <cellStyle name="Input 2 2 7 3 2 2 2" xfId="26040"/>
    <cellStyle name="Input 2 2 7 3 2 3" xfId="6738"/>
    <cellStyle name="Input 2 2 7 3 3" xfId="7565"/>
    <cellStyle name="Input 2 2 7 3 3 2" xfId="10179"/>
    <cellStyle name="Input 2 2 7 3 3 2 2" xfId="16441"/>
    <cellStyle name="Input 2 2 7 3 3 2 2 2" xfId="29857"/>
    <cellStyle name="Input 2 2 7 3 3 2 3" xfId="21186"/>
    <cellStyle name="Input 2 2 7 3 3 3" xfId="14169"/>
    <cellStyle name="Input 2 2 7 3 3 3 2" xfId="28491"/>
    <cellStyle name="Input 2 2 7 3 3 4" xfId="19814"/>
    <cellStyle name="Input 2 2 7 3 4" xfId="6672"/>
    <cellStyle name="Input 2 2 7 3 4 2" xfId="23644"/>
    <cellStyle name="Input 2 2 7 3 5" xfId="17226"/>
    <cellStyle name="Input 2 2 7 4" xfId="693"/>
    <cellStyle name="Input 2 2 7 4 2" xfId="7400"/>
    <cellStyle name="Input 2 2 7 4 2 2" xfId="10014"/>
    <cellStyle name="Input 2 2 7 4 2 2 2" xfId="16276"/>
    <cellStyle name="Input 2 2 7 4 2 2 2 2" xfId="29692"/>
    <cellStyle name="Input 2 2 7 4 2 2 3" xfId="21021"/>
    <cellStyle name="Input 2 2 7 4 2 3" xfId="14004"/>
    <cellStyle name="Input 2 2 7 4 2 3 2" xfId="28326"/>
    <cellStyle name="Input 2 2 7 4 2 4" xfId="19649"/>
    <cellStyle name="Input 2 2 7 4 3" xfId="12697"/>
    <cellStyle name="Input 2 2 7 4 3 2" xfId="27019"/>
    <cellStyle name="Input 2 2 7 4 4" xfId="18342"/>
    <cellStyle name="Input 2 2 7 5" xfId="5098"/>
    <cellStyle name="Input 2 2 7 5 2" xfId="11645"/>
    <cellStyle name="Input 2 2 7 5 2 2" xfId="25967"/>
    <cellStyle name="Input 2 2 7 5 3" xfId="4918"/>
    <cellStyle name="Input 2 2 7 6" xfId="3250"/>
    <cellStyle name="Input 2 2 7 6 2" xfId="22444"/>
    <cellStyle name="Input 2 2 7 7" xfId="17288"/>
    <cellStyle name="Input 2 2 8" xfId="694"/>
    <cellStyle name="Input 2 2 8 2" xfId="695"/>
    <cellStyle name="Input 2 2 8 2 2" xfId="6962"/>
    <cellStyle name="Input 2 2 8 2 2 2" xfId="13566"/>
    <cellStyle name="Input 2 2 8 2 2 2 2" xfId="27888"/>
    <cellStyle name="Input 2 2 8 2 2 3" xfId="19211"/>
    <cellStyle name="Input 2 2 8 2 3" xfId="4804"/>
    <cellStyle name="Input 2 2 8 2 3 2" xfId="9489"/>
    <cellStyle name="Input 2 2 8 2 3 2 2" xfId="15751"/>
    <cellStyle name="Input 2 2 8 2 3 2 2 2" xfId="29167"/>
    <cellStyle name="Input 2 2 8 2 3 2 3" xfId="20496"/>
    <cellStyle name="Input 2 2 8 2 3 3" xfId="11334"/>
    <cellStyle name="Input 2 2 8 2 3 3 2" xfId="25656"/>
    <cellStyle name="Input 2 2 8 2 3 4" xfId="14898"/>
    <cellStyle name="Input 2 2 8 2 4" xfId="11465"/>
    <cellStyle name="Input 2 2 8 2 4 2" xfId="25787"/>
    <cellStyle name="Input 2 2 8 2 5" xfId="14913"/>
    <cellStyle name="Input 2 2 8 3" xfId="696"/>
    <cellStyle name="Input 2 2 8 3 2" xfId="7700"/>
    <cellStyle name="Input 2 2 8 3 2 2" xfId="10314"/>
    <cellStyle name="Input 2 2 8 3 2 2 2" xfId="16576"/>
    <cellStyle name="Input 2 2 8 3 2 2 2 2" xfId="29992"/>
    <cellStyle name="Input 2 2 8 3 2 2 3" xfId="21321"/>
    <cellStyle name="Input 2 2 8 3 2 3" xfId="14304"/>
    <cellStyle name="Input 2 2 8 3 2 3 2" xfId="28626"/>
    <cellStyle name="Input 2 2 8 3 2 4" xfId="19949"/>
    <cellStyle name="Input 2 2 8 3 3" xfId="12546"/>
    <cellStyle name="Input 2 2 8 3 3 2" xfId="26868"/>
    <cellStyle name="Input 2 2 8 3 4" xfId="18191"/>
    <cellStyle name="Input 2 2 8 4" xfId="3252"/>
    <cellStyle name="Input 2 2 8 4 2" xfId="4977"/>
    <cellStyle name="Input 2 2 8 4 2 2" xfId="23290"/>
    <cellStyle name="Input 2 2 8 4 3" xfId="15517"/>
    <cellStyle name="Input 2 2 8 5" xfId="4176"/>
    <cellStyle name="Input 2 2 8 5 2" xfId="22799"/>
    <cellStyle name="Input 2 2 8 6" xfId="4577"/>
    <cellStyle name="Input 2 2 9" xfId="697"/>
    <cellStyle name="Input 2 2 9 2" xfId="5605"/>
    <cellStyle name="Input 2 2 9 2 2" xfId="12157"/>
    <cellStyle name="Input 2 2 9 2 2 2" xfId="26479"/>
    <cellStyle name="Input 2 2 9 2 3" xfId="17802"/>
    <cellStyle name="Input 2 2 9 3" xfId="8005"/>
    <cellStyle name="Input 2 2 9 3 2" xfId="10619"/>
    <cellStyle name="Input 2 2 9 3 2 2" xfId="16881"/>
    <cellStyle name="Input 2 2 9 3 2 2 2" xfId="30297"/>
    <cellStyle name="Input 2 2 9 3 2 3" xfId="21626"/>
    <cellStyle name="Input 2 2 9 3 3" xfId="14609"/>
    <cellStyle name="Input 2 2 9 3 3 2" xfId="28931"/>
    <cellStyle name="Input 2 2 9 3 4" xfId="20254"/>
    <cellStyle name="Input 2 2 9 4" xfId="3869"/>
    <cellStyle name="Input 2 2 9 4 2" xfId="22619"/>
    <cellStyle name="Input 2 2 9 5" xfId="17285"/>
    <cellStyle name="Input 2 3" xfId="698"/>
    <cellStyle name="Input 2 3 2" xfId="6219"/>
    <cellStyle name="Input 2 3 2 2" xfId="12794"/>
    <cellStyle name="Input 2 3 2 2 2" xfId="27116"/>
    <cellStyle name="Input 2 3 2 3" xfId="18439"/>
    <cellStyle name="Input 2 3 3" xfId="7705"/>
    <cellStyle name="Input 2 3 3 2" xfId="10319"/>
    <cellStyle name="Input 2 3 3 2 2" xfId="16581"/>
    <cellStyle name="Input 2 3 3 2 2 2" xfId="29997"/>
    <cellStyle name="Input 2 3 3 2 3" xfId="21326"/>
    <cellStyle name="Input 2 3 3 3" xfId="14309"/>
    <cellStyle name="Input 2 3 3 3 2" xfId="28631"/>
    <cellStyle name="Input 2 3 3 4" xfId="19954"/>
    <cellStyle name="Input 2 3 4" xfId="3904"/>
    <cellStyle name="Input 2 3 4 2" xfId="22637"/>
    <cellStyle name="Input 2 3 5" xfId="4167"/>
    <cellStyle name="Input 2 4" xfId="3151"/>
    <cellStyle name="Input 2 4 2" xfId="3805"/>
    <cellStyle name="Input 2 4 2 2" xfId="22592"/>
    <cellStyle name="Input 2 4 3" xfId="15428"/>
    <cellStyle name="Input 2 5" xfId="4570"/>
    <cellStyle name="Input 2 5 2" xfId="23037"/>
    <cellStyle name="Input 2 6" xfId="17278"/>
    <cellStyle name="Input 2 7" xfId="20323"/>
    <cellStyle name="Input 2 8" xfId="21698"/>
    <cellStyle name="Linked Cell 2" xfId="699"/>
    <cellStyle name="Neutral 2" xfId="700"/>
    <cellStyle name="Neutro" xfId="701"/>
    <cellStyle name="Normal" xfId="0" builtinId="0"/>
    <cellStyle name="Normal 10" xfId="30369"/>
    <cellStyle name="Normal 11" xfId="2"/>
    <cellStyle name="Normal 2" xfId="702"/>
    <cellStyle name="Normal 2 2" xfId="703"/>
    <cellStyle name="Normal 2 2 2" xfId="704"/>
    <cellStyle name="Normal 2 2 3" xfId="705"/>
    <cellStyle name="Normal 3" xfId="706"/>
    <cellStyle name="Normal 3 10" xfId="707"/>
    <cellStyle name="Normal 3 10 2" xfId="708"/>
    <cellStyle name="Normal 3 10 2 2" xfId="8583"/>
    <cellStyle name="Normal 3 10 2 2 2" xfId="11196"/>
    <cellStyle name="Normal 3 10 2 2 2 2" xfId="25518"/>
    <cellStyle name="Normal 3 10 2 2 3" xfId="24270"/>
    <cellStyle name="Normal 3 10 2 3" xfId="9224"/>
    <cellStyle name="Normal 3 10 2 3 2" xfId="24896"/>
    <cellStyle name="Normal 3 10 2 4" xfId="3464"/>
    <cellStyle name="Normal 3 10 2 5" xfId="21707"/>
    <cellStyle name="Normal 3 10 3" xfId="8302"/>
    <cellStyle name="Normal 3 10 3 2" xfId="10915"/>
    <cellStyle name="Normal 3 10 3 2 2" xfId="25237"/>
    <cellStyle name="Normal 3 10 3 3" xfId="23989"/>
    <cellStyle name="Normal 3 10 4" xfId="8868"/>
    <cellStyle name="Normal 3 10 4 2" xfId="24555"/>
    <cellStyle name="Normal 3 10 5" xfId="3015"/>
    <cellStyle name="Normal 3 10 6" xfId="21706"/>
    <cellStyle name="Normal 3 11" xfId="709"/>
    <cellStyle name="Normal 3 11 2" xfId="8414"/>
    <cellStyle name="Normal 3 11 2 2" xfId="11027"/>
    <cellStyle name="Normal 3 11 2 2 2" xfId="25349"/>
    <cellStyle name="Normal 3 11 2 3" xfId="24101"/>
    <cellStyle name="Normal 3 11 3" xfId="8980"/>
    <cellStyle name="Normal 3 11 3 2" xfId="24667"/>
    <cellStyle name="Normal 3 11 4" xfId="3138"/>
    <cellStyle name="Normal 3 11 5" xfId="21708"/>
    <cellStyle name="Normal 3 12" xfId="710"/>
    <cellStyle name="Normal 3 12 2" xfId="8134"/>
    <cellStyle name="Normal 3 12 2 2" xfId="10747"/>
    <cellStyle name="Normal 3 12 2 2 2" xfId="25069"/>
    <cellStyle name="Normal 3 12 2 3" xfId="23821"/>
    <cellStyle name="Normal 3 12 3" xfId="9056"/>
    <cellStyle name="Normal 3 12 3 2" xfId="24728"/>
    <cellStyle name="Normal 3 12 4" xfId="3296"/>
    <cellStyle name="Normal 3 12 5" xfId="21709"/>
    <cellStyle name="Normal 3 13" xfId="8073"/>
    <cellStyle name="Normal 3 13 2" xfId="10686"/>
    <cellStyle name="Normal 3 13 2 2" xfId="25008"/>
    <cellStyle name="Normal 3 13 3" xfId="23760"/>
    <cellStyle name="Normal 3 14" xfId="8695"/>
    <cellStyle name="Normal 3 14 2" xfId="11308"/>
    <cellStyle name="Normal 3 14 2 2" xfId="25630"/>
    <cellStyle name="Normal 3 14 3" xfId="24382"/>
    <cellStyle name="Normal 3 15" xfId="8700"/>
    <cellStyle name="Normal 3 15 2" xfId="24387"/>
    <cellStyle name="Normal 3 16" xfId="2758"/>
    <cellStyle name="Normal 3 17" xfId="21705"/>
    <cellStyle name="Normal 3 2" xfId="711"/>
    <cellStyle name="Normal 3 2 2" xfId="712"/>
    <cellStyle name="Normal 3 2 2 10" xfId="2863"/>
    <cellStyle name="Normal 3 2 2 11" xfId="21711"/>
    <cellStyle name="Normal 3 2 2 2" xfId="713"/>
    <cellStyle name="Normal 3 2 2 2 10" xfId="21712"/>
    <cellStyle name="Normal 3 2 2 2 2" xfId="714"/>
    <cellStyle name="Normal 3 2 2 2 2 2" xfId="715"/>
    <cellStyle name="Normal 3 2 2 2 2 2 2" xfId="716"/>
    <cellStyle name="Normal 3 2 2 2 2 2 2 2" xfId="8690"/>
    <cellStyle name="Normal 3 2 2 2 2 2 2 2 2" xfId="11303"/>
    <cellStyle name="Normal 3 2 2 2 2 2 2 2 2 2" xfId="25625"/>
    <cellStyle name="Normal 3 2 2 2 2 2 2 2 3" xfId="24377"/>
    <cellStyle name="Normal 3 2 2 2 2 2 2 3" xfId="9332"/>
    <cellStyle name="Normal 3 2 2 2 2 2 2 3 2" xfId="25003"/>
    <cellStyle name="Normal 3 2 2 2 2 2 2 4" xfId="3580"/>
    <cellStyle name="Normal 3 2 2 2 2 2 2 5" xfId="21715"/>
    <cellStyle name="Normal 3 2 2 2 2 2 3" xfId="8409"/>
    <cellStyle name="Normal 3 2 2 2 2 2 3 2" xfId="11022"/>
    <cellStyle name="Normal 3 2 2 2 2 2 3 2 2" xfId="25344"/>
    <cellStyle name="Normal 3 2 2 2 2 2 3 3" xfId="24096"/>
    <cellStyle name="Normal 3 2 2 2 2 2 4" xfId="8975"/>
    <cellStyle name="Normal 3 2 2 2 2 2 4 2" xfId="24662"/>
    <cellStyle name="Normal 3 2 2 2 2 2 5" xfId="3132"/>
    <cellStyle name="Normal 3 2 2 2 2 2 6" xfId="21714"/>
    <cellStyle name="Normal 3 2 2 2 2 3" xfId="717"/>
    <cellStyle name="Normal 3 2 2 2 2 3 2" xfId="8522"/>
    <cellStyle name="Normal 3 2 2 2 2 3 2 2" xfId="11135"/>
    <cellStyle name="Normal 3 2 2 2 2 3 2 2 2" xfId="25457"/>
    <cellStyle name="Normal 3 2 2 2 2 3 2 3" xfId="24209"/>
    <cellStyle name="Normal 3 2 2 2 2 3 3" xfId="9163"/>
    <cellStyle name="Normal 3 2 2 2 2 3 3 2" xfId="24835"/>
    <cellStyle name="Normal 3 2 2 2 2 3 4" xfId="3403"/>
    <cellStyle name="Normal 3 2 2 2 2 3 5" xfId="21716"/>
    <cellStyle name="Normal 3 2 2 2 2 4" xfId="8241"/>
    <cellStyle name="Normal 3 2 2 2 2 4 2" xfId="10854"/>
    <cellStyle name="Normal 3 2 2 2 2 4 2 2" xfId="25176"/>
    <cellStyle name="Normal 3 2 2 2 2 4 3" xfId="23928"/>
    <cellStyle name="Normal 3 2 2 2 2 5" xfId="8807"/>
    <cellStyle name="Normal 3 2 2 2 2 5 2" xfId="24494"/>
    <cellStyle name="Normal 3 2 2 2 2 6" xfId="2954"/>
    <cellStyle name="Normal 3 2 2 2 2 7" xfId="21713"/>
    <cellStyle name="Normal 3 2 2 2 3" xfId="718"/>
    <cellStyle name="Normal 3 2 2 2 3 2" xfId="719"/>
    <cellStyle name="Normal 3 2 2 2 3 2 2" xfId="8578"/>
    <cellStyle name="Normal 3 2 2 2 3 2 2 2" xfId="11191"/>
    <cellStyle name="Normal 3 2 2 2 3 2 2 2 2" xfId="25513"/>
    <cellStyle name="Normal 3 2 2 2 3 2 2 3" xfId="24265"/>
    <cellStyle name="Normal 3 2 2 2 3 2 3" xfId="9219"/>
    <cellStyle name="Normal 3 2 2 2 3 2 3 2" xfId="24891"/>
    <cellStyle name="Normal 3 2 2 2 3 2 4" xfId="3459"/>
    <cellStyle name="Normal 3 2 2 2 3 2 5" xfId="21718"/>
    <cellStyle name="Normal 3 2 2 2 3 3" xfId="8297"/>
    <cellStyle name="Normal 3 2 2 2 3 3 2" xfId="10910"/>
    <cellStyle name="Normal 3 2 2 2 3 3 2 2" xfId="25232"/>
    <cellStyle name="Normal 3 2 2 2 3 3 3" xfId="23984"/>
    <cellStyle name="Normal 3 2 2 2 3 4" xfId="8863"/>
    <cellStyle name="Normal 3 2 2 2 3 4 2" xfId="24550"/>
    <cellStyle name="Normal 3 2 2 2 3 5" xfId="3010"/>
    <cellStyle name="Normal 3 2 2 2 3 6" xfId="21717"/>
    <cellStyle name="Normal 3 2 2 2 4" xfId="720"/>
    <cellStyle name="Normal 3 2 2 2 4 2" xfId="721"/>
    <cellStyle name="Normal 3 2 2 2 4 2 2" xfId="8633"/>
    <cellStyle name="Normal 3 2 2 2 4 2 2 2" xfId="11246"/>
    <cellStyle name="Normal 3 2 2 2 4 2 2 2 2" xfId="25568"/>
    <cellStyle name="Normal 3 2 2 2 4 2 2 3" xfId="24320"/>
    <cellStyle name="Normal 3 2 2 2 4 2 3" xfId="9275"/>
    <cellStyle name="Normal 3 2 2 2 4 2 3 2" xfId="24946"/>
    <cellStyle name="Normal 3 2 2 2 4 2 4" xfId="3523"/>
    <cellStyle name="Normal 3 2 2 2 4 2 5" xfId="21720"/>
    <cellStyle name="Normal 3 2 2 2 4 3" xfId="8352"/>
    <cellStyle name="Normal 3 2 2 2 4 3 2" xfId="10965"/>
    <cellStyle name="Normal 3 2 2 2 4 3 2 2" xfId="25287"/>
    <cellStyle name="Normal 3 2 2 2 4 3 3" xfId="24039"/>
    <cellStyle name="Normal 3 2 2 2 4 4" xfId="8918"/>
    <cellStyle name="Normal 3 2 2 2 4 4 2" xfId="24605"/>
    <cellStyle name="Normal 3 2 2 2 4 5" xfId="3075"/>
    <cellStyle name="Normal 3 2 2 2 4 6" xfId="21719"/>
    <cellStyle name="Normal 3 2 2 2 5" xfId="722"/>
    <cellStyle name="Normal 3 2 2 2 5 2" xfId="8470"/>
    <cellStyle name="Normal 3 2 2 2 5 2 2" xfId="11083"/>
    <cellStyle name="Normal 3 2 2 2 5 2 2 2" xfId="25405"/>
    <cellStyle name="Normal 3 2 2 2 5 2 3" xfId="24157"/>
    <cellStyle name="Normal 3 2 2 2 5 3" xfId="9042"/>
    <cellStyle name="Normal 3 2 2 2 5 3 2" xfId="24723"/>
    <cellStyle name="Normal 3 2 2 2 5 4" xfId="3234"/>
    <cellStyle name="Normal 3 2 2 2 5 5" xfId="21721"/>
    <cellStyle name="Normal 3 2 2 2 6" xfId="723"/>
    <cellStyle name="Normal 3 2 2 2 6 2" xfId="8184"/>
    <cellStyle name="Normal 3 2 2 2 6 2 2" xfId="10797"/>
    <cellStyle name="Normal 3 2 2 2 6 2 2 2" xfId="25119"/>
    <cellStyle name="Normal 3 2 2 2 6 2 3" xfId="23871"/>
    <cellStyle name="Normal 3 2 2 2 6 3" xfId="9106"/>
    <cellStyle name="Normal 3 2 2 2 6 3 2" xfId="24778"/>
    <cellStyle name="Normal 3 2 2 2 6 4" xfId="3346"/>
    <cellStyle name="Normal 3 2 2 2 6 5" xfId="21722"/>
    <cellStyle name="Normal 3 2 2 2 7" xfId="8129"/>
    <cellStyle name="Normal 3 2 2 2 7 2" xfId="10742"/>
    <cellStyle name="Normal 3 2 2 2 7 2 2" xfId="25064"/>
    <cellStyle name="Normal 3 2 2 2 7 3" xfId="23816"/>
    <cellStyle name="Normal 3 2 2 2 8" xfId="8750"/>
    <cellStyle name="Normal 3 2 2 2 8 2" xfId="24437"/>
    <cellStyle name="Normal 3 2 2 2 9" xfId="2897"/>
    <cellStyle name="Normal 3 2 2 3" xfId="724"/>
    <cellStyle name="Normal 3 2 2 3 2" xfId="725"/>
    <cellStyle name="Normal 3 2 2 3 2 2" xfId="726"/>
    <cellStyle name="Normal 3 2 2 3 2 2 2" xfId="8664"/>
    <cellStyle name="Normal 3 2 2 3 2 2 2 2" xfId="11277"/>
    <cellStyle name="Normal 3 2 2 3 2 2 2 2 2" xfId="25599"/>
    <cellStyle name="Normal 3 2 2 3 2 2 2 3" xfId="24351"/>
    <cellStyle name="Normal 3 2 2 3 2 2 3" xfId="9306"/>
    <cellStyle name="Normal 3 2 2 3 2 2 3 2" xfId="24977"/>
    <cellStyle name="Normal 3 2 2 3 2 2 4" xfId="3554"/>
    <cellStyle name="Normal 3 2 2 3 2 2 5" xfId="21725"/>
    <cellStyle name="Normal 3 2 2 3 2 3" xfId="8383"/>
    <cellStyle name="Normal 3 2 2 3 2 3 2" xfId="10996"/>
    <cellStyle name="Normal 3 2 2 3 2 3 2 2" xfId="25318"/>
    <cellStyle name="Normal 3 2 2 3 2 3 3" xfId="24070"/>
    <cellStyle name="Normal 3 2 2 3 2 4" xfId="8949"/>
    <cellStyle name="Normal 3 2 2 3 2 4 2" xfId="24636"/>
    <cellStyle name="Normal 3 2 2 3 2 5" xfId="3106"/>
    <cellStyle name="Normal 3 2 2 3 2 6" xfId="21724"/>
    <cellStyle name="Normal 3 2 2 3 3" xfId="727"/>
    <cellStyle name="Normal 3 2 2 3 3 2" xfId="8496"/>
    <cellStyle name="Normal 3 2 2 3 3 2 2" xfId="11109"/>
    <cellStyle name="Normal 3 2 2 3 3 2 2 2" xfId="25431"/>
    <cellStyle name="Normal 3 2 2 3 3 2 3" xfId="24183"/>
    <cellStyle name="Normal 3 2 2 3 3 3" xfId="9137"/>
    <cellStyle name="Normal 3 2 2 3 3 3 2" xfId="24809"/>
    <cellStyle name="Normal 3 2 2 3 3 4" xfId="3377"/>
    <cellStyle name="Normal 3 2 2 3 3 5" xfId="21726"/>
    <cellStyle name="Normal 3 2 2 3 4" xfId="8215"/>
    <cellStyle name="Normal 3 2 2 3 4 2" xfId="10828"/>
    <cellStyle name="Normal 3 2 2 3 4 2 2" xfId="25150"/>
    <cellStyle name="Normal 3 2 2 3 4 3" xfId="23902"/>
    <cellStyle name="Normal 3 2 2 3 5" xfId="8781"/>
    <cellStyle name="Normal 3 2 2 3 5 2" xfId="24468"/>
    <cellStyle name="Normal 3 2 2 3 6" xfId="2928"/>
    <cellStyle name="Normal 3 2 2 3 7" xfId="21723"/>
    <cellStyle name="Normal 3 2 2 4" xfId="728"/>
    <cellStyle name="Normal 3 2 2 4 2" xfId="729"/>
    <cellStyle name="Normal 3 2 2 4 2 2" xfId="8552"/>
    <cellStyle name="Normal 3 2 2 4 2 2 2" xfId="11165"/>
    <cellStyle name="Normal 3 2 2 4 2 2 2 2" xfId="25487"/>
    <cellStyle name="Normal 3 2 2 4 2 2 3" xfId="24239"/>
    <cellStyle name="Normal 3 2 2 4 2 3" xfId="9193"/>
    <cellStyle name="Normal 3 2 2 4 2 3 2" xfId="24865"/>
    <cellStyle name="Normal 3 2 2 4 2 4" xfId="3433"/>
    <cellStyle name="Normal 3 2 2 4 2 5" xfId="21728"/>
    <cellStyle name="Normal 3 2 2 4 3" xfId="8271"/>
    <cellStyle name="Normal 3 2 2 4 3 2" xfId="10884"/>
    <cellStyle name="Normal 3 2 2 4 3 2 2" xfId="25206"/>
    <cellStyle name="Normal 3 2 2 4 3 3" xfId="23958"/>
    <cellStyle name="Normal 3 2 2 4 4" xfId="8837"/>
    <cellStyle name="Normal 3 2 2 4 4 2" xfId="24524"/>
    <cellStyle name="Normal 3 2 2 4 5" xfId="2984"/>
    <cellStyle name="Normal 3 2 2 4 6" xfId="21727"/>
    <cellStyle name="Normal 3 2 2 5" xfId="730"/>
    <cellStyle name="Normal 3 2 2 5 2" xfId="731"/>
    <cellStyle name="Normal 3 2 2 5 2 2" xfId="8602"/>
    <cellStyle name="Normal 3 2 2 5 2 2 2" xfId="11215"/>
    <cellStyle name="Normal 3 2 2 5 2 2 2 2" xfId="25537"/>
    <cellStyle name="Normal 3 2 2 5 2 2 3" xfId="24289"/>
    <cellStyle name="Normal 3 2 2 5 2 3" xfId="9244"/>
    <cellStyle name="Normal 3 2 2 5 2 3 2" xfId="24915"/>
    <cellStyle name="Normal 3 2 2 5 2 4" xfId="3491"/>
    <cellStyle name="Normal 3 2 2 5 2 5" xfId="21730"/>
    <cellStyle name="Normal 3 2 2 5 3" xfId="8321"/>
    <cellStyle name="Normal 3 2 2 5 3 2" xfId="10934"/>
    <cellStyle name="Normal 3 2 2 5 3 2 2" xfId="25256"/>
    <cellStyle name="Normal 3 2 2 5 3 3" xfId="24008"/>
    <cellStyle name="Normal 3 2 2 5 4" xfId="8887"/>
    <cellStyle name="Normal 3 2 2 5 4 2" xfId="24574"/>
    <cellStyle name="Normal 3 2 2 5 5" xfId="3044"/>
    <cellStyle name="Normal 3 2 2 5 6" xfId="21729"/>
    <cellStyle name="Normal 3 2 2 6" xfId="732"/>
    <cellStyle name="Normal 3 2 2 6 2" xfId="8445"/>
    <cellStyle name="Normal 3 2 2 6 2 2" xfId="11058"/>
    <cellStyle name="Normal 3 2 2 6 2 2 2" xfId="25380"/>
    <cellStyle name="Normal 3 2 2 6 2 3" xfId="24132"/>
    <cellStyle name="Normal 3 2 2 6 3" xfId="9017"/>
    <cellStyle name="Normal 3 2 2 6 3 2" xfId="24698"/>
    <cellStyle name="Normal 3 2 2 6 4" xfId="3208"/>
    <cellStyle name="Normal 3 2 2 6 5" xfId="21731"/>
    <cellStyle name="Normal 3 2 2 7" xfId="733"/>
    <cellStyle name="Normal 3 2 2 7 2" xfId="8153"/>
    <cellStyle name="Normal 3 2 2 7 2 2" xfId="10766"/>
    <cellStyle name="Normal 3 2 2 7 2 2 2" xfId="25088"/>
    <cellStyle name="Normal 3 2 2 7 2 3" xfId="23840"/>
    <cellStyle name="Normal 3 2 2 7 3" xfId="9075"/>
    <cellStyle name="Normal 3 2 2 7 3 2" xfId="24747"/>
    <cellStyle name="Normal 3 2 2 7 4" xfId="3315"/>
    <cellStyle name="Normal 3 2 2 7 5" xfId="21732"/>
    <cellStyle name="Normal 3 2 2 8" xfId="8104"/>
    <cellStyle name="Normal 3 2 2 8 2" xfId="10717"/>
    <cellStyle name="Normal 3 2 2 8 2 2" xfId="25039"/>
    <cellStyle name="Normal 3 2 2 8 3" xfId="23791"/>
    <cellStyle name="Normal 3 2 2 9" xfId="8719"/>
    <cellStyle name="Normal 3 2 2 9 2" xfId="24406"/>
    <cellStyle name="Normal 3 2 3" xfId="734"/>
    <cellStyle name="Normal 3 2 4" xfId="735"/>
    <cellStyle name="Normal 3 2 4 2" xfId="8419"/>
    <cellStyle name="Normal 3 2 4 2 2" xfId="11032"/>
    <cellStyle name="Normal 3 2 4 2 2 2" xfId="25354"/>
    <cellStyle name="Normal 3 2 4 2 3" xfId="24106"/>
    <cellStyle name="Normal 3 2 4 3" xfId="8989"/>
    <cellStyle name="Normal 3 2 4 3 2" xfId="24672"/>
    <cellStyle name="Normal 3 2 4 4" xfId="3162"/>
    <cellStyle name="Normal 3 2 4 5" xfId="21733"/>
    <cellStyle name="Normal 3 2 5" xfId="8078"/>
    <cellStyle name="Normal 3 2 5 2" xfId="10691"/>
    <cellStyle name="Normal 3 2 5 2 2" xfId="25013"/>
    <cellStyle name="Normal 3 2 5 3" xfId="23765"/>
    <cellStyle name="Normal 3 2 6" xfId="21710"/>
    <cellStyle name="Normal 3 3" xfId="736"/>
    <cellStyle name="Normal 3 3 10" xfId="2848"/>
    <cellStyle name="Normal 3 3 11" xfId="21734"/>
    <cellStyle name="Normal 3 3 2" xfId="737"/>
    <cellStyle name="Normal 3 3 2 10" xfId="21735"/>
    <cellStyle name="Normal 3 3 2 2" xfId="738"/>
    <cellStyle name="Normal 3 3 2 2 2" xfId="739"/>
    <cellStyle name="Normal 3 3 2 2 2 2" xfId="740"/>
    <cellStyle name="Normal 3 3 2 2 2 2 2" xfId="8676"/>
    <cellStyle name="Normal 3 3 2 2 2 2 2 2" xfId="11289"/>
    <cellStyle name="Normal 3 3 2 2 2 2 2 2 2" xfId="25611"/>
    <cellStyle name="Normal 3 3 2 2 2 2 2 3" xfId="24363"/>
    <cellStyle name="Normal 3 3 2 2 2 2 3" xfId="9318"/>
    <cellStyle name="Normal 3 3 2 2 2 2 3 2" xfId="24989"/>
    <cellStyle name="Normal 3 3 2 2 2 2 4" xfId="3566"/>
    <cellStyle name="Normal 3 3 2 2 2 2 5" xfId="21738"/>
    <cellStyle name="Normal 3 3 2 2 2 3" xfId="8395"/>
    <cellStyle name="Normal 3 3 2 2 2 3 2" xfId="11008"/>
    <cellStyle name="Normal 3 3 2 2 2 3 2 2" xfId="25330"/>
    <cellStyle name="Normal 3 3 2 2 2 3 3" xfId="24082"/>
    <cellStyle name="Normal 3 3 2 2 2 4" xfId="8961"/>
    <cellStyle name="Normal 3 3 2 2 2 4 2" xfId="24648"/>
    <cellStyle name="Normal 3 3 2 2 2 5" xfId="3118"/>
    <cellStyle name="Normal 3 3 2 2 2 6" xfId="21737"/>
    <cellStyle name="Normal 3 3 2 2 3" xfId="741"/>
    <cellStyle name="Normal 3 3 2 2 3 2" xfId="8508"/>
    <cellStyle name="Normal 3 3 2 2 3 2 2" xfId="11121"/>
    <cellStyle name="Normal 3 3 2 2 3 2 2 2" xfId="25443"/>
    <cellStyle name="Normal 3 3 2 2 3 2 3" xfId="24195"/>
    <cellStyle name="Normal 3 3 2 2 3 3" xfId="9149"/>
    <cellStyle name="Normal 3 3 2 2 3 3 2" xfId="24821"/>
    <cellStyle name="Normal 3 3 2 2 3 4" xfId="3389"/>
    <cellStyle name="Normal 3 3 2 2 3 5" xfId="21739"/>
    <cellStyle name="Normal 3 3 2 2 4" xfId="8227"/>
    <cellStyle name="Normal 3 3 2 2 4 2" xfId="10840"/>
    <cellStyle name="Normal 3 3 2 2 4 2 2" xfId="25162"/>
    <cellStyle name="Normal 3 3 2 2 4 3" xfId="23914"/>
    <cellStyle name="Normal 3 3 2 2 5" xfId="8793"/>
    <cellStyle name="Normal 3 3 2 2 5 2" xfId="24480"/>
    <cellStyle name="Normal 3 3 2 2 6" xfId="2940"/>
    <cellStyle name="Normal 3 3 2 2 7" xfId="21736"/>
    <cellStyle name="Normal 3 3 2 3" xfId="742"/>
    <cellStyle name="Normal 3 3 2 3 2" xfId="743"/>
    <cellStyle name="Normal 3 3 2 3 2 2" xfId="8564"/>
    <cellStyle name="Normal 3 3 2 3 2 2 2" xfId="11177"/>
    <cellStyle name="Normal 3 3 2 3 2 2 2 2" xfId="25499"/>
    <cellStyle name="Normal 3 3 2 3 2 2 3" xfId="24251"/>
    <cellStyle name="Normal 3 3 2 3 2 3" xfId="9205"/>
    <cellStyle name="Normal 3 3 2 3 2 3 2" xfId="24877"/>
    <cellStyle name="Normal 3 3 2 3 2 4" xfId="3445"/>
    <cellStyle name="Normal 3 3 2 3 2 5" xfId="21741"/>
    <cellStyle name="Normal 3 3 2 3 3" xfId="8283"/>
    <cellStyle name="Normal 3 3 2 3 3 2" xfId="10896"/>
    <cellStyle name="Normal 3 3 2 3 3 2 2" xfId="25218"/>
    <cellStyle name="Normal 3 3 2 3 3 3" xfId="23970"/>
    <cellStyle name="Normal 3 3 2 3 4" xfId="8849"/>
    <cellStyle name="Normal 3 3 2 3 4 2" xfId="24536"/>
    <cellStyle name="Normal 3 3 2 3 5" xfId="2996"/>
    <cellStyle name="Normal 3 3 2 3 6" xfId="21740"/>
    <cellStyle name="Normal 3 3 2 4" xfId="744"/>
    <cellStyle name="Normal 3 3 2 4 2" xfId="745"/>
    <cellStyle name="Normal 3 3 2 4 2 2" xfId="8618"/>
    <cellStyle name="Normal 3 3 2 4 2 2 2" xfId="11231"/>
    <cellStyle name="Normal 3 3 2 4 2 2 2 2" xfId="25553"/>
    <cellStyle name="Normal 3 3 2 4 2 2 3" xfId="24305"/>
    <cellStyle name="Normal 3 3 2 4 2 3" xfId="9260"/>
    <cellStyle name="Normal 3 3 2 4 2 3 2" xfId="24931"/>
    <cellStyle name="Normal 3 3 2 4 2 4" xfId="3508"/>
    <cellStyle name="Normal 3 3 2 4 2 5" xfId="21743"/>
    <cellStyle name="Normal 3 3 2 4 3" xfId="8337"/>
    <cellStyle name="Normal 3 3 2 4 3 2" xfId="10950"/>
    <cellStyle name="Normal 3 3 2 4 3 2 2" xfId="25272"/>
    <cellStyle name="Normal 3 3 2 4 3 3" xfId="24024"/>
    <cellStyle name="Normal 3 3 2 4 4" xfId="8903"/>
    <cellStyle name="Normal 3 3 2 4 4 2" xfId="24590"/>
    <cellStyle name="Normal 3 3 2 4 5" xfId="3060"/>
    <cellStyle name="Normal 3 3 2 4 6" xfId="21742"/>
    <cellStyle name="Normal 3 3 2 5" xfId="746"/>
    <cellStyle name="Normal 3 3 2 5 2" xfId="8456"/>
    <cellStyle name="Normal 3 3 2 5 2 2" xfId="11069"/>
    <cellStyle name="Normal 3 3 2 5 2 2 2" xfId="25391"/>
    <cellStyle name="Normal 3 3 2 5 2 3" xfId="24143"/>
    <cellStyle name="Normal 3 3 2 5 3" xfId="9028"/>
    <cellStyle name="Normal 3 3 2 5 3 2" xfId="24709"/>
    <cellStyle name="Normal 3 3 2 5 4" xfId="3220"/>
    <cellStyle name="Normal 3 3 2 5 5" xfId="21744"/>
    <cellStyle name="Normal 3 3 2 6" xfId="747"/>
    <cellStyle name="Normal 3 3 2 6 2" xfId="8169"/>
    <cellStyle name="Normal 3 3 2 6 2 2" xfId="10782"/>
    <cellStyle name="Normal 3 3 2 6 2 2 2" xfId="25104"/>
    <cellStyle name="Normal 3 3 2 6 2 3" xfId="23856"/>
    <cellStyle name="Normal 3 3 2 6 3" xfId="9091"/>
    <cellStyle name="Normal 3 3 2 6 3 2" xfId="24763"/>
    <cellStyle name="Normal 3 3 2 6 4" xfId="3331"/>
    <cellStyle name="Normal 3 3 2 6 5" xfId="21745"/>
    <cellStyle name="Normal 3 3 2 7" xfId="8115"/>
    <cellStyle name="Normal 3 3 2 7 2" xfId="10728"/>
    <cellStyle name="Normal 3 3 2 7 2 2" xfId="25050"/>
    <cellStyle name="Normal 3 3 2 7 3" xfId="23802"/>
    <cellStyle name="Normal 3 3 2 8" xfId="8735"/>
    <cellStyle name="Normal 3 3 2 8 2" xfId="24422"/>
    <cellStyle name="Normal 3 3 2 9" xfId="2882"/>
    <cellStyle name="Normal 3 3 3" xfId="748"/>
    <cellStyle name="Normal 3 3 3 2" xfId="749"/>
    <cellStyle name="Normal 3 3 3 2 2" xfId="750"/>
    <cellStyle name="Normal 3 3 3 2 2 2" xfId="8649"/>
    <cellStyle name="Normal 3 3 3 2 2 2 2" xfId="11262"/>
    <cellStyle name="Normal 3 3 3 2 2 2 2 2" xfId="25584"/>
    <cellStyle name="Normal 3 3 3 2 2 2 3" xfId="24336"/>
    <cellStyle name="Normal 3 3 3 2 2 3" xfId="9291"/>
    <cellStyle name="Normal 3 3 3 2 2 3 2" xfId="24962"/>
    <cellStyle name="Normal 3 3 3 2 2 4" xfId="3539"/>
    <cellStyle name="Normal 3 3 3 2 2 5" xfId="21748"/>
    <cellStyle name="Normal 3 3 3 2 3" xfId="8368"/>
    <cellStyle name="Normal 3 3 3 2 3 2" xfId="10981"/>
    <cellStyle name="Normal 3 3 3 2 3 2 2" xfId="25303"/>
    <cellStyle name="Normal 3 3 3 2 3 3" xfId="24055"/>
    <cellStyle name="Normal 3 3 3 2 4" xfId="8934"/>
    <cellStyle name="Normal 3 3 3 2 4 2" xfId="24621"/>
    <cellStyle name="Normal 3 3 3 2 5" xfId="3091"/>
    <cellStyle name="Normal 3 3 3 2 6" xfId="21747"/>
    <cellStyle name="Normal 3 3 3 3" xfId="751"/>
    <cellStyle name="Normal 3 3 3 3 2" xfId="8485"/>
    <cellStyle name="Normal 3 3 3 3 2 2" xfId="11098"/>
    <cellStyle name="Normal 3 3 3 3 2 2 2" xfId="25420"/>
    <cellStyle name="Normal 3 3 3 3 2 3" xfId="24172"/>
    <cellStyle name="Normal 3 3 3 3 3" xfId="9122"/>
    <cellStyle name="Normal 3 3 3 3 3 2" xfId="24794"/>
    <cellStyle name="Normal 3 3 3 3 4" xfId="3362"/>
    <cellStyle name="Normal 3 3 3 3 5" xfId="21749"/>
    <cellStyle name="Normal 3 3 3 4" xfId="8200"/>
    <cellStyle name="Normal 3 3 3 4 2" xfId="10813"/>
    <cellStyle name="Normal 3 3 3 4 2 2" xfId="25135"/>
    <cellStyle name="Normal 3 3 3 4 3" xfId="23887"/>
    <cellStyle name="Normal 3 3 3 5" xfId="8766"/>
    <cellStyle name="Normal 3 3 3 5 2" xfId="24453"/>
    <cellStyle name="Normal 3 3 3 6" xfId="2913"/>
    <cellStyle name="Normal 3 3 3 7" xfId="21746"/>
    <cellStyle name="Normal 3 3 4" xfId="752"/>
    <cellStyle name="Normal 3 3 4 2" xfId="753"/>
    <cellStyle name="Normal 3 3 4 2 2" xfId="8537"/>
    <cellStyle name="Normal 3 3 4 2 2 2" xfId="11150"/>
    <cellStyle name="Normal 3 3 4 2 2 2 2" xfId="25472"/>
    <cellStyle name="Normal 3 3 4 2 2 3" xfId="24224"/>
    <cellStyle name="Normal 3 3 4 2 3" xfId="9178"/>
    <cellStyle name="Normal 3 3 4 2 3 2" xfId="24850"/>
    <cellStyle name="Normal 3 3 4 2 4" xfId="3418"/>
    <cellStyle name="Normal 3 3 4 2 5" xfId="21751"/>
    <cellStyle name="Normal 3 3 4 3" xfId="8256"/>
    <cellStyle name="Normal 3 3 4 3 2" xfId="10869"/>
    <cellStyle name="Normal 3 3 4 3 2 2" xfId="25191"/>
    <cellStyle name="Normal 3 3 4 3 3" xfId="23943"/>
    <cellStyle name="Normal 3 3 4 4" xfId="8822"/>
    <cellStyle name="Normal 3 3 4 4 2" xfId="24509"/>
    <cellStyle name="Normal 3 3 4 5" xfId="2969"/>
    <cellStyle name="Normal 3 3 4 6" xfId="21750"/>
    <cellStyle name="Normal 3 3 5" xfId="754"/>
    <cellStyle name="Normal 3 3 5 2" xfId="755"/>
    <cellStyle name="Normal 3 3 5 2 2" xfId="8587"/>
    <cellStyle name="Normal 3 3 5 2 2 2" xfId="11200"/>
    <cellStyle name="Normal 3 3 5 2 2 2 2" xfId="25522"/>
    <cellStyle name="Normal 3 3 5 2 2 3" xfId="24274"/>
    <cellStyle name="Normal 3 3 5 2 3" xfId="9229"/>
    <cellStyle name="Normal 3 3 5 2 3 2" xfId="24900"/>
    <cellStyle name="Normal 3 3 5 2 4" xfId="3476"/>
    <cellStyle name="Normal 3 3 5 2 5" xfId="21753"/>
    <cellStyle name="Normal 3 3 5 3" xfId="8306"/>
    <cellStyle name="Normal 3 3 5 3 2" xfId="10919"/>
    <cellStyle name="Normal 3 3 5 3 2 2" xfId="25241"/>
    <cellStyle name="Normal 3 3 5 3 3" xfId="23993"/>
    <cellStyle name="Normal 3 3 5 4" xfId="8872"/>
    <cellStyle name="Normal 3 3 5 4 2" xfId="24559"/>
    <cellStyle name="Normal 3 3 5 5" xfId="3029"/>
    <cellStyle name="Normal 3 3 5 6" xfId="21752"/>
    <cellStyle name="Normal 3 3 6" xfId="756"/>
    <cellStyle name="Normal 3 3 6 2" xfId="8425"/>
    <cellStyle name="Normal 3 3 6 2 2" xfId="11038"/>
    <cellStyle name="Normal 3 3 6 2 2 2" xfId="25360"/>
    <cellStyle name="Normal 3 3 6 2 3" xfId="24112"/>
    <cellStyle name="Normal 3 3 6 3" xfId="8995"/>
    <cellStyle name="Normal 3 3 6 3 2" xfId="24678"/>
    <cellStyle name="Normal 3 3 6 4" xfId="3169"/>
    <cellStyle name="Normal 3 3 6 5" xfId="21754"/>
    <cellStyle name="Normal 3 3 7" xfId="757"/>
    <cellStyle name="Normal 3 3 7 2" xfId="8138"/>
    <cellStyle name="Normal 3 3 7 2 2" xfId="10751"/>
    <cellStyle name="Normal 3 3 7 2 2 2" xfId="25073"/>
    <cellStyle name="Normal 3 3 7 2 3" xfId="23825"/>
    <cellStyle name="Normal 3 3 7 3" xfId="9060"/>
    <cellStyle name="Normal 3 3 7 3 2" xfId="24732"/>
    <cellStyle name="Normal 3 3 7 4" xfId="3300"/>
    <cellStyle name="Normal 3 3 7 5" xfId="21755"/>
    <cellStyle name="Normal 3 3 8" xfId="8084"/>
    <cellStyle name="Normal 3 3 8 2" xfId="10697"/>
    <cellStyle name="Normal 3 3 8 2 2" xfId="25019"/>
    <cellStyle name="Normal 3 3 8 3" xfId="23771"/>
    <cellStyle name="Normal 3 3 9" xfId="8704"/>
    <cellStyle name="Normal 3 3 9 2" xfId="24391"/>
    <cellStyle name="Normal 3 4" xfId="758"/>
    <cellStyle name="Normal 3 4 10" xfId="2853"/>
    <cellStyle name="Normal 3 4 11" xfId="21756"/>
    <cellStyle name="Normal 3 4 2" xfId="759"/>
    <cellStyle name="Normal 3 4 2 10" xfId="21757"/>
    <cellStyle name="Normal 3 4 2 2" xfId="760"/>
    <cellStyle name="Normal 3 4 2 2 2" xfId="761"/>
    <cellStyle name="Normal 3 4 2 2 2 2" xfId="762"/>
    <cellStyle name="Normal 3 4 2 2 2 2 2" xfId="8680"/>
    <cellStyle name="Normal 3 4 2 2 2 2 2 2" xfId="11293"/>
    <cellStyle name="Normal 3 4 2 2 2 2 2 2 2" xfId="25615"/>
    <cellStyle name="Normal 3 4 2 2 2 2 2 3" xfId="24367"/>
    <cellStyle name="Normal 3 4 2 2 2 2 3" xfId="9322"/>
    <cellStyle name="Normal 3 4 2 2 2 2 3 2" xfId="24993"/>
    <cellStyle name="Normal 3 4 2 2 2 2 4" xfId="3570"/>
    <cellStyle name="Normal 3 4 2 2 2 2 5" xfId="21760"/>
    <cellStyle name="Normal 3 4 2 2 2 3" xfId="8399"/>
    <cellStyle name="Normal 3 4 2 2 2 3 2" xfId="11012"/>
    <cellStyle name="Normal 3 4 2 2 2 3 2 2" xfId="25334"/>
    <cellStyle name="Normal 3 4 2 2 2 3 3" xfId="24086"/>
    <cellStyle name="Normal 3 4 2 2 2 4" xfId="8965"/>
    <cellStyle name="Normal 3 4 2 2 2 4 2" xfId="24652"/>
    <cellStyle name="Normal 3 4 2 2 2 5" xfId="3122"/>
    <cellStyle name="Normal 3 4 2 2 2 6" xfId="21759"/>
    <cellStyle name="Normal 3 4 2 2 3" xfId="763"/>
    <cellStyle name="Normal 3 4 2 2 3 2" xfId="8512"/>
    <cellStyle name="Normal 3 4 2 2 3 2 2" xfId="11125"/>
    <cellStyle name="Normal 3 4 2 2 3 2 2 2" xfId="25447"/>
    <cellStyle name="Normal 3 4 2 2 3 2 3" xfId="24199"/>
    <cellStyle name="Normal 3 4 2 2 3 3" xfId="9153"/>
    <cellStyle name="Normal 3 4 2 2 3 3 2" xfId="24825"/>
    <cellStyle name="Normal 3 4 2 2 3 4" xfId="3393"/>
    <cellStyle name="Normal 3 4 2 2 3 5" xfId="21761"/>
    <cellStyle name="Normal 3 4 2 2 4" xfId="8231"/>
    <cellStyle name="Normal 3 4 2 2 4 2" xfId="10844"/>
    <cellStyle name="Normal 3 4 2 2 4 2 2" xfId="25166"/>
    <cellStyle name="Normal 3 4 2 2 4 3" xfId="23918"/>
    <cellStyle name="Normal 3 4 2 2 5" xfId="8797"/>
    <cellStyle name="Normal 3 4 2 2 5 2" xfId="24484"/>
    <cellStyle name="Normal 3 4 2 2 6" xfId="2944"/>
    <cellStyle name="Normal 3 4 2 2 7" xfId="21758"/>
    <cellStyle name="Normal 3 4 2 3" xfId="764"/>
    <cellStyle name="Normal 3 4 2 3 2" xfId="765"/>
    <cellStyle name="Normal 3 4 2 3 2 2" xfId="8568"/>
    <cellStyle name="Normal 3 4 2 3 2 2 2" xfId="11181"/>
    <cellStyle name="Normal 3 4 2 3 2 2 2 2" xfId="25503"/>
    <cellStyle name="Normal 3 4 2 3 2 2 3" xfId="24255"/>
    <cellStyle name="Normal 3 4 2 3 2 3" xfId="9209"/>
    <cellStyle name="Normal 3 4 2 3 2 3 2" xfId="24881"/>
    <cellStyle name="Normal 3 4 2 3 2 4" xfId="3449"/>
    <cellStyle name="Normal 3 4 2 3 2 5" xfId="21763"/>
    <cellStyle name="Normal 3 4 2 3 3" xfId="8287"/>
    <cellStyle name="Normal 3 4 2 3 3 2" xfId="10900"/>
    <cellStyle name="Normal 3 4 2 3 3 2 2" xfId="25222"/>
    <cellStyle name="Normal 3 4 2 3 3 3" xfId="23974"/>
    <cellStyle name="Normal 3 4 2 3 4" xfId="8853"/>
    <cellStyle name="Normal 3 4 2 3 4 2" xfId="24540"/>
    <cellStyle name="Normal 3 4 2 3 5" xfId="3000"/>
    <cellStyle name="Normal 3 4 2 3 6" xfId="21762"/>
    <cellStyle name="Normal 3 4 2 4" xfId="766"/>
    <cellStyle name="Normal 3 4 2 4 2" xfId="767"/>
    <cellStyle name="Normal 3 4 2 4 2 2" xfId="8623"/>
    <cellStyle name="Normal 3 4 2 4 2 2 2" xfId="11236"/>
    <cellStyle name="Normal 3 4 2 4 2 2 2 2" xfId="25558"/>
    <cellStyle name="Normal 3 4 2 4 2 2 3" xfId="24310"/>
    <cellStyle name="Normal 3 4 2 4 2 3" xfId="9265"/>
    <cellStyle name="Normal 3 4 2 4 2 3 2" xfId="24936"/>
    <cellStyle name="Normal 3 4 2 4 2 4" xfId="3513"/>
    <cellStyle name="Normal 3 4 2 4 2 5" xfId="21765"/>
    <cellStyle name="Normal 3 4 2 4 3" xfId="8342"/>
    <cellStyle name="Normal 3 4 2 4 3 2" xfId="10955"/>
    <cellStyle name="Normal 3 4 2 4 3 2 2" xfId="25277"/>
    <cellStyle name="Normal 3 4 2 4 3 3" xfId="24029"/>
    <cellStyle name="Normal 3 4 2 4 4" xfId="8908"/>
    <cellStyle name="Normal 3 4 2 4 4 2" xfId="24595"/>
    <cellStyle name="Normal 3 4 2 4 5" xfId="3065"/>
    <cellStyle name="Normal 3 4 2 4 6" xfId="21764"/>
    <cellStyle name="Normal 3 4 2 5" xfId="768"/>
    <cellStyle name="Normal 3 4 2 5 2" xfId="8460"/>
    <cellStyle name="Normal 3 4 2 5 2 2" xfId="11073"/>
    <cellStyle name="Normal 3 4 2 5 2 2 2" xfId="25395"/>
    <cellStyle name="Normal 3 4 2 5 2 3" xfId="24147"/>
    <cellStyle name="Normal 3 4 2 5 3" xfId="9032"/>
    <cellStyle name="Normal 3 4 2 5 3 2" xfId="24713"/>
    <cellStyle name="Normal 3 4 2 5 4" xfId="3224"/>
    <cellStyle name="Normal 3 4 2 5 5" xfId="21766"/>
    <cellStyle name="Normal 3 4 2 6" xfId="769"/>
    <cellStyle name="Normal 3 4 2 6 2" xfId="8174"/>
    <cellStyle name="Normal 3 4 2 6 2 2" xfId="10787"/>
    <cellStyle name="Normal 3 4 2 6 2 2 2" xfId="25109"/>
    <cellStyle name="Normal 3 4 2 6 2 3" xfId="23861"/>
    <cellStyle name="Normal 3 4 2 6 3" xfId="9096"/>
    <cellStyle name="Normal 3 4 2 6 3 2" xfId="24768"/>
    <cellStyle name="Normal 3 4 2 6 4" xfId="3336"/>
    <cellStyle name="Normal 3 4 2 6 5" xfId="21767"/>
    <cellStyle name="Normal 3 4 2 7" xfId="8119"/>
    <cellStyle name="Normal 3 4 2 7 2" xfId="10732"/>
    <cellStyle name="Normal 3 4 2 7 2 2" xfId="25054"/>
    <cellStyle name="Normal 3 4 2 7 3" xfId="23806"/>
    <cellStyle name="Normal 3 4 2 8" xfId="8740"/>
    <cellStyle name="Normal 3 4 2 8 2" xfId="24427"/>
    <cellStyle name="Normal 3 4 2 9" xfId="2887"/>
    <cellStyle name="Normal 3 4 3" xfId="770"/>
    <cellStyle name="Normal 3 4 3 2" xfId="771"/>
    <cellStyle name="Normal 3 4 3 2 2" xfId="772"/>
    <cellStyle name="Normal 3 4 3 2 2 2" xfId="8654"/>
    <cellStyle name="Normal 3 4 3 2 2 2 2" xfId="11267"/>
    <cellStyle name="Normal 3 4 3 2 2 2 2 2" xfId="25589"/>
    <cellStyle name="Normal 3 4 3 2 2 2 3" xfId="24341"/>
    <cellStyle name="Normal 3 4 3 2 2 3" xfId="9296"/>
    <cellStyle name="Normal 3 4 3 2 2 3 2" xfId="24967"/>
    <cellStyle name="Normal 3 4 3 2 2 4" xfId="3544"/>
    <cellStyle name="Normal 3 4 3 2 2 5" xfId="21770"/>
    <cellStyle name="Normal 3 4 3 2 3" xfId="8373"/>
    <cellStyle name="Normal 3 4 3 2 3 2" xfId="10986"/>
    <cellStyle name="Normal 3 4 3 2 3 2 2" xfId="25308"/>
    <cellStyle name="Normal 3 4 3 2 3 3" xfId="24060"/>
    <cellStyle name="Normal 3 4 3 2 4" xfId="8939"/>
    <cellStyle name="Normal 3 4 3 2 4 2" xfId="24626"/>
    <cellStyle name="Normal 3 4 3 2 5" xfId="3096"/>
    <cellStyle name="Normal 3 4 3 2 6" xfId="21769"/>
    <cellStyle name="Normal 3 4 3 3" xfId="773"/>
    <cellStyle name="Normal 3 4 3 3 2" xfId="8487"/>
    <cellStyle name="Normal 3 4 3 3 2 2" xfId="11100"/>
    <cellStyle name="Normal 3 4 3 3 2 2 2" xfId="25422"/>
    <cellStyle name="Normal 3 4 3 3 2 3" xfId="24174"/>
    <cellStyle name="Normal 3 4 3 3 3" xfId="9127"/>
    <cellStyle name="Normal 3 4 3 3 3 2" xfId="24799"/>
    <cellStyle name="Normal 3 4 3 3 4" xfId="3367"/>
    <cellStyle name="Normal 3 4 3 3 5" xfId="21771"/>
    <cellStyle name="Normal 3 4 3 4" xfId="8205"/>
    <cellStyle name="Normal 3 4 3 4 2" xfId="10818"/>
    <cellStyle name="Normal 3 4 3 4 2 2" xfId="25140"/>
    <cellStyle name="Normal 3 4 3 4 3" xfId="23892"/>
    <cellStyle name="Normal 3 4 3 5" xfId="8771"/>
    <cellStyle name="Normal 3 4 3 5 2" xfId="24458"/>
    <cellStyle name="Normal 3 4 3 6" xfId="2918"/>
    <cellStyle name="Normal 3 4 3 7" xfId="21768"/>
    <cellStyle name="Normal 3 4 4" xfId="774"/>
    <cellStyle name="Normal 3 4 4 2" xfId="775"/>
    <cellStyle name="Normal 3 4 4 2 2" xfId="8542"/>
    <cellStyle name="Normal 3 4 4 2 2 2" xfId="11155"/>
    <cellStyle name="Normal 3 4 4 2 2 2 2" xfId="25477"/>
    <cellStyle name="Normal 3 4 4 2 2 3" xfId="24229"/>
    <cellStyle name="Normal 3 4 4 2 3" xfId="9183"/>
    <cellStyle name="Normal 3 4 4 2 3 2" xfId="24855"/>
    <cellStyle name="Normal 3 4 4 2 4" xfId="3423"/>
    <cellStyle name="Normal 3 4 4 2 5" xfId="21773"/>
    <cellStyle name="Normal 3 4 4 3" xfId="8261"/>
    <cellStyle name="Normal 3 4 4 3 2" xfId="10874"/>
    <cellStyle name="Normal 3 4 4 3 2 2" xfId="25196"/>
    <cellStyle name="Normal 3 4 4 3 3" xfId="23948"/>
    <cellStyle name="Normal 3 4 4 4" xfId="8827"/>
    <cellStyle name="Normal 3 4 4 4 2" xfId="24514"/>
    <cellStyle name="Normal 3 4 4 5" xfId="2974"/>
    <cellStyle name="Normal 3 4 4 6" xfId="21772"/>
    <cellStyle name="Normal 3 4 5" xfId="776"/>
    <cellStyle name="Normal 3 4 5 2" xfId="777"/>
    <cellStyle name="Normal 3 4 5 2 2" xfId="8592"/>
    <cellStyle name="Normal 3 4 5 2 2 2" xfId="11205"/>
    <cellStyle name="Normal 3 4 5 2 2 2 2" xfId="25527"/>
    <cellStyle name="Normal 3 4 5 2 2 3" xfId="24279"/>
    <cellStyle name="Normal 3 4 5 2 3" xfId="9234"/>
    <cellStyle name="Normal 3 4 5 2 3 2" xfId="24905"/>
    <cellStyle name="Normal 3 4 5 2 4" xfId="3481"/>
    <cellStyle name="Normal 3 4 5 2 5" xfId="21775"/>
    <cellStyle name="Normal 3 4 5 3" xfId="8311"/>
    <cellStyle name="Normal 3 4 5 3 2" xfId="10924"/>
    <cellStyle name="Normal 3 4 5 3 2 2" xfId="25246"/>
    <cellStyle name="Normal 3 4 5 3 3" xfId="23998"/>
    <cellStyle name="Normal 3 4 5 4" xfId="8877"/>
    <cellStyle name="Normal 3 4 5 4 2" xfId="24564"/>
    <cellStyle name="Normal 3 4 5 5" xfId="3034"/>
    <cellStyle name="Normal 3 4 5 6" xfId="21774"/>
    <cellStyle name="Normal 3 4 6" xfId="778"/>
    <cellStyle name="Normal 3 4 6 2" xfId="8439"/>
    <cellStyle name="Normal 3 4 6 2 2" xfId="11052"/>
    <cellStyle name="Normal 3 4 6 2 2 2" xfId="25374"/>
    <cellStyle name="Normal 3 4 6 2 3" xfId="24126"/>
    <cellStyle name="Normal 3 4 6 3" xfId="9011"/>
    <cellStyle name="Normal 3 4 6 3 2" xfId="24692"/>
    <cellStyle name="Normal 3 4 6 4" xfId="3202"/>
    <cellStyle name="Normal 3 4 6 5" xfId="21776"/>
    <cellStyle name="Normal 3 4 7" xfId="779"/>
    <cellStyle name="Normal 3 4 7 2" xfId="8143"/>
    <cellStyle name="Normal 3 4 7 2 2" xfId="10756"/>
    <cellStyle name="Normal 3 4 7 2 2 2" xfId="25078"/>
    <cellStyle name="Normal 3 4 7 2 3" xfId="23830"/>
    <cellStyle name="Normal 3 4 7 3" xfId="9065"/>
    <cellStyle name="Normal 3 4 7 3 2" xfId="24737"/>
    <cellStyle name="Normal 3 4 7 4" xfId="3305"/>
    <cellStyle name="Normal 3 4 7 5" xfId="21777"/>
    <cellStyle name="Normal 3 4 8" xfId="8098"/>
    <cellStyle name="Normal 3 4 8 2" xfId="10711"/>
    <cellStyle name="Normal 3 4 8 2 2" xfId="25033"/>
    <cellStyle name="Normal 3 4 8 3" xfId="23785"/>
    <cellStyle name="Normal 3 4 9" xfId="8709"/>
    <cellStyle name="Normal 3 4 9 2" xfId="24396"/>
    <cellStyle name="Normal 3 5" xfId="780"/>
    <cellStyle name="Normal 3 5 10" xfId="2858"/>
    <cellStyle name="Normal 3 5 11" xfId="21778"/>
    <cellStyle name="Normal 3 5 2" xfId="781"/>
    <cellStyle name="Normal 3 5 2 10" xfId="21779"/>
    <cellStyle name="Normal 3 5 2 2" xfId="782"/>
    <cellStyle name="Normal 3 5 2 2 2" xfId="783"/>
    <cellStyle name="Normal 3 5 2 2 2 2" xfId="784"/>
    <cellStyle name="Normal 3 5 2 2 2 2 2" xfId="8685"/>
    <cellStyle name="Normal 3 5 2 2 2 2 2 2" xfId="11298"/>
    <cellStyle name="Normal 3 5 2 2 2 2 2 2 2" xfId="25620"/>
    <cellStyle name="Normal 3 5 2 2 2 2 2 3" xfId="24372"/>
    <cellStyle name="Normal 3 5 2 2 2 2 3" xfId="9327"/>
    <cellStyle name="Normal 3 5 2 2 2 2 3 2" xfId="24998"/>
    <cellStyle name="Normal 3 5 2 2 2 2 4" xfId="3575"/>
    <cellStyle name="Normal 3 5 2 2 2 2 5" xfId="21782"/>
    <cellStyle name="Normal 3 5 2 2 2 3" xfId="8404"/>
    <cellStyle name="Normal 3 5 2 2 2 3 2" xfId="11017"/>
    <cellStyle name="Normal 3 5 2 2 2 3 2 2" xfId="25339"/>
    <cellStyle name="Normal 3 5 2 2 2 3 3" xfId="24091"/>
    <cellStyle name="Normal 3 5 2 2 2 4" xfId="8970"/>
    <cellStyle name="Normal 3 5 2 2 2 4 2" xfId="24657"/>
    <cellStyle name="Normal 3 5 2 2 2 5" xfId="3127"/>
    <cellStyle name="Normal 3 5 2 2 2 6" xfId="21781"/>
    <cellStyle name="Normal 3 5 2 2 3" xfId="785"/>
    <cellStyle name="Normal 3 5 2 2 3 2" xfId="8517"/>
    <cellStyle name="Normal 3 5 2 2 3 2 2" xfId="11130"/>
    <cellStyle name="Normal 3 5 2 2 3 2 2 2" xfId="25452"/>
    <cellStyle name="Normal 3 5 2 2 3 2 3" xfId="24204"/>
    <cellStyle name="Normal 3 5 2 2 3 3" xfId="9158"/>
    <cellStyle name="Normal 3 5 2 2 3 3 2" xfId="24830"/>
    <cellStyle name="Normal 3 5 2 2 3 4" xfId="3398"/>
    <cellStyle name="Normal 3 5 2 2 3 5" xfId="21783"/>
    <cellStyle name="Normal 3 5 2 2 4" xfId="8236"/>
    <cellStyle name="Normal 3 5 2 2 4 2" xfId="10849"/>
    <cellStyle name="Normal 3 5 2 2 4 2 2" xfId="25171"/>
    <cellStyle name="Normal 3 5 2 2 4 3" xfId="23923"/>
    <cellStyle name="Normal 3 5 2 2 5" xfId="8802"/>
    <cellStyle name="Normal 3 5 2 2 5 2" xfId="24489"/>
    <cellStyle name="Normal 3 5 2 2 6" xfId="2949"/>
    <cellStyle name="Normal 3 5 2 2 7" xfId="21780"/>
    <cellStyle name="Normal 3 5 2 3" xfId="786"/>
    <cellStyle name="Normal 3 5 2 3 2" xfId="787"/>
    <cellStyle name="Normal 3 5 2 3 2 2" xfId="8573"/>
    <cellStyle name="Normal 3 5 2 3 2 2 2" xfId="11186"/>
    <cellStyle name="Normal 3 5 2 3 2 2 2 2" xfId="25508"/>
    <cellStyle name="Normal 3 5 2 3 2 2 3" xfId="24260"/>
    <cellStyle name="Normal 3 5 2 3 2 3" xfId="9214"/>
    <cellStyle name="Normal 3 5 2 3 2 3 2" xfId="24886"/>
    <cellStyle name="Normal 3 5 2 3 2 4" xfId="3454"/>
    <cellStyle name="Normal 3 5 2 3 2 5" xfId="21785"/>
    <cellStyle name="Normal 3 5 2 3 3" xfId="8292"/>
    <cellStyle name="Normal 3 5 2 3 3 2" xfId="10905"/>
    <cellStyle name="Normal 3 5 2 3 3 2 2" xfId="25227"/>
    <cellStyle name="Normal 3 5 2 3 3 3" xfId="23979"/>
    <cellStyle name="Normal 3 5 2 3 4" xfId="8858"/>
    <cellStyle name="Normal 3 5 2 3 4 2" xfId="24545"/>
    <cellStyle name="Normal 3 5 2 3 5" xfId="3005"/>
    <cellStyle name="Normal 3 5 2 3 6" xfId="21784"/>
    <cellStyle name="Normal 3 5 2 4" xfId="788"/>
    <cellStyle name="Normal 3 5 2 4 2" xfId="789"/>
    <cellStyle name="Normal 3 5 2 4 2 2" xfId="8628"/>
    <cellStyle name="Normal 3 5 2 4 2 2 2" xfId="11241"/>
    <cellStyle name="Normal 3 5 2 4 2 2 2 2" xfId="25563"/>
    <cellStyle name="Normal 3 5 2 4 2 2 3" xfId="24315"/>
    <cellStyle name="Normal 3 5 2 4 2 3" xfId="9270"/>
    <cellStyle name="Normal 3 5 2 4 2 3 2" xfId="24941"/>
    <cellStyle name="Normal 3 5 2 4 2 4" xfId="3518"/>
    <cellStyle name="Normal 3 5 2 4 2 5" xfId="21787"/>
    <cellStyle name="Normal 3 5 2 4 3" xfId="8347"/>
    <cellStyle name="Normal 3 5 2 4 3 2" xfId="10960"/>
    <cellStyle name="Normal 3 5 2 4 3 2 2" xfId="25282"/>
    <cellStyle name="Normal 3 5 2 4 3 3" xfId="24034"/>
    <cellStyle name="Normal 3 5 2 4 4" xfId="8913"/>
    <cellStyle name="Normal 3 5 2 4 4 2" xfId="24600"/>
    <cellStyle name="Normal 3 5 2 4 5" xfId="3070"/>
    <cellStyle name="Normal 3 5 2 4 6" xfId="21786"/>
    <cellStyle name="Normal 3 5 2 5" xfId="790"/>
    <cellStyle name="Normal 3 5 2 5 2" xfId="8465"/>
    <cellStyle name="Normal 3 5 2 5 2 2" xfId="11078"/>
    <cellStyle name="Normal 3 5 2 5 2 2 2" xfId="25400"/>
    <cellStyle name="Normal 3 5 2 5 2 3" xfId="24152"/>
    <cellStyle name="Normal 3 5 2 5 3" xfId="9037"/>
    <cellStyle name="Normal 3 5 2 5 3 2" xfId="24718"/>
    <cellStyle name="Normal 3 5 2 5 4" xfId="3229"/>
    <cellStyle name="Normal 3 5 2 5 5" xfId="21788"/>
    <cellStyle name="Normal 3 5 2 6" xfId="791"/>
    <cellStyle name="Normal 3 5 2 6 2" xfId="8179"/>
    <cellStyle name="Normal 3 5 2 6 2 2" xfId="10792"/>
    <cellStyle name="Normal 3 5 2 6 2 2 2" xfId="25114"/>
    <cellStyle name="Normal 3 5 2 6 2 3" xfId="23866"/>
    <cellStyle name="Normal 3 5 2 6 3" xfId="9101"/>
    <cellStyle name="Normal 3 5 2 6 3 2" xfId="24773"/>
    <cellStyle name="Normal 3 5 2 6 4" xfId="3341"/>
    <cellStyle name="Normal 3 5 2 6 5" xfId="21789"/>
    <cellStyle name="Normal 3 5 2 7" xfId="8124"/>
    <cellStyle name="Normal 3 5 2 7 2" xfId="10737"/>
    <cellStyle name="Normal 3 5 2 7 2 2" xfId="25059"/>
    <cellStyle name="Normal 3 5 2 7 3" xfId="23811"/>
    <cellStyle name="Normal 3 5 2 8" xfId="8745"/>
    <cellStyle name="Normal 3 5 2 8 2" xfId="24432"/>
    <cellStyle name="Normal 3 5 2 9" xfId="2892"/>
    <cellStyle name="Normal 3 5 3" xfId="792"/>
    <cellStyle name="Normal 3 5 3 2" xfId="793"/>
    <cellStyle name="Normal 3 5 3 2 2" xfId="794"/>
    <cellStyle name="Normal 3 5 3 2 2 2" xfId="8659"/>
    <cellStyle name="Normal 3 5 3 2 2 2 2" xfId="11272"/>
    <cellStyle name="Normal 3 5 3 2 2 2 2 2" xfId="25594"/>
    <cellStyle name="Normal 3 5 3 2 2 2 3" xfId="24346"/>
    <cellStyle name="Normal 3 5 3 2 2 3" xfId="9301"/>
    <cellStyle name="Normal 3 5 3 2 2 3 2" xfId="24972"/>
    <cellStyle name="Normal 3 5 3 2 2 4" xfId="3549"/>
    <cellStyle name="Normal 3 5 3 2 2 5" xfId="21792"/>
    <cellStyle name="Normal 3 5 3 2 3" xfId="8378"/>
    <cellStyle name="Normal 3 5 3 2 3 2" xfId="10991"/>
    <cellStyle name="Normal 3 5 3 2 3 2 2" xfId="25313"/>
    <cellStyle name="Normal 3 5 3 2 3 3" xfId="24065"/>
    <cellStyle name="Normal 3 5 3 2 4" xfId="8944"/>
    <cellStyle name="Normal 3 5 3 2 4 2" xfId="24631"/>
    <cellStyle name="Normal 3 5 3 2 5" xfId="3101"/>
    <cellStyle name="Normal 3 5 3 2 6" xfId="21791"/>
    <cellStyle name="Normal 3 5 3 3" xfId="795"/>
    <cellStyle name="Normal 3 5 3 3 2" xfId="8491"/>
    <cellStyle name="Normal 3 5 3 3 2 2" xfId="11104"/>
    <cellStyle name="Normal 3 5 3 3 2 2 2" xfId="25426"/>
    <cellStyle name="Normal 3 5 3 3 2 3" xfId="24178"/>
    <cellStyle name="Normal 3 5 3 3 3" xfId="9132"/>
    <cellStyle name="Normal 3 5 3 3 3 2" xfId="24804"/>
    <cellStyle name="Normal 3 5 3 3 4" xfId="3372"/>
    <cellStyle name="Normal 3 5 3 3 5" xfId="21793"/>
    <cellStyle name="Normal 3 5 3 4" xfId="8210"/>
    <cellStyle name="Normal 3 5 3 4 2" xfId="10823"/>
    <cellStyle name="Normal 3 5 3 4 2 2" xfId="25145"/>
    <cellStyle name="Normal 3 5 3 4 3" xfId="23897"/>
    <cellStyle name="Normal 3 5 3 5" xfId="8776"/>
    <cellStyle name="Normal 3 5 3 5 2" xfId="24463"/>
    <cellStyle name="Normal 3 5 3 6" xfId="2923"/>
    <cellStyle name="Normal 3 5 3 7" xfId="21790"/>
    <cellStyle name="Normal 3 5 4" xfId="796"/>
    <cellStyle name="Normal 3 5 4 2" xfId="797"/>
    <cellStyle name="Normal 3 5 4 2 2" xfId="8547"/>
    <cellStyle name="Normal 3 5 4 2 2 2" xfId="11160"/>
    <cellStyle name="Normal 3 5 4 2 2 2 2" xfId="25482"/>
    <cellStyle name="Normal 3 5 4 2 2 3" xfId="24234"/>
    <cellStyle name="Normal 3 5 4 2 3" xfId="9188"/>
    <cellStyle name="Normal 3 5 4 2 3 2" xfId="24860"/>
    <cellStyle name="Normal 3 5 4 2 4" xfId="3428"/>
    <cellStyle name="Normal 3 5 4 2 5" xfId="21795"/>
    <cellStyle name="Normal 3 5 4 3" xfId="8266"/>
    <cellStyle name="Normal 3 5 4 3 2" xfId="10879"/>
    <cellStyle name="Normal 3 5 4 3 2 2" xfId="25201"/>
    <cellStyle name="Normal 3 5 4 3 3" xfId="23953"/>
    <cellStyle name="Normal 3 5 4 4" xfId="8832"/>
    <cellStyle name="Normal 3 5 4 4 2" xfId="24519"/>
    <cellStyle name="Normal 3 5 4 5" xfId="2979"/>
    <cellStyle name="Normal 3 5 4 6" xfId="21794"/>
    <cellStyle name="Normal 3 5 5" xfId="798"/>
    <cellStyle name="Normal 3 5 5 2" xfId="799"/>
    <cellStyle name="Normal 3 5 5 2 2" xfId="8597"/>
    <cellStyle name="Normal 3 5 5 2 2 2" xfId="11210"/>
    <cellStyle name="Normal 3 5 5 2 2 2 2" xfId="25532"/>
    <cellStyle name="Normal 3 5 5 2 2 3" xfId="24284"/>
    <cellStyle name="Normal 3 5 5 2 3" xfId="9239"/>
    <cellStyle name="Normal 3 5 5 2 3 2" xfId="24910"/>
    <cellStyle name="Normal 3 5 5 2 4" xfId="3486"/>
    <cellStyle name="Normal 3 5 5 2 5" xfId="21797"/>
    <cellStyle name="Normal 3 5 5 3" xfId="8316"/>
    <cellStyle name="Normal 3 5 5 3 2" xfId="10929"/>
    <cellStyle name="Normal 3 5 5 3 2 2" xfId="25251"/>
    <cellStyle name="Normal 3 5 5 3 3" xfId="24003"/>
    <cellStyle name="Normal 3 5 5 4" xfId="8882"/>
    <cellStyle name="Normal 3 5 5 4 2" xfId="24569"/>
    <cellStyle name="Normal 3 5 5 5" xfId="3039"/>
    <cellStyle name="Normal 3 5 5 6" xfId="21796"/>
    <cellStyle name="Normal 3 5 6" xfId="800"/>
    <cellStyle name="Normal 3 5 6 2" xfId="8441"/>
    <cellStyle name="Normal 3 5 6 2 2" xfId="11054"/>
    <cellStyle name="Normal 3 5 6 2 2 2" xfId="25376"/>
    <cellStyle name="Normal 3 5 6 2 3" xfId="24128"/>
    <cellStyle name="Normal 3 5 6 3" xfId="9013"/>
    <cellStyle name="Normal 3 5 6 3 2" xfId="24694"/>
    <cellStyle name="Normal 3 5 6 4" xfId="3204"/>
    <cellStyle name="Normal 3 5 6 5" xfId="21798"/>
    <cellStyle name="Normal 3 5 7" xfId="801"/>
    <cellStyle name="Normal 3 5 7 2" xfId="8148"/>
    <cellStyle name="Normal 3 5 7 2 2" xfId="10761"/>
    <cellStyle name="Normal 3 5 7 2 2 2" xfId="25083"/>
    <cellStyle name="Normal 3 5 7 2 3" xfId="23835"/>
    <cellStyle name="Normal 3 5 7 3" xfId="9070"/>
    <cellStyle name="Normal 3 5 7 3 2" xfId="24742"/>
    <cellStyle name="Normal 3 5 7 4" xfId="3310"/>
    <cellStyle name="Normal 3 5 7 5" xfId="21799"/>
    <cellStyle name="Normal 3 5 8" xfId="8100"/>
    <cellStyle name="Normal 3 5 8 2" xfId="10713"/>
    <cellStyle name="Normal 3 5 8 2 2" xfId="25035"/>
    <cellStyle name="Normal 3 5 8 3" xfId="23787"/>
    <cellStyle name="Normal 3 5 9" xfId="8714"/>
    <cellStyle name="Normal 3 5 9 2" xfId="24401"/>
    <cellStyle name="Normal 3 6" xfId="802"/>
    <cellStyle name="Normal 3 6 10" xfId="21800"/>
    <cellStyle name="Normal 3 6 2" xfId="803"/>
    <cellStyle name="Normal 3 6 2 2" xfId="804"/>
    <cellStyle name="Normal 3 6 2 2 2" xfId="805"/>
    <cellStyle name="Normal 3 6 2 2 2 2" xfId="8670"/>
    <cellStyle name="Normal 3 6 2 2 2 2 2" xfId="11283"/>
    <cellStyle name="Normal 3 6 2 2 2 2 2 2" xfId="25605"/>
    <cellStyle name="Normal 3 6 2 2 2 2 3" xfId="24357"/>
    <cellStyle name="Normal 3 6 2 2 2 3" xfId="9312"/>
    <cellStyle name="Normal 3 6 2 2 2 3 2" xfId="24983"/>
    <cellStyle name="Normal 3 6 2 2 2 4" xfId="3560"/>
    <cellStyle name="Normal 3 6 2 2 2 5" xfId="21803"/>
    <cellStyle name="Normal 3 6 2 2 3" xfId="8389"/>
    <cellStyle name="Normal 3 6 2 2 3 2" xfId="11002"/>
    <cellStyle name="Normal 3 6 2 2 3 2 2" xfId="25324"/>
    <cellStyle name="Normal 3 6 2 2 3 3" xfId="24076"/>
    <cellStyle name="Normal 3 6 2 2 4" xfId="8955"/>
    <cellStyle name="Normal 3 6 2 2 4 2" xfId="24642"/>
    <cellStyle name="Normal 3 6 2 2 5" xfId="3112"/>
    <cellStyle name="Normal 3 6 2 2 6" xfId="21802"/>
    <cellStyle name="Normal 3 6 2 3" xfId="806"/>
    <cellStyle name="Normal 3 6 2 3 2" xfId="8502"/>
    <cellStyle name="Normal 3 6 2 3 2 2" xfId="11115"/>
    <cellStyle name="Normal 3 6 2 3 2 2 2" xfId="25437"/>
    <cellStyle name="Normal 3 6 2 3 2 3" xfId="24189"/>
    <cellStyle name="Normal 3 6 2 3 3" xfId="9143"/>
    <cellStyle name="Normal 3 6 2 3 3 2" xfId="24815"/>
    <cellStyle name="Normal 3 6 2 3 4" xfId="3383"/>
    <cellStyle name="Normal 3 6 2 3 5" xfId="21804"/>
    <cellStyle name="Normal 3 6 2 4" xfId="8221"/>
    <cellStyle name="Normal 3 6 2 4 2" xfId="10834"/>
    <cellStyle name="Normal 3 6 2 4 2 2" xfId="25156"/>
    <cellStyle name="Normal 3 6 2 4 3" xfId="23908"/>
    <cellStyle name="Normal 3 6 2 5" xfId="8787"/>
    <cellStyle name="Normal 3 6 2 5 2" xfId="24474"/>
    <cellStyle name="Normal 3 6 2 6" xfId="2934"/>
    <cellStyle name="Normal 3 6 2 7" xfId="21801"/>
    <cellStyle name="Normal 3 6 3" xfId="807"/>
    <cellStyle name="Normal 3 6 3 2" xfId="808"/>
    <cellStyle name="Normal 3 6 3 2 2" xfId="8558"/>
    <cellStyle name="Normal 3 6 3 2 2 2" xfId="11171"/>
    <cellStyle name="Normal 3 6 3 2 2 2 2" xfId="25493"/>
    <cellStyle name="Normal 3 6 3 2 2 3" xfId="24245"/>
    <cellStyle name="Normal 3 6 3 2 3" xfId="9199"/>
    <cellStyle name="Normal 3 6 3 2 3 2" xfId="24871"/>
    <cellStyle name="Normal 3 6 3 2 4" xfId="3439"/>
    <cellStyle name="Normal 3 6 3 2 5" xfId="21806"/>
    <cellStyle name="Normal 3 6 3 3" xfId="8277"/>
    <cellStyle name="Normal 3 6 3 3 2" xfId="10890"/>
    <cellStyle name="Normal 3 6 3 3 2 2" xfId="25212"/>
    <cellStyle name="Normal 3 6 3 3 3" xfId="23964"/>
    <cellStyle name="Normal 3 6 3 4" xfId="8843"/>
    <cellStyle name="Normal 3 6 3 4 2" xfId="24530"/>
    <cellStyle name="Normal 3 6 3 5" xfId="2990"/>
    <cellStyle name="Normal 3 6 3 6" xfId="21805"/>
    <cellStyle name="Normal 3 6 4" xfId="809"/>
    <cellStyle name="Normal 3 6 4 2" xfId="810"/>
    <cellStyle name="Normal 3 6 4 2 2" xfId="8608"/>
    <cellStyle name="Normal 3 6 4 2 2 2" xfId="11221"/>
    <cellStyle name="Normal 3 6 4 2 2 2 2" xfId="25543"/>
    <cellStyle name="Normal 3 6 4 2 2 3" xfId="24295"/>
    <cellStyle name="Normal 3 6 4 2 3" xfId="9250"/>
    <cellStyle name="Normal 3 6 4 2 3 2" xfId="24921"/>
    <cellStyle name="Normal 3 6 4 2 4" xfId="3497"/>
    <cellStyle name="Normal 3 6 4 2 5" xfId="21808"/>
    <cellStyle name="Normal 3 6 4 3" xfId="8327"/>
    <cellStyle name="Normal 3 6 4 3 2" xfId="10940"/>
    <cellStyle name="Normal 3 6 4 3 2 2" xfId="25262"/>
    <cellStyle name="Normal 3 6 4 3 3" xfId="24014"/>
    <cellStyle name="Normal 3 6 4 4" xfId="8893"/>
    <cellStyle name="Normal 3 6 4 4 2" xfId="24580"/>
    <cellStyle name="Normal 3 6 4 5" xfId="3050"/>
    <cellStyle name="Normal 3 6 4 6" xfId="21807"/>
    <cellStyle name="Normal 3 6 5" xfId="811"/>
    <cellStyle name="Normal 3 6 5 2" xfId="8451"/>
    <cellStyle name="Normal 3 6 5 2 2" xfId="11064"/>
    <cellStyle name="Normal 3 6 5 2 2 2" xfId="25386"/>
    <cellStyle name="Normal 3 6 5 2 3" xfId="24138"/>
    <cellStyle name="Normal 3 6 5 3" xfId="9023"/>
    <cellStyle name="Normal 3 6 5 3 2" xfId="24704"/>
    <cellStyle name="Normal 3 6 5 4" xfId="3214"/>
    <cellStyle name="Normal 3 6 5 5" xfId="21809"/>
    <cellStyle name="Normal 3 6 6" xfId="812"/>
    <cellStyle name="Normal 3 6 6 2" xfId="8159"/>
    <cellStyle name="Normal 3 6 6 2 2" xfId="10772"/>
    <cellStyle name="Normal 3 6 6 2 2 2" xfId="25094"/>
    <cellStyle name="Normal 3 6 6 2 3" xfId="23846"/>
    <cellStyle name="Normal 3 6 6 3" xfId="9081"/>
    <cellStyle name="Normal 3 6 6 3 2" xfId="24753"/>
    <cellStyle name="Normal 3 6 6 4" xfId="3321"/>
    <cellStyle name="Normal 3 6 6 5" xfId="21810"/>
    <cellStyle name="Normal 3 6 7" xfId="8110"/>
    <cellStyle name="Normal 3 6 7 2" xfId="10723"/>
    <cellStyle name="Normal 3 6 7 2 2" xfId="25045"/>
    <cellStyle name="Normal 3 6 7 3" xfId="23797"/>
    <cellStyle name="Normal 3 6 8" xfId="8725"/>
    <cellStyle name="Normal 3 6 8 2" xfId="24412"/>
    <cellStyle name="Normal 3 6 9" xfId="2870"/>
    <cellStyle name="Normal 3 7" xfId="813"/>
    <cellStyle name="Normal 3 7 10" xfId="21811"/>
    <cellStyle name="Normal 3 7 2" xfId="814"/>
    <cellStyle name="Normal 3 7 2 2" xfId="815"/>
    <cellStyle name="Normal 3 7 2 2 2" xfId="816"/>
    <cellStyle name="Normal 3 7 2 2 2 2" xfId="8645"/>
    <cellStyle name="Normal 3 7 2 2 2 2 2" xfId="11258"/>
    <cellStyle name="Normal 3 7 2 2 2 2 2 2" xfId="25580"/>
    <cellStyle name="Normal 3 7 2 2 2 2 3" xfId="24332"/>
    <cellStyle name="Normal 3 7 2 2 2 3" xfId="9287"/>
    <cellStyle name="Normal 3 7 2 2 2 3 2" xfId="24958"/>
    <cellStyle name="Normal 3 7 2 2 2 4" xfId="3535"/>
    <cellStyle name="Normal 3 7 2 2 2 5" xfId="21814"/>
    <cellStyle name="Normal 3 7 2 2 3" xfId="8364"/>
    <cellStyle name="Normal 3 7 2 2 3 2" xfId="10977"/>
    <cellStyle name="Normal 3 7 2 2 3 2 2" xfId="25299"/>
    <cellStyle name="Normal 3 7 2 2 3 3" xfId="24051"/>
    <cellStyle name="Normal 3 7 2 2 4" xfId="8930"/>
    <cellStyle name="Normal 3 7 2 2 4 2" xfId="24617"/>
    <cellStyle name="Normal 3 7 2 2 5" xfId="3087"/>
    <cellStyle name="Normal 3 7 2 2 6" xfId="21813"/>
    <cellStyle name="Normal 3 7 2 3" xfId="817"/>
    <cellStyle name="Normal 3 7 2 3 2" xfId="8481"/>
    <cellStyle name="Normal 3 7 2 3 2 2" xfId="11094"/>
    <cellStyle name="Normal 3 7 2 3 2 2 2" xfId="25416"/>
    <cellStyle name="Normal 3 7 2 3 2 3" xfId="24168"/>
    <cellStyle name="Normal 3 7 2 3 3" xfId="9118"/>
    <cellStyle name="Normal 3 7 2 3 3 2" xfId="24790"/>
    <cellStyle name="Normal 3 7 2 3 4" xfId="3358"/>
    <cellStyle name="Normal 3 7 2 3 5" xfId="21815"/>
    <cellStyle name="Normal 3 7 2 4" xfId="8196"/>
    <cellStyle name="Normal 3 7 2 4 2" xfId="10809"/>
    <cellStyle name="Normal 3 7 2 4 2 2" xfId="25131"/>
    <cellStyle name="Normal 3 7 2 4 3" xfId="23883"/>
    <cellStyle name="Normal 3 7 2 5" xfId="8762"/>
    <cellStyle name="Normal 3 7 2 5 2" xfId="24449"/>
    <cellStyle name="Normal 3 7 2 6" xfId="2909"/>
    <cellStyle name="Normal 3 7 2 7" xfId="21812"/>
    <cellStyle name="Normal 3 7 3" xfId="818"/>
    <cellStyle name="Normal 3 7 3 2" xfId="819"/>
    <cellStyle name="Normal 3 7 3 2 2" xfId="8533"/>
    <cellStyle name="Normal 3 7 3 2 2 2" xfId="11146"/>
    <cellStyle name="Normal 3 7 3 2 2 2 2" xfId="25468"/>
    <cellStyle name="Normal 3 7 3 2 2 3" xfId="24220"/>
    <cellStyle name="Normal 3 7 3 2 3" xfId="9174"/>
    <cellStyle name="Normal 3 7 3 2 3 2" xfId="24846"/>
    <cellStyle name="Normal 3 7 3 2 4" xfId="3414"/>
    <cellStyle name="Normal 3 7 3 2 5" xfId="21817"/>
    <cellStyle name="Normal 3 7 3 3" xfId="8252"/>
    <cellStyle name="Normal 3 7 3 3 2" xfId="10865"/>
    <cellStyle name="Normal 3 7 3 3 2 2" xfId="25187"/>
    <cellStyle name="Normal 3 7 3 3 3" xfId="23939"/>
    <cellStyle name="Normal 3 7 3 4" xfId="8818"/>
    <cellStyle name="Normal 3 7 3 4 2" xfId="24505"/>
    <cellStyle name="Normal 3 7 3 5" xfId="2965"/>
    <cellStyle name="Normal 3 7 3 6" xfId="21816"/>
    <cellStyle name="Normal 3 7 4" xfId="820"/>
    <cellStyle name="Normal 3 7 4 2" xfId="821"/>
    <cellStyle name="Normal 3 7 4 2 2" xfId="8614"/>
    <cellStyle name="Normal 3 7 4 2 2 2" xfId="11227"/>
    <cellStyle name="Normal 3 7 4 2 2 2 2" xfId="25549"/>
    <cellStyle name="Normal 3 7 4 2 2 3" xfId="24301"/>
    <cellStyle name="Normal 3 7 4 2 3" xfId="9256"/>
    <cellStyle name="Normal 3 7 4 2 3 2" xfId="24927"/>
    <cellStyle name="Normal 3 7 4 2 4" xfId="3503"/>
    <cellStyle name="Normal 3 7 4 2 5" xfId="21819"/>
    <cellStyle name="Normal 3 7 4 3" xfId="8333"/>
    <cellStyle name="Normal 3 7 4 3 2" xfId="10946"/>
    <cellStyle name="Normal 3 7 4 3 2 2" xfId="25268"/>
    <cellStyle name="Normal 3 7 4 3 3" xfId="24020"/>
    <cellStyle name="Normal 3 7 4 4" xfId="8899"/>
    <cellStyle name="Normal 3 7 4 4 2" xfId="24586"/>
    <cellStyle name="Normal 3 7 4 5" xfId="3056"/>
    <cellStyle name="Normal 3 7 4 6" xfId="21818"/>
    <cellStyle name="Normal 3 7 5" xfId="822"/>
    <cellStyle name="Normal 3 7 5 2" xfId="8431"/>
    <cellStyle name="Normal 3 7 5 2 2" xfId="11044"/>
    <cellStyle name="Normal 3 7 5 2 2 2" xfId="25366"/>
    <cellStyle name="Normal 3 7 5 2 3" xfId="24118"/>
    <cellStyle name="Normal 3 7 5 3" xfId="9001"/>
    <cellStyle name="Normal 3 7 5 3 2" xfId="24684"/>
    <cellStyle name="Normal 3 7 5 4" xfId="3175"/>
    <cellStyle name="Normal 3 7 5 5" xfId="21820"/>
    <cellStyle name="Normal 3 7 6" xfId="823"/>
    <cellStyle name="Normal 3 7 6 2" xfId="8165"/>
    <cellStyle name="Normal 3 7 6 2 2" xfId="10778"/>
    <cellStyle name="Normal 3 7 6 2 2 2" xfId="25100"/>
    <cellStyle name="Normal 3 7 6 2 3" xfId="23852"/>
    <cellStyle name="Normal 3 7 6 3" xfId="9087"/>
    <cellStyle name="Normal 3 7 6 3 2" xfId="24759"/>
    <cellStyle name="Normal 3 7 6 4" xfId="3327"/>
    <cellStyle name="Normal 3 7 6 5" xfId="21821"/>
    <cellStyle name="Normal 3 7 7" xfId="8090"/>
    <cellStyle name="Normal 3 7 7 2" xfId="10703"/>
    <cellStyle name="Normal 3 7 7 2 2" xfId="25025"/>
    <cellStyle name="Normal 3 7 7 3" xfId="23777"/>
    <cellStyle name="Normal 3 7 8" xfId="8731"/>
    <cellStyle name="Normal 3 7 8 2" xfId="24418"/>
    <cellStyle name="Normal 3 7 9" xfId="2876"/>
    <cellStyle name="Normal 3 8" xfId="824"/>
    <cellStyle name="Normal 3 8 2" xfId="825"/>
    <cellStyle name="Normal 3 8 2 2" xfId="826"/>
    <cellStyle name="Normal 3 8 2 2 2" xfId="8639"/>
    <cellStyle name="Normal 3 8 2 2 2 2" xfId="11252"/>
    <cellStyle name="Normal 3 8 2 2 2 2 2" xfId="25574"/>
    <cellStyle name="Normal 3 8 2 2 2 3" xfId="24326"/>
    <cellStyle name="Normal 3 8 2 2 3" xfId="9281"/>
    <cellStyle name="Normal 3 8 2 2 3 2" xfId="24952"/>
    <cellStyle name="Normal 3 8 2 2 4" xfId="3529"/>
    <cellStyle name="Normal 3 8 2 2 5" xfId="21824"/>
    <cellStyle name="Normal 3 8 2 3" xfId="8358"/>
    <cellStyle name="Normal 3 8 2 3 2" xfId="10971"/>
    <cellStyle name="Normal 3 8 2 3 2 2" xfId="25293"/>
    <cellStyle name="Normal 3 8 2 3 3" xfId="24045"/>
    <cellStyle name="Normal 3 8 2 4" xfId="8924"/>
    <cellStyle name="Normal 3 8 2 4 2" xfId="24611"/>
    <cellStyle name="Normal 3 8 2 5" xfId="3081"/>
    <cellStyle name="Normal 3 8 2 6" xfId="21823"/>
    <cellStyle name="Normal 3 8 3" xfId="827"/>
    <cellStyle name="Normal 3 8 3 2" xfId="8475"/>
    <cellStyle name="Normal 3 8 3 2 2" xfId="11088"/>
    <cellStyle name="Normal 3 8 3 2 2 2" xfId="25410"/>
    <cellStyle name="Normal 3 8 3 2 3" xfId="24162"/>
    <cellStyle name="Normal 3 8 3 3" xfId="9112"/>
    <cellStyle name="Normal 3 8 3 3 2" xfId="24784"/>
    <cellStyle name="Normal 3 8 3 4" xfId="3352"/>
    <cellStyle name="Normal 3 8 3 5" xfId="21825"/>
    <cellStyle name="Normal 3 8 4" xfId="8190"/>
    <cellStyle name="Normal 3 8 4 2" xfId="10803"/>
    <cellStyle name="Normal 3 8 4 2 2" xfId="25125"/>
    <cellStyle name="Normal 3 8 4 3" xfId="23877"/>
    <cellStyle name="Normal 3 8 5" xfId="8756"/>
    <cellStyle name="Normal 3 8 5 2" xfId="24443"/>
    <cellStyle name="Normal 3 8 6" xfId="2903"/>
    <cellStyle name="Normal 3 8 7" xfId="21822"/>
    <cellStyle name="Normal 3 9" xfId="828"/>
    <cellStyle name="Normal 3 9 2" xfId="829"/>
    <cellStyle name="Normal 3 9 2 2" xfId="8527"/>
    <cellStyle name="Normal 3 9 2 2 2" xfId="11140"/>
    <cellStyle name="Normal 3 9 2 2 2 2" xfId="25462"/>
    <cellStyle name="Normal 3 9 2 2 3" xfId="24214"/>
    <cellStyle name="Normal 3 9 2 3" xfId="9168"/>
    <cellStyle name="Normal 3 9 2 3 2" xfId="24840"/>
    <cellStyle name="Normal 3 9 2 4" xfId="3408"/>
    <cellStyle name="Normal 3 9 2 5" xfId="21827"/>
    <cellStyle name="Normal 3 9 3" xfId="8246"/>
    <cellStyle name="Normal 3 9 3 2" xfId="10859"/>
    <cellStyle name="Normal 3 9 3 2 2" xfId="25181"/>
    <cellStyle name="Normal 3 9 3 3" xfId="23933"/>
    <cellStyle name="Normal 3 9 4" xfId="8812"/>
    <cellStyle name="Normal 3 9 4 2" xfId="24499"/>
    <cellStyle name="Normal 3 9 5" xfId="2959"/>
    <cellStyle name="Normal 3 9 6" xfId="21826"/>
    <cellStyle name="Normal 4" xfId="830"/>
    <cellStyle name="Normal 4 10" xfId="831"/>
    <cellStyle name="Normal 4 10 2" xfId="8415"/>
    <cellStyle name="Normal 4 10 2 2" xfId="11028"/>
    <cellStyle name="Normal 4 10 2 2 2" xfId="25350"/>
    <cellStyle name="Normal 4 10 2 3" xfId="24102"/>
    <cellStyle name="Normal 4 10 3" xfId="8985"/>
    <cellStyle name="Normal 4 10 3 2" xfId="24668"/>
    <cellStyle name="Normal 4 10 4" xfId="3158"/>
    <cellStyle name="Normal 4 10 5" xfId="21829"/>
    <cellStyle name="Normal 4 11" xfId="832"/>
    <cellStyle name="Normal 4 11 2" xfId="8135"/>
    <cellStyle name="Normal 4 11 2 2" xfId="10748"/>
    <cellStyle name="Normal 4 11 2 2 2" xfId="25070"/>
    <cellStyle name="Normal 4 11 2 3" xfId="23822"/>
    <cellStyle name="Normal 4 11 3" xfId="9057"/>
    <cellStyle name="Normal 4 11 3 2" xfId="24729"/>
    <cellStyle name="Normal 4 11 4" xfId="3297"/>
    <cellStyle name="Normal 4 11 5" xfId="21830"/>
    <cellStyle name="Normal 4 12" xfId="8074"/>
    <cellStyle name="Normal 4 12 2" xfId="10687"/>
    <cellStyle name="Normal 4 12 2 2" xfId="25009"/>
    <cellStyle name="Normal 4 12 3" xfId="23761"/>
    <cellStyle name="Normal 4 13" xfId="8696"/>
    <cellStyle name="Normal 4 13 2" xfId="11309"/>
    <cellStyle name="Normal 4 13 2 2" xfId="25631"/>
    <cellStyle name="Normal 4 13 3" xfId="24383"/>
    <cellStyle name="Normal 4 14" xfId="8701"/>
    <cellStyle name="Normal 4 14 2" xfId="24388"/>
    <cellStyle name="Normal 4 15" xfId="2801"/>
    <cellStyle name="Normal 4 16" xfId="21828"/>
    <cellStyle name="Normal 4 2" xfId="833"/>
    <cellStyle name="Normal 4 2 10" xfId="8705"/>
    <cellStyle name="Normal 4 2 10 2" xfId="24392"/>
    <cellStyle name="Normal 4 2 11" xfId="2849"/>
    <cellStyle name="Normal 4 2 12" xfId="21831"/>
    <cellStyle name="Normal 4 2 2" xfId="834"/>
    <cellStyle name="Normal 4 2 2 10" xfId="2865"/>
    <cellStyle name="Normal 4 2 2 11" xfId="21832"/>
    <cellStyle name="Normal 4 2 2 2" xfId="835"/>
    <cellStyle name="Normal 4 2 2 2 10" xfId="21833"/>
    <cellStyle name="Normal 4 2 2 2 2" xfId="836"/>
    <cellStyle name="Normal 4 2 2 2 2 2" xfId="837"/>
    <cellStyle name="Normal 4 2 2 2 2 2 2" xfId="838"/>
    <cellStyle name="Normal 4 2 2 2 2 2 2 2" xfId="8691"/>
    <cellStyle name="Normal 4 2 2 2 2 2 2 2 2" xfId="11304"/>
    <cellStyle name="Normal 4 2 2 2 2 2 2 2 2 2" xfId="25626"/>
    <cellStyle name="Normal 4 2 2 2 2 2 2 2 3" xfId="24378"/>
    <cellStyle name="Normal 4 2 2 2 2 2 2 3" xfId="9333"/>
    <cellStyle name="Normal 4 2 2 2 2 2 2 3 2" xfId="25004"/>
    <cellStyle name="Normal 4 2 2 2 2 2 2 4" xfId="3581"/>
    <cellStyle name="Normal 4 2 2 2 2 2 2 5" xfId="21836"/>
    <cellStyle name="Normal 4 2 2 2 2 2 3" xfId="8410"/>
    <cellStyle name="Normal 4 2 2 2 2 2 3 2" xfId="11023"/>
    <cellStyle name="Normal 4 2 2 2 2 2 3 2 2" xfId="25345"/>
    <cellStyle name="Normal 4 2 2 2 2 2 3 3" xfId="24097"/>
    <cellStyle name="Normal 4 2 2 2 2 2 4" xfId="8976"/>
    <cellStyle name="Normal 4 2 2 2 2 2 4 2" xfId="24663"/>
    <cellStyle name="Normal 4 2 2 2 2 2 5" xfId="3133"/>
    <cellStyle name="Normal 4 2 2 2 2 2 6" xfId="21835"/>
    <cellStyle name="Normal 4 2 2 2 2 3" xfId="839"/>
    <cellStyle name="Normal 4 2 2 2 2 3 2" xfId="8523"/>
    <cellStyle name="Normal 4 2 2 2 2 3 2 2" xfId="11136"/>
    <cellStyle name="Normal 4 2 2 2 2 3 2 2 2" xfId="25458"/>
    <cellStyle name="Normal 4 2 2 2 2 3 2 3" xfId="24210"/>
    <cellStyle name="Normal 4 2 2 2 2 3 3" xfId="9164"/>
    <cellStyle name="Normal 4 2 2 2 2 3 3 2" xfId="24836"/>
    <cellStyle name="Normal 4 2 2 2 2 3 4" xfId="3404"/>
    <cellStyle name="Normal 4 2 2 2 2 3 5" xfId="21837"/>
    <cellStyle name="Normal 4 2 2 2 2 4" xfId="8242"/>
    <cellStyle name="Normal 4 2 2 2 2 4 2" xfId="10855"/>
    <cellStyle name="Normal 4 2 2 2 2 4 2 2" xfId="25177"/>
    <cellStyle name="Normal 4 2 2 2 2 4 3" xfId="23929"/>
    <cellStyle name="Normal 4 2 2 2 2 5" xfId="8808"/>
    <cellStyle name="Normal 4 2 2 2 2 5 2" xfId="24495"/>
    <cellStyle name="Normal 4 2 2 2 2 6" xfId="2955"/>
    <cellStyle name="Normal 4 2 2 2 2 7" xfId="21834"/>
    <cellStyle name="Normal 4 2 2 2 3" xfId="840"/>
    <cellStyle name="Normal 4 2 2 2 3 2" xfId="841"/>
    <cellStyle name="Normal 4 2 2 2 3 2 2" xfId="8579"/>
    <cellStyle name="Normal 4 2 2 2 3 2 2 2" xfId="11192"/>
    <cellStyle name="Normal 4 2 2 2 3 2 2 2 2" xfId="25514"/>
    <cellStyle name="Normal 4 2 2 2 3 2 2 3" xfId="24266"/>
    <cellStyle name="Normal 4 2 2 2 3 2 3" xfId="9220"/>
    <cellStyle name="Normal 4 2 2 2 3 2 3 2" xfId="24892"/>
    <cellStyle name="Normal 4 2 2 2 3 2 4" xfId="3460"/>
    <cellStyle name="Normal 4 2 2 2 3 2 5" xfId="21839"/>
    <cellStyle name="Normal 4 2 2 2 3 3" xfId="8298"/>
    <cellStyle name="Normal 4 2 2 2 3 3 2" xfId="10911"/>
    <cellStyle name="Normal 4 2 2 2 3 3 2 2" xfId="25233"/>
    <cellStyle name="Normal 4 2 2 2 3 3 3" xfId="23985"/>
    <cellStyle name="Normal 4 2 2 2 3 4" xfId="8864"/>
    <cellStyle name="Normal 4 2 2 2 3 4 2" xfId="24551"/>
    <cellStyle name="Normal 4 2 2 2 3 5" xfId="3011"/>
    <cellStyle name="Normal 4 2 2 2 3 6" xfId="21838"/>
    <cellStyle name="Normal 4 2 2 2 4" xfId="842"/>
    <cellStyle name="Normal 4 2 2 2 4 2" xfId="843"/>
    <cellStyle name="Normal 4 2 2 2 4 2 2" xfId="8634"/>
    <cellStyle name="Normal 4 2 2 2 4 2 2 2" xfId="11247"/>
    <cellStyle name="Normal 4 2 2 2 4 2 2 2 2" xfId="25569"/>
    <cellStyle name="Normal 4 2 2 2 4 2 2 3" xfId="24321"/>
    <cellStyle name="Normal 4 2 2 2 4 2 3" xfId="9276"/>
    <cellStyle name="Normal 4 2 2 2 4 2 3 2" xfId="24947"/>
    <cellStyle name="Normal 4 2 2 2 4 2 4" xfId="3524"/>
    <cellStyle name="Normal 4 2 2 2 4 2 5" xfId="21841"/>
    <cellStyle name="Normal 4 2 2 2 4 3" xfId="8353"/>
    <cellStyle name="Normal 4 2 2 2 4 3 2" xfId="10966"/>
    <cellStyle name="Normal 4 2 2 2 4 3 2 2" xfId="25288"/>
    <cellStyle name="Normal 4 2 2 2 4 3 3" xfId="24040"/>
    <cellStyle name="Normal 4 2 2 2 4 4" xfId="8919"/>
    <cellStyle name="Normal 4 2 2 2 4 4 2" xfId="24606"/>
    <cellStyle name="Normal 4 2 2 2 4 5" xfId="3076"/>
    <cellStyle name="Normal 4 2 2 2 4 6" xfId="21840"/>
    <cellStyle name="Normal 4 2 2 2 5" xfId="844"/>
    <cellStyle name="Normal 4 2 2 2 5 2" xfId="8471"/>
    <cellStyle name="Normal 4 2 2 2 5 2 2" xfId="11084"/>
    <cellStyle name="Normal 4 2 2 2 5 2 2 2" xfId="25406"/>
    <cellStyle name="Normal 4 2 2 2 5 2 3" xfId="24158"/>
    <cellStyle name="Normal 4 2 2 2 5 3" xfId="9043"/>
    <cellStyle name="Normal 4 2 2 2 5 3 2" xfId="24724"/>
    <cellStyle name="Normal 4 2 2 2 5 4" xfId="3235"/>
    <cellStyle name="Normal 4 2 2 2 5 5" xfId="21842"/>
    <cellStyle name="Normal 4 2 2 2 6" xfId="845"/>
    <cellStyle name="Normal 4 2 2 2 6 2" xfId="8185"/>
    <cellStyle name="Normal 4 2 2 2 6 2 2" xfId="10798"/>
    <cellStyle name="Normal 4 2 2 2 6 2 2 2" xfId="25120"/>
    <cellStyle name="Normal 4 2 2 2 6 2 3" xfId="23872"/>
    <cellStyle name="Normal 4 2 2 2 6 3" xfId="9107"/>
    <cellStyle name="Normal 4 2 2 2 6 3 2" xfId="24779"/>
    <cellStyle name="Normal 4 2 2 2 6 4" xfId="3347"/>
    <cellStyle name="Normal 4 2 2 2 6 5" xfId="21843"/>
    <cellStyle name="Normal 4 2 2 2 7" xfId="8130"/>
    <cellStyle name="Normal 4 2 2 2 7 2" xfId="10743"/>
    <cellStyle name="Normal 4 2 2 2 7 2 2" xfId="25065"/>
    <cellStyle name="Normal 4 2 2 2 7 3" xfId="23817"/>
    <cellStyle name="Normal 4 2 2 2 8" xfId="8751"/>
    <cellStyle name="Normal 4 2 2 2 8 2" xfId="24438"/>
    <cellStyle name="Normal 4 2 2 2 9" xfId="2898"/>
    <cellStyle name="Normal 4 2 2 3" xfId="846"/>
    <cellStyle name="Normal 4 2 2 3 2" xfId="847"/>
    <cellStyle name="Normal 4 2 2 3 2 2" xfId="848"/>
    <cellStyle name="Normal 4 2 2 3 2 2 2" xfId="8665"/>
    <cellStyle name="Normal 4 2 2 3 2 2 2 2" xfId="11278"/>
    <cellStyle name="Normal 4 2 2 3 2 2 2 2 2" xfId="25600"/>
    <cellStyle name="Normal 4 2 2 3 2 2 2 3" xfId="24352"/>
    <cellStyle name="Normal 4 2 2 3 2 2 3" xfId="9307"/>
    <cellStyle name="Normal 4 2 2 3 2 2 3 2" xfId="24978"/>
    <cellStyle name="Normal 4 2 2 3 2 2 4" xfId="3555"/>
    <cellStyle name="Normal 4 2 2 3 2 2 5" xfId="21846"/>
    <cellStyle name="Normal 4 2 2 3 2 3" xfId="8384"/>
    <cellStyle name="Normal 4 2 2 3 2 3 2" xfId="10997"/>
    <cellStyle name="Normal 4 2 2 3 2 3 2 2" xfId="25319"/>
    <cellStyle name="Normal 4 2 2 3 2 3 3" xfId="24071"/>
    <cellStyle name="Normal 4 2 2 3 2 4" xfId="8950"/>
    <cellStyle name="Normal 4 2 2 3 2 4 2" xfId="24637"/>
    <cellStyle name="Normal 4 2 2 3 2 5" xfId="3107"/>
    <cellStyle name="Normal 4 2 2 3 2 6" xfId="21845"/>
    <cellStyle name="Normal 4 2 2 3 3" xfId="849"/>
    <cellStyle name="Normal 4 2 2 3 3 2" xfId="8497"/>
    <cellStyle name="Normal 4 2 2 3 3 2 2" xfId="11110"/>
    <cellStyle name="Normal 4 2 2 3 3 2 2 2" xfId="25432"/>
    <cellStyle name="Normal 4 2 2 3 3 2 3" xfId="24184"/>
    <cellStyle name="Normal 4 2 2 3 3 3" xfId="9138"/>
    <cellStyle name="Normal 4 2 2 3 3 3 2" xfId="24810"/>
    <cellStyle name="Normal 4 2 2 3 3 4" xfId="3378"/>
    <cellStyle name="Normal 4 2 2 3 3 5" xfId="21847"/>
    <cellStyle name="Normal 4 2 2 3 4" xfId="8216"/>
    <cellStyle name="Normal 4 2 2 3 4 2" xfId="10829"/>
    <cellStyle name="Normal 4 2 2 3 4 2 2" xfId="25151"/>
    <cellStyle name="Normal 4 2 2 3 4 3" xfId="23903"/>
    <cellStyle name="Normal 4 2 2 3 5" xfId="8782"/>
    <cellStyle name="Normal 4 2 2 3 5 2" xfId="24469"/>
    <cellStyle name="Normal 4 2 2 3 6" xfId="2929"/>
    <cellStyle name="Normal 4 2 2 3 7" xfId="21844"/>
    <cellStyle name="Normal 4 2 2 4" xfId="850"/>
    <cellStyle name="Normal 4 2 2 4 2" xfId="851"/>
    <cellStyle name="Normal 4 2 2 4 2 2" xfId="8553"/>
    <cellStyle name="Normal 4 2 2 4 2 2 2" xfId="11166"/>
    <cellStyle name="Normal 4 2 2 4 2 2 2 2" xfId="25488"/>
    <cellStyle name="Normal 4 2 2 4 2 2 3" xfId="24240"/>
    <cellStyle name="Normal 4 2 2 4 2 3" xfId="9194"/>
    <cellStyle name="Normal 4 2 2 4 2 3 2" xfId="24866"/>
    <cellStyle name="Normal 4 2 2 4 2 4" xfId="3434"/>
    <cellStyle name="Normal 4 2 2 4 2 5" xfId="21849"/>
    <cellStyle name="Normal 4 2 2 4 3" xfId="8272"/>
    <cellStyle name="Normal 4 2 2 4 3 2" xfId="10885"/>
    <cellStyle name="Normal 4 2 2 4 3 2 2" xfId="25207"/>
    <cellStyle name="Normal 4 2 2 4 3 3" xfId="23959"/>
    <cellStyle name="Normal 4 2 2 4 4" xfId="8838"/>
    <cellStyle name="Normal 4 2 2 4 4 2" xfId="24525"/>
    <cellStyle name="Normal 4 2 2 4 5" xfId="2985"/>
    <cellStyle name="Normal 4 2 2 4 6" xfId="21848"/>
    <cellStyle name="Normal 4 2 2 5" xfId="852"/>
    <cellStyle name="Normal 4 2 2 5 2" xfId="853"/>
    <cellStyle name="Normal 4 2 2 5 2 2" xfId="8603"/>
    <cellStyle name="Normal 4 2 2 5 2 2 2" xfId="11216"/>
    <cellStyle name="Normal 4 2 2 5 2 2 2 2" xfId="25538"/>
    <cellStyle name="Normal 4 2 2 5 2 2 3" xfId="24290"/>
    <cellStyle name="Normal 4 2 2 5 2 3" xfId="9245"/>
    <cellStyle name="Normal 4 2 2 5 2 3 2" xfId="24916"/>
    <cellStyle name="Normal 4 2 2 5 2 4" xfId="3492"/>
    <cellStyle name="Normal 4 2 2 5 2 5" xfId="21851"/>
    <cellStyle name="Normal 4 2 2 5 3" xfId="8322"/>
    <cellStyle name="Normal 4 2 2 5 3 2" xfId="10935"/>
    <cellStyle name="Normal 4 2 2 5 3 2 2" xfId="25257"/>
    <cellStyle name="Normal 4 2 2 5 3 3" xfId="24009"/>
    <cellStyle name="Normal 4 2 2 5 4" xfId="8888"/>
    <cellStyle name="Normal 4 2 2 5 4 2" xfId="24575"/>
    <cellStyle name="Normal 4 2 2 5 5" xfId="3045"/>
    <cellStyle name="Normal 4 2 2 5 6" xfId="21850"/>
    <cellStyle name="Normal 4 2 2 6" xfId="854"/>
    <cellStyle name="Normal 4 2 2 6 2" xfId="8446"/>
    <cellStyle name="Normal 4 2 2 6 2 2" xfId="11059"/>
    <cellStyle name="Normal 4 2 2 6 2 2 2" xfId="25381"/>
    <cellStyle name="Normal 4 2 2 6 2 3" xfId="24133"/>
    <cellStyle name="Normal 4 2 2 6 3" xfId="9018"/>
    <cellStyle name="Normal 4 2 2 6 3 2" xfId="24699"/>
    <cellStyle name="Normal 4 2 2 6 4" xfId="3209"/>
    <cellStyle name="Normal 4 2 2 6 5" xfId="21852"/>
    <cellStyle name="Normal 4 2 2 7" xfId="855"/>
    <cellStyle name="Normal 4 2 2 7 2" xfId="8154"/>
    <cellStyle name="Normal 4 2 2 7 2 2" xfId="10767"/>
    <cellStyle name="Normal 4 2 2 7 2 2 2" xfId="25089"/>
    <cellStyle name="Normal 4 2 2 7 2 3" xfId="23841"/>
    <cellStyle name="Normal 4 2 2 7 3" xfId="9076"/>
    <cellStyle name="Normal 4 2 2 7 3 2" xfId="24748"/>
    <cellStyle name="Normal 4 2 2 7 4" xfId="3316"/>
    <cellStyle name="Normal 4 2 2 7 5" xfId="21853"/>
    <cellStyle name="Normal 4 2 2 8" xfId="8105"/>
    <cellStyle name="Normal 4 2 2 8 2" xfId="10718"/>
    <cellStyle name="Normal 4 2 2 8 2 2" xfId="25040"/>
    <cellStyle name="Normal 4 2 2 8 3" xfId="23792"/>
    <cellStyle name="Normal 4 2 2 9" xfId="8720"/>
    <cellStyle name="Normal 4 2 2 9 2" xfId="24407"/>
    <cellStyle name="Normal 4 2 3" xfId="856"/>
    <cellStyle name="Normal 4 2 3 10" xfId="21854"/>
    <cellStyle name="Normal 4 2 3 2" xfId="857"/>
    <cellStyle name="Normal 4 2 3 2 2" xfId="858"/>
    <cellStyle name="Normal 4 2 3 2 2 2" xfId="859"/>
    <cellStyle name="Normal 4 2 3 2 2 2 2" xfId="8677"/>
    <cellStyle name="Normal 4 2 3 2 2 2 2 2" xfId="11290"/>
    <cellStyle name="Normal 4 2 3 2 2 2 2 2 2" xfId="25612"/>
    <cellStyle name="Normal 4 2 3 2 2 2 2 3" xfId="24364"/>
    <cellStyle name="Normal 4 2 3 2 2 2 3" xfId="9319"/>
    <cellStyle name="Normal 4 2 3 2 2 2 3 2" xfId="24990"/>
    <cellStyle name="Normal 4 2 3 2 2 2 4" xfId="3567"/>
    <cellStyle name="Normal 4 2 3 2 2 2 5" xfId="21857"/>
    <cellStyle name="Normal 4 2 3 2 2 3" xfId="8396"/>
    <cellStyle name="Normal 4 2 3 2 2 3 2" xfId="11009"/>
    <cellStyle name="Normal 4 2 3 2 2 3 2 2" xfId="25331"/>
    <cellStyle name="Normal 4 2 3 2 2 3 3" xfId="24083"/>
    <cellStyle name="Normal 4 2 3 2 2 4" xfId="8962"/>
    <cellStyle name="Normal 4 2 3 2 2 4 2" xfId="24649"/>
    <cellStyle name="Normal 4 2 3 2 2 5" xfId="3119"/>
    <cellStyle name="Normal 4 2 3 2 2 6" xfId="21856"/>
    <cellStyle name="Normal 4 2 3 2 3" xfId="860"/>
    <cellStyle name="Normal 4 2 3 2 3 2" xfId="8509"/>
    <cellStyle name="Normal 4 2 3 2 3 2 2" xfId="11122"/>
    <cellStyle name="Normal 4 2 3 2 3 2 2 2" xfId="25444"/>
    <cellStyle name="Normal 4 2 3 2 3 2 3" xfId="24196"/>
    <cellStyle name="Normal 4 2 3 2 3 3" xfId="9150"/>
    <cellStyle name="Normal 4 2 3 2 3 3 2" xfId="24822"/>
    <cellStyle name="Normal 4 2 3 2 3 4" xfId="3390"/>
    <cellStyle name="Normal 4 2 3 2 3 5" xfId="21858"/>
    <cellStyle name="Normal 4 2 3 2 4" xfId="8228"/>
    <cellStyle name="Normal 4 2 3 2 4 2" xfId="10841"/>
    <cellStyle name="Normal 4 2 3 2 4 2 2" xfId="25163"/>
    <cellStyle name="Normal 4 2 3 2 4 3" xfId="23915"/>
    <cellStyle name="Normal 4 2 3 2 5" xfId="8794"/>
    <cellStyle name="Normal 4 2 3 2 5 2" xfId="24481"/>
    <cellStyle name="Normal 4 2 3 2 6" xfId="2941"/>
    <cellStyle name="Normal 4 2 3 2 7" xfId="21855"/>
    <cellStyle name="Normal 4 2 3 3" xfId="861"/>
    <cellStyle name="Normal 4 2 3 3 2" xfId="862"/>
    <cellStyle name="Normal 4 2 3 3 2 2" xfId="8565"/>
    <cellStyle name="Normal 4 2 3 3 2 2 2" xfId="11178"/>
    <cellStyle name="Normal 4 2 3 3 2 2 2 2" xfId="25500"/>
    <cellStyle name="Normal 4 2 3 3 2 2 3" xfId="24252"/>
    <cellStyle name="Normal 4 2 3 3 2 3" xfId="9206"/>
    <cellStyle name="Normal 4 2 3 3 2 3 2" xfId="24878"/>
    <cellStyle name="Normal 4 2 3 3 2 4" xfId="3446"/>
    <cellStyle name="Normal 4 2 3 3 2 5" xfId="21860"/>
    <cellStyle name="Normal 4 2 3 3 3" xfId="8284"/>
    <cellStyle name="Normal 4 2 3 3 3 2" xfId="10897"/>
    <cellStyle name="Normal 4 2 3 3 3 2 2" xfId="25219"/>
    <cellStyle name="Normal 4 2 3 3 3 3" xfId="23971"/>
    <cellStyle name="Normal 4 2 3 3 4" xfId="8850"/>
    <cellStyle name="Normal 4 2 3 3 4 2" xfId="24537"/>
    <cellStyle name="Normal 4 2 3 3 5" xfId="2997"/>
    <cellStyle name="Normal 4 2 3 3 6" xfId="21859"/>
    <cellStyle name="Normal 4 2 3 4" xfId="863"/>
    <cellStyle name="Normal 4 2 3 4 2" xfId="864"/>
    <cellStyle name="Normal 4 2 3 4 2 2" xfId="8619"/>
    <cellStyle name="Normal 4 2 3 4 2 2 2" xfId="11232"/>
    <cellStyle name="Normal 4 2 3 4 2 2 2 2" xfId="25554"/>
    <cellStyle name="Normal 4 2 3 4 2 2 3" xfId="24306"/>
    <cellStyle name="Normal 4 2 3 4 2 3" xfId="9261"/>
    <cellStyle name="Normal 4 2 3 4 2 3 2" xfId="24932"/>
    <cellStyle name="Normal 4 2 3 4 2 4" xfId="3509"/>
    <cellStyle name="Normal 4 2 3 4 2 5" xfId="21862"/>
    <cellStyle name="Normal 4 2 3 4 3" xfId="8338"/>
    <cellStyle name="Normal 4 2 3 4 3 2" xfId="10951"/>
    <cellStyle name="Normal 4 2 3 4 3 2 2" xfId="25273"/>
    <cellStyle name="Normal 4 2 3 4 3 3" xfId="24025"/>
    <cellStyle name="Normal 4 2 3 4 4" xfId="8904"/>
    <cellStyle name="Normal 4 2 3 4 4 2" xfId="24591"/>
    <cellStyle name="Normal 4 2 3 4 5" xfId="3061"/>
    <cellStyle name="Normal 4 2 3 4 6" xfId="21861"/>
    <cellStyle name="Normal 4 2 3 5" xfId="865"/>
    <cellStyle name="Normal 4 2 3 5 2" xfId="8457"/>
    <cellStyle name="Normal 4 2 3 5 2 2" xfId="11070"/>
    <cellStyle name="Normal 4 2 3 5 2 2 2" xfId="25392"/>
    <cellStyle name="Normal 4 2 3 5 2 3" xfId="24144"/>
    <cellStyle name="Normal 4 2 3 5 3" xfId="9029"/>
    <cellStyle name="Normal 4 2 3 5 3 2" xfId="24710"/>
    <cellStyle name="Normal 4 2 3 5 4" xfId="3221"/>
    <cellStyle name="Normal 4 2 3 5 5" xfId="21863"/>
    <cellStyle name="Normal 4 2 3 6" xfId="866"/>
    <cellStyle name="Normal 4 2 3 6 2" xfId="8170"/>
    <cellStyle name="Normal 4 2 3 6 2 2" xfId="10783"/>
    <cellStyle name="Normal 4 2 3 6 2 2 2" xfId="25105"/>
    <cellStyle name="Normal 4 2 3 6 2 3" xfId="23857"/>
    <cellStyle name="Normal 4 2 3 6 3" xfId="9092"/>
    <cellStyle name="Normal 4 2 3 6 3 2" xfId="24764"/>
    <cellStyle name="Normal 4 2 3 6 4" xfId="3332"/>
    <cellStyle name="Normal 4 2 3 6 5" xfId="21864"/>
    <cellStyle name="Normal 4 2 3 7" xfId="8116"/>
    <cellStyle name="Normal 4 2 3 7 2" xfId="10729"/>
    <cellStyle name="Normal 4 2 3 7 2 2" xfId="25051"/>
    <cellStyle name="Normal 4 2 3 7 3" xfId="23803"/>
    <cellStyle name="Normal 4 2 3 8" xfId="8736"/>
    <cellStyle name="Normal 4 2 3 8 2" xfId="24423"/>
    <cellStyle name="Normal 4 2 3 9" xfId="2883"/>
    <cellStyle name="Normal 4 2 4" xfId="867"/>
    <cellStyle name="Normal 4 2 4 2" xfId="868"/>
    <cellStyle name="Normal 4 2 4 2 2" xfId="869"/>
    <cellStyle name="Normal 4 2 4 2 2 2" xfId="8650"/>
    <cellStyle name="Normal 4 2 4 2 2 2 2" xfId="11263"/>
    <cellStyle name="Normal 4 2 4 2 2 2 2 2" xfId="25585"/>
    <cellStyle name="Normal 4 2 4 2 2 2 3" xfId="24337"/>
    <cellStyle name="Normal 4 2 4 2 2 3" xfId="9292"/>
    <cellStyle name="Normal 4 2 4 2 2 3 2" xfId="24963"/>
    <cellStyle name="Normal 4 2 4 2 2 4" xfId="3540"/>
    <cellStyle name="Normal 4 2 4 2 2 5" xfId="21867"/>
    <cellStyle name="Normal 4 2 4 2 3" xfId="8369"/>
    <cellStyle name="Normal 4 2 4 2 3 2" xfId="10982"/>
    <cellStyle name="Normal 4 2 4 2 3 2 2" xfId="25304"/>
    <cellStyle name="Normal 4 2 4 2 3 3" xfId="24056"/>
    <cellStyle name="Normal 4 2 4 2 4" xfId="8935"/>
    <cellStyle name="Normal 4 2 4 2 4 2" xfId="24622"/>
    <cellStyle name="Normal 4 2 4 2 5" xfId="3092"/>
    <cellStyle name="Normal 4 2 4 2 6" xfId="21866"/>
    <cellStyle name="Normal 4 2 4 3" xfId="870"/>
    <cellStyle name="Normal 4 2 4 3 2" xfId="8435"/>
    <cellStyle name="Normal 4 2 4 3 2 2" xfId="11048"/>
    <cellStyle name="Normal 4 2 4 3 2 2 2" xfId="25370"/>
    <cellStyle name="Normal 4 2 4 3 2 3" xfId="24122"/>
    <cellStyle name="Normal 4 2 4 3 3" xfId="9007"/>
    <cellStyle name="Normal 4 2 4 3 3 2" xfId="24688"/>
    <cellStyle name="Normal 4 2 4 3 4" xfId="3198"/>
    <cellStyle name="Normal 4 2 4 3 5" xfId="21868"/>
    <cellStyle name="Normal 4 2 4 4" xfId="871"/>
    <cellStyle name="Normal 4 2 4 4 2" xfId="8201"/>
    <cellStyle name="Normal 4 2 4 4 2 2" xfId="10814"/>
    <cellStyle name="Normal 4 2 4 4 2 2 2" xfId="25136"/>
    <cellStyle name="Normal 4 2 4 4 2 3" xfId="23888"/>
    <cellStyle name="Normal 4 2 4 4 3" xfId="9123"/>
    <cellStyle name="Normal 4 2 4 4 3 2" xfId="24795"/>
    <cellStyle name="Normal 4 2 4 4 4" xfId="3363"/>
    <cellStyle name="Normal 4 2 4 4 5" xfId="21869"/>
    <cellStyle name="Normal 4 2 4 5" xfId="8094"/>
    <cellStyle name="Normal 4 2 4 5 2" xfId="10707"/>
    <cellStyle name="Normal 4 2 4 5 2 2" xfId="25029"/>
    <cellStyle name="Normal 4 2 4 5 3" xfId="23781"/>
    <cellStyle name="Normal 4 2 4 6" xfId="8767"/>
    <cellStyle name="Normal 4 2 4 6 2" xfId="24454"/>
    <cellStyle name="Normal 4 2 4 7" xfId="2914"/>
    <cellStyle name="Normal 4 2 4 8" xfId="21865"/>
    <cellStyle name="Normal 4 2 5" xfId="872"/>
    <cellStyle name="Normal 4 2 5 2" xfId="873"/>
    <cellStyle name="Normal 4 2 5 2 2" xfId="8538"/>
    <cellStyle name="Normal 4 2 5 2 2 2" xfId="11151"/>
    <cellStyle name="Normal 4 2 5 2 2 2 2" xfId="25473"/>
    <cellStyle name="Normal 4 2 5 2 2 3" xfId="24225"/>
    <cellStyle name="Normal 4 2 5 2 3" xfId="9179"/>
    <cellStyle name="Normal 4 2 5 2 3 2" xfId="24851"/>
    <cellStyle name="Normal 4 2 5 2 4" xfId="3419"/>
    <cellStyle name="Normal 4 2 5 2 5" xfId="21871"/>
    <cellStyle name="Normal 4 2 5 3" xfId="8257"/>
    <cellStyle name="Normal 4 2 5 3 2" xfId="10870"/>
    <cellStyle name="Normal 4 2 5 3 2 2" xfId="25192"/>
    <cellStyle name="Normal 4 2 5 3 3" xfId="23944"/>
    <cellStyle name="Normal 4 2 5 4" xfId="8823"/>
    <cellStyle name="Normal 4 2 5 4 2" xfId="24510"/>
    <cellStyle name="Normal 4 2 5 5" xfId="2970"/>
    <cellStyle name="Normal 4 2 5 6" xfId="21870"/>
    <cellStyle name="Normal 4 2 6" xfId="874"/>
    <cellStyle name="Normal 4 2 6 2" xfId="875"/>
    <cellStyle name="Normal 4 2 6 2 2" xfId="8588"/>
    <cellStyle name="Normal 4 2 6 2 2 2" xfId="11201"/>
    <cellStyle name="Normal 4 2 6 2 2 2 2" xfId="25523"/>
    <cellStyle name="Normal 4 2 6 2 2 3" xfId="24275"/>
    <cellStyle name="Normal 4 2 6 2 3" xfId="9230"/>
    <cellStyle name="Normal 4 2 6 2 3 2" xfId="24901"/>
    <cellStyle name="Normal 4 2 6 2 4" xfId="3477"/>
    <cellStyle name="Normal 4 2 6 2 5" xfId="21873"/>
    <cellStyle name="Normal 4 2 6 3" xfId="8307"/>
    <cellStyle name="Normal 4 2 6 3 2" xfId="10920"/>
    <cellStyle name="Normal 4 2 6 3 2 2" xfId="25242"/>
    <cellStyle name="Normal 4 2 6 3 3" xfId="23994"/>
    <cellStyle name="Normal 4 2 6 4" xfId="8873"/>
    <cellStyle name="Normal 4 2 6 4 2" xfId="24560"/>
    <cellStyle name="Normal 4 2 6 5" xfId="3030"/>
    <cellStyle name="Normal 4 2 6 6" xfId="21872"/>
    <cellStyle name="Normal 4 2 7" xfId="876"/>
    <cellStyle name="Normal 4 2 7 2" xfId="8420"/>
    <cellStyle name="Normal 4 2 7 2 2" xfId="11033"/>
    <cellStyle name="Normal 4 2 7 2 2 2" xfId="25355"/>
    <cellStyle name="Normal 4 2 7 2 3" xfId="24107"/>
    <cellStyle name="Normal 4 2 7 3" xfId="8990"/>
    <cellStyle name="Normal 4 2 7 3 2" xfId="24673"/>
    <cellStyle name="Normal 4 2 7 4" xfId="3164"/>
    <cellStyle name="Normal 4 2 7 5" xfId="21874"/>
    <cellStyle name="Normal 4 2 8" xfId="877"/>
    <cellStyle name="Normal 4 2 8 2" xfId="8139"/>
    <cellStyle name="Normal 4 2 8 2 2" xfId="10752"/>
    <cellStyle name="Normal 4 2 8 2 2 2" xfId="25074"/>
    <cellStyle name="Normal 4 2 8 2 3" xfId="23826"/>
    <cellStyle name="Normal 4 2 8 3" xfId="9061"/>
    <cellStyle name="Normal 4 2 8 3 2" xfId="24733"/>
    <cellStyle name="Normal 4 2 8 4" xfId="3301"/>
    <cellStyle name="Normal 4 2 8 5" xfId="21875"/>
    <cellStyle name="Normal 4 2 9" xfId="8079"/>
    <cellStyle name="Normal 4 2 9 2" xfId="10692"/>
    <cellStyle name="Normal 4 2 9 2 2" xfId="25014"/>
    <cellStyle name="Normal 4 2 9 3" xfId="23766"/>
    <cellStyle name="Normal 4 3" xfId="878"/>
    <cellStyle name="Normal 4 3 10" xfId="2854"/>
    <cellStyle name="Normal 4 3 11" xfId="21876"/>
    <cellStyle name="Normal 4 3 2" xfId="879"/>
    <cellStyle name="Normal 4 3 2 10" xfId="21877"/>
    <cellStyle name="Normal 4 3 2 2" xfId="880"/>
    <cellStyle name="Normal 4 3 2 2 2" xfId="881"/>
    <cellStyle name="Normal 4 3 2 2 2 2" xfId="882"/>
    <cellStyle name="Normal 4 3 2 2 2 2 2" xfId="8681"/>
    <cellStyle name="Normal 4 3 2 2 2 2 2 2" xfId="11294"/>
    <cellStyle name="Normal 4 3 2 2 2 2 2 2 2" xfId="25616"/>
    <cellStyle name="Normal 4 3 2 2 2 2 2 3" xfId="24368"/>
    <cellStyle name="Normal 4 3 2 2 2 2 3" xfId="9323"/>
    <cellStyle name="Normal 4 3 2 2 2 2 3 2" xfId="24994"/>
    <cellStyle name="Normal 4 3 2 2 2 2 4" xfId="3571"/>
    <cellStyle name="Normal 4 3 2 2 2 2 5" xfId="21880"/>
    <cellStyle name="Normal 4 3 2 2 2 3" xfId="8400"/>
    <cellStyle name="Normal 4 3 2 2 2 3 2" xfId="11013"/>
    <cellStyle name="Normal 4 3 2 2 2 3 2 2" xfId="25335"/>
    <cellStyle name="Normal 4 3 2 2 2 3 3" xfId="24087"/>
    <cellStyle name="Normal 4 3 2 2 2 4" xfId="8966"/>
    <cellStyle name="Normal 4 3 2 2 2 4 2" xfId="24653"/>
    <cellStyle name="Normal 4 3 2 2 2 5" xfId="3123"/>
    <cellStyle name="Normal 4 3 2 2 2 6" xfId="21879"/>
    <cellStyle name="Normal 4 3 2 2 3" xfId="883"/>
    <cellStyle name="Normal 4 3 2 2 3 2" xfId="8513"/>
    <cellStyle name="Normal 4 3 2 2 3 2 2" xfId="11126"/>
    <cellStyle name="Normal 4 3 2 2 3 2 2 2" xfId="25448"/>
    <cellStyle name="Normal 4 3 2 2 3 2 3" xfId="24200"/>
    <cellStyle name="Normal 4 3 2 2 3 3" xfId="9154"/>
    <cellStyle name="Normal 4 3 2 2 3 3 2" xfId="24826"/>
    <cellStyle name="Normal 4 3 2 2 3 4" xfId="3394"/>
    <cellStyle name="Normal 4 3 2 2 3 5" xfId="21881"/>
    <cellStyle name="Normal 4 3 2 2 4" xfId="8232"/>
    <cellStyle name="Normal 4 3 2 2 4 2" xfId="10845"/>
    <cellStyle name="Normal 4 3 2 2 4 2 2" xfId="25167"/>
    <cellStyle name="Normal 4 3 2 2 4 3" xfId="23919"/>
    <cellStyle name="Normal 4 3 2 2 5" xfId="8798"/>
    <cellStyle name="Normal 4 3 2 2 5 2" xfId="24485"/>
    <cellStyle name="Normal 4 3 2 2 6" xfId="2945"/>
    <cellStyle name="Normal 4 3 2 2 7" xfId="21878"/>
    <cellStyle name="Normal 4 3 2 3" xfId="884"/>
    <cellStyle name="Normal 4 3 2 3 2" xfId="885"/>
    <cellStyle name="Normal 4 3 2 3 2 2" xfId="8569"/>
    <cellStyle name="Normal 4 3 2 3 2 2 2" xfId="11182"/>
    <cellStyle name="Normal 4 3 2 3 2 2 2 2" xfId="25504"/>
    <cellStyle name="Normal 4 3 2 3 2 2 3" xfId="24256"/>
    <cellStyle name="Normal 4 3 2 3 2 3" xfId="9210"/>
    <cellStyle name="Normal 4 3 2 3 2 3 2" xfId="24882"/>
    <cellStyle name="Normal 4 3 2 3 2 4" xfId="3450"/>
    <cellStyle name="Normal 4 3 2 3 2 5" xfId="21883"/>
    <cellStyle name="Normal 4 3 2 3 3" xfId="8288"/>
    <cellStyle name="Normal 4 3 2 3 3 2" xfId="10901"/>
    <cellStyle name="Normal 4 3 2 3 3 2 2" xfId="25223"/>
    <cellStyle name="Normal 4 3 2 3 3 3" xfId="23975"/>
    <cellStyle name="Normal 4 3 2 3 4" xfId="8854"/>
    <cellStyle name="Normal 4 3 2 3 4 2" xfId="24541"/>
    <cellStyle name="Normal 4 3 2 3 5" xfId="3001"/>
    <cellStyle name="Normal 4 3 2 3 6" xfId="21882"/>
    <cellStyle name="Normal 4 3 2 4" xfId="886"/>
    <cellStyle name="Normal 4 3 2 4 2" xfId="887"/>
    <cellStyle name="Normal 4 3 2 4 2 2" xfId="8624"/>
    <cellStyle name="Normal 4 3 2 4 2 2 2" xfId="11237"/>
    <cellStyle name="Normal 4 3 2 4 2 2 2 2" xfId="25559"/>
    <cellStyle name="Normal 4 3 2 4 2 2 3" xfId="24311"/>
    <cellStyle name="Normal 4 3 2 4 2 3" xfId="9266"/>
    <cellStyle name="Normal 4 3 2 4 2 3 2" xfId="24937"/>
    <cellStyle name="Normal 4 3 2 4 2 4" xfId="3514"/>
    <cellStyle name="Normal 4 3 2 4 2 5" xfId="21885"/>
    <cellStyle name="Normal 4 3 2 4 3" xfId="8343"/>
    <cellStyle name="Normal 4 3 2 4 3 2" xfId="10956"/>
    <cellStyle name="Normal 4 3 2 4 3 2 2" xfId="25278"/>
    <cellStyle name="Normal 4 3 2 4 3 3" xfId="24030"/>
    <cellStyle name="Normal 4 3 2 4 4" xfId="8909"/>
    <cellStyle name="Normal 4 3 2 4 4 2" xfId="24596"/>
    <cellStyle name="Normal 4 3 2 4 5" xfId="3066"/>
    <cellStyle name="Normal 4 3 2 4 6" xfId="21884"/>
    <cellStyle name="Normal 4 3 2 5" xfId="888"/>
    <cellStyle name="Normal 4 3 2 5 2" xfId="8461"/>
    <cellStyle name="Normal 4 3 2 5 2 2" xfId="11074"/>
    <cellStyle name="Normal 4 3 2 5 2 2 2" xfId="25396"/>
    <cellStyle name="Normal 4 3 2 5 2 3" xfId="24148"/>
    <cellStyle name="Normal 4 3 2 5 3" xfId="9033"/>
    <cellStyle name="Normal 4 3 2 5 3 2" xfId="24714"/>
    <cellStyle name="Normal 4 3 2 5 4" xfId="3225"/>
    <cellStyle name="Normal 4 3 2 5 5" xfId="21886"/>
    <cellStyle name="Normal 4 3 2 6" xfId="889"/>
    <cellStyle name="Normal 4 3 2 6 2" xfId="8175"/>
    <cellStyle name="Normal 4 3 2 6 2 2" xfId="10788"/>
    <cellStyle name="Normal 4 3 2 6 2 2 2" xfId="25110"/>
    <cellStyle name="Normal 4 3 2 6 2 3" xfId="23862"/>
    <cellStyle name="Normal 4 3 2 6 3" xfId="9097"/>
    <cellStyle name="Normal 4 3 2 6 3 2" xfId="24769"/>
    <cellStyle name="Normal 4 3 2 6 4" xfId="3337"/>
    <cellStyle name="Normal 4 3 2 6 5" xfId="21887"/>
    <cellStyle name="Normal 4 3 2 7" xfId="8120"/>
    <cellStyle name="Normal 4 3 2 7 2" xfId="10733"/>
    <cellStyle name="Normal 4 3 2 7 2 2" xfId="25055"/>
    <cellStyle name="Normal 4 3 2 7 3" xfId="23807"/>
    <cellStyle name="Normal 4 3 2 8" xfId="8741"/>
    <cellStyle name="Normal 4 3 2 8 2" xfId="24428"/>
    <cellStyle name="Normal 4 3 2 9" xfId="2888"/>
    <cellStyle name="Normal 4 3 3" xfId="890"/>
    <cellStyle name="Normal 4 3 3 2" xfId="891"/>
    <cellStyle name="Normal 4 3 3 2 2" xfId="892"/>
    <cellStyle name="Normal 4 3 3 2 2 2" xfId="8655"/>
    <cellStyle name="Normal 4 3 3 2 2 2 2" xfId="11268"/>
    <cellStyle name="Normal 4 3 3 2 2 2 2 2" xfId="25590"/>
    <cellStyle name="Normal 4 3 3 2 2 2 3" xfId="24342"/>
    <cellStyle name="Normal 4 3 3 2 2 3" xfId="9297"/>
    <cellStyle name="Normal 4 3 3 2 2 3 2" xfId="24968"/>
    <cellStyle name="Normal 4 3 3 2 2 4" xfId="3545"/>
    <cellStyle name="Normal 4 3 3 2 2 5" xfId="21890"/>
    <cellStyle name="Normal 4 3 3 2 3" xfId="8374"/>
    <cellStyle name="Normal 4 3 3 2 3 2" xfId="10987"/>
    <cellStyle name="Normal 4 3 3 2 3 2 2" xfId="25309"/>
    <cellStyle name="Normal 4 3 3 2 3 3" xfId="24061"/>
    <cellStyle name="Normal 4 3 3 2 4" xfId="8940"/>
    <cellStyle name="Normal 4 3 3 2 4 2" xfId="24627"/>
    <cellStyle name="Normal 4 3 3 2 5" xfId="3097"/>
    <cellStyle name="Normal 4 3 3 2 6" xfId="21889"/>
    <cellStyle name="Normal 4 3 3 3" xfId="893"/>
    <cellStyle name="Normal 4 3 3 3 2" xfId="8488"/>
    <cellStyle name="Normal 4 3 3 3 2 2" xfId="11101"/>
    <cellStyle name="Normal 4 3 3 3 2 2 2" xfId="25423"/>
    <cellStyle name="Normal 4 3 3 3 2 3" xfId="24175"/>
    <cellStyle name="Normal 4 3 3 3 3" xfId="9128"/>
    <cellStyle name="Normal 4 3 3 3 3 2" xfId="24800"/>
    <cellStyle name="Normal 4 3 3 3 4" xfId="3368"/>
    <cellStyle name="Normal 4 3 3 3 5" xfId="21891"/>
    <cellStyle name="Normal 4 3 3 4" xfId="8206"/>
    <cellStyle name="Normal 4 3 3 4 2" xfId="10819"/>
    <cellStyle name="Normal 4 3 3 4 2 2" xfId="25141"/>
    <cellStyle name="Normal 4 3 3 4 3" xfId="23893"/>
    <cellStyle name="Normal 4 3 3 5" xfId="8772"/>
    <cellStyle name="Normal 4 3 3 5 2" xfId="24459"/>
    <cellStyle name="Normal 4 3 3 6" xfId="2919"/>
    <cellStyle name="Normal 4 3 3 7" xfId="21888"/>
    <cellStyle name="Normal 4 3 4" xfId="894"/>
    <cellStyle name="Normal 4 3 4 2" xfId="895"/>
    <cellStyle name="Normal 4 3 4 2 2" xfId="8543"/>
    <cellStyle name="Normal 4 3 4 2 2 2" xfId="11156"/>
    <cellStyle name="Normal 4 3 4 2 2 2 2" xfId="25478"/>
    <cellStyle name="Normal 4 3 4 2 2 3" xfId="24230"/>
    <cellStyle name="Normal 4 3 4 2 3" xfId="9184"/>
    <cellStyle name="Normal 4 3 4 2 3 2" xfId="24856"/>
    <cellStyle name="Normal 4 3 4 2 4" xfId="3424"/>
    <cellStyle name="Normal 4 3 4 2 5" xfId="21893"/>
    <cellStyle name="Normal 4 3 4 3" xfId="8262"/>
    <cellStyle name="Normal 4 3 4 3 2" xfId="10875"/>
    <cellStyle name="Normal 4 3 4 3 2 2" xfId="25197"/>
    <cellStyle name="Normal 4 3 4 3 3" xfId="23949"/>
    <cellStyle name="Normal 4 3 4 4" xfId="8828"/>
    <cellStyle name="Normal 4 3 4 4 2" xfId="24515"/>
    <cellStyle name="Normal 4 3 4 5" xfId="2975"/>
    <cellStyle name="Normal 4 3 4 6" xfId="21892"/>
    <cellStyle name="Normal 4 3 5" xfId="896"/>
    <cellStyle name="Normal 4 3 5 2" xfId="897"/>
    <cellStyle name="Normal 4 3 5 2 2" xfId="8593"/>
    <cellStyle name="Normal 4 3 5 2 2 2" xfId="11206"/>
    <cellStyle name="Normal 4 3 5 2 2 2 2" xfId="25528"/>
    <cellStyle name="Normal 4 3 5 2 2 3" xfId="24280"/>
    <cellStyle name="Normal 4 3 5 2 3" xfId="9235"/>
    <cellStyle name="Normal 4 3 5 2 3 2" xfId="24906"/>
    <cellStyle name="Normal 4 3 5 2 4" xfId="3482"/>
    <cellStyle name="Normal 4 3 5 2 5" xfId="21895"/>
    <cellStyle name="Normal 4 3 5 3" xfId="8312"/>
    <cellStyle name="Normal 4 3 5 3 2" xfId="10925"/>
    <cellStyle name="Normal 4 3 5 3 2 2" xfId="25247"/>
    <cellStyle name="Normal 4 3 5 3 3" xfId="23999"/>
    <cellStyle name="Normal 4 3 5 4" xfId="8878"/>
    <cellStyle name="Normal 4 3 5 4 2" xfId="24565"/>
    <cellStyle name="Normal 4 3 5 5" xfId="3035"/>
    <cellStyle name="Normal 4 3 5 6" xfId="21894"/>
    <cellStyle name="Normal 4 3 6" xfId="898"/>
    <cellStyle name="Normal 4 3 6 2" xfId="8426"/>
    <cellStyle name="Normal 4 3 6 2 2" xfId="11039"/>
    <cellStyle name="Normal 4 3 6 2 2 2" xfId="25361"/>
    <cellStyle name="Normal 4 3 6 2 3" xfId="24113"/>
    <cellStyle name="Normal 4 3 6 3" xfId="8996"/>
    <cellStyle name="Normal 4 3 6 3 2" xfId="24679"/>
    <cellStyle name="Normal 4 3 6 4" xfId="3170"/>
    <cellStyle name="Normal 4 3 6 5" xfId="21896"/>
    <cellStyle name="Normal 4 3 7" xfId="899"/>
    <cellStyle name="Normal 4 3 7 2" xfId="8144"/>
    <cellStyle name="Normal 4 3 7 2 2" xfId="10757"/>
    <cellStyle name="Normal 4 3 7 2 2 2" xfId="25079"/>
    <cellStyle name="Normal 4 3 7 2 3" xfId="23831"/>
    <cellStyle name="Normal 4 3 7 3" xfId="9066"/>
    <cellStyle name="Normal 4 3 7 3 2" xfId="24738"/>
    <cellStyle name="Normal 4 3 7 4" xfId="3306"/>
    <cellStyle name="Normal 4 3 7 5" xfId="21897"/>
    <cellStyle name="Normal 4 3 8" xfId="8085"/>
    <cellStyle name="Normal 4 3 8 2" xfId="10698"/>
    <cellStyle name="Normal 4 3 8 2 2" xfId="25020"/>
    <cellStyle name="Normal 4 3 8 3" xfId="23772"/>
    <cellStyle name="Normal 4 3 9" xfId="8710"/>
    <cellStyle name="Normal 4 3 9 2" xfId="24397"/>
    <cellStyle name="Normal 4 4" xfId="900"/>
    <cellStyle name="Normal 4 4 10" xfId="2859"/>
    <cellStyle name="Normal 4 4 11" xfId="21898"/>
    <cellStyle name="Normal 4 4 2" xfId="901"/>
    <cellStyle name="Normal 4 4 2 10" xfId="21899"/>
    <cellStyle name="Normal 4 4 2 2" xfId="902"/>
    <cellStyle name="Normal 4 4 2 2 2" xfId="903"/>
    <cellStyle name="Normal 4 4 2 2 2 2" xfId="904"/>
    <cellStyle name="Normal 4 4 2 2 2 2 2" xfId="8686"/>
    <cellStyle name="Normal 4 4 2 2 2 2 2 2" xfId="11299"/>
    <cellStyle name="Normal 4 4 2 2 2 2 2 2 2" xfId="25621"/>
    <cellStyle name="Normal 4 4 2 2 2 2 2 3" xfId="24373"/>
    <cellStyle name="Normal 4 4 2 2 2 2 3" xfId="9328"/>
    <cellStyle name="Normal 4 4 2 2 2 2 3 2" xfId="24999"/>
    <cellStyle name="Normal 4 4 2 2 2 2 4" xfId="3576"/>
    <cellStyle name="Normal 4 4 2 2 2 2 5" xfId="21902"/>
    <cellStyle name="Normal 4 4 2 2 2 3" xfId="8405"/>
    <cellStyle name="Normal 4 4 2 2 2 3 2" xfId="11018"/>
    <cellStyle name="Normal 4 4 2 2 2 3 2 2" xfId="25340"/>
    <cellStyle name="Normal 4 4 2 2 2 3 3" xfId="24092"/>
    <cellStyle name="Normal 4 4 2 2 2 4" xfId="8971"/>
    <cellStyle name="Normal 4 4 2 2 2 4 2" xfId="24658"/>
    <cellStyle name="Normal 4 4 2 2 2 5" xfId="3128"/>
    <cellStyle name="Normal 4 4 2 2 2 6" xfId="21901"/>
    <cellStyle name="Normal 4 4 2 2 3" xfId="905"/>
    <cellStyle name="Normal 4 4 2 2 3 2" xfId="8518"/>
    <cellStyle name="Normal 4 4 2 2 3 2 2" xfId="11131"/>
    <cellStyle name="Normal 4 4 2 2 3 2 2 2" xfId="25453"/>
    <cellStyle name="Normal 4 4 2 2 3 2 3" xfId="24205"/>
    <cellStyle name="Normal 4 4 2 2 3 3" xfId="9159"/>
    <cellStyle name="Normal 4 4 2 2 3 3 2" xfId="24831"/>
    <cellStyle name="Normal 4 4 2 2 3 4" xfId="3399"/>
    <cellStyle name="Normal 4 4 2 2 3 5" xfId="21903"/>
    <cellStyle name="Normal 4 4 2 2 4" xfId="8237"/>
    <cellStyle name="Normal 4 4 2 2 4 2" xfId="10850"/>
    <cellStyle name="Normal 4 4 2 2 4 2 2" xfId="25172"/>
    <cellStyle name="Normal 4 4 2 2 4 3" xfId="23924"/>
    <cellStyle name="Normal 4 4 2 2 5" xfId="8803"/>
    <cellStyle name="Normal 4 4 2 2 5 2" xfId="24490"/>
    <cellStyle name="Normal 4 4 2 2 6" xfId="2950"/>
    <cellStyle name="Normal 4 4 2 2 7" xfId="21900"/>
    <cellStyle name="Normal 4 4 2 3" xfId="906"/>
    <cellStyle name="Normal 4 4 2 3 2" xfId="907"/>
    <cellStyle name="Normal 4 4 2 3 2 2" xfId="8574"/>
    <cellStyle name="Normal 4 4 2 3 2 2 2" xfId="11187"/>
    <cellStyle name="Normal 4 4 2 3 2 2 2 2" xfId="25509"/>
    <cellStyle name="Normal 4 4 2 3 2 2 3" xfId="24261"/>
    <cellStyle name="Normal 4 4 2 3 2 3" xfId="9215"/>
    <cellStyle name="Normal 4 4 2 3 2 3 2" xfId="24887"/>
    <cellStyle name="Normal 4 4 2 3 2 4" xfId="3455"/>
    <cellStyle name="Normal 4 4 2 3 2 5" xfId="21905"/>
    <cellStyle name="Normal 4 4 2 3 3" xfId="8293"/>
    <cellStyle name="Normal 4 4 2 3 3 2" xfId="10906"/>
    <cellStyle name="Normal 4 4 2 3 3 2 2" xfId="25228"/>
    <cellStyle name="Normal 4 4 2 3 3 3" xfId="23980"/>
    <cellStyle name="Normal 4 4 2 3 4" xfId="8859"/>
    <cellStyle name="Normal 4 4 2 3 4 2" xfId="24546"/>
    <cellStyle name="Normal 4 4 2 3 5" xfId="3006"/>
    <cellStyle name="Normal 4 4 2 3 6" xfId="21904"/>
    <cellStyle name="Normal 4 4 2 4" xfId="908"/>
    <cellStyle name="Normal 4 4 2 4 2" xfId="909"/>
    <cellStyle name="Normal 4 4 2 4 2 2" xfId="8629"/>
    <cellStyle name="Normal 4 4 2 4 2 2 2" xfId="11242"/>
    <cellStyle name="Normal 4 4 2 4 2 2 2 2" xfId="25564"/>
    <cellStyle name="Normal 4 4 2 4 2 2 3" xfId="24316"/>
    <cellStyle name="Normal 4 4 2 4 2 3" xfId="9271"/>
    <cellStyle name="Normal 4 4 2 4 2 3 2" xfId="24942"/>
    <cellStyle name="Normal 4 4 2 4 2 4" xfId="3519"/>
    <cellStyle name="Normal 4 4 2 4 2 5" xfId="21907"/>
    <cellStyle name="Normal 4 4 2 4 3" xfId="8348"/>
    <cellStyle name="Normal 4 4 2 4 3 2" xfId="10961"/>
    <cellStyle name="Normal 4 4 2 4 3 2 2" xfId="25283"/>
    <cellStyle name="Normal 4 4 2 4 3 3" xfId="24035"/>
    <cellStyle name="Normal 4 4 2 4 4" xfId="8914"/>
    <cellStyle name="Normal 4 4 2 4 4 2" xfId="24601"/>
    <cellStyle name="Normal 4 4 2 4 5" xfId="3071"/>
    <cellStyle name="Normal 4 4 2 4 6" xfId="21906"/>
    <cellStyle name="Normal 4 4 2 5" xfId="910"/>
    <cellStyle name="Normal 4 4 2 5 2" xfId="8466"/>
    <cellStyle name="Normal 4 4 2 5 2 2" xfId="11079"/>
    <cellStyle name="Normal 4 4 2 5 2 2 2" xfId="25401"/>
    <cellStyle name="Normal 4 4 2 5 2 3" xfId="24153"/>
    <cellStyle name="Normal 4 4 2 5 3" xfId="9038"/>
    <cellStyle name="Normal 4 4 2 5 3 2" xfId="24719"/>
    <cellStyle name="Normal 4 4 2 5 4" xfId="3230"/>
    <cellStyle name="Normal 4 4 2 5 5" xfId="21908"/>
    <cellStyle name="Normal 4 4 2 6" xfId="911"/>
    <cellStyle name="Normal 4 4 2 6 2" xfId="8180"/>
    <cellStyle name="Normal 4 4 2 6 2 2" xfId="10793"/>
    <cellStyle name="Normal 4 4 2 6 2 2 2" xfId="25115"/>
    <cellStyle name="Normal 4 4 2 6 2 3" xfId="23867"/>
    <cellStyle name="Normal 4 4 2 6 3" xfId="9102"/>
    <cellStyle name="Normal 4 4 2 6 3 2" xfId="24774"/>
    <cellStyle name="Normal 4 4 2 6 4" xfId="3342"/>
    <cellStyle name="Normal 4 4 2 6 5" xfId="21909"/>
    <cellStyle name="Normal 4 4 2 7" xfId="8125"/>
    <cellStyle name="Normal 4 4 2 7 2" xfId="10738"/>
    <cellStyle name="Normal 4 4 2 7 2 2" xfId="25060"/>
    <cellStyle name="Normal 4 4 2 7 3" xfId="23812"/>
    <cellStyle name="Normal 4 4 2 8" xfId="8746"/>
    <cellStyle name="Normal 4 4 2 8 2" xfId="24433"/>
    <cellStyle name="Normal 4 4 2 9" xfId="2893"/>
    <cellStyle name="Normal 4 4 3" xfId="912"/>
    <cellStyle name="Normal 4 4 3 2" xfId="913"/>
    <cellStyle name="Normal 4 4 3 2 2" xfId="914"/>
    <cellStyle name="Normal 4 4 3 2 2 2" xfId="8660"/>
    <cellStyle name="Normal 4 4 3 2 2 2 2" xfId="11273"/>
    <cellStyle name="Normal 4 4 3 2 2 2 2 2" xfId="25595"/>
    <cellStyle name="Normal 4 4 3 2 2 2 3" xfId="24347"/>
    <cellStyle name="Normal 4 4 3 2 2 3" xfId="9302"/>
    <cellStyle name="Normal 4 4 3 2 2 3 2" xfId="24973"/>
    <cellStyle name="Normal 4 4 3 2 2 4" xfId="3550"/>
    <cellStyle name="Normal 4 4 3 2 2 5" xfId="21912"/>
    <cellStyle name="Normal 4 4 3 2 3" xfId="8379"/>
    <cellStyle name="Normal 4 4 3 2 3 2" xfId="10992"/>
    <cellStyle name="Normal 4 4 3 2 3 2 2" xfId="25314"/>
    <cellStyle name="Normal 4 4 3 2 3 3" xfId="24066"/>
    <cellStyle name="Normal 4 4 3 2 4" xfId="8945"/>
    <cellStyle name="Normal 4 4 3 2 4 2" xfId="24632"/>
    <cellStyle name="Normal 4 4 3 2 5" xfId="3102"/>
    <cellStyle name="Normal 4 4 3 2 6" xfId="21911"/>
    <cellStyle name="Normal 4 4 3 3" xfId="915"/>
    <cellStyle name="Normal 4 4 3 3 2" xfId="8492"/>
    <cellStyle name="Normal 4 4 3 3 2 2" xfId="11105"/>
    <cellStyle name="Normal 4 4 3 3 2 2 2" xfId="25427"/>
    <cellStyle name="Normal 4 4 3 3 2 3" xfId="24179"/>
    <cellStyle name="Normal 4 4 3 3 3" xfId="9133"/>
    <cellStyle name="Normal 4 4 3 3 3 2" xfId="24805"/>
    <cellStyle name="Normal 4 4 3 3 4" xfId="3373"/>
    <cellStyle name="Normal 4 4 3 3 5" xfId="21913"/>
    <cellStyle name="Normal 4 4 3 4" xfId="8211"/>
    <cellStyle name="Normal 4 4 3 4 2" xfId="10824"/>
    <cellStyle name="Normal 4 4 3 4 2 2" xfId="25146"/>
    <cellStyle name="Normal 4 4 3 4 3" xfId="23898"/>
    <cellStyle name="Normal 4 4 3 5" xfId="8777"/>
    <cellStyle name="Normal 4 4 3 5 2" xfId="24464"/>
    <cellStyle name="Normal 4 4 3 6" xfId="2924"/>
    <cellStyle name="Normal 4 4 3 7" xfId="21910"/>
    <cellStyle name="Normal 4 4 4" xfId="916"/>
    <cellStyle name="Normal 4 4 4 2" xfId="917"/>
    <cellStyle name="Normal 4 4 4 2 2" xfId="8548"/>
    <cellStyle name="Normal 4 4 4 2 2 2" xfId="11161"/>
    <cellStyle name="Normal 4 4 4 2 2 2 2" xfId="25483"/>
    <cellStyle name="Normal 4 4 4 2 2 3" xfId="24235"/>
    <cellStyle name="Normal 4 4 4 2 3" xfId="9189"/>
    <cellStyle name="Normal 4 4 4 2 3 2" xfId="24861"/>
    <cellStyle name="Normal 4 4 4 2 4" xfId="3429"/>
    <cellStyle name="Normal 4 4 4 2 5" xfId="21915"/>
    <cellStyle name="Normal 4 4 4 3" xfId="8267"/>
    <cellStyle name="Normal 4 4 4 3 2" xfId="10880"/>
    <cellStyle name="Normal 4 4 4 3 2 2" xfId="25202"/>
    <cellStyle name="Normal 4 4 4 3 3" xfId="23954"/>
    <cellStyle name="Normal 4 4 4 4" xfId="8833"/>
    <cellStyle name="Normal 4 4 4 4 2" xfId="24520"/>
    <cellStyle name="Normal 4 4 4 5" xfId="2980"/>
    <cellStyle name="Normal 4 4 4 6" xfId="21914"/>
    <cellStyle name="Normal 4 4 5" xfId="918"/>
    <cellStyle name="Normal 4 4 5 2" xfId="919"/>
    <cellStyle name="Normal 4 4 5 2 2" xfId="8598"/>
    <cellStyle name="Normal 4 4 5 2 2 2" xfId="11211"/>
    <cellStyle name="Normal 4 4 5 2 2 2 2" xfId="25533"/>
    <cellStyle name="Normal 4 4 5 2 2 3" xfId="24285"/>
    <cellStyle name="Normal 4 4 5 2 3" xfId="9240"/>
    <cellStyle name="Normal 4 4 5 2 3 2" xfId="24911"/>
    <cellStyle name="Normal 4 4 5 2 4" xfId="3487"/>
    <cellStyle name="Normal 4 4 5 2 5" xfId="21917"/>
    <cellStyle name="Normal 4 4 5 3" xfId="8317"/>
    <cellStyle name="Normal 4 4 5 3 2" xfId="10930"/>
    <cellStyle name="Normal 4 4 5 3 2 2" xfId="25252"/>
    <cellStyle name="Normal 4 4 5 3 3" xfId="24004"/>
    <cellStyle name="Normal 4 4 5 4" xfId="8883"/>
    <cellStyle name="Normal 4 4 5 4 2" xfId="24570"/>
    <cellStyle name="Normal 4 4 5 5" xfId="3040"/>
    <cellStyle name="Normal 4 4 5 6" xfId="21916"/>
    <cellStyle name="Normal 4 4 6" xfId="920"/>
    <cellStyle name="Normal 4 4 6 2" xfId="8442"/>
    <cellStyle name="Normal 4 4 6 2 2" xfId="11055"/>
    <cellStyle name="Normal 4 4 6 2 2 2" xfId="25377"/>
    <cellStyle name="Normal 4 4 6 2 3" xfId="24129"/>
    <cellStyle name="Normal 4 4 6 3" xfId="9014"/>
    <cellStyle name="Normal 4 4 6 3 2" xfId="24695"/>
    <cellStyle name="Normal 4 4 6 4" xfId="3205"/>
    <cellStyle name="Normal 4 4 6 5" xfId="21918"/>
    <cellStyle name="Normal 4 4 7" xfId="921"/>
    <cellStyle name="Normal 4 4 7 2" xfId="8149"/>
    <cellStyle name="Normal 4 4 7 2 2" xfId="10762"/>
    <cellStyle name="Normal 4 4 7 2 2 2" xfId="25084"/>
    <cellStyle name="Normal 4 4 7 2 3" xfId="23836"/>
    <cellStyle name="Normal 4 4 7 3" xfId="9071"/>
    <cellStyle name="Normal 4 4 7 3 2" xfId="24743"/>
    <cellStyle name="Normal 4 4 7 4" xfId="3311"/>
    <cellStyle name="Normal 4 4 7 5" xfId="21919"/>
    <cellStyle name="Normal 4 4 8" xfId="8101"/>
    <cellStyle name="Normal 4 4 8 2" xfId="10714"/>
    <cellStyle name="Normal 4 4 8 2 2" xfId="25036"/>
    <cellStyle name="Normal 4 4 8 3" xfId="23788"/>
    <cellStyle name="Normal 4 4 9" xfId="8715"/>
    <cellStyle name="Normal 4 4 9 2" xfId="24402"/>
    <cellStyle name="Normal 4 5" xfId="922"/>
    <cellStyle name="Normal 4 5 10" xfId="21920"/>
    <cellStyle name="Normal 4 5 2" xfId="923"/>
    <cellStyle name="Normal 4 5 2 2" xfId="924"/>
    <cellStyle name="Normal 4 5 2 2 2" xfId="925"/>
    <cellStyle name="Normal 4 5 2 2 2 2" xfId="8671"/>
    <cellStyle name="Normal 4 5 2 2 2 2 2" xfId="11284"/>
    <cellStyle name="Normal 4 5 2 2 2 2 2 2" xfId="25606"/>
    <cellStyle name="Normal 4 5 2 2 2 2 3" xfId="24358"/>
    <cellStyle name="Normal 4 5 2 2 2 3" xfId="9313"/>
    <cellStyle name="Normal 4 5 2 2 2 3 2" xfId="24984"/>
    <cellStyle name="Normal 4 5 2 2 2 4" xfId="3561"/>
    <cellStyle name="Normal 4 5 2 2 2 5" xfId="21923"/>
    <cellStyle name="Normal 4 5 2 2 3" xfId="8390"/>
    <cellStyle name="Normal 4 5 2 2 3 2" xfId="11003"/>
    <cellStyle name="Normal 4 5 2 2 3 2 2" xfId="25325"/>
    <cellStyle name="Normal 4 5 2 2 3 3" xfId="24077"/>
    <cellStyle name="Normal 4 5 2 2 4" xfId="8956"/>
    <cellStyle name="Normal 4 5 2 2 4 2" xfId="24643"/>
    <cellStyle name="Normal 4 5 2 2 5" xfId="3113"/>
    <cellStyle name="Normal 4 5 2 2 6" xfId="21922"/>
    <cellStyle name="Normal 4 5 2 3" xfId="926"/>
    <cellStyle name="Normal 4 5 2 3 2" xfId="8503"/>
    <cellStyle name="Normal 4 5 2 3 2 2" xfId="11116"/>
    <cellStyle name="Normal 4 5 2 3 2 2 2" xfId="25438"/>
    <cellStyle name="Normal 4 5 2 3 2 3" xfId="24190"/>
    <cellStyle name="Normal 4 5 2 3 3" xfId="9144"/>
    <cellStyle name="Normal 4 5 2 3 3 2" xfId="24816"/>
    <cellStyle name="Normal 4 5 2 3 4" xfId="3384"/>
    <cellStyle name="Normal 4 5 2 3 5" xfId="21924"/>
    <cellStyle name="Normal 4 5 2 4" xfId="8222"/>
    <cellStyle name="Normal 4 5 2 4 2" xfId="10835"/>
    <cellStyle name="Normal 4 5 2 4 2 2" xfId="25157"/>
    <cellStyle name="Normal 4 5 2 4 3" xfId="23909"/>
    <cellStyle name="Normal 4 5 2 5" xfId="8788"/>
    <cellStyle name="Normal 4 5 2 5 2" xfId="24475"/>
    <cellStyle name="Normal 4 5 2 6" xfId="2935"/>
    <cellStyle name="Normal 4 5 2 7" xfId="21921"/>
    <cellStyle name="Normal 4 5 3" xfId="927"/>
    <cellStyle name="Normal 4 5 3 2" xfId="928"/>
    <cellStyle name="Normal 4 5 3 2 2" xfId="8559"/>
    <cellStyle name="Normal 4 5 3 2 2 2" xfId="11172"/>
    <cellStyle name="Normal 4 5 3 2 2 2 2" xfId="25494"/>
    <cellStyle name="Normal 4 5 3 2 2 3" xfId="24246"/>
    <cellStyle name="Normal 4 5 3 2 3" xfId="9200"/>
    <cellStyle name="Normal 4 5 3 2 3 2" xfId="24872"/>
    <cellStyle name="Normal 4 5 3 2 4" xfId="3440"/>
    <cellStyle name="Normal 4 5 3 2 5" xfId="21926"/>
    <cellStyle name="Normal 4 5 3 3" xfId="8278"/>
    <cellStyle name="Normal 4 5 3 3 2" xfId="10891"/>
    <cellStyle name="Normal 4 5 3 3 2 2" xfId="25213"/>
    <cellStyle name="Normal 4 5 3 3 3" xfId="23965"/>
    <cellStyle name="Normal 4 5 3 4" xfId="8844"/>
    <cellStyle name="Normal 4 5 3 4 2" xfId="24531"/>
    <cellStyle name="Normal 4 5 3 5" xfId="2991"/>
    <cellStyle name="Normal 4 5 3 6" xfId="21925"/>
    <cellStyle name="Normal 4 5 4" xfId="929"/>
    <cellStyle name="Normal 4 5 4 2" xfId="930"/>
    <cellStyle name="Normal 4 5 4 2 2" xfId="8609"/>
    <cellStyle name="Normal 4 5 4 2 2 2" xfId="11222"/>
    <cellStyle name="Normal 4 5 4 2 2 2 2" xfId="25544"/>
    <cellStyle name="Normal 4 5 4 2 2 3" xfId="24296"/>
    <cellStyle name="Normal 4 5 4 2 3" xfId="9251"/>
    <cellStyle name="Normal 4 5 4 2 3 2" xfId="24922"/>
    <cellStyle name="Normal 4 5 4 2 4" xfId="3498"/>
    <cellStyle name="Normal 4 5 4 2 5" xfId="21928"/>
    <cellStyle name="Normal 4 5 4 3" xfId="8328"/>
    <cellStyle name="Normal 4 5 4 3 2" xfId="10941"/>
    <cellStyle name="Normal 4 5 4 3 2 2" xfId="25263"/>
    <cellStyle name="Normal 4 5 4 3 3" xfId="24015"/>
    <cellStyle name="Normal 4 5 4 4" xfId="8894"/>
    <cellStyle name="Normal 4 5 4 4 2" xfId="24581"/>
    <cellStyle name="Normal 4 5 4 5" xfId="3051"/>
    <cellStyle name="Normal 4 5 4 6" xfId="21927"/>
    <cellStyle name="Normal 4 5 5" xfId="931"/>
    <cellStyle name="Normal 4 5 5 2" xfId="8452"/>
    <cellStyle name="Normal 4 5 5 2 2" xfId="11065"/>
    <cellStyle name="Normal 4 5 5 2 2 2" xfId="25387"/>
    <cellStyle name="Normal 4 5 5 2 3" xfId="24139"/>
    <cellStyle name="Normal 4 5 5 3" xfId="9024"/>
    <cellStyle name="Normal 4 5 5 3 2" xfId="24705"/>
    <cellStyle name="Normal 4 5 5 4" xfId="3215"/>
    <cellStyle name="Normal 4 5 5 5" xfId="21929"/>
    <cellStyle name="Normal 4 5 6" xfId="932"/>
    <cellStyle name="Normal 4 5 6 2" xfId="8160"/>
    <cellStyle name="Normal 4 5 6 2 2" xfId="10773"/>
    <cellStyle name="Normal 4 5 6 2 2 2" xfId="25095"/>
    <cellStyle name="Normal 4 5 6 2 3" xfId="23847"/>
    <cellStyle name="Normal 4 5 6 3" xfId="9082"/>
    <cellStyle name="Normal 4 5 6 3 2" xfId="24754"/>
    <cellStyle name="Normal 4 5 6 4" xfId="3322"/>
    <cellStyle name="Normal 4 5 6 5" xfId="21930"/>
    <cellStyle name="Normal 4 5 7" xfId="8111"/>
    <cellStyle name="Normal 4 5 7 2" xfId="10724"/>
    <cellStyle name="Normal 4 5 7 2 2" xfId="25046"/>
    <cellStyle name="Normal 4 5 7 3" xfId="23798"/>
    <cellStyle name="Normal 4 5 8" xfId="8726"/>
    <cellStyle name="Normal 4 5 8 2" xfId="24413"/>
    <cellStyle name="Normal 4 5 9" xfId="2871"/>
    <cellStyle name="Normal 4 6" xfId="933"/>
    <cellStyle name="Normal 4 6 10" xfId="21931"/>
    <cellStyle name="Normal 4 6 2" xfId="934"/>
    <cellStyle name="Normal 4 6 2 2" xfId="935"/>
    <cellStyle name="Normal 4 6 2 2 2" xfId="936"/>
    <cellStyle name="Normal 4 6 2 2 2 2" xfId="8646"/>
    <cellStyle name="Normal 4 6 2 2 2 2 2" xfId="11259"/>
    <cellStyle name="Normal 4 6 2 2 2 2 2 2" xfId="25581"/>
    <cellStyle name="Normal 4 6 2 2 2 2 3" xfId="24333"/>
    <cellStyle name="Normal 4 6 2 2 2 3" xfId="9288"/>
    <cellStyle name="Normal 4 6 2 2 2 3 2" xfId="24959"/>
    <cellStyle name="Normal 4 6 2 2 2 4" xfId="3536"/>
    <cellStyle name="Normal 4 6 2 2 2 5" xfId="21934"/>
    <cellStyle name="Normal 4 6 2 2 3" xfId="8365"/>
    <cellStyle name="Normal 4 6 2 2 3 2" xfId="10978"/>
    <cellStyle name="Normal 4 6 2 2 3 2 2" xfId="25300"/>
    <cellStyle name="Normal 4 6 2 2 3 3" xfId="24052"/>
    <cellStyle name="Normal 4 6 2 2 4" xfId="8931"/>
    <cellStyle name="Normal 4 6 2 2 4 2" xfId="24618"/>
    <cellStyle name="Normal 4 6 2 2 5" xfId="3088"/>
    <cellStyle name="Normal 4 6 2 2 6" xfId="21933"/>
    <cellStyle name="Normal 4 6 2 3" xfId="937"/>
    <cellStyle name="Normal 4 6 2 3 2" xfId="8482"/>
    <cellStyle name="Normal 4 6 2 3 2 2" xfId="11095"/>
    <cellStyle name="Normal 4 6 2 3 2 2 2" xfId="25417"/>
    <cellStyle name="Normal 4 6 2 3 2 3" xfId="24169"/>
    <cellStyle name="Normal 4 6 2 3 3" xfId="9119"/>
    <cellStyle name="Normal 4 6 2 3 3 2" xfId="24791"/>
    <cellStyle name="Normal 4 6 2 3 4" xfId="3359"/>
    <cellStyle name="Normal 4 6 2 3 5" xfId="21935"/>
    <cellStyle name="Normal 4 6 2 4" xfId="8197"/>
    <cellStyle name="Normal 4 6 2 4 2" xfId="10810"/>
    <cellStyle name="Normal 4 6 2 4 2 2" xfId="25132"/>
    <cellStyle name="Normal 4 6 2 4 3" xfId="23884"/>
    <cellStyle name="Normal 4 6 2 5" xfId="8763"/>
    <cellStyle name="Normal 4 6 2 5 2" xfId="24450"/>
    <cellStyle name="Normal 4 6 2 6" xfId="2910"/>
    <cellStyle name="Normal 4 6 2 7" xfId="21932"/>
    <cellStyle name="Normal 4 6 3" xfId="938"/>
    <cellStyle name="Normal 4 6 3 2" xfId="939"/>
    <cellStyle name="Normal 4 6 3 2 2" xfId="8534"/>
    <cellStyle name="Normal 4 6 3 2 2 2" xfId="11147"/>
    <cellStyle name="Normal 4 6 3 2 2 2 2" xfId="25469"/>
    <cellStyle name="Normal 4 6 3 2 2 3" xfId="24221"/>
    <cellStyle name="Normal 4 6 3 2 3" xfId="9175"/>
    <cellStyle name="Normal 4 6 3 2 3 2" xfId="24847"/>
    <cellStyle name="Normal 4 6 3 2 4" xfId="3415"/>
    <cellStyle name="Normal 4 6 3 2 5" xfId="21937"/>
    <cellStyle name="Normal 4 6 3 3" xfId="8253"/>
    <cellStyle name="Normal 4 6 3 3 2" xfId="10866"/>
    <cellStyle name="Normal 4 6 3 3 2 2" xfId="25188"/>
    <cellStyle name="Normal 4 6 3 3 3" xfId="23940"/>
    <cellStyle name="Normal 4 6 3 4" xfId="8819"/>
    <cellStyle name="Normal 4 6 3 4 2" xfId="24506"/>
    <cellStyle name="Normal 4 6 3 5" xfId="2966"/>
    <cellStyle name="Normal 4 6 3 6" xfId="21936"/>
    <cellStyle name="Normal 4 6 4" xfId="940"/>
    <cellStyle name="Normal 4 6 4 2" xfId="941"/>
    <cellStyle name="Normal 4 6 4 2 2" xfId="8615"/>
    <cellStyle name="Normal 4 6 4 2 2 2" xfId="11228"/>
    <cellStyle name="Normal 4 6 4 2 2 2 2" xfId="25550"/>
    <cellStyle name="Normal 4 6 4 2 2 3" xfId="24302"/>
    <cellStyle name="Normal 4 6 4 2 3" xfId="9257"/>
    <cellStyle name="Normal 4 6 4 2 3 2" xfId="24928"/>
    <cellStyle name="Normal 4 6 4 2 4" xfId="3504"/>
    <cellStyle name="Normal 4 6 4 2 5" xfId="21939"/>
    <cellStyle name="Normal 4 6 4 3" xfId="8334"/>
    <cellStyle name="Normal 4 6 4 3 2" xfId="10947"/>
    <cellStyle name="Normal 4 6 4 3 2 2" xfId="25269"/>
    <cellStyle name="Normal 4 6 4 3 3" xfId="24021"/>
    <cellStyle name="Normal 4 6 4 4" xfId="8900"/>
    <cellStyle name="Normal 4 6 4 4 2" xfId="24587"/>
    <cellStyle name="Normal 4 6 4 5" xfId="3057"/>
    <cellStyle name="Normal 4 6 4 6" xfId="21938"/>
    <cellStyle name="Normal 4 6 5" xfId="942"/>
    <cellStyle name="Normal 4 6 5 2" xfId="8432"/>
    <cellStyle name="Normal 4 6 5 2 2" xfId="11045"/>
    <cellStyle name="Normal 4 6 5 2 2 2" xfId="25367"/>
    <cellStyle name="Normal 4 6 5 2 3" xfId="24119"/>
    <cellStyle name="Normal 4 6 5 3" xfId="9002"/>
    <cellStyle name="Normal 4 6 5 3 2" xfId="24685"/>
    <cellStyle name="Normal 4 6 5 4" xfId="3177"/>
    <cellStyle name="Normal 4 6 5 5" xfId="21940"/>
    <cellStyle name="Normal 4 6 6" xfId="943"/>
    <cellStyle name="Normal 4 6 6 2" xfId="8166"/>
    <cellStyle name="Normal 4 6 6 2 2" xfId="10779"/>
    <cellStyle name="Normal 4 6 6 2 2 2" xfId="25101"/>
    <cellStyle name="Normal 4 6 6 2 3" xfId="23853"/>
    <cellStyle name="Normal 4 6 6 3" xfId="9088"/>
    <cellStyle name="Normal 4 6 6 3 2" xfId="24760"/>
    <cellStyle name="Normal 4 6 6 4" xfId="3328"/>
    <cellStyle name="Normal 4 6 6 5" xfId="21941"/>
    <cellStyle name="Normal 4 6 7" xfId="8091"/>
    <cellStyle name="Normal 4 6 7 2" xfId="10704"/>
    <cellStyle name="Normal 4 6 7 2 2" xfId="25026"/>
    <cellStyle name="Normal 4 6 7 3" xfId="23778"/>
    <cellStyle name="Normal 4 6 8" xfId="8732"/>
    <cellStyle name="Normal 4 6 8 2" xfId="24419"/>
    <cellStyle name="Normal 4 6 9" xfId="2878"/>
    <cellStyle name="Normal 4 7" xfId="944"/>
    <cellStyle name="Normal 4 7 2" xfId="945"/>
    <cellStyle name="Normal 4 7 2 2" xfId="946"/>
    <cellStyle name="Normal 4 7 2 2 2" xfId="8640"/>
    <cellStyle name="Normal 4 7 2 2 2 2" xfId="11253"/>
    <cellStyle name="Normal 4 7 2 2 2 2 2" xfId="25575"/>
    <cellStyle name="Normal 4 7 2 2 2 3" xfId="24327"/>
    <cellStyle name="Normal 4 7 2 2 3" xfId="9282"/>
    <cellStyle name="Normal 4 7 2 2 3 2" xfId="24953"/>
    <cellStyle name="Normal 4 7 2 2 4" xfId="3530"/>
    <cellStyle name="Normal 4 7 2 2 5" xfId="21944"/>
    <cellStyle name="Normal 4 7 2 3" xfId="8359"/>
    <cellStyle name="Normal 4 7 2 3 2" xfId="10972"/>
    <cellStyle name="Normal 4 7 2 3 2 2" xfId="25294"/>
    <cellStyle name="Normal 4 7 2 3 3" xfId="24046"/>
    <cellStyle name="Normal 4 7 2 4" xfId="8925"/>
    <cellStyle name="Normal 4 7 2 4 2" xfId="24612"/>
    <cellStyle name="Normal 4 7 2 5" xfId="3082"/>
    <cellStyle name="Normal 4 7 2 6" xfId="21943"/>
    <cellStyle name="Normal 4 7 3" xfId="947"/>
    <cellStyle name="Normal 4 7 3 2" xfId="8476"/>
    <cellStyle name="Normal 4 7 3 2 2" xfId="11089"/>
    <cellStyle name="Normal 4 7 3 2 2 2" xfId="25411"/>
    <cellStyle name="Normal 4 7 3 2 3" xfId="24163"/>
    <cellStyle name="Normal 4 7 3 3" xfId="9113"/>
    <cellStyle name="Normal 4 7 3 3 2" xfId="24785"/>
    <cellStyle name="Normal 4 7 3 4" xfId="3353"/>
    <cellStyle name="Normal 4 7 3 5" xfId="21945"/>
    <cellStyle name="Normal 4 7 4" xfId="8191"/>
    <cellStyle name="Normal 4 7 4 2" xfId="10804"/>
    <cellStyle name="Normal 4 7 4 2 2" xfId="25126"/>
    <cellStyle name="Normal 4 7 4 3" xfId="23878"/>
    <cellStyle name="Normal 4 7 5" xfId="8757"/>
    <cellStyle name="Normal 4 7 5 2" xfId="24444"/>
    <cellStyle name="Normal 4 7 6" xfId="2904"/>
    <cellStyle name="Normal 4 7 7" xfId="21942"/>
    <cellStyle name="Normal 4 8" xfId="948"/>
    <cellStyle name="Normal 4 8 2" xfId="949"/>
    <cellStyle name="Normal 4 8 2 2" xfId="8528"/>
    <cellStyle name="Normal 4 8 2 2 2" xfId="11141"/>
    <cellStyle name="Normal 4 8 2 2 2 2" xfId="25463"/>
    <cellStyle name="Normal 4 8 2 2 3" xfId="24215"/>
    <cellStyle name="Normal 4 8 2 3" xfId="9169"/>
    <cellStyle name="Normal 4 8 2 3 2" xfId="24841"/>
    <cellStyle name="Normal 4 8 2 4" xfId="3409"/>
    <cellStyle name="Normal 4 8 2 5" xfId="21947"/>
    <cellStyle name="Normal 4 8 3" xfId="8247"/>
    <cellStyle name="Normal 4 8 3 2" xfId="10860"/>
    <cellStyle name="Normal 4 8 3 2 2" xfId="25182"/>
    <cellStyle name="Normal 4 8 3 3" xfId="23934"/>
    <cellStyle name="Normal 4 8 4" xfId="8813"/>
    <cellStyle name="Normal 4 8 4 2" xfId="24500"/>
    <cellStyle name="Normal 4 8 5" xfId="2960"/>
    <cellStyle name="Normal 4 8 6" xfId="21946"/>
    <cellStyle name="Normal 4 9" xfId="950"/>
    <cellStyle name="Normal 4 9 2" xfId="951"/>
    <cellStyle name="Normal 4 9 2 2" xfId="8584"/>
    <cellStyle name="Normal 4 9 2 2 2" xfId="11197"/>
    <cellStyle name="Normal 4 9 2 2 2 2" xfId="25519"/>
    <cellStyle name="Normal 4 9 2 2 3" xfId="24271"/>
    <cellStyle name="Normal 4 9 2 3" xfId="9225"/>
    <cellStyle name="Normal 4 9 2 3 2" xfId="24897"/>
    <cellStyle name="Normal 4 9 2 4" xfId="3470"/>
    <cellStyle name="Normal 4 9 2 5" xfId="21949"/>
    <cellStyle name="Normal 4 9 3" xfId="8303"/>
    <cellStyle name="Normal 4 9 3 2" xfId="10916"/>
    <cellStyle name="Normal 4 9 3 2 2" xfId="25238"/>
    <cellStyle name="Normal 4 9 3 3" xfId="23990"/>
    <cellStyle name="Normal 4 9 4" xfId="8869"/>
    <cellStyle name="Normal 4 9 4 2" xfId="24556"/>
    <cellStyle name="Normal 4 9 5" xfId="3020"/>
    <cellStyle name="Normal 4 9 6" xfId="21948"/>
    <cellStyle name="Normal 5" xfId="952"/>
    <cellStyle name="Normal 5 10" xfId="953"/>
    <cellStyle name="Normal 5 10 2" xfId="8416"/>
    <cellStyle name="Normal 5 10 2 2" xfId="11029"/>
    <cellStyle name="Normal 5 10 2 2 2" xfId="25351"/>
    <cellStyle name="Normal 5 10 2 3" xfId="24103"/>
    <cellStyle name="Normal 5 10 3" xfId="8986"/>
    <cellStyle name="Normal 5 10 3 2" xfId="24669"/>
    <cellStyle name="Normal 5 10 4" xfId="3159"/>
    <cellStyle name="Normal 5 10 5" xfId="21951"/>
    <cellStyle name="Normal 5 11" xfId="954"/>
    <cellStyle name="Normal 5 11 2" xfId="8136"/>
    <cellStyle name="Normal 5 11 2 2" xfId="10749"/>
    <cellStyle name="Normal 5 11 2 2 2" xfId="25071"/>
    <cellStyle name="Normal 5 11 2 3" xfId="23823"/>
    <cellStyle name="Normal 5 11 3" xfId="9058"/>
    <cellStyle name="Normal 5 11 3 2" xfId="24730"/>
    <cellStyle name="Normal 5 11 4" xfId="3298"/>
    <cellStyle name="Normal 5 11 5" xfId="21952"/>
    <cellStyle name="Normal 5 12" xfId="8075"/>
    <cellStyle name="Normal 5 12 2" xfId="10688"/>
    <cellStyle name="Normal 5 12 2 2" xfId="25010"/>
    <cellStyle name="Normal 5 12 3" xfId="23762"/>
    <cellStyle name="Normal 5 13" xfId="8697"/>
    <cellStyle name="Normal 5 13 2" xfId="11310"/>
    <cellStyle name="Normal 5 13 2 2" xfId="25632"/>
    <cellStyle name="Normal 5 13 3" xfId="24384"/>
    <cellStyle name="Normal 5 14" xfId="8702"/>
    <cellStyle name="Normal 5 14 2" xfId="24389"/>
    <cellStyle name="Normal 5 15" xfId="2803"/>
    <cellStyle name="Normal 5 16" xfId="21950"/>
    <cellStyle name="Normal 5 2" xfId="955"/>
    <cellStyle name="Normal 5 2 10" xfId="8706"/>
    <cellStyle name="Normal 5 2 10 2" xfId="24393"/>
    <cellStyle name="Normal 5 2 11" xfId="2850"/>
    <cellStyle name="Normal 5 2 12" xfId="21953"/>
    <cellStyle name="Normal 5 2 2" xfId="956"/>
    <cellStyle name="Normal 5 2 2 10" xfId="2866"/>
    <cellStyle name="Normal 5 2 2 11" xfId="21954"/>
    <cellStyle name="Normal 5 2 2 2" xfId="957"/>
    <cellStyle name="Normal 5 2 2 2 10" xfId="21955"/>
    <cellStyle name="Normal 5 2 2 2 2" xfId="958"/>
    <cellStyle name="Normal 5 2 2 2 2 2" xfId="959"/>
    <cellStyle name="Normal 5 2 2 2 2 2 2" xfId="960"/>
    <cellStyle name="Normal 5 2 2 2 2 2 2 2" xfId="8692"/>
    <cellStyle name="Normal 5 2 2 2 2 2 2 2 2" xfId="11305"/>
    <cellStyle name="Normal 5 2 2 2 2 2 2 2 2 2" xfId="25627"/>
    <cellStyle name="Normal 5 2 2 2 2 2 2 2 3" xfId="24379"/>
    <cellStyle name="Normal 5 2 2 2 2 2 2 3" xfId="9334"/>
    <cellStyle name="Normal 5 2 2 2 2 2 2 3 2" xfId="25005"/>
    <cellStyle name="Normal 5 2 2 2 2 2 2 4" xfId="3582"/>
    <cellStyle name="Normal 5 2 2 2 2 2 2 5" xfId="21958"/>
    <cellStyle name="Normal 5 2 2 2 2 2 3" xfId="8411"/>
    <cellStyle name="Normal 5 2 2 2 2 2 3 2" xfId="11024"/>
    <cellStyle name="Normal 5 2 2 2 2 2 3 2 2" xfId="25346"/>
    <cellStyle name="Normal 5 2 2 2 2 2 3 3" xfId="24098"/>
    <cellStyle name="Normal 5 2 2 2 2 2 4" xfId="8977"/>
    <cellStyle name="Normal 5 2 2 2 2 2 4 2" xfId="24664"/>
    <cellStyle name="Normal 5 2 2 2 2 2 5" xfId="3134"/>
    <cellStyle name="Normal 5 2 2 2 2 2 6" xfId="21957"/>
    <cellStyle name="Normal 5 2 2 2 2 3" xfId="961"/>
    <cellStyle name="Normal 5 2 2 2 2 3 2" xfId="8524"/>
    <cellStyle name="Normal 5 2 2 2 2 3 2 2" xfId="11137"/>
    <cellStyle name="Normal 5 2 2 2 2 3 2 2 2" xfId="25459"/>
    <cellStyle name="Normal 5 2 2 2 2 3 2 3" xfId="24211"/>
    <cellStyle name="Normal 5 2 2 2 2 3 3" xfId="9165"/>
    <cellStyle name="Normal 5 2 2 2 2 3 3 2" xfId="24837"/>
    <cellStyle name="Normal 5 2 2 2 2 3 4" xfId="3405"/>
    <cellStyle name="Normal 5 2 2 2 2 3 5" xfId="21959"/>
    <cellStyle name="Normal 5 2 2 2 2 4" xfId="8243"/>
    <cellStyle name="Normal 5 2 2 2 2 4 2" xfId="10856"/>
    <cellStyle name="Normal 5 2 2 2 2 4 2 2" xfId="25178"/>
    <cellStyle name="Normal 5 2 2 2 2 4 3" xfId="23930"/>
    <cellStyle name="Normal 5 2 2 2 2 5" xfId="8809"/>
    <cellStyle name="Normal 5 2 2 2 2 5 2" xfId="24496"/>
    <cellStyle name="Normal 5 2 2 2 2 6" xfId="2956"/>
    <cellStyle name="Normal 5 2 2 2 2 7" xfId="21956"/>
    <cellStyle name="Normal 5 2 2 2 3" xfId="962"/>
    <cellStyle name="Normal 5 2 2 2 3 2" xfId="963"/>
    <cellStyle name="Normal 5 2 2 2 3 2 2" xfId="8580"/>
    <cellStyle name="Normal 5 2 2 2 3 2 2 2" xfId="11193"/>
    <cellStyle name="Normal 5 2 2 2 3 2 2 2 2" xfId="25515"/>
    <cellStyle name="Normal 5 2 2 2 3 2 2 3" xfId="24267"/>
    <cellStyle name="Normal 5 2 2 2 3 2 3" xfId="9221"/>
    <cellStyle name="Normal 5 2 2 2 3 2 3 2" xfId="24893"/>
    <cellStyle name="Normal 5 2 2 2 3 2 4" xfId="3461"/>
    <cellStyle name="Normal 5 2 2 2 3 2 5" xfId="21961"/>
    <cellStyle name="Normal 5 2 2 2 3 3" xfId="8299"/>
    <cellStyle name="Normal 5 2 2 2 3 3 2" xfId="10912"/>
    <cellStyle name="Normal 5 2 2 2 3 3 2 2" xfId="25234"/>
    <cellStyle name="Normal 5 2 2 2 3 3 3" xfId="23986"/>
    <cellStyle name="Normal 5 2 2 2 3 4" xfId="8865"/>
    <cellStyle name="Normal 5 2 2 2 3 4 2" xfId="24552"/>
    <cellStyle name="Normal 5 2 2 2 3 5" xfId="3012"/>
    <cellStyle name="Normal 5 2 2 2 3 6" xfId="21960"/>
    <cellStyle name="Normal 5 2 2 2 4" xfId="964"/>
    <cellStyle name="Normal 5 2 2 2 4 2" xfId="965"/>
    <cellStyle name="Normal 5 2 2 2 4 2 2" xfId="8635"/>
    <cellStyle name="Normal 5 2 2 2 4 2 2 2" xfId="11248"/>
    <cellStyle name="Normal 5 2 2 2 4 2 2 2 2" xfId="25570"/>
    <cellStyle name="Normal 5 2 2 2 4 2 2 3" xfId="24322"/>
    <cellStyle name="Normal 5 2 2 2 4 2 3" xfId="9277"/>
    <cellStyle name="Normal 5 2 2 2 4 2 3 2" xfId="24948"/>
    <cellStyle name="Normal 5 2 2 2 4 2 4" xfId="3525"/>
    <cellStyle name="Normal 5 2 2 2 4 2 5" xfId="21963"/>
    <cellStyle name="Normal 5 2 2 2 4 3" xfId="8354"/>
    <cellStyle name="Normal 5 2 2 2 4 3 2" xfId="10967"/>
    <cellStyle name="Normal 5 2 2 2 4 3 2 2" xfId="25289"/>
    <cellStyle name="Normal 5 2 2 2 4 3 3" xfId="24041"/>
    <cellStyle name="Normal 5 2 2 2 4 4" xfId="8920"/>
    <cellStyle name="Normal 5 2 2 2 4 4 2" xfId="24607"/>
    <cellStyle name="Normal 5 2 2 2 4 5" xfId="3077"/>
    <cellStyle name="Normal 5 2 2 2 4 6" xfId="21962"/>
    <cellStyle name="Normal 5 2 2 2 5" xfId="966"/>
    <cellStyle name="Normal 5 2 2 2 5 2" xfId="8472"/>
    <cellStyle name="Normal 5 2 2 2 5 2 2" xfId="11085"/>
    <cellStyle name="Normal 5 2 2 2 5 2 2 2" xfId="25407"/>
    <cellStyle name="Normal 5 2 2 2 5 2 3" xfId="24159"/>
    <cellStyle name="Normal 5 2 2 2 5 3" xfId="9044"/>
    <cellStyle name="Normal 5 2 2 2 5 3 2" xfId="24725"/>
    <cellStyle name="Normal 5 2 2 2 5 4" xfId="3236"/>
    <cellStyle name="Normal 5 2 2 2 5 5" xfId="21964"/>
    <cellStyle name="Normal 5 2 2 2 6" xfId="967"/>
    <cellStyle name="Normal 5 2 2 2 6 2" xfId="8186"/>
    <cellStyle name="Normal 5 2 2 2 6 2 2" xfId="10799"/>
    <cellStyle name="Normal 5 2 2 2 6 2 2 2" xfId="25121"/>
    <cellStyle name="Normal 5 2 2 2 6 2 3" xfId="23873"/>
    <cellStyle name="Normal 5 2 2 2 6 3" xfId="9108"/>
    <cellStyle name="Normal 5 2 2 2 6 3 2" xfId="24780"/>
    <cellStyle name="Normal 5 2 2 2 6 4" xfId="3348"/>
    <cellStyle name="Normal 5 2 2 2 6 5" xfId="21965"/>
    <cellStyle name="Normal 5 2 2 2 7" xfId="8131"/>
    <cellStyle name="Normal 5 2 2 2 7 2" xfId="10744"/>
    <cellStyle name="Normal 5 2 2 2 7 2 2" xfId="25066"/>
    <cellStyle name="Normal 5 2 2 2 7 3" xfId="23818"/>
    <cellStyle name="Normal 5 2 2 2 8" xfId="8752"/>
    <cellStyle name="Normal 5 2 2 2 8 2" xfId="24439"/>
    <cellStyle name="Normal 5 2 2 2 9" xfId="2899"/>
    <cellStyle name="Normal 5 2 2 3" xfId="968"/>
    <cellStyle name="Normal 5 2 2 3 2" xfId="969"/>
    <cellStyle name="Normal 5 2 2 3 2 2" xfId="970"/>
    <cellStyle name="Normal 5 2 2 3 2 2 2" xfId="8666"/>
    <cellStyle name="Normal 5 2 2 3 2 2 2 2" xfId="11279"/>
    <cellStyle name="Normal 5 2 2 3 2 2 2 2 2" xfId="25601"/>
    <cellStyle name="Normal 5 2 2 3 2 2 2 3" xfId="24353"/>
    <cellStyle name="Normal 5 2 2 3 2 2 3" xfId="9308"/>
    <cellStyle name="Normal 5 2 2 3 2 2 3 2" xfId="24979"/>
    <cellStyle name="Normal 5 2 2 3 2 2 4" xfId="3556"/>
    <cellStyle name="Normal 5 2 2 3 2 2 5" xfId="21968"/>
    <cellStyle name="Normal 5 2 2 3 2 3" xfId="8385"/>
    <cellStyle name="Normal 5 2 2 3 2 3 2" xfId="10998"/>
    <cellStyle name="Normal 5 2 2 3 2 3 2 2" xfId="25320"/>
    <cellStyle name="Normal 5 2 2 3 2 3 3" xfId="24072"/>
    <cellStyle name="Normal 5 2 2 3 2 4" xfId="8951"/>
    <cellStyle name="Normal 5 2 2 3 2 4 2" xfId="24638"/>
    <cellStyle name="Normal 5 2 2 3 2 5" xfId="3108"/>
    <cellStyle name="Normal 5 2 2 3 2 6" xfId="21967"/>
    <cellStyle name="Normal 5 2 2 3 3" xfId="971"/>
    <cellStyle name="Normal 5 2 2 3 3 2" xfId="8498"/>
    <cellStyle name="Normal 5 2 2 3 3 2 2" xfId="11111"/>
    <cellStyle name="Normal 5 2 2 3 3 2 2 2" xfId="25433"/>
    <cellStyle name="Normal 5 2 2 3 3 2 3" xfId="24185"/>
    <cellStyle name="Normal 5 2 2 3 3 3" xfId="9139"/>
    <cellStyle name="Normal 5 2 2 3 3 3 2" xfId="24811"/>
    <cellStyle name="Normal 5 2 2 3 3 4" xfId="3379"/>
    <cellStyle name="Normal 5 2 2 3 3 5" xfId="21969"/>
    <cellStyle name="Normal 5 2 2 3 4" xfId="8217"/>
    <cellStyle name="Normal 5 2 2 3 4 2" xfId="10830"/>
    <cellStyle name="Normal 5 2 2 3 4 2 2" xfId="25152"/>
    <cellStyle name="Normal 5 2 2 3 4 3" xfId="23904"/>
    <cellStyle name="Normal 5 2 2 3 5" xfId="8783"/>
    <cellStyle name="Normal 5 2 2 3 5 2" xfId="24470"/>
    <cellStyle name="Normal 5 2 2 3 6" xfId="2930"/>
    <cellStyle name="Normal 5 2 2 3 7" xfId="21966"/>
    <cellStyle name="Normal 5 2 2 4" xfId="972"/>
    <cellStyle name="Normal 5 2 2 4 2" xfId="973"/>
    <cellStyle name="Normal 5 2 2 4 2 2" xfId="8554"/>
    <cellStyle name="Normal 5 2 2 4 2 2 2" xfId="11167"/>
    <cellStyle name="Normal 5 2 2 4 2 2 2 2" xfId="25489"/>
    <cellStyle name="Normal 5 2 2 4 2 2 3" xfId="24241"/>
    <cellStyle name="Normal 5 2 2 4 2 3" xfId="9195"/>
    <cellStyle name="Normal 5 2 2 4 2 3 2" xfId="24867"/>
    <cellStyle name="Normal 5 2 2 4 2 4" xfId="3435"/>
    <cellStyle name="Normal 5 2 2 4 2 5" xfId="21971"/>
    <cellStyle name="Normal 5 2 2 4 3" xfId="8273"/>
    <cellStyle name="Normal 5 2 2 4 3 2" xfId="10886"/>
    <cellStyle name="Normal 5 2 2 4 3 2 2" xfId="25208"/>
    <cellStyle name="Normal 5 2 2 4 3 3" xfId="23960"/>
    <cellStyle name="Normal 5 2 2 4 4" xfId="8839"/>
    <cellStyle name="Normal 5 2 2 4 4 2" xfId="24526"/>
    <cellStyle name="Normal 5 2 2 4 5" xfId="2986"/>
    <cellStyle name="Normal 5 2 2 4 6" xfId="21970"/>
    <cellStyle name="Normal 5 2 2 5" xfId="974"/>
    <cellStyle name="Normal 5 2 2 5 2" xfId="975"/>
    <cellStyle name="Normal 5 2 2 5 2 2" xfId="8604"/>
    <cellStyle name="Normal 5 2 2 5 2 2 2" xfId="11217"/>
    <cellStyle name="Normal 5 2 2 5 2 2 2 2" xfId="25539"/>
    <cellStyle name="Normal 5 2 2 5 2 2 3" xfId="24291"/>
    <cellStyle name="Normal 5 2 2 5 2 3" xfId="9246"/>
    <cellStyle name="Normal 5 2 2 5 2 3 2" xfId="24917"/>
    <cellStyle name="Normal 5 2 2 5 2 4" xfId="3493"/>
    <cellStyle name="Normal 5 2 2 5 2 5" xfId="21973"/>
    <cellStyle name="Normal 5 2 2 5 3" xfId="8323"/>
    <cellStyle name="Normal 5 2 2 5 3 2" xfId="10936"/>
    <cellStyle name="Normal 5 2 2 5 3 2 2" xfId="25258"/>
    <cellStyle name="Normal 5 2 2 5 3 3" xfId="24010"/>
    <cellStyle name="Normal 5 2 2 5 4" xfId="8889"/>
    <cellStyle name="Normal 5 2 2 5 4 2" xfId="24576"/>
    <cellStyle name="Normal 5 2 2 5 5" xfId="3046"/>
    <cellStyle name="Normal 5 2 2 5 6" xfId="21972"/>
    <cellStyle name="Normal 5 2 2 6" xfId="976"/>
    <cellStyle name="Normal 5 2 2 6 2" xfId="8447"/>
    <cellStyle name="Normal 5 2 2 6 2 2" xfId="11060"/>
    <cellStyle name="Normal 5 2 2 6 2 2 2" xfId="25382"/>
    <cellStyle name="Normal 5 2 2 6 2 3" xfId="24134"/>
    <cellStyle name="Normal 5 2 2 6 3" xfId="9019"/>
    <cellStyle name="Normal 5 2 2 6 3 2" xfId="24700"/>
    <cellStyle name="Normal 5 2 2 6 4" xfId="3210"/>
    <cellStyle name="Normal 5 2 2 6 5" xfId="21974"/>
    <cellStyle name="Normal 5 2 2 7" xfId="977"/>
    <cellStyle name="Normal 5 2 2 7 2" xfId="8155"/>
    <cellStyle name="Normal 5 2 2 7 2 2" xfId="10768"/>
    <cellStyle name="Normal 5 2 2 7 2 2 2" xfId="25090"/>
    <cellStyle name="Normal 5 2 2 7 2 3" xfId="23842"/>
    <cellStyle name="Normal 5 2 2 7 3" xfId="9077"/>
    <cellStyle name="Normal 5 2 2 7 3 2" xfId="24749"/>
    <cellStyle name="Normal 5 2 2 7 4" xfId="3317"/>
    <cellStyle name="Normal 5 2 2 7 5" xfId="21975"/>
    <cellStyle name="Normal 5 2 2 8" xfId="8106"/>
    <cellStyle name="Normal 5 2 2 8 2" xfId="10719"/>
    <cellStyle name="Normal 5 2 2 8 2 2" xfId="25041"/>
    <cellStyle name="Normal 5 2 2 8 3" xfId="23793"/>
    <cellStyle name="Normal 5 2 2 9" xfId="8721"/>
    <cellStyle name="Normal 5 2 2 9 2" xfId="24408"/>
    <cellStyle name="Normal 5 2 3" xfId="978"/>
    <cellStyle name="Normal 5 2 3 10" xfId="21976"/>
    <cellStyle name="Normal 5 2 3 2" xfId="979"/>
    <cellStyle name="Normal 5 2 3 2 2" xfId="980"/>
    <cellStyle name="Normal 5 2 3 2 2 2" xfId="981"/>
    <cellStyle name="Normal 5 2 3 2 2 2 2" xfId="8678"/>
    <cellStyle name="Normal 5 2 3 2 2 2 2 2" xfId="11291"/>
    <cellStyle name="Normal 5 2 3 2 2 2 2 2 2" xfId="25613"/>
    <cellStyle name="Normal 5 2 3 2 2 2 2 3" xfId="24365"/>
    <cellStyle name="Normal 5 2 3 2 2 2 3" xfId="9320"/>
    <cellStyle name="Normal 5 2 3 2 2 2 3 2" xfId="24991"/>
    <cellStyle name="Normal 5 2 3 2 2 2 4" xfId="3568"/>
    <cellStyle name="Normal 5 2 3 2 2 2 5" xfId="21979"/>
    <cellStyle name="Normal 5 2 3 2 2 3" xfId="8397"/>
    <cellStyle name="Normal 5 2 3 2 2 3 2" xfId="11010"/>
    <cellStyle name="Normal 5 2 3 2 2 3 2 2" xfId="25332"/>
    <cellStyle name="Normal 5 2 3 2 2 3 3" xfId="24084"/>
    <cellStyle name="Normal 5 2 3 2 2 4" xfId="8963"/>
    <cellStyle name="Normal 5 2 3 2 2 4 2" xfId="24650"/>
    <cellStyle name="Normal 5 2 3 2 2 5" xfId="3120"/>
    <cellStyle name="Normal 5 2 3 2 2 6" xfId="21978"/>
    <cellStyle name="Normal 5 2 3 2 3" xfId="982"/>
    <cellStyle name="Normal 5 2 3 2 3 2" xfId="8510"/>
    <cellStyle name="Normal 5 2 3 2 3 2 2" xfId="11123"/>
    <cellStyle name="Normal 5 2 3 2 3 2 2 2" xfId="25445"/>
    <cellStyle name="Normal 5 2 3 2 3 2 3" xfId="24197"/>
    <cellStyle name="Normal 5 2 3 2 3 3" xfId="9151"/>
    <cellStyle name="Normal 5 2 3 2 3 3 2" xfId="24823"/>
    <cellStyle name="Normal 5 2 3 2 3 4" xfId="3391"/>
    <cellStyle name="Normal 5 2 3 2 3 5" xfId="21980"/>
    <cellStyle name="Normal 5 2 3 2 4" xfId="8229"/>
    <cellStyle name="Normal 5 2 3 2 4 2" xfId="10842"/>
    <cellStyle name="Normal 5 2 3 2 4 2 2" xfId="25164"/>
    <cellStyle name="Normal 5 2 3 2 4 3" xfId="23916"/>
    <cellStyle name="Normal 5 2 3 2 5" xfId="8795"/>
    <cellStyle name="Normal 5 2 3 2 5 2" xfId="24482"/>
    <cellStyle name="Normal 5 2 3 2 6" xfId="2942"/>
    <cellStyle name="Normal 5 2 3 2 7" xfId="21977"/>
    <cellStyle name="Normal 5 2 3 3" xfId="983"/>
    <cellStyle name="Normal 5 2 3 3 2" xfId="984"/>
    <cellStyle name="Normal 5 2 3 3 2 2" xfId="8566"/>
    <cellStyle name="Normal 5 2 3 3 2 2 2" xfId="11179"/>
    <cellStyle name="Normal 5 2 3 3 2 2 2 2" xfId="25501"/>
    <cellStyle name="Normal 5 2 3 3 2 2 3" xfId="24253"/>
    <cellStyle name="Normal 5 2 3 3 2 3" xfId="9207"/>
    <cellStyle name="Normal 5 2 3 3 2 3 2" xfId="24879"/>
    <cellStyle name="Normal 5 2 3 3 2 4" xfId="3447"/>
    <cellStyle name="Normal 5 2 3 3 2 5" xfId="21982"/>
    <cellStyle name="Normal 5 2 3 3 3" xfId="8285"/>
    <cellStyle name="Normal 5 2 3 3 3 2" xfId="10898"/>
    <cellStyle name="Normal 5 2 3 3 3 2 2" xfId="25220"/>
    <cellStyle name="Normal 5 2 3 3 3 3" xfId="23972"/>
    <cellStyle name="Normal 5 2 3 3 4" xfId="8851"/>
    <cellStyle name="Normal 5 2 3 3 4 2" xfId="24538"/>
    <cellStyle name="Normal 5 2 3 3 5" xfId="2998"/>
    <cellStyle name="Normal 5 2 3 3 6" xfId="21981"/>
    <cellStyle name="Normal 5 2 3 4" xfId="985"/>
    <cellStyle name="Normal 5 2 3 4 2" xfId="986"/>
    <cellStyle name="Normal 5 2 3 4 2 2" xfId="8620"/>
    <cellStyle name="Normal 5 2 3 4 2 2 2" xfId="11233"/>
    <cellStyle name="Normal 5 2 3 4 2 2 2 2" xfId="25555"/>
    <cellStyle name="Normal 5 2 3 4 2 2 3" xfId="24307"/>
    <cellStyle name="Normal 5 2 3 4 2 3" xfId="9262"/>
    <cellStyle name="Normal 5 2 3 4 2 3 2" xfId="24933"/>
    <cellStyle name="Normal 5 2 3 4 2 4" xfId="3510"/>
    <cellStyle name="Normal 5 2 3 4 2 5" xfId="21984"/>
    <cellStyle name="Normal 5 2 3 4 3" xfId="8339"/>
    <cellStyle name="Normal 5 2 3 4 3 2" xfId="10952"/>
    <cellStyle name="Normal 5 2 3 4 3 2 2" xfId="25274"/>
    <cellStyle name="Normal 5 2 3 4 3 3" xfId="24026"/>
    <cellStyle name="Normal 5 2 3 4 4" xfId="8905"/>
    <cellStyle name="Normal 5 2 3 4 4 2" xfId="24592"/>
    <cellStyle name="Normal 5 2 3 4 5" xfId="3062"/>
    <cellStyle name="Normal 5 2 3 4 6" xfId="21983"/>
    <cellStyle name="Normal 5 2 3 5" xfId="987"/>
    <cellStyle name="Normal 5 2 3 5 2" xfId="8458"/>
    <cellStyle name="Normal 5 2 3 5 2 2" xfId="11071"/>
    <cellStyle name="Normal 5 2 3 5 2 2 2" xfId="25393"/>
    <cellStyle name="Normal 5 2 3 5 2 3" xfId="24145"/>
    <cellStyle name="Normal 5 2 3 5 3" xfId="9030"/>
    <cellStyle name="Normal 5 2 3 5 3 2" xfId="24711"/>
    <cellStyle name="Normal 5 2 3 5 4" xfId="3222"/>
    <cellStyle name="Normal 5 2 3 5 5" xfId="21985"/>
    <cellStyle name="Normal 5 2 3 6" xfId="988"/>
    <cellStyle name="Normal 5 2 3 6 2" xfId="8171"/>
    <cellStyle name="Normal 5 2 3 6 2 2" xfId="10784"/>
    <cellStyle name="Normal 5 2 3 6 2 2 2" xfId="25106"/>
    <cellStyle name="Normal 5 2 3 6 2 3" xfId="23858"/>
    <cellStyle name="Normal 5 2 3 6 3" xfId="9093"/>
    <cellStyle name="Normal 5 2 3 6 3 2" xfId="24765"/>
    <cellStyle name="Normal 5 2 3 6 4" xfId="3333"/>
    <cellStyle name="Normal 5 2 3 6 5" xfId="21986"/>
    <cellStyle name="Normal 5 2 3 7" xfId="8117"/>
    <cellStyle name="Normal 5 2 3 7 2" xfId="10730"/>
    <cellStyle name="Normal 5 2 3 7 2 2" xfId="25052"/>
    <cellStyle name="Normal 5 2 3 7 3" xfId="23804"/>
    <cellStyle name="Normal 5 2 3 8" xfId="8737"/>
    <cellStyle name="Normal 5 2 3 8 2" xfId="24424"/>
    <cellStyle name="Normal 5 2 3 9" xfId="2884"/>
    <cellStyle name="Normal 5 2 4" xfId="989"/>
    <cellStyle name="Normal 5 2 4 2" xfId="990"/>
    <cellStyle name="Normal 5 2 4 2 2" xfId="991"/>
    <cellStyle name="Normal 5 2 4 2 2 2" xfId="8651"/>
    <cellStyle name="Normal 5 2 4 2 2 2 2" xfId="11264"/>
    <cellStyle name="Normal 5 2 4 2 2 2 2 2" xfId="25586"/>
    <cellStyle name="Normal 5 2 4 2 2 2 3" xfId="24338"/>
    <cellStyle name="Normal 5 2 4 2 2 3" xfId="9293"/>
    <cellStyle name="Normal 5 2 4 2 2 3 2" xfId="24964"/>
    <cellStyle name="Normal 5 2 4 2 2 4" xfId="3541"/>
    <cellStyle name="Normal 5 2 4 2 2 5" xfId="21989"/>
    <cellStyle name="Normal 5 2 4 2 3" xfId="8370"/>
    <cellStyle name="Normal 5 2 4 2 3 2" xfId="10983"/>
    <cellStyle name="Normal 5 2 4 2 3 2 2" xfId="25305"/>
    <cellStyle name="Normal 5 2 4 2 3 3" xfId="24057"/>
    <cellStyle name="Normal 5 2 4 2 4" xfId="8936"/>
    <cellStyle name="Normal 5 2 4 2 4 2" xfId="24623"/>
    <cellStyle name="Normal 5 2 4 2 5" xfId="3093"/>
    <cellStyle name="Normal 5 2 4 2 6" xfId="21988"/>
    <cellStyle name="Normal 5 2 4 3" xfId="992"/>
    <cellStyle name="Normal 5 2 4 3 2" xfId="8436"/>
    <cellStyle name="Normal 5 2 4 3 2 2" xfId="11049"/>
    <cellStyle name="Normal 5 2 4 3 2 2 2" xfId="25371"/>
    <cellStyle name="Normal 5 2 4 3 2 3" xfId="24123"/>
    <cellStyle name="Normal 5 2 4 3 3" xfId="9008"/>
    <cellStyle name="Normal 5 2 4 3 3 2" xfId="24689"/>
    <cellStyle name="Normal 5 2 4 3 4" xfId="3199"/>
    <cellStyle name="Normal 5 2 4 3 5" xfId="21990"/>
    <cellStyle name="Normal 5 2 4 4" xfId="993"/>
    <cellStyle name="Normal 5 2 4 4 2" xfId="8202"/>
    <cellStyle name="Normal 5 2 4 4 2 2" xfId="10815"/>
    <cellStyle name="Normal 5 2 4 4 2 2 2" xfId="25137"/>
    <cellStyle name="Normal 5 2 4 4 2 3" xfId="23889"/>
    <cellStyle name="Normal 5 2 4 4 3" xfId="9124"/>
    <cellStyle name="Normal 5 2 4 4 3 2" xfId="24796"/>
    <cellStyle name="Normal 5 2 4 4 4" xfId="3364"/>
    <cellStyle name="Normal 5 2 4 4 5" xfId="21991"/>
    <cellStyle name="Normal 5 2 4 5" xfId="8095"/>
    <cellStyle name="Normal 5 2 4 5 2" xfId="10708"/>
    <cellStyle name="Normal 5 2 4 5 2 2" xfId="25030"/>
    <cellStyle name="Normal 5 2 4 5 3" xfId="23782"/>
    <cellStyle name="Normal 5 2 4 6" xfId="8768"/>
    <cellStyle name="Normal 5 2 4 6 2" xfId="24455"/>
    <cellStyle name="Normal 5 2 4 7" xfId="2915"/>
    <cellStyle name="Normal 5 2 4 8" xfId="21987"/>
    <cellStyle name="Normal 5 2 5" xfId="994"/>
    <cellStyle name="Normal 5 2 5 2" xfId="995"/>
    <cellStyle name="Normal 5 2 5 2 2" xfId="8539"/>
    <cellStyle name="Normal 5 2 5 2 2 2" xfId="11152"/>
    <cellStyle name="Normal 5 2 5 2 2 2 2" xfId="25474"/>
    <cellStyle name="Normal 5 2 5 2 2 3" xfId="24226"/>
    <cellStyle name="Normal 5 2 5 2 3" xfId="9180"/>
    <cellStyle name="Normal 5 2 5 2 3 2" xfId="24852"/>
    <cellStyle name="Normal 5 2 5 2 4" xfId="3420"/>
    <cellStyle name="Normal 5 2 5 2 5" xfId="21993"/>
    <cellStyle name="Normal 5 2 5 3" xfId="8258"/>
    <cellStyle name="Normal 5 2 5 3 2" xfId="10871"/>
    <cellStyle name="Normal 5 2 5 3 2 2" xfId="25193"/>
    <cellStyle name="Normal 5 2 5 3 3" xfId="23945"/>
    <cellStyle name="Normal 5 2 5 4" xfId="8824"/>
    <cellStyle name="Normal 5 2 5 4 2" xfId="24511"/>
    <cellStyle name="Normal 5 2 5 5" xfId="2971"/>
    <cellStyle name="Normal 5 2 5 6" xfId="21992"/>
    <cellStyle name="Normal 5 2 6" xfId="996"/>
    <cellStyle name="Normal 5 2 6 2" xfId="997"/>
    <cellStyle name="Normal 5 2 6 2 2" xfId="8589"/>
    <cellStyle name="Normal 5 2 6 2 2 2" xfId="11202"/>
    <cellStyle name="Normal 5 2 6 2 2 2 2" xfId="25524"/>
    <cellStyle name="Normal 5 2 6 2 2 3" xfId="24276"/>
    <cellStyle name="Normal 5 2 6 2 3" xfId="9231"/>
    <cellStyle name="Normal 5 2 6 2 3 2" xfId="24902"/>
    <cellStyle name="Normal 5 2 6 2 4" xfId="3478"/>
    <cellStyle name="Normal 5 2 6 2 5" xfId="21995"/>
    <cellStyle name="Normal 5 2 6 3" xfId="8308"/>
    <cellStyle name="Normal 5 2 6 3 2" xfId="10921"/>
    <cellStyle name="Normal 5 2 6 3 2 2" xfId="25243"/>
    <cellStyle name="Normal 5 2 6 3 3" xfId="23995"/>
    <cellStyle name="Normal 5 2 6 4" xfId="8874"/>
    <cellStyle name="Normal 5 2 6 4 2" xfId="24561"/>
    <cellStyle name="Normal 5 2 6 5" xfId="3031"/>
    <cellStyle name="Normal 5 2 6 6" xfId="21994"/>
    <cellStyle name="Normal 5 2 7" xfId="998"/>
    <cellStyle name="Normal 5 2 7 2" xfId="8421"/>
    <cellStyle name="Normal 5 2 7 2 2" xfId="11034"/>
    <cellStyle name="Normal 5 2 7 2 2 2" xfId="25356"/>
    <cellStyle name="Normal 5 2 7 2 3" xfId="24108"/>
    <cellStyle name="Normal 5 2 7 3" xfId="8991"/>
    <cellStyle name="Normal 5 2 7 3 2" xfId="24674"/>
    <cellStyle name="Normal 5 2 7 4" xfId="3165"/>
    <cellStyle name="Normal 5 2 7 5" xfId="21996"/>
    <cellStyle name="Normal 5 2 8" xfId="999"/>
    <cellStyle name="Normal 5 2 8 2" xfId="8140"/>
    <cellStyle name="Normal 5 2 8 2 2" xfId="10753"/>
    <cellStyle name="Normal 5 2 8 2 2 2" xfId="25075"/>
    <cellStyle name="Normal 5 2 8 2 3" xfId="23827"/>
    <cellStyle name="Normal 5 2 8 3" xfId="9062"/>
    <cellStyle name="Normal 5 2 8 3 2" xfId="24734"/>
    <cellStyle name="Normal 5 2 8 4" xfId="3302"/>
    <cellStyle name="Normal 5 2 8 5" xfId="21997"/>
    <cellStyle name="Normal 5 2 9" xfId="8080"/>
    <cellStyle name="Normal 5 2 9 2" xfId="10693"/>
    <cellStyle name="Normal 5 2 9 2 2" xfId="25015"/>
    <cellStyle name="Normal 5 2 9 3" xfId="23767"/>
    <cellStyle name="Normal 5 3" xfId="1000"/>
    <cellStyle name="Normal 5 3 10" xfId="2855"/>
    <cellStyle name="Normal 5 3 11" xfId="21998"/>
    <cellStyle name="Normal 5 3 2" xfId="1001"/>
    <cellStyle name="Normal 5 3 2 10" xfId="21999"/>
    <cellStyle name="Normal 5 3 2 2" xfId="1002"/>
    <cellStyle name="Normal 5 3 2 2 2" xfId="1003"/>
    <cellStyle name="Normal 5 3 2 2 2 2" xfId="1004"/>
    <cellStyle name="Normal 5 3 2 2 2 2 2" xfId="8682"/>
    <cellStyle name="Normal 5 3 2 2 2 2 2 2" xfId="11295"/>
    <cellStyle name="Normal 5 3 2 2 2 2 2 2 2" xfId="25617"/>
    <cellStyle name="Normal 5 3 2 2 2 2 2 3" xfId="24369"/>
    <cellStyle name="Normal 5 3 2 2 2 2 3" xfId="9324"/>
    <cellStyle name="Normal 5 3 2 2 2 2 3 2" xfId="24995"/>
    <cellStyle name="Normal 5 3 2 2 2 2 4" xfId="3572"/>
    <cellStyle name="Normal 5 3 2 2 2 2 5" xfId="22002"/>
    <cellStyle name="Normal 5 3 2 2 2 3" xfId="8401"/>
    <cellStyle name="Normal 5 3 2 2 2 3 2" xfId="11014"/>
    <cellStyle name="Normal 5 3 2 2 2 3 2 2" xfId="25336"/>
    <cellStyle name="Normal 5 3 2 2 2 3 3" xfId="24088"/>
    <cellStyle name="Normal 5 3 2 2 2 4" xfId="8967"/>
    <cellStyle name="Normal 5 3 2 2 2 4 2" xfId="24654"/>
    <cellStyle name="Normal 5 3 2 2 2 5" xfId="3124"/>
    <cellStyle name="Normal 5 3 2 2 2 6" xfId="22001"/>
    <cellStyle name="Normal 5 3 2 2 3" xfId="1005"/>
    <cellStyle name="Normal 5 3 2 2 3 2" xfId="8514"/>
    <cellStyle name="Normal 5 3 2 2 3 2 2" xfId="11127"/>
    <cellStyle name="Normal 5 3 2 2 3 2 2 2" xfId="25449"/>
    <cellStyle name="Normal 5 3 2 2 3 2 3" xfId="24201"/>
    <cellStyle name="Normal 5 3 2 2 3 3" xfId="9155"/>
    <cellStyle name="Normal 5 3 2 2 3 3 2" xfId="24827"/>
    <cellStyle name="Normal 5 3 2 2 3 4" xfId="3395"/>
    <cellStyle name="Normal 5 3 2 2 3 5" xfId="22003"/>
    <cellStyle name="Normal 5 3 2 2 4" xfId="8233"/>
    <cellStyle name="Normal 5 3 2 2 4 2" xfId="10846"/>
    <cellStyle name="Normal 5 3 2 2 4 2 2" xfId="25168"/>
    <cellStyle name="Normal 5 3 2 2 4 3" xfId="23920"/>
    <cellStyle name="Normal 5 3 2 2 5" xfId="8799"/>
    <cellStyle name="Normal 5 3 2 2 5 2" xfId="24486"/>
    <cellStyle name="Normal 5 3 2 2 6" xfId="2946"/>
    <cellStyle name="Normal 5 3 2 2 7" xfId="22000"/>
    <cellStyle name="Normal 5 3 2 3" xfId="1006"/>
    <cellStyle name="Normal 5 3 2 3 2" xfId="1007"/>
    <cellStyle name="Normal 5 3 2 3 2 2" xfId="8570"/>
    <cellStyle name="Normal 5 3 2 3 2 2 2" xfId="11183"/>
    <cellStyle name="Normal 5 3 2 3 2 2 2 2" xfId="25505"/>
    <cellStyle name="Normal 5 3 2 3 2 2 3" xfId="24257"/>
    <cellStyle name="Normal 5 3 2 3 2 3" xfId="9211"/>
    <cellStyle name="Normal 5 3 2 3 2 3 2" xfId="24883"/>
    <cellStyle name="Normal 5 3 2 3 2 4" xfId="3451"/>
    <cellStyle name="Normal 5 3 2 3 2 5" xfId="22005"/>
    <cellStyle name="Normal 5 3 2 3 3" xfId="8289"/>
    <cellStyle name="Normal 5 3 2 3 3 2" xfId="10902"/>
    <cellStyle name="Normal 5 3 2 3 3 2 2" xfId="25224"/>
    <cellStyle name="Normal 5 3 2 3 3 3" xfId="23976"/>
    <cellStyle name="Normal 5 3 2 3 4" xfId="8855"/>
    <cellStyle name="Normal 5 3 2 3 4 2" xfId="24542"/>
    <cellStyle name="Normal 5 3 2 3 5" xfId="3002"/>
    <cellStyle name="Normal 5 3 2 3 6" xfId="22004"/>
    <cellStyle name="Normal 5 3 2 4" xfId="1008"/>
    <cellStyle name="Normal 5 3 2 4 2" xfId="1009"/>
    <cellStyle name="Normal 5 3 2 4 2 2" xfId="8625"/>
    <cellStyle name="Normal 5 3 2 4 2 2 2" xfId="11238"/>
    <cellStyle name="Normal 5 3 2 4 2 2 2 2" xfId="25560"/>
    <cellStyle name="Normal 5 3 2 4 2 2 3" xfId="24312"/>
    <cellStyle name="Normal 5 3 2 4 2 3" xfId="9267"/>
    <cellStyle name="Normal 5 3 2 4 2 3 2" xfId="24938"/>
    <cellStyle name="Normal 5 3 2 4 2 4" xfId="3515"/>
    <cellStyle name="Normal 5 3 2 4 2 5" xfId="22007"/>
    <cellStyle name="Normal 5 3 2 4 3" xfId="8344"/>
    <cellStyle name="Normal 5 3 2 4 3 2" xfId="10957"/>
    <cellStyle name="Normal 5 3 2 4 3 2 2" xfId="25279"/>
    <cellStyle name="Normal 5 3 2 4 3 3" xfId="24031"/>
    <cellStyle name="Normal 5 3 2 4 4" xfId="8910"/>
    <cellStyle name="Normal 5 3 2 4 4 2" xfId="24597"/>
    <cellStyle name="Normal 5 3 2 4 5" xfId="3067"/>
    <cellStyle name="Normal 5 3 2 4 6" xfId="22006"/>
    <cellStyle name="Normal 5 3 2 5" xfId="1010"/>
    <cellStyle name="Normal 5 3 2 5 2" xfId="8462"/>
    <cellStyle name="Normal 5 3 2 5 2 2" xfId="11075"/>
    <cellStyle name="Normal 5 3 2 5 2 2 2" xfId="25397"/>
    <cellStyle name="Normal 5 3 2 5 2 3" xfId="24149"/>
    <cellStyle name="Normal 5 3 2 5 3" xfId="9034"/>
    <cellStyle name="Normal 5 3 2 5 3 2" xfId="24715"/>
    <cellStyle name="Normal 5 3 2 5 4" xfId="3226"/>
    <cellStyle name="Normal 5 3 2 5 5" xfId="22008"/>
    <cellStyle name="Normal 5 3 2 6" xfId="1011"/>
    <cellStyle name="Normal 5 3 2 6 2" xfId="8176"/>
    <cellStyle name="Normal 5 3 2 6 2 2" xfId="10789"/>
    <cellStyle name="Normal 5 3 2 6 2 2 2" xfId="25111"/>
    <cellStyle name="Normal 5 3 2 6 2 3" xfId="23863"/>
    <cellStyle name="Normal 5 3 2 6 3" xfId="9098"/>
    <cellStyle name="Normal 5 3 2 6 3 2" xfId="24770"/>
    <cellStyle name="Normal 5 3 2 6 4" xfId="3338"/>
    <cellStyle name="Normal 5 3 2 6 5" xfId="22009"/>
    <cellStyle name="Normal 5 3 2 7" xfId="8121"/>
    <cellStyle name="Normal 5 3 2 7 2" xfId="10734"/>
    <cellStyle name="Normal 5 3 2 7 2 2" xfId="25056"/>
    <cellStyle name="Normal 5 3 2 7 3" xfId="23808"/>
    <cellStyle name="Normal 5 3 2 8" xfId="8742"/>
    <cellStyle name="Normal 5 3 2 8 2" xfId="24429"/>
    <cellStyle name="Normal 5 3 2 9" xfId="2889"/>
    <cellStyle name="Normal 5 3 3" xfId="1012"/>
    <cellStyle name="Normal 5 3 3 2" xfId="1013"/>
    <cellStyle name="Normal 5 3 3 2 2" xfId="1014"/>
    <cellStyle name="Normal 5 3 3 2 2 2" xfId="8656"/>
    <cellStyle name="Normal 5 3 3 2 2 2 2" xfId="11269"/>
    <cellStyle name="Normal 5 3 3 2 2 2 2 2" xfId="25591"/>
    <cellStyle name="Normal 5 3 3 2 2 2 3" xfId="24343"/>
    <cellStyle name="Normal 5 3 3 2 2 3" xfId="9298"/>
    <cellStyle name="Normal 5 3 3 2 2 3 2" xfId="24969"/>
    <cellStyle name="Normal 5 3 3 2 2 4" xfId="3546"/>
    <cellStyle name="Normal 5 3 3 2 2 5" xfId="22012"/>
    <cellStyle name="Normal 5 3 3 2 3" xfId="8375"/>
    <cellStyle name="Normal 5 3 3 2 3 2" xfId="10988"/>
    <cellStyle name="Normal 5 3 3 2 3 2 2" xfId="25310"/>
    <cellStyle name="Normal 5 3 3 2 3 3" xfId="24062"/>
    <cellStyle name="Normal 5 3 3 2 4" xfId="8941"/>
    <cellStyle name="Normal 5 3 3 2 4 2" xfId="24628"/>
    <cellStyle name="Normal 5 3 3 2 5" xfId="3098"/>
    <cellStyle name="Normal 5 3 3 2 6" xfId="22011"/>
    <cellStyle name="Normal 5 3 3 3" xfId="1015"/>
    <cellStyle name="Normal 5 3 3 3 2" xfId="8489"/>
    <cellStyle name="Normal 5 3 3 3 2 2" xfId="11102"/>
    <cellStyle name="Normal 5 3 3 3 2 2 2" xfId="25424"/>
    <cellStyle name="Normal 5 3 3 3 2 3" xfId="24176"/>
    <cellStyle name="Normal 5 3 3 3 3" xfId="9129"/>
    <cellStyle name="Normal 5 3 3 3 3 2" xfId="24801"/>
    <cellStyle name="Normal 5 3 3 3 4" xfId="3369"/>
    <cellStyle name="Normal 5 3 3 3 5" xfId="22013"/>
    <cellStyle name="Normal 5 3 3 4" xfId="8207"/>
    <cellStyle name="Normal 5 3 3 4 2" xfId="10820"/>
    <cellStyle name="Normal 5 3 3 4 2 2" xfId="25142"/>
    <cellStyle name="Normal 5 3 3 4 3" xfId="23894"/>
    <cellStyle name="Normal 5 3 3 5" xfId="8773"/>
    <cellStyle name="Normal 5 3 3 5 2" xfId="24460"/>
    <cellStyle name="Normal 5 3 3 6" xfId="2920"/>
    <cellStyle name="Normal 5 3 3 7" xfId="22010"/>
    <cellStyle name="Normal 5 3 4" xfId="1016"/>
    <cellStyle name="Normal 5 3 4 2" xfId="1017"/>
    <cellStyle name="Normal 5 3 4 2 2" xfId="8544"/>
    <cellStyle name="Normal 5 3 4 2 2 2" xfId="11157"/>
    <cellStyle name="Normal 5 3 4 2 2 2 2" xfId="25479"/>
    <cellStyle name="Normal 5 3 4 2 2 3" xfId="24231"/>
    <cellStyle name="Normal 5 3 4 2 3" xfId="9185"/>
    <cellStyle name="Normal 5 3 4 2 3 2" xfId="24857"/>
    <cellStyle name="Normal 5 3 4 2 4" xfId="3425"/>
    <cellStyle name="Normal 5 3 4 2 5" xfId="22015"/>
    <cellStyle name="Normal 5 3 4 3" xfId="8263"/>
    <cellStyle name="Normal 5 3 4 3 2" xfId="10876"/>
    <cellStyle name="Normal 5 3 4 3 2 2" xfId="25198"/>
    <cellStyle name="Normal 5 3 4 3 3" xfId="23950"/>
    <cellStyle name="Normal 5 3 4 4" xfId="8829"/>
    <cellStyle name="Normal 5 3 4 4 2" xfId="24516"/>
    <cellStyle name="Normal 5 3 4 5" xfId="2976"/>
    <cellStyle name="Normal 5 3 4 6" xfId="22014"/>
    <cellStyle name="Normal 5 3 5" xfId="1018"/>
    <cellStyle name="Normal 5 3 5 2" xfId="1019"/>
    <cellStyle name="Normal 5 3 5 2 2" xfId="8594"/>
    <cellStyle name="Normal 5 3 5 2 2 2" xfId="11207"/>
    <cellStyle name="Normal 5 3 5 2 2 2 2" xfId="25529"/>
    <cellStyle name="Normal 5 3 5 2 2 3" xfId="24281"/>
    <cellStyle name="Normal 5 3 5 2 3" xfId="9236"/>
    <cellStyle name="Normal 5 3 5 2 3 2" xfId="24907"/>
    <cellStyle name="Normal 5 3 5 2 4" xfId="3483"/>
    <cellStyle name="Normal 5 3 5 2 5" xfId="22017"/>
    <cellStyle name="Normal 5 3 5 3" xfId="8313"/>
    <cellStyle name="Normal 5 3 5 3 2" xfId="10926"/>
    <cellStyle name="Normal 5 3 5 3 2 2" xfId="25248"/>
    <cellStyle name="Normal 5 3 5 3 3" xfId="24000"/>
    <cellStyle name="Normal 5 3 5 4" xfId="8879"/>
    <cellStyle name="Normal 5 3 5 4 2" xfId="24566"/>
    <cellStyle name="Normal 5 3 5 5" xfId="3036"/>
    <cellStyle name="Normal 5 3 5 6" xfId="22016"/>
    <cellStyle name="Normal 5 3 6" xfId="1020"/>
    <cellStyle name="Normal 5 3 6 2" xfId="8427"/>
    <cellStyle name="Normal 5 3 6 2 2" xfId="11040"/>
    <cellStyle name="Normal 5 3 6 2 2 2" xfId="25362"/>
    <cellStyle name="Normal 5 3 6 2 3" xfId="24114"/>
    <cellStyle name="Normal 5 3 6 3" xfId="8997"/>
    <cellStyle name="Normal 5 3 6 3 2" xfId="24680"/>
    <cellStyle name="Normal 5 3 6 4" xfId="3171"/>
    <cellStyle name="Normal 5 3 6 5" xfId="22018"/>
    <cellStyle name="Normal 5 3 7" xfId="1021"/>
    <cellStyle name="Normal 5 3 7 2" xfId="8145"/>
    <cellStyle name="Normal 5 3 7 2 2" xfId="10758"/>
    <cellStyle name="Normal 5 3 7 2 2 2" xfId="25080"/>
    <cellStyle name="Normal 5 3 7 2 3" xfId="23832"/>
    <cellStyle name="Normal 5 3 7 3" xfId="9067"/>
    <cellStyle name="Normal 5 3 7 3 2" xfId="24739"/>
    <cellStyle name="Normal 5 3 7 4" xfId="3307"/>
    <cellStyle name="Normal 5 3 7 5" xfId="22019"/>
    <cellStyle name="Normal 5 3 8" xfId="8086"/>
    <cellStyle name="Normal 5 3 8 2" xfId="10699"/>
    <cellStyle name="Normal 5 3 8 2 2" xfId="25021"/>
    <cellStyle name="Normal 5 3 8 3" xfId="23773"/>
    <cellStyle name="Normal 5 3 9" xfId="8711"/>
    <cellStyle name="Normal 5 3 9 2" xfId="24398"/>
    <cellStyle name="Normal 5 4" xfId="1022"/>
    <cellStyle name="Normal 5 4 10" xfId="2860"/>
    <cellStyle name="Normal 5 4 11" xfId="22020"/>
    <cellStyle name="Normal 5 4 2" xfId="1023"/>
    <cellStyle name="Normal 5 4 2 10" xfId="22021"/>
    <cellStyle name="Normal 5 4 2 2" xfId="1024"/>
    <cellStyle name="Normal 5 4 2 2 2" xfId="1025"/>
    <cellStyle name="Normal 5 4 2 2 2 2" xfId="1026"/>
    <cellStyle name="Normal 5 4 2 2 2 2 2" xfId="8687"/>
    <cellStyle name="Normal 5 4 2 2 2 2 2 2" xfId="11300"/>
    <cellStyle name="Normal 5 4 2 2 2 2 2 2 2" xfId="25622"/>
    <cellStyle name="Normal 5 4 2 2 2 2 2 3" xfId="24374"/>
    <cellStyle name="Normal 5 4 2 2 2 2 3" xfId="9329"/>
    <cellStyle name="Normal 5 4 2 2 2 2 3 2" xfId="25000"/>
    <cellStyle name="Normal 5 4 2 2 2 2 4" xfId="3577"/>
    <cellStyle name="Normal 5 4 2 2 2 2 5" xfId="22024"/>
    <cellStyle name="Normal 5 4 2 2 2 3" xfId="8406"/>
    <cellStyle name="Normal 5 4 2 2 2 3 2" xfId="11019"/>
    <cellStyle name="Normal 5 4 2 2 2 3 2 2" xfId="25341"/>
    <cellStyle name="Normal 5 4 2 2 2 3 3" xfId="24093"/>
    <cellStyle name="Normal 5 4 2 2 2 4" xfId="8972"/>
    <cellStyle name="Normal 5 4 2 2 2 4 2" xfId="24659"/>
    <cellStyle name="Normal 5 4 2 2 2 5" xfId="3129"/>
    <cellStyle name="Normal 5 4 2 2 2 6" xfId="22023"/>
    <cellStyle name="Normal 5 4 2 2 3" xfId="1027"/>
    <cellStyle name="Normal 5 4 2 2 3 2" xfId="8519"/>
    <cellStyle name="Normal 5 4 2 2 3 2 2" xfId="11132"/>
    <cellStyle name="Normal 5 4 2 2 3 2 2 2" xfId="25454"/>
    <cellStyle name="Normal 5 4 2 2 3 2 3" xfId="24206"/>
    <cellStyle name="Normal 5 4 2 2 3 3" xfId="9160"/>
    <cellStyle name="Normal 5 4 2 2 3 3 2" xfId="24832"/>
    <cellStyle name="Normal 5 4 2 2 3 4" xfId="3400"/>
    <cellStyle name="Normal 5 4 2 2 3 5" xfId="22025"/>
    <cellStyle name="Normal 5 4 2 2 4" xfId="8238"/>
    <cellStyle name="Normal 5 4 2 2 4 2" xfId="10851"/>
    <cellStyle name="Normal 5 4 2 2 4 2 2" xfId="25173"/>
    <cellStyle name="Normal 5 4 2 2 4 3" xfId="23925"/>
    <cellStyle name="Normal 5 4 2 2 5" xfId="8804"/>
    <cellStyle name="Normal 5 4 2 2 5 2" xfId="24491"/>
    <cellStyle name="Normal 5 4 2 2 6" xfId="2951"/>
    <cellStyle name="Normal 5 4 2 2 7" xfId="22022"/>
    <cellStyle name="Normal 5 4 2 3" xfId="1028"/>
    <cellStyle name="Normal 5 4 2 3 2" xfId="1029"/>
    <cellStyle name="Normal 5 4 2 3 2 2" xfId="8575"/>
    <cellStyle name="Normal 5 4 2 3 2 2 2" xfId="11188"/>
    <cellStyle name="Normal 5 4 2 3 2 2 2 2" xfId="25510"/>
    <cellStyle name="Normal 5 4 2 3 2 2 3" xfId="24262"/>
    <cellStyle name="Normal 5 4 2 3 2 3" xfId="9216"/>
    <cellStyle name="Normal 5 4 2 3 2 3 2" xfId="24888"/>
    <cellStyle name="Normal 5 4 2 3 2 4" xfId="3456"/>
    <cellStyle name="Normal 5 4 2 3 2 5" xfId="22027"/>
    <cellStyle name="Normal 5 4 2 3 3" xfId="8294"/>
    <cellStyle name="Normal 5 4 2 3 3 2" xfId="10907"/>
    <cellStyle name="Normal 5 4 2 3 3 2 2" xfId="25229"/>
    <cellStyle name="Normal 5 4 2 3 3 3" xfId="23981"/>
    <cellStyle name="Normal 5 4 2 3 4" xfId="8860"/>
    <cellStyle name="Normal 5 4 2 3 4 2" xfId="24547"/>
    <cellStyle name="Normal 5 4 2 3 5" xfId="3007"/>
    <cellStyle name="Normal 5 4 2 3 6" xfId="22026"/>
    <cellStyle name="Normal 5 4 2 4" xfId="1030"/>
    <cellStyle name="Normal 5 4 2 4 2" xfId="1031"/>
    <cellStyle name="Normal 5 4 2 4 2 2" xfId="8630"/>
    <cellStyle name="Normal 5 4 2 4 2 2 2" xfId="11243"/>
    <cellStyle name="Normal 5 4 2 4 2 2 2 2" xfId="25565"/>
    <cellStyle name="Normal 5 4 2 4 2 2 3" xfId="24317"/>
    <cellStyle name="Normal 5 4 2 4 2 3" xfId="9272"/>
    <cellStyle name="Normal 5 4 2 4 2 3 2" xfId="24943"/>
    <cellStyle name="Normal 5 4 2 4 2 4" xfId="3520"/>
    <cellStyle name="Normal 5 4 2 4 2 5" xfId="22029"/>
    <cellStyle name="Normal 5 4 2 4 3" xfId="8349"/>
    <cellStyle name="Normal 5 4 2 4 3 2" xfId="10962"/>
    <cellStyle name="Normal 5 4 2 4 3 2 2" xfId="25284"/>
    <cellStyle name="Normal 5 4 2 4 3 3" xfId="24036"/>
    <cellStyle name="Normal 5 4 2 4 4" xfId="8915"/>
    <cellStyle name="Normal 5 4 2 4 4 2" xfId="24602"/>
    <cellStyle name="Normal 5 4 2 4 5" xfId="3072"/>
    <cellStyle name="Normal 5 4 2 4 6" xfId="22028"/>
    <cellStyle name="Normal 5 4 2 5" xfId="1032"/>
    <cellStyle name="Normal 5 4 2 5 2" xfId="8467"/>
    <cellStyle name="Normal 5 4 2 5 2 2" xfId="11080"/>
    <cellStyle name="Normal 5 4 2 5 2 2 2" xfId="25402"/>
    <cellStyle name="Normal 5 4 2 5 2 3" xfId="24154"/>
    <cellStyle name="Normal 5 4 2 5 3" xfId="9039"/>
    <cellStyle name="Normal 5 4 2 5 3 2" xfId="24720"/>
    <cellStyle name="Normal 5 4 2 5 4" xfId="3231"/>
    <cellStyle name="Normal 5 4 2 5 5" xfId="22030"/>
    <cellStyle name="Normal 5 4 2 6" xfId="1033"/>
    <cellStyle name="Normal 5 4 2 6 2" xfId="8181"/>
    <cellStyle name="Normal 5 4 2 6 2 2" xfId="10794"/>
    <cellStyle name="Normal 5 4 2 6 2 2 2" xfId="25116"/>
    <cellStyle name="Normal 5 4 2 6 2 3" xfId="23868"/>
    <cellStyle name="Normal 5 4 2 6 3" xfId="9103"/>
    <cellStyle name="Normal 5 4 2 6 3 2" xfId="24775"/>
    <cellStyle name="Normal 5 4 2 6 4" xfId="3343"/>
    <cellStyle name="Normal 5 4 2 6 5" xfId="22031"/>
    <cellStyle name="Normal 5 4 2 7" xfId="8126"/>
    <cellStyle name="Normal 5 4 2 7 2" xfId="10739"/>
    <cellStyle name="Normal 5 4 2 7 2 2" xfId="25061"/>
    <cellStyle name="Normal 5 4 2 7 3" xfId="23813"/>
    <cellStyle name="Normal 5 4 2 8" xfId="8747"/>
    <cellStyle name="Normal 5 4 2 8 2" xfId="24434"/>
    <cellStyle name="Normal 5 4 2 9" xfId="2894"/>
    <cellStyle name="Normal 5 4 3" xfId="1034"/>
    <cellStyle name="Normal 5 4 3 2" xfId="1035"/>
    <cellStyle name="Normal 5 4 3 2 2" xfId="1036"/>
    <cellStyle name="Normal 5 4 3 2 2 2" xfId="8661"/>
    <cellStyle name="Normal 5 4 3 2 2 2 2" xfId="11274"/>
    <cellStyle name="Normal 5 4 3 2 2 2 2 2" xfId="25596"/>
    <cellStyle name="Normal 5 4 3 2 2 2 3" xfId="24348"/>
    <cellStyle name="Normal 5 4 3 2 2 3" xfId="9303"/>
    <cellStyle name="Normal 5 4 3 2 2 3 2" xfId="24974"/>
    <cellStyle name="Normal 5 4 3 2 2 4" xfId="3551"/>
    <cellStyle name="Normal 5 4 3 2 2 5" xfId="22034"/>
    <cellStyle name="Normal 5 4 3 2 3" xfId="8380"/>
    <cellStyle name="Normal 5 4 3 2 3 2" xfId="10993"/>
    <cellStyle name="Normal 5 4 3 2 3 2 2" xfId="25315"/>
    <cellStyle name="Normal 5 4 3 2 3 3" xfId="24067"/>
    <cellStyle name="Normal 5 4 3 2 4" xfId="8946"/>
    <cellStyle name="Normal 5 4 3 2 4 2" xfId="24633"/>
    <cellStyle name="Normal 5 4 3 2 5" xfId="3103"/>
    <cellStyle name="Normal 5 4 3 2 6" xfId="22033"/>
    <cellStyle name="Normal 5 4 3 3" xfId="1037"/>
    <cellStyle name="Normal 5 4 3 3 2" xfId="8493"/>
    <cellStyle name="Normal 5 4 3 3 2 2" xfId="11106"/>
    <cellStyle name="Normal 5 4 3 3 2 2 2" xfId="25428"/>
    <cellStyle name="Normal 5 4 3 3 2 3" xfId="24180"/>
    <cellStyle name="Normal 5 4 3 3 3" xfId="9134"/>
    <cellStyle name="Normal 5 4 3 3 3 2" xfId="24806"/>
    <cellStyle name="Normal 5 4 3 3 4" xfId="3374"/>
    <cellStyle name="Normal 5 4 3 3 5" xfId="22035"/>
    <cellStyle name="Normal 5 4 3 4" xfId="8212"/>
    <cellStyle name="Normal 5 4 3 4 2" xfId="10825"/>
    <cellStyle name="Normal 5 4 3 4 2 2" xfId="25147"/>
    <cellStyle name="Normal 5 4 3 4 3" xfId="23899"/>
    <cellStyle name="Normal 5 4 3 5" xfId="8778"/>
    <cellStyle name="Normal 5 4 3 5 2" xfId="24465"/>
    <cellStyle name="Normal 5 4 3 6" xfId="2925"/>
    <cellStyle name="Normal 5 4 3 7" xfId="22032"/>
    <cellStyle name="Normal 5 4 4" xfId="1038"/>
    <cellStyle name="Normal 5 4 4 2" xfId="1039"/>
    <cellStyle name="Normal 5 4 4 2 2" xfId="8549"/>
    <cellStyle name="Normal 5 4 4 2 2 2" xfId="11162"/>
    <cellStyle name="Normal 5 4 4 2 2 2 2" xfId="25484"/>
    <cellStyle name="Normal 5 4 4 2 2 3" xfId="24236"/>
    <cellStyle name="Normal 5 4 4 2 3" xfId="9190"/>
    <cellStyle name="Normal 5 4 4 2 3 2" xfId="24862"/>
    <cellStyle name="Normal 5 4 4 2 4" xfId="3430"/>
    <cellStyle name="Normal 5 4 4 2 5" xfId="22037"/>
    <cellStyle name="Normal 5 4 4 3" xfId="8268"/>
    <cellStyle name="Normal 5 4 4 3 2" xfId="10881"/>
    <cellStyle name="Normal 5 4 4 3 2 2" xfId="25203"/>
    <cellStyle name="Normal 5 4 4 3 3" xfId="23955"/>
    <cellStyle name="Normal 5 4 4 4" xfId="8834"/>
    <cellStyle name="Normal 5 4 4 4 2" xfId="24521"/>
    <cellStyle name="Normal 5 4 4 5" xfId="2981"/>
    <cellStyle name="Normal 5 4 4 6" xfId="22036"/>
    <cellStyle name="Normal 5 4 5" xfId="1040"/>
    <cellStyle name="Normal 5 4 5 2" xfId="1041"/>
    <cellStyle name="Normal 5 4 5 2 2" xfId="8599"/>
    <cellStyle name="Normal 5 4 5 2 2 2" xfId="11212"/>
    <cellStyle name="Normal 5 4 5 2 2 2 2" xfId="25534"/>
    <cellStyle name="Normal 5 4 5 2 2 3" xfId="24286"/>
    <cellStyle name="Normal 5 4 5 2 3" xfId="9241"/>
    <cellStyle name="Normal 5 4 5 2 3 2" xfId="24912"/>
    <cellStyle name="Normal 5 4 5 2 4" xfId="3488"/>
    <cellStyle name="Normal 5 4 5 2 5" xfId="22039"/>
    <cellStyle name="Normal 5 4 5 3" xfId="8318"/>
    <cellStyle name="Normal 5 4 5 3 2" xfId="10931"/>
    <cellStyle name="Normal 5 4 5 3 2 2" xfId="25253"/>
    <cellStyle name="Normal 5 4 5 3 3" xfId="24005"/>
    <cellStyle name="Normal 5 4 5 4" xfId="8884"/>
    <cellStyle name="Normal 5 4 5 4 2" xfId="24571"/>
    <cellStyle name="Normal 5 4 5 5" xfId="3041"/>
    <cellStyle name="Normal 5 4 5 6" xfId="22038"/>
    <cellStyle name="Normal 5 4 6" xfId="1042"/>
    <cellStyle name="Normal 5 4 6 2" xfId="8443"/>
    <cellStyle name="Normal 5 4 6 2 2" xfId="11056"/>
    <cellStyle name="Normal 5 4 6 2 2 2" xfId="25378"/>
    <cellStyle name="Normal 5 4 6 2 3" xfId="24130"/>
    <cellStyle name="Normal 5 4 6 3" xfId="9015"/>
    <cellStyle name="Normal 5 4 6 3 2" xfId="24696"/>
    <cellStyle name="Normal 5 4 6 4" xfId="3206"/>
    <cellStyle name="Normal 5 4 6 5" xfId="22040"/>
    <cellStyle name="Normal 5 4 7" xfId="1043"/>
    <cellStyle name="Normal 5 4 7 2" xfId="8150"/>
    <cellStyle name="Normal 5 4 7 2 2" xfId="10763"/>
    <cellStyle name="Normal 5 4 7 2 2 2" xfId="25085"/>
    <cellStyle name="Normal 5 4 7 2 3" xfId="23837"/>
    <cellStyle name="Normal 5 4 7 3" xfId="9072"/>
    <cellStyle name="Normal 5 4 7 3 2" xfId="24744"/>
    <cellStyle name="Normal 5 4 7 4" xfId="3312"/>
    <cellStyle name="Normal 5 4 7 5" xfId="22041"/>
    <cellStyle name="Normal 5 4 8" xfId="8102"/>
    <cellStyle name="Normal 5 4 8 2" xfId="10715"/>
    <cellStyle name="Normal 5 4 8 2 2" xfId="25037"/>
    <cellStyle name="Normal 5 4 8 3" xfId="23789"/>
    <cellStyle name="Normal 5 4 9" xfId="8716"/>
    <cellStyle name="Normal 5 4 9 2" xfId="24403"/>
    <cellStyle name="Normal 5 5" xfId="1044"/>
    <cellStyle name="Normal 5 5 10" xfId="22042"/>
    <cellStyle name="Normal 5 5 2" xfId="1045"/>
    <cellStyle name="Normal 5 5 2 2" xfId="1046"/>
    <cellStyle name="Normal 5 5 2 2 2" xfId="1047"/>
    <cellStyle name="Normal 5 5 2 2 2 2" xfId="8672"/>
    <cellStyle name="Normal 5 5 2 2 2 2 2" xfId="11285"/>
    <cellStyle name="Normal 5 5 2 2 2 2 2 2" xfId="25607"/>
    <cellStyle name="Normal 5 5 2 2 2 2 3" xfId="24359"/>
    <cellStyle name="Normal 5 5 2 2 2 3" xfId="9314"/>
    <cellStyle name="Normal 5 5 2 2 2 3 2" xfId="24985"/>
    <cellStyle name="Normal 5 5 2 2 2 4" xfId="3562"/>
    <cellStyle name="Normal 5 5 2 2 2 5" xfId="22045"/>
    <cellStyle name="Normal 5 5 2 2 3" xfId="8391"/>
    <cellStyle name="Normal 5 5 2 2 3 2" xfId="11004"/>
    <cellStyle name="Normal 5 5 2 2 3 2 2" xfId="25326"/>
    <cellStyle name="Normal 5 5 2 2 3 3" xfId="24078"/>
    <cellStyle name="Normal 5 5 2 2 4" xfId="8957"/>
    <cellStyle name="Normal 5 5 2 2 4 2" xfId="24644"/>
    <cellStyle name="Normal 5 5 2 2 5" xfId="3114"/>
    <cellStyle name="Normal 5 5 2 2 6" xfId="22044"/>
    <cellStyle name="Normal 5 5 2 3" xfId="1048"/>
    <cellStyle name="Normal 5 5 2 3 2" xfId="8504"/>
    <cellStyle name="Normal 5 5 2 3 2 2" xfId="11117"/>
    <cellStyle name="Normal 5 5 2 3 2 2 2" xfId="25439"/>
    <cellStyle name="Normal 5 5 2 3 2 3" xfId="24191"/>
    <cellStyle name="Normal 5 5 2 3 3" xfId="9145"/>
    <cellStyle name="Normal 5 5 2 3 3 2" xfId="24817"/>
    <cellStyle name="Normal 5 5 2 3 4" xfId="3385"/>
    <cellStyle name="Normal 5 5 2 3 5" xfId="22046"/>
    <cellStyle name="Normal 5 5 2 4" xfId="8223"/>
    <cellStyle name="Normal 5 5 2 4 2" xfId="10836"/>
    <cellStyle name="Normal 5 5 2 4 2 2" xfId="25158"/>
    <cellStyle name="Normal 5 5 2 4 3" xfId="23910"/>
    <cellStyle name="Normal 5 5 2 5" xfId="8789"/>
    <cellStyle name="Normal 5 5 2 5 2" xfId="24476"/>
    <cellStyle name="Normal 5 5 2 6" xfId="2936"/>
    <cellStyle name="Normal 5 5 2 7" xfId="22043"/>
    <cellStyle name="Normal 5 5 3" xfId="1049"/>
    <cellStyle name="Normal 5 5 3 2" xfId="1050"/>
    <cellStyle name="Normal 5 5 3 2 2" xfId="8560"/>
    <cellStyle name="Normal 5 5 3 2 2 2" xfId="11173"/>
    <cellStyle name="Normal 5 5 3 2 2 2 2" xfId="25495"/>
    <cellStyle name="Normal 5 5 3 2 2 3" xfId="24247"/>
    <cellStyle name="Normal 5 5 3 2 3" xfId="9201"/>
    <cellStyle name="Normal 5 5 3 2 3 2" xfId="24873"/>
    <cellStyle name="Normal 5 5 3 2 4" xfId="3441"/>
    <cellStyle name="Normal 5 5 3 2 5" xfId="22048"/>
    <cellStyle name="Normal 5 5 3 3" xfId="8279"/>
    <cellStyle name="Normal 5 5 3 3 2" xfId="10892"/>
    <cellStyle name="Normal 5 5 3 3 2 2" xfId="25214"/>
    <cellStyle name="Normal 5 5 3 3 3" xfId="23966"/>
    <cellStyle name="Normal 5 5 3 4" xfId="8845"/>
    <cellStyle name="Normal 5 5 3 4 2" xfId="24532"/>
    <cellStyle name="Normal 5 5 3 5" xfId="2992"/>
    <cellStyle name="Normal 5 5 3 6" xfId="22047"/>
    <cellStyle name="Normal 5 5 4" xfId="1051"/>
    <cellStyle name="Normal 5 5 4 2" xfId="1052"/>
    <cellStyle name="Normal 5 5 4 2 2" xfId="8610"/>
    <cellStyle name="Normal 5 5 4 2 2 2" xfId="11223"/>
    <cellStyle name="Normal 5 5 4 2 2 2 2" xfId="25545"/>
    <cellStyle name="Normal 5 5 4 2 2 3" xfId="24297"/>
    <cellStyle name="Normal 5 5 4 2 3" xfId="9252"/>
    <cellStyle name="Normal 5 5 4 2 3 2" xfId="24923"/>
    <cellStyle name="Normal 5 5 4 2 4" xfId="3499"/>
    <cellStyle name="Normal 5 5 4 2 5" xfId="22050"/>
    <cellStyle name="Normal 5 5 4 3" xfId="8329"/>
    <cellStyle name="Normal 5 5 4 3 2" xfId="10942"/>
    <cellStyle name="Normal 5 5 4 3 2 2" xfId="25264"/>
    <cellStyle name="Normal 5 5 4 3 3" xfId="24016"/>
    <cellStyle name="Normal 5 5 4 4" xfId="8895"/>
    <cellStyle name="Normal 5 5 4 4 2" xfId="24582"/>
    <cellStyle name="Normal 5 5 4 5" xfId="3052"/>
    <cellStyle name="Normal 5 5 4 6" xfId="22049"/>
    <cellStyle name="Normal 5 5 5" xfId="1053"/>
    <cellStyle name="Normal 5 5 5 2" xfId="8453"/>
    <cellStyle name="Normal 5 5 5 2 2" xfId="11066"/>
    <cellStyle name="Normal 5 5 5 2 2 2" xfId="25388"/>
    <cellStyle name="Normal 5 5 5 2 3" xfId="24140"/>
    <cellStyle name="Normal 5 5 5 3" xfId="9025"/>
    <cellStyle name="Normal 5 5 5 3 2" xfId="24706"/>
    <cellStyle name="Normal 5 5 5 4" xfId="3216"/>
    <cellStyle name="Normal 5 5 5 5" xfId="22051"/>
    <cellStyle name="Normal 5 5 6" xfId="1054"/>
    <cellStyle name="Normal 5 5 6 2" xfId="8161"/>
    <cellStyle name="Normal 5 5 6 2 2" xfId="10774"/>
    <cellStyle name="Normal 5 5 6 2 2 2" xfId="25096"/>
    <cellStyle name="Normal 5 5 6 2 3" xfId="23848"/>
    <cellStyle name="Normal 5 5 6 3" xfId="9083"/>
    <cellStyle name="Normal 5 5 6 3 2" xfId="24755"/>
    <cellStyle name="Normal 5 5 6 4" xfId="3323"/>
    <cellStyle name="Normal 5 5 6 5" xfId="22052"/>
    <cellStyle name="Normal 5 5 7" xfId="8112"/>
    <cellStyle name="Normal 5 5 7 2" xfId="10725"/>
    <cellStyle name="Normal 5 5 7 2 2" xfId="25047"/>
    <cellStyle name="Normal 5 5 7 3" xfId="23799"/>
    <cellStyle name="Normal 5 5 8" xfId="8727"/>
    <cellStyle name="Normal 5 5 8 2" xfId="24414"/>
    <cellStyle name="Normal 5 5 9" xfId="2872"/>
    <cellStyle name="Normal 5 6" xfId="1055"/>
    <cellStyle name="Normal 5 6 10" xfId="22053"/>
    <cellStyle name="Normal 5 6 2" xfId="1056"/>
    <cellStyle name="Normal 5 6 2 2" xfId="1057"/>
    <cellStyle name="Normal 5 6 2 2 2" xfId="1058"/>
    <cellStyle name="Normal 5 6 2 2 2 2" xfId="8647"/>
    <cellStyle name="Normal 5 6 2 2 2 2 2" xfId="11260"/>
    <cellStyle name="Normal 5 6 2 2 2 2 2 2" xfId="25582"/>
    <cellStyle name="Normal 5 6 2 2 2 2 3" xfId="24334"/>
    <cellStyle name="Normal 5 6 2 2 2 3" xfId="9289"/>
    <cellStyle name="Normal 5 6 2 2 2 3 2" xfId="24960"/>
    <cellStyle name="Normal 5 6 2 2 2 4" xfId="3537"/>
    <cellStyle name="Normal 5 6 2 2 2 5" xfId="22056"/>
    <cellStyle name="Normal 5 6 2 2 3" xfId="8366"/>
    <cellStyle name="Normal 5 6 2 2 3 2" xfId="10979"/>
    <cellStyle name="Normal 5 6 2 2 3 2 2" xfId="25301"/>
    <cellStyle name="Normal 5 6 2 2 3 3" xfId="24053"/>
    <cellStyle name="Normal 5 6 2 2 4" xfId="8932"/>
    <cellStyle name="Normal 5 6 2 2 4 2" xfId="24619"/>
    <cellStyle name="Normal 5 6 2 2 5" xfId="3089"/>
    <cellStyle name="Normal 5 6 2 2 6" xfId="22055"/>
    <cellStyle name="Normal 5 6 2 3" xfId="1059"/>
    <cellStyle name="Normal 5 6 2 3 2" xfId="8483"/>
    <cellStyle name="Normal 5 6 2 3 2 2" xfId="11096"/>
    <cellStyle name="Normal 5 6 2 3 2 2 2" xfId="25418"/>
    <cellStyle name="Normal 5 6 2 3 2 3" xfId="24170"/>
    <cellStyle name="Normal 5 6 2 3 3" xfId="9120"/>
    <cellStyle name="Normal 5 6 2 3 3 2" xfId="24792"/>
    <cellStyle name="Normal 5 6 2 3 4" xfId="3360"/>
    <cellStyle name="Normal 5 6 2 3 5" xfId="22057"/>
    <cellStyle name="Normal 5 6 2 4" xfId="8198"/>
    <cellStyle name="Normal 5 6 2 4 2" xfId="10811"/>
    <cellStyle name="Normal 5 6 2 4 2 2" xfId="25133"/>
    <cellStyle name="Normal 5 6 2 4 3" xfId="23885"/>
    <cellStyle name="Normal 5 6 2 5" xfId="8764"/>
    <cellStyle name="Normal 5 6 2 5 2" xfId="24451"/>
    <cellStyle name="Normal 5 6 2 6" xfId="2911"/>
    <cellStyle name="Normal 5 6 2 7" xfId="22054"/>
    <cellStyle name="Normal 5 6 3" xfId="1060"/>
    <cellStyle name="Normal 5 6 3 2" xfId="1061"/>
    <cellStyle name="Normal 5 6 3 2 2" xfId="8535"/>
    <cellStyle name="Normal 5 6 3 2 2 2" xfId="11148"/>
    <cellStyle name="Normal 5 6 3 2 2 2 2" xfId="25470"/>
    <cellStyle name="Normal 5 6 3 2 2 3" xfId="24222"/>
    <cellStyle name="Normal 5 6 3 2 3" xfId="9176"/>
    <cellStyle name="Normal 5 6 3 2 3 2" xfId="24848"/>
    <cellStyle name="Normal 5 6 3 2 4" xfId="3416"/>
    <cellStyle name="Normal 5 6 3 2 5" xfId="22059"/>
    <cellStyle name="Normal 5 6 3 3" xfId="8254"/>
    <cellStyle name="Normal 5 6 3 3 2" xfId="10867"/>
    <cellStyle name="Normal 5 6 3 3 2 2" xfId="25189"/>
    <cellStyle name="Normal 5 6 3 3 3" xfId="23941"/>
    <cellStyle name="Normal 5 6 3 4" xfId="8820"/>
    <cellStyle name="Normal 5 6 3 4 2" xfId="24507"/>
    <cellStyle name="Normal 5 6 3 5" xfId="2967"/>
    <cellStyle name="Normal 5 6 3 6" xfId="22058"/>
    <cellStyle name="Normal 5 6 4" xfId="1062"/>
    <cellStyle name="Normal 5 6 4 2" xfId="1063"/>
    <cellStyle name="Normal 5 6 4 2 2" xfId="8616"/>
    <cellStyle name="Normal 5 6 4 2 2 2" xfId="11229"/>
    <cellStyle name="Normal 5 6 4 2 2 2 2" xfId="25551"/>
    <cellStyle name="Normal 5 6 4 2 2 3" xfId="24303"/>
    <cellStyle name="Normal 5 6 4 2 3" xfId="9258"/>
    <cellStyle name="Normal 5 6 4 2 3 2" xfId="24929"/>
    <cellStyle name="Normal 5 6 4 2 4" xfId="3505"/>
    <cellStyle name="Normal 5 6 4 2 5" xfId="22061"/>
    <cellStyle name="Normal 5 6 4 3" xfId="8335"/>
    <cellStyle name="Normal 5 6 4 3 2" xfId="10948"/>
    <cellStyle name="Normal 5 6 4 3 2 2" xfId="25270"/>
    <cellStyle name="Normal 5 6 4 3 3" xfId="24022"/>
    <cellStyle name="Normal 5 6 4 4" xfId="8901"/>
    <cellStyle name="Normal 5 6 4 4 2" xfId="24588"/>
    <cellStyle name="Normal 5 6 4 5" xfId="3058"/>
    <cellStyle name="Normal 5 6 4 6" xfId="22060"/>
    <cellStyle name="Normal 5 6 5" xfId="1064"/>
    <cellStyle name="Normal 5 6 5 2" xfId="8433"/>
    <cellStyle name="Normal 5 6 5 2 2" xfId="11046"/>
    <cellStyle name="Normal 5 6 5 2 2 2" xfId="25368"/>
    <cellStyle name="Normal 5 6 5 2 3" xfId="24120"/>
    <cellStyle name="Normal 5 6 5 3" xfId="9003"/>
    <cellStyle name="Normal 5 6 5 3 2" xfId="24686"/>
    <cellStyle name="Normal 5 6 5 4" xfId="3178"/>
    <cellStyle name="Normal 5 6 5 5" xfId="22062"/>
    <cellStyle name="Normal 5 6 6" xfId="1065"/>
    <cellStyle name="Normal 5 6 6 2" xfId="8167"/>
    <cellStyle name="Normal 5 6 6 2 2" xfId="10780"/>
    <cellStyle name="Normal 5 6 6 2 2 2" xfId="25102"/>
    <cellStyle name="Normal 5 6 6 2 3" xfId="23854"/>
    <cellStyle name="Normal 5 6 6 3" xfId="9089"/>
    <cellStyle name="Normal 5 6 6 3 2" xfId="24761"/>
    <cellStyle name="Normal 5 6 6 4" xfId="3329"/>
    <cellStyle name="Normal 5 6 6 5" xfId="22063"/>
    <cellStyle name="Normal 5 6 7" xfId="8092"/>
    <cellStyle name="Normal 5 6 7 2" xfId="10705"/>
    <cellStyle name="Normal 5 6 7 2 2" xfId="25027"/>
    <cellStyle name="Normal 5 6 7 3" xfId="23779"/>
    <cellStyle name="Normal 5 6 8" xfId="8733"/>
    <cellStyle name="Normal 5 6 8 2" xfId="24420"/>
    <cellStyle name="Normal 5 6 9" xfId="2879"/>
    <cellStyle name="Normal 5 7" xfId="1066"/>
    <cellStyle name="Normal 5 7 2" xfId="1067"/>
    <cellStyle name="Normal 5 7 2 2" xfId="1068"/>
    <cellStyle name="Normal 5 7 2 2 2" xfId="8641"/>
    <cellStyle name="Normal 5 7 2 2 2 2" xfId="11254"/>
    <cellStyle name="Normal 5 7 2 2 2 2 2" xfId="25576"/>
    <cellStyle name="Normal 5 7 2 2 2 3" xfId="24328"/>
    <cellStyle name="Normal 5 7 2 2 3" xfId="9283"/>
    <cellStyle name="Normal 5 7 2 2 3 2" xfId="24954"/>
    <cellStyle name="Normal 5 7 2 2 4" xfId="3531"/>
    <cellStyle name="Normal 5 7 2 2 5" xfId="22066"/>
    <cellStyle name="Normal 5 7 2 3" xfId="8360"/>
    <cellStyle name="Normal 5 7 2 3 2" xfId="10973"/>
    <cellStyle name="Normal 5 7 2 3 2 2" xfId="25295"/>
    <cellStyle name="Normal 5 7 2 3 3" xfId="24047"/>
    <cellStyle name="Normal 5 7 2 4" xfId="8926"/>
    <cellStyle name="Normal 5 7 2 4 2" xfId="24613"/>
    <cellStyle name="Normal 5 7 2 5" xfId="3083"/>
    <cellStyle name="Normal 5 7 2 6" xfId="22065"/>
    <cellStyle name="Normal 5 7 3" xfId="1069"/>
    <cellStyle name="Normal 5 7 3 2" xfId="8477"/>
    <cellStyle name="Normal 5 7 3 2 2" xfId="11090"/>
    <cellStyle name="Normal 5 7 3 2 2 2" xfId="25412"/>
    <cellStyle name="Normal 5 7 3 2 3" xfId="24164"/>
    <cellStyle name="Normal 5 7 3 3" xfId="9114"/>
    <cellStyle name="Normal 5 7 3 3 2" xfId="24786"/>
    <cellStyle name="Normal 5 7 3 4" xfId="3354"/>
    <cellStyle name="Normal 5 7 3 5" xfId="22067"/>
    <cellStyle name="Normal 5 7 4" xfId="8192"/>
    <cellStyle name="Normal 5 7 4 2" xfId="10805"/>
    <cellStyle name="Normal 5 7 4 2 2" xfId="25127"/>
    <cellStyle name="Normal 5 7 4 3" xfId="23879"/>
    <cellStyle name="Normal 5 7 5" xfId="8758"/>
    <cellStyle name="Normal 5 7 5 2" xfId="24445"/>
    <cellStyle name="Normal 5 7 6" xfId="2905"/>
    <cellStyle name="Normal 5 7 7" xfId="22064"/>
    <cellStyle name="Normal 5 8" xfId="1070"/>
    <cellStyle name="Normal 5 8 2" xfId="1071"/>
    <cellStyle name="Normal 5 8 2 2" xfId="8529"/>
    <cellStyle name="Normal 5 8 2 2 2" xfId="11142"/>
    <cellStyle name="Normal 5 8 2 2 2 2" xfId="25464"/>
    <cellStyle name="Normal 5 8 2 2 3" xfId="24216"/>
    <cellStyle name="Normal 5 8 2 3" xfId="9170"/>
    <cellStyle name="Normal 5 8 2 3 2" xfId="24842"/>
    <cellStyle name="Normal 5 8 2 4" xfId="3410"/>
    <cellStyle name="Normal 5 8 2 5" xfId="22069"/>
    <cellStyle name="Normal 5 8 3" xfId="8248"/>
    <cellStyle name="Normal 5 8 3 2" xfId="10861"/>
    <cellStyle name="Normal 5 8 3 2 2" xfId="25183"/>
    <cellStyle name="Normal 5 8 3 3" xfId="23935"/>
    <cellStyle name="Normal 5 8 4" xfId="8814"/>
    <cellStyle name="Normal 5 8 4 2" xfId="24501"/>
    <cellStyle name="Normal 5 8 5" xfId="2961"/>
    <cellStyle name="Normal 5 8 6" xfId="22068"/>
    <cellStyle name="Normal 5 9" xfId="1072"/>
    <cellStyle name="Normal 5 9 2" xfId="1073"/>
    <cellStyle name="Normal 5 9 2 2" xfId="8585"/>
    <cellStyle name="Normal 5 9 2 2 2" xfId="11198"/>
    <cellStyle name="Normal 5 9 2 2 2 2" xfId="25520"/>
    <cellStyle name="Normal 5 9 2 2 3" xfId="24272"/>
    <cellStyle name="Normal 5 9 2 3" xfId="9226"/>
    <cellStyle name="Normal 5 9 2 3 2" xfId="24898"/>
    <cellStyle name="Normal 5 9 2 4" xfId="3472"/>
    <cellStyle name="Normal 5 9 2 5" xfId="22071"/>
    <cellStyle name="Normal 5 9 3" xfId="8304"/>
    <cellStyle name="Normal 5 9 3 2" xfId="10917"/>
    <cellStyle name="Normal 5 9 3 2 2" xfId="25239"/>
    <cellStyle name="Normal 5 9 3 3" xfId="23991"/>
    <cellStyle name="Normal 5 9 4" xfId="8870"/>
    <cellStyle name="Normal 5 9 4 2" xfId="24557"/>
    <cellStyle name="Normal 5 9 5" xfId="3022"/>
    <cellStyle name="Normal 5 9 6" xfId="22070"/>
    <cellStyle name="Normal 6" xfId="1074"/>
    <cellStyle name="Normal 6 10" xfId="1075"/>
    <cellStyle name="Normal 6 10 2" xfId="8417"/>
    <cellStyle name="Normal 6 10 2 2" xfId="11030"/>
    <cellStyle name="Normal 6 10 2 2 2" xfId="25352"/>
    <cellStyle name="Normal 6 10 2 3" xfId="24104"/>
    <cellStyle name="Normal 6 10 3" xfId="8987"/>
    <cellStyle name="Normal 6 10 3 2" xfId="24670"/>
    <cellStyle name="Normal 6 10 4" xfId="3160"/>
    <cellStyle name="Normal 6 10 5" xfId="22073"/>
    <cellStyle name="Normal 6 11" xfId="1076"/>
    <cellStyle name="Normal 6 11 2" xfId="8137"/>
    <cellStyle name="Normal 6 11 2 2" xfId="10750"/>
    <cellStyle name="Normal 6 11 2 2 2" xfId="25072"/>
    <cellStyle name="Normal 6 11 2 3" xfId="23824"/>
    <cellStyle name="Normal 6 11 3" xfId="9059"/>
    <cellStyle name="Normal 6 11 3 2" xfId="24731"/>
    <cellStyle name="Normal 6 11 4" xfId="3299"/>
    <cellStyle name="Normal 6 11 5" xfId="22074"/>
    <cellStyle name="Normal 6 12" xfId="8076"/>
    <cellStyle name="Normal 6 12 2" xfId="10689"/>
    <cellStyle name="Normal 6 12 2 2" xfId="25011"/>
    <cellStyle name="Normal 6 12 3" xfId="23763"/>
    <cellStyle name="Normal 6 13" xfId="8698"/>
    <cellStyle name="Normal 6 13 2" xfId="11311"/>
    <cellStyle name="Normal 6 13 2 2" xfId="25633"/>
    <cellStyle name="Normal 6 13 3" xfId="24385"/>
    <cellStyle name="Normal 6 14" xfId="8703"/>
    <cellStyle name="Normal 6 14 2" xfId="24390"/>
    <cellStyle name="Normal 6 15" xfId="2804"/>
    <cellStyle name="Normal 6 16" xfId="22072"/>
    <cellStyle name="Normal 6 2" xfId="1077"/>
    <cellStyle name="Normal 6 2 10" xfId="8707"/>
    <cellStyle name="Normal 6 2 10 2" xfId="24394"/>
    <cellStyle name="Normal 6 2 11" xfId="2851"/>
    <cellStyle name="Normal 6 2 12" xfId="22075"/>
    <cellStyle name="Normal 6 2 2" xfId="1078"/>
    <cellStyle name="Normal 6 2 2 10" xfId="2867"/>
    <cellStyle name="Normal 6 2 2 11" xfId="22076"/>
    <cellStyle name="Normal 6 2 2 2" xfId="1079"/>
    <cellStyle name="Normal 6 2 2 2 10" xfId="22077"/>
    <cellStyle name="Normal 6 2 2 2 2" xfId="1080"/>
    <cellStyle name="Normal 6 2 2 2 2 2" xfId="1081"/>
    <cellStyle name="Normal 6 2 2 2 2 2 2" xfId="1082"/>
    <cellStyle name="Normal 6 2 2 2 2 2 2 2" xfId="8693"/>
    <cellStyle name="Normal 6 2 2 2 2 2 2 2 2" xfId="11306"/>
    <cellStyle name="Normal 6 2 2 2 2 2 2 2 2 2" xfId="25628"/>
    <cellStyle name="Normal 6 2 2 2 2 2 2 2 3" xfId="24380"/>
    <cellStyle name="Normal 6 2 2 2 2 2 2 3" xfId="9335"/>
    <cellStyle name="Normal 6 2 2 2 2 2 2 3 2" xfId="25006"/>
    <cellStyle name="Normal 6 2 2 2 2 2 2 4" xfId="3583"/>
    <cellStyle name="Normal 6 2 2 2 2 2 2 5" xfId="22080"/>
    <cellStyle name="Normal 6 2 2 2 2 2 3" xfId="8412"/>
    <cellStyle name="Normal 6 2 2 2 2 2 3 2" xfId="11025"/>
    <cellStyle name="Normal 6 2 2 2 2 2 3 2 2" xfId="25347"/>
    <cellStyle name="Normal 6 2 2 2 2 2 3 3" xfId="24099"/>
    <cellStyle name="Normal 6 2 2 2 2 2 4" xfId="8978"/>
    <cellStyle name="Normal 6 2 2 2 2 2 4 2" xfId="24665"/>
    <cellStyle name="Normal 6 2 2 2 2 2 5" xfId="3135"/>
    <cellStyle name="Normal 6 2 2 2 2 2 6" xfId="22079"/>
    <cellStyle name="Normal 6 2 2 2 2 3" xfId="1083"/>
    <cellStyle name="Normal 6 2 2 2 2 3 2" xfId="8525"/>
    <cellStyle name="Normal 6 2 2 2 2 3 2 2" xfId="11138"/>
    <cellStyle name="Normal 6 2 2 2 2 3 2 2 2" xfId="25460"/>
    <cellStyle name="Normal 6 2 2 2 2 3 2 3" xfId="24212"/>
    <cellStyle name="Normal 6 2 2 2 2 3 3" xfId="9166"/>
    <cellStyle name="Normal 6 2 2 2 2 3 3 2" xfId="24838"/>
    <cellStyle name="Normal 6 2 2 2 2 3 4" xfId="3406"/>
    <cellStyle name="Normal 6 2 2 2 2 3 5" xfId="22081"/>
    <cellStyle name="Normal 6 2 2 2 2 4" xfId="8244"/>
    <cellStyle name="Normal 6 2 2 2 2 4 2" xfId="10857"/>
    <cellStyle name="Normal 6 2 2 2 2 4 2 2" xfId="25179"/>
    <cellStyle name="Normal 6 2 2 2 2 4 3" xfId="23931"/>
    <cellStyle name="Normal 6 2 2 2 2 5" xfId="8810"/>
    <cellStyle name="Normal 6 2 2 2 2 5 2" xfId="24497"/>
    <cellStyle name="Normal 6 2 2 2 2 6" xfId="2957"/>
    <cellStyle name="Normal 6 2 2 2 2 7" xfId="22078"/>
    <cellStyle name="Normal 6 2 2 2 3" xfId="1084"/>
    <cellStyle name="Normal 6 2 2 2 3 2" xfId="1085"/>
    <cellStyle name="Normal 6 2 2 2 3 2 2" xfId="8581"/>
    <cellStyle name="Normal 6 2 2 2 3 2 2 2" xfId="11194"/>
    <cellStyle name="Normal 6 2 2 2 3 2 2 2 2" xfId="25516"/>
    <cellStyle name="Normal 6 2 2 2 3 2 2 3" xfId="24268"/>
    <cellStyle name="Normal 6 2 2 2 3 2 3" xfId="9222"/>
    <cellStyle name="Normal 6 2 2 2 3 2 3 2" xfId="24894"/>
    <cellStyle name="Normal 6 2 2 2 3 2 4" xfId="3462"/>
    <cellStyle name="Normal 6 2 2 2 3 2 5" xfId="22083"/>
    <cellStyle name="Normal 6 2 2 2 3 3" xfId="8300"/>
    <cellStyle name="Normal 6 2 2 2 3 3 2" xfId="10913"/>
    <cellStyle name="Normal 6 2 2 2 3 3 2 2" xfId="25235"/>
    <cellStyle name="Normal 6 2 2 2 3 3 3" xfId="23987"/>
    <cellStyle name="Normal 6 2 2 2 3 4" xfId="8866"/>
    <cellStyle name="Normal 6 2 2 2 3 4 2" xfId="24553"/>
    <cellStyle name="Normal 6 2 2 2 3 5" xfId="3013"/>
    <cellStyle name="Normal 6 2 2 2 3 6" xfId="22082"/>
    <cellStyle name="Normal 6 2 2 2 4" xfId="1086"/>
    <cellStyle name="Normal 6 2 2 2 4 2" xfId="1087"/>
    <cellStyle name="Normal 6 2 2 2 4 2 2" xfId="8636"/>
    <cellStyle name="Normal 6 2 2 2 4 2 2 2" xfId="11249"/>
    <cellStyle name="Normal 6 2 2 2 4 2 2 2 2" xfId="25571"/>
    <cellStyle name="Normal 6 2 2 2 4 2 2 3" xfId="24323"/>
    <cellStyle name="Normal 6 2 2 2 4 2 3" xfId="9278"/>
    <cellStyle name="Normal 6 2 2 2 4 2 3 2" xfId="24949"/>
    <cellStyle name="Normal 6 2 2 2 4 2 4" xfId="3526"/>
    <cellStyle name="Normal 6 2 2 2 4 2 5" xfId="22085"/>
    <cellStyle name="Normal 6 2 2 2 4 3" xfId="8355"/>
    <cellStyle name="Normal 6 2 2 2 4 3 2" xfId="10968"/>
    <cellStyle name="Normal 6 2 2 2 4 3 2 2" xfId="25290"/>
    <cellStyle name="Normal 6 2 2 2 4 3 3" xfId="24042"/>
    <cellStyle name="Normal 6 2 2 2 4 4" xfId="8921"/>
    <cellStyle name="Normal 6 2 2 2 4 4 2" xfId="24608"/>
    <cellStyle name="Normal 6 2 2 2 4 5" xfId="3078"/>
    <cellStyle name="Normal 6 2 2 2 4 6" xfId="22084"/>
    <cellStyle name="Normal 6 2 2 2 5" xfId="1088"/>
    <cellStyle name="Normal 6 2 2 2 5 2" xfId="8473"/>
    <cellStyle name="Normal 6 2 2 2 5 2 2" xfId="11086"/>
    <cellStyle name="Normal 6 2 2 2 5 2 2 2" xfId="25408"/>
    <cellStyle name="Normal 6 2 2 2 5 2 3" xfId="24160"/>
    <cellStyle name="Normal 6 2 2 2 5 3" xfId="9045"/>
    <cellStyle name="Normal 6 2 2 2 5 3 2" xfId="24726"/>
    <cellStyle name="Normal 6 2 2 2 5 4" xfId="3237"/>
    <cellStyle name="Normal 6 2 2 2 5 5" xfId="22086"/>
    <cellStyle name="Normal 6 2 2 2 6" xfId="1089"/>
    <cellStyle name="Normal 6 2 2 2 6 2" xfId="8187"/>
    <cellStyle name="Normal 6 2 2 2 6 2 2" xfId="10800"/>
    <cellStyle name="Normal 6 2 2 2 6 2 2 2" xfId="25122"/>
    <cellStyle name="Normal 6 2 2 2 6 2 3" xfId="23874"/>
    <cellStyle name="Normal 6 2 2 2 6 3" xfId="9109"/>
    <cellStyle name="Normal 6 2 2 2 6 3 2" xfId="24781"/>
    <cellStyle name="Normal 6 2 2 2 6 4" xfId="3349"/>
    <cellStyle name="Normal 6 2 2 2 6 5" xfId="22087"/>
    <cellStyle name="Normal 6 2 2 2 7" xfId="8132"/>
    <cellStyle name="Normal 6 2 2 2 7 2" xfId="10745"/>
    <cellStyle name="Normal 6 2 2 2 7 2 2" xfId="25067"/>
    <cellStyle name="Normal 6 2 2 2 7 3" xfId="23819"/>
    <cellStyle name="Normal 6 2 2 2 8" xfId="8753"/>
    <cellStyle name="Normal 6 2 2 2 8 2" xfId="24440"/>
    <cellStyle name="Normal 6 2 2 2 9" xfId="2900"/>
    <cellStyle name="Normal 6 2 2 3" xfId="1090"/>
    <cellStyle name="Normal 6 2 2 3 2" xfId="1091"/>
    <cellStyle name="Normal 6 2 2 3 2 2" xfId="1092"/>
    <cellStyle name="Normal 6 2 2 3 2 2 2" xfId="8667"/>
    <cellStyle name="Normal 6 2 2 3 2 2 2 2" xfId="11280"/>
    <cellStyle name="Normal 6 2 2 3 2 2 2 2 2" xfId="25602"/>
    <cellStyle name="Normal 6 2 2 3 2 2 2 3" xfId="24354"/>
    <cellStyle name="Normal 6 2 2 3 2 2 3" xfId="9309"/>
    <cellStyle name="Normal 6 2 2 3 2 2 3 2" xfId="24980"/>
    <cellStyle name="Normal 6 2 2 3 2 2 4" xfId="3557"/>
    <cellStyle name="Normal 6 2 2 3 2 2 5" xfId="22090"/>
    <cellStyle name="Normal 6 2 2 3 2 3" xfId="8386"/>
    <cellStyle name="Normal 6 2 2 3 2 3 2" xfId="10999"/>
    <cellStyle name="Normal 6 2 2 3 2 3 2 2" xfId="25321"/>
    <cellStyle name="Normal 6 2 2 3 2 3 3" xfId="24073"/>
    <cellStyle name="Normal 6 2 2 3 2 4" xfId="8952"/>
    <cellStyle name="Normal 6 2 2 3 2 4 2" xfId="24639"/>
    <cellStyle name="Normal 6 2 2 3 2 5" xfId="3109"/>
    <cellStyle name="Normal 6 2 2 3 2 6" xfId="22089"/>
    <cellStyle name="Normal 6 2 2 3 3" xfId="1093"/>
    <cellStyle name="Normal 6 2 2 3 3 2" xfId="8499"/>
    <cellStyle name="Normal 6 2 2 3 3 2 2" xfId="11112"/>
    <cellStyle name="Normal 6 2 2 3 3 2 2 2" xfId="25434"/>
    <cellStyle name="Normal 6 2 2 3 3 2 3" xfId="24186"/>
    <cellStyle name="Normal 6 2 2 3 3 3" xfId="9140"/>
    <cellStyle name="Normal 6 2 2 3 3 3 2" xfId="24812"/>
    <cellStyle name="Normal 6 2 2 3 3 4" xfId="3380"/>
    <cellStyle name="Normal 6 2 2 3 3 5" xfId="22091"/>
    <cellStyle name="Normal 6 2 2 3 4" xfId="8218"/>
    <cellStyle name="Normal 6 2 2 3 4 2" xfId="10831"/>
    <cellStyle name="Normal 6 2 2 3 4 2 2" xfId="25153"/>
    <cellStyle name="Normal 6 2 2 3 4 3" xfId="23905"/>
    <cellStyle name="Normal 6 2 2 3 5" xfId="8784"/>
    <cellStyle name="Normal 6 2 2 3 5 2" xfId="24471"/>
    <cellStyle name="Normal 6 2 2 3 6" xfId="2931"/>
    <cellStyle name="Normal 6 2 2 3 7" xfId="22088"/>
    <cellStyle name="Normal 6 2 2 4" xfId="1094"/>
    <cellStyle name="Normal 6 2 2 4 2" xfId="1095"/>
    <cellStyle name="Normal 6 2 2 4 2 2" xfId="8555"/>
    <cellStyle name="Normal 6 2 2 4 2 2 2" xfId="11168"/>
    <cellStyle name="Normal 6 2 2 4 2 2 2 2" xfId="25490"/>
    <cellStyle name="Normal 6 2 2 4 2 2 3" xfId="24242"/>
    <cellStyle name="Normal 6 2 2 4 2 3" xfId="9196"/>
    <cellStyle name="Normal 6 2 2 4 2 3 2" xfId="24868"/>
    <cellStyle name="Normal 6 2 2 4 2 4" xfId="3436"/>
    <cellStyle name="Normal 6 2 2 4 2 5" xfId="22093"/>
    <cellStyle name="Normal 6 2 2 4 3" xfId="8274"/>
    <cellStyle name="Normal 6 2 2 4 3 2" xfId="10887"/>
    <cellStyle name="Normal 6 2 2 4 3 2 2" xfId="25209"/>
    <cellStyle name="Normal 6 2 2 4 3 3" xfId="23961"/>
    <cellStyle name="Normal 6 2 2 4 4" xfId="8840"/>
    <cellStyle name="Normal 6 2 2 4 4 2" xfId="24527"/>
    <cellStyle name="Normal 6 2 2 4 5" xfId="2987"/>
    <cellStyle name="Normal 6 2 2 4 6" xfId="22092"/>
    <cellStyle name="Normal 6 2 2 5" xfId="1096"/>
    <cellStyle name="Normal 6 2 2 5 2" xfId="1097"/>
    <cellStyle name="Normal 6 2 2 5 2 2" xfId="8605"/>
    <cellStyle name="Normal 6 2 2 5 2 2 2" xfId="11218"/>
    <cellStyle name="Normal 6 2 2 5 2 2 2 2" xfId="25540"/>
    <cellStyle name="Normal 6 2 2 5 2 2 3" xfId="24292"/>
    <cellStyle name="Normal 6 2 2 5 2 3" xfId="9247"/>
    <cellStyle name="Normal 6 2 2 5 2 3 2" xfId="24918"/>
    <cellStyle name="Normal 6 2 2 5 2 4" xfId="3494"/>
    <cellStyle name="Normal 6 2 2 5 2 5" xfId="22095"/>
    <cellStyle name="Normal 6 2 2 5 3" xfId="8324"/>
    <cellStyle name="Normal 6 2 2 5 3 2" xfId="10937"/>
    <cellStyle name="Normal 6 2 2 5 3 2 2" xfId="25259"/>
    <cellStyle name="Normal 6 2 2 5 3 3" xfId="24011"/>
    <cellStyle name="Normal 6 2 2 5 4" xfId="8890"/>
    <cellStyle name="Normal 6 2 2 5 4 2" xfId="24577"/>
    <cellStyle name="Normal 6 2 2 5 5" xfId="3047"/>
    <cellStyle name="Normal 6 2 2 5 6" xfId="22094"/>
    <cellStyle name="Normal 6 2 2 6" xfId="1098"/>
    <cellStyle name="Normal 6 2 2 6 2" xfId="8448"/>
    <cellStyle name="Normal 6 2 2 6 2 2" xfId="11061"/>
    <cellStyle name="Normal 6 2 2 6 2 2 2" xfId="25383"/>
    <cellStyle name="Normal 6 2 2 6 2 3" xfId="24135"/>
    <cellStyle name="Normal 6 2 2 6 3" xfId="9020"/>
    <cellStyle name="Normal 6 2 2 6 3 2" xfId="24701"/>
    <cellStyle name="Normal 6 2 2 6 4" xfId="3211"/>
    <cellStyle name="Normal 6 2 2 6 5" xfId="22096"/>
    <cellStyle name="Normal 6 2 2 7" xfId="1099"/>
    <cellStyle name="Normal 6 2 2 7 2" xfId="8156"/>
    <cellStyle name="Normal 6 2 2 7 2 2" xfId="10769"/>
    <cellStyle name="Normal 6 2 2 7 2 2 2" xfId="25091"/>
    <cellStyle name="Normal 6 2 2 7 2 3" xfId="23843"/>
    <cellStyle name="Normal 6 2 2 7 3" xfId="9078"/>
    <cellStyle name="Normal 6 2 2 7 3 2" xfId="24750"/>
    <cellStyle name="Normal 6 2 2 7 4" xfId="3318"/>
    <cellStyle name="Normal 6 2 2 7 5" xfId="22097"/>
    <cellStyle name="Normal 6 2 2 8" xfId="8107"/>
    <cellStyle name="Normal 6 2 2 8 2" xfId="10720"/>
    <cellStyle name="Normal 6 2 2 8 2 2" xfId="25042"/>
    <cellStyle name="Normal 6 2 2 8 3" xfId="23794"/>
    <cellStyle name="Normal 6 2 2 9" xfId="8722"/>
    <cellStyle name="Normal 6 2 2 9 2" xfId="24409"/>
    <cellStyle name="Normal 6 2 3" xfId="1100"/>
    <cellStyle name="Normal 6 2 3 10" xfId="22098"/>
    <cellStyle name="Normal 6 2 3 2" xfId="1101"/>
    <cellStyle name="Normal 6 2 3 2 2" xfId="1102"/>
    <cellStyle name="Normal 6 2 3 2 2 2" xfId="1103"/>
    <cellStyle name="Normal 6 2 3 2 2 2 2" xfId="8679"/>
    <cellStyle name="Normal 6 2 3 2 2 2 2 2" xfId="11292"/>
    <cellStyle name="Normal 6 2 3 2 2 2 2 2 2" xfId="25614"/>
    <cellStyle name="Normal 6 2 3 2 2 2 2 3" xfId="24366"/>
    <cellStyle name="Normal 6 2 3 2 2 2 3" xfId="9321"/>
    <cellStyle name="Normal 6 2 3 2 2 2 3 2" xfId="24992"/>
    <cellStyle name="Normal 6 2 3 2 2 2 4" xfId="3569"/>
    <cellStyle name="Normal 6 2 3 2 2 2 5" xfId="22101"/>
    <cellStyle name="Normal 6 2 3 2 2 3" xfId="8398"/>
    <cellStyle name="Normal 6 2 3 2 2 3 2" xfId="11011"/>
    <cellStyle name="Normal 6 2 3 2 2 3 2 2" xfId="25333"/>
    <cellStyle name="Normal 6 2 3 2 2 3 3" xfId="24085"/>
    <cellStyle name="Normal 6 2 3 2 2 4" xfId="8964"/>
    <cellStyle name="Normal 6 2 3 2 2 4 2" xfId="24651"/>
    <cellStyle name="Normal 6 2 3 2 2 5" xfId="3121"/>
    <cellStyle name="Normal 6 2 3 2 2 6" xfId="22100"/>
    <cellStyle name="Normal 6 2 3 2 3" xfId="1104"/>
    <cellStyle name="Normal 6 2 3 2 3 2" xfId="8511"/>
    <cellStyle name="Normal 6 2 3 2 3 2 2" xfId="11124"/>
    <cellStyle name="Normal 6 2 3 2 3 2 2 2" xfId="25446"/>
    <cellStyle name="Normal 6 2 3 2 3 2 3" xfId="24198"/>
    <cellStyle name="Normal 6 2 3 2 3 3" xfId="9152"/>
    <cellStyle name="Normal 6 2 3 2 3 3 2" xfId="24824"/>
    <cellStyle name="Normal 6 2 3 2 3 4" xfId="3392"/>
    <cellStyle name="Normal 6 2 3 2 3 5" xfId="22102"/>
    <cellStyle name="Normal 6 2 3 2 4" xfId="8230"/>
    <cellStyle name="Normal 6 2 3 2 4 2" xfId="10843"/>
    <cellStyle name="Normal 6 2 3 2 4 2 2" xfId="25165"/>
    <cellStyle name="Normal 6 2 3 2 4 3" xfId="23917"/>
    <cellStyle name="Normal 6 2 3 2 5" xfId="8796"/>
    <cellStyle name="Normal 6 2 3 2 5 2" xfId="24483"/>
    <cellStyle name="Normal 6 2 3 2 6" xfId="2943"/>
    <cellStyle name="Normal 6 2 3 2 7" xfId="22099"/>
    <cellStyle name="Normal 6 2 3 3" xfId="1105"/>
    <cellStyle name="Normal 6 2 3 3 2" xfId="1106"/>
    <cellStyle name="Normal 6 2 3 3 2 2" xfId="8567"/>
    <cellStyle name="Normal 6 2 3 3 2 2 2" xfId="11180"/>
    <cellStyle name="Normal 6 2 3 3 2 2 2 2" xfId="25502"/>
    <cellStyle name="Normal 6 2 3 3 2 2 3" xfId="24254"/>
    <cellStyle name="Normal 6 2 3 3 2 3" xfId="9208"/>
    <cellStyle name="Normal 6 2 3 3 2 3 2" xfId="24880"/>
    <cellStyle name="Normal 6 2 3 3 2 4" xfId="3448"/>
    <cellStyle name="Normal 6 2 3 3 2 5" xfId="22104"/>
    <cellStyle name="Normal 6 2 3 3 3" xfId="8286"/>
    <cellStyle name="Normal 6 2 3 3 3 2" xfId="10899"/>
    <cellStyle name="Normal 6 2 3 3 3 2 2" xfId="25221"/>
    <cellStyle name="Normal 6 2 3 3 3 3" xfId="23973"/>
    <cellStyle name="Normal 6 2 3 3 4" xfId="8852"/>
    <cellStyle name="Normal 6 2 3 3 4 2" xfId="24539"/>
    <cellStyle name="Normal 6 2 3 3 5" xfId="2999"/>
    <cellStyle name="Normal 6 2 3 3 6" xfId="22103"/>
    <cellStyle name="Normal 6 2 3 4" xfId="1107"/>
    <cellStyle name="Normal 6 2 3 4 2" xfId="1108"/>
    <cellStyle name="Normal 6 2 3 4 2 2" xfId="8621"/>
    <cellStyle name="Normal 6 2 3 4 2 2 2" xfId="11234"/>
    <cellStyle name="Normal 6 2 3 4 2 2 2 2" xfId="25556"/>
    <cellStyle name="Normal 6 2 3 4 2 2 3" xfId="24308"/>
    <cellStyle name="Normal 6 2 3 4 2 3" xfId="9263"/>
    <cellStyle name="Normal 6 2 3 4 2 3 2" xfId="24934"/>
    <cellStyle name="Normal 6 2 3 4 2 4" xfId="3511"/>
    <cellStyle name="Normal 6 2 3 4 2 5" xfId="22106"/>
    <cellStyle name="Normal 6 2 3 4 3" xfId="8340"/>
    <cellStyle name="Normal 6 2 3 4 3 2" xfId="10953"/>
    <cellStyle name="Normal 6 2 3 4 3 2 2" xfId="25275"/>
    <cellStyle name="Normal 6 2 3 4 3 3" xfId="24027"/>
    <cellStyle name="Normal 6 2 3 4 4" xfId="8906"/>
    <cellStyle name="Normal 6 2 3 4 4 2" xfId="24593"/>
    <cellStyle name="Normal 6 2 3 4 5" xfId="3063"/>
    <cellStyle name="Normal 6 2 3 4 6" xfId="22105"/>
    <cellStyle name="Normal 6 2 3 5" xfId="1109"/>
    <cellStyle name="Normal 6 2 3 5 2" xfId="8459"/>
    <cellStyle name="Normal 6 2 3 5 2 2" xfId="11072"/>
    <cellStyle name="Normal 6 2 3 5 2 2 2" xfId="25394"/>
    <cellStyle name="Normal 6 2 3 5 2 3" xfId="24146"/>
    <cellStyle name="Normal 6 2 3 5 3" xfId="9031"/>
    <cellStyle name="Normal 6 2 3 5 3 2" xfId="24712"/>
    <cellStyle name="Normal 6 2 3 5 4" xfId="3223"/>
    <cellStyle name="Normal 6 2 3 5 5" xfId="22107"/>
    <cellStyle name="Normal 6 2 3 6" xfId="1110"/>
    <cellStyle name="Normal 6 2 3 6 2" xfId="8172"/>
    <cellStyle name="Normal 6 2 3 6 2 2" xfId="10785"/>
    <cellStyle name="Normal 6 2 3 6 2 2 2" xfId="25107"/>
    <cellStyle name="Normal 6 2 3 6 2 3" xfId="23859"/>
    <cellStyle name="Normal 6 2 3 6 3" xfId="9094"/>
    <cellStyle name="Normal 6 2 3 6 3 2" xfId="24766"/>
    <cellStyle name="Normal 6 2 3 6 4" xfId="3334"/>
    <cellStyle name="Normal 6 2 3 6 5" xfId="22108"/>
    <cellStyle name="Normal 6 2 3 7" xfId="8118"/>
    <cellStyle name="Normal 6 2 3 7 2" xfId="10731"/>
    <cellStyle name="Normal 6 2 3 7 2 2" xfId="25053"/>
    <cellStyle name="Normal 6 2 3 7 3" xfId="23805"/>
    <cellStyle name="Normal 6 2 3 8" xfId="8738"/>
    <cellStyle name="Normal 6 2 3 8 2" xfId="24425"/>
    <cellStyle name="Normal 6 2 3 9" xfId="2885"/>
    <cellStyle name="Normal 6 2 4" xfId="1111"/>
    <cellStyle name="Normal 6 2 4 2" xfId="1112"/>
    <cellStyle name="Normal 6 2 4 2 2" xfId="1113"/>
    <cellStyle name="Normal 6 2 4 2 2 2" xfId="8652"/>
    <cellStyle name="Normal 6 2 4 2 2 2 2" xfId="11265"/>
    <cellStyle name="Normal 6 2 4 2 2 2 2 2" xfId="25587"/>
    <cellStyle name="Normal 6 2 4 2 2 2 3" xfId="24339"/>
    <cellStyle name="Normal 6 2 4 2 2 3" xfId="9294"/>
    <cellStyle name="Normal 6 2 4 2 2 3 2" xfId="24965"/>
    <cellStyle name="Normal 6 2 4 2 2 4" xfId="3542"/>
    <cellStyle name="Normal 6 2 4 2 2 5" xfId="22111"/>
    <cellStyle name="Normal 6 2 4 2 3" xfId="8371"/>
    <cellStyle name="Normal 6 2 4 2 3 2" xfId="10984"/>
    <cellStyle name="Normal 6 2 4 2 3 2 2" xfId="25306"/>
    <cellStyle name="Normal 6 2 4 2 3 3" xfId="24058"/>
    <cellStyle name="Normal 6 2 4 2 4" xfId="8937"/>
    <cellStyle name="Normal 6 2 4 2 4 2" xfId="24624"/>
    <cellStyle name="Normal 6 2 4 2 5" xfId="3094"/>
    <cellStyle name="Normal 6 2 4 2 6" xfId="22110"/>
    <cellStyle name="Normal 6 2 4 3" xfId="1114"/>
    <cellStyle name="Normal 6 2 4 3 2" xfId="8437"/>
    <cellStyle name="Normal 6 2 4 3 2 2" xfId="11050"/>
    <cellStyle name="Normal 6 2 4 3 2 2 2" xfId="25372"/>
    <cellStyle name="Normal 6 2 4 3 2 3" xfId="24124"/>
    <cellStyle name="Normal 6 2 4 3 3" xfId="9009"/>
    <cellStyle name="Normal 6 2 4 3 3 2" xfId="24690"/>
    <cellStyle name="Normal 6 2 4 3 4" xfId="3200"/>
    <cellStyle name="Normal 6 2 4 3 5" xfId="22112"/>
    <cellStyle name="Normal 6 2 4 4" xfId="1115"/>
    <cellStyle name="Normal 6 2 4 4 2" xfId="8203"/>
    <cellStyle name="Normal 6 2 4 4 2 2" xfId="10816"/>
    <cellStyle name="Normal 6 2 4 4 2 2 2" xfId="25138"/>
    <cellStyle name="Normal 6 2 4 4 2 3" xfId="23890"/>
    <cellStyle name="Normal 6 2 4 4 3" xfId="9125"/>
    <cellStyle name="Normal 6 2 4 4 3 2" xfId="24797"/>
    <cellStyle name="Normal 6 2 4 4 4" xfId="3365"/>
    <cellStyle name="Normal 6 2 4 4 5" xfId="22113"/>
    <cellStyle name="Normal 6 2 4 5" xfId="8096"/>
    <cellStyle name="Normal 6 2 4 5 2" xfId="10709"/>
    <cellStyle name="Normal 6 2 4 5 2 2" xfId="25031"/>
    <cellStyle name="Normal 6 2 4 5 3" xfId="23783"/>
    <cellStyle name="Normal 6 2 4 6" xfId="8769"/>
    <cellStyle name="Normal 6 2 4 6 2" xfId="24456"/>
    <cellStyle name="Normal 6 2 4 7" xfId="2916"/>
    <cellStyle name="Normal 6 2 4 8" xfId="22109"/>
    <cellStyle name="Normal 6 2 5" xfId="1116"/>
    <cellStyle name="Normal 6 2 5 2" xfId="1117"/>
    <cellStyle name="Normal 6 2 5 2 2" xfId="8540"/>
    <cellStyle name="Normal 6 2 5 2 2 2" xfId="11153"/>
    <cellStyle name="Normal 6 2 5 2 2 2 2" xfId="25475"/>
    <cellStyle name="Normal 6 2 5 2 2 3" xfId="24227"/>
    <cellStyle name="Normal 6 2 5 2 3" xfId="9181"/>
    <cellStyle name="Normal 6 2 5 2 3 2" xfId="24853"/>
    <cellStyle name="Normal 6 2 5 2 4" xfId="3421"/>
    <cellStyle name="Normal 6 2 5 2 5" xfId="22115"/>
    <cellStyle name="Normal 6 2 5 3" xfId="8259"/>
    <cellStyle name="Normal 6 2 5 3 2" xfId="10872"/>
    <cellStyle name="Normal 6 2 5 3 2 2" xfId="25194"/>
    <cellStyle name="Normal 6 2 5 3 3" xfId="23946"/>
    <cellStyle name="Normal 6 2 5 4" xfId="8825"/>
    <cellStyle name="Normal 6 2 5 4 2" xfId="24512"/>
    <cellStyle name="Normal 6 2 5 5" xfId="2972"/>
    <cellStyle name="Normal 6 2 5 6" xfId="22114"/>
    <cellStyle name="Normal 6 2 6" xfId="1118"/>
    <cellStyle name="Normal 6 2 6 2" xfId="1119"/>
    <cellStyle name="Normal 6 2 6 2 2" xfId="8590"/>
    <cellStyle name="Normal 6 2 6 2 2 2" xfId="11203"/>
    <cellStyle name="Normal 6 2 6 2 2 2 2" xfId="25525"/>
    <cellStyle name="Normal 6 2 6 2 2 3" xfId="24277"/>
    <cellStyle name="Normal 6 2 6 2 3" xfId="9232"/>
    <cellStyle name="Normal 6 2 6 2 3 2" xfId="24903"/>
    <cellStyle name="Normal 6 2 6 2 4" xfId="3479"/>
    <cellStyle name="Normal 6 2 6 2 5" xfId="22117"/>
    <cellStyle name="Normal 6 2 6 3" xfId="8309"/>
    <cellStyle name="Normal 6 2 6 3 2" xfId="10922"/>
    <cellStyle name="Normal 6 2 6 3 2 2" xfId="25244"/>
    <cellStyle name="Normal 6 2 6 3 3" xfId="23996"/>
    <cellStyle name="Normal 6 2 6 4" xfId="8875"/>
    <cellStyle name="Normal 6 2 6 4 2" xfId="24562"/>
    <cellStyle name="Normal 6 2 6 5" xfId="3032"/>
    <cellStyle name="Normal 6 2 6 6" xfId="22116"/>
    <cellStyle name="Normal 6 2 7" xfId="1120"/>
    <cellStyle name="Normal 6 2 7 2" xfId="8422"/>
    <cellStyle name="Normal 6 2 7 2 2" xfId="11035"/>
    <cellStyle name="Normal 6 2 7 2 2 2" xfId="25357"/>
    <cellStyle name="Normal 6 2 7 2 3" xfId="24109"/>
    <cellStyle name="Normal 6 2 7 3" xfId="8992"/>
    <cellStyle name="Normal 6 2 7 3 2" xfId="24675"/>
    <cellStyle name="Normal 6 2 7 4" xfId="3166"/>
    <cellStyle name="Normal 6 2 7 5" xfId="22118"/>
    <cellStyle name="Normal 6 2 8" xfId="1121"/>
    <cellStyle name="Normal 6 2 8 2" xfId="8141"/>
    <cellStyle name="Normal 6 2 8 2 2" xfId="10754"/>
    <cellStyle name="Normal 6 2 8 2 2 2" xfId="25076"/>
    <cellStyle name="Normal 6 2 8 2 3" xfId="23828"/>
    <cellStyle name="Normal 6 2 8 3" xfId="9063"/>
    <cellStyle name="Normal 6 2 8 3 2" xfId="24735"/>
    <cellStyle name="Normal 6 2 8 4" xfId="3303"/>
    <cellStyle name="Normal 6 2 8 5" xfId="22119"/>
    <cellStyle name="Normal 6 2 9" xfId="8081"/>
    <cellStyle name="Normal 6 2 9 2" xfId="10694"/>
    <cellStyle name="Normal 6 2 9 2 2" xfId="25016"/>
    <cellStyle name="Normal 6 2 9 3" xfId="23768"/>
    <cellStyle name="Normal 6 3" xfId="1122"/>
    <cellStyle name="Normal 6 3 10" xfId="2856"/>
    <cellStyle name="Normal 6 3 11" xfId="22120"/>
    <cellStyle name="Normal 6 3 2" xfId="1123"/>
    <cellStyle name="Normal 6 3 2 10" xfId="22121"/>
    <cellStyle name="Normal 6 3 2 2" xfId="1124"/>
    <cellStyle name="Normal 6 3 2 2 2" xfId="1125"/>
    <cellStyle name="Normal 6 3 2 2 2 2" xfId="1126"/>
    <cellStyle name="Normal 6 3 2 2 2 2 2" xfId="8683"/>
    <cellStyle name="Normal 6 3 2 2 2 2 2 2" xfId="11296"/>
    <cellStyle name="Normal 6 3 2 2 2 2 2 2 2" xfId="25618"/>
    <cellStyle name="Normal 6 3 2 2 2 2 2 3" xfId="24370"/>
    <cellStyle name="Normal 6 3 2 2 2 2 3" xfId="9325"/>
    <cellStyle name="Normal 6 3 2 2 2 2 3 2" xfId="24996"/>
    <cellStyle name="Normal 6 3 2 2 2 2 4" xfId="3573"/>
    <cellStyle name="Normal 6 3 2 2 2 2 5" xfId="22124"/>
    <cellStyle name="Normal 6 3 2 2 2 3" xfId="8402"/>
    <cellStyle name="Normal 6 3 2 2 2 3 2" xfId="11015"/>
    <cellStyle name="Normal 6 3 2 2 2 3 2 2" xfId="25337"/>
    <cellStyle name="Normal 6 3 2 2 2 3 3" xfId="24089"/>
    <cellStyle name="Normal 6 3 2 2 2 4" xfId="8968"/>
    <cellStyle name="Normal 6 3 2 2 2 4 2" xfId="24655"/>
    <cellStyle name="Normal 6 3 2 2 2 5" xfId="3125"/>
    <cellStyle name="Normal 6 3 2 2 2 6" xfId="22123"/>
    <cellStyle name="Normal 6 3 2 2 3" xfId="1127"/>
    <cellStyle name="Normal 6 3 2 2 3 2" xfId="8515"/>
    <cellStyle name="Normal 6 3 2 2 3 2 2" xfId="11128"/>
    <cellStyle name="Normal 6 3 2 2 3 2 2 2" xfId="25450"/>
    <cellStyle name="Normal 6 3 2 2 3 2 3" xfId="24202"/>
    <cellStyle name="Normal 6 3 2 2 3 3" xfId="9156"/>
    <cellStyle name="Normal 6 3 2 2 3 3 2" xfId="24828"/>
    <cellStyle name="Normal 6 3 2 2 3 4" xfId="3396"/>
    <cellStyle name="Normal 6 3 2 2 3 5" xfId="22125"/>
    <cellStyle name="Normal 6 3 2 2 4" xfId="8234"/>
    <cellStyle name="Normal 6 3 2 2 4 2" xfId="10847"/>
    <cellStyle name="Normal 6 3 2 2 4 2 2" xfId="25169"/>
    <cellStyle name="Normal 6 3 2 2 4 3" xfId="23921"/>
    <cellStyle name="Normal 6 3 2 2 5" xfId="8800"/>
    <cellStyle name="Normal 6 3 2 2 5 2" xfId="24487"/>
    <cellStyle name="Normal 6 3 2 2 6" xfId="2947"/>
    <cellStyle name="Normal 6 3 2 2 7" xfId="22122"/>
    <cellStyle name="Normal 6 3 2 3" xfId="1128"/>
    <cellStyle name="Normal 6 3 2 3 2" xfId="1129"/>
    <cellStyle name="Normal 6 3 2 3 2 2" xfId="8571"/>
    <cellStyle name="Normal 6 3 2 3 2 2 2" xfId="11184"/>
    <cellStyle name="Normal 6 3 2 3 2 2 2 2" xfId="25506"/>
    <cellStyle name="Normal 6 3 2 3 2 2 3" xfId="24258"/>
    <cellStyle name="Normal 6 3 2 3 2 3" xfId="9212"/>
    <cellStyle name="Normal 6 3 2 3 2 3 2" xfId="24884"/>
    <cellStyle name="Normal 6 3 2 3 2 4" xfId="3452"/>
    <cellStyle name="Normal 6 3 2 3 2 5" xfId="22127"/>
    <cellStyle name="Normal 6 3 2 3 3" xfId="8290"/>
    <cellStyle name="Normal 6 3 2 3 3 2" xfId="10903"/>
    <cellStyle name="Normal 6 3 2 3 3 2 2" xfId="25225"/>
    <cellStyle name="Normal 6 3 2 3 3 3" xfId="23977"/>
    <cellStyle name="Normal 6 3 2 3 4" xfId="8856"/>
    <cellStyle name="Normal 6 3 2 3 4 2" xfId="24543"/>
    <cellStyle name="Normal 6 3 2 3 5" xfId="3003"/>
    <cellStyle name="Normal 6 3 2 3 6" xfId="22126"/>
    <cellStyle name="Normal 6 3 2 4" xfId="1130"/>
    <cellStyle name="Normal 6 3 2 4 2" xfId="1131"/>
    <cellStyle name="Normal 6 3 2 4 2 2" xfId="8626"/>
    <cellStyle name="Normal 6 3 2 4 2 2 2" xfId="11239"/>
    <cellStyle name="Normal 6 3 2 4 2 2 2 2" xfId="25561"/>
    <cellStyle name="Normal 6 3 2 4 2 2 3" xfId="24313"/>
    <cellStyle name="Normal 6 3 2 4 2 3" xfId="9268"/>
    <cellStyle name="Normal 6 3 2 4 2 3 2" xfId="24939"/>
    <cellStyle name="Normal 6 3 2 4 2 4" xfId="3516"/>
    <cellStyle name="Normal 6 3 2 4 2 5" xfId="22129"/>
    <cellStyle name="Normal 6 3 2 4 3" xfId="8345"/>
    <cellStyle name="Normal 6 3 2 4 3 2" xfId="10958"/>
    <cellStyle name="Normal 6 3 2 4 3 2 2" xfId="25280"/>
    <cellStyle name="Normal 6 3 2 4 3 3" xfId="24032"/>
    <cellStyle name="Normal 6 3 2 4 4" xfId="8911"/>
    <cellStyle name="Normal 6 3 2 4 4 2" xfId="24598"/>
    <cellStyle name="Normal 6 3 2 4 5" xfId="3068"/>
    <cellStyle name="Normal 6 3 2 4 6" xfId="22128"/>
    <cellStyle name="Normal 6 3 2 5" xfId="1132"/>
    <cellStyle name="Normal 6 3 2 5 2" xfId="8463"/>
    <cellStyle name="Normal 6 3 2 5 2 2" xfId="11076"/>
    <cellStyle name="Normal 6 3 2 5 2 2 2" xfId="25398"/>
    <cellStyle name="Normal 6 3 2 5 2 3" xfId="24150"/>
    <cellStyle name="Normal 6 3 2 5 3" xfId="9035"/>
    <cellStyle name="Normal 6 3 2 5 3 2" xfId="24716"/>
    <cellStyle name="Normal 6 3 2 5 4" xfId="3227"/>
    <cellStyle name="Normal 6 3 2 5 5" xfId="22130"/>
    <cellStyle name="Normal 6 3 2 6" xfId="1133"/>
    <cellStyle name="Normal 6 3 2 6 2" xfId="8177"/>
    <cellStyle name="Normal 6 3 2 6 2 2" xfId="10790"/>
    <cellStyle name="Normal 6 3 2 6 2 2 2" xfId="25112"/>
    <cellStyle name="Normal 6 3 2 6 2 3" xfId="23864"/>
    <cellStyle name="Normal 6 3 2 6 3" xfId="9099"/>
    <cellStyle name="Normal 6 3 2 6 3 2" xfId="24771"/>
    <cellStyle name="Normal 6 3 2 6 4" xfId="3339"/>
    <cellStyle name="Normal 6 3 2 6 5" xfId="22131"/>
    <cellStyle name="Normal 6 3 2 7" xfId="8122"/>
    <cellStyle name="Normal 6 3 2 7 2" xfId="10735"/>
    <cellStyle name="Normal 6 3 2 7 2 2" xfId="25057"/>
    <cellStyle name="Normal 6 3 2 7 3" xfId="23809"/>
    <cellStyle name="Normal 6 3 2 8" xfId="8743"/>
    <cellStyle name="Normal 6 3 2 8 2" xfId="24430"/>
    <cellStyle name="Normal 6 3 2 9" xfId="2890"/>
    <cellStyle name="Normal 6 3 3" xfId="1134"/>
    <cellStyle name="Normal 6 3 3 2" xfId="1135"/>
    <cellStyle name="Normal 6 3 3 2 2" xfId="1136"/>
    <cellStyle name="Normal 6 3 3 2 2 2" xfId="8657"/>
    <cellStyle name="Normal 6 3 3 2 2 2 2" xfId="11270"/>
    <cellStyle name="Normal 6 3 3 2 2 2 2 2" xfId="25592"/>
    <cellStyle name="Normal 6 3 3 2 2 2 3" xfId="24344"/>
    <cellStyle name="Normal 6 3 3 2 2 3" xfId="9299"/>
    <cellStyle name="Normal 6 3 3 2 2 3 2" xfId="24970"/>
    <cellStyle name="Normal 6 3 3 2 2 4" xfId="3547"/>
    <cellStyle name="Normal 6 3 3 2 2 5" xfId="22134"/>
    <cellStyle name="Normal 6 3 3 2 3" xfId="8376"/>
    <cellStyle name="Normal 6 3 3 2 3 2" xfId="10989"/>
    <cellStyle name="Normal 6 3 3 2 3 2 2" xfId="25311"/>
    <cellStyle name="Normal 6 3 3 2 3 3" xfId="24063"/>
    <cellStyle name="Normal 6 3 3 2 4" xfId="8942"/>
    <cellStyle name="Normal 6 3 3 2 4 2" xfId="24629"/>
    <cellStyle name="Normal 6 3 3 2 5" xfId="3099"/>
    <cellStyle name="Normal 6 3 3 2 6" xfId="22133"/>
    <cellStyle name="Normal 6 3 3 3" xfId="1137"/>
    <cellStyle name="Normal 6 3 3 3 2" xfId="8490"/>
    <cellStyle name="Normal 6 3 3 3 2 2" xfId="11103"/>
    <cellStyle name="Normal 6 3 3 3 2 2 2" xfId="25425"/>
    <cellStyle name="Normal 6 3 3 3 2 3" xfId="24177"/>
    <cellStyle name="Normal 6 3 3 3 3" xfId="9130"/>
    <cellStyle name="Normal 6 3 3 3 3 2" xfId="24802"/>
    <cellStyle name="Normal 6 3 3 3 4" xfId="3370"/>
    <cellStyle name="Normal 6 3 3 3 5" xfId="22135"/>
    <cellStyle name="Normal 6 3 3 4" xfId="8208"/>
    <cellStyle name="Normal 6 3 3 4 2" xfId="10821"/>
    <cellStyle name="Normal 6 3 3 4 2 2" xfId="25143"/>
    <cellStyle name="Normal 6 3 3 4 3" xfId="23895"/>
    <cellStyle name="Normal 6 3 3 5" xfId="8774"/>
    <cellStyle name="Normal 6 3 3 5 2" xfId="24461"/>
    <cellStyle name="Normal 6 3 3 6" xfId="2921"/>
    <cellStyle name="Normal 6 3 3 7" xfId="22132"/>
    <cellStyle name="Normal 6 3 4" xfId="1138"/>
    <cellStyle name="Normal 6 3 4 2" xfId="1139"/>
    <cellStyle name="Normal 6 3 4 2 2" xfId="8545"/>
    <cellStyle name="Normal 6 3 4 2 2 2" xfId="11158"/>
    <cellStyle name="Normal 6 3 4 2 2 2 2" xfId="25480"/>
    <cellStyle name="Normal 6 3 4 2 2 3" xfId="24232"/>
    <cellStyle name="Normal 6 3 4 2 3" xfId="9186"/>
    <cellStyle name="Normal 6 3 4 2 3 2" xfId="24858"/>
    <cellStyle name="Normal 6 3 4 2 4" xfId="3426"/>
    <cellStyle name="Normal 6 3 4 2 5" xfId="22137"/>
    <cellStyle name="Normal 6 3 4 3" xfId="8264"/>
    <cellStyle name="Normal 6 3 4 3 2" xfId="10877"/>
    <cellStyle name="Normal 6 3 4 3 2 2" xfId="25199"/>
    <cellStyle name="Normal 6 3 4 3 3" xfId="23951"/>
    <cellStyle name="Normal 6 3 4 4" xfId="8830"/>
    <cellStyle name="Normal 6 3 4 4 2" xfId="24517"/>
    <cellStyle name="Normal 6 3 4 5" xfId="2977"/>
    <cellStyle name="Normal 6 3 4 6" xfId="22136"/>
    <cellStyle name="Normal 6 3 5" xfId="1140"/>
    <cellStyle name="Normal 6 3 5 2" xfId="1141"/>
    <cellStyle name="Normal 6 3 5 2 2" xfId="8595"/>
    <cellStyle name="Normal 6 3 5 2 2 2" xfId="11208"/>
    <cellStyle name="Normal 6 3 5 2 2 2 2" xfId="25530"/>
    <cellStyle name="Normal 6 3 5 2 2 3" xfId="24282"/>
    <cellStyle name="Normal 6 3 5 2 3" xfId="9237"/>
    <cellStyle name="Normal 6 3 5 2 3 2" xfId="24908"/>
    <cellStyle name="Normal 6 3 5 2 4" xfId="3484"/>
    <cellStyle name="Normal 6 3 5 2 5" xfId="22139"/>
    <cellStyle name="Normal 6 3 5 3" xfId="8314"/>
    <cellStyle name="Normal 6 3 5 3 2" xfId="10927"/>
    <cellStyle name="Normal 6 3 5 3 2 2" xfId="25249"/>
    <cellStyle name="Normal 6 3 5 3 3" xfId="24001"/>
    <cellStyle name="Normal 6 3 5 4" xfId="8880"/>
    <cellStyle name="Normal 6 3 5 4 2" xfId="24567"/>
    <cellStyle name="Normal 6 3 5 5" xfId="3037"/>
    <cellStyle name="Normal 6 3 5 6" xfId="22138"/>
    <cellStyle name="Normal 6 3 6" xfId="1142"/>
    <cellStyle name="Normal 6 3 6 2" xfId="8428"/>
    <cellStyle name="Normal 6 3 6 2 2" xfId="11041"/>
    <cellStyle name="Normal 6 3 6 2 2 2" xfId="25363"/>
    <cellStyle name="Normal 6 3 6 2 3" xfId="24115"/>
    <cellStyle name="Normal 6 3 6 3" xfId="8998"/>
    <cellStyle name="Normal 6 3 6 3 2" xfId="24681"/>
    <cellStyle name="Normal 6 3 6 4" xfId="3172"/>
    <cellStyle name="Normal 6 3 6 5" xfId="22140"/>
    <cellStyle name="Normal 6 3 7" xfId="1143"/>
    <cellStyle name="Normal 6 3 7 2" xfId="8146"/>
    <cellStyle name="Normal 6 3 7 2 2" xfId="10759"/>
    <cellStyle name="Normal 6 3 7 2 2 2" xfId="25081"/>
    <cellStyle name="Normal 6 3 7 2 3" xfId="23833"/>
    <cellStyle name="Normal 6 3 7 3" xfId="9068"/>
    <cellStyle name="Normal 6 3 7 3 2" xfId="24740"/>
    <cellStyle name="Normal 6 3 7 4" xfId="3308"/>
    <cellStyle name="Normal 6 3 7 5" xfId="22141"/>
    <cellStyle name="Normal 6 3 8" xfId="8087"/>
    <cellStyle name="Normal 6 3 8 2" xfId="10700"/>
    <cellStyle name="Normal 6 3 8 2 2" xfId="25022"/>
    <cellStyle name="Normal 6 3 8 3" xfId="23774"/>
    <cellStyle name="Normal 6 3 9" xfId="8712"/>
    <cellStyle name="Normal 6 3 9 2" xfId="24399"/>
    <cellStyle name="Normal 6 4" xfId="1144"/>
    <cellStyle name="Normal 6 4 10" xfId="2861"/>
    <cellStyle name="Normal 6 4 11" xfId="22142"/>
    <cellStyle name="Normal 6 4 2" xfId="1145"/>
    <cellStyle name="Normal 6 4 2 10" xfId="22143"/>
    <cellStyle name="Normal 6 4 2 2" xfId="1146"/>
    <cellStyle name="Normal 6 4 2 2 2" xfId="1147"/>
    <cellStyle name="Normal 6 4 2 2 2 2" xfId="1148"/>
    <cellStyle name="Normal 6 4 2 2 2 2 2" xfId="8688"/>
    <cellStyle name="Normal 6 4 2 2 2 2 2 2" xfId="11301"/>
    <cellStyle name="Normal 6 4 2 2 2 2 2 2 2" xfId="25623"/>
    <cellStyle name="Normal 6 4 2 2 2 2 2 3" xfId="24375"/>
    <cellStyle name="Normal 6 4 2 2 2 2 3" xfId="9330"/>
    <cellStyle name="Normal 6 4 2 2 2 2 3 2" xfId="25001"/>
    <cellStyle name="Normal 6 4 2 2 2 2 4" xfId="3578"/>
    <cellStyle name="Normal 6 4 2 2 2 2 5" xfId="22146"/>
    <cellStyle name="Normal 6 4 2 2 2 3" xfId="8407"/>
    <cellStyle name="Normal 6 4 2 2 2 3 2" xfId="11020"/>
    <cellStyle name="Normal 6 4 2 2 2 3 2 2" xfId="25342"/>
    <cellStyle name="Normal 6 4 2 2 2 3 3" xfId="24094"/>
    <cellStyle name="Normal 6 4 2 2 2 4" xfId="8973"/>
    <cellStyle name="Normal 6 4 2 2 2 4 2" xfId="24660"/>
    <cellStyle name="Normal 6 4 2 2 2 5" xfId="3130"/>
    <cellStyle name="Normal 6 4 2 2 2 6" xfId="22145"/>
    <cellStyle name="Normal 6 4 2 2 3" xfId="1149"/>
    <cellStyle name="Normal 6 4 2 2 3 2" xfId="8520"/>
    <cellStyle name="Normal 6 4 2 2 3 2 2" xfId="11133"/>
    <cellStyle name="Normal 6 4 2 2 3 2 2 2" xfId="25455"/>
    <cellStyle name="Normal 6 4 2 2 3 2 3" xfId="24207"/>
    <cellStyle name="Normal 6 4 2 2 3 3" xfId="9161"/>
    <cellStyle name="Normal 6 4 2 2 3 3 2" xfId="24833"/>
    <cellStyle name="Normal 6 4 2 2 3 4" xfId="3401"/>
    <cellStyle name="Normal 6 4 2 2 3 5" xfId="22147"/>
    <cellStyle name="Normal 6 4 2 2 4" xfId="8239"/>
    <cellStyle name="Normal 6 4 2 2 4 2" xfId="10852"/>
    <cellStyle name="Normal 6 4 2 2 4 2 2" xfId="25174"/>
    <cellStyle name="Normal 6 4 2 2 4 3" xfId="23926"/>
    <cellStyle name="Normal 6 4 2 2 5" xfId="8805"/>
    <cellStyle name="Normal 6 4 2 2 5 2" xfId="24492"/>
    <cellStyle name="Normal 6 4 2 2 6" xfId="2952"/>
    <cellStyle name="Normal 6 4 2 2 7" xfId="22144"/>
    <cellStyle name="Normal 6 4 2 3" xfId="1150"/>
    <cellStyle name="Normal 6 4 2 3 2" xfId="1151"/>
    <cellStyle name="Normal 6 4 2 3 2 2" xfId="8576"/>
    <cellStyle name="Normal 6 4 2 3 2 2 2" xfId="11189"/>
    <cellStyle name="Normal 6 4 2 3 2 2 2 2" xfId="25511"/>
    <cellStyle name="Normal 6 4 2 3 2 2 3" xfId="24263"/>
    <cellStyle name="Normal 6 4 2 3 2 3" xfId="9217"/>
    <cellStyle name="Normal 6 4 2 3 2 3 2" xfId="24889"/>
    <cellStyle name="Normal 6 4 2 3 2 4" xfId="3457"/>
    <cellStyle name="Normal 6 4 2 3 2 5" xfId="22149"/>
    <cellStyle name="Normal 6 4 2 3 3" xfId="8295"/>
    <cellStyle name="Normal 6 4 2 3 3 2" xfId="10908"/>
    <cellStyle name="Normal 6 4 2 3 3 2 2" xfId="25230"/>
    <cellStyle name="Normal 6 4 2 3 3 3" xfId="23982"/>
    <cellStyle name="Normal 6 4 2 3 4" xfId="8861"/>
    <cellStyle name="Normal 6 4 2 3 4 2" xfId="24548"/>
    <cellStyle name="Normal 6 4 2 3 5" xfId="3008"/>
    <cellStyle name="Normal 6 4 2 3 6" xfId="22148"/>
    <cellStyle name="Normal 6 4 2 4" xfId="1152"/>
    <cellStyle name="Normal 6 4 2 4 2" xfId="1153"/>
    <cellStyle name="Normal 6 4 2 4 2 2" xfId="8631"/>
    <cellStyle name="Normal 6 4 2 4 2 2 2" xfId="11244"/>
    <cellStyle name="Normal 6 4 2 4 2 2 2 2" xfId="25566"/>
    <cellStyle name="Normal 6 4 2 4 2 2 3" xfId="24318"/>
    <cellStyle name="Normal 6 4 2 4 2 3" xfId="9273"/>
    <cellStyle name="Normal 6 4 2 4 2 3 2" xfId="24944"/>
    <cellStyle name="Normal 6 4 2 4 2 4" xfId="3521"/>
    <cellStyle name="Normal 6 4 2 4 2 5" xfId="22151"/>
    <cellStyle name="Normal 6 4 2 4 3" xfId="8350"/>
    <cellStyle name="Normal 6 4 2 4 3 2" xfId="10963"/>
    <cellStyle name="Normal 6 4 2 4 3 2 2" xfId="25285"/>
    <cellStyle name="Normal 6 4 2 4 3 3" xfId="24037"/>
    <cellStyle name="Normal 6 4 2 4 4" xfId="8916"/>
    <cellStyle name="Normal 6 4 2 4 4 2" xfId="24603"/>
    <cellStyle name="Normal 6 4 2 4 5" xfId="3073"/>
    <cellStyle name="Normal 6 4 2 4 6" xfId="22150"/>
    <cellStyle name="Normal 6 4 2 5" xfId="1154"/>
    <cellStyle name="Normal 6 4 2 5 2" xfId="8468"/>
    <cellStyle name="Normal 6 4 2 5 2 2" xfId="11081"/>
    <cellStyle name="Normal 6 4 2 5 2 2 2" xfId="25403"/>
    <cellStyle name="Normal 6 4 2 5 2 3" xfId="24155"/>
    <cellStyle name="Normal 6 4 2 5 3" xfId="9040"/>
    <cellStyle name="Normal 6 4 2 5 3 2" xfId="24721"/>
    <cellStyle name="Normal 6 4 2 5 4" xfId="3232"/>
    <cellStyle name="Normal 6 4 2 5 5" xfId="22152"/>
    <cellStyle name="Normal 6 4 2 6" xfId="1155"/>
    <cellStyle name="Normal 6 4 2 6 2" xfId="8182"/>
    <cellStyle name="Normal 6 4 2 6 2 2" xfId="10795"/>
    <cellStyle name="Normal 6 4 2 6 2 2 2" xfId="25117"/>
    <cellStyle name="Normal 6 4 2 6 2 3" xfId="23869"/>
    <cellStyle name="Normal 6 4 2 6 3" xfId="9104"/>
    <cellStyle name="Normal 6 4 2 6 3 2" xfId="24776"/>
    <cellStyle name="Normal 6 4 2 6 4" xfId="3344"/>
    <cellStyle name="Normal 6 4 2 6 5" xfId="22153"/>
    <cellStyle name="Normal 6 4 2 7" xfId="8127"/>
    <cellStyle name="Normal 6 4 2 7 2" xfId="10740"/>
    <cellStyle name="Normal 6 4 2 7 2 2" xfId="25062"/>
    <cellStyle name="Normal 6 4 2 7 3" xfId="23814"/>
    <cellStyle name="Normal 6 4 2 8" xfId="8748"/>
    <cellStyle name="Normal 6 4 2 8 2" xfId="24435"/>
    <cellStyle name="Normal 6 4 2 9" xfId="2895"/>
    <cellStyle name="Normal 6 4 3" xfId="1156"/>
    <cellStyle name="Normal 6 4 3 2" xfId="1157"/>
    <cellStyle name="Normal 6 4 3 2 2" xfId="1158"/>
    <cellStyle name="Normal 6 4 3 2 2 2" xfId="8662"/>
    <cellStyle name="Normal 6 4 3 2 2 2 2" xfId="11275"/>
    <cellStyle name="Normal 6 4 3 2 2 2 2 2" xfId="25597"/>
    <cellStyle name="Normal 6 4 3 2 2 2 3" xfId="24349"/>
    <cellStyle name="Normal 6 4 3 2 2 3" xfId="9304"/>
    <cellStyle name="Normal 6 4 3 2 2 3 2" xfId="24975"/>
    <cellStyle name="Normal 6 4 3 2 2 4" xfId="3552"/>
    <cellStyle name="Normal 6 4 3 2 2 5" xfId="22156"/>
    <cellStyle name="Normal 6 4 3 2 3" xfId="8381"/>
    <cellStyle name="Normal 6 4 3 2 3 2" xfId="10994"/>
    <cellStyle name="Normal 6 4 3 2 3 2 2" xfId="25316"/>
    <cellStyle name="Normal 6 4 3 2 3 3" xfId="24068"/>
    <cellStyle name="Normal 6 4 3 2 4" xfId="8947"/>
    <cellStyle name="Normal 6 4 3 2 4 2" xfId="24634"/>
    <cellStyle name="Normal 6 4 3 2 5" xfId="3104"/>
    <cellStyle name="Normal 6 4 3 2 6" xfId="22155"/>
    <cellStyle name="Normal 6 4 3 3" xfId="1159"/>
    <cellStyle name="Normal 6 4 3 3 2" xfId="8494"/>
    <cellStyle name="Normal 6 4 3 3 2 2" xfId="11107"/>
    <cellStyle name="Normal 6 4 3 3 2 2 2" xfId="25429"/>
    <cellStyle name="Normal 6 4 3 3 2 3" xfId="24181"/>
    <cellStyle name="Normal 6 4 3 3 3" xfId="9135"/>
    <cellStyle name="Normal 6 4 3 3 3 2" xfId="24807"/>
    <cellStyle name="Normal 6 4 3 3 4" xfId="3375"/>
    <cellStyle name="Normal 6 4 3 3 5" xfId="22157"/>
    <cellStyle name="Normal 6 4 3 4" xfId="8213"/>
    <cellStyle name="Normal 6 4 3 4 2" xfId="10826"/>
    <cellStyle name="Normal 6 4 3 4 2 2" xfId="25148"/>
    <cellStyle name="Normal 6 4 3 4 3" xfId="23900"/>
    <cellStyle name="Normal 6 4 3 5" xfId="8779"/>
    <cellStyle name="Normal 6 4 3 5 2" xfId="24466"/>
    <cellStyle name="Normal 6 4 3 6" xfId="2926"/>
    <cellStyle name="Normal 6 4 3 7" xfId="22154"/>
    <cellStyle name="Normal 6 4 4" xfId="1160"/>
    <cellStyle name="Normal 6 4 4 2" xfId="1161"/>
    <cellStyle name="Normal 6 4 4 2 2" xfId="8550"/>
    <cellStyle name="Normal 6 4 4 2 2 2" xfId="11163"/>
    <cellStyle name="Normal 6 4 4 2 2 2 2" xfId="25485"/>
    <cellStyle name="Normal 6 4 4 2 2 3" xfId="24237"/>
    <cellStyle name="Normal 6 4 4 2 3" xfId="9191"/>
    <cellStyle name="Normal 6 4 4 2 3 2" xfId="24863"/>
    <cellStyle name="Normal 6 4 4 2 4" xfId="3431"/>
    <cellStyle name="Normal 6 4 4 2 5" xfId="22159"/>
    <cellStyle name="Normal 6 4 4 3" xfId="8269"/>
    <cellStyle name="Normal 6 4 4 3 2" xfId="10882"/>
    <cellStyle name="Normal 6 4 4 3 2 2" xfId="25204"/>
    <cellStyle name="Normal 6 4 4 3 3" xfId="23956"/>
    <cellStyle name="Normal 6 4 4 4" xfId="8835"/>
    <cellStyle name="Normal 6 4 4 4 2" xfId="24522"/>
    <cellStyle name="Normal 6 4 4 5" xfId="2982"/>
    <cellStyle name="Normal 6 4 4 6" xfId="22158"/>
    <cellStyle name="Normal 6 4 5" xfId="1162"/>
    <cellStyle name="Normal 6 4 5 2" xfId="1163"/>
    <cellStyle name="Normal 6 4 5 2 2" xfId="8600"/>
    <cellStyle name="Normal 6 4 5 2 2 2" xfId="11213"/>
    <cellStyle name="Normal 6 4 5 2 2 2 2" xfId="25535"/>
    <cellStyle name="Normal 6 4 5 2 2 3" xfId="24287"/>
    <cellStyle name="Normal 6 4 5 2 3" xfId="9242"/>
    <cellStyle name="Normal 6 4 5 2 3 2" xfId="24913"/>
    <cellStyle name="Normal 6 4 5 2 4" xfId="3489"/>
    <cellStyle name="Normal 6 4 5 2 5" xfId="22161"/>
    <cellStyle name="Normal 6 4 5 3" xfId="8319"/>
    <cellStyle name="Normal 6 4 5 3 2" xfId="10932"/>
    <cellStyle name="Normal 6 4 5 3 2 2" xfId="25254"/>
    <cellStyle name="Normal 6 4 5 3 3" xfId="24006"/>
    <cellStyle name="Normal 6 4 5 4" xfId="8885"/>
    <cellStyle name="Normal 6 4 5 4 2" xfId="24572"/>
    <cellStyle name="Normal 6 4 5 5" xfId="3042"/>
    <cellStyle name="Normal 6 4 5 6" xfId="22160"/>
    <cellStyle name="Normal 6 4 6" xfId="1164"/>
    <cellStyle name="Normal 6 4 6 2" xfId="8444"/>
    <cellStyle name="Normal 6 4 6 2 2" xfId="11057"/>
    <cellStyle name="Normal 6 4 6 2 2 2" xfId="25379"/>
    <cellStyle name="Normal 6 4 6 2 3" xfId="24131"/>
    <cellStyle name="Normal 6 4 6 3" xfId="9016"/>
    <cellStyle name="Normal 6 4 6 3 2" xfId="24697"/>
    <cellStyle name="Normal 6 4 6 4" xfId="3207"/>
    <cellStyle name="Normal 6 4 6 5" xfId="22162"/>
    <cellStyle name="Normal 6 4 7" xfId="1165"/>
    <cellStyle name="Normal 6 4 7 2" xfId="8151"/>
    <cellStyle name="Normal 6 4 7 2 2" xfId="10764"/>
    <cellStyle name="Normal 6 4 7 2 2 2" xfId="25086"/>
    <cellStyle name="Normal 6 4 7 2 3" xfId="23838"/>
    <cellStyle name="Normal 6 4 7 3" xfId="9073"/>
    <cellStyle name="Normal 6 4 7 3 2" xfId="24745"/>
    <cellStyle name="Normal 6 4 7 4" xfId="3313"/>
    <cellStyle name="Normal 6 4 7 5" xfId="22163"/>
    <cellStyle name="Normal 6 4 8" xfId="8103"/>
    <cellStyle name="Normal 6 4 8 2" xfId="10716"/>
    <cellStyle name="Normal 6 4 8 2 2" xfId="25038"/>
    <cellStyle name="Normal 6 4 8 3" xfId="23790"/>
    <cellStyle name="Normal 6 4 9" xfId="8717"/>
    <cellStyle name="Normal 6 4 9 2" xfId="24404"/>
    <cellStyle name="Normal 6 5" xfId="1166"/>
    <cellStyle name="Normal 6 5 10" xfId="22164"/>
    <cellStyle name="Normal 6 5 2" xfId="1167"/>
    <cellStyle name="Normal 6 5 2 2" xfId="1168"/>
    <cellStyle name="Normal 6 5 2 2 2" xfId="1169"/>
    <cellStyle name="Normal 6 5 2 2 2 2" xfId="8673"/>
    <cellStyle name="Normal 6 5 2 2 2 2 2" xfId="11286"/>
    <cellStyle name="Normal 6 5 2 2 2 2 2 2" xfId="25608"/>
    <cellStyle name="Normal 6 5 2 2 2 2 3" xfId="24360"/>
    <cellStyle name="Normal 6 5 2 2 2 3" xfId="9315"/>
    <cellStyle name="Normal 6 5 2 2 2 3 2" xfId="24986"/>
    <cellStyle name="Normal 6 5 2 2 2 4" xfId="3563"/>
    <cellStyle name="Normal 6 5 2 2 2 5" xfId="22167"/>
    <cellStyle name="Normal 6 5 2 2 3" xfId="8392"/>
    <cellStyle name="Normal 6 5 2 2 3 2" xfId="11005"/>
    <cellStyle name="Normal 6 5 2 2 3 2 2" xfId="25327"/>
    <cellStyle name="Normal 6 5 2 2 3 3" xfId="24079"/>
    <cellStyle name="Normal 6 5 2 2 4" xfId="8958"/>
    <cellStyle name="Normal 6 5 2 2 4 2" xfId="24645"/>
    <cellStyle name="Normal 6 5 2 2 5" xfId="3115"/>
    <cellStyle name="Normal 6 5 2 2 6" xfId="22166"/>
    <cellStyle name="Normal 6 5 2 3" xfId="1170"/>
    <cellStyle name="Normal 6 5 2 3 2" xfId="8505"/>
    <cellStyle name="Normal 6 5 2 3 2 2" xfId="11118"/>
    <cellStyle name="Normal 6 5 2 3 2 2 2" xfId="25440"/>
    <cellStyle name="Normal 6 5 2 3 2 3" xfId="24192"/>
    <cellStyle name="Normal 6 5 2 3 3" xfId="9146"/>
    <cellStyle name="Normal 6 5 2 3 3 2" xfId="24818"/>
    <cellStyle name="Normal 6 5 2 3 4" xfId="3386"/>
    <cellStyle name="Normal 6 5 2 3 5" xfId="22168"/>
    <cellStyle name="Normal 6 5 2 4" xfId="8224"/>
    <cellStyle name="Normal 6 5 2 4 2" xfId="10837"/>
    <cellStyle name="Normal 6 5 2 4 2 2" xfId="25159"/>
    <cellStyle name="Normal 6 5 2 4 3" xfId="23911"/>
    <cellStyle name="Normal 6 5 2 5" xfId="8790"/>
    <cellStyle name="Normal 6 5 2 5 2" xfId="24477"/>
    <cellStyle name="Normal 6 5 2 6" xfId="2937"/>
    <cellStyle name="Normal 6 5 2 7" xfId="22165"/>
    <cellStyle name="Normal 6 5 3" xfId="1171"/>
    <cellStyle name="Normal 6 5 3 2" xfId="1172"/>
    <cellStyle name="Normal 6 5 3 2 2" xfId="8561"/>
    <cellStyle name="Normal 6 5 3 2 2 2" xfId="11174"/>
    <cellStyle name="Normal 6 5 3 2 2 2 2" xfId="25496"/>
    <cellStyle name="Normal 6 5 3 2 2 3" xfId="24248"/>
    <cellStyle name="Normal 6 5 3 2 3" xfId="9202"/>
    <cellStyle name="Normal 6 5 3 2 3 2" xfId="24874"/>
    <cellStyle name="Normal 6 5 3 2 4" xfId="3442"/>
    <cellStyle name="Normal 6 5 3 2 5" xfId="22170"/>
    <cellStyle name="Normal 6 5 3 3" xfId="8280"/>
    <cellStyle name="Normal 6 5 3 3 2" xfId="10893"/>
    <cellStyle name="Normal 6 5 3 3 2 2" xfId="25215"/>
    <cellStyle name="Normal 6 5 3 3 3" xfId="23967"/>
    <cellStyle name="Normal 6 5 3 4" xfId="8846"/>
    <cellStyle name="Normal 6 5 3 4 2" xfId="24533"/>
    <cellStyle name="Normal 6 5 3 5" xfId="2993"/>
    <cellStyle name="Normal 6 5 3 6" xfId="22169"/>
    <cellStyle name="Normal 6 5 4" xfId="1173"/>
    <cellStyle name="Normal 6 5 4 2" xfId="1174"/>
    <cellStyle name="Normal 6 5 4 2 2" xfId="8611"/>
    <cellStyle name="Normal 6 5 4 2 2 2" xfId="11224"/>
    <cellStyle name="Normal 6 5 4 2 2 2 2" xfId="25546"/>
    <cellStyle name="Normal 6 5 4 2 2 3" xfId="24298"/>
    <cellStyle name="Normal 6 5 4 2 3" xfId="9253"/>
    <cellStyle name="Normal 6 5 4 2 3 2" xfId="24924"/>
    <cellStyle name="Normal 6 5 4 2 4" xfId="3500"/>
    <cellStyle name="Normal 6 5 4 2 5" xfId="22172"/>
    <cellStyle name="Normal 6 5 4 3" xfId="8330"/>
    <cellStyle name="Normal 6 5 4 3 2" xfId="10943"/>
    <cellStyle name="Normal 6 5 4 3 2 2" xfId="25265"/>
    <cellStyle name="Normal 6 5 4 3 3" xfId="24017"/>
    <cellStyle name="Normal 6 5 4 4" xfId="8896"/>
    <cellStyle name="Normal 6 5 4 4 2" xfId="24583"/>
    <cellStyle name="Normal 6 5 4 5" xfId="3053"/>
    <cellStyle name="Normal 6 5 4 6" xfId="22171"/>
    <cellStyle name="Normal 6 5 5" xfId="1175"/>
    <cellStyle name="Normal 6 5 5 2" xfId="8454"/>
    <cellStyle name="Normal 6 5 5 2 2" xfId="11067"/>
    <cellStyle name="Normal 6 5 5 2 2 2" xfId="25389"/>
    <cellStyle name="Normal 6 5 5 2 3" xfId="24141"/>
    <cellStyle name="Normal 6 5 5 3" xfId="9026"/>
    <cellStyle name="Normal 6 5 5 3 2" xfId="24707"/>
    <cellStyle name="Normal 6 5 5 4" xfId="3217"/>
    <cellStyle name="Normal 6 5 5 5" xfId="22173"/>
    <cellStyle name="Normal 6 5 6" xfId="1176"/>
    <cellStyle name="Normal 6 5 6 2" xfId="8162"/>
    <cellStyle name="Normal 6 5 6 2 2" xfId="10775"/>
    <cellStyle name="Normal 6 5 6 2 2 2" xfId="25097"/>
    <cellStyle name="Normal 6 5 6 2 3" xfId="23849"/>
    <cellStyle name="Normal 6 5 6 3" xfId="9084"/>
    <cellStyle name="Normal 6 5 6 3 2" xfId="24756"/>
    <cellStyle name="Normal 6 5 6 4" xfId="3324"/>
    <cellStyle name="Normal 6 5 6 5" xfId="22174"/>
    <cellStyle name="Normal 6 5 7" xfId="8113"/>
    <cellStyle name="Normal 6 5 7 2" xfId="10726"/>
    <cellStyle name="Normal 6 5 7 2 2" xfId="25048"/>
    <cellStyle name="Normal 6 5 7 3" xfId="23800"/>
    <cellStyle name="Normal 6 5 8" xfId="8728"/>
    <cellStyle name="Normal 6 5 8 2" xfId="24415"/>
    <cellStyle name="Normal 6 5 9" xfId="2873"/>
    <cellStyle name="Normal 6 6" xfId="1177"/>
    <cellStyle name="Normal 6 6 10" xfId="22175"/>
    <cellStyle name="Normal 6 6 2" xfId="1178"/>
    <cellStyle name="Normal 6 6 2 2" xfId="1179"/>
    <cellStyle name="Normal 6 6 2 2 2" xfId="1180"/>
    <cellStyle name="Normal 6 6 2 2 2 2" xfId="8648"/>
    <cellStyle name="Normal 6 6 2 2 2 2 2" xfId="11261"/>
    <cellStyle name="Normal 6 6 2 2 2 2 2 2" xfId="25583"/>
    <cellStyle name="Normal 6 6 2 2 2 2 3" xfId="24335"/>
    <cellStyle name="Normal 6 6 2 2 2 3" xfId="9290"/>
    <cellStyle name="Normal 6 6 2 2 2 3 2" xfId="24961"/>
    <cellStyle name="Normal 6 6 2 2 2 4" xfId="3538"/>
    <cellStyle name="Normal 6 6 2 2 2 5" xfId="22178"/>
    <cellStyle name="Normal 6 6 2 2 3" xfId="8367"/>
    <cellStyle name="Normal 6 6 2 2 3 2" xfId="10980"/>
    <cellStyle name="Normal 6 6 2 2 3 2 2" xfId="25302"/>
    <cellStyle name="Normal 6 6 2 2 3 3" xfId="24054"/>
    <cellStyle name="Normal 6 6 2 2 4" xfId="8933"/>
    <cellStyle name="Normal 6 6 2 2 4 2" xfId="24620"/>
    <cellStyle name="Normal 6 6 2 2 5" xfId="3090"/>
    <cellStyle name="Normal 6 6 2 2 6" xfId="22177"/>
    <cellStyle name="Normal 6 6 2 3" xfId="1181"/>
    <cellStyle name="Normal 6 6 2 3 2" xfId="8484"/>
    <cellStyle name="Normal 6 6 2 3 2 2" xfId="11097"/>
    <cellStyle name="Normal 6 6 2 3 2 2 2" xfId="25419"/>
    <cellStyle name="Normal 6 6 2 3 2 3" xfId="24171"/>
    <cellStyle name="Normal 6 6 2 3 3" xfId="9121"/>
    <cellStyle name="Normal 6 6 2 3 3 2" xfId="24793"/>
    <cellStyle name="Normal 6 6 2 3 4" xfId="3361"/>
    <cellStyle name="Normal 6 6 2 3 5" xfId="22179"/>
    <cellStyle name="Normal 6 6 2 4" xfId="8199"/>
    <cellStyle name="Normal 6 6 2 4 2" xfId="10812"/>
    <cellStyle name="Normal 6 6 2 4 2 2" xfId="25134"/>
    <cellStyle name="Normal 6 6 2 4 3" xfId="23886"/>
    <cellStyle name="Normal 6 6 2 5" xfId="8765"/>
    <cellStyle name="Normal 6 6 2 5 2" xfId="24452"/>
    <cellStyle name="Normal 6 6 2 6" xfId="2912"/>
    <cellStyle name="Normal 6 6 2 7" xfId="22176"/>
    <cellStyle name="Normal 6 6 3" xfId="1182"/>
    <cellStyle name="Normal 6 6 3 2" xfId="1183"/>
    <cellStyle name="Normal 6 6 3 2 2" xfId="8536"/>
    <cellStyle name="Normal 6 6 3 2 2 2" xfId="11149"/>
    <cellStyle name="Normal 6 6 3 2 2 2 2" xfId="25471"/>
    <cellStyle name="Normal 6 6 3 2 2 3" xfId="24223"/>
    <cellStyle name="Normal 6 6 3 2 3" xfId="9177"/>
    <cellStyle name="Normal 6 6 3 2 3 2" xfId="24849"/>
    <cellStyle name="Normal 6 6 3 2 4" xfId="3417"/>
    <cellStyle name="Normal 6 6 3 2 5" xfId="22181"/>
    <cellStyle name="Normal 6 6 3 3" xfId="8255"/>
    <cellStyle name="Normal 6 6 3 3 2" xfId="10868"/>
    <cellStyle name="Normal 6 6 3 3 2 2" xfId="25190"/>
    <cellStyle name="Normal 6 6 3 3 3" xfId="23942"/>
    <cellStyle name="Normal 6 6 3 4" xfId="8821"/>
    <cellStyle name="Normal 6 6 3 4 2" xfId="24508"/>
    <cellStyle name="Normal 6 6 3 5" xfId="2968"/>
    <cellStyle name="Normal 6 6 3 6" xfId="22180"/>
    <cellStyle name="Normal 6 6 4" xfId="1184"/>
    <cellStyle name="Normal 6 6 4 2" xfId="1185"/>
    <cellStyle name="Normal 6 6 4 2 2" xfId="8617"/>
    <cellStyle name="Normal 6 6 4 2 2 2" xfId="11230"/>
    <cellStyle name="Normal 6 6 4 2 2 2 2" xfId="25552"/>
    <cellStyle name="Normal 6 6 4 2 2 3" xfId="24304"/>
    <cellStyle name="Normal 6 6 4 2 3" xfId="9259"/>
    <cellStyle name="Normal 6 6 4 2 3 2" xfId="24930"/>
    <cellStyle name="Normal 6 6 4 2 4" xfId="3506"/>
    <cellStyle name="Normal 6 6 4 2 5" xfId="22183"/>
    <cellStyle name="Normal 6 6 4 3" xfId="8336"/>
    <cellStyle name="Normal 6 6 4 3 2" xfId="10949"/>
    <cellStyle name="Normal 6 6 4 3 2 2" xfId="25271"/>
    <cellStyle name="Normal 6 6 4 3 3" xfId="24023"/>
    <cellStyle name="Normal 6 6 4 4" xfId="8902"/>
    <cellStyle name="Normal 6 6 4 4 2" xfId="24589"/>
    <cellStyle name="Normal 6 6 4 5" xfId="3059"/>
    <cellStyle name="Normal 6 6 4 6" xfId="22182"/>
    <cellStyle name="Normal 6 6 5" xfId="1186"/>
    <cellStyle name="Normal 6 6 5 2" xfId="8434"/>
    <cellStyle name="Normal 6 6 5 2 2" xfId="11047"/>
    <cellStyle name="Normal 6 6 5 2 2 2" xfId="25369"/>
    <cellStyle name="Normal 6 6 5 2 3" xfId="24121"/>
    <cellStyle name="Normal 6 6 5 3" xfId="9004"/>
    <cellStyle name="Normal 6 6 5 3 2" xfId="24687"/>
    <cellStyle name="Normal 6 6 5 4" xfId="3179"/>
    <cellStyle name="Normal 6 6 5 5" xfId="22184"/>
    <cellStyle name="Normal 6 6 6" xfId="1187"/>
    <cellStyle name="Normal 6 6 6 2" xfId="8168"/>
    <cellStyle name="Normal 6 6 6 2 2" xfId="10781"/>
    <cellStyle name="Normal 6 6 6 2 2 2" xfId="25103"/>
    <cellStyle name="Normal 6 6 6 2 3" xfId="23855"/>
    <cellStyle name="Normal 6 6 6 3" xfId="9090"/>
    <cellStyle name="Normal 6 6 6 3 2" xfId="24762"/>
    <cellStyle name="Normal 6 6 6 4" xfId="3330"/>
    <cellStyle name="Normal 6 6 6 5" xfId="22185"/>
    <cellStyle name="Normal 6 6 7" xfId="8093"/>
    <cellStyle name="Normal 6 6 7 2" xfId="10706"/>
    <cellStyle name="Normal 6 6 7 2 2" xfId="25028"/>
    <cellStyle name="Normal 6 6 7 3" xfId="23780"/>
    <cellStyle name="Normal 6 6 8" xfId="8734"/>
    <cellStyle name="Normal 6 6 8 2" xfId="24421"/>
    <cellStyle name="Normal 6 6 9" xfId="2880"/>
    <cellStyle name="Normal 6 7" xfId="1188"/>
    <cellStyle name="Normal 6 7 2" xfId="1189"/>
    <cellStyle name="Normal 6 7 2 2" xfId="1190"/>
    <cellStyle name="Normal 6 7 2 2 2" xfId="8642"/>
    <cellStyle name="Normal 6 7 2 2 2 2" xfId="11255"/>
    <cellStyle name="Normal 6 7 2 2 2 2 2" xfId="25577"/>
    <cellStyle name="Normal 6 7 2 2 2 3" xfId="24329"/>
    <cellStyle name="Normal 6 7 2 2 3" xfId="9284"/>
    <cellStyle name="Normal 6 7 2 2 3 2" xfId="24955"/>
    <cellStyle name="Normal 6 7 2 2 4" xfId="3532"/>
    <cellStyle name="Normal 6 7 2 2 5" xfId="22188"/>
    <cellStyle name="Normal 6 7 2 3" xfId="8361"/>
    <cellStyle name="Normal 6 7 2 3 2" xfId="10974"/>
    <cellStyle name="Normal 6 7 2 3 2 2" xfId="25296"/>
    <cellStyle name="Normal 6 7 2 3 3" xfId="24048"/>
    <cellStyle name="Normal 6 7 2 4" xfId="8927"/>
    <cellStyle name="Normal 6 7 2 4 2" xfId="24614"/>
    <cellStyle name="Normal 6 7 2 5" xfId="3084"/>
    <cellStyle name="Normal 6 7 2 6" xfId="22187"/>
    <cellStyle name="Normal 6 7 3" xfId="1191"/>
    <cellStyle name="Normal 6 7 3 2" xfId="8478"/>
    <cellStyle name="Normal 6 7 3 2 2" xfId="11091"/>
    <cellStyle name="Normal 6 7 3 2 2 2" xfId="25413"/>
    <cellStyle name="Normal 6 7 3 2 3" xfId="24165"/>
    <cellStyle name="Normal 6 7 3 3" xfId="9115"/>
    <cellStyle name="Normal 6 7 3 3 2" xfId="24787"/>
    <cellStyle name="Normal 6 7 3 4" xfId="3355"/>
    <cellStyle name="Normal 6 7 3 5" xfId="22189"/>
    <cellStyle name="Normal 6 7 4" xfId="8193"/>
    <cellStyle name="Normal 6 7 4 2" xfId="10806"/>
    <cellStyle name="Normal 6 7 4 2 2" xfId="25128"/>
    <cellStyle name="Normal 6 7 4 3" xfId="23880"/>
    <cellStyle name="Normal 6 7 5" xfId="8759"/>
    <cellStyle name="Normal 6 7 5 2" xfId="24446"/>
    <cellStyle name="Normal 6 7 6" xfId="2906"/>
    <cellStyle name="Normal 6 7 7" xfId="22186"/>
    <cellStyle name="Normal 6 8" xfId="1192"/>
    <cellStyle name="Normal 6 8 2" xfId="1193"/>
    <cellStyle name="Normal 6 8 2 2" xfId="8530"/>
    <cellStyle name="Normal 6 8 2 2 2" xfId="11143"/>
    <cellStyle name="Normal 6 8 2 2 2 2" xfId="25465"/>
    <cellStyle name="Normal 6 8 2 2 3" xfId="24217"/>
    <cellStyle name="Normal 6 8 2 3" xfId="9171"/>
    <cellStyle name="Normal 6 8 2 3 2" xfId="24843"/>
    <cellStyle name="Normal 6 8 2 4" xfId="3411"/>
    <cellStyle name="Normal 6 8 2 5" xfId="22191"/>
    <cellStyle name="Normal 6 8 3" xfId="8249"/>
    <cellStyle name="Normal 6 8 3 2" xfId="10862"/>
    <cellStyle name="Normal 6 8 3 2 2" xfId="25184"/>
    <cellStyle name="Normal 6 8 3 3" xfId="23936"/>
    <cellStyle name="Normal 6 8 4" xfId="8815"/>
    <cellStyle name="Normal 6 8 4 2" xfId="24502"/>
    <cellStyle name="Normal 6 8 5" xfId="2962"/>
    <cellStyle name="Normal 6 8 6" xfId="22190"/>
    <cellStyle name="Normal 6 9" xfId="1194"/>
    <cellStyle name="Normal 6 9 2" xfId="1195"/>
    <cellStyle name="Normal 6 9 2 2" xfId="8586"/>
    <cellStyle name="Normal 6 9 2 2 2" xfId="11199"/>
    <cellStyle name="Normal 6 9 2 2 2 2" xfId="25521"/>
    <cellStyle name="Normal 6 9 2 2 3" xfId="24273"/>
    <cellStyle name="Normal 6 9 2 3" xfId="9227"/>
    <cellStyle name="Normal 6 9 2 3 2" xfId="24899"/>
    <cellStyle name="Normal 6 9 2 4" xfId="3473"/>
    <cellStyle name="Normal 6 9 2 5" xfId="22193"/>
    <cellStyle name="Normal 6 9 3" xfId="8305"/>
    <cellStyle name="Normal 6 9 3 2" xfId="10918"/>
    <cellStyle name="Normal 6 9 3 2 2" xfId="25240"/>
    <cellStyle name="Normal 6 9 3 3" xfId="23992"/>
    <cellStyle name="Normal 6 9 4" xfId="8871"/>
    <cellStyle name="Normal 6 9 4 2" xfId="24558"/>
    <cellStyle name="Normal 6 9 5" xfId="3023"/>
    <cellStyle name="Normal 6 9 6" xfId="22192"/>
    <cellStyle name="Normal 7" xfId="1196"/>
    <cellStyle name="Normal 7 10" xfId="1197"/>
    <cellStyle name="Normal 7 10 2" xfId="8142"/>
    <cellStyle name="Normal 7 10 2 2" xfId="10755"/>
    <cellStyle name="Normal 7 10 2 2 2" xfId="25077"/>
    <cellStyle name="Normal 7 10 2 3" xfId="23829"/>
    <cellStyle name="Normal 7 10 3" xfId="9064"/>
    <cellStyle name="Normal 7 10 3 2" xfId="24736"/>
    <cellStyle name="Normal 7 10 4" xfId="3304"/>
    <cellStyle name="Normal 7 10 5" xfId="22195"/>
    <cellStyle name="Normal 7 11" xfId="8077"/>
    <cellStyle name="Normal 7 11 2" xfId="10690"/>
    <cellStyle name="Normal 7 11 2 2" xfId="25012"/>
    <cellStyle name="Normal 7 11 3" xfId="23764"/>
    <cellStyle name="Normal 7 12" xfId="8708"/>
    <cellStyle name="Normal 7 12 2" xfId="24395"/>
    <cellStyle name="Normal 7 13" xfId="2852"/>
    <cellStyle name="Normal 7 14" xfId="22194"/>
    <cellStyle name="Normal 7 2" xfId="1198"/>
    <cellStyle name="Normal 7 2 10" xfId="8713"/>
    <cellStyle name="Normal 7 2 10 2" xfId="24400"/>
    <cellStyle name="Normal 7 2 11" xfId="2857"/>
    <cellStyle name="Normal 7 2 12" xfId="22196"/>
    <cellStyle name="Normal 7 2 2" xfId="1199"/>
    <cellStyle name="Normal 7 2 2 10" xfId="2868"/>
    <cellStyle name="Normal 7 2 2 11" xfId="22197"/>
    <cellStyle name="Normal 7 2 2 2" xfId="1200"/>
    <cellStyle name="Normal 7 2 2 2 10" xfId="22198"/>
    <cellStyle name="Normal 7 2 2 2 2" xfId="1201"/>
    <cellStyle name="Normal 7 2 2 2 2 2" xfId="1202"/>
    <cellStyle name="Normal 7 2 2 2 2 2 2" xfId="1203"/>
    <cellStyle name="Normal 7 2 2 2 2 2 2 2" xfId="8694"/>
    <cellStyle name="Normal 7 2 2 2 2 2 2 2 2" xfId="11307"/>
    <cellStyle name="Normal 7 2 2 2 2 2 2 2 2 2" xfId="25629"/>
    <cellStyle name="Normal 7 2 2 2 2 2 2 2 3" xfId="24381"/>
    <cellStyle name="Normal 7 2 2 2 2 2 2 3" xfId="9336"/>
    <cellStyle name="Normal 7 2 2 2 2 2 2 3 2" xfId="25007"/>
    <cellStyle name="Normal 7 2 2 2 2 2 2 4" xfId="3584"/>
    <cellStyle name="Normal 7 2 2 2 2 2 2 5" xfId="22201"/>
    <cellStyle name="Normal 7 2 2 2 2 2 3" xfId="8413"/>
    <cellStyle name="Normal 7 2 2 2 2 2 3 2" xfId="11026"/>
    <cellStyle name="Normal 7 2 2 2 2 2 3 2 2" xfId="25348"/>
    <cellStyle name="Normal 7 2 2 2 2 2 3 3" xfId="24100"/>
    <cellStyle name="Normal 7 2 2 2 2 2 4" xfId="8979"/>
    <cellStyle name="Normal 7 2 2 2 2 2 4 2" xfId="24666"/>
    <cellStyle name="Normal 7 2 2 2 2 2 5" xfId="3136"/>
    <cellStyle name="Normal 7 2 2 2 2 2 6" xfId="22200"/>
    <cellStyle name="Normal 7 2 2 2 2 3" xfId="1204"/>
    <cellStyle name="Normal 7 2 2 2 2 3 2" xfId="8526"/>
    <cellStyle name="Normal 7 2 2 2 2 3 2 2" xfId="11139"/>
    <cellStyle name="Normal 7 2 2 2 2 3 2 2 2" xfId="25461"/>
    <cellStyle name="Normal 7 2 2 2 2 3 2 3" xfId="24213"/>
    <cellStyle name="Normal 7 2 2 2 2 3 3" xfId="9167"/>
    <cellStyle name="Normal 7 2 2 2 2 3 3 2" xfId="24839"/>
    <cellStyle name="Normal 7 2 2 2 2 3 4" xfId="3407"/>
    <cellStyle name="Normal 7 2 2 2 2 3 5" xfId="22202"/>
    <cellStyle name="Normal 7 2 2 2 2 4" xfId="8245"/>
    <cellStyle name="Normal 7 2 2 2 2 4 2" xfId="10858"/>
    <cellStyle name="Normal 7 2 2 2 2 4 2 2" xfId="25180"/>
    <cellStyle name="Normal 7 2 2 2 2 4 3" xfId="23932"/>
    <cellStyle name="Normal 7 2 2 2 2 5" xfId="8811"/>
    <cellStyle name="Normal 7 2 2 2 2 5 2" xfId="24498"/>
    <cellStyle name="Normal 7 2 2 2 2 6" xfId="2958"/>
    <cellStyle name="Normal 7 2 2 2 2 7" xfId="22199"/>
    <cellStyle name="Normal 7 2 2 2 3" xfId="1205"/>
    <cellStyle name="Normal 7 2 2 2 3 2" xfId="1206"/>
    <cellStyle name="Normal 7 2 2 2 3 2 2" xfId="8582"/>
    <cellStyle name="Normal 7 2 2 2 3 2 2 2" xfId="11195"/>
    <cellStyle name="Normal 7 2 2 2 3 2 2 2 2" xfId="25517"/>
    <cellStyle name="Normal 7 2 2 2 3 2 2 3" xfId="24269"/>
    <cellStyle name="Normal 7 2 2 2 3 2 3" xfId="9223"/>
    <cellStyle name="Normal 7 2 2 2 3 2 3 2" xfId="24895"/>
    <cellStyle name="Normal 7 2 2 2 3 2 4" xfId="3463"/>
    <cellStyle name="Normal 7 2 2 2 3 2 5" xfId="22204"/>
    <cellStyle name="Normal 7 2 2 2 3 3" xfId="8301"/>
    <cellStyle name="Normal 7 2 2 2 3 3 2" xfId="10914"/>
    <cellStyle name="Normal 7 2 2 2 3 3 2 2" xfId="25236"/>
    <cellStyle name="Normal 7 2 2 2 3 3 3" xfId="23988"/>
    <cellStyle name="Normal 7 2 2 2 3 4" xfId="8867"/>
    <cellStyle name="Normal 7 2 2 2 3 4 2" xfId="24554"/>
    <cellStyle name="Normal 7 2 2 2 3 5" xfId="3014"/>
    <cellStyle name="Normal 7 2 2 2 3 6" xfId="22203"/>
    <cellStyle name="Normal 7 2 2 2 4" xfId="1207"/>
    <cellStyle name="Normal 7 2 2 2 4 2" xfId="1208"/>
    <cellStyle name="Normal 7 2 2 2 4 2 2" xfId="8637"/>
    <cellStyle name="Normal 7 2 2 2 4 2 2 2" xfId="11250"/>
    <cellStyle name="Normal 7 2 2 2 4 2 2 2 2" xfId="25572"/>
    <cellStyle name="Normal 7 2 2 2 4 2 2 3" xfId="24324"/>
    <cellStyle name="Normal 7 2 2 2 4 2 3" xfId="9279"/>
    <cellStyle name="Normal 7 2 2 2 4 2 3 2" xfId="24950"/>
    <cellStyle name="Normal 7 2 2 2 4 2 4" xfId="3527"/>
    <cellStyle name="Normal 7 2 2 2 4 2 5" xfId="22206"/>
    <cellStyle name="Normal 7 2 2 2 4 3" xfId="8356"/>
    <cellStyle name="Normal 7 2 2 2 4 3 2" xfId="10969"/>
    <cellStyle name="Normal 7 2 2 2 4 3 2 2" xfId="25291"/>
    <cellStyle name="Normal 7 2 2 2 4 3 3" xfId="24043"/>
    <cellStyle name="Normal 7 2 2 2 4 4" xfId="8922"/>
    <cellStyle name="Normal 7 2 2 2 4 4 2" xfId="24609"/>
    <cellStyle name="Normal 7 2 2 2 4 5" xfId="3079"/>
    <cellStyle name="Normal 7 2 2 2 4 6" xfId="22205"/>
    <cellStyle name="Normal 7 2 2 2 5" xfId="1209"/>
    <cellStyle name="Normal 7 2 2 2 5 2" xfId="8474"/>
    <cellStyle name="Normal 7 2 2 2 5 2 2" xfId="11087"/>
    <cellStyle name="Normal 7 2 2 2 5 2 2 2" xfId="25409"/>
    <cellStyle name="Normal 7 2 2 2 5 2 3" xfId="24161"/>
    <cellStyle name="Normal 7 2 2 2 5 3" xfId="9046"/>
    <cellStyle name="Normal 7 2 2 2 5 3 2" xfId="24727"/>
    <cellStyle name="Normal 7 2 2 2 5 4" xfId="3238"/>
    <cellStyle name="Normal 7 2 2 2 5 5" xfId="22207"/>
    <cellStyle name="Normal 7 2 2 2 6" xfId="1210"/>
    <cellStyle name="Normal 7 2 2 2 6 2" xfId="8188"/>
    <cellStyle name="Normal 7 2 2 2 6 2 2" xfId="10801"/>
    <cellStyle name="Normal 7 2 2 2 6 2 2 2" xfId="25123"/>
    <cellStyle name="Normal 7 2 2 2 6 2 3" xfId="23875"/>
    <cellStyle name="Normal 7 2 2 2 6 3" xfId="9110"/>
    <cellStyle name="Normal 7 2 2 2 6 3 2" xfId="24782"/>
    <cellStyle name="Normal 7 2 2 2 6 4" xfId="3350"/>
    <cellStyle name="Normal 7 2 2 2 6 5" xfId="22208"/>
    <cellStyle name="Normal 7 2 2 2 7" xfId="8133"/>
    <cellStyle name="Normal 7 2 2 2 7 2" xfId="10746"/>
    <cellStyle name="Normal 7 2 2 2 7 2 2" xfId="25068"/>
    <cellStyle name="Normal 7 2 2 2 7 3" xfId="23820"/>
    <cellStyle name="Normal 7 2 2 2 8" xfId="8754"/>
    <cellStyle name="Normal 7 2 2 2 8 2" xfId="24441"/>
    <cellStyle name="Normal 7 2 2 2 9" xfId="2901"/>
    <cellStyle name="Normal 7 2 2 3" xfId="1211"/>
    <cellStyle name="Normal 7 2 2 3 2" xfId="1212"/>
    <cellStyle name="Normal 7 2 2 3 2 2" xfId="1213"/>
    <cellStyle name="Normal 7 2 2 3 2 2 2" xfId="8668"/>
    <cellStyle name="Normal 7 2 2 3 2 2 2 2" xfId="11281"/>
    <cellStyle name="Normal 7 2 2 3 2 2 2 2 2" xfId="25603"/>
    <cellStyle name="Normal 7 2 2 3 2 2 2 3" xfId="24355"/>
    <cellStyle name="Normal 7 2 2 3 2 2 3" xfId="9310"/>
    <cellStyle name="Normal 7 2 2 3 2 2 3 2" xfId="24981"/>
    <cellStyle name="Normal 7 2 2 3 2 2 4" xfId="3558"/>
    <cellStyle name="Normal 7 2 2 3 2 2 5" xfId="22211"/>
    <cellStyle name="Normal 7 2 2 3 2 3" xfId="8387"/>
    <cellStyle name="Normal 7 2 2 3 2 3 2" xfId="11000"/>
    <cellStyle name="Normal 7 2 2 3 2 3 2 2" xfId="25322"/>
    <cellStyle name="Normal 7 2 2 3 2 3 3" xfId="24074"/>
    <cellStyle name="Normal 7 2 2 3 2 4" xfId="8953"/>
    <cellStyle name="Normal 7 2 2 3 2 4 2" xfId="24640"/>
    <cellStyle name="Normal 7 2 2 3 2 5" xfId="3110"/>
    <cellStyle name="Normal 7 2 2 3 2 6" xfId="22210"/>
    <cellStyle name="Normal 7 2 2 3 3" xfId="1214"/>
    <cellStyle name="Normal 7 2 2 3 3 2" xfId="8500"/>
    <cellStyle name="Normal 7 2 2 3 3 2 2" xfId="11113"/>
    <cellStyle name="Normal 7 2 2 3 3 2 2 2" xfId="25435"/>
    <cellStyle name="Normal 7 2 2 3 3 2 3" xfId="24187"/>
    <cellStyle name="Normal 7 2 2 3 3 3" xfId="9141"/>
    <cellStyle name="Normal 7 2 2 3 3 3 2" xfId="24813"/>
    <cellStyle name="Normal 7 2 2 3 3 4" xfId="3381"/>
    <cellStyle name="Normal 7 2 2 3 3 5" xfId="22212"/>
    <cellStyle name="Normal 7 2 2 3 4" xfId="8219"/>
    <cellStyle name="Normal 7 2 2 3 4 2" xfId="10832"/>
    <cellStyle name="Normal 7 2 2 3 4 2 2" xfId="25154"/>
    <cellStyle name="Normal 7 2 2 3 4 3" xfId="23906"/>
    <cellStyle name="Normal 7 2 2 3 5" xfId="8785"/>
    <cellStyle name="Normal 7 2 2 3 5 2" xfId="24472"/>
    <cellStyle name="Normal 7 2 2 3 6" xfId="2932"/>
    <cellStyle name="Normal 7 2 2 3 7" xfId="22209"/>
    <cellStyle name="Normal 7 2 2 4" xfId="1215"/>
    <cellStyle name="Normal 7 2 2 4 2" xfId="1216"/>
    <cellStyle name="Normal 7 2 2 4 2 2" xfId="8556"/>
    <cellStyle name="Normal 7 2 2 4 2 2 2" xfId="11169"/>
    <cellStyle name="Normal 7 2 2 4 2 2 2 2" xfId="25491"/>
    <cellStyle name="Normal 7 2 2 4 2 2 3" xfId="24243"/>
    <cellStyle name="Normal 7 2 2 4 2 3" xfId="9197"/>
    <cellStyle name="Normal 7 2 2 4 2 3 2" xfId="24869"/>
    <cellStyle name="Normal 7 2 2 4 2 4" xfId="3437"/>
    <cellStyle name="Normal 7 2 2 4 2 5" xfId="22214"/>
    <cellStyle name="Normal 7 2 2 4 3" xfId="8275"/>
    <cellStyle name="Normal 7 2 2 4 3 2" xfId="10888"/>
    <cellStyle name="Normal 7 2 2 4 3 2 2" xfId="25210"/>
    <cellStyle name="Normal 7 2 2 4 3 3" xfId="23962"/>
    <cellStyle name="Normal 7 2 2 4 4" xfId="8841"/>
    <cellStyle name="Normal 7 2 2 4 4 2" xfId="24528"/>
    <cellStyle name="Normal 7 2 2 4 5" xfId="2988"/>
    <cellStyle name="Normal 7 2 2 4 6" xfId="22213"/>
    <cellStyle name="Normal 7 2 2 5" xfId="1217"/>
    <cellStyle name="Normal 7 2 2 5 2" xfId="1218"/>
    <cellStyle name="Normal 7 2 2 5 2 2" xfId="8606"/>
    <cellStyle name="Normal 7 2 2 5 2 2 2" xfId="11219"/>
    <cellStyle name="Normal 7 2 2 5 2 2 2 2" xfId="25541"/>
    <cellStyle name="Normal 7 2 2 5 2 2 3" xfId="24293"/>
    <cellStyle name="Normal 7 2 2 5 2 3" xfId="9248"/>
    <cellStyle name="Normal 7 2 2 5 2 3 2" xfId="24919"/>
    <cellStyle name="Normal 7 2 2 5 2 4" xfId="3495"/>
    <cellStyle name="Normal 7 2 2 5 2 5" xfId="22216"/>
    <cellStyle name="Normal 7 2 2 5 3" xfId="8325"/>
    <cellStyle name="Normal 7 2 2 5 3 2" xfId="10938"/>
    <cellStyle name="Normal 7 2 2 5 3 2 2" xfId="25260"/>
    <cellStyle name="Normal 7 2 2 5 3 3" xfId="24012"/>
    <cellStyle name="Normal 7 2 2 5 4" xfId="8891"/>
    <cellStyle name="Normal 7 2 2 5 4 2" xfId="24578"/>
    <cellStyle name="Normal 7 2 2 5 5" xfId="3048"/>
    <cellStyle name="Normal 7 2 2 5 6" xfId="22215"/>
    <cellStyle name="Normal 7 2 2 6" xfId="1219"/>
    <cellStyle name="Normal 7 2 2 6 2" xfId="8449"/>
    <cellStyle name="Normal 7 2 2 6 2 2" xfId="11062"/>
    <cellStyle name="Normal 7 2 2 6 2 2 2" xfId="25384"/>
    <cellStyle name="Normal 7 2 2 6 2 3" xfId="24136"/>
    <cellStyle name="Normal 7 2 2 6 3" xfId="9021"/>
    <cellStyle name="Normal 7 2 2 6 3 2" xfId="24702"/>
    <cellStyle name="Normal 7 2 2 6 4" xfId="3212"/>
    <cellStyle name="Normal 7 2 2 6 5" xfId="22217"/>
    <cellStyle name="Normal 7 2 2 7" xfId="1220"/>
    <cellStyle name="Normal 7 2 2 7 2" xfId="8157"/>
    <cellStyle name="Normal 7 2 2 7 2 2" xfId="10770"/>
    <cellStyle name="Normal 7 2 2 7 2 2 2" xfId="25092"/>
    <cellStyle name="Normal 7 2 2 7 2 3" xfId="23844"/>
    <cellStyle name="Normal 7 2 2 7 3" xfId="9079"/>
    <cellStyle name="Normal 7 2 2 7 3 2" xfId="24751"/>
    <cellStyle name="Normal 7 2 2 7 4" xfId="3319"/>
    <cellStyle name="Normal 7 2 2 7 5" xfId="22218"/>
    <cellStyle name="Normal 7 2 2 8" xfId="8108"/>
    <cellStyle name="Normal 7 2 2 8 2" xfId="10721"/>
    <cellStyle name="Normal 7 2 2 8 2 2" xfId="25043"/>
    <cellStyle name="Normal 7 2 2 8 3" xfId="23795"/>
    <cellStyle name="Normal 7 2 2 9" xfId="8723"/>
    <cellStyle name="Normal 7 2 2 9 2" xfId="24410"/>
    <cellStyle name="Normal 7 2 3" xfId="1221"/>
    <cellStyle name="Normal 7 2 3 10" xfId="22219"/>
    <cellStyle name="Normal 7 2 3 2" xfId="1222"/>
    <cellStyle name="Normal 7 2 3 2 2" xfId="1223"/>
    <cellStyle name="Normal 7 2 3 2 2 2" xfId="1224"/>
    <cellStyle name="Normal 7 2 3 2 2 2 2" xfId="8684"/>
    <cellStyle name="Normal 7 2 3 2 2 2 2 2" xfId="11297"/>
    <cellStyle name="Normal 7 2 3 2 2 2 2 2 2" xfId="25619"/>
    <cellStyle name="Normal 7 2 3 2 2 2 2 3" xfId="24371"/>
    <cellStyle name="Normal 7 2 3 2 2 2 3" xfId="9326"/>
    <cellStyle name="Normal 7 2 3 2 2 2 3 2" xfId="24997"/>
    <cellStyle name="Normal 7 2 3 2 2 2 4" xfId="3574"/>
    <cellStyle name="Normal 7 2 3 2 2 2 5" xfId="22222"/>
    <cellStyle name="Normal 7 2 3 2 2 3" xfId="8403"/>
    <cellStyle name="Normal 7 2 3 2 2 3 2" xfId="11016"/>
    <cellStyle name="Normal 7 2 3 2 2 3 2 2" xfId="25338"/>
    <cellStyle name="Normal 7 2 3 2 2 3 3" xfId="24090"/>
    <cellStyle name="Normal 7 2 3 2 2 4" xfId="8969"/>
    <cellStyle name="Normal 7 2 3 2 2 4 2" xfId="24656"/>
    <cellStyle name="Normal 7 2 3 2 2 5" xfId="3126"/>
    <cellStyle name="Normal 7 2 3 2 2 6" xfId="22221"/>
    <cellStyle name="Normal 7 2 3 2 3" xfId="1225"/>
    <cellStyle name="Normal 7 2 3 2 3 2" xfId="8516"/>
    <cellStyle name="Normal 7 2 3 2 3 2 2" xfId="11129"/>
    <cellStyle name="Normal 7 2 3 2 3 2 2 2" xfId="25451"/>
    <cellStyle name="Normal 7 2 3 2 3 2 3" xfId="24203"/>
    <cellStyle name="Normal 7 2 3 2 3 3" xfId="9157"/>
    <cellStyle name="Normal 7 2 3 2 3 3 2" xfId="24829"/>
    <cellStyle name="Normal 7 2 3 2 3 4" xfId="3397"/>
    <cellStyle name="Normal 7 2 3 2 3 5" xfId="22223"/>
    <cellStyle name="Normal 7 2 3 2 4" xfId="8235"/>
    <cellStyle name="Normal 7 2 3 2 4 2" xfId="10848"/>
    <cellStyle name="Normal 7 2 3 2 4 2 2" xfId="25170"/>
    <cellStyle name="Normal 7 2 3 2 4 3" xfId="23922"/>
    <cellStyle name="Normal 7 2 3 2 5" xfId="8801"/>
    <cellStyle name="Normal 7 2 3 2 5 2" xfId="24488"/>
    <cellStyle name="Normal 7 2 3 2 6" xfId="2948"/>
    <cellStyle name="Normal 7 2 3 2 7" xfId="22220"/>
    <cellStyle name="Normal 7 2 3 3" xfId="1226"/>
    <cellStyle name="Normal 7 2 3 3 2" xfId="1227"/>
    <cellStyle name="Normal 7 2 3 3 2 2" xfId="8572"/>
    <cellStyle name="Normal 7 2 3 3 2 2 2" xfId="11185"/>
    <cellStyle name="Normal 7 2 3 3 2 2 2 2" xfId="25507"/>
    <cellStyle name="Normal 7 2 3 3 2 2 3" xfId="24259"/>
    <cellStyle name="Normal 7 2 3 3 2 3" xfId="9213"/>
    <cellStyle name="Normal 7 2 3 3 2 3 2" xfId="24885"/>
    <cellStyle name="Normal 7 2 3 3 2 4" xfId="3453"/>
    <cellStyle name="Normal 7 2 3 3 2 5" xfId="22225"/>
    <cellStyle name="Normal 7 2 3 3 3" xfId="8291"/>
    <cellStyle name="Normal 7 2 3 3 3 2" xfId="10904"/>
    <cellStyle name="Normal 7 2 3 3 3 2 2" xfId="25226"/>
    <cellStyle name="Normal 7 2 3 3 3 3" xfId="23978"/>
    <cellStyle name="Normal 7 2 3 3 4" xfId="8857"/>
    <cellStyle name="Normal 7 2 3 3 4 2" xfId="24544"/>
    <cellStyle name="Normal 7 2 3 3 5" xfId="3004"/>
    <cellStyle name="Normal 7 2 3 3 6" xfId="22224"/>
    <cellStyle name="Normal 7 2 3 4" xfId="1228"/>
    <cellStyle name="Normal 7 2 3 4 2" xfId="1229"/>
    <cellStyle name="Normal 7 2 3 4 2 2" xfId="8627"/>
    <cellStyle name="Normal 7 2 3 4 2 2 2" xfId="11240"/>
    <cellStyle name="Normal 7 2 3 4 2 2 2 2" xfId="25562"/>
    <cellStyle name="Normal 7 2 3 4 2 2 3" xfId="24314"/>
    <cellStyle name="Normal 7 2 3 4 2 3" xfId="9269"/>
    <cellStyle name="Normal 7 2 3 4 2 3 2" xfId="24940"/>
    <cellStyle name="Normal 7 2 3 4 2 4" xfId="3517"/>
    <cellStyle name="Normal 7 2 3 4 2 5" xfId="22227"/>
    <cellStyle name="Normal 7 2 3 4 3" xfId="8346"/>
    <cellStyle name="Normal 7 2 3 4 3 2" xfId="10959"/>
    <cellStyle name="Normal 7 2 3 4 3 2 2" xfId="25281"/>
    <cellStyle name="Normal 7 2 3 4 3 3" xfId="24033"/>
    <cellStyle name="Normal 7 2 3 4 4" xfId="8912"/>
    <cellStyle name="Normal 7 2 3 4 4 2" xfId="24599"/>
    <cellStyle name="Normal 7 2 3 4 5" xfId="3069"/>
    <cellStyle name="Normal 7 2 3 4 6" xfId="22226"/>
    <cellStyle name="Normal 7 2 3 5" xfId="1230"/>
    <cellStyle name="Normal 7 2 3 5 2" xfId="8464"/>
    <cellStyle name="Normal 7 2 3 5 2 2" xfId="11077"/>
    <cellStyle name="Normal 7 2 3 5 2 2 2" xfId="25399"/>
    <cellStyle name="Normal 7 2 3 5 2 3" xfId="24151"/>
    <cellStyle name="Normal 7 2 3 5 3" xfId="9036"/>
    <cellStyle name="Normal 7 2 3 5 3 2" xfId="24717"/>
    <cellStyle name="Normal 7 2 3 5 4" xfId="3228"/>
    <cellStyle name="Normal 7 2 3 5 5" xfId="22228"/>
    <cellStyle name="Normal 7 2 3 6" xfId="1231"/>
    <cellStyle name="Normal 7 2 3 6 2" xfId="8178"/>
    <cellStyle name="Normal 7 2 3 6 2 2" xfId="10791"/>
    <cellStyle name="Normal 7 2 3 6 2 2 2" xfId="25113"/>
    <cellStyle name="Normal 7 2 3 6 2 3" xfId="23865"/>
    <cellStyle name="Normal 7 2 3 6 3" xfId="9100"/>
    <cellStyle name="Normal 7 2 3 6 3 2" xfId="24772"/>
    <cellStyle name="Normal 7 2 3 6 4" xfId="3340"/>
    <cellStyle name="Normal 7 2 3 6 5" xfId="22229"/>
    <cellStyle name="Normal 7 2 3 7" xfId="8123"/>
    <cellStyle name="Normal 7 2 3 7 2" xfId="10736"/>
    <cellStyle name="Normal 7 2 3 7 2 2" xfId="25058"/>
    <cellStyle name="Normal 7 2 3 7 3" xfId="23810"/>
    <cellStyle name="Normal 7 2 3 8" xfId="8744"/>
    <cellStyle name="Normal 7 2 3 8 2" xfId="24431"/>
    <cellStyle name="Normal 7 2 3 9" xfId="2891"/>
    <cellStyle name="Normal 7 2 4" xfId="1232"/>
    <cellStyle name="Normal 7 2 4 2" xfId="1233"/>
    <cellStyle name="Normal 7 2 4 2 2" xfId="1234"/>
    <cellStyle name="Normal 7 2 4 2 2 2" xfId="8658"/>
    <cellStyle name="Normal 7 2 4 2 2 2 2" xfId="11271"/>
    <cellStyle name="Normal 7 2 4 2 2 2 2 2" xfId="25593"/>
    <cellStyle name="Normal 7 2 4 2 2 2 3" xfId="24345"/>
    <cellStyle name="Normal 7 2 4 2 2 3" xfId="9300"/>
    <cellStyle name="Normal 7 2 4 2 2 3 2" xfId="24971"/>
    <cellStyle name="Normal 7 2 4 2 2 4" xfId="3548"/>
    <cellStyle name="Normal 7 2 4 2 2 5" xfId="22232"/>
    <cellStyle name="Normal 7 2 4 2 3" xfId="8377"/>
    <cellStyle name="Normal 7 2 4 2 3 2" xfId="10990"/>
    <cellStyle name="Normal 7 2 4 2 3 2 2" xfId="25312"/>
    <cellStyle name="Normal 7 2 4 2 3 3" xfId="24064"/>
    <cellStyle name="Normal 7 2 4 2 4" xfId="8943"/>
    <cellStyle name="Normal 7 2 4 2 4 2" xfId="24630"/>
    <cellStyle name="Normal 7 2 4 2 5" xfId="3100"/>
    <cellStyle name="Normal 7 2 4 2 6" xfId="22231"/>
    <cellStyle name="Normal 7 2 4 3" xfId="1235"/>
    <cellStyle name="Normal 7 2 4 3 2" xfId="8440"/>
    <cellStyle name="Normal 7 2 4 3 2 2" xfId="11053"/>
    <cellStyle name="Normal 7 2 4 3 2 2 2" xfId="25375"/>
    <cellStyle name="Normal 7 2 4 3 2 3" xfId="24127"/>
    <cellStyle name="Normal 7 2 4 3 3" xfId="9012"/>
    <cellStyle name="Normal 7 2 4 3 3 2" xfId="24693"/>
    <cellStyle name="Normal 7 2 4 3 4" xfId="3203"/>
    <cellStyle name="Normal 7 2 4 3 5" xfId="22233"/>
    <cellStyle name="Normal 7 2 4 4" xfId="1236"/>
    <cellStyle name="Normal 7 2 4 4 2" xfId="8209"/>
    <cellStyle name="Normal 7 2 4 4 2 2" xfId="10822"/>
    <cellStyle name="Normal 7 2 4 4 2 2 2" xfId="25144"/>
    <cellStyle name="Normal 7 2 4 4 2 3" xfId="23896"/>
    <cellStyle name="Normal 7 2 4 4 3" xfId="9131"/>
    <cellStyle name="Normal 7 2 4 4 3 2" xfId="24803"/>
    <cellStyle name="Normal 7 2 4 4 4" xfId="3371"/>
    <cellStyle name="Normal 7 2 4 4 5" xfId="22234"/>
    <cellStyle name="Normal 7 2 4 5" xfId="8099"/>
    <cellStyle name="Normal 7 2 4 5 2" xfId="10712"/>
    <cellStyle name="Normal 7 2 4 5 2 2" xfId="25034"/>
    <cellStyle name="Normal 7 2 4 5 3" xfId="23786"/>
    <cellStyle name="Normal 7 2 4 6" xfId="8775"/>
    <cellStyle name="Normal 7 2 4 6 2" xfId="24462"/>
    <cellStyle name="Normal 7 2 4 7" xfId="2922"/>
    <cellStyle name="Normal 7 2 4 8" xfId="22230"/>
    <cellStyle name="Normal 7 2 5" xfId="1237"/>
    <cellStyle name="Normal 7 2 5 2" xfId="1238"/>
    <cellStyle name="Normal 7 2 5 2 2" xfId="8546"/>
    <cellStyle name="Normal 7 2 5 2 2 2" xfId="11159"/>
    <cellStyle name="Normal 7 2 5 2 2 2 2" xfId="25481"/>
    <cellStyle name="Normal 7 2 5 2 2 3" xfId="24233"/>
    <cellStyle name="Normal 7 2 5 2 3" xfId="9187"/>
    <cellStyle name="Normal 7 2 5 2 3 2" xfId="24859"/>
    <cellStyle name="Normal 7 2 5 2 4" xfId="3427"/>
    <cellStyle name="Normal 7 2 5 2 5" xfId="22236"/>
    <cellStyle name="Normal 7 2 5 3" xfId="8265"/>
    <cellStyle name="Normal 7 2 5 3 2" xfId="10878"/>
    <cellStyle name="Normal 7 2 5 3 2 2" xfId="25200"/>
    <cellStyle name="Normal 7 2 5 3 3" xfId="23952"/>
    <cellStyle name="Normal 7 2 5 4" xfId="8831"/>
    <cellStyle name="Normal 7 2 5 4 2" xfId="24518"/>
    <cellStyle name="Normal 7 2 5 5" xfId="2978"/>
    <cellStyle name="Normal 7 2 5 6" xfId="22235"/>
    <cellStyle name="Normal 7 2 6" xfId="1239"/>
    <cellStyle name="Normal 7 2 6 2" xfId="1240"/>
    <cellStyle name="Normal 7 2 6 2 2" xfId="8596"/>
    <cellStyle name="Normal 7 2 6 2 2 2" xfId="11209"/>
    <cellStyle name="Normal 7 2 6 2 2 2 2" xfId="25531"/>
    <cellStyle name="Normal 7 2 6 2 2 3" xfId="24283"/>
    <cellStyle name="Normal 7 2 6 2 3" xfId="9238"/>
    <cellStyle name="Normal 7 2 6 2 3 2" xfId="24909"/>
    <cellStyle name="Normal 7 2 6 2 4" xfId="3485"/>
    <cellStyle name="Normal 7 2 6 2 5" xfId="22238"/>
    <cellStyle name="Normal 7 2 6 3" xfId="8315"/>
    <cellStyle name="Normal 7 2 6 3 2" xfId="10928"/>
    <cellStyle name="Normal 7 2 6 3 2 2" xfId="25250"/>
    <cellStyle name="Normal 7 2 6 3 3" xfId="24002"/>
    <cellStyle name="Normal 7 2 6 4" xfId="8881"/>
    <cellStyle name="Normal 7 2 6 4 2" xfId="24568"/>
    <cellStyle name="Normal 7 2 6 5" xfId="3038"/>
    <cellStyle name="Normal 7 2 6 6" xfId="22237"/>
    <cellStyle name="Normal 7 2 7" xfId="1241"/>
    <cellStyle name="Normal 7 2 7 2" xfId="8423"/>
    <cellStyle name="Normal 7 2 7 2 2" xfId="11036"/>
    <cellStyle name="Normal 7 2 7 2 2 2" xfId="25358"/>
    <cellStyle name="Normal 7 2 7 2 3" xfId="24110"/>
    <cellStyle name="Normal 7 2 7 3" xfId="8993"/>
    <cellStyle name="Normal 7 2 7 3 2" xfId="24676"/>
    <cellStyle name="Normal 7 2 7 4" xfId="3167"/>
    <cellStyle name="Normal 7 2 7 5" xfId="22239"/>
    <cellStyle name="Normal 7 2 8" xfId="1242"/>
    <cellStyle name="Normal 7 2 8 2" xfId="8147"/>
    <cellStyle name="Normal 7 2 8 2 2" xfId="10760"/>
    <cellStyle name="Normal 7 2 8 2 2 2" xfId="25082"/>
    <cellStyle name="Normal 7 2 8 2 3" xfId="23834"/>
    <cellStyle name="Normal 7 2 8 3" xfId="9069"/>
    <cellStyle name="Normal 7 2 8 3 2" xfId="24741"/>
    <cellStyle name="Normal 7 2 8 4" xfId="3309"/>
    <cellStyle name="Normal 7 2 8 5" xfId="22240"/>
    <cellStyle name="Normal 7 2 9" xfId="8082"/>
    <cellStyle name="Normal 7 2 9 2" xfId="10695"/>
    <cellStyle name="Normal 7 2 9 2 2" xfId="25017"/>
    <cellStyle name="Normal 7 2 9 3" xfId="23769"/>
    <cellStyle name="Normal 7 3" xfId="1243"/>
    <cellStyle name="Normal 7 3 10" xfId="2862"/>
    <cellStyle name="Normal 7 3 11" xfId="22241"/>
    <cellStyle name="Normal 7 3 2" xfId="1244"/>
    <cellStyle name="Normal 7 3 2 10" xfId="22242"/>
    <cellStyle name="Normal 7 3 2 2" xfId="1245"/>
    <cellStyle name="Normal 7 3 2 2 2" xfId="1246"/>
    <cellStyle name="Normal 7 3 2 2 2 2" xfId="1247"/>
    <cellStyle name="Normal 7 3 2 2 2 2 2" xfId="8689"/>
    <cellStyle name="Normal 7 3 2 2 2 2 2 2" xfId="11302"/>
    <cellStyle name="Normal 7 3 2 2 2 2 2 2 2" xfId="25624"/>
    <cellStyle name="Normal 7 3 2 2 2 2 2 3" xfId="24376"/>
    <cellStyle name="Normal 7 3 2 2 2 2 3" xfId="9331"/>
    <cellStyle name="Normal 7 3 2 2 2 2 3 2" xfId="25002"/>
    <cellStyle name="Normal 7 3 2 2 2 2 4" xfId="3579"/>
    <cellStyle name="Normal 7 3 2 2 2 2 5" xfId="22245"/>
    <cellStyle name="Normal 7 3 2 2 2 3" xfId="8408"/>
    <cellStyle name="Normal 7 3 2 2 2 3 2" xfId="11021"/>
    <cellStyle name="Normal 7 3 2 2 2 3 2 2" xfId="25343"/>
    <cellStyle name="Normal 7 3 2 2 2 3 3" xfId="24095"/>
    <cellStyle name="Normal 7 3 2 2 2 4" xfId="8974"/>
    <cellStyle name="Normal 7 3 2 2 2 4 2" xfId="24661"/>
    <cellStyle name="Normal 7 3 2 2 2 5" xfId="3131"/>
    <cellStyle name="Normal 7 3 2 2 2 6" xfId="22244"/>
    <cellStyle name="Normal 7 3 2 2 3" xfId="1248"/>
    <cellStyle name="Normal 7 3 2 2 3 2" xfId="8521"/>
    <cellStyle name="Normal 7 3 2 2 3 2 2" xfId="11134"/>
    <cellStyle name="Normal 7 3 2 2 3 2 2 2" xfId="25456"/>
    <cellStyle name="Normal 7 3 2 2 3 2 3" xfId="24208"/>
    <cellStyle name="Normal 7 3 2 2 3 3" xfId="9162"/>
    <cellStyle name="Normal 7 3 2 2 3 3 2" xfId="24834"/>
    <cellStyle name="Normal 7 3 2 2 3 4" xfId="3402"/>
    <cellStyle name="Normal 7 3 2 2 3 5" xfId="22246"/>
    <cellStyle name="Normal 7 3 2 2 4" xfId="8240"/>
    <cellStyle name="Normal 7 3 2 2 4 2" xfId="10853"/>
    <cellStyle name="Normal 7 3 2 2 4 2 2" xfId="25175"/>
    <cellStyle name="Normal 7 3 2 2 4 3" xfId="23927"/>
    <cellStyle name="Normal 7 3 2 2 5" xfId="8806"/>
    <cellStyle name="Normal 7 3 2 2 5 2" xfId="24493"/>
    <cellStyle name="Normal 7 3 2 2 6" xfId="2953"/>
    <cellStyle name="Normal 7 3 2 2 7" xfId="22243"/>
    <cellStyle name="Normal 7 3 2 3" xfId="1249"/>
    <cellStyle name="Normal 7 3 2 3 2" xfId="1250"/>
    <cellStyle name="Normal 7 3 2 3 2 2" xfId="8577"/>
    <cellStyle name="Normal 7 3 2 3 2 2 2" xfId="11190"/>
    <cellStyle name="Normal 7 3 2 3 2 2 2 2" xfId="25512"/>
    <cellStyle name="Normal 7 3 2 3 2 2 3" xfId="24264"/>
    <cellStyle name="Normal 7 3 2 3 2 3" xfId="9218"/>
    <cellStyle name="Normal 7 3 2 3 2 3 2" xfId="24890"/>
    <cellStyle name="Normal 7 3 2 3 2 4" xfId="3458"/>
    <cellStyle name="Normal 7 3 2 3 2 5" xfId="22248"/>
    <cellStyle name="Normal 7 3 2 3 3" xfId="8296"/>
    <cellStyle name="Normal 7 3 2 3 3 2" xfId="10909"/>
    <cellStyle name="Normal 7 3 2 3 3 2 2" xfId="25231"/>
    <cellStyle name="Normal 7 3 2 3 3 3" xfId="23983"/>
    <cellStyle name="Normal 7 3 2 3 4" xfId="8862"/>
    <cellStyle name="Normal 7 3 2 3 4 2" xfId="24549"/>
    <cellStyle name="Normal 7 3 2 3 5" xfId="3009"/>
    <cellStyle name="Normal 7 3 2 3 6" xfId="22247"/>
    <cellStyle name="Normal 7 3 2 4" xfId="1251"/>
    <cellStyle name="Normal 7 3 2 4 2" xfId="1252"/>
    <cellStyle name="Normal 7 3 2 4 2 2" xfId="8632"/>
    <cellStyle name="Normal 7 3 2 4 2 2 2" xfId="11245"/>
    <cellStyle name="Normal 7 3 2 4 2 2 2 2" xfId="25567"/>
    <cellStyle name="Normal 7 3 2 4 2 2 3" xfId="24319"/>
    <cellStyle name="Normal 7 3 2 4 2 3" xfId="9274"/>
    <cellStyle name="Normal 7 3 2 4 2 3 2" xfId="24945"/>
    <cellStyle name="Normal 7 3 2 4 2 4" xfId="3522"/>
    <cellStyle name="Normal 7 3 2 4 2 5" xfId="22250"/>
    <cellStyle name="Normal 7 3 2 4 3" xfId="8351"/>
    <cellStyle name="Normal 7 3 2 4 3 2" xfId="10964"/>
    <cellStyle name="Normal 7 3 2 4 3 2 2" xfId="25286"/>
    <cellStyle name="Normal 7 3 2 4 3 3" xfId="24038"/>
    <cellStyle name="Normal 7 3 2 4 4" xfId="8917"/>
    <cellStyle name="Normal 7 3 2 4 4 2" xfId="24604"/>
    <cellStyle name="Normal 7 3 2 4 5" xfId="3074"/>
    <cellStyle name="Normal 7 3 2 4 6" xfId="22249"/>
    <cellStyle name="Normal 7 3 2 5" xfId="1253"/>
    <cellStyle name="Normal 7 3 2 5 2" xfId="8469"/>
    <cellStyle name="Normal 7 3 2 5 2 2" xfId="11082"/>
    <cellStyle name="Normal 7 3 2 5 2 2 2" xfId="25404"/>
    <cellStyle name="Normal 7 3 2 5 2 3" xfId="24156"/>
    <cellStyle name="Normal 7 3 2 5 3" xfId="9041"/>
    <cellStyle name="Normal 7 3 2 5 3 2" xfId="24722"/>
    <cellStyle name="Normal 7 3 2 5 4" xfId="3233"/>
    <cellStyle name="Normal 7 3 2 5 5" xfId="22251"/>
    <cellStyle name="Normal 7 3 2 6" xfId="1254"/>
    <cellStyle name="Normal 7 3 2 6 2" xfId="8183"/>
    <cellStyle name="Normal 7 3 2 6 2 2" xfId="10796"/>
    <cellStyle name="Normal 7 3 2 6 2 2 2" xfId="25118"/>
    <cellStyle name="Normal 7 3 2 6 2 3" xfId="23870"/>
    <cellStyle name="Normal 7 3 2 6 3" xfId="9105"/>
    <cellStyle name="Normal 7 3 2 6 3 2" xfId="24777"/>
    <cellStyle name="Normal 7 3 2 6 4" xfId="3345"/>
    <cellStyle name="Normal 7 3 2 6 5" xfId="22252"/>
    <cellStyle name="Normal 7 3 2 7" xfId="8128"/>
    <cellStyle name="Normal 7 3 2 7 2" xfId="10741"/>
    <cellStyle name="Normal 7 3 2 7 2 2" xfId="25063"/>
    <cellStyle name="Normal 7 3 2 7 3" xfId="23815"/>
    <cellStyle name="Normal 7 3 2 8" xfId="8749"/>
    <cellStyle name="Normal 7 3 2 8 2" xfId="24436"/>
    <cellStyle name="Normal 7 3 2 9" xfId="2896"/>
    <cellStyle name="Normal 7 3 3" xfId="1255"/>
    <cellStyle name="Normal 7 3 3 2" xfId="1256"/>
    <cellStyle name="Normal 7 3 3 2 2" xfId="1257"/>
    <cellStyle name="Normal 7 3 3 2 2 2" xfId="8663"/>
    <cellStyle name="Normal 7 3 3 2 2 2 2" xfId="11276"/>
    <cellStyle name="Normal 7 3 3 2 2 2 2 2" xfId="25598"/>
    <cellStyle name="Normal 7 3 3 2 2 2 3" xfId="24350"/>
    <cellStyle name="Normal 7 3 3 2 2 3" xfId="9305"/>
    <cellStyle name="Normal 7 3 3 2 2 3 2" xfId="24976"/>
    <cellStyle name="Normal 7 3 3 2 2 4" xfId="3553"/>
    <cellStyle name="Normal 7 3 3 2 2 5" xfId="22255"/>
    <cellStyle name="Normal 7 3 3 2 3" xfId="8382"/>
    <cellStyle name="Normal 7 3 3 2 3 2" xfId="10995"/>
    <cellStyle name="Normal 7 3 3 2 3 2 2" xfId="25317"/>
    <cellStyle name="Normal 7 3 3 2 3 3" xfId="24069"/>
    <cellStyle name="Normal 7 3 3 2 4" xfId="8948"/>
    <cellStyle name="Normal 7 3 3 2 4 2" xfId="24635"/>
    <cellStyle name="Normal 7 3 3 2 5" xfId="3105"/>
    <cellStyle name="Normal 7 3 3 2 6" xfId="22254"/>
    <cellStyle name="Normal 7 3 3 3" xfId="1258"/>
    <cellStyle name="Normal 7 3 3 3 2" xfId="8495"/>
    <cellStyle name="Normal 7 3 3 3 2 2" xfId="11108"/>
    <cellStyle name="Normal 7 3 3 3 2 2 2" xfId="25430"/>
    <cellStyle name="Normal 7 3 3 3 2 3" xfId="24182"/>
    <cellStyle name="Normal 7 3 3 3 3" xfId="9136"/>
    <cellStyle name="Normal 7 3 3 3 3 2" xfId="24808"/>
    <cellStyle name="Normal 7 3 3 3 4" xfId="3376"/>
    <cellStyle name="Normal 7 3 3 3 5" xfId="22256"/>
    <cellStyle name="Normal 7 3 3 4" xfId="8214"/>
    <cellStyle name="Normal 7 3 3 4 2" xfId="10827"/>
    <cellStyle name="Normal 7 3 3 4 2 2" xfId="25149"/>
    <cellStyle name="Normal 7 3 3 4 3" xfId="23901"/>
    <cellStyle name="Normal 7 3 3 5" xfId="8780"/>
    <cellStyle name="Normal 7 3 3 5 2" xfId="24467"/>
    <cellStyle name="Normal 7 3 3 6" xfId="2927"/>
    <cellStyle name="Normal 7 3 3 7" xfId="22253"/>
    <cellStyle name="Normal 7 3 4" xfId="1259"/>
    <cellStyle name="Normal 7 3 4 2" xfId="1260"/>
    <cellStyle name="Normal 7 3 4 2 2" xfId="8551"/>
    <cellStyle name="Normal 7 3 4 2 2 2" xfId="11164"/>
    <cellStyle name="Normal 7 3 4 2 2 2 2" xfId="25486"/>
    <cellStyle name="Normal 7 3 4 2 2 3" xfId="24238"/>
    <cellStyle name="Normal 7 3 4 2 3" xfId="9192"/>
    <cellStyle name="Normal 7 3 4 2 3 2" xfId="24864"/>
    <cellStyle name="Normal 7 3 4 2 4" xfId="3432"/>
    <cellStyle name="Normal 7 3 4 2 5" xfId="22258"/>
    <cellStyle name="Normal 7 3 4 3" xfId="8270"/>
    <cellStyle name="Normal 7 3 4 3 2" xfId="10883"/>
    <cellStyle name="Normal 7 3 4 3 2 2" xfId="25205"/>
    <cellStyle name="Normal 7 3 4 3 3" xfId="23957"/>
    <cellStyle name="Normal 7 3 4 4" xfId="8836"/>
    <cellStyle name="Normal 7 3 4 4 2" xfId="24523"/>
    <cellStyle name="Normal 7 3 4 5" xfId="2983"/>
    <cellStyle name="Normal 7 3 4 6" xfId="22257"/>
    <cellStyle name="Normal 7 3 5" xfId="1261"/>
    <cellStyle name="Normal 7 3 5 2" xfId="1262"/>
    <cellStyle name="Normal 7 3 5 2 2" xfId="8601"/>
    <cellStyle name="Normal 7 3 5 2 2 2" xfId="11214"/>
    <cellStyle name="Normal 7 3 5 2 2 2 2" xfId="25536"/>
    <cellStyle name="Normal 7 3 5 2 2 3" xfId="24288"/>
    <cellStyle name="Normal 7 3 5 2 3" xfId="9243"/>
    <cellStyle name="Normal 7 3 5 2 3 2" xfId="24914"/>
    <cellStyle name="Normal 7 3 5 2 4" xfId="3490"/>
    <cellStyle name="Normal 7 3 5 2 5" xfId="22260"/>
    <cellStyle name="Normal 7 3 5 3" xfId="8320"/>
    <cellStyle name="Normal 7 3 5 3 2" xfId="10933"/>
    <cellStyle name="Normal 7 3 5 3 2 2" xfId="25255"/>
    <cellStyle name="Normal 7 3 5 3 3" xfId="24007"/>
    <cellStyle name="Normal 7 3 5 4" xfId="8886"/>
    <cellStyle name="Normal 7 3 5 4 2" xfId="24573"/>
    <cellStyle name="Normal 7 3 5 5" xfId="3043"/>
    <cellStyle name="Normal 7 3 5 6" xfId="22259"/>
    <cellStyle name="Normal 7 3 6" xfId="1263"/>
    <cellStyle name="Normal 7 3 6 2" xfId="8429"/>
    <cellStyle name="Normal 7 3 6 2 2" xfId="11042"/>
    <cellStyle name="Normal 7 3 6 2 2 2" xfId="25364"/>
    <cellStyle name="Normal 7 3 6 2 3" xfId="24116"/>
    <cellStyle name="Normal 7 3 6 3" xfId="8999"/>
    <cellStyle name="Normal 7 3 6 3 2" xfId="24682"/>
    <cellStyle name="Normal 7 3 6 4" xfId="3173"/>
    <cellStyle name="Normal 7 3 6 5" xfId="22261"/>
    <cellStyle name="Normal 7 3 7" xfId="1264"/>
    <cellStyle name="Normal 7 3 7 2" xfId="8152"/>
    <cellStyle name="Normal 7 3 7 2 2" xfId="10765"/>
    <cellStyle name="Normal 7 3 7 2 2 2" xfId="25087"/>
    <cellStyle name="Normal 7 3 7 2 3" xfId="23839"/>
    <cellStyle name="Normal 7 3 7 3" xfId="9074"/>
    <cellStyle name="Normal 7 3 7 3 2" xfId="24746"/>
    <cellStyle name="Normal 7 3 7 4" xfId="3314"/>
    <cellStyle name="Normal 7 3 7 5" xfId="22262"/>
    <cellStyle name="Normal 7 3 8" xfId="8088"/>
    <cellStyle name="Normal 7 3 8 2" xfId="10701"/>
    <cellStyle name="Normal 7 3 8 2 2" xfId="25023"/>
    <cellStyle name="Normal 7 3 8 3" xfId="23775"/>
    <cellStyle name="Normal 7 3 9" xfId="8718"/>
    <cellStyle name="Normal 7 3 9 2" xfId="24405"/>
    <cellStyle name="Normal 7 4" xfId="1265"/>
    <cellStyle name="Normal 7 4 10" xfId="22263"/>
    <cellStyle name="Normal 7 4 2" xfId="1266"/>
    <cellStyle name="Normal 7 4 2 2" xfId="1267"/>
    <cellStyle name="Normal 7 4 2 2 2" xfId="1268"/>
    <cellStyle name="Normal 7 4 2 2 2 2" xfId="8674"/>
    <cellStyle name="Normal 7 4 2 2 2 2 2" xfId="11287"/>
    <cellStyle name="Normal 7 4 2 2 2 2 2 2" xfId="25609"/>
    <cellStyle name="Normal 7 4 2 2 2 2 3" xfId="24361"/>
    <cellStyle name="Normal 7 4 2 2 2 3" xfId="9316"/>
    <cellStyle name="Normal 7 4 2 2 2 3 2" xfId="24987"/>
    <cellStyle name="Normal 7 4 2 2 2 4" xfId="3564"/>
    <cellStyle name="Normal 7 4 2 2 2 5" xfId="22266"/>
    <cellStyle name="Normal 7 4 2 2 3" xfId="8393"/>
    <cellStyle name="Normal 7 4 2 2 3 2" xfId="11006"/>
    <cellStyle name="Normal 7 4 2 2 3 2 2" xfId="25328"/>
    <cellStyle name="Normal 7 4 2 2 3 3" xfId="24080"/>
    <cellStyle name="Normal 7 4 2 2 4" xfId="8959"/>
    <cellStyle name="Normal 7 4 2 2 4 2" xfId="24646"/>
    <cellStyle name="Normal 7 4 2 2 5" xfId="3116"/>
    <cellStyle name="Normal 7 4 2 2 6" xfId="22265"/>
    <cellStyle name="Normal 7 4 2 3" xfId="1269"/>
    <cellStyle name="Normal 7 4 2 3 2" xfId="8506"/>
    <cellStyle name="Normal 7 4 2 3 2 2" xfId="11119"/>
    <cellStyle name="Normal 7 4 2 3 2 2 2" xfId="25441"/>
    <cellStyle name="Normal 7 4 2 3 2 3" xfId="24193"/>
    <cellStyle name="Normal 7 4 2 3 3" xfId="9147"/>
    <cellStyle name="Normal 7 4 2 3 3 2" xfId="24819"/>
    <cellStyle name="Normal 7 4 2 3 4" xfId="3387"/>
    <cellStyle name="Normal 7 4 2 3 5" xfId="22267"/>
    <cellStyle name="Normal 7 4 2 4" xfId="8225"/>
    <cellStyle name="Normal 7 4 2 4 2" xfId="10838"/>
    <cellStyle name="Normal 7 4 2 4 2 2" xfId="25160"/>
    <cellStyle name="Normal 7 4 2 4 3" xfId="23912"/>
    <cellStyle name="Normal 7 4 2 5" xfId="8791"/>
    <cellStyle name="Normal 7 4 2 5 2" xfId="24478"/>
    <cellStyle name="Normal 7 4 2 6" xfId="2938"/>
    <cellStyle name="Normal 7 4 2 7" xfId="22264"/>
    <cellStyle name="Normal 7 4 3" xfId="1270"/>
    <cellStyle name="Normal 7 4 3 2" xfId="1271"/>
    <cellStyle name="Normal 7 4 3 2 2" xfId="8562"/>
    <cellStyle name="Normal 7 4 3 2 2 2" xfId="11175"/>
    <cellStyle name="Normal 7 4 3 2 2 2 2" xfId="25497"/>
    <cellStyle name="Normal 7 4 3 2 2 3" xfId="24249"/>
    <cellStyle name="Normal 7 4 3 2 3" xfId="9203"/>
    <cellStyle name="Normal 7 4 3 2 3 2" xfId="24875"/>
    <cellStyle name="Normal 7 4 3 2 4" xfId="3443"/>
    <cellStyle name="Normal 7 4 3 2 5" xfId="22269"/>
    <cellStyle name="Normal 7 4 3 3" xfId="8281"/>
    <cellStyle name="Normal 7 4 3 3 2" xfId="10894"/>
    <cellStyle name="Normal 7 4 3 3 2 2" xfId="25216"/>
    <cellStyle name="Normal 7 4 3 3 3" xfId="23968"/>
    <cellStyle name="Normal 7 4 3 4" xfId="8847"/>
    <cellStyle name="Normal 7 4 3 4 2" xfId="24534"/>
    <cellStyle name="Normal 7 4 3 5" xfId="2994"/>
    <cellStyle name="Normal 7 4 3 6" xfId="22268"/>
    <cellStyle name="Normal 7 4 4" xfId="1272"/>
    <cellStyle name="Normal 7 4 4 2" xfId="1273"/>
    <cellStyle name="Normal 7 4 4 2 2" xfId="8612"/>
    <cellStyle name="Normal 7 4 4 2 2 2" xfId="11225"/>
    <cellStyle name="Normal 7 4 4 2 2 2 2" xfId="25547"/>
    <cellStyle name="Normal 7 4 4 2 2 3" xfId="24299"/>
    <cellStyle name="Normal 7 4 4 2 3" xfId="9254"/>
    <cellStyle name="Normal 7 4 4 2 3 2" xfId="24925"/>
    <cellStyle name="Normal 7 4 4 2 4" xfId="3501"/>
    <cellStyle name="Normal 7 4 4 2 5" xfId="22271"/>
    <cellStyle name="Normal 7 4 4 3" xfId="8331"/>
    <cellStyle name="Normal 7 4 4 3 2" xfId="10944"/>
    <cellStyle name="Normal 7 4 4 3 2 2" xfId="25266"/>
    <cellStyle name="Normal 7 4 4 3 3" xfId="24018"/>
    <cellStyle name="Normal 7 4 4 4" xfId="8897"/>
    <cellStyle name="Normal 7 4 4 4 2" xfId="24584"/>
    <cellStyle name="Normal 7 4 4 5" xfId="3054"/>
    <cellStyle name="Normal 7 4 4 6" xfId="22270"/>
    <cellStyle name="Normal 7 4 5" xfId="1274"/>
    <cellStyle name="Normal 7 4 5 2" xfId="8455"/>
    <cellStyle name="Normal 7 4 5 2 2" xfId="11068"/>
    <cellStyle name="Normal 7 4 5 2 2 2" xfId="25390"/>
    <cellStyle name="Normal 7 4 5 2 3" xfId="24142"/>
    <cellStyle name="Normal 7 4 5 3" xfId="9027"/>
    <cellStyle name="Normal 7 4 5 3 2" xfId="24708"/>
    <cellStyle name="Normal 7 4 5 4" xfId="3218"/>
    <cellStyle name="Normal 7 4 5 5" xfId="22272"/>
    <cellStyle name="Normal 7 4 6" xfId="1275"/>
    <cellStyle name="Normal 7 4 6 2" xfId="8163"/>
    <cellStyle name="Normal 7 4 6 2 2" xfId="10776"/>
    <cellStyle name="Normal 7 4 6 2 2 2" xfId="25098"/>
    <cellStyle name="Normal 7 4 6 2 3" xfId="23850"/>
    <cellStyle name="Normal 7 4 6 3" xfId="9085"/>
    <cellStyle name="Normal 7 4 6 3 2" xfId="24757"/>
    <cellStyle name="Normal 7 4 6 4" xfId="3325"/>
    <cellStyle name="Normal 7 4 6 5" xfId="22273"/>
    <cellStyle name="Normal 7 4 7" xfId="8114"/>
    <cellStyle name="Normal 7 4 7 2" xfId="10727"/>
    <cellStyle name="Normal 7 4 7 2 2" xfId="25049"/>
    <cellStyle name="Normal 7 4 7 3" xfId="23801"/>
    <cellStyle name="Normal 7 4 8" xfId="8729"/>
    <cellStyle name="Normal 7 4 8 2" xfId="24416"/>
    <cellStyle name="Normal 7 4 9" xfId="2874"/>
    <cellStyle name="Normal 7 5" xfId="1276"/>
    <cellStyle name="Normal 7 5 10" xfId="22274"/>
    <cellStyle name="Normal 7 5 2" xfId="1277"/>
    <cellStyle name="Normal 7 5 2 2" xfId="1278"/>
    <cellStyle name="Normal 7 5 2 2 2" xfId="1279"/>
    <cellStyle name="Normal 7 5 2 2 2 2" xfId="8653"/>
    <cellStyle name="Normal 7 5 2 2 2 2 2" xfId="11266"/>
    <cellStyle name="Normal 7 5 2 2 2 2 2 2" xfId="25588"/>
    <cellStyle name="Normal 7 5 2 2 2 2 3" xfId="24340"/>
    <cellStyle name="Normal 7 5 2 2 2 3" xfId="9295"/>
    <cellStyle name="Normal 7 5 2 2 2 3 2" xfId="24966"/>
    <cellStyle name="Normal 7 5 2 2 2 4" xfId="3543"/>
    <cellStyle name="Normal 7 5 2 2 2 5" xfId="22277"/>
    <cellStyle name="Normal 7 5 2 2 3" xfId="8372"/>
    <cellStyle name="Normal 7 5 2 2 3 2" xfId="10985"/>
    <cellStyle name="Normal 7 5 2 2 3 2 2" xfId="25307"/>
    <cellStyle name="Normal 7 5 2 2 3 3" xfId="24059"/>
    <cellStyle name="Normal 7 5 2 2 4" xfId="8938"/>
    <cellStyle name="Normal 7 5 2 2 4 2" xfId="24625"/>
    <cellStyle name="Normal 7 5 2 2 5" xfId="3095"/>
    <cellStyle name="Normal 7 5 2 2 6" xfId="22276"/>
    <cellStyle name="Normal 7 5 2 3" xfId="1280"/>
    <cellStyle name="Normal 7 5 2 3 2" xfId="8486"/>
    <cellStyle name="Normal 7 5 2 3 2 2" xfId="11099"/>
    <cellStyle name="Normal 7 5 2 3 2 2 2" xfId="25421"/>
    <cellStyle name="Normal 7 5 2 3 2 3" xfId="24173"/>
    <cellStyle name="Normal 7 5 2 3 3" xfId="9126"/>
    <cellStyle name="Normal 7 5 2 3 3 2" xfId="24798"/>
    <cellStyle name="Normal 7 5 2 3 4" xfId="3366"/>
    <cellStyle name="Normal 7 5 2 3 5" xfId="22278"/>
    <cellStyle name="Normal 7 5 2 4" xfId="8204"/>
    <cellStyle name="Normal 7 5 2 4 2" xfId="10817"/>
    <cellStyle name="Normal 7 5 2 4 2 2" xfId="25139"/>
    <cellStyle name="Normal 7 5 2 4 3" xfId="23891"/>
    <cellStyle name="Normal 7 5 2 5" xfId="8770"/>
    <cellStyle name="Normal 7 5 2 5 2" xfId="24457"/>
    <cellStyle name="Normal 7 5 2 6" xfId="2917"/>
    <cellStyle name="Normal 7 5 2 7" xfId="22275"/>
    <cellStyle name="Normal 7 5 3" xfId="1281"/>
    <cellStyle name="Normal 7 5 3 2" xfId="1282"/>
    <cellStyle name="Normal 7 5 3 2 2" xfId="8541"/>
    <cellStyle name="Normal 7 5 3 2 2 2" xfId="11154"/>
    <cellStyle name="Normal 7 5 3 2 2 2 2" xfId="25476"/>
    <cellStyle name="Normal 7 5 3 2 2 3" xfId="24228"/>
    <cellStyle name="Normal 7 5 3 2 3" xfId="9182"/>
    <cellStyle name="Normal 7 5 3 2 3 2" xfId="24854"/>
    <cellStyle name="Normal 7 5 3 2 4" xfId="3422"/>
    <cellStyle name="Normal 7 5 3 2 5" xfId="22280"/>
    <cellStyle name="Normal 7 5 3 3" xfId="8260"/>
    <cellStyle name="Normal 7 5 3 3 2" xfId="10873"/>
    <cellStyle name="Normal 7 5 3 3 2 2" xfId="25195"/>
    <cellStyle name="Normal 7 5 3 3 3" xfId="23947"/>
    <cellStyle name="Normal 7 5 3 4" xfId="8826"/>
    <cellStyle name="Normal 7 5 3 4 2" xfId="24513"/>
    <cellStyle name="Normal 7 5 3 5" xfId="2973"/>
    <cellStyle name="Normal 7 5 3 6" xfId="22279"/>
    <cellStyle name="Normal 7 5 4" xfId="1283"/>
    <cellStyle name="Normal 7 5 4 2" xfId="1284"/>
    <cellStyle name="Normal 7 5 4 2 2" xfId="8622"/>
    <cellStyle name="Normal 7 5 4 2 2 2" xfId="11235"/>
    <cellStyle name="Normal 7 5 4 2 2 2 2" xfId="25557"/>
    <cellStyle name="Normal 7 5 4 2 2 3" xfId="24309"/>
    <cellStyle name="Normal 7 5 4 2 3" xfId="9264"/>
    <cellStyle name="Normal 7 5 4 2 3 2" xfId="24935"/>
    <cellStyle name="Normal 7 5 4 2 4" xfId="3512"/>
    <cellStyle name="Normal 7 5 4 2 5" xfId="22282"/>
    <cellStyle name="Normal 7 5 4 3" xfId="8341"/>
    <cellStyle name="Normal 7 5 4 3 2" xfId="10954"/>
    <cellStyle name="Normal 7 5 4 3 2 2" xfId="25276"/>
    <cellStyle name="Normal 7 5 4 3 3" xfId="24028"/>
    <cellStyle name="Normal 7 5 4 4" xfId="8907"/>
    <cellStyle name="Normal 7 5 4 4 2" xfId="24594"/>
    <cellStyle name="Normal 7 5 4 5" xfId="3064"/>
    <cellStyle name="Normal 7 5 4 6" xfId="22281"/>
    <cellStyle name="Normal 7 5 5" xfId="1285"/>
    <cellStyle name="Normal 7 5 5 2" xfId="8438"/>
    <cellStyle name="Normal 7 5 5 2 2" xfId="11051"/>
    <cellStyle name="Normal 7 5 5 2 2 2" xfId="25373"/>
    <cellStyle name="Normal 7 5 5 2 3" xfId="24125"/>
    <cellStyle name="Normal 7 5 5 3" xfId="9010"/>
    <cellStyle name="Normal 7 5 5 3 2" xfId="24691"/>
    <cellStyle name="Normal 7 5 5 4" xfId="3201"/>
    <cellStyle name="Normal 7 5 5 5" xfId="22283"/>
    <cellStyle name="Normal 7 5 6" xfId="1286"/>
    <cellStyle name="Normal 7 5 6 2" xfId="8173"/>
    <cellStyle name="Normal 7 5 6 2 2" xfId="10786"/>
    <cellStyle name="Normal 7 5 6 2 2 2" xfId="25108"/>
    <cellStyle name="Normal 7 5 6 2 3" xfId="23860"/>
    <cellStyle name="Normal 7 5 6 3" xfId="9095"/>
    <cellStyle name="Normal 7 5 6 3 2" xfId="24767"/>
    <cellStyle name="Normal 7 5 6 4" xfId="3335"/>
    <cellStyle name="Normal 7 5 6 5" xfId="22284"/>
    <cellStyle name="Normal 7 5 7" xfId="8097"/>
    <cellStyle name="Normal 7 5 7 2" xfId="10710"/>
    <cellStyle name="Normal 7 5 7 2 2" xfId="25032"/>
    <cellStyle name="Normal 7 5 7 3" xfId="23784"/>
    <cellStyle name="Normal 7 5 8" xfId="8739"/>
    <cellStyle name="Normal 7 5 8 2" xfId="24426"/>
    <cellStyle name="Normal 7 5 9" xfId="2886"/>
    <cellStyle name="Normal 7 6" xfId="1287"/>
    <cellStyle name="Normal 7 6 2" xfId="1288"/>
    <cellStyle name="Normal 7 6 2 2" xfId="1289"/>
    <cellStyle name="Normal 7 6 2 2 2" xfId="8643"/>
    <cellStyle name="Normal 7 6 2 2 2 2" xfId="11256"/>
    <cellStyle name="Normal 7 6 2 2 2 2 2" xfId="25578"/>
    <cellStyle name="Normal 7 6 2 2 2 3" xfId="24330"/>
    <cellStyle name="Normal 7 6 2 2 3" xfId="9285"/>
    <cellStyle name="Normal 7 6 2 2 3 2" xfId="24956"/>
    <cellStyle name="Normal 7 6 2 2 4" xfId="3533"/>
    <cellStyle name="Normal 7 6 2 2 5" xfId="22287"/>
    <cellStyle name="Normal 7 6 2 3" xfId="8362"/>
    <cellStyle name="Normal 7 6 2 3 2" xfId="10975"/>
    <cellStyle name="Normal 7 6 2 3 2 2" xfId="25297"/>
    <cellStyle name="Normal 7 6 2 3 3" xfId="24049"/>
    <cellStyle name="Normal 7 6 2 4" xfId="8928"/>
    <cellStyle name="Normal 7 6 2 4 2" xfId="24615"/>
    <cellStyle name="Normal 7 6 2 5" xfId="3085"/>
    <cellStyle name="Normal 7 6 2 6" xfId="22286"/>
    <cellStyle name="Normal 7 6 3" xfId="1290"/>
    <cellStyle name="Normal 7 6 3 2" xfId="8479"/>
    <cellStyle name="Normal 7 6 3 2 2" xfId="11092"/>
    <cellStyle name="Normal 7 6 3 2 2 2" xfId="25414"/>
    <cellStyle name="Normal 7 6 3 2 3" xfId="24166"/>
    <cellStyle name="Normal 7 6 3 3" xfId="9116"/>
    <cellStyle name="Normal 7 6 3 3 2" xfId="24788"/>
    <cellStyle name="Normal 7 6 3 4" xfId="3356"/>
    <cellStyle name="Normal 7 6 3 5" xfId="22288"/>
    <cellStyle name="Normal 7 6 4" xfId="8194"/>
    <cellStyle name="Normal 7 6 4 2" xfId="10807"/>
    <cellStyle name="Normal 7 6 4 2 2" xfId="25129"/>
    <cellStyle name="Normal 7 6 4 3" xfId="23881"/>
    <cellStyle name="Normal 7 6 5" xfId="8760"/>
    <cellStyle name="Normal 7 6 5 2" xfId="24447"/>
    <cellStyle name="Normal 7 6 6" xfId="2907"/>
    <cellStyle name="Normal 7 6 7" xfId="22285"/>
    <cellStyle name="Normal 7 7" xfId="1291"/>
    <cellStyle name="Normal 7 7 2" xfId="1292"/>
    <cellStyle name="Normal 7 7 2 2" xfId="8531"/>
    <cellStyle name="Normal 7 7 2 2 2" xfId="11144"/>
    <cellStyle name="Normal 7 7 2 2 2 2" xfId="25466"/>
    <cellStyle name="Normal 7 7 2 2 3" xfId="24218"/>
    <cellStyle name="Normal 7 7 2 3" xfId="9172"/>
    <cellStyle name="Normal 7 7 2 3 2" xfId="24844"/>
    <cellStyle name="Normal 7 7 2 4" xfId="3412"/>
    <cellStyle name="Normal 7 7 2 5" xfId="22290"/>
    <cellStyle name="Normal 7 7 3" xfId="8250"/>
    <cellStyle name="Normal 7 7 3 2" xfId="10863"/>
    <cellStyle name="Normal 7 7 3 2 2" xfId="25185"/>
    <cellStyle name="Normal 7 7 3 3" xfId="23937"/>
    <cellStyle name="Normal 7 7 4" xfId="8816"/>
    <cellStyle name="Normal 7 7 4 2" xfId="24503"/>
    <cellStyle name="Normal 7 7 5" xfId="2963"/>
    <cellStyle name="Normal 7 7 6" xfId="22289"/>
    <cellStyle name="Normal 7 8" xfId="1293"/>
    <cellStyle name="Normal 7 8 2" xfId="1294"/>
    <cellStyle name="Normal 7 8 2 2" xfId="8591"/>
    <cellStyle name="Normal 7 8 2 2 2" xfId="11204"/>
    <cellStyle name="Normal 7 8 2 2 2 2" xfId="25526"/>
    <cellStyle name="Normal 7 8 2 2 3" xfId="24278"/>
    <cellStyle name="Normal 7 8 2 3" xfId="9233"/>
    <cellStyle name="Normal 7 8 2 3 2" xfId="24904"/>
    <cellStyle name="Normal 7 8 2 4" xfId="3480"/>
    <cellStyle name="Normal 7 8 2 5" xfId="22292"/>
    <cellStyle name="Normal 7 8 3" xfId="8310"/>
    <cellStyle name="Normal 7 8 3 2" xfId="10923"/>
    <cellStyle name="Normal 7 8 3 2 2" xfId="25245"/>
    <cellStyle name="Normal 7 8 3 3" xfId="23997"/>
    <cellStyle name="Normal 7 8 4" xfId="8876"/>
    <cellStyle name="Normal 7 8 4 2" xfId="24563"/>
    <cellStyle name="Normal 7 8 5" xfId="3033"/>
    <cellStyle name="Normal 7 8 6" xfId="22291"/>
    <cellStyle name="Normal 7 9" xfId="1295"/>
    <cellStyle name="Normal 7 9 2" xfId="8418"/>
    <cellStyle name="Normal 7 9 2 2" xfId="11031"/>
    <cellStyle name="Normal 7 9 2 2 2" xfId="25353"/>
    <cellStyle name="Normal 7 9 2 3" xfId="24105"/>
    <cellStyle name="Normal 7 9 3" xfId="8988"/>
    <cellStyle name="Normal 7 9 3 2" xfId="24671"/>
    <cellStyle name="Normal 7 9 4" xfId="3161"/>
    <cellStyle name="Normal 7 9 5" xfId="22293"/>
    <cellStyle name="Normal 8" xfId="1296"/>
    <cellStyle name="Normal 8 10" xfId="8724"/>
    <cellStyle name="Normal 8 10 2" xfId="24411"/>
    <cellStyle name="Normal 8 11" xfId="2869"/>
    <cellStyle name="Normal 8 12" xfId="22294"/>
    <cellStyle name="Normal 8 2" xfId="1297"/>
    <cellStyle name="Normal 8 2 10" xfId="22295"/>
    <cellStyle name="Normal 8 2 2" xfId="1298"/>
    <cellStyle name="Normal 8 2 2 2" xfId="1299"/>
    <cellStyle name="Normal 8 2 2 2 2" xfId="1300"/>
    <cellStyle name="Normal 8 2 2 2 2 2" xfId="8675"/>
    <cellStyle name="Normal 8 2 2 2 2 2 2" xfId="11288"/>
    <cellStyle name="Normal 8 2 2 2 2 2 2 2" xfId="25610"/>
    <cellStyle name="Normal 8 2 2 2 2 2 3" xfId="24362"/>
    <cellStyle name="Normal 8 2 2 2 2 3" xfId="9317"/>
    <cellStyle name="Normal 8 2 2 2 2 3 2" xfId="24988"/>
    <cellStyle name="Normal 8 2 2 2 2 4" xfId="3565"/>
    <cellStyle name="Normal 8 2 2 2 2 5" xfId="22298"/>
    <cellStyle name="Normal 8 2 2 2 3" xfId="8394"/>
    <cellStyle name="Normal 8 2 2 2 3 2" xfId="11007"/>
    <cellStyle name="Normal 8 2 2 2 3 2 2" xfId="25329"/>
    <cellStyle name="Normal 8 2 2 2 3 3" xfId="24081"/>
    <cellStyle name="Normal 8 2 2 2 4" xfId="8960"/>
    <cellStyle name="Normal 8 2 2 2 4 2" xfId="24647"/>
    <cellStyle name="Normal 8 2 2 2 5" xfId="3117"/>
    <cellStyle name="Normal 8 2 2 2 6" xfId="22297"/>
    <cellStyle name="Normal 8 2 2 3" xfId="1301"/>
    <cellStyle name="Normal 8 2 2 3 2" xfId="8507"/>
    <cellStyle name="Normal 8 2 2 3 2 2" xfId="11120"/>
    <cellStyle name="Normal 8 2 2 3 2 2 2" xfId="25442"/>
    <cellStyle name="Normal 8 2 2 3 2 3" xfId="24194"/>
    <cellStyle name="Normal 8 2 2 3 3" xfId="9148"/>
    <cellStyle name="Normal 8 2 2 3 3 2" xfId="24820"/>
    <cellStyle name="Normal 8 2 2 3 4" xfId="3388"/>
    <cellStyle name="Normal 8 2 2 3 5" xfId="22299"/>
    <cellStyle name="Normal 8 2 2 4" xfId="8226"/>
    <cellStyle name="Normal 8 2 2 4 2" xfId="10839"/>
    <cellStyle name="Normal 8 2 2 4 2 2" xfId="25161"/>
    <cellStyle name="Normal 8 2 2 4 3" xfId="23913"/>
    <cellStyle name="Normal 8 2 2 5" xfId="8792"/>
    <cellStyle name="Normal 8 2 2 5 2" xfId="24479"/>
    <cellStyle name="Normal 8 2 2 6" xfId="2939"/>
    <cellStyle name="Normal 8 2 2 7" xfId="22296"/>
    <cellStyle name="Normal 8 2 3" xfId="1302"/>
    <cellStyle name="Normal 8 2 3 2" xfId="1303"/>
    <cellStyle name="Normal 8 2 3 2 2" xfId="8563"/>
    <cellStyle name="Normal 8 2 3 2 2 2" xfId="11176"/>
    <cellStyle name="Normal 8 2 3 2 2 2 2" xfId="25498"/>
    <cellStyle name="Normal 8 2 3 2 2 3" xfId="24250"/>
    <cellStyle name="Normal 8 2 3 2 3" xfId="9204"/>
    <cellStyle name="Normal 8 2 3 2 3 2" xfId="24876"/>
    <cellStyle name="Normal 8 2 3 2 4" xfId="3444"/>
    <cellStyle name="Normal 8 2 3 2 5" xfId="22301"/>
    <cellStyle name="Normal 8 2 3 3" xfId="8282"/>
    <cellStyle name="Normal 8 2 3 3 2" xfId="10895"/>
    <cellStyle name="Normal 8 2 3 3 2 2" xfId="25217"/>
    <cellStyle name="Normal 8 2 3 3 3" xfId="23969"/>
    <cellStyle name="Normal 8 2 3 4" xfId="8848"/>
    <cellStyle name="Normal 8 2 3 4 2" xfId="24535"/>
    <cellStyle name="Normal 8 2 3 5" xfId="2995"/>
    <cellStyle name="Normal 8 2 3 6" xfId="22300"/>
    <cellStyle name="Normal 8 2 4" xfId="1304"/>
    <cellStyle name="Normal 8 2 4 2" xfId="1305"/>
    <cellStyle name="Normal 8 2 4 2 2" xfId="8613"/>
    <cellStyle name="Normal 8 2 4 2 2 2" xfId="11226"/>
    <cellStyle name="Normal 8 2 4 2 2 2 2" xfId="25548"/>
    <cellStyle name="Normal 8 2 4 2 2 3" xfId="24300"/>
    <cellStyle name="Normal 8 2 4 2 3" xfId="9255"/>
    <cellStyle name="Normal 8 2 4 2 3 2" xfId="24926"/>
    <cellStyle name="Normal 8 2 4 2 4" xfId="3502"/>
    <cellStyle name="Normal 8 2 4 2 5" xfId="22303"/>
    <cellStyle name="Normal 8 2 4 3" xfId="8332"/>
    <cellStyle name="Normal 8 2 4 3 2" xfId="10945"/>
    <cellStyle name="Normal 8 2 4 3 2 2" xfId="25267"/>
    <cellStyle name="Normal 8 2 4 3 3" xfId="24019"/>
    <cellStyle name="Normal 8 2 4 4" xfId="8898"/>
    <cellStyle name="Normal 8 2 4 4 2" xfId="24585"/>
    <cellStyle name="Normal 8 2 4 5" xfId="3055"/>
    <cellStyle name="Normal 8 2 4 6" xfId="22302"/>
    <cellStyle name="Normal 8 2 5" xfId="1306"/>
    <cellStyle name="Normal 8 2 5 2" xfId="8430"/>
    <cellStyle name="Normal 8 2 5 2 2" xfId="11043"/>
    <cellStyle name="Normal 8 2 5 2 2 2" xfId="25365"/>
    <cellStyle name="Normal 8 2 5 2 3" xfId="24117"/>
    <cellStyle name="Normal 8 2 5 3" xfId="9000"/>
    <cellStyle name="Normal 8 2 5 3 2" xfId="24683"/>
    <cellStyle name="Normal 8 2 5 4" xfId="3174"/>
    <cellStyle name="Normal 8 2 5 5" xfId="22304"/>
    <cellStyle name="Normal 8 2 6" xfId="1307"/>
    <cellStyle name="Normal 8 2 6 2" xfId="8164"/>
    <cellStyle name="Normal 8 2 6 2 2" xfId="10777"/>
    <cellStyle name="Normal 8 2 6 2 2 2" xfId="25099"/>
    <cellStyle name="Normal 8 2 6 2 3" xfId="23851"/>
    <cellStyle name="Normal 8 2 6 3" xfId="9086"/>
    <cellStyle name="Normal 8 2 6 3 2" xfId="24758"/>
    <cellStyle name="Normal 8 2 6 4" xfId="3326"/>
    <cellStyle name="Normal 8 2 6 5" xfId="22305"/>
    <cellStyle name="Normal 8 2 7" xfId="8089"/>
    <cellStyle name="Normal 8 2 7 2" xfId="10702"/>
    <cellStyle name="Normal 8 2 7 2 2" xfId="25024"/>
    <cellStyle name="Normal 8 2 7 3" xfId="23776"/>
    <cellStyle name="Normal 8 2 8" xfId="8730"/>
    <cellStyle name="Normal 8 2 8 2" xfId="24417"/>
    <cellStyle name="Normal 8 2 9" xfId="2875"/>
    <cellStyle name="Normal 8 3" xfId="1308"/>
    <cellStyle name="Normal 8 3 10" xfId="22306"/>
    <cellStyle name="Normal 8 3 2" xfId="1309"/>
    <cellStyle name="Normal 8 3 2 2" xfId="1310"/>
    <cellStyle name="Normal 8 3 2 2 2" xfId="1311"/>
    <cellStyle name="Normal 8 3 2 2 2 2" xfId="8669"/>
    <cellStyle name="Normal 8 3 2 2 2 2 2" xfId="11282"/>
    <cellStyle name="Normal 8 3 2 2 2 2 2 2" xfId="25604"/>
    <cellStyle name="Normal 8 3 2 2 2 2 3" xfId="24356"/>
    <cellStyle name="Normal 8 3 2 2 2 3" xfId="9311"/>
    <cellStyle name="Normal 8 3 2 2 2 3 2" xfId="24982"/>
    <cellStyle name="Normal 8 3 2 2 2 4" xfId="3559"/>
    <cellStyle name="Normal 8 3 2 2 2 5" xfId="22309"/>
    <cellStyle name="Normal 8 3 2 2 3" xfId="8388"/>
    <cellStyle name="Normal 8 3 2 2 3 2" xfId="11001"/>
    <cellStyle name="Normal 8 3 2 2 3 2 2" xfId="25323"/>
    <cellStyle name="Normal 8 3 2 2 3 3" xfId="24075"/>
    <cellStyle name="Normal 8 3 2 2 4" xfId="8954"/>
    <cellStyle name="Normal 8 3 2 2 4 2" xfId="24641"/>
    <cellStyle name="Normal 8 3 2 2 5" xfId="3111"/>
    <cellStyle name="Normal 8 3 2 2 6" xfId="22308"/>
    <cellStyle name="Normal 8 3 2 3" xfId="1312"/>
    <cellStyle name="Normal 8 3 2 3 2" xfId="8501"/>
    <cellStyle name="Normal 8 3 2 3 2 2" xfId="11114"/>
    <cellStyle name="Normal 8 3 2 3 2 2 2" xfId="25436"/>
    <cellStyle name="Normal 8 3 2 3 2 3" xfId="24188"/>
    <cellStyle name="Normal 8 3 2 3 3" xfId="9142"/>
    <cellStyle name="Normal 8 3 2 3 3 2" xfId="24814"/>
    <cellStyle name="Normal 8 3 2 3 4" xfId="3382"/>
    <cellStyle name="Normal 8 3 2 3 5" xfId="22310"/>
    <cellStyle name="Normal 8 3 2 4" xfId="8220"/>
    <cellStyle name="Normal 8 3 2 4 2" xfId="10833"/>
    <cellStyle name="Normal 8 3 2 4 2 2" xfId="25155"/>
    <cellStyle name="Normal 8 3 2 4 3" xfId="23907"/>
    <cellStyle name="Normal 8 3 2 5" xfId="8786"/>
    <cellStyle name="Normal 8 3 2 5 2" xfId="24473"/>
    <cellStyle name="Normal 8 3 2 6" xfId="2933"/>
    <cellStyle name="Normal 8 3 2 7" xfId="22307"/>
    <cellStyle name="Normal 8 3 3" xfId="1313"/>
    <cellStyle name="Normal 8 3 3 2" xfId="1314"/>
    <cellStyle name="Normal 8 3 3 2 2" xfId="8557"/>
    <cellStyle name="Normal 8 3 3 2 2 2" xfId="11170"/>
    <cellStyle name="Normal 8 3 3 2 2 2 2" xfId="25492"/>
    <cellStyle name="Normal 8 3 3 2 2 3" xfId="24244"/>
    <cellStyle name="Normal 8 3 3 2 3" xfId="9198"/>
    <cellStyle name="Normal 8 3 3 2 3 2" xfId="24870"/>
    <cellStyle name="Normal 8 3 3 2 4" xfId="3438"/>
    <cellStyle name="Normal 8 3 3 2 5" xfId="22312"/>
    <cellStyle name="Normal 8 3 3 3" xfId="8276"/>
    <cellStyle name="Normal 8 3 3 3 2" xfId="10889"/>
    <cellStyle name="Normal 8 3 3 3 2 2" xfId="25211"/>
    <cellStyle name="Normal 8 3 3 3 3" xfId="23963"/>
    <cellStyle name="Normal 8 3 3 4" xfId="8842"/>
    <cellStyle name="Normal 8 3 3 4 2" xfId="24529"/>
    <cellStyle name="Normal 8 3 3 5" xfId="2989"/>
    <cellStyle name="Normal 8 3 3 6" xfId="22311"/>
    <cellStyle name="Normal 8 3 4" xfId="1315"/>
    <cellStyle name="Normal 8 3 4 2" xfId="1316"/>
    <cellStyle name="Normal 8 3 4 2 2" xfId="8638"/>
    <cellStyle name="Normal 8 3 4 2 2 2" xfId="11251"/>
    <cellStyle name="Normal 8 3 4 2 2 2 2" xfId="25573"/>
    <cellStyle name="Normal 8 3 4 2 2 3" xfId="24325"/>
    <cellStyle name="Normal 8 3 4 2 3" xfId="9280"/>
    <cellStyle name="Normal 8 3 4 2 3 2" xfId="24951"/>
    <cellStyle name="Normal 8 3 4 2 4" xfId="3528"/>
    <cellStyle name="Normal 8 3 4 2 5" xfId="22314"/>
    <cellStyle name="Normal 8 3 4 3" xfId="8357"/>
    <cellStyle name="Normal 8 3 4 3 2" xfId="10970"/>
    <cellStyle name="Normal 8 3 4 3 2 2" xfId="25292"/>
    <cellStyle name="Normal 8 3 4 3 3" xfId="24044"/>
    <cellStyle name="Normal 8 3 4 4" xfId="8923"/>
    <cellStyle name="Normal 8 3 4 4 2" xfId="24610"/>
    <cellStyle name="Normal 8 3 4 5" xfId="3080"/>
    <cellStyle name="Normal 8 3 4 6" xfId="22313"/>
    <cellStyle name="Normal 8 3 5" xfId="1317"/>
    <cellStyle name="Normal 8 3 5 2" xfId="8450"/>
    <cellStyle name="Normal 8 3 5 2 2" xfId="11063"/>
    <cellStyle name="Normal 8 3 5 2 2 2" xfId="25385"/>
    <cellStyle name="Normal 8 3 5 2 3" xfId="24137"/>
    <cellStyle name="Normal 8 3 5 3" xfId="9022"/>
    <cellStyle name="Normal 8 3 5 3 2" xfId="24703"/>
    <cellStyle name="Normal 8 3 5 4" xfId="3213"/>
    <cellStyle name="Normal 8 3 5 5" xfId="22315"/>
    <cellStyle name="Normal 8 3 6" xfId="1318"/>
    <cellStyle name="Normal 8 3 6 2" xfId="8189"/>
    <cellStyle name="Normal 8 3 6 2 2" xfId="10802"/>
    <cellStyle name="Normal 8 3 6 2 2 2" xfId="25124"/>
    <cellStyle name="Normal 8 3 6 2 3" xfId="23876"/>
    <cellStyle name="Normal 8 3 6 3" xfId="9111"/>
    <cellStyle name="Normal 8 3 6 3 2" xfId="24783"/>
    <cellStyle name="Normal 8 3 6 4" xfId="3351"/>
    <cellStyle name="Normal 8 3 6 5" xfId="22316"/>
    <cellStyle name="Normal 8 3 7" xfId="8109"/>
    <cellStyle name="Normal 8 3 7 2" xfId="10722"/>
    <cellStyle name="Normal 8 3 7 2 2" xfId="25044"/>
    <cellStyle name="Normal 8 3 7 3" xfId="23796"/>
    <cellStyle name="Normal 8 3 8" xfId="8755"/>
    <cellStyle name="Normal 8 3 8 2" xfId="24442"/>
    <cellStyle name="Normal 8 3 9" xfId="2902"/>
    <cellStyle name="Normal 8 4" xfId="1319"/>
    <cellStyle name="Normal 8 4 2" xfId="1320"/>
    <cellStyle name="Normal 8 4 2 2" xfId="1321"/>
    <cellStyle name="Normal 8 4 2 2 2" xfId="8644"/>
    <cellStyle name="Normal 8 4 2 2 2 2" xfId="11257"/>
    <cellStyle name="Normal 8 4 2 2 2 2 2" xfId="25579"/>
    <cellStyle name="Normal 8 4 2 2 2 3" xfId="24331"/>
    <cellStyle name="Normal 8 4 2 2 3" xfId="9286"/>
    <cellStyle name="Normal 8 4 2 2 3 2" xfId="24957"/>
    <cellStyle name="Normal 8 4 2 2 4" xfId="3534"/>
    <cellStyle name="Normal 8 4 2 2 5" xfId="22319"/>
    <cellStyle name="Normal 8 4 2 3" xfId="8363"/>
    <cellStyle name="Normal 8 4 2 3 2" xfId="10976"/>
    <cellStyle name="Normal 8 4 2 3 2 2" xfId="25298"/>
    <cellStyle name="Normal 8 4 2 3 3" xfId="24050"/>
    <cellStyle name="Normal 8 4 2 4" xfId="8929"/>
    <cellStyle name="Normal 8 4 2 4 2" xfId="24616"/>
    <cellStyle name="Normal 8 4 2 5" xfId="3086"/>
    <cellStyle name="Normal 8 4 2 6" xfId="22318"/>
    <cellStyle name="Normal 8 4 3" xfId="1322"/>
    <cellStyle name="Normal 8 4 3 2" xfId="8480"/>
    <cellStyle name="Normal 8 4 3 2 2" xfId="11093"/>
    <cellStyle name="Normal 8 4 3 2 2 2" xfId="25415"/>
    <cellStyle name="Normal 8 4 3 2 3" xfId="24167"/>
    <cellStyle name="Normal 8 4 3 3" xfId="9117"/>
    <cellStyle name="Normal 8 4 3 3 2" xfId="24789"/>
    <cellStyle name="Normal 8 4 3 4" xfId="3357"/>
    <cellStyle name="Normal 8 4 3 5" xfId="22320"/>
    <cellStyle name="Normal 8 4 4" xfId="8195"/>
    <cellStyle name="Normal 8 4 4 2" xfId="10808"/>
    <cellStyle name="Normal 8 4 4 2 2" xfId="25130"/>
    <cellStyle name="Normal 8 4 4 3" xfId="23882"/>
    <cellStyle name="Normal 8 4 5" xfId="8761"/>
    <cellStyle name="Normal 8 4 5 2" xfId="24448"/>
    <cellStyle name="Normal 8 4 6" xfId="2908"/>
    <cellStyle name="Normal 8 4 7" xfId="22317"/>
    <cellStyle name="Normal 8 5" xfId="1323"/>
    <cellStyle name="Normal 8 5 2" xfId="1324"/>
    <cellStyle name="Normal 8 5 2 2" xfId="8532"/>
    <cellStyle name="Normal 8 5 2 2 2" xfId="11145"/>
    <cellStyle name="Normal 8 5 2 2 2 2" xfId="25467"/>
    <cellStyle name="Normal 8 5 2 2 3" xfId="24219"/>
    <cellStyle name="Normal 8 5 2 3" xfId="9173"/>
    <cellStyle name="Normal 8 5 2 3 2" xfId="24845"/>
    <cellStyle name="Normal 8 5 2 4" xfId="3413"/>
    <cellStyle name="Normal 8 5 2 5" xfId="22322"/>
    <cellStyle name="Normal 8 5 3" xfId="8251"/>
    <cellStyle name="Normal 8 5 3 2" xfId="10864"/>
    <cellStyle name="Normal 8 5 3 2 2" xfId="25186"/>
    <cellStyle name="Normal 8 5 3 3" xfId="23938"/>
    <cellStyle name="Normal 8 5 4" xfId="8817"/>
    <cellStyle name="Normal 8 5 4 2" xfId="24504"/>
    <cellStyle name="Normal 8 5 5" xfId="2964"/>
    <cellStyle name="Normal 8 5 6" xfId="22321"/>
    <cellStyle name="Normal 8 6" xfId="1325"/>
    <cellStyle name="Normal 8 6 2" xfId="1326"/>
    <cellStyle name="Normal 8 6 2 2" xfId="8607"/>
    <cellStyle name="Normal 8 6 2 2 2" xfId="11220"/>
    <cellStyle name="Normal 8 6 2 2 2 2" xfId="25542"/>
    <cellStyle name="Normal 8 6 2 2 3" xfId="24294"/>
    <cellStyle name="Normal 8 6 2 3" xfId="9249"/>
    <cellStyle name="Normal 8 6 2 3 2" xfId="24920"/>
    <cellStyle name="Normal 8 6 2 4" xfId="3496"/>
    <cellStyle name="Normal 8 6 2 5" xfId="22324"/>
    <cellStyle name="Normal 8 6 3" xfId="8326"/>
    <cellStyle name="Normal 8 6 3 2" xfId="10939"/>
    <cellStyle name="Normal 8 6 3 2 2" xfId="25261"/>
    <cellStyle name="Normal 8 6 3 3" xfId="24013"/>
    <cellStyle name="Normal 8 6 4" xfId="8892"/>
    <cellStyle name="Normal 8 6 4 2" xfId="24579"/>
    <cellStyle name="Normal 8 6 5" xfId="3049"/>
    <cellStyle name="Normal 8 6 6" xfId="22323"/>
    <cellStyle name="Normal 8 7" xfId="1327"/>
    <cellStyle name="Normal 8 7 2" xfId="8424"/>
    <cellStyle name="Normal 8 7 2 2" xfId="11037"/>
    <cellStyle name="Normal 8 7 2 2 2" xfId="25359"/>
    <cellStyle name="Normal 8 7 2 3" xfId="24111"/>
    <cellStyle name="Normal 8 7 3" xfId="8994"/>
    <cellStyle name="Normal 8 7 3 2" xfId="24677"/>
    <cellStyle name="Normal 8 7 4" xfId="3168"/>
    <cellStyle name="Normal 8 7 5" xfId="22325"/>
    <cellStyle name="Normal 8 8" xfId="1328"/>
    <cellStyle name="Normal 8 8 2" xfId="8158"/>
    <cellStyle name="Normal 8 8 2 2" xfId="10771"/>
    <cellStyle name="Normal 8 8 2 2 2" xfId="25093"/>
    <cellStyle name="Normal 8 8 2 3" xfId="23845"/>
    <cellStyle name="Normal 8 8 3" xfId="9080"/>
    <cellStyle name="Normal 8 8 3 2" xfId="24752"/>
    <cellStyle name="Normal 8 8 4" xfId="3320"/>
    <cellStyle name="Normal 8 8 5" xfId="22326"/>
    <cellStyle name="Normal 8 9" xfId="8083"/>
    <cellStyle name="Normal 8 9 2" xfId="10696"/>
    <cellStyle name="Normal 8 9 2 2" xfId="25018"/>
    <cellStyle name="Normal 8 9 3" xfId="23770"/>
    <cellStyle name="Normal 9" xfId="30368"/>
    <cellStyle name="Nota" xfId="1329"/>
    <cellStyle name="Nota 2" xfId="1330"/>
    <cellStyle name="Nota 2 2" xfId="1331"/>
    <cellStyle name="Nota 2 2 10" xfId="1332"/>
    <cellStyle name="Nota 2 2 10 2" xfId="7912"/>
    <cellStyle name="Nota 2 2 10 2 2" xfId="10526"/>
    <cellStyle name="Nota 2 2 10 2 2 2" xfId="16788"/>
    <cellStyle name="Nota 2 2 10 2 2 2 2" xfId="30204"/>
    <cellStyle name="Nota 2 2 10 2 2 3" xfId="21533"/>
    <cellStyle name="Nota 2 2 10 2 3" xfId="14516"/>
    <cellStyle name="Nota 2 2 10 2 3 2" xfId="28838"/>
    <cellStyle name="Nota 2 2 10 2 4" xfId="20161"/>
    <cellStyle name="Nota 2 2 10 3" xfId="12436"/>
    <cellStyle name="Nota 2 2 10 3 2" xfId="26758"/>
    <cellStyle name="Nota 2 2 10 4" xfId="18081"/>
    <cellStyle name="Nota 2 2 11" xfId="3853"/>
    <cellStyle name="Nota 2 2 11 2" xfId="4708"/>
    <cellStyle name="Nota 2 2 11 2 2" xfId="23141"/>
    <cellStyle name="Nota 2 2 11 3" xfId="15501"/>
    <cellStyle name="Nota 2 2 12" xfId="4329"/>
    <cellStyle name="Nota 2 2 12 2" xfId="22890"/>
    <cellStyle name="Nota 2 2 13" xfId="14858"/>
    <cellStyle name="Nota 2 2 2" xfId="1333"/>
    <cellStyle name="Nota 2 2 2 10" xfId="5082"/>
    <cellStyle name="Nota 2 2 2 10 2" xfId="11629"/>
    <cellStyle name="Nota 2 2 2 10 2 2" xfId="25951"/>
    <cellStyle name="Nota 2 2 2 10 3" xfId="4359"/>
    <cellStyle name="Nota 2 2 2 11" xfId="4590"/>
    <cellStyle name="Nota 2 2 2 11 2" xfId="23053"/>
    <cellStyle name="Nota 2 2 2 12" xfId="4468"/>
    <cellStyle name="Nota 2 2 2 2" xfId="1334"/>
    <cellStyle name="Nota 2 2 2 2 10" xfId="3183"/>
    <cellStyle name="Nota 2 2 2 2 10 2" xfId="22429"/>
    <cellStyle name="Nota 2 2 2 2 11" xfId="15345"/>
    <cellStyle name="Nota 2 2 2 2 2" xfId="1335"/>
    <cellStyle name="Nota 2 2 2 2 2 2" xfId="1336"/>
    <cellStyle name="Nota 2 2 2 2 2 2 2" xfId="1337"/>
    <cellStyle name="Nota 2 2 2 2 2 2 2 2" xfId="6550"/>
    <cellStyle name="Nota 2 2 2 2 2 2 2 2 2" xfId="13138"/>
    <cellStyle name="Nota 2 2 2 2 2 2 2 2 2 2" xfId="27460"/>
    <cellStyle name="Nota 2 2 2 2 2 2 2 2 3" xfId="18783"/>
    <cellStyle name="Nota 2 2 2 2 2 2 2 3" xfId="7217"/>
    <cellStyle name="Nota 2 2 2 2 2 2 2 3 2" xfId="9831"/>
    <cellStyle name="Nota 2 2 2 2 2 2 2 3 2 2" xfId="16093"/>
    <cellStyle name="Nota 2 2 2 2 2 2 2 3 2 2 2" xfId="29509"/>
    <cellStyle name="Nota 2 2 2 2 2 2 2 3 2 3" xfId="20838"/>
    <cellStyle name="Nota 2 2 2 2 2 2 2 3 3" xfId="13821"/>
    <cellStyle name="Nota 2 2 2 2 2 2 2 3 3 2" xfId="28143"/>
    <cellStyle name="Nota 2 2 2 2 2 2 2 3 4" xfId="19466"/>
    <cellStyle name="Nota 2 2 2 2 2 2 2 4" xfId="6248"/>
    <cellStyle name="Nota 2 2 2 2 2 2 2 4 2" xfId="23472"/>
    <cellStyle name="Nota 2 2 2 2 2 2 2 5" xfId="15202"/>
    <cellStyle name="Nota 2 2 2 2 2 2 3" xfId="1338"/>
    <cellStyle name="Nota 2 2 2 2 2 2 3 2" xfId="7041"/>
    <cellStyle name="Nota 2 2 2 2 2 2 3 2 2" xfId="9655"/>
    <cellStyle name="Nota 2 2 2 2 2 2 3 2 2 2" xfId="15917"/>
    <cellStyle name="Nota 2 2 2 2 2 2 3 2 2 2 2" xfId="29333"/>
    <cellStyle name="Nota 2 2 2 2 2 2 3 2 2 3" xfId="20662"/>
    <cellStyle name="Nota 2 2 2 2 2 2 3 2 3" xfId="13645"/>
    <cellStyle name="Nota 2 2 2 2 2 2 3 2 3 2" xfId="27967"/>
    <cellStyle name="Nota 2 2 2 2 2 2 3 2 4" xfId="19290"/>
    <cellStyle name="Nota 2 2 2 2 2 2 3 3" xfId="13313"/>
    <cellStyle name="Nota 2 2 2 2 2 2 3 3 2" xfId="27635"/>
    <cellStyle name="Nota 2 2 2 2 2 2 3 4" xfId="18958"/>
    <cellStyle name="Nota 2 2 2 2 2 2 4" xfId="5763"/>
    <cellStyle name="Nota 2 2 2 2 2 2 4 2" xfId="12316"/>
    <cellStyle name="Nota 2 2 2 2 2 2 4 2 2" xfId="26638"/>
    <cellStyle name="Nota 2 2 2 2 2 2 4 3" xfId="17961"/>
    <cellStyle name="Nota 2 2 2 2 2 2 5" xfId="4723"/>
    <cellStyle name="Nota 2 2 2 2 2 2 5 2" xfId="23151"/>
    <cellStyle name="Nota 2 2 2 2 2 2 6" xfId="14799"/>
    <cellStyle name="Nota 2 2 2 2 2 3" xfId="1339"/>
    <cellStyle name="Nota 2 2 2 2 2 3 2" xfId="1340"/>
    <cellStyle name="Nota 2 2 2 2 2 3 2 2" xfId="6441"/>
    <cellStyle name="Nota 2 2 2 2 2 3 2 2 2" xfId="13024"/>
    <cellStyle name="Nota 2 2 2 2 2 3 2 2 2 2" xfId="27346"/>
    <cellStyle name="Nota 2 2 2 2 2 3 2 2 3" xfId="18669"/>
    <cellStyle name="Nota 2 2 2 2 2 3 2 3" xfId="7148"/>
    <cellStyle name="Nota 2 2 2 2 2 3 2 3 2" xfId="9762"/>
    <cellStyle name="Nota 2 2 2 2 2 3 2 3 2 2" xfId="16024"/>
    <cellStyle name="Nota 2 2 2 2 2 3 2 3 2 2 2" xfId="29440"/>
    <cellStyle name="Nota 2 2 2 2 2 3 2 3 2 3" xfId="20769"/>
    <cellStyle name="Nota 2 2 2 2 2 3 2 3 3" xfId="13752"/>
    <cellStyle name="Nota 2 2 2 2 2 3 2 3 3 2" xfId="28074"/>
    <cellStyle name="Nota 2 2 2 2 2 3 2 3 4" xfId="19397"/>
    <cellStyle name="Nota 2 2 2 2 2 3 2 4" xfId="3295"/>
    <cellStyle name="Nota 2 2 2 2 2 3 2 4 2" xfId="22468"/>
    <cellStyle name="Nota 2 2 2 2 2 3 2 5" xfId="4715"/>
    <cellStyle name="Nota 2 2 2 2 2 3 3" xfId="1341"/>
    <cellStyle name="Nota 2 2 2 2 2 3 3 2" xfId="7552"/>
    <cellStyle name="Nota 2 2 2 2 2 3 3 2 2" xfId="10166"/>
    <cellStyle name="Nota 2 2 2 2 2 3 3 2 2 2" xfId="16428"/>
    <cellStyle name="Nota 2 2 2 2 2 3 3 2 2 2 2" xfId="29844"/>
    <cellStyle name="Nota 2 2 2 2 2 3 3 2 2 3" xfId="21173"/>
    <cellStyle name="Nota 2 2 2 2 2 3 3 2 3" xfId="14156"/>
    <cellStyle name="Nota 2 2 2 2 2 3 3 2 3 2" xfId="28478"/>
    <cellStyle name="Nota 2 2 2 2 2 3 3 2 4" xfId="19801"/>
    <cellStyle name="Nota 2 2 2 2 2 3 3 3" xfId="13260"/>
    <cellStyle name="Nota 2 2 2 2 2 3 3 3 2" xfId="27582"/>
    <cellStyle name="Nota 2 2 2 2 2 3 3 4" xfId="18905"/>
    <cellStyle name="Nota 2 2 2 2 2 3 4" xfId="5705"/>
    <cellStyle name="Nota 2 2 2 2 2 3 4 2" xfId="12258"/>
    <cellStyle name="Nota 2 2 2 2 2 3 4 2 2" xfId="26580"/>
    <cellStyle name="Nota 2 2 2 2 2 3 4 3" xfId="17903"/>
    <cellStyle name="Nota 2 2 2 2 2 3 5" xfId="4194"/>
    <cellStyle name="Nota 2 2 2 2 2 3 5 2" xfId="22814"/>
    <cellStyle name="Nota 2 2 2 2 2 3 6" xfId="15231"/>
    <cellStyle name="Nota 2 2 2 2 2 4" xfId="1342"/>
    <cellStyle name="Nota 2 2 2 2 2 4 2" xfId="5982"/>
    <cellStyle name="Nota 2 2 2 2 2 4 2 2" xfId="12540"/>
    <cellStyle name="Nota 2 2 2 2 2 4 2 2 2" xfId="26862"/>
    <cellStyle name="Nota 2 2 2 2 2 4 2 3" xfId="18185"/>
    <cellStyle name="Nota 2 2 2 2 2 4 3" xfId="5291"/>
    <cellStyle name="Nota 2 2 2 2 2 4 3 2" xfId="9600"/>
    <cellStyle name="Nota 2 2 2 2 2 4 3 2 2" xfId="15862"/>
    <cellStyle name="Nota 2 2 2 2 2 4 3 2 2 2" xfId="29278"/>
    <cellStyle name="Nota 2 2 2 2 2 4 3 2 3" xfId="20607"/>
    <cellStyle name="Nota 2 2 2 2 2 4 3 3" xfId="11841"/>
    <cellStyle name="Nota 2 2 2 2 2 4 3 3 2" xfId="26163"/>
    <cellStyle name="Nota 2 2 2 2 2 4 3 4" xfId="17486"/>
    <cellStyle name="Nota 2 2 2 2 2 4 4" xfId="4102"/>
    <cellStyle name="Nota 2 2 2 2 2 4 4 2" xfId="22758"/>
    <cellStyle name="Nota 2 2 2 2 2 4 5" xfId="6699"/>
    <cellStyle name="Nota 2 2 2 2 2 5" xfId="1343"/>
    <cellStyle name="Nota 2 2 2 2 2 5 2" xfId="5301"/>
    <cellStyle name="Nota 2 2 2 2 2 5 2 2" xfId="9610"/>
    <cellStyle name="Nota 2 2 2 2 2 5 2 2 2" xfId="15872"/>
    <cellStyle name="Nota 2 2 2 2 2 5 2 2 2 2" xfId="29288"/>
    <cellStyle name="Nota 2 2 2 2 2 5 2 2 3" xfId="20617"/>
    <cellStyle name="Nota 2 2 2 2 2 5 2 3" xfId="11851"/>
    <cellStyle name="Nota 2 2 2 2 2 5 2 3 2" xfId="26173"/>
    <cellStyle name="Nota 2 2 2 2 2 5 2 4" xfId="17496"/>
    <cellStyle name="Nota 2 2 2 2 2 5 3" xfId="12889"/>
    <cellStyle name="Nota 2 2 2 2 2 5 3 2" xfId="27211"/>
    <cellStyle name="Nota 2 2 2 2 2 5 4" xfId="18534"/>
    <cellStyle name="Nota 2 2 2 2 2 6" xfId="5507"/>
    <cellStyle name="Nota 2 2 2 2 2 6 2" xfId="12058"/>
    <cellStyle name="Nota 2 2 2 2 2 6 2 2" xfId="26380"/>
    <cellStyle name="Nota 2 2 2 2 2 6 3" xfId="17703"/>
    <cellStyle name="Nota 2 2 2 2 2 7" xfId="3940"/>
    <cellStyle name="Nota 2 2 2 2 2 7 2" xfId="22656"/>
    <cellStyle name="Nota 2 2 2 2 2 8" xfId="3707"/>
    <cellStyle name="Nota 2 2 2 2 3" xfId="1344"/>
    <cellStyle name="Nota 2 2 2 2 3 2" xfId="1345"/>
    <cellStyle name="Nota 2 2 2 2 3 2 2" xfId="1346"/>
    <cellStyle name="Nota 2 2 2 2 3 2 2 2" xfId="6074"/>
    <cellStyle name="Nota 2 2 2 2 3 2 2 2 2" xfId="12640"/>
    <cellStyle name="Nota 2 2 2 2 3 2 2 2 2 2" xfId="26962"/>
    <cellStyle name="Nota 2 2 2 2 3 2 2 2 3" xfId="18285"/>
    <cellStyle name="Nota 2 2 2 2 3 2 2 3" xfId="8002"/>
    <cellStyle name="Nota 2 2 2 2 3 2 2 3 2" xfId="10616"/>
    <cellStyle name="Nota 2 2 2 2 3 2 2 3 2 2" xfId="16878"/>
    <cellStyle name="Nota 2 2 2 2 3 2 2 3 2 2 2" xfId="30294"/>
    <cellStyle name="Nota 2 2 2 2 3 2 2 3 2 3" xfId="21623"/>
    <cellStyle name="Nota 2 2 2 2 3 2 2 3 3" xfId="14606"/>
    <cellStyle name="Nota 2 2 2 2 3 2 2 3 3 2" xfId="28928"/>
    <cellStyle name="Nota 2 2 2 2 3 2 2 3 4" xfId="20251"/>
    <cellStyle name="Nota 2 2 2 2 3 2 2 4" xfId="4003"/>
    <cellStyle name="Nota 2 2 2 2 3 2 2 4 2" xfId="22697"/>
    <cellStyle name="Nota 2 2 2 2 3 2 2 5" xfId="3826"/>
    <cellStyle name="Nota 2 2 2 2 3 2 3" xfId="1347"/>
    <cellStyle name="Nota 2 2 2 2 3 2 3 2" xfId="7494"/>
    <cellStyle name="Nota 2 2 2 2 3 2 3 2 2" xfId="10108"/>
    <cellStyle name="Nota 2 2 2 2 3 2 3 2 2 2" xfId="16370"/>
    <cellStyle name="Nota 2 2 2 2 3 2 3 2 2 2 2" xfId="29786"/>
    <cellStyle name="Nota 2 2 2 2 3 2 3 2 2 3" xfId="21115"/>
    <cellStyle name="Nota 2 2 2 2 3 2 3 2 3" xfId="14098"/>
    <cellStyle name="Nota 2 2 2 2 3 2 3 2 3 2" xfId="28420"/>
    <cellStyle name="Nota 2 2 2 2 3 2 3 2 4" xfId="19743"/>
    <cellStyle name="Nota 2 2 2 2 3 2 3 3" xfId="13349"/>
    <cellStyle name="Nota 2 2 2 2 3 2 3 3 2" xfId="27671"/>
    <cellStyle name="Nota 2 2 2 2 3 2 3 4" xfId="18994"/>
    <cellStyle name="Nota 2 2 2 2 3 2 4" xfId="5799"/>
    <cellStyle name="Nota 2 2 2 2 3 2 4 2" xfId="12352"/>
    <cellStyle name="Nota 2 2 2 2 3 2 4 2 2" xfId="26674"/>
    <cellStyle name="Nota 2 2 2 2 3 2 4 3" xfId="17997"/>
    <cellStyle name="Nota 2 2 2 2 3 2 5" xfId="3268"/>
    <cellStyle name="Nota 2 2 2 2 3 2 5 2" xfId="22452"/>
    <cellStyle name="Nota 2 2 2 2 3 2 6" xfId="17275"/>
    <cellStyle name="Nota 2 2 2 2 3 3" xfId="1348"/>
    <cellStyle name="Nota 2 2 2 2 3 3 2" xfId="1349"/>
    <cellStyle name="Nota 2 2 2 2 3 3 2 2" xfId="6233"/>
    <cellStyle name="Nota 2 2 2 2 3 3 2 2 2" xfId="12808"/>
    <cellStyle name="Nota 2 2 2 2 3 3 2 2 2 2" xfId="27130"/>
    <cellStyle name="Nota 2 2 2 2 3 3 2 2 3" xfId="18453"/>
    <cellStyle name="Nota 2 2 2 2 3 3 2 3" xfId="7697"/>
    <cellStyle name="Nota 2 2 2 2 3 3 2 3 2" xfId="10311"/>
    <cellStyle name="Nota 2 2 2 2 3 3 2 3 2 2" xfId="16573"/>
    <cellStyle name="Nota 2 2 2 2 3 3 2 3 2 2 2" xfId="29989"/>
    <cellStyle name="Nota 2 2 2 2 3 3 2 3 2 3" xfId="21318"/>
    <cellStyle name="Nota 2 2 2 2 3 3 2 3 3" xfId="14301"/>
    <cellStyle name="Nota 2 2 2 2 3 3 2 3 3 2" xfId="28623"/>
    <cellStyle name="Nota 2 2 2 2 3 3 2 3 4" xfId="19946"/>
    <cellStyle name="Nota 2 2 2 2 3 3 2 4" xfId="6685"/>
    <cellStyle name="Nota 2 2 2 2 3 3 2 4 2" xfId="23653"/>
    <cellStyle name="Nota 2 2 2 2 3 3 2 5" xfId="14789"/>
    <cellStyle name="Nota 2 2 2 2 3 3 3" xfId="1350"/>
    <cellStyle name="Nota 2 2 2 2 3 3 3 2" xfId="7588"/>
    <cellStyle name="Nota 2 2 2 2 3 3 3 2 2" xfId="10202"/>
    <cellStyle name="Nota 2 2 2 2 3 3 3 2 2 2" xfId="16464"/>
    <cellStyle name="Nota 2 2 2 2 3 3 3 2 2 2 2" xfId="29880"/>
    <cellStyle name="Nota 2 2 2 2 3 3 3 2 2 3" xfId="21209"/>
    <cellStyle name="Nota 2 2 2 2 3 3 3 2 3" xfId="14192"/>
    <cellStyle name="Nota 2 2 2 2 3 3 3 2 3 2" xfId="28514"/>
    <cellStyle name="Nota 2 2 2 2 3 3 3 2 4" xfId="19837"/>
    <cellStyle name="Nota 2 2 2 2 3 3 3 3" xfId="13382"/>
    <cellStyle name="Nota 2 2 2 2 3 3 3 3 2" xfId="27704"/>
    <cellStyle name="Nota 2 2 2 2 3 3 3 4" xfId="19027"/>
    <cellStyle name="Nota 2 2 2 2 3 3 4" xfId="5841"/>
    <cellStyle name="Nota 2 2 2 2 3 3 4 2" xfId="12394"/>
    <cellStyle name="Nota 2 2 2 2 3 3 4 2 2" xfId="26716"/>
    <cellStyle name="Nota 2 2 2 2 3 3 4 3" xfId="18039"/>
    <cellStyle name="Nota 2 2 2 2 3 3 5" xfId="4031"/>
    <cellStyle name="Nota 2 2 2 2 3 3 5 2" xfId="22709"/>
    <cellStyle name="Nota 2 2 2 2 3 3 6" xfId="14866"/>
    <cellStyle name="Nota 2 2 2 2 3 4" xfId="1351"/>
    <cellStyle name="Nota 2 2 2 2 3 4 2" xfId="6924"/>
    <cellStyle name="Nota 2 2 2 2 3 4 2 2" xfId="13528"/>
    <cellStyle name="Nota 2 2 2 2 3 4 2 2 2" xfId="27850"/>
    <cellStyle name="Nota 2 2 2 2 3 4 2 3" xfId="19173"/>
    <cellStyle name="Nota 2 2 2 2 3 4 3" xfId="4800"/>
    <cellStyle name="Nota 2 2 2 2 3 4 3 2" xfId="9488"/>
    <cellStyle name="Nota 2 2 2 2 3 4 3 2 2" xfId="15750"/>
    <cellStyle name="Nota 2 2 2 2 3 4 3 2 2 2" xfId="29166"/>
    <cellStyle name="Nota 2 2 2 2 3 4 3 2 3" xfId="20495"/>
    <cellStyle name="Nota 2 2 2 2 3 4 3 3" xfId="11330"/>
    <cellStyle name="Nota 2 2 2 2 3 4 3 3 2" xfId="25652"/>
    <cellStyle name="Nota 2 2 2 2 3 4 3 4" xfId="14981"/>
    <cellStyle name="Nota 2 2 2 2 3 4 4" xfId="11412"/>
    <cellStyle name="Nota 2 2 2 2 3 4 4 2" xfId="25734"/>
    <cellStyle name="Nota 2 2 2 2 3 4 5" xfId="4603"/>
    <cellStyle name="Nota 2 2 2 2 3 5" xfId="1352"/>
    <cellStyle name="Nota 2 2 2 2 3 5 2" xfId="7239"/>
    <cellStyle name="Nota 2 2 2 2 3 5 2 2" xfId="9853"/>
    <cellStyle name="Nota 2 2 2 2 3 5 2 2 2" xfId="16115"/>
    <cellStyle name="Nota 2 2 2 2 3 5 2 2 2 2" xfId="29531"/>
    <cellStyle name="Nota 2 2 2 2 3 5 2 2 3" xfId="20860"/>
    <cellStyle name="Nota 2 2 2 2 3 5 2 3" xfId="13843"/>
    <cellStyle name="Nota 2 2 2 2 3 5 2 3 2" xfId="28165"/>
    <cellStyle name="Nota 2 2 2 2 3 5 2 4" xfId="19488"/>
    <cellStyle name="Nota 2 2 2 2 3 5 3" xfId="12925"/>
    <cellStyle name="Nota 2 2 2 2 3 5 3 2" xfId="27247"/>
    <cellStyle name="Nota 2 2 2 2 3 5 4" xfId="18570"/>
    <cellStyle name="Nota 2 2 2 2 3 6" xfId="5549"/>
    <cellStyle name="Nota 2 2 2 2 3 6 2" xfId="12100"/>
    <cellStyle name="Nota 2 2 2 2 3 6 2 2" xfId="26422"/>
    <cellStyle name="Nota 2 2 2 2 3 6 3" xfId="17745"/>
    <cellStyle name="Nota 2 2 2 2 3 7" xfId="6194"/>
    <cellStyle name="Nota 2 2 2 2 3 7 2" xfId="23456"/>
    <cellStyle name="Nota 2 2 2 2 3 8" xfId="15214"/>
    <cellStyle name="Nota 2 2 2 2 4" xfId="1353"/>
    <cellStyle name="Nota 2 2 2 2 4 2" xfId="1354"/>
    <cellStyle name="Nota 2 2 2 2 4 2 2" xfId="1355"/>
    <cellStyle name="Nota 2 2 2 2 4 2 2 2" xfId="6594"/>
    <cellStyle name="Nota 2 2 2 2 4 2 2 2 2" xfId="13183"/>
    <cellStyle name="Nota 2 2 2 2 4 2 2 2 2 2" xfId="27505"/>
    <cellStyle name="Nota 2 2 2 2 4 2 2 2 3" xfId="18828"/>
    <cellStyle name="Nota 2 2 2 2 4 2 2 3" xfId="3806"/>
    <cellStyle name="Nota 2 2 2 2 4 2 2 3 2" xfId="9376"/>
    <cellStyle name="Nota 2 2 2 2 4 2 2 3 2 2" xfId="15638"/>
    <cellStyle name="Nota 2 2 2 2 4 2 2 3 2 2 2" xfId="29054"/>
    <cellStyle name="Nota 2 2 2 2 4 2 2 3 2 3" xfId="20383"/>
    <cellStyle name="Nota 2 2 2 2 4 2 2 3 3" xfId="5954"/>
    <cellStyle name="Nota 2 2 2 2 4 2 2 3 3 2" xfId="23382"/>
    <cellStyle name="Nota 2 2 2 2 4 2 2 3 4" xfId="15542"/>
    <cellStyle name="Nota 2 2 2 2 4 2 2 4" xfId="4185"/>
    <cellStyle name="Nota 2 2 2 2 4 2 2 4 2" xfId="22807"/>
    <cellStyle name="Nota 2 2 2 2 4 2 2 5" xfId="4313"/>
    <cellStyle name="Nota 2 2 2 2 4 2 3" xfId="1356"/>
    <cellStyle name="Nota 2 2 2 2 4 2 3 2" xfId="7502"/>
    <cellStyle name="Nota 2 2 2 2 4 2 3 2 2" xfId="10116"/>
    <cellStyle name="Nota 2 2 2 2 4 2 3 2 2 2" xfId="16378"/>
    <cellStyle name="Nota 2 2 2 2 4 2 3 2 2 2 2" xfId="29794"/>
    <cellStyle name="Nota 2 2 2 2 4 2 3 2 2 3" xfId="21123"/>
    <cellStyle name="Nota 2 2 2 2 4 2 3 2 3" xfId="14106"/>
    <cellStyle name="Nota 2 2 2 2 4 2 3 2 3 2" xfId="28428"/>
    <cellStyle name="Nota 2 2 2 2 4 2 3 2 4" xfId="19751"/>
    <cellStyle name="Nota 2 2 2 2 4 2 3 3" xfId="13277"/>
    <cellStyle name="Nota 2 2 2 2 4 2 3 3 2" xfId="27599"/>
    <cellStyle name="Nota 2 2 2 2 4 2 3 4" xfId="18922"/>
    <cellStyle name="Nota 2 2 2 2 4 2 4" xfId="5725"/>
    <cellStyle name="Nota 2 2 2 2 4 2 4 2" xfId="12278"/>
    <cellStyle name="Nota 2 2 2 2 4 2 4 2 2" xfId="26600"/>
    <cellStyle name="Nota 2 2 2 2 4 2 4 3" xfId="17923"/>
    <cellStyle name="Nota 2 2 2 2 4 2 5" xfId="6319"/>
    <cellStyle name="Nota 2 2 2 2 4 2 5 2" xfId="23514"/>
    <cellStyle name="Nota 2 2 2 2 4 2 6" xfId="14902"/>
    <cellStyle name="Nota 2 2 2 2 4 3" xfId="1357"/>
    <cellStyle name="Nota 2 2 2 2 4 3 2" xfId="1358"/>
    <cellStyle name="Nota 2 2 2 2 4 3 2 2" xfId="7006"/>
    <cellStyle name="Nota 2 2 2 2 4 3 2 2 2" xfId="13610"/>
    <cellStyle name="Nota 2 2 2 2 4 3 2 2 2 2" xfId="27932"/>
    <cellStyle name="Nota 2 2 2 2 4 3 2 2 3" xfId="19255"/>
    <cellStyle name="Nota 2 2 2 2 4 3 2 3" xfId="8040"/>
    <cellStyle name="Nota 2 2 2 2 4 3 2 3 2" xfId="10654"/>
    <cellStyle name="Nota 2 2 2 2 4 3 2 3 2 2" xfId="16916"/>
    <cellStyle name="Nota 2 2 2 2 4 3 2 3 2 2 2" xfId="30332"/>
    <cellStyle name="Nota 2 2 2 2 4 3 2 3 2 3" xfId="21661"/>
    <cellStyle name="Nota 2 2 2 2 4 3 2 3 3" xfId="14644"/>
    <cellStyle name="Nota 2 2 2 2 4 3 2 3 3 2" xfId="28966"/>
    <cellStyle name="Nota 2 2 2 2 4 3 2 3 4" xfId="20289"/>
    <cellStyle name="Nota 2 2 2 2 4 3 2 4" xfId="11526"/>
    <cellStyle name="Nota 2 2 2 2 4 3 2 4 2" xfId="25848"/>
    <cellStyle name="Nota 2 2 2 2 4 3 2 5" xfId="14955"/>
    <cellStyle name="Nota 2 2 2 2 4 3 3" xfId="1359"/>
    <cellStyle name="Nota 2 2 2 2 4 3 3 2" xfId="7386"/>
    <cellStyle name="Nota 2 2 2 2 4 3 3 2 2" xfId="10000"/>
    <cellStyle name="Nota 2 2 2 2 4 3 3 2 2 2" xfId="16262"/>
    <cellStyle name="Nota 2 2 2 2 4 3 3 2 2 2 2" xfId="29678"/>
    <cellStyle name="Nota 2 2 2 2 4 3 3 2 2 3" xfId="21007"/>
    <cellStyle name="Nota 2 2 2 2 4 3 3 2 3" xfId="13990"/>
    <cellStyle name="Nota 2 2 2 2 4 3 3 2 3 2" xfId="28312"/>
    <cellStyle name="Nota 2 2 2 2 4 3 3 2 4" xfId="19635"/>
    <cellStyle name="Nota 2 2 2 2 4 3 3 3" xfId="13376"/>
    <cellStyle name="Nota 2 2 2 2 4 3 3 3 2" xfId="27698"/>
    <cellStyle name="Nota 2 2 2 2 4 3 3 4" xfId="19021"/>
    <cellStyle name="Nota 2 2 2 2 4 3 4" xfId="5829"/>
    <cellStyle name="Nota 2 2 2 2 4 3 4 2" xfId="12382"/>
    <cellStyle name="Nota 2 2 2 2 4 3 4 2 2" xfId="26704"/>
    <cellStyle name="Nota 2 2 2 2 4 3 4 3" xfId="18027"/>
    <cellStyle name="Nota 2 2 2 2 4 3 5" xfId="3271"/>
    <cellStyle name="Nota 2 2 2 2 4 3 5 2" xfId="22455"/>
    <cellStyle name="Nota 2 2 2 2 4 3 6" xfId="15350"/>
    <cellStyle name="Nota 2 2 2 2 4 4" xfId="1360"/>
    <cellStyle name="Nota 2 2 2 2 4 4 2" xfId="6163"/>
    <cellStyle name="Nota 2 2 2 2 4 4 2 2" xfId="12734"/>
    <cellStyle name="Nota 2 2 2 2 4 4 2 2 2" xfId="27056"/>
    <cellStyle name="Nota 2 2 2 2 4 4 2 3" xfId="18379"/>
    <cellStyle name="Nota 2 2 2 2 4 4 3" xfId="7866"/>
    <cellStyle name="Nota 2 2 2 2 4 4 3 2" xfId="10480"/>
    <cellStyle name="Nota 2 2 2 2 4 4 3 2 2" xfId="16742"/>
    <cellStyle name="Nota 2 2 2 2 4 4 3 2 2 2" xfId="30158"/>
    <cellStyle name="Nota 2 2 2 2 4 4 3 2 3" xfId="21487"/>
    <cellStyle name="Nota 2 2 2 2 4 4 3 3" xfId="14470"/>
    <cellStyle name="Nota 2 2 2 2 4 4 3 3 2" xfId="28792"/>
    <cellStyle name="Nota 2 2 2 2 4 4 3 4" xfId="20115"/>
    <cellStyle name="Nota 2 2 2 2 4 4 4" xfId="3676"/>
    <cellStyle name="Nota 2 2 2 2 4 4 4 2" xfId="22521"/>
    <cellStyle name="Nota 2 2 2 2 4 4 5" xfId="15466"/>
    <cellStyle name="Nota 2 2 2 2 4 5" xfId="1361"/>
    <cellStyle name="Nota 2 2 2 2 4 5 2" xfId="3150"/>
    <cellStyle name="Nota 2 2 2 2 4 5 2 2" xfId="8983"/>
    <cellStyle name="Nota 2 2 2 2 4 5 2 2 2" xfId="15338"/>
    <cellStyle name="Nota 2 2 2 2 4 5 2 2 2 2" xfId="29001"/>
    <cellStyle name="Nota 2 2 2 2 4 5 2 2 3" xfId="20328"/>
    <cellStyle name="Nota 2 2 2 2 4 5 2 3" xfId="5831"/>
    <cellStyle name="Nota 2 2 2 2 4 5 2 3 2" xfId="23364"/>
    <cellStyle name="Nota 2 2 2 2 4 5 2 4" xfId="14714"/>
    <cellStyle name="Nota 2 2 2 2 4 5 3" xfId="12840"/>
    <cellStyle name="Nota 2 2 2 2 4 5 3 2" xfId="27162"/>
    <cellStyle name="Nota 2 2 2 2 4 5 4" xfId="18485"/>
    <cellStyle name="Nota 2 2 2 2 4 6" xfId="5414"/>
    <cellStyle name="Nota 2 2 2 2 4 6 2" xfId="11964"/>
    <cellStyle name="Nota 2 2 2 2 4 6 2 2" xfId="26286"/>
    <cellStyle name="Nota 2 2 2 2 4 6 3" xfId="17609"/>
    <cellStyle name="Nota 2 2 2 2 4 7" xfId="5988"/>
    <cellStyle name="Nota 2 2 2 2 4 7 2" xfId="23390"/>
    <cellStyle name="Nota 2 2 2 2 4 8" xfId="5010"/>
    <cellStyle name="Nota 2 2 2 2 5" xfId="1362"/>
    <cellStyle name="Nota 2 2 2 2 5 2" xfId="1363"/>
    <cellStyle name="Nota 2 2 2 2 5 2 2" xfId="1364"/>
    <cellStyle name="Nota 2 2 2 2 5 2 2 2" xfId="6952"/>
    <cellStyle name="Nota 2 2 2 2 5 2 2 2 2" xfId="13556"/>
    <cellStyle name="Nota 2 2 2 2 5 2 2 2 2 2" xfId="27878"/>
    <cellStyle name="Nota 2 2 2 2 5 2 2 2 3" xfId="19201"/>
    <cellStyle name="Nota 2 2 2 2 5 2 2 3" xfId="7459"/>
    <cellStyle name="Nota 2 2 2 2 5 2 2 3 2" xfId="10073"/>
    <cellStyle name="Nota 2 2 2 2 5 2 2 3 2 2" xfId="16335"/>
    <cellStyle name="Nota 2 2 2 2 5 2 2 3 2 2 2" xfId="29751"/>
    <cellStyle name="Nota 2 2 2 2 5 2 2 3 2 3" xfId="21080"/>
    <cellStyle name="Nota 2 2 2 2 5 2 2 3 3" xfId="14063"/>
    <cellStyle name="Nota 2 2 2 2 5 2 2 3 3 2" xfId="28385"/>
    <cellStyle name="Nota 2 2 2 2 5 2 2 3 4" xfId="19708"/>
    <cellStyle name="Nota 2 2 2 2 5 2 2 4" xfId="11448"/>
    <cellStyle name="Nota 2 2 2 2 5 2 2 4 2" xfId="25770"/>
    <cellStyle name="Nota 2 2 2 2 5 2 2 5" xfId="15241"/>
    <cellStyle name="Nota 2 2 2 2 5 2 3" xfId="1365"/>
    <cellStyle name="Nota 2 2 2 2 5 2 3 2" xfId="5257"/>
    <cellStyle name="Nota 2 2 2 2 5 2 3 2 2" xfId="9566"/>
    <cellStyle name="Nota 2 2 2 2 5 2 3 2 2 2" xfId="15828"/>
    <cellStyle name="Nota 2 2 2 2 5 2 3 2 2 2 2" xfId="29244"/>
    <cellStyle name="Nota 2 2 2 2 5 2 3 2 2 3" xfId="20573"/>
    <cellStyle name="Nota 2 2 2 2 5 2 3 2 3" xfId="11807"/>
    <cellStyle name="Nota 2 2 2 2 5 2 3 2 3 2" xfId="26129"/>
    <cellStyle name="Nota 2 2 2 2 5 2 3 2 4" xfId="17452"/>
    <cellStyle name="Nota 2 2 2 2 5 2 3 3" xfId="13101"/>
    <cellStyle name="Nota 2 2 2 2 5 2 3 3 2" xfId="27423"/>
    <cellStyle name="Nota 2 2 2 2 5 2 3 4" xfId="18746"/>
    <cellStyle name="Nota 2 2 2 2 5 2 4" xfId="5462"/>
    <cellStyle name="Nota 2 2 2 2 5 2 4 2" xfId="12013"/>
    <cellStyle name="Nota 2 2 2 2 5 2 4 2 2" xfId="26335"/>
    <cellStyle name="Nota 2 2 2 2 5 2 4 3" xfId="17658"/>
    <cellStyle name="Nota 2 2 2 2 5 2 5" xfId="6725"/>
    <cellStyle name="Nota 2 2 2 2 5 2 5 2" xfId="23679"/>
    <cellStyle name="Nota 2 2 2 2 5 2 6" xfId="15185"/>
    <cellStyle name="Nota 2 2 2 2 5 3" xfId="1366"/>
    <cellStyle name="Nota 2 2 2 2 5 3 2" xfId="6976"/>
    <cellStyle name="Nota 2 2 2 2 5 3 2 2" xfId="13580"/>
    <cellStyle name="Nota 2 2 2 2 5 3 2 2 2" xfId="27902"/>
    <cellStyle name="Nota 2 2 2 2 5 3 2 3" xfId="19225"/>
    <cellStyle name="Nota 2 2 2 2 5 3 3" xfId="7828"/>
    <cellStyle name="Nota 2 2 2 2 5 3 3 2" xfId="10442"/>
    <cellStyle name="Nota 2 2 2 2 5 3 3 2 2" xfId="16704"/>
    <cellStyle name="Nota 2 2 2 2 5 3 3 2 2 2" xfId="30120"/>
    <cellStyle name="Nota 2 2 2 2 5 3 3 2 3" xfId="21449"/>
    <cellStyle name="Nota 2 2 2 2 5 3 3 3" xfId="14432"/>
    <cellStyle name="Nota 2 2 2 2 5 3 3 3 2" xfId="28754"/>
    <cellStyle name="Nota 2 2 2 2 5 3 3 4" xfId="20077"/>
    <cellStyle name="Nota 2 2 2 2 5 3 4" xfId="11486"/>
    <cellStyle name="Nota 2 2 2 2 5 3 4 2" xfId="25808"/>
    <cellStyle name="Nota 2 2 2 2 5 3 5" xfId="17117"/>
    <cellStyle name="Nota 2 2 2 2 5 4" xfId="1367"/>
    <cellStyle name="Nota 2 2 2 2 5 4 2" xfId="3631"/>
    <cellStyle name="Nota 2 2 2 2 5 4 2 2" xfId="9349"/>
    <cellStyle name="Nota 2 2 2 2 5 4 2 2 2" xfId="15611"/>
    <cellStyle name="Nota 2 2 2 2 5 4 2 2 2 2" xfId="29027"/>
    <cellStyle name="Nota 2 2 2 2 5 4 2 2 3" xfId="20356"/>
    <cellStyle name="Nota 2 2 2 2 5 4 2 3" xfId="4693"/>
    <cellStyle name="Nota 2 2 2 2 5 4 2 3 2" xfId="23129"/>
    <cellStyle name="Nota 2 2 2 2 5 4 2 4" xfId="15373"/>
    <cellStyle name="Nota 2 2 2 2 5 4 3" xfId="12814"/>
    <cellStyle name="Nota 2 2 2 2 5 4 3 2" xfId="27136"/>
    <cellStyle name="Nota 2 2 2 2 5 4 4" xfId="18459"/>
    <cellStyle name="Nota 2 2 2 2 5 5" xfId="5349"/>
    <cellStyle name="Nota 2 2 2 2 5 5 2" xfId="11899"/>
    <cellStyle name="Nota 2 2 2 2 5 5 2 2" xfId="26221"/>
    <cellStyle name="Nota 2 2 2 2 5 5 3" xfId="17544"/>
    <cellStyle name="Nota 2 2 2 2 5 6" xfId="6307"/>
    <cellStyle name="Nota 2 2 2 2 5 6 2" xfId="23503"/>
    <cellStyle name="Nota 2 2 2 2 5 7" xfId="4584"/>
    <cellStyle name="Nota 2 2 2 2 6" xfId="1368"/>
    <cellStyle name="Nota 2 2 2 2 6 2" xfId="1369"/>
    <cellStyle name="Nota 2 2 2 2 6 2 2" xfId="6198"/>
    <cellStyle name="Nota 2 2 2 2 6 2 2 2" xfId="12771"/>
    <cellStyle name="Nota 2 2 2 2 6 2 2 2 2" xfId="27093"/>
    <cellStyle name="Nota 2 2 2 2 6 2 2 3" xfId="18416"/>
    <cellStyle name="Nota 2 2 2 2 6 2 3" xfId="7403"/>
    <cellStyle name="Nota 2 2 2 2 6 2 3 2" xfId="10017"/>
    <cellStyle name="Nota 2 2 2 2 6 2 3 2 2" xfId="16279"/>
    <cellStyle name="Nota 2 2 2 2 6 2 3 2 2 2" xfId="29695"/>
    <cellStyle name="Nota 2 2 2 2 6 2 3 2 3" xfId="21024"/>
    <cellStyle name="Nota 2 2 2 2 6 2 3 3" xfId="14007"/>
    <cellStyle name="Nota 2 2 2 2 6 2 3 3 2" xfId="28329"/>
    <cellStyle name="Nota 2 2 2 2 6 2 3 4" xfId="19652"/>
    <cellStyle name="Nota 2 2 2 2 6 2 4" xfId="3750"/>
    <cellStyle name="Nota 2 2 2 2 6 2 4 2" xfId="22563"/>
    <cellStyle name="Nota 2 2 2 2 6 2 5" xfId="16964"/>
    <cellStyle name="Nota 2 2 2 2 6 3" xfId="1370"/>
    <cellStyle name="Nota 2 2 2 2 6 3 2" xfId="7696"/>
    <cellStyle name="Nota 2 2 2 2 6 3 2 2" xfId="10310"/>
    <cellStyle name="Nota 2 2 2 2 6 3 2 2 2" xfId="16572"/>
    <cellStyle name="Nota 2 2 2 2 6 3 2 2 2 2" xfId="29988"/>
    <cellStyle name="Nota 2 2 2 2 6 3 2 2 3" xfId="21317"/>
    <cellStyle name="Nota 2 2 2 2 6 3 2 3" xfId="14300"/>
    <cellStyle name="Nota 2 2 2 2 6 3 2 3 2" xfId="28622"/>
    <cellStyle name="Nota 2 2 2 2 6 3 2 4" xfId="19945"/>
    <cellStyle name="Nota 2 2 2 2 6 3 3" xfId="12520"/>
    <cellStyle name="Nota 2 2 2 2 6 3 3 2" xfId="26842"/>
    <cellStyle name="Nota 2 2 2 2 6 3 4" xfId="18165"/>
    <cellStyle name="Nota 2 2 2 2 6 4" xfId="5154"/>
    <cellStyle name="Nota 2 2 2 2 6 4 2" xfId="11703"/>
    <cellStyle name="Nota 2 2 2 2 6 4 2 2" xfId="26025"/>
    <cellStyle name="Nota 2 2 2 2 6 4 3" xfId="4745"/>
    <cellStyle name="Nota 2 2 2 2 6 5" xfId="6774"/>
    <cellStyle name="Nota 2 2 2 2 6 5 2" xfId="23720"/>
    <cellStyle name="Nota 2 2 2 2 6 6" xfId="15586"/>
    <cellStyle name="Nota 2 2 2 2 7" xfId="1371"/>
    <cellStyle name="Nota 2 2 2 2 7 2" xfId="5235"/>
    <cellStyle name="Nota 2 2 2 2 7 2 2" xfId="11785"/>
    <cellStyle name="Nota 2 2 2 2 7 2 2 2" xfId="26107"/>
    <cellStyle name="Nota 2 2 2 2 7 2 3" xfId="17430"/>
    <cellStyle name="Nota 2 2 2 2 7 3" xfId="7401"/>
    <cellStyle name="Nota 2 2 2 2 7 3 2" xfId="10015"/>
    <cellStyle name="Nota 2 2 2 2 7 3 2 2" xfId="16277"/>
    <cellStyle name="Nota 2 2 2 2 7 3 2 2 2" xfId="29693"/>
    <cellStyle name="Nota 2 2 2 2 7 3 2 3" xfId="21022"/>
    <cellStyle name="Nota 2 2 2 2 7 3 3" xfId="14005"/>
    <cellStyle name="Nota 2 2 2 2 7 3 3 2" xfId="28327"/>
    <cellStyle name="Nota 2 2 2 2 7 3 4" xfId="19650"/>
    <cellStyle name="Nota 2 2 2 2 7 4" xfId="4082"/>
    <cellStyle name="Nota 2 2 2 2 7 4 2" xfId="22750"/>
    <cellStyle name="Nota 2 2 2 2 7 5" xfId="17184"/>
    <cellStyle name="Nota 2 2 2 2 8" xfId="1372"/>
    <cellStyle name="Nota 2 2 2 2 8 2" xfId="7465"/>
    <cellStyle name="Nota 2 2 2 2 8 2 2" xfId="10079"/>
    <cellStyle name="Nota 2 2 2 2 8 2 2 2" xfId="16341"/>
    <cellStyle name="Nota 2 2 2 2 8 2 2 2 2" xfId="29757"/>
    <cellStyle name="Nota 2 2 2 2 8 2 2 3" xfId="21086"/>
    <cellStyle name="Nota 2 2 2 2 8 2 3" xfId="14069"/>
    <cellStyle name="Nota 2 2 2 2 8 2 3 2" xfId="28391"/>
    <cellStyle name="Nota 2 2 2 2 8 2 4" xfId="19714"/>
    <cellStyle name="Nota 2 2 2 2 8 3" xfId="12751"/>
    <cellStyle name="Nota 2 2 2 2 8 3 2" xfId="27073"/>
    <cellStyle name="Nota 2 2 2 2 8 4" xfId="18396"/>
    <cellStyle name="Nota 2 2 2 2 9" xfId="5403"/>
    <cellStyle name="Nota 2 2 2 2 9 2" xfId="11953"/>
    <cellStyle name="Nota 2 2 2 2 9 2 2" xfId="26275"/>
    <cellStyle name="Nota 2 2 2 2 9 3" xfId="17598"/>
    <cellStyle name="Nota 2 2 2 3" xfId="1373"/>
    <cellStyle name="Nota 2 2 2 3 2" xfId="1374"/>
    <cellStyle name="Nota 2 2 2 3 2 2" xfId="1375"/>
    <cellStyle name="Nota 2 2 2 3 2 2 2" xfId="6071"/>
    <cellStyle name="Nota 2 2 2 3 2 2 2 2" xfId="12637"/>
    <cellStyle name="Nota 2 2 2 3 2 2 2 2 2" xfId="26959"/>
    <cellStyle name="Nota 2 2 2 3 2 2 2 3" xfId="18282"/>
    <cellStyle name="Nota 2 2 2 3 2 2 3" xfId="8027"/>
    <cellStyle name="Nota 2 2 2 3 2 2 3 2" xfId="10641"/>
    <cellStyle name="Nota 2 2 2 3 2 2 3 2 2" xfId="16903"/>
    <cellStyle name="Nota 2 2 2 3 2 2 3 2 2 2" xfId="30319"/>
    <cellStyle name="Nota 2 2 2 3 2 2 3 2 3" xfId="21648"/>
    <cellStyle name="Nota 2 2 2 3 2 2 3 3" xfId="14631"/>
    <cellStyle name="Nota 2 2 2 3 2 2 3 3 2" xfId="28953"/>
    <cellStyle name="Nota 2 2 2 3 2 2 3 4" xfId="20276"/>
    <cellStyle name="Nota 2 2 2 3 2 2 4" xfId="3290"/>
    <cellStyle name="Nota 2 2 2 3 2 2 4 2" xfId="22463"/>
    <cellStyle name="Nota 2 2 2 3 2 2 5" xfId="14900"/>
    <cellStyle name="Nota 2 2 2 3 2 3" xfId="1376"/>
    <cellStyle name="Nota 2 2 2 3 2 3 2" xfId="7843"/>
    <cellStyle name="Nota 2 2 2 3 2 3 2 2" xfId="10457"/>
    <cellStyle name="Nota 2 2 2 3 2 3 2 2 2" xfId="16719"/>
    <cellStyle name="Nota 2 2 2 3 2 3 2 2 2 2" xfId="30135"/>
    <cellStyle name="Nota 2 2 2 3 2 3 2 2 3" xfId="21464"/>
    <cellStyle name="Nota 2 2 2 3 2 3 2 3" xfId="14447"/>
    <cellStyle name="Nota 2 2 2 3 2 3 2 3 2" xfId="28769"/>
    <cellStyle name="Nota 2 2 2 3 2 3 2 4" xfId="20092"/>
    <cellStyle name="Nota 2 2 2 3 2 3 3" xfId="13279"/>
    <cellStyle name="Nota 2 2 2 3 2 3 3 2" xfId="27601"/>
    <cellStyle name="Nota 2 2 2 3 2 3 4" xfId="18924"/>
    <cellStyle name="Nota 2 2 2 3 2 4" xfId="5727"/>
    <cellStyle name="Nota 2 2 2 3 2 4 2" xfId="12280"/>
    <cellStyle name="Nota 2 2 2 3 2 4 2 2" xfId="26602"/>
    <cellStyle name="Nota 2 2 2 3 2 4 3" xfId="17925"/>
    <cellStyle name="Nota 2 2 2 3 2 5" xfId="6816"/>
    <cellStyle name="Nota 2 2 2 3 2 5 2" xfId="23752"/>
    <cellStyle name="Nota 2 2 2 3 2 6" xfId="17372"/>
    <cellStyle name="Nota 2 2 2 3 3" xfId="1377"/>
    <cellStyle name="Nota 2 2 2 3 3 2" xfId="1378"/>
    <cellStyle name="Nota 2 2 2 3 3 2 2" xfId="6208"/>
    <cellStyle name="Nota 2 2 2 3 3 2 2 2" xfId="12781"/>
    <cellStyle name="Nota 2 2 2 3 3 2 2 2 2" xfId="27103"/>
    <cellStyle name="Nota 2 2 2 3 3 2 2 3" xfId="18426"/>
    <cellStyle name="Nota 2 2 2 3 3 2 3" xfId="4280"/>
    <cellStyle name="Nota 2 2 2 3 3 2 3 2" xfId="9441"/>
    <cellStyle name="Nota 2 2 2 3 3 2 3 2 2" xfId="15703"/>
    <cellStyle name="Nota 2 2 2 3 3 2 3 2 2 2" xfId="29119"/>
    <cellStyle name="Nota 2 2 2 3 3 2 3 2 3" xfId="20448"/>
    <cellStyle name="Nota 2 2 2 3 3 2 3 3" xfId="4186"/>
    <cellStyle name="Nota 2 2 2 3 3 2 3 3 2" xfId="22808"/>
    <cellStyle name="Nota 2 2 2 3 3 2 3 4" xfId="4012"/>
    <cellStyle name="Nota 2 2 2 3 3 2 4" xfId="4563"/>
    <cellStyle name="Nota 2 2 2 3 3 2 4 2" xfId="23032"/>
    <cellStyle name="Nota 2 2 2 3 3 2 5" xfId="14892"/>
    <cellStyle name="Nota 2 2 2 3 3 3" xfId="1379"/>
    <cellStyle name="Nota 2 2 2 3 3 3 2" xfId="4929"/>
    <cellStyle name="Nota 2 2 2 3 3 3 2 2" xfId="9518"/>
    <cellStyle name="Nota 2 2 2 3 3 3 2 2 2" xfId="15780"/>
    <cellStyle name="Nota 2 2 2 3 3 3 2 2 2 2" xfId="29196"/>
    <cellStyle name="Nota 2 2 2 3 3 3 2 2 3" xfId="20525"/>
    <cellStyle name="Nota 2 2 2 3 3 3 2 3" xfId="11467"/>
    <cellStyle name="Nota 2 2 2 3 3 3 2 3 2" xfId="25789"/>
    <cellStyle name="Nota 2 2 2 3 3 3 2 4" xfId="17383"/>
    <cellStyle name="Nota 2 2 2 3 3 3 3" xfId="13163"/>
    <cellStyle name="Nota 2 2 2 3 3 3 3 2" xfId="27485"/>
    <cellStyle name="Nota 2 2 2 3 3 3 4" xfId="18808"/>
    <cellStyle name="Nota 2 2 2 3 3 4" xfId="5576"/>
    <cellStyle name="Nota 2 2 2 3 3 4 2" xfId="12127"/>
    <cellStyle name="Nota 2 2 2 3 3 4 2 2" xfId="26449"/>
    <cellStyle name="Nota 2 2 2 3 3 4 3" xfId="17772"/>
    <cellStyle name="Nota 2 2 2 3 3 5" xfId="4710"/>
    <cellStyle name="Nota 2 2 2 3 3 5 2" xfId="23142"/>
    <cellStyle name="Nota 2 2 2 3 3 6" xfId="15258"/>
    <cellStyle name="Nota 2 2 2 3 4" xfId="1380"/>
    <cellStyle name="Nota 2 2 2 3 4 2" xfId="6945"/>
    <cellStyle name="Nota 2 2 2 3 4 2 2" xfId="13549"/>
    <cellStyle name="Nota 2 2 2 3 4 2 2 2" xfId="27871"/>
    <cellStyle name="Nota 2 2 2 3 4 2 3" xfId="19194"/>
    <cellStyle name="Nota 2 2 2 3 4 3" xfId="7449"/>
    <cellStyle name="Nota 2 2 2 3 4 3 2" xfId="10063"/>
    <cellStyle name="Nota 2 2 2 3 4 3 2 2" xfId="16325"/>
    <cellStyle name="Nota 2 2 2 3 4 3 2 2 2" xfId="29741"/>
    <cellStyle name="Nota 2 2 2 3 4 3 2 3" xfId="21070"/>
    <cellStyle name="Nota 2 2 2 3 4 3 3" xfId="14053"/>
    <cellStyle name="Nota 2 2 2 3 4 3 3 2" xfId="28375"/>
    <cellStyle name="Nota 2 2 2 3 4 3 4" xfId="19698"/>
    <cellStyle name="Nota 2 2 2 3 4 4" xfId="11438"/>
    <cellStyle name="Nota 2 2 2 3 4 4 2" xfId="25760"/>
    <cellStyle name="Nota 2 2 2 3 4 5" xfId="14959"/>
    <cellStyle name="Nota 2 2 2 3 5" xfId="1381"/>
    <cellStyle name="Nota 2 2 2 3 5 2" xfId="5320"/>
    <cellStyle name="Nota 2 2 2 3 5 2 2" xfId="9629"/>
    <cellStyle name="Nota 2 2 2 3 5 2 2 2" xfId="15891"/>
    <cellStyle name="Nota 2 2 2 3 5 2 2 2 2" xfId="29307"/>
    <cellStyle name="Nota 2 2 2 3 5 2 2 3" xfId="20636"/>
    <cellStyle name="Nota 2 2 2 3 5 2 3" xfId="11870"/>
    <cellStyle name="Nota 2 2 2 3 5 2 3 2" xfId="26192"/>
    <cellStyle name="Nota 2 2 2 3 5 2 4" xfId="17515"/>
    <cellStyle name="Nota 2 2 2 3 5 3" xfId="12842"/>
    <cellStyle name="Nota 2 2 2 3 5 3 2" xfId="27164"/>
    <cellStyle name="Nota 2 2 2 3 5 4" xfId="18487"/>
    <cellStyle name="Nota 2 2 2 3 6" xfId="5423"/>
    <cellStyle name="Nota 2 2 2 3 6 2" xfId="11974"/>
    <cellStyle name="Nota 2 2 2 3 6 2 2" xfId="26296"/>
    <cellStyle name="Nota 2 2 2 3 6 3" xfId="17619"/>
    <cellStyle name="Nota 2 2 2 3 7" xfId="3798"/>
    <cellStyle name="Nota 2 2 2 3 7 2" xfId="22586"/>
    <cellStyle name="Nota 2 2 2 3 8" xfId="17052"/>
    <cellStyle name="Nota 2 2 2 4" xfId="1382"/>
    <cellStyle name="Nota 2 2 2 4 2" xfId="1383"/>
    <cellStyle name="Nota 2 2 2 4 2 2" xfId="1384"/>
    <cellStyle name="Nota 2 2 2 4 2 2 2" xfId="6877"/>
    <cellStyle name="Nota 2 2 2 4 2 2 2 2" xfId="13481"/>
    <cellStyle name="Nota 2 2 2 4 2 2 2 2 2" xfId="27803"/>
    <cellStyle name="Nota 2 2 2 4 2 2 2 3" xfId="19126"/>
    <cellStyle name="Nota 2 2 2 4 2 2 3" xfId="3794"/>
    <cellStyle name="Nota 2 2 2 4 2 2 3 2" xfId="9375"/>
    <cellStyle name="Nota 2 2 2 4 2 2 3 2 2" xfId="15637"/>
    <cellStyle name="Nota 2 2 2 4 2 2 3 2 2 2" xfId="29053"/>
    <cellStyle name="Nota 2 2 2 4 2 2 3 2 3" xfId="20382"/>
    <cellStyle name="Nota 2 2 2 4 2 2 3 3" xfId="5021"/>
    <cellStyle name="Nota 2 2 2 4 2 2 3 3 2" xfId="23310"/>
    <cellStyle name="Nota 2 2 2 4 2 2 3 4" xfId="16962"/>
    <cellStyle name="Nota 2 2 2 4 2 2 4" xfId="11346"/>
    <cellStyle name="Nota 2 2 2 4 2 2 4 2" xfId="25668"/>
    <cellStyle name="Nota 2 2 2 4 2 2 5" xfId="14757"/>
    <cellStyle name="Nota 2 2 2 4 2 3" xfId="1385"/>
    <cellStyle name="Nota 2 2 2 4 2 3 2" xfId="7441"/>
    <cellStyle name="Nota 2 2 2 4 2 3 2 2" xfId="10055"/>
    <cellStyle name="Nota 2 2 2 4 2 3 2 2 2" xfId="16317"/>
    <cellStyle name="Nota 2 2 2 4 2 3 2 2 2 2" xfId="29733"/>
    <cellStyle name="Nota 2 2 2 4 2 3 2 2 3" xfId="21062"/>
    <cellStyle name="Nota 2 2 2 4 2 3 2 3" xfId="14045"/>
    <cellStyle name="Nota 2 2 2 4 2 3 2 3 2" xfId="28367"/>
    <cellStyle name="Nota 2 2 2 4 2 3 2 4" xfId="19690"/>
    <cellStyle name="Nota 2 2 2 4 2 3 3" xfId="13224"/>
    <cellStyle name="Nota 2 2 2 4 2 3 3 2" xfId="27546"/>
    <cellStyle name="Nota 2 2 2 4 2 3 4" xfId="18869"/>
    <cellStyle name="Nota 2 2 2 4 2 4" xfId="5665"/>
    <cellStyle name="Nota 2 2 2 4 2 4 2" xfId="12218"/>
    <cellStyle name="Nota 2 2 2 4 2 4 2 2" xfId="26540"/>
    <cellStyle name="Nota 2 2 2 4 2 4 3" xfId="17863"/>
    <cellStyle name="Nota 2 2 2 4 2 5" xfId="4335"/>
    <cellStyle name="Nota 2 2 2 4 2 5 2" xfId="22894"/>
    <cellStyle name="Nota 2 2 2 4 2 6" xfId="15198"/>
    <cellStyle name="Nota 2 2 2 4 3" xfId="1386"/>
    <cellStyle name="Nota 2 2 2 4 3 2" xfId="1387"/>
    <cellStyle name="Nota 2 2 2 4 3 2 2" xfId="7039"/>
    <cellStyle name="Nota 2 2 2 4 3 2 2 2" xfId="13643"/>
    <cellStyle name="Nota 2 2 2 4 3 2 2 2 2" xfId="27965"/>
    <cellStyle name="Nota 2 2 2 4 3 2 2 3" xfId="19288"/>
    <cellStyle name="Nota 2 2 2 4 3 2 3" xfId="7929"/>
    <cellStyle name="Nota 2 2 2 4 3 2 3 2" xfId="10543"/>
    <cellStyle name="Nota 2 2 2 4 3 2 3 2 2" xfId="16805"/>
    <cellStyle name="Nota 2 2 2 4 3 2 3 2 2 2" xfId="30221"/>
    <cellStyle name="Nota 2 2 2 4 3 2 3 2 3" xfId="21550"/>
    <cellStyle name="Nota 2 2 2 4 3 2 3 3" xfId="14533"/>
    <cellStyle name="Nota 2 2 2 4 3 2 3 3 2" xfId="28855"/>
    <cellStyle name="Nota 2 2 2 4 3 2 3 4" xfId="20178"/>
    <cellStyle name="Nota 2 2 2 4 3 2 4" xfId="11584"/>
    <cellStyle name="Nota 2 2 2 4 3 2 4 2" xfId="25906"/>
    <cellStyle name="Nota 2 2 2 4 3 2 5" xfId="17329"/>
    <cellStyle name="Nota 2 2 2 4 3 3" xfId="1388"/>
    <cellStyle name="Nota 2 2 2 4 3 3 2" xfId="7813"/>
    <cellStyle name="Nota 2 2 2 4 3 3 2 2" xfId="10427"/>
    <cellStyle name="Nota 2 2 2 4 3 3 2 2 2" xfId="16689"/>
    <cellStyle name="Nota 2 2 2 4 3 3 2 2 2 2" xfId="30105"/>
    <cellStyle name="Nota 2 2 2 4 3 3 2 2 3" xfId="21434"/>
    <cellStyle name="Nota 2 2 2 4 3 3 2 3" xfId="14417"/>
    <cellStyle name="Nota 2 2 2 4 3 3 2 3 2" xfId="28739"/>
    <cellStyle name="Nota 2 2 2 4 3 3 2 4" xfId="20062"/>
    <cellStyle name="Nota 2 2 2 4 3 3 3" xfId="12644"/>
    <cellStyle name="Nota 2 2 2 4 3 3 3 2" xfId="26966"/>
    <cellStyle name="Nota 2 2 2 4 3 3 4" xfId="18289"/>
    <cellStyle name="Nota 2 2 2 4 3 4" xfId="5137"/>
    <cellStyle name="Nota 2 2 2 4 3 4 2" xfId="11686"/>
    <cellStyle name="Nota 2 2 2 4 3 4 2 2" xfId="26008"/>
    <cellStyle name="Nota 2 2 2 4 3 4 3" xfId="6820"/>
    <cellStyle name="Nota 2 2 2 4 3 5" xfId="4403"/>
    <cellStyle name="Nota 2 2 2 4 3 5 2" xfId="22930"/>
    <cellStyle name="Nota 2 2 2 4 3 6" xfId="15431"/>
    <cellStyle name="Nota 2 2 2 4 4" xfId="1389"/>
    <cellStyle name="Nota 2 2 2 4 4 2" xfId="6845"/>
    <cellStyle name="Nota 2 2 2 4 4 2 2" xfId="13449"/>
    <cellStyle name="Nota 2 2 2 4 4 2 2 2" xfId="27771"/>
    <cellStyle name="Nota 2 2 2 4 4 2 3" xfId="19094"/>
    <cellStyle name="Nota 2 2 2 4 4 3" xfId="7622"/>
    <cellStyle name="Nota 2 2 2 4 4 3 2" xfId="10236"/>
    <cellStyle name="Nota 2 2 2 4 4 3 2 2" xfId="16498"/>
    <cellStyle name="Nota 2 2 2 4 4 3 2 2 2" xfId="29914"/>
    <cellStyle name="Nota 2 2 2 4 4 3 2 3" xfId="21243"/>
    <cellStyle name="Nota 2 2 2 4 4 3 3" xfId="14226"/>
    <cellStyle name="Nota 2 2 2 4 4 3 3 2" xfId="28548"/>
    <cellStyle name="Nota 2 2 2 4 4 3 4" xfId="19871"/>
    <cellStyle name="Nota 2 2 2 4 4 4" xfId="2767"/>
    <cellStyle name="Nota 2 2 2 4 4 4 2" xfId="22336"/>
    <cellStyle name="Nota 2 2 2 4 4 5" xfId="16967"/>
    <cellStyle name="Nota 2 2 2 4 5" xfId="1390"/>
    <cellStyle name="Nota 2 2 2 4 5 2" xfId="7044"/>
    <cellStyle name="Nota 2 2 2 4 5 2 2" xfId="9658"/>
    <cellStyle name="Nota 2 2 2 4 5 2 2 2" xfId="15920"/>
    <cellStyle name="Nota 2 2 2 4 5 2 2 2 2" xfId="29336"/>
    <cellStyle name="Nota 2 2 2 4 5 2 2 3" xfId="20665"/>
    <cellStyle name="Nota 2 2 2 4 5 2 3" xfId="13648"/>
    <cellStyle name="Nota 2 2 2 4 5 2 3 2" xfId="27970"/>
    <cellStyle name="Nota 2 2 2 4 5 2 4" xfId="19293"/>
    <cellStyle name="Nota 2 2 2 4 5 3" xfId="12558"/>
    <cellStyle name="Nota 2 2 2 4 5 3 2" xfId="26880"/>
    <cellStyle name="Nota 2 2 2 4 5 4" xfId="18203"/>
    <cellStyle name="Nota 2 2 2 4 6" xfId="5085"/>
    <cellStyle name="Nota 2 2 2 4 6 2" xfId="11632"/>
    <cellStyle name="Nota 2 2 2 4 6 2 2" xfId="25954"/>
    <cellStyle name="Nota 2 2 2 4 6 3" xfId="17108"/>
    <cellStyle name="Nota 2 2 2 4 7" xfId="4808"/>
    <cellStyle name="Nota 2 2 2 4 7 2" xfId="23197"/>
    <cellStyle name="Nota 2 2 2 4 8" xfId="15012"/>
    <cellStyle name="Nota 2 2 2 5" xfId="1391"/>
    <cellStyle name="Nota 2 2 2 5 2" xfId="1392"/>
    <cellStyle name="Nota 2 2 2 5 2 2" xfId="1393"/>
    <cellStyle name="Nota 2 2 2 5 2 2 2" xfId="5618"/>
    <cellStyle name="Nota 2 2 2 5 2 2 2 2" xfId="12171"/>
    <cellStyle name="Nota 2 2 2 5 2 2 2 2 2" xfId="26493"/>
    <cellStyle name="Nota 2 2 2 5 2 2 2 3" xfId="17816"/>
    <cellStyle name="Nota 2 2 2 5 2 2 3" xfId="3636"/>
    <cellStyle name="Nota 2 2 2 5 2 2 3 2" xfId="9351"/>
    <cellStyle name="Nota 2 2 2 5 2 2 3 2 2" xfId="15613"/>
    <cellStyle name="Nota 2 2 2 5 2 2 3 2 2 2" xfId="29029"/>
    <cellStyle name="Nota 2 2 2 5 2 2 3 2 3" xfId="20358"/>
    <cellStyle name="Nota 2 2 2 5 2 2 3 3" xfId="6336"/>
    <cellStyle name="Nota 2 2 2 5 2 2 3 3 2" xfId="23524"/>
    <cellStyle name="Nota 2 2 2 5 2 2 3 4" xfId="17141"/>
    <cellStyle name="Nota 2 2 2 5 2 2 4" xfId="4292"/>
    <cellStyle name="Nota 2 2 2 5 2 2 4 2" xfId="22876"/>
    <cellStyle name="Nota 2 2 2 5 2 2 5" xfId="3754"/>
    <cellStyle name="Nota 2 2 2 5 2 3" xfId="1394"/>
    <cellStyle name="Nota 2 2 2 5 2 3 2" xfId="7208"/>
    <cellStyle name="Nota 2 2 2 5 2 3 2 2" xfId="9822"/>
    <cellStyle name="Nota 2 2 2 5 2 3 2 2 2" xfId="16084"/>
    <cellStyle name="Nota 2 2 2 5 2 3 2 2 2 2" xfId="29500"/>
    <cellStyle name="Nota 2 2 2 5 2 3 2 2 3" xfId="20829"/>
    <cellStyle name="Nota 2 2 2 5 2 3 2 3" xfId="13812"/>
    <cellStyle name="Nota 2 2 2 5 2 3 2 3 2" xfId="28134"/>
    <cellStyle name="Nota 2 2 2 5 2 3 2 4" xfId="19457"/>
    <cellStyle name="Nota 2 2 2 5 2 3 3" xfId="13232"/>
    <cellStyle name="Nota 2 2 2 5 2 3 3 2" xfId="27554"/>
    <cellStyle name="Nota 2 2 2 5 2 3 4" xfId="18877"/>
    <cellStyle name="Nota 2 2 2 5 2 4" xfId="5673"/>
    <cellStyle name="Nota 2 2 2 5 2 4 2" xfId="12226"/>
    <cellStyle name="Nota 2 2 2 5 2 4 2 2" xfId="26548"/>
    <cellStyle name="Nota 2 2 2 5 2 4 3" xfId="17871"/>
    <cellStyle name="Nota 2 2 2 5 2 5" xfId="4726"/>
    <cellStyle name="Nota 2 2 2 5 2 5 2" xfId="23153"/>
    <cellStyle name="Nota 2 2 2 5 2 6" xfId="17178"/>
    <cellStyle name="Nota 2 2 2 5 3" xfId="1395"/>
    <cellStyle name="Nota 2 2 2 5 3 2" xfId="1396"/>
    <cellStyle name="Nota 2 2 2 5 3 2 2" xfId="6978"/>
    <cellStyle name="Nota 2 2 2 5 3 2 2 2" xfId="13582"/>
    <cellStyle name="Nota 2 2 2 5 3 2 2 2 2" xfId="27904"/>
    <cellStyle name="Nota 2 2 2 5 3 2 2 3" xfId="19227"/>
    <cellStyle name="Nota 2 2 2 5 3 2 3" xfId="4089"/>
    <cellStyle name="Nota 2 2 2 5 3 2 3 2" xfId="9421"/>
    <cellStyle name="Nota 2 2 2 5 3 2 3 2 2" xfId="15683"/>
    <cellStyle name="Nota 2 2 2 5 3 2 3 2 2 2" xfId="29099"/>
    <cellStyle name="Nota 2 2 2 5 3 2 3 2 3" xfId="20428"/>
    <cellStyle name="Nota 2 2 2 5 3 2 3 3" xfId="4144"/>
    <cellStyle name="Nota 2 2 2 5 3 2 3 3 2" xfId="22782"/>
    <cellStyle name="Nota 2 2 2 5 3 2 3 4" xfId="17140"/>
    <cellStyle name="Nota 2 2 2 5 3 2 4" xfId="11489"/>
    <cellStyle name="Nota 2 2 2 5 3 2 4 2" xfId="25811"/>
    <cellStyle name="Nota 2 2 2 5 3 2 5" xfId="17318"/>
    <cellStyle name="Nota 2 2 2 5 3 3" xfId="1397"/>
    <cellStyle name="Nota 2 2 2 5 3 3 2" xfId="7958"/>
    <cellStyle name="Nota 2 2 2 5 3 3 2 2" xfId="10572"/>
    <cellStyle name="Nota 2 2 2 5 3 3 2 2 2" xfId="16834"/>
    <cellStyle name="Nota 2 2 2 5 3 3 2 2 2 2" xfId="30250"/>
    <cellStyle name="Nota 2 2 2 5 3 3 2 2 3" xfId="21579"/>
    <cellStyle name="Nota 2 2 2 5 3 3 2 3" xfId="14562"/>
    <cellStyle name="Nota 2 2 2 5 3 3 2 3 2" xfId="28884"/>
    <cellStyle name="Nota 2 2 2 5 3 3 2 4" xfId="20207"/>
    <cellStyle name="Nota 2 2 2 5 3 3 3" xfId="13419"/>
    <cellStyle name="Nota 2 2 2 5 3 3 3 2" xfId="27741"/>
    <cellStyle name="Nota 2 2 2 5 3 3 4" xfId="19064"/>
    <cellStyle name="Nota 2 2 2 5 3 4" xfId="5890"/>
    <cellStyle name="Nota 2 2 2 5 3 4 2" xfId="12443"/>
    <cellStyle name="Nota 2 2 2 5 3 4 2 2" xfId="26765"/>
    <cellStyle name="Nota 2 2 2 5 3 4 3" xfId="18088"/>
    <cellStyle name="Nota 2 2 2 5 3 5" xfId="4047"/>
    <cellStyle name="Nota 2 2 2 5 3 5 2" xfId="22724"/>
    <cellStyle name="Nota 2 2 2 5 3 6" xfId="3987"/>
    <cellStyle name="Nota 2 2 2 5 4" xfId="1398"/>
    <cellStyle name="Nota 2 2 2 5 4 2" xfId="6967"/>
    <cellStyle name="Nota 2 2 2 5 4 2 2" xfId="13571"/>
    <cellStyle name="Nota 2 2 2 5 4 2 2 2" xfId="27893"/>
    <cellStyle name="Nota 2 2 2 5 4 2 3" xfId="19216"/>
    <cellStyle name="Nota 2 2 2 5 4 3" xfId="7907"/>
    <cellStyle name="Nota 2 2 2 5 4 3 2" xfId="10521"/>
    <cellStyle name="Nota 2 2 2 5 4 3 2 2" xfId="16783"/>
    <cellStyle name="Nota 2 2 2 5 4 3 2 2 2" xfId="30199"/>
    <cellStyle name="Nota 2 2 2 5 4 3 2 3" xfId="21528"/>
    <cellStyle name="Nota 2 2 2 5 4 3 3" xfId="14511"/>
    <cellStyle name="Nota 2 2 2 5 4 3 3 2" xfId="28833"/>
    <cellStyle name="Nota 2 2 2 5 4 3 4" xfId="20156"/>
    <cellStyle name="Nota 2 2 2 5 4 4" xfId="11472"/>
    <cellStyle name="Nota 2 2 2 5 4 4 2" xfId="25794"/>
    <cellStyle name="Nota 2 2 2 5 4 5" xfId="6619"/>
    <cellStyle name="Nota 2 2 2 5 5" xfId="1399"/>
    <cellStyle name="Nota 2 2 2 5 5 2" xfId="7586"/>
    <cellStyle name="Nota 2 2 2 5 5 2 2" xfId="10200"/>
    <cellStyle name="Nota 2 2 2 5 5 2 2 2" xfId="16462"/>
    <cellStyle name="Nota 2 2 2 5 5 2 2 2 2" xfId="29878"/>
    <cellStyle name="Nota 2 2 2 5 5 2 2 3" xfId="21207"/>
    <cellStyle name="Nota 2 2 2 5 5 2 3" xfId="14190"/>
    <cellStyle name="Nota 2 2 2 5 5 2 3 2" xfId="28512"/>
    <cellStyle name="Nota 2 2 2 5 5 2 4" xfId="19835"/>
    <cellStyle name="Nota 2 2 2 5 5 3" xfId="12627"/>
    <cellStyle name="Nota 2 2 2 5 5 3 2" xfId="26949"/>
    <cellStyle name="Nota 2 2 2 5 5 4" xfId="18272"/>
    <cellStyle name="Nota 2 2 2 5 6" xfId="5050"/>
    <cellStyle name="Nota 2 2 2 5 6 2" xfId="11597"/>
    <cellStyle name="Nota 2 2 2 5 6 2 2" xfId="25919"/>
    <cellStyle name="Nota 2 2 2 5 6 3" xfId="17050"/>
    <cellStyle name="Nota 2 2 2 5 7" xfId="3781"/>
    <cellStyle name="Nota 2 2 2 5 7 2" xfId="22574"/>
    <cellStyle name="Nota 2 2 2 5 8" xfId="15493"/>
    <cellStyle name="Nota 2 2 2 6" xfId="1400"/>
    <cellStyle name="Nota 2 2 2 6 2" xfId="1401"/>
    <cellStyle name="Nota 2 2 2 6 2 2" xfId="1402"/>
    <cellStyle name="Nota 2 2 2 6 2 2 2" xfId="7003"/>
    <cellStyle name="Nota 2 2 2 6 2 2 2 2" xfId="13607"/>
    <cellStyle name="Nota 2 2 2 6 2 2 2 2 2" xfId="27929"/>
    <cellStyle name="Nota 2 2 2 6 2 2 2 3" xfId="19252"/>
    <cellStyle name="Nota 2 2 2 6 2 2 3" xfId="7410"/>
    <cellStyle name="Nota 2 2 2 6 2 2 3 2" xfId="10024"/>
    <cellStyle name="Nota 2 2 2 6 2 2 3 2 2" xfId="16286"/>
    <cellStyle name="Nota 2 2 2 6 2 2 3 2 2 2" xfId="29702"/>
    <cellStyle name="Nota 2 2 2 6 2 2 3 2 3" xfId="21031"/>
    <cellStyle name="Nota 2 2 2 6 2 2 3 3" xfId="14014"/>
    <cellStyle name="Nota 2 2 2 6 2 2 3 3 2" xfId="28336"/>
    <cellStyle name="Nota 2 2 2 6 2 2 3 4" xfId="19659"/>
    <cellStyle name="Nota 2 2 2 6 2 2 4" xfId="11521"/>
    <cellStyle name="Nota 2 2 2 6 2 2 4 2" xfId="25843"/>
    <cellStyle name="Nota 2 2 2 6 2 2 5" xfId="17018"/>
    <cellStyle name="Nota 2 2 2 6 2 3" xfId="1403"/>
    <cellStyle name="Nota 2 2 2 6 2 3 2" xfId="7258"/>
    <cellStyle name="Nota 2 2 2 6 2 3 2 2" xfId="9872"/>
    <cellStyle name="Nota 2 2 2 6 2 3 2 2 2" xfId="16134"/>
    <cellStyle name="Nota 2 2 2 6 2 3 2 2 2 2" xfId="29550"/>
    <cellStyle name="Nota 2 2 2 6 2 3 2 2 3" xfId="20879"/>
    <cellStyle name="Nota 2 2 2 6 2 3 2 3" xfId="13862"/>
    <cellStyle name="Nota 2 2 2 6 2 3 2 3 2" xfId="28184"/>
    <cellStyle name="Nota 2 2 2 6 2 3 2 4" xfId="19507"/>
    <cellStyle name="Nota 2 2 2 6 2 3 3" xfId="13099"/>
    <cellStyle name="Nota 2 2 2 6 2 3 3 2" xfId="27421"/>
    <cellStyle name="Nota 2 2 2 6 2 3 4" xfId="18744"/>
    <cellStyle name="Nota 2 2 2 6 2 4" xfId="5460"/>
    <cellStyle name="Nota 2 2 2 6 2 4 2" xfId="12011"/>
    <cellStyle name="Nota 2 2 2 6 2 4 2 2" xfId="26333"/>
    <cellStyle name="Nota 2 2 2 6 2 4 3" xfId="17656"/>
    <cellStyle name="Nota 2 2 2 6 2 5" xfId="4868"/>
    <cellStyle name="Nota 2 2 2 6 2 5 2" xfId="23233"/>
    <cellStyle name="Nota 2 2 2 6 2 6" xfId="4506"/>
    <cellStyle name="Nota 2 2 2 6 3" xfId="1404"/>
    <cellStyle name="Nota 2 2 2 6 3 2" xfId="5410"/>
    <cellStyle name="Nota 2 2 2 6 3 2 2" xfId="11960"/>
    <cellStyle name="Nota 2 2 2 6 3 2 2 2" xfId="26282"/>
    <cellStyle name="Nota 2 2 2 6 3 2 3" xfId="17605"/>
    <cellStyle name="Nota 2 2 2 6 3 3" xfId="5309"/>
    <cellStyle name="Nota 2 2 2 6 3 3 2" xfId="9618"/>
    <cellStyle name="Nota 2 2 2 6 3 3 2 2" xfId="15880"/>
    <cellStyle name="Nota 2 2 2 6 3 3 2 2 2" xfId="29296"/>
    <cellStyle name="Nota 2 2 2 6 3 3 2 3" xfId="20625"/>
    <cellStyle name="Nota 2 2 2 6 3 3 3" xfId="11859"/>
    <cellStyle name="Nota 2 2 2 6 3 3 3 2" xfId="26181"/>
    <cellStyle name="Nota 2 2 2 6 3 3 4" xfId="17504"/>
    <cellStyle name="Nota 2 2 2 6 3 4" xfId="6742"/>
    <cellStyle name="Nota 2 2 2 6 3 4 2" xfId="23691"/>
    <cellStyle name="Nota 2 2 2 6 3 5" xfId="17398"/>
    <cellStyle name="Nota 2 2 2 6 4" xfId="1405"/>
    <cellStyle name="Nota 2 2 2 6 4 2" xfId="7820"/>
    <cellStyle name="Nota 2 2 2 6 4 2 2" xfId="10434"/>
    <cellStyle name="Nota 2 2 2 6 4 2 2 2" xfId="16696"/>
    <cellStyle name="Nota 2 2 2 6 4 2 2 2 2" xfId="30112"/>
    <cellStyle name="Nota 2 2 2 6 4 2 2 3" xfId="21441"/>
    <cellStyle name="Nota 2 2 2 6 4 2 3" xfId="14424"/>
    <cellStyle name="Nota 2 2 2 6 4 2 3 2" xfId="28746"/>
    <cellStyle name="Nota 2 2 2 6 4 2 4" xfId="20069"/>
    <cellStyle name="Nota 2 2 2 6 4 3" xfId="12529"/>
    <cellStyle name="Nota 2 2 2 6 4 3 2" xfId="26851"/>
    <cellStyle name="Nota 2 2 2 6 4 4" xfId="18174"/>
    <cellStyle name="Nota 2 2 2 6 5" xfId="5186"/>
    <cellStyle name="Nota 2 2 2 6 5 2" xfId="11735"/>
    <cellStyle name="Nota 2 2 2 6 5 2 2" xfId="26057"/>
    <cellStyle name="Nota 2 2 2 6 5 3" xfId="17399"/>
    <cellStyle name="Nota 2 2 2 6 6" xfId="6043"/>
    <cellStyle name="Nota 2 2 2 6 6 2" xfId="23397"/>
    <cellStyle name="Nota 2 2 2 6 7" xfId="17043"/>
    <cellStyle name="Nota 2 2 2 7" xfId="1406"/>
    <cellStyle name="Nota 2 2 2 7 2" xfId="1407"/>
    <cellStyle name="Nota 2 2 2 7 2 2" xfId="7025"/>
    <cellStyle name="Nota 2 2 2 7 2 2 2" xfId="13629"/>
    <cellStyle name="Nota 2 2 2 7 2 2 2 2" xfId="27951"/>
    <cellStyle name="Nota 2 2 2 7 2 2 3" xfId="19274"/>
    <cellStyle name="Nota 2 2 2 7 2 3" xfId="7382"/>
    <cellStyle name="Nota 2 2 2 7 2 3 2" xfId="9996"/>
    <cellStyle name="Nota 2 2 2 7 2 3 2 2" xfId="16258"/>
    <cellStyle name="Nota 2 2 2 7 2 3 2 2 2" xfId="29674"/>
    <cellStyle name="Nota 2 2 2 7 2 3 2 3" xfId="21003"/>
    <cellStyle name="Nota 2 2 2 7 2 3 3" xfId="13986"/>
    <cellStyle name="Nota 2 2 2 7 2 3 3 2" xfId="28308"/>
    <cellStyle name="Nota 2 2 2 7 2 3 4" xfId="19631"/>
    <cellStyle name="Nota 2 2 2 7 2 4" xfId="11562"/>
    <cellStyle name="Nota 2 2 2 7 2 4 2" xfId="25884"/>
    <cellStyle name="Nota 2 2 2 7 2 5" xfId="16953"/>
    <cellStyle name="Nota 2 2 2 7 3" xfId="1408"/>
    <cellStyle name="Nota 2 2 2 7 3 2" xfId="3627"/>
    <cellStyle name="Nota 2 2 2 7 3 2 2" xfId="9348"/>
    <cellStyle name="Nota 2 2 2 7 3 2 2 2" xfId="15610"/>
    <cellStyle name="Nota 2 2 2 7 3 2 2 2 2" xfId="29026"/>
    <cellStyle name="Nota 2 2 2 7 3 2 2 3" xfId="20355"/>
    <cellStyle name="Nota 2 2 2 7 3 2 3" xfId="6243"/>
    <cellStyle name="Nota 2 2 2 7 3 2 3 2" xfId="23468"/>
    <cellStyle name="Nota 2 2 2 7 3 2 4" xfId="15424"/>
    <cellStyle name="Nota 2 2 2 7 3 3" xfId="12638"/>
    <cellStyle name="Nota 2 2 2 7 3 3 2" xfId="26960"/>
    <cellStyle name="Nota 2 2 2 7 3 4" xfId="18283"/>
    <cellStyle name="Nota 2 2 2 7 4" xfId="5220"/>
    <cellStyle name="Nota 2 2 2 7 4 2" xfId="11769"/>
    <cellStyle name="Nota 2 2 2 7 4 2 2" xfId="26091"/>
    <cellStyle name="Nota 2 2 2 7 4 3" xfId="17414"/>
    <cellStyle name="Nota 2 2 2 7 5" xfId="4171"/>
    <cellStyle name="Nota 2 2 2 7 5 2" xfId="22795"/>
    <cellStyle name="Nota 2 2 2 7 6" xfId="17370"/>
    <cellStyle name="Nota 2 2 2 8" xfId="1409"/>
    <cellStyle name="Nota 2 2 2 8 2" xfId="7011"/>
    <cellStyle name="Nota 2 2 2 8 2 2" xfId="13615"/>
    <cellStyle name="Nota 2 2 2 8 2 2 2" xfId="27937"/>
    <cellStyle name="Nota 2 2 2 8 2 3" xfId="19260"/>
    <cellStyle name="Nota 2 2 2 8 3" xfId="7519"/>
    <cellStyle name="Nota 2 2 2 8 3 2" xfId="10133"/>
    <cellStyle name="Nota 2 2 2 8 3 2 2" xfId="16395"/>
    <cellStyle name="Nota 2 2 2 8 3 2 2 2" xfId="29811"/>
    <cellStyle name="Nota 2 2 2 8 3 2 3" xfId="21140"/>
    <cellStyle name="Nota 2 2 2 8 3 3" xfId="14123"/>
    <cellStyle name="Nota 2 2 2 8 3 3 2" xfId="28445"/>
    <cellStyle name="Nota 2 2 2 8 3 4" xfId="19768"/>
    <cellStyle name="Nota 2 2 2 8 4" xfId="11535"/>
    <cellStyle name="Nota 2 2 2 8 4 2" xfId="25857"/>
    <cellStyle name="Nota 2 2 2 8 5" xfId="3857"/>
    <cellStyle name="Nota 2 2 2 9" xfId="1410"/>
    <cellStyle name="Nota 2 2 2 9 2" xfId="5302"/>
    <cellStyle name="Nota 2 2 2 9 2 2" xfId="9611"/>
    <cellStyle name="Nota 2 2 2 9 2 2 2" xfId="15873"/>
    <cellStyle name="Nota 2 2 2 9 2 2 2 2" xfId="29289"/>
    <cellStyle name="Nota 2 2 2 9 2 2 3" xfId="20618"/>
    <cellStyle name="Nota 2 2 2 9 2 3" xfId="11852"/>
    <cellStyle name="Nota 2 2 2 9 2 3 2" xfId="26174"/>
    <cellStyle name="Nota 2 2 2 9 2 4" xfId="17497"/>
    <cellStyle name="Nota 2 2 2 9 3" xfId="11406"/>
    <cellStyle name="Nota 2 2 2 9 3 2" xfId="25728"/>
    <cellStyle name="Nota 2 2 2 9 4" xfId="17084"/>
    <cellStyle name="Nota 2 2 3" xfId="1411"/>
    <cellStyle name="Nota 2 2 3 10" xfId="4369"/>
    <cellStyle name="Nota 2 2 3 10 2" xfId="22911"/>
    <cellStyle name="Nota 2 2 3 11" xfId="14931"/>
    <cellStyle name="Nota 2 2 3 2" xfId="1412"/>
    <cellStyle name="Nota 2 2 3 2 2" xfId="1413"/>
    <cellStyle name="Nota 2 2 3 2 2 2" xfId="1414"/>
    <cellStyle name="Nota 2 2 3 2 2 2 2" xfId="6527"/>
    <cellStyle name="Nota 2 2 3 2 2 2 2 2" xfId="13115"/>
    <cellStyle name="Nota 2 2 3 2 2 2 2 2 2" xfId="27437"/>
    <cellStyle name="Nota 2 2 3 2 2 2 2 3" xfId="18760"/>
    <cellStyle name="Nota 2 2 3 2 2 2 3" xfId="7454"/>
    <cellStyle name="Nota 2 2 3 2 2 2 3 2" xfId="10068"/>
    <cellStyle name="Nota 2 2 3 2 2 2 3 2 2" xfId="16330"/>
    <cellStyle name="Nota 2 2 3 2 2 2 3 2 2 2" xfId="29746"/>
    <cellStyle name="Nota 2 2 3 2 2 2 3 2 3" xfId="21075"/>
    <cellStyle name="Nota 2 2 3 2 2 2 3 3" xfId="14058"/>
    <cellStyle name="Nota 2 2 3 2 2 2 3 3 2" xfId="28380"/>
    <cellStyle name="Nota 2 2 3 2 2 2 3 4" xfId="19703"/>
    <cellStyle name="Nota 2 2 3 2 2 2 4" xfId="2829"/>
    <cellStyle name="Nota 2 2 3 2 2 2 4 2" xfId="22392"/>
    <cellStyle name="Nota 2 2 3 2 2 2 5" xfId="3704"/>
    <cellStyle name="Nota 2 2 3 2 2 3" xfId="1415"/>
    <cellStyle name="Nota 2 2 3 2 2 3 2" xfId="7610"/>
    <cellStyle name="Nota 2 2 3 2 2 3 2 2" xfId="10224"/>
    <cellStyle name="Nota 2 2 3 2 2 3 2 2 2" xfId="16486"/>
    <cellStyle name="Nota 2 2 3 2 2 3 2 2 2 2" xfId="29902"/>
    <cellStyle name="Nota 2 2 3 2 2 3 2 2 3" xfId="21231"/>
    <cellStyle name="Nota 2 2 3 2 2 3 2 3" xfId="14214"/>
    <cellStyle name="Nota 2 2 3 2 2 3 2 3 2" xfId="28536"/>
    <cellStyle name="Nota 2 2 3 2 2 3 2 4" xfId="19859"/>
    <cellStyle name="Nota 2 2 3 2 2 3 3" xfId="13314"/>
    <cellStyle name="Nota 2 2 3 2 2 3 3 2" xfId="27636"/>
    <cellStyle name="Nota 2 2 3 2 2 3 4" xfId="18959"/>
    <cellStyle name="Nota 2 2 3 2 2 4" xfId="5764"/>
    <cellStyle name="Nota 2 2 3 2 2 4 2" xfId="12317"/>
    <cellStyle name="Nota 2 2 3 2 2 4 2 2" xfId="26639"/>
    <cellStyle name="Nota 2 2 3 2 2 4 3" xfId="17962"/>
    <cellStyle name="Nota 2 2 3 2 2 5" xfId="3712"/>
    <cellStyle name="Nota 2 2 3 2 2 5 2" xfId="22539"/>
    <cellStyle name="Nota 2 2 3 2 2 6" xfId="15472"/>
    <cellStyle name="Nota 2 2 3 2 3" xfId="1416"/>
    <cellStyle name="Nota 2 2 3 2 3 2" xfId="1417"/>
    <cellStyle name="Nota 2 2 3 2 3 2 2" xfId="6555"/>
    <cellStyle name="Nota 2 2 3 2 3 2 2 2" xfId="13143"/>
    <cellStyle name="Nota 2 2 3 2 3 2 2 2 2" xfId="27465"/>
    <cellStyle name="Nota 2 2 3 2 3 2 2 3" xfId="18788"/>
    <cellStyle name="Nota 2 2 3 2 3 2 3" xfId="7301"/>
    <cellStyle name="Nota 2 2 3 2 3 2 3 2" xfId="9915"/>
    <cellStyle name="Nota 2 2 3 2 3 2 3 2 2" xfId="16177"/>
    <cellStyle name="Nota 2 2 3 2 3 2 3 2 2 2" xfId="29593"/>
    <cellStyle name="Nota 2 2 3 2 3 2 3 2 3" xfId="20922"/>
    <cellStyle name="Nota 2 2 3 2 3 2 3 3" xfId="13905"/>
    <cellStyle name="Nota 2 2 3 2 3 2 3 3 2" xfId="28227"/>
    <cellStyle name="Nota 2 2 3 2 3 2 3 4" xfId="19550"/>
    <cellStyle name="Nota 2 2 3 2 3 2 4" xfId="3475"/>
    <cellStyle name="Nota 2 2 3 2 3 2 4 2" xfId="22473"/>
    <cellStyle name="Nota 2 2 3 2 3 2 5" xfId="14996"/>
    <cellStyle name="Nota 2 2 3 2 3 3" xfId="1418"/>
    <cellStyle name="Nota 2 2 3 2 3 3 2" xfId="7116"/>
    <cellStyle name="Nota 2 2 3 2 3 3 2 2" xfId="9730"/>
    <cellStyle name="Nota 2 2 3 2 3 3 2 2 2" xfId="15992"/>
    <cellStyle name="Nota 2 2 3 2 3 3 2 2 2 2" xfId="29408"/>
    <cellStyle name="Nota 2 2 3 2 3 3 2 2 3" xfId="20737"/>
    <cellStyle name="Nota 2 2 3 2 3 3 2 3" xfId="13720"/>
    <cellStyle name="Nota 2 2 3 2 3 3 2 3 2" xfId="28042"/>
    <cellStyle name="Nota 2 2 3 2 3 3 2 4" xfId="19365"/>
    <cellStyle name="Nota 2 2 3 2 3 3 3" xfId="12619"/>
    <cellStyle name="Nota 2 2 3 2 3 3 3 2" xfId="26941"/>
    <cellStyle name="Nota 2 2 3 2 3 3 4" xfId="18264"/>
    <cellStyle name="Nota 2 2 3 2 3 4" xfId="3703"/>
    <cellStyle name="Nota 2 2 3 2 3 4 2" xfId="6573"/>
    <cellStyle name="Nota 2 2 3 2 3 4 2 2" xfId="23583"/>
    <cellStyle name="Nota 2 2 3 2 3 4 3" xfId="4616"/>
    <cellStyle name="Nota 2 2 3 2 3 5" xfId="3945"/>
    <cellStyle name="Nota 2 2 3 2 3 5 2" xfId="22661"/>
    <cellStyle name="Nota 2 2 3 2 3 6" xfId="14857"/>
    <cellStyle name="Nota 2 2 3 2 4" xfId="1419"/>
    <cellStyle name="Nota 2 2 3 2 4 2" xfId="6900"/>
    <cellStyle name="Nota 2 2 3 2 4 2 2" xfId="13504"/>
    <cellStyle name="Nota 2 2 3 2 4 2 2 2" xfId="27826"/>
    <cellStyle name="Nota 2 2 3 2 4 2 3" xfId="19149"/>
    <cellStyle name="Nota 2 2 3 2 4 3" xfId="7291"/>
    <cellStyle name="Nota 2 2 3 2 4 3 2" xfId="9905"/>
    <cellStyle name="Nota 2 2 3 2 4 3 2 2" xfId="16167"/>
    <cellStyle name="Nota 2 2 3 2 4 3 2 2 2" xfId="29583"/>
    <cellStyle name="Nota 2 2 3 2 4 3 2 3" xfId="20912"/>
    <cellStyle name="Nota 2 2 3 2 4 3 3" xfId="13895"/>
    <cellStyle name="Nota 2 2 3 2 4 3 3 2" xfId="28217"/>
    <cellStyle name="Nota 2 2 3 2 4 3 4" xfId="19540"/>
    <cellStyle name="Nota 2 2 3 2 4 4" xfId="11379"/>
    <cellStyle name="Nota 2 2 3 2 4 4 2" xfId="25701"/>
    <cellStyle name="Nota 2 2 3 2 4 5" xfId="17387"/>
    <cellStyle name="Nota 2 2 3 2 5" xfId="1420"/>
    <cellStyle name="Nota 2 2 3 2 5 2" xfId="7437"/>
    <cellStyle name="Nota 2 2 3 2 5 2 2" xfId="10051"/>
    <cellStyle name="Nota 2 2 3 2 5 2 2 2" xfId="16313"/>
    <cellStyle name="Nota 2 2 3 2 5 2 2 2 2" xfId="29729"/>
    <cellStyle name="Nota 2 2 3 2 5 2 2 3" xfId="21058"/>
    <cellStyle name="Nota 2 2 3 2 5 2 3" xfId="14041"/>
    <cellStyle name="Nota 2 2 3 2 5 2 3 2" xfId="28363"/>
    <cellStyle name="Nota 2 2 3 2 5 2 4" xfId="19686"/>
    <cellStyle name="Nota 2 2 3 2 5 3" xfId="12890"/>
    <cellStyle name="Nota 2 2 3 2 5 3 2" xfId="27212"/>
    <cellStyle name="Nota 2 2 3 2 5 4" xfId="18535"/>
    <cellStyle name="Nota 2 2 3 2 6" xfId="5508"/>
    <cellStyle name="Nota 2 2 3 2 6 2" xfId="12059"/>
    <cellStyle name="Nota 2 2 3 2 6 2 2" xfId="26381"/>
    <cellStyle name="Nota 2 2 3 2 6 3" xfId="17704"/>
    <cellStyle name="Nota 2 2 3 2 7" xfId="4411"/>
    <cellStyle name="Nota 2 2 3 2 7 2" xfId="22935"/>
    <cellStyle name="Nota 2 2 3 2 8" xfId="15332"/>
    <cellStyle name="Nota 2 2 3 3" xfId="1421"/>
    <cellStyle name="Nota 2 2 3 3 2" xfId="1422"/>
    <cellStyle name="Nota 2 2 3 3 2 2" xfId="1423"/>
    <cellStyle name="Nota 2 2 3 3 2 2 2" xfId="6459"/>
    <cellStyle name="Nota 2 2 3 3 2 2 2 2" xfId="13042"/>
    <cellStyle name="Nota 2 2 3 3 2 2 2 2 2" xfId="27364"/>
    <cellStyle name="Nota 2 2 3 3 2 2 2 3" xfId="18687"/>
    <cellStyle name="Nota 2 2 3 3 2 2 3" xfId="7185"/>
    <cellStyle name="Nota 2 2 3 3 2 2 3 2" xfId="9799"/>
    <cellStyle name="Nota 2 2 3 3 2 2 3 2 2" xfId="16061"/>
    <cellStyle name="Nota 2 2 3 3 2 2 3 2 2 2" xfId="29477"/>
    <cellStyle name="Nota 2 2 3 3 2 2 3 2 3" xfId="20806"/>
    <cellStyle name="Nota 2 2 3 3 2 2 3 3" xfId="13789"/>
    <cellStyle name="Nota 2 2 3 3 2 2 3 3 2" xfId="28111"/>
    <cellStyle name="Nota 2 2 3 3 2 2 3 4" xfId="19434"/>
    <cellStyle name="Nota 2 2 3 3 2 2 4" xfId="6151"/>
    <cellStyle name="Nota 2 2 3 3 2 2 4 2" xfId="23431"/>
    <cellStyle name="Nota 2 2 3 3 2 2 5" xfId="15168"/>
    <cellStyle name="Nota 2 2 3 3 2 3" xfId="1424"/>
    <cellStyle name="Nota 2 2 3 3 2 3 2" xfId="7174"/>
    <cellStyle name="Nota 2 2 3 3 2 3 2 2" xfId="9788"/>
    <cellStyle name="Nota 2 2 3 3 2 3 2 2 2" xfId="16050"/>
    <cellStyle name="Nota 2 2 3 3 2 3 2 2 2 2" xfId="29466"/>
    <cellStyle name="Nota 2 2 3 3 2 3 2 2 3" xfId="20795"/>
    <cellStyle name="Nota 2 2 3 3 2 3 2 3" xfId="13778"/>
    <cellStyle name="Nota 2 2 3 3 2 3 2 3 2" xfId="28100"/>
    <cellStyle name="Nota 2 2 3 3 2 3 2 4" xfId="19423"/>
    <cellStyle name="Nota 2 2 3 3 2 3 3" xfId="13350"/>
    <cellStyle name="Nota 2 2 3 3 2 3 3 2" xfId="27672"/>
    <cellStyle name="Nota 2 2 3 3 2 3 4" xfId="18995"/>
    <cellStyle name="Nota 2 2 3 3 2 4" xfId="5800"/>
    <cellStyle name="Nota 2 2 3 3 2 4 2" xfId="12353"/>
    <cellStyle name="Nota 2 2 3 3 2 4 2 2" xfId="26675"/>
    <cellStyle name="Nota 2 2 3 3 2 4 3" xfId="17998"/>
    <cellStyle name="Nota 2 2 3 3 2 5" xfId="6099"/>
    <cellStyle name="Nota 2 2 3 3 2 5 2" xfId="23415"/>
    <cellStyle name="Nota 2 2 3 3 2 6" xfId="15006"/>
    <cellStyle name="Nota 2 2 3 3 3" xfId="1425"/>
    <cellStyle name="Nota 2 2 3 3 3 2" xfId="1426"/>
    <cellStyle name="Nota 2 2 3 3 3 2 2" xfId="6126"/>
    <cellStyle name="Nota 2 2 3 3 3 2 2 2" xfId="12695"/>
    <cellStyle name="Nota 2 2 3 3 3 2 2 2 2" xfId="27017"/>
    <cellStyle name="Nota 2 2 3 3 3 2 2 3" xfId="18340"/>
    <cellStyle name="Nota 2 2 3 3 3 2 3" xfId="8066"/>
    <cellStyle name="Nota 2 2 3 3 3 2 3 2" xfId="10680"/>
    <cellStyle name="Nota 2 2 3 3 3 2 3 2 2" xfId="16942"/>
    <cellStyle name="Nota 2 2 3 3 3 2 3 2 2 2" xfId="30358"/>
    <cellStyle name="Nota 2 2 3 3 3 2 3 2 3" xfId="21687"/>
    <cellStyle name="Nota 2 2 3 3 3 2 3 3" xfId="14670"/>
    <cellStyle name="Nota 2 2 3 3 3 2 3 3 2" xfId="28992"/>
    <cellStyle name="Nota 2 2 3 3 3 2 3 4" xfId="20315"/>
    <cellStyle name="Nota 2 2 3 3 3 2 4" xfId="5577"/>
    <cellStyle name="Nota 2 2 3 3 3 2 4 2" xfId="23352"/>
    <cellStyle name="Nota 2 2 3 3 3 2 5" xfId="14817"/>
    <cellStyle name="Nota 2 2 3 3 3 3" xfId="1427"/>
    <cellStyle name="Nota 2 2 3 3 3 3 2" xfId="7395"/>
    <cellStyle name="Nota 2 2 3 3 3 3 2 2" xfId="10009"/>
    <cellStyle name="Nota 2 2 3 3 3 3 2 2 2" xfId="16271"/>
    <cellStyle name="Nota 2 2 3 3 3 3 2 2 2 2" xfId="29687"/>
    <cellStyle name="Nota 2 2 3 3 3 3 2 2 3" xfId="21016"/>
    <cellStyle name="Nota 2 2 3 3 3 3 2 3" xfId="13999"/>
    <cellStyle name="Nota 2 2 3 3 3 3 2 3 2" xfId="28321"/>
    <cellStyle name="Nota 2 2 3 3 3 3 2 4" xfId="19644"/>
    <cellStyle name="Nota 2 2 3 3 3 3 3" xfId="12458"/>
    <cellStyle name="Nota 2 2 3 3 3 3 3 2" xfId="26780"/>
    <cellStyle name="Nota 2 2 3 3 3 3 4" xfId="18103"/>
    <cellStyle name="Nota 2 2 3 3 3 4" xfId="3616"/>
    <cellStyle name="Nota 2 2 3 3 3 4 2" xfId="3864"/>
    <cellStyle name="Nota 2 2 3 3 3 4 2 2" xfId="22618"/>
    <cellStyle name="Nota 2 2 3 3 3 4 3" xfId="15303"/>
    <cellStyle name="Nota 2 2 3 3 3 5" xfId="3293"/>
    <cellStyle name="Nota 2 2 3 3 3 5 2" xfId="22466"/>
    <cellStyle name="Nota 2 2 3 3 3 6" xfId="15590"/>
    <cellStyle name="Nota 2 2 3 3 4" xfId="1428"/>
    <cellStyle name="Nota 2 2 3 3 4 2" xfId="6210"/>
    <cellStyle name="Nota 2 2 3 3 4 2 2" xfId="12783"/>
    <cellStyle name="Nota 2 2 3 3 4 2 2 2" xfId="27105"/>
    <cellStyle name="Nota 2 2 3 3 4 2 3" xfId="18428"/>
    <cellStyle name="Nota 2 2 3 3 4 3" xfId="7126"/>
    <cellStyle name="Nota 2 2 3 3 4 3 2" xfId="9740"/>
    <cellStyle name="Nota 2 2 3 3 4 3 2 2" xfId="16002"/>
    <cellStyle name="Nota 2 2 3 3 4 3 2 2 2" xfId="29418"/>
    <cellStyle name="Nota 2 2 3 3 4 3 2 3" xfId="20747"/>
    <cellStyle name="Nota 2 2 3 3 4 3 3" xfId="13730"/>
    <cellStyle name="Nota 2 2 3 3 4 3 3 2" xfId="28052"/>
    <cellStyle name="Nota 2 2 3 3 4 3 4" xfId="19375"/>
    <cellStyle name="Nota 2 2 3 3 4 4" xfId="6000"/>
    <cellStyle name="Nota 2 2 3 3 4 4 2" xfId="23392"/>
    <cellStyle name="Nota 2 2 3 3 4 5" xfId="17362"/>
    <cellStyle name="Nota 2 2 3 3 5" xfId="1429"/>
    <cellStyle name="Nota 2 2 3 3 5 2" xfId="7151"/>
    <cellStyle name="Nota 2 2 3 3 5 2 2" xfId="9765"/>
    <cellStyle name="Nota 2 2 3 3 5 2 2 2" xfId="16027"/>
    <cellStyle name="Nota 2 2 3 3 5 2 2 2 2" xfId="29443"/>
    <cellStyle name="Nota 2 2 3 3 5 2 2 3" xfId="20772"/>
    <cellStyle name="Nota 2 2 3 3 5 2 3" xfId="13755"/>
    <cellStyle name="Nota 2 2 3 3 5 2 3 2" xfId="28077"/>
    <cellStyle name="Nota 2 2 3 3 5 2 4" xfId="19400"/>
    <cellStyle name="Nota 2 2 3 3 5 3" xfId="12926"/>
    <cellStyle name="Nota 2 2 3 3 5 3 2" xfId="27248"/>
    <cellStyle name="Nota 2 2 3 3 5 4" xfId="18571"/>
    <cellStyle name="Nota 2 2 3 3 6" xfId="5550"/>
    <cellStyle name="Nota 2 2 3 3 6 2" xfId="12101"/>
    <cellStyle name="Nota 2 2 3 3 6 2 2" xfId="26423"/>
    <cellStyle name="Nota 2 2 3 3 6 3" xfId="17746"/>
    <cellStyle name="Nota 2 2 3 3 7" xfId="4282"/>
    <cellStyle name="Nota 2 2 3 3 7 2" xfId="22868"/>
    <cellStyle name="Nota 2 2 3 3 8" xfId="17074"/>
    <cellStyle name="Nota 2 2 3 4" xfId="1430"/>
    <cellStyle name="Nota 2 2 3 4 2" xfId="1431"/>
    <cellStyle name="Nota 2 2 3 4 2 2" xfId="1432"/>
    <cellStyle name="Nota 2 2 3 4 2 2 2" xfId="6881"/>
    <cellStyle name="Nota 2 2 3 4 2 2 2 2" xfId="13485"/>
    <cellStyle name="Nota 2 2 3 4 2 2 2 2 2" xfId="27807"/>
    <cellStyle name="Nota 2 2 3 4 2 2 2 3" xfId="19130"/>
    <cellStyle name="Nota 2 2 3 4 2 2 3" xfId="7689"/>
    <cellStyle name="Nota 2 2 3 4 2 2 3 2" xfId="10303"/>
    <cellStyle name="Nota 2 2 3 4 2 2 3 2 2" xfId="16565"/>
    <cellStyle name="Nota 2 2 3 4 2 2 3 2 2 2" xfId="29981"/>
    <cellStyle name="Nota 2 2 3 4 2 2 3 2 3" xfId="21310"/>
    <cellStyle name="Nota 2 2 3 4 2 2 3 3" xfId="14293"/>
    <cellStyle name="Nota 2 2 3 4 2 2 3 3 2" xfId="28615"/>
    <cellStyle name="Nota 2 2 3 4 2 2 3 4" xfId="19938"/>
    <cellStyle name="Nota 2 2 3 4 2 2 4" xfId="11355"/>
    <cellStyle name="Nota 2 2 3 4 2 2 4 2" xfId="25677"/>
    <cellStyle name="Nota 2 2 3 4 2 2 5" xfId="15550"/>
    <cellStyle name="Nota 2 2 3 4 2 3" xfId="1433"/>
    <cellStyle name="Nota 2 2 3 4 2 3 2" xfId="7187"/>
    <cellStyle name="Nota 2 2 3 4 2 3 2 2" xfId="9801"/>
    <cellStyle name="Nota 2 2 3 4 2 3 2 2 2" xfId="16063"/>
    <cellStyle name="Nota 2 2 3 4 2 3 2 2 2 2" xfId="29479"/>
    <cellStyle name="Nota 2 2 3 4 2 3 2 2 3" xfId="20808"/>
    <cellStyle name="Nota 2 2 3 4 2 3 2 3" xfId="13791"/>
    <cellStyle name="Nota 2 2 3 4 2 3 2 3 2" xfId="28113"/>
    <cellStyle name="Nota 2 2 3 4 2 3 2 4" xfId="19436"/>
    <cellStyle name="Nota 2 2 3 4 2 3 3" xfId="13270"/>
    <cellStyle name="Nota 2 2 3 4 2 3 3 2" xfId="27592"/>
    <cellStyle name="Nota 2 2 3 4 2 3 4" xfId="18915"/>
    <cellStyle name="Nota 2 2 3 4 2 4" xfId="5716"/>
    <cellStyle name="Nota 2 2 3 4 2 4 2" xfId="12269"/>
    <cellStyle name="Nota 2 2 3 4 2 4 2 2" xfId="26591"/>
    <cellStyle name="Nota 2 2 3 4 2 4 3" xfId="17914"/>
    <cellStyle name="Nota 2 2 3 4 2 5" xfId="3793"/>
    <cellStyle name="Nota 2 2 3 4 2 5 2" xfId="22582"/>
    <cellStyle name="Nota 2 2 3 4 2 6" xfId="14781"/>
    <cellStyle name="Nota 2 2 3 4 3" xfId="1434"/>
    <cellStyle name="Nota 2 2 3 4 3 2" xfId="1435"/>
    <cellStyle name="Nota 2 2 3 4 3 2 2" xfId="6499"/>
    <cellStyle name="Nota 2 2 3 4 3 2 2 2" xfId="13085"/>
    <cellStyle name="Nota 2 2 3 4 3 2 2 2 2" xfId="27407"/>
    <cellStyle name="Nota 2 2 3 4 3 2 2 3" xfId="18730"/>
    <cellStyle name="Nota 2 2 3 4 3 2 3" xfId="3260"/>
    <cellStyle name="Nota 2 2 3 4 3 2 3 2" xfId="9050"/>
    <cellStyle name="Nota 2 2 3 4 3 2 3 2 2" xfId="15389"/>
    <cellStyle name="Nota 2 2 3 4 3 2 3 2 2 2" xfId="29008"/>
    <cellStyle name="Nota 2 2 3 4 3 2 3 2 3" xfId="20335"/>
    <cellStyle name="Nota 2 2 3 4 3 2 3 3" xfId="6620"/>
    <cellStyle name="Nota 2 2 3 4 3 2 3 3 2" xfId="23610"/>
    <cellStyle name="Nota 2 2 3 4 3 2 3 4" xfId="15475"/>
    <cellStyle name="Nota 2 2 3 4 3 2 4" xfId="3830"/>
    <cellStyle name="Nota 2 2 3 4 3 2 4 2" xfId="22602"/>
    <cellStyle name="Nota 2 2 3 4 3 2 5" xfId="6467"/>
    <cellStyle name="Nota 2 2 3 4 3 3" xfId="1436"/>
    <cellStyle name="Nota 2 2 3 4 3 3 2" xfId="7773"/>
    <cellStyle name="Nota 2 2 3 4 3 3 2 2" xfId="10387"/>
    <cellStyle name="Nota 2 2 3 4 3 3 2 2 2" xfId="16649"/>
    <cellStyle name="Nota 2 2 3 4 3 3 2 2 2 2" xfId="30065"/>
    <cellStyle name="Nota 2 2 3 4 3 3 2 2 3" xfId="21394"/>
    <cellStyle name="Nota 2 2 3 4 3 3 2 3" xfId="14377"/>
    <cellStyle name="Nota 2 2 3 4 3 3 2 3 2" xfId="28699"/>
    <cellStyle name="Nota 2 2 3 4 3 3 2 4" xfId="20022"/>
    <cellStyle name="Nota 2 2 3 4 3 3 3" xfId="13033"/>
    <cellStyle name="Nota 2 2 3 4 3 3 3 2" xfId="27355"/>
    <cellStyle name="Nota 2 2 3 4 3 3 4" xfId="18678"/>
    <cellStyle name="Nota 2 2 3 4 3 4" xfId="5346"/>
    <cellStyle name="Nota 2 2 3 4 3 4 2" xfId="11896"/>
    <cellStyle name="Nota 2 2 3 4 3 4 2 2" xfId="26218"/>
    <cellStyle name="Nota 2 2 3 4 3 4 3" xfId="17541"/>
    <cellStyle name="Nota 2 2 3 4 3 5" xfId="6290"/>
    <cellStyle name="Nota 2 2 3 4 3 5 2" xfId="23491"/>
    <cellStyle name="Nota 2 2 3 4 3 6" xfId="4416"/>
    <cellStyle name="Nota 2 2 3 4 4" xfId="1437"/>
    <cellStyle name="Nota 2 2 3 4 4 2" xfId="6983"/>
    <cellStyle name="Nota 2 2 3 4 4 2 2" xfId="13587"/>
    <cellStyle name="Nota 2 2 3 4 4 2 2 2" xfId="27909"/>
    <cellStyle name="Nota 2 2 3 4 4 2 3" xfId="19232"/>
    <cellStyle name="Nota 2 2 3 4 4 3" xfId="7348"/>
    <cellStyle name="Nota 2 2 3 4 4 3 2" xfId="9962"/>
    <cellStyle name="Nota 2 2 3 4 4 3 2 2" xfId="16224"/>
    <cellStyle name="Nota 2 2 3 4 4 3 2 2 2" xfId="29640"/>
    <cellStyle name="Nota 2 2 3 4 4 3 2 3" xfId="20969"/>
    <cellStyle name="Nota 2 2 3 4 4 3 3" xfId="13952"/>
    <cellStyle name="Nota 2 2 3 4 4 3 3 2" xfId="28274"/>
    <cellStyle name="Nota 2 2 3 4 4 3 4" xfId="19597"/>
    <cellStyle name="Nota 2 2 3 4 4 4" xfId="11495"/>
    <cellStyle name="Nota 2 2 3 4 4 4 2" xfId="25817"/>
    <cellStyle name="Nota 2 2 3 4 4 5" xfId="14811"/>
    <cellStyle name="Nota 2 2 3 4 5" xfId="1438"/>
    <cellStyle name="Nota 2 2 3 4 5 2" xfId="7511"/>
    <cellStyle name="Nota 2 2 3 4 5 2 2" xfId="10125"/>
    <cellStyle name="Nota 2 2 3 4 5 2 2 2" xfId="16387"/>
    <cellStyle name="Nota 2 2 3 4 5 2 2 2 2" xfId="29803"/>
    <cellStyle name="Nota 2 2 3 4 5 2 2 3" xfId="21132"/>
    <cellStyle name="Nota 2 2 3 4 5 2 3" xfId="14115"/>
    <cellStyle name="Nota 2 2 3 4 5 2 3 2" xfId="28437"/>
    <cellStyle name="Nota 2 2 3 4 5 2 4" xfId="19760"/>
    <cellStyle name="Nota 2 2 3 4 5 3" xfId="12828"/>
    <cellStyle name="Nota 2 2 3 4 5 3 2" xfId="27150"/>
    <cellStyle name="Nota 2 2 3 4 5 4" xfId="18473"/>
    <cellStyle name="Nota 2 2 3 4 6" xfId="5383"/>
    <cellStyle name="Nota 2 2 3 4 6 2" xfId="11933"/>
    <cellStyle name="Nota 2 2 3 4 6 2 2" xfId="26255"/>
    <cellStyle name="Nota 2 2 3 4 6 3" xfId="17578"/>
    <cellStyle name="Nota 2 2 3 4 7" xfId="2840"/>
    <cellStyle name="Nota 2 2 3 4 7 2" xfId="22403"/>
    <cellStyle name="Nota 2 2 3 4 8" xfId="17130"/>
    <cellStyle name="Nota 2 2 3 5" xfId="1439"/>
    <cellStyle name="Nota 2 2 3 5 2" xfId="1440"/>
    <cellStyle name="Nota 2 2 3 5 2 2" xfId="1441"/>
    <cellStyle name="Nota 2 2 3 5 2 2 2" xfId="6455"/>
    <cellStyle name="Nota 2 2 3 5 2 2 2 2" xfId="13038"/>
    <cellStyle name="Nota 2 2 3 5 2 2 2 2 2" xfId="27360"/>
    <cellStyle name="Nota 2 2 3 5 2 2 2 3" xfId="18683"/>
    <cellStyle name="Nota 2 2 3 5 2 2 3" xfId="7800"/>
    <cellStyle name="Nota 2 2 3 5 2 2 3 2" xfId="10414"/>
    <cellStyle name="Nota 2 2 3 5 2 2 3 2 2" xfId="16676"/>
    <cellStyle name="Nota 2 2 3 5 2 2 3 2 2 2" xfId="30092"/>
    <cellStyle name="Nota 2 2 3 5 2 2 3 2 3" xfId="21421"/>
    <cellStyle name="Nota 2 2 3 5 2 2 3 3" xfId="14404"/>
    <cellStyle name="Nota 2 2 3 5 2 2 3 3 2" xfId="28726"/>
    <cellStyle name="Nota 2 2 3 5 2 2 3 4" xfId="20049"/>
    <cellStyle name="Nota 2 2 3 5 2 2 4" xfId="4962"/>
    <cellStyle name="Nota 2 2 3 5 2 2 4 2" xfId="23283"/>
    <cellStyle name="Nota 2 2 3 5 2 2 5" xfId="15100"/>
    <cellStyle name="Nota 2 2 3 5 2 3" xfId="1442"/>
    <cellStyle name="Nota 2 2 3 5 2 3 2" xfId="3933"/>
    <cellStyle name="Nota 2 2 3 5 2 3 2 2" xfId="9399"/>
    <cellStyle name="Nota 2 2 3 5 2 3 2 2 2" xfId="15661"/>
    <cellStyle name="Nota 2 2 3 5 2 3 2 2 2 2" xfId="29077"/>
    <cellStyle name="Nota 2 2 3 5 2 3 2 2 3" xfId="20406"/>
    <cellStyle name="Nota 2 2 3 5 2 3 2 3" xfId="4665"/>
    <cellStyle name="Nota 2 2 3 5 2 3 2 3 2" xfId="23104"/>
    <cellStyle name="Nota 2 2 3 5 2 3 2 4" xfId="15039"/>
    <cellStyle name="Nota 2 2 3 5 2 3 3" xfId="12133"/>
    <cellStyle name="Nota 2 2 3 5 2 3 3 2" xfId="26455"/>
    <cellStyle name="Nota 2 2 3 5 2 3 4" xfId="17778"/>
    <cellStyle name="Nota 2 2 3 5 2 4" xfId="4487"/>
    <cellStyle name="Nota 2 2 3 5 2 4 2" xfId="6181"/>
    <cellStyle name="Nota 2 2 3 5 2 4 2 2" xfId="23446"/>
    <cellStyle name="Nota 2 2 3 5 2 4 3" xfId="4379"/>
    <cellStyle name="Nota 2 2 3 5 2 5" xfId="4718"/>
    <cellStyle name="Nota 2 2 3 5 2 5 2" xfId="23148"/>
    <cellStyle name="Nota 2 2 3 5 2 6" xfId="15073"/>
    <cellStyle name="Nota 2 2 3 5 3" xfId="1443"/>
    <cellStyle name="Nota 2 2 3 5 3 2" xfId="6884"/>
    <cellStyle name="Nota 2 2 3 5 3 2 2" xfId="13488"/>
    <cellStyle name="Nota 2 2 3 5 3 2 2 2" xfId="27810"/>
    <cellStyle name="Nota 2 2 3 5 3 2 3" xfId="19133"/>
    <cellStyle name="Nota 2 2 3 5 3 3" xfId="4953"/>
    <cellStyle name="Nota 2 2 3 5 3 3 2" xfId="9524"/>
    <cellStyle name="Nota 2 2 3 5 3 3 2 2" xfId="15786"/>
    <cellStyle name="Nota 2 2 3 5 3 3 2 2 2" xfId="29202"/>
    <cellStyle name="Nota 2 2 3 5 3 3 2 3" xfId="20531"/>
    <cellStyle name="Nota 2 2 3 5 3 3 3" xfId="11492"/>
    <cellStyle name="Nota 2 2 3 5 3 3 3 2" xfId="25814"/>
    <cellStyle name="Nota 2 2 3 5 3 3 4" xfId="4634"/>
    <cellStyle name="Nota 2 2 3 5 3 4" xfId="11358"/>
    <cellStyle name="Nota 2 2 3 5 3 4 2" xfId="25680"/>
    <cellStyle name="Nota 2 2 3 5 3 5" xfId="4768"/>
    <cellStyle name="Nota 2 2 3 5 4" xfId="1444"/>
    <cellStyle name="Nota 2 2 3 5 4 2" xfId="5256"/>
    <cellStyle name="Nota 2 2 3 5 4 2 2" xfId="9565"/>
    <cellStyle name="Nota 2 2 3 5 4 2 2 2" xfId="15827"/>
    <cellStyle name="Nota 2 2 3 5 4 2 2 2 2" xfId="29243"/>
    <cellStyle name="Nota 2 2 3 5 4 2 2 3" xfId="20572"/>
    <cellStyle name="Nota 2 2 3 5 4 2 3" xfId="11806"/>
    <cellStyle name="Nota 2 2 3 5 4 2 3 2" xfId="26128"/>
    <cellStyle name="Nota 2 2 3 5 4 2 4" xfId="17451"/>
    <cellStyle name="Nota 2 2 3 5 4 3" xfId="12843"/>
    <cellStyle name="Nota 2 2 3 5 4 3 2" xfId="27165"/>
    <cellStyle name="Nota 2 2 3 5 4 4" xfId="18488"/>
    <cellStyle name="Nota 2 2 3 5 5" xfId="5424"/>
    <cellStyle name="Nota 2 2 3 5 5 2" xfId="11975"/>
    <cellStyle name="Nota 2 2 3 5 5 2 2" xfId="26297"/>
    <cellStyle name="Nota 2 2 3 5 5 3" xfId="17620"/>
    <cellStyle name="Nota 2 2 3 5 6" xfId="6128"/>
    <cellStyle name="Nota 2 2 3 5 6 2" xfId="23421"/>
    <cellStyle name="Nota 2 2 3 5 7" xfId="14782"/>
    <cellStyle name="Nota 2 2 3 6" xfId="1445"/>
    <cellStyle name="Nota 2 2 3 6 2" xfId="1446"/>
    <cellStyle name="Nota 2 2 3 6 2 2" xfId="5929"/>
    <cellStyle name="Nota 2 2 3 6 2 2 2" xfId="12484"/>
    <cellStyle name="Nota 2 2 3 6 2 2 2 2" xfId="26806"/>
    <cellStyle name="Nota 2 2 3 6 2 2 3" xfId="18129"/>
    <cellStyle name="Nota 2 2 3 6 2 3" xfId="7488"/>
    <cellStyle name="Nota 2 2 3 6 2 3 2" xfId="10102"/>
    <cellStyle name="Nota 2 2 3 6 2 3 2 2" xfId="16364"/>
    <cellStyle name="Nota 2 2 3 6 2 3 2 2 2" xfId="29780"/>
    <cellStyle name="Nota 2 2 3 6 2 3 2 3" xfId="21109"/>
    <cellStyle name="Nota 2 2 3 6 2 3 3" xfId="14092"/>
    <cellStyle name="Nota 2 2 3 6 2 3 3 2" xfId="28414"/>
    <cellStyle name="Nota 2 2 3 6 2 3 4" xfId="19737"/>
    <cellStyle name="Nota 2 2 3 6 2 4" xfId="6760"/>
    <cellStyle name="Nota 2 2 3 6 2 4 2" xfId="23708"/>
    <cellStyle name="Nota 2 2 3 6 2 5" xfId="15271"/>
    <cellStyle name="Nota 2 2 3 6 3" xfId="1447"/>
    <cellStyle name="Nota 2 2 3 6 3 2" xfId="7797"/>
    <cellStyle name="Nota 2 2 3 6 3 2 2" xfId="10411"/>
    <cellStyle name="Nota 2 2 3 6 3 2 2 2" xfId="16673"/>
    <cellStyle name="Nota 2 2 3 6 3 2 2 2 2" xfId="30089"/>
    <cellStyle name="Nota 2 2 3 6 3 2 2 3" xfId="21418"/>
    <cellStyle name="Nota 2 2 3 6 3 2 3" xfId="14401"/>
    <cellStyle name="Nota 2 2 3 6 3 2 3 2" xfId="28723"/>
    <cellStyle name="Nota 2 2 3 6 3 2 4" xfId="20046"/>
    <cellStyle name="Nota 2 2 3 6 3 3" xfId="13240"/>
    <cellStyle name="Nota 2 2 3 6 3 3 2" xfId="27562"/>
    <cellStyle name="Nota 2 2 3 6 3 4" xfId="18885"/>
    <cellStyle name="Nota 2 2 3 6 4" xfId="5681"/>
    <cellStyle name="Nota 2 2 3 6 4 2" xfId="12234"/>
    <cellStyle name="Nota 2 2 3 6 4 2 2" xfId="26556"/>
    <cellStyle name="Nota 2 2 3 6 4 3" xfId="17879"/>
    <cellStyle name="Nota 2 2 3 6 5" xfId="4958"/>
    <cellStyle name="Nota 2 2 3 6 5 2" xfId="23280"/>
    <cellStyle name="Nota 2 2 3 6 6" xfId="4000"/>
    <cellStyle name="Nota 2 2 3 7" xfId="1448"/>
    <cellStyle name="Nota 2 2 3 7 2" xfId="5930"/>
    <cellStyle name="Nota 2 2 3 7 2 2" xfId="12485"/>
    <cellStyle name="Nota 2 2 3 7 2 2 2" xfId="26807"/>
    <cellStyle name="Nota 2 2 3 7 2 3" xfId="18130"/>
    <cellStyle name="Nota 2 2 3 7 3" xfId="7702"/>
    <cellStyle name="Nota 2 2 3 7 3 2" xfId="10316"/>
    <cellStyle name="Nota 2 2 3 7 3 2 2" xfId="16578"/>
    <cellStyle name="Nota 2 2 3 7 3 2 2 2" xfId="29994"/>
    <cellStyle name="Nota 2 2 3 7 3 2 3" xfId="21323"/>
    <cellStyle name="Nota 2 2 3 7 3 3" xfId="14306"/>
    <cellStyle name="Nota 2 2 3 7 3 3 2" xfId="28628"/>
    <cellStyle name="Nota 2 2 3 7 3 4" xfId="19951"/>
    <cellStyle name="Nota 2 2 3 7 4" xfId="6747"/>
    <cellStyle name="Nota 2 2 3 7 4 2" xfId="23695"/>
    <cellStyle name="Nota 2 2 3 7 5" xfId="3947"/>
    <cellStyle name="Nota 2 2 3 8" xfId="1449"/>
    <cellStyle name="Nota 2 2 3 8 2" xfId="7995"/>
    <cellStyle name="Nota 2 2 3 8 2 2" xfId="10609"/>
    <cellStyle name="Nota 2 2 3 8 2 2 2" xfId="16871"/>
    <cellStyle name="Nota 2 2 3 8 2 2 2 2" xfId="30287"/>
    <cellStyle name="Nota 2 2 3 8 2 2 3" xfId="21616"/>
    <cellStyle name="Nota 2 2 3 8 2 3" xfId="14599"/>
    <cellStyle name="Nota 2 2 3 8 2 3 2" xfId="28921"/>
    <cellStyle name="Nota 2 2 3 8 2 4" xfId="20244"/>
    <cellStyle name="Nota 2 2 3 8 3" xfId="12753"/>
    <cellStyle name="Nota 2 2 3 8 3 2" xfId="27075"/>
    <cellStyle name="Nota 2 2 3 8 4" xfId="18398"/>
    <cellStyle name="Nota 2 2 3 9" xfId="5429"/>
    <cellStyle name="Nota 2 2 3 9 2" xfId="11980"/>
    <cellStyle name="Nota 2 2 3 9 2 2" xfId="26302"/>
    <cellStyle name="Nota 2 2 3 9 3" xfId="17625"/>
    <cellStyle name="Nota 2 2 4" xfId="1450"/>
    <cellStyle name="Nota 2 2 4 2" xfId="1451"/>
    <cellStyle name="Nota 2 2 4 2 2" xfId="1452"/>
    <cellStyle name="Nota 2 2 4 2 2 2" xfId="6213"/>
    <cellStyle name="Nota 2 2 4 2 2 2 2" xfId="12787"/>
    <cellStyle name="Nota 2 2 4 2 2 2 2 2" xfId="27109"/>
    <cellStyle name="Nota 2 2 4 2 2 2 3" xfId="18432"/>
    <cellStyle name="Nota 2 2 4 2 2 3" xfId="7860"/>
    <cellStyle name="Nota 2 2 4 2 2 3 2" xfId="10474"/>
    <cellStyle name="Nota 2 2 4 2 2 3 2 2" xfId="16736"/>
    <cellStyle name="Nota 2 2 4 2 2 3 2 2 2" xfId="30152"/>
    <cellStyle name="Nota 2 2 4 2 2 3 2 3" xfId="21481"/>
    <cellStyle name="Nota 2 2 4 2 2 3 3" xfId="14464"/>
    <cellStyle name="Nota 2 2 4 2 2 3 3 2" xfId="28786"/>
    <cellStyle name="Nota 2 2 4 2 2 3 4" xfId="20109"/>
    <cellStyle name="Nota 2 2 4 2 2 4" xfId="6634"/>
    <cellStyle name="Nota 2 2 4 2 2 4 2" xfId="23617"/>
    <cellStyle name="Nota 2 2 4 2 2 5" xfId="15161"/>
    <cellStyle name="Nota 2 2 4 2 3" xfId="1453"/>
    <cellStyle name="Nota 2 2 4 2 3 2" xfId="7944"/>
    <cellStyle name="Nota 2 2 4 2 3 2 2" xfId="10558"/>
    <cellStyle name="Nota 2 2 4 2 3 2 2 2" xfId="16820"/>
    <cellStyle name="Nota 2 2 4 2 3 2 2 2 2" xfId="30236"/>
    <cellStyle name="Nota 2 2 4 2 3 2 2 3" xfId="21565"/>
    <cellStyle name="Nota 2 2 4 2 3 2 3" xfId="14548"/>
    <cellStyle name="Nota 2 2 4 2 3 2 3 2" xfId="28870"/>
    <cellStyle name="Nota 2 2 4 2 3 2 4" xfId="20193"/>
    <cellStyle name="Nota 2 2 4 2 3 3" xfId="13199"/>
    <cellStyle name="Nota 2 2 4 2 3 3 2" xfId="27521"/>
    <cellStyle name="Nota 2 2 4 2 3 4" xfId="18844"/>
    <cellStyle name="Nota 2 2 4 2 4" xfId="5638"/>
    <cellStyle name="Nota 2 2 4 2 4 2" xfId="12191"/>
    <cellStyle name="Nota 2 2 4 2 4 2 2" xfId="26513"/>
    <cellStyle name="Nota 2 2 4 2 4 3" xfId="17836"/>
    <cellStyle name="Nota 2 2 4 2 5" xfId="4840"/>
    <cellStyle name="Nota 2 2 4 2 5 2" xfId="23215"/>
    <cellStyle name="Nota 2 2 4 2 6" xfId="14708"/>
    <cellStyle name="Nota 2 2 4 3" xfId="1454"/>
    <cellStyle name="Nota 2 2 4 3 2" xfId="1455"/>
    <cellStyle name="Nota 2 2 4 3 2 2" xfId="7015"/>
    <cellStyle name="Nota 2 2 4 3 2 2 2" xfId="13619"/>
    <cellStyle name="Nota 2 2 4 3 2 2 2 2" xfId="27941"/>
    <cellStyle name="Nota 2 2 4 3 2 2 3" xfId="19264"/>
    <cellStyle name="Nota 2 2 4 3 2 3" xfId="7884"/>
    <cellStyle name="Nota 2 2 4 3 2 3 2" xfId="10498"/>
    <cellStyle name="Nota 2 2 4 3 2 3 2 2" xfId="16760"/>
    <cellStyle name="Nota 2 2 4 3 2 3 2 2 2" xfId="30176"/>
    <cellStyle name="Nota 2 2 4 3 2 3 2 3" xfId="21505"/>
    <cellStyle name="Nota 2 2 4 3 2 3 3" xfId="14488"/>
    <cellStyle name="Nota 2 2 4 3 2 3 3 2" xfId="28810"/>
    <cellStyle name="Nota 2 2 4 3 2 3 4" xfId="20133"/>
    <cellStyle name="Nota 2 2 4 3 2 4" xfId="11544"/>
    <cellStyle name="Nota 2 2 4 3 2 4 2" xfId="25866"/>
    <cellStyle name="Nota 2 2 4 3 2 5" xfId="15197"/>
    <cellStyle name="Nota 2 2 4 3 3" xfId="1456"/>
    <cellStyle name="Nota 2 2 4 3 3 2" xfId="7688"/>
    <cellStyle name="Nota 2 2 4 3 3 2 2" xfId="10302"/>
    <cellStyle name="Nota 2 2 4 3 3 2 2 2" xfId="16564"/>
    <cellStyle name="Nota 2 2 4 3 3 2 2 2 2" xfId="29980"/>
    <cellStyle name="Nota 2 2 4 3 3 2 2 3" xfId="21309"/>
    <cellStyle name="Nota 2 2 4 3 3 2 3" xfId="14292"/>
    <cellStyle name="Nota 2 2 4 3 3 2 3 2" xfId="28614"/>
    <cellStyle name="Nota 2 2 4 3 3 2 4" xfId="19937"/>
    <cellStyle name="Nota 2 2 4 3 3 3" xfId="13074"/>
    <cellStyle name="Nota 2 2 4 3 3 3 2" xfId="27396"/>
    <cellStyle name="Nota 2 2 4 3 3 4" xfId="18719"/>
    <cellStyle name="Nota 2 2 4 3 4" xfId="5420"/>
    <cellStyle name="Nota 2 2 4 3 4 2" xfId="11971"/>
    <cellStyle name="Nota 2 2 4 3 4 2 2" xfId="26293"/>
    <cellStyle name="Nota 2 2 4 3 4 3" xfId="17616"/>
    <cellStyle name="Nota 2 2 4 3 5" xfId="6481"/>
    <cellStyle name="Nota 2 2 4 3 5 2" xfId="23563"/>
    <cellStyle name="Nota 2 2 4 3 6" xfId="3273"/>
    <cellStyle name="Nota 2 2 4 4" xfId="1457"/>
    <cellStyle name="Nota 2 2 4 4 2" xfId="5213"/>
    <cellStyle name="Nota 2 2 4 4 2 2" xfId="11762"/>
    <cellStyle name="Nota 2 2 4 4 2 2 2" xfId="26084"/>
    <cellStyle name="Nota 2 2 4 4 2 3" xfId="17407"/>
    <cellStyle name="Nota 2 2 4 4 3" xfId="7332"/>
    <cellStyle name="Nota 2 2 4 4 3 2" xfId="9946"/>
    <cellStyle name="Nota 2 2 4 4 3 2 2" xfId="16208"/>
    <cellStyle name="Nota 2 2 4 4 3 2 2 2" xfId="29624"/>
    <cellStyle name="Nota 2 2 4 4 3 2 3" xfId="20953"/>
    <cellStyle name="Nota 2 2 4 4 3 3" xfId="13936"/>
    <cellStyle name="Nota 2 2 4 4 3 3 2" xfId="28258"/>
    <cellStyle name="Nota 2 2 4 4 3 4" xfId="19581"/>
    <cellStyle name="Nota 2 2 4 4 4" xfId="6054"/>
    <cellStyle name="Nota 2 2 4 4 4 2" xfId="23400"/>
    <cellStyle name="Nota 2 2 4 4 5" xfId="15138"/>
    <cellStyle name="Nota 2 2 4 5" xfId="1458"/>
    <cellStyle name="Nota 2 2 4 5 2" xfId="7517"/>
    <cellStyle name="Nota 2 2 4 5 2 2" xfId="10131"/>
    <cellStyle name="Nota 2 2 4 5 2 2 2" xfId="16393"/>
    <cellStyle name="Nota 2 2 4 5 2 2 2 2" xfId="29809"/>
    <cellStyle name="Nota 2 2 4 5 2 2 3" xfId="21138"/>
    <cellStyle name="Nota 2 2 4 5 2 3" xfId="14121"/>
    <cellStyle name="Nota 2 2 4 5 2 3 2" xfId="28443"/>
    <cellStyle name="Nota 2 2 4 5 2 4" xfId="19766"/>
    <cellStyle name="Nota 2 2 4 5 3" xfId="11916"/>
    <cellStyle name="Nota 2 2 4 5 3 2" xfId="26238"/>
    <cellStyle name="Nota 2 2 4 5 4" xfId="17561"/>
    <cellStyle name="Nota 2 2 4 6" xfId="3992"/>
    <cellStyle name="Nota 2 2 4 6 2" xfId="3892"/>
    <cellStyle name="Nota 2 2 4 6 2 2" xfId="22631"/>
    <cellStyle name="Nota 2 2 4 6 3" xfId="6698"/>
    <cellStyle name="Nota 2 2 4 7" xfId="6651"/>
    <cellStyle name="Nota 2 2 4 7 2" xfId="23629"/>
    <cellStyle name="Nota 2 2 4 8" xfId="14702"/>
    <cellStyle name="Nota 2 2 5" xfId="1459"/>
    <cellStyle name="Nota 2 2 5 2" xfId="1460"/>
    <cellStyle name="Nota 2 2 5 2 2" xfId="1461"/>
    <cellStyle name="Nota 2 2 5 2 2 2" xfId="6136"/>
    <cellStyle name="Nota 2 2 5 2 2 2 2" xfId="12705"/>
    <cellStyle name="Nota 2 2 5 2 2 2 2 2" xfId="27027"/>
    <cellStyle name="Nota 2 2 5 2 2 2 3" xfId="18350"/>
    <cellStyle name="Nota 2 2 5 2 2 3" xfId="7851"/>
    <cellStyle name="Nota 2 2 5 2 2 3 2" xfId="10465"/>
    <cellStyle name="Nota 2 2 5 2 2 3 2 2" xfId="16727"/>
    <cellStyle name="Nota 2 2 5 2 2 3 2 2 2" xfId="30143"/>
    <cellStyle name="Nota 2 2 5 2 2 3 2 3" xfId="21472"/>
    <cellStyle name="Nota 2 2 5 2 2 3 3" xfId="14455"/>
    <cellStyle name="Nota 2 2 5 2 2 3 3 2" xfId="28777"/>
    <cellStyle name="Nota 2 2 5 2 2 3 4" xfId="20100"/>
    <cellStyle name="Nota 2 2 5 2 2 4" xfId="4315"/>
    <cellStyle name="Nota 2 2 5 2 2 4 2" xfId="22885"/>
    <cellStyle name="Nota 2 2 5 2 2 5" xfId="6042"/>
    <cellStyle name="Nota 2 2 5 2 3" xfId="1462"/>
    <cellStyle name="Nota 2 2 5 2 3 2" xfId="7444"/>
    <cellStyle name="Nota 2 2 5 2 3 2 2" xfId="10058"/>
    <cellStyle name="Nota 2 2 5 2 3 2 2 2" xfId="16320"/>
    <cellStyle name="Nota 2 2 5 2 3 2 2 2 2" xfId="29736"/>
    <cellStyle name="Nota 2 2 5 2 3 2 2 3" xfId="21065"/>
    <cellStyle name="Nota 2 2 5 2 3 2 3" xfId="14048"/>
    <cellStyle name="Nota 2 2 5 2 3 2 3 2" xfId="28370"/>
    <cellStyle name="Nota 2 2 5 2 3 2 4" xfId="19693"/>
    <cellStyle name="Nota 2 2 5 2 3 3" xfId="13276"/>
    <cellStyle name="Nota 2 2 5 2 3 3 2" xfId="27598"/>
    <cellStyle name="Nota 2 2 5 2 3 4" xfId="18921"/>
    <cellStyle name="Nota 2 2 5 2 4" xfId="5723"/>
    <cellStyle name="Nota 2 2 5 2 4 2" xfId="12276"/>
    <cellStyle name="Nota 2 2 5 2 4 2 2" xfId="26598"/>
    <cellStyle name="Nota 2 2 5 2 4 3" xfId="17921"/>
    <cellStyle name="Nota 2 2 5 2 5" xfId="3938"/>
    <cellStyle name="Nota 2 2 5 2 5 2" xfId="22655"/>
    <cellStyle name="Nota 2 2 5 2 6" xfId="17171"/>
    <cellStyle name="Nota 2 2 5 3" xfId="1463"/>
    <cellStyle name="Nota 2 2 5 3 2" xfId="1464"/>
    <cellStyle name="Nota 2 2 5 3 2 2" xfId="6973"/>
    <cellStyle name="Nota 2 2 5 3 2 2 2" xfId="13577"/>
    <cellStyle name="Nota 2 2 5 3 2 2 2 2" xfId="27899"/>
    <cellStyle name="Nota 2 2 5 3 2 2 3" xfId="19222"/>
    <cellStyle name="Nota 2 2 5 3 2 3" xfId="7605"/>
    <cellStyle name="Nota 2 2 5 3 2 3 2" xfId="10219"/>
    <cellStyle name="Nota 2 2 5 3 2 3 2 2" xfId="16481"/>
    <cellStyle name="Nota 2 2 5 3 2 3 2 2 2" xfId="29897"/>
    <cellStyle name="Nota 2 2 5 3 2 3 2 3" xfId="21226"/>
    <cellStyle name="Nota 2 2 5 3 2 3 3" xfId="14209"/>
    <cellStyle name="Nota 2 2 5 3 2 3 3 2" xfId="28531"/>
    <cellStyle name="Nota 2 2 5 3 2 3 4" xfId="19854"/>
    <cellStyle name="Nota 2 2 5 3 2 4" xfId="11480"/>
    <cellStyle name="Nota 2 2 5 3 2 4 2" xfId="25802"/>
    <cellStyle name="Nota 2 2 5 3 2 5" xfId="4172"/>
    <cellStyle name="Nota 2 2 5 3 3" xfId="1465"/>
    <cellStyle name="Nota 2 2 5 3 3 2" xfId="7551"/>
    <cellStyle name="Nota 2 2 5 3 3 2 2" xfId="10165"/>
    <cellStyle name="Nota 2 2 5 3 3 2 2 2" xfId="16427"/>
    <cellStyle name="Nota 2 2 5 3 3 2 2 2 2" xfId="29843"/>
    <cellStyle name="Nota 2 2 5 3 3 2 2 3" xfId="21172"/>
    <cellStyle name="Nota 2 2 5 3 3 2 3" xfId="14155"/>
    <cellStyle name="Nota 2 2 5 3 3 2 3 2" xfId="28477"/>
    <cellStyle name="Nota 2 2 5 3 3 2 4" xfId="19800"/>
    <cellStyle name="Nota 2 2 5 3 3 3" xfId="13081"/>
    <cellStyle name="Nota 2 2 5 3 3 3 2" xfId="27403"/>
    <cellStyle name="Nota 2 2 5 3 3 4" xfId="18726"/>
    <cellStyle name="Nota 2 2 5 3 4" xfId="5431"/>
    <cellStyle name="Nota 2 2 5 3 4 2" xfId="11982"/>
    <cellStyle name="Nota 2 2 5 3 4 2 2" xfId="26304"/>
    <cellStyle name="Nota 2 2 5 3 4 3" xfId="17627"/>
    <cellStyle name="Nota 2 2 5 3 5" xfId="3934"/>
    <cellStyle name="Nota 2 2 5 3 5 2" xfId="22652"/>
    <cellStyle name="Nota 2 2 5 3 6" xfId="14732"/>
    <cellStyle name="Nota 2 2 5 4" xfId="1466"/>
    <cellStyle name="Nota 2 2 5 4 2" xfId="6992"/>
    <cellStyle name="Nota 2 2 5 4 2 2" xfId="13596"/>
    <cellStyle name="Nota 2 2 5 4 2 2 2" xfId="27918"/>
    <cellStyle name="Nota 2 2 5 4 2 3" xfId="19241"/>
    <cellStyle name="Nota 2 2 5 4 3" xfId="7608"/>
    <cellStyle name="Nota 2 2 5 4 3 2" xfId="10222"/>
    <cellStyle name="Nota 2 2 5 4 3 2 2" xfId="16484"/>
    <cellStyle name="Nota 2 2 5 4 3 2 2 2" xfId="29900"/>
    <cellStyle name="Nota 2 2 5 4 3 2 3" xfId="21229"/>
    <cellStyle name="Nota 2 2 5 4 3 3" xfId="14212"/>
    <cellStyle name="Nota 2 2 5 4 3 3 2" xfId="28534"/>
    <cellStyle name="Nota 2 2 5 4 3 4" xfId="19857"/>
    <cellStyle name="Nota 2 2 5 4 4" xfId="11504"/>
    <cellStyle name="Nota 2 2 5 4 4 2" xfId="25826"/>
    <cellStyle name="Nota 2 2 5 4 5" xfId="15442"/>
    <cellStyle name="Nota 2 2 5 5" xfId="1467"/>
    <cellStyle name="Nota 2 2 5 5 2" xfId="7476"/>
    <cellStyle name="Nota 2 2 5 5 2 2" xfId="10090"/>
    <cellStyle name="Nota 2 2 5 5 2 2 2" xfId="16352"/>
    <cellStyle name="Nota 2 2 5 5 2 2 2 2" xfId="29768"/>
    <cellStyle name="Nota 2 2 5 5 2 2 3" xfId="21097"/>
    <cellStyle name="Nota 2 2 5 5 2 3" xfId="14080"/>
    <cellStyle name="Nota 2 2 5 5 2 3 2" xfId="28402"/>
    <cellStyle name="Nota 2 2 5 5 2 4" xfId="19725"/>
    <cellStyle name="Nota 2 2 5 5 3" xfId="12836"/>
    <cellStyle name="Nota 2 2 5 5 3 2" xfId="27158"/>
    <cellStyle name="Nota 2 2 5 5 4" xfId="18481"/>
    <cellStyle name="Nota 2 2 5 6" xfId="5409"/>
    <cellStyle name="Nota 2 2 5 6 2" xfId="11959"/>
    <cellStyle name="Nota 2 2 5 6 2 2" xfId="26281"/>
    <cellStyle name="Nota 2 2 5 6 3" xfId="17604"/>
    <cellStyle name="Nota 2 2 5 7" xfId="8072"/>
    <cellStyle name="Nota 2 2 5 7 2" xfId="23759"/>
    <cellStyle name="Nota 2 2 5 8" xfId="15496"/>
    <cellStyle name="Nota 2 2 6" xfId="1468"/>
    <cellStyle name="Nota 2 2 6 2" xfId="1469"/>
    <cellStyle name="Nota 2 2 6 2 2" xfId="1470"/>
    <cellStyle name="Nota 2 2 6 2 2 2" xfId="5130"/>
    <cellStyle name="Nota 2 2 6 2 2 2 2" xfId="11679"/>
    <cellStyle name="Nota 2 2 6 2 2 2 2 2" xfId="26001"/>
    <cellStyle name="Nota 2 2 6 2 2 2 3" xfId="2845"/>
    <cellStyle name="Nota 2 2 6 2 2 3" xfId="3779"/>
    <cellStyle name="Nota 2 2 6 2 2 3 2" xfId="9373"/>
    <cellStyle name="Nota 2 2 6 2 2 3 2 2" xfId="15635"/>
    <cellStyle name="Nota 2 2 6 2 2 3 2 2 2" xfId="29051"/>
    <cellStyle name="Nota 2 2 6 2 2 3 2 3" xfId="20380"/>
    <cellStyle name="Nota 2 2 6 2 2 3 3" xfId="6660"/>
    <cellStyle name="Nota 2 2 6 2 2 3 3 2" xfId="23636"/>
    <cellStyle name="Nota 2 2 6 2 2 3 4" xfId="17035"/>
    <cellStyle name="Nota 2 2 6 2 2 4" xfId="4045"/>
    <cellStyle name="Nota 2 2 6 2 2 4 2" xfId="22722"/>
    <cellStyle name="Nota 2 2 6 2 2 5" xfId="3593"/>
    <cellStyle name="Nota 2 2 6 2 3" xfId="1471"/>
    <cellStyle name="Nota 2 2 6 2 3 2" xfId="8058"/>
    <cellStyle name="Nota 2 2 6 2 3 2 2" xfId="10672"/>
    <cellStyle name="Nota 2 2 6 2 3 2 2 2" xfId="16934"/>
    <cellStyle name="Nota 2 2 6 2 3 2 2 2 2" xfId="30350"/>
    <cellStyle name="Nota 2 2 6 2 3 2 2 3" xfId="21679"/>
    <cellStyle name="Nota 2 2 6 2 3 2 3" xfId="14662"/>
    <cellStyle name="Nota 2 2 6 2 3 2 3 2" xfId="28984"/>
    <cellStyle name="Nota 2 2 6 2 3 2 4" xfId="20307"/>
    <cellStyle name="Nota 2 2 6 2 3 3" xfId="13362"/>
    <cellStyle name="Nota 2 2 6 2 3 3 2" xfId="27684"/>
    <cellStyle name="Nota 2 2 6 2 3 4" xfId="19007"/>
    <cellStyle name="Nota 2 2 6 2 4" xfId="5812"/>
    <cellStyle name="Nota 2 2 6 2 4 2" xfId="12365"/>
    <cellStyle name="Nota 2 2 6 2 4 2 2" xfId="26687"/>
    <cellStyle name="Nota 2 2 6 2 4 3" xfId="18010"/>
    <cellStyle name="Nota 2 2 6 2 5" xfId="3673"/>
    <cellStyle name="Nota 2 2 6 2 5 2" xfId="22519"/>
    <cellStyle name="Nota 2 2 6 2 6" xfId="14884"/>
    <cellStyle name="Nota 2 2 6 3" xfId="1472"/>
    <cellStyle name="Nota 2 2 6 3 2" xfId="1473"/>
    <cellStyle name="Nota 2 2 6 3 2 2" xfId="6914"/>
    <cellStyle name="Nota 2 2 6 3 2 2 2" xfId="13518"/>
    <cellStyle name="Nota 2 2 6 3 2 2 2 2" xfId="27840"/>
    <cellStyle name="Nota 2 2 6 3 2 2 3" xfId="19163"/>
    <cellStyle name="Nota 2 2 6 3 2 3" xfId="7107"/>
    <cellStyle name="Nota 2 2 6 3 2 3 2" xfId="9721"/>
    <cellStyle name="Nota 2 2 6 3 2 3 2 2" xfId="15983"/>
    <cellStyle name="Nota 2 2 6 3 2 3 2 2 2" xfId="29399"/>
    <cellStyle name="Nota 2 2 6 3 2 3 2 3" xfId="20728"/>
    <cellStyle name="Nota 2 2 6 3 2 3 3" xfId="13711"/>
    <cellStyle name="Nota 2 2 6 3 2 3 3 2" xfId="28033"/>
    <cellStyle name="Nota 2 2 6 3 2 3 4" xfId="19356"/>
    <cellStyle name="Nota 2 2 6 3 2 4" xfId="11400"/>
    <cellStyle name="Nota 2 2 6 3 2 4 2" xfId="25722"/>
    <cellStyle name="Nota 2 2 6 3 2 5" xfId="15527"/>
    <cellStyle name="Nota 2 2 6 3 3" xfId="1474"/>
    <cellStyle name="Nota 2 2 6 3 3 2" xfId="7678"/>
    <cellStyle name="Nota 2 2 6 3 3 2 2" xfId="10292"/>
    <cellStyle name="Nota 2 2 6 3 3 2 2 2" xfId="16554"/>
    <cellStyle name="Nota 2 2 6 3 3 2 2 2 2" xfId="29970"/>
    <cellStyle name="Nota 2 2 6 3 3 2 2 3" xfId="21299"/>
    <cellStyle name="Nota 2 2 6 3 3 2 3" xfId="14282"/>
    <cellStyle name="Nota 2 2 6 3 3 2 3 2" xfId="28604"/>
    <cellStyle name="Nota 2 2 6 3 3 2 4" xfId="19927"/>
    <cellStyle name="Nota 2 2 6 3 3 3" xfId="13368"/>
    <cellStyle name="Nota 2 2 6 3 3 3 2" xfId="27690"/>
    <cellStyle name="Nota 2 2 6 3 3 4" xfId="19013"/>
    <cellStyle name="Nota 2 2 6 3 4" xfId="5819"/>
    <cellStyle name="Nota 2 2 6 3 4 2" xfId="12372"/>
    <cellStyle name="Nota 2 2 6 3 4 2 2" xfId="26694"/>
    <cellStyle name="Nota 2 2 6 3 4 3" xfId="18017"/>
    <cellStyle name="Nota 2 2 6 3 5" xfId="6736"/>
    <cellStyle name="Nota 2 2 6 3 5 2" xfId="23687"/>
    <cellStyle name="Nota 2 2 6 3 6" xfId="4322"/>
    <cellStyle name="Nota 2 2 6 4" xfId="1475"/>
    <cellStyle name="Nota 2 2 6 4 2" xfId="6145"/>
    <cellStyle name="Nota 2 2 6 4 2 2" xfId="12715"/>
    <cellStyle name="Nota 2 2 6 4 2 2 2" xfId="27037"/>
    <cellStyle name="Nota 2 2 6 4 2 3" xfId="18360"/>
    <cellStyle name="Nota 2 2 6 4 3" xfId="7112"/>
    <cellStyle name="Nota 2 2 6 4 3 2" xfId="9726"/>
    <cellStyle name="Nota 2 2 6 4 3 2 2" xfId="15988"/>
    <cellStyle name="Nota 2 2 6 4 3 2 2 2" xfId="29404"/>
    <cellStyle name="Nota 2 2 6 4 3 2 3" xfId="20733"/>
    <cellStyle name="Nota 2 2 6 4 3 3" xfId="13716"/>
    <cellStyle name="Nota 2 2 6 4 3 3 2" xfId="28038"/>
    <cellStyle name="Nota 2 2 6 4 3 4" xfId="19361"/>
    <cellStyle name="Nota 2 2 6 4 4" xfId="4689"/>
    <cellStyle name="Nota 2 2 6 4 4 2" xfId="23125"/>
    <cellStyle name="Nota 2 2 6 4 5" xfId="17024"/>
    <cellStyle name="Nota 2 2 6 5" xfId="1476"/>
    <cellStyle name="Nota 2 2 6 5 2" xfId="5249"/>
    <cellStyle name="Nota 2 2 6 5 2 2" xfId="9558"/>
    <cellStyle name="Nota 2 2 6 5 2 2 2" xfId="15820"/>
    <cellStyle name="Nota 2 2 6 5 2 2 2 2" xfId="29236"/>
    <cellStyle name="Nota 2 2 6 5 2 2 3" xfId="20565"/>
    <cellStyle name="Nota 2 2 6 5 2 3" xfId="11799"/>
    <cellStyle name="Nota 2 2 6 5 2 3 2" xfId="26121"/>
    <cellStyle name="Nota 2 2 6 5 2 4" xfId="17444"/>
    <cellStyle name="Nota 2 2 6 5 3" xfId="12938"/>
    <cellStyle name="Nota 2 2 6 5 3 2" xfId="27260"/>
    <cellStyle name="Nota 2 2 6 5 4" xfId="18583"/>
    <cellStyle name="Nota 2 2 6 6" xfId="5563"/>
    <cellStyle name="Nota 2 2 6 6 2" xfId="12114"/>
    <cellStyle name="Nota 2 2 6 6 2 2" xfId="26436"/>
    <cellStyle name="Nota 2 2 6 6 3" xfId="17759"/>
    <cellStyle name="Nota 2 2 6 7" xfId="4706"/>
    <cellStyle name="Nota 2 2 6 7 2" xfId="23139"/>
    <cellStyle name="Nota 2 2 6 8" xfId="14972"/>
    <cellStyle name="Nota 2 2 7" xfId="1477"/>
    <cellStyle name="Nota 2 2 7 2" xfId="1478"/>
    <cellStyle name="Nota 2 2 7 2 2" xfId="1479"/>
    <cellStyle name="Nota 2 2 7 2 2 2" xfId="6388"/>
    <cellStyle name="Nota 2 2 7 2 2 2 2" xfId="12971"/>
    <cellStyle name="Nota 2 2 7 2 2 2 2 2" xfId="27293"/>
    <cellStyle name="Nota 2 2 7 2 2 2 3" xfId="18616"/>
    <cellStyle name="Nota 2 2 7 2 2 3" xfId="7418"/>
    <cellStyle name="Nota 2 2 7 2 2 3 2" xfId="10032"/>
    <cellStyle name="Nota 2 2 7 2 2 3 2 2" xfId="16294"/>
    <cellStyle name="Nota 2 2 7 2 2 3 2 2 2" xfId="29710"/>
    <cellStyle name="Nota 2 2 7 2 2 3 2 3" xfId="21039"/>
    <cellStyle name="Nota 2 2 7 2 2 3 3" xfId="14022"/>
    <cellStyle name="Nota 2 2 7 2 2 3 3 2" xfId="28344"/>
    <cellStyle name="Nota 2 2 7 2 2 3 4" xfId="19667"/>
    <cellStyle name="Nota 2 2 7 2 2 4" xfId="3694"/>
    <cellStyle name="Nota 2 2 7 2 2 4 2" xfId="22533"/>
    <cellStyle name="Nota 2 2 7 2 2 5" xfId="17157"/>
    <cellStyle name="Nota 2 2 7 2 3" xfId="1480"/>
    <cellStyle name="Nota 2 2 7 2 3 2" xfId="7509"/>
    <cellStyle name="Nota 2 2 7 2 3 2 2" xfId="10123"/>
    <cellStyle name="Nota 2 2 7 2 3 2 2 2" xfId="16385"/>
    <cellStyle name="Nota 2 2 7 2 3 2 2 2 2" xfId="29801"/>
    <cellStyle name="Nota 2 2 7 2 3 2 2 3" xfId="21130"/>
    <cellStyle name="Nota 2 2 7 2 3 2 3" xfId="14113"/>
    <cellStyle name="Nota 2 2 7 2 3 2 3 2" xfId="28435"/>
    <cellStyle name="Nota 2 2 7 2 3 2 4" xfId="19758"/>
    <cellStyle name="Nota 2 2 7 2 3 3" xfId="12628"/>
    <cellStyle name="Nota 2 2 7 2 3 3 2" xfId="26950"/>
    <cellStyle name="Nota 2 2 7 2 3 4" xfId="18273"/>
    <cellStyle name="Nota 2 2 7 2 4" xfId="5134"/>
    <cellStyle name="Nota 2 2 7 2 4 2" xfId="11683"/>
    <cellStyle name="Nota 2 2 7 2 4 2 2" xfId="26005"/>
    <cellStyle name="Nota 2 2 7 2 4 3" xfId="4161"/>
    <cellStyle name="Nota 2 2 7 2 5" xfId="6484"/>
    <cellStyle name="Nota 2 2 7 2 5 2" xfId="23564"/>
    <cellStyle name="Nota 2 2 7 2 6" xfId="17291"/>
    <cellStyle name="Nota 2 2 7 3" xfId="1481"/>
    <cellStyle name="Nota 2 2 7 3 2" xfId="6002"/>
    <cellStyle name="Nota 2 2 7 3 2 2" xfId="12561"/>
    <cellStyle name="Nota 2 2 7 3 2 2 2" xfId="26883"/>
    <cellStyle name="Nota 2 2 7 3 2 3" xfId="18206"/>
    <cellStyle name="Nota 2 2 7 3 3" xfId="8019"/>
    <cellStyle name="Nota 2 2 7 3 3 2" xfId="10633"/>
    <cellStyle name="Nota 2 2 7 3 3 2 2" xfId="16895"/>
    <cellStyle name="Nota 2 2 7 3 3 2 2 2" xfId="30311"/>
    <cellStyle name="Nota 2 2 7 3 3 2 3" xfId="21640"/>
    <cellStyle name="Nota 2 2 7 3 3 3" xfId="14623"/>
    <cellStyle name="Nota 2 2 7 3 3 3 2" xfId="28945"/>
    <cellStyle name="Nota 2 2 7 3 3 4" xfId="20268"/>
    <cellStyle name="Nota 2 2 7 3 4" xfId="3652"/>
    <cellStyle name="Nota 2 2 7 3 4 2" xfId="22508"/>
    <cellStyle name="Nota 2 2 7 3 5" xfId="17039"/>
    <cellStyle name="Nota 2 2 7 4" xfId="1482"/>
    <cellStyle name="Nota 2 2 7 4 2" xfId="7407"/>
    <cellStyle name="Nota 2 2 7 4 2 2" xfId="10021"/>
    <cellStyle name="Nota 2 2 7 4 2 2 2" xfId="16283"/>
    <cellStyle name="Nota 2 2 7 4 2 2 2 2" xfId="29699"/>
    <cellStyle name="Nota 2 2 7 4 2 2 3" xfId="21028"/>
    <cellStyle name="Nota 2 2 7 4 2 3" xfId="14011"/>
    <cellStyle name="Nota 2 2 7 4 2 3 2" xfId="28333"/>
    <cellStyle name="Nota 2 2 7 4 2 4" xfId="19656"/>
    <cellStyle name="Nota 2 2 7 4 3" xfId="11514"/>
    <cellStyle name="Nota 2 2 7 4 3 2" xfId="25836"/>
    <cellStyle name="Nota 2 2 7 4 4" xfId="2881"/>
    <cellStyle name="Nota 2 2 7 5" xfId="5226"/>
    <cellStyle name="Nota 2 2 7 5 2" xfId="11776"/>
    <cellStyle name="Nota 2 2 7 5 2 2" xfId="26098"/>
    <cellStyle name="Nota 2 2 7 5 3" xfId="17421"/>
    <cellStyle name="Nota 2 2 7 6" xfId="3842"/>
    <cellStyle name="Nota 2 2 7 6 2" xfId="22607"/>
    <cellStyle name="Nota 2 2 7 7" xfId="5189"/>
    <cellStyle name="Nota 2 2 8" xfId="1483"/>
    <cellStyle name="Nota 2 2 8 2" xfId="1484"/>
    <cellStyle name="Nota 2 2 8 2 2" xfId="6485"/>
    <cellStyle name="Nota 2 2 8 2 2 2" xfId="13068"/>
    <cellStyle name="Nota 2 2 8 2 2 2 2" xfId="27390"/>
    <cellStyle name="Nota 2 2 8 2 2 3" xfId="18713"/>
    <cellStyle name="Nota 2 2 8 2 3" xfId="7458"/>
    <cellStyle name="Nota 2 2 8 2 3 2" xfId="10072"/>
    <cellStyle name="Nota 2 2 8 2 3 2 2" xfId="16334"/>
    <cellStyle name="Nota 2 2 8 2 3 2 2 2" xfId="29750"/>
    <cellStyle name="Nota 2 2 8 2 3 2 3" xfId="21079"/>
    <cellStyle name="Nota 2 2 8 2 3 3" xfId="14062"/>
    <cellStyle name="Nota 2 2 8 2 3 3 2" xfId="28384"/>
    <cellStyle name="Nota 2 2 8 2 3 4" xfId="19707"/>
    <cellStyle name="Nota 2 2 8 2 4" xfId="4278"/>
    <cellStyle name="Nota 2 2 8 2 4 2" xfId="22867"/>
    <cellStyle name="Nota 2 2 8 2 5" xfId="14999"/>
    <cellStyle name="Nota 2 2 8 3" xfId="1485"/>
    <cellStyle name="Nota 2 2 8 3 2" xfId="7286"/>
    <cellStyle name="Nota 2 2 8 3 2 2" xfId="9900"/>
    <cellStyle name="Nota 2 2 8 3 2 2 2" xfId="16162"/>
    <cellStyle name="Nota 2 2 8 3 2 2 2 2" xfId="29578"/>
    <cellStyle name="Nota 2 2 8 3 2 2 3" xfId="20907"/>
    <cellStyle name="Nota 2 2 8 3 2 3" xfId="13890"/>
    <cellStyle name="Nota 2 2 8 3 2 3 2" xfId="28212"/>
    <cellStyle name="Nota 2 2 8 3 2 4" xfId="19535"/>
    <cellStyle name="Nota 2 2 8 3 3" xfId="12390"/>
    <cellStyle name="Nota 2 2 8 3 3 2" xfId="26712"/>
    <cellStyle name="Nota 2 2 8 3 4" xfId="18035"/>
    <cellStyle name="Nota 2 2 8 4" xfId="4902"/>
    <cellStyle name="Nota 2 2 8 4 2" xfId="11439"/>
    <cellStyle name="Nota 2 2 8 4 2 2" xfId="25761"/>
    <cellStyle name="Nota 2 2 8 4 3" xfId="3258"/>
    <cellStyle name="Nota 2 2 8 5" xfId="4811"/>
    <cellStyle name="Nota 2 2 8 5 2" xfId="23199"/>
    <cellStyle name="Nota 2 2 8 6" xfId="3865"/>
    <cellStyle name="Nota 2 2 9" xfId="1486"/>
    <cellStyle name="Nota 2 2 9 2" xfId="6419"/>
    <cellStyle name="Nota 2 2 9 2 2" xfId="13002"/>
    <cellStyle name="Nota 2 2 9 2 2 2" xfId="27324"/>
    <cellStyle name="Nota 2 2 9 2 3" xfId="18647"/>
    <cellStyle name="Nota 2 2 9 3" xfId="3809"/>
    <cellStyle name="Nota 2 2 9 3 2" xfId="9377"/>
    <cellStyle name="Nota 2 2 9 3 2 2" xfId="15639"/>
    <cellStyle name="Nota 2 2 9 3 2 2 2" xfId="29055"/>
    <cellStyle name="Nota 2 2 9 3 2 3" xfId="20384"/>
    <cellStyle name="Nota 2 2 9 3 3" xfId="4231"/>
    <cellStyle name="Nota 2 2 9 3 3 2" xfId="22841"/>
    <cellStyle name="Nota 2 2 9 3 4" xfId="3861"/>
    <cellStyle name="Nota 2 2 9 4" xfId="4513"/>
    <cellStyle name="Nota 2 2 9 4 2" xfId="23000"/>
    <cellStyle name="Nota 2 2 9 5" xfId="17258"/>
    <cellStyle name="Nota 2 3" xfId="1487"/>
    <cellStyle name="Nota 2 3 2" xfId="6475"/>
    <cellStyle name="Nota 2 3 2 2" xfId="13058"/>
    <cellStyle name="Nota 2 3 2 2 2" xfId="27380"/>
    <cellStyle name="Nota 2 3 2 3" xfId="18703"/>
    <cellStyle name="Nota 2 3 3" xfId="4999"/>
    <cellStyle name="Nota 2 3 3 2" xfId="9536"/>
    <cellStyle name="Nota 2 3 3 2 2" xfId="15798"/>
    <cellStyle name="Nota 2 3 3 2 2 2" xfId="29214"/>
    <cellStyle name="Nota 2 3 3 2 3" xfId="20543"/>
    <cellStyle name="Nota 2 3 3 3" xfId="11542"/>
    <cellStyle name="Nota 2 3 3 3 2" xfId="25864"/>
    <cellStyle name="Nota 2 3 3 4" xfId="6744"/>
    <cellStyle name="Nota 2 3 4" xfId="3991"/>
    <cellStyle name="Nota 2 3 4 2" xfId="22690"/>
    <cellStyle name="Nota 2 3 5" xfId="3027"/>
    <cellStyle name="Nota 2 4" xfId="4084"/>
    <cellStyle name="Nota 2 4 2" xfId="4070"/>
    <cellStyle name="Nota 2 4 2 2" xfId="22742"/>
    <cellStyle name="Nota 2 4 3" xfId="15372"/>
    <cellStyle name="Nota 2 5" xfId="4945"/>
    <cellStyle name="Nota 2 5 2" xfId="23273"/>
    <cellStyle name="Nota 2 6" xfId="15155"/>
    <cellStyle name="Nota 2 7" xfId="21693"/>
    <cellStyle name="Nota 2 8" xfId="30364"/>
    <cellStyle name="Nota 3" xfId="1488"/>
    <cellStyle name="Nota 3 10" xfId="1489"/>
    <cellStyle name="Nota 3 10 2" xfId="7495"/>
    <cellStyle name="Nota 3 10 2 2" xfId="10109"/>
    <cellStyle name="Nota 3 10 2 2 2" xfId="16371"/>
    <cellStyle name="Nota 3 10 2 2 2 2" xfId="29787"/>
    <cellStyle name="Nota 3 10 2 2 3" xfId="21116"/>
    <cellStyle name="Nota 3 10 2 3" xfId="14099"/>
    <cellStyle name="Nota 3 10 2 3 2" xfId="28421"/>
    <cellStyle name="Nota 3 10 2 4" xfId="19744"/>
    <cellStyle name="Nota 3 10 3" xfId="11740"/>
    <cellStyle name="Nota 3 10 3 2" xfId="26062"/>
    <cellStyle name="Nota 3 10 4" xfId="4520"/>
    <cellStyle name="Nota 3 11" xfId="4749"/>
    <cellStyle name="Nota 3 11 2" xfId="2779"/>
    <cellStyle name="Nota 3 11 2 2" xfId="22348"/>
    <cellStyle name="Nota 3 11 3" xfId="17094"/>
    <cellStyle name="Nota 3 12" xfId="4863"/>
    <cellStyle name="Nota 3 12 2" xfId="23228"/>
    <cellStyle name="Nota 3 13" xfId="6629"/>
    <cellStyle name="Nota 3 2" xfId="1490"/>
    <cellStyle name="Nota 3 2 10" xfId="5398"/>
    <cellStyle name="Nota 3 2 10 2" xfId="11948"/>
    <cellStyle name="Nota 3 2 10 2 2" xfId="26270"/>
    <cellStyle name="Nota 3 2 10 3" xfId="17593"/>
    <cellStyle name="Nota 3 2 11" xfId="3276"/>
    <cellStyle name="Nota 3 2 11 2" xfId="22457"/>
    <cellStyle name="Nota 3 2 12" xfId="15243"/>
    <cellStyle name="Nota 3 2 2" xfId="1491"/>
    <cellStyle name="Nota 3 2 2 10" xfId="4450"/>
    <cellStyle name="Nota 3 2 2 10 2" xfId="22959"/>
    <cellStyle name="Nota 3 2 2 11" xfId="6190"/>
    <cellStyle name="Nota 3 2 2 2" xfId="1492"/>
    <cellStyle name="Nota 3 2 2 2 2" xfId="1493"/>
    <cellStyle name="Nota 3 2 2 2 2 2" xfId="1494"/>
    <cellStyle name="Nota 3 2 2 2 2 2 2" xfId="6396"/>
    <cellStyle name="Nota 3 2 2 2 2 2 2 2" xfId="12979"/>
    <cellStyle name="Nota 3 2 2 2 2 2 2 2 2" xfId="27301"/>
    <cellStyle name="Nota 3 2 2 2 2 2 2 3" xfId="18624"/>
    <cellStyle name="Nota 3 2 2 2 2 2 3" xfId="7078"/>
    <cellStyle name="Nota 3 2 2 2 2 2 3 2" xfId="9692"/>
    <cellStyle name="Nota 3 2 2 2 2 2 3 2 2" xfId="15954"/>
    <cellStyle name="Nota 3 2 2 2 2 2 3 2 2 2" xfId="29370"/>
    <cellStyle name="Nota 3 2 2 2 2 2 3 2 3" xfId="20699"/>
    <cellStyle name="Nota 3 2 2 2 2 2 3 3" xfId="13682"/>
    <cellStyle name="Nota 3 2 2 2 2 2 3 3 2" xfId="28004"/>
    <cellStyle name="Nota 3 2 2 2 2 2 3 4" xfId="19327"/>
    <cellStyle name="Nota 3 2 2 2 2 2 4" xfId="2785"/>
    <cellStyle name="Nota 3 2 2 2 2 2 4 2" xfId="22354"/>
    <cellStyle name="Nota 3 2 2 2 2 2 5" xfId="16976"/>
    <cellStyle name="Nota 3 2 2 2 2 3" xfId="1495"/>
    <cellStyle name="Nota 3 2 2 2 2 3 2" xfId="7888"/>
    <cellStyle name="Nota 3 2 2 2 2 3 2 2" xfId="10502"/>
    <cellStyle name="Nota 3 2 2 2 2 3 2 2 2" xfId="16764"/>
    <cellStyle name="Nota 3 2 2 2 2 3 2 2 2 2" xfId="30180"/>
    <cellStyle name="Nota 3 2 2 2 2 3 2 2 3" xfId="21509"/>
    <cellStyle name="Nota 3 2 2 2 2 3 2 3" xfId="14492"/>
    <cellStyle name="Nota 3 2 2 2 2 3 2 3 2" xfId="28814"/>
    <cellStyle name="Nota 3 2 2 2 2 3 2 4" xfId="20137"/>
    <cellStyle name="Nota 3 2 2 2 2 3 3" xfId="13322"/>
    <cellStyle name="Nota 3 2 2 2 2 3 3 2" xfId="27644"/>
    <cellStyle name="Nota 3 2 2 2 2 3 4" xfId="18967"/>
    <cellStyle name="Nota 3 2 2 2 2 4" xfId="5772"/>
    <cellStyle name="Nota 3 2 2 2 2 4 2" xfId="12325"/>
    <cellStyle name="Nota 3 2 2 2 2 4 2 2" xfId="26647"/>
    <cellStyle name="Nota 3 2 2 2 2 4 3" xfId="17970"/>
    <cellStyle name="Nota 3 2 2 2 2 5" xfId="4546"/>
    <cellStyle name="Nota 3 2 2 2 2 5 2" xfId="23024"/>
    <cellStyle name="Nota 3 2 2 2 2 6" xfId="17391"/>
    <cellStyle name="Nota 3 2 2 2 3" xfId="1496"/>
    <cellStyle name="Nota 3 2 2 2 3 2" xfId="1497"/>
    <cellStyle name="Nota 3 2 2 2 3 2 2" xfId="6557"/>
    <cellStyle name="Nota 3 2 2 2 3 2 2 2" xfId="13145"/>
    <cellStyle name="Nota 3 2 2 2 3 2 2 2 2" xfId="27467"/>
    <cellStyle name="Nota 3 2 2 2 3 2 2 3" xfId="18790"/>
    <cellStyle name="Nota 3 2 2 2 3 2 3" xfId="7554"/>
    <cellStyle name="Nota 3 2 2 2 3 2 3 2" xfId="10168"/>
    <cellStyle name="Nota 3 2 2 2 3 2 3 2 2" xfId="16430"/>
    <cellStyle name="Nota 3 2 2 2 3 2 3 2 2 2" xfId="29846"/>
    <cellStyle name="Nota 3 2 2 2 3 2 3 2 3" xfId="21175"/>
    <cellStyle name="Nota 3 2 2 2 3 2 3 3" xfId="14158"/>
    <cellStyle name="Nota 3 2 2 2 3 2 3 3 2" xfId="28480"/>
    <cellStyle name="Nota 3 2 2 2 3 2 3 4" xfId="19803"/>
    <cellStyle name="Nota 3 2 2 2 3 2 4" xfId="3887"/>
    <cellStyle name="Nota 3 2 2 2 3 2 4 2" xfId="22627"/>
    <cellStyle name="Nota 3 2 2 2 3 2 5" xfId="15324"/>
    <cellStyle name="Nota 3 2 2 2 3 3" xfId="1498"/>
    <cellStyle name="Nota 3 2 2 2 3 3 2" xfId="7853"/>
    <cellStyle name="Nota 3 2 2 2 3 3 2 2" xfId="10467"/>
    <cellStyle name="Nota 3 2 2 2 3 3 2 2 2" xfId="16729"/>
    <cellStyle name="Nota 3 2 2 2 3 3 2 2 2 2" xfId="30145"/>
    <cellStyle name="Nota 3 2 2 2 3 3 2 2 3" xfId="21474"/>
    <cellStyle name="Nota 3 2 2 2 3 3 2 3" xfId="14457"/>
    <cellStyle name="Nota 3 2 2 2 3 3 2 3 2" xfId="28779"/>
    <cellStyle name="Nota 3 2 2 2 3 3 2 4" xfId="20102"/>
    <cellStyle name="Nota 3 2 2 2 3 3 3" xfId="12128"/>
    <cellStyle name="Nota 3 2 2 2 3 3 3 2" xfId="26450"/>
    <cellStyle name="Nota 3 2 2 2 3 3 4" xfId="17773"/>
    <cellStyle name="Nota 3 2 2 2 3 4" xfId="5143"/>
    <cellStyle name="Nota 3 2 2 2 3 4 2" xfId="11692"/>
    <cellStyle name="Nota 3 2 2 2 3 4 2 2" xfId="26014"/>
    <cellStyle name="Nota 3 2 2 2 3 4 3" xfId="4153"/>
    <cellStyle name="Nota 3 2 2 2 3 5" xfId="4832"/>
    <cellStyle name="Nota 3 2 2 2 3 5 2" xfId="23210"/>
    <cellStyle name="Nota 3 2 2 2 3 6" xfId="15252"/>
    <cellStyle name="Nota 3 2 2 2 4" xfId="1499"/>
    <cellStyle name="Nota 3 2 2 2 4 2" xfId="6134"/>
    <cellStyle name="Nota 3 2 2 2 4 2 2" xfId="12703"/>
    <cellStyle name="Nota 3 2 2 2 4 2 2 2" xfId="27025"/>
    <cellStyle name="Nota 3 2 2 2 4 2 3" xfId="18348"/>
    <cellStyle name="Nota 3 2 2 2 4 3" xfId="7898"/>
    <cellStyle name="Nota 3 2 2 2 4 3 2" xfId="10512"/>
    <cellStyle name="Nota 3 2 2 2 4 3 2 2" xfId="16774"/>
    <cellStyle name="Nota 3 2 2 2 4 3 2 2 2" xfId="30190"/>
    <cellStyle name="Nota 3 2 2 2 4 3 2 3" xfId="21519"/>
    <cellStyle name="Nota 3 2 2 2 4 3 3" xfId="14502"/>
    <cellStyle name="Nota 3 2 2 2 4 3 3 2" xfId="28824"/>
    <cellStyle name="Nota 3 2 2 2 4 3 4" xfId="20147"/>
    <cellStyle name="Nota 3 2 2 2 4 4" xfId="5191"/>
    <cellStyle name="Nota 3 2 2 2 4 4 2" xfId="23334"/>
    <cellStyle name="Nota 3 2 2 2 4 5" xfId="15448"/>
    <cellStyle name="Nota 3 2 2 2 5" xfId="1500"/>
    <cellStyle name="Nota 3 2 2 2 5 2" xfId="5299"/>
    <cellStyle name="Nota 3 2 2 2 5 2 2" xfId="9608"/>
    <cellStyle name="Nota 3 2 2 2 5 2 2 2" xfId="15870"/>
    <cellStyle name="Nota 3 2 2 2 5 2 2 2 2" xfId="29286"/>
    <cellStyle name="Nota 3 2 2 2 5 2 2 3" xfId="20615"/>
    <cellStyle name="Nota 3 2 2 2 5 2 3" xfId="11849"/>
    <cellStyle name="Nota 3 2 2 2 5 2 3 2" xfId="26171"/>
    <cellStyle name="Nota 3 2 2 2 5 2 4" xfId="17494"/>
    <cellStyle name="Nota 3 2 2 2 5 3" xfId="12898"/>
    <cellStyle name="Nota 3 2 2 2 5 3 2" xfId="27220"/>
    <cellStyle name="Nota 3 2 2 2 5 4" xfId="18543"/>
    <cellStyle name="Nota 3 2 2 2 6" xfId="5516"/>
    <cellStyle name="Nota 3 2 2 2 6 2" xfId="12067"/>
    <cellStyle name="Nota 3 2 2 2 6 2 2" xfId="26389"/>
    <cellStyle name="Nota 3 2 2 2 6 3" xfId="17712"/>
    <cellStyle name="Nota 3 2 2 2 7" xfId="3858"/>
    <cellStyle name="Nota 3 2 2 2 7 2" xfId="22614"/>
    <cellStyle name="Nota 3 2 2 2 8" xfId="5970"/>
    <cellStyle name="Nota 3 2 2 3" xfId="1501"/>
    <cellStyle name="Nota 3 2 2 3 2" xfId="1502"/>
    <cellStyle name="Nota 3 2 2 3 2 2" xfId="1503"/>
    <cellStyle name="Nota 3 2 2 3 2 2 2" xfId="6858"/>
    <cellStyle name="Nota 3 2 2 3 2 2 2 2" xfId="13462"/>
    <cellStyle name="Nota 3 2 2 3 2 2 2 2 2" xfId="27784"/>
    <cellStyle name="Nota 3 2 2 3 2 2 2 3" xfId="19107"/>
    <cellStyle name="Nota 3 2 2 3 2 2 3" xfId="7879"/>
    <cellStyle name="Nota 3 2 2 3 2 2 3 2" xfId="10493"/>
    <cellStyle name="Nota 3 2 2 3 2 2 3 2 2" xfId="16755"/>
    <cellStyle name="Nota 3 2 2 3 2 2 3 2 2 2" xfId="30171"/>
    <cellStyle name="Nota 3 2 2 3 2 2 3 2 3" xfId="21500"/>
    <cellStyle name="Nota 3 2 2 3 2 2 3 3" xfId="14483"/>
    <cellStyle name="Nota 3 2 2 3 2 2 3 3 2" xfId="28805"/>
    <cellStyle name="Nota 3 2 2 3 2 2 3 4" xfId="20128"/>
    <cellStyle name="Nota 3 2 2 3 2 2 4" xfId="11316"/>
    <cellStyle name="Nota 3 2 2 3 2 2 4 2" xfId="25638"/>
    <cellStyle name="Nota 3 2 2 3 2 2 5" xfId="4900"/>
    <cellStyle name="Nota 3 2 2 3 2 3" xfId="1504"/>
    <cellStyle name="Nota 3 2 2 3 2 3 2" xfId="7159"/>
    <cellStyle name="Nota 3 2 2 3 2 3 2 2" xfId="9773"/>
    <cellStyle name="Nota 3 2 2 3 2 3 2 2 2" xfId="16035"/>
    <cellStyle name="Nota 3 2 2 3 2 3 2 2 2 2" xfId="29451"/>
    <cellStyle name="Nota 3 2 2 3 2 3 2 2 3" xfId="20780"/>
    <cellStyle name="Nota 3 2 2 3 2 3 2 3" xfId="13763"/>
    <cellStyle name="Nota 3 2 2 3 2 3 2 3 2" xfId="28085"/>
    <cellStyle name="Nota 3 2 2 3 2 3 2 4" xfId="19408"/>
    <cellStyle name="Nota 3 2 2 3 2 3 3" xfId="13358"/>
    <cellStyle name="Nota 3 2 2 3 2 3 3 2" xfId="27680"/>
    <cellStyle name="Nota 3 2 2 3 2 3 4" xfId="19003"/>
    <cellStyle name="Nota 3 2 2 3 2 4" xfId="5808"/>
    <cellStyle name="Nota 3 2 2 3 2 4 2" xfId="12361"/>
    <cellStyle name="Nota 3 2 2 3 2 4 2 2" xfId="26683"/>
    <cellStyle name="Nota 3 2 2 3 2 4 3" xfId="18006"/>
    <cellStyle name="Nota 3 2 2 3 2 5" xfId="4515"/>
    <cellStyle name="Nota 3 2 2 3 2 5 2" xfId="23002"/>
    <cellStyle name="Nota 3 2 2 3 2 6" xfId="14971"/>
    <cellStyle name="Nota 3 2 2 3 3" xfId="1505"/>
    <cellStyle name="Nota 3 2 2 3 3 2" xfId="1506"/>
    <cellStyle name="Nota 3 2 2 3 3 2 2" xfId="7038"/>
    <cellStyle name="Nota 3 2 2 3 3 2 2 2" xfId="13642"/>
    <cellStyle name="Nota 3 2 2 3 3 2 2 2 2" xfId="27964"/>
    <cellStyle name="Nota 3 2 2 3 3 2 2 3" xfId="19287"/>
    <cellStyle name="Nota 3 2 2 3 3 2 3" xfId="7826"/>
    <cellStyle name="Nota 3 2 2 3 3 2 3 2" xfId="10440"/>
    <cellStyle name="Nota 3 2 2 3 3 2 3 2 2" xfId="16702"/>
    <cellStyle name="Nota 3 2 2 3 3 2 3 2 2 2" xfId="30118"/>
    <cellStyle name="Nota 3 2 2 3 3 2 3 2 3" xfId="21447"/>
    <cellStyle name="Nota 3 2 2 3 3 2 3 3" xfId="14430"/>
    <cellStyle name="Nota 3 2 2 3 3 2 3 3 2" xfId="28752"/>
    <cellStyle name="Nota 3 2 2 3 3 2 3 4" xfId="20075"/>
    <cellStyle name="Nota 3 2 2 3 3 2 4" xfId="11583"/>
    <cellStyle name="Nota 3 2 2 3 3 2 4 2" xfId="25905"/>
    <cellStyle name="Nota 3 2 2 3 3 2 5" xfId="15533"/>
    <cellStyle name="Nota 3 2 2 3 3 3" xfId="1507"/>
    <cellStyle name="Nota 3 2 2 3 3 3 2" xfId="7574"/>
    <cellStyle name="Nota 3 2 2 3 3 3 2 2" xfId="10188"/>
    <cellStyle name="Nota 3 2 2 3 3 3 2 2 2" xfId="16450"/>
    <cellStyle name="Nota 3 2 2 3 3 3 2 2 2 2" xfId="29866"/>
    <cellStyle name="Nota 3 2 2 3 3 3 2 2 3" xfId="21195"/>
    <cellStyle name="Nota 3 2 2 3 3 3 2 3" xfId="14178"/>
    <cellStyle name="Nota 3 2 2 3 3 3 2 3 2" xfId="28500"/>
    <cellStyle name="Nota 3 2 2 3 3 3 2 4" xfId="19823"/>
    <cellStyle name="Nota 3 2 2 3 3 3 3" xfId="13167"/>
    <cellStyle name="Nota 3 2 2 3 3 3 3 2" xfId="27489"/>
    <cellStyle name="Nota 3 2 2 3 3 3 4" xfId="18812"/>
    <cellStyle name="Nota 3 2 2 3 3 4" xfId="5584"/>
    <cellStyle name="Nota 3 2 2 3 3 4 2" xfId="12136"/>
    <cellStyle name="Nota 3 2 2 3 3 4 2 2" xfId="26458"/>
    <cellStyle name="Nota 3 2 2 3 3 4 3" xfId="17781"/>
    <cellStyle name="Nota 3 2 2 3 3 5" xfId="6345"/>
    <cellStyle name="Nota 3 2 2 3 3 5 2" xfId="23531"/>
    <cellStyle name="Nota 3 2 2 3 3 6" xfId="15051"/>
    <cellStyle name="Nota 3 2 2 3 4" xfId="1508"/>
    <cellStyle name="Nota 3 2 2 3 4 2" xfId="5120"/>
    <cellStyle name="Nota 3 2 2 3 4 2 2" xfId="11668"/>
    <cellStyle name="Nota 3 2 2 3 4 2 2 2" xfId="25990"/>
    <cellStyle name="Nota 3 2 2 3 4 2 3" xfId="17193"/>
    <cellStyle name="Nota 3 2 2 3 4 3" xfId="8014"/>
    <cellStyle name="Nota 3 2 2 3 4 3 2" xfId="10628"/>
    <cellStyle name="Nota 3 2 2 3 4 3 2 2" xfId="16890"/>
    <cellStyle name="Nota 3 2 2 3 4 3 2 2 2" xfId="30306"/>
    <cellStyle name="Nota 3 2 2 3 4 3 2 3" xfId="21635"/>
    <cellStyle name="Nota 3 2 2 3 4 3 3" xfId="14618"/>
    <cellStyle name="Nota 3 2 2 3 4 3 3 2" xfId="28940"/>
    <cellStyle name="Nota 3 2 2 3 4 3 4" xfId="20263"/>
    <cellStyle name="Nota 3 2 2 3 4 4" xfId="4784"/>
    <cellStyle name="Nota 3 2 2 3 4 4 2" xfId="23185"/>
    <cellStyle name="Nota 3 2 2 3 4 5" xfId="17192"/>
    <cellStyle name="Nota 3 2 2 3 5" xfId="1509"/>
    <cellStyle name="Nota 3 2 2 3 5 2" xfId="7360"/>
    <cellStyle name="Nota 3 2 2 3 5 2 2" xfId="9974"/>
    <cellStyle name="Nota 3 2 2 3 5 2 2 2" xfId="16236"/>
    <cellStyle name="Nota 3 2 2 3 5 2 2 2 2" xfId="29652"/>
    <cellStyle name="Nota 3 2 2 3 5 2 2 3" xfId="20981"/>
    <cellStyle name="Nota 3 2 2 3 5 2 3" xfId="13964"/>
    <cellStyle name="Nota 3 2 2 3 5 2 3 2" xfId="28286"/>
    <cellStyle name="Nota 3 2 2 3 5 2 4" xfId="19609"/>
    <cellStyle name="Nota 3 2 2 3 5 3" xfId="12934"/>
    <cellStyle name="Nota 3 2 2 3 5 3 2" xfId="27256"/>
    <cellStyle name="Nota 3 2 2 3 5 4" xfId="18579"/>
    <cellStyle name="Nota 3 2 2 3 6" xfId="5558"/>
    <cellStyle name="Nota 3 2 2 3 6 2" xfId="12109"/>
    <cellStyle name="Nota 3 2 2 3 6 2 2" xfId="26431"/>
    <cellStyle name="Nota 3 2 2 3 6 3" xfId="17754"/>
    <cellStyle name="Nota 3 2 2 3 7" xfId="6323"/>
    <cellStyle name="Nota 3 2 2 3 7 2" xfId="23515"/>
    <cellStyle name="Nota 3 2 2 3 8" xfId="17034"/>
    <cellStyle name="Nota 3 2 2 4" xfId="1510"/>
    <cellStyle name="Nota 3 2 2 4 2" xfId="1511"/>
    <cellStyle name="Nota 3 2 2 4 2 2" xfId="1512"/>
    <cellStyle name="Nota 3 2 2 4 2 2 2" xfId="5944"/>
    <cellStyle name="Nota 3 2 2 4 2 2 2 2" xfId="12501"/>
    <cellStyle name="Nota 3 2 2 4 2 2 2 2 2" xfId="26823"/>
    <cellStyle name="Nota 3 2 2 4 2 2 2 3" xfId="18146"/>
    <cellStyle name="Nota 3 2 2 4 2 2 3" xfId="7409"/>
    <cellStyle name="Nota 3 2 2 4 2 2 3 2" xfId="10023"/>
    <cellStyle name="Nota 3 2 2 4 2 2 3 2 2" xfId="16285"/>
    <cellStyle name="Nota 3 2 2 4 2 2 3 2 2 2" xfId="29701"/>
    <cellStyle name="Nota 3 2 2 4 2 2 3 2 3" xfId="21030"/>
    <cellStyle name="Nota 3 2 2 4 2 2 3 3" xfId="14013"/>
    <cellStyle name="Nota 3 2 2 4 2 2 3 3 2" xfId="28335"/>
    <cellStyle name="Nota 3 2 2 4 2 2 3 4" xfId="19658"/>
    <cellStyle name="Nota 3 2 2 4 2 2 4" xfId="5932"/>
    <cellStyle name="Nota 3 2 2 4 2 2 4 2" xfId="23375"/>
    <cellStyle name="Nota 3 2 2 4 2 2 5" xfId="15455"/>
    <cellStyle name="Nota 3 2 2 4 2 3" xfId="1513"/>
    <cellStyle name="Nota 3 2 2 4 2 3 2" xfId="4816"/>
    <cellStyle name="Nota 3 2 2 4 2 3 2 2" xfId="9494"/>
    <cellStyle name="Nota 3 2 2 4 2 3 2 2 2" xfId="15756"/>
    <cellStyle name="Nota 3 2 2 4 2 3 2 2 2 2" xfId="29172"/>
    <cellStyle name="Nota 3 2 2 4 2 3 2 2 3" xfId="20501"/>
    <cellStyle name="Nota 3 2 2 4 2 3 2 3" xfId="11348"/>
    <cellStyle name="Nota 3 2 2 4 2 3 2 3 2" xfId="25670"/>
    <cellStyle name="Nota 3 2 2 4 2 3 2 4" xfId="15378"/>
    <cellStyle name="Nota 3 2 2 4 2 3 3" xfId="13233"/>
    <cellStyle name="Nota 3 2 2 4 2 3 3 2" xfId="27555"/>
    <cellStyle name="Nota 3 2 2 4 2 3 4" xfId="18878"/>
    <cellStyle name="Nota 3 2 2 4 2 4" xfId="5674"/>
    <cellStyle name="Nota 3 2 2 4 2 4 2" xfId="12227"/>
    <cellStyle name="Nota 3 2 2 4 2 4 2 2" xfId="26549"/>
    <cellStyle name="Nota 3 2 2 4 2 4 3" xfId="17872"/>
    <cellStyle name="Nota 3 2 2 4 2 5" xfId="4241"/>
    <cellStyle name="Nota 3 2 2 4 2 5 2" xfId="22849"/>
    <cellStyle name="Nota 3 2 2 4 2 6" xfId="14910"/>
    <cellStyle name="Nota 3 2 2 4 3" xfId="1514"/>
    <cellStyle name="Nota 3 2 2 4 3 2" xfId="1515"/>
    <cellStyle name="Nota 3 2 2 4 3 2 2" xfId="7034"/>
    <cellStyle name="Nota 3 2 2 4 3 2 2 2" xfId="13638"/>
    <cellStyle name="Nota 3 2 2 4 3 2 2 2 2" xfId="27960"/>
    <cellStyle name="Nota 3 2 2 4 3 2 2 3" xfId="19283"/>
    <cellStyle name="Nota 3 2 2 4 3 2 3" xfId="7175"/>
    <cellStyle name="Nota 3 2 2 4 3 2 3 2" xfId="9789"/>
    <cellStyle name="Nota 3 2 2 4 3 2 3 2 2" xfId="16051"/>
    <cellStyle name="Nota 3 2 2 4 3 2 3 2 2 2" xfId="29467"/>
    <cellStyle name="Nota 3 2 2 4 3 2 3 2 3" xfId="20796"/>
    <cellStyle name="Nota 3 2 2 4 3 2 3 3" xfId="13779"/>
    <cellStyle name="Nota 3 2 2 4 3 2 3 3 2" xfId="28101"/>
    <cellStyle name="Nota 3 2 2 4 3 2 3 4" xfId="19424"/>
    <cellStyle name="Nota 3 2 2 4 3 2 4" xfId="11575"/>
    <cellStyle name="Nota 3 2 2 4 3 2 4 2" xfId="25897"/>
    <cellStyle name="Nota 3 2 2 4 3 2 5" xfId="5927"/>
    <cellStyle name="Nota 3 2 2 4 3 3" xfId="1516"/>
    <cellStyle name="Nota 3 2 2 4 3 3 2" xfId="7413"/>
    <cellStyle name="Nota 3 2 2 4 3 3 2 2" xfId="10027"/>
    <cellStyle name="Nota 3 2 2 4 3 3 2 2 2" xfId="16289"/>
    <cellStyle name="Nota 3 2 2 4 3 3 2 2 2 2" xfId="29705"/>
    <cellStyle name="Nota 3 2 2 4 3 3 2 2 3" xfId="21034"/>
    <cellStyle name="Nota 3 2 2 4 3 3 2 3" xfId="14017"/>
    <cellStyle name="Nota 3 2 2 4 3 3 2 3 2" xfId="28339"/>
    <cellStyle name="Nota 3 2 2 4 3 3 2 4" xfId="19662"/>
    <cellStyle name="Nota 3 2 2 4 3 3 3" xfId="11701"/>
    <cellStyle name="Nota 3 2 2 4 3 3 3 2" xfId="26023"/>
    <cellStyle name="Nota 3 2 2 4 3 3 4" xfId="3149"/>
    <cellStyle name="Nota 3 2 2 4 3 4" xfId="4272"/>
    <cellStyle name="Nota 3 2 2 4 3 4 2" xfId="6310"/>
    <cellStyle name="Nota 3 2 2 4 3 4 2 2" xfId="23506"/>
    <cellStyle name="Nota 3 2 2 4 3 4 3" xfId="14975"/>
    <cellStyle name="Nota 3 2 2 4 3 5" xfId="4573"/>
    <cellStyle name="Nota 3 2 2 4 3 5 2" xfId="23040"/>
    <cellStyle name="Nota 3 2 2 4 3 6" xfId="17010"/>
    <cellStyle name="Nota 3 2 2 4 4" xfId="1517"/>
    <cellStyle name="Nota 3 2 2 4 4 2" xfId="6852"/>
    <cellStyle name="Nota 3 2 2 4 4 2 2" xfId="13456"/>
    <cellStyle name="Nota 3 2 2 4 4 2 2 2" xfId="27778"/>
    <cellStyle name="Nota 3 2 2 4 4 2 3" xfId="19101"/>
    <cellStyle name="Nota 3 2 2 4 4 3" xfId="7376"/>
    <cellStyle name="Nota 3 2 2 4 4 3 2" xfId="9990"/>
    <cellStyle name="Nota 3 2 2 4 4 3 2 2" xfId="16252"/>
    <cellStyle name="Nota 3 2 2 4 4 3 2 2 2" xfId="29668"/>
    <cellStyle name="Nota 3 2 2 4 4 3 2 3" xfId="20997"/>
    <cellStyle name="Nota 3 2 2 4 4 3 3" xfId="13980"/>
    <cellStyle name="Nota 3 2 2 4 4 3 3 2" xfId="28302"/>
    <cellStyle name="Nota 3 2 2 4 4 3 4" xfId="19625"/>
    <cellStyle name="Nota 3 2 2 4 4 4" xfId="2763"/>
    <cellStyle name="Nota 3 2 2 4 4 4 2" xfId="22332"/>
    <cellStyle name="Nota 3 2 2 4 4 5" xfId="15264"/>
    <cellStyle name="Nota 3 2 2 4 5" xfId="1518"/>
    <cellStyle name="Nota 3 2 2 4 5 2" xfId="7914"/>
    <cellStyle name="Nota 3 2 2 4 5 2 2" xfId="10528"/>
    <cellStyle name="Nota 3 2 2 4 5 2 2 2" xfId="16790"/>
    <cellStyle name="Nota 3 2 2 4 5 2 2 2 2" xfId="30206"/>
    <cellStyle name="Nota 3 2 2 4 5 2 2 3" xfId="21535"/>
    <cellStyle name="Nota 3 2 2 4 5 2 3" xfId="14518"/>
    <cellStyle name="Nota 3 2 2 4 5 2 3 2" xfId="28840"/>
    <cellStyle name="Nota 3 2 2 4 5 2 4" xfId="20163"/>
    <cellStyle name="Nota 3 2 2 4 5 3" xfId="12634"/>
    <cellStyle name="Nota 3 2 2 4 5 3 2" xfId="26956"/>
    <cellStyle name="Nota 3 2 2 4 5 4" xfId="18279"/>
    <cellStyle name="Nota 3 2 2 4 6" xfId="4060"/>
    <cellStyle name="Nota 3 2 2 4 6 2" xfId="5971"/>
    <cellStyle name="Nota 3 2 2 4 6 2 2" xfId="23385"/>
    <cellStyle name="Nota 3 2 2 4 6 3" xfId="15182"/>
    <cellStyle name="Nota 3 2 2 4 7" xfId="6822"/>
    <cellStyle name="Nota 3 2 2 4 7 2" xfId="23757"/>
    <cellStyle name="Nota 3 2 2 4 8" xfId="14983"/>
    <cellStyle name="Nota 3 2 2 5" xfId="1519"/>
    <cellStyle name="Nota 3 2 2 5 2" xfId="1520"/>
    <cellStyle name="Nota 3 2 2 5 2 2" xfId="1521"/>
    <cellStyle name="Nota 3 2 2 5 2 2 2" xfId="6448"/>
    <cellStyle name="Nota 3 2 2 5 2 2 2 2" xfId="13031"/>
    <cellStyle name="Nota 3 2 2 5 2 2 2 2 2" xfId="27353"/>
    <cellStyle name="Nota 3 2 2 5 2 2 2 3" xfId="18676"/>
    <cellStyle name="Nota 3 2 2 5 2 2 3" xfId="7644"/>
    <cellStyle name="Nota 3 2 2 5 2 2 3 2" xfId="10258"/>
    <cellStyle name="Nota 3 2 2 5 2 2 3 2 2" xfId="16520"/>
    <cellStyle name="Nota 3 2 2 5 2 2 3 2 2 2" xfId="29936"/>
    <cellStyle name="Nota 3 2 2 5 2 2 3 2 3" xfId="21265"/>
    <cellStyle name="Nota 3 2 2 5 2 2 3 3" xfId="14248"/>
    <cellStyle name="Nota 3 2 2 5 2 2 3 3 2" xfId="28570"/>
    <cellStyle name="Nota 3 2 2 5 2 2 3 4" xfId="19893"/>
    <cellStyle name="Nota 3 2 2 5 2 2 4" xfId="4654"/>
    <cellStyle name="Nota 3 2 2 5 2 2 4 2" xfId="23096"/>
    <cellStyle name="Nota 3 2 2 5 2 2 5" xfId="17250"/>
    <cellStyle name="Nota 3 2 2 5 2 3" xfId="1522"/>
    <cellStyle name="Nota 3 2 2 5 2 3 2" xfId="7623"/>
    <cellStyle name="Nota 3 2 2 5 2 3 2 2" xfId="10237"/>
    <cellStyle name="Nota 3 2 2 5 2 3 2 2 2" xfId="16499"/>
    <cellStyle name="Nota 3 2 2 5 2 3 2 2 2 2" xfId="29915"/>
    <cellStyle name="Nota 3 2 2 5 2 3 2 2 3" xfId="21244"/>
    <cellStyle name="Nota 3 2 2 5 2 3 2 3" xfId="14227"/>
    <cellStyle name="Nota 3 2 2 5 2 3 2 3 2" xfId="28549"/>
    <cellStyle name="Nota 3 2 2 5 2 3 2 4" xfId="19872"/>
    <cellStyle name="Nota 3 2 2 5 2 3 3" xfId="13398"/>
    <cellStyle name="Nota 3 2 2 5 2 3 3 2" xfId="27720"/>
    <cellStyle name="Nota 3 2 2 5 2 3 4" xfId="19043"/>
    <cellStyle name="Nota 3 2 2 5 2 4" xfId="5862"/>
    <cellStyle name="Nota 3 2 2 5 2 4 2" xfId="12415"/>
    <cellStyle name="Nota 3 2 2 5 2 4 2 2" xfId="26737"/>
    <cellStyle name="Nota 3 2 2 5 2 4 3" xfId="18060"/>
    <cellStyle name="Nota 3 2 2 5 2 5" xfId="4790"/>
    <cellStyle name="Nota 3 2 2 5 2 5 2" xfId="23189"/>
    <cellStyle name="Nota 3 2 2 5 2 6" xfId="14767"/>
    <cellStyle name="Nota 3 2 2 5 3" xfId="1523"/>
    <cellStyle name="Nota 3 2 2 5 3 2" xfId="6876"/>
    <cellStyle name="Nota 3 2 2 5 3 2 2" xfId="13480"/>
    <cellStyle name="Nota 3 2 2 5 3 2 2 2" xfId="27802"/>
    <cellStyle name="Nota 3 2 2 5 3 2 3" xfId="19125"/>
    <cellStyle name="Nota 3 2 2 5 3 3" xfId="7886"/>
    <cellStyle name="Nota 3 2 2 5 3 3 2" xfId="10500"/>
    <cellStyle name="Nota 3 2 2 5 3 3 2 2" xfId="16762"/>
    <cellStyle name="Nota 3 2 2 5 3 3 2 2 2" xfId="30178"/>
    <cellStyle name="Nota 3 2 2 5 3 3 2 3" xfId="21507"/>
    <cellStyle name="Nota 3 2 2 5 3 3 3" xfId="14490"/>
    <cellStyle name="Nota 3 2 2 5 3 3 3 2" xfId="28812"/>
    <cellStyle name="Nota 3 2 2 5 3 3 4" xfId="20135"/>
    <cellStyle name="Nota 3 2 2 5 3 4" xfId="11345"/>
    <cellStyle name="Nota 3 2 2 5 3 4 2" xfId="25667"/>
    <cellStyle name="Nota 3 2 2 5 3 5" xfId="17026"/>
    <cellStyle name="Nota 3 2 2 5 4" xfId="1524"/>
    <cellStyle name="Nota 3 2 2 5 4 2" xfId="8016"/>
    <cellStyle name="Nota 3 2 2 5 4 2 2" xfId="10630"/>
    <cellStyle name="Nota 3 2 2 5 4 2 2 2" xfId="16892"/>
    <cellStyle name="Nota 3 2 2 5 4 2 2 2 2" xfId="30308"/>
    <cellStyle name="Nota 3 2 2 5 4 2 2 3" xfId="21637"/>
    <cellStyle name="Nota 3 2 2 5 4 2 3" xfId="14620"/>
    <cellStyle name="Nota 3 2 2 5 4 2 3 2" xfId="28942"/>
    <cellStyle name="Nota 3 2 2 5 4 2 4" xfId="20265"/>
    <cellStyle name="Nota 3 2 2 5 4 3" xfId="12942"/>
    <cellStyle name="Nota 3 2 2 5 4 3 2" xfId="27264"/>
    <cellStyle name="Nota 3 2 2 5 4 4" xfId="18587"/>
    <cellStyle name="Nota 3 2 2 5 5" xfId="5595"/>
    <cellStyle name="Nota 3 2 2 5 5 2" xfId="12147"/>
    <cellStyle name="Nota 3 2 2 5 5 2 2" xfId="26469"/>
    <cellStyle name="Nota 3 2 2 5 5 3" xfId="17792"/>
    <cellStyle name="Nota 3 2 2 5 6" xfId="4199"/>
    <cellStyle name="Nota 3 2 2 5 6 2" xfId="22816"/>
    <cellStyle name="Nota 3 2 2 5 7" xfId="14885"/>
    <cellStyle name="Nota 3 2 2 6" xfId="1525"/>
    <cellStyle name="Nota 3 2 2 6 2" xfId="1526"/>
    <cellStyle name="Nota 3 2 2 6 2 2" xfId="6216"/>
    <cellStyle name="Nota 3 2 2 6 2 2 2" xfId="12790"/>
    <cellStyle name="Nota 3 2 2 6 2 2 2 2" xfId="27112"/>
    <cellStyle name="Nota 3 2 2 6 2 2 3" xfId="18435"/>
    <cellStyle name="Nota 3 2 2 6 2 3" xfId="7760"/>
    <cellStyle name="Nota 3 2 2 6 2 3 2" xfId="10374"/>
    <cellStyle name="Nota 3 2 2 6 2 3 2 2" xfId="16636"/>
    <cellStyle name="Nota 3 2 2 6 2 3 2 2 2" xfId="30052"/>
    <cellStyle name="Nota 3 2 2 6 2 3 2 3" xfId="21381"/>
    <cellStyle name="Nota 3 2 2 6 2 3 3" xfId="14364"/>
    <cellStyle name="Nota 3 2 2 6 2 3 3 2" xfId="28686"/>
    <cellStyle name="Nota 3 2 2 6 2 3 4" xfId="20009"/>
    <cellStyle name="Nota 3 2 2 6 2 4" xfId="6263"/>
    <cellStyle name="Nota 3 2 2 6 2 4 2" xfId="23481"/>
    <cellStyle name="Nota 3 2 2 6 2 5" xfId="17020"/>
    <cellStyle name="Nota 3 2 2 6 3" xfId="1527"/>
    <cellStyle name="Nota 3 2 2 6 3 2" xfId="4942"/>
    <cellStyle name="Nota 3 2 2 6 3 2 2" xfId="9520"/>
    <cellStyle name="Nota 3 2 2 6 3 2 2 2" xfId="15782"/>
    <cellStyle name="Nota 3 2 2 6 3 2 2 2 2" xfId="29198"/>
    <cellStyle name="Nota 3 2 2 6 3 2 2 3" xfId="20527"/>
    <cellStyle name="Nota 3 2 2 6 3 2 3" xfId="11481"/>
    <cellStyle name="Nota 3 2 2 6 3 2 3 2" xfId="25803"/>
    <cellStyle name="Nota 3 2 2 6 3 2 4" xfId="15347"/>
    <cellStyle name="Nota 3 2 2 6 3 3" xfId="12461"/>
    <cellStyle name="Nota 3 2 2 6 3 3 2" xfId="26783"/>
    <cellStyle name="Nota 3 2 2 6 3 4" xfId="18106"/>
    <cellStyle name="Nota 3 2 2 6 4" xfId="5065"/>
    <cellStyle name="Nota 3 2 2 6 4 2" xfId="11612"/>
    <cellStyle name="Nota 3 2 2 6 4 2 2" xfId="25934"/>
    <cellStyle name="Nota 3 2 2 6 4 3" xfId="15170"/>
    <cellStyle name="Nota 3 2 2 6 5" xfId="3778"/>
    <cellStyle name="Nota 3 2 2 6 5 2" xfId="22573"/>
    <cellStyle name="Nota 3 2 2 6 6" xfId="15256"/>
    <cellStyle name="Nota 3 2 2 7" xfId="1528"/>
    <cellStyle name="Nota 3 2 2 7 2" xfId="5891"/>
    <cellStyle name="Nota 3 2 2 7 2 2" xfId="12444"/>
    <cellStyle name="Nota 3 2 2 7 2 2 2" xfId="26766"/>
    <cellStyle name="Nota 3 2 2 7 2 3" xfId="18089"/>
    <cellStyle name="Nota 3 2 2 7 3" xfId="3868"/>
    <cellStyle name="Nota 3 2 2 7 3 2" xfId="9387"/>
    <cellStyle name="Nota 3 2 2 7 3 2 2" xfId="15649"/>
    <cellStyle name="Nota 3 2 2 7 3 2 2 2" xfId="29065"/>
    <cellStyle name="Nota 3 2 2 7 3 2 3" xfId="20394"/>
    <cellStyle name="Nota 3 2 2 7 3 3" xfId="4739"/>
    <cellStyle name="Nota 3 2 2 7 3 3 2" xfId="23162"/>
    <cellStyle name="Nota 3 2 2 7 3 4" xfId="3854"/>
    <cellStyle name="Nota 3 2 2 7 4" xfId="4238"/>
    <cellStyle name="Nota 3 2 2 7 4 2" xfId="22848"/>
    <cellStyle name="Nota 3 2 2 7 5" xfId="15512"/>
    <cellStyle name="Nota 3 2 2 8" xfId="1529"/>
    <cellStyle name="Nota 3 2 2 8 2" xfId="7680"/>
    <cellStyle name="Nota 3 2 2 8 2 2" xfId="10294"/>
    <cellStyle name="Nota 3 2 2 8 2 2 2" xfId="16556"/>
    <cellStyle name="Nota 3 2 2 8 2 2 2 2" xfId="29972"/>
    <cellStyle name="Nota 3 2 2 8 2 2 3" xfId="21301"/>
    <cellStyle name="Nota 3 2 2 8 2 3" xfId="14284"/>
    <cellStyle name="Nota 3 2 2 8 2 3 2" xfId="28606"/>
    <cellStyle name="Nota 3 2 2 8 2 4" xfId="19929"/>
    <cellStyle name="Nota 3 2 2 8 3" xfId="12762"/>
    <cellStyle name="Nota 3 2 2 8 3 2" xfId="27084"/>
    <cellStyle name="Nota 3 2 2 8 4" xfId="18407"/>
    <cellStyle name="Nota 3 2 2 9" xfId="5473"/>
    <cellStyle name="Nota 3 2 2 9 2" xfId="12024"/>
    <cellStyle name="Nota 3 2 2 9 2 2" xfId="26346"/>
    <cellStyle name="Nota 3 2 2 9 3" xfId="17669"/>
    <cellStyle name="Nota 3 2 3" xfId="1530"/>
    <cellStyle name="Nota 3 2 3 2" xfId="1531"/>
    <cellStyle name="Nota 3 2 3 2 2" xfId="1532"/>
    <cellStyle name="Nota 3 2 3 2 2 2" xfId="6080"/>
    <cellStyle name="Nota 3 2 3 2 2 2 2" xfId="12646"/>
    <cellStyle name="Nota 3 2 3 2 2 2 2 2" xfId="26968"/>
    <cellStyle name="Nota 3 2 3 2 2 2 3" xfId="18291"/>
    <cellStyle name="Nota 3 2 3 2 2 3" xfId="8009"/>
    <cellStyle name="Nota 3 2 3 2 2 3 2" xfId="10623"/>
    <cellStyle name="Nota 3 2 3 2 2 3 2 2" xfId="16885"/>
    <cellStyle name="Nota 3 2 3 2 2 3 2 2 2" xfId="30301"/>
    <cellStyle name="Nota 3 2 3 2 2 3 2 3" xfId="21630"/>
    <cellStyle name="Nota 3 2 3 2 2 3 3" xfId="14613"/>
    <cellStyle name="Nota 3 2 3 2 2 3 3 2" xfId="28935"/>
    <cellStyle name="Nota 3 2 3 2 2 3 4" xfId="20258"/>
    <cellStyle name="Nota 3 2 3 2 2 4" xfId="4236"/>
    <cellStyle name="Nota 3 2 3 2 2 4 2" xfId="22846"/>
    <cellStyle name="Nota 3 2 3 2 2 5" xfId="15380"/>
    <cellStyle name="Nota 3 2 3 2 3" xfId="1533"/>
    <cellStyle name="Nota 3 2 3 2 3 2" xfId="7593"/>
    <cellStyle name="Nota 3 2 3 2 3 2 2" xfId="10207"/>
    <cellStyle name="Nota 3 2 3 2 3 2 2 2" xfId="16469"/>
    <cellStyle name="Nota 3 2 3 2 3 2 2 2 2" xfId="29885"/>
    <cellStyle name="Nota 3 2 3 2 3 2 2 3" xfId="21214"/>
    <cellStyle name="Nota 3 2 3 2 3 2 3" xfId="14197"/>
    <cellStyle name="Nota 3 2 3 2 3 2 3 2" xfId="28519"/>
    <cellStyle name="Nota 3 2 3 2 3 2 4" xfId="19842"/>
    <cellStyle name="Nota 3 2 3 2 3 3" xfId="13308"/>
    <cellStyle name="Nota 3 2 3 2 3 3 2" xfId="27630"/>
    <cellStyle name="Nota 3 2 3 2 3 4" xfId="18953"/>
    <cellStyle name="Nota 3 2 3 2 4" xfId="5758"/>
    <cellStyle name="Nota 3 2 3 2 4 2" xfId="12311"/>
    <cellStyle name="Nota 3 2 3 2 4 2 2" xfId="26633"/>
    <cellStyle name="Nota 3 2 3 2 4 3" xfId="17956"/>
    <cellStyle name="Nota 3 2 3 2 5" xfId="4597"/>
    <cellStyle name="Nota 3 2 3 2 5 2" xfId="23058"/>
    <cellStyle name="Nota 3 2 3 2 6" xfId="15042"/>
    <cellStyle name="Nota 3 2 3 3" xfId="1534"/>
    <cellStyle name="Nota 3 2 3 3 2" xfId="1535"/>
    <cellStyle name="Nota 3 2 3 3 2 2" xfId="6101"/>
    <cellStyle name="Nota 3 2 3 3 2 2 2" xfId="12668"/>
    <cellStyle name="Nota 3 2 3 3 2 2 2 2" xfId="26990"/>
    <cellStyle name="Nota 3 2 3 3 2 2 3" xfId="18313"/>
    <cellStyle name="Nota 3 2 3 3 2 3" xfId="7961"/>
    <cellStyle name="Nota 3 2 3 3 2 3 2" xfId="10575"/>
    <cellStyle name="Nota 3 2 3 3 2 3 2 2" xfId="16837"/>
    <cellStyle name="Nota 3 2 3 3 2 3 2 2 2" xfId="30253"/>
    <cellStyle name="Nota 3 2 3 3 2 3 2 3" xfId="21582"/>
    <cellStyle name="Nota 3 2 3 3 2 3 3" xfId="14565"/>
    <cellStyle name="Nota 3 2 3 3 2 3 3 2" xfId="28887"/>
    <cellStyle name="Nota 3 2 3 3 2 3 4" xfId="20210"/>
    <cellStyle name="Nota 3 2 3 3 2 4" xfId="3469"/>
    <cellStyle name="Nota 3 2 3 3 2 4 2" xfId="22471"/>
    <cellStyle name="Nota 3 2 3 3 2 5" xfId="14919"/>
    <cellStyle name="Nota 3 2 3 3 3" xfId="1536"/>
    <cellStyle name="Nota 3 2 3 3 3 2" xfId="4769"/>
    <cellStyle name="Nota 3 2 3 3 3 2 2" xfId="9481"/>
    <cellStyle name="Nota 3 2 3 3 3 2 2 2" xfId="15743"/>
    <cellStyle name="Nota 3 2 3 3 3 2 2 2 2" xfId="29159"/>
    <cellStyle name="Nota 3 2 3 3 3 2 2 3" xfId="20488"/>
    <cellStyle name="Nota 3 2 3 3 3 2 3" xfId="2770"/>
    <cellStyle name="Nota 3 2 3 3 3 2 3 2" xfId="22339"/>
    <cellStyle name="Nota 3 2 3 3 3 2 4" xfId="6644"/>
    <cellStyle name="Nota 3 2 3 3 3 3" xfId="11992"/>
    <cellStyle name="Nota 3 2 3 3 3 3 2" xfId="26314"/>
    <cellStyle name="Nota 3 2 3 3 3 4" xfId="17637"/>
    <cellStyle name="Nota 3 2 3 3 4" xfId="4937"/>
    <cellStyle name="Nota 3 2 3 3 4 2" xfId="11475"/>
    <cellStyle name="Nota 3 2 3 3 4 2 2" xfId="25797"/>
    <cellStyle name="Nota 3 2 3 3 4 3" xfId="16956"/>
    <cellStyle name="Nota 3 2 3 3 5" xfId="4115"/>
    <cellStyle name="Nota 3 2 3 3 5 2" xfId="22761"/>
    <cellStyle name="Nota 3 2 3 3 6" xfId="6315"/>
    <cellStyle name="Nota 3 2 3 4" xfId="1537"/>
    <cellStyle name="Nota 3 2 3 4 2" xfId="6066"/>
    <cellStyle name="Nota 3 2 3 4 2 2" xfId="12632"/>
    <cellStyle name="Nota 3 2 3 4 2 2 2" xfId="26954"/>
    <cellStyle name="Nota 3 2 3 4 2 3" xfId="18277"/>
    <cellStyle name="Nota 3 2 3 4 3" xfId="7279"/>
    <cellStyle name="Nota 3 2 3 4 3 2" xfId="9893"/>
    <cellStyle name="Nota 3 2 3 4 3 2 2" xfId="16155"/>
    <cellStyle name="Nota 3 2 3 4 3 2 2 2" xfId="29571"/>
    <cellStyle name="Nota 3 2 3 4 3 2 3" xfId="20900"/>
    <cellStyle name="Nota 3 2 3 4 3 3" xfId="13883"/>
    <cellStyle name="Nota 3 2 3 4 3 3 2" xfId="28205"/>
    <cellStyle name="Nota 3 2 3 4 3 4" xfId="19528"/>
    <cellStyle name="Nota 3 2 3 4 4" xfId="4204"/>
    <cellStyle name="Nota 3 2 3 4 4 2" xfId="22819"/>
    <cellStyle name="Nota 3 2 3 4 5" xfId="14779"/>
    <cellStyle name="Nota 3 2 3 5" xfId="1538"/>
    <cellStyle name="Nota 3 2 3 5 2" xfId="7847"/>
    <cellStyle name="Nota 3 2 3 5 2 2" xfId="10461"/>
    <cellStyle name="Nota 3 2 3 5 2 2 2" xfId="16723"/>
    <cellStyle name="Nota 3 2 3 5 2 2 2 2" xfId="30139"/>
    <cellStyle name="Nota 3 2 3 5 2 2 3" xfId="21468"/>
    <cellStyle name="Nota 3 2 3 5 2 3" xfId="14451"/>
    <cellStyle name="Nota 3 2 3 5 2 3 2" xfId="28773"/>
    <cellStyle name="Nota 3 2 3 5 2 4" xfId="20096"/>
    <cellStyle name="Nota 3 2 3 5 3" xfId="12884"/>
    <cellStyle name="Nota 3 2 3 5 3 2" xfId="27206"/>
    <cellStyle name="Nota 3 2 3 5 4" xfId="18529"/>
    <cellStyle name="Nota 3 2 3 6" xfId="5502"/>
    <cellStyle name="Nota 3 2 3 6 2" xfId="12053"/>
    <cellStyle name="Nota 3 2 3 6 2 2" xfId="26375"/>
    <cellStyle name="Nota 3 2 3 6 3" xfId="17698"/>
    <cellStyle name="Nota 3 2 3 7" xfId="3765"/>
    <cellStyle name="Nota 3 2 3 7 2" xfId="22570"/>
    <cellStyle name="Nota 3 2 3 8" xfId="17070"/>
    <cellStyle name="Nota 3 2 4" xfId="1539"/>
    <cellStyle name="Nota 3 2 4 2" xfId="1540"/>
    <cellStyle name="Nota 3 2 4 2 2" xfId="1541"/>
    <cellStyle name="Nota 3 2 4 2 2 2" xfId="6406"/>
    <cellStyle name="Nota 3 2 4 2 2 2 2" xfId="12989"/>
    <cellStyle name="Nota 3 2 4 2 2 2 2 2" xfId="27311"/>
    <cellStyle name="Nota 3 2 4 2 2 2 3" xfId="18634"/>
    <cellStyle name="Nota 3 2 4 2 2 3" xfId="7580"/>
    <cellStyle name="Nota 3 2 4 2 2 3 2" xfId="10194"/>
    <cellStyle name="Nota 3 2 4 2 2 3 2 2" xfId="16456"/>
    <cellStyle name="Nota 3 2 4 2 2 3 2 2 2" xfId="29872"/>
    <cellStyle name="Nota 3 2 4 2 2 3 2 3" xfId="21201"/>
    <cellStyle name="Nota 3 2 4 2 2 3 3" xfId="14184"/>
    <cellStyle name="Nota 3 2 4 2 2 3 3 2" xfId="28506"/>
    <cellStyle name="Nota 3 2 4 2 2 3 4" xfId="19829"/>
    <cellStyle name="Nota 3 2 4 2 2 4" xfId="6093"/>
    <cellStyle name="Nota 3 2 4 2 2 4 2" xfId="23412"/>
    <cellStyle name="Nota 3 2 4 2 2 5" xfId="17334"/>
    <cellStyle name="Nota 3 2 4 2 3" xfId="1542"/>
    <cellStyle name="Nota 3 2 4 2 3 2" xfId="5330"/>
    <cellStyle name="Nota 3 2 4 2 3 2 2" xfId="9639"/>
    <cellStyle name="Nota 3 2 4 2 3 2 2 2" xfId="15901"/>
    <cellStyle name="Nota 3 2 4 2 3 2 2 2 2" xfId="29317"/>
    <cellStyle name="Nota 3 2 4 2 3 2 2 3" xfId="20646"/>
    <cellStyle name="Nota 3 2 4 2 3 2 3" xfId="11880"/>
    <cellStyle name="Nota 3 2 4 2 3 2 3 2" xfId="26202"/>
    <cellStyle name="Nota 3 2 4 2 3 2 4" xfId="17525"/>
    <cellStyle name="Nota 3 2 4 2 3 3" xfId="13344"/>
    <cellStyle name="Nota 3 2 4 2 3 3 2" xfId="27666"/>
    <cellStyle name="Nota 3 2 4 2 3 4" xfId="18989"/>
    <cellStyle name="Nota 3 2 4 2 4" xfId="5794"/>
    <cellStyle name="Nota 3 2 4 2 4 2" xfId="12347"/>
    <cellStyle name="Nota 3 2 4 2 4 2 2" xfId="26669"/>
    <cellStyle name="Nota 3 2 4 2 4 3" xfId="17992"/>
    <cellStyle name="Nota 3 2 4 2 5" xfId="3154"/>
    <cellStyle name="Nota 3 2 4 2 5 2" xfId="22422"/>
    <cellStyle name="Nota 3 2 4 2 6" xfId="6265"/>
    <cellStyle name="Nota 3 2 4 3" xfId="1543"/>
    <cellStyle name="Nota 3 2 4 3 2" xfId="1544"/>
    <cellStyle name="Nota 3 2 4 3 2 2" xfId="6912"/>
    <cellStyle name="Nota 3 2 4 3 2 2 2" xfId="13516"/>
    <cellStyle name="Nota 3 2 4 3 2 2 2 2" xfId="27838"/>
    <cellStyle name="Nota 3 2 4 3 2 2 3" xfId="19161"/>
    <cellStyle name="Nota 3 2 4 3 2 3" xfId="7152"/>
    <cellStyle name="Nota 3 2 4 3 2 3 2" xfId="9766"/>
    <cellStyle name="Nota 3 2 4 3 2 3 2 2" xfId="16028"/>
    <cellStyle name="Nota 3 2 4 3 2 3 2 2 2" xfId="29444"/>
    <cellStyle name="Nota 3 2 4 3 2 3 2 3" xfId="20773"/>
    <cellStyle name="Nota 3 2 4 3 2 3 3" xfId="13756"/>
    <cellStyle name="Nota 3 2 4 3 2 3 3 2" xfId="28078"/>
    <cellStyle name="Nota 3 2 4 3 2 3 4" xfId="19401"/>
    <cellStyle name="Nota 3 2 4 3 2 4" xfId="11398"/>
    <cellStyle name="Nota 3 2 4 3 2 4 2" xfId="25720"/>
    <cellStyle name="Nota 3 2 4 3 2 5" xfId="17121"/>
    <cellStyle name="Nota 3 2 4 3 3" xfId="1545"/>
    <cellStyle name="Nota 3 2 4 3 3 2" xfId="3725"/>
    <cellStyle name="Nota 3 2 4 3 3 2 2" xfId="9364"/>
    <cellStyle name="Nota 3 2 4 3 3 2 2 2" xfId="15626"/>
    <cellStyle name="Nota 3 2 4 3 3 2 2 2 2" xfId="29042"/>
    <cellStyle name="Nota 3 2 4 3 3 2 2 3" xfId="20371"/>
    <cellStyle name="Nota 3 2 4 3 3 2 3" xfId="6037"/>
    <cellStyle name="Nota 3 2 4 3 3 2 3 2" xfId="23396"/>
    <cellStyle name="Nota 3 2 4 3 3 2 4" xfId="17312"/>
    <cellStyle name="Nota 3 2 4 3 3 3" xfId="13399"/>
    <cellStyle name="Nota 3 2 4 3 3 3 2" xfId="27721"/>
    <cellStyle name="Nota 3 2 4 3 3 4" xfId="19044"/>
    <cellStyle name="Nota 3 2 4 3 4" xfId="5863"/>
    <cellStyle name="Nota 3 2 4 3 4 2" xfId="12416"/>
    <cellStyle name="Nota 3 2 4 3 4 2 2" xfId="26738"/>
    <cellStyle name="Nota 3 2 4 3 4 3" xfId="18061"/>
    <cellStyle name="Nota 3 2 4 3 5" xfId="4572"/>
    <cellStyle name="Nota 3 2 4 3 5 2" xfId="23039"/>
    <cellStyle name="Nota 3 2 4 3 6" xfId="15439"/>
    <cellStyle name="Nota 3 2 4 4" xfId="1546"/>
    <cellStyle name="Nota 3 2 4 4 2" xfId="6928"/>
    <cellStyle name="Nota 3 2 4 4 2 2" xfId="13532"/>
    <cellStyle name="Nota 3 2 4 4 2 2 2" xfId="27854"/>
    <cellStyle name="Nota 3 2 4 4 2 3" xfId="19177"/>
    <cellStyle name="Nota 3 2 4 4 3" xfId="4921"/>
    <cellStyle name="Nota 3 2 4 4 3 2" xfId="9515"/>
    <cellStyle name="Nota 3 2 4 4 3 2 2" xfId="15777"/>
    <cellStyle name="Nota 3 2 4 4 3 2 2 2" xfId="29193"/>
    <cellStyle name="Nota 3 2 4 4 3 2 3" xfId="20522"/>
    <cellStyle name="Nota 3 2 4 4 3 3" xfId="11458"/>
    <cellStyle name="Nota 3 2 4 4 3 3 2" xfId="25780"/>
    <cellStyle name="Nota 3 2 4 4 3 4" xfId="14791"/>
    <cellStyle name="Nota 3 2 4 4 4" xfId="11421"/>
    <cellStyle name="Nota 3 2 4 4 4 2" xfId="25743"/>
    <cellStyle name="Nota 3 2 4 4 5" xfId="17163"/>
    <cellStyle name="Nota 3 2 4 5" xfId="1547"/>
    <cellStyle name="Nota 3 2 4 5 2" xfId="7066"/>
    <cellStyle name="Nota 3 2 4 5 2 2" xfId="9680"/>
    <cellStyle name="Nota 3 2 4 5 2 2 2" xfId="15942"/>
    <cellStyle name="Nota 3 2 4 5 2 2 2 2" xfId="29358"/>
    <cellStyle name="Nota 3 2 4 5 2 2 3" xfId="20687"/>
    <cellStyle name="Nota 3 2 4 5 2 3" xfId="13670"/>
    <cellStyle name="Nota 3 2 4 5 2 3 2" xfId="27992"/>
    <cellStyle name="Nota 3 2 4 5 2 4" xfId="19315"/>
    <cellStyle name="Nota 3 2 4 5 3" xfId="12920"/>
    <cellStyle name="Nota 3 2 4 5 3 2" xfId="27242"/>
    <cellStyle name="Nota 3 2 4 5 4" xfId="18565"/>
    <cellStyle name="Nota 3 2 4 6" xfId="5544"/>
    <cellStyle name="Nota 3 2 4 6 2" xfId="12095"/>
    <cellStyle name="Nota 3 2 4 6 2 2" xfId="26417"/>
    <cellStyle name="Nota 3 2 4 6 3" xfId="17740"/>
    <cellStyle name="Nota 3 2 4 7" xfId="4930"/>
    <cellStyle name="Nota 3 2 4 7 2" xfId="23267"/>
    <cellStyle name="Nota 3 2 4 8" xfId="15519"/>
    <cellStyle name="Nota 3 2 5" xfId="1548"/>
    <cellStyle name="Nota 3 2 5 2" xfId="1549"/>
    <cellStyle name="Nota 3 2 5 2 2" xfId="1550"/>
    <cellStyle name="Nota 3 2 5 2 2 2" xfId="6090"/>
    <cellStyle name="Nota 3 2 5 2 2 2 2" xfId="12657"/>
    <cellStyle name="Nota 3 2 5 2 2 2 2 2" xfId="26979"/>
    <cellStyle name="Nota 3 2 5 2 2 2 3" xfId="18302"/>
    <cellStyle name="Nota 3 2 5 2 2 3" xfId="7079"/>
    <cellStyle name="Nota 3 2 5 2 2 3 2" xfId="9693"/>
    <cellStyle name="Nota 3 2 5 2 2 3 2 2" xfId="15955"/>
    <cellStyle name="Nota 3 2 5 2 2 3 2 2 2" xfId="29371"/>
    <cellStyle name="Nota 3 2 5 2 2 3 2 3" xfId="20700"/>
    <cellStyle name="Nota 3 2 5 2 2 3 3" xfId="13683"/>
    <cellStyle name="Nota 3 2 5 2 2 3 3 2" xfId="28005"/>
    <cellStyle name="Nota 3 2 5 2 2 3 4" xfId="19328"/>
    <cellStyle name="Nota 3 2 5 2 2 4" xfId="6748"/>
    <cellStyle name="Nota 3 2 5 2 2 4 2" xfId="23696"/>
    <cellStyle name="Nota 3 2 5 2 2 5" xfId="15511"/>
    <cellStyle name="Nota 3 2 5 2 3" xfId="1551"/>
    <cellStyle name="Nota 3 2 5 2 3 2" xfId="7093"/>
    <cellStyle name="Nota 3 2 5 2 3 2 2" xfId="9707"/>
    <cellStyle name="Nota 3 2 5 2 3 2 2 2" xfId="15969"/>
    <cellStyle name="Nota 3 2 5 2 3 2 2 2 2" xfId="29385"/>
    <cellStyle name="Nota 3 2 5 2 3 2 2 3" xfId="20714"/>
    <cellStyle name="Nota 3 2 5 2 3 2 3" xfId="13697"/>
    <cellStyle name="Nota 3 2 5 2 3 2 3 2" xfId="28019"/>
    <cellStyle name="Nota 3 2 5 2 3 2 4" xfId="19342"/>
    <cellStyle name="Nota 3 2 5 2 3 3" xfId="13204"/>
    <cellStyle name="Nota 3 2 5 2 3 3 2" xfId="27526"/>
    <cellStyle name="Nota 3 2 5 2 3 4" xfId="18849"/>
    <cellStyle name="Nota 3 2 5 2 4" xfId="5643"/>
    <cellStyle name="Nota 3 2 5 2 4 2" xfId="12196"/>
    <cellStyle name="Nota 3 2 5 2 4 2 2" xfId="26518"/>
    <cellStyle name="Nota 3 2 5 2 4 3" xfId="17841"/>
    <cellStyle name="Nota 3 2 5 2 5" xfId="3685"/>
    <cellStyle name="Nota 3 2 5 2 5 2" xfId="22527"/>
    <cellStyle name="Nota 3 2 5 2 6" xfId="15371"/>
    <cellStyle name="Nota 3 2 5 3" xfId="1552"/>
    <cellStyle name="Nota 3 2 5 3 2" xfId="1553"/>
    <cellStyle name="Nota 3 2 5 3 2 2" xfId="6447"/>
    <cellStyle name="Nota 3 2 5 3 2 2 2" xfId="13030"/>
    <cellStyle name="Nota 3 2 5 3 2 2 2 2" xfId="27352"/>
    <cellStyle name="Nota 3 2 5 3 2 2 3" xfId="18675"/>
    <cellStyle name="Nota 3 2 5 3 2 3" xfId="7746"/>
    <cellStyle name="Nota 3 2 5 3 2 3 2" xfId="10360"/>
    <cellStyle name="Nota 3 2 5 3 2 3 2 2" xfId="16622"/>
    <cellStyle name="Nota 3 2 5 3 2 3 2 2 2" xfId="30038"/>
    <cellStyle name="Nota 3 2 5 3 2 3 2 3" xfId="21367"/>
    <cellStyle name="Nota 3 2 5 3 2 3 3" xfId="14350"/>
    <cellStyle name="Nota 3 2 5 3 2 3 3 2" xfId="28672"/>
    <cellStyle name="Nota 3 2 5 3 2 3 4" xfId="19995"/>
    <cellStyle name="Nota 3 2 5 3 2 4" xfId="6737"/>
    <cellStyle name="Nota 3 2 5 3 2 4 2" xfId="23688"/>
    <cellStyle name="Nota 3 2 5 3 2 5" xfId="14778"/>
    <cellStyle name="Nota 3 2 5 3 3" xfId="1554"/>
    <cellStyle name="Nota 3 2 5 3 3 2" xfId="7714"/>
    <cellStyle name="Nota 3 2 5 3 3 2 2" xfId="10328"/>
    <cellStyle name="Nota 3 2 5 3 3 2 2 2" xfId="16590"/>
    <cellStyle name="Nota 3 2 5 3 3 2 2 2 2" xfId="30006"/>
    <cellStyle name="Nota 3 2 5 3 3 2 2 3" xfId="21335"/>
    <cellStyle name="Nota 3 2 5 3 3 2 3" xfId="14318"/>
    <cellStyle name="Nota 3 2 5 3 3 2 3 2" xfId="28640"/>
    <cellStyle name="Nota 3 2 5 3 3 2 4" xfId="19963"/>
    <cellStyle name="Nota 3 2 5 3 3 3" xfId="12698"/>
    <cellStyle name="Nota 3 2 5 3 3 3 2" xfId="27020"/>
    <cellStyle name="Nota 3 2 5 3 3 4" xfId="18343"/>
    <cellStyle name="Nota 3 2 5 3 4" xfId="3983"/>
    <cellStyle name="Nota 3 2 5 3 4 2" xfId="3026"/>
    <cellStyle name="Nota 3 2 5 3 4 2 2" xfId="22414"/>
    <cellStyle name="Nota 3 2 5 3 4 3" xfId="17248"/>
    <cellStyle name="Nota 3 2 5 3 5" xfId="6729"/>
    <cellStyle name="Nota 3 2 5 3 5 2" xfId="23682"/>
    <cellStyle name="Nota 3 2 5 3 6" xfId="15019"/>
    <cellStyle name="Nota 3 2 5 4" xfId="1555"/>
    <cellStyle name="Nota 3 2 5 4 2" xfId="5433"/>
    <cellStyle name="Nota 3 2 5 4 2 2" xfId="11984"/>
    <cellStyle name="Nota 3 2 5 4 2 2 2" xfId="26306"/>
    <cellStyle name="Nota 3 2 5 4 2 3" xfId="17629"/>
    <cellStyle name="Nota 3 2 5 4 3" xfId="7546"/>
    <cellStyle name="Nota 3 2 5 4 3 2" xfId="10160"/>
    <cellStyle name="Nota 3 2 5 4 3 2 2" xfId="16422"/>
    <cellStyle name="Nota 3 2 5 4 3 2 2 2" xfId="29838"/>
    <cellStyle name="Nota 3 2 5 4 3 2 3" xfId="21167"/>
    <cellStyle name="Nota 3 2 5 4 3 3" xfId="14150"/>
    <cellStyle name="Nota 3 2 5 4 3 3 2" xfId="28472"/>
    <cellStyle name="Nota 3 2 5 4 3 4" xfId="19795"/>
    <cellStyle name="Nota 3 2 5 4 4" xfId="4725"/>
    <cellStyle name="Nota 3 2 5 4 4 2" xfId="23152"/>
    <cellStyle name="Nota 3 2 5 4 5" xfId="15521"/>
    <cellStyle name="Nota 3 2 5 5" xfId="1556"/>
    <cellStyle name="Nota 3 2 5 5 2" xfId="4023"/>
    <cellStyle name="Nota 3 2 5 5 2 2" xfId="9413"/>
    <cellStyle name="Nota 3 2 5 5 2 2 2" xfId="15675"/>
    <cellStyle name="Nota 3 2 5 5 2 2 2 2" xfId="29091"/>
    <cellStyle name="Nota 3 2 5 5 2 2 3" xfId="20420"/>
    <cellStyle name="Nota 3 2 5 5 2 3" xfId="6264"/>
    <cellStyle name="Nota 3 2 5 5 2 3 2" xfId="23482"/>
    <cellStyle name="Nota 3 2 5 5 2 4" xfId="14997"/>
    <cellStyle name="Nota 3 2 5 5 3" xfId="12509"/>
    <cellStyle name="Nota 3 2 5 5 3 2" xfId="26831"/>
    <cellStyle name="Nota 3 2 5 5 4" xfId="18154"/>
    <cellStyle name="Nota 3 2 5 6" xfId="5219"/>
    <cellStyle name="Nota 3 2 5 6 2" xfId="11768"/>
    <cellStyle name="Nota 3 2 5 6 2 2" xfId="26090"/>
    <cellStyle name="Nota 3 2 5 6 3" xfId="17413"/>
    <cellStyle name="Nota 3 2 5 7" xfId="6161"/>
    <cellStyle name="Nota 3 2 5 7 2" xfId="23436"/>
    <cellStyle name="Nota 3 2 5 8" xfId="15105"/>
    <cellStyle name="Nota 3 2 6" xfId="1557"/>
    <cellStyle name="Nota 3 2 6 2" xfId="1558"/>
    <cellStyle name="Nota 3 2 6 2 2" xfId="1559"/>
    <cellStyle name="Nota 3 2 6 2 2 2" xfId="6980"/>
    <cellStyle name="Nota 3 2 6 2 2 2 2" xfId="13584"/>
    <cellStyle name="Nota 3 2 6 2 2 2 2 2" xfId="27906"/>
    <cellStyle name="Nota 3 2 6 2 2 2 3" xfId="19229"/>
    <cellStyle name="Nota 3 2 6 2 2 3" xfId="7863"/>
    <cellStyle name="Nota 3 2 6 2 2 3 2" xfId="10477"/>
    <cellStyle name="Nota 3 2 6 2 2 3 2 2" xfId="16739"/>
    <cellStyle name="Nota 3 2 6 2 2 3 2 2 2" xfId="30155"/>
    <cellStyle name="Nota 3 2 6 2 2 3 2 3" xfId="21484"/>
    <cellStyle name="Nota 3 2 6 2 2 3 3" xfId="14467"/>
    <cellStyle name="Nota 3 2 6 2 2 3 3 2" xfId="28789"/>
    <cellStyle name="Nota 3 2 6 2 2 3 4" xfId="20112"/>
    <cellStyle name="Nota 3 2 6 2 2 4" xfId="11491"/>
    <cellStyle name="Nota 3 2 6 2 2 4 2" xfId="25813"/>
    <cellStyle name="Nota 3 2 6 2 2 5" xfId="4079"/>
    <cellStyle name="Nota 3 2 6 2 3" xfId="1560"/>
    <cellStyle name="Nota 3 2 6 2 3 2" xfId="7309"/>
    <cellStyle name="Nota 3 2 6 2 3 2 2" xfId="9923"/>
    <cellStyle name="Nota 3 2 6 2 3 2 2 2" xfId="16185"/>
    <cellStyle name="Nota 3 2 6 2 3 2 2 2 2" xfId="29601"/>
    <cellStyle name="Nota 3 2 6 2 3 2 2 3" xfId="20930"/>
    <cellStyle name="Nota 3 2 6 2 3 2 3" xfId="13913"/>
    <cellStyle name="Nota 3 2 6 2 3 2 3 2" xfId="28235"/>
    <cellStyle name="Nota 3 2 6 2 3 2 4" xfId="19558"/>
    <cellStyle name="Nota 3 2 6 2 3 3" xfId="12770"/>
    <cellStyle name="Nota 3 2 6 2 3 3 2" xfId="27092"/>
    <cellStyle name="Nota 3 2 6 2 3 4" xfId="18415"/>
    <cellStyle name="Nota 3 2 6 2 4" xfId="4807"/>
    <cellStyle name="Nota 3 2 6 2 4 2" xfId="11338"/>
    <cellStyle name="Nota 3 2 6 2 4 2 2" xfId="25660"/>
    <cellStyle name="Nota 3 2 6 2 4 3" xfId="3283"/>
    <cellStyle name="Nota 3 2 6 2 5" xfId="3906"/>
    <cellStyle name="Nota 3 2 6 2 5 2" xfId="22638"/>
    <cellStyle name="Nota 3 2 6 2 6" xfId="4447"/>
    <cellStyle name="Nota 3 2 6 3" xfId="1561"/>
    <cellStyle name="Nota 3 2 6 3 2" xfId="6487"/>
    <cellStyle name="Nota 3 2 6 3 2 2" xfId="13070"/>
    <cellStyle name="Nota 3 2 6 3 2 2 2" xfId="27392"/>
    <cellStyle name="Nota 3 2 6 3 2 3" xfId="18715"/>
    <cellStyle name="Nota 3 2 6 3 3" xfId="7959"/>
    <cellStyle name="Nota 3 2 6 3 3 2" xfId="10573"/>
    <cellStyle name="Nota 3 2 6 3 3 2 2" xfId="16835"/>
    <cellStyle name="Nota 3 2 6 3 3 2 2 2" xfId="30251"/>
    <cellStyle name="Nota 3 2 6 3 3 2 3" xfId="21580"/>
    <cellStyle name="Nota 3 2 6 3 3 3" xfId="14563"/>
    <cellStyle name="Nota 3 2 6 3 3 3 2" xfId="28885"/>
    <cellStyle name="Nota 3 2 6 3 3 4" xfId="20208"/>
    <cellStyle name="Nota 3 2 6 3 4" xfId="4630"/>
    <cellStyle name="Nota 3 2 6 3 4 2" xfId="23075"/>
    <cellStyle name="Nota 3 2 6 3 5" xfId="14918"/>
    <cellStyle name="Nota 3 2 6 4" xfId="1562"/>
    <cellStyle name="Nota 3 2 6 4 2" xfId="7818"/>
    <cellStyle name="Nota 3 2 6 4 2 2" xfId="10432"/>
    <cellStyle name="Nota 3 2 6 4 2 2 2" xfId="16694"/>
    <cellStyle name="Nota 3 2 6 4 2 2 2 2" xfId="30110"/>
    <cellStyle name="Nota 3 2 6 4 2 2 3" xfId="21439"/>
    <cellStyle name="Nota 3 2 6 4 2 3" xfId="14422"/>
    <cellStyle name="Nota 3 2 6 4 2 3 2" xfId="28744"/>
    <cellStyle name="Nota 3 2 6 4 2 4" xfId="20067"/>
    <cellStyle name="Nota 3 2 6 4 3" xfId="12944"/>
    <cellStyle name="Nota 3 2 6 4 3 2" xfId="27266"/>
    <cellStyle name="Nota 3 2 6 4 4" xfId="18589"/>
    <cellStyle name="Nota 3 2 6 5" xfId="5599"/>
    <cellStyle name="Nota 3 2 6 5 2" xfId="12151"/>
    <cellStyle name="Nota 3 2 6 5 2 2" xfId="26473"/>
    <cellStyle name="Nota 3 2 6 5 3" xfId="17796"/>
    <cellStyle name="Nota 3 2 6 6" xfId="3896"/>
    <cellStyle name="Nota 3 2 6 6 2" xfId="22632"/>
    <cellStyle name="Nota 3 2 6 7" xfId="17355"/>
    <cellStyle name="Nota 3 2 7" xfId="1563"/>
    <cellStyle name="Nota 3 2 7 2" xfId="1564"/>
    <cellStyle name="Nota 3 2 7 2 2" xfId="5997"/>
    <cellStyle name="Nota 3 2 7 2 2 2" xfId="12555"/>
    <cellStyle name="Nota 3 2 7 2 2 2 2" xfId="26877"/>
    <cellStyle name="Nota 3 2 7 2 2 3" xfId="18200"/>
    <cellStyle name="Nota 3 2 7 2 3" xfId="7993"/>
    <cellStyle name="Nota 3 2 7 2 3 2" xfId="10607"/>
    <cellStyle name="Nota 3 2 7 2 3 2 2" xfId="16869"/>
    <cellStyle name="Nota 3 2 7 2 3 2 2 2" xfId="30285"/>
    <cellStyle name="Nota 3 2 7 2 3 2 3" xfId="21614"/>
    <cellStyle name="Nota 3 2 7 2 3 3" xfId="14597"/>
    <cellStyle name="Nota 3 2 7 2 3 3 2" xfId="28919"/>
    <cellStyle name="Nota 3 2 7 2 3 4" xfId="20242"/>
    <cellStyle name="Nota 3 2 7 2 4" xfId="3772"/>
    <cellStyle name="Nota 3 2 7 2 4 2" xfId="22571"/>
    <cellStyle name="Nota 3 2 7 2 5" xfId="15219"/>
    <cellStyle name="Nota 3 2 7 3" xfId="1565"/>
    <cellStyle name="Nota 3 2 7 3 2" xfId="7265"/>
    <cellStyle name="Nota 3 2 7 3 2 2" xfId="9879"/>
    <cellStyle name="Nota 3 2 7 3 2 2 2" xfId="16141"/>
    <cellStyle name="Nota 3 2 7 3 2 2 2 2" xfId="29557"/>
    <cellStyle name="Nota 3 2 7 3 2 2 3" xfId="20886"/>
    <cellStyle name="Nota 3 2 7 3 2 3" xfId="13869"/>
    <cellStyle name="Nota 3 2 7 3 2 3 2" xfId="28191"/>
    <cellStyle name="Nota 3 2 7 3 2 4" xfId="19514"/>
    <cellStyle name="Nota 3 2 7 3 3" xfId="12793"/>
    <cellStyle name="Nota 3 2 7 3 3 2" xfId="27115"/>
    <cellStyle name="Nota 3 2 7 3 4" xfId="18438"/>
    <cellStyle name="Nota 3 2 7 4" xfId="5139"/>
    <cellStyle name="Nota 3 2 7 4 2" xfId="11688"/>
    <cellStyle name="Nota 3 2 7 4 2 2" xfId="26010"/>
    <cellStyle name="Nota 3 2 7 4 3" xfId="3878"/>
    <cellStyle name="Nota 3 2 7 5" xfId="6687"/>
    <cellStyle name="Nota 3 2 7 5 2" xfId="23655"/>
    <cellStyle name="Nota 3 2 7 6" xfId="14957"/>
    <cellStyle name="Nota 3 2 8" xfId="1566"/>
    <cellStyle name="Nota 3 2 8 2" xfId="6150"/>
    <cellStyle name="Nota 3 2 8 2 2" xfId="12720"/>
    <cellStyle name="Nota 3 2 8 2 2 2" xfId="27042"/>
    <cellStyle name="Nota 3 2 8 2 3" xfId="18365"/>
    <cellStyle name="Nota 3 2 8 3" xfId="7734"/>
    <cellStyle name="Nota 3 2 8 3 2" xfId="10348"/>
    <cellStyle name="Nota 3 2 8 3 2 2" xfId="16610"/>
    <cellStyle name="Nota 3 2 8 3 2 2 2" xfId="30026"/>
    <cellStyle name="Nota 3 2 8 3 2 3" xfId="21355"/>
    <cellStyle name="Nota 3 2 8 3 3" xfId="14338"/>
    <cellStyle name="Nota 3 2 8 3 3 2" xfId="28660"/>
    <cellStyle name="Nota 3 2 8 3 4" xfId="19983"/>
    <cellStyle name="Nota 3 2 8 4" xfId="6257"/>
    <cellStyle name="Nota 3 2 8 4 2" xfId="23477"/>
    <cellStyle name="Nota 3 2 8 5" xfId="14961"/>
    <cellStyle name="Nota 3 2 9" xfId="1567"/>
    <cellStyle name="Nota 3 2 9 2" xfId="7629"/>
    <cellStyle name="Nota 3 2 9 2 2" xfId="10243"/>
    <cellStyle name="Nota 3 2 9 2 2 2" xfId="16505"/>
    <cellStyle name="Nota 3 2 9 2 2 2 2" xfId="29921"/>
    <cellStyle name="Nota 3 2 9 2 2 3" xfId="21250"/>
    <cellStyle name="Nota 3 2 9 2 3" xfId="14233"/>
    <cellStyle name="Nota 3 2 9 2 3 2" xfId="28555"/>
    <cellStyle name="Nota 3 2 9 2 4" xfId="19878"/>
    <cellStyle name="Nota 3 2 9 3" xfId="12725"/>
    <cellStyle name="Nota 3 2 9 3 2" xfId="27047"/>
    <cellStyle name="Nota 3 2 9 4" xfId="18370"/>
    <cellStyle name="Nota 3 3" xfId="1568"/>
    <cellStyle name="Nota 3 3 10" xfId="6617"/>
    <cellStyle name="Nota 3 3 10 2" xfId="23609"/>
    <cellStyle name="Nota 3 3 11" xfId="15137"/>
    <cellStyle name="Nota 3 3 2" xfId="1569"/>
    <cellStyle name="Nota 3 3 2 2" xfId="1570"/>
    <cellStyle name="Nota 3 3 2 2 2" xfId="1571"/>
    <cellStyle name="Nota 3 3 2 2 2 2" xfId="5570"/>
    <cellStyle name="Nota 3 3 2 2 2 2 2" xfId="12121"/>
    <cellStyle name="Nota 3 3 2 2 2 2 2 2" xfId="26443"/>
    <cellStyle name="Nota 3 3 2 2 2 2 3" xfId="17766"/>
    <cellStyle name="Nota 3 3 2 2 2 3" xfId="5331"/>
    <cellStyle name="Nota 3 3 2 2 2 3 2" xfId="9640"/>
    <cellStyle name="Nota 3 3 2 2 2 3 2 2" xfId="15902"/>
    <cellStyle name="Nota 3 3 2 2 2 3 2 2 2" xfId="29318"/>
    <cellStyle name="Nota 3 3 2 2 2 3 2 3" xfId="20647"/>
    <cellStyle name="Nota 3 3 2 2 2 3 3" xfId="11881"/>
    <cellStyle name="Nota 3 3 2 2 2 3 3 2" xfId="26203"/>
    <cellStyle name="Nota 3 3 2 2 2 3 4" xfId="17526"/>
    <cellStyle name="Nota 3 3 2 2 2 4" xfId="4657"/>
    <cellStyle name="Nota 3 3 2 2 2 4 2" xfId="23098"/>
    <cellStyle name="Nota 3 3 2 2 2 5" xfId="3932"/>
    <cellStyle name="Nota 3 3 2 2 3" xfId="1572"/>
    <cellStyle name="Nota 3 3 2 2 3 2" xfId="7979"/>
    <cellStyle name="Nota 3 3 2 2 3 2 2" xfId="10593"/>
    <cellStyle name="Nota 3 3 2 2 3 2 2 2" xfId="16855"/>
    <cellStyle name="Nota 3 3 2 2 3 2 2 2 2" xfId="30271"/>
    <cellStyle name="Nota 3 3 2 2 3 2 2 3" xfId="21600"/>
    <cellStyle name="Nota 3 3 2 2 3 2 3" xfId="14583"/>
    <cellStyle name="Nota 3 3 2 2 3 2 3 2" xfId="28905"/>
    <cellStyle name="Nota 3 3 2 2 3 2 4" xfId="20228"/>
    <cellStyle name="Nota 3 3 2 2 3 3" xfId="13299"/>
    <cellStyle name="Nota 3 3 2 2 3 3 2" xfId="27621"/>
    <cellStyle name="Nota 3 3 2 2 3 4" xfId="18944"/>
    <cellStyle name="Nota 3 3 2 2 4" xfId="5749"/>
    <cellStyle name="Nota 3 3 2 2 4 2" xfId="12302"/>
    <cellStyle name="Nota 3 3 2 2 4 2 2" xfId="26624"/>
    <cellStyle name="Nota 3 3 2 2 4 3" xfId="17947"/>
    <cellStyle name="Nota 3 3 2 2 5" xfId="3889"/>
    <cellStyle name="Nota 3 3 2 2 5 2" xfId="22629"/>
    <cellStyle name="Nota 3 3 2 2 6" xfId="17350"/>
    <cellStyle name="Nota 3 3 2 3" xfId="1573"/>
    <cellStyle name="Nota 3 3 2 3 2" xfId="1574"/>
    <cellStyle name="Nota 3 3 2 3 2 2" xfId="5045"/>
    <cellStyle name="Nota 3 3 2 3 2 2 2" xfId="11592"/>
    <cellStyle name="Nota 3 3 2 3 2 2 2 2" xfId="25914"/>
    <cellStyle name="Nota 3 3 2 3 2 2 3" xfId="17292"/>
    <cellStyle name="Nota 3 3 2 3 2 3" xfId="7802"/>
    <cellStyle name="Nota 3 3 2 3 2 3 2" xfId="10416"/>
    <cellStyle name="Nota 3 3 2 3 2 3 2 2" xfId="16678"/>
    <cellStyle name="Nota 3 3 2 3 2 3 2 2 2" xfId="30094"/>
    <cellStyle name="Nota 3 3 2 3 2 3 2 3" xfId="21423"/>
    <cellStyle name="Nota 3 3 2 3 2 3 3" xfId="14406"/>
    <cellStyle name="Nota 3 3 2 3 2 3 3 2" xfId="28728"/>
    <cellStyle name="Nota 3 3 2 3 2 3 4" xfId="20051"/>
    <cellStyle name="Nota 3 3 2 3 2 4" xfId="3883"/>
    <cellStyle name="Nota 3 3 2 3 2 4 2" xfId="22626"/>
    <cellStyle name="Nota 3 3 2 3 2 5" xfId="14681"/>
    <cellStyle name="Nota 3 3 2 3 3" xfId="1575"/>
    <cellStyle name="Nota 3 3 2 3 3 2" xfId="3840"/>
    <cellStyle name="Nota 3 3 2 3 3 2 2" xfId="9385"/>
    <cellStyle name="Nota 3 3 2 3 3 2 2 2" xfId="15647"/>
    <cellStyle name="Nota 3 3 2 3 3 2 2 2 2" xfId="29063"/>
    <cellStyle name="Nota 3 3 2 3 3 2 2 3" xfId="20392"/>
    <cellStyle name="Nota 3 3 2 3 3 2 3" xfId="3912"/>
    <cellStyle name="Nota 3 3 2 3 3 2 3 2" xfId="22642"/>
    <cellStyle name="Nota 3 3 2 3 3 2 4" xfId="17222"/>
    <cellStyle name="Nota 3 3 2 3 3 3" xfId="13426"/>
    <cellStyle name="Nota 3 3 2 3 3 3 2" xfId="27748"/>
    <cellStyle name="Nota 3 3 2 3 3 4" xfId="19071"/>
    <cellStyle name="Nota 3 3 2 3 4" xfId="5900"/>
    <cellStyle name="Nota 3 3 2 3 4 2" xfId="12454"/>
    <cellStyle name="Nota 3 3 2 3 4 2 2" xfId="26776"/>
    <cellStyle name="Nota 3 3 2 3 4 3" xfId="18099"/>
    <cellStyle name="Nota 3 3 2 3 5" xfId="2824"/>
    <cellStyle name="Nota 3 3 2 3 5 2" xfId="22387"/>
    <cellStyle name="Nota 3 3 2 3 6" xfId="14863"/>
    <cellStyle name="Nota 3 3 2 4" xfId="1576"/>
    <cellStyle name="Nota 3 3 2 4 2" xfId="6957"/>
    <cellStyle name="Nota 3 3 2 4 2 2" xfId="13561"/>
    <cellStyle name="Nota 3 3 2 4 2 2 2" xfId="27883"/>
    <cellStyle name="Nota 3 3 2 4 2 3" xfId="19206"/>
    <cellStyle name="Nota 3 3 2 4 3" xfId="7048"/>
    <cellStyle name="Nota 3 3 2 4 3 2" xfId="9662"/>
    <cellStyle name="Nota 3 3 2 4 3 2 2" xfId="15924"/>
    <cellStyle name="Nota 3 3 2 4 3 2 2 2" xfId="29340"/>
    <cellStyle name="Nota 3 3 2 4 3 2 3" xfId="20669"/>
    <cellStyle name="Nota 3 3 2 4 3 3" xfId="13652"/>
    <cellStyle name="Nota 3 3 2 4 3 3 2" xfId="27974"/>
    <cellStyle name="Nota 3 3 2 4 3 4" xfId="19297"/>
    <cellStyle name="Nota 3 3 2 4 4" xfId="11457"/>
    <cellStyle name="Nota 3 3 2 4 4 2" xfId="25779"/>
    <cellStyle name="Nota 3 3 2 4 5" xfId="17061"/>
    <cellStyle name="Nota 3 3 2 5" xfId="1577"/>
    <cellStyle name="Nota 3 3 2 5 2" xfId="7096"/>
    <cellStyle name="Nota 3 3 2 5 2 2" xfId="9710"/>
    <cellStyle name="Nota 3 3 2 5 2 2 2" xfId="15972"/>
    <cellStyle name="Nota 3 3 2 5 2 2 2 2" xfId="29388"/>
    <cellStyle name="Nota 3 3 2 5 2 2 3" xfId="20717"/>
    <cellStyle name="Nota 3 3 2 5 2 3" xfId="13700"/>
    <cellStyle name="Nota 3 3 2 5 2 3 2" xfId="28022"/>
    <cellStyle name="Nota 3 3 2 5 2 4" xfId="19345"/>
    <cellStyle name="Nota 3 3 2 5 3" xfId="12875"/>
    <cellStyle name="Nota 3 3 2 5 3 2" xfId="27197"/>
    <cellStyle name="Nota 3 3 2 5 4" xfId="18520"/>
    <cellStyle name="Nota 3 3 2 6" xfId="5493"/>
    <cellStyle name="Nota 3 3 2 6 2" xfId="12044"/>
    <cellStyle name="Nota 3 3 2 6 2 2" xfId="26366"/>
    <cellStyle name="Nota 3 3 2 6 3" xfId="17689"/>
    <cellStyle name="Nota 3 3 2 7" xfId="6175"/>
    <cellStyle name="Nota 3 3 2 7 2" xfId="23443"/>
    <cellStyle name="Nota 3 3 2 8" xfId="15250"/>
    <cellStyle name="Nota 3 3 3" xfId="1578"/>
    <cellStyle name="Nota 3 3 3 2" xfId="1579"/>
    <cellStyle name="Nota 3 3 3 2 2" xfId="1580"/>
    <cellStyle name="Nota 3 3 3 2 2 2" xfId="6444"/>
    <cellStyle name="Nota 3 3 3 2 2 2 2" xfId="13027"/>
    <cellStyle name="Nota 3 3 3 2 2 2 2 2" xfId="27349"/>
    <cellStyle name="Nota 3 3 3 2 2 2 3" xfId="18672"/>
    <cellStyle name="Nota 3 3 3 2 2 3" xfId="7718"/>
    <cellStyle name="Nota 3 3 3 2 2 3 2" xfId="10332"/>
    <cellStyle name="Nota 3 3 3 2 2 3 2 2" xfId="16594"/>
    <cellStyle name="Nota 3 3 3 2 2 3 2 2 2" xfId="30010"/>
    <cellStyle name="Nota 3 3 3 2 2 3 2 3" xfId="21339"/>
    <cellStyle name="Nota 3 3 3 2 2 3 3" xfId="14322"/>
    <cellStyle name="Nota 3 3 3 2 2 3 3 2" xfId="28644"/>
    <cellStyle name="Nota 3 3 3 2 2 3 4" xfId="19967"/>
    <cellStyle name="Nota 3 3 3 2 2 4" xfId="4443"/>
    <cellStyle name="Nota 3 3 3 2 2 4 2" xfId="22955"/>
    <cellStyle name="Nota 3 3 3 2 2 5" xfId="4076"/>
    <cellStyle name="Nota 3 3 3 2 3" xfId="1581"/>
    <cellStyle name="Nota 3 3 3 2 3 2" xfId="8037"/>
    <cellStyle name="Nota 3 3 3 2 3 2 2" xfId="10651"/>
    <cellStyle name="Nota 3 3 3 2 3 2 2 2" xfId="16913"/>
    <cellStyle name="Nota 3 3 3 2 3 2 2 2 2" xfId="30329"/>
    <cellStyle name="Nota 3 3 3 2 3 2 2 3" xfId="21658"/>
    <cellStyle name="Nota 3 3 3 2 3 2 3" xfId="14641"/>
    <cellStyle name="Nota 3 3 3 2 3 2 3 2" xfId="28963"/>
    <cellStyle name="Nota 3 3 3 2 3 2 4" xfId="20286"/>
    <cellStyle name="Nota 3 3 3 2 3 3" xfId="13335"/>
    <cellStyle name="Nota 3 3 3 2 3 3 2" xfId="27657"/>
    <cellStyle name="Nota 3 3 3 2 3 4" xfId="18980"/>
    <cellStyle name="Nota 3 3 3 2 4" xfId="5785"/>
    <cellStyle name="Nota 3 3 3 2 4 2" xfId="12338"/>
    <cellStyle name="Nota 3 3 3 2 4 2 2" xfId="26660"/>
    <cellStyle name="Nota 3 3 3 2 4 3" xfId="17983"/>
    <cellStyle name="Nota 3 3 3 2 5" xfId="5142"/>
    <cellStyle name="Nota 3 3 3 2 5 2" xfId="23330"/>
    <cellStyle name="Nota 3 3 3 2 6" xfId="14678"/>
    <cellStyle name="Nota 3 3 3 3" xfId="1582"/>
    <cellStyle name="Nota 3 3 3 3 2" xfId="1583"/>
    <cellStyle name="Nota 3 3 3 3 2 2" xfId="6479"/>
    <cellStyle name="Nota 3 3 3 3 2 2 2" xfId="13062"/>
    <cellStyle name="Nota 3 3 3 3 2 2 2 2" xfId="27384"/>
    <cellStyle name="Nota 3 3 3 3 2 2 3" xfId="18707"/>
    <cellStyle name="Nota 3 3 3 3 2 3" xfId="7825"/>
    <cellStyle name="Nota 3 3 3 3 2 3 2" xfId="10439"/>
    <cellStyle name="Nota 3 3 3 3 2 3 2 2" xfId="16701"/>
    <cellStyle name="Nota 3 3 3 3 2 3 2 2 2" xfId="30117"/>
    <cellStyle name="Nota 3 3 3 3 2 3 2 3" xfId="21446"/>
    <cellStyle name="Nota 3 3 3 3 2 3 3" xfId="14429"/>
    <cellStyle name="Nota 3 3 3 3 2 3 3 2" xfId="28751"/>
    <cellStyle name="Nota 3 3 3 3 2 3 4" xfId="20074"/>
    <cellStyle name="Nota 3 3 3 3 2 4" xfId="4524"/>
    <cellStyle name="Nota 3 3 3 3 2 4 2" xfId="23007"/>
    <cellStyle name="Nota 3 3 3 3 2 5" xfId="15038"/>
    <cellStyle name="Nota 3 3 3 3 3" xfId="1584"/>
    <cellStyle name="Nota 3 3 3 3 3 2" xfId="3589"/>
    <cellStyle name="Nota 3 3 3 3 3 2 2" xfId="9339"/>
    <cellStyle name="Nota 3 3 3 3 3 2 2 2" xfId="15601"/>
    <cellStyle name="Nota 3 3 3 3 3 2 2 2 2" xfId="29017"/>
    <cellStyle name="Nota 3 3 3 3 3 2 2 3" xfId="20346"/>
    <cellStyle name="Nota 3 3 3 3 3 2 3" xfId="4136"/>
    <cellStyle name="Nota 3 3 3 3 3 2 3 2" xfId="22775"/>
    <cellStyle name="Nota 3 3 3 3 3 2 4" xfId="4614"/>
    <cellStyle name="Nota 3 3 3 3 3 3" xfId="13067"/>
    <cellStyle name="Nota 3 3 3 3 3 3 2" xfId="27389"/>
    <cellStyle name="Nota 3 3 3 3 3 4" xfId="18712"/>
    <cellStyle name="Nota 3 3 3 3 4" xfId="5406"/>
    <cellStyle name="Nota 3 3 3 3 4 2" xfId="11956"/>
    <cellStyle name="Nota 3 3 3 3 4 2 2" xfId="26278"/>
    <cellStyle name="Nota 3 3 3 3 4 3" xfId="17601"/>
    <cellStyle name="Nota 3 3 3 3 5" xfId="6589"/>
    <cellStyle name="Nota 3 3 3 3 5 2" xfId="23592"/>
    <cellStyle name="Nota 3 3 3 3 6" xfId="17268"/>
    <cellStyle name="Nota 3 3 3 4" xfId="1585"/>
    <cellStyle name="Nota 3 3 3 4 2" xfId="5114"/>
    <cellStyle name="Nota 3 3 3 4 2 2" xfId="11662"/>
    <cellStyle name="Nota 3 3 3 4 2 2 2" xfId="25984"/>
    <cellStyle name="Nota 3 3 3 4 2 3" xfId="14677"/>
    <cellStyle name="Nota 3 3 3 4 3" xfId="7354"/>
    <cellStyle name="Nota 3 3 3 4 3 2" xfId="9968"/>
    <cellStyle name="Nota 3 3 3 4 3 2 2" xfId="16230"/>
    <cellStyle name="Nota 3 3 3 4 3 2 2 2" xfId="29646"/>
    <cellStyle name="Nota 3 3 3 4 3 2 3" xfId="20975"/>
    <cellStyle name="Nota 3 3 3 4 3 3" xfId="13958"/>
    <cellStyle name="Nota 3 3 3 4 3 3 2" xfId="28280"/>
    <cellStyle name="Nota 3 3 3 4 3 4" xfId="19603"/>
    <cellStyle name="Nota 3 3 3 4 4" xfId="4581"/>
    <cellStyle name="Nota 3 3 3 4 4 2" xfId="23047"/>
    <cellStyle name="Nota 3 3 3 4 5" xfId="15438"/>
    <cellStyle name="Nota 3 3 3 5" xfId="1586"/>
    <cellStyle name="Nota 3 3 3 5 2" xfId="7300"/>
    <cellStyle name="Nota 3 3 3 5 2 2" xfId="9914"/>
    <cellStyle name="Nota 3 3 3 5 2 2 2" xfId="16176"/>
    <cellStyle name="Nota 3 3 3 5 2 2 2 2" xfId="29592"/>
    <cellStyle name="Nota 3 3 3 5 2 2 3" xfId="20921"/>
    <cellStyle name="Nota 3 3 3 5 2 3" xfId="13904"/>
    <cellStyle name="Nota 3 3 3 5 2 3 2" xfId="28226"/>
    <cellStyle name="Nota 3 3 3 5 2 4" xfId="19549"/>
    <cellStyle name="Nota 3 3 3 5 3" xfId="12911"/>
    <cellStyle name="Nota 3 3 3 5 3 2" xfId="27233"/>
    <cellStyle name="Nota 3 3 3 5 4" xfId="18556"/>
    <cellStyle name="Nota 3 3 3 6" xfId="5535"/>
    <cellStyle name="Nota 3 3 3 6 2" xfId="12086"/>
    <cellStyle name="Nota 3 3 3 6 2 2" xfId="26408"/>
    <cellStyle name="Nota 3 3 3 6 3" xfId="17731"/>
    <cellStyle name="Nota 3 3 3 7" xfId="4637"/>
    <cellStyle name="Nota 3 3 3 7 2" xfId="23081"/>
    <cellStyle name="Nota 3 3 3 8" xfId="3735"/>
    <cellStyle name="Nota 3 3 4" xfId="1587"/>
    <cellStyle name="Nota 3 3 4 2" xfId="1588"/>
    <cellStyle name="Nota 3 3 4 2 2" xfId="1589"/>
    <cellStyle name="Nota 3 3 4 2 2 2" xfId="6222"/>
    <cellStyle name="Nota 3 3 4 2 2 2 2" xfId="12797"/>
    <cellStyle name="Nota 3 3 4 2 2 2 2 2" xfId="27119"/>
    <cellStyle name="Nota 3 3 4 2 2 2 3" xfId="18442"/>
    <cellStyle name="Nota 3 3 4 2 2 3" xfId="4993"/>
    <cellStyle name="Nota 3 3 4 2 2 3 2" xfId="9534"/>
    <cellStyle name="Nota 3 3 4 2 2 3 2 2" xfId="15796"/>
    <cellStyle name="Nota 3 3 4 2 2 3 2 2 2" xfId="29212"/>
    <cellStyle name="Nota 3 3 4 2 2 3 2 3" xfId="20541"/>
    <cellStyle name="Nota 3 3 4 2 2 3 3" xfId="11536"/>
    <cellStyle name="Nota 3 3 4 2 2 3 3 2" xfId="25858"/>
    <cellStyle name="Nota 3 3 4 2 2 3 4" xfId="15237"/>
    <cellStyle name="Nota 3 3 4 2 2 4" xfId="4061"/>
    <cellStyle name="Nota 3 3 4 2 2 4 2" xfId="22735"/>
    <cellStyle name="Nota 3 3 4 2 2 5" xfId="15072"/>
    <cellStyle name="Nota 3 3 4 2 3" xfId="1590"/>
    <cellStyle name="Nota 3 3 4 2 3 2" xfId="7477"/>
    <cellStyle name="Nota 3 3 4 2 3 2 2" xfId="10091"/>
    <cellStyle name="Nota 3 3 4 2 3 2 2 2" xfId="16353"/>
    <cellStyle name="Nota 3 3 4 2 3 2 2 2 2" xfId="29769"/>
    <cellStyle name="Nota 3 3 4 2 3 2 2 3" xfId="21098"/>
    <cellStyle name="Nota 3 3 4 2 3 2 3" xfId="14081"/>
    <cellStyle name="Nota 3 3 4 2 3 2 3 2" xfId="28403"/>
    <cellStyle name="Nota 3 3 4 2 3 2 4" xfId="19726"/>
    <cellStyle name="Nota 3 3 4 2 3 3" xfId="13198"/>
    <cellStyle name="Nota 3 3 4 2 3 3 2" xfId="27520"/>
    <cellStyle name="Nota 3 3 4 2 3 4" xfId="18843"/>
    <cellStyle name="Nota 3 3 4 2 4" xfId="5635"/>
    <cellStyle name="Nota 3 3 4 2 4 2" xfId="12188"/>
    <cellStyle name="Nota 3 3 4 2 4 2 2" xfId="26510"/>
    <cellStyle name="Nota 3 3 4 2 4 3" xfId="17833"/>
    <cellStyle name="Nota 3 3 4 2 5" xfId="6655"/>
    <cellStyle name="Nota 3 3 4 2 5 2" xfId="23632"/>
    <cellStyle name="Nota 3 3 4 2 6" xfId="16979"/>
    <cellStyle name="Nota 3 3 4 3" xfId="1591"/>
    <cellStyle name="Nota 3 3 4 3 2" xfId="1592"/>
    <cellStyle name="Nota 3 3 4 3 2 2" xfId="6556"/>
    <cellStyle name="Nota 3 3 4 3 2 2 2" xfId="13144"/>
    <cellStyle name="Nota 3 3 4 3 2 2 2 2" xfId="27466"/>
    <cellStyle name="Nota 3 3 4 3 2 2 3" xfId="18789"/>
    <cellStyle name="Nota 3 3 4 3 2 3" xfId="4462"/>
    <cellStyle name="Nota 3 3 4 3 2 3 2" xfId="9469"/>
    <cellStyle name="Nota 3 3 4 3 2 3 2 2" xfId="15731"/>
    <cellStyle name="Nota 3 3 4 3 2 3 2 2 2" xfId="29147"/>
    <cellStyle name="Nota 3 3 4 3 2 3 2 3" xfId="20476"/>
    <cellStyle name="Nota 3 3 4 3 2 3 3" xfId="3978"/>
    <cellStyle name="Nota 3 3 4 3 2 3 3 2" xfId="22682"/>
    <cellStyle name="Nota 3 3 4 3 2 3 4" xfId="17143"/>
    <cellStyle name="Nota 3 3 4 3 2 4" xfId="6578"/>
    <cellStyle name="Nota 3 3 4 3 2 4 2" xfId="23587"/>
    <cellStyle name="Nota 3 3 4 3 2 5" xfId="4107"/>
    <cellStyle name="Nota 3 3 4 3 3" xfId="1593"/>
    <cellStyle name="Nota 3 3 4 3 3 2" xfId="4397"/>
    <cellStyle name="Nota 3 3 4 3 3 2 2" xfId="9460"/>
    <cellStyle name="Nota 3 3 4 3 3 2 2 2" xfId="15722"/>
    <cellStyle name="Nota 3 3 4 3 3 2 2 2 2" xfId="29138"/>
    <cellStyle name="Nota 3 3 4 3 3 2 2 3" xfId="20467"/>
    <cellStyle name="Nota 3 3 4 3 3 2 3" xfId="4432"/>
    <cellStyle name="Nota 3 3 4 3 3 2 3 2" xfId="22948"/>
    <cellStyle name="Nota 3 3 4 3 3 2 4" xfId="15469"/>
    <cellStyle name="Nota 3 3 4 3 3 3" xfId="12489"/>
    <cellStyle name="Nota 3 3 4 3 3 3 2" xfId="26811"/>
    <cellStyle name="Nota 3 3 4 3 3 4" xfId="18134"/>
    <cellStyle name="Nota 3 3 4 3 4" xfId="5198"/>
    <cellStyle name="Nota 3 3 4 3 4 2" xfId="11747"/>
    <cellStyle name="Nota 3 3 4 3 4 2 2" xfId="26069"/>
    <cellStyle name="Nota 3 3 4 3 4 3" xfId="4146"/>
    <cellStyle name="Nota 3 3 4 3 5" xfId="3974"/>
    <cellStyle name="Nota 3 3 4 3 5 2" xfId="22679"/>
    <cellStyle name="Nota 3 3 4 3 6" xfId="4319"/>
    <cellStyle name="Nota 3 3 4 4" xfId="1594"/>
    <cellStyle name="Nota 3 3 4 4 2" xfId="6102"/>
    <cellStyle name="Nota 3 3 4 4 2 2" xfId="12669"/>
    <cellStyle name="Nota 3 3 4 4 2 2 2" xfId="26991"/>
    <cellStyle name="Nota 3 3 4 4 2 3" xfId="18314"/>
    <cellStyle name="Nota 3 3 4 4 3" xfId="7977"/>
    <cellStyle name="Nota 3 3 4 4 3 2" xfId="10591"/>
    <cellStyle name="Nota 3 3 4 4 3 2 2" xfId="16853"/>
    <cellStyle name="Nota 3 3 4 4 3 2 2 2" xfId="30269"/>
    <cellStyle name="Nota 3 3 4 4 3 2 3" xfId="21598"/>
    <cellStyle name="Nota 3 3 4 4 3 3" xfId="14581"/>
    <cellStyle name="Nota 3 3 4 4 3 3 2" xfId="28903"/>
    <cellStyle name="Nota 3 3 4 4 3 4" xfId="20226"/>
    <cellStyle name="Nota 3 3 4 4 4" xfId="5907"/>
    <cellStyle name="Nota 3 3 4 4 4 2" xfId="23370"/>
    <cellStyle name="Nota 3 3 4 4 5" xfId="15593"/>
    <cellStyle name="Nota 3 3 4 5" xfId="1595"/>
    <cellStyle name="Nota 3 3 4 5 2" xfId="3184"/>
    <cellStyle name="Nota 3 3 4 5 2 2" xfId="9005"/>
    <cellStyle name="Nota 3 3 4 5 2 2 2" xfId="15353"/>
    <cellStyle name="Nota 3 3 4 5 2 2 2 2" xfId="29003"/>
    <cellStyle name="Nota 3 3 4 5 2 2 3" xfId="20330"/>
    <cellStyle name="Nota 3 3 4 5 2 3" xfId="4594"/>
    <cellStyle name="Nota 3 3 4 5 2 3 2" xfId="23056"/>
    <cellStyle name="Nota 3 3 4 5 2 4" xfId="17386"/>
    <cellStyle name="Nota 3 3 4 5 3" xfId="12478"/>
    <cellStyle name="Nota 3 3 4 5 3 2" xfId="26800"/>
    <cellStyle name="Nota 3 3 4 5 4" xfId="18123"/>
    <cellStyle name="Nota 3 3 4 6" xfId="3819"/>
    <cellStyle name="Nota 3 3 4 6 2" xfId="5221"/>
    <cellStyle name="Nota 3 3 4 6 2 2" xfId="23337"/>
    <cellStyle name="Nota 3 3 4 6 3" xfId="14769"/>
    <cellStyle name="Nota 3 3 4 7" xfId="4663"/>
    <cellStyle name="Nota 3 3 4 7 2" xfId="23103"/>
    <cellStyle name="Nota 3 3 4 8" xfId="15240"/>
    <cellStyle name="Nota 3 3 5" xfId="1596"/>
    <cellStyle name="Nota 3 3 5 2" xfId="1597"/>
    <cellStyle name="Nota 3 3 5 2 2" xfId="1598"/>
    <cellStyle name="Nota 3 3 5 2 2 2" xfId="5591"/>
    <cellStyle name="Nota 3 3 5 2 2 2 2" xfId="12143"/>
    <cellStyle name="Nota 3 3 5 2 2 2 2 2" xfId="26465"/>
    <cellStyle name="Nota 3 3 5 2 2 2 3" xfId="17788"/>
    <cellStyle name="Nota 3 3 5 2 2 3" xfId="7819"/>
    <cellStyle name="Nota 3 3 5 2 2 3 2" xfId="10433"/>
    <cellStyle name="Nota 3 3 5 2 2 3 2 2" xfId="16695"/>
    <cellStyle name="Nota 3 3 5 2 2 3 2 2 2" xfId="30111"/>
    <cellStyle name="Nota 3 3 5 2 2 3 2 3" xfId="21440"/>
    <cellStyle name="Nota 3 3 5 2 2 3 3" xfId="14423"/>
    <cellStyle name="Nota 3 3 5 2 2 3 3 2" xfId="28745"/>
    <cellStyle name="Nota 3 3 5 2 2 3 4" xfId="20068"/>
    <cellStyle name="Nota 3 3 5 2 2 4" xfId="6708"/>
    <cellStyle name="Nota 3 3 5 2 2 4 2" xfId="23664"/>
    <cellStyle name="Nota 3 3 5 2 2 5" xfId="17196"/>
    <cellStyle name="Nota 3 3 5 2 3" xfId="1599"/>
    <cellStyle name="Nota 3 3 5 2 3 2" xfId="4008"/>
    <cellStyle name="Nota 3 3 5 2 3 2 2" xfId="9411"/>
    <cellStyle name="Nota 3 3 5 2 3 2 2 2" xfId="15673"/>
    <cellStyle name="Nota 3 3 5 2 3 2 2 2 2" xfId="29089"/>
    <cellStyle name="Nota 3 3 5 2 3 2 2 3" xfId="20418"/>
    <cellStyle name="Nota 3 3 5 2 3 2 3" xfId="6684"/>
    <cellStyle name="Nota 3 3 5 2 3 2 3 2" xfId="23652"/>
    <cellStyle name="Nota 3 3 5 2 3 2 4" xfId="15549"/>
    <cellStyle name="Nota 3 3 5 2 3 3" xfId="13326"/>
    <cellStyle name="Nota 3 3 5 2 3 3 2" xfId="27648"/>
    <cellStyle name="Nota 3 3 5 2 3 4" xfId="18971"/>
    <cellStyle name="Nota 3 3 5 2 4" xfId="5776"/>
    <cellStyle name="Nota 3 3 5 2 4 2" xfId="12329"/>
    <cellStyle name="Nota 3 3 5 2 4 2 2" xfId="26651"/>
    <cellStyle name="Nota 3 3 5 2 4 3" xfId="17974"/>
    <cellStyle name="Nota 3 3 5 2 5" xfId="5991"/>
    <cellStyle name="Nota 3 3 5 2 5 2" xfId="23391"/>
    <cellStyle name="Nota 3 3 5 2 6" xfId="3756"/>
    <cellStyle name="Nota 3 3 5 3" xfId="1600"/>
    <cellStyle name="Nota 3 3 5 3 2" xfId="6537"/>
    <cellStyle name="Nota 3 3 5 3 2 2" xfId="13125"/>
    <cellStyle name="Nota 3 3 5 3 2 2 2" xfId="27447"/>
    <cellStyle name="Nota 3 3 5 3 2 3" xfId="18770"/>
    <cellStyle name="Nota 3 3 5 3 3" xfId="7909"/>
    <cellStyle name="Nota 3 3 5 3 3 2" xfId="10523"/>
    <cellStyle name="Nota 3 3 5 3 3 2 2" xfId="16785"/>
    <cellStyle name="Nota 3 3 5 3 3 2 2 2" xfId="30201"/>
    <cellStyle name="Nota 3 3 5 3 3 2 3" xfId="21530"/>
    <cellStyle name="Nota 3 3 5 3 3 3" xfId="14513"/>
    <cellStyle name="Nota 3 3 5 3 3 3 2" xfId="28835"/>
    <cellStyle name="Nota 3 3 5 3 3 4" xfId="20158"/>
    <cellStyle name="Nota 3 3 5 3 4" xfId="3190"/>
    <cellStyle name="Nota 3 3 5 3 4 2" xfId="22433"/>
    <cellStyle name="Nota 3 3 5 3 5" xfId="15548"/>
    <cellStyle name="Nota 3 3 5 4" xfId="1601"/>
    <cellStyle name="Nota 3 3 5 4 2" xfId="7318"/>
    <cellStyle name="Nota 3 3 5 4 2 2" xfId="9932"/>
    <cellStyle name="Nota 3 3 5 4 2 2 2" xfId="16194"/>
    <cellStyle name="Nota 3 3 5 4 2 2 2 2" xfId="29610"/>
    <cellStyle name="Nota 3 3 5 4 2 2 3" xfId="20939"/>
    <cellStyle name="Nota 3 3 5 4 2 3" xfId="13922"/>
    <cellStyle name="Nota 3 3 5 4 2 3 2" xfId="28244"/>
    <cellStyle name="Nota 3 3 5 4 2 4" xfId="19567"/>
    <cellStyle name="Nota 3 3 5 4 3" xfId="12827"/>
    <cellStyle name="Nota 3 3 5 4 3 2" xfId="27149"/>
    <cellStyle name="Nota 3 3 5 4 4" xfId="18472"/>
    <cellStyle name="Nota 3 3 5 5" xfId="5380"/>
    <cellStyle name="Nota 3 3 5 5 2" xfId="11930"/>
    <cellStyle name="Nota 3 3 5 5 2 2" xfId="26252"/>
    <cellStyle name="Nota 3 3 5 5 3" xfId="17575"/>
    <cellStyle name="Nota 3 3 5 6" xfId="2847"/>
    <cellStyle name="Nota 3 3 5 6 2" xfId="22405"/>
    <cellStyle name="Nota 3 3 5 7" xfId="15270"/>
    <cellStyle name="Nota 3 3 6" xfId="1602"/>
    <cellStyle name="Nota 3 3 6 2" xfId="1603"/>
    <cellStyle name="Nota 3 3 6 2 2" xfId="6439"/>
    <cellStyle name="Nota 3 3 6 2 2 2" xfId="13022"/>
    <cellStyle name="Nota 3 3 6 2 2 2 2" xfId="27344"/>
    <cellStyle name="Nota 3 3 6 2 2 3" xfId="18667"/>
    <cellStyle name="Nota 3 3 6 2 3" xfId="7743"/>
    <cellStyle name="Nota 3 3 6 2 3 2" xfId="10357"/>
    <cellStyle name="Nota 3 3 6 2 3 2 2" xfId="16619"/>
    <cellStyle name="Nota 3 3 6 2 3 2 2 2" xfId="30035"/>
    <cellStyle name="Nota 3 3 6 2 3 2 3" xfId="21364"/>
    <cellStyle name="Nota 3 3 6 2 3 3" xfId="14347"/>
    <cellStyle name="Nota 3 3 6 2 3 3 2" xfId="28669"/>
    <cellStyle name="Nota 3 3 6 2 3 4" xfId="19992"/>
    <cellStyle name="Nota 3 3 6 2 4" xfId="4793"/>
    <cellStyle name="Nota 3 3 6 2 4 2" xfId="23192"/>
    <cellStyle name="Nota 3 3 6 2 5" xfId="15058"/>
    <cellStyle name="Nota 3 3 6 3" xfId="1604"/>
    <cellStyle name="Nota 3 3 6 3 2" xfId="7098"/>
    <cellStyle name="Nota 3 3 6 3 2 2" xfId="9712"/>
    <cellStyle name="Nota 3 3 6 3 2 2 2" xfId="15974"/>
    <cellStyle name="Nota 3 3 6 3 2 2 2 2" xfId="29390"/>
    <cellStyle name="Nota 3 3 6 3 2 2 3" xfId="20719"/>
    <cellStyle name="Nota 3 3 6 3 2 3" xfId="13702"/>
    <cellStyle name="Nota 3 3 6 3 2 3 2" xfId="28024"/>
    <cellStyle name="Nota 3 3 6 3 2 4" xfId="19347"/>
    <cellStyle name="Nota 3 3 6 3 3" xfId="13100"/>
    <cellStyle name="Nota 3 3 6 3 3 2" xfId="27422"/>
    <cellStyle name="Nota 3 3 6 3 4" xfId="18745"/>
    <cellStyle name="Nota 3 3 6 4" xfId="5461"/>
    <cellStyle name="Nota 3 3 6 4 2" xfId="12012"/>
    <cellStyle name="Nota 3 3 6 4 2 2" xfId="26334"/>
    <cellStyle name="Nota 3 3 6 4 3" xfId="17657"/>
    <cellStyle name="Nota 3 3 6 5" xfId="4738"/>
    <cellStyle name="Nota 3 3 6 5 2" xfId="23161"/>
    <cellStyle name="Nota 3 3 6 6" xfId="4137"/>
    <cellStyle name="Nota 3 3 7" xfId="1605"/>
    <cellStyle name="Nota 3 3 7 2" xfId="6931"/>
    <cellStyle name="Nota 3 3 7 2 2" xfId="13535"/>
    <cellStyle name="Nota 3 3 7 2 2 2" xfId="27857"/>
    <cellStyle name="Nota 3 3 7 2 3" xfId="19180"/>
    <cellStyle name="Nota 3 3 7 3" xfId="3755"/>
    <cellStyle name="Nota 3 3 7 3 2" xfId="9369"/>
    <cellStyle name="Nota 3 3 7 3 2 2" xfId="15631"/>
    <cellStyle name="Nota 3 3 7 3 2 2 2" xfId="29047"/>
    <cellStyle name="Nota 3 3 7 3 2 3" xfId="20376"/>
    <cellStyle name="Nota 3 3 7 3 3" xfId="4267"/>
    <cellStyle name="Nota 3 3 7 3 3 2" xfId="22860"/>
    <cellStyle name="Nota 3 3 7 3 4" xfId="16996"/>
    <cellStyle name="Nota 3 3 7 4" xfId="11424"/>
    <cellStyle name="Nota 3 3 7 4 2" xfId="25746"/>
    <cellStyle name="Nota 3 3 7 5" xfId="17364"/>
    <cellStyle name="Nota 3 3 8" xfId="1606"/>
    <cellStyle name="Nota 3 3 8 2" xfId="7430"/>
    <cellStyle name="Nota 3 3 8 2 2" xfId="10044"/>
    <cellStyle name="Nota 3 3 8 2 2 2" xfId="16306"/>
    <cellStyle name="Nota 3 3 8 2 2 2 2" xfId="29722"/>
    <cellStyle name="Nota 3 3 8 2 2 3" xfId="21051"/>
    <cellStyle name="Nota 3 3 8 2 3" xfId="14034"/>
    <cellStyle name="Nota 3 3 8 2 3 2" xfId="28356"/>
    <cellStyle name="Nota 3 3 8 2 4" xfId="19679"/>
    <cellStyle name="Nota 3 3 8 3" xfId="4427"/>
    <cellStyle name="Nota 3 3 8 3 2" xfId="22945"/>
    <cellStyle name="Nota 3 3 8 4" xfId="4521"/>
    <cellStyle name="Nota 3 3 9" xfId="3824"/>
    <cellStyle name="Nota 3 3 9 2" xfId="4676"/>
    <cellStyle name="Nota 3 3 9 2 2" xfId="23115"/>
    <cellStyle name="Nota 3 3 9 3" xfId="15299"/>
    <cellStyle name="Nota 3 4" xfId="1607"/>
    <cellStyle name="Nota 3 4 2" xfId="1608"/>
    <cellStyle name="Nota 3 4 2 2" xfId="1609"/>
    <cellStyle name="Nota 3 4 2 2 2" xfId="6203"/>
    <cellStyle name="Nota 3 4 2 2 2 2" xfId="12776"/>
    <cellStyle name="Nota 3 4 2 2 2 2 2" xfId="27098"/>
    <cellStyle name="Nota 3 4 2 2 2 3" xfId="18421"/>
    <cellStyle name="Nota 3 4 2 2 3" xfId="7968"/>
    <cellStyle name="Nota 3 4 2 2 3 2" xfId="10582"/>
    <cellStyle name="Nota 3 4 2 2 3 2 2" xfId="16844"/>
    <cellStyle name="Nota 3 4 2 2 3 2 2 2" xfId="30260"/>
    <cellStyle name="Nota 3 4 2 2 3 2 3" xfId="21589"/>
    <cellStyle name="Nota 3 4 2 2 3 3" xfId="14572"/>
    <cellStyle name="Nota 3 4 2 2 3 3 2" xfId="28894"/>
    <cellStyle name="Nota 3 4 2 2 3 4" xfId="20217"/>
    <cellStyle name="Nota 3 4 2 2 4" xfId="6815"/>
    <cellStyle name="Nota 3 4 2 2 4 2" xfId="23751"/>
    <cellStyle name="Nota 3 4 2 2 5" xfId="17209"/>
    <cellStyle name="Nota 3 4 2 3" xfId="1610"/>
    <cellStyle name="Nota 3 4 2 3 2" xfId="7824"/>
    <cellStyle name="Nota 3 4 2 3 2 2" xfId="10438"/>
    <cellStyle name="Nota 3 4 2 3 2 2 2" xfId="16700"/>
    <cellStyle name="Nota 3 4 2 3 2 2 2 2" xfId="30116"/>
    <cellStyle name="Nota 3 4 2 3 2 2 3" xfId="21445"/>
    <cellStyle name="Nota 3 4 2 3 2 3" xfId="14428"/>
    <cellStyle name="Nota 3 4 2 3 2 3 2" xfId="28750"/>
    <cellStyle name="Nota 3 4 2 3 2 4" xfId="20073"/>
    <cellStyle name="Nota 3 4 2 3 3" xfId="13281"/>
    <cellStyle name="Nota 3 4 2 3 3 2" xfId="27603"/>
    <cellStyle name="Nota 3 4 2 3 4" xfId="18926"/>
    <cellStyle name="Nota 3 4 2 4" xfId="5731"/>
    <cellStyle name="Nota 3 4 2 4 2" xfId="12284"/>
    <cellStyle name="Nota 3 4 2 4 2 2" xfId="26606"/>
    <cellStyle name="Nota 3 4 2 4 3" xfId="17929"/>
    <cellStyle name="Nota 3 4 2 5" xfId="4737"/>
    <cellStyle name="Nota 3 4 2 5 2" xfId="23160"/>
    <cellStyle name="Nota 3 4 2 6" xfId="4777"/>
    <cellStyle name="Nota 3 4 3" xfId="1611"/>
    <cellStyle name="Nota 3 4 3 2" xfId="1612"/>
    <cellStyle name="Nota 3 4 3 2 2" xfId="6381"/>
    <cellStyle name="Nota 3 4 3 2 2 2" xfId="12964"/>
    <cellStyle name="Nota 3 4 3 2 2 2 2" xfId="27286"/>
    <cellStyle name="Nota 3 4 3 2 2 3" xfId="18609"/>
    <cellStyle name="Nota 3 4 3 2 3" xfId="7902"/>
    <cellStyle name="Nota 3 4 3 2 3 2" xfId="10516"/>
    <cellStyle name="Nota 3 4 3 2 3 2 2" xfId="16778"/>
    <cellStyle name="Nota 3 4 3 2 3 2 2 2" xfId="30194"/>
    <cellStyle name="Nota 3 4 3 2 3 2 3" xfId="21523"/>
    <cellStyle name="Nota 3 4 3 2 3 3" xfId="14506"/>
    <cellStyle name="Nota 3 4 3 2 3 3 2" xfId="28828"/>
    <cellStyle name="Nota 3 4 3 2 3 4" xfId="20151"/>
    <cellStyle name="Nota 3 4 3 2 4" xfId="4874"/>
    <cellStyle name="Nota 3 4 3 2 4 2" xfId="23237"/>
    <cellStyle name="Nota 3 4 3 2 5" xfId="3769"/>
    <cellStyle name="Nota 3 4 3 3" xfId="1613"/>
    <cellStyle name="Nota 3 4 3 3 2" xfId="7654"/>
    <cellStyle name="Nota 3 4 3 3 2 2" xfId="10268"/>
    <cellStyle name="Nota 3 4 3 3 2 2 2" xfId="16530"/>
    <cellStyle name="Nota 3 4 3 3 2 2 2 2" xfId="29946"/>
    <cellStyle name="Nota 3 4 3 3 2 2 3" xfId="21275"/>
    <cellStyle name="Nota 3 4 3 3 2 3" xfId="14258"/>
    <cellStyle name="Nota 3 4 3 3 2 3 2" xfId="28580"/>
    <cellStyle name="Nota 3 4 3 3 2 4" xfId="19903"/>
    <cellStyle name="Nota 3 4 3 3 3" xfId="13422"/>
    <cellStyle name="Nota 3 4 3 3 3 2" xfId="27744"/>
    <cellStyle name="Nota 3 4 3 3 4" xfId="19067"/>
    <cellStyle name="Nota 3 4 3 4" xfId="5895"/>
    <cellStyle name="Nota 3 4 3 4 2" xfId="12448"/>
    <cellStyle name="Nota 3 4 3 4 2 2" xfId="26770"/>
    <cellStyle name="Nota 3 4 3 4 3" xfId="18093"/>
    <cellStyle name="Nota 3 4 3 5" xfId="3017"/>
    <cellStyle name="Nota 3 4 3 5 2" xfId="22408"/>
    <cellStyle name="Nota 3 4 3 6" xfId="14952"/>
    <cellStyle name="Nota 3 4 4" xfId="1614"/>
    <cellStyle name="Nota 3 4 4 2" xfId="6559"/>
    <cellStyle name="Nota 3 4 4 2 2" xfId="13147"/>
    <cellStyle name="Nota 3 4 4 2 2 2" xfId="27469"/>
    <cellStyle name="Nota 3 4 4 2 3" xfId="18792"/>
    <cellStyle name="Nota 3 4 4 3" xfId="7063"/>
    <cellStyle name="Nota 3 4 4 3 2" xfId="9677"/>
    <cellStyle name="Nota 3 4 4 3 2 2" xfId="15939"/>
    <cellStyle name="Nota 3 4 4 3 2 2 2" xfId="29355"/>
    <cellStyle name="Nota 3 4 4 3 2 3" xfId="20684"/>
    <cellStyle name="Nota 3 4 4 3 3" xfId="13667"/>
    <cellStyle name="Nota 3 4 4 3 3 2" xfId="27989"/>
    <cellStyle name="Nota 3 4 4 3 4" xfId="19312"/>
    <cellStyle name="Nota 3 4 4 4" xfId="3820"/>
    <cellStyle name="Nota 3 4 4 4 2" xfId="22598"/>
    <cellStyle name="Nota 3 4 4 5" xfId="15588"/>
    <cellStyle name="Nota 3 4 5" xfId="1615"/>
    <cellStyle name="Nota 3 4 5 2" xfId="7831"/>
    <cellStyle name="Nota 3 4 5 2 2" xfId="10445"/>
    <cellStyle name="Nota 3 4 5 2 2 2" xfId="16707"/>
    <cellStyle name="Nota 3 4 5 2 2 2 2" xfId="30123"/>
    <cellStyle name="Nota 3 4 5 2 2 3" xfId="21452"/>
    <cellStyle name="Nota 3 4 5 2 3" xfId="14435"/>
    <cellStyle name="Nota 3 4 5 2 3 2" xfId="28757"/>
    <cellStyle name="Nota 3 4 5 2 4" xfId="20080"/>
    <cellStyle name="Nota 3 4 5 3" xfId="12848"/>
    <cellStyle name="Nota 3 4 5 3 2" xfId="27170"/>
    <cellStyle name="Nota 3 4 5 4" xfId="18493"/>
    <cellStyle name="Nota 3 4 6" xfId="5435"/>
    <cellStyle name="Nota 3 4 6 2" xfId="11986"/>
    <cellStyle name="Nota 3 4 6 2 2" xfId="26308"/>
    <cellStyle name="Nota 3 4 6 3" xfId="17631"/>
    <cellStyle name="Nota 3 4 7" xfId="3975"/>
    <cellStyle name="Nota 3 4 7 2" xfId="22680"/>
    <cellStyle name="Nota 3 4 8" xfId="15313"/>
    <cellStyle name="Nota 3 5" xfId="1616"/>
    <cellStyle name="Nota 3 5 2" xfId="1617"/>
    <cellStyle name="Nota 3 5 2 2" xfId="1618"/>
    <cellStyle name="Nota 3 5 2 2 2" xfId="6826"/>
    <cellStyle name="Nota 3 5 2 2 2 2" xfId="13430"/>
    <cellStyle name="Nota 3 5 2 2 2 2 2" xfId="27752"/>
    <cellStyle name="Nota 3 5 2 2 2 3" xfId="19075"/>
    <cellStyle name="Nota 3 5 2 2 3" xfId="5322"/>
    <cellStyle name="Nota 3 5 2 2 3 2" xfId="9631"/>
    <cellStyle name="Nota 3 5 2 2 3 2 2" xfId="15893"/>
    <cellStyle name="Nota 3 5 2 2 3 2 2 2" xfId="29309"/>
    <cellStyle name="Nota 3 5 2 2 3 2 3" xfId="20638"/>
    <cellStyle name="Nota 3 5 2 2 3 3" xfId="11872"/>
    <cellStyle name="Nota 3 5 2 2 3 3 2" xfId="26194"/>
    <cellStyle name="Nota 3 5 2 2 3 4" xfId="17517"/>
    <cellStyle name="Nota 3 5 2 2 4" xfId="2782"/>
    <cellStyle name="Nota 3 5 2 2 4 2" xfId="22351"/>
    <cellStyle name="Nota 3 5 2 2 5" xfId="6188"/>
    <cellStyle name="Nota 3 5 2 3" xfId="1619"/>
    <cellStyle name="Nota 3 5 2 3 2" xfId="7522"/>
    <cellStyle name="Nota 3 5 2 3 2 2" xfId="10136"/>
    <cellStyle name="Nota 3 5 2 3 2 2 2" xfId="16398"/>
    <cellStyle name="Nota 3 5 2 3 2 2 2 2" xfId="29814"/>
    <cellStyle name="Nota 3 5 2 3 2 2 3" xfId="21143"/>
    <cellStyle name="Nota 3 5 2 3 2 3" xfId="14126"/>
    <cellStyle name="Nota 3 5 2 3 2 3 2" xfId="28448"/>
    <cellStyle name="Nota 3 5 2 3 2 4" xfId="19771"/>
    <cellStyle name="Nota 3 5 2 3 3" xfId="13258"/>
    <cellStyle name="Nota 3 5 2 3 3 2" xfId="27580"/>
    <cellStyle name="Nota 3 5 2 3 4" xfId="18903"/>
    <cellStyle name="Nota 3 5 2 4" xfId="5703"/>
    <cellStyle name="Nota 3 5 2 4 2" xfId="12256"/>
    <cellStyle name="Nota 3 5 2 4 2 2" xfId="26578"/>
    <cellStyle name="Nota 3 5 2 4 3" xfId="17901"/>
    <cellStyle name="Nota 3 5 2 5" xfId="4922"/>
    <cellStyle name="Nota 3 5 2 5 2" xfId="23264"/>
    <cellStyle name="Nota 3 5 2 6" xfId="4700"/>
    <cellStyle name="Nota 3 5 3" xfId="1620"/>
    <cellStyle name="Nota 3 5 3 2" xfId="1621"/>
    <cellStyle name="Nota 3 5 3 2 2" xfId="6021"/>
    <cellStyle name="Nota 3 5 3 2 2 2" xfId="12581"/>
    <cellStyle name="Nota 3 5 3 2 2 2 2" xfId="26903"/>
    <cellStyle name="Nota 3 5 3 2 2 3" xfId="18226"/>
    <cellStyle name="Nota 3 5 3 2 3" xfId="7841"/>
    <cellStyle name="Nota 3 5 3 2 3 2" xfId="10455"/>
    <cellStyle name="Nota 3 5 3 2 3 2 2" xfId="16717"/>
    <cellStyle name="Nota 3 5 3 2 3 2 2 2" xfId="30133"/>
    <cellStyle name="Nota 3 5 3 2 3 2 3" xfId="21462"/>
    <cellStyle name="Nota 3 5 3 2 3 3" xfId="14445"/>
    <cellStyle name="Nota 3 5 3 2 3 3 2" xfId="28767"/>
    <cellStyle name="Nota 3 5 3 2 3 4" xfId="20090"/>
    <cellStyle name="Nota 3 5 3 2 4" xfId="6148"/>
    <cellStyle name="Nota 3 5 3 2 4 2" xfId="23429"/>
    <cellStyle name="Nota 3 5 3 2 5" xfId="17134"/>
    <cellStyle name="Nota 3 5 3 3" xfId="1622"/>
    <cellStyle name="Nota 3 5 3 3 2" xfId="7074"/>
    <cellStyle name="Nota 3 5 3 3 2 2" xfId="9688"/>
    <cellStyle name="Nota 3 5 3 3 2 2 2" xfId="15950"/>
    <cellStyle name="Nota 3 5 3 3 2 2 2 2" xfId="29366"/>
    <cellStyle name="Nota 3 5 3 3 2 2 3" xfId="20695"/>
    <cellStyle name="Nota 3 5 3 3 2 3" xfId="13678"/>
    <cellStyle name="Nota 3 5 3 3 2 3 2" xfId="28000"/>
    <cellStyle name="Nota 3 5 3 3 2 4" xfId="19323"/>
    <cellStyle name="Nota 3 5 3 3 3" xfId="13379"/>
    <cellStyle name="Nota 3 5 3 3 3 2" xfId="27701"/>
    <cellStyle name="Nota 3 5 3 3 4" xfId="19024"/>
    <cellStyle name="Nota 3 5 3 4" xfId="5835"/>
    <cellStyle name="Nota 3 5 3 4 2" xfId="12388"/>
    <cellStyle name="Nota 3 5 3 4 2 2" xfId="26710"/>
    <cellStyle name="Nota 3 5 3 4 3" xfId="18033"/>
    <cellStyle name="Nota 3 5 3 5" xfId="4621"/>
    <cellStyle name="Nota 3 5 3 5 2" xfId="23070"/>
    <cellStyle name="Nota 3 5 3 6" xfId="4551"/>
    <cellStyle name="Nota 3 5 4" xfId="1623"/>
    <cellStyle name="Nota 3 5 4 2" xfId="6878"/>
    <cellStyle name="Nota 3 5 4 2 2" xfId="13482"/>
    <cellStyle name="Nota 3 5 4 2 2 2" xfId="27804"/>
    <cellStyle name="Nota 3 5 4 2 3" xfId="19127"/>
    <cellStyle name="Nota 3 5 4 3" xfId="7562"/>
    <cellStyle name="Nota 3 5 4 3 2" xfId="10176"/>
    <cellStyle name="Nota 3 5 4 3 2 2" xfId="16438"/>
    <cellStyle name="Nota 3 5 4 3 2 2 2" xfId="29854"/>
    <cellStyle name="Nota 3 5 4 3 2 3" xfId="21183"/>
    <cellStyle name="Nota 3 5 4 3 3" xfId="14166"/>
    <cellStyle name="Nota 3 5 4 3 3 2" xfId="28488"/>
    <cellStyle name="Nota 3 5 4 3 4" xfId="19811"/>
    <cellStyle name="Nota 3 5 4 4" xfId="11347"/>
    <cellStyle name="Nota 3 5 4 4 2" xfId="25669"/>
    <cellStyle name="Nota 3 5 4 5" xfId="3967"/>
    <cellStyle name="Nota 3 5 5" xfId="1624"/>
    <cellStyle name="Nota 3 5 5 2" xfId="7955"/>
    <cellStyle name="Nota 3 5 5 2 2" xfId="10569"/>
    <cellStyle name="Nota 3 5 5 2 2 2" xfId="16831"/>
    <cellStyle name="Nota 3 5 5 2 2 2 2" xfId="30247"/>
    <cellStyle name="Nota 3 5 5 2 2 3" xfId="21576"/>
    <cellStyle name="Nota 3 5 5 2 3" xfId="14559"/>
    <cellStyle name="Nota 3 5 5 2 3 2" xfId="28881"/>
    <cellStyle name="Nota 3 5 5 2 4" xfId="20204"/>
    <cellStyle name="Nota 3 5 5 3" xfId="12766"/>
    <cellStyle name="Nota 3 5 5 3 2" xfId="27088"/>
    <cellStyle name="Nota 3 5 5 4" xfId="18411"/>
    <cellStyle name="Nota 3 5 6" xfId="4113"/>
    <cellStyle name="Nota 3 5 6 2" xfId="6753"/>
    <cellStyle name="Nota 3 5 6 2 2" xfId="23701"/>
    <cellStyle name="Nota 3 5 6 3" xfId="17381"/>
    <cellStyle name="Nota 3 5 7" xfId="4872"/>
    <cellStyle name="Nota 3 5 7 2" xfId="23235"/>
    <cellStyle name="Nota 3 5 8" xfId="15486"/>
    <cellStyle name="Nota 3 6" xfId="1625"/>
    <cellStyle name="Nota 3 6 2" xfId="1626"/>
    <cellStyle name="Nota 3 6 2 2" xfId="1627"/>
    <cellStyle name="Nota 3 6 2 2 2" xfId="6112"/>
    <cellStyle name="Nota 3 6 2 2 2 2" xfId="12680"/>
    <cellStyle name="Nota 3 6 2 2 2 2 2" xfId="27002"/>
    <cellStyle name="Nota 3 6 2 2 2 3" xfId="18325"/>
    <cellStyle name="Nota 3 6 2 2 3" xfId="7926"/>
    <cellStyle name="Nota 3 6 2 2 3 2" xfId="10540"/>
    <cellStyle name="Nota 3 6 2 2 3 2 2" xfId="16802"/>
    <cellStyle name="Nota 3 6 2 2 3 2 2 2" xfId="30218"/>
    <cellStyle name="Nota 3 6 2 2 3 2 3" xfId="21547"/>
    <cellStyle name="Nota 3 6 2 2 3 3" xfId="14530"/>
    <cellStyle name="Nota 3 6 2 2 3 3 2" xfId="28852"/>
    <cellStyle name="Nota 3 6 2 2 3 4" xfId="20175"/>
    <cellStyle name="Nota 3 6 2 2 4" xfId="5028"/>
    <cellStyle name="Nota 3 6 2 2 4 2" xfId="23313"/>
    <cellStyle name="Nota 3 6 2 2 5" xfId="17003"/>
    <cellStyle name="Nota 3 6 2 3" xfId="1628"/>
    <cellStyle name="Nota 3 6 2 3 2" xfId="7922"/>
    <cellStyle name="Nota 3 6 2 3 2 2" xfId="10536"/>
    <cellStyle name="Nota 3 6 2 3 2 2 2" xfId="16798"/>
    <cellStyle name="Nota 3 6 2 3 2 2 2 2" xfId="30214"/>
    <cellStyle name="Nota 3 6 2 3 2 2 3" xfId="21543"/>
    <cellStyle name="Nota 3 6 2 3 2 3" xfId="14526"/>
    <cellStyle name="Nota 3 6 2 3 2 3 2" xfId="28848"/>
    <cellStyle name="Nota 3 6 2 3 2 4" xfId="20171"/>
    <cellStyle name="Nota 3 6 2 3 3" xfId="13244"/>
    <cellStyle name="Nota 3 6 2 3 3 2" xfId="27566"/>
    <cellStyle name="Nota 3 6 2 3 4" xfId="18889"/>
    <cellStyle name="Nota 3 6 2 4" xfId="5685"/>
    <cellStyle name="Nota 3 6 2 4 2" xfId="12238"/>
    <cellStyle name="Nota 3 6 2 4 2 2" xfId="26560"/>
    <cellStyle name="Nota 3 6 2 4 3" xfId="17883"/>
    <cellStyle name="Nota 3 6 2 5" xfId="4825"/>
    <cellStyle name="Nota 3 6 2 5 2" xfId="23206"/>
    <cellStyle name="Nota 3 6 2 6" xfId="15411"/>
    <cellStyle name="Nota 3 6 3" xfId="1629"/>
    <cellStyle name="Nota 3 6 3 2" xfId="1630"/>
    <cellStyle name="Nota 3 6 3 2 2" xfId="6374"/>
    <cellStyle name="Nota 3 6 3 2 2 2" xfId="12957"/>
    <cellStyle name="Nota 3 6 3 2 2 2 2" xfId="27279"/>
    <cellStyle name="Nota 3 6 3 2 2 3" xfId="18602"/>
    <cellStyle name="Nota 3 6 3 2 3" xfId="7155"/>
    <cellStyle name="Nota 3 6 3 2 3 2" xfId="9769"/>
    <cellStyle name="Nota 3 6 3 2 3 2 2" xfId="16031"/>
    <cellStyle name="Nota 3 6 3 2 3 2 2 2" xfId="29447"/>
    <cellStyle name="Nota 3 6 3 2 3 2 3" xfId="20776"/>
    <cellStyle name="Nota 3 6 3 2 3 3" xfId="13759"/>
    <cellStyle name="Nota 3 6 3 2 3 3 2" xfId="28081"/>
    <cellStyle name="Nota 3 6 3 2 3 4" xfId="19404"/>
    <cellStyle name="Nota 3 6 3 2 4" xfId="4833"/>
    <cellStyle name="Nota 3 6 3 2 4 2" xfId="23211"/>
    <cellStyle name="Nota 3 6 3 2 5" xfId="17337"/>
    <cellStyle name="Nota 3 6 3 3" xfId="1631"/>
    <cellStyle name="Nota 3 6 3 3 2" xfId="7966"/>
    <cellStyle name="Nota 3 6 3 3 2 2" xfId="10580"/>
    <cellStyle name="Nota 3 6 3 3 2 2 2" xfId="16842"/>
    <cellStyle name="Nota 3 6 3 3 2 2 2 2" xfId="30258"/>
    <cellStyle name="Nota 3 6 3 3 2 2 3" xfId="21587"/>
    <cellStyle name="Nota 3 6 3 3 2 3" xfId="14570"/>
    <cellStyle name="Nota 3 6 3 3 2 3 2" xfId="28892"/>
    <cellStyle name="Nota 3 6 3 3 2 4" xfId="20215"/>
    <cellStyle name="Nota 3 6 3 3 3" xfId="13388"/>
    <cellStyle name="Nota 3 6 3 3 3 2" xfId="27710"/>
    <cellStyle name="Nota 3 6 3 3 4" xfId="19033"/>
    <cellStyle name="Nota 3 6 3 4" xfId="5849"/>
    <cellStyle name="Nota 3 6 3 4 2" xfId="12402"/>
    <cellStyle name="Nota 3 6 3 4 2 2" xfId="26724"/>
    <cellStyle name="Nota 3 6 3 4 3" xfId="18047"/>
    <cellStyle name="Nota 3 6 3 5" xfId="5585"/>
    <cellStyle name="Nota 3 6 3 5 2" xfId="23355"/>
    <cellStyle name="Nota 3 6 3 6" xfId="15217"/>
    <cellStyle name="Nota 3 6 4" xfId="1632"/>
    <cellStyle name="Nota 3 6 4 2" xfId="6583"/>
    <cellStyle name="Nota 3 6 4 2 2" xfId="13172"/>
    <cellStyle name="Nota 3 6 4 2 2 2" xfId="27494"/>
    <cellStyle name="Nota 3 6 4 2 3" xfId="18817"/>
    <cellStyle name="Nota 3 6 4 3" xfId="3813"/>
    <cellStyle name="Nota 3 6 4 3 2" xfId="9379"/>
    <cellStyle name="Nota 3 6 4 3 2 2" xfId="15641"/>
    <cellStyle name="Nota 3 6 4 3 2 2 2" xfId="29057"/>
    <cellStyle name="Nota 3 6 4 3 2 3" xfId="20386"/>
    <cellStyle name="Nota 3 6 4 3 3" xfId="4324"/>
    <cellStyle name="Nota 3 6 4 3 3 2" xfId="22888"/>
    <cellStyle name="Nota 3 6 4 3 4" xfId="14810"/>
    <cellStyle name="Nota 3 6 4 4" xfId="6755"/>
    <cellStyle name="Nota 3 6 4 4 2" xfId="23703"/>
    <cellStyle name="Nota 3 6 4 5" xfId="14812"/>
    <cellStyle name="Nota 3 6 5" xfId="1633"/>
    <cellStyle name="Nota 3 6 5 2" xfId="7801"/>
    <cellStyle name="Nota 3 6 5 2 2" xfId="10415"/>
    <cellStyle name="Nota 3 6 5 2 2 2" xfId="16677"/>
    <cellStyle name="Nota 3 6 5 2 2 2 2" xfId="30093"/>
    <cellStyle name="Nota 3 6 5 2 2 3" xfId="21422"/>
    <cellStyle name="Nota 3 6 5 2 3" xfId="14405"/>
    <cellStyle name="Nota 3 6 5 2 3 2" xfId="28727"/>
    <cellStyle name="Nota 3 6 5 2 4" xfId="20050"/>
    <cellStyle name="Nota 3 6 5 3" xfId="12716"/>
    <cellStyle name="Nota 3 6 5 3 2" xfId="27038"/>
    <cellStyle name="Nota 3 6 5 4" xfId="18361"/>
    <cellStyle name="Nota 3 6 6" xfId="5115"/>
    <cellStyle name="Nota 3 6 6 2" xfId="11663"/>
    <cellStyle name="Nota 3 6 6 2 2" xfId="25985"/>
    <cellStyle name="Nota 3 6 6 3" xfId="15395"/>
    <cellStyle name="Nota 3 6 7" xfId="6765"/>
    <cellStyle name="Nota 3 6 7 2" xfId="23711"/>
    <cellStyle name="Nota 3 6 8" xfId="14755"/>
    <cellStyle name="Nota 3 7" xfId="1634"/>
    <cellStyle name="Nota 3 7 2" xfId="1635"/>
    <cellStyle name="Nota 3 7 2 2" xfId="1636"/>
    <cellStyle name="Nota 3 7 2 2 2" xfId="6212"/>
    <cellStyle name="Nota 3 7 2 2 2 2" xfId="12785"/>
    <cellStyle name="Nota 3 7 2 2 2 2 2" xfId="27107"/>
    <cellStyle name="Nota 3 7 2 2 2 3" xfId="18430"/>
    <cellStyle name="Nota 3 7 2 2 3" xfId="4774"/>
    <cellStyle name="Nota 3 7 2 2 3 2" xfId="9482"/>
    <cellStyle name="Nota 3 7 2 2 3 2 2" xfId="15744"/>
    <cellStyle name="Nota 3 7 2 2 3 2 2 2" xfId="29160"/>
    <cellStyle name="Nota 3 7 2 2 3 2 3" xfId="20489"/>
    <cellStyle name="Nota 3 7 2 2 3 3" xfId="2810"/>
    <cellStyle name="Nota 3 7 2 2 3 3 2" xfId="22373"/>
    <cellStyle name="Nota 3 7 2 2 3 4" xfId="15406"/>
    <cellStyle name="Nota 3 7 2 2 4" xfId="6078"/>
    <cellStyle name="Nota 3 7 2 2 4 2" xfId="23409"/>
    <cellStyle name="Nota 3 7 2 2 5" xfId="3834"/>
    <cellStyle name="Nota 3 7 2 3" xfId="1637"/>
    <cellStyle name="Nota 3 7 2 3 2" xfId="8013"/>
    <cellStyle name="Nota 3 7 2 3 2 2" xfId="10627"/>
    <cellStyle name="Nota 3 7 2 3 2 2 2" xfId="16889"/>
    <cellStyle name="Nota 3 7 2 3 2 2 2 2" xfId="30305"/>
    <cellStyle name="Nota 3 7 2 3 2 2 3" xfId="21634"/>
    <cellStyle name="Nota 3 7 2 3 2 3" xfId="14617"/>
    <cellStyle name="Nota 3 7 2 3 2 3 2" xfId="28939"/>
    <cellStyle name="Nota 3 7 2 3 2 4" xfId="20262"/>
    <cellStyle name="Nota 3 7 2 3 3" xfId="13414"/>
    <cellStyle name="Nota 3 7 2 3 3 2" xfId="27736"/>
    <cellStyle name="Nota 3 7 2 3 4" xfId="19059"/>
    <cellStyle name="Nota 3 7 2 4" xfId="5882"/>
    <cellStyle name="Nota 3 7 2 4 2" xfId="12435"/>
    <cellStyle name="Nota 3 7 2 4 2 2" xfId="26757"/>
    <cellStyle name="Nota 3 7 2 4 3" xfId="18080"/>
    <cellStyle name="Nota 3 7 2 5" xfId="4582"/>
    <cellStyle name="Nota 3 7 2 5 2" xfId="23048"/>
    <cellStyle name="Nota 3 7 2 6" xfId="16975"/>
    <cellStyle name="Nota 3 7 3" xfId="1638"/>
    <cellStyle name="Nota 3 7 3 2" xfId="5202"/>
    <cellStyle name="Nota 3 7 3 2 2" xfId="11751"/>
    <cellStyle name="Nota 3 7 3 2 2 2" xfId="26073"/>
    <cellStyle name="Nota 3 7 3 2 3" xfId="4088"/>
    <cellStyle name="Nota 3 7 3 3" xfId="7319"/>
    <cellStyle name="Nota 3 7 3 3 2" xfId="9933"/>
    <cellStyle name="Nota 3 7 3 3 2 2" xfId="16195"/>
    <cellStyle name="Nota 3 7 3 3 2 2 2" xfId="29611"/>
    <cellStyle name="Nota 3 7 3 3 2 3" xfId="20940"/>
    <cellStyle name="Nota 3 7 3 3 3" xfId="13923"/>
    <cellStyle name="Nota 3 7 3 3 3 2" xfId="28245"/>
    <cellStyle name="Nota 3 7 3 3 4" xfId="19568"/>
    <cellStyle name="Nota 3 7 3 4" xfId="4990"/>
    <cellStyle name="Nota 3 7 3 4 2" xfId="23297"/>
    <cellStyle name="Nota 3 7 3 5" xfId="17367"/>
    <cellStyle name="Nota 3 7 4" xfId="1639"/>
    <cellStyle name="Nota 3 7 4 2" xfId="7919"/>
    <cellStyle name="Nota 3 7 4 2 2" xfId="10533"/>
    <cellStyle name="Nota 3 7 4 2 2 2" xfId="16795"/>
    <cellStyle name="Nota 3 7 4 2 2 2 2" xfId="30211"/>
    <cellStyle name="Nota 3 7 4 2 2 3" xfId="21540"/>
    <cellStyle name="Nota 3 7 4 2 3" xfId="14523"/>
    <cellStyle name="Nota 3 7 4 2 3 2" xfId="28845"/>
    <cellStyle name="Nota 3 7 4 2 4" xfId="20168"/>
    <cellStyle name="Nota 3 7 4 3" xfId="12718"/>
    <cellStyle name="Nota 3 7 4 3 2" xfId="27040"/>
    <cellStyle name="Nota 3 7 4 4" xfId="18363"/>
    <cellStyle name="Nota 3 7 5" xfId="4914"/>
    <cellStyle name="Nota 3 7 5 2" xfId="11451"/>
    <cellStyle name="Nota 3 7 5 2 2" xfId="25773"/>
    <cellStyle name="Nota 3 7 5 3" xfId="15506"/>
    <cellStyle name="Nota 3 7 6" xfId="4683"/>
    <cellStyle name="Nota 3 7 6 2" xfId="23119"/>
    <cellStyle name="Nota 3 7 7" xfId="15376"/>
    <cellStyle name="Nota 3 8" xfId="1640"/>
    <cellStyle name="Nota 3 8 2" xfId="1641"/>
    <cellStyle name="Nota 3 8 2 2" xfId="6966"/>
    <cellStyle name="Nota 3 8 2 2 2" xfId="13570"/>
    <cellStyle name="Nota 3 8 2 2 2 2" xfId="27892"/>
    <cellStyle name="Nota 3 8 2 2 3" xfId="19215"/>
    <cellStyle name="Nota 3 8 2 3" xfId="7846"/>
    <cellStyle name="Nota 3 8 2 3 2" xfId="10460"/>
    <cellStyle name="Nota 3 8 2 3 2 2" xfId="16722"/>
    <cellStyle name="Nota 3 8 2 3 2 2 2" xfId="30138"/>
    <cellStyle name="Nota 3 8 2 3 2 3" xfId="21467"/>
    <cellStyle name="Nota 3 8 2 3 3" xfId="14450"/>
    <cellStyle name="Nota 3 8 2 3 3 2" xfId="28772"/>
    <cellStyle name="Nota 3 8 2 3 4" xfId="20095"/>
    <cellStyle name="Nota 3 8 2 4" xfId="11470"/>
    <cellStyle name="Nota 3 8 2 4 2" xfId="25792"/>
    <cellStyle name="Nota 3 8 2 5" xfId="5236"/>
    <cellStyle name="Nota 3 8 3" xfId="1642"/>
    <cellStyle name="Nota 3 8 3 2" xfId="5314"/>
    <cellStyle name="Nota 3 8 3 2 2" xfId="9623"/>
    <cellStyle name="Nota 3 8 3 2 2 2" xfId="15885"/>
    <cellStyle name="Nota 3 8 3 2 2 2 2" xfId="29301"/>
    <cellStyle name="Nota 3 8 3 2 2 3" xfId="20630"/>
    <cellStyle name="Nota 3 8 3 2 3" xfId="11864"/>
    <cellStyle name="Nota 3 8 3 2 3 2" xfId="26186"/>
    <cellStyle name="Nota 3 8 3 2 4" xfId="17509"/>
    <cellStyle name="Nota 3 8 3 3" xfId="13041"/>
    <cellStyle name="Nota 3 8 3 3 2" xfId="27363"/>
    <cellStyle name="Nota 3 8 3 4" xfId="18686"/>
    <cellStyle name="Nota 3 8 4" xfId="5359"/>
    <cellStyle name="Nota 3 8 4 2" xfId="11909"/>
    <cellStyle name="Nota 3 8 4 2 2" xfId="26231"/>
    <cellStyle name="Nota 3 8 4 3" xfId="17554"/>
    <cellStyle name="Nota 3 8 5" xfId="3645"/>
    <cellStyle name="Nota 3 8 5 2" xfId="22504"/>
    <cellStyle name="Nota 3 8 6" xfId="4955"/>
    <cellStyle name="Nota 3 9" xfId="1643"/>
    <cellStyle name="Nota 3 9 2" xfId="6077"/>
    <cellStyle name="Nota 3 9 2 2" xfId="12643"/>
    <cellStyle name="Nota 3 9 2 2 2" xfId="26965"/>
    <cellStyle name="Nota 3 9 2 3" xfId="18288"/>
    <cellStyle name="Nota 3 9 3" xfId="5255"/>
    <cellStyle name="Nota 3 9 3 2" xfId="9564"/>
    <cellStyle name="Nota 3 9 3 2 2" xfId="15826"/>
    <cellStyle name="Nota 3 9 3 2 2 2" xfId="29242"/>
    <cellStyle name="Nota 3 9 3 2 3" xfId="20571"/>
    <cellStyle name="Nota 3 9 3 3" xfId="11805"/>
    <cellStyle name="Nota 3 9 3 3 2" xfId="26127"/>
    <cellStyle name="Nota 3 9 3 4" xfId="17450"/>
    <cellStyle name="Nota 3 9 4" xfId="6361"/>
    <cellStyle name="Nota 3 9 4 2" xfId="23545"/>
    <cellStyle name="Nota 3 9 5" xfId="14717"/>
    <cellStyle name="Nota 4" xfId="1644"/>
    <cellStyle name="Nota 4 2" xfId="6115"/>
    <cellStyle name="Nota 4 2 2" xfId="12683"/>
    <cellStyle name="Nota 4 2 2 2" xfId="27005"/>
    <cellStyle name="Nota 4 2 3" xfId="18328"/>
    <cellStyle name="Nota 4 3" xfId="7154"/>
    <cellStyle name="Nota 4 3 2" xfId="9768"/>
    <cellStyle name="Nota 4 3 2 2" xfId="16030"/>
    <cellStyle name="Nota 4 3 2 2 2" xfId="29446"/>
    <cellStyle name="Nota 4 3 2 3" xfId="20775"/>
    <cellStyle name="Nota 4 3 3" xfId="13758"/>
    <cellStyle name="Nota 4 3 3 2" xfId="28080"/>
    <cellStyle name="Nota 4 3 4" xfId="19403"/>
    <cellStyle name="Nota 4 4" xfId="4564"/>
    <cellStyle name="Nota 4 4 2" xfId="23033"/>
    <cellStyle name="Nota 4 5" xfId="17203"/>
    <cellStyle name="Nota 5" xfId="4283"/>
    <cellStyle name="Nota 5 2" xfId="5370"/>
    <cellStyle name="Nota 5 2 2" xfId="23341"/>
    <cellStyle name="Nota 5 3" xfId="6588"/>
    <cellStyle name="Nota 6" xfId="4987"/>
    <cellStyle name="Nota 6 2" xfId="23295"/>
    <cellStyle name="Nota 7" xfId="14905"/>
    <cellStyle name="Nota 8" xfId="20343"/>
    <cellStyle name="Nota 9" xfId="30365"/>
    <cellStyle name="Note 2" xfId="1645"/>
    <cellStyle name="Note 2 2" xfId="1646"/>
    <cellStyle name="Note 2 2 2" xfId="1647"/>
    <cellStyle name="Note 2 2 2 10" xfId="1648"/>
    <cellStyle name="Note 2 2 2 10 2" xfId="7471"/>
    <cellStyle name="Note 2 2 2 10 2 2" xfId="10085"/>
    <cellStyle name="Note 2 2 2 10 2 2 2" xfId="16347"/>
    <cellStyle name="Note 2 2 2 10 2 2 2 2" xfId="29763"/>
    <cellStyle name="Note 2 2 2 10 2 2 3" xfId="21092"/>
    <cellStyle name="Note 2 2 2 10 2 3" xfId="14075"/>
    <cellStyle name="Note 2 2 2 10 2 3 2" xfId="28397"/>
    <cellStyle name="Note 2 2 2 10 2 4" xfId="19720"/>
    <cellStyle name="Note 2 2 2 10 3" xfId="12366"/>
    <cellStyle name="Note 2 2 2 10 3 2" xfId="26688"/>
    <cellStyle name="Note 2 2 2 10 4" xfId="18011"/>
    <cellStyle name="Note 2 2 2 11" xfId="3766"/>
    <cellStyle name="Note 2 2 2 11 2" xfId="6693"/>
    <cellStyle name="Note 2 2 2 11 2 2" xfId="23657"/>
    <cellStyle name="Note 2 2 2 11 3" xfId="15520"/>
    <cellStyle name="Note 2 2 2 12" xfId="4666"/>
    <cellStyle name="Note 2 2 2 12 2" xfId="23105"/>
    <cellStyle name="Note 2 2 2 13" xfId="14737"/>
    <cellStyle name="Note 2 2 2 2" xfId="1649"/>
    <cellStyle name="Note 2 2 2 2 10" xfId="5374"/>
    <cellStyle name="Note 2 2 2 2 10 2" xfId="11924"/>
    <cellStyle name="Note 2 2 2 2 10 2 2" xfId="26246"/>
    <cellStyle name="Note 2 2 2 2 10 3" xfId="17569"/>
    <cellStyle name="Note 2 2 2 2 11" xfId="4604"/>
    <cellStyle name="Note 2 2 2 2 11 2" xfId="23062"/>
    <cellStyle name="Note 2 2 2 2 12" xfId="15076"/>
    <cellStyle name="Note 2 2 2 2 2" xfId="1650"/>
    <cellStyle name="Note 2 2 2 2 2 10" xfId="4479"/>
    <cellStyle name="Note 2 2 2 2 2 10 2" xfId="22977"/>
    <cellStyle name="Note 2 2 2 2 2 11" xfId="17320"/>
    <cellStyle name="Note 2 2 2 2 2 2" xfId="1651"/>
    <cellStyle name="Note 2 2 2 2 2 2 2" xfId="1652"/>
    <cellStyle name="Note 2 2 2 2 2 2 2 2" xfId="1653"/>
    <cellStyle name="Note 2 2 2 2 2 2 2 2 2" xfId="6028"/>
    <cellStyle name="Note 2 2 2 2 2 2 2 2 2 2" xfId="12589"/>
    <cellStyle name="Note 2 2 2 2 2 2 2 2 2 2 2" xfId="26911"/>
    <cellStyle name="Note 2 2 2 2 2 2 2 2 2 3" xfId="18234"/>
    <cellStyle name="Note 2 2 2 2 2 2 2 2 3" xfId="7515"/>
    <cellStyle name="Note 2 2 2 2 2 2 2 2 3 2" xfId="10129"/>
    <cellStyle name="Note 2 2 2 2 2 2 2 2 3 2 2" xfId="16391"/>
    <cellStyle name="Note 2 2 2 2 2 2 2 2 3 2 2 2" xfId="29807"/>
    <cellStyle name="Note 2 2 2 2 2 2 2 2 3 2 3" xfId="21136"/>
    <cellStyle name="Note 2 2 2 2 2 2 2 2 3 3" xfId="14119"/>
    <cellStyle name="Note 2 2 2 2 2 2 2 2 3 3 2" xfId="28441"/>
    <cellStyle name="Note 2 2 2 2 2 2 2 2 3 4" xfId="19764"/>
    <cellStyle name="Note 2 2 2 2 2 2 2 2 4" xfId="4255"/>
    <cellStyle name="Note 2 2 2 2 2 2 2 2 4 2" xfId="22853"/>
    <cellStyle name="Note 2 2 2 2 2 2 2 2 5" xfId="14827"/>
    <cellStyle name="Note 2 2 2 2 2 2 2 3" xfId="1654"/>
    <cellStyle name="Note 2 2 2 2 2 2 2 3 2" xfId="7371"/>
    <cellStyle name="Note 2 2 2 2 2 2 2 3 2 2" xfId="9985"/>
    <cellStyle name="Note 2 2 2 2 2 2 2 3 2 2 2" xfId="16247"/>
    <cellStyle name="Note 2 2 2 2 2 2 2 3 2 2 2 2" xfId="29663"/>
    <cellStyle name="Note 2 2 2 2 2 2 2 3 2 2 3" xfId="20992"/>
    <cellStyle name="Note 2 2 2 2 2 2 2 3 2 3" xfId="13975"/>
    <cellStyle name="Note 2 2 2 2 2 2 2 3 2 3 2" xfId="28297"/>
    <cellStyle name="Note 2 2 2 2 2 2 2 3 2 4" xfId="19620"/>
    <cellStyle name="Note 2 2 2 2 2 2 2 3 3" xfId="13319"/>
    <cellStyle name="Note 2 2 2 2 2 2 2 3 3 2" xfId="27641"/>
    <cellStyle name="Note 2 2 2 2 2 2 2 3 4" xfId="18964"/>
    <cellStyle name="Note 2 2 2 2 2 2 2 4" xfId="5769"/>
    <cellStyle name="Note 2 2 2 2 2 2 2 4 2" xfId="12322"/>
    <cellStyle name="Note 2 2 2 2 2 2 2 4 2 2" xfId="26644"/>
    <cellStyle name="Note 2 2 2 2 2 2 2 4 3" xfId="17967"/>
    <cellStyle name="Note 2 2 2 2 2 2 2 5" xfId="4062"/>
    <cellStyle name="Note 2 2 2 2 2 2 2 5 2" xfId="22736"/>
    <cellStyle name="Note 2 2 2 2 2 2 2 6" xfId="17189"/>
    <cellStyle name="Note 2 2 2 2 2 2 3" xfId="1655"/>
    <cellStyle name="Note 2 2 2 2 2 2 3 2" xfId="1656"/>
    <cellStyle name="Note 2 2 2 2 2 2 3 2 2" xfId="5987"/>
    <cellStyle name="Note 2 2 2 2 2 2 3 2 2 2" xfId="12545"/>
    <cellStyle name="Note 2 2 2 2 2 2 3 2 2 2 2" xfId="26867"/>
    <cellStyle name="Note 2 2 2 2 2 2 3 2 2 3" xfId="18190"/>
    <cellStyle name="Note 2 2 2 2 2 2 3 2 3" xfId="7209"/>
    <cellStyle name="Note 2 2 2 2 2 2 3 2 3 2" xfId="9823"/>
    <cellStyle name="Note 2 2 2 2 2 2 3 2 3 2 2" xfId="16085"/>
    <cellStyle name="Note 2 2 2 2 2 2 3 2 3 2 2 2" xfId="29501"/>
    <cellStyle name="Note 2 2 2 2 2 2 3 2 3 2 3" xfId="20830"/>
    <cellStyle name="Note 2 2 2 2 2 2 3 2 3 3" xfId="13813"/>
    <cellStyle name="Note 2 2 2 2 2 2 3 2 3 3 2" xfId="28135"/>
    <cellStyle name="Note 2 2 2 2 2 2 3 2 3 4" xfId="19458"/>
    <cellStyle name="Note 2 2 2 2 2 2 3 2 4" xfId="4631"/>
    <cellStyle name="Note 2 2 2 2 2 2 3 2 4 2" xfId="23076"/>
    <cellStyle name="Note 2 2 2 2 2 2 3 2 5" xfId="14748"/>
    <cellStyle name="Note 2 2 2 2 2 2 3 3" xfId="1657"/>
    <cellStyle name="Note 2 2 2 2 2 2 3 3 2" xfId="7880"/>
    <cellStyle name="Note 2 2 2 2 2 2 3 3 2 2" xfId="10494"/>
    <cellStyle name="Note 2 2 2 2 2 2 3 3 2 2 2" xfId="16756"/>
    <cellStyle name="Note 2 2 2 2 2 2 3 3 2 2 2 2" xfId="30172"/>
    <cellStyle name="Note 2 2 2 2 2 2 3 3 2 2 3" xfId="21501"/>
    <cellStyle name="Note 2 2 2 2 2 2 3 3 2 3" xfId="14484"/>
    <cellStyle name="Note 2 2 2 2 2 2 3 3 2 3 2" xfId="28806"/>
    <cellStyle name="Note 2 2 2 2 2 2 3 3 2 4" xfId="20129"/>
    <cellStyle name="Note 2 2 2 2 2 2 3 3 3" xfId="11725"/>
    <cellStyle name="Note 2 2 2 2 2 2 3 3 3 2" xfId="26047"/>
    <cellStyle name="Note 2 2 2 2 2 2 3 3 4" xfId="6633"/>
    <cellStyle name="Note 2 2 2 2 2 2 3 4" xfId="5101"/>
    <cellStyle name="Note 2 2 2 2 2 2 3 4 2" xfId="11648"/>
    <cellStyle name="Note 2 2 2 2 2 2 3 4 2 2" xfId="25970"/>
    <cellStyle name="Note 2 2 2 2 2 2 3 4 3" xfId="14920"/>
    <cellStyle name="Note 2 2 2 2 2 2 3 5" xfId="5230"/>
    <cellStyle name="Note 2 2 2 2 2 2 3 5 2" xfId="23338"/>
    <cellStyle name="Note 2 2 2 2 2 2 3 6" xfId="15247"/>
    <cellStyle name="Note 2 2 2 2 2 2 4" xfId="1658"/>
    <cellStyle name="Note 2 2 2 2 2 2 4 2" xfId="6901"/>
    <cellStyle name="Note 2 2 2 2 2 2 4 2 2" xfId="13505"/>
    <cellStyle name="Note 2 2 2 2 2 2 4 2 2 2" xfId="27827"/>
    <cellStyle name="Note 2 2 2 2 2 2 4 2 3" xfId="19150"/>
    <cellStyle name="Note 2 2 2 2 2 2 4 3" xfId="4757"/>
    <cellStyle name="Note 2 2 2 2 2 2 4 3 2" xfId="9477"/>
    <cellStyle name="Note 2 2 2 2 2 2 4 3 2 2" xfId="15739"/>
    <cellStyle name="Note 2 2 2 2 2 2 4 3 2 2 2" xfId="29155"/>
    <cellStyle name="Note 2 2 2 2 2 2 4 3 2 3" xfId="20484"/>
    <cellStyle name="Note 2 2 2 2 2 2 4 3 3" xfId="2777"/>
    <cellStyle name="Note 2 2 2 2 2 2 4 3 3 2" xfId="22346"/>
    <cellStyle name="Note 2 2 2 2 2 2 4 3 4" xfId="17054"/>
    <cellStyle name="Note 2 2 2 2 2 2 4 4" xfId="11380"/>
    <cellStyle name="Note 2 2 2 2 2 2 4 4 2" xfId="25702"/>
    <cellStyle name="Note 2 2 2 2 2 2 4 5" xfId="15117"/>
    <cellStyle name="Note 2 2 2 2 2 2 5" xfId="1659"/>
    <cellStyle name="Note 2 2 2 2 2 2 5 2" xfId="3281"/>
    <cellStyle name="Note 2 2 2 2 2 2 5 2 2" xfId="9053"/>
    <cellStyle name="Note 2 2 2 2 2 2 5 2 2 2" xfId="15392"/>
    <cellStyle name="Note 2 2 2 2 2 2 5 2 2 2 2" xfId="29011"/>
    <cellStyle name="Note 2 2 2 2 2 2 5 2 2 3" xfId="20338"/>
    <cellStyle name="Note 2 2 2 2 2 2 5 2 3" xfId="4548"/>
    <cellStyle name="Note 2 2 2 2 2 2 5 2 3 2" xfId="23025"/>
    <cellStyle name="Note 2 2 2 2 2 2 5 2 4" xfId="14730"/>
    <cellStyle name="Note 2 2 2 2 2 2 5 3" xfId="12895"/>
    <cellStyle name="Note 2 2 2 2 2 2 5 3 2" xfId="27217"/>
    <cellStyle name="Note 2 2 2 2 2 2 5 4" xfId="18540"/>
    <cellStyle name="Note 2 2 2 2 2 2 6" xfId="5513"/>
    <cellStyle name="Note 2 2 2 2 2 2 6 2" xfId="12064"/>
    <cellStyle name="Note 2 2 2 2 2 2 6 2 2" xfId="26386"/>
    <cellStyle name="Note 2 2 2 2 2 2 6 3" xfId="17709"/>
    <cellStyle name="Note 2 2 2 2 2 2 7" xfId="6342"/>
    <cellStyle name="Note 2 2 2 2 2 2 7 2" xfId="23528"/>
    <cellStyle name="Note 2 2 2 2 2 2 8" xfId="15122"/>
    <cellStyle name="Note 2 2 2 2 2 3" xfId="1660"/>
    <cellStyle name="Note 2 2 2 2 2 3 2" xfId="1661"/>
    <cellStyle name="Note 2 2 2 2 2 3 2 2" xfId="1662"/>
    <cellStyle name="Note 2 2 2 2 2 3 2 2 2" xfId="6426"/>
    <cellStyle name="Note 2 2 2 2 2 3 2 2 2 2" xfId="13009"/>
    <cellStyle name="Note 2 2 2 2 2 3 2 2 2 2 2" xfId="27331"/>
    <cellStyle name="Note 2 2 2 2 2 3 2 2 2 3" xfId="18654"/>
    <cellStyle name="Note 2 2 2 2 2 3 2 2 3" xfId="7482"/>
    <cellStyle name="Note 2 2 2 2 2 3 2 2 3 2" xfId="10096"/>
    <cellStyle name="Note 2 2 2 2 2 3 2 2 3 2 2" xfId="16358"/>
    <cellStyle name="Note 2 2 2 2 2 3 2 2 3 2 2 2" xfId="29774"/>
    <cellStyle name="Note 2 2 2 2 2 3 2 2 3 2 3" xfId="21103"/>
    <cellStyle name="Note 2 2 2 2 2 3 2 2 3 3" xfId="14086"/>
    <cellStyle name="Note 2 2 2 2 2 3 2 2 3 3 2" xfId="28408"/>
    <cellStyle name="Note 2 2 2 2 2 3 2 2 3 4" xfId="19731"/>
    <cellStyle name="Note 2 2 2 2 2 3 2 2 4" xfId="6673"/>
    <cellStyle name="Note 2 2 2 2 2 3 2 2 4 2" xfId="23645"/>
    <cellStyle name="Note 2 2 2 2 2 3 2 2 5" xfId="15144"/>
    <cellStyle name="Note 2 2 2 2 2 3 2 3" xfId="1663"/>
    <cellStyle name="Note 2 2 2 2 2 3 2 3 2" xfId="7104"/>
    <cellStyle name="Note 2 2 2 2 2 3 2 3 2 2" xfId="9718"/>
    <cellStyle name="Note 2 2 2 2 2 3 2 3 2 2 2" xfId="15980"/>
    <cellStyle name="Note 2 2 2 2 2 3 2 3 2 2 2 2" xfId="29396"/>
    <cellStyle name="Note 2 2 2 2 2 3 2 3 2 2 3" xfId="20725"/>
    <cellStyle name="Note 2 2 2 2 2 3 2 3 2 3" xfId="13708"/>
    <cellStyle name="Note 2 2 2 2 2 3 2 3 2 3 2" xfId="28030"/>
    <cellStyle name="Note 2 2 2 2 2 3 2 3 2 4" xfId="19353"/>
    <cellStyle name="Note 2 2 2 2 2 3 2 3 3" xfId="13355"/>
    <cellStyle name="Note 2 2 2 2 2 3 2 3 3 2" xfId="27677"/>
    <cellStyle name="Note 2 2 2 2 2 3 2 3 4" xfId="19000"/>
    <cellStyle name="Note 2 2 2 2 2 3 2 4" xfId="5805"/>
    <cellStyle name="Note 2 2 2 2 2 3 2 4 2" xfId="12358"/>
    <cellStyle name="Note 2 2 2 2 2 3 2 4 2 2" xfId="26680"/>
    <cellStyle name="Note 2 2 2 2 2 3 2 4 3" xfId="18003"/>
    <cellStyle name="Note 2 2 2 2 2 3 2 5" xfId="4889"/>
    <cellStyle name="Note 2 2 2 2 2 3 2 5 2" xfId="23247"/>
    <cellStyle name="Note 2 2 2 2 2 3 2 6" xfId="14764"/>
    <cellStyle name="Note 2 2 2 2 2 3 3" xfId="1664"/>
    <cellStyle name="Note 2 2 2 2 2 3 3 2" xfId="1665"/>
    <cellStyle name="Note 2 2 2 2 2 3 3 2 2" xfId="6934"/>
    <cellStyle name="Note 2 2 2 2 2 3 3 2 2 2" xfId="13538"/>
    <cellStyle name="Note 2 2 2 2 2 3 3 2 2 2 2" xfId="27860"/>
    <cellStyle name="Note 2 2 2 2 2 3 3 2 2 3" xfId="19183"/>
    <cellStyle name="Note 2 2 2 2 2 3 3 2 3" xfId="7368"/>
    <cellStyle name="Note 2 2 2 2 2 3 3 2 3 2" xfId="9982"/>
    <cellStyle name="Note 2 2 2 2 2 3 3 2 3 2 2" xfId="16244"/>
    <cellStyle name="Note 2 2 2 2 2 3 3 2 3 2 2 2" xfId="29660"/>
    <cellStyle name="Note 2 2 2 2 2 3 3 2 3 2 3" xfId="20989"/>
    <cellStyle name="Note 2 2 2 2 2 3 3 2 3 3" xfId="13972"/>
    <cellStyle name="Note 2 2 2 2 2 3 3 2 3 3 2" xfId="28294"/>
    <cellStyle name="Note 2 2 2 2 2 3 3 2 3 4" xfId="19617"/>
    <cellStyle name="Note 2 2 2 2 2 3 3 2 4" xfId="11427"/>
    <cellStyle name="Note 2 2 2 2 2 3 3 2 4 2" xfId="25749"/>
    <cellStyle name="Note 2 2 2 2 2 3 3 2 5" xfId="3963"/>
    <cellStyle name="Note 2 2 2 2 2 3 3 3" xfId="1666"/>
    <cellStyle name="Note 2 2 2 2 2 3 3 3 2" xfId="7180"/>
    <cellStyle name="Note 2 2 2 2 2 3 3 3 2 2" xfId="9794"/>
    <cellStyle name="Note 2 2 2 2 2 3 3 3 2 2 2" xfId="16056"/>
    <cellStyle name="Note 2 2 2 2 2 3 3 3 2 2 2 2" xfId="29472"/>
    <cellStyle name="Note 2 2 2 2 2 3 3 3 2 2 3" xfId="20801"/>
    <cellStyle name="Note 2 2 2 2 2 3 3 3 2 3" xfId="13784"/>
    <cellStyle name="Note 2 2 2 2 2 3 3 3 2 3 2" xfId="28106"/>
    <cellStyle name="Note 2 2 2 2 2 3 3 3 2 4" xfId="19429"/>
    <cellStyle name="Note 2 2 2 2 2 3 3 3 3" xfId="11770"/>
    <cellStyle name="Note 2 2 2 2 2 3 3 3 3 2" xfId="26092"/>
    <cellStyle name="Note 2 2 2 2 2 3 3 3 4" xfId="17415"/>
    <cellStyle name="Note 2 2 2 2 2 3 3 4" xfId="3699"/>
    <cellStyle name="Note 2 2 2 2 2 3 3 4 2" xfId="4121"/>
    <cellStyle name="Note 2 2 2 2 2 3 3 4 2 2" xfId="22765"/>
    <cellStyle name="Note 2 2 2 2 2 3 3 4 3" xfId="15578"/>
    <cellStyle name="Note 2 2 2 2 2 3 3 5" xfId="4396"/>
    <cellStyle name="Note 2 2 2 2 2 3 3 5 2" xfId="22926"/>
    <cellStyle name="Note 2 2 2 2 2 3 3 6" xfId="15326"/>
    <cellStyle name="Note 2 2 2 2 2 3 4" xfId="1667"/>
    <cellStyle name="Note 2 2 2 2 2 3 4 2" xfId="5852"/>
    <cellStyle name="Note 2 2 2 2 2 3 4 2 2" xfId="12405"/>
    <cellStyle name="Note 2 2 2 2 2 3 4 2 2 2" xfId="26727"/>
    <cellStyle name="Note 2 2 2 2 2 3 4 2 3" xfId="18050"/>
    <cellStyle name="Note 2 2 2 2 2 3 4 3" xfId="7896"/>
    <cellStyle name="Note 2 2 2 2 2 3 4 3 2" xfId="10510"/>
    <cellStyle name="Note 2 2 2 2 2 3 4 3 2 2" xfId="16772"/>
    <cellStyle name="Note 2 2 2 2 2 3 4 3 2 2 2" xfId="30188"/>
    <cellStyle name="Note 2 2 2 2 2 3 4 3 2 3" xfId="21517"/>
    <cellStyle name="Note 2 2 2 2 2 3 4 3 3" xfId="14500"/>
    <cellStyle name="Note 2 2 2 2 2 3 4 3 3 2" xfId="28822"/>
    <cellStyle name="Note 2 2 2 2 2 3 4 3 4" xfId="20145"/>
    <cellStyle name="Note 2 2 2 2 2 3 4 4" xfId="4632"/>
    <cellStyle name="Note 2 2 2 2 2 3 4 4 2" xfId="23077"/>
    <cellStyle name="Note 2 2 2 2 2 3 4 5" xfId="17060"/>
    <cellStyle name="Note 2 2 2 2 2 3 5" xfId="1668"/>
    <cellStyle name="Note 2 2 2 2 2 3 5 2" xfId="7247"/>
    <cellStyle name="Note 2 2 2 2 2 3 5 2 2" xfId="9861"/>
    <cellStyle name="Note 2 2 2 2 2 3 5 2 2 2" xfId="16123"/>
    <cellStyle name="Note 2 2 2 2 2 3 5 2 2 2 2" xfId="29539"/>
    <cellStyle name="Note 2 2 2 2 2 3 5 2 2 3" xfId="20868"/>
    <cellStyle name="Note 2 2 2 2 2 3 5 2 3" xfId="13851"/>
    <cellStyle name="Note 2 2 2 2 2 3 5 2 3 2" xfId="28173"/>
    <cellStyle name="Note 2 2 2 2 2 3 5 2 4" xfId="19496"/>
    <cellStyle name="Note 2 2 2 2 2 3 5 3" xfId="12931"/>
    <cellStyle name="Note 2 2 2 2 2 3 5 3 2" xfId="27253"/>
    <cellStyle name="Note 2 2 2 2 2 3 5 4" xfId="18576"/>
    <cellStyle name="Note 2 2 2 2 2 3 6" xfId="5555"/>
    <cellStyle name="Note 2 2 2 2 2 3 6 2" xfId="12106"/>
    <cellStyle name="Note 2 2 2 2 2 3 6 2 2" xfId="26428"/>
    <cellStyle name="Note 2 2 2 2 2 3 6 3" xfId="17751"/>
    <cellStyle name="Note 2 2 2 2 2 3 7" xfId="3845"/>
    <cellStyle name="Note 2 2 2 2 2 3 7 2" xfId="22610"/>
    <cellStyle name="Note 2 2 2 2 2 3 8" xfId="4382"/>
    <cellStyle name="Note 2 2 2 2 2 4" xfId="1669"/>
    <cellStyle name="Note 2 2 2 2 2 4 2" xfId="1670"/>
    <cellStyle name="Note 2 2 2 2 2 4 2 2" xfId="1671"/>
    <cellStyle name="Note 2 2 2 2 2 4 2 2 2" xfId="6872"/>
    <cellStyle name="Note 2 2 2 2 2 4 2 2 2 2" xfId="13476"/>
    <cellStyle name="Note 2 2 2 2 2 4 2 2 2 2 2" xfId="27798"/>
    <cellStyle name="Note 2 2 2 2 2 4 2 2 2 3" xfId="19121"/>
    <cellStyle name="Note 2 2 2 2 2 4 2 2 3" xfId="7092"/>
    <cellStyle name="Note 2 2 2 2 2 4 2 2 3 2" xfId="9706"/>
    <cellStyle name="Note 2 2 2 2 2 4 2 2 3 2 2" xfId="15968"/>
    <cellStyle name="Note 2 2 2 2 2 4 2 2 3 2 2 2" xfId="29384"/>
    <cellStyle name="Note 2 2 2 2 2 4 2 2 3 2 3" xfId="20713"/>
    <cellStyle name="Note 2 2 2 2 2 4 2 2 3 3" xfId="13696"/>
    <cellStyle name="Note 2 2 2 2 2 4 2 2 3 3 2" xfId="28018"/>
    <cellStyle name="Note 2 2 2 2 2 4 2 2 3 4" xfId="19341"/>
    <cellStyle name="Note 2 2 2 2 2 4 2 2 4" xfId="11339"/>
    <cellStyle name="Note 2 2 2 2 2 4 2 2 4 2" xfId="25661"/>
    <cellStyle name="Note 2 2 2 2 2 4 2 2 5" xfId="4165"/>
    <cellStyle name="Note 2 2 2 2 2 4 2 3" xfId="1672"/>
    <cellStyle name="Note 2 2 2 2 2 4 2 3 2" xfId="7492"/>
    <cellStyle name="Note 2 2 2 2 2 4 2 3 2 2" xfId="10106"/>
    <cellStyle name="Note 2 2 2 2 2 4 2 3 2 2 2" xfId="16368"/>
    <cellStyle name="Note 2 2 2 2 2 4 2 3 2 2 2 2" xfId="29784"/>
    <cellStyle name="Note 2 2 2 2 2 4 2 3 2 2 3" xfId="21113"/>
    <cellStyle name="Note 2 2 2 2 2 4 2 3 2 3" xfId="14096"/>
    <cellStyle name="Note 2 2 2 2 2 4 2 3 2 3 2" xfId="28418"/>
    <cellStyle name="Note 2 2 2 2 2 4 2 3 2 4" xfId="19741"/>
    <cellStyle name="Note 2 2 2 2 2 4 2 3 3" xfId="13271"/>
    <cellStyle name="Note 2 2 2 2 2 4 2 3 3 2" xfId="27593"/>
    <cellStyle name="Note 2 2 2 2 2 4 2 3 4" xfId="18916"/>
    <cellStyle name="Note 2 2 2 2 2 4 2 4" xfId="5717"/>
    <cellStyle name="Note 2 2 2 2 2 4 2 4 2" xfId="12270"/>
    <cellStyle name="Note 2 2 2 2 2 4 2 4 2 2" xfId="26592"/>
    <cellStyle name="Note 2 2 2 2 2 4 2 4 3" xfId="17915"/>
    <cellStyle name="Note 2 2 2 2 2 4 2 5" xfId="6096"/>
    <cellStyle name="Note 2 2 2 2 2 4 2 5 2" xfId="23413"/>
    <cellStyle name="Note 2 2 2 2 2 4 2 6" xfId="15453"/>
    <cellStyle name="Note 2 2 2 2 2 4 3" xfId="1673"/>
    <cellStyle name="Note 2 2 2 2 2 4 3 2" xfId="1674"/>
    <cellStyle name="Note 2 2 2 2 2 4 3 2 2" xfId="6425"/>
    <cellStyle name="Note 2 2 2 2 2 4 3 2 2 2" xfId="13008"/>
    <cellStyle name="Note 2 2 2 2 2 4 3 2 2 2 2" xfId="27330"/>
    <cellStyle name="Note 2 2 2 2 2 4 3 2 2 3" xfId="18653"/>
    <cellStyle name="Note 2 2 2 2 2 4 3 2 3" xfId="7724"/>
    <cellStyle name="Note 2 2 2 2 2 4 3 2 3 2" xfId="10338"/>
    <cellStyle name="Note 2 2 2 2 2 4 3 2 3 2 2" xfId="16600"/>
    <cellStyle name="Note 2 2 2 2 2 4 3 2 3 2 2 2" xfId="30016"/>
    <cellStyle name="Note 2 2 2 2 2 4 3 2 3 2 3" xfId="21345"/>
    <cellStyle name="Note 2 2 2 2 2 4 3 2 3 3" xfId="14328"/>
    <cellStyle name="Note 2 2 2 2 2 4 3 2 3 3 2" xfId="28650"/>
    <cellStyle name="Note 2 2 2 2 2 4 3 2 3 4" xfId="19973"/>
    <cellStyle name="Note 2 2 2 2 2 4 3 2 4" xfId="3936"/>
    <cellStyle name="Note 2 2 2 2 2 4 3 2 4 2" xfId="22654"/>
    <cellStyle name="Note 2 2 2 2 2 4 3 2 5" xfId="5108"/>
    <cellStyle name="Note 2 2 2 2 2 4 3 3" xfId="1675"/>
    <cellStyle name="Note 2 2 2 2 2 4 3 3 2" xfId="4029"/>
    <cellStyle name="Note 2 2 2 2 2 4 3 3 2 2" xfId="9415"/>
    <cellStyle name="Note 2 2 2 2 2 4 3 3 2 2 2" xfId="15677"/>
    <cellStyle name="Note 2 2 2 2 2 4 3 3 2 2 2 2" xfId="29093"/>
    <cellStyle name="Note 2 2 2 2 2 4 3 3 2 2 3" xfId="20422"/>
    <cellStyle name="Note 2 2 2 2 2 4 3 3 2 3" xfId="4956"/>
    <cellStyle name="Note 2 2 2 2 2 4 3 3 2 3 2" xfId="23278"/>
    <cellStyle name="Note 2 2 2 2 2 4 3 3 2 4" xfId="15115"/>
    <cellStyle name="Note 2 2 2 2 2 4 3 3 3" xfId="13040"/>
    <cellStyle name="Note 2 2 2 2 2 4 3 3 3 2" xfId="27362"/>
    <cellStyle name="Note 2 2 2 2 2 4 3 3 4" xfId="18685"/>
    <cellStyle name="Note 2 2 2 2 2 4 3 4" xfId="5358"/>
    <cellStyle name="Note 2 2 2 2 2 4 3 4 2" xfId="11908"/>
    <cellStyle name="Note 2 2 2 2 2 4 3 4 2 2" xfId="26230"/>
    <cellStyle name="Note 2 2 2 2 2 4 3 4 3" xfId="17553"/>
    <cellStyle name="Note 2 2 2 2 2 4 3 5" xfId="4169"/>
    <cellStyle name="Note 2 2 2 2 2 4 3 5 2" xfId="22794"/>
    <cellStyle name="Note 2 2 2 2 2 4 3 6" xfId="6277"/>
    <cellStyle name="Note 2 2 2 2 2 4 4" xfId="1676"/>
    <cellStyle name="Note 2 2 2 2 2 4 4 2" xfId="5058"/>
    <cellStyle name="Note 2 2 2 2 2 4 4 2 2" xfId="11605"/>
    <cellStyle name="Note 2 2 2 2 2 4 4 2 2 2" xfId="25927"/>
    <cellStyle name="Note 2 2 2 2 2 4 4 2 3" xfId="14901"/>
    <cellStyle name="Note 2 2 2 2 2 4 4 3" xfId="7249"/>
    <cellStyle name="Note 2 2 2 2 2 4 4 3 2" xfId="9863"/>
    <cellStyle name="Note 2 2 2 2 2 4 4 3 2 2" xfId="16125"/>
    <cellStyle name="Note 2 2 2 2 2 4 4 3 2 2 2" xfId="29541"/>
    <cellStyle name="Note 2 2 2 2 2 4 4 3 2 3" xfId="20870"/>
    <cellStyle name="Note 2 2 2 2 2 4 4 3 3" xfId="13853"/>
    <cellStyle name="Note 2 2 2 2 2 4 4 3 3 2" xfId="28175"/>
    <cellStyle name="Note 2 2 2 2 2 4 4 3 4" xfId="19498"/>
    <cellStyle name="Note 2 2 2 2 2 4 4 4" xfId="3736"/>
    <cellStyle name="Note 2 2 2 2 2 4 4 4 2" xfId="22554"/>
    <cellStyle name="Note 2 2 2 2 2 4 4 5" xfId="17075"/>
    <cellStyle name="Note 2 2 2 2 2 4 5" xfId="1677"/>
    <cellStyle name="Note 2 2 2 2 2 4 5 2" xfId="8046"/>
    <cellStyle name="Note 2 2 2 2 2 4 5 2 2" xfId="10660"/>
    <cellStyle name="Note 2 2 2 2 2 4 5 2 2 2" xfId="16922"/>
    <cellStyle name="Note 2 2 2 2 2 4 5 2 2 2 2" xfId="30338"/>
    <cellStyle name="Note 2 2 2 2 2 4 5 2 2 3" xfId="21667"/>
    <cellStyle name="Note 2 2 2 2 2 4 5 2 3" xfId="14650"/>
    <cellStyle name="Note 2 2 2 2 2 4 5 2 3 2" xfId="28972"/>
    <cellStyle name="Note 2 2 2 2 2 4 5 2 4" xfId="20295"/>
    <cellStyle name="Note 2 2 2 2 2 4 5 3" xfId="12829"/>
    <cellStyle name="Note 2 2 2 2 2 4 5 3 2" xfId="27151"/>
    <cellStyle name="Note 2 2 2 2 2 4 5 4" xfId="18474"/>
    <cellStyle name="Note 2 2 2 2 2 4 6" xfId="5389"/>
    <cellStyle name="Note 2 2 2 2 2 4 6 2" xfId="11939"/>
    <cellStyle name="Note 2 2 2 2 2 4 6 2 2" xfId="26261"/>
    <cellStyle name="Note 2 2 2 2 2 4 6 3" xfId="17584"/>
    <cellStyle name="Note 2 2 2 2 2 4 7" xfId="3137"/>
    <cellStyle name="Note 2 2 2 2 2 4 7 2" xfId="22416"/>
    <cellStyle name="Note 2 2 2 2 2 4 8" xfId="14861"/>
    <cellStyle name="Note 2 2 2 2 2 5" xfId="1678"/>
    <cellStyle name="Note 2 2 2 2 2 5 2" xfId="1679"/>
    <cellStyle name="Note 2 2 2 2 2 5 2 2" xfId="1680"/>
    <cellStyle name="Note 2 2 2 2 2 5 2 2 2" xfId="6420"/>
    <cellStyle name="Note 2 2 2 2 2 5 2 2 2 2" xfId="13003"/>
    <cellStyle name="Note 2 2 2 2 2 5 2 2 2 2 2" xfId="27325"/>
    <cellStyle name="Note 2 2 2 2 2 5 2 2 2 3" xfId="18648"/>
    <cellStyle name="Note 2 2 2 2 2 5 2 2 3" xfId="7630"/>
    <cellStyle name="Note 2 2 2 2 2 5 2 2 3 2" xfId="10244"/>
    <cellStyle name="Note 2 2 2 2 2 5 2 2 3 2 2" xfId="16506"/>
    <cellStyle name="Note 2 2 2 2 2 5 2 2 3 2 2 2" xfId="29922"/>
    <cellStyle name="Note 2 2 2 2 2 5 2 2 3 2 3" xfId="21251"/>
    <cellStyle name="Note 2 2 2 2 2 5 2 2 3 3" xfId="14234"/>
    <cellStyle name="Note 2 2 2 2 2 5 2 2 3 3 2" xfId="28556"/>
    <cellStyle name="Note 2 2 2 2 2 5 2 2 3 4" xfId="19879"/>
    <cellStyle name="Note 2 2 2 2 2 5 2 2 4" xfId="3796"/>
    <cellStyle name="Note 2 2 2 2 2 5 2 2 4 2" xfId="22584"/>
    <cellStyle name="Note 2 2 2 2 2 5 2 2 5" xfId="3780"/>
    <cellStyle name="Note 2 2 2 2 2 5 2 3" xfId="1681"/>
    <cellStyle name="Note 2 2 2 2 2 5 2 3 2" xfId="3951"/>
    <cellStyle name="Note 2 2 2 2 2 5 2 3 2 2" xfId="9402"/>
    <cellStyle name="Note 2 2 2 2 2 5 2 3 2 2 2" xfId="15664"/>
    <cellStyle name="Note 2 2 2 2 2 5 2 3 2 2 2 2" xfId="29080"/>
    <cellStyle name="Note 2 2 2 2 2 5 2 3 2 2 3" xfId="20409"/>
    <cellStyle name="Note 2 2 2 2 2 5 2 3 2 3" xfId="4358"/>
    <cellStyle name="Note 2 2 2 2 2 5 2 3 2 3 2" xfId="22903"/>
    <cellStyle name="Note 2 2 2 2 2 5 2 3 2 4" xfId="4926"/>
    <cellStyle name="Note 2 2 2 2 2 5 2 3 3" xfId="12512"/>
    <cellStyle name="Note 2 2 2 2 2 5 2 3 3 2" xfId="26834"/>
    <cellStyle name="Note 2 2 2 2 2 5 2 3 4" xfId="18157"/>
    <cellStyle name="Note 2 2 2 2 2 5 2 4" xfId="5147"/>
    <cellStyle name="Note 2 2 2 2 2 5 2 4 2" xfId="11696"/>
    <cellStyle name="Note 2 2 2 2 2 5 2 4 2 2" xfId="26018"/>
    <cellStyle name="Note 2 2 2 2 2 5 2 4 3" xfId="6271"/>
    <cellStyle name="Note 2 2 2 2 2 5 2 5" xfId="4575"/>
    <cellStyle name="Note 2 2 2 2 2 5 2 5 2" xfId="23042"/>
    <cellStyle name="Note 2 2 2 2 2 5 2 6" xfId="4208"/>
    <cellStyle name="Note 2 2 2 2 2 5 3" xfId="1682"/>
    <cellStyle name="Note 2 2 2 2 2 5 3 2" xfId="6522"/>
    <cellStyle name="Note 2 2 2 2 2 5 3 2 2" xfId="13110"/>
    <cellStyle name="Note 2 2 2 2 2 5 3 2 2 2" xfId="27432"/>
    <cellStyle name="Note 2 2 2 2 2 5 3 2 3" xfId="18755"/>
    <cellStyle name="Note 2 2 2 2 2 5 3 3" xfId="7349"/>
    <cellStyle name="Note 2 2 2 2 2 5 3 3 2" xfId="9963"/>
    <cellStyle name="Note 2 2 2 2 2 5 3 3 2 2" xfId="16225"/>
    <cellStyle name="Note 2 2 2 2 2 5 3 3 2 2 2" xfId="29641"/>
    <cellStyle name="Note 2 2 2 2 2 5 3 3 2 3" xfId="20970"/>
    <cellStyle name="Note 2 2 2 2 2 5 3 3 3" xfId="13953"/>
    <cellStyle name="Note 2 2 2 2 2 5 3 3 3 2" xfId="28275"/>
    <cellStyle name="Note 2 2 2 2 2 5 3 3 4" xfId="19598"/>
    <cellStyle name="Note 2 2 2 2 2 5 3 4" xfId="2835"/>
    <cellStyle name="Note 2 2 2 2 2 5 3 4 2" xfId="22398"/>
    <cellStyle name="Note 2 2 2 2 2 5 3 5" xfId="14895"/>
    <cellStyle name="Note 2 2 2 2 2 5 4" xfId="1683"/>
    <cellStyle name="Note 2 2 2 2 2 5 4 2" xfId="7874"/>
    <cellStyle name="Note 2 2 2 2 2 5 4 2 2" xfId="10488"/>
    <cellStyle name="Note 2 2 2 2 2 5 4 2 2 2" xfId="16750"/>
    <cellStyle name="Note 2 2 2 2 2 5 4 2 2 2 2" xfId="30166"/>
    <cellStyle name="Note 2 2 2 2 2 5 4 2 2 3" xfId="21495"/>
    <cellStyle name="Note 2 2 2 2 2 5 4 2 3" xfId="14478"/>
    <cellStyle name="Note 2 2 2 2 2 5 4 2 3 2" xfId="28800"/>
    <cellStyle name="Note 2 2 2 2 2 5 4 2 4" xfId="20123"/>
    <cellStyle name="Note 2 2 2 2 2 5 4 3" xfId="12939"/>
    <cellStyle name="Note 2 2 2 2 2 5 4 3 2" xfId="27261"/>
    <cellStyle name="Note 2 2 2 2 2 5 4 4" xfId="18584"/>
    <cellStyle name="Note 2 2 2 2 2 5 5" xfId="5569"/>
    <cellStyle name="Note 2 2 2 2 2 5 5 2" xfId="12120"/>
    <cellStyle name="Note 2 2 2 2 2 5 5 2 2" xfId="26442"/>
    <cellStyle name="Note 2 2 2 2 2 5 5 3" xfId="17765"/>
    <cellStyle name="Note 2 2 2 2 2 5 6" xfId="6734"/>
    <cellStyle name="Note 2 2 2 2 2 5 6 2" xfId="23686"/>
    <cellStyle name="Note 2 2 2 2 2 5 7" xfId="5999"/>
    <cellStyle name="Note 2 2 2 2 2 6" xfId="1684"/>
    <cellStyle name="Note 2 2 2 2 2 6 2" xfId="1685"/>
    <cellStyle name="Note 2 2 2 2 2 6 2 2" xfId="5172"/>
    <cellStyle name="Note 2 2 2 2 2 6 2 2 2" xfId="11721"/>
    <cellStyle name="Note 2 2 2 2 2 6 2 2 2 2" xfId="26043"/>
    <cellStyle name="Note 2 2 2 2 2 6 2 2 3" xfId="6803"/>
    <cellStyle name="Note 2 2 2 2 2 6 2 3" xfId="5303"/>
    <cellStyle name="Note 2 2 2 2 2 6 2 3 2" xfId="9612"/>
    <cellStyle name="Note 2 2 2 2 2 6 2 3 2 2" xfId="15874"/>
    <cellStyle name="Note 2 2 2 2 2 6 2 3 2 2 2" xfId="29290"/>
    <cellStyle name="Note 2 2 2 2 2 6 2 3 2 3" xfId="20619"/>
    <cellStyle name="Note 2 2 2 2 2 6 2 3 3" xfId="11853"/>
    <cellStyle name="Note 2 2 2 2 2 6 2 3 3 2" xfId="26175"/>
    <cellStyle name="Note 2 2 2 2 2 6 2 3 4" xfId="17498"/>
    <cellStyle name="Note 2 2 2 2 2 6 2 4" xfId="3928"/>
    <cellStyle name="Note 2 2 2 2 2 6 2 4 2" xfId="22650"/>
    <cellStyle name="Note 2 2 2 2 2 6 2 5" xfId="17112"/>
    <cellStyle name="Note 2 2 2 2 2 6 3" xfId="1686"/>
    <cellStyle name="Note 2 2 2 2 2 6 3 2" xfId="7415"/>
    <cellStyle name="Note 2 2 2 2 2 6 3 2 2" xfId="10029"/>
    <cellStyle name="Note 2 2 2 2 2 6 3 2 2 2" xfId="16291"/>
    <cellStyle name="Note 2 2 2 2 2 6 3 2 2 2 2" xfId="29707"/>
    <cellStyle name="Note 2 2 2 2 2 6 3 2 2 3" xfId="21036"/>
    <cellStyle name="Note 2 2 2 2 2 6 3 2 3" xfId="14019"/>
    <cellStyle name="Note 2 2 2 2 2 6 3 2 3 2" xfId="28341"/>
    <cellStyle name="Note 2 2 2 2 2 6 3 2 4" xfId="19664"/>
    <cellStyle name="Note 2 2 2 2 2 6 3 3" xfId="13217"/>
    <cellStyle name="Note 2 2 2 2 2 6 3 3 2" xfId="27539"/>
    <cellStyle name="Note 2 2 2 2 2 6 3 4" xfId="18862"/>
    <cellStyle name="Note 2 2 2 2 2 6 4" xfId="5658"/>
    <cellStyle name="Note 2 2 2 2 2 6 4 2" xfId="12211"/>
    <cellStyle name="Note 2 2 2 2 2 6 4 2 2" xfId="26533"/>
    <cellStyle name="Note 2 2 2 2 2 6 4 3" xfId="17856"/>
    <cellStyle name="Note 2 2 2 2 2 6 5" xfId="3761"/>
    <cellStyle name="Note 2 2 2 2 2 6 5 2" xfId="22567"/>
    <cellStyle name="Note 2 2 2 2 2 6 6" xfId="17098"/>
    <cellStyle name="Note 2 2 2 2 2 7" xfId="1687"/>
    <cellStyle name="Note 2 2 2 2 2 7 2" xfId="6545"/>
    <cellStyle name="Note 2 2 2 2 2 7 2 2" xfId="13133"/>
    <cellStyle name="Note 2 2 2 2 2 7 2 2 2" xfId="27455"/>
    <cellStyle name="Note 2 2 2 2 2 7 2 3" xfId="18778"/>
    <cellStyle name="Note 2 2 2 2 2 7 3" xfId="7595"/>
    <cellStyle name="Note 2 2 2 2 2 7 3 2" xfId="10209"/>
    <cellStyle name="Note 2 2 2 2 2 7 3 2 2" xfId="16471"/>
    <cellStyle name="Note 2 2 2 2 2 7 3 2 2 2" xfId="29887"/>
    <cellStyle name="Note 2 2 2 2 2 7 3 2 3" xfId="21216"/>
    <cellStyle name="Note 2 2 2 2 2 7 3 3" xfId="14199"/>
    <cellStyle name="Note 2 2 2 2 2 7 3 3 2" xfId="28521"/>
    <cellStyle name="Note 2 2 2 2 2 7 3 4" xfId="19844"/>
    <cellStyle name="Note 2 2 2 2 2 7 4" xfId="5199"/>
    <cellStyle name="Note 2 2 2 2 2 7 4 2" xfId="23335"/>
    <cellStyle name="Note 2 2 2 2 2 7 5" xfId="15507"/>
    <cellStyle name="Note 2 2 2 2 2 8" xfId="1688"/>
    <cellStyle name="Note 2 2 2 2 2 8 2" xfId="7173"/>
    <cellStyle name="Note 2 2 2 2 2 8 2 2" xfId="9787"/>
    <cellStyle name="Note 2 2 2 2 2 8 2 2 2" xfId="16049"/>
    <cellStyle name="Note 2 2 2 2 2 8 2 2 2 2" xfId="29465"/>
    <cellStyle name="Note 2 2 2 2 2 8 2 2 3" xfId="20794"/>
    <cellStyle name="Note 2 2 2 2 2 8 2 3" xfId="13777"/>
    <cellStyle name="Note 2 2 2 2 2 8 2 3 2" xfId="28099"/>
    <cellStyle name="Note 2 2 2 2 2 8 2 4" xfId="19422"/>
    <cellStyle name="Note 2 2 2 2 2 8 3" xfId="12759"/>
    <cellStyle name="Note 2 2 2 2 2 8 3 2" xfId="27081"/>
    <cellStyle name="Note 2 2 2 2 2 8 4" xfId="18404"/>
    <cellStyle name="Note 2 2 2 2 2 9" xfId="5470"/>
    <cellStyle name="Note 2 2 2 2 2 9 2" xfId="12021"/>
    <cellStyle name="Note 2 2 2 2 2 9 2 2" xfId="26343"/>
    <cellStyle name="Note 2 2 2 2 2 9 3" xfId="17666"/>
    <cellStyle name="Note 2 2 2 2 3" xfId="1689"/>
    <cellStyle name="Note 2 2 2 2 3 2" xfId="1690"/>
    <cellStyle name="Note 2 2 2 2 3 2 2" xfId="1691"/>
    <cellStyle name="Note 2 2 2 2 3 2 2 2" xfId="6399"/>
    <cellStyle name="Note 2 2 2 2 3 2 2 2 2" xfId="12982"/>
    <cellStyle name="Note 2 2 2 2 3 2 2 2 2 2" xfId="27304"/>
    <cellStyle name="Note 2 2 2 2 3 2 2 2 3" xfId="18627"/>
    <cellStyle name="Note 2 2 2 2 3 2 2 3" xfId="7285"/>
    <cellStyle name="Note 2 2 2 2 3 2 2 3 2" xfId="9899"/>
    <cellStyle name="Note 2 2 2 2 3 2 2 3 2 2" xfId="16161"/>
    <cellStyle name="Note 2 2 2 2 3 2 2 3 2 2 2" xfId="29577"/>
    <cellStyle name="Note 2 2 2 2 3 2 2 3 2 3" xfId="20906"/>
    <cellStyle name="Note 2 2 2 2 3 2 2 3 3" xfId="13889"/>
    <cellStyle name="Note 2 2 2 2 3 2 2 3 3 2" xfId="28211"/>
    <cellStyle name="Note 2 2 2 2 3 2 2 3 4" xfId="19534"/>
    <cellStyle name="Note 2 2 2 2 3 2 2 4" xfId="2796"/>
    <cellStyle name="Note 2 2 2 2 3 2 2 4 2" xfId="22363"/>
    <cellStyle name="Note 2 2 2 2 3 2 2 5" xfId="17013"/>
    <cellStyle name="Note 2 2 2 2 3 2 3" xfId="1692"/>
    <cellStyle name="Note 2 2 2 2 3 2 3 2" xfId="7139"/>
    <cellStyle name="Note 2 2 2 2 3 2 3 2 2" xfId="9753"/>
    <cellStyle name="Note 2 2 2 2 3 2 3 2 2 2" xfId="16015"/>
    <cellStyle name="Note 2 2 2 2 3 2 3 2 2 2 2" xfId="29431"/>
    <cellStyle name="Note 2 2 2 2 3 2 3 2 2 3" xfId="20760"/>
    <cellStyle name="Note 2 2 2 2 3 2 3 2 3" xfId="13743"/>
    <cellStyle name="Note 2 2 2 2 3 2 3 2 3 2" xfId="28065"/>
    <cellStyle name="Note 2 2 2 2 3 2 3 2 4" xfId="19388"/>
    <cellStyle name="Note 2 2 2 2 3 2 3 3" xfId="13305"/>
    <cellStyle name="Note 2 2 2 2 3 2 3 3 2" xfId="27627"/>
    <cellStyle name="Note 2 2 2 2 3 2 3 4" xfId="18950"/>
    <cellStyle name="Note 2 2 2 2 3 2 4" xfId="5755"/>
    <cellStyle name="Note 2 2 2 2 3 2 4 2" xfId="12308"/>
    <cellStyle name="Note 2 2 2 2 3 2 4 2 2" xfId="26630"/>
    <cellStyle name="Note 2 2 2 2 3 2 4 3" xfId="17953"/>
    <cellStyle name="Note 2 2 2 2 3 2 5" xfId="3263"/>
    <cellStyle name="Note 2 2 2 2 3 2 5 2" xfId="22449"/>
    <cellStyle name="Note 2 2 2 2 3 2 6" xfId="14840"/>
    <cellStyle name="Note 2 2 2 2 3 3" xfId="1693"/>
    <cellStyle name="Note 2 2 2 2 3 3 2" xfId="1694"/>
    <cellStyle name="Note 2 2 2 2 3 3 2 2" xfId="7029"/>
    <cellStyle name="Note 2 2 2 2 3 3 2 2 2" xfId="13633"/>
    <cellStyle name="Note 2 2 2 2 3 3 2 2 2 2" xfId="27955"/>
    <cellStyle name="Note 2 2 2 2 3 3 2 2 3" xfId="19278"/>
    <cellStyle name="Note 2 2 2 2 3 3 2 3" xfId="7327"/>
    <cellStyle name="Note 2 2 2 2 3 3 2 3 2" xfId="9941"/>
    <cellStyle name="Note 2 2 2 2 3 3 2 3 2 2" xfId="16203"/>
    <cellStyle name="Note 2 2 2 2 3 3 2 3 2 2 2" xfId="29619"/>
    <cellStyle name="Note 2 2 2 2 3 3 2 3 2 3" xfId="20948"/>
    <cellStyle name="Note 2 2 2 2 3 3 2 3 3" xfId="13931"/>
    <cellStyle name="Note 2 2 2 2 3 3 2 3 3 2" xfId="28253"/>
    <cellStyle name="Note 2 2 2 2 3 3 2 3 4" xfId="19576"/>
    <cellStyle name="Note 2 2 2 2 3 3 2 4" xfId="11568"/>
    <cellStyle name="Note 2 2 2 2 3 3 2 4 2" xfId="25890"/>
    <cellStyle name="Note 2 2 2 2 3 3 2 5" xfId="4779"/>
    <cellStyle name="Note 2 2 2 2 3 3 3" xfId="1695"/>
    <cellStyle name="Note 2 2 2 2 3 3 3 2" xfId="3148"/>
    <cellStyle name="Note 2 2 2 2 3 3 3 2 2" xfId="8982"/>
    <cellStyle name="Note 2 2 2 2 3 3 3 2 2 2" xfId="15337"/>
    <cellStyle name="Note 2 2 2 2 3 3 3 2 2 2 2" xfId="29000"/>
    <cellStyle name="Note 2 2 2 2 3 3 3 2 2 3" xfId="20327"/>
    <cellStyle name="Note 2 2 2 2 3 3 3 2 3" xfId="4119"/>
    <cellStyle name="Note 2 2 2 2 3 3 3 2 3 2" xfId="22764"/>
    <cellStyle name="Note 2 2 2 2 3 3 3 2 4" xfId="15166"/>
    <cellStyle name="Note 2 2 2 2 3 3 3 3" xfId="12248"/>
    <cellStyle name="Note 2 2 2 2 3 3 3 3 2" xfId="26570"/>
    <cellStyle name="Note 2 2 2 2 3 3 3 4" xfId="17893"/>
    <cellStyle name="Note 2 2 2 2 3 3 4" xfId="5188"/>
    <cellStyle name="Note 2 2 2 2 3 3 4 2" xfId="11737"/>
    <cellStyle name="Note 2 2 2 2 3 3 4 2 2" xfId="26059"/>
    <cellStyle name="Note 2 2 2 2 3 3 4 3" xfId="15129"/>
    <cellStyle name="Note 2 2 2 2 3 3 5" xfId="6357"/>
    <cellStyle name="Note 2 2 2 2 3 3 5 2" xfId="23541"/>
    <cellStyle name="Note 2 2 2 2 3 3 6" xfId="15124"/>
    <cellStyle name="Note 2 2 2 2 3 4" xfId="1696"/>
    <cellStyle name="Note 2 2 2 2 3 4 2" xfId="6230"/>
    <cellStyle name="Note 2 2 2 2 3 4 2 2" xfId="12805"/>
    <cellStyle name="Note 2 2 2 2 3 4 2 2 2" xfId="27127"/>
    <cellStyle name="Note 2 2 2 2 3 4 2 3" xfId="18450"/>
    <cellStyle name="Note 2 2 2 2 3 4 3" xfId="7072"/>
    <cellStyle name="Note 2 2 2 2 3 4 3 2" xfId="9686"/>
    <cellStyle name="Note 2 2 2 2 3 4 3 2 2" xfId="15948"/>
    <cellStyle name="Note 2 2 2 2 3 4 3 2 2 2" xfId="29364"/>
    <cellStyle name="Note 2 2 2 2 3 4 3 2 3" xfId="20693"/>
    <cellStyle name="Note 2 2 2 2 3 4 3 3" xfId="13676"/>
    <cellStyle name="Note 2 2 2 2 3 4 3 3 2" xfId="27998"/>
    <cellStyle name="Note 2 2 2 2 3 4 3 4" xfId="19321"/>
    <cellStyle name="Note 2 2 2 2 3 4 4" xfId="6779"/>
    <cellStyle name="Note 2 2 2 2 3 4 4 2" xfId="23724"/>
    <cellStyle name="Note 2 2 2 2 3 4 5" xfId="3895"/>
    <cellStyle name="Note 2 2 2 2 3 5" xfId="1697"/>
    <cellStyle name="Note 2 2 2 2 3 5 2" xfId="5307"/>
    <cellStyle name="Note 2 2 2 2 3 5 2 2" xfId="9616"/>
    <cellStyle name="Note 2 2 2 2 3 5 2 2 2" xfId="15878"/>
    <cellStyle name="Note 2 2 2 2 3 5 2 2 2 2" xfId="29294"/>
    <cellStyle name="Note 2 2 2 2 3 5 2 2 3" xfId="20623"/>
    <cellStyle name="Note 2 2 2 2 3 5 2 3" xfId="11857"/>
    <cellStyle name="Note 2 2 2 2 3 5 2 3 2" xfId="26179"/>
    <cellStyle name="Note 2 2 2 2 3 5 2 4" xfId="17502"/>
    <cellStyle name="Note 2 2 2 2 3 5 3" xfId="12881"/>
    <cellStyle name="Note 2 2 2 2 3 5 3 2" xfId="27203"/>
    <cellStyle name="Note 2 2 2 2 3 5 4" xfId="18526"/>
    <cellStyle name="Note 2 2 2 2 3 6" xfId="5499"/>
    <cellStyle name="Note 2 2 2 2 3 6 2" xfId="12050"/>
    <cellStyle name="Note 2 2 2 2 3 6 2 2" xfId="26372"/>
    <cellStyle name="Note 2 2 2 2 3 6 3" xfId="17695"/>
    <cellStyle name="Note 2 2 2 2 3 7" xfId="3795"/>
    <cellStyle name="Note 2 2 2 2 3 7 2" xfId="22583"/>
    <cellStyle name="Note 2 2 2 2 3 8" xfId="6800"/>
    <cellStyle name="Note 2 2 2 2 4" xfId="1698"/>
    <cellStyle name="Note 2 2 2 2 4 2" xfId="1699"/>
    <cellStyle name="Note 2 2 2 2 4 2 2" xfId="1700"/>
    <cellStyle name="Note 2 2 2 2 4 2 2 2" xfId="5619"/>
    <cellStyle name="Note 2 2 2 2 4 2 2 2 2" xfId="12172"/>
    <cellStyle name="Note 2 2 2 2 4 2 2 2 2 2" xfId="26494"/>
    <cellStyle name="Note 2 2 2 2 4 2 2 2 3" xfId="17817"/>
    <cellStyle name="Note 2 2 2 2 4 2 2 3" xfId="7740"/>
    <cellStyle name="Note 2 2 2 2 4 2 2 3 2" xfId="10354"/>
    <cellStyle name="Note 2 2 2 2 4 2 2 3 2 2" xfId="16616"/>
    <cellStyle name="Note 2 2 2 2 4 2 2 3 2 2 2" xfId="30032"/>
    <cellStyle name="Note 2 2 2 2 4 2 2 3 2 3" xfId="21361"/>
    <cellStyle name="Note 2 2 2 2 4 2 2 3 3" xfId="14344"/>
    <cellStyle name="Note 2 2 2 2 4 2 2 3 3 2" xfId="28666"/>
    <cellStyle name="Note 2 2 2 2 4 2 2 3 4" xfId="19989"/>
    <cellStyle name="Note 2 2 2 2 4 2 2 4" xfId="6674"/>
    <cellStyle name="Note 2 2 2 2 4 2 2 4 2" xfId="23646"/>
    <cellStyle name="Note 2 2 2 2 4 2 2 5" xfId="14916"/>
    <cellStyle name="Note 2 2 2 2 4 2 3" xfId="1701"/>
    <cellStyle name="Note 2 2 2 2 4 2 3 2" xfId="3937"/>
    <cellStyle name="Note 2 2 2 2 4 2 3 2 2" xfId="9400"/>
    <cellStyle name="Note 2 2 2 2 4 2 3 2 2 2" xfId="15662"/>
    <cellStyle name="Note 2 2 2 2 4 2 3 2 2 2 2" xfId="29078"/>
    <cellStyle name="Note 2 2 2 2 4 2 3 2 2 3" xfId="20407"/>
    <cellStyle name="Note 2 2 2 2 4 2 3 2 3" xfId="5441"/>
    <cellStyle name="Note 2 2 2 2 4 2 3 2 3 2" xfId="23346"/>
    <cellStyle name="Note 2 2 2 2 4 2 3 2 4" xfId="17066"/>
    <cellStyle name="Note 2 2 2 2 4 2 3 3" xfId="13341"/>
    <cellStyle name="Note 2 2 2 2 4 2 3 3 2" xfId="27663"/>
    <cellStyle name="Note 2 2 2 2 4 2 3 4" xfId="18986"/>
    <cellStyle name="Note 2 2 2 2 4 2 4" xfId="5791"/>
    <cellStyle name="Note 2 2 2 2 4 2 4 2" xfId="12344"/>
    <cellStyle name="Note 2 2 2 2 4 2 4 2 2" xfId="26666"/>
    <cellStyle name="Note 2 2 2 2 4 2 4 3" xfId="17989"/>
    <cellStyle name="Note 2 2 2 2 4 2 5" xfId="4181"/>
    <cellStyle name="Note 2 2 2 2 4 2 5 2" xfId="22803"/>
    <cellStyle name="Note 2 2 2 2 4 2 6" xfId="17194"/>
    <cellStyle name="Note 2 2 2 2 4 3" xfId="1702"/>
    <cellStyle name="Note 2 2 2 2 4 3 2" xfId="1703"/>
    <cellStyle name="Note 2 2 2 2 4 3 2 2" xfId="6861"/>
    <cellStyle name="Note 2 2 2 2 4 3 2 2 2" xfId="13465"/>
    <cellStyle name="Note 2 2 2 2 4 3 2 2 2 2" xfId="27787"/>
    <cellStyle name="Note 2 2 2 2 4 3 2 2 3" xfId="19110"/>
    <cellStyle name="Note 2 2 2 2 4 3 2 3" xfId="7779"/>
    <cellStyle name="Note 2 2 2 2 4 3 2 3 2" xfId="10393"/>
    <cellStyle name="Note 2 2 2 2 4 3 2 3 2 2" xfId="16655"/>
    <cellStyle name="Note 2 2 2 2 4 3 2 3 2 2 2" xfId="30071"/>
    <cellStyle name="Note 2 2 2 2 4 3 2 3 2 3" xfId="21400"/>
    <cellStyle name="Note 2 2 2 2 4 3 2 3 3" xfId="14383"/>
    <cellStyle name="Note 2 2 2 2 4 3 2 3 3 2" xfId="28705"/>
    <cellStyle name="Note 2 2 2 2 4 3 2 3 4" xfId="20028"/>
    <cellStyle name="Note 2 2 2 2 4 3 2 4" xfId="11320"/>
    <cellStyle name="Note 2 2 2 2 4 3 2 4 2" xfId="25642"/>
    <cellStyle name="Note 2 2 2 2 4 3 2 5" xfId="15491"/>
    <cellStyle name="Note 2 2 2 2 4 3 3" xfId="1704"/>
    <cellStyle name="Note 2 2 2 2 4 3 3 2" xfId="7669"/>
    <cellStyle name="Note 2 2 2 2 4 3 3 2 2" xfId="10283"/>
    <cellStyle name="Note 2 2 2 2 4 3 3 2 2 2" xfId="16545"/>
    <cellStyle name="Note 2 2 2 2 4 3 3 2 2 2 2" xfId="29961"/>
    <cellStyle name="Note 2 2 2 2 4 3 3 2 2 3" xfId="21290"/>
    <cellStyle name="Note 2 2 2 2 4 3 3 2 3" xfId="14273"/>
    <cellStyle name="Note 2 2 2 2 4 3 3 2 3 2" xfId="28595"/>
    <cellStyle name="Note 2 2 2 2 4 3 3 2 4" xfId="19918"/>
    <cellStyle name="Note 2 2 2 2 4 3 3 3" xfId="12769"/>
    <cellStyle name="Note 2 2 2 2 4 3 3 3 2" xfId="27091"/>
    <cellStyle name="Note 2 2 2 2 4 3 3 4" xfId="18414"/>
    <cellStyle name="Note 2 2 2 2 4 3 4" xfId="5044"/>
    <cellStyle name="Note 2 2 2 2 4 3 4 2" xfId="11591"/>
    <cellStyle name="Note 2 2 2 2 4 3 4 2 2" xfId="25913"/>
    <cellStyle name="Note 2 2 2 2 4 3 4 3" xfId="15494"/>
    <cellStyle name="Note 2 2 2 2 4 3 5" xfId="5016"/>
    <cellStyle name="Note 2 2 2 2 4 3 5 2" xfId="23308"/>
    <cellStyle name="Note 2 2 2 2 4 3 6" xfId="6138"/>
    <cellStyle name="Note 2 2 2 2 4 4" xfId="1705"/>
    <cellStyle name="Note 2 2 2 2 4 4 2" xfId="5586"/>
    <cellStyle name="Note 2 2 2 2 4 4 2 2" xfId="12138"/>
    <cellStyle name="Note 2 2 2 2 4 4 2 2 2" xfId="26460"/>
    <cellStyle name="Note 2 2 2 2 4 4 2 3" xfId="17783"/>
    <cellStyle name="Note 2 2 2 2 4 4 3" xfId="7531"/>
    <cellStyle name="Note 2 2 2 2 4 4 3 2" xfId="10145"/>
    <cellStyle name="Note 2 2 2 2 4 4 3 2 2" xfId="16407"/>
    <cellStyle name="Note 2 2 2 2 4 4 3 2 2 2" xfId="29823"/>
    <cellStyle name="Note 2 2 2 2 4 4 3 2 3" xfId="21152"/>
    <cellStyle name="Note 2 2 2 2 4 4 3 3" xfId="14135"/>
    <cellStyle name="Note 2 2 2 2 4 4 3 3 2" xfId="28457"/>
    <cellStyle name="Note 2 2 2 2 4 4 3 4" xfId="19780"/>
    <cellStyle name="Note 2 2 2 2 4 4 4" xfId="4258"/>
    <cellStyle name="Note 2 2 2 2 4 4 4 2" xfId="22855"/>
    <cellStyle name="Note 2 2 2 2 4 4 5" xfId="4448"/>
    <cellStyle name="Note 2 2 2 2 4 5" xfId="1706"/>
    <cellStyle name="Note 2 2 2 2 4 5 2" xfId="7342"/>
    <cellStyle name="Note 2 2 2 2 4 5 2 2" xfId="9956"/>
    <cellStyle name="Note 2 2 2 2 4 5 2 2 2" xfId="16218"/>
    <cellStyle name="Note 2 2 2 2 4 5 2 2 2 2" xfId="29634"/>
    <cellStyle name="Note 2 2 2 2 4 5 2 2 3" xfId="20963"/>
    <cellStyle name="Note 2 2 2 2 4 5 2 3" xfId="13946"/>
    <cellStyle name="Note 2 2 2 2 4 5 2 3 2" xfId="28268"/>
    <cellStyle name="Note 2 2 2 2 4 5 2 4" xfId="19591"/>
    <cellStyle name="Note 2 2 2 2 4 5 3" xfId="12917"/>
    <cellStyle name="Note 2 2 2 2 4 5 3 2" xfId="27239"/>
    <cellStyle name="Note 2 2 2 2 4 5 4" xfId="18562"/>
    <cellStyle name="Note 2 2 2 2 4 6" xfId="5541"/>
    <cellStyle name="Note 2 2 2 2 4 6 2" xfId="12092"/>
    <cellStyle name="Note 2 2 2 2 4 6 2 2" xfId="26414"/>
    <cellStyle name="Note 2 2 2 2 4 6 3" xfId="17737"/>
    <cellStyle name="Note 2 2 2 2 4 7" xfId="4338"/>
    <cellStyle name="Note 2 2 2 2 4 7 2" xfId="22895"/>
    <cellStyle name="Note 2 2 2 2 4 8" xfId="15254"/>
    <cellStyle name="Note 2 2 2 2 5" xfId="1707"/>
    <cellStyle name="Note 2 2 2 2 5 2" xfId="1708"/>
    <cellStyle name="Note 2 2 2 2 5 2 2" xfId="1709"/>
    <cellStyle name="Note 2 2 2 2 5 2 2 2" xfId="5218"/>
    <cellStyle name="Note 2 2 2 2 5 2 2 2 2" xfId="11767"/>
    <cellStyle name="Note 2 2 2 2 5 2 2 2 2 2" xfId="26089"/>
    <cellStyle name="Note 2 2 2 2 5 2 2 2 3" xfId="17412"/>
    <cellStyle name="Note 2 2 2 2 5 2 2 3" xfId="5275"/>
    <cellStyle name="Note 2 2 2 2 5 2 2 3 2" xfId="9584"/>
    <cellStyle name="Note 2 2 2 2 5 2 2 3 2 2" xfId="15846"/>
    <cellStyle name="Note 2 2 2 2 5 2 2 3 2 2 2" xfId="29262"/>
    <cellStyle name="Note 2 2 2 2 5 2 2 3 2 3" xfId="20591"/>
    <cellStyle name="Note 2 2 2 2 5 2 2 3 3" xfId="11825"/>
    <cellStyle name="Note 2 2 2 2 5 2 2 3 3 2" xfId="26147"/>
    <cellStyle name="Note 2 2 2 2 5 2 2 3 4" xfId="17470"/>
    <cellStyle name="Note 2 2 2 2 5 2 2 4" xfId="4831"/>
    <cellStyle name="Note 2 2 2 2 5 2 2 4 2" xfId="23209"/>
    <cellStyle name="Note 2 2 2 2 5 2 2 5" xfId="4626"/>
    <cellStyle name="Note 2 2 2 2 5 2 3" xfId="1710"/>
    <cellStyle name="Note 2 2 2 2 5 2 3 2" xfId="7472"/>
    <cellStyle name="Note 2 2 2 2 5 2 3 2 2" xfId="10086"/>
    <cellStyle name="Note 2 2 2 2 5 2 3 2 2 2" xfId="16348"/>
    <cellStyle name="Note 2 2 2 2 5 2 3 2 2 2 2" xfId="29764"/>
    <cellStyle name="Note 2 2 2 2 5 2 3 2 2 3" xfId="21093"/>
    <cellStyle name="Note 2 2 2 2 5 2 3 2 3" xfId="14076"/>
    <cellStyle name="Note 2 2 2 2 5 2 3 2 3 2" xfId="28398"/>
    <cellStyle name="Note 2 2 2 2 5 2 3 2 4" xfId="19721"/>
    <cellStyle name="Note 2 2 2 2 5 2 3 3" xfId="13251"/>
    <cellStyle name="Note 2 2 2 2 5 2 3 3 2" xfId="27573"/>
    <cellStyle name="Note 2 2 2 2 5 2 3 4" xfId="18896"/>
    <cellStyle name="Note 2 2 2 2 5 2 4" xfId="5693"/>
    <cellStyle name="Note 2 2 2 2 5 2 4 2" xfId="12246"/>
    <cellStyle name="Note 2 2 2 2 5 2 4 2 2" xfId="26568"/>
    <cellStyle name="Note 2 2 2 2 5 2 4 3" xfId="17891"/>
    <cellStyle name="Note 2 2 2 2 5 2 5" xfId="4228"/>
    <cellStyle name="Note 2 2 2 2 5 2 5 2" xfId="22839"/>
    <cellStyle name="Note 2 2 2 2 5 2 6" xfId="3713"/>
    <cellStyle name="Note 2 2 2 2 5 3" xfId="1711"/>
    <cellStyle name="Note 2 2 2 2 5 3 2" xfId="1712"/>
    <cellStyle name="Note 2 2 2 2 5 3 2 2" xfId="6560"/>
    <cellStyle name="Note 2 2 2 2 5 3 2 2 2" xfId="13148"/>
    <cellStyle name="Note 2 2 2 2 5 3 2 2 2 2" xfId="27470"/>
    <cellStyle name="Note 2 2 2 2 5 3 2 2 3" xfId="18793"/>
    <cellStyle name="Note 2 2 2 2 5 3 2 3" xfId="7859"/>
    <cellStyle name="Note 2 2 2 2 5 3 2 3 2" xfId="10473"/>
    <cellStyle name="Note 2 2 2 2 5 3 2 3 2 2" xfId="16735"/>
    <cellStyle name="Note 2 2 2 2 5 3 2 3 2 2 2" xfId="30151"/>
    <cellStyle name="Note 2 2 2 2 5 3 2 3 2 3" xfId="21480"/>
    <cellStyle name="Note 2 2 2 2 5 3 2 3 3" xfId="14463"/>
    <cellStyle name="Note 2 2 2 2 5 3 2 3 3 2" xfId="28785"/>
    <cellStyle name="Note 2 2 2 2 5 3 2 3 4" xfId="20108"/>
    <cellStyle name="Note 2 2 2 2 5 3 2 4" xfId="4534"/>
    <cellStyle name="Note 2 2 2 2 5 3 2 4 2" xfId="23014"/>
    <cellStyle name="Note 2 2 2 2 5 3 2 5" xfId="17384"/>
    <cellStyle name="Note 2 2 2 2 5 3 3" xfId="1713"/>
    <cellStyle name="Note 2 2 2 2 5 3 3 2" xfId="7855"/>
    <cellStyle name="Note 2 2 2 2 5 3 3 2 2" xfId="10469"/>
    <cellStyle name="Note 2 2 2 2 5 3 3 2 2 2" xfId="16731"/>
    <cellStyle name="Note 2 2 2 2 5 3 3 2 2 2 2" xfId="30147"/>
    <cellStyle name="Note 2 2 2 2 5 3 3 2 2 3" xfId="21476"/>
    <cellStyle name="Note 2 2 2 2 5 3 3 2 3" xfId="14459"/>
    <cellStyle name="Note 2 2 2 2 5 3 3 2 3 2" xfId="28781"/>
    <cellStyle name="Note 2 2 2 2 5 3 3 2 4" xfId="20104"/>
    <cellStyle name="Note 2 2 2 2 5 3 3 3" xfId="13366"/>
    <cellStyle name="Note 2 2 2 2 5 3 3 3 2" xfId="27688"/>
    <cellStyle name="Note 2 2 2 2 5 3 3 4" xfId="19011"/>
    <cellStyle name="Note 2 2 2 2 5 3 4" xfId="5817"/>
    <cellStyle name="Note 2 2 2 2 5 3 4 2" xfId="12370"/>
    <cellStyle name="Note 2 2 2 2 5 3 4 2 2" xfId="26692"/>
    <cellStyle name="Note 2 2 2 2 5 3 4 3" xfId="18015"/>
    <cellStyle name="Note 2 2 2 2 5 3 5" xfId="3943"/>
    <cellStyle name="Note 2 2 2 2 5 3 5 2" xfId="22659"/>
    <cellStyle name="Note 2 2 2 2 5 3 6" xfId="4441"/>
    <cellStyle name="Note 2 2 2 2 5 4" xfId="1714"/>
    <cellStyle name="Note 2 2 2 2 5 4 2" xfId="6405"/>
    <cellStyle name="Note 2 2 2 2 5 4 2 2" xfId="12988"/>
    <cellStyle name="Note 2 2 2 2 5 4 2 2 2" xfId="27310"/>
    <cellStyle name="Note 2 2 2 2 5 4 2 3" xfId="18633"/>
    <cellStyle name="Note 2 2 2 2 5 4 3" xfId="7321"/>
    <cellStyle name="Note 2 2 2 2 5 4 3 2" xfId="9935"/>
    <cellStyle name="Note 2 2 2 2 5 4 3 2 2" xfId="16197"/>
    <cellStyle name="Note 2 2 2 2 5 4 3 2 2 2" xfId="29613"/>
    <cellStyle name="Note 2 2 2 2 5 4 3 2 3" xfId="20942"/>
    <cellStyle name="Note 2 2 2 2 5 4 3 3" xfId="13925"/>
    <cellStyle name="Note 2 2 2 2 5 4 3 3 2" xfId="28247"/>
    <cellStyle name="Note 2 2 2 2 5 4 3 4" xfId="19570"/>
    <cellStyle name="Note 2 2 2 2 5 4 4" xfId="4291"/>
    <cellStyle name="Note 2 2 2 2 5 4 4 2" xfId="22875"/>
    <cellStyle name="Note 2 2 2 2 5 4 5" xfId="15273"/>
    <cellStyle name="Note 2 2 2 2 5 5" xfId="1715"/>
    <cellStyle name="Note 2 2 2 2 5 5 2" xfId="4782"/>
    <cellStyle name="Note 2 2 2 2 5 5 2 2" xfId="9484"/>
    <cellStyle name="Note 2 2 2 2 5 5 2 2 2" xfId="15746"/>
    <cellStyle name="Note 2 2 2 2 5 5 2 2 2 2" xfId="29162"/>
    <cellStyle name="Note 2 2 2 2 5 5 2 2 3" xfId="20491"/>
    <cellStyle name="Note 2 2 2 2 5 5 2 3" xfId="2761"/>
    <cellStyle name="Note 2 2 2 2 5 5 2 3 2" xfId="22330"/>
    <cellStyle name="Note 2 2 2 2 5 5 2 4" xfId="14855"/>
    <cellStyle name="Note 2 2 2 2 5 5 3" xfId="12745"/>
    <cellStyle name="Note 2 2 2 2 5 5 3 2" xfId="27067"/>
    <cellStyle name="Note 2 2 2 2 5 5 4" xfId="18390"/>
    <cellStyle name="Note 2 2 2 2 5 6" xfId="4063"/>
    <cellStyle name="Note 2 2 2 2 5 6 2" xfId="4978"/>
    <cellStyle name="Note 2 2 2 2 5 6 2 2" xfId="23291"/>
    <cellStyle name="Note 2 2 2 2 5 6 3" xfId="15444"/>
    <cellStyle name="Note 2 2 2 2 5 7" xfId="4598"/>
    <cellStyle name="Note 2 2 2 2 5 7 2" xfId="23059"/>
    <cellStyle name="Note 2 2 2 2 5 8" xfId="16955"/>
    <cellStyle name="Note 2 2 2 2 6" xfId="1716"/>
    <cellStyle name="Note 2 2 2 2 6 2" xfId="1717"/>
    <cellStyle name="Note 2 2 2 2 6 2 2" xfId="1718"/>
    <cellStyle name="Note 2 2 2 2 6 2 2 2" xfId="5089"/>
    <cellStyle name="Note 2 2 2 2 6 2 2 2 2" xfId="11636"/>
    <cellStyle name="Note 2 2 2 2 6 2 2 2 2 2" xfId="25958"/>
    <cellStyle name="Note 2 2 2 2 6 2 2 2 3" xfId="15041"/>
    <cellStyle name="Note 2 2 2 2 6 2 2 3" xfId="7808"/>
    <cellStyle name="Note 2 2 2 2 6 2 2 3 2" xfId="10422"/>
    <cellStyle name="Note 2 2 2 2 6 2 2 3 2 2" xfId="16684"/>
    <cellStyle name="Note 2 2 2 2 6 2 2 3 2 2 2" xfId="30100"/>
    <cellStyle name="Note 2 2 2 2 6 2 2 3 2 3" xfId="21429"/>
    <cellStyle name="Note 2 2 2 2 6 2 2 3 3" xfId="14412"/>
    <cellStyle name="Note 2 2 2 2 6 2 2 3 3 2" xfId="28734"/>
    <cellStyle name="Note 2 2 2 2 6 2 2 3 4" xfId="20057"/>
    <cellStyle name="Note 2 2 2 2 6 2 2 4" xfId="5041"/>
    <cellStyle name="Note 2 2 2 2 6 2 2 4 2" xfId="23319"/>
    <cellStyle name="Note 2 2 2 2 6 2 2 5" xfId="15333"/>
    <cellStyle name="Note 2 2 2 2 6 2 3" xfId="1719"/>
    <cellStyle name="Note 2 2 2 2 6 2 3 2" xfId="8029"/>
    <cellStyle name="Note 2 2 2 2 6 2 3 2 2" xfId="10643"/>
    <cellStyle name="Note 2 2 2 2 6 2 3 2 2 2" xfId="16905"/>
    <cellStyle name="Note 2 2 2 2 6 2 3 2 2 2 2" xfId="30321"/>
    <cellStyle name="Note 2 2 2 2 6 2 3 2 2 3" xfId="21650"/>
    <cellStyle name="Note 2 2 2 2 6 2 3 2 3" xfId="14633"/>
    <cellStyle name="Note 2 2 2 2 6 2 3 2 3 2" xfId="28955"/>
    <cellStyle name="Note 2 2 2 2 6 2 3 2 4" xfId="20278"/>
    <cellStyle name="Note 2 2 2 2 6 2 3 3" xfId="13175"/>
    <cellStyle name="Note 2 2 2 2 6 2 3 3 2" xfId="27497"/>
    <cellStyle name="Note 2 2 2 2 6 2 3 4" xfId="18820"/>
    <cellStyle name="Note 2 2 2 2 6 2 4" xfId="5598"/>
    <cellStyle name="Note 2 2 2 2 6 2 4 2" xfId="12150"/>
    <cellStyle name="Note 2 2 2 2 6 2 4 2 2" xfId="26472"/>
    <cellStyle name="Note 2 2 2 2 6 2 4 3" xfId="17795"/>
    <cellStyle name="Note 2 2 2 2 6 2 5" xfId="4220"/>
    <cellStyle name="Note 2 2 2 2 6 2 5 2" xfId="22832"/>
    <cellStyle name="Note 2 2 2 2 6 2 6" xfId="15014"/>
    <cellStyle name="Note 2 2 2 2 6 3" xfId="1720"/>
    <cellStyle name="Note 2 2 2 2 6 3 2" xfId="6839"/>
    <cellStyle name="Note 2 2 2 2 6 3 2 2" xfId="13443"/>
    <cellStyle name="Note 2 2 2 2 6 3 2 2 2" xfId="27765"/>
    <cellStyle name="Note 2 2 2 2 6 3 2 3" xfId="19088"/>
    <cellStyle name="Note 2 2 2 2 6 3 3" xfId="7621"/>
    <cellStyle name="Note 2 2 2 2 6 3 3 2" xfId="10235"/>
    <cellStyle name="Note 2 2 2 2 6 3 3 2 2" xfId="16497"/>
    <cellStyle name="Note 2 2 2 2 6 3 3 2 2 2" xfId="29913"/>
    <cellStyle name="Note 2 2 2 2 6 3 3 2 3" xfId="21242"/>
    <cellStyle name="Note 2 2 2 2 6 3 3 3" xfId="14225"/>
    <cellStyle name="Note 2 2 2 2 6 3 3 3 2" xfId="28547"/>
    <cellStyle name="Note 2 2 2 2 6 3 3 4" xfId="19870"/>
    <cellStyle name="Note 2 2 2 2 6 3 4" xfId="2815"/>
    <cellStyle name="Note 2 2 2 2 6 3 4 2" xfId="22378"/>
    <cellStyle name="Note 2 2 2 2 6 3 5" xfId="17174"/>
    <cellStyle name="Note 2 2 2 2 6 4" xfId="1721"/>
    <cellStyle name="Note 2 2 2 2 6 4 2" xfId="7243"/>
    <cellStyle name="Note 2 2 2 2 6 4 2 2" xfId="9857"/>
    <cellStyle name="Note 2 2 2 2 6 4 2 2 2" xfId="16119"/>
    <cellStyle name="Note 2 2 2 2 6 4 2 2 2 2" xfId="29535"/>
    <cellStyle name="Note 2 2 2 2 6 4 2 2 3" xfId="20864"/>
    <cellStyle name="Note 2 2 2 2 6 4 2 3" xfId="13847"/>
    <cellStyle name="Note 2 2 2 2 6 4 2 3 2" xfId="28169"/>
    <cellStyle name="Note 2 2 2 2 6 4 2 4" xfId="19492"/>
    <cellStyle name="Note 2 2 2 2 6 4 3" xfId="12674"/>
    <cellStyle name="Note 2 2 2 2 6 4 3 2" xfId="26996"/>
    <cellStyle name="Note 2 2 2 2 6 4 4" xfId="18319"/>
    <cellStyle name="Note 2 2 2 2 6 5" xfId="4449"/>
    <cellStyle name="Note 2 2 2 2 6 5 2" xfId="2830"/>
    <cellStyle name="Note 2 2 2 2 6 5 2 2" xfId="22393"/>
    <cellStyle name="Note 2 2 2 2 6 5 3" xfId="4406"/>
    <cellStyle name="Note 2 2 2 2 6 6" xfId="6797"/>
    <cellStyle name="Note 2 2 2 2 6 6 2" xfId="23738"/>
    <cellStyle name="Note 2 2 2 2 6 7" xfId="3922"/>
    <cellStyle name="Note 2 2 2 2 7" xfId="1722"/>
    <cellStyle name="Note 2 2 2 2 7 2" xfId="1723"/>
    <cellStyle name="Note 2 2 2 2 7 2 2" xfId="6535"/>
    <cellStyle name="Note 2 2 2 2 7 2 2 2" xfId="13123"/>
    <cellStyle name="Note 2 2 2 2 7 2 2 2 2" xfId="27445"/>
    <cellStyle name="Note 2 2 2 2 7 2 2 3" xfId="18768"/>
    <cellStyle name="Note 2 2 2 2 7 2 3" xfId="4109"/>
    <cellStyle name="Note 2 2 2 2 7 2 3 2" xfId="9428"/>
    <cellStyle name="Note 2 2 2 2 7 2 3 2 2" xfId="15690"/>
    <cellStyle name="Note 2 2 2 2 7 2 3 2 2 2" xfId="29106"/>
    <cellStyle name="Note 2 2 2 2 7 2 3 2 3" xfId="20435"/>
    <cellStyle name="Note 2 2 2 2 7 2 3 3" xfId="4877"/>
    <cellStyle name="Note 2 2 2 2 7 2 3 3 2" xfId="23240"/>
    <cellStyle name="Note 2 2 2 2 7 2 3 4" xfId="15321"/>
    <cellStyle name="Note 2 2 2 2 7 2 4" xfId="4720"/>
    <cellStyle name="Note 2 2 2 2 7 2 4 2" xfId="23149"/>
    <cellStyle name="Note 2 2 2 2 7 2 5" xfId="15283"/>
    <cellStyle name="Note 2 2 2 2 7 3" xfId="1724"/>
    <cellStyle name="Note 2 2 2 2 7 3 2" xfId="7516"/>
    <cellStyle name="Note 2 2 2 2 7 3 2 2" xfId="10130"/>
    <cellStyle name="Note 2 2 2 2 7 3 2 2 2" xfId="16392"/>
    <cellStyle name="Note 2 2 2 2 7 3 2 2 2 2" xfId="29808"/>
    <cellStyle name="Note 2 2 2 2 7 3 2 2 3" xfId="21137"/>
    <cellStyle name="Note 2 2 2 2 7 3 2 3" xfId="14120"/>
    <cellStyle name="Note 2 2 2 2 7 3 2 3 2" xfId="28442"/>
    <cellStyle name="Note 2 2 2 2 7 3 2 4" xfId="19765"/>
    <cellStyle name="Note 2 2 2 2 7 3 3" xfId="13286"/>
    <cellStyle name="Note 2 2 2 2 7 3 3 2" xfId="27608"/>
    <cellStyle name="Note 2 2 2 2 7 3 4" xfId="18931"/>
    <cellStyle name="Note 2 2 2 2 7 4" xfId="5736"/>
    <cellStyle name="Note 2 2 2 2 7 4 2" xfId="12289"/>
    <cellStyle name="Note 2 2 2 2 7 4 2 2" xfId="26611"/>
    <cellStyle name="Note 2 2 2 2 7 4 3" xfId="17934"/>
    <cellStyle name="Note 2 2 2 2 7 5" xfId="6276"/>
    <cellStyle name="Note 2 2 2 2 7 5 2" xfId="23487"/>
    <cellStyle name="Note 2 2 2 2 7 6" xfId="14720"/>
    <cellStyle name="Note 2 2 2 2 8" xfId="1725"/>
    <cellStyle name="Note 2 2 2 2 8 2" xfId="6516"/>
    <cellStyle name="Note 2 2 2 2 8 2 2" xfId="13104"/>
    <cellStyle name="Note 2 2 2 2 8 2 2 2" xfId="27426"/>
    <cellStyle name="Note 2 2 2 2 8 2 3" xfId="18749"/>
    <cellStyle name="Note 2 2 2 2 8 3" xfId="7564"/>
    <cellStyle name="Note 2 2 2 2 8 3 2" xfId="10178"/>
    <cellStyle name="Note 2 2 2 2 8 3 2 2" xfId="16440"/>
    <cellStyle name="Note 2 2 2 2 8 3 2 2 2" xfId="29856"/>
    <cellStyle name="Note 2 2 2 2 8 3 2 3" xfId="21185"/>
    <cellStyle name="Note 2 2 2 2 8 3 3" xfId="14168"/>
    <cellStyle name="Note 2 2 2 2 8 3 3 2" xfId="28490"/>
    <cellStyle name="Note 2 2 2 2 8 3 4" xfId="19813"/>
    <cellStyle name="Note 2 2 2 2 8 4" xfId="4188"/>
    <cellStyle name="Note 2 2 2 2 8 4 2" xfId="22810"/>
    <cellStyle name="Note 2 2 2 2 8 5" xfId="15447"/>
    <cellStyle name="Note 2 2 2 2 9" xfId="1726"/>
    <cellStyle name="Note 2 2 2 2 9 2" xfId="4980"/>
    <cellStyle name="Note 2 2 2 2 9 2 2" xfId="9530"/>
    <cellStyle name="Note 2 2 2 2 9 2 2 2" xfId="15792"/>
    <cellStyle name="Note 2 2 2 2 9 2 2 2 2" xfId="29208"/>
    <cellStyle name="Note 2 2 2 2 9 2 2 3" xfId="20537"/>
    <cellStyle name="Note 2 2 2 2 9 2 3" xfId="11523"/>
    <cellStyle name="Note 2 2 2 2 9 2 3 2" xfId="25845"/>
    <cellStyle name="Note 2 2 2 2 9 2 4" xfId="6252"/>
    <cellStyle name="Note 2 2 2 2 9 3" xfId="12722"/>
    <cellStyle name="Note 2 2 2 2 9 3 2" xfId="27044"/>
    <cellStyle name="Note 2 2 2 2 9 4" xfId="18367"/>
    <cellStyle name="Note 2 2 2 3" xfId="1727"/>
    <cellStyle name="Note 2 2 2 3 10" xfId="4699"/>
    <cellStyle name="Note 2 2 2 3 10 2" xfId="23134"/>
    <cellStyle name="Note 2 2 2 3 11" xfId="17259"/>
    <cellStyle name="Note 2 2 2 3 2" xfId="1728"/>
    <cellStyle name="Note 2 2 2 3 2 2" xfId="1729"/>
    <cellStyle name="Note 2 2 2 3 2 2 2" xfId="1730"/>
    <cellStyle name="Note 2 2 2 3 2 2 2 2" xfId="6143"/>
    <cellStyle name="Note 2 2 2 3 2 2 2 2 2" xfId="12713"/>
    <cellStyle name="Note 2 2 2 3 2 2 2 2 2 2" xfId="27035"/>
    <cellStyle name="Note 2 2 2 3 2 2 2 2 3" xfId="18358"/>
    <cellStyle name="Note 2 2 2 3 2 2 2 3" xfId="7748"/>
    <cellStyle name="Note 2 2 2 3 2 2 2 3 2" xfId="10362"/>
    <cellStyle name="Note 2 2 2 3 2 2 2 3 2 2" xfId="16624"/>
    <cellStyle name="Note 2 2 2 3 2 2 2 3 2 2 2" xfId="30040"/>
    <cellStyle name="Note 2 2 2 3 2 2 2 3 2 3" xfId="21369"/>
    <cellStyle name="Note 2 2 2 3 2 2 2 3 3" xfId="14352"/>
    <cellStyle name="Note 2 2 2 3 2 2 2 3 3 2" xfId="28674"/>
    <cellStyle name="Note 2 2 2 3 2 2 2 3 4" xfId="19997"/>
    <cellStyle name="Note 2 2 2 3 2 2 2 4" xfId="3998"/>
    <cellStyle name="Note 2 2 2 3 2 2 2 4 2" xfId="22693"/>
    <cellStyle name="Note 2 2 2 3 2 2 2 5" xfId="16984"/>
    <cellStyle name="Note 2 2 2 3 2 2 3" xfId="1731"/>
    <cellStyle name="Note 2 2 2 3 2 2 3 2" xfId="4948"/>
    <cellStyle name="Note 2 2 2 3 2 2 3 2 2" xfId="9523"/>
    <cellStyle name="Note 2 2 2 3 2 2 3 2 2 2" xfId="15785"/>
    <cellStyle name="Note 2 2 2 3 2 2 3 2 2 2 2" xfId="29201"/>
    <cellStyle name="Note 2 2 2 3 2 2 3 2 2 3" xfId="20530"/>
    <cellStyle name="Note 2 2 2 3 2 2 3 2 3" xfId="11487"/>
    <cellStyle name="Note 2 2 2 3 2 2 3 2 3 2" xfId="25809"/>
    <cellStyle name="Note 2 2 2 3 2 2 3 2 4" xfId="14848"/>
    <cellStyle name="Note 2 2 2 3 2 2 3 3" xfId="13301"/>
    <cellStyle name="Note 2 2 2 3 2 2 3 3 2" xfId="27623"/>
    <cellStyle name="Note 2 2 2 3 2 2 3 4" xfId="18946"/>
    <cellStyle name="Note 2 2 2 3 2 2 4" xfId="5751"/>
    <cellStyle name="Note 2 2 2 3 2 2 4 2" xfId="12304"/>
    <cellStyle name="Note 2 2 2 3 2 2 4 2 2" xfId="26626"/>
    <cellStyle name="Note 2 2 2 3 2 2 4 3" xfId="17949"/>
    <cellStyle name="Note 2 2 2 3 2 2 5" xfId="4893"/>
    <cellStyle name="Note 2 2 2 3 2 2 5 2" xfId="23251"/>
    <cellStyle name="Note 2 2 2 3 2 2 6" xfId="4678"/>
    <cellStyle name="Note 2 2 2 3 2 3" xfId="1732"/>
    <cellStyle name="Note 2 2 2 3 2 3 2" xfId="1733"/>
    <cellStyle name="Note 2 2 2 3 2 3 2 2" xfId="6888"/>
    <cellStyle name="Note 2 2 2 3 2 3 2 2 2" xfId="13492"/>
    <cellStyle name="Note 2 2 2 3 2 3 2 2 2 2" xfId="27814"/>
    <cellStyle name="Note 2 2 2 3 2 3 2 2 3" xfId="19137"/>
    <cellStyle name="Note 2 2 2 3 2 3 2 3" xfId="7358"/>
    <cellStyle name="Note 2 2 2 3 2 3 2 3 2" xfId="9972"/>
    <cellStyle name="Note 2 2 2 3 2 3 2 3 2 2" xfId="16234"/>
    <cellStyle name="Note 2 2 2 3 2 3 2 3 2 2 2" xfId="29650"/>
    <cellStyle name="Note 2 2 2 3 2 3 2 3 2 3" xfId="20979"/>
    <cellStyle name="Note 2 2 2 3 2 3 2 3 3" xfId="13962"/>
    <cellStyle name="Note 2 2 2 3 2 3 2 3 3 2" xfId="28284"/>
    <cellStyle name="Note 2 2 2 3 2 3 2 3 4" xfId="19607"/>
    <cellStyle name="Note 2 2 2 3 2 3 2 4" xfId="11364"/>
    <cellStyle name="Note 2 2 2 3 2 3 2 4 2" xfId="25686"/>
    <cellStyle name="Note 2 2 2 3 2 3 2 5" xfId="17306"/>
    <cellStyle name="Note 2 2 2 3 2 3 3" xfId="1734"/>
    <cellStyle name="Note 2 2 2 3 2 3 3 2" xfId="8035"/>
    <cellStyle name="Note 2 2 2 3 2 3 3 2 2" xfId="10649"/>
    <cellStyle name="Note 2 2 2 3 2 3 3 2 2 2" xfId="16911"/>
    <cellStyle name="Note 2 2 2 3 2 3 3 2 2 2 2" xfId="30327"/>
    <cellStyle name="Note 2 2 2 3 2 3 3 2 2 3" xfId="21656"/>
    <cellStyle name="Note 2 2 2 3 2 3 3 2 3" xfId="14639"/>
    <cellStyle name="Note 2 2 2 3 2 3 3 2 3 2" xfId="28961"/>
    <cellStyle name="Note 2 2 2 3 2 3 3 2 4" xfId="20284"/>
    <cellStyle name="Note 2 2 2 3 2 3 3 3" xfId="13411"/>
    <cellStyle name="Note 2 2 2 3 2 3 3 3 2" xfId="27733"/>
    <cellStyle name="Note 2 2 2 3 2 3 3 4" xfId="19056"/>
    <cellStyle name="Note 2 2 2 3 2 3 4" xfId="5879"/>
    <cellStyle name="Note 2 2 2 3 2 3 4 2" xfId="12432"/>
    <cellStyle name="Note 2 2 2 3 2 3 4 2 2" xfId="26754"/>
    <cellStyle name="Note 2 2 2 3 2 3 4 3" xfId="18077"/>
    <cellStyle name="Note 2 2 2 3 2 3 5" xfId="4954"/>
    <cellStyle name="Note 2 2 2 3 2 3 5 2" xfId="23277"/>
    <cellStyle name="Note 2 2 2 3 2 3 6" xfId="3592"/>
    <cellStyle name="Note 2 2 2 3 2 4" xfId="1735"/>
    <cellStyle name="Note 2 2 2 3 2 4 2" xfId="6382"/>
    <cellStyle name="Note 2 2 2 3 2 4 2 2" xfId="12965"/>
    <cellStyle name="Note 2 2 2 3 2 4 2 2 2" xfId="27287"/>
    <cellStyle name="Note 2 2 2 3 2 4 2 3" xfId="18610"/>
    <cellStyle name="Note 2 2 2 3 2 4 3" xfId="7394"/>
    <cellStyle name="Note 2 2 2 3 2 4 3 2" xfId="10008"/>
    <cellStyle name="Note 2 2 2 3 2 4 3 2 2" xfId="16270"/>
    <cellStyle name="Note 2 2 2 3 2 4 3 2 2 2" xfId="29686"/>
    <cellStyle name="Note 2 2 2 3 2 4 3 2 3" xfId="21015"/>
    <cellStyle name="Note 2 2 2 3 2 4 3 3" xfId="13998"/>
    <cellStyle name="Note 2 2 2 3 2 4 3 3 2" xfId="28320"/>
    <cellStyle name="Note 2 2 2 3 2 4 3 4" xfId="19643"/>
    <cellStyle name="Note 2 2 2 3 2 4 4" xfId="4530"/>
    <cellStyle name="Note 2 2 2 3 2 4 4 2" xfId="23010"/>
    <cellStyle name="Note 2 2 2 3 2 4 5" xfId="15178"/>
    <cellStyle name="Note 2 2 2 3 2 5" xfId="1736"/>
    <cellStyle name="Note 2 2 2 3 2 5 2" xfId="7798"/>
    <cellStyle name="Note 2 2 2 3 2 5 2 2" xfId="10412"/>
    <cellStyle name="Note 2 2 2 3 2 5 2 2 2" xfId="16674"/>
    <cellStyle name="Note 2 2 2 3 2 5 2 2 2 2" xfId="30090"/>
    <cellStyle name="Note 2 2 2 3 2 5 2 2 3" xfId="21419"/>
    <cellStyle name="Note 2 2 2 3 2 5 2 3" xfId="14402"/>
    <cellStyle name="Note 2 2 2 3 2 5 2 3 2" xfId="28724"/>
    <cellStyle name="Note 2 2 2 3 2 5 2 4" xfId="20047"/>
    <cellStyle name="Note 2 2 2 3 2 5 3" xfId="12877"/>
    <cellStyle name="Note 2 2 2 3 2 5 3 2" xfId="27199"/>
    <cellStyle name="Note 2 2 2 3 2 5 4" xfId="18522"/>
    <cellStyle name="Note 2 2 2 3 2 6" xfId="5495"/>
    <cellStyle name="Note 2 2 2 3 2 6 2" xfId="12046"/>
    <cellStyle name="Note 2 2 2 3 2 6 2 2" xfId="26368"/>
    <cellStyle name="Note 2 2 2 3 2 6 3" xfId="17691"/>
    <cellStyle name="Note 2 2 2 3 2 7" xfId="6504"/>
    <cellStyle name="Note 2 2 2 3 2 7 2" xfId="23573"/>
    <cellStyle name="Note 2 2 2 3 2 8" xfId="14841"/>
    <cellStyle name="Note 2 2 2 3 3" xfId="1737"/>
    <cellStyle name="Note 2 2 2 3 3 2" xfId="1738"/>
    <cellStyle name="Note 2 2 2 3 3 2 2" xfId="1739"/>
    <cellStyle name="Note 2 2 2 3 3 2 2 2" xfId="6207"/>
    <cellStyle name="Note 2 2 2 3 3 2 2 2 2" xfId="12780"/>
    <cellStyle name="Note 2 2 2 3 3 2 2 2 2 2" xfId="27102"/>
    <cellStyle name="Note 2 2 2 3 3 2 2 2 3" xfId="18425"/>
    <cellStyle name="Note 2 2 2 3 3 2 2 3" xfId="7956"/>
    <cellStyle name="Note 2 2 2 3 3 2 2 3 2" xfId="10570"/>
    <cellStyle name="Note 2 2 2 3 3 2 2 3 2 2" xfId="16832"/>
    <cellStyle name="Note 2 2 2 3 3 2 2 3 2 2 2" xfId="30248"/>
    <cellStyle name="Note 2 2 2 3 3 2 2 3 2 3" xfId="21577"/>
    <cellStyle name="Note 2 2 2 3 3 2 2 3 3" xfId="14560"/>
    <cellStyle name="Note 2 2 2 3 3 2 2 3 3 2" xfId="28882"/>
    <cellStyle name="Note 2 2 2 3 3 2 2 3 4" xfId="20205"/>
    <cellStyle name="Note 2 2 2 3 3 2 2 4" xfId="3630"/>
    <cellStyle name="Note 2 2 2 3 3 2 2 4 2" xfId="22494"/>
    <cellStyle name="Note 2 2 2 3 3 2 2 5" xfId="17161"/>
    <cellStyle name="Note 2 2 2 3 3 2 3" xfId="1740"/>
    <cellStyle name="Note 2 2 2 3 3 2 3 2" xfId="7596"/>
    <cellStyle name="Note 2 2 2 3 3 2 3 2 2" xfId="10210"/>
    <cellStyle name="Note 2 2 2 3 3 2 3 2 2 2" xfId="16472"/>
    <cellStyle name="Note 2 2 2 3 3 2 3 2 2 2 2" xfId="29888"/>
    <cellStyle name="Note 2 2 2 3 3 2 3 2 2 3" xfId="21217"/>
    <cellStyle name="Note 2 2 2 3 3 2 3 2 3" xfId="14200"/>
    <cellStyle name="Note 2 2 2 3 3 2 3 2 3 2" xfId="28522"/>
    <cellStyle name="Note 2 2 2 3 3 2 3 2 4" xfId="19845"/>
    <cellStyle name="Note 2 2 2 3 3 2 3 3" xfId="13337"/>
    <cellStyle name="Note 2 2 2 3 3 2 3 3 2" xfId="27659"/>
    <cellStyle name="Note 2 2 2 3 3 2 3 4" xfId="18982"/>
    <cellStyle name="Note 2 2 2 3 3 2 4" xfId="5787"/>
    <cellStyle name="Note 2 2 2 3 3 2 4 2" xfId="12340"/>
    <cellStyle name="Note 2 2 2 3 3 2 4 2 2" xfId="26662"/>
    <cellStyle name="Note 2 2 2 3 3 2 4 3" xfId="17985"/>
    <cellStyle name="Note 2 2 2 3 3 2 5" xfId="3219"/>
    <cellStyle name="Note 2 2 2 3 3 2 5 2" xfId="22439"/>
    <cellStyle name="Note 2 2 2 3 3 2 6" xfId="16994"/>
    <cellStyle name="Note 2 2 2 3 3 3" xfId="1741"/>
    <cellStyle name="Note 2 2 2 3 3 3 2" xfId="1742"/>
    <cellStyle name="Note 2 2 2 3 3 3 2 2" xfId="6209"/>
    <cellStyle name="Note 2 2 2 3 3 3 2 2 2" xfId="12782"/>
    <cellStyle name="Note 2 2 2 3 3 3 2 2 2 2" xfId="27104"/>
    <cellStyle name="Note 2 2 2 3 3 3 2 2 3" xfId="18427"/>
    <cellStyle name="Note 2 2 2 3 3 3 2 3" xfId="7575"/>
    <cellStyle name="Note 2 2 2 3 3 3 2 3 2" xfId="10189"/>
    <cellStyle name="Note 2 2 2 3 3 3 2 3 2 2" xfId="16451"/>
    <cellStyle name="Note 2 2 2 3 3 3 2 3 2 2 2" xfId="29867"/>
    <cellStyle name="Note 2 2 2 3 3 3 2 3 2 3" xfId="21196"/>
    <cellStyle name="Note 2 2 2 3 3 3 2 3 3" xfId="14179"/>
    <cellStyle name="Note 2 2 2 3 3 3 2 3 3 2" xfId="28501"/>
    <cellStyle name="Note 2 2 2 3 3 3 2 3 4" xfId="19824"/>
    <cellStyle name="Note 2 2 2 3 3 3 2 4" xfId="3891"/>
    <cellStyle name="Note 2 2 2 3 3 3 2 4 2" xfId="22630"/>
    <cellStyle name="Note 2 2 2 3 3 3 2 5" xfId="15566"/>
    <cellStyle name="Note 2 2 2 3 3 3 3" xfId="1743"/>
    <cellStyle name="Note 2 2 2 3 3 3 3 2" xfId="7687"/>
    <cellStyle name="Note 2 2 2 3 3 3 3 2 2" xfId="10301"/>
    <cellStyle name="Note 2 2 2 3 3 3 3 2 2 2" xfId="16563"/>
    <cellStyle name="Note 2 2 2 3 3 3 3 2 2 2 2" xfId="29979"/>
    <cellStyle name="Note 2 2 2 3 3 3 3 2 2 3" xfId="21308"/>
    <cellStyle name="Note 2 2 2 3 3 3 3 2 3" xfId="14291"/>
    <cellStyle name="Note 2 2 2 3 3 3 3 2 3 2" xfId="28613"/>
    <cellStyle name="Note 2 2 2 3 3 3 3 2 4" xfId="19936"/>
    <cellStyle name="Note 2 2 2 3 3 3 3 3" xfId="13206"/>
    <cellStyle name="Note 2 2 2 3 3 3 3 3 2" xfId="27528"/>
    <cellStyle name="Note 2 2 2 3 3 3 3 4" xfId="18851"/>
    <cellStyle name="Note 2 2 2 3 3 3 4" xfId="5645"/>
    <cellStyle name="Note 2 2 2 3 3 3 4 2" xfId="12198"/>
    <cellStyle name="Note 2 2 2 3 3 3 4 2 2" xfId="26520"/>
    <cellStyle name="Note 2 2 2 3 3 3 4 3" xfId="17843"/>
    <cellStyle name="Note 2 2 2 3 3 3 5" xfId="4754"/>
    <cellStyle name="Note 2 2 2 3 3 3 5 2" xfId="23171"/>
    <cellStyle name="Note 2 2 2 3 3 3 6" xfId="14956"/>
    <cellStyle name="Note 2 2 2 3 3 4" xfId="1744"/>
    <cellStyle name="Note 2 2 2 3 3 4 2" xfId="5941"/>
    <cellStyle name="Note 2 2 2 3 3 4 2 2" xfId="12498"/>
    <cellStyle name="Note 2 2 2 3 3 4 2 2 2" xfId="26820"/>
    <cellStyle name="Note 2 2 2 3 3 4 2 3" xfId="18143"/>
    <cellStyle name="Note 2 2 2 3 3 4 3" xfId="7197"/>
    <cellStyle name="Note 2 2 2 3 3 4 3 2" xfId="9811"/>
    <cellStyle name="Note 2 2 2 3 3 4 3 2 2" xfId="16073"/>
    <cellStyle name="Note 2 2 2 3 3 4 3 2 2 2" xfId="29489"/>
    <cellStyle name="Note 2 2 2 3 3 4 3 2 3" xfId="20818"/>
    <cellStyle name="Note 2 2 2 3 3 4 3 3" xfId="13801"/>
    <cellStyle name="Note 2 2 2 3 3 4 3 3 2" xfId="28123"/>
    <cellStyle name="Note 2 2 2 3 3 4 3 4" xfId="19446"/>
    <cellStyle name="Note 2 2 2 3 3 4 4" xfId="4510"/>
    <cellStyle name="Note 2 2 2 3 3 4 4 2" xfId="22997"/>
    <cellStyle name="Note 2 2 2 3 3 4 5" xfId="16981"/>
    <cellStyle name="Note 2 2 2 3 3 5" xfId="1745"/>
    <cellStyle name="Note 2 2 2 3 3 5 2" xfId="7212"/>
    <cellStyle name="Note 2 2 2 3 3 5 2 2" xfId="9826"/>
    <cellStyle name="Note 2 2 2 3 3 5 2 2 2" xfId="16088"/>
    <cellStyle name="Note 2 2 2 3 3 5 2 2 2 2" xfId="29504"/>
    <cellStyle name="Note 2 2 2 3 3 5 2 2 3" xfId="20833"/>
    <cellStyle name="Note 2 2 2 3 3 5 2 3" xfId="13816"/>
    <cellStyle name="Note 2 2 2 3 3 5 2 3 2" xfId="28138"/>
    <cellStyle name="Note 2 2 2 3 3 5 2 4" xfId="19461"/>
    <cellStyle name="Note 2 2 2 3 3 5 3" xfId="12913"/>
    <cellStyle name="Note 2 2 2 3 3 5 3 2" xfId="27235"/>
    <cellStyle name="Note 2 2 2 3 3 5 4" xfId="18558"/>
    <cellStyle name="Note 2 2 2 3 3 6" xfId="5537"/>
    <cellStyle name="Note 2 2 2 3 3 6 2" xfId="12088"/>
    <cellStyle name="Note 2 2 2 3 3 6 2 2" xfId="26410"/>
    <cellStyle name="Note 2 2 2 3 3 6 3" xfId="17733"/>
    <cellStyle name="Note 2 2 2 3 3 7" xfId="4038"/>
    <cellStyle name="Note 2 2 2 3 3 7 2" xfId="22716"/>
    <cellStyle name="Note 2 2 2 3 3 8" xfId="17195"/>
    <cellStyle name="Note 2 2 2 3 4" xfId="1746"/>
    <cellStyle name="Note 2 2 2 3 4 2" xfId="1747"/>
    <cellStyle name="Note 2 2 2 3 4 2 2" xfId="1748"/>
    <cellStyle name="Note 2 2 2 3 4 2 2 2" xfId="6376"/>
    <cellStyle name="Note 2 2 2 3 4 2 2 2 2" xfId="12959"/>
    <cellStyle name="Note 2 2 2 3 4 2 2 2 2 2" xfId="27281"/>
    <cellStyle name="Note 2 2 2 3 4 2 2 2 3" xfId="18604"/>
    <cellStyle name="Note 2 2 2 3 4 2 2 3" xfId="5324"/>
    <cellStyle name="Note 2 2 2 3 4 2 2 3 2" xfId="9633"/>
    <cellStyle name="Note 2 2 2 3 4 2 2 3 2 2" xfId="15895"/>
    <cellStyle name="Note 2 2 2 3 4 2 2 3 2 2 2" xfId="29311"/>
    <cellStyle name="Note 2 2 2 3 4 2 2 3 2 3" xfId="20640"/>
    <cellStyle name="Note 2 2 2 3 4 2 2 3 3" xfId="11874"/>
    <cellStyle name="Note 2 2 2 3 4 2 2 3 3 2" xfId="26196"/>
    <cellStyle name="Note 2 2 2 3 4 2 2 3 4" xfId="17519"/>
    <cellStyle name="Note 2 2 2 3 4 2 2 4" xfId="4522"/>
    <cellStyle name="Note 2 2 2 3 4 2 2 4 2" xfId="23006"/>
    <cellStyle name="Note 2 2 2 3 4 2 2 5" xfId="3856"/>
    <cellStyle name="Note 2 2 2 3 4 2 3" xfId="1749"/>
    <cellStyle name="Note 2 2 2 3 4 2 3 2" xfId="3722"/>
    <cellStyle name="Note 2 2 2 3 4 2 3 2 2" xfId="9363"/>
    <cellStyle name="Note 2 2 2 3 4 2 3 2 2 2" xfId="15625"/>
    <cellStyle name="Note 2 2 2 3 4 2 3 2 2 2 2" xfId="29041"/>
    <cellStyle name="Note 2 2 2 3 4 2 3 2 2 3" xfId="20370"/>
    <cellStyle name="Note 2 2 2 3 4 2 3 2 3" xfId="4996"/>
    <cellStyle name="Note 2 2 2 3 4 2 3 2 3 2" xfId="23300"/>
    <cellStyle name="Note 2 2 2 3 4 2 3 2 4" xfId="17111"/>
    <cellStyle name="Note 2 2 2 3 4 2 3 3" xfId="13092"/>
    <cellStyle name="Note 2 2 2 3 4 2 3 3 2" xfId="27414"/>
    <cellStyle name="Note 2 2 2 3 4 2 3 4" xfId="18737"/>
    <cellStyle name="Note 2 2 2 3 4 2 4" xfId="5447"/>
    <cellStyle name="Note 2 2 2 3 4 2 4 2" xfId="11998"/>
    <cellStyle name="Note 2 2 2 3 4 2 4 2 2" xfId="26320"/>
    <cellStyle name="Note 2 2 2 3 4 2 4 3" xfId="17643"/>
    <cellStyle name="Note 2 2 2 3 4 2 5" xfId="4695"/>
    <cellStyle name="Note 2 2 2 3 4 2 5 2" xfId="23131"/>
    <cellStyle name="Note 2 2 2 3 4 2 6" xfId="4341"/>
    <cellStyle name="Note 2 2 2 3 4 3" xfId="1750"/>
    <cellStyle name="Note 2 2 2 3 4 3 2" xfId="1751"/>
    <cellStyle name="Note 2 2 2 3 4 3 2 2" xfId="6909"/>
    <cellStyle name="Note 2 2 2 3 4 3 2 2 2" xfId="13513"/>
    <cellStyle name="Note 2 2 2 3 4 3 2 2 2 2" xfId="27835"/>
    <cellStyle name="Note 2 2 2 3 4 3 2 2 3" xfId="19158"/>
    <cellStyle name="Note 2 2 2 3 4 3 2 3" xfId="7138"/>
    <cellStyle name="Note 2 2 2 3 4 3 2 3 2" xfId="9752"/>
    <cellStyle name="Note 2 2 2 3 4 3 2 3 2 2" xfId="16014"/>
    <cellStyle name="Note 2 2 2 3 4 3 2 3 2 2 2" xfId="29430"/>
    <cellStyle name="Note 2 2 2 3 4 3 2 3 2 3" xfId="20759"/>
    <cellStyle name="Note 2 2 2 3 4 3 2 3 3" xfId="13742"/>
    <cellStyle name="Note 2 2 2 3 4 3 2 3 3 2" xfId="28064"/>
    <cellStyle name="Note 2 2 2 3 4 3 2 3 4" xfId="19387"/>
    <cellStyle name="Note 2 2 2 3 4 3 2 4" xfId="11395"/>
    <cellStyle name="Note 2 2 2 3 4 3 2 4 2" xfId="25717"/>
    <cellStyle name="Note 2 2 2 3 4 3 2 5" xfId="14943"/>
    <cellStyle name="Note 2 2 2 3 4 3 3" xfId="1752"/>
    <cellStyle name="Note 2 2 2 3 4 3 3 2" xfId="7428"/>
    <cellStyle name="Note 2 2 2 3 4 3 3 2 2" xfId="10042"/>
    <cellStyle name="Note 2 2 2 3 4 3 3 2 2 2" xfId="16304"/>
    <cellStyle name="Note 2 2 2 3 4 3 3 2 2 2 2" xfId="29720"/>
    <cellStyle name="Note 2 2 2 3 4 3 3 2 2 3" xfId="21049"/>
    <cellStyle name="Note 2 2 2 3 4 3 3 2 3" xfId="14032"/>
    <cellStyle name="Note 2 2 2 3 4 3 3 2 3 2" xfId="28354"/>
    <cellStyle name="Note 2 2 2 3 4 3 3 2 4" xfId="19677"/>
    <cellStyle name="Note 2 2 2 3 4 3 3 3" xfId="13158"/>
    <cellStyle name="Note 2 2 2 3 4 3 3 3 2" xfId="27480"/>
    <cellStyle name="Note 2 2 2 3 4 3 3 4" xfId="18803"/>
    <cellStyle name="Note 2 2 2 3 4 3 4" xfId="5567"/>
    <cellStyle name="Note 2 2 2 3 4 3 4 2" xfId="12118"/>
    <cellStyle name="Note 2 2 2 3 4 3 4 2 2" xfId="26440"/>
    <cellStyle name="Note 2 2 2 3 4 3 4 3" xfId="17763"/>
    <cellStyle name="Note 2 2 2 3 4 3 5" xfId="3285"/>
    <cellStyle name="Note 2 2 2 3 4 3 5 2" xfId="22461"/>
    <cellStyle name="Note 2 2 2 3 4 3 6" xfId="14728"/>
    <cellStyle name="Note 2 2 2 3 4 4" xfId="1753"/>
    <cellStyle name="Note 2 2 2 3 4 4 2" xfId="6380"/>
    <cellStyle name="Note 2 2 2 3 4 4 2 2" xfId="12963"/>
    <cellStyle name="Note 2 2 2 3 4 4 2 2 2" xfId="27285"/>
    <cellStyle name="Note 2 2 2 3 4 4 2 3" xfId="18608"/>
    <cellStyle name="Note 2 2 2 3 4 4 3" xfId="7915"/>
    <cellStyle name="Note 2 2 2 3 4 4 3 2" xfId="10529"/>
    <cellStyle name="Note 2 2 2 3 4 4 3 2 2" xfId="16791"/>
    <cellStyle name="Note 2 2 2 3 4 4 3 2 2 2" xfId="30207"/>
    <cellStyle name="Note 2 2 2 3 4 4 3 2 3" xfId="21536"/>
    <cellStyle name="Note 2 2 2 3 4 4 3 3" xfId="14519"/>
    <cellStyle name="Note 2 2 2 3 4 4 3 3 2" xfId="28841"/>
    <cellStyle name="Note 2 2 2 3 4 4 3 4" xfId="20164"/>
    <cellStyle name="Note 2 2 2 3 4 4 4" xfId="3270"/>
    <cellStyle name="Note 2 2 2 3 4 4 4 2" xfId="22454"/>
    <cellStyle name="Note 2 2 2 3 4 4 5" xfId="15011"/>
    <cellStyle name="Note 2 2 2 3 4 5" xfId="1754"/>
    <cellStyle name="Note 2 2 2 3 4 5 2" xfId="7640"/>
    <cellStyle name="Note 2 2 2 3 4 5 2 2" xfId="10254"/>
    <cellStyle name="Note 2 2 2 3 4 5 2 2 2" xfId="16516"/>
    <cellStyle name="Note 2 2 2 3 4 5 2 2 2 2" xfId="29932"/>
    <cellStyle name="Note 2 2 2 3 4 5 2 2 3" xfId="21261"/>
    <cellStyle name="Note 2 2 2 3 4 5 2 3" xfId="14244"/>
    <cellStyle name="Note 2 2 2 3 4 5 2 3 2" xfId="28566"/>
    <cellStyle name="Note 2 2 2 3 4 5 2 4" xfId="19889"/>
    <cellStyle name="Note 2 2 2 3 4 5 3" xfId="11588"/>
    <cellStyle name="Note 2 2 2 3 4 5 3 2" xfId="25910"/>
    <cellStyle name="Note 2 2 2 3 4 5 4" xfId="15230"/>
    <cellStyle name="Note 2 2 2 3 4 6" xfId="5162"/>
    <cellStyle name="Note 2 2 2 3 4 6 2" xfId="11711"/>
    <cellStyle name="Note 2 2 2 3 4 6 2 2" xfId="26033"/>
    <cellStyle name="Note 2 2 2 3 4 6 3" xfId="4507"/>
    <cellStyle name="Note 2 2 2 3 4 7" xfId="4721"/>
    <cellStyle name="Note 2 2 2 3 4 7 2" xfId="23150"/>
    <cellStyle name="Note 2 2 2 3 4 8" xfId="5090"/>
    <cellStyle name="Note 2 2 2 3 5" xfId="1755"/>
    <cellStyle name="Note 2 2 2 3 5 2" xfId="1756"/>
    <cellStyle name="Note 2 2 2 3 5 2 2" xfId="1757"/>
    <cellStyle name="Note 2 2 2 3 5 2 2 2" xfId="6179"/>
    <cellStyle name="Note 2 2 2 3 5 2 2 2 2" xfId="12752"/>
    <cellStyle name="Note 2 2 2 3 5 2 2 2 2 2" xfId="27074"/>
    <cellStyle name="Note 2 2 2 3 5 2 2 2 3" xfId="18397"/>
    <cellStyle name="Note 2 2 2 3 5 2 2 3" xfId="7543"/>
    <cellStyle name="Note 2 2 2 3 5 2 2 3 2" xfId="10157"/>
    <cellStyle name="Note 2 2 2 3 5 2 2 3 2 2" xfId="16419"/>
    <cellStyle name="Note 2 2 2 3 5 2 2 3 2 2 2" xfId="29835"/>
    <cellStyle name="Note 2 2 2 3 5 2 2 3 2 3" xfId="21164"/>
    <cellStyle name="Note 2 2 2 3 5 2 2 3 3" xfId="14147"/>
    <cellStyle name="Note 2 2 2 3 5 2 2 3 3 2" xfId="28469"/>
    <cellStyle name="Note 2 2 2 3 5 2 2 3 4" xfId="19792"/>
    <cellStyle name="Note 2 2 2 3 5 2 2 4" xfId="6754"/>
    <cellStyle name="Note 2 2 2 3 5 2 2 4 2" xfId="23702"/>
    <cellStyle name="Note 2 2 2 3 5 2 2 5" xfId="17199"/>
    <cellStyle name="Note 2 2 2 3 5 2 3" xfId="1758"/>
    <cellStyle name="Note 2 2 2 3 5 2 3 2" xfId="7809"/>
    <cellStyle name="Note 2 2 2 3 5 2 3 2 2" xfId="10423"/>
    <cellStyle name="Note 2 2 2 3 5 2 3 2 2 2" xfId="16685"/>
    <cellStyle name="Note 2 2 2 3 5 2 3 2 2 2 2" xfId="30101"/>
    <cellStyle name="Note 2 2 2 3 5 2 3 2 2 3" xfId="21430"/>
    <cellStyle name="Note 2 2 2 3 5 2 3 2 3" xfId="14413"/>
    <cellStyle name="Note 2 2 2 3 5 2 3 2 3 2" xfId="28735"/>
    <cellStyle name="Note 2 2 2 3 5 2 3 2 4" xfId="20058"/>
    <cellStyle name="Note 2 2 2 3 5 2 3 3" xfId="12743"/>
    <cellStyle name="Note 2 2 2 3 5 2 3 3 2" xfId="27065"/>
    <cellStyle name="Note 2 2 2 3 5 2 3 4" xfId="18388"/>
    <cellStyle name="Note 2 2 2 3 5 2 4" xfId="4773"/>
    <cellStyle name="Note 2 2 2 3 5 2 4 2" xfId="2766"/>
    <cellStyle name="Note 2 2 2 3 5 2 4 2 2" xfId="22335"/>
    <cellStyle name="Note 2 2 2 3 5 2 4 3" xfId="14696"/>
    <cellStyle name="Note 2 2 2 3 5 2 5" xfId="6678"/>
    <cellStyle name="Note 2 2 2 3 5 2 5 2" xfId="23649"/>
    <cellStyle name="Note 2 2 2 3 5 2 6" xfId="4541"/>
    <cellStyle name="Note 2 2 2 3 5 3" xfId="1759"/>
    <cellStyle name="Note 2 2 2 3 5 3 2" xfId="6862"/>
    <cellStyle name="Note 2 2 2 3 5 3 2 2" xfId="13466"/>
    <cellStyle name="Note 2 2 2 3 5 3 2 2 2" xfId="27788"/>
    <cellStyle name="Note 2 2 2 3 5 3 2 3" xfId="19111"/>
    <cellStyle name="Note 2 2 2 3 5 3 3" xfId="5345"/>
    <cellStyle name="Note 2 2 2 3 5 3 3 2" xfId="9654"/>
    <cellStyle name="Note 2 2 2 3 5 3 3 2 2" xfId="15916"/>
    <cellStyle name="Note 2 2 2 3 5 3 3 2 2 2" xfId="29332"/>
    <cellStyle name="Note 2 2 2 3 5 3 3 2 3" xfId="20661"/>
    <cellStyle name="Note 2 2 2 3 5 3 3 3" xfId="11895"/>
    <cellStyle name="Note 2 2 2 3 5 3 3 3 2" xfId="26217"/>
    <cellStyle name="Note 2 2 2 3 5 3 3 4" xfId="17540"/>
    <cellStyle name="Note 2 2 2 3 5 3 4" xfId="11321"/>
    <cellStyle name="Note 2 2 2 3 5 3 4 2" xfId="25643"/>
    <cellStyle name="Note 2 2 2 3 5 3 5" xfId="17289"/>
    <cellStyle name="Note 2 2 2 3 5 4" xfId="1760"/>
    <cellStyle name="Note 2 2 2 3 5 4 2" xfId="7815"/>
    <cellStyle name="Note 2 2 2 3 5 4 2 2" xfId="10429"/>
    <cellStyle name="Note 2 2 2 3 5 4 2 2 2" xfId="16691"/>
    <cellStyle name="Note 2 2 2 3 5 4 2 2 2 2" xfId="30107"/>
    <cellStyle name="Note 2 2 2 3 5 4 2 2 3" xfId="21436"/>
    <cellStyle name="Note 2 2 2 3 5 4 2 3" xfId="14419"/>
    <cellStyle name="Note 2 2 2 3 5 4 2 3 2" xfId="28741"/>
    <cellStyle name="Note 2 2 2 3 5 4 2 4" xfId="20064"/>
    <cellStyle name="Note 2 2 2 3 5 4 3" xfId="12845"/>
    <cellStyle name="Note 2 2 2 3 5 4 3 2" xfId="27167"/>
    <cellStyle name="Note 2 2 2 3 5 4 4" xfId="18490"/>
    <cellStyle name="Note 2 2 2 3 5 5" xfId="5428"/>
    <cellStyle name="Note 2 2 2 3 5 5 2" xfId="11979"/>
    <cellStyle name="Note 2 2 2 3 5 5 2 2" xfId="26301"/>
    <cellStyle name="Note 2 2 2 3 5 5 3" xfId="17624"/>
    <cellStyle name="Note 2 2 2 3 5 6" xfId="6784"/>
    <cellStyle name="Note 2 2 2 3 5 6 2" xfId="23728"/>
    <cellStyle name="Note 2 2 2 3 5 7" xfId="17254"/>
    <cellStyle name="Note 2 2 2 3 6" xfId="1761"/>
    <cellStyle name="Note 2 2 2 3 6 2" xfId="1762"/>
    <cellStyle name="Note 2 2 2 3 6 2 2" xfId="6848"/>
    <cellStyle name="Note 2 2 2 3 6 2 2 2" xfId="13452"/>
    <cellStyle name="Note 2 2 2 3 6 2 2 2 2" xfId="27774"/>
    <cellStyle name="Note 2 2 2 3 6 2 2 3" xfId="19097"/>
    <cellStyle name="Note 2 2 2 3 6 2 3" xfId="7214"/>
    <cellStyle name="Note 2 2 2 3 6 2 3 2" xfId="9828"/>
    <cellStyle name="Note 2 2 2 3 6 2 3 2 2" xfId="16090"/>
    <cellStyle name="Note 2 2 2 3 6 2 3 2 2 2" xfId="29506"/>
    <cellStyle name="Note 2 2 2 3 6 2 3 2 3" xfId="20835"/>
    <cellStyle name="Note 2 2 2 3 6 2 3 3" xfId="13818"/>
    <cellStyle name="Note 2 2 2 3 6 2 3 3 2" xfId="28140"/>
    <cellStyle name="Note 2 2 2 3 6 2 3 4" xfId="19463"/>
    <cellStyle name="Note 2 2 2 3 6 2 4" xfId="2807"/>
    <cellStyle name="Note 2 2 2 3 6 2 4 2" xfId="22370"/>
    <cellStyle name="Note 2 2 2 3 6 2 5" xfId="3749"/>
    <cellStyle name="Note 2 2 2 3 6 3" xfId="1763"/>
    <cellStyle name="Note 2 2 2 3 6 3 2" xfId="5019"/>
    <cellStyle name="Note 2 2 2 3 6 3 2 2" xfId="9545"/>
    <cellStyle name="Note 2 2 2 3 6 3 2 2 2" xfId="15807"/>
    <cellStyle name="Note 2 2 2 3 6 3 2 2 2 2" xfId="29223"/>
    <cellStyle name="Note 2 2 2 3 6 3 2 2 3" xfId="20552"/>
    <cellStyle name="Note 2 2 2 3 6 3 2 3" xfId="11565"/>
    <cellStyle name="Note 2 2 2 3 6 3 2 3 2" xfId="25887"/>
    <cellStyle name="Note 2 2 2 3 6 3 2 4" xfId="17197"/>
    <cellStyle name="Note 2 2 2 3 6 3 3" xfId="12533"/>
    <cellStyle name="Note 2 2 2 3 6 3 3 2" xfId="26855"/>
    <cellStyle name="Note 2 2 2 3 6 3 4" xfId="18178"/>
    <cellStyle name="Note 2 2 2 3 6 4" xfId="4799"/>
    <cellStyle name="Note 2 2 2 3 6 4 2" xfId="11329"/>
    <cellStyle name="Note 2 2 2 3 6 4 2 2" xfId="25651"/>
    <cellStyle name="Note 2 2 2 3 6 4 3" xfId="17249"/>
    <cellStyle name="Note 2 2 2 3 6 5" xfId="4342"/>
    <cellStyle name="Note 2 2 2 3 6 5 2" xfId="22897"/>
    <cellStyle name="Note 2 2 2 3 6 6" xfId="14912"/>
    <cellStyle name="Note 2 2 2 3 7" xfId="1764"/>
    <cellStyle name="Note 2 2 2 3 7 2" xfId="6859"/>
    <cellStyle name="Note 2 2 2 3 7 2 2" xfId="13463"/>
    <cellStyle name="Note 2 2 2 3 7 2 2 2" xfId="27785"/>
    <cellStyle name="Note 2 2 2 3 7 2 3" xfId="19108"/>
    <cellStyle name="Note 2 2 2 3 7 3" xfId="7506"/>
    <cellStyle name="Note 2 2 2 3 7 3 2" xfId="10120"/>
    <cellStyle name="Note 2 2 2 3 7 3 2 2" xfId="16382"/>
    <cellStyle name="Note 2 2 2 3 7 3 2 2 2" xfId="29798"/>
    <cellStyle name="Note 2 2 2 3 7 3 2 3" xfId="21127"/>
    <cellStyle name="Note 2 2 2 3 7 3 3" xfId="14110"/>
    <cellStyle name="Note 2 2 2 3 7 3 3 2" xfId="28432"/>
    <cellStyle name="Note 2 2 2 3 7 3 4" xfId="19755"/>
    <cellStyle name="Note 2 2 2 3 7 4" xfId="11317"/>
    <cellStyle name="Note 2 2 2 3 7 4 2" xfId="25639"/>
    <cellStyle name="Note 2 2 2 3 7 5" xfId="15227"/>
    <cellStyle name="Note 2 2 2 3 8" xfId="1765"/>
    <cellStyle name="Note 2 2 2 3 8 2" xfId="7657"/>
    <cellStyle name="Note 2 2 2 3 8 2 2" xfId="10271"/>
    <cellStyle name="Note 2 2 2 3 8 2 2 2" xfId="16533"/>
    <cellStyle name="Note 2 2 2 3 8 2 2 2 2" xfId="29949"/>
    <cellStyle name="Note 2 2 2 3 8 2 2 3" xfId="21278"/>
    <cellStyle name="Note 2 2 2 3 8 2 3" xfId="14261"/>
    <cellStyle name="Note 2 2 2 3 8 2 3 2" xfId="28583"/>
    <cellStyle name="Note 2 2 2 3 8 2 4" xfId="19906"/>
    <cellStyle name="Note 2 2 2 3 8 3" xfId="12598"/>
    <cellStyle name="Note 2 2 2 3 8 3 2" xfId="26920"/>
    <cellStyle name="Note 2 2 2 3 8 4" xfId="18243"/>
    <cellStyle name="Note 2 2 2 3 9" xfId="5159"/>
    <cellStyle name="Note 2 2 2 3 9 2" xfId="11708"/>
    <cellStyle name="Note 2 2 2 3 9 2 2" xfId="26030"/>
    <cellStyle name="Note 2 2 2 3 9 3" xfId="4202"/>
    <cellStyle name="Note 2 2 2 4" xfId="1766"/>
    <cellStyle name="Note 2 2 2 4 2" xfId="1767"/>
    <cellStyle name="Note 2 2 2 4 2 2" xfId="1768"/>
    <cellStyle name="Note 2 2 2 4 2 2 2" xfId="7013"/>
    <cellStyle name="Note 2 2 2 4 2 2 2 2" xfId="13617"/>
    <cellStyle name="Note 2 2 2 4 2 2 2 2 2" xfId="27939"/>
    <cellStyle name="Note 2 2 2 4 2 2 2 3" xfId="19262"/>
    <cellStyle name="Note 2 2 2 4 2 2 3" xfId="7261"/>
    <cellStyle name="Note 2 2 2 4 2 2 3 2" xfId="9875"/>
    <cellStyle name="Note 2 2 2 4 2 2 3 2 2" xfId="16137"/>
    <cellStyle name="Note 2 2 2 4 2 2 3 2 2 2" xfId="29553"/>
    <cellStyle name="Note 2 2 2 4 2 2 3 2 3" xfId="20882"/>
    <cellStyle name="Note 2 2 2 4 2 2 3 3" xfId="13865"/>
    <cellStyle name="Note 2 2 2 4 2 2 3 3 2" xfId="28187"/>
    <cellStyle name="Note 2 2 2 4 2 2 3 4" xfId="19510"/>
    <cellStyle name="Note 2 2 2 4 2 2 4" xfId="11539"/>
    <cellStyle name="Note 2 2 2 4 2 2 4 2" xfId="25861"/>
    <cellStyle name="Note 2 2 2 4 2 2 5" xfId="15502"/>
    <cellStyle name="Note 2 2 2 4 2 3" xfId="1769"/>
    <cellStyle name="Note 2 2 2 4 2 3 2" xfId="4924"/>
    <cellStyle name="Note 2 2 2 4 2 3 2 2" xfId="9517"/>
    <cellStyle name="Note 2 2 2 4 2 3 2 2 2" xfId="15779"/>
    <cellStyle name="Note 2 2 2 4 2 3 2 2 2 2" xfId="29195"/>
    <cellStyle name="Note 2 2 2 4 2 3 2 2 3" xfId="20524"/>
    <cellStyle name="Note 2 2 2 4 2 3 2 3" xfId="11462"/>
    <cellStyle name="Note 2 2 2 4 2 3 2 3 2" xfId="25784"/>
    <cellStyle name="Note 2 2 2 4 2 3 2 4" xfId="6283"/>
    <cellStyle name="Note 2 2 2 4 2 3 3" xfId="13231"/>
    <cellStyle name="Note 2 2 2 4 2 3 3 2" xfId="27553"/>
    <cellStyle name="Note 2 2 2 4 2 3 4" xfId="18876"/>
    <cellStyle name="Note 2 2 2 4 2 4" xfId="5672"/>
    <cellStyle name="Note 2 2 2 4 2 4 2" xfId="12225"/>
    <cellStyle name="Note 2 2 2 4 2 4 2 2" xfId="26547"/>
    <cellStyle name="Note 2 2 2 4 2 4 3" xfId="17870"/>
    <cellStyle name="Note 2 2 2 4 2 5" xfId="4907"/>
    <cellStyle name="Note 2 2 2 4 2 5 2" xfId="23259"/>
    <cellStyle name="Note 2 2 2 4 2 6" xfId="15320"/>
    <cellStyle name="Note 2 2 2 4 3" xfId="1770"/>
    <cellStyle name="Note 2 2 2 4 3 2" xfId="1771"/>
    <cellStyle name="Note 2 2 2 4 3 2 2" xfId="6236"/>
    <cellStyle name="Note 2 2 2 4 3 2 2 2" xfId="12812"/>
    <cellStyle name="Note 2 2 2 4 3 2 2 2 2" xfId="27134"/>
    <cellStyle name="Note 2 2 2 4 3 2 2 3" xfId="18457"/>
    <cellStyle name="Note 2 2 2 4 3 2 3" xfId="8065"/>
    <cellStyle name="Note 2 2 2 4 3 2 3 2" xfId="10679"/>
    <cellStyle name="Note 2 2 2 4 3 2 3 2 2" xfId="16941"/>
    <cellStyle name="Note 2 2 2 4 3 2 3 2 2 2" xfId="30357"/>
    <cellStyle name="Note 2 2 2 4 3 2 3 2 3" xfId="21686"/>
    <cellStyle name="Note 2 2 2 4 3 2 3 3" xfId="14669"/>
    <cellStyle name="Note 2 2 2 4 3 2 3 3 2" xfId="28991"/>
    <cellStyle name="Note 2 2 2 4 3 2 3 4" xfId="20314"/>
    <cellStyle name="Note 2 2 2 4 3 2 4" xfId="4670"/>
    <cellStyle name="Note 2 2 2 4 3 2 4 2" xfId="23109"/>
    <cellStyle name="Note 2 2 2 4 3 2 5" xfId="3698"/>
    <cellStyle name="Note 2 2 2 4 3 3" xfId="1772"/>
    <cellStyle name="Note 2 2 2 4 3 3 2" xfId="7335"/>
    <cellStyle name="Note 2 2 2 4 3 3 2 2" xfId="9949"/>
    <cellStyle name="Note 2 2 2 4 3 3 2 2 2" xfId="16211"/>
    <cellStyle name="Note 2 2 2 4 3 3 2 2 2 2" xfId="29627"/>
    <cellStyle name="Note 2 2 2 4 3 3 2 2 3" xfId="20956"/>
    <cellStyle name="Note 2 2 2 4 3 3 2 3" xfId="13939"/>
    <cellStyle name="Note 2 2 2 4 3 3 2 3 2" xfId="28261"/>
    <cellStyle name="Note 2 2 2 4 3 3 2 4" xfId="19584"/>
    <cellStyle name="Note 2 2 2 4 3 3 3" xfId="12579"/>
    <cellStyle name="Note 2 2 2 4 3 3 3 2" xfId="26901"/>
    <cellStyle name="Note 2 2 2 4 3 3 4" xfId="18224"/>
    <cellStyle name="Note 2 2 2 4 3 4" xfId="5155"/>
    <cellStyle name="Note 2 2 2 4 3 4 2" xfId="11704"/>
    <cellStyle name="Note 2 2 2 4 3 4 2 2" xfId="26026"/>
    <cellStyle name="Note 2 2 2 4 3 4 3" xfId="4159"/>
    <cellStyle name="Note 2 2 2 4 3 5" xfId="4932"/>
    <cellStyle name="Note 2 2 2 4 3 5 2" xfId="23268"/>
    <cellStyle name="Note 2 2 2 4 3 6" xfId="6569"/>
    <cellStyle name="Note 2 2 2 4 4" xfId="1773"/>
    <cellStyle name="Note 2 2 2 4 4 2" xfId="6943"/>
    <cellStyle name="Note 2 2 2 4 4 2 2" xfId="13547"/>
    <cellStyle name="Note 2 2 2 4 4 2 2 2" xfId="27869"/>
    <cellStyle name="Note 2 2 2 4 4 2 3" xfId="19192"/>
    <cellStyle name="Note 2 2 2 4 4 3" xfId="7862"/>
    <cellStyle name="Note 2 2 2 4 4 3 2" xfId="10476"/>
    <cellStyle name="Note 2 2 2 4 4 3 2 2" xfId="16738"/>
    <cellStyle name="Note 2 2 2 4 4 3 2 2 2" xfId="30154"/>
    <cellStyle name="Note 2 2 2 4 4 3 2 3" xfId="21483"/>
    <cellStyle name="Note 2 2 2 4 4 3 3" xfId="14466"/>
    <cellStyle name="Note 2 2 2 4 4 3 3 2" xfId="28788"/>
    <cellStyle name="Note 2 2 2 4 4 3 4" xfId="20111"/>
    <cellStyle name="Note 2 2 2 4 4 4" xfId="11436"/>
    <cellStyle name="Note 2 2 2 4 4 4 2" xfId="25758"/>
    <cellStyle name="Note 2 2 2 4 4 5" xfId="15374"/>
    <cellStyle name="Note 2 2 2 4 5" xfId="1774"/>
    <cellStyle name="Note 2 2 2 4 5 2" xfId="3474"/>
    <cellStyle name="Note 2 2 2 4 5 2 2" xfId="9228"/>
    <cellStyle name="Note 2 2 2 4 5 2 2 2" xfId="15522"/>
    <cellStyle name="Note 2 2 2 4 5 2 2 2 2" xfId="29014"/>
    <cellStyle name="Note 2 2 2 4 5 2 2 3" xfId="20342"/>
    <cellStyle name="Note 2 2 2 4 5 2 3" xfId="4446"/>
    <cellStyle name="Note 2 2 2 4 5 2 3 2" xfId="22958"/>
    <cellStyle name="Note 2 2 2 4 5 2 4" xfId="15207"/>
    <cellStyle name="Note 2 2 2 4 5 3" xfId="12609"/>
    <cellStyle name="Note 2 2 2 4 5 3 2" xfId="26931"/>
    <cellStyle name="Note 2 2 2 4 5 4" xfId="18254"/>
    <cellStyle name="Note 2 2 2 4 6" xfId="5094"/>
    <cellStyle name="Note 2 2 2 4 6 2" xfId="11641"/>
    <cellStyle name="Note 2 2 2 4 6 2 2" xfId="25963"/>
    <cellStyle name="Note 2 2 2 4 6 3" xfId="14798"/>
    <cellStyle name="Note 2 2 2 4 7" xfId="6513"/>
    <cellStyle name="Note 2 2 2 4 7 2" xfId="23577"/>
    <cellStyle name="Note 2 2 2 4 8" xfId="15408"/>
    <cellStyle name="Note 2 2 2 5" xfId="1775"/>
    <cellStyle name="Note 2 2 2 5 2" xfId="1776"/>
    <cellStyle name="Note 2 2 2 5 2 2" xfId="1777"/>
    <cellStyle name="Note 2 2 2 5 2 2 2" xfId="6892"/>
    <cellStyle name="Note 2 2 2 5 2 2 2 2" xfId="13496"/>
    <cellStyle name="Note 2 2 2 5 2 2 2 2 2" xfId="27818"/>
    <cellStyle name="Note 2 2 2 5 2 2 2 3" xfId="19141"/>
    <cellStyle name="Note 2 2 2 5 2 2 3" xfId="7149"/>
    <cellStyle name="Note 2 2 2 5 2 2 3 2" xfId="9763"/>
    <cellStyle name="Note 2 2 2 5 2 2 3 2 2" xfId="16025"/>
    <cellStyle name="Note 2 2 2 5 2 2 3 2 2 2" xfId="29441"/>
    <cellStyle name="Note 2 2 2 5 2 2 3 2 3" xfId="20770"/>
    <cellStyle name="Note 2 2 2 5 2 2 3 3" xfId="13753"/>
    <cellStyle name="Note 2 2 2 5 2 2 3 3 2" xfId="28075"/>
    <cellStyle name="Note 2 2 2 5 2 2 3 4" xfId="19398"/>
    <cellStyle name="Note 2 2 2 5 2 2 4" xfId="11369"/>
    <cellStyle name="Note 2 2 2 5 2 2 4 2" xfId="25691"/>
    <cellStyle name="Note 2 2 2 5 2 2 5" xfId="17064"/>
    <cellStyle name="Note 2 2 2 5 2 3" xfId="1778"/>
    <cellStyle name="Note 2 2 2 5 2 3 2" xfId="7278"/>
    <cellStyle name="Note 2 2 2 5 2 3 2 2" xfId="9892"/>
    <cellStyle name="Note 2 2 2 5 2 3 2 2 2" xfId="16154"/>
    <cellStyle name="Note 2 2 2 5 2 3 2 2 2 2" xfId="29570"/>
    <cellStyle name="Note 2 2 2 5 2 3 2 2 3" xfId="20899"/>
    <cellStyle name="Note 2 2 2 5 2 3 2 3" xfId="13882"/>
    <cellStyle name="Note 2 2 2 5 2 3 2 3 2" xfId="28204"/>
    <cellStyle name="Note 2 2 2 5 2 3 2 4" xfId="19527"/>
    <cellStyle name="Note 2 2 2 5 2 3 3" xfId="13268"/>
    <cellStyle name="Note 2 2 2 5 2 3 3 2" xfId="27590"/>
    <cellStyle name="Note 2 2 2 5 2 3 4" xfId="18913"/>
    <cellStyle name="Note 2 2 2 5 2 4" xfId="5714"/>
    <cellStyle name="Note 2 2 2 5 2 4 2" xfId="12267"/>
    <cellStyle name="Note 2 2 2 5 2 4 2 2" xfId="26589"/>
    <cellStyle name="Note 2 2 2 5 2 4 3" xfId="17912"/>
    <cellStyle name="Note 2 2 2 5 2 5" xfId="5983"/>
    <cellStyle name="Note 2 2 2 5 2 5 2" xfId="23389"/>
    <cellStyle name="Note 2 2 2 5 2 6" xfId="15191"/>
    <cellStyle name="Note 2 2 2 5 3" xfId="1779"/>
    <cellStyle name="Note 2 2 2 5 3 2" xfId="1780"/>
    <cellStyle name="Note 2 2 2 5 3 2 2" xfId="6591"/>
    <cellStyle name="Note 2 2 2 5 3 2 2 2" xfId="13180"/>
    <cellStyle name="Note 2 2 2 5 3 2 2 2 2" xfId="27502"/>
    <cellStyle name="Note 2 2 2 5 3 2 2 3" xfId="18825"/>
    <cellStyle name="Note 2 2 2 5 3 2 3" xfId="7513"/>
    <cellStyle name="Note 2 2 2 5 3 2 3 2" xfId="10127"/>
    <cellStyle name="Note 2 2 2 5 3 2 3 2 2" xfId="16389"/>
    <cellStyle name="Note 2 2 2 5 3 2 3 2 2 2" xfId="29805"/>
    <cellStyle name="Note 2 2 2 5 3 2 3 2 3" xfId="21134"/>
    <cellStyle name="Note 2 2 2 5 3 2 3 3" xfId="14117"/>
    <cellStyle name="Note 2 2 2 5 3 2 3 3 2" xfId="28439"/>
    <cellStyle name="Note 2 2 2 5 3 2 3 4" xfId="19762"/>
    <cellStyle name="Note 2 2 2 5 3 2 4" xfId="3672"/>
    <cellStyle name="Note 2 2 2 5 3 2 4 2" xfId="22518"/>
    <cellStyle name="Note 2 2 2 5 3 2 5" xfId="14692"/>
    <cellStyle name="Note 2 2 2 5 3 3" xfId="1781"/>
    <cellStyle name="Note 2 2 2 5 3 3 2" xfId="7113"/>
    <cellStyle name="Note 2 2 2 5 3 3 2 2" xfId="9727"/>
    <cellStyle name="Note 2 2 2 5 3 3 2 2 2" xfId="15989"/>
    <cellStyle name="Note 2 2 2 5 3 3 2 2 2 2" xfId="29405"/>
    <cellStyle name="Note 2 2 2 5 3 3 2 2 3" xfId="20734"/>
    <cellStyle name="Note 2 2 2 5 3 3 2 3" xfId="13717"/>
    <cellStyle name="Note 2 2 2 5 3 3 2 3 2" xfId="28039"/>
    <cellStyle name="Note 2 2 2 5 3 3 2 4" xfId="19362"/>
    <cellStyle name="Note 2 2 2 5 3 3 3" xfId="13370"/>
    <cellStyle name="Note 2 2 2 5 3 3 3 2" xfId="27692"/>
    <cellStyle name="Note 2 2 2 5 3 3 4" xfId="19015"/>
    <cellStyle name="Note 2 2 2 5 3 4" xfId="5821"/>
    <cellStyle name="Note 2 2 2 5 3 4 2" xfId="12374"/>
    <cellStyle name="Note 2 2 2 5 3 4 2 2" xfId="26696"/>
    <cellStyle name="Note 2 2 2 5 3 4 3" xfId="18019"/>
    <cellStyle name="Note 2 2 2 5 3 5" xfId="4653"/>
    <cellStyle name="Note 2 2 2 5 3 5 2" xfId="23095"/>
    <cellStyle name="Note 2 2 2 5 3 6" xfId="16960"/>
    <cellStyle name="Note 2 2 2 5 4" xfId="1782"/>
    <cellStyle name="Note 2 2 2 5 4 2" xfId="6869"/>
    <cellStyle name="Note 2 2 2 5 4 2 2" xfId="13473"/>
    <cellStyle name="Note 2 2 2 5 4 2 2 2" xfId="27795"/>
    <cellStyle name="Note 2 2 2 5 4 2 3" xfId="19118"/>
    <cellStyle name="Note 2 2 2 5 4 3" xfId="7405"/>
    <cellStyle name="Note 2 2 2 5 4 3 2" xfId="10019"/>
    <cellStyle name="Note 2 2 2 5 4 3 2 2" xfId="16281"/>
    <cellStyle name="Note 2 2 2 5 4 3 2 2 2" xfId="29697"/>
    <cellStyle name="Note 2 2 2 5 4 3 2 3" xfId="21026"/>
    <cellStyle name="Note 2 2 2 5 4 3 3" xfId="14009"/>
    <cellStyle name="Note 2 2 2 5 4 3 3 2" xfId="28331"/>
    <cellStyle name="Note 2 2 2 5 4 3 4" xfId="19654"/>
    <cellStyle name="Note 2 2 2 5 4 4" xfId="11332"/>
    <cellStyle name="Note 2 2 2 5 4 4 2" xfId="25654"/>
    <cellStyle name="Note 2 2 2 5 4 5" xfId="15308"/>
    <cellStyle name="Note 2 2 2 5 5" xfId="1783"/>
    <cellStyle name="Note 2 2 2 5 5 2" xfId="7753"/>
    <cellStyle name="Note 2 2 2 5 5 2 2" xfId="10367"/>
    <cellStyle name="Note 2 2 2 5 5 2 2 2" xfId="16629"/>
    <cellStyle name="Note 2 2 2 5 5 2 2 2 2" xfId="30045"/>
    <cellStyle name="Note 2 2 2 5 5 2 2 3" xfId="21374"/>
    <cellStyle name="Note 2 2 2 5 5 2 3" xfId="14357"/>
    <cellStyle name="Note 2 2 2 5 5 2 3 2" xfId="28679"/>
    <cellStyle name="Note 2 2 2 5 5 2 4" xfId="20002"/>
    <cellStyle name="Note 2 2 2 5 5 3" xfId="12825"/>
    <cellStyle name="Note 2 2 2 5 5 3 2" xfId="27147"/>
    <cellStyle name="Note 2 2 2 5 5 4" xfId="18470"/>
    <cellStyle name="Note 2 2 2 5 6" xfId="5373"/>
    <cellStyle name="Note 2 2 2 5 6 2" xfId="11923"/>
    <cellStyle name="Note 2 2 2 5 6 2 2" xfId="26245"/>
    <cellStyle name="Note 2 2 2 5 6 3" xfId="17568"/>
    <cellStyle name="Note 2 2 2 5 7" xfId="5883"/>
    <cellStyle name="Note 2 2 2 5 7 2" xfId="23368"/>
    <cellStyle name="Note 2 2 2 5 8" xfId="14950"/>
    <cellStyle name="Note 2 2 2 6" xfId="1784"/>
    <cellStyle name="Note 2 2 2 6 2" xfId="1785"/>
    <cellStyle name="Note 2 2 2 6 2 2" xfId="1786"/>
    <cellStyle name="Note 2 2 2 6 2 2 2" xfId="5478"/>
    <cellStyle name="Note 2 2 2 6 2 2 2 2" xfId="12029"/>
    <cellStyle name="Note 2 2 2 6 2 2 2 2 2" xfId="26351"/>
    <cellStyle name="Note 2 2 2 6 2 2 2 3" xfId="17674"/>
    <cellStyle name="Note 2 2 2 6 2 2 3" xfId="4752"/>
    <cellStyle name="Note 2 2 2 6 2 2 3 2" xfId="9475"/>
    <cellStyle name="Note 2 2 2 6 2 2 3 2 2" xfId="15737"/>
    <cellStyle name="Note 2 2 2 6 2 2 3 2 2 2" xfId="29153"/>
    <cellStyle name="Note 2 2 2 6 2 2 3 2 3" xfId="20482"/>
    <cellStyle name="Note 2 2 2 6 2 2 3 3" xfId="2821"/>
    <cellStyle name="Note 2 2 2 6 2 2 3 3 2" xfId="22384"/>
    <cellStyle name="Note 2 2 2 6 2 2 3 4" xfId="17296"/>
    <cellStyle name="Note 2 2 2 6 2 2 4" xfId="6260"/>
    <cellStyle name="Note 2 2 2 6 2 2 4 2" xfId="23478"/>
    <cellStyle name="Note 2 2 2 6 2 2 5" xfId="5206"/>
    <cellStyle name="Note 2 2 2 6 2 3" xfId="1787"/>
    <cellStyle name="Note 2 2 2 6 2 3 2" xfId="3924"/>
    <cellStyle name="Note 2 2 2 6 2 3 2 2" xfId="9397"/>
    <cellStyle name="Note 2 2 2 6 2 3 2 2 2" xfId="15659"/>
    <cellStyle name="Note 2 2 2 6 2 3 2 2 2 2" xfId="29075"/>
    <cellStyle name="Note 2 2 2 6 2 3 2 2 3" xfId="20404"/>
    <cellStyle name="Note 2 2 2 6 2 3 2 3" xfId="3931"/>
    <cellStyle name="Note 2 2 2 6 2 3 2 3 2" xfId="22651"/>
    <cellStyle name="Note 2 2 2 6 2 3 2 4" xfId="15552"/>
    <cellStyle name="Note 2 2 2 6 2 3 3" xfId="13248"/>
    <cellStyle name="Note 2 2 2 6 2 3 3 2" xfId="27570"/>
    <cellStyle name="Note 2 2 2 6 2 3 4" xfId="18893"/>
    <cellStyle name="Note 2 2 2 6 2 4" xfId="5690"/>
    <cellStyle name="Note 2 2 2 6 2 4 2" xfId="12243"/>
    <cellStyle name="Note 2 2 2 6 2 4 2 2" xfId="26565"/>
    <cellStyle name="Note 2 2 2 6 2 4 3" xfId="17888"/>
    <cellStyle name="Note 2 2 2 6 2 5" xfId="6763"/>
    <cellStyle name="Note 2 2 2 6 2 5 2" xfId="23710"/>
    <cellStyle name="Note 2 2 2 6 2 6" xfId="15363"/>
    <cellStyle name="Note 2 2 2 6 3" xfId="1788"/>
    <cellStyle name="Note 2 2 2 6 3 2" xfId="1789"/>
    <cellStyle name="Note 2 2 2 6 3 2 2" xfId="6025"/>
    <cellStyle name="Note 2 2 2 6 3 2 2 2" xfId="12586"/>
    <cellStyle name="Note 2 2 2 6 3 2 2 2 2" xfId="26908"/>
    <cellStyle name="Note 2 2 2 6 3 2 2 3" xfId="18231"/>
    <cellStyle name="Note 2 2 2 6 3 2 3" xfId="7218"/>
    <cellStyle name="Note 2 2 2 6 3 2 3 2" xfId="9832"/>
    <cellStyle name="Note 2 2 2 6 3 2 3 2 2" xfId="16094"/>
    <cellStyle name="Note 2 2 2 6 3 2 3 2 2 2" xfId="29510"/>
    <cellStyle name="Note 2 2 2 6 3 2 3 2 3" xfId="20839"/>
    <cellStyle name="Note 2 2 2 6 3 2 3 3" xfId="13822"/>
    <cellStyle name="Note 2 2 2 6 3 2 3 3 2" xfId="28144"/>
    <cellStyle name="Note 2 2 2 6 3 2 3 4" xfId="19467"/>
    <cellStyle name="Note 2 2 2 6 3 2 4" xfId="4001"/>
    <cellStyle name="Note 2 2 2 6 3 2 4 2" xfId="22695"/>
    <cellStyle name="Note 2 2 2 6 3 2 5" xfId="6543"/>
    <cellStyle name="Note 2 2 2 6 3 3" xfId="1790"/>
    <cellStyle name="Note 2 2 2 6 3 3 2" xfId="7316"/>
    <cellStyle name="Note 2 2 2 6 3 3 2 2" xfId="9930"/>
    <cellStyle name="Note 2 2 2 6 3 3 2 2 2" xfId="16192"/>
    <cellStyle name="Note 2 2 2 6 3 3 2 2 2 2" xfId="29608"/>
    <cellStyle name="Note 2 2 2 6 3 3 2 2 3" xfId="20937"/>
    <cellStyle name="Note 2 2 2 6 3 3 2 3" xfId="13920"/>
    <cellStyle name="Note 2 2 2 6 3 3 2 3 2" xfId="28242"/>
    <cellStyle name="Note 2 2 2 6 3 3 2 4" xfId="19565"/>
    <cellStyle name="Note 2 2 2 6 3 3 3" xfId="13161"/>
    <cellStyle name="Note 2 2 2 6 3 3 3 2" xfId="27483"/>
    <cellStyle name="Note 2 2 2 6 3 3 4" xfId="18806"/>
    <cellStyle name="Note 2 2 2 6 3 4" xfId="5574"/>
    <cellStyle name="Note 2 2 2 6 3 4 2" xfId="12125"/>
    <cellStyle name="Note 2 2 2 6 3 4 2 2" xfId="26447"/>
    <cellStyle name="Note 2 2 2 6 3 4 3" xfId="17770"/>
    <cellStyle name="Note 2 2 2 6 3 5" xfId="6791"/>
    <cellStyle name="Note 2 2 2 6 3 5 2" xfId="23734"/>
    <cellStyle name="Note 2 2 2 6 3 6" xfId="14930"/>
    <cellStyle name="Note 2 2 2 6 4" xfId="1791"/>
    <cellStyle name="Note 2 2 2 6 4 2" xfId="6963"/>
    <cellStyle name="Note 2 2 2 6 4 2 2" xfId="13567"/>
    <cellStyle name="Note 2 2 2 6 4 2 2 2" xfId="27889"/>
    <cellStyle name="Note 2 2 2 6 4 2 3" xfId="19212"/>
    <cellStyle name="Note 2 2 2 6 4 3" xfId="7463"/>
    <cellStyle name="Note 2 2 2 6 4 3 2" xfId="10077"/>
    <cellStyle name="Note 2 2 2 6 4 3 2 2" xfId="16339"/>
    <cellStyle name="Note 2 2 2 6 4 3 2 2 2" xfId="29755"/>
    <cellStyle name="Note 2 2 2 6 4 3 2 3" xfId="21084"/>
    <cellStyle name="Note 2 2 2 6 4 3 3" xfId="14067"/>
    <cellStyle name="Note 2 2 2 6 4 3 3 2" xfId="28389"/>
    <cellStyle name="Note 2 2 2 6 4 3 4" xfId="19712"/>
    <cellStyle name="Note 2 2 2 6 4 4" xfId="11466"/>
    <cellStyle name="Note 2 2 2 6 4 4 2" xfId="25788"/>
    <cellStyle name="Note 2 2 2 6 4 5" xfId="15587"/>
    <cellStyle name="Note 2 2 2 6 5" xfId="1792"/>
    <cellStyle name="Note 2 2 2 6 5 2" xfId="7865"/>
    <cellStyle name="Note 2 2 2 6 5 2 2" xfId="10479"/>
    <cellStyle name="Note 2 2 2 6 5 2 2 2" xfId="16741"/>
    <cellStyle name="Note 2 2 2 6 5 2 2 2 2" xfId="30157"/>
    <cellStyle name="Note 2 2 2 6 5 2 2 3" xfId="21486"/>
    <cellStyle name="Note 2 2 2 6 5 2 3" xfId="14469"/>
    <cellStyle name="Note 2 2 2 6 5 2 3 2" xfId="28791"/>
    <cellStyle name="Note 2 2 2 6 5 2 4" xfId="20114"/>
    <cellStyle name="Note 2 2 2 6 5 3" xfId="12732"/>
    <cellStyle name="Note 2 2 2 6 5 3 2" xfId="27054"/>
    <cellStyle name="Note 2 2 2 6 5 4" xfId="18377"/>
    <cellStyle name="Note 2 2 2 6 6" xfId="4320"/>
    <cellStyle name="Note 2 2 2 6 6 2" xfId="3665"/>
    <cellStyle name="Note 2 2 2 6 6 2 2" xfId="22513"/>
    <cellStyle name="Note 2 2 2 6 6 3" xfId="14907"/>
    <cellStyle name="Note 2 2 2 6 7" xfId="3641"/>
    <cellStyle name="Note 2 2 2 6 7 2" xfId="22501"/>
    <cellStyle name="Note 2 2 2 6 8" xfId="17063"/>
    <cellStyle name="Note 2 2 2 7" xfId="1793"/>
    <cellStyle name="Note 2 2 2 7 2" xfId="1794"/>
    <cellStyle name="Note 2 2 2 7 2 2" xfId="1795"/>
    <cellStyle name="Note 2 2 2 7 2 2 2" xfId="6926"/>
    <cellStyle name="Note 2 2 2 7 2 2 2 2" xfId="13530"/>
    <cellStyle name="Note 2 2 2 7 2 2 2 2 2" xfId="27852"/>
    <cellStyle name="Note 2 2 2 7 2 2 2 3" xfId="19175"/>
    <cellStyle name="Note 2 2 2 7 2 2 3" xfId="5027"/>
    <cellStyle name="Note 2 2 2 7 2 2 3 2" xfId="9547"/>
    <cellStyle name="Note 2 2 2 7 2 2 3 2 2" xfId="15809"/>
    <cellStyle name="Note 2 2 2 7 2 2 3 2 2 2" xfId="29225"/>
    <cellStyle name="Note 2 2 2 7 2 2 3 2 3" xfId="20554"/>
    <cellStyle name="Note 2 2 2 7 2 2 3 3" xfId="11574"/>
    <cellStyle name="Note 2 2 2 7 2 2 3 3 2" xfId="25896"/>
    <cellStyle name="Note 2 2 2 7 2 2 3 4" xfId="14738"/>
    <cellStyle name="Note 2 2 2 7 2 2 4" xfId="11417"/>
    <cellStyle name="Note 2 2 2 7 2 2 4 2" xfId="25739"/>
    <cellStyle name="Note 2 2 2 7 2 2 5" xfId="17246"/>
    <cellStyle name="Note 2 2 2 7 2 3" xfId="1796"/>
    <cellStyle name="Note 2 2 2 7 2 3 2" xfId="7752"/>
    <cellStyle name="Note 2 2 2 7 2 3 2 2" xfId="10366"/>
    <cellStyle name="Note 2 2 2 7 2 3 2 2 2" xfId="16628"/>
    <cellStyle name="Note 2 2 2 7 2 3 2 2 2 2" xfId="30044"/>
    <cellStyle name="Note 2 2 2 7 2 3 2 2 3" xfId="21373"/>
    <cellStyle name="Note 2 2 2 7 2 3 2 3" xfId="14356"/>
    <cellStyle name="Note 2 2 2 7 2 3 2 3 2" xfId="28678"/>
    <cellStyle name="Note 2 2 2 7 2 3 2 4" xfId="20001"/>
    <cellStyle name="Note 2 2 2 7 2 3 3" xfId="12818"/>
    <cellStyle name="Note 2 2 2 7 2 3 3 2" xfId="27140"/>
    <cellStyle name="Note 2 2 2 7 2 3 4" xfId="18463"/>
    <cellStyle name="Note 2 2 2 7 2 4" xfId="5232"/>
    <cellStyle name="Note 2 2 2 7 2 4 2" xfId="11782"/>
    <cellStyle name="Note 2 2 2 7 2 4 2 2" xfId="26104"/>
    <cellStyle name="Note 2 2 2 7 2 4 3" xfId="17427"/>
    <cellStyle name="Note 2 2 2 7 2 5" xfId="4589"/>
    <cellStyle name="Note 2 2 2 7 2 5 2" xfId="23052"/>
    <cellStyle name="Note 2 2 2 7 2 6" xfId="14701"/>
    <cellStyle name="Note 2 2 2 7 3" xfId="1797"/>
    <cellStyle name="Note 2 2 2 7 3 2" xfId="6122"/>
    <cellStyle name="Note 2 2 2 7 3 2 2" xfId="12691"/>
    <cellStyle name="Note 2 2 2 7 3 2 2 2" xfId="27013"/>
    <cellStyle name="Note 2 2 2 7 3 2 3" xfId="18336"/>
    <cellStyle name="Note 2 2 2 7 3 3" xfId="5243"/>
    <cellStyle name="Note 2 2 2 7 3 3 2" xfId="9553"/>
    <cellStyle name="Note 2 2 2 7 3 3 2 2" xfId="15815"/>
    <cellStyle name="Note 2 2 2 7 3 3 2 2 2" xfId="29231"/>
    <cellStyle name="Note 2 2 2 7 3 3 2 3" xfId="20560"/>
    <cellStyle name="Note 2 2 2 7 3 3 3" xfId="11793"/>
    <cellStyle name="Note 2 2 2 7 3 3 3 2" xfId="26115"/>
    <cellStyle name="Note 2 2 2 7 3 3 4" xfId="17438"/>
    <cellStyle name="Note 2 2 2 7 3 4" xfId="4679"/>
    <cellStyle name="Note 2 2 2 7 3 4 2" xfId="23117"/>
    <cellStyle name="Note 2 2 2 7 3 5" xfId="4730"/>
    <cellStyle name="Note 2 2 2 7 4" xfId="1798"/>
    <cellStyle name="Note 2 2 2 7 4 2" xfId="5022"/>
    <cellStyle name="Note 2 2 2 7 4 2 2" xfId="9546"/>
    <cellStyle name="Note 2 2 2 7 4 2 2 2" xfId="15808"/>
    <cellStyle name="Note 2 2 2 7 4 2 2 2 2" xfId="29224"/>
    <cellStyle name="Note 2 2 2 7 4 2 2 3" xfId="20553"/>
    <cellStyle name="Note 2 2 2 7 4 2 3" xfId="11569"/>
    <cellStyle name="Note 2 2 2 7 4 2 3 2" xfId="25891"/>
    <cellStyle name="Note 2 2 2 7 4 2 4" xfId="15147"/>
    <cellStyle name="Note 2 2 2 7 4 3" xfId="12839"/>
    <cellStyle name="Note 2 2 2 7 4 3 2" xfId="27161"/>
    <cellStyle name="Note 2 2 2 7 4 4" xfId="18484"/>
    <cellStyle name="Note 2 2 2 7 5" xfId="5413"/>
    <cellStyle name="Note 2 2 2 7 5 2" xfId="11963"/>
    <cellStyle name="Note 2 2 2 7 5 2 2" xfId="26285"/>
    <cellStyle name="Note 2 2 2 7 5 3" xfId="17608"/>
    <cellStyle name="Note 2 2 2 7 6" xfId="3602"/>
    <cellStyle name="Note 2 2 2 7 6 2" xfId="22482"/>
    <cellStyle name="Note 2 2 2 7 7" xfId="4431"/>
    <cellStyle name="Note 2 2 2 8" xfId="1799"/>
    <cellStyle name="Note 2 2 2 8 2" xfId="1800"/>
    <cellStyle name="Note 2 2 2 8 2 2" xfId="6159"/>
    <cellStyle name="Note 2 2 2 8 2 2 2" xfId="12730"/>
    <cellStyle name="Note 2 2 2 8 2 2 2 2" xfId="27052"/>
    <cellStyle name="Note 2 2 2 8 2 2 3" xfId="18375"/>
    <cellStyle name="Note 2 2 2 8 2 3" xfId="7445"/>
    <cellStyle name="Note 2 2 2 8 2 3 2" xfId="10059"/>
    <cellStyle name="Note 2 2 2 8 2 3 2 2" xfId="16321"/>
    <cellStyle name="Note 2 2 2 8 2 3 2 2 2" xfId="29737"/>
    <cellStyle name="Note 2 2 2 8 2 3 2 3" xfId="21066"/>
    <cellStyle name="Note 2 2 2 8 2 3 3" xfId="14049"/>
    <cellStyle name="Note 2 2 2 8 2 3 3 2" xfId="28371"/>
    <cellStyle name="Note 2 2 2 8 2 3 4" xfId="19694"/>
    <cellStyle name="Note 2 2 2 8 2 4" xfId="4533"/>
    <cellStyle name="Note 2 2 2 8 2 4 2" xfId="23013"/>
    <cellStyle name="Note 2 2 2 8 2 5" xfId="6463"/>
    <cellStyle name="Note 2 2 2 8 3" xfId="1801"/>
    <cellStyle name="Note 2 2 2 8 3 2" xfId="7928"/>
    <cellStyle name="Note 2 2 2 8 3 2 2" xfId="10542"/>
    <cellStyle name="Note 2 2 2 8 3 2 2 2" xfId="16804"/>
    <cellStyle name="Note 2 2 2 8 3 2 2 2 2" xfId="30220"/>
    <cellStyle name="Note 2 2 2 8 3 2 2 3" xfId="21549"/>
    <cellStyle name="Note 2 2 2 8 3 2 3" xfId="14532"/>
    <cellStyle name="Note 2 2 2 8 3 2 3 2" xfId="28854"/>
    <cellStyle name="Note 2 2 2 8 3 2 4" xfId="20177"/>
    <cellStyle name="Note 2 2 2 8 3 3" xfId="12488"/>
    <cellStyle name="Note 2 2 2 8 3 3 2" xfId="26810"/>
    <cellStyle name="Note 2 2 2 8 3 4" xfId="18133"/>
    <cellStyle name="Note 2 2 2 8 4" xfId="5212"/>
    <cellStyle name="Note 2 2 2 8 4 2" xfId="11761"/>
    <cellStyle name="Note 2 2 2 8 4 2 2" xfId="26083"/>
    <cellStyle name="Note 2 2 2 8 4 3" xfId="17406"/>
    <cellStyle name="Note 2 2 2 8 5" xfId="6743"/>
    <cellStyle name="Note 2 2 2 8 5 2" xfId="23692"/>
    <cellStyle name="Note 2 2 2 8 6" xfId="3850"/>
    <cellStyle name="Note 2 2 2 9" xfId="1802"/>
    <cellStyle name="Note 2 2 2 9 2" xfId="6166"/>
    <cellStyle name="Note 2 2 2 9 2 2" xfId="12739"/>
    <cellStyle name="Note 2 2 2 9 2 2 2" xfId="27061"/>
    <cellStyle name="Note 2 2 2 9 2 3" xfId="18384"/>
    <cellStyle name="Note 2 2 2 9 3" xfId="4327"/>
    <cellStyle name="Note 2 2 2 9 3 2" xfId="9449"/>
    <cellStyle name="Note 2 2 2 9 3 2 2" xfId="15711"/>
    <cellStyle name="Note 2 2 2 9 3 2 2 2" xfId="29127"/>
    <cellStyle name="Note 2 2 2 9 3 2 3" xfId="20456"/>
    <cellStyle name="Note 2 2 2 9 3 3" xfId="4365"/>
    <cellStyle name="Note 2 2 2 9 3 3 2" xfId="22907"/>
    <cellStyle name="Note 2 2 2 9 3 4" xfId="5724"/>
    <cellStyle name="Note 2 2 2 9 4" xfId="3640"/>
    <cellStyle name="Note 2 2 2 9 4 2" xfId="22500"/>
    <cellStyle name="Note 2 2 2 9 5" xfId="14915"/>
    <cellStyle name="Note 2 2 3" xfId="1803"/>
    <cellStyle name="Note 2 2 3 2" xfId="6930"/>
    <cellStyle name="Note 2 2 3 2 2" xfId="13534"/>
    <cellStyle name="Note 2 2 3 2 2 2" xfId="27856"/>
    <cellStyle name="Note 2 2 3 2 3" xfId="19179"/>
    <cellStyle name="Note 2 2 3 3" xfId="7110"/>
    <cellStyle name="Note 2 2 3 3 2" xfId="9724"/>
    <cellStyle name="Note 2 2 3 3 2 2" xfId="15986"/>
    <cellStyle name="Note 2 2 3 3 2 2 2" xfId="29402"/>
    <cellStyle name="Note 2 2 3 3 2 3" xfId="20731"/>
    <cellStyle name="Note 2 2 3 3 3" xfId="13714"/>
    <cellStyle name="Note 2 2 3 3 3 2" xfId="28036"/>
    <cellStyle name="Note 2 2 3 3 4" xfId="19359"/>
    <cellStyle name="Note 2 2 3 4" xfId="11423"/>
    <cellStyle name="Note 2 2 3 4 2" xfId="25745"/>
    <cellStyle name="Note 2 2 3 5" xfId="15568"/>
    <cellStyle name="Note 2 2 4" xfId="3874"/>
    <cellStyle name="Note 2 2 4 2" xfId="4888"/>
    <cellStyle name="Note 2 2 4 2 2" xfId="23246"/>
    <cellStyle name="Note 2 2 4 3" xfId="14698"/>
    <cellStyle name="Note 2 2 5" xfId="4894"/>
    <cellStyle name="Note 2 2 5 2" xfId="23252"/>
    <cellStyle name="Note 2 2 6" xfId="4191"/>
    <cellStyle name="Note 2 2 7" xfId="14797"/>
    <cellStyle name="Note 2 2 8" xfId="21702"/>
    <cellStyle name="Note 2 3" xfId="1804"/>
    <cellStyle name="Note 2 3 10" xfId="1805"/>
    <cellStyle name="Note 2 3 10 2" xfId="7433"/>
    <cellStyle name="Note 2 3 10 2 2" xfId="10047"/>
    <cellStyle name="Note 2 3 10 2 2 2" xfId="16309"/>
    <cellStyle name="Note 2 3 10 2 2 2 2" xfId="29725"/>
    <cellStyle name="Note 2 3 10 2 2 3" xfId="21054"/>
    <cellStyle name="Note 2 3 10 2 3" xfId="14037"/>
    <cellStyle name="Note 2 3 10 2 3 2" xfId="28359"/>
    <cellStyle name="Note 2 3 10 2 4" xfId="19682"/>
    <cellStyle name="Note 2 3 10 3" xfId="11965"/>
    <cellStyle name="Note 2 3 10 3 2" xfId="26287"/>
    <cellStyle name="Note 2 3 10 4" xfId="17610"/>
    <cellStyle name="Note 2 3 11" xfId="4827"/>
    <cellStyle name="Note 2 3 11 2" xfId="11360"/>
    <cellStyle name="Note 2 3 11 2 2" xfId="25682"/>
    <cellStyle name="Note 2 3 11 3" xfId="15244"/>
    <cellStyle name="Note 2 3 12" xfId="6749"/>
    <cellStyle name="Note 2 3 12 2" xfId="23697"/>
    <cellStyle name="Note 2 3 13" xfId="15409"/>
    <cellStyle name="Note 2 3 2" xfId="1806"/>
    <cellStyle name="Note 2 3 2 10" xfId="5378"/>
    <cellStyle name="Note 2 3 2 10 2" xfId="11928"/>
    <cellStyle name="Note 2 3 2 10 2 2" xfId="26250"/>
    <cellStyle name="Note 2 3 2 10 3" xfId="17573"/>
    <cellStyle name="Note 2 3 2 11" xfId="4138"/>
    <cellStyle name="Note 2 3 2 11 2" xfId="22776"/>
    <cellStyle name="Note 2 3 2 12" xfId="4552"/>
    <cellStyle name="Note 2 3 2 2" xfId="1807"/>
    <cellStyle name="Note 2 3 2 2 10" xfId="3882"/>
    <cellStyle name="Note 2 3 2 2 10 2" xfId="22625"/>
    <cellStyle name="Note 2 3 2 2 11" xfId="15052"/>
    <cellStyle name="Note 2 3 2 2 2" xfId="1808"/>
    <cellStyle name="Note 2 3 2 2 2 2" xfId="1809"/>
    <cellStyle name="Note 2 3 2 2 2 2 2" xfId="1810"/>
    <cellStyle name="Note 2 3 2 2 2 2 2 2" xfId="6552"/>
    <cellStyle name="Note 2 3 2 2 2 2 2 2 2" xfId="13140"/>
    <cellStyle name="Note 2 3 2 2 2 2 2 2 2 2" xfId="27462"/>
    <cellStyle name="Note 2 3 2 2 2 2 2 2 3" xfId="18785"/>
    <cellStyle name="Note 2 3 2 2 2 2 2 3" xfId="7130"/>
    <cellStyle name="Note 2 3 2 2 2 2 2 3 2" xfId="9744"/>
    <cellStyle name="Note 2 3 2 2 2 2 2 3 2 2" xfId="16006"/>
    <cellStyle name="Note 2 3 2 2 2 2 2 3 2 2 2" xfId="29422"/>
    <cellStyle name="Note 2 3 2 2 2 2 2 3 2 3" xfId="20751"/>
    <cellStyle name="Note 2 3 2 2 2 2 2 3 3" xfId="13734"/>
    <cellStyle name="Note 2 3 2 2 2 2 2 3 3 2" xfId="28056"/>
    <cellStyle name="Note 2 3 2 2 2 2 2 3 4" xfId="19379"/>
    <cellStyle name="Note 2 3 2 2 2 2 2 4" xfId="4128"/>
    <cellStyle name="Note 2 3 2 2 2 2 2 4 2" xfId="22770"/>
    <cellStyle name="Note 2 3 2 2 2 2 2 5" xfId="14792"/>
    <cellStyle name="Note 2 3 2 2 2 2 3" xfId="1811"/>
    <cellStyle name="Note 2 3 2 2 2 2 3 2" xfId="5341"/>
    <cellStyle name="Note 2 3 2 2 2 2 3 2 2" xfId="9650"/>
    <cellStyle name="Note 2 3 2 2 2 2 3 2 2 2" xfId="15912"/>
    <cellStyle name="Note 2 3 2 2 2 2 3 2 2 2 2" xfId="29328"/>
    <cellStyle name="Note 2 3 2 2 2 2 3 2 2 3" xfId="20657"/>
    <cellStyle name="Note 2 3 2 2 2 2 3 2 3" xfId="11891"/>
    <cellStyle name="Note 2 3 2 2 2 2 3 2 3 2" xfId="26213"/>
    <cellStyle name="Note 2 3 2 2 2 2 3 2 4" xfId="17536"/>
    <cellStyle name="Note 2 3 2 2 2 2 3 3" xfId="13320"/>
    <cellStyle name="Note 2 3 2 2 2 2 3 3 2" xfId="27642"/>
    <cellStyle name="Note 2 3 2 2 2 2 3 4" xfId="18965"/>
    <cellStyle name="Note 2 3 2 2 2 2 4" xfId="5770"/>
    <cellStyle name="Note 2 3 2 2 2 2 4 2" xfId="12323"/>
    <cellStyle name="Note 2 3 2 2 2 2 4 2 2" xfId="26645"/>
    <cellStyle name="Note 2 3 2 2 2 2 4 3" xfId="17968"/>
    <cellStyle name="Note 2 3 2 2 2 2 5" xfId="6624"/>
    <cellStyle name="Note 2 3 2 2 2 2 5 2" xfId="23613"/>
    <cellStyle name="Note 2 3 2 2 2 2 6" xfId="14921"/>
    <cellStyle name="Note 2 3 2 2 2 3" xfId="1812"/>
    <cellStyle name="Note 2 3 2 2 2 3 2" xfId="1813"/>
    <cellStyle name="Note 2 3 2 2 2 3 2 2" xfId="5980"/>
    <cellStyle name="Note 2 3 2 2 2 3 2 2 2" xfId="12538"/>
    <cellStyle name="Note 2 3 2 2 2 3 2 2 2 2" xfId="26860"/>
    <cellStyle name="Note 2 3 2 2 2 3 2 2 3" xfId="18183"/>
    <cellStyle name="Note 2 3 2 2 2 3 2 3" xfId="7674"/>
    <cellStyle name="Note 2 3 2 2 2 3 2 3 2" xfId="10288"/>
    <cellStyle name="Note 2 3 2 2 2 3 2 3 2 2" xfId="16550"/>
    <cellStyle name="Note 2 3 2 2 2 3 2 3 2 2 2" xfId="29966"/>
    <cellStyle name="Note 2 3 2 2 2 3 2 3 2 3" xfId="21295"/>
    <cellStyle name="Note 2 3 2 2 2 3 2 3 3" xfId="14278"/>
    <cellStyle name="Note 2 3 2 2 2 3 2 3 3 2" xfId="28600"/>
    <cellStyle name="Note 2 3 2 2 2 3 2 3 4" xfId="19923"/>
    <cellStyle name="Note 2 3 2 2 2 3 2 4" xfId="3182"/>
    <cellStyle name="Note 2 3 2 2 2 3 2 4 2" xfId="22428"/>
    <cellStyle name="Note 2 3 2 2 2 3 2 5" xfId="17356"/>
    <cellStyle name="Note 2 3 2 2 2 3 3" xfId="1814"/>
    <cellStyle name="Note 2 3 2 2 2 3 3 2" xfId="7589"/>
    <cellStyle name="Note 2 3 2 2 2 3 3 2 2" xfId="10203"/>
    <cellStyle name="Note 2 3 2 2 2 3 3 2 2 2" xfId="16465"/>
    <cellStyle name="Note 2 3 2 2 2 3 3 2 2 2 2" xfId="29881"/>
    <cellStyle name="Note 2 3 2 2 2 3 3 2 2 3" xfId="21210"/>
    <cellStyle name="Note 2 3 2 2 2 3 3 2 3" xfId="14193"/>
    <cellStyle name="Note 2 3 2 2 2 3 3 2 3 2" xfId="28515"/>
    <cellStyle name="Note 2 3 2 2 2 3 3 2 4" xfId="19838"/>
    <cellStyle name="Note 2 3 2 2 2 3 3 3" xfId="12639"/>
    <cellStyle name="Note 2 3 2 2 2 3 3 3 2" xfId="26961"/>
    <cellStyle name="Note 2 3 2 2 2 3 3 4" xfId="18284"/>
    <cellStyle name="Note 2 3 2 2 2 3 4" xfId="5193"/>
    <cellStyle name="Note 2 3 2 2 2 3 4 2" xfId="11742"/>
    <cellStyle name="Note 2 3 2 2 2 3 4 2 2" xfId="26064"/>
    <cellStyle name="Note 2 3 2 2 2 3 4 3" xfId="6595"/>
    <cellStyle name="Note 2 3 2 2 2 3 5" xfId="3747"/>
    <cellStyle name="Note 2 3 2 2 2 3 5 2" xfId="22561"/>
    <cellStyle name="Note 2 3 2 2 2 3 6" xfId="15101"/>
    <cellStyle name="Note 2 3 2 2 2 4" xfId="1815"/>
    <cellStyle name="Note 2 3 2 2 2 4 2" xfId="6378"/>
    <cellStyle name="Note 2 3 2 2 2 4 2 2" xfId="12961"/>
    <cellStyle name="Note 2 3 2 2 2 4 2 2 2" xfId="27283"/>
    <cellStyle name="Note 2 3 2 2 2 4 2 3" xfId="18606"/>
    <cellStyle name="Note 2 3 2 2 2 4 3" xfId="7290"/>
    <cellStyle name="Note 2 3 2 2 2 4 3 2" xfId="9904"/>
    <cellStyle name="Note 2 3 2 2 2 4 3 2 2" xfId="16166"/>
    <cellStyle name="Note 2 3 2 2 2 4 3 2 2 2" xfId="29582"/>
    <cellStyle name="Note 2 3 2 2 2 4 3 2 3" xfId="20911"/>
    <cellStyle name="Note 2 3 2 2 2 4 3 3" xfId="13894"/>
    <cellStyle name="Note 2 3 2 2 2 4 3 3 2" xfId="28216"/>
    <cellStyle name="Note 2 3 2 2 2 4 3 4" xfId="19539"/>
    <cellStyle name="Note 2 3 2 2 2 4 4" xfId="3952"/>
    <cellStyle name="Note 2 3 2 2 2 4 4 2" xfId="22665"/>
    <cellStyle name="Note 2 3 2 2 2 4 5" xfId="15482"/>
    <cellStyle name="Note 2 3 2 2 2 5" xfId="1816"/>
    <cellStyle name="Note 2 3 2 2 2 5 2" xfId="7439"/>
    <cellStyle name="Note 2 3 2 2 2 5 2 2" xfId="10053"/>
    <cellStyle name="Note 2 3 2 2 2 5 2 2 2" xfId="16315"/>
    <cellStyle name="Note 2 3 2 2 2 5 2 2 2 2" xfId="29731"/>
    <cellStyle name="Note 2 3 2 2 2 5 2 2 3" xfId="21060"/>
    <cellStyle name="Note 2 3 2 2 2 5 2 3" xfId="14043"/>
    <cellStyle name="Note 2 3 2 2 2 5 2 3 2" xfId="28365"/>
    <cellStyle name="Note 2 3 2 2 2 5 2 4" xfId="19688"/>
    <cellStyle name="Note 2 3 2 2 2 5 3" xfId="12896"/>
    <cellStyle name="Note 2 3 2 2 2 5 3 2" xfId="27218"/>
    <cellStyle name="Note 2 3 2 2 2 5 4" xfId="18541"/>
    <cellStyle name="Note 2 3 2 2 2 6" xfId="5514"/>
    <cellStyle name="Note 2 3 2 2 2 6 2" xfId="12065"/>
    <cellStyle name="Note 2 3 2 2 2 6 2 2" xfId="26387"/>
    <cellStyle name="Note 2 3 2 2 2 6 3" xfId="17710"/>
    <cellStyle name="Note 2 3 2 2 2 7" xfId="4333"/>
    <cellStyle name="Note 2 3 2 2 2 7 2" xfId="22892"/>
    <cellStyle name="Note 2 3 2 2 2 8" xfId="4858"/>
    <cellStyle name="Note 2 3 2 2 3" xfId="1817"/>
    <cellStyle name="Note 2 3 2 2 3 2" xfId="1818"/>
    <cellStyle name="Note 2 3 2 2 3 2 2" xfId="1819"/>
    <cellStyle name="Note 2 3 2 2 3 2 2 2" xfId="6830"/>
    <cellStyle name="Note 2 3 2 2 3 2 2 2 2" xfId="13434"/>
    <cellStyle name="Note 2 3 2 2 3 2 2 2 2 2" xfId="27756"/>
    <cellStyle name="Note 2 3 2 2 3 2 2 2 3" xfId="19079"/>
    <cellStyle name="Note 2 3 2 2 3 2 2 3" xfId="5011"/>
    <cellStyle name="Note 2 3 2 2 3 2 2 3 2" xfId="9541"/>
    <cellStyle name="Note 2 3 2 2 3 2 2 3 2 2" xfId="15803"/>
    <cellStyle name="Note 2 3 2 2 3 2 2 3 2 2 2" xfId="29219"/>
    <cellStyle name="Note 2 3 2 2 3 2 2 3 2 3" xfId="20548"/>
    <cellStyle name="Note 2 3 2 2 3 2 2 3 3" xfId="11556"/>
    <cellStyle name="Note 2 3 2 2 3 2 2 3 3 2" xfId="25878"/>
    <cellStyle name="Note 2 3 2 2 3 2 2 3 4" xfId="15109"/>
    <cellStyle name="Note 2 3 2 2 3 2 2 4" xfId="2820"/>
    <cellStyle name="Note 2 3 2 2 3 2 2 4 2" xfId="22383"/>
    <cellStyle name="Note 2 3 2 2 3 2 2 5" xfId="15027"/>
    <cellStyle name="Note 2 3 2 2 3 2 3" xfId="1820"/>
    <cellStyle name="Note 2 3 2 2 3 2 3 2" xfId="7364"/>
    <cellStyle name="Note 2 3 2 2 3 2 3 2 2" xfId="9978"/>
    <cellStyle name="Note 2 3 2 2 3 2 3 2 2 2" xfId="16240"/>
    <cellStyle name="Note 2 3 2 2 3 2 3 2 2 2 2" xfId="29656"/>
    <cellStyle name="Note 2 3 2 2 3 2 3 2 2 3" xfId="20985"/>
    <cellStyle name="Note 2 3 2 2 3 2 3 2 3" xfId="13968"/>
    <cellStyle name="Note 2 3 2 2 3 2 3 2 3 2" xfId="28290"/>
    <cellStyle name="Note 2 3 2 2 3 2 3 2 4" xfId="19613"/>
    <cellStyle name="Note 2 3 2 2 3 2 3 3" xfId="13356"/>
    <cellStyle name="Note 2 3 2 2 3 2 3 3 2" xfId="27678"/>
    <cellStyle name="Note 2 3 2 2 3 2 3 4" xfId="19001"/>
    <cellStyle name="Note 2 3 2 2 3 2 4" xfId="5806"/>
    <cellStyle name="Note 2 3 2 2 3 2 4 2" xfId="12359"/>
    <cellStyle name="Note 2 3 2 2 3 2 4 2 2" xfId="26681"/>
    <cellStyle name="Note 2 3 2 2 3 2 4 3" xfId="18004"/>
    <cellStyle name="Note 2 3 2 2 3 2 5" xfId="6590"/>
    <cellStyle name="Note 2 3 2 2 3 2 5 2" xfId="23593"/>
    <cellStyle name="Note 2 3 2 2 3 2 6" xfId="15436"/>
    <cellStyle name="Note 2 3 2 2 3 3" xfId="1821"/>
    <cellStyle name="Note 2 3 2 2 3 3 2" xfId="1822"/>
    <cellStyle name="Note 2 3 2 2 3 3 2 2" xfId="6592"/>
    <cellStyle name="Note 2 3 2 2 3 3 2 2 2" xfId="13181"/>
    <cellStyle name="Note 2 3 2 2 3 3 2 2 2 2" xfId="27503"/>
    <cellStyle name="Note 2 3 2 2 3 3 2 2 3" xfId="18826"/>
    <cellStyle name="Note 2 3 2 2 3 3 2 3" xfId="4418"/>
    <cellStyle name="Note 2 3 2 2 3 3 2 3 2" xfId="9465"/>
    <cellStyle name="Note 2 3 2 2 3 3 2 3 2 2" xfId="15727"/>
    <cellStyle name="Note 2 3 2 2 3 3 2 3 2 2 2" xfId="29143"/>
    <cellStyle name="Note 2 3 2 2 3 3 2 3 2 3" xfId="20472"/>
    <cellStyle name="Note 2 3 2 2 3 3 2 3 3" xfId="6480"/>
    <cellStyle name="Note 2 3 2 2 3 3 2 3 3 2" xfId="23562"/>
    <cellStyle name="Note 2 3 2 2 3 3 2 3 4" xfId="4394"/>
    <cellStyle name="Note 2 3 2 2 3 3 2 4" xfId="4271"/>
    <cellStyle name="Note 2 3 2 2 3 3 2 4 2" xfId="22862"/>
    <cellStyle name="Note 2 3 2 2 3 3 2 5" xfId="17041"/>
    <cellStyle name="Note 2 3 2 2 3 3 3" xfId="1823"/>
    <cellStyle name="Note 2 3 2 2 3 3 3 2" xfId="7393"/>
    <cellStyle name="Note 2 3 2 2 3 3 3 2 2" xfId="10007"/>
    <cellStyle name="Note 2 3 2 2 3 3 3 2 2 2" xfId="16269"/>
    <cellStyle name="Note 2 3 2 2 3 3 3 2 2 2 2" xfId="29685"/>
    <cellStyle name="Note 2 3 2 2 3 3 3 2 2 3" xfId="21014"/>
    <cellStyle name="Note 2 3 2 2 3 3 3 2 3" xfId="13997"/>
    <cellStyle name="Note 2 3 2 2 3 3 3 2 3 2" xfId="28319"/>
    <cellStyle name="Note 2 3 2 2 3 3 3 2 4" xfId="19642"/>
    <cellStyle name="Note 2 3 2 2 3 3 3 3" xfId="12696"/>
    <cellStyle name="Note 2 3 2 2 3 3 3 3 2" xfId="27018"/>
    <cellStyle name="Note 2 3 2 2 3 3 3 4" xfId="18341"/>
    <cellStyle name="Note 2 3 2 2 3 3 4" xfId="5145"/>
    <cellStyle name="Note 2 3 2 2 3 3 4 2" xfId="11694"/>
    <cellStyle name="Note 2 3 2 2 3 3 4 2 2" xfId="26016"/>
    <cellStyle name="Note 2 3 2 2 3 3 4 3" xfId="3885"/>
    <cellStyle name="Note 2 3 2 2 3 3 5" xfId="4481"/>
    <cellStyle name="Note 2 3 2 2 3 3 5 2" xfId="22979"/>
    <cellStyle name="Note 2 3 2 2 3 3 6" xfId="15490"/>
    <cellStyle name="Note 2 3 2 2 3 4" xfId="1824"/>
    <cellStyle name="Note 2 3 2 2 3 4 2" xfId="6416"/>
    <cellStyle name="Note 2 3 2 2 3 4 2 2" xfId="12999"/>
    <cellStyle name="Note 2 3 2 2 3 4 2 2 2" xfId="27321"/>
    <cellStyle name="Note 2 3 2 2 3 4 2 3" xfId="18644"/>
    <cellStyle name="Note 2 3 2 2 3 4 3" xfId="3588"/>
    <cellStyle name="Note 2 3 2 2 3 4 3 2" xfId="9338"/>
    <cellStyle name="Note 2 3 2 2 3 4 3 2 2" xfId="15600"/>
    <cellStyle name="Note 2 3 2 2 3 4 3 2 2 2" xfId="29016"/>
    <cellStyle name="Note 2 3 2 2 3 4 3 2 3" xfId="20345"/>
    <cellStyle name="Note 2 3 2 2 3 4 3 3" xfId="4424"/>
    <cellStyle name="Note 2 3 2 2 3 4 3 3 2" xfId="22942"/>
    <cellStyle name="Note 2 3 2 2 3 4 3 4" xfId="14932"/>
    <cellStyle name="Note 2 3 2 2 3 4 4" xfId="4539"/>
    <cellStyle name="Note 2 3 2 2 3 4 4 2" xfId="23019"/>
    <cellStyle name="Note 2 3 2 2 3 4 5" xfId="17055"/>
    <cellStyle name="Note 2 3 2 2 3 5" xfId="1825"/>
    <cellStyle name="Note 2 3 2 2 3 5 2" xfId="7460"/>
    <cellStyle name="Note 2 3 2 2 3 5 2 2" xfId="10074"/>
    <cellStyle name="Note 2 3 2 2 3 5 2 2 2" xfId="16336"/>
    <cellStyle name="Note 2 3 2 2 3 5 2 2 2 2" xfId="29752"/>
    <cellStyle name="Note 2 3 2 2 3 5 2 2 3" xfId="21081"/>
    <cellStyle name="Note 2 3 2 2 3 5 2 3" xfId="14064"/>
    <cellStyle name="Note 2 3 2 2 3 5 2 3 2" xfId="28386"/>
    <cellStyle name="Note 2 3 2 2 3 5 2 4" xfId="19709"/>
    <cellStyle name="Note 2 3 2 2 3 5 3" xfId="12932"/>
    <cellStyle name="Note 2 3 2 2 3 5 3 2" xfId="27254"/>
    <cellStyle name="Note 2 3 2 2 3 5 4" xfId="18577"/>
    <cellStyle name="Note 2 3 2 2 3 6" xfId="5556"/>
    <cellStyle name="Note 2 3 2 2 3 6 2" xfId="12107"/>
    <cellStyle name="Note 2 3 2 2 3 6 2 2" xfId="26429"/>
    <cellStyle name="Note 2 3 2 2 3 6 3" xfId="17752"/>
    <cellStyle name="Note 2 3 2 2 3 7" xfId="4588"/>
    <cellStyle name="Note 2 3 2 2 3 7 2" xfId="23051"/>
    <cellStyle name="Note 2 3 2 2 3 8" xfId="4374"/>
    <cellStyle name="Note 2 3 2 2 4" xfId="1826"/>
    <cellStyle name="Note 2 3 2 2 4 2" xfId="1827"/>
    <cellStyle name="Note 2 3 2 2 4 2 2" xfId="1828"/>
    <cellStyle name="Note 2 3 2 2 4 2 2 2" xfId="6882"/>
    <cellStyle name="Note 2 3 2 2 4 2 2 2 2" xfId="13486"/>
    <cellStyle name="Note 2 3 2 2 4 2 2 2 2 2" xfId="27808"/>
    <cellStyle name="Note 2 3 2 2 4 2 2 2 3" xfId="19131"/>
    <cellStyle name="Note 2 3 2 2 4 2 2 3" xfId="7585"/>
    <cellStyle name="Note 2 3 2 2 4 2 2 3 2" xfId="10199"/>
    <cellStyle name="Note 2 3 2 2 4 2 2 3 2 2" xfId="16461"/>
    <cellStyle name="Note 2 3 2 2 4 2 2 3 2 2 2" xfId="29877"/>
    <cellStyle name="Note 2 3 2 2 4 2 2 3 2 3" xfId="21206"/>
    <cellStyle name="Note 2 3 2 2 4 2 2 3 3" xfId="14189"/>
    <cellStyle name="Note 2 3 2 2 4 2 2 3 3 2" xfId="28511"/>
    <cellStyle name="Note 2 3 2 2 4 2 2 3 4" xfId="19834"/>
    <cellStyle name="Note 2 3 2 2 4 2 2 4" xfId="11356"/>
    <cellStyle name="Note 2 3 2 2 4 2 2 4 2" xfId="25678"/>
    <cellStyle name="Note 2 3 2 2 4 2 2 5" xfId="17346"/>
    <cellStyle name="Note 2 3 2 2 4 2 3" xfId="1829"/>
    <cellStyle name="Note 2 3 2 2 4 2 3 2" xfId="4457"/>
    <cellStyle name="Note 2 3 2 2 4 2 3 2 2" xfId="9467"/>
    <cellStyle name="Note 2 3 2 2 4 2 3 2 2 2" xfId="15729"/>
    <cellStyle name="Note 2 3 2 2 4 2 3 2 2 2 2" xfId="29145"/>
    <cellStyle name="Note 2 3 2 2 4 2 3 2 2 3" xfId="20474"/>
    <cellStyle name="Note 2 3 2 2 4 2 3 2 3" xfId="6131"/>
    <cellStyle name="Note 2 3 2 2 4 2 3 2 3 2" xfId="23423"/>
    <cellStyle name="Note 2 3 2 2 4 2 3 2 4" xfId="15375"/>
    <cellStyle name="Note 2 3 2 2 4 2 3 3" xfId="13242"/>
    <cellStyle name="Note 2 3 2 2 4 2 3 3 2" xfId="27564"/>
    <cellStyle name="Note 2 3 2 2 4 2 3 4" xfId="18887"/>
    <cellStyle name="Note 2 3 2 2 4 2 4" xfId="5683"/>
    <cellStyle name="Note 2 3 2 2 4 2 4 2" xfId="12236"/>
    <cellStyle name="Note 2 3 2 2 4 2 4 2 2" xfId="26558"/>
    <cellStyle name="Note 2 3 2 2 4 2 4 3" xfId="17881"/>
    <cellStyle name="Note 2 3 2 2 4 2 5" xfId="4233"/>
    <cellStyle name="Note 2 3 2 2 4 2 5 2" xfId="22843"/>
    <cellStyle name="Note 2 3 2 2 4 2 6" xfId="16971"/>
    <cellStyle name="Note 2 3 2 2 4 3" xfId="1830"/>
    <cellStyle name="Note 2 3 2 2 4 3 2" xfId="1831"/>
    <cellStyle name="Note 2 3 2 2 4 3 2 2" xfId="6846"/>
    <cellStyle name="Note 2 3 2 2 4 3 2 2 2" xfId="13450"/>
    <cellStyle name="Note 2 3 2 2 4 3 2 2 2 2" xfId="27772"/>
    <cellStyle name="Note 2 3 2 2 4 3 2 2 3" xfId="19095"/>
    <cellStyle name="Note 2 3 2 2 4 3 2 3" xfId="5284"/>
    <cellStyle name="Note 2 3 2 2 4 3 2 3 2" xfId="9593"/>
    <cellStyle name="Note 2 3 2 2 4 3 2 3 2 2" xfId="15855"/>
    <cellStyle name="Note 2 3 2 2 4 3 2 3 2 2 2" xfId="29271"/>
    <cellStyle name="Note 2 3 2 2 4 3 2 3 2 3" xfId="20600"/>
    <cellStyle name="Note 2 3 2 2 4 3 2 3 3" xfId="11834"/>
    <cellStyle name="Note 2 3 2 2 4 3 2 3 3 2" xfId="26156"/>
    <cellStyle name="Note 2 3 2 2 4 3 2 3 4" xfId="17479"/>
    <cellStyle name="Note 2 3 2 2 4 3 2 4" xfId="2809"/>
    <cellStyle name="Note 2 3 2 2 4 3 2 4 2" xfId="22372"/>
    <cellStyle name="Note 2 3 2 2 4 3 2 5" xfId="17004"/>
    <cellStyle name="Note 2 3 2 2 4 3 3" xfId="1832"/>
    <cellStyle name="Note 2 3 2 2 4 3 3 2" xfId="7845"/>
    <cellStyle name="Note 2 3 2 2 4 3 3 2 2" xfId="10459"/>
    <cellStyle name="Note 2 3 2 2 4 3 3 2 2 2" xfId="16721"/>
    <cellStyle name="Note 2 3 2 2 4 3 3 2 2 2 2" xfId="30137"/>
    <cellStyle name="Note 2 3 2 2 4 3 3 2 2 3" xfId="21466"/>
    <cellStyle name="Note 2 3 2 2 4 3 3 2 3" xfId="14449"/>
    <cellStyle name="Note 2 3 2 2 4 3 3 2 3 2" xfId="28771"/>
    <cellStyle name="Note 2 3 2 2 4 3 3 2 4" xfId="20094"/>
    <cellStyle name="Note 2 3 2 2 4 3 3 3" xfId="13035"/>
    <cellStyle name="Note 2 3 2 2 4 3 3 3 2" xfId="27357"/>
    <cellStyle name="Note 2 3 2 2 4 3 3 4" xfId="18680"/>
    <cellStyle name="Note 2 3 2 2 4 3 4" xfId="5348"/>
    <cellStyle name="Note 2 3 2 2 4 3 4 2" xfId="11898"/>
    <cellStyle name="Note 2 3 2 2 4 3 4 2 2" xfId="26220"/>
    <cellStyle name="Note 2 3 2 2 4 3 4 3" xfId="17543"/>
    <cellStyle name="Note 2 3 2 2 4 3 5" xfId="6574"/>
    <cellStyle name="Note 2 3 2 2 4 3 5 2" xfId="23584"/>
    <cellStyle name="Note 2 3 2 2 4 3 6" xfId="17168"/>
    <cellStyle name="Note 2 3 2 2 4 4" xfId="1833"/>
    <cellStyle name="Note 2 3 2 2 4 4 2" xfId="6229"/>
    <cellStyle name="Note 2 3 2 2 4 4 2 2" xfId="12804"/>
    <cellStyle name="Note 2 3 2 2 4 4 2 2 2" xfId="27126"/>
    <cellStyle name="Note 2 3 2 2 4 4 2 3" xfId="18449"/>
    <cellStyle name="Note 2 3 2 2 4 4 3" xfId="7788"/>
    <cellStyle name="Note 2 3 2 2 4 4 3 2" xfId="10402"/>
    <cellStyle name="Note 2 3 2 2 4 4 3 2 2" xfId="16664"/>
    <cellStyle name="Note 2 3 2 2 4 4 3 2 2 2" xfId="30080"/>
    <cellStyle name="Note 2 3 2 2 4 4 3 2 3" xfId="21409"/>
    <cellStyle name="Note 2 3 2 2 4 4 3 3" xfId="14392"/>
    <cellStyle name="Note 2 3 2 2 4 4 3 3 2" xfId="28714"/>
    <cellStyle name="Note 2 3 2 2 4 4 3 4" xfId="20037"/>
    <cellStyle name="Note 2 3 2 2 4 4 4" xfId="6261"/>
    <cellStyle name="Note 2 3 2 2 4 4 4 2" xfId="23479"/>
    <cellStyle name="Note 2 3 2 2 4 4 5" xfId="15032"/>
    <cellStyle name="Note 2 3 2 2 4 5" xfId="1834"/>
    <cellStyle name="Note 2 3 2 2 4 5 2" xfId="7468"/>
    <cellStyle name="Note 2 3 2 2 4 5 2 2" xfId="10082"/>
    <cellStyle name="Note 2 3 2 2 4 5 2 2 2" xfId="16344"/>
    <cellStyle name="Note 2 3 2 2 4 5 2 2 2 2" xfId="29760"/>
    <cellStyle name="Note 2 3 2 2 4 5 2 2 3" xfId="21089"/>
    <cellStyle name="Note 2 3 2 2 4 5 2 3" xfId="14072"/>
    <cellStyle name="Note 2 3 2 2 4 5 2 3 2" xfId="28394"/>
    <cellStyle name="Note 2 3 2 2 4 5 2 4" xfId="19717"/>
    <cellStyle name="Note 2 3 2 2 4 5 3" xfId="12702"/>
    <cellStyle name="Note 2 3 2 2 4 5 3 2" xfId="27024"/>
    <cellStyle name="Note 2 3 2 2 4 5 4" xfId="18347"/>
    <cellStyle name="Note 2 3 2 2 4 6" xfId="5131"/>
    <cellStyle name="Note 2 3 2 2 4 6 2" xfId="11680"/>
    <cellStyle name="Note 2 3 2 2 4 6 2 2" xfId="26002"/>
    <cellStyle name="Note 2 3 2 2 4 6 3" xfId="3642"/>
    <cellStyle name="Note 2 3 2 2 4 7" xfId="4013"/>
    <cellStyle name="Note 2 3 2 2 4 7 2" xfId="22701"/>
    <cellStyle name="Note 2 3 2 2 4 8" xfId="14776"/>
    <cellStyle name="Note 2 3 2 2 5" xfId="1835"/>
    <cellStyle name="Note 2 3 2 2 5 2" xfId="1836"/>
    <cellStyle name="Note 2 3 2 2 5 2 2" xfId="1837"/>
    <cellStyle name="Note 2 3 2 2 5 2 2 2" xfId="6139"/>
    <cellStyle name="Note 2 3 2 2 5 2 2 2 2" xfId="12709"/>
    <cellStyle name="Note 2 3 2 2 5 2 2 2 2 2" xfId="27031"/>
    <cellStyle name="Note 2 3 2 2 5 2 2 2 3" xfId="18354"/>
    <cellStyle name="Note 2 3 2 2 5 2 2 3" xfId="4968"/>
    <cellStyle name="Note 2 3 2 2 5 2 2 3 2" xfId="9527"/>
    <cellStyle name="Note 2 3 2 2 5 2 2 3 2 2" xfId="15789"/>
    <cellStyle name="Note 2 3 2 2 5 2 2 3 2 2 2" xfId="29205"/>
    <cellStyle name="Note 2 3 2 2 5 2 2 3 2 3" xfId="20534"/>
    <cellStyle name="Note 2 3 2 2 5 2 2 3 3" xfId="11510"/>
    <cellStyle name="Note 2 3 2 2 5 2 2 3 3 2" xfId="25832"/>
    <cellStyle name="Note 2 3 2 2 5 2 2 3 4" xfId="14890"/>
    <cellStyle name="Note 2 3 2 2 5 2 2 4" xfId="3818"/>
    <cellStyle name="Note 2 3 2 2 5 2 2 4 2" xfId="22597"/>
    <cellStyle name="Note 2 3 2 2 5 2 2 5" xfId="17366"/>
    <cellStyle name="Note 2 3 2 2 5 2 3" xfId="1838"/>
    <cellStyle name="Note 2 3 2 2 5 2 3 2" xfId="7904"/>
    <cellStyle name="Note 2 3 2 2 5 2 3 2 2" xfId="10518"/>
    <cellStyle name="Note 2 3 2 2 5 2 3 2 2 2" xfId="16780"/>
    <cellStyle name="Note 2 3 2 2 5 2 3 2 2 2 2" xfId="30196"/>
    <cellStyle name="Note 2 3 2 2 5 2 3 2 2 3" xfId="21525"/>
    <cellStyle name="Note 2 3 2 2 5 2 3 2 3" xfId="14508"/>
    <cellStyle name="Note 2 3 2 2 5 2 3 2 3 2" xfId="28830"/>
    <cellStyle name="Note 2 3 2 2 5 2 3 2 4" xfId="20153"/>
    <cellStyle name="Note 2 3 2 2 5 2 3 3" xfId="13371"/>
    <cellStyle name="Note 2 3 2 2 5 2 3 3 2" xfId="27693"/>
    <cellStyle name="Note 2 3 2 2 5 2 3 4" xfId="19016"/>
    <cellStyle name="Note 2 3 2 2 5 2 4" xfId="5822"/>
    <cellStyle name="Note 2 3 2 2 5 2 4 2" xfId="12375"/>
    <cellStyle name="Note 2 3 2 2 5 2 4 2 2" xfId="26697"/>
    <cellStyle name="Note 2 3 2 2 5 2 4 3" xfId="18020"/>
    <cellStyle name="Note 2 3 2 2 5 2 5" xfId="4200"/>
    <cellStyle name="Note 2 3 2 2 5 2 5 2" xfId="22817"/>
    <cellStyle name="Note 2 3 2 2 5 2 6" xfId="14689"/>
    <cellStyle name="Note 2 3 2 2 5 3" xfId="1839"/>
    <cellStyle name="Note 2 3 2 2 5 3 2" xfId="6438"/>
    <cellStyle name="Note 2 3 2 2 5 3 2 2" xfId="13021"/>
    <cellStyle name="Note 2 3 2 2 5 3 2 2 2" xfId="27343"/>
    <cellStyle name="Note 2 3 2 2 5 3 2 3" xfId="18666"/>
    <cellStyle name="Note 2 3 2 2 5 3 3" xfId="7118"/>
    <cellStyle name="Note 2 3 2 2 5 3 3 2" xfId="9732"/>
    <cellStyle name="Note 2 3 2 2 5 3 3 2 2" xfId="15994"/>
    <cellStyle name="Note 2 3 2 2 5 3 3 2 2 2" xfId="29410"/>
    <cellStyle name="Note 2 3 2 2 5 3 3 2 3" xfId="20739"/>
    <cellStyle name="Note 2 3 2 2 5 3 3 3" xfId="13722"/>
    <cellStyle name="Note 2 3 2 2 5 3 3 3 2" xfId="28044"/>
    <cellStyle name="Note 2 3 2 2 5 3 3 4" xfId="19367"/>
    <cellStyle name="Note 2 3 2 2 5 3 4" xfId="6262"/>
    <cellStyle name="Note 2 3 2 2 5 3 4 2" xfId="23480"/>
    <cellStyle name="Note 2 3 2 2 5 3 5" xfId="17327"/>
    <cellStyle name="Note 2 3 2 2 5 4" xfId="1840"/>
    <cellStyle name="Note 2 3 2 2 5 4 2" xfId="5245"/>
    <cellStyle name="Note 2 3 2 2 5 4 2 2" xfId="9555"/>
    <cellStyle name="Note 2 3 2 2 5 4 2 2 2" xfId="15817"/>
    <cellStyle name="Note 2 3 2 2 5 4 2 2 2 2" xfId="29233"/>
    <cellStyle name="Note 2 3 2 2 5 4 2 2 3" xfId="20562"/>
    <cellStyle name="Note 2 3 2 2 5 4 2 3" xfId="11795"/>
    <cellStyle name="Note 2 3 2 2 5 4 2 3 2" xfId="26117"/>
    <cellStyle name="Note 2 3 2 2 5 4 2 4" xfId="17440"/>
    <cellStyle name="Note 2 3 2 2 5 4 3" xfId="12719"/>
    <cellStyle name="Note 2 3 2 2 5 4 3 2" xfId="27041"/>
    <cellStyle name="Note 2 3 2 2 5 4 4" xfId="18364"/>
    <cellStyle name="Note 2 3 2 2 5 5" xfId="3144"/>
    <cellStyle name="Note 2 3 2 2 5 5 2" xfId="4713"/>
    <cellStyle name="Note 2 3 2 2 5 5 2 2" xfId="23145"/>
    <cellStyle name="Note 2 3 2 2 5 5 3" xfId="15098"/>
    <cellStyle name="Note 2 3 2 2 5 6" xfId="4230"/>
    <cellStyle name="Note 2 3 2 2 5 6 2" xfId="22840"/>
    <cellStyle name="Note 2 3 2 2 5 7" xfId="17229"/>
    <cellStyle name="Note 2 3 2 2 6" xfId="1841"/>
    <cellStyle name="Note 2 3 2 2 6 2" xfId="1842"/>
    <cellStyle name="Note 2 3 2 2 6 2 2" xfId="5912"/>
    <cellStyle name="Note 2 3 2 2 6 2 2 2" xfId="12466"/>
    <cellStyle name="Note 2 3 2 2 6 2 2 2 2" xfId="26788"/>
    <cellStyle name="Note 2 3 2 2 6 2 2 3" xfId="18111"/>
    <cellStyle name="Note 2 3 2 2 6 2 3" xfId="7500"/>
    <cellStyle name="Note 2 3 2 2 6 2 3 2" xfId="10114"/>
    <cellStyle name="Note 2 3 2 2 6 2 3 2 2" xfId="16376"/>
    <cellStyle name="Note 2 3 2 2 6 2 3 2 2 2" xfId="29792"/>
    <cellStyle name="Note 2 3 2 2 6 2 3 2 3" xfId="21121"/>
    <cellStyle name="Note 2 3 2 2 6 2 3 3" xfId="14104"/>
    <cellStyle name="Note 2 3 2 2 6 2 3 3 2" xfId="28426"/>
    <cellStyle name="Note 2 3 2 2 6 2 3 4" xfId="19749"/>
    <cellStyle name="Note 2 3 2 2 6 2 4" xfId="4476"/>
    <cellStyle name="Note 2 3 2 2 6 2 4 2" xfId="22974"/>
    <cellStyle name="Note 2 3 2 2 6 2 5" xfId="14824"/>
    <cellStyle name="Note 2 3 2 2 6 3" xfId="1843"/>
    <cellStyle name="Note 2 3 2 2 6 3 2" xfId="7310"/>
    <cellStyle name="Note 2 3 2 2 6 3 2 2" xfId="9924"/>
    <cellStyle name="Note 2 3 2 2 6 3 2 2 2" xfId="16186"/>
    <cellStyle name="Note 2 3 2 2 6 3 2 2 2 2" xfId="29602"/>
    <cellStyle name="Note 2 3 2 2 6 3 2 2 3" xfId="20931"/>
    <cellStyle name="Note 2 3 2 2 6 3 2 3" xfId="13914"/>
    <cellStyle name="Note 2 3 2 2 6 3 2 3 2" xfId="28236"/>
    <cellStyle name="Note 2 3 2 2 6 3 2 4" xfId="19559"/>
    <cellStyle name="Note 2 3 2 2 6 3 3" xfId="11682"/>
    <cellStyle name="Note 2 3 2 2 6 3 3 2" xfId="26004"/>
    <cellStyle name="Note 2 3 2 2 6 3 4" xfId="3948"/>
    <cellStyle name="Note 2 3 2 2 6 4" xfId="5129"/>
    <cellStyle name="Note 2 3 2 2 6 4 2" xfId="11678"/>
    <cellStyle name="Note 2 3 2 2 6 4 2 2" xfId="26000"/>
    <cellStyle name="Note 2 3 2 2 6 4 3" xfId="6339"/>
    <cellStyle name="Note 2 3 2 2 6 5" xfId="3739"/>
    <cellStyle name="Note 2 3 2 2 6 5 2" xfId="22556"/>
    <cellStyle name="Note 2 3 2 2 6 6" xfId="15045"/>
    <cellStyle name="Note 2 3 2 2 7" xfId="1844"/>
    <cellStyle name="Note 2 3 2 2 7 2" xfId="6052"/>
    <cellStyle name="Note 2 3 2 2 7 2 2" xfId="12618"/>
    <cellStyle name="Note 2 3 2 2 7 2 2 2" xfId="26940"/>
    <cellStyle name="Note 2 3 2 2 7 2 3" xfId="18263"/>
    <cellStyle name="Note 2 3 2 2 7 3" xfId="7893"/>
    <cellStyle name="Note 2 3 2 2 7 3 2" xfId="10507"/>
    <cellStyle name="Note 2 3 2 2 7 3 2 2" xfId="16769"/>
    <cellStyle name="Note 2 3 2 2 7 3 2 2 2" xfId="30185"/>
    <cellStyle name="Note 2 3 2 2 7 3 2 3" xfId="21514"/>
    <cellStyle name="Note 2 3 2 2 7 3 3" xfId="14497"/>
    <cellStyle name="Note 2 3 2 2 7 3 3 2" xfId="28819"/>
    <cellStyle name="Note 2 3 2 2 7 3 4" xfId="20142"/>
    <cellStyle name="Note 2 3 2 2 7 4" xfId="5923"/>
    <cellStyle name="Note 2 3 2 2 7 4 2" xfId="23373"/>
    <cellStyle name="Note 2 3 2 2 7 5" xfId="17126"/>
    <cellStyle name="Note 2 3 2 2 8" xfId="1845"/>
    <cellStyle name="Note 2 3 2 2 8 2" xfId="7827"/>
    <cellStyle name="Note 2 3 2 2 8 2 2" xfId="10441"/>
    <cellStyle name="Note 2 3 2 2 8 2 2 2" xfId="16703"/>
    <cellStyle name="Note 2 3 2 2 8 2 2 2 2" xfId="30119"/>
    <cellStyle name="Note 2 3 2 2 8 2 2 3" xfId="21448"/>
    <cellStyle name="Note 2 3 2 2 8 2 3" xfId="14431"/>
    <cellStyle name="Note 2 3 2 2 8 2 3 2" xfId="28753"/>
    <cellStyle name="Note 2 3 2 2 8 2 4" xfId="20076"/>
    <cellStyle name="Note 2 3 2 2 8 3" xfId="12760"/>
    <cellStyle name="Note 2 3 2 2 8 3 2" xfId="27082"/>
    <cellStyle name="Note 2 3 2 2 8 4" xfId="18405"/>
    <cellStyle name="Note 2 3 2 2 9" xfId="5471"/>
    <cellStyle name="Note 2 3 2 2 9 2" xfId="12022"/>
    <cellStyle name="Note 2 3 2 2 9 2 2" xfId="26344"/>
    <cellStyle name="Note 2 3 2 2 9 3" xfId="17667"/>
    <cellStyle name="Note 2 3 2 3" xfId="1846"/>
    <cellStyle name="Note 2 3 2 3 2" xfId="1847"/>
    <cellStyle name="Note 2 3 2 3 2 2" xfId="1848"/>
    <cellStyle name="Note 2 3 2 3 2 2 2" xfId="6571"/>
    <cellStyle name="Note 2 3 2 3 2 2 2 2" xfId="13159"/>
    <cellStyle name="Note 2 3 2 3 2 2 2 2 2" xfId="27481"/>
    <cellStyle name="Note 2 3 2 3 2 2 2 3" xfId="18804"/>
    <cellStyle name="Note 2 3 2 3 2 2 3" xfId="7603"/>
    <cellStyle name="Note 2 3 2 3 2 2 3 2" xfId="10217"/>
    <cellStyle name="Note 2 3 2 3 2 2 3 2 2" xfId="16479"/>
    <cellStyle name="Note 2 3 2 3 2 2 3 2 2 2" xfId="29895"/>
    <cellStyle name="Note 2 3 2 3 2 2 3 2 3" xfId="21224"/>
    <cellStyle name="Note 2 3 2 3 2 2 3 3" xfId="14207"/>
    <cellStyle name="Note 2 3 2 3 2 2 3 3 2" xfId="28529"/>
    <cellStyle name="Note 2 3 2 3 2 2 3 4" xfId="19852"/>
    <cellStyle name="Note 2 3 2 3 2 2 4" xfId="3994"/>
    <cellStyle name="Note 2 3 2 3 2 2 4 2" xfId="22691"/>
    <cellStyle name="Note 2 3 2 3 2 2 5" xfId="3771"/>
    <cellStyle name="Note 2 3 2 3 2 3" xfId="1849"/>
    <cellStyle name="Note 2 3 2 3 2 3 2" xfId="7388"/>
    <cellStyle name="Note 2 3 2 3 2 3 2 2" xfId="10002"/>
    <cellStyle name="Note 2 3 2 3 2 3 2 2 2" xfId="16264"/>
    <cellStyle name="Note 2 3 2 3 2 3 2 2 2 2" xfId="29680"/>
    <cellStyle name="Note 2 3 2 3 2 3 2 2 3" xfId="21009"/>
    <cellStyle name="Note 2 3 2 3 2 3 2 3" xfId="13992"/>
    <cellStyle name="Note 2 3 2 3 2 3 2 3 2" xfId="28314"/>
    <cellStyle name="Note 2 3 2 3 2 3 2 4" xfId="19637"/>
    <cellStyle name="Note 2 3 2 3 2 3 3" xfId="13306"/>
    <cellStyle name="Note 2 3 2 3 2 3 3 2" xfId="27628"/>
    <cellStyle name="Note 2 3 2 3 2 3 4" xfId="18951"/>
    <cellStyle name="Note 2 3 2 3 2 4" xfId="5756"/>
    <cellStyle name="Note 2 3 2 3 2 4 2" xfId="12309"/>
    <cellStyle name="Note 2 3 2 3 2 4 2 2" xfId="26631"/>
    <cellStyle name="Note 2 3 2 3 2 4 3" xfId="17954"/>
    <cellStyle name="Note 2 3 2 3 2 5" xfId="6677"/>
    <cellStyle name="Note 2 3 2 3 2 5 2" xfId="23648"/>
    <cellStyle name="Note 2 3 2 3 2 6" xfId="15514"/>
    <cellStyle name="Note 2 3 2 3 3" xfId="1850"/>
    <cellStyle name="Note 2 3 2 3 3 2" xfId="1851"/>
    <cellStyle name="Note 2 3 2 3 3 2 2" xfId="6936"/>
    <cellStyle name="Note 2 3 2 3 3 2 2 2" xfId="13540"/>
    <cellStyle name="Note 2 3 2 3 3 2 2 2 2" xfId="27862"/>
    <cellStyle name="Note 2 3 2 3 3 2 2 3" xfId="19185"/>
    <cellStyle name="Note 2 3 2 3 3 2 3" xfId="7833"/>
    <cellStyle name="Note 2 3 2 3 3 2 3 2" xfId="10447"/>
    <cellStyle name="Note 2 3 2 3 3 2 3 2 2" xfId="16709"/>
    <cellStyle name="Note 2 3 2 3 3 2 3 2 2 2" xfId="30125"/>
    <cellStyle name="Note 2 3 2 3 3 2 3 2 3" xfId="21454"/>
    <cellStyle name="Note 2 3 2 3 3 2 3 3" xfId="14437"/>
    <cellStyle name="Note 2 3 2 3 3 2 3 3 2" xfId="28759"/>
    <cellStyle name="Note 2 3 2 3 3 2 3 4" xfId="20082"/>
    <cellStyle name="Note 2 3 2 3 3 2 4" xfId="11429"/>
    <cellStyle name="Note 2 3 2 3 3 2 4 2" xfId="25751"/>
    <cellStyle name="Note 2 3 2 3 3 2 5" xfId="15163"/>
    <cellStyle name="Note 2 3 2 3 3 3" xfId="1852"/>
    <cellStyle name="Note 2 3 2 3 3 3 2" xfId="7952"/>
    <cellStyle name="Note 2 3 2 3 3 3 2 2" xfId="10566"/>
    <cellStyle name="Note 2 3 2 3 3 3 2 2 2" xfId="16828"/>
    <cellStyle name="Note 2 3 2 3 3 3 2 2 2 2" xfId="30244"/>
    <cellStyle name="Note 2 3 2 3 3 3 2 2 3" xfId="21573"/>
    <cellStyle name="Note 2 3 2 3 3 3 2 3" xfId="14556"/>
    <cellStyle name="Note 2 3 2 3 3 3 2 3 2" xfId="28878"/>
    <cellStyle name="Note 2 3 2 3 3 3 2 4" xfId="20201"/>
    <cellStyle name="Note 2 3 2 3 3 3 3" xfId="13245"/>
    <cellStyle name="Note 2 3 2 3 3 3 3 2" xfId="27567"/>
    <cellStyle name="Note 2 3 2 3 3 3 4" xfId="18890"/>
    <cellStyle name="Note 2 3 2 3 3 4" xfId="5687"/>
    <cellStyle name="Note 2 3 2 3 3 4 2" xfId="12240"/>
    <cellStyle name="Note 2 3 2 3 3 4 2 2" xfId="26562"/>
    <cellStyle name="Note 2 3 2 3 3 4 3" xfId="17885"/>
    <cellStyle name="Note 2 3 2 3 3 5" xfId="6493"/>
    <cellStyle name="Note 2 3 2 3 3 5 2" xfId="23569"/>
    <cellStyle name="Note 2 3 2 3 3 6" xfId="17008"/>
    <cellStyle name="Note 2 3 2 3 4" xfId="1853"/>
    <cellStyle name="Note 2 3 2 3 4 2" xfId="7014"/>
    <cellStyle name="Note 2 3 2 3 4 2 2" xfId="13618"/>
    <cellStyle name="Note 2 3 2 3 4 2 2 2" xfId="27940"/>
    <cellStyle name="Note 2 3 2 3 4 2 3" xfId="19263"/>
    <cellStyle name="Note 2 3 2 3 4 3" xfId="8063"/>
    <cellStyle name="Note 2 3 2 3 4 3 2" xfId="10677"/>
    <cellStyle name="Note 2 3 2 3 4 3 2 2" xfId="16939"/>
    <cellStyle name="Note 2 3 2 3 4 3 2 2 2" xfId="30355"/>
    <cellStyle name="Note 2 3 2 3 4 3 2 3" xfId="21684"/>
    <cellStyle name="Note 2 3 2 3 4 3 3" xfId="14667"/>
    <cellStyle name="Note 2 3 2 3 4 3 3 2" xfId="28989"/>
    <cellStyle name="Note 2 3 2 3 4 3 4" xfId="20312"/>
    <cellStyle name="Note 2 3 2 3 4 4" xfId="11540"/>
    <cellStyle name="Note 2 3 2 3 4 4 2" xfId="25862"/>
    <cellStyle name="Note 2 3 2 3 4 5" xfId="17299"/>
    <cellStyle name="Note 2 3 2 3 5" xfId="1854"/>
    <cellStyle name="Note 2 3 2 3 5 2" xfId="8052"/>
    <cellStyle name="Note 2 3 2 3 5 2 2" xfId="10666"/>
    <cellStyle name="Note 2 3 2 3 5 2 2 2" xfId="16928"/>
    <cellStyle name="Note 2 3 2 3 5 2 2 2 2" xfId="30344"/>
    <cellStyle name="Note 2 3 2 3 5 2 2 3" xfId="21673"/>
    <cellStyle name="Note 2 3 2 3 5 2 3" xfId="14656"/>
    <cellStyle name="Note 2 3 2 3 5 2 3 2" xfId="28978"/>
    <cellStyle name="Note 2 3 2 3 5 2 4" xfId="20301"/>
    <cellStyle name="Note 2 3 2 3 5 3" xfId="12882"/>
    <cellStyle name="Note 2 3 2 3 5 3 2" xfId="27204"/>
    <cellStyle name="Note 2 3 2 3 5 4" xfId="18527"/>
    <cellStyle name="Note 2 3 2 3 6" xfId="5500"/>
    <cellStyle name="Note 2 3 2 3 6 2" xfId="12051"/>
    <cellStyle name="Note 2 3 2 3 6 2 2" xfId="26373"/>
    <cellStyle name="Note 2 3 2 3 6 3" xfId="17696"/>
    <cellStyle name="Note 2 3 2 3 7" xfId="5062"/>
    <cellStyle name="Note 2 3 2 3 7 2" xfId="23322"/>
    <cellStyle name="Note 2 3 2 3 8" xfId="4098"/>
    <cellStyle name="Note 2 3 2 4" xfId="1855"/>
    <cellStyle name="Note 2 3 2 4 2" xfId="1856"/>
    <cellStyle name="Note 2 3 2 4 2 2" xfId="1857"/>
    <cellStyle name="Note 2 3 2 4 2 2 2" xfId="6500"/>
    <cellStyle name="Note 2 3 2 4 2 2 2 2" xfId="13086"/>
    <cellStyle name="Note 2 3 2 4 2 2 2 2 2" xfId="27408"/>
    <cellStyle name="Note 2 3 2 4 2 2 2 3" xfId="18731"/>
    <cellStyle name="Note 2 3 2 4 2 2 3" xfId="7443"/>
    <cellStyle name="Note 2 3 2 4 2 2 3 2" xfId="10057"/>
    <cellStyle name="Note 2 3 2 4 2 2 3 2 2" xfId="16319"/>
    <cellStyle name="Note 2 3 2 4 2 2 3 2 2 2" xfId="29735"/>
    <cellStyle name="Note 2 3 2 4 2 2 3 2 3" xfId="21064"/>
    <cellStyle name="Note 2 3 2 4 2 2 3 3" xfId="14047"/>
    <cellStyle name="Note 2 3 2 4 2 2 3 3 2" xfId="28369"/>
    <cellStyle name="Note 2 3 2 4 2 2 3 4" xfId="19692"/>
    <cellStyle name="Note 2 3 2 4 2 2 4" xfId="4501"/>
    <cellStyle name="Note 2 3 2 4 2 2 4 2" xfId="22993"/>
    <cellStyle name="Note 2 3 2 4 2 2 5" xfId="15262"/>
    <cellStyle name="Note 2 3 2 4 2 3" xfId="1858"/>
    <cellStyle name="Note 2 3 2 4 2 3 2" xfId="5251"/>
    <cellStyle name="Note 2 3 2 4 2 3 2 2" xfId="9560"/>
    <cellStyle name="Note 2 3 2 4 2 3 2 2 2" xfId="15822"/>
    <cellStyle name="Note 2 3 2 4 2 3 2 2 2 2" xfId="29238"/>
    <cellStyle name="Note 2 3 2 4 2 3 2 2 3" xfId="20567"/>
    <cellStyle name="Note 2 3 2 4 2 3 2 3" xfId="11801"/>
    <cellStyle name="Note 2 3 2 4 2 3 2 3 2" xfId="26123"/>
    <cellStyle name="Note 2 3 2 4 2 3 2 4" xfId="17446"/>
    <cellStyle name="Note 2 3 2 4 2 3 3" xfId="13342"/>
    <cellStyle name="Note 2 3 2 4 2 3 3 2" xfId="27664"/>
    <cellStyle name="Note 2 3 2 4 2 3 4" xfId="18987"/>
    <cellStyle name="Note 2 3 2 4 2 4" xfId="5792"/>
    <cellStyle name="Note 2 3 2 4 2 4 2" xfId="12345"/>
    <cellStyle name="Note 2 3 2 4 2 4 2 2" xfId="26667"/>
    <cellStyle name="Note 2 3 2 4 2 4 3" xfId="17990"/>
    <cellStyle name="Note 2 3 2 4 2 5" xfId="4036"/>
    <cellStyle name="Note 2 3 2 4 2 5 2" xfId="22714"/>
    <cellStyle name="Note 2 3 2 4 2 6" xfId="14926"/>
    <cellStyle name="Note 2 3 2 4 3" xfId="1859"/>
    <cellStyle name="Note 2 3 2 4 3 2" xfId="1860"/>
    <cellStyle name="Note 2 3 2 4 3 2 2" xfId="6844"/>
    <cellStyle name="Note 2 3 2 4 3 2 2 2" xfId="13448"/>
    <cellStyle name="Note 2 3 2 4 3 2 2 2 2" xfId="27770"/>
    <cellStyle name="Note 2 3 2 4 3 2 2 3" xfId="19093"/>
    <cellStyle name="Note 2 3 2 4 3 2 3" xfId="8048"/>
    <cellStyle name="Note 2 3 2 4 3 2 3 2" xfId="10662"/>
    <cellStyle name="Note 2 3 2 4 3 2 3 2 2" xfId="16924"/>
    <cellStyle name="Note 2 3 2 4 3 2 3 2 2 2" xfId="30340"/>
    <cellStyle name="Note 2 3 2 4 3 2 3 2 3" xfId="21669"/>
    <cellStyle name="Note 2 3 2 4 3 2 3 3" xfId="14652"/>
    <cellStyle name="Note 2 3 2 4 3 2 3 3 2" xfId="28974"/>
    <cellStyle name="Note 2 3 2 4 3 2 3 4" xfId="20297"/>
    <cellStyle name="Note 2 3 2 4 3 2 4" xfId="2768"/>
    <cellStyle name="Note 2 3 2 4 3 2 4 2" xfId="22337"/>
    <cellStyle name="Note 2 3 2 4 3 2 5" xfId="15143"/>
    <cellStyle name="Note 2 3 2 4 3 3" xfId="1861"/>
    <cellStyle name="Note 2 3 2 4 3 3 2" xfId="5253"/>
    <cellStyle name="Note 2 3 2 4 3 3 2 2" xfId="9562"/>
    <cellStyle name="Note 2 3 2 4 3 3 2 2 2" xfId="15824"/>
    <cellStyle name="Note 2 3 2 4 3 3 2 2 2 2" xfId="29240"/>
    <cellStyle name="Note 2 3 2 4 3 3 2 2 3" xfId="20569"/>
    <cellStyle name="Note 2 3 2 4 3 3 2 3" xfId="11803"/>
    <cellStyle name="Note 2 3 2 4 3 3 2 3 2" xfId="26125"/>
    <cellStyle name="Note 2 3 2 4 3 3 2 4" xfId="17448"/>
    <cellStyle name="Note 2 3 2 4 3 3 3" xfId="13400"/>
    <cellStyle name="Note 2 3 2 4 3 3 3 2" xfId="27722"/>
    <cellStyle name="Note 2 3 2 4 3 3 4" xfId="19045"/>
    <cellStyle name="Note 2 3 2 4 3 4" xfId="5864"/>
    <cellStyle name="Note 2 3 2 4 3 4 2" xfId="12417"/>
    <cellStyle name="Note 2 3 2 4 3 4 2 2" xfId="26739"/>
    <cellStyle name="Note 2 3 2 4 3 4 3" xfId="18062"/>
    <cellStyle name="Note 2 3 2 4 3 5" xfId="3979"/>
    <cellStyle name="Note 2 3 2 4 3 5 2" xfId="22683"/>
    <cellStyle name="Note 2 3 2 4 3 6" xfId="17242"/>
    <cellStyle name="Note 2 3 2 4 4" xfId="1862"/>
    <cellStyle name="Note 2 3 2 4 4 2" xfId="5620"/>
    <cellStyle name="Note 2 3 2 4 4 2 2" xfId="12173"/>
    <cellStyle name="Note 2 3 2 4 4 2 2 2" xfId="26495"/>
    <cellStyle name="Note 2 3 2 4 4 2 3" xfId="17818"/>
    <cellStyle name="Note 2 3 2 4 4 3" xfId="7576"/>
    <cellStyle name="Note 2 3 2 4 4 3 2" xfId="10190"/>
    <cellStyle name="Note 2 3 2 4 4 3 2 2" xfId="16452"/>
    <cellStyle name="Note 2 3 2 4 4 3 2 2 2" xfId="29868"/>
    <cellStyle name="Note 2 3 2 4 4 3 2 3" xfId="21197"/>
    <cellStyle name="Note 2 3 2 4 4 3 3" xfId="14180"/>
    <cellStyle name="Note 2 3 2 4 4 3 3 2" xfId="28502"/>
    <cellStyle name="Note 2 3 2 4 4 3 4" xfId="19825"/>
    <cellStyle name="Note 2 3 2 4 4 4" xfId="3844"/>
    <cellStyle name="Note 2 3 2 4 4 4 2" xfId="22609"/>
    <cellStyle name="Note 2 3 2 4 4 5" xfId="17325"/>
    <cellStyle name="Note 2 3 2 4 5" xfId="1863"/>
    <cellStyle name="Note 2 3 2 4 5 2" xfId="5033"/>
    <cellStyle name="Note 2 3 2 4 5 2 2" xfId="9551"/>
    <cellStyle name="Note 2 3 2 4 5 2 2 2" xfId="15813"/>
    <cellStyle name="Note 2 3 2 4 5 2 2 2 2" xfId="29229"/>
    <cellStyle name="Note 2 3 2 4 5 2 2 3" xfId="20558"/>
    <cellStyle name="Note 2 3 2 4 5 2 3" xfId="11580"/>
    <cellStyle name="Note 2 3 2 4 5 2 3 2" xfId="25902"/>
    <cellStyle name="Note 2 3 2 4 5 2 4" xfId="15268"/>
    <cellStyle name="Note 2 3 2 4 5 3" xfId="12918"/>
    <cellStyle name="Note 2 3 2 4 5 3 2" xfId="27240"/>
    <cellStyle name="Note 2 3 2 4 5 4" xfId="18563"/>
    <cellStyle name="Note 2 3 2 4 6" xfId="5542"/>
    <cellStyle name="Note 2 3 2 4 6 2" xfId="12093"/>
    <cellStyle name="Note 2 3 2 4 6 2 2" xfId="26415"/>
    <cellStyle name="Note 2 3 2 4 6 3" xfId="17738"/>
    <cellStyle name="Note 2 3 2 4 7" xfId="4387"/>
    <cellStyle name="Note 2 3 2 4 7 2" xfId="22921"/>
    <cellStyle name="Note 2 3 2 4 8" xfId="17114"/>
    <cellStyle name="Note 2 3 2 5" xfId="1864"/>
    <cellStyle name="Note 2 3 2 5 2" xfId="1865"/>
    <cellStyle name="Note 2 3 2 5 2 2" xfId="1866"/>
    <cellStyle name="Note 2 3 2 5 2 2 2" xfId="6079"/>
    <cellStyle name="Note 2 3 2 5 2 2 2 2" xfId="12645"/>
    <cellStyle name="Note 2 3 2 5 2 2 2 2 2" xfId="26967"/>
    <cellStyle name="Note 2 3 2 5 2 2 2 3" xfId="18290"/>
    <cellStyle name="Note 2 3 2 5 2 2 3" xfId="7838"/>
    <cellStyle name="Note 2 3 2 5 2 2 3 2" xfId="10452"/>
    <cellStyle name="Note 2 3 2 5 2 2 3 2 2" xfId="16714"/>
    <cellStyle name="Note 2 3 2 5 2 2 3 2 2 2" xfId="30130"/>
    <cellStyle name="Note 2 3 2 5 2 2 3 2 3" xfId="21459"/>
    <cellStyle name="Note 2 3 2 5 2 2 3 3" xfId="14442"/>
    <cellStyle name="Note 2 3 2 5 2 2 3 3 2" xfId="28764"/>
    <cellStyle name="Note 2 3 2 5 2 2 3 4" xfId="20087"/>
    <cellStyle name="Note 2 3 2 5 2 2 4" xfId="4952"/>
    <cellStyle name="Note 2 3 2 5 2 2 4 2" xfId="23276"/>
    <cellStyle name="Note 2 3 2 5 2 2 5" xfId="14759"/>
    <cellStyle name="Note 2 3 2 5 2 3" xfId="1867"/>
    <cellStyle name="Note 2 3 2 5 2 3 2" xfId="5273"/>
    <cellStyle name="Note 2 3 2 5 2 3 2 2" xfId="9582"/>
    <cellStyle name="Note 2 3 2 5 2 3 2 2 2" xfId="15844"/>
    <cellStyle name="Note 2 3 2 5 2 3 2 2 2 2" xfId="29260"/>
    <cellStyle name="Note 2 3 2 5 2 3 2 2 3" xfId="20589"/>
    <cellStyle name="Note 2 3 2 5 2 3 2 3" xfId="11823"/>
    <cellStyle name="Note 2 3 2 5 2 3 2 3 2" xfId="26145"/>
    <cellStyle name="Note 2 3 2 5 2 3 2 4" xfId="17468"/>
    <cellStyle name="Note 2 3 2 5 2 3 3" xfId="13263"/>
    <cellStyle name="Note 2 3 2 5 2 3 3 2" xfId="27585"/>
    <cellStyle name="Note 2 3 2 5 2 3 4" xfId="18908"/>
    <cellStyle name="Note 2 3 2 5 2 4" xfId="5709"/>
    <cellStyle name="Note 2 3 2 5 2 4 2" xfId="12262"/>
    <cellStyle name="Note 2 3 2 5 2 4 2 2" xfId="26584"/>
    <cellStyle name="Note 2 3 2 5 2 4 3" xfId="17907"/>
    <cellStyle name="Note 2 3 2 5 2 5" xfId="5099"/>
    <cellStyle name="Note 2 3 2 5 2 5 2" xfId="23325"/>
    <cellStyle name="Note 2 3 2 5 2 6" xfId="15495"/>
    <cellStyle name="Note 2 3 2 5 3" xfId="1868"/>
    <cellStyle name="Note 2 3 2 5 3 2" xfId="1869"/>
    <cellStyle name="Note 2 3 2 5 3 2 2" xfId="6403"/>
    <cellStyle name="Note 2 3 2 5 3 2 2 2" xfId="12986"/>
    <cellStyle name="Note 2 3 2 5 3 2 2 2 2" xfId="27308"/>
    <cellStyle name="Note 2 3 2 5 3 2 2 3" xfId="18631"/>
    <cellStyle name="Note 2 3 2 5 3 2 3" xfId="7119"/>
    <cellStyle name="Note 2 3 2 5 3 2 3 2" xfId="9733"/>
    <cellStyle name="Note 2 3 2 5 3 2 3 2 2" xfId="15995"/>
    <cellStyle name="Note 2 3 2 5 3 2 3 2 2 2" xfId="29411"/>
    <cellStyle name="Note 2 3 2 5 3 2 3 2 3" xfId="20740"/>
    <cellStyle name="Note 2 3 2 5 3 2 3 3" xfId="13723"/>
    <cellStyle name="Note 2 3 2 5 3 2 3 3 2" xfId="28045"/>
    <cellStyle name="Note 2 3 2 5 3 2 3 4" xfId="19368"/>
    <cellStyle name="Note 2 3 2 5 3 2 4" xfId="2788"/>
    <cellStyle name="Note 2 3 2 5 3 2 4 2" xfId="22356"/>
    <cellStyle name="Note 2 3 2 5 3 2 5" xfId="17221"/>
    <cellStyle name="Note 2 3 2 5 3 3" xfId="1870"/>
    <cellStyle name="Note 2 3 2 5 3 3 2" xfId="7080"/>
    <cellStyle name="Note 2 3 2 5 3 3 2 2" xfId="9694"/>
    <cellStyle name="Note 2 3 2 5 3 3 2 2 2" xfId="15956"/>
    <cellStyle name="Note 2 3 2 5 3 3 2 2 2 2" xfId="29372"/>
    <cellStyle name="Note 2 3 2 5 3 3 2 2 3" xfId="20701"/>
    <cellStyle name="Note 2 3 2 5 3 3 2 3" xfId="13684"/>
    <cellStyle name="Note 2 3 2 5 3 3 2 3 2" xfId="28006"/>
    <cellStyle name="Note 2 3 2 5 3 3 2 4" xfId="19329"/>
    <cellStyle name="Note 2 3 2 5 3 3 3" xfId="13372"/>
    <cellStyle name="Note 2 3 2 5 3 3 3 2" xfId="27694"/>
    <cellStyle name="Note 2 3 2 5 3 3 4" xfId="19017"/>
    <cellStyle name="Note 2 3 2 5 3 4" xfId="5824"/>
    <cellStyle name="Note 2 3 2 5 3 4 2" xfId="12377"/>
    <cellStyle name="Note 2 3 2 5 3 4 2 2" xfId="26699"/>
    <cellStyle name="Note 2 3 2 5 3 4 3" xfId="18022"/>
    <cellStyle name="Note 2 3 2 5 3 5" xfId="6289"/>
    <cellStyle name="Note 2 3 2 5 3 5 2" xfId="23490"/>
    <cellStyle name="Note 2 3 2 5 3 6" xfId="15418"/>
    <cellStyle name="Note 2 3 2 5 4" xfId="1871"/>
    <cellStyle name="Note 2 3 2 5 4 2" xfId="6217"/>
    <cellStyle name="Note 2 3 2 5 4 2 2" xfId="12792"/>
    <cellStyle name="Note 2 3 2 5 4 2 2 2" xfId="27114"/>
    <cellStyle name="Note 2 3 2 5 4 2 3" xfId="18437"/>
    <cellStyle name="Note 2 3 2 5 4 3" xfId="3905"/>
    <cellStyle name="Note 2 3 2 5 4 3 2" xfId="9392"/>
    <cellStyle name="Note 2 3 2 5 4 3 2 2" xfId="15654"/>
    <cellStyle name="Note 2 3 2 5 4 3 2 2 2" xfId="29070"/>
    <cellStyle name="Note 2 3 2 5 4 3 2 3" xfId="20399"/>
    <cellStyle name="Note 2 3 2 5 4 3 3" xfId="4625"/>
    <cellStyle name="Note 2 3 2 5 4 3 3 2" xfId="23072"/>
    <cellStyle name="Note 2 3 2 5 4 3 4" xfId="15574"/>
    <cellStyle name="Note 2 3 2 5 4 4" xfId="4500"/>
    <cellStyle name="Note 2 3 2 5 4 4 2" xfId="22992"/>
    <cellStyle name="Note 2 3 2 5 4 5" xfId="17225"/>
    <cellStyle name="Note 2 3 2 5 5" xfId="1872"/>
    <cellStyle name="Note 2 3 2 5 5 2" xfId="7281"/>
    <cellStyle name="Note 2 3 2 5 5 2 2" xfId="9895"/>
    <cellStyle name="Note 2 3 2 5 5 2 2 2" xfId="16157"/>
    <cellStyle name="Note 2 3 2 5 5 2 2 2 2" xfId="29573"/>
    <cellStyle name="Note 2 3 2 5 5 2 2 3" xfId="20902"/>
    <cellStyle name="Note 2 3 2 5 5 2 3" xfId="13885"/>
    <cellStyle name="Note 2 3 2 5 5 2 3 2" xfId="28207"/>
    <cellStyle name="Note 2 3 2 5 5 2 4" xfId="19530"/>
    <cellStyle name="Note 2 3 2 5 5 3" xfId="12819"/>
    <cellStyle name="Note 2 3 2 5 5 3 2" xfId="27141"/>
    <cellStyle name="Note 2 3 2 5 5 4" xfId="18464"/>
    <cellStyle name="Note 2 3 2 5 6" xfId="5357"/>
    <cellStyle name="Note 2 3 2 5 6 2" xfId="11907"/>
    <cellStyle name="Note 2 3 2 5 6 2 2" xfId="26229"/>
    <cellStyle name="Note 2 3 2 5 6 3" xfId="17552"/>
    <cellStyle name="Note 2 3 2 5 7" xfId="6720"/>
    <cellStyle name="Note 2 3 2 5 7 2" xfId="23674"/>
    <cellStyle name="Note 2 3 2 5 8" xfId="15412"/>
    <cellStyle name="Note 2 3 2 6" xfId="1873"/>
    <cellStyle name="Note 2 3 2 6 2" xfId="1874"/>
    <cellStyle name="Note 2 3 2 6 2 2" xfId="1875"/>
    <cellStyle name="Note 2 3 2 6 2 2 2" xfId="6955"/>
    <cellStyle name="Note 2 3 2 6 2 2 2 2" xfId="13559"/>
    <cellStyle name="Note 2 3 2 6 2 2 2 2 2" xfId="27881"/>
    <cellStyle name="Note 2 3 2 6 2 2 2 3" xfId="19204"/>
    <cellStyle name="Note 2 3 2 6 2 2 3" xfId="5280"/>
    <cellStyle name="Note 2 3 2 6 2 2 3 2" xfId="9589"/>
    <cellStyle name="Note 2 3 2 6 2 2 3 2 2" xfId="15851"/>
    <cellStyle name="Note 2 3 2 6 2 2 3 2 2 2" xfId="29267"/>
    <cellStyle name="Note 2 3 2 6 2 2 3 2 3" xfId="20596"/>
    <cellStyle name="Note 2 3 2 6 2 2 3 3" xfId="11830"/>
    <cellStyle name="Note 2 3 2 6 2 2 3 3 2" xfId="26152"/>
    <cellStyle name="Note 2 3 2 6 2 2 3 4" xfId="17475"/>
    <cellStyle name="Note 2 3 2 6 2 2 4" xfId="11453"/>
    <cellStyle name="Note 2 3 2 6 2 2 4 2" xfId="25775"/>
    <cellStyle name="Note 2 3 2 6 2 2 5" xfId="15034"/>
    <cellStyle name="Note 2 3 2 6 2 3" xfId="1876"/>
    <cellStyle name="Note 2 3 2 6 2 3 2" xfId="3770"/>
    <cellStyle name="Note 2 3 2 6 2 3 2 2" xfId="9372"/>
    <cellStyle name="Note 2 3 2 6 2 3 2 2 2" xfId="15634"/>
    <cellStyle name="Note 2 3 2 6 2 3 2 2 2 2" xfId="29050"/>
    <cellStyle name="Note 2 3 2 6 2 3 2 2 3" xfId="20379"/>
    <cellStyle name="Note 2 3 2 6 2 3 2 3" xfId="4763"/>
    <cellStyle name="Note 2 3 2 6 2 3 2 3 2" xfId="23176"/>
    <cellStyle name="Note 2 3 2 6 2 3 2 4" xfId="4214"/>
    <cellStyle name="Note 2 3 2 6 2 3 3" xfId="13173"/>
    <cellStyle name="Note 2 3 2 6 2 3 3 2" xfId="27495"/>
    <cellStyle name="Note 2 3 2 6 2 3 4" xfId="18818"/>
    <cellStyle name="Note 2 3 2 6 2 4" xfId="5596"/>
    <cellStyle name="Note 2 3 2 6 2 4 2" xfId="12148"/>
    <cellStyle name="Note 2 3 2 6 2 4 2 2" xfId="26470"/>
    <cellStyle name="Note 2 3 2 6 2 4 3" xfId="17793"/>
    <cellStyle name="Note 2 3 2 6 2 5" xfId="3803"/>
    <cellStyle name="Note 2 3 2 6 2 5 2" xfId="22591"/>
    <cellStyle name="Note 2 3 2 6 2 6" xfId="15485"/>
    <cellStyle name="Note 2 3 2 6 3" xfId="1877"/>
    <cellStyle name="Note 2 3 2 6 3 2" xfId="6534"/>
    <cellStyle name="Note 2 3 2 6 3 2 2" xfId="13122"/>
    <cellStyle name="Note 2 3 2 6 3 2 2 2" xfId="27444"/>
    <cellStyle name="Note 2 3 2 6 3 2 3" xfId="18767"/>
    <cellStyle name="Note 2 3 2 6 3 3" xfId="7723"/>
    <cellStyle name="Note 2 3 2 6 3 3 2" xfId="10337"/>
    <cellStyle name="Note 2 3 2 6 3 3 2 2" xfId="16599"/>
    <cellStyle name="Note 2 3 2 6 3 3 2 2 2" xfId="30015"/>
    <cellStyle name="Note 2 3 2 6 3 3 2 3" xfId="21344"/>
    <cellStyle name="Note 2 3 2 6 3 3 3" xfId="14327"/>
    <cellStyle name="Note 2 3 2 6 3 3 3 2" xfId="28649"/>
    <cellStyle name="Note 2 3 2 6 3 3 4" xfId="19972"/>
    <cellStyle name="Note 2 3 2 6 3 4" xfId="3595"/>
    <cellStyle name="Note 2 3 2 6 3 4 2" xfId="22478"/>
    <cellStyle name="Note 2 3 2 6 3 5" xfId="5522"/>
    <cellStyle name="Note 2 3 2 6 4" xfId="1878"/>
    <cellStyle name="Note 2 3 2 6 4 2" xfId="7647"/>
    <cellStyle name="Note 2 3 2 6 4 2 2" xfId="10261"/>
    <cellStyle name="Note 2 3 2 6 4 2 2 2" xfId="16523"/>
    <cellStyle name="Note 2 3 2 6 4 2 2 2 2" xfId="29939"/>
    <cellStyle name="Note 2 3 2 6 4 2 2 3" xfId="21268"/>
    <cellStyle name="Note 2 3 2 6 4 2 3" xfId="14251"/>
    <cellStyle name="Note 2 3 2 6 4 2 3 2" xfId="28573"/>
    <cellStyle name="Note 2 3 2 6 4 2 4" xfId="19896"/>
    <cellStyle name="Note 2 3 2 6 4 3" xfId="12945"/>
    <cellStyle name="Note 2 3 2 6 4 3 2" xfId="27267"/>
    <cellStyle name="Note 2 3 2 6 4 4" xfId="18590"/>
    <cellStyle name="Note 2 3 2 6 5" xfId="5606"/>
    <cellStyle name="Note 2 3 2 6 5 2" xfId="12158"/>
    <cellStyle name="Note 2 3 2 6 5 2 2" xfId="26480"/>
    <cellStyle name="Note 2 3 2 6 5 3" xfId="17803"/>
    <cellStyle name="Note 2 3 2 6 6" xfId="5182"/>
    <cellStyle name="Note 2 3 2 6 6 2" xfId="23333"/>
    <cellStyle name="Note 2 3 2 6 7" xfId="15086"/>
    <cellStyle name="Note 2 3 2 7" xfId="1879"/>
    <cellStyle name="Note 2 3 2 7 2" xfId="1880"/>
    <cellStyle name="Note 2 3 2 7 2 2" xfId="7005"/>
    <cellStyle name="Note 2 3 2 7 2 2 2" xfId="13609"/>
    <cellStyle name="Note 2 3 2 7 2 2 2 2" xfId="27931"/>
    <cellStyle name="Note 2 3 2 7 2 2 3" xfId="19254"/>
    <cellStyle name="Note 2 3 2 7 2 3" xfId="7298"/>
    <cellStyle name="Note 2 3 2 7 2 3 2" xfId="9912"/>
    <cellStyle name="Note 2 3 2 7 2 3 2 2" xfId="16174"/>
    <cellStyle name="Note 2 3 2 7 2 3 2 2 2" xfId="29590"/>
    <cellStyle name="Note 2 3 2 7 2 3 2 3" xfId="20919"/>
    <cellStyle name="Note 2 3 2 7 2 3 3" xfId="13902"/>
    <cellStyle name="Note 2 3 2 7 2 3 3 2" xfId="28224"/>
    <cellStyle name="Note 2 3 2 7 2 3 4" xfId="19547"/>
    <cellStyle name="Note 2 3 2 7 2 4" xfId="11525"/>
    <cellStyle name="Note 2 3 2 7 2 4 2" xfId="25847"/>
    <cellStyle name="Note 2 3 2 7 2 5" xfId="17223"/>
    <cellStyle name="Note 2 3 2 7 3" xfId="1881"/>
    <cellStyle name="Note 2 3 2 7 3 2" xfId="3910"/>
    <cellStyle name="Note 2 3 2 7 3 2 2" xfId="9394"/>
    <cellStyle name="Note 2 3 2 7 3 2 2 2" xfId="15656"/>
    <cellStyle name="Note 2 3 2 7 3 2 2 2 2" xfId="29072"/>
    <cellStyle name="Note 2 3 2 7 3 2 2 3" xfId="20401"/>
    <cellStyle name="Note 2 3 2 7 3 2 3" xfId="3811"/>
    <cellStyle name="Note 2 3 2 7 3 2 3 2" xfId="22595"/>
    <cellStyle name="Note 2 3 2 7 3 2 4" xfId="15169"/>
    <cellStyle name="Note 2 3 2 7 3 3" xfId="13061"/>
    <cellStyle name="Note 2 3 2 7 3 3 2" xfId="27383"/>
    <cellStyle name="Note 2 3 2 7 3 4" xfId="18706"/>
    <cellStyle name="Note 2 3 2 7 4" xfId="5394"/>
    <cellStyle name="Note 2 3 2 7 4 2" xfId="11944"/>
    <cellStyle name="Note 2 3 2 7 4 2 2" xfId="26266"/>
    <cellStyle name="Note 2 3 2 7 4 3" xfId="17589"/>
    <cellStyle name="Note 2 3 2 7 5" xfId="5035"/>
    <cellStyle name="Note 2 3 2 7 5 2" xfId="23315"/>
    <cellStyle name="Note 2 3 2 7 6" xfId="14836"/>
    <cellStyle name="Note 2 3 2 8" xfId="1882"/>
    <cellStyle name="Note 2 3 2 8 2" xfId="5996"/>
    <cellStyle name="Note 2 3 2 8 2 2" xfId="12554"/>
    <cellStyle name="Note 2 3 2 8 2 2 2" xfId="26876"/>
    <cellStyle name="Note 2 3 2 8 2 3" xfId="18199"/>
    <cellStyle name="Note 2 3 2 8 3" xfId="7184"/>
    <cellStyle name="Note 2 3 2 8 3 2" xfId="9798"/>
    <cellStyle name="Note 2 3 2 8 3 2 2" xfId="16060"/>
    <cellStyle name="Note 2 3 2 8 3 2 2 2" xfId="29476"/>
    <cellStyle name="Note 2 3 2 8 3 2 3" xfId="20805"/>
    <cellStyle name="Note 2 3 2 8 3 3" xfId="13788"/>
    <cellStyle name="Note 2 3 2 8 3 3 2" xfId="28110"/>
    <cellStyle name="Note 2 3 2 8 3 4" xfId="19433"/>
    <cellStyle name="Note 2 3 2 8 4" xfId="3649"/>
    <cellStyle name="Note 2 3 2 8 4 2" xfId="22506"/>
    <cellStyle name="Note 2 3 2 8 5" xfId="15069"/>
    <cellStyle name="Note 2 3 2 9" xfId="1883"/>
    <cellStyle name="Note 2 3 2 9 2" xfId="7998"/>
    <cellStyle name="Note 2 3 2 9 2 2" xfId="10612"/>
    <cellStyle name="Note 2 3 2 9 2 2 2" xfId="16874"/>
    <cellStyle name="Note 2 3 2 9 2 2 2 2" xfId="30290"/>
    <cellStyle name="Note 2 3 2 9 2 2 3" xfId="21619"/>
    <cellStyle name="Note 2 3 2 9 2 3" xfId="14602"/>
    <cellStyle name="Note 2 3 2 9 2 3 2" xfId="28924"/>
    <cellStyle name="Note 2 3 2 9 2 4" xfId="20247"/>
    <cellStyle name="Note 2 3 2 9 3" xfId="12723"/>
    <cellStyle name="Note 2 3 2 9 3 2" xfId="27045"/>
    <cellStyle name="Note 2 3 2 9 4" xfId="18368"/>
    <cellStyle name="Note 2 3 3" xfId="1884"/>
    <cellStyle name="Note 2 3 3 10" xfId="4055"/>
    <cellStyle name="Note 2 3 3 10 2" xfId="22730"/>
    <cellStyle name="Note 2 3 3 11" xfId="17176"/>
    <cellStyle name="Note 2 3 3 2" xfId="1885"/>
    <cellStyle name="Note 2 3 3 2 2" xfId="1886"/>
    <cellStyle name="Note 2 3 3 2 2 2" xfId="1887"/>
    <cellStyle name="Note 2 3 3 2 2 2 2" xfId="6922"/>
    <cellStyle name="Note 2 3 3 2 2 2 2 2" xfId="13526"/>
    <cellStyle name="Note 2 3 3 2 2 2 2 2 2" xfId="27848"/>
    <cellStyle name="Note 2 3 3 2 2 2 2 3" xfId="19171"/>
    <cellStyle name="Note 2 3 3 2 2 2 3" xfId="5031"/>
    <cellStyle name="Note 2 3 3 2 2 2 3 2" xfId="9549"/>
    <cellStyle name="Note 2 3 3 2 2 2 3 2 2" xfId="15811"/>
    <cellStyle name="Note 2 3 3 2 2 2 3 2 2 2" xfId="29227"/>
    <cellStyle name="Note 2 3 3 2 2 2 3 2 3" xfId="20556"/>
    <cellStyle name="Note 2 3 3 2 2 2 3 3" xfId="11578"/>
    <cellStyle name="Note 2 3 3 2 2 2 3 3 2" xfId="25900"/>
    <cellStyle name="Note 2 3 3 2 2 2 3 4" xfId="14948"/>
    <cellStyle name="Note 2 3 3 2 2 2 4" xfId="11410"/>
    <cellStyle name="Note 2 3 3 2 2 2 4 2" xfId="25732"/>
    <cellStyle name="Note 2 3 3 2 2 2 5" xfId="15017"/>
    <cellStyle name="Note 2 3 3 2 2 3" xfId="1888"/>
    <cellStyle name="Note 2 3 3 2 2 3 2" xfId="7260"/>
    <cellStyle name="Note 2 3 3 2 2 3 2 2" xfId="9874"/>
    <cellStyle name="Note 2 3 3 2 2 3 2 2 2" xfId="16136"/>
    <cellStyle name="Note 2 3 3 2 2 3 2 2 2 2" xfId="29552"/>
    <cellStyle name="Note 2 3 3 2 2 3 2 2 3" xfId="20881"/>
    <cellStyle name="Note 2 3 3 2 2 3 2 3" xfId="13864"/>
    <cellStyle name="Note 2 3 3 2 2 3 2 3 2" xfId="28186"/>
    <cellStyle name="Note 2 3 3 2 2 3 2 4" xfId="19509"/>
    <cellStyle name="Note 2 3 3 2 2 3 3" xfId="13302"/>
    <cellStyle name="Note 2 3 3 2 2 3 3 2" xfId="27624"/>
    <cellStyle name="Note 2 3 3 2 2 3 4" xfId="18947"/>
    <cellStyle name="Note 2 3 3 2 2 4" xfId="5752"/>
    <cellStyle name="Note 2 3 3 2 2 4 2" xfId="12305"/>
    <cellStyle name="Note 2 3 3 2 2 4 2 2" xfId="26627"/>
    <cellStyle name="Note 2 3 3 2 2 4 3" xfId="17950"/>
    <cellStyle name="Note 2 3 3 2 2 5" xfId="4536"/>
    <cellStyle name="Note 2 3 3 2 2 5 2" xfId="23016"/>
    <cellStyle name="Note 2 3 3 2 2 6" xfId="3585"/>
    <cellStyle name="Note 2 3 3 2 3" xfId="1889"/>
    <cellStyle name="Note 2 3 3 2 3 2" xfId="1890"/>
    <cellStyle name="Note 2 3 3 2 3 2 2" xfId="6386"/>
    <cellStyle name="Note 2 3 3 2 3 2 2 2" xfId="12969"/>
    <cellStyle name="Note 2 3 3 2 3 2 2 2 2" xfId="27291"/>
    <cellStyle name="Note 2 3 3 2 3 2 2 3" xfId="18614"/>
    <cellStyle name="Note 2 3 3 2 3 2 3" xfId="7864"/>
    <cellStyle name="Note 2 3 3 2 3 2 3 2" xfId="10478"/>
    <cellStyle name="Note 2 3 3 2 3 2 3 2 2" xfId="16740"/>
    <cellStyle name="Note 2 3 3 2 3 2 3 2 2 2" xfId="30156"/>
    <cellStyle name="Note 2 3 3 2 3 2 3 2 3" xfId="21485"/>
    <cellStyle name="Note 2 3 3 2 3 2 3 3" xfId="14468"/>
    <cellStyle name="Note 2 3 3 2 3 2 3 3 2" xfId="28790"/>
    <cellStyle name="Note 2 3 3 2 3 2 3 4" xfId="20113"/>
    <cellStyle name="Note 2 3 3 2 3 2 4" xfId="4451"/>
    <cellStyle name="Note 2 3 3 2 3 2 4 2" xfId="22960"/>
    <cellStyle name="Note 2 3 3 2 3 2 5" xfId="3871"/>
    <cellStyle name="Note 2 3 3 2 3 3" xfId="1891"/>
    <cellStyle name="Note 2 3 3 2 3 3 2" xfId="7085"/>
    <cellStyle name="Note 2 3 3 2 3 3 2 2" xfId="9699"/>
    <cellStyle name="Note 2 3 3 2 3 3 2 2 2" xfId="15961"/>
    <cellStyle name="Note 2 3 3 2 3 3 2 2 2 2" xfId="29377"/>
    <cellStyle name="Note 2 3 3 2 3 3 2 2 3" xfId="20706"/>
    <cellStyle name="Note 2 3 3 2 3 3 2 3" xfId="13689"/>
    <cellStyle name="Note 2 3 3 2 3 3 2 3 2" xfId="28011"/>
    <cellStyle name="Note 2 3 3 2 3 3 2 4" xfId="19334"/>
    <cellStyle name="Note 2 3 3 2 3 3 3" xfId="12608"/>
    <cellStyle name="Note 2 3 3 2 3 3 3 2" xfId="26930"/>
    <cellStyle name="Note 2 3 3 2 3 3 4" xfId="18253"/>
    <cellStyle name="Note 2 3 3 2 3 4" xfId="5072"/>
    <cellStyle name="Note 2 3 3 2 3 4 2" xfId="11619"/>
    <cellStyle name="Note 2 3 3 2 3 4 2 2" xfId="25941"/>
    <cellStyle name="Note 2 3 3 2 3 4 3" xfId="15381"/>
    <cellStyle name="Note 2 3 3 2 3 5" xfId="3743"/>
    <cellStyle name="Note 2 3 3 2 3 5 2" xfId="22558"/>
    <cellStyle name="Note 2 3 3 2 3 6" xfId="16969"/>
    <cellStyle name="Note 2 3 3 2 4" xfId="1892"/>
    <cellStyle name="Note 2 3 3 2 4 2" xfId="6034"/>
    <cellStyle name="Note 2 3 3 2 4 2 2" xfId="12595"/>
    <cellStyle name="Note 2 3 3 2 4 2 2 2" xfId="26917"/>
    <cellStyle name="Note 2 3 3 2 4 2 3" xfId="18240"/>
    <cellStyle name="Note 2 3 3 2 4 3" xfId="7529"/>
    <cellStyle name="Note 2 3 3 2 4 3 2" xfId="10143"/>
    <cellStyle name="Note 2 3 3 2 4 3 2 2" xfId="16405"/>
    <cellStyle name="Note 2 3 3 2 4 3 2 2 2" xfId="29821"/>
    <cellStyle name="Note 2 3 3 2 4 3 2 3" xfId="21150"/>
    <cellStyle name="Note 2 3 3 2 4 3 3" xfId="14133"/>
    <cellStyle name="Note 2 3 3 2 4 3 3 2" xfId="28455"/>
    <cellStyle name="Note 2 3 3 2 4 3 4" xfId="19778"/>
    <cellStyle name="Note 2 3 3 2 4 4" xfId="4815"/>
    <cellStyle name="Note 2 3 3 2 4 4 2" xfId="23202"/>
    <cellStyle name="Note 2 3 3 2 4 5" xfId="17056"/>
    <cellStyle name="Note 2 3 3 2 5" xfId="1893"/>
    <cellStyle name="Note 2 3 3 2 5 2" xfId="7663"/>
    <cellStyle name="Note 2 3 3 2 5 2 2" xfId="10277"/>
    <cellStyle name="Note 2 3 3 2 5 2 2 2" xfId="16539"/>
    <cellStyle name="Note 2 3 3 2 5 2 2 2 2" xfId="29955"/>
    <cellStyle name="Note 2 3 3 2 5 2 2 3" xfId="21284"/>
    <cellStyle name="Note 2 3 3 2 5 2 3" xfId="14267"/>
    <cellStyle name="Note 2 3 3 2 5 2 3 2" xfId="28589"/>
    <cellStyle name="Note 2 3 3 2 5 2 4" xfId="19912"/>
    <cellStyle name="Note 2 3 3 2 5 3" xfId="12878"/>
    <cellStyle name="Note 2 3 3 2 5 3 2" xfId="27200"/>
    <cellStyle name="Note 2 3 3 2 5 4" xfId="18523"/>
    <cellStyle name="Note 2 3 3 2 6" xfId="5496"/>
    <cellStyle name="Note 2 3 3 2 6 2" xfId="12047"/>
    <cellStyle name="Note 2 3 3 2 6 2 2" xfId="26369"/>
    <cellStyle name="Note 2 3 3 2 6 3" xfId="17692"/>
    <cellStyle name="Note 2 3 3 2 7" xfId="4905"/>
    <cellStyle name="Note 2 3 3 2 7 2" xfId="23258"/>
    <cellStyle name="Note 2 3 3 2 8" xfId="15515"/>
    <cellStyle name="Note 2 3 3 3" xfId="1894"/>
    <cellStyle name="Note 2 3 3 3 2" xfId="1895"/>
    <cellStyle name="Note 2 3 3 3 2 2" xfId="1896"/>
    <cellStyle name="Note 2 3 3 3 2 2 2" xfId="6940"/>
    <cellStyle name="Note 2 3 3 3 2 2 2 2" xfId="13544"/>
    <cellStyle name="Note 2 3 3 3 2 2 2 2 2" xfId="27866"/>
    <cellStyle name="Note 2 3 3 3 2 2 2 3" xfId="19189"/>
    <cellStyle name="Note 2 3 3 3 2 2 3" xfId="8045"/>
    <cellStyle name="Note 2 3 3 3 2 2 3 2" xfId="10659"/>
    <cellStyle name="Note 2 3 3 3 2 2 3 2 2" xfId="16921"/>
    <cellStyle name="Note 2 3 3 3 2 2 3 2 2 2" xfId="30337"/>
    <cellStyle name="Note 2 3 3 3 2 2 3 2 3" xfId="21666"/>
    <cellStyle name="Note 2 3 3 3 2 2 3 3" xfId="14649"/>
    <cellStyle name="Note 2 3 3 3 2 2 3 3 2" xfId="28971"/>
    <cellStyle name="Note 2 3 3 3 2 2 3 4" xfId="20294"/>
    <cellStyle name="Note 2 3 3 3 2 2 4" xfId="11433"/>
    <cellStyle name="Note 2 3 3 3 2 2 4 2" xfId="25755"/>
    <cellStyle name="Note 2 3 3 3 2 2 5" xfId="17022"/>
    <cellStyle name="Note 2 3 3 3 2 3" xfId="1897"/>
    <cellStyle name="Note 2 3 3 3 2 3 2" xfId="4257"/>
    <cellStyle name="Note 2 3 3 3 2 3 2 2" xfId="9437"/>
    <cellStyle name="Note 2 3 3 3 2 3 2 2 2" xfId="15699"/>
    <cellStyle name="Note 2 3 3 3 2 3 2 2 2 2" xfId="29115"/>
    <cellStyle name="Note 2 3 3 3 2 3 2 2 3" xfId="20444"/>
    <cellStyle name="Note 2 3 3 3 2 3 2 3" xfId="4284"/>
    <cellStyle name="Note 2 3 3 3 2 3 2 3 2" xfId="22869"/>
    <cellStyle name="Note 2 3 3 3 2 3 2 4" xfId="6505"/>
    <cellStyle name="Note 2 3 3 3 2 3 3" xfId="13338"/>
    <cellStyle name="Note 2 3 3 3 2 3 3 2" xfId="27660"/>
    <cellStyle name="Note 2 3 3 3 2 3 4" xfId="18983"/>
    <cellStyle name="Note 2 3 3 3 2 4" xfId="5788"/>
    <cellStyle name="Note 2 3 3 3 2 4 2" xfId="12341"/>
    <cellStyle name="Note 2 3 3 3 2 4 2 2" xfId="26663"/>
    <cellStyle name="Note 2 3 3 3 2 4 3" xfId="17986"/>
    <cellStyle name="Note 2 3 3 3 2 5" xfId="6718"/>
    <cellStyle name="Note 2 3 3 3 2 5 2" xfId="23672"/>
    <cellStyle name="Note 2 3 3 3 2 6" xfId="14724"/>
    <cellStyle name="Note 2 3 3 3 3" xfId="1898"/>
    <cellStyle name="Note 2 3 3 3 3 2" xfId="1899"/>
    <cellStyle name="Note 2 3 3 3 3 2 2" xfId="6041"/>
    <cellStyle name="Note 2 3 3 3 3 2 2 2" xfId="12605"/>
    <cellStyle name="Note 2 3 3 3 3 2 2 2 2" xfId="26927"/>
    <cellStyle name="Note 2 3 3 3 3 2 2 3" xfId="18250"/>
    <cellStyle name="Note 2 3 3 3 3 2 3" xfId="7196"/>
    <cellStyle name="Note 2 3 3 3 3 2 3 2" xfId="9810"/>
    <cellStyle name="Note 2 3 3 3 3 2 3 2 2" xfId="16072"/>
    <cellStyle name="Note 2 3 3 3 3 2 3 2 2 2" xfId="29488"/>
    <cellStyle name="Note 2 3 3 3 3 2 3 2 3" xfId="20817"/>
    <cellStyle name="Note 2 3 3 3 3 2 3 3" xfId="13800"/>
    <cellStyle name="Note 2 3 3 3 3 2 3 3 2" xfId="28122"/>
    <cellStyle name="Note 2 3 3 3 3 2 3 4" xfId="19445"/>
    <cellStyle name="Note 2 3 3 3 3 2 4" xfId="6689"/>
    <cellStyle name="Note 2 3 3 3 3 2 4 2" xfId="23656"/>
    <cellStyle name="Note 2 3 3 3 3 2 5" xfId="4951"/>
    <cellStyle name="Note 2 3 3 3 3 3" xfId="1900"/>
    <cellStyle name="Note 2 3 3 3 3 3 2" xfId="4985"/>
    <cellStyle name="Note 2 3 3 3 3 3 2 2" xfId="9531"/>
    <cellStyle name="Note 2 3 3 3 3 3 2 2 2" xfId="15793"/>
    <cellStyle name="Note 2 3 3 3 3 3 2 2 2 2" xfId="29209"/>
    <cellStyle name="Note 2 3 3 3 3 3 2 2 3" xfId="20538"/>
    <cellStyle name="Note 2 3 3 3 3 3 2 3" xfId="11528"/>
    <cellStyle name="Note 2 3 3 3 3 3 2 3 2" xfId="25850"/>
    <cellStyle name="Note 2 3 3 3 3 3 2 4" xfId="15278"/>
    <cellStyle name="Note 2 3 3 3 3 3 3" xfId="13373"/>
    <cellStyle name="Note 2 3 3 3 3 3 3 2" xfId="27695"/>
    <cellStyle name="Note 2 3 3 3 3 3 4" xfId="19018"/>
    <cellStyle name="Note 2 3 3 3 3 4" xfId="5825"/>
    <cellStyle name="Note 2 3 3 3 3 4 2" xfId="12378"/>
    <cellStyle name="Note 2 3 3 3 3 4 2 2" xfId="26700"/>
    <cellStyle name="Note 2 3 3 3 3 4 3" xfId="18023"/>
    <cellStyle name="Note 2 3 3 3 3 5" xfId="3911"/>
    <cellStyle name="Note 2 3 3 3 3 5 2" xfId="22641"/>
    <cellStyle name="Note 2 3 3 3 3 6" xfId="17015"/>
    <cellStyle name="Note 2 3 3 3 4" xfId="1901"/>
    <cellStyle name="Note 2 3 3 3 4 2" xfId="6893"/>
    <cellStyle name="Note 2 3 3 3 4 2 2" xfId="13497"/>
    <cellStyle name="Note 2 3 3 3 4 2 2 2" xfId="27819"/>
    <cellStyle name="Note 2 3 3 3 4 2 3" xfId="19142"/>
    <cellStyle name="Note 2 3 3 3 4 3" xfId="5318"/>
    <cellStyle name="Note 2 3 3 3 4 3 2" xfId="9627"/>
    <cellStyle name="Note 2 3 3 3 4 3 2 2" xfId="15889"/>
    <cellStyle name="Note 2 3 3 3 4 3 2 2 2" xfId="29305"/>
    <cellStyle name="Note 2 3 3 3 4 3 2 3" xfId="20634"/>
    <cellStyle name="Note 2 3 3 3 4 3 3" xfId="11868"/>
    <cellStyle name="Note 2 3 3 3 4 3 3 2" xfId="26190"/>
    <cellStyle name="Note 2 3 3 3 4 3 4" xfId="17513"/>
    <cellStyle name="Note 2 3 3 3 4 4" xfId="11370"/>
    <cellStyle name="Note 2 3 3 3 4 4 2" xfId="25692"/>
    <cellStyle name="Note 2 3 3 3 4 5" xfId="14794"/>
    <cellStyle name="Note 2 3 3 3 5" xfId="1902"/>
    <cellStyle name="Note 2 3 3 3 5 2" xfId="7755"/>
    <cellStyle name="Note 2 3 3 3 5 2 2" xfId="10369"/>
    <cellStyle name="Note 2 3 3 3 5 2 2 2" xfId="16631"/>
    <cellStyle name="Note 2 3 3 3 5 2 2 2 2" xfId="30047"/>
    <cellStyle name="Note 2 3 3 3 5 2 2 3" xfId="21376"/>
    <cellStyle name="Note 2 3 3 3 5 2 3" xfId="14359"/>
    <cellStyle name="Note 2 3 3 3 5 2 3 2" xfId="28681"/>
    <cellStyle name="Note 2 3 3 3 5 2 4" xfId="20004"/>
    <cellStyle name="Note 2 3 3 3 5 3" xfId="12914"/>
    <cellStyle name="Note 2 3 3 3 5 3 2" xfId="27236"/>
    <cellStyle name="Note 2 3 3 3 5 4" xfId="18559"/>
    <cellStyle name="Note 2 3 3 3 6" xfId="5538"/>
    <cellStyle name="Note 2 3 3 3 6 2" xfId="12089"/>
    <cellStyle name="Note 2 3 3 3 6 2 2" xfId="26411"/>
    <cellStyle name="Note 2 3 3 3 6 3" xfId="17734"/>
    <cellStyle name="Note 2 3 3 3 7" xfId="5950"/>
    <cellStyle name="Note 2 3 3 3 7 2" xfId="23380"/>
    <cellStyle name="Note 2 3 3 3 8" xfId="14927"/>
    <cellStyle name="Note 2 3 3 4" xfId="1903"/>
    <cellStyle name="Note 2 3 3 4 2" xfId="1904"/>
    <cellStyle name="Note 2 3 3 4 2 2" xfId="1905"/>
    <cellStyle name="Note 2 3 3 4 2 2 2" xfId="5924"/>
    <cellStyle name="Note 2 3 3 4 2 2 2 2" xfId="12479"/>
    <cellStyle name="Note 2 3 3 4 2 2 2 2 2" xfId="26801"/>
    <cellStyle name="Note 2 3 3 4 2 2 2 3" xfId="18124"/>
    <cellStyle name="Note 2 3 3 4 2 2 3" xfId="7333"/>
    <cellStyle name="Note 2 3 3 4 2 2 3 2" xfId="9947"/>
    <cellStyle name="Note 2 3 3 4 2 2 3 2 2" xfId="16209"/>
    <cellStyle name="Note 2 3 3 4 2 2 3 2 2 2" xfId="29625"/>
    <cellStyle name="Note 2 3 3 4 2 2 3 2 3" xfId="20954"/>
    <cellStyle name="Note 2 3 3 4 2 2 3 3" xfId="13937"/>
    <cellStyle name="Note 2 3 3 4 2 2 3 3 2" xfId="28259"/>
    <cellStyle name="Note 2 3 3 4 2 2 3 4" xfId="19582"/>
    <cellStyle name="Note 2 3 3 4 2 2 4" xfId="4875"/>
    <cellStyle name="Note 2 3 3 4 2 2 4 2" xfId="23238"/>
    <cellStyle name="Note 2 3 3 4 2 2 5" xfId="17210"/>
    <cellStyle name="Note 2 3 3 4 2 3" xfId="1906"/>
    <cellStyle name="Note 2 3 3 4 2 3 2" xfId="3980"/>
    <cellStyle name="Note 2 3 3 4 2 3 2 2" xfId="9405"/>
    <cellStyle name="Note 2 3 3 4 2 3 2 2 2" xfId="15667"/>
    <cellStyle name="Note 2 3 3 4 2 3 2 2 2 2" xfId="29083"/>
    <cellStyle name="Note 2 3 3 4 2 3 2 2 3" xfId="20412"/>
    <cellStyle name="Note 2 3 3 4 2 3 2 3" xfId="4052"/>
    <cellStyle name="Note 2 3 3 4 2 3 2 3 2" xfId="22728"/>
    <cellStyle name="Note 2 3 3 4 2 3 2 4" xfId="17046"/>
    <cellStyle name="Note 2 3 3 4 2 3 3" xfId="13237"/>
    <cellStyle name="Note 2 3 3 4 2 3 3 2" xfId="27559"/>
    <cellStyle name="Note 2 3 3 4 2 3 4" xfId="18882"/>
    <cellStyle name="Note 2 3 3 4 2 4" xfId="5678"/>
    <cellStyle name="Note 2 3 3 4 2 4 2" xfId="12231"/>
    <cellStyle name="Note 2 3 3 4 2 4 2 2" xfId="26553"/>
    <cellStyle name="Note 2 3 3 4 2 4 3" xfId="17876"/>
    <cellStyle name="Note 2 3 3 4 2 5" xfId="4845"/>
    <cellStyle name="Note 2 3 3 4 2 5 2" xfId="23219"/>
    <cellStyle name="Note 2 3 3 4 2 6" xfId="4103"/>
    <cellStyle name="Note 2 3 3 4 3" xfId="1907"/>
    <cellStyle name="Note 2 3 3 4 3 2" xfId="1908"/>
    <cellStyle name="Note 2 3 3 4 3 2 2" xfId="5909"/>
    <cellStyle name="Note 2 3 3 4 3 2 2 2" xfId="12463"/>
    <cellStyle name="Note 2 3 3 4 3 2 2 2 2" xfId="26785"/>
    <cellStyle name="Note 2 3 3 4 3 2 2 3" xfId="18108"/>
    <cellStyle name="Note 2 3 3 4 3 2 3" xfId="7613"/>
    <cellStyle name="Note 2 3 3 4 3 2 3 2" xfId="10227"/>
    <cellStyle name="Note 2 3 3 4 3 2 3 2 2" xfId="16489"/>
    <cellStyle name="Note 2 3 3 4 3 2 3 2 2 2" xfId="29905"/>
    <cellStyle name="Note 2 3 3 4 3 2 3 2 3" xfId="21234"/>
    <cellStyle name="Note 2 3 3 4 3 2 3 3" xfId="14217"/>
    <cellStyle name="Note 2 3 3 4 3 2 3 3 2" xfId="28539"/>
    <cellStyle name="Note 2 3 3 4 3 2 3 4" xfId="19862"/>
    <cellStyle name="Note 2 3 3 4 3 2 4" xfId="5721"/>
    <cellStyle name="Note 2 3 3 4 3 2 4 2" xfId="23362"/>
    <cellStyle name="Note 2 3 3 4 3 2 5" xfId="4719"/>
    <cellStyle name="Note 2 3 3 4 3 3" xfId="1909"/>
    <cellStyle name="Note 2 3 3 4 3 3 2" xfId="8067"/>
    <cellStyle name="Note 2 3 3 4 3 3 2 2" xfId="10681"/>
    <cellStyle name="Note 2 3 3 4 3 3 2 2 2" xfId="16943"/>
    <cellStyle name="Note 2 3 3 4 3 3 2 2 2 2" xfId="30359"/>
    <cellStyle name="Note 2 3 3 4 3 3 2 2 3" xfId="21688"/>
    <cellStyle name="Note 2 3 3 4 3 3 2 3" xfId="14671"/>
    <cellStyle name="Note 2 3 3 4 3 3 2 3 2" xfId="28993"/>
    <cellStyle name="Note 2 3 3 4 3 3 2 4" xfId="20316"/>
    <cellStyle name="Note 2 3 3 4 3 3 3" xfId="13044"/>
    <cellStyle name="Note 2 3 3 4 3 3 3 2" xfId="27366"/>
    <cellStyle name="Note 2 3 3 4 3 3 4" xfId="18689"/>
    <cellStyle name="Note 2 3 3 4 3 4" xfId="5363"/>
    <cellStyle name="Note 2 3 3 4 3 4 2" xfId="11913"/>
    <cellStyle name="Note 2 3 3 4 3 4 2 2" xfId="26235"/>
    <cellStyle name="Note 2 3 3 4 3 4 3" xfId="17558"/>
    <cellStyle name="Note 2 3 3 4 3 5" xfId="6792"/>
    <cellStyle name="Note 2 3 3 4 3 5 2" xfId="23735"/>
    <cellStyle name="Note 2 3 3 4 3 6" xfId="14716"/>
    <cellStyle name="Note 2 3 3 4 4" xfId="1910"/>
    <cellStyle name="Note 2 3 3 4 4 2" xfId="5916"/>
    <cellStyle name="Note 2 3 3 4 4 2 2" xfId="12471"/>
    <cellStyle name="Note 2 3 3 4 4 2 2 2" xfId="26793"/>
    <cellStyle name="Note 2 3 3 4 4 2 3" xfId="18116"/>
    <cellStyle name="Note 2 3 3 4 4 3" xfId="7690"/>
    <cellStyle name="Note 2 3 3 4 4 3 2" xfId="10304"/>
    <cellStyle name="Note 2 3 3 4 4 3 2 2" xfId="16566"/>
    <cellStyle name="Note 2 3 3 4 4 3 2 2 2" xfId="29982"/>
    <cellStyle name="Note 2 3 3 4 4 3 2 3" xfId="21311"/>
    <cellStyle name="Note 2 3 3 4 4 3 3" xfId="14294"/>
    <cellStyle name="Note 2 3 3 4 4 3 3 2" xfId="28616"/>
    <cellStyle name="Note 2 3 3 4 4 3 4" xfId="19939"/>
    <cellStyle name="Note 2 3 3 4 4 4" xfId="6713"/>
    <cellStyle name="Note 2 3 3 4 4 4 2" xfId="23668"/>
    <cellStyle name="Note 2 3 3 4 4 5" xfId="4701"/>
    <cellStyle name="Note 2 3 3 4 5" xfId="1911"/>
    <cellStyle name="Note 2 3 3 4 5 2" xfId="8064"/>
    <cellStyle name="Note 2 3 3 4 5 2 2" xfId="10678"/>
    <cellStyle name="Note 2 3 3 4 5 2 2 2" xfId="16940"/>
    <cellStyle name="Note 2 3 3 4 5 2 2 2 2" xfId="30356"/>
    <cellStyle name="Note 2 3 3 4 5 2 2 3" xfId="21685"/>
    <cellStyle name="Note 2 3 3 4 5 2 3" xfId="14668"/>
    <cellStyle name="Note 2 3 3 4 5 2 3 2" xfId="28990"/>
    <cellStyle name="Note 2 3 3 4 5 2 4" xfId="20313"/>
    <cellStyle name="Note 2 3 3 4 5 3" xfId="12677"/>
    <cellStyle name="Note 2 3 3 4 5 3 2" xfId="26999"/>
    <cellStyle name="Note 2 3 3 4 5 4" xfId="18322"/>
    <cellStyle name="Note 2 3 3 4 6" xfId="5225"/>
    <cellStyle name="Note 2 3 3 4 6 2" xfId="11775"/>
    <cellStyle name="Note 2 3 3 4 6 2 2" xfId="26097"/>
    <cellStyle name="Note 2 3 3 4 6 3" xfId="17420"/>
    <cellStyle name="Note 2 3 3 4 7" xfId="6068"/>
    <cellStyle name="Note 2 3 3 4 7 2" xfId="23405"/>
    <cellStyle name="Note 2 3 3 4 8" xfId="16958"/>
    <cellStyle name="Note 2 3 3 5" xfId="1912"/>
    <cellStyle name="Note 2 3 3 5 2" xfId="1913"/>
    <cellStyle name="Note 2 3 3 5 2 2" xfId="1914"/>
    <cellStyle name="Note 2 3 3 5 2 2 2" xfId="6431"/>
    <cellStyle name="Note 2 3 3 5 2 2 2 2" xfId="13014"/>
    <cellStyle name="Note 2 3 3 5 2 2 2 2 2" xfId="27336"/>
    <cellStyle name="Note 2 3 3 5 2 2 2 3" xfId="18659"/>
    <cellStyle name="Note 2 3 3 5 2 2 3" xfId="7873"/>
    <cellStyle name="Note 2 3 3 5 2 2 3 2" xfId="10487"/>
    <cellStyle name="Note 2 3 3 5 2 2 3 2 2" xfId="16749"/>
    <cellStyle name="Note 2 3 3 5 2 2 3 2 2 2" xfId="30165"/>
    <cellStyle name="Note 2 3 3 5 2 2 3 2 3" xfId="21494"/>
    <cellStyle name="Note 2 3 3 5 2 2 3 3" xfId="14477"/>
    <cellStyle name="Note 2 3 3 5 2 2 3 3 2" xfId="28799"/>
    <cellStyle name="Note 2 3 3 5 2 2 3 4" xfId="20122"/>
    <cellStyle name="Note 2 3 3 5 2 2 4" xfId="4344"/>
    <cellStyle name="Note 2 3 3 5 2 2 4 2" xfId="22899"/>
    <cellStyle name="Note 2 3 3 5 2 2 5" xfId="15360"/>
    <cellStyle name="Note 2 3 3 5 2 3" xfId="1915"/>
    <cellStyle name="Note 2 3 3 5 2 3 2" xfId="8004"/>
    <cellStyle name="Note 2 3 3 5 2 3 2 2" xfId="10618"/>
    <cellStyle name="Note 2 3 3 5 2 3 2 2 2" xfId="16880"/>
    <cellStyle name="Note 2 3 3 5 2 3 2 2 2 2" xfId="30296"/>
    <cellStyle name="Note 2 3 3 5 2 3 2 2 3" xfId="21625"/>
    <cellStyle name="Note 2 3 3 5 2 3 2 3" xfId="14608"/>
    <cellStyle name="Note 2 3 3 5 2 3 2 3 2" xfId="28930"/>
    <cellStyle name="Note 2 3 3 5 2 3 2 4" xfId="20253"/>
    <cellStyle name="Note 2 3 3 5 2 3 3" xfId="13087"/>
    <cellStyle name="Note 2 3 3 5 2 3 3 2" xfId="27409"/>
    <cellStyle name="Note 2 3 3 5 2 3 4" xfId="18732"/>
    <cellStyle name="Note 2 3 3 5 2 4" xfId="5442"/>
    <cellStyle name="Note 2 3 3 5 2 4 2" xfId="11993"/>
    <cellStyle name="Note 2 3 3 5 2 4 2 2" xfId="26315"/>
    <cellStyle name="Note 2 3 3 5 2 4 3" xfId="17638"/>
    <cellStyle name="Note 2 3 3 5 2 5" xfId="3471"/>
    <cellStyle name="Note 2 3 3 5 2 5 2" xfId="22472"/>
    <cellStyle name="Note 2 3 3 5 2 6" xfId="17122"/>
    <cellStyle name="Note 2 3 3 5 3" xfId="1916"/>
    <cellStyle name="Note 2 3 3 5 3 2" xfId="6465"/>
    <cellStyle name="Note 2 3 3 5 3 2 2" xfId="13048"/>
    <cellStyle name="Note 2 3 3 5 3 2 2 2" xfId="27370"/>
    <cellStyle name="Note 2 3 3 5 3 2 3" xfId="18693"/>
    <cellStyle name="Note 2 3 3 5 3 3" xfId="7397"/>
    <cellStyle name="Note 2 3 3 5 3 3 2" xfId="10011"/>
    <cellStyle name="Note 2 3 3 5 3 3 2 2" xfId="16273"/>
    <cellStyle name="Note 2 3 3 5 3 3 2 2 2" xfId="29689"/>
    <cellStyle name="Note 2 3 3 5 3 3 2 3" xfId="21018"/>
    <cellStyle name="Note 2 3 3 5 3 3 3" xfId="14001"/>
    <cellStyle name="Note 2 3 3 5 3 3 3 2" xfId="28323"/>
    <cellStyle name="Note 2 3 3 5 3 3 4" xfId="19646"/>
    <cellStyle name="Note 2 3 3 5 3 4" xfId="6786"/>
    <cellStyle name="Note 2 3 3 5 3 4 2" xfId="23730"/>
    <cellStyle name="Note 2 3 3 5 3 5" xfId="15379"/>
    <cellStyle name="Note 2 3 3 5 4" xfId="1917"/>
    <cellStyle name="Note 2 3 3 5 4 2" xfId="4408"/>
    <cellStyle name="Note 2 3 3 5 4 2 2" xfId="9462"/>
    <cellStyle name="Note 2 3 3 5 4 2 2 2" xfId="15724"/>
    <cellStyle name="Note 2 3 3 5 4 2 2 2 2" xfId="29140"/>
    <cellStyle name="Note 2 3 3 5 4 2 2 3" xfId="20469"/>
    <cellStyle name="Note 2 3 3 5 4 2 3" xfId="3677"/>
    <cellStyle name="Note 2 3 3 5 4 2 3 2" xfId="22522"/>
    <cellStyle name="Note 2 3 3 5 4 2 4" xfId="3846"/>
    <cellStyle name="Note 2 3 3 5 4 3" xfId="12834"/>
    <cellStyle name="Note 2 3 3 5 4 3 2" xfId="27156"/>
    <cellStyle name="Note 2 3 3 5 4 4" xfId="18479"/>
    <cellStyle name="Note 2 3 3 5 5" xfId="5405"/>
    <cellStyle name="Note 2 3 3 5 5 2" xfId="11955"/>
    <cellStyle name="Note 2 3 3 5 5 2 2" xfId="26277"/>
    <cellStyle name="Note 2 3 3 5 5 3" xfId="17600"/>
    <cellStyle name="Note 2 3 3 5 6" xfId="2838"/>
    <cellStyle name="Note 2 3 3 5 6 2" xfId="22401"/>
    <cellStyle name="Note 2 3 3 5 7" xfId="17092"/>
    <cellStyle name="Note 2 3 3 6" xfId="1918"/>
    <cellStyle name="Note 2 3 3 6 2" xfId="1919"/>
    <cellStyle name="Note 2 3 3 6 2 2" xfId="6907"/>
    <cellStyle name="Note 2 3 3 6 2 2 2" xfId="13511"/>
    <cellStyle name="Note 2 3 3 6 2 2 2 2" xfId="27833"/>
    <cellStyle name="Note 2 3 3 6 2 2 3" xfId="19156"/>
    <cellStyle name="Note 2 3 3 6 2 3" xfId="7355"/>
    <cellStyle name="Note 2 3 3 6 2 3 2" xfId="9969"/>
    <cellStyle name="Note 2 3 3 6 2 3 2 2" xfId="16231"/>
    <cellStyle name="Note 2 3 3 6 2 3 2 2 2" xfId="29647"/>
    <cellStyle name="Note 2 3 3 6 2 3 2 3" xfId="20976"/>
    <cellStyle name="Note 2 3 3 6 2 3 3" xfId="13959"/>
    <cellStyle name="Note 2 3 3 6 2 3 3 2" xfId="28281"/>
    <cellStyle name="Note 2 3 3 6 2 3 4" xfId="19604"/>
    <cellStyle name="Note 2 3 3 6 2 4" xfId="11392"/>
    <cellStyle name="Note 2 3 3 6 2 4 2" xfId="25714"/>
    <cellStyle name="Note 2 3 3 6 2 5" xfId="3289"/>
    <cellStyle name="Note 2 3 3 6 3" xfId="1920"/>
    <cellStyle name="Note 2 3 3 6 3 2" xfId="7496"/>
    <cellStyle name="Note 2 3 3 6 3 2 2" xfId="10110"/>
    <cellStyle name="Note 2 3 3 6 3 2 2 2" xfId="16372"/>
    <cellStyle name="Note 2 3 3 6 3 2 2 2 2" xfId="29788"/>
    <cellStyle name="Note 2 3 3 6 3 2 2 3" xfId="21117"/>
    <cellStyle name="Note 2 3 3 6 3 2 3" xfId="14100"/>
    <cellStyle name="Note 2 3 3 6 3 2 3 2" xfId="28422"/>
    <cellStyle name="Note 2 3 3 6 3 2 4" xfId="19745"/>
    <cellStyle name="Note 2 3 3 6 3 3" xfId="13114"/>
    <cellStyle name="Note 2 3 3 6 3 3 2" xfId="27436"/>
    <cellStyle name="Note 2 3 3 6 3 4" xfId="18759"/>
    <cellStyle name="Note 2 3 3 6 4" xfId="5482"/>
    <cellStyle name="Note 2 3 3 6 4 2" xfId="12033"/>
    <cellStyle name="Note 2 3 3 6 4 2 2" xfId="26355"/>
    <cellStyle name="Note 2 3 3 6 4 3" xfId="17678"/>
    <cellStyle name="Note 2 3 3 6 5" xfId="2831"/>
    <cellStyle name="Note 2 3 3 6 5 2" xfId="22394"/>
    <cellStyle name="Note 2 3 3 6 6" xfId="4025"/>
    <cellStyle name="Note 2 3 3 7" xfId="1921"/>
    <cellStyle name="Note 2 3 3 7 2" xfId="6442"/>
    <cellStyle name="Note 2 3 3 7 2 2" xfId="13025"/>
    <cellStyle name="Note 2 3 3 7 2 2 2" xfId="27347"/>
    <cellStyle name="Note 2 3 3 7 2 3" xfId="18670"/>
    <cellStyle name="Note 2 3 3 7 3" xfId="7248"/>
    <cellStyle name="Note 2 3 3 7 3 2" xfId="9862"/>
    <cellStyle name="Note 2 3 3 7 3 2 2" xfId="16124"/>
    <cellStyle name="Note 2 3 3 7 3 2 2 2" xfId="29540"/>
    <cellStyle name="Note 2 3 3 7 3 2 3" xfId="20869"/>
    <cellStyle name="Note 2 3 3 7 3 3" xfId="13852"/>
    <cellStyle name="Note 2 3 3 7 3 3 2" xfId="28174"/>
    <cellStyle name="Note 2 3 3 7 3 4" xfId="19497"/>
    <cellStyle name="Note 2 3 3 7 4" xfId="6686"/>
    <cellStyle name="Note 2 3 3 7 4 2" xfId="23654"/>
    <cellStyle name="Note 2 3 3 7 5" xfId="17088"/>
    <cellStyle name="Note 2 3 3 8" xfId="1922"/>
    <cellStyle name="Note 2 3 3 8 2" xfId="7384"/>
    <cellStyle name="Note 2 3 3 8 2 2" xfId="9998"/>
    <cellStyle name="Note 2 3 3 8 2 2 2" xfId="16260"/>
    <cellStyle name="Note 2 3 3 8 2 2 2 2" xfId="29676"/>
    <cellStyle name="Note 2 3 3 8 2 2 3" xfId="21005"/>
    <cellStyle name="Note 2 3 3 8 2 3" xfId="13988"/>
    <cellStyle name="Note 2 3 3 8 2 3 2" xfId="28310"/>
    <cellStyle name="Note 2 3 3 8 2 4" xfId="19633"/>
    <cellStyle name="Note 2 3 3 8 3" xfId="12602"/>
    <cellStyle name="Note 2 3 3 8 3 2" xfId="26924"/>
    <cellStyle name="Note 2 3 3 8 4" xfId="18247"/>
    <cellStyle name="Note 2 3 3 9" xfId="5203"/>
    <cellStyle name="Note 2 3 3 9 2" xfId="11752"/>
    <cellStyle name="Note 2 3 3 9 2 2" xfId="26074"/>
    <cellStyle name="Note 2 3 3 9 3" xfId="3651"/>
    <cellStyle name="Note 2 3 4" xfId="1923"/>
    <cellStyle name="Note 2 3 4 2" xfId="1924"/>
    <cellStyle name="Note 2 3 4 2 2" xfId="1925"/>
    <cellStyle name="Note 2 3 4 2 2 2" xfId="5616"/>
    <cellStyle name="Note 2 3 4 2 2 2 2" xfId="12169"/>
    <cellStyle name="Note 2 3 4 2 2 2 2 2" xfId="26491"/>
    <cellStyle name="Note 2 3 4 2 2 2 3" xfId="17814"/>
    <cellStyle name="Note 2 3 4 2 2 3" xfId="7186"/>
    <cellStyle name="Note 2 3 4 2 2 3 2" xfId="9800"/>
    <cellStyle name="Note 2 3 4 2 2 3 2 2" xfId="16062"/>
    <cellStyle name="Note 2 3 4 2 2 3 2 2 2" xfId="29478"/>
    <cellStyle name="Note 2 3 4 2 2 3 2 3" xfId="20807"/>
    <cellStyle name="Note 2 3 4 2 2 3 3" xfId="13790"/>
    <cellStyle name="Note 2 3 4 2 2 3 3 2" xfId="28112"/>
    <cellStyle name="Note 2 3 4 2 2 3 4" xfId="19435"/>
    <cellStyle name="Note 2 3 4 2 2 4" xfId="4232"/>
    <cellStyle name="Note 2 3 4 2 2 4 2" xfId="22842"/>
    <cellStyle name="Note 2 3 4 2 2 5" xfId="5018"/>
    <cellStyle name="Note 2 3 4 2 3" xfId="1926"/>
    <cellStyle name="Note 2 3 4 2 3 2" xfId="7573"/>
    <cellStyle name="Note 2 3 4 2 3 2 2" xfId="10187"/>
    <cellStyle name="Note 2 3 4 2 3 2 2 2" xfId="16449"/>
    <cellStyle name="Note 2 3 4 2 3 2 2 2 2" xfId="29865"/>
    <cellStyle name="Note 2 3 4 2 3 2 2 3" xfId="21194"/>
    <cellStyle name="Note 2 3 4 2 3 2 3" xfId="14177"/>
    <cellStyle name="Note 2 3 4 2 3 2 3 2" xfId="28499"/>
    <cellStyle name="Note 2 3 4 2 3 2 4" xfId="19822"/>
    <cellStyle name="Note 2 3 4 2 3 3" xfId="13222"/>
    <cellStyle name="Note 2 3 4 2 3 3 2" xfId="27544"/>
    <cellStyle name="Note 2 3 4 2 3 4" xfId="18867"/>
    <cellStyle name="Note 2 3 4 2 4" xfId="5663"/>
    <cellStyle name="Note 2 3 4 2 4 2" xfId="12216"/>
    <cellStyle name="Note 2 3 4 2 4 2 2" xfId="26538"/>
    <cellStyle name="Note 2 3 4 2 4 3" xfId="17861"/>
    <cellStyle name="Note 2 3 4 2 5" xfId="4180"/>
    <cellStyle name="Note 2 3 4 2 5 2" xfId="22802"/>
    <cellStyle name="Note 2 3 4 2 6" xfId="4949"/>
    <cellStyle name="Note 2 3 4 3" xfId="1927"/>
    <cellStyle name="Note 2 3 4 3 2" xfId="1928"/>
    <cellStyle name="Note 2 3 4 3 2 2" xfId="6020"/>
    <cellStyle name="Note 2 3 4 3 2 2 2" xfId="12580"/>
    <cellStyle name="Note 2 3 4 3 2 2 2 2" xfId="26902"/>
    <cellStyle name="Note 2 3 4 3 2 2 3" xfId="18225"/>
    <cellStyle name="Note 2 3 4 3 2 3" xfId="7717"/>
    <cellStyle name="Note 2 3 4 3 2 3 2" xfId="10331"/>
    <cellStyle name="Note 2 3 4 3 2 3 2 2" xfId="16593"/>
    <cellStyle name="Note 2 3 4 3 2 3 2 2 2" xfId="30009"/>
    <cellStyle name="Note 2 3 4 3 2 3 2 3" xfId="21338"/>
    <cellStyle name="Note 2 3 4 3 2 3 3" xfId="14321"/>
    <cellStyle name="Note 2 3 4 3 2 3 3 2" xfId="28643"/>
    <cellStyle name="Note 2 3 4 3 2 3 4" xfId="19966"/>
    <cellStyle name="Note 2 3 4 3 2 4" xfId="4368"/>
    <cellStyle name="Note 2 3 4 3 2 4 2" xfId="22910"/>
    <cellStyle name="Note 2 3 4 3 2 5" xfId="15274"/>
    <cellStyle name="Note 2 3 4 3 3" xfId="1929"/>
    <cellStyle name="Note 2 3 4 3 3 2" xfId="7097"/>
    <cellStyle name="Note 2 3 4 3 3 2 2" xfId="9711"/>
    <cellStyle name="Note 2 3 4 3 3 2 2 2" xfId="15973"/>
    <cellStyle name="Note 2 3 4 3 3 2 2 2 2" xfId="29389"/>
    <cellStyle name="Note 2 3 4 3 3 2 2 3" xfId="20718"/>
    <cellStyle name="Note 2 3 4 3 3 2 3" xfId="13701"/>
    <cellStyle name="Note 2 3 4 3 3 2 3 2" xfId="28023"/>
    <cellStyle name="Note 2 3 4 3 3 2 4" xfId="19346"/>
    <cellStyle name="Note 2 3 4 3 3 3" xfId="13416"/>
    <cellStyle name="Note 2 3 4 3 3 3 2" xfId="27738"/>
    <cellStyle name="Note 2 3 4 3 3 4" xfId="19061"/>
    <cellStyle name="Note 2 3 4 3 4" xfId="5885"/>
    <cellStyle name="Note 2 3 4 3 4 2" xfId="12438"/>
    <cellStyle name="Note 2 3 4 3 4 2 2" xfId="26760"/>
    <cellStyle name="Note 2 3 4 3 4 3" xfId="18083"/>
    <cellStyle name="Note 2 3 4 3 5" xfId="4959"/>
    <cellStyle name="Note 2 3 4 3 5 2" xfId="23281"/>
    <cellStyle name="Note 2 3 4 3 6" xfId="15415"/>
    <cellStyle name="Note 2 3 4 4" xfId="1930"/>
    <cellStyle name="Note 2 3 4 4 2" xfId="6470"/>
    <cellStyle name="Note 2 3 4 4 2 2" xfId="13053"/>
    <cellStyle name="Note 2 3 4 4 2 2 2" xfId="27375"/>
    <cellStyle name="Note 2 3 4 4 2 3" xfId="18698"/>
    <cellStyle name="Note 2 3 4 4 3" xfId="7402"/>
    <cellStyle name="Note 2 3 4 4 3 2" xfId="10016"/>
    <cellStyle name="Note 2 3 4 4 3 2 2" xfId="16278"/>
    <cellStyle name="Note 2 3 4 4 3 2 2 2" xfId="29694"/>
    <cellStyle name="Note 2 3 4 4 3 2 3" xfId="21023"/>
    <cellStyle name="Note 2 3 4 4 3 3" xfId="14006"/>
    <cellStyle name="Note 2 3 4 4 3 3 2" xfId="28328"/>
    <cellStyle name="Note 2 3 4 4 3 4" xfId="19651"/>
    <cellStyle name="Note 2 3 4 4 4" xfId="4964"/>
    <cellStyle name="Note 2 3 4 4 4 2" xfId="23285"/>
    <cellStyle name="Note 2 3 4 4 5" xfId="17146"/>
    <cellStyle name="Note 2 3 4 5" xfId="1931"/>
    <cellStyle name="Note 2 3 4 5 2" xfId="7305"/>
    <cellStyle name="Note 2 3 4 5 2 2" xfId="9919"/>
    <cellStyle name="Note 2 3 4 5 2 2 2" xfId="16181"/>
    <cellStyle name="Note 2 3 4 5 2 2 2 2" xfId="29597"/>
    <cellStyle name="Note 2 3 4 5 2 2 3" xfId="20926"/>
    <cellStyle name="Note 2 3 4 5 2 3" xfId="13909"/>
    <cellStyle name="Note 2 3 4 5 2 3 2" xfId="28231"/>
    <cellStyle name="Note 2 3 4 5 2 4" xfId="19554"/>
    <cellStyle name="Note 2 3 4 5 3" xfId="12542"/>
    <cellStyle name="Note 2 3 4 5 3 2" xfId="26864"/>
    <cellStyle name="Note 2 3 4 5 4" xfId="18187"/>
    <cellStyle name="Note 2 3 4 6" xfId="5136"/>
    <cellStyle name="Note 2 3 4 6 2" xfId="11685"/>
    <cellStyle name="Note 2 3 4 6 2 2" xfId="26007"/>
    <cellStyle name="Note 2 3 4 6 3" xfId="4974"/>
    <cellStyle name="Note 2 3 4 7" xfId="3269"/>
    <cellStyle name="Note 2 3 4 7 2" xfId="22453"/>
    <cellStyle name="Note 2 3 4 8" xfId="14691"/>
    <cellStyle name="Note 2 3 5" xfId="1932"/>
    <cellStyle name="Note 2 3 5 2" xfId="1933"/>
    <cellStyle name="Note 2 3 5 2 2" xfId="1934"/>
    <cellStyle name="Note 2 3 5 2 2 2" xfId="6231"/>
    <cellStyle name="Note 2 3 5 2 2 2 2" xfId="12806"/>
    <cellStyle name="Note 2 3 5 2 2 2 2 2" xfId="27128"/>
    <cellStyle name="Note 2 3 5 2 2 2 3" xfId="18451"/>
    <cellStyle name="Note 2 3 5 2 2 3" xfId="7207"/>
    <cellStyle name="Note 2 3 5 2 2 3 2" xfId="9821"/>
    <cellStyle name="Note 2 3 5 2 2 3 2 2" xfId="16083"/>
    <cellStyle name="Note 2 3 5 2 2 3 2 2 2" xfId="29499"/>
    <cellStyle name="Note 2 3 5 2 2 3 2 3" xfId="20828"/>
    <cellStyle name="Note 2 3 5 2 2 3 3" xfId="13811"/>
    <cellStyle name="Note 2 3 5 2 2 3 3 2" xfId="28133"/>
    <cellStyle name="Note 2 3 5 2 2 3 4" xfId="19456"/>
    <cellStyle name="Note 2 3 5 2 2 4" xfId="4983"/>
    <cellStyle name="Note 2 3 5 2 2 4 2" xfId="23293"/>
    <cellStyle name="Note 2 3 5 2 2 5" xfId="15199"/>
    <cellStyle name="Note 2 3 5 2 3" xfId="1935"/>
    <cellStyle name="Note 2 3 5 2 3 2" xfId="7772"/>
    <cellStyle name="Note 2 3 5 2 3 2 2" xfId="10386"/>
    <cellStyle name="Note 2 3 5 2 3 2 2 2" xfId="16648"/>
    <cellStyle name="Note 2 3 5 2 3 2 2 2 2" xfId="30064"/>
    <cellStyle name="Note 2 3 5 2 3 2 2 3" xfId="21393"/>
    <cellStyle name="Note 2 3 5 2 3 2 3" xfId="14376"/>
    <cellStyle name="Note 2 3 5 2 3 2 3 2" xfId="28698"/>
    <cellStyle name="Note 2 3 5 2 3 2 4" xfId="20021"/>
    <cellStyle name="Note 2 3 5 2 3 3" xfId="12522"/>
    <cellStyle name="Note 2 3 5 2 3 3 2" xfId="26844"/>
    <cellStyle name="Note 2 3 5 2 3 4" xfId="18167"/>
    <cellStyle name="Note 2 3 5 2 4" xfId="4114"/>
    <cellStyle name="Note 2 3 5 2 4 2" xfId="3909"/>
    <cellStyle name="Note 2 3 5 2 4 2 2" xfId="22640"/>
    <cellStyle name="Note 2 3 5 2 4 3" xfId="15111"/>
    <cellStyle name="Note 2 3 5 2 5" xfId="4882"/>
    <cellStyle name="Note 2 3 5 2 5 2" xfId="23242"/>
    <cellStyle name="Note 2 3 5 2 6" xfId="14904"/>
    <cellStyle name="Note 2 3 5 3" xfId="1936"/>
    <cellStyle name="Note 2 3 5 3 2" xfId="1937"/>
    <cellStyle name="Note 2 3 5 3 2 2" xfId="7023"/>
    <cellStyle name="Note 2 3 5 3 2 2 2" xfId="13627"/>
    <cellStyle name="Note 2 3 5 3 2 2 2 2" xfId="27949"/>
    <cellStyle name="Note 2 3 5 3 2 2 3" xfId="19272"/>
    <cellStyle name="Note 2 3 5 3 2 3" xfId="4853"/>
    <cellStyle name="Note 2 3 5 3 2 3 2" xfId="9503"/>
    <cellStyle name="Note 2 3 5 3 2 3 2 2" xfId="15765"/>
    <cellStyle name="Note 2 3 5 3 2 3 2 2 2" xfId="29181"/>
    <cellStyle name="Note 2 3 5 3 2 3 2 3" xfId="20510"/>
    <cellStyle name="Note 2 3 5 3 2 3 3" xfId="11387"/>
    <cellStyle name="Note 2 3 5 3 2 3 3 2" xfId="25709"/>
    <cellStyle name="Note 2 3 5 3 2 3 4" xfId="16966"/>
    <cellStyle name="Note 2 3 5 3 2 4" xfId="11558"/>
    <cellStyle name="Note 2 3 5 3 2 4 2" xfId="25880"/>
    <cellStyle name="Note 2 3 5 3 2 5" xfId="5566"/>
    <cellStyle name="Note 2 3 5 3 3" xfId="1938"/>
    <cellStyle name="Note 2 3 5 3 3 2" xfId="7763"/>
    <cellStyle name="Note 2 3 5 3 3 2 2" xfId="10377"/>
    <cellStyle name="Note 2 3 5 3 3 2 2 2" xfId="16639"/>
    <cellStyle name="Note 2 3 5 3 3 2 2 2 2" xfId="30055"/>
    <cellStyle name="Note 2 3 5 3 3 2 2 3" xfId="21384"/>
    <cellStyle name="Note 2 3 5 3 3 2 3" xfId="14367"/>
    <cellStyle name="Note 2 3 5 3 3 2 3 2" xfId="28689"/>
    <cellStyle name="Note 2 3 5 3 3 2 4" xfId="20012"/>
    <cellStyle name="Note 2 3 5 3 3 3" xfId="12610"/>
    <cellStyle name="Note 2 3 5 3 3 3 2" xfId="26932"/>
    <cellStyle name="Note 2 3 5 3 3 4" xfId="18255"/>
    <cellStyle name="Note 2 3 5 3 4" xfId="5158"/>
    <cellStyle name="Note 2 3 5 3 4 2" xfId="11707"/>
    <cellStyle name="Note 2 3 5 3 4 2 2" xfId="26029"/>
    <cellStyle name="Note 2 3 5 3 4 3" xfId="6291"/>
    <cellStyle name="Note 2 3 5 3 5" xfId="4343"/>
    <cellStyle name="Note 2 3 5 3 5 2" xfId="22898"/>
    <cellStyle name="Note 2 3 5 3 6" xfId="17006"/>
    <cellStyle name="Note 2 3 5 4" xfId="1939"/>
    <cellStyle name="Note 2 3 5 4 2" xfId="6029"/>
    <cellStyle name="Note 2 3 5 4 2 2" xfId="12590"/>
    <cellStyle name="Note 2 3 5 4 2 2 2" xfId="26912"/>
    <cellStyle name="Note 2 3 5 4 2 3" xfId="18235"/>
    <cellStyle name="Note 2 3 5 4 3" xfId="3740"/>
    <cellStyle name="Note 2 3 5 4 3 2" xfId="9365"/>
    <cellStyle name="Note 2 3 5 4 3 2 2" xfId="15627"/>
    <cellStyle name="Note 2 3 5 4 3 2 2 2" xfId="29043"/>
    <cellStyle name="Note 2 3 5 4 3 2 3" xfId="20372"/>
    <cellStyle name="Note 2 3 5 4 3 3" xfId="4494"/>
    <cellStyle name="Note 2 3 5 4 3 3 2" xfId="22987"/>
    <cellStyle name="Note 2 3 5 4 3 4" xfId="17393"/>
    <cellStyle name="Note 2 3 5 4 4" xfId="6653"/>
    <cellStyle name="Note 2 3 5 4 4 2" xfId="23630"/>
    <cellStyle name="Note 2 3 5 4 5" xfId="17298"/>
    <cellStyle name="Note 2 3 5 5" xfId="1940"/>
    <cellStyle name="Note 2 3 5 5 2" xfId="3666"/>
    <cellStyle name="Note 2 3 5 5 2 2" xfId="9357"/>
    <cellStyle name="Note 2 3 5 5 2 2 2" xfId="15619"/>
    <cellStyle name="Note 2 3 5 5 2 2 2 2" xfId="29035"/>
    <cellStyle name="Note 2 3 5 5 2 2 3" xfId="20364"/>
    <cellStyle name="Note 2 3 5 5 2 3" xfId="4775"/>
    <cellStyle name="Note 2 3 5 5 2 3 2" xfId="23181"/>
    <cellStyle name="Note 2 3 5 5 2 4" xfId="15150"/>
    <cellStyle name="Note 2 3 5 5 3" xfId="11655"/>
    <cellStyle name="Note 2 3 5 5 3 2" xfId="25977"/>
    <cellStyle name="Note 2 3 5 5 4" xfId="3702"/>
    <cellStyle name="Note 2 3 5 6" xfId="5104"/>
    <cellStyle name="Note 2 3 5 6 2" xfId="11651"/>
    <cellStyle name="Note 2 3 5 6 2 2" xfId="25973"/>
    <cellStyle name="Note 2 3 5 6 3" xfId="15120"/>
    <cellStyle name="Note 2 3 5 7" xfId="4786"/>
    <cellStyle name="Note 2 3 5 7 2" xfId="23186"/>
    <cellStyle name="Note 2 3 5 8" xfId="17011"/>
    <cellStyle name="Note 2 3 6" xfId="1941"/>
    <cellStyle name="Note 2 3 6 2" xfId="1942"/>
    <cellStyle name="Note 2 3 6 2 2" xfId="1943"/>
    <cellStyle name="Note 2 3 6 2 2 2" xfId="6994"/>
    <cellStyle name="Note 2 3 6 2 2 2 2" xfId="13598"/>
    <cellStyle name="Note 2 3 6 2 2 2 2 2" xfId="27920"/>
    <cellStyle name="Note 2 3 6 2 2 2 3" xfId="19243"/>
    <cellStyle name="Note 2 3 6 2 2 3" xfId="7775"/>
    <cellStyle name="Note 2 3 6 2 2 3 2" xfId="10389"/>
    <cellStyle name="Note 2 3 6 2 2 3 2 2" xfId="16651"/>
    <cellStyle name="Note 2 3 6 2 2 3 2 2 2" xfId="30067"/>
    <cellStyle name="Note 2 3 6 2 2 3 2 3" xfId="21396"/>
    <cellStyle name="Note 2 3 6 2 2 3 3" xfId="14379"/>
    <cellStyle name="Note 2 3 6 2 2 3 3 2" xfId="28701"/>
    <cellStyle name="Note 2 3 6 2 2 3 4" xfId="20024"/>
    <cellStyle name="Note 2 3 6 2 2 4" xfId="11508"/>
    <cellStyle name="Note 2 3 6 2 2 4 2" xfId="25830"/>
    <cellStyle name="Note 2 3 6 2 2 5" xfId="15300"/>
    <cellStyle name="Note 2 3 6 2 3" xfId="1944"/>
    <cellStyle name="Note 2 3 6 2 3 2" xfId="7946"/>
    <cellStyle name="Note 2 3 6 2 3 2 2" xfId="10560"/>
    <cellStyle name="Note 2 3 6 2 3 2 2 2" xfId="16822"/>
    <cellStyle name="Note 2 3 6 2 3 2 2 2 2" xfId="30238"/>
    <cellStyle name="Note 2 3 6 2 3 2 2 3" xfId="21567"/>
    <cellStyle name="Note 2 3 6 2 3 2 3" xfId="14550"/>
    <cellStyle name="Note 2 3 6 2 3 2 3 2" xfId="28872"/>
    <cellStyle name="Note 2 3 6 2 3 2 4" xfId="20195"/>
    <cellStyle name="Note 2 3 6 2 3 3" xfId="13207"/>
    <cellStyle name="Note 2 3 6 2 3 3 2" xfId="27529"/>
    <cellStyle name="Note 2 3 6 2 3 4" xfId="18852"/>
    <cellStyle name="Note 2 3 6 2 4" xfId="5646"/>
    <cellStyle name="Note 2 3 6 2 4 2" xfId="12199"/>
    <cellStyle name="Note 2 3 6 2 4 2 2" xfId="26521"/>
    <cellStyle name="Note 2 3 6 2 4 3" xfId="17844"/>
    <cellStyle name="Note 2 3 6 2 5" xfId="6788"/>
    <cellStyle name="Note 2 3 6 2 5 2" xfId="23732"/>
    <cellStyle name="Note 2 3 6 2 6" xfId="4620"/>
    <cellStyle name="Note 2 3 6 3" xfId="1945"/>
    <cellStyle name="Note 2 3 6 3 2" xfId="1946"/>
    <cellStyle name="Note 2 3 6 3 2 2" xfId="6849"/>
    <cellStyle name="Note 2 3 6 3 2 2 2" xfId="13453"/>
    <cellStyle name="Note 2 3 6 3 2 2 2 2" xfId="27775"/>
    <cellStyle name="Note 2 3 6 3 2 2 3" xfId="19098"/>
    <cellStyle name="Note 2 3 6 3 2 3" xfId="7108"/>
    <cellStyle name="Note 2 3 6 3 2 3 2" xfId="9722"/>
    <cellStyle name="Note 2 3 6 3 2 3 2 2" xfId="15984"/>
    <cellStyle name="Note 2 3 6 3 2 3 2 2 2" xfId="29400"/>
    <cellStyle name="Note 2 3 6 3 2 3 2 3" xfId="20729"/>
    <cellStyle name="Note 2 3 6 3 2 3 3" xfId="13712"/>
    <cellStyle name="Note 2 3 6 3 2 3 3 2" xfId="28034"/>
    <cellStyle name="Note 2 3 6 3 2 3 4" xfId="19357"/>
    <cellStyle name="Note 2 3 6 3 2 4" xfId="2806"/>
    <cellStyle name="Note 2 3 6 3 2 4 2" xfId="22369"/>
    <cellStyle name="Note 2 3 6 3 2 5" xfId="15359"/>
    <cellStyle name="Note 2 3 6 3 3" xfId="1947"/>
    <cellStyle name="Note 2 3 6 3 3 2" xfId="4806"/>
    <cellStyle name="Note 2 3 6 3 3 2 2" xfId="9491"/>
    <cellStyle name="Note 2 3 6 3 3 2 2 2" xfId="15753"/>
    <cellStyle name="Note 2 3 6 3 3 2 2 2 2" xfId="29169"/>
    <cellStyle name="Note 2 3 6 3 3 2 2 3" xfId="20498"/>
    <cellStyle name="Note 2 3 6 3 3 2 3" xfId="11337"/>
    <cellStyle name="Note 2 3 6 3 3 2 3 2" xfId="25659"/>
    <cellStyle name="Note 2 3 6 3 3 2 4" xfId="15099"/>
    <cellStyle name="Note 2 3 6 3 3 3" xfId="13054"/>
    <cellStyle name="Note 2 3 6 3 3 3 2" xfId="27376"/>
    <cellStyle name="Note 2 3 6 3 3 4" xfId="18699"/>
    <cellStyle name="Note 2 3 6 3 4" xfId="5382"/>
    <cellStyle name="Note 2 3 6 3 4 2" xfId="11932"/>
    <cellStyle name="Note 2 3 6 3 4 2 2" xfId="26254"/>
    <cellStyle name="Note 2 3 6 3 4 3" xfId="17577"/>
    <cellStyle name="Note 2 3 6 3 5" xfId="6508"/>
    <cellStyle name="Note 2 3 6 3 5 2" xfId="23575"/>
    <cellStyle name="Note 2 3 6 3 6" xfId="14877"/>
    <cellStyle name="Note 2 3 6 4" xfId="1948"/>
    <cellStyle name="Note 2 3 6 4 2" xfId="6040"/>
    <cellStyle name="Note 2 3 6 4 2 2" xfId="12604"/>
    <cellStyle name="Note 2 3 6 4 2 2 2" xfId="26926"/>
    <cellStyle name="Note 2 3 6 4 2 3" xfId="18249"/>
    <cellStyle name="Note 2 3 6 4 3" xfId="7220"/>
    <cellStyle name="Note 2 3 6 4 3 2" xfId="9834"/>
    <cellStyle name="Note 2 3 6 4 3 2 2" xfId="16096"/>
    <cellStyle name="Note 2 3 6 4 3 2 2 2" xfId="29512"/>
    <cellStyle name="Note 2 3 6 4 3 2 3" xfId="20841"/>
    <cellStyle name="Note 2 3 6 4 3 3" xfId="13824"/>
    <cellStyle name="Note 2 3 6 4 3 3 2" xfId="28146"/>
    <cellStyle name="Note 2 3 6 4 3 4" xfId="19469"/>
    <cellStyle name="Note 2 3 6 4 4" xfId="4484"/>
    <cellStyle name="Note 2 3 6 4 4 2" xfId="22981"/>
    <cellStyle name="Note 2 3 6 4 5" xfId="15582"/>
    <cellStyle name="Note 2 3 6 5" xfId="1949"/>
    <cellStyle name="Note 2 3 6 5 2" xfId="7272"/>
    <cellStyle name="Note 2 3 6 5 2 2" xfId="9886"/>
    <cellStyle name="Note 2 3 6 5 2 2 2" xfId="16148"/>
    <cellStyle name="Note 2 3 6 5 2 2 2 2" xfId="29564"/>
    <cellStyle name="Note 2 3 6 5 2 2 3" xfId="20893"/>
    <cellStyle name="Note 2 3 6 5 2 3" xfId="13876"/>
    <cellStyle name="Note 2 3 6 5 2 3 2" xfId="28198"/>
    <cellStyle name="Note 2 3 6 5 2 4" xfId="19521"/>
    <cellStyle name="Note 2 3 6 5 3" xfId="12490"/>
    <cellStyle name="Note 2 3 6 5 3 2" xfId="26812"/>
    <cellStyle name="Note 2 3 6 5 4" xfId="18135"/>
    <cellStyle name="Note 2 3 6 6" xfId="5075"/>
    <cellStyle name="Note 2 3 6 6 2" xfId="11622"/>
    <cellStyle name="Note 2 3 6 6 2 2" xfId="25944"/>
    <cellStyle name="Note 2 3 6 6 3" xfId="3612"/>
    <cellStyle name="Note 2 3 6 7" xfId="4836"/>
    <cellStyle name="Note 2 3 6 7 2" xfId="23213"/>
    <cellStyle name="Note 2 3 6 8" xfId="15292"/>
    <cellStyle name="Note 2 3 7" xfId="1950"/>
    <cellStyle name="Note 2 3 7 2" xfId="1951"/>
    <cellStyle name="Note 2 3 7 2 2" xfId="1952"/>
    <cellStyle name="Note 2 3 7 2 2 2" xfId="3468"/>
    <cellStyle name="Note 2 3 7 2 2 2 2" xfId="3242"/>
    <cellStyle name="Note 2 3 7 2 2 2 2 2" xfId="22440"/>
    <cellStyle name="Note 2 3 7 2 2 2 3" xfId="14838"/>
    <cellStyle name="Note 2 3 7 2 2 3" xfId="7738"/>
    <cellStyle name="Note 2 3 7 2 2 3 2" xfId="10352"/>
    <cellStyle name="Note 2 3 7 2 2 3 2 2" xfId="16614"/>
    <cellStyle name="Note 2 3 7 2 2 3 2 2 2" xfId="30030"/>
    <cellStyle name="Note 2 3 7 2 2 3 2 3" xfId="21359"/>
    <cellStyle name="Note 2 3 7 2 2 3 3" xfId="14342"/>
    <cellStyle name="Note 2 3 7 2 2 3 3 2" xfId="28664"/>
    <cellStyle name="Note 2 3 7 2 2 3 4" xfId="19987"/>
    <cellStyle name="Note 2 3 7 2 2 4" xfId="6330"/>
    <cellStyle name="Note 2 3 7 2 2 4 2" xfId="23519"/>
    <cellStyle name="Note 2 3 7 2 2 5" xfId="4149"/>
    <cellStyle name="Note 2 3 7 2 3" xfId="1953"/>
    <cellStyle name="Note 2 3 7 2 3 2" xfId="7083"/>
    <cellStyle name="Note 2 3 7 2 3 2 2" xfId="9697"/>
    <cellStyle name="Note 2 3 7 2 3 2 2 2" xfId="15959"/>
    <cellStyle name="Note 2 3 7 2 3 2 2 2 2" xfId="29375"/>
    <cellStyle name="Note 2 3 7 2 3 2 2 3" xfId="20704"/>
    <cellStyle name="Note 2 3 7 2 3 2 3" xfId="13687"/>
    <cellStyle name="Note 2 3 7 2 3 2 3 2" xfId="28009"/>
    <cellStyle name="Note 2 3 7 2 3 2 4" xfId="19332"/>
    <cellStyle name="Note 2 3 7 2 3 3" xfId="13083"/>
    <cellStyle name="Note 2 3 7 2 3 3 2" xfId="27405"/>
    <cellStyle name="Note 2 3 7 2 3 4" xfId="18728"/>
    <cellStyle name="Note 2 3 7 2 4" xfId="5436"/>
    <cellStyle name="Note 2 3 7 2 4 2" xfId="11987"/>
    <cellStyle name="Note 2 3 7 2 4 2 2" xfId="26309"/>
    <cellStyle name="Note 2 3 7 2 4 3" xfId="17632"/>
    <cellStyle name="Note 2 3 7 2 5" xfId="4392"/>
    <cellStyle name="Note 2 3 7 2 5 2" xfId="22924"/>
    <cellStyle name="Note 2 3 7 2 6" xfId="17202"/>
    <cellStyle name="Note 2 3 7 3" xfId="1954"/>
    <cellStyle name="Note 2 3 7 3 2" xfId="6047"/>
    <cellStyle name="Note 2 3 7 3 2 2" xfId="12613"/>
    <cellStyle name="Note 2 3 7 3 2 2 2" xfId="26935"/>
    <cellStyle name="Note 2 3 7 3 2 3" xfId="18258"/>
    <cellStyle name="Note 2 3 7 3 3" xfId="7320"/>
    <cellStyle name="Note 2 3 7 3 3 2" xfId="9934"/>
    <cellStyle name="Note 2 3 7 3 3 2 2" xfId="16196"/>
    <cellStyle name="Note 2 3 7 3 3 2 2 2" xfId="29612"/>
    <cellStyle name="Note 2 3 7 3 3 2 3" xfId="20941"/>
    <cellStyle name="Note 2 3 7 3 3 3" xfId="13924"/>
    <cellStyle name="Note 2 3 7 3 3 3 2" xfId="28246"/>
    <cellStyle name="Note 2 3 7 3 3 4" xfId="19569"/>
    <cellStyle name="Note 2 3 7 3 4" xfId="4463"/>
    <cellStyle name="Note 2 3 7 3 4 2" xfId="22965"/>
    <cellStyle name="Note 2 3 7 3 5" xfId="15361"/>
    <cellStyle name="Note 2 3 7 4" xfId="1955"/>
    <cellStyle name="Note 2 3 7 4 2" xfId="7306"/>
    <cellStyle name="Note 2 3 7 4 2 2" xfId="9920"/>
    <cellStyle name="Note 2 3 7 4 2 2 2" xfId="16182"/>
    <cellStyle name="Note 2 3 7 4 2 2 2 2" xfId="29598"/>
    <cellStyle name="Note 2 3 7 4 2 2 3" xfId="20927"/>
    <cellStyle name="Note 2 3 7 4 2 3" xfId="13910"/>
    <cellStyle name="Note 2 3 7 4 2 3 2" xfId="28232"/>
    <cellStyle name="Note 2 3 7 4 2 4" xfId="19555"/>
    <cellStyle name="Note 2 3 7 4 3" xfId="12903"/>
    <cellStyle name="Note 2 3 7 4 3 2" xfId="27225"/>
    <cellStyle name="Note 2 3 7 4 4" xfId="18548"/>
    <cellStyle name="Note 2 3 7 5" xfId="5527"/>
    <cellStyle name="Note 2 3 7 5 2" xfId="12078"/>
    <cellStyle name="Note 2 3 7 5 2 2" xfId="26400"/>
    <cellStyle name="Note 2 3 7 5 3" xfId="17723"/>
    <cellStyle name="Note 2 3 7 6" xfId="4217"/>
    <cellStyle name="Note 2 3 7 6 2" xfId="22829"/>
    <cellStyle name="Note 2 3 7 7" xfId="15132"/>
    <cellStyle name="Note 2 3 8" xfId="1956"/>
    <cellStyle name="Note 2 3 8 2" xfId="1957"/>
    <cellStyle name="Note 2 3 8 2 2" xfId="6050"/>
    <cellStyle name="Note 2 3 8 2 2 2" xfId="12616"/>
    <cellStyle name="Note 2 3 8 2 2 2 2" xfId="26938"/>
    <cellStyle name="Note 2 3 8 2 2 3" xfId="18261"/>
    <cellStyle name="Note 2 3 8 2 3" xfId="7935"/>
    <cellStyle name="Note 2 3 8 2 3 2" xfId="10549"/>
    <cellStyle name="Note 2 3 8 2 3 2 2" xfId="16811"/>
    <cellStyle name="Note 2 3 8 2 3 2 2 2" xfId="30227"/>
    <cellStyle name="Note 2 3 8 2 3 2 3" xfId="21556"/>
    <cellStyle name="Note 2 3 8 2 3 3" xfId="14539"/>
    <cellStyle name="Note 2 3 8 2 3 3 2" xfId="28861"/>
    <cellStyle name="Note 2 3 8 2 3 4" xfId="20184"/>
    <cellStyle name="Note 2 3 8 2 4" xfId="4650"/>
    <cellStyle name="Note 2 3 8 2 4 2" xfId="23093"/>
    <cellStyle name="Note 2 3 8 2 5" xfId="3984"/>
    <cellStyle name="Note 2 3 8 3" xfId="1958"/>
    <cellStyle name="Note 2 3 8 3 2" xfId="7356"/>
    <cellStyle name="Note 2 3 8 3 2 2" xfId="9970"/>
    <cellStyle name="Note 2 3 8 3 2 2 2" xfId="16232"/>
    <cellStyle name="Note 2 3 8 3 2 2 2 2" xfId="29648"/>
    <cellStyle name="Note 2 3 8 3 2 2 3" xfId="20977"/>
    <cellStyle name="Note 2 3 8 3 2 3" xfId="13960"/>
    <cellStyle name="Note 2 3 8 3 2 3 2" xfId="28282"/>
    <cellStyle name="Note 2 3 8 3 2 4" xfId="19605"/>
    <cellStyle name="Note 2 3 8 3 3" xfId="12738"/>
    <cellStyle name="Note 2 3 8 3 3 2" xfId="27060"/>
    <cellStyle name="Note 2 3 8 3 4" xfId="18383"/>
    <cellStyle name="Note 2 3 8 4" xfId="5039"/>
    <cellStyle name="Note 2 3 8 4 2" xfId="11586"/>
    <cellStyle name="Note 2 3 8 4 2 2" xfId="25908"/>
    <cellStyle name="Note 2 3 8 4 3" xfId="4354"/>
    <cellStyle name="Note 2 3 8 5" xfId="4366"/>
    <cellStyle name="Note 2 3 8 5 2" xfId="22908"/>
    <cellStyle name="Note 2 3 8 6" xfId="17183"/>
    <cellStyle name="Note 2 3 9" xfId="1959"/>
    <cellStyle name="Note 2 3 9 2" xfId="6144"/>
    <cellStyle name="Note 2 3 9 2 2" xfId="12714"/>
    <cellStyle name="Note 2 3 9 2 2 2" xfId="27036"/>
    <cellStyle name="Note 2 3 9 2 3" xfId="18359"/>
    <cellStyle name="Note 2 3 9 3" xfId="7701"/>
    <cellStyle name="Note 2 3 9 3 2" xfId="10315"/>
    <cellStyle name="Note 2 3 9 3 2 2" xfId="16577"/>
    <cellStyle name="Note 2 3 9 3 2 2 2" xfId="29993"/>
    <cellStyle name="Note 2 3 9 3 2 3" xfId="21322"/>
    <cellStyle name="Note 2 3 9 3 3" xfId="14305"/>
    <cellStyle name="Note 2 3 9 3 3 2" xfId="28627"/>
    <cellStyle name="Note 2 3 9 3 4" xfId="19950"/>
    <cellStyle name="Note 2 3 9 4" xfId="6771"/>
    <cellStyle name="Note 2 3 9 4 2" xfId="23717"/>
    <cellStyle name="Note 2 3 9 5" xfId="14713"/>
    <cellStyle name="Note 2 4" xfId="1960"/>
    <cellStyle name="Note 2 4 2" xfId="6012"/>
    <cellStyle name="Note 2 4 2 2" xfId="12572"/>
    <cellStyle name="Note 2 4 2 2 2" xfId="26894"/>
    <cellStyle name="Note 2 4 2 3" xfId="18217"/>
    <cellStyle name="Note 2 4 3" xfId="5342"/>
    <cellStyle name="Note 2 4 3 2" xfId="9651"/>
    <cellStyle name="Note 2 4 3 2 2" xfId="15913"/>
    <cellStyle name="Note 2 4 3 2 2 2" xfId="29329"/>
    <cellStyle name="Note 2 4 3 2 3" xfId="20658"/>
    <cellStyle name="Note 2 4 3 3" xfId="11892"/>
    <cellStyle name="Note 2 4 3 3 2" xfId="26214"/>
    <cellStyle name="Note 2 4 3 4" xfId="17537"/>
    <cellStyle name="Note 2 4 4" xfId="4049"/>
    <cellStyle name="Note 2 4 4 2" xfId="22726"/>
    <cellStyle name="Note 2 4 5" xfId="16977"/>
    <cellStyle name="Note 2 5" xfId="3731"/>
    <cellStyle name="Note 2 5 2" xfId="4792"/>
    <cellStyle name="Note 2 5 2 2" xfId="23191"/>
    <cellStyle name="Note 2 5 3" xfId="14801"/>
    <cellStyle name="Note 2 6" xfId="4867"/>
    <cellStyle name="Note 2 6 2" xfId="23232"/>
    <cellStyle name="Note 2 7" xfId="17036"/>
    <cellStyle name="Note 2 8" xfId="20321"/>
    <cellStyle name="Note 2 9" xfId="21700"/>
    <cellStyle name="Note 3" xfId="1961"/>
    <cellStyle name="Note 3 2" xfId="1962"/>
    <cellStyle name="Note 3 2 2" xfId="1963"/>
    <cellStyle name="Note 3 2 2 10" xfId="1964"/>
    <cellStyle name="Note 3 2 2 10 2" xfId="3827"/>
    <cellStyle name="Note 3 2 2 10 2 2" xfId="9383"/>
    <cellStyle name="Note 3 2 2 10 2 2 2" xfId="15645"/>
    <cellStyle name="Note 3 2 2 10 2 2 2 2" xfId="29061"/>
    <cellStyle name="Note 3 2 2 10 2 2 3" xfId="20390"/>
    <cellStyle name="Note 3 2 2 10 2 3" xfId="4847"/>
    <cellStyle name="Note 3 2 2 10 2 3 2" xfId="23221"/>
    <cellStyle name="Note 3 2 2 10 2 4" xfId="15563"/>
    <cellStyle name="Note 3 2 2 10 3" xfId="12162"/>
    <cellStyle name="Note 3 2 2 10 3 2" xfId="26484"/>
    <cellStyle name="Note 3 2 2 10 4" xfId="17807"/>
    <cellStyle name="Note 3 2 2 11" xfId="3763"/>
    <cellStyle name="Note 3 2 2 11 2" xfId="3860"/>
    <cellStyle name="Note 3 2 2 11 2 2" xfId="22616"/>
    <cellStyle name="Note 3 2 2 11 3" xfId="15255"/>
    <cellStyle name="Note 3 2 2 12" xfId="6317"/>
    <cellStyle name="Note 3 2 2 12 2" xfId="23512"/>
    <cellStyle name="Note 3 2 2 13" xfId="14718"/>
    <cellStyle name="Note 3 2 2 2" xfId="1965"/>
    <cellStyle name="Note 3 2 2 2 10" xfId="5395"/>
    <cellStyle name="Note 3 2 2 2 10 2" xfId="11945"/>
    <cellStyle name="Note 3 2 2 2 10 2 2" xfId="26267"/>
    <cellStyle name="Note 3 2 2 2 10 3" xfId="17590"/>
    <cellStyle name="Note 3 2 2 2 11" xfId="5366"/>
    <cellStyle name="Note 3 2 2 2 11 2" xfId="23340"/>
    <cellStyle name="Note 3 2 2 2 12" xfId="4193"/>
    <cellStyle name="Note 3 2 2 2 2" xfId="1966"/>
    <cellStyle name="Note 3 2 2 2 2 10" xfId="6721"/>
    <cellStyle name="Note 3 2 2 2 2 10 2" xfId="23675"/>
    <cellStyle name="Note 3 2 2 2 2 11" xfId="4120"/>
    <cellStyle name="Note 3 2 2 2 2 2" xfId="1967"/>
    <cellStyle name="Note 3 2 2 2 2 2 2" xfId="1968"/>
    <cellStyle name="Note 3 2 2 2 2 2 2 2" xfId="1969"/>
    <cellStyle name="Note 3 2 2 2 2 2 2 2 2" xfId="6428"/>
    <cellStyle name="Note 3 2 2 2 2 2 2 2 2 2" xfId="13011"/>
    <cellStyle name="Note 3 2 2 2 2 2 2 2 2 2 2" xfId="27333"/>
    <cellStyle name="Note 3 2 2 2 2 2 2 2 2 3" xfId="18656"/>
    <cellStyle name="Note 3 2 2 2 2 2 2 2 3" xfId="4915"/>
    <cellStyle name="Note 3 2 2 2 2 2 2 2 3 2" xfId="9512"/>
    <cellStyle name="Note 3 2 2 2 2 2 2 2 3 2 2" xfId="15774"/>
    <cellStyle name="Note 3 2 2 2 2 2 2 2 3 2 2 2" xfId="29190"/>
    <cellStyle name="Note 3 2 2 2 2 2 2 2 3 2 3" xfId="20519"/>
    <cellStyle name="Note 3 2 2 2 2 2 2 2 3 3" xfId="11452"/>
    <cellStyle name="Note 3 2 2 2 2 2 2 2 3 3 2" xfId="25774"/>
    <cellStyle name="Note 3 2 2 2 2 2 2 2 3 4" xfId="17303"/>
    <cellStyle name="Note 3 2 2 2 2 2 2 2 4" xfId="4593"/>
    <cellStyle name="Note 3 2 2 2 2 2 2 2 4 2" xfId="23055"/>
    <cellStyle name="Note 3 2 2 2 2 2 2 2 5" xfId="14697"/>
    <cellStyle name="Note 3 2 2 2 2 2 2 3" xfId="1970"/>
    <cellStyle name="Note 3 2 2 2 2 2 2 3 2" xfId="3594"/>
    <cellStyle name="Note 3 2 2 2 2 2 2 3 2 2" xfId="9340"/>
    <cellStyle name="Note 3 2 2 2 2 2 2 3 2 2 2" xfId="15602"/>
    <cellStyle name="Note 3 2 2 2 2 2 2 3 2 2 2 2" xfId="29018"/>
    <cellStyle name="Note 3 2 2 2 2 2 2 3 2 2 3" xfId="20347"/>
    <cellStyle name="Note 3 2 2 2 2 2 2 3 2 3" xfId="4371"/>
    <cellStyle name="Note 3 2 2 2 2 2 2 3 2 3 2" xfId="22913"/>
    <cellStyle name="Note 3 2 2 2 2 2 2 3 2 4" xfId="17321"/>
    <cellStyle name="Note 3 2 2 2 2 2 2 3 3" xfId="13321"/>
    <cellStyle name="Note 3 2 2 2 2 2 2 3 3 2" xfId="27643"/>
    <cellStyle name="Note 3 2 2 2 2 2 2 3 4" xfId="18966"/>
    <cellStyle name="Note 3 2 2 2 2 2 2 4" xfId="5771"/>
    <cellStyle name="Note 3 2 2 2 2 2 2 4 2" xfId="12324"/>
    <cellStyle name="Note 3 2 2 2 2 2 2 4 2 2" xfId="26646"/>
    <cellStyle name="Note 3 2 2 2 2 2 2 4 3" xfId="17969"/>
    <cellStyle name="Note 3 2 2 2 2 2 2 5" xfId="4821"/>
    <cellStyle name="Note 3 2 2 2 2 2 2 5 2" xfId="23203"/>
    <cellStyle name="Note 3 2 2 2 2 2 2 6" xfId="15595"/>
    <cellStyle name="Note 3 2 2 2 2 2 3" xfId="1971"/>
    <cellStyle name="Note 3 2 2 2 2 2 3 2" xfId="1972"/>
    <cellStyle name="Note 3 2 2 2 2 2 3 2 2" xfId="6517"/>
    <cellStyle name="Note 3 2 2 2 2 2 3 2 2 2" xfId="13105"/>
    <cellStyle name="Note 3 2 2 2 2 2 3 2 2 2 2" xfId="27427"/>
    <cellStyle name="Note 3 2 2 2 2 2 3 2 2 3" xfId="18750"/>
    <cellStyle name="Note 3 2 2 2 2 2 3 2 3" xfId="5340"/>
    <cellStyle name="Note 3 2 2 2 2 2 3 2 3 2" xfId="9649"/>
    <cellStyle name="Note 3 2 2 2 2 2 3 2 3 2 2" xfId="15911"/>
    <cellStyle name="Note 3 2 2 2 2 2 3 2 3 2 2 2" xfId="29327"/>
    <cellStyle name="Note 3 2 2 2 2 2 3 2 3 2 3" xfId="20656"/>
    <cellStyle name="Note 3 2 2 2 2 2 3 2 3 3" xfId="11890"/>
    <cellStyle name="Note 3 2 2 2 2 2 3 2 3 3 2" xfId="26212"/>
    <cellStyle name="Note 3 2 2 2 2 2 3 2 3 4" xfId="17535"/>
    <cellStyle name="Note 3 2 2 2 2 2 3 2 4" xfId="4048"/>
    <cellStyle name="Note 3 2 2 2 2 2 3 2 4 2" xfId="22725"/>
    <cellStyle name="Note 3 2 2 2 2 2 3 2 5" xfId="17247"/>
    <cellStyle name="Note 3 2 2 2 2 2 3 3" xfId="1973"/>
    <cellStyle name="Note 3 2 2 2 2 2 3 3 2" xfId="7932"/>
    <cellStyle name="Note 3 2 2 2 2 2 3 3 2 2" xfId="10546"/>
    <cellStyle name="Note 3 2 2 2 2 2 3 3 2 2 2" xfId="16808"/>
    <cellStyle name="Note 3 2 2 2 2 2 3 3 2 2 2 2" xfId="30224"/>
    <cellStyle name="Note 3 2 2 2 2 2 3 3 2 2 3" xfId="21553"/>
    <cellStyle name="Note 3 2 2 2 2 2 3 3 2 3" xfId="14536"/>
    <cellStyle name="Note 3 2 2 2 2 2 3 3 2 3 2" xfId="28858"/>
    <cellStyle name="Note 3 2 2 2 2 2 3 3 2 4" xfId="20181"/>
    <cellStyle name="Note 3 2 2 2 2 2 3 3 3" xfId="12811"/>
    <cellStyle name="Note 3 2 2 2 2 2 3 3 3 2" xfId="27133"/>
    <cellStyle name="Note 3 2 2 2 2 2 3 3 4" xfId="18456"/>
    <cellStyle name="Note 3 2 2 2 2 2 3 4" xfId="5180"/>
    <cellStyle name="Note 3 2 2 2 2 2 3 4 2" xfId="11729"/>
    <cellStyle name="Note 3 2 2 2 2 2 3 4 2 2" xfId="26051"/>
    <cellStyle name="Note 3 2 2 2 2 2 3 4 3" xfId="6327"/>
    <cellStyle name="Note 3 2 2 2 2 2 3 5" xfId="4702"/>
    <cellStyle name="Note 3 2 2 2 2 2 3 5 2" xfId="23135"/>
    <cellStyle name="Note 3 2 2 2 2 2 3 6" xfId="15585"/>
    <cellStyle name="Note 3 2 2 2 2 2 4" xfId="1974"/>
    <cellStyle name="Note 3 2 2 2 2 2 4 2" xfId="6039"/>
    <cellStyle name="Note 3 2 2 2 2 2 4 2 2" xfId="12603"/>
    <cellStyle name="Note 3 2 2 2 2 2 4 2 2 2" xfId="26925"/>
    <cellStyle name="Note 3 2 2 2 2 2 4 2 3" xfId="18248"/>
    <cellStyle name="Note 3 2 2 2 2 2 4 3" xfId="7435"/>
    <cellStyle name="Note 3 2 2 2 2 2 4 3 2" xfId="10049"/>
    <cellStyle name="Note 3 2 2 2 2 2 4 3 2 2" xfId="16311"/>
    <cellStyle name="Note 3 2 2 2 2 2 4 3 2 2 2" xfId="29727"/>
    <cellStyle name="Note 3 2 2 2 2 2 4 3 2 3" xfId="21056"/>
    <cellStyle name="Note 3 2 2 2 2 2 4 3 3" xfId="14039"/>
    <cellStyle name="Note 3 2 2 2 2 2 4 3 3 2" xfId="28361"/>
    <cellStyle name="Note 3 2 2 2 2 2 4 3 4" xfId="19684"/>
    <cellStyle name="Note 3 2 2 2 2 2 4 4" xfId="6268"/>
    <cellStyle name="Note 3 2 2 2 2 2 4 4 2" xfId="23484"/>
    <cellStyle name="Note 3 2 2 2 2 2 4 5" xfId="14908"/>
    <cellStyle name="Note 3 2 2 2 2 2 5" xfId="1975"/>
    <cellStyle name="Note 3 2 2 2 2 2 5 2" xfId="7943"/>
    <cellStyle name="Note 3 2 2 2 2 2 5 2 2" xfId="10557"/>
    <cellStyle name="Note 3 2 2 2 2 2 5 2 2 2" xfId="16819"/>
    <cellStyle name="Note 3 2 2 2 2 2 5 2 2 2 2" xfId="30235"/>
    <cellStyle name="Note 3 2 2 2 2 2 5 2 2 3" xfId="21564"/>
    <cellStyle name="Note 3 2 2 2 2 2 5 2 3" xfId="14547"/>
    <cellStyle name="Note 3 2 2 2 2 2 5 2 3 2" xfId="28869"/>
    <cellStyle name="Note 3 2 2 2 2 2 5 2 4" xfId="20192"/>
    <cellStyle name="Note 3 2 2 2 2 2 5 3" xfId="12897"/>
    <cellStyle name="Note 3 2 2 2 2 2 5 3 2" xfId="27219"/>
    <cellStyle name="Note 3 2 2 2 2 2 5 4" xfId="18542"/>
    <cellStyle name="Note 3 2 2 2 2 2 6" xfId="5515"/>
    <cellStyle name="Note 3 2 2 2 2 2 6 2" xfId="12066"/>
    <cellStyle name="Note 3 2 2 2 2 2 6 2 2" xfId="26388"/>
    <cellStyle name="Note 3 2 2 2 2 2 6 3" xfId="17711"/>
    <cellStyle name="Note 3 2 2 2 2 2 7" xfId="6490"/>
    <cellStyle name="Note 3 2 2 2 2 2 7 2" xfId="23567"/>
    <cellStyle name="Note 3 2 2 2 2 2 8" xfId="4018"/>
    <cellStyle name="Note 3 2 2 2 2 3" xfId="1976"/>
    <cellStyle name="Note 3 2 2 2 2 3 2" xfId="1977"/>
    <cellStyle name="Note 3 2 2 2 2 3 2 2" xfId="1978"/>
    <cellStyle name="Note 3 2 2 2 2 3 2 2 2" xfId="6449"/>
    <cellStyle name="Note 3 2 2 2 2 3 2 2 2 2" xfId="13032"/>
    <cellStyle name="Note 3 2 2 2 2 3 2 2 2 2 2" xfId="27354"/>
    <cellStyle name="Note 3 2 2 2 2 3 2 2 2 3" xfId="18677"/>
    <cellStyle name="Note 3 2 2 2 2 3 2 2 3" xfId="4750"/>
    <cellStyle name="Note 3 2 2 2 2 3 2 2 3 2" xfId="9474"/>
    <cellStyle name="Note 3 2 2 2 2 3 2 2 3 2 2" xfId="15736"/>
    <cellStyle name="Note 3 2 2 2 2 3 2 2 3 2 2 2" xfId="29152"/>
    <cellStyle name="Note 3 2 2 2 2 3 2 2 3 2 3" xfId="20481"/>
    <cellStyle name="Note 3 2 2 2 2 3 2 2 3 3" xfId="2778"/>
    <cellStyle name="Note 3 2 2 2 2 3 2 2 3 3 2" xfId="22347"/>
    <cellStyle name="Note 3 2 2 2 2 3 2 2 3 4" xfId="14825"/>
    <cellStyle name="Note 3 2 2 2 2 3 2 2 4" xfId="4201"/>
    <cellStyle name="Note 3 2 2 2 2 3 2 2 4 2" xfId="22818"/>
    <cellStyle name="Note 3 2 2 2 2 3 2 2 5" xfId="14982"/>
    <cellStyle name="Note 3 2 2 2 2 3 2 3" xfId="1979"/>
    <cellStyle name="Note 3 2 2 2 2 3 2 3 2" xfId="7466"/>
    <cellStyle name="Note 3 2 2 2 2 3 2 3 2 2" xfId="10080"/>
    <cellStyle name="Note 3 2 2 2 2 3 2 3 2 2 2" xfId="16342"/>
    <cellStyle name="Note 3 2 2 2 2 3 2 3 2 2 2 2" xfId="29758"/>
    <cellStyle name="Note 3 2 2 2 2 3 2 3 2 2 3" xfId="21087"/>
    <cellStyle name="Note 3 2 2 2 2 3 2 3 2 3" xfId="14070"/>
    <cellStyle name="Note 3 2 2 2 2 3 2 3 2 3 2" xfId="28392"/>
    <cellStyle name="Note 3 2 2 2 2 3 2 3 2 4" xfId="19715"/>
    <cellStyle name="Note 3 2 2 2 2 3 2 3 3" xfId="13357"/>
    <cellStyle name="Note 3 2 2 2 2 3 2 3 3 2" xfId="27679"/>
    <cellStyle name="Note 3 2 2 2 2 3 2 3 4" xfId="19002"/>
    <cellStyle name="Note 3 2 2 2 2 3 2 4" xfId="5807"/>
    <cellStyle name="Note 3 2 2 2 2 3 2 4 2" xfId="12360"/>
    <cellStyle name="Note 3 2 2 2 2 3 2 4 2 2" xfId="26682"/>
    <cellStyle name="Note 3 2 2 2 2 3 2 4 3" xfId="18005"/>
    <cellStyle name="Note 3 2 2 2 2 3 2 5" xfId="4783"/>
    <cellStyle name="Note 3 2 2 2 2 3 2 5 2" xfId="23184"/>
    <cellStyle name="Note 3 2 2 2 2 3 2 6" xfId="17239"/>
    <cellStyle name="Note 3 2 2 2 2 3 3" xfId="1980"/>
    <cellStyle name="Note 3 2 2 2 2 3 3 2" xfId="1981"/>
    <cellStyle name="Note 3 2 2 2 2 3 3 2 2" xfId="6917"/>
    <cellStyle name="Note 3 2 2 2 2 3 3 2 2 2" xfId="13521"/>
    <cellStyle name="Note 3 2 2 2 2 3 3 2 2 2 2" xfId="27843"/>
    <cellStyle name="Note 3 2 2 2 2 3 3 2 2 3" xfId="19166"/>
    <cellStyle name="Note 3 2 2 2 2 3 3 2 3" xfId="7424"/>
    <cellStyle name="Note 3 2 2 2 2 3 3 2 3 2" xfId="10038"/>
    <cellStyle name="Note 3 2 2 2 2 3 3 2 3 2 2" xfId="16300"/>
    <cellStyle name="Note 3 2 2 2 2 3 3 2 3 2 2 2" xfId="29716"/>
    <cellStyle name="Note 3 2 2 2 2 3 3 2 3 2 3" xfId="21045"/>
    <cellStyle name="Note 3 2 2 2 2 3 3 2 3 3" xfId="14028"/>
    <cellStyle name="Note 3 2 2 2 2 3 3 2 3 3 2" xfId="28350"/>
    <cellStyle name="Note 3 2 2 2 2 3 3 2 3 4" xfId="19673"/>
    <cellStyle name="Note 3 2 2 2 2 3 3 2 4" xfId="11403"/>
    <cellStyle name="Note 3 2 2 2 2 3 3 2 4 2" xfId="25725"/>
    <cellStyle name="Note 3 2 2 2 2 3 3 2 5" xfId="6810"/>
    <cellStyle name="Note 3 2 2 2 2 3 3 3" xfId="1982"/>
    <cellStyle name="Note 3 2 2 2 2 3 3 3 2" xfId="7730"/>
    <cellStyle name="Note 3 2 2 2 2 3 3 3 2 2" xfId="10344"/>
    <cellStyle name="Note 3 2 2 2 2 3 3 3 2 2 2" xfId="16606"/>
    <cellStyle name="Note 3 2 2 2 2 3 3 3 2 2 2 2" xfId="30022"/>
    <cellStyle name="Note 3 2 2 2 2 3 3 3 2 2 3" xfId="21351"/>
    <cellStyle name="Note 3 2 2 2 2 3 3 3 2 3" xfId="14334"/>
    <cellStyle name="Note 3 2 2 2 2 3 3 3 2 3 2" xfId="28656"/>
    <cellStyle name="Note 3 2 2 2 2 3 3 3 2 4" xfId="19979"/>
    <cellStyle name="Note 3 2 2 2 2 3 3 3 3" xfId="13396"/>
    <cellStyle name="Note 3 2 2 2 2 3 3 3 3 2" xfId="27718"/>
    <cellStyle name="Note 3 2 2 2 2 3 3 3 4" xfId="19041"/>
    <cellStyle name="Note 3 2 2 2 2 3 3 4" xfId="5860"/>
    <cellStyle name="Note 3 2 2 2 2 3 3 4 2" xfId="12413"/>
    <cellStyle name="Note 3 2 2 2 2 3 3 4 2 2" xfId="26735"/>
    <cellStyle name="Note 3 2 2 2 2 3 3 4 3" xfId="18058"/>
    <cellStyle name="Note 3 2 2 2 2 3 3 5" xfId="3197"/>
    <cellStyle name="Note 3 2 2 2 2 3 3 5 2" xfId="22438"/>
    <cellStyle name="Note 3 2 2 2 2 3 3 6" xfId="15177"/>
    <cellStyle name="Note 3 2 2 2 2 3 4" xfId="1983"/>
    <cellStyle name="Note 3 2 2 2 2 3 4 2" xfId="6841"/>
    <cellStyle name="Note 3 2 2 2 2 3 4 2 2" xfId="13445"/>
    <cellStyle name="Note 3 2 2 2 2 3 4 2 2 2" xfId="27767"/>
    <cellStyle name="Note 3 2 2 2 2 3 4 2 3" xfId="19090"/>
    <cellStyle name="Note 3 2 2 2 2 3 4 3" xfId="7503"/>
    <cellStyle name="Note 3 2 2 2 2 3 4 3 2" xfId="10117"/>
    <cellStyle name="Note 3 2 2 2 2 3 4 3 2 2" xfId="16379"/>
    <cellStyle name="Note 3 2 2 2 2 3 4 3 2 2 2" xfId="29795"/>
    <cellStyle name="Note 3 2 2 2 2 3 4 3 2 3" xfId="21124"/>
    <cellStyle name="Note 3 2 2 2 2 3 4 3 3" xfId="14107"/>
    <cellStyle name="Note 3 2 2 2 2 3 4 3 3 2" xfId="28429"/>
    <cellStyle name="Note 3 2 2 2 2 3 4 3 4" xfId="19752"/>
    <cellStyle name="Note 3 2 2 2 2 3 4 4" xfId="2771"/>
    <cellStyle name="Note 3 2 2 2 2 3 4 4 2" xfId="22340"/>
    <cellStyle name="Note 3 2 2 2 2 3 4 5" xfId="3714"/>
    <cellStyle name="Note 3 2 2 2 2 3 5" xfId="1984"/>
    <cellStyle name="Note 3 2 2 2 2 3 5 2" xfId="7082"/>
    <cellStyle name="Note 3 2 2 2 2 3 5 2 2" xfId="9696"/>
    <cellStyle name="Note 3 2 2 2 2 3 5 2 2 2" xfId="15958"/>
    <cellStyle name="Note 3 2 2 2 2 3 5 2 2 2 2" xfId="29374"/>
    <cellStyle name="Note 3 2 2 2 2 3 5 2 2 3" xfId="20703"/>
    <cellStyle name="Note 3 2 2 2 2 3 5 2 3" xfId="13686"/>
    <cellStyle name="Note 3 2 2 2 2 3 5 2 3 2" xfId="28008"/>
    <cellStyle name="Note 3 2 2 2 2 3 5 2 4" xfId="19331"/>
    <cellStyle name="Note 3 2 2 2 2 3 5 3" xfId="12933"/>
    <cellStyle name="Note 3 2 2 2 2 3 5 3 2" xfId="27255"/>
    <cellStyle name="Note 3 2 2 2 2 3 5 4" xfId="18578"/>
    <cellStyle name="Note 3 2 2 2 2 3 6" xfId="5557"/>
    <cellStyle name="Note 3 2 2 2 2 3 6 2" xfId="12108"/>
    <cellStyle name="Note 3 2 2 2 2 3 6 2 2" xfId="26430"/>
    <cellStyle name="Note 3 2 2 2 2 3 6 3" xfId="17753"/>
    <cellStyle name="Note 3 2 2 2 2 3 7" xfId="4056"/>
    <cellStyle name="Note 3 2 2 2 2 3 7 2" xfId="22731"/>
    <cellStyle name="Note 3 2 2 2 2 3 8" xfId="15175"/>
    <cellStyle name="Note 3 2 2 2 2 4" xfId="1985"/>
    <cellStyle name="Note 3 2 2 2 2 4 2" xfId="1986"/>
    <cellStyle name="Note 3 2 2 2 2 4 2 2" xfId="1987"/>
    <cellStyle name="Note 3 2 2 2 2 4 2 2 2" xfId="6886"/>
    <cellStyle name="Note 3 2 2 2 2 4 2 2 2 2" xfId="13490"/>
    <cellStyle name="Note 3 2 2 2 2 4 2 2 2 2 2" xfId="27812"/>
    <cellStyle name="Note 3 2 2 2 2 4 2 2 2 3" xfId="19135"/>
    <cellStyle name="Note 3 2 2 2 2 4 2 2 3" xfId="7230"/>
    <cellStyle name="Note 3 2 2 2 2 4 2 2 3 2" xfId="9844"/>
    <cellStyle name="Note 3 2 2 2 2 4 2 2 3 2 2" xfId="16106"/>
    <cellStyle name="Note 3 2 2 2 2 4 2 2 3 2 2 2" xfId="29522"/>
    <cellStyle name="Note 3 2 2 2 2 4 2 2 3 2 3" xfId="20851"/>
    <cellStyle name="Note 3 2 2 2 2 4 2 2 3 3" xfId="13834"/>
    <cellStyle name="Note 3 2 2 2 2 4 2 2 3 3 2" xfId="28156"/>
    <cellStyle name="Note 3 2 2 2 2 4 2 2 3 4" xfId="19479"/>
    <cellStyle name="Note 3 2 2 2 2 4 2 2 4" xfId="11361"/>
    <cellStyle name="Note 3 2 2 2 2 4 2 2 4 2" xfId="25683"/>
    <cellStyle name="Note 3 2 2 2 2 4 2 2 5" xfId="17104"/>
    <cellStyle name="Note 3 2 2 2 2 4 2 3" xfId="1988"/>
    <cellStyle name="Note 3 2 2 2 2 4 2 3 2" xfId="4796"/>
    <cellStyle name="Note 3 2 2 2 2 4 2 3 2 2" xfId="9486"/>
    <cellStyle name="Note 3 2 2 2 2 4 2 3 2 2 2" xfId="15748"/>
    <cellStyle name="Note 3 2 2 2 2 4 2 3 2 2 2 2" xfId="29164"/>
    <cellStyle name="Note 3 2 2 2 2 4 2 3 2 2 3" xfId="20493"/>
    <cellStyle name="Note 3 2 2 2 2 4 2 3 2 3" xfId="11325"/>
    <cellStyle name="Note 3 2 2 2 2 4 2 3 2 3 2" xfId="25647"/>
    <cellStyle name="Note 3 2 2 2 2 4 2 3 2 4" xfId="15187"/>
    <cellStyle name="Note 3 2 2 2 2 4 2 3 3" xfId="13220"/>
    <cellStyle name="Note 3 2 2 2 2 4 2 3 3 2" xfId="27542"/>
    <cellStyle name="Note 3 2 2 2 2 4 2 3 4" xfId="18865"/>
    <cellStyle name="Note 3 2 2 2 2 4 2 4" xfId="5661"/>
    <cellStyle name="Note 3 2 2 2 2 4 2 4 2" xfId="12214"/>
    <cellStyle name="Note 3 2 2 2 2 4 2 4 2 2" xfId="26536"/>
    <cellStyle name="Note 3 2 2 2 2 4 2 4 3" xfId="17859"/>
    <cellStyle name="Note 3 2 2 2 2 4 2 5" xfId="4756"/>
    <cellStyle name="Note 3 2 2 2 2 4 2 5 2" xfId="23172"/>
    <cellStyle name="Note 3 2 2 2 2 4 2 6" xfId="17300"/>
    <cellStyle name="Note 3 2 2 2 2 4 3" xfId="1989"/>
    <cellStyle name="Note 3 2 2 2 2 4 3 2" xfId="1990"/>
    <cellStyle name="Note 3 2 2 2 2 4 3 2 2" xfId="6104"/>
    <cellStyle name="Note 3 2 2 2 2 4 3 2 2 2" xfId="12671"/>
    <cellStyle name="Note 3 2 2 2 2 4 3 2 2 2 2" xfId="26993"/>
    <cellStyle name="Note 3 2 2 2 2 4 3 2 2 3" xfId="18316"/>
    <cellStyle name="Note 3 2 2 2 2 4 3 2 3" xfId="8071"/>
    <cellStyle name="Note 3 2 2 2 2 4 3 2 3 2" xfId="10685"/>
    <cellStyle name="Note 3 2 2 2 2 4 3 2 3 2 2" xfId="16947"/>
    <cellStyle name="Note 3 2 2 2 2 4 3 2 3 2 2 2" xfId="30363"/>
    <cellStyle name="Note 3 2 2 2 2 4 3 2 3 2 3" xfId="21692"/>
    <cellStyle name="Note 3 2 2 2 2 4 3 2 3 3" xfId="14675"/>
    <cellStyle name="Note 3 2 2 2 2 4 3 2 3 3 2" xfId="28997"/>
    <cellStyle name="Note 3 2 2 2 2 4 3 2 3 4" xfId="20320"/>
    <cellStyle name="Note 3 2 2 2 2 4 3 2 4" xfId="3284"/>
    <cellStyle name="Note 3 2 2 2 2 4 3 2 4 2" xfId="22460"/>
    <cellStyle name="Note 3 2 2 2 2 4 3 2 5" xfId="15119"/>
    <cellStyle name="Note 3 2 2 2 2 4 3 3" xfId="1991"/>
    <cellStyle name="Note 3 2 2 2 2 4 3 3 2" xfId="7133"/>
    <cellStyle name="Note 3 2 2 2 2 4 3 3 2 2" xfId="9747"/>
    <cellStyle name="Note 3 2 2 2 2 4 3 3 2 2 2" xfId="16009"/>
    <cellStyle name="Note 3 2 2 2 2 4 3 3 2 2 2 2" xfId="29425"/>
    <cellStyle name="Note 3 2 2 2 2 4 3 3 2 2 3" xfId="20754"/>
    <cellStyle name="Note 3 2 2 2 2 4 3 3 2 3" xfId="13737"/>
    <cellStyle name="Note 3 2 2 2 2 4 3 3 2 3 2" xfId="28059"/>
    <cellStyle name="Note 3 2 2 2 2 4 3 3 2 4" xfId="19382"/>
    <cellStyle name="Note 3 2 2 2 2 4 3 3 3" xfId="12514"/>
    <cellStyle name="Note 3 2 2 2 2 4 3 3 3 2" xfId="26836"/>
    <cellStyle name="Note 3 2 2 2 2 4 3 3 4" xfId="18159"/>
    <cellStyle name="Note 3 2 2 2 2 4 3 4" xfId="5097"/>
    <cellStyle name="Note 3 2 2 2 2 4 3 4 2" xfId="11644"/>
    <cellStyle name="Note 3 2 2 2 2 4 3 4 2 2" xfId="25966"/>
    <cellStyle name="Note 3 2 2 2 2 4 3 4 3" xfId="15001"/>
    <cellStyle name="Note 3 2 2 2 2 4 3 5" xfId="4050"/>
    <cellStyle name="Note 3 2 2 2 2 4 3 5 2" xfId="22727"/>
    <cellStyle name="Note 3 2 2 2 2 4 3 6" xfId="15026"/>
    <cellStyle name="Note 3 2 2 2 2 4 4" xfId="1992"/>
    <cellStyle name="Note 3 2 2 2 2 4 4 2" xfId="6111"/>
    <cellStyle name="Note 3 2 2 2 2 4 4 2 2" xfId="12679"/>
    <cellStyle name="Note 3 2 2 2 2 4 4 2 2 2" xfId="27001"/>
    <cellStyle name="Note 3 2 2 2 2 4 4 2 3" xfId="18324"/>
    <cellStyle name="Note 3 2 2 2 2 4 4 3" xfId="7067"/>
    <cellStyle name="Note 3 2 2 2 2 4 4 3 2" xfId="9681"/>
    <cellStyle name="Note 3 2 2 2 2 4 4 3 2 2" xfId="15943"/>
    <cellStyle name="Note 3 2 2 2 2 4 4 3 2 2 2" xfId="29359"/>
    <cellStyle name="Note 3 2 2 2 2 4 4 3 2 3" xfId="20688"/>
    <cellStyle name="Note 3 2 2 2 2 4 4 3 3" xfId="13671"/>
    <cellStyle name="Note 3 2 2 2 2 4 4 3 3 2" xfId="27993"/>
    <cellStyle name="Note 3 2 2 2 2 4 4 3 4" xfId="19316"/>
    <cellStyle name="Note 3 2 2 2 2 4 4 4" xfId="5152"/>
    <cellStyle name="Note 3 2 2 2 2 4 4 4 2" xfId="23331"/>
    <cellStyle name="Note 3 2 2 2 2 4 4 5" xfId="15405"/>
    <cellStyle name="Note 3 2 2 2 2 4 5" xfId="1993"/>
    <cellStyle name="Note 3 2 2 2 2 4 5 2" xfId="7737"/>
    <cellStyle name="Note 3 2 2 2 2 4 5 2 2" xfId="10351"/>
    <cellStyle name="Note 3 2 2 2 2 4 5 2 2 2" xfId="16613"/>
    <cellStyle name="Note 3 2 2 2 2 4 5 2 2 2 2" xfId="30029"/>
    <cellStyle name="Note 3 2 2 2 2 4 5 2 2 3" xfId="21358"/>
    <cellStyle name="Note 3 2 2 2 2 4 5 2 3" xfId="14341"/>
    <cellStyle name="Note 3 2 2 2 2 4 5 2 3 2" xfId="28663"/>
    <cellStyle name="Note 3 2 2 2 2 4 5 2 4" xfId="19986"/>
    <cellStyle name="Note 3 2 2 2 2 4 5 3" xfId="12455"/>
    <cellStyle name="Note 3 2 2 2 2 4 5 3 2" xfId="26777"/>
    <cellStyle name="Note 3 2 2 2 2 4 5 4" xfId="18100"/>
    <cellStyle name="Note 3 2 2 2 2 4 6" xfId="4455"/>
    <cellStyle name="Note 3 2 2 2 2 4 6 2" xfId="3688"/>
    <cellStyle name="Note 3 2 2 2 2 4 6 2 2" xfId="22530"/>
    <cellStyle name="Note 3 2 2 2 2 4 6 3" xfId="14754"/>
    <cellStyle name="Note 3 2 2 2 2 4 7" xfId="4791"/>
    <cellStyle name="Note 3 2 2 2 2 4 7 2" xfId="23190"/>
    <cellStyle name="Note 3 2 2 2 2 4 8" xfId="17155"/>
    <cellStyle name="Note 3 2 2 2 2 5" xfId="1994"/>
    <cellStyle name="Note 3 2 2 2 2 5 2" xfId="1995"/>
    <cellStyle name="Note 3 2 2 2 2 5 2 2" xfId="1996"/>
    <cellStyle name="Note 3 2 2 2 2 5 2 2 2" xfId="6038"/>
    <cellStyle name="Note 3 2 2 2 2 5 2 2 2 2" xfId="12599"/>
    <cellStyle name="Note 3 2 2 2 2 5 2 2 2 2 2" xfId="26921"/>
    <cellStyle name="Note 3 2 2 2 2 5 2 2 2 3" xfId="18244"/>
    <cellStyle name="Note 3 2 2 2 2 5 2 2 3" xfId="7532"/>
    <cellStyle name="Note 3 2 2 2 2 5 2 2 3 2" xfId="10146"/>
    <cellStyle name="Note 3 2 2 2 2 5 2 2 3 2 2" xfId="16408"/>
    <cellStyle name="Note 3 2 2 2 2 5 2 2 3 2 2 2" xfId="29824"/>
    <cellStyle name="Note 3 2 2 2 2 5 2 2 3 2 3" xfId="21153"/>
    <cellStyle name="Note 3 2 2 2 2 5 2 2 3 3" xfId="14136"/>
    <cellStyle name="Note 3 2 2 2 2 5 2 2 3 3 2" xfId="28458"/>
    <cellStyle name="Note 3 2 2 2 2 5 2 2 3 4" xfId="19781"/>
    <cellStyle name="Note 3 2 2 2 2 5 2 2 4" xfId="6667"/>
    <cellStyle name="Note 3 2 2 2 2 5 2 2 4 2" xfId="23639"/>
    <cellStyle name="Note 3 2 2 2 2 5 2 2 5" xfId="14990"/>
    <cellStyle name="Note 3 2 2 2 2 5 2 3" xfId="1997"/>
    <cellStyle name="Note 3 2 2 2 2 5 2 3 2" xfId="7981"/>
    <cellStyle name="Note 3 2 2 2 2 5 2 3 2 2" xfId="10595"/>
    <cellStyle name="Note 3 2 2 2 2 5 2 3 2 2 2" xfId="16857"/>
    <cellStyle name="Note 3 2 2 2 2 5 2 3 2 2 2 2" xfId="30273"/>
    <cellStyle name="Note 3 2 2 2 2 5 2 3 2 2 3" xfId="21602"/>
    <cellStyle name="Note 3 2 2 2 2 5 2 3 2 3" xfId="14585"/>
    <cellStyle name="Note 3 2 2 2 2 5 2 3 2 3 2" xfId="28907"/>
    <cellStyle name="Note 3 2 2 2 2 5 2 3 2 4" xfId="20230"/>
    <cellStyle name="Note 3 2 2 2 2 5 2 3 3" xfId="13091"/>
    <cellStyle name="Note 3 2 2 2 2 5 2 3 3 2" xfId="27413"/>
    <cellStyle name="Note 3 2 2 2 2 5 2 3 4" xfId="18736"/>
    <cellStyle name="Note 3 2 2 2 2 5 2 4" xfId="5446"/>
    <cellStyle name="Note 3 2 2 2 2 5 2 4 2" xfId="11997"/>
    <cellStyle name="Note 3 2 2 2 2 5 2 4 2 2" xfId="26319"/>
    <cellStyle name="Note 3 2 2 2 2 5 2 4 3" xfId="17642"/>
    <cellStyle name="Note 3 2 2 2 2 5 2 5" xfId="3958"/>
    <cellStyle name="Note 3 2 2 2 2 5 2 5 2" xfId="22669"/>
    <cellStyle name="Note 3 2 2 2 2 5 2 6" xfId="15055"/>
    <cellStyle name="Note 3 2 2 2 2 5 3" xfId="1998"/>
    <cellStyle name="Note 3 2 2 2 2 5 3 2" xfId="6089"/>
    <cellStyle name="Note 3 2 2 2 2 5 3 2 2" xfId="12656"/>
    <cellStyle name="Note 3 2 2 2 2 5 3 2 2 2" xfId="26978"/>
    <cellStyle name="Note 3 2 2 2 2 5 3 2 3" xfId="18301"/>
    <cellStyle name="Note 3 2 2 2 2 5 3 3" xfId="7983"/>
    <cellStyle name="Note 3 2 2 2 2 5 3 3 2" xfId="10597"/>
    <cellStyle name="Note 3 2 2 2 2 5 3 3 2 2" xfId="16859"/>
    <cellStyle name="Note 3 2 2 2 2 5 3 3 2 2 2" xfId="30275"/>
    <cellStyle name="Note 3 2 2 2 2 5 3 3 2 3" xfId="21604"/>
    <cellStyle name="Note 3 2 2 2 2 5 3 3 3" xfId="14587"/>
    <cellStyle name="Note 3 2 2 2 2 5 3 3 3 2" xfId="28909"/>
    <cellStyle name="Note 3 2 2 2 2 5 3 3 4" xfId="20232"/>
    <cellStyle name="Note 3 2 2 2 2 5 3 4" xfId="4717"/>
    <cellStyle name="Note 3 2 2 2 2 5 3 4 2" xfId="23147"/>
    <cellStyle name="Note 3 2 2 2 2 5 3 5" xfId="14837"/>
    <cellStyle name="Note 3 2 2 2 2 5 4" xfId="1999"/>
    <cellStyle name="Note 3 2 2 2 2 5 4 2" xfId="5278"/>
    <cellStyle name="Note 3 2 2 2 2 5 4 2 2" xfId="9587"/>
    <cellStyle name="Note 3 2 2 2 2 5 4 2 2 2" xfId="15849"/>
    <cellStyle name="Note 3 2 2 2 2 5 4 2 2 2 2" xfId="29265"/>
    <cellStyle name="Note 3 2 2 2 2 5 4 2 2 3" xfId="20594"/>
    <cellStyle name="Note 3 2 2 2 2 5 4 2 3" xfId="11828"/>
    <cellStyle name="Note 3 2 2 2 2 5 4 2 3 2" xfId="26150"/>
    <cellStyle name="Note 3 2 2 2 2 5 4 2 4" xfId="17473"/>
    <cellStyle name="Note 3 2 2 2 2 5 4 3" xfId="12582"/>
    <cellStyle name="Note 3 2 2 2 2 5 4 3 2" xfId="26904"/>
    <cellStyle name="Note 3 2 2 2 2 5 4 4" xfId="18227"/>
    <cellStyle name="Note 3 2 2 2 2 5 5" xfId="5201"/>
    <cellStyle name="Note 3 2 2 2 2 5 5 2" xfId="11750"/>
    <cellStyle name="Note 3 2 2 2 2 5 5 2 2" xfId="26072"/>
    <cellStyle name="Note 3 2 2 2 2 5 5 3" xfId="5637"/>
    <cellStyle name="Note 3 2 2 2 2 5 6" xfId="3143"/>
    <cellStyle name="Note 3 2 2 2 2 5 6 2" xfId="22419"/>
    <cellStyle name="Note 3 2 2 2 2 5 7" xfId="14865"/>
    <cellStyle name="Note 3 2 2 2 2 6" xfId="2000"/>
    <cellStyle name="Note 3 2 2 2 2 6 2" xfId="2001"/>
    <cellStyle name="Note 3 2 2 2 2 6 2 2" xfId="6838"/>
    <cellStyle name="Note 3 2 2 2 2 6 2 2 2" xfId="13442"/>
    <cellStyle name="Note 3 2 2 2 2 6 2 2 2 2" xfId="27764"/>
    <cellStyle name="Note 3 2 2 2 2 6 2 2 3" xfId="19087"/>
    <cellStyle name="Note 3 2 2 2 2 6 2 3" xfId="7280"/>
    <cellStyle name="Note 3 2 2 2 2 6 2 3 2" xfId="9894"/>
    <cellStyle name="Note 3 2 2 2 2 6 2 3 2 2" xfId="16156"/>
    <cellStyle name="Note 3 2 2 2 2 6 2 3 2 2 2" xfId="29572"/>
    <cellStyle name="Note 3 2 2 2 2 6 2 3 2 3" xfId="20901"/>
    <cellStyle name="Note 3 2 2 2 2 6 2 3 3" xfId="13884"/>
    <cellStyle name="Note 3 2 2 2 2 6 2 3 3 2" xfId="28206"/>
    <cellStyle name="Note 3 2 2 2 2 6 2 3 4" xfId="19529"/>
    <cellStyle name="Note 3 2 2 2 2 6 2 4" xfId="2816"/>
    <cellStyle name="Note 3 2 2 2 2 6 2 4 2" xfId="22379"/>
    <cellStyle name="Note 3 2 2 2 2 6 2 5" xfId="15315"/>
    <cellStyle name="Note 3 2 2 2 2 6 3" xfId="2002"/>
    <cellStyle name="Note 3 2 2 2 2 6 3 2" xfId="7942"/>
    <cellStyle name="Note 3 2 2 2 2 6 3 2 2" xfId="10556"/>
    <cellStyle name="Note 3 2 2 2 2 6 3 2 2 2" xfId="16818"/>
    <cellStyle name="Note 3 2 2 2 2 6 3 2 2 2 2" xfId="30234"/>
    <cellStyle name="Note 3 2 2 2 2 6 3 2 2 3" xfId="21563"/>
    <cellStyle name="Note 3 2 2 2 2 6 3 2 3" xfId="14546"/>
    <cellStyle name="Note 3 2 2 2 2 6 3 2 3 2" xfId="28868"/>
    <cellStyle name="Note 3 2 2 2 2 6 3 2 4" xfId="20191"/>
    <cellStyle name="Note 3 2 2 2 2 6 3 3" xfId="13131"/>
    <cellStyle name="Note 3 2 2 2 2 6 3 3 2" xfId="27453"/>
    <cellStyle name="Note 3 2 2 2 2 6 3 4" xfId="18776"/>
    <cellStyle name="Note 3 2 2 2 2 6 4" xfId="5525"/>
    <cellStyle name="Note 3 2 2 2 2 6 4 2" xfId="12076"/>
    <cellStyle name="Note 3 2 2 2 2 6 4 2 2" xfId="26398"/>
    <cellStyle name="Note 3 2 2 2 2 6 4 3" xfId="17721"/>
    <cellStyle name="Note 3 2 2 2 2 6 5" xfId="4565"/>
    <cellStyle name="Note 3 2 2 2 2 6 5 2" xfId="23034"/>
    <cellStyle name="Note 3 2 2 2 2 6 6" xfId="17102"/>
    <cellStyle name="Note 3 2 2 2 2 7" xfId="2003"/>
    <cellStyle name="Note 3 2 2 2 2 7 2" xfId="5965"/>
    <cellStyle name="Note 3 2 2 2 2 7 2 2" xfId="12523"/>
    <cellStyle name="Note 3 2 2 2 2 7 2 2 2" xfId="26845"/>
    <cellStyle name="Note 3 2 2 2 2 7 2 3" xfId="18168"/>
    <cellStyle name="Note 3 2 2 2 2 7 3" xfId="7923"/>
    <cellStyle name="Note 3 2 2 2 2 7 3 2" xfId="10537"/>
    <cellStyle name="Note 3 2 2 2 2 7 3 2 2" xfId="16799"/>
    <cellStyle name="Note 3 2 2 2 2 7 3 2 2 2" xfId="30215"/>
    <cellStyle name="Note 3 2 2 2 2 7 3 2 3" xfId="21544"/>
    <cellStyle name="Note 3 2 2 2 2 7 3 3" xfId="14527"/>
    <cellStyle name="Note 3 2 2 2 2 7 3 3 2" xfId="28849"/>
    <cellStyle name="Note 3 2 2 2 2 7 3 4" xfId="20172"/>
    <cellStyle name="Note 3 2 2 2 2 7 4" xfId="4174"/>
    <cellStyle name="Note 3 2 2 2 2 7 4 2" xfId="22797"/>
    <cellStyle name="Note 3 2 2 2 2 7 5" xfId="4744"/>
    <cellStyle name="Note 3 2 2 2 2 8" xfId="2004"/>
    <cellStyle name="Note 3 2 2 2 2 8 2" xfId="5287"/>
    <cellStyle name="Note 3 2 2 2 2 8 2 2" xfId="9596"/>
    <cellStyle name="Note 3 2 2 2 2 8 2 2 2" xfId="15858"/>
    <cellStyle name="Note 3 2 2 2 2 8 2 2 2 2" xfId="29274"/>
    <cellStyle name="Note 3 2 2 2 2 8 2 2 3" xfId="20603"/>
    <cellStyle name="Note 3 2 2 2 2 8 2 3" xfId="11837"/>
    <cellStyle name="Note 3 2 2 2 2 8 2 3 2" xfId="26159"/>
    <cellStyle name="Note 3 2 2 2 2 8 2 4" xfId="17482"/>
    <cellStyle name="Note 3 2 2 2 2 8 3" xfId="12761"/>
    <cellStyle name="Note 3 2 2 2 2 8 3 2" xfId="27083"/>
    <cellStyle name="Note 3 2 2 2 2 8 4" xfId="18406"/>
    <cellStyle name="Note 3 2 2 2 2 9" xfId="5472"/>
    <cellStyle name="Note 3 2 2 2 2 9 2" xfId="12023"/>
    <cellStyle name="Note 3 2 2 2 2 9 2 2" xfId="26345"/>
    <cellStyle name="Note 3 2 2 2 2 9 3" xfId="17668"/>
    <cellStyle name="Note 3 2 2 2 3" xfId="2005"/>
    <cellStyle name="Note 3 2 2 2 3 2" xfId="2006"/>
    <cellStyle name="Note 3 2 2 2 3 2 2" xfId="2007"/>
    <cellStyle name="Note 3 2 2 2 3 2 2 2" xfId="6856"/>
    <cellStyle name="Note 3 2 2 2 3 2 2 2 2" xfId="13460"/>
    <cellStyle name="Note 3 2 2 2 3 2 2 2 2 2" xfId="27782"/>
    <cellStyle name="Note 3 2 2 2 3 2 2 2 3" xfId="19105"/>
    <cellStyle name="Note 3 2 2 2 3 2 2 3" xfId="7541"/>
    <cellStyle name="Note 3 2 2 2 3 2 2 3 2" xfId="10155"/>
    <cellStyle name="Note 3 2 2 2 3 2 2 3 2 2" xfId="16417"/>
    <cellStyle name="Note 3 2 2 2 3 2 2 3 2 2 2" xfId="29833"/>
    <cellStyle name="Note 3 2 2 2 3 2 2 3 2 3" xfId="21162"/>
    <cellStyle name="Note 3 2 2 2 3 2 2 3 3" xfId="14145"/>
    <cellStyle name="Note 3 2 2 2 3 2 2 3 3 2" xfId="28467"/>
    <cellStyle name="Note 3 2 2 2 3 2 2 3 4" xfId="19790"/>
    <cellStyle name="Note 3 2 2 2 3 2 2 4" xfId="11314"/>
    <cellStyle name="Note 3 2 2 2 3 2 2 4 2" xfId="25636"/>
    <cellStyle name="Note 3 2 2 2 3 2 2 5" xfId="15057"/>
    <cellStyle name="Note 3 2 2 2 3 2 3" xfId="2008"/>
    <cellStyle name="Note 3 2 2 2 3 2 3 2" xfId="5310"/>
    <cellStyle name="Note 3 2 2 2 3 2 3 2 2" xfId="9619"/>
    <cellStyle name="Note 3 2 2 2 3 2 3 2 2 2" xfId="15881"/>
    <cellStyle name="Note 3 2 2 2 3 2 3 2 2 2 2" xfId="29297"/>
    <cellStyle name="Note 3 2 2 2 3 2 3 2 2 3" xfId="20626"/>
    <cellStyle name="Note 3 2 2 2 3 2 3 2 3" xfId="11860"/>
    <cellStyle name="Note 3 2 2 2 3 2 3 2 3 2" xfId="26182"/>
    <cellStyle name="Note 3 2 2 2 3 2 3 2 4" xfId="17505"/>
    <cellStyle name="Note 3 2 2 2 3 2 3 3" xfId="13307"/>
    <cellStyle name="Note 3 2 2 2 3 2 3 3 2" xfId="27629"/>
    <cellStyle name="Note 3 2 2 2 3 2 3 4" xfId="18952"/>
    <cellStyle name="Note 3 2 2 2 3 2 4" xfId="5757"/>
    <cellStyle name="Note 3 2 2 2 3 2 4 2" xfId="12310"/>
    <cellStyle name="Note 3 2 2 2 3 2 4 2 2" xfId="26632"/>
    <cellStyle name="Note 3 2 2 2 3 2 4 3" xfId="17955"/>
    <cellStyle name="Note 3 2 2 2 3 2 5" xfId="4410"/>
    <cellStyle name="Note 3 2 2 2 3 2 5 2" xfId="22934"/>
    <cellStyle name="Note 3 2 2 2 3 2 6" xfId="17310"/>
    <cellStyle name="Note 3 2 2 2 3 3" xfId="2009"/>
    <cellStyle name="Note 3 2 2 2 3 3 2" xfId="2010"/>
    <cellStyle name="Note 3 2 2 2 3 3 2 2" xfId="6445"/>
    <cellStyle name="Note 3 2 2 2 3 3 2 2 2" xfId="13028"/>
    <cellStyle name="Note 3 2 2 2 3 3 2 2 2 2" xfId="27350"/>
    <cellStyle name="Note 3 2 2 2 3 3 2 2 3" xfId="18673"/>
    <cellStyle name="Note 3 2 2 2 3 3 2 3" xfId="7550"/>
    <cellStyle name="Note 3 2 2 2 3 3 2 3 2" xfId="10164"/>
    <cellStyle name="Note 3 2 2 2 3 3 2 3 2 2" xfId="16426"/>
    <cellStyle name="Note 3 2 2 2 3 3 2 3 2 2 2" xfId="29842"/>
    <cellStyle name="Note 3 2 2 2 3 3 2 3 2 3" xfId="21171"/>
    <cellStyle name="Note 3 2 2 2 3 3 2 3 3" xfId="14154"/>
    <cellStyle name="Note 3 2 2 2 3 3 2 3 3 2" xfId="28476"/>
    <cellStyle name="Note 3 2 2 2 3 3 2 3 4" xfId="19799"/>
    <cellStyle name="Note 3 2 2 2 3 3 2 4" xfId="3620"/>
    <cellStyle name="Note 3 2 2 2 3 3 2 4 2" xfId="22490"/>
    <cellStyle name="Note 3 2 2 2 3 3 2 5" xfId="15188"/>
    <cellStyle name="Note 3 2 2 2 3 3 3" xfId="2011"/>
    <cellStyle name="Note 3 2 2 2 3 3 3 2" xfId="4246"/>
    <cellStyle name="Note 3 2 2 2 3 3 3 2 2" xfId="9431"/>
    <cellStyle name="Note 3 2 2 2 3 3 3 2 2 2" xfId="15693"/>
    <cellStyle name="Note 3 2 2 2 3 3 3 2 2 2 2" xfId="29109"/>
    <cellStyle name="Note 3 2 2 2 3 3 3 2 2 3" xfId="20438"/>
    <cellStyle name="Note 3 2 2 2 3 3 3 2 3" xfId="4261"/>
    <cellStyle name="Note 3 2 2 2 3 3 3 2 3 2" xfId="22856"/>
    <cellStyle name="Note 3 2 2 2 3 3 3 2 4" xfId="4970"/>
    <cellStyle name="Note 3 2 2 2 3 3 3 3" xfId="13380"/>
    <cellStyle name="Note 3 2 2 2 3 3 3 3 2" xfId="27702"/>
    <cellStyle name="Note 3 2 2 2 3 3 3 4" xfId="19025"/>
    <cellStyle name="Note 3 2 2 2 3 3 4" xfId="5838"/>
    <cellStyle name="Note 3 2 2 2 3 3 4 2" xfId="12391"/>
    <cellStyle name="Note 3 2 2 2 3 3 4 2 2" xfId="26713"/>
    <cellStyle name="Note 3 2 2 2 3 3 4 3" xfId="18036"/>
    <cellStyle name="Note 3 2 2 2 3 3 5" xfId="4168"/>
    <cellStyle name="Note 3 2 2 2 3 3 5 2" xfId="22793"/>
    <cellStyle name="Note 3 2 2 2 3 3 6" xfId="15275"/>
    <cellStyle name="Note 3 2 2 2 3 4" xfId="2012"/>
    <cellStyle name="Note 3 2 2 2 3 4 2" xfId="6933"/>
    <cellStyle name="Note 3 2 2 2 3 4 2 2" xfId="13537"/>
    <cellStyle name="Note 3 2 2 2 3 4 2 2 2" xfId="27859"/>
    <cellStyle name="Note 3 2 2 2 3 4 2 3" xfId="19182"/>
    <cellStyle name="Note 3 2 2 2 3 4 3" xfId="7577"/>
    <cellStyle name="Note 3 2 2 2 3 4 3 2" xfId="10191"/>
    <cellStyle name="Note 3 2 2 2 3 4 3 2 2" xfId="16453"/>
    <cellStyle name="Note 3 2 2 2 3 4 3 2 2 2" xfId="29869"/>
    <cellStyle name="Note 3 2 2 2 3 4 3 2 3" xfId="21198"/>
    <cellStyle name="Note 3 2 2 2 3 4 3 3" xfId="14181"/>
    <cellStyle name="Note 3 2 2 2 3 4 3 3 2" xfId="28503"/>
    <cellStyle name="Note 3 2 2 2 3 4 3 4" xfId="19826"/>
    <cellStyle name="Note 3 2 2 2 3 4 4" xfId="11426"/>
    <cellStyle name="Note 3 2 2 2 3 4 4 2" xfId="25748"/>
    <cellStyle name="Note 3 2 2 2 3 4 5" xfId="3880"/>
    <cellStyle name="Note 3 2 2 2 3 5" xfId="2013"/>
    <cellStyle name="Note 3 2 2 2 3 5 2" xfId="7778"/>
    <cellStyle name="Note 3 2 2 2 3 5 2 2" xfId="10392"/>
    <cellStyle name="Note 3 2 2 2 3 5 2 2 2" xfId="16654"/>
    <cellStyle name="Note 3 2 2 2 3 5 2 2 2 2" xfId="30070"/>
    <cellStyle name="Note 3 2 2 2 3 5 2 2 3" xfId="21399"/>
    <cellStyle name="Note 3 2 2 2 3 5 2 3" xfId="14382"/>
    <cellStyle name="Note 3 2 2 2 3 5 2 3 2" xfId="28704"/>
    <cellStyle name="Note 3 2 2 2 3 5 2 4" xfId="20027"/>
    <cellStyle name="Note 3 2 2 2 3 5 3" xfId="12883"/>
    <cellStyle name="Note 3 2 2 2 3 5 3 2" xfId="27205"/>
    <cellStyle name="Note 3 2 2 2 3 5 4" xfId="18528"/>
    <cellStyle name="Note 3 2 2 2 3 6" xfId="5501"/>
    <cellStyle name="Note 3 2 2 2 3 6 2" xfId="12052"/>
    <cellStyle name="Note 3 2 2 2 3 6 2 2" xfId="26374"/>
    <cellStyle name="Note 3 2 2 2 3 6 3" xfId="17697"/>
    <cellStyle name="Note 3 2 2 2 3 7" xfId="3633"/>
    <cellStyle name="Note 3 2 2 2 3 7 2" xfId="22496"/>
    <cellStyle name="Note 3 2 2 2 3 8" xfId="15210"/>
    <cellStyle name="Note 3 2 2 2 4" xfId="2014"/>
    <cellStyle name="Note 3 2 2 2 4 2" xfId="2015"/>
    <cellStyle name="Note 3 2 2 2 4 2 2" xfId="2016"/>
    <cellStyle name="Note 3 2 2 2 4 2 2 2" xfId="5828"/>
    <cellStyle name="Note 3 2 2 2 4 2 2 2 2" xfId="12381"/>
    <cellStyle name="Note 3 2 2 2 4 2 2 2 2 2" xfId="26703"/>
    <cellStyle name="Note 3 2 2 2 4 2 2 2 3" xfId="18026"/>
    <cellStyle name="Note 3 2 2 2 4 2 2 3" xfId="3997"/>
    <cellStyle name="Note 3 2 2 2 4 2 2 3 2" xfId="9407"/>
    <cellStyle name="Note 3 2 2 2 4 2 2 3 2 2" xfId="15669"/>
    <cellStyle name="Note 3 2 2 2 4 2 2 3 2 2 2" xfId="29085"/>
    <cellStyle name="Note 3 2 2 2 4 2 2 3 2 3" xfId="20414"/>
    <cellStyle name="Note 3 2 2 2 4 2 2 3 3" xfId="4866"/>
    <cellStyle name="Note 3 2 2 2 4 2 2 3 3 2" xfId="23231"/>
    <cellStyle name="Note 3 2 2 2 4 2 2 3 4" xfId="15427"/>
    <cellStyle name="Note 3 2 2 2 4 2 2 4" xfId="3254"/>
    <cellStyle name="Note 3 2 2 2 4 2 2 4 2" xfId="22446"/>
    <cellStyle name="Note 3 2 2 2 4 2 2 5" xfId="15322"/>
    <cellStyle name="Note 3 2 2 2 4 2 3" xfId="2017"/>
    <cellStyle name="Note 3 2 2 2 4 2 3 2" xfId="7235"/>
    <cellStyle name="Note 3 2 2 2 4 2 3 2 2" xfId="9849"/>
    <cellStyle name="Note 3 2 2 2 4 2 3 2 2 2" xfId="16111"/>
    <cellStyle name="Note 3 2 2 2 4 2 3 2 2 2 2" xfId="29527"/>
    <cellStyle name="Note 3 2 2 2 4 2 3 2 2 3" xfId="20856"/>
    <cellStyle name="Note 3 2 2 2 4 2 3 2 3" xfId="13839"/>
    <cellStyle name="Note 3 2 2 2 4 2 3 2 3 2" xfId="28161"/>
    <cellStyle name="Note 3 2 2 2 4 2 3 2 4" xfId="19484"/>
    <cellStyle name="Note 3 2 2 2 4 2 3 3" xfId="13343"/>
    <cellStyle name="Note 3 2 2 2 4 2 3 3 2" xfId="27665"/>
    <cellStyle name="Note 3 2 2 2 4 2 3 4" xfId="18988"/>
    <cellStyle name="Note 3 2 2 2 4 2 4" xfId="5793"/>
    <cellStyle name="Note 3 2 2 2 4 2 4 2" xfId="12346"/>
    <cellStyle name="Note 3 2 2 2 4 2 4 2 2" xfId="26668"/>
    <cellStyle name="Note 3 2 2 2 4 2 4 3" xfId="17991"/>
    <cellStyle name="Note 3 2 2 2 4 2 5" xfId="5381"/>
    <cellStyle name="Note 3 2 2 2 4 2 5 2" xfId="23343"/>
    <cellStyle name="Note 3 2 2 2 4 2 6" xfId="4239"/>
    <cellStyle name="Note 3 2 2 2 4 3" xfId="2018"/>
    <cellStyle name="Note 3 2 2 2 4 3 2" xfId="2019"/>
    <cellStyle name="Note 3 2 2 2 4 3 2 2" xfId="6437"/>
    <cellStyle name="Note 3 2 2 2 4 3 2 2 2" xfId="13020"/>
    <cellStyle name="Note 3 2 2 2 4 3 2 2 2 2" xfId="27342"/>
    <cellStyle name="Note 3 2 2 2 4 3 2 2 3" xfId="18665"/>
    <cellStyle name="Note 3 2 2 2 4 3 2 3" xfId="7614"/>
    <cellStyle name="Note 3 2 2 2 4 3 2 3 2" xfId="10228"/>
    <cellStyle name="Note 3 2 2 2 4 3 2 3 2 2" xfId="16490"/>
    <cellStyle name="Note 3 2 2 2 4 3 2 3 2 2 2" xfId="29906"/>
    <cellStyle name="Note 3 2 2 2 4 3 2 3 2 3" xfId="21235"/>
    <cellStyle name="Note 3 2 2 2 4 3 2 3 3" xfId="14218"/>
    <cellStyle name="Note 3 2 2 2 4 3 2 3 3 2" xfId="28540"/>
    <cellStyle name="Note 3 2 2 2 4 3 2 3 4" xfId="19863"/>
    <cellStyle name="Note 3 2 2 2 4 3 2 4" xfId="4235"/>
    <cellStyle name="Note 3 2 2 2 4 3 2 4 2" xfId="22845"/>
    <cellStyle name="Note 3 2 2 2 4 3 2 5" xfId="15531"/>
    <cellStyle name="Note 3 2 2 2 4 3 3" xfId="2020"/>
    <cellStyle name="Note 3 2 2 2 4 3 3 2" xfId="3908"/>
    <cellStyle name="Note 3 2 2 2 4 3 3 2 2" xfId="9393"/>
    <cellStyle name="Note 3 2 2 2 4 3 3 2 2 2" xfId="15655"/>
    <cellStyle name="Note 3 2 2 2 4 3 3 2 2 2 2" xfId="29071"/>
    <cellStyle name="Note 3 2 2 2 4 3 3 2 2 3" xfId="20400"/>
    <cellStyle name="Note 3 2 2 2 4 3 3 2 3" xfId="6155"/>
    <cellStyle name="Note 3 2 2 2 4 3 3 2 3 2" xfId="23434"/>
    <cellStyle name="Note 3 2 2 2 4 3 3 2 4" xfId="4197"/>
    <cellStyle name="Note 3 2 2 2 4 3 3 3" xfId="13413"/>
    <cellStyle name="Note 3 2 2 2 4 3 3 3 2" xfId="27735"/>
    <cellStyle name="Note 3 2 2 2 4 3 3 4" xfId="19058"/>
    <cellStyle name="Note 3 2 2 2 4 3 4" xfId="5881"/>
    <cellStyle name="Note 3 2 2 2 4 3 4 2" xfId="12434"/>
    <cellStyle name="Note 3 2 2 2 4 3 4 2 2" xfId="26756"/>
    <cellStyle name="Note 3 2 2 2 4 3 4 3" xfId="18079"/>
    <cellStyle name="Note 3 2 2 2 4 3 5" xfId="3876"/>
    <cellStyle name="Note 3 2 2 2 4 3 5 2" xfId="22622"/>
    <cellStyle name="Note 3 2 2 2 4 3 6" xfId="15152"/>
    <cellStyle name="Note 3 2 2 2 4 4" xfId="2021"/>
    <cellStyle name="Note 3 2 2 2 4 4 2" xfId="6969"/>
    <cellStyle name="Note 3 2 2 2 4 4 2 2" xfId="13573"/>
    <cellStyle name="Note 3 2 2 2 4 4 2 2 2" xfId="27895"/>
    <cellStyle name="Note 3 2 2 2 4 4 2 3" xfId="19218"/>
    <cellStyle name="Note 3 2 2 2 4 4 3" xfId="4316"/>
    <cellStyle name="Note 3 2 2 2 4 4 3 2" xfId="9447"/>
    <cellStyle name="Note 3 2 2 2 4 4 3 2 2" xfId="15709"/>
    <cellStyle name="Note 3 2 2 2 4 4 3 2 2 2" xfId="29125"/>
    <cellStyle name="Note 3 2 2 2 4 4 3 2 3" xfId="20454"/>
    <cellStyle name="Note 3 2 2 2 4 4 3 3" xfId="6081"/>
    <cellStyle name="Note 3 2 2 2 4 4 3 3 2" xfId="23410"/>
    <cellStyle name="Note 3 2 2 2 4 4 3 4" xfId="14989"/>
    <cellStyle name="Note 3 2 2 2 4 4 4" xfId="11476"/>
    <cellStyle name="Note 3 2 2 2 4 4 4 2" xfId="25798"/>
    <cellStyle name="Note 3 2 2 2 4 4 5" xfId="14685"/>
    <cellStyle name="Note 3 2 2 2 4 5" xfId="2022"/>
    <cellStyle name="Note 3 2 2 2 4 5 2" xfId="7925"/>
    <cellStyle name="Note 3 2 2 2 4 5 2 2" xfId="10539"/>
    <cellStyle name="Note 3 2 2 2 4 5 2 2 2" xfId="16801"/>
    <cellStyle name="Note 3 2 2 2 4 5 2 2 2 2" xfId="30217"/>
    <cellStyle name="Note 3 2 2 2 4 5 2 2 3" xfId="21546"/>
    <cellStyle name="Note 3 2 2 2 4 5 2 3" xfId="14529"/>
    <cellStyle name="Note 3 2 2 2 4 5 2 3 2" xfId="28851"/>
    <cellStyle name="Note 3 2 2 2 4 5 2 4" xfId="20174"/>
    <cellStyle name="Note 3 2 2 2 4 5 3" xfId="12919"/>
    <cellStyle name="Note 3 2 2 2 4 5 3 2" xfId="27241"/>
    <cellStyle name="Note 3 2 2 2 4 5 4" xfId="18564"/>
    <cellStyle name="Note 3 2 2 2 4 6" xfId="5543"/>
    <cellStyle name="Note 3 2 2 2 4 6 2" xfId="12094"/>
    <cellStyle name="Note 3 2 2 2 4 6 2 2" xfId="26416"/>
    <cellStyle name="Note 3 2 2 2 4 6 3" xfId="17739"/>
    <cellStyle name="Note 3 2 2 2 4 7" xfId="5582"/>
    <cellStyle name="Note 3 2 2 2 4 7 2" xfId="23354"/>
    <cellStyle name="Note 3 2 2 2 4 8" xfId="14845"/>
    <cellStyle name="Note 3 2 2 2 5" xfId="2023"/>
    <cellStyle name="Note 3 2 2 2 5 2" xfId="2024"/>
    <cellStyle name="Note 3 2 2 2 5 2 2" xfId="2025"/>
    <cellStyle name="Note 3 2 2 2 5 2 2 2" xfId="6215"/>
    <cellStyle name="Note 3 2 2 2 5 2 2 2 2" xfId="12789"/>
    <cellStyle name="Note 3 2 2 2 5 2 2 2 2 2" xfId="27111"/>
    <cellStyle name="Note 3 2 2 2 5 2 2 2 3" xfId="18434"/>
    <cellStyle name="Note 3 2 2 2 5 2 2 3" xfId="7170"/>
    <cellStyle name="Note 3 2 2 2 5 2 2 3 2" xfId="9784"/>
    <cellStyle name="Note 3 2 2 2 5 2 2 3 2 2" xfId="16046"/>
    <cellStyle name="Note 3 2 2 2 5 2 2 3 2 2 2" xfId="29462"/>
    <cellStyle name="Note 3 2 2 2 5 2 2 3 2 3" xfId="20791"/>
    <cellStyle name="Note 3 2 2 2 5 2 2 3 3" xfId="13774"/>
    <cellStyle name="Note 3 2 2 2 5 2 2 3 3 2" xfId="28096"/>
    <cellStyle name="Note 3 2 2 2 5 2 2 3 4" xfId="19419"/>
    <cellStyle name="Note 3 2 2 2 5 2 2 4" xfId="4556"/>
    <cellStyle name="Note 3 2 2 2 5 2 2 4 2" xfId="23028"/>
    <cellStyle name="Note 3 2 2 2 5 2 2 5" xfId="14709"/>
    <cellStyle name="Note 3 2 2 2 5 2 3" xfId="2026"/>
    <cellStyle name="Note 3 2 2 2 5 2 3 2" xfId="8021"/>
    <cellStyle name="Note 3 2 2 2 5 2 3 2 2" xfId="10635"/>
    <cellStyle name="Note 3 2 2 2 5 2 3 2 2 2" xfId="16897"/>
    <cellStyle name="Note 3 2 2 2 5 2 3 2 2 2 2" xfId="30313"/>
    <cellStyle name="Note 3 2 2 2 5 2 3 2 2 3" xfId="21642"/>
    <cellStyle name="Note 3 2 2 2 5 2 3 2 3" xfId="14625"/>
    <cellStyle name="Note 3 2 2 2 5 2 3 2 3 2" xfId="28947"/>
    <cellStyle name="Note 3 2 2 2 5 2 3 2 4" xfId="20270"/>
    <cellStyle name="Note 3 2 2 2 5 2 3 3" xfId="13262"/>
    <cellStyle name="Note 3 2 2 2 5 2 3 3 2" xfId="27584"/>
    <cellStyle name="Note 3 2 2 2 5 2 3 4" xfId="18907"/>
    <cellStyle name="Note 3 2 2 2 5 2 4" xfId="5708"/>
    <cellStyle name="Note 3 2 2 2 5 2 4 2" xfId="12261"/>
    <cellStyle name="Note 3 2 2 2 5 2 4 2 2" xfId="26583"/>
    <cellStyle name="Note 3 2 2 2 5 2 4 3" xfId="17906"/>
    <cellStyle name="Note 3 2 2 2 5 2 5" xfId="4014"/>
    <cellStyle name="Note 3 2 2 2 5 2 5 2" xfId="22702"/>
    <cellStyle name="Note 3 2 2 2 5 2 6" xfId="14822"/>
    <cellStyle name="Note 3 2 2 2 5 3" xfId="2027"/>
    <cellStyle name="Note 3 2 2 2 5 3 2" xfId="2028"/>
    <cellStyle name="Note 3 2 2 2 5 3 2 2" xfId="6091"/>
    <cellStyle name="Note 3 2 2 2 5 3 2 2 2" xfId="12658"/>
    <cellStyle name="Note 3 2 2 2 5 3 2 2 2 2" xfId="26980"/>
    <cellStyle name="Note 3 2 2 2 5 3 2 2 3" xfId="18303"/>
    <cellStyle name="Note 3 2 2 2 5 3 2 3" xfId="3286"/>
    <cellStyle name="Note 3 2 2 2 5 3 2 3 2" xfId="9054"/>
    <cellStyle name="Note 3 2 2 2 5 3 2 3 2 2" xfId="15393"/>
    <cellStyle name="Note 3 2 2 2 5 3 2 3 2 2 2" xfId="29012"/>
    <cellStyle name="Note 3 2 2 2 5 3 2 3 2 3" xfId="20339"/>
    <cellStyle name="Note 3 2 2 2 5 3 2 3 3" xfId="4439"/>
    <cellStyle name="Note 3 2 2 2 5 3 2 3 3 2" xfId="22953"/>
    <cellStyle name="Note 3 2 2 2 5 3 2 3 4" xfId="14847"/>
    <cellStyle name="Note 3 2 2 2 5 3 2 4" xfId="4299"/>
    <cellStyle name="Note 3 2 2 2 5 3 2 4 2" xfId="22878"/>
    <cellStyle name="Note 3 2 2 2 5 3 2 5" xfId="17308"/>
    <cellStyle name="Note 3 2 2 2 5 3 3" xfId="2029"/>
    <cellStyle name="Note 3 2 2 2 5 3 3 2" xfId="7796"/>
    <cellStyle name="Note 3 2 2 2 5 3 3 2 2" xfId="10410"/>
    <cellStyle name="Note 3 2 2 2 5 3 3 2 2 2" xfId="16672"/>
    <cellStyle name="Note 3 2 2 2 5 3 3 2 2 2 2" xfId="30088"/>
    <cellStyle name="Note 3 2 2 2 5 3 3 2 2 3" xfId="21417"/>
    <cellStyle name="Note 3 2 2 2 5 3 3 2 3" xfId="14400"/>
    <cellStyle name="Note 3 2 2 2 5 3 3 2 3 2" xfId="28722"/>
    <cellStyle name="Note 3 2 2 2 5 3 3 2 4" xfId="20045"/>
    <cellStyle name="Note 3 2 2 2 5 3 3 3" xfId="13111"/>
    <cellStyle name="Note 3 2 2 2 5 3 3 3 2" xfId="27433"/>
    <cellStyle name="Note 3 2 2 2 5 3 3 4" xfId="18756"/>
    <cellStyle name="Note 3 2 2 2 5 3 4" xfId="5476"/>
    <cellStyle name="Note 3 2 2 2 5 3 4 2" xfId="12027"/>
    <cellStyle name="Note 3 2 2 2 5 3 4 2 2" xfId="26349"/>
    <cellStyle name="Note 3 2 2 2 5 3 4 3" xfId="17672"/>
    <cellStyle name="Note 3 2 2 2 5 3 5" xfId="2834"/>
    <cellStyle name="Note 3 2 2 2 5 3 5 2" xfId="22397"/>
    <cellStyle name="Note 3 2 2 2 5 3 6" xfId="15569"/>
    <cellStyle name="Note 3 2 2 2 5 4" xfId="2030"/>
    <cellStyle name="Note 3 2 2 2 5 4 2" xfId="5989"/>
    <cellStyle name="Note 3 2 2 2 5 4 2 2" xfId="12547"/>
    <cellStyle name="Note 3 2 2 2 5 4 2 2 2" xfId="26869"/>
    <cellStyle name="Note 3 2 2 2 5 4 2 3" xfId="18192"/>
    <cellStyle name="Note 3 2 2 2 5 4 3" xfId="8062"/>
    <cellStyle name="Note 3 2 2 2 5 4 3 2" xfId="10676"/>
    <cellStyle name="Note 3 2 2 2 5 4 3 2 2" xfId="16938"/>
    <cellStyle name="Note 3 2 2 2 5 4 3 2 2 2" xfId="30354"/>
    <cellStyle name="Note 3 2 2 2 5 4 3 2 3" xfId="21683"/>
    <cellStyle name="Note 3 2 2 2 5 4 3 3" xfId="14666"/>
    <cellStyle name="Note 3 2 2 2 5 4 3 3 2" xfId="28988"/>
    <cellStyle name="Note 3 2 2 2 5 4 3 4" xfId="20311"/>
    <cellStyle name="Note 3 2 2 2 5 4 4" xfId="6186"/>
    <cellStyle name="Note 3 2 2 2 5 4 4 2" xfId="23451"/>
    <cellStyle name="Note 3 2 2 2 5 4 5" xfId="15352"/>
    <cellStyle name="Note 3 2 2 2 5 5" xfId="2031"/>
    <cellStyle name="Note 3 2 2 2 5 5 2" xfId="7233"/>
    <cellStyle name="Note 3 2 2 2 5 5 2 2" xfId="9847"/>
    <cellStyle name="Note 3 2 2 2 5 5 2 2 2" xfId="16109"/>
    <cellStyle name="Note 3 2 2 2 5 5 2 2 2 2" xfId="29525"/>
    <cellStyle name="Note 3 2 2 2 5 5 2 2 3" xfId="20854"/>
    <cellStyle name="Note 3 2 2 2 5 5 2 3" xfId="13837"/>
    <cellStyle name="Note 3 2 2 2 5 5 2 3 2" xfId="28159"/>
    <cellStyle name="Note 3 2 2 2 5 5 2 4" xfId="19482"/>
    <cellStyle name="Note 3 2 2 2 5 5 3" xfId="12817"/>
    <cellStyle name="Note 3 2 2 2 5 5 3 2" xfId="27139"/>
    <cellStyle name="Note 3 2 2 2 5 5 4" xfId="18462"/>
    <cellStyle name="Note 3 2 2 2 5 6" xfId="5354"/>
    <cellStyle name="Note 3 2 2 2 5 6 2" xfId="11904"/>
    <cellStyle name="Note 3 2 2 2 5 6 2 2" xfId="26226"/>
    <cellStyle name="Note 3 2 2 2 5 6 3" xfId="17549"/>
    <cellStyle name="Note 3 2 2 2 5 7" xfId="4345"/>
    <cellStyle name="Note 3 2 2 2 5 7 2" xfId="22900"/>
    <cellStyle name="Note 3 2 2 2 5 8" xfId="16972"/>
    <cellStyle name="Note 3 2 2 2 6" xfId="2032"/>
    <cellStyle name="Note 3 2 2 2 6 2" xfId="2033"/>
    <cellStyle name="Note 3 2 2 2 6 2 2" xfId="2034"/>
    <cellStyle name="Note 3 2 2 2 6 2 2 2" xfId="5934"/>
    <cellStyle name="Note 3 2 2 2 6 2 2 2 2" xfId="12491"/>
    <cellStyle name="Note 3 2 2 2 6 2 2 2 2 2" xfId="26813"/>
    <cellStyle name="Note 3 2 2 2 6 2 2 2 3" xfId="18136"/>
    <cellStyle name="Note 3 2 2 2 6 2 2 3" xfId="7913"/>
    <cellStyle name="Note 3 2 2 2 6 2 2 3 2" xfId="10527"/>
    <cellStyle name="Note 3 2 2 2 6 2 2 3 2 2" xfId="16789"/>
    <cellStyle name="Note 3 2 2 2 6 2 2 3 2 2 2" xfId="30205"/>
    <cellStyle name="Note 3 2 2 2 6 2 2 3 2 3" xfId="21534"/>
    <cellStyle name="Note 3 2 2 2 6 2 2 3 3" xfId="14517"/>
    <cellStyle name="Note 3 2 2 2 6 2 2 3 3 2" xfId="28839"/>
    <cellStyle name="Note 3 2 2 2 6 2 2 3 4" xfId="20162"/>
    <cellStyle name="Note 3 2 2 2 6 2 2 4" xfId="6314"/>
    <cellStyle name="Note 3 2 2 2 6 2 2 4 2" xfId="23510"/>
    <cellStyle name="Note 3 2 2 2 6 2 2 5" xfId="17332"/>
    <cellStyle name="Note 3 2 2 2 6 2 3" xfId="2035"/>
    <cellStyle name="Note 3 2 2 2 6 2 3 2" xfId="7150"/>
    <cellStyle name="Note 3 2 2 2 6 2 3 2 2" xfId="9764"/>
    <cellStyle name="Note 3 2 2 2 6 2 3 2 2 2" xfId="16026"/>
    <cellStyle name="Note 3 2 2 2 6 2 3 2 2 2 2" xfId="29442"/>
    <cellStyle name="Note 3 2 2 2 6 2 3 2 2 3" xfId="20771"/>
    <cellStyle name="Note 3 2 2 2 6 2 3 2 3" xfId="13754"/>
    <cellStyle name="Note 3 2 2 2 6 2 3 2 3 2" xfId="28076"/>
    <cellStyle name="Note 3 2 2 2 6 2 3 2 4" xfId="19399"/>
    <cellStyle name="Note 3 2 2 2 6 2 3 3" xfId="11780"/>
    <cellStyle name="Note 3 2 2 2 6 2 3 3 2" xfId="26102"/>
    <cellStyle name="Note 3 2 2 2 6 2 3 4" xfId="17425"/>
    <cellStyle name="Note 3 2 2 2 6 2 4" xfId="3700"/>
    <cellStyle name="Note 3 2 2 2 6 2 4 2" xfId="4141"/>
    <cellStyle name="Note 3 2 2 2 6 2 4 2 2" xfId="22779"/>
    <cellStyle name="Note 3 2 2 2 6 2 4 3" xfId="17374"/>
    <cellStyle name="Note 3 2 2 2 6 2 5" xfId="4879"/>
    <cellStyle name="Note 3 2 2 2 6 2 5 2" xfId="23241"/>
    <cellStyle name="Note 3 2 2 2 6 2 6" xfId="3787"/>
    <cellStyle name="Note 3 2 2 2 6 3" xfId="2036"/>
    <cellStyle name="Note 3 2 2 2 6 3 2" xfId="6551"/>
    <cellStyle name="Note 3 2 2 2 6 3 2 2" xfId="13139"/>
    <cellStyle name="Note 3 2 2 2 6 3 2 2 2" xfId="27461"/>
    <cellStyle name="Note 3 2 2 2 6 3 2 3" xfId="18784"/>
    <cellStyle name="Note 3 2 2 2 6 3 3" xfId="5329"/>
    <cellStyle name="Note 3 2 2 2 6 3 3 2" xfId="9638"/>
    <cellStyle name="Note 3 2 2 2 6 3 3 2 2" xfId="15900"/>
    <cellStyle name="Note 3 2 2 2 6 3 3 2 2 2" xfId="29316"/>
    <cellStyle name="Note 3 2 2 2 6 3 3 2 3" xfId="20645"/>
    <cellStyle name="Note 3 2 2 2 6 3 3 3" xfId="11879"/>
    <cellStyle name="Note 3 2 2 2 6 3 3 3 2" xfId="26201"/>
    <cellStyle name="Note 3 2 2 2 6 3 3 4" xfId="17524"/>
    <cellStyle name="Note 3 2 2 2 6 3 4" xfId="3716"/>
    <cellStyle name="Note 3 2 2 2 6 3 4 2" xfId="22541"/>
    <cellStyle name="Note 3 2 2 2 6 3 5" xfId="17062"/>
    <cellStyle name="Note 3 2 2 2 6 4" xfId="2037"/>
    <cellStyle name="Note 3 2 2 2 6 4 2" xfId="7050"/>
    <cellStyle name="Note 3 2 2 2 6 4 2 2" xfId="9664"/>
    <cellStyle name="Note 3 2 2 2 6 4 2 2 2" xfId="15926"/>
    <cellStyle name="Note 3 2 2 2 6 4 2 2 2 2" xfId="29342"/>
    <cellStyle name="Note 3 2 2 2 6 4 2 2 3" xfId="20671"/>
    <cellStyle name="Note 3 2 2 2 6 4 2 3" xfId="13654"/>
    <cellStyle name="Note 3 2 2 2 6 4 2 3 2" xfId="27976"/>
    <cellStyle name="Note 3 2 2 2 6 4 2 4" xfId="19299"/>
    <cellStyle name="Note 3 2 2 2 6 4 3" xfId="12946"/>
    <cellStyle name="Note 3 2 2 2 6 4 3 2" xfId="27268"/>
    <cellStyle name="Note 3 2 2 2 6 4 4" xfId="18591"/>
    <cellStyle name="Note 3 2 2 2 6 5" xfId="5611"/>
    <cellStyle name="Note 3 2 2 2 6 5 2" xfId="12164"/>
    <cellStyle name="Note 3 2 2 2 6 5 2 2" xfId="26486"/>
    <cellStyle name="Note 3 2 2 2 6 5 3" xfId="17809"/>
    <cellStyle name="Note 3 2 2 2 6 6" xfId="3721"/>
    <cellStyle name="Note 3 2 2 2 6 6 2" xfId="22545"/>
    <cellStyle name="Note 3 2 2 2 6 7" xfId="4112"/>
    <cellStyle name="Note 3 2 2 2 7" xfId="2038"/>
    <cellStyle name="Note 3 2 2 2 7 2" xfId="2039"/>
    <cellStyle name="Note 3 2 2 2 7 2 2" xfId="6383"/>
    <cellStyle name="Note 3 2 2 2 7 2 2 2" xfId="12966"/>
    <cellStyle name="Note 3 2 2 2 7 2 2 2 2" xfId="27288"/>
    <cellStyle name="Note 3 2 2 2 7 2 2 3" xfId="18611"/>
    <cellStyle name="Note 3 2 2 2 7 2 3" xfId="3872"/>
    <cellStyle name="Note 3 2 2 2 7 2 3 2" xfId="9388"/>
    <cellStyle name="Note 3 2 2 2 7 2 3 2 2" xfId="15650"/>
    <cellStyle name="Note 3 2 2 2 7 2 3 2 2 2" xfId="29066"/>
    <cellStyle name="Note 3 2 2 2 7 2 3 2 3" xfId="20395"/>
    <cellStyle name="Note 3 2 2 2 7 2 3 3" xfId="4150"/>
    <cellStyle name="Note 3 2 2 2 7 2 3 3 2" xfId="22785"/>
    <cellStyle name="Note 3 2 2 2 7 2 3 4" xfId="15145"/>
    <cellStyle name="Note 3 2 2 2 7 2 4" xfId="6756"/>
    <cellStyle name="Note 3 2 2 2 7 2 4 2" xfId="23704"/>
    <cellStyle name="Note 3 2 2 2 7 2 5" xfId="17038"/>
    <cellStyle name="Note 3 2 2 2 7 3" xfId="2040"/>
    <cellStyle name="Note 3 2 2 2 7 3 2" xfId="8003"/>
    <cellStyle name="Note 3 2 2 2 7 3 2 2" xfId="10617"/>
    <cellStyle name="Note 3 2 2 2 7 3 2 2 2" xfId="16879"/>
    <cellStyle name="Note 3 2 2 2 7 3 2 2 2 2" xfId="30295"/>
    <cellStyle name="Note 3 2 2 2 7 3 2 2 3" xfId="21624"/>
    <cellStyle name="Note 3 2 2 2 7 3 2 3" xfId="14607"/>
    <cellStyle name="Note 3 2 2 2 7 3 2 3 2" xfId="28929"/>
    <cellStyle name="Note 3 2 2 2 7 3 2 4" xfId="20252"/>
    <cellStyle name="Note 3 2 2 2 7 3 3" xfId="13402"/>
    <cellStyle name="Note 3 2 2 2 7 3 3 2" xfId="27724"/>
    <cellStyle name="Note 3 2 2 2 7 3 4" xfId="19047"/>
    <cellStyle name="Note 3 2 2 2 7 4" xfId="5866"/>
    <cellStyle name="Note 3 2 2 2 7 4 2" xfId="12419"/>
    <cellStyle name="Note 3 2 2 2 7 4 2 2" xfId="26741"/>
    <cellStyle name="Note 3 2 2 2 7 4 3" xfId="18064"/>
    <cellStyle name="Note 3 2 2 2 7 5" xfId="3684"/>
    <cellStyle name="Note 3 2 2 2 7 5 2" xfId="22526"/>
    <cellStyle name="Note 3 2 2 2 7 6" xfId="4561"/>
    <cellStyle name="Note 3 2 2 2 8" xfId="2041"/>
    <cellStyle name="Note 3 2 2 2 8 2" xfId="6990"/>
    <cellStyle name="Note 3 2 2 2 8 2 2" xfId="13594"/>
    <cellStyle name="Note 3 2 2 2 8 2 2 2" xfId="27916"/>
    <cellStyle name="Note 3 2 2 2 8 2 3" xfId="19239"/>
    <cellStyle name="Note 3 2 2 2 8 3" xfId="7540"/>
    <cellStyle name="Note 3 2 2 2 8 3 2" xfId="10154"/>
    <cellStyle name="Note 3 2 2 2 8 3 2 2" xfId="16416"/>
    <cellStyle name="Note 3 2 2 2 8 3 2 2 2" xfId="29832"/>
    <cellStyle name="Note 3 2 2 2 8 3 2 3" xfId="21161"/>
    <cellStyle name="Note 3 2 2 2 8 3 3" xfId="14144"/>
    <cellStyle name="Note 3 2 2 2 8 3 3 2" xfId="28466"/>
    <cellStyle name="Note 3 2 2 2 8 3 4" xfId="19789"/>
    <cellStyle name="Note 3 2 2 2 8 4" xfId="11502"/>
    <cellStyle name="Note 3 2 2 2 8 4 2" xfId="25824"/>
    <cellStyle name="Note 3 2 2 2 8 5" xfId="17040"/>
    <cellStyle name="Note 3 2 2 2 9" xfId="2042"/>
    <cellStyle name="Note 3 2 2 2 9 2" xfId="7425"/>
    <cellStyle name="Note 3 2 2 2 9 2 2" xfId="10039"/>
    <cellStyle name="Note 3 2 2 2 9 2 2 2" xfId="16301"/>
    <cellStyle name="Note 3 2 2 2 9 2 2 2 2" xfId="29717"/>
    <cellStyle name="Note 3 2 2 2 9 2 2 3" xfId="21046"/>
    <cellStyle name="Note 3 2 2 2 9 2 3" xfId="14029"/>
    <cellStyle name="Note 3 2 2 2 9 2 3 2" xfId="28351"/>
    <cellStyle name="Note 3 2 2 2 9 2 4" xfId="19674"/>
    <cellStyle name="Note 3 2 2 2 9 3" xfId="12724"/>
    <cellStyle name="Note 3 2 2 2 9 3 2" xfId="27046"/>
    <cellStyle name="Note 3 2 2 2 9 4" xfId="18369"/>
    <cellStyle name="Note 3 2 2 3" xfId="2043"/>
    <cellStyle name="Note 3 2 2 3 10" xfId="4971"/>
    <cellStyle name="Note 3 2 2 3 10 2" xfId="23287"/>
    <cellStyle name="Note 3 2 2 3 11" xfId="15570"/>
    <cellStyle name="Note 3 2 2 3 2" xfId="2044"/>
    <cellStyle name="Note 3 2 2 3 2 2" xfId="2045"/>
    <cellStyle name="Note 3 2 2 3 2 2 2" xfId="2046"/>
    <cellStyle name="Note 3 2 2 3 2 2 2 2" xfId="5958"/>
    <cellStyle name="Note 3 2 2 3 2 2 2 2 2" xfId="12516"/>
    <cellStyle name="Note 3 2 2 3 2 2 2 2 2 2" xfId="26838"/>
    <cellStyle name="Note 3 2 2 3 2 2 2 2 3" xfId="18161"/>
    <cellStyle name="Note 3 2 2 3 2 2 2 3" xfId="7835"/>
    <cellStyle name="Note 3 2 2 3 2 2 2 3 2" xfId="10449"/>
    <cellStyle name="Note 3 2 2 3 2 2 2 3 2 2" xfId="16711"/>
    <cellStyle name="Note 3 2 2 3 2 2 2 3 2 2 2" xfId="30127"/>
    <cellStyle name="Note 3 2 2 3 2 2 2 3 2 3" xfId="21456"/>
    <cellStyle name="Note 3 2 2 3 2 2 2 3 3" xfId="14439"/>
    <cellStyle name="Note 3 2 2 3 2 2 2 3 3 2" xfId="28761"/>
    <cellStyle name="Note 3 2 2 3 2 2 2 3 4" xfId="20084"/>
    <cellStyle name="Note 3 2 2 3 2 2 2 4" xfId="4273"/>
    <cellStyle name="Note 3 2 2 3 2 2 2 4 2" xfId="22863"/>
    <cellStyle name="Note 3 2 2 3 2 2 2 5" xfId="14773"/>
    <cellStyle name="Note 3 2 2 3 2 2 3" xfId="2047"/>
    <cellStyle name="Note 3 2 2 3 2 2 3 2" xfId="7985"/>
    <cellStyle name="Note 3 2 2 3 2 2 3 2 2" xfId="10599"/>
    <cellStyle name="Note 3 2 2 3 2 2 3 2 2 2" xfId="16861"/>
    <cellStyle name="Note 3 2 2 3 2 2 3 2 2 2 2" xfId="30277"/>
    <cellStyle name="Note 3 2 2 3 2 2 3 2 2 3" xfId="21606"/>
    <cellStyle name="Note 3 2 2 3 2 2 3 2 3" xfId="14589"/>
    <cellStyle name="Note 3 2 2 3 2 2 3 2 3 2" xfId="28911"/>
    <cellStyle name="Note 3 2 2 3 2 2 3 2 4" xfId="20234"/>
    <cellStyle name="Note 3 2 2 3 2 2 3 3" xfId="13303"/>
    <cellStyle name="Note 3 2 2 3 2 2 3 3 2" xfId="27625"/>
    <cellStyle name="Note 3 2 2 3 2 2 3 4" xfId="18948"/>
    <cellStyle name="Note 3 2 2 3 2 2 4" xfId="5753"/>
    <cellStyle name="Note 3 2 2 3 2 2 4 2" xfId="12306"/>
    <cellStyle name="Note 3 2 2 3 2 2 4 2 2" xfId="26628"/>
    <cellStyle name="Note 3 2 2 3 2 2 4 3" xfId="17951"/>
    <cellStyle name="Note 3 2 2 3 2 2 5" xfId="3682"/>
    <cellStyle name="Note 3 2 2 3 2 2 5 2" xfId="22525"/>
    <cellStyle name="Note 3 2 2 3 2 2 6" xfId="15249"/>
    <cellStyle name="Note 3 2 2 3 2 3" xfId="2048"/>
    <cellStyle name="Note 3 2 2 3 2 3 2" xfId="2049"/>
    <cellStyle name="Note 3 2 2 3 2 3 2 2" xfId="5391"/>
    <cellStyle name="Note 3 2 2 3 2 3 2 2 2" xfId="11941"/>
    <cellStyle name="Note 3 2 2 3 2 3 2 2 2 2" xfId="26263"/>
    <cellStyle name="Note 3 2 2 3 2 3 2 2 3" xfId="17586"/>
    <cellStyle name="Note 3 2 2 3 2 3 2 3" xfId="7715"/>
    <cellStyle name="Note 3 2 2 3 2 3 2 3 2" xfId="10329"/>
    <cellStyle name="Note 3 2 2 3 2 3 2 3 2 2" xfId="16591"/>
    <cellStyle name="Note 3 2 2 3 2 3 2 3 2 2 2" xfId="30007"/>
    <cellStyle name="Note 3 2 2 3 2 3 2 3 2 3" xfId="21336"/>
    <cellStyle name="Note 3 2 2 3 2 3 2 3 3" xfId="14319"/>
    <cellStyle name="Note 3 2 2 3 2 3 2 3 3 2" xfId="28641"/>
    <cellStyle name="Note 3 2 2 3 2 3 2 3 4" xfId="19964"/>
    <cellStyle name="Note 3 2 2 3 2 3 2 4" xfId="4078"/>
    <cellStyle name="Note 3 2 2 3 2 3 2 4 2" xfId="22748"/>
    <cellStyle name="Note 3 2 2 3 2 3 2 5" xfId="15293"/>
    <cellStyle name="Note 3 2 2 3 2 3 3" xfId="2050"/>
    <cellStyle name="Note 3 2 2 3 2 3 3 2" xfId="3647"/>
    <cellStyle name="Note 3 2 2 3 2 3 3 2 2" xfId="9352"/>
    <cellStyle name="Note 3 2 2 3 2 3 3 2 2 2" xfId="15614"/>
    <cellStyle name="Note 3 2 2 3 2 3 3 2 2 2 2" xfId="29030"/>
    <cellStyle name="Note 3 2 2 3 2 3 3 2 2 3" xfId="20359"/>
    <cellStyle name="Note 3 2 2 3 2 3 3 2 3" xfId="6654"/>
    <cellStyle name="Note 3 2 2 3 2 3 3 2 3 2" xfId="23631"/>
    <cellStyle name="Note 3 2 2 3 2 3 3 2 4" xfId="17302"/>
    <cellStyle name="Note 3 2 2 3 2 3 3 3" xfId="13046"/>
    <cellStyle name="Note 3 2 2 3 2 3 3 3 2" xfId="27368"/>
    <cellStyle name="Note 3 2 2 3 2 3 3 4" xfId="18691"/>
    <cellStyle name="Note 3 2 2 3 2 3 4" xfId="5365"/>
    <cellStyle name="Note 3 2 2 3 2 3 4 2" xfId="11915"/>
    <cellStyle name="Note 3 2 2 3 2 3 4 2 2" xfId="26237"/>
    <cellStyle name="Note 3 2 2 3 2 3 4 3" xfId="17560"/>
    <cellStyle name="Note 3 2 2 3 2 3 5" xfId="4711"/>
    <cellStyle name="Note 3 2 2 3 2 3 5 2" xfId="23143"/>
    <cellStyle name="Note 3 2 2 3 2 3 6" xfId="17027"/>
    <cellStyle name="Note 3 2 2 3 2 4" xfId="2051"/>
    <cellStyle name="Note 3 2 2 3 2 4 2" xfId="6564"/>
    <cellStyle name="Note 3 2 2 3 2 4 2 2" xfId="13152"/>
    <cellStyle name="Note 3 2 2 3 2 4 2 2 2" xfId="27474"/>
    <cellStyle name="Note 3 2 2 3 2 4 2 3" xfId="18797"/>
    <cellStyle name="Note 3 2 2 3 2 4 3" xfId="5258"/>
    <cellStyle name="Note 3 2 2 3 2 4 3 2" xfId="9567"/>
    <cellStyle name="Note 3 2 2 3 2 4 3 2 2" xfId="15829"/>
    <cellStyle name="Note 3 2 2 3 2 4 3 2 2 2" xfId="29245"/>
    <cellStyle name="Note 3 2 2 3 2 4 3 2 3" xfId="20574"/>
    <cellStyle name="Note 3 2 2 3 2 4 3 3" xfId="11808"/>
    <cellStyle name="Note 3 2 2 3 2 4 3 3 2" xfId="26130"/>
    <cellStyle name="Note 3 2 2 3 2 4 3 4" xfId="17453"/>
    <cellStyle name="Note 3 2 2 3 2 4 4" xfId="3600"/>
    <cellStyle name="Note 3 2 2 3 2 4 4 2" xfId="22481"/>
    <cellStyle name="Note 3 2 2 3 2 4 5" xfId="3653"/>
    <cellStyle name="Note 3 2 2 3 2 5" xfId="2052"/>
    <cellStyle name="Note 3 2 2 3 2 5 2" xfId="7861"/>
    <cellStyle name="Note 3 2 2 3 2 5 2 2" xfId="10475"/>
    <cellStyle name="Note 3 2 2 3 2 5 2 2 2" xfId="16737"/>
    <cellStyle name="Note 3 2 2 3 2 5 2 2 2 2" xfId="30153"/>
    <cellStyle name="Note 3 2 2 3 2 5 2 2 3" xfId="21482"/>
    <cellStyle name="Note 3 2 2 3 2 5 2 3" xfId="14465"/>
    <cellStyle name="Note 3 2 2 3 2 5 2 3 2" xfId="28787"/>
    <cellStyle name="Note 3 2 2 3 2 5 2 4" xfId="20110"/>
    <cellStyle name="Note 3 2 2 3 2 5 3" xfId="12879"/>
    <cellStyle name="Note 3 2 2 3 2 5 3 2" xfId="27201"/>
    <cellStyle name="Note 3 2 2 3 2 5 4" xfId="18524"/>
    <cellStyle name="Note 3 2 2 3 2 6" xfId="5497"/>
    <cellStyle name="Note 3 2 2 3 2 6 2" xfId="12048"/>
    <cellStyle name="Note 3 2 2 3 2 6 2 2" xfId="26370"/>
    <cellStyle name="Note 3 2 2 3 2 6 3" xfId="17693"/>
    <cellStyle name="Note 3 2 2 3 2 7" xfId="4426"/>
    <cellStyle name="Note 3 2 2 3 2 7 2" xfId="22944"/>
    <cellStyle name="Note 3 2 2 3 2 8" xfId="17311"/>
    <cellStyle name="Note 3 2 2 3 3" xfId="2053"/>
    <cellStyle name="Note 3 2 2 3 3 2" xfId="2054"/>
    <cellStyle name="Note 3 2 2 3 3 2 2" xfId="2055"/>
    <cellStyle name="Note 3 2 2 3 3 2 2 2" xfId="6977"/>
    <cellStyle name="Note 3 2 2 3 3 2 2 2 2" xfId="13581"/>
    <cellStyle name="Note 3 2 2 3 3 2 2 2 2 2" xfId="27903"/>
    <cellStyle name="Note 3 2 2 3 3 2 2 2 3" xfId="19226"/>
    <cellStyle name="Note 3 2 2 3 3 2 2 3" xfId="7548"/>
    <cellStyle name="Note 3 2 2 3 3 2 2 3 2" xfId="10162"/>
    <cellStyle name="Note 3 2 2 3 3 2 2 3 2 2" xfId="16424"/>
    <cellStyle name="Note 3 2 2 3 3 2 2 3 2 2 2" xfId="29840"/>
    <cellStyle name="Note 3 2 2 3 3 2 2 3 2 3" xfId="21169"/>
    <cellStyle name="Note 3 2 2 3 3 2 2 3 3" xfId="14152"/>
    <cellStyle name="Note 3 2 2 3 3 2 2 3 3 2" xfId="28474"/>
    <cellStyle name="Note 3 2 2 3 3 2 2 3 4" xfId="19797"/>
    <cellStyle name="Note 3 2 2 3 3 2 2 4" xfId="11488"/>
    <cellStyle name="Note 3 2 2 3 3 2 2 4 2" xfId="25810"/>
    <cellStyle name="Note 3 2 2 3 3 2 2 5" xfId="15523"/>
    <cellStyle name="Note 3 2 2 3 3 2 3" xfId="2056"/>
    <cellStyle name="Note 3 2 2 3 3 2 3 2" xfId="7807"/>
    <cellStyle name="Note 3 2 2 3 3 2 3 2 2" xfId="10421"/>
    <cellStyle name="Note 3 2 2 3 3 2 3 2 2 2" xfId="16683"/>
    <cellStyle name="Note 3 2 2 3 3 2 3 2 2 2 2" xfId="30099"/>
    <cellStyle name="Note 3 2 2 3 3 2 3 2 2 3" xfId="21428"/>
    <cellStyle name="Note 3 2 2 3 3 2 3 2 3" xfId="14411"/>
    <cellStyle name="Note 3 2 2 3 3 2 3 2 3 2" xfId="28733"/>
    <cellStyle name="Note 3 2 2 3 3 2 3 2 4" xfId="20056"/>
    <cellStyle name="Note 3 2 2 3 3 2 3 3" xfId="13339"/>
    <cellStyle name="Note 3 2 2 3 3 2 3 3 2" xfId="27661"/>
    <cellStyle name="Note 3 2 2 3 3 2 3 4" xfId="18984"/>
    <cellStyle name="Note 3 2 2 3 3 2 4" xfId="5789"/>
    <cellStyle name="Note 3 2 2 3 3 2 4 2" xfId="12342"/>
    <cellStyle name="Note 3 2 2 3 3 2 4 2 2" xfId="26664"/>
    <cellStyle name="Note 3 2 2 3 3 2 4 3" xfId="17987"/>
    <cellStyle name="Note 3 2 2 3 3 2 5" xfId="4851"/>
    <cellStyle name="Note 3 2 2 3 3 2 5 2" xfId="23222"/>
    <cellStyle name="Note 3 2 2 3 3 2 6" xfId="6707"/>
    <cellStyle name="Note 3 2 2 3 3 3" xfId="2057"/>
    <cellStyle name="Note 3 2 2 3 3 3 2" xfId="2058"/>
    <cellStyle name="Note 3 2 2 3 3 3 2 2" xfId="6988"/>
    <cellStyle name="Note 3 2 2 3 3 3 2 2 2" xfId="13592"/>
    <cellStyle name="Note 3 2 2 3 3 3 2 2 2 2" xfId="27914"/>
    <cellStyle name="Note 3 2 2 3 3 3 2 2 3" xfId="19237"/>
    <cellStyle name="Note 3 2 2 3 3 3 2 3" xfId="7964"/>
    <cellStyle name="Note 3 2 2 3 3 3 2 3 2" xfId="10578"/>
    <cellStyle name="Note 3 2 2 3 3 3 2 3 2 2" xfId="16840"/>
    <cellStyle name="Note 3 2 2 3 3 3 2 3 2 2 2" xfId="30256"/>
    <cellStyle name="Note 3 2 2 3 3 3 2 3 2 3" xfId="21585"/>
    <cellStyle name="Note 3 2 2 3 3 3 2 3 3" xfId="14568"/>
    <cellStyle name="Note 3 2 2 3 3 3 2 3 3 2" xfId="28890"/>
    <cellStyle name="Note 3 2 2 3 3 3 2 3 4" xfId="20213"/>
    <cellStyle name="Note 3 2 2 3 3 3 2 4" xfId="11500"/>
    <cellStyle name="Note 3 2 2 3 3 3 2 4 2" xfId="25822"/>
    <cellStyle name="Note 3 2 2 3 3 3 2 5" xfId="6525"/>
    <cellStyle name="Note 3 2 2 3 3 3 3" xfId="2059"/>
    <cellStyle name="Note 3 2 2 3 3 3 3 2" xfId="7514"/>
    <cellStyle name="Note 3 2 2 3 3 3 3 2 2" xfId="10128"/>
    <cellStyle name="Note 3 2 2 3 3 3 3 2 2 2" xfId="16390"/>
    <cellStyle name="Note 3 2 2 3 3 3 3 2 2 2 2" xfId="29806"/>
    <cellStyle name="Note 3 2 2 3 3 3 3 2 2 3" xfId="21135"/>
    <cellStyle name="Note 3 2 2 3 3 3 3 2 3" xfId="14118"/>
    <cellStyle name="Note 3 2 2 3 3 3 3 2 3 2" xfId="28440"/>
    <cellStyle name="Note 3 2 2 3 3 3 3 2 4" xfId="19763"/>
    <cellStyle name="Note 3 2 2 3 3 3 3 3" xfId="12570"/>
    <cellStyle name="Note 3 2 2 3 3 3 3 3 2" xfId="26892"/>
    <cellStyle name="Note 3 2 2 3 3 3 3 4" xfId="18215"/>
    <cellStyle name="Note 3 2 2 3 3 3 4" xfId="5178"/>
    <cellStyle name="Note 3 2 2 3 3 3 4 2" xfId="11727"/>
    <cellStyle name="Note 3 2 2 3 3 3 4 2 2" xfId="26049"/>
    <cellStyle name="Note 3 2 2 3 3 3 4 3" xfId="3603"/>
    <cellStyle name="Note 3 2 2 3 3 3 5" xfId="3852"/>
    <cellStyle name="Note 3 2 2 3 3 3 5 2" xfId="22613"/>
    <cellStyle name="Note 3 2 2 3 3 3 6" xfId="5197"/>
    <cellStyle name="Note 3 2 2 3 3 4" xfId="2060"/>
    <cellStyle name="Note 3 2 2 3 3 4 2" xfId="6853"/>
    <cellStyle name="Note 3 2 2 3 3 4 2 2" xfId="13457"/>
    <cellStyle name="Note 3 2 2 3 3 4 2 2 2" xfId="27779"/>
    <cellStyle name="Note 3 2 2 3 3 4 2 3" xfId="19102"/>
    <cellStyle name="Note 3 2 2 3 3 4 3" xfId="7900"/>
    <cellStyle name="Note 3 2 2 3 3 4 3 2" xfId="10514"/>
    <cellStyle name="Note 3 2 2 3 3 4 3 2 2" xfId="16776"/>
    <cellStyle name="Note 3 2 2 3 3 4 3 2 2 2" xfId="30192"/>
    <cellStyle name="Note 3 2 2 3 3 4 3 2 3" xfId="21521"/>
    <cellStyle name="Note 3 2 2 3 3 4 3 3" xfId="14504"/>
    <cellStyle name="Note 3 2 2 3 3 4 3 3 2" xfId="28826"/>
    <cellStyle name="Note 3 2 2 3 3 4 3 4" xfId="20149"/>
    <cellStyle name="Note 3 2 2 3 3 4 4" xfId="2762"/>
    <cellStyle name="Note 3 2 2 3 3 4 4 2" xfId="22331"/>
    <cellStyle name="Note 3 2 2 3 3 4 5" xfId="17124"/>
    <cellStyle name="Note 3 2 2 3 3 5" xfId="2061"/>
    <cellStyle name="Note 3 2 2 3 3 5 2" xfId="3810"/>
    <cellStyle name="Note 3 2 2 3 3 5 2 2" xfId="9378"/>
    <cellStyle name="Note 3 2 2 3 3 5 2 2 2" xfId="15640"/>
    <cellStyle name="Note 3 2 2 3 3 5 2 2 2 2" xfId="29056"/>
    <cellStyle name="Note 3 2 2 3 3 5 2 2 3" xfId="20385"/>
    <cellStyle name="Note 3 2 2 3 3 5 2 3" xfId="6251"/>
    <cellStyle name="Note 3 2 2 3 3 5 2 3 2" xfId="23475"/>
    <cellStyle name="Note 3 2 2 3 3 5 2 4" xfId="4680"/>
    <cellStyle name="Note 3 2 2 3 3 5 3" xfId="12915"/>
    <cellStyle name="Note 3 2 2 3 3 5 3 2" xfId="27237"/>
    <cellStyle name="Note 3 2 2 3 3 5 4" xfId="18560"/>
    <cellStyle name="Note 3 2 2 3 3 6" xfId="5539"/>
    <cellStyle name="Note 3 2 2 3 3 6 2" xfId="12090"/>
    <cellStyle name="Note 3 2 2 3 3 6 2 2" xfId="26412"/>
    <cellStyle name="Note 3 2 2 3 3 6 3" xfId="17735"/>
    <cellStyle name="Note 3 2 2 3 3 7" xfId="3949"/>
    <cellStyle name="Note 3 2 2 3 3 7 2" xfId="22663"/>
    <cellStyle name="Note 3 2 2 3 3 8" xfId="6275"/>
    <cellStyle name="Note 3 2 2 3 4" xfId="2062"/>
    <cellStyle name="Note 3 2 2 3 4 2" xfId="2063"/>
    <cellStyle name="Note 3 2 2 3 4 2 2" xfId="2064"/>
    <cellStyle name="Note 3 2 2 3 4 2 2 2" xfId="5842"/>
    <cellStyle name="Note 3 2 2 3 4 2 2 2 2" xfId="12395"/>
    <cellStyle name="Note 3 2 2 3 4 2 2 2 2 2" xfId="26717"/>
    <cellStyle name="Note 3 2 2 3 4 2 2 2 3" xfId="18040"/>
    <cellStyle name="Note 3 2 2 3 4 2 2 3" xfId="7947"/>
    <cellStyle name="Note 3 2 2 3 4 2 2 3 2" xfId="10561"/>
    <cellStyle name="Note 3 2 2 3 4 2 2 3 2 2" xfId="16823"/>
    <cellStyle name="Note 3 2 2 3 4 2 2 3 2 2 2" xfId="30239"/>
    <cellStyle name="Note 3 2 2 3 4 2 2 3 2 3" xfId="21568"/>
    <cellStyle name="Note 3 2 2 3 4 2 2 3 3" xfId="14551"/>
    <cellStyle name="Note 3 2 2 3 4 2 2 3 3 2" xfId="28873"/>
    <cellStyle name="Note 3 2 2 3 4 2 2 3 4" xfId="20196"/>
    <cellStyle name="Note 3 2 2 3 4 2 2 4" xfId="6623"/>
    <cellStyle name="Note 3 2 2 3 4 2 2 4 2" xfId="23612"/>
    <cellStyle name="Note 3 2 2 3 4 2 2 5" xfId="14843"/>
    <cellStyle name="Note 3 2 2 3 4 2 3" xfId="2065"/>
    <cellStyle name="Note 3 2 2 3 4 2 3 2" xfId="5317"/>
    <cellStyle name="Note 3 2 2 3 4 2 3 2 2" xfId="9626"/>
    <cellStyle name="Note 3 2 2 3 4 2 3 2 2 2" xfId="15888"/>
    <cellStyle name="Note 3 2 2 3 4 2 3 2 2 2 2" xfId="29304"/>
    <cellStyle name="Note 3 2 2 3 4 2 3 2 2 3" xfId="20633"/>
    <cellStyle name="Note 3 2 2 3 4 2 3 2 3" xfId="11867"/>
    <cellStyle name="Note 3 2 2 3 4 2 3 2 3 2" xfId="26189"/>
    <cellStyle name="Note 3 2 2 3 4 2 3 2 4" xfId="17512"/>
    <cellStyle name="Note 3 2 2 3 4 2 3 3" xfId="13194"/>
    <cellStyle name="Note 3 2 2 3 4 2 3 3 2" xfId="27516"/>
    <cellStyle name="Note 3 2 2 3 4 2 3 4" xfId="18839"/>
    <cellStyle name="Note 3 2 2 3 4 2 4" xfId="5631"/>
    <cellStyle name="Note 3 2 2 3 4 2 4 2" xfId="12184"/>
    <cellStyle name="Note 3 2 2 3 4 2 4 2 2" xfId="26506"/>
    <cellStyle name="Note 3 2 2 3 4 2 4 3" xfId="17829"/>
    <cellStyle name="Note 3 2 2 3 4 2 5" xfId="4684"/>
    <cellStyle name="Note 3 2 2 3 4 2 5 2" xfId="23120"/>
    <cellStyle name="Note 3 2 2 3 4 2 6" xfId="2841"/>
    <cellStyle name="Note 3 2 2 3 4 3" xfId="2066"/>
    <cellStyle name="Note 3 2 2 3 4 3 2" xfId="2067"/>
    <cellStyle name="Note 3 2 2 3 4 3 2 2" xfId="5955"/>
    <cellStyle name="Note 3 2 2 3 4 3 2 2 2" xfId="12513"/>
    <cellStyle name="Note 3 2 2 3 4 3 2 2 2 2" xfId="26835"/>
    <cellStyle name="Note 3 2 2 3 4 3 2 2 3" xfId="18158"/>
    <cellStyle name="Note 3 2 2 3 4 3 2 3" xfId="7417"/>
    <cellStyle name="Note 3 2 2 3 4 3 2 3 2" xfId="10031"/>
    <cellStyle name="Note 3 2 2 3 4 3 2 3 2 2" xfId="16293"/>
    <cellStyle name="Note 3 2 2 3 4 3 2 3 2 2 2" xfId="29709"/>
    <cellStyle name="Note 3 2 2 3 4 3 2 3 2 3" xfId="21038"/>
    <cellStyle name="Note 3 2 2 3 4 3 2 3 3" xfId="14021"/>
    <cellStyle name="Note 3 2 2 3 4 3 2 3 3 2" xfId="28343"/>
    <cellStyle name="Note 3 2 2 3 4 3 2 3 4" xfId="19666"/>
    <cellStyle name="Note 3 2 2 3 4 3 2 4" xfId="6187"/>
    <cellStyle name="Note 3 2 2 3 4 3 2 4 2" xfId="23452"/>
    <cellStyle name="Note 3 2 2 3 4 3 2 5" xfId="15463"/>
    <cellStyle name="Note 3 2 2 3 4 3 3" xfId="2068"/>
    <cellStyle name="Note 3 2 2 3 4 3 3 2" xfId="8010"/>
    <cellStyle name="Note 3 2 2 3 4 3 3 2 2" xfId="10624"/>
    <cellStyle name="Note 3 2 2 3 4 3 3 2 2 2" xfId="16886"/>
    <cellStyle name="Note 3 2 2 3 4 3 3 2 2 2 2" xfId="30302"/>
    <cellStyle name="Note 3 2 2 3 4 3 3 2 2 3" xfId="21631"/>
    <cellStyle name="Note 3 2 2 3 4 3 3 2 3" xfId="14614"/>
    <cellStyle name="Note 3 2 2 3 4 3 3 2 3 2" xfId="28936"/>
    <cellStyle name="Note 3 2 2 3 4 3 3 2 4" xfId="20259"/>
    <cellStyle name="Note 3 2 2 3 4 3 3 3" xfId="13096"/>
    <cellStyle name="Note 3 2 2 3 4 3 3 3 2" xfId="27418"/>
    <cellStyle name="Note 3 2 2 3 4 3 3 4" xfId="18741"/>
    <cellStyle name="Note 3 2 2 3 4 3 4" xfId="5452"/>
    <cellStyle name="Note 3 2 2 3 4 3 4 2" xfId="12003"/>
    <cellStyle name="Note 3 2 2 3 4 3 4 2 2" xfId="26325"/>
    <cellStyle name="Note 3 2 2 3 4 3 4 3" xfId="17648"/>
    <cellStyle name="Note 3 2 2 3 4 3 5" xfId="4223"/>
    <cellStyle name="Note 3 2 2 3 4 3 5 2" xfId="22835"/>
    <cellStyle name="Note 3 2 2 3 4 3 6" xfId="14816"/>
    <cellStyle name="Note 3 2 2 3 4 4" xfId="2069"/>
    <cellStyle name="Note 3 2 2 3 4 4 2" xfId="6370"/>
    <cellStyle name="Note 3 2 2 3 4 4 2 2" xfId="12953"/>
    <cellStyle name="Note 3 2 2 3 4 4 2 2 2" xfId="27275"/>
    <cellStyle name="Note 3 2 2 3 4 4 2 3" xfId="18598"/>
    <cellStyle name="Note 3 2 2 3 4 4 3" xfId="7781"/>
    <cellStyle name="Note 3 2 2 3 4 4 3 2" xfId="10395"/>
    <cellStyle name="Note 3 2 2 3 4 4 3 2 2" xfId="16657"/>
    <cellStyle name="Note 3 2 2 3 4 4 3 2 2 2" xfId="30073"/>
    <cellStyle name="Note 3 2 2 3 4 4 3 2 3" xfId="21402"/>
    <cellStyle name="Note 3 2 2 3 4 4 3 3" xfId="14385"/>
    <cellStyle name="Note 3 2 2 3 4 4 3 3 2" xfId="28707"/>
    <cellStyle name="Note 3 2 2 3 4 4 3 4" xfId="20030"/>
    <cellStyle name="Note 3 2 2 3 4 4 4" xfId="6474"/>
    <cellStyle name="Note 3 2 2 3 4 4 4 2" xfId="23558"/>
    <cellStyle name="Note 3 2 2 3 4 4 5" xfId="14747"/>
    <cellStyle name="Note 3 2 2 3 4 5" xfId="2070"/>
    <cellStyle name="Note 3 2 2 3 4 5 2" xfId="7975"/>
    <cellStyle name="Note 3 2 2 3 4 5 2 2" xfId="10589"/>
    <cellStyle name="Note 3 2 2 3 4 5 2 2 2" xfId="16851"/>
    <cellStyle name="Note 3 2 2 3 4 5 2 2 2 2" xfId="30267"/>
    <cellStyle name="Note 3 2 2 3 4 5 2 2 3" xfId="21596"/>
    <cellStyle name="Note 3 2 2 3 4 5 2 3" xfId="14579"/>
    <cellStyle name="Note 3 2 2 3 4 5 2 3 2" xfId="28901"/>
    <cellStyle name="Note 3 2 2 3 4 5 2 4" xfId="20224"/>
    <cellStyle name="Note 3 2 2 3 4 5 3" xfId="12467"/>
    <cellStyle name="Note 3 2 2 3 4 5 3 2" xfId="26789"/>
    <cellStyle name="Note 3 2 2 3 4 5 4" xfId="18112"/>
    <cellStyle name="Note 3 2 2 3 4 6" xfId="5067"/>
    <cellStyle name="Note 3 2 2 3 4 6 2" xfId="11614"/>
    <cellStyle name="Note 3 2 2 3 4 6 2 2" xfId="25936"/>
    <cellStyle name="Note 3 2 2 3 4 6 3" xfId="14719"/>
    <cellStyle name="Note 3 2 2 3 4 7" xfId="3859"/>
    <cellStyle name="Note 3 2 2 3 4 7 2" xfId="22615"/>
    <cellStyle name="Note 3 2 2 3 4 8" xfId="15445"/>
    <cellStyle name="Note 3 2 2 3 5" xfId="2071"/>
    <cellStyle name="Note 3 2 2 3 5 2" xfId="2072"/>
    <cellStyle name="Note 3 2 2 3 5 2 2" xfId="2073"/>
    <cellStyle name="Note 3 2 2 3 5 2 2 2" xfId="7004"/>
    <cellStyle name="Note 3 2 2 3 5 2 2 2 2" xfId="13608"/>
    <cellStyle name="Note 3 2 2 3 5 2 2 2 2 2" xfId="27930"/>
    <cellStyle name="Note 3 2 2 3 5 2 2 2 3" xfId="19253"/>
    <cellStyle name="Note 3 2 2 3 5 2 2 3" xfId="7242"/>
    <cellStyle name="Note 3 2 2 3 5 2 2 3 2" xfId="9856"/>
    <cellStyle name="Note 3 2 2 3 5 2 2 3 2 2" xfId="16118"/>
    <cellStyle name="Note 3 2 2 3 5 2 2 3 2 2 2" xfId="29534"/>
    <cellStyle name="Note 3 2 2 3 5 2 2 3 2 3" xfId="20863"/>
    <cellStyle name="Note 3 2 2 3 5 2 2 3 3" xfId="13846"/>
    <cellStyle name="Note 3 2 2 3 5 2 2 3 3 2" xfId="28168"/>
    <cellStyle name="Note 3 2 2 3 5 2 2 3 4" xfId="19491"/>
    <cellStyle name="Note 3 2 2 3 5 2 2 4" xfId="11524"/>
    <cellStyle name="Note 3 2 2 3 5 2 2 4 2" xfId="25846"/>
    <cellStyle name="Note 3 2 2 3 5 2 2 5" xfId="15370"/>
    <cellStyle name="Note 3 2 2 3 5 2 3" xfId="2074"/>
    <cellStyle name="Note 3 2 2 3 5 2 3 2" xfId="7245"/>
    <cellStyle name="Note 3 2 2 3 5 2 3 2 2" xfId="9859"/>
    <cellStyle name="Note 3 2 2 3 5 2 3 2 2 2" xfId="16121"/>
    <cellStyle name="Note 3 2 2 3 5 2 3 2 2 2 2" xfId="29537"/>
    <cellStyle name="Note 3 2 2 3 5 2 3 2 2 3" xfId="20866"/>
    <cellStyle name="Note 3 2 2 3 5 2 3 2 3" xfId="13849"/>
    <cellStyle name="Note 3 2 2 3 5 2 3 2 3 2" xfId="28171"/>
    <cellStyle name="Note 3 2 2 3 5 2 3 2 4" xfId="19494"/>
    <cellStyle name="Note 3 2 2 3 5 2 3 3" xfId="12786"/>
    <cellStyle name="Note 3 2 2 3 5 2 3 3 2" xfId="27108"/>
    <cellStyle name="Note 3 2 2 3 5 2 3 4" xfId="18431"/>
    <cellStyle name="Note 3 2 2 3 5 2 4" xfId="3773"/>
    <cellStyle name="Note 3 2 2 3 5 2 4 2" xfId="4512"/>
    <cellStyle name="Note 3 2 2 3 5 2 4 2 2" xfId="22999"/>
    <cellStyle name="Note 3 2 2 3 5 2 4 3" xfId="14805"/>
    <cellStyle name="Note 3 2 2 3 5 2 5" xfId="3913"/>
    <cellStyle name="Note 3 2 2 3 5 2 5 2" xfId="22643"/>
    <cellStyle name="Note 3 2 2 3 5 2 6" xfId="2792"/>
    <cellStyle name="Note 3 2 2 3 5 3" xfId="2075"/>
    <cellStyle name="Note 3 2 2 3 5 3 2" xfId="6075"/>
    <cellStyle name="Note 3 2 2 3 5 3 2 2" xfId="12641"/>
    <cellStyle name="Note 3 2 2 3 5 3 2 2 2" xfId="26963"/>
    <cellStyle name="Note 3 2 2 3 5 3 2 3" xfId="18286"/>
    <cellStyle name="Note 3 2 2 3 5 3 3" xfId="4302"/>
    <cellStyle name="Note 3 2 2 3 5 3 3 2" xfId="9444"/>
    <cellStyle name="Note 3 2 2 3 5 3 3 2 2" xfId="15706"/>
    <cellStyle name="Note 3 2 2 3 5 3 3 2 2 2" xfId="29122"/>
    <cellStyle name="Note 3 2 2 3 5 3 3 2 3" xfId="20451"/>
    <cellStyle name="Note 3 2 2 3 5 3 3 3" xfId="4433"/>
    <cellStyle name="Note 3 2 2 3 5 3 3 3 2" xfId="22949"/>
    <cellStyle name="Note 3 2 2 3 5 3 3 4" xfId="6353"/>
    <cellStyle name="Note 3 2 2 3 5 3 4" xfId="6218"/>
    <cellStyle name="Note 3 2 2 3 5 3 4 2" xfId="23462"/>
    <cellStyle name="Note 3 2 2 3 5 3 5" xfId="6733"/>
    <cellStyle name="Note 3 2 2 3 5 4" xfId="2076"/>
    <cellStyle name="Note 3 2 2 3 5 4 2" xfId="5289"/>
    <cellStyle name="Note 3 2 2 3 5 4 2 2" xfId="9598"/>
    <cellStyle name="Note 3 2 2 3 5 4 2 2 2" xfId="15860"/>
    <cellStyle name="Note 3 2 2 3 5 4 2 2 2 2" xfId="29276"/>
    <cellStyle name="Note 3 2 2 3 5 4 2 2 3" xfId="20605"/>
    <cellStyle name="Note 3 2 2 3 5 4 2 3" xfId="11839"/>
    <cellStyle name="Note 3 2 2 3 5 4 2 3 2" xfId="26161"/>
    <cellStyle name="Note 3 2 2 3 5 4 2 4" xfId="17484"/>
    <cellStyle name="Note 3 2 2 3 5 4 3" xfId="12612"/>
    <cellStyle name="Note 3 2 2 3 5 4 3 2" xfId="26934"/>
    <cellStyle name="Note 3 2 2 3 5 4 4" xfId="18257"/>
    <cellStyle name="Note 3 2 2 3 5 5" xfId="3697"/>
    <cellStyle name="Note 3 2 2 3 5 5 2" xfId="3969"/>
    <cellStyle name="Note 3 2 2 3 5 5 2 2" xfId="22675"/>
    <cellStyle name="Note 3 2 2 3 5 5 3" xfId="15314"/>
    <cellStyle name="Note 3 2 2 3 5 6" xfId="6249"/>
    <cellStyle name="Note 3 2 2 3 5 6 2" xfId="23473"/>
    <cellStyle name="Note 3 2 2 3 5 7" xfId="3146"/>
    <cellStyle name="Note 3 2 2 3 6" xfId="2077"/>
    <cellStyle name="Note 3 2 2 3 6 2" xfId="2078"/>
    <cellStyle name="Note 3 2 2 3 6 2 2" xfId="5388"/>
    <cellStyle name="Note 3 2 2 3 6 2 2 2" xfId="11938"/>
    <cellStyle name="Note 3 2 2 3 6 2 2 2 2" xfId="26260"/>
    <cellStyle name="Note 3 2 2 3 6 2 2 3" xfId="17583"/>
    <cellStyle name="Note 3 2 2 3 6 2 3" xfId="7204"/>
    <cellStyle name="Note 3 2 2 3 6 2 3 2" xfId="9818"/>
    <cellStyle name="Note 3 2 2 3 6 2 3 2 2" xfId="16080"/>
    <cellStyle name="Note 3 2 2 3 6 2 3 2 2 2" xfId="29496"/>
    <cellStyle name="Note 3 2 2 3 6 2 3 2 3" xfId="20825"/>
    <cellStyle name="Note 3 2 2 3 6 2 3 3" xfId="13808"/>
    <cellStyle name="Note 3 2 2 3 6 2 3 3 2" xfId="28130"/>
    <cellStyle name="Note 3 2 2 3 6 2 3 4" xfId="19453"/>
    <cellStyle name="Note 3 2 2 3 6 2 4" xfId="4035"/>
    <cellStyle name="Note 3 2 2 3 6 2 4 2" xfId="22713"/>
    <cellStyle name="Note 3 2 2 3 6 2 5" xfId="17241"/>
    <cellStyle name="Note 3 2 2 3 6 3" xfId="2079"/>
    <cellStyle name="Note 3 2 2 3 6 3 2" xfId="7638"/>
    <cellStyle name="Note 3 2 2 3 6 3 2 2" xfId="10252"/>
    <cellStyle name="Note 3 2 2 3 6 3 2 2 2" xfId="16514"/>
    <cellStyle name="Note 3 2 2 3 6 3 2 2 2 2" xfId="29930"/>
    <cellStyle name="Note 3 2 2 3 6 3 2 2 3" xfId="21259"/>
    <cellStyle name="Note 3 2 2 3 6 3 2 3" xfId="14242"/>
    <cellStyle name="Note 3 2 2 3 6 3 2 3 2" xfId="28564"/>
    <cellStyle name="Note 3 2 2 3 6 3 2 4" xfId="19887"/>
    <cellStyle name="Note 3 2 2 3 6 3 3" xfId="13168"/>
    <cellStyle name="Note 3 2 2 3 6 3 3 2" xfId="27490"/>
    <cellStyle name="Note 3 2 2 3 6 3 4" xfId="18813"/>
    <cellStyle name="Note 3 2 2 3 6 4" xfId="5587"/>
    <cellStyle name="Note 3 2 2 3 6 4 2" xfId="12139"/>
    <cellStyle name="Note 3 2 2 3 6 4 2 2" xfId="26461"/>
    <cellStyle name="Note 3 2 2 3 6 4 3" xfId="17784"/>
    <cellStyle name="Note 3 2 2 3 6 5" xfId="4758"/>
    <cellStyle name="Note 3 2 2 3 6 5 2" xfId="23173"/>
    <cellStyle name="Note 3 2 2 3 6 6" xfId="4591"/>
    <cellStyle name="Note 3 2 2 3 7" xfId="2080"/>
    <cellStyle name="Note 3 2 2 3 7 2" xfId="6027"/>
    <cellStyle name="Note 3 2 2 3 7 2 2" xfId="12588"/>
    <cellStyle name="Note 3 2 2 3 7 2 2 2" xfId="26910"/>
    <cellStyle name="Note 3 2 2 3 7 2 3" xfId="18233"/>
    <cellStyle name="Note 3 2 2 3 7 3" xfId="7675"/>
    <cellStyle name="Note 3 2 2 3 7 3 2" xfId="10289"/>
    <cellStyle name="Note 3 2 2 3 7 3 2 2" xfId="16551"/>
    <cellStyle name="Note 3 2 2 3 7 3 2 2 2" xfId="29967"/>
    <cellStyle name="Note 3 2 2 3 7 3 2 3" xfId="21296"/>
    <cellStyle name="Note 3 2 2 3 7 3 3" xfId="14279"/>
    <cellStyle name="Note 3 2 2 3 7 3 3 2" xfId="28601"/>
    <cellStyle name="Note 3 2 2 3 7 3 4" xfId="19924"/>
    <cellStyle name="Note 3 2 2 3 7 4" xfId="4509"/>
    <cellStyle name="Note 3 2 2 3 7 4 2" xfId="22996"/>
    <cellStyle name="Note 3 2 2 3 7 5" xfId="15236"/>
    <cellStyle name="Note 3 2 2 3 8" xfId="2081"/>
    <cellStyle name="Note 3 2 2 3 8 2" xfId="4004"/>
    <cellStyle name="Note 3 2 2 3 8 2 2" xfId="9408"/>
    <cellStyle name="Note 3 2 2 3 8 2 2 2" xfId="15670"/>
    <cellStyle name="Note 3 2 2 3 8 2 2 2 2" xfId="29086"/>
    <cellStyle name="Note 3 2 2 3 8 2 2 3" xfId="20415"/>
    <cellStyle name="Note 3 2 2 3 8 2 3" xfId="4963"/>
    <cellStyle name="Note 3 2 2 3 8 2 3 2" xfId="23284"/>
    <cellStyle name="Note 3 2 2 3 8 2 4" xfId="3016"/>
    <cellStyle name="Note 3 2 2 3 8 3" xfId="12708"/>
    <cellStyle name="Note 3 2 2 3 8 3 2" xfId="27030"/>
    <cellStyle name="Note 3 2 2 3 8 4" xfId="18353"/>
    <cellStyle name="Note 3 2 2 3 9" xfId="5107"/>
    <cellStyle name="Note 3 2 2 3 9 2" xfId="11654"/>
    <cellStyle name="Note 3 2 2 3 9 2 2" xfId="25976"/>
    <cellStyle name="Note 3 2 2 3 9 3" xfId="4547"/>
    <cellStyle name="Note 3 2 2 4" xfId="2082"/>
    <cellStyle name="Note 3 2 2 4 2" xfId="2083"/>
    <cellStyle name="Note 3 2 2 4 2 2" xfId="2084"/>
    <cellStyle name="Note 3 2 2 4 2 2 2" xfId="6108"/>
    <cellStyle name="Note 3 2 2 4 2 2 2 2" xfId="12676"/>
    <cellStyle name="Note 3 2 2 4 2 2 2 2 2" xfId="26998"/>
    <cellStyle name="Note 3 2 2 4 2 2 2 3" xfId="18321"/>
    <cellStyle name="Note 3 2 2 4 2 2 3" xfId="7905"/>
    <cellStyle name="Note 3 2 2 4 2 2 3 2" xfId="10519"/>
    <cellStyle name="Note 3 2 2 4 2 2 3 2 2" xfId="16781"/>
    <cellStyle name="Note 3 2 2 4 2 2 3 2 2 2" xfId="30197"/>
    <cellStyle name="Note 3 2 2 4 2 2 3 2 3" xfId="21526"/>
    <cellStyle name="Note 3 2 2 4 2 2 3 3" xfId="14509"/>
    <cellStyle name="Note 3 2 2 4 2 2 3 3 2" xfId="28831"/>
    <cellStyle name="Note 3 2 2 4 2 2 3 4" xfId="20154"/>
    <cellStyle name="Note 3 2 2 4 2 2 4" xfId="4234"/>
    <cellStyle name="Note 3 2 2 4 2 2 4 2" xfId="22844"/>
    <cellStyle name="Note 3 2 2 4 2 2 5" xfId="15141"/>
    <cellStyle name="Note 3 2 2 4 2 3" xfId="2085"/>
    <cellStyle name="Note 3 2 2 4 2 3 2" xfId="7624"/>
    <cellStyle name="Note 3 2 2 4 2 3 2 2" xfId="10238"/>
    <cellStyle name="Note 3 2 2 4 2 3 2 2 2" xfId="16500"/>
    <cellStyle name="Note 3 2 2 4 2 3 2 2 2 2" xfId="29916"/>
    <cellStyle name="Note 3 2 2 4 2 3 2 2 3" xfId="21245"/>
    <cellStyle name="Note 3 2 2 4 2 3 2 3" xfId="14228"/>
    <cellStyle name="Note 3 2 2 4 2 3 2 3 2" xfId="28550"/>
    <cellStyle name="Note 3 2 2 4 2 3 2 4" xfId="19873"/>
    <cellStyle name="Note 3 2 2 4 2 3 3" xfId="13225"/>
    <cellStyle name="Note 3 2 2 4 2 3 3 2" xfId="27547"/>
    <cellStyle name="Note 3 2 2 4 2 3 4" xfId="18870"/>
    <cellStyle name="Note 3 2 2 4 2 4" xfId="5666"/>
    <cellStyle name="Note 3 2 2 4 2 4 2" xfId="12219"/>
    <cellStyle name="Note 3 2 2 4 2 4 2 2" xfId="26541"/>
    <cellStyle name="Note 3 2 2 4 2 4 3" xfId="17864"/>
    <cellStyle name="Note 3 2 2 4 2 5" xfId="6812"/>
    <cellStyle name="Note 3 2 2 4 2 5 2" xfId="23750"/>
    <cellStyle name="Note 3 2 2 4 2 6" xfId="17058"/>
    <cellStyle name="Note 3 2 2 4 3" xfId="2086"/>
    <cellStyle name="Note 3 2 2 4 3 2" xfId="2087"/>
    <cellStyle name="Note 3 2 2 4 3 2 2" xfId="6453"/>
    <cellStyle name="Note 3 2 2 4 3 2 2 2" xfId="13036"/>
    <cellStyle name="Note 3 2 2 4 3 2 2 2 2" xfId="27358"/>
    <cellStyle name="Note 3 2 2 4 3 2 2 3" xfId="18681"/>
    <cellStyle name="Note 3 2 2 4 3 2 3" xfId="7949"/>
    <cellStyle name="Note 3 2 2 4 3 2 3 2" xfId="10563"/>
    <cellStyle name="Note 3 2 2 4 3 2 3 2 2" xfId="16825"/>
    <cellStyle name="Note 3 2 2 4 3 2 3 2 2 2" xfId="30241"/>
    <cellStyle name="Note 3 2 2 4 3 2 3 2 3" xfId="21570"/>
    <cellStyle name="Note 3 2 2 4 3 2 3 3" xfId="14553"/>
    <cellStyle name="Note 3 2 2 4 3 2 3 3 2" xfId="28875"/>
    <cellStyle name="Note 3 2 2 4 3 2 3 4" xfId="20198"/>
    <cellStyle name="Note 3 2 2 4 3 2 4" xfId="3185"/>
    <cellStyle name="Note 3 2 2 4 3 2 4 2" xfId="22430"/>
    <cellStyle name="Note 3 2 2 4 3 2 5" xfId="14899"/>
    <cellStyle name="Note 3 2 2 4 3 3" xfId="2088"/>
    <cellStyle name="Note 3 2 2 4 3 3 2" xfId="7385"/>
    <cellStyle name="Note 3 2 2 4 3 3 2 2" xfId="9999"/>
    <cellStyle name="Note 3 2 2 4 3 3 2 2 2" xfId="16261"/>
    <cellStyle name="Note 3 2 2 4 3 3 2 2 2 2" xfId="29677"/>
    <cellStyle name="Note 3 2 2 4 3 3 2 2 3" xfId="21006"/>
    <cellStyle name="Note 3 2 2 4 3 3 2 3" xfId="13989"/>
    <cellStyle name="Note 3 2 2 4 3 3 2 3 2" xfId="28311"/>
    <cellStyle name="Note 3 2 2 4 3 3 2 4" xfId="19634"/>
    <cellStyle name="Note 3 2 2 4 3 3 3" xfId="12655"/>
    <cellStyle name="Note 3 2 2 4 3 3 3 2" xfId="26977"/>
    <cellStyle name="Note 3 2 2 4 3 3 4" xfId="18300"/>
    <cellStyle name="Note 3 2 2 4 3 4" xfId="3733"/>
    <cellStyle name="Note 3 2 2 4 3 4 2" xfId="4042"/>
    <cellStyle name="Note 3 2 2 4 3 4 2 2" xfId="22719"/>
    <cellStyle name="Note 3 2 2 4 3 4 3" xfId="17273"/>
    <cellStyle name="Note 3 2 2 4 3 5" xfId="4864"/>
    <cellStyle name="Note 3 2 2 4 3 5 2" xfId="23229"/>
    <cellStyle name="Note 3 2 2 4 3 6" xfId="17106"/>
    <cellStyle name="Note 3 2 2 4 4" xfId="2089"/>
    <cellStyle name="Note 3 2 2 4 4 2" xfId="7019"/>
    <cellStyle name="Note 3 2 2 4 4 2 2" xfId="13623"/>
    <cellStyle name="Note 3 2 2 4 4 2 2 2" xfId="27945"/>
    <cellStyle name="Note 3 2 2 4 4 2 3" xfId="19268"/>
    <cellStyle name="Note 3 2 2 4 4 3" xfId="7293"/>
    <cellStyle name="Note 3 2 2 4 4 3 2" xfId="9907"/>
    <cellStyle name="Note 3 2 2 4 4 3 2 2" xfId="16169"/>
    <cellStyle name="Note 3 2 2 4 4 3 2 2 2" xfId="29585"/>
    <cellStyle name="Note 3 2 2 4 4 3 2 3" xfId="20914"/>
    <cellStyle name="Note 3 2 2 4 4 3 3" xfId="13897"/>
    <cellStyle name="Note 3 2 2 4 4 3 3 2" xfId="28219"/>
    <cellStyle name="Note 3 2 2 4 4 3 4" xfId="19542"/>
    <cellStyle name="Note 3 2 2 4 4 4" xfId="11549"/>
    <cellStyle name="Note 3 2 2 4 4 4 2" xfId="25871"/>
    <cellStyle name="Note 3 2 2 4 4 5" xfId="14991"/>
    <cellStyle name="Note 3 2 2 4 5" xfId="2090"/>
    <cellStyle name="Note 3 2 2 4 5 2" xfId="4260"/>
    <cellStyle name="Note 3 2 2 4 5 2 2" xfId="9439"/>
    <cellStyle name="Note 3 2 2 4 5 2 2 2" xfId="15701"/>
    <cellStyle name="Note 3 2 2 4 5 2 2 2 2" xfId="29117"/>
    <cellStyle name="Note 3 2 2 4 5 2 2 3" xfId="20446"/>
    <cellStyle name="Note 3 2 2 4 5 2 3" xfId="4318"/>
    <cellStyle name="Note 3 2 2 4 5 2 3 2" xfId="22887"/>
    <cellStyle name="Note 3 2 2 4 5 2 4" xfId="17078"/>
    <cellStyle name="Note 3 2 2 4 5 3" xfId="12559"/>
    <cellStyle name="Note 3 2 2 4 5 3 2" xfId="26881"/>
    <cellStyle name="Note 3 2 2 4 5 4" xfId="18204"/>
    <cellStyle name="Note 3 2 2 4 6" xfId="5074"/>
    <cellStyle name="Note 3 2 2 4 6 2" xfId="11621"/>
    <cellStyle name="Note 3 2 2 4 6 2 2" xfId="25943"/>
    <cellStyle name="Note 3 2 2 4 6 3" xfId="14966"/>
    <cellStyle name="Note 3 2 2 4 7" xfId="4131"/>
    <cellStyle name="Note 3 2 2 4 7 2" xfId="22773"/>
    <cellStyle name="Note 3 2 2 4 8" xfId="6256"/>
    <cellStyle name="Note 3 2 2 5" xfId="2091"/>
    <cellStyle name="Note 3 2 2 5 2" xfId="2092"/>
    <cellStyle name="Note 3 2 2 5 2 2" xfId="2093"/>
    <cellStyle name="Note 3 2 2 5 2 2 2" xfId="6162"/>
    <cellStyle name="Note 3 2 2 5 2 2 2 2" xfId="12733"/>
    <cellStyle name="Note 3 2 2 5 2 2 2 2 2" xfId="27055"/>
    <cellStyle name="Note 3 2 2 5 2 2 2 3" xfId="18378"/>
    <cellStyle name="Note 3 2 2 5 2 2 3" xfId="7480"/>
    <cellStyle name="Note 3 2 2 5 2 2 3 2" xfId="10094"/>
    <cellStyle name="Note 3 2 2 5 2 2 3 2 2" xfId="16356"/>
    <cellStyle name="Note 3 2 2 5 2 2 3 2 2 2" xfId="29772"/>
    <cellStyle name="Note 3 2 2 5 2 2 3 2 3" xfId="21101"/>
    <cellStyle name="Note 3 2 2 5 2 2 3 3" xfId="14084"/>
    <cellStyle name="Note 3 2 2 5 2 2 3 3 2" xfId="28406"/>
    <cellStyle name="Note 3 2 2 5 2 2 3 4" xfId="19729"/>
    <cellStyle name="Note 3 2 2 5 2 2 4" xfId="6649"/>
    <cellStyle name="Note 3 2 2 5 2 2 4 2" xfId="23627"/>
    <cellStyle name="Note 3 2 2 5 2 2 5" xfId="14793"/>
    <cellStyle name="Note 3 2 2 5 2 3" xfId="2094"/>
    <cellStyle name="Note 3 2 2 5 2 3 2" xfId="3918"/>
    <cellStyle name="Note 3 2 2 5 2 3 2 2" xfId="9396"/>
    <cellStyle name="Note 3 2 2 5 2 3 2 2 2" xfId="15658"/>
    <cellStyle name="Note 3 2 2 5 2 3 2 2 2 2" xfId="29074"/>
    <cellStyle name="Note 3 2 2 5 2 3 2 2 3" xfId="20403"/>
    <cellStyle name="Note 3 2 2 5 2 3 2 3" xfId="5951"/>
    <cellStyle name="Note 3 2 2 5 2 3 2 3 2" xfId="23381"/>
    <cellStyle name="Note 3 2 2 5 2 3 2 4" xfId="17233"/>
    <cellStyle name="Note 3 2 2 5 2 3 3" xfId="13055"/>
    <cellStyle name="Note 3 2 2 5 2 3 3 2" xfId="27377"/>
    <cellStyle name="Note 3 2 2 5 2 3 4" xfId="18700"/>
    <cellStyle name="Note 3 2 2 5 2 4" xfId="5384"/>
    <cellStyle name="Note 3 2 2 5 2 4 2" xfId="11934"/>
    <cellStyle name="Note 3 2 2 5 2 4 2 2" xfId="26256"/>
    <cellStyle name="Note 3 2 2 5 2 4 3" xfId="17579"/>
    <cellStyle name="Note 3 2 2 5 2 5" xfId="4429"/>
    <cellStyle name="Note 3 2 2 5 2 5 2" xfId="22946"/>
    <cellStyle name="Note 3 2 2 5 2 6" xfId="17347"/>
    <cellStyle name="Note 3 2 2 5 3" xfId="2095"/>
    <cellStyle name="Note 3 2 2 5 3 2" xfId="2096"/>
    <cellStyle name="Note 3 2 2 5 3 2 2" xfId="5957"/>
    <cellStyle name="Note 3 2 2 5 3 2 2 2" xfId="12515"/>
    <cellStyle name="Note 3 2 2 5 3 2 2 2 2" xfId="26837"/>
    <cellStyle name="Note 3 2 2 5 3 2 2 3" xfId="18160"/>
    <cellStyle name="Note 3 2 2 5 3 2 3" xfId="4838"/>
    <cellStyle name="Note 3 2 2 5 3 2 3 2" xfId="9498"/>
    <cellStyle name="Note 3 2 2 5 3 2 3 2 2" xfId="15760"/>
    <cellStyle name="Note 3 2 2 5 3 2 3 2 2 2" xfId="29176"/>
    <cellStyle name="Note 3 2 2 5 3 2 3 2 3" xfId="20505"/>
    <cellStyle name="Note 3 2 2 5 3 2 3 3" xfId="11371"/>
    <cellStyle name="Note 3 2 2 5 3 2 3 3 2" xfId="25693"/>
    <cellStyle name="Note 3 2 2 5 3 2 3 4" xfId="15468"/>
    <cellStyle name="Note 3 2 2 5 3 2 4" xfId="4578"/>
    <cellStyle name="Note 3 2 2 5 3 2 4 2" xfId="23044"/>
    <cellStyle name="Note 3 2 2 5 3 2 5" xfId="15435"/>
    <cellStyle name="Note 3 2 2 5 3 3" xfId="2097"/>
    <cellStyle name="Note 3 2 2 5 3 3 2" xfId="7742"/>
    <cellStyle name="Note 3 2 2 5 3 3 2 2" xfId="10356"/>
    <cellStyle name="Note 3 2 2 5 3 3 2 2 2" xfId="16618"/>
    <cellStyle name="Note 3 2 2 5 3 3 2 2 2 2" xfId="30034"/>
    <cellStyle name="Note 3 2 2 5 3 3 2 2 3" xfId="21363"/>
    <cellStyle name="Note 3 2 2 5 3 3 2 3" xfId="14346"/>
    <cellStyle name="Note 3 2 2 5 3 3 2 3 2" xfId="28668"/>
    <cellStyle name="Note 3 2 2 5 3 3 2 4" xfId="19991"/>
    <cellStyle name="Note 3 2 2 5 3 3 3" xfId="13187"/>
    <cellStyle name="Note 3 2 2 5 3 3 3 2" xfId="27509"/>
    <cellStyle name="Note 3 2 2 5 3 3 4" xfId="18832"/>
    <cellStyle name="Note 3 2 2 5 3 4" xfId="5623"/>
    <cellStyle name="Note 3 2 2 5 3 4 2" xfId="12176"/>
    <cellStyle name="Note 3 2 2 5 3 4 2 2" xfId="26498"/>
    <cellStyle name="Note 3 2 2 5 3 4 3" xfId="17821"/>
    <cellStyle name="Note 3 2 2 5 3 5" xfId="6631"/>
    <cellStyle name="Note 3 2 2 5 3 5 2" xfId="23616"/>
    <cellStyle name="Note 3 2 2 5 3 6" xfId="6824"/>
    <cellStyle name="Note 3 2 2 5 4" xfId="2098"/>
    <cellStyle name="Note 3 2 2 5 4 2" xfId="6956"/>
    <cellStyle name="Note 3 2 2 5 4 2 2" xfId="13560"/>
    <cellStyle name="Note 3 2 2 5 4 2 2 2" xfId="27882"/>
    <cellStyle name="Note 3 2 2 5 4 2 3" xfId="19205"/>
    <cellStyle name="Note 3 2 2 5 4 3" xfId="7117"/>
    <cellStyle name="Note 3 2 2 5 4 3 2" xfId="9731"/>
    <cellStyle name="Note 3 2 2 5 4 3 2 2" xfId="15993"/>
    <cellStyle name="Note 3 2 2 5 4 3 2 2 2" xfId="29409"/>
    <cellStyle name="Note 3 2 2 5 4 3 2 3" xfId="20738"/>
    <cellStyle name="Note 3 2 2 5 4 3 3" xfId="13721"/>
    <cellStyle name="Note 3 2 2 5 4 3 3 2" xfId="28043"/>
    <cellStyle name="Note 3 2 2 5 4 3 4" xfId="19366"/>
    <cellStyle name="Note 3 2 2 5 4 4" xfId="11455"/>
    <cellStyle name="Note 3 2 2 5 4 4 2" xfId="25777"/>
    <cellStyle name="Note 3 2 2 5 4 5" xfId="6320"/>
    <cellStyle name="Note 3 2 2 5 5" xfId="2099"/>
    <cellStyle name="Note 3 2 2 5 5 2" xfId="4030"/>
    <cellStyle name="Note 3 2 2 5 5 2 2" xfId="9416"/>
    <cellStyle name="Note 3 2 2 5 5 2 2 2" xfId="15678"/>
    <cellStyle name="Note 3 2 2 5 5 2 2 2 2" xfId="29094"/>
    <cellStyle name="Note 3 2 2 5 5 2 2 3" xfId="20423"/>
    <cellStyle name="Note 3 2 2 5 5 2 3" xfId="6450"/>
    <cellStyle name="Note 3 2 2 5 5 2 3 2" xfId="23549"/>
    <cellStyle name="Note 3 2 2 5 5 2 4" xfId="6813"/>
    <cellStyle name="Note 3 2 2 5 5 3" xfId="11657"/>
    <cellStyle name="Note 3 2 2 5 5 3 2" xfId="25979"/>
    <cellStyle name="Note 3 2 2 5 5 4" xfId="4502"/>
    <cellStyle name="Note 3 2 2 5 6" xfId="5081"/>
    <cellStyle name="Note 3 2 2 5 6 2" xfId="11628"/>
    <cellStyle name="Note 3 2 2 5 6 2 2" xfId="25950"/>
    <cellStyle name="Note 3 2 2 5 6 3" xfId="15080"/>
    <cellStyle name="Note 3 2 2 5 7" xfId="6240"/>
    <cellStyle name="Note 3 2 2 5 7 2" xfId="23466"/>
    <cellStyle name="Note 3 2 2 5 8" xfId="17166"/>
    <cellStyle name="Note 3 2 2 6" xfId="2100"/>
    <cellStyle name="Note 3 2 2 6 2" xfId="2101"/>
    <cellStyle name="Note 3 2 2 6 2 2" xfId="2102"/>
    <cellStyle name="Note 3 2 2 6 2 2 2" xfId="6224"/>
    <cellStyle name="Note 3 2 2 6 2 2 2 2" xfId="12799"/>
    <cellStyle name="Note 3 2 2 6 2 2 2 2 2" xfId="27121"/>
    <cellStyle name="Note 3 2 2 6 2 2 2 3" xfId="18444"/>
    <cellStyle name="Note 3 2 2 6 2 2 3" xfId="3926"/>
    <cellStyle name="Note 3 2 2 6 2 2 3 2" xfId="9398"/>
    <cellStyle name="Note 3 2 2 6 2 2 3 2 2" xfId="15660"/>
    <cellStyle name="Note 3 2 2 6 2 2 3 2 2 2" xfId="29076"/>
    <cellStyle name="Note 3 2 2 6 2 2 3 2 3" xfId="20405"/>
    <cellStyle name="Note 3 2 2 6 2 2 3 3" xfId="3701"/>
    <cellStyle name="Note 3 2 2 6 2 2 3 3 2" xfId="22536"/>
    <cellStyle name="Note 3 2 2 6 2 2 3 4" xfId="15079"/>
    <cellStyle name="Note 3 2 2 6 2 2 4" xfId="6238"/>
    <cellStyle name="Note 3 2 2 6 2 2 4 2" xfId="23464"/>
    <cellStyle name="Note 3 2 2 6 2 2 5" xfId="3903"/>
    <cellStyle name="Note 3 2 2 6 2 3" xfId="2103"/>
    <cellStyle name="Note 3 2 2 6 2 3 2" xfId="7475"/>
    <cellStyle name="Note 3 2 2 6 2 3 2 2" xfId="10089"/>
    <cellStyle name="Note 3 2 2 6 2 3 2 2 2" xfId="16351"/>
    <cellStyle name="Note 3 2 2 6 2 3 2 2 2 2" xfId="29767"/>
    <cellStyle name="Note 3 2 2 6 2 3 2 2 3" xfId="21096"/>
    <cellStyle name="Note 3 2 2 6 2 3 2 3" xfId="14079"/>
    <cellStyle name="Note 3 2 2 6 2 3 2 3 2" xfId="28401"/>
    <cellStyle name="Note 3 2 2 6 2 3 2 4" xfId="19724"/>
    <cellStyle name="Note 3 2 2 6 2 3 3" xfId="13290"/>
    <cellStyle name="Note 3 2 2 6 2 3 3 2" xfId="27612"/>
    <cellStyle name="Note 3 2 2 6 2 3 4" xfId="18935"/>
    <cellStyle name="Note 3 2 2 6 2 4" xfId="5740"/>
    <cellStyle name="Note 3 2 2 6 2 4 2" xfId="12293"/>
    <cellStyle name="Note 3 2 2 6 2 4 2 2" xfId="26615"/>
    <cellStyle name="Note 3 2 2 6 2 4 3" xfId="17938"/>
    <cellStyle name="Note 3 2 2 6 2 5" xfId="3189"/>
    <cellStyle name="Note 3 2 2 6 2 5 2" xfId="22432"/>
    <cellStyle name="Note 3 2 2 6 2 6" xfId="6814"/>
    <cellStyle name="Note 3 2 2 6 3" xfId="2104"/>
    <cellStyle name="Note 3 2 2 6 3 2" xfId="2105"/>
    <cellStyle name="Note 3 2 2 6 3 2 2" xfId="6549"/>
    <cellStyle name="Note 3 2 2 6 3 2 2 2" xfId="13137"/>
    <cellStyle name="Note 3 2 2 6 3 2 2 2 2" xfId="27459"/>
    <cellStyle name="Note 3 2 2 6 3 2 2 3" xfId="18782"/>
    <cellStyle name="Note 3 2 2 6 3 2 3" xfId="3916"/>
    <cellStyle name="Note 3 2 2 6 3 2 3 2" xfId="9395"/>
    <cellStyle name="Note 3 2 2 6 3 2 3 2 2" xfId="15657"/>
    <cellStyle name="Note 3 2 2 6 3 2 3 2 2 2" xfId="29073"/>
    <cellStyle name="Note 3 2 2 6 3 2 3 2 3" xfId="20402"/>
    <cellStyle name="Note 3 2 2 6 3 2 3 3" xfId="4059"/>
    <cellStyle name="Note 3 2 2 6 3 2 3 3 2" xfId="22734"/>
    <cellStyle name="Note 3 2 2 6 3 2 3 4" xfId="3957"/>
    <cellStyle name="Note 3 2 2 6 3 2 4" xfId="3836"/>
    <cellStyle name="Note 3 2 2 6 3 2 4 2" xfId="22605"/>
    <cellStyle name="Note 3 2 2 6 3 2 5" xfId="4464"/>
    <cellStyle name="Note 3 2 2 6 3 3" xfId="2106"/>
    <cellStyle name="Note 3 2 2 6 3 3 2" xfId="3288"/>
    <cellStyle name="Note 3 2 2 6 3 3 2 2" xfId="9055"/>
    <cellStyle name="Note 3 2 2 6 3 3 2 2 2" xfId="15394"/>
    <cellStyle name="Note 3 2 2 6 3 3 2 2 2 2" xfId="29013"/>
    <cellStyle name="Note 3 2 2 6 3 3 2 2 3" xfId="20340"/>
    <cellStyle name="Note 3 2 2 6 3 3 2 3" xfId="6741"/>
    <cellStyle name="Note 3 2 2 6 3 3 2 3 2" xfId="23690"/>
    <cellStyle name="Note 3 2 2 6 3 3 2 4" xfId="17317"/>
    <cellStyle name="Note 3 2 2 6 3 3 3" xfId="13257"/>
    <cellStyle name="Note 3 2 2 6 3 3 3 2" xfId="27579"/>
    <cellStyle name="Note 3 2 2 6 3 3 4" xfId="18902"/>
    <cellStyle name="Note 3 2 2 6 3 4" xfId="5702"/>
    <cellStyle name="Note 3 2 2 6 3 4 2" xfId="12255"/>
    <cellStyle name="Note 3 2 2 6 3 4 2 2" xfId="26577"/>
    <cellStyle name="Note 3 2 2 6 3 4 3" xfId="17900"/>
    <cellStyle name="Note 3 2 2 6 3 5" xfId="6730"/>
    <cellStyle name="Note 3 2 2 6 3 5 2" xfId="23683"/>
    <cellStyle name="Note 3 2 2 6 3 6" xfId="15061"/>
    <cellStyle name="Note 3 2 2 6 4" xfId="2107"/>
    <cellStyle name="Note 3 2 2 6 4 2" xfId="6235"/>
    <cellStyle name="Note 3 2 2 6 4 2 2" xfId="12810"/>
    <cellStyle name="Note 3 2 2 6 4 2 2 2" xfId="27132"/>
    <cellStyle name="Note 3 2 2 6 4 2 3" xfId="18455"/>
    <cellStyle name="Note 3 2 2 6 4 3" xfId="7487"/>
    <cellStyle name="Note 3 2 2 6 4 3 2" xfId="10101"/>
    <cellStyle name="Note 3 2 2 6 4 3 2 2" xfId="16363"/>
    <cellStyle name="Note 3 2 2 6 4 3 2 2 2" xfId="29779"/>
    <cellStyle name="Note 3 2 2 6 4 3 2 3" xfId="21108"/>
    <cellStyle name="Note 3 2 2 6 4 3 3" xfId="14091"/>
    <cellStyle name="Note 3 2 2 6 4 3 3 2" xfId="28413"/>
    <cellStyle name="Note 3 2 2 6 4 3 4" xfId="19736"/>
    <cellStyle name="Note 3 2 2 6 4 4" xfId="4142"/>
    <cellStyle name="Note 3 2 2 6 4 4 2" xfId="22780"/>
    <cellStyle name="Note 3 2 2 6 4 5" xfId="14993"/>
    <cellStyle name="Note 3 2 2 6 5" xfId="2108"/>
    <cellStyle name="Note 3 2 2 6 5 2" xfId="7916"/>
    <cellStyle name="Note 3 2 2 6 5 2 2" xfId="10530"/>
    <cellStyle name="Note 3 2 2 6 5 2 2 2" xfId="16792"/>
    <cellStyle name="Note 3 2 2 6 5 2 2 2 2" xfId="30208"/>
    <cellStyle name="Note 3 2 2 6 5 2 2 3" xfId="21537"/>
    <cellStyle name="Note 3 2 2 6 5 2 3" xfId="14520"/>
    <cellStyle name="Note 3 2 2 6 5 2 3 2" xfId="28842"/>
    <cellStyle name="Note 3 2 2 6 5 2 4" xfId="20165"/>
    <cellStyle name="Note 3 2 2 6 5 3" xfId="12865"/>
    <cellStyle name="Note 3 2 2 6 5 3 2" xfId="27187"/>
    <cellStyle name="Note 3 2 2 6 5 4" xfId="18510"/>
    <cellStyle name="Note 3 2 2 6 6" xfId="5477"/>
    <cellStyle name="Note 3 2 2 6 6 2" xfId="12028"/>
    <cellStyle name="Note 3 2 2 6 6 2 2" xfId="26350"/>
    <cellStyle name="Note 3 2 2 6 6 3" xfId="17673"/>
    <cellStyle name="Note 3 2 2 6 7" xfId="3465"/>
    <cellStyle name="Note 3 2 2 6 7 2" xfId="22469"/>
    <cellStyle name="Note 3 2 2 6 8" xfId="14968"/>
    <cellStyle name="Note 3 2 2 7" xfId="2109"/>
    <cellStyle name="Note 3 2 2 7 2" xfId="2110"/>
    <cellStyle name="Note 3 2 2 7 2 2" xfId="2111"/>
    <cellStyle name="Note 3 2 2 7 2 2 2" xfId="6498"/>
    <cellStyle name="Note 3 2 2 7 2 2 2 2" xfId="13084"/>
    <cellStyle name="Note 3 2 2 7 2 2 2 2 2" xfId="27406"/>
    <cellStyle name="Note 3 2 2 7 2 2 2 3" xfId="18729"/>
    <cellStyle name="Note 3 2 2 7 2 2 3" xfId="7211"/>
    <cellStyle name="Note 3 2 2 7 2 2 3 2" xfId="9825"/>
    <cellStyle name="Note 3 2 2 7 2 2 3 2 2" xfId="16087"/>
    <cellStyle name="Note 3 2 2 7 2 2 3 2 2 2" xfId="29503"/>
    <cellStyle name="Note 3 2 2 7 2 2 3 2 3" xfId="20832"/>
    <cellStyle name="Note 3 2 2 7 2 2 3 3" xfId="13815"/>
    <cellStyle name="Note 3 2 2 7 2 2 3 3 2" xfId="28137"/>
    <cellStyle name="Note 3 2 2 7 2 2 3 4" xfId="19460"/>
    <cellStyle name="Note 3 2 2 7 2 2 4" xfId="6576"/>
    <cellStyle name="Note 3 2 2 7 2 2 4 2" xfId="23586"/>
    <cellStyle name="Note 3 2 2 7 2 2 5" xfId="14934"/>
    <cellStyle name="Note 3 2 2 7 2 3" xfId="2112"/>
    <cellStyle name="Note 3 2 2 7 2 3 2" xfId="7313"/>
    <cellStyle name="Note 3 2 2 7 2 3 2 2" xfId="9927"/>
    <cellStyle name="Note 3 2 2 7 2 3 2 2 2" xfId="16189"/>
    <cellStyle name="Note 3 2 2 7 2 3 2 2 2 2" xfId="29605"/>
    <cellStyle name="Note 3 2 2 7 2 3 2 2 3" xfId="20934"/>
    <cellStyle name="Note 3 2 2 7 2 3 2 3" xfId="13917"/>
    <cellStyle name="Note 3 2 2 7 2 3 2 3 2" xfId="28239"/>
    <cellStyle name="Note 3 2 2 7 2 3 2 4" xfId="19562"/>
    <cellStyle name="Note 3 2 2 7 2 3 3" xfId="12569"/>
    <cellStyle name="Note 3 2 2 7 2 3 3 2" xfId="26891"/>
    <cellStyle name="Note 3 2 2 7 2 3 4" xfId="18214"/>
    <cellStyle name="Note 3 2 2 7 2 4" xfId="5156"/>
    <cellStyle name="Note 3 2 2 7 2 4 2" xfId="11705"/>
    <cellStyle name="Note 3 2 2 7 2 4 2 2" xfId="26027"/>
    <cellStyle name="Note 3 2 2 7 2 4 3" xfId="3829"/>
    <cellStyle name="Note 3 2 2 7 2 5" xfId="6726"/>
    <cellStyle name="Note 3 2 2 7 2 5 2" xfId="23680"/>
    <cellStyle name="Note 3 2 2 7 2 6" xfId="6647"/>
    <cellStyle name="Note 3 2 2 7 3" xfId="2113"/>
    <cellStyle name="Note 3 2 2 7 3 2" xfId="5953"/>
    <cellStyle name="Note 3 2 2 7 3 2 2" xfId="12511"/>
    <cellStyle name="Note 3 2 2 7 3 2 2 2" xfId="26833"/>
    <cellStyle name="Note 3 2 2 7 3 2 3" xfId="18156"/>
    <cellStyle name="Note 3 2 2 7 3 3" xfId="7288"/>
    <cellStyle name="Note 3 2 2 7 3 3 2" xfId="9902"/>
    <cellStyle name="Note 3 2 2 7 3 3 2 2" xfId="16164"/>
    <cellStyle name="Note 3 2 2 7 3 3 2 2 2" xfId="29580"/>
    <cellStyle name="Note 3 2 2 7 3 3 2 3" xfId="20909"/>
    <cellStyle name="Note 3 2 2 7 3 3 3" xfId="13892"/>
    <cellStyle name="Note 3 2 2 7 3 3 3 2" xfId="28214"/>
    <cellStyle name="Note 3 2 2 7 3 3 4" xfId="19537"/>
    <cellStyle name="Note 3 2 2 7 3 4" xfId="4691"/>
    <cellStyle name="Note 3 2 2 7 3 4 2" xfId="23127"/>
    <cellStyle name="Note 3 2 2 7 3 5" xfId="14969"/>
    <cellStyle name="Note 3 2 2 7 4" xfId="2114"/>
    <cellStyle name="Note 3 2 2 7 4 2" xfId="5333"/>
    <cellStyle name="Note 3 2 2 7 4 2 2" xfId="9642"/>
    <cellStyle name="Note 3 2 2 7 4 2 2 2" xfId="15904"/>
    <cellStyle name="Note 3 2 2 7 4 2 2 2 2" xfId="29320"/>
    <cellStyle name="Note 3 2 2 7 4 2 2 3" xfId="20649"/>
    <cellStyle name="Note 3 2 2 7 4 2 3" xfId="11883"/>
    <cellStyle name="Note 3 2 2 7 4 2 3 2" xfId="26205"/>
    <cellStyle name="Note 3 2 2 7 4 2 4" xfId="17528"/>
    <cellStyle name="Note 3 2 2 7 4 3" xfId="12937"/>
    <cellStyle name="Note 3 2 2 7 4 3 2" xfId="27259"/>
    <cellStyle name="Note 3 2 2 7 4 4" xfId="18582"/>
    <cellStyle name="Note 3 2 2 7 5" xfId="5561"/>
    <cellStyle name="Note 3 2 2 7 5 2" xfId="12112"/>
    <cellStyle name="Note 3 2 2 7 5 2 2" xfId="26434"/>
    <cellStyle name="Note 3 2 2 7 5 3" xfId="17757"/>
    <cellStyle name="Note 3 2 2 7 6" xfId="3897"/>
    <cellStyle name="Note 3 2 2 7 6 2" xfId="22633"/>
    <cellStyle name="Note 3 2 2 7 7" xfId="17240"/>
    <cellStyle name="Note 3 2 2 8" xfId="2115"/>
    <cellStyle name="Note 3 2 2 8 2" xfId="2116"/>
    <cellStyle name="Note 3 2 2 8 2 2" xfId="6281"/>
    <cellStyle name="Note 3 2 2 8 2 2 2" xfId="12863"/>
    <cellStyle name="Note 3 2 2 8 2 2 2 2" xfId="27185"/>
    <cellStyle name="Note 3 2 2 8 2 2 3" xfId="18508"/>
    <cellStyle name="Note 3 2 2 8 2 3" xfId="3601"/>
    <cellStyle name="Note 3 2 2 8 2 3 2" xfId="9343"/>
    <cellStyle name="Note 3 2 2 8 2 3 2 2" xfId="15605"/>
    <cellStyle name="Note 3 2 2 8 2 3 2 2 2" xfId="29021"/>
    <cellStyle name="Note 3 2 2 8 2 3 2 3" xfId="20350"/>
    <cellStyle name="Note 3 2 2 8 2 3 3" xfId="6776"/>
    <cellStyle name="Note 3 2 2 8 2 3 3 2" xfId="23722"/>
    <cellStyle name="Note 3 2 2 8 2 3 4" xfId="15487"/>
    <cellStyle name="Note 3 2 2 8 2 4" xfId="5935"/>
    <cellStyle name="Note 3 2 2 8 2 4 2" xfId="23377"/>
    <cellStyle name="Note 3 2 2 8 2 5" xfId="3691"/>
    <cellStyle name="Note 3 2 2 8 3" xfId="2117"/>
    <cellStyle name="Note 3 2 2 8 3 2" xfId="7392"/>
    <cellStyle name="Note 3 2 2 8 3 2 2" xfId="10006"/>
    <cellStyle name="Note 3 2 2 8 3 2 2 2" xfId="16268"/>
    <cellStyle name="Note 3 2 2 8 3 2 2 2 2" xfId="29684"/>
    <cellStyle name="Note 3 2 2 8 3 2 2 3" xfId="21013"/>
    <cellStyle name="Note 3 2 2 8 3 2 3" xfId="13996"/>
    <cellStyle name="Note 3 2 2 8 3 2 3 2" xfId="28318"/>
    <cellStyle name="Note 3 2 2 8 3 2 4" xfId="19641"/>
    <cellStyle name="Note 3 2 2 8 3 3" xfId="3757"/>
    <cellStyle name="Note 3 2 2 8 3 3 2" xfId="22564"/>
    <cellStyle name="Note 3 2 2 8 3 4" xfId="14766"/>
    <cellStyle name="Note 3 2 2 8 4" xfId="5216"/>
    <cellStyle name="Note 3 2 2 8 4 2" xfId="11765"/>
    <cellStyle name="Note 3 2 2 8 4 2 2" xfId="26087"/>
    <cellStyle name="Note 3 2 2 8 4 3" xfId="17410"/>
    <cellStyle name="Note 3 2 2 8 5" xfId="6460"/>
    <cellStyle name="Note 3 2 2 8 5 2" xfId="23555"/>
    <cellStyle name="Note 3 2 2 8 6" xfId="14962"/>
    <cellStyle name="Note 3 2 2 9" xfId="2118"/>
    <cellStyle name="Note 3 2 2 9 2" xfId="5967"/>
    <cellStyle name="Note 3 2 2 9 2 2" xfId="12525"/>
    <cellStyle name="Note 3 2 2 9 2 2 2" xfId="26847"/>
    <cellStyle name="Note 3 2 2 9 2 3" xfId="18170"/>
    <cellStyle name="Note 3 2 2 9 3" xfId="7710"/>
    <cellStyle name="Note 3 2 2 9 3 2" xfId="10324"/>
    <cellStyle name="Note 3 2 2 9 3 2 2" xfId="16586"/>
    <cellStyle name="Note 3 2 2 9 3 2 2 2" xfId="30002"/>
    <cellStyle name="Note 3 2 2 9 3 2 3" xfId="21331"/>
    <cellStyle name="Note 3 2 2 9 3 3" xfId="14314"/>
    <cellStyle name="Note 3 2 2 9 3 3 2" xfId="28636"/>
    <cellStyle name="Note 3 2 2 9 3 4" xfId="19959"/>
    <cellStyle name="Note 3 2 2 9 4" xfId="4892"/>
    <cellStyle name="Note 3 2 2 9 4 2" xfId="23250"/>
    <cellStyle name="Note 3 2 2 9 5" xfId="15033"/>
    <cellStyle name="Note 3 2 3" xfId="2119"/>
    <cellStyle name="Note 3 2 3 2" xfId="6842"/>
    <cellStyle name="Note 3 2 3 2 2" xfId="13446"/>
    <cellStyle name="Note 3 2 3 2 2 2" xfId="27768"/>
    <cellStyle name="Note 3 2 3 2 3" xfId="19091"/>
    <cellStyle name="Note 3 2 3 3" xfId="5293"/>
    <cellStyle name="Note 3 2 3 3 2" xfId="9602"/>
    <cellStyle name="Note 3 2 3 3 2 2" xfId="15864"/>
    <cellStyle name="Note 3 2 3 3 2 2 2" xfId="29280"/>
    <cellStyle name="Note 3 2 3 3 2 3" xfId="20609"/>
    <cellStyle name="Note 3 2 3 3 3" xfId="11843"/>
    <cellStyle name="Note 3 2 3 3 3 2" xfId="26165"/>
    <cellStyle name="Note 3 2 3 3 4" xfId="17488"/>
    <cellStyle name="Note 3 2 3 4" xfId="8699"/>
    <cellStyle name="Note 3 2 3 4 2" xfId="24386"/>
    <cellStyle name="Note 3 2 3 5" xfId="3674"/>
    <cellStyle name="Note 3 2 4" xfId="4401"/>
    <cellStyle name="Note 3 2 4 2" xfId="6711"/>
    <cellStyle name="Note 3 2 4 2 2" xfId="23666"/>
    <cellStyle name="Note 3 2 4 3" xfId="15328"/>
    <cellStyle name="Note 3 2 5" xfId="4140"/>
    <cellStyle name="Note 3 2 5 2" xfId="22778"/>
    <cellStyle name="Note 3 2 6" xfId="15318"/>
    <cellStyle name="Note 3 2 7" xfId="21694"/>
    <cellStyle name="Note 3 2 8" xfId="20325"/>
    <cellStyle name="Note 3 3" xfId="2120"/>
    <cellStyle name="Note 3 3 10" xfId="2121"/>
    <cellStyle name="Note 3 3 10 2" xfId="7224"/>
    <cellStyle name="Note 3 3 10 2 2" xfId="9838"/>
    <cellStyle name="Note 3 3 10 2 2 2" xfId="16100"/>
    <cellStyle name="Note 3 3 10 2 2 2 2" xfId="29516"/>
    <cellStyle name="Note 3 3 10 2 2 3" xfId="20845"/>
    <cellStyle name="Note 3 3 10 2 3" xfId="13828"/>
    <cellStyle name="Note 3 3 10 2 3 2" xfId="28150"/>
    <cellStyle name="Note 3 3 10 2 4" xfId="19473"/>
    <cellStyle name="Note 3 3 10 3" xfId="11755"/>
    <cellStyle name="Note 3 3 10 3 2" xfId="26077"/>
    <cellStyle name="Note 3 3 10 4" xfId="17400"/>
    <cellStyle name="Note 3 3 11" xfId="4975"/>
    <cellStyle name="Note 3 3 11 2" xfId="11518"/>
    <cellStyle name="Note 3 3 11 2 2" xfId="25840"/>
    <cellStyle name="Note 3 3 11 3" xfId="16978"/>
    <cellStyle name="Note 3 3 12" xfId="4425"/>
    <cellStyle name="Note 3 3 12 2" xfId="22943"/>
    <cellStyle name="Note 3 3 13" xfId="15267"/>
    <cellStyle name="Note 3 3 2" xfId="2122"/>
    <cellStyle name="Note 3 3 2 10" xfId="5214"/>
    <cellStyle name="Note 3 3 2 10 2" xfId="11763"/>
    <cellStyle name="Note 3 3 2 10 2 2" xfId="26085"/>
    <cellStyle name="Note 3 3 2 10 3" xfId="17408"/>
    <cellStyle name="Note 3 3 2 11" xfId="4759"/>
    <cellStyle name="Note 3 3 2 11 2" xfId="23174"/>
    <cellStyle name="Note 3 3 2 12" xfId="3629"/>
    <cellStyle name="Note 3 3 2 2" xfId="2123"/>
    <cellStyle name="Note 3 3 2 2 10" xfId="3800"/>
    <cellStyle name="Note 3 3 2 2 10 2" xfId="22588"/>
    <cellStyle name="Note 3 3 2 2 11" xfId="15084"/>
    <cellStyle name="Note 3 3 2 2 2" xfId="2124"/>
    <cellStyle name="Note 3 3 2 2 2 2" xfId="2125"/>
    <cellStyle name="Note 3 3 2 2 2 2 2" xfId="2126"/>
    <cellStyle name="Note 3 3 2 2 2 2 2 2" xfId="6871"/>
    <cellStyle name="Note 3 3 2 2 2 2 2 2 2" xfId="13475"/>
    <cellStyle name="Note 3 3 2 2 2 2 2 2 2 2" xfId="27797"/>
    <cellStyle name="Note 3 3 2 2 2 2 2 2 3" xfId="19120"/>
    <cellStyle name="Note 3 3 2 2 2 2 2 3" xfId="7901"/>
    <cellStyle name="Note 3 3 2 2 2 2 2 3 2" xfId="10515"/>
    <cellStyle name="Note 3 3 2 2 2 2 2 3 2 2" xfId="16777"/>
    <cellStyle name="Note 3 3 2 2 2 2 2 3 2 2 2" xfId="30193"/>
    <cellStyle name="Note 3 3 2 2 2 2 2 3 2 3" xfId="21522"/>
    <cellStyle name="Note 3 3 2 2 2 2 2 3 3" xfId="14505"/>
    <cellStyle name="Note 3 3 2 2 2 2 2 3 3 2" xfId="28827"/>
    <cellStyle name="Note 3 3 2 2 2 2 2 3 4" xfId="20150"/>
    <cellStyle name="Note 3 3 2 2 2 2 2 4" xfId="11336"/>
    <cellStyle name="Note 3 3 2 2 2 2 2 4 2" xfId="25658"/>
    <cellStyle name="Note 3 3 2 2 2 2 2 5" xfId="17368"/>
    <cellStyle name="Note 3 3 2 2 2 2 3" xfId="2127"/>
    <cellStyle name="Note 3 3 2 2 2 2 3 2" xfId="5282"/>
    <cellStyle name="Note 3 3 2 2 2 2 3 2 2" xfId="9591"/>
    <cellStyle name="Note 3 3 2 2 2 2 3 2 2 2" xfId="15853"/>
    <cellStyle name="Note 3 3 2 2 2 2 3 2 2 2 2" xfId="29269"/>
    <cellStyle name="Note 3 3 2 2 2 2 3 2 2 3" xfId="20598"/>
    <cellStyle name="Note 3 3 2 2 2 2 3 2 3" xfId="11832"/>
    <cellStyle name="Note 3 3 2 2 2 2 3 2 3 2" xfId="26154"/>
    <cellStyle name="Note 3 3 2 2 2 2 3 2 4" xfId="17477"/>
    <cellStyle name="Note 3 3 2 2 2 2 3 3" xfId="13229"/>
    <cellStyle name="Note 3 3 2 2 2 2 3 3 2" xfId="27551"/>
    <cellStyle name="Note 3 3 2 2 2 2 3 4" xfId="18874"/>
    <cellStyle name="Note 3 3 2 2 2 2 4" xfId="5670"/>
    <cellStyle name="Note 3 3 2 2 2 2 4 2" xfId="12223"/>
    <cellStyle name="Note 3 3 2 2 2 2 4 2 2" xfId="26545"/>
    <cellStyle name="Note 3 3 2 2 2 2 4 3" xfId="17868"/>
    <cellStyle name="Note 3 3 2 2 2 2 5" xfId="3828"/>
    <cellStyle name="Note 3 3 2 2 2 2 5 2" xfId="22601"/>
    <cellStyle name="Note 3 3 2 2 2 2 6" xfId="14992"/>
    <cellStyle name="Note 3 3 2 2 2 3" xfId="2128"/>
    <cellStyle name="Note 3 3 2 2 2 3 2" xfId="2129"/>
    <cellStyle name="Note 3 3 2 2 2 3 2 2" xfId="6267"/>
    <cellStyle name="Note 3 3 2 2 2 3 2 2 2" xfId="12846"/>
    <cellStyle name="Note 3 3 2 2 2 3 2 2 2 2" xfId="27168"/>
    <cellStyle name="Note 3 3 2 2 2 3 2 2 3" xfId="18491"/>
    <cellStyle name="Note 3 3 2 2 2 3 2 3" xfId="8000"/>
    <cellStyle name="Note 3 3 2 2 2 3 2 3 2" xfId="10614"/>
    <cellStyle name="Note 3 3 2 2 2 3 2 3 2 2" xfId="16876"/>
    <cellStyle name="Note 3 3 2 2 2 3 2 3 2 2 2" xfId="30292"/>
    <cellStyle name="Note 3 3 2 2 2 3 2 3 2 3" xfId="21621"/>
    <cellStyle name="Note 3 3 2 2 2 3 2 3 3" xfId="14604"/>
    <cellStyle name="Note 3 3 2 2 2 3 2 3 3 2" xfId="28926"/>
    <cellStyle name="Note 3 3 2 2 2 3 2 3 4" xfId="20249"/>
    <cellStyle name="Note 3 3 2 2 2 3 2 4" xfId="4032"/>
    <cellStyle name="Note 3 3 2 2 2 3 2 4 2" xfId="22710"/>
    <cellStyle name="Note 3 3 2 2 2 3 2 5" xfId="14986"/>
    <cellStyle name="Note 3 3 2 2 2 3 3" xfId="2130"/>
    <cellStyle name="Note 3 3 2 2 2 3 3 2" xfId="7456"/>
    <cellStyle name="Note 3 3 2 2 2 3 3 2 2" xfId="10070"/>
    <cellStyle name="Note 3 3 2 2 2 3 3 2 2 2" xfId="16332"/>
    <cellStyle name="Note 3 3 2 2 2 3 3 2 2 2 2" xfId="29748"/>
    <cellStyle name="Note 3 3 2 2 2 3 3 2 2 3" xfId="21077"/>
    <cellStyle name="Note 3 3 2 2 2 3 3 2 3" xfId="14060"/>
    <cellStyle name="Note 3 3 2 2 2 3 3 2 3 2" xfId="28382"/>
    <cellStyle name="Note 3 3 2 2 2 3 3 2 4" xfId="19705"/>
    <cellStyle name="Note 3 3 2 2 2 3 3 3" xfId="13080"/>
    <cellStyle name="Note 3 3 2 2 2 3 3 3 2" xfId="27402"/>
    <cellStyle name="Note 3 3 2 2 2 3 3 4" xfId="18725"/>
    <cellStyle name="Note 3 3 2 2 2 3 4" xfId="5430"/>
    <cellStyle name="Note 3 3 2 2 2 3 4 2" xfId="11981"/>
    <cellStyle name="Note 3 3 2 2 2 3 4 2 2" xfId="26303"/>
    <cellStyle name="Note 3 3 2 2 2 3 4 3" xfId="17626"/>
    <cellStyle name="Note 3 3 2 2 2 3 5" xfId="5872"/>
    <cellStyle name="Note 3 3 2 2 2 3 5 2" xfId="23367"/>
    <cellStyle name="Note 3 3 2 2 2 3 6" xfId="17002"/>
    <cellStyle name="Note 3 3 2 2 2 4" xfId="2131"/>
    <cellStyle name="Note 3 3 2 2 2 4 2" xfId="5963"/>
    <cellStyle name="Note 3 3 2 2 2 4 2 2" xfId="12521"/>
    <cellStyle name="Note 3 3 2 2 2 4 2 2 2" xfId="26843"/>
    <cellStyle name="Note 3 3 2 2 2 4 2 3" xfId="18166"/>
    <cellStyle name="Note 3 3 2 2 2 4 3" xfId="7569"/>
    <cellStyle name="Note 3 3 2 2 2 4 3 2" xfId="10183"/>
    <cellStyle name="Note 3 3 2 2 2 4 3 2 2" xfId="16445"/>
    <cellStyle name="Note 3 3 2 2 2 4 3 2 2 2" xfId="29861"/>
    <cellStyle name="Note 3 3 2 2 2 4 3 2 3" xfId="21190"/>
    <cellStyle name="Note 3 3 2 2 2 4 3 3" xfId="14173"/>
    <cellStyle name="Note 3 3 2 2 2 4 3 3 2" xfId="28495"/>
    <cellStyle name="Note 3 3 2 2 2 4 3 4" xfId="19818"/>
    <cellStyle name="Note 3 3 2 2 2 4 4" xfId="4026"/>
    <cellStyle name="Note 3 3 2 2 2 4 4 2" xfId="22708"/>
    <cellStyle name="Note 3 3 2 2 2 4 5" xfId="14783"/>
    <cellStyle name="Note 3 3 2 2 2 5" xfId="2132"/>
    <cellStyle name="Note 3 3 2 2 2 5 2" xfId="8042"/>
    <cellStyle name="Note 3 3 2 2 2 5 2 2" xfId="10656"/>
    <cellStyle name="Note 3 3 2 2 2 5 2 2 2" xfId="16918"/>
    <cellStyle name="Note 3 3 2 2 2 5 2 2 2 2" xfId="30334"/>
    <cellStyle name="Note 3 3 2 2 2 5 2 2 3" xfId="21663"/>
    <cellStyle name="Note 3 3 2 2 2 5 2 3" xfId="14646"/>
    <cellStyle name="Note 3 3 2 2 2 5 2 3 2" xfId="28968"/>
    <cellStyle name="Note 3 3 2 2 2 5 2 4" xfId="20291"/>
    <cellStyle name="Note 3 3 2 2 2 5 3" xfId="12606"/>
    <cellStyle name="Note 3 3 2 2 2 5 3 2" xfId="26928"/>
    <cellStyle name="Note 3 3 2 2 2 5 4" xfId="18251"/>
    <cellStyle name="Note 3 3 2 2 2 6" xfId="5144"/>
    <cellStyle name="Note 3 3 2 2 2 6 2" xfId="11693"/>
    <cellStyle name="Note 3 3 2 2 2 6 2 2" xfId="26015"/>
    <cellStyle name="Note 3 3 2 2 2 6 3" xfId="4611"/>
    <cellStyle name="Note 3 3 2 2 2 7" xfId="4065"/>
    <cellStyle name="Note 3 3 2 2 2 7 2" xfId="22737"/>
    <cellStyle name="Note 3 3 2 2 2 8" xfId="4566"/>
    <cellStyle name="Note 3 3 2 2 3" xfId="2133"/>
    <cellStyle name="Note 3 3 2 2 3 2" xfId="2134"/>
    <cellStyle name="Note 3 3 2 2 3 2 2" xfId="2135"/>
    <cellStyle name="Note 3 3 2 2 3 2 2 2" xfId="5928"/>
    <cellStyle name="Note 3 3 2 2 3 2 2 2 2" xfId="12483"/>
    <cellStyle name="Note 3 3 2 2 3 2 2 2 2 2" xfId="26805"/>
    <cellStyle name="Note 3 3 2 2 3 2 2 2 3" xfId="18128"/>
    <cellStyle name="Note 3 3 2 2 3 2 2 3" xfId="7672"/>
    <cellStyle name="Note 3 3 2 2 3 2 2 3 2" xfId="10286"/>
    <cellStyle name="Note 3 3 2 2 3 2 2 3 2 2" xfId="16548"/>
    <cellStyle name="Note 3 3 2 2 3 2 2 3 2 2 2" xfId="29964"/>
    <cellStyle name="Note 3 3 2 2 3 2 2 3 2 3" xfId="21293"/>
    <cellStyle name="Note 3 3 2 2 3 2 2 3 3" xfId="14276"/>
    <cellStyle name="Note 3 3 2 2 3 2 2 3 3 2" xfId="28598"/>
    <cellStyle name="Note 3 3 2 2 3 2 2 3 4" xfId="19921"/>
    <cellStyle name="Note 3 3 2 2 3 2 2 4" xfId="3881"/>
    <cellStyle name="Note 3 3 2 2 3 2 2 4 2" xfId="22624"/>
    <cellStyle name="Note 3 3 2 2 3 2 2 5" xfId="17263"/>
    <cellStyle name="Note 3 3 2 2 3 2 3" xfId="2136"/>
    <cellStyle name="Note 3 3 2 2 3 2 3 2" xfId="5012"/>
    <cellStyle name="Note 3 3 2 2 3 2 3 2 2" xfId="9542"/>
    <cellStyle name="Note 3 3 2 2 3 2 3 2 2 2" xfId="15804"/>
    <cellStyle name="Note 3 3 2 2 3 2 3 2 2 2 2" xfId="29220"/>
    <cellStyle name="Note 3 3 2 2 3 2 3 2 2 3" xfId="20549"/>
    <cellStyle name="Note 3 3 2 2 3 2 3 2 3" xfId="11557"/>
    <cellStyle name="Note 3 3 2 2 3 2 3 2 3 2" xfId="25879"/>
    <cellStyle name="Note 3 3 2 2 3 2 3 2 4" xfId="5964"/>
    <cellStyle name="Note 3 3 2 2 3 2 3 3" xfId="13285"/>
    <cellStyle name="Note 3 3 2 2 3 2 3 3 2" xfId="27607"/>
    <cellStyle name="Note 3 3 2 2 3 2 3 4" xfId="18930"/>
    <cellStyle name="Note 3 3 2 2 3 2 4" xfId="5735"/>
    <cellStyle name="Note 3 3 2 2 3 2 4 2" xfId="12288"/>
    <cellStyle name="Note 3 3 2 2 3 2 4 2 2" xfId="26610"/>
    <cellStyle name="Note 3 3 2 2 3 2 4 3" xfId="17933"/>
    <cellStyle name="Note 3 3 2 2 3 2 5" xfId="4195"/>
    <cellStyle name="Note 3 3 2 2 3 2 5 2" xfId="22815"/>
    <cellStyle name="Note 3 3 2 2 3 2 6" xfId="16990"/>
    <cellStyle name="Note 3 3 2 2 3 3" xfId="2137"/>
    <cellStyle name="Note 3 3 2 2 3 3 2" xfId="2138"/>
    <cellStyle name="Note 3 3 2 2 3 3 2 2" xfId="6417"/>
    <cellStyle name="Note 3 3 2 2 3 3 2 2 2" xfId="13000"/>
    <cellStyle name="Note 3 3 2 2 3 3 2 2 2 2" xfId="27322"/>
    <cellStyle name="Note 3 3 2 2 3 3 2 2 3" xfId="18645"/>
    <cellStyle name="Note 3 3 2 2 3 3 2 3" xfId="7537"/>
    <cellStyle name="Note 3 3 2 2 3 3 2 3 2" xfId="10151"/>
    <cellStyle name="Note 3 3 2 2 3 3 2 3 2 2" xfId="16413"/>
    <cellStyle name="Note 3 3 2 2 3 3 2 3 2 2 2" xfId="29829"/>
    <cellStyle name="Note 3 3 2 2 3 3 2 3 2 3" xfId="21158"/>
    <cellStyle name="Note 3 3 2 2 3 3 2 3 3" xfId="14141"/>
    <cellStyle name="Note 3 3 2 2 3 3 2 3 3 2" xfId="28463"/>
    <cellStyle name="Note 3 3 2 2 3 3 2 3 4" xfId="19786"/>
    <cellStyle name="Note 3 3 2 2 3 3 2 4" xfId="3705"/>
    <cellStyle name="Note 3 3 2 2 3 3 2 4 2" xfId="22537"/>
    <cellStyle name="Note 3 3 2 2 3 3 2 5" xfId="14785"/>
    <cellStyle name="Note 3 3 2 2 3 3 3" xfId="2139"/>
    <cellStyle name="Note 3 3 2 2 3 3 3 2" xfId="7579"/>
    <cellStyle name="Note 3 3 2 2 3 3 3 2 2" xfId="10193"/>
    <cellStyle name="Note 3 3 2 2 3 3 3 2 2 2" xfId="16455"/>
    <cellStyle name="Note 3 3 2 2 3 3 3 2 2 2 2" xfId="29871"/>
    <cellStyle name="Note 3 3 2 2 3 3 3 2 2 3" xfId="21200"/>
    <cellStyle name="Note 3 3 2 2 3 3 3 2 3" xfId="14183"/>
    <cellStyle name="Note 3 3 2 2 3 3 3 2 3 2" xfId="28505"/>
    <cellStyle name="Note 3 3 2 2 3 3 3 2 4" xfId="19828"/>
    <cellStyle name="Note 3 3 2 2 3 3 3 3" xfId="13361"/>
    <cellStyle name="Note 3 3 2 2 3 3 3 3 2" xfId="27683"/>
    <cellStyle name="Note 3 3 2 2 3 3 3 4" xfId="19006"/>
    <cellStyle name="Note 3 3 2 2 3 3 4" xfId="5811"/>
    <cellStyle name="Note 3 3 2 2 3 3 4 2" xfId="12364"/>
    <cellStyle name="Note 3 3 2 2 3 3 4 2 2" xfId="26686"/>
    <cellStyle name="Note 3 3 2 2 3 3 4 3" xfId="18009"/>
    <cellStyle name="Note 3 3 2 2 3 3 5" xfId="4535"/>
    <cellStyle name="Note 3 3 2 2 3 3 5 2" xfId="23015"/>
    <cellStyle name="Note 3 3 2 2 3 3 6" xfId="17153"/>
    <cellStyle name="Note 3 3 2 2 3 4" xfId="2140"/>
    <cellStyle name="Note 3 3 2 2 3 4 2" xfId="6201"/>
    <cellStyle name="Note 3 3 2 2 3 4 2 2" xfId="12774"/>
    <cellStyle name="Note 3 3 2 2 3 4 2 2 2" xfId="27096"/>
    <cellStyle name="Note 3 3 2 2 3 4 2 3" xfId="18419"/>
    <cellStyle name="Note 3 3 2 2 3 4 3" xfId="7328"/>
    <cellStyle name="Note 3 3 2 2 3 4 3 2" xfId="9942"/>
    <cellStyle name="Note 3 3 2 2 3 4 3 2 2" xfId="16204"/>
    <cellStyle name="Note 3 3 2 2 3 4 3 2 2 2" xfId="29620"/>
    <cellStyle name="Note 3 3 2 2 3 4 3 2 3" xfId="20949"/>
    <cellStyle name="Note 3 3 2 2 3 4 3 3" xfId="13932"/>
    <cellStyle name="Note 3 3 2 2 3 4 3 3 2" xfId="28254"/>
    <cellStyle name="Note 3 3 2 2 3 4 3 4" xfId="19577"/>
    <cellStyle name="Note 3 3 2 2 3 4 4" xfId="6061"/>
    <cellStyle name="Note 3 3 2 2 3 4 4 2" xfId="23403"/>
    <cellStyle name="Note 3 3 2 2 3 4 5" xfId="4682"/>
    <cellStyle name="Note 3 3 2 2 3 5" xfId="2141"/>
    <cellStyle name="Note 3 3 2 2 3 5 2" xfId="7786"/>
    <cellStyle name="Note 3 3 2 2 3 5 2 2" xfId="10400"/>
    <cellStyle name="Note 3 3 2 2 3 5 2 2 2" xfId="16662"/>
    <cellStyle name="Note 3 3 2 2 3 5 2 2 2 2" xfId="30078"/>
    <cellStyle name="Note 3 3 2 2 3 5 2 2 3" xfId="21407"/>
    <cellStyle name="Note 3 3 2 2 3 5 2 3" xfId="14390"/>
    <cellStyle name="Note 3 3 2 2 3 5 2 3 2" xfId="28712"/>
    <cellStyle name="Note 3 3 2 2 3 5 2 4" xfId="20035"/>
    <cellStyle name="Note 3 3 2 2 3 5 3" xfId="12853"/>
    <cellStyle name="Note 3 3 2 2 3 5 3 2" xfId="27175"/>
    <cellStyle name="Note 3 3 2 2 3 5 4" xfId="18498"/>
    <cellStyle name="Note 3 3 2 2 3 6" xfId="5454"/>
    <cellStyle name="Note 3 3 2 2 3 6 2" xfId="12005"/>
    <cellStyle name="Note 3 3 2 2 3 6 2 2" xfId="26327"/>
    <cellStyle name="Note 3 3 2 2 3 6 3" xfId="17650"/>
    <cellStyle name="Note 3 3 2 2 3 7" xfId="3941"/>
    <cellStyle name="Note 3 3 2 2 3 7 2" xfId="22657"/>
    <cellStyle name="Note 3 3 2 2 3 8" xfId="15104"/>
    <cellStyle name="Note 3 3 2 2 4" xfId="2142"/>
    <cellStyle name="Note 3 3 2 2 4 2" xfId="2143"/>
    <cellStyle name="Note 3 3 2 2 4 2 2" xfId="2144"/>
    <cellStyle name="Note 3 3 2 2 4 2 2 2" xfId="6847"/>
    <cellStyle name="Note 3 3 2 2 4 2 2 2 2" xfId="13451"/>
    <cellStyle name="Note 3 3 2 2 4 2 2 2 2 2" xfId="27773"/>
    <cellStyle name="Note 3 3 2 2 4 2 2 2 3" xfId="19096"/>
    <cellStyle name="Note 3 3 2 2 4 2 2 3" xfId="7840"/>
    <cellStyle name="Note 3 3 2 2 4 2 2 3 2" xfId="10454"/>
    <cellStyle name="Note 3 3 2 2 4 2 2 3 2 2" xfId="16716"/>
    <cellStyle name="Note 3 3 2 2 4 2 2 3 2 2 2" xfId="30132"/>
    <cellStyle name="Note 3 3 2 2 4 2 2 3 2 3" xfId="21461"/>
    <cellStyle name="Note 3 3 2 2 4 2 2 3 3" xfId="14444"/>
    <cellStyle name="Note 3 3 2 2 4 2 2 3 3 2" xfId="28766"/>
    <cellStyle name="Note 3 3 2 2 4 2 2 3 4" xfId="20089"/>
    <cellStyle name="Note 3 3 2 2 4 2 2 4" xfId="2808"/>
    <cellStyle name="Note 3 3 2 2 4 2 2 4 2" xfId="22371"/>
    <cellStyle name="Note 3 3 2 2 4 2 2 5" xfId="14734"/>
    <cellStyle name="Note 3 3 2 2 4 2 3" xfId="2145"/>
    <cellStyle name="Note 3 3 2 2 4 2 3 2" xfId="7924"/>
    <cellStyle name="Note 3 3 2 2 4 2 3 2 2" xfId="10538"/>
    <cellStyle name="Note 3 3 2 2 4 2 3 2 2 2" xfId="16800"/>
    <cellStyle name="Note 3 3 2 2 4 2 3 2 2 2 2" xfId="30216"/>
    <cellStyle name="Note 3 3 2 2 4 2 3 2 2 3" xfId="21545"/>
    <cellStyle name="Note 3 3 2 2 4 2 3 2 3" xfId="14528"/>
    <cellStyle name="Note 3 3 2 2 4 2 3 2 3 2" xfId="28850"/>
    <cellStyle name="Note 3 3 2 2 4 2 3 2 4" xfId="20173"/>
    <cellStyle name="Note 3 3 2 2 4 2 3 3" xfId="13230"/>
    <cellStyle name="Note 3 3 2 2 4 2 3 3 2" xfId="27552"/>
    <cellStyle name="Note 3 3 2 2 4 2 3 4" xfId="18875"/>
    <cellStyle name="Note 3 3 2 2 4 2 4" xfId="5671"/>
    <cellStyle name="Note 3 3 2 2 4 2 4 2" xfId="12224"/>
    <cellStyle name="Note 3 3 2 2 4 2 4 2 2" xfId="26546"/>
    <cellStyle name="Note 3 3 2 2 4 2 4 3" xfId="17869"/>
    <cellStyle name="Note 3 3 2 2 4 2 5" xfId="6806"/>
    <cellStyle name="Note 3 3 2 2 4 2 5 2" xfId="23745"/>
    <cellStyle name="Note 3 3 2 2 4 2 6" xfId="4421"/>
    <cellStyle name="Note 3 3 2 2 4 3" xfId="2146"/>
    <cellStyle name="Note 3 3 2 2 4 3 2" xfId="2147"/>
    <cellStyle name="Note 3 3 2 2 4 3 2 2" xfId="6565"/>
    <cellStyle name="Note 3 3 2 2 4 3 2 2 2" xfId="13153"/>
    <cellStyle name="Note 3 3 2 2 4 3 2 2 2 2" xfId="27475"/>
    <cellStyle name="Note 3 3 2 2 4 3 2 2 3" xfId="18798"/>
    <cellStyle name="Note 3 3 2 2 4 3 2 3" xfId="4998"/>
    <cellStyle name="Note 3 3 2 2 4 3 2 3 2" xfId="9535"/>
    <cellStyle name="Note 3 3 2 2 4 3 2 3 2 2" xfId="15797"/>
    <cellStyle name="Note 3 3 2 2 4 3 2 3 2 2 2" xfId="29213"/>
    <cellStyle name="Note 3 3 2 2 4 3 2 3 2 3" xfId="20542"/>
    <cellStyle name="Note 3 3 2 2 4 3 2 3 3" xfId="11541"/>
    <cellStyle name="Note 3 3 2 2 4 3 2 3 3 2" xfId="25863"/>
    <cellStyle name="Note 3 3 2 2 4 3 2 3 4" xfId="15030"/>
    <cellStyle name="Note 3 3 2 2 4 3 2 4" xfId="4559"/>
    <cellStyle name="Note 3 3 2 2 4 3 2 4 2" xfId="23030"/>
    <cellStyle name="Note 3 3 2 2 4 3 2 5" xfId="3176"/>
    <cellStyle name="Note 3 3 2 2 4 3 3" xfId="2148"/>
    <cellStyle name="Note 3 3 2 2 4 3 3 2" xfId="7408"/>
    <cellStyle name="Note 3 3 2 2 4 3 3 2 2" xfId="10022"/>
    <cellStyle name="Note 3 3 2 2 4 3 3 2 2 2" xfId="16284"/>
    <cellStyle name="Note 3 3 2 2 4 3 3 2 2 2 2" xfId="29700"/>
    <cellStyle name="Note 3 3 2 2 4 3 3 2 2 3" xfId="21029"/>
    <cellStyle name="Note 3 3 2 2 4 3 3 2 3" xfId="14012"/>
    <cellStyle name="Note 3 3 2 2 4 3 3 2 3 2" xfId="28334"/>
    <cellStyle name="Note 3 3 2 2 4 3 3 2 4" xfId="19657"/>
    <cellStyle name="Note 3 3 2 2 4 3 3 3" xfId="12557"/>
    <cellStyle name="Note 3 3 2 2 4 3 3 3 2" xfId="26879"/>
    <cellStyle name="Note 3 3 2 2 4 3 3 4" xfId="18202"/>
    <cellStyle name="Note 3 3 2 2 4 3 4" xfId="5043"/>
    <cellStyle name="Note 3 3 2 2 4 3 4 2" xfId="11590"/>
    <cellStyle name="Note 3 3 2 2 4 3 4 2 2" xfId="25912"/>
    <cellStyle name="Note 3 3 2 2 4 3 4 3" xfId="14821"/>
    <cellStyle name="Note 3 3 2 2 4 3 5" xfId="4367"/>
    <cellStyle name="Note 3 3 2 2 4 3 5 2" xfId="22909"/>
    <cellStyle name="Note 3 3 2 2 4 3 6" xfId="15483"/>
    <cellStyle name="Note 3 3 2 2 4 4" xfId="2149"/>
    <cellStyle name="Note 3 3 2 2 4 4 2" xfId="6404"/>
    <cellStyle name="Note 3 3 2 2 4 4 2 2" xfId="12987"/>
    <cellStyle name="Note 3 3 2 2 4 4 2 2 2" xfId="27309"/>
    <cellStyle name="Note 3 3 2 2 4 4 2 3" xfId="18632"/>
    <cellStyle name="Note 3 3 2 2 4 4 3" xfId="7129"/>
    <cellStyle name="Note 3 3 2 2 4 4 3 2" xfId="9743"/>
    <cellStyle name="Note 3 3 2 2 4 4 3 2 2" xfId="16005"/>
    <cellStyle name="Note 3 3 2 2 4 4 3 2 2 2" xfId="29421"/>
    <cellStyle name="Note 3 3 2 2 4 4 3 2 3" xfId="20750"/>
    <cellStyle name="Note 3 3 2 2 4 4 3 3" xfId="13733"/>
    <cellStyle name="Note 3 3 2 2 4 4 3 3 2" xfId="28055"/>
    <cellStyle name="Note 3 3 2 2 4 4 3 4" xfId="19378"/>
    <cellStyle name="Note 3 3 2 2 4 4 4" xfId="4104"/>
    <cellStyle name="Note 3 3 2 2 4 4 4 2" xfId="22759"/>
    <cellStyle name="Note 3 3 2 2 4 4 5" xfId="4279"/>
    <cellStyle name="Note 3 3 2 2 4 5" xfId="2150"/>
    <cellStyle name="Note 3 3 2 2 4 5 2" xfId="7856"/>
    <cellStyle name="Note 3 3 2 2 4 5 2 2" xfId="10470"/>
    <cellStyle name="Note 3 3 2 2 4 5 2 2 2" xfId="16732"/>
    <cellStyle name="Note 3 3 2 2 4 5 2 2 2 2" xfId="30148"/>
    <cellStyle name="Note 3 3 2 2 4 5 2 2 3" xfId="21477"/>
    <cellStyle name="Note 3 3 2 2 4 5 2 3" xfId="14460"/>
    <cellStyle name="Note 3 3 2 2 4 5 2 3 2" xfId="28782"/>
    <cellStyle name="Note 3 3 2 2 4 5 2 4" xfId="20105"/>
    <cellStyle name="Note 3 3 2 2 4 5 3" xfId="12607"/>
    <cellStyle name="Note 3 3 2 2 4 5 3 2" xfId="26929"/>
    <cellStyle name="Note 3 3 2 2 4 5 4" xfId="18252"/>
    <cellStyle name="Note 3 3 2 2 4 6" xfId="5071"/>
    <cellStyle name="Note 3 3 2 2 4 6 2" xfId="11618"/>
    <cellStyle name="Note 3 3 2 2 4 6 2 2" xfId="25940"/>
    <cellStyle name="Note 3 3 2 2 4 6 3" xfId="4377"/>
    <cellStyle name="Note 3 3 2 2 4 7" xfId="4609"/>
    <cellStyle name="Note 3 3 2 2 4 7 2" xfId="23066"/>
    <cellStyle name="Note 3 3 2 2 4 8" xfId="4099"/>
    <cellStyle name="Note 3 3 2 2 5" xfId="2151"/>
    <cellStyle name="Note 3 3 2 2 5 2" xfId="2152"/>
    <cellStyle name="Note 3 3 2 2 5 2 2" xfId="2153"/>
    <cellStyle name="Note 3 3 2 2 5 2 2 2" xfId="5977"/>
    <cellStyle name="Note 3 3 2 2 5 2 2 2 2" xfId="12535"/>
    <cellStyle name="Note 3 3 2 2 5 2 2 2 2 2" xfId="26857"/>
    <cellStyle name="Note 3 3 2 2 5 2 2 2 3" xfId="18180"/>
    <cellStyle name="Note 3 3 2 2 5 2 2 3" xfId="3277"/>
    <cellStyle name="Note 3 3 2 2 5 2 2 3 2" xfId="9051"/>
    <cellStyle name="Note 3 3 2 2 5 2 2 3 2 2" xfId="15390"/>
    <cellStyle name="Note 3 3 2 2 5 2 2 3 2 2 2" xfId="29009"/>
    <cellStyle name="Note 3 3 2 2 5 2 2 3 2 3" xfId="20336"/>
    <cellStyle name="Note 3 3 2 2 5 2 2 3 3" xfId="3272"/>
    <cellStyle name="Note 3 3 2 2 5 2 2 3 3 2" xfId="22456"/>
    <cellStyle name="Note 3 3 2 2 5 2 2 3 4" xfId="16952"/>
    <cellStyle name="Note 3 3 2 2 5 2 2 4" xfId="3019"/>
    <cellStyle name="Note 3 3 2 2 5 2 2 4 2" xfId="22410"/>
    <cellStyle name="Note 3 3 2 2 5 2 2 5" xfId="15193"/>
    <cellStyle name="Note 3 3 2 2 5 2 3" xfId="2154"/>
    <cellStyle name="Note 3 3 2 2 5 2 3 2" xfId="7347"/>
    <cellStyle name="Note 3 3 2 2 5 2 3 2 2" xfId="9961"/>
    <cellStyle name="Note 3 3 2 2 5 2 3 2 2 2" xfId="16223"/>
    <cellStyle name="Note 3 3 2 2 5 2 3 2 2 2 2" xfId="29639"/>
    <cellStyle name="Note 3 3 2 2 5 2 3 2 2 3" xfId="20968"/>
    <cellStyle name="Note 3 3 2 2 5 2 3 2 3" xfId="13951"/>
    <cellStyle name="Note 3 3 2 2 5 2 3 2 3 2" xfId="28273"/>
    <cellStyle name="Note 3 3 2 2 5 2 3 2 4" xfId="19596"/>
    <cellStyle name="Note 3 3 2 2 5 2 3 3" xfId="13418"/>
    <cellStyle name="Note 3 3 2 2 5 2 3 3 2" xfId="27740"/>
    <cellStyle name="Note 3 3 2 2 5 2 3 4" xfId="19063"/>
    <cellStyle name="Note 3 3 2 2 5 2 4" xfId="5888"/>
    <cellStyle name="Note 3 3 2 2 5 2 4 2" xfId="12441"/>
    <cellStyle name="Note 3 3 2 2 5 2 4 2 2" xfId="26763"/>
    <cellStyle name="Note 3 3 2 2 5 2 4 3" xfId="18086"/>
    <cellStyle name="Note 3 3 2 2 5 2 5" xfId="4187"/>
    <cellStyle name="Note 3 3 2 2 5 2 5 2" xfId="22809"/>
    <cellStyle name="Note 3 3 2 2 5 2 6" xfId="14743"/>
    <cellStyle name="Note 3 3 2 2 5 3" xfId="2155"/>
    <cellStyle name="Note 3 3 2 2 5 3 2" xfId="6468"/>
    <cellStyle name="Note 3 3 2 2 5 3 2 2" xfId="13051"/>
    <cellStyle name="Note 3 3 2 2 5 3 2 2 2" xfId="27373"/>
    <cellStyle name="Note 3 3 2 2 5 3 2 3" xfId="18696"/>
    <cellStyle name="Note 3 3 2 2 5 3 3" xfId="7634"/>
    <cellStyle name="Note 3 3 2 2 5 3 3 2" xfId="10248"/>
    <cellStyle name="Note 3 3 2 2 5 3 3 2 2" xfId="16510"/>
    <cellStyle name="Note 3 3 2 2 5 3 3 2 2 2" xfId="29926"/>
    <cellStyle name="Note 3 3 2 2 5 3 3 2 3" xfId="21255"/>
    <cellStyle name="Note 3 3 2 2 5 3 3 3" xfId="14238"/>
    <cellStyle name="Note 3 3 2 2 5 3 3 3 2" xfId="28560"/>
    <cellStyle name="Note 3 3 2 2 5 3 3 4" xfId="19883"/>
    <cellStyle name="Note 3 3 2 2 5 3 4" xfId="4118"/>
    <cellStyle name="Note 3 3 2 2 5 3 4 2" xfId="22763"/>
    <cellStyle name="Note 3 3 2 2 5 3 5" xfId="6013"/>
    <cellStyle name="Note 3 3 2 2 5 4" xfId="2156"/>
    <cellStyle name="Note 3 3 2 2 5 4 2" xfId="7780"/>
    <cellStyle name="Note 3 3 2 2 5 4 2 2" xfId="10394"/>
    <cellStyle name="Note 3 3 2 2 5 4 2 2 2" xfId="16656"/>
    <cellStyle name="Note 3 3 2 2 5 4 2 2 2 2" xfId="30072"/>
    <cellStyle name="Note 3 3 2 2 5 4 2 2 3" xfId="21401"/>
    <cellStyle name="Note 3 3 2 2 5 4 2 3" xfId="14384"/>
    <cellStyle name="Note 3 3 2 2 5 4 2 3 2" xfId="28706"/>
    <cellStyle name="Note 3 3 2 2 5 4 2 4" xfId="20029"/>
    <cellStyle name="Note 3 3 2 2 5 4 3" xfId="12736"/>
    <cellStyle name="Note 3 3 2 2 5 4 3 2" xfId="27058"/>
    <cellStyle name="Note 3 3 2 2 5 4 4" xfId="18381"/>
    <cellStyle name="Note 3 3 2 2 5 5" xfId="5138"/>
    <cellStyle name="Note 3 3 2 2 5 5 2" xfId="11687"/>
    <cellStyle name="Note 3 3 2 2 5 5 2 2" xfId="26009"/>
    <cellStyle name="Note 3 3 2 2 5 5 3" xfId="14676"/>
    <cellStyle name="Note 3 3 2 2 5 6" xfId="4826"/>
    <cellStyle name="Note 3 3 2 2 5 6 2" xfId="23207"/>
    <cellStyle name="Note 3 3 2 2 5 7" xfId="6666"/>
    <cellStyle name="Note 3 3 2 2 6" xfId="2157"/>
    <cellStyle name="Note 3 3 2 2 6 2" xfId="2158"/>
    <cellStyle name="Note 3 3 2 2 6 2 2" xfId="6113"/>
    <cellStyle name="Note 3 3 2 2 6 2 2 2" xfId="12681"/>
    <cellStyle name="Note 3 3 2 2 6 2 2 2 2" xfId="27003"/>
    <cellStyle name="Note 3 3 2 2 6 2 2 3" xfId="18326"/>
    <cellStyle name="Note 3 3 2 2 6 2 3" xfId="7659"/>
    <cellStyle name="Note 3 3 2 2 6 2 3 2" xfId="10273"/>
    <cellStyle name="Note 3 3 2 2 6 2 3 2 2" xfId="16535"/>
    <cellStyle name="Note 3 3 2 2 6 2 3 2 2 2" xfId="29951"/>
    <cellStyle name="Note 3 3 2 2 6 2 3 2 3" xfId="21280"/>
    <cellStyle name="Note 3 3 2 2 6 2 3 3" xfId="14263"/>
    <cellStyle name="Note 3 3 2 2 6 2 3 3 2" xfId="28585"/>
    <cellStyle name="Note 3 3 2 2 6 2 3 4" xfId="19908"/>
    <cellStyle name="Note 3 3 2 2 6 2 4" xfId="3669"/>
    <cellStyle name="Note 3 3 2 2 6 2 4 2" xfId="22515"/>
    <cellStyle name="Note 3 3 2 2 6 2 5" xfId="14733"/>
    <cellStyle name="Note 3 3 2 2 6 3" xfId="2159"/>
    <cellStyle name="Note 3 3 2 2 6 3 2" xfId="7103"/>
    <cellStyle name="Note 3 3 2 2 6 3 2 2" xfId="9717"/>
    <cellStyle name="Note 3 3 2 2 6 3 2 2 2" xfId="15979"/>
    <cellStyle name="Note 3 3 2 2 6 3 2 2 2 2" xfId="29395"/>
    <cellStyle name="Note 3 3 2 2 6 3 2 2 3" xfId="20724"/>
    <cellStyle name="Note 3 3 2 2 6 3 2 3" xfId="13707"/>
    <cellStyle name="Note 3 3 2 2 6 3 2 3 2" xfId="28029"/>
    <cellStyle name="Note 3 3 2 2 6 3 2 4" xfId="19352"/>
    <cellStyle name="Note 3 3 2 2 6 3 3" xfId="13039"/>
    <cellStyle name="Note 3 3 2 2 6 3 3 2" xfId="27361"/>
    <cellStyle name="Note 3 3 2 2 6 3 4" xfId="18684"/>
    <cellStyle name="Note 3 3 2 2 6 4" xfId="5356"/>
    <cellStyle name="Note 3 3 2 2 6 4 2" xfId="11906"/>
    <cellStyle name="Note 3 3 2 2 6 4 2 2" xfId="26228"/>
    <cellStyle name="Note 3 3 2 2 6 4 3" xfId="17551"/>
    <cellStyle name="Note 3 3 2 2 6 5" xfId="4622"/>
    <cellStyle name="Note 3 3 2 2 6 5 2" xfId="23071"/>
    <cellStyle name="Note 3 3 2 2 6 6" xfId="4420"/>
    <cellStyle name="Note 3 3 2 2 7" xfId="2160"/>
    <cellStyle name="Note 3 3 2 2 7 2" xfId="6120"/>
    <cellStyle name="Note 3 3 2 2 7 2 2" xfId="12689"/>
    <cellStyle name="Note 3 3 2 2 7 2 2 2" xfId="27011"/>
    <cellStyle name="Note 3 3 2 2 7 2 3" xfId="18334"/>
    <cellStyle name="Note 3 3 2 2 7 3" xfId="7821"/>
    <cellStyle name="Note 3 3 2 2 7 3 2" xfId="10435"/>
    <cellStyle name="Note 3 3 2 2 7 3 2 2" xfId="16697"/>
    <cellStyle name="Note 3 3 2 2 7 3 2 2 2" xfId="30113"/>
    <cellStyle name="Note 3 3 2 2 7 3 2 3" xfId="21442"/>
    <cellStyle name="Note 3 3 2 2 7 3 3" xfId="14425"/>
    <cellStyle name="Note 3 3 2 2 7 3 3 2" xfId="28747"/>
    <cellStyle name="Note 3 3 2 2 7 3 4" xfId="20070"/>
    <cellStyle name="Note 3 3 2 2 7 4" xfId="6761"/>
    <cellStyle name="Note 3 3 2 2 7 4 2" xfId="23709"/>
    <cellStyle name="Note 3 3 2 2 7 5" xfId="17324"/>
    <cellStyle name="Note 3 3 2 2 8" xfId="2161"/>
    <cellStyle name="Note 3 3 2 2 8 2" xfId="7910"/>
    <cellStyle name="Note 3 3 2 2 8 2 2" xfId="10524"/>
    <cellStyle name="Note 3 3 2 2 8 2 2 2" xfId="16786"/>
    <cellStyle name="Note 3 3 2 2 8 2 2 2 2" xfId="30202"/>
    <cellStyle name="Note 3 3 2 2 8 2 2 3" xfId="21531"/>
    <cellStyle name="Note 3 3 2 2 8 2 3" xfId="14514"/>
    <cellStyle name="Note 3 3 2 2 8 2 3 2" xfId="28836"/>
    <cellStyle name="Note 3 3 2 2 8 2 4" xfId="20159"/>
    <cellStyle name="Note 3 3 2 2 8 3" xfId="11637"/>
    <cellStyle name="Note 3 3 2 2 8 3 2" xfId="25959"/>
    <cellStyle name="Note 3 3 2 2 8 4" xfId="6154"/>
    <cellStyle name="Note 3 3 2 2 9" xfId="4350"/>
    <cellStyle name="Note 3 3 2 2 9 2" xfId="4143"/>
    <cellStyle name="Note 3 3 2 2 9 2 2" xfId="22781"/>
    <cellStyle name="Note 3 3 2 2 9 3" xfId="17290"/>
    <cellStyle name="Note 3 3 2 3" xfId="2162"/>
    <cellStyle name="Note 3 3 2 3 2" xfId="2163"/>
    <cellStyle name="Note 3 3 2 3 2 2" xfId="2164"/>
    <cellStyle name="Note 3 3 2 3 2 2 2" xfId="6418"/>
    <cellStyle name="Note 3 3 2 3 2 2 2 2" xfId="13001"/>
    <cellStyle name="Note 3 3 2 3 2 2 2 2 2" xfId="27323"/>
    <cellStyle name="Note 3 3 2 3 2 2 2 3" xfId="18646"/>
    <cellStyle name="Note 3 3 2 3 2 2 3" xfId="7566"/>
    <cellStyle name="Note 3 3 2 3 2 2 3 2" xfId="10180"/>
    <cellStyle name="Note 3 3 2 3 2 2 3 2 2" xfId="16442"/>
    <cellStyle name="Note 3 3 2 3 2 2 3 2 2 2" xfId="29858"/>
    <cellStyle name="Note 3 3 2 3 2 2 3 2 3" xfId="21187"/>
    <cellStyle name="Note 3 3 2 3 2 2 3 3" xfId="14170"/>
    <cellStyle name="Note 3 3 2 3 2 2 3 3 2" xfId="28492"/>
    <cellStyle name="Note 3 3 2 3 2 2 3 4" xfId="19815"/>
    <cellStyle name="Note 3 3 2 3 2 2 4" xfId="5520"/>
    <cellStyle name="Note 3 3 2 3 2 2 4 2" xfId="23348"/>
    <cellStyle name="Note 3 3 2 3 2 2 5" xfId="15458"/>
    <cellStyle name="Note 3 3 2 3 2 3" xfId="2165"/>
    <cellStyle name="Note 3 3 2 3 2 3 2" xfId="8034"/>
    <cellStyle name="Note 3 3 2 3 2 3 2 2" xfId="10648"/>
    <cellStyle name="Note 3 3 2 3 2 3 2 2 2" xfId="16910"/>
    <cellStyle name="Note 3 3 2 3 2 3 2 2 2 2" xfId="30326"/>
    <cellStyle name="Note 3 3 2 3 2 3 2 2 3" xfId="21655"/>
    <cellStyle name="Note 3 3 2 3 2 3 2 3" xfId="14638"/>
    <cellStyle name="Note 3 3 2 3 2 3 2 3 2" xfId="28960"/>
    <cellStyle name="Note 3 3 2 3 2 3 2 4" xfId="20283"/>
    <cellStyle name="Note 3 3 2 3 2 3 3" xfId="13272"/>
    <cellStyle name="Note 3 3 2 3 2 3 3 2" xfId="27594"/>
    <cellStyle name="Note 3 3 2 3 2 3 4" xfId="18917"/>
    <cellStyle name="Note 3 3 2 3 2 4" xfId="5718"/>
    <cellStyle name="Note 3 3 2 3 2 4 2" xfId="12271"/>
    <cellStyle name="Note 3 3 2 3 2 4 2 2" xfId="26593"/>
    <cellStyle name="Note 3 3 2 3 2 4 3" xfId="17916"/>
    <cellStyle name="Note 3 3 2 3 2 5" xfId="4904"/>
    <cellStyle name="Note 3 3 2 3 2 5 2" xfId="23257"/>
    <cellStyle name="Note 3 3 2 3 2 6" xfId="17253"/>
    <cellStyle name="Note 3 3 2 3 3" xfId="2166"/>
    <cellStyle name="Note 3 3 2 3 3 2" xfId="2167"/>
    <cellStyle name="Note 3 3 2 3 3 2 2" xfId="3921"/>
    <cellStyle name="Note 3 3 2 3 3 2 2 2" xfId="4356"/>
    <cellStyle name="Note 3 3 2 3 3 2 2 2 2" xfId="22902"/>
    <cellStyle name="Note 3 3 2 3 3 2 2 3" xfId="15288"/>
    <cellStyle name="Note 3 3 2 3 3 2 3" xfId="7887"/>
    <cellStyle name="Note 3 3 2 3 3 2 3 2" xfId="10501"/>
    <cellStyle name="Note 3 3 2 3 3 2 3 2 2" xfId="16763"/>
    <cellStyle name="Note 3 3 2 3 3 2 3 2 2 2" xfId="30179"/>
    <cellStyle name="Note 3 3 2 3 3 2 3 2 3" xfId="21508"/>
    <cellStyle name="Note 3 3 2 3 3 2 3 3" xfId="14491"/>
    <cellStyle name="Note 3 3 2 3 3 2 3 3 2" xfId="28813"/>
    <cellStyle name="Note 3 3 2 3 3 2 3 4" xfId="20136"/>
    <cellStyle name="Note 3 3 2 3 3 2 4" xfId="6295"/>
    <cellStyle name="Note 3 3 2 3 3 2 4 2" xfId="23494"/>
    <cellStyle name="Note 3 3 2 3 3 2 5" xfId="15398"/>
    <cellStyle name="Note 3 3 2 3 3 3" xfId="2168"/>
    <cellStyle name="Note 3 3 2 3 3 3 2" xfId="7736"/>
    <cellStyle name="Note 3 3 2 3 3 3 2 2" xfId="10350"/>
    <cellStyle name="Note 3 3 2 3 3 3 2 2 2" xfId="16612"/>
    <cellStyle name="Note 3 3 2 3 3 3 2 2 2 2" xfId="30028"/>
    <cellStyle name="Note 3 3 2 3 3 3 2 2 3" xfId="21357"/>
    <cellStyle name="Note 3 3 2 3 3 3 2 3" xfId="14340"/>
    <cellStyle name="Note 3 3 2 3 3 3 2 3 2" xfId="28662"/>
    <cellStyle name="Note 3 3 2 3 3 3 2 4" xfId="19985"/>
    <cellStyle name="Note 3 3 2 3 3 3 3" xfId="12156"/>
    <cellStyle name="Note 3 3 2 3 3 3 3 2" xfId="26478"/>
    <cellStyle name="Note 3 3 2 3 3 3 4" xfId="17801"/>
    <cellStyle name="Note 3 3 2 3 3 4" xfId="5126"/>
    <cellStyle name="Note 3 3 2 3 3 4 2" xfId="11675"/>
    <cellStyle name="Note 3 3 2 3 3 4 2 2" xfId="25997"/>
    <cellStyle name="Note 3 3 2 3 3 4 3" xfId="17314"/>
    <cellStyle name="Note 3 3 2 3 3 5" xfId="5945"/>
    <cellStyle name="Note 3 3 2 3 3 5 2" xfId="23379"/>
    <cellStyle name="Note 3 3 2 3 3 6" xfId="4733"/>
    <cellStyle name="Note 3 3 2 3 4" xfId="2169"/>
    <cellStyle name="Note 3 3 2 3 4 2" xfId="6836"/>
    <cellStyle name="Note 3 3 2 3 4 2 2" xfId="13440"/>
    <cellStyle name="Note 3 3 2 3 4 2 2 2" xfId="27762"/>
    <cellStyle name="Note 3 3 2 3 4 2 3" xfId="19085"/>
    <cellStyle name="Note 3 3 2 3 4 3" xfId="7387"/>
    <cellStyle name="Note 3 3 2 3 4 3 2" xfId="10001"/>
    <cellStyle name="Note 3 3 2 3 4 3 2 2" xfId="16263"/>
    <cellStyle name="Note 3 3 2 3 4 3 2 2 2" xfId="29679"/>
    <cellStyle name="Note 3 3 2 3 4 3 2 3" xfId="21008"/>
    <cellStyle name="Note 3 3 2 3 4 3 3" xfId="13991"/>
    <cellStyle name="Note 3 3 2 3 4 3 3 2" xfId="28313"/>
    <cellStyle name="Note 3 3 2 3 4 3 4" xfId="19636"/>
    <cellStyle name="Note 3 3 2 3 4 4" xfId="2773"/>
    <cellStyle name="Note 3 3 2 3 4 4 2" xfId="22342"/>
    <cellStyle name="Note 3 3 2 3 4 5" xfId="14988"/>
    <cellStyle name="Note 3 3 2 3 5" xfId="2170"/>
    <cellStyle name="Note 3 3 2 3 5 2" xfId="7759"/>
    <cellStyle name="Note 3 3 2 3 5 2 2" xfId="10373"/>
    <cellStyle name="Note 3 3 2 3 5 2 2 2" xfId="16635"/>
    <cellStyle name="Note 3 3 2 3 5 2 2 2 2" xfId="30051"/>
    <cellStyle name="Note 3 3 2 3 5 2 2 3" xfId="21380"/>
    <cellStyle name="Note 3 3 2 3 5 2 3" xfId="14363"/>
    <cellStyle name="Note 3 3 2 3 5 2 3 2" xfId="28685"/>
    <cellStyle name="Note 3 3 2 3 5 2 4" xfId="20008"/>
    <cellStyle name="Note 3 3 2 3 5 3" xfId="12831"/>
    <cellStyle name="Note 3 3 2 3 5 3 2" xfId="27153"/>
    <cellStyle name="Note 3 3 2 3 5 4" xfId="18476"/>
    <cellStyle name="Note 3 3 2 3 6" xfId="5396"/>
    <cellStyle name="Note 3 3 2 3 6 2" xfId="11946"/>
    <cellStyle name="Note 3 3 2 3 6 2 2" xfId="26268"/>
    <cellStyle name="Note 3 3 2 3 6 3" xfId="17591"/>
    <cellStyle name="Note 3 3 2 3 7" xfId="2864"/>
    <cellStyle name="Note 3 3 2 3 7 2" xfId="22406"/>
    <cellStyle name="Note 3 3 2 3 8" xfId="15062"/>
    <cellStyle name="Note 3 3 2 4" xfId="2171"/>
    <cellStyle name="Note 3 3 2 4 2" xfId="2172"/>
    <cellStyle name="Note 3 3 2 4 2 2" xfId="2173"/>
    <cellStyle name="Note 3 3 2 4 2 2 2" xfId="6997"/>
    <cellStyle name="Note 3 3 2 4 2 2 2 2" xfId="13601"/>
    <cellStyle name="Note 3 3 2 4 2 2 2 2 2" xfId="27923"/>
    <cellStyle name="Note 3 3 2 4 2 2 2 3" xfId="19246"/>
    <cellStyle name="Note 3 3 2 4 2 2 3" xfId="7668"/>
    <cellStyle name="Note 3 3 2 4 2 2 3 2" xfId="10282"/>
    <cellStyle name="Note 3 3 2 4 2 2 3 2 2" xfId="16544"/>
    <cellStyle name="Note 3 3 2 4 2 2 3 2 2 2" xfId="29960"/>
    <cellStyle name="Note 3 3 2 4 2 2 3 2 3" xfId="21289"/>
    <cellStyle name="Note 3 3 2 4 2 2 3 3" xfId="14272"/>
    <cellStyle name="Note 3 3 2 4 2 2 3 3 2" xfId="28594"/>
    <cellStyle name="Note 3 3 2 4 2 2 3 4" xfId="19917"/>
    <cellStyle name="Note 3 3 2 4 2 2 4" xfId="11512"/>
    <cellStyle name="Note 3 3 2 4 2 2 4 2" xfId="25834"/>
    <cellStyle name="Note 3 3 2 4 2 2 5" xfId="17360"/>
    <cellStyle name="Note 3 3 2 4 2 3" xfId="2174"/>
    <cellStyle name="Note 3 3 2 4 2 3 2" xfId="7530"/>
    <cellStyle name="Note 3 3 2 4 2 3 2 2" xfId="10144"/>
    <cellStyle name="Note 3 3 2 4 2 3 2 2 2" xfId="16406"/>
    <cellStyle name="Note 3 3 2 4 2 3 2 2 2 2" xfId="29822"/>
    <cellStyle name="Note 3 3 2 4 2 3 2 2 3" xfId="21151"/>
    <cellStyle name="Note 3 3 2 4 2 3 2 3" xfId="14134"/>
    <cellStyle name="Note 3 3 2 4 2 3 2 3 2" xfId="28456"/>
    <cellStyle name="Note 3 3 2 4 2 3 2 4" xfId="19779"/>
    <cellStyle name="Note 3 3 2 4 2 3 3" xfId="13247"/>
    <cellStyle name="Note 3 3 2 4 2 3 3 2" xfId="27569"/>
    <cellStyle name="Note 3 3 2 4 2 3 4" xfId="18892"/>
    <cellStyle name="Note 3 3 2 4 2 4" xfId="5689"/>
    <cellStyle name="Note 3 3 2 4 2 4 2" xfId="12242"/>
    <cellStyle name="Note 3 3 2 4 2 4 2 2" xfId="26564"/>
    <cellStyle name="Note 3 3 2 4 2 4 3" xfId="17887"/>
    <cellStyle name="Note 3 3 2 4 2 5" xfId="4413"/>
    <cellStyle name="Note 3 3 2 4 2 5 2" xfId="22936"/>
    <cellStyle name="Note 3 3 2 4 2 6" xfId="4817"/>
    <cellStyle name="Note 3 3 2 4 3" xfId="2175"/>
    <cellStyle name="Note 3 3 2 4 3 2" xfId="2176"/>
    <cellStyle name="Note 3 3 2 4 3 2 2" xfId="5706"/>
    <cellStyle name="Note 3 3 2 4 3 2 2 2" xfId="12259"/>
    <cellStyle name="Note 3 3 2 4 3 2 2 2 2" xfId="26581"/>
    <cellStyle name="Note 3 3 2 4 3 2 2 3" xfId="17904"/>
    <cellStyle name="Note 3 3 2 4 3 2 3" xfId="7597"/>
    <cellStyle name="Note 3 3 2 4 3 2 3 2" xfId="10211"/>
    <cellStyle name="Note 3 3 2 4 3 2 3 2 2" xfId="16473"/>
    <cellStyle name="Note 3 3 2 4 3 2 3 2 2 2" xfId="29889"/>
    <cellStyle name="Note 3 3 2 4 3 2 3 2 3" xfId="21218"/>
    <cellStyle name="Note 3 3 2 4 3 2 3 3" xfId="14201"/>
    <cellStyle name="Note 3 3 2 4 3 2 3 3 2" xfId="28523"/>
    <cellStyle name="Note 3 3 2 4 3 2 3 4" xfId="19846"/>
    <cellStyle name="Note 3 3 2 4 3 2 4" xfId="6572"/>
    <cellStyle name="Note 3 3 2 4 3 2 4 2" xfId="23582"/>
    <cellStyle name="Note 3 3 2 4 3 2 5" xfId="6638"/>
    <cellStyle name="Note 3 3 2 4 3 3" xfId="2177"/>
    <cellStyle name="Note 3 3 2 4 3 3 2" xfId="7216"/>
    <cellStyle name="Note 3 3 2 4 3 3 2 2" xfId="9830"/>
    <cellStyle name="Note 3 3 2 4 3 3 2 2 2" xfId="16092"/>
    <cellStyle name="Note 3 3 2 4 3 3 2 2 2 2" xfId="29508"/>
    <cellStyle name="Note 3 3 2 4 3 3 2 2 3" xfId="20837"/>
    <cellStyle name="Note 3 3 2 4 3 3 2 3" xfId="13820"/>
    <cellStyle name="Note 3 3 2 4 3 3 2 3 2" xfId="28142"/>
    <cellStyle name="Note 3 3 2 4 3 3 2 4" xfId="19465"/>
    <cellStyle name="Note 3 3 2 4 3 3 3" xfId="11772"/>
    <cellStyle name="Note 3 3 2 4 3 3 3 2" xfId="26094"/>
    <cellStyle name="Note 3 3 2 4 3 3 4" xfId="17417"/>
    <cellStyle name="Note 3 3 2 4 3 4" xfId="5175"/>
    <cellStyle name="Note 3 3 2 4 3 4 2" xfId="11724"/>
    <cellStyle name="Note 3 3 2 4 3 4 2 2" xfId="26046"/>
    <cellStyle name="Note 3 3 2 4 3 4 3" xfId="3841"/>
    <cellStyle name="Note 3 3 2 4 3 5" xfId="6802"/>
    <cellStyle name="Note 3 3 2 4 3 5 2" xfId="23742"/>
    <cellStyle name="Note 3 3 2 4 3 6" xfId="17025"/>
    <cellStyle name="Note 3 3 2 4 4" xfId="2178"/>
    <cellStyle name="Note 3 3 2 4 4 2" xfId="7032"/>
    <cellStyle name="Note 3 3 2 4 4 2 2" xfId="13636"/>
    <cellStyle name="Note 3 3 2 4 4 2 2 2" xfId="27958"/>
    <cellStyle name="Note 3 3 2 4 4 2 3" xfId="19281"/>
    <cellStyle name="Note 3 3 2 4 4 3" xfId="5296"/>
    <cellStyle name="Note 3 3 2 4 4 3 2" xfId="9605"/>
    <cellStyle name="Note 3 3 2 4 4 3 2 2" xfId="15867"/>
    <cellStyle name="Note 3 3 2 4 4 3 2 2 2" xfId="29283"/>
    <cellStyle name="Note 3 3 2 4 4 3 2 3" xfId="20612"/>
    <cellStyle name="Note 3 3 2 4 4 3 3" xfId="11846"/>
    <cellStyle name="Note 3 3 2 4 4 3 3 2" xfId="26168"/>
    <cellStyle name="Note 3 3 2 4 4 3 4" xfId="17491"/>
    <cellStyle name="Note 3 3 2 4 4 4" xfId="11572"/>
    <cellStyle name="Note 3 3 2 4 4 4 2" xfId="25894"/>
    <cellStyle name="Note 3 3 2 4 4 5" xfId="15410"/>
    <cellStyle name="Note 3 3 2 4 5" xfId="2179"/>
    <cellStyle name="Note 3 3 2 4 5 2" xfId="4766"/>
    <cellStyle name="Note 3 3 2 4 5 2 2" xfId="9479"/>
    <cellStyle name="Note 3 3 2 4 5 2 2 2" xfId="15741"/>
    <cellStyle name="Note 3 3 2 4 5 2 2 2 2" xfId="29157"/>
    <cellStyle name="Note 3 3 2 4 5 2 2 3" xfId="20486"/>
    <cellStyle name="Note 3 3 2 4 5 2 3" xfId="2812"/>
    <cellStyle name="Note 3 3 2 4 5 2 3 2" xfId="22375"/>
    <cellStyle name="Note 3 3 2 4 5 2 4" xfId="17376"/>
    <cellStyle name="Note 3 3 2 4 5 3" xfId="12729"/>
    <cellStyle name="Note 3 3 2 4 5 3 2" xfId="27051"/>
    <cellStyle name="Note 3 3 2 4 5 4" xfId="18374"/>
    <cellStyle name="Note 3 3 2 4 6" xfId="5125"/>
    <cellStyle name="Note 3 3 2 4 6 2" xfId="11674"/>
    <cellStyle name="Note 3 3 2 4 6 2 2" xfId="25996"/>
    <cellStyle name="Note 3 3 2 4 6 3" xfId="15518"/>
    <cellStyle name="Note 3 3 2 4 7" xfId="6610"/>
    <cellStyle name="Note 3 3 2 4 7 2" xfId="23602"/>
    <cellStyle name="Note 3 3 2 4 8" xfId="17305"/>
    <cellStyle name="Note 3 3 2 5" xfId="2180"/>
    <cellStyle name="Note 3 3 2 5 2" xfId="2181"/>
    <cellStyle name="Note 3 3 2 5 2 2" xfId="2182"/>
    <cellStyle name="Note 3 3 2 5 2 2 2" xfId="5459"/>
    <cellStyle name="Note 3 3 2 5 2 2 2 2" xfId="12010"/>
    <cellStyle name="Note 3 3 2 5 2 2 2 2 2" xfId="26332"/>
    <cellStyle name="Note 3 3 2 5 2 2 2 3" xfId="17655"/>
    <cellStyle name="Note 3 3 2 5 2 2 3" xfId="3152"/>
    <cellStyle name="Note 3 3 2 5 2 2 3 2" xfId="8984"/>
    <cellStyle name="Note 3 3 2 5 2 2 3 2 2" xfId="15339"/>
    <cellStyle name="Note 3 3 2 5 2 2 3 2 2 2" xfId="29002"/>
    <cellStyle name="Note 3 3 2 5 2 2 3 2 3" xfId="20329"/>
    <cellStyle name="Note 3 3 2 5 2 2 3 3" xfId="5038"/>
    <cellStyle name="Note 3 3 2 5 2 2 3 3 2" xfId="23318"/>
    <cellStyle name="Note 3 3 2 5 2 2 3 4" xfId="14756"/>
    <cellStyle name="Note 3 3 2 5 2 2 4" xfId="3255"/>
    <cellStyle name="Note 3 3 2 5 2 2 4 2" xfId="22447"/>
    <cellStyle name="Note 3 3 2 5 2 2 5" xfId="15526"/>
    <cellStyle name="Note 3 3 2 5 2 3" xfId="2183"/>
    <cellStyle name="Note 3 3 2 5 2 3 2" xfId="7481"/>
    <cellStyle name="Note 3 3 2 5 2 3 2 2" xfId="10095"/>
    <cellStyle name="Note 3 3 2 5 2 3 2 2 2" xfId="16357"/>
    <cellStyle name="Note 3 3 2 5 2 3 2 2 2 2" xfId="29773"/>
    <cellStyle name="Note 3 3 2 5 2 3 2 2 3" xfId="21102"/>
    <cellStyle name="Note 3 3 2 5 2 3 2 3" xfId="14085"/>
    <cellStyle name="Note 3 3 2 5 2 3 2 3 2" xfId="28407"/>
    <cellStyle name="Note 3 3 2 5 2 3 2 4" xfId="19730"/>
    <cellStyle name="Note 3 3 2 5 2 3 3" xfId="13243"/>
    <cellStyle name="Note 3 3 2 5 2 3 3 2" xfId="27565"/>
    <cellStyle name="Note 3 3 2 5 2 3 4" xfId="18888"/>
    <cellStyle name="Note 3 3 2 5 2 4" xfId="5684"/>
    <cellStyle name="Note 3 3 2 5 2 4 2" xfId="12237"/>
    <cellStyle name="Note 3 3 2 5 2 4 2 2" xfId="26559"/>
    <cellStyle name="Note 3 3 2 5 2 4 3" xfId="17882"/>
    <cellStyle name="Note 3 3 2 5 2 5" xfId="6354"/>
    <cellStyle name="Note 3 3 2 5 2 5 2" xfId="23538"/>
    <cellStyle name="Note 3 3 2 5 2 6" xfId="14700"/>
    <cellStyle name="Note 3 3 2 5 3" xfId="2184"/>
    <cellStyle name="Note 3 3 2 5 3 2" xfId="2185"/>
    <cellStyle name="Note 3 3 2 5 3 2 2" xfId="6879"/>
    <cellStyle name="Note 3 3 2 5 3 2 2 2" xfId="13483"/>
    <cellStyle name="Note 3 3 2 5 3 2 2 2 2" xfId="27805"/>
    <cellStyle name="Note 3 3 2 5 3 2 2 3" xfId="19128"/>
    <cellStyle name="Note 3 3 2 5 3 2 3" xfId="7507"/>
    <cellStyle name="Note 3 3 2 5 3 2 3 2" xfId="10121"/>
    <cellStyle name="Note 3 3 2 5 3 2 3 2 2" xfId="16383"/>
    <cellStyle name="Note 3 3 2 5 3 2 3 2 2 2" xfId="29799"/>
    <cellStyle name="Note 3 3 2 5 3 2 3 2 3" xfId="21128"/>
    <cellStyle name="Note 3 3 2 5 3 2 3 3" xfId="14111"/>
    <cellStyle name="Note 3 3 2 5 3 2 3 3 2" xfId="28433"/>
    <cellStyle name="Note 3 3 2 5 3 2 3 4" xfId="19756"/>
    <cellStyle name="Note 3 3 2 5 3 2 4" xfId="11349"/>
    <cellStyle name="Note 3 3 2 5 3 2 4 2" xfId="25671"/>
    <cellStyle name="Note 3 3 2 5 3 2 5" xfId="17231"/>
    <cellStyle name="Note 3 3 2 5 3 3" xfId="2186"/>
    <cellStyle name="Note 3 3 2 5 3 3 2" xfId="7271"/>
    <cellStyle name="Note 3 3 2 5 3 3 2 2" xfId="9885"/>
    <cellStyle name="Note 3 3 2 5 3 3 2 2 2" xfId="16147"/>
    <cellStyle name="Note 3 3 2 5 3 3 2 2 2 2" xfId="29563"/>
    <cellStyle name="Note 3 3 2 5 3 3 2 2 3" xfId="20892"/>
    <cellStyle name="Note 3 3 2 5 3 3 2 3" xfId="13875"/>
    <cellStyle name="Note 3 3 2 5 3 3 2 3 2" xfId="28197"/>
    <cellStyle name="Note 3 3 2 5 3 3 2 4" xfId="19520"/>
    <cellStyle name="Note 3 3 2 5 3 3 3" xfId="12482"/>
    <cellStyle name="Note 3 3 2 5 3 3 3 2" xfId="26804"/>
    <cellStyle name="Note 3 3 2 5 3 3 4" xfId="18127"/>
    <cellStyle name="Note 3 3 2 5 3 4" xfId="3467"/>
    <cellStyle name="Note 3 3 2 5 3 4 2" xfId="3680"/>
    <cellStyle name="Note 3 3 2 5 3 4 2 2" xfId="22524"/>
    <cellStyle name="Note 3 3 2 5 3 4 3" xfId="17107"/>
    <cellStyle name="Note 3 3 2 5 3 5" xfId="4802"/>
    <cellStyle name="Note 3 3 2 5 3 5 2" xfId="23195"/>
    <cellStyle name="Note 3 3 2 5 3 6" xfId="4735"/>
    <cellStyle name="Note 3 3 2 5 4" xfId="2187"/>
    <cellStyle name="Note 3 3 2 5 4 2" xfId="6524"/>
    <cellStyle name="Note 3 3 2 5 4 2 2" xfId="13112"/>
    <cellStyle name="Note 3 3 2 5 4 2 2 2" xfId="27434"/>
    <cellStyle name="Note 3 3 2 5 4 2 3" xfId="18757"/>
    <cellStyle name="Note 3 3 2 5 4 3" xfId="7190"/>
    <cellStyle name="Note 3 3 2 5 4 3 2" xfId="9804"/>
    <cellStyle name="Note 3 3 2 5 4 3 2 2" xfId="16066"/>
    <cellStyle name="Note 3 3 2 5 4 3 2 2 2" xfId="29482"/>
    <cellStyle name="Note 3 3 2 5 4 3 2 3" xfId="20811"/>
    <cellStyle name="Note 3 3 2 5 4 3 3" xfId="13794"/>
    <cellStyle name="Note 3 3 2 5 4 3 3 2" xfId="28116"/>
    <cellStyle name="Note 3 3 2 5 4 3 4" xfId="19439"/>
    <cellStyle name="Note 3 3 2 5 4 4" xfId="2833"/>
    <cellStyle name="Note 3 3 2 5 4 4 2" xfId="22396"/>
    <cellStyle name="Note 3 3 2 5 4 5" xfId="17365"/>
    <cellStyle name="Note 3 3 2 5 5" xfId="2188"/>
    <cellStyle name="Note 3 3 2 5 5 2" xfId="7948"/>
    <cellStyle name="Note 3 3 2 5 5 2 2" xfId="10562"/>
    <cellStyle name="Note 3 3 2 5 5 2 2 2" xfId="16824"/>
    <cellStyle name="Note 3 3 2 5 5 2 2 2 2" xfId="30240"/>
    <cellStyle name="Note 3 3 2 5 5 2 2 3" xfId="21569"/>
    <cellStyle name="Note 3 3 2 5 5 2 3" xfId="14552"/>
    <cellStyle name="Note 3 3 2 5 5 2 3 2" xfId="28874"/>
    <cellStyle name="Note 3 3 2 5 5 2 4" xfId="20197"/>
    <cellStyle name="Note 3 3 2 5 5 3" xfId="12706"/>
    <cellStyle name="Note 3 3 2 5 5 3 2" xfId="27028"/>
    <cellStyle name="Note 3 3 2 5 5 4" xfId="18351"/>
    <cellStyle name="Note 3 3 2 5 6" xfId="5084"/>
    <cellStyle name="Note 3 3 2 5 6 2" xfId="11631"/>
    <cellStyle name="Note 3 3 2 5 6 2 2" xfId="25953"/>
    <cellStyle name="Note 3 3 2 5 6 3" xfId="15248"/>
    <cellStyle name="Note 3 3 2 5 7" xfId="4399"/>
    <cellStyle name="Note 3 3 2 5 7 2" xfId="22928"/>
    <cellStyle name="Note 3 3 2 5 8" xfId="17165"/>
    <cellStyle name="Note 3 3 2 6" xfId="2189"/>
    <cellStyle name="Note 3 3 2 6 2" xfId="2190"/>
    <cellStyle name="Note 3 3 2 6 2 2" xfId="2191"/>
    <cellStyle name="Note 3 3 2 6 2 2 2" xfId="5132"/>
    <cellStyle name="Note 3 3 2 6 2 2 2 2" xfId="11681"/>
    <cellStyle name="Note 3 3 2 6 2 2 2 2 2" xfId="26003"/>
    <cellStyle name="Note 3 3 2 6 2 2 2 3" xfId="6664"/>
    <cellStyle name="Note 3 3 2 6 2 2 3" xfId="7769"/>
    <cellStyle name="Note 3 3 2 6 2 2 3 2" xfId="10383"/>
    <cellStyle name="Note 3 3 2 6 2 2 3 2 2" xfId="16645"/>
    <cellStyle name="Note 3 3 2 6 2 2 3 2 2 2" xfId="30061"/>
    <cellStyle name="Note 3 3 2 6 2 2 3 2 3" xfId="21390"/>
    <cellStyle name="Note 3 3 2 6 2 2 3 3" xfId="14373"/>
    <cellStyle name="Note 3 3 2 6 2 2 3 3 2" xfId="28695"/>
    <cellStyle name="Note 3 3 2 6 2 2 3 4" xfId="20018"/>
    <cellStyle name="Note 3 3 2 6 2 2 4" xfId="4540"/>
    <cellStyle name="Note 3 3 2 6 2 2 4 2" xfId="23020"/>
    <cellStyle name="Note 3 3 2 6 2 2 5" xfId="15133"/>
    <cellStyle name="Note 3 3 2 6 2 3" xfId="2192"/>
    <cellStyle name="Note 3 3 2 6 2 3 2" xfId="7767"/>
    <cellStyle name="Note 3 3 2 6 2 3 2 2" xfId="10381"/>
    <cellStyle name="Note 3 3 2 6 2 3 2 2 2" xfId="16643"/>
    <cellStyle name="Note 3 3 2 6 2 3 2 2 2 2" xfId="30059"/>
    <cellStyle name="Note 3 3 2 6 2 3 2 2 3" xfId="21388"/>
    <cellStyle name="Note 3 3 2 6 2 3 2 3" xfId="14371"/>
    <cellStyle name="Note 3 3 2 6 2 3 2 3 2" xfId="28693"/>
    <cellStyle name="Note 3 3 2 6 2 3 2 4" xfId="20016"/>
    <cellStyle name="Note 3 3 2 6 2 3 3" xfId="13377"/>
    <cellStyle name="Note 3 3 2 6 2 3 3 2" xfId="27699"/>
    <cellStyle name="Note 3 3 2 6 2 3 4" xfId="19022"/>
    <cellStyle name="Note 3 3 2 6 2 4" xfId="5830"/>
    <cellStyle name="Note 3 3 2 6 2 4 2" xfId="12383"/>
    <cellStyle name="Note 3 3 2 6 2 4 2 2" xfId="26705"/>
    <cellStyle name="Note 3 3 2 6 2 4 3" xfId="18028"/>
    <cellStyle name="Note 3 3 2 6 2 5" xfId="6702"/>
    <cellStyle name="Note 3 3 2 6 2 5 2" xfId="23661"/>
    <cellStyle name="Note 3 3 2 6 2 6" xfId="17205"/>
    <cellStyle name="Note 3 3 2 6 3" xfId="2193"/>
    <cellStyle name="Note 3 3 2 6 3 2" xfId="6536"/>
    <cellStyle name="Note 3 3 2 6 3 2 2" xfId="13124"/>
    <cellStyle name="Note 3 3 2 6 3 2 2 2" xfId="27446"/>
    <cellStyle name="Note 3 3 2 6 3 2 3" xfId="18769"/>
    <cellStyle name="Note 3 3 2 6 3 3" xfId="7790"/>
    <cellStyle name="Note 3 3 2 6 3 3 2" xfId="10404"/>
    <cellStyle name="Note 3 3 2 6 3 3 2 2" xfId="16666"/>
    <cellStyle name="Note 3 3 2 6 3 3 2 2 2" xfId="30082"/>
    <cellStyle name="Note 3 3 2 6 3 3 2 3" xfId="21411"/>
    <cellStyle name="Note 3 3 2 6 3 3 3" xfId="14394"/>
    <cellStyle name="Note 3 3 2 6 3 3 3 2" xfId="28716"/>
    <cellStyle name="Note 3 3 2 6 3 3 4" xfId="20039"/>
    <cellStyle name="Note 3 3 2 6 3 4" xfId="6069"/>
    <cellStyle name="Note 3 3 2 6 3 4 2" xfId="23406"/>
    <cellStyle name="Note 3 3 2 6 3 5" xfId="14874"/>
    <cellStyle name="Note 3 3 2 6 4" xfId="2194"/>
    <cellStyle name="Note 3 3 2 6 4 2" xfId="7891"/>
    <cellStyle name="Note 3 3 2 6 4 2 2" xfId="10505"/>
    <cellStyle name="Note 3 3 2 6 4 2 2 2" xfId="16767"/>
    <cellStyle name="Note 3 3 2 6 4 2 2 2 2" xfId="30183"/>
    <cellStyle name="Note 3 3 2 6 4 2 2 3" xfId="21512"/>
    <cellStyle name="Note 3 3 2 6 4 2 3" xfId="14495"/>
    <cellStyle name="Note 3 3 2 6 4 2 3 2" xfId="28817"/>
    <cellStyle name="Note 3 3 2 6 4 2 4" xfId="20140"/>
    <cellStyle name="Note 3 3 2 6 4 3" xfId="4250"/>
    <cellStyle name="Note 3 3 2 6 4 3 2" xfId="22852"/>
    <cellStyle name="Note 3 3 2 6 4 4" xfId="14864"/>
    <cellStyle name="Note 3 3 2 6 5" xfId="5215"/>
    <cellStyle name="Note 3 3 2 6 5 2" xfId="11764"/>
    <cellStyle name="Note 3 3 2 6 5 2 2" xfId="26086"/>
    <cellStyle name="Note 3 3 2 6 5 3" xfId="17409"/>
    <cellStyle name="Note 3 3 2 6 6" xfId="4492"/>
    <cellStyle name="Note 3 3 2 6 6 2" xfId="22985"/>
    <cellStyle name="Note 3 3 2 6 7" xfId="4618"/>
    <cellStyle name="Note 3 3 2 7" xfId="2195"/>
    <cellStyle name="Note 3 3 2 7 2" xfId="2196"/>
    <cellStyle name="Note 3 3 2 7 2 2" xfId="5437"/>
    <cellStyle name="Note 3 3 2 7 2 2 2" xfId="11988"/>
    <cellStyle name="Note 3 3 2 7 2 2 2 2" xfId="26310"/>
    <cellStyle name="Note 3 3 2 7 2 2 3" xfId="17633"/>
    <cellStyle name="Note 3 3 2 7 2 3" xfId="7931"/>
    <cellStyle name="Note 3 3 2 7 2 3 2" xfId="10545"/>
    <cellStyle name="Note 3 3 2 7 2 3 2 2" xfId="16807"/>
    <cellStyle name="Note 3 3 2 7 2 3 2 2 2" xfId="30223"/>
    <cellStyle name="Note 3 3 2 7 2 3 2 3" xfId="21552"/>
    <cellStyle name="Note 3 3 2 7 2 3 3" xfId="14535"/>
    <cellStyle name="Note 3 3 2 7 2 3 3 2" xfId="28857"/>
    <cellStyle name="Note 3 3 2 7 2 3 4" xfId="20180"/>
    <cellStyle name="Note 3 3 2 7 2 4" xfId="4452"/>
    <cellStyle name="Note 3 3 2 7 2 4 2" xfId="22961"/>
    <cellStyle name="Note 3 3 2 7 2 5" xfId="15049"/>
    <cellStyle name="Note 3 3 2 7 3" xfId="2197"/>
    <cellStyle name="Note 3 3 2 7 3 2" xfId="4839"/>
    <cellStyle name="Note 3 3 2 7 3 2 2" xfId="9499"/>
    <cellStyle name="Note 3 3 2 7 3 2 2 2" xfId="15761"/>
    <cellStyle name="Note 3 3 2 7 3 2 2 2 2" xfId="29177"/>
    <cellStyle name="Note 3 3 2 7 3 2 2 3" xfId="20506"/>
    <cellStyle name="Note 3 3 2 7 3 2 3" xfId="11372"/>
    <cellStyle name="Note 3 3 2 7 3 2 3 2" xfId="25694"/>
    <cellStyle name="Note 3 3 2 7 3 2 4" xfId="17267"/>
    <cellStyle name="Note 3 3 2 7 3 3" xfId="13065"/>
    <cellStyle name="Note 3 3 2 7 3 3 2" xfId="27387"/>
    <cellStyle name="Note 3 3 2 7 3 4" xfId="18710"/>
    <cellStyle name="Note 3 3 2 7 4" xfId="5401"/>
    <cellStyle name="Note 3 3 2 7 4 2" xfId="11951"/>
    <cellStyle name="Note 3 3 2 7 4 2 2" xfId="26273"/>
    <cellStyle name="Note 3 3 2 7 4 3" xfId="17596"/>
    <cellStyle name="Note 3 3 2 7 5" xfId="4661"/>
    <cellStyle name="Note 3 3 2 7 5 2" xfId="23101"/>
    <cellStyle name="Note 3 3 2 7 6" xfId="15205"/>
    <cellStyle name="Note 3 3 2 8" xfId="2198"/>
    <cellStyle name="Note 3 3 2 8 2" xfId="7035"/>
    <cellStyle name="Note 3 3 2 8 2 2" xfId="13639"/>
    <cellStyle name="Note 3 3 2 8 2 2 2" xfId="27961"/>
    <cellStyle name="Note 3 3 2 8 2 3" xfId="19284"/>
    <cellStyle name="Note 3 3 2 8 3" xfId="7722"/>
    <cellStyle name="Note 3 3 2 8 3 2" xfId="10336"/>
    <cellStyle name="Note 3 3 2 8 3 2 2" xfId="16598"/>
    <cellStyle name="Note 3 3 2 8 3 2 2 2" xfId="30014"/>
    <cellStyle name="Note 3 3 2 8 3 2 3" xfId="21343"/>
    <cellStyle name="Note 3 3 2 8 3 3" xfId="14326"/>
    <cellStyle name="Note 3 3 2 8 3 3 2" xfId="28648"/>
    <cellStyle name="Note 3 3 2 8 3 4" xfId="19971"/>
    <cellStyle name="Note 3 3 2 8 4" xfId="11577"/>
    <cellStyle name="Note 3 3 2 8 4 2" xfId="25899"/>
    <cellStyle name="Note 3 3 2 8 5" xfId="17215"/>
    <cellStyle name="Note 3 3 2 9" xfId="2199"/>
    <cellStyle name="Note 3 3 2 9 2" xfId="7984"/>
    <cellStyle name="Note 3 3 2 9 2 2" xfId="10598"/>
    <cellStyle name="Note 3 3 2 9 2 2 2" xfId="16860"/>
    <cellStyle name="Note 3 3 2 9 2 2 2 2" xfId="30276"/>
    <cellStyle name="Note 3 3 2 9 2 2 3" xfId="21605"/>
    <cellStyle name="Note 3 3 2 9 2 3" xfId="14588"/>
    <cellStyle name="Note 3 3 2 9 2 3 2" xfId="28910"/>
    <cellStyle name="Note 3 3 2 9 2 4" xfId="20233"/>
    <cellStyle name="Note 3 3 2 9 3" xfId="11669"/>
    <cellStyle name="Note 3 3 2 9 3 2" xfId="25991"/>
    <cellStyle name="Note 3 3 2 9 4" xfId="14925"/>
    <cellStyle name="Note 3 3 3" xfId="2200"/>
    <cellStyle name="Note 3 3 3 10" xfId="6586"/>
    <cellStyle name="Note 3 3 3 10 2" xfId="23591"/>
    <cellStyle name="Note 3 3 3 11" xfId="15215"/>
    <cellStyle name="Note 3 3 3 2" xfId="2201"/>
    <cellStyle name="Note 3 3 3 2 2" xfId="2202"/>
    <cellStyle name="Note 3 3 3 2 2 2" xfId="2203"/>
    <cellStyle name="Note 3 3 3 2 2 2 2" xfId="5368"/>
    <cellStyle name="Note 3 3 3 2 2 2 2 2" xfId="11918"/>
    <cellStyle name="Note 3 3 3 2 2 2 2 2 2" xfId="26240"/>
    <cellStyle name="Note 3 3 3 2 2 2 2 3" xfId="17563"/>
    <cellStyle name="Note 3 3 3 2 2 2 3" xfId="7120"/>
    <cellStyle name="Note 3 3 3 2 2 2 3 2" xfId="9734"/>
    <cellStyle name="Note 3 3 3 2 2 2 3 2 2" xfId="15996"/>
    <cellStyle name="Note 3 3 3 2 2 2 3 2 2 2" xfId="29412"/>
    <cellStyle name="Note 3 3 3 2 2 2 3 2 3" xfId="20741"/>
    <cellStyle name="Note 3 3 3 2 2 2 3 3" xfId="13724"/>
    <cellStyle name="Note 3 3 3 2 2 2 3 3 2" xfId="28046"/>
    <cellStyle name="Note 3 3 3 2 2 2 3 4" xfId="19369"/>
    <cellStyle name="Note 3 3 3 2 2 2 4" xfId="4147"/>
    <cellStyle name="Note 3 3 3 2 2 2 4 2" xfId="22784"/>
    <cellStyle name="Note 3 3 3 2 2 2 5" xfId="4523"/>
    <cellStyle name="Note 3 3 3 2 2 3" xfId="2204"/>
    <cellStyle name="Note 3 3 3 2 2 3 2" xfId="7089"/>
    <cellStyle name="Note 3 3 3 2 2 3 2 2" xfId="9703"/>
    <cellStyle name="Note 3 3 3 2 2 3 2 2 2" xfId="15965"/>
    <cellStyle name="Note 3 3 3 2 2 3 2 2 2 2" xfId="29381"/>
    <cellStyle name="Note 3 3 3 2 2 3 2 2 3" xfId="20710"/>
    <cellStyle name="Note 3 3 3 2 2 3 2 3" xfId="13693"/>
    <cellStyle name="Note 3 3 3 2 2 3 2 3 2" xfId="28015"/>
    <cellStyle name="Note 3 3 3 2 2 3 2 4" xfId="19338"/>
    <cellStyle name="Note 3 3 3 2 2 3 3" xfId="13300"/>
    <cellStyle name="Note 3 3 3 2 2 3 3 2" xfId="27622"/>
    <cellStyle name="Note 3 3 3 2 2 3 4" xfId="18945"/>
    <cellStyle name="Note 3 3 3 2 2 4" xfId="5750"/>
    <cellStyle name="Note 3 3 3 2 2 4 2" xfId="12303"/>
    <cellStyle name="Note 3 3 3 2 2 4 2 2" xfId="26625"/>
    <cellStyle name="Note 3 3 3 2 2 4 3" xfId="17948"/>
    <cellStyle name="Note 3 3 3 2 2 5" xfId="6613"/>
    <cellStyle name="Note 3 3 3 2 2 5 2" xfId="23605"/>
    <cellStyle name="Note 3 3 3 2 2 6" xfId="15081"/>
    <cellStyle name="Note 3 3 3 2 3" xfId="2205"/>
    <cellStyle name="Note 3 3 3 2 3 2" xfId="2206"/>
    <cellStyle name="Note 3 3 3 2 3 2 2" xfId="7027"/>
    <cellStyle name="Note 3 3 3 2 3 2 2 2" xfId="13631"/>
    <cellStyle name="Note 3 3 3 2 3 2 2 2 2" xfId="27953"/>
    <cellStyle name="Note 3 3 3 2 3 2 2 3" xfId="19276"/>
    <cellStyle name="Note 3 3 3 2 3 2 3" xfId="7889"/>
    <cellStyle name="Note 3 3 3 2 3 2 3 2" xfId="10503"/>
    <cellStyle name="Note 3 3 3 2 3 2 3 2 2" xfId="16765"/>
    <cellStyle name="Note 3 3 3 2 3 2 3 2 2 2" xfId="30181"/>
    <cellStyle name="Note 3 3 3 2 3 2 3 2 3" xfId="21510"/>
    <cellStyle name="Note 3 3 3 2 3 2 3 3" xfId="14493"/>
    <cellStyle name="Note 3 3 3 2 3 2 3 3 2" xfId="28815"/>
    <cellStyle name="Note 3 3 3 2 3 2 3 4" xfId="20138"/>
    <cellStyle name="Note 3 3 3 2 3 2 4" xfId="11566"/>
    <cellStyle name="Note 3 3 3 2 3 2 4 2" xfId="25888"/>
    <cellStyle name="Note 3 3 3 2 3 2 5" xfId="14929"/>
    <cellStyle name="Note 3 3 3 2 3 3" xfId="2207"/>
    <cellStyle name="Note 3 3 3 2 3 3 2" xfId="7499"/>
    <cellStyle name="Note 3 3 3 2 3 3 2 2" xfId="10113"/>
    <cellStyle name="Note 3 3 3 2 3 3 2 2 2" xfId="16375"/>
    <cellStyle name="Note 3 3 3 2 3 3 2 2 2 2" xfId="29791"/>
    <cellStyle name="Note 3 3 3 2 3 3 2 2 3" xfId="21120"/>
    <cellStyle name="Note 3 3 3 2 3 3 2 3" xfId="14103"/>
    <cellStyle name="Note 3 3 3 2 3 3 2 3 2" xfId="28425"/>
    <cellStyle name="Note 3 3 3 2 3 3 2 4" xfId="19748"/>
    <cellStyle name="Note 3 3 3 2 3 3 3" xfId="13171"/>
    <cellStyle name="Note 3 3 3 2 3 3 3 2" xfId="27493"/>
    <cellStyle name="Note 3 3 3 2 3 3 4" xfId="18816"/>
    <cellStyle name="Note 3 3 3 2 3 4" xfId="5594"/>
    <cellStyle name="Note 3 3 3 2 3 4 2" xfId="12146"/>
    <cellStyle name="Note 3 3 3 2 3 4 2 2" xfId="26468"/>
    <cellStyle name="Note 3 3 3 2 3 4 3" xfId="17791"/>
    <cellStyle name="Note 3 3 3 2 3 5" xfId="4740"/>
    <cellStyle name="Note 3 3 3 2 3 5 2" xfId="23163"/>
    <cellStyle name="Note 3 3 3 2 3 6" xfId="17081"/>
    <cellStyle name="Note 3 3 3 2 4" xfId="2208"/>
    <cellStyle name="Note 3 3 3 2 4 2" xfId="6843"/>
    <cellStyle name="Note 3 3 3 2 4 2 2" xfId="13447"/>
    <cellStyle name="Note 3 3 3 2 4 2 2 2" xfId="27769"/>
    <cellStyle name="Note 3 3 3 2 4 2 3" xfId="19092"/>
    <cellStyle name="Note 3 3 3 2 4 3" xfId="7882"/>
    <cellStyle name="Note 3 3 3 2 4 3 2" xfId="10496"/>
    <cellStyle name="Note 3 3 3 2 4 3 2 2" xfId="16758"/>
    <cellStyle name="Note 3 3 3 2 4 3 2 2 2" xfId="30174"/>
    <cellStyle name="Note 3 3 3 2 4 3 2 3" xfId="21503"/>
    <cellStyle name="Note 3 3 3 2 4 3 3" xfId="14486"/>
    <cellStyle name="Note 3 3 3 2 4 3 3 2" xfId="28808"/>
    <cellStyle name="Note 3 3 3 2 4 3 4" xfId="20131"/>
    <cellStyle name="Note 3 3 3 2 4 4" xfId="2769"/>
    <cellStyle name="Note 3 3 3 2 4 4 2" xfId="22338"/>
    <cellStyle name="Note 3 3 3 2 4 5" xfId="3758"/>
    <cellStyle name="Note 3 3 3 2 5" xfId="2209"/>
    <cellStyle name="Note 3 3 3 2 5 2" xfId="8069"/>
    <cellStyle name="Note 3 3 3 2 5 2 2" xfId="10683"/>
    <cellStyle name="Note 3 3 3 2 5 2 2 2" xfId="16945"/>
    <cellStyle name="Note 3 3 3 2 5 2 2 2 2" xfId="30361"/>
    <cellStyle name="Note 3 3 3 2 5 2 2 3" xfId="21690"/>
    <cellStyle name="Note 3 3 3 2 5 2 3" xfId="14673"/>
    <cellStyle name="Note 3 3 3 2 5 2 3 2" xfId="28995"/>
    <cellStyle name="Note 3 3 3 2 5 2 4" xfId="20318"/>
    <cellStyle name="Note 3 3 3 2 5 3" xfId="12876"/>
    <cellStyle name="Note 3 3 3 2 5 3 2" xfId="27198"/>
    <cellStyle name="Note 3 3 3 2 5 4" xfId="18521"/>
    <cellStyle name="Note 3 3 3 2 6" xfId="5494"/>
    <cellStyle name="Note 3 3 3 2 6 2" xfId="12045"/>
    <cellStyle name="Note 3 3 3 2 6 2 2" xfId="26367"/>
    <cellStyle name="Note 3 3 3 2 6 3" xfId="17690"/>
    <cellStyle name="Note 3 3 3 2 7" xfId="4404"/>
    <cellStyle name="Note 3 3 3 2 7 2" xfId="22931"/>
    <cellStyle name="Note 3 3 3 2 8" xfId="17110"/>
    <cellStyle name="Note 3 3 3 3" xfId="2210"/>
    <cellStyle name="Note 3 3 3 3 2" xfId="2211"/>
    <cellStyle name="Note 3 3 3 3 2 2" xfId="2212"/>
    <cellStyle name="Note 3 3 3 3 2 2 2" xfId="6529"/>
    <cellStyle name="Note 3 3 3 3 2 2 2 2" xfId="13117"/>
    <cellStyle name="Note 3 3 3 3 2 2 2 2 2" xfId="27439"/>
    <cellStyle name="Note 3 3 3 3 2 2 2 3" xfId="18762"/>
    <cellStyle name="Note 3 3 3 3 2 2 3" xfId="4402"/>
    <cellStyle name="Note 3 3 3 3 2 2 3 2" xfId="9461"/>
    <cellStyle name="Note 3 3 3 3 2 2 3 2 2" xfId="15723"/>
    <cellStyle name="Note 3 3 3 3 2 2 3 2 2 2" xfId="29139"/>
    <cellStyle name="Note 3 3 3 3 2 2 3 2 3" xfId="20468"/>
    <cellStyle name="Note 3 3 3 3 2 2 3 3" xfId="3727"/>
    <cellStyle name="Note 3 3 3 3 2 2 3 3 2" xfId="22549"/>
    <cellStyle name="Note 3 3 3 3 2 2 3 4" xfId="17186"/>
    <cellStyle name="Note 3 3 3 3 2 2 4" xfId="2828"/>
    <cellStyle name="Note 3 3 3 3 2 2 4 2" xfId="22391"/>
    <cellStyle name="Note 3 3 3 3 2 2 5" xfId="16983"/>
    <cellStyle name="Note 3 3 3 3 2 3" xfId="2213"/>
    <cellStyle name="Note 3 3 3 3 2 3 2" xfId="7525"/>
    <cellStyle name="Note 3 3 3 3 2 3 2 2" xfId="10139"/>
    <cellStyle name="Note 3 3 3 3 2 3 2 2 2" xfId="16401"/>
    <cellStyle name="Note 3 3 3 3 2 3 2 2 2 2" xfId="29817"/>
    <cellStyle name="Note 3 3 3 3 2 3 2 2 3" xfId="21146"/>
    <cellStyle name="Note 3 3 3 3 2 3 2 3" xfId="14129"/>
    <cellStyle name="Note 3 3 3 3 2 3 2 3 2" xfId="28451"/>
    <cellStyle name="Note 3 3 3 3 2 3 2 4" xfId="19774"/>
    <cellStyle name="Note 3 3 3 3 2 3 3" xfId="13336"/>
    <cellStyle name="Note 3 3 3 3 2 3 3 2" xfId="27658"/>
    <cellStyle name="Note 3 3 3 3 2 3 4" xfId="18981"/>
    <cellStyle name="Note 3 3 3 3 2 4" xfId="5786"/>
    <cellStyle name="Note 3 3 3 3 2 4 2" xfId="12339"/>
    <cellStyle name="Note 3 3 3 3 2 4 2 2" xfId="26661"/>
    <cellStyle name="Note 3 3 3 3 2 4 3" xfId="17984"/>
    <cellStyle name="Note 3 3 3 3 2 5" xfId="4290"/>
    <cellStyle name="Note 3 3 3 3 2 5 2" xfId="22874"/>
    <cellStyle name="Note 3 3 3 3 2 6" xfId="15396"/>
    <cellStyle name="Note 3 3 3 3 3" xfId="2214"/>
    <cellStyle name="Note 3 3 3 3 3 2" xfId="2215"/>
    <cellStyle name="Note 3 3 3 3 3 2 2" xfId="6515"/>
    <cellStyle name="Note 3 3 3 3 3 2 2 2" xfId="13103"/>
    <cellStyle name="Note 3 3 3 3 3 2 2 2 2" xfId="27425"/>
    <cellStyle name="Note 3 3 3 3 3 2 2 3" xfId="18748"/>
    <cellStyle name="Note 3 3 3 3 3 2 3" xfId="5326"/>
    <cellStyle name="Note 3 3 3 3 3 2 3 2" xfId="9635"/>
    <cellStyle name="Note 3 3 3 3 3 2 3 2 2" xfId="15897"/>
    <cellStyle name="Note 3 3 3 3 3 2 3 2 2 2" xfId="29313"/>
    <cellStyle name="Note 3 3 3 3 3 2 3 2 3" xfId="20642"/>
    <cellStyle name="Note 3 3 3 3 3 2 3 3" xfId="11876"/>
    <cellStyle name="Note 3 3 3 3 3 2 3 3 2" xfId="26198"/>
    <cellStyle name="Note 3 3 3 3 3 2 3 4" xfId="17521"/>
    <cellStyle name="Note 3 3 3 3 3 2 4" xfId="4643"/>
    <cellStyle name="Note 3 3 3 3 3 2 4 2" xfId="23087"/>
    <cellStyle name="Note 3 3 3 3 3 2 5" xfId="14775"/>
    <cellStyle name="Note 3 3 3 3 3 3" xfId="2216"/>
    <cellStyle name="Note 3 3 3 3 3 3 2" xfId="7102"/>
    <cellStyle name="Note 3 3 3 3 3 3 2 2" xfId="9716"/>
    <cellStyle name="Note 3 3 3 3 3 3 2 2 2" xfId="15978"/>
    <cellStyle name="Note 3 3 3 3 3 3 2 2 2 2" xfId="29394"/>
    <cellStyle name="Note 3 3 3 3 3 3 2 2 3" xfId="20723"/>
    <cellStyle name="Note 3 3 3 3 3 3 2 3" xfId="13706"/>
    <cellStyle name="Note 3 3 3 3 3 3 2 3 2" xfId="28028"/>
    <cellStyle name="Note 3 3 3 3 3 3 2 4" xfId="19351"/>
    <cellStyle name="Note 3 3 3 3 3 3 3" xfId="13408"/>
    <cellStyle name="Note 3 3 3 3 3 3 3 2" xfId="27730"/>
    <cellStyle name="Note 3 3 3 3 3 3 4" xfId="19053"/>
    <cellStyle name="Note 3 3 3 3 3 4" xfId="5876"/>
    <cellStyle name="Note 3 3 3 3 3 4 2" xfId="12429"/>
    <cellStyle name="Note 3 3 3 3 3 4 2 2" xfId="26751"/>
    <cellStyle name="Note 3 3 3 3 3 4 3" xfId="18074"/>
    <cellStyle name="Note 3 3 3 3 3 5" xfId="4674"/>
    <cellStyle name="Note 3 3 3 3 3 5 2" xfId="23113"/>
    <cellStyle name="Note 3 3 3 3 3 6" xfId="15088"/>
    <cellStyle name="Note 3 3 3 3 4" xfId="2217"/>
    <cellStyle name="Note 3 3 3 3 4 2" xfId="5886"/>
    <cellStyle name="Note 3 3 3 3 4 2 2" xfId="12439"/>
    <cellStyle name="Note 3 3 3 3 4 2 2 2" xfId="26761"/>
    <cellStyle name="Note 3 3 3 3 4 2 3" xfId="18084"/>
    <cellStyle name="Note 3 3 3 3 4 3" xfId="7070"/>
    <cellStyle name="Note 3 3 3 3 4 3 2" xfId="9684"/>
    <cellStyle name="Note 3 3 3 3 4 3 2 2" xfId="15946"/>
    <cellStyle name="Note 3 3 3 3 4 3 2 2 2" xfId="29362"/>
    <cellStyle name="Note 3 3 3 3 4 3 2 3" xfId="20691"/>
    <cellStyle name="Note 3 3 3 3 4 3 3" xfId="13674"/>
    <cellStyle name="Note 3 3 3 3 4 3 3 2" xfId="27996"/>
    <cellStyle name="Note 3 3 3 3 4 3 4" xfId="19319"/>
    <cellStyle name="Note 3 3 3 3 4 4" xfId="4687"/>
    <cellStyle name="Note 3 3 3 3 4 4 2" xfId="23123"/>
    <cellStyle name="Note 3 3 3 3 4 5" xfId="15176"/>
    <cellStyle name="Note 3 3 3 3 5" xfId="2218"/>
    <cellStyle name="Note 3 3 3 3 5 2" xfId="5259"/>
    <cellStyle name="Note 3 3 3 3 5 2 2" xfId="9568"/>
    <cellStyle name="Note 3 3 3 3 5 2 2 2" xfId="15830"/>
    <cellStyle name="Note 3 3 3 3 5 2 2 2 2" xfId="29246"/>
    <cellStyle name="Note 3 3 3 3 5 2 2 3" xfId="20575"/>
    <cellStyle name="Note 3 3 3 3 5 2 3" xfId="11809"/>
    <cellStyle name="Note 3 3 3 3 5 2 3 2" xfId="26131"/>
    <cellStyle name="Note 3 3 3 3 5 2 4" xfId="17454"/>
    <cellStyle name="Note 3 3 3 3 5 3" xfId="12912"/>
    <cellStyle name="Note 3 3 3 3 5 3 2" xfId="27234"/>
    <cellStyle name="Note 3 3 3 3 5 4" xfId="18557"/>
    <cellStyle name="Note 3 3 3 3 6" xfId="5536"/>
    <cellStyle name="Note 3 3 3 3 6 2" xfId="12087"/>
    <cellStyle name="Note 3 3 3 3 6 2 2" xfId="26409"/>
    <cellStyle name="Note 3 3 3 3 6 3" xfId="17732"/>
    <cellStyle name="Note 3 3 3 3 7" xfId="4182"/>
    <cellStyle name="Note 3 3 3 3 7 2" xfId="22804"/>
    <cellStyle name="Note 3 3 3 3 8" xfId="15341"/>
    <cellStyle name="Note 3 3 3 4" xfId="2219"/>
    <cellStyle name="Note 3 3 3 4 2" xfId="2220"/>
    <cellStyle name="Note 3 3 3 4 2 2" xfId="2221"/>
    <cellStyle name="Note 3 3 3 4 2 2 2" xfId="6837"/>
    <cellStyle name="Note 3 3 3 4 2 2 2 2" xfId="13441"/>
    <cellStyle name="Note 3 3 3 4 2 2 2 2 2" xfId="27763"/>
    <cellStyle name="Note 3 3 3 4 2 2 2 3" xfId="19086"/>
    <cellStyle name="Note 3 3 3 4 2 2 3" xfId="7075"/>
    <cellStyle name="Note 3 3 3 4 2 2 3 2" xfId="9689"/>
    <cellStyle name="Note 3 3 3 4 2 2 3 2 2" xfId="15951"/>
    <cellStyle name="Note 3 3 3 4 2 2 3 2 2 2" xfId="29367"/>
    <cellStyle name="Note 3 3 3 4 2 2 3 2 3" xfId="20696"/>
    <cellStyle name="Note 3 3 3 4 2 2 3 3" xfId="13679"/>
    <cellStyle name="Note 3 3 3 4 2 2 3 3 2" xfId="28001"/>
    <cellStyle name="Note 3 3 3 4 2 2 3 4" xfId="19324"/>
    <cellStyle name="Note 3 3 3 4 2 2 4" xfId="2772"/>
    <cellStyle name="Note 3 3 3 4 2 2 4 2" xfId="22341"/>
    <cellStyle name="Note 3 3 3 4 2 2 5" xfId="3648"/>
    <cellStyle name="Note 3 3 3 4 2 3" xfId="2222"/>
    <cellStyle name="Note 3 3 3 4 2 3 2" xfId="7661"/>
    <cellStyle name="Note 3 3 3 4 2 3 2 2" xfId="10275"/>
    <cellStyle name="Note 3 3 3 4 2 3 2 2 2" xfId="16537"/>
    <cellStyle name="Note 3 3 3 4 2 3 2 2 2 2" xfId="29953"/>
    <cellStyle name="Note 3 3 3 4 2 3 2 2 3" xfId="21282"/>
    <cellStyle name="Note 3 3 3 4 2 3 2 3" xfId="14265"/>
    <cellStyle name="Note 3 3 3 4 2 3 2 3 2" xfId="28587"/>
    <cellStyle name="Note 3 3 3 4 2 3 2 4" xfId="19910"/>
    <cellStyle name="Note 3 3 3 4 2 3 3" xfId="13216"/>
    <cellStyle name="Note 3 3 3 4 2 3 3 2" xfId="27538"/>
    <cellStyle name="Note 3 3 3 4 2 3 4" xfId="18861"/>
    <cellStyle name="Note 3 3 3 4 2 4" xfId="5657"/>
    <cellStyle name="Note 3 3 3 4 2 4 2" xfId="12210"/>
    <cellStyle name="Note 3 3 3 4 2 4 2 2" xfId="26532"/>
    <cellStyle name="Note 3 3 3 4 2 4 3" xfId="17855"/>
    <cellStyle name="Note 3 3 3 4 2 5" xfId="6486"/>
    <cellStyle name="Note 3 3 3 4 2 5 2" xfId="23565"/>
    <cellStyle name="Note 3 3 3 4 2 6" xfId="15238"/>
    <cellStyle name="Note 3 3 3 4 3" xfId="2223"/>
    <cellStyle name="Note 3 3 3 4 3 2" xfId="2224"/>
    <cellStyle name="Note 3 3 3 4 3 2 2" xfId="5128"/>
    <cellStyle name="Note 3 3 3 4 3 2 2 2" xfId="11677"/>
    <cellStyle name="Note 3 3 3 4 3 2 2 2 2" xfId="25999"/>
    <cellStyle name="Note 3 3 3 4 3 2 2 3" xfId="6363"/>
    <cellStyle name="Note 3 3 3 4 3 2 3" xfId="7921"/>
    <cellStyle name="Note 3 3 3 4 3 2 3 2" xfId="10535"/>
    <cellStyle name="Note 3 3 3 4 3 2 3 2 2" xfId="16797"/>
    <cellStyle name="Note 3 3 3 4 3 2 3 2 2 2" xfId="30213"/>
    <cellStyle name="Note 3 3 3 4 3 2 3 2 3" xfId="21542"/>
    <cellStyle name="Note 3 3 3 4 3 2 3 3" xfId="14525"/>
    <cellStyle name="Note 3 3 3 4 3 2 3 3 2" xfId="28847"/>
    <cellStyle name="Note 3 3 3 4 3 2 3 4" xfId="20170"/>
    <cellStyle name="Note 3 3 3 4 3 2 4" xfId="4497"/>
    <cellStyle name="Note 3 3 3 4 3 2 4 2" xfId="22989"/>
    <cellStyle name="Note 3 3 3 4 3 2 5" xfId="4303"/>
    <cellStyle name="Note 3 3 3 4 3 3" xfId="2225"/>
    <cellStyle name="Note 3 3 3 4 3 3 2" xfId="7636"/>
    <cellStyle name="Note 3 3 3 4 3 3 2 2" xfId="10250"/>
    <cellStyle name="Note 3 3 3 4 3 3 2 2 2" xfId="16512"/>
    <cellStyle name="Note 3 3 3 4 3 3 2 2 2 2" xfId="29928"/>
    <cellStyle name="Note 3 3 3 4 3 3 2 2 3" xfId="21257"/>
    <cellStyle name="Note 3 3 3 4 3 3 2 3" xfId="14240"/>
    <cellStyle name="Note 3 3 3 4 3 3 2 3 2" xfId="28562"/>
    <cellStyle name="Note 3 3 3 4 3 3 2 4" xfId="19885"/>
    <cellStyle name="Note 3 3 3 4 3 3 3" xfId="12620"/>
    <cellStyle name="Note 3 3 3 4 3 3 3 2" xfId="26942"/>
    <cellStyle name="Note 3 3 3 4 3 3 4" xfId="18265"/>
    <cellStyle name="Note 3 3 3 4 3 4" xfId="5083"/>
    <cellStyle name="Note 3 3 3 4 3 4 2" xfId="11630"/>
    <cellStyle name="Note 3 3 3 4 3 4 2 2" xfId="25952"/>
    <cellStyle name="Note 3 3 3 4 3 4 3" xfId="5918"/>
    <cellStyle name="Note 3 3 3 4 3 5" xfId="5933"/>
    <cellStyle name="Note 3 3 3 4 3 5 2" xfId="23376"/>
    <cellStyle name="Note 3 3 3 4 3 6" xfId="15532"/>
    <cellStyle name="Note 3 3 3 4 4" xfId="2226"/>
    <cellStyle name="Note 3 3 3 4 4 2" xfId="6389"/>
    <cellStyle name="Note 3 3 3 4 4 2 2" xfId="12972"/>
    <cellStyle name="Note 3 3 3 4 4 2 2 2" xfId="27294"/>
    <cellStyle name="Note 3 3 3 4 4 2 3" xfId="18617"/>
    <cellStyle name="Note 3 3 3 4 4 3" xfId="7069"/>
    <cellStyle name="Note 3 3 3 4 4 3 2" xfId="9683"/>
    <cellStyle name="Note 3 3 3 4 4 3 2 2" xfId="15945"/>
    <cellStyle name="Note 3 3 3 4 4 3 2 2 2" xfId="29361"/>
    <cellStyle name="Note 3 3 3 4 4 3 2 3" xfId="20690"/>
    <cellStyle name="Note 3 3 3 4 4 3 3" xfId="13673"/>
    <cellStyle name="Note 3 3 3 4 4 3 3 2" xfId="27995"/>
    <cellStyle name="Note 3 3 3 4 4 3 4" xfId="19318"/>
    <cellStyle name="Note 3 3 3 4 4 4" xfId="4690"/>
    <cellStyle name="Note 3 3 3 4 4 4 2" xfId="23126"/>
    <cellStyle name="Note 3 3 3 4 4 5" xfId="14888"/>
    <cellStyle name="Note 3 3 3 4 5" xfId="2227"/>
    <cellStyle name="Note 3 3 3 4 5 2" xfId="7749"/>
    <cellStyle name="Note 3 3 3 4 5 2 2" xfId="10363"/>
    <cellStyle name="Note 3 3 3 4 5 2 2 2" xfId="16625"/>
    <cellStyle name="Note 3 3 3 4 5 2 2 2 2" xfId="30041"/>
    <cellStyle name="Note 3 3 3 4 5 2 2 3" xfId="21370"/>
    <cellStyle name="Note 3 3 3 4 5 2 3" xfId="14353"/>
    <cellStyle name="Note 3 3 3 4 5 2 3 2" xfId="28675"/>
    <cellStyle name="Note 3 3 3 4 5 2 4" xfId="19998"/>
    <cellStyle name="Note 3 3 3 4 5 3" xfId="4123"/>
    <cellStyle name="Note 3 3 3 4 5 3 2" xfId="22767"/>
    <cellStyle name="Note 3 3 3 4 5 4" xfId="15407"/>
    <cellStyle name="Note 3 3 3 4 6" xfId="5157"/>
    <cellStyle name="Note 3 3 3 4 6 2" xfId="11706"/>
    <cellStyle name="Note 3 3 3 4 6 2 2" xfId="26028"/>
    <cellStyle name="Note 3 3 3 4 6 3" xfId="4946"/>
    <cellStyle name="Note 3 3 3 4 7" xfId="6152"/>
    <cellStyle name="Note 3 3 3 4 7 2" xfId="23432"/>
    <cellStyle name="Note 3 3 3 4 8" xfId="17115"/>
    <cellStyle name="Note 3 3 3 5" xfId="2228"/>
    <cellStyle name="Note 3 3 3 5 2" xfId="2229"/>
    <cellStyle name="Note 3 3 3 5 2 2" xfId="2230"/>
    <cellStyle name="Note 3 3 3 5 2 2 2" xfId="6553"/>
    <cellStyle name="Note 3 3 3 5 2 2 2 2" xfId="13141"/>
    <cellStyle name="Note 3 3 3 5 2 2 2 2 2" xfId="27463"/>
    <cellStyle name="Note 3 3 3 5 2 2 2 3" xfId="18786"/>
    <cellStyle name="Note 3 3 3 5 2 2 3" xfId="4979"/>
    <cellStyle name="Note 3 3 3 5 2 2 3 2" xfId="9529"/>
    <cellStyle name="Note 3 3 3 5 2 2 3 2 2" xfId="15791"/>
    <cellStyle name="Note 3 3 3 5 2 2 3 2 2 2" xfId="29207"/>
    <cellStyle name="Note 3 3 3 5 2 2 3 2 3" xfId="20536"/>
    <cellStyle name="Note 3 3 3 5 2 2 3 3" xfId="11522"/>
    <cellStyle name="Note 3 3 3 5 2 2 3 3 2" xfId="25844"/>
    <cellStyle name="Note 3 3 3 5 2 2 3 4" xfId="14749"/>
    <cellStyle name="Note 3 3 3 5 2 2 4" xfId="3163"/>
    <cellStyle name="Note 3 3 3 5 2 2 4 2" xfId="22425"/>
    <cellStyle name="Note 3 3 3 5 2 2 5" xfId="15465"/>
    <cellStyle name="Note 3 3 3 5 2 3" xfId="2231"/>
    <cellStyle name="Note 3 3 3 5 2 3 2" xfId="8060"/>
    <cellStyle name="Note 3 3 3 5 2 3 2 2" xfId="10674"/>
    <cellStyle name="Note 3 3 3 5 2 3 2 2 2" xfId="16936"/>
    <cellStyle name="Note 3 3 3 5 2 3 2 2 2 2" xfId="30352"/>
    <cellStyle name="Note 3 3 3 5 2 3 2 2 3" xfId="21681"/>
    <cellStyle name="Note 3 3 3 5 2 3 2 3" xfId="14664"/>
    <cellStyle name="Note 3 3 3 5 2 3 2 3 2" xfId="28986"/>
    <cellStyle name="Note 3 3 3 5 2 3 2 4" xfId="20309"/>
    <cellStyle name="Note 3 3 3 5 2 3 3" xfId="13160"/>
    <cellStyle name="Note 3 3 3 5 2 3 3 2" xfId="27482"/>
    <cellStyle name="Note 3 3 3 5 2 3 4" xfId="18805"/>
    <cellStyle name="Note 3 3 3 5 2 4" xfId="5573"/>
    <cellStyle name="Note 3 3 3 5 2 4 2" xfId="12124"/>
    <cellStyle name="Note 3 3 3 5 2 4 2 2" xfId="26446"/>
    <cellStyle name="Note 3 3 3 5 2 4 3" xfId="17769"/>
    <cellStyle name="Note 3 3 3 5 2 5" xfId="4829"/>
    <cellStyle name="Note 3 3 3 5 2 5 2" xfId="23208"/>
    <cellStyle name="Note 3 3 3 5 2 6" xfId="17198"/>
    <cellStyle name="Note 3 3 3 5 3" xfId="2232"/>
    <cellStyle name="Note 3 3 3 5 3 2" xfId="6049"/>
    <cellStyle name="Note 3 3 3 5 3 2 2" xfId="12615"/>
    <cellStyle name="Note 3 3 3 5 3 2 2 2" xfId="26937"/>
    <cellStyle name="Note 3 3 3 5 3 2 3" xfId="18260"/>
    <cellStyle name="Note 3 3 3 5 3 3" xfId="7649"/>
    <cellStyle name="Note 3 3 3 5 3 3 2" xfId="10263"/>
    <cellStyle name="Note 3 3 3 5 3 3 2 2" xfId="16525"/>
    <cellStyle name="Note 3 3 3 5 3 3 2 2 2" xfId="29941"/>
    <cellStyle name="Note 3 3 3 5 3 3 2 3" xfId="21270"/>
    <cellStyle name="Note 3 3 3 5 3 3 3" xfId="14253"/>
    <cellStyle name="Note 3 3 3 5 3 3 3 2" xfId="28575"/>
    <cellStyle name="Note 3 3 3 5 3 3 4" xfId="19898"/>
    <cellStyle name="Note 3 3 3 5 3 4" xfId="3759"/>
    <cellStyle name="Note 3 3 3 5 3 4 2" xfId="22565"/>
    <cellStyle name="Note 3 3 3 5 3 5" xfId="14946"/>
    <cellStyle name="Note 3 3 3 5 4" xfId="2233"/>
    <cellStyle name="Note 3 3 3 5 4 2" xfId="7694"/>
    <cellStyle name="Note 3 3 3 5 4 2 2" xfId="10308"/>
    <cellStyle name="Note 3 3 3 5 4 2 2 2" xfId="16570"/>
    <cellStyle name="Note 3 3 3 5 4 2 2 2 2" xfId="29986"/>
    <cellStyle name="Note 3 3 3 5 4 2 2 3" xfId="21315"/>
    <cellStyle name="Note 3 3 3 5 4 2 3" xfId="14298"/>
    <cellStyle name="Note 3 3 3 5 4 2 3 2" xfId="28620"/>
    <cellStyle name="Note 3 3 3 5 4 2 4" xfId="19943"/>
    <cellStyle name="Note 3 3 3 5 4 3" xfId="12940"/>
    <cellStyle name="Note 3 3 3 5 4 3 2" xfId="27262"/>
    <cellStyle name="Note 3 3 3 5 4 4" xfId="18585"/>
    <cellStyle name="Note 3 3 3 5 5" xfId="5572"/>
    <cellStyle name="Note 3 3 3 5 5 2" xfId="12123"/>
    <cellStyle name="Note 3 3 3 5 5 2 2" xfId="26445"/>
    <cellStyle name="Note 3 3 3 5 5 3" xfId="17768"/>
    <cellStyle name="Note 3 3 3 5 6" xfId="4876"/>
    <cellStyle name="Note 3 3 3 5 6 2" xfId="23239"/>
    <cellStyle name="Note 3 3 3 5 7" xfId="15295"/>
    <cellStyle name="Note 3 3 3 6" xfId="2234"/>
    <cellStyle name="Note 3 3 3 6 2" xfId="2235"/>
    <cellStyle name="Note 3 3 3 6 2 2" xfId="5455"/>
    <cellStyle name="Note 3 3 3 6 2 2 2" xfId="12006"/>
    <cellStyle name="Note 3 3 3 6 2 2 2 2" xfId="26328"/>
    <cellStyle name="Note 3 3 3 6 2 2 3" xfId="17651"/>
    <cellStyle name="Note 3 3 3 6 2 3" xfId="7311"/>
    <cellStyle name="Note 3 3 3 6 2 3 2" xfId="9925"/>
    <cellStyle name="Note 3 3 3 6 2 3 2 2" xfId="16187"/>
    <cellStyle name="Note 3 3 3 6 2 3 2 2 2" xfId="29603"/>
    <cellStyle name="Note 3 3 3 6 2 3 2 3" xfId="20932"/>
    <cellStyle name="Note 3 3 3 6 2 3 3" xfId="13915"/>
    <cellStyle name="Note 3 3 3 6 2 3 3 2" xfId="28237"/>
    <cellStyle name="Note 3 3 3 6 2 3 4" xfId="19560"/>
    <cellStyle name="Note 3 3 3 6 2 4" xfId="3981"/>
    <cellStyle name="Note 3 3 3 6 2 4 2" xfId="22684"/>
    <cellStyle name="Note 3 3 3 6 2 5" xfId="14741"/>
    <cellStyle name="Note 3 3 3 6 3" xfId="2236"/>
    <cellStyle name="Note 3 3 3 6 3 2" xfId="7234"/>
    <cellStyle name="Note 3 3 3 6 3 2 2" xfId="9848"/>
    <cellStyle name="Note 3 3 3 6 3 2 2 2" xfId="16110"/>
    <cellStyle name="Note 3 3 3 6 3 2 2 2 2" xfId="29526"/>
    <cellStyle name="Note 3 3 3 6 3 2 2 3" xfId="20855"/>
    <cellStyle name="Note 3 3 3 6 3 2 3" xfId="13838"/>
    <cellStyle name="Note 3 3 3 6 3 2 3 2" xfId="28160"/>
    <cellStyle name="Note 3 3 3 6 3 2 4" xfId="19483"/>
    <cellStyle name="Note 3 3 3 6 3 3" xfId="11615"/>
    <cellStyle name="Note 3 3 3 6 3 3 2" xfId="25937"/>
    <cellStyle name="Note 3 3 3 6 3 4" xfId="15432"/>
    <cellStyle name="Note 3 3 3 6 4" xfId="4456"/>
    <cellStyle name="Note 3 3 3 6 4 2" xfId="4527"/>
    <cellStyle name="Note 3 3 3 6 4 2 2" xfId="23008"/>
    <cellStyle name="Note 3 3 3 6 4 3" xfId="4314"/>
    <cellStyle name="Note 3 3 3 6 5" xfId="6582"/>
    <cellStyle name="Note 3 3 3 6 5 2" xfId="23589"/>
    <cellStyle name="Note 3 3 3 6 6" xfId="14806"/>
    <cellStyle name="Note 3 3 3 7" xfId="2237"/>
    <cellStyle name="Note 3 3 3 7 2" xfId="6855"/>
    <cellStyle name="Note 3 3 3 7 2 2" xfId="13459"/>
    <cellStyle name="Note 3 3 3 7 2 2 2" xfId="27781"/>
    <cellStyle name="Note 3 3 3 7 2 3" xfId="19104"/>
    <cellStyle name="Note 3 3 3 7 3" xfId="5242"/>
    <cellStyle name="Note 3 3 3 7 3 2" xfId="9552"/>
    <cellStyle name="Note 3 3 3 7 3 2 2" xfId="15814"/>
    <cellStyle name="Note 3 3 3 7 3 2 2 2" xfId="29230"/>
    <cellStyle name="Note 3 3 3 7 3 2 3" xfId="20559"/>
    <cellStyle name="Note 3 3 3 7 3 3" xfId="11792"/>
    <cellStyle name="Note 3 3 3 7 3 3 2" xfId="26114"/>
    <cellStyle name="Note 3 3 3 7 3 4" xfId="17437"/>
    <cellStyle name="Note 3 3 3 7 4" xfId="11313"/>
    <cellStyle name="Note 3 3 3 7 4 2" xfId="25635"/>
    <cellStyle name="Note 3 3 3 7 5" xfId="17326"/>
    <cellStyle name="Note 3 3 3 8" xfId="2238"/>
    <cellStyle name="Note 3 3 3 8 2" xfId="7375"/>
    <cellStyle name="Note 3 3 3 8 2 2" xfId="9989"/>
    <cellStyle name="Note 3 3 3 8 2 2 2" xfId="16251"/>
    <cellStyle name="Note 3 3 3 8 2 2 2 2" xfId="29667"/>
    <cellStyle name="Note 3 3 3 8 2 2 3" xfId="20996"/>
    <cellStyle name="Note 3 3 3 8 2 3" xfId="13979"/>
    <cellStyle name="Note 3 3 3 8 2 3 2" xfId="28301"/>
    <cellStyle name="Note 3 3 3 8 2 4" xfId="19624"/>
    <cellStyle name="Note 3 3 3 8 3" xfId="11690"/>
    <cellStyle name="Note 3 3 3 8 3 2" xfId="26012"/>
    <cellStyle name="Note 3 3 3 8 4" xfId="6795"/>
    <cellStyle name="Note 3 3 3 9" xfId="5177"/>
    <cellStyle name="Note 3 3 3 9 2" xfId="11726"/>
    <cellStyle name="Note 3 3 3 9 2 2" xfId="26048"/>
    <cellStyle name="Note 3 3 3 9 3" xfId="4116"/>
    <cellStyle name="Note 3 3 4" xfId="2239"/>
    <cellStyle name="Note 3 3 4 2" xfId="2240"/>
    <cellStyle name="Note 3 3 4 2 2" xfId="2241"/>
    <cellStyle name="Note 3 3 4 2 2 2" xfId="6840"/>
    <cellStyle name="Note 3 3 4 2 2 2 2" xfId="13444"/>
    <cellStyle name="Note 3 3 4 2 2 2 2 2" xfId="27766"/>
    <cellStyle name="Note 3 3 4 2 2 2 3" xfId="19089"/>
    <cellStyle name="Note 3 3 4 2 2 3" xfId="7225"/>
    <cellStyle name="Note 3 3 4 2 2 3 2" xfId="9839"/>
    <cellStyle name="Note 3 3 4 2 2 3 2 2" xfId="16101"/>
    <cellStyle name="Note 3 3 4 2 2 3 2 2 2" xfId="29517"/>
    <cellStyle name="Note 3 3 4 2 2 3 2 3" xfId="20846"/>
    <cellStyle name="Note 3 3 4 2 2 3 3" xfId="13829"/>
    <cellStyle name="Note 3 3 4 2 2 3 3 2" xfId="28151"/>
    <cellStyle name="Note 3 3 4 2 2 3 4" xfId="19474"/>
    <cellStyle name="Note 3 3 4 2 2 4" xfId="2814"/>
    <cellStyle name="Note 3 3 4 2 2 4 2" xfId="22377"/>
    <cellStyle name="Note 3 3 4 2 2 5" xfId="14906"/>
    <cellStyle name="Note 3 3 4 2 3" xfId="2242"/>
    <cellStyle name="Note 3 3 4 2 3 2" xfId="7128"/>
    <cellStyle name="Note 3 3 4 2 3 2 2" xfId="9742"/>
    <cellStyle name="Note 3 3 4 2 3 2 2 2" xfId="16004"/>
    <cellStyle name="Note 3 3 4 2 3 2 2 2 2" xfId="29420"/>
    <cellStyle name="Note 3 3 4 2 3 2 2 3" xfId="20749"/>
    <cellStyle name="Note 3 3 4 2 3 2 3" xfId="13732"/>
    <cellStyle name="Note 3 3 4 2 3 2 3 2" xfId="28054"/>
    <cellStyle name="Note 3 3 4 2 3 2 4" xfId="19377"/>
    <cellStyle name="Note 3 3 4 2 3 3" xfId="13209"/>
    <cellStyle name="Note 3 3 4 2 3 3 2" xfId="27531"/>
    <cellStyle name="Note 3 3 4 2 3 4" xfId="18854"/>
    <cellStyle name="Note 3 3 4 2 4" xfId="5648"/>
    <cellStyle name="Note 3 3 4 2 4 2" xfId="12201"/>
    <cellStyle name="Note 3 3 4 2 4 2 2" xfId="26523"/>
    <cellStyle name="Note 3 3 4 2 4 3" xfId="17846"/>
    <cellStyle name="Note 3 3 4 2 5" xfId="4707"/>
    <cellStyle name="Note 3 3 4 2 5 2" xfId="23140"/>
    <cellStyle name="Note 3 3 4 2 6" xfId="17139"/>
    <cellStyle name="Note 3 3 4 3" xfId="2243"/>
    <cellStyle name="Note 3 3 4 3 2" xfId="2244"/>
    <cellStyle name="Note 3 3 4 3 2 2" xfId="6410"/>
    <cellStyle name="Note 3 3 4 3 2 2 2" xfId="12993"/>
    <cellStyle name="Note 3 3 4 3 2 2 2 2" xfId="27315"/>
    <cellStyle name="Note 3 3 4 3 2 2 3" xfId="18638"/>
    <cellStyle name="Note 3 3 4 3 2 3" xfId="7153"/>
    <cellStyle name="Note 3 3 4 3 2 3 2" xfId="9767"/>
    <cellStyle name="Note 3 3 4 3 2 3 2 2" xfId="16029"/>
    <cellStyle name="Note 3 3 4 3 2 3 2 2 2" xfId="29445"/>
    <cellStyle name="Note 3 3 4 3 2 3 2 3" xfId="20774"/>
    <cellStyle name="Note 3 3 4 3 2 3 3" xfId="13757"/>
    <cellStyle name="Note 3 3 4 3 2 3 3 2" xfId="28079"/>
    <cellStyle name="Note 3 3 4 3 2 3 4" xfId="19402"/>
    <cellStyle name="Note 3 3 4 3 2 4" xfId="3935"/>
    <cellStyle name="Note 3 3 4 3 2 4 2" xfId="22653"/>
    <cellStyle name="Note 3 3 4 3 2 5" xfId="17095"/>
    <cellStyle name="Note 3 3 4 3 3" xfId="2245"/>
    <cellStyle name="Note 3 3 4 3 3 2" xfId="5294"/>
    <cellStyle name="Note 3 3 4 3 3 2 2" xfId="9603"/>
    <cellStyle name="Note 3 3 4 3 3 2 2 2" xfId="15865"/>
    <cellStyle name="Note 3 3 4 3 3 2 2 2 2" xfId="29281"/>
    <cellStyle name="Note 3 3 4 3 3 2 2 3" xfId="20610"/>
    <cellStyle name="Note 3 3 4 3 3 2 3" xfId="11844"/>
    <cellStyle name="Note 3 3 4 3 3 2 3 2" xfId="26166"/>
    <cellStyle name="Note 3 3 4 3 3 2 4" xfId="17489"/>
    <cellStyle name="Note 3 3 4 3 3 3" xfId="13129"/>
    <cellStyle name="Note 3 3 4 3 3 3 2" xfId="27451"/>
    <cellStyle name="Note 3 3 4 3 3 4" xfId="18774"/>
    <cellStyle name="Note 3 3 4 3 4" xfId="5519"/>
    <cellStyle name="Note 3 3 4 3 4 2" xfId="12070"/>
    <cellStyle name="Note 3 3 4 3 4 2 2" xfId="26392"/>
    <cellStyle name="Note 3 3 4 3 4 3" xfId="17715"/>
    <cellStyle name="Note 3 3 4 3 5" xfId="6643"/>
    <cellStyle name="Note 3 3 4 3 5 2" xfId="23623"/>
    <cellStyle name="Note 3 3 4 3 6" xfId="4647"/>
    <cellStyle name="Note 3 3 4 4" xfId="2246"/>
    <cellStyle name="Note 3 3 4 4 2" xfId="6834"/>
    <cellStyle name="Note 3 3 4 4 2 2" xfId="13438"/>
    <cellStyle name="Note 3 3 4 4 2 2 2" xfId="27760"/>
    <cellStyle name="Note 3 3 4 4 2 3" xfId="19083"/>
    <cellStyle name="Note 3 3 4 4 3" xfId="7761"/>
    <cellStyle name="Note 3 3 4 4 3 2" xfId="10375"/>
    <cellStyle name="Note 3 3 4 4 3 2 2" xfId="16637"/>
    <cellStyle name="Note 3 3 4 4 3 2 2 2" xfId="30053"/>
    <cellStyle name="Note 3 3 4 4 3 2 3" xfId="21382"/>
    <cellStyle name="Note 3 3 4 4 3 3" xfId="14365"/>
    <cellStyle name="Note 3 3 4 4 3 3 2" xfId="28687"/>
    <cellStyle name="Note 3 3 4 4 3 4" xfId="20010"/>
    <cellStyle name="Note 3 3 4 4 4" xfId="2775"/>
    <cellStyle name="Note 3 3 4 4 4 2" xfId="22344"/>
    <cellStyle name="Note 3 3 4 4 5" xfId="15457"/>
    <cellStyle name="Note 3 3 4 5" xfId="2247"/>
    <cellStyle name="Note 3 3 4 5 2" xfId="5304"/>
    <cellStyle name="Note 3 3 4 5 2 2" xfId="9613"/>
    <cellStyle name="Note 3 3 4 5 2 2 2" xfId="15875"/>
    <cellStyle name="Note 3 3 4 5 2 2 2 2" xfId="29291"/>
    <cellStyle name="Note 3 3 4 5 2 2 3" xfId="20620"/>
    <cellStyle name="Note 3 3 4 5 2 3" xfId="11854"/>
    <cellStyle name="Note 3 3 4 5 2 3 2" xfId="26176"/>
    <cellStyle name="Note 3 3 4 5 2 4" xfId="17499"/>
    <cellStyle name="Note 3 3 4 5 3" xfId="12274"/>
    <cellStyle name="Note 3 3 4 5 3 2" xfId="26596"/>
    <cellStyle name="Note 3 3 4 5 4" xfId="17919"/>
    <cellStyle name="Note 3 3 4 6" xfId="5079"/>
    <cellStyle name="Note 3 3 4 6 2" xfId="11626"/>
    <cellStyle name="Note 3 3 4 6 2 2" xfId="25948"/>
    <cellStyle name="Note 3 3 4 6 3" xfId="15553"/>
    <cellStyle name="Note 3 3 4 7" xfId="4788"/>
    <cellStyle name="Note 3 3 4 7 2" xfId="23188"/>
    <cellStyle name="Note 3 3 4 8" xfId="15044"/>
    <cellStyle name="Note 3 3 5" xfId="2248"/>
    <cellStyle name="Note 3 3 5 2" xfId="2249"/>
    <cellStyle name="Note 3 3 5 2 2" xfId="2250"/>
    <cellStyle name="Note 3 3 5 2 2 2" xfId="7002"/>
    <cellStyle name="Note 3 3 5 2 2 2 2" xfId="13606"/>
    <cellStyle name="Note 3 3 5 2 2 2 2 2" xfId="27928"/>
    <cellStyle name="Note 3 3 5 2 2 2 3" xfId="19251"/>
    <cellStyle name="Note 3 3 5 2 2 3" xfId="3656"/>
    <cellStyle name="Note 3 3 5 2 2 3 2" xfId="9354"/>
    <cellStyle name="Note 3 3 5 2 2 3 2 2" xfId="15616"/>
    <cellStyle name="Note 3 3 5 2 2 3 2 2 2" xfId="29032"/>
    <cellStyle name="Note 3 3 5 2 2 3 2 3" xfId="20361"/>
    <cellStyle name="Note 3 3 5 2 2 3 3" xfId="3686"/>
    <cellStyle name="Note 3 3 5 2 2 3 3 2" xfId="22528"/>
    <cellStyle name="Note 3 3 5 2 2 3 4" xfId="4229"/>
    <cellStyle name="Note 3 3 5 2 2 4" xfId="11520"/>
    <cellStyle name="Note 3 3 5 2 2 4 2" xfId="25842"/>
    <cellStyle name="Note 3 3 5 2 2 5" xfId="15421"/>
    <cellStyle name="Note 3 3 5 2 3" xfId="2251"/>
    <cellStyle name="Note 3 3 5 2 3 2" xfId="4830"/>
    <cellStyle name="Note 3 3 5 2 3 2 2" xfId="9496"/>
    <cellStyle name="Note 3 3 5 2 3 2 2 2" xfId="15758"/>
    <cellStyle name="Note 3 3 5 2 3 2 2 2 2" xfId="29174"/>
    <cellStyle name="Note 3 3 5 2 3 2 2 3" xfId="20503"/>
    <cellStyle name="Note 3 3 5 2 3 2 3" xfId="11363"/>
    <cellStyle name="Note 3 3 5 2 3 2 3 2" xfId="25685"/>
    <cellStyle name="Note 3 3 5 2 3 2 4" xfId="15509"/>
    <cellStyle name="Note 3 3 5 2 3 3" xfId="13212"/>
    <cellStyle name="Note 3 3 5 2 3 3 2" xfId="27534"/>
    <cellStyle name="Note 3 3 5 2 3 4" xfId="18857"/>
    <cellStyle name="Note 3 3 5 2 4" xfId="5651"/>
    <cellStyle name="Note 3 3 5 2 4 2" xfId="12204"/>
    <cellStyle name="Note 3 3 5 2 4 2 2" xfId="26526"/>
    <cellStyle name="Note 3 3 5 2 4 3" xfId="17849"/>
    <cellStyle name="Note 3 3 5 2 5" xfId="4667"/>
    <cellStyle name="Note 3 3 5 2 5 2" xfId="23106"/>
    <cellStyle name="Note 3 3 5 2 6" xfId="17340"/>
    <cellStyle name="Note 3 3 5 3" xfId="2252"/>
    <cellStyle name="Note 3 3 5 3 2" xfId="2253"/>
    <cellStyle name="Note 3 3 5 3 2 2" xfId="6889"/>
    <cellStyle name="Note 3 3 5 3 2 2 2" xfId="13493"/>
    <cellStyle name="Note 3 3 5 3 2 2 2 2" xfId="27815"/>
    <cellStyle name="Note 3 3 5 3 2 2 3" xfId="19138"/>
    <cellStyle name="Note 3 3 5 3 2 3" xfId="7594"/>
    <cellStyle name="Note 3 3 5 3 2 3 2" xfId="10208"/>
    <cellStyle name="Note 3 3 5 3 2 3 2 2" xfId="16470"/>
    <cellStyle name="Note 3 3 5 3 2 3 2 2 2" xfId="29886"/>
    <cellStyle name="Note 3 3 5 3 2 3 2 3" xfId="21215"/>
    <cellStyle name="Note 3 3 5 3 2 3 3" xfId="14198"/>
    <cellStyle name="Note 3 3 5 3 2 3 3 2" xfId="28520"/>
    <cellStyle name="Note 3 3 5 3 2 3 4" xfId="19843"/>
    <cellStyle name="Note 3 3 5 3 2 4" xfId="11365"/>
    <cellStyle name="Note 3 3 5 3 2 4 2" xfId="25687"/>
    <cellStyle name="Note 3 3 5 3 2 5" xfId="15037"/>
    <cellStyle name="Note 3 3 5 3 3" xfId="2254"/>
    <cellStyle name="Note 3 3 5 3 3 2" xfId="7590"/>
    <cellStyle name="Note 3 3 5 3 3 2 2" xfId="10204"/>
    <cellStyle name="Note 3 3 5 3 3 2 2 2" xfId="16466"/>
    <cellStyle name="Note 3 3 5 3 3 2 2 2 2" xfId="29882"/>
    <cellStyle name="Note 3 3 5 3 3 2 2 3" xfId="21211"/>
    <cellStyle name="Note 3 3 5 3 3 2 3" xfId="14194"/>
    <cellStyle name="Note 3 3 5 3 3 2 3 2" xfId="28516"/>
    <cellStyle name="Note 3 3 5 3 3 2 4" xfId="19839"/>
    <cellStyle name="Note 3 3 5 3 3 3" xfId="12653"/>
    <cellStyle name="Note 3 3 5 3 3 3 2" xfId="26975"/>
    <cellStyle name="Note 3 3 5 3 3 4" xfId="18298"/>
    <cellStyle name="Note 3 3 5 3 4" xfId="4017"/>
    <cellStyle name="Note 3 3 5 3 4 2" xfId="3668"/>
    <cellStyle name="Note 3 3 5 3 4 2 2" xfId="22514"/>
    <cellStyle name="Note 3 3 5 3 4 3" xfId="6790"/>
    <cellStyle name="Note 3 3 5 3 5" xfId="4885"/>
    <cellStyle name="Note 3 3 5 3 5 2" xfId="23243"/>
    <cellStyle name="Note 3 3 5 3 6" xfId="2842"/>
    <cellStyle name="Note 3 3 5 4" xfId="2255"/>
    <cellStyle name="Note 3 3 5 4 2" xfId="6874"/>
    <cellStyle name="Note 3 3 5 4 2 2" xfId="13478"/>
    <cellStyle name="Note 3 3 5 4 2 2 2" xfId="27800"/>
    <cellStyle name="Note 3 3 5 4 2 3" xfId="19123"/>
    <cellStyle name="Note 3 3 5 4 3" xfId="7351"/>
    <cellStyle name="Note 3 3 5 4 3 2" xfId="9965"/>
    <cellStyle name="Note 3 3 5 4 3 2 2" xfId="16227"/>
    <cellStyle name="Note 3 3 5 4 3 2 2 2" xfId="29643"/>
    <cellStyle name="Note 3 3 5 4 3 2 3" xfId="20972"/>
    <cellStyle name="Note 3 3 5 4 3 3" xfId="13955"/>
    <cellStyle name="Note 3 3 5 4 3 3 2" xfId="28277"/>
    <cellStyle name="Note 3 3 5 4 3 4" xfId="19600"/>
    <cellStyle name="Note 3 3 5 4 4" xfId="11342"/>
    <cellStyle name="Note 3 3 5 4 4 2" xfId="25664"/>
    <cellStyle name="Note 3 3 5 4 5" xfId="16986"/>
    <cellStyle name="Note 3 3 5 5" xfId="2256"/>
    <cellStyle name="Note 3 3 5 5 2" xfId="7343"/>
    <cellStyle name="Note 3 3 5 5 2 2" xfId="9957"/>
    <cellStyle name="Note 3 3 5 5 2 2 2" xfId="16219"/>
    <cellStyle name="Note 3 3 5 5 2 2 2 2" xfId="29635"/>
    <cellStyle name="Note 3 3 5 5 2 2 3" xfId="20964"/>
    <cellStyle name="Note 3 3 5 5 2 3" xfId="13947"/>
    <cellStyle name="Note 3 3 5 5 2 3 2" xfId="28269"/>
    <cellStyle name="Note 3 3 5 5 2 4" xfId="19592"/>
    <cellStyle name="Note 3 3 5 5 3" xfId="4470"/>
    <cellStyle name="Note 3 3 5 5 3 2" xfId="22969"/>
    <cellStyle name="Note 3 3 5 5 4" xfId="17207"/>
    <cellStyle name="Note 3 3 5 6" xfId="5166"/>
    <cellStyle name="Note 3 3 5 6 2" xfId="11715"/>
    <cellStyle name="Note 3 3 5 6 2 2" xfId="26037"/>
    <cellStyle name="Note 3 3 5 6 3" xfId="6118"/>
    <cellStyle name="Note 3 3 5 7" xfId="4861"/>
    <cellStyle name="Note 3 3 5 7 2" xfId="23226"/>
    <cellStyle name="Note 3 3 5 8" xfId="15597"/>
    <cellStyle name="Note 3 3 6" xfId="2257"/>
    <cellStyle name="Note 3 3 6 2" xfId="2258"/>
    <cellStyle name="Note 3 3 6 2 2" xfId="2259"/>
    <cellStyle name="Note 3 3 6 2 2 2" xfId="6897"/>
    <cellStyle name="Note 3 3 6 2 2 2 2" xfId="13501"/>
    <cellStyle name="Note 3 3 6 2 2 2 2 2" xfId="27823"/>
    <cellStyle name="Note 3 3 6 2 2 2 3" xfId="19146"/>
    <cellStyle name="Note 3 3 6 2 2 3" xfId="4110"/>
    <cellStyle name="Note 3 3 6 2 2 3 2" xfId="9429"/>
    <cellStyle name="Note 3 3 6 2 2 3 2 2" xfId="15691"/>
    <cellStyle name="Note 3 3 6 2 2 3 2 2 2" xfId="29107"/>
    <cellStyle name="Note 3 3 6 2 2 3 2 3" xfId="20436"/>
    <cellStyle name="Note 3 3 6 2 2 3 3" xfId="6783"/>
    <cellStyle name="Note 3 3 6 2 2 3 3 2" xfId="23727"/>
    <cellStyle name="Note 3 3 6 2 2 3 4" xfId="17179"/>
    <cellStyle name="Note 3 3 6 2 2 4" xfId="11376"/>
    <cellStyle name="Note 3 3 6 2 2 4 2" xfId="25698"/>
    <cellStyle name="Note 3 3 6 2 2 5" xfId="17185"/>
    <cellStyle name="Note 3 3 6 2 3" xfId="2260"/>
    <cellStyle name="Note 3 3 6 2 3 2" xfId="5311"/>
    <cellStyle name="Note 3 3 6 2 3 2 2" xfId="9620"/>
    <cellStyle name="Note 3 3 6 2 3 2 2 2" xfId="15882"/>
    <cellStyle name="Note 3 3 6 2 3 2 2 2 2" xfId="29298"/>
    <cellStyle name="Note 3 3 6 2 3 2 2 3" xfId="20627"/>
    <cellStyle name="Note 3 3 6 2 3 2 3" xfId="11861"/>
    <cellStyle name="Note 3 3 6 2 3 2 3 2" xfId="26183"/>
    <cellStyle name="Note 3 3 6 2 3 2 4" xfId="17506"/>
    <cellStyle name="Note 3 3 6 2 3 3" xfId="13250"/>
    <cellStyle name="Note 3 3 6 2 3 3 2" xfId="27572"/>
    <cellStyle name="Note 3 3 6 2 3 4" xfId="18895"/>
    <cellStyle name="Note 3 3 6 2 4" xfId="5692"/>
    <cellStyle name="Note 3 3 6 2 4 2" xfId="12245"/>
    <cellStyle name="Note 3 3 6 2 4 2 2" xfId="26567"/>
    <cellStyle name="Note 3 3 6 2 4 3" xfId="17890"/>
    <cellStyle name="Note 3 3 6 2 5" xfId="4681"/>
    <cellStyle name="Note 3 3 6 2 5 2" xfId="23118"/>
    <cellStyle name="Note 3 3 6 2 6" xfId="14949"/>
    <cellStyle name="Note 3 3 6 3" xfId="2261"/>
    <cellStyle name="Note 3 3 6 3 2" xfId="2262"/>
    <cellStyle name="Note 3 3 6 3 2 2" xfId="6925"/>
    <cellStyle name="Note 3 3 6 3 2 2 2" xfId="13529"/>
    <cellStyle name="Note 3 3 6 3 2 2 2 2" xfId="27851"/>
    <cellStyle name="Note 3 3 6 3 2 2 3" xfId="19174"/>
    <cellStyle name="Note 3 3 6 3 2 3" xfId="7870"/>
    <cellStyle name="Note 3 3 6 3 2 3 2" xfId="10484"/>
    <cellStyle name="Note 3 3 6 3 2 3 2 2" xfId="16746"/>
    <cellStyle name="Note 3 3 6 3 2 3 2 2 2" xfId="30162"/>
    <cellStyle name="Note 3 3 6 3 2 3 2 3" xfId="21491"/>
    <cellStyle name="Note 3 3 6 3 2 3 3" xfId="14474"/>
    <cellStyle name="Note 3 3 6 3 2 3 3 2" xfId="28796"/>
    <cellStyle name="Note 3 3 6 3 2 3 4" xfId="20119"/>
    <cellStyle name="Note 3 3 6 3 2 4" xfId="11414"/>
    <cellStyle name="Note 3 3 6 3 2 4 2" xfId="25736"/>
    <cellStyle name="Note 3 3 6 3 2 5" xfId="17044"/>
    <cellStyle name="Note 3 3 6 3 3" xfId="2263"/>
    <cellStyle name="Note 3 3 6 3 3 2" xfId="7524"/>
    <cellStyle name="Note 3 3 6 3 3 2 2" xfId="10138"/>
    <cellStyle name="Note 3 3 6 3 3 2 2 2" xfId="16400"/>
    <cellStyle name="Note 3 3 6 3 3 2 2 2 2" xfId="29816"/>
    <cellStyle name="Note 3 3 6 3 3 2 2 3" xfId="21145"/>
    <cellStyle name="Note 3 3 6 3 3 2 3" xfId="14128"/>
    <cellStyle name="Note 3 3 6 3 3 2 3 2" xfId="28450"/>
    <cellStyle name="Note 3 3 6 3 3 2 4" xfId="19773"/>
    <cellStyle name="Note 3 3 6 3 3 3" xfId="12788"/>
    <cellStyle name="Note 3 3 6 3 3 3 2" xfId="27110"/>
    <cellStyle name="Note 3 3 6 3 3 4" xfId="18433"/>
    <cellStyle name="Note 3 3 6 3 4" xfId="4293"/>
    <cellStyle name="Note 3 3 6 3 4 2" xfId="2787"/>
    <cellStyle name="Note 3 3 6 3 4 2 2" xfId="22355"/>
    <cellStyle name="Note 3 3 6 3 4 3" xfId="14953"/>
    <cellStyle name="Note 3 3 6 3 5" xfId="4814"/>
    <cellStyle name="Note 3 3 6 3 5 2" xfId="23201"/>
    <cellStyle name="Note 3 3 6 3 6" xfId="16980"/>
    <cellStyle name="Note 3 3 6 4" xfId="2264"/>
    <cellStyle name="Note 3 3 6 4 2" xfId="6520"/>
    <cellStyle name="Note 3 3 6 4 2 2" xfId="13108"/>
    <cellStyle name="Note 3 3 6 4 2 2 2" xfId="27430"/>
    <cellStyle name="Note 3 3 6 4 2 3" xfId="18753"/>
    <cellStyle name="Note 3 3 6 4 3" xfId="3657"/>
    <cellStyle name="Note 3 3 6 4 3 2" xfId="9355"/>
    <cellStyle name="Note 3 3 6 4 3 2 2" xfId="15617"/>
    <cellStyle name="Note 3 3 6 4 3 2 2 2" xfId="29033"/>
    <cellStyle name="Note 3 3 6 4 3 2 3" xfId="20362"/>
    <cellStyle name="Note 3 3 6 4 3 3" xfId="6149"/>
    <cellStyle name="Note 3 3 6 4 3 3 2" xfId="23430"/>
    <cellStyle name="Note 3 3 6 4 3 4" xfId="17180"/>
    <cellStyle name="Note 3 3 6 4 4" xfId="3025"/>
    <cellStyle name="Note 3 3 6 4 4 2" xfId="22413"/>
    <cellStyle name="Note 3 3 6 4 5" xfId="15305"/>
    <cellStyle name="Note 3 3 6 5" xfId="2265"/>
    <cellStyle name="Note 3 3 6 5 2" xfId="7719"/>
    <cellStyle name="Note 3 3 6 5 2 2" xfId="10333"/>
    <cellStyle name="Note 3 3 6 5 2 2 2" xfId="16595"/>
    <cellStyle name="Note 3 3 6 5 2 2 2 2" xfId="30011"/>
    <cellStyle name="Note 3 3 6 5 2 2 3" xfId="21340"/>
    <cellStyle name="Note 3 3 6 5 2 3" xfId="14323"/>
    <cellStyle name="Note 3 3 6 5 2 3 2" xfId="28645"/>
    <cellStyle name="Note 3 3 6 5 2 4" xfId="19968"/>
    <cellStyle name="Note 3 3 6 5 3" xfId="12744"/>
    <cellStyle name="Note 3 3 6 5 3 2" xfId="27066"/>
    <cellStyle name="Note 3 3 6 5 4" xfId="18389"/>
    <cellStyle name="Note 3 3 6 6" xfId="5047"/>
    <cellStyle name="Note 3 3 6 6 2" xfId="11594"/>
    <cellStyle name="Note 3 3 6 6 2 2" xfId="25916"/>
    <cellStyle name="Note 3 3 6 6 3" xfId="6509"/>
    <cellStyle name="Note 3 3 6 7" xfId="4823"/>
    <cellStyle name="Note 3 3 6 7 2" xfId="23204"/>
    <cellStyle name="Note 3 3 6 8" xfId="6665"/>
    <cellStyle name="Note 3 3 7" xfId="2266"/>
    <cellStyle name="Note 3 3 7 2" xfId="2267"/>
    <cellStyle name="Note 3 3 7 2 2" xfId="2268"/>
    <cellStyle name="Note 3 3 7 2 2 2" xfId="6368"/>
    <cellStyle name="Note 3 3 7 2 2 2 2" xfId="12951"/>
    <cellStyle name="Note 3 3 7 2 2 2 2 2" xfId="27273"/>
    <cellStyle name="Note 3 3 7 2 2 2 3" xfId="18596"/>
    <cellStyle name="Note 3 3 7 2 2 3" xfId="7869"/>
    <cellStyle name="Note 3 3 7 2 2 3 2" xfId="10483"/>
    <cellStyle name="Note 3 3 7 2 2 3 2 2" xfId="16745"/>
    <cellStyle name="Note 3 3 7 2 2 3 2 2 2" xfId="30161"/>
    <cellStyle name="Note 3 3 7 2 2 3 2 3" xfId="21490"/>
    <cellStyle name="Note 3 3 7 2 2 3 3" xfId="14473"/>
    <cellStyle name="Note 3 3 7 2 2 3 3 2" xfId="28795"/>
    <cellStyle name="Note 3 3 7 2 2 3 4" xfId="20118"/>
    <cellStyle name="Note 3 3 7 2 2 4" xfId="4166"/>
    <cellStyle name="Note 3 3 7 2 2 4 2" xfId="22792"/>
    <cellStyle name="Note 3 3 7 2 2 5" xfId="14690"/>
    <cellStyle name="Note 3 3 7 2 3" xfId="2269"/>
    <cellStyle name="Note 3 3 7 2 3 2" xfId="7498"/>
    <cellStyle name="Note 3 3 7 2 3 2 2" xfId="10112"/>
    <cellStyle name="Note 3 3 7 2 3 2 2 2" xfId="16374"/>
    <cellStyle name="Note 3 3 7 2 3 2 2 2 2" xfId="29790"/>
    <cellStyle name="Note 3 3 7 2 3 2 2 3" xfId="21119"/>
    <cellStyle name="Note 3 3 7 2 3 2 3" xfId="14102"/>
    <cellStyle name="Note 3 3 7 2 3 2 3 2" xfId="28424"/>
    <cellStyle name="Note 3 3 7 2 3 2 4" xfId="19747"/>
    <cellStyle name="Note 3 3 7 2 3 3" xfId="13190"/>
    <cellStyle name="Note 3 3 7 2 3 3 2" xfId="27512"/>
    <cellStyle name="Note 3 3 7 2 3 4" xfId="18835"/>
    <cellStyle name="Note 3 3 7 2 4" xfId="5627"/>
    <cellStyle name="Note 3 3 7 2 4 2" xfId="12180"/>
    <cellStyle name="Note 3 3 7 2 4 2 2" xfId="26502"/>
    <cellStyle name="Note 3 3 7 2 4 3" xfId="17825"/>
    <cellStyle name="Note 3 3 7 2 5" xfId="5211"/>
    <cellStyle name="Note 3 3 7 2 5 2" xfId="23336"/>
    <cellStyle name="Note 3 3 7 2 6" xfId="14891"/>
    <cellStyle name="Note 3 3 7 3" xfId="2270"/>
    <cellStyle name="Note 3 3 7 3 2" xfId="5939"/>
    <cellStyle name="Note 3 3 7 3 2 2" xfId="12496"/>
    <cellStyle name="Note 3 3 7 3 2 2 2" xfId="26818"/>
    <cellStyle name="Note 3 3 7 3 2 3" xfId="18141"/>
    <cellStyle name="Note 3 3 7 3 3" xfId="7695"/>
    <cellStyle name="Note 3 3 7 3 3 2" xfId="10309"/>
    <cellStyle name="Note 3 3 7 3 3 2 2" xfId="16571"/>
    <cellStyle name="Note 3 3 7 3 3 2 2 2" xfId="29987"/>
    <cellStyle name="Note 3 3 7 3 3 2 3" xfId="21316"/>
    <cellStyle name="Note 3 3 7 3 3 3" xfId="14299"/>
    <cellStyle name="Note 3 3 7 3 3 3 2" xfId="28621"/>
    <cellStyle name="Note 3 3 7 3 3 4" xfId="19944"/>
    <cellStyle name="Note 3 3 7 3 4" xfId="6709"/>
    <cellStyle name="Note 3 3 7 3 4 2" xfId="23665"/>
    <cellStyle name="Note 3 3 7 3 5" xfId="15357"/>
    <cellStyle name="Note 3 3 7 4" xfId="2271"/>
    <cellStyle name="Note 3 3 7 4 2" xfId="7058"/>
    <cellStyle name="Note 3 3 7 4 2 2" xfId="9672"/>
    <cellStyle name="Note 3 3 7 4 2 2 2" xfId="15934"/>
    <cellStyle name="Note 3 3 7 4 2 2 2 2" xfId="29350"/>
    <cellStyle name="Note 3 3 7 4 2 2 3" xfId="20679"/>
    <cellStyle name="Note 3 3 7 4 2 3" xfId="13662"/>
    <cellStyle name="Note 3 3 7 4 2 3 2" xfId="27984"/>
    <cellStyle name="Note 3 3 7 4 2 4" xfId="19307"/>
    <cellStyle name="Note 3 3 7 4 3" xfId="11969"/>
    <cellStyle name="Note 3 3 7 4 3 2" xfId="26291"/>
    <cellStyle name="Note 3 3 7 4 4" xfId="17614"/>
    <cellStyle name="Note 3 3 7 5" xfId="5208"/>
    <cellStyle name="Note 3 3 7 5 2" xfId="11757"/>
    <cellStyle name="Note 3 3 7 5 2 2" xfId="26079"/>
    <cellStyle name="Note 3 3 7 5 3" xfId="17402"/>
    <cellStyle name="Note 3 3 7 6" xfId="6746"/>
    <cellStyle name="Note 3 3 7 6 2" xfId="23694"/>
    <cellStyle name="Note 3 3 7 7" xfId="15560"/>
    <cellStyle name="Note 3 3 8" xfId="2272"/>
    <cellStyle name="Note 3 3 8 2" xfId="2273"/>
    <cellStyle name="Note 3 3 8 2 2" xfId="4906"/>
    <cellStyle name="Note 3 3 8 2 2 2" xfId="11443"/>
    <cellStyle name="Note 3 3 8 2 2 2 2" xfId="25765"/>
    <cellStyle name="Note 3 3 8 2 2 3" xfId="15547"/>
    <cellStyle name="Note 3 3 8 2 3" xfId="8070"/>
    <cellStyle name="Note 3 3 8 2 3 2" xfId="10684"/>
    <cellStyle name="Note 3 3 8 2 3 2 2" xfId="16946"/>
    <cellStyle name="Note 3 3 8 2 3 2 2 2" xfId="30362"/>
    <cellStyle name="Note 3 3 8 2 3 2 3" xfId="21691"/>
    <cellStyle name="Note 3 3 8 2 3 3" xfId="14674"/>
    <cellStyle name="Note 3 3 8 2 3 3 2" xfId="28996"/>
    <cellStyle name="Note 3 3 8 2 3 4" xfId="20319"/>
    <cellStyle name="Note 3 3 8 2 4" xfId="4776"/>
    <cellStyle name="Note 3 3 8 2 4 2" xfId="23182"/>
    <cellStyle name="Note 3 3 8 2 5" xfId="4529"/>
    <cellStyle name="Note 3 3 8 3" xfId="2274"/>
    <cellStyle name="Note 3 3 8 3 2" xfId="7198"/>
    <cellStyle name="Note 3 3 8 3 2 2" xfId="9812"/>
    <cellStyle name="Note 3 3 8 3 2 2 2" xfId="16074"/>
    <cellStyle name="Note 3 3 8 3 2 2 2 2" xfId="29490"/>
    <cellStyle name="Note 3 3 8 3 2 2 3" xfId="20819"/>
    <cellStyle name="Note 3 3 8 3 2 3" xfId="13802"/>
    <cellStyle name="Note 3 3 8 3 2 3 2" xfId="28124"/>
    <cellStyle name="Note 3 3 8 3 2 4" xfId="19447"/>
    <cellStyle name="Note 3 3 8 3 3" xfId="12573"/>
    <cellStyle name="Note 3 3 8 3 3 2" xfId="26895"/>
    <cellStyle name="Note 3 3 8 3 4" xfId="18218"/>
    <cellStyle name="Note 3 3 8 4" xfId="5160"/>
    <cellStyle name="Note 3 3 8 4 2" xfId="11709"/>
    <cellStyle name="Note 3 3 8 4 2 2" xfId="26031"/>
    <cellStyle name="Note 3 3 8 4 3" xfId="4655"/>
    <cellStyle name="Note 3 3 8 5" xfId="4010"/>
    <cellStyle name="Note 3 3 8 5 2" xfId="22699"/>
    <cellStyle name="Note 3 3 8 6" xfId="14706"/>
    <cellStyle name="Note 3 3 9" xfId="2275"/>
    <cellStyle name="Note 3 3 9 2" xfId="5867"/>
    <cellStyle name="Note 3 3 9 2 2" xfId="12420"/>
    <cellStyle name="Note 3 3 9 2 2 2" xfId="26742"/>
    <cellStyle name="Note 3 3 9 2 3" xfId="18065"/>
    <cellStyle name="Note 3 3 9 3" xfId="7520"/>
    <cellStyle name="Note 3 3 9 3 2" xfId="10134"/>
    <cellStyle name="Note 3 3 9 3 2 2" xfId="16396"/>
    <cellStyle name="Note 3 3 9 3 2 2 2" xfId="29812"/>
    <cellStyle name="Note 3 3 9 3 2 3" xfId="21141"/>
    <cellStyle name="Note 3 3 9 3 3" xfId="14124"/>
    <cellStyle name="Note 3 3 9 3 3 2" xfId="28446"/>
    <cellStyle name="Note 3 3 9 3 4" xfId="19769"/>
    <cellStyle name="Note 3 3 9 4" xfId="4376"/>
    <cellStyle name="Note 3 3 9 4 2" xfId="22915"/>
    <cellStyle name="Note 3 3 9 5" xfId="4544"/>
    <cellStyle name="Note 3 4" xfId="2276"/>
    <cellStyle name="Note 3 4 2" xfId="6446"/>
    <cellStyle name="Note 3 4 2 2" xfId="13029"/>
    <cellStyle name="Note 3 4 2 2 2" xfId="27351"/>
    <cellStyle name="Note 3 4 2 3" xfId="18674"/>
    <cellStyle name="Note 3 4 3" xfId="7266"/>
    <cellStyle name="Note 3 4 3 2" xfId="9880"/>
    <cellStyle name="Note 3 4 3 2 2" xfId="16142"/>
    <cellStyle name="Note 3 4 3 2 2 2" xfId="29558"/>
    <cellStyle name="Note 3 4 3 2 3" xfId="20887"/>
    <cellStyle name="Note 3 4 3 3" xfId="13870"/>
    <cellStyle name="Note 3 4 3 3 2" xfId="28192"/>
    <cellStyle name="Note 3 4 3 4" xfId="19515"/>
    <cellStyle name="Note 3 4 4" xfId="4742"/>
    <cellStyle name="Note 3 4 4 2" xfId="23164"/>
    <cellStyle name="Note 3 4 5" xfId="17048"/>
    <cellStyle name="Note 3 5" xfId="4881"/>
    <cellStyle name="Note 3 5 2" xfId="11416"/>
    <cellStyle name="Note 3 5 2 2" xfId="25738"/>
    <cellStyle name="Note 3 5 3" xfId="15446"/>
    <cellStyle name="Note 3 6" xfId="6599"/>
    <cellStyle name="Note 3 6 2" xfId="23595"/>
    <cellStyle name="Note 3 7" xfId="15579"/>
    <cellStyle name="Note 3 8" xfId="21697"/>
    <cellStyle name="Note 3 9" xfId="30366"/>
    <cellStyle name="Output 2" xfId="2277"/>
    <cellStyle name="Output 2 2" xfId="2278"/>
    <cellStyle name="Output 2 2 10" xfId="2279"/>
    <cellStyle name="Output 2 2 10 2" xfId="3901"/>
    <cellStyle name="Output 2 2 10 2 2" xfId="9391"/>
    <cellStyle name="Output 2 2 10 2 2 2" xfId="15653"/>
    <cellStyle name="Output 2 2 10 2 2 2 2" xfId="29069"/>
    <cellStyle name="Output 2 2 10 2 2 3" xfId="20398"/>
    <cellStyle name="Output 2 2 10 2 3" xfId="3278"/>
    <cellStyle name="Output 2 2 10 2 3 2" xfId="22458"/>
    <cellStyle name="Output 2 2 10 2 4" xfId="6639"/>
    <cellStyle name="Output 2 2 10 3" xfId="12073"/>
    <cellStyle name="Output 2 2 10 3 2" xfId="26395"/>
    <cellStyle name="Output 2 2 10 4" xfId="17718"/>
    <cellStyle name="Output 2 2 11" xfId="4880"/>
    <cellStyle name="Output 2 2 11 2" xfId="11415"/>
    <cellStyle name="Output 2 2 11 2 2" xfId="25737"/>
    <cellStyle name="Output 2 2 11 3" xfId="14774"/>
    <cellStyle name="Output 2 2 12" xfId="3626"/>
    <cellStyle name="Output 2 2 12 2" xfId="22493"/>
    <cellStyle name="Output 2 2 13" xfId="3681"/>
    <cellStyle name="Output 2 2 2" xfId="2280"/>
    <cellStyle name="Output 2 2 2 10" xfId="5165"/>
    <cellStyle name="Output 2 2 2 10 2" xfId="11714"/>
    <cellStyle name="Output 2 2 2 10 2 2" xfId="26036"/>
    <cellStyle name="Output 2 2 2 10 3" xfId="3849"/>
    <cellStyle name="Output 2 2 2 11" xfId="4304"/>
    <cellStyle name="Output 2 2 2 11 2" xfId="22881"/>
    <cellStyle name="Output 2 2 2 12" xfId="17072"/>
    <cellStyle name="Output 2 2 2 2" xfId="2281"/>
    <cellStyle name="Output 2 2 2 2 10" xfId="4628"/>
    <cellStyle name="Output 2 2 2 2 10 2" xfId="23074"/>
    <cellStyle name="Output 2 2 2 2 11" xfId="14942"/>
    <cellStyle name="Output 2 2 2 2 2" xfId="2282"/>
    <cellStyle name="Output 2 2 2 2 2 2" xfId="2283"/>
    <cellStyle name="Output 2 2 2 2 2 2 2" xfId="2284"/>
    <cellStyle name="Output 2 2 2 2 2 2 2 2" xfId="6941"/>
    <cellStyle name="Output 2 2 2 2 2 2 2 2 2" xfId="13545"/>
    <cellStyle name="Output 2 2 2 2 2 2 2 2 2 2" xfId="27867"/>
    <cellStyle name="Output 2 2 2 2 2 2 2 2 3" xfId="19190"/>
    <cellStyle name="Output 2 2 2 2 2 2 2 3" xfId="7536"/>
    <cellStyle name="Output 2 2 2 2 2 2 2 3 2" xfId="10150"/>
    <cellStyle name="Output 2 2 2 2 2 2 2 3 2 2" xfId="16412"/>
    <cellStyle name="Output 2 2 2 2 2 2 2 3 2 2 2" xfId="29828"/>
    <cellStyle name="Output 2 2 2 2 2 2 2 3 2 3" xfId="21157"/>
    <cellStyle name="Output 2 2 2 2 2 2 2 3 3" xfId="14140"/>
    <cellStyle name="Output 2 2 2 2 2 2 2 3 3 2" xfId="28462"/>
    <cellStyle name="Output 2 2 2 2 2 2 2 3 4" xfId="19785"/>
    <cellStyle name="Output 2 2 2 2 2 2 2 4" xfId="11434"/>
    <cellStyle name="Output 2 2 2 2 2 2 2 4 2" xfId="25756"/>
    <cellStyle name="Output 2 2 2 2 2 2 2 5" xfId="14753"/>
    <cellStyle name="Output 2 2 2 2 2 2 3" xfId="2285"/>
    <cellStyle name="Output 2 2 2 2 2 2 3 2" xfId="7270"/>
    <cellStyle name="Output 2 2 2 2 2 2 3 2 2" xfId="9884"/>
    <cellStyle name="Output 2 2 2 2 2 2 3 2 2 2" xfId="16146"/>
    <cellStyle name="Output 2 2 2 2 2 2 3 2 2 2 2" xfId="29562"/>
    <cellStyle name="Output 2 2 2 2 2 2 3 2 2 3" xfId="20891"/>
    <cellStyle name="Output 2 2 2 2 2 2 3 2 3" xfId="13874"/>
    <cellStyle name="Output 2 2 2 2 2 2 3 2 3 2" xfId="28196"/>
    <cellStyle name="Output 2 2 2 2 2 2 3 2 4" xfId="19519"/>
    <cellStyle name="Output 2 2 2 2 2 2 3 3" xfId="13294"/>
    <cellStyle name="Output 2 2 2 2 2 2 3 3 2" xfId="27616"/>
    <cellStyle name="Output 2 2 2 2 2 2 3 4" xfId="18939"/>
    <cellStyle name="Output 2 2 2 2 2 2 4" xfId="5744"/>
    <cellStyle name="Output 2 2 2 2 2 2 4 2" xfId="12297"/>
    <cellStyle name="Output 2 2 2 2 2 2 4 2 2" xfId="26619"/>
    <cellStyle name="Output 2 2 2 2 2 2 4 3" xfId="17942"/>
    <cellStyle name="Output 2 2 2 2 2 2 5" xfId="4158"/>
    <cellStyle name="Output 2 2 2 2 2 2 5 2" xfId="22789"/>
    <cellStyle name="Output 2 2 2 2 2 2 6" xfId="6601"/>
    <cellStyle name="Output 2 2 2 2 2 3" xfId="2286"/>
    <cellStyle name="Output 2 2 2 2 2 3 2" xfId="2287"/>
    <cellStyle name="Output 2 2 2 2 2 3 2 2" xfId="6904"/>
    <cellStyle name="Output 2 2 2 2 2 3 2 2 2" xfId="13508"/>
    <cellStyle name="Output 2 2 2 2 2 3 2 2 2 2" xfId="27830"/>
    <cellStyle name="Output 2 2 2 2 2 3 2 2 3" xfId="19153"/>
    <cellStyle name="Output 2 2 2 2 2 3 2 3" xfId="7329"/>
    <cellStyle name="Output 2 2 2 2 2 3 2 3 2" xfId="9943"/>
    <cellStyle name="Output 2 2 2 2 2 3 2 3 2 2" xfId="16205"/>
    <cellStyle name="Output 2 2 2 2 2 3 2 3 2 2 2" xfId="29621"/>
    <cellStyle name="Output 2 2 2 2 2 3 2 3 2 3" xfId="20950"/>
    <cellStyle name="Output 2 2 2 2 2 3 2 3 3" xfId="13933"/>
    <cellStyle name="Output 2 2 2 2 2 3 2 3 3 2" xfId="28255"/>
    <cellStyle name="Output 2 2 2 2 2 3 2 3 4" xfId="19578"/>
    <cellStyle name="Output 2 2 2 2 2 3 2 4" xfId="11386"/>
    <cellStyle name="Output 2 2 2 2 2 3 2 4 2" xfId="25708"/>
    <cellStyle name="Output 2 2 2 2 2 3 2 5" xfId="15139"/>
    <cellStyle name="Output 2 2 2 2 2 3 3" xfId="2288"/>
    <cellStyle name="Output 2 2 2 2 2 3 3 2" xfId="5344"/>
    <cellStyle name="Output 2 2 2 2 2 3 3 2 2" xfId="9653"/>
    <cellStyle name="Output 2 2 2 2 2 3 3 2 2 2" xfId="15915"/>
    <cellStyle name="Output 2 2 2 2 2 3 3 2 2 2 2" xfId="29331"/>
    <cellStyle name="Output 2 2 2 2 2 3 3 2 2 3" xfId="20660"/>
    <cellStyle name="Output 2 2 2 2 2 3 3 2 3" xfId="11894"/>
    <cellStyle name="Output 2 2 2 2 2 3 3 2 3 2" xfId="26216"/>
    <cellStyle name="Output 2 2 2 2 2 3 3 2 4" xfId="17539"/>
    <cellStyle name="Output 2 2 2 2 2 3 3 3" xfId="13157"/>
    <cellStyle name="Output 2 2 2 2 2 3 3 3 2" xfId="27479"/>
    <cellStyle name="Output 2 2 2 2 2 3 3 4" xfId="18802"/>
    <cellStyle name="Output 2 2 2 2 2 3 4" xfId="5564"/>
    <cellStyle name="Output 2 2 2 2 2 3 4 2" xfId="12115"/>
    <cellStyle name="Output 2 2 2 2 2 3 4 2 2" xfId="26437"/>
    <cellStyle name="Output 2 2 2 2 2 3 4 3" xfId="17760"/>
    <cellStyle name="Output 2 2 2 2 2 3 5" xfId="5034"/>
    <cellStyle name="Output 2 2 2 2 2 3 5 2" xfId="23314"/>
    <cellStyle name="Output 2 2 2 2 2 3 6" xfId="16998"/>
    <cellStyle name="Output 2 2 2 2 2 4" xfId="2289"/>
    <cellStyle name="Output 2 2 2 2 2 4 2" xfId="6392"/>
    <cellStyle name="Output 2 2 2 2 2 4 2 2" xfId="12975"/>
    <cellStyle name="Output 2 2 2 2 2 4 2 2 2" xfId="27297"/>
    <cellStyle name="Output 2 2 2 2 2 4 2 3" xfId="18620"/>
    <cellStyle name="Output 2 2 2 2 2 4 3" xfId="5312"/>
    <cellStyle name="Output 2 2 2 2 2 4 3 2" xfId="9621"/>
    <cellStyle name="Output 2 2 2 2 2 4 3 2 2" xfId="15883"/>
    <cellStyle name="Output 2 2 2 2 2 4 3 2 2 2" xfId="29299"/>
    <cellStyle name="Output 2 2 2 2 2 4 3 2 3" xfId="20628"/>
    <cellStyle name="Output 2 2 2 2 2 4 3 3" xfId="11862"/>
    <cellStyle name="Output 2 2 2 2 2 4 3 3 2" xfId="26184"/>
    <cellStyle name="Output 2 2 2 2 2 4 3 4" xfId="17507"/>
    <cellStyle name="Output 2 2 2 2 2 4 4" xfId="4641"/>
    <cellStyle name="Output 2 2 2 2 2 4 4 2" xfId="23085"/>
    <cellStyle name="Output 2 2 2 2 2 4 5" xfId="15089"/>
    <cellStyle name="Output 2 2 2 2 2 5" xfId="2290"/>
    <cellStyle name="Output 2 2 2 2 2 5 2" xfId="5250"/>
    <cellStyle name="Output 2 2 2 2 2 5 2 2" xfId="9559"/>
    <cellStyle name="Output 2 2 2 2 2 5 2 2 2" xfId="15821"/>
    <cellStyle name="Output 2 2 2 2 2 5 2 2 2 2" xfId="29237"/>
    <cellStyle name="Output 2 2 2 2 2 5 2 2 3" xfId="20566"/>
    <cellStyle name="Output 2 2 2 2 2 5 2 3" xfId="11800"/>
    <cellStyle name="Output 2 2 2 2 2 5 2 3 2" xfId="26122"/>
    <cellStyle name="Output 2 2 2 2 2 5 2 4" xfId="17445"/>
    <cellStyle name="Output 2 2 2 2 2 5 3" xfId="12870"/>
    <cellStyle name="Output 2 2 2 2 2 5 3 2" xfId="27192"/>
    <cellStyle name="Output 2 2 2 2 2 5 4" xfId="18515"/>
    <cellStyle name="Output 2 2 2 2 2 6" xfId="5488"/>
    <cellStyle name="Output 2 2 2 2 2 6 2" xfId="12039"/>
    <cellStyle name="Output 2 2 2 2 2 6 2 2" xfId="26361"/>
    <cellStyle name="Output 2 2 2 2 2 6 3" xfId="17684"/>
    <cellStyle name="Output 2 2 2 2 2 7" xfId="4698"/>
    <cellStyle name="Output 2 2 2 2 2 7 2" xfId="23133"/>
    <cellStyle name="Output 2 2 2 2 2 8" xfId="15555"/>
    <cellStyle name="Output 2 2 2 2 3" xfId="2291"/>
    <cellStyle name="Output 2 2 2 2 3 2" xfId="2292"/>
    <cellStyle name="Output 2 2 2 2 3 2 2" xfId="2293"/>
    <cellStyle name="Output 2 2 2 2 3 2 2 2" xfId="6422"/>
    <cellStyle name="Output 2 2 2 2 3 2 2 2 2" xfId="13005"/>
    <cellStyle name="Output 2 2 2 2 3 2 2 2 2 2" xfId="27327"/>
    <cellStyle name="Output 2 2 2 2 3 2 2 2 3" xfId="18650"/>
    <cellStyle name="Output 2 2 2 2 3 2 2 3" xfId="4412"/>
    <cellStyle name="Output 2 2 2 2 3 2 2 3 2" xfId="9463"/>
    <cellStyle name="Output 2 2 2 2 3 2 2 3 2 2" xfId="15725"/>
    <cellStyle name="Output 2 2 2 2 3 2 2 3 2 2 2" xfId="29141"/>
    <cellStyle name="Output 2 2 2 2 3 2 2 3 2 3" xfId="20470"/>
    <cellStyle name="Output 2 2 2 2 3 2 2 3 3" xfId="6211"/>
    <cellStyle name="Output 2 2 2 2 3 2 2 3 3 2" xfId="23460"/>
    <cellStyle name="Output 2 2 2 2 3 2 2 3 4" xfId="15140"/>
    <cellStyle name="Output 2 2 2 2 3 2 2 4" xfId="6621"/>
    <cellStyle name="Output 2 2 2 2 3 2 2 4 2" xfId="23611"/>
    <cellStyle name="Output 2 2 2 2 3 2 2 5" xfId="17175"/>
    <cellStyle name="Output 2 2 2 2 3 2 3" xfId="2294"/>
    <cellStyle name="Output 2 2 2 2 3 2 3 2" xfId="7136"/>
    <cellStyle name="Output 2 2 2 2 3 2 3 2 2" xfId="9750"/>
    <cellStyle name="Output 2 2 2 2 3 2 3 2 2 2" xfId="16012"/>
    <cellStyle name="Output 2 2 2 2 3 2 3 2 2 2 2" xfId="29428"/>
    <cellStyle name="Output 2 2 2 2 3 2 3 2 2 3" xfId="20757"/>
    <cellStyle name="Output 2 2 2 2 3 2 3 2 3" xfId="13740"/>
    <cellStyle name="Output 2 2 2 2 3 2 3 2 3 2" xfId="28062"/>
    <cellStyle name="Output 2 2 2 2 3 2 3 2 4" xfId="19385"/>
    <cellStyle name="Output 2 2 2 2 3 2 3 3" xfId="13330"/>
    <cellStyle name="Output 2 2 2 2 3 2 3 3 2" xfId="27652"/>
    <cellStyle name="Output 2 2 2 2 3 2 3 4" xfId="18975"/>
    <cellStyle name="Output 2 2 2 2 3 2 4" xfId="5780"/>
    <cellStyle name="Output 2 2 2 2 3 2 4 2" xfId="12333"/>
    <cellStyle name="Output 2 2 2 2 3 2 4 2 2" xfId="26655"/>
    <cellStyle name="Output 2 2 2 2 3 2 4 3" xfId="17978"/>
    <cellStyle name="Output 2 2 2 2 3 2 5" xfId="4068"/>
    <cellStyle name="Output 2 2 2 2 3 2 5 2" xfId="22740"/>
    <cellStyle name="Output 2 2 2 2 3 2 6" xfId="6688"/>
    <cellStyle name="Output 2 2 2 2 3 3" xfId="2295"/>
    <cellStyle name="Output 2 2 2 2 3 3 2" xfId="2296"/>
    <cellStyle name="Output 2 2 2 2 3 3 2 2" xfId="6908"/>
    <cellStyle name="Output 2 2 2 2 3 3 2 2 2" xfId="13512"/>
    <cellStyle name="Output 2 2 2 2 3 3 2 2 2 2" xfId="27834"/>
    <cellStyle name="Output 2 2 2 2 3 3 2 2 3" xfId="19157"/>
    <cellStyle name="Output 2 2 2 2 3 3 2 3" xfId="7201"/>
    <cellStyle name="Output 2 2 2 2 3 3 2 3 2" xfId="9815"/>
    <cellStyle name="Output 2 2 2 2 3 3 2 3 2 2" xfId="16077"/>
    <cellStyle name="Output 2 2 2 2 3 3 2 3 2 2 2" xfId="29493"/>
    <cellStyle name="Output 2 2 2 2 3 3 2 3 2 3" xfId="20822"/>
    <cellStyle name="Output 2 2 2 2 3 3 2 3 3" xfId="13805"/>
    <cellStyle name="Output 2 2 2 2 3 3 2 3 3 2" xfId="28127"/>
    <cellStyle name="Output 2 2 2 2 3 3 2 3 4" xfId="19450"/>
    <cellStyle name="Output 2 2 2 2 3 3 2 4" xfId="11394"/>
    <cellStyle name="Output 2 2 2 2 3 3 2 4 2" xfId="25716"/>
    <cellStyle name="Output 2 2 2 2 3 3 2 5" xfId="17211"/>
    <cellStyle name="Output 2 2 2 2 3 3 3" xfId="2297"/>
    <cellStyle name="Output 2 2 2 2 3 3 3 2" xfId="7406"/>
    <cellStyle name="Output 2 2 2 2 3 3 3 2 2" xfId="10020"/>
    <cellStyle name="Output 2 2 2 2 3 3 3 2 2 2" xfId="16282"/>
    <cellStyle name="Output 2 2 2 2 3 3 3 2 2 2 2" xfId="29698"/>
    <cellStyle name="Output 2 2 2 2 3 3 3 2 2 3" xfId="21027"/>
    <cellStyle name="Output 2 2 2 2 3 3 3 2 3" xfId="14010"/>
    <cellStyle name="Output 2 2 2 2 3 3 3 2 3 2" xfId="28332"/>
    <cellStyle name="Output 2 2 2 2 3 3 3 2 4" xfId="19655"/>
    <cellStyle name="Output 2 2 2 2 3 3 3 3" xfId="12508"/>
    <cellStyle name="Output 2 2 2 2 3 3 3 3 2" xfId="26830"/>
    <cellStyle name="Output 2 2 2 2 3 3 3 4" xfId="18153"/>
    <cellStyle name="Output 2 2 2 2 3 3 4" xfId="5095"/>
    <cellStyle name="Output 2 2 2 2 3 3 4 2" xfId="11642"/>
    <cellStyle name="Output 2 2 2 2 3 3 4 2 2" xfId="25964"/>
    <cellStyle name="Output 2 2 2 2 3 3 4 3" xfId="15471"/>
    <cellStyle name="Output 2 2 2 2 3 3 5" xfId="6676"/>
    <cellStyle name="Output 2 2 2 2 3 3 5 2" xfId="23647"/>
    <cellStyle name="Output 2 2 2 2 3 3 6" xfId="4525"/>
    <cellStyle name="Output 2 2 2 2 3 4" xfId="2298"/>
    <cellStyle name="Output 2 2 2 2 3 4 2" xfId="6135"/>
    <cellStyle name="Output 2 2 2 2 3 4 2 2" xfId="12704"/>
    <cellStyle name="Output 2 2 2 2 3 4 2 2 2" xfId="27026"/>
    <cellStyle name="Output 2 2 2 2 3 4 2 3" xfId="18349"/>
    <cellStyle name="Output 2 2 2 2 3 4 3" xfId="7837"/>
    <cellStyle name="Output 2 2 2 2 3 4 3 2" xfId="10451"/>
    <cellStyle name="Output 2 2 2 2 3 4 3 2 2" xfId="16713"/>
    <cellStyle name="Output 2 2 2 2 3 4 3 2 2 2" xfId="30129"/>
    <cellStyle name="Output 2 2 2 2 3 4 3 2 3" xfId="21458"/>
    <cellStyle name="Output 2 2 2 2 3 4 3 3" xfId="14441"/>
    <cellStyle name="Output 2 2 2 2 3 4 3 3 2" xfId="28763"/>
    <cellStyle name="Output 2 2 2 2 3 4 3 4" xfId="20086"/>
    <cellStyle name="Output 2 2 2 2 3 4 4" xfId="4385"/>
    <cellStyle name="Output 2 2 2 2 3 4 4 2" xfId="22919"/>
    <cellStyle name="Output 2 2 2 2 3 4 5" xfId="14980"/>
    <cellStyle name="Output 2 2 2 2 3 5" xfId="2299"/>
    <cellStyle name="Output 2 2 2 2 3 5 2" xfId="7612"/>
    <cellStyle name="Output 2 2 2 2 3 5 2 2" xfId="10226"/>
    <cellStyle name="Output 2 2 2 2 3 5 2 2 2" xfId="16488"/>
    <cellStyle name="Output 2 2 2 2 3 5 2 2 2 2" xfId="29904"/>
    <cellStyle name="Output 2 2 2 2 3 5 2 2 3" xfId="21233"/>
    <cellStyle name="Output 2 2 2 2 3 5 2 3" xfId="14216"/>
    <cellStyle name="Output 2 2 2 2 3 5 2 3 2" xfId="28538"/>
    <cellStyle name="Output 2 2 2 2 3 5 2 4" xfId="19861"/>
    <cellStyle name="Output 2 2 2 2 3 5 3" xfId="12906"/>
    <cellStyle name="Output 2 2 2 2 3 5 3 2" xfId="27228"/>
    <cellStyle name="Output 2 2 2 2 3 5 4" xfId="18551"/>
    <cellStyle name="Output 2 2 2 2 3 6" xfId="5530"/>
    <cellStyle name="Output 2 2 2 2 3 6 2" xfId="12081"/>
    <cellStyle name="Output 2 2 2 2 3 6 2 2" xfId="26403"/>
    <cellStyle name="Output 2 2 2 2 3 6 3" xfId="17726"/>
    <cellStyle name="Output 2 2 2 2 3 7" xfId="6662"/>
    <cellStyle name="Output 2 2 2 2 3 7 2" xfId="23638"/>
    <cellStyle name="Output 2 2 2 2 3 8" xfId="16950"/>
    <cellStyle name="Output 2 2 2 2 4" xfId="2300"/>
    <cellStyle name="Output 2 2 2 2 4 2" xfId="2301"/>
    <cellStyle name="Output 2 2 2 2 4 2 2" xfId="2302"/>
    <cellStyle name="Output 2 2 2 2 4 2 2 2" xfId="5993"/>
    <cellStyle name="Output 2 2 2 2 4 2 2 2 2" xfId="12551"/>
    <cellStyle name="Output 2 2 2 2 4 2 2 2 2 2" xfId="26873"/>
    <cellStyle name="Output 2 2 2 2 4 2 2 2 3" xfId="18196"/>
    <cellStyle name="Output 2 2 2 2 4 2 2 3" xfId="7671"/>
    <cellStyle name="Output 2 2 2 2 4 2 2 3 2" xfId="10285"/>
    <cellStyle name="Output 2 2 2 2 4 2 2 3 2 2" xfId="16547"/>
    <cellStyle name="Output 2 2 2 2 4 2 2 3 2 2 2" xfId="29963"/>
    <cellStyle name="Output 2 2 2 2 4 2 2 3 2 3" xfId="21292"/>
    <cellStyle name="Output 2 2 2 2 4 2 2 3 3" xfId="14275"/>
    <cellStyle name="Output 2 2 2 2 4 2 2 3 3 2" xfId="28597"/>
    <cellStyle name="Output 2 2 2 2 4 2 2 3 4" xfId="19920"/>
    <cellStyle name="Output 2 2 2 2 4 2 2 4" xfId="6356"/>
    <cellStyle name="Output 2 2 2 2 4 2 2 4 2" xfId="23540"/>
    <cellStyle name="Output 2 2 2 2 4 2 2 5" xfId="17137"/>
    <cellStyle name="Output 2 2 2 2 4 2 3" xfId="2303"/>
    <cellStyle name="Output 2 2 2 2 4 2 3 2" xfId="7284"/>
    <cellStyle name="Output 2 2 2 2 4 2 3 2 2" xfId="9898"/>
    <cellStyle name="Output 2 2 2 2 4 2 3 2 2 2" xfId="16160"/>
    <cellStyle name="Output 2 2 2 2 4 2 3 2 2 2 2" xfId="29576"/>
    <cellStyle name="Output 2 2 2 2 4 2 3 2 2 3" xfId="20905"/>
    <cellStyle name="Output 2 2 2 2 4 2 3 2 3" xfId="13888"/>
    <cellStyle name="Output 2 2 2 2 4 2 3 2 3 2" xfId="28210"/>
    <cellStyle name="Output 2 2 2 2 4 2 3 2 4" xfId="19533"/>
    <cellStyle name="Output 2 2 2 2 4 2 3 3" xfId="13267"/>
    <cellStyle name="Output 2 2 2 2 4 2 3 3 2" xfId="27589"/>
    <cellStyle name="Output 2 2 2 2 4 2 3 4" xfId="18912"/>
    <cellStyle name="Output 2 2 2 2 4 2 4" xfId="5713"/>
    <cellStyle name="Output 2 2 2 2 4 2 4 2" xfId="12266"/>
    <cellStyle name="Output 2 2 2 2 4 2 4 2 2" xfId="26588"/>
    <cellStyle name="Output 2 2 2 2 4 2 4 3" xfId="17911"/>
    <cellStyle name="Output 2 2 2 2 4 2 5" xfId="3946"/>
    <cellStyle name="Output 2 2 2 2 4 2 5 2" xfId="22662"/>
    <cellStyle name="Output 2 2 2 2 4 2 6" xfId="6292"/>
    <cellStyle name="Output 2 2 2 2 4 3" xfId="2304"/>
    <cellStyle name="Output 2 2 2 2 4 3 2" xfId="2305"/>
    <cellStyle name="Output 2 2 2 2 4 3 2 2" xfId="6177"/>
    <cellStyle name="Output 2 2 2 2 4 3 2 2 2" xfId="12750"/>
    <cellStyle name="Output 2 2 2 2 4 3 2 2 2 2" xfId="27072"/>
    <cellStyle name="Output 2 2 2 2 4 3 2 2 3" xfId="18395"/>
    <cellStyle name="Output 2 2 2 2 4 3 2 3" xfId="4091"/>
    <cellStyle name="Output 2 2 2 2 4 3 2 3 2" xfId="9422"/>
    <cellStyle name="Output 2 2 2 2 4 3 2 3 2 2" xfId="15684"/>
    <cellStyle name="Output 2 2 2 2 4 3 2 3 2 2 2" xfId="29100"/>
    <cellStyle name="Output 2 2 2 2 4 3 2 3 2 3" xfId="20429"/>
    <cellStyle name="Output 2 2 2 2 4 3 2 3 3" xfId="3181"/>
    <cellStyle name="Output 2 2 2 2 4 3 2 3 3 2" xfId="22427"/>
    <cellStyle name="Output 2 2 2 2 4 3 2 3 4" xfId="15545"/>
    <cellStyle name="Output 2 2 2 2 4 3 2 4" xfId="3973"/>
    <cellStyle name="Output 2 2 2 2 4 3 2 4 2" xfId="22678"/>
    <cellStyle name="Output 2 2 2 2 4 3 2 5" xfId="5121"/>
    <cellStyle name="Output 2 2 2 2 4 3 3" xfId="2306"/>
    <cellStyle name="Output 2 2 2 2 4 3 3 2" xfId="7962"/>
    <cellStyle name="Output 2 2 2 2 4 3 3 2 2" xfId="10576"/>
    <cellStyle name="Output 2 2 2 2 4 3 3 2 2 2" xfId="16838"/>
    <cellStyle name="Output 2 2 2 2 4 3 3 2 2 2 2" xfId="30254"/>
    <cellStyle name="Output 2 2 2 2 4 3 3 2 2 3" xfId="21583"/>
    <cellStyle name="Output 2 2 2 2 4 3 3 2 3" xfId="14566"/>
    <cellStyle name="Output 2 2 2 2 4 3 3 2 3 2" xfId="28888"/>
    <cellStyle name="Output 2 2 2 2 4 3 3 2 4" xfId="20211"/>
    <cellStyle name="Output 2 2 2 2 4 3 3 3" xfId="13428"/>
    <cellStyle name="Output 2 2 2 2 4 3 3 3 2" xfId="27750"/>
    <cellStyle name="Output 2 2 2 2 4 3 3 4" xfId="19073"/>
    <cellStyle name="Output 2 2 2 2 4 3 4" xfId="5903"/>
    <cellStyle name="Output 2 2 2 2 4 3 4 2" xfId="12457"/>
    <cellStyle name="Output 2 2 2 2 4 3 4 2 2" xfId="26779"/>
    <cellStyle name="Output 2 2 2 2 4 3 4 3" xfId="18102"/>
    <cellStyle name="Output 2 2 2 2 4 3 5" xfId="2791"/>
    <cellStyle name="Output 2 2 2 2 4 3 5 2" xfId="22359"/>
    <cellStyle name="Output 2 2 2 2 4 3 6" xfId="17333"/>
    <cellStyle name="Output 2 2 2 2 4 4" xfId="2307"/>
    <cellStyle name="Output 2 2 2 2 4 4 2" xfId="5947"/>
    <cellStyle name="Output 2 2 2 2 4 4 2 2" xfId="12504"/>
    <cellStyle name="Output 2 2 2 2 4 4 2 2 2" xfId="26826"/>
    <cellStyle name="Output 2 2 2 2 4 4 2 3" xfId="18149"/>
    <cellStyle name="Output 2 2 2 2 4 4 3" xfId="7991"/>
    <cellStyle name="Output 2 2 2 2 4 4 3 2" xfId="10605"/>
    <cellStyle name="Output 2 2 2 2 4 4 3 2 2" xfId="16867"/>
    <cellStyle name="Output 2 2 2 2 4 4 3 2 2 2" xfId="30283"/>
    <cellStyle name="Output 2 2 2 2 4 4 3 2 3" xfId="21612"/>
    <cellStyle name="Output 2 2 2 2 4 4 3 3" xfId="14595"/>
    <cellStyle name="Output 2 2 2 2 4 4 3 3 2" xfId="28917"/>
    <cellStyle name="Output 2 2 2 2 4 4 3 4" xfId="20240"/>
    <cellStyle name="Output 2 2 2 2 4 4 4" xfId="4211"/>
    <cellStyle name="Output 2 2 2 2 4 4 4 2" xfId="22825"/>
    <cellStyle name="Output 2 2 2 2 4 4 5" xfId="17100"/>
    <cellStyle name="Output 2 2 2 2 4 5" xfId="2308"/>
    <cellStyle name="Output 2 2 2 2 4 5 2" xfId="7903"/>
    <cellStyle name="Output 2 2 2 2 4 5 2 2" xfId="10517"/>
    <cellStyle name="Output 2 2 2 2 4 5 2 2 2" xfId="16779"/>
    <cellStyle name="Output 2 2 2 2 4 5 2 2 2 2" xfId="30195"/>
    <cellStyle name="Output 2 2 2 2 4 5 2 2 3" xfId="21524"/>
    <cellStyle name="Output 2 2 2 2 4 5 2 3" xfId="14507"/>
    <cellStyle name="Output 2 2 2 2 4 5 2 3 2" xfId="28829"/>
    <cellStyle name="Output 2 2 2 2 4 5 2 4" xfId="20152"/>
    <cellStyle name="Output 2 2 2 2 4 5 3" xfId="12824"/>
    <cellStyle name="Output 2 2 2 2 4 5 3 2" xfId="27146"/>
    <cellStyle name="Output 2 2 2 2 4 5 4" xfId="18469"/>
    <cellStyle name="Output 2 2 2 2 4 6" xfId="5372"/>
    <cellStyle name="Output 2 2 2 2 4 6 2" xfId="11922"/>
    <cellStyle name="Output 2 2 2 2 4 6 2 2" xfId="26244"/>
    <cellStyle name="Output 2 2 2 2 4 6 3" xfId="17567"/>
    <cellStyle name="Output 2 2 2 2 4 7" xfId="3147"/>
    <cellStyle name="Output 2 2 2 2 4 7 2" xfId="22420"/>
    <cellStyle name="Output 2 2 2 2 4 8" xfId="17217"/>
    <cellStyle name="Output 2 2 2 2 5" xfId="2309"/>
    <cellStyle name="Output 2 2 2 2 5 2" xfId="2310"/>
    <cellStyle name="Output 2 2 2 2 5 2 2" xfId="2311"/>
    <cellStyle name="Output 2 2 2 2 5 2 2 2" xfId="6857"/>
    <cellStyle name="Output 2 2 2 2 5 2 2 2 2" xfId="13461"/>
    <cellStyle name="Output 2 2 2 2 5 2 2 2 2 2" xfId="27783"/>
    <cellStyle name="Output 2 2 2 2 5 2 2 2 3" xfId="19106"/>
    <cellStyle name="Output 2 2 2 2 5 2 2 3" xfId="7361"/>
    <cellStyle name="Output 2 2 2 2 5 2 2 3 2" xfId="9975"/>
    <cellStyle name="Output 2 2 2 2 5 2 2 3 2 2" xfId="16237"/>
    <cellStyle name="Output 2 2 2 2 5 2 2 3 2 2 2" xfId="29653"/>
    <cellStyle name="Output 2 2 2 2 5 2 2 3 2 3" xfId="20982"/>
    <cellStyle name="Output 2 2 2 2 5 2 2 3 3" xfId="13965"/>
    <cellStyle name="Output 2 2 2 2 5 2 2 3 3 2" xfId="28287"/>
    <cellStyle name="Output 2 2 2 2 5 2 2 3 4" xfId="19610"/>
    <cellStyle name="Output 2 2 2 2 5 2 2 4" xfId="11315"/>
    <cellStyle name="Output 2 2 2 2 5 2 2 4 2" xfId="25637"/>
    <cellStyle name="Output 2 2 2 2 5 2 2 5" xfId="4664"/>
    <cellStyle name="Output 2 2 2 2 5 2 3" xfId="2312"/>
    <cellStyle name="Output 2 2 2 2 5 2 3 2" xfId="5267"/>
    <cellStyle name="Output 2 2 2 2 5 2 3 2 2" xfId="9576"/>
    <cellStyle name="Output 2 2 2 2 5 2 3 2 2 2" xfId="15838"/>
    <cellStyle name="Output 2 2 2 2 5 2 3 2 2 2 2" xfId="29254"/>
    <cellStyle name="Output 2 2 2 2 5 2 3 2 2 3" xfId="20583"/>
    <cellStyle name="Output 2 2 2 2 5 2 3 2 3" xfId="11817"/>
    <cellStyle name="Output 2 2 2 2 5 2 3 2 3 2" xfId="26139"/>
    <cellStyle name="Output 2 2 2 2 5 2 3 2 4" xfId="17462"/>
    <cellStyle name="Output 2 2 2 2 5 2 3 3" xfId="13393"/>
    <cellStyle name="Output 2 2 2 2 5 2 3 3 2" xfId="27715"/>
    <cellStyle name="Output 2 2 2 2 5 2 3 4" xfId="19038"/>
    <cellStyle name="Output 2 2 2 2 5 2 4" xfId="5857"/>
    <cellStyle name="Output 2 2 2 2 5 2 4 2" xfId="12410"/>
    <cellStyle name="Output 2 2 2 2 5 2 4 2 2" xfId="26732"/>
    <cellStyle name="Output 2 2 2 2 5 2 4 3" xfId="18055"/>
    <cellStyle name="Output 2 2 2 2 5 2 5" xfId="4378"/>
    <cellStyle name="Output 2 2 2 2 5 2 5 2" xfId="22916"/>
    <cellStyle name="Output 2 2 2 2 5 2 6" xfId="15010"/>
    <cellStyle name="Output 2 2 2 2 5 3" xfId="2313"/>
    <cellStyle name="Output 2 2 2 2 5 3 2" xfId="6918"/>
    <cellStyle name="Output 2 2 2 2 5 3 2 2" xfId="13522"/>
    <cellStyle name="Output 2 2 2 2 5 3 2 2 2" xfId="27844"/>
    <cellStyle name="Output 2 2 2 2 5 3 2 3" xfId="19167"/>
    <cellStyle name="Output 2 2 2 2 5 3 3" xfId="7908"/>
    <cellStyle name="Output 2 2 2 2 5 3 3 2" xfId="10522"/>
    <cellStyle name="Output 2 2 2 2 5 3 3 2 2" xfId="16784"/>
    <cellStyle name="Output 2 2 2 2 5 3 3 2 2 2" xfId="30200"/>
    <cellStyle name="Output 2 2 2 2 5 3 3 2 3" xfId="21529"/>
    <cellStyle name="Output 2 2 2 2 5 3 3 3" xfId="14512"/>
    <cellStyle name="Output 2 2 2 2 5 3 3 3 2" xfId="28834"/>
    <cellStyle name="Output 2 2 2 2 5 3 3 4" xfId="20157"/>
    <cellStyle name="Output 2 2 2 2 5 3 4" xfId="11405"/>
    <cellStyle name="Output 2 2 2 2 5 3 4 2" xfId="25727"/>
    <cellStyle name="Output 2 2 2 2 5 3 5" xfId="15224"/>
    <cellStyle name="Output 2 2 2 2 5 4" xfId="2314"/>
    <cellStyle name="Output 2 2 2 2 5 4 2" xfId="8030"/>
    <cellStyle name="Output 2 2 2 2 5 4 2 2" xfId="10644"/>
    <cellStyle name="Output 2 2 2 2 5 4 2 2 2" xfId="16906"/>
    <cellStyle name="Output 2 2 2 2 5 4 2 2 2 2" xfId="30322"/>
    <cellStyle name="Output 2 2 2 2 5 4 2 2 3" xfId="21651"/>
    <cellStyle name="Output 2 2 2 2 5 4 2 3" xfId="14634"/>
    <cellStyle name="Output 2 2 2 2 5 4 2 3 2" xfId="28956"/>
    <cellStyle name="Output 2 2 2 2 5 4 2 4" xfId="20279"/>
    <cellStyle name="Output 2 2 2 2 5 4 3" xfId="12755"/>
    <cellStyle name="Output 2 2 2 2 5 4 3 2" xfId="27077"/>
    <cellStyle name="Output 2 2 2 2 5 4 4" xfId="18400"/>
    <cellStyle name="Output 2 2 2 2 5 5" xfId="5110"/>
    <cellStyle name="Output 2 2 2 2 5 5 2" xfId="11658"/>
    <cellStyle name="Output 2 2 2 2 5 5 2 2" xfId="25980"/>
    <cellStyle name="Output 2 2 2 2 5 5 3" xfId="15130"/>
    <cellStyle name="Output 2 2 2 2 5 6" xfId="4219"/>
    <cellStyle name="Output 2 2 2 2 5 6 2" xfId="22831"/>
    <cellStyle name="Output 2 2 2 2 5 7" xfId="15259"/>
    <cellStyle name="Output 2 2 2 2 6" xfId="2315"/>
    <cellStyle name="Output 2 2 2 2 6 2" xfId="2316"/>
    <cellStyle name="Output 2 2 2 2 6 2 2" xfId="6205"/>
    <cellStyle name="Output 2 2 2 2 6 2 2 2" xfId="12778"/>
    <cellStyle name="Output 2 2 2 2 6 2 2 2 2" xfId="27100"/>
    <cellStyle name="Output 2 2 2 2 6 2 2 3" xfId="18423"/>
    <cellStyle name="Output 2 2 2 2 6 2 3" xfId="7088"/>
    <cellStyle name="Output 2 2 2 2 6 2 3 2" xfId="9702"/>
    <cellStyle name="Output 2 2 2 2 6 2 3 2 2" xfId="15964"/>
    <cellStyle name="Output 2 2 2 2 6 2 3 2 2 2" xfId="29380"/>
    <cellStyle name="Output 2 2 2 2 6 2 3 2 3" xfId="20709"/>
    <cellStyle name="Output 2 2 2 2 6 2 3 3" xfId="13692"/>
    <cellStyle name="Output 2 2 2 2 6 2 3 3 2" xfId="28014"/>
    <cellStyle name="Output 2 2 2 2 6 2 3 4" xfId="19337"/>
    <cellStyle name="Output 2 2 2 2 6 2 4" xfId="4736"/>
    <cellStyle name="Output 2 2 2 2 6 2 4 2" xfId="23159"/>
    <cellStyle name="Output 2 2 2 2 6 2 5" xfId="4040"/>
    <cellStyle name="Output 2 2 2 2 6 3" xfId="2317"/>
    <cellStyle name="Output 2 2 2 2 6 3 2" xfId="3939"/>
    <cellStyle name="Output 2 2 2 2 6 3 2 2" xfId="9401"/>
    <cellStyle name="Output 2 2 2 2 6 3 2 2 2" xfId="15663"/>
    <cellStyle name="Output 2 2 2 2 6 3 2 2 2 2" xfId="29079"/>
    <cellStyle name="Output 2 2 2 2 6 3 2 2 3" xfId="20408"/>
    <cellStyle name="Output 2 2 2 2 6 3 2 3" xfId="6715"/>
    <cellStyle name="Output 2 2 2 2 6 3 2 3 2" xfId="23669"/>
    <cellStyle name="Output 2 2 2 2 6 3 2 4" xfId="17269"/>
    <cellStyle name="Output 2 2 2 2 6 3 3" xfId="11661"/>
    <cellStyle name="Output 2 2 2 2 6 3 3 2" xfId="25983"/>
    <cellStyle name="Output 2 2 2 2 6 3 4" xfId="16948"/>
    <cellStyle name="Output 2 2 2 2 6 4" xfId="5051"/>
    <cellStyle name="Output 2 2 2 2 6 4 2" xfId="11598"/>
    <cellStyle name="Output 2 2 2 2 6 4 2 2" xfId="25920"/>
    <cellStyle name="Output 2 2 2 2 6 4 3" xfId="14780"/>
    <cellStyle name="Output 2 2 2 2 6 5" xfId="3604"/>
    <cellStyle name="Output 2 2 2 2 6 5 2" xfId="22483"/>
    <cellStyle name="Output 2 2 2 2 6 6" xfId="14987"/>
    <cellStyle name="Output 2 2 2 2 7" xfId="2318"/>
    <cellStyle name="Output 2 2 2 2 7 2" xfId="6466"/>
    <cellStyle name="Output 2 2 2 2 7 2 2" xfId="13049"/>
    <cellStyle name="Output 2 2 2 2 7 2 2 2" xfId="27371"/>
    <cellStyle name="Output 2 2 2 2 7 2 3" xfId="18694"/>
    <cellStyle name="Output 2 2 2 2 7 3" xfId="7055"/>
    <cellStyle name="Output 2 2 2 2 7 3 2" xfId="9669"/>
    <cellStyle name="Output 2 2 2 2 7 3 2 2" xfId="15931"/>
    <cellStyle name="Output 2 2 2 2 7 3 2 2 2" xfId="29347"/>
    <cellStyle name="Output 2 2 2 2 7 3 2 3" xfId="20676"/>
    <cellStyle name="Output 2 2 2 2 7 3 3" xfId="13659"/>
    <cellStyle name="Output 2 2 2 2 7 3 3 2" xfId="27981"/>
    <cellStyle name="Output 2 2 2 2 7 3 4" xfId="19304"/>
    <cellStyle name="Output 2 2 2 2 7 4" xfId="3971"/>
    <cellStyle name="Output 2 2 2 2 7 4 2" xfId="22677"/>
    <cellStyle name="Output 2 2 2 2 7 5" xfId="17232"/>
    <cellStyle name="Output 2 2 2 2 8" xfId="2319"/>
    <cellStyle name="Output 2 2 2 2 8 2" xfId="7547"/>
    <cellStyle name="Output 2 2 2 2 8 2 2" xfId="10161"/>
    <cellStyle name="Output 2 2 2 2 8 2 2 2" xfId="16423"/>
    <cellStyle name="Output 2 2 2 2 8 2 2 2 2" xfId="29839"/>
    <cellStyle name="Output 2 2 2 2 8 2 2 3" xfId="21168"/>
    <cellStyle name="Output 2 2 2 2 8 2 3" xfId="14151"/>
    <cellStyle name="Output 2 2 2 2 8 2 3 2" xfId="28473"/>
    <cellStyle name="Output 2 2 2 2 8 2 4" xfId="19796"/>
    <cellStyle name="Output 2 2 2 2 8 3" xfId="12502"/>
    <cellStyle name="Output 2 2 2 2 8 3 2" xfId="26824"/>
    <cellStyle name="Output 2 2 2 2 8 4" xfId="18147"/>
    <cellStyle name="Output 2 2 2 2 9" xfId="5183"/>
    <cellStyle name="Output 2 2 2 2 9 2" xfId="11732"/>
    <cellStyle name="Output 2 2 2 2 9 2 2" xfId="26054"/>
    <cellStyle name="Output 2 2 2 2 9 3" xfId="4251"/>
    <cellStyle name="Output 2 2 2 3" xfId="2320"/>
    <cellStyle name="Output 2 2 2 3 2" xfId="2321"/>
    <cellStyle name="Output 2 2 2 3 2 2" xfId="2322"/>
    <cellStyle name="Output 2 2 2 3 2 2 2" xfId="5458"/>
    <cellStyle name="Output 2 2 2 3 2 2 2 2" xfId="12009"/>
    <cellStyle name="Output 2 2 2 3 2 2 2 2 2" xfId="26331"/>
    <cellStyle name="Output 2 2 2 3 2 2 2 3" xfId="17654"/>
    <cellStyle name="Output 2 2 2 3 2 2 3" xfId="7583"/>
    <cellStyle name="Output 2 2 2 3 2 2 3 2" xfId="10197"/>
    <cellStyle name="Output 2 2 2 3 2 2 3 2 2" xfId="16459"/>
    <cellStyle name="Output 2 2 2 3 2 2 3 2 2 2" xfId="29875"/>
    <cellStyle name="Output 2 2 2 3 2 2 3 2 3" xfId="21204"/>
    <cellStyle name="Output 2 2 2 3 2 2 3 3" xfId="14187"/>
    <cellStyle name="Output 2 2 2 3 2 2 3 3 2" xfId="28509"/>
    <cellStyle name="Output 2 2 2 3 2 2 3 4" xfId="19832"/>
    <cellStyle name="Output 2 2 2 3 2 2 4" xfId="4770"/>
    <cellStyle name="Output 2 2 2 3 2 2 4 2" xfId="23178"/>
    <cellStyle name="Output 2 2 2 3 2 2 5" xfId="17076"/>
    <cellStyle name="Output 2 2 2 3 2 3" xfId="2323"/>
    <cellStyle name="Output 2 2 2 3 2 3 2" xfId="7303"/>
    <cellStyle name="Output 2 2 2 3 2 3 2 2" xfId="9917"/>
    <cellStyle name="Output 2 2 2 3 2 3 2 2 2" xfId="16179"/>
    <cellStyle name="Output 2 2 2 3 2 3 2 2 2 2" xfId="29595"/>
    <cellStyle name="Output 2 2 2 3 2 3 2 2 3" xfId="20924"/>
    <cellStyle name="Output 2 2 2 3 2 3 2 3" xfId="13907"/>
    <cellStyle name="Output 2 2 2 3 2 3 2 3 2" xfId="28229"/>
    <cellStyle name="Output 2 2 2 3 2 3 2 4" xfId="19552"/>
    <cellStyle name="Output 2 2 2 3 2 3 3" xfId="13265"/>
    <cellStyle name="Output 2 2 2 3 2 3 3 2" xfId="27587"/>
    <cellStyle name="Output 2 2 2 3 2 3 4" xfId="18910"/>
    <cellStyle name="Output 2 2 2 3 2 4" xfId="5711"/>
    <cellStyle name="Output 2 2 2 3 2 4 2" xfId="12264"/>
    <cellStyle name="Output 2 2 2 3 2 4 2 2" xfId="26586"/>
    <cellStyle name="Output 2 2 2 3 2 4 3" xfId="17909"/>
    <cellStyle name="Output 2 2 2 3 2 5" xfId="2827"/>
    <cellStyle name="Output 2 2 2 3 2 5 2" xfId="22390"/>
    <cellStyle name="Output 2 2 2 3 2 6" xfId="15024"/>
    <cellStyle name="Output 2 2 2 3 3" xfId="2324"/>
    <cellStyle name="Output 2 2 2 3 3 2" xfId="2325"/>
    <cellStyle name="Output 2 2 2 3 3 2 2" xfId="6483"/>
    <cellStyle name="Output 2 2 2 3 3 2 2 2" xfId="13066"/>
    <cellStyle name="Output 2 2 2 3 3 2 2 2 2" xfId="27388"/>
    <cellStyle name="Output 2 2 2 3 3 2 2 3" xfId="18711"/>
    <cellStyle name="Output 2 2 2 3 3 2 3" xfId="7582"/>
    <cellStyle name="Output 2 2 2 3 3 2 3 2" xfId="10196"/>
    <cellStyle name="Output 2 2 2 3 3 2 3 2 2" xfId="16458"/>
    <cellStyle name="Output 2 2 2 3 3 2 3 2 2 2" xfId="29874"/>
    <cellStyle name="Output 2 2 2 3 3 2 3 2 3" xfId="21203"/>
    <cellStyle name="Output 2 2 2 3 3 2 3 3" xfId="14186"/>
    <cellStyle name="Output 2 2 2 3 3 2 3 3 2" xfId="28508"/>
    <cellStyle name="Output 2 2 2 3 3 2 3 4" xfId="19831"/>
    <cellStyle name="Output 2 2 2 3 3 2 4" xfId="6298"/>
    <cellStyle name="Output 2 2 2 3 3 2 4 2" xfId="23496"/>
    <cellStyle name="Output 2 2 2 3 3 2 5" xfId="14795"/>
    <cellStyle name="Output 2 2 2 3 3 3" xfId="2326"/>
    <cellStyle name="Output 2 2 2 3 3 3 2" xfId="3839"/>
    <cellStyle name="Output 2 2 2 3 3 3 2 2" xfId="9384"/>
    <cellStyle name="Output 2 2 2 3 3 3 2 2 2" xfId="15646"/>
    <cellStyle name="Output 2 2 2 3 3 3 2 2 2 2" xfId="29062"/>
    <cellStyle name="Output 2 2 2 3 3 3 2 2 3" xfId="20391"/>
    <cellStyle name="Output 2 2 2 3 3 3 2 3" xfId="3960"/>
    <cellStyle name="Output 2 2 2 3 3 3 2 3 2" xfId="22670"/>
    <cellStyle name="Output 2 2 2 3 3 3 2 4" xfId="15369"/>
    <cellStyle name="Output 2 2 2 3 3 3 3" xfId="12791"/>
    <cellStyle name="Output 2 2 2 3 3 3 3 2" xfId="27113"/>
    <cellStyle name="Output 2 2 2 3 3 3 4" xfId="18436"/>
    <cellStyle name="Output 2 2 2 3 3 4" xfId="5042"/>
    <cellStyle name="Output 2 2 2 3 3 4 2" xfId="11589"/>
    <cellStyle name="Output 2 2 2 3 3 4 2 2" xfId="25911"/>
    <cellStyle name="Output 2 2 2 3 3 4 3" xfId="17090"/>
    <cellStyle name="Output 2 2 2 3 3 5" xfId="4901"/>
    <cellStyle name="Output 2 2 2 3 3 5 2" xfId="23256"/>
    <cellStyle name="Output 2 2 2 3 3 6" xfId="14751"/>
    <cellStyle name="Output 2 2 2 3 4" xfId="2327"/>
    <cellStyle name="Output 2 2 2 3 4 2" xfId="6518"/>
    <cellStyle name="Output 2 2 2 3 4 2 2" xfId="13106"/>
    <cellStyle name="Output 2 2 2 3 4 2 2 2" xfId="27428"/>
    <cellStyle name="Output 2 2 2 3 4 2 3" xfId="18751"/>
    <cellStyle name="Output 2 2 2 3 4 3" xfId="7464"/>
    <cellStyle name="Output 2 2 2 3 4 3 2" xfId="10078"/>
    <cellStyle name="Output 2 2 2 3 4 3 2 2" xfId="16340"/>
    <cellStyle name="Output 2 2 2 3 4 3 2 2 2" xfId="29756"/>
    <cellStyle name="Output 2 2 2 3 4 3 2 3" xfId="21085"/>
    <cellStyle name="Output 2 2 2 3 4 3 3" xfId="14068"/>
    <cellStyle name="Output 2 2 2 3 4 3 3 2" xfId="28390"/>
    <cellStyle name="Output 2 2 2 3 4 3 4" xfId="19713"/>
    <cellStyle name="Output 2 2 2 3 4 4" xfId="4009"/>
    <cellStyle name="Output 2 2 2 3 4 4 2" xfId="22698"/>
    <cellStyle name="Output 2 2 2 3 4 5" xfId="14979"/>
    <cellStyle name="Output 2 2 2 3 5" xfId="2328"/>
    <cellStyle name="Output 2 2 2 3 5 2" xfId="7642"/>
    <cellStyle name="Output 2 2 2 3 5 2 2" xfId="10256"/>
    <cellStyle name="Output 2 2 2 3 5 2 2 2" xfId="16518"/>
    <cellStyle name="Output 2 2 2 3 5 2 2 2 2" xfId="29934"/>
    <cellStyle name="Output 2 2 2 3 5 2 2 3" xfId="21263"/>
    <cellStyle name="Output 2 2 2 3 5 2 3" xfId="14246"/>
    <cellStyle name="Output 2 2 2 3 5 2 3 2" xfId="28568"/>
    <cellStyle name="Output 2 2 2 3 5 2 4" xfId="19891"/>
    <cellStyle name="Output 2 2 2 3 5 3" xfId="12821"/>
    <cellStyle name="Output 2 2 2 3 5 3 2" xfId="27143"/>
    <cellStyle name="Output 2 2 2 3 5 4" xfId="18466"/>
    <cellStyle name="Output 2 2 2 3 6" xfId="5361"/>
    <cellStyle name="Output 2 2 2 3 6 2" xfId="11911"/>
    <cellStyle name="Output 2 2 2 3 6 2 2" xfId="26233"/>
    <cellStyle name="Output 2 2 2 3 6 3" xfId="17556"/>
    <cellStyle name="Output 2 2 2 3 7" xfId="4638"/>
    <cellStyle name="Output 2 2 2 3 7 2" xfId="23082"/>
    <cellStyle name="Output 2 2 2 3 8" xfId="14740"/>
    <cellStyle name="Output 2 2 2 4" xfId="2329"/>
    <cellStyle name="Output 2 2 2 4 2" xfId="2330"/>
    <cellStyle name="Output 2 2 2 4 2 2" xfId="2331"/>
    <cellStyle name="Output 2 2 2 4 2 2 2" xfId="6927"/>
    <cellStyle name="Output 2 2 2 4 2 2 2 2" xfId="13531"/>
    <cellStyle name="Output 2 2 2 4 2 2 2 2 2" xfId="27853"/>
    <cellStyle name="Output 2 2 2 4 2 2 2 3" xfId="19176"/>
    <cellStyle name="Output 2 2 2 4 2 2 3" xfId="3279"/>
    <cellStyle name="Output 2 2 2 4 2 2 3 2" xfId="9052"/>
    <cellStyle name="Output 2 2 2 4 2 2 3 2 2" xfId="15391"/>
    <cellStyle name="Output 2 2 2 4 2 2 3 2 2 2" xfId="29010"/>
    <cellStyle name="Output 2 2 2 4 2 2 3 2 3" xfId="20337"/>
    <cellStyle name="Output 2 2 2 4 2 2 3 3" xfId="6626"/>
    <cellStyle name="Output 2 2 2 4 2 2 3 3 2" xfId="23614"/>
    <cellStyle name="Output 2 2 2 4 2 2 3 4" xfId="15402"/>
    <cellStyle name="Output 2 2 2 4 2 2 4" xfId="11419"/>
    <cellStyle name="Output 2 2 2 4 2 2 4 2" xfId="25741"/>
    <cellStyle name="Output 2 2 2 4 2 2 5" xfId="4612"/>
    <cellStyle name="Output 2 2 2 4 2 3" xfId="2332"/>
    <cellStyle name="Output 2 2 2 4 2 3 2" xfId="7183"/>
    <cellStyle name="Output 2 2 2 4 2 3 2 2" xfId="9797"/>
    <cellStyle name="Output 2 2 2 4 2 3 2 2 2" xfId="16059"/>
    <cellStyle name="Output 2 2 2 4 2 3 2 2 2 2" xfId="29475"/>
    <cellStyle name="Output 2 2 2 4 2 3 2 2 3" xfId="20804"/>
    <cellStyle name="Output 2 2 2 4 2 3 2 3" xfId="13787"/>
    <cellStyle name="Output 2 2 2 4 2 3 2 3 2" xfId="28109"/>
    <cellStyle name="Output 2 2 2 4 2 3 2 4" xfId="19432"/>
    <cellStyle name="Output 2 2 2 4 2 3 3" xfId="13219"/>
    <cellStyle name="Output 2 2 2 4 2 3 3 2" xfId="27541"/>
    <cellStyle name="Output 2 2 2 4 2 3 4" xfId="18864"/>
    <cellStyle name="Output 2 2 2 4 2 4" xfId="5660"/>
    <cellStyle name="Output 2 2 2 4 2 4 2" xfId="12213"/>
    <cellStyle name="Output 2 2 2 4 2 4 2 2" xfId="26535"/>
    <cellStyle name="Output 2 2 2 4 2 4 3" xfId="17858"/>
    <cellStyle name="Output 2 2 2 4 2 5" xfId="6717"/>
    <cellStyle name="Output 2 2 2 4 2 5 2" xfId="23671"/>
    <cellStyle name="Output 2 2 2 4 2 6" xfId="15503"/>
    <cellStyle name="Output 2 2 2 4 3" xfId="2333"/>
    <cellStyle name="Output 2 2 2 4 3 2" xfId="2334"/>
    <cellStyle name="Output 2 2 2 4 3 2 2" xfId="6953"/>
    <cellStyle name="Output 2 2 2 4 3 2 2 2" xfId="13557"/>
    <cellStyle name="Output 2 2 2 4 3 2 2 2 2" xfId="27879"/>
    <cellStyle name="Output 2 2 2 4 3 2 2 3" xfId="19202"/>
    <cellStyle name="Output 2 2 2 4 3 2 3" xfId="5008"/>
    <cellStyle name="Output 2 2 2 4 3 2 3 2" xfId="9540"/>
    <cellStyle name="Output 2 2 2 4 3 2 3 2 2" xfId="15802"/>
    <cellStyle name="Output 2 2 2 4 3 2 3 2 2 2" xfId="29218"/>
    <cellStyle name="Output 2 2 2 4 3 2 3 2 3" xfId="20547"/>
    <cellStyle name="Output 2 2 2 4 3 2 3 3" xfId="11553"/>
    <cellStyle name="Output 2 2 2 4 3 2 3 3 2" xfId="25875"/>
    <cellStyle name="Output 2 2 2 4 3 2 3 4" xfId="14909"/>
    <cellStyle name="Output 2 2 2 4 3 2 4" xfId="11449"/>
    <cellStyle name="Output 2 2 2 4 3 2 4 2" xfId="25771"/>
    <cellStyle name="Output 2 2 2 4 3 2 5" xfId="17101"/>
    <cellStyle name="Output 2 2 2 4 3 3" xfId="2335"/>
    <cellStyle name="Output 2 2 2 4 3 3 2" xfId="3789"/>
    <cellStyle name="Output 2 2 2 4 3 3 2 2" xfId="9374"/>
    <cellStyle name="Output 2 2 2 4 3 3 2 2 2" xfId="15636"/>
    <cellStyle name="Output 2 2 2 4 3 3 2 2 2 2" xfId="29052"/>
    <cellStyle name="Output 2 2 2 4 3 3 2 2 3" xfId="20381"/>
    <cellStyle name="Output 2 2 2 4 3 3 2 3" xfId="4662"/>
    <cellStyle name="Output 2 2 2 4 3 3 2 3 2" xfId="23102"/>
    <cellStyle name="Output 2 2 2 4 3 3 2 4" xfId="15087"/>
    <cellStyle name="Output 2 2 2 4 3 3 3" xfId="13050"/>
    <cellStyle name="Output 2 2 2 4 3 3 3 2" xfId="27372"/>
    <cellStyle name="Output 2 2 2 4 3 3 4" xfId="18695"/>
    <cellStyle name="Output 2 2 2 4 3 4" xfId="5375"/>
    <cellStyle name="Output 2 2 2 4 3 4 2" xfId="11925"/>
    <cellStyle name="Output 2 2 2 4 3 4 2 2" xfId="26247"/>
    <cellStyle name="Output 2 2 2 4 3 4 3" xfId="17570"/>
    <cellStyle name="Output 2 2 2 4 3 5" xfId="4705"/>
    <cellStyle name="Output 2 2 2 4 3 5 2" xfId="23138"/>
    <cellStyle name="Output 2 2 2 4 3 6" xfId="14964"/>
    <cellStyle name="Output 2 2 2 4 4" xfId="2336"/>
    <cellStyle name="Output 2 2 2 4 4 2" xfId="6835"/>
    <cellStyle name="Output 2 2 2 4 4 2 2" xfId="13439"/>
    <cellStyle name="Output 2 2 2 4 4 2 2 2" xfId="27761"/>
    <cellStyle name="Output 2 2 2 4 4 2 3" xfId="19084"/>
    <cellStyle name="Output 2 2 2 4 4 3" xfId="7599"/>
    <cellStyle name="Output 2 2 2 4 4 3 2" xfId="10213"/>
    <cellStyle name="Output 2 2 2 4 4 3 2 2" xfId="16475"/>
    <cellStyle name="Output 2 2 2 4 4 3 2 2 2" xfId="29891"/>
    <cellStyle name="Output 2 2 2 4 4 3 2 3" xfId="21220"/>
    <cellStyle name="Output 2 2 2 4 4 3 3" xfId="14203"/>
    <cellStyle name="Output 2 2 2 4 4 3 3 2" xfId="28525"/>
    <cellStyle name="Output 2 2 2 4 4 3 4" xfId="19848"/>
    <cellStyle name="Output 2 2 2 4 4 4" xfId="2774"/>
    <cellStyle name="Output 2 2 2 4 4 4 2" xfId="22343"/>
    <cellStyle name="Output 2 2 2 4 4 5" xfId="17257"/>
    <cellStyle name="Output 2 2 2 4 5" xfId="2337"/>
    <cellStyle name="Output 2 2 2 4 5 2" xfId="7429"/>
    <cellStyle name="Output 2 2 2 4 5 2 2" xfId="10043"/>
    <cellStyle name="Output 2 2 2 4 5 2 2 2" xfId="16305"/>
    <cellStyle name="Output 2 2 2 4 5 2 2 2 2" xfId="29721"/>
    <cellStyle name="Output 2 2 2 4 5 2 2 3" xfId="21050"/>
    <cellStyle name="Output 2 2 2 4 5 2 3" xfId="14033"/>
    <cellStyle name="Output 2 2 2 4 5 2 3 2" xfId="28355"/>
    <cellStyle name="Output 2 2 2 4 5 2 4" xfId="19678"/>
    <cellStyle name="Output 2 2 2 4 5 3" xfId="12130"/>
    <cellStyle name="Output 2 2 2 4 5 3 2" xfId="26452"/>
    <cellStyle name="Output 2 2 2 4 5 4" xfId="17775"/>
    <cellStyle name="Output 2 2 2 4 6" xfId="3249"/>
    <cellStyle name="Output 2 2 2 4 6 2" xfId="6087"/>
    <cellStyle name="Output 2 2 2 4 6 2 2" xfId="23411"/>
    <cellStyle name="Output 2 2 2 4 6 3" xfId="4466"/>
    <cellStyle name="Output 2 2 2 4 7" xfId="3742"/>
    <cellStyle name="Output 2 2 2 4 7 2" xfId="22557"/>
    <cellStyle name="Output 2 2 2 4 8" xfId="4490"/>
    <cellStyle name="Output 2 2 2 5" xfId="2338"/>
    <cellStyle name="Output 2 2 2 5 2" xfId="2339"/>
    <cellStyle name="Output 2 2 2 5 2 2" xfId="2340"/>
    <cellStyle name="Output 2 2 2 5 2 2 2" xfId="5839"/>
    <cellStyle name="Output 2 2 2 5 2 2 2 2" xfId="12392"/>
    <cellStyle name="Output 2 2 2 5 2 2 2 2 2" xfId="26714"/>
    <cellStyle name="Output 2 2 2 5 2 2 2 3" xfId="18037"/>
    <cellStyle name="Output 2 2 2 5 2 2 3" xfId="4884"/>
    <cellStyle name="Output 2 2 2 5 2 2 3 2" xfId="9510"/>
    <cellStyle name="Output 2 2 2 5 2 2 3 2 2" xfId="15772"/>
    <cellStyle name="Output 2 2 2 5 2 2 3 2 2 2" xfId="29188"/>
    <cellStyle name="Output 2 2 2 5 2 2 3 2 3" xfId="20517"/>
    <cellStyle name="Output 2 2 2 5 2 2 3 3" xfId="11420"/>
    <cellStyle name="Output 2 2 2 5 2 2 3 3 2" xfId="25742"/>
    <cellStyle name="Output 2 2 2 5 2 2 3 4" xfId="15304"/>
    <cellStyle name="Output 2 2 2 5 2 2 4" xfId="6541"/>
    <cellStyle name="Output 2 2 2 5 2 2 4 2" xfId="23579"/>
    <cellStyle name="Output 2 2 2 5 2 2 5" xfId="15212"/>
    <cellStyle name="Output 2 2 2 5 2 3" xfId="2341"/>
    <cellStyle name="Output 2 2 2 5 2 3 2" xfId="7363"/>
    <cellStyle name="Output 2 2 2 5 2 3 2 2" xfId="9977"/>
    <cellStyle name="Output 2 2 2 5 2 3 2 2 2" xfId="16239"/>
    <cellStyle name="Output 2 2 2 5 2 3 2 2 2 2" xfId="29655"/>
    <cellStyle name="Output 2 2 2 5 2 3 2 2 3" xfId="20984"/>
    <cellStyle name="Output 2 2 2 5 2 3 2 3" xfId="13967"/>
    <cellStyle name="Output 2 2 2 5 2 3 2 3 2" xfId="28289"/>
    <cellStyle name="Output 2 2 2 5 2 3 2 4" xfId="19612"/>
    <cellStyle name="Output 2 2 2 5 2 3 3" xfId="13287"/>
    <cellStyle name="Output 2 2 2 5 2 3 3 2" xfId="27609"/>
    <cellStyle name="Output 2 2 2 5 2 3 4" xfId="18932"/>
    <cellStyle name="Output 2 2 2 5 2 4" xfId="5737"/>
    <cellStyle name="Output 2 2 2 5 2 4 2" xfId="12290"/>
    <cellStyle name="Output 2 2 2 5 2 4 2 2" xfId="26612"/>
    <cellStyle name="Output 2 2 2 5 2 4 3" xfId="17935"/>
    <cellStyle name="Output 2 2 2 5 2 5" xfId="3835"/>
    <cellStyle name="Output 2 2 2 5 2 5 2" xfId="22604"/>
    <cellStyle name="Output 2 2 2 5 2 6" xfId="15433"/>
    <cellStyle name="Output 2 2 2 5 3" xfId="2342"/>
    <cellStyle name="Output 2 2 2 5 3 2" xfId="2343"/>
    <cellStyle name="Output 2 2 2 5 3 2 2" xfId="6533"/>
    <cellStyle name="Output 2 2 2 5 3 2 2 2" xfId="13121"/>
    <cellStyle name="Output 2 2 2 5 3 2 2 2 2" xfId="27443"/>
    <cellStyle name="Output 2 2 2 5 3 2 2 3" xfId="18766"/>
    <cellStyle name="Output 2 2 2 5 3 2 3" xfId="3822"/>
    <cellStyle name="Output 2 2 2 5 3 2 3 2" xfId="9382"/>
    <cellStyle name="Output 2 2 2 5 3 2 3 2 2" xfId="15644"/>
    <cellStyle name="Output 2 2 2 5 3 2 3 2 2 2" xfId="29060"/>
    <cellStyle name="Output 2 2 2 5 3 2 3 2 3" xfId="20389"/>
    <cellStyle name="Output 2 2 2 5 3 2 3 3" xfId="6759"/>
    <cellStyle name="Output 2 2 2 5 3 2 3 3 2" xfId="23707"/>
    <cellStyle name="Output 2 2 2 5 3 2 3 4" xfId="14976"/>
    <cellStyle name="Output 2 2 2 5 3 2 4" xfId="6801"/>
    <cellStyle name="Output 2 2 2 5 3 2 4 2" xfId="23741"/>
    <cellStyle name="Output 2 2 2 5 3 2 5" xfId="14960"/>
    <cellStyle name="Output 2 2 2 5 3 3" xfId="2344"/>
    <cellStyle name="Output 2 2 2 5 3 3 2" xfId="7771"/>
    <cellStyle name="Output 2 2 2 5 3 3 2 2" xfId="10385"/>
    <cellStyle name="Output 2 2 2 5 3 3 2 2 2" xfId="16647"/>
    <cellStyle name="Output 2 2 2 5 3 3 2 2 2 2" xfId="30063"/>
    <cellStyle name="Output 2 2 2 5 3 3 2 2 3" xfId="21392"/>
    <cellStyle name="Output 2 2 2 5 3 3 2 3" xfId="14375"/>
    <cellStyle name="Output 2 2 2 5 3 3 2 3 2" xfId="28697"/>
    <cellStyle name="Output 2 2 2 5 3 3 2 4" xfId="20020"/>
    <cellStyle name="Output 2 2 2 5 3 3 3" xfId="13095"/>
    <cellStyle name="Output 2 2 2 5 3 3 3 2" xfId="27417"/>
    <cellStyle name="Output 2 2 2 5 3 3 4" xfId="18740"/>
    <cellStyle name="Output 2 2 2 5 3 4" xfId="5451"/>
    <cellStyle name="Output 2 2 2 5 3 4 2" xfId="12002"/>
    <cellStyle name="Output 2 2 2 5 3 4 2 2" xfId="26324"/>
    <cellStyle name="Output 2 2 2 5 3 4 3" xfId="17647"/>
    <cellStyle name="Output 2 2 2 5 3 5" xfId="4675"/>
    <cellStyle name="Output 2 2 2 5 3 5 2" xfId="23114"/>
    <cellStyle name="Output 2 2 2 5 3 6" xfId="17085"/>
    <cellStyle name="Output 2 2 2 5 4" xfId="2345"/>
    <cellStyle name="Output 2 2 2 5 4 2" xfId="6895"/>
    <cellStyle name="Output 2 2 2 5 4 2 2" xfId="13499"/>
    <cellStyle name="Output 2 2 2 5 4 2 2 2" xfId="27821"/>
    <cellStyle name="Output 2 2 2 5 4 2 3" xfId="19144"/>
    <cellStyle name="Output 2 2 2 5 4 3" xfId="7086"/>
    <cellStyle name="Output 2 2 2 5 4 3 2" xfId="9700"/>
    <cellStyle name="Output 2 2 2 5 4 3 2 2" xfId="15962"/>
    <cellStyle name="Output 2 2 2 5 4 3 2 2 2" xfId="29378"/>
    <cellStyle name="Output 2 2 2 5 4 3 2 3" xfId="20707"/>
    <cellStyle name="Output 2 2 2 5 4 3 3" xfId="13690"/>
    <cellStyle name="Output 2 2 2 5 4 3 3 2" xfId="28012"/>
    <cellStyle name="Output 2 2 2 5 4 3 4" xfId="19335"/>
    <cellStyle name="Output 2 2 2 5 4 4" xfId="11374"/>
    <cellStyle name="Output 2 2 2 5 4 4 2" xfId="25696"/>
    <cellStyle name="Output 2 2 2 5 4 5" xfId="6697"/>
    <cellStyle name="Output 2 2 2 5 5" xfId="2346"/>
    <cellStyle name="Output 2 2 2 5 5 2" xfId="7213"/>
    <cellStyle name="Output 2 2 2 5 5 2 2" xfId="9827"/>
    <cellStyle name="Output 2 2 2 5 5 2 2 2" xfId="16089"/>
    <cellStyle name="Output 2 2 2 5 5 2 2 2 2" xfId="29505"/>
    <cellStyle name="Output 2 2 2 5 5 2 2 3" xfId="20834"/>
    <cellStyle name="Output 2 2 2 5 5 2 3" xfId="13817"/>
    <cellStyle name="Output 2 2 2 5 5 2 3 2" xfId="28139"/>
    <cellStyle name="Output 2 2 2 5 5 2 4" xfId="19462"/>
    <cellStyle name="Output 2 2 2 5 5 3" xfId="12856"/>
    <cellStyle name="Output 2 2 2 5 5 3 2" xfId="27178"/>
    <cellStyle name="Output 2 2 2 5 5 4" xfId="18501"/>
    <cellStyle name="Output 2 2 2 5 6" xfId="5464"/>
    <cellStyle name="Output 2 2 2 5 6 2" xfId="12015"/>
    <cellStyle name="Output 2 2 2 5 6 2 2" xfId="26337"/>
    <cellStyle name="Output 2 2 2 5 6 3" xfId="17660"/>
    <cellStyle name="Output 2 2 2 5 7" xfId="4531"/>
    <cellStyle name="Output 2 2 2 5 7 2" xfId="23011"/>
    <cellStyle name="Output 2 2 2 5 8" xfId="3637"/>
    <cellStyle name="Output 2 2 2 6" xfId="2347"/>
    <cellStyle name="Output 2 2 2 6 2" xfId="2348"/>
    <cellStyle name="Output 2 2 2 6 2 2" xfId="2349"/>
    <cellStyle name="Output 2 2 2 6 2 2 2" xfId="6546"/>
    <cellStyle name="Output 2 2 2 6 2 2 2 2" xfId="13134"/>
    <cellStyle name="Output 2 2 2 6 2 2 2 2 2" xfId="27456"/>
    <cellStyle name="Output 2 2 2 6 2 2 2 3" xfId="18779"/>
    <cellStyle name="Output 2 2 2 6 2 2 3" xfId="5264"/>
    <cellStyle name="Output 2 2 2 6 2 2 3 2" xfId="9573"/>
    <cellStyle name="Output 2 2 2 6 2 2 3 2 2" xfId="15835"/>
    <cellStyle name="Output 2 2 2 6 2 2 3 2 2 2" xfId="29251"/>
    <cellStyle name="Output 2 2 2 6 2 2 3 2 3" xfId="20580"/>
    <cellStyle name="Output 2 2 2 6 2 2 3 3" xfId="11814"/>
    <cellStyle name="Output 2 2 2 6 2 2 3 3 2" xfId="26136"/>
    <cellStyle name="Output 2 2 2 6 2 2 3 4" xfId="17459"/>
    <cellStyle name="Output 2 2 2 6 2 2 4" xfId="4488"/>
    <cellStyle name="Output 2 2 2 6 2 2 4 2" xfId="22983"/>
    <cellStyle name="Output 2 2 2 6 2 2 5" xfId="17304"/>
    <cellStyle name="Output 2 2 2 6 2 3" xfId="2350"/>
    <cellStyle name="Output 2 2 2 6 2 3 2" xfId="5319"/>
    <cellStyle name="Output 2 2 2 6 2 3 2 2" xfId="9628"/>
    <cellStyle name="Output 2 2 2 6 2 3 2 2 2" xfId="15890"/>
    <cellStyle name="Output 2 2 2 6 2 3 2 2 2 2" xfId="29306"/>
    <cellStyle name="Output 2 2 2 6 2 3 2 2 3" xfId="20635"/>
    <cellStyle name="Output 2 2 2 6 2 3 2 3" xfId="11869"/>
    <cellStyle name="Output 2 2 2 6 2 3 2 3 2" xfId="26191"/>
    <cellStyle name="Output 2 2 2 6 2 3 2 4" xfId="17514"/>
    <cellStyle name="Output 2 2 2 6 2 3 3" xfId="13043"/>
    <cellStyle name="Output 2 2 2 6 2 3 3 2" xfId="27365"/>
    <cellStyle name="Output 2 2 2 6 2 3 4" xfId="18688"/>
    <cellStyle name="Output 2 2 2 6 2 4" xfId="5362"/>
    <cellStyle name="Output 2 2 2 6 2 4 2" xfId="11912"/>
    <cellStyle name="Output 2 2 2 6 2 4 2 2" xfId="26234"/>
    <cellStyle name="Output 2 2 2 6 2 4 3" xfId="17557"/>
    <cellStyle name="Output 2 2 2 6 2 5" xfId="3825"/>
    <cellStyle name="Output 2 2 2 6 2 5 2" xfId="22600"/>
    <cellStyle name="Output 2 2 2 6 2 6" xfId="16987"/>
    <cellStyle name="Output 2 2 2 6 3" xfId="2351"/>
    <cellStyle name="Output 2 2 2 6 3 2" xfId="5386"/>
    <cellStyle name="Output 2 2 2 6 3 2 2" xfId="11936"/>
    <cellStyle name="Output 2 2 2 6 3 2 2 2" xfId="26258"/>
    <cellStyle name="Output 2 2 2 6 3 2 3" xfId="17581"/>
    <cellStyle name="Output 2 2 2 6 3 3" xfId="7895"/>
    <cellStyle name="Output 2 2 2 6 3 3 2" xfId="10509"/>
    <cellStyle name="Output 2 2 2 6 3 3 2 2" xfId="16771"/>
    <cellStyle name="Output 2 2 2 6 3 3 2 2 2" xfId="30187"/>
    <cellStyle name="Output 2 2 2 6 3 3 2 3" xfId="21516"/>
    <cellStyle name="Output 2 2 2 6 3 3 3" xfId="14499"/>
    <cellStyle name="Output 2 2 2 6 3 3 3 2" xfId="28821"/>
    <cellStyle name="Output 2 2 2 6 3 3 4" xfId="20144"/>
    <cellStyle name="Output 2 2 2 6 3 4" xfId="3862"/>
    <cellStyle name="Output 2 2 2 6 3 4 2" xfId="22617"/>
    <cellStyle name="Output 2 2 2 6 3 5" xfId="15307"/>
    <cellStyle name="Output 2 2 2 6 4" xfId="2352"/>
    <cellStyle name="Output 2 2 2 6 4 2" xfId="8018"/>
    <cellStyle name="Output 2 2 2 6 4 2 2" xfId="10632"/>
    <cellStyle name="Output 2 2 2 6 4 2 2 2" xfId="16894"/>
    <cellStyle name="Output 2 2 2 6 4 2 2 2 2" xfId="30310"/>
    <cellStyle name="Output 2 2 2 6 4 2 2 3" xfId="21639"/>
    <cellStyle name="Output 2 2 2 6 4 2 3" xfId="14622"/>
    <cellStyle name="Output 2 2 2 6 4 2 3 2" xfId="28944"/>
    <cellStyle name="Output 2 2 2 6 4 2 4" xfId="20267"/>
    <cellStyle name="Output 2 2 2 6 4 3" xfId="12947"/>
    <cellStyle name="Output 2 2 2 6 4 3 2" xfId="27269"/>
    <cellStyle name="Output 2 2 2 6 4 4" xfId="18592"/>
    <cellStyle name="Output 2 2 2 6 5" xfId="5612"/>
    <cellStyle name="Output 2 2 2 6 5 2" xfId="12165"/>
    <cellStyle name="Output 2 2 2 6 5 2 2" xfId="26487"/>
    <cellStyle name="Output 2 2 2 6 5 3" xfId="17810"/>
    <cellStyle name="Output 2 2 2 6 6" xfId="3264"/>
    <cellStyle name="Output 2 2 2 6 6 2" xfId="22450"/>
    <cellStyle name="Output 2 2 2 6 7" xfId="4438"/>
    <cellStyle name="Output 2 2 2 7" xfId="2353"/>
    <cellStyle name="Output 2 2 2 7 2" xfId="2354"/>
    <cellStyle name="Output 2 2 2 7 2 2" xfId="7040"/>
    <cellStyle name="Output 2 2 2 7 2 2 2" xfId="13644"/>
    <cellStyle name="Output 2 2 2 7 2 2 2 2" xfId="27966"/>
    <cellStyle name="Output 2 2 2 7 2 2 3" xfId="19289"/>
    <cellStyle name="Output 2 2 2 7 2 3" xfId="8051"/>
    <cellStyle name="Output 2 2 2 7 2 3 2" xfId="10665"/>
    <cellStyle name="Output 2 2 2 7 2 3 2 2" xfId="16927"/>
    <cellStyle name="Output 2 2 2 7 2 3 2 2 2" xfId="30343"/>
    <cellStyle name="Output 2 2 2 7 2 3 2 3" xfId="21672"/>
    <cellStyle name="Output 2 2 2 7 2 3 3" xfId="14655"/>
    <cellStyle name="Output 2 2 2 7 2 3 3 2" xfId="28977"/>
    <cellStyle name="Output 2 2 2 7 2 3 4" xfId="20300"/>
    <cellStyle name="Output 2 2 2 7 2 4" xfId="11585"/>
    <cellStyle name="Output 2 2 2 7 2 4 2" xfId="25907"/>
    <cellStyle name="Output 2 2 2 7 2 5" xfId="15060"/>
    <cellStyle name="Output 2 2 2 7 3" xfId="2355"/>
    <cellStyle name="Output 2 2 2 7 3 2" xfId="7795"/>
    <cellStyle name="Output 2 2 2 7 3 2 2" xfId="10409"/>
    <cellStyle name="Output 2 2 2 7 3 2 2 2" xfId="16671"/>
    <cellStyle name="Output 2 2 2 7 3 2 2 2 2" xfId="30087"/>
    <cellStyle name="Output 2 2 2 7 3 2 2 3" xfId="21416"/>
    <cellStyle name="Output 2 2 2 7 3 2 3" xfId="14399"/>
    <cellStyle name="Output 2 2 2 7 3 2 3 2" xfId="28721"/>
    <cellStyle name="Output 2 2 2 7 3 2 4" xfId="20044"/>
    <cellStyle name="Output 2 2 2 7 3 3" xfId="13404"/>
    <cellStyle name="Output 2 2 2 7 3 3 2" xfId="27726"/>
    <cellStyle name="Output 2 2 2 7 3 4" xfId="19049"/>
    <cellStyle name="Output 2 2 2 7 4" xfId="5869"/>
    <cellStyle name="Output 2 2 2 7 4 2" xfId="12422"/>
    <cellStyle name="Output 2 2 2 7 4 2 2" xfId="26744"/>
    <cellStyle name="Output 2 2 2 7 4 3" xfId="18067"/>
    <cellStyle name="Output 2 2 2 7 5" xfId="4988"/>
    <cellStyle name="Output 2 2 2 7 5 2" xfId="23296"/>
    <cellStyle name="Output 2 2 2 7 6" xfId="17156"/>
    <cellStyle name="Output 2 2 2 8" xfId="2356"/>
    <cellStyle name="Output 2 2 2 8 2" xfId="5994"/>
    <cellStyle name="Output 2 2 2 8 2 2" xfId="12552"/>
    <cellStyle name="Output 2 2 2 8 2 2 2" xfId="26874"/>
    <cellStyle name="Output 2 2 2 8 2 3" xfId="18197"/>
    <cellStyle name="Output 2 2 2 8 3" xfId="7412"/>
    <cellStyle name="Output 2 2 2 8 3 2" xfId="10026"/>
    <cellStyle name="Output 2 2 2 8 3 2 2" xfId="16288"/>
    <cellStyle name="Output 2 2 2 8 3 2 2 2" xfId="29704"/>
    <cellStyle name="Output 2 2 2 8 3 2 3" xfId="21033"/>
    <cellStyle name="Output 2 2 2 8 3 3" xfId="14016"/>
    <cellStyle name="Output 2 2 2 8 3 3 2" xfId="28338"/>
    <cellStyle name="Output 2 2 2 8 3 4" xfId="19661"/>
    <cellStyle name="Output 2 2 2 8 4" xfId="4445"/>
    <cellStyle name="Output 2 2 2 8 4 2" xfId="22957"/>
    <cellStyle name="Output 2 2 2 8 5" xfId="14868"/>
    <cellStyle name="Output 2 2 2 9" xfId="2357"/>
    <cellStyle name="Output 2 2 2 9 2" xfId="7231"/>
    <cellStyle name="Output 2 2 2 9 2 2" xfId="9845"/>
    <cellStyle name="Output 2 2 2 9 2 2 2" xfId="16107"/>
    <cellStyle name="Output 2 2 2 9 2 2 2 2" xfId="29523"/>
    <cellStyle name="Output 2 2 2 9 2 2 3" xfId="20852"/>
    <cellStyle name="Output 2 2 2 9 2 3" xfId="13835"/>
    <cellStyle name="Output 2 2 2 9 2 3 2" xfId="28157"/>
    <cellStyle name="Output 2 2 2 9 2 4" xfId="19480"/>
    <cellStyle name="Output 2 2 2 9 3" xfId="12384"/>
    <cellStyle name="Output 2 2 2 9 3 2" xfId="26706"/>
    <cellStyle name="Output 2 2 2 9 4" xfId="18029"/>
    <cellStyle name="Output 2 2 3" xfId="2358"/>
    <cellStyle name="Output 2 2 3 10" xfId="3139"/>
    <cellStyle name="Output 2 2 3 10 2" xfId="22417"/>
    <cellStyle name="Output 2 2 3 11" xfId="17230"/>
    <cellStyle name="Output 2 2 3 2" xfId="2359"/>
    <cellStyle name="Output 2 2 3 2 2" xfId="2360"/>
    <cellStyle name="Output 2 2 3 2 2 2" xfId="2361"/>
    <cellStyle name="Output 2 2 3 2 2 2 2" xfId="6567"/>
    <cellStyle name="Output 2 2 3 2 2 2 2 2" xfId="13155"/>
    <cellStyle name="Output 2 2 3 2 2 2 2 2 2" xfId="27477"/>
    <cellStyle name="Output 2 2 3 2 2 2 2 3" xfId="18800"/>
    <cellStyle name="Output 2 2 3 2 2 2 3" xfId="7792"/>
    <cellStyle name="Output 2 2 3 2 2 2 3 2" xfId="10406"/>
    <cellStyle name="Output 2 2 3 2 2 2 3 2 2" xfId="16668"/>
    <cellStyle name="Output 2 2 3 2 2 2 3 2 2 2" xfId="30084"/>
    <cellStyle name="Output 2 2 3 2 2 2 3 2 3" xfId="21413"/>
    <cellStyle name="Output 2 2 3 2 2 2 3 3" xfId="14396"/>
    <cellStyle name="Output 2 2 3 2 2 2 3 3 2" xfId="28718"/>
    <cellStyle name="Output 2 2 3 2 2 2 3 4" xfId="20041"/>
    <cellStyle name="Output 2 2 3 2 2 2 4" xfId="4419"/>
    <cellStyle name="Output 2 2 3 2 2 2 4 2" xfId="22939"/>
    <cellStyle name="Output 2 2 3 2 2 2 5" xfId="14683"/>
    <cellStyle name="Output 2 2 3 2 2 3" xfId="2362"/>
    <cellStyle name="Output 2 2 3 2 2 3 2" xfId="7350"/>
    <cellStyle name="Output 2 2 3 2 2 3 2 2" xfId="9964"/>
    <cellStyle name="Output 2 2 3 2 2 3 2 2 2" xfId="16226"/>
    <cellStyle name="Output 2 2 3 2 2 3 2 2 2 2" xfId="29642"/>
    <cellStyle name="Output 2 2 3 2 2 3 2 2 3" xfId="20971"/>
    <cellStyle name="Output 2 2 3 2 2 3 2 3" xfId="13954"/>
    <cellStyle name="Output 2 2 3 2 2 3 2 3 2" xfId="28276"/>
    <cellStyle name="Output 2 2 3 2 2 3 2 4" xfId="19599"/>
    <cellStyle name="Output 2 2 3 2 2 3 3" xfId="13261"/>
    <cellStyle name="Output 2 2 3 2 2 3 3 2" xfId="27583"/>
    <cellStyle name="Output 2 2 3 2 2 3 4" xfId="18906"/>
    <cellStyle name="Output 2 2 3 2 2 4" xfId="5707"/>
    <cellStyle name="Output 2 2 3 2 2 4 2" xfId="12260"/>
    <cellStyle name="Output 2 2 3 2 2 4 2 2" xfId="26582"/>
    <cellStyle name="Output 2 2 3 2 2 4 3" xfId="17905"/>
    <cellStyle name="Output 2 2 3 2 2 5" xfId="4053"/>
    <cellStyle name="Output 2 2 3 2 2 5 2" xfId="22729"/>
    <cellStyle name="Output 2 2 3 2 2 6" xfId="17091"/>
    <cellStyle name="Output 2 2 3 2 3" xfId="2363"/>
    <cellStyle name="Output 2 2 3 2 3 2" xfId="2364"/>
    <cellStyle name="Output 2 2 3 2 3 2 2" xfId="7010"/>
    <cellStyle name="Output 2 2 3 2 3 2 2 2" xfId="13614"/>
    <cellStyle name="Output 2 2 3 2 3 2 2 2 2" xfId="27936"/>
    <cellStyle name="Output 2 2 3 2 3 2 2 3" xfId="19259"/>
    <cellStyle name="Output 2 2 3 2 3 2 3" xfId="7602"/>
    <cellStyle name="Output 2 2 3 2 3 2 3 2" xfId="10216"/>
    <cellStyle name="Output 2 2 3 2 3 2 3 2 2" xfId="16478"/>
    <cellStyle name="Output 2 2 3 2 3 2 3 2 2 2" xfId="29894"/>
    <cellStyle name="Output 2 2 3 2 3 2 3 2 3" xfId="21223"/>
    <cellStyle name="Output 2 2 3 2 3 2 3 3" xfId="14206"/>
    <cellStyle name="Output 2 2 3 2 3 2 3 3 2" xfId="28528"/>
    <cellStyle name="Output 2 2 3 2 3 2 3 4" xfId="19851"/>
    <cellStyle name="Output 2 2 3 2 3 2 4" xfId="11533"/>
    <cellStyle name="Output 2 2 3 2 3 2 4 2" xfId="25855"/>
    <cellStyle name="Output 2 2 3 2 3 2 5" xfId="15070"/>
    <cellStyle name="Output 2 2 3 2 3 3" xfId="2365"/>
    <cellStyle name="Output 2 2 3 2 3 3 2" xfId="5283"/>
    <cellStyle name="Output 2 2 3 2 3 3 2 2" xfId="9592"/>
    <cellStyle name="Output 2 2 3 2 3 3 2 2 2" xfId="15854"/>
    <cellStyle name="Output 2 2 3 2 3 3 2 2 2 2" xfId="29270"/>
    <cellStyle name="Output 2 2 3 2 3 3 2 2 3" xfId="20599"/>
    <cellStyle name="Output 2 2 3 2 3 3 2 3" xfId="11833"/>
    <cellStyle name="Output 2 2 3 2 3 3 2 3 2" xfId="26155"/>
    <cellStyle name="Output 2 2 3 2 3 3 2 4" xfId="17478"/>
    <cellStyle name="Output 2 2 3 2 3 3 3" xfId="13394"/>
    <cellStyle name="Output 2 2 3 2 3 3 3 2" xfId="27716"/>
    <cellStyle name="Output 2 2 3 2 3 3 4" xfId="19039"/>
    <cellStyle name="Output 2 2 3 2 3 4" xfId="5858"/>
    <cellStyle name="Output 2 2 3 2 3 4 2" xfId="12411"/>
    <cellStyle name="Output 2 2 3 2 3 4 2 2" xfId="26733"/>
    <cellStyle name="Output 2 2 3 2 3 4 3" xfId="18056"/>
    <cellStyle name="Output 2 2 3 2 3 5" xfId="5057"/>
    <cellStyle name="Output 2 2 3 2 3 5 2" xfId="23320"/>
    <cellStyle name="Output 2 2 3 2 3 6" xfId="4363"/>
    <cellStyle name="Output 2 2 3 2 4" xfId="2366"/>
    <cellStyle name="Output 2 2 3 2 4 2" xfId="6987"/>
    <cellStyle name="Output 2 2 3 2 4 2 2" xfId="13591"/>
    <cellStyle name="Output 2 2 3 2 4 2 2 2" xfId="27913"/>
    <cellStyle name="Output 2 2 3 2 4 2 3" xfId="19236"/>
    <cellStyle name="Output 2 2 3 2 4 3" xfId="7770"/>
    <cellStyle name="Output 2 2 3 2 4 3 2" xfId="10384"/>
    <cellStyle name="Output 2 2 3 2 4 3 2 2" xfId="16646"/>
    <cellStyle name="Output 2 2 3 2 4 3 2 2 2" xfId="30062"/>
    <cellStyle name="Output 2 2 3 2 4 3 2 3" xfId="21391"/>
    <cellStyle name="Output 2 2 3 2 4 3 3" xfId="14374"/>
    <cellStyle name="Output 2 2 3 2 4 3 3 2" xfId="28696"/>
    <cellStyle name="Output 2 2 3 2 4 3 4" xfId="20019"/>
    <cellStyle name="Output 2 2 3 2 4 4" xfId="11499"/>
    <cellStyle name="Output 2 2 3 2 4 4 2" xfId="25821"/>
    <cellStyle name="Output 2 2 3 2 4 5" xfId="4557"/>
    <cellStyle name="Output 2 2 3 2 5" xfId="2367"/>
    <cellStyle name="Output 2 2 3 2 5 2" xfId="7047"/>
    <cellStyle name="Output 2 2 3 2 5 2 2" xfId="9661"/>
    <cellStyle name="Output 2 2 3 2 5 2 2 2" xfId="15923"/>
    <cellStyle name="Output 2 2 3 2 5 2 2 2 2" xfId="29339"/>
    <cellStyle name="Output 2 2 3 2 5 2 2 3" xfId="20668"/>
    <cellStyle name="Output 2 2 3 2 5 2 3" xfId="13651"/>
    <cellStyle name="Output 2 2 3 2 5 2 3 2" xfId="27973"/>
    <cellStyle name="Output 2 2 3 2 5 2 4" xfId="19296"/>
    <cellStyle name="Output 2 2 3 2 5 3" xfId="12816"/>
    <cellStyle name="Output 2 2 3 2 5 3 2" xfId="27138"/>
    <cellStyle name="Output 2 2 3 2 5 4" xfId="18461"/>
    <cellStyle name="Output 2 2 3 2 6" xfId="5353"/>
    <cellStyle name="Output 2 2 3 2 6 2" xfId="11903"/>
    <cellStyle name="Output 2 2 3 2 6 2 2" xfId="26225"/>
    <cellStyle name="Output 2 2 3 2 6 3" xfId="17548"/>
    <cellStyle name="Output 2 2 3 2 7" xfId="6669"/>
    <cellStyle name="Output 2 2 3 2 7 2" xfId="23641"/>
    <cellStyle name="Output 2 2 3 2 8" xfId="15149"/>
    <cellStyle name="Output 2 2 3 3" xfId="2368"/>
    <cellStyle name="Output 2 2 3 3 2" xfId="2369"/>
    <cellStyle name="Output 2 2 3 3 2 2" xfId="2370"/>
    <cellStyle name="Output 2 2 3 3 2 2 2" xfId="6851"/>
    <cellStyle name="Output 2 2 3 3 2 2 2 2" xfId="13455"/>
    <cellStyle name="Output 2 2 3 3 2 2 2 2 2" xfId="27777"/>
    <cellStyle name="Output 2 2 3 3 2 2 2 3" xfId="19100"/>
    <cellStyle name="Output 2 2 3 3 2 2 3" xfId="7665"/>
    <cellStyle name="Output 2 2 3 3 2 2 3 2" xfId="10279"/>
    <cellStyle name="Output 2 2 3 3 2 2 3 2 2" xfId="16541"/>
    <cellStyle name="Output 2 2 3 3 2 2 3 2 2 2" xfId="29957"/>
    <cellStyle name="Output 2 2 3 3 2 2 3 2 3" xfId="21286"/>
    <cellStyle name="Output 2 2 3 3 2 2 3 3" xfId="14269"/>
    <cellStyle name="Output 2 2 3 3 2 2 3 3 2" xfId="28591"/>
    <cellStyle name="Output 2 2 3 3 2 2 3 4" xfId="19914"/>
    <cellStyle name="Output 2 2 3 3 2 2 4" xfId="2764"/>
    <cellStyle name="Output 2 2 3 3 2 2 4 2" xfId="22333"/>
    <cellStyle name="Output 2 2 3 3 2 2 5" xfId="4126"/>
    <cellStyle name="Output 2 2 3 3 2 3" xfId="2371"/>
    <cellStyle name="Output 2 2 3 3 2 3 2" xfId="7510"/>
    <cellStyle name="Output 2 2 3 3 2 3 2 2" xfId="10124"/>
    <cellStyle name="Output 2 2 3 3 2 3 2 2 2" xfId="16386"/>
    <cellStyle name="Output 2 2 3 3 2 3 2 2 2 2" xfId="29802"/>
    <cellStyle name="Output 2 2 3 3 2 3 2 2 3" xfId="21131"/>
    <cellStyle name="Output 2 2 3 3 2 3 2 3" xfId="14114"/>
    <cellStyle name="Output 2 2 3 3 2 3 2 3 2" xfId="28436"/>
    <cellStyle name="Output 2 2 3 3 2 3 2 4" xfId="19759"/>
    <cellStyle name="Output 2 2 3 3 2 3 3" xfId="13228"/>
    <cellStyle name="Output 2 2 3 3 2 3 3 2" xfId="27550"/>
    <cellStyle name="Output 2 2 3 3 2 3 4" xfId="18873"/>
    <cellStyle name="Output 2 2 3 3 2 4" xfId="5669"/>
    <cellStyle name="Output 2 2 3 3 2 4 2" xfId="12222"/>
    <cellStyle name="Output 2 2 3 3 2 4 2 2" xfId="26544"/>
    <cellStyle name="Output 2 2 3 3 2 4 3" xfId="17867"/>
    <cellStyle name="Output 2 2 3 3 2 5" xfId="6366"/>
    <cellStyle name="Output 2 2 3 3 2 5 2" xfId="23548"/>
    <cellStyle name="Output 2 2 3 3 2 6" xfId="17261"/>
    <cellStyle name="Output 2 2 3 3 3" xfId="2372"/>
    <cellStyle name="Output 2 2 3 3 3 2" xfId="2373"/>
    <cellStyle name="Output 2 2 3 3 3 2 2" xfId="6160"/>
    <cellStyle name="Output 2 2 3 3 3 2 2 2" xfId="12731"/>
    <cellStyle name="Output 2 2 3 3 3 2 2 2 2" xfId="27053"/>
    <cellStyle name="Output 2 2 3 3 3 2 2 3" xfId="18376"/>
    <cellStyle name="Output 2 2 3 3 3 2 3" xfId="7453"/>
    <cellStyle name="Output 2 2 3 3 3 2 3 2" xfId="10067"/>
    <cellStyle name="Output 2 2 3 3 3 2 3 2 2" xfId="16329"/>
    <cellStyle name="Output 2 2 3 3 3 2 3 2 2 2" xfId="29745"/>
    <cellStyle name="Output 2 2 3 3 3 2 3 2 3" xfId="21074"/>
    <cellStyle name="Output 2 2 3 3 3 2 3 3" xfId="14057"/>
    <cellStyle name="Output 2 2 3 3 3 2 3 3 2" xfId="28379"/>
    <cellStyle name="Output 2 2 3 3 3 2 3 4" xfId="19702"/>
    <cellStyle name="Output 2 2 3 3 3 2 4" xfId="6180"/>
    <cellStyle name="Output 2 2 3 3 3 2 4 2" xfId="23445"/>
    <cellStyle name="Output 2 2 3 3 3 2 5" xfId="15203"/>
    <cellStyle name="Output 2 2 3 3 3 3" xfId="2374"/>
    <cellStyle name="Output 2 2 3 3 3 3 2" xfId="7954"/>
    <cellStyle name="Output 2 2 3 3 3 3 2 2" xfId="10568"/>
    <cellStyle name="Output 2 2 3 3 3 3 2 2 2" xfId="16830"/>
    <cellStyle name="Output 2 2 3 3 3 3 2 2 2 2" xfId="30246"/>
    <cellStyle name="Output 2 2 3 3 3 3 2 2 3" xfId="21575"/>
    <cellStyle name="Output 2 2 3 3 3 3 2 3" xfId="14558"/>
    <cellStyle name="Output 2 2 3 3 3 3 2 3 2" xfId="28880"/>
    <cellStyle name="Output 2 2 3 3 3 3 2 4" xfId="20203"/>
    <cellStyle name="Output 2 2 3 3 3 3 3" xfId="13185"/>
    <cellStyle name="Output 2 2 3 3 3 3 3 2" xfId="27507"/>
    <cellStyle name="Output 2 2 3 3 3 3 4" xfId="18830"/>
    <cellStyle name="Output 2 2 3 3 3 4" xfId="5621"/>
    <cellStyle name="Output 2 2 3 3 3 4 2" xfId="12174"/>
    <cellStyle name="Output 2 2 3 3 3 4 2 2" xfId="26496"/>
    <cellStyle name="Output 2 2 3 3 3 4 3" xfId="17819"/>
    <cellStyle name="Output 2 2 3 3 3 5" xfId="6156"/>
    <cellStyle name="Output 2 2 3 3 3 5 2" xfId="23435"/>
    <cellStyle name="Output 2 2 3 3 3 6" xfId="17208"/>
    <cellStyle name="Output 2 2 3 3 4" xfId="2375"/>
    <cellStyle name="Output 2 2 3 3 4 2" xfId="6429"/>
    <cellStyle name="Output 2 2 3 3 4 2 2" xfId="13012"/>
    <cellStyle name="Output 2 2 3 3 4 2 2 2" xfId="27334"/>
    <cellStyle name="Output 2 2 3 3 4 2 3" xfId="18657"/>
    <cellStyle name="Output 2 2 3 3 4 3" xfId="7609"/>
    <cellStyle name="Output 2 2 3 3 4 3 2" xfId="10223"/>
    <cellStyle name="Output 2 2 3 3 4 3 2 2" xfId="16485"/>
    <cellStyle name="Output 2 2 3 3 4 3 2 2 2" xfId="29901"/>
    <cellStyle name="Output 2 2 3 3 4 3 2 3" xfId="21230"/>
    <cellStyle name="Output 2 2 3 3 4 3 3" xfId="14213"/>
    <cellStyle name="Output 2 2 3 3 4 3 3 2" xfId="28535"/>
    <cellStyle name="Output 2 2 3 3 4 3 4" xfId="19858"/>
    <cellStyle name="Output 2 2 3 3 4 4" xfId="5978"/>
    <cellStyle name="Output 2 2 3 3 4 4 2" xfId="23388"/>
    <cellStyle name="Output 2 2 3 3 4 5" xfId="17005"/>
    <cellStyle name="Output 2 2 3 3 5" xfId="2376"/>
    <cellStyle name="Output 2 2 3 3 5 2" xfId="7125"/>
    <cellStyle name="Output 2 2 3 3 5 2 2" xfId="9739"/>
    <cellStyle name="Output 2 2 3 3 5 2 2 2" xfId="16001"/>
    <cellStyle name="Output 2 2 3 3 5 2 2 2 2" xfId="29417"/>
    <cellStyle name="Output 2 2 3 3 5 2 2 3" xfId="20746"/>
    <cellStyle name="Output 2 2 3 3 5 2 3" xfId="13729"/>
    <cellStyle name="Output 2 2 3 3 5 2 3 2" xfId="28051"/>
    <cellStyle name="Output 2 2 3 3 5 2 4" xfId="19374"/>
    <cellStyle name="Output 2 2 3 3 5 3" xfId="12600"/>
    <cellStyle name="Output 2 2 3 3 5 3 2" xfId="26922"/>
    <cellStyle name="Output 2 2 3 3 5 4" xfId="18245"/>
    <cellStyle name="Output 2 2 3 3 6" xfId="5052"/>
    <cellStyle name="Output 2 2 3 3 6 2" xfId="11599"/>
    <cellStyle name="Output 2 2 3 3 6 2 2" xfId="25921"/>
    <cellStyle name="Output 2 2 3 3 6 3" xfId="15452"/>
    <cellStyle name="Output 2 2 3 3 7" xfId="4746"/>
    <cellStyle name="Output 2 2 3 3 7 2" xfId="23166"/>
    <cellStyle name="Output 2 2 3 3 8" xfId="4162"/>
    <cellStyle name="Output 2 2 3 4" xfId="2377"/>
    <cellStyle name="Output 2 2 3 4 2" xfId="2378"/>
    <cellStyle name="Output 2 2 3 4 2 2" xfId="2379"/>
    <cellStyle name="Output 2 2 3 4 2 2 2" xfId="6023"/>
    <cellStyle name="Output 2 2 3 4 2 2 2 2" xfId="12584"/>
    <cellStyle name="Output 2 2 3 4 2 2 2 2 2" xfId="26906"/>
    <cellStyle name="Output 2 2 3 4 2 2 2 3" xfId="18229"/>
    <cellStyle name="Output 2 2 3 4 2 2 3" xfId="7881"/>
    <cellStyle name="Output 2 2 3 4 2 2 3 2" xfId="10495"/>
    <cellStyle name="Output 2 2 3 4 2 2 3 2 2" xfId="16757"/>
    <cellStyle name="Output 2 2 3 4 2 2 3 2 2 2" xfId="30173"/>
    <cellStyle name="Output 2 2 3 4 2 2 3 2 3" xfId="21502"/>
    <cellStyle name="Output 2 2 3 4 2 2 3 3" xfId="14485"/>
    <cellStyle name="Output 2 2 3 4 2 2 3 3 2" xfId="28807"/>
    <cellStyle name="Output 2 2 3 4 2 2 3 4" xfId="20130"/>
    <cellStyle name="Output 2 2 3 4 2 2 4" xfId="4074"/>
    <cellStyle name="Output 2 2 3 4 2 2 4 2" xfId="22746"/>
    <cellStyle name="Output 2 2 3 4 2 2 5" xfId="17335"/>
    <cellStyle name="Output 2 2 3 4 2 3" xfId="2380"/>
    <cellStyle name="Output 2 2 3 4 2 3 2" xfId="7255"/>
    <cellStyle name="Output 2 2 3 4 2 3 2 2" xfId="9869"/>
    <cellStyle name="Output 2 2 3 4 2 3 2 2 2" xfId="16131"/>
    <cellStyle name="Output 2 2 3 4 2 3 2 2 2 2" xfId="29547"/>
    <cellStyle name="Output 2 2 3 4 2 3 2 2 3" xfId="20876"/>
    <cellStyle name="Output 2 2 3 4 2 3 2 3" xfId="13859"/>
    <cellStyle name="Output 2 2 3 4 2 3 2 3 2" xfId="28181"/>
    <cellStyle name="Output 2 2 3 4 2 3 2 4" xfId="19504"/>
    <cellStyle name="Output 2 2 3 4 2 3 3" xfId="13218"/>
    <cellStyle name="Output 2 2 3 4 2 3 3 2" xfId="27540"/>
    <cellStyle name="Output 2 2 3 4 2 3 4" xfId="18863"/>
    <cellStyle name="Output 2 2 3 4 2 4" xfId="5659"/>
    <cellStyle name="Output 2 2 3 4 2 4 2" xfId="12212"/>
    <cellStyle name="Output 2 2 3 4 2 4 2 2" xfId="26534"/>
    <cellStyle name="Output 2 2 3 4 2 4 3" xfId="17857"/>
    <cellStyle name="Output 2 2 3 4 2 5" xfId="4400"/>
    <cellStyle name="Output 2 2 3 4 2 5 2" xfId="22929"/>
    <cellStyle name="Output 2 2 3 4 2 6" xfId="14829"/>
    <cellStyle name="Output 2 2 3 4 3" xfId="2381"/>
    <cellStyle name="Output 2 2 3 4 3 2" xfId="2382"/>
    <cellStyle name="Output 2 2 3 4 3 2 2" xfId="6202"/>
    <cellStyle name="Output 2 2 3 4 3 2 2 2" xfId="12775"/>
    <cellStyle name="Output 2 2 3 4 3 2 2 2 2" xfId="27097"/>
    <cellStyle name="Output 2 2 3 4 3 2 2 3" xfId="18420"/>
    <cellStyle name="Output 2 2 3 4 3 2 3" xfId="7304"/>
    <cellStyle name="Output 2 2 3 4 3 2 3 2" xfId="9918"/>
    <cellStyle name="Output 2 2 3 4 3 2 3 2 2" xfId="16180"/>
    <cellStyle name="Output 2 2 3 4 3 2 3 2 2 2" xfId="29596"/>
    <cellStyle name="Output 2 2 3 4 3 2 3 2 3" xfId="20925"/>
    <cellStyle name="Output 2 2 3 4 3 2 3 3" xfId="13908"/>
    <cellStyle name="Output 2 2 3 4 3 2 3 3 2" xfId="28230"/>
    <cellStyle name="Output 2 2 3 4 3 2 3 4" xfId="19553"/>
    <cellStyle name="Output 2 2 3 4 3 2 4" xfId="4934"/>
    <cellStyle name="Output 2 2 3 4 3 2 4 2" xfId="23269"/>
    <cellStyle name="Output 2 2 3 4 3 2 5" xfId="15356"/>
    <cellStyle name="Output 2 2 3 4 3 3" xfId="2383"/>
    <cellStyle name="Output 2 2 3 4 3 3 2" xfId="7501"/>
    <cellStyle name="Output 2 2 3 4 3 3 2 2" xfId="10115"/>
    <cellStyle name="Output 2 2 3 4 3 3 2 2 2" xfId="16377"/>
    <cellStyle name="Output 2 2 3 4 3 3 2 2 2 2" xfId="29793"/>
    <cellStyle name="Output 2 2 3 4 3 3 2 2 3" xfId="21122"/>
    <cellStyle name="Output 2 2 3 4 3 3 2 3" xfId="14105"/>
    <cellStyle name="Output 2 2 3 4 3 3 2 3 2" xfId="28427"/>
    <cellStyle name="Output 2 2 3 4 3 3 2 4" xfId="19750"/>
    <cellStyle name="Output 2 2 3 4 3 3 3" xfId="13211"/>
    <cellStyle name="Output 2 2 3 4 3 3 3 2" xfId="27533"/>
    <cellStyle name="Output 2 2 3 4 3 3 4" xfId="18856"/>
    <cellStyle name="Output 2 2 3 4 3 4" xfId="5650"/>
    <cellStyle name="Output 2 2 3 4 3 4 2" xfId="12203"/>
    <cellStyle name="Output 2 2 3 4 3 4 2 2" xfId="26525"/>
    <cellStyle name="Output 2 2 3 4 3 4 3" xfId="17848"/>
    <cellStyle name="Output 2 2 3 4 3 5" xfId="3187"/>
    <cellStyle name="Output 2 2 3 4 3 5 2" xfId="22431"/>
    <cellStyle name="Output 2 2 3 4 3 6" xfId="15544"/>
    <cellStyle name="Output 2 2 3 4 4" xfId="2384"/>
    <cellStyle name="Output 2 2 3 4 4 2" xfId="6443"/>
    <cellStyle name="Output 2 2 3 4 4 2 2" xfId="13026"/>
    <cellStyle name="Output 2 2 3 4 4 2 2 2" xfId="27348"/>
    <cellStyle name="Output 2 2 3 4 4 2 3" xfId="18671"/>
    <cellStyle name="Output 2 2 3 4 4 3" xfId="7601"/>
    <cellStyle name="Output 2 2 3 4 4 3 2" xfId="10215"/>
    <cellStyle name="Output 2 2 3 4 4 3 2 2" xfId="16477"/>
    <cellStyle name="Output 2 2 3 4 4 3 2 2 2" xfId="29893"/>
    <cellStyle name="Output 2 2 3 4 4 3 2 3" xfId="21222"/>
    <cellStyle name="Output 2 2 3 4 4 3 3" xfId="14205"/>
    <cellStyle name="Output 2 2 3 4 4 3 3 2" xfId="28527"/>
    <cellStyle name="Output 2 2 3 4 4 3 4" xfId="19850"/>
    <cellStyle name="Output 2 2 3 4 4 4" xfId="4606"/>
    <cellStyle name="Output 2 2 3 4 4 4 2" xfId="23064"/>
    <cellStyle name="Output 2 2 3 4 4 5" xfId="15492"/>
    <cellStyle name="Output 2 2 3 4 5" xfId="2385"/>
    <cellStyle name="Output 2 2 3 4 5 2" xfId="7167"/>
    <cellStyle name="Output 2 2 3 4 5 2 2" xfId="9781"/>
    <cellStyle name="Output 2 2 3 4 5 2 2 2" xfId="16043"/>
    <cellStyle name="Output 2 2 3 4 5 2 2 2 2" xfId="29459"/>
    <cellStyle name="Output 2 2 3 4 5 2 2 3" xfId="20788"/>
    <cellStyle name="Output 2 2 3 4 5 2 3" xfId="13771"/>
    <cellStyle name="Output 2 2 3 4 5 2 3 2" xfId="28093"/>
    <cellStyle name="Output 2 2 3 4 5 2 4" xfId="19416"/>
    <cellStyle name="Output 2 2 3 4 5 3" xfId="11786"/>
    <cellStyle name="Output 2 2 3 4 5 3 2" xfId="26108"/>
    <cellStyle name="Output 2 2 3 4 5 4" xfId="17431"/>
    <cellStyle name="Output 2 2 3 4 6" xfId="3738"/>
    <cellStyle name="Output 2 2 3 4 6 2" xfId="6570"/>
    <cellStyle name="Output 2 2 3 4 6 2 2" xfId="23581"/>
    <cellStyle name="Output 2 2 3 4 6 3" xfId="14923"/>
    <cellStyle name="Output 2 2 3 4 7" xfId="6172"/>
    <cellStyle name="Output 2 2 3 4 7 2" xfId="23441"/>
    <cellStyle name="Output 2 2 3 4 8" xfId="17277"/>
    <cellStyle name="Output 2 2 3 5" xfId="2386"/>
    <cellStyle name="Output 2 2 3 5 2" xfId="2387"/>
    <cellStyle name="Output 2 2 3 5 2 2" xfId="2388"/>
    <cellStyle name="Output 2 2 3 5 2 2 2" xfId="6972"/>
    <cellStyle name="Output 2 2 3 5 2 2 2 2" xfId="13576"/>
    <cellStyle name="Output 2 2 3 5 2 2 2 2 2" xfId="27898"/>
    <cellStyle name="Output 2 2 3 5 2 2 2 3" xfId="19221"/>
    <cellStyle name="Output 2 2 3 5 2 2 3" xfId="8050"/>
    <cellStyle name="Output 2 2 3 5 2 2 3 2" xfId="10664"/>
    <cellStyle name="Output 2 2 3 5 2 2 3 2 2" xfId="16926"/>
    <cellStyle name="Output 2 2 3 5 2 2 3 2 2 2" xfId="30342"/>
    <cellStyle name="Output 2 2 3 5 2 2 3 2 3" xfId="21671"/>
    <cellStyle name="Output 2 2 3 5 2 2 3 3" xfId="14654"/>
    <cellStyle name="Output 2 2 3 5 2 2 3 3 2" xfId="28976"/>
    <cellStyle name="Output 2 2 3 5 2 2 3 4" xfId="20299"/>
    <cellStyle name="Output 2 2 3 5 2 2 4" xfId="11479"/>
    <cellStyle name="Output 2 2 3 5 2 2 4 2" xfId="25801"/>
    <cellStyle name="Output 2 2 3 5 2 2 5" xfId="14727"/>
    <cellStyle name="Output 2 2 3 5 2 3" xfId="2389"/>
    <cellStyle name="Output 2 2 3 5 2 3 2" xfId="7917"/>
    <cellStyle name="Output 2 2 3 5 2 3 2 2" xfId="10531"/>
    <cellStyle name="Output 2 2 3 5 2 3 2 2 2" xfId="16793"/>
    <cellStyle name="Output 2 2 3 5 2 3 2 2 2 2" xfId="30209"/>
    <cellStyle name="Output 2 2 3 5 2 3 2 2 3" xfId="21538"/>
    <cellStyle name="Output 2 2 3 5 2 3 2 3" xfId="14521"/>
    <cellStyle name="Output 2 2 3 5 2 3 2 3 2" xfId="28843"/>
    <cellStyle name="Output 2 2 3 5 2 3 2 4" xfId="20166"/>
    <cellStyle name="Output 2 2 3 5 2 3 3" xfId="12117"/>
    <cellStyle name="Output 2 2 3 5 2 3 3 2" xfId="26439"/>
    <cellStyle name="Output 2 2 3 5 2 3 4" xfId="17762"/>
    <cellStyle name="Output 2 2 3 5 2 4" xfId="3986"/>
    <cellStyle name="Output 2 2 3 5 2 4 2" xfId="5837"/>
    <cellStyle name="Output 2 2 3 5 2 4 2 2" xfId="23366"/>
    <cellStyle name="Output 2 2 3 5 2 4 3" xfId="15306"/>
    <cellStyle name="Output 2 2 3 5 2 5" xfId="4444"/>
    <cellStyle name="Output 2 2 3 5 2 5 2" xfId="22956"/>
    <cellStyle name="Output 2 2 3 5 2 6" xfId="17238"/>
    <cellStyle name="Output 2 2 3 5 3" xfId="2390"/>
    <cellStyle name="Output 2 2 3 5 3 2" xfId="7018"/>
    <cellStyle name="Output 2 2 3 5 3 2 2" xfId="13622"/>
    <cellStyle name="Output 2 2 3 5 3 2 2 2" xfId="27944"/>
    <cellStyle name="Output 2 2 3 5 3 2 3" xfId="19267"/>
    <cellStyle name="Output 2 2 3 5 3 3" xfId="7090"/>
    <cellStyle name="Output 2 2 3 5 3 3 2" xfId="9704"/>
    <cellStyle name="Output 2 2 3 5 3 3 2 2" xfId="15966"/>
    <cellStyle name="Output 2 2 3 5 3 3 2 2 2" xfId="29382"/>
    <cellStyle name="Output 2 2 3 5 3 3 2 3" xfId="20711"/>
    <cellStyle name="Output 2 2 3 5 3 3 3" xfId="13694"/>
    <cellStyle name="Output 2 2 3 5 3 3 3 2" xfId="28016"/>
    <cellStyle name="Output 2 2 3 5 3 3 4" xfId="19339"/>
    <cellStyle name="Output 2 2 3 5 3 4" xfId="11548"/>
    <cellStyle name="Output 2 2 3 5 3 4 2" xfId="25870"/>
    <cellStyle name="Output 2 2 3 5 3 5" xfId="17260"/>
    <cellStyle name="Output 2 2 3 5 4" xfId="2391"/>
    <cellStyle name="Output 2 2 3 5 4 2" xfId="7426"/>
    <cellStyle name="Output 2 2 3 5 4 2 2" xfId="10040"/>
    <cellStyle name="Output 2 2 3 5 4 2 2 2" xfId="16302"/>
    <cellStyle name="Output 2 2 3 5 4 2 2 2 2" xfId="29718"/>
    <cellStyle name="Output 2 2 3 5 4 2 2 3" xfId="21047"/>
    <cellStyle name="Output 2 2 3 5 4 2 3" xfId="14030"/>
    <cellStyle name="Output 2 2 3 5 4 2 3 2" xfId="28352"/>
    <cellStyle name="Output 2 2 3 5 4 2 4" xfId="19675"/>
    <cellStyle name="Output 2 2 3 5 4 3" xfId="12830"/>
    <cellStyle name="Output 2 2 3 5 4 3 2" xfId="27152"/>
    <cellStyle name="Output 2 2 3 5 4 4" xfId="18475"/>
    <cellStyle name="Output 2 2 3 5 5" xfId="5390"/>
    <cellStyle name="Output 2 2 3 5 5 2" xfId="11940"/>
    <cellStyle name="Output 2 2 3 5 5 2 2" xfId="26262"/>
    <cellStyle name="Output 2 2 3 5 5 3" xfId="17585"/>
    <cellStyle name="Output 2 2 3 5 6" xfId="2839"/>
    <cellStyle name="Output 2 2 3 5 6 2" xfId="22402"/>
    <cellStyle name="Output 2 2 3 5 7" xfId="15535"/>
    <cellStyle name="Output 2 2 3 6" xfId="2392"/>
    <cellStyle name="Output 2 2 3 6 2" xfId="2393"/>
    <cellStyle name="Output 2 2 3 6 2 2" xfId="6979"/>
    <cellStyle name="Output 2 2 3 6 2 2 2" xfId="13583"/>
    <cellStyle name="Output 2 2 3 6 2 2 2 2" xfId="27905"/>
    <cellStyle name="Output 2 2 3 6 2 2 3" xfId="19228"/>
    <cellStyle name="Output 2 2 3 6 2 3" xfId="7850"/>
    <cellStyle name="Output 2 2 3 6 2 3 2" xfId="10464"/>
    <cellStyle name="Output 2 2 3 6 2 3 2 2" xfId="16726"/>
    <cellStyle name="Output 2 2 3 6 2 3 2 2 2" xfId="30142"/>
    <cellStyle name="Output 2 2 3 6 2 3 2 3" xfId="21471"/>
    <cellStyle name="Output 2 2 3 6 2 3 3" xfId="14454"/>
    <cellStyle name="Output 2 2 3 6 2 3 3 2" xfId="28776"/>
    <cellStyle name="Output 2 2 3 6 2 3 4" xfId="20099"/>
    <cellStyle name="Output 2 2 3 6 2 4" xfId="11490"/>
    <cellStyle name="Output 2 2 3 6 2 4 2" xfId="25812"/>
    <cellStyle name="Output 2 2 3 6 2 5" xfId="15050"/>
    <cellStyle name="Output 2 2 3 6 3" xfId="2394"/>
    <cellStyle name="Output 2 2 3 6 3 2" xfId="5261"/>
    <cellStyle name="Output 2 2 3 6 3 2 2" xfId="9570"/>
    <cellStyle name="Output 2 2 3 6 3 2 2 2" xfId="15832"/>
    <cellStyle name="Output 2 2 3 6 3 2 2 2 2" xfId="29248"/>
    <cellStyle name="Output 2 2 3 6 3 2 2 3" xfId="20577"/>
    <cellStyle name="Output 2 2 3 6 3 2 3" xfId="11811"/>
    <cellStyle name="Output 2 2 3 6 3 2 3 2" xfId="26133"/>
    <cellStyle name="Output 2 2 3 6 3 2 4" xfId="17456"/>
    <cellStyle name="Output 2 2 3 6 3 3" xfId="13169"/>
    <cellStyle name="Output 2 2 3 6 3 3 2" xfId="27491"/>
    <cellStyle name="Output 2 2 3 6 3 4" xfId="18814"/>
    <cellStyle name="Output 2 2 3 6 4" xfId="5588"/>
    <cellStyle name="Output 2 2 3 6 4 2" xfId="12140"/>
    <cellStyle name="Output 2 2 3 6 4 2 2" xfId="26462"/>
    <cellStyle name="Output 2 2 3 6 4 3" xfId="17785"/>
    <cellStyle name="Output 2 2 3 6 5" xfId="6819"/>
    <cellStyle name="Output 2 2 3 6 5 2" xfId="23755"/>
    <cellStyle name="Output 2 2 3 6 6" xfId="4179"/>
    <cellStyle name="Output 2 2 3 7" xfId="2395"/>
    <cellStyle name="Output 2 2 3 7 2" xfId="5163"/>
    <cellStyle name="Output 2 2 3 7 2 2" xfId="11712"/>
    <cellStyle name="Output 2 2 3 7 2 2 2" xfId="26034"/>
    <cellStyle name="Output 2 2 3 7 2 3" xfId="4486"/>
    <cellStyle name="Output 2 2 3 7 3" xfId="7370"/>
    <cellStyle name="Output 2 2 3 7 3 2" xfId="9984"/>
    <cellStyle name="Output 2 2 3 7 3 2 2" xfId="16246"/>
    <cellStyle name="Output 2 2 3 7 3 2 2 2" xfId="29662"/>
    <cellStyle name="Output 2 2 3 7 3 2 3" xfId="20991"/>
    <cellStyle name="Output 2 2 3 7 3 3" xfId="13974"/>
    <cellStyle name="Output 2 2 3 7 3 3 2" xfId="28296"/>
    <cellStyle name="Output 2 2 3 7 3 4" xfId="19619"/>
    <cellStyle name="Output 2 2 3 7 4" xfId="4518"/>
    <cellStyle name="Output 2 2 3 7 4 2" xfId="23004"/>
    <cellStyle name="Output 2 2 3 7 5" xfId="14951"/>
    <cellStyle name="Output 2 2 3 8" xfId="2396"/>
    <cellStyle name="Output 2 2 3 8 2" xfId="7467"/>
    <cellStyle name="Output 2 2 3 8 2 2" xfId="10081"/>
    <cellStyle name="Output 2 2 3 8 2 2 2" xfId="16343"/>
    <cellStyle name="Output 2 2 3 8 2 2 2 2" xfId="29759"/>
    <cellStyle name="Output 2 2 3 8 2 2 3" xfId="21088"/>
    <cellStyle name="Output 2 2 3 8 2 3" xfId="14071"/>
    <cellStyle name="Output 2 2 3 8 2 3 2" xfId="28393"/>
    <cellStyle name="Output 2 2 3 8 2 4" xfId="19716"/>
    <cellStyle name="Output 2 2 3 8 3" xfId="3661"/>
    <cellStyle name="Output 2 2 3 8 3 2" xfId="22511"/>
    <cellStyle name="Output 2 2 3 8 4" xfId="17236"/>
    <cellStyle name="Output 2 2 3 9" xfId="5248"/>
    <cellStyle name="Output 2 2 3 9 2" xfId="11798"/>
    <cellStyle name="Output 2 2 3 9 2 2" xfId="26120"/>
    <cellStyle name="Output 2 2 3 9 3" xfId="17443"/>
    <cellStyle name="Output 2 2 4" xfId="2397"/>
    <cellStyle name="Output 2 2 4 2" xfId="2398"/>
    <cellStyle name="Output 2 2 4 2 2" xfId="2399"/>
    <cellStyle name="Output 2 2 4 2 2 2" xfId="6030"/>
    <cellStyle name="Output 2 2 4 2 2 2 2" xfId="12591"/>
    <cellStyle name="Output 2 2 4 2 2 2 2 2" xfId="26913"/>
    <cellStyle name="Output 2 2 4 2 2 2 3" xfId="18236"/>
    <cellStyle name="Output 2 2 4 2 2 3" xfId="7268"/>
    <cellStyle name="Output 2 2 4 2 2 3 2" xfId="9882"/>
    <cellStyle name="Output 2 2 4 2 2 3 2 2" xfId="16144"/>
    <cellStyle name="Output 2 2 4 2 2 3 2 2 2" xfId="29560"/>
    <cellStyle name="Output 2 2 4 2 2 3 2 3" xfId="20889"/>
    <cellStyle name="Output 2 2 4 2 2 3 3" xfId="13872"/>
    <cellStyle name="Output 2 2 4 2 2 3 3 2" xfId="28194"/>
    <cellStyle name="Output 2 2 4 2 2 3 4" xfId="19517"/>
    <cellStyle name="Output 2 2 4 2 2 4" xfId="3956"/>
    <cellStyle name="Output 2 2 4 2 2 4 2" xfId="22668"/>
    <cellStyle name="Output 2 2 4 2 2 5" xfId="15029"/>
    <cellStyle name="Output 2 2 4 2 3" xfId="2400"/>
    <cellStyle name="Output 2 2 4 2 3 2" xfId="7544"/>
    <cellStyle name="Output 2 2 4 2 3 2 2" xfId="10158"/>
    <cellStyle name="Output 2 2 4 2 3 2 2 2" xfId="16420"/>
    <cellStyle name="Output 2 2 4 2 3 2 2 2 2" xfId="29836"/>
    <cellStyle name="Output 2 2 4 2 3 2 2 3" xfId="21165"/>
    <cellStyle name="Output 2 2 4 2 3 2 3" xfId="14148"/>
    <cellStyle name="Output 2 2 4 2 3 2 3 2" xfId="28470"/>
    <cellStyle name="Output 2 2 4 2 3 2 4" xfId="19793"/>
    <cellStyle name="Output 2 2 4 2 3 3" xfId="13289"/>
    <cellStyle name="Output 2 2 4 2 3 3 2" xfId="27611"/>
    <cellStyle name="Output 2 2 4 2 3 4" xfId="18934"/>
    <cellStyle name="Output 2 2 4 2 4" xfId="5739"/>
    <cellStyle name="Output 2 2 4 2 4 2" xfId="12292"/>
    <cellStyle name="Output 2 2 4 2 4 2 2" xfId="26614"/>
    <cellStyle name="Output 2 2 4 2 4 3" xfId="17937"/>
    <cellStyle name="Output 2 2 4 2 5" xfId="5003"/>
    <cellStyle name="Output 2 2 4 2 5 2" xfId="23304"/>
    <cellStyle name="Output 2 2 4 2 6" xfId="14761"/>
    <cellStyle name="Output 2 2 4 3" xfId="2401"/>
    <cellStyle name="Output 2 2 4 3 2" xfId="2402"/>
    <cellStyle name="Output 2 2 4 3 2 2" xfId="7028"/>
    <cellStyle name="Output 2 2 4 3 2 2 2" xfId="13632"/>
    <cellStyle name="Output 2 2 4 3 2 2 2 2" xfId="27954"/>
    <cellStyle name="Output 2 2 4 3 2 2 3" xfId="19277"/>
    <cellStyle name="Output 2 2 4 3 2 3" xfId="7518"/>
    <cellStyle name="Output 2 2 4 3 2 3 2" xfId="10132"/>
    <cellStyle name="Output 2 2 4 3 2 3 2 2" xfId="16394"/>
    <cellStyle name="Output 2 2 4 3 2 3 2 2 2" xfId="29810"/>
    <cellStyle name="Output 2 2 4 3 2 3 2 3" xfId="21139"/>
    <cellStyle name="Output 2 2 4 3 2 3 3" xfId="14122"/>
    <cellStyle name="Output 2 2 4 3 2 3 3 2" xfId="28444"/>
    <cellStyle name="Output 2 2 4 3 2 3 4" xfId="19767"/>
    <cellStyle name="Output 2 2 4 3 2 4" xfId="11567"/>
    <cellStyle name="Output 2 2 4 3 2 4 2" xfId="25889"/>
    <cellStyle name="Output 2 2 4 3 2 5" xfId="4459"/>
    <cellStyle name="Output 2 2 4 3 3" xfId="2403"/>
    <cellStyle name="Output 2 2 4 3 3 2" xfId="8012"/>
    <cellStyle name="Output 2 2 4 3 3 2 2" xfId="10626"/>
    <cellStyle name="Output 2 2 4 3 3 2 2 2" xfId="16888"/>
    <cellStyle name="Output 2 2 4 3 3 2 2 2 2" xfId="30304"/>
    <cellStyle name="Output 2 2 4 3 3 2 2 3" xfId="21633"/>
    <cellStyle name="Output 2 2 4 3 3 2 3" xfId="14616"/>
    <cellStyle name="Output 2 2 4 3 3 2 3 2" xfId="28938"/>
    <cellStyle name="Output 2 2 4 3 3 2 4" xfId="20261"/>
    <cellStyle name="Output 2 2 4 3 3 3" xfId="13389"/>
    <cellStyle name="Output 2 2 4 3 3 3 2" xfId="27711"/>
    <cellStyle name="Output 2 2 4 3 3 4" xfId="19034"/>
    <cellStyle name="Output 2 2 4 3 4" xfId="5853"/>
    <cellStyle name="Output 2 2 4 3 4 2" xfId="12406"/>
    <cellStyle name="Output 2 2 4 3 4 2 2" xfId="26728"/>
    <cellStyle name="Output 2 2 4 3 4 3" xfId="18051"/>
    <cellStyle name="Output 2 2 4 3 5" xfId="4307"/>
    <cellStyle name="Output 2 2 4 3 5 2" xfId="22883"/>
    <cellStyle name="Output 2 2 4 3 6" xfId="17077"/>
    <cellStyle name="Output 2 2 4 4" xfId="2404"/>
    <cellStyle name="Output 2 2 4 4 2" xfId="6006"/>
    <cellStyle name="Output 2 2 4 4 2 2" xfId="12565"/>
    <cellStyle name="Output 2 2 4 4 2 2 2" xfId="26887"/>
    <cellStyle name="Output 2 2 4 4 2 3" xfId="18210"/>
    <cellStyle name="Output 2 2 4 4 3" xfId="7147"/>
    <cellStyle name="Output 2 2 4 4 3 2" xfId="9761"/>
    <cellStyle name="Output 2 2 4 4 3 2 2" xfId="16023"/>
    <cellStyle name="Output 2 2 4 4 3 2 2 2" xfId="29439"/>
    <cellStyle name="Output 2 2 4 4 3 2 3" xfId="20768"/>
    <cellStyle name="Output 2 2 4 4 3 3" xfId="13751"/>
    <cellStyle name="Output 2 2 4 4 3 3 2" xfId="28073"/>
    <cellStyle name="Output 2 2 4 4 3 4" xfId="19396"/>
    <cellStyle name="Output 2 2 4 4 4" xfId="6313"/>
    <cellStyle name="Output 2 2 4 4 4 2" xfId="23509"/>
    <cellStyle name="Output 2 2 4 4 5" xfId="14889"/>
    <cellStyle name="Output 2 2 4 5" xfId="2405"/>
    <cellStyle name="Output 2 2 4 5 2" xfId="7830"/>
    <cellStyle name="Output 2 2 4 5 2 2" xfId="10444"/>
    <cellStyle name="Output 2 2 4 5 2 2 2" xfId="16706"/>
    <cellStyle name="Output 2 2 4 5 2 2 2 2" xfId="30122"/>
    <cellStyle name="Output 2 2 4 5 2 2 3" xfId="21451"/>
    <cellStyle name="Output 2 2 4 5 2 3" xfId="14434"/>
    <cellStyle name="Output 2 2 4 5 2 3 2" xfId="28756"/>
    <cellStyle name="Output 2 2 4 5 2 4" xfId="20079"/>
    <cellStyle name="Output 2 2 4 5 3" xfId="12858"/>
    <cellStyle name="Output 2 2 4 5 3 2" xfId="27180"/>
    <cellStyle name="Output 2 2 4 5 4" xfId="18503"/>
    <cellStyle name="Output 2 2 4 6" xfId="5466"/>
    <cellStyle name="Output 2 2 4 6 2" xfId="12017"/>
    <cellStyle name="Output 2 2 4 6 2 2" xfId="26339"/>
    <cellStyle name="Output 2 2 4 6 3" xfId="17662"/>
    <cellStyle name="Output 2 2 4 7" xfId="5571"/>
    <cellStyle name="Output 2 2 4 7 2" xfId="23351"/>
    <cellStyle name="Output 2 2 4 8" xfId="16991"/>
    <cellStyle name="Output 2 2 5" xfId="2406"/>
    <cellStyle name="Output 2 2 5 2" xfId="2407"/>
    <cellStyle name="Output 2 2 5 2 2" xfId="2408"/>
    <cellStyle name="Output 2 2 5 2 2 2" xfId="6067"/>
    <cellStyle name="Output 2 2 5 2 2 2 2" xfId="12633"/>
    <cellStyle name="Output 2 2 5 2 2 2 2 2" xfId="26955"/>
    <cellStyle name="Output 2 2 5 2 2 2 3" xfId="18278"/>
    <cellStyle name="Output 2 2 5 2 2 3" xfId="8026"/>
    <cellStyle name="Output 2 2 5 2 2 3 2" xfId="10640"/>
    <cellStyle name="Output 2 2 5 2 2 3 2 2" xfId="16902"/>
    <cellStyle name="Output 2 2 5 2 2 3 2 2 2" xfId="30318"/>
    <cellStyle name="Output 2 2 5 2 2 3 2 3" xfId="21647"/>
    <cellStyle name="Output 2 2 5 2 2 3 3" xfId="14630"/>
    <cellStyle name="Output 2 2 5 2 2 3 3 2" xfId="28952"/>
    <cellStyle name="Output 2 2 5 2 2 3 4" xfId="20275"/>
    <cellStyle name="Output 2 2 5 2 2 4" xfId="6293"/>
    <cellStyle name="Output 2 2 5 2 2 4 2" xfId="23492"/>
    <cellStyle name="Output 2 2 5 2 2 5" xfId="15451"/>
    <cellStyle name="Output 2 2 5 2 3" xfId="2409"/>
    <cellStyle name="Output 2 2 5 2 3 2" xfId="7521"/>
    <cellStyle name="Output 2 2 5 2 3 2 2" xfId="10135"/>
    <cellStyle name="Output 2 2 5 2 3 2 2 2" xfId="16397"/>
    <cellStyle name="Output 2 2 5 2 3 2 2 2 2" xfId="29813"/>
    <cellStyle name="Output 2 2 5 2 3 2 2 3" xfId="21142"/>
    <cellStyle name="Output 2 2 5 2 3 2 3" xfId="14125"/>
    <cellStyle name="Output 2 2 5 2 3 2 3 2" xfId="28447"/>
    <cellStyle name="Output 2 2 5 2 3 2 4" xfId="19770"/>
    <cellStyle name="Output 2 2 5 2 3 3" xfId="13291"/>
    <cellStyle name="Output 2 2 5 2 3 3 2" xfId="27613"/>
    <cellStyle name="Output 2 2 5 2 3 4" xfId="18936"/>
    <cellStyle name="Output 2 2 5 2 4" xfId="5741"/>
    <cellStyle name="Output 2 2 5 2 4 2" xfId="12294"/>
    <cellStyle name="Output 2 2 5 2 4 2 2" xfId="26616"/>
    <cellStyle name="Output 2 2 5 2 4 3" xfId="17939"/>
    <cellStyle name="Output 2 2 5 2 5" xfId="6695"/>
    <cellStyle name="Output 2 2 5 2 5 2" xfId="23658"/>
    <cellStyle name="Output 2 2 5 2 6" xfId="15382"/>
    <cellStyle name="Output 2 2 5 3" xfId="2410"/>
    <cellStyle name="Output 2 2 5 3 2" xfId="2411"/>
    <cellStyle name="Output 2 2 5 3 2 2" xfId="6117"/>
    <cellStyle name="Output 2 2 5 3 2 2 2" xfId="12685"/>
    <cellStyle name="Output 2 2 5 3 2 2 2 2" xfId="27007"/>
    <cellStyle name="Output 2 2 5 3 2 2 3" xfId="18330"/>
    <cellStyle name="Output 2 2 5 3 2 3" xfId="7137"/>
    <cellStyle name="Output 2 2 5 3 2 3 2" xfId="9751"/>
    <cellStyle name="Output 2 2 5 3 2 3 2 2" xfId="16013"/>
    <cellStyle name="Output 2 2 5 3 2 3 2 2 2" xfId="29429"/>
    <cellStyle name="Output 2 2 5 3 2 3 2 3" xfId="20758"/>
    <cellStyle name="Output 2 2 5 3 2 3 3" xfId="13741"/>
    <cellStyle name="Output 2 2 5 3 2 3 3 2" xfId="28063"/>
    <cellStyle name="Output 2 2 5 3 2 3 4" xfId="19386"/>
    <cellStyle name="Output 2 2 5 3 2 4" xfId="3265"/>
    <cellStyle name="Output 2 2 5 3 2 4 2" xfId="22451"/>
    <cellStyle name="Output 2 2 5 3 2 5" xfId="15263"/>
    <cellStyle name="Output 2 2 5 3 3" xfId="2412"/>
    <cellStyle name="Output 2 2 5 3 3 2" xfId="5276"/>
    <cellStyle name="Output 2 2 5 3 3 2 2" xfId="9585"/>
    <cellStyle name="Output 2 2 5 3 3 2 2 2" xfId="15847"/>
    <cellStyle name="Output 2 2 5 3 3 2 2 2 2" xfId="29263"/>
    <cellStyle name="Output 2 2 5 3 3 2 2 3" xfId="20592"/>
    <cellStyle name="Output 2 2 5 3 3 2 3" xfId="11826"/>
    <cellStyle name="Output 2 2 5 3 3 2 3 2" xfId="26148"/>
    <cellStyle name="Output 2 2 5 3 3 2 4" xfId="17471"/>
    <cellStyle name="Output 2 2 5 3 3 3" xfId="13073"/>
    <cellStyle name="Output 2 2 5 3 3 3 2" xfId="27395"/>
    <cellStyle name="Output 2 2 5 3 3 4" xfId="18718"/>
    <cellStyle name="Output 2 2 5 3 4" xfId="5419"/>
    <cellStyle name="Output 2 2 5 3 4 2" xfId="11970"/>
    <cellStyle name="Output 2 2 5 3 4 2 2" xfId="26292"/>
    <cellStyle name="Output 2 2 5 3 4 3" xfId="17615"/>
    <cellStyle name="Output 2 2 5 3 5" xfId="4269"/>
    <cellStyle name="Output 2 2 5 3 5 2" xfId="22861"/>
    <cellStyle name="Output 2 2 5 3 6" xfId="15118"/>
    <cellStyle name="Output 2 2 5 4" xfId="2413"/>
    <cellStyle name="Output 2 2 5 4 2" xfId="6393"/>
    <cellStyle name="Output 2 2 5 4 2 2" xfId="12976"/>
    <cellStyle name="Output 2 2 5 4 2 2 2" xfId="27298"/>
    <cellStyle name="Output 2 2 5 4 2 3" xfId="18621"/>
    <cellStyle name="Output 2 2 5 4 3" xfId="4966"/>
    <cellStyle name="Output 2 2 5 4 3 2" xfId="9526"/>
    <cellStyle name="Output 2 2 5 4 3 2 2" xfId="15788"/>
    <cellStyle name="Output 2 2 5 4 3 2 2 2" xfId="29204"/>
    <cellStyle name="Output 2 2 5 4 3 2 3" xfId="20533"/>
    <cellStyle name="Output 2 2 5 4 3 3" xfId="11507"/>
    <cellStyle name="Output 2 2 5 4 3 3 2" xfId="25829"/>
    <cellStyle name="Output 2 2 5 4 3 4" xfId="6764"/>
    <cellStyle name="Output 2 2 5 4 4" xfId="4046"/>
    <cellStyle name="Output 2 2 5 4 4 2" xfId="22723"/>
    <cellStyle name="Output 2 2 5 4 5" xfId="4405"/>
    <cellStyle name="Output 2 2 5 5" xfId="2414"/>
    <cellStyle name="Output 2 2 5 5 2" xfId="7803"/>
    <cellStyle name="Output 2 2 5 5 2 2" xfId="10417"/>
    <cellStyle name="Output 2 2 5 5 2 2 2" xfId="16679"/>
    <cellStyle name="Output 2 2 5 5 2 2 2 2" xfId="30095"/>
    <cellStyle name="Output 2 2 5 5 2 2 3" xfId="21424"/>
    <cellStyle name="Output 2 2 5 5 2 3" xfId="14407"/>
    <cellStyle name="Output 2 2 5 5 2 3 2" xfId="28729"/>
    <cellStyle name="Output 2 2 5 5 2 4" xfId="20052"/>
    <cellStyle name="Output 2 2 5 5 3" xfId="12867"/>
    <cellStyle name="Output 2 2 5 5 3 2" xfId="27189"/>
    <cellStyle name="Output 2 2 5 5 4" xfId="18512"/>
    <cellStyle name="Output 2 2 5 6" xfId="5484"/>
    <cellStyle name="Output 2 2 5 6 2" xfId="12035"/>
    <cellStyle name="Output 2 2 5 6 2 2" xfId="26357"/>
    <cellStyle name="Output 2 2 5 6 3" xfId="17680"/>
    <cellStyle name="Output 2 2 5 7" xfId="5023"/>
    <cellStyle name="Output 2 2 5 7 2" xfId="23311"/>
    <cellStyle name="Output 2 2 5 8" xfId="15291"/>
    <cellStyle name="Output 2 2 6" xfId="2415"/>
    <cellStyle name="Output 2 2 6 2" xfId="2416"/>
    <cellStyle name="Output 2 2 6 2 2" xfId="2417"/>
    <cellStyle name="Output 2 2 6 2 2 2" xfId="6989"/>
    <cellStyle name="Output 2 2 6 2 2 2 2" xfId="13593"/>
    <cellStyle name="Output 2 2 6 2 2 2 2 2" xfId="27915"/>
    <cellStyle name="Output 2 2 6 2 2 2 3" xfId="19238"/>
    <cellStyle name="Output 2 2 6 2 2 3" xfId="7626"/>
    <cellStyle name="Output 2 2 6 2 2 3 2" xfId="10240"/>
    <cellStyle name="Output 2 2 6 2 2 3 2 2" xfId="16502"/>
    <cellStyle name="Output 2 2 6 2 2 3 2 2 2" xfId="29918"/>
    <cellStyle name="Output 2 2 6 2 2 3 2 3" xfId="21247"/>
    <cellStyle name="Output 2 2 6 2 2 3 3" xfId="14230"/>
    <cellStyle name="Output 2 2 6 2 2 3 3 2" xfId="28552"/>
    <cellStyle name="Output 2 2 6 2 2 3 4" xfId="19875"/>
    <cellStyle name="Output 2 2 6 2 2 4" xfId="11501"/>
    <cellStyle name="Output 2 2 6 2 2 4 2" xfId="25823"/>
    <cellStyle name="Output 2 2 6 2 2 5" xfId="15180"/>
    <cellStyle name="Output 2 2 6 2 3" xfId="2418"/>
    <cellStyle name="Output 2 2 6 2 3 2" xfId="4778"/>
    <cellStyle name="Output 2 2 6 2 3 2 2" xfId="9483"/>
    <cellStyle name="Output 2 2 6 2 3 2 2 2" xfId="15745"/>
    <cellStyle name="Output 2 2 6 2 3 2 2 2 2" xfId="29161"/>
    <cellStyle name="Output 2 2 6 2 3 2 2 3" xfId="20490"/>
    <cellStyle name="Output 2 2 6 2 3 2 3" xfId="2765"/>
    <cellStyle name="Output 2 2 6 2 3 2 3 2" xfId="22334"/>
    <cellStyle name="Output 2 2 6 2 3 2 4" xfId="14944"/>
    <cellStyle name="Output 2 2 6 2 3 3" xfId="13238"/>
    <cellStyle name="Output 2 2 6 2 3 3 2" xfId="27560"/>
    <cellStyle name="Output 2 2 6 2 3 4" xfId="18883"/>
    <cellStyle name="Output 2 2 6 2 4" xfId="5679"/>
    <cellStyle name="Output 2 2 6 2 4 2" xfId="12232"/>
    <cellStyle name="Output 2 2 6 2 4 2 2" xfId="26554"/>
    <cellStyle name="Output 2 2 6 2 4 3" xfId="17877"/>
    <cellStyle name="Output 2 2 6 2 5" xfId="4095"/>
    <cellStyle name="Output 2 2 6 2 5 2" xfId="22755"/>
    <cellStyle name="Output 2 2 6 2 6" xfId="4940"/>
    <cellStyle name="Output 2 2 6 3" xfId="2419"/>
    <cellStyle name="Output 2 2 6 3 2" xfId="2420"/>
    <cellStyle name="Output 2 2 6 3 2 2" xfId="5521"/>
    <cellStyle name="Output 2 2 6 3 2 2 2" xfId="12072"/>
    <cellStyle name="Output 2 2 6 3 2 2 2 2" xfId="26394"/>
    <cellStyle name="Output 2 2 6 3 2 2 3" xfId="17717"/>
    <cellStyle name="Output 2 2 6 3 2 3" xfId="7978"/>
    <cellStyle name="Output 2 2 6 3 2 3 2" xfId="10592"/>
    <cellStyle name="Output 2 2 6 3 2 3 2 2" xfId="16854"/>
    <cellStyle name="Output 2 2 6 3 2 3 2 2 2" xfId="30270"/>
    <cellStyle name="Output 2 2 6 3 2 3 2 3" xfId="21599"/>
    <cellStyle name="Output 2 2 6 3 2 3 3" xfId="14582"/>
    <cellStyle name="Output 2 2 6 3 2 3 3 2" xfId="28904"/>
    <cellStyle name="Output 2 2 6 3 2 3 4" xfId="20227"/>
    <cellStyle name="Output 2 2 6 3 2 4" xfId="4067"/>
    <cellStyle name="Output 2 2 6 3 2 4 2" xfId="22739"/>
    <cellStyle name="Output 2 2 6 3 2 5" xfId="6322"/>
    <cellStyle name="Output 2 2 6 3 3" xfId="2421"/>
    <cellStyle name="Output 2 2 6 3 3 2" xfId="7739"/>
    <cellStyle name="Output 2 2 6 3 3 2 2" xfId="10353"/>
    <cellStyle name="Output 2 2 6 3 3 2 2 2" xfId="16615"/>
    <cellStyle name="Output 2 2 6 3 3 2 2 2 2" xfId="30031"/>
    <cellStyle name="Output 2 2 6 3 3 2 2 3" xfId="21360"/>
    <cellStyle name="Output 2 2 6 3 3 2 3" xfId="14343"/>
    <cellStyle name="Output 2 2 6 3 3 2 3 2" xfId="28665"/>
    <cellStyle name="Output 2 2 6 3 3 2 4" xfId="19988"/>
    <cellStyle name="Output 2 2 6 3 3 3" xfId="13072"/>
    <cellStyle name="Output 2 2 6 3 3 3 2" xfId="27394"/>
    <cellStyle name="Output 2 2 6 3 3 4" xfId="18717"/>
    <cellStyle name="Output 2 2 6 3 4" xfId="5417"/>
    <cellStyle name="Output 2 2 6 3 4 2" xfId="11967"/>
    <cellStyle name="Output 2 2 6 3 4 2 2" xfId="26289"/>
    <cellStyle name="Output 2 2 6 3 4 3" xfId="17612"/>
    <cellStyle name="Output 2 2 6 3 5" xfId="6185"/>
    <cellStyle name="Output 2 2 6 3 5 2" xfId="23450"/>
    <cellStyle name="Output 2 2 6 3 6" xfId="17388"/>
    <cellStyle name="Output 2 2 6 4" xfId="2422"/>
    <cellStyle name="Output 2 2 6 4 2" xfId="6036"/>
    <cellStyle name="Output 2 2 6 4 2 2" xfId="12597"/>
    <cellStyle name="Output 2 2 6 4 2 2 2" xfId="26919"/>
    <cellStyle name="Output 2 2 6 4 2 3" xfId="18242"/>
    <cellStyle name="Output 2 2 6 4 3" xfId="7615"/>
    <cellStyle name="Output 2 2 6 4 3 2" xfId="10229"/>
    <cellStyle name="Output 2 2 6 4 3 2 2" xfId="16491"/>
    <cellStyle name="Output 2 2 6 4 3 2 2 2" xfId="29907"/>
    <cellStyle name="Output 2 2 6 4 3 2 3" xfId="21236"/>
    <cellStyle name="Output 2 2 6 4 3 3" xfId="14219"/>
    <cellStyle name="Output 2 2 6 4 3 3 2" xfId="28541"/>
    <cellStyle name="Output 2 2 6 4 3 4" xfId="19864"/>
    <cellStyle name="Output 2 2 6 4 4" xfId="3843"/>
    <cellStyle name="Output 2 2 6 4 4 2" xfId="22608"/>
    <cellStyle name="Output 2 2 6 4 5" xfId="15459"/>
    <cellStyle name="Output 2 2 6 5" xfId="2423"/>
    <cellStyle name="Output 2 2 6 5 2" xfId="7276"/>
    <cellStyle name="Output 2 2 6 5 2 2" xfId="9890"/>
    <cellStyle name="Output 2 2 6 5 2 2 2" xfId="16152"/>
    <cellStyle name="Output 2 2 6 5 2 2 2 2" xfId="29568"/>
    <cellStyle name="Output 2 2 6 5 2 2 3" xfId="20897"/>
    <cellStyle name="Output 2 2 6 5 2 3" xfId="13880"/>
    <cellStyle name="Output 2 2 6 5 2 3 2" xfId="28202"/>
    <cellStyle name="Output 2 2 6 5 2 4" xfId="19525"/>
    <cellStyle name="Output 2 2 6 5 3" xfId="12686"/>
    <cellStyle name="Output 2 2 6 5 3 2" xfId="27008"/>
    <cellStyle name="Output 2 2 6 5 4" xfId="18331"/>
    <cellStyle name="Output 2 2 6 6" xfId="5227"/>
    <cellStyle name="Output 2 2 6 6 2" xfId="11777"/>
    <cellStyle name="Output 2 2 6 6 2 2" xfId="26099"/>
    <cellStyle name="Output 2 2 6 6 3" xfId="17422"/>
    <cellStyle name="Output 2 2 6 7" xfId="6579"/>
    <cellStyle name="Output 2 2 6 7 2" xfId="23588"/>
    <cellStyle name="Output 2 2 6 8" xfId="17123"/>
    <cellStyle name="Output 2 2 7" xfId="2424"/>
    <cellStyle name="Output 2 2 7 2" xfId="2425"/>
    <cellStyle name="Output 2 2 7 2 2" xfId="2426"/>
    <cellStyle name="Output 2 2 7 2 2 2" xfId="6548"/>
    <cellStyle name="Output 2 2 7 2 2 2 2" xfId="13136"/>
    <cellStyle name="Output 2 2 7 2 2 2 2 2" xfId="27458"/>
    <cellStyle name="Output 2 2 7 2 2 2 3" xfId="18781"/>
    <cellStyle name="Output 2 2 7 2 2 3" xfId="7581"/>
    <cellStyle name="Output 2 2 7 2 2 3 2" xfId="10195"/>
    <cellStyle name="Output 2 2 7 2 2 3 2 2" xfId="16457"/>
    <cellStyle name="Output 2 2 7 2 2 3 2 2 2" xfId="29873"/>
    <cellStyle name="Output 2 2 7 2 2 3 2 3" xfId="21202"/>
    <cellStyle name="Output 2 2 7 2 2 3 3" xfId="14185"/>
    <cellStyle name="Output 2 2 7 2 2 3 3 2" xfId="28507"/>
    <cellStyle name="Output 2 2 7 2 2 3 4" xfId="19830"/>
    <cellStyle name="Output 2 2 7 2 2 4" xfId="3723"/>
    <cellStyle name="Output 2 2 7 2 2 4 2" xfId="22546"/>
    <cellStyle name="Output 2 2 7 2 2 5" xfId="4489"/>
    <cellStyle name="Output 2 2 7 2 3" xfId="2427"/>
    <cellStyle name="Output 2 2 7 2 3 2" xfId="8038"/>
    <cellStyle name="Output 2 2 7 2 3 2 2" xfId="10652"/>
    <cellStyle name="Output 2 2 7 2 3 2 2 2" xfId="16914"/>
    <cellStyle name="Output 2 2 7 2 3 2 2 2 2" xfId="30330"/>
    <cellStyle name="Output 2 2 7 2 3 2 2 3" xfId="21659"/>
    <cellStyle name="Output 2 2 7 2 3 2 3" xfId="14642"/>
    <cellStyle name="Output 2 2 7 2 3 2 3 2" xfId="28964"/>
    <cellStyle name="Output 2 2 7 2 3 2 4" xfId="20287"/>
    <cellStyle name="Output 2 2 7 2 3 3" xfId="13102"/>
    <cellStyle name="Output 2 2 7 2 3 3 2" xfId="27424"/>
    <cellStyle name="Output 2 2 7 2 3 4" xfId="18747"/>
    <cellStyle name="Output 2 2 7 2 4" xfId="5463"/>
    <cellStyle name="Output 2 2 7 2 4 2" xfId="12014"/>
    <cellStyle name="Output 2 2 7 2 4 2 2" xfId="26336"/>
    <cellStyle name="Output 2 2 7 2 4 3" xfId="17659"/>
    <cellStyle name="Output 2 2 7 2 5" xfId="3243"/>
    <cellStyle name="Output 2 2 7 2 5 2" xfId="22441"/>
    <cellStyle name="Output 2 2 7 2 6" xfId="17045"/>
    <cellStyle name="Output 2 2 7 3" xfId="2428"/>
    <cellStyle name="Output 2 2 7 3 2" xfId="6540"/>
    <cellStyle name="Output 2 2 7 3 2 2" xfId="13128"/>
    <cellStyle name="Output 2 2 7 3 2 2 2" xfId="27450"/>
    <cellStyle name="Output 2 2 7 3 2 3" xfId="18773"/>
    <cellStyle name="Output 2 2 7 3 3" xfId="7611"/>
    <cellStyle name="Output 2 2 7 3 3 2" xfId="10225"/>
    <cellStyle name="Output 2 2 7 3 3 2 2" xfId="16487"/>
    <cellStyle name="Output 2 2 7 3 3 2 2 2" xfId="29903"/>
    <cellStyle name="Output 2 2 7 3 3 2 3" xfId="21232"/>
    <cellStyle name="Output 2 2 7 3 3 3" xfId="14215"/>
    <cellStyle name="Output 2 2 7 3 3 3 2" xfId="28537"/>
    <cellStyle name="Output 2 2 7 3 3 4" xfId="19860"/>
    <cellStyle name="Output 2 2 7 3 4" xfId="3639"/>
    <cellStyle name="Output 2 2 7 3 4 2" xfId="22499"/>
    <cellStyle name="Output 2 2 7 3 5" xfId="4828"/>
    <cellStyle name="Output 2 2 7 4" xfId="2429"/>
    <cellStyle name="Output 2 2 7 4 2" xfId="7816"/>
    <cellStyle name="Output 2 2 7 4 2 2" xfId="10430"/>
    <cellStyle name="Output 2 2 7 4 2 2 2" xfId="16692"/>
    <cellStyle name="Output 2 2 7 4 2 2 2 2" xfId="30108"/>
    <cellStyle name="Output 2 2 7 4 2 2 3" xfId="21437"/>
    <cellStyle name="Output 2 2 7 4 2 3" xfId="14420"/>
    <cellStyle name="Output 2 2 7 4 2 3 2" xfId="28742"/>
    <cellStyle name="Output 2 2 7 4 2 4" xfId="20065"/>
    <cellStyle name="Output 2 2 7 4 3" xfId="11738"/>
    <cellStyle name="Output 2 2 7 4 3 2" xfId="26060"/>
    <cellStyle name="Output 2 2 7 4 4" xfId="5998"/>
    <cellStyle name="Output 2 2 7 5" xfId="5117"/>
    <cellStyle name="Output 2 2 7 5 2" xfId="11665"/>
    <cellStyle name="Output 2 2 7 5 2 2" xfId="25987"/>
    <cellStyle name="Output 2 2 7 5 3" xfId="14723"/>
    <cellStyle name="Output 2 2 7 6" xfId="6133"/>
    <cellStyle name="Output 2 2 7 6 2" xfId="23425"/>
    <cellStyle name="Output 2 2 7 7" xfId="4132"/>
    <cellStyle name="Output 2 2 8" xfId="2430"/>
    <cellStyle name="Output 2 2 8 2" xfId="2431"/>
    <cellStyle name="Output 2 2 8 2 2" xfId="5223"/>
    <cellStyle name="Output 2 2 8 2 2 2" xfId="11773"/>
    <cellStyle name="Output 2 2 8 2 2 2 2" xfId="26095"/>
    <cellStyle name="Output 2 2 8 2 2 3" xfId="17418"/>
    <cellStyle name="Output 2 2 8 2 3" xfId="8059"/>
    <cellStyle name="Output 2 2 8 2 3 2" xfId="10673"/>
    <cellStyle name="Output 2 2 8 2 3 2 2" xfId="16935"/>
    <cellStyle name="Output 2 2 8 2 3 2 2 2" xfId="30351"/>
    <cellStyle name="Output 2 2 8 2 3 2 3" xfId="21680"/>
    <cellStyle name="Output 2 2 8 2 3 3" xfId="14663"/>
    <cellStyle name="Output 2 2 8 2 3 3 2" xfId="28985"/>
    <cellStyle name="Output 2 2 8 2 3 4" xfId="20308"/>
    <cellStyle name="Output 2 2 8 2 4" xfId="4375"/>
    <cellStyle name="Output 2 2 8 2 4 2" xfId="22914"/>
    <cellStyle name="Output 2 2 8 2 5" xfId="5030"/>
    <cellStyle name="Output 2 2 8 3" xfId="2432"/>
    <cellStyle name="Output 2 2 8 3 2" xfId="5247"/>
    <cellStyle name="Output 2 2 8 3 2 2" xfId="9557"/>
    <cellStyle name="Output 2 2 8 3 2 2 2" xfId="15819"/>
    <cellStyle name="Output 2 2 8 3 2 2 2 2" xfId="29235"/>
    <cellStyle name="Output 2 2 8 3 2 2 3" xfId="20564"/>
    <cellStyle name="Output 2 2 8 3 2 3" xfId="11797"/>
    <cellStyle name="Output 2 2 8 3 2 3 2" xfId="26119"/>
    <cellStyle name="Output 2 2 8 3 2 4" xfId="17442"/>
    <cellStyle name="Output 2 2 8 3 3" xfId="12473"/>
    <cellStyle name="Output 2 2 8 3 3 2" xfId="26795"/>
    <cellStyle name="Output 2 2 8 3 4" xfId="18118"/>
    <cellStyle name="Output 2 2 8 4" xfId="5234"/>
    <cellStyle name="Output 2 2 8 4 2" xfId="11784"/>
    <cellStyle name="Output 2 2 8 4 2 2" xfId="26106"/>
    <cellStyle name="Output 2 2 8 4 3" xfId="17429"/>
    <cellStyle name="Output 2 2 8 5" xfId="6773"/>
    <cellStyle name="Output 2 2 8 5 2" xfId="23719"/>
    <cellStyle name="Output 2 2 8 6" xfId="15384"/>
    <cellStyle name="Output 2 2 9" xfId="2433"/>
    <cellStyle name="Output 2 2 9 2" xfId="6850"/>
    <cellStyle name="Output 2 2 9 2 2" xfId="13454"/>
    <cellStyle name="Output 2 2 9 2 2 2" xfId="27776"/>
    <cellStyle name="Output 2 2 9 2 3" xfId="19099"/>
    <cellStyle name="Output 2 2 9 3" xfId="7534"/>
    <cellStyle name="Output 2 2 9 3 2" xfId="10148"/>
    <cellStyle name="Output 2 2 9 3 2 2" xfId="16410"/>
    <cellStyle name="Output 2 2 9 3 2 2 2" xfId="29826"/>
    <cellStyle name="Output 2 2 9 3 2 3" xfId="21155"/>
    <cellStyle name="Output 2 2 9 3 3" xfId="14138"/>
    <cellStyle name="Output 2 2 9 3 3 2" xfId="28460"/>
    <cellStyle name="Output 2 2 9 3 4" xfId="19783"/>
    <cellStyle name="Output 2 2 9 4" xfId="2805"/>
    <cellStyle name="Output 2 2 9 4 2" xfId="22368"/>
    <cellStyle name="Output 2 2 9 5" xfId="17212"/>
    <cellStyle name="Output 2 3" xfId="2434"/>
    <cellStyle name="Output 2 3 2" xfId="6954"/>
    <cellStyle name="Output 2 3 2 2" xfId="13558"/>
    <cellStyle name="Output 2 3 2 2 2" xfId="27880"/>
    <cellStyle name="Output 2 3 2 3" xfId="19203"/>
    <cellStyle name="Output 2 3 3" xfId="4265"/>
    <cellStyle name="Output 2 3 3 2" xfId="9440"/>
    <cellStyle name="Output 2 3 3 2 2" xfId="15702"/>
    <cellStyle name="Output 2 3 3 2 2 2" xfId="29118"/>
    <cellStyle name="Output 2 3 3 2 3" xfId="20447"/>
    <cellStyle name="Output 2 3 3 3" xfId="6607"/>
    <cellStyle name="Output 2 3 3 3 2" xfId="23599"/>
    <cellStyle name="Output 2 3 3 4" xfId="3929"/>
    <cellStyle name="Output 2 3 4" xfId="11450"/>
    <cellStyle name="Output 2 3 4 2" xfId="25772"/>
    <cellStyle name="Output 2 3 5" xfId="14832"/>
    <cellStyle name="Output 2 4" xfId="4820"/>
    <cellStyle name="Output 2 4 2" xfId="11352"/>
    <cellStyle name="Output 2 4 2 2" xfId="25674"/>
    <cellStyle name="Output 2 4 3" xfId="15286"/>
    <cellStyle name="Output 2 5" xfId="6648"/>
    <cellStyle name="Output 2 5 2" xfId="23626"/>
    <cellStyle name="Output 2 6" xfId="14807"/>
    <cellStyle name="Output 2 7" xfId="20341"/>
    <cellStyle name="Output 2 8" xfId="21704"/>
    <cellStyle name="Saída" xfId="2435"/>
    <cellStyle name="Saída 2" xfId="2436"/>
    <cellStyle name="Saída 2 10" xfId="2437"/>
    <cellStyle name="Saída 2 10 2" xfId="3768"/>
    <cellStyle name="Saída 2 10 2 2" xfId="9371"/>
    <cellStyle name="Saída 2 10 2 2 2" xfId="15633"/>
    <cellStyle name="Saída 2 10 2 2 2 2" xfId="29049"/>
    <cellStyle name="Saída 2 10 2 2 3" xfId="20378"/>
    <cellStyle name="Saída 2 10 2 3" xfId="4613"/>
    <cellStyle name="Saída 2 10 2 3 2" xfId="23067"/>
    <cellStyle name="Saída 2 10 2 4" xfId="15048"/>
    <cellStyle name="Saída 2 10 3" xfId="12464"/>
    <cellStyle name="Saída 2 10 3 2" xfId="26786"/>
    <cellStyle name="Saída 2 10 4" xfId="18109"/>
    <cellStyle name="Saída 2 11" xfId="3833"/>
    <cellStyle name="Saída 2 11 2" xfId="4189"/>
    <cellStyle name="Saída 2 11 2 2" xfId="22811"/>
    <cellStyle name="Saída 2 11 3" xfId="15154"/>
    <cellStyle name="Saída 2 12" xfId="6716"/>
    <cellStyle name="Saída 2 12 2" xfId="23670"/>
    <cellStyle name="Saída 2 13" xfId="17127"/>
    <cellStyle name="Saída 2 2" xfId="2438"/>
    <cellStyle name="Saída 2 2 10" xfId="5411"/>
    <cellStyle name="Saída 2 2 10 2" xfId="11961"/>
    <cellStyle name="Saída 2 2 10 2 2" xfId="26283"/>
    <cellStyle name="Saída 2 2 10 3" xfId="17606"/>
    <cellStyle name="Saída 2 2 11" xfId="6489"/>
    <cellStyle name="Saída 2 2 11 2" xfId="23566"/>
    <cellStyle name="Saída 2 2 12" xfId="17103"/>
    <cellStyle name="Saída 2 2 2" xfId="2439"/>
    <cellStyle name="Saída 2 2 2 10" xfId="4639"/>
    <cellStyle name="Saída 2 2 2 10 2" xfId="23083"/>
    <cellStyle name="Saída 2 2 2 11" xfId="15222"/>
    <cellStyle name="Saída 2 2 2 2" xfId="2440"/>
    <cellStyle name="Saída 2 2 2 2 2" xfId="2441"/>
    <cellStyle name="Saída 2 2 2 2 2 2" xfId="2442"/>
    <cellStyle name="Saída 2 2 2 2 2 2 2" xfId="6939"/>
    <cellStyle name="Saída 2 2 2 2 2 2 2 2" xfId="13543"/>
    <cellStyle name="Saída 2 2 2 2 2 2 2 2 2" xfId="27865"/>
    <cellStyle name="Saída 2 2 2 2 2 2 2 3" xfId="19188"/>
    <cellStyle name="Saída 2 2 2 2 2 2 3" xfId="7637"/>
    <cellStyle name="Saída 2 2 2 2 2 2 3 2" xfId="10251"/>
    <cellStyle name="Saída 2 2 2 2 2 2 3 2 2" xfId="16513"/>
    <cellStyle name="Saída 2 2 2 2 2 2 3 2 2 2" xfId="29929"/>
    <cellStyle name="Saída 2 2 2 2 2 2 3 2 3" xfId="21258"/>
    <cellStyle name="Saída 2 2 2 2 2 2 3 3" xfId="14241"/>
    <cellStyle name="Saída 2 2 2 2 2 2 3 3 2" xfId="28563"/>
    <cellStyle name="Saída 2 2 2 2 2 2 3 4" xfId="19886"/>
    <cellStyle name="Saída 2 2 2 2 2 2 4" xfId="11432"/>
    <cellStyle name="Saída 2 2 2 2 2 2 4 2" xfId="25754"/>
    <cellStyle name="Saída 2 2 2 2 2 2 5" xfId="15425"/>
    <cellStyle name="Saída 2 2 2 2 2 3" xfId="2443"/>
    <cellStyle name="Saída 2 2 2 2 2 3 2" xfId="7768"/>
    <cellStyle name="Saída 2 2 2 2 2 3 2 2" xfId="10382"/>
    <cellStyle name="Saída 2 2 2 2 2 3 2 2 2" xfId="16644"/>
    <cellStyle name="Saída 2 2 2 2 2 3 2 2 2 2" xfId="30060"/>
    <cellStyle name="Saída 2 2 2 2 2 3 2 2 3" xfId="21389"/>
    <cellStyle name="Saída 2 2 2 2 2 3 2 3" xfId="14372"/>
    <cellStyle name="Saída 2 2 2 2 2 3 2 3 2" xfId="28694"/>
    <cellStyle name="Saída 2 2 2 2 2 3 2 4" xfId="20017"/>
    <cellStyle name="Saída 2 2 2 2 2 3 3" xfId="13323"/>
    <cellStyle name="Saída 2 2 2 2 2 3 3 2" xfId="27645"/>
    <cellStyle name="Saída 2 2 2 2 2 3 4" xfId="18968"/>
    <cellStyle name="Saída 2 2 2 2 2 4" xfId="5773"/>
    <cellStyle name="Saída 2 2 2 2 2 4 2" xfId="12326"/>
    <cellStyle name="Saída 2 2 2 2 2 4 2 2" xfId="26648"/>
    <cellStyle name="Saída 2 2 2 2 2 4 3" xfId="17971"/>
    <cellStyle name="Saída 2 2 2 2 2 5" xfId="3745"/>
    <cellStyle name="Saída 2 2 2 2 2 5 2" xfId="22559"/>
    <cellStyle name="Saída 2 2 2 2 2 6" xfId="15121"/>
    <cellStyle name="Saída 2 2 2 2 3" xfId="2444"/>
    <cellStyle name="Saída 2 2 2 2 3 2" xfId="2445"/>
    <cellStyle name="Saída 2 2 2 2 3 2 2" xfId="6070"/>
    <cellStyle name="Saída 2 2 2 2 3 2 2 2" xfId="12636"/>
    <cellStyle name="Saída 2 2 2 2 3 2 2 2 2" xfId="26958"/>
    <cellStyle name="Saída 2 2 2 2 3 2 2 3" xfId="18281"/>
    <cellStyle name="Saída 2 2 2 2 3 2 3" xfId="7793"/>
    <cellStyle name="Saída 2 2 2 2 3 2 3 2" xfId="10407"/>
    <cellStyle name="Saída 2 2 2 2 3 2 3 2 2" xfId="16669"/>
    <cellStyle name="Saída 2 2 2 2 3 2 3 2 2 2" xfId="30085"/>
    <cellStyle name="Saída 2 2 2 2 3 2 3 2 3" xfId="21414"/>
    <cellStyle name="Saída 2 2 2 2 3 2 3 3" xfId="14397"/>
    <cellStyle name="Saída 2 2 2 2 3 2 3 3 2" xfId="28719"/>
    <cellStyle name="Saída 2 2 2 2 3 2 3 4" xfId="20042"/>
    <cellStyle name="Saída 2 2 2 2 3 2 4" xfId="6706"/>
    <cellStyle name="Saída 2 2 2 2 3 2 4 2" xfId="23663"/>
    <cellStyle name="Saída 2 2 2 2 3 2 5" xfId="17169"/>
    <cellStyle name="Saída 2 2 2 2 3 3" xfId="2446"/>
    <cellStyle name="Saída 2 2 2 2 3 3 2" xfId="7858"/>
    <cellStyle name="Saída 2 2 2 2 3 3 2 2" xfId="10472"/>
    <cellStyle name="Saída 2 2 2 2 3 3 2 2 2" xfId="16734"/>
    <cellStyle name="Saída 2 2 2 2 3 3 2 2 2 2" xfId="30150"/>
    <cellStyle name="Saída 2 2 2 2 3 3 2 2 3" xfId="21479"/>
    <cellStyle name="Saída 2 2 2 2 3 3 2 3" xfId="14462"/>
    <cellStyle name="Saída 2 2 2 2 3 3 2 3 2" xfId="28784"/>
    <cellStyle name="Saída 2 2 2 2 3 3 2 4" xfId="20107"/>
    <cellStyle name="Saída 2 2 2 2 3 3 3" xfId="13045"/>
    <cellStyle name="Saída 2 2 2 2 3 3 3 2" xfId="27367"/>
    <cellStyle name="Saída 2 2 2 2 3 3 4" xfId="18690"/>
    <cellStyle name="Saída 2 2 2 2 3 4" xfId="5364"/>
    <cellStyle name="Saída 2 2 2 2 3 4 2" xfId="11914"/>
    <cellStyle name="Saída 2 2 2 2 3 4 2 2" xfId="26236"/>
    <cellStyle name="Saída 2 2 2 2 3 4 3" xfId="17559"/>
    <cellStyle name="Saída 2 2 2 2 3 5" xfId="3597"/>
    <cellStyle name="Saída 2 2 2 2 3 5 2" xfId="22480"/>
    <cellStyle name="Saída 2 2 2 2 3 6" xfId="15430"/>
    <cellStyle name="Saída 2 2 2 2 4" xfId="2447"/>
    <cellStyle name="Saída 2 2 2 2 4 2" xfId="6032"/>
    <cellStyle name="Saída 2 2 2 2 4 2 2" xfId="12593"/>
    <cellStyle name="Saída 2 2 2 2 4 2 2 2" xfId="26915"/>
    <cellStyle name="Saída 2 2 2 2 4 2 3" xfId="18238"/>
    <cellStyle name="Saída 2 2 2 2 4 3" xfId="3611"/>
    <cellStyle name="Saída 2 2 2 2 4 3 2" xfId="9344"/>
    <cellStyle name="Saída 2 2 2 2 4 3 2 2" xfId="15606"/>
    <cellStyle name="Saída 2 2 2 2 4 3 2 2 2" xfId="29022"/>
    <cellStyle name="Saída 2 2 2 2 4 3 2 3" xfId="20351"/>
    <cellStyle name="Saída 2 2 2 2 4 3 3" xfId="3873"/>
    <cellStyle name="Saída 2 2 2 2 4 3 3 2" xfId="22620"/>
    <cellStyle name="Saída 2 2 2 2 4 3 4" xfId="6692"/>
    <cellStyle name="Saída 2 2 2 2 4 4" xfId="3999"/>
    <cellStyle name="Saída 2 2 2 2 4 4 2" xfId="22694"/>
    <cellStyle name="Saída 2 2 2 2 4 5" xfId="4624"/>
    <cellStyle name="Saída 2 2 2 2 5" xfId="2448"/>
    <cellStyle name="Saída 2 2 2 2 5 2" xfId="7591"/>
    <cellStyle name="Saída 2 2 2 2 5 2 2" xfId="10205"/>
    <cellStyle name="Saída 2 2 2 2 5 2 2 2" xfId="16467"/>
    <cellStyle name="Saída 2 2 2 2 5 2 2 2 2" xfId="29883"/>
    <cellStyle name="Saída 2 2 2 2 5 2 2 3" xfId="21212"/>
    <cellStyle name="Saída 2 2 2 2 5 2 3" xfId="14195"/>
    <cellStyle name="Saída 2 2 2 2 5 2 3 2" xfId="28517"/>
    <cellStyle name="Saída 2 2 2 2 5 2 4" xfId="19840"/>
    <cellStyle name="Saída 2 2 2 2 5 3" xfId="12899"/>
    <cellStyle name="Saída 2 2 2 2 5 3 2" xfId="27221"/>
    <cellStyle name="Saída 2 2 2 2 5 4" xfId="18544"/>
    <cellStyle name="Saída 2 2 2 2 6" xfId="5517"/>
    <cellStyle name="Saída 2 2 2 2 6 2" xfId="12068"/>
    <cellStyle name="Saída 2 2 2 2 6 2 2" xfId="26390"/>
    <cellStyle name="Saída 2 2 2 2 6 3" xfId="17713"/>
    <cellStyle name="Saída 2 2 2 2 7" xfId="4409"/>
    <cellStyle name="Saída 2 2 2 2 7 2" xfId="22933"/>
    <cellStyle name="Saída 2 2 2 2 8" xfId="4198"/>
    <cellStyle name="Saída 2 2 2 3" xfId="2449"/>
    <cellStyle name="Saída 2 2 2 3 2" xfId="2450"/>
    <cellStyle name="Saída 2 2 2 3 2 2" xfId="2451"/>
    <cellStyle name="Saída 2 2 2 3 2 2 2" xfId="6031"/>
    <cellStyle name="Saída 2 2 2 3 2 2 2 2" xfId="12592"/>
    <cellStyle name="Saída 2 2 2 3 2 2 2 2 2" xfId="26914"/>
    <cellStyle name="Saída 2 2 2 3 2 2 2 3" xfId="18237"/>
    <cellStyle name="Saída 2 2 2 3 2 2 3" xfId="7650"/>
    <cellStyle name="Saída 2 2 2 3 2 2 3 2" xfId="10264"/>
    <cellStyle name="Saída 2 2 2 3 2 2 3 2 2" xfId="16526"/>
    <cellStyle name="Saída 2 2 2 3 2 2 3 2 2 2" xfId="29942"/>
    <cellStyle name="Saída 2 2 2 3 2 2 3 2 3" xfId="21271"/>
    <cellStyle name="Saída 2 2 2 3 2 2 3 3" xfId="14254"/>
    <cellStyle name="Saída 2 2 2 3 2 2 3 3 2" xfId="28576"/>
    <cellStyle name="Saída 2 2 2 3 2 2 3 4" xfId="19899"/>
    <cellStyle name="Saída 2 2 2 3 2 2 4" xfId="4574"/>
    <cellStyle name="Saída 2 2 2 3 2 2 4 2" xfId="23041"/>
    <cellStyle name="Saída 2 2 2 3 2 2 5" xfId="4781"/>
    <cellStyle name="Saída 2 2 2 3 2 3" xfId="2452"/>
    <cellStyle name="Saída 2 2 2 3 2 3 2" xfId="7971"/>
    <cellStyle name="Saída 2 2 2 3 2 3 2 2" xfId="10585"/>
    <cellStyle name="Saída 2 2 2 3 2 3 2 2 2" xfId="16847"/>
    <cellStyle name="Saída 2 2 2 3 2 3 2 2 2 2" xfId="30263"/>
    <cellStyle name="Saída 2 2 2 3 2 3 2 2 3" xfId="21592"/>
    <cellStyle name="Saída 2 2 2 3 2 3 2 3" xfId="14575"/>
    <cellStyle name="Saída 2 2 2 3 2 3 2 3 2" xfId="28897"/>
    <cellStyle name="Saída 2 2 2 3 2 3 2 4" xfId="20220"/>
    <cellStyle name="Saída 2 2 2 3 2 3 3" xfId="13359"/>
    <cellStyle name="Saída 2 2 2 3 2 3 3 2" xfId="27681"/>
    <cellStyle name="Saída 2 2 2 3 2 3 4" xfId="19004"/>
    <cellStyle name="Saída 2 2 2 3 2 4" xfId="5809"/>
    <cellStyle name="Saída 2 2 2 3 2 4 2" xfId="12362"/>
    <cellStyle name="Saída 2 2 2 3 2 4 2 2" xfId="26684"/>
    <cellStyle name="Saída 2 2 2 3 2 4 3" xfId="18007"/>
    <cellStyle name="Saída 2 2 2 3 2 5" xfId="6612"/>
    <cellStyle name="Saída 2 2 2 3 2 5 2" xfId="23604"/>
    <cellStyle name="Saída 2 2 2 3 2 6" xfId="4294"/>
    <cellStyle name="Saída 2 2 2 3 3" xfId="2453"/>
    <cellStyle name="Saída 2 2 2 3 3 2" xfId="2454"/>
    <cellStyle name="Saída 2 2 2 3 3 2 2" xfId="6885"/>
    <cellStyle name="Saída 2 2 2 3 3 2 2 2" xfId="13489"/>
    <cellStyle name="Saída 2 2 2 3 3 2 2 2 2" xfId="27811"/>
    <cellStyle name="Saída 2 2 2 3 3 2 2 3" xfId="19134"/>
    <cellStyle name="Saída 2 2 2 3 3 2 3" xfId="7785"/>
    <cellStyle name="Saída 2 2 2 3 3 2 3 2" xfId="10399"/>
    <cellStyle name="Saída 2 2 2 3 3 2 3 2 2" xfId="16661"/>
    <cellStyle name="Saída 2 2 2 3 3 2 3 2 2 2" xfId="30077"/>
    <cellStyle name="Saída 2 2 2 3 3 2 3 2 3" xfId="21406"/>
    <cellStyle name="Saída 2 2 2 3 3 2 3 3" xfId="14389"/>
    <cellStyle name="Saída 2 2 2 3 3 2 3 3 2" xfId="28711"/>
    <cellStyle name="Saída 2 2 2 3 3 2 3 4" xfId="20034"/>
    <cellStyle name="Saída 2 2 2 3 3 2 4" xfId="11359"/>
    <cellStyle name="Saída 2 2 2 3 3 2 4 2" xfId="25681"/>
    <cellStyle name="Saída 2 2 2 3 3 2 5" xfId="5910"/>
    <cellStyle name="Saída 2 2 2 3 3 3" xfId="2455"/>
    <cellStyle name="Saída 2 2 2 3 3 3 2" xfId="7794"/>
    <cellStyle name="Saída 2 2 2 3 3 3 2 2" xfId="10408"/>
    <cellStyle name="Saída 2 2 2 3 3 3 2 2 2" xfId="16670"/>
    <cellStyle name="Saída 2 2 2 3 3 3 2 2 2 2" xfId="30086"/>
    <cellStyle name="Saída 2 2 2 3 3 3 2 2 3" xfId="21415"/>
    <cellStyle name="Saída 2 2 2 3 3 3 2 3" xfId="14398"/>
    <cellStyle name="Saída 2 2 2 3 3 3 2 3 2" xfId="28720"/>
    <cellStyle name="Saída 2 2 2 3 3 3 2 4" xfId="20043"/>
    <cellStyle name="Saída 2 2 2 3 3 3 3" xfId="12859"/>
    <cellStyle name="Saída 2 2 2 3 3 3 3 2" xfId="27181"/>
    <cellStyle name="Saída 2 2 2 3 3 3 4" xfId="18504"/>
    <cellStyle name="Saída 2 2 2 3 3 4" xfId="5210"/>
    <cellStyle name="Saída 2 2 2 3 3 4 2" xfId="11759"/>
    <cellStyle name="Saída 2 2 2 3 3 4 2 2" xfId="26081"/>
    <cellStyle name="Saída 2 2 2 3 3 4 3" xfId="17404"/>
    <cellStyle name="Saída 2 2 2 3 3 5" xfId="4156"/>
    <cellStyle name="Saída 2 2 2 3 3 5 2" xfId="22787"/>
    <cellStyle name="Saída 2 2 2 3 3 6" xfId="14721"/>
    <cellStyle name="Saída 2 2 2 3 4" xfId="2456"/>
    <cellStyle name="Saída 2 2 2 3 4 2" xfId="4244"/>
    <cellStyle name="Saída 2 2 2 3 4 2 2" xfId="6183"/>
    <cellStyle name="Saída 2 2 2 3 4 2 2 2" xfId="23448"/>
    <cellStyle name="Saída 2 2 2 3 4 2 3" xfId="15419"/>
    <cellStyle name="Saída 2 2 2 3 4 3" xfId="7241"/>
    <cellStyle name="Saída 2 2 2 3 4 3 2" xfId="9855"/>
    <cellStyle name="Saída 2 2 2 3 4 3 2 2" xfId="16117"/>
    <cellStyle name="Saída 2 2 2 3 4 3 2 2 2" xfId="29533"/>
    <cellStyle name="Saída 2 2 2 3 4 3 2 3" xfId="20862"/>
    <cellStyle name="Saída 2 2 2 3 4 3 3" xfId="13845"/>
    <cellStyle name="Saída 2 2 2 3 4 3 3 2" xfId="28167"/>
    <cellStyle name="Saída 2 2 2 3 4 3 4" xfId="19490"/>
    <cellStyle name="Saída 2 2 2 3 4 4" xfId="6019"/>
    <cellStyle name="Saída 2 2 2 3 4 4 2" xfId="23395"/>
    <cellStyle name="Saída 2 2 2 3 4 5" xfId="15083"/>
    <cellStyle name="Saída 2 2 2 3 5" xfId="2457"/>
    <cellStyle name="Saída 2 2 2 3 5 2" xfId="4005"/>
    <cellStyle name="Saída 2 2 2 3 5 2 2" xfId="9409"/>
    <cellStyle name="Saída 2 2 2 3 5 2 2 2" xfId="15671"/>
    <cellStyle name="Saída 2 2 2 3 5 2 2 2 2" xfId="29087"/>
    <cellStyle name="Saída 2 2 2 3 5 2 2 3" xfId="20416"/>
    <cellStyle name="Saída 2 2 2 3 5 2 3" xfId="6495"/>
    <cellStyle name="Saída 2 2 2 3 5 2 3 2" xfId="23570"/>
    <cellStyle name="Saída 2 2 2 3 5 2 4" xfId="15284"/>
    <cellStyle name="Saída 2 2 2 3 5 3" xfId="12935"/>
    <cellStyle name="Saída 2 2 2 3 5 3 2" xfId="27257"/>
    <cellStyle name="Saída 2 2 2 3 5 4" xfId="18580"/>
    <cellStyle name="Saída 2 2 2 3 6" xfId="5559"/>
    <cellStyle name="Saída 2 2 2 3 6 2" xfId="12110"/>
    <cellStyle name="Saída 2 2 2 3 6 2 2" xfId="26432"/>
    <cellStyle name="Saída 2 2 2 3 6 3" xfId="17755"/>
    <cellStyle name="Saída 2 2 2 3 7" xfId="3689"/>
    <cellStyle name="Saída 2 2 2 3 7 2" xfId="22531"/>
    <cellStyle name="Saída 2 2 2 3 8" xfId="14765"/>
    <cellStyle name="Saída 2 2 2 4" xfId="2458"/>
    <cellStyle name="Saída 2 2 2 4 2" xfId="2459"/>
    <cellStyle name="Saída 2 2 2 4 2 2" xfId="2460"/>
    <cellStyle name="Saída 2 2 2 4 2 2 2" xfId="3618"/>
    <cellStyle name="Saída 2 2 2 4 2 2 2 2" xfId="3808"/>
    <cellStyle name="Saída 2 2 2 4 2 2 2 2 2" xfId="22594"/>
    <cellStyle name="Saída 2 2 2 4 2 2 2 3" xfId="14893"/>
    <cellStyle name="Saída 2 2 2 4 2 2 3" xfId="7106"/>
    <cellStyle name="Saída 2 2 2 4 2 2 3 2" xfId="9720"/>
    <cellStyle name="Saída 2 2 2 4 2 2 3 2 2" xfId="15982"/>
    <cellStyle name="Saída 2 2 2 4 2 2 3 2 2 2" xfId="29398"/>
    <cellStyle name="Saída 2 2 2 4 2 2 3 2 3" xfId="20727"/>
    <cellStyle name="Saída 2 2 2 4 2 2 3 3" xfId="13710"/>
    <cellStyle name="Saída 2 2 2 4 2 2 3 3 2" xfId="28032"/>
    <cellStyle name="Saída 2 2 2 4 2 2 3 4" xfId="19355"/>
    <cellStyle name="Saída 2 2 2 4 2 2 4" xfId="4824"/>
    <cellStyle name="Saída 2 2 2 4 2 2 4 2" xfId="23205"/>
    <cellStyle name="Saída 2 2 2 4 2 2 5" xfId="15413"/>
    <cellStyle name="Saída 2 2 2 4 2 3" xfId="2461"/>
    <cellStyle name="Saída 2 2 2 4 2 3 2" xfId="7676"/>
    <cellStyle name="Saída 2 2 2 4 2 3 2 2" xfId="10290"/>
    <cellStyle name="Saída 2 2 2 4 2 3 2 2 2" xfId="16552"/>
    <cellStyle name="Saída 2 2 2 4 2 3 2 2 2 2" xfId="29968"/>
    <cellStyle name="Saída 2 2 2 4 2 3 2 2 3" xfId="21297"/>
    <cellStyle name="Saída 2 2 2 4 2 3 2 3" xfId="14280"/>
    <cellStyle name="Saída 2 2 2 4 2 3 2 3 2" xfId="28602"/>
    <cellStyle name="Saída 2 2 2 4 2 3 2 4" xfId="19925"/>
    <cellStyle name="Saída 2 2 2 4 2 3 3" xfId="13284"/>
    <cellStyle name="Saída 2 2 2 4 2 3 3 2" xfId="27606"/>
    <cellStyle name="Saída 2 2 2 4 2 3 4" xfId="18929"/>
    <cellStyle name="Saída 2 2 2 4 2 4" xfId="5734"/>
    <cellStyle name="Saída 2 2 2 4 2 4 2" xfId="12287"/>
    <cellStyle name="Saída 2 2 2 4 2 4 2 2" xfId="26609"/>
    <cellStyle name="Saída 2 2 2 4 2 4 3" xfId="17932"/>
    <cellStyle name="Saída 2 2 2 4 2 5" xfId="4649"/>
    <cellStyle name="Saída 2 2 2 4 2 5 2" xfId="23092"/>
    <cellStyle name="Saída 2 2 2 4 2 6" xfId="15171"/>
    <cellStyle name="Saída 2 2 2 4 3" xfId="2462"/>
    <cellStyle name="Saída 2 2 2 4 3 2" xfId="2463"/>
    <cellStyle name="Saída 2 2 2 4 3 2 2" xfId="6433"/>
    <cellStyle name="Saída 2 2 2 4 3 2 2 2" xfId="13016"/>
    <cellStyle name="Saída 2 2 2 4 3 2 2 2 2" xfId="27338"/>
    <cellStyle name="Saída 2 2 2 4 3 2 2 3" xfId="18661"/>
    <cellStyle name="Saída 2 2 2 4 3 2 3" xfId="7505"/>
    <cellStyle name="Saída 2 2 2 4 3 2 3 2" xfId="10119"/>
    <cellStyle name="Saída 2 2 2 4 3 2 3 2 2" xfId="16381"/>
    <cellStyle name="Saída 2 2 2 4 3 2 3 2 2 2" xfId="29797"/>
    <cellStyle name="Saída 2 2 2 4 3 2 3 2 3" xfId="21126"/>
    <cellStyle name="Saída 2 2 2 4 3 2 3 3" xfId="14109"/>
    <cellStyle name="Saída 2 2 2 4 3 2 3 3 2" xfId="28431"/>
    <cellStyle name="Saída 2 2 2 4 3 2 3 4" xfId="19754"/>
    <cellStyle name="Saída 2 2 2 4 3 2 4" xfId="6360"/>
    <cellStyle name="Saída 2 2 2 4 3 2 4 2" xfId="23544"/>
    <cellStyle name="Saída 2 2 2 4 3 2 5" xfId="14945"/>
    <cellStyle name="Saída 2 2 2 4 3 3" xfId="2464"/>
    <cellStyle name="Saída 2 2 2 4 3 3 2" xfId="7205"/>
    <cellStyle name="Saída 2 2 2 4 3 3 2 2" xfId="9819"/>
    <cellStyle name="Saída 2 2 2 4 3 3 2 2 2" xfId="16081"/>
    <cellStyle name="Saída 2 2 2 4 3 3 2 2 2 2" xfId="29497"/>
    <cellStyle name="Saída 2 2 2 4 3 3 2 2 3" xfId="20826"/>
    <cellStyle name="Saída 2 2 2 4 3 3 2 3" xfId="13809"/>
    <cellStyle name="Saída 2 2 2 4 3 3 2 3 2" xfId="28131"/>
    <cellStyle name="Saída 2 2 2 4 3 3 2 4" xfId="19454"/>
    <cellStyle name="Saída 2 2 2 4 3 3 3" xfId="13191"/>
    <cellStyle name="Saída 2 2 2 4 3 3 3 2" xfId="27513"/>
    <cellStyle name="Saída 2 2 2 4 3 3 4" xfId="18836"/>
    <cellStyle name="Saída 2 2 2 4 3 4" xfId="5628"/>
    <cellStyle name="Saída 2 2 2 4 3 4 2" xfId="12181"/>
    <cellStyle name="Saída 2 2 2 4 3 4 2 2" xfId="26503"/>
    <cellStyle name="Saída 2 2 2 4 3 4 3" xfId="17826"/>
    <cellStyle name="Saída 2 2 2 4 3 5" xfId="4287"/>
    <cellStyle name="Saída 2 2 2 4 3 5 2" xfId="22871"/>
    <cellStyle name="Saída 2 2 2 4 3 6" xfId="15565"/>
    <cellStyle name="Saída 2 2 2 4 4" xfId="2465"/>
    <cellStyle name="Saída 2 2 2 4 4 2" xfId="6223"/>
    <cellStyle name="Saída 2 2 2 4 4 2 2" xfId="12798"/>
    <cellStyle name="Saída 2 2 2 4 4 2 2 2" xfId="27120"/>
    <cellStyle name="Saída 2 2 2 4 4 2 3" xfId="18443"/>
    <cellStyle name="Saída 2 2 2 4 4 3" xfId="7325"/>
    <cellStyle name="Saída 2 2 2 4 4 3 2" xfId="9939"/>
    <cellStyle name="Saída 2 2 2 4 4 3 2 2" xfId="16201"/>
    <cellStyle name="Saída 2 2 2 4 4 3 2 2 2" xfId="29617"/>
    <cellStyle name="Saída 2 2 2 4 4 3 2 3" xfId="20946"/>
    <cellStyle name="Saída 2 2 2 4 4 3 3" xfId="13929"/>
    <cellStyle name="Saída 2 2 2 4 4 3 3 2" xfId="28251"/>
    <cellStyle name="Saída 2 2 2 4 4 3 4" xfId="19574"/>
    <cellStyle name="Saída 2 2 2 4 4 4" xfId="3659"/>
    <cellStyle name="Saída 2 2 2 4 4 4 2" xfId="22510"/>
    <cellStyle name="Saída 2 2 2 4 4 5" xfId="5956"/>
    <cellStyle name="Saída 2 2 2 4 5" xfId="2466"/>
    <cellStyle name="Saída 2 2 2 4 5 2" xfId="5327"/>
    <cellStyle name="Saída 2 2 2 4 5 2 2" xfId="9636"/>
    <cellStyle name="Saída 2 2 2 4 5 2 2 2" xfId="15898"/>
    <cellStyle name="Saída 2 2 2 4 5 2 2 2 2" xfId="29314"/>
    <cellStyle name="Saída 2 2 2 4 5 2 2 3" xfId="20643"/>
    <cellStyle name="Saída 2 2 2 4 5 2 3" xfId="11877"/>
    <cellStyle name="Saída 2 2 2 4 5 2 3 2" xfId="26199"/>
    <cellStyle name="Saída 2 2 2 4 5 2 4" xfId="17522"/>
    <cellStyle name="Saída 2 2 2 4 5 3" xfId="12852"/>
    <cellStyle name="Saída 2 2 2 4 5 3 2" xfId="27174"/>
    <cellStyle name="Saída 2 2 2 4 5 4" xfId="18497"/>
    <cellStyle name="Saída 2 2 2 4 6" xfId="5453"/>
    <cellStyle name="Saída 2 2 2 4 6 2" xfId="12004"/>
    <cellStyle name="Saída 2 2 2 4 6 2 2" xfId="26326"/>
    <cellStyle name="Saída 2 2 2 4 6 3" xfId="17649"/>
    <cellStyle name="Saída 2 2 2 4 7" xfId="4511"/>
    <cellStyle name="Saída 2 2 2 4 7 2" xfId="22998"/>
    <cellStyle name="Saída 2 2 2 4 8" xfId="17373"/>
    <cellStyle name="Saída 2 2 2 5" xfId="2467"/>
    <cellStyle name="Saída 2 2 2 5 2" xfId="2468"/>
    <cellStyle name="Saída 2 2 2 5 2 2" xfId="2469"/>
    <cellStyle name="Saída 2 2 2 5 2 2 2" xfId="6944"/>
    <cellStyle name="Saída 2 2 2 5 2 2 2 2" xfId="13548"/>
    <cellStyle name="Saída 2 2 2 5 2 2 2 2 2" xfId="27870"/>
    <cellStyle name="Saída 2 2 2 5 2 2 2 3" xfId="19193"/>
    <cellStyle name="Saída 2 2 2 5 2 2 3" xfId="7308"/>
    <cellStyle name="Saída 2 2 2 5 2 2 3 2" xfId="9922"/>
    <cellStyle name="Saída 2 2 2 5 2 2 3 2 2" xfId="16184"/>
    <cellStyle name="Saída 2 2 2 5 2 2 3 2 2 2" xfId="29600"/>
    <cellStyle name="Saída 2 2 2 5 2 2 3 2 3" xfId="20929"/>
    <cellStyle name="Saída 2 2 2 5 2 2 3 3" xfId="13912"/>
    <cellStyle name="Saída 2 2 2 5 2 2 3 3 2" xfId="28234"/>
    <cellStyle name="Saída 2 2 2 5 2 2 3 4" xfId="19557"/>
    <cellStyle name="Saída 2 2 2 5 2 2 4" xfId="11437"/>
    <cellStyle name="Saída 2 2 2 5 2 2 4 2" xfId="25759"/>
    <cellStyle name="Saída 2 2 2 5 2 2 5" xfId="17227"/>
    <cellStyle name="Saída 2 2 2 5 2 3" xfId="2470"/>
    <cellStyle name="Saída 2 2 2 5 2 3 2" xfId="7848"/>
    <cellStyle name="Saída 2 2 2 5 2 3 2 2" xfId="10462"/>
    <cellStyle name="Saída 2 2 2 5 2 3 2 2 2" xfId="16724"/>
    <cellStyle name="Saída 2 2 2 5 2 3 2 2 2 2" xfId="30140"/>
    <cellStyle name="Saída 2 2 2 5 2 3 2 2 3" xfId="21469"/>
    <cellStyle name="Saída 2 2 2 5 2 3 2 3" xfId="14452"/>
    <cellStyle name="Saída 2 2 2 5 2 3 2 3 2" xfId="28774"/>
    <cellStyle name="Saída 2 2 2 5 2 3 2 4" xfId="20097"/>
    <cellStyle name="Saída 2 2 2 5 2 3 3" xfId="13397"/>
    <cellStyle name="Saída 2 2 2 5 2 3 3 2" xfId="27719"/>
    <cellStyle name="Saída 2 2 2 5 2 3 4" xfId="19042"/>
    <cellStyle name="Saída 2 2 2 5 2 4" xfId="5861"/>
    <cellStyle name="Saída 2 2 2 5 2 4 2" xfId="12414"/>
    <cellStyle name="Saída 2 2 2 5 2 4 2 2" xfId="26736"/>
    <cellStyle name="Saída 2 2 2 5 2 4 3" xfId="18059"/>
    <cellStyle name="Saída 2 2 2 5 2 5" xfId="6650"/>
    <cellStyle name="Saída 2 2 2 5 2 5 2" xfId="23628"/>
    <cellStyle name="Saída 2 2 2 5 2 6" xfId="17037"/>
    <cellStyle name="Saída 2 2 2 5 3" xfId="2471"/>
    <cellStyle name="Saída 2 2 2 5 3 2" xfId="5926"/>
    <cellStyle name="Saída 2 2 2 5 3 2 2" xfId="12481"/>
    <cellStyle name="Saída 2 2 2 5 3 2 2 2" xfId="26803"/>
    <cellStyle name="Saída 2 2 2 5 3 2 3" xfId="18126"/>
    <cellStyle name="Saída 2 2 2 5 3 3" xfId="7179"/>
    <cellStyle name="Saída 2 2 2 5 3 3 2" xfId="9793"/>
    <cellStyle name="Saída 2 2 2 5 3 3 2 2" xfId="16055"/>
    <cellStyle name="Saída 2 2 2 5 3 3 2 2 2" xfId="29471"/>
    <cellStyle name="Saída 2 2 2 5 3 3 2 3" xfId="20800"/>
    <cellStyle name="Saída 2 2 2 5 3 3 3" xfId="13783"/>
    <cellStyle name="Saída 2 2 2 5 3 3 3 2" xfId="28105"/>
    <cellStyle name="Saída 2 2 2 5 3 3 4" xfId="19428"/>
    <cellStyle name="Saída 2 2 2 5 3 4" xfId="6478"/>
    <cellStyle name="Saída 2 2 2 5 3 4 2" xfId="23561"/>
    <cellStyle name="Saída 2 2 2 5 3 5" xfId="15567"/>
    <cellStyle name="Saída 2 2 2 5 4" xfId="2472"/>
    <cellStyle name="Saída 2 2 2 5 4 2" xfId="7836"/>
    <cellStyle name="Saída 2 2 2 5 4 2 2" xfId="10450"/>
    <cellStyle name="Saída 2 2 2 5 4 2 2 2" xfId="16712"/>
    <cellStyle name="Saída 2 2 2 5 4 2 2 2 2" xfId="30128"/>
    <cellStyle name="Saída 2 2 2 5 4 2 2 3" xfId="21457"/>
    <cellStyle name="Saída 2 2 2 5 4 2 3" xfId="14440"/>
    <cellStyle name="Saída 2 2 2 5 4 2 3 2" xfId="28762"/>
    <cellStyle name="Saída 2 2 2 5 4 2 4" xfId="20085"/>
    <cellStyle name="Saída 2 2 2 5 4 3" xfId="12948"/>
    <cellStyle name="Saída 2 2 2 5 4 3 2" xfId="27270"/>
    <cellStyle name="Saída 2 2 2 5 4 4" xfId="18593"/>
    <cellStyle name="Saída 2 2 2 5 5" xfId="5613"/>
    <cellStyle name="Saída 2 2 2 5 5 2" xfId="12166"/>
    <cellStyle name="Saída 2 2 2 5 5 2 2" xfId="26488"/>
    <cellStyle name="Saída 2 2 2 5 5 3" xfId="17811"/>
    <cellStyle name="Saída 2 2 2 5 6" xfId="6700"/>
    <cellStyle name="Saída 2 2 2 5 6 2" xfId="23659"/>
    <cellStyle name="Saída 2 2 2 5 7" xfId="3863"/>
    <cellStyle name="Saída 2 2 2 6" xfId="2473"/>
    <cellStyle name="Saída 2 2 2 6 2" xfId="2474"/>
    <cellStyle name="Saída 2 2 2 6 2 2" xfId="6412"/>
    <cellStyle name="Saída 2 2 2 6 2 2 2" xfId="12995"/>
    <cellStyle name="Saída 2 2 2 6 2 2 2 2" xfId="27317"/>
    <cellStyle name="Saída 2 2 2 6 2 2 3" xfId="18640"/>
    <cellStyle name="Saída 2 2 2 6 2 3" xfId="7344"/>
    <cellStyle name="Saída 2 2 2 6 2 3 2" xfId="9958"/>
    <cellStyle name="Saída 2 2 2 6 2 3 2 2" xfId="16220"/>
    <cellStyle name="Saída 2 2 2 6 2 3 2 2 2" xfId="29636"/>
    <cellStyle name="Saída 2 2 2 6 2 3 2 3" xfId="20965"/>
    <cellStyle name="Saída 2 2 2 6 2 3 3" xfId="13948"/>
    <cellStyle name="Saída 2 2 2 6 2 3 3 2" xfId="28270"/>
    <cellStyle name="Saída 2 2 2 6 2 3 4" xfId="19593"/>
    <cellStyle name="Saída 2 2 2 6 2 4" xfId="4469"/>
    <cellStyle name="Saída 2 2 2 6 2 4 2" xfId="22968"/>
    <cellStyle name="Saída 2 2 2 6 2 5" xfId="15500"/>
    <cellStyle name="Saída 2 2 2 6 3" xfId="2475"/>
    <cellStyle name="Saída 2 2 2 6 3 2" xfId="7109"/>
    <cellStyle name="Saída 2 2 2 6 3 2 2" xfId="9723"/>
    <cellStyle name="Saída 2 2 2 6 3 2 2 2" xfId="15985"/>
    <cellStyle name="Saída 2 2 2 6 3 2 2 2 2" xfId="29401"/>
    <cellStyle name="Saída 2 2 2 6 3 2 2 3" xfId="20730"/>
    <cellStyle name="Saída 2 2 2 6 3 2 3" xfId="13713"/>
    <cellStyle name="Saída 2 2 2 6 3 2 3 2" xfId="28035"/>
    <cellStyle name="Saída 2 2 2 6 3 2 4" xfId="19358"/>
    <cellStyle name="Saída 2 2 2 6 3 3" xfId="13407"/>
    <cellStyle name="Saída 2 2 2 6 3 3 2" xfId="27729"/>
    <cellStyle name="Saída 2 2 2 6 3 4" xfId="19052"/>
    <cellStyle name="Saída 2 2 2 6 4" xfId="5875"/>
    <cellStyle name="Saída 2 2 2 6 4 2" xfId="12428"/>
    <cellStyle name="Saída 2 2 2 6 4 2 2" xfId="26750"/>
    <cellStyle name="Saída 2 2 2 6 4 3" xfId="18073"/>
    <cellStyle name="Saída 2 2 2 6 5" xfId="3192"/>
    <cellStyle name="Saída 2 2 2 6 5 2" xfId="22435"/>
    <cellStyle name="Saída 2 2 2 6 6" xfId="17357"/>
    <cellStyle name="Saída 2 2 2 7" xfId="2476"/>
    <cellStyle name="Saída 2 2 2 7 2" xfId="6016"/>
    <cellStyle name="Saída 2 2 2 7 2 2" xfId="12576"/>
    <cellStyle name="Saída 2 2 2 7 2 2 2" xfId="26898"/>
    <cellStyle name="Saída 2 2 2 7 2 3" xfId="18221"/>
    <cellStyle name="Saída 2 2 2 7 3" xfId="5244"/>
    <cellStyle name="Saída 2 2 2 7 3 2" xfId="9554"/>
    <cellStyle name="Saída 2 2 2 7 3 2 2" xfId="15816"/>
    <cellStyle name="Saída 2 2 2 7 3 2 2 2" xfId="29232"/>
    <cellStyle name="Saída 2 2 2 7 3 2 3" xfId="20561"/>
    <cellStyle name="Saída 2 2 2 7 3 3" xfId="11794"/>
    <cellStyle name="Saída 2 2 2 7 3 3 2" xfId="26116"/>
    <cellStyle name="Saída 2 2 2 7 3 4" xfId="17439"/>
    <cellStyle name="Saída 2 2 2 7 4" xfId="2802"/>
    <cellStyle name="Saída 2 2 2 7 4 2" xfId="22367"/>
    <cellStyle name="Saída 2 2 2 7 5" xfId="14745"/>
    <cellStyle name="Saída 2 2 2 8" xfId="2477"/>
    <cellStyle name="Saída 2 2 2 8 2" xfId="3678"/>
    <cellStyle name="Saída 2 2 2 8 2 2" xfId="9359"/>
    <cellStyle name="Saída 2 2 2 8 2 2 2" xfId="15621"/>
    <cellStyle name="Saída 2 2 2 8 2 2 2 2" xfId="29037"/>
    <cellStyle name="Saída 2 2 2 8 2 2 3" xfId="20366"/>
    <cellStyle name="Saída 2 2 2 8 2 3" xfId="4677"/>
    <cellStyle name="Saída 2 2 2 8 2 3 2" xfId="23116"/>
    <cellStyle name="Saída 2 2 2 8 2 4" xfId="14862"/>
    <cellStyle name="Saída 2 2 2 8 3" xfId="12763"/>
    <cellStyle name="Saída 2 2 2 8 3 2" xfId="27085"/>
    <cellStyle name="Saída 2 2 2 8 4" xfId="18408"/>
    <cellStyle name="Saída 2 2 2 9" xfId="5474"/>
    <cellStyle name="Saída 2 2 2 9 2" xfId="12025"/>
    <cellStyle name="Saída 2 2 2 9 2 2" xfId="26347"/>
    <cellStyle name="Saída 2 2 2 9 3" xfId="17670"/>
    <cellStyle name="Saída 2 2 3" xfId="2478"/>
    <cellStyle name="Saída 2 2 3 2" xfId="2479"/>
    <cellStyle name="Saída 2 2 3 2 2" xfId="2480"/>
    <cellStyle name="Saída 2 2 3 2 2 2" xfId="6427"/>
    <cellStyle name="Saída 2 2 3 2 2 2 2" xfId="13010"/>
    <cellStyle name="Saída 2 2 3 2 2 2 2 2" xfId="27332"/>
    <cellStyle name="Saída 2 2 3 2 2 2 3" xfId="18655"/>
    <cellStyle name="Saída 2 2 3 2 2 3" xfId="7584"/>
    <cellStyle name="Saída 2 2 3 2 2 3 2" xfId="10198"/>
    <cellStyle name="Saída 2 2 3 2 2 3 2 2" xfId="16460"/>
    <cellStyle name="Saída 2 2 3 2 2 3 2 2 2" xfId="29876"/>
    <cellStyle name="Saída 2 2 3 2 2 3 2 3" xfId="21205"/>
    <cellStyle name="Saída 2 2 3 2 2 3 3" xfId="14188"/>
    <cellStyle name="Saída 2 2 3 2 2 3 3 2" xfId="28510"/>
    <cellStyle name="Saída 2 2 3 2 2 3 4" xfId="19833"/>
    <cellStyle name="Saída 2 2 3 2 2 4" xfId="4414"/>
    <cellStyle name="Saída 2 2 3 2 2 4 2" xfId="22937"/>
    <cellStyle name="Saída 2 2 3 2 2 5" xfId="16968"/>
    <cellStyle name="Saída 2 2 3 2 3" xfId="2481"/>
    <cellStyle name="Saída 2 2 3 2 3 2" xfId="3816"/>
    <cellStyle name="Saída 2 2 3 2 3 2 2" xfId="9381"/>
    <cellStyle name="Saída 2 2 3 2 3 2 2 2" xfId="15643"/>
    <cellStyle name="Saída 2 2 3 2 3 2 2 2 2" xfId="29059"/>
    <cellStyle name="Saída 2 2 3 2 3 2 2 3" xfId="20388"/>
    <cellStyle name="Saída 2 2 3 2 3 2 3" xfId="4599"/>
    <cellStyle name="Saída 2 2 3 2 3 2 3 2" xfId="23060"/>
    <cellStyle name="Saída 2 2 3 2 3 2 4" xfId="6635"/>
    <cellStyle name="Saída 2 2 3 2 3 3" xfId="13309"/>
    <cellStyle name="Saída 2 2 3 2 3 3 2" xfId="27631"/>
    <cellStyle name="Saída 2 2 3 2 3 4" xfId="18954"/>
    <cellStyle name="Saída 2 2 3 2 4" xfId="5759"/>
    <cellStyle name="Saída 2 2 3 2 4 2" xfId="12312"/>
    <cellStyle name="Saída 2 2 3 2 4 2 2" xfId="26634"/>
    <cellStyle name="Saída 2 2 3 2 4 3" xfId="17957"/>
    <cellStyle name="Saída 2 2 3 2 5" xfId="5966"/>
    <cellStyle name="Saída 2 2 3 2 5 2" xfId="23384"/>
    <cellStyle name="Saída 2 2 3 2 6" xfId="4961"/>
    <cellStyle name="Saída 2 2 3 3" xfId="2482"/>
    <cellStyle name="Saída 2 2 3 3 2" xfId="2483"/>
    <cellStyle name="Saída 2 2 3 3 2 2" xfId="6911"/>
    <cellStyle name="Saída 2 2 3 3 2 2 2" xfId="13515"/>
    <cellStyle name="Saída 2 2 3 3 2 2 2 2" xfId="27837"/>
    <cellStyle name="Saída 2 2 3 3 2 2 3" xfId="19160"/>
    <cellStyle name="Saída 2 2 3 3 2 3" xfId="7251"/>
    <cellStyle name="Saída 2 2 3 3 2 3 2" xfId="9865"/>
    <cellStyle name="Saída 2 2 3 3 2 3 2 2" xfId="16127"/>
    <cellStyle name="Saída 2 2 3 3 2 3 2 2 2" xfId="29543"/>
    <cellStyle name="Saída 2 2 3 3 2 3 2 3" xfId="20872"/>
    <cellStyle name="Saída 2 2 3 3 2 3 3" xfId="13855"/>
    <cellStyle name="Saída 2 2 3 3 2 3 3 2" xfId="28177"/>
    <cellStyle name="Saída 2 2 3 3 2 3 4" xfId="19500"/>
    <cellStyle name="Saída 2 2 3 3 2 4" xfId="11397"/>
    <cellStyle name="Saída 2 2 3 3 2 4 2" xfId="25719"/>
    <cellStyle name="Saída 2 2 3 3 2 5" xfId="15261"/>
    <cellStyle name="Saída 2 2 3 3 3" xfId="2484"/>
    <cellStyle name="Saída 2 2 3 3 3 2" xfId="7346"/>
    <cellStyle name="Saída 2 2 3 3 3 2 2" xfId="9960"/>
    <cellStyle name="Saída 2 2 3 3 3 2 2 2" xfId="16222"/>
    <cellStyle name="Saída 2 2 3 3 3 2 2 2 2" xfId="29638"/>
    <cellStyle name="Saída 2 2 3 3 3 2 2 3" xfId="20967"/>
    <cellStyle name="Saída 2 2 3 3 3 2 3" xfId="13950"/>
    <cellStyle name="Saída 2 2 3 3 3 2 3 2" xfId="28272"/>
    <cellStyle name="Saída 2 2 3 3 3 2 4" xfId="19595"/>
    <cellStyle name="Saída 2 2 3 3 3 3" xfId="13088"/>
    <cellStyle name="Saída 2 2 3 3 3 3 2" xfId="27410"/>
    <cellStyle name="Saída 2 2 3 3 3 4" xfId="18733"/>
    <cellStyle name="Saída 2 2 3 3 4" xfId="5443"/>
    <cellStyle name="Saída 2 2 3 3 4 2" xfId="11994"/>
    <cellStyle name="Saída 2 2 3 3 4 2 2" xfId="26316"/>
    <cellStyle name="Saída 2 2 3 3 4 3" xfId="17639"/>
    <cellStyle name="Saída 2 2 3 3 5" xfId="6348"/>
    <cellStyle name="Saída 2 2 3 3 5 2" xfId="23534"/>
    <cellStyle name="Saída 2 2 3 3 6" xfId="14853"/>
    <cellStyle name="Saída 2 2 3 4" xfId="2485"/>
    <cellStyle name="Saída 2 2 3 4 2" xfId="6558"/>
    <cellStyle name="Saída 2 2 3 4 2 2" xfId="13146"/>
    <cellStyle name="Saída 2 2 3 4 2 2 2" xfId="27468"/>
    <cellStyle name="Saída 2 2 3 4 2 3" xfId="18791"/>
    <cellStyle name="Saída 2 2 3 4 3" xfId="7222"/>
    <cellStyle name="Saída 2 2 3 4 3 2" xfId="9836"/>
    <cellStyle name="Saída 2 2 3 4 3 2 2" xfId="16098"/>
    <cellStyle name="Saída 2 2 3 4 3 2 2 2" xfId="29514"/>
    <cellStyle name="Saída 2 2 3 4 3 2 3" xfId="20843"/>
    <cellStyle name="Saída 2 2 3 4 3 3" xfId="13826"/>
    <cellStyle name="Saída 2 2 3 4 3 3 2" xfId="28148"/>
    <cellStyle name="Saída 2 2 3 4 3 4" xfId="19471"/>
    <cellStyle name="Saída 2 2 3 4 4" xfId="4503"/>
    <cellStyle name="Saída 2 2 3 4 4 2" xfId="22994"/>
    <cellStyle name="Saída 2 2 3 4 5" xfId="17182"/>
    <cellStyle name="Saída 2 2 3 5" xfId="2486"/>
    <cellStyle name="Saída 2 2 3 5 2" xfId="4015"/>
    <cellStyle name="Saída 2 2 3 5 2 2" xfId="9412"/>
    <cellStyle name="Saída 2 2 3 5 2 2 2" xfId="15674"/>
    <cellStyle name="Saída 2 2 3 5 2 2 2 2" xfId="29090"/>
    <cellStyle name="Saída 2 2 3 5 2 2 3" xfId="20419"/>
    <cellStyle name="Saída 2 2 3 5 2 3" xfId="4077"/>
    <cellStyle name="Saída 2 2 3 5 2 3 2" xfId="22747"/>
    <cellStyle name="Saída 2 2 3 5 2 4" xfId="15036"/>
    <cellStyle name="Saída 2 2 3 5 3" xfId="12885"/>
    <cellStyle name="Saída 2 2 3 5 3 2" xfId="27207"/>
    <cellStyle name="Saída 2 2 3 5 4" xfId="18530"/>
    <cellStyle name="Saída 2 2 3 6" xfId="5503"/>
    <cellStyle name="Saída 2 2 3 6 2" xfId="12054"/>
    <cellStyle name="Saída 2 2 3 6 2 2" xfId="26376"/>
    <cellStyle name="Saída 2 2 3 6 3" xfId="17699"/>
    <cellStyle name="Saída 2 2 3 7" xfId="4152"/>
    <cellStyle name="Saída 2 2 3 7 2" xfId="22786"/>
    <cellStyle name="Saída 2 2 3 8" xfId="14800"/>
    <cellStyle name="Saída 2 2 4" xfId="2487"/>
    <cellStyle name="Saída 2 2 4 2" xfId="2488"/>
    <cellStyle name="Saída 2 2 4 2 2" xfId="2489"/>
    <cellStyle name="Saída 2 2 4 2 2 2" xfId="6946"/>
    <cellStyle name="Saída 2 2 4 2 2 2 2" xfId="13550"/>
    <cellStyle name="Saída 2 2 4 2 2 2 2 2" xfId="27872"/>
    <cellStyle name="Saída 2 2 4 2 2 2 3" xfId="19195"/>
    <cellStyle name="Saída 2 2 4 2 2 3" xfId="7604"/>
    <cellStyle name="Saída 2 2 4 2 2 3 2" xfId="10218"/>
    <cellStyle name="Saída 2 2 4 2 2 3 2 2" xfId="16480"/>
    <cellStyle name="Saída 2 2 4 2 2 3 2 2 2" xfId="29896"/>
    <cellStyle name="Saída 2 2 4 2 2 3 2 3" xfId="21225"/>
    <cellStyle name="Saída 2 2 4 2 2 3 3" xfId="14208"/>
    <cellStyle name="Saída 2 2 4 2 2 3 3 2" xfId="28530"/>
    <cellStyle name="Saída 2 2 4 2 2 3 4" xfId="19853"/>
    <cellStyle name="Saída 2 2 4 2 2 4" xfId="11440"/>
    <cellStyle name="Saída 2 2 4 2 2 4 2" xfId="25762"/>
    <cellStyle name="Saída 2 2 4 2 2 5" xfId="15282"/>
    <cellStyle name="Saída 2 2 4 2 3" xfId="2490"/>
    <cellStyle name="Saída 2 2 4 2 3 2" xfId="7493"/>
    <cellStyle name="Saída 2 2 4 2 3 2 2" xfId="10107"/>
    <cellStyle name="Saída 2 2 4 2 3 2 2 2" xfId="16369"/>
    <cellStyle name="Saída 2 2 4 2 3 2 2 2 2" xfId="29785"/>
    <cellStyle name="Saída 2 2 4 2 3 2 2 3" xfId="21114"/>
    <cellStyle name="Saída 2 2 4 2 3 2 3" xfId="14097"/>
    <cellStyle name="Saída 2 2 4 2 3 2 3 2" xfId="28419"/>
    <cellStyle name="Saída 2 2 4 2 3 2 4" xfId="19742"/>
    <cellStyle name="Saída 2 2 4 2 3 3" xfId="13345"/>
    <cellStyle name="Saída 2 2 4 2 3 3 2" xfId="27667"/>
    <cellStyle name="Saída 2 2 4 2 3 4" xfId="18990"/>
    <cellStyle name="Saída 2 2 4 2 4" xfId="5795"/>
    <cellStyle name="Saída 2 2 4 2 4 2" xfId="12348"/>
    <cellStyle name="Saída 2 2 4 2 4 2 2" xfId="26670"/>
    <cellStyle name="Saída 2 2 4 2 4 3" xfId="17993"/>
    <cellStyle name="Saída 2 2 4 2 5" xfId="5656"/>
    <cellStyle name="Saída 2 2 4 2 5 2" xfId="23360"/>
    <cellStyle name="Saída 2 2 4 2 6" xfId="15213"/>
    <cellStyle name="Saída 2 2 4 3" xfId="2491"/>
    <cellStyle name="Saída 2 2 4 3 2" xfId="2492"/>
    <cellStyle name="Saída 2 2 4 3 2 2" xfId="6116"/>
    <cellStyle name="Saída 2 2 4 3 2 2 2" xfId="12684"/>
    <cellStyle name="Saída 2 2 4 3 2 2 2 2" xfId="27006"/>
    <cellStyle name="Saída 2 2 4 3 2 2 3" xfId="18329"/>
    <cellStyle name="Saída 2 2 4 3 2 3" xfId="7176"/>
    <cellStyle name="Saída 2 2 4 3 2 3 2" xfId="9790"/>
    <cellStyle name="Saída 2 2 4 3 2 3 2 2" xfId="16052"/>
    <cellStyle name="Saída 2 2 4 3 2 3 2 2 2" xfId="29468"/>
    <cellStyle name="Saída 2 2 4 3 2 3 2 3" xfId="20797"/>
    <cellStyle name="Saída 2 2 4 3 2 3 3" xfId="13780"/>
    <cellStyle name="Saída 2 2 4 3 2 3 3 2" xfId="28102"/>
    <cellStyle name="Saída 2 2 4 3 2 3 4" xfId="19425"/>
    <cellStyle name="Saída 2 2 4 3 2 4" xfId="3900"/>
    <cellStyle name="Saída 2 2 4 3 2 4 2" xfId="22635"/>
    <cellStyle name="Saída 2 2 4 3 2 5" xfId="14935"/>
    <cellStyle name="Saída 2 2 4 3 3" xfId="2493"/>
    <cellStyle name="Saída 2 2 4 3 3 2" xfId="4296"/>
    <cellStyle name="Saída 2 2 4 3 3 2 2" xfId="9442"/>
    <cellStyle name="Saída 2 2 4 3 3 2 2 2" xfId="15704"/>
    <cellStyle name="Saída 2 2 4 3 3 2 2 2 2" xfId="29120"/>
    <cellStyle name="Saída 2 2 4 3 3 2 2 3" xfId="20449"/>
    <cellStyle name="Saída 2 2 4 3 3 2 3" xfId="6636"/>
    <cellStyle name="Saída 2 2 4 3 3 2 3 2" xfId="23618"/>
    <cellStyle name="Saída 2 2 4 3 3 2 4" xfId="17133"/>
    <cellStyle name="Saída 2 2 4 3 3 3" xfId="13412"/>
    <cellStyle name="Saída 2 2 4 3 3 3 2" xfId="27734"/>
    <cellStyle name="Saída 2 2 4 3 3 4" xfId="19057"/>
    <cellStyle name="Saída 2 2 4 3 4" xfId="5880"/>
    <cellStyle name="Saída 2 2 4 3 4 2" xfId="12433"/>
    <cellStyle name="Saída 2 2 4 3 4 2 2" xfId="26755"/>
    <cellStyle name="Saída 2 2 4 3 4 3" xfId="18078"/>
    <cellStyle name="Saída 2 2 4 3 5" xfId="6661"/>
    <cellStyle name="Saída 2 2 4 3 5 2" xfId="23637"/>
    <cellStyle name="Saída 2 2 4 3 6" xfId="6259"/>
    <cellStyle name="Saída 2 2 4 4" xfId="2494"/>
    <cellStyle name="Saída 2 2 4 4 2" xfId="5913"/>
    <cellStyle name="Saída 2 2 4 4 2 2" xfId="12468"/>
    <cellStyle name="Saída 2 2 4 4 2 2 2" xfId="26790"/>
    <cellStyle name="Saída 2 2 4 4 2 3" xfId="18113"/>
    <cellStyle name="Saída 2 2 4 4 3" xfId="7228"/>
    <cellStyle name="Saída 2 2 4 4 3 2" xfId="9842"/>
    <cellStyle name="Saída 2 2 4 4 3 2 2" xfId="16104"/>
    <cellStyle name="Saída 2 2 4 4 3 2 2 2" xfId="29520"/>
    <cellStyle name="Saída 2 2 4 4 3 2 3" xfId="20849"/>
    <cellStyle name="Saída 2 2 4 4 3 3" xfId="13832"/>
    <cellStyle name="Saída 2 2 4 4 3 3 2" xfId="28154"/>
    <cellStyle name="Saída 2 2 4 4 3 4" xfId="19477"/>
    <cellStyle name="Saída 2 2 4 4 4" xfId="4237"/>
    <cellStyle name="Saída 2 2 4 4 4 2" xfId="22847"/>
    <cellStyle name="Saída 2 2 4 4 5" xfId="14710"/>
    <cellStyle name="Saída 2 2 4 5" xfId="2495"/>
    <cellStyle name="Saída 2 2 4 5 2" xfId="7969"/>
    <cellStyle name="Saída 2 2 4 5 2 2" xfId="10583"/>
    <cellStyle name="Saída 2 2 4 5 2 2 2" xfId="16845"/>
    <cellStyle name="Saída 2 2 4 5 2 2 2 2" xfId="30261"/>
    <cellStyle name="Saída 2 2 4 5 2 2 3" xfId="21590"/>
    <cellStyle name="Saída 2 2 4 5 2 3" xfId="14573"/>
    <cellStyle name="Saída 2 2 4 5 2 3 2" xfId="28895"/>
    <cellStyle name="Saída 2 2 4 5 2 4" xfId="20218"/>
    <cellStyle name="Saída 2 2 4 5 3" xfId="12921"/>
    <cellStyle name="Saída 2 2 4 5 3 2" xfId="27243"/>
    <cellStyle name="Saída 2 2 4 5 4" xfId="18566"/>
    <cellStyle name="Saída 2 2 4 6" xfId="5545"/>
    <cellStyle name="Saída 2 2 4 6 2" xfId="12096"/>
    <cellStyle name="Saída 2 2 4 6 2 2" xfId="26418"/>
    <cellStyle name="Saída 2 2 4 6 3" xfId="17741"/>
    <cellStyle name="Saída 2 2 4 7" xfId="6476"/>
    <cellStyle name="Saída 2 2 4 7 2" xfId="23559"/>
    <cellStyle name="Saída 2 2 4 8" xfId="17315"/>
    <cellStyle name="Saída 2 2 5" xfId="2496"/>
    <cellStyle name="Saída 2 2 5 2" xfId="2497"/>
    <cellStyle name="Saída 2 2 5 2 2" xfId="2498"/>
    <cellStyle name="Saída 2 2 5 2 2 2" xfId="6227"/>
    <cellStyle name="Saída 2 2 5 2 2 2 2" xfId="12802"/>
    <cellStyle name="Saída 2 2 5 2 2 2 2 2" xfId="27124"/>
    <cellStyle name="Saída 2 2 5 2 2 2 3" xfId="18447"/>
    <cellStyle name="Saída 2 2 5 2 2 3" xfId="7906"/>
    <cellStyle name="Saída 2 2 5 2 2 3 2" xfId="10520"/>
    <cellStyle name="Saída 2 2 5 2 2 3 2 2" xfId="16782"/>
    <cellStyle name="Saída 2 2 5 2 2 3 2 2 2" xfId="30198"/>
    <cellStyle name="Saída 2 2 5 2 2 3 2 3" xfId="21527"/>
    <cellStyle name="Saída 2 2 5 2 2 3 3" xfId="14510"/>
    <cellStyle name="Saída 2 2 5 2 2 3 3 2" xfId="28832"/>
    <cellStyle name="Saída 2 2 5 2 2 3 4" xfId="20155"/>
    <cellStyle name="Saída 2 2 5 2 2 4" xfId="4437"/>
    <cellStyle name="Saída 2 2 5 2 2 4 2" xfId="22952"/>
    <cellStyle name="Saída 2 2 5 2 2 5" xfId="15504"/>
    <cellStyle name="Saída 2 2 5 2 3" xfId="2499"/>
    <cellStyle name="Saída 2 2 5 2 3 2" xfId="7852"/>
    <cellStyle name="Saída 2 2 5 2 3 2 2" xfId="10466"/>
    <cellStyle name="Saída 2 2 5 2 3 2 2 2" xfId="16728"/>
    <cellStyle name="Saída 2 2 5 2 3 2 2 2 2" xfId="30144"/>
    <cellStyle name="Saída 2 2 5 2 3 2 2 3" xfId="21473"/>
    <cellStyle name="Saída 2 2 5 2 3 2 3" xfId="14456"/>
    <cellStyle name="Saída 2 2 5 2 3 2 3 2" xfId="28778"/>
    <cellStyle name="Saída 2 2 5 2 3 2 4" xfId="20101"/>
    <cellStyle name="Saída 2 2 5 2 3 3" xfId="13195"/>
    <cellStyle name="Saída 2 2 5 2 3 3 2" xfId="27517"/>
    <cellStyle name="Saída 2 2 5 2 3 4" xfId="18840"/>
    <cellStyle name="Saída 2 2 5 2 4" xfId="5632"/>
    <cellStyle name="Saída 2 2 5 2 4 2" xfId="12185"/>
    <cellStyle name="Saída 2 2 5 2 4 2 2" xfId="26507"/>
    <cellStyle name="Saída 2 2 5 2 4 3" xfId="17830"/>
    <cellStyle name="Saída 2 2 5 2 5" xfId="3591"/>
    <cellStyle name="Saída 2 2 5 2 5 2" xfId="22477"/>
    <cellStyle name="Saída 2 2 5 2 6" xfId="3964"/>
    <cellStyle name="Saída 2 2 5 3" xfId="2500"/>
    <cellStyle name="Saída 2 2 5 3 2" xfId="2501"/>
    <cellStyle name="Saída 2 2 5 3 2 2" xfId="6867"/>
    <cellStyle name="Saída 2 2 5 3 2 2 2" xfId="13471"/>
    <cellStyle name="Saída 2 2 5 3 2 2 2 2" xfId="27793"/>
    <cellStyle name="Saída 2 2 5 3 2 2 3" xfId="19116"/>
    <cellStyle name="Saída 2 2 5 3 2 3" xfId="7330"/>
    <cellStyle name="Saída 2 2 5 3 2 3 2" xfId="9944"/>
    <cellStyle name="Saída 2 2 5 3 2 3 2 2" xfId="16206"/>
    <cellStyle name="Saída 2 2 5 3 2 3 2 2 2" xfId="29622"/>
    <cellStyle name="Saída 2 2 5 3 2 3 2 3" xfId="20951"/>
    <cellStyle name="Saída 2 2 5 3 2 3 3" xfId="13934"/>
    <cellStyle name="Saída 2 2 5 3 2 3 3 2" xfId="28256"/>
    <cellStyle name="Saída 2 2 5 3 2 3 4" xfId="19579"/>
    <cellStyle name="Saída 2 2 5 3 2 4" xfId="11328"/>
    <cellStyle name="Saída 2 2 5 3 2 4 2" xfId="25650"/>
    <cellStyle name="Saída 2 2 5 3 2 5" xfId="15449"/>
    <cellStyle name="Saída 2 2 5 3 3" xfId="2502"/>
    <cellStyle name="Saída 2 2 5 3 3 2" xfId="7315"/>
    <cellStyle name="Saída 2 2 5 3 3 2 2" xfId="9929"/>
    <cellStyle name="Saída 2 2 5 3 3 2 2 2" xfId="16191"/>
    <cellStyle name="Saída 2 2 5 3 3 2 2 2 2" xfId="29607"/>
    <cellStyle name="Saída 2 2 5 3 3 2 2 3" xfId="20936"/>
    <cellStyle name="Saída 2 2 5 3 3 2 3" xfId="13919"/>
    <cellStyle name="Saída 2 2 5 3 3 2 3 2" xfId="28241"/>
    <cellStyle name="Saída 2 2 5 3 3 2 4" xfId="19564"/>
    <cellStyle name="Saída 2 2 5 3 3 3" xfId="11672"/>
    <cellStyle name="Saída 2 2 5 3 3 3 2" xfId="25994"/>
    <cellStyle name="Saída 2 2 5 3 3 4" xfId="17113"/>
    <cellStyle name="Saída 2 2 5 3 4" xfId="5207"/>
    <cellStyle name="Saída 2 2 5 3 4 2" xfId="11756"/>
    <cellStyle name="Saída 2 2 5 3 4 2 2" xfId="26078"/>
    <cellStyle name="Saída 2 2 5 3 4 3" xfId="17401"/>
    <cellStyle name="Saída 2 2 5 3 5" xfId="4843"/>
    <cellStyle name="Saída 2 2 5 3 5 2" xfId="23217"/>
    <cellStyle name="Saída 2 2 5 3 6" xfId="14883"/>
    <cellStyle name="Saída 2 2 5 4" xfId="2503"/>
    <cellStyle name="Saída 2 2 5 4 2" xfId="6415"/>
    <cellStyle name="Saída 2 2 5 4 2 2" xfId="12998"/>
    <cellStyle name="Saída 2 2 5 4 2 2 2" xfId="27320"/>
    <cellStyle name="Saída 2 2 5 4 2 3" xfId="18643"/>
    <cellStyle name="Saída 2 2 5 4 3" xfId="7448"/>
    <cellStyle name="Saída 2 2 5 4 3 2" xfId="10062"/>
    <cellStyle name="Saída 2 2 5 4 3 2 2" xfId="16324"/>
    <cellStyle name="Saída 2 2 5 4 3 2 2 2" xfId="29740"/>
    <cellStyle name="Saída 2 2 5 4 3 2 3" xfId="21069"/>
    <cellStyle name="Saída 2 2 5 4 3 3" xfId="14052"/>
    <cellStyle name="Saída 2 2 5 4 3 3 2" xfId="28374"/>
    <cellStyle name="Saída 2 2 5 4 3 4" xfId="19697"/>
    <cellStyle name="Saída 2 2 5 4 4" xfId="3888"/>
    <cellStyle name="Saída 2 2 5 4 4 2" xfId="22628"/>
    <cellStyle name="Saída 2 2 5 4 5" xfId="6333"/>
    <cellStyle name="Saída 2 2 5 5" xfId="2504"/>
    <cellStyle name="Saída 2 2 5 5 2" xfId="7252"/>
    <cellStyle name="Saída 2 2 5 5 2 2" xfId="9866"/>
    <cellStyle name="Saída 2 2 5 5 2 2 2" xfId="16128"/>
    <cellStyle name="Saída 2 2 5 5 2 2 2 2" xfId="29544"/>
    <cellStyle name="Saída 2 2 5 5 2 2 3" xfId="20873"/>
    <cellStyle name="Saída 2 2 5 5 2 3" xfId="13856"/>
    <cellStyle name="Saída 2 2 5 5 2 3 2" xfId="28178"/>
    <cellStyle name="Saída 2 2 5 5 2 4" xfId="19501"/>
    <cellStyle name="Saída 2 2 5 5 3" xfId="12032"/>
    <cellStyle name="Saída 2 2 5 5 3 2" xfId="26354"/>
    <cellStyle name="Saída 2 2 5 5 4" xfId="17677"/>
    <cellStyle name="Saída 2 2 5 6" xfId="3267"/>
    <cellStyle name="Saída 2 2 5 6 2" xfId="3670"/>
    <cellStyle name="Saída 2 2 5 6 2 2" xfId="22516"/>
    <cellStyle name="Saída 2 2 5 6 3" xfId="15598"/>
    <cellStyle name="Saída 2 2 5 7" xfId="6775"/>
    <cellStyle name="Saída 2 2 5 7 2" xfId="23721"/>
    <cellStyle name="Saída 2 2 5 8" xfId="14752"/>
    <cellStyle name="Saída 2 2 6" xfId="2505"/>
    <cellStyle name="Saída 2 2 6 2" xfId="2506"/>
    <cellStyle name="Saída 2 2 6 2 2" xfId="2507"/>
    <cellStyle name="Saída 2 2 6 2 2 2" xfId="6157"/>
    <cellStyle name="Saída 2 2 6 2 2 2 2" xfId="12728"/>
    <cellStyle name="Saída 2 2 6 2 2 2 2 2" xfId="27050"/>
    <cellStyle name="Saída 2 2 6 2 2 2 3" xfId="18373"/>
    <cellStyle name="Saída 2 2 6 2 2 3" xfId="7791"/>
    <cellStyle name="Saída 2 2 6 2 2 3 2" xfId="10405"/>
    <cellStyle name="Saída 2 2 6 2 2 3 2 2" xfId="16667"/>
    <cellStyle name="Saída 2 2 6 2 2 3 2 2 2" xfId="30083"/>
    <cellStyle name="Saída 2 2 6 2 2 3 2 3" xfId="21412"/>
    <cellStyle name="Saída 2 2 6 2 2 3 3" xfId="14395"/>
    <cellStyle name="Saída 2 2 6 2 2 3 3 2" xfId="28717"/>
    <cellStyle name="Saída 2 2 6 2 2 3 4" xfId="20040"/>
    <cellStyle name="Saída 2 2 6 2 2 4" xfId="4407"/>
    <cellStyle name="Saída 2 2 6 2 2 4 2" xfId="22932"/>
    <cellStyle name="Saída 2 2 6 2 2 5" xfId="15508"/>
    <cellStyle name="Saída 2 2 6 2 3" xfId="2508"/>
    <cellStyle name="Saída 2 2 6 2 3 2" xfId="3708"/>
    <cellStyle name="Saída 2 2 6 2 3 2 2" xfId="9362"/>
    <cellStyle name="Saída 2 2 6 2 3 2 2 2" xfId="15624"/>
    <cellStyle name="Saída 2 2 6 2 3 2 2 2 2" xfId="29040"/>
    <cellStyle name="Saída 2 2 6 2 3 2 2 3" xfId="20369"/>
    <cellStyle name="Saída 2 2 6 2 3 2 3" xfId="4019"/>
    <cellStyle name="Saída 2 2 6 2 3 2 3 2" xfId="22704"/>
    <cellStyle name="Saída 2 2 6 2 3 2 4" xfId="17032"/>
    <cellStyle name="Saída 2 2 6 2 3 3" xfId="13390"/>
    <cellStyle name="Saída 2 2 6 2 3 3 2" xfId="27712"/>
    <cellStyle name="Saída 2 2 6 2 3 4" xfId="19035"/>
    <cellStyle name="Saída 2 2 6 2 4" xfId="5854"/>
    <cellStyle name="Saída 2 2 6 2 4 2" xfId="12407"/>
    <cellStyle name="Saída 2 2 6 2 4 2 2" xfId="26729"/>
    <cellStyle name="Saída 2 2 6 2 4 3" xfId="18052"/>
    <cellStyle name="Saída 2 2 6 2 5" xfId="3734"/>
    <cellStyle name="Saída 2 2 6 2 5 2" xfId="22553"/>
    <cellStyle name="Saída 2 2 6 2 6" xfId="14808"/>
    <cellStyle name="Saída 2 2 6 3" xfId="2509"/>
    <cellStyle name="Saída 2 2 6 3 2" xfId="6538"/>
    <cellStyle name="Saída 2 2 6 3 2 2" xfId="13126"/>
    <cellStyle name="Saída 2 2 6 3 2 2 2" xfId="27448"/>
    <cellStyle name="Saída 2 2 6 3 2 3" xfId="18771"/>
    <cellStyle name="Saída 2 2 6 3 3" xfId="4908"/>
    <cellStyle name="Saída 2 2 6 3 3 2" xfId="9511"/>
    <cellStyle name="Saída 2 2 6 3 3 2 2" xfId="15773"/>
    <cellStyle name="Saída 2 2 6 3 3 2 2 2" xfId="29189"/>
    <cellStyle name="Saída 2 2 6 3 3 2 3" xfId="20518"/>
    <cellStyle name="Saída 2 2 6 3 3 3" xfId="11445"/>
    <cellStyle name="Saída 2 2 6 3 3 3 2" xfId="25767"/>
    <cellStyle name="Saída 2 2 6 3 3 4" xfId="15074"/>
    <cellStyle name="Saída 2 2 6 3 4" xfId="5608"/>
    <cellStyle name="Saída 2 2 6 3 4 2" xfId="23357"/>
    <cellStyle name="Saída 2 2 6 3 5" xfId="17344"/>
    <cellStyle name="Saída 2 2 6 4" xfId="2510"/>
    <cellStyle name="Saída 2 2 6 4 2" xfId="5323"/>
    <cellStyle name="Saída 2 2 6 4 2 2" xfId="9632"/>
    <cellStyle name="Saída 2 2 6 4 2 2 2" xfId="15894"/>
    <cellStyle name="Saída 2 2 6 4 2 2 2 2" xfId="29310"/>
    <cellStyle name="Saída 2 2 6 4 2 2 3" xfId="20639"/>
    <cellStyle name="Saída 2 2 6 4 2 3" xfId="11873"/>
    <cellStyle name="Saída 2 2 6 4 2 3 2" xfId="26195"/>
    <cellStyle name="Saída 2 2 6 4 2 4" xfId="17518"/>
    <cellStyle name="Saída 2 2 6 4 3" xfId="12902"/>
    <cellStyle name="Saída 2 2 6 4 3 2" xfId="27224"/>
    <cellStyle name="Saída 2 2 6 4 4" xfId="18547"/>
    <cellStyle name="Saída 2 2 6 5" xfId="5526"/>
    <cellStyle name="Saída 2 2 6 5 2" xfId="12077"/>
    <cellStyle name="Saída 2 2 6 5 2 2" xfId="26399"/>
    <cellStyle name="Saída 2 2 6 5 3" xfId="17722"/>
    <cellStyle name="Saída 2 2 6 6" xfId="4669"/>
    <cellStyle name="Saída 2 2 6 6 2" xfId="23108"/>
    <cellStyle name="Saída 2 2 6 7" xfId="4323"/>
    <cellStyle name="Saída 2 2 7" xfId="2511"/>
    <cellStyle name="Saída 2 2 7 2" xfId="2512"/>
    <cellStyle name="Saída 2 2 7 2 2" xfId="6063"/>
    <cellStyle name="Saída 2 2 7 2 2 2" xfId="12629"/>
    <cellStyle name="Saída 2 2 7 2 2 2 2" xfId="26951"/>
    <cellStyle name="Saída 2 2 7 2 2 3" xfId="18274"/>
    <cellStyle name="Saída 2 2 7 2 3" xfId="7897"/>
    <cellStyle name="Saída 2 2 7 2 3 2" xfId="10511"/>
    <cellStyle name="Saída 2 2 7 2 3 2 2" xfId="16773"/>
    <cellStyle name="Saída 2 2 7 2 3 2 2 2" xfId="30189"/>
    <cellStyle name="Saída 2 2 7 2 3 2 3" xfId="21518"/>
    <cellStyle name="Saída 2 2 7 2 3 3" xfId="14501"/>
    <cellStyle name="Saída 2 2 7 2 3 3 2" xfId="28823"/>
    <cellStyle name="Saída 2 2 7 2 3 4" xfId="20146"/>
    <cellStyle name="Saída 2 2 7 2 4" xfId="6740"/>
    <cellStyle name="Saída 2 2 7 2 4 2" xfId="23689"/>
    <cellStyle name="Saída 2 2 7 2 5" xfId="6739"/>
    <cellStyle name="Saída 2 2 7 3" xfId="2513"/>
    <cellStyle name="Saída 2 2 7 3 2" xfId="8007"/>
    <cellStyle name="Saída 2 2 7 3 2 2" xfId="10621"/>
    <cellStyle name="Saída 2 2 7 3 2 2 2" xfId="16883"/>
    <cellStyle name="Saída 2 2 7 3 2 2 2 2" xfId="30299"/>
    <cellStyle name="Saída 2 2 7 3 2 2 3" xfId="21628"/>
    <cellStyle name="Saída 2 2 7 3 2 3" xfId="14611"/>
    <cellStyle name="Saída 2 2 7 3 2 3 2" xfId="28933"/>
    <cellStyle name="Saída 2 2 7 3 2 4" xfId="20256"/>
    <cellStyle name="Saída 2 2 7 3 3" xfId="13381"/>
    <cellStyle name="Saída 2 2 7 3 3 2" xfId="27703"/>
    <cellStyle name="Saída 2 2 7 3 4" xfId="19026"/>
    <cellStyle name="Saída 2 2 7 4" xfId="5840"/>
    <cellStyle name="Saída 2 2 7 4 2" xfId="12393"/>
    <cellStyle name="Saída 2 2 7 4 2 2" xfId="26715"/>
    <cellStyle name="Saída 2 2 7 4 3" xfId="18038"/>
    <cellStyle name="Saída 2 2 7 5" xfId="6184"/>
    <cellStyle name="Saída 2 2 7 5 2" xfId="23449"/>
    <cellStyle name="Saída 2 2 7 6" xfId="17135"/>
    <cellStyle name="Saída 2 2 8" xfId="2514"/>
    <cellStyle name="Saída 2 2 8 2" xfId="6434"/>
    <cellStyle name="Saída 2 2 8 2 2" xfId="13017"/>
    <cellStyle name="Saída 2 2 8 2 2 2" xfId="27339"/>
    <cellStyle name="Saída 2 2 8 2 3" xfId="18662"/>
    <cellStyle name="Saída 2 2 8 3" xfId="5288"/>
    <cellStyle name="Saída 2 2 8 3 2" xfId="9597"/>
    <cellStyle name="Saída 2 2 8 3 2 2" xfId="15859"/>
    <cellStyle name="Saída 2 2 8 3 2 2 2" xfId="29275"/>
    <cellStyle name="Saída 2 2 8 3 2 3" xfId="20604"/>
    <cellStyle name="Saída 2 2 8 3 3" xfId="11838"/>
    <cellStyle name="Saída 2 2 8 3 3 2" xfId="26160"/>
    <cellStyle name="Saída 2 2 8 3 4" xfId="17483"/>
    <cellStyle name="Saída 2 2 8 4" xfId="3687"/>
    <cellStyle name="Saída 2 2 8 4 2" xfId="22529"/>
    <cellStyle name="Saída 2 2 8 5" xfId="6324"/>
    <cellStyle name="Saída 2 2 9" xfId="2515"/>
    <cellStyle name="Saída 2 2 9 2" xfId="8033"/>
    <cellStyle name="Saída 2 2 9 2 2" xfId="10647"/>
    <cellStyle name="Saída 2 2 9 2 2 2" xfId="16909"/>
    <cellStyle name="Saída 2 2 9 2 2 2 2" xfId="30325"/>
    <cellStyle name="Saída 2 2 9 2 2 3" xfId="21654"/>
    <cellStyle name="Saída 2 2 9 2 3" xfId="14637"/>
    <cellStyle name="Saída 2 2 9 2 3 2" xfId="28959"/>
    <cellStyle name="Saída 2 2 9 2 4" xfId="20282"/>
    <cellStyle name="Saída 2 2 9 3" xfId="12726"/>
    <cellStyle name="Saída 2 2 9 3 2" xfId="27048"/>
    <cellStyle name="Saída 2 2 9 4" xfId="18371"/>
    <cellStyle name="Saída 2 3" xfId="2516"/>
    <cellStyle name="Saída 2 3 10" xfId="6657"/>
    <cellStyle name="Saída 2 3 10 2" xfId="23633"/>
    <cellStyle name="Saída 2 3 11" xfId="16992"/>
    <cellStyle name="Saída 2 3 2" xfId="2517"/>
    <cellStyle name="Saída 2 3 2 2" xfId="2518"/>
    <cellStyle name="Saída 2 3 2 2 2" xfId="2519"/>
    <cellStyle name="Saída 2 3 2 2 2 2" xfId="6221"/>
    <cellStyle name="Saída 2 3 2 2 2 2 2" xfId="12796"/>
    <cellStyle name="Saída 2 3 2 2 2 2 2 2" xfId="27118"/>
    <cellStyle name="Saída 2 3 2 2 2 2 3" xfId="18441"/>
    <cellStyle name="Saída 2 3 2 2 2 3" xfId="7419"/>
    <cellStyle name="Saída 2 3 2 2 2 3 2" xfId="10033"/>
    <cellStyle name="Saída 2 3 2 2 2 3 2 2" xfId="16295"/>
    <cellStyle name="Saída 2 3 2 2 2 3 2 2 2" xfId="29711"/>
    <cellStyle name="Saída 2 3 2 2 2 3 2 3" xfId="21040"/>
    <cellStyle name="Saída 2 3 2 2 2 3 3" xfId="14023"/>
    <cellStyle name="Saída 2 3 2 2 2 3 3 2" xfId="28345"/>
    <cellStyle name="Saída 2 3 2 2 2 3 4" xfId="19668"/>
    <cellStyle name="Saída 2 3 2 2 2 4" xfId="6178"/>
    <cellStyle name="Saída 2 3 2 2 2 4 2" xfId="23444"/>
    <cellStyle name="Saída 2 3 2 2 2 5" xfId="14871"/>
    <cellStyle name="Saída 2 3 2 2 3" xfId="2520"/>
    <cellStyle name="Saída 2 3 2 2 3 2" xfId="8039"/>
    <cellStyle name="Saída 2 3 2 2 3 2 2" xfId="10653"/>
    <cellStyle name="Saída 2 3 2 2 3 2 2 2" xfId="16915"/>
    <cellStyle name="Saída 2 3 2 2 3 2 2 2 2" xfId="30331"/>
    <cellStyle name="Saída 2 3 2 2 3 2 2 3" xfId="21660"/>
    <cellStyle name="Saída 2 3 2 2 3 2 3" xfId="14643"/>
    <cellStyle name="Saída 2 3 2 2 3 2 3 2" xfId="28965"/>
    <cellStyle name="Saída 2 3 2 2 3 2 4" xfId="20288"/>
    <cellStyle name="Saída 2 3 2 2 3 3" xfId="13298"/>
    <cellStyle name="Saída 2 3 2 2 3 3 2" xfId="27620"/>
    <cellStyle name="Saída 2 3 2 2 3 4" xfId="18943"/>
    <cellStyle name="Saída 2 3 2 2 4" xfId="5748"/>
    <cellStyle name="Saída 2 3 2 2 4 2" xfId="12301"/>
    <cellStyle name="Saída 2 3 2 2 4 2 2" xfId="26623"/>
    <cellStyle name="Saída 2 3 2 2 4 3" xfId="17946"/>
    <cellStyle name="Saída 2 3 2 2 5" xfId="3988"/>
    <cellStyle name="Saída 2 3 2 2 5 2" xfId="22687"/>
    <cellStyle name="Saída 2 3 2 2 6" xfId="15554"/>
    <cellStyle name="Saída 2 3 2 3" xfId="2521"/>
    <cellStyle name="Saída 2 3 2 3 2" xfId="2522"/>
    <cellStyle name="Saída 2 3 2 3 2 2" xfId="6532"/>
    <cellStyle name="Saída 2 3 2 3 2 2 2" xfId="13120"/>
    <cellStyle name="Saída 2 3 2 3 2 2 2 2" xfId="27442"/>
    <cellStyle name="Saída 2 3 2 3 2 2 3" xfId="18765"/>
    <cellStyle name="Saída 2 3 2 3 2 3" xfId="7236"/>
    <cellStyle name="Saída 2 3 2 3 2 3 2" xfId="9850"/>
    <cellStyle name="Saída 2 3 2 3 2 3 2 2" xfId="16112"/>
    <cellStyle name="Saída 2 3 2 3 2 3 2 2 2" xfId="29528"/>
    <cellStyle name="Saída 2 3 2 3 2 3 2 3" xfId="20857"/>
    <cellStyle name="Saída 2 3 2 3 2 3 3" xfId="13840"/>
    <cellStyle name="Saída 2 3 2 3 2 3 3 2" xfId="28162"/>
    <cellStyle name="Saída 2 3 2 3 2 3 4" xfId="19485"/>
    <cellStyle name="Saída 2 3 2 3 2 4" xfId="6603"/>
    <cellStyle name="Saída 2 3 2 3 2 4 2" xfId="23597"/>
    <cellStyle name="Saída 2 3 2 3 2 5" xfId="17023"/>
    <cellStyle name="Saída 2 3 2 3 3" xfId="2523"/>
    <cellStyle name="Saída 2 3 2 3 3 2" xfId="3621"/>
    <cellStyle name="Saída 2 3 2 3 3 2 2" xfId="9345"/>
    <cellStyle name="Saída 2 3 2 3 3 2 2 2" xfId="15607"/>
    <cellStyle name="Saída 2 3 2 3 3 2 2 2 2" xfId="29023"/>
    <cellStyle name="Saída 2 3 2 3 3 2 2 3" xfId="20352"/>
    <cellStyle name="Saída 2 3 2 3 3 2 3" xfId="6362"/>
    <cellStyle name="Saída 2 3 2 3 3 2 3 2" xfId="23546"/>
    <cellStyle name="Saída 2 3 2 3 3 2 4" xfId="3996"/>
    <cellStyle name="Saída 2 3 2 3 3 3" xfId="13427"/>
    <cellStyle name="Saída 2 3 2 3 3 3 2" xfId="27749"/>
    <cellStyle name="Saída 2 3 2 3 3 4" xfId="19072"/>
    <cellStyle name="Saída 2 3 2 3 4" xfId="5902"/>
    <cellStyle name="Saída 2 3 2 3 4 2" xfId="12456"/>
    <cellStyle name="Saída 2 3 2 3 4 2 2" xfId="26778"/>
    <cellStyle name="Saída 2 3 2 3 4 3" xfId="18101"/>
    <cellStyle name="Saída 2 3 2 3 5" xfId="2823"/>
    <cellStyle name="Saída 2 3 2 3 5 2" xfId="22386"/>
    <cellStyle name="Saída 2 3 2 3 6" xfId="15537"/>
    <cellStyle name="Saída 2 3 2 4" xfId="2524"/>
    <cellStyle name="Saída 2 3 2 4 2" xfId="7022"/>
    <cellStyle name="Saída 2 3 2 4 2 2" xfId="13626"/>
    <cellStyle name="Saída 2 3 2 4 2 2 2" xfId="27948"/>
    <cellStyle name="Saída 2 3 2 4 2 3" xfId="19271"/>
    <cellStyle name="Saída 2 3 2 4 3" xfId="5325"/>
    <cellStyle name="Saída 2 3 2 4 3 2" xfId="9634"/>
    <cellStyle name="Saída 2 3 2 4 3 2 2" xfId="15896"/>
    <cellStyle name="Saída 2 3 2 4 3 2 2 2" xfId="29312"/>
    <cellStyle name="Saída 2 3 2 4 3 2 3" xfId="20641"/>
    <cellStyle name="Saída 2 3 2 4 3 3" xfId="11875"/>
    <cellStyle name="Saída 2 3 2 4 3 3 2" xfId="26197"/>
    <cellStyle name="Saída 2 3 2 4 3 4" xfId="17520"/>
    <cellStyle name="Saída 2 3 2 4 4" xfId="11555"/>
    <cellStyle name="Saída 2 3 2 4 4 2" xfId="25877"/>
    <cellStyle name="Saída 2 3 2 4 5" xfId="17379"/>
    <cellStyle name="Saída 2 3 2 5" xfId="2525"/>
    <cellStyle name="Saída 2 3 2 5 2" xfId="7930"/>
    <cellStyle name="Saída 2 3 2 5 2 2" xfId="10544"/>
    <cellStyle name="Saída 2 3 2 5 2 2 2" xfId="16806"/>
    <cellStyle name="Saída 2 3 2 5 2 2 2 2" xfId="30222"/>
    <cellStyle name="Saída 2 3 2 5 2 2 3" xfId="21551"/>
    <cellStyle name="Saída 2 3 2 5 2 3" xfId="14534"/>
    <cellStyle name="Saída 2 3 2 5 2 3 2" xfId="28856"/>
    <cellStyle name="Saída 2 3 2 5 2 4" xfId="20179"/>
    <cellStyle name="Saída 2 3 2 5 3" xfId="12874"/>
    <cellStyle name="Saída 2 3 2 5 3 2" xfId="27196"/>
    <cellStyle name="Saída 2 3 2 5 4" xfId="18519"/>
    <cellStyle name="Saída 2 3 2 6" xfId="5492"/>
    <cellStyle name="Saída 2 3 2 6 2" xfId="12043"/>
    <cellStyle name="Saída 2 3 2 6 2 2" xfId="26365"/>
    <cellStyle name="Saída 2 3 2 6 3" xfId="17688"/>
    <cellStyle name="Saída 2 3 2 7" xfId="4022"/>
    <cellStyle name="Saída 2 3 2 7 2" xfId="22706"/>
    <cellStyle name="Saída 2 3 2 8" xfId="3711"/>
    <cellStyle name="Saída 2 3 3" xfId="2526"/>
    <cellStyle name="Saída 2 3 3 2" xfId="2527"/>
    <cellStyle name="Saída 2 3 3 2 2" xfId="2528"/>
    <cellStyle name="Saída 2 3 3 2 2 2" xfId="6875"/>
    <cellStyle name="Saída 2 3 3 2 2 2 2" xfId="13479"/>
    <cellStyle name="Saída 2 3 3 2 2 2 2 2" xfId="27801"/>
    <cellStyle name="Saída 2 3 3 2 2 2 3" xfId="19124"/>
    <cellStyle name="Saída 2 3 3 2 2 3" xfId="7957"/>
    <cellStyle name="Saída 2 3 3 2 2 3 2" xfId="10571"/>
    <cellStyle name="Saída 2 3 3 2 2 3 2 2" xfId="16833"/>
    <cellStyle name="Saída 2 3 3 2 2 3 2 2 2" xfId="30249"/>
    <cellStyle name="Saída 2 3 3 2 2 3 2 3" xfId="21578"/>
    <cellStyle name="Saída 2 3 3 2 2 3 3" xfId="14561"/>
    <cellStyle name="Saída 2 3 3 2 2 3 3 2" xfId="28883"/>
    <cellStyle name="Saída 2 3 3 2 2 3 4" xfId="20206"/>
    <cellStyle name="Saída 2 3 3 2 2 4" xfId="11343"/>
    <cellStyle name="Saída 2 3 3 2 2 4 2" xfId="25665"/>
    <cellStyle name="Saída 2 3 3 2 2 5" xfId="14715"/>
    <cellStyle name="Saída 2 3 3 2 3" xfId="2529"/>
    <cellStyle name="Saída 2 3 3 2 3 2" xfId="7994"/>
    <cellStyle name="Saída 2 3 3 2 3 2 2" xfId="10608"/>
    <cellStyle name="Saída 2 3 3 2 3 2 2 2" xfId="16870"/>
    <cellStyle name="Saída 2 3 3 2 3 2 2 2 2" xfId="30286"/>
    <cellStyle name="Saída 2 3 3 2 3 2 2 3" xfId="21615"/>
    <cellStyle name="Saída 2 3 3 2 3 2 3" xfId="14598"/>
    <cellStyle name="Saída 2 3 3 2 3 2 3 2" xfId="28920"/>
    <cellStyle name="Saída 2 3 3 2 3 2 4" xfId="20243"/>
    <cellStyle name="Saída 2 3 3 2 3 3" xfId="13334"/>
    <cellStyle name="Saída 2 3 3 2 3 3 2" xfId="27656"/>
    <cellStyle name="Saída 2 3 3 2 3 4" xfId="18979"/>
    <cellStyle name="Saída 2 3 3 2 4" xfId="5784"/>
    <cellStyle name="Saída 2 3 3 2 4 2" xfId="12337"/>
    <cellStyle name="Saída 2 3 3 2 4 2 2" xfId="26659"/>
    <cellStyle name="Saída 2 3 3 2 4 3" xfId="17982"/>
    <cellStyle name="Saída 2 3 3 2 5" xfId="3746"/>
    <cellStyle name="Saída 2 3 3 2 5 2" xfId="22560"/>
    <cellStyle name="Saída 2 3 3 2 6" xfId="16949"/>
    <cellStyle name="Saída 2 3 3 3" xfId="2530"/>
    <cellStyle name="Saída 2 3 3 3 2" xfId="2531"/>
    <cellStyle name="Saída 2 3 3 3 2 2" xfId="5118"/>
    <cellStyle name="Saída 2 3 3 3 2 2 2" xfId="11666"/>
    <cellStyle name="Saída 2 3 3 3 2 2 2 2" xfId="25988"/>
    <cellStyle name="Saída 2 3 3 3 2 2 3" xfId="4508"/>
    <cellStyle name="Saída 2 3 3 3 2 3" xfId="7114"/>
    <cellStyle name="Saída 2 3 3 3 2 3 2" xfId="9728"/>
    <cellStyle name="Saída 2 3 3 3 2 3 2 2" xfId="15990"/>
    <cellStyle name="Saída 2 3 3 3 2 3 2 2 2" xfId="29406"/>
    <cellStyle name="Saída 2 3 3 3 2 3 2 3" xfId="20735"/>
    <cellStyle name="Saída 2 3 3 3 2 3 3" xfId="13718"/>
    <cellStyle name="Saída 2 3 3 3 2 3 3 2" xfId="28040"/>
    <cellStyle name="Saída 2 3 3 3 2 3 4" xfId="19363"/>
    <cellStyle name="Saída 2 3 3 3 2 4" xfId="4485"/>
    <cellStyle name="Saída 2 3 3 3 2 4 2" xfId="22982"/>
    <cellStyle name="Saída 2 3 3 3 2 5" xfId="5871"/>
    <cellStyle name="Saída 2 3 3 3 3" xfId="2532"/>
    <cellStyle name="Saída 2 3 3 3 3 2" xfId="4919"/>
    <cellStyle name="Saída 2 3 3 3 3 2 2" xfId="9514"/>
    <cellStyle name="Saída 2 3 3 3 3 2 2 2" xfId="15776"/>
    <cellStyle name="Saída 2 3 3 3 3 2 2 2 2" xfId="29192"/>
    <cellStyle name="Saída 2 3 3 3 3 2 2 3" xfId="20521"/>
    <cellStyle name="Saída 2 3 3 3 3 2 3" xfId="11456"/>
    <cellStyle name="Saída 2 3 3 3 3 2 3 2" xfId="25778"/>
    <cellStyle name="Saída 2 3 3 3 3 2 4" xfId="15201"/>
    <cellStyle name="Saída 2 3 3 3 3 3" xfId="13417"/>
    <cellStyle name="Saída 2 3 3 3 3 3 2" xfId="27739"/>
    <cellStyle name="Saída 2 3 3 3 3 4" xfId="19062"/>
    <cellStyle name="Saída 2 3 3 3 4" xfId="5887"/>
    <cellStyle name="Saída 2 3 3 3 4 2" xfId="12440"/>
    <cellStyle name="Saída 2 3 3 3 4 2 2" xfId="26762"/>
    <cellStyle name="Saída 2 3 3 3 4 3" xfId="18085"/>
    <cellStyle name="Saída 2 3 3 3 5" xfId="4642"/>
    <cellStyle name="Saída 2 3 3 3 5 2" xfId="23086"/>
    <cellStyle name="Saída 2 3 3 3 6" xfId="17012"/>
    <cellStyle name="Saída 2 3 3 4" xfId="2533"/>
    <cellStyle name="Saída 2 3 3 4 2" xfId="6035"/>
    <cellStyle name="Saída 2 3 3 4 2 2" xfId="12596"/>
    <cellStyle name="Saída 2 3 3 4 2 2 2" xfId="26918"/>
    <cellStyle name="Saída 2 3 3 4 2 3" xfId="18241"/>
    <cellStyle name="Saída 2 3 3 4 3" xfId="7945"/>
    <cellStyle name="Saída 2 3 3 4 3 2" xfId="10559"/>
    <cellStyle name="Saída 2 3 3 4 3 2 2" xfId="16821"/>
    <cellStyle name="Saída 2 3 3 4 3 2 2 2" xfId="30237"/>
    <cellStyle name="Saída 2 3 3 4 3 2 3" xfId="21566"/>
    <cellStyle name="Saída 2 3 3 4 3 3" xfId="14549"/>
    <cellStyle name="Saída 2 3 3 4 3 3 2" xfId="28871"/>
    <cellStyle name="Saída 2 3 3 4 3 4" xfId="20194"/>
    <cellStyle name="Saída 2 3 3 4 4" xfId="6781"/>
    <cellStyle name="Saída 2 3 3 4 4 2" xfId="23726"/>
    <cellStyle name="Saída 2 3 3 4 5" xfId="14786"/>
    <cellStyle name="Saída 2 3 3 5" xfId="2534"/>
    <cellStyle name="Saída 2 3 3 5 2" xfId="7416"/>
    <cellStyle name="Saída 2 3 3 5 2 2" xfId="10030"/>
    <cellStyle name="Saída 2 3 3 5 2 2 2" xfId="16292"/>
    <cellStyle name="Saída 2 3 3 5 2 2 2 2" xfId="29708"/>
    <cellStyle name="Saída 2 3 3 5 2 2 3" xfId="21037"/>
    <cellStyle name="Saída 2 3 3 5 2 3" xfId="14020"/>
    <cellStyle name="Saída 2 3 3 5 2 3 2" xfId="28342"/>
    <cellStyle name="Saída 2 3 3 5 2 4" xfId="19665"/>
    <cellStyle name="Saída 2 3 3 5 3" xfId="12910"/>
    <cellStyle name="Saída 2 3 3 5 3 2" xfId="27232"/>
    <cellStyle name="Saída 2 3 3 5 4" xfId="18555"/>
    <cellStyle name="Saída 2 3 3 6" xfId="5534"/>
    <cellStyle name="Saída 2 3 3 6 2" xfId="12085"/>
    <cellStyle name="Saída 2 3 3 6 2 2" xfId="26407"/>
    <cellStyle name="Saída 2 3 3 6 3" xfId="17730"/>
    <cellStyle name="Saída 2 3 3 7" xfId="4898"/>
    <cellStyle name="Saída 2 3 3 7 2" xfId="23254"/>
    <cellStyle name="Saída 2 3 3 8" xfId="14725"/>
    <cellStyle name="Saída 2 3 4" xfId="2535"/>
    <cellStyle name="Saída 2 3 4 2" xfId="2536"/>
    <cellStyle name="Saída 2 3 4 2 2" xfId="2537"/>
    <cellStyle name="Saída 2 3 4 2 2 2" xfId="6958"/>
    <cellStyle name="Saída 2 3 4 2 2 2 2" xfId="13562"/>
    <cellStyle name="Saída 2 3 4 2 2 2 2 2" xfId="27884"/>
    <cellStyle name="Saída 2 3 4 2 2 2 3" xfId="19207"/>
    <cellStyle name="Saída 2 3 4 2 2 3" xfId="7708"/>
    <cellStyle name="Saída 2 3 4 2 2 3 2" xfId="10322"/>
    <cellStyle name="Saída 2 3 4 2 2 3 2 2" xfId="16584"/>
    <cellStyle name="Saída 2 3 4 2 2 3 2 2 2" xfId="30000"/>
    <cellStyle name="Saída 2 3 4 2 2 3 2 3" xfId="21329"/>
    <cellStyle name="Saída 2 3 4 2 2 3 3" xfId="14312"/>
    <cellStyle name="Saída 2 3 4 2 2 3 3 2" xfId="28634"/>
    <cellStyle name="Saída 2 3 4 2 2 3 4" xfId="19957"/>
    <cellStyle name="Saída 2 3 4 2 2 4" xfId="11459"/>
    <cellStyle name="Saída 2 3 4 2 2 4 2" xfId="25781"/>
    <cellStyle name="Saída 2 3 4 2 2 5" xfId="15464"/>
    <cellStyle name="Saída 2 3 4 2 3" xfId="2538"/>
    <cellStyle name="Saída 2 3 4 2 3 2" xfId="7799"/>
    <cellStyle name="Saída 2 3 4 2 3 2 2" xfId="10413"/>
    <cellStyle name="Saída 2 3 4 2 3 2 2 2" xfId="16675"/>
    <cellStyle name="Saída 2 3 4 2 3 2 2 2 2" xfId="30091"/>
    <cellStyle name="Saída 2 3 4 2 3 2 2 3" xfId="21420"/>
    <cellStyle name="Saída 2 3 4 2 3 2 3" xfId="14403"/>
    <cellStyle name="Saída 2 3 4 2 3 2 3 2" xfId="28725"/>
    <cellStyle name="Saída 2 3 4 2 3 2 4" xfId="20048"/>
    <cellStyle name="Saída 2 3 4 2 3 3" xfId="13275"/>
    <cellStyle name="Saída 2 3 4 2 3 3 2" xfId="27597"/>
    <cellStyle name="Saída 2 3 4 2 3 4" xfId="18920"/>
    <cellStyle name="Saída 2 3 4 2 4" xfId="5722"/>
    <cellStyle name="Saída 2 3 4 2 4 2" xfId="12275"/>
    <cellStyle name="Saída 2 3 4 2 4 2 2" xfId="26597"/>
    <cellStyle name="Saída 2 3 4 2 4 3" xfId="17920"/>
    <cellStyle name="Saída 2 3 4 2 5" xfId="3196"/>
    <cellStyle name="Saída 2 3 4 2 5 2" xfId="22437"/>
    <cellStyle name="Saída 2 3 4 2 6" xfId="15312"/>
    <cellStyle name="Saída 2 3 4 3" xfId="2539"/>
    <cellStyle name="Saída 2 3 4 3 2" xfId="2540"/>
    <cellStyle name="Saída 2 3 4 3 2 2" xfId="6387"/>
    <cellStyle name="Saída 2 3 4 3 2 2 2" xfId="12970"/>
    <cellStyle name="Saída 2 3 4 3 2 2 2 2" xfId="27292"/>
    <cellStyle name="Saída 2 3 4 3 2 2 3" xfId="18615"/>
    <cellStyle name="Saída 2 3 4 3 2 3" xfId="7232"/>
    <cellStyle name="Saída 2 3 4 3 2 3 2" xfId="9846"/>
    <cellStyle name="Saída 2 3 4 3 2 3 2 2" xfId="16108"/>
    <cellStyle name="Saída 2 3 4 3 2 3 2 2 2" xfId="29524"/>
    <cellStyle name="Saída 2 3 4 3 2 3 2 3" xfId="20853"/>
    <cellStyle name="Saída 2 3 4 3 2 3 3" xfId="13836"/>
    <cellStyle name="Saída 2 3 4 3 2 3 3 2" xfId="28158"/>
    <cellStyle name="Saída 2 3 4 3 2 3 4" xfId="19481"/>
    <cellStyle name="Saída 2 3 4 3 2 4" xfId="6772"/>
    <cellStyle name="Saída 2 3 4 3 2 4 2" xfId="23718"/>
    <cellStyle name="Saída 2 3 4 3 2 5" xfId="15298"/>
    <cellStyle name="Saída 2 3 4 3 3" xfId="2541"/>
    <cellStyle name="Saída 2 3 4 3 3 2" xfId="7182"/>
    <cellStyle name="Saída 2 3 4 3 3 2 2" xfId="9796"/>
    <cellStyle name="Saída 2 3 4 3 3 2 2 2" xfId="16058"/>
    <cellStyle name="Saída 2 3 4 3 3 2 2 2 2" xfId="29474"/>
    <cellStyle name="Saída 2 3 4 3 3 2 2 3" xfId="20803"/>
    <cellStyle name="Saída 2 3 4 3 3 2 3" xfId="13786"/>
    <cellStyle name="Saída 2 3 4 3 3 2 3 2" xfId="28108"/>
    <cellStyle name="Saída 2 3 4 3 3 2 4" xfId="19431"/>
    <cellStyle name="Saída 2 3 4 3 3 3" xfId="13113"/>
    <cellStyle name="Saída 2 3 4 3 3 3 2" xfId="27435"/>
    <cellStyle name="Saída 2 3 4 3 3 4" xfId="18758"/>
    <cellStyle name="Saída 2 3 4 3 4" xfId="5479"/>
    <cellStyle name="Saída 2 3 4 3 4 2" xfId="12030"/>
    <cellStyle name="Saída 2 3 4 3 4 2 2" xfId="26352"/>
    <cellStyle name="Saída 2 3 4 3 4 3" xfId="17675"/>
    <cellStyle name="Saída 2 3 4 3 5" xfId="2832"/>
    <cellStyle name="Saída 2 3 4 3 5 2" xfId="22395"/>
    <cellStyle name="Saída 2 3 4 3 6" xfId="15096"/>
    <cellStyle name="Saída 2 3 4 4" xfId="2542"/>
    <cellStyle name="Saída 2 3 4 4 2" xfId="6998"/>
    <cellStyle name="Saída 2 3 4 4 2 2" xfId="13602"/>
    <cellStyle name="Saída 2 3 4 4 2 2 2" xfId="27924"/>
    <cellStyle name="Saída 2 3 4 4 2 3" xfId="19247"/>
    <cellStyle name="Saída 2 3 4 4 3" xfId="5017"/>
    <cellStyle name="Saída 2 3 4 4 3 2" xfId="9544"/>
    <cellStyle name="Saída 2 3 4 4 3 2 2" xfId="15806"/>
    <cellStyle name="Saída 2 3 4 4 3 2 2 2" xfId="29222"/>
    <cellStyle name="Saída 2 3 4 4 3 2 3" xfId="20551"/>
    <cellStyle name="Saída 2 3 4 4 3 3" xfId="11563"/>
    <cellStyle name="Saída 2 3 4 4 3 3 2" xfId="25885"/>
    <cellStyle name="Saída 2 3 4 4 3 4" xfId="14682"/>
    <cellStyle name="Saída 2 3 4 4 4" xfId="11513"/>
    <cellStyle name="Saída 2 3 4 4 4 2" xfId="25835"/>
    <cellStyle name="Saída 2 3 4 4 5" xfId="15091"/>
    <cellStyle name="Saída 2 3 4 5" xfId="2543"/>
    <cellStyle name="Saída 2 3 4 5 2" xfId="7042"/>
    <cellStyle name="Saída 2 3 4 5 2 2" xfId="9656"/>
    <cellStyle name="Saída 2 3 4 5 2 2 2" xfId="15918"/>
    <cellStyle name="Saída 2 3 4 5 2 2 2 2" xfId="29334"/>
    <cellStyle name="Saída 2 3 4 5 2 2 3" xfId="20663"/>
    <cellStyle name="Saída 2 3 4 5 2 3" xfId="13646"/>
    <cellStyle name="Saída 2 3 4 5 2 3 2" xfId="27968"/>
    <cellStyle name="Saída 2 3 4 5 2 4" xfId="19291"/>
    <cellStyle name="Saída 2 3 4 5 3" xfId="12835"/>
    <cellStyle name="Saída 2 3 4 5 3 2" xfId="27157"/>
    <cellStyle name="Saída 2 3 4 5 4" xfId="18480"/>
    <cellStyle name="Saída 2 3 4 6" xfId="5407"/>
    <cellStyle name="Saída 2 3 4 6 2" xfId="11957"/>
    <cellStyle name="Saída 2 3 4 6 2 2" xfId="26279"/>
    <cellStyle name="Saída 2 3 4 6 3" xfId="17602"/>
    <cellStyle name="Saída 2 3 4 7" xfId="2789"/>
    <cellStyle name="Saída 2 3 4 7 2" xfId="22357"/>
    <cellStyle name="Saída 2 3 4 8" xfId="14823"/>
    <cellStyle name="Saída 2 3 5" xfId="2544"/>
    <cellStyle name="Saída 2 3 5 2" xfId="2545"/>
    <cellStyle name="Saída 2 3 5 2 2" xfId="2546"/>
    <cellStyle name="Saída 2 3 5 2 2 2" xfId="5915"/>
    <cellStyle name="Saída 2 3 5 2 2 2 2" xfId="12470"/>
    <cellStyle name="Saída 2 3 5 2 2 2 2 2" xfId="26792"/>
    <cellStyle name="Saída 2 3 5 2 2 2 3" xfId="18115"/>
    <cellStyle name="Saída 2 3 5 2 2 3" xfId="7447"/>
    <cellStyle name="Saída 2 3 5 2 2 3 2" xfId="10061"/>
    <cellStyle name="Saída 2 3 5 2 2 3 2 2" xfId="16323"/>
    <cellStyle name="Saída 2 3 5 2 2 3 2 2 2" xfId="29739"/>
    <cellStyle name="Saída 2 3 5 2 2 3 2 3" xfId="21068"/>
    <cellStyle name="Saída 2 3 5 2 2 3 3" xfId="14051"/>
    <cellStyle name="Saída 2 3 5 2 2 3 3 2" xfId="28373"/>
    <cellStyle name="Saída 2 3 5 2 2 3 4" xfId="19696"/>
    <cellStyle name="Saída 2 3 5 2 2 4" xfId="4896"/>
    <cellStyle name="Saída 2 3 5 2 2 4 2" xfId="23253"/>
    <cellStyle name="Saída 2 3 5 2 2 5" xfId="6683"/>
    <cellStyle name="Saída 2 3 5 2 3" xfId="2547"/>
    <cellStyle name="Saída 2 3 5 2 3 2" xfId="7556"/>
    <cellStyle name="Saída 2 3 5 2 3 2 2" xfId="10170"/>
    <cellStyle name="Saída 2 3 5 2 3 2 2 2" xfId="16432"/>
    <cellStyle name="Saída 2 3 5 2 3 2 2 2 2" xfId="29848"/>
    <cellStyle name="Saída 2 3 5 2 3 2 2 3" xfId="21177"/>
    <cellStyle name="Saída 2 3 5 2 3 2 3" xfId="14160"/>
    <cellStyle name="Saída 2 3 5 2 3 2 3 2" xfId="28482"/>
    <cellStyle name="Saída 2 3 5 2 3 2 4" xfId="19805"/>
    <cellStyle name="Saída 2 3 5 2 3 3" xfId="12487"/>
    <cellStyle name="Saída 2 3 5 2 3 3 2" xfId="26809"/>
    <cellStyle name="Saída 2 3 5 2 3 4" xfId="18132"/>
    <cellStyle name="Saída 2 3 5 2 4" xfId="5229"/>
    <cellStyle name="Saída 2 3 5 2 4 2" xfId="11779"/>
    <cellStyle name="Saída 2 3 5 2 4 2 2" xfId="26101"/>
    <cellStyle name="Saída 2 3 5 2 4 3" xfId="17424"/>
    <cellStyle name="Saída 2 3 5 2 5" xfId="4982"/>
    <cellStyle name="Saída 2 3 5 2 5 2" xfId="23292"/>
    <cellStyle name="Saída 2 3 5 2 6" xfId="17363"/>
    <cellStyle name="Saída 2 3 5 3" xfId="2548"/>
    <cellStyle name="Saída 2 3 5 3 2" xfId="6562"/>
    <cellStyle name="Saída 2 3 5 3 2 2" xfId="13150"/>
    <cellStyle name="Saída 2 3 5 3 2 2 2" xfId="27472"/>
    <cellStyle name="Saída 2 3 5 3 2 3" xfId="18795"/>
    <cellStyle name="Saída 2 3 5 3 3" xfId="7486"/>
    <cellStyle name="Saída 2 3 5 3 3 2" xfId="10100"/>
    <cellStyle name="Saída 2 3 5 3 3 2 2" xfId="16362"/>
    <cellStyle name="Saída 2 3 5 3 3 2 2 2" xfId="29778"/>
    <cellStyle name="Saída 2 3 5 3 3 2 3" xfId="21107"/>
    <cellStyle name="Saída 2 3 5 3 3 3" xfId="14090"/>
    <cellStyle name="Saída 2 3 5 3 3 3 2" xfId="28412"/>
    <cellStyle name="Saída 2 3 5 3 3 4" xfId="19735"/>
    <cellStyle name="Saída 2 3 5 3 4" xfId="4957"/>
    <cellStyle name="Saída 2 3 5 3 4 2" xfId="23279"/>
    <cellStyle name="Saída 2 3 5 3 5" xfId="4349"/>
    <cellStyle name="Saída 2 3 5 4" xfId="2549"/>
    <cellStyle name="Saída 2 3 5 4 2" xfId="7071"/>
    <cellStyle name="Saída 2 3 5 4 2 2" xfId="9685"/>
    <cellStyle name="Saída 2 3 5 4 2 2 2" xfId="15947"/>
    <cellStyle name="Saída 2 3 5 4 2 2 2 2" xfId="29363"/>
    <cellStyle name="Saída 2 3 5 4 2 2 3" xfId="20692"/>
    <cellStyle name="Saída 2 3 5 4 2 3" xfId="13675"/>
    <cellStyle name="Saída 2 3 5 4 2 3 2" xfId="27997"/>
    <cellStyle name="Saída 2 3 5 4 2 4" xfId="19320"/>
    <cellStyle name="Saída 2 3 5 4 3" xfId="12424"/>
    <cellStyle name="Saída 2 3 5 4 3 2" xfId="26746"/>
    <cellStyle name="Saída 2 3 5 4 4" xfId="18069"/>
    <cellStyle name="Saída 2 3 5 5" xfId="5046"/>
    <cellStyle name="Saída 2 3 5 5 2" xfId="11593"/>
    <cellStyle name="Saída 2 3 5 5 2 2" xfId="25915"/>
    <cellStyle name="Saída 2 3 5 5 3" xfId="15023"/>
    <cellStyle name="Saída 2 3 5 6" xfId="6106"/>
    <cellStyle name="Saída 2 3 5 6 2" xfId="23416"/>
    <cellStyle name="Saída 2 3 5 7" xfId="6523"/>
    <cellStyle name="Saída 2 3 6" xfId="2550"/>
    <cellStyle name="Saída 2 3 6 2" xfId="2551"/>
    <cellStyle name="Saída 2 3 6 2 2" xfId="6125"/>
    <cellStyle name="Saída 2 3 6 2 2 2" xfId="12694"/>
    <cellStyle name="Saída 2 3 6 2 2 2 2" xfId="27016"/>
    <cellStyle name="Saída 2 3 6 2 2 3" xfId="18339"/>
    <cellStyle name="Saída 2 3 6 2 3" xfId="7160"/>
    <cellStyle name="Saída 2 3 6 2 3 2" xfId="9774"/>
    <cellStyle name="Saída 2 3 6 2 3 2 2" xfId="16036"/>
    <cellStyle name="Saída 2 3 6 2 3 2 2 2" xfId="29452"/>
    <cellStyle name="Saída 2 3 6 2 3 2 3" xfId="20781"/>
    <cellStyle name="Saída 2 3 6 2 3 3" xfId="13764"/>
    <cellStyle name="Saída 2 3 6 2 3 3 2" xfId="28086"/>
    <cellStyle name="Saída 2 3 6 2 3 4" xfId="19409"/>
    <cellStyle name="Saída 2 3 6 2 4" xfId="3982"/>
    <cellStyle name="Saída 2 3 6 2 4 2" xfId="22685"/>
    <cellStyle name="Saída 2 3 6 2 5" xfId="17086"/>
    <cellStyle name="Saída 2 3 6 3" xfId="2552"/>
    <cellStyle name="Saída 2 3 6 3 2" xfId="7366"/>
    <cellStyle name="Saída 2 3 6 3 2 2" xfId="9980"/>
    <cellStyle name="Saída 2 3 6 3 2 2 2" xfId="16242"/>
    <cellStyle name="Saída 2 3 6 3 2 2 2 2" xfId="29658"/>
    <cellStyle name="Saída 2 3 6 3 2 2 3" xfId="20987"/>
    <cellStyle name="Saída 2 3 6 3 2 3" xfId="13970"/>
    <cellStyle name="Saída 2 3 6 3 2 3 2" xfId="28292"/>
    <cellStyle name="Saída 2 3 6 3 2 4" xfId="19615"/>
    <cellStyle name="Saída 2 3 6 3 3" xfId="13047"/>
    <cellStyle name="Saída 2 3 6 3 3 2" xfId="27369"/>
    <cellStyle name="Saída 2 3 6 3 4" xfId="18692"/>
    <cellStyle name="Saída 2 3 6 4" xfId="5369"/>
    <cellStyle name="Saída 2 3 6 4 2" xfId="11919"/>
    <cellStyle name="Saída 2 3 6 4 2 2" xfId="26241"/>
    <cellStyle name="Saída 2 3 6 4 3" xfId="17564"/>
    <cellStyle name="Saída 2 3 6 5" xfId="3590"/>
    <cellStyle name="Saída 2 3 6 5 2" xfId="22476"/>
    <cellStyle name="Saída 2 3 6 6" xfId="6456"/>
    <cellStyle name="Saída 2 3 7" xfId="2553"/>
    <cellStyle name="Saída 2 3 7 2" xfId="6167"/>
    <cellStyle name="Saída 2 3 7 2 2" xfId="12740"/>
    <cellStyle name="Saída 2 3 7 2 2 2" xfId="27062"/>
    <cellStyle name="Saída 2 3 7 2 3" xfId="18385"/>
    <cellStyle name="Saída 2 3 7 3" xfId="7111"/>
    <cellStyle name="Saída 2 3 7 3 2" xfId="9725"/>
    <cellStyle name="Saída 2 3 7 3 2 2" xfId="15987"/>
    <cellStyle name="Saída 2 3 7 3 2 2 2" xfId="29403"/>
    <cellStyle name="Saída 2 3 7 3 2 3" xfId="20732"/>
    <cellStyle name="Saída 2 3 7 3 3" xfId="13715"/>
    <cellStyle name="Saída 2 3 7 3 3 2" xfId="28037"/>
    <cellStyle name="Saída 2 3 7 3 4" xfId="19360"/>
    <cellStyle name="Saída 2 3 7 4" xfId="4145"/>
    <cellStyle name="Saída 2 3 7 4 2" xfId="22783"/>
    <cellStyle name="Saída 2 3 7 5" xfId="15589"/>
    <cellStyle name="Saída 2 3 8" xfId="2554"/>
    <cellStyle name="Saída 2 3 8 2" xfId="7326"/>
    <cellStyle name="Saída 2 3 8 2 2" xfId="9940"/>
    <cellStyle name="Saída 2 3 8 2 2 2" xfId="16202"/>
    <cellStyle name="Saída 2 3 8 2 2 2 2" xfId="29618"/>
    <cellStyle name="Saída 2 3 8 2 2 3" xfId="20947"/>
    <cellStyle name="Saída 2 3 8 2 3" xfId="13930"/>
    <cellStyle name="Saída 2 3 8 2 3 2" xfId="28252"/>
    <cellStyle name="Saída 2 3 8 2 4" xfId="19575"/>
    <cellStyle name="Saída 2 3 8 3" xfId="12528"/>
    <cellStyle name="Saída 2 3 8 3 2" xfId="26850"/>
    <cellStyle name="Saída 2 3 8 4" xfId="18173"/>
    <cellStyle name="Saída 2 3 9" xfId="4325"/>
    <cellStyle name="Saída 2 3 9 2" xfId="6454"/>
    <cellStyle name="Saída 2 3 9 2 2" xfId="23552"/>
    <cellStyle name="Saída 2 3 9 3" xfId="6580"/>
    <cellStyle name="Saída 2 4" xfId="2555"/>
    <cellStyle name="Saída 2 4 2" xfId="2556"/>
    <cellStyle name="Saída 2 4 2 2" xfId="2557"/>
    <cellStyle name="Saída 2 4 2 2 2" xfId="6920"/>
    <cellStyle name="Saída 2 4 2 2 2 2" xfId="13524"/>
    <cellStyle name="Saída 2 4 2 2 2 2 2" xfId="27846"/>
    <cellStyle name="Saída 2 4 2 2 2 3" xfId="19169"/>
    <cellStyle name="Saída 2 4 2 2 3" xfId="7489"/>
    <cellStyle name="Saída 2 4 2 2 3 2" xfId="10103"/>
    <cellStyle name="Saída 2 4 2 2 3 2 2" xfId="16365"/>
    <cellStyle name="Saída 2 4 2 2 3 2 2 2" xfId="29781"/>
    <cellStyle name="Saída 2 4 2 2 3 2 3" xfId="21110"/>
    <cellStyle name="Saída 2 4 2 2 3 3" xfId="14093"/>
    <cellStyle name="Saída 2 4 2 2 3 3 2" xfId="28415"/>
    <cellStyle name="Saída 2 4 2 2 3 4" xfId="19738"/>
    <cellStyle name="Saída 2 4 2 2 4" xfId="11408"/>
    <cellStyle name="Saída 2 4 2 2 4 2" xfId="25730"/>
    <cellStyle name="Saída 2 4 2 2 5" xfId="15488"/>
    <cellStyle name="Saída 2 4 2 3" xfId="2558"/>
    <cellStyle name="Saída 2 4 2 3 2" xfId="5032"/>
    <cellStyle name="Saída 2 4 2 3 2 2" xfId="9550"/>
    <cellStyle name="Saída 2 4 2 3 2 2 2" xfId="15812"/>
    <cellStyle name="Saída 2 4 2 3 2 2 2 2" xfId="29228"/>
    <cellStyle name="Saída 2 4 2 3 2 2 3" xfId="20557"/>
    <cellStyle name="Saída 2 4 2 3 2 3" xfId="11579"/>
    <cellStyle name="Saída 2 4 2 3 2 3 2" xfId="25901"/>
    <cellStyle name="Saída 2 4 2 3 2 4" xfId="4860"/>
    <cellStyle name="Saída 2 4 2 3 3" xfId="13214"/>
    <cellStyle name="Saída 2 4 2 3 3 2" xfId="27536"/>
    <cellStyle name="Saída 2 4 2 3 4" xfId="18859"/>
    <cellStyle name="Saída 2 4 2 4" xfId="5654"/>
    <cellStyle name="Saída 2 4 2 4 2" xfId="12207"/>
    <cellStyle name="Saída 2 4 2 4 2 2" xfId="26529"/>
    <cellStyle name="Saída 2 4 2 4 3" xfId="17852"/>
    <cellStyle name="Saída 2 4 2 5" xfId="6304"/>
    <cellStyle name="Saída 2 4 2 5 2" xfId="23500"/>
    <cellStyle name="Saída 2 4 2 6" xfId="3955"/>
    <cellStyle name="Saída 2 4 3" xfId="2559"/>
    <cellStyle name="Saída 2 4 3 2" xfId="2560"/>
    <cellStyle name="Saída 2 4 3 2 2" xfId="7033"/>
    <cellStyle name="Saída 2 4 3 2 2 2" xfId="13637"/>
    <cellStyle name="Saída 2 4 3 2 2 2 2" xfId="27959"/>
    <cellStyle name="Saída 2 4 3 2 2 3" xfId="19282"/>
    <cellStyle name="Saída 2 4 3 2 3" xfId="5272"/>
    <cellStyle name="Saída 2 4 3 2 3 2" xfId="9581"/>
    <cellStyle name="Saída 2 4 3 2 3 2 2" xfId="15843"/>
    <cellStyle name="Saída 2 4 3 2 3 2 2 2" xfId="29259"/>
    <cellStyle name="Saída 2 4 3 2 3 2 3" xfId="20588"/>
    <cellStyle name="Saída 2 4 3 2 3 3" xfId="11822"/>
    <cellStyle name="Saída 2 4 3 2 3 3 2" xfId="26144"/>
    <cellStyle name="Saída 2 4 3 2 3 4" xfId="17467"/>
    <cellStyle name="Saída 2 4 3 2 4" xfId="11573"/>
    <cellStyle name="Saída 2 4 3 2 4 2" xfId="25895"/>
    <cellStyle name="Saída 2 4 3 2 5" xfId="17007"/>
    <cellStyle name="Saída 2 4 3 3" xfId="2561"/>
    <cellStyle name="Saída 2 4 3 3 2" xfId="7600"/>
    <cellStyle name="Saída 2 4 3 3 2 2" xfId="10214"/>
    <cellStyle name="Saída 2 4 3 3 2 2 2" xfId="16476"/>
    <cellStyle name="Saída 2 4 3 3 2 2 2 2" xfId="29892"/>
    <cellStyle name="Saída 2 4 3 3 2 2 3" xfId="21221"/>
    <cellStyle name="Saída 2 4 3 3 2 3" xfId="14204"/>
    <cellStyle name="Saída 2 4 3 3 2 3 2" xfId="28526"/>
    <cellStyle name="Saída 2 4 3 3 2 4" xfId="19849"/>
    <cellStyle name="Saída 2 4 3 3 3" xfId="12649"/>
    <cellStyle name="Saída 2 4 3 3 3 2" xfId="26971"/>
    <cellStyle name="Saída 2 4 3 3 4" xfId="18294"/>
    <cellStyle name="Saída 2 4 3 4" xfId="5148"/>
    <cellStyle name="Saída 2 4 3 4 2" xfId="11697"/>
    <cellStyle name="Saída 2 4 3 4 2 2" xfId="26019"/>
    <cellStyle name="Saída 2 4 3 4 3" xfId="5897"/>
    <cellStyle name="Saída 2 4 3 5" xfId="3976"/>
    <cellStyle name="Saída 2 4 3 5 2" xfId="22681"/>
    <cellStyle name="Saída 2 4 3 6" xfId="17147"/>
    <cellStyle name="Saída 2 4 4" xfId="2562"/>
    <cellStyle name="Saída 2 4 4 2" xfId="6864"/>
    <cellStyle name="Saída 2 4 4 2 2" xfId="13468"/>
    <cellStyle name="Saída 2 4 4 2 2 2" xfId="27790"/>
    <cellStyle name="Saída 2 4 4 2 3" xfId="19113"/>
    <cellStyle name="Saída 2 4 4 3" xfId="7158"/>
    <cellStyle name="Saída 2 4 4 3 2" xfId="9772"/>
    <cellStyle name="Saída 2 4 4 3 2 2" xfId="16034"/>
    <cellStyle name="Saída 2 4 4 3 2 2 2" xfId="29450"/>
    <cellStyle name="Saída 2 4 4 3 2 3" xfId="20779"/>
    <cellStyle name="Saída 2 4 4 3 3" xfId="13762"/>
    <cellStyle name="Saída 2 4 4 3 3 2" xfId="28084"/>
    <cellStyle name="Saída 2 4 4 3 4" xfId="19407"/>
    <cellStyle name="Saída 2 4 4 4" xfId="11323"/>
    <cellStyle name="Saída 2 4 4 4 2" xfId="25645"/>
    <cellStyle name="Saída 2 4 4 5" xfId="4981"/>
    <cellStyle name="Saída 2 4 5" xfId="2563"/>
    <cellStyle name="Saída 2 4 5 2" xfId="7479"/>
    <cellStyle name="Saída 2 4 5 2 2" xfId="10093"/>
    <cellStyle name="Saída 2 4 5 2 2 2" xfId="16355"/>
    <cellStyle name="Saída 2 4 5 2 2 2 2" xfId="29771"/>
    <cellStyle name="Saída 2 4 5 2 2 3" xfId="21100"/>
    <cellStyle name="Saída 2 4 5 2 3" xfId="14083"/>
    <cellStyle name="Saída 2 4 5 2 3 2" xfId="28405"/>
    <cellStyle name="Saída 2 4 5 2 4" xfId="19728"/>
    <cellStyle name="Saída 2 4 5 3" xfId="12450"/>
    <cellStyle name="Saída 2 4 5 3 2" xfId="26772"/>
    <cellStyle name="Saída 2 4 5 4" xfId="18095"/>
    <cellStyle name="Saída 2 4 6" xfId="5123"/>
    <cellStyle name="Saída 2 4 6 2" xfId="11671"/>
    <cellStyle name="Saída 2 4 6 2 2" xfId="25993"/>
    <cellStyle name="Saída 2 4 6 3" xfId="15253"/>
    <cellStyle name="Saída 2 4 7" xfId="6808"/>
    <cellStyle name="Saída 2 4 7 2" xfId="23747"/>
    <cellStyle name="Saída 2 4 8" xfId="14726"/>
    <cellStyle name="Saída 2 5" xfId="2564"/>
    <cellStyle name="Saída 2 5 2" xfId="2565"/>
    <cellStyle name="Saída 2 5 2 2" xfId="2566"/>
    <cellStyle name="Saída 2 5 2 2 2" xfId="5109"/>
    <cellStyle name="Saída 2 5 2 2 2 2" xfId="11656"/>
    <cellStyle name="Saída 2 5 2 2 2 2 2" xfId="25978"/>
    <cellStyle name="Saída 2 5 2 2 2 3" xfId="4286"/>
    <cellStyle name="Saída 2 5 2 2 3" xfId="7314"/>
    <cellStyle name="Saída 2 5 2 2 3 2" xfId="9928"/>
    <cellStyle name="Saída 2 5 2 2 3 2 2" xfId="16190"/>
    <cellStyle name="Saída 2 5 2 2 3 2 2 2" xfId="29606"/>
    <cellStyle name="Saída 2 5 2 2 3 2 3" xfId="20935"/>
    <cellStyle name="Saída 2 5 2 2 3 3" xfId="13918"/>
    <cellStyle name="Saída 2 5 2 2 3 3 2" xfId="28240"/>
    <cellStyle name="Saída 2 5 2 2 3 4" xfId="19563"/>
    <cellStyle name="Saída 2 5 2 2 4" xfId="6794"/>
    <cellStyle name="Saída 2 5 2 2 4 2" xfId="23737"/>
    <cellStyle name="Saída 2 5 2 2 5" xfId="15571"/>
    <cellStyle name="Saída 2 5 2 3" xfId="2567"/>
    <cellStyle name="Saída 2 5 2 3 2" xfId="4321"/>
    <cellStyle name="Saída 2 5 2 3 2 2" xfId="9448"/>
    <cellStyle name="Saída 2 5 2 3 2 2 2" xfId="15710"/>
    <cellStyle name="Saída 2 5 2 3 2 2 2 2" xfId="29126"/>
    <cellStyle name="Saída 2 5 2 3 2 2 3" xfId="20455"/>
    <cellStyle name="Saída 2 5 2 3 2 3" xfId="4543"/>
    <cellStyle name="Saída 2 5 2 3 2 3 2" xfId="23022"/>
    <cellStyle name="Saída 2 5 2 3 2 4" xfId="15581"/>
    <cellStyle name="Saída 2 5 2 3 3" xfId="13266"/>
    <cellStyle name="Saída 2 5 2 3 3 2" xfId="27588"/>
    <cellStyle name="Saída 2 5 2 3 4" xfId="18911"/>
    <cellStyle name="Saída 2 5 2 4" xfId="5712"/>
    <cellStyle name="Saída 2 5 2 4 2" xfId="12265"/>
    <cellStyle name="Saída 2 5 2 4 2 2" xfId="26587"/>
    <cellStyle name="Saída 2 5 2 4 3" xfId="17910"/>
    <cellStyle name="Saída 2 5 2 5" xfId="3801"/>
    <cellStyle name="Saída 2 5 2 5 2" xfId="22589"/>
    <cellStyle name="Saída 2 5 2 6" xfId="3654"/>
    <cellStyle name="Saída 2 5 3" xfId="2568"/>
    <cellStyle name="Saída 2 5 3 2" xfId="2569"/>
    <cellStyle name="Saída 2 5 3 2 2" xfId="6057"/>
    <cellStyle name="Saída 2 5 3 2 2 2" xfId="12623"/>
    <cellStyle name="Saída 2 5 3 2 2 2 2" xfId="26945"/>
    <cellStyle name="Saída 2 5 3 2 2 3" xfId="18268"/>
    <cellStyle name="Saída 2 5 3 2 3" xfId="7927"/>
    <cellStyle name="Saída 2 5 3 2 3 2" xfId="10541"/>
    <cellStyle name="Saída 2 5 3 2 3 2 2" xfId="16803"/>
    <cellStyle name="Saída 2 5 3 2 3 2 2 2" xfId="30219"/>
    <cellStyle name="Saída 2 5 3 2 3 2 3" xfId="21548"/>
    <cellStyle name="Saída 2 5 3 2 3 3" xfId="14531"/>
    <cellStyle name="Saída 2 5 3 2 3 3 2" xfId="28853"/>
    <cellStyle name="Saída 2 5 3 2 3 4" xfId="20176"/>
    <cellStyle name="Saída 2 5 3 2 4" xfId="6609"/>
    <cellStyle name="Saída 2 5 3 2 4 2" xfId="23601"/>
    <cellStyle name="Saída 2 5 3 2 5" xfId="6301"/>
    <cellStyle name="Saída 2 5 3 3" xfId="2570"/>
    <cellStyle name="Saída 2 5 3 3 2" xfId="7854"/>
    <cellStyle name="Saída 2 5 3 3 2 2" xfId="10468"/>
    <cellStyle name="Saída 2 5 3 3 2 2 2" xfId="16730"/>
    <cellStyle name="Saída 2 5 3 3 2 2 2 2" xfId="30146"/>
    <cellStyle name="Saída 2 5 3 3 2 2 3" xfId="21475"/>
    <cellStyle name="Saída 2 5 3 3 2 3" xfId="14458"/>
    <cellStyle name="Saída 2 5 3 3 2 3 2" xfId="28780"/>
    <cellStyle name="Saída 2 5 3 3 2 4" xfId="20103"/>
    <cellStyle name="Saída 2 5 3 3 3" xfId="13254"/>
    <cellStyle name="Saída 2 5 3 3 3 2" xfId="27576"/>
    <cellStyle name="Saída 2 5 3 3 4" xfId="18899"/>
    <cellStyle name="Saída 2 5 3 4" xfId="5697"/>
    <cellStyle name="Saída 2 5 3 4 2" xfId="12250"/>
    <cellStyle name="Saída 2 5 3 4 2 2" xfId="26572"/>
    <cellStyle name="Saída 2 5 3 4 3" xfId="17895"/>
    <cellStyle name="Saída 2 5 3 5" xfId="6768"/>
    <cellStyle name="Saída 2 5 3 5 2" xfId="23714"/>
    <cellStyle name="Saída 2 5 3 6" xfId="14860"/>
    <cellStyle name="Saída 2 5 4" xfId="2571"/>
    <cellStyle name="Saída 2 5 4 2" xfId="6001"/>
    <cellStyle name="Saída 2 5 4 2 2" xfId="12560"/>
    <cellStyle name="Saída 2 5 4 2 2 2" xfId="26882"/>
    <cellStyle name="Saída 2 5 4 2 3" xfId="18205"/>
    <cellStyle name="Saída 2 5 4 3" xfId="4810"/>
    <cellStyle name="Saída 2 5 4 3 2" xfId="9492"/>
    <cellStyle name="Saída 2 5 4 3 2 2" xfId="15754"/>
    <cellStyle name="Saída 2 5 4 3 2 2 2" xfId="29170"/>
    <cellStyle name="Saída 2 5 4 3 2 3" xfId="20499"/>
    <cellStyle name="Saída 2 5 4 3 3" xfId="11341"/>
    <cellStyle name="Saída 2 5 4 3 3 2" xfId="25663"/>
    <cellStyle name="Saída 2 5 4 3 4" xfId="15167"/>
    <cellStyle name="Saída 2 5 4 4" xfId="6349"/>
    <cellStyle name="Saída 2 5 4 4 2" xfId="23535"/>
    <cellStyle name="Saída 2 5 4 5" xfId="15179"/>
    <cellStyle name="Saída 2 5 5" xfId="2572"/>
    <cellStyle name="Saída 2 5 5 2" xfId="7115"/>
    <cellStyle name="Saída 2 5 5 2 2" xfId="9729"/>
    <cellStyle name="Saída 2 5 5 2 2 2" xfId="15991"/>
    <cellStyle name="Saída 2 5 5 2 2 2 2" xfId="29407"/>
    <cellStyle name="Saída 2 5 5 2 2 3" xfId="20736"/>
    <cellStyle name="Saída 2 5 5 2 3" xfId="13719"/>
    <cellStyle name="Saída 2 5 5 2 3 2" xfId="28041"/>
    <cellStyle name="Saída 2 5 5 2 4" xfId="19364"/>
    <cellStyle name="Saída 2 5 5 3" xfId="12822"/>
    <cellStyle name="Saída 2 5 5 3 2" xfId="27144"/>
    <cellStyle name="Saída 2 5 5 4" xfId="18467"/>
    <cellStyle name="Saída 2 5 6" xfId="5367"/>
    <cellStyle name="Saída 2 5 6 2" xfId="11917"/>
    <cellStyle name="Saída 2 5 6 2 2" xfId="26239"/>
    <cellStyle name="Saída 2 5 6 3" xfId="17562"/>
    <cellStyle name="Saída 2 5 7" xfId="4183"/>
    <cellStyle name="Saída 2 5 7 2" xfId="22805"/>
    <cellStyle name="Saída 2 5 8" xfId="3710"/>
    <cellStyle name="Saída 2 6" xfId="2573"/>
    <cellStyle name="Saída 2 6 2" xfId="2574"/>
    <cellStyle name="Saída 2 6 2 2" xfId="2575"/>
    <cellStyle name="Saída 2 6 2 2 2" xfId="6951"/>
    <cellStyle name="Saída 2 6 2 2 2 2" xfId="13555"/>
    <cellStyle name="Saída 2 6 2 2 2 2 2" xfId="27877"/>
    <cellStyle name="Saída 2 6 2 2 2 3" xfId="19200"/>
    <cellStyle name="Saída 2 6 2 2 3" xfId="7965"/>
    <cellStyle name="Saída 2 6 2 2 3 2" xfId="10579"/>
    <cellStyle name="Saída 2 6 2 2 3 2 2" xfId="16841"/>
    <cellStyle name="Saída 2 6 2 2 3 2 2 2" xfId="30257"/>
    <cellStyle name="Saída 2 6 2 2 3 2 3" xfId="21586"/>
    <cellStyle name="Saída 2 6 2 2 3 3" xfId="14569"/>
    <cellStyle name="Saída 2 6 2 2 3 3 2" xfId="28891"/>
    <cellStyle name="Saída 2 6 2 2 3 4" xfId="20214"/>
    <cellStyle name="Saída 2 6 2 2 4" xfId="11447"/>
    <cellStyle name="Saída 2 6 2 2 4 2" xfId="25769"/>
    <cellStyle name="Saída 2 6 2 2 5" xfId="4895"/>
    <cellStyle name="Saída 2 6 2 3" xfId="2576"/>
    <cellStyle name="Saída 2 6 2 3 2" xfId="3959"/>
    <cellStyle name="Saída 2 6 2 3 2 2" xfId="9403"/>
    <cellStyle name="Saída 2 6 2 3 2 2 2" xfId="15665"/>
    <cellStyle name="Saída 2 6 2 3 2 2 2 2" xfId="29081"/>
    <cellStyle name="Saída 2 6 2 3 2 2 3" xfId="20410"/>
    <cellStyle name="Saída 2 6 2 3 2 3" xfId="3693"/>
    <cellStyle name="Saída 2 6 2 3 2 3 2" xfId="22532"/>
    <cellStyle name="Saída 2 6 2 3 2 4" xfId="15349"/>
    <cellStyle name="Saída 2 6 2 3 3" xfId="13235"/>
    <cellStyle name="Saída 2 6 2 3 3 2" xfId="27557"/>
    <cellStyle name="Saída 2 6 2 3 4" xfId="18880"/>
    <cellStyle name="Saída 2 6 2 4" xfId="5676"/>
    <cellStyle name="Saída 2 6 2 4 2" xfId="12229"/>
    <cellStyle name="Saída 2 6 2 4 2 2" xfId="26551"/>
    <cellStyle name="Saída 2 6 2 4 3" xfId="17874"/>
    <cellStyle name="Saída 2 6 2 5" xfId="4873"/>
    <cellStyle name="Saída 2 6 2 5 2" xfId="23236"/>
    <cellStyle name="Saída 2 6 2 6" xfId="17380"/>
    <cellStyle name="Saída 2 6 3" xfId="2577"/>
    <cellStyle name="Saída 2 6 3 2" xfId="2578"/>
    <cellStyle name="Saída 2 6 3 2 2" xfId="6200"/>
    <cellStyle name="Saída 2 6 3 2 2 2" xfId="12773"/>
    <cellStyle name="Saída 2 6 3 2 2 2 2" xfId="27095"/>
    <cellStyle name="Saída 2 6 3 2 2 3" xfId="18418"/>
    <cellStyle name="Saída 2 6 3 2 3" xfId="5290"/>
    <cellStyle name="Saída 2 6 3 2 3 2" xfId="9599"/>
    <cellStyle name="Saída 2 6 3 2 3 2 2" xfId="15861"/>
    <cellStyle name="Saída 2 6 3 2 3 2 2 2" xfId="29277"/>
    <cellStyle name="Saída 2 6 3 2 3 2 3" xfId="20606"/>
    <cellStyle name="Saída 2 6 3 2 3 3" xfId="11840"/>
    <cellStyle name="Saída 2 6 3 2 3 3 2" xfId="26162"/>
    <cellStyle name="Saída 2 6 3 2 3 4" xfId="17485"/>
    <cellStyle name="Saída 2 6 3 2 4" xfId="3609"/>
    <cellStyle name="Saída 2 6 3 2 4 2" xfId="22487"/>
    <cellStyle name="Saída 2 6 3 2 5" xfId="14772"/>
    <cellStyle name="Saída 2 6 3 3" xfId="2579"/>
    <cellStyle name="Saída 2 6 3 3 2" xfId="7238"/>
    <cellStyle name="Saída 2 6 3 3 2 2" xfId="9852"/>
    <cellStyle name="Saída 2 6 3 3 2 2 2" xfId="16114"/>
    <cellStyle name="Saída 2 6 3 3 2 2 2 2" xfId="29530"/>
    <cellStyle name="Saída 2 6 3 3 2 2 3" xfId="20859"/>
    <cellStyle name="Saída 2 6 3 3 2 3" xfId="13842"/>
    <cellStyle name="Saída 2 6 3 3 2 3 2" xfId="28164"/>
    <cellStyle name="Saída 2 6 3 3 2 4" xfId="19487"/>
    <cellStyle name="Saída 2 6 3 3 3" xfId="13089"/>
    <cellStyle name="Saída 2 6 3 3 3 2" xfId="27411"/>
    <cellStyle name="Saída 2 6 3 3 4" xfId="18734"/>
    <cellStyle name="Saída 2 6 3 4" xfId="5444"/>
    <cellStyle name="Saída 2 6 3 4 2" xfId="11995"/>
    <cellStyle name="Saída 2 6 3 4 2 2" xfId="26317"/>
    <cellStyle name="Saída 2 6 3 4 3" xfId="17640"/>
    <cellStyle name="Saída 2 6 3 5" xfId="3925"/>
    <cellStyle name="Saída 2 6 3 5 2" xfId="22648"/>
    <cellStyle name="Saída 2 6 3 6" xfId="15528"/>
    <cellStyle name="Saída 2 6 4" xfId="2580"/>
    <cellStyle name="Saída 2 6 4 2" xfId="5607"/>
    <cellStyle name="Saída 2 6 4 2 2" xfId="12159"/>
    <cellStyle name="Saída 2 6 4 2 2 2" xfId="26481"/>
    <cellStyle name="Saída 2 6 4 2 3" xfId="17804"/>
    <cellStyle name="Saída 2 6 4 3" xfId="7145"/>
    <cellStyle name="Saída 2 6 4 3 2" xfId="9759"/>
    <cellStyle name="Saída 2 6 4 3 2 2" xfId="16021"/>
    <cellStyle name="Saída 2 6 4 3 2 2 2" xfId="29437"/>
    <cellStyle name="Saída 2 6 4 3 2 3" xfId="20766"/>
    <cellStyle name="Saída 2 6 4 3 3" xfId="13749"/>
    <cellStyle name="Saída 2 6 4 3 3 2" xfId="28071"/>
    <cellStyle name="Saída 2 6 4 3 4" xfId="19394"/>
    <cellStyle name="Saída 2 6 4 4" xfId="3507"/>
    <cellStyle name="Saída 2 6 4 4 2" xfId="22474"/>
    <cellStyle name="Saída 2 6 4 5" xfId="14872"/>
    <cellStyle name="Saída 2 6 5" xfId="2581"/>
    <cellStyle name="Saída 2 6 5 2" xfId="7627"/>
    <cellStyle name="Saída 2 6 5 2 2" xfId="10241"/>
    <cellStyle name="Saída 2 6 5 2 2 2" xfId="16503"/>
    <cellStyle name="Saída 2 6 5 2 2 2 2" xfId="29919"/>
    <cellStyle name="Saída 2 6 5 2 2 3" xfId="21248"/>
    <cellStyle name="Saída 2 6 5 2 3" xfId="14231"/>
    <cellStyle name="Saída 2 6 5 2 3 2" xfId="28553"/>
    <cellStyle name="Saída 2 6 5 2 4" xfId="19876"/>
    <cellStyle name="Saída 2 6 5 3" xfId="12662"/>
    <cellStyle name="Saída 2 6 5 3 2" xfId="26984"/>
    <cellStyle name="Saída 2 6 5 4" xfId="18307"/>
    <cellStyle name="Saída 2 6 6" xfId="5149"/>
    <cellStyle name="Saída 2 6 6 2" xfId="11698"/>
    <cellStyle name="Saída 2 6 6 2 2" xfId="26020"/>
    <cellStyle name="Saída 2 6 6 3" xfId="3660"/>
    <cellStyle name="Saída 2 6 7" xfId="3944"/>
    <cellStyle name="Saída 2 6 7 2" xfId="22660"/>
    <cellStyle name="Saída 2 6 8" xfId="14796"/>
    <cellStyle name="Saída 2 7" xfId="2582"/>
    <cellStyle name="Saída 2 7 2" xfId="2583"/>
    <cellStyle name="Saída 2 7 2 2" xfId="2584"/>
    <cellStyle name="Saída 2 7 2 2 2" xfId="6088"/>
    <cellStyle name="Saída 2 7 2 2 2 2" xfId="12654"/>
    <cellStyle name="Saída 2 7 2 2 2 2 2" xfId="26976"/>
    <cellStyle name="Saída 2 7 2 2 2 3" xfId="18299"/>
    <cellStyle name="Saída 2 7 2 2 3" xfId="7523"/>
    <cellStyle name="Saída 2 7 2 2 3 2" xfId="10137"/>
    <cellStyle name="Saída 2 7 2 2 3 2 2" xfId="16399"/>
    <cellStyle name="Saída 2 7 2 2 3 2 2 2" xfId="29815"/>
    <cellStyle name="Saída 2 7 2 2 3 2 3" xfId="21144"/>
    <cellStyle name="Saída 2 7 2 2 3 3" xfId="14127"/>
    <cellStyle name="Saída 2 7 2 2 3 3 2" xfId="28449"/>
    <cellStyle name="Saída 2 7 2 2 3 4" xfId="19772"/>
    <cellStyle name="Saída 2 7 2 2 4" xfId="6798"/>
    <cellStyle name="Saída 2 7 2 2 4 2" xfId="23739"/>
    <cellStyle name="Saída 2 7 2 2 5" xfId="15246"/>
    <cellStyle name="Saída 2 7 2 3" xfId="2585"/>
    <cellStyle name="Saída 2 7 2 3 2" xfId="7345"/>
    <cellStyle name="Saída 2 7 2 3 2 2" xfId="9959"/>
    <cellStyle name="Saída 2 7 2 3 2 2 2" xfId="16221"/>
    <cellStyle name="Saída 2 7 2 3 2 2 2 2" xfId="29637"/>
    <cellStyle name="Saída 2 7 2 3 2 2 3" xfId="20966"/>
    <cellStyle name="Saída 2 7 2 3 2 3" xfId="13949"/>
    <cellStyle name="Saída 2 7 2 3 2 3 2" xfId="28271"/>
    <cellStyle name="Saída 2 7 2 3 2 4" xfId="19594"/>
    <cellStyle name="Saída 2 7 2 3 3" xfId="13327"/>
    <cellStyle name="Saída 2 7 2 3 3 2" xfId="27649"/>
    <cellStyle name="Saída 2 7 2 3 4" xfId="18972"/>
    <cellStyle name="Saída 2 7 2 4" xfId="5777"/>
    <cellStyle name="Saída 2 7 2 4 2" xfId="12330"/>
    <cellStyle name="Saída 2 7 2 4 2 2" xfId="26652"/>
    <cellStyle name="Saída 2 7 2 4 3" xfId="17975"/>
    <cellStyle name="Saída 2 7 2 5" xfId="4862"/>
    <cellStyle name="Saída 2 7 2 5 2" xfId="23227"/>
    <cellStyle name="Saída 2 7 2 6" xfId="4651"/>
    <cellStyle name="Saída 2 7 3" xfId="2586"/>
    <cellStyle name="Saída 2 7 3 2" xfId="6982"/>
    <cellStyle name="Saída 2 7 3 2 2" xfId="13586"/>
    <cellStyle name="Saída 2 7 3 2 2 2" xfId="27908"/>
    <cellStyle name="Saída 2 7 3 2 3" xfId="19231"/>
    <cellStyle name="Saída 2 7 3 3" xfId="7357"/>
    <cellStyle name="Saída 2 7 3 3 2" xfId="9971"/>
    <cellStyle name="Saída 2 7 3 3 2 2" xfId="16233"/>
    <cellStyle name="Saída 2 7 3 3 2 2 2" xfId="29649"/>
    <cellStyle name="Saída 2 7 3 3 2 3" xfId="20978"/>
    <cellStyle name="Saída 2 7 3 3 3" xfId="13961"/>
    <cellStyle name="Saída 2 7 3 3 3 2" xfId="28283"/>
    <cellStyle name="Saída 2 7 3 3 4" xfId="19606"/>
    <cellStyle name="Saída 2 7 3 4" xfId="11494"/>
    <cellStyle name="Saída 2 7 3 4 2" xfId="25816"/>
    <cellStyle name="Saída 2 7 3 5" xfId="17080"/>
    <cellStyle name="Saída 2 7 4" xfId="2587"/>
    <cellStyle name="Saída 2 7 4 2" xfId="7784"/>
    <cellStyle name="Saída 2 7 4 2 2" xfId="10398"/>
    <cellStyle name="Saída 2 7 4 2 2 2" xfId="16660"/>
    <cellStyle name="Saída 2 7 4 2 2 2 2" xfId="30076"/>
    <cellStyle name="Saída 2 7 4 2 2 3" xfId="21405"/>
    <cellStyle name="Saída 2 7 4 2 3" xfId="14388"/>
    <cellStyle name="Saída 2 7 4 2 3 2" xfId="28710"/>
    <cellStyle name="Saída 2 7 4 2 4" xfId="20033"/>
    <cellStyle name="Saída 2 7 4 3" xfId="12866"/>
    <cellStyle name="Saída 2 7 4 3 2" xfId="27188"/>
    <cellStyle name="Saída 2 7 4 4" xfId="18511"/>
    <cellStyle name="Saída 2 7 5" xfId="5480"/>
    <cellStyle name="Saída 2 7 5 2" xfId="12031"/>
    <cellStyle name="Saída 2 7 5 2 2" xfId="26353"/>
    <cellStyle name="Saída 2 7 5 3" xfId="17676"/>
    <cellStyle name="Saída 2 7 6" xfId="6164"/>
    <cellStyle name="Saída 2 7 6 2" xfId="23437"/>
    <cellStyle name="Saída 2 7 7" xfId="4243"/>
    <cellStyle name="Saída 2 8" xfId="2588"/>
    <cellStyle name="Saída 2 8 2" xfId="2589"/>
    <cellStyle name="Saída 2 8 2 2" xfId="5931"/>
    <cellStyle name="Saída 2 8 2 2 2" xfId="12486"/>
    <cellStyle name="Saída 2 8 2 2 2 2" xfId="26808"/>
    <cellStyle name="Saída 2 8 2 2 3" xfId="18131"/>
    <cellStyle name="Saída 2 8 2 3" xfId="7619"/>
    <cellStyle name="Saída 2 8 2 3 2" xfId="10233"/>
    <cellStyle name="Saída 2 8 2 3 2 2" xfId="16495"/>
    <cellStyle name="Saída 2 8 2 3 2 2 2" xfId="29911"/>
    <cellStyle name="Saída 2 8 2 3 2 3" xfId="21240"/>
    <cellStyle name="Saída 2 8 2 3 3" xfId="14223"/>
    <cellStyle name="Saída 2 8 2 3 3 2" xfId="28545"/>
    <cellStyle name="Saída 2 8 2 3 4" xfId="19868"/>
    <cellStyle name="Saída 2 8 2 4" xfId="6242"/>
    <cellStyle name="Saída 2 8 2 4 2" xfId="23467"/>
    <cellStyle name="Saída 2 8 2 5" xfId="17173"/>
    <cellStyle name="Saída 2 8 3" xfId="2590"/>
    <cellStyle name="Saída 2 8 3 2" xfId="4007"/>
    <cellStyle name="Saída 2 8 3 2 2" xfId="9410"/>
    <cellStyle name="Saída 2 8 3 2 2 2" xfId="15672"/>
    <cellStyle name="Saída 2 8 3 2 2 2 2" xfId="29088"/>
    <cellStyle name="Saída 2 8 3 2 2 3" xfId="20417"/>
    <cellStyle name="Saída 2 8 3 2 3" xfId="4417"/>
    <cellStyle name="Saída 2 8 3 2 3 2" xfId="22938"/>
    <cellStyle name="Saída 2 8 3 2 4" xfId="14875"/>
    <cellStyle name="Saída 2 8 3 3" xfId="13130"/>
    <cellStyle name="Saída 2 8 3 3 2" xfId="27452"/>
    <cellStyle name="Saída 2 8 3 4" xfId="18775"/>
    <cellStyle name="Saída 2 8 4" xfId="5523"/>
    <cellStyle name="Saída 2 8 4 2" xfId="12074"/>
    <cellStyle name="Saída 2 8 4 2 2" xfId="26396"/>
    <cellStyle name="Saída 2 8 4 3" xfId="17719"/>
    <cellStyle name="Saída 2 8 5" xfId="3587"/>
    <cellStyle name="Saída 2 8 5 2" xfId="22475"/>
    <cellStyle name="Saída 2 8 6" xfId="15242"/>
    <cellStyle name="Saída 2 9" xfId="2591"/>
    <cellStyle name="Saída 2 9 2" xfId="5922"/>
    <cellStyle name="Saída 2 9 2 2" xfId="12477"/>
    <cellStyle name="Saída 2 9 2 2 2" xfId="26799"/>
    <cellStyle name="Saída 2 9 2 3" xfId="18122"/>
    <cellStyle name="Saída 2 9 3" xfId="7682"/>
    <cellStyle name="Saída 2 9 3 2" xfId="10296"/>
    <cellStyle name="Saída 2 9 3 2 2" xfId="16558"/>
    <cellStyle name="Saída 2 9 3 2 2 2" xfId="29974"/>
    <cellStyle name="Saída 2 9 3 2 3" xfId="21303"/>
    <cellStyle name="Saída 2 9 3 3" xfId="14286"/>
    <cellStyle name="Saída 2 9 3 3 2" xfId="28608"/>
    <cellStyle name="Saída 2 9 3 4" xfId="19931"/>
    <cellStyle name="Saída 2 9 4" xfId="3848"/>
    <cellStyle name="Saída 2 9 4 2" xfId="22612"/>
    <cellStyle name="Saída 2 9 5" xfId="6503"/>
    <cellStyle name="Saída 3" xfId="2592"/>
    <cellStyle name="Saída 3 2" xfId="5040"/>
    <cellStyle name="Saída 3 2 2" xfId="11587"/>
    <cellStyle name="Saída 3 2 2 2" xfId="25909"/>
    <cellStyle name="Saída 3 2 3" xfId="6602"/>
    <cellStyle name="Saída 3 3" xfId="3241"/>
    <cellStyle name="Saída 3 3 2" xfId="9047"/>
    <cellStyle name="Saída 3 3 2 2" xfId="15386"/>
    <cellStyle name="Saída 3 3 2 2 2" xfId="29005"/>
    <cellStyle name="Saída 3 3 2 3" xfId="20332"/>
    <cellStyle name="Saída 3 3 3" xfId="6214"/>
    <cellStyle name="Saída 3 3 3 2" xfId="23461"/>
    <cellStyle name="Saída 3 3 4" xfId="14970"/>
    <cellStyle name="Saída 3 4" xfId="4085"/>
    <cellStyle name="Saída 3 4 2" xfId="22751"/>
    <cellStyle name="Saída 3 5" xfId="17021"/>
    <cellStyle name="Saída 4" xfId="4134"/>
    <cellStyle name="Saída 4 2" xfId="2759"/>
    <cellStyle name="Saída 4 2 2" xfId="22328"/>
    <cellStyle name="Saída 4 3" xfId="4526"/>
    <cellStyle name="Saída 5" xfId="3606"/>
    <cellStyle name="Saída 5 2" xfId="22485"/>
    <cellStyle name="Saída 6" xfId="17375"/>
    <cellStyle name="Saída 7" xfId="20324"/>
    <cellStyle name="Saída 8" xfId="21703"/>
    <cellStyle name="Texto de Aviso" xfId="2593"/>
    <cellStyle name="Texto Explicativo" xfId="2594"/>
    <cellStyle name="Title 2" xfId="2595"/>
    <cellStyle name="Título" xfId="2596"/>
    <cellStyle name="Total 2" xfId="2597"/>
    <cellStyle name="Total 2 2" xfId="2598"/>
    <cellStyle name="Total 2 2 10" xfId="2599"/>
    <cellStyle name="Total 2 2 10 2" xfId="3586"/>
    <cellStyle name="Total 2 2 10 2 2" xfId="9337"/>
    <cellStyle name="Total 2 2 10 2 2 2" xfId="15599"/>
    <cellStyle name="Total 2 2 10 2 2 2 2" xfId="29015"/>
    <cellStyle name="Total 2 2 10 2 2 3" xfId="20344"/>
    <cellStyle name="Total 2 2 10 2 3" xfId="6501"/>
    <cellStyle name="Total 2 2 10 2 3 2" xfId="23571"/>
    <cellStyle name="Total 2 2 10 2 4" xfId="15346"/>
    <cellStyle name="Total 2 2 10 3" xfId="11746"/>
    <cellStyle name="Total 2 2 10 3 2" xfId="26068"/>
    <cellStyle name="Total 2 2 10 4" xfId="6269"/>
    <cellStyle name="Total 2 2 11" xfId="3866"/>
    <cellStyle name="Total 2 2 11 2" xfId="6818"/>
    <cellStyle name="Total 2 2 11 2 2" xfId="23754"/>
    <cellStyle name="Total 2 2 11 3" xfId="17378"/>
    <cellStyle name="Total 2 2 12" xfId="4729"/>
    <cellStyle name="Total 2 2 12 2" xfId="23156"/>
    <cellStyle name="Total 2 2 13" xfId="14688"/>
    <cellStyle name="Total 2 2 2" xfId="2600"/>
    <cellStyle name="Total 2 2 2 10" xfId="5055"/>
    <cellStyle name="Total 2 2 2 10 2" xfId="11602"/>
    <cellStyle name="Total 2 2 2 10 2 2" xfId="25924"/>
    <cellStyle name="Total 2 2 2 10 3" xfId="3870"/>
    <cellStyle name="Total 2 2 2 11" xfId="4542"/>
    <cellStyle name="Total 2 2 2 11 2" xfId="23021"/>
    <cellStyle name="Total 2 2 2 12" xfId="15005"/>
    <cellStyle name="Total 2 2 2 2" xfId="2601"/>
    <cellStyle name="Total 2 2 2 2 10" xfId="6461"/>
    <cellStyle name="Total 2 2 2 2 10 2" xfId="23556"/>
    <cellStyle name="Total 2 2 2 2 11" xfId="14851"/>
    <cellStyle name="Total 2 2 2 2 2" xfId="2602"/>
    <cellStyle name="Total 2 2 2 2 2 2" xfId="2603"/>
    <cellStyle name="Total 2 2 2 2 2 2 2" xfId="2604"/>
    <cellStyle name="Total 2 2 2 2 2 2 2 2" xfId="6593"/>
    <cellStyle name="Total 2 2 2 2 2 2 2 2 2" xfId="13182"/>
    <cellStyle name="Total 2 2 2 2 2 2 2 2 2 2" xfId="27504"/>
    <cellStyle name="Total 2 2 2 2 2 2 2 2 3" xfId="18827"/>
    <cellStyle name="Total 2 2 2 2 2 2 2 3" xfId="7990"/>
    <cellStyle name="Total 2 2 2 2 2 2 2 3 2" xfId="10604"/>
    <cellStyle name="Total 2 2 2 2 2 2 2 3 2 2" xfId="16866"/>
    <cellStyle name="Total 2 2 2 2 2 2 2 3 2 2 2" xfId="30282"/>
    <cellStyle name="Total 2 2 2 2 2 2 2 3 2 3" xfId="21611"/>
    <cellStyle name="Total 2 2 2 2 2 2 2 3 3" xfId="14594"/>
    <cellStyle name="Total 2 2 2 2 2 2 2 3 3 2" xfId="28916"/>
    <cellStyle name="Total 2 2 2 2 2 2 2 3 4" xfId="20239"/>
    <cellStyle name="Total 2 2 2 2 2 2 2 4" xfId="4640"/>
    <cellStyle name="Total 2 2 2 2 2 2 2 4 2" xfId="23084"/>
    <cellStyle name="Total 2 2 2 2 2 2 2 5" xfId="14771"/>
    <cellStyle name="Total 2 2 2 2 2 2 3" xfId="2605"/>
    <cellStyle name="Total 2 2 2 2 2 2 3 2" xfId="3751"/>
    <cellStyle name="Total 2 2 2 2 2 2 3 2 2" xfId="9367"/>
    <cellStyle name="Total 2 2 2 2 2 2 3 2 2 2" xfId="15629"/>
    <cellStyle name="Total 2 2 2 2 2 2 3 2 2 2 2" xfId="29045"/>
    <cellStyle name="Total 2 2 2 2 2 2 3 2 2 3" xfId="20374"/>
    <cellStyle name="Total 2 2 2 2 2 2 3 2 3" xfId="4069"/>
    <cellStyle name="Total 2 2 2 2 2 2 3 2 3 2" xfId="22741"/>
    <cellStyle name="Total 2 2 2 2 2 2 3 2 4" xfId="15128"/>
    <cellStyle name="Total 2 2 2 2 2 2 3 3" xfId="13292"/>
    <cellStyle name="Total 2 2 2 2 2 2 3 3 2" xfId="27614"/>
    <cellStyle name="Total 2 2 2 2 2 2 3 4" xfId="18937"/>
    <cellStyle name="Total 2 2 2 2 2 2 4" xfId="5742"/>
    <cellStyle name="Total 2 2 2 2 2 2 4 2" xfId="12295"/>
    <cellStyle name="Total 2 2 2 2 2 2 4 2 2" xfId="26617"/>
    <cellStyle name="Total 2 2 2 2 2 2 4 3" xfId="17940"/>
    <cellStyle name="Total 2 2 2 2 2 2 5" xfId="4747"/>
    <cellStyle name="Total 2 2 2 2 2 2 5 2" xfId="23167"/>
    <cellStyle name="Total 2 2 2 2 2 2 6" xfId="17235"/>
    <cellStyle name="Total 2 2 2 2 2 3" xfId="2606"/>
    <cellStyle name="Total 2 2 2 2 2 3 2" xfId="2607"/>
    <cellStyle name="Total 2 2 2 2 2 3 2 2" xfId="6423"/>
    <cellStyle name="Total 2 2 2 2 2 3 2 2 2" xfId="13006"/>
    <cellStyle name="Total 2 2 2 2 2 3 2 2 2 2" xfId="27328"/>
    <cellStyle name="Total 2 2 2 2 2 3 2 2 3" xfId="18651"/>
    <cellStyle name="Total 2 2 2 2 2 3 2 3" xfId="7757"/>
    <cellStyle name="Total 2 2 2 2 2 3 2 3 2" xfId="10371"/>
    <cellStyle name="Total 2 2 2 2 2 3 2 3 2 2" xfId="16633"/>
    <cellStyle name="Total 2 2 2 2 2 3 2 3 2 2 2" xfId="30049"/>
    <cellStyle name="Total 2 2 2 2 2 3 2 3 2 3" xfId="21378"/>
    <cellStyle name="Total 2 2 2 2 2 3 2 3 3" xfId="14361"/>
    <cellStyle name="Total 2 2 2 2 2 3 2 3 3 2" xfId="28683"/>
    <cellStyle name="Total 2 2 2 2 2 3 2 3 4" xfId="20006"/>
    <cellStyle name="Total 2 2 2 2 2 3 2 4" xfId="3729"/>
    <cellStyle name="Total 2 2 2 2 2 3 2 4 2" xfId="22550"/>
    <cellStyle name="Total 2 2 2 2 2 3 2 5" xfId="17377"/>
    <cellStyle name="Total 2 2 2 2 2 3 3" xfId="2608"/>
    <cellStyle name="Total 2 2 2 2 2 3 3 2" xfId="7950"/>
    <cellStyle name="Total 2 2 2 2 2 3 3 2 2" xfId="10564"/>
    <cellStyle name="Total 2 2 2 2 2 3 3 2 2 2" xfId="16826"/>
    <cellStyle name="Total 2 2 2 2 2 3 3 2 2 2 2" xfId="30242"/>
    <cellStyle name="Total 2 2 2 2 2 3 3 2 2 3" xfId="21571"/>
    <cellStyle name="Total 2 2 2 2 2 3 3 2 3" xfId="14554"/>
    <cellStyle name="Total 2 2 2 2 2 3 3 2 3 2" xfId="28876"/>
    <cellStyle name="Total 2 2 2 2 2 3 3 2 4" xfId="20199"/>
    <cellStyle name="Total 2 2 2 2 2 3 3 3" xfId="12601"/>
    <cellStyle name="Total 2 2 2 2 2 3 3 3 2" xfId="26923"/>
    <cellStyle name="Total 2 2 2 2 2 3 3 4" xfId="18246"/>
    <cellStyle name="Total 2 2 2 2 2 3 4" xfId="5053"/>
    <cellStyle name="Total 2 2 2 2 2 3 4 2" xfId="11600"/>
    <cellStyle name="Total 2 2 2 2 2 3 4 2 2" xfId="25922"/>
    <cellStyle name="Total 2 2 2 2 2 3 4 3" xfId="17252"/>
    <cellStyle name="Total 2 2 2 2 2 3 5" xfId="4587"/>
    <cellStyle name="Total 2 2 2 2 2 3 5 2" xfId="23050"/>
    <cellStyle name="Total 2 2 2 2 2 3 6" xfId="15317"/>
    <cellStyle name="Total 2 2 2 2 2 4" xfId="2609"/>
    <cellStyle name="Total 2 2 2 2 2 4 2" xfId="6409"/>
    <cellStyle name="Total 2 2 2 2 2 4 2 2" xfId="12992"/>
    <cellStyle name="Total 2 2 2 2 2 4 2 2 2" xfId="27314"/>
    <cellStyle name="Total 2 2 2 2 2 4 2 3" xfId="18637"/>
    <cellStyle name="Total 2 2 2 2 2 4 3" xfId="7692"/>
    <cellStyle name="Total 2 2 2 2 2 4 3 2" xfId="10306"/>
    <cellStyle name="Total 2 2 2 2 2 4 3 2 2" xfId="16568"/>
    <cellStyle name="Total 2 2 2 2 2 4 3 2 2 2" xfId="29984"/>
    <cellStyle name="Total 2 2 2 2 2 4 3 2 3" xfId="21313"/>
    <cellStyle name="Total 2 2 2 2 2 4 3 3" xfId="14296"/>
    <cellStyle name="Total 2 2 2 2 2 4 3 3 2" xfId="28618"/>
    <cellStyle name="Total 2 2 2 2 2 4 3 4" xfId="19941"/>
    <cellStyle name="Total 2 2 2 2 2 4 4" xfId="4361"/>
    <cellStyle name="Total 2 2 2 2 2 4 4 2" xfId="22905"/>
    <cellStyle name="Total 2 2 2 2 2 4 5" xfId="15235"/>
    <cellStyle name="Total 2 2 2 2 2 5" xfId="2610"/>
    <cellStyle name="Total 2 2 2 2 2 5 2" xfId="7751"/>
    <cellStyle name="Total 2 2 2 2 2 5 2 2" xfId="10365"/>
    <cellStyle name="Total 2 2 2 2 2 5 2 2 2" xfId="16627"/>
    <cellStyle name="Total 2 2 2 2 2 5 2 2 2 2" xfId="30043"/>
    <cellStyle name="Total 2 2 2 2 2 5 2 2 3" xfId="21372"/>
    <cellStyle name="Total 2 2 2 2 2 5 2 3" xfId="14355"/>
    <cellStyle name="Total 2 2 2 2 2 5 2 3 2" xfId="28677"/>
    <cellStyle name="Total 2 2 2 2 2 5 2 4" xfId="20000"/>
    <cellStyle name="Total 2 2 2 2 2 5 3" xfId="12868"/>
    <cellStyle name="Total 2 2 2 2 2 5 3 2" xfId="27190"/>
    <cellStyle name="Total 2 2 2 2 2 5 4" xfId="18513"/>
    <cellStyle name="Total 2 2 2 2 2 6" xfId="5486"/>
    <cellStyle name="Total 2 2 2 2 2 6 2" xfId="12037"/>
    <cellStyle name="Total 2 2 2 2 2 6 2 2" xfId="26359"/>
    <cellStyle name="Total 2 2 2 2 2 6 3" xfId="17682"/>
    <cellStyle name="Total 2 2 2 2 2 7" xfId="6780"/>
    <cellStyle name="Total 2 2 2 2 2 7 2" xfId="23725"/>
    <cellStyle name="Total 2 2 2 2 2 8" xfId="17150"/>
    <cellStyle name="Total 2 2 2 2 3" xfId="2611"/>
    <cellStyle name="Total 2 2 2 2 3 2" xfId="2612"/>
    <cellStyle name="Total 2 2 2 2 3 2 2" xfId="2613"/>
    <cellStyle name="Total 2 2 2 2 3 2 2 2" xfId="5919"/>
    <cellStyle name="Total 2 2 2 2 3 2 2 2 2" xfId="12474"/>
    <cellStyle name="Total 2 2 2 2 3 2 2 2 2 2" xfId="26796"/>
    <cellStyle name="Total 2 2 2 2 3 2 2 2 3" xfId="18119"/>
    <cellStyle name="Total 2 2 2 2 3 2 2 3" xfId="5295"/>
    <cellStyle name="Total 2 2 2 2 3 2 2 3 2" xfId="9604"/>
    <cellStyle name="Total 2 2 2 2 3 2 2 3 2 2" xfId="15866"/>
    <cellStyle name="Total 2 2 2 2 3 2 2 3 2 2 2" xfId="29282"/>
    <cellStyle name="Total 2 2 2 2 3 2 2 3 2 3" xfId="20611"/>
    <cellStyle name="Total 2 2 2 2 3 2 2 3 3" xfId="11845"/>
    <cellStyle name="Total 2 2 2 2 3 2 2 3 3 2" xfId="26167"/>
    <cellStyle name="Total 2 2 2 2 3 2 2 3 4" xfId="17490"/>
    <cellStyle name="Total 2 2 2 2 3 2 2 4" xfId="4928"/>
    <cellStyle name="Total 2 2 2 2 3 2 2 4 2" xfId="23266"/>
    <cellStyle name="Total 2 2 2 2 3 2 2 5" xfId="6618"/>
    <cellStyle name="Total 2 2 2 2 3 2 3" xfId="2614"/>
    <cellStyle name="Total 2 2 2 2 3 2 3 2" xfId="7936"/>
    <cellStyle name="Total 2 2 2 2 3 2 3 2 2" xfId="10550"/>
    <cellStyle name="Total 2 2 2 2 3 2 3 2 2 2" xfId="16812"/>
    <cellStyle name="Total 2 2 2 2 3 2 3 2 2 2 2" xfId="30228"/>
    <cellStyle name="Total 2 2 2 2 3 2 3 2 2 3" xfId="21557"/>
    <cellStyle name="Total 2 2 2 2 3 2 3 2 3" xfId="14540"/>
    <cellStyle name="Total 2 2 2 2 3 2 3 2 3 2" xfId="28862"/>
    <cellStyle name="Total 2 2 2 2 3 2 3 2 4" xfId="20185"/>
    <cellStyle name="Total 2 2 2 2 3 2 3 3" xfId="13328"/>
    <cellStyle name="Total 2 2 2 2 3 2 3 3 2" xfId="27650"/>
    <cellStyle name="Total 2 2 2 2 3 2 3 4" xfId="18973"/>
    <cellStyle name="Total 2 2 2 2 3 2 4" xfId="5778"/>
    <cellStyle name="Total 2 2 2 2 3 2 4 2" xfId="12331"/>
    <cellStyle name="Total 2 2 2 2 3 2 4 2 2" xfId="26653"/>
    <cellStyle name="Total 2 2 2 2 3 2 4 3" xfId="17976"/>
    <cellStyle name="Total 2 2 2 2 3 2 5" xfId="3802"/>
    <cellStyle name="Total 2 2 2 2 3 2 5 2" xfId="22590"/>
    <cellStyle name="Total 2 2 2 2 3 2 6" xfId="3239"/>
    <cellStyle name="Total 2 2 2 2 3 3" xfId="2615"/>
    <cellStyle name="Total 2 2 2 2 3 3 2" xfId="2616"/>
    <cellStyle name="Total 2 2 2 2 3 3 2 2" xfId="6961"/>
    <cellStyle name="Total 2 2 2 2 3 3 2 2 2" xfId="13565"/>
    <cellStyle name="Total 2 2 2 2 3 3 2 2 2 2" xfId="27887"/>
    <cellStyle name="Total 2 2 2 2 3 3 2 2 3" xfId="19210"/>
    <cellStyle name="Total 2 2 2 2 3 3 2 3" xfId="7200"/>
    <cellStyle name="Total 2 2 2 2 3 3 2 3 2" xfId="9814"/>
    <cellStyle name="Total 2 2 2 2 3 3 2 3 2 2" xfId="16076"/>
    <cellStyle name="Total 2 2 2 2 3 3 2 3 2 2 2" xfId="29492"/>
    <cellStyle name="Total 2 2 2 2 3 3 2 3 2 3" xfId="20821"/>
    <cellStyle name="Total 2 2 2 2 3 3 2 3 3" xfId="13804"/>
    <cellStyle name="Total 2 2 2 2 3 3 2 3 3 2" xfId="28126"/>
    <cellStyle name="Total 2 2 2 2 3 3 2 3 4" xfId="19449"/>
    <cellStyle name="Total 2 2 2 2 3 3 2 4" xfId="11464"/>
    <cellStyle name="Total 2 2 2 2 3 3 2 4 2" xfId="25786"/>
    <cellStyle name="Total 2 2 2 2 3 3 2 5" xfId="17181"/>
    <cellStyle name="Total 2 2 2 2 3 3 3" xfId="2617"/>
    <cellStyle name="Total 2 2 2 2 3 3 3 2" xfId="8031"/>
    <cellStyle name="Total 2 2 2 2 3 3 3 2 2" xfId="10645"/>
    <cellStyle name="Total 2 2 2 2 3 3 3 2 2 2" xfId="16907"/>
    <cellStyle name="Total 2 2 2 2 3 3 3 2 2 2 2" xfId="30323"/>
    <cellStyle name="Total 2 2 2 2 3 3 3 2 2 3" xfId="21652"/>
    <cellStyle name="Total 2 2 2 2 3 3 3 2 3" xfId="14635"/>
    <cellStyle name="Total 2 2 2 2 3 3 3 2 3 2" xfId="28957"/>
    <cellStyle name="Total 2 2 2 2 3 3 3 2 4" xfId="20280"/>
    <cellStyle name="Total 2 2 2 2 3 3 3 3" xfId="13374"/>
    <cellStyle name="Total 2 2 2 2 3 3 3 3 2" xfId="27696"/>
    <cellStyle name="Total 2 2 2 2 3 3 3 4" xfId="19019"/>
    <cellStyle name="Total 2 2 2 2 3 3 4" xfId="5826"/>
    <cellStyle name="Total 2 2 2 2 3 3 4 2" xfId="12379"/>
    <cellStyle name="Total 2 2 2 2 3 3 4 2 2" xfId="26701"/>
    <cellStyle name="Total 2 2 2 2 3 3 4 3" xfId="18024"/>
    <cellStyle name="Total 2 2 2 2 3 3 5" xfId="5124"/>
    <cellStyle name="Total 2 2 2 2 3 3 5 2" xfId="23327"/>
    <cellStyle name="Total 2 2 2 2 3 3 6" xfId="14746"/>
    <cellStyle name="Total 2 2 2 2 3 4" xfId="2618"/>
    <cellStyle name="Total 2 2 2 2 3 4 2" xfId="6865"/>
    <cellStyle name="Total 2 2 2 2 3 4 2 2" xfId="13469"/>
    <cellStyle name="Total 2 2 2 2 3 4 2 2 2" xfId="27791"/>
    <cellStyle name="Total 2 2 2 2 3 4 2 3" xfId="19114"/>
    <cellStyle name="Total 2 2 2 2 3 4 3" xfId="7337"/>
    <cellStyle name="Total 2 2 2 2 3 4 3 2" xfId="9951"/>
    <cellStyle name="Total 2 2 2 2 3 4 3 2 2" xfId="16213"/>
    <cellStyle name="Total 2 2 2 2 3 4 3 2 2 2" xfId="29629"/>
    <cellStyle name="Total 2 2 2 2 3 4 3 2 3" xfId="20958"/>
    <cellStyle name="Total 2 2 2 2 3 4 3 3" xfId="13941"/>
    <cellStyle name="Total 2 2 2 2 3 4 3 3 2" xfId="28263"/>
    <cellStyle name="Total 2 2 2 2 3 4 3 4" xfId="19586"/>
    <cellStyle name="Total 2 2 2 2 3 4 4" xfId="11324"/>
    <cellStyle name="Total 2 2 2 2 3 4 4 2" xfId="25646"/>
    <cellStyle name="Total 2 2 2 2 3 4 5" xfId="3777"/>
    <cellStyle name="Total 2 2 2 2 3 5" xfId="2619"/>
    <cellStyle name="Total 2 2 2 2 3 5 2" xfId="7452"/>
    <cellStyle name="Total 2 2 2 2 3 5 2 2" xfId="10066"/>
    <cellStyle name="Total 2 2 2 2 3 5 2 2 2" xfId="16328"/>
    <cellStyle name="Total 2 2 2 2 3 5 2 2 2 2" xfId="29744"/>
    <cellStyle name="Total 2 2 2 2 3 5 2 2 3" xfId="21073"/>
    <cellStyle name="Total 2 2 2 2 3 5 2 3" xfId="14056"/>
    <cellStyle name="Total 2 2 2 2 3 5 2 3 2" xfId="28378"/>
    <cellStyle name="Total 2 2 2 2 3 5 2 4" xfId="19701"/>
    <cellStyle name="Total 2 2 2 2 3 5 3" xfId="12904"/>
    <cellStyle name="Total 2 2 2 2 3 5 3 2" xfId="27226"/>
    <cellStyle name="Total 2 2 2 2 3 5 4" xfId="18549"/>
    <cellStyle name="Total 2 2 2 2 3 6" xfId="5528"/>
    <cellStyle name="Total 2 2 2 2 3 6 2" xfId="12079"/>
    <cellStyle name="Total 2 2 2 2 3 6 2 2" xfId="26401"/>
    <cellStyle name="Total 2 2 2 2 3 6 3" xfId="17724"/>
    <cellStyle name="Total 2 2 2 2 3 7" xfId="6306"/>
    <cellStyle name="Total 2 2 2 2 3 7 2" xfId="23502"/>
    <cellStyle name="Total 2 2 2 2 3 8" xfId="17397"/>
    <cellStyle name="Total 2 2 2 2 4" xfId="2620"/>
    <cellStyle name="Total 2 2 2 2 4 2" xfId="2621"/>
    <cellStyle name="Total 2 2 2 2 4 2 2" xfId="2622"/>
    <cellStyle name="Total 2 2 2 2 4 2 2 2" xfId="5968"/>
    <cellStyle name="Total 2 2 2 2 4 2 2 2 2" xfId="12526"/>
    <cellStyle name="Total 2 2 2 2 4 2 2 2 2 2" xfId="26848"/>
    <cellStyle name="Total 2 2 2 2 4 2 2 2 3" xfId="18171"/>
    <cellStyle name="Total 2 2 2 2 4 2 2 3" xfId="5305"/>
    <cellStyle name="Total 2 2 2 2 4 2 2 3 2" xfId="9614"/>
    <cellStyle name="Total 2 2 2 2 4 2 2 3 2 2" xfId="15876"/>
    <cellStyle name="Total 2 2 2 2 4 2 2 3 2 2 2" xfId="29292"/>
    <cellStyle name="Total 2 2 2 2 4 2 2 3 2 3" xfId="20621"/>
    <cellStyle name="Total 2 2 2 2 4 2 2 3 3" xfId="11855"/>
    <cellStyle name="Total 2 2 2 2 4 2 2 3 3 2" xfId="26177"/>
    <cellStyle name="Total 2 2 2 2 4 2 2 3 4" xfId="17500"/>
    <cellStyle name="Total 2 2 2 2 4 2 2 4" xfId="4177"/>
    <cellStyle name="Total 2 2 2 2 4 2 2 4 2" xfId="22800"/>
    <cellStyle name="Total 2 2 2 2 4 2 2 5" xfId="14790"/>
    <cellStyle name="Total 2 2 2 2 4 2 3" xfId="2623"/>
    <cellStyle name="Total 2 2 2 2 4 2 3 2" xfId="7693"/>
    <cellStyle name="Total 2 2 2 2 4 2 3 2 2" xfId="10307"/>
    <cellStyle name="Total 2 2 2 2 4 2 3 2 2 2" xfId="16569"/>
    <cellStyle name="Total 2 2 2 2 4 2 3 2 2 2 2" xfId="29985"/>
    <cellStyle name="Total 2 2 2 2 4 2 3 2 2 3" xfId="21314"/>
    <cellStyle name="Total 2 2 2 2 4 2 3 2 3" xfId="14297"/>
    <cellStyle name="Total 2 2 2 2 4 2 3 2 3 2" xfId="28619"/>
    <cellStyle name="Total 2 2 2 2 4 2 3 2 4" xfId="19942"/>
    <cellStyle name="Total 2 2 2 2 4 2 3 3" xfId="13208"/>
    <cellStyle name="Total 2 2 2 2 4 2 3 3 2" xfId="27530"/>
    <cellStyle name="Total 2 2 2 2 4 2 3 4" xfId="18853"/>
    <cellStyle name="Total 2 2 2 2 4 2 4" xfId="5647"/>
    <cellStyle name="Total 2 2 2 2 4 2 4 2" xfId="12200"/>
    <cellStyle name="Total 2 2 2 2 4 2 4 2 2" xfId="26522"/>
    <cellStyle name="Total 2 2 2 2 4 2 4 3" xfId="17845"/>
    <cellStyle name="Total 2 2 2 2 4 2 5" xfId="4037"/>
    <cellStyle name="Total 2 2 2 2 4 2 5 2" xfId="22715"/>
    <cellStyle name="Total 2 2 2 2 4 2 6" xfId="15279"/>
    <cellStyle name="Total 2 2 2 2 4 3" xfId="2624"/>
    <cellStyle name="Total 2 2 2 2 4 3 2" xfId="2625"/>
    <cellStyle name="Total 2 2 2 2 4 3 2 2" xfId="6970"/>
    <cellStyle name="Total 2 2 2 2 4 3 2 2 2" xfId="13574"/>
    <cellStyle name="Total 2 2 2 2 4 3 2 2 2 2" xfId="27896"/>
    <cellStyle name="Total 2 2 2 2 4 3 2 2 3" xfId="19219"/>
    <cellStyle name="Total 2 2 2 2 4 3 2 3" xfId="5266"/>
    <cellStyle name="Total 2 2 2 2 4 3 2 3 2" xfId="9575"/>
    <cellStyle name="Total 2 2 2 2 4 3 2 3 2 2" xfId="15837"/>
    <cellStyle name="Total 2 2 2 2 4 3 2 3 2 2 2" xfId="29253"/>
    <cellStyle name="Total 2 2 2 2 4 3 2 3 2 3" xfId="20582"/>
    <cellStyle name="Total 2 2 2 2 4 3 2 3 3" xfId="11816"/>
    <cellStyle name="Total 2 2 2 2 4 3 2 3 3 2" xfId="26138"/>
    <cellStyle name="Total 2 2 2 2 4 3 2 3 4" xfId="17461"/>
    <cellStyle name="Total 2 2 2 2 4 3 2 4" xfId="11477"/>
    <cellStyle name="Total 2 2 2 2 4 3 2 4 2" xfId="25799"/>
    <cellStyle name="Total 2 2 2 2 4 3 2 5" xfId="15399"/>
    <cellStyle name="Total 2 2 2 2 4 3 3" xfId="2626"/>
    <cellStyle name="Total 2 2 2 2 4 3 3 2" xfId="4111"/>
    <cellStyle name="Total 2 2 2 2 4 3 3 2 2" xfId="9430"/>
    <cellStyle name="Total 2 2 2 2 4 3 3 2 2 2" xfId="15692"/>
    <cellStyle name="Total 2 2 2 2 4 3 3 2 2 2 2" xfId="29108"/>
    <cellStyle name="Total 2 2 2 2 4 3 3 2 2 3" xfId="20437"/>
    <cellStyle name="Total 2 2 2 2 4 3 3 2 3" xfId="4105"/>
    <cellStyle name="Total 2 2 2 2 4 3 3 2 3 2" xfId="22760"/>
    <cellStyle name="Total 2 2 2 2 4 3 3 2 4" xfId="14911"/>
    <cellStyle name="Total 2 2 2 2 4 3 3 3" xfId="12617"/>
    <cellStyle name="Total 2 2 2 2 4 3 3 3 2" xfId="26939"/>
    <cellStyle name="Total 2 2 2 2 4 3 3 4" xfId="18262"/>
    <cellStyle name="Total 2 2 2 2 4 3 4" xfId="5171"/>
    <cellStyle name="Total 2 2 2 2 4 3 4 2" xfId="11720"/>
    <cellStyle name="Total 2 2 2 2 4 3 4 2 2" xfId="26042"/>
    <cellStyle name="Total 2 2 2 2 4 3 4 3" xfId="3274"/>
    <cellStyle name="Total 2 2 2 2 4 3 5" xfId="4129"/>
    <cellStyle name="Total 2 2 2 2 4 3 5 2" xfId="22771"/>
    <cellStyle name="Total 2 2 2 2 4 3 6" xfId="15266"/>
    <cellStyle name="Total 2 2 2 2 4 4" xfId="2627"/>
    <cellStyle name="Total 2 2 2 2 4 4 2" xfId="6147"/>
    <cellStyle name="Total 2 2 2 2 4 4 2 2" xfId="12717"/>
    <cellStyle name="Total 2 2 2 2 4 4 2 2 2" xfId="27039"/>
    <cellStyle name="Total 2 2 2 2 4 4 2 3" xfId="18362"/>
    <cellStyle name="Total 2 2 2 2 4 4 3" xfId="7999"/>
    <cellStyle name="Total 2 2 2 2 4 4 3 2" xfId="10613"/>
    <cellStyle name="Total 2 2 2 2 4 4 3 2 2" xfId="16875"/>
    <cellStyle name="Total 2 2 2 2 4 4 3 2 2 2" xfId="30291"/>
    <cellStyle name="Total 2 2 2 2 4 4 3 2 3" xfId="21620"/>
    <cellStyle name="Total 2 2 2 2 4 4 3 3" xfId="14603"/>
    <cellStyle name="Total 2 2 2 2 4 4 3 3 2" xfId="28925"/>
    <cellStyle name="Total 2 2 2 2 4 4 3 4" xfId="20248"/>
    <cellStyle name="Total 2 2 2 2 4 4 4" xfId="3195"/>
    <cellStyle name="Total 2 2 2 2 4 4 4 2" xfId="22436"/>
    <cellStyle name="Total 2 2 2 2 4 4 5" xfId="4600"/>
    <cellStyle name="Total 2 2 2 2 4 5" xfId="2628"/>
    <cellStyle name="Total 2 2 2 2 4 5 2" xfId="8032"/>
    <cellStyle name="Total 2 2 2 2 4 5 2 2" xfId="10646"/>
    <cellStyle name="Total 2 2 2 2 4 5 2 2 2" xfId="16908"/>
    <cellStyle name="Total 2 2 2 2 4 5 2 2 2 2" xfId="30324"/>
    <cellStyle name="Total 2 2 2 2 4 5 2 2 3" xfId="21653"/>
    <cellStyle name="Total 2 2 2 2 4 5 2 3" xfId="14636"/>
    <cellStyle name="Total 2 2 2 2 4 5 2 3 2" xfId="28958"/>
    <cellStyle name="Total 2 2 2 2 4 5 2 4" xfId="20281"/>
    <cellStyle name="Total 2 2 2 2 4 5 3" xfId="12469"/>
    <cellStyle name="Total 2 2 2 2 4 5 3 2" xfId="26791"/>
    <cellStyle name="Total 2 2 2 2 4 5 4" xfId="18114"/>
    <cellStyle name="Total 2 2 2 2 4 6" xfId="5048"/>
    <cellStyle name="Total 2 2 2 2 4 6 2" xfId="11595"/>
    <cellStyle name="Total 2 2 2 2 4 6 2 2" xfId="25917"/>
    <cellStyle name="Total 2 2 2 2 4 6 3" xfId="4203"/>
    <cellStyle name="Total 2 2 2 2 4 7" xfId="4899"/>
    <cellStyle name="Total 2 2 2 2 4 7 2" xfId="23255"/>
    <cellStyle name="Total 2 2 2 2 4 8" xfId="17352"/>
    <cellStyle name="Total 2 2 2 2 5" xfId="2629"/>
    <cellStyle name="Total 2 2 2 2 5 2" xfId="2630"/>
    <cellStyle name="Total 2 2 2 2 5 2 2" xfId="2631"/>
    <cellStyle name="Total 2 2 2 2 5 2 2 2" xfId="6055"/>
    <cellStyle name="Total 2 2 2 2 5 2 2 2 2" xfId="12621"/>
    <cellStyle name="Total 2 2 2 2 5 2 2 2 2 2" xfId="26943"/>
    <cellStyle name="Total 2 2 2 2 5 2 2 2 3" xfId="18266"/>
    <cellStyle name="Total 2 2 2 2 5 2 2 3" xfId="7060"/>
    <cellStyle name="Total 2 2 2 2 5 2 2 3 2" xfId="9674"/>
    <cellStyle name="Total 2 2 2 2 5 2 2 3 2 2" xfId="15936"/>
    <cellStyle name="Total 2 2 2 2 5 2 2 3 2 2 2" xfId="29352"/>
    <cellStyle name="Total 2 2 2 2 5 2 2 3 2 3" xfId="20681"/>
    <cellStyle name="Total 2 2 2 2 5 2 2 3 3" xfId="13664"/>
    <cellStyle name="Total 2 2 2 2 5 2 2 3 3 2" xfId="27986"/>
    <cellStyle name="Total 2 2 2 2 5 2 2 3 4" xfId="19309"/>
    <cellStyle name="Total 2 2 2 2 5 2 2 4" xfId="4480"/>
    <cellStyle name="Total 2 2 2 2 5 2 2 4 2" xfId="22978"/>
    <cellStyle name="Total 2 2 2 2 5 2 2 5" xfId="17328"/>
    <cellStyle name="Total 2 2 2 2 5 2 3" xfId="2632"/>
    <cellStyle name="Total 2 2 2 2 5 2 3 2" xfId="7194"/>
    <cellStyle name="Total 2 2 2 2 5 2 3 2 2" xfId="9808"/>
    <cellStyle name="Total 2 2 2 2 5 2 3 2 2 2" xfId="16070"/>
    <cellStyle name="Total 2 2 2 2 5 2 3 2 2 2 2" xfId="29486"/>
    <cellStyle name="Total 2 2 2 2 5 2 3 2 2 3" xfId="20815"/>
    <cellStyle name="Total 2 2 2 2 5 2 3 2 3" xfId="13798"/>
    <cellStyle name="Total 2 2 2 2 5 2 3 2 3 2" xfId="28120"/>
    <cellStyle name="Total 2 2 2 2 5 2 3 2 4" xfId="19443"/>
    <cellStyle name="Total 2 2 2 2 5 2 3 3" xfId="13177"/>
    <cellStyle name="Total 2 2 2 2 5 2 3 3 2" xfId="27499"/>
    <cellStyle name="Total 2 2 2 2 5 2 3 4" xfId="18822"/>
    <cellStyle name="Total 2 2 2 2 5 2 4" xfId="5600"/>
    <cellStyle name="Total 2 2 2 2 5 2 4 2" xfId="12152"/>
    <cellStyle name="Total 2 2 2 2 5 2 4 2 2" xfId="26474"/>
    <cellStyle name="Total 2 2 2 2 5 2 4 3" xfId="17797"/>
    <cellStyle name="Total 2 2 2 2 5 2 5" xfId="3970"/>
    <cellStyle name="Total 2 2 2 2 5 2 5 2" xfId="22676"/>
    <cellStyle name="Total 2 2 2 2 5 2 6" xfId="4274"/>
    <cellStyle name="Total 2 2 2 2 5 3" xfId="2633"/>
    <cellStyle name="Total 2 2 2 2 5 3 2" xfId="5921"/>
    <cellStyle name="Total 2 2 2 2 5 3 2 2" xfId="12476"/>
    <cellStyle name="Total 2 2 2 2 5 3 2 2 2" xfId="26798"/>
    <cellStyle name="Total 2 2 2 2 5 3 2 3" xfId="18121"/>
    <cellStyle name="Total 2 2 2 2 5 3 3" xfId="7210"/>
    <cellStyle name="Total 2 2 2 2 5 3 3 2" xfId="9824"/>
    <cellStyle name="Total 2 2 2 2 5 3 3 2 2" xfId="16086"/>
    <cellStyle name="Total 2 2 2 2 5 3 3 2 2 2" xfId="29502"/>
    <cellStyle name="Total 2 2 2 2 5 3 3 2 3" xfId="20831"/>
    <cellStyle name="Total 2 2 2 2 5 3 3 3" xfId="13814"/>
    <cellStyle name="Total 2 2 2 2 5 3 3 3 2" xfId="28136"/>
    <cellStyle name="Total 2 2 2 2 5 3 3 4" xfId="19459"/>
    <cellStyle name="Total 2 2 2 2 5 3 4" xfId="4423"/>
    <cellStyle name="Total 2 2 2 2 5 3 4 2" xfId="22941"/>
    <cellStyle name="Total 2 2 2 2 5 3 5" xfId="4372"/>
    <cellStyle name="Total 2 2 2 2 5 4" xfId="2634"/>
    <cellStyle name="Total 2 2 2 2 5 4 2" xfId="7367"/>
    <cellStyle name="Total 2 2 2 2 5 4 2 2" xfId="9981"/>
    <cellStyle name="Total 2 2 2 2 5 4 2 2 2" xfId="16243"/>
    <cellStyle name="Total 2 2 2 2 5 4 2 2 2 2" xfId="29659"/>
    <cellStyle name="Total 2 2 2 2 5 4 2 2 3" xfId="20988"/>
    <cellStyle name="Total 2 2 2 2 5 4 2 3" xfId="13971"/>
    <cellStyle name="Total 2 2 2 2 5 4 2 3 2" xfId="28293"/>
    <cellStyle name="Total 2 2 2 2 5 4 2 4" xfId="19616"/>
    <cellStyle name="Total 2 2 2 2 5 4 3" xfId="12838"/>
    <cellStyle name="Total 2 2 2 2 5 4 3 2" xfId="27160"/>
    <cellStyle name="Total 2 2 2 2 5 4 4" xfId="18483"/>
    <cellStyle name="Total 2 2 2 2 5 5" xfId="5412"/>
    <cellStyle name="Total 2 2 2 2 5 5 2" xfId="11962"/>
    <cellStyle name="Total 2 2 2 2 5 5 2 2" xfId="26284"/>
    <cellStyle name="Total 2 2 2 2 5 5 3" xfId="17607"/>
    <cellStyle name="Total 2 2 2 2 5 6" xfId="4087"/>
    <cellStyle name="Total 2 2 2 2 5 6 2" xfId="22753"/>
    <cellStyle name="Total 2 2 2 2 5 7" xfId="15025"/>
    <cellStyle name="Total 2 2 2 2 6" xfId="2635"/>
    <cellStyle name="Total 2 2 2 2 6 2" xfId="2636"/>
    <cellStyle name="Total 2 2 2 2 6 2 2" xfId="5948"/>
    <cellStyle name="Total 2 2 2 2 6 2 2 2" xfId="12505"/>
    <cellStyle name="Total 2 2 2 2 6 2 2 2 2" xfId="26827"/>
    <cellStyle name="Total 2 2 2 2 6 2 2 3" xfId="18150"/>
    <cellStyle name="Total 2 2 2 2 6 2 3" xfId="7706"/>
    <cellStyle name="Total 2 2 2 2 6 2 3 2" xfId="10320"/>
    <cellStyle name="Total 2 2 2 2 6 2 3 2 2" xfId="16582"/>
    <cellStyle name="Total 2 2 2 2 6 2 3 2 2 2" xfId="29998"/>
    <cellStyle name="Total 2 2 2 2 6 2 3 2 3" xfId="21327"/>
    <cellStyle name="Total 2 2 2 2 6 2 3 3" xfId="14310"/>
    <cellStyle name="Total 2 2 2 2 6 2 3 3 2" xfId="28632"/>
    <cellStyle name="Total 2 2 2 2 6 2 3 4" xfId="19955"/>
    <cellStyle name="Total 2 2 2 2 6 2 4" xfId="4262"/>
    <cellStyle name="Total 2 2 2 2 6 2 4 2" xfId="22857"/>
    <cellStyle name="Total 2 2 2 2 6 2 5" xfId="15063"/>
    <cellStyle name="Total 2 2 2 2 6 3" xfId="2637"/>
    <cellStyle name="Total 2 2 2 2 6 3 2" xfId="7338"/>
    <cellStyle name="Total 2 2 2 2 6 3 2 2" xfId="9952"/>
    <cellStyle name="Total 2 2 2 2 6 3 2 2 2" xfId="16214"/>
    <cellStyle name="Total 2 2 2 2 6 3 2 2 2 2" xfId="29630"/>
    <cellStyle name="Total 2 2 2 2 6 3 2 2 3" xfId="20959"/>
    <cellStyle name="Total 2 2 2 2 6 3 2 3" xfId="13942"/>
    <cellStyle name="Total 2 2 2 2 6 3 2 3 2" xfId="28264"/>
    <cellStyle name="Total 2 2 2 2 6 3 2 4" xfId="19587"/>
    <cellStyle name="Total 2 2 2 2 6 3 3" xfId="13401"/>
    <cellStyle name="Total 2 2 2 2 6 3 3 2" xfId="27723"/>
    <cellStyle name="Total 2 2 2 2 6 3 4" xfId="19046"/>
    <cellStyle name="Total 2 2 2 2 6 4" xfId="5865"/>
    <cellStyle name="Total 2 2 2 2 6 4 2" xfId="12418"/>
    <cellStyle name="Total 2 2 2 2 6 4 2 2" xfId="26740"/>
    <cellStyle name="Total 2 2 2 2 6 4 3" xfId="18063"/>
    <cellStyle name="Total 2 2 2 2 6 5" xfId="6347"/>
    <cellStyle name="Total 2 2 2 2 6 5 2" xfId="23533"/>
    <cellStyle name="Total 2 2 2 2 6 6" xfId="14974"/>
    <cellStyle name="Total 2 2 2 2 7" xfId="2638"/>
    <cellStyle name="Total 2 2 2 2 7 2" xfId="6228"/>
    <cellStyle name="Total 2 2 2 2 7 2 2" xfId="12803"/>
    <cellStyle name="Total 2 2 2 2 7 2 2 2" xfId="27125"/>
    <cellStyle name="Total 2 2 2 2 7 2 3" xfId="18448"/>
    <cellStyle name="Total 2 2 2 2 7 3" xfId="7744"/>
    <cellStyle name="Total 2 2 2 2 7 3 2" xfId="10358"/>
    <cellStyle name="Total 2 2 2 2 7 3 2 2" xfId="16620"/>
    <cellStyle name="Total 2 2 2 2 7 3 2 2 2" xfId="30036"/>
    <cellStyle name="Total 2 2 2 2 7 3 2 3" xfId="21365"/>
    <cellStyle name="Total 2 2 2 2 7 3 3" xfId="14348"/>
    <cellStyle name="Total 2 2 2 2 7 3 3 2" xfId="28670"/>
    <cellStyle name="Total 2 2 2 2 7 3 4" xfId="19993"/>
    <cellStyle name="Total 2 2 2 2 7 4" xfId="4117"/>
    <cellStyle name="Total 2 2 2 2 7 4 2" xfId="22762"/>
    <cellStyle name="Total 2 2 2 2 7 5" xfId="17301"/>
    <cellStyle name="Total 2 2 2 2 8" xfId="2639"/>
    <cellStyle name="Total 2 2 2 2 8 2" xfId="7440"/>
    <cellStyle name="Total 2 2 2 2 8 2 2" xfId="10054"/>
    <cellStyle name="Total 2 2 2 2 8 2 2 2" xfId="16316"/>
    <cellStyle name="Total 2 2 2 2 8 2 2 2 2" xfId="29732"/>
    <cellStyle name="Total 2 2 2 2 8 2 2 3" xfId="21061"/>
    <cellStyle name="Total 2 2 2 2 8 2 3" xfId="14044"/>
    <cellStyle name="Total 2 2 2 2 8 2 3 2" xfId="28366"/>
    <cellStyle name="Total 2 2 2 2 8 2 4" xfId="19689"/>
    <cellStyle name="Total 2 2 2 2 8 3" xfId="12277"/>
    <cellStyle name="Total 2 2 2 2 8 3 2" xfId="26599"/>
    <cellStyle name="Total 2 2 2 2 8 4" xfId="17922"/>
    <cellStyle name="Total 2 2 2 2 9" xfId="5146"/>
    <cellStyle name="Total 2 2 2 2 9 2" xfId="11695"/>
    <cellStyle name="Total 2 2 2 2 9 2 2" xfId="26017"/>
    <cellStyle name="Total 2 2 2 2 9 3" xfId="3266"/>
    <cellStyle name="Total 2 2 2 3" xfId="2640"/>
    <cellStyle name="Total 2 2 2 3 2" xfId="2641"/>
    <cellStyle name="Total 2 2 2 3 2 2" xfId="2642"/>
    <cellStyle name="Total 2 2 2 3 2 2 2" xfId="7026"/>
    <cellStyle name="Total 2 2 2 3 2 2 2 2" xfId="13630"/>
    <cellStyle name="Total 2 2 2 3 2 2 2 2 2" xfId="27952"/>
    <cellStyle name="Total 2 2 2 3 2 2 2 3" xfId="19275"/>
    <cellStyle name="Total 2 2 2 3 2 2 3" xfId="7787"/>
    <cellStyle name="Total 2 2 2 3 2 2 3 2" xfId="10401"/>
    <cellStyle name="Total 2 2 2 3 2 2 3 2 2" xfId="16663"/>
    <cellStyle name="Total 2 2 2 3 2 2 3 2 2 2" xfId="30079"/>
    <cellStyle name="Total 2 2 2 3 2 2 3 2 3" xfId="21408"/>
    <cellStyle name="Total 2 2 2 3 2 2 3 3" xfId="14391"/>
    <cellStyle name="Total 2 2 2 3 2 2 3 3 2" xfId="28713"/>
    <cellStyle name="Total 2 2 2 3 2 2 3 4" xfId="20036"/>
    <cellStyle name="Total 2 2 2 3 2 2 4" xfId="11564"/>
    <cellStyle name="Total 2 2 2 3 2 2 4 2" xfId="25886"/>
    <cellStyle name="Total 2 2 2 3 2 2 5" xfId="15343"/>
    <cellStyle name="Total 2 2 2 3 2 3" xfId="2643"/>
    <cellStyle name="Total 2 2 2 3 2 3 2" xfId="7783"/>
    <cellStyle name="Total 2 2 2 3 2 3 2 2" xfId="10397"/>
    <cellStyle name="Total 2 2 2 3 2 3 2 2 2" xfId="16659"/>
    <cellStyle name="Total 2 2 2 3 2 3 2 2 2 2" xfId="30075"/>
    <cellStyle name="Total 2 2 2 3 2 3 2 2 3" xfId="21404"/>
    <cellStyle name="Total 2 2 2 3 2 3 2 3" xfId="14387"/>
    <cellStyle name="Total 2 2 2 3 2 3 2 3 2" xfId="28709"/>
    <cellStyle name="Total 2 2 2 3 2 3 2 4" xfId="20032"/>
    <cellStyle name="Total 2 2 2 3 2 3 3" xfId="13215"/>
    <cellStyle name="Total 2 2 2 3 2 3 3 2" xfId="27537"/>
    <cellStyle name="Total 2 2 2 3 2 3 4" xfId="18860"/>
    <cellStyle name="Total 2 2 2 3 2 4" xfId="5655"/>
    <cellStyle name="Total 2 2 2 3 2 4 2" xfId="12208"/>
    <cellStyle name="Total 2 2 2 3 2 4 2 2" xfId="26530"/>
    <cellStyle name="Total 2 2 2 3 2 4 3" xfId="17853"/>
    <cellStyle name="Total 2 2 2 3 2 5" xfId="4855"/>
    <cellStyle name="Total 2 2 2 3 2 5 2" xfId="23224"/>
    <cellStyle name="Total 2 2 2 3 2 6" xfId="6462"/>
    <cellStyle name="Total 2 2 2 3 3" xfId="2644"/>
    <cellStyle name="Total 2 2 2 3 3 2" xfId="2645"/>
    <cellStyle name="Total 2 2 2 3 3 2 2" xfId="5686"/>
    <cellStyle name="Total 2 2 2 3 3 2 2 2" xfId="12239"/>
    <cellStyle name="Total 2 2 2 3 3 2 2 2 2" xfId="26561"/>
    <cellStyle name="Total 2 2 2 3 3 2 2 3" xfId="17884"/>
    <cellStyle name="Total 2 2 2 3 3 2 3" xfId="7892"/>
    <cellStyle name="Total 2 2 2 3 3 2 3 2" xfId="10506"/>
    <cellStyle name="Total 2 2 2 3 3 2 3 2 2" xfId="16768"/>
    <cellStyle name="Total 2 2 2 3 3 2 3 2 2 2" xfId="30184"/>
    <cellStyle name="Total 2 2 2 3 3 2 3 2 3" xfId="21513"/>
    <cellStyle name="Total 2 2 2 3 3 2 3 3" xfId="14496"/>
    <cellStyle name="Total 2 2 2 3 3 2 3 3 2" xfId="28818"/>
    <cellStyle name="Total 2 2 2 3 3 2 3 4" xfId="20141"/>
    <cellStyle name="Total 2 2 2 3 3 2 4" xfId="6171"/>
    <cellStyle name="Total 2 2 2 3 3 2 4 2" xfId="23440"/>
    <cellStyle name="Total 2 2 2 3 3 2 5" xfId="15385"/>
    <cellStyle name="Total 2 2 2 3 3 3" xfId="2646"/>
    <cellStyle name="Total 2 2 2 3 3 3 2" xfId="7973"/>
    <cellStyle name="Total 2 2 2 3 3 3 2 2" xfId="10587"/>
    <cellStyle name="Total 2 2 2 3 3 3 2 2 2" xfId="16849"/>
    <cellStyle name="Total 2 2 2 3 3 3 2 2 2 2" xfId="30265"/>
    <cellStyle name="Total 2 2 2 3 3 3 2 2 3" xfId="21594"/>
    <cellStyle name="Total 2 2 2 3 3 3 2 3" xfId="14577"/>
    <cellStyle name="Total 2 2 2 3 3 3 2 3 2" xfId="28899"/>
    <cellStyle name="Total 2 2 2 3 3 3 2 4" xfId="20222"/>
    <cellStyle name="Total 2 2 2 3 3 3 3" xfId="13255"/>
    <cellStyle name="Total 2 2 2 3 3 3 3 2" xfId="27577"/>
    <cellStyle name="Total 2 2 2 3 3 3 4" xfId="18900"/>
    <cellStyle name="Total 2 2 2 3 3 4" xfId="5698"/>
    <cellStyle name="Total 2 2 2 3 3 4 2" xfId="12251"/>
    <cellStyle name="Total 2 2 2 3 3 4 2 2" xfId="26573"/>
    <cellStyle name="Total 2 2 2 3 3 4 3" xfId="17896"/>
    <cellStyle name="Total 2 2 2 3 3 5" xfId="4066"/>
    <cellStyle name="Total 2 2 2 3 3 5 2" xfId="22738"/>
    <cellStyle name="Total 2 2 2 3 3 6" xfId="15534"/>
    <cellStyle name="Total 2 2 2 3 4" xfId="2647"/>
    <cellStyle name="Total 2 2 2 3 4 2" xfId="6397"/>
    <cellStyle name="Total 2 2 2 3 4 2 2" xfId="12980"/>
    <cellStyle name="Total 2 2 2 3 4 2 2 2" xfId="27302"/>
    <cellStyle name="Total 2 2 2 3 4 2 3" xfId="18625"/>
    <cellStyle name="Total 2 2 2 3 4 3" xfId="7274"/>
    <cellStyle name="Total 2 2 2 3 4 3 2" xfId="9888"/>
    <cellStyle name="Total 2 2 2 3 4 3 2 2" xfId="16150"/>
    <cellStyle name="Total 2 2 2 3 4 3 2 2 2" xfId="29566"/>
    <cellStyle name="Total 2 2 2 3 4 3 2 3" xfId="20895"/>
    <cellStyle name="Total 2 2 2 3 4 3 3" xfId="13878"/>
    <cellStyle name="Total 2 2 2 3 4 3 3 2" xfId="28200"/>
    <cellStyle name="Total 2 2 2 3 4 3 4" xfId="19523"/>
    <cellStyle name="Total 2 2 2 3 4 4" xfId="2837"/>
    <cellStyle name="Total 2 2 2 3 4 4 2" xfId="22400"/>
    <cellStyle name="Total 2 2 2 3 4 5" xfId="14705"/>
    <cellStyle name="Total 2 2 2 3 5" xfId="2648"/>
    <cellStyle name="Total 2 2 2 3 5 2" xfId="7122"/>
    <cellStyle name="Total 2 2 2 3 5 2 2" xfId="9736"/>
    <cellStyle name="Total 2 2 2 3 5 2 2 2" xfId="15998"/>
    <cellStyle name="Total 2 2 2 3 5 2 2 2 2" xfId="29414"/>
    <cellStyle name="Total 2 2 2 3 5 2 2 3" xfId="20743"/>
    <cellStyle name="Total 2 2 2 3 5 2 3" xfId="13726"/>
    <cellStyle name="Total 2 2 2 3 5 2 3 2" xfId="28048"/>
    <cellStyle name="Total 2 2 2 3 5 2 4" xfId="19371"/>
    <cellStyle name="Total 2 2 2 3 5 3" xfId="12163"/>
    <cellStyle name="Total 2 2 2 3 5 3 2" xfId="26485"/>
    <cellStyle name="Total 2 2 2 3 5 4" xfId="17808"/>
    <cellStyle name="Total 2 2 2 3 6" xfId="5200"/>
    <cellStyle name="Total 2 2 2 3 6 2" xfId="11749"/>
    <cellStyle name="Total 2 2 2 3 6 2 2" xfId="26071"/>
    <cellStyle name="Total 2 2 2 3 6 3" xfId="3923"/>
    <cellStyle name="Total 2 2 2 3 7" xfId="4728"/>
    <cellStyle name="Total 2 2 2 3 7 2" xfId="23155"/>
    <cellStyle name="Total 2 2 2 3 8" xfId="15342"/>
    <cellStyle name="Total 2 2 2 4" xfId="2649"/>
    <cellStyle name="Total 2 2 2 4 2" xfId="2650"/>
    <cellStyle name="Total 2 2 2 4 2 2" xfId="2651"/>
    <cellStyle name="Total 2 2 2 4 2 2 2" xfId="6960"/>
    <cellStyle name="Total 2 2 2 4 2 2 2 2" xfId="13564"/>
    <cellStyle name="Total 2 2 2 4 2 2 2 2 2" xfId="27886"/>
    <cellStyle name="Total 2 2 2 4 2 2 2 3" xfId="19209"/>
    <cellStyle name="Total 2 2 2 4 2 2 3" xfId="7741"/>
    <cellStyle name="Total 2 2 2 4 2 2 3 2" xfId="10355"/>
    <cellStyle name="Total 2 2 2 4 2 2 3 2 2" xfId="16617"/>
    <cellStyle name="Total 2 2 2 4 2 2 3 2 2 2" xfId="30033"/>
    <cellStyle name="Total 2 2 2 4 2 2 3 2 3" xfId="21362"/>
    <cellStyle name="Total 2 2 2 4 2 2 3 3" xfId="14345"/>
    <cellStyle name="Total 2 2 2 4 2 2 3 3 2" xfId="28667"/>
    <cellStyle name="Total 2 2 2 4 2 2 3 4" xfId="19990"/>
    <cellStyle name="Total 2 2 2 4 2 2 4" xfId="11463"/>
    <cellStyle name="Total 2 2 2 4 2 2 4 2" xfId="25785"/>
    <cellStyle name="Total 2 2 2 4 2 2 5" xfId="15323"/>
    <cellStyle name="Total 2 2 2 4 2 3" xfId="2652"/>
    <cellStyle name="Total 2 2 2 4 2 3 2" xfId="7254"/>
    <cellStyle name="Total 2 2 2 4 2 3 2 2" xfId="9868"/>
    <cellStyle name="Total 2 2 2 4 2 3 2 2 2" xfId="16130"/>
    <cellStyle name="Total 2 2 2 4 2 3 2 2 2 2" xfId="29546"/>
    <cellStyle name="Total 2 2 2 4 2 3 2 2 3" xfId="20875"/>
    <cellStyle name="Total 2 2 2 4 2 3 2 3" xfId="13858"/>
    <cellStyle name="Total 2 2 2 4 2 3 2 3 2" xfId="28180"/>
    <cellStyle name="Total 2 2 2 4 2 3 2 4" xfId="19503"/>
    <cellStyle name="Total 2 2 2 4 2 3 3" xfId="13273"/>
    <cellStyle name="Total 2 2 2 4 2 3 3 2" xfId="27595"/>
    <cellStyle name="Total 2 2 2 4 2 3 4" xfId="18918"/>
    <cellStyle name="Total 2 2 2 4 2 4" xfId="5719"/>
    <cellStyle name="Total 2 2 2 4 2 4 2" xfId="12272"/>
    <cellStyle name="Total 2 2 2 4 2 4 2 2" xfId="26594"/>
    <cellStyle name="Total 2 2 2 4 2 4 3" xfId="17917"/>
    <cellStyle name="Total 2 2 2 4 2 5" xfId="5911"/>
    <cellStyle name="Total 2 2 2 4 2 5 2" xfId="23371"/>
    <cellStyle name="Total 2 2 2 4 2 6" xfId="14985"/>
    <cellStyle name="Total 2 2 2 4 3" xfId="2653"/>
    <cellStyle name="Total 2 2 2 4 3 2" xfId="2654"/>
    <cellStyle name="Total 2 2 2 4 3 2 2" xfId="6521"/>
    <cellStyle name="Total 2 2 2 4 3 2 2 2" xfId="13109"/>
    <cellStyle name="Total 2 2 2 4 3 2 2 2 2" xfId="27431"/>
    <cellStyle name="Total 2 2 2 4 3 2 2 3" xfId="18754"/>
    <cellStyle name="Total 2 2 2 4 3 2 3" xfId="7598"/>
    <cellStyle name="Total 2 2 2 4 3 2 3 2" xfId="10212"/>
    <cellStyle name="Total 2 2 2 4 3 2 3 2 2" xfId="16474"/>
    <cellStyle name="Total 2 2 2 4 3 2 3 2 2 2" xfId="29890"/>
    <cellStyle name="Total 2 2 2 4 3 2 3 2 3" xfId="21219"/>
    <cellStyle name="Total 2 2 2 4 3 2 3 3" xfId="14202"/>
    <cellStyle name="Total 2 2 2 4 3 2 3 3 2" xfId="28524"/>
    <cellStyle name="Total 2 2 2 4 3 2 3 4" xfId="19847"/>
    <cellStyle name="Total 2 2 2 4 3 2 4" xfId="2836"/>
    <cellStyle name="Total 2 2 2 4 3 2 4 2" xfId="22399"/>
    <cellStyle name="Total 2 2 2 4 3 2 5" xfId="17164"/>
    <cellStyle name="Total 2 2 2 4 3 3" xfId="2655"/>
    <cellStyle name="Total 2 2 2 4 3 3 2" xfId="8044"/>
    <cellStyle name="Total 2 2 2 4 3 3 2 2" xfId="10658"/>
    <cellStyle name="Total 2 2 2 4 3 3 2 2 2" xfId="16920"/>
    <cellStyle name="Total 2 2 2 4 3 3 2 2 2 2" xfId="30336"/>
    <cellStyle name="Total 2 2 2 4 3 3 2 2 3" xfId="21665"/>
    <cellStyle name="Total 2 2 2 4 3 3 2 3" xfId="14648"/>
    <cellStyle name="Total 2 2 2 4 3 3 2 3 2" xfId="28970"/>
    <cellStyle name="Total 2 2 2 4 3 3 2 4" xfId="20293"/>
    <cellStyle name="Total 2 2 2 4 3 3 3" xfId="13256"/>
    <cellStyle name="Total 2 2 2 4 3 3 3 2" xfId="27578"/>
    <cellStyle name="Total 2 2 2 4 3 3 4" xfId="18901"/>
    <cellStyle name="Total 2 2 2 4 3 4" xfId="5700"/>
    <cellStyle name="Total 2 2 2 4 3 4 2" xfId="12253"/>
    <cellStyle name="Total 2 2 2 4 3 4 2 2" xfId="26575"/>
    <cellStyle name="Total 2 2 2 4 3 4 3" xfId="17898"/>
    <cellStyle name="Total 2 2 2 4 3 5" xfId="4686"/>
    <cellStyle name="Total 2 2 2 4 3 5 2" xfId="23122"/>
    <cellStyle name="Total 2 2 2 4 3 6" xfId="17330"/>
    <cellStyle name="Total 2 2 2 4 4" xfId="2656"/>
    <cellStyle name="Total 2 2 2 4 4 2" xfId="5592"/>
    <cellStyle name="Total 2 2 2 4 4 2 2" xfId="12144"/>
    <cellStyle name="Total 2 2 2 4 4 2 2 2" xfId="26466"/>
    <cellStyle name="Total 2 2 2 4 4 2 3" xfId="17789"/>
    <cellStyle name="Total 2 2 2 4 4 3" xfId="7539"/>
    <cellStyle name="Total 2 2 2 4 4 3 2" xfId="10153"/>
    <cellStyle name="Total 2 2 2 4 4 3 2 2" xfId="16415"/>
    <cellStyle name="Total 2 2 2 4 4 3 2 2 2" xfId="29831"/>
    <cellStyle name="Total 2 2 2 4 4 3 2 3" xfId="21160"/>
    <cellStyle name="Total 2 2 2 4 4 3 3" xfId="14143"/>
    <cellStyle name="Total 2 2 2 4 4 3 3 2" xfId="28465"/>
    <cellStyle name="Total 2 2 2 4 4 3 4" xfId="19788"/>
    <cellStyle name="Total 2 2 2 4 4 4" xfId="3784"/>
    <cellStyle name="Total 2 2 2 4 4 4 2" xfId="22576"/>
    <cellStyle name="Total 2 2 2 4 4 5" xfId="15467"/>
    <cellStyle name="Total 2 2 2 4 5" xfId="2657"/>
    <cellStyle name="Total 2 2 2 4 5 2" xfId="7750"/>
    <cellStyle name="Total 2 2 2 4 5 2 2" xfId="10364"/>
    <cellStyle name="Total 2 2 2 4 5 2 2 2" xfId="16626"/>
    <cellStyle name="Total 2 2 2 4 5 2 2 2 2" xfId="30042"/>
    <cellStyle name="Total 2 2 2 4 5 2 2 3" xfId="21371"/>
    <cellStyle name="Total 2 2 2 4 5 2 3" xfId="14354"/>
    <cellStyle name="Total 2 2 2 4 5 2 3 2" xfId="28676"/>
    <cellStyle name="Total 2 2 2 4 5 2 4" xfId="19999"/>
    <cellStyle name="Total 2 2 2 4 5 3" xfId="12832"/>
    <cellStyle name="Total 2 2 2 4 5 3 2" xfId="27154"/>
    <cellStyle name="Total 2 2 2 4 5 4" xfId="18477"/>
    <cellStyle name="Total 2 2 2 4 6" xfId="5397"/>
    <cellStyle name="Total 2 2 2 4 6 2" xfId="11947"/>
    <cellStyle name="Total 2 2 2 4 6 2 2" xfId="26269"/>
    <cellStyle name="Total 2 2 2 4 6 3" xfId="17592"/>
    <cellStyle name="Total 2 2 2 4 7" xfId="2800"/>
    <cellStyle name="Total 2 2 2 4 7 2" xfId="22366"/>
    <cellStyle name="Total 2 2 2 4 8" xfId="6714"/>
    <cellStyle name="Total 2 2 2 5" xfId="2658"/>
    <cellStyle name="Total 2 2 2 5 2" xfId="2659"/>
    <cellStyle name="Total 2 2 2 5 2 2" xfId="2660"/>
    <cellStyle name="Total 2 2 2 5 2 2 2" xfId="6424"/>
    <cellStyle name="Total 2 2 2 5 2 2 2 2" xfId="13007"/>
    <cellStyle name="Total 2 2 2 5 2 2 2 2 2" xfId="27329"/>
    <cellStyle name="Total 2 2 2 5 2 2 2 3" xfId="18652"/>
    <cellStyle name="Total 2 2 2 5 2 2 3" xfId="7436"/>
    <cellStyle name="Total 2 2 2 5 2 2 3 2" xfId="10050"/>
    <cellStyle name="Total 2 2 2 5 2 2 3 2 2" xfId="16312"/>
    <cellStyle name="Total 2 2 2 5 2 2 3 2 2 2" xfId="29728"/>
    <cellStyle name="Total 2 2 2 5 2 2 3 2 3" xfId="21057"/>
    <cellStyle name="Total 2 2 2 5 2 2 3 3" xfId="14040"/>
    <cellStyle name="Total 2 2 2 5 2 2 3 3 2" xfId="28362"/>
    <cellStyle name="Total 2 2 2 5 2 2 3 4" xfId="19685"/>
    <cellStyle name="Total 2 2 2 5 2 2 4" xfId="6244"/>
    <cellStyle name="Total 2 2 2 5 2 2 4 2" xfId="23469"/>
    <cellStyle name="Total 2 2 2 5 2 2 5" xfId="15107"/>
    <cellStyle name="Total 2 2 2 5 2 3" xfId="2661"/>
    <cellStyle name="Total 2 2 2 5 2 3 2" xfId="7292"/>
    <cellStyle name="Total 2 2 2 5 2 3 2 2" xfId="9906"/>
    <cellStyle name="Total 2 2 2 5 2 3 2 2 2" xfId="16168"/>
    <cellStyle name="Total 2 2 2 5 2 3 2 2 2 2" xfId="29584"/>
    <cellStyle name="Total 2 2 2 5 2 3 2 2 3" xfId="20913"/>
    <cellStyle name="Total 2 2 2 5 2 3 2 3" xfId="13896"/>
    <cellStyle name="Total 2 2 2 5 2 3 2 3 2" xfId="28218"/>
    <cellStyle name="Total 2 2 2 5 2 3 2 4" xfId="19541"/>
    <cellStyle name="Total 2 2 2 5 2 3 3" xfId="13280"/>
    <cellStyle name="Total 2 2 2 5 2 3 3 2" xfId="27602"/>
    <cellStyle name="Total 2 2 2 5 2 3 4" xfId="18925"/>
    <cellStyle name="Total 2 2 2 5 2 4" xfId="5730"/>
    <cellStyle name="Total 2 2 2 5 2 4 2" xfId="12283"/>
    <cellStyle name="Total 2 2 2 5 2 4 2 2" xfId="26605"/>
    <cellStyle name="Total 2 2 2 5 2 4 3" xfId="17928"/>
    <cellStyle name="Total 2 2 2 5 2 5" xfId="4909"/>
    <cellStyle name="Total 2 2 2 5 2 5 2" xfId="23260"/>
    <cellStyle name="Total 2 2 2 5 2 6" xfId="15103"/>
    <cellStyle name="Total 2 2 2 5 3" xfId="2662"/>
    <cellStyle name="Total 2 2 2 5 3 2" xfId="2663"/>
    <cellStyle name="Total 2 2 2 5 3 2 2" xfId="6974"/>
    <cellStyle name="Total 2 2 2 5 3 2 2 2" xfId="13578"/>
    <cellStyle name="Total 2 2 2 5 3 2 2 2 2" xfId="27900"/>
    <cellStyle name="Total 2 2 2 5 3 2 2 3" xfId="19223"/>
    <cellStyle name="Total 2 2 2 5 3 2 3" xfId="4311"/>
    <cellStyle name="Total 2 2 2 5 3 2 3 2" xfId="9446"/>
    <cellStyle name="Total 2 2 2 5 3 2 3 2 2" xfId="15708"/>
    <cellStyle name="Total 2 2 2 5 3 2 3 2 2 2" xfId="29124"/>
    <cellStyle name="Total 2 2 2 5 3 2 3 2 3" xfId="20453"/>
    <cellStyle name="Total 2 2 2 5 3 2 3 3" xfId="4256"/>
    <cellStyle name="Total 2 2 2 5 3 2 3 3 2" xfId="22854"/>
    <cellStyle name="Total 2 2 2 5 3 2 3 4" xfId="15195"/>
    <cellStyle name="Total 2 2 2 5 3 2 4" xfId="11484"/>
    <cellStyle name="Total 2 2 2 5 3 2 4 2" xfId="25806"/>
    <cellStyle name="Total 2 2 2 5 3 2 5" xfId="4760"/>
    <cellStyle name="Total 2 2 2 5 3 3" xfId="2664"/>
    <cellStyle name="Total 2 2 2 5 3 3 2" xfId="8011"/>
    <cellStyle name="Total 2 2 2 5 3 3 2 2" xfId="10625"/>
    <cellStyle name="Total 2 2 2 5 3 3 2 2 2" xfId="16887"/>
    <cellStyle name="Total 2 2 2 5 3 3 2 2 2 2" xfId="30303"/>
    <cellStyle name="Total 2 2 2 5 3 3 2 2 3" xfId="21632"/>
    <cellStyle name="Total 2 2 2 5 3 3 2 3" xfId="14615"/>
    <cellStyle name="Total 2 2 2 5 3 3 2 3 2" xfId="28937"/>
    <cellStyle name="Total 2 2 2 5 3 3 2 4" xfId="20260"/>
    <cellStyle name="Total 2 2 2 5 3 3 3" xfId="13395"/>
    <cellStyle name="Total 2 2 2 5 3 3 3 2" xfId="27717"/>
    <cellStyle name="Total 2 2 2 5 3 3 4" xfId="19040"/>
    <cellStyle name="Total 2 2 2 5 3 4" xfId="5859"/>
    <cellStyle name="Total 2 2 2 5 3 4 2" xfId="12412"/>
    <cellStyle name="Total 2 2 2 5 3 4 2 2" xfId="26734"/>
    <cellStyle name="Total 2 2 2 5 3 4 3" xfId="18057"/>
    <cellStyle name="Total 2 2 2 5 3 5" xfId="4844"/>
    <cellStyle name="Total 2 2 2 5 3 5 2" xfId="23218"/>
    <cellStyle name="Total 2 2 2 5 3 6" xfId="3619"/>
    <cellStyle name="Total 2 2 2 5 4" xfId="2665"/>
    <cellStyle name="Total 2 2 2 5 4 2" xfId="6234"/>
    <cellStyle name="Total 2 2 2 5 4 2 2" xfId="12809"/>
    <cellStyle name="Total 2 2 2 5 4 2 2 2" xfId="27131"/>
    <cellStyle name="Total 2 2 2 5 4 2 3" xfId="18454"/>
    <cellStyle name="Total 2 2 2 5 4 3" xfId="7762"/>
    <cellStyle name="Total 2 2 2 5 4 3 2" xfId="10376"/>
    <cellStyle name="Total 2 2 2 5 4 3 2 2" xfId="16638"/>
    <cellStyle name="Total 2 2 2 5 4 3 2 2 2" xfId="30054"/>
    <cellStyle name="Total 2 2 2 5 4 3 2 3" xfId="21383"/>
    <cellStyle name="Total 2 2 2 5 4 3 3" xfId="14366"/>
    <cellStyle name="Total 2 2 2 5 4 3 3 2" xfId="28688"/>
    <cellStyle name="Total 2 2 2 5 4 3 4" xfId="20011"/>
    <cellStyle name="Total 2 2 2 5 4 4" xfId="4605"/>
    <cellStyle name="Total 2 2 2 5 4 4 2" xfId="23063"/>
    <cellStyle name="Total 2 2 2 5 4 5" xfId="17262"/>
    <cellStyle name="Total 2 2 2 5 5" xfId="2666"/>
    <cellStyle name="Total 2 2 2 5 5 2" xfId="5286"/>
    <cellStyle name="Total 2 2 2 5 5 2 2" xfId="9595"/>
    <cellStyle name="Total 2 2 2 5 5 2 2 2" xfId="15857"/>
    <cellStyle name="Total 2 2 2 5 5 2 2 2 2" xfId="29273"/>
    <cellStyle name="Total 2 2 2 5 5 2 2 3" xfId="20602"/>
    <cellStyle name="Total 2 2 2 5 5 2 3" xfId="11836"/>
    <cellStyle name="Total 2 2 2 5 5 2 3 2" xfId="26158"/>
    <cellStyle name="Total 2 2 2 5 5 2 4" xfId="17481"/>
    <cellStyle name="Total 2 2 2 5 5 3" xfId="12847"/>
    <cellStyle name="Total 2 2 2 5 5 3 2" xfId="27169"/>
    <cellStyle name="Total 2 2 2 5 5 4" xfId="18492"/>
    <cellStyle name="Total 2 2 2 5 6" xfId="5434"/>
    <cellStyle name="Total 2 2 2 5 6 2" xfId="11985"/>
    <cellStyle name="Total 2 2 2 5 6 2 2" xfId="26307"/>
    <cellStyle name="Total 2 2 2 5 6 3" xfId="17630"/>
    <cellStyle name="Total 2 2 2 5 7" xfId="4703"/>
    <cellStyle name="Total 2 2 2 5 7 2" xfId="23136"/>
    <cellStyle name="Total 2 2 2 5 8" xfId="3256"/>
    <cellStyle name="Total 2 2 2 6" xfId="2667"/>
    <cellStyle name="Total 2 2 2 6 2" xfId="2668"/>
    <cellStyle name="Total 2 2 2 6 2 2" xfId="2669"/>
    <cellStyle name="Total 2 2 2 6 2 2 2" xfId="5937"/>
    <cellStyle name="Total 2 2 2 6 2 2 2 2" xfId="12494"/>
    <cellStyle name="Total 2 2 2 6 2 2 2 2 2" xfId="26816"/>
    <cellStyle name="Total 2 2 2 6 2 2 2 3" xfId="18139"/>
    <cellStyle name="Total 2 2 2 6 2 2 3" xfId="7721"/>
    <cellStyle name="Total 2 2 2 6 2 2 3 2" xfId="10335"/>
    <cellStyle name="Total 2 2 2 6 2 2 3 2 2" xfId="16597"/>
    <cellStyle name="Total 2 2 2 6 2 2 3 2 2 2" xfId="30013"/>
    <cellStyle name="Total 2 2 2 6 2 2 3 2 3" xfId="21342"/>
    <cellStyle name="Total 2 2 2 6 2 2 3 3" xfId="14325"/>
    <cellStyle name="Total 2 2 2 6 2 2 3 3 2" xfId="28647"/>
    <cellStyle name="Total 2 2 2 6 2 2 3 4" xfId="19970"/>
    <cellStyle name="Total 2 2 2 6 2 2 4" xfId="4207"/>
    <cellStyle name="Total 2 2 2 6 2 2 4 2" xfId="22822"/>
    <cellStyle name="Total 2 2 2 6 2 2 5" xfId="16965"/>
    <cellStyle name="Total 2 2 2 6 2 3" xfId="2670"/>
    <cellStyle name="Total 2 2 2 6 2 3 2" xfId="7987"/>
    <cellStyle name="Total 2 2 2 6 2 3 2 2" xfId="10601"/>
    <cellStyle name="Total 2 2 2 6 2 3 2 2 2" xfId="16863"/>
    <cellStyle name="Total 2 2 2 6 2 3 2 2 2 2" xfId="30279"/>
    <cellStyle name="Total 2 2 2 6 2 3 2 2 3" xfId="21608"/>
    <cellStyle name="Total 2 2 2 6 2 3 2 3" xfId="14591"/>
    <cellStyle name="Total 2 2 2 6 2 3 2 3 2" xfId="28913"/>
    <cellStyle name="Total 2 2 2 6 2 3 2 4" xfId="20236"/>
    <cellStyle name="Total 2 2 2 6 2 3 3" xfId="13188"/>
    <cellStyle name="Total 2 2 2 6 2 3 3 2" xfId="27510"/>
    <cellStyle name="Total 2 2 2 6 2 3 4" xfId="18833"/>
    <cellStyle name="Total 2 2 2 6 2 4" xfId="5625"/>
    <cellStyle name="Total 2 2 2 6 2 4 2" xfId="12178"/>
    <cellStyle name="Total 2 2 2 6 2 4 2 2" xfId="26500"/>
    <cellStyle name="Total 2 2 2 6 2 4 3" xfId="17823"/>
    <cellStyle name="Total 2 2 2 6 2 5" xfId="3191"/>
    <cellStyle name="Total 2 2 2 6 2 5 2" xfId="22434"/>
    <cellStyle name="Total 2 2 2 6 2 6" xfId="15301"/>
    <cellStyle name="Total 2 2 2 6 3" xfId="2671"/>
    <cellStyle name="Total 2 2 2 6 3 2" xfId="7008"/>
    <cellStyle name="Total 2 2 2 6 3 2 2" xfId="13612"/>
    <cellStyle name="Total 2 2 2 6 3 2 2 2" xfId="27934"/>
    <cellStyle name="Total 2 2 2 6 3 2 3" xfId="19257"/>
    <cellStyle name="Total 2 2 2 6 3 3" xfId="7976"/>
    <cellStyle name="Total 2 2 2 6 3 3 2" xfId="10590"/>
    <cellStyle name="Total 2 2 2 6 3 3 2 2" xfId="16852"/>
    <cellStyle name="Total 2 2 2 6 3 3 2 2 2" xfId="30268"/>
    <cellStyle name="Total 2 2 2 6 3 3 2 3" xfId="21597"/>
    <cellStyle name="Total 2 2 2 6 3 3 3" xfId="14580"/>
    <cellStyle name="Total 2 2 2 6 3 3 3 2" xfId="28902"/>
    <cellStyle name="Total 2 2 2 6 3 3 4" xfId="20225"/>
    <cellStyle name="Total 2 2 2 6 3 4" xfId="11530"/>
    <cellStyle name="Total 2 2 2 6 3 4 2" xfId="25852"/>
    <cellStyle name="Total 2 2 2 6 3 5" xfId="14869"/>
    <cellStyle name="Total 2 2 2 6 4" xfId="2672"/>
    <cellStyle name="Total 2 2 2 6 4 2" xfId="4812"/>
    <cellStyle name="Total 2 2 2 6 4 2 2" xfId="9493"/>
    <cellStyle name="Total 2 2 2 6 4 2 2 2" xfId="15755"/>
    <cellStyle name="Total 2 2 2 6 4 2 2 2 2" xfId="29171"/>
    <cellStyle name="Total 2 2 2 6 4 2 2 3" xfId="20500"/>
    <cellStyle name="Total 2 2 2 6 4 2 3" xfId="11344"/>
    <cellStyle name="Total 2 2 2 6 4 2 3 2" xfId="25666"/>
    <cellStyle name="Total 2 2 2 6 4 2 4" xfId="15429"/>
    <cellStyle name="Total 2 2 2 6 4 3" xfId="12823"/>
    <cellStyle name="Total 2 2 2 6 4 3 2" xfId="27145"/>
    <cellStyle name="Total 2 2 2 6 4 4" xfId="18468"/>
    <cellStyle name="Total 2 2 2 6 5" xfId="5371"/>
    <cellStyle name="Total 2 2 2 6 5 2" xfId="11921"/>
    <cellStyle name="Total 2 2 2 6 5 2 2" xfId="26243"/>
    <cellStyle name="Total 2 2 2 6 5 3" xfId="17566"/>
    <cellStyle name="Total 2 2 2 6 6" xfId="4041"/>
    <cellStyle name="Total 2 2 2 6 6 2" xfId="22718"/>
    <cellStyle name="Total 2 2 2 6 7" xfId="15364"/>
    <cellStyle name="Total 2 2 2 7" xfId="2673"/>
    <cellStyle name="Total 2 2 2 7 2" xfId="2674"/>
    <cellStyle name="Total 2 2 2 7 2 2" xfId="7001"/>
    <cellStyle name="Total 2 2 2 7 2 2 2" xfId="13605"/>
    <cellStyle name="Total 2 2 2 7 2 2 2 2" xfId="27927"/>
    <cellStyle name="Total 2 2 2 7 2 2 3" xfId="19250"/>
    <cellStyle name="Total 2 2 2 7 2 3" xfId="5321"/>
    <cellStyle name="Total 2 2 2 7 2 3 2" xfId="9630"/>
    <cellStyle name="Total 2 2 2 7 2 3 2 2" xfId="15892"/>
    <cellStyle name="Total 2 2 2 7 2 3 2 2 2" xfId="29308"/>
    <cellStyle name="Total 2 2 2 7 2 3 2 3" xfId="20637"/>
    <cellStyle name="Total 2 2 2 7 2 3 3" xfId="11871"/>
    <cellStyle name="Total 2 2 2 7 2 3 3 2" xfId="26193"/>
    <cellStyle name="Total 2 2 2 7 2 3 4" xfId="17516"/>
    <cellStyle name="Total 2 2 2 7 2 4" xfId="11517"/>
    <cellStyle name="Total 2 2 2 7 2 4 2" xfId="25839"/>
    <cellStyle name="Total 2 2 2 7 2 5" xfId="15159"/>
    <cellStyle name="Total 2 2 2 7 3" xfId="2675"/>
    <cellStyle name="Total 2 2 2 7 3 2" xfId="5260"/>
    <cellStyle name="Total 2 2 2 7 3 2 2" xfId="9569"/>
    <cellStyle name="Total 2 2 2 7 3 2 2 2" xfId="15831"/>
    <cellStyle name="Total 2 2 2 7 3 2 2 2 2" xfId="29247"/>
    <cellStyle name="Total 2 2 2 7 3 2 2 3" xfId="20576"/>
    <cellStyle name="Total 2 2 2 7 3 2 3" xfId="11810"/>
    <cellStyle name="Total 2 2 2 7 3 2 3 2" xfId="26132"/>
    <cellStyle name="Total 2 2 2 7 3 2 4" xfId="17455"/>
    <cellStyle name="Total 2 2 2 7 3 3" xfId="13165"/>
    <cellStyle name="Total 2 2 2 7 3 3 2" xfId="27487"/>
    <cellStyle name="Total 2 2 2 7 3 4" xfId="18810"/>
    <cellStyle name="Total 2 2 2 7 4" xfId="5579"/>
    <cellStyle name="Total 2 2 2 7 4 2" xfId="12131"/>
    <cellStyle name="Total 2 2 2 7 4 2 2" xfId="26453"/>
    <cellStyle name="Total 2 2 2 7 4 3" xfId="17776"/>
    <cellStyle name="Total 2 2 2 7 5" xfId="4857"/>
    <cellStyle name="Total 2 2 2 7 5 2" xfId="23225"/>
    <cellStyle name="Total 2 2 2 7 6" xfId="14849"/>
    <cellStyle name="Total 2 2 2 8" xfId="2676"/>
    <cellStyle name="Total 2 2 2 8 2" xfId="6258"/>
    <cellStyle name="Total 2 2 2 8 2 2" xfId="12837"/>
    <cellStyle name="Total 2 2 2 8 2 2 2" xfId="27159"/>
    <cellStyle name="Total 2 2 2 8 2 3" xfId="18482"/>
    <cellStyle name="Total 2 2 2 8 3" xfId="3635"/>
    <cellStyle name="Total 2 2 2 8 3 2" xfId="9350"/>
    <cellStyle name="Total 2 2 2 8 3 2 2" xfId="15612"/>
    <cellStyle name="Total 2 2 2 8 3 2 2 2" xfId="29028"/>
    <cellStyle name="Total 2 2 2 8 3 2 3" xfId="20357"/>
    <cellStyle name="Total 2 2 2 8 3 3" xfId="4122"/>
    <cellStyle name="Total 2 2 2 8 3 3 2" xfId="22766"/>
    <cellStyle name="Total 2 2 2 8 3 4" xfId="15281"/>
    <cellStyle name="Total 2 2 2 8 4" xfId="2797"/>
    <cellStyle name="Total 2 2 2 8 4 2" xfId="22364"/>
    <cellStyle name="Total 2 2 2 8 5" xfId="17294"/>
    <cellStyle name="Total 2 2 2 9" xfId="2677"/>
    <cellStyle name="Total 2 2 2 9 2" xfId="7256"/>
    <cellStyle name="Total 2 2 2 9 2 2" xfId="9870"/>
    <cellStyle name="Total 2 2 2 9 2 2 2" xfId="16132"/>
    <cellStyle name="Total 2 2 2 9 2 2 2 2" xfId="29548"/>
    <cellStyle name="Total 2 2 2 9 2 2 3" xfId="20877"/>
    <cellStyle name="Total 2 2 2 9 2 3" xfId="13860"/>
    <cellStyle name="Total 2 2 2 9 2 3 2" xfId="28182"/>
    <cellStyle name="Total 2 2 2 9 2 4" xfId="19505"/>
    <cellStyle name="Total 2 2 2 9 3" xfId="12451"/>
    <cellStyle name="Total 2 2 2 9 3 2" xfId="26773"/>
    <cellStyle name="Total 2 2 2 9 4" xfId="18096"/>
    <cellStyle name="Total 2 2 3" xfId="2678"/>
    <cellStyle name="Total 2 2 3 10" xfId="3989"/>
    <cellStyle name="Total 2 2 3 10 2" xfId="22688"/>
    <cellStyle name="Total 2 2 3 11" xfId="17382"/>
    <cellStyle name="Total 2 2 3 2" xfId="2679"/>
    <cellStyle name="Total 2 2 3 2 2" xfId="2680"/>
    <cellStyle name="Total 2 2 3 2 2 2" xfId="2681"/>
    <cellStyle name="Total 2 2 3 2 2 2 2" xfId="5908"/>
    <cellStyle name="Total 2 2 3 2 2 2 2 2" xfId="12462"/>
    <cellStyle name="Total 2 2 3 2 2 2 2 2 2" xfId="26784"/>
    <cellStyle name="Total 2 2 3 2 2 2 2 3" xfId="18107"/>
    <cellStyle name="Total 2 2 3 2 2 2 3" xfId="7105"/>
    <cellStyle name="Total 2 2 3 2 2 2 3 2" xfId="9719"/>
    <cellStyle name="Total 2 2 3 2 2 2 3 2 2" xfId="15981"/>
    <cellStyle name="Total 2 2 3 2 2 2 3 2 2 2" xfId="29397"/>
    <cellStyle name="Total 2 2 3 2 2 2 3 2 3" xfId="20726"/>
    <cellStyle name="Total 2 2 3 2 2 2 3 3" xfId="13709"/>
    <cellStyle name="Total 2 2 3 2 2 2 3 3 2" xfId="28031"/>
    <cellStyle name="Total 2 2 3 2 2 2 3 4" xfId="19354"/>
    <cellStyle name="Total 2 2 3 2 2 2 4" xfId="3155"/>
    <cellStyle name="Total 2 2 3 2 2 2 4 2" xfId="22423"/>
    <cellStyle name="Total 2 2 3 2 2 2 5" xfId="16985"/>
    <cellStyle name="Total 2 2 3 2 2 3" xfId="2682"/>
    <cellStyle name="Total 2 2 3 2 2 3 2" xfId="5281"/>
    <cellStyle name="Total 2 2 3 2 2 3 2 2" xfId="9590"/>
    <cellStyle name="Total 2 2 3 2 2 3 2 2 2" xfId="15852"/>
    <cellStyle name="Total 2 2 3 2 2 3 2 2 2 2" xfId="29268"/>
    <cellStyle name="Total 2 2 3 2 2 3 2 2 3" xfId="20597"/>
    <cellStyle name="Total 2 2 3 2 2 3 2 3" xfId="11831"/>
    <cellStyle name="Total 2 2 3 2 2 3 2 3 2" xfId="26153"/>
    <cellStyle name="Total 2 2 3 2 2 3 2 4" xfId="17476"/>
    <cellStyle name="Total 2 2 3 2 2 3 3" xfId="13297"/>
    <cellStyle name="Total 2 2 3 2 2 3 3 2" xfId="27619"/>
    <cellStyle name="Total 2 2 3 2 2 3 4" xfId="18942"/>
    <cellStyle name="Total 2 2 3 2 2 4" xfId="5747"/>
    <cellStyle name="Total 2 2 3 2 2 4 2" xfId="12300"/>
    <cellStyle name="Total 2 2 3 2 2 4 2 2" xfId="26622"/>
    <cellStyle name="Total 2 2 3 2 2 4 3" xfId="17945"/>
    <cellStyle name="Total 2 2 3 2 2 5" xfId="6060"/>
    <cellStyle name="Total 2 2 3 2 2 5 2" xfId="23402"/>
    <cellStyle name="Total 2 2 3 2 2 6" xfId="14880"/>
    <cellStyle name="Total 2 2 3 2 3" xfId="2683"/>
    <cellStyle name="Total 2 2 3 2 3 2" xfId="2684"/>
    <cellStyle name="Total 2 2 3 2 3 2 2" xfId="6008"/>
    <cellStyle name="Total 2 2 3 2 3 2 2 2" xfId="12567"/>
    <cellStyle name="Total 2 2 3 2 3 2 2 2 2" xfId="26889"/>
    <cellStyle name="Total 2 2 3 2 3 2 2 3" xfId="18212"/>
    <cellStyle name="Total 2 2 3 2 3 2 3" xfId="7049"/>
    <cellStyle name="Total 2 2 3 2 3 2 3 2" xfId="9663"/>
    <cellStyle name="Total 2 2 3 2 3 2 3 2 2" xfId="15925"/>
    <cellStyle name="Total 2 2 3 2 3 2 3 2 2 2" xfId="29341"/>
    <cellStyle name="Total 2 2 3 2 3 2 3 2 3" xfId="20670"/>
    <cellStyle name="Total 2 2 3 2 3 2 3 3" xfId="13653"/>
    <cellStyle name="Total 2 2 3 2 3 2 3 3 2" xfId="27975"/>
    <cellStyle name="Total 2 2 3 2 3 2 3 4" xfId="19298"/>
    <cellStyle name="Total 2 2 3 2 3 2 4" xfId="3797"/>
    <cellStyle name="Total 2 2 3 2 3 2 4 2" xfId="22585"/>
    <cellStyle name="Total 2 2 3 2 3 2 5" xfId="15090"/>
    <cellStyle name="Total 2 2 3 2 3 3" xfId="2685"/>
    <cellStyle name="Total 2 2 3 2 3 3 2" xfId="7699"/>
    <cellStyle name="Total 2 2 3 2 3 3 2 2" xfId="10313"/>
    <cellStyle name="Total 2 2 3 2 3 3 2 2 2" xfId="16575"/>
    <cellStyle name="Total 2 2 3 2 3 3 2 2 2 2" xfId="29991"/>
    <cellStyle name="Total 2 2 3 2 3 3 2 2 3" xfId="21320"/>
    <cellStyle name="Total 2 2 3 2 3 3 2 3" xfId="14303"/>
    <cellStyle name="Total 2 2 3 2 3 3 2 3 2" xfId="28625"/>
    <cellStyle name="Total 2 2 3 2 3 3 2 4" xfId="19948"/>
    <cellStyle name="Total 2 2 3 2 3 3 3" xfId="13429"/>
    <cellStyle name="Total 2 2 3 2 3 3 3 2" xfId="27751"/>
    <cellStyle name="Total 2 2 3 2 3 3 4" xfId="19074"/>
    <cellStyle name="Total 2 2 3 2 3 4" xfId="5906"/>
    <cellStyle name="Total 2 2 3 2 3 4 2" xfId="12460"/>
    <cellStyle name="Total 2 2 3 2 3 4 2 2" xfId="26782"/>
    <cellStyle name="Total 2 2 3 2 3 4 3" xfId="18105"/>
    <cellStyle name="Total 2 2 3 2 3 5" xfId="2783"/>
    <cellStyle name="Total 2 2 3 2 3 5 2" xfId="22352"/>
    <cellStyle name="Total 2 2 3 2 3 6" xfId="15064"/>
    <cellStyle name="Total 2 2 3 2 4" xfId="2686"/>
    <cellStyle name="Total 2 2 3 2 4 2" xfId="6975"/>
    <cellStyle name="Total 2 2 3 2 4 2 2" xfId="13579"/>
    <cellStyle name="Total 2 2 3 2 4 2 2 2" xfId="27901"/>
    <cellStyle name="Total 2 2 3 2 4 2 3" xfId="19224"/>
    <cellStyle name="Total 2 2 3 2 4 3" xfId="4965"/>
    <cellStyle name="Total 2 2 3 2 4 3 2" xfId="9525"/>
    <cellStyle name="Total 2 2 3 2 4 3 2 2" xfId="15787"/>
    <cellStyle name="Total 2 2 3 2 4 3 2 2 2" xfId="29203"/>
    <cellStyle name="Total 2 2 3 2 4 3 2 3" xfId="20532"/>
    <cellStyle name="Total 2 2 3 2 4 3 3" xfId="11506"/>
    <cellStyle name="Total 2 2 3 2 4 3 3 2" xfId="25828"/>
    <cellStyle name="Total 2 2 3 2 4 3 4" xfId="14977"/>
    <cellStyle name="Total 2 2 3 2 4 4" xfId="11485"/>
    <cellStyle name="Total 2 2 3 2 4 4 2" xfId="25807"/>
    <cellStyle name="Total 2 2 3 2 4 5" xfId="15257"/>
    <cellStyle name="Total 2 2 3 2 5" xfId="2687"/>
    <cellStyle name="Total 2 2 3 2 5 2" xfId="7643"/>
    <cellStyle name="Total 2 2 3 2 5 2 2" xfId="10257"/>
    <cellStyle name="Total 2 2 3 2 5 2 2 2" xfId="16519"/>
    <cellStyle name="Total 2 2 3 2 5 2 2 2 2" xfId="29935"/>
    <cellStyle name="Total 2 2 3 2 5 2 2 3" xfId="21264"/>
    <cellStyle name="Total 2 2 3 2 5 2 3" xfId="14247"/>
    <cellStyle name="Total 2 2 3 2 5 2 3 2" xfId="28569"/>
    <cellStyle name="Total 2 2 3 2 5 2 4" xfId="19892"/>
    <cellStyle name="Total 2 2 3 2 5 3" xfId="12873"/>
    <cellStyle name="Total 2 2 3 2 5 3 2" xfId="27195"/>
    <cellStyle name="Total 2 2 3 2 5 4" xfId="18518"/>
    <cellStyle name="Total 2 2 3 2 6" xfId="5491"/>
    <cellStyle name="Total 2 2 3 2 6 2" xfId="12042"/>
    <cellStyle name="Total 2 2 3 2 6 2 2" xfId="26364"/>
    <cellStyle name="Total 2 2 3 2 6 3" xfId="17687"/>
    <cellStyle name="Total 2 2 3 2 7" xfId="4579"/>
    <cellStyle name="Total 2 2 3 2 7 2" xfId="23045"/>
    <cellStyle name="Total 2 2 3 2 8" xfId="4226"/>
    <cellStyle name="Total 2 2 3 3" xfId="2688"/>
    <cellStyle name="Total 2 2 3 3 2" xfId="2689"/>
    <cellStyle name="Total 2 2 3 3 2 2" xfId="2690"/>
    <cellStyle name="Total 2 2 3 3 2 2 2" xfId="6192"/>
    <cellStyle name="Total 2 2 3 3 2 2 2 2" xfId="12765"/>
    <cellStyle name="Total 2 2 3 3 2 2 2 2 2" xfId="27087"/>
    <cellStyle name="Total 2 2 3 3 2 2 2 3" xfId="18410"/>
    <cellStyle name="Total 2 2 3 3 2 2 3" xfId="8006"/>
    <cellStyle name="Total 2 2 3 3 2 2 3 2" xfId="10620"/>
    <cellStyle name="Total 2 2 3 3 2 2 3 2 2" xfId="16882"/>
    <cellStyle name="Total 2 2 3 3 2 2 3 2 2 2" xfId="30298"/>
    <cellStyle name="Total 2 2 3 3 2 2 3 2 3" xfId="21627"/>
    <cellStyle name="Total 2 2 3 3 2 2 3 3" xfId="14610"/>
    <cellStyle name="Total 2 2 3 3 2 2 3 3 2" xfId="28932"/>
    <cellStyle name="Total 2 2 3 3 2 2 3 4" xfId="20255"/>
    <cellStyle name="Total 2 2 3 3 2 2 4" xfId="4043"/>
    <cellStyle name="Total 2 2 3 3 2 2 4 2" xfId="22720"/>
    <cellStyle name="Total 2 2 3 3 2 2 5" xfId="14813"/>
    <cellStyle name="Total 2 2 3 3 2 3" xfId="2691"/>
    <cellStyle name="Total 2 2 3 3 2 3 2" xfId="7877"/>
    <cellStyle name="Total 2 2 3 3 2 3 2 2" xfId="10491"/>
    <cellStyle name="Total 2 2 3 3 2 3 2 2 2" xfId="16753"/>
    <cellStyle name="Total 2 2 3 3 2 3 2 2 2 2" xfId="30169"/>
    <cellStyle name="Total 2 2 3 3 2 3 2 2 3" xfId="21498"/>
    <cellStyle name="Total 2 2 3 3 2 3 2 3" xfId="14481"/>
    <cellStyle name="Total 2 2 3 3 2 3 2 3 2" xfId="28803"/>
    <cellStyle name="Total 2 2 3 3 2 3 2 4" xfId="20126"/>
    <cellStyle name="Total 2 2 3 3 2 3 3" xfId="13333"/>
    <cellStyle name="Total 2 2 3 3 2 3 3 2" xfId="27655"/>
    <cellStyle name="Total 2 2 3 3 2 3 4" xfId="18978"/>
    <cellStyle name="Total 2 2 3 3 2 4" xfId="5783"/>
    <cellStyle name="Total 2 2 3 3 2 4 2" xfId="12336"/>
    <cellStyle name="Total 2 2 3 3 2 4 2 2" xfId="26658"/>
    <cellStyle name="Total 2 2 3 3 2 4 3" xfId="17981"/>
    <cellStyle name="Total 2 2 3 3 2 5" xfId="6305"/>
    <cellStyle name="Total 2 2 3 3 2 5 2" xfId="23501"/>
    <cellStyle name="Total 2 2 3 3 2 6" xfId="15126"/>
    <cellStyle name="Total 2 2 3 3 3" xfId="2692"/>
    <cellStyle name="Total 2 2 3 3 3 2" xfId="2693"/>
    <cellStyle name="Total 2 2 3 3 3 2 2" xfId="4006"/>
    <cellStyle name="Total 2 2 3 3 3 2 2 2" xfId="4941"/>
    <cellStyle name="Total 2 2 3 3 3 2 2 2 2" xfId="23272"/>
    <cellStyle name="Total 2 2 3 3 3 2 2 3" xfId="17144"/>
    <cellStyle name="Total 2 2 3 3 3 2 3" xfId="7712"/>
    <cellStyle name="Total 2 2 3 3 3 2 3 2" xfId="10326"/>
    <cellStyle name="Total 2 2 3 3 3 2 3 2 2" xfId="16588"/>
    <cellStyle name="Total 2 2 3 3 3 2 3 2 2 2" xfId="30004"/>
    <cellStyle name="Total 2 2 3 3 3 2 3 2 3" xfId="21333"/>
    <cellStyle name="Total 2 2 3 3 3 2 3 3" xfId="14316"/>
    <cellStyle name="Total 2 2 3 3 3 2 3 3 2" xfId="28638"/>
    <cellStyle name="Total 2 2 3 3 3 2 3 4" xfId="19961"/>
    <cellStyle name="Total 2 2 3 3 3 2 4" xfId="4330"/>
    <cellStyle name="Total 2 2 3 3 3 2 4 2" xfId="22891"/>
    <cellStyle name="Total 2 2 3 3 3 2 5" xfId="15142"/>
    <cellStyle name="Total 2 2 3 3 3 3" xfId="2694"/>
    <cellStyle name="Total 2 2 3 3 3 3 2" xfId="7555"/>
    <cellStyle name="Total 2 2 3 3 3 3 2 2" xfId="10169"/>
    <cellStyle name="Total 2 2 3 3 3 3 2 2 2" xfId="16431"/>
    <cellStyle name="Total 2 2 3 3 3 3 2 2 2 2" xfId="29847"/>
    <cellStyle name="Total 2 2 3 3 3 3 2 2 3" xfId="21176"/>
    <cellStyle name="Total 2 2 3 3 3 3 2 3" xfId="14159"/>
    <cellStyle name="Total 2 2 3 3 3 3 2 3 2" xfId="28481"/>
    <cellStyle name="Total 2 2 3 3 3 3 2 4" xfId="19804"/>
    <cellStyle name="Total 2 2 3 3 3 3 3" xfId="13405"/>
    <cellStyle name="Total 2 2 3 3 3 3 3 2" xfId="27727"/>
    <cellStyle name="Total 2 2 3 3 3 3 4" xfId="19050"/>
    <cellStyle name="Total 2 2 3 3 3 4" xfId="5870"/>
    <cellStyle name="Total 2 2 3 3 3 4 2" xfId="12423"/>
    <cellStyle name="Total 2 2 3 3 3 4 2 2" xfId="26745"/>
    <cellStyle name="Total 2 2 3 3 3 4 3" xfId="18068"/>
    <cellStyle name="Total 2 2 3 3 3 5" xfId="4160"/>
    <cellStyle name="Total 2 2 3 3 3 5 2" xfId="22790"/>
    <cellStyle name="Total 2 2 3 3 3 6" xfId="14887"/>
    <cellStyle name="Total 2 2 3 3 4" xfId="2695"/>
    <cellStyle name="Total 2 2 3 3 4 2" xfId="6995"/>
    <cellStyle name="Total 2 2 3 3 4 2 2" xfId="13599"/>
    <cellStyle name="Total 2 2 3 3 4 2 2 2" xfId="27921"/>
    <cellStyle name="Total 2 2 3 3 4 2 3" xfId="19244"/>
    <cellStyle name="Total 2 2 3 3 4 3" xfId="7379"/>
    <cellStyle name="Total 2 2 3 3 4 3 2" xfId="9993"/>
    <cellStyle name="Total 2 2 3 3 4 3 2 2" xfId="16255"/>
    <cellStyle name="Total 2 2 3 3 4 3 2 2 2" xfId="29671"/>
    <cellStyle name="Total 2 2 3 3 4 3 2 3" xfId="21000"/>
    <cellStyle name="Total 2 2 3 3 4 3 3" xfId="13983"/>
    <cellStyle name="Total 2 2 3 3 4 3 3 2" xfId="28305"/>
    <cellStyle name="Total 2 2 3 3 4 3 4" xfId="19628"/>
    <cellStyle name="Total 2 2 3 3 4 4" xfId="11509"/>
    <cellStyle name="Total 2 2 3 3 4 4 2" xfId="25831"/>
    <cellStyle name="Total 2 2 3 3 4 5" xfId="17159"/>
    <cellStyle name="Total 2 2 3 3 5" xfId="2696"/>
    <cellStyle name="Total 2 2 3 3 5 2" xfId="5337"/>
    <cellStyle name="Total 2 2 3 3 5 2 2" xfId="9646"/>
    <cellStyle name="Total 2 2 3 3 5 2 2 2" xfId="15908"/>
    <cellStyle name="Total 2 2 3 3 5 2 2 2 2" xfId="29324"/>
    <cellStyle name="Total 2 2 3 3 5 2 2 3" xfId="20653"/>
    <cellStyle name="Total 2 2 3 3 5 2 3" xfId="11887"/>
    <cellStyle name="Total 2 2 3 3 5 2 3 2" xfId="26209"/>
    <cellStyle name="Total 2 2 3 3 5 2 4" xfId="17532"/>
    <cellStyle name="Total 2 2 3 3 5 3" xfId="12909"/>
    <cellStyle name="Total 2 2 3 3 5 3 2" xfId="27231"/>
    <cellStyle name="Total 2 2 3 3 5 4" xfId="18554"/>
    <cellStyle name="Total 2 2 3 3 6" xfId="5533"/>
    <cellStyle name="Total 2 2 3 3 6 2" xfId="12084"/>
    <cellStyle name="Total 2 2 3 3 6 2 2" xfId="26406"/>
    <cellStyle name="Total 2 2 3 3 6 3" xfId="17729"/>
    <cellStyle name="Total 2 2 3 3 7" xfId="6719"/>
    <cellStyle name="Total 2 2 3 3 7 2" xfId="23673"/>
    <cellStyle name="Total 2 2 3 3 8" xfId="16995"/>
    <cellStyle name="Total 2 2 3 4" xfId="2697"/>
    <cellStyle name="Total 2 2 3 4 2" xfId="2698"/>
    <cellStyle name="Total 2 2 3 4 2 2" xfId="2699"/>
    <cellStyle name="Total 2 2 3 4 2 2 2" xfId="6373"/>
    <cellStyle name="Total 2 2 3 4 2 2 2 2" xfId="12956"/>
    <cellStyle name="Total 2 2 3 4 2 2 2 2 2" xfId="27278"/>
    <cellStyle name="Total 2 2 3 4 2 2 2 3" xfId="18601"/>
    <cellStyle name="Total 2 2 3 4 2 2 3" xfId="7077"/>
    <cellStyle name="Total 2 2 3 4 2 2 3 2" xfId="9691"/>
    <cellStyle name="Total 2 2 3 4 2 2 3 2 2" xfId="15953"/>
    <cellStyle name="Total 2 2 3 4 2 2 3 2 2 2" xfId="29369"/>
    <cellStyle name="Total 2 2 3 4 2 2 3 2 3" xfId="20698"/>
    <cellStyle name="Total 2 2 3 4 2 2 3 3" xfId="13681"/>
    <cellStyle name="Total 2 2 3 4 2 2 3 3 2" xfId="28003"/>
    <cellStyle name="Total 2 2 3 4 2 2 3 4" xfId="19326"/>
    <cellStyle name="Total 2 2 3 4 2 2 4" xfId="4039"/>
    <cellStyle name="Total 2 2 3 4 2 2 4 2" xfId="22717"/>
    <cellStyle name="Total 2 2 3 4 2 2 5" xfId="15276"/>
    <cellStyle name="Total 2 2 3 4 2 3" xfId="2700"/>
    <cellStyle name="Total 2 2 3 4 2 3 2" xfId="7684"/>
    <cellStyle name="Total 2 2 3 4 2 3 2 2" xfId="10298"/>
    <cellStyle name="Total 2 2 3 4 2 3 2 2 2" xfId="16560"/>
    <cellStyle name="Total 2 2 3 4 2 3 2 2 2 2" xfId="29976"/>
    <cellStyle name="Total 2 2 3 4 2 3 2 2 3" xfId="21305"/>
    <cellStyle name="Total 2 2 3 4 2 3 2 3" xfId="14288"/>
    <cellStyle name="Total 2 2 3 4 2 3 2 3 2" xfId="28610"/>
    <cellStyle name="Total 2 2 3 4 2 3 2 4" xfId="19933"/>
    <cellStyle name="Total 2 2 3 4 2 3 3" xfId="13282"/>
    <cellStyle name="Total 2 2 3 4 2 3 3 2" xfId="27604"/>
    <cellStyle name="Total 2 2 3 4 2 3 4" xfId="18927"/>
    <cellStyle name="Total 2 2 3 4 2 4" xfId="5732"/>
    <cellStyle name="Total 2 2 3 4 2 4 2" xfId="12285"/>
    <cellStyle name="Total 2 2 3 4 2 4 2 2" xfId="26607"/>
    <cellStyle name="Total 2 2 3 4 2 4 3" xfId="17930"/>
    <cellStyle name="Total 2 2 3 4 2 5" xfId="6731"/>
    <cellStyle name="Total 2 2 3 4 2 5 2" xfId="23684"/>
    <cellStyle name="Total 2 2 3 4 2 6" xfId="6696"/>
    <cellStyle name="Total 2 2 3 4 3" xfId="2701"/>
    <cellStyle name="Total 2 2 3 4 3 2" xfId="2702"/>
    <cellStyle name="Total 2 2 3 4 3 2 2" xfId="6531"/>
    <cellStyle name="Total 2 2 3 4 3 2 2 2" xfId="13119"/>
    <cellStyle name="Total 2 2 3 4 3 2 2 2 2" xfId="27441"/>
    <cellStyle name="Total 2 2 3 4 3 2 2 3" xfId="18764"/>
    <cellStyle name="Total 2 2 3 4 3 2 3" xfId="7389"/>
    <cellStyle name="Total 2 2 3 4 3 2 3 2" xfId="10003"/>
    <cellStyle name="Total 2 2 3 4 3 2 3 2 2" xfId="16265"/>
    <cellStyle name="Total 2 2 3 4 3 2 3 2 2 2" xfId="29681"/>
    <cellStyle name="Total 2 2 3 4 3 2 3 2 3" xfId="21010"/>
    <cellStyle name="Total 2 2 3 4 3 2 3 3" xfId="13993"/>
    <cellStyle name="Total 2 2 3 4 3 2 3 3 2" xfId="28315"/>
    <cellStyle name="Total 2 2 3 4 3 2 3 4" xfId="19638"/>
    <cellStyle name="Total 2 2 3 4 3 2 4" xfId="3596"/>
    <cellStyle name="Total 2 2 3 4 3 2 4 2" xfId="22479"/>
    <cellStyle name="Total 2 2 3 4 3 2 5" xfId="15426"/>
    <cellStyle name="Total 2 2 3 4 3 3" xfId="2703"/>
    <cellStyle name="Total 2 2 3 4 3 3 2" xfId="7221"/>
    <cellStyle name="Total 2 2 3 4 3 3 2 2" xfId="9835"/>
    <cellStyle name="Total 2 2 3 4 3 3 2 2 2" xfId="16097"/>
    <cellStyle name="Total 2 2 3 4 3 3 2 2 2 2" xfId="29513"/>
    <cellStyle name="Total 2 2 3 4 3 3 2 2 3" xfId="20842"/>
    <cellStyle name="Total 2 2 3 4 3 3 2 3" xfId="13825"/>
    <cellStyle name="Total 2 2 3 4 3 3 2 3 2" xfId="28147"/>
    <cellStyle name="Total 2 2 3 4 3 3 2 4" xfId="19470"/>
    <cellStyle name="Total 2 2 3 4 3 3 3" xfId="12699"/>
    <cellStyle name="Total 2 2 3 4 3 3 3 2" xfId="27021"/>
    <cellStyle name="Total 2 2 3 4 3 3 4" xfId="18344"/>
    <cellStyle name="Total 2 2 3 4 3 4" xfId="5091"/>
    <cellStyle name="Total 2 2 3 4 3 4 2" xfId="11638"/>
    <cellStyle name="Total 2 2 3 4 3 4 2 2" xfId="25960"/>
    <cellStyle name="Total 2 2 3 4 3 4 3" xfId="3244"/>
    <cellStyle name="Total 2 2 3 4 3 5" xfId="4285"/>
    <cellStyle name="Total 2 2 3 4 3 5 2" xfId="22870"/>
    <cellStyle name="Total 2 2 3 4 3 6" xfId="6046"/>
    <cellStyle name="Total 2 2 3 4 4" xfId="2704"/>
    <cellStyle name="Total 2 2 3 4 4 2" xfId="6965"/>
    <cellStyle name="Total 2 2 3 4 4 2 2" xfId="13569"/>
    <cellStyle name="Total 2 2 3 4 4 2 2 2" xfId="27891"/>
    <cellStyle name="Total 2 2 3 4 4 2 3" xfId="19214"/>
    <cellStyle name="Total 2 2 3 4 4 3" xfId="7681"/>
    <cellStyle name="Total 2 2 3 4 4 3 2" xfId="10295"/>
    <cellStyle name="Total 2 2 3 4 4 3 2 2" xfId="16557"/>
    <cellStyle name="Total 2 2 3 4 4 3 2 2 2" xfId="29973"/>
    <cellStyle name="Total 2 2 3 4 4 3 2 3" xfId="21302"/>
    <cellStyle name="Total 2 2 3 4 4 3 3" xfId="14285"/>
    <cellStyle name="Total 2 2 3 4 4 3 3 2" xfId="28607"/>
    <cellStyle name="Total 2 2 3 4 4 3 4" xfId="19930"/>
    <cellStyle name="Total 2 2 3 4 4 4" xfId="11469"/>
    <cellStyle name="Total 2 2 3 4 4 4 2" xfId="25791"/>
    <cellStyle name="Total 2 2 3 4 4 5" xfId="5984"/>
    <cellStyle name="Total 2 2 3 4 5" xfId="2705"/>
    <cellStyle name="Total 2 2 3 4 5 2" xfId="8025"/>
    <cellStyle name="Total 2 2 3 4 5 2 2" xfId="10639"/>
    <cellStyle name="Total 2 2 3 4 5 2 2 2" xfId="16901"/>
    <cellStyle name="Total 2 2 3 4 5 2 2 2 2" xfId="30317"/>
    <cellStyle name="Total 2 2 3 4 5 2 2 3" xfId="21646"/>
    <cellStyle name="Total 2 2 3 4 5 2 3" xfId="14629"/>
    <cellStyle name="Total 2 2 3 4 5 2 3 2" xfId="28951"/>
    <cellStyle name="Total 2 2 3 4 5 2 4" xfId="20274"/>
    <cellStyle name="Total 2 2 3 4 5 3" xfId="12849"/>
    <cellStyle name="Total 2 2 3 4 5 3 2" xfId="27171"/>
    <cellStyle name="Total 2 2 3 4 5 4" xfId="18494"/>
    <cellStyle name="Total 2 2 3 4 6" xfId="5438"/>
    <cellStyle name="Total 2 2 3 4 6 2" xfId="11989"/>
    <cellStyle name="Total 2 2 3 4 6 2 2" xfId="26311"/>
    <cellStyle name="Total 2 2 3 4 6 3" xfId="17634"/>
    <cellStyle name="Total 2 2 3 4 7" xfId="5624"/>
    <cellStyle name="Total 2 2 3 4 7 2" xfId="23358"/>
    <cellStyle name="Total 2 2 3 4 8" xfId="17172"/>
    <cellStyle name="Total 2 2 3 5" xfId="2706"/>
    <cellStyle name="Total 2 2 3 5 2" xfId="2707"/>
    <cellStyle name="Total 2 2 3 5 2 2" xfId="2708"/>
    <cellStyle name="Total 2 2 3 5 2 2 2" xfId="6379"/>
    <cellStyle name="Total 2 2 3 5 2 2 2 2" xfId="12962"/>
    <cellStyle name="Total 2 2 3 5 2 2 2 2 2" xfId="27284"/>
    <cellStyle name="Total 2 2 3 5 2 2 2 3" xfId="18607"/>
    <cellStyle name="Total 2 2 3 5 2 2 3" xfId="7992"/>
    <cellStyle name="Total 2 2 3 5 2 2 3 2" xfId="10606"/>
    <cellStyle name="Total 2 2 3 5 2 2 3 2 2" xfId="16868"/>
    <cellStyle name="Total 2 2 3 5 2 2 3 2 2 2" xfId="30284"/>
    <cellStyle name="Total 2 2 3 5 2 2 3 2 3" xfId="21613"/>
    <cellStyle name="Total 2 2 3 5 2 2 3 3" xfId="14596"/>
    <cellStyle name="Total 2 2 3 5 2 2 3 3 2" xfId="28918"/>
    <cellStyle name="Total 2 2 3 5 2 2 3 4" xfId="20241"/>
    <cellStyle name="Total 2 2 3 5 2 2 4" xfId="6346"/>
    <cellStyle name="Total 2 2 3 5 2 2 4 2" xfId="23532"/>
    <cellStyle name="Total 2 2 3 5 2 2 5" xfId="17280"/>
    <cellStyle name="Total 2 2 3 5 2 3" xfId="2709"/>
    <cellStyle name="Total 2 2 3 5 2 3 2" xfId="7166"/>
    <cellStyle name="Total 2 2 3 5 2 3 2 2" xfId="9780"/>
    <cellStyle name="Total 2 2 3 5 2 3 2 2 2" xfId="16042"/>
    <cellStyle name="Total 2 2 3 5 2 3 2 2 2 2" xfId="29458"/>
    <cellStyle name="Total 2 2 3 5 2 3 2 2 3" xfId="20787"/>
    <cellStyle name="Total 2 2 3 5 2 3 2 3" xfId="13770"/>
    <cellStyle name="Total 2 2 3 5 2 3 2 3 2" xfId="28092"/>
    <cellStyle name="Total 2 2 3 5 2 3 2 4" xfId="19415"/>
    <cellStyle name="Total 2 2 3 5 2 3 3" xfId="13093"/>
    <cellStyle name="Total 2 2 3 5 2 3 3 2" xfId="27415"/>
    <cellStyle name="Total 2 2 3 5 2 3 4" xfId="18738"/>
    <cellStyle name="Total 2 2 3 5 2 4" xfId="5448"/>
    <cellStyle name="Total 2 2 3 5 2 4 2" xfId="11999"/>
    <cellStyle name="Total 2 2 3 5 2 4 2 2" xfId="26321"/>
    <cellStyle name="Total 2 2 3 5 2 4 3" xfId="17644"/>
    <cellStyle name="Total 2 2 3 5 2 5" xfId="6758"/>
    <cellStyle name="Total 2 2 3 5 2 5 2" xfId="23706"/>
    <cellStyle name="Total 2 2 3 5 2 6" xfId="4724"/>
    <cellStyle name="Total 2 2 3 5 3" xfId="2710"/>
    <cellStyle name="Total 2 2 3 5 3 2" xfId="6938"/>
    <cellStyle name="Total 2 2 3 5 3 2 2" xfId="13542"/>
    <cellStyle name="Total 2 2 3 5 3 2 2 2" xfId="27864"/>
    <cellStyle name="Total 2 2 3 5 3 2 3" xfId="19187"/>
    <cellStyle name="Total 2 2 3 5 3 3" xfId="7899"/>
    <cellStyle name="Total 2 2 3 5 3 3 2" xfId="10513"/>
    <cellStyle name="Total 2 2 3 5 3 3 2 2" xfId="16775"/>
    <cellStyle name="Total 2 2 3 5 3 3 2 2 2" xfId="30191"/>
    <cellStyle name="Total 2 2 3 5 3 3 2 3" xfId="21520"/>
    <cellStyle name="Total 2 2 3 5 3 3 3" xfId="14503"/>
    <cellStyle name="Total 2 2 3 5 3 3 3 2" xfId="28825"/>
    <cellStyle name="Total 2 2 3 5 3 3 4" xfId="20148"/>
    <cellStyle name="Total 2 2 3 5 3 4" xfId="11431"/>
    <cellStyle name="Total 2 2 3 5 3 4 2" xfId="25753"/>
    <cellStyle name="Total 2 2 3 5 3 5" xfId="14711"/>
    <cellStyle name="Total 2 2 3 5 4" xfId="2711"/>
    <cellStyle name="Total 2 2 3 5 4 2" xfId="7206"/>
    <cellStyle name="Total 2 2 3 5 4 2 2" xfId="9820"/>
    <cellStyle name="Total 2 2 3 5 4 2 2 2" xfId="16082"/>
    <cellStyle name="Total 2 2 3 5 4 2 2 2 2" xfId="29498"/>
    <cellStyle name="Total 2 2 3 5 4 2 2 3" xfId="20827"/>
    <cellStyle name="Total 2 2 3 5 4 2 3" xfId="13810"/>
    <cellStyle name="Total 2 2 3 5 4 2 3 2" xfId="28132"/>
    <cellStyle name="Total 2 2 3 5 4 2 4" xfId="19455"/>
    <cellStyle name="Total 2 2 3 5 4 3" xfId="12844"/>
    <cellStyle name="Total 2 2 3 5 4 3 2" xfId="27166"/>
    <cellStyle name="Total 2 2 3 5 4 4" xfId="18489"/>
    <cellStyle name="Total 2 2 3 5 5" xfId="5426"/>
    <cellStyle name="Total 2 2 3 5 5 2" xfId="11977"/>
    <cellStyle name="Total 2 2 3 5 5 2 2" xfId="26299"/>
    <cellStyle name="Total 2 2 3 5 5 3" xfId="17622"/>
    <cellStyle name="Total 2 2 3 5 6" xfId="3632"/>
    <cellStyle name="Total 2 2 3 5 6 2" xfId="22495"/>
    <cellStyle name="Total 2 2 3 5 7" xfId="15454"/>
    <cellStyle name="Total 2 2 3 6" xfId="2712"/>
    <cellStyle name="Total 2 2 3 6 2" xfId="2713"/>
    <cellStyle name="Total 2 2 3 6 2 2" xfId="6278"/>
    <cellStyle name="Total 2 2 3 6 2 2 2" xfId="12860"/>
    <cellStyle name="Total 2 2 3 6 2 2 2 2" xfId="27182"/>
    <cellStyle name="Total 2 2 3 6 2 2 3" xfId="18505"/>
    <cellStyle name="Total 2 2 3 6 2 3" xfId="4989"/>
    <cellStyle name="Total 2 2 3 6 2 3 2" xfId="9533"/>
    <cellStyle name="Total 2 2 3 6 2 3 2 2" xfId="15795"/>
    <cellStyle name="Total 2 2 3 6 2 3 2 2 2" xfId="29211"/>
    <cellStyle name="Total 2 2 3 6 2 3 2 3" xfId="20540"/>
    <cellStyle name="Total 2 2 3 6 2 3 3" xfId="11532"/>
    <cellStyle name="Total 2 2 3 6 2 3 3 2" xfId="25854"/>
    <cellStyle name="Total 2 2 3 6 2 3 4" xfId="17339"/>
    <cellStyle name="Total 2 2 3 6 2 4" xfId="5917"/>
    <cellStyle name="Total 2 2 3 6 2 4 2" xfId="23372"/>
    <cellStyle name="Total 2 2 3 6 2 5" xfId="15434"/>
    <cellStyle name="Total 2 2 3 6 3" xfId="2714"/>
    <cellStyle name="Total 2 2 3 6 3 2" xfId="7839"/>
    <cellStyle name="Total 2 2 3 6 3 2 2" xfId="10453"/>
    <cellStyle name="Total 2 2 3 6 3 2 2 2" xfId="16715"/>
    <cellStyle name="Total 2 2 3 6 3 2 2 2 2" xfId="30131"/>
    <cellStyle name="Total 2 2 3 6 3 2 2 3" xfId="21460"/>
    <cellStyle name="Total 2 2 3 6 3 2 3" xfId="14443"/>
    <cellStyle name="Total 2 2 3 6 3 2 3 2" xfId="28765"/>
    <cellStyle name="Total 2 2 3 6 3 2 4" xfId="20088"/>
    <cellStyle name="Total 2 2 3 6 3 3" xfId="12672"/>
    <cellStyle name="Total 2 2 3 6 3 3 2" xfId="26994"/>
    <cellStyle name="Total 2 2 3 6 3 4" xfId="18317"/>
    <cellStyle name="Total 2 2 3 6 4" xfId="5238"/>
    <cellStyle name="Total 2 2 3 6 4 2" xfId="11788"/>
    <cellStyle name="Total 2 2 3 6 4 2 2" xfId="26110"/>
    <cellStyle name="Total 2 2 3 6 4 3" xfId="17433"/>
    <cellStyle name="Total 2 2 3 6 5" xfId="6359"/>
    <cellStyle name="Total 2 2 3 6 5 2" xfId="23543"/>
    <cellStyle name="Total 2 2 3 6 6" xfId="4554"/>
    <cellStyle name="Total 2 2 3 7" xfId="2715"/>
    <cellStyle name="Total 2 2 3 7 2" xfId="6048"/>
    <cellStyle name="Total 2 2 3 7 2 2" xfId="12614"/>
    <cellStyle name="Total 2 2 3 7 2 2 2" xfId="26936"/>
    <cellStyle name="Total 2 2 3 7 2 3" xfId="18259"/>
    <cellStyle name="Total 2 2 3 7 3" xfId="7632"/>
    <cellStyle name="Total 2 2 3 7 3 2" xfId="10246"/>
    <cellStyle name="Total 2 2 3 7 3 2 2" xfId="16508"/>
    <cellStyle name="Total 2 2 3 7 3 2 2 2" xfId="29924"/>
    <cellStyle name="Total 2 2 3 7 3 2 3" xfId="21253"/>
    <cellStyle name="Total 2 2 3 7 3 3" xfId="14236"/>
    <cellStyle name="Total 2 2 3 7 3 3 2" xfId="28558"/>
    <cellStyle name="Total 2 2 3 7 3 4" xfId="19881"/>
    <cellStyle name="Total 2 2 3 7 4" xfId="6732"/>
    <cellStyle name="Total 2 2 3 7 4 2" xfId="23685"/>
    <cellStyle name="Total 2 2 3 7 5" xfId="17214"/>
    <cellStyle name="Total 2 2 3 8" xfId="2716"/>
    <cellStyle name="Total 2 2 3 8 2" xfId="7939"/>
    <cellStyle name="Total 2 2 3 8 2 2" xfId="10553"/>
    <cellStyle name="Total 2 2 3 8 2 2 2" xfId="16815"/>
    <cellStyle name="Total 2 2 3 8 2 2 2 2" xfId="30231"/>
    <cellStyle name="Total 2 2 3 8 2 2 3" xfId="21560"/>
    <cellStyle name="Total 2 2 3 8 2 3" xfId="14543"/>
    <cellStyle name="Total 2 2 3 8 2 3 2" xfId="28865"/>
    <cellStyle name="Total 2 2 3 8 2 4" xfId="20188"/>
    <cellStyle name="Total 2 2 3 8 3" xfId="12500"/>
    <cellStyle name="Total 2 2 3 8 3 2" xfId="26822"/>
    <cellStyle name="Total 2 2 3 8 4" xfId="18145"/>
    <cellStyle name="Total 2 2 3 9" xfId="5168"/>
    <cellStyle name="Total 2 2 3 9 2" xfId="11717"/>
    <cellStyle name="Total 2 2 3 9 2 2" xfId="26039"/>
    <cellStyle name="Total 2 2 3 9 3" xfId="4054"/>
    <cellStyle name="Total 2 2 4" xfId="2717"/>
    <cellStyle name="Total 2 2 4 2" xfId="2718"/>
    <cellStyle name="Total 2 2 4 2 2" xfId="2719"/>
    <cellStyle name="Total 2 2 4 2 2 2" xfId="6056"/>
    <cellStyle name="Total 2 2 4 2 2 2 2" xfId="12622"/>
    <cellStyle name="Total 2 2 4 2 2 2 2 2" xfId="26944"/>
    <cellStyle name="Total 2 2 4 2 2 2 3" xfId="18267"/>
    <cellStyle name="Total 2 2 4 2 2 3" xfId="7986"/>
    <cellStyle name="Total 2 2 4 2 2 3 2" xfId="10600"/>
    <cellStyle name="Total 2 2 4 2 2 3 2 2" xfId="16862"/>
    <cellStyle name="Total 2 2 4 2 2 3 2 2 2" xfId="30278"/>
    <cellStyle name="Total 2 2 4 2 2 3 2 3" xfId="21607"/>
    <cellStyle name="Total 2 2 4 2 2 3 3" xfId="14590"/>
    <cellStyle name="Total 2 2 4 2 2 3 3 2" xfId="28912"/>
    <cellStyle name="Total 2 2 4 2 2 3 4" xfId="20235"/>
    <cellStyle name="Total 2 2 4 2 2 4" xfId="3675"/>
    <cellStyle name="Total 2 2 4 2 2 4 2" xfId="22520"/>
    <cellStyle name="Total 2 2 4 2 2 5" xfId="15059"/>
    <cellStyle name="Total 2 2 4 2 3" xfId="2720"/>
    <cellStyle name="Total 2 2 4 2 3 2" xfId="7871"/>
    <cellStyle name="Total 2 2 4 2 3 2 2" xfId="10485"/>
    <cellStyle name="Total 2 2 4 2 3 2 2 2" xfId="16747"/>
    <cellStyle name="Total 2 2 4 2 3 2 2 2 2" xfId="30163"/>
    <cellStyle name="Total 2 2 4 2 3 2 2 3" xfId="21492"/>
    <cellStyle name="Total 2 2 4 2 3 2 3" xfId="14475"/>
    <cellStyle name="Total 2 2 4 2 3 2 3 2" xfId="28797"/>
    <cellStyle name="Total 2 2 4 2 3 2 4" xfId="20120"/>
    <cellStyle name="Total 2 2 4 2 3 3" xfId="13283"/>
    <cellStyle name="Total 2 2 4 2 3 3 2" xfId="27605"/>
    <cellStyle name="Total 2 2 4 2 3 4" xfId="18928"/>
    <cellStyle name="Total 2 2 4 2 4" xfId="5733"/>
    <cellStyle name="Total 2 2 4 2 4 2" xfId="12286"/>
    <cellStyle name="Total 2 2 4 2 4 2 2" xfId="26608"/>
    <cellStyle name="Total 2 2 4 2 4 3" xfId="17931"/>
    <cellStyle name="Total 2 2 4 2 5" xfId="3748"/>
    <cellStyle name="Total 2 2 4 2 5 2" xfId="22562"/>
    <cellStyle name="Total 2 2 4 2 6" xfId="6095"/>
    <cellStyle name="Total 2 2 4 3" xfId="2721"/>
    <cellStyle name="Total 2 2 4 3 2" xfId="2722"/>
    <cellStyle name="Total 2 2 4 3 2 2" xfId="6915"/>
    <cellStyle name="Total 2 2 4 3 2 2 2" xfId="13519"/>
    <cellStyle name="Total 2 2 4 3 2 2 2 2" xfId="27841"/>
    <cellStyle name="Total 2 2 4 3 2 2 3" xfId="19164"/>
    <cellStyle name="Total 2 2 4 3 2 3" xfId="7633"/>
    <cellStyle name="Total 2 2 4 3 2 3 2" xfId="10247"/>
    <cellStyle name="Total 2 2 4 3 2 3 2 2" xfId="16509"/>
    <cellStyle name="Total 2 2 4 3 2 3 2 2 2" xfId="29925"/>
    <cellStyle name="Total 2 2 4 3 2 3 2 3" xfId="21254"/>
    <cellStyle name="Total 2 2 4 3 2 3 3" xfId="14237"/>
    <cellStyle name="Total 2 2 4 3 2 3 3 2" xfId="28559"/>
    <cellStyle name="Total 2 2 4 3 2 3 4" xfId="19882"/>
    <cellStyle name="Total 2 2 4 3 2 4" xfId="11401"/>
    <cellStyle name="Total 2 2 4 3 2 4 2" xfId="25723"/>
    <cellStyle name="Total 2 2 4 3 2 5" xfId="17322"/>
    <cellStyle name="Total 2 2 4 3 3" xfId="2723"/>
    <cellStyle name="Total 2 2 4 3 3 2" xfId="7616"/>
    <cellStyle name="Total 2 2 4 3 3 2 2" xfId="10230"/>
    <cellStyle name="Total 2 2 4 3 3 2 2 2" xfId="16492"/>
    <cellStyle name="Total 2 2 4 3 3 2 2 2 2" xfId="29908"/>
    <cellStyle name="Total 2 2 4 3 3 2 2 3" xfId="21237"/>
    <cellStyle name="Total 2 2 4 3 3 2 3" xfId="14220"/>
    <cellStyle name="Total 2 2 4 3 3 2 3 2" xfId="28542"/>
    <cellStyle name="Total 2 2 4 3 3 2 4" xfId="19865"/>
    <cellStyle name="Total 2 2 4 3 3 3" xfId="13424"/>
    <cellStyle name="Total 2 2 4 3 3 3 2" xfId="27746"/>
    <cellStyle name="Total 2 2 4 3 3 4" xfId="19069"/>
    <cellStyle name="Total 2 2 4 3 4" xfId="5898"/>
    <cellStyle name="Total 2 2 4 3 4 2" xfId="12452"/>
    <cellStyle name="Total 2 2 4 3 4 2 2" xfId="26774"/>
    <cellStyle name="Total 2 2 4 3 4 3" xfId="18097"/>
    <cellStyle name="Total 2 2 4 3 5" xfId="2826"/>
    <cellStyle name="Total 2 2 4 3 5 2" xfId="22389"/>
    <cellStyle name="Total 2 2 4 3 6" xfId="15272"/>
    <cellStyle name="Total 2 2 4 4" xfId="2724"/>
    <cellStyle name="Total 2 2 4 4 2" xfId="5112"/>
    <cellStyle name="Total 2 2 4 4 2 2" xfId="11660"/>
    <cellStyle name="Total 2 2 4 4 2 2 2" xfId="25982"/>
    <cellStyle name="Total 2 2 4 4 2 3" xfId="15125"/>
    <cellStyle name="Total 2 2 4 4 3" xfId="4755"/>
    <cellStyle name="Total 2 2 4 4 3 2" xfId="9476"/>
    <cellStyle name="Total 2 2 4 4 3 2 2" xfId="15738"/>
    <cellStyle name="Total 2 2 4 4 3 2 2 2" xfId="29154"/>
    <cellStyle name="Total 2 2 4 4 3 2 3" xfId="20483"/>
    <cellStyle name="Total 2 2 4 4 3 3" xfId="2818"/>
    <cellStyle name="Total 2 2 4 4 3 3 2" xfId="22381"/>
    <cellStyle name="Total 2 2 4 4 3 4" xfId="6705"/>
    <cellStyle name="Total 2 2 4 4 4" xfId="5068"/>
    <cellStyle name="Total 2 2 4 4 4 2" xfId="23323"/>
    <cellStyle name="Total 2 2 4 4 5" xfId="14924"/>
    <cellStyle name="Total 2 2 4 5" xfId="2725"/>
    <cellStyle name="Total 2 2 4 5 2" xfId="7823"/>
    <cellStyle name="Total 2 2 4 5 2 2" xfId="10437"/>
    <cellStyle name="Total 2 2 4 5 2 2 2" xfId="16699"/>
    <cellStyle name="Total 2 2 4 5 2 2 2 2" xfId="30115"/>
    <cellStyle name="Total 2 2 4 5 2 2 3" xfId="21444"/>
    <cellStyle name="Total 2 2 4 5 2 3" xfId="14427"/>
    <cellStyle name="Total 2 2 4 5 2 3 2" xfId="28749"/>
    <cellStyle name="Total 2 2 4 5 2 4" xfId="20072"/>
    <cellStyle name="Total 2 2 4 5 3" xfId="12851"/>
    <cellStyle name="Total 2 2 4 5 3 2" xfId="27173"/>
    <cellStyle name="Total 2 2 4 5 4" xfId="18496"/>
    <cellStyle name="Total 2 2 4 6" xfId="5440"/>
    <cellStyle name="Total 2 2 4 6 2" xfId="11991"/>
    <cellStyle name="Total 2 2 4 6 2 2" xfId="26313"/>
    <cellStyle name="Total 2 2 4 6 3" xfId="17636"/>
    <cellStyle name="Total 2 2 4 7" xfId="6098"/>
    <cellStyle name="Total 2 2 4 7 2" xfId="23414"/>
    <cellStyle name="Total 2 2 4 8" xfId="15577"/>
    <cellStyle name="Total 2 2 5" xfId="2726"/>
    <cellStyle name="Total 2 2 5 2" xfId="2727"/>
    <cellStyle name="Total 2 2 5 2 2" xfId="2728"/>
    <cellStyle name="Total 2 2 5 2 2 2" xfId="6371"/>
    <cellStyle name="Total 2 2 5 2 2 2 2" xfId="12954"/>
    <cellStyle name="Total 2 2 5 2 2 2 2 2" xfId="27276"/>
    <cellStyle name="Total 2 2 5 2 2 2 3" xfId="18599"/>
    <cellStyle name="Total 2 2 5 2 2 3" xfId="7062"/>
    <cellStyle name="Total 2 2 5 2 2 3 2" xfId="9676"/>
    <cellStyle name="Total 2 2 5 2 2 3 2 2" xfId="15938"/>
    <cellStyle name="Total 2 2 5 2 2 3 2 2 2" xfId="29354"/>
    <cellStyle name="Total 2 2 5 2 2 3 2 3" xfId="20683"/>
    <cellStyle name="Total 2 2 5 2 2 3 3" xfId="13666"/>
    <cellStyle name="Total 2 2 5 2 2 3 3 2" xfId="27988"/>
    <cellStyle name="Total 2 2 5 2 2 3 4" xfId="19311"/>
    <cellStyle name="Total 2 2 5 2 2 4" xfId="3623"/>
    <cellStyle name="Total 2 2 5 2 2 4 2" xfId="22491"/>
    <cellStyle name="Total 2 2 5 2 2 5" xfId="14938"/>
    <cellStyle name="Total 2 2 5 2 3" xfId="2729"/>
    <cellStyle name="Total 2 2 5 2 3 2" xfId="5335"/>
    <cellStyle name="Total 2 2 5 2 3 2 2" xfId="9644"/>
    <cellStyle name="Total 2 2 5 2 3 2 2 2" xfId="15906"/>
    <cellStyle name="Total 2 2 5 2 3 2 2 2 2" xfId="29322"/>
    <cellStyle name="Total 2 2 5 2 3 2 2 3" xfId="20651"/>
    <cellStyle name="Total 2 2 5 2 3 2 3" xfId="11885"/>
    <cellStyle name="Total 2 2 5 2 3 2 3 2" xfId="26207"/>
    <cellStyle name="Total 2 2 5 2 3 2 4" xfId="17530"/>
    <cellStyle name="Total 2 2 5 2 3 3" xfId="13239"/>
    <cellStyle name="Total 2 2 5 2 3 3 2" xfId="27561"/>
    <cellStyle name="Total 2 2 5 2 3 4" xfId="18884"/>
    <cellStyle name="Total 2 2 5 2 4" xfId="5680"/>
    <cellStyle name="Total 2 2 5 2 4 2" xfId="12233"/>
    <cellStyle name="Total 2 2 5 2 4 2 2" xfId="26555"/>
    <cellStyle name="Total 2 2 5 2 4 3" xfId="17878"/>
    <cellStyle name="Total 2 2 5 2 5" xfId="6767"/>
    <cellStyle name="Total 2 2 5 2 5 2" xfId="23713"/>
    <cellStyle name="Total 2 2 5 2 6" xfId="3886"/>
    <cellStyle name="Total 2 2 5 3" xfId="2730"/>
    <cellStyle name="Total 2 2 5 3 2" xfId="2731"/>
    <cellStyle name="Total 2 2 5 3 2 2" xfId="6561"/>
    <cellStyle name="Total 2 2 5 3 2 2 2" xfId="13149"/>
    <cellStyle name="Total 2 2 5 3 2 2 2 2" xfId="27471"/>
    <cellStyle name="Total 2 2 5 3 2 2 3" xfId="18794"/>
    <cellStyle name="Total 2 2 5 3 2 3" xfId="8001"/>
    <cellStyle name="Total 2 2 5 3 2 3 2" xfId="10615"/>
    <cellStyle name="Total 2 2 5 3 2 3 2 2" xfId="16877"/>
    <cellStyle name="Total 2 2 5 3 2 3 2 2 2" xfId="30293"/>
    <cellStyle name="Total 2 2 5 3 2 3 2 3" xfId="21622"/>
    <cellStyle name="Total 2 2 5 3 2 3 3" xfId="14605"/>
    <cellStyle name="Total 2 2 5 3 2 3 3 2" xfId="28927"/>
    <cellStyle name="Total 2 2 5 3 2 3 4" xfId="20250"/>
    <cellStyle name="Total 2 2 5 3 2 4" xfId="3671"/>
    <cellStyle name="Total 2 2 5 3 2 4 2" xfId="22517"/>
    <cellStyle name="Total 2 2 5 3 2 5" xfId="15114"/>
    <cellStyle name="Total 2 2 5 3 3" xfId="2732"/>
    <cellStyle name="Total 2 2 5 3 3 2" xfId="8024"/>
    <cellStyle name="Total 2 2 5 3 3 2 2" xfId="10638"/>
    <cellStyle name="Total 2 2 5 3 3 2 2 2" xfId="16900"/>
    <cellStyle name="Total 2 2 5 3 3 2 2 2 2" xfId="30316"/>
    <cellStyle name="Total 2 2 5 3 3 2 2 3" xfId="21645"/>
    <cellStyle name="Total 2 2 5 3 3 2 3" xfId="14628"/>
    <cellStyle name="Total 2 2 5 3 3 2 3 2" xfId="28950"/>
    <cellStyle name="Total 2 2 5 3 3 2 4" xfId="20273"/>
    <cellStyle name="Total 2 2 5 3 3 3" xfId="13170"/>
    <cellStyle name="Total 2 2 5 3 3 3 2" xfId="27492"/>
    <cellStyle name="Total 2 2 5 3 3 4" xfId="18815"/>
    <cellStyle name="Total 2 2 5 3 4" xfId="5593"/>
    <cellStyle name="Total 2 2 5 3 4 2" xfId="12145"/>
    <cellStyle name="Total 2 2 5 3 4 2 2" xfId="26467"/>
    <cellStyle name="Total 2 2 5 3 4 3" xfId="17790"/>
    <cellStyle name="Total 2 2 5 3 5" xfId="5009"/>
    <cellStyle name="Total 2 2 5 3 5 2" xfId="23306"/>
    <cellStyle name="Total 2 2 5 3 6" xfId="15221"/>
    <cellStyle name="Total 2 2 5 4" xfId="2733"/>
    <cellStyle name="Total 2 2 5 4 2" xfId="6026"/>
    <cellStyle name="Total 2 2 5 4 2 2" xfId="12587"/>
    <cellStyle name="Total 2 2 5 4 2 2 2" xfId="26909"/>
    <cellStyle name="Total 2 2 5 4 2 3" xfId="18232"/>
    <cellStyle name="Total 2 2 5 4 3" xfId="7172"/>
    <cellStyle name="Total 2 2 5 4 3 2" xfId="9786"/>
    <cellStyle name="Total 2 2 5 4 3 2 2" xfId="16048"/>
    <cellStyle name="Total 2 2 5 4 3 2 2 2" xfId="29464"/>
    <cellStyle name="Total 2 2 5 4 3 2 3" xfId="20793"/>
    <cellStyle name="Total 2 2 5 4 3 3" xfId="13776"/>
    <cellStyle name="Total 2 2 5 4 3 3 2" xfId="28098"/>
    <cellStyle name="Total 2 2 5 4 3 4" xfId="19421"/>
    <cellStyle name="Total 2 2 5 4 4" xfId="6146"/>
    <cellStyle name="Total 2 2 5 4 4 2" xfId="23428"/>
    <cellStyle name="Total 2 2 5 4 5" xfId="3718"/>
    <cellStyle name="Total 2 2 5 5" xfId="2734"/>
    <cellStyle name="Total 2 2 5 5 2" xfId="5285"/>
    <cellStyle name="Total 2 2 5 5 2 2" xfId="9594"/>
    <cellStyle name="Total 2 2 5 5 2 2 2" xfId="15856"/>
    <cellStyle name="Total 2 2 5 5 2 2 2 2" xfId="29272"/>
    <cellStyle name="Total 2 2 5 5 2 2 3" xfId="20601"/>
    <cellStyle name="Total 2 2 5 5 2 3" xfId="11835"/>
    <cellStyle name="Total 2 2 5 5 2 3 2" xfId="26157"/>
    <cellStyle name="Total 2 2 5 5 2 4" xfId="17480"/>
    <cellStyle name="Total 2 2 5 5 3" xfId="12687"/>
    <cellStyle name="Total 2 2 5 5 3 2" xfId="27009"/>
    <cellStyle name="Total 2 2 5 5 4" xfId="18332"/>
    <cellStyle name="Total 2 2 5 6" xfId="5070"/>
    <cellStyle name="Total 2 2 5 6 2" xfId="11617"/>
    <cellStyle name="Total 2 2 5 6 2 2" xfId="25939"/>
    <cellStyle name="Total 2 2 5 6 3" xfId="14760"/>
    <cellStyle name="Total 2 2 5 7" xfId="5036"/>
    <cellStyle name="Total 2 2 5 7 2" xfId="23316"/>
    <cellStyle name="Total 2 2 5 8" xfId="14854"/>
    <cellStyle name="Total 2 2 6" xfId="2735"/>
    <cellStyle name="Total 2 2 6 2" xfId="2736"/>
    <cellStyle name="Total 2 2 6 2 2" xfId="2737"/>
    <cellStyle name="Total 2 2 6 2 2 2" xfId="6018"/>
    <cellStyle name="Total 2 2 6 2 2 2 2" xfId="12578"/>
    <cellStyle name="Total 2 2 6 2 2 2 2 2" xfId="26900"/>
    <cellStyle name="Total 2 2 6 2 2 2 3" xfId="18223"/>
    <cellStyle name="Total 2 2 6 2 2 3" xfId="7438"/>
    <cellStyle name="Total 2 2 6 2 2 3 2" xfId="10052"/>
    <cellStyle name="Total 2 2 6 2 2 3 2 2" xfId="16314"/>
    <cellStyle name="Total 2 2 6 2 2 3 2 2 2" xfId="29730"/>
    <cellStyle name="Total 2 2 6 2 2 3 2 3" xfId="21059"/>
    <cellStyle name="Total 2 2 6 2 2 3 3" xfId="14042"/>
    <cellStyle name="Total 2 2 6 2 2 3 3 2" xfId="28364"/>
    <cellStyle name="Total 2 2 6 2 2 3 4" xfId="19687"/>
    <cellStyle name="Total 2 2 6 2 2 4" xfId="6458"/>
    <cellStyle name="Total 2 2 6 2 2 4 2" xfId="23554"/>
    <cellStyle name="Total 2 2 6 2 2 5" xfId="14954"/>
    <cellStyle name="Total 2 2 6 2 3" xfId="2738"/>
    <cellStyle name="Total 2 2 6 2 3 2" xfId="7381"/>
    <cellStyle name="Total 2 2 6 2 3 2 2" xfId="9995"/>
    <cellStyle name="Total 2 2 6 2 3 2 2 2" xfId="16257"/>
    <cellStyle name="Total 2 2 6 2 3 2 2 2 2" xfId="29673"/>
    <cellStyle name="Total 2 2 6 2 3 2 2 3" xfId="21002"/>
    <cellStyle name="Total 2 2 6 2 3 2 3" xfId="13985"/>
    <cellStyle name="Total 2 2 6 2 3 2 3 2" xfId="28307"/>
    <cellStyle name="Total 2 2 6 2 3 2 4" xfId="19630"/>
    <cellStyle name="Total 2 2 6 2 3 3" xfId="13223"/>
    <cellStyle name="Total 2 2 6 2 3 3 2" xfId="27545"/>
    <cellStyle name="Total 2 2 6 2 3 4" xfId="18868"/>
    <cellStyle name="Total 2 2 6 2 4" xfId="5664"/>
    <cellStyle name="Total 2 2 6 2 4 2" xfId="12217"/>
    <cellStyle name="Total 2 2 6 2 4 2 2" xfId="26539"/>
    <cellStyle name="Total 2 2 6 2 4 3" xfId="17862"/>
    <cellStyle name="Total 2 2 6 2 5" xfId="6191"/>
    <cellStyle name="Total 2 2 6 2 5 2" xfId="23454"/>
    <cellStyle name="Total 2 2 6 2 6" xfId="6782"/>
    <cellStyle name="Total 2 2 6 3" xfId="2739"/>
    <cellStyle name="Total 2 2 6 3 2" xfId="2740"/>
    <cellStyle name="Total 2 2 6 3 2 2" xfId="5088"/>
    <cellStyle name="Total 2 2 6 3 2 2 2" xfId="11635"/>
    <cellStyle name="Total 2 2 6 3 2 2 2 2" xfId="25957"/>
    <cellStyle name="Total 2 2 6 3 2 2 3" xfId="17309"/>
    <cellStyle name="Total 2 2 6 3 2 3" xfId="4517"/>
    <cellStyle name="Total 2 2 6 3 2 3 2" xfId="9473"/>
    <cellStyle name="Total 2 2 6 3 2 3 2 2" xfId="15735"/>
    <cellStyle name="Total 2 2 6 3 2 3 2 2 2" xfId="29151"/>
    <cellStyle name="Total 2 2 6 3 2 3 2 3" xfId="20480"/>
    <cellStyle name="Total 2 2 6 3 2 3 3" xfId="6722"/>
    <cellStyle name="Total 2 2 6 3 2 3 3 2" xfId="23676"/>
    <cellStyle name="Total 2 2 6 3 2 3 4" xfId="15443"/>
    <cellStyle name="Total 2 2 6 3 2 4" xfId="4694"/>
    <cellStyle name="Total 2 2 6 3 2 4 2" xfId="23130"/>
    <cellStyle name="Total 2 2 6 3 2 5" xfId="15016"/>
    <cellStyle name="Total 2 2 6 3 3" xfId="2741"/>
    <cellStyle name="Total 2 2 6 3 3 2" xfId="7262"/>
    <cellStyle name="Total 2 2 6 3 3 2 2" xfId="9876"/>
    <cellStyle name="Total 2 2 6 3 3 2 2 2" xfId="16138"/>
    <cellStyle name="Total 2 2 6 3 3 2 2 2 2" xfId="29554"/>
    <cellStyle name="Total 2 2 6 3 3 2 2 3" xfId="20883"/>
    <cellStyle name="Total 2 2 6 3 3 2 3" xfId="13866"/>
    <cellStyle name="Total 2 2 6 3 3 2 3 2" xfId="28188"/>
    <cellStyle name="Total 2 2 6 3 3 2 4" xfId="19511"/>
    <cellStyle name="Total 2 2 6 3 3 3" xfId="12813"/>
    <cellStyle name="Total 2 2 6 3 3 3 2" xfId="27135"/>
    <cellStyle name="Total 2 2 6 3 3 4" xfId="18458"/>
    <cellStyle name="Total 2 2 6 3 4" xfId="3752"/>
    <cellStyle name="Total 2 2 6 3 4 2" xfId="4658"/>
    <cellStyle name="Total 2 2 6 3 4 2 2" xfId="23099"/>
    <cellStyle name="Total 2 2 6 3 4 3" xfId="16951"/>
    <cellStyle name="Total 2 2 6 3 5" xfId="4218"/>
    <cellStyle name="Total 2 2 6 3 5 2" xfId="22830"/>
    <cellStyle name="Total 2 2 6 3 6" xfId="3240"/>
    <cellStyle name="Total 2 2 6 4" xfId="2742"/>
    <cellStyle name="Total 2 2 6 4 2" xfId="5976"/>
    <cellStyle name="Total 2 2 6 4 2 2" xfId="12534"/>
    <cellStyle name="Total 2 2 6 4 2 2 2" xfId="26856"/>
    <cellStyle name="Total 2 2 6 4 2 3" xfId="18179"/>
    <cellStyle name="Total 2 2 6 4 3" xfId="7483"/>
    <cellStyle name="Total 2 2 6 4 3 2" xfId="10097"/>
    <cellStyle name="Total 2 2 6 4 3 2 2" xfId="16359"/>
    <cellStyle name="Total 2 2 6 4 3 2 2 2" xfId="29775"/>
    <cellStyle name="Total 2 2 6 4 3 2 3" xfId="21104"/>
    <cellStyle name="Total 2 2 6 4 3 3" xfId="14087"/>
    <cellStyle name="Total 2 2 6 4 3 3 2" xfId="28409"/>
    <cellStyle name="Total 2 2 6 4 3 4" xfId="19732"/>
    <cellStyle name="Total 2 2 6 4 4" xfId="4887"/>
    <cellStyle name="Total 2 2 6 4 4 2" xfId="23245"/>
    <cellStyle name="Total 2 2 6 4 5" xfId="17053"/>
    <cellStyle name="Total 2 2 6 5" xfId="2743"/>
    <cellStyle name="Total 2 2 6 5 2" xfId="7508"/>
    <cellStyle name="Total 2 2 6 5 2 2" xfId="10122"/>
    <cellStyle name="Total 2 2 6 5 2 2 2" xfId="16384"/>
    <cellStyle name="Total 2 2 6 5 2 2 2 2" xfId="29800"/>
    <cellStyle name="Total 2 2 6 5 2 2 3" xfId="21129"/>
    <cellStyle name="Total 2 2 6 5 2 3" xfId="14112"/>
    <cellStyle name="Total 2 2 6 5 2 3 2" xfId="28434"/>
    <cellStyle name="Total 2 2 6 5 2 4" xfId="19757"/>
    <cellStyle name="Total 2 2 6 5 3" xfId="12556"/>
    <cellStyle name="Total 2 2 6 5 3 2" xfId="26878"/>
    <cellStyle name="Total 2 2 6 5 4" xfId="18201"/>
    <cellStyle name="Total 2 2 6 6" xfId="5173"/>
    <cellStyle name="Total 2 2 6 6 2" xfId="11722"/>
    <cellStyle name="Total 2 2 6 6 2 2" xfId="26044"/>
    <cellStyle name="Total 2 2 6 6 3" xfId="4967"/>
    <cellStyle name="Total 2 2 6 7" xfId="6457"/>
    <cellStyle name="Total 2 2 6 7 2" xfId="23553"/>
    <cellStyle name="Total 2 2 6 8" xfId="17079"/>
    <cellStyle name="Total 2 2 7" xfId="2744"/>
    <cellStyle name="Total 2 2 7 2" xfId="2745"/>
    <cellStyle name="Total 2 2 7 2 2" xfId="2746"/>
    <cellStyle name="Total 2 2 7 2 2 2" xfId="6414"/>
    <cellStyle name="Total 2 2 7 2 2 2 2" xfId="12997"/>
    <cellStyle name="Total 2 2 7 2 2 2 2 2" xfId="27319"/>
    <cellStyle name="Total 2 2 7 2 2 2 3" xfId="18642"/>
    <cellStyle name="Total 2 2 7 2 2 3" xfId="7970"/>
    <cellStyle name="Total 2 2 7 2 2 3 2" xfId="10584"/>
    <cellStyle name="Total 2 2 7 2 2 3 2 2" xfId="16846"/>
    <cellStyle name="Total 2 2 7 2 2 3 2 2 2" xfId="30262"/>
    <cellStyle name="Total 2 2 7 2 2 3 2 3" xfId="21591"/>
    <cellStyle name="Total 2 2 7 2 2 3 3" xfId="14574"/>
    <cellStyle name="Total 2 2 7 2 2 3 3 2" xfId="28896"/>
    <cellStyle name="Total 2 2 7 2 2 3 4" xfId="20219"/>
    <cellStyle name="Total 2 2 7 2 2 4" xfId="3920"/>
    <cellStyle name="Total 2 2 7 2 2 4 2" xfId="22647"/>
    <cellStyle name="Total 2 2 7 2 2 5" xfId="15028"/>
    <cellStyle name="Total 2 2 7 2 3" xfId="2747"/>
    <cellStyle name="Total 2 2 7 2 3 2" xfId="4106"/>
    <cellStyle name="Total 2 2 7 2 3 2 2" xfId="9426"/>
    <cellStyle name="Total 2 2 7 2 3 2 2 2" xfId="15688"/>
    <cellStyle name="Total 2 2 7 2 3 2 2 2 2" xfId="29104"/>
    <cellStyle name="Total 2 2 7 2 3 2 2 3" xfId="20433"/>
    <cellStyle name="Total 2 2 7 2 3 2 3" xfId="4519"/>
    <cellStyle name="Total 2 2 7 2 3 2 3 2" xfId="23005"/>
    <cellStyle name="Total 2 2 7 2 3 2 4" xfId="15462"/>
    <cellStyle name="Total 2 2 7 2 3 3" xfId="13184"/>
    <cellStyle name="Total 2 2 7 2 3 3 2" xfId="27506"/>
    <cellStyle name="Total 2 2 7 2 3 4" xfId="18829"/>
    <cellStyle name="Total 2 2 7 2 4" xfId="5617"/>
    <cellStyle name="Total 2 2 7 2 4 2" xfId="12170"/>
    <cellStyle name="Total 2 2 7 2 4 2 2" xfId="26492"/>
    <cellStyle name="Total 2 2 7 2 4 3" xfId="17815"/>
    <cellStyle name="Total 2 2 7 2 5" xfId="4044"/>
    <cellStyle name="Total 2 2 7 2 5 2" xfId="22721"/>
    <cellStyle name="Total 2 2 7 2 6" xfId="15355"/>
    <cellStyle name="Total 2 2 7 3" xfId="2748"/>
    <cellStyle name="Total 2 2 7 3 2" xfId="6084"/>
    <cellStyle name="Total 2 2 7 3 2 2" xfId="12650"/>
    <cellStyle name="Total 2 2 7 3 2 2 2" xfId="26972"/>
    <cellStyle name="Total 2 2 7 3 2 3" xfId="18295"/>
    <cellStyle name="Total 2 2 7 3 3" xfId="7806"/>
    <cellStyle name="Total 2 2 7 3 3 2" xfId="10420"/>
    <cellStyle name="Total 2 2 7 3 3 2 2" xfId="16682"/>
    <cellStyle name="Total 2 2 7 3 3 2 2 2" xfId="30098"/>
    <cellStyle name="Total 2 2 7 3 3 2 3" xfId="21427"/>
    <cellStyle name="Total 2 2 7 3 3 3" xfId="14410"/>
    <cellStyle name="Total 2 2 7 3 3 3 2" xfId="28732"/>
    <cellStyle name="Total 2 2 7 3 3 4" xfId="20055"/>
    <cellStyle name="Total 2 2 7 3 4" xfId="6615"/>
    <cellStyle name="Total 2 2 7 3 4 2" xfId="23607"/>
    <cellStyle name="Total 2 2 7 3 5" xfId="14878"/>
    <cellStyle name="Total 2 2 7 4" xfId="2749"/>
    <cellStyle name="Total 2 2 7 4 2" xfId="7822"/>
    <cellStyle name="Total 2 2 7 4 2 2" xfId="10436"/>
    <cellStyle name="Total 2 2 7 4 2 2 2" xfId="16698"/>
    <cellStyle name="Total 2 2 7 4 2 2 2 2" xfId="30114"/>
    <cellStyle name="Total 2 2 7 4 2 2 3" xfId="21443"/>
    <cellStyle name="Total 2 2 7 4 2 3" xfId="14426"/>
    <cellStyle name="Total 2 2 7 4 2 3 2" xfId="28748"/>
    <cellStyle name="Total 2 2 7 4 2 4" xfId="20071"/>
    <cellStyle name="Total 2 2 7 4 3" xfId="12190"/>
    <cellStyle name="Total 2 2 7 4 3 2" xfId="26512"/>
    <cellStyle name="Total 2 2 7 4 4" xfId="17835"/>
    <cellStyle name="Total 2 2 7 5" xfId="5078"/>
    <cellStyle name="Total 2 2 7 5 2" xfId="11625"/>
    <cellStyle name="Total 2 2 7 5 2 2" xfId="25947"/>
    <cellStyle name="Total 2 2 7 5 3" xfId="14879"/>
    <cellStyle name="Total 2 2 7 6" xfId="3950"/>
    <cellStyle name="Total 2 2 7 6 2" xfId="22664"/>
    <cellStyle name="Total 2 2 7 7" xfId="15478"/>
    <cellStyle name="Total 2 2 8" xfId="2750"/>
    <cellStyle name="Total 2 2 8 2" xfId="2751"/>
    <cellStyle name="Total 2 2 8 2 2" xfId="5946"/>
    <cellStyle name="Total 2 2 8 2 2 2" xfId="12503"/>
    <cellStyle name="Total 2 2 8 2 2 2 2" xfId="26825"/>
    <cellStyle name="Total 2 2 8 2 2 3" xfId="18148"/>
    <cellStyle name="Total 2 2 8 2 3" xfId="7474"/>
    <cellStyle name="Total 2 2 8 2 3 2" xfId="10088"/>
    <cellStyle name="Total 2 2 8 2 3 2 2" xfId="16350"/>
    <cellStyle name="Total 2 2 8 2 3 2 2 2" xfId="29766"/>
    <cellStyle name="Total 2 2 8 2 3 2 3" xfId="21095"/>
    <cellStyle name="Total 2 2 8 2 3 3" xfId="14078"/>
    <cellStyle name="Total 2 2 8 2 3 3 2" xfId="28400"/>
    <cellStyle name="Total 2 2 8 2 3 4" xfId="19723"/>
    <cellStyle name="Total 2 2 8 2 4" xfId="4495"/>
    <cellStyle name="Total 2 2 8 2 4 2" xfId="22988"/>
    <cellStyle name="Total 2 2 8 2 5" xfId="15200"/>
    <cellStyle name="Total 2 2 8 3" xfId="2752"/>
    <cellStyle name="Total 2 2 8 3 2" xfId="7491"/>
    <cellStyle name="Total 2 2 8 3 2 2" xfId="10105"/>
    <cellStyle name="Total 2 2 8 3 2 2 2" xfId="16367"/>
    <cellStyle name="Total 2 2 8 3 2 2 2 2" xfId="29783"/>
    <cellStyle name="Total 2 2 8 3 2 2 3" xfId="21112"/>
    <cellStyle name="Total 2 2 8 3 2 3" xfId="14095"/>
    <cellStyle name="Total 2 2 8 3 2 3 2" xfId="28417"/>
    <cellStyle name="Total 2 2 8 3 2 4" xfId="19740"/>
    <cellStyle name="Total 2 2 8 3 3" xfId="12795"/>
    <cellStyle name="Total 2 2 8 3 3 2" xfId="27117"/>
    <cellStyle name="Total 2 2 8 3 4" xfId="18440"/>
    <cellStyle name="Total 2 2 8 4" xfId="5103"/>
    <cellStyle name="Total 2 2 8 4 2" xfId="11650"/>
    <cellStyle name="Total 2 2 8 4 2 2" xfId="25972"/>
    <cellStyle name="Total 2 2 8 4 3" xfId="17390"/>
    <cellStyle name="Total 2 2 8 5" xfId="4607"/>
    <cellStyle name="Total 2 2 8 5 2" xfId="23065"/>
    <cellStyle name="Total 2 2 8 6" xfId="15280"/>
    <cellStyle name="Total 2 2 9" xfId="2753"/>
    <cellStyle name="Total 2 2 9 2" xfId="6367"/>
    <cellStyle name="Total 2 2 9 2 2" xfId="12950"/>
    <cellStyle name="Total 2 2 9 2 2 2" xfId="27272"/>
    <cellStyle name="Total 2 2 9 2 3" xfId="18595"/>
    <cellStyle name="Total 2 2 9 3" xfId="7533"/>
    <cellStyle name="Total 2 2 9 3 2" xfId="10147"/>
    <cellStyle name="Total 2 2 9 3 2 2" xfId="16409"/>
    <cellStyle name="Total 2 2 9 3 2 2 2" xfId="29825"/>
    <cellStyle name="Total 2 2 9 3 2 3" xfId="21154"/>
    <cellStyle name="Total 2 2 9 3 3" xfId="14137"/>
    <cellStyle name="Total 2 2 9 3 3 2" xfId="28459"/>
    <cellStyle name="Total 2 2 9 3 4" xfId="19782"/>
    <cellStyle name="Total 2 2 9 4" xfId="4619"/>
    <cellStyle name="Total 2 2 9 4 2" xfId="23069"/>
    <cellStyle name="Total 2 2 9 5" xfId="16961"/>
    <cellStyle name="Total 2 3" xfId="2754"/>
    <cellStyle name="Total 2 3 2" xfId="6280"/>
    <cellStyle name="Total 2 3 2 2" xfId="12862"/>
    <cellStyle name="Total 2 3 2 2 2" xfId="27184"/>
    <cellStyle name="Total 2 3 2 3" xfId="18507"/>
    <cellStyle name="Total 2 3 3" xfId="7713"/>
    <cellStyle name="Total 2 3 3 2" xfId="10327"/>
    <cellStyle name="Total 2 3 3 2 2" xfId="16589"/>
    <cellStyle name="Total 2 3 3 2 2 2" xfId="30005"/>
    <cellStyle name="Total 2 3 3 2 3" xfId="21334"/>
    <cellStyle name="Total 2 3 3 3" xfId="14317"/>
    <cellStyle name="Total 2 3 3 3 2" xfId="28639"/>
    <cellStyle name="Total 2 3 3 4" xfId="19962"/>
    <cellStyle name="Total 2 3 4" xfId="3679"/>
    <cellStyle name="Total 2 3 4 2" xfId="22523"/>
    <cellStyle name="Total 2 3 5" xfId="14762"/>
    <cellStyle name="Total 2 4" xfId="4364"/>
    <cellStyle name="Total 2 4 2" xfId="4499"/>
    <cellStyle name="Total 2 4 2 2" xfId="22991"/>
    <cellStyle name="Total 2 4 3" xfId="15573"/>
    <cellStyle name="Total 2 5" xfId="3965"/>
    <cellStyle name="Total 2 5 2" xfId="22672"/>
    <cellStyle name="Total 2 6" xfId="15009"/>
    <cellStyle name="Total 2 7" xfId="14947"/>
    <cellStyle name="Total 2 8" xfId="28998"/>
    <cellStyle name="Verificar Célula" xfId="2755"/>
    <cellStyle name="Warning Text 2" xfId="2756"/>
  </cellStyles>
  <dxfs count="66">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99D6F0"/>
      <color rgb="FFFCC5C4"/>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B187B3F5-E6C0-4DC5-AE72-6E87DF2FA877}"/>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7"/>
  </cols>
  <sheetData>
    <row r="1" spans="7:7" x14ac:dyDescent="0.25">
      <c r="G1" s="24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Y117"/>
  <sheetViews>
    <sheetView showZeros="0" zoomScale="80" zoomScaleNormal="80" workbookViewId="0">
      <pane xSplit="9" ySplit="5" topLeftCell="J82" activePane="bottomRight" state="frozen"/>
      <selection pane="topRight" activeCell="J1" sqref="J1"/>
      <selection pane="bottomLeft" activeCell="A6" sqref="A6"/>
      <selection pane="bottomRight" activeCell="H84" sqref="H84"/>
    </sheetView>
  </sheetViews>
  <sheetFormatPr defaultRowHeight="15" x14ac:dyDescent="0.25"/>
  <cols>
    <col min="1" max="1" width="1.7109375" style="55" customWidth="1"/>
    <col min="2" max="2" width="9.140625" style="54" customWidth="1"/>
    <col min="3" max="3" width="22.28515625" style="55" customWidth="1"/>
    <col min="4" max="4" width="25.42578125" style="55" customWidth="1"/>
    <col min="5" max="5" width="6.42578125" style="55" customWidth="1"/>
    <col min="6" max="6" width="21.28515625" style="55" customWidth="1"/>
    <col min="7" max="7" width="19.140625" style="55" customWidth="1"/>
    <col min="8" max="8" width="28.28515625" style="55" customWidth="1"/>
    <col min="9" max="9" width="25.28515625" style="55" customWidth="1"/>
    <col min="10" max="10" width="15" style="55" customWidth="1"/>
    <col min="11" max="14" width="26.85546875" style="55" customWidth="1"/>
    <col min="15" max="15" width="4.85546875" style="55" customWidth="1"/>
    <col min="16" max="19" width="4.85546875" style="54" customWidth="1"/>
    <col min="20" max="23" width="4.85546875" style="55" customWidth="1"/>
    <col min="24" max="24" width="67.140625" style="55" customWidth="1"/>
    <col min="25" max="26" width="60.7109375" style="55" customWidth="1"/>
    <col min="27" max="27" width="15" style="55" hidden="1" customWidth="1"/>
    <col min="28" max="28" width="25.7109375" style="55" hidden="1" customWidth="1"/>
    <col min="29" max="29" width="4.85546875" style="55" hidden="1" customWidth="1"/>
    <col min="30" max="33" width="4.85546875" style="54" hidden="1" customWidth="1"/>
    <col min="34" max="37" width="4.85546875" style="55" hidden="1" customWidth="1"/>
    <col min="38" max="38" width="33.5703125" style="55" hidden="1" customWidth="1"/>
    <col min="39" max="39" width="15" style="55" hidden="1" customWidth="1"/>
    <col min="40" max="40" width="25.7109375" style="55" hidden="1" customWidth="1"/>
    <col min="41" max="41" width="4.85546875" style="55" hidden="1" customWidth="1"/>
    <col min="42" max="45" width="4.85546875" style="54" hidden="1" customWidth="1"/>
    <col min="46" max="49" width="4.85546875" style="55" hidden="1" customWidth="1"/>
    <col min="50" max="50" width="10" style="55" hidden="1" customWidth="1"/>
    <col min="51" max="51" width="50.42578125" style="55" customWidth="1"/>
    <col min="52" max="16384" width="9.140625" style="55"/>
  </cols>
  <sheetData>
    <row r="1" spans="2:51" ht="12" customHeight="1" x14ac:dyDescent="0.25"/>
    <row r="2" spans="2:51" ht="15" customHeight="1" x14ac:dyDescent="0.25">
      <c r="O2" s="244" t="s">
        <v>23</v>
      </c>
      <c r="P2" s="244"/>
      <c r="Q2" s="244"/>
      <c r="R2" s="244"/>
      <c r="S2" s="244"/>
      <c r="T2" s="244"/>
      <c r="U2" s="244"/>
      <c r="V2" s="244"/>
      <c r="W2" s="244"/>
      <c r="AC2" s="244" t="s">
        <v>22</v>
      </c>
      <c r="AD2" s="244"/>
      <c r="AE2" s="244"/>
      <c r="AF2" s="244"/>
      <c r="AG2" s="244"/>
      <c r="AH2" s="244"/>
      <c r="AI2" s="244"/>
      <c r="AJ2" s="244"/>
      <c r="AK2" s="244"/>
      <c r="AO2" s="244" t="s">
        <v>36</v>
      </c>
      <c r="AP2" s="244"/>
      <c r="AQ2" s="244"/>
      <c r="AR2" s="244"/>
      <c r="AS2" s="244"/>
      <c r="AT2" s="244"/>
      <c r="AU2" s="244"/>
      <c r="AV2" s="244"/>
      <c r="AW2" s="244"/>
    </row>
    <row r="3" spans="2:51" ht="15.75" customHeight="1" thickBot="1" x14ac:dyDescent="0.3">
      <c r="O3" s="244"/>
      <c r="P3" s="244"/>
      <c r="Q3" s="244"/>
      <c r="R3" s="244"/>
      <c r="S3" s="244"/>
      <c r="T3" s="244"/>
      <c r="U3" s="244"/>
      <c r="V3" s="244"/>
      <c r="W3" s="244"/>
      <c r="AC3" s="244"/>
      <c r="AD3" s="244"/>
      <c r="AE3" s="244"/>
      <c r="AF3" s="244"/>
      <c r="AG3" s="244"/>
      <c r="AH3" s="244"/>
      <c r="AI3" s="244"/>
      <c r="AJ3" s="244"/>
      <c r="AK3" s="244"/>
      <c r="AO3" s="244"/>
      <c r="AP3" s="244"/>
      <c r="AQ3" s="244"/>
      <c r="AR3" s="244"/>
      <c r="AS3" s="244"/>
      <c r="AT3" s="244"/>
      <c r="AU3" s="244"/>
      <c r="AV3" s="244"/>
      <c r="AW3" s="244"/>
    </row>
    <row r="4" spans="2:51" ht="27" customHeight="1" thickBot="1" x14ac:dyDescent="0.4">
      <c r="B4" s="56" t="s">
        <v>79</v>
      </c>
      <c r="C4" s="57"/>
      <c r="E4" s="58"/>
      <c r="P4" s="245" t="s">
        <v>28</v>
      </c>
      <c r="Q4" s="246"/>
      <c r="R4" s="246"/>
      <c r="S4" s="247"/>
      <c r="T4" s="248" t="s">
        <v>29</v>
      </c>
      <c r="U4" s="249"/>
      <c r="V4" s="249"/>
      <c r="W4" s="250"/>
      <c r="AD4" s="245" t="s">
        <v>28</v>
      </c>
      <c r="AE4" s="246"/>
      <c r="AF4" s="246"/>
      <c r="AG4" s="247"/>
      <c r="AH4" s="248" t="s">
        <v>29</v>
      </c>
      <c r="AI4" s="249"/>
      <c r="AJ4" s="249"/>
      <c r="AK4" s="250"/>
      <c r="AP4" s="245" t="s">
        <v>28</v>
      </c>
      <c r="AQ4" s="246"/>
      <c r="AR4" s="246"/>
      <c r="AS4" s="247"/>
      <c r="AT4" s="248" t="s">
        <v>29</v>
      </c>
      <c r="AU4" s="249"/>
      <c r="AV4" s="249"/>
      <c r="AW4" s="250"/>
    </row>
    <row r="5" spans="2:51" s="66" customFormat="1" ht="80.25" customHeight="1" thickBot="1" x14ac:dyDescent="0.3">
      <c r="B5" s="59" t="s">
        <v>30</v>
      </c>
      <c r="C5" s="59" t="s">
        <v>2</v>
      </c>
      <c r="D5" s="59" t="s">
        <v>1</v>
      </c>
      <c r="E5" s="59" t="s">
        <v>80</v>
      </c>
      <c r="F5" s="59" t="s">
        <v>18</v>
      </c>
      <c r="G5" s="59" t="s">
        <v>3</v>
      </c>
      <c r="H5" s="59" t="s">
        <v>5</v>
      </c>
      <c r="I5" s="60" t="s">
        <v>11</v>
      </c>
      <c r="J5" s="59" t="s">
        <v>8</v>
      </c>
      <c r="K5" s="59" t="s">
        <v>7</v>
      </c>
      <c r="L5" s="59" t="s">
        <v>19</v>
      </c>
      <c r="M5" s="59" t="s">
        <v>20</v>
      </c>
      <c r="N5" s="59" t="s">
        <v>9</v>
      </c>
      <c r="O5" s="61" t="s">
        <v>26</v>
      </c>
      <c r="P5" s="62" t="s">
        <v>31</v>
      </c>
      <c r="Q5" s="63" t="s">
        <v>27</v>
      </c>
      <c r="R5" s="63" t="s">
        <v>24</v>
      </c>
      <c r="S5" s="64" t="s">
        <v>25</v>
      </c>
      <c r="T5" s="62" t="s">
        <v>31</v>
      </c>
      <c r="U5" s="63" t="s">
        <v>27</v>
      </c>
      <c r="V5" s="63" t="s">
        <v>24</v>
      </c>
      <c r="W5" s="64" t="s">
        <v>25</v>
      </c>
      <c r="X5" s="59" t="s">
        <v>4</v>
      </c>
      <c r="Y5" s="65" t="s">
        <v>212</v>
      </c>
      <c r="Z5" s="65" t="s">
        <v>282</v>
      </c>
      <c r="AA5" s="59" t="s">
        <v>21</v>
      </c>
      <c r="AB5" s="59" t="s">
        <v>35</v>
      </c>
      <c r="AC5" s="61" t="s">
        <v>26</v>
      </c>
      <c r="AD5" s="62" t="s">
        <v>31</v>
      </c>
      <c r="AE5" s="63" t="s">
        <v>27</v>
      </c>
      <c r="AF5" s="63" t="s">
        <v>24</v>
      </c>
      <c r="AG5" s="64" t="s">
        <v>25</v>
      </c>
      <c r="AH5" s="62" t="s">
        <v>31</v>
      </c>
      <c r="AI5" s="63" t="s">
        <v>27</v>
      </c>
      <c r="AJ5" s="63" t="s">
        <v>24</v>
      </c>
      <c r="AK5" s="64" t="s">
        <v>25</v>
      </c>
      <c r="AL5" s="59" t="s">
        <v>32</v>
      </c>
      <c r="AM5" s="59" t="s">
        <v>33</v>
      </c>
      <c r="AN5" s="59" t="s">
        <v>34</v>
      </c>
      <c r="AO5" s="61" t="s">
        <v>26</v>
      </c>
      <c r="AP5" s="62" t="s">
        <v>31</v>
      </c>
      <c r="AQ5" s="63" t="s">
        <v>27</v>
      </c>
      <c r="AR5" s="63" t="s">
        <v>24</v>
      </c>
      <c r="AS5" s="64" t="s">
        <v>25</v>
      </c>
      <c r="AT5" s="62" t="s">
        <v>31</v>
      </c>
      <c r="AU5" s="63" t="s">
        <v>27</v>
      </c>
      <c r="AV5" s="63" t="s">
        <v>24</v>
      </c>
      <c r="AW5" s="64" t="s">
        <v>25</v>
      </c>
      <c r="AX5" s="59" t="s">
        <v>10</v>
      </c>
      <c r="AY5" s="59" t="s">
        <v>6</v>
      </c>
    </row>
    <row r="6" spans="2:51" s="94" customFormat="1" ht="150" x14ac:dyDescent="0.25">
      <c r="B6" s="81" t="s">
        <v>442</v>
      </c>
      <c r="C6" s="82" t="s">
        <v>284</v>
      </c>
      <c r="D6" s="83" t="s">
        <v>447</v>
      </c>
      <c r="E6" s="84">
        <v>2</v>
      </c>
      <c r="F6" s="82" t="s">
        <v>81</v>
      </c>
      <c r="G6" s="82" t="s">
        <v>296</v>
      </c>
      <c r="H6" s="82" t="s">
        <v>448</v>
      </c>
      <c r="I6" s="82" t="s">
        <v>285</v>
      </c>
      <c r="J6" s="82" t="s">
        <v>67</v>
      </c>
      <c r="K6" s="82" t="s">
        <v>286</v>
      </c>
      <c r="L6" s="82" t="s">
        <v>287</v>
      </c>
      <c r="M6" s="82" t="s">
        <v>288</v>
      </c>
      <c r="N6" s="82" t="s">
        <v>289</v>
      </c>
      <c r="O6" s="85">
        <v>3</v>
      </c>
      <c r="P6" s="86">
        <v>4</v>
      </c>
      <c r="Q6" s="87">
        <v>7</v>
      </c>
      <c r="R6" s="87">
        <v>9</v>
      </c>
      <c r="S6" s="88">
        <v>9</v>
      </c>
      <c r="T6" s="89" t="s">
        <v>290</v>
      </c>
      <c r="U6" s="90" t="s">
        <v>290</v>
      </c>
      <c r="V6" s="90" t="s">
        <v>291</v>
      </c>
      <c r="W6" s="91" t="s">
        <v>291</v>
      </c>
      <c r="X6" s="92"/>
      <c r="Y6" s="92"/>
      <c r="Z6" s="92"/>
      <c r="AA6" s="92"/>
      <c r="AB6" s="92"/>
      <c r="AC6" s="85"/>
      <c r="AD6" s="86"/>
      <c r="AE6" s="87"/>
      <c r="AF6" s="87"/>
      <c r="AG6" s="88"/>
      <c r="AH6" s="89"/>
      <c r="AI6" s="90"/>
      <c r="AJ6" s="90"/>
      <c r="AK6" s="91"/>
      <c r="AL6" s="92"/>
      <c r="AM6" s="92"/>
      <c r="AN6" s="92"/>
      <c r="AO6" s="85"/>
      <c r="AP6" s="86"/>
      <c r="AQ6" s="87"/>
      <c r="AR6" s="87"/>
      <c r="AS6" s="88"/>
      <c r="AT6" s="89"/>
      <c r="AU6" s="90"/>
      <c r="AV6" s="90"/>
      <c r="AW6" s="91"/>
      <c r="AX6" s="93"/>
      <c r="AY6" s="92" t="s">
        <v>292</v>
      </c>
    </row>
    <row r="7" spans="2:51" s="108" customFormat="1" ht="180" x14ac:dyDescent="0.25">
      <c r="B7" s="95" t="s">
        <v>52</v>
      </c>
      <c r="C7" s="96" t="s">
        <v>41</v>
      </c>
      <c r="D7" s="97" t="s">
        <v>42</v>
      </c>
      <c r="E7" s="98">
        <v>2</v>
      </c>
      <c r="F7" s="96" t="s">
        <v>458</v>
      </c>
      <c r="G7" s="96" t="s">
        <v>297</v>
      </c>
      <c r="H7" s="96" t="s">
        <v>449</v>
      </c>
      <c r="I7" s="96" t="s">
        <v>283</v>
      </c>
      <c r="J7" s="96" t="s">
        <v>67</v>
      </c>
      <c r="K7" s="96" t="s">
        <v>302</v>
      </c>
      <c r="L7" s="96" t="s">
        <v>303</v>
      </c>
      <c r="M7" s="96" t="s">
        <v>310</v>
      </c>
      <c r="N7" s="96" t="s">
        <v>304</v>
      </c>
      <c r="O7" s="99">
        <v>4</v>
      </c>
      <c r="P7" s="100">
        <v>1</v>
      </c>
      <c r="Q7" s="101">
        <v>3</v>
      </c>
      <c r="R7" s="101">
        <v>7</v>
      </c>
      <c r="S7" s="102">
        <v>7</v>
      </c>
      <c r="T7" s="103" t="str">
        <f t="shared" ref="T7:T37" ca="1" si="0">IF(AND(ISNUMBER(P7),ISNUMBER($O7)),OFFSET(RiskMatrixRef,-$O7+1,P7-1),"")</f>
        <v>Low</v>
      </c>
      <c r="U7" s="104" t="str">
        <f t="shared" ref="U7:U37" ca="1" si="1">IF(AND(ISNUMBER(Q7),ISNUMBER($O7)),OFFSET(RiskMatrixRef,-$O7+1,Q7-1),"")</f>
        <v>Low</v>
      </c>
      <c r="V7" s="104" t="str">
        <f t="shared" ref="V7:V37" ca="1" si="2">IF(AND(ISNUMBER(R7),ISNUMBER($O7)),OFFSET(RiskMatrixRef,-$O7+1,R7-1),"")</f>
        <v>Low</v>
      </c>
      <c r="W7" s="105" t="str">
        <f t="shared" ref="W7:W37" ca="1" si="3">IF(AND(ISNUMBER(S7),ISNUMBER($O7)),OFFSET(RiskMatrixRef,-$O7+1,S7-1),"")</f>
        <v>Low</v>
      </c>
      <c r="X7" s="106" t="s">
        <v>293</v>
      </c>
      <c r="Y7" s="106" t="s">
        <v>245</v>
      </c>
      <c r="Z7" s="106" t="s">
        <v>305</v>
      </c>
      <c r="AA7" s="106" t="s">
        <v>189</v>
      </c>
      <c r="AB7" s="106"/>
      <c r="AC7" s="99"/>
      <c r="AD7" s="100"/>
      <c r="AE7" s="101"/>
      <c r="AF7" s="101"/>
      <c r="AG7" s="102"/>
      <c r="AH7" s="103" t="str">
        <f t="shared" ref="AH7:AK12" ca="1" si="4">IF(AND(ISNUMBER(AD7),ISNUMBER($AC7)),OFFSET(RiskMatrixRef,-$AC7+1,AD7-1),"")</f>
        <v/>
      </c>
      <c r="AI7" s="104" t="str">
        <f t="shared" ca="1" si="4"/>
        <v/>
      </c>
      <c r="AJ7" s="104" t="str">
        <f t="shared" ca="1" si="4"/>
        <v/>
      </c>
      <c r="AK7" s="105" t="str">
        <f t="shared" ca="1" si="4"/>
        <v/>
      </c>
      <c r="AL7" s="106"/>
      <c r="AM7" s="106"/>
      <c r="AN7" s="106"/>
      <c r="AO7" s="99"/>
      <c r="AP7" s="100"/>
      <c r="AQ7" s="101"/>
      <c r="AR7" s="101"/>
      <c r="AS7" s="102"/>
      <c r="AT7" s="103" t="str">
        <f t="shared" ref="AT7:AW12" ca="1" si="5">IF(AND(ISNUMBER(AP7),ISNUMBER($AO7)),OFFSET(RiskMatrixRef,-$AO7+1,AP7-1),"")</f>
        <v/>
      </c>
      <c r="AU7" s="104" t="str">
        <f t="shared" ca="1" si="5"/>
        <v/>
      </c>
      <c r="AV7" s="104" t="str">
        <f t="shared" ca="1" si="5"/>
        <v/>
      </c>
      <c r="AW7" s="105" t="str">
        <f t="shared" ca="1" si="5"/>
        <v/>
      </c>
      <c r="AX7" s="107"/>
      <c r="AY7" s="106"/>
    </row>
    <row r="8" spans="2:51" s="108" customFormat="1" ht="195" x14ac:dyDescent="0.25">
      <c r="B8" s="95" t="s">
        <v>52</v>
      </c>
      <c r="C8" s="96" t="s">
        <v>41</v>
      </c>
      <c r="D8" s="97" t="s">
        <v>42</v>
      </c>
      <c r="E8" s="98">
        <v>2</v>
      </c>
      <c r="F8" s="96" t="s">
        <v>459</v>
      </c>
      <c r="G8" s="96" t="s">
        <v>298</v>
      </c>
      <c r="H8" s="96" t="s">
        <v>450</v>
      </c>
      <c r="I8" s="96" t="s">
        <v>299</v>
      </c>
      <c r="J8" s="96" t="s">
        <v>67</v>
      </c>
      <c r="K8" s="96" t="s">
        <v>300</v>
      </c>
      <c r="L8" s="96" t="s">
        <v>301</v>
      </c>
      <c r="M8" s="96" t="s">
        <v>306</v>
      </c>
      <c r="N8" s="96" t="s">
        <v>307</v>
      </c>
      <c r="O8" s="99">
        <v>5</v>
      </c>
      <c r="P8" s="100">
        <v>1</v>
      </c>
      <c r="Q8" s="101">
        <v>3</v>
      </c>
      <c r="R8" s="101">
        <v>4</v>
      </c>
      <c r="S8" s="102">
        <v>4</v>
      </c>
      <c r="T8" s="103" t="str">
        <f t="shared" ca="1" si="0"/>
        <v>Low</v>
      </c>
      <c r="U8" s="104" t="str">
        <f t="shared" ca="1" si="1"/>
        <v>Low</v>
      </c>
      <c r="V8" s="104" t="str">
        <f t="shared" ca="1" si="2"/>
        <v>Low</v>
      </c>
      <c r="W8" s="105" t="str">
        <f t="shared" ca="1" si="3"/>
        <v>Low</v>
      </c>
      <c r="X8" s="106" t="s">
        <v>294</v>
      </c>
      <c r="Y8" s="106" t="s">
        <v>295</v>
      </c>
      <c r="Z8" s="106" t="s">
        <v>441</v>
      </c>
      <c r="AA8" s="106" t="s">
        <v>189</v>
      </c>
      <c r="AB8" s="106"/>
      <c r="AC8" s="99"/>
      <c r="AD8" s="100"/>
      <c r="AE8" s="101"/>
      <c r="AF8" s="101"/>
      <c r="AG8" s="102"/>
      <c r="AH8" s="103" t="str">
        <f t="shared" ca="1" si="4"/>
        <v/>
      </c>
      <c r="AI8" s="104" t="str">
        <f t="shared" ca="1" si="4"/>
        <v/>
      </c>
      <c r="AJ8" s="104" t="str">
        <f t="shared" ca="1" si="4"/>
        <v/>
      </c>
      <c r="AK8" s="105" t="str">
        <f t="shared" ca="1" si="4"/>
        <v/>
      </c>
      <c r="AL8" s="106"/>
      <c r="AM8" s="106"/>
      <c r="AN8" s="106"/>
      <c r="AO8" s="99"/>
      <c r="AP8" s="100"/>
      <c r="AQ8" s="101"/>
      <c r="AR8" s="101"/>
      <c r="AS8" s="102"/>
      <c r="AT8" s="103" t="str">
        <f t="shared" ca="1" si="5"/>
        <v/>
      </c>
      <c r="AU8" s="104" t="str">
        <f t="shared" ca="1" si="5"/>
        <v/>
      </c>
      <c r="AV8" s="104" t="str">
        <f t="shared" ca="1" si="5"/>
        <v/>
      </c>
      <c r="AW8" s="105" t="str">
        <f t="shared" ca="1" si="5"/>
        <v/>
      </c>
      <c r="AX8" s="107"/>
      <c r="AY8" s="106"/>
    </row>
    <row r="9" spans="2:51" s="108" customFormat="1" ht="255" x14ac:dyDescent="0.25">
      <c r="B9" s="95" t="s">
        <v>55</v>
      </c>
      <c r="C9" s="96" t="s">
        <v>41</v>
      </c>
      <c r="D9" s="97" t="s">
        <v>42</v>
      </c>
      <c r="E9" s="98">
        <v>2</v>
      </c>
      <c r="F9" s="96" t="s">
        <v>458</v>
      </c>
      <c r="G9" s="96" t="s">
        <v>451</v>
      </c>
      <c r="H9" s="96" t="s">
        <v>452</v>
      </c>
      <c r="I9" s="96" t="s">
        <v>61</v>
      </c>
      <c r="J9" s="96" t="s">
        <v>67</v>
      </c>
      <c r="K9" s="96" t="s">
        <v>308</v>
      </c>
      <c r="L9" s="96" t="s">
        <v>309</v>
      </c>
      <c r="M9" s="96" t="s">
        <v>311</v>
      </c>
      <c r="N9" s="96" t="s">
        <v>460</v>
      </c>
      <c r="O9" s="99">
        <v>4</v>
      </c>
      <c r="P9" s="100">
        <v>1</v>
      </c>
      <c r="Q9" s="101">
        <v>1</v>
      </c>
      <c r="R9" s="101">
        <v>7</v>
      </c>
      <c r="S9" s="102">
        <v>7</v>
      </c>
      <c r="T9" s="103" t="str">
        <f t="shared" ca="1" si="0"/>
        <v>Low</v>
      </c>
      <c r="U9" s="104" t="str">
        <f t="shared" ca="1" si="1"/>
        <v>Low</v>
      </c>
      <c r="V9" s="104" t="str">
        <f t="shared" ca="1" si="2"/>
        <v>Low</v>
      </c>
      <c r="W9" s="105" t="str">
        <f t="shared" ca="1" si="3"/>
        <v>Low</v>
      </c>
      <c r="X9" s="106"/>
      <c r="Y9" s="106" t="s">
        <v>269</v>
      </c>
      <c r="Z9" s="106" t="s">
        <v>312</v>
      </c>
      <c r="AA9" s="106"/>
      <c r="AB9" s="106"/>
      <c r="AC9" s="99"/>
      <c r="AD9" s="100"/>
      <c r="AE9" s="101"/>
      <c r="AF9" s="101"/>
      <c r="AG9" s="102"/>
      <c r="AH9" s="103" t="str">
        <f t="shared" ca="1" si="4"/>
        <v/>
      </c>
      <c r="AI9" s="104" t="str">
        <f t="shared" ca="1" si="4"/>
        <v/>
      </c>
      <c r="AJ9" s="104" t="str">
        <f t="shared" ca="1" si="4"/>
        <v/>
      </c>
      <c r="AK9" s="105" t="str">
        <f t="shared" ca="1" si="4"/>
        <v/>
      </c>
      <c r="AL9" s="106"/>
      <c r="AM9" s="106"/>
      <c r="AN9" s="106"/>
      <c r="AO9" s="99"/>
      <c r="AP9" s="100"/>
      <c r="AQ9" s="101"/>
      <c r="AR9" s="101"/>
      <c r="AS9" s="102"/>
      <c r="AT9" s="103" t="str">
        <f t="shared" ca="1" si="5"/>
        <v/>
      </c>
      <c r="AU9" s="104" t="str">
        <f t="shared" ca="1" si="5"/>
        <v/>
      </c>
      <c r="AV9" s="104" t="str">
        <f t="shared" ca="1" si="5"/>
        <v/>
      </c>
      <c r="AW9" s="105" t="str">
        <f t="shared" ca="1" si="5"/>
        <v/>
      </c>
      <c r="AX9" s="107"/>
      <c r="AY9" s="106"/>
    </row>
    <row r="10" spans="2:51" s="108" customFormat="1" ht="255" x14ac:dyDescent="0.25">
      <c r="B10" s="95" t="s">
        <v>53</v>
      </c>
      <c r="C10" s="96" t="s">
        <v>41</v>
      </c>
      <c r="D10" s="96" t="s">
        <v>42</v>
      </c>
      <c r="E10" s="98">
        <v>2</v>
      </c>
      <c r="F10" s="96" t="s">
        <v>458</v>
      </c>
      <c r="G10" s="96" t="s">
        <v>453</v>
      </c>
      <c r="H10" s="96" t="s">
        <v>452</v>
      </c>
      <c r="I10" s="96" t="s">
        <v>62</v>
      </c>
      <c r="J10" s="96" t="s">
        <v>67</v>
      </c>
      <c r="K10" s="96" t="s">
        <v>155</v>
      </c>
      <c r="L10" s="96" t="s">
        <v>309</v>
      </c>
      <c r="M10" s="96" t="s">
        <v>311</v>
      </c>
      <c r="N10" s="96" t="s">
        <v>460</v>
      </c>
      <c r="O10" s="99">
        <v>3</v>
      </c>
      <c r="P10" s="100">
        <v>1</v>
      </c>
      <c r="Q10" s="101">
        <v>1</v>
      </c>
      <c r="R10" s="101">
        <v>7</v>
      </c>
      <c r="S10" s="102">
        <v>7</v>
      </c>
      <c r="T10" s="103" t="str">
        <f t="shared" ca="1" si="0"/>
        <v>Low</v>
      </c>
      <c r="U10" s="104" t="str">
        <f t="shared" ca="1" si="1"/>
        <v>Low</v>
      </c>
      <c r="V10" s="104" t="str">
        <f t="shared" ca="1" si="2"/>
        <v>Low</v>
      </c>
      <c r="W10" s="105" t="str">
        <f t="shared" ca="1" si="3"/>
        <v>Low</v>
      </c>
      <c r="X10" s="106"/>
      <c r="Y10" s="106" t="s">
        <v>262</v>
      </c>
      <c r="Z10" s="106" t="s">
        <v>281</v>
      </c>
      <c r="AA10" s="106"/>
      <c r="AB10" s="106"/>
      <c r="AC10" s="99"/>
      <c r="AD10" s="100"/>
      <c r="AE10" s="101"/>
      <c r="AF10" s="101"/>
      <c r="AG10" s="102"/>
      <c r="AH10" s="103" t="str">
        <f t="shared" ca="1" si="4"/>
        <v/>
      </c>
      <c r="AI10" s="104" t="str">
        <f t="shared" ca="1" si="4"/>
        <v/>
      </c>
      <c r="AJ10" s="104" t="str">
        <f t="shared" ca="1" si="4"/>
        <v/>
      </c>
      <c r="AK10" s="105" t="str">
        <f t="shared" ca="1" si="4"/>
        <v/>
      </c>
      <c r="AL10" s="106"/>
      <c r="AM10" s="106"/>
      <c r="AN10" s="106"/>
      <c r="AO10" s="99"/>
      <c r="AP10" s="100"/>
      <c r="AQ10" s="101"/>
      <c r="AR10" s="101"/>
      <c r="AS10" s="102"/>
      <c r="AT10" s="103" t="str">
        <f t="shared" ca="1" si="5"/>
        <v/>
      </c>
      <c r="AU10" s="104" t="str">
        <f t="shared" ca="1" si="5"/>
        <v/>
      </c>
      <c r="AV10" s="104" t="str">
        <f t="shared" ca="1" si="5"/>
        <v/>
      </c>
      <c r="AW10" s="105" t="str">
        <f t="shared" ca="1" si="5"/>
        <v/>
      </c>
      <c r="AX10" s="107"/>
      <c r="AY10" s="106"/>
    </row>
    <row r="11" spans="2:51" s="108" customFormat="1" ht="210" x14ac:dyDescent="0.25">
      <c r="B11" s="95" t="s">
        <v>54</v>
      </c>
      <c r="C11" s="96" t="s">
        <v>41</v>
      </c>
      <c r="D11" s="96" t="s">
        <v>42</v>
      </c>
      <c r="E11" s="98">
        <v>2</v>
      </c>
      <c r="F11" s="96" t="s">
        <v>459</v>
      </c>
      <c r="G11" s="96" t="s">
        <v>261</v>
      </c>
      <c r="H11" s="96" t="s">
        <v>454</v>
      </c>
      <c r="I11" s="96" t="s">
        <v>313</v>
      </c>
      <c r="J11" s="96" t="s">
        <v>67</v>
      </c>
      <c r="K11" s="96" t="s">
        <v>314</v>
      </c>
      <c r="L11" s="96" t="s">
        <v>315</v>
      </c>
      <c r="M11" s="96" t="s">
        <v>316</v>
      </c>
      <c r="N11" s="96" t="s">
        <v>460</v>
      </c>
      <c r="O11" s="99">
        <v>4</v>
      </c>
      <c r="P11" s="100">
        <v>1</v>
      </c>
      <c r="Q11" s="101">
        <v>1</v>
      </c>
      <c r="R11" s="101">
        <v>7</v>
      </c>
      <c r="S11" s="102">
        <v>7</v>
      </c>
      <c r="T11" s="103" t="str">
        <f t="shared" ca="1" si="0"/>
        <v>Low</v>
      </c>
      <c r="U11" s="104" t="str">
        <f t="shared" ca="1" si="1"/>
        <v>Low</v>
      </c>
      <c r="V11" s="104" t="str">
        <f t="shared" ca="1" si="2"/>
        <v>Low</v>
      </c>
      <c r="W11" s="105" t="str">
        <f t="shared" ca="1" si="3"/>
        <v>Low</v>
      </c>
      <c r="X11" s="106"/>
      <c r="Y11" s="106"/>
      <c r="Z11" s="106" t="s">
        <v>317</v>
      </c>
      <c r="AA11" s="106"/>
      <c r="AB11" s="106"/>
      <c r="AC11" s="99"/>
      <c r="AD11" s="100"/>
      <c r="AE11" s="101"/>
      <c r="AF11" s="101"/>
      <c r="AG11" s="102"/>
      <c r="AH11" s="103" t="str">
        <f t="shared" ca="1" si="4"/>
        <v/>
      </c>
      <c r="AI11" s="104" t="str">
        <f t="shared" ca="1" si="4"/>
        <v/>
      </c>
      <c r="AJ11" s="104" t="str">
        <f t="shared" ca="1" si="4"/>
        <v/>
      </c>
      <c r="AK11" s="105" t="str">
        <f t="shared" ca="1" si="4"/>
        <v/>
      </c>
      <c r="AL11" s="106"/>
      <c r="AM11" s="106"/>
      <c r="AN11" s="106"/>
      <c r="AO11" s="99"/>
      <c r="AP11" s="100"/>
      <c r="AQ11" s="101"/>
      <c r="AR11" s="101"/>
      <c r="AS11" s="102"/>
      <c r="AT11" s="103" t="str">
        <f t="shared" ca="1" si="5"/>
        <v/>
      </c>
      <c r="AU11" s="104" t="str">
        <f t="shared" ca="1" si="5"/>
        <v/>
      </c>
      <c r="AV11" s="104" t="str">
        <f t="shared" ca="1" si="5"/>
        <v/>
      </c>
      <c r="AW11" s="105" t="str">
        <f t="shared" ca="1" si="5"/>
        <v/>
      </c>
      <c r="AX11" s="107"/>
      <c r="AY11" s="106"/>
    </row>
    <row r="12" spans="2:51" s="108" customFormat="1" ht="165" x14ac:dyDescent="0.25">
      <c r="B12" s="95" t="s">
        <v>56</v>
      </c>
      <c r="C12" s="96" t="s">
        <v>41</v>
      </c>
      <c r="D12" s="96" t="s">
        <v>42</v>
      </c>
      <c r="E12" s="98">
        <v>2</v>
      </c>
      <c r="F12" s="96" t="s">
        <v>459</v>
      </c>
      <c r="G12" s="96" t="s">
        <v>461</v>
      </c>
      <c r="H12" s="96" t="s">
        <v>455</v>
      </c>
      <c r="I12" s="96" t="s">
        <v>63</v>
      </c>
      <c r="J12" s="96" t="s">
        <v>67</v>
      </c>
      <c r="K12" s="96" t="s">
        <v>320</v>
      </c>
      <c r="L12" s="96" t="s">
        <v>319</v>
      </c>
      <c r="M12" s="96" t="s">
        <v>321</v>
      </c>
      <c r="N12" s="96" t="s">
        <v>460</v>
      </c>
      <c r="O12" s="101">
        <v>5</v>
      </c>
      <c r="P12" s="100">
        <v>1</v>
      </c>
      <c r="Q12" s="101">
        <v>1</v>
      </c>
      <c r="R12" s="101">
        <v>7</v>
      </c>
      <c r="S12" s="102">
        <v>7</v>
      </c>
      <c r="T12" s="103" t="str">
        <f t="shared" ca="1" si="0"/>
        <v>Low</v>
      </c>
      <c r="U12" s="104" t="str">
        <f t="shared" ca="1" si="1"/>
        <v>Low</v>
      </c>
      <c r="V12" s="104" t="str">
        <f t="shared" ca="1" si="2"/>
        <v>Med</v>
      </c>
      <c r="W12" s="105" t="str">
        <f t="shared" ca="1" si="3"/>
        <v>Med</v>
      </c>
      <c r="X12" s="106"/>
      <c r="Y12" s="106" t="s">
        <v>272</v>
      </c>
      <c r="Z12" s="106" t="s">
        <v>322</v>
      </c>
      <c r="AA12" s="106"/>
      <c r="AB12" s="106"/>
      <c r="AC12" s="99"/>
      <c r="AD12" s="100"/>
      <c r="AE12" s="101"/>
      <c r="AF12" s="101"/>
      <c r="AG12" s="102"/>
      <c r="AH12" s="103" t="str">
        <f t="shared" ca="1" si="4"/>
        <v/>
      </c>
      <c r="AI12" s="104" t="str">
        <f t="shared" ca="1" si="4"/>
        <v/>
      </c>
      <c r="AJ12" s="104" t="str">
        <f t="shared" ca="1" si="4"/>
        <v/>
      </c>
      <c r="AK12" s="105" t="str">
        <f t="shared" ca="1" si="4"/>
        <v/>
      </c>
      <c r="AL12" s="106"/>
      <c r="AM12" s="106"/>
      <c r="AN12" s="106"/>
      <c r="AO12" s="99"/>
      <c r="AP12" s="100"/>
      <c r="AQ12" s="101"/>
      <c r="AR12" s="101"/>
      <c r="AS12" s="102"/>
      <c r="AT12" s="103" t="str">
        <f t="shared" ca="1" si="5"/>
        <v/>
      </c>
      <c r="AU12" s="104" t="str">
        <f t="shared" ca="1" si="5"/>
        <v/>
      </c>
      <c r="AV12" s="104" t="str">
        <f t="shared" ca="1" si="5"/>
        <v/>
      </c>
      <c r="AW12" s="105" t="str">
        <f t="shared" ca="1" si="5"/>
        <v/>
      </c>
      <c r="AX12" s="107"/>
      <c r="AY12" s="106"/>
    </row>
    <row r="13" spans="2:51" s="108" customFormat="1" ht="120" x14ac:dyDescent="0.25">
      <c r="B13" s="95" t="s">
        <v>318</v>
      </c>
      <c r="C13" s="96" t="s">
        <v>41</v>
      </c>
      <c r="D13" s="96" t="s">
        <v>42</v>
      </c>
      <c r="E13" s="98">
        <v>2</v>
      </c>
      <c r="F13" s="96" t="s">
        <v>459</v>
      </c>
      <c r="G13" s="96" t="s">
        <v>461</v>
      </c>
      <c r="H13" s="96" t="s">
        <v>456</v>
      </c>
      <c r="I13" s="96" t="s">
        <v>323</v>
      </c>
      <c r="J13" s="96" t="s">
        <v>67</v>
      </c>
      <c r="K13" s="96" t="s">
        <v>324</v>
      </c>
      <c r="L13" s="96" t="s">
        <v>325</v>
      </c>
      <c r="M13" s="96" t="s">
        <v>326</v>
      </c>
      <c r="N13" s="96" t="s">
        <v>460</v>
      </c>
      <c r="O13" s="99">
        <v>3</v>
      </c>
      <c r="P13" s="100">
        <v>1</v>
      </c>
      <c r="Q13" s="101">
        <v>1</v>
      </c>
      <c r="R13" s="101">
        <v>7</v>
      </c>
      <c r="S13" s="102">
        <v>7</v>
      </c>
      <c r="T13" s="103" t="str">
        <f t="shared" ca="1" si="0"/>
        <v>Low</v>
      </c>
      <c r="U13" s="104" t="str">
        <f t="shared" ca="1" si="1"/>
        <v>Low</v>
      </c>
      <c r="V13" s="104" t="str">
        <f t="shared" ca="1" si="2"/>
        <v>Low</v>
      </c>
      <c r="W13" s="105" t="str">
        <f t="shared" ca="1" si="3"/>
        <v>Low</v>
      </c>
      <c r="X13" s="106"/>
      <c r="Y13" s="106" t="s">
        <v>232</v>
      </c>
      <c r="Z13" s="106" t="s">
        <v>327</v>
      </c>
      <c r="AA13" s="106"/>
      <c r="AB13" s="106"/>
      <c r="AC13" s="99"/>
      <c r="AD13" s="100"/>
      <c r="AE13" s="101"/>
      <c r="AF13" s="101"/>
      <c r="AG13" s="102"/>
      <c r="AH13" s="103"/>
      <c r="AI13" s="104"/>
      <c r="AJ13" s="104"/>
      <c r="AK13" s="105"/>
      <c r="AL13" s="106"/>
      <c r="AM13" s="106"/>
      <c r="AN13" s="106"/>
      <c r="AO13" s="99"/>
      <c r="AP13" s="100"/>
      <c r="AQ13" s="101"/>
      <c r="AR13" s="101"/>
      <c r="AS13" s="102"/>
      <c r="AT13" s="103"/>
      <c r="AU13" s="104"/>
      <c r="AV13" s="104"/>
      <c r="AW13" s="105"/>
      <c r="AX13" s="107"/>
      <c r="AY13" s="106"/>
    </row>
    <row r="14" spans="2:51" s="109" customFormat="1" ht="210" x14ac:dyDescent="0.25">
      <c r="B14" s="110" t="s">
        <v>46</v>
      </c>
      <c r="C14" s="111" t="s">
        <v>150</v>
      </c>
      <c r="D14" s="112" t="s">
        <v>191</v>
      </c>
      <c r="E14" s="113">
        <v>2</v>
      </c>
      <c r="F14" s="111" t="s">
        <v>81</v>
      </c>
      <c r="G14" s="111" t="s">
        <v>90</v>
      </c>
      <c r="H14" s="111" t="s">
        <v>328</v>
      </c>
      <c r="I14" s="111" t="s">
        <v>61</v>
      </c>
      <c r="J14" s="111" t="s">
        <v>67</v>
      </c>
      <c r="K14" s="111" t="s">
        <v>329</v>
      </c>
      <c r="L14" s="111" t="s">
        <v>315</v>
      </c>
      <c r="M14" s="111" t="s">
        <v>330</v>
      </c>
      <c r="N14" s="111" t="s">
        <v>75</v>
      </c>
      <c r="O14" s="114">
        <v>5</v>
      </c>
      <c r="P14" s="115">
        <v>1</v>
      </c>
      <c r="Q14" s="116">
        <v>1</v>
      </c>
      <c r="R14" s="116">
        <v>7</v>
      </c>
      <c r="S14" s="117">
        <v>7</v>
      </c>
      <c r="T14" s="118" t="str">
        <f t="shared" ca="1" si="0"/>
        <v>Low</v>
      </c>
      <c r="U14" s="119" t="str">
        <f t="shared" ca="1" si="1"/>
        <v>Low</v>
      </c>
      <c r="V14" s="119" t="str">
        <f t="shared" ca="1" si="2"/>
        <v>Med</v>
      </c>
      <c r="W14" s="120" t="str">
        <f t="shared" ca="1" si="3"/>
        <v>Med</v>
      </c>
      <c r="X14" s="121"/>
      <c r="Y14" s="121" t="s">
        <v>227</v>
      </c>
      <c r="Z14" s="121" t="s">
        <v>331</v>
      </c>
      <c r="AA14" s="121"/>
      <c r="AB14" s="121"/>
      <c r="AC14" s="114"/>
      <c r="AD14" s="115"/>
      <c r="AE14" s="116"/>
      <c r="AF14" s="116"/>
      <c r="AG14" s="117"/>
      <c r="AH14" s="118" t="str">
        <f t="shared" ref="AH14:AK19" ca="1" si="6">IF(AND(ISNUMBER(AD14),ISNUMBER($AC14)),OFFSET(RiskMatrixRef,-$AC14+1,AD14-1),"")</f>
        <v/>
      </c>
      <c r="AI14" s="119" t="str">
        <f t="shared" ca="1" si="6"/>
        <v/>
      </c>
      <c r="AJ14" s="119" t="str">
        <f t="shared" ca="1" si="6"/>
        <v/>
      </c>
      <c r="AK14" s="120" t="str">
        <f t="shared" ca="1" si="6"/>
        <v/>
      </c>
      <c r="AL14" s="121"/>
      <c r="AM14" s="121"/>
      <c r="AN14" s="121"/>
      <c r="AO14" s="114"/>
      <c r="AP14" s="115"/>
      <c r="AQ14" s="116"/>
      <c r="AR14" s="116"/>
      <c r="AS14" s="117"/>
      <c r="AT14" s="118" t="str">
        <f t="shared" ref="AT14:AW19" ca="1" si="7">IF(AND(ISNUMBER(AP14),ISNUMBER($AO14)),OFFSET(RiskMatrixRef,-$AO14+1,AP14-1),"")</f>
        <v/>
      </c>
      <c r="AU14" s="119" t="str">
        <f t="shared" ca="1" si="7"/>
        <v/>
      </c>
      <c r="AV14" s="119" t="str">
        <f t="shared" ca="1" si="7"/>
        <v/>
      </c>
      <c r="AW14" s="120" t="str">
        <f t="shared" ca="1" si="7"/>
        <v/>
      </c>
      <c r="AX14" s="122"/>
      <c r="AY14" s="121"/>
    </row>
    <row r="15" spans="2:51" s="109" customFormat="1" ht="105" x14ac:dyDescent="0.25">
      <c r="B15" s="110" t="s">
        <v>45</v>
      </c>
      <c r="C15" s="111" t="s">
        <v>150</v>
      </c>
      <c r="D15" s="112" t="s">
        <v>191</v>
      </c>
      <c r="E15" s="113">
        <v>2</v>
      </c>
      <c r="F15" s="111" t="s">
        <v>81</v>
      </c>
      <c r="G15" s="111" t="s">
        <v>90</v>
      </c>
      <c r="H15" s="111" t="s">
        <v>332</v>
      </c>
      <c r="I15" s="111" t="s">
        <v>62</v>
      </c>
      <c r="J15" s="111" t="s">
        <v>67</v>
      </c>
      <c r="K15" s="111" t="s">
        <v>335</v>
      </c>
      <c r="L15" s="111" t="s">
        <v>333</v>
      </c>
      <c r="M15" s="111" t="s">
        <v>330</v>
      </c>
      <c r="N15" s="111" t="s">
        <v>75</v>
      </c>
      <c r="O15" s="114">
        <v>3</v>
      </c>
      <c r="P15" s="115">
        <v>1</v>
      </c>
      <c r="Q15" s="116">
        <v>1</v>
      </c>
      <c r="R15" s="116">
        <v>7</v>
      </c>
      <c r="S15" s="117">
        <v>7</v>
      </c>
      <c r="T15" s="118" t="str">
        <f t="shared" ca="1" si="0"/>
        <v>Low</v>
      </c>
      <c r="U15" s="119" t="str">
        <f t="shared" ca="1" si="1"/>
        <v>Low</v>
      </c>
      <c r="V15" s="119" t="str">
        <f t="shared" ca="1" si="2"/>
        <v>Low</v>
      </c>
      <c r="W15" s="120" t="str">
        <f t="shared" ca="1" si="3"/>
        <v>Low</v>
      </c>
      <c r="X15" s="121"/>
      <c r="Y15" s="121" t="s">
        <v>246</v>
      </c>
      <c r="Z15" s="121" t="s">
        <v>334</v>
      </c>
      <c r="AA15" s="121"/>
      <c r="AB15" s="121"/>
      <c r="AC15" s="114"/>
      <c r="AD15" s="115"/>
      <c r="AE15" s="116"/>
      <c r="AF15" s="116"/>
      <c r="AG15" s="117"/>
      <c r="AH15" s="118" t="str">
        <f t="shared" ca="1" si="6"/>
        <v/>
      </c>
      <c r="AI15" s="119" t="str">
        <f t="shared" ca="1" si="6"/>
        <v/>
      </c>
      <c r="AJ15" s="119" t="str">
        <f t="shared" ca="1" si="6"/>
        <v/>
      </c>
      <c r="AK15" s="120" t="str">
        <f t="shared" ca="1" si="6"/>
        <v/>
      </c>
      <c r="AL15" s="121"/>
      <c r="AM15" s="121"/>
      <c r="AN15" s="121"/>
      <c r="AO15" s="114"/>
      <c r="AP15" s="115"/>
      <c r="AQ15" s="116"/>
      <c r="AR15" s="116"/>
      <c r="AS15" s="117"/>
      <c r="AT15" s="118" t="str">
        <f t="shared" ca="1" si="7"/>
        <v/>
      </c>
      <c r="AU15" s="119" t="str">
        <f t="shared" ca="1" si="7"/>
        <v/>
      </c>
      <c r="AV15" s="119" t="str">
        <f t="shared" ca="1" si="7"/>
        <v/>
      </c>
      <c r="AW15" s="120" t="str">
        <f t="shared" ca="1" si="7"/>
        <v/>
      </c>
      <c r="AX15" s="122"/>
      <c r="AY15" s="121"/>
    </row>
    <row r="16" spans="2:51" s="109" customFormat="1" ht="225" x14ac:dyDescent="0.25">
      <c r="B16" s="110" t="s">
        <v>47</v>
      </c>
      <c r="C16" s="111" t="s">
        <v>150</v>
      </c>
      <c r="D16" s="112" t="s">
        <v>191</v>
      </c>
      <c r="E16" s="113">
        <v>2</v>
      </c>
      <c r="F16" s="111" t="s">
        <v>81</v>
      </c>
      <c r="G16" s="111" t="s">
        <v>90</v>
      </c>
      <c r="H16" s="111" t="s">
        <v>147</v>
      </c>
      <c r="I16" s="111" t="s">
        <v>63</v>
      </c>
      <c r="J16" s="111" t="s">
        <v>67</v>
      </c>
      <c r="K16" s="111" t="s">
        <v>341</v>
      </c>
      <c r="L16" s="111" t="s">
        <v>333</v>
      </c>
      <c r="M16" s="111" t="s">
        <v>127</v>
      </c>
      <c r="N16" s="111" t="s">
        <v>75</v>
      </c>
      <c r="O16" s="114">
        <v>7</v>
      </c>
      <c r="P16" s="115">
        <v>1</v>
      </c>
      <c r="Q16" s="116">
        <v>1</v>
      </c>
      <c r="R16" s="116">
        <v>7</v>
      </c>
      <c r="S16" s="117">
        <v>7</v>
      </c>
      <c r="T16" s="118" t="str">
        <f t="shared" ca="1" si="0"/>
        <v>Low</v>
      </c>
      <c r="U16" s="119" t="str">
        <f t="shared" ca="1" si="1"/>
        <v>Low</v>
      </c>
      <c r="V16" s="119" t="str">
        <f t="shared" ca="1" si="2"/>
        <v>Med</v>
      </c>
      <c r="W16" s="120" t="str">
        <f t="shared" ca="1" si="3"/>
        <v>Med</v>
      </c>
      <c r="X16" s="121" t="s">
        <v>336</v>
      </c>
      <c r="Y16" s="121" t="s">
        <v>270</v>
      </c>
      <c r="Z16" s="121" t="s">
        <v>342</v>
      </c>
      <c r="AA16" s="121"/>
      <c r="AB16" s="121"/>
      <c r="AC16" s="114"/>
      <c r="AD16" s="115"/>
      <c r="AE16" s="116"/>
      <c r="AF16" s="116"/>
      <c r="AG16" s="117"/>
      <c r="AH16" s="118" t="str">
        <f t="shared" ca="1" si="6"/>
        <v/>
      </c>
      <c r="AI16" s="119" t="str">
        <f t="shared" ca="1" si="6"/>
        <v/>
      </c>
      <c r="AJ16" s="119" t="str">
        <f t="shared" ca="1" si="6"/>
        <v/>
      </c>
      <c r="AK16" s="120" t="str">
        <f t="shared" ca="1" si="6"/>
        <v/>
      </c>
      <c r="AL16" s="121"/>
      <c r="AM16" s="121"/>
      <c r="AN16" s="121"/>
      <c r="AO16" s="114"/>
      <c r="AP16" s="115"/>
      <c r="AQ16" s="116"/>
      <c r="AR16" s="116"/>
      <c r="AS16" s="117"/>
      <c r="AT16" s="118" t="str">
        <f t="shared" ca="1" si="7"/>
        <v/>
      </c>
      <c r="AU16" s="119" t="str">
        <f t="shared" ca="1" si="7"/>
        <v/>
      </c>
      <c r="AV16" s="119" t="str">
        <f t="shared" ca="1" si="7"/>
        <v/>
      </c>
      <c r="AW16" s="120" t="str">
        <f t="shared" ca="1" si="7"/>
        <v/>
      </c>
      <c r="AX16" s="122"/>
      <c r="AY16" s="121"/>
    </row>
    <row r="17" spans="2:51" s="109" customFormat="1" ht="90" x14ac:dyDescent="0.25">
      <c r="B17" s="110" t="s">
        <v>48</v>
      </c>
      <c r="C17" s="111" t="s">
        <v>38</v>
      </c>
      <c r="D17" s="112" t="s">
        <v>39</v>
      </c>
      <c r="E17" s="113">
        <v>2</v>
      </c>
      <c r="F17" s="111" t="s">
        <v>81</v>
      </c>
      <c r="G17" s="111" t="s">
        <v>149</v>
      </c>
      <c r="H17" s="111" t="s">
        <v>148</v>
      </c>
      <c r="I17" s="111" t="s">
        <v>61</v>
      </c>
      <c r="J17" s="111" t="s">
        <v>67</v>
      </c>
      <c r="K17" s="111" t="s">
        <v>343</v>
      </c>
      <c r="L17" s="111" t="s">
        <v>72</v>
      </c>
      <c r="M17" s="111" t="s">
        <v>72</v>
      </c>
      <c r="N17" s="111" t="s">
        <v>75</v>
      </c>
      <c r="O17" s="114">
        <v>5</v>
      </c>
      <c r="P17" s="115">
        <v>1</v>
      </c>
      <c r="Q17" s="116">
        <v>1</v>
      </c>
      <c r="R17" s="116">
        <v>6</v>
      </c>
      <c r="S17" s="117">
        <v>7</v>
      </c>
      <c r="T17" s="118" t="str">
        <f t="shared" ca="1" si="0"/>
        <v>Low</v>
      </c>
      <c r="U17" s="119" t="str">
        <f t="shared" ca="1" si="1"/>
        <v>Low</v>
      </c>
      <c r="V17" s="119" t="str">
        <f t="shared" ca="1" si="2"/>
        <v>Low</v>
      </c>
      <c r="W17" s="120" t="str">
        <f t="shared" ca="1" si="3"/>
        <v>Med</v>
      </c>
      <c r="X17" s="121" t="s">
        <v>344</v>
      </c>
      <c r="Y17" s="121" t="s">
        <v>233</v>
      </c>
      <c r="Z17" s="121" t="s">
        <v>345</v>
      </c>
      <c r="AA17" s="121"/>
      <c r="AB17" s="121"/>
      <c r="AC17" s="114"/>
      <c r="AD17" s="115"/>
      <c r="AE17" s="116"/>
      <c r="AF17" s="116"/>
      <c r="AG17" s="117"/>
      <c r="AH17" s="118" t="str">
        <f t="shared" ca="1" si="6"/>
        <v/>
      </c>
      <c r="AI17" s="119" t="str">
        <f t="shared" ca="1" si="6"/>
        <v/>
      </c>
      <c r="AJ17" s="119" t="str">
        <f t="shared" ca="1" si="6"/>
        <v/>
      </c>
      <c r="AK17" s="120" t="str">
        <f t="shared" ca="1" si="6"/>
        <v/>
      </c>
      <c r="AL17" s="121"/>
      <c r="AM17" s="121"/>
      <c r="AN17" s="121"/>
      <c r="AO17" s="114"/>
      <c r="AP17" s="115"/>
      <c r="AQ17" s="116"/>
      <c r="AR17" s="116"/>
      <c r="AS17" s="117"/>
      <c r="AT17" s="118" t="str">
        <f t="shared" ca="1" si="7"/>
        <v/>
      </c>
      <c r="AU17" s="119" t="str">
        <f t="shared" ca="1" si="7"/>
        <v/>
      </c>
      <c r="AV17" s="119" t="str">
        <f t="shared" ca="1" si="7"/>
        <v/>
      </c>
      <c r="AW17" s="120" t="str">
        <f t="shared" ca="1" si="7"/>
        <v/>
      </c>
      <c r="AX17" s="122"/>
      <c r="AY17" s="121"/>
    </row>
    <row r="18" spans="2:51" s="109" customFormat="1" ht="45" x14ac:dyDescent="0.25">
      <c r="B18" s="110" t="s">
        <v>49</v>
      </c>
      <c r="C18" s="111" t="s">
        <v>38</v>
      </c>
      <c r="D18" s="112" t="s">
        <v>39</v>
      </c>
      <c r="E18" s="113">
        <v>2</v>
      </c>
      <c r="F18" s="111" t="s">
        <v>81</v>
      </c>
      <c r="G18" s="111" t="s">
        <v>149</v>
      </c>
      <c r="H18" s="111" t="s">
        <v>148</v>
      </c>
      <c r="I18" s="111" t="s">
        <v>62</v>
      </c>
      <c r="J18" s="111" t="s">
        <v>67</v>
      </c>
      <c r="K18" s="111" t="s">
        <v>71</v>
      </c>
      <c r="L18" s="111" t="s">
        <v>72</v>
      </c>
      <c r="M18" s="111" t="s">
        <v>72</v>
      </c>
      <c r="N18" s="111" t="s">
        <v>75</v>
      </c>
      <c r="O18" s="114">
        <v>4</v>
      </c>
      <c r="P18" s="115">
        <v>1</v>
      </c>
      <c r="Q18" s="116">
        <v>1</v>
      </c>
      <c r="R18" s="116">
        <v>6</v>
      </c>
      <c r="S18" s="117">
        <v>7</v>
      </c>
      <c r="T18" s="118" t="str">
        <f t="shared" ca="1" si="0"/>
        <v>Low</v>
      </c>
      <c r="U18" s="119" t="str">
        <f t="shared" ca="1" si="1"/>
        <v>Low</v>
      </c>
      <c r="V18" s="119" t="str">
        <f t="shared" ca="1" si="2"/>
        <v>Low</v>
      </c>
      <c r="W18" s="120" t="str">
        <f t="shared" ca="1" si="3"/>
        <v>Low</v>
      </c>
      <c r="X18" s="121"/>
      <c r="Y18" s="121" t="s">
        <v>234</v>
      </c>
      <c r="Z18" s="121" t="s">
        <v>346</v>
      </c>
      <c r="AA18" s="121"/>
      <c r="AB18" s="121"/>
      <c r="AC18" s="114"/>
      <c r="AD18" s="115"/>
      <c r="AE18" s="116"/>
      <c r="AF18" s="116"/>
      <c r="AG18" s="117"/>
      <c r="AH18" s="118" t="str">
        <f t="shared" ca="1" si="6"/>
        <v/>
      </c>
      <c r="AI18" s="119" t="str">
        <f t="shared" ca="1" si="6"/>
        <v/>
      </c>
      <c r="AJ18" s="119" t="str">
        <f t="shared" ca="1" si="6"/>
        <v/>
      </c>
      <c r="AK18" s="120" t="str">
        <f t="shared" ca="1" si="6"/>
        <v/>
      </c>
      <c r="AL18" s="121"/>
      <c r="AM18" s="121"/>
      <c r="AN18" s="121"/>
      <c r="AO18" s="114"/>
      <c r="AP18" s="115"/>
      <c r="AQ18" s="116"/>
      <c r="AR18" s="116"/>
      <c r="AS18" s="117"/>
      <c r="AT18" s="118" t="str">
        <f t="shared" ca="1" si="7"/>
        <v/>
      </c>
      <c r="AU18" s="119" t="str">
        <f t="shared" ca="1" si="7"/>
        <v/>
      </c>
      <c r="AV18" s="119" t="str">
        <f t="shared" ca="1" si="7"/>
        <v/>
      </c>
      <c r="AW18" s="120" t="str">
        <f t="shared" ca="1" si="7"/>
        <v/>
      </c>
      <c r="AX18" s="122"/>
      <c r="AY18" s="121"/>
    </row>
    <row r="19" spans="2:51" s="109" customFormat="1" ht="75" x14ac:dyDescent="0.25">
      <c r="B19" s="110" t="s">
        <v>91</v>
      </c>
      <c r="C19" s="111" t="s">
        <v>38</v>
      </c>
      <c r="D19" s="111" t="s">
        <v>39</v>
      </c>
      <c r="E19" s="113">
        <v>2</v>
      </c>
      <c r="F19" s="111" t="s">
        <v>81</v>
      </c>
      <c r="G19" s="111" t="s">
        <v>149</v>
      </c>
      <c r="H19" s="111" t="s">
        <v>148</v>
      </c>
      <c r="I19" s="111" t="s">
        <v>63</v>
      </c>
      <c r="J19" s="111" t="s">
        <v>67</v>
      </c>
      <c r="K19" s="111" t="s">
        <v>73</v>
      </c>
      <c r="L19" s="111" t="s">
        <v>72</v>
      </c>
      <c r="M19" s="111" t="s">
        <v>72</v>
      </c>
      <c r="N19" s="111" t="s">
        <v>75</v>
      </c>
      <c r="O19" s="114">
        <v>7</v>
      </c>
      <c r="P19" s="115">
        <v>1</v>
      </c>
      <c r="Q19" s="116">
        <v>1</v>
      </c>
      <c r="R19" s="116">
        <v>6</v>
      </c>
      <c r="S19" s="117">
        <v>7</v>
      </c>
      <c r="T19" s="118" t="str">
        <f t="shared" ca="1" si="0"/>
        <v>Low</v>
      </c>
      <c r="U19" s="119" t="str">
        <f t="shared" ca="1" si="1"/>
        <v>Low</v>
      </c>
      <c r="V19" s="119" t="str">
        <f t="shared" ca="1" si="2"/>
        <v>Med</v>
      </c>
      <c r="W19" s="120" t="str">
        <f t="shared" ca="1" si="3"/>
        <v>Med</v>
      </c>
      <c r="X19" s="121"/>
      <c r="Y19" s="121" t="s">
        <v>271</v>
      </c>
      <c r="Z19" s="121" t="s">
        <v>347</v>
      </c>
      <c r="AA19" s="121"/>
      <c r="AB19" s="121"/>
      <c r="AC19" s="114"/>
      <c r="AD19" s="115"/>
      <c r="AE19" s="116"/>
      <c r="AF19" s="116"/>
      <c r="AG19" s="117"/>
      <c r="AH19" s="118" t="str">
        <f t="shared" ca="1" si="6"/>
        <v/>
      </c>
      <c r="AI19" s="119" t="str">
        <f t="shared" ca="1" si="6"/>
        <v/>
      </c>
      <c r="AJ19" s="119" t="str">
        <f t="shared" ca="1" si="6"/>
        <v/>
      </c>
      <c r="AK19" s="120" t="str">
        <f t="shared" ca="1" si="6"/>
        <v/>
      </c>
      <c r="AL19" s="121"/>
      <c r="AM19" s="121"/>
      <c r="AN19" s="121"/>
      <c r="AO19" s="114"/>
      <c r="AP19" s="115"/>
      <c r="AQ19" s="116"/>
      <c r="AR19" s="116"/>
      <c r="AS19" s="117"/>
      <c r="AT19" s="118" t="str">
        <f t="shared" ca="1" si="7"/>
        <v/>
      </c>
      <c r="AU19" s="119" t="str">
        <f t="shared" ca="1" si="7"/>
        <v/>
      </c>
      <c r="AV19" s="119" t="str">
        <f t="shared" ca="1" si="7"/>
        <v/>
      </c>
      <c r="AW19" s="120" t="str">
        <f t="shared" ca="1" si="7"/>
        <v/>
      </c>
      <c r="AX19" s="122"/>
      <c r="AY19" s="121"/>
    </row>
    <row r="20" spans="2:51" s="109" customFormat="1" ht="180" x14ac:dyDescent="0.25">
      <c r="B20" s="110" t="s">
        <v>337</v>
      </c>
      <c r="C20" s="111" t="s">
        <v>38</v>
      </c>
      <c r="D20" s="111" t="s">
        <v>39</v>
      </c>
      <c r="E20" s="113">
        <v>2</v>
      </c>
      <c r="F20" s="111" t="s">
        <v>81</v>
      </c>
      <c r="G20" s="111" t="s">
        <v>348</v>
      </c>
      <c r="H20" s="111" t="s">
        <v>338</v>
      </c>
      <c r="I20" s="111" t="s">
        <v>339</v>
      </c>
      <c r="J20" s="111" t="s">
        <v>67</v>
      </c>
      <c r="K20" s="111" t="s">
        <v>340</v>
      </c>
      <c r="L20" s="111" t="s">
        <v>349</v>
      </c>
      <c r="M20" s="111" t="s">
        <v>350</v>
      </c>
      <c r="N20" s="111" t="s">
        <v>75</v>
      </c>
      <c r="O20" s="114">
        <v>3</v>
      </c>
      <c r="P20" s="115">
        <v>1</v>
      </c>
      <c r="Q20" s="116">
        <v>1</v>
      </c>
      <c r="R20" s="116">
        <v>6</v>
      </c>
      <c r="S20" s="117">
        <v>6</v>
      </c>
      <c r="T20" s="118" t="str">
        <f t="shared" ca="1" si="0"/>
        <v>Low</v>
      </c>
      <c r="U20" s="119" t="str">
        <f t="shared" ca="1" si="1"/>
        <v>Low</v>
      </c>
      <c r="V20" s="119" t="str">
        <f t="shared" ca="1" si="2"/>
        <v>Low</v>
      </c>
      <c r="W20" s="120" t="str">
        <f t="shared" ca="1" si="3"/>
        <v>Low</v>
      </c>
      <c r="X20" s="121"/>
      <c r="Y20" s="121" t="s">
        <v>235</v>
      </c>
      <c r="Z20" s="121" t="s">
        <v>351</v>
      </c>
      <c r="AA20" s="121"/>
      <c r="AB20" s="121"/>
      <c r="AC20" s="114"/>
      <c r="AD20" s="115"/>
      <c r="AE20" s="116"/>
      <c r="AF20" s="116"/>
      <c r="AG20" s="117"/>
      <c r="AH20" s="118"/>
      <c r="AI20" s="119"/>
      <c r="AJ20" s="119"/>
      <c r="AK20" s="120"/>
      <c r="AL20" s="121"/>
      <c r="AM20" s="121"/>
      <c r="AN20" s="121"/>
      <c r="AO20" s="114"/>
      <c r="AP20" s="115"/>
      <c r="AQ20" s="116"/>
      <c r="AR20" s="116"/>
      <c r="AS20" s="117"/>
      <c r="AT20" s="118"/>
      <c r="AU20" s="119"/>
      <c r="AV20" s="119"/>
      <c r="AW20" s="120"/>
      <c r="AX20" s="122"/>
      <c r="AY20" s="121"/>
    </row>
    <row r="21" spans="2:51" s="108" customFormat="1" ht="120" x14ac:dyDescent="0.25">
      <c r="B21" s="95" t="s">
        <v>84</v>
      </c>
      <c r="C21" s="96" t="s">
        <v>88</v>
      </c>
      <c r="D21" s="97" t="s">
        <v>89</v>
      </c>
      <c r="E21" s="98">
        <v>1</v>
      </c>
      <c r="F21" s="96" t="s">
        <v>68</v>
      </c>
      <c r="G21" s="96" t="s">
        <v>151</v>
      </c>
      <c r="H21" s="96" t="s">
        <v>153</v>
      </c>
      <c r="I21" s="96" t="s">
        <v>61</v>
      </c>
      <c r="J21" s="96" t="s">
        <v>67</v>
      </c>
      <c r="K21" s="96" t="s">
        <v>156</v>
      </c>
      <c r="L21" s="96"/>
      <c r="M21" s="96" t="s">
        <v>78</v>
      </c>
      <c r="N21" s="96" t="s">
        <v>158</v>
      </c>
      <c r="O21" s="99">
        <v>7</v>
      </c>
      <c r="P21" s="100">
        <v>1</v>
      </c>
      <c r="Q21" s="101">
        <v>1</v>
      </c>
      <c r="R21" s="101">
        <v>4</v>
      </c>
      <c r="S21" s="102">
        <v>4</v>
      </c>
      <c r="T21" s="103" t="str">
        <f t="shared" ca="1" si="0"/>
        <v>Low</v>
      </c>
      <c r="U21" s="104" t="str">
        <f t="shared" ca="1" si="1"/>
        <v>Low</v>
      </c>
      <c r="V21" s="104" t="str">
        <f t="shared" ca="1" si="2"/>
        <v>Low</v>
      </c>
      <c r="W21" s="105" t="str">
        <f t="shared" ca="1" si="3"/>
        <v>Low</v>
      </c>
      <c r="X21" s="106"/>
      <c r="Y21" s="106" t="s">
        <v>274</v>
      </c>
      <c r="Z21" s="106"/>
      <c r="AA21" s="106"/>
      <c r="AB21" s="106"/>
      <c r="AC21" s="99"/>
      <c r="AD21" s="100"/>
      <c r="AE21" s="101"/>
      <c r="AF21" s="101"/>
      <c r="AG21" s="102"/>
      <c r="AH21" s="103" t="str">
        <f t="shared" ref="AH21:AH37" ca="1" si="8">IF(AND(ISNUMBER(AD21),ISNUMBER($AC21)),OFFSET(RiskMatrixRef,-$AC21+1,AD21-1),"")</f>
        <v/>
      </c>
      <c r="AI21" s="104" t="str">
        <f t="shared" ref="AI21:AI37" ca="1" si="9">IF(AND(ISNUMBER(AE21),ISNUMBER($AC21)),OFFSET(RiskMatrixRef,-$AC21+1,AE21-1),"")</f>
        <v/>
      </c>
      <c r="AJ21" s="104" t="str">
        <f t="shared" ref="AJ21:AJ37" ca="1" si="10">IF(AND(ISNUMBER(AF21),ISNUMBER($AC21)),OFFSET(RiskMatrixRef,-$AC21+1,AF21-1),"")</f>
        <v/>
      </c>
      <c r="AK21" s="105" t="str">
        <f t="shared" ref="AK21:AK37" ca="1" si="11">IF(AND(ISNUMBER(AG21),ISNUMBER($AC21)),OFFSET(RiskMatrixRef,-$AC21+1,AG21-1),"")</f>
        <v/>
      </c>
      <c r="AL21" s="106"/>
      <c r="AM21" s="106"/>
      <c r="AN21" s="106"/>
      <c r="AO21" s="99"/>
      <c r="AP21" s="100"/>
      <c r="AQ21" s="101"/>
      <c r="AR21" s="101"/>
      <c r="AS21" s="102"/>
      <c r="AT21" s="103" t="str">
        <f t="shared" ref="AT21:AT37" ca="1" si="12">IF(AND(ISNUMBER(AP21),ISNUMBER($AO21)),OFFSET(RiskMatrixRef,-$AO21+1,AP21-1),"")</f>
        <v/>
      </c>
      <c r="AU21" s="104" t="str">
        <f t="shared" ref="AU21:AU37" ca="1" si="13">IF(AND(ISNUMBER(AQ21),ISNUMBER($AO21)),OFFSET(RiskMatrixRef,-$AO21+1,AQ21-1),"")</f>
        <v/>
      </c>
      <c r="AV21" s="104" t="str">
        <f t="shared" ref="AV21:AV37" ca="1" si="14">IF(AND(ISNUMBER(AR21),ISNUMBER($AO21)),OFFSET(RiskMatrixRef,-$AO21+1,AR21-1),"")</f>
        <v/>
      </c>
      <c r="AW21" s="105" t="str">
        <f t="shared" ref="AW21:AW37" ca="1" si="15">IF(AND(ISNUMBER(AS21),ISNUMBER($AO21)),OFFSET(RiskMatrixRef,-$AO21+1,AS21-1),"")</f>
        <v/>
      </c>
      <c r="AX21" s="107"/>
      <c r="AY21" s="106"/>
    </row>
    <row r="22" spans="2:51" s="108" customFormat="1" ht="120" x14ac:dyDescent="0.25">
      <c r="B22" s="95" t="s">
        <v>85</v>
      </c>
      <c r="C22" s="96" t="s">
        <v>88</v>
      </c>
      <c r="D22" s="97" t="s">
        <v>89</v>
      </c>
      <c r="E22" s="98">
        <v>1</v>
      </c>
      <c r="F22" s="96" t="s">
        <v>68</v>
      </c>
      <c r="G22" s="96" t="s">
        <v>151</v>
      </c>
      <c r="H22" s="96" t="s">
        <v>153</v>
      </c>
      <c r="I22" s="96" t="s">
        <v>62</v>
      </c>
      <c r="J22" s="96" t="s">
        <v>67</v>
      </c>
      <c r="K22" s="96" t="s">
        <v>155</v>
      </c>
      <c r="L22" s="96"/>
      <c r="M22" s="96" t="s">
        <v>78</v>
      </c>
      <c r="N22" s="96" t="s">
        <v>158</v>
      </c>
      <c r="O22" s="99">
        <v>3</v>
      </c>
      <c r="P22" s="100">
        <v>1</v>
      </c>
      <c r="Q22" s="101">
        <v>1</v>
      </c>
      <c r="R22" s="101">
        <v>4</v>
      </c>
      <c r="S22" s="102">
        <v>4</v>
      </c>
      <c r="T22" s="103" t="str">
        <f t="shared" ca="1" si="0"/>
        <v>Low</v>
      </c>
      <c r="U22" s="104" t="str">
        <f t="shared" ca="1" si="1"/>
        <v>Low</v>
      </c>
      <c r="V22" s="104" t="str">
        <f t="shared" ca="1" si="2"/>
        <v>Low</v>
      </c>
      <c r="W22" s="105" t="str">
        <f t="shared" ca="1" si="3"/>
        <v>Low</v>
      </c>
      <c r="X22" s="106"/>
      <c r="Y22" s="106" t="s">
        <v>263</v>
      </c>
      <c r="Z22" s="106"/>
      <c r="AA22" s="106"/>
      <c r="AB22" s="106"/>
      <c r="AC22" s="99"/>
      <c r="AD22" s="100"/>
      <c r="AE22" s="101"/>
      <c r="AF22" s="101"/>
      <c r="AG22" s="102"/>
      <c r="AH22" s="103" t="str">
        <f t="shared" ca="1" si="8"/>
        <v/>
      </c>
      <c r="AI22" s="104" t="str">
        <f t="shared" ca="1" si="9"/>
        <v/>
      </c>
      <c r="AJ22" s="104" t="str">
        <f t="shared" ca="1" si="10"/>
        <v/>
      </c>
      <c r="AK22" s="105" t="str">
        <f t="shared" ca="1" si="11"/>
        <v/>
      </c>
      <c r="AL22" s="106"/>
      <c r="AM22" s="106"/>
      <c r="AN22" s="106"/>
      <c r="AO22" s="99"/>
      <c r="AP22" s="100"/>
      <c r="AQ22" s="101"/>
      <c r="AR22" s="101"/>
      <c r="AS22" s="102"/>
      <c r="AT22" s="103" t="str">
        <f t="shared" ca="1" si="12"/>
        <v/>
      </c>
      <c r="AU22" s="104" t="str">
        <f t="shared" ca="1" si="13"/>
        <v/>
      </c>
      <c r="AV22" s="104" t="str">
        <f t="shared" ca="1" si="14"/>
        <v/>
      </c>
      <c r="AW22" s="105" t="str">
        <f t="shared" ca="1" si="15"/>
        <v/>
      </c>
      <c r="AX22" s="107"/>
      <c r="AY22" s="106"/>
    </row>
    <row r="23" spans="2:51" s="108" customFormat="1" ht="90" x14ac:dyDescent="0.25">
      <c r="B23" s="95" t="s">
        <v>86</v>
      </c>
      <c r="C23" s="96" t="s">
        <v>88</v>
      </c>
      <c r="D23" s="97" t="s">
        <v>89</v>
      </c>
      <c r="E23" s="98">
        <v>1</v>
      </c>
      <c r="F23" s="96" t="s">
        <v>68</v>
      </c>
      <c r="G23" s="96" t="s">
        <v>152</v>
      </c>
      <c r="H23" s="96" t="s">
        <v>146</v>
      </c>
      <c r="I23" s="96" t="s">
        <v>65</v>
      </c>
      <c r="J23" s="96" t="s">
        <v>67</v>
      </c>
      <c r="K23" s="96" t="s">
        <v>157</v>
      </c>
      <c r="L23" s="96"/>
      <c r="M23" s="96" t="s">
        <v>78</v>
      </c>
      <c r="N23" s="96" t="s">
        <v>159</v>
      </c>
      <c r="O23" s="99">
        <v>4</v>
      </c>
      <c r="P23" s="100">
        <v>1</v>
      </c>
      <c r="Q23" s="101">
        <v>1</v>
      </c>
      <c r="R23" s="101">
        <v>4</v>
      </c>
      <c r="S23" s="102">
        <v>4</v>
      </c>
      <c r="T23" s="103" t="str">
        <f t="shared" ca="1" si="0"/>
        <v>Low</v>
      </c>
      <c r="U23" s="104" t="str">
        <f t="shared" ca="1" si="1"/>
        <v>Low</v>
      </c>
      <c r="V23" s="104" t="str">
        <f t="shared" ca="1" si="2"/>
        <v>Low</v>
      </c>
      <c r="W23" s="105" t="str">
        <f t="shared" ca="1" si="3"/>
        <v>Low</v>
      </c>
      <c r="X23" s="106"/>
      <c r="Y23" s="106" t="s">
        <v>263</v>
      </c>
      <c r="Z23" s="106"/>
      <c r="AA23" s="106"/>
      <c r="AB23" s="106"/>
      <c r="AC23" s="99"/>
      <c r="AD23" s="100"/>
      <c r="AE23" s="101"/>
      <c r="AF23" s="101"/>
      <c r="AG23" s="102"/>
      <c r="AH23" s="103" t="str">
        <f t="shared" ca="1" si="8"/>
        <v/>
      </c>
      <c r="AI23" s="104" t="str">
        <f t="shared" ca="1" si="9"/>
        <v/>
      </c>
      <c r="AJ23" s="104" t="str">
        <f t="shared" ca="1" si="10"/>
        <v/>
      </c>
      <c r="AK23" s="105" t="str">
        <f t="shared" ca="1" si="11"/>
        <v/>
      </c>
      <c r="AL23" s="106"/>
      <c r="AM23" s="106"/>
      <c r="AN23" s="106"/>
      <c r="AO23" s="99"/>
      <c r="AP23" s="100"/>
      <c r="AQ23" s="101"/>
      <c r="AR23" s="101"/>
      <c r="AS23" s="102"/>
      <c r="AT23" s="103" t="str">
        <f t="shared" ca="1" si="12"/>
        <v/>
      </c>
      <c r="AU23" s="104" t="str">
        <f t="shared" ca="1" si="13"/>
        <v/>
      </c>
      <c r="AV23" s="104" t="str">
        <f t="shared" ca="1" si="14"/>
        <v/>
      </c>
      <c r="AW23" s="105" t="str">
        <f t="shared" ca="1" si="15"/>
        <v/>
      </c>
      <c r="AX23" s="107"/>
      <c r="AY23" s="106"/>
    </row>
    <row r="24" spans="2:51" s="108" customFormat="1" ht="120" x14ac:dyDescent="0.25">
      <c r="B24" s="95" t="s">
        <v>87</v>
      </c>
      <c r="C24" s="96" t="s">
        <v>88</v>
      </c>
      <c r="D24" s="97" t="s">
        <v>89</v>
      </c>
      <c r="E24" s="98">
        <v>1</v>
      </c>
      <c r="F24" s="96" t="s">
        <v>68</v>
      </c>
      <c r="G24" s="96" t="s">
        <v>151</v>
      </c>
      <c r="H24" s="96" t="s">
        <v>153</v>
      </c>
      <c r="I24" s="96" t="s">
        <v>63</v>
      </c>
      <c r="J24" s="96" t="s">
        <v>67</v>
      </c>
      <c r="K24" s="96" t="s">
        <v>154</v>
      </c>
      <c r="L24" s="96"/>
      <c r="M24" s="96" t="s">
        <v>78</v>
      </c>
      <c r="N24" s="96" t="s">
        <v>158</v>
      </c>
      <c r="O24" s="99">
        <v>7</v>
      </c>
      <c r="P24" s="100">
        <v>1</v>
      </c>
      <c r="Q24" s="101">
        <v>1</v>
      </c>
      <c r="R24" s="101">
        <v>4</v>
      </c>
      <c r="S24" s="102">
        <v>4</v>
      </c>
      <c r="T24" s="103" t="str">
        <f t="shared" ca="1" si="0"/>
        <v>Low</v>
      </c>
      <c r="U24" s="104" t="str">
        <f t="shared" ca="1" si="1"/>
        <v>Low</v>
      </c>
      <c r="V24" s="104" t="str">
        <f t="shared" ca="1" si="2"/>
        <v>Low</v>
      </c>
      <c r="W24" s="105" t="str">
        <f t="shared" ca="1" si="3"/>
        <v>Low</v>
      </c>
      <c r="X24" s="106"/>
      <c r="Y24" s="106" t="s">
        <v>263</v>
      </c>
      <c r="Z24" s="106"/>
      <c r="AA24" s="106"/>
      <c r="AB24" s="106"/>
      <c r="AC24" s="99"/>
      <c r="AD24" s="100"/>
      <c r="AE24" s="101"/>
      <c r="AF24" s="101"/>
      <c r="AG24" s="102"/>
      <c r="AH24" s="103" t="str">
        <f t="shared" ca="1" si="8"/>
        <v/>
      </c>
      <c r="AI24" s="104" t="str">
        <f t="shared" ca="1" si="9"/>
        <v/>
      </c>
      <c r="AJ24" s="104" t="str">
        <f t="shared" ca="1" si="10"/>
        <v/>
      </c>
      <c r="AK24" s="105" t="str">
        <f t="shared" ca="1" si="11"/>
        <v/>
      </c>
      <c r="AL24" s="106"/>
      <c r="AM24" s="106"/>
      <c r="AN24" s="106"/>
      <c r="AO24" s="99"/>
      <c r="AP24" s="100"/>
      <c r="AQ24" s="101"/>
      <c r="AR24" s="101"/>
      <c r="AS24" s="102"/>
      <c r="AT24" s="103" t="str">
        <f t="shared" ca="1" si="12"/>
        <v/>
      </c>
      <c r="AU24" s="104" t="str">
        <f t="shared" ca="1" si="13"/>
        <v/>
      </c>
      <c r="AV24" s="104" t="str">
        <f t="shared" ca="1" si="14"/>
        <v/>
      </c>
      <c r="AW24" s="105" t="str">
        <f t="shared" ca="1" si="15"/>
        <v/>
      </c>
      <c r="AX24" s="107"/>
      <c r="AY24" s="106"/>
    </row>
    <row r="25" spans="2:51" s="94" customFormat="1" ht="90" x14ac:dyDescent="0.25">
      <c r="B25" s="81" t="s">
        <v>413</v>
      </c>
      <c r="C25" s="82" t="s">
        <v>218</v>
      </c>
      <c r="D25" s="123" t="s">
        <v>414</v>
      </c>
      <c r="E25" s="84">
        <v>2</v>
      </c>
      <c r="F25" s="82" t="s">
        <v>94</v>
      </c>
      <c r="G25" s="82" t="s">
        <v>430</v>
      </c>
      <c r="H25" s="124" t="s">
        <v>432</v>
      </c>
      <c r="I25" s="82" t="s">
        <v>100</v>
      </c>
      <c r="J25" s="82" t="s">
        <v>67</v>
      </c>
      <c r="K25" s="82" t="s">
        <v>354</v>
      </c>
      <c r="L25" s="82" t="s">
        <v>354</v>
      </c>
      <c r="M25" s="82" t="s">
        <v>74</v>
      </c>
      <c r="N25" s="82" t="s">
        <v>75</v>
      </c>
      <c r="O25" s="85">
        <v>4</v>
      </c>
      <c r="P25" s="86">
        <v>1</v>
      </c>
      <c r="Q25" s="87">
        <v>4</v>
      </c>
      <c r="R25" s="87">
        <v>9</v>
      </c>
      <c r="S25" s="87">
        <v>8</v>
      </c>
      <c r="T25" s="89" t="str">
        <f t="shared" ca="1" si="0"/>
        <v>Low</v>
      </c>
      <c r="U25" s="90" t="str">
        <f t="shared" ca="1" si="1"/>
        <v>Low</v>
      </c>
      <c r="V25" s="90" t="str">
        <f t="shared" ca="1" si="2"/>
        <v>Med</v>
      </c>
      <c r="W25" s="91" t="str">
        <f t="shared" ca="1" si="3"/>
        <v>Med</v>
      </c>
      <c r="X25" s="92" t="s">
        <v>361</v>
      </c>
      <c r="Y25" s="92" t="s">
        <v>219</v>
      </c>
      <c r="Z25" s="92"/>
      <c r="AA25" s="92"/>
      <c r="AB25" s="92"/>
      <c r="AC25" s="85"/>
      <c r="AD25" s="86"/>
      <c r="AE25" s="87"/>
      <c r="AF25" s="87"/>
      <c r="AG25" s="88"/>
      <c r="AH25" s="89" t="str">
        <f t="shared" ca="1" si="8"/>
        <v/>
      </c>
      <c r="AI25" s="90" t="str">
        <f t="shared" ca="1" si="9"/>
        <v/>
      </c>
      <c r="AJ25" s="90" t="str">
        <f t="shared" ca="1" si="10"/>
        <v/>
      </c>
      <c r="AK25" s="91" t="str">
        <f t="shared" ca="1" si="11"/>
        <v/>
      </c>
      <c r="AL25" s="92"/>
      <c r="AM25" s="92"/>
      <c r="AN25" s="92"/>
      <c r="AO25" s="85"/>
      <c r="AP25" s="86"/>
      <c r="AQ25" s="87"/>
      <c r="AR25" s="87"/>
      <c r="AS25" s="88"/>
      <c r="AT25" s="89" t="str">
        <f t="shared" ca="1" si="12"/>
        <v/>
      </c>
      <c r="AU25" s="90" t="str">
        <f t="shared" ca="1" si="13"/>
        <v/>
      </c>
      <c r="AV25" s="90" t="str">
        <f t="shared" ca="1" si="14"/>
        <v/>
      </c>
      <c r="AW25" s="91" t="str">
        <f t="shared" ca="1" si="15"/>
        <v/>
      </c>
      <c r="AX25" s="93"/>
      <c r="AY25" s="92"/>
    </row>
    <row r="26" spans="2:51" s="94" customFormat="1" ht="75" x14ac:dyDescent="0.25">
      <c r="B26" s="81" t="s">
        <v>415</v>
      </c>
      <c r="C26" s="82" t="s">
        <v>218</v>
      </c>
      <c r="D26" s="125" t="s">
        <v>414</v>
      </c>
      <c r="E26" s="126">
        <v>2</v>
      </c>
      <c r="F26" s="125" t="s">
        <v>94</v>
      </c>
      <c r="G26" s="125" t="s">
        <v>430</v>
      </c>
      <c r="H26" s="125" t="s">
        <v>432</v>
      </c>
      <c r="I26" s="82" t="s">
        <v>101</v>
      </c>
      <c r="J26" s="125" t="s">
        <v>67</v>
      </c>
      <c r="K26" s="82" t="s">
        <v>354</v>
      </c>
      <c r="L26" s="82" t="s">
        <v>354</v>
      </c>
      <c r="M26" s="82" t="s">
        <v>74</v>
      </c>
      <c r="N26" s="82" t="s">
        <v>75</v>
      </c>
      <c r="O26" s="85">
        <v>3</v>
      </c>
      <c r="P26" s="86">
        <v>1</v>
      </c>
      <c r="Q26" s="86">
        <v>4</v>
      </c>
      <c r="R26" s="87">
        <v>9</v>
      </c>
      <c r="S26" s="88">
        <v>8</v>
      </c>
      <c r="T26" s="89" t="str">
        <f t="shared" ca="1" si="0"/>
        <v>Low</v>
      </c>
      <c r="U26" s="90" t="str">
        <f t="shared" ca="1" si="1"/>
        <v>Low</v>
      </c>
      <c r="V26" s="90" t="str">
        <f t="shared" ca="1" si="2"/>
        <v>Med</v>
      </c>
      <c r="W26" s="91" t="str">
        <f t="shared" ca="1" si="3"/>
        <v>Low</v>
      </c>
      <c r="X26" s="92" t="s">
        <v>363</v>
      </c>
      <c r="Y26" s="127" t="s">
        <v>219</v>
      </c>
      <c r="Z26" s="127"/>
      <c r="AA26" s="127"/>
      <c r="AB26" s="127"/>
      <c r="AC26" s="85"/>
      <c r="AD26" s="86"/>
      <c r="AE26" s="87"/>
      <c r="AF26" s="87"/>
      <c r="AG26" s="88"/>
      <c r="AH26" s="89" t="str">
        <f t="shared" ca="1" si="8"/>
        <v/>
      </c>
      <c r="AI26" s="90" t="str">
        <f t="shared" ca="1" si="9"/>
        <v/>
      </c>
      <c r="AJ26" s="90" t="str">
        <f t="shared" ca="1" si="10"/>
        <v/>
      </c>
      <c r="AK26" s="91" t="str">
        <f t="shared" ca="1" si="11"/>
        <v/>
      </c>
      <c r="AL26" s="127"/>
      <c r="AM26" s="127"/>
      <c r="AN26" s="127"/>
      <c r="AO26" s="85"/>
      <c r="AP26" s="86"/>
      <c r="AQ26" s="87"/>
      <c r="AR26" s="87"/>
      <c r="AS26" s="88"/>
      <c r="AT26" s="89" t="str">
        <f t="shared" ca="1" si="12"/>
        <v/>
      </c>
      <c r="AU26" s="90" t="str">
        <f t="shared" ca="1" si="13"/>
        <v/>
      </c>
      <c r="AV26" s="90" t="str">
        <f t="shared" ca="1" si="14"/>
        <v/>
      </c>
      <c r="AW26" s="91" t="str">
        <f t="shared" ca="1" si="15"/>
        <v/>
      </c>
      <c r="AX26" s="128"/>
      <c r="AY26" s="127"/>
    </row>
    <row r="27" spans="2:51" s="94" customFormat="1" ht="75" x14ac:dyDescent="0.25">
      <c r="B27" s="81" t="s">
        <v>416</v>
      </c>
      <c r="C27" s="82" t="s">
        <v>218</v>
      </c>
      <c r="D27" s="125" t="s">
        <v>414</v>
      </c>
      <c r="E27" s="126">
        <v>2</v>
      </c>
      <c r="F27" s="125" t="s">
        <v>94</v>
      </c>
      <c r="G27" s="125" t="s">
        <v>430</v>
      </c>
      <c r="H27" s="125" t="s">
        <v>432</v>
      </c>
      <c r="I27" s="82" t="s">
        <v>57</v>
      </c>
      <c r="J27" s="125" t="s">
        <v>67</v>
      </c>
      <c r="K27" s="82" t="s">
        <v>435</v>
      </c>
      <c r="L27" s="82" t="s">
        <v>354</v>
      </c>
      <c r="M27" s="82" t="s">
        <v>74</v>
      </c>
      <c r="N27" s="82" t="s">
        <v>75</v>
      </c>
      <c r="O27" s="85">
        <v>3</v>
      </c>
      <c r="P27" s="86">
        <v>1</v>
      </c>
      <c r="Q27" s="86">
        <v>4</v>
      </c>
      <c r="R27" s="87">
        <v>9</v>
      </c>
      <c r="S27" s="88">
        <v>8</v>
      </c>
      <c r="T27" s="89" t="str">
        <f t="shared" ca="1" si="0"/>
        <v>Low</v>
      </c>
      <c r="U27" s="90" t="str">
        <f t="shared" ca="1" si="1"/>
        <v>Low</v>
      </c>
      <c r="V27" s="90" t="str">
        <f t="shared" ca="1" si="2"/>
        <v>Med</v>
      </c>
      <c r="W27" s="91" t="str">
        <f t="shared" ca="1" si="3"/>
        <v>Low</v>
      </c>
      <c r="X27" s="92"/>
      <c r="Y27" s="127" t="s">
        <v>219</v>
      </c>
      <c r="Z27" s="127"/>
      <c r="AA27" s="127"/>
      <c r="AB27" s="127"/>
      <c r="AC27" s="85"/>
      <c r="AD27" s="86"/>
      <c r="AE27" s="87"/>
      <c r="AF27" s="87"/>
      <c r="AG27" s="88"/>
      <c r="AH27" s="89" t="str">
        <f t="shared" ca="1" si="8"/>
        <v/>
      </c>
      <c r="AI27" s="90" t="str">
        <f t="shared" ca="1" si="9"/>
        <v/>
      </c>
      <c r="AJ27" s="90" t="str">
        <f t="shared" ca="1" si="10"/>
        <v/>
      </c>
      <c r="AK27" s="91" t="str">
        <f t="shared" ca="1" si="11"/>
        <v/>
      </c>
      <c r="AL27" s="127"/>
      <c r="AM27" s="127"/>
      <c r="AN27" s="127"/>
      <c r="AO27" s="85"/>
      <c r="AP27" s="86"/>
      <c r="AQ27" s="87"/>
      <c r="AR27" s="87"/>
      <c r="AS27" s="88"/>
      <c r="AT27" s="89" t="str">
        <f t="shared" ca="1" si="12"/>
        <v/>
      </c>
      <c r="AU27" s="90" t="str">
        <f t="shared" ca="1" si="13"/>
        <v/>
      </c>
      <c r="AV27" s="90" t="str">
        <f t="shared" ca="1" si="14"/>
        <v/>
      </c>
      <c r="AW27" s="91" t="str">
        <f t="shared" ca="1" si="15"/>
        <v/>
      </c>
      <c r="AX27" s="128"/>
      <c r="AY27" s="127"/>
    </row>
    <row r="28" spans="2:51" s="94" customFormat="1" ht="75" x14ac:dyDescent="0.25">
      <c r="B28" s="81" t="s">
        <v>417</v>
      </c>
      <c r="C28" s="82" t="s">
        <v>218</v>
      </c>
      <c r="D28" s="125" t="s">
        <v>414</v>
      </c>
      <c r="E28" s="126">
        <v>2</v>
      </c>
      <c r="F28" s="125" t="s">
        <v>94</v>
      </c>
      <c r="G28" s="125" t="s">
        <v>430</v>
      </c>
      <c r="H28" s="125" t="s">
        <v>432</v>
      </c>
      <c r="I28" s="82" t="s">
        <v>58</v>
      </c>
      <c r="J28" s="125" t="s">
        <v>67</v>
      </c>
      <c r="K28" s="82" t="s">
        <v>354</v>
      </c>
      <c r="L28" s="82" t="s">
        <v>354</v>
      </c>
      <c r="M28" s="82" t="s">
        <v>74</v>
      </c>
      <c r="N28" s="82" t="s">
        <v>75</v>
      </c>
      <c r="O28" s="85">
        <v>4</v>
      </c>
      <c r="P28" s="86">
        <v>1</v>
      </c>
      <c r="Q28" s="86">
        <v>4</v>
      </c>
      <c r="R28" s="87">
        <v>9</v>
      </c>
      <c r="S28" s="88">
        <v>8</v>
      </c>
      <c r="T28" s="89" t="str">
        <f t="shared" ca="1" si="0"/>
        <v>Low</v>
      </c>
      <c r="U28" s="90" t="str">
        <f t="shared" ca="1" si="1"/>
        <v>Low</v>
      </c>
      <c r="V28" s="90" t="str">
        <f t="shared" ca="1" si="2"/>
        <v>Med</v>
      </c>
      <c r="W28" s="91" t="str">
        <f t="shared" ca="1" si="3"/>
        <v>Med</v>
      </c>
      <c r="X28" s="92" t="s">
        <v>436</v>
      </c>
      <c r="Y28" s="127" t="s">
        <v>219</v>
      </c>
      <c r="Z28" s="127"/>
      <c r="AA28" s="127"/>
      <c r="AB28" s="127"/>
      <c r="AC28" s="85"/>
      <c r="AD28" s="86"/>
      <c r="AE28" s="87"/>
      <c r="AF28" s="87"/>
      <c r="AG28" s="88"/>
      <c r="AH28" s="89" t="str">
        <f t="shared" ca="1" si="8"/>
        <v/>
      </c>
      <c r="AI28" s="90" t="str">
        <f t="shared" ca="1" si="9"/>
        <v/>
      </c>
      <c r="AJ28" s="90" t="str">
        <f t="shared" ca="1" si="10"/>
        <v/>
      </c>
      <c r="AK28" s="91" t="str">
        <f t="shared" ca="1" si="11"/>
        <v/>
      </c>
      <c r="AL28" s="127"/>
      <c r="AM28" s="127"/>
      <c r="AN28" s="127"/>
      <c r="AO28" s="85"/>
      <c r="AP28" s="86"/>
      <c r="AQ28" s="87"/>
      <c r="AR28" s="87"/>
      <c r="AS28" s="88"/>
      <c r="AT28" s="89" t="str">
        <f t="shared" ca="1" si="12"/>
        <v/>
      </c>
      <c r="AU28" s="90" t="str">
        <f t="shared" ca="1" si="13"/>
        <v/>
      </c>
      <c r="AV28" s="90" t="str">
        <f t="shared" ca="1" si="14"/>
        <v/>
      </c>
      <c r="AW28" s="91" t="str">
        <f t="shared" ca="1" si="15"/>
        <v/>
      </c>
      <c r="AX28" s="128"/>
      <c r="AY28" s="127"/>
    </row>
    <row r="29" spans="2:51" s="94" customFormat="1" ht="90" x14ac:dyDescent="0.25">
      <c r="B29" s="81" t="s">
        <v>418</v>
      </c>
      <c r="C29" s="82" t="s">
        <v>422</v>
      </c>
      <c r="D29" s="125" t="s">
        <v>423</v>
      </c>
      <c r="E29" s="129">
        <v>2</v>
      </c>
      <c r="F29" s="125" t="s">
        <v>94</v>
      </c>
      <c r="G29" s="125" t="s">
        <v>431</v>
      </c>
      <c r="H29" s="125" t="s">
        <v>433</v>
      </c>
      <c r="I29" s="82" t="s">
        <v>100</v>
      </c>
      <c r="J29" s="125" t="s">
        <v>67</v>
      </c>
      <c r="K29" s="82" t="s">
        <v>354</v>
      </c>
      <c r="L29" s="82" t="s">
        <v>354</v>
      </c>
      <c r="M29" s="82" t="s">
        <v>74</v>
      </c>
      <c r="N29" s="82" t="s">
        <v>75</v>
      </c>
      <c r="O29" s="85">
        <v>4</v>
      </c>
      <c r="P29" s="86">
        <v>1</v>
      </c>
      <c r="Q29" s="86">
        <v>1</v>
      </c>
      <c r="R29" s="87">
        <v>9</v>
      </c>
      <c r="S29" s="88">
        <v>8</v>
      </c>
      <c r="T29" s="89" t="str">
        <f t="shared" ca="1" si="0"/>
        <v>Low</v>
      </c>
      <c r="U29" s="90" t="str">
        <f t="shared" ca="1" si="1"/>
        <v>Low</v>
      </c>
      <c r="V29" s="90" t="str">
        <f t="shared" ca="1" si="2"/>
        <v>Med</v>
      </c>
      <c r="W29" s="91" t="str">
        <f t="shared" ca="1" si="3"/>
        <v>Med</v>
      </c>
      <c r="X29" s="92" t="s">
        <v>361</v>
      </c>
      <c r="Y29" s="127" t="s">
        <v>217</v>
      </c>
      <c r="Z29" s="127"/>
      <c r="AA29" s="130"/>
      <c r="AB29" s="130"/>
      <c r="AC29" s="85"/>
      <c r="AD29" s="86"/>
      <c r="AE29" s="87"/>
      <c r="AF29" s="87"/>
      <c r="AG29" s="88"/>
      <c r="AH29" s="89" t="str">
        <f t="shared" ca="1" si="8"/>
        <v/>
      </c>
      <c r="AI29" s="90" t="str">
        <f t="shared" ca="1" si="9"/>
        <v/>
      </c>
      <c r="AJ29" s="90" t="str">
        <f t="shared" ca="1" si="10"/>
        <v/>
      </c>
      <c r="AK29" s="91" t="str">
        <f t="shared" ca="1" si="11"/>
        <v/>
      </c>
      <c r="AL29" s="130"/>
      <c r="AM29" s="130"/>
      <c r="AN29" s="130"/>
      <c r="AO29" s="85"/>
      <c r="AP29" s="86"/>
      <c r="AQ29" s="87"/>
      <c r="AR29" s="87"/>
      <c r="AS29" s="88"/>
      <c r="AT29" s="89" t="str">
        <f t="shared" ca="1" si="12"/>
        <v/>
      </c>
      <c r="AU29" s="90" t="str">
        <f t="shared" ca="1" si="13"/>
        <v/>
      </c>
      <c r="AV29" s="90" t="str">
        <f t="shared" ca="1" si="14"/>
        <v/>
      </c>
      <c r="AW29" s="91" t="str">
        <f t="shared" ca="1" si="15"/>
        <v/>
      </c>
      <c r="AX29" s="130"/>
      <c r="AY29" s="130"/>
    </row>
    <row r="30" spans="2:51" s="94" customFormat="1" ht="75.75" thickBot="1" x14ac:dyDescent="0.3">
      <c r="B30" s="81" t="s">
        <v>419</v>
      </c>
      <c r="C30" s="82" t="s">
        <v>422</v>
      </c>
      <c r="D30" s="131" t="s">
        <v>423</v>
      </c>
      <c r="E30" s="132">
        <v>2</v>
      </c>
      <c r="F30" s="125" t="s">
        <v>94</v>
      </c>
      <c r="G30" s="125" t="s">
        <v>431</v>
      </c>
      <c r="H30" s="131" t="s">
        <v>433</v>
      </c>
      <c r="I30" s="82" t="s">
        <v>101</v>
      </c>
      <c r="J30" s="125" t="s">
        <v>67</v>
      </c>
      <c r="K30" s="82" t="s">
        <v>354</v>
      </c>
      <c r="L30" s="82" t="s">
        <v>354</v>
      </c>
      <c r="M30" s="82" t="s">
        <v>74</v>
      </c>
      <c r="N30" s="82" t="s">
        <v>75</v>
      </c>
      <c r="O30" s="133">
        <v>3</v>
      </c>
      <c r="P30" s="134">
        <v>1</v>
      </c>
      <c r="Q30" s="134">
        <v>1</v>
      </c>
      <c r="R30" s="135">
        <v>9</v>
      </c>
      <c r="S30" s="136">
        <v>8</v>
      </c>
      <c r="T30" s="137" t="str">
        <f t="shared" ca="1" si="0"/>
        <v>Low</v>
      </c>
      <c r="U30" s="138" t="str">
        <f t="shared" ca="1" si="1"/>
        <v>Low</v>
      </c>
      <c r="V30" s="138" t="str">
        <f t="shared" ca="1" si="2"/>
        <v>Med</v>
      </c>
      <c r="W30" s="139" t="str">
        <f t="shared" ca="1" si="3"/>
        <v>Low</v>
      </c>
      <c r="X30" s="92" t="s">
        <v>363</v>
      </c>
      <c r="Y30" s="127" t="s">
        <v>217</v>
      </c>
      <c r="Z30" s="127"/>
      <c r="AA30" s="140"/>
      <c r="AB30" s="140"/>
      <c r="AC30" s="133"/>
      <c r="AD30" s="134"/>
      <c r="AE30" s="135"/>
      <c r="AF30" s="135"/>
      <c r="AG30" s="136"/>
      <c r="AH30" s="137" t="str">
        <f t="shared" ca="1" si="8"/>
        <v/>
      </c>
      <c r="AI30" s="138" t="str">
        <f t="shared" ca="1" si="9"/>
        <v/>
      </c>
      <c r="AJ30" s="138" t="str">
        <f t="shared" ca="1" si="10"/>
        <v/>
      </c>
      <c r="AK30" s="139" t="str">
        <f t="shared" ca="1" si="11"/>
        <v/>
      </c>
      <c r="AL30" s="140"/>
      <c r="AM30" s="140"/>
      <c r="AN30" s="140"/>
      <c r="AO30" s="133"/>
      <c r="AP30" s="134"/>
      <c r="AQ30" s="135"/>
      <c r="AR30" s="135"/>
      <c r="AS30" s="136"/>
      <c r="AT30" s="137" t="str">
        <f t="shared" ca="1" si="12"/>
        <v/>
      </c>
      <c r="AU30" s="138" t="str">
        <f t="shared" ca="1" si="13"/>
        <v/>
      </c>
      <c r="AV30" s="138" t="str">
        <f t="shared" ca="1" si="14"/>
        <v/>
      </c>
      <c r="AW30" s="139" t="str">
        <f t="shared" ca="1" si="15"/>
        <v/>
      </c>
      <c r="AX30" s="140"/>
      <c r="AY30" s="140"/>
    </row>
    <row r="31" spans="2:51" s="94" customFormat="1" ht="75.75" thickBot="1" x14ac:dyDescent="0.3">
      <c r="B31" s="81" t="s">
        <v>420</v>
      </c>
      <c r="C31" s="82" t="s">
        <v>422</v>
      </c>
      <c r="D31" s="131" t="s">
        <v>423</v>
      </c>
      <c r="E31" s="132">
        <v>2</v>
      </c>
      <c r="F31" s="125" t="s">
        <v>94</v>
      </c>
      <c r="G31" s="125" t="s">
        <v>431</v>
      </c>
      <c r="H31" s="131" t="s">
        <v>433</v>
      </c>
      <c r="I31" s="82" t="s">
        <v>57</v>
      </c>
      <c r="J31" s="125" t="s">
        <v>67</v>
      </c>
      <c r="K31" s="82" t="s">
        <v>354</v>
      </c>
      <c r="L31" s="82" t="s">
        <v>354</v>
      </c>
      <c r="M31" s="82" t="s">
        <v>74</v>
      </c>
      <c r="N31" s="82" t="s">
        <v>75</v>
      </c>
      <c r="O31" s="133">
        <v>4</v>
      </c>
      <c r="P31" s="134">
        <v>1</v>
      </c>
      <c r="Q31" s="134">
        <v>1</v>
      </c>
      <c r="R31" s="135">
        <v>9</v>
      </c>
      <c r="S31" s="136">
        <v>8</v>
      </c>
      <c r="T31" s="137" t="str">
        <f t="shared" ca="1" si="0"/>
        <v>Low</v>
      </c>
      <c r="U31" s="138" t="str">
        <f t="shared" ca="1" si="1"/>
        <v>Low</v>
      </c>
      <c r="V31" s="138" t="str">
        <f t="shared" ca="1" si="2"/>
        <v>Med</v>
      </c>
      <c r="W31" s="139" t="str">
        <f t="shared" ca="1" si="3"/>
        <v>Med</v>
      </c>
      <c r="X31" s="92"/>
      <c r="Y31" s="127" t="s">
        <v>217</v>
      </c>
      <c r="Z31" s="127"/>
      <c r="AA31" s="140"/>
      <c r="AB31" s="140"/>
      <c r="AC31" s="133"/>
      <c r="AD31" s="134"/>
      <c r="AE31" s="135"/>
      <c r="AF31" s="135"/>
      <c r="AG31" s="136"/>
      <c r="AH31" s="137" t="str">
        <f t="shared" ca="1" si="8"/>
        <v/>
      </c>
      <c r="AI31" s="138" t="str">
        <f t="shared" ca="1" si="9"/>
        <v/>
      </c>
      <c r="AJ31" s="138" t="str">
        <f t="shared" ca="1" si="10"/>
        <v/>
      </c>
      <c r="AK31" s="139" t="str">
        <f t="shared" ca="1" si="11"/>
        <v/>
      </c>
      <c r="AL31" s="140"/>
      <c r="AM31" s="140"/>
      <c r="AN31" s="140"/>
      <c r="AO31" s="133"/>
      <c r="AP31" s="134"/>
      <c r="AQ31" s="135"/>
      <c r="AR31" s="135"/>
      <c r="AS31" s="136"/>
      <c r="AT31" s="137" t="str">
        <f t="shared" ca="1" si="12"/>
        <v/>
      </c>
      <c r="AU31" s="138" t="str">
        <f t="shared" ca="1" si="13"/>
        <v/>
      </c>
      <c r="AV31" s="138" t="str">
        <f t="shared" ca="1" si="14"/>
        <v/>
      </c>
      <c r="AW31" s="139" t="str">
        <f t="shared" ca="1" si="15"/>
        <v/>
      </c>
      <c r="AX31" s="140"/>
      <c r="AY31" s="140"/>
    </row>
    <row r="32" spans="2:51" s="94" customFormat="1" ht="75.75" thickBot="1" x14ac:dyDescent="0.3">
      <c r="B32" s="81" t="s">
        <v>421</v>
      </c>
      <c r="C32" s="82" t="s">
        <v>422</v>
      </c>
      <c r="D32" s="131" t="s">
        <v>423</v>
      </c>
      <c r="E32" s="132">
        <v>2</v>
      </c>
      <c r="F32" s="125" t="s">
        <v>94</v>
      </c>
      <c r="G32" s="125" t="s">
        <v>431</v>
      </c>
      <c r="H32" s="131" t="s">
        <v>433</v>
      </c>
      <c r="I32" s="82" t="s">
        <v>58</v>
      </c>
      <c r="J32" s="125" t="s">
        <v>67</v>
      </c>
      <c r="K32" s="82" t="s">
        <v>354</v>
      </c>
      <c r="L32" s="82" t="s">
        <v>354</v>
      </c>
      <c r="M32" s="82" t="s">
        <v>74</v>
      </c>
      <c r="N32" s="82" t="s">
        <v>75</v>
      </c>
      <c r="O32" s="133">
        <v>4</v>
      </c>
      <c r="P32" s="134">
        <v>1</v>
      </c>
      <c r="Q32" s="134">
        <v>1</v>
      </c>
      <c r="R32" s="135">
        <v>9</v>
      </c>
      <c r="S32" s="136">
        <v>8</v>
      </c>
      <c r="T32" s="137" t="str">
        <f t="shared" ca="1" si="0"/>
        <v>Low</v>
      </c>
      <c r="U32" s="138" t="str">
        <f t="shared" ca="1" si="1"/>
        <v>Low</v>
      </c>
      <c r="V32" s="138" t="str">
        <f t="shared" ca="1" si="2"/>
        <v>Med</v>
      </c>
      <c r="W32" s="139" t="str">
        <f t="shared" ca="1" si="3"/>
        <v>Med</v>
      </c>
      <c r="X32" s="92" t="s">
        <v>436</v>
      </c>
      <c r="Y32" s="127" t="s">
        <v>217</v>
      </c>
      <c r="Z32" s="127"/>
      <c r="AA32" s="140"/>
      <c r="AB32" s="140"/>
      <c r="AC32" s="133"/>
      <c r="AD32" s="134"/>
      <c r="AE32" s="135"/>
      <c r="AF32" s="135"/>
      <c r="AG32" s="136"/>
      <c r="AH32" s="137" t="str">
        <f t="shared" ca="1" si="8"/>
        <v/>
      </c>
      <c r="AI32" s="138" t="str">
        <f t="shared" ca="1" si="9"/>
        <v/>
      </c>
      <c r="AJ32" s="138" t="str">
        <f t="shared" ca="1" si="10"/>
        <v/>
      </c>
      <c r="AK32" s="139" t="str">
        <f t="shared" ca="1" si="11"/>
        <v/>
      </c>
      <c r="AL32" s="140"/>
      <c r="AM32" s="140"/>
      <c r="AN32" s="140"/>
      <c r="AO32" s="133"/>
      <c r="AP32" s="134"/>
      <c r="AQ32" s="135"/>
      <c r="AR32" s="135"/>
      <c r="AS32" s="136"/>
      <c r="AT32" s="137" t="str">
        <f t="shared" ca="1" si="12"/>
        <v/>
      </c>
      <c r="AU32" s="138" t="str">
        <f t="shared" ca="1" si="13"/>
        <v/>
      </c>
      <c r="AV32" s="138" t="str">
        <f t="shared" ca="1" si="14"/>
        <v/>
      </c>
      <c r="AW32" s="139" t="str">
        <f t="shared" ca="1" si="15"/>
        <v/>
      </c>
      <c r="AX32" s="140"/>
      <c r="AY32" s="140"/>
    </row>
    <row r="33" spans="2:51" s="94" customFormat="1" ht="90.75" thickBot="1" x14ac:dyDescent="0.3">
      <c r="B33" s="81" t="s">
        <v>424</v>
      </c>
      <c r="C33" s="82" t="s">
        <v>428</v>
      </c>
      <c r="D33" s="131" t="s">
        <v>429</v>
      </c>
      <c r="E33" s="132">
        <v>2</v>
      </c>
      <c r="F33" s="125" t="s">
        <v>94</v>
      </c>
      <c r="G33" s="125" t="s">
        <v>430</v>
      </c>
      <c r="H33" s="131" t="s">
        <v>434</v>
      </c>
      <c r="I33" s="82" t="s">
        <v>100</v>
      </c>
      <c r="J33" s="125" t="s">
        <v>67</v>
      </c>
      <c r="K33" s="82" t="s">
        <v>354</v>
      </c>
      <c r="L33" s="82" t="s">
        <v>354</v>
      </c>
      <c r="M33" s="82" t="s">
        <v>74</v>
      </c>
      <c r="N33" s="82" t="s">
        <v>75</v>
      </c>
      <c r="O33" s="133">
        <v>4</v>
      </c>
      <c r="P33" s="134">
        <v>1</v>
      </c>
      <c r="Q33" s="134">
        <v>1</v>
      </c>
      <c r="R33" s="135">
        <v>9</v>
      </c>
      <c r="S33" s="136">
        <v>8</v>
      </c>
      <c r="T33" s="137" t="str">
        <f t="shared" ca="1" si="0"/>
        <v>Low</v>
      </c>
      <c r="U33" s="138" t="str">
        <f t="shared" ca="1" si="1"/>
        <v>Low</v>
      </c>
      <c r="V33" s="138" t="str">
        <f t="shared" ca="1" si="2"/>
        <v>Med</v>
      </c>
      <c r="W33" s="139" t="str">
        <f t="shared" ca="1" si="3"/>
        <v>Med</v>
      </c>
      <c r="X33" s="92" t="s">
        <v>361</v>
      </c>
      <c r="Y33" s="127" t="s">
        <v>217</v>
      </c>
      <c r="Z33" s="127"/>
      <c r="AA33" s="140"/>
      <c r="AB33" s="140"/>
      <c r="AC33" s="133"/>
      <c r="AD33" s="134"/>
      <c r="AE33" s="135"/>
      <c r="AF33" s="135"/>
      <c r="AG33" s="136"/>
      <c r="AH33" s="137" t="str">
        <f t="shared" ca="1" si="8"/>
        <v/>
      </c>
      <c r="AI33" s="138" t="str">
        <f t="shared" ca="1" si="9"/>
        <v/>
      </c>
      <c r="AJ33" s="138" t="str">
        <f t="shared" ca="1" si="10"/>
        <v/>
      </c>
      <c r="AK33" s="139" t="str">
        <f t="shared" ca="1" si="11"/>
        <v/>
      </c>
      <c r="AL33" s="140"/>
      <c r="AM33" s="140"/>
      <c r="AN33" s="140"/>
      <c r="AO33" s="133"/>
      <c r="AP33" s="134"/>
      <c r="AQ33" s="135"/>
      <c r="AR33" s="135"/>
      <c r="AS33" s="136"/>
      <c r="AT33" s="137" t="str">
        <f t="shared" ca="1" si="12"/>
        <v/>
      </c>
      <c r="AU33" s="138" t="str">
        <f t="shared" ca="1" si="13"/>
        <v/>
      </c>
      <c r="AV33" s="138" t="str">
        <f t="shared" ca="1" si="14"/>
        <v/>
      </c>
      <c r="AW33" s="139" t="str">
        <f t="shared" ca="1" si="15"/>
        <v/>
      </c>
      <c r="AX33" s="140"/>
      <c r="AY33" s="140"/>
    </row>
    <row r="34" spans="2:51" s="94" customFormat="1" ht="75.75" thickBot="1" x14ac:dyDescent="0.3">
      <c r="B34" s="81" t="s">
        <v>425</v>
      </c>
      <c r="C34" s="82" t="s">
        <v>428</v>
      </c>
      <c r="D34" s="131" t="s">
        <v>423</v>
      </c>
      <c r="E34" s="132">
        <v>2</v>
      </c>
      <c r="F34" s="125" t="s">
        <v>94</v>
      </c>
      <c r="G34" s="125" t="s">
        <v>430</v>
      </c>
      <c r="H34" s="131" t="s">
        <v>434</v>
      </c>
      <c r="I34" s="82" t="s">
        <v>101</v>
      </c>
      <c r="J34" s="125" t="s">
        <v>67</v>
      </c>
      <c r="K34" s="82" t="s">
        <v>354</v>
      </c>
      <c r="L34" s="82" t="s">
        <v>354</v>
      </c>
      <c r="M34" s="82" t="s">
        <v>74</v>
      </c>
      <c r="N34" s="82" t="s">
        <v>75</v>
      </c>
      <c r="O34" s="133">
        <v>3</v>
      </c>
      <c r="P34" s="134">
        <v>1</v>
      </c>
      <c r="Q34" s="134">
        <v>1</v>
      </c>
      <c r="R34" s="135">
        <v>9</v>
      </c>
      <c r="S34" s="136">
        <v>8</v>
      </c>
      <c r="T34" s="137" t="str">
        <f t="shared" ca="1" si="0"/>
        <v>Low</v>
      </c>
      <c r="U34" s="138" t="str">
        <f t="shared" ca="1" si="1"/>
        <v>Low</v>
      </c>
      <c r="V34" s="138" t="str">
        <f t="shared" ca="1" si="2"/>
        <v>Med</v>
      </c>
      <c r="W34" s="139" t="str">
        <f t="shared" ca="1" si="3"/>
        <v>Low</v>
      </c>
      <c r="X34" s="92" t="s">
        <v>363</v>
      </c>
      <c r="Y34" s="127" t="s">
        <v>217</v>
      </c>
      <c r="Z34" s="127"/>
      <c r="AA34" s="140"/>
      <c r="AB34" s="140"/>
      <c r="AC34" s="133"/>
      <c r="AD34" s="134"/>
      <c r="AE34" s="135"/>
      <c r="AF34" s="135"/>
      <c r="AG34" s="136"/>
      <c r="AH34" s="137" t="str">
        <f t="shared" ca="1" si="8"/>
        <v/>
      </c>
      <c r="AI34" s="138" t="str">
        <f t="shared" ca="1" si="9"/>
        <v/>
      </c>
      <c r="AJ34" s="138" t="str">
        <f t="shared" ca="1" si="10"/>
        <v/>
      </c>
      <c r="AK34" s="139" t="str">
        <f t="shared" ca="1" si="11"/>
        <v/>
      </c>
      <c r="AL34" s="140"/>
      <c r="AM34" s="140"/>
      <c r="AN34" s="140"/>
      <c r="AO34" s="133"/>
      <c r="AP34" s="134"/>
      <c r="AQ34" s="135"/>
      <c r="AR34" s="135"/>
      <c r="AS34" s="136"/>
      <c r="AT34" s="137" t="str">
        <f t="shared" ca="1" si="12"/>
        <v/>
      </c>
      <c r="AU34" s="138" t="str">
        <f t="shared" ca="1" si="13"/>
        <v/>
      </c>
      <c r="AV34" s="138" t="str">
        <f t="shared" ca="1" si="14"/>
        <v/>
      </c>
      <c r="AW34" s="139" t="str">
        <f t="shared" ca="1" si="15"/>
        <v/>
      </c>
      <c r="AX34" s="140"/>
      <c r="AY34" s="140"/>
    </row>
    <row r="35" spans="2:51" s="94" customFormat="1" ht="75.75" thickBot="1" x14ac:dyDescent="0.3">
      <c r="B35" s="81" t="s">
        <v>426</v>
      </c>
      <c r="C35" s="82" t="s">
        <v>428</v>
      </c>
      <c r="D35" s="131" t="s">
        <v>423</v>
      </c>
      <c r="E35" s="132">
        <v>2</v>
      </c>
      <c r="F35" s="125" t="s">
        <v>94</v>
      </c>
      <c r="G35" s="125" t="s">
        <v>430</v>
      </c>
      <c r="H35" s="131" t="s">
        <v>434</v>
      </c>
      <c r="I35" s="82" t="s">
        <v>57</v>
      </c>
      <c r="J35" s="125" t="s">
        <v>67</v>
      </c>
      <c r="K35" s="82" t="s">
        <v>435</v>
      </c>
      <c r="L35" s="82" t="s">
        <v>354</v>
      </c>
      <c r="M35" s="82" t="s">
        <v>74</v>
      </c>
      <c r="N35" s="82" t="s">
        <v>75</v>
      </c>
      <c r="O35" s="133">
        <v>3</v>
      </c>
      <c r="P35" s="134">
        <v>1</v>
      </c>
      <c r="Q35" s="134">
        <v>1</v>
      </c>
      <c r="R35" s="135">
        <v>9</v>
      </c>
      <c r="S35" s="136">
        <v>8</v>
      </c>
      <c r="T35" s="137" t="str">
        <f t="shared" ca="1" si="0"/>
        <v>Low</v>
      </c>
      <c r="U35" s="138" t="str">
        <f t="shared" ca="1" si="1"/>
        <v>Low</v>
      </c>
      <c r="V35" s="138" t="str">
        <f t="shared" ca="1" si="2"/>
        <v>Med</v>
      </c>
      <c r="W35" s="139" t="str">
        <f t="shared" ca="1" si="3"/>
        <v>Low</v>
      </c>
      <c r="X35" s="92"/>
      <c r="Y35" s="127" t="s">
        <v>217</v>
      </c>
      <c r="Z35" s="127"/>
      <c r="AA35" s="140"/>
      <c r="AB35" s="140"/>
      <c r="AC35" s="133"/>
      <c r="AD35" s="134"/>
      <c r="AE35" s="135"/>
      <c r="AF35" s="135"/>
      <c r="AG35" s="136"/>
      <c r="AH35" s="137" t="str">
        <f t="shared" ca="1" si="8"/>
        <v/>
      </c>
      <c r="AI35" s="138" t="str">
        <f t="shared" ca="1" si="9"/>
        <v/>
      </c>
      <c r="AJ35" s="138" t="str">
        <f t="shared" ca="1" si="10"/>
        <v/>
      </c>
      <c r="AK35" s="139" t="str">
        <f t="shared" ca="1" si="11"/>
        <v/>
      </c>
      <c r="AL35" s="140"/>
      <c r="AM35" s="140"/>
      <c r="AN35" s="140"/>
      <c r="AO35" s="133"/>
      <c r="AP35" s="134"/>
      <c r="AQ35" s="135"/>
      <c r="AR35" s="135"/>
      <c r="AS35" s="136"/>
      <c r="AT35" s="137" t="str">
        <f t="shared" ca="1" si="12"/>
        <v/>
      </c>
      <c r="AU35" s="138" t="str">
        <f t="shared" ca="1" si="13"/>
        <v/>
      </c>
      <c r="AV35" s="138" t="str">
        <f t="shared" ca="1" si="14"/>
        <v/>
      </c>
      <c r="AW35" s="139" t="str">
        <f t="shared" ca="1" si="15"/>
        <v/>
      </c>
      <c r="AX35" s="140"/>
      <c r="AY35" s="140"/>
    </row>
    <row r="36" spans="2:51" s="94" customFormat="1" ht="75.75" thickBot="1" x14ac:dyDescent="0.3">
      <c r="B36" s="81" t="s">
        <v>427</v>
      </c>
      <c r="C36" s="82" t="s">
        <v>428</v>
      </c>
      <c r="D36" s="131" t="s">
        <v>423</v>
      </c>
      <c r="E36" s="132">
        <v>2</v>
      </c>
      <c r="F36" s="125" t="s">
        <v>94</v>
      </c>
      <c r="G36" s="125" t="s">
        <v>430</v>
      </c>
      <c r="H36" s="131" t="s">
        <v>434</v>
      </c>
      <c r="I36" s="82" t="s">
        <v>58</v>
      </c>
      <c r="J36" s="125" t="s">
        <v>67</v>
      </c>
      <c r="K36" s="82" t="s">
        <v>354</v>
      </c>
      <c r="L36" s="82" t="s">
        <v>354</v>
      </c>
      <c r="M36" s="82" t="s">
        <v>74</v>
      </c>
      <c r="N36" s="82" t="s">
        <v>75</v>
      </c>
      <c r="O36" s="133">
        <v>4</v>
      </c>
      <c r="P36" s="134">
        <v>1</v>
      </c>
      <c r="Q36" s="134">
        <v>1</v>
      </c>
      <c r="R36" s="135">
        <v>9</v>
      </c>
      <c r="S36" s="136">
        <v>8</v>
      </c>
      <c r="T36" s="137" t="str">
        <f t="shared" ca="1" si="0"/>
        <v>Low</v>
      </c>
      <c r="U36" s="138" t="str">
        <f t="shared" ca="1" si="1"/>
        <v>Low</v>
      </c>
      <c r="V36" s="138" t="str">
        <f t="shared" ca="1" si="2"/>
        <v>Med</v>
      </c>
      <c r="W36" s="139" t="str">
        <f t="shared" ca="1" si="3"/>
        <v>Med</v>
      </c>
      <c r="X36" s="92" t="s">
        <v>436</v>
      </c>
      <c r="Y36" s="127" t="s">
        <v>217</v>
      </c>
      <c r="Z36" s="127"/>
      <c r="AA36" s="140"/>
      <c r="AB36" s="140"/>
      <c r="AC36" s="133"/>
      <c r="AD36" s="134"/>
      <c r="AE36" s="135"/>
      <c r="AF36" s="135"/>
      <c r="AG36" s="136"/>
      <c r="AH36" s="137" t="str">
        <f t="shared" ca="1" si="8"/>
        <v/>
      </c>
      <c r="AI36" s="138" t="str">
        <f t="shared" ca="1" si="9"/>
        <v/>
      </c>
      <c r="AJ36" s="138" t="str">
        <f t="shared" ca="1" si="10"/>
        <v/>
      </c>
      <c r="AK36" s="139" t="str">
        <f t="shared" ca="1" si="11"/>
        <v/>
      </c>
      <c r="AL36" s="140"/>
      <c r="AM36" s="140"/>
      <c r="AN36" s="140"/>
      <c r="AO36" s="133"/>
      <c r="AP36" s="134"/>
      <c r="AQ36" s="135"/>
      <c r="AR36" s="135"/>
      <c r="AS36" s="136"/>
      <c r="AT36" s="137" t="str">
        <f t="shared" ca="1" si="12"/>
        <v/>
      </c>
      <c r="AU36" s="138" t="str">
        <f t="shared" ca="1" si="13"/>
        <v/>
      </c>
      <c r="AV36" s="138" t="str">
        <f t="shared" ca="1" si="14"/>
        <v/>
      </c>
      <c r="AW36" s="139" t="str">
        <f t="shared" ca="1" si="15"/>
        <v/>
      </c>
      <c r="AX36" s="140"/>
      <c r="AY36" s="140"/>
    </row>
    <row r="37" spans="2:51" s="141" customFormat="1" ht="135.75" thickBot="1" x14ac:dyDescent="0.3">
      <c r="B37" s="142" t="s">
        <v>193</v>
      </c>
      <c r="C37" s="143" t="s">
        <v>192</v>
      </c>
      <c r="D37" s="144" t="s">
        <v>194</v>
      </c>
      <c r="E37" s="145">
        <v>2</v>
      </c>
      <c r="F37" s="146" t="s">
        <v>94</v>
      </c>
      <c r="G37" s="146" t="s">
        <v>164</v>
      </c>
      <c r="H37" s="144" t="s">
        <v>160</v>
      </c>
      <c r="I37" s="143" t="s">
        <v>100</v>
      </c>
      <c r="J37" s="146" t="s">
        <v>67</v>
      </c>
      <c r="K37" s="143" t="s">
        <v>354</v>
      </c>
      <c r="L37" s="143" t="s">
        <v>68</v>
      </c>
      <c r="M37" s="143" t="s">
        <v>74</v>
      </c>
      <c r="N37" s="143" t="s">
        <v>161</v>
      </c>
      <c r="O37" s="147">
        <v>4</v>
      </c>
      <c r="P37" s="148">
        <v>1</v>
      </c>
      <c r="Q37" s="148">
        <v>1</v>
      </c>
      <c r="R37" s="149">
        <v>5</v>
      </c>
      <c r="S37" s="150">
        <v>6</v>
      </c>
      <c r="T37" s="151" t="str">
        <f t="shared" ca="1" si="0"/>
        <v>Low</v>
      </c>
      <c r="U37" s="152" t="str">
        <f t="shared" ca="1" si="1"/>
        <v>Low</v>
      </c>
      <c r="V37" s="152" t="str">
        <f t="shared" ca="1" si="2"/>
        <v>Low</v>
      </c>
      <c r="W37" s="153" t="str">
        <f t="shared" ca="1" si="3"/>
        <v>Low</v>
      </c>
      <c r="X37" s="154" t="s">
        <v>361</v>
      </c>
      <c r="Y37" s="155" t="s">
        <v>275</v>
      </c>
      <c r="Z37" s="155" t="s">
        <v>358</v>
      </c>
      <c r="AA37" s="156"/>
      <c r="AB37" s="156"/>
      <c r="AC37" s="147"/>
      <c r="AD37" s="148"/>
      <c r="AE37" s="149"/>
      <c r="AF37" s="149"/>
      <c r="AG37" s="150"/>
      <c r="AH37" s="151" t="str">
        <f t="shared" ca="1" si="8"/>
        <v/>
      </c>
      <c r="AI37" s="152" t="str">
        <f t="shared" ca="1" si="9"/>
        <v/>
      </c>
      <c r="AJ37" s="152" t="str">
        <f t="shared" ca="1" si="10"/>
        <v/>
      </c>
      <c r="AK37" s="153" t="str">
        <f t="shared" ca="1" si="11"/>
        <v/>
      </c>
      <c r="AL37" s="156"/>
      <c r="AM37" s="156"/>
      <c r="AN37" s="156"/>
      <c r="AO37" s="147"/>
      <c r="AP37" s="148"/>
      <c r="AQ37" s="149"/>
      <c r="AR37" s="149"/>
      <c r="AS37" s="150"/>
      <c r="AT37" s="151" t="str">
        <f t="shared" ca="1" si="12"/>
        <v/>
      </c>
      <c r="AU37" s="152" t="str">
        <f t="shared" ca="1" si="13"/>
        <v/>
      </c>
      <c r="AV37" s="152" t="str">
        <f t="shared" ca="1" si="14"/>
        <v/>
      </c>
      <c r="AW37" s="153" t="str">
        <f t="shared" ca="1" si="15"/>
        <v/>
      </c>
      <c r="AX37" s="157"/>
      <c r="AY37" s="156"/>
    </row>
    <row r="38" spans="2:51" s="141" customFormat="1" ht="90" x14ac:dyDescent="0.25">
      <c r="B38" s="142" t="s">
        <v>368</v>
      </c>
      <c r="C38" s="143" t="s">
        <v>201</v>
      </c>
      <c r="D38" s="143" t="s">
        <v>202</v>
      </c>
      <c r="E38" s="158">
        <v>2</v>
      </c>
      <c r="F38" s="143" t="s">
        <v>438</v>
      </c>
      <c r="G38" s="143" t="s">
        <v>223</v>
      </c>
      <c r="H38" s="159" t="s">
        <v>372</v>
      </c>
      <c r="I38" s="143" t="s">
        <v>100</v>
      </c>
      <c r="J38" s="143" t="s">
        <v>67</v>
      </c>
      <c r="K38" s="143" t="s">
        <v>123</v>
      </c>
      <c r="L38" s="143" t="s">
        <v>68</v>
      </c>
      <c r="M38" s="143" t="s">
        <v>236</v>
      </c>
      <c r="N38" s="143" t="s">
        <v>224</v>
      </c>
      <c r="O38" s="160">
        <v>6</v>
      </c>
      <c r="P38" s="161">
        <v>1</v>
      </c>
      <c r="Q38" s="162">
        <v>3</v>
      </c>
      <c r="R38" s="162">
        <v>7</v>
      </c>
      <c r="S38" s="163">
        <v>7</v>
      </c>
      <c r="T38" s="164" t="str">
        <f t="shared" ref="T38:T69" ca="1" si="16">IF(AND(ISNUMBER(P38),ISNUMBER($O38)),OFFSET(RiskMatrixRef,-$O38+1,P38-1),"")</f>
        <v>Low</v>
      </c>
      <c r="U38" s="165" t="str">
        <f t="shared" ref="U38:U69" ca="1" si="17">IF(AND(ISNUMBER(Q38),ISNUMBER($O38)),OFFSET(RiskMatrixRef,-$O38+1,Q38-1),"")</f>
        <v>Low</v>
      </c>
      <c r="V38" s="165" t="str">
        <f t="shared" ref="V38:V69" ca="1" si="18">IF(AND(ISNUMBER(R38),ISNUMBER($O38)),OFFSET(RiskMatrixRef,-$O38+1,R38-1),"")</f>
        <v>Med</v>
      </c>
      <c r="W38" s="166" t="str">
        <f t="shared" ref="W38:W69" ca="1" si="19">IF(AND(ISNUMBER(S38),ISNUMBER($O38)),OFFSET(RiskMatrixRef,-$O38+1,S38-1),"")</f>
        <v>Med</v>
      </c>
      <c r="X38" s="154" t="s">
        <v>361</v>
      </c>
      <c r="Y38" s="154" t="s">
        <v>251</v>
      </c>
      <c r="Z38" s="154"/>
      <c r="AA38" s="154"/>
      <c r="AB38" s="154"/>
      <c r="AC38" s="160"/>
      <c r="AD38" s="161"/>
      <c r="AE38" s="162"/>
      <c r="AF38" s="162"/>
      <c r="AG38" s="163"/>
      <c r="AH38" s="164"/>
      <c r="AI38" s="165"/>
      <c r="AJ38" s="165"/>
      <c r="AK38" s="166"/>
      <c r="AL38" s="154"/>
      <c r="AM38" s="154"/>
      <c r="AN38" s="154"/>
      <c r="AO38" s="160"/>
      <c r="AP38" s="161"/>
      <c r="AQ38" s="162"/>
      <c r="AR38" s="162"/>
      <c r="AS38" s="163"/>
      <c r="AT38" s="164"/>
      <c r="AU38" s="165"/>
      <c r="AV38" s="165"/>
      <c r="AW38" s="166"/>
      <c r="AX38" s="167"/>
      <c r="AY38" s="154"/>
    </row>
    <row r="39" spans="2:51" s="141" customFormat="1" ht="45" x14ac:dyDescent="0.25">
      <c r="B39" s="142" t="s">
        <v>369</v>
      </c>
      <c r="C39" s="143" t="s">
        <v>201</v>
      </c>
      <c r="D39" s="143" t="s">
        <v>202</v>
      </c>
      <c r="E39" s="158">
        <v>2</v>
      </c>
      <c r="F39" s="143" t="s">
        <v>438</v>
      </c>
      <c r="G39" s="143" t="s">
        <v>223</v>
      </c>
      <c r="H39" s="159" t="s">
        <v>372</v>
      </c>
      <c r="I39" s="143" t="s">
        <v>101</v>
      </c>
      <c r="J39" s="143" t="s">
        <v>67</v>
      </c>
      <c r="K39" s="143" t="s">
        <v>123</v>
      </c>
      <c r="L39" s="143" t="s">
        <v>68</v>
      </c>
      <c r="M39" s="143" t="s">
        <v>236</v>
      </c>
      <c r="N39" s="143" t="s">
        <v>224</v>
      </c>
      <c r="O39" s="160">
        <v>2</v>
      </c>
      <c r="P39" s="161">
        <v>1</v>
      </c>
      <c r="Q39" s="162">
        <v>3</v>
      </c>
      <c r="R39" s="162">
        <v>7</v>
      </c>
      <c r="S39" s="163">
        <v>7</v>
      </c>
      <c r="T39" s="164" t="str">
        <f t="shared" ca="1" si="16"/>
        <v>Low</v>
      </c>
      <c r="U39" s="165" t="str">
        <f t="shared" ca="1" si="17"/>
        <v>Low</v>
      </c>
      <c r="V39" s="165" t="str">
        <f t="shared" ca="1" si="18"/>
        <v>Low</v>
      </c>
      <c r="W39" s="166" t="str">
        <f t="shared" ca="1" si="19"/>
        <v>Low</v>
      </c>
      <c r="X39" s="154" t="s">
        <v>366</v>
      </c>
      <c r="Y39" s="154" t="s">
        <v>246</v>
      </c>
      <c r="Z39" s="154"/>
      <c r="AA39" s="154"/>
      <c r="AB39" s="154"/>
      <c r="AC39" s="160"/>
      <c r="AD39" s="161"/>
      <c r="AE39" s="162"/>
      <c r="AF39" s="162"/>
      <c r="AG39" s="163"/>
      <c r="AH39" s="164"/>
      <c r="AI39" s="165"/>
      <c r="AJ39" s="165"/>
      <c r="AK39" s="166"/>
      <c r="AL39" s="154"/>
      <c r="AM39" s="154"/>
      <c r="AN39" s="154"/>
      <c r="AO39" s="160"/>
      <c r="AP39" s="161"/>
      <c r="AQ39" s="162"/>
      <c r="AR39" s="162"/>
      <c r="AS39" s="163"/>
      <c r="AT39" s="164"/>
      <c r="AU39" s="165"/>
      <c r="AV39" s="165"/>
      <c r="AW39" s="166"/>
      <c r="AX39" s="167"/>
      <c r="AY39" s="154"/>
    </row>
    <row r="40" spans="2:51" s="141" customFormat="1" ht="45" x14ac:dyDescent="0.25">
      <c r="B40" s="142" t="s">
        <v>370</v>
      </c>
      <c r="C40" s="143" t="s">
        <v>201</v>
      </c>
      <c r="D40" s="143" t="s">
        <v>202</v>
      </c>
      <c r="E40" s="158">
        <v>2</v>
      </c>
      <c r="F40" s="143" t="s">
        <v>438</v>
      </c>
      <c r="G40" s="143" t="s">
        <v>223</v>
      </c>
      <c r="H40" s="143" t="s">
        <v>372</v>
      </c>
      <c r="I40" s="143" t="s">
        <v>102</v>
      </c>
      <c r="J40" s="143" t="s">
        <v>67</v>
      </c>
      <c r="K40" s="143" t="s">
        <v>123</v>
      </c>
      <c r="L40" s="143" t="s">
        <v>68</v>
      </c>
      <c r="M40" s="143" t="s">
        <v>236</v>
      </c>
      <c r="N40" s="143" t="s">
        <v>224</v>
      </c>
      <c r="O40" s="160">
        <v>2</v>
      </c>
      <c r="P40" s="161">
        <v>1</v>
      </c>
      <c r="Q40" s="162">
        <v>3</v>
      </c>
      <c r="R40" s="162">
        <v>7</v>
      </c>
      <c r="S40" s="163">
        <v>7</v>
      </c>
      <c r="T40" s="164" t="str">
        <f t="shared" ca="1" si="16"/>
        <v>Low</v>
      </c>
      <c r="U40" s="165" t="str">
        <f t="shared" ca="1" si="17"/>
        <v>Low</v>
      </c>
      <c r="V40" s="165" t="str">
        <f t="shared" ca="1" si="18"/>
        <v>Low</v>
      </c>
      <c r="W40" s="166" t="str">
        <f t="shared" ca="1" si="19"/>
        <v>Low</v>
      </c>
      <c r="X40" s="154"/>
      <c r="Y40" s="154"/>
      <c r="Z40" s="154"/>
      <c r="AA40" s="154"/>
      <c r="AB40" s="154"/>
      <c r="AC40" s="160"/>
      <c r="AD40" s="161"/>
      <c r="AE40" s="162"/>
      <c r="AF40" s="162"/>
      <c r="AG40" s="163"/>
      <c r="AH40" s="164"/>
      <c r="AI40" s="165"/>
      <c r="AJ40" s="165"/>
      <c r="AK40" s="166"/>
      <c r="AL40" s="154"/>
      <c r="AM40" s="154"/>
      <c r="AN40" s="154"/>
      <c r="AO40" s="160"/>
      <c r="AP40" s="161"/>
      <c r="AQ40" s="162"/>
      <c r="AR40" s="162"/>
      <c r="AS40" s="163"/>
      <c r="AT40" s="164"/>
      <c r="AU40" s="165"/>
      <c r="AV40" s="165"/>
      <c r="AW40" s="166"/>
      <c r="AX40" s="167"/>
      <c r="AY40" s="154"/>
    </row>
    <row r="41" spans="2:51" s="141" customFormat="1" ht="45" x14ac:dyDescent="0.25">
      <c r="B41" s="142" t="s">
        <v>371</v>
      </c>
      <c r="C41" s="143" t="s">
        <v>201</v>
      </c>
      <c r="D41" s="143" t="s">
        <v>202</v>
      </c>
      <c r="E41" s="158">
        <v>2</v>
      </c>
      <c r="F41" s="143" t="s">
        <v>438</v>
      </c>
      <c r="G41" s="143" t="s">
        <v>223</v>
      </c>
      <c r="H41" s="143" t="s">
        <v>372</v>
      </c>
      <c r="I41" s="143" t="s">
        <v>214</v>
      </c>
      <c r="J41" s="143" t="s">
        <v>67</v>
      </c>
      <c r="K41" s="143" t="s">
        <v>123</v>
      </c>
      <c r="L41" s="143" t="s">
        <v>68</v>
      </c>
      <c r="M41" s="143" t="s">
        <v>236</v>
      </c>
      <c r="N41" s="143" t="s">
        <v>224</v>
      </c>
      <c r="O41" s="160">
        <v>2</v>
      </c>
      <c r="P41" s="161">
        <v>1</v>
      </c>
      <c r="Q41" s="162">
        <v>3</v>
      </c>
      <c r="R41" s="162">
        <v>7</v>
      </c>
      <c r="S41" s="163">
        <v>7</v>
      </c>
      <c r="T41" s="164" t="str">
        <f t="shared" ca="1" si="16"/>
        <v>Low</v>
      </c>
      <c r="U41" s="165" t="str">
        <f t="shared" ca="1" si="17"/>
        <v>Low</v>
      </c>
      <c r="V41" s="165" t="str">
        <f t="shared" ca="1" si="18"/>
        <v>Low</v>
      </c>
      <c r="W41" s="166" t="str">
        <f t="shared" ca="1" si="19"/>
        <v>Low</v>
      </c>
      <c r="X41" s="154" t="s">
        <v>373</v>
      </c>
      <c r="Y41" s="154" t="s">
        <v>252</v>
      </c>
      <c r="Z41" s="154"/>
      <c r="AA41" s="154"/>
      <c r="AB41" s="154"/>
      <c r="AC41" s="160"/>
      <c r="AD41" s="161"/>
      <c r="AE41" s="162"/>
      <c r="AF41" s="162"/>
      <c r="AG41" s="163"/>
      <c r="AH41" s="164"/>
      <c r="AI41" s="165"/>
      <c r="AJ41" s="165"/>
      <c r="AK41" s="166"/>
      <c r="AL41" s="154"/>
      <c r="AM41" s="154"/>
      <c r="AN41" s="154"/>
      <c r="AO41" s="160"/>
      <c r="AP41" s="161"/>
      <c r="AQ41" s="162"/>
      <c r="AR41" s="162"/>
      <c r="AS41" s="163"/>
      <c r="AT41" s="164"/>
      <c r="AU41" s="165"/>
      <c r="AV41" s="165"/>
      <c r="AW41" s="166"/>
      <c r="AX41" s="167"/>
      <c r="AY41" s="154"/>
    </row>
    <row r="42" spans="2:51" s="141" customFormat="1" ht="135" x14ac:dyDescent="0.25">
      <c r="B42" s="142" t="s">
        <v>195</v>
      </c>
      <c r="C42" s="143" t="s">
        <v>192</v>
      </c>
      <c r="D42" s="143" t="s">
        <v>194</v>
      </c>
      <c r="E42" s="158">
        <v>2</v>
      </c>
      <c r="F42" s="143" t="s">
        <v>438</v>
      </c>
      <c r="G42" s="143" t="s">
        <v>164</v>
      </c>
      <c r="H42" s="143" t="s">
        <v>160</v>
      </c>
      <c r="I42" s="143" t="s">
        <v>101</v>
      </c>
      <c r="J42" s="143" t="s">
        <v>67</v>
      </c>
      <c r="K42" s="143" t="s">
        <v>71</v>
      </c>
      <c r="L42" s="143" t="s">
        <v>68</v>
      </c>
      <c r="M42" s="143" t="s">
        <v>74</v>
      </c>
      <c r="N42" s="143" t="s">
        <v>161</v>
      </c>
      <c r="O42" s="160">
        <v>4</v>
      </c>
      <c r="P42" s="161">
        <v>1</v>
      </c>
      <c r="Q42" s="162">
        <v>1</v>
      </c>
      <c r="R42" s="162">
        <v>5</v>
      </c>
      <c r="S42" s="163">
        <v>6</v>
      </c>
      <c r="T42" s="164" t="str">
        <f t="shared" ca="1" si="16"/>
        <v>Low</v>
      </c>
      <c r="U42" s="165" t="str">
        <f t="shared" ca="1" si="17"/>
        <v>Low</v>
      </c>
      <c r="V42" s="165" t="str">
        <f t="shared" ca="1" si="18"/>
        <v>Low</v>
      </c>
      <c r="W42" s="166" t="str">
        <f t="shared" ca="1" si="19"/>
        <v>Low</v>
      </c>
      <c r="X42" s="154" t="s">
        <v>363</v>
      </c>
      <c r="Y42" s="154" t="s">
        <v>265</v>
      </c>
      <c r="Z42" s="154" t="s">
        <v>359</v>
      </c>
      <c r="AA42" s="154"/>
      <c r="AB42" s="154"/>
      <c r="AC42" s="160"/>
      <c r="AD42" s="161"/>
      <c r="AE42" s="162"/>
      <c r="AF42" s="162"/>
      <c r="AG42" s="163"/>
      <c r="AH42" s="164" t="str">
        <f t="shared" ref="AH42:AK48" ca="1" si="20">IF(AND(ISNUMBER(AD42),ISNUMBER($AC42)),OFFSET(RiskMatrixRef,-$AC42+1,AD42-1),"")</f>
        <v/>
      </c>
      <c r="AI42" s="165" t="str">
        <f t="shared" ca="1" si="20"/>
        <v/>
      </c>
      <c r="AJ42" s="165" t="str">
        <f t="shared" ca="1" si="20"/>
        <v/>
      </c>
      <c r="AK42" s="166" t="str">
        <f t="shared" ca="1" si="20"/>
        <v/>
      </c>
      <c r="AL42" s="154"/>
      <c r="AM42" s="154"/>
      <c r="AN42" s="154"/>
      <c r="AO42" s="160"/>
      <c r="AP42" s="161"/>
      <c r="AQ42" s="162"/>
      <c r="AR42" s="162"/>
      <c r="AS42" s="163"/>
      <c r="AT42" s="164" t="str">
        <f t="shared" ref="AT42:AW48" ca="1" si="21">IF(AND(ISNUMBER(AP42),ISNUMBER($AO42)),OFFSET(RiskMatrixRef,-$AO42+1,AP42-1),"")</f>
        <v/>
      </c>
      <c r="AU42" s="165" t="str">
        <f t="shared" ca="1" si="21"/>
        <v/>
      </c>
      <c r="AV42" s="165" t="str">
        <f t="shared" ca="1" si="21"/>
        <v/>
      </c>
      <c r="AW42" s="166" t="str">
        <f t="shared" ca="1" si="21"/>
        <v/>
      </c>
      <c r="AX42" s="167"/>
      <c r="AY42" s="154"/>
    </row>
    <row r="43" spans="2:51" s="168" customFormat="1" ht="135" x14ac:dyDescent="0.25">
      <c r="B43" s="142" t="s">
        <v>196</v>
      </c>
      <c r="C43" s="143" t="s">
        <v>192</v>
      </c>
      <c r="D43" s="143" t="s">
        <v>194</v>
      </c>
      <c r="E43" s="158">
        <v>2</v>
      </c>
      <c r="F43" s="143" t="s">
        <v>438</v>
      </c>
      <c r="G43" s="143" t="s">
        <v>164</v>
      </c>
      <c r="H43" s="143" t="s">
        <v>160</v>
      </c>
      <c r="I43" s="143" t="s">
        <v>57</v>
      </c>
      <c r="J43" s="143" t="s">
        <v>67</v>
      </c>
      <c r="K43" s="143" t="s">
        <v>69</v>
      </c>
      <c r="L43" s="143" t="s">
        <v>70</v>
      </c>
      <c r="M43" s="143" t="s">
        <v>122</v>
      </c>
      <c r="N43" s="143" t="s">
        <v>161</v>
      </c>
      <c r="O43" s="160">
        <v>5</v>
      </c>
      <c r="P43" s="161">
        <v>1</v>
      </c>
      <c r="Q43" s="162">
        <v>1</v>
      </c>
      <c r="R43" s="162">
        <v>5</v>
      </c>
      <c r="S43" s="163">
        <v>6</v>
      </c>
      <c r="T43" s="164" t="str">
        <f t="shared" ca="1" si="16"/>
        <v>Low</v>
      </c>
      <c r="U43" s="165" t="str">
        <f t="shared" ca="1" si="17"/>
        <v>Low</v>
      </c>
      <c r="V43" s="165" t="str">
        <f t="shared" ca="1" si="18"/>
        <v>Low</v>
      </c>
      <c r="W43" s="166" t="str">
        <f t="shared" ca="1" si="19"/>
        <v>Low</v>
      </c>
      <c r="X43" s="154" t="s">
        <v>362</v>
      </c>
      <c r="Y43" s="154"/>
      <c r="Z43" s="154" t="s">
        <v>359</v>
      </c>
      <c r="AA43" s="154"/>
      <c r="AB43" s="154"/>
      <c r="AC43" s="160"/>
      <c r="AD43" s="161"/>
      <c r="AE43" s="162"/>
      <c r="AF43" s="162"/>
      <c r="AG43" s="163"/>
      <c r="AH43" s="164" t="str">
        <f t="shared" ca="1" si="20"/>
        <v/>
      </c>
      <c r="AI43" s="165" t="str">
        <f t="shared" ca="1" si="20"/>
        <v/>
      </c>
      <c r="AJ43" s="165" t="str">
        <f t="shared" ca="1" si="20"/>
        <v/>
      </c>
      <c r="AK43" s="166" t="str">
        <f t="shared" ca="1" si="20"/>
        <v/>
      </c>
      <c r="AL43" s="154"/>
      <c r="AM43" s="154"/>
      <c r="AN43" s="154"/>
      <c r="AO43" s="160"/>
      <c r="AP43" s="161"/>
      <c r="AQ43" s="162"/>
      <c r="AR43" s="162"/>
      <c r="AS43" s="163"/>
      <c r="AT43" s="164" t="str">
        <f t="shared" ca="1" si="21"/>
        <v/>
      </c>
      <c r="AU43" s="165" t="str">
        <f t="shared" ca="1" si="21"/>
        <v/>
      </c>
      <c r="AV43" s="165" t="str">
        <f t="shared" ca="1" si="21"/>
        <v/>
      </c>
      <c r="AW43" s="166" t="str">
        <f t="shared" ca="1" si="21"/>
        <v/>
      </c>
      <c r="AX43" s="167"/>
      <c r="AY43" s="154"/>
    </row>
    <row r="44" spans="2:51" s="168" customFormat="1" ht="135" x14ac:dyDescent="0.25">
      <c r="B44" s="142" t="s">
        <v>197</v>
      </c>
      <c r="C44" s="143" t="s">
        <v>192</v>
      </c>
      <c r="D44" s="143" t="s">
        <v>194</v>
      </c>
      <c r="E44" s="158">
        <v>2</v>
      </c>
      <c r="F44" s="143" t="s">
        <v>438</v>
      </c>
      <c r="G44" s="143" t="s">
        <v>164</v>
      </c>
      <c r="H44" s="143" t="s">
        <v>160</v>
      </c>
      <c r="I44" s="143" t="s">
        <v>58</v>
      </c>
      <c r="J44" s="143" t="s">
        <v>67</v>
      </c>
      <c r="K44" s="143" t="s">
        <v>354</v>
      </c>
      <c r="L44" s="143" t="s">
        <v>68</v>
      </c>
      <c r="M44" s="143" t="s">
        <v>74</v>
      </c>
      <c r="N44" s="143" t="s">
        <v>161</v>
      </c>
      <c r="O44" s="160">
        <v>5</v>
      </c>
      <c r="P44" s="161">
        <v>1</v>
      </c>
      <c r="Q44" s="162">
        <v>1</v>
      </c>
      <c r="R44" s="162">
        <v>5</v>
      </c>
      <c r="S44" s="163">
        <v>6</v>
      </c>
      <c r="T44" s="164" t="str">
        <f t="shared" ca="1" si="16"/>
        <v>Low</v>
      </c>
      <c r="U44" s="165" t="str">
        <f t="shared" ca="1" si="17"/>
        <v>Low</v>
      </c>
      <c r="V44" s="165" t="str">
        <f t="shared" ca="1" si="18"/>
        <v>Low</v>
      </c>
      <c r="W44" s="166" t="str">
        <f t="shared" ca="1" si="19"/>
        <v>Low</v>
      </c>
      <c r="X44" s="154" t="s">
        <v>364</v>
      </c>
      <c r="Y44" s="154"/>
      <c r="Z44" s="154" t="s">
        <v>359</v>
      </c>
      <c r="AA44" s="154" t="s">
        <v>190</v>
      </c>
      <c r="AB44" s="154"/>
      <c r="AC44" s="160"/>
      <c r="AD44" s="161"/>
      <c r="AE44" s="162"/>
      <c r="AF44" s="162"/>
      <c r="AG44" s="163"/>
      <c r="AH44" s="164" t="str">
        <f t="shared" ca="1" si="20"/>
        <v/>
      </c>
      <c r="AI44" s="165" t="str">
        <f t="shared" ca="1" si="20"/>
        <v/>
      </c>
      <c r="AJ44" s="165" t="str">
        <f t="shared" ca="1" si="20"/>
        <v/>
      </c>
      <c r="AK44" s="166" t="str">
        <f t="shared" ca="1" si="20"/>
        <v/>
      </c>
      <c r="AL44" s="154"/>
      <c r="AM44" s="154"/>
      <c r="AN44" s="154"/>
      <c r="AO44" s="160"/>
      <c r="AP44" s="161"/>
      <c r="AQ44" s="162"/>
      <c r="AR44" s="162"/>
      <c r="AS44" s="163"/>
      <c r="AT44" s="164" t="str">
        <f t="shared" ca="1" si="21"/>
        <v/>
      </c>
      <c r="AU44" s="165" t="str">
        <f t="shared" ca="1" si="21"/>
        <v/>
      </c>
      <c r="AV44" s="165" t="str">
        <f t="shared" ca="1" si="21"/>
        <v/>
      </c>
      <c r="AW44" s="166" t="str">
        <f t="shared" ca="1" si="21"/>
        <v/>
      </c>
      <c r="AX44" s="167"/>
      <c r="AY44" s="154"/>
    </row>
    <row r="45" spans="2:51" s="168" customFormat="1" ht="135" x14ac:dyDescent="0.25">
      <c r="B45" s="142" t="s">
        <v>198</v>
      </c>
      <c r="C45" s="143" t="s">
        <v>192</v>
      </c>
      <c r="D45" s="143" t="s">
        <v>194</v>
      </c>
      <c r="E45" s="158">
        <v>2</v>
      </c>
      <c r="F45" s="143" t="s">
        <v>438</v>
      </c>
      <c r="G45" s="143" t="s">
        <v>205</v>
      </c>
      <c r="H45" s="143" t="s">
        <v>206</v>
      </c>
      <c r="I45" s="143" t="s">
        <v>58</v>
      </c>
      <c r="J45" s="143" t="s">
        <v>67</v>
      </c>
      <c r="K45" s="143" t="s">
        <v>354</v>
      </c>
      <c r="L45" s="143" t="s">
        <v>68</v>
      </c>
      <c r="M45" s="143" t="s">
        <v>74</v>
      </c>
      <c r="N45" s="143" t="s">
        <v>207</v>
      </c>
      <c r="O45" s="160">
        <v>5</v>
      </c>
      <c r="P45" s="161">
        <v>1</v>
      </c>
      <c r="Q45" s="162">
        <v>1</v>
      </c>
      <c r="R45" s="162">
        <v>7</v>
      </c>
      <c r="S45" s="163">
        <v>7</v>
      </c>
      <c r="T45" s="164" t="str">
        <f t="shared" ca="1" si="16"/>
        <v>Low</v>
      </c>
      <c r="U45" s="165" t="str">
        <f t="shared" ca="1" si="17"/>
        <v>Low</v>
      </c>
      <c r="V45" s="165" t="str">
        <f t="shared" ca="1" si="18"/>
        <v>Med</v>
      </c>
      <c r="W45" s="166" t="str">
        <f t="shared" ca="1" si="19"/>
        <v>Med</v>
      </c>
      <c r="X45" s="154" t="s">
        <v>360</v>
      </c>
      <c r="Y45" s="154" t="s">
        <v>213</v>
      </c>
      <c r="Z45" s="154" t="s">
        <v>359</v>
      </c>
      <c r="AA45" s="154" t="s">
        <v>190</v>
      </c>
      <c r="AB45" s="154"/>
      <c r="AC45" s="160"/>
      <c r="AD45" s="161"/>
      <c r="AE45" s="162"/>
      <c r="AF45" s="162"/>
      <c r="AG45" s="163"/>
      <c r="AH45" s="164" t="str">
        <f t="shared" ca="1" si="20"/>
        <v/>
      </c>
      <c r="AI45" s="165" t="str">
        <f t="shared" ca="1" si="20"/>
        <v/>
      </c>
      <c r="AJ45" s="165" t="str">
        <f t="shared" ca="1" si="20"/>
        <v/>
      </c>
      <c r="AK45" s="166" t="str">
        <f t="shared" ca="1" si="20"/>
        <v/>
      </c>
      <c r="AL45" s="154"/>
      <c r="AM45" s="154"/>
      <c r="AN45" s="154"/>
      <c r="AO45" s="160"/>
      <c r="AP45" s="161"/>
      <c r="AQ45" s="162"/>
      <c r="AR45" s="162"/>
      <c r="AS45" s="163"/>
      <c r="AT45" s="164" t="str">
        <f t="shared" ca="1" si="21"/>
        <v/>
      </c>
      <c r="AU45" s="165" t="str">
        <f t="shared" ca="1" si="21"/>
        <v/>
      </c>
      <c r="AV45" s="165" t="str">
        <f t="shared" ca="1" si="21"/>
        <v/>
      </c>
      <c r="AW45" s="166" t="str">
        <f t="shared" ca="1" si="21"/>
        <v/>
      </c>
      <c r="AX45" s="167"/>
      <c r="AY45" s="154"/>
    </row>
    <row r="46" spans="2:51" s="169" customFormat="1" ht="90" x14ac:dyDescent="0.25">
      <c r="B46" s="81" t="s">
        <v>199</v>
      </c>
      <c r="C46" s="82" t="s">
        <v>201</v>
      </c>
      <c r="D46" s="82" t="s">
        <v>202</v>
      </c>
      <c r="E46" s="84">
        <v>2</v>
      </c>
      <c r="F46" s="82" t="s">
        <v>438</v>
      </c>
      <c r="G46" s="82" t="s">
        <v>162</v>
      </c>
      <c r="H46" s="82" t="s">
        <v>225</v>
      </c>
      <c r="I46" s="82" t="s">
        <v>100</v>
      </c>
      <c r="J46" s="82" t="s">
        <v>67</v>
      </c>
      <c r="K46" s="82" t="s">
        <v>123</v>
      </c>
      <c r="L46" s="82" t="s">
        <v>68</v>
      </c>
      <c r="M46" s="82" t="s">
        <v>236</v>
      </c>
      <c r="N46" s="82" t="s">
        <v>163</v>
      </c>
      <c r="O46" s="85">
        <v>7</v>
      </c>
      <c r="P46" s="86">
        <v>1</v>
      </c>
      <c r="Q46" s="87">
        <v>3</v>
      </c>
      <c r="R46" s="87">
        <v>1</v>
      </c>
      <c r="S46" s="88">
        <v>5</v>
      </c>
      <c r="T46" s="89" t="str">
        <f t="shared" ca="1" si="16"/>
        <v>Low</v>
      </c>
      <c r="U46" s="90" t="str">
        <f t="shared" ca="1" si="17"/>
        <v>Low</v>
      </c>
      <c r="V46" s="90" t="str">
        <f t="shared" ca="1" si="18"/>
        <v>Low</v>
      </c>
      <c r="W46" s="91" t="str">
        <f t="shared" ca="1" si="19"/>
        <v>Med</v>
      </c>
      <c r="X46" s="92" t="s">
        <v>361</v>
      </c>
      <c r="Y46" s="92" t="s">
        <v>251</v>
      </c>
      <c r="Z46" s="92"/>
      <c r="AA46" s="92"/>
      <c r="AB46" s="92"/>
      <c r="AC46" s="85"/>
      <c r="AD46" s="86"/>
      <c r="AE46" s="87"/>
      <c r="AF46" s="87"/>
      <c r="AG46" s="88"/>
      <c r="AH46" s="89" t="str">
        <f t="shared" ca="1" si="20"/>
        <v/>
      </c>
      <c r="AI46" s="90" t="str">
        <f t="shared" ca="1" si="20"/>
        <v/>
      </c>
      <c r="AJ46" s="90" t="str">
        <f t="shared" ca="1" si="20"/>
        <v/>
      </c>
      <c r="AK46" s="91" t="str">
        <f t="shared" ca="1" si="20"/>
        <v/>
      </c>
      <c r="AL46" s="92"/>
      <c r="AM46" s="92"/>
      <c r="AN46" s="92"/>
      <c r="AO46" s="85"/>
      <c r="AP46" s="86"/>
      <c r="AQ46" s="87"/>
      <c r="AR46" s="87"/>
      <c r="AS46" s="88"/>
      <c r="AT46" s="89" t="str">
        <f t="shared" ca="1" si="21"/>
        <v/>
      </c>
      <c r="AU46" s="90" t="str">
        <f t="shared" ca="1" si="21"/>
        <v/>
      </c>
      <c r="AV46" s="90" t="str">
        <f t="shared" ca="1" si="21"/>
        <v/>
      </c>
      <c r="AW46" s="91" t="str">
        <f t="shared" ca="1" si="21"/>
        <v/>
      </c>
      <c r="AX46" s="93"/>
      <c r="AY46" s="92" t="s">
        <v>279</v>
      </c>
    </row>
    <row r="47" spans="2:51" s="94" customFormat="1" ht="75" x14ac:dyDescent="0.25">
      <c r="B47" s="81" t="s">
        <v>200</v>
      </c>
      <c r="C47" s="82" t="s">
        <v>201</v>
      </c>
      <c r="D47" s="82" t="s">
        <v>202</v>
      </c>
      <c r="E47" s="84">
        <v>2</v>
      </c>
      <c r="F47" s="82" t="s">
        <v>438</v>
      </c>
      <c r="G47" s="82" t="s">
        <v>162</v>
      </c>
      <c r="H47" s="82" t="s">
        <v>225</v>
      </c>
      <c r="I47" s="82" t="s">
        <v>101</v>
      </c>
      <c r="J47" s="82" t="s">
        <v>67</v>
      </c>
      <c r="K47" s="82" t="s">
        <v>123</v>
      </c>
      <c r="L47" s="82" t="s">
        <v>68</v>
      </c>
      <c r="M47" s="82" t="s">
        <v>236</v>
      </c>
      <c r="N47" s="82" t="s">
        <v>163</v>
      </c>
      <c r="O47" s="85">
        <v>3</v>
      </c>
      <c r="P47" s="86">
        <v>1</v>
      </c>
      <c r="Q47" s="87">
        <v>3</v>
      </c>
      <c r="R47" s="87">
        <v>1</v>
      </c>
      <c r="S47" s="88">
        <v>5</v>
      </c>
      <c r="T47" s="89" t="str">
        <f t="shared" ca="1" si="16"/>
        <v>Low</v>
      </c>
      <c r="U47" s="90" t="str">
        <f t="shared" ca="1" si="17"/>
        <v>Low</v>
      </c>
      <c r="V47" s="90" t="str">
        <f t="shared" ca="1" si="18"/>
        <v>Low</v>
      </c>
      <c r="W47" s="91" t="str">
        <f t="shared" ca="1" si="19"/>
        <v>Low</v>
      </c>
      <c r="X47" s="92" t="s">
        <v>366</v>
      </c>
      <c r="Y47" s="170" t="s">
        <v>246</v>
      </c>
      <c r="Z47" s="170"/>
      <c r="AA47" s="92"/>
      <c r="AB47" s="92"/>
      <c r="AC47" s="85"/>
      <c r="AD47" s="86"/>
      <c r="AE47" s="87"/>
      <c r="AF47" s="87"/>
      <c r="AG47" s="88"/>
      <c r="AH47" s="89" t="str">
        <f t="shared" ca="1" si="20"/>
        <v/>
      </c>
      <c r="AI47" s="90" t="str">
        <f t="shared" ca="1" si="20"/>
        <v/>
      </c>
      <c r="AJ47" s="90" t="str">
        <f t="shared" ca="1" si="20"/>
        <v/>
      </c>
      <c r="AK47" s="91" t="str">
        <f t="shared" ca="1" si="20"/>
        <v/>
      </c>
      <c r="AL47" s="92"/>
      <c r="AM47" s="92"/>
      <c r="AN47" s="92"/>
      <c r="AO47" s="85"/>
      <c r="AP47" s="86"/>
      <c r="AQ47" s="87"/>
      <c r="AR47" s="87"/>
      <c r="AS47" s="88"/>
      <c r="AT47" s="89" t="str">
        <f t="shared" ca="1" si="21"/>
        <v/>
      </c>
      <c r="AU47" s="90" t="str">
        <f t="shared" ca="1" si="21"/>
        <v/>
      </c>
      <c r="AV47" s="90" t="str">
        <f t="shared" ca="1" si="21"/>
        <v/>
      </c>
      <c r="AW47" s="91" t="str">
        <f t="shared" ca="1" si="21"/>
        <v/>
      </c>
      <c r="AX47" s="93"/>
      <c r="AY47" s="92" t="s">
        <v>279</v>
      </c>
    </row>
    <row r="48" spans="2:51" s="94" customFormat="1" ht="75" x14ac:dyDescent="0.25">
      <c r="B48" s="81" t="s">
        <v>204</v>
      </c>
      <c r="C48" s="82" t="s">
        <v>201</v>
      </c>
      <c r="D48" s="82" t="s">
        <v>202</v>
      </c>
      <c r="E48" s="84">
        <v>2</v>
      </c>
      <c r="F48" s="82" t="s">
        <v>438</v>
      </c>
      <c r="G48" s="82" t="s">
        <v>162</v>
      </c>
      <c r="H48" s="82" t="s">
        <v>225</v>
      </c>
      <c r="I48" s="82" t="s">
        <v>102</v>
      </c>
      <c r="J48" s="82" t="s">
        <v>67</v>
      </c>
      <c r="K48" s="82" t="s">
        <v>123</v>
      </c>
      <c r="L48" s="82" t="s">
        <v>68</v>
      </c>
      <c r="M48" s="82" t="s">
        <v>236</v>
      </c>
      <c r="N48" s="82" t="s">
        <v>163</v>
      </c>
      <c r="O48" s="85">
        <v>3</v>
      </c>
      <c r="P48" s="86">
        <v>1</v>
      </c>
      <c r="Q48" s="87">
        <v>3</v>
      </c>
      <c r="R48" s="87">
        <v>1</v>
      </c>
      <c r="S48" s="88">
        <v>5</v>
      </c>
      <c r="T48" s="89" t="str">
        <f t="shared" ca="1" si="16"/>
        <v>Low</v>
      </c>
      <c r="U48" s="90" t="str">
        <f t="shared" ca="1" si="17"/>
        <v>Low</v>
      </c>
      <c r="V48" s="90" t="str">
        <f t="shared" ca="1" si="18"/>
        <v>Low</v>
      </c>
      <c r="W48" s="91" t="str">
        <f t="shared" ca="1" si="19"/>
        <v>Low</v>
      </c>
      <c r="X48" s="92"/>
      <c r="Y48" s="92"/>
      <c r="Z48" s="92"/>
      <c r="AA48" s="92"/>
      <c r="AB48" s="92"/>
      <c r="AC48" s="85"/>
      <c r="AD48" s="86"/>
      <c r="AE48" s="87"/>
      <c r="AF48" s="87"/>
      <c r="AG48" s="88"/>
      <c r="AH48" s="89" t="str">
        <f t="shared" ca="1" si="20"/>
        <v/>
      </c>
      <c r="AI48" s="90" t="str">
        <f t="shared" ca="1" si="20"/>
        <v/>
      </c>
      <c r="AJ48" s="90" t="str">
        <f t="shared" ca="1" si="20"/>
        <v/>
      </c>
      <c r="AK48" s="91" t="str">
        <f t="shared" ca="1" si="20"/>
        <v/>
      </c>
      <c r="AL48" s="92"/>
      <c r="AM48" s="92"/>
      <c r="AN48" s="92"/>
      <c r="AO48" s="85"/>
      <c r="AP48" s="86"/>
      <c r="AQ48" s="87"/>
      <c r="AR48" s="87"/>
      <c r="AS48" s="88"/>
      <c r="AT48" s="89" t="str">
        <f t="shared" ca="1" si="21"/>
        <v/>
      </c>
      <c r="AU48" s="90" t="str">
        <f t="shared" ca="1" si="21"/>
        <v/>
      </c>
      <c r="AV48" s="90" t="str">
        <f t="shared" ca="1" si="21"/>
        <v/>
      </c>
      <c r="AW48" s="91" t="str">
        <f t="shared" ca="1" si="21"/>
        <v/>
      </c>
      <c r="AX48" s="93"/>
      <c r="AY48" s="92" t="s">
        <v>279</v>
      </c>
    </row>
    <row r="49" spans="2:51" s="94" customFormat="1" ht="75" x14ac:dyDescent="0.25">
      <c r="B49" s="81" t="s">
        <v>367</v>
      </c>
      <c r="C49" s="82" t="s">
        <v>201</v>
      </c>
      <c r="D49" s="82" t="s">
        <v>202</v>
      </c>
      <c r="E49" s="84">
        <v>2</v>
      </c>
      <c r="F49" s="82" t="s">
        <v>438</v>
      </c>
      <c r="G49" s="82" t="s">
        <v>162</v>
      </c>
      <c r="H49" s="82" t="s">
        <v>225</v>
      </c>
      <c r="I49" s="82" t="s">
        <v>214</v>
      </c>
      <c r="J49" s="82" t="s">
        <v>67</v>
      </c>
      <c r="K49" s="82" t="s">
        <v>123</v>
      </c>
      <c r="L49" s="82" t="s">
        <v>68</v>
      </c>
      <c r="M49" s="82" t="s">
        <v>236</v>
      </c>
      <c r="N49" s="82" t="s">
        <v>163</v>
      </c>
      <c r="O49" s="85">
        <v>3</v>
      </c>
      <c r="P49" s="86">
        <v>1</v>
      </c>
      <c r="Q49" s="87">
        <v>3</v>
      </c>
      <c r="R49" s="87">
        <v>1</v>
      </c>
      <c r="S49" s="88">
        <v>5</v>
      </c>
      <c r="T49" s="89" t="str">
        <f t="shared" ca="1" si="16"/>
        <v>Low</v>
      </c>
      <c r="U49" s="90" t="str">
        <f t="shared" ca="1" si="17"/>
        <v>Low</v>
      </c>
      <c r="V49" s="90" t="str">
        <f t="shared" ca="1" si="18"/>
        <v>Low</v>
      </c>
      <c r="W49" s="91" t="str">
        <f t="shared" ca="1" si="19"/>
        <v>Low</v>
      </c>
      <c r="X49" s="92" t="s">
        <v>373</v>
      </c>
      <c r="Y49" s="92"/>
      <c r="Z49" s="92"/>
      <c r="AA49" s="92"/>
      <c r="AB49" s="92"/>
      <c r="AC49" s="85"/>
      <c r="AD49" s="86"/>
      <c r="AE49" s="87"/>
      <c r="AF49" s="87"/>
      <c r="AG49" s="88"/>
      <c r="AH49" s="89"/>
      <c r="AI49" s="90"/>
      <c r="AJ49" s="90"/>
      <c r="AK49" s="91"/>
      <c r="AL49" s="92"/>
      <c r="AM49" s="92"/>
      <c r="AN49" s="92"/>
      <c r="AO49" s="85"/>
      <c r="AP49" s="86"/>
      <c r="AQ49" s="87"/>
      <c r="AR49" s="87"/>
      <c r="AS49" s="88"/>
      <c r="AT49" s="89"/>
      <c r="AU49" s="90"/>
      <c r="AV49" s="90"/>
      <c r="AW49" s="91"/>
      <c r="AX49" s="93"/>
      <c r="AY49" s="92"/>
    </row>
    <row r="50" spans="2:51" s="171" customFormat="1" ht="60" x14ac:dyDescent="0.25">
      <c r="B50" s="172" t="s">
        <v>465</v>
      </c>
      <c r="C50" s="173" t="s">
        <v>464</v>
      </c>
      <c r="D50" s="173" t="s">
        <v>203</v>
      </c>
      <c r="E50" s="174">
        <v>2</v>
      </c>
      <c r="F50" s="173" t="s">
        <v>438</v>
      </c>
      <c r="G50" s="173" t="s">
        <v>164</v>
      </c>
      <c r="H50" s="173" t="s">
        <v>165</v>
      </c>
      <c r="I50" s="173" t="s">
        <v>100</v>
      </c>
      <c r="J50" s="173" t="s">
        <v>67</v>
      </c>
      <c r="K50" s="173" t="s">
        <v>354</v>
      </c>
      <c r="L50" s="173" t="s">
        <v>68</v>
      </c>
      <c r="M50" s="173" t="s">
        <v>167</v>
      </c>
      <c r="N50" s="173" t="s">
        <v>124</v>
      </c>
      <c r="O50" s="175">
        <v>6</v>
      </c>
      <c r="P50" s="176">
        <v>1</v>
      </c>
      <c r="Q50" s="177">
        <v>1</v>
      </c>
      <c r="R50" s="177">
        <v>7</v>
      </c>
      <c r="S50" s="178">
        <v>7</v>
      </c>
      <c r="T50" s="179" t="str">
        <f t="shared" ca="1" si="16"/>
        <v>Low</v>
      </c>
      <c r="U50" s="180" t="str">
        <f t="shared" ca="1" si="17"/>
        <v>Low</v>
      </c>
      <c r="V50" s="180" t="str">
        <f t="shared" ca="1" si="18"/>
        <v>Med</v>
      </c>
      <c r="W50" s="181" t="str">
        <f t="shared" ca="1" si="19"/>
        <v>Med</v>
      </c>
      <c r="X50" s="182" t="s">
        <v>353</v>
      </c>
      <c r="Y50" s="182" t="s">
        <v>251</v>
      </c>
      <c r="Z50" s="182"/>
      <c r="AA50" s="182"/>
      <c r="AB50" s="182"/>
      <c r="AC50" s="183"/>
      <c r="AD50" s="184"/>
      <c r="AE50" s="185"/>
      <c r="AF50" s="185"/>
      <c r="AG50" s="186"/>
      <c r="AH50" s="187" t="str">
        <f t="shared" ref="AH50:AK52" ca="1" si="22">IF(AND(ISNUMBER(AD50),ISNUMBER($AC50)),OFFSET(RiskMatrixRef,-$AC50+1,AD50-1),"")</f>
        <v/>
      </c>
      <c r="AI50" s="188" t="str">
        <f t="shared" ca="1" si="22"/>
        <v/>
      </c>
      <c r="AJ50" s="188" t="str">
        <f t="shared" ca="1" si="22"/>
        <v/>
      </c>
      <c r="AK50" s="189" t="str">
        <f t="shared" ca="1" si="22"/>
        <v/>
      </c>
      <c r="AL50" s="182"/>
      <c r="AM50" s="182"/>
      <c r="AN50" s="182"/>
      <c r="AO50" s="183"/>
      <c r="AP50" s="184"/>
      <c r="AQ50" s="185"/>
      <c r="AR50" s="185"/>
      <c r="AS50" s="186"/>
      <c r="AT50" s="187" t="str">
        <f t="shared" ref="AT50:AW52" ca="1" si="23">IF(AND(ISNUMBER(AP50),ISNUMBER($AO50)),OFFSET(RiskMatrixRef,-$AO50+1,AP50-1),"")</f>
        <v/>
      </c>
      <c r="AU50" s="188" t="str">
        <f t="shared" ca="1" si="23"/>
        <v/>
      </c>
      <c r="AV50" s="188" t="str">
        <f t="shared" ca="1" si="23"/>
        <v/>
      </c>
      <c r="AW50" s="189" t="str">
        <f t="shared" ca="1" si="23"/>
        <v/>
      </c>
      <c r="AX50" s="190"/>
      <c r="AY50" s="182" t="s">
        <v>166</v>
      </c>
    </row>
    <row r="51" spans="2:51" s="171" customFormat="1" ht="60" x14ac:dyDescent="0.25">
      <c r="B51" s="172" t="s">
        <v>466</v>
      </c>
      <c r="C51" s="173" t="s">
        <v>464</v>
      </c>
      <c r="D51" s="173" t="s">
        <v>203</v>
      </c>
      <c r="E51" s="174">
        <v>2</v>
      </c>
      <c r="F51" s="173" t="s">
        <v>438</v>
      </c>
      <c r="G51" s="173" t="s">
        <v>164</v>
      </c>
      <c r="H51" s="173" t="s">
        <v>165</v>
      </c>
      <c r="I51" s="173" t="s">
        <v>101</v>
      </c>
      <c r="J51" s="173" t="s">
        <v>67</v>
      </c>
      <c r="K51" s="173" t="s">
        <v>71</v>
      </c>
      <c r="L51" s="173" t="s">
        <v>68</v>
      </c>
      <c r="M51" s="173" t="s">
        <v>167</v>
      </c>
      <c r="N51" s="173" t="s">
        <v>124</v>
      </c>
      <c r="O51" s="183">
        <v>4</v>
      </c>
      <c r="P51" s="176">
        <v>1</v>
      </c>
      <c r="Q51" s="177">
        <v>1</v>
      </c>
      <c r="R51" s="185">
        <v>7</v>
      </c>
      <c r="S51" s="186">
        <v>7</v>
      </c>
      <c r="T51" s="179" t="str">
        <f t="shared" ca="1" si="16"/>
        <v>Low</v>
      </c>
      <c r="U51" s="180" t="str">
        <f t="shared" ca="1" si="17"/>
        <v>Low</v>
      </c>
      <c r="V51" s="180" t="str">
        <f t="shared" ca="1" si="18"/>
        <v>Low</v>
      </c>
      <c r="W51" s="181" t="str">
        <f t="shared" ca="1" si="19"/>
        <v>Low</v>
      </c>
      <c r="X51" s="191" t="s">
        <v>366</v>
      </c>
      <c r="Y51" s="182" t="s">
        <v>246</v>
      </c>
      <c r="Z51" s="182"/>
      <c r="AA51" s="182"/>
      <c r="AB51" s="182"/>
      <c r="AC51" s="183"/>
      <c r="AD51" s="184"/>
      <c r="AE51" s="185"/>
      <c r="AF51" s="185"/>
      <c r="AG51" s="186"/>
      <c r="AH51" s="187" t="str">
        <f t="shared" ca="1" si="22"/>
        <v/>
      </c>
      <c r="AI51" s="188" t="str">
        <f t="shared" ca="1" si="22"/>
        <v/>
      </c>
      <c r="AJ51" s="188" t="str">
        <f t="shared" ca="1" si="22"/>
        <v/>
      </c>
      <c r="AK51" s="189" t="str">
        <f t="shared" ca="1" si="22"/>
        <v/>
      </c>
      <c r="AL51" s="182"/>
      <c r="AM51" s="182"/>
      <c r="AN51" s="182"/>
      <c r="AO51" s="183"/>
      <c r="AP51" s="184"/>
      <c r="AQ51" s="185"/>
      <c r="AR51" s="185"/>
      <c r="AS51" s="186"/>
      <c r="AT51" s="187" t="str">
        <f t="shared" ca="1" si="23"/>
        <v/>
      </c>
      <c r="AU51" s="188" t="str">
        <f t="shared" ca="1" si="23"/>
        <v/>
      </c>
      <c r="AV51" s="188" t="str">
        <f t="shared" ca="1" si="23"/>
        <v/>
      </c>
      <c r="AW51" s="189" t="str">
        <f t="shared" ca="1" si="23"/>
        <v/>
      </c>
      <c r="AX51" s="190"/>
      <c r="AY51" s="182"/>
    </row>
    <row r="52" spans="2:51" s="171" customFormat="1" ht="300" x14ac:dyDescent="0.25">
      <c r="B52" s="172" t="s">
        <v>467</v>
      </c>
      <c r="C52" s="173" t="s">
        <v>464</v>
      </c>
      <c r="D52" s="173" t="s">
        <v>203</v>
      </c>
      <c r="E52" s="174">
        <v>2</v>
      </c>
      <c r="F52" s="173" t="s">
        <v>438</v>
      </c>
      <c r="G52" s="173" t="s">
        <v>164</v>
      </c>
      <c r="H52" s="173" t="s">
        <v>165</v>
      </c>
      <c r="I52" s="192" t="s">
        <v>103</v>
      </c>
      <c r="J52" s="173" t="s">
        <v>67</v>
      </c>
      <c r="K52" s="173" t="s">
        <v>68</v>
      </c>
      <c r="L52" s="173" t="s">
        <v>68</v>
      </c>
      <c r="M52" s="173" t="s">
        <v>167</v>
      </c>
      <c r="N52" s="173" t="s">
        <v>124</v>
      </c>
      <c r="O52" s="183">
        <v>6</v>
      </c>
      <c r="P52" s="176">
        <v>1</v>
      </c>
      <c r="Q52" s="177">
        <v>1</v>
      </c>
      <c r="R52" s="185">
        <v>7</v>
      </c>
      <c r="S52" s="186">
        <v>7</v>
      </c>
      <c r="T52" s="179" t="str">
        <f t="shared" ca="1" si="16"/>
        <v>Low</v>
      </c>
      <c r="U52" s="180" t="str">
        <f t="shared" ca="1" si="17"/>
        <v>Low</v>
      </c>
      <c r="V52" s="180" t="str">
        <f t="shared" ca="1" si="18"/>
        <v>Med</v>
      </c>
      <c r="W52" s="181" t="str">
        <f t="shared" ca="1" si="19"/>
        <v>Med</v>
      </c>
      <c r="X52" s="191" t="s">
        <v>237</v>
      </c>
      <c r="Y52" s="182" t="s">
        <v>237</v>
      </c>
      <c r="Z52" s="182"/>
      <c r="AA52" s="182"/>
      <c r="AB52" s="182"/>
      <c r="AC52" s="183"/>
      <c r="AD52" s="184"/>
      <c r="AE52" s="185"/>
      <c r="AF52" s="185"/>
      <c r="AG52" s="186"/>
      <c r="AH52" s="187" t="str">
        <f t="shared" ca="1" si="22"/>
        <v/>
      </c>
      <c r="AI52" s="188" t="str">
        <f t="shared" ca="1" si="22"/>
        <v/>
      </c>
      <c r="AJ52" s="188" t="str">
        <f t="shared" ca="1" si="22"/>
        <v/>
      </c>
      <c r="AK52" s="189" t="str">
        <f t="shared" ca="1" si="22"/>
        <v/>
      </c>
      <c r="AL52" s="182"/>
      <c r="AM52" s="182"/>
      <c r="AN52" s="182"/>
      <c r="AO52" s="183"/>
      <c r="AP52" s="184"/>
      <c r="AQ52" s="185"/>
      <c r="AR52" s="185"/>
      <c r="AS52" s="186"/>
      <c r="AT52" s="187" t="str">
        <f t="shared" ca="1" si="23"/>
        <v/>
      </c>
      <c r="AU52" s="188" t="str">
        <f t="shared" ca="1" si="23"/>
        <v/>
      </c>
      <c r="AV52" s="188" t="str">
        <f t="shared" ca="1" si="23"/>
        <v/>
      </c>
      <c r="AW52" s="189" t="str">
        <f t="shared" ca="1" si="23"/>
        <v/>
      </c>
      <c r="AX52" s="190"/>
      <c r="AY52" s="182"/>
    </row>
    <row r="53" spans="2:51" s="171" customFormat="1" ht="120" x14ac:dyDescent="0.25">
      <c r="B53" s="172" t="s">
        <v>468</v>
      </c>
      <c r="C53" s="173" t="s">
        <v>464</v>
      </c>
      <c r="D53" s="173" t="s">
        <v>203</v>
      </c>
      <c r="E53" s="174">
        <v>3</v>
      </c>
      <c r="F53" s="173" t="s">
        <v>438</v>
      </c>
      <c r="G53" s="173" t="s">
        <v>164</v>
      </c>
      <c r="H53" s="173" t="s">
        <v>165</v>
      </c>
      <c r="I53" s="192" t="s">
        <v>58</v>
      </c>
      <c r="J53" s="173" t="s">
        <v>67</v>
      </c>
      <c r="K53" s="173" t="s">
        <v>68</v>
      </c>
      <c r="L53" s="173" t="s">
        <v>68</v>
      </c>
      <c r="M53" s="173" t="s">
        <v>167</v>
      </c>
      <c r="N53" s="173" t="s">
        <v>124</v>
      </c>
      <c r="O53" s="183">
        <v>5</v>
      </c>
      <c r="P53" s="176">
        <v>1</v>
      </c>
      <c r="Q53" s="177">
        <v>1</v>
      </c>
      <c r="R53" s="185">
        <v>7</v>
      </c>
      <c r="S53" s="186">
        <v>7</v>
      </c>
      <c r="T53" s="179" t="str">
        <f t="shared" ca="1" si="16"/>
        <v>Low</v>
      </c>
      <c r="U53" s="180" t="str">
        <f t="shared" ca="1" si="17"/>
        <v>Low</v>
      </c>
      <c r="V53" s="180" t="str">
        <f t="shared" ca="1" si="18"/>
        <v>Med</v>
      </c>
      <c r="W53" s="181" t="str">
        <f t="shared" ca="1" si="19"/>
        <v>Med</v>
      </c>
      <c r="X53" s="182" t="s">
        <v>364</v>
      </c>
      <c r="Y53" s="182" t="s">
        <v>253</v>
      </c>
      <c r="Z53" s="182"/>
      <c r="AA53" s="182"/>
      <c r="AB53" s="182"/>
      <c r="AC53" s="183"/>
      <c r="AD53" s="184"/>
      <c r="AE53" s="185"/>
      <c r="AF53" s="185"/>
      <c r="AG53" s="186"/>
      <c r="AH53" s="187"/>
      <c r="AI53" s="188"/>
      <c r="AJ53" s="188"/>
      <c r="AK53" s="189"/>
      <c r="AL53" s="182"/>
      <c r="AM53" s="182"/>
      <c r="AN53" s="182"/>
      <c r="AO53" s="183"/>
      <c r="AP53" s="184"/>
      <c r="AQ53" s="185"/>
      <c r="AR53" s="185"/>
      <c r="AS53" s="186"/>
      <c r="AT53" s="187"/>
      <c r="AU53" s="188"/>
      <c r="AV53" s="188"/>
      <c r="AW53" s="189"/>
      <c r="AX53" s="190"/>
      <c r="AY53" s="182"/>
    </row>
    <row r="54" spans="2:51" s="171" customFormat="1" ht="60" x14ac:dyDescent="0.25">
      <c r="B54" s="172" t="s">
        <v>469</v>
      </c>
      <c r="C54" s="173" t="s">
        <v>464</v>
      </c>
      <c r="D54" s="173" t="s">
        <v>203</v>
      </c>
      <c r="E54" s="174">
        <v>4</v>
      </c>
      <c r="F54" s="173" t="s">
        <v>438</v>
      </c>
      <c r="G54" s="173" t="s">
        <v>164</v>
      </c>
      <c r="H54" s="173" t="s">
        <v>165</v>
      </c>
      <c r="I54" s="192" t="s">
        <v>214</v>
      </c>
      <c r="J54" s="173" t="s">
        <v>67</v>
      </c>
      <c r="K54" s="173" t="s">
        <v>68</v>
      </c>
      <c r="L54" s="173" t="s">
        <v>68</v>
      </c>
      <c r="M54" s="173" t="s">
        <v>167</v>
      </c>
      <c r="N54" s="173" t="s">
        <v>124</v>
      </c>
      <c r="O54" s="183">
        <v>5</v>
      </c>
      <c r="P54" s="176">
        <v>1</v>
      </c>
      <c r="Q54" s="177">
        <v>1</v>
      </c>
      <c r="R54" s="185">
        <v>7</v>
      </c>
      <c r="S54" s="186">
        <v>7</v>
      </c>
      <c r="T54" s="179" t="str">
        <f t="shared" ca="1" si="16"/>
        <v>Low</v>
      </c>
      <c r="U54" s="180" t="str">
        <f t="shared" ca="1" si="17"/>
        <v>Low</v>
      </c>
      <c r="V54" s="180" t="str">
        <f t="shared" ca="1" si="18"/>
        <v>Med</v>
      </c>
      <c r="W54" s="181" t="str">
        <f t="shared" ca="1" si="19"/>
        <v>Med</v>
      </c>
      <c r="X54" s="182" t="s">
        <v>373</v>
      </c>
      <c r="Y54" s="182" t="s">
        <v>252</v>
      </c>
      <c r="Z54" s="182"/>
      <c r="AA54" s="182"/>
      <c r="AB54" s="182"/>
      <c r="AC54" s="183"/>
      <c r="AD54" s="184"/>
      <c r="AE54" s="185"/>
      <c r="AF54" s="185"/>
      <c r="AG54" s="186"/>
      <c r="AH54" s="187"/>
      <c r="AI54" s="188"/>
      <c r="AJ54" s="188"/>
      <c r="AK54" s="189"/>
      <c r="AL54" s="182"/>
      <c r="AM54" s="182"/>
      <c r="AN54" s="182"/>
      <c r="AO54" s="183"/>
      <c r="AP54" s="184"/>
      <c r="AQ54" s="185"/>
      <c r="AR54" s="185"/>
      <c r="AS54" s="186"/>
      <c r="AT54" s="187"/>
      <c r="AU54" s="188"/>
      <c r="AV54" s="188"/>
      <c r="AW54" s="189"/>
      <c r="AX54" s="190"/>
      <c r="AY54" s="182"/>
    </row>
    <row r="55" spans="2:51" s="94" customFormat="1" ht="390" x14ac:dyDescent="0.25">
      <c r="B55" s="193" t="s">
        <v>43</v>
      </c>
      <c r="C55" s="124" t="s">
        <v>96</v>
      </c>
      <c r="D55" s="170" t="s">
        <v>95</v>
      </c>
      <c r="E55" s="194">
        <v>3</v>
      </c>
      <c r="F55" s="82" t="s">
        <v>437</v>
      </c>
      <c r="G55" s="124" t="s">
        <v>125</v>
      </c>
      <c r="H55" s="82" t="s">
        <v>238</v>
      </c>
      <c r="I55" s="124" t="s">
        <v>104</v>
      </c>
      <c r="J55" s="124" t="s">
        <v>67</v>
      </c>
      <c r="K55" s="82" t="s">
        <v>355</v>
      </c>
      <c r="L55" s="124" t="s">
        <v>68</v>
      </c>
      <c r="M55" s="124" t="s">
        <v>168</v>
      </c>
      <c r="N55" s="124" t="s">
        <v>128</v>
      </c>
      <c r="O55" s="195">
        <v>7</v>
      </c>
      <c r="P55" s="196">
        <v>1</v>
      </c>
      <c r="Q55" s="197">
        <v>1</v>
      </c>
      <c r="R55" s="197">
        <v>6</v>
      </c>
      <c r="S55" s="198">
        <v>7</v>
      </c>
      <c r="T55" s="199" t="str">
        <f t="shared" ca="1" si="16"/>
        <v>Low</v>
      </c>
      <c r="U55" s="200" t="str">
        <f t="shared" ca="1" si="17"/>
        <v>Low</v>
      </c>
      <c r="V55" s="200" t="str">
        <f t="shared" ca="1" si="18"/>
        <v>Med</v>
      </c>
      <c r="W55" s="201" t="str">
        <f t="shared" ca="1" si="19"/>
        <v>Med</v>
      </c>
      <c r="X55" s="92" t="s">
        <v>374</v>
      </c>
      <c r="Y55" s="170" t="s">
        <v>276</v>
      </c>
      <c r="Z55" s="170"/>
      <c r="AA55" s="170"/>
      <c r="AB55" s="170"/>
      <c r="AC55" s="195"/>
      <c r="AD55" s="196"/>
      <c r="AE55" s="197"/>
      <c r="AF55" s="197"/>
      <c r="AG55" s="198"/>
      <c r="AH55" s="199" t="str">
        <f t="shared" ref="AH55:AK56" ca="1" si="24">IF(AND(ISNUMBER(AD55),ISNUMBER($AC55)),OFFSET(RiskMatrixRef,-$AC55+1,AD55-1),"")</f>
        <v/>
      </c>
      <c r="AI55" s="200" t="str">
        <f t="shared" ca="1" si="24"/>
        <v/>
      </c>
      <c r="AJ55" s="200" t="str">
        <f t="shared" ca="1" si="24"/>
        <v/>
      </c>
      <c r="AK55" s="201" t="str">
        <f t="shared" ca="1" si="24"/>
        <v/>
      </c>
      <c r="AL55" s="170"/>
      <c r="AM55" s="170"/>
      <c r="AN55" s="170"/>
      <c r="AO55" s="195"/>
      <c r="AP55" s="196"/>
      <c r="AQ55" s="197"/>
      <c r="AR55" s="197"/>
      <c r="AS55" s="198"/>
      <c r="AT55" s="199" t="str">
        <f t="shared" ref="AT55:AW56" ca="1" si="25">IF(AND(ISNUMBER(AP55),ISNUMBER($AO55)),OFFSET(RiskMatrixRef,-$AO55+1,AP55-1),"")</f>
        <v/>
      </c>
      <c r="AU55" s="200" t="str">
        <f t="shared" ca="1" si="25"/>
        <v/>
      </c>
      <c r="AV55" s="200" t="str">
        <f t="shared" ca="1" si="25"/>
        <v/>
      </c>
      <c r="AW55" s="201" t="str">
        <f t="shared" ca="1" si="25"/>
        <v/>
      </c>
      <c r="AX55" s="202"/>
      <c r="AY55" s="170" t="s">
        <v>239</v>
      </c>
    </row>
    <row r="56" spans="2:51" s="141" customFormat="1" ht="90" x14ac:dyDescent="0.25">
      <c r="B56" s="203" t="s">
        <v>133</v>
      </c>
      <c r="C56" s="159" t="s">
        <v>139</v>
      </c>
      <c r="D56" s="159" t="s">
        <v>95</v>
      </c>
      <c r="E56" s="204">
        <v>3</v>
      </c>
      <c r="F56" s="143" t="s">
        <v>437</v>
      </c>
      <c r="G56" s="159" t="s">
        <v>135</v>
      </c>
      <c r="H56" s="143" t="s">
        <v>142</v>
      </c>
      <c r="I56" s="159" t="s">
        <v>137</v>
      </c>
      <c r="J56" s="159" t="s">
        <v>67</v>
      </c>
      <c r="K56" s="159" t="s">
        <v>68</v>
      </c>
      <c r="L56" s="159" t="s">
        <v>68</v>
      </c>
      <c r="M56" s="159" t="s">
        <v>171</v>
      </c>
      <c r="N56" s="159" t="s">
        <v>129</v>
      </c>
      <c r="O56" s="205">
        <v>7</v>
      </c>
      <c r="P56" s="206">
        <v>1</v>
      </c>
      <c r="Q56" s="207">
        <v>1</v>
      </c>
      <c r="R56" s="207">
        <v>8</v>
      </c>
      <c r="S56" s="208">
        <v>8</v>
      </c>
      <c r="T56" s="209" t="str">
        <f t="shared" ca="1" si="16"/>
        <v>Low</v>
      </c>
      <c r="U56" s="210" t="str">
        <f t="shared" ca="1" si="17"/>
        <v>Low</v>
      </c>
      <c r="V56" s="210" t="str">
        <f t="shared" ca="1" si="18"/>
        <v>Med</v>
      </c>
      <c r="W56" s="211" t="str">
        <f t="shared" ca="1" si="19"/>
        <v>Med</v>
      </c>
      <c r="X56" s="154" t="s">
        <v>172</v>
      </c>
      <c r="Y56" s="212" t="s">
        <v>241</v>
      </c>
      <c r="Z56" s="212" t="s">
        <v>382</v>
      </c>
      <c r="AA56" s="212" t="s">
        <v>190</v>
      </c>
      <c r="AB56" s="212"/>
      <c r="AC56" s="205"/>
      <c r="AD56" s="206"/>
      <c r="AE56" s="207"/>
      <c r="AF56" s="207"/>
      <c r="AG56" s="208"/>
      <c r="AH56" s="209" t="str">
        <f t="shared" ca="1" si="24"/>
        <v/>
      </c>
      <c r="AI56" s="210" t="str">
        <f t="shared" ca="1" si="24"/>
        <v/>
      </c>
      <c r="AJ56" s="210" t="str">
        <f t="shared" ca="1" si="24"/>
        <v/>
      </c>
      <c r="AK56" s="211" t="str">
        <f t="shared" ca="1" si="24"/>
        <v/>
      </c>
      <c r="AL56" s="212"/>
      <c r="AM56" s="212"/>
      <c r="AN56" s="212"/>
      <c r="AO56" s="205"/>
      <c r="AP56" s="206"/>
      <c r="AQ56" s="207"/>
      <c r="AR56" s="207"/>
      <c r="AS56" s="208"/>
      <c r="AT56" s="209" t="str">
        <f t="shared" ca="1" si="25"/>
        <v/>
      </c>
      <c r="AU56" s="210" t="str">
        <f t="shared" ca="1" si="25"/>
        <v/>
      </c>
      <c r="AV56" s="210" t="str">
        <f t="shared" ca="1" si="25"/>
        <v/>
      </c>
      <c r="AW56" s="211" t="str">
        <f t="shared" ca="1" si="25"/>
        <v/>
      </c>
      <c r="AX56" s="213"/>
      <c r="AY56" s="212"/>
    </row>
    <row r="57" spans="2:51" s="141" customFormat="1" ht="105" x14ac:dyDescent="0.25">
      <c r="B57" s="203" t="s">
        <v>134</v>
      </c>
      <c r="C57" s="159" t="s">
        <v>139</v>
      </c>
      <c r="D57" s="159" t="s">
        <v>95</v>
      </c>
      <c r="E57" s="158">
        <v>3</v>
      </c>
      <c r="F57" s="143"/>
      <c r="G57" s="159" t="s">
        <v>135</v>
      </c>
      <c r="H57" s="143"/>
      <c r="I57" s="143" t="s">
        <v>257</v>
      </c>
      <c r="J57" s="143"/>
      <c r="K57" s="159"/>
      <c r="L57" s="143"/>
      <c r="M57" s="159"/>
      <c r="N57" s="159"/>
      <c r="O57" s="160">
        <v>5</v>
      </c>
      <c r="P57" s="206">
        <v>1</v>
      </c>
      <c r="Q57" s="207">
        <v>1</v>
      </c>
      <c r="R57" s="207">
        <v>8</v>
      </c>
      <c r="S57" s="208">
        <v>8</v>
      </c>
      <c r="T57" s="164" t="str">
        <f t="shared" ca="1" si="16"/>
        <v>Low</v>
      </c>
      <c r="U57" s="165" t="str">
        <f t="shared" ca="1" si="17"/>
        <v>Low</v>
      </c>
      <c r="V57" s="165" t="str">
        <f t="shared" ca="1" si="18"/>
        <v>Med</v>
      </c>
      <c r="W57" s="166" t="str">
        <f t="shared" ca="1" si="19"/>
        <v>Med</v>
      </c>
      <c r="X57" s="154" t="s">
        <v>375</v>
      </c>
      <c r="Y57" s="154" t="s">
        <v>258</v>
      </c>
      <c r="Z57" s="154"/>
      <c r="AA57" s="154"/>
      <c r="AB57" s="154"/>
      <c r="AC57" s="160"/>
      <c r="AD57" s="161"/>
      <c r="AE57" s="162"/>
      <c r="AF57" s="162"/>
      <c r="AG57" s="163"/>
      <c r="AH57" s="164"/>
      <c r="AI57" s="165"/>
      <c r="AJ57" s="165"/>
      <c r="AK57" s="166"/>
      <c r="AL57" s="154"/>
      <c r="AM57" s="154"/>
      <c r="AN57" s="154"/>
      <c r="AO57" s="160"/>
      <c r="AP57" s="161"/>
      <c r="AQ57" s="162"/>
      <c r="AR57" s="162"/>
      <c r="AS57" s="163"/>
      <c r="AT57" s="164"/>
      <c r="AU57" s="165"/>
      <c r="AV57" s="165"/>
      <c r="AW57" s="166"/>
      <c r="AX57" s="167"/>
      <c r="AY57" s="154"/>
    </row>
    <row r="58" spans="2:51" s="94" customFormat="1" ht="150" x14ac:dyDescent="0.25">
      <c r="B58" s="193" t="s">
        <v>143</v>
      </c>
      <c r="C58" s="124" t="s">
        <v>97</v>
      </c>
      <c r="D58" s="124" t="s">
        <v>95</v>
      </c>
      <c r="E58" s="84">
        <v>3</v>
      </c>
      <c r="F58" s="82" t="s">
        <v>439</v>
      </c>
      <c r="G58" s="124" t="s">
        <v>135</v>
      </c>
      <c r="H58" s="82" t="s">
        <v>249</v>
      </c>
      <c r="I58" s="82" t="s">
        <v>104</v>
      </c>
      <c r="J58" s="82" t="s">
        <v>67</v>
      </c>
      <c r="K58" s="124" t="s">
        <v>354</v>
      </c>
      <c r="L58" s="82" t="s">
        <v>68</v>
      </c>
      <c r="M58" s="124" t="s">
        <v>182</v>
      </c>
      <c r="N58" s="124" t="s">
        <v>129</v>
      </c>
      <c r="O58" s="85">
        <v>7</v>
      </c>
      <c r="P58" s="196">
        <v>1</v>
      </c>
      <c r="Q58" s="197">
        <v>1</v>
      </c>
      <c r="R58" s="197">
        <v>6</v>
      </c>
      <c r="S58" s="198">
        <v>7</v>
      </c>
      <c r="T58" s="89" t="str">
        <f t="shared" ca="1" si="16"/>
        <v>Low</v>
      </c>
      <c r="U58" s="90" t="str">
        <f t="shared" ca="1" si="17"/>
        <v>Low</v>
      </c>
      <c r="V58" s="90" t="str">
        <f t="shared" ca="1" si="18"/>
        <v>Med</v>
      </c>
      <c r="W58" s="91" t="str">
        <f t="shared" ca="1" si="19"/>
        <v>Med</v>
      </c>
      <c r="X58" s="92" t="s">
        <v>384</v>
      </c>
      <c r="Y58" s="92" t="s">
        <v>248</v>
      </c>
      <c r="Z58" s="92" t="s">
        <v>385</v>
      </c>
      <c r="AA58" s="92"/>
      <c r="AB58" s="92"/>
      <c r="AC58" s="85"/>
      <c r="AD58" s="86"/>
      <c r="AE58" s="87"/>
      <c r="AF58" s="87"/>
      <c r="AG58" s="88"/>
      <c r="AH58" s="89" t="str">
        <f t="shared" ref="AH58:AK59" ca="1" si="26">IF(AND(ISNUMBER(AD58),ISNUMBER($AC58)),OFFSET(RiskMatrixRef,-$AC58+1,AD58-1),"")</f>
        <v/>
      </c>
      <c r="AI58" s="90" t="str">
        <f t="shared" ca="1" si="26"/>
        <v/>
      </c>
      <c r="AJ58" s="90" t="str">
        <f t="shared" ca="1" si="26"/>
        <v/>
      </c>
      <c r="AK58" s="91" t="str">
        <f t="shared" ca="1" si="26"/>
        <v/>
      </c>
      <c r="AL58" s="92"/>
      <c r="AM58" s="92"/>
      <c r="AN58" s="92"/>
      <c r="AO58" s="85"/>
      <c r="AP58" s="86"/>
      <c r="AQ58" s="87"/>
      <c r="AR58" s="87"/>
      <c r="AS58" s="88"/>
      <c r="AT58" s="89" t="str">
        <f t="shared" ref="AT58:AW59" ca="1" si="27">IF(AND(ISNUMBER(AP58),ISNUMBER($AO58)),OFFSET(RiskMatrixRef,-$AO58+1,AP58-1),"")</f>
        <v/>
      </c>
      <c r="AU58" s="90" t="str">
        <f t="shared" ca="1" si="27"/>
        <v/>
      </c>
      <c r="AV58" s="90" t="str">
        <f t="shared" ca="1" si="27"/>
        <v/>
      </c>
      <c r="AW58" s="91" t="str">
        <f t="shared" ca="1" si="27"/>
        <v/>
      </c>
      <c r="AX58" s="93"/>
      <c r="AY58" s="92"/>
    </row>
    <row r="59" spans="2:51" s="94" customFormat="1" ht="90" x14ac:dyDescent="0.25">
      <c r="B59" s="193" t="s">
        <v>144</v>
      </c>
      <c r="C59" s="124" t="s">
        <v>97</v>
      </c>
      <c r="D59" s="124" t="s">
        <v>95</v>
      </c>
      <c r="E59" s="84">
        <v>3</v>
      </c>
      <c r="F59" s="82" t="s">
        <v>439</v>
      </c>
      <c r="G59" s="124" t="s">
        <v>135</v>
      </c>
      <c r="H59" s="82" t="s">
        <v>60</v>
      </c>
      <c r="I59" s="82" t="s">
        <v>101</v>
      </c>
      <c r="J59" s="82" t="s">
        <v>67</v>
      </c>
      <c r="K59" s="124" t="s">
        <v>390</v>
      </c>
      <c r="L59" s="82" t="s">
        <v>68</v>
      </c>
      <c r="M59" s="124" t="s">
        <v>182</v>
      </c>
      <c r="N59" s="124" t="s">
        <v>129</v>
      </c>
      <c r="O59" s="85">
        <v>3</v>
      </c>
      <c r="P59" s="196">
        <v>1</v>
      </c>
      <c r="Q59" s="197">
        <v>1</v>
      </c>
      <c r="R59" s="197">
        <v>8</v>
      </c>
      <c r="S59" s="198">
        <v>8</v>
      </c>
      <c r="T59" s="89" t="str">
        <f t="shared" ca="1" si="16"/>
        <v>Low</v>
      </c>
      <c r="U59" s="90" t="str">
        <f t="shared" ca="1" si="17"/>
        <v>Low</v>
      </c>
      <c r="V59" s="90" t="str">
        <f t="shared" ca="1" si="18"/>
        <v>Low</v>
      </c>
      <c r="W59" s="91" t="str">
        <f t="shared" ca="1" si="19"/>
        <v>Low</v>
      </c>
      <c r="X59" s="170" t="s">
        <v>353</v>
      </c>
      <c r="Y59" s="92" t="s">
        <v>247</v>
      </c>
      <c r="Z59" s="92"/>
      <c r="AA59" s="92"/>
      <c r="AB59" s="92"/>
      <c r="AC59" s="85"/>
      <c r="AD59" s="86"/>
      <c r="AE59" s="87"/>
      <c r="AF59" s="87"/>
      <c r="AG59" s="88"/>
      <c r="AH59" s="89" t="str">
        <f t="shared" ca="1" si="26"/>
        <v/>
      </c>
      <c r="AI59" s="90" t="str">
        <f t="shared" ca="1" si="26"/>
        <v/>
      </c>
      <c r="AJ59" s="90" t="str">
        <f t="shared" ca="1" si="26"/>
        <v/>
      </c>
      <c r="AK59" s="91" t="str">
        <f t="shared" ca="1" si="26"/>
        <v/>
      </c>
      <c r="AL59" s="92"/>
      <c r="AM59" s="92"/>
      <c r="AN59" s="92"/>
      <c r="AO59" s="85"/>
      <c r="AP59" s="86"/>
      <c r="AQ59" s="87"/>
      <c r="AR59" s="87"/>
      <c r="AS59" s="88"/>
      <c r="AT59" s="89" t="str">
        <f t="shared" ca="1" si="27"/>
        <v/>
      </c>
      <c r="AU59" s="90" t="str">
        <f t="shared" ca="1" si="27"/>
        <v/>
      </c>
      <c r="AV59" s="90" t="str">
        <f t="shared" ca="1" si="27"/>
        <v/>
      </c>
      <c r="AW59" s="91" t="str">
        <f t="shared" ca="1" si="27"/>
        <v/>
      </c>
      <c r="AX59" s="93"/>
      <c r="AY59" s="92"/>
    </row>
    <row r="60" spans="2:51" s="94" customFormat="1" ht="255" x14ac:dyDescent="0.25">
      <c r="B60" s="81" t="s">
        <v>145</v>
      </c>
      <c r="C60" s="82" t="s">
        <v>97</v>
      </c>
      <c r="D60" s="214" t="s">
        <v>95</v>
      </c>
      <c r="E60" s="84">
        <v>3</v>
      </c>
      <c r="F60" s="82" t="s">
        <v>439</v>
      </c>
      <c r="G60" s="82" t="s">
        <v>135</v>
      </c>
      <c r="H60" s="82" t="s">
        <v>250</v>
      </c>
      <c r="I60" s="82" t="s">
        <v>226</v>
      </c>
      <c r="J60" s="82" t="s">
        <v>67</v>
      </c>
      <c r="K60" s="82" t="s">
        <v>354</v>
      </c>
      <c r="L60" s="82" t="s">
        <v>354</v>
      </c>
      <c r="M60" s="82" t="s">
        <v>386</v>
      </c>
      <c r="N60" s="82" t="s">
        <v>129</v>
      </c>
      <c r="O60" s="85">
        <v>7</v>
      </c>
      <c r="P60" s="215">
        <v>1</v>
      </c>
      <c r="Q60" s="87">
        <v>1</v>
      </c>
      <c r="R60" s="87">
        <v>6</v>
      </c>
      <c r="S60" s="88">
        <v>7</v>
      </c>
      <c r="T60" s="89" t="str">
        <f t="shared" ca="1" si="16"/>
        <v>Low</v>
      </c>
      <c r="U60" s="90" t="str">
        <f t="shared" ca="1" si="17"/>
        <v>Low</v>
      </c>
      <c r="V60" s="90" t="str">
        <f t="shared" ca="1" si="18"/>
        <v>Med</v>
      </c>
      <c r="W60" s="91" t="str">
        <f t="shared" ca="1" si="19"/>
        <v>Med</v>
      </c>
      <c r="X60" s="92" t="s">
        <v>383</v>
      </c>
      <c r="Y60" s="92" t="s">
        <v>280</v>
      </c>
      <c r="Z60" s="92"/>
      <c r="AA60" s="92"/>
      <c r="AB60" s="92"/>
      <c r="AC60" s="85"/>
      <c r="AD60" s="86"/>
      <c r="AE60" s="87"/>
      <c r="AF60" s="87"/>
      <c r="AG60" s="88"/>
      <c r="AH60" s="89"/>
      <c r="AI60" s="90"/>
      <c r="AJ60" s="90"/>
      <c r="AK60" s="91"/>
      <c r="AL60" s="92"/>
      <c r="AM60" s="92"/>
      <c r="AN60" s="92"/>
      <c r="AO60" s="85"/>
      <c r="AP60" s="86"/>
      <c r="AQ60" s="87"/>
      <c r="AR60" s="87"/>
      <c r="AS60" s="88"/>
      <c r="AT60" s="89"/>
      <c r="AU60" s="90"/>
      <c r="AV60" s="90"/>
      <c r="AW60" s="91"/>
      <c r="AX60" s="93"/>
      <c r="AY60" s="92"/>
    </row>
    <row r="61" spans="2:51" s="141" customFormat="1" ht="225" x14ac:dyDescent="0.25">
      <c r="B61" s="142" t="s">
        <v>376</v>
      </c>
      <c r="C61" s="143" t="s">
        <v>136</v>
      </c>
      <c r="D61" s="216" t="s">
        <v>95</v>
      </c>
      <c r="E61" s="158">
        <v>3</v>
      </c>
      <c r="F61" s="143" t="s">
        <v>437</v>
      </c>
      <c r="G61" s="143" t="s">
        <v>242</v>
      </c>
      <c r="H61" s="143" t="s">
        <v>462</v>
      </c>
      <c r="I61" s="143" t="s">
        <v>103</v>
      </c>
      <c r="J61" s="143" t="s">
        <v>67</v>
      </c>
      <c r="K61" s="143" t="s">
        <v>68</v>
      </c>
      <c r="L61" s="143" t="s">
        <v>68</v>
      </c>
      <c r="M61" s="143" t="s">
        <v>182</v>
      </c>
      <c r="N61" s="143" t="s">
        <v>183</v>
      </c>
      <c r="O61" s="160">
        <v>5</v>
      </c>
      <c r="P61" s="217">
        <v>1</v>
      </c>
      <c r="Q61" s="162">
        <v>1</v>
      </c>
      <c r="R61" s="162">
        <v>5</v>
      </c>
      <c r="S61" s="163">
        <v>4</v>
      </c>
      <c r="T61" s="164" t="str">
        <f t="shared" ca="1" si="16"/>
        <v>Low</v>
      </c>
      <c r="U61" s="165" t="str">
        <f t="shared" ca="1" si="17"/>
        <v>Low</v>
      </c>
      <c r="V61" s="165" t="str">
        <f t="shared" ca="1" si="18"/>
        <v>Low</v>
      </c>
      <c r="W61" s="166" t="str">
        <f t="shared" ca="1" si="19"/>
        <v>Low</v>
      </c>
      <c r="X61" s="154"/>
      <c r="Y61" s="154" t="s">
        <v>259</v>
      </c>
      <c r="Z61" s="154" t="s">
        <v>387</v>
      </c>
      <c r="AA61" s="154"/>
      <c r="AB61" s="154"/>
      <c r="AC61" s="160"/>
      <c r="AD61" s="161"/>
      <c r="AE61" s="162"/>
      <c r="AF61" s="162"/>
      <c r="AG61" s="163"/>
      <c r="AH61" s="164" t="str">
        <f t="shared" ref="AH61:AK64" ca="1" si="28">IF(AND(ISNUMBER(AD61),ISNUMBER($AC61)),OFFSET(RiskMatrixRef,-$AC61+1,AD61-1),"")</f>
        <v/>
      </c>
      <c r="AI61" s="165" t="str">
        <f t="shared" ca="1" si="28"/>
        <v/>
      </c>
      <c r="AJ61" s="165" t="str">
        <f t="shared" ca="1" si="28"/>
        <v/>
      </c>
      <c r="AK61" s="166" t="str">
        <f t="shared" ca="1" si="28"/>
        <v/>
      </c>
      <c r="AL61" s="154"/>
      <c r="AM61" s="154"/>
      <c r="AN61" s="154"/>
      <c r="AO61" s="160"/>
      <c r="AP61" s="161"/>
      <c r="AQ61" s="162"/>
      <c r="AR61" s="162"/>
      <c r="AS61" s="163"/>
      <c r="AT61" s="164" t="str">
        <f t="shared" ref="AT61:AW64" ca="1" si="29">IF(AND(ISNUMBER(AP61),ISNUMBER($AO61)),OFFSET(RiskMatrixRef,-$AO61+1,AP61-1),"")</f>
        <v/>
      </c>
      <c r="AU61" s="165" t="str">
        <f t="shared" ca="1" si="29"/>
        <v/>
      </c>
      <c r="AV61" s="165" t="str">
        <f t="shared" ca="1" si="29"/>
        <v/>
      </c>
      <c r="AW61" s="166" t="str">
        <f t="shared" ca="1" si="29"/>
        <v/>
      </c>
      <c r="AX61" s="167"/>
      <c r="AY61" s="154"/>
    </row>
    <row r="62" spans="2:51" s="94" customFormat="1" ht="90" x14ac:dyDescent="0.25">
      <c r="B62" s="81" t="s">
        <v>377</v>
      </c>
      <c r="C62" s="82" t="s">
        <v>98</v>
      </c>
      <c r="D62" s="214" t="s">
        <v>95</v>
      </c>
      <c r="E62" s="84">
        <v>3</v>
      </c>
      <c r="F62" s="82" t="s">
        <v>437</v>
      </c>
      <c r="G62" s="82" t="s">
        <v>66</v>
      </c>
      <c r="H62" s="82" t="s">
        <v>59</v>
      </c>
      <c r="I62" s="82" t="s">
        <v>106</v>
      </c>
      <c r="J62" s="82" t="s">
        <v>67</v>
      </c>
      <c r="K62" s="82" t="s">
        <v>388</v>
      </c>
      <c r="L62" s="82" t="s">
        <v>68</v>
      </c>
      <c r="M62" s="82" t="s">
        <v>182</v>
      </c>
      <c r="N62" s="82" t="s">
        <v>129</v>
      </c>
      <c r="O62" s="85">
        <v>7</v>
      </c>
      <c r="P62" s="215">
        <v>1</v>
      </c>
      <c r="Q62" s="87">
        <v>1</v>
      </c>
      <c r="R62" s="87">
        <v>8</v>
      </c>
      <c r="S62" s="88">
        <v>8</v>
      </c>
      <c r="T62" s="89" t="str">
        <f t="shared" ca="1" si="16"/>
        <v>Low</v>
      </c>
      <c r="U62" s="90" t="str">
        <f t="shared" ca="1" si="17"/>
        <v>Low</v>
      </c>
      <c r="V62" s="90" t="str">
        <f t="shared" ca="1" si="18"/>
        <v>Med</v>
      </c>
      <c r="W62" s="91" t="str">
        <f t="shared" ca="1" si="19"/>
        <v>Med</v>
      </c>
      <c r="X62" s="92" t="s">
        <v>391</v>
      </c>
      <c r="Y62" s="92" t="s">
        <v>243</v>
      </c>
      <c r="Z62" s="92" t="s">
        <v>392</v>
      </c>
      <c r="AA62" s="92"/>
      <c r="AB62" s="92"/>
      <c r="AC62" s="85"/>
      <c r="AD62" s="86"/>
      <c r="AE62" s="87"/>
      <c r="AF62" s="87"/>
      <c r="AG62" s="88"/>
      <c r="AH62" s="89" t="str">
        <f t="shared" ca="1" si="28"/>
        <v/>
      </c>
      <c r="AI62" s="90" t="str">
        <f t="shared" ca="1" si="28"/>
        <v/>
      </c>
      <c r="AJ62" s="90" t="str">
        <f t="shared" ca="1" si="28"/>
        <v/>
      </c>
      <c r="AK62" s="91" t="str">
        <f t="shared" ca="1" si="28"/>
        <v/>
      </c>
      <c r="AL62" s="92"/>
      <c r="AM62" s="92"/>
      <c r="AN62" s="92"/>
      <c r="AO62" s="85"/>
      <c r="AP62" s="86"/>
      <c r="AQ62" s="87"/>
      <c r="AR62" s="87"/>
      <c r="AS62" s="88"/>
      <c r="AT62" s="89" t="str">
        <f t="shared" ca="1" si="29"/>
        <v/>
      </c>
      <c r="AU62" s="90" t="str">
        <f t="shared" ca="1" si="29"/>
        <v/>
      </c>
      <c r="AV62" s="90" t="str">
        <f t="shared" ca="1" si="29"/>
        <v/>
      </c>
      <c r="AW62" s="91" t="str">
        <f t="shared" ca="1" si="29"/>
        <v/>
      </c>
      <c r="AX62" s="93"/>
      <c r="AY62" s="92"/>
    </row>
    <row r="63" spans="2:51" s="94" customFormat="1" ht="90" x14ac:dyDescent="0.25">
      <c r="B63" s="81" t="s">
        <v>378</v>
      </c>
      <c r="C63" s="82" t="s">
        <v>98</v>
      </c>
      <c r="D63" s="214" t="s">
        <v>95</v>
      </c>
      <c r="E63" s="84">
        <v>3</v>
      </c>
      <c r="F63" s="82" t="s">
        <v>437</v>
      </c>
      <c r="G63" s="82" t="s">
        <v>66</v>
      </c>
      <c r="H63" s="82" t="s">
        <v>59</v>
      </c>
      <c r="I63" s="82" t="s">
        <v>101</v>
      </c>
      <c r="J63" s="82" t="s">
        <v>67</v>
      </c>
      <c r="K63" s="82" t="s">
        <v>388</v>
      </c>
      <c r="L63" s="82" t="s">
        <v>68</v>
      </c>
      <c r="M63" s="82" t="s">
        <v>182</v>
      </c>
      <c r="N63" s="82" t="s">
        <v>129</v>
      </c>
      <c r="O63" s="85">
        <v>3</v>
      </c>
      <c r="P63" s="215">
        <v>1</v>
      </c>
      <c r="Q63" s="87">
        <v>1</v>
      </c>
      <c r="R63" s="87">
        <v>8</v>
      </c>
      <c r="S63" s="88">
        <v>8</v>
      </c>
      <c r="T63" s="89" t="str">
        <f t="shared" ca="1" si="16"/>
        <v>Low</v>
      </c>
      <c r="U63" s="90" t="str">
        <f t="shared" ca="1" si="17"/>
        <v>Low</v>
      </c>
      <c r="V63" s="90" t="str">
        <f t="shared" ca="1" si="18"/>
        <v>Low</v>
      </c>
      <c r="W63" s="91" t="str">
        <f t="shared" ca="1" si="19"/>
        <v>Low</v>
      </c>
      <c r="X63" s="92"/>
      <c r="Y63" s="92" t="s">
        <v>277</v>
      </c>
      <c r="Z63" s="92" t="s">
        <v>393</v>
      </c>
      <c r="AA63" s="92"/>
      <c r="AB63" s="92"/>
      <c r="AC63" s="85"/>
      <c r="AD63" s="86"/>
      <c r="AE63" s="87"/>
      <c r="AF63" s="87"/>
      <c r="AG63" s="88"/>
      <c r="AH63" s="89" t="str">
        <f t="shared" ca="1" si="28"/>
        <v/>
      </c>
      <c r="AI63" s="90" t="str">
        <f t="shared" ca="1" si="28"/>
        <v/>
      </c>
      <c r="AJ63" s="90" t="str">
        <f t="shared" ca="1" si="28"/>
        <v/>
      </c>
      <c r="AK63" s="91" t="str">
        <f t="shared" ca="1" si="28"/>
        <v/>
      </c>
      <c r="AL63" s="92"/>
      <c r="AM63" s="92"/>
      <c r="AN63" s="92"/>
      <c r="AO63" s="85"/>
      <c r="AP63" s="86"/>
      <c r="AQ63" s="87"/>
      <c r="AR63" s="87"/>
      <c r="AS63" s="88"/>
      <c r="AT63" s="89" t="str">
        <f t="shared" ca="1" si="29"/>
        <v/>
      </c>
      <c r="AU63" s="90" t="str">
        <f t="shared" ca="1" si="29"/>
        <v/>
      </c>
      <c r="AV63" s="90" t="str">
        <f t="shared" ca="1" si="29"/>
        <v/>
      </c>
      <c r="AW63" s="91" t="str">
        <f t="shared" ca="1" si="29"/>
        <v/>
      </c>
      <c r="AX63" s="93"/>
      <c r="AY63" s="92"/>
    </row>
    <row r="64" spans="2:51" s="94" customFormat="1" ht="165" x14ac:dyDescent="0.25">
      <c r="B64" s="81" t="s">
        <v>379</v>
      </c>
      <c r="C64" s="82" t="s">
        <v>98</v>
      </c>
      <c r="D64" s="214" t="s">
        <v>95</v>
      </c>
      <c r="E64" s="84">
        <v>3</v>
      </c>
      <c r="F64" s="82" t="s">
        <v>437</v>
      </c>
      <c r="G64" s="82" t="s">
        <v>66</v>
      </c>
      <c r="H64" s="82" t="s">
        <v>59</v>
      </c>
      <c r="I64" s="82" t="s">
        <v>105</v>
      </c>
      <c r="J64" s="82" t="s">
        <v>67</v>
      </c>
      <c r="K64" s="82" t="s">
        <v>389</v>
      </c>
      <c r="L64" s="82" t="s">
        <v>68</v>
      </c>
      <c r="M64" s="82" t="s">
        <v>182</v>
      </c>
      <c r="N64" s="82" t="s">
        <v>129</v>
      </c>
      <c r="O64" s="85">
        <v>7</v>
      </c>
      <c r="P64" s="215">
        <v>1</v>
      </c>
      <c r="Q64" s="87">
        <v>1</v>
      </c>
      <c r="R64" s="87">
        <v>8</v>
      </c>
      <c r="S64" s="88">
        <v>8</v>
      </c>
      <c r="T64" s="89" t="str">
        <f t="shared" ca="1" si="16"/>
        <v>Low</v>
      </c>
      <c r="U64" s="90" t="str">
        <f t="shared" ca="1" si="17"/>
        <v>Low</v>
      </c>
      <c r="V64" s="90" t="str">
        <f t="shared" ca="1" si="18"/>
        <v>Med</v>
      </c>
      <c r="W64" s="91" t="str">
        <f t="shared" ca="1" si="19"/>
        <v>Med</v>
      </c>
      <c r="X64" s="92" t="s">
        <v>394</v>
      </c>
      <c r="Y64" s="92" t="s">
        <v>273</v>
      </c>
      <c r="Z64" s="92"/>
      <c r="AA64" s="92"/>
      <c r="AB64" s="92"/>
      <c r="AC64" s="85"/>
      <c r="AD64" s="86"/>
      <c r="AE64" s="87"/>
      <c r="AF64" s="87"/>
      <c r="AG64" s="88"/>
      <c r="AH64" s="89" t="str">
        <f t="shared" ca="1" si="28"/>
        <v/>
      </c>
      <c r="AI64" s="90" t="str">
        <f t="shared" ca="1" si="28"/>
        <v/>
      </c>
      <c r="AJ64" s="90" t="str">
        <f t="shared" ca="1" si="28"/>
        <v/>
      </c>
      <c r="AK64" s="91" t="str">
        <f t="shared" ca="1" si="28"/>
        <v/>
      </c>
      <c r="AL64" s="92"/>
      <c r="AM64" s="92"/>
      <c r="AN64" s="92"/>
      <c r="AO64" s="85"/>
      <c r="AP64" s="86"/>
      <c r="AQ64" s="87"/>
      <c r="AR64" s="87"/>
      <c r="AS64" s="88"/>
      <c r="AT64" s="89" t="str">
        <f t="shared" ca="1" si="29"/>
        <v/>
      </c>
      <c r="AU64" s="90" t="str">
        <f t="shared" ca="1" si="29"/>
        <v/>
      </c>
      <c r="AV64" s="90" t="str">
        <f t="shared" ca="1" si="29"/>
        <v/>
      </c>
      <c r="AW64" s="91" t="str">
        <f t="shared" ca="1" si="29"/>
        <v/>
      </c>
      <c r="AX64" s="93"/>
      <c r="AY64" s="92"/>
    </row>
    <row r="65" spans="2:51" s="141" customFormat="1" ht="90" x14ac:dyDescent="0.25">
      <c r="B65" s="142" t="s">
        <v>380</v>
      </c>
      <c r="C65" s="143" t="s">
        <v>395</v>
      </c>
      <c r="D65" s="216" t="s">
        <v>95</v>
      </c>
      <c r="E65" s="158">
        <v>3</v>
      </c>
      <c r="F65" s="143" t="s">
        <v>437</v>
      </c>
      <c r="G65" s="143" t="s">
        <v>228</v>
      </c>
      <c r="H65" s="143" t="s">
        <v>230</v>
      </c>
      <c r="I65" s="143" t="s">
        <v>229</v>
      </c>
      <c r="J65" s="143" t="s">
        <v>67</v>
      </c>
      <c r="K65" s="143" t="s">
        <v>396</v>
      </c>
      <c r="L65" s="143" t="s">
        <v>68</v>
      </c>
      <c r="M65" s="143" t="s">
        <v>182</v>
      </c>
      <c r="N65" s="143" t="s">
        <v>129</v>
      </c>
      <c r="O65" s="160">
        <v>7</v>
      </c>
      <c r="P65" s="217">
        <v>1</v>
      </c>
      <c r="Q65" s="162">
        <v>1</v>
      </c>
      <c r="R65" s="162">
        <v>8</v>
      </c>
      <c r="S65" s="163">
        <v>8</v>
      </c>
      <c r="T65" s="164" t="str">
        <f t="shared" ca="1" si="16"/>
        <v>Low</v>
      </c>
      <c r="U65" s="165" t="str">
        <f t="shared" ca="1" si="17"/>
        <v>Low</v>
      </c>
      <c r="V65" s="165" t="str">
        <f t="shared" ca="1" si="18"/>
        <v>Med</v>
      </c>
      <c r="W65" s="166" t="str">
        <f t="shared" ca="1" si="19"/>
        <v>Med</v>
      </c>
      <c r="X65" s="154" t="s">
        <v>397</v>
      </c>
      <c r="Y65" s="154" t="s">
        <v>267</v>
      </c>
      <c r="Z65" s="154"/>
      <c r="AA65" s="154"/>
      <c r="AB65" s="154"/>
      <c r="AC65" s="160"/>
      <c r="AD65" s="161"/>
      <c r="AE65" s="162"/>
      <c r="AF65" s="162"/>
      <c r="AG65" s="163"/>
      <c r="AH65" s="164"/>
      <c r="AI65" s="165"/>
      <c r="AJ65" s="165"/>
      <c r="AK65" s="166"/>
      <c r="AL65" s="154"/>
      <c r="AM65" s="154"/>
      <c r="AN65" s="154"/>
      <c r="AO65" s="160"/>
      <c r="AP65" s="161"/>
      <c r="AQ65" s="162"/>
      <c r="AR65" s="162"/>
      <c r="AS65" s="163"/>
      <c r="AT65" s="164"/>
      <c r="AU65" s="165"/>
      <c r="AV65" s="165"/>
      <c r="AW65" s="166"/>
      <c r="AX65" s="167"/>
      <c r="AY65" s="154"/>
    </row>
    <row r="66" spans="2:51" s="94" customFormat="1" ht="75" x14ac:dyDescent="0.25">
      <c r="B66" s="81" t="s">
        <v>44</v>
      </c>
      <c r="C66" s="82" t="s">
        <v>96</v>
      </c>
      <c r="D66" s="83" t="s">
        <v>95</v>
      </c>
      <c r="E66" s="84">
        <v>3</v>
      </c>
      <c r="F66" s="82" t="s">
        <v>437</v>
      </c>
      <c r="G66" s="82" t="s">
        <v>125</v>
      </c>
      <c r="H66" s="82" t="s">
        <v>238</v>
      </c>
      <c r="I66" s="82" t="s">
        <v>101</v>
      </c>
      <c r="J66" s="82" t="s">
        <v>67</v>
      </c>
      <c r="K66" s="82" t="s">
        <v>356</v>
      </c>
      <c r="L66" s="82" t="s">
        <v>68</v>
      </c>
      <c r="M66" s="82" t="s">
        <v>168</v>
      </c>
      <c r="N66" s="82" t="s">
        <v>128</v>
      </c>
      <c r="O66" s="85">
        <v>3</v>
      </c>
      <c r="P66" s="215">
        <v>1</v>
      </c>
      <c r="Q66" s="87">
        <v>1</v>
      </c>
      <c r="R66" s="87">
        <v>6</v>
      </c>
      <c r="S66" s="88">
        <v>7</v>
      </c>
      <c r="T66" s="89" t="str">
        <f t="shared" ca="1" si="16"/>
        <v>Low</v>
      </c>
      <c r="U66" s="90" t="str">
        <f t="shared" ca="1" si="17"/>
        <v>Low</v>
      </c>
      <c r="V66" s="90" t="str">
        <f t="shared" ca="1" si="18"/>
        <v>Low</v>
      </c>
      <c r="W66" s="91" t="str">
        <f t="shared" ca="1" si="19"/>
        <v>Low</v>
      </c>
      <c r="X66" s="92" t="s">
        <v>366</v>
      </c>
      <c r="Y66" s="92" t="s">
        <v>246</v>
      </c>
      <c r="Z66" s="92"/>
      <c r="AA66" s="92"/>
      <c r="AB66" s="92"/>
      <c r="AC66" s="85"/>
      <c r="AD66" s="86"/>
      <c r="AE66" s="87"/>
      <c r="AF66" s="87"/>
      <c r="AG66" s="88"/>
      <c r="AH66" s="89" t="str">
        <f t="shared" ref="AH66:AK67" ca="1" si="30">IF(AND(ISNUMBER(AD66),ISNUMBER($AC66)),OFFSET(RiskMatrixRef,-$AC66+1,AD66-1),"")</f>
        <v/>
      </c>
      <c r="AI66" s="90" t="str">
        <f t="shared" ca="1" si="30"/>
        <v/>
      </c>
      <c r="AJ66" s="90" t="str">
        <f t="shared" ca="1" si="30"/>
        <v/>
      </c>
      <c r="AK66" s="91" t="str">
        <f t="shared" ca="1" si="30"/>
        <v/>
      </c>
      <c r="AL66" s="92"/>
      <c r="AM66" s="92"/>
      <c r="AN66" s="92"/>
      <c r="AO66" s="85"/>
      <c r="AP66" s="86"/>
      <c r="AQ66" s="87"/>
      <c r="AR66" s="87"/>
      <c r="AS66" s="88"/>
      <c r="AT66" s="89" t="str">
        <f t="shared" ref="AT66:AW67" ca="1" si="31">IF(AND(ISNUMBER(AP66),ISNUMBER($AO66)),OFFSET(RiskMatrixRef,-$AO66+1,AP66-1),"")</f>
        <v/>
      </c>
      <c r="AU66" s="90" t="str">
        <f t="shared" ca="1" si="31"/>
        <v/>
      </c>
      <c r="AV66" s="90" t="str">
        <f t="shared" ca="1" si="31"/>
        <v/>
      </c>
      <c r="AW66" s="91" t="str">
        <f t="shared" ca="1" si="31"/>
        <v/>
      </c>
      <c r="AX66" s="93"/>
      <c r="AY66" s="92"/>
    </row>
    <row r="67" spans="2:51" s="94" customFormat="1" ht="165" x14ac:dyDescent="0.25">
      <c r="B67" s="81" t="s">
        <v>92</v>
      </c>
      <c r="C67" s="82" t="s">
        <v>96</v>
      </c>
      <c r="D67" s="83" t="s">
        <v>95</v>
      </c>
      <c r="E67" s="84">
        <v>3</v>
      </c>
      <c r="F67" s="82" t="s">
        <v>437</v>
      </c>
      <c r="G67" s="82" t="s">
        <v>125</v>
      </c>
      <c r="H67" s="82" t="s">
        <v>238</v>
      </c>
      <c r="I67" s="82" t="s">
        <v>105</v>
      </c>
      <c r="J67" s="82" t="s">
        <v>67</v>
      </c>
      <c r="K67" s="82" t="s">
        <v>355</v>
      </c>
      <c r="L67" s="82" t="s">
        <v>68</v>
      </c>
      <c r="M67" s="82" t="s">
        <v>168</v>
      </c>
      <c r="N67" s="82" t="s">
        <v>128</v>
      </c>
      <c r="O67" s="85">
        <v>7</v>
      </c>
      <c r="P67" s="215">
        <v>1</v>
      </c>
      <c r="Q67" s="87">
        <v>1</v>
      </c>
      <c r="R67" s="87">
        <v>6</v>
      </c>
      <c r="S67" s="88">
        <v>7</v>
      </c>
      <c r="T67" s="89" t="str">
        <f t="shared" ca="1" si="16"/>
        <v>Low</v>
      </c>
      <c r="U67" s="90" t="str">
        <f t="shared" ca="1" si="17"/>
        <v>Low</v>
      </c>
      <c r="V67" s="90" t="str">
        <f t="shared" ca="1" si="18"/>
        <v>Med</v>
      </c>
      <c r="W67" s="91" t="str">
        <f t="shared" ca="1" si="19"/>
        <v>Med</v>
      </c>
      <c r="X67" s="92" t="s">
        <v>336</v>
      </c>
      <c r="Y67" s="92" t="s">
        <v>254</v>
      </c>
      <c r="Z67" s="92"/>
      <c r="AA67" s="92"/>
      <c r="AB67" s="92"/>
      <c r="AC67" s="85"/>
      <c r="AD67" s="86"/>
      <c r="AE67" s="87"/>
      <c r="AF67" s="87"/>
      <c r="AG67" s="88"/>
      <c r="AH67" s="89" t="str">
        <f t="shared" ca="1" si="30"/>
        <v/>
      </c>
      <c r="AI67" s="90" t="str">
        <f t="shared" ca="1" si="30"/>
        <v/>
      </c>
      <c r="AJ67" s="90" t="str">
        <f t="shared" ca="1" si="30"/>
        <v/>
      </c>
      <c r="AK67" s="91" t="str">
        <f t="shared" ca="1" si="30"/>
        <v/>
      </c>
      <c r="AL67" s="92"/>
      <c r="AM67" s="92"/>
      <c r="AN67" s="92"/>
      <c r="AO67" s="85"/>
      <c r="AP67" s="86"/>
      <c r="AQ67" s="87"/>
      <c r="AR67" s="87"/>
      <c r="AS67" s="88"/>
      <c r="AT67" s="89" t="str">
        <f t="shared" ca="1" si="31"/>
        <v/>
      </c>
      <c r="AU67" s="90" t="str">
        <f t="shared" ca="1" si="31"/>
        <v/>
      </c>
      <c r="AV67" s="90" t="str">
        <f t="shared" ca="1" si="31"/>
        <v/>
      </c>
      <c r="AW67" s="91" t="str">
        <f t="shared" ca="1" si="31"/>
        <v/>
      </c>
      <c r="AX67" s="93"/>
      <c r="AY67" s="92"/>
    </row>
    <row r="68" spans="2:51" s="94" customFormat="1" ht="150" x14ac:dyDescent="0.25">
      <c r="B68" s="81" t="s">
        <v>93</v>
      </c>
      <c r="C68" s="82" t="s">
        <v>96</v>
      </c>
      <c r="D68" s="92" t="s">
        <v>95</v>
      </c>
      <c r="E68" s="84">
        <v>3</v>
      </c>
      <c r="F68" s="82" t="s">
        <v>437</v>
      </c>
      <c r="G68" s="82" t="s">
        <v>125</v>
      </c>
      <c r="H68" s="82" t="s">
        <v>238</v>
      </c>
      <c r="I68" s="82" t="s">
        <v>257</v>
      </c>
      <c r="J68" s="82" t="s">
        <v>67</v>
      </c>
      <c r="K68" s="82" t="s">
        <v>355</v>
      </c>
      <c r="L68" s="82" t="s">
        <v>68</v>
      </c>
      <c r="M68" s="82" t="s">
        <v>168</v>
      </c>
      <c r="N68" s="82" t="s">
        <v>128</v>
      </c>
      <c r="O68" s="85">
        <v>5</v>
      </c>
      <c r="P68" s="215">
        <v>1</v>
      </c>
      <c r="Q68" s="87">
        <v>1</v>
      </c>
      <c r="R68" s="87">
        <v>6</v>
      </c>
      <c r="S68" s="87">
        <v>7</v>
      </c>
      <c r="T68" s="89" t="str">
        <f t="shared" ca="1" si="16"/>
        <v>Low</v>
      </c>
      <c r="U68" s="90" t="str">
        <f t="shared" ca="1" si="17"/>
        <v>Low</v>
      </c>
      <c r="V68" s="90" t="str">
        <f t="shared" ca="1" si="18"/>
        <v>Low</v>
      </c>
      <c r="W68" s="91" t="str">
        <f t="shared" ca="1" si="19"/>
        <v>Med</v>
      </c>
      <c r="X68" s="92" t="s">
        <v>375</v>
      </c>
      <c r="Y68" s="92" t="s">
        <v>266</v>
      </c>
      <c r="Z68" s="92"/>
      <c r="AA68" s="92"/>
      <c r="AB68" s="92"/>
      <c r="AC68" s="85"/>
      <c r="AD68" s="86"/>
      <c r="AE68" s="87"/>
      <c r="AF68" s="87"/>
      <c r="AG68" s="88"/>
      <c r="AH68" s="89"/>
      <c r="AI68" s="90"/>
      <c r="AJ68" s="90"/>
      <c r="AK68" s="91"/>
      <c r="AL68" s="92"/>
      <c r="AM68" s="92"/>
      <c r="AN68" s="92"/>
      <c r="AO68" s="85"/>
      <c r="AP68" s="86"/>
      <c r="AQ68" s="87"/>
      <c r="AR68" s="87"/>
      <c r="AS68" s="88"/>
      <c r="AT68" s="89"/>
      <c r="AU68" s="90"/>
      <c r="AV68" s="90"/>
      <c r="AW68" s="91"/>
      <c r="AX68" s="93"/>
      <c r="AY68" s="92"/>
    </row>
    <row r="69" spans="2:51" s="94" customFormat="1" ht="105" x14ac:dyDescent="0.25">
      <c r="B69" s="81" t="s">
        <v>82</v>
      </c>
      <c r="C69" s="82" t="s">
        <v>96</v>
      </c>
      <c r="D69" s="92" t="s">
        <v>95</v>
      </c>
      <c r="E69" s="84">
        <v>3</v>
      </c>
      <c r="F69" s="82" t="s">
        <v>437</v>
      </c>
      <c r="G69" s="82" t="s">
        <v>126</v>
      </c>
      <c r="H69" s="82" t="s">
        <v>240</v>
      </c>
      <c r="I69" s="82" t="s">
        <v>104</v>
      </c>
      <c r="J69" s="82" t="s">
        <v>67</v>
      </c>
      <c r="K69" s="82" t="s">
        <v>354</v>
      </c>
      <c r="L69" s="82" t="s">
        <v>68</v>
      </c>
      <c r="M69" s="82" t="s">
        <v>168</v>
      </c>
      <c r="N69" s="82" t="s">
        <v>129</v>
      </c>
      <c r="O69" s="85">
        <v>6</v>
      </c>
      <c r="P69" s="86">
        <v>1</v>
      </c>
      <c r="Q69" s="87">
        <v>1</v>
      </c>
      <c r="R69" s="87">
        <v>7</v>
      </c>
      <c r="S69" s="88">
        <v>7</v>
      </c>
      <c r="T69" s="89" t="str">
        <f t="shared" ca="1" si="16"/>
        <v>Low</v>
      </c>
      <c r="U69" s="90" t="str">
        <f t="shared" ca="1" si="17"/>
        <v>Low</v>
      </c>
      <c r="V69" s="90" t="str">
        <f t="shared" ca="1" si="18"/>
        <v>Med</v>
      </c>
      <c r="W69" s="91" t="str">
        <f t="shared" ca="1" si="19"/>
        <v>Med</v>
      </c>
      <c r="X69" s="92" t="s">
        <v>353</v>
      </c>
      <c r="Y69" s="92" t="s">
        <v>255</v>
      </c>
      <c r="Z69" s="92"/>
      <c r="AA69" s="92"/>
      <c r="AB69" s="92"/>
      <c r="AC69" s="85"/>
      <c r="AD69" s="86"/>
      <c r="AE69" s="87"/>
      <c r="AF69" s="87"/>
      <c r="AG69" s="88"/>
      <c r="AH69" s="89" t="str">
        <f t="shared" ref="AH69:AK71" ca="1" si="32">IF(AND(ISNUMBER(AD69),ISNUMBER($AC69)),OFFSET(RiskMatrixRef,-$AC69+1,AD69-1),"")</f>
        <v/>
      </c>
      <c r="AI69" s="90" t="str">
        <f t="shared" ca="1" si="32"/>
        <v/>
      </c>
      <c r="AJ69" s="90" t="str">
        <f t="shared" ca="1" si="32"/>
        <v/>
      </c>
      <c r="AK69" s="91" t="str">
        <f t="shared" ca="1" si="32"/>
        <v/>
      </c>
      <c r="AL69" s="92"/>
      <c r="AM69" s="92"/>
      <c r="AN69" s="92"/>
      <c r="AO69" s="85"/>
      <c r="AP69" s="86"/>
      <c r="AQ69" s="87"/>
      <c r="AR69" s="87"/>
      <c r="AS69" s="88"/>
      <c r="AT69" s="89" t="str">
        <f t="shared" ref="AT69:AW71" ca="1" si="33">IF(AND(ISNUMBER(AP69),ISNUMBER($AO69)),OFFSET(RiskMatrixRef,-$AO69+1,AP69-1),"")</f>
        <v/>
      </c>
      <c r="AU69" s="90" t="str">
        <f t="shared" ca="1" si="33"/>
        <v/>
      </c>
      <c r="AV69" s="90" t="str">
        <f t="shared" ca="1" si="33"/>
        <v/>
      </c>
      <c r="AW69" s="91" t="str">
        <f t="shared" ca="1" si="33"/>
        <v/>
      </c>
      <c r="AX69" s="93"/>
      <c r="AY69" s="92" t="s">
        <v>169</v>
      </c>
    </row>
    <row r="70" spans="2:51" s="94" customFormat="1" ht="105" x14ac:dyDescent="0.25">
      <c r="B70" s="81" t="s">
        <v>83</v>
      </c>
      <c r="C70" s="82" t="s">
        <v>96</v>
      </c>
      <c r="D70" s="92" t="s">
        <v>95</v>
      </c>
      <c r="E70" s="84">
        <v>3</v>
      </c>
      <c r="F70" s="82" t="s">
        <v>437</v>
      </c>
      <c r="G70" s="82" t="s">
        <v>126</v>
      </c>
      <c r="H70" s="82" t="s">
        <v>240</v>
      </c>
      <c r="I70" s="82" t="s">
        <v>101</v>
      </c>
      <c r="J70" s="82" t="s">
        <v>67</v>
      </c>
      <c r="K70" s="82" t="s">
        <v>357</v>
      </c>
      <c r="L70" s="82" t="s">
        <v>68</v>
      </c>
      <c r="M70" s="82" t="s">
        <v>168</v>
      </c>
      <c r="N70" s="82" t="s">
        <v>129</v>
      </c>
      <c r="O70" s="85">
        <v>2</v>
      </c>
      <c r="P70" s="86">
        <v>1</v>
      </c>
      <c r="Q70" s="87">
        <v>1</v>
      </c>
      <c r="R70" s="87">
        <v>7</v>
      </c>
      <c r="S70" s="88">
        <v>7</v>
      </c>
      <c r="T70" s="89" t="str">
        <f t="shared" ref="T70:T92" ca="1" si="34">IF(AND(ISNUMBER(P70),ISNUMBER($O70)),OFFSET(RiskMatrixRef,-$O70+1,P70-1),"")</f>
        <v>Low</v>
      </c>
      <c r="U70" s="90" t="str">
        <f t="shared" ref="U70:U92" ca="1" si="35">IF(AND(ISNUMBER(Q70),ISNUMBER($O70)),OFFSET(RiskMatrixRef,-$O70+1,Q70-1),"")</f>
        <v>Low</v>
      </c>
      <c r="V70" s="90" t="str">
        <f t="shared" ref="V70:V92" ca="1" si="36">IF(AND(ISNUMBER(R70),ISNUMBER($O70)),OFFSET(RiskMatrixRef,-$O70+1,R70-1),"")</f>
        <v>Low</v>
      </c>
      <c r="W70" s="91" t="str">
        <f t="shared" ref="W70:W92" ca="1" si="37">IF(AND(ISNUMBER(S70),ISNUMBER($O70)),OFFSET(RiskMatrixRef,-$O70+1,S70-1),"")</f>
        <v>Low</v>
      </c>
      <c r="X70" s="92" t="s">
        <v>353</v>
      </c>
      <c r="Y70" s="92" t="s">
        <v>246</v>
      </c>
      <c r="Z70" s="92"/>
      <c r="AA70" s="92"/>
      <c r="AB70" s="92"/>
      <c r="AC70" s="85"/>
      <c r="AD70" s="86"/>
      <c r="AE70" s="87"/>
      <c r="AF70" s="87"/>
      <c r="AG70" s="88"/>
      <c r="AH70" s="89" t="str">
        <f t="shared" ca="1" si="32"/>
        <v/>
      </c>
      <c r="AI70" s="90" t="str">
        <f t="shared" ca="1" si="32"/>
        <v/>
      </c>
      <c r="AJ70" s="90" t="str">
        <f t="shared" ca="1" si="32"/>
        <v/>
      </c>
      <c r="AK70" s="91" t="str">
        <f t="shared" ca="1" si="32"/>
        <v/>
      </c>
      <c r="AL70" s="92"/>
      <c r="AM70" s="92"/>
      <c r="AN70" s="92"/>
      <c r="AO70" s="85"/>
      <c r="AP70" s="86"/>
      <c r="AQ70" s="87"/>
      <c r="AR70" s="87"/>
      <c r="AS70" s="88"/>
      <c r="AT70" s="89" t="str">
        <f t="shared" ca="1" si="33"/>
        <v/>
      </c>
      <c r="AU70" s="90" t="str">
        <f t="shared" ca="1" si="33"/>
        <v/>
      </c>
      <c r="AV70" s="90" t="str">
        <f t="shared" ca="1" si="33"/>
        <v/>
      </c>
      <c r="AW70" s="91" t="str">
        <f t="shared" ca="1" si="33"/>
        <v/>
      </c>
      <c r="AX70" s="93"/>
      <c r="AY70" s="92" t="s">
        <v>169</v>
      </c>
    </row>
    <row r="71" spans="2:51" s="94" customFormat="1" ht="165" x14ac:dyDescent="0.25">
      <c r="B71" s="81" t="s">
        <v>130</v>
      </c>
      <c r="C71" s="82" t="s">
        <v>96</v>
      </c>
      <c r="D71" s="92" t="s">
        <v>95</v>
      </c>
      <c r="E71" s="84">
        <v>3</v>
      </c>
      <c r="F71" s="82" t="s">
        <v>437</v>
      </c>
      <c r="G71" s="82" t="s">
        <v>126</v>
      </c>
      <c r="H71" s="82" t="s">
        <v>240</v>
      </c>
      <c r="I71" s="82" t="s">
        <v>105</v>
      </c>
      <c r="J71" s="82" t="s">
        <v>67</v>
      </c>
      <c r="K71" s="82" t="s">
        <v>354</v>
      </c>
      <c r="L71" s="82" t="s">
        <v>68</v>
      </c>
      <c r="M71" s="82" t="s">
        <v>168</v>
      </c>
      <c r="N71" s="82" t="s">
        <v>129</v>
      </c>
      <c r="O71" s="85">
        <v>6</v>
      </c>
      <c r="P71" s="86">
        <v>1</v>
      </c>
      <c r="Q71" s="87">
        <v>1</v>
      </c>
      <c r="R71" s="87">
        <v>7</v>
      </c>
      <c r="S71" s="87">
        <v>7</v>
      </c>
      <c r="T71" s="89" t="str">
        <f t="shared" ca="1" si="34"/>
        <v>Low</v>
      </c>
      <c r="U71" s="90" t="str">
        <f t="shared" ca="1" si="35"/>
        <v>Low</v>
      </c>
      <c r="V71" s="90" t="str">
        <f t="shared" ca="1" si="36"/>
        <v>Med</v>
      </c>
      <c r="W71" s="91" t="str">
        <f t="shared" ca="1" si="37"/>
        <v>Med</v>
      </c>
      <c r="X71" s="92" t="s">
        <v>394</v>
      </c>
      <c r="Y71" s="92" t="s">
        <v>256</v>
      </c>
      <c r="Z71" s="92"/>
      <c r="AA71" s="92"/>
      <c r="AB71" s="92"/>
      <c r="AC71" s="85"/>
      <c r="AD71" s="86"/>
      <c r="AE71" s="87"/>
      <c r="AF71" s="87"/>
      <c r="AG71" s="88"/>
      <c r="AH71" s="89" t="str">
        <f t="shared" ca="1" si="32"/>
        <v/>
      </c>
      <c r="AI71" s="90" t="str">
        <f t="shared" ca="1" si="32"/>
        <v/>
      </c>
      <c r="AJ71" s="90" t="str">
        <f t="shared" ca="1" si="32"/>
        <v/>
      </c>
      <c r="AK71" s="91" t="str">
        <f t="shared" ca="1" si="32"/>
        <v/>
      </c>
      <c r="AL71" s="92"/>
      <c r="AM71" s="92"/>
      <c r="AN71" s="92"/>
      <c r="AO71" s="85"/>
      <c r="AP71" s="86"/>
      <c r="AQ71" s="87"/>
      <c r="AR71" s="87"/>
      <c r="AS71" s="88"/>
      <c r="AT71" s="89" t="str">
        <f t="shared" ca="1" si="33"/>
        <v/>
      </c>
      <c r="AU71" s="90" t="str">
        <f t="shared" ca="1" si="33"/>
        <v/>
      </c>
      <c r="AV71" s="90" t="str">
        <f t="shared" ca="1" si="33"/>
        <v/>
      </c>
      <c r="AW71" s="91" t="str">
        <f t="shared" ca="1" si="33"/>
        <v/>
      </c>
      <c r="AX71" s="93"/>
      <c r="AY71" s="92" t="s">
        <v>169</v>
      </c>
    </row>
    <row r="72" spans="2:51" s="94" customFormat="1" ht="105" x14ac:dyDescent="0.25">
      <c r="B72" s="81" t="s">
        <v>131</v>
      </c>
      <c r="C72" s="82" t="s">
        <v>96</v>
      </c>
      <c r="D72" s="92" t="s">
        <v>95</v>
      </c>
      <c r="E72" s="84">
        <v>3</v>
      </c>
      <c r="F72" s="82" t="s">
        <v>437</v>
      </c>
      <c r="G72" s="82" t="s">
        <v>126</v>
      </c>
      <c r="H72" s="82" t="s">
        <v>240</v>
      </c>
      <c r="I72" s="82" t="s">
        <v>257</v>
      </c>
      <c r="J72" s="82" t="s">
        <v>67</v>
      </c>
      <c r="K72" s="82" t="s">
        <v>354</v>
      </c>
      <c r="L72" s="82" t="s">
        <v>68</v>
      </c>
      <c r="M72" s="82" t="s">
        <v>168</v>
      </c>
      <c r="N72" s="82" t="s">
        <v>129</v>
      </c>
      <c r="O72" s="85">
        <v>4</v>
      </c>
      <c r="P72" s="86">
        <v>1</v>
      </c>
      <c r="Q72" s="87">
        <v>1</v>
      </c>
      <c r="R72" s="87">
        <v>7</v>
      </c>
      <c r="S72" s="88">
        <v>7</v>
      </c>
      <c r="T72" s="89" t="str">
        <f t="shared" ca="1" si="34"/>
        <v>Low</v>
      </c>
      <c r="U72" s="90" t="str">
        <f t="shared" ca="1" si="35"/>
        <v>Low</v>
      </c>
      <c r="V72" s="90" t="str">
        <f t="shared" ca="1" si="36"/>
        <v>Low</v>
      </c>
      <c r="W72" s="91" t="str">
        <f t="shared" ca="1" si="37"/>
        <v>Low</v>
      </c>
      <c r="X72" s="92" t="s">
        <v>375</v>
      </c>
      <c r="Y72" s="92"/>
      <c r="Z72" s="92"/>
      <c r="AA72" s="92"/>
      <c r="AB72" s="92"/>
      <c r="AC72" s="85"/>
      <c r="AD72" s="86"/>
      <c r="AE72" s="87"/>
      <c r="AF72" s="87"/>
      <c r="AG72" s="88"/>
      <c r="AH72" s="89"/>
      <c r="AI72" s="90"/>
      <c r="AJ72" s="90"/>
      <c r="AK72" s="91"/>
      <c r="AL72" s="92"/>
      <c r="AM72" s="92"/>
      <c r="AN72" s="92"/>
      <c r="AO72" s="85"/>
      <c r="AP72" s="86"/>
      <c r="AQ72" s="87"/>
      <c r="AR72" s="87"/>
      <c r="AS72" s="88"/>
      <c r="AT72" s="89"/>
      <c r="AU72" s="90"/>
      <c r="AV72" s="90"/>
      <c r="AW72" s="91"/>
      <c r="AX72" s="93"/>
      <c r="AY72" s="92"/>
    </row>
    <row r="73" spans="2:51" s="109" customFormat="1" ht="75" x14ac:dyDescent="0.25">
      <c r="B73" s="110" t="s">
        <v>132</v>
      </c>
      <c r="C73" s="111" t="s">
        <v>140</v>
      </c>
      <c r="D73" s="111" t="s">
        <v>95</v>
      </c>
      <c r="E73" s="113">
        <v>3</v>
      </c>
      <c r="F73" s="111" t="s">
        <v>437</v>
      </c>
      <c r="G73" s="111" t="s">
        <v>138</v>
      </c>
      <c r="H73" s="111" t="s">
        <v>238</v>
      </c>
      <c r="I73" s="111" t="s">
        <v>137</v>
      </c>
      <c r="J73" s="111" t="s">
        <v>67</v>
      </c>
      <c r="K73" s="111" t="s">
        <v>141</v>
      </c>
      <c r="L73" s="111" t="s">
        <v>68</v>
      </c>
      <c r="M73" s="111" t="s">
        <v>170</v>
      </c>
      <c r="N73" s="111" t="s">
        <v>129</v>
      </c>
      <c r="O73" s="114">
        <v>5</v>
      </c>
      <c r="P73" s="115">
        <v>1</v>
      </c>
      <c r="Q73" s="116">
        <v>1</v>
      </c>
      <c r="R73" s="116">
        <v>7</v>
      </c>
      <c r="S73" s="116">
        <v>7</v>
      </c>
      <c r="T73" s="118" t="str">
        <f t="shared" ca="1" si="34"/>
        <v>Low</v>
      </c>
      <c r="U73" s="119" t="str">
        <f t="shared" ca="1" si="35"/>
        <v>Low</v>
      </c>
      <c r="V73" s="119" t="str">
        <f t="shared" ca="1" si="36"/>
        <v>Med</v>
      </c>
      <c r="W73" s="120" t="str">
        <f t="shared" ca="1" si="37"/>
        <v>Med</v>
      </c>
      <c r="X73" s="121"/>
      <c r="Y73" s="121" t="s">
        <v>215</v>
      </c>
      <c r="Z73" s="121" t="s">
        <v>381</v>
      </c>
      <c r="AA73" s="121"/>
      <c r="AB73" s="121"/>
      <c r="AC73" s="114"/>
      <c r="AD73" s="115"/>
      <c r="AE73" s="116"/>
      <c r="AF73" s="116"/>
      <c r="AG73" s="117"/>
      <c r="AH73" s="118" t="str">
        <f t="shared" ref="AH73:AK74" ca="1" si="38">IF(AND(ISNUMBER(AD73),ISNUMBER($AC73)),OFFSET(RiskMatrixRef,-$AC73+1,AD73-1),"")</f>
        <v/>
      </c>
      <c r="AI73" s="119" t="str">
        <f t="shared" ca="1" si="38"/>
        <v/>
      </c>
      <c r="AJ73" s="119" t="str">
        <f t="shared" ca="1" si="38"/>
        <v/>
      </c>
      <c r="AK73" s="120" t="str">
        <f t="shared" ca="1" si="38"/>
        <v/>
      </c>
      <c r="AL73" s="121"/>
      <c r="AM73" s="121"/>
      <c r="AN73" s="121"/>
      <c r="AO73" s="114"/>
      <c r="AP73" s="115"/>
      <c r="AQ73" s="116"/>
      <c r="AR73" s="116"/>
      <c r="AS73" s="117"/>
      <c r="AT73" s="118" t="str">
        <f t="shared" ref="AT73:AW74" ca="1" si="39">IF(AND(ISNUMBER(AP73),ISNUMBER($AO73)),OFFSET(RiskMatrixRef,-$AO73+1,AP73-1),"")</f>
        <v/>
      </c>
      <c r="AU73" s="119" t="str">
        <f t="shared" ca="1" si="39"/>
        <v/>
      </c>
      <c r="AV73" s="119" t="str">
        <f t="shared" ca="1" si="39"/>
        <v/>
      </c>
      <c r="AW73" s="120" t="str">
        <f t="shared" ca="1" si="39"/>
        <v/>
      </c>
      <c r="AX73" s="122"/>
      <c r="AY73" s="121"/>
    </row>
    <row r="74" spans="2:51" s="141" customFormat="1" ht="240" customHeight="1" x14ac:dyDescent="0.25">
      <c r="B74" s="142" t="s">
        <v>50</v>
      </c>
      <c r="C74" s="143" t="s">
        <v>40</v>
      </c>
      <c r="D74" s="154" t="s">
        <v>99</v>
      </c>
      <c r="E74" s="158">
        <v>2</v>
      </c>
      <c r="F74" s="143" t="s">
        <v>463</v>
      </c>
      <c r="G74" s="143" t="s">
        <v>112</v>
      </c>
      <c r="H74" s="143" t="s">
        <v>185</v>
      </c>
      <c r="I74" s="143" t="s">
        <v>100</v>
      </c>
      <c r="J74" s="143" t="s">
        <v>67</v>
      </c>
      <c r="K74" s="143" t="s">
        <v>118</v>
      </c>
      <c r="L74" s="143" t="s">
        <v>68</v>
      </c>
      <c r="M74" s="143" t="s">
        <v>76</v>
      </c>
      <c r="N74" s="143" t="s">
        <v>77</v>
      </c>
      <c r="O74" s="160">
        <v>7</v>
      </c>
      <c r="P74" s="161">
        <v>1</v>
      </c>
      <c r="Q74" s="162">
        <v>1</v>
      </c>
      <c r="R74" s="162">
        <v>6</v>
      </c>
      <c r="S74" s="163">
        <v>7</v>
      </c>
      <c r="T74" s="164" t="str">
        <f t="shared" ca="1" si="34"/>
        <v>Low</v>
      </c>
      <c r="U74" s="165" t="str">
        <f t="shared" ca="1" si="35"/>
        <v>Low</v>
      </c>
      <c r="V74" s="165" t="str">
        <f t="shared" ca="1" si="36"/>
        <v>Med</v>
      </c>
      <c r="W74" s="166" t="str">
        <f t="shared" ca="1" si="37"/>
        <v>Med</v>
      </c>
      <c r="X74" s="154" t="s">
        <v>361</v>
      </c>
      <c r="Y74" s="154" t="s">
        <v>278</v>
      </c>
      <c r="Z74" s="154" t="s">
        <v>398</v>
      </c>
      <c r="AA74" s="154"/>
      <c r="AB74" s="154"/>
      <c r="AC74" s="160"/>
      <c r="AD74" s="161"/>
      <c r="AE74" s="162"/>
      <c r="AF74" s="162"/>
      <c r="AG74" s="163"/>
      <c r="AH74" s="164" t="str">
        <f t="shared" ca="1" si="38"/>
        <v/>
      </c>
      <c r="AI74" s="165" t="str">
        <f t="shared" ca="1" si="38"/>
        <v/>
      </c>
      <c r="AJ74" s="165" t="str">
        <f t="shared" ca="1" si="38"/>
        <v/>
      </c>
      <c r="AK74" s="166" t="str">
        <f t="shared" ca="1" si="38"/>
        <v/>
      </c>
      <c r="AL74" s="154"/>
      <c r="AM74" s="154"/>
      <c r="AN74" s="154"/>
      <c r="AO74" s="160"/>
      <c r="AP74" s="161"/>
      <c r="AQ74" s="162"/>
      <c r="AR74" s="162"/>
      <c r="AS74" s="163"/>
      <c r="AT74" s="164" t="str">
        <f t="shared" ca="1" si="39"/>
        <v/>
      </c>
      <c r="AU74" s="165" t="str">
        <f t="shared" ca="1" si="39"/>
        <v/>
      </c>
      <c r="AV74" s="165" t="str">
        <f t="shared" ca="1" si="39"/>
        <v/>
      </c>
      <c r="AW74" s="166" t="str">
        <f t="shared" ca="1" si="39"/>
        <v/>
      </c>
      <c r="AX74" s="167"/>
      <c r="AY74" s="154"/>
    </row>
    <row r="75" spans="2:51" s="141" customFormat="1" ht="105" customHeight="1" x14ac:dyDescent="0.25">
      <c r="B75" s="142" t="s">
        <v>404</v>
      </c>
      <c r="C75" s="143" t="s">
        <v>40</v>
      </c>
      <c r="D75" s="154" t="s">
        <v>99</v>
      </c>
      <c r="E75" s="158">
        <v>2</v>
      </c>
      <c r="F75" s="143" t="s">
        <v>463</v>
      </c>
      <c r="G75" s="143" t="s">
        <v>64</v>
      </c>
      <c r="H75" s="143" t="s">
        <v>186</v>
      </c>
      <c r="I75" s="143" t="s">
        <v>216</v>
      </c>
      <c r="J75" s="143" t="s">
        <v>67</v>
      </c>
      <c r="K75" s="143" t="s">
        <v>114</v>
      </c>
      <c r="L75" s="143" t="s">
        <v>68</v>
      </c>
      <c r="M75" s="143" t="s">
        <v>76</v>
      </c>
      <c r="N75" s="143" t="s">
        <v>77</v>
      </c>
      <c r="O75" s="160">
        <v>4</v>
      </c>
      <c r="P75" s="161">
        <v>1</v>
      </c>
      <c r="Q75" s="162">
        <v>1</v>
      </c>
      <c r="R75" s="162">
        <v>6</v>
      </c>
      <c r="S75" s="163">
        <v>7</v>
      </c>
      <c r="T75" s="164" t="str">
        <f t="shared" ca="1" si="34"/>
        <v>Low</v>
      </c>
      <c r="U75" s="165" t="str">
        <f t="shared" ca="1" si="35"/>
        <v>Low</v>
      </c>
      <c r="V75" s="165" t="str">
        <f t="shared" ca="1" si="36"/>
        <v>Low</v>
      </c>
      <c r="W75" s="166" t="str">
        <f t="shared" ca="1" si="37"/>
        <v>Low</v>
      </c>
      <c r="X75" s="154"/>
      <c r="Y75" s="154"/>
      <c r="Z75" s="154" t="s">
        <v>401</v>
      </c>
      <c r="AA75" s="154"/>
      <c r="AB75" s="154"/>
      <c r="AC75" s="160"/>
      <c r="AD75" s="161"/>
      <c r="AE75" s="162"/>
      <c r="AF75" s="162"/>
      <c r="AG75" s="163"/>
      <c r="AH75" s="164"/>
      <c r="AI75" s="165"/>
      <c r="AJ75" s="165"/>
      <c r="AK75" s="166"/>
      <c r="AL75" s="154"/>
      <c r="AM75" s="154"/>
      <c r="AN75" s="154"/>
      <c r="AO75" s="160"/>
      <c r="AP75" s="161"/>
      <c r="AQ75" s="162"/>
      <c r="AR75" s="162"/>
      <c r="AS75" s="163"/>
      <c r="AT75" s="164"/>
      <c r="AU75" s="165"/>
      <c r="AV75" s="165"/>
      <c r="AW75" s="166"/>
      <c r="AX75" s="167"/>
      <c r="AY75" s="154"/>
    </row>
    <row r="76" spans="2:51" s="141" customFormat="1" ht="105" customHeight="1" x14ac:dyDescent="0.25">
      <c r="B76" s="142" t="s">
        <v>405</v>
      </c>
      <c r="C76" s="143" t="s">
        <v>40</v>
      </c>
      <c r="D76" s="154" t="s">
        <v>99</v>
      </c>
      <c r="E76" s="158">
        <v>2</v>
      </c>
      <c r="F76" s="143" t="s">
        <v>463</v>
      </c>
      <c r="G76" s="143" t="s">
        <v>64</v>
      </c>
      <c r="H76" s="143" t="s">
        <v>186</v>
      </c>
      <c r="I76" s="143" t="s">
        <v>231</v>
      </c>
      <c r="J76" s="143" t="s">
        <v>67</v>
      </c>
      <c r="K76" s="143" t="s">
        <v>114</v>
      </c>
      <c r="L76" s="143" t="s">
        <v>68</v>
      </c>
      <c r="M76" s="143" t="s">
        <v>76</v>
      </c>
      <c r="N76" s="143" t="s">
        <v>77</v>
      </c>
      <c r="O76" s="160">
        <v>4</v>
      </c>
      <c r="P76" s="161">
        <v>1</v>
      </c>
      <c r="Q76" s="162">
        <v>1</v>
      </c>
      <c r="R76" s="162">
        <v>6</v>
      </c>
      <c r="S76" s="163">
        <v>7</v>
      </c>
      <c r="T76" s="164" t="str">
        <f t="shared" ca="1" si="34"/>
        <v>Low</v>
      </c>
      <c r="U76" s="165" t="str">
        <f t="shared" ca="1" si="35"/>
        <v>Low</v>
      </c>
      <c r="V76" s="165" t="str">
        <f t="shared" ca="1" si="36"/>
        <v>Low</v>
      </c>
      <c r="W76" s="166" t="str">
        <f t="shared" ca="1" si="37"/>
        <v>Low</v>
      </c>
      <c r="X76" s="154" t="s">
        <v>402</v>
      </c>
      <c r="Y76" s="154"/>
      <c r="Z76" s="154"/>
      <c r="AA76" s="154"/>
      <c r="AB76" s="154"/>
      <c r="AC76" s="160"/>
      <c r="AD76" s="161"/>
      <c r="AE76" s="162"/>
      <c r="AF76" s="162"/>
      <c r="AG76" s="163"/>
      <c r="AH76" s="164"/>
      <c r="AI76" s="165"/>
      <c r="AJ76" s="165"/>
      <c r="AK76" s="166"/>
      <c r="AL76" s="154"/>
      <c r="AM76" s="154"/>
      <c r="AN76" s="154"/>
      <c r="AO76" s="160"/>
      <c r="AP76" s="161"/>
      <c r="AQ76" s="162"/>
      <c r="AR76" s="162"/>
      <c r="AS76" s="163"/>
      <c r="AT76" s="164"/>
      <c r="AU76" s="165"/>
      <c r="AV76" s="165"/>
      <c r="AW76" s="166"/>
      <c r="AX76" s="167"/>
      <c r="AY76" s="154"/>
    </row>
    <row r="77" spans="2:51" s="141" customFormat="1" ht="105" x14ac:dyDescent="0.25">
      <c r="B77" s="142" t="s">
        <v>406</v>
      </c>
      <c r="C77" s="143" t="s">
        <v>40</v>
      </c>
      <c r="D77" s="154" t="s">
        <v>99</v>
      </c>
      <c r="E77" s="158">
        <v>2</v>
      </c>
      <c r="F77" s="143" t="s">
        <v>463</v>
      </c>
      <c r="G77" s="143" t="s">
        <v>64</v>
      </c>
      <c r="H77" s="143" t="s">
        <v>186</v>
      </c>
      <c r="I77" s="143" t="s">
        <v>214</v>
      </c>
      <c r="J77" s="143" t="s">
        <v>67</v>
      </c>
      <c r="K77" s="143" t="s">
        <v>114</v>
      </c>
      <c r="L77" s="143" t="s">
        <v>68</v>
      </c>
      <c r="M77" s="143" t="s">
        <v>76</v>
      </c>
      <c r="N77" s="143" t="s">
        <v>77</v>
      </c>
      <c r="O77" s="160">
        <v>4</v>
      </c>
      <c r="P77" s="161">
        <v>1</v>
      </c>
      <c r="Q77" s="162">
        <v>1</v>
      </c>
      <c r="R77" s="162">
        <v>6</v>
      </c>
      <c r="S77" s="163">
        <v>7</v>
      </c>
      <c r="T77" s="164" t="str">
        <f t="shared" ca="1" si="34"/>
        <v>Low</v>
      </c>
      <c r="U77" s="165" t="str">
        <f t="shared" ca="1" si="35"/>
        <v>Low</v>
      </c>
      <c r="V77" s="165" t="str">
        <f t="shared" ca="1" si="36"/>
        <v>Low</v>
      </c>
      <c r="W77" s="166" t="str">
        <f t="shared" ca="1" si="37"/>
        <v>Low</v>
      </c>
      <c r="X77" s="154" t="s">
        <v>403</v>
      </c>
      <c r="Y77" s="154"/>
      <c r="Z77" s="154"/>
      <c r="AA77" s="154"/>
      <c r="AB77" s="154"/>
      <c r="AC77" s="160"/>
      <c r="AD77" s="161"/>
      <c r="AE77" s="162"/>
      <c r="AF77" s="162"/>
      <c r="AG77" s="163"/>
      <c r="AH77" s="164"/>
      <c r="AI77" s="165"/>
      <c r="AJ77" s="165"/>
      <c r="AK77" s="166"/>
      <c r="AL77" s="154"/>
      <c r="AM77" s="154"/>
      <c r="AN77" s="154"/>
      <c r="AO77" s="160"/>
      <c r="AP77" s="161"/>
      <c r="AQ77" s="162"/>
      <c r="AR77" s="162"/>
      <c r="AS77" s="163"/>
      <c r="AT77" s="164"/>
      <c r="AU77" s="165"/>
      <c r="AV77" s="165"/>
      <c r="AW77" s="166"/>
      <c r="AX77" s="167"/>
      <c r="AY77" s="154"/>
    </row>
    <row r="78" spans="2:51" s="141" customFormat="1" ht="105.75" customHeight="1" x14ac:dyDescent="0.25">
      <c r="B78" s="142" t="s">
        <v>407</v>
      </c>
      <c r="C78" s="143" t="s">
        <v>40</v>
      </c>
      <c r="D78" s="154" t="s">
        <v>99</v>
      </c>
      <c r="E78" s="158">
        <v>2</v>
      </c>
      <c r="F78" s="143" t="s">
        <v>440</v>
      </c>
      <c r="G78" s="143" t="s">
        <v>184</v>
      </c>
      <c r="H78" s="143" t="s">
        <v>187</v>
      </c>
      <c r="I78" s="143" t="s">
        <v>100</v>
      </c>
      <c r="J78" s="143" t="s">
        <v>67</v>
      </c>
      <c r="K78" s="143" t="s">
        <v>118</v>
      </c>
      <c r="L78" s="143" t="s">
        <v>68</v>
      </c>
      <c r="M78" s="143" t="s">
        <v>76</v>
      </c>
      <c r="N78" s="143" t="s">
        <v>77</v>
      </c>
      <c r="O78" s="160">
        <v>5</v>
      </c>
      <c r="P78" s="161">
        <v>1</v>
      </c>
      <c r="Q78" s="162">
        <v>1</v>
      </c>
      <c r="R78" s="162">
        <v>6</v>
      </c>
      <c r="S78" s="163">
        <v>7</v>
      </c>
      <c r="T78" s="164" t="str">
        <f t="shared" ca="1" si="34"/>
        <v>Low</v>
      </c>
      <c r="U78" s="165" t="str">
        <f t="shared" ca="1" si="35"/>
        <v>Low</v>
      </c>
      <c r="V78" s="165" t="str">
        <f t="shared" ca="1" si="36"/>
        <v>Low</v>
      </c>
      <c r="W78" s="166" t="str">
        <f t="shared" ca="1" si="37"/>
        <v>Med</v>
      </c>
      <c r="X78" s="154" t="s">
        <v>361</v>
      </c>
      <c r="Y78" s="154" t="s">
        <v>251</v>
      </c>
      <c r="Z78" s="154"/>
      <c r="AA78" s="154"/>
      <c r="AB78" s="154"/>
      <c r="AC78" s="160"/>
      <c r="AD78" s="161"/>
      <c r="AE78" s="162"/>
      <c r="AF78" s="162"/>
      <c r="AG78" s="163"/>
      <c r="AH78" s="164" t="str">
        <f t="shared" ref="AH78:AK81" ca="1" si="40">IF(AND(ISNUMBER(AD78),ISNUMBER($AC78)),OFFSET(RiskMatrixRef,-$AC78+1,AD78-1),"")</f>
        <v/>
      </c>
      <c r="AI78" s="165" t="str">
        <f t="shared" ca="1" si="40"/>
        <v/>
      </c>
      <c r="AJ78" s="165" t="str">
        <f t="shared" ca="1" si="40"/>
        <v/>
      </c>
      <c r="AK78" s="166" t="str">
        <f t="shared" ca="1" si="40"/>
        <v/>
      </c>
      <c r="AL78" s="154"/>
      <c r="AM78" s="154"/>
      <c r="AN78" s="154"/>
      <c r="AO78" s="160"/>
      <c r="AP78" s="161"/>
      <c r="AQ78" s="162"/>
      <c r="AR78" s="162"/>
      <c r="AS78" s="163"/>
      <c r="AT78" s="164" t="str">
        <f t="shared" ref="AT78:AW81" ca="1" si="41">IF(AND(ISNUMBER(AP78),ISNUMBER($AO78)),OFFSET(RiskMatrixRef,-$AO78+1,AP78-1),"")</f>
        <v/>
      </c>
      <c r="AU78" s="165" t="str">
        <f t="shared" ca="1" si="41"/>
        <v/>
      </c>
      <c r="AV78" s="165" t="str">
        <f t="shared" ca="1" si="41"/>
        <v/>
      </c>
      <c r="AW78" s="166" t="str">
        <f t="shared" ca="1" si="41"/>
        <v/>
      </c>
      <c r="AX78" s="167"/>
      <c r="AY78" s="154" t="s">
        <v>188</v>
      </c>
    </row>
    <row r="79" spans="2:51" s="141" customFormat="1" ht="90" x14ac:dyDescent="0.25">
      <c r="B79" s="142" t="s">
        <v>408</v>
      </c>
      <c r="C79" s="143" t="s">
        <v>40</v>
      </c>
      <c r="D79" s="218" t="s">
        <v>99</v>
      </c>
      <c r="E79" s="158">
        <v>2</v>
      </c>
      <c r="F79" s="143" t="s">
        <v>440</v>
      </c>
      <c r="G79" s="143" t="s">
        <v>184</v>
      </c>
      <c r="H79" s="143" t="s">
        <v>187</v>
      </c>
      <c r="I79" s="143" t="s">
        <v>111</v>
      </c>
      <c r="J79" s="143" t="s">
        <v>67</v>
      </c>
      <c r="K79" s="143" t="s">
        <v>113</v>
      </c>
      <c r="L79" s="143" t="s">
        <v>68</v>
      </c>
      <c r="M79" s="143" t="s">
        <v>76</v>
      </c>
      <c r="N79" s="143" t="s">
        <v>77</v>
      </c>
      <c r="O79" s="160">
        <v>4</v>
      </c>
      <c r="P79" s="161">
        <v>1</v>
      </c>
      <c r="Q79" s="162">
        <v>1</v>
      </c>
      <c r="R79" s="162">
        <v>6</v>
      </c>
      <c r="S79" s="163">
        <v>7</v>
      </c>
      <c r="T79" s="164" t="str">
        <f t="shared" ca="1" si="34"/>
        <v>Low</v>
      </c>
      <c r="U79" s="165" t="str">
        <f t="shared" ca="1" si="35"/>
        <v>Low</v>
      </c>
      <c r="V79" s="165" t="str">
        <f t="shared" ca="1" si="36"/>
        <v>Low</v>
      </c>
      <c r="W79" s="166" t="str">
        <f t="shared" ca="1" si="37"/>
        <v>Low</v>
      </c>
      <c r="X79" s="154"/>
      <c r="Y79" s="154"/>
      <c r="Z79" s="154"/>
      <c r="AA79" s="154"/>
      <c r="AB79" s="154"/>
      <c r="AC79" s="160"/>
      <c r="AD79" s="161"/>
      <c r="AE79" s="162"/>
      <c r="AF79" s="162"/>
      <c r="AG79" s="163"/>
      <c r="AH79" s="164" t="str">
        <f t="shared" ca="1" si="40"/>
        <v/>
      </c>
      <c r="AI79" s="165" t="str">
        <f t="shared" ca="1" si="40"/>
        <v/>
      </c>
      <c r="AJ79" s="165" t="str">
        <f t="shared" ca="1" si="40"/>
        <v/>
      </c>
      <c r="AK79" s="166" t="str">
        <f t="shared" ca="1" si="40"/>
        <v/>
      </c>
      <c r="AL79" s="154"/>
      <c r="AM79" s="154"/>
      <c r="AN79" s="154"/>
      <c r="AO79" s="160"/>
      <c r="AP79" s="161"/>
      <c r="AQ79" s="162"/>
      <c r="AR79" s="162"/>
      <c r="AS79" s="163"/>
      <c r="AT79" s="164" t="str">
        <f t="shared" ca="1" si="41"/>
        <v/>
      </c>
      <c r="AU79" s="165" t="str">
        <f t="shared" ca="1" si="41"/>
        <v/>
      </c>
      <c r="AV79" s="165" t="str">
        <f t="shared" ca="1" si="41"/>
        <v/>
      </c>
      <c r="AW79" s="166" t="str">
        <f t="shared" ca="1" si="41"/>
        <v/>
      </c>
      <c r="AX79" s="167"/>
      <c r="AY79" s="154" t="s">
        <v>188</v>
      </c>
    </row>
    <row r="80" spans="2:51" s="141" customFormat="1" ht="90" x14ac:dyDescent="0.25">
      <c r="B80" s="142" t="s">
        <v>409</v>
      </c>
      <c r="C80" s="143" t="s">
        <v>40</v>
      </c>
      <c r="D80" s="218" t="s">
        <v>99</v>
      </c>
      <c r="E80" s="158">
        <v>2</v>
      </c>
      <c r="F80" s="143" t="s">
        <v>440</v>
      </c>
      <c r="G80" s="143" t="s">
        <v>184</v>
      </c>
      <c r="H80" s="143" t="s">
        <v>187</v>
      </c>
      <c r="I80" s="143" t="s">
        <v>101</v>
      </c>
      <c r="J80" s="143" t="s">
        <v>67</v>
      </c>
      <c r="K80" s="143" t="s">
        <v>114</v>
      </c>
      <c r="L80" s="143" t="s">
        <v>68</v>
      </c>
      <c r="M80" s="143" t="s">
        <v>76</v>
      </c>
      <c r="N80" s="143" t="s">
        <v>77</v>
      </c>
      <c r="O80" s="234">
        <v>8</v>
      </c>
      <c r="P80" s="161">
        <v>1</v>
      </c>
      <c r="Q80" s="162">
        <v>1</v>
      </c>
      <c r="R80" s="162">
        <v>6</v>
      </c>
      <c r="S80" s="163">
        <v>7</v>
      </c>
      <c r="T80" s="164" t="str">
        <f t="shared" ca="1" si="34"/>
        <v>Low</v>
      </c>
      <c r="U80" s="165" t="str">
        <f t="shared" ca="1" si="35"/>
        <v>Low</v>
      </c>
      <c r="V80" s="165" t="str">
        <f t="shared" ca="1" si="36"/>
        <v>Med</v>
      </c>
      <c r="W80" s="166" t="str">
        <f t="shared" ca="1" si="37"/>
        <v>Med</v>
      </c>
      <c r="X80" s="154" t="s">
        <v>353</v>
      </c>
      <c r="Y80" s="154" t="s">
        <v>246</v>
      </c>
      <c r="Z80" s="154"/>
      <c r="AA80" s="154"/>
      <c r="AB80" s="154"/>
      <c r="AC80" s="160"/>
      <c r="AD80" s="161"/>
      <c r="AE80" s="162"/>
      <c r="AF80" s="162"/>
      <c r="AG80" s="163"/>
      <c r="AH80" s="164" t="str">
        <f t="shared" ca="1" si="40"/>
        <v/>
      </c>
      <c r="AI80" s="165" t="str">
        <f t="shared" ca="1" si="40"/>
        <v/>
      </c>
      <c r="AJ80" s="165" t="str">
        <f t="shared" ca="1" si="40"/>
        <v/>
      </c>
      <c r="AK80" s="166" t="str">
        <f t="shared" ca="1" si="40"/>
        <v/>
      </c>
      <c r="AL80" s="154"/>
      <c r="AM80" s="154"/>
      <c r="AN80" s="154"/>
      <c r="AO80" s="160"/>
      <c r="AP80" s="161"/>
      <c r="AQ80" s="162"/>
      <c r="AR80" s="162"/>
      <c r="AS80" s="163"/>
      <c r="AT80" s="164" t="str">
        <f t="shared" ca="1" si="41"/>
        <v/>
      </c>
      <c r="AU80" s="165" t="str">
        <f t="shared" ca="1" si="41"/>
        <v/>
      </c>
      <c r="AV80" s="165" t="str">
        <f t="shared" ca="1" si="41"/>
        <v/>
      </c>
      <c r="AW80" s="166" t="str">
        <f t="shared" ca="1" si="41"/>
        <v/>
      </c>
      <c r="AX80" s="167"/>
      <c r="AY80" s="154" t="s">
        <v>188</v>
      </c>
    </row>
    <row r="81" spans="2:51" s="141" customFormat="1" ht="135" x14ac:dyDescent="0.25">
      <c r="B81" s="142" t="s">
        <v>410</v>
      </c>
      <c r="C81" s="143" t="s">
        <v>40</v>
      </c>
      <c r="D81" s="218" t="s">
        <v>99</v>
      </c>
      <c r="E81" s="158">
        <v>2</v>
      </c>
      <c r="F81" s="143" t="s">
        <v>440</v>
      </c>
      <c r="G81" s="143" t="s">
        <v>184</v>
      </c>
      <c r="H81" s="143" t="s">
        <v>187</v>
      </c>
      <c r="I81" s="143" t="s">
        <v>216</v>
      </c>
      <c r="J81" s="143" t="s">
        <v>67</v>
      </c>
      <c r="K81" s="143" t="s">
        <v>114</v>
      </c>
      <c r="L81" s="143" t="s">
        <v>68</v>
      </c>
      <c r="M81" s="143" t="s">
        <v>76</v>
      </c>
      <c r="N81" s="143" t="s">
        <v>77</v>
      </c>
      <c r="O81" s="160">
        <v>3</v>
      </c>
      <c r="P81" s="161">
        <v>1</v>
      </c>
      <c r="Q81" s="162">
        <v>1</v>
      </c>
      <c r="R81" s="162">
        <v>6</v>
      </c>
      <c r="S81" s="163">
        <v>7</v>
      </c>
      <c r="T81" s="164" t="str">
        <f t="shared" ca="1" si="34"/>
        <v>Low</v>
      </c>
      <c r="U81" s="165" t="str">
        <f t="shared" ca="1" si="35"/>
        <v>Low</v>
      </c>
      <c r="V81" s="165" t="str">
        <f t="shared" ca="1" si="36"/>
        <v>Low</v>
      </c>
      <c r="W81" s="166" t="str">
        <f t="shared" ca="1" si="37"/>
        <v>Low</v>
      </c>
      <c r="X81" s="154"/>
      <c r="Y81" s="154"/>
      <c r="Z81" s="154" t="s">
        <v>401</v>
      </c>
      <c r="AA81" s="154"/>
      <c r="AB81" s="154"/>
      <c r="AC81" s="160"/>
      <c r="AD81" s="161"/>
      <c r="AE81" s="162"/>
      <c r="AF81" s="162"/>
      <c r="AG81" s="163"/>
      <c r="AH81" s="164" t="str">
        <f t="shared" ca="1" si="40"/>
        <v/>
      </c>
      <c r="AI81" s="165" t="str">
        <f t="shared" ca="1" si="40"/>
        <v/>
      </c>
      <c r="AJ81" s="165" t="str">
        <f t="shared" ca="1" si="40"/>
        <v/>
      </c>
      <c r="AK81" s="166" t="str">
        <f t="shared" ca="1" si="40"/>
        <v/>
      </c>
      <c r="AL81" s="154"/>
      <c r="AM81" s="154"/>
      <c r="AN81" s="154"/>
      <c r="AO81" s="160"/>
      <c r="AP81" s="161"/>
      <c r="AQ81" s="162"/>
      <c r="AR81" s="162"/>
      <c r="AS81" s="163"/>
      <c r="AT81" s="164" t="str">
        <f t="shared" ca="1" si="41"/>
        <v/>
      </c>
      <c r="AU81" s="165" t="str">
        <f t="shared" ca="1" si="41"/>
        <v/>
      </c>
      <c r="AV81" s="165" t="str">
        <f t="shared" ca="1" si="41"/>
        <v/>
      </c>
      <c r="AW81" s="166" t="str">
        <f t="shared" ca="1" si="41"/>
        <v/>
      </c>
      <c r="AX81" s="167"/>
      <c r="AY81" s="154"/>
    </row>
    <row r="82" spans="2:51" s="141" customFormat="1" ht="90" x14ac:dyDescent="0.25">
      <c r="B82" s="142" t="s">
        <v>411</v>
      </c>
      <c r="C82" s="143" t="s">
        <v>40</v>
      </c>
      <c r="D82" s="218" t="s">
        <v>99</v>
      </c>
      <c r="E82" s="158">
        <v>2</v>
      </c>
      <c r="F82" s="143" t="s">
        <v>440</v>
      </c>
      <c r="G82" s="143" t="s">
        <v>184</v>
      </c>
      <c r="H82" s="143" t="s">
        <v>187</v>
      </c>
      <c r="I82" s="143" t="s">
        <v>231</v>
      </c>
      <c r="J82" s="143" t="s">
        <v>67</v>
      </c>
      <c r="K82" s="143" t="s">
        <v>114</v>
      </c>
      <c r="L82" s="143" t="s">
        <v>68</v>
      </c>
      <c r="M82" s="143" t="s">
        <v>76</v>
      </c>
      <c r="N82" s="143" t="s">
        <v>77</v>
      </c>
      <c r="O82" s="160">
        <v>3</v>
      </c>
      <c r="P82" s="161">
        <v>1</v>
      </c>
      <c r="Q82" s="162">
        <v>1</v>
      </c>
      <c r="R82" s="162">
        <v>6</v>
      </c>
      <c r="S82" s="163">
        <v>7</v>
      </c>
      <c r="T82" s="164" t="str">
        <f t="shared" ca="1" si="34"/>
        <v>Low</v>
      </c>
      <c r="U82" s="165" t="str">
        <f t="shared" ca="1" si="35"/>
        <v>Low</v>
      </c>
      <c r="V82" s="165" t="str">
        <f t="shared" ca="1" si="36"/>
        <v>Low</v>
      </c>
      <c r="W82" s="166" t="str">
        <f t="shared" ca="1" si="37"/>
        <v>Low</v>
      </c>
      <c r="X82" s="154" t="s">
        <v>402</v>
      </c>
      <c r="Y82" s="154"/>
      <c r="Z82" s="154"/>
      <c r="AA82" s="154"/>
      <c r="AB82" s="154"/>
      <c r="AC82" s="160"/>
      <c r="AD82" s="161"/>
      <c r="AE82" s="162"/>
      <c r="AF82" s="162"/>
      <c r="AG82" s="163"/>
      <c r="AH82" s="164"/>
      <c r="AI82" s="165"/>
      <c r="AJ82" s="165"/>
      <c r="AK82" s="166"/>
      <c r="AL82" s="154"/>
      <c r="AM82" s="154"/>
      <c r="AN82" s="154"/>
      <c r="AO82" s="160"/>
      <c r="AP82" s="161"/>
      <c r="AQ82" s="162"/>
      <c r="AR82" s="162"/>
      <c r="AS82" s="163"/>
      <c r="AT82" s="164"/>
      <c r="AU82" s="165"/>
      <c r="AV82" s="165"/>
      <c r="AW82" s="166"/>
      <c r="AX82" s="167"/>
      <c r="AY82" s="154"/>
    </row>
    <row r="83" spans="2:51" s="141" customFormat="1" ht="105" x14ac:dyDescent="0.25">
      <c r="B83" s="142" t="s">
        <v>412</v>
      </c>
      <c r="C83" s="143" t="s">
        <v>40</v>
      </c>
      <c r="D83" s="218" t="s">
        <v>99</v>
      </c>
      <c r="E83" s="158">
        <v>2</v>
      </c>
      <c r="F83" s="143" t="s">
        <v>440</v>
      </c>
      <c r="G83" s="143" t="s">
        <v>184</v>
      </c>
      <c r="H83" s="143" t="s">
        <v>187</v>
      </c>
      <c r="I83" s="143" t="s">
        <v>214</v>
      </c>
      <c r="J83" s="143" t="s">
        <v>67</v>
      </c>
      <c r="K83" s="143" t="s">
        <v>114</v>
      </c>
      <c r="L83" s="143" t="s">
        <v>68</v>
      </c>
      <c r="M83" s="143" t="s">
        <v>76</v>
      </c>
      <c r="N83" s="143" t="s">
        <v>77</v>
      </c>
      <c r="O83" s="160">
        <v>3</v>
      </c>
      <c r="P83" s="161">
        <v>1</v>
      </c>
      <c r="Q83" s="162">
        <v>1</v>
      </c>
      <c r="R83" s="162">
        <v>6</v>
      </c>
      <c r="S83" s="163">
        <v>7</v>
      </c>
      <c r="T83" s="164" t="str">
        <f t="shared" ca="1" si="34"/>
        <v>Low</v>
      </c>
      <c r="U83" s="165" t="str">
        <f t="shared" ca="1" si="35"/>
        <v>Low</v>
      </c>
      <c r="V83" s="165" t="str">
        <f t="shared" ca="1" si="36"/>
        <v>Low</v>
      </c>
      <c r="W83" s="166" t="str">
        <f t="shared" ca="1" si="37"/>
        <v>Low</v>
      </c>
      <c r="X83" s="154" t="s">
        <v>403</v>
      </c>
      <c r="Y83" s="154"/>
      <c r="Z83" s="154"/>
      <c r="AA83" s="154"/>
      <c r="AB83" s="154"/>
      <c r="AC83" s="160"/>
      <c r="AD83" s="161"/>
      <c r="AE83" s="162"/>
      <c r="AF83" s="162"/>
      <c r="AG83" s="163"/>
      <c r="AH83" s="164"/>
      <c r="AI83" s="165"/>
      <c r="AJ83" s="165"/>
      <c r="AK83" s="166"/>
      <c r="AL83" s="154"/>
      <c r="AM83" s="154"/>
      <c r="AN83" s="154"/>
      <c r="AO83" s="160"/>
      <c r="AP83" s="161"/>
      <c r="AQ83" s="162"/>
      <c r="AR83" s="162"/>
      <c r="AS83" s="163"/>
      <c r="AT83" s="164"/>
      <c r="AU83" s="165"/>
      <c r="AV83" s="165"/>
      <c r="AW83" s="166"/>
      <c r="AX83" s="167"/>
      <c r="AY83" s="154"/>
    </row>
    <row r="84" spans="2:51" s="141" customFormat="1" ht="105" x14ac:dyDescent="0.25">
      <c r="B84" s="235" t="s">
        <v>470</v>
      </c>
      <c r="C84" s="236" t="s">
        <v>40</v>
      </c>
      <c r="D84" s="240" t="s">
        <v>99</v>
      </c>
      <c r="E84" s="241">
        <v>2</v>
      </c>
      <c r="F84" s="236" t="s">
        <v>440</v>
      </c>
      <c r="G84" s="236" t="s">
        <v>477</v>
      </c>
      <c r="H84" s="236" t="s">
        <v>471</v>
      </c>
      <c r="I84" s="236" t="s">
        <v>101</v>
      </c>
      <c r="J84" s="236" t="s">
        <v>472</v>
      </c>
      <c r="K84" s="236" t="s">
        <v>478</v>
      </c>
      <c r="L84" s="236" t="s">
        <v>473</v>
      </c>
      <c r="M84" s="236" t="s">
        <v>474</v>
      </c>
      <c r="N84" s="236" t="s">
        <v>474</v>
      </c>
      <c r="O84" s="234">
        <v>10</v>
      </c>
      <c r="P84" s="237">
        <v>1</v>
      </c>
      <c r="Q84" s="238">
        <v>1</v>
      </c>
      <c r="R84" s="238">
        <v>9</v>
      </c>
      <c r="S84" s="239">
        <v>9</v>
      </c>
      <c r="T84" s="164" t="str">
        <f t="shared" ref="T84" ca="1" si="42">IF(AND(ISNUMBER(P84),ISNUMBER($O84)),OFFSET(RiskMatrixRef,-$O84+1,P84-1),"")</f>
        <v>Low</v>
      </c>
      <c r="U84" s="165" t="str">
        <f t="shared" ref="U84" ca="1" si="43">IF(AND(ISNUMBER(Q84),ISNUMBER($O84)),OFFSET(RiskMatrixRef,-$O84+1,Q84-1),"")</f>
        <v>Low</v>
      </c>
      <c r="V84" s="165" t="str">
        <f t="shared" ref="V84" ca="1" si="44">IF(AND(ISNUMBER(R84),ISNUMBER($O84)),OFFSET(RiskMatrixRef,-$O84+1,R84-1),"")</f>
        <v>High</v>
      </c>
      <c r="W84" s="166" t="str">
        <f t="shared" ref="W84" ca="1" si="45">IF(AND(ISNUMBER(S84),ISNUMBER($O84)),OFFSET(RiskMatrixRef,-$O84+1,S84-1),"")</f>
        <v>High</v>
      </c>
      <c r="X84" s="154" t="s">
        <v>475</v>
      </c>
      <c r="Y84" s="154"/>
      <c r="Z84" s="242" t="s">
        <v>476</v>
      </c>
      <c r="AA84" s="154"/>
      <c r="AB84" s="154"/>
      <c r="AC84" s="160"/>
      <c r="AD84" s="161"/>
      <c r="AE84" s="162"/>
      <c r="AF84" s="162"/>
      <c r="AG84" s="163"/>
      <c r="AH84" s="164" t="str">
        <f t="shared" ref="AH84" ca="1" si="46">IF(AND(ISNUMBER(AD84),ISNUMBER($AC84)),OFFSET(RiskMatrixRef,-$AC84+1,AD84-1),"")</f>
        <v/>
      </c>
      <c r="AI84" s="165" t="str">
        <f t="shared" ref="AI84" ca="1" si="47">IF(AND(ISNUMBER(AE84),ISNUMBER($AC84)),OFFSET(RiskMatrixRef,-$AC84+1,AE84-1),"")</f>
        <v/>
      </c>
      <c r="AJ84" s="165" t="str">
        <f t="shared" ref="AJ84" ca="1" si="48">IF(AND(ISNUMBER(AF84),ISNUMBER($AC84)),OFFSET(RiskMatrixRef,-$AC84+1,AF84-1),"")</f>
        <v/>
      </c>
      <c r="AK84" s="166" t="str">
        <f t="shared" ref="AK84" ca="1" si="49">IF(AND(ISNUMBER(AG84),ISNUMBER($AC84)),OFFSET(RiskMatrixRef,-$AC84+1,AG84-1),"")</f>
        <v/>
      </c>
      <c r="AL84" s="154"/>
      <c r="AM84" s="154"/>
      <c r="AN84" s="154"/>
      <c r="AO84" s="160"/>
      <c r="AP84" s="161"/>
      <c r="AQ84" s="162"/>
      <c r="AR84" s="162"/>
      <c r="AS84" s="163"/>
      <c r="AT84" s="164" t="str">
        <f t="shared" ref="AT84" ca="1" si="50">IF(AND(ISNUMBER(AP84),ISNUMBER($AO84)),OFFSET(RiskMatrixRef,-$AO84+1,AP84-1),"")</f>
        <v/>
      </c>
      <c r="AU84" s="165" t="str">
        <f t="shared" ref="AU84" ca="1" si="51">IF(AND(ISNUMBER(AQ84),ISNUMBER($AO84)),OFFSET(RiskMatrixRef,-$AO84+1,AQ84-1),"")</f>
        <v/>
      </c>
      <c r="AV84" s="165" t="str">
        <f t="shared" ref="AV84" ca="1" si="52">IF(AND(ISNUMBER(AR84),ISNUMBER($AO84)),OFFSET(RiskMatrixRef,-$AO84+1,AR84-1),"")</f>
        <v/>
      </c>
      <c r="AW84" s="166" t="str">
        <f t="shared" ref="AW84" ca="1" si="53">IF(AND(ISNUMBER(AS84),ISNUMBER($AO84)),OFFSET(RiskMatrixRef,-$AO84+1,AS84-1),"")</f>
        <v/>
      </c>
      <c r="AX84" s="167"/>
      <c r="AY84" s="154"/>
    </row>
    <row r="85" spans="2:51" s="141" customFormat="1" ht="75" x14ac:dyDescent="0.25">
      <c r="B85" s="142" t="s">
        <v>51</v>
      </c>
      <c r="C85" s="143" t="s">
        <v>40</v>
      </c>
      <c r="D85" s="218" t="s">
        <v>99</v>
      </c>
      <c r="E85" s="158">
        <v>2</v>
      </c>
      <c r="F85" s="143" t="s">
        <v>457</v>
      </c>
      <c r="G85" s="143" t="s">
        <v>112</v>
      </c>
      <c r="H85" s="143" t="s">
        <v>185</v>
      </c>
      <c r="I85" s="143" t="s">
        <v>111</v>
      </c>
      <c r="J85" s="143" t="s">
        <v>67</v>
      </c>
      <c r="K85" s="143" t="s">
        <v>113</v>
      </c>
      <c r="L85" s="143" t="s">
        <v>68</v>
      </c>
      <c r="M85" s="143" t="s">
        <v>76</v>
      </c>
      <c r="N85" s="143" t="s">
        <v>77</v>
      </c>
      <c r="O85" s="160">
        <v>6</v>
      </c>
      <c r="P85" s="161">
        <v>1</v>
      </c>
      <c r="Q85" s="162">
        <v>1</v>
      </c>
      <c r="R85" s="162">
        <v>6</v>
      </c>
      <c r="S85" s="163">
        <v>7</v>
      </c>
      <c r="T85" s="164" t="str">
        <f t="shared" ca="1" si="34"/>
        <v>Low</v>
      </c>
      <c r="U85" s="165" t="str">
        <f t="shared" ca="1" si="35"/>
        <v>Low</v>
      </c>
      <c r="V85" s="165" t="str">
        <f t="shared" ca="1" si="36"/>
        <v>Med</v>
      </c>
      <c r="W85" s="166" t="str">
        <f t="shared" ca="1" si="37"/>
        <v>Med</v>
      </c>
      <c r="X85" s="154" t="s">
        <v>399</v>
      </c>
      <c r="Y85" s="154" t="s">
        <v>260</v>
      </c>
      <c r="Z85" s="154" t="s">
        <v>400</v>
      </c>
      <c r="AA85" s="154"/>
      <c r="AB85" s="154"/>
      <c r="AC85" s="160"/>
      <c r="AD85" s="161"/>
      <c r="AE85" s="162"/>
      <c r="AF85" s="162"/>
      <c r="AG85" s="163"/>
      <c r="AH85" s="164" t="str">
        <f t="shared" ref="AH85:AK86" ca="1" si="54">IF(AND(ISNUMBER(AD85),ISNUMBER($AC85)),OFFSET(RiskMatrixRef,-$AC85+1,AD85-1),"")</f>
        <v/>
      </c>
      <c r="AI85" s="165" t="str">
        <f t="shared" ca="1" si="54"/>
        <v/>
      </c>
      <c r="AJ85" s="165" t="str">
        <f t="shared" ca="1" si="54"/>
        <v/>
      </c>
      <c r="AK85" s="166" t="str">
        <f t="shared" ca="1" si="54"/>
        <v/>
      </c>
      <c r="AL85" s="154"/>
      <c r="AM85" s="154"/>
      <c r="AN85" s="154"/>
      <c r="AO85" s="160"/>
      <c r="AP85" s="161"/>
      <c r="AQ85" s="162"/>
      <c r="AR85" s="162"/>
      <c r="AS85" s="163"/>
      <c r="AT85" s="164" t="str">
        <f t="shared" ref="AT85:AW86" ca="1" si="55">IF(AND(ISNUMBER(AP85),ISNUMBER($AO85)),OFFSET(RiskMatrixRef,-$AO85+1,AP85-1),"")</f>
        <v/>
      </c>
      <c r="AU85" s="165" t="str">
        <f t="shared" ca="1" si="55"/>
        <v/>
      </c>
      <c r="AV85" s="165" t="str">
        <f t="shared" ca="1" si="55"/>
        <v/>
      </c>
      <c r="AW85" s="166" t="str">
        <f t="shared" ca="1" si="55"/>
        <v/>
      </c>
      <c r="AX85" s="167"/>
      <c r="AY85" s="154"/>
    </row>
    <row r="86" spans="2:51" s="141" customFormat="1" ht="75" x14ac:dyDescent="0.25">
      <c r="B86" s="142" t="s">
        <v>107</v>
      </c>
      <c r="C86" s="143" t="s">
        <v>40</v>
      </c>
      <c r="D86" s="218" t="s">
        <v>99</v>
      </c>
      <c r="E86" s="158">
        <v>2</v>
      </c>
      <c r="F86" s="143" t="s">
        <v>457</v>
      </c>
      <c r="G86" s="143" t="s">
        <v>112</v>
      </c>
      <c r="H86" s="143" t="s">
        <v>185</v>
      </c>
      <c r="I86" s="143" t="s">
        <v>101</v>
      </c>
      <c r="J86" s="143" t="s">
        <v>67</v>
      </c>
      <c r="K86" s="143" t="s">
        <v>114</v>
      </c>
      <c r="L86" s="143" t="s">
        <v>68</v>
      </c>
      <c r="M86" s="143" t="s">
        <v>76</v>
      </c>
      <c r="N86" s="143" t="s">
        <v>77</v>
      </c>
      <c r="O86" s="160">
        <v>4</v>
      </c>
      <c r="P86" s="161">
        <v>1</v>
      </c>
      <c r="Q86" s="162">
        <v>1</v>
      </c>
      <c r="R86" s="162">
        <v>6</v>
      </c>
      <c r="S86" s="163">
        <v>7</v>
      </c>
      <c r="T86" s="164" t="str">
        <f t="shared" ca="1" si="34"/>
        <v>Low</v>
      </c>
      <c r="U86" s="165" t="str">
        <f t="shared" ca="1" si="35"/>
        <v>Low</v>
      </c>
      <c r="V86" s="165" t="str">
        <f t="shared" ca="1" si="36"/>
        <v>Low</v>
      </c>
      <c r="W86" s="166" t="str">
        <f t="shared" ca="1" si="37"/>
        <v>Low</v>
      </c>
      <c r="X86" s="154" t="s">
        <v>353</v>
      </c>
      <c r="Y86" s="154" t="s">
        <v>246</v>
      </c>
      <c r="Z86" s="154"/>
      <c r="AA86" s="154"/>
      <c r="AB86" s="154"/>
      <c r="AC86" s="160"/>
      <c r="AD86" s="161"/>
      <c r="AE86" s="162"/>
      <c r="AF86" s="162"/>
      <c r="AG86" s="163"/>
      <c r="AH86" s="164" t="str">
        <f t="shared" ca="1" si="54"/>
        <v/>
      </c>
      <c r="AI86" s="165" t="str">
        <f t="shared" ca="1" si="54"/>
        <v/>
      </c>
      <c r="AJ86" s="165" t="str">
        <f t="shared" ca="1" si="54"/>
        <v/>
      </c>
      <c r="AK86" s="166" t="str">
        <f t="shared" ca="1" si="54"/>
        <v/>
      </c>
      <c r="AL86" s="154"/>
      <c r="AM86" s="154"/>
      <c r="AN86" s="154"/>
      <c r="AO86" s="160"/>
      <c r="AP86" s="161"/>
      <c r="AQ86" s="162"/>
      <c r="AR86" s="162"/>
      <c r="AS86" s="163"/>
      <c r="AT86" s="164" t="str">
        <f t="shared" ca="1" si="55"/>
        <v/>
      </c>
      <c r="AU86" s="165" t="str">
        <f t="shared" ca="1" si="55"/>
        <v/>
      </c>
      <c r="AV86" s="165" t="str">
        <f t="shared" ca="1" si="55"/>
        <v/>
      </c>
      <c r="AW86" s="166" t="str">
        <f t="shared" ca="1" si="55"/>
        <v/>
      </c>
      <c r="AX86" s="167"/>
      <c r="AY86" s="154"/>
    </row>
    <row r="87" spans="2:51" s="141" customFormat="1" ht="64.5" customHeight="1" x14ac:dyDescent="0.25">
      <c r="B87" s="142" t="s">
        <v>108</v>
      </c>
      <c r="C87" s="143" t="s">
        <v>40</v>
      </c>
      <c r="D87" s="218" t="s">
        <v>99</v>
      </c>
      <c r="E87" s="158">
        <v>2</v>
      </c>
      <c r="F87" s="143" t="s">
        <v>457</v>
      </c>
      <c r="G87" s="143" t="s">
        <v>112</v>
      </c>
      <c r="H87" s="143" t="s">
        <v>185</v>
      </c>
      <c r="I87" s="143" t="s">
        <v>216</v>
      </c>
      <c r="J87" s="143" t="s">
        <v>67</v>
      </c>
      <c r="K87" s="143" t="s">
        <v>114</v>
      </c>
      <c r="L87" s="143" t="s">
        <v>68</v>
      </c>
      <c r="M87" s="143" t="s">
        <v>76</v>
      </c>
      <c r="N87" s="143" t="s">
        <v>77</v>
      </c>
      <c r="O87" s="160">
        <v>5</v>
      </c>
      <c r="P87" s="161">
        <v>1</v>
      </c>
      <c r="Q87" s="162">
        <v>1</v>
      </c>
      <c r="R87" s="162">
        <v>6</v>
      </c>
      <c r="S87" s="163">
        <v>7</v>
      </c>
      <c r="T87" s="164" t="str">
        <f t="shared" ca="1" si="34"/>
        <v>Low</v>
      </c>
      <c r="U87" s="165" t="str">
        <f t="shared" ca="1" si="35"/>
        <v>Low</v>
      </c>
      <c r="V87" s="165" t="str">
        <f t="shared" ca="1" si="36"/>
        <v>Low</v>
      </c>
      <c r="W87" s="166" t="str">
        <f t="shared" ca="1" si="37"/>
        <v>Med</v>
      </c>
      <c r="X87" s="154"/>
      <c r="Y87" s="154" t="s">
        <v>268</v>
      </c>
      <c r="Z87" s="154" t="s">
        <v>401</v>
      </c>
      <c r="AA87" s="154"/>
      <c r="AB87" s="154"/>
      <c r="AC87" s="160"/>
      <c r="AD87" s="161"/>
      <c r="AE87" s="162"/>
      <c r="AF87" s="162"/>
      <c r="AG87" s="163"/>
      <c r="AH87" s="164"/>
      <c r="AI87" s="165"/>
      <c r="AJ87" s="165"/>
      <c r="AK87" s="166"/>
      <c r="AL87" s="154"/>
      <c r="AM87" s="154"/>
      <c r="AN87" s="154"/>
      <c r="AO87" s="160"/>
      <c r="AP87" s="161"/>
      <c r="AQ87" s="162"/>
      <c r="AR87" s="162"/>
      <c r="AS87" s="163"/>
      <c r="AT87" s="164"/>
      <c r="AU87" s="165"/>
      <c r="AV87" s="165"/>
      <c r="AW87" s="166"/>
      <c r="AX87" s="167"/>
      <c r="AY87" s="154"/>
    </row>
    <row r="88" spans="2:51" s="141" customFormat="1" ht="63.75" customHeight="1" x14ac:dyDescent="0.25">
      <c r="B88" s="142" t="s">
        <v>109</v>
      </c>
      <c r="C88" s="143" t="s">
        <v>40</v>
      </c>
      <c r="D88" s="218" t="s">
        <v>99</v>
      </c>
      <c r="E88" s="158">
        <v>2</v>
      </c>
      <c r="F88" s="143" t="s">
        <v>457</v>
      </c>
      <c r="G88" s="143" t="s">
        <v>112</v>
      </c>
      <c r="H88" s="143" t="s">
        <v>185</v>
      </c>
      <c r="I88" s="143" t="s">
        <v>231</v>
      </c>
      <c r="J88" s="143" t="s">
        <v>67</v>
      </c>
      <c r="K88" s="143" t="s">
        <v>114</v>
      </c>
      <c r="L88" s="143" t="s">
        <v>68</v>
      </c>
      <c r="M88" s="143" t="s">
        <v>76</v>
      </c>
      <c r="N88" s="143" t="s">
        <v>77</v>
      </c>
      <c r="O88" s="160">
        <v>5</v>
      </c>
      <c r="P88" s="161">
        <v>1</v>
      </c>
      <c r="Q88" s="162">
        <v>1</v>
      </c>
      <c r="R88" s="162">
        <v>6</v>
      </c>
      <c r="S88" s="163">
        <v>7</v>
      </c>
      <c r="T88" s="164" t="str">
        <f t="shared" ca="1" si="34"/>
        <v>Low</v>
      </c>
      <c r="U88" s="165" t="str">
        <f t="shared" ca="1" si="35"/>
        <v>Low</v>
      </c>
      <c r="V88" s="165" t="str">
        <f t="shared" ca="1" si="36"/>
        <v>Low</v>
      </c>
      <c r="W88" s="166" t="str">
        <f t="shared" ca="1" si="37"/>
        <v>Med</v>
      </c>
      <c r="X88" s="154" t="s">
        <v>402</v>
      </c>
      <c r="Y88" s="154" t="s">
        <v>244</v>
      </c>
      <c r="Z88" s="154"/>
      <c r="AA88" s="154"/>
      <c r="AB88" s="154"/>
      <c r="AC88" s="160"/>
      <c r="AD88" s="161"/>
      <c r="AE88" s="162"/>
      <c r="AF88" s="162"/>
      <c r="AG88" s="163"/>
      <c r="AH88" s="164"/>
      <c r="AI88" s="165"/>
      <c r="AJ88" s="165"/>
      <c r="AK88" s="166"/>
      <c r="AL88" s="154"/>
      <c r="AM88" s="154"/>
      <c r="AN88" s="154"/>
      <c r="AO88" s="160"/>
      <c r="AP88" s="161"/>
      <c r="AQ88" s="162"/>
      <c r="AR88" s="162"/>
      <c r="AS88" s="163"/>
      <c r="AT88" s="164"/>
      <c r="AU88" s="165"/>
      <c r="AV88" s="165"/>
      <c r="AW88" s="166"/>
      <c r="AX88" s="167"/>
      <c r="AY88" s="154"/>
    </row>
    <row r="89" spans="2:51" s="141" customFormat="1" ht="105" x14ac:dyDescent="0.25">
      <c r="B89" s="142" t="s">
        <v>110</v>
      </c>
      <c r="C89" s="143" t="s">
        <v>40</v>
      </c>
      <c r="D89" s="218" t="s">
        <v>99</v>
      </c>
      <c r="E89" s="158">
        <v>2</v>
      </c>
      <c r="F89" s="143" t="s">
        <v>457</v>
      </c>
      <c r="G89" s="143" t="s">
        <v>112</v>
      </c>
      <c r="H89" s="143" t="s">
        <v>185</v>
      </c>
      <c r="I89" s="143" t="s">
        <v>214</v>
      </c>
      <c r="J89" s="143" t="s">
        <v>67</v>
      </c>
      <c r="K89" s="143" t="s">
        <v>114</v>
      </c>
      <c r="L89" s="143" t="s">
        <v>68</v>
      </c>
      <c r="M89" s="143" t="s">
        <v>76</v>
      </c>
      <c r="N89" s="143" t="s">
        <v>77</v>
      </c>
      <c r="O89" s="160">
        <v>5</v>
      </c>
      <c r="P89" s="161">
        <v>1</v>
      </c>
      <c r="Q89" s="162">
        <v>1</v>
      </c>
      <c r="R89" s="162">
        <v>6</v>
      </c>
      <c r="S89" s="163">
        <v>7</v>
      </c>
      <c r="T89" s="164" t="str">
        <f t="shared" ca="1" si="34"/>
        <v>Low</v>
      </c>
      <c r="U89" s="165" t="str">
        <f t="shared" ca="1" si="35"/>
        <v>Low</v>
      </c>
      <c r="V89" s="165" t="str">
        <f t="shared" ca="1" si="36"/>
        <v>Low</v>
      </c>
      <c r="W89" s="166" t="str">
        <f t="shared" ca="1" si="37"/>
        <v>Med</v>
      </c>
      <c r="X89" s="154" t="s">
        <v>403</v>
      </c>
      <c r="Y89" s="154" t="s">
        <v>252</v>
      </c>
      <c r="Z89" s="154"/>
      <c r="AA89" s="154"/>
      <c r="AB89" s="154"/>
      <c r="AC89" s="160"/>
      <c r="AD89" s="161"/>
      <c r="AE89" s="162"/>
      <c r="AF89" s="162"/>
      <c r="AG89" s="163"/>
      <c r="AH89" s="164"/>
      <c r="AI89" s="165"/>
      <c r="AJ89" s="165"/>
      <c r="AK89" s="166"/>
      <c r="AL89" s="154"/>
      <c r="AM89" s="154"/>
      <c r="AN89" s="154"/>
      <c r="AO89" s="160"/>
      <c r="AP89" s="161"/>
      <c r="AQ89" s="162"/>
      <c r="AR89" s="162"/>
      <c r="AS89" s="163"/>
      <c r="AT89" s="164"/>
      <c r="AU89" s="165"/>
      <c r="AV89" s="165"/>
      <c r="AW89" s="166"/>
      <c r="AX89" s="167"/>
      <c r="AY89" s="154"/>
    </row>
    <row r="90" spans="2:51" s="141" customFormat="1" ht="90" x14ac:dyDescent="0.25">
      <c r="B90" s="142" t="s">
        <v>119</v>
      </c>
      <c r="C90" s="143" t="s">
        <v>40</v>
      </c>
      <c r="D90" s="218" t="s">
        <v>99</v>
      </c>
      <c r="E90" s="158">
        <v>2</v>
      </c>
      <c r="F90" s="143" t="s">
        <v>457</v>
      </c>
      <c r="G90" s="143" t="s">
        <v>64</v>
      </c>
      <c r="H90" s="143" t="s">
        <v>186</v>
      </c>
      <c r="I90" s="143" t="s">
        <v>100</v>
      </c>
      <c r="J90" s="143" t="s">
        <v>67</v>
      </c>
      <c r="K90" s="143" t="s">
        <v>115</v>
      </c>
      <c r="L90" s="143" t="s">
        <v>68</v>
      </c>
      <c r="M90" s="143" t="s">
        <v>76</v>
      </c>
      <c r="N90" s="143" t="s">
        <v>77</v>
      </c>
      <c r="O90" s="160">
        <v>6</v>
      </c>
      <c r="P90" s="161">
        <v>1</v>
      </c>
      <c r="Q90" s="162">
        <v>1</v>
      </c>
      <c r="R90" s="162">
        <v>6</v>
      </c>
      <c r="S90" s="163">
        <v>7</v>
      </c>
      <c r="T90" s="164" t="str">
        <f t="shared" ca="1" si="34"/>
        <v>Low</v>
      </c>
      <c r="U90" s="165" t="str">
        <f t="shared" ca="1" si="35"/>
        <v>Low</v>
      </c>
      <c r="V90" s="165" t="str">
        <f t="shared" ca="1" si="36"/>
        <v>Med</v>
      </c>
      <c r="W90" s="166" t="str">
        <f t="shared" ca="1" si="37"/>
        <v>Med</v>
      </c>
      <c r="X90" s="154" t="s">
        <v>361</v>
      </c>
      <c r="Y90" s="154" t="s">
        <v>251</v>
      </c>
      <c r="Z90" s="154"/>
      <c r="AA90" s="154"/>
      <c r="AB90" s="154"/>
      <c r="AC90" s="160"/>
      <c r="AD90" s="161"/>
      <c r="AE90" s="162"/>
      <c r="AF90" s="162"/>
      <c r="AG90" s="163"/>
      <c r="AH90" s="164" t="str">
        <f t="shared" ref="AH90:AK92" ca="1" si="56">IF(AND(ISNUMBER(AD90),ISNUMBER($AC90)),OFFSET(RiskMatrixRef,-$AC90+1,AD90-1),"")</f>
        <v/>
      </c>
      <c r="AI90" s="165" t="str">
        <f t="shared" ca="1" si="56"/>
        <v/>
      </c>
      <c r="AJ90" s="165" t="str">
        <f t="shared" ca="1" si="56"/>
        <v/>
      </c>
      <c r="AK90" s="166" t="str">
        <f t="shared" ca="1" si="56"/>
        <v/>
      </c>
      <c r="AL90" s="154"/>
      <c r="AM90" s="154"/>
      <c r="AN90" s="154"/>
      <c r="AO90" s="160"/>
      <c r="AP90" s="161"/>
      <c r="AQ90" s="162"/>
      <c r="AR90" s="162"/>
      <c r="AS90" s="163"/>
      <c r="AT90" s="164" t="str">
        <f t="shared" ref="AT90:AW92" ca="1" si="57">IF(AND(ISNUMBER(AP90),ISNUMBER($AO90)),OFFSET(RiskMatrixRef,-$AO90+1,AP90-1),"")</f>
        <v/>
      </c>
      <c r="AU90" s="165" t="str">
        <f t="shared" ca="1" si="57"/>
        <v/>
      </c>
      <c r="AV90" s="165" t="str">
        <f t="shared" ca="1" si="57"/>
        <v/>
      </c>
      <c r="AW90" s="166" t="str">
        <f t="shared" ca="1" si="57"/>
        <v/>
      </c>
      <c r="AX90" s="167"/>
      <c r="AY90" s="154"/>
    </row>
    <row r="91" spans="2:51" s="141" customFormat="1" ht="75" x14ac:dyDescent="0.25">
      <c r="B91" s="142" t="s">
        <v>120</v>
      </c>
      <c r="C91" s="143" t="s">
        <v>40</v>
      </c>
      <c r="D91" s="218" t="s">
        <v>99</v>
      </c>
      <c r="E91" s="158">
        <v>2</v>
      </c>
      <c r="F91" s="143" t="s">
        <v>457</v>
      </c>
      <c r="G91" s="143" t="s">
        <v>64</v>
      </c>
      <c r="H91" s="143" t="s">
        <v>186</v>
      </c>
      <c r="I91" s="143" t="s">
        <v>111</v>
      </c>
      <c r="J91" s="143" t="s">
        <v>67</v>
      </c>
      <c r="K91" s="143" t="s">
        <v>116</v>
      </c>
      <c r="L91" s="143" t="s">
        <v>68</v>
      </c>
      <c r="M91" s="143" t="s">
        <v>76</v>
      </c>
      <c r="N91" s="143" t="s">
        <v>77</v>
      </c>
      <c r="O91" s="160">
        <v>5</v>
      </c>
      <c r="P91" s="161">
        <v>1</v>
      </c>
      <c r="Q91" s="162">
        <v>1</v>
      </c>
      <c r="R91" s="162">
        <v>6</v>
      </c>
      <c r="S91" s="163">
        <v>7</v>
      </c>
      <c r="T91" s="164" t="str">
        <f t="shared" ca="1" si="34"/>
        <v>Low</v>
      </c>
      <c r="U91" s="165" t="str">
        <f t="shared" ca="1" si="35"/>
        <v>Low</v>
      </c>
      <c r="V91" s="165" t="str">
        <f t="shared" ca="1" si="36"/>
        <v>Low</v>
      </c>
      <c r="W91" s="166" t="str">
        <f t="shared" ca="1" si="37"/>
        <v>Med</v>
      </c>
      <c r="X91" s="154" t="s">
        <v>399</v>
      </c>
      <c r="Y91" s="154" t="s">
        <v>260</v>
      </c>
      <c r="Z91" s="154" t="s">
        <v>400</v>
      </c>
      <c r="AA91" s="154"/>
      <c r="AB91" s="154"/>
      <c r="AC91" s="160"/>
      <c r="AD91" s="161"/>
      <c r="AE91" s="162"/>
      <c r="AF91" s="162"/>
      <c r="AG91" s="163"/>
      <c r="AH91" s="164" t="str">
        <f t="shared" ca="1" si="56"/>
        <v/>
      </c>
      <c r="AI91" s="165" t="str">
        <f t="shared" ca="1" si="56"/>
        <v/>
      </c>
      <c r="AJ91" s="165" t="str">
        <f t="shared" ca="1" si="56"/>
        <v/>
      </c>
      <c r="AK91" s="166" t="str">
        <f t="shared" ca="1" si="56"/>
        <v/>
      </c>
      <c r="AL91" s="154"/>
      <c r="AM91" s="154"/>
      <c r="AN91" s="154"/>
      <c r="AO91" s="160"/>
      <c r="AP91" s="161"/>
      <c r="AQ91" s="162"/>
      <c r="AR91" s="162"/>
      <c r="AS91" s="163"/>
      <c r="AT91" s="164" t="str">
        <f t="shared" ca="1" si="57"/>
        <v/>
      </c>
      <c r="AU91" s="165" t="str">
        <f t="shared" ca="1" si="57"/>
        <v/>
      </c>
      <c r="AV91" s="165" t="str">
        <f t="shared" ca="1" si="57"/>
        <v/>
      </c>
      <c r="AW91" s="166" t="str">
        <f t="shared" ca="1" si="57"/>
        <v/>
      </c>
      <c r="AX91" s="167"/>
      <c r="AY91" s="154"/>
    </row>
    <row r="92" spans="2:51" s="141" customFormat="1" ht="75" x14ac:dyDescent="0.25">
      <c r="B92" s="142" t="s">
        <v>121</v>
      </c>
      <c r="C92" s="143" t="s">
        <v>40</v>
      </c>
      <c r="D92" s="218" t="s">
        <v>99</v>
      </c>
      <c r="E92" s="158">
        <v>2</v>
      </c>
      <c r="F92" s="143" t="s">
        <v>457</v>
      </c>
      <c r="G92" s="143" t="s">
        <v>64</v>
      </c>
      <c r="H92" s="143" t="s">
        <v>186</v>
      </c>
      <c r="I92" s="143" t="s">
        <v>101</v>
      </c>
      <c r="J92" s="143" t="s">
        <v>67</v>
      </c>
      <c r="K92" s="143" t="s">
        <v>117</v>
      </c>
      <c r="L92" s="143" t="s">
        <v>68</v>
      </c>
      <c r="M92" s="143" t="s">
        <v>76</v>
      </c>
      <c r="N92" s="143" t="s">
        <v>77</v>
      </c>
      <c r="O92" s="160">
        <v>3</v>
      </c>
      <c r="P92" s="161">
        <v>1</v>
      </c>
      <c r="Q92" s="162">
        <v>1</v>
      </c>
      <c r="R92" s="162">
        <v>6</v>
      </c>
      <c r="S92" s="163">
        <v>7</v>
      </c>
      <c r="T92" s="164" t="str">
        <f t="shared" ca="1" si="34"/>
        <v>Low</v>
      </c>
      <c r="U92" s="165" t="str">
        <f t="shared" ca="1" si="35"/>
        <v>Low</v>
      </c>
      <c r="V92" s="165" t="str">
        <f t="shared" ca="1" si="36"/>
        <v>Low</v>
      </c>
      <c r="W92" s="166" t="str">
        <f t="shared" ca="1" si="37"/>
        <v>Low</v>
      </c>
      <c r="X92" s="154" t="s">
        <v>353</v>
      </c>
      <c r="Y92" s="154" t="s">
        <v>246</v>
      </c>
      <c r="Z92" s="154"/>
      <c r="AA92" s="154"/>
      <c r="AB92" s="154"/>
      <c r="AC92" s="160"/>
      <c r="AD92" s="161"/>
      <c r="AE92" s="162"/>
      <c r="AF92" s="162"/>
      <c r="AG92" s="163"/>
      <c r="AH92" s="164" t="str">
        <f t="shared" ca="1" si="56"/>
        <v/>
      </c>
      <c r="AI92" s="165" t="str">
        <f t="shared" ca="1" si="56"/>
        <v/>
      </c>
      <c r="AJ92" s="165" t="str">
        <f t="shared" ca="1" si="56"/>
        <v/>
      </c>
      <c r="AK92" s="166" t="str">
        <f t="shared" ca="1" si="56"/>
        <v/>
      </c>
      <c r="AL92" s="154"/>
      <c r="AM92" s="154"/>
      <c r="AN92" s="154"/>
      <c r="AO92" s="160"/>
      <c r="AP92" s="161"/>
      <c r="AQ92" s="162"/>
      <c r="AR92" s="162"/>
      <c r="AS92" s="163"/>
      <c r="AT92" s="164" t="str">
        <f t="shared" ca="1" si="57"/>
        <v/>
      </c>
      <c r="AU92" s="165" t="str">
        <f t="shared" ca="1" si="57"/>
        <v/>
      </c>
      <c r="AV92" s="165" t="str">
        <f t="shared" ca="1" si="57"/>
        <v/>
      </c>
      <c r="AW92" s="166" t="str">
        <f t="shared" ca="1" si="57"/>
        <v/>
      </c>
      <c r="AX92" s="167"/>
      <c r="AY92" s="154"/>
    </row>
    <row r="93" spans="2:51" s="141" customFormat="1" ht="30" x14ac:dyDescent="0.25">
      <c r="B93" s="142"/>
      <c r="C93" s="143"/>
      <c r="D93" s="218"/>
      <c r="E93" s="158"/>
      <c r="F93" s="143"/>
      <c r="G93" s="143"/>
      <c r="H93" s="143"/>
      <c r="I93" s="143"/>
      <c r="J93" s="143"/>
      <c r="K93" s="143"/>
      <c r="L93" s="143"/>
      <c r="M93" s="143"/>
      <c r="N93" s="143"/>
      <c r="O93" s="160"/>
      <c r="P93" s="161"/>
      <c r="Q93" s="162"/>
      <c r="R93" s="162"/>
      <c r="S93" s="163"/>
      <c r="T93" s="164"/>
      <c r="U93" s="165"/>
      <c r="V93" s="165"/>
      <c r="W93" s="166"/>
      <c r="X93" s="154"/>
      <c r="Y93" s="154" t="s">
        <v>264</v>
      </c>
      <c r="Z93" s="154"/>
      <c r="AA93" s="154"/>
      <c r="AB93" s="154"/>
      <c r="AC93" s="160"/>
      <c r="AD93" s="161"/>
      <c r="AE93" s="162"/>
      <c r="AF93" s="162"/>
      <c r="AG93" s="163"/>
      <c r="AH93" s="164"/>
      <c r="AI93" s="165"/>
      <c r="AJ93" s="165"/>
      <c r="AK93" s="166"/>
      <c r="AL93" s="154"/>
      <c r="AM93" s="154"/>
      <c r="AN93" s="154"/>
      <c r="AO93" s="160"/>
      <c r="AP93" s="161"/>
      <c r="AQ93" s="162"/>
      <c r="AR93" s="162"/>
      <c r="AS93" s="163"/>
      <c r="AT93" s="164"/>
      <c r="AU93" s="165"/>
      <c r="AV93" s="165"/>
      <c r="AW93" s="166"/>
      <c r="AX93" s="167"/>
      <c r="AY93" s="154"/>
    </row>
    <row r="94" spans="2:51" s="141" customFormat="1" ht="105" x14ac:dyDescent="0.25">
      <c r="B94" s="219"/>
      <c r="C94" s="220"/>
      <c r="D94" s="221"/>
      <c r="E94" s="222"/>
      <c r="F94" s="220"/>
      <c r="G94" s="220"/>
      <c r="H94" s="220"/>
      <c r="I94" s="220"/>
      <c r="J94" s="220"/>
      <c r="K94" s="220"/>
      <c r="L94" s="220"/>
      <c r="M94" s="220"/>
      <c r="N94" s="220"/>
      <c r="O94" s="223"/>
      <c r="P94" s="224"/>
      <c r="Q94" s="225"/>
      <c r="R94" s="225"/>
      <c r="S94" s="226"/>
      <c r="T94" s="227" t="str">
        <f t="shared" ref="T94:W97" ca="1" si="58">IF(AND(ISNUMBER(P94),ISNUMBER($O94)),OFFSET(RiskMatrixRef,-$O94+1,P94-1),"")</f>
        <v/>
      </c>
      <c r="U94" s="228" t="str">
        <f t="shared" ca="1" si="58"/>
        <v/>
      </c>
      <c r="V94" s="228" t="str">
        <f t="shared" ca="1" si="58"/>
        <v/>
      </c>
      <c r="W94" s="229" t="str">
        <f t="shared" ca="1" si="58"/>
        <v/>
      </c>
      <c r="X94" s="230"/>
      <c r="Y94" s="230" t="s">
        <v>220</v>
      </c>
      <c r="Z94" s="230"/>
      <c r="AA94" s="230"/>
      <c r="AB94" s="230"/>
      <c r="AC94" s="223"/>
      <c r="AD94" s="224"/>
      <c r="AE94" s="225"/>
      <c r="AF94" s="225"/>
      <c r="AG94" s="226"/>
      <c r="AH94" s="227"/>
      <c r="AI94" s="228"/>
      <c r="AJ94" s="228"/>
      <c r="AK94" s="229"/>
      <c r="AL94" s="230"/>
      <c r="AM94" s="230"/>
      <c r="AN94" s="230"/>
      <c r="AO94" s="223"/>
      <c r="AP94" s="224"/>
      <c r="AQ94" s="225"/>
      <c r="AR94" s="225"/>
      <c r="AS94" s="226"/>
      <c r="AT94" s="227"/>
      <c r="AU94" s="228"/>
      <c r="AV94" s="228"/>
      <c r="AW94" s="229"/>
      <c r="AX94" s="231"/>
      <c r="AY94" s="230"/>
    </row>
    <row r="95" spans="2:51" s="141" customFormat="1" ht="60" x14ac:dyDescent="0.25">
      <c r="B95" s="219"/>
      <c r="C95" s="220"/>
      <c r="D95" s="221"/>
      <c r="E95" s="222"/>
      <c r="F95" s="220"/>
      <c r="G95" s="220"/>
      <c r="H95" s="220"/>
      <c r="I95" s="220"/>
      <c r="J95" s="220"/>
      <c r="K95" s="220"/>
      <c r="L95" s="220"/>
      <c r="M95" s="220"/>
      <c r="N95" s="220"/>
      <c r="O95" s="223"/>
      <c r="P95" s="224"/>
      <c r="Q95" s="225"/>
      <c r="R95" s="225"/>
      <c r="S95" s="226"/>
      <c r="T95" s="227" t="str">
        <f t="shared" ca="1" si="58"/>
        <v/>
      </c>
      <c r="U95" s="228" t="str">
        <f t="shared" ca="1" si="58"/>
        <v/>
      </c>
      <c r="V95" s="228" t="str">
        <f t="shared" ca="1" si="58"/>
        <v/>
      </c>
      <c r="W95" s="229" t="str">
        <f t="shared" ca="1" si="58"/>
        <v/>
      </c>
      <c r="X95" s="230"/>
      <c r="Y95" s="230" t="s">
        <v>221</v>
      </c>
      <c r="Z95" s="230"/>
      <c r="AA95" s="230"/>
      <c r="AB95" s="230"/>
      <c r="AC95" s="223"/>
      <c r="AD95" s="224"/>
      <c r="AE95" s="225"/>
      <c r="AF95" s="225"/>
      <c r="AG95" s="226"/>
      <c r="AH95" s="227"/>
      <c r="AI95" s="228"/>
      <c r="AJ95" s="228"/>
      <c r="AK95" s="229"/>
      <c r="AL95" s="230"/>
      <c r="AM95" s="230"/>
      <c r="AN95" s="230"/>
      <c r="AO95" s="223"/>
      <c r="AP95" s="224"/>
      <c r="AQ95" s="225"/>
      <c r="AR95" s="225"/>
      <c r="AS95" s="226"/>
      <c r="AT95" s="227"/>
      <c r="AU95" s="228"/>
      <c r="AV95" s="228"/>
      <c r="AW95" s="229"/>
      <c r="AX95" s="231"/>
      <c r="AY95" s="230"/>
    </row>
    <row r="96" spans="2:51" s="141" customFormat="1" ht="60" x14ac:dyDescent="0.25">
      <c r="B96" s="219"/>
      <c r="C96" s="220"/>
      <c r="D96" s="221"/>
      <c r="E96" s="222"/>
      <c r="F96" s="220"/>
      <c r="G96" s="220"/>
      <c r="H96" s="220"/>
      <c r="I96" s="220"/>
      <c r="J96" s="220"/>
      <c r="K96" s="220"/>
      <c r="L96" s="220"/>
      <c r="M96" s="220"/>
      <c r="N96" s="220"/>
      <c r="O96" s="223"/>
      <c r="P96" s="224"/>
      <c r="Q96" s="225"/>
      <c r="R96" s="225"/>
      <c r="S96" s="226"/>
      <c r="T96" s="227" t="str">
        <f t="shared" ca="1" si="58"/>
        <v/>
      </c>
      <c r="U96" s="228" t="str">
        <f t="shared" ca="1" si="58"/>
        <v/>
      </c>
      <c r="V96" s="228" t="str">
        <f t="shared" ca="1" si="58"/>
        <v/>
      </c>
      <c r="W96" s="229" t="str">
        <f t="shared" ca="1" si="58"/>
        <v/>
      </c>
      <c r="X96" s="230"/>
      <c r="Y96" s="230" t="s">
        <v>222</v>
      </c>
      <c r="Z96" s="230" t="s">
        <v>365</v>
      </c>
      <c r="AA96" s="230"/>
      <c r="AB96" s="230"/>
      <c r="AC96" s="223"/>
      <c r="AD96" s="224"/>
      <c r="AE96" s="225"/>
      <c r="AF96" s="225"/>
      <c r="AG96" s="226"/>
      <c r="AH96" s="227"/>
      <c r="AI96" s="228"/>
      <c r="AJ96" s="228"/>
      <c r="AK96" s="229"/>
      <c r="AL96" s="230"/>
      <c r="AM96" s="230"/>
      <c r="AN96" s="230"/>
      <c r="AO96" s="223"/>
      <c r="AP96" s="224"/>
      <c r="AQ96" s="225"/>
      <c r="AR96" s="225"/>
      <c r="AS96" s="226"/>
      <c r="AT96" s="227"/>
      <c r="AU96" s="228"/>
      <c r="AV96" s="228"/>
      <c r="AW96" s="229"/>
      <c r="AX96" s="231"/>
      <c r="AY96" s="230"/>
    </row>
    <row r="97" spans="2:51" s="141" customFormat="1" ht="15.75" x14ac:dyDescent="0.25">
      <c r="B97" s="219"/>
      <c r="C97" s="220"/>
      <c r="D97" s="221"/>
      <c r="E97" s="222"/>
      <c r="F97" s="220"/>
      <c r="G97" s="220"/>
      <c r="H97" s="220"/>
      <c r="I97" s="220"/>
      <c r="J97" s="220"/>
      <c r="K97" s="220"/>
      <c r="L97" s="220"/>
      <c r="M97" s="220"/>
      <c r="N97" s="220"/>
      <c r="O97" s="223"/>
      <c r="P97" s="224"/>
      <c r="Q97" s="225"/>
      <c r="R97" s="225"/>
      <c r="S97" s="226"/>
      <c r="T97" s="227" t="str">
        <f t="shared" ca="1" si="58"/>
        <v/>
      </c>
      <c r="U97" s="228" t="str">
        <f t="shared" ca="1" si="58"/>
        <v/>
      </c>
      <c r="V97" s="228" t="str">
        <f t="shared" ca="1" si="58"/>
        <v/>
      </c>
      <c r="W97" s="229" t="str">
        <f t="shared" ca="1" si="58"/>
        <v/>
      </c>
      <c r="X97" s="230"/>
      <c r="Y97" s="230" t="s">
        <v>246</v>
      </c>
      <c r="Z97" s="230"/>
      <c r="AA97" s="232"/>
      <c r="AB97" s="232"/>
      <c r="AC97" s="223"/>
      <c r="AD97" s="224"/>
      <c r="AE97" s="225"/>
      <c r="AF97" s="225"/>
      <c r="AG97" s="226"/>
      <c r="AH97" s="227"/>
      <c r="AI97" s="228"/>
      <c r="AJ97" s="228"/>
      <c r="AK97" s="229"/>
      <c r="AL97" s="232"/>
      <c r="AM97" s="232"/>
      <c r="AN97" s="232"/>
      <c r="AO97" s="223"/>
      <c r="AP97" s="224"/>
      <c r="AQ97" s="225"/>
      <c r="AR97" s="225"/>
      <c r="AS97" s="226"/>
      <c r="AT97" s="227"/>
      <c r="AU97" s="228"/>
      <c r="AV97" s="228"/>
      <c r="AW97" s="229"/>
      <c r="AX97" s="233"/>
      <c r="AY97" s="232"/>
    </row>
    <row r="99" spans="2:51" x14ac:dyDescent="0.25">
      <c r="B99" s="67"/>
      <c r="R99" s="68"/>
      <c r="S99" s="69"/>
      <c r="T99" s="70"/>
      <c r="U99" s="70"/>
      <c r="V99" s="70"/>
      <c r="W99" s="70"/>
      <c r="X99" s="70"/>
      <c r="Y99" s="70"/>
      <c r="Z99" s="70"/>
      <c r="AF99" s="68"/>
      <c r="AG99" s="69"/>
      <c r="AH99" s="70"/>
      <c r="AI99" s="70"/>
      <c r="AJ99" s="70"/>
      <c r="AK99" s="70"/>
      <c r="AL99" s="70"/>
      <c r="AR99" s="68"/>
      <c r="AS99" s="69"/>
      <c r="AT99" s="70"/>
      <c r="AU99" s="70"/>
      <c r="AV99" s="70"/>
      <c r="AW99" s="70"/>
    </row>
    <row r="100" spans="2:51" x14ac:dyDescent="0.25">
      <c r="B100" s="67"/>
      <c r="R100" s="68"/>
      <c r="S100" s="71"/>
      <c r="T100" s="70"/>
      <c r="U100" s="70"/>
      <c r="V100" s="70"/>
      <c r="W100" s="70"/>
      <c r="X100" s="70"/>
      <c r="Y100" s="70"/>
      <c r="Z100" s="70"/>
      <c r="AF100" s="68"/>
      <c r="AG100" s="71"/>
      <c r="AH100" s="70"/>
      <c r="AI100" s="70"/>
      <c r="AJ100" s="70"/>
      <c r="AK100" s="70"/>
      <c r="AL100" s="70"/>
      <c r="AR100" s="68"/>
      <c r="AS100" s="71"/>
      <c r="AT100" s="70"/>
      <c r="AU100" s="70"/>
      <c r="AV100" s="70"/>
      <c r="AW100" s="70"/>
    </row>
    <row r="101" spans="2:51" x14ac:dyDescent="0.25">
      <c r="B101" s="67"/>
      <c r="R101" s="68"/>
      <c r="S101" s="72"/>
      <c r="T101" s="73"/>
      <c r="U101" s="74"/>
      <c r="V101" s="74"/>
      <c r="W101" s="73"/>
      <c r="X101" s="70"/>
      <c r="Y101" s="70"/>
      <c r="Z101" s="70"/>
      <c r="AF101" s="68"/>
      <c r="AG101" s="72"/>
      <c r="AH101" s="73"/>
      <c r="AI101" s="74"/>
      <c r="AJ101" s="74"/>
      <c r="AK101" s="73"/>
      <c r="AL101" s="70"/>
      <c r="AR101" s="68"/>
      <c r="AS101" s="72"/>
      <c r="AT101" s="73"/>
      <c r="AU101" s="74"/>
      <c r="AV101" s="74"/>
      <c r="AW101" s="73"/>
    </row>
    <row r="102" spans="2:51" x14ac:dyDescent="0.25">
      <c r="B102" s="67"/>
      <c r="R102" s="68"/>
      <c r="S102" s="72"/>
      <c r="T102" s="73"/>
      <c r="U102" s="73"/>
      <c r="V102" s="73"/>
      <c r="W102" s="73"/>
      <c r="X102" s="70"/>
      <c r="Y102" s="70"/>
      <c r="Z102" s="70"/>
      <c r="AF102" s="68"/>
      <c r="AG102" s="72"/>
      <c r="AH102" s="73"/>
      <c r="AI102" s="73"/>
      <c r="AJ102" s="73"/>
      <c r="AK102" s="73"/>
      <c r="AL102" s="70"/>
      <c r="AR102" s="68"/>
      <c r="AS102" s="72"/>
      <c r="AT102" s="73"/>
      <c r="AU102" s="73"/>
      <c r="AV102" s="73"/>
      <c r="AW102" s="73"/>
    </row>
    <row r="103" spans="2:51" x14ac:dyDescent="0.25">
      <c r="B103" s="67"/>
      <c r="R103" s="68"/>
      <c r="S103" s="72"/>
      <c r="T103" s="73"/>
      <c r="U103" s="75"/>
      <c r="V103" s="75"/>
      <c r="W103" s="73"/>
      <c r="X103" s="70"/>
      <c r="Y103" s="70"/>
      <c r="Z103" s="70"/>
      <c r="AF103" s="68"/>
      <c r="AG103" s="72"/>
      <c r="AH103" s="73"/>
      <c r="AI103" s="75"/>
      <c r="AJ103" s="75"/>
      <c r="AK103" s="73"/>
      <c r="AL103" s="70"/>
      <c r="AR103" s="68"/>
      <c r="AS103" s="72"/>
      <c r="AT103" s="73"/>
      <c r="AU103" s="75"/>
      <c r="AV103" s="75"/>
      <c r="AW103" s="73"/>
    </row>
    <row r="104" spans="2:51" x14ac:dyDescent="0.25">
      <c r="B104" s="67"/>
      <c r="R104" s="68"/>
      <c r="S104" s="71"/>
      <c r="T104" s="70"/>
      <c r="U104" s="70"/>
      <c r="V104" s="70"/>
      <c r="W104" s="70"/>
      <c r="X104" s="70"/>
      <c r="Y104" s="70"/>
      <c r="Z104" s="70"/>
      <c r="AF104" s="68"/>
      <c r="AG104" s="71"/>
      <c r="AH104" s="70"/>
      <c r="AI104" s="70"/>
      <c r="AJ104" s="70"/>
      <c r="AK104" s="70"/>
      <c r="AL104" s="70"/>
      <c r="AR104" s="68"/>
      <c r="AS104" s="71"/>
      <c r="AT104" s="70"/>
      <c r="AU104" s="70"/>
      <c r="AV104" s="70"/>
      <c r="AW104" s="70"/>
    </row>
    <row r="105" spans="2:51" x14ac:dyDescent="0.25">
      <c r="B105" s="67"/>
      <c r="R105" s="68"/>
      <c r="S105" s="76"/>
      <c r="T105" s="73"/>
      <c r="U105" s="77"/>
      <c r="V105" s="77"/>
      <c r="W105" s="73"/>
      <c r="X105" s="70"/>
      <c r="Y105" s="70"/>
      <c r="Z105" s="70"/>
      <c r="AF105" s="68"/>
      <c r="AG105" s="76"/>
      <c r="AH105" s="73"/>
      <c r="AI105" s="77"/>
      <c r="AJ105" s="77"/>
      <c r="AK105" s="73"/>
      <c r="AL105" s="70"/>
      <c r="AR105" s="68"/>
      <c r="AS105" s="76"/>
      <c r="AT105" s="73"/>
      <c r="AU105" s="77"/>
      <c r="AV105" s="77"/>
      <c r="AW105" s="73"/>
    </row>
    <row r="106" spans="2:51" x14ac:dyDescent="0.25">
      <c r="B106" s="67"/>
      <c r="R106" s="68"/>
      <c r="S106" s="76"/>
      <c r="T106" s="73"/>
      <c r="U106" s="78"/>
      <c r="V106" s="78"/>
      <c r="W106" s="73"/>
      <c r="X106" s="70"/>
      <c r="Y106" s="70"/>
      <c r="Z106" s="70"/>
      <c r="AF106" s="68"/>
      <c r="AG106" s="76"/>
      <c r="AH106" s="73"/>
      <c r="AI106" s="78"/>
      <c r="AJ106" s="78"/>
      <c r="AK106" s="73"/>
      <c r="AL106" s="70"/>
      <c r="AR106" s="68"/>
      <c r="AS106" s="76"/>
      <c r="AT106" s="73"/>
      <c r="AU106" s="78"/>
      <c r="AV106" s="78"/>
      <c r="AW106" s="73"/>
    </row>
    <row r="107" spans="2:51" x14ac:dyDescent="0.25">
      <c r="B107" s="67"/>
      <c r="R107" s="68"/>
      <c r="S107" s="76"/>
      <c r="T107" s="73"/>
      <c r="U107" s="79"/>
      <c r="V107" s="79"/>
      <c r="W107" s="73"/>
      <c r="X107" s="70"/>
      <c r="Y107" s="70"/>
      <c r="Z107" s="70"/>
      <c r="AF107" s="68"/>
      <c r="AG107" s="76"/>
      <c r="AH107" s="73"/>
      <c r="AI107" s="79"/>
      <c r="AJ107" s="79"/>
      <c r="AK107" s="73"/>
      <c r="AL107" s="70"/>
      <c r="AR107" s="68"/>
      <c r="AS107" s="76"/>
      <c r="AT107" s="73"/>
      <c r="AU107" s="79"/>
      <c r="AV107" s="79"/>
      <c r="AW107" s="73"/>
    </row>
    <row r="108" spans="2:51" x14ac:dyDescent="0.25">
      <c r="R108" s="68"/>
      <c r="S108" s="71"/>
      <c r="T108" s="70"/>
      <c r="U108" s="70"/>
      <c r="V108" s="70"/>
      <c r="W108" s="70"/>
      <c r="X108" s="70"/>
      <c r="Y108" s="70"/>
      <c r="Z108" s="70"/>
      <c r="AF108" s="68"/>
      <c r="AG108" s="71"/>
      <c r="AH108" s="70"/>
      <c r="AI108" s="70"/>
      <c r="AJ108" s="70"/>
      <c r="AK108" s="70"/>
      <c r="AL108" s="70"/>
      <c r="AR108" s="68"/>
      <c r="AS108" s="71"/>
      <c r="AT108" s="70"/>
      <c r="AU108" s="70"/>
      <c r="AV108" s="70"/>
      <c r="AW108" s="70"/>
    </row>
    <row r="109" spans="2:51" x14ac:dyDescent="0.25">
      <c r="R109" s="68"/>
      <c r="S109" s="76"/>
      <c r="T109" s="73"/>
      <c r="U109" s="77"/>
      <c r="V109" s="77"/>
      <c r="W109" s="73"/>
      <c r="X109" s="70"/>
      <c r="Y109" s="70"/>
      <c r="Z109" s="70"/>
      <c r="AF109" s="68"/>
      <c r="AG109" s="76"/>
      <c r="AH109" s="73"/>
      <c r="AI109" s="77"/>
      <c r="AJ109" s="77"/>
      <c r="AK109" s="73"/>
      <c r="AL109" s="70"/>
      <c r="AR109" s="68"/>
      <c r="AS109" s="76"/>
      <c r="AT109" s="73"/>
      <c r="AU109" s="77"/>
      <c r="AV109" s="77"/>
      <c r="AW109" s="73"/>
    </row>
    <row r="110" spans="2:51" x14ac:dyDescent="0.25">
      <c r="R110" s="68"/>
      <c r="S110" s="76"/>
      <c r="T110" s="73"/>
      <c r="U110" s="78"/>
      <c r="V110" s="78"/>
      <c r="W110" s="73"/>
      <c r="X110" s="70"/>
      <c r="Y110" s="70"/>
      <c r="Z110" s="70"/>
      <c r="AF110" s="68"/>
      <c r="AG110" s="76"/>
      <c r="AH110" s="73"/>
      <c r="AI110" s="78"/>
      <c r="AJ110" s="78"/>
      <c r="AK110" s="73"/>
      <c r="AL110" s="70"/>
      <c r="AR110" s="68"/>
      <c r="AS110" s="76"/>
      <c r="AT110" s="73"/>
      <c r="AU110" s="78"/>
      <c r="AV110" s="78"/>
      <c r="AW110" s="73"/>
    </row>
    <row r="111" spans="2:51" x14ac:dyDescent="0.25">
      <c r="G111" s="54"/>
      <c r="H111" s="54"/>
      <c r="I111" s="54"/>
      <c r="J111" s="54"/>
      <c r="O111" s="54"/>
      <c r="P111" s="55"/>
      <c r="Q111" s="55"/>
      <c r="R111" s="70"/>
      <c r="S111" s="76"/>
      <c r="T111" s="73"/>
      <c r="U111" s="79"/>
      <c r="V111" s="79"/>
      <c r="W111" s="73"/>
      <c r="X111" s="70"/>
      <c r="Y111" s="70"/>
      <c r="Z111" s="70"/>
      <c r="AC111" s="54"/>
      <c r="AD111" s="55"/>
      <c r="AE111" s="55"/>
      <c r="AF111" s="70"/>
      <c r="AG111" s="76"/>
      <c r="AH111" s="73"/>
      <c r="AI111" s="79"/>
      <c r="AJ111" s="79"/>
      <c r="AK111" s="73"/>
      <c r="AL111" s="70"/>
      <c r="AO111" s="54"/>
      <c r="AP111" s="55"/>
      <c r="AQ111" s="55"/>
      <c r="AR111" s="70"/>
      <c r="AS111" s="76"/>
      <c r="AT111" s="73"/>
      <c r="AU111" s="79"/>
      <c r="AV111" s="79"/>
      <c r="AW111" s="73"/>
    </row>
    <row r="112" spans="2:51" ht="15.75" customHeight="1" x14ac:dyDescent="0.25">
      <c r="G112" s="54"/>
      <c r="H112" s="54"/>
      <c r="I112" s="54"/>
      <c r="J112" s="54"/>
      <c r="O112" s="54"/>
      <c r="P112" s="55"/>
      <c r="Q112" s="55"/>
      <c r="R112" s="70"/>
      <c r="S112" s="70"/>
      <c r="T112" s="70"/>
      <c r="U112" s="70"/>
      <c r="V112" s="70"/>
      <c r="W112" s="70"/>
      <c r="X112" s="70"/>
      <c r="Y112" s="70"/>
      <c r="Z112" s="70"/>
      <c r="AC112" s="54"/>
      <c r="AD112" s="55"/>
      <c r="AE112" s="55"/>
      <c r="AF112" s="70"/>
      <c r="AG112" s="70"/>
      <c r="AH112" s="70"/>
      <c r="AI112" s="70"/>
      <c r="AJ112" s="70"/>
      <c r="AK112" s="70"/>
      <c r="AL112" s="70"/>
      <c r="AO112" s="54"/>
      <c r="AP112" s="55"/>
      <c r="AQ112" s="55"/>
      <c r="AR112" s="70"/>
      <c r="AS112" s="70"/>
      <c r="AT112" s="70"/>
      <c r="AU112" s="70"/>
      <c r="AV112" s="70"/>
      <c r="AW112" s="70"/>
    </row>
    <row r="113" spans="7:49" x14ac:dyDescent="0.25">
      <c r="G113" s="54"/>
      <c r="H113" s="54"/>
      <c r="I113" s="54"/>
      <c r="J113" s="54"/>
      <c r="O113" s="54"/>
      <c r="P113" s="55"/>
      <c r="Q113" s="55"/>
      <c r="R113" s="70"/>
      <c r="S113" s="80"/>
      <c r="T113" s="80"/>
      <c r="U113" s="80"/>
      <c r="V113" s="80"/>
      <c r="W113" s="80"/>
      <c r="X113" s="70"/>
      <c r="Y113" s="70"/>
      <c r="Z113" s="70"/>
      <c r="AC113" s="54"/>
      <c r="AD113" s="55"/>
      <c r="AE113" s="55"/>
      <c r="AF113" s="70"/>
      <c r="AG113" s="80"/>
      <c r="AH113" s="80"/>
      <c r="AI113" s="80"/>
      <c r="AJ113" s="80"/>
      <c r="AK113" s="80"/>
      <c r="AL113" s="70"/>
      <c r="AO113" s="54"/>
      <c r="AP113" s="55"/>
      <c r="AQ113" s="55"/>
      <c r="AR113" s="70"/>
      <c r="AS113" s="80"/>
      <c r="AT113" s="80"/>
      <c r="AU113" s="80"/>
      <c r="AV113" s="80"/>
      <c r="AW113" s="80"/>
    </row>
    <row r="114" spans="7:49" x14ac:dyDescent="0.25">
      <c r="G114" s="54"/>
      <c r="H114" s="54"/>
      <c r="I114" s="54"/>
      <c r="J114" s="54"/>
      <c r="O114" s="54"/>
      <c r="P114" s="55"/>
      <c r="Q114" s="55"/>
      <c r="R114" s="70"/>
      <c r="S114" s="72"/>
      <c r="T114" s="73"/>
      <c r="U114" s="74"/>
      <c r="V114" s="74"/>
      <c r="W114" s="73"/>
      <c r="X114" s="70"/>
      <c r="Y114" s="70"/>
      <c r="Z114" s="70"/>
      <c r="AC114" s="54"/>
      <c r="AD114" s="55"/>
      <c r="AE114" s="55"/>
      <c r="AF114" s="70"/>
      <c r="AG114" s="72"/>
      <c r="AH114" s="73"/>
      <c r="AI114" s="74"/>
      <c r="AJ114" s="74"/>
      <c r="AK114" s="73"/>
      <c r="AL114" s="70"/>
      <c r="AO114" s="54"/>
      <c r="AP114" s="55"/>
      <c r="AQ114" s="55"/>
      <c r="AR114" s="70"/>
      <c r="AS114" s="72"/>
      <c r="AT114" s="73"/>
      <c r="AU114" s="74"/>
      <c r="AV114" s="74"/>
      <c r="AW114" s="73"/>
    </row>
    <row r="115" spans="7:49" x14ac:dyDescent="0.25">
      <c r="G115" s="54"/>
      <c r="H115" s="54"/>
      <c r="I115" s="54"/>
      <c r="J115" s="54"/>
      <c r="O115" s="54"/>
      <c r="P115" s="55"/>
      <c r="Q115" s="55"/>
      <c r="R115" s="70"/>
      <c r="S115" s="72"/>
      <c r="T115" s="73"/>
      <c r="U115" s="73"/>
      <c r="V115" s="73"/>
      <c r="W115" s="73"/>
      <c r="X115" s="70"/>
      <c r="Y115" s="70"/>
      <c r="Z115" s="70"/>
      <c r="AC115" s="54"/>
      <c r="AD115" s="55"/>
      <c r="AE115" s="55"/>
      <c r="AF115" s="70"/>
      <c r="AG115" s="72"/>
      <c r="AH115" s="73"/>
      <c r="AI115" s="73"/>
      <c r="AJ115" s="73"/>
      <c r="AK115" s="73"/>
      <c r="AL115" s="70"/>
      <c r="AO115" s="54"/>
      <c r="AP115" s="55"/>
      <c r="AQ115" s="55"/>
      <c r="AR115" s="70"/>
      <c r="AS115" s="72"/>
      <c r="AT115" s="73"/>
      <c r="AU115" s="73"/>
      <c r="AV115" s="73"/>
      <c r="AW115" s="73"/>
    </row>
    <row r="116" spans="7:49" x14ac:dyDescent="0.25">
      <c r="R116" s="68"/>
      <c r="S116" s="72"/>
      <c r="T116" s="73"/>
      <c r="U116" s="75"/>
      <c r="V116" s="75"/>
      <c r="W116" s="73"/>
      <c r="X116" s="70"/>
      <c r="Y116" s="70"/>
      <c r="Z116" s="70"/>
      <c r="AF116" s="68"/>
      <c r="AG116" s="72"/>
      <c r="AH116" s="73"/>
      <c r="AI116" s="75"/>
      <c r="AJ116" s="75"/>
      <c r="AK116" s="73"/>
      <c r="AL116" s="70"/>
      <c r="AR116" s="68"/>
      <c r="AS116" s="72"/>
      <c r="AT116" s="73"/>
      <c r="AU116" s="75"/>
      <c r="AV116" s="75"/>
      <c r="AW116" s="73"/>
    </row>
    <row r="117" spans="7:49" x14ac:dyDescent="0.25">
      <c r="R117" s="68"/>
      <c r="S117" s="68"/>
      <c r="T117" s="70"/>
      <c r="U117" s="70"/>
      <c r="V117" s="70"/>
      <c r="W117" s="70"/>
      <c r="X117" s="70"/>
      <c r="Y117" s="70"/>
      <c r="Z117" s="70"/>
      <c r="AF117" s="68"/>
      <c r="AG117" s="68"/>
      <c r="AH117" s="70"/>
      <c r="AI117" s="70"/>
      <c r="AJ117" s="70"/>
      <c r="AK117" s="70"/>
      <c r="AL117" s="70"/>
      <c r="AR117" s="68"/>
      <c r="AS117" s="68"/>
      <c r="AT117" s="70"/>
      <c r="AU117" s="70"/>
      <c r="AV117" s="70"/>
      <c r="AW117" s="70"/>
    </row>
  </sheetData>
  <autoFilter ref="B5:AY97">
    <sortState ref="B6:AY97">
      <sortCondition ref="B6:B97"/>
    </sortState>
  </autoFilter>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O2:AW3"/>
    <mergeCell ref="AP4:AS4"/>
    <mergeCell ref="AT4:AW4"/>
    <mergeCell ref="P4:S4"/>
    <mergeCell ref="T4:W4"/>
    <mergeCell ref="O2:W3"/>
    <mergeCell ref="AC2:AK3"/>
    <mergeCell ref="AD4:AG4"/>
    <mergeCell ref="AH4:AK4"/>
  </mergeCells>
  <conditionalFormatting sqref="T71:W72 AT92:AW95 AH92:AK95 T74:W83 T55:W68 AT7:AW7 AH7:AK7 T7:W7 T92:W97 T29:W29 AH29:AK29 AT29:AW29 AT33:AW33 AH33:AK33 T33:W33 T38:W49 AH38:AK83 AT38:AW83 AT9:AW25 AH9:AK25 T9:W25 AT85:AW89 AH85:AK89 T85:W88">
    <cfRule type="cellIs" dxfId="65" priority="122" operator="equal">
      <formula>"High"</formula>
    </cfRule>
    <cfRule type="cellIs" dxfId="64" priority="123" operator="equal">
      <formula>"Med"</formula>
    </cfRule>
    <cfRule type="cellIs" dxfId="63" priority="124" operator="equal">
      <formula>"Low"</formula>
    </cfRule>
  </conditionalFormatting>
  <conditionalFormatting sqref="T69:W69">
    <cfRule type="cellIs" dxfId="62" priority="73" operator="equal">
      <formula>"High"</formula>
    </cfRule>
    <cfRule type="cellIs" dxfId="61" priority="74" operator="equal">
      <formula>"Med"</formula>
    </cfRule>
    <cfRule type="cellIs" dxfId="60" priority="75" operator="equal">
      <formula>"Low"</formula>
    </cfRule>
  </conditionalFormatting>
  <conditionalFormatting sqref="T50:W54">
    <cfRule type="cellIs" dxfId="59" priority="67" operator="equal">
      <formula>"High"</formula>
    </cfRule>
    <cfRule type="cellIs" dxfId="58" priority="68" operator="equal">
      <formula>"Med"</formula>
    </cfRule>
    <cfRule type="cellIs" dxfId="57" priority="69" operator="equal">
      <formula>"Low"</formula>
    </cfRule>
  </conditionalFormatting>
  <conditionalFormatting sqref="T89:W91">
    <cfRule type="cellIs" dxfId="56" priority="64" operator="equal">
      <formula>"High"</formula>
    </cfRule>
    <cfRule type="cellIs" dxfId="55" priority="65" operator="equal">
      <formula>"Med"</formula>
    </cfRule>
    <cfRule type="cellIs" dxfId="54" priority="66" operator="equal">
      <formula>"Low"</formula>
    </cfRule>
  </conditionalFormatting>
  <conditionalFormatting sqref="T70:W70">
    <cfRule type="cellIs" dxfId="53" priority="58" operator="equal">
      <formula>"High"</formula>
    </cfRule>
    <cfRule type="cellIs" dxfId="52" priority="59" operator="equal">
      <formula>"Med"</formula>
    </cfRule>
    <cfRule type="cellIs" dxfId="51" priority="60" operator="equal">
      <formula>"Low"</formula>
    </cfRule>
  </conditionalFormatting>
  <conditionalFormatting sqref="T73:W73">
    <cfRule type="cellIs" dxfId="50" priority="55" operator="equal">
      <formula>"High"</formula>
    </cfRule>
    <cfRule type="cellIs" dxfId="49" priority="56" operator="equal">
      <formula>"Med"</formula>
    </cfRule>
    <cfRule type="cellIs" dxfId="48" priority="57" operator="equal">
      <formula>"Low"</formula>
    </cfRule>
  </conditionalFormatting>
  <conditionalFormatting sqref="AH90:AK91 AT90:AW91">
    <cfRule type="cellIs" dxfId="47" priority="52" operator="equal">
      <formula>"High"</formula>
    </cfRule>
    <cfRule type="cellIs" dxfId="46" priority="53" operator="equal">
      <formula>"Med"</formula>
    </cfRule>
    <cfRule type="cellIs" dxfId="45" priority="54" operator="equal">
      <formula>"Low"</formula>
    </cfRule>
  </conditionalFormatting>
  <conditionalFormatting sqref="AH96:AK97 AT96:AW97">
    <cfRule type="cellIs" dxfId="44" priority="49" operator="equal">
      <formula>"High"</formula>
    </cfRule>
    <cfRule type="cellIs" dxfId="43" priority="50" operator="equal">
      <formula>"Med"</formula>
    </cfRule>
    <cfRule type="cellIs" dxfId="42" priority="51" operator="equal">
      <formula>"Low"</formula>
    </cfRule>
  </conditionalFormatting>
  <conditionalFormatting sqref="AT8:AW8 AH8:AK8 T8:W8">
    <cfRule type="cellIs" dxfId="41" priority="37" operator="equal">
      <formula>"High"</formula>
    </cfRule>
    <cfRule type="cellIs" dxfId="40" priority="38" operator="equal">
      <formula>"Med"</formula>
    </cfRule>
    <cfRule type="cellIs" dxfId="39" priority="39" operator="equal">
      <formula>"Low"</formula>
    </cfRule>
  </conditionalFormatting>
  <conditionalFormatting sqref="AT6:AW6 AH6:AK6 T6:W6">
    <cfRule type="cellIs" dxfId="38" priority="34" operator="equal">
      <formula>"High"</formula>
    </cfRule>
    <cfRule type="cellIs" dxfId="37" priority="35" operator="equal">
      <formula>"Med"</formula>
    </cfRule>
    <cfRule type="cellIs" dxfId="36" priority="36" operator="equal">
      <formula>"Low"</formula>
    </cfRule>
  </conditionalFormatting>
  <conditionalFormatting sqref="T28:W28 AH28:AK28 AT28:AW28">
    <cfRule type="cellIs" dxfId="35" priority="31" operator="equal">
      <formula>"High"</formula>
    </cfRule>
    <cfRule type="cellIs" dxfId="34" priority="32" operator="equal">
      <formula>"Med"</formula>
    </cfRule>
    <cfRule type="cellIs" dxfId="33" priority="33" operator="equal">
      <formula>"Low"</formula>
    </cfRule>
  </conditionalFormatting>
  <conditionalFormatting sqref="T27:W27 AH27:AK27 AT27:AW27">
    <cfRule type="cellIs" dxfId="32" priority="28" operator="equal">
      <formula>"High"</formula>
    </cfRule>
    <cfRule type="cellIs" dxfId="31" priority="29" operator="equal">
      <formula>"Med"</formula>
    </cfRule>
    <cfRule type="cellIs" dxfId="30" priority="30" operator="equal">
      <formula>"Low"</formula>
    </cfRule>
  </conditionalFormatting>
  <conditionalFormatting sqref="T26:W26 AH26:AK26 AT26:AW26">
    <cfRule type="cellIs" dxfId="29" priority="25" operator="equal">
      <formula>"High"</formula>
    </cfRule>
    <cfRule type="cellIs" dxfId="28" priority="26" operator="equal">
      <formula>"Med"</formula>
    </cfRule>
    <cfRule type="cellIs" dxfId="27" priority="27" operator="equal">
      <formula>"Low"</formula>
    </cfRule>
  </conditionalFormatting>
  <conditionalFormatting sqref="AT32:AW32 AH32:AK32 T32:W32">
    <cfRule type="cellIs" dxfId="26" priority="22" operator="equal">
      <formula>"High"</formula>
    </cfRule>
    <cfRule type="cellIs" dxfId="25" priority="23" operator="equal">
      <formula>"Med"</formula>
    </cfRule>
    <cfRule type="cellIs" dxfId="24" priority="24" operator="equal">
      <formula>"Low"</formula>
    </cfRule>
  </conditionalFormatting>
  <conditionalFormatting sqref="AT31:AW31 AH31:AK31 T31:W31">
    <cfRule type="cellIs" dxfId="23" priority="19" operator="equal">
      <formula>"High"</formula>
    </cfRule>
    <cfRule type="cellIs" dxfId="22" priority="20" operator="equal">
      <formula>"Med"</formula>
    </cfRule>
    <cfRule type="cellIs" dxfId="21" priority="21" operator="equal">
      <formula>"Low"</formula>
    </cfRule>
  </conditionalFormatting>
  <conditionalFormatting sqref="AT30:AW30 AH30:AK30 T30:W30">
    <cfRule type="cellIs" dxfId="20" priority="16" operator="equal">
      <formula>"High"</formula>
    </cfRule>
    <cfRule type="cellIs" dxfId="19" priority="17" operator="equal">
      <formula>"Med"</formula>
    </cfRule>
    <cfRule type="cellIs" dxfId="18" priority="18" operator="equal">
      <formula>"Low"</formula>
    </cfRule>
  </conditionalFormatting>
  <conditionalFormatting sqref="AT37:AW37 AH37:AK37 T37:W37">
    <cfRule type="cellIs" dxfId="17" priority="13" operator="equal">
      <formula>"High"</formula>
    </cfRule>
    <cfRule type="cellIs" dxfId="16" priority="14" operator="equal">
      <formula>"Med"</formula>
    </cfRule>
    <cfRule type="cellIs" dxfId="15" priority="15" operator="equal">
      <formula>"Low"</formula>
    </cfRule>
  </conditionalFormatting>
  <conditionalFormatting sqref="AT36:AW36 AH36:AK36 T36:W36">
    <cfRule type="cellIs" dxfId="14" priority="10" operator="equal">
      <formula>"High"</formula>
    </cfRule>
    <cfRule type="cellIs" dxfId="13" priority="11" operator="equal">
      <formula>"Med"</formula>
    </cfRule>
    <cfRule type="cellIs" dxfId="12" priority="12" operator="equal">
      <formula>"Low"</formula>
    </cfRule>
  </conditionalFormatting>
  <conditionalFormatting sqref="AT35:AW35 AH35:AK35 T35:W35">
    <cfRule type="cellIs" dxfId="11" priority="7" operator="equal">
      <formula>"High"</formula>
    </cfRule>
    <cfRule type="cellIs" dxfId="10" priority="8" operator="equal">
      <formula>"Med"</formula>
    </cfRule>
    <cfRule type="cellIs" dxfId="9" priority="9" operator="equal">
      <formula>"Low"</formula>
    </cfRule>
  </conditionalFormatting>
  <conditionalFormatting sqref="AT34:AW34 AH34:AK34 T34:W34">
    <cfRule type="cellIs" dxfId="8" priority="4" operator="equal">
      <formula>"High"</formula>
    </cfRule>
    <cfRule type="cellIs" dxfId="7" priority="5" operator="equal">
      <formula>"Med"</formula>
    </cfRule>
    <cfRule type="cellIs" dxfId="6" priority="6" operator="equal">
      <formula>"Low"</formula>
    </cfRule>
  </conditionalFormatting>
  <conditionalFormatting sqref="T84:W84 AH84:AK84 AT84:AW84">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3"/>
  <sheetViews>
    <sheetView zoomScaleNormal="100" workbookViewId="0">
      <selection activeCell="F1" sqref="F1"/>
    </sheetView>
  </sheetViews>
  <sheetFormatPr defaultRowHeight="15" x14ac:dyDescent="0.25"/>
  <cols>
    <col min="1" max="1" width="15.42578125" customWidth="1"/>
    <col min="2" max="2" width="17.5703125" customWidth="1"/>
    <col min="3" max="3" width="60.85546875" customWidth="1"/>
  </cols>
  <sheetData>
    <row r="1" spans="1:3" x14ac:dyDescent="0.25">
      <c r="A1" s="3" t="s">
        <v>12</v>
      </c>
      <c r="B1" s="253" t="s">
        <v>173</v>
      </c>
      <c r="C1" s="253"/>
    </row>
    <row r="2" spans="1:3" x14ac:dyDescent="0.25">
      <c r="A2" s="3" t="s">
        <v>13</v>
      </c>
      <c r="B2" s="253" t="s">
        <v>174</v>
      </c>
      <c r="C2" s="253"/>
    </row>
    <row r="3" spans="1:3" x14ac:dyDescent="0.25">
      <c r="A3" s="3" t="s">
        <v>14</v>
      </c>
      <c r="B3" s="254" t="s">
        <v>443</v>
      </c>
      <c r="C3" s="254"/>
    </row>
    <row r="4" spans="1:3" x14ac:dyDescent="0.25">
      <c r="A4" s="3" t="s">
        <v>15</v>
      </c>
      <c r="B4" s="253" t="s">
        <v>175</v>
      </c>
      <c r="C4" s="253"/>
    </row>
    <row r="5" spans="1:3" x14ac:dyDescent="0.25">
      <c r="A5" s="3" t="s">
        <v>211</v>
      </c>
      <c r="B5" s="253" t="s">
        <v>176</v>
      </c>
      <c r="C5" s="253"/>
    </row>
    <row r="6" spans="1:3" x14ac:dyDescent="0.25">
      <c r="A6" s="3" t="s">
        <v>208</v>
      </c>
      <c r="B6" s="251"/>
      <c r="C6" s="252"/>
    </row>
    <row r="7" spans="1:3" x14ac:dyDescent="0.25">
      <c r="A7" s="3" t="s">
        <v>209</v>
      </c>
      <c r="B7" s="251"/>
      <c r="C7" s="252"/>
    </row>
    <row r="8" spans="1:3" x14ac:dyDescent="0.25">
      <c r="A8" s="3" t="s">
        <v>210</v>
      </c>
      <c r="B8" s="251"/>
      <c r="C8" s="252"/>
    </row>
    <row r="9" spans="1:3" x14ac:dyDescent="0.25">
      <c r="A9" s="2"/>
      <c r="B9" s="2"/>
      <c r="C9" s="2"/>
    </row>
    <row r="10" spans="1:3" x14ac:dyDescent="0.25">
      <c r="A10" s="2"/>
      <c r="B10" s="2"/>
      <c r="C10" s="2"/>
    </row>
    <row r="11" spans="1:3" x14ac:dyDescent="0.25">
      <c r="A11" s="3" t="s">
        <v>14</v>
      </c>
      <c r="B11" s="3" t="s">
        <v>0</v>
      </c>
      <c r="C11" s="3" t="s">
        <v>16</v>
      </c>
    </row>
    <row r="12" spans="1:3" x14ac:dyDescent="0.25">
      <c r="A12" s="51" t="s">
        <v>177</v>
      </c>
      <c r="B12" s="4">
        <v>41673</v>
      </c>
      <c r="C12" s="50" t="s">
        <v>178</v>
      </c>
    </row>
    <row r="13" spans="1:3" x14ac:dyDescent="0.25">
      <c r="A13" s="50">
        <v>1.1000000000000001</v>
      </c>
      <c r="B13" s="4">
        <v>41716</v>
      </c>
      <c r="C13" s="50" t="s">
        <v>179</v>
      </c>
    </row>
    <row r="14" spans="1:3" x14ac:dyDescent="0.25">
      <c r="A14" s="51" t="s">
        <v>180</v>
      </c>
      <c r="B14" s="4">
        <v>41969</v>
      </c>
      <c r="C14" s="50" t="s">
        <v>181</v>
      </c>
    </row>
    <row r="15" spans="1:3" x14ac:dyDescent="0.25">
      <c r="A15" s="52">
        <v>2.1</v>
      </c>
      <c r="B15" s="5"/>
      <c r="C15" s="5" t="s">
        <v>352</v>
      </c>
    </row>
    <row r="16" spans="1:3" x14ac:dyDescent="0.25">
      <c r="A16" s="53" t="s">
        <v>443</v>
      </c>
      <c r="B16" s="4">
        <v>42576</v>
      </c>
      <c r="C16" s="5" t="s">
        <v>444</v>
      </c>
    </row>
    <row r="17" spans="1:3" x14ac:dyDescent="0.25">
      <c r="A17" s="5"/>
      <c r="B17" s="5"/>
      <c r="C17" s="5"/>
    </row>
    <row r="18" spans="1:3" x14ac:dyDescent="0.25">
      <c r="A18" s="5"/>
      <c r="B18" s="5"/>
      <c r="C18" s="5"/>
    </row>
    <row r="19" spans="1:3" x14ac:dyDescent="0.25">
      <c r="A19" s="5"/>
      <c r="B19" s="5"/>
      <c r="C19" s="5"/>
    </row>
    <row r="23" spans="1:3" x14ac:dyDescent="0.25">
      <c r="A23" s="6" t="s">
        <v>17</v>
      </c>
    </row>
  </sheetData>
  <mergeCells count="8">
    <mergeCell ref="B6:C6"/>
    <mergeCell ref="B7:C7"/>
    <mergeCell ref="B8:C8"/>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8" sqref="O8"/>
    </sheetView>
  </sheetViews>
  <sheetFormatPr defaultRowHeight="15" x14ac:dyDescent="0.25"/>
  <cols>
    <col min="1" max="1" width="1.85546875" customWidth="1"/>
    <col min="2" max="3" width="12.7109375" customWidth="1"/>
    <col min="4" max="4" width="12.7109375" style="7" customWidth="1"/>
    <col min="5" max="10" width="12.7109375" customWidth="1"/>
    <col min="11" max="11" width="12.7109375" style="7" customWidth="1"/>
    <col min="12" max="12" width="12.7109375" customWidth="1"/>
    <col min="13" max="13" width="12.7109375" style="7" customWidth="1"/>
    <col min="14" max="14" width="12.7109375" customWidth="1"/>
    <col min="15" max="15" width="12.7109375" style="7" customWidth="1"/>
    <col min="16" max="16" width="12.7109375" customWidth="1"/>
    <col min="17" max="17" width="12.7109375" style="7" customWidth="1"/>
    <col min="18" max="28" width="12.7109375" customWidth="1"/>
  </cols>
  <sheetData>
    <row r="2" spans="2:19" ht="18.75" x14ac:dyDescent="0.3">
      <c r="C2" s="282" t="str">
        <f>linkedPage!C2</f>
        <v>Risk = Occ + Sev</v>
      </c>
      <c r="D2" s="282"/>
      <c r="E2" s="282"/>
      <c r="F2" s="282"/>
      <c r="G2" s="282"/>
      <c r="H2" s="282"/>
      <c r="I2" s="282"/>
      <c r="J2" s="282"/>
      <c r="K2" s="282"/>
      <c r="L2" s="282"/>
      <c r="O2" s="49" t="str">
        <f>linkedPage!T2</f>
        <v>Note:</v>
      </c>
    </row>
    <row r="3" spans="2:19" ht="18.75" x14ac:dyDescent="0.3">
      <c r="B3" s="5"/>
      <c r="C3" s="281" t="str">
        <f>linkedPage!C3</f>
        <v>Severity</v>
      </c>
      <c r="D3" s="281"/>
      <c r="E3" s="281"/>
      <c r="F3" s="281"/>
      <c r="G3" s="281"/>
      <c r="H3" s="281"/>
      <c r="I3" s="281"/>
      <c r="J3" s="281"/>
      <c r="K3" s="281"/>
      <c r="L3" s="281"/>
      <c r="O3" s="49" t="str">
        <f>linkedPage!T3</f>
        <v>- 'set up' and 'linkedPage' are both linked to workbook 'FMECA Master v3.xlsx'</v>
      </c>
    </row>
    <row r="4" spans="2:19" ht="18.75" x14ac:dyDescent="0.3">
      <c r="B4" s="48" t="str">
        <f>IF(linkedPage!B4=0,"",linkedPage!B4)</f>
        <v>Occ</v>
      </c>
      <c r="C4" s="29">
        <f>IF(linkedPage!C4=0,"",linkedPage!C4)</f>
        <v>1</v>
      </c>
      <c r="D4" s="29">
        <f>IF(linkedPage!D4=0,"",linkedPage!D4)</f>
        <v>2</v>
      </c>
      <c r="E4" s="29">
        <f>IF(linkedPage!E4=0,"",linkedPage!E4)</f>
        <v>3</v>
      </c>
      <c r="F4" s="29">
        <f>IF(linkedPage!F4=0,"",linkedPage!F4)</f>
        <v>4</v>
      </c>
      <c r="G4" s="29">
        <f>IF(linkedPage!G4=0,"",linkedPage!G4)</f>
        <v>5</v>
      </c>
      <c r="H4" s="29">
        <f>IF(linkedPage!H4=0,"",linkedPage!H4)</f>
        <v>6</v>
      </c>
      <c r="I4" s="29">
        <f>IF(linkedPage!I4=0,"",linkedPage!I4)</f>
        <v>7</v>
      </c>
      <c r="J4" s="29">
        <f>IF(linkedPage!J4=0,"",linkedPage!J4)</f>
        <v>8</v>
      </c>
      <c r="K4" s="29">
        <f>IF(linkedPage!K4=0,"",linkedPage!K4)</f>
        <v>9</v>
      </c>
      <c r="L4" s="29">
        <f>IF(linkedPage!L4=0,"",linkedPage!L4)</f>
        <v>10</v>
      </c>
      <c r="M4" s="7" t="str">
        <f>IF(linkedPage!M4=0,"",linkedPage!M4)</f>
        <v/>
      </c>
      <c r="N4" t="str">
        <f>IF(linkedPage!N4=0,"",linkedPage!N4)</f>
        <v/>
      </c>
      <c r="O4" s="49" t="str">
        <f>linkedPage!T4</f>
        <v>- changes to the tables, risk scores, etc must be made in 'FMECA Master v3.xlsx'</v>
      </c>
      <c r="P4" s="7"/>
    </row>
    <row r="5" spans="2:19" s="7" customFormat="1" x14ac:dyDescent="0.25">
      <c r="B5" s="29">
        <f>IF(linkedPage!B5=0,"",linkedPage!B5)</f>
        <v>10</v>
      </c>
      <c r="C5" s="5" t="str">
        <f>IF(linkedPage!C5=0,"",linkedPage!C5)</f>
        <v>Low</v>
      </c>
      <c r="D5" s="5" t="str">
        <f>IF(linkedPage!D5=0,"",linkedPage!D5)</f>
        <v>Med</v>
      </c>
      <c r="E5" s="5" t="str">
        <f>IF(linkedPage!E5=0,"",linkedPage!E5)</f>
        <v>Med</v>
      </c>
      <c r="F5" s="5" t="str">
        <f>IF(linkedPage!F5=0,"",linkedPage!F5)</f>
        <v>Med</v>
      </c>
      <c r="G5" s="5" t="str">
        <f>IF(linkedPage!G5=0,"",linkedPage!G5)</f>
        <v>Med</v>
      </c>
      <c r="H5" s="5" t="str">
        <f>IF(linkedPage!H5=0,"",linkedPage!H5)</f>
        <v>High</v>
      </c>
      <c r="I5" s="5" t="str">
        <f>IF(linkedPage!I5=0,"",linkedPage!I5)</f>
        <v>High</v>
      </c>
      <c r="J5" s="5" t="str">
        <f>IF(linkedPage!J5=0,"",linkedPage!J5)</f>
        <v>High</v>
      </c>
      <c r="K5" s="5" t="str">
        <f>IF(linkedPage!K5=0,"",linkedPage!K5)</f>
        <v>High</v>
      </c>
      <c r="L5" s="5" t="str">
        <f>IF(linkedPage!L5=0,"",linkedPage!L5)</f>
        <v>High</v>
      </c>
      <c r="M5" s="7" t="str">
        <f>IF(linkedPage!M5=0,"",linkedPage!M5)</f>
        <v/>
      </c>
      <c r="N5" t="str">
        <f>IF(linkedPage!N5=0,"",linkedPage!N5)</f>
        <v/>
      </c>
      <c r="O5" s="7" t="str">
        <f>IF(linkedPage!O5=0,"",linkedPage!O5)</f>
        <v/>
      </c>
    </row>
    <row r="6" spans="2:19" s="7" customFormat="1" ht="16.5" x14ac:dyDescent="0.35">
      <c r="B6" s="29">
        <f>IF(linkedPage!B6=0,"",linkedPage!B6)</f>
        <v>9</v>
      </c>
      <c r="C6" s="5" t="str">
        <f>IF(linkedPage!C6=0,"",linkedPage!C6)</f>
        <v>Low</v>
      </c>
      <c r="D6" s="5" t="str">
        <f>IF(linkedPage!D6=0,"",linkedPage!D6)</f>
        <v>Low</v>
      </c>
      <c r="E6" s="5" t="str">
        <f>IF(linkedPage!E6=0,"",linkedPage!E6)</f>
        <v>Med</v>
      </c>
      <c r="F6" s="5" t="str">
        <f>IF(linkedPage!F6=0,"",linkedPage!F6)</f>
        <v>Med</v>
      </c>
      <c r="G6" s="5" t="str">
        <f>IF(linkedPage!G6=0,"",linkedPage!G6)</f>
        <v>Med</v>
      </c>
      <c r="H6" s="5" t="str">
        <f>IF(linkedPage!H6=0,"",linkedPage!H6)</f>
        <v>Med</v>
      </c>
      <c r="I6" s="5" t="str">
        <f>IF(linkedPage!I6=0,"",linkedPage!I6)</f>
        <v>High</v>
      </c>
      <c r="J6" s="5" t="str">
        <f>IF(linkedPage!J6=0,"",linkedPage!J6)</f>
        <v>High</v>
      </c>
      <c r="K6" s="5" t="str">
        <f>IF(linkedPage!K6=0,"",linkedPage!K6)</f>
        <v>High</v>
      </c>
      <c r="L6" s="5" t="str">
        <f>IF(linkedPage!L6=0,"",linkedPage!L6)</f>
        <v>High</v>
      </c>
      <c r="M6" s="18" t="str">
        <f>IF(linkedPage!M6=0,"",linkedPage!M6)</f>
        <v>low &lt;=</v>
      </c>
      <c r="N6" s="2">
        <f>IF(linkedPage!N6=0,"",linkedPage!N6)</f>
        <v>11</v>
      </c>
      <c r="O6" s="7" t="str">
        <f>IF(linkedPage!O6=0,"",linkedPage!O6)</f>
        <v/>
      </c>
    </row>
    <row r="7" spans="2:19" s="7" customFormat="1" ht="16.5" x14ac:dyDescent="0.35">
      <c r="B7" s="29">
        <f>IF(linkedPage!B7=0,"",linkedPage!B7)</f>
        <v>8</v>
      </c>
      <c r="C7" s="5" t="str">
        <f>IF(linkedPage!C7=0,"",linkedPage!C7)</f>
        <v>Low</v>
      </c>
      <c r="D7" s="5" t="str">
        <f>IF(linkedPage!D7=0,"",linkedPage!D7)</f>
        <v>Low</v>
      </c>
      <c r="E7" s="5" t="str">
        <f>IF(linkedPage!E7=0,"",linkedPage!E7)</f>
        <v>Low</v>
      </c>
      <c r="F7" s="5" t="str">
        <f>IF(linkedPage!F7=0,"",linkedPage!F7)</f>
        <v>Med</v>
      </c>
      <c r="G7" s="5" t="str">
        <f>IF(linkedPage!G7=0,"",linkedPage!G7)</f>
        <v>Med</v>
      </c>
      <c r="H7" s="5" t="str">
        <f>IF(linkedPage!H7=0,"",linkedPage!H7)</f>
        <v>Med</v>
      </c>
      <c r="I7" s="5" t="str">
        <f>IF(linkedPage!I7=0,"",linkedPage!I7)</f>
        <v>Med</v>
      </c>
      <c r="J7" s="5" t="str">
        <f>IF(linkedPage!J7=0,"",linkedPage!J7)</f>
        <v>High</v>
      </c>
      <c r="K7" s="5" t="str">
        <f>IF(linkedPage!K7=0,"",linkedPage!K7)</f>
        <v>High</v>
      </c>
      <c r="L7" s="5" t="str">
        <f>IF(linkedPage!L7=0,"",linkedPage!L7)</f>
        <v>High</v>
      </c>
      <c r="M7" s="18" t="str">
        <f>IF(linkedPage!M7=0,"",linkedPage!M7)</f>
        <v>high&gt;</v>
      </c>
      <c r="N7" s="2">
        <f>IF(linkedPage!N7=0,"",linkedPage!N7)</f>
        <v>15</v>
      </c>
      <c r="O7" s="7" t="str">
        <f>IF(linkedPage!O7=0,"",linkedPage!O7)</f>
        <v/>
      </c>
    </row>
    <row r="8" spans="2:19" s="7" customFormat="1" x14ac:dyDescent="0.25">
      <c r="B8" s="29">
        <f>IF(linkedPage!B8=0,"",linkedPage!B8)</f>
        <v>7</v>
      </c>
      <c r="C8" s="5" t="str">
        <f>IF(linkedPage!C8=0,"",linkedPage!C8)</f>
        <v>Low</v>
      </c>
      <c r="D8" s="5" t="str">
        <f>IF(linkedPage!D8=0,"",linkedPage!D8)</f>
        <v>Low</v>
      </c>
      <c r="E8" s="5" t="str">
        <f>IF(linkedPage!E8=0,"",linkedPage!E8)</f>
        <v>Low</v>
      </c>
      <c r="F8" s="5" t="str">
        <f>IF(linkedPage!F8=0,"",linkedPage!F8)</f>
        <v>Low</v>
      </c>
      <c r="G8" s="5" t="str">
        <f>IF(linkedPage!G8=0,"",linkedPage!G8)</f>
        <v>Med</v>
      </c>
      <c r="H8" s="5" t="str">
        <f>IF(linkedPage!H8=0,"",linkedPage!H8)</f>
        <v>Med</v>
      </c>
      <c r="I8" s="5" t="str">
        <f>IF(linkedPage!I8=0,"",linkedPage!I8)</f>
        <v>Med</v>
      </c>
      <c r="J8" s="5" t="str">
        <f>IF(linkedPage!J8=0,"",linkedPage!J8)</f>
        <v>Med</v>
      </c>
      <c r="K8" s="5" t="str">
        <f>IF(linkedPage!K8=0,"",linkedPage!K8)</f>
        <v>High</v>
      </c>
      <c r="L8" s="5" t="str">
        <f>IF(linkedPage!L8=0,"",linkedPage!L8)</f>
        <v>High</v>
      </c>
      <c r="M8" s="7" t="str">
        <f>IF(linkedPage!M8=0,"",linkedPage!M8)</f>
        <v/>
      </c>
      <c r="N8" t="str">
        <f>IF(linkedPage!N8=0,"",linkedPage!N8)</f>
        <v/>
      </c>
      <c r="O8" s="7" t="str">
        <f>IF(linkedPage!O8=0,"",linkedPage!O8)</f>
        <v/>
      </c>
    </row>
    <row r="9" spans="2:19" s="7" customFormat="1" x14ac:dyDescent="0.25">
      <c r="B9" s="29">
        <f>IF(linkedPage!B9=0,"",linkedPage!B9)</f>
        <v>6</v>
      </c>
      <c r="C9" s="5" t="str">
        <f>IF(linkedPage!C9=0,"",linkedPage!C9)</f>
        <v>Low</v>
      </c>
      <c r="D9" s="5" t="str">
        <f>IF(linkedPage!D9=0,"",linkedPage!D9)</f>
        <v>Low</v>
      </c>
      <c r="E9" s="5" t="str">
        <f>IF(linkedPage!E9=0,"",linkedPage!E9)</f>
        <v>Low</v>
      </c>
      <c r="F9" s="5" t="str">
        <f>IF(linkedPage!F9=0,"",linkedPage!F9)</f>
        <v>Low</v>
      </c>
      <c r="G9" s="5" t="str">
        <f>IF(linkedPage!G9=0,"",linkedPage!G9)</f>
        <v>Low</v>
      </c>
      <c r="H9" s="5" t="str">
        <f>IF(linkedPage!H9=0,"",linkedPage!H9)</f>
        <v>Med</v>
      </c>
      <c r="I9" s="5" t="str">
        <f>IF(linkedPage!I9=0,"",linkedPage!I9)</f>
        <v>Med</v>
      </c>
      <c r="J9" s="5" t="str">
        <f>IF(linkedPage!J9=0,"",linkedPage!J9)</f>
        <v>Med</v>
      </c>
      <c r="K9" s="5" t="str">
        <f>IF(linkedPage!K9=0,"",linkedPage!K9)</f>
        <v>Med</v>
      </c>
      <c r="L9" s="5" t="str">
        <f>IF(linkedPage!L9=0,"",linkedPage!L9)</f>
        <v>High</v>
      </c>
      <c r="M9" s="7" t="str">
        <f>IF(linkedPage!M9=0,"",linkedPage!M9)</f>
        <v/>
      </c>
      <c r="N9" t="str">
        <f>IF(linkedPage!N9=0,"",linkedPage!N9)</f>
        <v/>
      </c>
      <c r="O9" s="7" t="str">
        <f>IF(linkedPage!O9=0,"",linkedPage!O9)</f>
        <v/>
      </c>
    </row>
    <row r="10" spans="2:19" s="7" customFormat="1" x14ac:dyDescent="0.25">
      <c r="B10" s="29">
        <f>IF(linkedPage!B10=0,"",linkedPage!B10)</f>
        <v>5</v>
      </c>
      <c r="C10" s="5" t="str">
        <f>IF(linkedPage!C10=0,"",linkedPage!C10)</f>
        <v>Low</v>
      </c>
      <c r="D10" s="5" t="str">
        <f>IF(linkedPage!D10=0,"",linkedPage!D10)</f>
        <v>Low</v>
      </c>
      <c r="E10" s="5" t="str">
        <f>IF(linkedPage!E10=0,"",linkedPage!E10)</f>
        <v>Low</v>
      </c>
      <c r="F10" s="5" t="str">
        <f>IF(linkedPage!F10=0,"",linkedPage!F10)</f>
        <v>Low</v>
      </c>
      <c r="G10" s="5" t="str">
        <f>IF(linkedPage!G10=0,"",linkedPage!G10)</f>
        <v>Low</v>
      </c>
      <c r="H10" s="5" t="str">
        <f>IF(linkedPage!H10=0,"",linkedPage!H10)</f>
        <v>Low</v>
      </c>
      <c r="I10" s="5" t="str">
        <f>IF(linkedPage!I10=0,"",linkedPage!I10)</f>
        <v>Med</v>
      </c>
      <c r="J10" s="5" t="str">
        <f>IF(linkedPage!J10=0,"",linkedPage!J10)</f>
        <v>Med</v>
      </c>
      <c r="K10" s="5" t="str">
        <f>IF(linkedPage!K10=0,"",linkedPage!K10)</f>
        <v>Med</v>
      </c>
      <c r="L10" s="5" t="str">
        <f>IF(linkedPage!L10=0,"",linkedPage!L10)</f>
        <v>Med</v>
      </c>
      <c r="M10" s="7" t="str">
        <f>IF(linkedPage!M10=0,"",linkedPage!M10)</f>
        <v/>
      </c>
      <c r="N10" s="7" t="str">
        <f>IF(linkedPage!N10=0,"",linkedPage!N10)</f>
        <v/>
      </c>
      <c r="O10" s="7" t="str">
        <f>IF(linkedPage!O10=0,"",linkedPage!O10)</f>
        <v/>
      </c>
    </row>
    <row r="11" spans="2:19" s="7" customFormat="1" x14ac:dyDescent="0.25">
      <c r="B11" s="29">
        <f>IF(linkedPage!B11=0,"",linkedPage!B11)</f>
        <v>4</v>
      </c>
      <c r="C11" s="5" t="str">
        <f>IF(linkedPage!C11=0,"",linkedPage!C11)</f>
        <v>Low</v>
      </c>
      <c r="D11" s="5" t="str">
        <f>IF(linkedPage!D11=0,"",linkedPage!D11)</f>
        <v>Low</v>
      </c>
      <c r="E11" s="5" t="str">
        <f>IF(linkedPage!E11=0,"",linkedPage!E11)</f>
        <v>Low</v>
      </c>
      <c r="F11" s="5" t="str">
        <f>IF(linkedPage!F11=0,"",linkedPage!F11)</f>
        <v>Low</v>
      </c>
      <c r="G11" s="5" t="str">
        <f>IF(linkedPage!G11=0,"",linkedPage!G11)</f>
        <v>Low</v>
      </c>
      <c r="H11" s="5" t="str">
        <f>IF(linkedPage!H11=0,"",linkedPage!H11)</f>
        <v>Low</v>
      </c>
      <c r="I11" s="5" t="str">
        <f>IF(linkedPage!I11=0,"",linkedPage!I11)</f>
        <v>Low</v>
      </c>
      <c r="J11" s="5" t="str">
        <f>IF(linkedPage!J11=0,"",linkedPage!J11)</f>
        <v>Med</v>
      </c>
      <c r="K11" s="5" t="str">
        <f>IF(linkedPage!K11=0,"",linkedPage!K11)</f>
        <v>Med</v>
      </c>
      <c r="L11" s="5" t="str">
        <f>IF(linkedPage!L11=0,"",linkedPage!L11)</f>
        <v>Med</v>
      </c>
      <c r="M11" s="7" t="str">
        <f>IF(linkedPage!M11=0,"",linkedPage!M11)</f>
        <v/>
      </c>
      <c r="N11" s="15" t="str">
        <f>IF(linkedPage!N11=0,"",linkedPage!N11)</f>
        <v>Low</v>
      </c>
      <c r="O11" s="17" t="str">
        <f>IF(linkedPage!O11=0,"",linkedPage!O11)</f>
        <v>Tolerable, no engineer action required</v>
      </c>
    </row>
    <row r="12" spans="2:19" s="7" customFormat="1" x14ac:dyDescent="0.25">
      <c r="B12" s="29">
        <f>IF(linkedPage!B12=0,"",linkedPage!B12)</f>
        <v>3</v>
      </c>
      <c r="C12" s="5" t="str">
        <f>IF(linkedPage!C12=0,"",linkedPage!C12)</f>
        <v>Low</v>
      </c>
      <c r="D12" s="5" t="str">
        <f>IF(linkedPage!D12=0,"",linkedPage!D12)</f>
        <v>Low</v>
      </c>
      <c r="E12" s="5" t="str">
        <f>IF(linkedPage!E12=0,"",linkedPage!E12)</f>
        <v>Low</v>
      </c>
      <c r="F12" s="5" t="str">
        <f>IF(linkedPage!F12=0,"",linkedPage!F12)</f>
        <v>Low</v>
      </c>
      <c r="G12" s="5" t="str">
        <f>IF(linkedPage!G12=0,"",linkedPage!G12)</f>
        <v>Low</v>
      </c>
      <c r="H12" s="5" t="str">
        <f>IF(linkedPage!H12=0,"",linkedPage!H12)</f>
        <v>Low</v>
      </c>
      <c r="I12" s="5" t="str">
        <f>IF(linkedPage!I12=0,"",linkedPage!I12)</f>
        <v>Low</v>
      </c>
      <c r="J12" s="5" t="str">
        <f>IF(linkedPage!J12=0,"",linkedPage!J12)</f>
        <v>Low</v>
      </c>
      <c r="K12" s="5" t="str">
        <f>IF(linkedPage!K12=0,"",linkedPage!K12)</f>
        <v>Med</v>
      </c>
      <c r="L12" s="5" t="str">
        <f>IF(linkedPage!L12=0,"",linkedPage!L12)</f>
        <v>Med</v>
      </c>
      <c r="M12" s="7" t="str">
        <f>IF(linkedPage!M12=0,"",linkedPage!M12)</f>
        <v/>
      </c>
      <c r="N12" s="13" t="str">
        <f>IF(linkedPage!N12=0,"",linkedPage!N12)</f>
        <v>Med</v>
      </c>
      <c r="O12" s="17" t="str">
        <f>IF(linkedPage!O12=0,"",linkedPage!O12)</f>
        <v>Undesirable, consider engineer actions to mitigate risk</v>
      </c>
    </row>
    <row r="13" spans="2:19" s="7" customFormat="1" x14ac:dyDescent="0.25">
      <c r="B13" s="29">
        <f>IF(linkedPage!B13=0,"",linkedPage!B13)</f>
        <v>2</v>
      </c>
      <c r="C13" s="5" t="str">
        <f>IF(linkedPage!C13=0,"",linkedPage!C13)</f>
        <v>Low</v>
      </c>
      <c r="D13" s="5" t="str">
        <f>IF(linkedPage!D13=0,"",linkedPage!D13)</f>
        <v>Low</v>
      </c>
      <c r="E13" s="5" t="str">
        <f>IF(linkedPage!E13=0,"",linkedPage!E13)</f>
        <v>Low</v>
      </c>
      <c r="F13" s="5" t="str">
        <f>IF(linkedPage!F13=0,"",linkedPage!F13)</f>
        <v>Low</v>
      </c>
      <c r="G13" s="5" t="str">
        <f>IF(linkedPage!G13=0,"",linkedPage!G13)</f>
        <v>Low</v>
      </c>
      <c r="H13" s="5" t="str">
        <f>IF(linkedPage!H13=0,"",linkedPage!H13)</f>
        <v>Low</v>
      </c>
      <c r="I13" s="5" t="str">
        <f>IF(linkedPage!I13=0,"",linkedPage!I13)</f>
        <v>Low</v>
      </c>
      <c r="J13" s="5" t="str">
        <f>IF(linkedPage!J13=0,"",linkedPage!J13)</f>
        <v>Low</v>
      </c>
      <c r="K13" s="5" t="str">
        <f>IF(linkedPage!K13=0,"",linkedPage!K13)</f>
        <v>Low</v>
      </c>
      <c r="L13" s="5" t="str">
        <f>IF(linkedPage!L13=0,"",linkedPage!L13)</f>
        <v>Med</v>
      </c>
      <c r="M13" s="7" t="str">
        <f>IF(linkedPage!M13=0,"",linkedPage!M13)</f>
        <v/>
      </c>
      <c r="N13" s="16" t="str">
        <f>IF(linkedPage!N13=0,"",linkedPage!N13)</f>
        <v>High</v>
      </c>
      <c r="O13" s="17" t="str">
        <f>IF(linkedPage!O13=0,"",linkedPage!O13)</f>
        <v>Intolerable, engineering action required</v>
      </c>
    </row>
    <row r="14" spans="2:19" s="7" customFormat="1" x14ac:dyDescent="0.25">
      <c r="B14" s="29">
        <f>IF(linkedPage!B14=0,"",linkedPage!B14)</f>
        <v>1</v>
      </c>
      <c r="C14" s="5" t="str">
        <f>IF(linkedPage!C14=0,"",linkedPage!C14)</f>
        <v>Low</v>
      </c>
      <c r="D14" s="5" t="str">
        <f>IF(linkedPage!D14=0,"",linkedPage!D14)</f>
        <v>Low</v>
      </c>
      <c r="E14" s="5" t="str">
        <f>IF(linkedPage!E14=0,"",linkedPage!E14)</f>
        <v>Low</v>
      </c>
      <c r="F14" s="5" t="str">
        <f>IF(linkedPage!F14=0,"",linkedPage!F14)</f>
        <v>Low</v>
      </c>
      <c r="G14" s="5" t="str">
        <f>IF(linkedPage!G14=0,"",linkedPage!G14)</f>
        <v>Low</v>
      </c>
      <c r="H14" s="5" t="str">
        <f>IF(linkedPage!H14=0,"",linkedPage!H14)</f>
        <v>Low</v>
      </c>
      <c r="I14" s="5" t="str">
        <f>IF(linkedPage!I14=0,"",linkedPage!I14)</f>
        <v>Low</v>
      </c>
      <c r="J14" s="5" t="str">
        <f>IF(linkedPage!J14=0,"",linkedPage!J14)</f>
        <v>Low</v>
      </c>
      <c r="K14" s="5" t="str">
        <f>IF(linkedPage!K14=0,"",linkedPage!K14)</f>
        <v>Low</v>
      </c>
      <c r="L14" s="5" t="str">
        <f>IF(linkedPage!L14=0,"",linkedPage!L14)</f>
        <v>Low</v>
      </c>
      <c r="M14" s="7" t="str">
        <f>IF(linkedPage!M14=0,"",linkedPage!M14)</f>
        <v/>
      </c>
      <c r="N14" t="str">
        <f>IF(linkedPage!N14=0,"",linkedPage!N14)</f>
        <v/>
      </c>
      <c r="O14" s="7" t="str">
        <f>IF(linkedPage!O14=0,"",linkedPage!O14)</f>
        <v/>
      </c>
    </row>
    <row r="16" spans="2:19" ht="19.5" thickBot="1" x14ac:dyDescent="0.35">
      <c r="B16" s="42" t="str">
        <f>IF(linkedPage!B16=0,"",linkedPage!B16)</f>
        <v>Occurrence</v>
      </c>
      <c r="C16" s="43"/>
      <c r="D16" s="43"/>
      <c r="E16" s="43"/>
      <c r="F16" s="43"/>
      <c r="H16" s="42" t="str">
        <f>IF(linkedPage!H16=0,"",linkedPage!H16)</f>
        <v>Severity</v>
      </c>
      <c r="I16" s="43"/>
      <c r="J16" s="43"/>
      <c r="K16" s="43"/>
      <c r="L16" s="43"/>
      <c r="M16" s="43"/>
      <c r="N16" s="43"/>
      <c r="O16" s="43"/>
      <c r="P16" s="43"/>
      <c r="Q16" s="43"/>
      <c r="R16" s="25"/>
      <c r="S16" s="25"/>
    </row>
    <row r="17" spans="1:23" ht="57" thickBot="1" x14ac:dyDescent="0.35">
      <c r="B17" s="44" t="str">
        <f>IF(linkedPage!B17=0,"",linkedPage!B17)</f>
        <v>Rating</v>
      </c>
      <c r="C17" s="273" t="str">
        <f>IF(linkedPage!C17=0,"",linkedPage!C17)</f>
        <v>Occurrence</v>
      </c>
      <c r="D17" s="274" t="str">
        <f>IF(linkedPage!D17=0,"",linkedPage!D17)</f>
        <v/>
      </c>
      <c r="E17" s="44" t="str">
        <f>IF(linkedPage!E17=0,"",linkedPage!E17)</f>
        <v>Annual Failure Rate</v>
      </c>
      <c r="F17" s="45" t="str">
        <f>IF(linkedPage!F17=0,"",linkedPage!F17)</f>
        <v>Return Period [years]</v>
      </c>
      <c r="G17" s="9"/>
      <c r="H17" s="46" t="str">
        <f>IF(linkedPage!H17=0,"",linkedPage!H17)</f>
        <v>Rating</v>
      </c>
      <c r="I17" s="47" t="str">
        <f>IF(linkedPage!I17=0,"",linkedPage!I17)</f>
        <v>Severity</v>
      </c>
      <c r="J17" s="279" t="str">
        <f>IF(linkedPage!J17=0,"",linkedPage!J17)</f>
        <v>Human Safety</v>
      </c>
      <c r="K17" s="272" t="str">
        <f>IF(linkedPage!K17=0,"",linkedPage!K17)</f>
        <v/>
      </c>
      <c r="L17" s="279" t="str">
        <f>IF(linkedPage!L17=0,"",linkedPage!L17)</f>
        <v>Environment</v>
      </c>
      <c r="M17" s="280" t="str">
        <f>IF(linkedPage!M17=0,"",linkedPage!M17)</f>
        <v/>
      </c>
      <c r="N17" s="271" t="str">
        <f>IF(linkedPage!N17=0,"",linkedPage!N17)</f>
        <v>WEC Operation</v>
      </c>
      <c r="O17" s="272" t="str">
        <f>IF(linkedPage!O17=0,"",linkedPage!O17)</f>
        <v/>
      </c>
      <c r="P17" s="275" t="str">
        <f>IF(linkedPage!P17=0,"",linkedPage!P17)</f>
        <v xml:space="preserve">Assets </v>
      </c>
      <c r="Q17" s="276" t="str">
        <f>IF(linkedPage!Q17=0,"",linkedPage!Q17)</f>
        <v/>
      </c>
      <c r="R17" s="26"/>
      <c r="S17" s="25"/>
    </row>
    <row r="18" spans="1:23" ht="42.75" customHeight="1" x14ac:dyDescent="0.25">
      <c r="A18" s="7"/>
      <c r="B18" s="12">
        <f>IF(linkedPage!B18=0,"",linkedPage!B18)</f>
        <v>1</v>
      </c>
      <c r="C18" s="283" t="str">
        <f>IF(linkedPage!C18=0,"",linkedPage!C18)</f>
        <v>Exceptionally unlikely to occur</v>
      </c>
      <c r="D18" s="284" t="str">
        <f>IF(linkedPage!D18=0,"",linkedPage!D18)</f>
        <v/>
      </c>
      <c r="E18" s="30">
        <f>IF(linkedPage!E18=0,"",linkedPage!E18)</f>
        <v>1.0000000000000001E-5</v>
      </c>
      <c r="F18" s="38">
        <f>IF(linkedPage!F18=0,"",linkedPage!F18)</f>
        <v>100000</v>
      </c>
      <c r="G18" s="9"/>
      <c r="H18" s="24">
        <f>IF(linkedPage!H18=0,"",linkedPage!H18)</f>
        <v>1</v>
      </c>
      <c r="I18" s="22" t="str">
        <f>IF(linkedPage!I18=0,"",linkedPage!I18)</f>
        <v>Insignificant</v>
      </c>
      <c r="J18" s="259" t="str">
        <f>IF(linkedPage!J18=0,"",linkedPage!J18)</f>
        <v>Negligible injury, effect on health (e.g. band aid)</v>
      </c>
      <c r="K18" s="278" t="str">
        <f>IF(linkedPage!K18=0,"",linkedPage!K18)</f>
        <v/>
      </c>
      <c r="L18" s="259" t="str">
        <f>IF(linkedPage!L18=0,"",linkedPage!L18)</f>
        <v>Negligible pollution or no effect on environment</v>
      </c>
      <c r="M18" s="260" t="str">
        <f>IF(linkedPage!M18=0,"",linkedPage!M18)</f>
        <v/>
      </c>
      <c r="N18" s="277" t="str">
        <f>IF(linkedPage!N18=0,"",linkedPage!N18)</f>
        <v>Negligible effect on performance</v>
      </c>
      <c r="O18" s="278" t="str">
        <f>IF(linkedPage!O18=0,"",linkedPage!O18)</f>
        <v/>
      </c>
      <c r="P18" s="259" t="str">
        <f>IF(linkedPage!P18=0,"",linkedPage!P18)</f>
        <v>Negligible</v>
      </c>
      <c r="Q18" s="260" t="str">
        <f>IF(linkedPage!Q18=0,"",linkedPage!Q18)</f>
        <v/>
      </c>
      <c r="R18" s="27"/>
      <c r="S18" s="25"/>
      <c r="U18" s="7"/>
    </row>
    <row r="19" spans="1:23" ht="42.75" customHeight="1" x14ac:dyDescent="0.25">
      <c r="A19" s="7"/>
      <c r="B19" s="10">
        <f>IF(linkedPage!B19=0,"",linkedPage!B19)</f>
        <v>2</v>
      </c>
      <c r="C19" s="265" t="str">
        <f>IF(linkedPage!C19=0,"",linkedPage!C19)</f>
        <v/>
      </c>
      <c r="D19" s="266" t="str">
        <f>IF(linkedPage!D19=0,"",linkedPage!D19)</f>
        <v/>
      </c>
      <c r="E19" s="31">
        <f>IF(linkedPage!E19=0,"",linkedPage!E19)</f>
        <v>3.1622776601683789E-5</v>
      </c>
      <c r="F19" s="39">
        <f>IF(linkedPage!F19=0,"",linkedPage!F19)</f>
        <v>31600</v>
      </c>
      <c r="G19" s="9"/>
      <c r="H19" s="10">
        <f>IF(linkedPage!H19=0,"",linkedPage!H19)</f>
        <v>2</v>
      </c>
      <c r="I19" s="23" t="str">
        <f>IF(linkedPage!I19=0,"",linkedPage!I19)</f>
        <v/>
      </c>
      <c r="J19" s="261" t="str">
        <f>IF(linkedPage!J19=0,"",linkedPage!J19)</f>
        <v/>
      </c>
      <c r="K19" s="256" t="str">
        <f>IF(linkedPage!K19=0,"",linkedPage!K19)</f>
        <v/>
      </c>
      <c r="L19" s="261" t="str">
        <f>IF(linkedPage!L19=0,"",linkedPage!L19)</f>
        <v/>
      </c>
      <c r="M19" s="262" t="str">
        <f>IF(linkedPage!M19=0,"",linkedPage!M19)</f>
        <v/>
      </c>
      <c r="N19" s="255" t="str">
        <f>IF(linkedPage!N19=0,"",linkedPage!N19)</f>
        <v/>
      </c>
      <c r="O19" s="256" t="str">
        <f>IF(linkedPage!O19=0,"",linkedPage!O19)</f>
        <v/>
      </c>
      <c r="P19" s="261" t="str">
        <f>IF(linkedPage!P19=0,"",linkedPage!P19)</f>
        <v>[1.5k USD]</v>
      </c>
      <c r="Q19" s="262" t="str">
        <f>IF(linkedPage!Q19=0,"",linkedPage!Q19)</f>
        <v/>
      </c>
      <c r="R19" s="27"/>
      <c r="S19" s="25"/>
    </row>
    <row r="20" spans="1:23" ht="42.75" customHeight="1" x14ac:dyDescent="0.25">
      <c r="A20" s="7"/>
      <c r="B20" s="10">
        <f>IF(linkedPage!B20=0,"",linkedPage!B20)</f>
        <v>3</v>
      </c>
      <c r="C20" s="265" t="str">
        <f>IF(linkedPage!C20=0,"",linkedPage!C20)</f>
        <v>Extremely unlikely to occur</v>
      </c>
      <c r="D20" s="266" t="str">
        <f>IF(linkedPage!D20=0,"",linkedPage!D20)</f>
        <v/>
      </c>
      <c r="E20" s="32">
        <f>IF(linkedPage!E20=0,"",linkedPage!E20)</f>
        <v>1E-4</v>
      </c>
      <c r="F20" s="39">
        <f>IF(linkedPage!F20=0,"",linkedPage!F20)</f>
        <v>10000</v>
      </c>
      <c r="G20" s="9"/>
      <c r="H20" s="10">
        <f>IF(linkedPage!H20=0,"",linkedPage!H20)</f>
        <v>3</v>
      </c>
      <c r="I20" s="23" t="str">
        <f>IF(linkedPage!I20=0,"",linkedPage!I20)</f>
        <v>Minor</v>
      </c>
      <c r="J20" s="261" t="str">
        <f>IF(linkedPage!J20=0,"",linkedPage!J20)</f>
        <v>Minor injuries, health effects (e.g. stitches)</v>
      </c>
      <c r="K20" s="256" t="str">
        <f>IF(linkedPage!K20=0,"",linkedPage!K20)</f>
        <v/>
      </c>
      <c r="L20" s="261" t="str">
        <f>IF(linkedPage!L20=0,"",linkedPage!L20)</f>
        <v>Minor pollution / slight effect on environment (min disruption on marine life)</v>
      </c>
      <c r="M20" s="262" t="str">
        <f>IF(linkedPage!M20=0,"",linkedPage!M20)</f>
        <v/>
      </c>
      <c r="N20" s="255" t="str">
        <f>IF(linkedPage!N20=0,"",linkedPage!N20)</f>
        <v>Minor system degradation</v>
      </c>
      <c r="O20" s="256" t="str">
        <f>IF(linkedPage!O20=0,"",linkedPage!O20)</f>
        <v/>
      </c>
      <c r="P20" s="261" t="str">
        <f>IF(linkedPage!P20=0,"",linkedPage!P20)</f>
        <v>Repairable in-situ, at next maintenance interval 
[5k USD]</v>
      </c>
      <c r="Q20" s="262" t="str">
        <f>IF(linkedPage!Q20=0,"",linkedPage!Q20)</f>
        <v/>
      </c>
      <c r="R20" s="27"/>
      <c r="S20" s="25"/>
      <c r="U20" s="7"/>
    </row>
    <row r="21" spans="1:23" ht="42.75" customHeight="1" x14ac:dyDescent="0.25">
      <c r="A21" s="7"/>
      <c r="B21" s="10">
        <f>IF(linkedPage!B21=0,"",linkedPage!B21)</f>
        <v>4</v>
      </c>
      <c r="C21" s="265" t="str">
        <f>IF(linkedPage!C21=0,"",linkedPage!C21)</f>
        <v/>
      </c>
      <c r="D21" s="266" t="str">
        <f>IF(linkedPage!D21=0,"",linkedPage!D21)</f>
        <v/>
      </c>
      <c r="E21" s="32">
        <f>IF(linkedPage!E21=0,"",linkedPage!E21)</f>
        <v>3.1622776601683789E-4</v>
      </c>
      <c r="F21" s="39">
        <f>IF(linkedPage!F21=0,"",linkedPage!F21)</f>
        <v>3160</v>
      </c>
      <c r="G21" s="9"/>
      <c r="H21" s="10">
        <f>IF(linkedPage!H21=0,"",linkedPage!H21)</f>
        <v>4</v>
      </c>
      <c r="I21" s="23" t="str">
        <f>IF(linkedPage!I21=0,"",linkedPage!I21)</f>
        <v/>
      </c>
      <c r="J21" s="261" t="str">
        <f>IF(linkedPage!J21=0,"",linkedPage!J21)</f>
        <v>Moderate injuries and/or health effects (e.g. broken bone)</v>
      </c>
      <c r="K21" s="256" t="str">
        <f>IF(linkedPage!K21=0,"",linkedPage!K21)</f>
        <v/>
      </c>
      <c r="L21" s="261" t="str">
        <f>IF(linkedPage!L21=0,"",linkedPage!L21)</f>
        <v/>
      </c>
      <c r="M21" s="262" t="str">
        <f>IF(linkedPage!M21=0,"",linkedPage!M21)</f>
        <v/>
      </c>
      <c r="N21" s="255" t="str">
        <f>IF(linkedPage!N21=0,"",linkedPage!N21)</f>
        <v>Moderate system degradation (e.g. loss of MoMo)</v>
      </c>
      <c r="O21" s="256" t="str">
        <f>IF(linkedPage!O21=0,"",linkedPage!O21)</f>
        <v/>
      </c>
      <c r="P21" s="261" t="str">
        <f>IF(linkedPage!P21=0,"",linkedPage!P21)</f>
        <v>Repairable in-situ, outside maintenance interval 
(1 day) [15k USD]</v>
      </c>
      <c r="Q21" s="262" t="str">
        <f>IF(linkedPage!Q21=0,"",linkedPage!Q21)</f>
        <v/>
      </c>
      <c r="R21" s="27"/>
      <c r="S21" s="25"/>
      <c r="U21" s="7"/>
    </row>
    <row r="22" spans="1:23" ht="42.75" customHeight="1" x14ac:dyDescent="0.25">
      <c r="A22" s="7"/>
      <c r="B22" s="10">
        <f>IF(linkedPage!B22=0,"",linkedPage!B22)</f>
        <v>5</v>
      </c>
      <c r="C22" s="265" t="str">
        <f>IF(linkedPage!C22=0,"",linkedPage!C22)</f>
        <v>Very unlikely to occur</v>
      </c>
      <c r="D22" s="266" t="str">
        <f>IF(linkedPage!D22=0,"",linkedPage!D22)</f>
        <v/>
      </c>
      <c r="E22" s="33">
        <f>IF(linkedPage!E22=0,"",linkedPage!E22)</f>
        <v>1E-3</v>
      </c>
      <c r="F22" s="39">
        <f>IF(linkedPage!F22=0,"",linkedPage!F22)</f>
        <v>1000</v>
      </c>
      <c r="G22" s="9"/>
      <c r="H22" s="10">
        <f>IF(linkedPage!H22=0,"",linkedPage!H22)</f>
        <v>5</v>
      </c>
      <c r="I22" s="23" t="str">
        <f>IF(linkedPage!I22=0,"",linkedPage!I22)</f>
        <v>Major</v>
      </c>
      <c r="J22" s="261" t="str">
        <f>IF(linkedPage!J22=0,"",linkedPage!J22)</f>
        <v/>
      </c>
      <c r="K22" s="256" t="str">
        <f>IF(linkedPage!K22=0,"",linkedPage!K22)</f>
        <v/>
      </c>
      <c r="L22" s="261" t="str">
        <f>IF(linkedPage!L22=0,"",linkedPage!L22)</f>
        <v>Limited levels of pollution, manageable / moderate effect on environment</v>
      </c>
      <c r="M22" s="262" t="str">
        <f>IF(linkedPage!M22=0,"",linkedPage!M22)</f>
        <v/>
      </c>
      <c r="N22" s="255" t="str">
        <f>IF(linkedPage!N22=0,"",linkedPage!N22)</f>
        <v/>
      </c>
      <c r="O22" s="256" t="str">
        <f>IF(linkedPage!O22=0,"",linkedPage!O22)</f>
        <v/>
      </c>
      <c r="P22" s="261" t="str">
        <f>IF(linkedPage!P22=0,"",linkedPage!P22)</f>
        <v>Repairable in-situ, outside maintenance interval 
(1 week) [50k USD]</v>
      </c>
      <c r="Q22" s="262" t="str">
        <f>IF(linkedPage!Q22=0,"",linkedPage!Q22)</f>
        <v/>
      </c>
      <c r="R22" s="27"/>
      <c r="S22" s="25"/>
      <c r="T22" s="7"/>
      <c r="U22" s="7"/>
    </row>
    <row r="23" spans="1:23" ht="42.75" customHeight="1" x14ac:dyDescent="0.25">
      <c r="A23" s="7"/>
      <c r="B23" s="10">
        <f>IF(linkedPage!B23=0,"",linkedPage!B23)</f>
        <v>6</v>
      </c>
      <c r="C23" s="265" t="str">
        <f>IF(linkedPage!C23=0,"",linkedPage!C23)</f>
        <v/>
      </c>
      <c r="D23" s="266" t="str">
        <f>IF(linkedPage!D23=0,"",linkedPage!D23)</f>
        <v/>
      </c>
      <c r="E23" s="33">
        <f>IF(linkedPage!E23=0,"",linkedPage!E23)</f>
        <v>3.162277660168379E-3</v>
      </c>
      <c r="F23" s="39">
        <f>IF(linkedPage!F23=0,"",linkedPage!F23)</f>
        <v>316</v>
      </c>
      <c r="G23" s="9"/>
      <c r="H23" s="10">
        <f>IF(linkedPage!H23=0,"",linkedPage!H23)</f>
        <v>6</v>
      </c>
      <c r="I23" s="23" t="str">
        <f>IF(linkedPage!I23=0,"",linkedPage!I23)</f>
        <v/>
      </c>
      <c r="J23" s="261" t="str">
        <f>IF(linkedPage!J23=0,"",linkedPage!J23)</f>
        <v/>
      </c>
      <c r="K23" s="256" t="str">
        <f>IF(linkedPage!K23=0,"",linkedPage!K23)</f>
        <v/>
      </c>
      <c r="L23" s="261" t="str">
        <f>IF(linkedPage!L23=0,"",linkedPage!L23)</f>
        <v/>
      </c>
      <c r="M23" s="262" t="str">
        <f>IF(linkedPage!M23=0,"",linkedPage!M23)</f>
        <v/>
      </c>
      <c r="N23" s="255" t="str">
        <f>IF(linkedPage!N23=0,"",linkedPage!N23)</f>
        <v>Major system degradation or loss of operation for 1 month</v>
      </c>
      <c r="O23" s="256" t="str">
        <f>IF(linkedPage!O23=0,"",linkedPage!O23)</f>
        <v/>
      </c>
      <c r="P23" s="261" t="str">
        <f>IF(linkedPage!P23=0,"",linkedPage!P23)</f>
        <v>[150k USD]</v>
      </c>
      <c r="Q23" s="262" t="str">
        <f>IF(linkedPage!Q23=0,"",linkedPage!Q23)</f>
        <v/>
      </c>
      <c r="R23" s="27"/>
      <c r="S23" s="27"/>
      <c r="T23" s="7"/>
      <c r="U23" s="7"/>
    </row>
    <row r="24" spans="1:23" ht="42.75" customHeight="1" x14ac:dyDescent="0.25">
      <c r="B24" s="10">
        <f>IF(linkedPage!B24=0,"",linkedPage!B24)</f>
        <v>7</v>
      </c>
      <c r="C24" s="265" t="str">
        <f>IF(linkedPage!C24=0,"",linkedPage!C24)</f>
        <v>Rarely expected to occur</v>
      </c>
      <c r="D24" s="266" t="str">
        <f>IF(linkedPage!D24=0,"",linkedPage!D24)</f>
        <v/>
      </c>
      <c r="E24" s="34">
        <f>IF(linkedPage!E24=0,"",linkedPage!E24)</f>
        <v>0.01</v>
      </c>
      <c r="F24" s="39">
        <f>IF(linkedPage!F24=0,"",linkedPage!F24)</f>
        <v>100</v>
      </c>
      <c r="G24" s="9"/>
      <c r="H24" s="10">
        <f>IF(linkedPage!H24=0,"",linkedPage!H24)</f>
        <v>7</v>
      </c>
      <c r="I24" s="23" t="str">
        <f>IF(linkedPage!I24=0,"",linkedPage!I24)</f>
        <v>Critical</v>
      </c>
      <c r="J24" s="261" t="str">
        <f>IF(linkedPage!J24=0,"",linkedPage!J24)</f>
        <v>Hospitalization (with full recovery)</v>
      </c>
      <c r="K24" s="256" t="str">
        <f>IF(linkedPage!K24=0,"",linkedPage!K24)</f>
        <v/>
      </c>
      <c r="L24" s="261" t="str">
        <f>IF(linkedPage!L24=0,"",linkedPage!L24)</f>
        <v>Moderate pollution (some clean-up costs) / Serious effect on environment</v>
      </c>
      <c r="M24" s="262" t="str">
        <f>IF(linkedPage!M24=0,"",linkedPage!M24)</f>
        <v/>
      </c>
      <c r="N24" s="255" t="str">
        <f>IF(linkedPage!N24=0,"",linkedPage!N24)</f>
        <v>Major system degradation or loss of operation for 3 months</v>
      </c>
      <c r="O24" s="256" t="str">
        <f>IF(linkedPage!O24=0,"",linkedPage!O24)</f>
        <v/>
      </c>
      <c r="P24" s="261" t="str">
        <f>IF(linkedPage!P24=0,"",linkedPage!P24)</f>
        <v>Dry dock required for repair
[500k USD]</v>
      </c>
      <c r="Q24" s="262" t="str">
        <f>IF(linkedPage!Q24=0,"",linkedPage!Q24)</f>
        <v/>
      </c>
      <c r="R24" s="27"/>
      <c r="S24" s="27"/>
      <c r="T24" s="7"/>
      <c r="U24" s="7"/>
    </row>
    <row r="25" spans="1:23" ht="42.75" customHeight="1" x14ac:dyDescent="0.25">
      <c r="B25" s="10">
        <f>IF(linkedPage!B25=0,"",linkedPage!B25)</f>
        <v>8</v>
      </c>
      <c r="C25" s="265" t="str">
        <f>IF(linkedPage!C25=0,"",linkedPage!C25)</f>
        <v/>
      </c>
      <c r="D25" s="266" t="str">
        <f>IF(linkedPage!D25=0,"",linkedPage!D25)</f>
        <v/>
      </c>
      <c r="E25" s="34">
        <f>IF(linkedPage!E25=0,"",linkedPage!E25)</f>
        <v>3.1622776601683791E-2</v>
      </c>
      <c r="F25" s="39">
        <f>IF(linkedPage!F25=0,"",linkedPage!F25)</f>
        <v>31.6</v>
      </c>
      <c r="G25" s="9"/>
      <c r="H25" s="10">
        <f>IF(linkedPage!H25=0,"",linkedPage!H25)</f>
        <v>8</v>
      </c>
      <c r="I25" s="23" t="str">
        <f>IF(linkedPage!I25=0,"",linkedPage!I25)</f>
        <v/>
      </c>
      <c r="J25" s="261" t="str">
        <f>IF(linkedPage!J25=0,"",linkedPage!J25)</f>
        <v/>
      </c>
      <c r="K25" s="256" t="str">
        <f>IF(linkedPage!K25=0,"",linkedPage!K25)</f>
        <v/>
      </c>
      <c r="L25" s="261" t="str">
        <f>IF(linkedPage!L25=0,"",linkedPage!L25)</f>
        <v/>
      </c>
      <c r="M25" s="262" t="str">
        <f>IF(linkedPage!M25=0,"",linkedPage!M25)</f>
        <v/>
      </c>
      <c r="N25" s="255" t="str">
        <f>IF(linkedPage!N25=0,"",linkedPage!N25)</f>
        <v>Critical system degradation or loss of operation for 6 months</v>
      </c>
      <c r="O25" s="256" t="str">
        <f>IF(linkedPage!O25=0,"",linkedPage!O25)</f>
        <v/>
      </c>
      <c r="P25" s="261" t="str">
        <f>IF(linkedPage!P25=0,"",linkedPage!P25)</f>
        <v>[1.5M USD]</v>
      </c>
      <c r="Q25" s="262" t="str">
        <f>IF(linkedPage!Q25=0,"",linkedPage!Q25)</f>
        <v/>
      </c>
      <c r="R25" s="27"/>
      <c r="S25" s="27"/>
      <c r="T25" s="7"/>
      <c r="U25" s="7"/>
    </row>
    <row r="26" spans="1:23" ht="42.75" customHeight="1" x14ac:dyDescent="0.25">
      <c r="B26" s="10">
        <f>IF(linkedPage!B26=0,"",linkedPage!B26)</f>
        <v>9</v>
      </c>
      <c r="C26" s="265" t="str">
        <f>IF(linkedPage!C26=0,"",linkedPage!C26)</f>
        <v>One or more during 20 yr lifetime</v>
      </c>
      <c r="D26" s="266" t="str">
        <f>IF(linkedPage!D26=0,"",linkedPage!D26)</f>
        <v/>
      </c>
      <c r="E26" s="35">
        <f>IF(linkedPage!E26=0,"",linkedPage!E26)</f>
        <v>0.1</v>
      </c>
      <c r="F26" s="39">
        <f>IF(linkedPage!F26=0,"",linkedPage!F26)</f>
        <v>10</v>
      </c>
      <c r="G26" s="9"/>
      <c r="H26" s="10">
        <f>IF(linkedPage!H26=0,"",linkedPage!H26)</f>
        <v>9</v>
      </c>
      <c r="I26" s="23" t="str">
        <f>IF(linkedPage!I26=0,"",linkedPage!I26)</f>
        <v>Catastrophic</v>
      </c>
      <c r="J26" s="261" t="str">
        <f>IF(linkedPage!J26=0,"",linkedPage!J26)</f>
        <v>Hospitalization (with lasting disabilities)</v>
      </c>
      <c r="K26" s="256" t="str">
        <f>IF(linkedPage!K26=0,"",linkedPage!K26)</f>
        <v/>
      </c>
      <c r="L26" s="261" t="str">
        <f>IF(linkedPage!L26=0,"",linkedPage!L26)</f>
        <v>Major pollution (significant clean-up costs) / disastrous effects on the environment</v>
      </c>
      <c r="M26" s="262" t="str">
        <f>IF(linkedPage!M26=0,"",linkedPage!M26)</f>
        <v/>
      </c>
      <c r="N26" s="255" t="str">
        <f>IF(linkedPage!N26=0,"",linkedPage!N26)</f>
        <v>Failure to generate power for remainder of project, complete failure</v>
      </c>
      <c r="O26" s="256" t="str">
        <f>IF(linkedPage!O26=0,"",linkedPage!O26)</f>
        <v/>
      </c>
      <c r="P26" s="261" t="str">
        <f>IF(linkedPage!P26=0,"",linkedPage!P26)</f>
        <v>Loss of device
[5M USD]</v>
      </c>
      <c r="Q26" s="262" t="str">
        <f>IF(linkedPage!Q26=0,"",linkedPage!Q26)</f>
        <v/>
      </c>
      <c r="R26" s="28"/>
      <c r="S26" s="28"/>
      <c r="T26" s="7"/>
      <c r="U26" s="7"/>
    </row>
    <row r="27" spans="1:23" ht="42.75" customHeight="1" thickBot="1" x14ac:dyDescent="0.3">
      <c r="A27" s="7"/>
      <c r="B27" s="11">
        <f>IF(linkedPage!B27=0,"",linkedPage!B27)</f>
        <v>10</v>
      </c>
      <c r="C27" s="267" t="str">
        <f>IF(linkedPage!C27=0,"",linkedPage!C27)</f>
        <v/>
      </c>
      <c r="D27" s="268" t="str">
        <f>IF(linkedPage!D27=0,"",linkedPage!D27)</f>
        <v/>
      </c>
      <c r="E27" s="36">
        <f>IF(linkedPage!E27=0,"",linkedPage!E27)</f>
        <v>0.31622776601683794</v>
      </c>
      <c r="F27" s="40">
        <f>IF(linkedPage!F27=0,"",linkedPage!F27)</f>
        <v>3.16</v>
      </c>
      <c r="G27" s="9"/>
      <c r="H27" s="11">
        <f>IF(linkedPage!H27=0,"",linkedPage!H27)</f>
        <v>10</v>
      </c>
      <c r="I27" s="37" t="str">
        <f>IF(linkedPage!I27=0,"",linkedPage!I27)</f>
        <v/>
      </c>
      <c r="J27" s="269" t="str">
        <f>IF(linkedPage!J27=0,"",linkedPage!J27)</f>
        <v>A fatality</v>
      </c>
      <c r="K27" s="270" t="str">
        <f>IF(linkedPage!K27=0,"",linkedPage!K27)</f>
        <v/>
      </c>
      <c r="L27" s="263" t="str">
        <f>IF(linkedPage!L27=0,"",linkedPage!L27)</f>
        <v/>
      </c>
      <c r="M27" s="264" t="str">
        <f>IF(linkedPage!M27=0,"",linkedPage!M27)</f>
        <v/>
      </c>
      <c r="N27" s="257" t="str">
        <f>IF(linkedPage!N27=0,"",linkedPage!N27)</f>
        <v/>
      </c>
      <c r="O27" s="258" t="str">
        <f>IF(linkedPage!O27=0,"",linkedPage!O27)</f>
        <v/>
      </c>
      <c r="P27" s="263" t="str">
        <f>IF(linkedPage!P27=0,"",linkedPage!P27)</f>
        <v/>
      </c>
      <c r="Q27" s="264" t="str">
        <f>IF(linkedPage!Q27=0,"",linkedPage!Q27)</f>
        <v/>
      </c>
      <c r="R27" s="28"/>
      <c r="S27" s="28"/>
    </row>
    <row r="28" spans="1:23" x14ac:dyDescent="0.25">
      <c r="R28" s="25"/>
      <c r="S28" s="25"/>
      <c r="T28" s="7"/>
      <c r="U28" s="7"/>
      <c r="V28" s="7"/>
      <c r="W28" s="7"/>
    </row>
    <row r="29" spans="1:23" ht="15" customHeight="1" x14ac:dyDescent="0.25">
      <c r="S29" s="7"/>
      <c r="T29" s="7"/>
      <c r="U29" s="7"/>
      <c r="V29" s="7"/>
      <c r="W29" s="7"/>
    </row>
    <row r="43" spans="2:26" x14ac:dyDescent="0.25">
      <c r="O43"/>
      <c r="X43" s="7"/>
      <c r="Z43" s="7"/>
    </row>
    <row r="44" spans="2:26" ht="15" customHeight="1" x14ac:dyDescent="0.25"/>
    <row r="45" spans="2:26" ht="15.75" x14ac:dyDescent="0.25">
      <c r="C45" s="21"/>
      <c r="D45" s="21"/>
      <c r="E45" s="21"/>
      <c r="F45" s="21"/>
      <c r="G45" s="21"/>
      <c r="H45" s="21"/>
      <c r="I45" s="21"/>
      <c r="J45" s="21"/>
      <c r="K45" s="21"/>
      <c r="L45" s="21"/>
    </row>
    <row r="46" spans="2:26" ht="16.5" x14ac:dyDescent="0.35">
      <c r="C46" s="20"/>
      <c r="D46" s="20"/>
      <c r="E46" s="20"/>
      <c r="F46" s="20"/>
      <c r="G46" s="20"/>
      <c r="H46" s="20"/>
      <c r="I46" s="20"/>
      <c r="J46" s="20"/>
      <c r="K46" s="20"/>
      <c r="L46" s="20"/>
      <c r="M46" s="8"/>
      <c r="N46" s="8"/>
    </row>
    <row r="47" spans="2:26" ht="16.5" x14ac:dyDescent="0.35">
      <c r="B47" s="14"/>
      <c r="C47" s="14"/>
      <c r="D47" s="14"/>
      <c r="E47" s="14"/>
      <c r="F47" s="14"/>
      <c r="G47" s="14"/>
      <c r="H47" s="14"/>
      <c r="I47" s="14"/>
      <c r="J47" s="14"/>
      <c r="K47" s="14"/>
      <c r="L47" s="14"/>
      <c r="M47" s="8"/>
      <c r="N47" s="8"/>
    </row>
    <row r="48" spans="2:26" ht="16.5" x14ac:dyDescent="0.35">
      <c r="B48" s="14"/>
      <c r="E48" s="7"/>
      <c r="F48" s="7"/>
      <c r="G48" s="7"/>
      <c r="H48" s="7"/>
      <c r="I48" s="7"/>
      <c r="J48" s="7"/>
      <c r="L48" s="7"/>
      <c r="M48" s="8"/>
      <c r="N48" s="8"/>
    </row>
    <row r="49" spans="2:14" ht="16.5" x14ac:dyDescent="0.35">
      <c r="B49" s="14"/>
      <c r="C49" s="7"/>
      <c r="E49" s="7"/>
      <c r="F49" s="7"/>
      <c r="G49" s="7"/>
      <c r="H49" s="7"/>
      <c r="I49" s="7"/>
      <c r="J49" s="7"/>
      <c r="L49" s="7"/>
      <c r="M49" s="18"/>
      <c r="N49" s="19"/>
    </row>
    <row r="50" spans="2:14" ht="16.5" x14ac:dyDescent="0.35">
      <c r="B50" s="14"/>
      <c r="C50" s="7"/>
      <c r="E50" s="7"/>
      <c r="F50" s="7"/>
      <c r="G50" s="7"/>
      <c r="H50" s="7"/>
      <c r="I50" s="7"/>
      <c r="J50" s="7"/>
      <c r="L50" s="7"/>
      <c r="M50" s="18"/>
      <c r="N50" s="19"/>
    </row>
    <row r="51" spans="2:14" x14ac:dyDescent="0.25">
      <c r="B51" s="14"/>
      <c r="C51" s="7"/>
      <c r="E51" s="7"/>
      <c r="F51" s="7"/>
      <c r="G51" s="7"/>
      <c r="H51" s="7"/>
      <c r="I51" s="7"/>
      <c r="J51" s="7"/>
      <c r="L51" s="7"/>
    </row>
    <row r="52" spans="2:14" x14ac:dyDescent="0.25">
      <c r="B52" s="14"/>
      <c r="C52" s="7"/>
      <c r="E52" s="7"/>
      <c r="F52" s="7"/>
      <c r="G52" s="7"/>
      <c r="H52" s="7"/>
      <c r="I52" s="7"/>
      <c r="J52" s="7"/>
      <c r="L52" s="7"/>
    </row>
    <row r="53" spans="2:14" x14ac:dyDescent="0.25">
      <c r="B53" s="14"/>
      <c r="C53" s="7"/>
      <c r="E53" s="7"/>
      <c r="F53" s="7"/>
      <c r="G53" s="7"/>
      <c r="H53" s="7"/>
      <c r="I53" s="7"/>
      <c r="J53" s="7"/>
      <c r="L53" s="7"/>
    </row>
    <row r="54" spans="2:14" x14ac:dyDescent="0.25">
      <c r="B54" s="14"/>
      <c r="C54" s="7"/>
      <c r="E54" s="7"/>
      <c r="F54" s="7"/>
      <c r="G54" s="7"/>
      <c r="H54" s="7"/>
      <c r="I54" s="7"/>
      <c r="J54" s="7"/>
      <c r="L54" s="7"/>
    </row>
    <row r="55" spans="2:14" x14ac:dyDescent="0.25">
      <c r="B55" s="14"/>
      <c r="C55" s="7"/>
      <c r="E55" s="7"/>
      <c r="F55" s="7"/>
      <c r="G55" s="7"/>
      <c r="H55" s="7"/>
      <c r="I55" s="7"/>
      <c r="J55" s="7"/>
      <c r="L55" s="7"/>
    </row>
    <row r="56" spans="2:14" x14ac:dyDescent="0.25">
      <c r="B56" s="14"/>
      <c r="C56" s="7"/>
      <c r="E56" s="7"/>
      <c r="F56" s="7"/>
      <c r="G56" s="7"/>
      <c r="H56" s="7"/>
      <c r="I56" s="7"/>
      <c r="J56" s="7"/>
      <c r="L56" s="7"/>
    </row>
    <row r="57" spans="2:14" x14ac:dyDescent="0.25">
      <c r="B57" s="14"/>
      <c r="C57" s="7"/>
      <c r="E57" s="7"/>
      <c r="F57" s="7"/>
      <c r="G57" s="7"/>
      <c r="H57" s="7"/>
      <c r="I57" s="7"/>
      <c r="J57" s="7"/>
      <c r="L57" s="7"/>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8" sqref="T8"/>
    </sheetView>
  </sheetViews>
  <sheetFormatPr defaultRowHeight="15" x14ac:dyDescent="0.25"/>
  <sheetData>
    <row r="1" spans="1:20" x14ac:dyDescent="0.25">
      <c r="A1">
        <f t="array" ref="A1:Q27">[2]!'!set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7" t="s">
        <v>37</v>
      </c>
    </row>
    <row r="3" spans="1:20" x14ac:dyDescent="0.25">
      <c r="A3">
        <v>0</v>
      </c>
      <c r="B3">
        <v>0</v>
      </c>
      <c r="C3" t="str">
        <v>Severity</v>
      </c>
      <c r="D3">
        <v>0</v>
      </c>
      <c r="E3">
        <v>0</v>
      </c>
      <c r="F3">
        <v>0</v>
      </c>
      <c r="G3">
        <v>0</v>
      </c>
      <c r="H3">
        <v>0</v>
      </c>
      <c r="I3">
        <v>0</v>
      </c>
      <c r="J3">
        <v>0</v>
      </c>
      <c r="K3">
        <v>0</v>
      </c>
      <c r="L3">
        <v>0</v>
      </c>
      <c r="M3">
        <v>0</v>
      </c>
      <c r="N3">
        <v>0</v>
      </c>
      <c r="O3">
        <v>0</v>
      </c>
      <c r="P3">
        <v>0</v>
      </c>
      <c r="Q3">
        <v>0</v>
      </c>
      <c r="T3" s="49" t="s">
        <v>445</v>
      </c>
    </row>
    <row r="4" spans="1:20" x14ac:dyDescent="0.25">
      <c r="A4">
        <v>0</v>
      </c>
      <c r="B4" t="str">
        <v>Occ</v>
      </c>
      <c r="C4">
        <v>1</v>
      </c>
      <c r="D4">
        <v>2</v>
      </c>
      <c r="E4">
        <v>3</v>
      </c>
      <c r="F4">
        <v>4</v>
      </c>
      <c r="G4">
        <v>5</v>
      </c>
      <c r="H4">
        <v>6</v>
      </c>
      <c r="I4">
        <v>7</v>
      </c>
      <c r="J4">
        <v>8</v>
      </c>
      <c r="K4">
        <v>9</v>
      </c>
      <c r="L4">
        <v>10</v>
      </c>
      <c r="M4">
        <v>0</v>
      </c>
      <c r="N4">
        <v>0</v>
      </c>
      <c r="O4">
        <v>0</v>
      </c>
      <c r="P4">
        <v>0</v>
      </c>
      <c r="Q4">
        <v>0</v>
      </c>
      <c r="T4" s="49" t="s">
        <v>446</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41">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41">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41">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 t="str">
        <v>Repairable in-situ, at next maintenance interval 
[5k USD]</v>
      </c>
      <c r="Q20">
        <v>0</v>
      </c>
    </row>
    <row r="21" spans="1:17" ht="150" x14ac:dyDescent="0.25">
      <c r="A21">
        <v>0</v>
      </c>
      <c r="B21">
        <v>4</v>
      </c>
      <c r="C21">
        <v>0</v>
      </c>
      <c r="D21">
        <v>0</v>
      </c>
      <c r="E21">
        <v>3.1622776601683789E-4</v>
      </c>
      <c r="F21" s="41">
        <v>3160</v>
      </c>
      <c r="G21">
        <v>0</v>
      </c>
      <c r="H21">
        <v>4</v>
      </c>
      <c r="I21">
        <v>0</v>
      </c>
      <c r="J21" t="str">
        <v>Moderate injuries and/or health effects (e.g. broken bone)</v>
      </c>
      <c r="K21">
        <v>0</v>
      </c>
      <c r="L21">
        <v>0</v>
      </c>
      <c r="M21">
        <v>0</v>
      </c>
      <c r="N21" t="str">
        <v>Moderate system degradation (e.g. loss of MoMo)</v>
      </c>
      <c r="O21">
        <v>0</v>
      </c>
      <c r="P21" s="1" t="str">
        <v>Repairable in-situ, outside maintenance interval 
(1 day) [15k USD]</v>
      </c>
      <c r="Q21">
        <v>0</v>
      </c>
    </row>
    <row r="22" spans="1:17" ht="150" x14ac:dyDescent="0.25">
      <c r="A22">
        <v>0</v>
      </c>
      <c r="B22">
        <v>5</v>
      </c>
      <c r="C22" t="str">
        <v>Very unlikely to occur</v>
      </c>
      <c r="D22">
        <v>0</v>
      </c>
      <c r="E22">
        <v>1E-3</v>
      </c>
      <c r="F22" s="41">
        <v>1000</v>
      </c>
      <c r="G22">
        <v>0</v>
      </c>
      <c r="H22">
        <v>5</v>
      </c>
      <c r="I22" t="str">
        <v>Major</v>
      </c>
      <c r="J22">
        <v>0</v>
      </c>
      <c r="K22">
        <v>0</v>
      </c>
      <c r="L22" t="str">
        <v>Limited levels of pollution, manageable / moderate effect on environment</v>
      </c>
      <c r="M22">
        <v>0</v>
      </c>
      <c r="N22">
        <v>0</v>
      </c>
      <c r="O22">
        <v>0</v>
      </c>
      <c r="P22" s="1"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0200 PTO System</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2017-03-03T17:53:50Z</dcterms:modified>
</cp:coreProperties>
</file>