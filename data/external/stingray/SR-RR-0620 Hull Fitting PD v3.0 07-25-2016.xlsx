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571"/>
  <workbookPr updateLinks="never" codeName="ThisWorkbook" defaultThemeVersion="124226"/>
  <mc:AlternateContent xmlns:mc="http://schemas.openxmlformats.org/markup-compatibility/2006">
    <mc:Choice Requires="x15">
      <x15ac:absPath xmlns:x15ac="http://schemas.microsoft.com/office/spreadsheetml/2010/11/ac" url="E:\CPT\Commercialization\DOE\7347 T2\Reports\Deliverables\RMP\D2 Risk Management Plan and Risk Register\RR\Registers\"/>
    </mc:Choice>
  </mc:AlternateContent>
  <bookViews>
    <workbookView xWindow="0" yWindow="0" windowWidth="28800" windowHeight="12210"/>
  </bookViews>
  <sheets>
    <sheet name="Data Rights Notice" sheetId="9" r:id="rId1"/>
    <sheet name="0620 Hull Fitting" sheetId="2" r:id="rId2"/>
    <sheet name="version history" sheetId="3" r:id="rId3"/>
    <sheet name="set up" sheetId="6" r:id="rId4"/>
    <sheet name="linkedPage" sheetId="8" r:id="rId5"/>
  </sheets>
  <externalReferences>
    <externalReference r:id="rId6"/>
    <externalReference r:id="rId7"/>
  </externalReferences>
  <definedNames>
    <definedName name="_xlnm._FilterDatabase" localSheetId="1" hidden="1">'0620 Hull Fitting'!$B$5:$W$9</definedName>
    <definedName name="_xlnm.Print_Area" localSheetId="3">'set up'!$B$16:$S$43</definedName>
    <definedName name="RiskMatrixRef" localSheetId="0">'[2]set up'!$C$14</definedName>
    <definedName name="RiskMatrixRef">'set up'!$C$14</definedName>
    <definedName name="Z_B34B7122_C738_4555_8537_3B6E30D60D80_.wvu.FilterData" localSheetId="1" hidden="1">'0620 Hull Fitting'!$B$5:$W$9</definedName>
  </definedNames>
  <calcPr calcId="171027"/>
  <customWorkbookViews>
    <customWorkbookView name="pukha lenee-bluhm - Personal View" guid="{B34B7122-C738-4555-8537-3B6E30D60D80}" mergeInterval="0" personalView="1" maximized="1" windowWidth="1020" windowHeight="517" activeSheetId="3"/>
  </customWorkbookViews>
</workbook>
</file>

<file path=xl/calcChain.xml><?xml version="1.0" encoding="utf-8"?>
<calcChain xmlns="http://schemas.openxmlformats.org/spreadsheetml/2006/main">
  <c r="A1" i="8" l="1" a="1"/>
  <c r="D1" i="8" s="1"/>
  <c r="E1" i="8"/>
  <c r="K1" i="8"/>
  <c r="O1" i="8"/>
  <c r="P1" i="8"/>
  <c r="D2" i="8"/>
  <c r="H2" i="8"/>
  <c r="J2" i="8"/>
  <c r="C3" i="8"/>
  <c r="I3" i="8"/>
  <c r="M3" i="8"/>
  <c r="N3" i="8"/>
  <c r="B4" i="8"/>
  <c r="F4" i="8"/>
  <c r="P4" i="8"/>
  <c r="Q4" i="8"/>
  <c r="D5" i="8"/>
  <c r="G5" i="8"/>
  <c r="H5" i="8"/>
  <c r="L5" i="8"/>
  <c r="G6" i="8"/>
  <c r="K6" i="8"/>
  <c r="N6" i="8"/>
  <c r="O6" i="8"/>
  <c r="M7" i="8"/>
  <c r="N7" i="8"/>
  <c r="A8" i="8"/>
  <c r="D8" i="8"/>
  <c r="Q8" i="8"/>
  <c r="C9" i="8"/>
  <c r="D9" i="8"/>
  <c r="H9" i="8"/>
  <c r="C10" i="8"/>
  <c r="G10" i="8"/>
  <c r="J10" i="8"/>
  <c r="K10" i="8"/>
  <c r="I11" i="8"/>
  <c r="J11" i="8"/>
  <c r="M11" i="8"/>
  <c r="N11" i="8"/>
  <c r="D12" i="8"/>
  <c r="F12" i="8"/>
  <c r="H12" i="8"/>
  <c r="I12" i="8"/>
  <c r="L12" i="8"/>
  <c r="A13" i="8"/>
  <c r="C13" i="8"/>
  <c r="E13" i="8"/>
  <c r="G13" i="8"/>
  <c r="H13" i="8"/>
  <c r="P13" i="8"/>
  <c r="Q13" i="8"/>
  <c r="B14" i="8"/>
  <c r="D14" i="8"/>
  <c r="F14" i="8"/>
  <c r="L14" i="8"/>
  <c r="O14" i="8"/>
  <c r="P14" i="8"/>
  <c r="A15" i="8"/>
  <c r="C15" i="8"/>
  <c r="J15" i="8"/>
  <c r="K15" i="8"/>
  <c r="N15" i="8"/>
  <c r="O15" i="8"/>
  <c r="Q15" i="8"/>
  <c r="H16" i="8"/>
  <c r="I16" i="8"/>
  <c r="J16" i="8"/>
  <c r="M16" i="8"/>
  <c r="N16" i="8"/>
  <c r="D17" i="8"/>
  <c r="G17" i="8"/>
  <c r="H17" i="8"/>
  <c r="I17" i="8"/>
  <c r="L17" i="8"/>
  <c r="B18" i="8"/>
  <c r="C18" i="8"/>
  <c r="F18" i="8"/>
  <c r="G18" i="8"/>
  <c r="H18" i="8"/>
  <c r="P18" i="8"/>
  <c r="A19" i="8"/>
  <c r="B19" i="8"/>
  <c r="E19" i="8"/>
  <c r="F19" i="8"/>
  <c r="M19" i="8"/>
  <c r="O19" i="8"/>
  <c r="Q19" i="8"/>
  <c r="A20" i="8"/>
  <c r="D20" i="8"/>
  <c r="J20" i="8"/>
  <c r="L20" i="8"/>
  <c r="N20" i="8"/>
  <c r="P20" i="8"/>
  <c r="Q20" i="8"/>
  <c r="H21" i="8"/>
  <c r="I21" i="8"/>
  <c r="K21" i="8"/>
  <c r="M21" i="8"/>
  <c r="O21" i="8"/>
  <c r="D22" i="8"/>
  <c r="G22" i="8"/>
  <c r="H22" i="8"/>
  <c r="J22" i="8"/>
  <c r="L22" i="8"/>
  <c r="B23" i="8"/>
  <c r="C23" i="8"/>
  <c r="F23" i="8"/>
  <c r="G23" i="8"/>
  <c r="I23" i="8"/>
  <c r="Q23" i="8"/>
  <c r="A24" i="8"/>
  <c r="B24" i="8"/>
  <c r="E24" i="8"/>
  <c r="F24" i="8"/>
  <c r="M24" i="8"/>
  <c r="P24" i="8"/>
  <c r="Q24" i="8"/>
  <c r="A25" i="8"/>
  <c r="D25" i="8"/>
  <c r="K25" i="8"/>
  <c r="L25" i="8"/>
  <c r="O25" i="8"/>
  <c r="P25" i="8"/>
  <c r="Q25" i="8"/>
  <c r="H26" i="8"/>
  <c r="J26" i="8"/>
  <c r="K26" i="8"/>
  <c r="M26" i="8"/>
  <c r="N26" i="8"/>
  <c r="B27" i="8"/>
  <c r="D27" i="8"/>
  <c r="E27" i="8"/>
  <c r="F27" i="8"/>
  <c r="H27" i="8"/>
  <c r="M27" i="8"/>
  <c r="N27" i="8"/>
  <c r="P27" i="8"/>
  <c r="Q27" i="8"/>
  <c r="O4" i="6"/>
  <c r="O3" i="6"/>
  <c r="O2" i="6"/>
  <c r="F11" i="8" l="1"/>
  <c r="B10" i="8"/>
  <c r="M8" i="8"/>
  <c r="J7" i="8"/>
  <c r="F6" i="8"/>
  <c r="L27" i="8"/>
  <c r="A27" i="8"/>
  <c r="F26" i="8"/>
  <c r="I25" i="8"/>
  <c r="L24" i="8"/>
  <c r="N23" i="8"/>
  <c r="A23" i="8"/>
  <c r="C22" i="8"/>
  <c r="E21" i="8"/>
  <c r="I20" i="8"/>
  <c r="K19" i="8"/>
  <c r="N18" i="8"/>
  <c r="Q17" i="8"/>
  <c r="C17" i="8"/>
  <c r="E16" i="8"/>
  <c r="I15" i="8"/>
  <c r="K14" i="8"/>
  <c r="M13" i="8"/>
  <c r="Q12" i="8"/>
  <c r="B12" i="8"/>
  <c r="B11" i="8"/>
  <c r="P9" i="8"/>
  <c r="L8" i="8"/>
  <c r="F7" i="8"/>
  <c r="C6" i="8"/>
  <c r="J27" i="8"/>
  <c r="Q26" i="8"/>
  <c r="D26" i="8"/>
  <c r="G25" i="8"/>
  <c r="J24" i="8"/>
  <c r="M23" i="8"/>
  <c r="O22" i="8"/>
  <c r="B22" i="8"/>
  <c r="D21" i="8"/>
  <c r="F20" i="8"/>
  <c r="J19" i="8"/>
  <c r="L18" i="8"/>
  <c r="O17" i="8"/>
  <c r="A17" i="8"/>
  <c r="D16" i="8"/>
  <c r="F15" i="8"/>
  <c r="J14" i="8"/>
  <c r="L13" i="8"/>
  <c r="N12" i="8"/>
  <c r="A12" i="8"/>
  <c r="A11" i="8"/>
  <c r="L9" i="8"/>
  <c r="I8" i="8"/>
  <c r="E7" i="8"/>
  <c r="P5" i="8"/>
  <c r="M4" i="8"/>
  <c r="B3" i="8"/>
  <c r="I27" i="8"/>
  <c r="O26" i="8"/>
  <c r="C26" i="8"/>
  <c r="E25" i="8"/>
  <c r="H24" i="8"/>
  <c r="K23" i="8"/>
  <c r="N22" i="8"/>
  <c r="P21" i="8"/>
  <c r="C21" i="8"/>
  <c r="E20" i="8"/>
  <c r="G19" i="8"/>
  <c r="K18" i="8"/>
  <c r="M17" i="8"/>
  <c r="P16" i="8"/>
  <c r="B16" i="8"/>
  <c r="E15" i="8"/>
  <c r="G14" i="8"/>
  <c r="K13" i="8"/>
  <c r="M12" i="8"/>
  <c r="O11" i="8"/>
  <c r="O10" i="8"/>
  <c r="K9" i="8"/>
  <c r="E8" i="8"/>
  <c r="B7" i="8"/>
  <c r="O5" i="8"/>
  <c r="H4" i="8"/>
  <c r="O2" i="8"/>
  <c r="B1" i="8"/>
  <c r="F1" i="8"/>
  <c r="J1" i="8"/>
  <c r="N1" i="8"/>
  <c r="A2" i="8"/>
  <c r="E2" i="8"/>
  <c r="I2" i="8"/>
  <c r="M2" i="8"/>
  <c r="Q2" i="8"/>
  <c r="D3" i="8"/>
  <c r="H3" i="8"/>
  <c r="L3" i="8"/>
  <c r="P3" i="8"/>
  <c r="C4" i="8"/>
  <c r="G4" i="8"/>
  <c r="K4" i="8"/>
  <c r="A1" i="8"/>
  <c r="G1" i="8"/>
  <c r="L1" i="8"/>
  <c r="Q1" i="8"/>
  <c r="F2" i="8"/>
  <c r="K2" i="8"/>
  <c r="P2" i="8"/>
  <c r="E3" i="8"/>
  <c r="J3" i="8"/>
  <c r="O3" i="8"/>
  <c r="D4" i="8"/>
  <c r="I4" i="8"/>
  <c r="N4" i="8"/>
  <c r="A5" i="8"/>
  <c r="E5" i="8"/>
  <c r="I5" i="8"/>
  <c r="M5" i="8"/>
  <c r="Q5" i="8"/>
  <c r="D6" i="8"/>
  <c r="H6" i="8"/>
  <c r="L6" i="8"/>
  <c r="P6" i="8"/>
  <c r="C7" i="8"/>
  <c r="G7" i="8"/>
  <c r="K7" i="8"/>
  <c r="O7" i="8"/>
  <c r="B8" i="8"/>
  <c r="F8" i="8"/>
  <c r="J8" i="8"/>
  <c r="N8" i="8"/>
  <c r="A9" i="8"/>
  <c r="E9" i="8"/>
  <c r="I9" i="8"/>
  <c r="M9" i="8"/>
  <c r="Q9" i="8"/>
  <c r="D10" i="8"/>
  <c r="H10" i="8"/>
  <c r="L10" i="8"/>
  <c r="P10" i="8"/>
  <c r="C11" i="8"/>
  <c r="G11" i="8"/>
  <c r="C1" i="8"/>
  <c r="H1" i="8"/>
  <c r="M1" i="8"/>
  <c r="B2" i="8"/>
  <c r="G2" i="8"/>
  <c r="L2" i="8"/>
  <c r="A3" i="8"/>
  <c r="F3" i="8"/>
  <c r="K3" i="8"/>
  <c r="Q3" i="8"/>
  <c r="E4" i="8"/>
  <c r="J4" i="8"/>
  <c r="O4" i="8"/>
  <c r="B5" i="8"/>
  <c r="F5" i="8"/>
  <c r="J5" i="8"/>
  <c r="N5" i="8"/>
  <c r="A6" i="8"/>
  <c r="E6" i="8"/>
  <c r="I6" i="8"/>
  <c r="M6" i="8"/>
  <c r="Q6" i="8"/>
  <c r="D7" i="8"/>
  <c r="H7" i="8"/>
  <c r="L7" i="8"/>
  <c r="P7" i="8"/>
  <c r="C8" i="8"/>
  <c r="G8" i="8"/>
  <c r="K8" i="8"/>
  <c r="O8" i="8"/>
  <c r="B9" i="8"/>
  <c r="F9" i="8"/>
  <c r="J9" i="8"/>
  <c r="N9" i="8"/>
  <c r="A10" i="8"/>
  <c r="E10" i="8"/>
  <c r="I10" i="8"/>
  <c r="M10" i="8"/>
  <c r="Q10" i="8"/>
  <c r="D11" i="8"/>
  <c r="H11" i="8"/>
  <c r="L11" i="8"/>
  <c r="P11" i="8"/>
  <c r="C12" i="8"/>
  <c r="G12" i="8"/>
  <c r="K12" i="8"/>
  <c r="O12" i="8"/>
  <c r="B13" i="8"/>
  <c r="F13" i="8"/>
  <c r="J13" i="8"/>
  <c r="N13" i="8"/>
  <c r="A14" i="8"/>
  <c r="E14" i="8"/>
  <c r="I14" i="8"/>
  <c r="M14" i="8"/>
  <c r="Q14" i="8"/>
  <c r="D15" i="8"/>
  <c r="H15" i="8"/>
  <c r="L15" i="8"/>
  <c r="P15" i="8"/>
  <c r="C16" i="8"/>
  <c r="G16" i="8"/>
  <c r="K16" i="8"/>
  <c r="O16" i="8"/>
  <c r="B17" i="8"/>
  <c r="F17" i="8"/>
  <c r="J17" i="8"/>
  <c r="N17" i="8"/>
  <c r="A18" i="8"/>
  <c r="E18" i="8"/>
  <c r="I18" i="8"/>
  <c r="M18" i="8"/>
  <c r="Q18" i="8"/>
  <c r="D19" i="8"/>
  <c r="H19" i="8"/>
  <c r="L19" i="8"/>
  <c r="P19" i="8"/>
  <c r="C20" i="8"/>
  <c r="G20" i="8"/>
  <c r="K20" i="8"/>
  <c r="O20" i="8"/>
  <c r="B21" i="8"/>
  <c r="F21" i="8"/>
  <c r="J21" i="8"/>
  <c r="N21" i="8"/>
  <c r="A22" i="8"/>
  <c r="E22" i="8"/>
  <c r="I22" i="8"/>
  <c r="M22" i="8"/>
  <c r="Q22" i="8"/>
  <c r="D23" i="8"/>
  <c r="H23" i="8"/>
  <c r="L23" i="8"/>
  <c r="P23" i="8"/>
  <c r="C24" i="8"/>
  <c r="G24" i="8"/>
  <c r="K24" i="8"/>
  <c r="O24" i="8"/>
  <c r="B25" i="8"/>
  <c r="F25" i="8"/>
  <c r="J25" i="8"/>
  <c r="N25" i="8"/>
  <c r="A26" i="8"/>
  <c r="E26" i="8"/>
  <c r="I26" i="8"/>
  <c r="O27" i="8"/>
  <c r="K27" i="8"/>
  <c r="G27" i="8"/>
  <c r="C27" i="8"/>
  <c r="P26" i="8"/>
  <c r="L26" i="8"/>
  <c r="G26" i="8"/>
  <c r="B26" i="8"/>
  <c r="M25" i="8"/>
  <c r="H25" i="8"/>
  <c r="C25" i="8"/>
  <c r="N24" i="8"/>
  <c r="I24" i="8"/>
  <c r="D24" i="8"/>
  <c r="O23" i="8"/>
  <c r="J23" i="8"/>
  <c r="E23" i="8"/>
  <c r="P22" i="8"/>
  <c r="K22" i="8"/>
  <c r="F22" i="8"/>
  <c r="Q21" i="8"/>
  <c r="L21" i="8"/>
  <c r="G21" i="8"/>
  <c r="A21" i="8"/>
  <c r="M20" i="8"/>
  <c r="H20" i="8"/>
  <c r="B20" i="8"/>
  <c r="N19" i="8"/>
  <c r="I19" i="8"/>
  <c r="C19" i="8"/>
  <c r="O18" i="8"/>
  <c r="J18" i="8"/>
  <c r="D18" i="8"/>
  <c r="P17" i="8"/>
  <c r="K17" i="8"/>
  <c r="E17" i="8"/>
  <c r="Q16" i="8"/>
  <c r="L16" i="8"/>
  <c r="F16" i="8"/>
  <c r="A16" i="8"/>
  <c r="M15" i="8"/>
  <c r="G15" i="8"/>
  <c r="B15" i="8"/>
  <c r="N14" i="8"/>
  <c r="H14" i="8"/>
  <c r="C14" i="8"/>
  <c r="O13" i="8"/>
  <c r="I13" i="8"/>
  <c r="D13" i="8"/>
  <c r="P12" i="8"/>
  <c r="J12" i="8"/>
  <c r="E12" i="8"/>
  <c r="Q11" i="8"/>
  <c r="K11" i="8"/>
  <c r="E11" i="8"/>
  <c r="N10" i="8"/>
  <c r="F10" i="8"/>
  <c r="O9" i="8"/>
  <c r="G9" i="8"/>
  <c r="P8" i="8"/>
  <c r="H8" i="8"/>
  <c r="Q7" i="8"/>
  <c r="I7" i="8"/>
  <c r="A7" i="8"/>
  <c r="J6" i="8"/>
  <c r="B6" i="8"/>
  <c r="K5" i="8"/>
  <c r="C5" i="8"/>
  <c r="L4" i="8"/>
  <c r="A4" i="8"/>
  <c r="G3" i="8"/>
  <c r="N2" i="8"/>
  <c r="C2" i="8"/>
  <c r="I1" i="8"/>
  <c r="AU9" i="2" l="1"/>
  <c r="AT9" i="2"/>
  <c r="AS9" i="2"/>
  <c r="AR9" i="2"/>
  <c r="AU8" i="2"/>
  <c r="AT8" i="2"/>
  <c r="AS8" i="2"/>
  <c r="AR8" i="2"/>
  <c r="AU7" i="2"/>
  <c r="AT7" i="2"/>
  <c r="AS7" i="2"/>
  <c r="AR7" i="2"/>
  <c r="AI9" i="2"/>
  <c r="AH9" i="2"/>
  <c r="AG9" i="2"/>
  <c r="AF9" i="2"/>
  <c r="AI8" i="2"/>
  <c r="AH8" i="2"/>
  <c r="AG8" i="2"/>
  <c r="AF8" i="2"/>
  <c r="AI7" i="2"/>
  <c r="AH7" i="2"/>
  <c r="AG7" i="2"/>
  <c r="AF7" i="2"/>
  <c r="AU6" i="2"/>
  <c r="AT6" i="2"/>
  <c r="AS6" i="2"/>
  <c r="AR6" i="2"/>
  <c r="AG6" i="2"/>
  <c r="AI6" i="2"/>
  <c r="AH6" i="2"/>
  <c r="AF6" i="2"/>
  <c r="O11" i="6" l="1"/>
  <c r="F22" i="6"/>
  <c r="M12" i="6"/>
  <c r="D5" i="6"/>
  <c r="Q26" i="6"/>
  <c r="I18" i="6"/>
  <c r="F9" i="6"/>
  <c r="N24" i="6"/>
  <c r="L7" i="6"/>
  <c r="L21" i="6"/>
  <c r="I8" i="6"/>
  <c r="F4" i="6"/>
  <c r="I26" i="6"/>
  <c r="D24" i="6"/>
  <c r="P27" i="6"/>
  <c r="J23" i="6"/>
  <c r="M17" i="6"/>
  <c r="G14" i="6"/>
  <c r="H27" i="6"/>
  <c r="H25" i="6"/>
  <c r="P22" i="6"/>
  <c r="E20" i="6"/>
  <c r="I13" i="6"/>
  <c r="D10" i="6"/>
  <c r="O6" i="6"/>
  <c r="C4" i="6"/>
  <c r="I4" i="6"/>
  <c r="N4" i="6"/>
  <c r="B5" i="6"/>
  <c r="H5" i="6"/>
  <c r="M5" i="6"/>
  <c r="G6" i="6"/>
  <c r="L6" i="6"/>
  <c r="F7" i="6"/>
  <c r="K7" i="6"/>
  <c r="E8" i="6"/>
  <c r="J8" i="6"/>
  <c r="O8" i="6"/>
  <c r="D9" i="6"/>
  <c r="I9" i="6"/>
  <c r="N9" i="6"/>
  <c r="C10" i="6"/>
  <c r="H10" i="6"/>
  <c r="M10" i="6"/>
  <c r="B11" i="6"/>
  <c r="G11" i="6"/>
  <c r="L11" i="6"/>
  <c r="F12" i="6"/>
  <c r="K12" i="6"/>
  <c r="E13" i="6"/>
  <c r="J13" i="6"/>
  <c r="D14" i="6"/>
  <c r="I14" i="6"/>
  <c r="O14" i="6"/>
  <c r="B16" i="6"/>
  <c r="F17" i="6"/>
  <c r="L17" i="6"/>
  <c r="Q17" i="6"/>
  <c r="E18" i="6"/>
  <c r="K18" i="6"/>
  <c r="P18" i="6"/>
  <c r="D19" i="6"/>
  <c r="J19" i="6"/>
  <c r="O19" i="6"/>
  <c r="C20" i="6"/>
  <c r="I20" i="6"/>
  <c r="N20" i="6"/>
  <c r="B21" i="6"/>
  <c r="F21" i="6"/>
  <c r="J21" i="6"/>
  <c r="N21" i="6"/>
  <c r="E22" i="6"/>
  <c r="I22" i="6"/>
  <c r="M22" i="6"/>
  <c r="Q22" i="6"/>
  <c r="D23" i="6"/>
  <c r="H23" i="6"/>
  <c r="L23" i="6"/>
  <c r="P23" i="6"/>
  <c r="C24" i="6"/>
  <c r="K24" i="6"/>
  <c r="O24" i="6"/>
  <c r="B25" i="6"/>
  <c r="F25" i="6"/>
  <c r="J25" i="6"/>
  <c r="N25" i="6"/>
  <c r="C3" i="6"/>
  <c r="G4" i="6"/>
  <c r="E5" i="6"/>
  <c r="L5" i="6"/>
  <c r="C6" i="6"/>
  <c r="I6" i="6"/>
  <c r="G7" i="6"/>
  <c r="N7" i="6"/>
  <c r="C8" i="6"/>
  <c r="K8" i="6"/>
  <c r="H9" i="6"/>
  <c r="E10" i="6"/>
  <c r="L10" i="6"/>
  <c r="C11" i="6"/>
  <c r="J11" i="6"/>
  <c r="G12" i="6"/>
  <c r="N12" i="6"/>
  <c r="D13" i="6"/>
  <c r="L13" i="6"/>
  <c r="H14" i="6"/>
  <c r="H17" i="6"/>
  <c r="N17" i="6"/>
  <c r="D18" i="6"/>
  <c r="L18" i="6"/>
  <c r="B19" i="6"/>
  <c r="H19" i="6"/>
  <c r="P19" i="6"/>
  <c r="F20" i="6"/>
  <c r="M20" i="6"/>
  <c r="C21" i="6"/>
  <c r="H21" i="6"/>
  <c r="M21" i="6"/>
  <c r="B22" i="6"/>
  <c r="L22" i="6"/>
  <c r="F23" i="6"/>
  <c r="K23" i="6"/>
  <c r="Q23" i="6"/>
  <c r="E24" i="6"/>
  <c r="J24" i="6"/>
  <c r="P24" i="6"/>
  <c r="D25" i="6"/>
  <c r="I25" i="6"/>
  <c r="O25" i="6"/>
  <c r="B26" i="6"/>
  <c r="F26" i="6"/>
  <c r="J26" i="6"/>
  <c r="N26" i="6"/>
  <c r="E27" i="6"/>
  <c r="I27" i="6"/>
  <c r="M27" i="6"/>
  <c r="Q27" i="6"/>
  <c r="B4" i="6"/>
  <c r="J4" i="6"/>
  <c r="F5" i="6"/>
  <c r="N5" i="6"/>
  <c r="D6" i="6"/>
  <c r="K6" i="6"/>
  <c r="B7" i="6"/>
  <c r="H7" i="6"/>
  <c r="O7" i="6"/>
  <c r="F8" i="6"/>
  <c r="M8" i="6"/>
  <c r="B9" i="6"/>
  <c r="J9" i="6"/>
  <c r="G10" i="6"/>
  <c r="O10" i="6"/>
  <c r="D11" i="6"/>
  <c r="K11" i="6"/>
  <c r="B12" i="6"/>
  <c r="I12" i="6"/>
  <c r="O12" i="6"/>
  <c r="F13" i="6"/>
  <c r="M13" i="6"/>
  <c r="C14" i="6"/>
  <c r="K14" i="6"/>
  <c r="B17" i="6"/>
  <c r="I17" i="6"/>
  <c r="P17" i="6"/>
  <c r="M18" i="6"/>
  <c r="C19" i="6"/>
  <c r="K19" i="6"/>
  <c r="O20" i="6"/>
  <c r="D21" i="6"/>
  <c r="I21" i="6"/>
  <c r="O21" i="6"/>
  <c r="C22" i="6"/>
  <c r="H22" i="6"/>
  <c r="N22" i="6"/>
  <c r="B23" i="6"/>
  <c r="M23" i="6"/>
  <c r="F24" i="6"/>
  <c r="L24" i="6"/>
  <c r="Q24" i="6"/>
  <c r="E25" i="6"/>
  <c r="K25" i="6"/>
  <c r="P25" i="6"/>
  <c r="C26" i="6"/>
  <c r="K26" i="6"/>
  <c r="O26" i="6"/>
  <c r="B27" i="6"/>
  <c r="F27" i="6"/>
  <c r="J27" i="6"/>
  <c r="N27" i="6"/>
  <c r="O27" i="6"/>
  <c r="P26" i="6"/>
  <c r="H26" i="6"/>
  <c r="Q25" i="6"/>
  <c r="M24" i="6"/>
  <c r="B24" i="6"/>
  <c r="I23" i="6"/>
  <c r="O22" i="6"/>
  <c r="D22" i="6"/>
  <c r="K21" i="6"/>
  <c r="Q20" i="6"/>
  <c r="B20" i="6"/>
  <c r="F19" i="6"/>
  <c r="H18" i="6"/>
  <c r="J17" i="6"/>
  <c r="E14" i="6"/>
  <c r="H13" i="6"/>
  <c r="J12" i="6"/>
  <c r="N11" i="6"/>
  <c r="E9" i="6"/>
  <c r="G8" i="6"/>
  <c r="J7" i="6"/>
  <c r="M6" i="6"/>
  <c r="E4" i="6"/>
  <c r="L27" i="6"/>
  <c r="D27" i="6"/>
  <c r="M26" i="6"/>
  <c r="E26" i="6"/>
  <c r="M25" i="6"/>
  <c r="C25" i="6"/>
  <c r="I24" i="6"/>
  <c r="O23" i="6"/>
  <c r="E23" i="6"/>
  <c r="K22" i="6"/>
  <c r="Q21" i="6"/>
  <c r="K20" i="6"/>
  <c r="N19" i="6"/>
  <c r="Q18" i="6"/>
  <c r="C18" i="6"/>
  <c r="E17" i="6"/>
  <c r="M14" i="6"/>
  <c r="B13" i="6"/>
  <c r="E12" i="6"/>
  <c r="H11" i="6"/>
  <c r="K10" i="6"/>
  <c r="M9" i="6"/>
  <c r="B8" i="6"/>
  <c r="D7" i="6"/>
  <c r="H6" i="6"/>
  <c r="J5" i="6"/>
  <c r="M4" i="6"/>
  <c r="K27" i="6"/>
  <c r="C27" i="6"/>
  <c r="L26" i="6"/>
  <c r="D26" i="6"/>
  <c r="L25" i="6"/>
  <c r="H24" i="6"/>
  <c r="N23" i="6"/>
  <c r="C23" i="6"/>
  <c r="J22" i="6"/>
  <c r="P21" i="6"/>
  <c r="E21" i="6"/>
  <c r="J20" i="6"/>
  <c r="L19" i="6"/>
  <c r="O18" i="6"/>
  <c r="D17" i="6"/>
  <c r="L14" i="6"/>
  <c r="N13" i="6"/>
  <c r="C12" i="6"/>
  <c r="F11" i="6"/>
  <c r="I10" i="6"/>
  <c r="L9" i="6"/>
  <c r="N8" i="6"/>
  <c r="C7" i="6"/>
  <c r="E6" i="6"/>
  <c r="I5" i="6"/>
  <c r="K4" i="6"/>
  <c r="C2" i="6"/>
  <c r="P20" i="6"/>
  <c r="L20" i="6"/>
  <c r="H20" i="6"/>
  <c r="D20" i="6"/>
  <c r="Q19" i="6"/>
  <c r="M19" i="6"/>
  <c r="I19" i="6"/>
  <c r="E19" i="6"/>
  <c r="N18" i="6"/>
  <c r="J18" i="6"/>
  <c r="F18" i="6"/>
  <c r="B18" i="6"/>
  <c r="O17" i="6"/>
  <c r="K17" i="6"/>
  <c r="C17" i="6"/>
  <c r="H16" i="6"/>
  <c r="N14" i="6"/>
  <c r="J14" i="6"/>
  <c r="F14" i="6"/>
  <c r="B14" i="6"/>
  <c r="O13" i="6"/>
  <c r="K13" i="6"/>
  <c r="G13" i="6"/>
  <c r="C13" i="6"/>
  <c r="L12" i="6"/>
  <c r="H12" i="6"/>
  <c r="D12" i="6"/>
  <c r="M11" i="6"/>
  <c r="I11" i="6"/>
  <c r="E11" i="6"/>
  <c r="N10" i="6"/>
  <c r="J10" i="6"/>
  <c r="F10" i="6"/>
  <c r="B10" i="6"/>
  <c r="O9" i="6"/>
  <c r="K9" i="6"/>
  <c r="G9" i="6"/>
  <c r="C9" i="6"/>
  <c r="L8" i="6"/>
  <c r="H8" i="6"/>
  <c r="D8" i="6"/>
  <c r="M7" i="6"/>
  <c r="I7" i="6"/>
  <c r="E7" i="6"/>
  <c r="N6" i="6"/>
  <c r="J6" i="6"/>
  <c r="F6" i="6"/>
  <c r="B6" i="6"/>
  <c r="O5" i="6"/>
  <c r="K5" i="6"/>
  <c r="G5" i="6"/>
  <c r="C5" i="6"/>
  <c r="L4" i="6"/>
  <c r="H4" i="6"/>
  <c r="D4" i="6"/>
  <c r="W6" i="2" l="1"/>
  <c r="V6" i="2"/>
  <c r="U6" i="2"/>
  <c r="T6" i="2"/>
  <c r="W9" i="2"/>
  <c r="V9" i="2"/>
  <c r="U9" i="2"/>
  <c r="T9" i="2"/>
  <c r="W8" i="2"/>
  <c r="V8" i="2"/>
  <c r="U8" i="2"/>
  <c r="T8" i="2"/>
  <c r="W7" i="2"/>
  <c r="V7" i="2"/>
  <c r="U7" i="2"/>
  <c r="T7" i="2"/>
</calcChain>
</file>

<file path=xl/sharedStrings.xml><?xml version="1.0" encoding="utf-8"?>
<sst xmlns="http://schemas.openxmlformats.org/spreadsheetml/2006/main" count="93" uniqueCount="65">
  <si>
    <t>Date</t>
  </si>
  <si>
    <t>Function</t>
  </si>
  <si>
    <t>Item
Description</t>
  </si>
  <si>
    <t>Failure
Mode</t>
  </si>
  <si>
    <t>Recommended
Actions</t>
  </si>
  <si>
    <t>Failure 
Effects
(Local, WEC, System)</t>
  </si>
  <si>
    <t>Notes</t>
  </si>
  <si>
    <t>Risk Reduction 
Design</t>
  </si>
  <si>
    <t xml:space="preserve">Initial Mode
 of
Operation
</t>
  </si>
  <si>
    <t>Post Failure
Repair
Strategy 
(automated, manual)</t>
  </si>
  <si>
    <t>Status
(open or closed)</t>
  </si>
  <si>
    <t>Failure
Cause(s)</t>
  </si>
  <si>
    <t>Title</t>
  </si>
  <si>
    <t>Doc No</t>
  </si>
  <si>
    <t>Version</t>
  </si>
  <si>
    <t>Authored</t>
  </si>
  <si>
    <t>Reviewed</t>
  </si>
  <si>
    <t>Summary</t>
  </si>
  <si>
    <r>
      <t xml:space="preserve">The following contains </t>
    </r>
    <r>
      <rPr>
        <b/>
        <sz val="9"/>
        <color rgb="FF000000"/>
        <rFont val="Times New Roman"/>
        <family val="1"/>
      </rPr>
      <t>PROTECTED DATA</t>
    </r>
    <r>
      <rPr>
        <sz val="9"/>
        <color rgb="FF000000"/>
        <rFont val="Times New Roman"/>
        <family val="1"/>
      </rPr>
      <t xml:space="preserve"> of Columbia Power Technologies, Inc. not for distribution. </t>
    </r>
  </si>
  <si>
    <t>Approved Dist.</t>
  </si>
  <si>
    <t>Approved Final</t>
  </si>
  <si>
    <t>Novel Aspects</t>
  </si>
  <si>
    <t>Tech. Class</t>
  </si>
  <si>
    <t>Preventative
Detection</t>
  </si>
  <si>
    <t>Post Failure
Detection</t>
  </si>
  <si>
    <t>Responsible Party</t>
  </si>
  <si>
    <t>Updated Risk Ranking</t>
  </si>
  <si>
    <t>Risk Ranking</t>
  </si>
  <si>
    <t>Operation</t>
  </si>
  <si>
    <t>Assets</t>
  </si>
  <si>
    <t>Occurrence</t>
  </si>
  <si>
    <t>Environment</t>
  </si>
  <si>
    <t xml:space="preserve">Severity Class </t>
  </si>
  <si>
    <t>Risk Class</t>
  </si>
  <si>
    <t>Risk
ID</t>
  </si>
  <si>
    <t>Human Safety</t>
  </si>
  <si>
    <t>2nd Recommended
Actions</t>
  </si>
  <si>
    <t>Responsible Party (2nd)</t>
  </si>
  <si>
    <t>Actions
Taken (2nd)</t>
  </si>
  <si>
    <t>Actions
Taken</t>
  </si>
  <si>
    <t>2nd Updated Risk Ranking</t>
  </si>
  <si>
    <t>Note:</t>
  </si>
  <si>
    <t>1.0</t>
  </si>
  <si>
    <t>0620-1</t>
  </si>
  <si>
    <t>Provide attachment points and other functionality to hull structure</t>
  </si>
  <si>
    <t>Hull Fitting</t>
  </si>
  <si>
    <t>Loading (mooring attachments)</t>
  </si>
  <si>
    <t>Normal</t>
  </si>
  <si>
    <t>none</t>
  </si>
  <si>
    <t>1) Yaw direction detection
2) Mooring load cell
3) Visual detection</t>
  </si>
  <si>
    <t>1) Load derivation methodology to take into account the uncertainties in the loading due to site characterisation measurements and hydrodynamic modelling. 
2) CPwr to demonstrate the derivation of loading is conservative for the site, including providing evidence from site assessment and validation of the overall loading upon deployment.
3) Design to demonstrate that the mooring lines are to break first in the event of excessive loading in order to prevent any damage to the connection points on the WEC hull area such that dry dock repair is not necessary in the event of line failure</t>
  </si>
  <si>
    <t>Extreme load induced damage (Overload)</t>
  </si>
  <si>
    <t>Mooring attachment failure</t>
  </si>
  <si>
    <t xml:space="preserve">1) Change in buoy orientation
2) Reduction in power production
3) Increased load on other line
4) Damage to hull
</t>
  </si>
  <si>
    <t>1) Redundant system
2) Mooring lines are designed to fail before the mooring attachment hardware</t>
  </si>
  <si>
    <t>1) Recover WEC, dry doc repair of hull area</t>
  </si>
  <si>
    <t>0620 Hull Fitting FMECA Table</t>
  </si>
  <si>
    <t>StingRAY Hull Fitting FMECA</t>
  </si>
  <si>
    <t>SR-0620-RR</t>
  </si>
  <si>
    <t>E Hammagren</t>
  </si>
  <si>
    <t>Release to RC for review</t>
  </si>
  <si>
    <t>3.0</t>
  </si>
  <si>
    <t>Updated risk matrix, updated for WEC v3.3 technology</t>
  </si>
  <si>
    <t>- 'set up' and 'linkedPage' are both linked to workbook 'FMECA Master v3.xlsx'</t>
  </si>
  <si>
    <t>- changes to the tables, risk scores, etc must be made in 'FMECA Master v3.xlsx'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</si>
</sst>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0.0000"/>
    <numFmt numFmtId="165" formatCode="0.00000"/>
    <numFmt numFmtId="166" formatCode="0.000"/>
    <numFmt numFmtId="167" formatCode="0.000000"/>
    <numFmt numFmtId="168" formatCode="0.0000000"/>
  </numFmts>
  <fonts count="41" x14ac:knownFonts="1">
    <font>
      <sz val="11"/>
      <color theme="1"/>
      <name val="Calibri"/>
      <family val="2"/>
      <scheme val="minor"/>
    </font>
    <font>
      <b/>
      <sz val="11"/>
      <color theme="1"/>
      <name val="Calibri"/>
      <family val="2"/>
      <scheme val="minor"/>
    </font>
    <font>
      <sz val="9"/>
      <color rgb="FF000000"/>
      <name val="Times New Roman"/>
      <family val="1"/>
    </font>
    <font>
      <b/>
      <sz val="9"/>
      <color rgb="FF000000"/>
      <name val="Times New Roman"/>
      <family val="1"/>
    </font>
    <font>
      <sz val="11"/>
      <color theme="1"/>
      <name val="Calibri"/>
      <family val="2"/>
      <scheme val="minor"/>
    </font>
    <font>
      <b/>
      <sz val="12"/>
      <color theme="1"/>
      <name val="Calibri"/>
      <family val="2"/>
      <scheme val="minor"/>
    </font>
    <font>
      <sz val="9"/>
      <name val="Trebuchet MS"/>
      <family val="2"/>
    </font>
    <font>
      <b/>
      <sz val="10"/>
      <color theme="1"/>
      <name val="Calibri"/>
      <family val="2"/>
      <scheme val="minor"/>
    </font>
    <font>
      <sz val="10"/>
      <color theme="1"/>
      <name val="Calibri"/>
      <family val="2"/>
      <scheme val="minor"/>
    </font>
    <font>
      <b/>
      <sz val="14"/>
      <color theme="1"/>
      <name val="Calibri"/>
      <family val="2"/>
      <scheme val="minor"/>
    </font>
    <font>
      <sz val="14"/>
      <color theme="1"/>
      <name val="Calibri"/>
      <family val="2"/>
      <scheme val="minor"/>
    </font>
    <font>
      <sz val="10"/>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u/>
      <sz val="7.5"/>
      <color indexed="12"/>
      <name val="Arial"/>
      <family val="2"/>
    </font>
    <font>
      <sz val="11"/>
      <name val="Calibri"/>
      <family val="2"/>
      <scheme val="minor"/>
    </font>
    <font>
      <b/>
      <sz val="18"/>
      <name val="Calibri"/>
      <family val="2"/>
      <scheme val="minor"/>
    </font>
    <font>
      <b/>
      <sz val="16"/>
      <name val="Times New Roman"/>
      <family val="1"/>
    </font>
    <font>
      <sz val="16"/>
      <name val="Calibri"/>
      <family val="2"/>
      <scheme val="minor"/>
    </font>
    <font>
      <b/>
      <sz val="11"/>
      <name val="Times New Roman"/>
      <family val="1"/>
    </font>
    <font>
      <b/>
      <sz val="11"/>
      <name val="Calibri"/>
      <family val="2"/>
      <scheme val="minor"/>
    </font>
    <font>
      <sz val="11"/>
      <name val="Times New Roman"/>
      <family val="1"/>
    </font>
    <font>
      <b/>
      <sz val="12"/>
      <name val="Times New Roman"/>
      <family val="1"/>
    </font>
    <font>
      <i/>
      <sz val="11"/>
      <name val="Times New Roman"/>
      <family val="1"/>
    </font>
    <font>
      <sz val="9"/>
      <name val="Times New Roman"/>
      <family val="1"/>
    </font>
  </fonts>
  <fills count="29">
    <fill>
      <patternFill patternType="none"/>
    </fill>
    <fill>
      <patternFill patternType="gray125"/>
    </fill>
    <fill>
      <patternFill patternType="solid">
        <fgColor rgb="FFFFFF99"/>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9"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46">
    <border>
      <left/>
      <right/>
      <top/>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30370">
    <xf numFmtId="0" fontId="0" fillId="0" borderId="0"/>
    <xf numFmtId="43" fontId="4" fillId="0" borderId="0" applyFont="0" applyFill="0" applyBorder="0" applyAlignment="0" applyProtection="0"/>
    <xf numFmtId="0" fontId="11" fillId="0" borderId="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6"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6" borderId="0" applyNumberFormat="0" applyBorder="0" applyAlignment="0" applyProtection="0"/>
    <xf numFmtId="0" fontId="14" fillId="17"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17"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4" borderId="0" applyNumberFormat="0" applyBorder="0" applyAlignment="0" applyProtection="0"/>
    <xf numFmtId="0" fontId="15" fillId="8" borderId="0" applyNumberFormat="0" applyBorder="0" applyAlignment="0" applyProtection="0"/>
    <xf numFmtId="0" fontId="20" fillId="0" borderId="37" applyNumberFormat="0" applyFill="0" applyAlignment="0" applyProtection="0"/>
    <xf numFmtId="0" fontId="21" fillId="0" borderId="38" applyNumberFormat="0" applyFill="0" applyAlignment="0" applyProtection="0"/>
    <xf numFmtId="0" fontId="22" fillId="0" borderId="39" applyNumberFormat="0" applyFill="0" applyAlignment="0" applyProtection="0"/>
    <xf numFmtId="0" fontId="22" fillId="0" borderId="0" applyNumberFormat="0" applyFill="0" applyBorder="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4" fillId="0" borderId="41" applyNumberFormat="0" applyFill="0" applyAlignment="0" applyProtection="0"/>
    <xf numFmtId="0" fontId="17" fillId="26" borderId="42" applyNumberFormat="0" applyAlignment="0" applyProtection="0"/>
    <xf numFmtId="0" fontId="14" fillId="21"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4" borderId="0" applyNumberFormat="0" applyBorder="0" applyAlignment="0" applyProtection="0"/>
    <xf numFmtId="0" fontId="19" fillId="9" borderId="0" applyNumberFormat="0" applyBorder="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8" fillId="0" borderId="0" applyNumberFormat="0" applyFill="0" applyBorder="0" applyAlignment="0" applyProtection="0"/>
    <xf numFmtId="0" fontId="19" fillId="9" borderId="0" applyNumberFormat="0" applyBorder="0" applyAlignment="0" applyProtection="0"/>
    <xf numFmtId="0" fontId="20" fillId="0" borderId="37" applyNumberFormat="0" applyFill="0" applyAlignment="0" applyProtection="0"/>
    <xf numFmtId="0" fontId="21" fillId="0" borderId="38" applyNumberFormat="0" applyFill="0" applyAlignment="0" applyProtection="0"/>
    <xf numFmtId="0" fontId="22" fillId="0" borderId="39" applyNumberFormat="0" applyFill="0" applyAlignment="0" applyProtection="0"/>
    <xf numFmtId="0" fontId="22" fillId="0" borderId="0" applyNumberFormat="0" applyFill="0" applyBorder="0" applyAlignment="0" applyProtection="0"/>
    <xf numFmtId="0" fontId="30" fillId="0" borderId="0" applyNumberFormat="0" applyFill="0" applyBorder="0" applyAlignment="0" applyProtection="0">
      <alignment vertical="top"/>
      <protection locked="0"/>
    </xf>
    <xf numFmtId="0" fontId="15" fillId="8" borderId="0" applyNumberFormat="0" applyBorder="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4" fillId="0" borderId="41" applyNumberFormat="0" applyFill="0" applyAlignment="0" applyProtection="0"/>
    <xf numFmtId="0" fontId="25" fillId="27" borderId="0" applyNumberFormat="0" applyBorder="0" applyAlignment="0" applyProtection="0"/>
    <xf numFmtId="0" fontId="25" fillId="27" borderId="0" applyNumberFormat="0" applyBorder="0" applyAlignment="0" applyProtection="0"/>
    <xf numFmtId="0" fontId="12" fillId="0" borderId="0"/>
    <xf numFmtId="0" fontId="12" fillId="0" borderId="0"/>
    <xf numFmtId="0" fontId="12" fillId="0" borderId="0"/>
    <xf numFmtId="0" fontId="1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9" fillId="0" borderId="0" applyNumberFormat="0" applyFill="0" applyBorder="0" applyAlignment="0" applyProtection="0"/>
    <xf numFmtId="0" fontId="18"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17" fillId="26" borderId="42" applyNumberFormat="0" applyAlignment="0" applyProtection="0"/>
    <xf numFmtId="0" fontId="29" fillId="0" borderId="0" applyNumberFormat="0" applyFill="0" applyBorder="0" applyAlignment="0" applyProtection="0"/>
    <xf numFmtId="0" fontId="16" fillId="25" borderId="40" applyNumberFormat="0" applyAlignment="0" applyProtection="0"/>
    <xf numFmtId="0" fontId="4" fillId="0" borderId="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4" fillId="0" borderId="0"/>
    <xf numFmtId="0" fontId="26" fillId="25" borderId="44" applyNumberFormat="0" applyAlignment="0" applyProtection="0"/>
    <xf numFmtId="0" fontId="4" fillId="0" borderId="0"/>
    <xf numFmtId="0" fontId="4" fillId="0" borderId="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25" borderId="40" applyNumberFormat="0" applyAlignment="0" applyProtection="0"/>
    <xf numFmtId="0" fontId="4" fillId="0" borderId="0"/>
    <xf numFmtId="0" fontId="4" fillId="0" borderId="0"/>
    <xf numFmtId="0" fontId="4" fillId="0" borderId="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4" fillId="0" borderId="0"/>
    <xf numFmtId="0" fontId="16" fillId="25" borderId="40" applyNumberFormat="0" applyAlignment="0" applyProtection="0"/>
    <xf numFmtId="0" fontId="4" fillId="0" borderId="0"/>
    <xf numFmtId="0" fontId="4" fillId="0" borderId="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4" fillId="0" borderId="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4" fillId="0" borderId="0"/>
    <xf numFmtId="0" fontId="4" fillId="0" borderId="0"/>
    <xf numFmtId="0" fontId="4" fillId="0" borderId="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4" fillId="0" borderId="0"/>
    <xf numFmtId="0" fontId="12" fillId="28" borderId="43" applyNumberFormat="0" applyFont="0" applyAlignment="0" applyProtection="0"/>
    <xf numFmtId="0" fontId="4" fillId="0" borderId="0"/>
    <xf numFmtId="0" fontId="4" fillId="0" borderId="0"/>
    <xf numFmtId="0" fontId="12" fillId="28" borderId="43" applyNumberFormat="0" applyFont="0" applyAlignment="0" applyProtection="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6" fillId="25" borderId="44"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23" fillId="12" borderId="40"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6" borderId="0" applyNumberFormat="0" applyBorder="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3"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6" borderId="0" applyNumberFormat="0" applyBorder="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6" fillId="25" borderId="40" applyNumberFormat="0" applyAlignment="0" applyProtection="0"/>
    <xf numFmtId="0" fontId="16" fillId="25" borderId="40" applyNumberFormat="0" applyAlignment="0" applyProtection="0"/>
    <xf numFmtId="0" fontId="28" fillId="0" borderId="45" applyNumberFormat="0" applyFill="0" applyAlignment="0" applyProtection="0"/>
    <xf numFmtId="0" fontId="23" fillId="12" borderId="40" applyNumberForma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6" fillId="25"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28" fillId="0" borderId="45" applyNumberFormat="0" applyFill="0" applyAlignment="0" applyProtection="0"/>
    <xf numFmtId="0" fontId="16" fillId="25"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8" fillId="0" borderId="45" applyNumberFormat="0" applyFill="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28" fillId="0" borderId="45" applyNumberFormat="0" applyFill="0" applyAlignment="0" applyProtection="0"/>
    <xf numFmtId="0" fontId="26" fillId="25" borderId="44" applyNumberForma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8" fillId="0" borderId="45" applyNumberFormat="0" applyFill="0" applyAlignment="0" applyProtection="0"/>
    <xf numFmtId="0" fontId="28" fillId="0" borderId="45" applyNumberFormat="0" applyFill="0" applyAlignment="0" applyProtection="0"/>
    <xf numFmtId="0" fontId="26" fillId="25" borderId="44"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8" fillId="0" borderId="45" applyNumberFormat="0" applyFill="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6" fillId="25" borderId="40" applyNumberFormat="0" applyAlignment="0" applyProtection="0"/>
    <xf numFmtId="0" fontId="26" fillId="25" borderId="44" applyNumberFormat="0" applyAlignment="0" applyProtection="0"/>
    <xf numFmtId="0" fontId="26" fillId="25" borderId="44" applyNumberFormat="0" applyAlignment="0" applyProtection="0"/>
    <xf numFmtId="0" fontId="12" fillId="28" borderId="43" applyNumberFormat="0" applyFont="0" applyAlignment="0" applyProtection="0"/>
    <xf numFmtId="0" fontId="16" fillId="25" borderId="40" applyNumberFormat="0" applyAlignment="0" applyProtection="0"/>
    <xf numFmtId="0" fontId="23" fillId="12" borderId="40" applyNumberFormat="0" applyAlignment="0" applyProtection="0"/>
    <xf numFmtId="0" fontId="23" fillId="12" borderId="40" applyNumberFormat="0" applyAlignment="0" applyProtection="0"/>
    <xf numFmtId="0" fontId="16" fillId="25" borderId="40" applyNumberFormat="0" applyAlignment="0" applyProtection="0"/>
    <xf numFmtId="0" fontId="23" fillId="12" borderId="40" applyNumberFormat="0" applyAlignment="0" applyProtection="0"/>
    <xf numFmtId="0" fontId="12" fillId="28" borderId="43" applyNumberFormat="0" applyFont="0" applyAlignment="0" applyProtection="0"/>
    <xf numFmtId="0" fontId="26" fillId="25" borderId="44" applyNumberFormat="0" applyAlignment="0" applyProtection="0"/>
    <xf numFmtId="0" fontId="12" fillId="28" borderId="43" applyNumberFormat="0" applyFont="0" applyAlignment="0" applyProtection="0"/>
    <xf numFmtId="0" fontId="23" fillId="12"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6" fillId="25" borderId="40" applyNumberForma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12" fillId="28" borderId="43" applyNumberFormat="0" applyFont="0" applyAlignment="0" applyProtection="0"/>
    <xf numFmtId="0" fontId="23" fillId="12" borderId="40" applyNumberFormat="0" applyAlignment="0" applyProtection="0"/>
    <xf numFmtId="0" fontId="4" fillId="0" borderId="0"/>
    <xf numFmtId="0" fontId="4" fillId="0" borderId="0"/>
  </cellStyleXfs>
  <cellXfs count="165">
    <xf numFmtId="0" fontId="0" fillId="0" borderId="0" xfId="0"/>
    <xf numFmtId="0" fontId="0" fillId="0" borderId="0" xfId="0" applyAlignment="1">
      <alignment wrapText="1"/>
    </xf>
    <xf numFmtId="0" fontId="0" fillId="0" borderId="0" xfId="0" applyAlignment="1">
      <alignment horizontal="left"/>
    </xf>
    <xf numFmtId="0" fontId="1" fillId="0" borderId="8" xfId="0" applyFont="1" applyBorder="1" applyAlignment="1">
      <alignment horizontal="left"/>
    </xf>
    <xf numFmtId="14" fontId="0" fillId="0" borderId="8" xfId="0" applyNumberFormat="1" applyBorder="1" applyAlignment="1">
      <alignment horizontal="left"/>
    </xf>
    <xf numFmtId="0" fontId="0" fillId="0" borderId="8" xfId="0" applyBorder="1"/>
    <xf numFmtId="0" fontId="2" fillId="0" borderId="0" xfId="0" applyFont="1"/>
    <xf numFmtId="0" fontId="0" fillId="0" borderId="0" xfId="0"/>
    <xf numFmtId="0" fontId="6" fillId="0" borderId="0" xfId="0" applyFont="1" applyBorder="1" applyAlignment="1">
      <alignment wrapText="1"/>
    </xf>
    <xf numFmtId="0" fontId="8" fillId="0" borderId="0" xfId="0" applyFont="1"/>
    <xf numFmtId="0" fontId="8" fillId="0" borderId="16" xfId="0" applyFont="1" applyBorder="1" applyAlignment="1">
      <alignment horizontal="center" vertical="center"/>
    </xf>
    <xf numFmtId="0" fontId="8" fillId="0" borderId="17" xfId="0" applyFont="1" applyBorder="1" applyAlignment="1">
      <alignment horizontal="center" vertical="center"/>
    </xf>
    <xf numFmtId="0" fontId="8" fillId="0" borderId="20" xfId="0" applyFont="1" applyBorder="1" applyAlignment="1">
      <alignment horizontal="center" vertical="center"/>
    </xf>
    <xf numFmtId="0" fontId="0" fillId="2" borderId="0" xfId="0" applyFill="1"/>
    <xf numFmtId="0" fontId="1" fillId="0" borderId="0" xfId="0" applyFont="1" applyAlignment="1">
      <alignment horizontal="center"/>
    </xf>
    <xf numFmtId="0" fontId="0" fillId="3" borderId="0" xfId="0" applyFill="1"/>
    <xf numFmtId="0" fontId="0" fillId="4" borderId="0" xfId="0" applyFill="1"/>
    <xf numFmtId="0" fontId="1" fillId="0" borderId="0" xfId="0" applyFont="1" applyFill="1"/>
    <xf numFmtId="0" fontId="6" fillId="0" borderId="0" xfId="0" applyFont="1" applyBorder="1" applyAlignment="1">
      <alignment horizontal="right" wrapText="1"/>
    </xf>
    <xf numFmtId="0" fontId="6" fillId="0" borderId="0" xfId="0" applyFont="1" applyBorder="1" applyAlignment="1">
      <alignment horizontal="left" wrapText="1"/>
    </xf>
    <xf numFmtId="0" fontId="1" fillId="0" borderId="0" xfId="0" applyFont="1" applyAlignment="1">
      <alignment horizontal="center"/>
    </xf>
    <xf numFmtId="0" fontId="5" fillId="0" borderId="0" xfId="0" applyFont="1" applyAlignment="1">
      <alignment horizontal="center"/>
    </xf>
    <xf numFmtId="0" fontId="8" fillId="0" borderId="25"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3" xfId="0" applyFont="1" applyBorder="1" applyAlignment="1">
      <alignment horizontal="center" vertical="center"/>
    </xf>
    <xf numFmtId="0" fontId="0" fillId="0" borderId="0" xfId="0" applyFill="1" applyBorder="1"/>
    <xf numFmtId="0" fontId="7" fillId="0" borderId="0" xfId="0" applyFont="1" applyFill="1" applyBorder="1" applyAlignment="1">
      <alignment horizontal="center" wrapText="1"/>
    </xf>
    <xf numFmtId="0" fontId="8" fillId="0" borderId="0" xfId="0" applyFont="1" applyFill="1" applyBorder="1" applyAlignment="1">
      <alignment horizontal="center" vertical="center" wrapText="1"/>
    </xf>
    <xf numFmtId="43" fontId="8" fillId="0" borderId="0" xfId="1" applyFont="1" applyFill="1" applyBorder="1" applyAlignment="1">
      <alignment horizontal="center" vertical="center" wrapText="1"/>
    </xf>
    <xf numFmtId="0" fontId="1" fillId="0" borderId="8" xfId="0" applyFont="1" applyBorder="1" applyAlignment="1">
      <alignment horizontal="center"/>
    </xf>
    <xf numFmtId="168" fontId="8" fillId="0" borderId="20" xfId="0" applyNumberFormat="1" applyFont="1" applyBorder="1" applyAlignment="1">
      <alignment horizontal="center" vertical="center"/>
    </xf>
    <xf numFmtId="168" fontId="8" fillId="0" borderId="16" xfId="0" applyNumberFormat="1" applyFont="1" applyBorder="1" applyAlignment="1">
      <alignment horizontal="center" vertical="center"/>
    </xf>
    <xf numFmtId="167" fontId="8" fillId="0" borderId="16" xfId="0" applyNumberFormat="1" applyFont="1" applyBorder="1" applyAlignment="1">
      <alignment horizontal="center" vertical="center"/>
    </xf>
    <xf numFmtId="165" fontId="8" fillId="0" borderId="16" xfId="0" applyNumberFormat="1" applyFont="1" applyBorder="1" applyAlignment="1">
      <alignment horizontal="center" vertical="center"/>
    </xf>
    <xf numFmtId="164" fontId="8" fillId="0" borderId="16" xfId="0" applyNumberFormat="1" applyFont="1" applyBorder="1" applyAlignment="1">
      <alignment horizontal="center" vertical="center"/>
    </xf>
    <xf numFmtId="166" fontId="8" fillId="0" borderId="16" xfId="0" applyNumberFormat="1" applyFont="1" applyBorder="1" applyAlignment="1">
      <alignment horizontal="center" vertical="center"/>
    </xf>
    <xf numFmtId="166" fontId="8" fillId="0" borderId="17" xfId="0" applyNumberFormat="1" applyFont="1" applyBorder="1" applyAlignment="1">
      <alignment horizontal="center" vertical="center"/>
    </xf>
    <xf numFmtId="0" fontId="8" fillId="0" borderId="27" xfId="0" applyFont="1" applyBorder="1" applyAlignment="1">
      <alignment horizontal="center" vertical="center" wrapText="1"/>
    </xf>
    <xf numFmtId="3" fontId="8" fillId="0" borderId="21" xfId="1" applyNumberFormat="1" applyFont="1" applyBorder="1" applyAlignment="1">
      <alignment horizontal="center" vertical="center"/>
    </xf>
    <xf numFmtId="3" fontId="8" fillId="0" borderId="12" xfId="1" applyNumberFormat="1" applyFont="1" applyBorder="1" applyAlignment="1">
      <alignment horizontal="center" vertical="center"/>
    </xf>
    <xf numFmtId="3" fontId="8" fillId="0" borderId="19" xfId="1" applyNumberFormat="1" applyFont="1" applyBorder="1" applyAlignment="1">
      <alignment horizontal="center" vertical="center"/>
    </xf>
    <xf numFmtId="3" fontId="0" fillId="0" borderId="0" xfId="0" applyNumberFormat="1"/>
    <xf numFmtId="0" fontId="9" fillId="0" borderId="0" xfId="0" applyFont="1"/>
    <xf numFmtId="0" fontId="10" fillId="0" borderId="0" xfId="0" applyFont="1"/>
    <xf numFmtId="0" fontId="9" fillId="0" borderId="22" xfId="0" applyFont="1" applyBorder="1" applyAlignment="1">
      <alignment horizontal="center" wrapText="1"/>
    </xf>
    <xf numFmtId="0" fontId="9" fillId="0" borderId="24" xfId="0" applyFont="1" applyBorder="1" applyAlignment="1">
      <alignment horizontal="center" wrapText="1"/>
    </xf>
    <xf numFmtId="0" fontId="9" fillId="0" borderId="30" xfId="0" applyFont="1" applyBorder="1" applyAlignment="1">
      <alignment horizontal="center"/>
    </xf>
    <xf numFmtId="0" fontId="9" fillId="0" borderId="31" xfId="0" applyFont="1" applyBorder="1" applyAlignment="1">
      <alignment horizontal="center" wrapText="1"/>
    </xf>
    <xf numFmtId="0" fontId="9" fillId="0" borderId="8" xfId="0" applyFont="1" applyBorder="1" applyAlignment="1">
      <alignment horizontal="center"/>
    </xf>
    <xf numFmtId="0" fontId="0" fillId="0" borderId="0" xfId="0" quotePrefix="1"/>
    <xf numFmtId="0" fontId="0" fillId="0" borderId="8" xfId="0" applyBorder="1" applyAlignment="1">
      <alignment horizontal="left"/>
    </xf>
    <xf numFmtId="0" fontId="0" fillId="0" borderId="8" xfId="0" quotePrefix="1" applyBorder="1" applyAlignment="1">
      <alignment horizontal="left"/>
    </xf>
    <xf numFmtId="0" fontId="31" fillId="0" borderId="0" xfId="0" applyFont="1" applyAlignment="1">
      <alignment wrapText="1"/>
    </xf>
    <xf numFmtId="0" fontId="31" fillId="0" borderId="0" xfId="0" applyFont="1" applyAlignment="1">
      <alignment horizontal="center" wrapText="1"/>
    </xf>
    <xf numFmtId="0" fontId="33" fillId="0" borderId="0" xfId="0" applyFont="1" applyAlignment="1"/>
    <xf numFmtId="0" fontId="34" fillId="0" borderId="0" xfId="0" applyFont="1" applyAlignment="1">
      <alignment wrapText="1"/>
    </xf>
    <xf numFmtId="0" fontId="35" fillId="0" borderId="5" xfId="0" applyFont="1" applyBorder="1" applyAlignment="1">
      <alignment horizontal="center" vertical="center" wrapText="1"/>
    </xf>
    <xf numFmtId="0" fontId="35" fillId="0" borderId="2" xfId="0" applyFont="1" applyBorder="1" applyAlignment="1">
      <alignment horizontal="center" vertical="center" wrapText="1"/>
    </xf>
    <xf numFmtId="0" fontId="35" fillId="0" borderId="2" xfId="0" applyFont="1" applyBorder="1" applyAlignment="1">
      <alignment horizontal="center" vertical="center" textRotation="90" wrapText="1"/>
    </xf>
    <xf numFmtId="0" fontId="35" fillId="0" borderId="22" xfId="0" applyFont="1" applyBorder="1" applyAlignment="1">
      <alignment vertical="center" textRotation="90" wrapText="1"/>
    </xf>
    <xf numFmtId="0" fontId="35" fillId="0" borderId="23" xfId="0" applyFont="1" applyBorder="1" applyAlignment="1">
      <alignment vertical="center" textRotation="90" wrapText="1"/>
    </xf>
    <xf numFmtId="0" fontId="35" fillId="0" borderId="24" xfId="0" applyFont="1" applyBorder="1" applyAlignment="1">
      <alignment vertical="center" textRotation="90" wrapText="1"/>
    </xf>
    <xf numFmtId="0" fontId="36" fillId="0" borderId="0" xfId="0" applyFont="1" applyAlignment="1">
      <alignment wrapText="1"/>
    </xf>
    <xf numFmtId="49" fontId="37" fillId="0" borderId="6" xfId="0" applyNumberFormat="1" applyFont="1" applyFill="1" applyBorder="1" applyAlignment="1">
      <alignment horizontal="center" vertical="top" wrapText="1"/>
    </xf>
    <xf numFmtId="0" fontId="37" fillId="0" borderId="6" xfId="0" applyFont="1" applyFill="1" applyBorder="1" applyAlignment="1">
      <alignment vertical="top" wrapText="1"/>
    </xf>
    <xf numFmtId="0" fontId="37" fillId="0" borderId="6" xfId="0" applyFont="1" applyFill="1" applyBorder="1" applyAlignment="1">
      <alignment horizontal="center" vertical="top" wrapText="1"/>
    </xf>
    <xf numFmtId="0" fontId="37" fillId="0" borderId="1" xfId="0" applyFont="1" applyFill="1" applyBorder="1" applyAlignment="1">
      <alignment vertical="top" wrapText="1"/>
    </xf>
    <xf numFmtId="0" fontId="37" fillId="0" borderId="1" xfId="0" applyFont="1" applyBorder="1" applyAlignment="1">
      <alignment vertical="top" wrapText="1"/>
    </xf>
    <xf numFmtId="0" fontId="38" fillId="0" borderId="35" xfId="0" applyFont="1" applyBorder="1" applyAlignment="1">
      <alignment horizontal="center" vertical="center" wrapText="1"/>
    </xf>
    <xf numFmtId="0" fontId="38" fillId="0" borderId="16" xfId="0" applyFont="1" applyBorder="1" applyAlignment="1">
      <alignment horizontal="center" vertical="center" wrapText="1"/>
    </xf>
    <xf numFmtId="0" fontId="38" fillId="0" borderId="8" xfId="0" applyFont="1" applyBorder="1" applyAlignment="1">
      <alignment horizontal="center" vertical="center" wrapText="1"/>
    </xf>
    <xf numFmtId="0" fontId="38" fillId="0" borderId="12" xfId="0" applyFont="1" applyFill="1" applyBorder="1" applyAlignment="1">
      <alignment horizontal="center" vertical="center" wrapText="1"/>
    </xf>
    <xf numFmtId="0" fontId="36" fillId="0" borderId="16" xfId="0" applyFont="1" applyFill="1" applyBorder="1" applyAlignment="1">
      <alignment horizontal="center" vertical="center"/>
    </xf>
    <xf numFmtId="0" fontId="36" fillId="0" borderId="8" xfId="0" applyFont="1" applyFill="1" applyBorder="1" applyAlignment="1">
      <alignment horizontal="center" vertical="center"/>
    </xf>
    <xf numFmtId="0" fontId="36" fillId="0" borderId="12" xfId="0" applyFont="1" applyFill="1" applyBorder="1" applyAlignment="1">
      <alignment horizontal="center" vertical="center"/>
    </xf>
    <xf numFmtId="0" fontId="37" fillId="0" borderId="16" xfId="0" applyFont="1" applyFill="1" applyBorder="1" applyAlignment="1">
      <alignment horizontal="left" vertical="top" wrapText="1"/>
    </xf>
    <xf numFmtId="0" fontId="37" fillId="0" borderId="6" xfId="0" applyFont="1" applyBorder="1" applyAlignment="1">
      <alignment horizontal="left" vertical="top" wrapText="1"/>
    </xf>
    <xf numFmtId="0" fontId="38" fillId="0" borderId="6" xfId="0" applyFont="1" applyBorder="1" applyAlignment="1">
      <alignment horizontal="center" vertical="center" wrapText="1"/>
    </xf>
    <xf numFmtId="0" fontId="38" fillId="0" borderId="13" xfId="0" applyFont="1" applyBorder="1" applyAlignment="1">
      <alignment horizontal="center" vertical="center" wrapText="1"/>
    </xf>
    <xf numFmtId="0" fontId="38" fillId="0" borderId="14" xfId="0" applyFont="1" applyBorder="1" applyAlignment="1">
      <alignment horizontal="center" vertical="center" wrapText="1"/>
    </xf>
    <xf numFmtId="0" fontId="38" fillId="0" borderId="15" xfId="0" applyFont="1" applyBorder="1" applyAlignment="1">
      <alignment horizontal="center" vertical="center" wrapText="1"/>
    </xf>
    <xf numFmtId="0" fontId="36" fillId="0" borderId="13" xfId="0" applyFont="1" applyFill="1" applyBorder="1" applyAlignment="1">
      <alignment horizontal="center" vertical="center"/>
    </xf>
    <xf numFmtId="0" fontId="36" fillId="0" borderId="14" xfId="0" applyFont="1" applyFill="1" applyBorder="1" applyAlignment="1">
      <alignment horizontal="center" vertical="center"/>
    </xf>
    <xf numFmtId="0" fontId="36" fillId="0" borderId="15" xfId="0" applyFont="1" applyFill="1" applyBorder="1" applyAlignment="1">
      <alignment horizontal="center" vertical="center"/>
    </xf>
    <xf numFmtId="0" fontId="37" fillId="0" borderId="6" xfId="0" applyFont="1" applyBorder="1" applyAlignment="1">
      <alignment horizontal="center" vertical="center" wrapText="1"/>
    </xf>
    <xf numFmtId="49" fontId="37" fillId="0" borderId="1" xfId="0" applyNumberFormat="1" applyFont="1" applyFill="1" applyBorder="1" applyAlignment="1">
      <alignment vertical="top" wrapText="1"/>
    </xf>
    <xf numFmtId="0" fontId="37" fillId="0" borderId="1" xfId="0" applyFont="1" applyFill="1" applyBorder="1" applyAlignment="1">
      <alignment horizontal="center" vertical="top" wrapText="1"/>
    </xf>
    <xf numFmtId="0" fontId="31" fillId="0" borderId="0" xfId="0" applyFont="1" applyBorder="1" applyAlignment="1">
      <alignment wrapText="1"/>
    </xf>
    <xf numFmtId="0" fontId="38" fillId="0" borderId="1" xfId="0" applyFont="1" applyBorder="1" applyAlignment="1">
      <alignment horizontal="center" vertical="center" wrapText="1"/>
    </xf>
    <xf numFmtId="0" fontId="38" fillId="0" borderId="12" xfId="0" applyFont="1" applyBorder="1" applyAlignment="1">
      <alignment horizontal="center" vertical="center" wrapText="1"/>
    </xf>
    <xf numFmtId="0" fontId="37" fillId="0" borderId="1" xfId="0" applyFont="1" applyBorder="1" applyAlignment="1">
      <alignment horizontal="left" vertical="top" wrapText="1"/>
    </xf>
    <xf numFmtId="0" fontId="37" fillId="0" borderId="1" xfId="0" applyFont="1" applyBorder="1" applyAlignment="1">
      <alignment horizontal="center" vertical="center" wrapText="1"/>
    </xf>
    <xf numFmtId="49" fontId="37" fillId="0" borderId="9" xfId="0" applyNumberFormat="1" applyFont="1" applyFill="1" applyBorder="1" applyAlignment="1">
      <alignment vertical="top" wrapText="1"/>
    </xf>
    <xf numFmtId="0" fontId="37" fillId="0" borderId="9" xfId="0" applyFont="1" applyFill="1" applyBorder="1" applyAlignment="1">
      <alignment vertical="top" wrapText="1"/>
    </xf>
    <xf numFmtId="0" fontId="37" fillId="0" borderId="9" xfId="0" applyFont="1" applyFill="1" applyBorder="1" applyAlignment="1">
      <alignment horizontal="center" vertical="top" wrapText="1"/>
    </xf>
    <xf numFmtId="0" fontId="37" fillId="0" borderId="9" xfId="0" applyFont="1" applyFill="1" applyBorder="1" applyAlignment="1">
      <alignment horizontal="left" vertical="top" wrapText="1"/>
    </xf>
    <xf numFmtId="0" fontId="37" fillId="0" borderId="9" xfId="0" applyFont="1" applyFill="1" applyBorder="1" applyAlignment="1">
      <alignment horizontal="center" vertical="center" wrapText="1"/>
    </xf>
    <xf numFmtId="0" fontId="31" fillId="0" borderId="0" xfId="0" applyFont="1" applyFill="1" applyAlignment="1">
      <alignment wrapText="1"/>
    </xf>
    <xf numFmtId="0" fontId="39" fillId="0" borderId="7" xfId="0" applyFont="1" applyFill="1" applyBorder="1" applyAlignment="1">
      <alignment vertical="top" wrapText="1"/>
    </xf>
    <xf numFmtId="0" fontId="39" fillId="0" borderId="7" xfId="0" applyFont="1" applyFill="1" applyBorder="1" applyAlignment="1">
      <alignment horizontal="center" vertical="top" wrapText="1"/>
    </xf>
    <xf numFmtId="0" fontId="37" fillId="0" borderId="7" xfId="0" applyFont="1" applyBorder="1" applyAlignment="1">
      <alignment vertical="top" wrapText="1"/>
    </xf>
    <xf numFmtId="0" fontId="39" fillId="0" borderId="7" xfId="0" applyFont="1" applyBorder="1" applyAlignment="1">
      <alignment vertical="top" wrapText="1"/>
    </xf>
    <xf numFmtId="0" fontId="38" fillId="0" borderId="7" xfId="0" applyFont="1" applyBorder="1" applyAlignment="1">
      <alignment horizontal="center" vertical="center" wrapText="1"/>
    </xf>
    <xf numFmtId="0" fontId="38" fillId="0" borderId="17" xfId="0" applyFont="1" applyBorder="1" applyAlignment="1">
      <alignment horizontal="center" vertical="center" wrapText="1"/>
    </xf>
    <xf numFmtId="0" fontId="38" fillId="0" borderId="18" xfId="0" applyFont="1" applyBorder="1" applyAlignment="1">
      <alignment horizontal="center" vertical="center" wrapText="1"/>
    </xf>
    <xf numFmtId="0" fontId="38" fillId="0" borderId="19" xfId="0" applyFont="1" applyBorder="1" applyAlignment="1">
      <alignment horizontal="center" vertical="center" wrapText="1"/>
    </xf>
    <xf numFmtId="0" fontId="36" fillId="0" borderId="17" xfId="0" applyFont="1" applyFill="1" applyBorder="1" applyAlignment="1">
      <alignment horizontal="center" vertical="center"/>
    </xf>
    <xf numFmtId="0" fontId="36" fillId="0" borderId="18" xfId="0" applyFont="1" applyFill="1" applyBorder="1" applyAlignment="1">
      <alignment horizontal="center" vertical="center"/>
    </xf>
    <xf numFmtId="0" fontId="36" fillId="0" borderId="19" xfId="0" applyFont="1" applyFill="1" applyBorder="1" applyAlignment="1">
      <alignment horizontal="center" vertical="center"/>
    </xf>
    <xf numFmtId="0" fontId="39" fillId="0" borderId="7" xfId="0" applyFont="1" applyBorder="1" applyAlignment="1">
      <alignment horizontal="left" vertical="top" wrapText="1"/>
    </xf>
    <xf numFmtId="0" fontId="40" fillId="0" borderId="0" xfId="0" applyFont="1" applyAlignment="1">
      <alignment vertical="center"/>
    </xf>
    <xf numFmtId="0" fontId="31" fillId="0" borderId="0" xfId="0" applyFont="1" applyBorder="1" applyAlignment="1">
      <alignment horizontal="center" wrapText="1"/>
    </xf>
    <xf numFmtId="0" fontId="36" fillId="0" borderId="0" xfId="0" applyFont="1" applyBorder="1" applyAlignment="1">
      <alignment horizontal="left"/>
    </xf>
    <xf numFmtId="0" fontId="36" fillId="0" borderId="0" xfId="0" applyFont="1" applyBorder="1" applyAlignment="1">
      <alignment horizontal="center" wrapText="1"/>
    </xf>
    <xf numFmtId="0" fontId="36" fillId="0" borderId="0" xfId="0" applyFont="1" applyFill="1" applyBorder="1" applyAlignment="1">
      <alignment vertical="center" wrapText="1"/>
    </xf>
    <xf numFmtId="0" fontId="36" fillId="0" borderId="0" xfId="0" applyFont="1" applyFill="1" applyBorder="1" applyAlignment="1">
      <alignment horizontal="center" vertical="center"/>
    </xf>
    <xf numFmtId="16" fontId="36" fillId="0" borderId="0" xfId="0" applyNumberFormat="1" applyFont="1" applyFill="1" applyBorder="1" applyAlignment="1">
      <alignment horizontal="center" vertical="center" wrapText="1"/>
    </xf>
    <xf numFmtId="0" fontId="36" fillId="0" borderId="0" xfId="0" applyFont="1" applyFill="1" applyBorder="1" applyAlignment="1">
      <alignment horizontal="center" vertical="center" wrapText="1"/>
    </xf>
    <xf numFmtId="0" fontId="36" fillId="0" borderId="0" xfId="0" applyFont="1" applyBorder="1" applyAlignment="1">
      <alignment vertical="center" wrapText="1"/>
    </xf>
    <xf numFmtId="16" fontId="36" fillId="0" borderId="0" xfId="0" applyNumberFormat="1" applyFont="1" applyBorder="1" applyAlignment="1">
      <alignment horizontal="center" vertical="center" wrapText="1"/>
    </xf>
    <xf numFmtId="0" fontId="36" fillId="0" borderId="0" xfId="0" applyFont="1" applyBorder="1" applyAlignment="1">
      <alignment horizontal="center" vertical="center"/>
    </xf>
    <xf numFmtId="0" fontId="36" fillId="0" borderId="0" xfId="0" applyFont="1" applyBorder="1" applyAlignment="1">
      <alignment horizontal="center" vertical="center" wrapText="1"/>
    </xf>
    <xf numFmtId="0" fontId="36" fillId="0" borderId="0" xfId="0" applyFont="1" applyFill="1" applyBorder="1"/>
    <xf numFmtId="0" fontId="0" fillId="0" borderId="8" xfId="0" quotePrefix="1" applyBorder="1"/>
    <xf numFmtId="0" fontId="32" fillId="0" borderId="0" xfId="0" applyFont="1" applyAlignment="1">
      <alignment horizontal="center" wrapText="1"/>
    </xf>
    <xf numFmtId="0" fontId="35" fillId="0" borderId="2" xfId="0" applyFont="1" applyBorder="1" applyAlignment="1">
      <alignment horizontal="center" wrapText="1"/>
    </xf>
    <xf numFmtId="0" fontId="35" fillId="0" borderId="3" xfId="0" applyFont="1" applyBorder="1" applyAlignment="1">
      <alignment horizontal="center" wrapText="1"/>
    </xf>
    <xf numFmtId="0" fontId="35" fillId="0" borderId="4" xfId="0" applyFont="1" applyBorder="1" applyAlignment="1">
      <alignment horizontal="center" wrapText="1"/>
    </xf>
    <xf numFmtId="0" fontId="36" fillId="0" borderId="2" xfId="0" applyFont="1" applyFill="1" applyBorder="1" applyAlignment="1">
      <alignment horizontal="center"/>
    </xf>
    <xf numFmtId="0" fontId="36" fillId="0" borderId="3" xfId="0" applyFont="1" applyFill="1" applyBorder="1" applyAlignment="1">
      <alignment horizontal="center"/>
    </xf>
    <xf numFmtId="0" fontId="36" fillId="0" borderId="4" xfId="0" applyFont="1" applyFill="1" applyBorder="1" applyAlignment="1">
      <alignment horizontal="center"/>
    </xf>
    <xf numFmtId="0" fontId="0" fillId="0" borderId="8" xfId="0" applyBorder="1" applyAlignment="1"/>
    <xf numFmtId="0" fontId="0" fillId="0" borderId="8" xfId="0" applyBorder="1" applyAlignment="1">
      <alignment horizontal="left"/>
    </xf>
    <xf numFmtId="0" fontId="0" fillId="0" borderId="8" xfId="0" quotePrefix="1" applyBorder="1" applyAlignment="1">
      <alignment horizontal="left"/>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8" fillId="5" borderId="28" xfId="0" applyFont="1" applyFill="1" applyBorder="1" applyAlignment="1">
      <alignment horizontal="center" vertical="center" wrapText="1"/>
    </xf>
    <xf numFmtId="0" fontId="8" fillId="5" borderId="27" xfId="0" applyFont="1" applyFill="1" applyBorder="1" applyAlignment="1">
      <alignment horizontal="center" vertical="center" wrapText="1"/>
    </xf>
    <xf numFmtId="0" fontId="8" fillId="0" borderId="13"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2" xfId="0" applyFont="1" applyBorder="1" applyAlignment="1">
      <alignment horizontal="center" vertical="center" wrapText="1"/>
    </xf>
    <xf numFmtId="0" fontId="8" fillId="5" borderId="17" xfId="0" applyFont="1" applyFill="1" applyBorder="1" applyAlignment="1">
      <alignment horizontal="center" vertical="center" wrapText="1"/>
    </xf>
    <xf numFmtId="0" fontId="8" fillId="5" borderId="19" xfId="0" applyFont="1" applyFill="1" applyBorder="1" applyAlignment="1">
      <alignment horizontal="center" vertical="center" wrapText="1"/>
    </xf>
    <xf numFmtId="0" fontId="8" fillId="0" borderId="11" xfId="0" applyFont="1" applyFill="1" applyBorder="1" applyAlignment="1">
      <alignment horizontal="center" vertical="center" wrapText="1"/>
    </xf>
    <xf numFmtId="0" fontId="8" fillId="0" borderId="35" xfId="0" applyFont="1" applyFill="1" applyBorder="1" applyAlignment="1">
      <alignment horizontal="center" vertical="center" wrapText="1"/>
    </xf>
    <xf numFmtId="0" fontId="8" fillId="0" borderId="27" xfId="0" applyFont="1" applyFill="1" applyBorder="1" applyAlignment="1">
      <alignment horizontal="center" vertical="center" wrapText="1"/>
    </xf>
    <xf numFmtId="0" fontId="8" fillId="0" borderId="36" xfId="0" applyFont="1" applyFill="1" applyBorder="1" applyAlignment="1">
      <alignment horizontal="center" vertical="center" wrapText="1"/>
    </xf>
    <xf numFmtId="0" fontId="8" fillId="0" borderId="17" xfId="0" applyFont="1" applyBorder="1" applyAlignment="1">
      <alignment horizontal="center" vertical="center" wrapText="1"/>
    </xf>
    <xf numFmtId="0" fontId="8" fillId="0" borderId="27" xfId="0" applyFont="1" applyBorder="1" applyAlignment="1">
      <alignment horizontal="center" vertical="center" wrapText="1"/>
    </xf>
    <xf numFmtId="0" fontId="9" fillId="0" borderId="33" xfId="0" applyFont="1" applyBorder="1" applyAlignment="1">
      <alignment horizontal="center" wrapText="1"/>
    </xf>
    <xf numFmtId="0" fontId="9" fillId="0" borderId="31" xfId="0" applyFont="1" applyBorder="1" applyAlignment="1">
      <alignment horizontal="center" wrapText="1"/>
    </xf>
    <xf numFmtId="0" fontId="9" fillId="0" borderId="29" xfId="0" applyFont="1" applyFill="1" applyBorder="1" applyAlignment="1">
      <alignment horizontal="center" wrapText="1"/>
    </xf>
    <xf numFmtId="0" fontId="9" fillId="0" borderId="3" xfId="0" applyFont="1" applyFill="1" applyBorder="1" applyAlignment="1">
      <alignment horizontal="center" wrapText="1"/>
    </xf>
    <xf numFmtId="0" fontId="9" fillId="0" borderId="2" xfId="0" applyFont="1" applyBorder="1" applyAlignment="1">
      <alignment horizontal="center" wrapText="1"/>
    </xf>
    <xf numFmtId="0" fontId="9" fillId="0" borderId="4" xfId="0" applyFont="1" applyBorder="1" applyAlignment="1">
      <alignment horizontal="center" wrapText="1"/>
    </xf>
    <xf numFmtId="0" fontId="8" fillId="0" borderId="26" xfId="0" applyFont="1" applyBorder="1" applyAlignment="1">
      <alignment horizontal="center" vertical="center" wrapText="1"/>
    </xf>
    <xf numFmtId="0" fontId="8" fillId="0" borderId="25" xfId="0" applyFont="1" applyBorder="1" applyAlignment="1">
      <alignment horizontal="center" vertical="center" wrapText="1"/>
    </xf>
    <xf numFmtId="0" fontId="9" fillId="0" borderId="30" xfId="0" applyFont="1" applyBorder="1" applyAlignment="1">
      <alignment horizontal="center" wrapText="1"/>
    </xf>
    <xf numFmtId="0" fontId="9" fillId="0" borderId="32" xfId="0" applyFont="1" applyBorder="1" applyAlignment="1">
      <alignment horizontal="center" wrapText="1"/>
    </xf>
    <xf numFmtId="0" fontId="9" fillId="0" borderId="8" xfId="0" applyFont="1" applyBorder="1" applyAlignment="1">
      <alignment horizontal="center"/>
    </xf>
    <xf numFmtId="0" fontId="9" fillId="0" borderId="0" xfId="0" applyFont="1" applyAlignment="1">
      <alignment horizontal="center"/>
    </xf>
    <xf numFmtId="0" fontId="8" fillId="0" borderId="25" xfId="0" applyFont="1" applyFill="1" applyBorder="1" applyAlignment="1">
      <alignment horizontal="center" vertical="center" wrapText="1"/>
    </xf>
    <xf numFmtId="0" fontId="8" fillId="0" borderId="34" xfId="0" applyFont="1" applyFill="1" applyBorder="1" applyAlignment="1">
      <alignment horizontal="center" vertical="center" wrapText="1"/>
    </xf>
    <xf numFmtId="0" fontId="0" fillId="0" borderId="0" xfId="0" applyAlignment="1">
      <alignment horizontal="center"/>
    </xf>
  </cellXfs>
  <cellStyles count="30370">
    <cellStyle name="20% - Accent1 2" xfId="3"/>
    <cellStyle name="20% - Accent2 2" xfId="4"/>
    <cellStyle name="20% - Accent3 2" xfId="5"/>
    <cellStyle name="20% - Accent4 2" xfId="6"/>
    <cellStyle name="20% - Accent5 2" xfId="7"/>
    <cellStyle name="20% - Accent6 2" xfId="8"/>
    <cellStyle name="20% - Cor1" xfId="9"/>
    <cellStyle name="20% - Cor2" xfId="10"/>
    <cellStyle name="20% - Cor3" xfId="11"/>
    <cellStyle name="20% - Cor4" xfId="12"/>
    <cellStyle name="20% - Cor5" xfId="13"/>
    <cellStyle name="20% - Cor6" xfId="14"/>
    <cellStyle name="40% - Accent1 2" xfId="15"/>
    <cellStyle name="40% - Accent2 2" xfId="16"/>
    <cellStyle name="40% - Accent3 2" xfId="17"/>
    <cellStyle name="40% - Accent4 2" xfId="18"/>
    <cellStyle name="40% - Accent5 2" xfId="19"/>
    <cellStyle name="40% - Accent6 2" xfId="20"/>
    <cellStyle name="40% - Accent6 3" xfId="11312"/>
    <cellStyle name="40% - Accent6 3 2" xfId="25634"/>
    <cellStyle name="40% - Cor1" xfId="21"/>
    <cellStyle name="40% - Cor2" xfId="22"/>
    <cellStyle name="40% - Cor3" xfId="23"/>
    <cellStyle name="40% - Cor4" xfId="24"/>
    <cellStyle name="40% - Cor5" xfId="25"/>
    <cellStyle name="40% - Cor6" xfId="26"/>
    <cellStyle name="60% - Accent1 2" xfId="27"/>
    <cellStyle name="60% - Accent2 2" xfId="28"/>
    <cellStyle name="60% - Accent3 2" xfId="29"/>
    <cellStyle name="60% - Accent4 2" xfId="30"/>
    <cellStyle name="60% - Accent5 2" xfId="31"/>
    <cellStyle name="60% - Accent6 2" xfId="32"/>
    <cellStyle name="60% - Cor1" xfId="33"/>
    <cellStyle name="60% - Cor2" xfId="34"/>
    <cellStyle name="60% - Cor3" xfId="35"/>
    <cellStyle name="60% - Cor4" xfId="36"/>
    <cellStyle name="60% - Cor5" xfId="37"/>
    <cellStyle name="60% - Cor6" xfId="38"/>
    <cellStyle name="Accent1 2" xfId="39"/>
    <cellStyle name="Accent2 2" xfId="40"/>
    <cellStyle name="Accent3 2" xfId="41"/>
    <cellStyle name="Accent4 2" xfId="42"/>
    <cellStyle name="Accent5 2" xfId="43"/>
    <cellStyle name="Accent6 2" xfId="44"/>
    <cellStyle name="Bad 2" xfId="45"/>
    <cellStyle name="Cabeçalho 1" xfId="46"/>
    <cellStyle name="Cabeçalho 2" xfId="47"/>
    <cellStyle name="Cabeçalho 3" xfId="48"/>
    <cellStyle name="Cabeçalho 4" xfId="49"/>
    <cellStyle name="Calculation 2" xfId="50"/>
    <cellStyle name="Calculation 2 2" xfId="51"/>
    <cellStyle name="Calculation 2 2 10" xfId="52"/>
    <cellStyle name="Calculation 2 2 10 2" xfId="7731"/>
    <cellStyle name="Calculation 2 2 10 2 2" xfId="10345"/>
    <cellStyle name="Calculation 2 2 10 2 2 2" xfId="16607"/>
    <cellStyle name="Calculation 2 2 10 2 2 2 2" xfId="30023"/>
    <cellStyle name="Calculation 2 2 10 2 2 3" xfId="21352"/>
    <cellStyle name="Calculation 2 2 10 2 3" xfId="14335"/>
    <cellStyle name="Calculation 2 2 10 2 3 2" xfId="28657"/>
    <cellStyle name="Calculation 2 2 10 2 4" xfId="19980"/>
    <cellStyle name="Calculation 2 2 10 3" xfId="12155"/>
    <cellStyle name="Calculation 2 2 10 3 2" xfId="26477"/>
    <cellStyle name="Calculation 2 2 10 4" xfId="17800"/>
    <cellStyle name="Calculation 2 2 11" xfId="3744"/>
    <cellStyle name="Calculation 2 2 11 2" xfId="3153"/>
    <cellStyle name="Calculation 2 2 11 2 2" xfId="22421"/>
    <cellStyle name="Calculation 2 2 11 3" xfId="4027"/>
    <cellStyle name="Calculation 2 2 12" xfId="6809"/>
    <cellStyle name="Calculation 2 2 12 2" xfId="23748"/>
    <cellStyle name="Calculation 2 2 13" xfId="15146"/>
    <cellStyle name="Calculation 2 2 2" xfId="53"/>
    <cellStyle name="Calculation 2 2 2 10" xfId="5069"/>
    <cellStyle name="Calculation 2 2 2 10 2" xfId="11616"/>
    <cellStyle name="Calculation 2 2 2 10 2 2" xfId="25938"/>
    <cellStyle name="Calculation 2 2 2 10 3" xfId="17029"/>
    <cellStyle name="Calculation 2 2 2 11" xfId="4592"/>
    <cellStyle name="Calculation 2 2 2 11 2" xfId="23054"/>
    <cellStyle name="Calculation 2 2 2 12" xfId="3614"/>
    <cellStyle name="Calculation 2 2 2 2" xfId="54"/>
    <cellStyle name="Calculation 2 2 2 2 10" xfId="4846"/>
    <cellStyle name="Calculation 2 2 2 2 10 2" xfId="23220"/>
    <cellStyle name="Calculation 2 2 2 2 11" xfId="14850"/>
    <cellStyle name="Calculation 2 2 2 2 2" xfId="55"/>
    <cellStyle name="Calculation 2 2 2 2 2 2" xfId="56"/>
    <cellStyle name="Calculation 2 2 2 2 2 2 2" xfId="57"/>
    <cellStyle name="Calculation 2 2 2 2 2 2 2 2" xfId="6986"/>
    <cellStyle name="Calculation 2 2 2 2 2 2 2 2 2" xfId="13590"/>
    <cellStyle name="Calculation 2 2 2 2 2 2 2 2 2 2" xfId="27912"/>
    <cellStyle name="Calculation 2 2 2 2 2 2 2 2 3" xfId="19235"/>
    <cellStyle name="Calculation 2 2 2 2 2 2 2 3" xfId="4075"/>
    <cellStyle name="Calculation 2 2 2 2 2 2 2 3 2" xfId="9418"/>
    <cellStyle name="Calculation 2 2 2 2 2 2 2 3 2 2" xfId="15680"/>
    <cellStyle name="Calculation 2 2 2 2 2 2 2 3 2 2 2" xfId="29096"/>
    <cellStyle name="Calculation 2 2 2 2 2 2 2 3 2 3" xfId="20425"/>
    <cellStyle name="Calculation 2 2 2 2 2 2 2 3 3" xfId="5037"/>
    <cellStyle name="Calculation 2 2 2 2 2 2 2 3 3 2" xfId="23317"/>
    <cellStyle name="Calculation 2 2 2 2 2 2 2 3 4" xfId="6285"/>
    <cellStyle name="Calculation 2 2 2 2 2 2 2 4" xfId="11498"/>
    <cellStyle name="Calculation 2 2 2 2 2 2 2 4 2" xfId="25820"/>
    <cellStyle name="Calculation 2 2 2 2 2 2 2 5" xfId="15013"/>
    <cellStyle name="Calculation 2 2 2 2 2 2 3" xfId="58"/>
    <cellStyle name="Calculation 2 2 2 2 2 2 3 2" xfId="3624"/>
    <cellStyle name="Calculation 2 2 2 2 2 2 3 2 2" xfId="9347"/>
    <cellStyle name="Calculation 2 2 2 2 2 2 3 2 2 2" xfId="15609"/>
    <cellStyle name="Calculation 2 2 2 2 2 2 3 2 2 2 2" xfId="29025"/>
    <cellStyle name="Calculation 2 2 2 2 2 2 3 2 2 3" xfId="20354"/>
    <cellStyle name="Calculation 2 2 2 2 2 2 3 2 3" xfId="4916"/>
    <cellStyle name="Calculation 2 2 2 2 2 2 3 2 3 2" xfId="23262"/>
    <cellStyle name="Calculation 2 2 2 2 2 2 3 2 4" xfId="15162"/>
    <cellStyle name="Calculation 2 2 2 2 2 2 3 3" xfId="13317"/>
    <cellStyle name="Calculation 2 2 2 2 2 2 3 3 2" xfId="27639"/>
    <cellStyle name="Calculation 2 2 2 2 2 2 3 4" xfId="18962"/>
    <cellStyle name="Calculation 2 2 2 2 2 2 4" xfId="5767"/>
    <cellStyle name="Calculation 2 2 2 2 2 2 4 2" xfId="12320"/>
    <cellStyle name="Calculation 2 2 2 2 2 2 4 2 2" xfId="26642"/>
    <cellStyle name="Calculation 2 2 2 2 2 2 4 3" xfId="17965"/>
    <cellStyle name="Calculation 2 2 2 2 2 2 5" xfId="6199"/>
    <cellStyle name="Calculation 2 2 2 2 2 2 5 2" xfId="23459"/>
    <cellStyle name="Calculation 2 2 2 2 2 2 6" xfId="6598"/>
    <cellStyle name="Calculation 2 2 2 2 2 3" xfId="59"/>
    <cellStyle name="Calculation 2 2 2 2 2 3 2" xfId="60"/>
    <cellStyle name="Calculation 2 2 2 2 2 3 2 2" xfId="6045"/>
    <cellStyle name="Calculation 2 2 2 2 2 3 2 2 2" xfId="12611"/>
    <cellStyle name="Calculation 2 2 2 2 2 3 2 2 2 2" xfId="26933"/>
    <cellStyle name="Calculation 2 2 2 2 2 3 2 2 3" xfId="18256"/>
    <cellStyle name="Calculation 2 2 2 2 2 3 2 3" xfId="7192"/>
    <cellStyle name="Calculation 2 2 2 2 2 3 2 3 2" xfId="9806"/>
    <cellStyle name="Calculation 2 2 2 2 2 3 2 3 2 2" xfId="16068"/>
    <cellStyle name="Calculation 2 2 2 2 2 3 2 3 2 2 2" xfId="29484"/>
    <cellStyle name="Calculation 2 2 2 2 2 3 2 3 2 3" xfId="20813"/>
    <cellStyle name="Calculation 2 2 2 2 2 3 2 3 3" xfId="13796"/>
    <cellStyle name="Calculation 2 2 2 2 2 3 2 3 3 2" xfId="28118"/>
    <cellStyle name="Calculation 2 2 2 2 2 3 2 3 4" xfId="19441"/>
    <cellStyle name="Calculation 2 2 2 2 2 3 2 4" xfId="4436"/>
    <cellStyle name="Calculation 2 2 2 2 2 3 2 4 2" xfId="22951"/>
    <cellStyle name="Calculation 2 2 2 2 2 3 2 5" xfId="14736"/>
    <cellStyle name="Calculation 2 2 2 2 2 3 3" xfId="61"/>
    <cellStyle name="Calculation 2 2 2 2 2 3 3 2" xfId="7811"/>
    <cellStyle name="Calculation 2 2 2 2 2 3 3 2 2" xfId="10425"/>
    <cellStyle name="Calculation 2 2 2 2 2 3 3 2 2 2" xfId="16687"/>
    <cellStyle name="Calculation 2 2 2 2 2 3 3 2 2 2 2" xfId="30103"/>
    <cellStyle name="Calculation 2 2 2 2 2 3 3 2 2 3" xfId="21432"/>
    <cellStyle name="Calculation 2 2 2 2 2 3 3 2 3" xfId="14415"/>
    <cellStyle name="Calculation 2 2 2 2 2 3 3 2 3 2" xfId="28737"/>
    <cellStyle name="Calculation 2 2 2 2 2 3 3 2 4" xfId="20060"/>
    <cellStyle name="Calculation 2 2 2 2 2 3 3 3" xfId="13252"/>
    <cellStyle name="Calculation 2 2 2 2 2 3 3 3 2" xfId="27574"/>
    <cellStyle name="Calculation 2 2 2 2 2 3 3 4" xfId="18897"/>
    <cellStyle name="Calculation 2 2 2 2 2 3 4" xfId="5694"/>
    <cellStyle name="Calculation 2 2 2 2 2 3 4 2" xfId="12247"/>
    <cellStyle name="Calculation 2 2 2 2 2 3 4 2 2" xfId="26569"/>
    <cellStyle name="Calculation 2 2 2 2 2 3 4 3" xfId="17892"/>
    <cellStyle name="Calculation 2 2 2 2 2 3 5" xfId="6318"/>
    <cellStyle name="Calculation 2 2 2 2 2 3 5 2" xfId="23513"/>
    <cellStyle name="Calculation 2 2 2 2 2 3 6" xfId="15269"/>
    <cellStyle name="Calculation 2 2 2 2 2 4" xfId="62"/>
    <cellStyle name="Calculation 2 2 2 2 2 4 2" xfId="6981"/>
    <cellStyle name="Calculation 2 2 2 2 2 4 2 2" xfId="13585"/>
    <cellStyle name="Calculation 2 2 2 2 2 4 2 2 2" xfId="27907"/>
    <cellStyle name="Calculation 2 2 2 2 2 4 2 3" xfId="19230"/>
    <cellStyle name="Calculation 2 2 2 2 2 4 3" xfId="7774"/>
    <cellStyle name="Calculation 2 2 2 2 2 4 3 2" xfId="10388"/>
    <cellStyle name="Calculation 2 2 2 2 2 4 3 2 2" xfId="16650"/>
    <cellStyle name="Calculation 2 2 2 2 2 4 3 2 2 2" xfId="30066"/>
    <cellStyle name="Calculation 2 2 2 2 2 4 3 2 3" xfId="21395"/>
    <cellStyle name="Calculation 2 2 2 2 2 4 3 3" xfId="14378"/>
    <cellStyle name="Calculation 2 2 2 2 2 4 3 3 2" xfId="28700"/>
    <cellStyle name="Calculation 2 2 2 2 2 4 3 4" xfId="20023"/>
    <cellStyle name="Calculation 2 2 2 2 2 4 4" xfId="11493"/>
    <cellStyle name="Calculation 2 2 2 2 2 4 4 2" xfId="25815"/>
    <cellStyle name="Calculation 2 2 2 2 2 4 5" xfId="15220"/>
    <cellStyle name="Calculation 2 2 2 2 2 5" xfId="63"/>
    <cellStyle name="Calculation 2 2 2 2 2 5 2" xfId="7046"/>
    <cellStyle name="Calculation 2 2 2 2 2 5 2 2" xfId="9660"/>
    <cellStyle name="Calculation 2 2 2 2 2 5 2 2 2" xfId="15922"/>
    <cellStyle name="Calculation 2 2 2 2 2 5 2 2 2 2" xfId="29338"/>
    <cellStyle name="Calculation 2 2 2 2 2 5 2 2 3" xfId="20667"/>
    <cellStyle name="Calculation 2 2 2 2 2 5 2 3" xfId="13650"/>
    <cellStyle name="Calculation 2 2 2 2 2 5 2 3 2" xfId="27972"/>
    <cellStyle name="Calculation 2 2 2 2 2 5 2 4" xfId="19295"/>
    <cellStyle name="Calculation 2 2 2 2 2 5 3" xfId="12893"/>
    <cellStyle name="Calculation 2 2 2 2 2 5 3 2" xfId="27215"/>
    <cellStyle name="Calculation 2 2 2 2 2 5 4" xfId="18538"/>
    <cellStyle name="Calculation 2 2 2 2 2 6" xfId="5511"/>
    <cellStyle name="Calculation 2 2 2 2 2 6 2" xfId="12062"/>
    <cellStyle name="Calculation 2 2 2 2 2 6 2 2" xfId="26384"/>
    <cellStyle name="Calculation 2 2 2 2 2 6 3" xfId="17707"/>
    <cellStyle name="Calculation 2 2 2 2 2 7" xfId="4528"/>
    <cellStyle name="Calculation 2 2 2 2 2 7 2" xfId="23009"/>
    <cellStyle name="Calculation 2 2 2 2 2 8" xfId="15596"/>
    <cellStyle name="Calculation 2 2 2 2 3" xfId="64"/>
    <cellStyle name="Calculation 2 2 2 2 3 2" xfId="65"/>
    <cellStyle name="Calculation 2 2 2 2 3 2 2" xfId="66"/>
    <cellStyle name="Calculation 2 2 2 2 3 2 2 2" xfId="5892"/>
    <cellStyle name="Calculation 2 2 2 2 3 2 2 2 2" xfId="12445"/>
    <cellStyle name="Calculation 2 2 2 2 3 2 2 2 2 2" xfId="26767"/>
    <cellStyle name="Calculation 2 2 2 2 3 2 2 2 3" xfId="18090"/>
    <cellStyle name="Calculation 2 2 2 2 3 2 2 3" xfId="7868"/>
    <cellStyle name="Calculation 2 2 2 2 3 2 2 3 2" xfId="10482"/>
    <cellStyle name="Calculation 2 2 2 2 3 2 2 3 2 2" xfId="16744"/>
    <cellStyle name="Calculation 2 2 2 2 3 2 2 3 2 2 2" xfId="30160"/>
    <cellStyle name="Calculation 2 2 2 2 3 2 2 3 2 3" xfId="21489"/>
    <cellStyle name="Calculation 2 2 2 2 3 2 2 3 3" xfId="14472"/>
    <cellStyle name="Calculation 2 2 2 2 3 2 2 3 3 2" xfId="28794"/>
    <cellStyle name="Calculation 2 2 2 2 3 2 2 3 4" xfId="20117"/>
    <cellStyle name="Calculation 2 2 2 2 3 2 2 4" xfId="6793"/>
    <cellStyle name="Calculation 2 2 2 2 3 2 2 4 2" xfId="23736"/>
    <cellStyle name="Calculation 2 2 2 2 3 2 2 5" xfId="15414"/>
    <cellStyle name="Calculation 2 2 2 2 3 2 3" xfId="67"/>
    <cellStyle name="Calculation 2 2 2 2 3 2 3 2" xfId="5297"/>
    <cellStyle name="Calculation 2 2 2 2 3 2 3 2 2" xfId="9606"/>
    <cellStyle name="Calculation 2 2 2 2 3 2 3 2 2 2" xfId="15868"/>
    <cellStyle name="Calculation 2 2 2 2 3 2 3 2 2 2 2" xfId="29284"/>
    <cellStyle name="Calculation 2 2 2 2 3 2 3 2 2 3" xfId="20613"/>
    <cellStyle name="Calculation 2 2 2 2 3 2 3 2 3" xfId="11847"/>
    <cellStyle name="Calculation 2 2 2 2 3 2 3 2 3 2" xfId="26169"/>
    <cellStyle name="Calculation 2 2 2 2 3 2 3 2 4" xfId="17492"/>
    <cellStyle name="Calculation 2 2 2 2 3 2 3 3" xfId="13353"/>
    <cellStyle name="Calculation 2 2 2 2 3 2 3 3 2" xfId="27675"/>
    <cellStyle name="Calculation 2 2 2 2 3 2 3 4" xfId="18998"/>
    <cellStyle name="Calculation 2 2 2 2 3 2 4" xfId="5803"/>
    <cellStyle name="Calculation 2 2 2 2 3 2 4 2" xfId="12356"/>
    <cellStyle name="Calculation 2 2 2 2 3 2 4 2 2" xfId="26678"/>
    <cellStyle name="Calculation 2 2 2 2 3 2 4 3" xfId="18001"/>
    <cellStyle name="Calculation 2 2 2 2 3 2 5" xfId="3783"/>
    <cellStyle name="Calculation 2 2 2 2 3 2 5 2" xfId="22575"/>
    <cellStyle name="Calculation 2 2 2 2 3 2 6" xfId="15174"/>
    <cellStyle name="Calculation 2 2 2 2 3 3" xfId="68"/>
    <cellStyle name="Calculation 2 2 2 2 3 3 2" xfId="69"/>
    <cellStyle name="Calculation 2 2 2 2 3 3 2 2" xfId="7009"/>
    <cellStyle name="Calculation 2 2 2 2 3 3 2 2 2" xfId="13613"/>
    <cellStyle name="Calculation 2 2 2 2 3 3 2 2 2 2" xfId="27935"/>
    <cellStyle name="Calculation 2 2 2 2 3 3 2 2 3" xfId="19258"/>
    <cellStyle name="Calculation 2 2 2 2 3 3 2 3" xfId="7240"/>
    <cellStyle name="Calculation 2 2 2 2 3 3 2 3 2" xfId="9854"/>
    <cellStyle name="Calculation 2 2 2 2 3 3 2 3 2 2" xfId="16116"/>
    <cellStyle name="Calculation 2 2 2 2 3 3 2 3 2 2 2" xfId="29532"/>
    <cellStyle name="Calculation 2 2 2 2 3 3 2 3 2 3" xfId="20861"/>
    <cellStyle name="Calculation 2 2 2 2 3 3 2 3 3" xfId="13844"/>
    <cellStyle name="Calculation 2 2 2 2 3 3 2 3 3 2" xfId="28166"/>
    <cellStyle name="Calculation 2 2 2 2 3 3 2 3 4" xfId="19489"/>
    <cellStyle name="Calculation 2 2 2 2 3 3 2 4" xfId="11531"/>
    <cellStyle name="Calculation 2 2 2 2 3 3 2 4 2" xfId="25853"/>
    <cellStyle name="Calculation 2 2 2 2 3 3 2 5" xfId="15543"/>
    <cellStyle name="Calculation 2 2 2 2 3 3 3" xfId="70"/>
    <cellStyle name="Calculation 2 2 2 2 3 3 3 2" xfId="7625"/>
    <cellStyle name="Calculation 2 2 2 2 3 3 3 2 2" xfId="10239"/>
    <cellStyle name="Calculation 2 2 2 2 3 3 3 2 2 2" xfId="16501"/>
    <cellStyle name="Calculation 2 2 2 2 3 3 3 2 2 2 2" xfId="29917"/>
    <cellStyle name="Calculation 2 2 2 2 3 3 3 2 2 3" xfId="21246"/>
    <cellStyle name="Calculation 2 2 2 2 3 3 3 2 3" xfId="14229"/>
    <cellStyle name="Calculation 2 2 2 2 3 3 3 2 3 2" xfId="28551"/>
    <cellStyle name="Calculation 2 2 2 2 3 3 3 2 4" xfId="19874"/>
    <cellStyle name="Calculation 2 2 2 2 3 3 3 3" xfId="12861"/>
    <cellStyle name="Calculation 2 2 2 2 3 3 3 3 2" xfId="27183"/>
    <cellStyle name="Calculation 2 2 2 2 3 3 3 4" xfId="18506"/>
    <cellStyle name="Calculation 2 2 2 2 3 3 4" xfId="5231"/>
    <cellStyle name="Calculation 2 2 2 2 3 3 4 2" xfId="11781"/>
    <cellStyle name="Calculation 2 2 2 2 3 3 4 2 2" xfId="26103"/>
    <cellStyle name="Calculation 2 2 2 2 3 3 4 3" xfId="17426"/>
    <cellStyle name="Calculation 2 2 2 2 3 3 5" xfId="3786"/>
    <cellStyle name="Calculation 2 2 2 2 3 3 5 2" xfId="22578"/>
    <cellStyle name="Calculation 2 2 2 2 3 3 6" xfId="17031"/>
    <cellStyle name="Calculation 2 2 2 2 3 4" xfId="71"/>
    <cellStyle name="Calculation 2 2 2 2 3 4 2" xfId="5959"/>
    <cellStyle name="Calculation 2 2 2 2 3 4 2 2" xfId="12517"/>
    <cellStyle name="Calculation 2 2 2 2 3 4 2 2 2" xfId="26839"/>
    <cellStyle name="Calculation 2 2 2 2 3 4 2 3" xfId="18162"/>
    <cellStyle name="Calculation 2 2 2 2 3 4 3" xfId="4849"/>
    <cellStyle name="Calculation 2 2 2 2 3 4 3 2" xfId="9501"/>
    <cellStyle name="Calculation 2 2 2 2 3 4 3 2 2" xfId="15763"/>
    <cellStyle name="Calculation 2 2 2 2 3 4 3 2 2 2" xfId="29179"/>
    <cellStyle name="Calculation 2 2 2 2 3 4 3 2 3" xfId="20508"/>
    <cellStyle name="Calculation 2 2 2 2 3 4 3 3" xfId="11382"/>
    <cellStyle name="Calculation 2 2 2 2 3 4 3 3 2" xfId="25704"/>
    <cellStyle name="Calculation 2 2 2 2 3 4 3 4" xfId="6628"/>
    <cellStyle name="Calculation 2 2 2 2 3 4 4" xfId="3907"/>
    <cellStyle name="Calculation 2 2 2 2 3 4 4 2" xfId="22639"/>
    <cellStyle name="Calculation 2 2 2 2 3 4 5" xfId="15233"/>
    <cellStyle name="Calculation 2 2 2 2 3 5" xfId="72"/>
    <cellStyle name="Calculation 2 2 2 2 3 5 2" xfId="7526"/>
    <cellStyle name="Calculation 2 2 2 2 3 5 2 2" xfId="10140"/>
    <cellStyle name="Calculation 2 2 2 2 3 5 2 2 2" xfId="16402"/>
    <cellStyle name="Calculation 2 2 2 2 3 5 2 2 2 2" xfId="29818"/>
    <cellStyle name="Calculation 2 2 2 2 3 5 2 2 3" xfId="21147"/>
    <cellStyle name="Calculation 2 2 2 2 3 5 2 3" xfId="14130"/>
    <cellStyle name="Calculation 2 2 2 2 3 5 2 3 2" xfId="28452"/>
    <cellStyle name="Calculation 2 2 2 2 3 5 2 4" xfId="19775"/>
    <cellStyle name="Calculation 2 2 2 2 3 5 3" xfId="12929"/>
    <cellStyle name="Calculation 2 2 2 2 3 5 3 2" xfId="27251"/>
    <cellStyle name="Calculation 2 2 2 2 3 5 4" xfId="18574"/>
    <cellStyle name="Calculation 2 2 2 2 3 6" xfId="5553"/>
    <cellStyle name="Calculation 2 2 2 2 3 6 2" xfId="12104"/>
    <cellStyle name="Calculation 2 2 2 2 3 6 2 2" xfId="26426"/>
    <cellStyle name="Calculation 2 2 2 2 3 6 3" xfId="17749"/>
    <cellStyle name="Calculation 2 2 2 2 3 7" xfId="4493"/>
    <cellStyle name="Calculation 2 2 2 2 3 7 2" xfId="22986"/>
    <cellStyle name="Calculation 2 2 2 2 3 8" xfId="17276"/>
    <cellStyle name="Calculation 2 2 2 2 4" xfId="73"/>
    <cellStyle name="Calculation 2 2 2 2 4 2" xfId="74"/>
    <cellStyle name="Calculation 2 2 2 2 4 2 2" xfId="75"/>
    <cellStyle name="Calculation 2 2 2 2 4 2 2 2" xfId="6860"/>
    <cellStyle name="Calculation 2 2 2 2 4 2 2 2 2" xfId="13464"/>
    <cellStyle name="Calculation 2 2 2 2 4 2 2 2 2 2" xfId="27786"/>
    <cellStyle name="Calculation 2 2 2 2 4 2 2 2 3" xfId="19109"/>
    <cellStyle name="Calculation 2 2 2 2 4 2 2 3" xfId="7162"/>
    <cellStyle name="Calculation 2 2 2 2 4 2 2 3 2" xfId="9776"/>
    <cellStyle name="Calculation 2 2 2 2 4 2 2 3 2 2" xfId="16038"/>
    <cellStyle name="Calculation 2 2 2 2 4 2 2 3 2 2 2" xfId="29454"/>
    <cellStyle name="Calculation 2 2 2 2 4 2 2 3 2 3" xfId="20783"/>
    <cellStyle name="Calculation 2 2 2 2 4 2 2 3 3" xfId="13766"/>
    <cellStyle name="Calculation 2 2 2 2 4 2 2 3 3 2" xfId="28088"/>
    <cellStyle name="Calculation 2 2 2 2 4 2 2 3 4" xfId="19411"/>
    <cellStyle name="Calculation 2 2 2 2 4 2 2 4" xfId="11319"/>
    <cellStyle name="Calculation 2 2 2 2 4 2 2 4 2" xfId="25641"/>
    <cellStyle name="Calculation 2 2 2 2 4 2 2 5" xfId="14818"/>
    <cellStyle name="Calculation 2 2 2 2 4 2 3" xfId="76"/>
    <cellStyle name="Calculation 2 2 2 2 4 2 3 2" xfId="7960"/>
    <cellStyle name="Calculation 2 2 2 2 4 2 3 2 2" xfId="10574"/>
    <cellStyle name="Calculation 2 2 2 2 4 2 3 2 2 2" xfId="16836"/>
    <cellStyle name="Calculation 2 2 2 2 4 2 3 2 2 2 2" xfId="30252"/>
    <cellStyle name="Calculation 2 2 2 2 4 2 3 2 2 3" xfId="21581"/>
    <cellStyle name="Calculation 2 2 2 2 4 2 3 2 3" xfId="14564"/>
    <cellStyle name="Calculation 2 2 2 2 4 2 3 2 3 2" xfId="28886"/>
    <cellStyle name="Calculation 2 2 2 2 4 2 3 2 4" xfId="20209"/>
    <cellStyle name="Calculation 2 2 2 2 4 2 3 3" xfId="13241"/>
    <cellStyle name="Calculation 2 2 2 2 4 2 3 3 2" xfId="27563"/>
    <cellStyle name="Calculation 2 2 2 2 4 2 3 4" xfId="18886"/>
    <cellStyle name="Calculation 2 2 2 2 4 2 4" xfId="5682"/>
    <cellStyle name="Calculation 2 2 2 2 4 2 4 2" xfId="12235"/>
    <cellStyle name="Calculation 2 2 2 2 4 2 4 2 2" xfId="26557"/>
    <cellStyle name="Calculation 2 2 2 2 4 2 4 3" xfId="17880"/>
    <cellStyle name="Calculation 2 2 2 2 4 2 5" xfId="4685"/>
    <cellStyle name="Calculation 2 2 2 2 4 2 5 2" xfId="23121"/>
    <cellStyle name="Calculation 2 2 2 2 4 2 6" xfId="15148"/>
    <cellStyle name="Calculation 2 2 2 2 4 3" xfId="77"/>
    <cellStyle name="Calculation 2 2 2 2 4 3 2" xfId="78"/>
    <cellStyle name="Calculation 2 2 2 2 4 3 2 2" xfId="6898"/>
    <cellStyle name="Calculation 2 2 2 2 4 3 2 2 2" xfId="13502"/>
    <cellStyle name="Calculation 2 2 2 2 4 3 2 2 2 2" xfId="27824"/>
    <cellStyle name="Calculation 2 2 2 2 4 3 2 2 3" xfId="19147"/>
    <cellStyle name="Calculation 2 2 2 2 4 3 2 3" xfId="7461"/>
    <cellStyle name="Calculation 2 2 2 2 4 3 2 3 2" xfId="10075"/>
    <cellStyle name="Calculation 2 2 2 2 4 3 2 3 2 2" xfId="16337"/>
    <cellStyle name="Calculation 2 2 2 2 4 3 2 3 2 2 2" xfId="29753"/>
    <cellStyle name="Calculation 2 2 2 2 4 3 2 3 2 3" xfId="21082"/>
    <cellStyle name="Calculation 2 2 2 2 4 3 2 3 3" xfId="14065"/>
    <cellStyle name="Calculation 2 2 2 2 4 3 2 3 3 2" xfId="28387"/>
    <cellStyle name="Calculation 2 2 2 2 4 3 2 3 4" xfId="19710"/>
    <cellStyle name="Calculation 2 2 2 2 4 3 2 4" xfId="11377"/>
    <cellStyle name="Calculation 2 2 2 2 4 3 2 4 2" xfId="25699"/>
    <cellStyle name="Calculation 2 2 2 2 4 3 2 5" xfId="14917"/>
    <cellStyle name="Calculation 2 2 2 2 4 3 3" xfId="79"/>
    <cellStyle name="Calculation 2 2 2 2 4 3 3 2" xfId="7132"/>
    <cellStyle name="Calculation 2 2 2 2 4 3 3 2 2" xfId="9746"/>
    <cellStyle name="Calculation 2 2 2 2 4 3 3 2 2 2" xfId="16008"/>
    <cellStyle name="Calculation 2 2 2 2 4 3 3 2 2 2 2" xfId="29424"/>
    <cellStyle name="Calculation 2 2 2 2 4 3 3 2 2 3" xfId="20753"/>
    <cellStyle name="Calculation 2 2 2 2 4 3 3 2 3" xfId="13736"/>
    <cellStyle name="Calculation 2 2 2 2 4 3 3 2 3 2" xfId="28058"/>
    <cellStyle name="Calculation 2 2 2 2 4 3 3 2 4" xfId="19381"/>
    <cellStyle name="Calculation 2 2 2 2 4 3 3 3" xfId="11604"/>
    <cellStyle name="Calculation 2 2 2 2 4 3 3 3 2" xfId="25926"/>
    <cellStyle name="Calculation 2 2 2 2 4 3 3 4" xfId="17170"/>
    <cellStyle name="Calculation 2 2 2 2 4 3 4" xfId="5240"/>
    <cellStyle name="Calculation 2 2 2 2 4 3 4 2" xfId="11790"/>
    <cellStyle name="Calculation 2 2 2 2 4 3 4 2 2" xfId="26112"/>
    <cellStyle name="Calculation 2 2 2 2 4 3 4 3" xfId="17435"/>
    <cellStyle name="Calculation 2 2 2 2 4 3 5" xfId="3644"/>
    <cellStyle name="Calculation 2 2 2 2 4 3 5 2" xfId="22503"/>
    <cellStyle name="Calculation 2 2 2 2 4 3 6" xfId="17219"/>
    <cellStyle name="Calculation 2 2 2 2 4 4" xfId="80"/>
    <cellStyle name="Calculation 2 2 2 2 4 4 2" xfId="6469"/>
    <cellStyle name="Calculation 2 2 2 2 4 4 2 2" xfId="13052"/>
    <cellStyle name="Calculation 2 2 2 2 4 4 2 2 2" xfId="27374"/>
    <cellStyle name="Calculation 2 2 2 2 4 4 2 3" xfId="18697"/>
    <cellStyle name="Calculation 2 2 2 2 4 4 3" xfId="7572"/>
    <cellStyle name="Calculation 2 2 2 2 4 4 3 2" xfId="10186"/>
    <cellStyle name="Calculation 2 2 2 2 4 4 3 2 2" xfId="16448"/>
    <cellStyle name="Calculation 2 2 2 2 4 4 3 2 2 2" xfId="29864"/>
    <cellStyle name="Calculation 2 2 2 2 4 4 3 2 3" xfId="21193"/>
    <cellStyle name="Calculation 2 2 2 2 4 4 3 3" xfId="14176"/>
    <cellStyle name="Calculation 2 2 2 2 4 4 3 3 2" xfId="28498"/>
    <cellStyle name="Calculation 2 2 2 2 4 4 3 4" xfId="19821"/>
    <cellStyle name="Calculation 2 2 2 2 4 4 4" xfId="5077"/>
    <cellStyle name="Calculation 2 2 2 2 4 4 4 2" xfId="23324"/>
    <cellStyle name="Calculation 2 2 2 2 4 4 5" xfId="15287"/>
    <cellStyle name="Calculation 2 2 2 2 4 5" xfId="81"/>
    <cellStyle name="Calculation 2 2 2 2 4 5 2" xfId="7257"/>
    <cellStyle name="Calculation 2 2 2 2 4 5 2 2" xfId="9871"/>
    <cellStyle name="Calculation 2 2 2 2 4 5 2 2 2" xfId="16133"/>
    <cellStyle name="Calculation 2 2 2 2 4 5 2 2 2 2" xfId="29549"/>
    <cellStyle name="Calculation 2 2 2 2 4 5 2 2 3" xfId="20878"/>
    <cellStyle name="Calculation 2 2 2 2 4 5 2 3" xfId="13861"/>
    <cellStyle name="Calculation 2 2 2 2 4 5 2 3 2" xfId="28183"/>
    <cellStyle name="Calculation 2 2 2 2 4 5 2 4" xfId="19506"/>
    <cellStyle name="Calculation 2 2 2 2 4 5 3" xfId="12701"/>
    <cellStyle name="Calculation 2 2 2 2 4 5 3 2" xfId="27023"/>
    <cellStyle name="Calculation 2 2 2 2 4 5 4" xfId="18346"/>
    <cellStyle name="Calculation 2 2 2 2 4 6" xfId="5105"/>
    <cellStyle name="Calculation 2 2 2 2 4 6 2" xfId="11652"/>
    <cellStyle name="Calculation 2 2 2 2 4 6 2 2" xfId="25974"/>
    <cellStyle name="Calculation 2 2 2 2 4 6 3" xfId="4347"/>
    <cellStyle name="Calculation 2 2 2 2 4 7" xfId="4192"/>
    <cellStyle name="Calculation 2 2 2 2 4 7 2" xfId="22813"/>
    <cellStyle name="Calculation 2 2 2 2 4 8" xfId="15186"/>
    <cellStyle name="Calculation 2 2 2 2 5" xfId="82"/>
    <cellStyle name="Calculation 2 2 2 2 5 2" xfId="83"/>
    <cellStyle name="Calculation 2 2 2 2 5 2 2" xfId="84"/>
    <cellStyle name="Calculation 2 2 2 2 5 2 2 2" xfId="6413"/>
    <cellStyle name="Calculation 2 2 2 2 5 2 2 2 2" xfId="12996"/>
    <cellStyle name="Calculation 2 2 2 2 5 2 2 2 2 2" xfId="27318"/>
    <cellStyle name="Calculation 2 2 2 2 5 2 2 2 3" xfId="18641"/>
    <cellStyle name="Calculation 2 2 2 2 5 2 2 3" xfId="7383"/>
    <cellStyle name="Calculation 2 2 2 2 5 2 2 3 2" xfId="9997"/>
    <cellStyle name="Calculation 2 2 2 2 5 2 2 3 2 2" xfId="16259"/>
    <cellStyle name="Calculation 2 2 2 2 5 2 2 3 2 2 2" xfId="29675"/>
    <cellStyle name="Calculation 2 2 2 2 5 2 2 3 2 3" xfId="21004"/>
    <cellStyle name="Calculation 2 2 2 2 5 2 2 3 3" xfId="13987"/>
    <cellStyle name="Calculation 2 2 2 2 5 2 2 3 3 2" xfId="28309"/>
    <cellStyle name="Calculation 2 2 2 2 5 2 2 3 4" xfId="19632"/>
    <cellStyle name="Calculation 2 2 2 2 5 2 2 4" xfId="6059"/>
    <cellStyle name="Calculation 2 2 2 2 5 2 2 4 2" xfId="23401"/>
    <cellStyle name="Calculation 2 2 2 2 5 2 2 5" xfId="17297"/>
    <cellStyle name="Calculation 2 2 2 2 5 2 3" xfId="85"/>
    <cellStyle name="Calculation 2 2 2 2 5 2 3 2" xfId="3664"/>
    <cellStyle name="Calculation 2 2 2 2 5 2 3 2 2" xfId="9356"/>
    <cellStyle name="Calculation 2 2 2 2 5 2 3 2 2 2" xfId="15618"/>
    <cellStyle name="Calculation 2 2 2 2 5 2 3 2 2 2 2" xfId="29034"/>
    <cellStyle name="Calculation 2 2 2 2 5 2 3 2 2 3" xfId="20363"/>
    <cellStyle name="Calculation 2 2 2 2 5 2 3 2 3" xfId="4100"/>
    <cellStyle name="Calculation 2 2 2 2 5 2 3 2 3 2" xfId="22757"/>
    <cellStyle name="Calculation 2 2 2 2 5 2 3 2 4" xfId="6675"/>
    <cellStyle name="Calculation 2 2 2 2 5 2 3 3" xfId="12137"/>
    <cellStyle name="Calculation 2 2 2 2 5 2 3 3 2" xfId="26459"/>
    <cellStyle name="Calculation 2 2 2 2 5 2 3 4" xfId="17782"/>
    <cellStyle name="Calculation 2 2 2 2 5 2 4" xfId="3914"/>
    <cellStyle name="Calculation 2 2 2 2 5 2 4 2" xfId="6197"/>
    <cellStyle name="Calculation 2 2 2 2 5 2 4 2 2" xfId="23458"/>
    <cellStyle name="Calculation 2 2 2 2 5 2 4 3" xfId="17028"/>
    <cellStyle name="Calculation 2 2 2 2 5 2 5" xfId="4033"/>
    <cellStyle name="Calculation 2 2 2 2 5 2 5 2" xfId="22711"/>
    <cellStyle name="Calculation 2 2 2 2 5 2 6" xfId="15004"/>
    <cellStyle name="Calculation 2 2 2 2 5 3" xfId="86"/>
    <cellStyle name="Calculation 2 2 2 2 5 3 2" xfId="6996"/>
    <cellStyle name="Calculation 2 2 2 2 5 3 2 2" xfId="13600"/>
    <cellStyle name="Calculation 2 2 2 2 5 3 2 2 2" xfId="27922"/>
    <cellStyle name="Calculation 2 2 2 2 5 3 2 3" xfId="19245"/>
    <cellStyle name="Calculation 2 2 2 2 5 3 3" xfId="8049"/>
    <cellStyle name="Calculation 2 2 2 2 5 3 3 2" xfId="10663"/>
    <cellStyle name="Calculation 2 2 2 2 5 3 3 2 2" xfId="16925"/>
    <cellStyle name="Calculation 2 2 2 2 5 3 3 2 2 2" xfId="30341"/>
    <cellStyle name="Calculation 2 2 2 2 5 3 3 2 3" xfId="21670"/>
    <cellStyle name="Calculation 2 2 2 2 5 3 3 3" xfId="14653"/>
    <cellStyle name="Calculation 2 2 2 2 5 3 3 3 2" xfId="28975"/>
    <cellStyle name="Calculation 2 2 2 2 5 3 3 4" xfId="20298"/>
    <cellStyle name="Calculation 2 2 2 2 5 3 4" xfId="11511"/>
    <cellStyle name="Calculation 2 2 2 2 5 3 4 2" xfId="25833"/>
    <cellStyle name="Calculation 2 2 2 2 5 3 5" xfId="15564"/>
    <cellStyle name="Calculation 2 2 2 2 5 4" xfId="87"/>
    <cellStyle name="Calculation 2 2 2 2 5 4 2" xfId="4767"/>
    <cellStyle name="Calculation 2 2 2 2 5 4 2 2" xfId="9480"/>
    <cellStyle name="Calculation 2 2 2 2 5 4 2 2 2" xfId="15742"/>
    <cellStyle name="Calculation 2 2 2 2 5 4 2 2 2 2" xfId="29158"/>
    <cellStyle name="Calculation 2 2 2 2 5 4 2 2 3" xfId="20487"/>
    <cellStyle name="Calculation 2 2 2 2 5 4 2 3" xfId="2811"/>
    <cellStyle name="Calculation 2 2 2 2 5 4 2 3 2" xfId="22374"/>
    <cellStyle name="Calculation 2 2 2 2 5 4 2 4" xfId="15106"/>
    <cellStyle name="Calculation 2 2 2 2 5 4 3" xfId="12855"/>
    <cellStyle name="Calculation 2 2 2 2 5 4 3 2" xfId="27177"/>
    <cellStyle name="Calculation 2 2 2 2 5 4 4" xfId="18500"/>
    <cellStyle name="Calculation 2 2 2 2 5 5" xfId="5457"/>
    <cellStyle name="Calculation 2 2 2 2 5 5 2" xfId="12008"/>
    <cellStyle name="Calculation 2 2 2 2 5 5 2 2" xfId="26330"/>
    <cellStyle name="Calculation 2 2 2 2 5 5 3" xfId="17653"/>
    <cellStyle name="Calculation 2 2 2 2 5 6" xfId="5002"/>
    <cellStyle name="Calculation 2 2 2 2 5 6 2" xfId="23303"/>
    <cellStyle name="Calculation 2 2 2 2 5 7" xfId="3855"/>
    <cellStyle name="Calculation 2 2 2 2 6" xfId="88"/>
    <cellStyle name="Calculation 2 2 2 2 6 2" xfId="89"/>
    <cellStyle name="Calculation 2 2 2 2 6 2 2" xfId="5416"/>
    <cellStyle name="Calculation 2 2 2 2 6 2 2 2" xfId="11966"/>
    <cellStyle name="Calculation 2 2 2 2 6 2 2 2 2" xfId="26288"/>
    <cellStyle name="Calculation 2 2 2 2 6 2 2 3" xfId="17611"/>
    <cellStyle name="Calculation 2 2 2 2 6 2 3" xfId="4340"/>
    <cellStyle name="Calculation 2 2 2 2 6 2 3 2" xfId="9451"/>
    <cellStyle name="Calculation 2 2 2 2 6 2 3 2 2" xfId="15713"/>
    <cellStyle name="Calculation 2 2 2 2 6 2 3 2 2 2" xfId="29129"/>
    <cellStyle name="Calculation 2 2 2 2 6 2 3 2 3" xfId="20458"/>
    <cellStyle name="Calculation 2 2 2 2 6 2 3 3" xfId="4727"/>
    <cellStyle name="Calculation 2 2 2 2 6 2 3 3 2" xfId="23154"/>
    <cellStyle name="Calculation 2 2 2 2 6 2 3 4" xfId="14856"/>
    <cellStyle name="Calculation 2 2 2 2 6 2 4" xfId="6196"/>
    <cellStyle name="Calculation 2 2 2 2 6 2 4 2" xfId="23457"/>
    <cellStyle name="Calculation 2 2 2 2 6 2 5" xfId="15296"/>
    <cellStyle name="Calculation 2 2 2 2 6 3" xfId="90"/>
    <cellStyle name="Calculation 2 2 2 2 6 3 2" xfId="7658"/>
    <cellStyle name="Calculation 2 2 2 2 6 3 2 2" xfId="10272"/>
    <cellStyle name="Calculation 2 2 2 2 6 3 2 2 2" xfId="16534"/>
    <cellStyle name="Calculation 2 2 2 2 6 3 2 2 2 2" xfId="29950"/>
    <cellStyle name="Calculation 2 2 2 2 6 3 2 2 3" xfId="21279"/>
    <cellStyle name="Calculation 2 2 2 2 6 3 2 3" xfId="14262"/>
    <cellStyle name="Calculation 2 2 2 2 6 3 2 3 2" xfId="28584"/>
    <cellStyle name="Calculation 2 2 2 2 6 3 2 4" xfId="19907"/>
    <cellStyle name="Calculation 2 2 2 2 6 3 3" xfId="13367"/>
    <cellStyle name="Calculation 2 2 2 2 6 3 3 2" xfId="27689"/>
    <cellStyle name="Calculation 2 2 2 2 6 3 4" xfId="19012"/>
    <cellStyle name="Calculation 2 2 2 2 6 4" xfId="5818"/>
    <cellStyle name="Calculation 2 2 2 2 6 4 2" xfId="12371"/>
    <cellStyle name="Calculation 2 2 2 2 6 4 2 2" xfId="26693"/>
    <cellStyle name="Calculation 2 2 2 2 6 4 3" xfId="18016"/>
    <cellStyle name="Calculation 2 2 2 2 6 5" xfId="4383"/>
    <cellStyle name="Calculation 2 2 2 2 6 5 2" xfId="22917"/>
    <cellStyle name="Calculation 2 2 2 2 6 6" xfId="4473"/>
    <cellStyle name="Calculation 2 2 2 2 7" xfId="91"/>
    <cellStyle name="Calculation 2 2 2 2 7 2" xfId="6168"/>
    <cellStyle name="Calculation 2 2 2 2 7 2 2" xfId="12741"/>
    <cellStyle name="Calculation 2 2 2 2 7 2 2 2" xfId="27063"/>
    <cellStyle name="Calculation 2 2 2 2 7 2 3" xfId="18386"/>
    <cellStyle name="Calculation 2 2 2 2 7 3" xfId="7427"/>
    <cellStyle name="Calculation 2 2 2 2 7 3 2" xfId="10041"/>
    <cellStyle name="Calculation 2 2 2 2 7 3 2 2" xfId="16303"/>
    <cellStyle name="Calculation 2 2 2 2 7 3 2 2 2" xfId="29719"/>
    <cellStyle name="Calculation 2 2 2 2 7 3 2 3" xfId="21048"/>
    <cellStyle name="Calculation 2 2 2 2 7 3 3" xfId="14031"/>
    <cellStyle name="Calculation 2 2 2 2 7 3 3 2" xfId="28353"/>
    <cellStyle name="Calculation 2 2 2 2 7 3 4" xfId="19676"/>
    <cellStyle name="Calculation 2 2 2 2 7 4" xfId="4422"/>
    <cellStyle name="Calculation 2 2 2 2 7 4 2" xfId="22940"/>
    <cellStyle name="Calculation 2 2 2 2 7 5" xfId="6622"/>
    <cellStyle name="Calculation 2 2 2 2 8" xfId="92"/>
    <cellStyle name="Calculation 2 2 2 2 8 2" xfId="7988"/>
    <cellStyle name="Calculation 2 2 2 2 8 2 2" xfId="10602"/>
    <cellStyle name="Calculation 2 2 2 2 8 2 2 2" xfId="16864"/>
    <cellStyle name="Calculation 2 2 2 2 8 2 2 2 2" xfId="30280"/>
    <cellStyle name="Calculation 2 2 2 2 8 2 2 3" xfId="21609"/>
    <cellStyle name="Calculation 2 2 2 2 8 2 3" xfId="14592"/>
    <cellStyle name="Calculation 2 2 2 2 8 2 3 2" xfId="28914"/>
    <cellStyle name="Calculation 2 2 2 2 8 2 4" xfId="20237"/>
    <cellStyle name="Calculation 2 2 2 2 8 3" xfId="12757"/>
    <cellStyle name="Calculation 2 2 2 2 8 3 2" xfId="27079"/>
    <cellStyle name="Calculation 2 2 2 2 8 4" xfId="18402"/>
    <cellStyle name="Calculation 2 2 2 2 9" xfId="5468"/>
    <cellStyle name="Calculation 2 2 2 2 9 2" xfId="12019"/>
    <cellStyle name="Calculation 2 2 2 2 9 2 2" xfId="26341"/>
    <cellStyle name="Calculation 2 2 2 2 9 3" xfId="17664"/>
    <cellStyle name="Calculation 2 2 2 3" xfId="93"/>
    <cellStyle name="Calculation 2 2 2 3 2" xfId="94"/>
    <cellStyle name="Calculation 2 2 2 3 2 2" xfId="95"/>
    <cellStyle name="Calculation 2 2 2 3 2 2 2" xfId="6828"/>
    <cellStyle name="Calculation 2 2 2 3 2 2 2 2" xfId="13432"/>
    <cellStyle name="Calculation 2 2 2 3 2 2 2 2 2" xfId="27754"/>
    <cellStyle name="Calculation 2 2 2 3 2 2 2 3" xfId="19077"/>
    <cellStyle name="Calculation 2 2 2 3 2 2 3" xfId="7849"/>
    <cellStyle name="Calculation 2 2 2 3 2 2 3 2" xfId="10463"/>
    <cellStyle name="Calculation 2 2 2 3 2 2 3 2 2" xfId="16725"/>
    <cellStyle name="Calculation 2 2 2 3 2 2 3 2 2 2" xfId="30141"/>
    <cellStyle name="Calculation 2 2 2 3 2 2 3 2 3" xfId="21470"/>
    <cellStyle name="Calculation 2 2 2 3 2 2 3 3" xfId="14453"/>
    <cellStyle name="Calculation 2 2 2 3 2 2 3 3 2" xfId="28775"/>
    <cellStyle name="Calculation 2 2 2 3 2 2 3 4" xfId="20098"/>
    <cellStyle name="Calculation 2 2 2 3 2 2 4" xfId="2780"/>
    <cellStyle name="Calculation 2 2 2 3 2 2 4 2" xfId="22349"/>
    <cellStyle name="Calculation 2 2 2 3 2 2 5" xfId="15234"/>
    <cellStyle name="Calculation 2 2 2 3 2 3" xfId="96"/>
    <cellStyle name="Calculation 2 2 2 3 2 3 2" xfId="7191"/>
    <cellStyle name="Calculation 2 2 2 3 2 3 2 2" xfId="9805"/>
    <cellStyle name="Calculation 2 2 2 3 2 3 2 2 2" xfId="16067"/>
    <cellStyle name="Calculation 2 2 2 3 2 3 2 2 2 2" xfId="29483"/>
    <cellStyle name="Calculation 2 2 2 3 2 3 2 2 3" xfId="20812"/>
    <cellStyle name="Calculation 2 2 2 3 2 3 2 3" xfId="13795"/>
    <cellStyle name="Calculation 2 2 2 3 2 3 2 3 2" xfId="28117"/>
    <cellStyle name="Calculation 2 2 2 3 2 3 2 4" xfId="19440"/>
    <cellStyle name="Calculation 2 2 2 3 2 3 3" xfId="13295"/>
    <cellStyle name="Calculation 2 2 2 3 2 3 3 2" xfId="27617"/>
    <cellStyle name="Calculation 2 2 2 3 2 3 4" xfId="18940"/>
    <cellStyle name="Calculation 2 2 2 3 2 4" xfId="5745"/>
    <cellStyle name="Calculation 2 2 2 3 2 4 2" xfId="12298"/>
    <cellStyle name="Calculation 2 2 2 3 2 4 2 2" xfId="26620"/>
    <cellStyle name="Calculation 2 2 2 3 2 4 3" xfId="17943"/>
    <cellStyle name="Calculation 2 2 2 3 2 5" xfId="5972"/>
    <cellStyle name="Calculation 2 2 2 3 2 5 2" xfId="23386"/>
    <cellStyle name="Calculation 2 2 2 3 2 6" xfId="15290"/>
    <cellStyle name="Calculation 2 2 2 3 3" xfId="97"/>
    <cellStyle name="Calculation 2 2 2 3 3 2" xfId="98"/>
    <cellStyle name="Calculation 2 2 2 3 3 2 2" xfId="6870"/>
    <cellStyle name="Calculation 2 2 2 3 3 2 2 2" xfId="13474"/>
    <cellStyle name="Calculation 2 2 2 3 3 2 2 2 2" xfId="27796"/>
    <cellStyle name="Calculation 2 2 2 3 3 2 2 3" xfId="19119"/>
    <cellStyle name="Calculation 2 2 2 3 3 2 3" xfId="7485"/>
    <cellStyle name="Calculation 2 2 2 3 3 2 3 2" xfId="10099"/>
    <cellStyle name="Calculation 2 2 2 3 3 2 3 2 2" xfId="16361"/>
    <cellStyle name="Calculation 2 2 2 3 3 2 3 2 2 2" xfId="29777"/>
    <cellStyle name="Calculation 2 2 2 3 3 2 3 2 3" xfId="21106"/>
    <cellStyle name="Calculation 2 2 2 3 3 2 3 3" xfId="14089"/>
    <cellStyle name="Calculation 2 2 2 3 3 2 3 3 2" xfId="28411"/>
    <cellStyle name="Calculation 2 2 2 3 3 2 3 4" xfId="19734"/>
    <cellStyle name="Calculation 2 2 2 3 3 2 4" xfId="11333"/>
    <cellStyle name="Calculation 2 2 2 3 3 2 4 2" xfId="25655"/>
    <cellStyle name="Calculation 2 2 2 3 3 2 5" xfId="17167"/>
    <cellStyle name="Calculation 2 2 2 3 3 3" xfId="99"/>
    <cellStyle name="Calculation 2 2 2 3 3 3 2" xfId="7703"/>
    <cellStyle name="Calculation 2 2 2 3 3 3 2 2" xfId="10317"/>
    <cellStyle name="Calculation 2 2 2 3 3 3 2 2 2" xfId="16579"/>
    <cellStyle name="Calculation 2 2 2 3 3 3 2 2 2 2" xfId="29995"/>
    <cellStyle name="Calculation 2 2 2 3 3 3 2 2 3" xfId="21324"/>
    <cellStyle name="Calculation 2 2 2 3 3 3 2 3" xfId="14307"/>
    <cellStyle name="Calculation 2 2 2 3 3 3 2 3 2" xfId="28629"/>
    <cellStyle name="Calculation 2 2 2 3 3 3 2 4" xfId="19952"/>
    <cellStyle name="Calculation 2 2 2 3 3 3 3" xfId="11673"/>
    <cellStyle name="Calculation 2 2 2 3 3 3 3 2" xfId="25995"/>
    <cellStyle name="Calculation 2 2 2 3 3 3 4" xfId="14844"/>
    <cellStyle name="Calculation 2 2 2 3 3 4" xfId="3157"/>
    <cellStyle name="Calculation 2 2 2 3 3 4 2" xfId="4370"/>
    <cellStyle name="Calculation 2 2 2 3 3 4 2 2" xfId="22912"/>
    <cellStyle name="Calculation 2 2 2 3 3 4 3" xfId="15285"/>
    <cellStyle name="Calculation 2 2 2 3 3 5" xfId="4477"/>
    <cellStyle name="Calculation 2 2 2 3 3 5 2" xfId="22975"/>
    <cellStyle name="Calculation 2 2 2 3 3 6" xfId="6464"/>
    <cellStyle name="Calculation 2 2 2 3 4" xfId="100"/>
    <cellStyle name="Calculation 2 2 2 3 4 2" xfId="6076"/>
    <cellStyle name="Calculation 2 2 2 3 4 2 2" xfId="12642"/>
    <cellStyle name="Calculation 2 2 2 3 4 2 2 2" xfId="26964"/>
    <cellStyle name="Calculation 2 2 2 3 4 2 3" xfId="18287"/>
    <cellStyle name="Calculation 2 2 2 3 4 3" xfId="8043"/>
    <cellStyle name="Calculation 2 2 2 3 4 3 2" xfId="10657"/>
    <cellStyle name="Calculation 2 2 2 3 4 3 2 2" xfId="16919"/>
    <cellStyle name="Calculation 2 2 2 3 4 3 2 2 2" xfId="30335"/>
    <cellStyle name="Calculation 2 2 2 3 4 3 2 3" xfId="21664"/>
    <cellStyle name="Calculation 2 2 2 3 4 3 3" xfId="14647"/>
    <cellStyle name="Calculation 2 2 2 3 4 3 3 2" xfId="28969"/>
    <cellStyle name="Calculation 2 2 2 3 4 3 4" xfId="20292"/>
    <cellStyle name="Calculation 2 2 2 3 4 4" xfId="4086"/>
    <cellStyle name="Calculation 2 2 2 3 4 4 2" xfId="22752"/>
    <cellStyle name="Calculation 2 2 2 3 4 5" xfId="16988"/>
    <cellStyle name="Calculation 2 2 2 3 5" xfId="101"/>
    <cellStyle name="Calculation 2 2 2 3 5 2" xfId="7704"/>
    <cellStyle name="Calculation 2 2 2 3 5 2 2" xfId="10318"/>
    <cellStyle name="Calculation 2 2 2 3 5 2 2 2" xfId="16580"/>
    <cellStyle name="Calculation 2 2 2 3 5 2 2 2 2" xfId="29996"/>
    <cellStyle name="Calculation 2 2 2 3 5 2 2 3" xfId="21325"/>
    <cellStyle name="Calculation 2 2 2 3 5 2 3" xfId="14308"/>
    <cellStyle name="Calculation 2 2 2 3 5 2 3 2" xfId="28630"/>
    <cellStyle name="Calculation 2 2 2 3 5 2 4" xfId="19953"/>
    <cellStyle name="Calculation 2 2 2 3 5 3" xfId="12871"/>
    <cellStyle name="Calculation 2 2 2 3 5 3 2" xfId="27193"/>
    <cellStyle name="Calculation 2 2 2 3 5 4" xfId="18516"/>
    <cellStyle name="Calculation 2 2 2 3 6" xfId="5489"/>
    <cellStyle name="Calculation 2 2 2 3 6 2" xfId="12040"/>
    <cellStyle name="Calculation 2 2 2 3 6 2 2" xfId="26362"/>
    <cellStyle name="Calculation 2 2 2 3 6 3" xfId="17685"/>
    <cellStyle name="Calculation 2 2 2 3 7" xfId="6658"/>
    <cellStyle name="Calculation 2 2 2 3 7 2" xfId="23634"/>
    <cellStyle name="Calculation 2 2 2 3 8" xfId="17351"/>
    <cellStyle name="Calculation 2 2 2 4" xfId="102"/>
    <cellStyle name="Calculation 2 2 2 4 2" xfId="103"/>
    <cellStyle name="Calculation 2 2 2 4 2 2" xfId="104"/>
    <cellStyle name="Calculation 2 2 2 4 2 2 2" xfId="6547"/>
    <cellStyle name="Calculation 2 2 2 4 2 2 2 2" xfId="13135"/>
    <cellStyle name="Calculation 2 2 2 4 2 2 2 2 2" xfId="27457"/>
    <cellStyle name="Calculation 2 2 2 4 2 2 2 3" xfId="18780"/>
    <cellStyle name="Calculation 2 2 2 4 2 2 3" xfId="7372"/>
    <cellStyle name="Calculation 2 2 2 4 2 2 3 2" xfId="9986"/>
    <cellStyle name="Calculation 2 2 2 4 2 2 3 2 2" xfId="16248"/>
    <cellStyle name="Calculation 2 2 2 4 2 2 3 2 2 2" xfId="29664"/>
    <cellStyle name="Calculation 2 2 2 4 2 2 3 2 3" xfId="20993"/>
    <cellStyle name="Calculation 2 2 2 4 2 2 3 3" xfId="13976"/>
    <cellStyle name="Calculation 2 2 2 4 2 2 3 3 2" xfId="28298"/>
    <cellStyle name="Calculation 2 2 2 4 2 2 3 4" xfId="19621"/>
    <cellStyle name="Calculation 2 2 2 4 2 2 4" xfId="6015"/>
    <cellStyle name="Calculation 2 2 2 4 2 2 4 2" xfId="23394"/>
    <cellStyle name="Calculation 2 2 2 4 2 2 5" xfId="15035"/>
    <cellStyle name="Calculation 2 2 2 4 2 3" xfId="105"/>
    <cellStyle name="Calculation 2 2 2 4 2 3 2" xfId="7420"/>
    <cellStyle name="Calculation 2 2 2 4 2 3 2 2" xfId="10034"/>
    <cellStyle name="Calculation 2 2 2 4 2 3 2 2 2" xfId="16296"/>
    <cellStyle name="Calculation 2 2 2 4 2 3 2 2 2 2" xfId="29712"/>
    <cellStyle name="Calculation 2 2 2 4 2 3 2 2 3" xfId="21041"/>
    <cellStyle name="Calculation 2 2 2 4 2 3 2 3" xfId="14024"/>
    <cellStyle name="Calculation 2 2 2 4 2 3 2 3 2" xfId="28346"/>
    <cellStyle name="Calculation 2 2 2 4 2 3 2 4" xfId="19669"/>
    <cellStyle name="Calculation 2 2 2 4 2 3 3" xfId="13331"/>
    <cellStyle name="Calculation 2 2 2 4 2 3 3 2" xfId="27653"/>
    <cellStyle name="Calculation 2 2 2 4 2 3 4" xfId="18976"/>
    <cellStyle name="Calculation 2 2 2 4 2 4" xfId="5781"/>
    <cellStyle name="Calculation 2 2 2 4 2 4 2" xfId="12334"/>
    <cellStyle name="Calculation 2 2 2 4 2 4 2 2" xfId="26656"/>
    <cellStyle name="Calculation 2 2 2 4 2 4 3" xfId="17979"/>
    <cellStyle name="Calculation 2 2 2 4 2 5" xfId="4668"/>
    <cellStyle name="Calculation 2 2 2 4 2 5 2" xfId="23107"/>
    <cellStyle name="Calculation 2 2 2 4 2 6" xfId="15131"/>
    <cellStyle name="Calculation 2 2 2 4 3" xfId="106"/>
    <cellStyle name="Calculation 2 2 2 4 3 2" xfId="107"/>
    <cellStyle name="Calculation 2 2 2 4 3 2 2" xfId="6100"/>
    <cellStyle name="Calculation 2 2 2 4 3 2 2 2" xfId="12667"/>
    <cellStyle name="Calculation 2 2 2 4 3 2 2 2 2" xfId="26989"/>
    <cellStyle name="Calculation 2 2 2 4 3 2 2 3" xfId="18312"/>
    <cellStyle name="Calculation 2 2 2 4 3 2 3" xfId="8022"/>
    <cellStyle name="Calculation 2 2 2 4 3 2 3 2" xfId="10636"/>
    <cellStyle name="Calculation 2 2 2 4 3 2 3 2 2" xfId="16898"/>
    <cellStyle name="Calculation 2 2 2 4 3 2 3 2 2 2" xfId="30314"/>
    <cellStyle name="Calculation 2 2 2 4 3 2 3 2 3" xfId="21643"/>
    <cellStyle name="Calculation 2 2 2 4 3 2 3 3" xfId="14626"/>
    <cellStyle name="Calculation 2 2 2 4 3 2 3 3 2" xfId="28948"/>
    <cellStyle name="Calculation 2 2 2 4 3 2 3 4" xfId="20271"/>
    <cellStyle name="Calculation 2 2 2 4 3 2 4" xfId="6189"/>
    <cellStyle name="Calculation 2 2 2 4 3 2 4 2" xfId="23453"/>
    <cellStyle name="Calculation 2 2 2 4 3 2 5" xfId="17187"/>
    <cellStyle name="Calculation 2 2 2 4 3 3" xfId="108"/>
    <cellStyle name="Calculation 2 2 2 4 3 3 2" xfId="3814"/>
    <cellStyle name="Calculation 2 2 2 4 3 3 2 2" xfId="9380"/>
    <cellStyle name="Calculation 2 2 2 4 3 3 2 2 2" xfId="15642"/>
    <cellStyle name="Calculation 2 2 2 4 3 3 2 2 2 2" xfId="29058"/>
    <cellStyle name="Calculation 2 2 2 4 3 3 2 2 3" xfId="20387"/>
    <cellStyle name="Calculation 2 2 2 4 3 3 2 3" xfId="6679"/>
    <cellStyle name="Calculation 2 2 2 4 3 3 2 3 2" xfId="23650"/>
    <cellStyle name="Calculation 2 2 2 4 3 3 2 4" xfId="17281"/>
    <cellStyle name="Calculation 2 2 2 4 3 3 3" xfId="13056"/>
    <cellStyle name="Calculation 2 2 2 4 3 3 3 2" xfId="27378"/>
    <cellStyle name="Calculation 2 2 2 4 3 3 4" xfId="18701"/>
    <cellStyle name="Calculation 2 2 2 4 3 4" xfId="5385"/>
    <cellStyle name="Calculation 2 2 2 4 3 4 2" xfId="11935"/>
    <cellStyle name="Calculation 2 2 2 4 3 4 2 2" xfId="26257"/>
    <cellStyle name="Calculation 2 2 2 4 3 4 3" xfId="17580"/>
    <cellStyle name="Calculation 2 2 2 4 3 5" xfId="6141"/>
    <cellStyle name="Calculation 2 2 2 4 3 5 2" xfId="23426"/>
    <cellStyle name="Calculation 2 2 2 4 3 6" xfId="15078"/>
    <cellStyle name="Calculation 2 2 2 4 4" xfId="109"/>
    <cellStyle name="Calculation 2 2 2 4 4 2" xfId="6999"/>
    <cellStyle name="Calculation 2 2 2 4 4 2 2" xfId="13603"/>
    <cellStyle name="Calculation 2 2 2 4 4 2 2 2" xfId="27925"/>
    <cellStyle name="Calculation 2 2 2 4 4 2 3" xfId="19248"/>
    <cellStyle name="Calculation 2 2 2 4 4 3" xfId="7578"/>
    <cellStyle name="Calculation 2 2 2 4 4 3 2" xfId="10192"/>
    <cellStyle name="Calculation 2 2 2 4 4 3 2 2" xfId="16454"/>
    <cellStyle name="Calculation 2 2 2 4 4 3 2 2 2" xfId="29870"/>
    <cellStyle name="Calculation 2 2 2 4 4 3 2 3" xfId="21199"/>
    <cellStyle name="Calculation 2 2 2 4 4 3 3" xfId="14182"/>
    <cellStyle name="Calculation 2 2 2 4 4 3 3 2" xfId="28504"/>
    <cellStyle name="Calculation 2 2 2 4 4 3 4" xfId="19827"/>
    <cellStyle name="Calculation 2 2 2 4 4 4" xfId="11515"/>
    <cellStyle name="Calculation 2 2 2 4 4 4 2" xfId="25837"/>
    <cellStyle name="Calculation 2 2 2 4 4 5" xfId="4569"/>
    <cellStyle name="Calculation 2 2 2 4 5" xfId="110"/>
    <cellStyle name="Calculation 2 2 2 4 5 2" xfId="7810"/>
    <cellStyle name="Calculation 2 2 2 4 5 2 2" xfId="10424"/>
    <cellStyle name="Calculation 2 2 2 4 5 2 2 2" xfId="16686"/>
    <cellStyle name="Calculation 2 2 2 4 5 2 2 2 2" xfId="30102"/>
    <cellStyle name="Calculation 2 2 2 4 5 2 2 3" xfId="21431"/>
    <cellStyle name="Calculation 2 2 2 4 5 2 3" xfId="14414"/>
    <cellStyle name="Calculation 2 2 2 4 5 2 3 2" xfId="28736"/>
    <cellStyle name="Calculation 2 2 2 4 5 2 4" xfId="20059"/>
    <cellStyle name="Calculation 2 2 2 4 5 3" xfId="12907"/>
    <cellStyle name="Calculation 2 2 2 4 5 3 2" xfId="27229"/>
    <cellStyle name="Calculation 2 2 2 4 5 4" xfId="18552"/>
    <cellStyle name="Calculation 2 2 2 4 6" xfId="5531"/>
    <cellStyle name="Calculation 2 2 2 4 6 2" xfId="12082"/>
    <cellStyle name="Calculation 2 2 2 4 6 2 2" xfId="26404"/>
    <cellStyle name="Calculation 2 2 2 4 6 3" xfId="17727"/>
    <cellStyle name="Calculation 2 2 2 4 7" xfId="3807"/>
    <cellStyle name="Calculation 2 2 2 4 7 2" xfId="22593"/>
    <cellStyle name="Calculation 2 2 2 4 8" xfId="14679"/>
    <cellStyle name="Calculation 2 2 2 5" xfId="111"/>
    <cellStyle name="Calculation 2 2 2 5 2" xfId="112"/>
    <cellStyle name="Calculation 2 2 2 5 2 2" xfId="113"/>
    <cellStyle name="Calculation 2 2 2 5 2 2 2" xfId="5942"/>
    <cellStyle name="Calculation 2 2 2 5 2 2 2 2" xfId="12499"/>
    <cellStyle name="Calculation 2 2 2 5 2 2 2 2 2" xfId="26821"/>
    <cellStyle name="Calculation 2 2 2 5 2 2 2 3" xfId="18144"/>
    <cellStyle name="Calculation 2 2 2 5 2 2 3" xfId="7707"/>
    <cellStyle name="Calculation 2 2 2 5 2 2 3 2" xfId="10321"/>
    <cellStyle name="Calculation 2 2 2 5 2 2 3 2 2" xfId="16583"/>
    <cellStyle name="Calculation 2 2 2 5 2 2 3 2 2 2" xfId="29999"/>
    <cellStyle name="Calculation 2 2 2 5 2 2 3 2 3" xfId="21328"/>
    <cellStyle name="Calculation 2 2 2 5 2 2 3 3" xfId="14311"/>
    <cellStyle name="Calculation 2 2 2 5 2 2 3 3 2" xfId="28633"/>
    <cellStyle name="Calculation 2 2 2 5 2 2 3 4" xfId="19956"/>
    <cellStyle name="Calculation 2 2 2 5 2 2 4" xfId="6044"/>
    <cellStyle name="Calculation 2 2 2 5 2 2 4 2" xfId="23398"/>
    <cellStyle name="Calculation 2 2 2 5 2 2 5" xfId="15556"/>
    <cellStyle name="Calculation 2 2 2 5 2 3" xfId="114"/>
    <cellStyle name="Calculation 2 2 2 5 2 3 2" xfId="7592"/>
    <cellStyle name="Calculation 2 2 2 5 2 3 2 2" xfId="10206"/>
    <cellStyle name="Calculation 2 2 2 5 2 3 2 2 2" xfId="16468"/>
    <cellStyle name="Calculation 2 2 2 5 2 3 2 2 2 2" xfId="29884"/>
    <cellStyle name="Calculation 2 2 2 5 2 3 2 2 3" xfId="21213"/>
    <cellStyle name="Calculation 2 2 2 5 2 3 2 3" xfId="14196"/>
    <cellStyle name="Calculation 2 2 2 5 2 3 2 3 2" xfId="28518"/>
    <cellStyle name="Calculation 2 2 2 5 2 3 2 4" xfId="19841"/>
    <cellStyle name="Calculation 2 2 2 5 2 3 3" xfId="13201"/>
    <cellStyle name="Calculation 2 2 2 5 2 3 3 2" xfId="27523"/>
    <cellStyle name="Calculation 2 2 2 5 2 3 4" xfId="18846"/>
    <cellStyle name="Calculation 2 2 2 5 2 4" xfId="5640"/>
    <cellStyle name="Calculation 2 2 2 5 2 4 2" xfId="12193"/>
    <cellStyle name="Calculation 2 2 2 5 2 4 2 2" xfId="26515"/>
    <cellStyle name="Calculation 2 2 2 5 2 4 3" xfId="17838"/>
    <cellStyle name="Calculation 2 2 2 5 2 5" xfId="6614"/>
    <cellStyle name="Calculation 2 2 2 5 2 5 2" xfId="23606"/>
    <cellStyle name="Calculation 2 2 2 5 2 6" xfId="17019"/>
    <cellStyle name="Calculation 2 2 2 5 3" xfId="115"/>
    <cellStyle name="Calculation 2 2 2 5 3 2" xfId="116"/>
    <cellStyle name="Calculation 2 2 2 5 3 2 2" xfId="6854"/>
    <cellStyle name="Calculation 2 2 2 5 3 2 2 2" xfId="13458"/>
    <cellStyle name="Calculation 2 2 2 5 3 2 2 2 2" xfId="27780"/>
    <cellStyle name="Calculation 2 2 2 5 3 2 2 3" xfId="19103"/>
    <cellStyle name="Calculation 2 2 2 5 3 2 3" xfId="7698"/>
    <cellStyle name="Calculation 2 2 2 5 3 2 3 2" xfId="10312"/>
    <cellStyle name="Calculation 2 2 2 5 3 2 3 2 2" xfId="16574"/>
    <cellStyle name="Calculation 2 2 2 5 3 2 3 2 2 2" xfId="29990"/>
    <cellStyle name="Calculation 2 2 2 5 3 2 3 2 3" xfId="21319"/>
    <cellStyle name="Calculation 2 2 2 5 3 2 3 3" xfId="14302"/>
    <cellStyle name="Calculation 2 2 2 5 3 2 3 3 2" xfId="28624"/>
    <cellStyle name="Calculation 2 2 2 5 3 2 3 4" xfId="19947"/>
    <cellStyle name="Calculation 2 2 2 5 3 2 4" xfId="2760"/>
    <cellStyle name="Calculation 2 2 2 5 3 2 4 2" xfId="22329"/>
    <cellStyle name="Calculation 2 2 2 5 3 2 5" xfId="15530"/>
    <cellStyle name="Calculation 2 2 2 5 3 3" xfId="117"/>
    <cellStyle name="Calculation 2 2 2 5 3 3 2" xfId="7336"/>
    <cellStyle name="Calculation 2 2 2 5 3 3 2 2" xfId="9950"/>
    <cellStyle name="Calculation 2 2 2 5 3 3 2 2 2" xfId="16212"/>
    <cellStyle name="Calculation 2 2 2 5 3 3 2 2 2 2" xfId="29628"/>
    <cellStyle name="Calculation 2 2 2 5 3 3 2 2 3" xfId="20957"/>
    <cellStyle name="Calculation 2 2 2 5 3 3 2 3" xfId="13940"/>
    <cellStyle name="Calculation 2 2 2 5 3 3 2 3 2" xfId="28262"/>
    <cellStyle name="Calculation 2 2 2 5 3 3 2 4" xfId="19585"/>
    <cellStyle name="Calculation 2 2 2 5 3 3 3" xfId="13179"/>
    <cellStyle name="Calculation 2 2 2 5 3 3 3 2" xfId="27501"/>
    <cellStyle name="Calculation 2 2 2 5 3 3 4" xfId="18824"/>
    <cellStyle name="Calculation 2 2 2 5 3 4" xfId="5602"/>
    <cellStyle name="Calculation 2 2 2 5 3 4 2" xfId="12154"/>
    <cellStyle name="Calculation 2 2 2 5 3 4 2 2" xfId="26476"/>
    <cellStyle name="Calculation 2 2 2 5 3 4 3" xfId="17799"/>
    <cellStyle name="Calculation 2 2 2 5 3 5" xfId="3715"/>
    <cellStyle name="Calculation 2 2 2 5 3 5 2" xfId="22540"/>
    <cellStyle name="Calculation 2 2 2 5 3 6" xfId="16963"/>
    <cellStyle name="Calculation 2 2 2 5 4" xfId="118"/>
    <cellStyle name="Calculation 2 2 2 5 4 2" xfId="6932"/>
    <cellStyle name="Calculation 2 2 2 5 4 2 2" xfId="13536"/>
    <cellStyle name="Calculation 2 2 2 5 4 2 2 2" xfId="27858"/>
    <cellStyle name="Calculation 2 2 2 5 4 2 3" xfId="19181"/>
    <cellStyle name="Calculation 2 2 2 5 4 3" xfId="4415"/>
    <cellStyle name="Calculation 2 2 2 5 4 3 2" xfId="9464"/>
    <cellStyle name="Calculation 2 2 2 5 4 3 2 2" xfId="15726"/>
    <cellStyle name="Calculation 2 2 2 5 4 3 2 2 2" xfId="29142"/>
    <cellStyle name="Calculation 2 2 2 5 4 3 2 3" xfId="20471"/>
    <cellStyle name="Calculation 2 2 2 5 4 3 3" xfId="3832"/>
    <cellStyle name="Calculation 2 2 2 5 4 3 3 2" xfId="22603"/>
    <cellStyle name="Calculation 2 2 2 5 4 3 4" xfId="15404"/>
    <cellStyle name="Calculation 2 2 2 5 4 4" xfId="11425"/>
    <cellStyle name="Calculation 2 2 2 5 4 4 2" xfId="25747"/>
    <cellStyle name="Calculation 2 2 2 5 4 5" xfId="15095"/>
    <cellStyle name="Calculation 2 2 2 5 5" xfId="119"/>
    <cellStyle name="Calculation 2 2 2 5 5 2" xfId="3599"/>
    <cellStyle name="Calculation 2 2 2 5 5 2 2" xfId="9342"/>
    <cellStyle name="Calculation 2 2 2 5 5 2 2 2" xfId="15604"/>
    <cellStyle name="Calculation 2 2 2 5 5 2 2 2 2" xfId="29020"/>
    <cellStyle name="Calculation 2 2 2 5 5 2 2 3" xfId="20349"/>
    <cellStyle name="Calculation 2 2 2 5 5 2 3" xfId="6332"/>
    <cellStyle name="Calculation 2 2 2 5 5 2 3 2" xfId="23521"/>
    <cellStyle name="Calculation 2 2 2 5 5 2 4" xfId="17083"/>
    <cellStyle name="Calculation 2 2 2 5 5 3" xfId="11968"/>
    <cellStyle name="Calculation 2 2 2 5 5 3 2" xfId="26290"/>
    <cellStyle name="Calculation 2 2 2 5 5 4" xfId="17613"/>
    <cellStyle name="Calculation 2 2 2 5 6" xfId="5111"/>
    <cellStyle name="Calculation 2 2 2 5 6 2" xfId="11659"/>
    <cellStyle name="Calculation 2 2 2 5 6 2 2" xfId="25981"/>
    <cellStyle name="Calculation 2 2 2 5 6 3" xfId="17395"/>
    <cellStyle name="Calculation 2 2 2 5 7" xfId="6127"/>
    <cellStyle name="Calculation 2 2 2 5 7 2" xfId="23420"/>
    <cellStyle name="Calculation 2 2 2 5 8" xfId="17218"/>
    <cellStyle name="Calculation 2 2 2 6" xfId="120"/>
    <cellStyle name="Calculation 2 2 2 6 2" xfId="121"/>
    <cellStyle name="Calculation 2 2 2 6 2 2" xfId="122"/>
    <cellStyle name="Calculation 2 2 2 6 2 2 2" xfId="5432"/>
    <cellStyle name="Calculation 2 2 2 6 2 2 2 2" xfId="11983"/>
    <cellStyle name="Calculation 2 2 2 6 2 2 2 2 2" xfId="26305"/>
    <cellStyle name="Calculation 2 2 2 6 2 2 2 3" xfId="17628"/>
    <cellStyle name="Calculation 2 2 2 6 2 2 3" xfId="4496"/>
    <cellStyle name="Calculation 2 2 2 6 2 2 3 2" xfId="9471"/>
    <cellStyle name="Calculation 2 2 2 6 2 2 3 2 2" xfId="15733"/>
    <cellStyle name="Calculation 2 2 2 6 2 2 3 2 2 2" xfId="29149"/>
    <cellStyle name="Calculation 2 2 2 6 2 2 3 2 3" xfId="20478"/>
    <cellStyle name="Calculation 2 2 2 6 2 2 3 3" xfId="6254"/>
    <cellStyle name="Calculation 2 2 2 6 2 2 3 3 2" xfId="23476"/>
    <cellStyle name="Calculation 2 2 2 6 2 2 3 4" xfId="15344"/>
    <cellStyle name="Calculation 2 2 2 6 2 2 4" xfId="4960"/>
    <cellStyle name="Calculation 2 2 2 6 2 2 4 2" xfId="23282"/>
    <cellStyle name="Calculation 2 2 2 6 2 2 5" xfId="14897"/>
    <cellStyle name="Calculation 2 2 2 6 2 3" xfId="123"/>
    <cellStyle name="Calculation 2 2 2 6 2 3 2" xfId="7140"/>
    <cellStyle name="Calculation 2 2 2 6 2 3 2 2" xfId="9754"/>
    <cellStyle name="Calculation 2 2 2 6 2 3 2 2 2" xfId="16016"/>
    <cellStyle name="Calculation 2 2 2 6 2 3 2 2 2 2" xfId="29432"/>
    <cellStyle name="Calculation 2 2 2 6 2 3 2 2 3" xfId="20761"/>
    <cellStyle name="Calculation 2 2 2 6 2 3 2 3" xfId="13744"/>
    <cellStyle name="Calculation 2 2 2 6 2 3 2 3 2" xfId="28066"/>
    <cellStyle name="Calculation 2 2 2 6 2 3 2 4" xfId="19389"/>
    <cellStyle name="Calculation 2 2 2 6 2 3 3" xfId="12666"/>
    <cellStyle name="Calculation 2 2 2 6 2 3 3 2" xfId="26988"/>
    <cellStyle name="Calculation 2 2 2 6 2 3 4" xfId="18311"/>
    <cellStyle name="Calculation 2 2 2 6 2 4" xfId="5049"/>
    <cellStyle name="Calculation 2 2 2 6 2 4 2" xfId="11596"/>
    <cellStyle name="Calculation 2 2 2 6 2 4 2 2" xfId="25918"/>
    <cellStyle name="Calculation 2 2 2 6 2 4 3" xfId="15190"/>
    <cellStyle name="Calculation 2 2 2 6 2 5" xfId="4178"/>
    <cellStyle name="Calculation 2 2 2 6 2 5 2" xfId="22801"/>
    <cellStyle name="Calculation 2 2 2 6 2 6" xfId="15329"/>
    <cellStyle name="Calculation 2 2 2 6 3" xfId="124"/>
    <cellStyle name="Calculation 2 2 2 6 3 2" xfId="5589"/>
    <cellStyle name="Calculation 2 2 2 6 3 2 2" xfId="12141"/>
    <cellStyle name="Calculation 2 2 2 6 3 2 2 2" xfId="26463"/>
    <cellStyle name="Calculation 2 2 2 6 3 2 3" xfId="17786"/>
    <cellStyle name="Calculation 2 2 2 6 3 3" xfId="7473"/>
    <cellStyle name="Calculation 2 2 2 6 3 3 2" xfId="10087"/>
    <cellStyle name="Calculation 2 2 2 6 3 3 2 2" xfId="16349"/>
    <cellStyle name="Calculation 2 2 2 6 3 3 2 2 2" xfId="29765"/>
    <cellStyle name="Calculation 2 2 2 6 3 3 2 3" xfId="21094"/>
    <cellStyle name="Calculation 2 2 2 6 3 3 3" xfId="14077"/>
    <cellStyle name="Calculation 2 2 2 6 3 3 3 2" xfId="28399"/>
    <cellStyle name="Calculation 2 2 2 6 3 3 4" xfId="19722"/>
    <cellStyle name="Calculation 2 2 2 6 3 4" xfId="3294"/>
    <cellStyle name="Calculation 2 2 2 6 3 4 2" xfId="22467"/>
    <cellStyle name="Calculation 2 2 2 6 3 5" xfId="17394"/>
    <cellStyle name="Calculation 2 2 2 6 4" xfId="125"/>
    <cellStyle name="Calculation 2 2 2 6 4 2" xfId="7053"/>
    <cellStyle name="Calculation 2 2 2 6 4 2 2" xfId="9667"/>
    <cellStyle name="Calculation 2 2 2 6 4 2 2 2" xfId="15929"/>
    <cellStyle name="Calculation 2 2 2 6 4 2 2 2 2" xfId="29345"/>
    <cellStyle name="Calculation 2 2 2 6 4 2 2 3" xfId="20674"/>
    <cellStyle name="Calculation 2 2 2 6 4 2 3" xfId="13657"/>
    <cellStyle name="Calculation 2 2 2 6 4 2 3 2" xfId="27979"/>
    <cellStyle name="Calculation 2 2 2 6 4 2 4" xfId="19302"/>
    <cellStyle name="Calculation 2 2 2 6 4 3" xfId="12206"/>
    <cellStyle name="Calculation 2 2 2 6 4 3 2" xfId="26528"/>
    <cellStyle name="Calculation 2 2 2 6 4 4" xfId="17851"/>
    <cellStyle name="Calculation 2 2 2 6 5" xfId="5153"/>
    <cellStyle name="Calculation 2 2 2 6 5 2" xfId="11702"/>
    <cellStyle name="Calculation 2 2 2 6 5 2 2" xfId="26024"/>
    <cellStyle name="Calculation 2 2 2 6 5 3" xfId="6704"/>
    <cellStyle name="Calculation 2 2 2 6 6" xfId="6335"/>
    <cellStyle name="Calculation 2 2 2 6 6 2" xfId="23523"/>
    <cellStyle name="Calculation 2 2 2 6 7" xfId="14973"/>
    <cellStyle name="Calculation 2 2 2 7" xfId="126"/>
    <cellStyle name="Calculation 2 2 2 7 2" xfId="127"/>
    <cellStyle name="Calculation 2 2 2 7 2 2" xfId="6024"/>
    <cellStyle name="Calculation 2 2 2 7 2 2 2" xfId="12585"/>
    <cellStyle name="Calculation 2 2 2 7 2 2 2 2" xfId="26907"/>
    <cellStyle name="Calculation 2 2 2 7 2 2 3" xfId="18230"/>
    <cellStyle name="Calculation 2 2 2 7 2 3" xfId="7656"/>
    <cellStyle name="Calculation 2 2 2 7 2 3 2" xfId="10270"/>
    <cellStyle name="Calculation 2 2 2 7 2 3 2 2" xfId="16532"/>
    <cellStyle name="Calculation 2 2 2 7 2 3 2 2 2" xfId="29948"/>
    <cellStyle name="Calculation 2 2 2 7 2 3 2 3" xfId="21277"/>
    <cellStyle name="Calculation 2 2 2 7 2 3 3" xfId="14260"/>
    <cellStyle name="Calculation 2 2 2 7 2 3 3 2" xfId="28582"/>
    <cellStyle name="Calculation 2 2 2 7 2 3 4" xfId="19905"/>
    <cellStyle name="Calculation 2 2 2 7 2 4" xfId="4731"/>
    <cellStyle name="Calculation 2 2 2 7 2 4 2" xfId="23157"/>
    <cellStyle name="Calculation 2 2 2 7 2 5" xfId="15066"/>
    <cellStyle name="Calculation 2 2 2 7 3" xfId="128"/>
    <cellStyle name="Calculation 2 2 2 7 3 2" xfId="7542"/>
    <cellStyle name="Calculation 2 2 2 7 3 2 2" xfId="10156"/>
    <cellStyle name="Calculation 2 2 2 7 3 2 2 2" xfId="16418"/>
    <cellStyle name="Calculation 2 2 2 7 3 2 2 2 2" xfId="29834"/>
    <cellStyle name="Calculation 2 2 2 7 3 2 2 3" xfId="21163"/>
    <cellStyle name="Calculation 2 2 2 7 3 2 3" xfId="14146"/>
    <cellStyle name="Calculation 2 2 2 7 3 2 3 2" xfId="28468"/>
    <cellStyle name="Calculation 2 2 2 7 3 2 4" xfId="19791"/>
    <cellStyle name="Calculation 2 2 2 7 3 3" xfId="12209"/>
    <cellStyle name="Calculation 2 2 2 7 3 3 2" xfId="26531"/>
    <cellStyle name="Calculation 2 2 2 7 3 4" xfId="17854"/>
    <cellStyle name="Calculation 2 2 2 7 4" xfId="5150"/>
    <cellStyle name="Calculation 2 2 2 7 4 2" xfId="11699"/>
    <cellStyle name="Calculation 2 2 2 7 4 2 2" xfId="26021"/>
    <cellStyle name="Calculation 2 2 2 7 4 3" xfId="4170"/>
    <cellStyle name="Calculation 2 2 2 7 5" xfId="4580"/>
    <cellStyle name="Calculation 2 2 2 7 5 2" xfId="23046"/>
    <cellStyle name="Calculation 2 2 2 7 6" xfId="15557"/>
    <cellStyle name="Calculation 2 2 2 8" xfId="129"/>
    <cellStyle name="Calculation 2 2 2 8 2" xfId="5590"/>
    <cellStyle name="Calculation 2 2 2 8 2 2" xfId="12142"/>
    <cellStyle name="Calculation 2 2 2 8 2 2 2" xfId="26464"/>
    <cellStyle name="Calculation 2 2 2 8 2 3" xfId="17787"/>
    <cellStyle name="Calculation 2 2 2 8 3" xfId="5268"/>
    <cellStyle name="Calculation 2 2 2 8 3 2" xfId="9577"/>
    <cellStyle name="Calculation 2 2 2 8 3 2 2" xfId="15839"/>
    <cellStyle name="Calculation 2 2 2 8 3 2 2 2" xfId="29255"/>
    <cellStyle name="Calculation 2 2 2 8 3 2 3" xfId="20584"/>
    <cellStyle name="Calculation 2 2 2 8 3 3" xfId="11818"/>
    <cellStyle name="Calculation 2 2 2 8 3 3 2" xfId="26140"/>
    <cellStyle name="Calculation 2 2 2 8 3 4" xfId="17463"/>
    <cellStyle name="Calculation 2 2 2 8 4" xfId="6364"/>
    <cellStyle name="Calculation 2 2 2 8 4 2" xfId="23547"/>
    <cellStyle name="Calculation 2 2 2 8 5" xfId="15377"/>
    <cellStyle name="Calculation 2 2 2 9" xfId="130"/>
    <cellStyle name="Calculation 2 2 2 9 2" xfId="7399"/>
    <cellStyle name="Calculation 2 2 2 9 2 2" xfId="10013"/>
    <cellStyle name="Calculation 2 2 2 9 2 2 2" xfId="16275"/>
    <cellStyle name="Calculation 2 2 2 9 2 2 2 2" xfId="29691"/>
    <cellStyle name="Calculation 2 2 2 9 2 2 3" xfId="21020"/>
    <cellStyle name="Calculation 2 2 2 9 2 3" xfId="14003"/>
    <cellStyle name="Calculation 2 2 2 9 2 3 2" xfId="28325"/>
    <cellStyle name="Calculation 2 2 2 9 2 4" xfId="19648"/>
    <cellStyle name="Calculation 2 2 2 9 3" xfId="11931"/>
    <cellStyle name="Calculation 2 2 2 9 3 2" xfId="26253"/>
    <cellStyle name="Calculation 2 2 2 9 4" xfId="17576"/>
    <cellStyle name="Calculation 2 2 3" xfId="131"/>
    <cellStyle name="Calculation 2 2 3 10" xfId="4130"/>
    <cellStyle name="Calculation 2 2 3 10 2" xfId="22772"/>
    <cellStyle name="Calculation 2 2 3 11" xfId="14684"/>
    <cellStyle name="Calculation 2 2 3 2" xfId="132"/>
    <cellStyle name="Calculation 2 2 3 2 2" xfId="133"/>
    <cellStyle name="Calculation 2 2 3 2 2 2" xfId="134"/>
    <cellStyle name="Calculation 2 2 3 2 2 2 2" xfId="6902"/>
    <cellStyle name="Calculation 2 2 3 2 2 2 2 2" xfId="13506"/>
    <cellStyle name="Calculation 2 2 3 2 2 2 2 2 2" xfId="27828"/>
    <cellStyle name="Calculation 2 2 3 2 2 2 2 3" xfId="19151"/>
    <cellStyle name="Calculation 2 2 3 2 2 2 3" xfId="7764"/>
    <cellStyle name="Calculation 2 2 3 2 2 2 3 2" xfId="10378"/>
    <cellStyle name="Calculation 2 2 3 2 2 2 3 2 2" xfId="16640"/>
    <cellStyle name="Calculation 2 2 3 2 2 2 3 2 2 2" xfId="30056"/>
    <cellStyle name="Calculation 2 2 3 2 2 2 3 2 3" xfId="21385"/>
    <cellStyle name="Calculation 2 2 3 2 2 2 3 3" xfId="14368"/>
    <cellStyle name="Calculation 2 2 3 2 2 2 3 3 2" xfId="28690"/>
    <cellStyle name="Calculation 2 2 3 2 2 2 3 4" xfId="20013"/>
    <cellStyle name="Calculation 2 2 3 2 2 2 4" xfId="11384"/>
    <cellStyle name="Calculation 2 2 3 2 2 2 4 2" xfId="25706"/>
    <cellStyle name="Calculation 2 2 3 2 2 2 5" xfId="4795"/>
    <cellStyle name="Calculation 2 2 3 2 2 3" xfId="135"/>
    <cellStyle name="Calculation 2 2 3 2 2 3 2" xfId="4101"/>
    <cellStyle name="Calculation 2 2 3 2 2 3 2 2" xfId="9425"/>
    <cellStyle name="Calculation 2 2 3 2 2 3 2 2 2" xfId="15687"/>
    <cellStyle name="Calculation 2 2 3 2 2 3 2 2 2 2" xfId="29103"/>
    <cellStyle name="Calculation 2 2 3 2 2 3 2 2 3" xfId="20432"/>
    <cellStyle name="Calculation 2 2 3 2 2 3 2 3" xfId="4021"/>
    <cellStyle name="Calculation 2 2 3 2 2 3 2 3 2" xfId="22705"/>
    <cellStyle name="Calculation 2 2 3 2 2 3 2 4" xfId="4660"/>
    <cellStyle name="Calculation 2 2 3 2 2 3 3" xfId="13311"/>
    <cellStyle name="Calculation 2 2 3 2 2 3 3 2" xfId="27633"/>
    <cellStyle name="Calculation 2 2 3 2 2 3 4" xfId="18956"/>
    <cellStyle name="Calculation 2 2 3 2 2 4" xfId="5761"/>
    <cellStyle name="Calculation 2 2 3 2 2 4 2" xfId="12314"/>
    <cellStyle name="Calculation 2 2 3 2 2 4 2 2" xfId="26636"/>
    <cellStyle name="Calculation 2 2 3 2 2 4 3" xfId="17959"/>
    <cellStyle name="Calculation 2 2 3 2 2 5" xfId="6804"/>
    <cellStyle name="Calculation 2 2 3 2 2 5 2" xfId="23743"/>
    <cellStyle name="Calculation 2 2 3 2 2 6" xfId="15209"/>
    <cellStyle name="Calculation 2 2 3 2 3" xfId="136"/>
    <cellStyle name="Calculation 2 2 3 2 3 2" xfId="137"/>
    <cellStyle name="Calculation 2 2 3 2 3 2 2" xfId="6401"/>
    <cellStyle name="Calculation 2 2 3 2 3 2 2 2" xfId="12984"/>
    <cellStyle name="Calculation 2 2 3 2 3 2 2 2 2" xfId="27306"/>
    <cellStyle name="Calculation 2 2 3 2 3 2 2 3" xfId="18629"/>
    <cellStyle name="Calculation 2 2 3 2 3 2 3" xfId="7667"/>
    <cellStyle name="Calculation 2 2 3 2 3 2 3 2" xfId="10281"/>
    <cellStyle name="Calculation 2 2 3 2 3 2 3 2 2" xfId="16543"/>
    <cellStyle name="Calculation 2 2 3 2 3 2 3 2 2 2" xfId="29959"/>
    <cellStyle name="Calculation 2 2 3 2 3 2 3 2 3" xfId="21288"/>
    <cellStyle name="Calculation 2 2 3 2 3 2 3 3" xfId="14271"/>
    <cellStyle name="Calculation 2 2 3 2 3 2 3 3 2" xfId="28593"/>
    <cellStyle name="Calculation 2 2 3 2 3 2 3 4" xfId="19916"/>
    <cellStyle name="Calculation 2 2 3 2 3 2 4" xfId="2794"/>
    <cellStyle name="Calculation 2 2 3 2 3 2 4 2" xfId="22361"/>
    <cellStyle name="Calculation 2 2 3 2 3 2 5" xfId="6158"/>
    <cellStyle name="Calculation 2 2 3 2 3 3" xfId="138"/>
    <cellStyle name="Calculation 2 2 3 2 3 3 2" xfId="7188"/>
    <cellStyle name="Calculation 2 2 3 2 3 3 2 2" xfId="9802"/>
    <cellStyle name="Calculation 2 2 3 2 3 3 2 2 2" xfId="16064"/>
    <cellStyle name="Calculation 2 2 3 2 3 3 2 2 2 2" xfId="29480"/>
    <cellStyle name="Calculation 2 2 3 2 3 3 2 2 3" xfId="20809"/>
    <cellStyle name="Calculation 2 2 3 2 3 3 2 3" xfId="13792"/>
    <cellStyle name="Calculation 2 2 3 2 3 3 2 3 2" xfId="28114"/>
    <cellStyle name="Calculation 2 2 3 2 3 3 2 4" xfId="19437"/>
    <cellStyle name="Calculation 2 2 3 2 3 3 3" xfId="11691"/>
    <cellStyle name="Calculation 2 2 3 2 3 3 3 2" xfId="26013"/>
    <cellStyle name="Calculation 2 2 3 2 3 3 4" xfId="5943"/>
    <cellStyle name="Calculation 2 2 3 2 3 4" xfId="5217"/>
    <cellStyle name="Calculation 2 2 3 2 3 4 2" xfId="11766"/>
    <cellStyle name="Calculation 2 2 3 2 3 4 2 2" xfId="26088"/>
    <cellStyle name="Calculation 2 2 3 2 3 4 3" xfId="17411"/>
    <cellStyle name="Calculation 2 2 3 2 3 5" xfId="6701"/>
    <cellStyle name="Calculation 2 2 3 2 3 5 2" xfId="23660"/>
    <cellStyle name="Calculation 2 2 3 2 3 6" xfId="15456"/>
    <cellStyle name="Calculation 2 2 3 2 4" xfId="139"/>
    <cellStyle name="Calculation 2 2 3 2 4 2" xfId="5096"/>
    <cellStyle name="Calculation 2 2 3 2 4 2 2" xfId="11643"/>
    <cellStyle name="Calculation 2 2 3 2 4 2 2 2" xfId="25965"/>
    <cellStyle name="Calculation 2 2 3 2 4 2 3" xfId="17270"/>
    <cellStyle name="Calculation 2 2 3 2 4 3" xfId="7199"/>
    <cellStyle name="Calculation 2 2 3 2 4 3 2" xfId="9813"/>
    <cellStyle name="Calculation 2 2 3 2 4 3 2 2" xfId="16075"/>
    <cellStyle name="Calculation 2 2 3 2 4 3 2 2 2" xfId="29491"/>
    <cellStyle name="Calculation 2 2 3 2 4 3 2 3" xfId="20820"/>
    <cellStyle name="Calculation 2 2 3 2 4 3 3" xfId="13803"/>
    <cellStyle name="Calculation 2 2 3 2 4 3 3 2" xfId="28125"/>
    <cellStyle name="Calculation 2 2 3 2 4 3 4" xfId="19448"/>
    <cellStyle name="Calculation 2 2 3 2 4 4" xfId="3625"/>
    <cellStyle name="Calculation 2 2 3 2 4 4 2" xfId="22492"/>
    <cellStyle name="Calculation 2 2 3 2 4 5" xfId="6625"/>
    <cellStyle name="Calculation 2 2 3 2 5" xfId="140"/>
    <cellStyle name="Calculation 2 2 3 2 5 2" xfId="4878"/>
    <cellStyle name="Calculation 2 2 3 2 5 2 2" xfId="9508"/>
    <cellStyle name="Calculation 2 2 3 2 5 2 2 2" xfId="15770"/>
    <cellStyle name="Calculation 2 2 3 2 5 2 2 2 2" xfId="29186"/>
    <cellStyle name="Calculation 2 2 3 2 5 2 2 3" xfId="20515"/>
    <cellStyle name="Calculation 2 2 3 2 5 2 3" xfId="11413"/>
    <cellStyle name="Calculation 2 2 3 2 5 2 3 2" xfId="25735"/>
    <cellStyle name="Calculation 2 2 3 2 5 2 4" xfId="15184"/>
    <cellStyle name="Calculation 2 2 3 2 5 3" xfId="12887"/>
    <cellStyle name="Calculation 2 2 3 2 5 3 2" xfId="27209"/>
    <cellStyle name="Calculation 2 2 3 2 5 4" xfId="18532"/>
    <cellStyle name="Calculation 2 2 3 2 6" xfId="5505"/>
    <cellStyle name="Calculation 2 2 3 2 6 2" xfId="12056"/>
    <cellStyle name="Calculation 2 2 3 2 6 2 2" xfId="26378"/>
    <cellStyle name="Calculation 2 2 3 2 6 3" xfId="17701"/>
    <cellStyle name="Calculation 2 2 3 2 7" xfId="3838"/>
    <cellStyle name="Calculation 2 2 3 2 7 2" xfId="22606"/>
    <cellStyle name="Calculation 2 2 3 2 8" xfId="17272"/>
    <cellStyle name="Calculation 2 2 3 3" xfId="141"/>
    <cellStyle name="Calculation 2 2 3 3 2" xfId="142"/>
    <cellStyle name="Calculation 2 2 3 3 2 2" xfId="143"/>
    <cellStyle name="Calculation 2 2 3 3 2 2 2" xfId="6206"/>
    <cellStyle name="Calculation 2 2 3 3 2 2 2 2" xfId="12779"/>
    <cellStyle name="Calculation 2 2 3 3 2 2 2 2 2" xfId="27101"/>
    <cellStyle name="Calculation 2 2 3 3 2 2 2 3" xfId="18424"/>
    <cellStyle name="Calculation 2 2 3 3 2 2 3" xfId="7982"/>
    <cellStyle name="Calculation 2 2 3 3 2 2 3 2" xfId="10596"/>
    <cellStyle name="Calculation 2 2 3 3 2 2 3 2 2" xfId="16858"/>
    <cellStyle name="Calculation 2 2 3 3 2 2 3 2 2 2" xfId="30274"/>
    <cellStyle name="Calculation 2 2 3 3 2 2 3 2 3" xfId="21603"/>
    <cellStyle name="Calculation 2 2 3 3 2 2 3 3" xfId="14586"/>
    <cellStyle name="Calculation 2 2 3 3 2 2 3 3 2" xfId="28908"/>
    <cellStyle name="Calculation 2 2 3 3 2 2 3 4" xfId="20231"/>
    <cellStyle name="Calculation 2 2 3 3 2 2 4" xfId="6641"/>
    <cellStyle name="Calculation 2 2 3 3 2 2 4 2" xfId="23621"/>
    <cellStyle name="Calculation 2 2 3 3 2 2 5" xfId="15302"/>
    <cellStyle name="Calculation 2 2 3 3 2 3" xfId="144"/>
    <cellStyle name="Calculation 2 2 3 3 2 3 2" xfId="7359"/>
    <cellStyle name="Calculation 2 2 3 3 2 3 2 2" xfId="9973"/>
    <cellStyle name="Calculation 2 2 3 3 2 3 2 2 2" xfId="16235"/>
    <cellStyle name="Calculation 2 2 3 3 2 3 2 2 2 2" xfId="29651"/>
    <cellStyle name="Calculation 2 2 3 3 2 3 2 2 3" xfId="20980"/>
    <cellStyle name="Calculation 2 2 3 3 2 3 2 3" xfId="13963"/>
    <cellStyle name="Calculation 2 2 3 3 2 3 2 3 2" xfId="28285"/>
    <cellStyle name="Calculation 2 2 3 3 2 3 2 4" xfId="19608"/>
    <cellStyle name="Calculation 2 2 3 3 2 3 3" xfId="13347"/>
    <cellStyle name="Calculation 2 2 3 3 2 3 3 2" xfId="27669"/>
    <cellStyle name="Calculation 2 2 3 3 2 3 4" xfId="18992"/>
    <cellStyle name="Calculation 2 2 3 3 2 4" xfId="5797"/>
    <cellStyle name="Calculation 2 2 3 3 2 4 2" xfId="12350"/>
    <cellStyle name="Calculation 2 2 3 3 2 4 2 2" xfId="26672"/>
    <cellStyle name="Calculation 2 2 3 3 2 4 3" xfId="17995"/>
    <cellStyle name="Calculation 2 2 3 3 2 5" xfId="3245"/>
    <cellStyle name="Calculation 2 2 3 3 2 5 2" xfId="22442"/>
    <cellStyle name="Calculation 2 2 3 3 2 6" xfId="14803"/>
    <cellStyle name="Calculation 2 2 3 3 3" xfId="145"/>
    <cellStyle name="Calculation 2 2 3 3 3 2" xfId="146"/>
    <cellStyle name="Calculation 2 2 3 3 3 2 2" xfId="6910"/>
    <cellStyle name="Calculation 2 2 3 3 3 2 2 2" xfId="13514"/>
    <cellStyle name="Calculation 2 2 3 3 3 2 2 2 2" xfId="27836"/>
    <cellStyle name="Calculation 2 2 3 3 3 2 2 3" xfId="19159"/>
    <cellStyle name="Calculation 2 2 3 3 3 2 3" xfId="7620"/>
    <cellStyle name="Calculation 2 2 3 3 3 2 3 2" xfId="10234"/>
    <cellStyle name="Calculation 2 2 3 3 3 2 3 2 2" xfId="16496"/>
    <cellStyle name="Calculation 2 2 3 3 3 2 3 2 2 2" xfId="29912"/>
    <cellStyle name="Calculation 2 2 3 3 3 2 3 2 3" xfId="21241"/>
    <cellStyle name="Calculation 2 2 3 3 3 2 3 3" xfId="14224"/>
    <cellStyle name="Calculation 2 2 3 3 3 2 3 3 2" xfId="28546"/>
    <cellStyle name="Calculation 2 2 3 3 3 2 3 4" xfId="19869"/>
    <cellStyle name="Calculation 2 2 3 3 3 2 4" xfId="11396"/>
    <cellStyle name="Calculation 2 2 3 3 3 2 4 2" xfId="25718"/>
    <cellStyle name="Calculation 2 2 3 3 3 2 5" xfId="3804"/>
    <cellStyle name="Calculation 2 2 3 3 3 3" xfId="147"/>
    <cellStyle name="Calculation 2 2 3 3 3 3 2" xfId="7157"/>
    <cellStyle name="Calculation 2 2 3 3 3 3 2 2" xfId="9771"/>
    <cellStyle name="Calculation 2 2 3 3 3 3 2 2 2" xfId="16033"/>
    <cellStyle name="Calculation 2 2 3 3 3 3 2 2 2 2" xfId="29449"/>
    <cellStyle name="Calculation 2 2 3 3 3 3 2 2 3" xfId="20778"/>
    <cellStyle name="Calculation 2 2 3 3 3 3 2 3" xfId="13761"/>
    <cellStyle name="Calculation 2 2 3 3 3 3 2 3 2" xfId="28083"/>
    <cellStyle name="Calculation 2 2 3 3 3 3 2 4" xfId="19406"/>
    <cellStyle name="Calculation 2 2 3 3 3 3 3" xfId="12549"/>
    <cellStyle name="Calculation 2 2 3 3 3 3 3 2" xfId="26871"/>
    <cellStyle name="Calculation 2 2 3 3 3 3 4" xfId="18194"/>
    <cellStyle name="Calculation 2 2 3 3 3 4" xfId="3282"/>
    <cellStyle name="Calculation 2 2 3 3 3 4 2" xfId="3764"/>
    <cellStyle name="Calculation 2 2 3 3 3 4 2 2" xfId="22569"/>
    <cellStyle name="Calculation 2 2 3 3 3 4 3" xfId="6482"/>
    <cellStyle name="Calculation 2 2 3 3 3 5" xfId="3251"/>
    <cellStyle name="Calculation 2 2 3 3 3 5 2" xfId="22445"/>
    <cellStyle name="Calculation 2 2 3 3 3 6" xfId="4442"/>
    <cellStyle name="Calculation 2 2 3 3 4" xfId="148"/>
    <cellStyle name="Calculation 2 2 3 3 4 2" xfId="5093"/>
    <cellStyle name="Calculation 2 2 3 3 4 2 2" xfId="11640"/>
    <cellStyle name="Calculation 2 2 3 3 4 2 2 2" xfId="25962"/>
    <cellStyle name="Calculation 2 2 3 3 4 2 3" xfId="17068"/>
    <cellStyle name="Calculation 2 2 3 3 4 3" xfId="7567"/>
    <cellStyle name="Calculation 2 2 3 3 4 3 2" xfId="10181"/>
    <cellStyle name="Calculation 2 2 3 3 4 3 2 2" xfId="16443"/>
    <cellStyle name="Calculation 2 2 3 3 4 3 2 2 2" xfId="29859"/>
    <cellStyle name="Calculation 2 2 3 3 4 3 2 3" xfId="21188"/>
    <cellStyle name="Calculation 2 2 3 3 4 3 3" xfId="14171"/>
    <cellStyle name="Calculation 2 2 3 3 4 3 3 2" xfId="28493"/>
    <cellStyle name="Calculation 2 2 3 3 4 3 4" xfId="19816"/>
    <cellStyle name="Calculation 2 2 3 3 4 4" xfId="4762"/>
    <cellStyle name="Calculation 2 2 3 3 4 4 2" xfId="23175"/>
    <cellStyle name="Calculation 2 2 3 3 4 5" xfId="17000"/>
    <cellStyle name="Calculation 2 2 3 3 5" xfId="149"/>
    <cellStyle name="Calculation 2 2 3 3 5 2" xfId="4247"/>
    <cellStyle name="Calculation 2 2 3 3 5 2 2" xfId="9432"/>
    <cellStyle name="Calculation 2 2 3 3 5 2 2 2" xfId="15694"/>
    <cellStyle name="Calculation 2 2 3 3 5 2 2 2 2" xfId="29110"/>
    <cellStyle name="Calculation 2 2 3 3 5 2 2 3" xfId="20439"/>
    <cellStyle name="Calculation 2 2 3 3 5 2 3" xfId="4384"/>
    <cellStyle name="Calculation 2 2 3 3 5 2 3 2" xfId="22918"/>
    <cellStyle name="Calculation 2 2 3 3 5 2 4" xfId="15351"/>
    <cellStyle name="Calculation 2 2 3 3 5 3" xfId="12923"/>
    <cellStyle name="Calculation 2 2 3 3 5 3 2" xfId="27245"/>
    <cellStyle name="Calculation 2 2 3 3 5 4" xfId="18568"/>
    <cellStyle name="Calculation 2 2 3 3 6" xfId="5547"/>
    <cellStyle name="Calculation 2 2 3 3 6 2" xfId="12098"/>
    <cellStyle name="Calculation 2 2 3 3 6 2 2" xfId="26420"/>
    <cellStyle name="Calculation 2 2 3 3 6 3" xfId="17743"/>
    <cellStyle name="Calculation 2 2 3 3 7" xfId="4386"/>
    <cellStyle name="Calculation 2 2 3 3 7 2" xfId="22920"/>
    <cellStyle name="Calculation 2 2 3 3 8" xfId="6241"/>
    <cellStyle name="Calculation 2 2 3 4" xfId="150"/>
    <cellStyle name="Calculation 2 2 3 4 2" xfId="151"/>
    <cellStyle name="Calculation 2 2 3 4 2 2" xfId="152"/>
    <cellStyle name="Calculation 2 2 3 4 2 2 2" xfId="6880"/>
    <cellStyle name="Calculation 2 2 3 4 2 2 2 2" xfId="13484"/>
    <cellStyle name="Calculation 2 2 3 4 2 2 2 2 2" xfId="27806"/>
    <cellStyle name="Calculation 2 2 3 4 2 2 2 3" xfId="19129"/>
    <cellStyle name="Calculation 2 2 3 4 2 2 3" xfId="5292"/>
    <cellStyle name="Calculation 2 2 3 4 2 2 3 2" xfId="9601"/>
    <cellStyle name="Calculation 2 2 3 4 2 2 3 2 2" xfId="15863"/>
    <cellStyle name="Calculation 2 2 3 4 2 2 3 2 2 2" xfId="29279"/>
    <cellStyle name="Calculation 2 2 3 4 2 2 3 2 3" xfId="20608"/>
    <cellStyle name="Calculation 2 2 3 4 2 2 3 3" xfId="11842"/>
    <cellStyle name="Calculation 2 2 3 4 2 2 3 3 2" xfId="26164"/>
    <cellStyle name="Calculation 2 2 3 4 2 2 3 4" xfId="17487"/>
    <cellStyle name="Calculation 2 2 3 4 2 2 4" xfId="11353"/>
    <cellStyle name="Calculation 2 2 3 4 2 2 4 2" xfId="25675"/>
    <cellStyle name="Calculation 2 2 3 4 2 2 5" xfId="17145"/>
    <cellStyle name="Calculation 2 2 3 4 2 3" xfId="153"/>
    <cellStyle name="Calculation 2 2 3 4 2 3 2" xfId="7362"/>
    <cellStyle name="Calculation 2 2 3 4 2 3 2 2" xfId="9976"/>
    <cellStyle name="Calculation 2 2 3 4 2 3 2 2 2" xfId="16238"/>
    <cellStyle name="Calculation 2 2 3 4 2 3 2 2 2 2" xfId="29654"/>
    <cellStyle name="Calculation 2 2 3 4 2 3 2 2 3" xfId="20983"/>
    <cellStyle name="Calculation 2 2 3 4 2 3 2 3" xfId="13966"/>
    <cellStyle name="Calculation 2 2 3 4 2 3 2 3 2" xfId="28288"/>
    <cellStyle name="Calculation 2 2 3 4 2 3 2 4" xfId="19611"/>
    <cellStyle name="Calculation 2 2 3 4 2 3 3" xfId="13213"/>
    <cellStyle name="Calculation 2 2 3 4 2 3 3 2" xfId="27535"/>
    <cellStyle name="Calculation 2 2 3 4 2 3 4" xfId="18858"/>
    <cellStyle name="Calculation 2 2 3 4 2 4" xfId="5652"/>
    <cellStyle name="Calculation 2 2 3 4 2 4 2" xfId="12205"/>
    <cellStyle name="Calculation 2 2 3 4 2 4 2 2" xfId="26527"/>
    <cellStyle name="Calculation 2 2 3 4 2 4 3" xfId="17850"/>
    <cellStyle name="Calculation 2 2 3 4 2 5" xfId="4215"/>
    <cellStyle name="Calculation 2 2 3 4 2 5 2" xfId="22827"/>
    <cellStyle name="Calculation 2 2 3 4 2 6" xfId="15071"/>
    <cellStyle name="Calculation 2 2 3 4 3" xfId="154"/>
    <cellStyle name="Calculation 2 2 3 4 3 2" xfId="155"/>
    <cellStyle name="Calculation 2 2 3 4 3 2 2" xfId="6829"/>
    <cellStyle name="Calculation 2 2 3 4 3 2 2 2" xfId="13433"/>
    <cellStyle name="Calculation 2 2 3 4 3 2 2 2 2" xfId="27755"/>
    <cellStyle name="Calculation 2 2 3 4 3 2 2 3" xfId="19078"/>
    <cellStyle name="Calculation 2 2 3 4 3 2 3" xfId="7377"/>
    <cellStyle name="Calculation 2 2 3 4 3 2 3 2" xfId="9991"/>
    <cellStyle name="Calculation 2 2 3 4 3 2 3 2 2" xfId="16253"/>
    <cellStyle name="Calculation 2 2 3 4 3 2 3 2 2 2" xfId="29669"/>
    <cellStyle name="Calculation 2 2 3 4 3 2 3 2 3" xfId="20998"/>
    <cellStyle name="Calculation 2 2 3 4 3 2 3 3" xfId="13981"/>
    <cellStyle name="Calculation 2 2 3 4 3 2 3 3 2" xfId="28303"/>
    <cellStyle name="Calculation 2 2 3 4 3 2 3 4" xfId="19626"/>
    <cellStyle name="Calculation 2 2 3 4 3 2 4" xfId="2822"/>
    <cellStyle name="Calculation 2 2 3 4 3 2 4 2" xfId="22385"/>
    <cellStyle name="Calculation 2 2 3 4 3 2 5" xfId="15499"/>
    <cellStyle name="Calculation 2 2 3 4 3 3" xfId="156"/>
    <cellStyle name="Calculation 2 2 3 4 3 3 2" xfId="7653"/>
    <cellStyle name="Calculation 2 2 3 4 3 3 2 2" xfId="10267"/>
    <cellStyle name="Calculation 2 2 3 4 3 3 2 2 2" xfId="16529"/>
    <cellStyle name="Calculation 2 2 3 4 3 3 2 2 2 2" xfId="29945"/>
    <cellStyle name="Calculation 2 2 3 4 3 3 2 2 3" xfId="21274"/>
    <cellStyle name="Calculation 2 2 3 4 3 3 2 3" xfId="14257"/>
    <cellStyle name="Calculation 2 2 3 4 3 3 2 3 2" xfId="28579"/>
    <cellStyle name="Calculation 2 2 3 4 3 3 2 4" xfId="19902"/>
    <cellStyle name="Calculation 2 2 3 4 3 3 3" xfId="12772"/>
    <cellStyle name="Calculation 2 2 3 4 3 3 3 2" xfId="27094"/>
    <cellStyle name="Calculation 2 2 3 4 3 3 4" xfId="18417"/>
    <cellStyle name="Calculation 2 2 3 4 3 4" xfId="5161"/>
    <cellStyle name="Calculation 2 2 3 4 3 4 2" xfId="11710"/>
    <cellStyle name="Calculation 2 2 3 4 3 4 2 2" xfId="26032"/>
    <cellStyle name="Calculation 2 2 3 4 3 4 3" xfId="4741"/>
    <cellStyle name="Calculation 2 2 3 4 3 5" xfId="6512"/>
    <cellStyle name="Calculation 2 2 3 4 3 5 2" xfId="23576"/>
    <cellStyle name="Calculation 2 2 3 4 3 6" xfId="14693"/>
    <cellStyle name="Calculation 2 2 3 4 4" xfId="157"/>
    <cellStyle name="Calculation 2 2 3 4 4 2" xfId="6896"/>
    <cellStyle name="Calculation 2 2 3 4 4 2 2" xfId="13500"/>
    <cellStyle name="Calculation 2 2 3 4 4 2 2 2" xfId="27822"/>
    <cellStyle name="Calculation 2 2 3 4 4 2 3" xfId="19145"/>
    <cellStyle name="Calculation 2 2 3 4 4 3" xfId="7844"/>
    <cellStyle name="Calculation 2 2 3 4 4 3 2" xfId="10458"/>
    <cellStyle name="Calculation 2 2 3 4 4 3 2 2" xfId="16720"/>
    <cellStyle name="Calculation 2 2 3 4 4 3 2 2 2" xfId="30136"/>
    <cellStyle name="Calculation 2 2 3 4 4 3 2 3" xfId="21465"/>
    <cellStyle name="Calculation 2 2 3 4 4 3 3" xfId="14448"/>
    <cellStyle name="Calculation 2 2 3 4 4 3 3 2" xfId="28770"/>
    <cellStyle name="Calculation 2 2 3 4 4 3 4" xfId="20093"/>
    <cellStyle name="Calculation 2 2 3 4 4 4" xfId="11375"/>
    <cellStyle name="Calculation 2 2 3 4 4 4 2" xfId="25697"/>
    <cellStyle name="Calculation 2 2 3 4 4 5" xfId="15327"/>
    <cellStyle name="Calculation 2 2 3 4 5" xfId="158"/>
    <cellStyle name="Calculation 2 2 3 4 5 2" xfId="7732"/>
    <cellStyle name="Calculation 2 2 3 4 5 2 2" xfId="10346"/>
    <cellStyle name="Calculation 2 2 3 4 5 2 2 2" xfId="16608"/>
    <cellStyle name="Calculation 2 2 3 4 5 2 2 2 2" xfId="30024"/>
    <cellStyle name="Calculation 2 2 3 4 5 2 2 3" xfId="21353"/>
    <cellStyle name="Calculation 2 2 3 4 5 2 3" xfId="14336"/>
    <cellStyle name="Calculation 2 2 3 4 5 2 3 2" xfId="28658"/>
    <cellStyle name="Calculation 2 2 3 4 5 2 4" xfId="19981"/>
    <cellStyle name="Calculation 2 2 3 4 5 3" xfId="12034"/>
    <cellStyle name="Calculation 2 2 3 4 5 3 2" xfId="26356"/>
    <cellStyle name="Calculation 2 2 3 4 5 4" xfId="17679"/>
    <cellStyle name="Calculation 2 2 3 4 6" xfId="3253"/>
    <cellStyle name="Calculation 2 2 3 4 6 2" xfId="4545"/>
    <cellStyle name="Calculation 2 2 3 4 6 2 2" xfId="23023"/>
    <cellStyle name="Calculation 2 2 3 4 6 3" xfId="17313"/>
    <cellStyle name="Calculation 2 2 3 4 7" xfId="6331"/>
    <cellStyle name="Calculation 2 2 3 4 7 2" xfId="23520"/>
    <cellStyle name="Calculation 2 2 3 4 8" xfId="6286"/>
    <cellStyle name="Calculation 2 2 3 5" xfId="159"/>
    <cellStyle name="Calculation 2 2 3 5 2" xfId="160"/>
    <cellStyle name="Calculation 2 2 3 5 2 2" xfId="161"/>
    <cellStyle name="Calculation 2 2 3 5 2 2 2" xfId="6140"/>
    <cellStyle name="Calculation 2 2 3 5 2 2 2 2" xfId="12710"/>
    <cellStyle name="Calculation 2 2 3 5 2 2 2 2 2" xfId="27032"/>
    <cellStyle name="Calculation 2 2 3 5 2 2 2 3" xfId="18355"/>
    <cellStyle name="Calculation 2 2 3 5 2 2 3" xfId="7648"/>
    <cellStyle name="Calculation 2 2 3 5 2 2 3 2" xfId="10262"/>
    <cellStyle name="Calculation 2 2 3 5 2 2 3 2 2" xfId="16524"/>
    <cellStyle name="Calculation 2 2 3 5 2 2 3 2 2 2" xfId="29940"/>
    <cellStyle name="Calculation 2 2 3 5 2 2 3 2 3" xfId="21269"/>
    <cellStyle name="Calculation 2 2 3 5 2 2 3 3" xfId="14252"/>
    <cellStyle name="Calculation 2 2 3 5 2 2 3 3 2" xfId="28574"/>
    <cellStyle name="Calculation 2 2 3 5 2 2 3 4" xfId="19897"/>
    <cellStyle name="Calculation 2 2 3 5 2 2 4" xfId="6062"/>
    <cellStyle name="Calculation 2 2 3 5 2 2 4 2" xfId="23404"/>
    <cellStyle name="Calculation 2 2 3 5 2 2 5" xfId="15097"/>
    <cellStyle name="Calculation 2 2 3 5 2 3" xfId="162"/>
    <cellStyle name="Calculation 2 2 3 5 2 3 2" xfId="8056"/>
    <cellStyle name="Calculation 2 2 3 5 2 3 2 2" xfId="10670"/>
    <cellStyle name="Calculation 2 2 3 5 2 3 2 2 2" xfId="16932"/>
    <cellStyle name="Calculation 2 2 3 5 2 3 2 2 2 2" xfId="30348"/>
    <cellStyle name="Calculation 2 2 3 5 2 3 2 2 3" xfId="21677"/>
    <cellStyle name="Calculation 2 2 3 5 2 3 2 3" xfId="14660"/>
    <cellStyle name="Calculation 2 2 3 5 2 3 2 3 2" xfId="28982"/>
    <cellStyle name="Calculation 2 2 3 5 2 3 2 4" xfId="20305"/>
    <cellStyle name="Calculation 2 2 3 5 2 3 3" xfId="13406"/>
    <cellStyle name="Calculation 2 2 3 5 2 3 3 2" xfId="27728"/>
    <cellStyle name="Calculation 2 2 3 5 2 3 4" xfId="19051"/>
    <cellStyle name="Calculation 2 2 3 5 2 4" xfId="5874"/>
    <cellStyle name="Calculation 2 2 3 5 2 4 2" xfId="12427"/>
    <cellStyle name="Calculation 2 2 3 5 2 4 2 2" xfId="26749"/>
    <cellStyle name="Calculation 2 2 3 5 2 4 3" xfId="18072"/>
    <cellStyle name="Calculation 2 2 3 5 2 5" xfId="6757"/>
    <cellStyle name="Calculation 2 2 3 5 2 5 2" xfId="23705"/>
    <cellStyle name="Calculation 2 2 3 5 2 6" xfId="15561"/>
    <cellStyle name="Calculation 2 2 3 5 3" xfId="163"/>
    <cellStyle name="Calculation 2 2 3 5 3 2" xfId="6195"/>
    <cellStyle name="Calculation 2 2 3 5 3 2 2" xfId="12768"/>
    <cellStyle name="Calculation 2 2 3 5 3 2 2 2" xfId="27090"/>
    <cellStyle name="Calculation 2 2 3 5 3 2 3" xfId="18413"/>
    <cellStyle name="Calculation 2 2 3 5 3 3" xfId="7953"/>
    <cellStyle name="Calculation 2 2 3 5 3 3 2" xfId="10567"/>
    <cellStyle name="Calculation 2 2 3 5 3 3 2 2" xfId="16829"/>
    <cellStyle name="Calculation 2 2 3 5 3 3 2 2 2" xfId="30245"/>
    <cellStyle name="Calculation 2 2 3 5 3 3 2 3" xfId="21574"/>
    <cellStyle name="Calculation 2 2 3 5 3 3 3" xfId="14557"/>
    <cellStyle name="Calculation 2 2 3 5 3 3 3 2" xfId="28879"/>
    <cellStyle name="Calculation 2 2 3 5 3 3 4" xfId="20202"/>
    <cellStyle name="Calculation 2 2 3 5 3 4" xfId="6072"/>
    <cellStyle name="Calculation 2 2 3 5 3 4 2" xfId="23407"/>
    <cellStyle name="Calculation 2 2 3 5 3 5" xfId="15015"/>
    <cellStyle name="Calculation 2 2 3 5 4" xfId="164"/>
    <cellStyle name="Calculation 2 2 3 5 4 2" xfId="7414"/>
    <cellStyle name="Calculation 2 2 3 5 4 2 2" xfId="10028"/>
    <cellStyle name="Calculation 2 2 3 5 4 2 2 2" xfId="16290"/>
    <cellStyle name="Calculation 2 2 3 5 4 2 2 2 2" xfId="29706"/>
    <cellStyle name="Calculation 2 2 3 5 4 2 2 3" xfId="21035"/>
    <cellStyle name="Calculation 2 2 3 5 4 2 3" xfId="14018"/>
    <cellStyle name="Calculation 2 2 3 5 4 2 3 2" xfId="28340"/>
    <cellStyle name="Calculation 2 2 3 5 4 2 4" xfId="19663"/>
    <cellStyle name="Calculation 2 2 3 5 4 3" xfId="12524"/>
    <cellStyle name="Calculation 2 2 3 5 4 3 2" xfId="26846"/>
    <cellStyle name="Calculation 2 2 3 5 4 4" xfId="18169"/>
    <cellStyle name="Calculation 2 2 3 5 5" xfId="5194"/>
    <cellStyle name="Calculation 2 2 3 5 5 2" xfId="11743"/>
    <cellStyle name="Calculation 2 2 3 5 5 2 2" xfId="26065"/>
    <cellStyle name="Calculation 2 2 3 5 5 3" xfId="4454"/>
    <cellStyle name="Calculation 2 2 3 5 6" xfId="4516"/>
    <cellStyle name="Calculation 2 2 3 5 6 2" xfId="23003"/>
    <cellStyle name="Calculation 2 2 3 5 7" xfId="17237"/>
    <cellStyle name="Calculation 2 2 3 6" xfId="165"/>
    <cellStyle name="Calculation 2 2 3 6 2" xfId="166"/>
    <cellStyle name="Calculation 2 2 3 6 2 2" xfId="6491"/>
    <cellStyle name="Calculation 2 2 3 6 2 2 2" xfId="13076"/>
    <cellStyle name="Calculation 2 2 3 6 2 2 2 2" xfId="27398"/>
    <cellStyle name="Calculation 2 2 3 6 2 2 3" xfId="18721"/>
    <cellStyle name="Calculation 2 2 3 6 2 3" xfId="4346"/>
    <cellStyle name="Calculation 2 2 3 6 2 3 2" xfId="9452"/>
    <cellStyle name="Calculation 2 2 3 6 2 3 2 2" xfId="15714"/>
    <cellStyle name="Calculation 2 2 3 6 2 3 2 2 2" xfId="29130"/>
    <cellStyle name="Calculation 2 2 3 6 2 3 2 3" xfId="20459"/>
    <cellStyle name="Calculation 2 2 3 6 2 3 3" xfId="3968"/>
    <cellStyle name="Calculation 2 2 3 6 2 3 3 2" xfId="22674"/>
    <cellStyle name="Calculation 2 2 3 6 2 3 4" xfId="15228"/>
    <cellStyle name="Calculation 2 2 3 6 2 4" xfId="6011"/>
    <cellStyle name="Calculation 2 2 3 6 2 4 2" xfId="23393"/>
    <cellStyle name="Calculation 2 2 3 6 2 5" xfId="6777"/>
    <cellStyle name="Calculation 2 2 3 6 3" xfId="167"/>
    <cellStyle name="Calculation 2 2 3 6 3 2" xfId="7570"/>
    <cellStyle name="Calculation 2 2 3 6 3 2 2" xfId="10184"/>
    <cellStyle name="Calculation 2 2 3 6 3 2 2 2" xfId="16446"/>
    <cellStyle name="Calculation 2 2 3 6 3 2 2 2 2" xfId="29862"/>
    <cellStyle name="Calculation 2 2 3 6 3 2 2 3" xfId="21191"/>
    <cellStyle name="Calculation 2 2 3 6 3 2 3" xfId="14174"/>
    <cellStyle name="Calculation 2 2 3 6 3 2 3 2" xfId="28496"/>
    <cellStyle name="Calculation 2 2 3 6 3 2 4" xfId="19819"/>
    <cellStyle name="Calculation 2 2 3 6 3 3" xfId="13269"/>
    <cellStyle name="Calculation 2 2 3 6 3 3 2" xfId="27591"/>
    <cellStyle name="Calculation 2 2 3 6 3 4" xfId="18914"/>
    <cellStyle name="Calculation 2 2 3 6 4" xfId="5715"/>
    <cellStyle name="Calculation 2 2 3 6 4 2" xfId="12268"/>
    <cellStyle name="Calculation 2 2 3 6 4 2 2" xfId="26590"/>
    <cellStyle name="Calculation 2 2 3 6 4 3" xfId="17913"/>
    <cellStyle name="Calculation 2 2 3 6 5" xfId="4834"/>
    <cellStyle name="Calculation 2 2 3 6 5 2" xfId="23212"/>
    <cellStyle name="Calculation 2 2 3 6 6" xfId="17051"/>
    <cellStyle name="Calculation 2 2 3 7" xfId="168"/>
    <cellStyle name="Calculation 2 2 3 7 2" xfId="5847"/>
    <cellStyle name="Calculation 2 2 3 7 2 2" xfId="12400"/>
    <cellStyle name="Calculation 2 2 3 7 2 2 2" xfId="26722"/>
    <cellStyle name="Calculation 2 2 3 7 2 3" xfId="18045"/>
    <cellStyle name="Calculation 2 2 3 7 3" xfId="7334"/>
    <cellStyle name="Calculation 2 2 3 7 3 2" xfId="9948"/>
    <cellStyle name="Calculation 2 2 3 7 3 2 2" xfId="16210"/>
    <cellStyle name="Calculation 2 2 3 7 3 2 2 2" xfId="29626"/>
    <cellStyle name="Calculation 2 2 3 7 3 2 3" xfId="20955"/>
    <cellStyle name="Calculation 2 2 3 7 3 3" xfId="13938"/>
    <cellStyle name="Calculation 2 2 3 7 3 3 2" xfId="28260"/>
    <cellStyle name="Calculation 2 2 3 7 3 4" xfId="19583"/>
    <cellStyle name="Calculation 2 2 3 7 4" xfId="3726"/>
    <cellStyle name="Calculation 2 2 3 7 4 2" xfId="22548"/>
    <cellStyle name="Calculation 2 2 3 7 5" xfId="6472"/>
    <cellStyle name="Calculation 2 2 3 8" xfId="169"/>
    <cellStyle name="Calculation 2 2 3 8 2" xfId="7758"/>
    <cellStyle name="Calculation 2 2 3 8 2 2" xfId="10372"/>
    <cellStyle name="Calculation 2 2 3 8 2 2 2" xfId="16634"/>
    <cellStyle name="Calculation 2 2 3 8 2 2 2 2" xfId="30050"/>
    <cellStyle name="Calculation 2 2 3 8 2 2 3" xfId="21379"/>
    <cellStyle name="Calculation 2 2 3 8 2 3" xfId="14362"/>
    <cellStyle name="Calculation 2 2 3 8 2 3 2" xfId="28684"/>
    <cellStyle name="Calculation 2 2 3 8 2 4" xfId="20007"/>
    <cellStyle name="Calculation 2 2 3 8 3" xfId="12746"/>
    <cellStyle name="Calculation 2 2 3 8 3 2" xfId="27068"/>
    <cellStyle name="Calculation 2 2 3 8 4" xfId="18391"/>
    <cellStyle name="Calculation 2 2 3 9" xfId="5377"/>
    <cellStyle name="Calculation 2 2 3 9 2" xfId="11927"/>
    <cellStyle name="Calculation 2 2 3 9 2 2" xfId="26249"/>
    <cellStyle name="Calculation 2 2 3 9 3" xfId="17572"/>
    <cellStyle name="Calculation 2 2 4" xfId="170"/>
    <cellStyle name="Calculation 2 2 4 2" xfId="171"/>
    <cellStyle name="Calculation 2 2 4 2 2" xfId="172"/>
    <cellStyle name="Calculation 2 2 4 2 2 2" xfId="6937"/>
    <cellStyle name="Calculation 2 2 4 2 2 2 2" xfId="13541"/>
    <cellStyle name="Calculation 2 2 4 2 2 2 2 2" xfId="27863"/>
    <cellStyle name="Calculation 2 2 4 2 2 2 3" xfId="19186"/>
    <cellStyle name="Calculation 2 2 4 2 2 3" xfId="5279"/>
    <cellStyle name="Calculation 2 2 4 2 2 3 2" xfId="9588"/>
    <cellStyle name="Calculation 2 2 4 2 2 3 2 2" xfId="15850"/>
    <cellStyle name="Calculation 2 2 4 2 2 3 2 2 2" xfId="29266"/>
    <cellStyle name="Calculation 2 2 4 2 2 3 2 3" xfId="20595"/>
    <cellStyle name="Calculation 2 2 4 2 2 3 3" xfId="11829"/>
    <cellStyle name="Calculation 2 2 4 2 2 3 3 2" xfId="26151"/>
    <cellStyle name="Calculation 2 2 4 2 2 3 4" xfId="17474"/>
    <cellStyle name="Calculation 2 2 4 2 2 4" xfId="11430"/>
    <cellStyle name="Calculation 2 2 4 2 2 4 2" xfId="25752"/>
    <cellStyle name="Calculation 2 2 4 2 2 5" xfId="16982"/>
    <cellStyle name="Calculation 2 2 4 2 3" xfId="173"/>
    <cellStyle name="Calculation 2 2 4 2 3 2" xfId="7273"/>
    <cellStyle name="Calculation 2 2 4 2 3 2 2" xfId="9887"/>
    <cellStyle name="Calculation 2 2 4 2 3 2 2 2" xfId="16149"/>
    <cellStyle name="Calculation 2 2 4 2 3 2 2 2 2" xfId="29565"/>
    <cellStyle name="Calculation 2 2 4 2 3 2 2 3" xfId="20894"/>
    <cellStyle name="Calculation 2 2 4 2 3 2 3" xfId="13877"/>
    <cellStyle name="Calculation 2 2 4 2 3 2 3 2" xfId="28199"/>
    <cellStyle name="Calculation 2 2 4 2 3 2 4" xfId="19522"/>
    <cellStyle name="Calculation 2 2 4 2 3 3" xfId="13202"/>
    <cellStyle name="Calculation 2 2 4 2 3 3 2" xfId="27524"/>
    <cellStyle name="Calculation 2 2 4 2 3 4" xfId="18847"/>
    <cellStyle name="Calculation 2 2 4 2 4" xfId="5641"/>
    <cellStyle name="Calculation 2 2 4 2 4 2" xfId="12194"/>
    <cellStyle name="Calculation 2 2 4 2 4 2 2" xfId="26516"/>
    <cellStyle name="Calculation 2 2 4 2 4 3" xfId="17839"/>
    <cellStyle name="Calculation 2 2 4 2 5" xfId="4478"/>
    <cellStyle name="Calculation 2 2 4 2 5 2" xfId="22976"/>
    <cellStyle name="Calculation 2 2 4 2 6" xfId="14750"/>
    <cellStyle name="Calculation 2 2 4 3" xfId="174"/>
    <cellStyle name="Calculation 2 2 4 3 2" xfId="175"/>
    <cellStyle name="Calculation 2 2 4 3 2 2" xfId="6137"/>
    <cellStyle name="Calculation 2 2 4 3 2 2 2" xfId="12707"/>
    <cellStyle name="Calculation 2 2 4 3 2 2 2 2" xfId="27029"/>
    <cellStyle name="Calculation 2 2 4 3 2 2 3" xfId="18352"/>
    <cellStyle name="Calculation 2 2 4 3 2 3" xfId="4859"/>
    <cellStyle name="Calculation 2 2 4 3 2 3 2" xfId="9506"/>
    <cellStyle name="Calculation 2 2 4 3 2 3 2 2" xfId="15768"/>
    <cellStyle name="Calculation 2 2 4 3 2 3 2 2 2" xfId="29184"/>
    <cellStyle name="Calculation 2 2 4 3 2 3 2 3" xfId="20513"/>
    <cellStyle name="Calculation 2 2 4 3 2 3 3" xfId="11393"/>
    <cellStyle name="Calculation 2 2 4 3 2 3 3 2" xfId="25715"/>
    <cellStyle name="Calculation 2 2 4 3 2 3 4" xfId="15358"/>
    <cellStyle name="Calculation 2 2 4 3 2 4" xfId="3248"/>
    <cellStyle name="Calculation 2 2 4 3 2 4 2" xfId="22443"/>
    <cellStyle name="Calculation 2 2 4 3 2 5" xfId="14896"/>
    <cellStyle name="Calculation 2 2 4 3 3" xfId="176"/>
    <cellStyle name="Calculation 2 2 4 3 3 2" xfId="7842"/>
    <cellStyle name="Calculation 2 2 4 3 3 2 2" xfId="10456"/>
    <cellStyle name="Calculation 2 2 4 3 3 2 2 2" xfId="16718"/>
    <cellStyle name="Calculation 2 2 4 3 3 2 2 2 2" xfId="30134"/>
    <cellStyle name="Calculation 2 2 4 3 3 2 2 3" xfId="21463"/>
    <cellStyle name="Calculation 2 2 4 3 3 2 3" xfId="14446"/>
    <cellStyle name="Calculation 2 2 4 3 3 2 3 2" xfId="28768"/>
    <cellStyle name="Calculation 2 2 4 3 3 2 4" xfId="20091"/>
    <cellStyle name="Calculation 2 2 4 3 3 3" xfId="12626"/>
    <cellStyle name="Calculation 2 2 4 3 3 3 2" xfId="26948"/>
    <cellStyle name="Calculation 2 2 4 3 3 4" xfId="18271"/>
    <cellStyle name="Calculation 2 2 4 3 4" xfId="3776"/>
    <cellStyle name="Calculation 2 2 4 3 4 2" xfId="6769"/>
    <cellStyle name="Calculation 2 2 4 3 4 2 2" xfId="23715"/>
    <cellStyle name="Calculation 2 2 4 3 4 3" xfId="3140"/>
    <cellStyle name="Calculation 2 2 4 3 5" xfId="3643"/>
    <cellStyle name="Calculation 2 2 4 3 5 2" xfId="22502"/>
    <cellStyle name="Calculation 2 2 4 3 6" xfId="17089"/>
    <cellStyle name="Calculation 2 2 4 4" xfId="177"/>
    <cellStyle name="Calculation 2 2 4 4 2" xfId="4822"/>
    <cellStyle name="Calculation 2 2 4 4 2 2" xfId="11354"/>
    <cellStyle name="Calculation 2 2 4 4 2 2 2" xfId="25676"/>
    <cellStyle name="Calculation 2 2 4 4 2 3" xfId="14876"/>
    <cellStyle name="Calculation 2 2 4 4 3" xfId="7095"/>
    <cellStyle name="Calculation 2 2 4 4 3 2" xfId="9709"/>
    <cellStyle name="Calculation 2 2 4 4 3 2 2" xfId="15971"/>
    <cellStyle name="Calculation 2 2 4 4 3 2 2 2" xfId="29387"/>
    <cellStyle name="Calculation 2 2 4 4 3 2 3" xfId="20716"/>
    <cellStyle name="Calculation 2 2 4 4 3 3" xfId="13699"/>
    <cellStyle name="Calculation 2 2 4 4 3 3 2" xfId="28021"/>
    <cellStyle name="Calculation 2 2 4 4 3 4" xfId="19344"/>
    <cellStyle name="Calculation 2 2 4 4 4" xfId="4295"/>
    <cellStyle name="Calculation 2 2 4 4 4 2" xfId="22877"/>
    <cellStyle name="Calculation 2 2 4 4 5" xfId="15008"/>
    <cellStyle name="Calculation 2 2 4 5" xfId="178"/>
    <cellStyle name="Calculation 2 2 4 5 2" xfId="7639"/>
    <cellStyle name="Calculation 2 2 4 5 2 2" xfId="10253"/>
    <cellStyle name="Calculation 2 2 4 5 2 2 2" xfId="16515"/>
    <cellStyle name="Calculation 2 2 4 5 2 2 2 2" xfId="29931"/>
    <cellStyle name="Calculation 2 2 4 5 2 2 3" xfId="21260"/>
    <cellStyle name="Calculation 2 2 4 5 2 3" xfId="14243"/>
    <cellStyle name="Calculation 2 2 4 5 2 3 2" xfId="28565"/>
    <cellStyle name="Calculation 2 2 4 5 2 4" xfId="19888"/>
    <cellStyle name="Calculation 2 2 4 5 3" xfId="12530"/>
    <cellStyle name="Calculation 2 2 4 5 3 2" xfId="26852"/>
    <cellStyle name="Calculation 2 2 4 5 4" xfId="18175"/>
    <cellStyle name="Calculation 2 2 4 6" xfId="5100"/>
    <cellStyle name="Calculation 2 2 4 6 2" xfId="11647"/>
    <cellStyle name="Calculation 2 2 4 6 2 2" xfId="25969"/>
    <cellStyle name="Calculation 2 2 4 6 3" xfId="17188"/>
    <cellStyle name="Calculation 2 2 4 7" xfId="6073"/>
    <cellStyle name="Calculation 2 2 4 7 2" xfId="23408"/>
    <cellStyle name="Calculation 2 2 4 8" xfId="4785"/>
    <cellStyle name="Calculation 2 2 5" xfId="179"/>
    <cellStyle name="Calculation 2 2 5 2" xfId="180"/>
    <cellStyle name="Calculation 2 2 5 2 2" xfId="181"/>
    <cellStyle name="Calculation 2 2 5 2 2 2" xfId="6827"/>
    <cellStyle name="Calculation 2 2 5 2 2 2 2" xfId="13431"/>
    <cellStyle name="Calculation 2 2 5 2 2 2 2 2" xfId="27753"/>
    <cellStyle name="Calculation 2 2 5 2 2 2 3" xfId="19076"/>
    <cellStyle name="Calculation 2 2 5 2 2 3" xfId="7894"/>
    <cellStyle name="Calculation 2 2 5 2 2 3 2" xfId="10508"/>
    <cellStyle name="Calculation 2 2 5 2 2 3 2 2" xfId="16770"/>
    <cellStyle name="Calculation 2 2 5 2 2 3 2 2 2" xfId="30186"/>
    <cellStyle name="Calculation 2 2 5 2 2 3 2 3" xfId="21515"/>
    <cellStyle name="Calculation 2 2 5 2 2 3 3" xfId="14498"/>
    <cellStyle name="Calculation 2 2 5 2 2 3 3 2" xfId="28820"/>
    <cellStyle name="Calculation 2 2 5 2 2 3 4" xfId="20143"/>
    <cellStyle name="Calculation 2 2 5 2 2 4" xfId="2781"/>
    <cellStyle name="Calculation 2 2 5 2 2 4 2" xfId="22350"/>
    <cellStyle name="Calculation 2 2 5 2 2 5" xfId="4154"/>
    <cellStyle name="Calculation 2 2 5 2 3" xfId="182"/>
    <cellStyle name="Calculation 2 2 5 2 3 2" xfId="3622"/>
    <cellStyle name="Calculation 2 2 5 2 3 2 2" xfId="9346"/>
    <cellStyle name="Calculation 2 2 5 2 3 2 2 2" xfId="15608"/>
    <cellStyle name="Calculation 2 2 5 2 3 2 2 2 2" xfId="29024"/>
    <cellStyle name="Calculation 2 2 5 2 3 2 2 3" xfId="20353"/>
    <cellStyle name="Calculation 2 2 5 2 3 2 3" xfId="4460"/>
    <cellStyle name="Calculation 2 2 5 2 3 2 3 2" xfId="22963"/>
    <cellStyle name="Calculation 2 2 5 2 3 2 4" xfId="4281"/>
    <cellStyle name="Calculation 2 2 5 2 3 3" xfId="13288"/>
    <cellStyle name="Calculation 2 2 5 2 3 3 2" xfId="27610"/>
    <cellStyle name="Calculation 2 2 5 2 3 4" xfId="18933"/>
    <cellStyle name="Calculation 2 2 5 2 4" xfId="5738"/>
    <cellStyle name="Calculation 2 2 5 2 4 2" xfId="12291"/>
    <cellStyle name="Calculation 2 2 5 2 4 2 2" xfId="26613"/>
    <cellStyle name="Calculation 2 2 5 2 4 3" xfId="17936"/>
    <cellStyle name="Calculation 2 2 5 2 5" xfId="5833"/>
    <cellStyle name="Calculation 2 2 5 2 5 2" xfId="23365"/>
    <cellStyle name="Calculation 2 2 5 2 6" xfId="17030"/>
    <cellStyle name="Calculation 2 2 5 3" xfId="183"/>
    <cellStyle name="Calculation 2 2 5 3 2" xfId="184"/>
    <cellStyle name="Calculation 2 2 5 3 2 2" xfId="7017"/>
    <cellStyle name="Calculation 2 2 5 3 2 2 2" xfId="13621"/>
    <cellStyle name="Calculation 2 2 5 3 2 2 2 2" xfId="27943"/>
    <cellStyle name="Calculation 2 2 5 3 2 2 3" xfId="19266"/>
    <cellStyle name="Calculation 2 2 5 3 2 3" xfId="7628"/>
    <cellStyle name="Calculation 2 2 5 3 2 3 2" xfId="10242"/>
    <cellStyle name="Calculation 2 2 5 3 2 3 2 2" xfId="16504"/>
    <cellStyle name="Calculation 2 2 5 3 2 3 2 2 2" xfId="29920"/>
    <cellStyle name="Calculation 2 2 5 3 2 3 2 3" xfId="21249"/>
    <cellStyle name="Calculation 2 2 5 3 2 3 3" xfId="14232"/>
    <cellStyle name="Calculation 2 2 5 3 2 3 3 2" xfId="28554"/>
    <cellStyle name="Calculation 2 2 5 3 2 3 4" xfId="19877"/>
    <cellStyle name="Calculation 2 2 5 3 2 4" xfId="11546"/>
    <cellStyle name="Calculation 2 2 5 3 2 4 2" xfId="25868"/>
    <cellStyle name="Calculation 2 2 5 3 2 5" xfId="14787"/>
    <cellStyle name="Calculation 2 2 5 3 3" xfId="185"/>
    <cellStyle name="Calculation 2 2 5 3 3 2" xfId="4353"/>
    <cellStyle name="Calculation 2 2 5 3 3 2 2" xfId="9455"/>
    <cellStyle name="Calculation 2 2 5 3 3 2 2 2" xfId="15717"/>
    <cellStyle name="Calculation 2 2 5 3 3 2 2 2 2" xfId="29133"/>
    <cellStyle name="Calculation 2 2 5 3 3 2 2 3" xfId="20462"/>
    <cellStyle name="Calculation 2 2 5 3 3 2 3" xfId="6821"/>
    <cellStyle name="Calculation 2 2 5 3 3 2 3 2" xfId="23756"/>
    <cellStyle name="Calculation 2 2 5 3 3 2 4" xfId="4734"/>
    <cellStyle name="Calculation 2 2 5 3 3 3" xfId="12386"/>
    <cellStyle name="Calculation 2 2 5 3 3 3 2" xfId="26708"/>
    <cellStyle name="Calculation 2 2 5 3 3 4" xfId="18031"/>
    <cellStyle name="Calculation 2 2 5 3 4" xfId="5237"/>
    <cellStyle name="Calculation 2 2 5 3 4 2" xfId="11787"/>
    <cellStyle name="Calculation 2 2 5 3 4 2 2" xfId="26109"/>
    <cellStyle name="Calculation 2 2 5 3 4 3" xfId="17432"/>
    <cellStyle name="Calculation 2 2 5 3 5" xfId="3695"/>
    <cellStyle name="Calculation 2 2 5 3 5 2" xfId="22534"/>
    <cellStyle name="Calculation 2 2 5 3 6" xfId="15151"/>
    <cellStyle name="Calculation 2 2 5 4" xfId="186"/>
    <cellStyle name="Calculation 2 2 5 4 2" xfId="6014"/>
    <cellStyle name="Calculation 2 2 5 4 2 2" xfId="12574"/>
    <cellStyle name="Calculation 2 2 5 4 2 2 2" xfId="26896"/>
    <cellStyle name="Calculation 2 2 5 4 2 3" xfId="18219"/>
    <cellStyle name="Calculation 2 2 5 4 3" xfId="7121"/>
    <cellStyle name="Calculation 2 2 5 4 3 2" xfId="9735"/>
    <cellStyle name="Calculation 2 2 5 4 3 2 2" xfId="15997"/>
    <cellStyle name="Calculation 2 2 5 4 3 2 2 2" xfId="29413"/>
    <cellStyle name="Calculation 2 2 5 4 3 2 3" xfId="20742"/>
    <cellStyle name="Calculation 2 2 5 4 3 3" xfId="13725"/>
    <cellStyle name="Calculation 2 2 5 4 3 3 2" xfId="28047"/>
    <cellStyle name="Calculation 2 2 5 4 3 4" xfId="19370"/>
    <cellStyle name="Calculation 2 2 5 4 4" xfId="5813"/>
    <cellStyle name="Calculation 2 2 5 4 4 2" xfId="23363"/>
    <cellStyle name="Calculation 2 2 5 4 5" xfId="15417"/>
    <cellStyle name="Calculation 2 2 5 5" xfId="187"/>
    <cellStyle name="Calculation 2 2 5 5 2" xfId="7733"/>
    <cellStyle name="Calculation 2 2 5 5 2 2" xfId="10347"/>
    <cellStyle name="Calculation 2 2 5 5 2 2 2" xfId="16609"/>
    <cellStyle name="Calculation 2 2 5 5 2 2 2 2" xfId="30025"/>
    <cellStyle name="Calculation 2 2 5 5 2 2 3" xfId="21354"/>
    <cellStyle name="Calculation 2 2 5 5 2 3" xfId="14337"/>
    <cellStyle name="Calculation 2 2 5 5 2 3 2" xfId="28659"/>
    <cellStyle name="Calculation 2 2 5 5 2 4" xfId="19982"/>
    <cellStyle name="Calculation 2 2 5 5 3" xfId="12857"/>
    <cellStyle name="Calculation 2 2 5 5 3 2" xfId="27179"/>
    <cellStyle name="Calculation 2 2 5 5 4" xfId="18502"/>
    <cellStyle name="Calculation 2 2 5 6" xfId="5465"/>
    <cellStyle name="Calculation 2 2 5 6 2" xfId="12016"/>
    <cellStyle name="Calculation 2 2 5 6 2 2" xfId="26338"/>
    <cellStyle name="Calculation 2 2 5 6 3" xfId="17661"/>
    <cellStyle name="Calculation 2 2 5 7" xfId="3638"/>
    <cellStyle name="Calculation 2 2 5 7 2" xfId="22498"/>
    <cellStyle name="Calculation 2 2 5 8" xfId="15172"/>
    <cellStyle name="Calculation 2 2 6" xfId="188"/>
    <cellStyle name="Calculation 2 2 6 2" xfId="189"/>
    <cellStyle name="Calculation 2 2 6 2 2" xfId="190"/>
    <cellStyle name="Calculation 2 2 6 2 2 2" xfId="5054"/>
    <cellStyle name="Calculation 2 2 6 2 2 2 2" xfId="11601"/>
    <cellStyle name="Calculation 2 2 6 2 2 2 2 2" xfId="25923"/>
    <cellStyle name="Calculation 2 2 6 2 2 2 3" xfId="14984"/>
    <cellStyle name="Calculation 2 2 6 2 2 3" xfId="4933"/>
    <cellStyle name="Calculation 2 2 6 2 2 3 2" xfId="9519"/>
    <cellStyle name="Calculation 2 2 6 2 2 3 2 2" xfId="15781"/>
    <cellStyle name="Calculation 2 2 6 2 2 3 2 2 2" xfId="29197"/>
    <cellStyle name="Calculation 2 2 6 2 2 3 2 3" xfId="20526"/>
    <cellStyle name="Calculation 2 2 6 2 2 3 3" xfId="11471"/>
    <cellStyle name="Calculation 2 2 6 2 2 3 3 2" xfId="25793"/>
    <cellStyle name="Calculation 2 2 6 2 2 3 4" xfId="3142"/>
    <cellStyle name="Calculation 2 2 6 2 2 4" xfId="4071"/>
    <cellStyle name="Calculation 2 2 6 2 2 4 2" xfId="22743"/>
    <cellStyle name="Calculation 2 2 6 2 2 5" xfId="4608"/>
    <cellStyle name="Calculation 2 2 6 2 3" xfId="191"/>
    <cellStyle name="Calculation 2 2 6 2 3 2" xfId="7277"/>
    <cellStyle name="Calculation 2 2 6 2 3 2 2" xfId="9891"/>
    <cellStyle name="Calculation 2 2 6 2 3 2 2 2" xfId="16153"/>
    <cellStyle name="Calculation 2 2 6 2 3 2 2 2 2" xfId="29569"/>
    <cellStyle name="Calculation 2 2 6 2 3 2 2 3" xfId="20898"/>
    <cellStyle name="Calculation 2 2 6 2 3 2 3" xfId="13881"/>
    <cellStyle name="Calculation 2 2 6 2 3 2 3 2" xfId="28203"/>
    <cellStyle name="Calculation 2 2 6 2 3 2 4" xfId="19526"/>
    <cellStyle name="Calculation 2 2 6 2 3 3" xfId="13325"/>
    <cellStyle name="Calculation 2 2 6 2 3 3 2" xfId="27647"/>
    <cellStyle name="Calculation 2 2 6 2 3 4" xfId="18970"/>
    <cellStyle name="Calculation 2 2 6 2 4" xfId="5775"/>
    <cellStyle name="Calculation 2 2 6 2 4 2" xfId="12328"/>
    <cellStyle name="Calculation 2 2 6 2 4 2 2" xfId="26650"/>
    <cellStyle name="Calculation 2 2 6 2 4 3" xfId="17973"/>
    <cellStyle name="Calculation 2 2 6 2 5" xfId="3280"/>
    <cellStyle name="Calculation 2 2 6 2 5 2" xfId="22459"/>
    <cellStyle name="Calculation 2 2 6 2 6" xfId="6596"/>
    <cellStyle name="Calculation 2 2 6 3" xfId="192"/>
    <cellStyle name="Calculation 2 2 6 3 2" xfId="193"/>
    <cellStyle name="Calculation 2 2 6 3 2 2" xfId="6950"/>
    <cellStyle name="Calculation 2 2 6 3 2 2 2" xfId="13554"/>
    <cellStyle name="Calculation 2 2 6 3 2 2 2 2" xfId="27876"/>
    <cellStyle name="Calculation 2 2 6 3 2 2 3" xfId="19199"/>
    <cellStyle name="Calculation 2 2 6 3 2 3" xfId="7065"/>
    <cellStyle name="Calculation 2 2 6 3 2 3 2" xfId="9679"/>
    <cellStyle name="Calculation 2 2 6 3 2 3 2 2" xfId="15941"/>
    <cellStyle name="Calculation 2 2 6 3 2 3 2 2 2" xfId="29357"/>
    <cellStyle name="Calculation 2 2 6 3 2 3 2 3" xfId="20686"/>
    <cellStyle name="Calculation 2 2 6 3 2 3 3" xfId="13669"/>
    <cellStyle name="Calculation 2 2 6 3 2 3 3 2" xfId="27991"/>
    <cellStyle name="Calculation 2 2 6 3 2 3 4" xfId="19314"/>
    <cellStyle name="Calculation 2 2 6 3 2 4" xfId="11446"/>
    <cellStyle name="Calculation 2 2 6 3 2 4 2" xfId="25768"/>
    <cellStyle name="Calculation 2 2 6 3 2 5" xfId="6630"/>
    <cellStyle name="Calculation 2 2 6 3 3" xfId="194"/>
    <cellStyle name="Calculation 2 2 6 3 3 2" xfId="7181"/>
    <cellStyle name="Calculation 2 2 6 3 3 2 2" xfId="9795"/>
    <cellStyle name="Calculation 2 2 6 3 3 2 2 2" xfId="16057"/>
    <cellStyle name="Calculation 2 2 6 3 3 2 2 2 2" xfId="29473"/>
    <cellStyle name="Calculation 2 2 6 3 3 2 2 3" xfId="20802"/>
    <cellStyle name="Calculation 2 2 6 3 3 2 3" xfId="13785"/>
    <cellStyle name="Calculation 2 2 6 3 3 2 3 2" xfId="28107"/>
    <cellStyle name="Calculation 2 2 6 3 3 2 4" xfId="19430"/>
    <cellStyle name="Calculation 2 2 6 3 3 3" xfId="13420"/>
    <cellStyle name="Calculation 2 2 6 3 3 3 2" xfId="27742"/>
    <cellStyle name="Calculation 2 2 6 3 3 4" xfId="19065"/>
    <cellStyle name="Calculation 2 2 6 3 4" xfId="5893"/>
    <cellStyle name="Calculation 2 2 6 3 4 2" xfId="12446"/>
    <cellStyle name="Calculation 2 2 6 3 4 2 2" xfId="26768"/>
    <cellStyle name="Calculation 2 2 6 3 4 3" xfId="18091"/>
    <cellStyle name="Calculation 2 2 6 3 5" xfId="3634"/>
    <cellStyle name="Calculation 2 2 6 3 5 2" xfId="22497"/>
    <cellStyle name="Calculation 2 2 6 3 6" xfId="15367"/>
    <cellStyle name="Calculation 2 2 6 4" xfId="195"/>
    <cellStyle name="Calculation 2 2 6 4 2" xfId="5228"/>
    <cellStyle name="Calculation 2 2 6 4 2 2" xfId="11778"/>
    <cellStyle name="Calculation 2 2 6 4 2 2 2" xfId="26100"/>
    <cellStyle name="Calculation 2 2 6 4 2 3" xfId="17423"/>
    <cellStyle name="Calculation 2 2 6 4 3" xfId="7662"/>
    <cellStyle name="Calculation 2 2 6 4 3 2" xfId="10276"/>
    <cellStyle name="Calculation 2 2 6 4 3 2 2" xfId="16538"/>
    <cellStyle name="Calculation 2 2 6 4 3 2 2 2" xfId="29954"/>
    <cellStyle name="Calculation 2 2 6 4 3 2 3" xfId="21283"/>
    <cellStyle name="Calculation 2 2 6 4 3 3" xfId="14266"/>
    <cellStyle name="Calculation 2 2 6 4 3 3 2" xfId="28588"/>
    <cellStyle name="Calculation 2 2 6 4 3 4" xfId="19911"/>
    <cellStyle name="Calculation 2 2 6 4 4" xfId="6170"/>
    <cellStyle name="Calculation 2 2 6 4 4 2" xfId="23439"/>
    <cellStyle name="Calculation 2 2 6 4 5" xfId="15474"/>
    <cellStyle name="Calculation 2 2 6 5" xfId="196"/>
    <cellStyle name="Calculation 2 2 6 5 2" xfId="4870"/>
    <cellStyle name="Calculation 2 2 6 5 2 2" xfId="9507"/>
    <cellStyle name="Calculation 2 2 6 5 2 2 2" xfId="15769"/>
    <cellStyle name="Calculation 2 2 6 5 2 2 2 2" xfId="29185"/>
    <cellStyle name="Calculation 2 2 6 5 2 2 3" xfId="20514"/>
    <cellStyle name="Calculation 2 2 6 5 2 3" xfId="11404"/>
    <cellStyle name="Calculation 2 2 6 5 2 3 2" xfId="25726"/>
    <cellStyle name="Calculation 2 2 6 5 2 4" xfId="4306"/>
    <cellStyle name="Calculation 2 2 6 5 3" xfId="12901"/>
    <cellStyle name="Calculation 2 2 6 5 3 2" xfId="27223"/>
    <cellStyle name="Calculation 2 2 6 5 4" xfId="18546"/>
    <cellStyle name="Calculation 2 2 6 6" xfId="5524"/>
    <cellStyle name="Calculation 2 2 6 6 2" xfId="12075"/>
    <cellStyle name="Calculation 2 2 6 6 2 2" xfId="26397"/>
    <cellStyle name="Calculation 2 2 6 6 3" xfId="17720"/>
    <cellStyle name="Calculation 2 2 6 7" xfId="4798"/>
    <cellStyle name="Calculation 2 2 6 7 2" xfId="23193"/>
    <cellStyle name="Calculation 2 2 6 8" xfId="15136"/>
    <cellStyle name="Calculation 2 2 7" xfId="197"/>
    <cellStyle name="Calculation 2 2 7 2" xfId="198"/>
    <cellStyle name="Calculation 2 2 7 2 2" xfId="199"/>
    <cellStyle name="Calculation 2 2 7 2 2 2" xfId="5952"/>
    <cellStyle name="Calculation 2 2 7 2 2 2 2" xfId="12510"/>
    <cellStyle name="Calculation 2 2 7 2 2 2 2 2" xfId="26832"/>
    <cellStyle name="Calculation 2 2 7 2 2 2 3" xfId="18155"/>
    <cellStyle name="Calculation 2 2 7 2 2 3" xfId="7918"/>
    <cellStyle name="Calculation 2 2 7 2 2 3 2" xfId="10532"/>
    <cellStyle name="Calculation 2 2 7 2 2 3 2 2" xfId="16794"/>
    <cellStyle name="Calculation 2 2 7 2 2 3 2 2 2" xfId="30210"/>
    <cellStyle name="Calculation 2 2 7 2 2 3 2 3" xfId="21539"/>
    <cellStyle name="Calculation 2 2 7 2 2 3 3" xfId="14522"/>
    <cellStyle name="Calculation 2 2 7 2 2 3 3 2" xfId="28844"/>
    <cellStyle name="Calculation 2 2 7 2 2 3 4" xfId="20167"/>
    <cellStyle name="Calculation 2 2 7 2 2 4" xfId="6153"/>
    <cellStyle name="Calculation 2 2 7 2 2 4 2" xfId="23433"/>
    <cellStyle name="Calculation 2 2 7 2 2 5" xfId="17162"/>
    <cellStyle name="Calculation 2 2 7 2 3" xfId="200"/>
    <cellStyle name="Calculation 2 2 7 2 3 2" xfId="7282"/>
    <cellStyle name="Calculation 2 2 7 2 3 2 2" xfId="9896"/>
    <cellStyle name="Calculation 2 2 7 2 3 2 2 2" xfId="16158"/>
    <cellStyle name="Calculation 2 2 7 2 3 2 2 2 2" xfId="29574"/>
    <cellStyle name="Calculation 2 2 7 2 3 2 2 3" xfId="20903"/>
    <cellStyle name="Calculation 2 2 7 2 3 2 3" xfId="13886"/>
    <cellStyle name="Calculation 2 2 7 2 3 2 3 2" xfId="28208"/>
    <cellStyle name="Calculation 2 2 7 2 3 2 4" xfId="19531"/>
    <cellStyle name="Calculation 2 2 7 2 3 3" xfId="12465"/>
    <cellStyle name="Calculation 2 2 7 2 3 3 2" xfId="26787"/>
    <cellStyle name="Calculation 2 2 7 2 3 4" xfId="18110"/>
    <cellStyle name="Calculation 2 2 7 2 4" xfId="5184"/>
    <cellStyle name="Calculation 2 2 7 2 4 2" xfId="11733"/>
    <cellStyle name="Calculation 2 2 7 2 4 2 2" xfId="26055"/>
    <cellStyle name="Calculation 2 2 7 2 4 3" xfId="6690"/>
    <cellStyle name="Calculation 2 2 7 2 5" xfId="6246"/>
    <cellStyle name="Calculation 2 2 7 2 5 2" xfId="23470"/>
    <cellStyle name="Calculation 2 2 7 2 6" xfId="15366"/>
    <cellStyle name="Calculation 2 2 7 3" xfId="201"/>
    <cellStyle name="Calculation 2 2 7 3 2" xfId="6947"/>
    <cellStyle name="Calculation 2 2 7 3 2 2" xfId="13551"/>
    <cellStyle name="Calculation 2 2 7 3 2 2 2" xfId="27873"/>
    <cellStyle name="Calculation 2 2 7 3 2 3" xfId="19196"/>
    <cellStyle name="Calculation 2 2 7 3 3" xfId="7195"/>
    <cellStyle name="Calculation 2 2 7 3 3 2" xfId="9809"/>
    <cellStyle name="Calculation 2 2 7 3 3 2 2" xfId="16071"/>
    <cellStyle name="Calculation 2 2 7 3 3 2 2 2" xfId="29487"/>
    <cellStyle name="Calculation 2 2 7 3 3 2 3" xfId="20816"/>
    <cellStyle name="Calculation 2 2 7 3 3 3" xfId="13799"/>
    <cellStyle name="Calculation 2 2 7 3 3 3 2" xfId="28121"/>
    <cellStyle name="Calculation 2 2 7 3 3 4" xfId="19444"/>
    <cellStyle name="Calculation 2 2 7 3 4" xfId="11441"/>
    <cellStyle name="Calculation 2 2 7 3 4 2" xfId="25763"/>
    <cellStyle name="Calculation 2 2 7 3 5" xfId="17142"/>
    <cellStyle name="Calculation 2 2 7 4" xfId="202"/>
    <cellStyle name="Calculation 2 2 7 4 2" xfId="5308"/>
    <cellStyle name="Calculation 2 2 7 4 2 2" xfId="9617"/>
    <cellStyle name="Calculation 2 2 7 4 2 2 2" xfId="15879"/>
    <cellStyle name="Calculation 2 2 7 4 2 2 2 2" xfId="29295"/>
    <cellStyle name="Calculation 2 2 7 4 2 2 3" xfId="20624"/>
    <cellStyle name="Calculation 2 2 7 4 2 3" xfId="11858"/>
    <cellStyle name="Calculation 2 2 7 4 2 3 2" xfId="26180"/>
    <cellStyle name="Calculation 2 2 7 4 2 4" xfId="17503"/>
    <cellStyle name="Calculation 2 2 7 4 3" xfId="12663"/>
    <cellStyle name="Calculation 2 2 7 4 3 2" xfId="26985"/>
    <cellStyle name="Calculation 2 2 7 4 4" xfId="18308"/>
    <cellStyle name="Calculation 2 2 7 5" xfId="5140"/>
    <cellStyle name="Calculation 2 2 7 5 2" xfId="11689"/>
    <cellStyle name="Calculation 2 2 7 5 2 2" xfId="26011"/>
    <cellStyle name="Calculation 2 2 7 5 3" xfId="6577"/>
    <cellStyle name="Calculation 2 2 7 6" xfId="3719"/>
    <cellStyle name="Calculation 2 2 7 6 2" xfId="22543"/>
    <cellStyle name="Calculation 2 2 7 7" xfId="15470"/>
    <cellStyle name="Calculation 2 2 8" xfId="203"/>
    <cellStyle name="Calculation 2 2 8 2" xfId="204"/>
    <cellStyle name="Calculation 2 2 8 2 2" xfId="6891"/>
    <cellStyle name="Calculation 2 2 8 2 2 2" xfId="13495"/>
    <cellStyle name="Calculation 2 2 8 2 2 2 2" xfId="27817"/>
    <cellStyle name="Calculation 2 2 8 2 2 3" xfId="19140"/>
    <cellStyle name="Calculation 2 2 8 2 3" xfId="4381"/>
    <cellStyle name="Calculation 2 2 8 2 3 2" xfId="9457"/>
    <cellStyle name="Calculation 2 2 8 2 3 2 2" xfId="15719"/>
    <cellStyle name="Calculation 2 2 8 2 3 2 2 2" xfId="29135"/>
    <cellStyle name="Calculation 2 2 8 2 3 2 3" xfId="20464"/>
    <cellStyle name="Calculation 2 2 8 2 3 3" xfId="3261"/>
    <cellStyle name="Calculation 2 2 8 2 3 3 2" xfId="22448"/>
    <cellStyle name="Calculation 2 2 8 2 3 4" xfId="15551"/>
    <cellStyle name="Calculation 2 2 8 2 4" xfId="11367"/>
    <cellStyle name="Calculation 2 2 8 2 4 2" xfId="25689"/>
    <cellStyle name="Calculation 2 2 8 2 5" xfId="4196"/>
    <cellStyle name="Calculation 2 2 8 3" xfId="205"/>
    <cellStyle name="Calculation 2 2 8 3 2" xfId="7165"/>
    <cellStyle name="Calculation 2 2 8 3 2 2" xfId="9779"/>
    <cellStyle name="Calculation 2 2 8 3 2 2 2" xfId="16041"/>
    <cellStyle name="Calculation 2 2 8 3 2 2 2 2" xfId="29457"/>
    <cellStyle name="Calculation 2 2 8 3 2 2 3" xfId="20786"/>
    <cellStyle name="Calculation 2 2 8 3 2 3" xfId="13769"/>
    <cellStyle name="Calculation 2 2 8 3 2 3 2" xfId="28091"/>
    <cellStyle name="Calculation 2 2 8 3 2 4" xfId="19414"/>
    <cellStyle name="Calculation 2 2 8 3 3" xfId="12541"/>
    <cellStyle name="Calculation 2 2 8 3 3 2" xfId="26863"/>
    <cellStyle name="Calculation 2 2 8 3 4" xfId="18186"/>
    <cellStyle name="Calculation 2 2 8 4" xfId="5233"/>
    <cellStyle name="Calculation 2 2 8 4 2" xfId="11783"/>
    <cellStyle name="Calculation 2 2 8 4 2 2" xfId="26105"/>
    <cellStyle name="Calculation 2 2 8 4 3" xfId="17428"/>
    <cellStyle name="Calculation 2 2 8 5" xfId="5695"/>
    <cellStyle name="Calculation 2 2 8 5 2" xfId="23361"/>
    <cellStyle name="Calculation 2 2 8 6" xfId="15158"/>
    <cellStyle name="Calculation 2 2 9" xfId="206"/>
    <cellStyle name="Calculation 2 2 9 2" xfId="6103"/>
    <cellStyle name="Calculation 2 2 9 2 2" xfId="12670"/>
    <cellStyle name="Calculation 2 2 9 2 2 2" xfId="26992"/>
    <cellStyle name="Calculation 2 2 9 2 3" xfId="18315"/>
    <cellStyle name="Calculation 2 2 9 3" xfId="7996"/>
    <cellStyle name="Calculation 2 2 9 3 2" xfId="10610"/>
    <cellStyle name="Calculation 2 2 9 3 2 2" xfId="16872"/>
    <cellStyle name="Calculation 2 2 9 3 2 2 2" xfId="30288"/>
    <cellStyle name="Calculation 2 2 9 3 2 3" xfId="21617"/>
    <cellStyle name="Calculation 2 2 9 3 3" xfId="14600"/>
    <cellStyle name="Calculation 2 2 9 3 3 2" xfId="28922"/>
    <cellStyle name="Calculation 2 2 9 3 4" xfId="20245"/>
    <cellStyle name="Calculation 2 2 9 4" xfId="4081"/>
    <cellStyle name="Calculation 2 2 9 4 2" xfId="22749"/>
    <cellStyle name="Calculation 2 2 9 5" xfId="17389"/>
    <cellStyle name="Calculation 2 3" xfId="207"/>
    <cellStyle name="Calculation 2 3 2" xfId="5990"/>
    <cellStyle name="Calculation 2 3 2 2" xfId="12548"/>
    <cellStyle name="Calculation 2 3 2 2 2" xfId="26870"/>
    <cellStyle name="Calculation 2 3 2 3" xfId="18193"/>
    <cellStyle name="Calculation 2 3 3" xfId="7571"/>
    <cellStyle name="Calculation 2 3 3 2" xfId="10185"/>
    <cellStyle name="Calculation 2 3 3 2 2" xfId="16447"/>
    <cellStyle name="Calculation 2 3 3 2 2 2" xfId="29863"/>
    <cellStyle name="Calculation 2 3 3 2 3" xfId="21192"/>
    <cellStyle name="Calculation 2 3 3 3" xfId="14175"/>
    <cellStyle name="Calculation 2 3 3 3 2" xfId="28497"/>
    <cellStyle name="Calculation 2 3 3 4" xfId="19820"/>
    <cellStyle name="Calculation 2 3 4" xfId="6627"/>
    <cellStyle name="Calculation 2 3 4 2" xfId="23615"/>
    <cellStyle name="Calculation 2 3 5" xfId="14939"/>
    <cellStyle name="Calculation 2 4" xfId="3275"/>
    <cellStyle name="Calculation 2 4 2" xfId="4276"/>
    <cellStyle name="Calculation 2 4 2 2" xfId="22865"/>
    <cellStyle name="Calculation 2 4 3" xfId="4586"/>
    <cellStyle name="Calculation 2 5" xfId="4249"/>
    <cellStyle name="Calculation 2 5 2" xfId="22851"/>
    <cellStyle name="Calculation 2 6" xfId="15480"/>
    <cellStyle name="Calculation 2 7" xfId="21695"/>
    <cellStyle name="Calculation 2 8" xfId="21701"/>
    <cellStyle name="Cálculo" xfId="208"/>
    <cellStyle name="Cálculo 2" xfId="209"/>
    <cellStyle name="Cálculo 2 10" xfId="210"/>
    <cellStyle name="Cálculo 2 10 2" xfId="7735"/>
    <cellStyle name="Cálculo 2 10 2 2" xfId="10349"/>
    <cellStyle name="Cálculo 2 10 2 2 2" xfId="16611"/>
    <cellStyle name="Cálculo 2 10 2 2 2 2" xfId="30027"/>
    <cellStyle name="Cálculo 2 10 2 2 3" xfId="21356"/>
    <cellStyle name="Cálculo 2 10 2 3" xfId="14339"/>
    <cellStyle name="Cálculo 2 10 2 3 2" xfId="28661"/>
    <cellStyle name="Cálculo 2 10 2 4" xfId="19984"/>
    <cellStyle name="Cálculo 2 10 3" xfId="11646"/>
    <cellStyle name="Cálculo 2 10 3 2" xfId="25968"/>
    <cellStyle name="Cálculo 2 10 4" xfId="15330"/>
    <cellStyle name="Cálculo 2 11" xfId="4991"/>
    <cellStyle name="Cálculo 2 11 2" xfId="11534"/>
    <cellStyle name="Cálculo 2 11 2 2" xfId="25856"/>
    <cellStyle name="Cálculo 2 11 3" xfId="5901"/>
    <cellStyle name="Cálculo 2 12" xfId="4482"/>
    <cellStyle name="Cálculo 2 12 2" xfId="22980"/>
    <cellStyle name="Cálculo 2 13" xfId="17204"/>
    <cellStyle name="Cálculo 2 2" xfId="211"/>
    <cellStyle name="Cálculo 2 2 10" xfId="5456"/>
    <cellStyle name="Cálculo 2 2 10 2" xfId="12007"/>
    <cellStyle name="Cálculo 2 2 10 2 2" xfId="26329"/>
    <cellStyle name="Cálculo 2 2 10 3" xfId="17652"/>
    <cellStyle name="Cálculo 2 2 11" xfId="5001"/>
    <cellStyle name="Cálculo 2 2 11 2" xfId="23302"/>
    <cellStyle name="Cálculo 2 2 12" xfId="14834"/>
    <cellStyle name="Cálculo 2 2 2" xfId="212"/>
    <cellStyle name="Cálculo 2 2 2 10" xfId="4184"/>
    <cellStyle name="Cálculo 2 2 2 10 2" xfId="22806"/>
    <cellStyle name="Cálculo 2 2 2 11" xfId="17082"/>
    <cellStyle name="Cálculo 2 2 2 2" xfId="213"/>
    <cellStyle name="Cálculo 2 2 2 2 2" xfId="214"/>
    <cellStyle name="Cálculo 2 2 2 2 2 2" xfId="215"/>
    <cellStyle name="Cálculo 2 2 2 2 2 2 2" xfId="6959"/>
    <cellStyle name="Cálculo 2 2 2 2 2 2 2 2" xfId="13563"/>
    <cellStyle name="Cálculo 2 2 2 2 2 2 2 2 2" xfId="27885"/>
    <cellStyle name="Cálculo 2 2 2 2 2 2 2 3" xfId="19208"/>
    <cellStyle name="Cálculo 2 2 2 2 2 2 3" xfId="4028"/>
    <cellStyle name="Cálculo 2 2 2 2 2 2 3 2" xfId="9414"/>
    <cellStyle name="Cálculo 2 2 2 2 2 2 3 2 2" xfId="15676"/>
    <cellStyle name="Cálculo 2 2 2 2 2 2 3 2 2 2" xfId="29092"/>
    <cellStyle name="Cálculo 2 2 2 2 2 2 3 2 3" xfId="20421"/>
    <cellStyle name="Cálculo 2 2 2 2 2 2 3 3" xfId="6250"/>
    <cellStyle name="Cálculo 2 2 2 2 2 2 3 3 2" xfId="23474"/>
    <cellStyle name="Cálculo 2 2 2 2 2 2 3 4" xfId="17385"/>
    <cellStyle name="Cálculo 2 2 2 2 2 2 4" xfId="11460"/>
    <cellStyle name="Cálculo 2 2 2 2 2 2 4 2" xfId="25782"/>
    <cellStyle name="Cálculo 2 2 2 2 2 2 5" xfId="17264"/>
    <cellStyle name="Cálculo 2 2 2 2 2 3" xfId="216"/>
    <cellStyle name="Cálculo 2 2 2 2 2 3 2" xfId="8047"/>
    <cellStyle name="Cálculo 2 2 2 2 2 3 2 2" xfId="10661"/>
    <cellStyle name="Cálculo 2 2 2 2 2 3 2 2 2" xfId="16923"/>
    <cellStyle name="Cálculo 2 2 2 2 2 3 2 2 2 2" xfId="30339"/>
    <cellStyle name="Cálculo 2 2 2 2 2 3 2 2 3" xfId="21668"/>
    <cellStyle name="Cálculo 2 2 2 2 2 3 2 3" xfId="14651"/>
    <cellStyle name="Cálculo 2 2 2 2 2 3 2 3 2" xfId="28973"/>
    <cellStyle name="Cálculo 2 2 2 2 2 3 2 4" xfId="20296"/>
    <cellStyle name="Cálculo 2 2 2 2 2 3 3" xfId="13324"/>
    <cellStyle name="Cálculo 2 2 2 2 2 3 3 2" xfId="27646"/>
    <cellStyle name="Cálculo 2 2 2 2 2 3 4" xfId="18969"/>
    <cellStyle name="Cálculo 2 2 2 2 2 4" xfId="5774"/>
    <cellStyle name="Cálculo 2 2 2 2 2 4 2" xfId="12327"/>
    <cellStyle name="Cálculo 2 2 2 2 2 4 2 2" xfId="26649"/>
    <cellStyle name="Cálculo 2 2 2 2 2 4 3" xfId="17972"/>
    <cellStyle name="Cálculo 2 2 2 2 2 5" xfId="6341"/>
    <cellStyle name="Cálculo 2 2 2 2 2 5 2" xfId="23527"/>
    <cellStyle name="Cálculo 2 2 2 2 2 6" xfId="6526"/>
    <cellStyle name="Cálculo 2 2 2 2 3" xfId="217"/>
    <cellStyle name="Cálculo 2 2 2 2 3 2" xfId="218"/>
    <cellStyle name="Cálculo 2 2 2 2 3 2 2" xfId="6204"/>
    <cellStyle name="Cálculo 2 2 2 2 3 2 2 2" xfId="12777"/>
    <cellStyle name="Cálculo 2 2 2 2 3 2 2 2 2" xfId="27099"/>
    <cellStyle name="Cálculo 2 2 2 2 3 2 2 3" xfId="18422"/>
    <cellStyle name="Cálculo 2 2 2 2 3 2 3" xfId="7124"/>
    <cellStyle name="Cálculo 2 2 2 2 3 2 3 2" xfId="9738"/>
    <cellStyle name="Cálculo 2 2 2 2 3 2 3 2 2" xfId="16000"/>
    <cellStyle name="Cálculo 2 2 2 2 3 2 3 2 2 2" xfId="29416"/>
    <cellStyle name="Cálculo 2 2 2 2 3 2 3 2 3" xfId="20745"/>
    <cellStyle name="Cálculo 2 2 2 2 3 2 3 3" xfId="13728"/>
    <cellStyle name="Cálculo 2 2 2 2 3 2 3 3 2" xfId="28050"/>
    <cellStyle name="Cálculo 2 2 2 2 3 2 3 4" xfId="19373"/>
    <cellStyle name="Cálculo 2 2 2 2 3 2 4" xfId="4950"/>
    <cellStyle name="Cálculo 2 2 2 2 3 2 4 2" xfId="23275"/>
    <cellStyle name="Cálculo 2 2 2 2 3 2 5" xfId="14941"/>
    <cellStyle name="Cálculo 2 2 2 2 3 3" xfId="219"/>
    <cellStyle name="Cálculo 2 2 2 2 3 3 2" xfId="7559"/>
    <cellStyle name="Cálculo 2 2 2 2 3 3 2 2" xfId="10173"/>
    <cellStyle name="Cálculo 2 2 2 2 3 3 2 2 2" xfId="16435"/>
    <cellStyle name="Cálculo 2 2 2 2 3 3 2 2 2 2" xfId="29851"/>
    <cellStyle name="Cálculo 2 2 2 2 3 3 2 2 3" xfId="21180"/>
    <cellStyle name="Cálculo 2 2 2 2 3 3 2 3" xfId="14163"/>
    <cellStyle name="Cálculo 2 2 2 2 3 3 2 3 2" xfId="28485"/>
    <cellStyle name="Cálculo 2 2 2 2 3 3 2 4" xfId="19808"/>
    <cellStyle name="Cálculo 2 2 2 2 3 3 3" xfId="13365"/>
    <cellStyle name="Cálculo 2 2 2 2 3 3 3 2" xfId="27687"/>
    <cellStyle name="Cálculo 2 2 2 2 3 3 4" xfId="19010"/>
    <cellStyle name="Cálculo 2 2 2 2 3 4" xfId="5816"/>
    <cellStyle name="Cálculo 2 2 2 2 3 4 2" xfId="12369"/>
    <cellStyle name="Cálculo 2 2 2 2 3 4 2 2" xfId="26691"/>
    <cellStyle name="Cálculo 2 2 2 2 3 4 3" xfId="18014"/>
    <cellStyle name="Cálculo 2 2 2 2 3 5" xfId="6473"/>
    <cellStyle name="Cálculo 2 2 2 2 3 5 2" xfId="23557"/>
    <cellStyle name="Cálculo 2 2 2 2 3 6" xfId="15085"/>
    <cellStyle name="Cálculo 2 2 2 2 4" xfId="220"/>
    <cellStyle name="Cálculo 2 2 2 2 4 2" xfId="6282"/>
    <cellStyle name="Cálculo 2 2 2 2 4 2 2" xfId="12864"/>
    <cellStyle name="Cálculo 2 2 2 2 4 2 2 2" xfId="27186"/>
    <cellStyle name="Cálculo 2 2 2 2 4 2 3" xfId="18509"/>
    <cellStyle name="Cálculo 2 2 2 2 4 3" xfId="7937"/>
    <cellStyle name="Cálculo 2 2 2 2 4 3 2" xfId="10551"/>
    <cellStyle name="Cálculo 2 2 2 2 4 3 2 2" xfId="16813"/>
    <cellStyle name="Cálculo 2 2 2 2 4 3 2 2 2" xfId="30229"/>
    <cellStyle name="Cálculo 2 2 2 2 4 3 2 3" xfId="21558"/>
    <cellStyle name="Cálculo 2 2 2 2 4 3 3" xfId="14541"/>
    <cellStyle name="Cálculo 2 2 2 2 4 3 3 2" xfId="28863"/>
    <cellStyle name="Cálculo 2 2 2 2 4 3 4" xfId="20186"/>
    <cellStyle name="Cálculo 2 2 2 2 4 4" xfId="4453"/>
    <cellStyle name="Cálculo 2 2 2 2 4 4 2" xfId="22962"/>
    <cellStyle name="Cálculo 2 2 2 2 4 5" xfId="15383"/>
    <cellStyle name="Cálculo 2 2 2 2 5" xfId="221"/>
    <cellStyle name="Cálculo 2 2 2 2 5 2" xfId="3993"/>
    <cellStyle name="Cálculo 2 2 2 2 5 2 2" xfId="9406"/>
    <cellStyle name="Cálculo 2 2 2 2 5 2 2 2" xfId="15668"/>
    <cellStyle name="Cálculo 2 2 2 2 5 2 2 2 2" xfId="29084"/>
    <cellStyle name="Cálculo 2 2 2 2 5 2 2 3" xfId="20413"/>
    <cellStyle name="Cálculo 2 2 2 2 5 2 3" xfId="3720"/>
    <cellStyle name="Cálculo 2 2 2 2 5 2 3 2" xfId="22544"/>
    <cellStyle name="Cálculo 2 2 2 2 5 2 4" xfId="6542"/>
    <cellStyle name="Cálculo 2 2 2 2 5 3" xfId="12900"/>
    <cellStyle name="Cálculo 2 2 2 2 5 3 2" xfId="27222"/>
    <cellStyle name="Cálculo 2 2 2 2 5 4" xfId="18545"/>
    <cellStyle name="Cálculo 2 2 2 2 6" xfId="5518"/>
    <cellStyle name="Cálculo 2 2 2 2 6 2" xfId="12069"/>
    <cellStyle name="Cálculo 2 2 2 2 6 2 2" xfId="26391"/>
    <cellStyle name="Cálculo 2 2 2 2 6 3" xfId="17714"/>
    <cellStyle name="Cálculo 2 2 2 2 7" xfId="6752"/>
    <cellStyle name="Cálculo 2 2 2 2 7 2" xfId="23700"/>
    <cellStyle name="Cálculo 2 2 2 2 8" xfId="4585"/>
    <cellStyle name="Cálculo 2 2 2 3" xfId="222"/>
    <cellStyle name="Cálculo 2 2 2 3 2" xfId="223"/>
    <cellStyle name="Cálculo 2 2 2 3 2 2" xfId="224"/>
    <cellStyle name="Cálculo 2 2 2 3 2 2 2" xfId="7031"/>
    <cellStyle name="Cálculo 2 2 2 3 2 2 2 2" xfId="13635"/>
    <cellStyle name="Cálculo 2 2 2 3 2 2 2 2 2" xfId="27957"/>
    <cellStyle name="Cálculo 2 2 2 3 2 2 2 3" xfId="19280"/>
    <cellStyle name="Cálculo 2 2 2 3 2 2 3" xfId="4848"/>
    <cellStyle name="Cálculo 2 2 2 3 2 2 3 2" xfId="9500"/>
    <cellStyle name="Cálculo 2 2 2 3 2 2 3 2 2" xfId="15762"/>
    <cellStyle name="Cálculo 2 2 2 3 2 2 3 2 2 2" xfId="29178"/>
    <cellStyle name="Cálculo 2 2 2 3 2 2 3 2 3" xfId="20507"/>
    <cellStyle name="Cálculo 2 2 2 3 2 2 3 3" xfId="11381"/>
    <cellStyle name="Cálculo 2 2 2 3 2 2 3 3 2" xfId="25703"/>
    <cellStyle name="Cálculo 2 2 2 3 2 2 3 4" xfId="6632"/>
    <cellStyle name="Cálculo 2 2 2 3 2 2 4" xfId="11571"/>
    <cellStyle name="Cálculo 2 2 2 3 2 2 4 2" xfId="25893"/>
    <cellStyle name="Cálculo 2 2 2 3 2 2 5" xfId="14699"/>
    <cellStyle name="Cálculo 2 2 2 3 2 3" xfId="225"/>
    <cellStyle name="Cálculo 2 2 2 3 2 3 2" xfId="5300"/>
    <cellStyle name="Cálculo 2 2 2 3 2 3 2 2" xfId="9609"/>
    <cellStyle name="Cálculo 2 2 2 3 2 3 2 2 2" xfId="15871"/>
    <cellStyle name="Cálculo 2 2 2 3 2 3 2 2 2 2" xfId="29287"/>
    <cellStyle name="Cálculo 2 2 2 3 2 3 2 2 3" xfId="20616"/>
    <cellStyle name="Cálculo 2 2 2 3 2 3 2 3" xfId="11850"/>
    <cellStyle name="Cálculo 2 2 2 3 2 3 2 3 2" xfId="26172"/>
    <cellStyle name="Cálculo 2 2 2 3 2 3 2 4" xfId="17495"/>
    <cellStyle name="Cálculo 2 2 2 3 2 3 3" xfId="13360"/>
    <cellStyle name="Cálculo 2 2 2 3 2 3 3 2" xfId="27682"/>
    <cellStyle name="Cálculo 2 2 2 3 2 3 4" xfId="19005"/>
    <cellStyle name="Cálculo 2 2 2 3 2 4" xfId="5810"/>
    <cellStyle name="Cálculo 2 2 2 3 2 4 2" xfId="12363"/>
    <cellStyle name="Cálculo 2 2 2 3 2 4 2 2" xfId="26685"/>
    <cellStyle name="Cálculo 2 2 2 3 2 4 3" xfId="18008"/>
    <cellStyle name="Cálculo 2 2 2 3 2 5" xfId="3717"/>
    <cellStyle name="Cálculo 2 2 2 3 2 5 2" xfId="22542"/>
    <cellStyle name="Cálculo 2 2 2 3 2 6" xfId="15294"/>
    <cellStyle name="Cálculo 2 2 2 3 3" xfId="226"/>
    <cellStyle name="Cálculo 2 2 2 3 3 2" xfId="227"/>
    <cellStyle name="Cálculo 2 2 2 3 3 2 2" xfId="5615"/>
    <cellStyle name="Cálculo 2 2 2 3 3 2 2 2" xfId="12168"/>
    <cellStyle name="Cálculo 2 2 2 3 3 2 2 2 2" xfId="26490"/>
    <cellStyle name="Cálculo 2 2 2 3 3 2 2 3" xfId="17813"/>
    <cellStyle name="Cálculo 2 2 2 3 3 2 3" xfId="7100"/>
    <cellStyle name="Cálculo 2 2 2 3 3 2 3 2" xfId="9714"/>
    <cellStyle name="Cálculo 2 2 2 3 3 2 3 2 2" xfId="15976"/>
    <cellStyle name="Cálculo 2 2 2 3 3 2 3 2 2 2" xfId="29392"/>
    <cellStyle name="Cálculo 2 2 2 3 3 2 3 2 3" xfId="20721"/>
    <cellStyle name="Cálculo 2 2 2 3 3 2 3 3" xfId="13704"/>
    <cellStyle name="Cálculo 2 2 2 3 3 2 3 3 2" xfId="28026"/>
    <cellStyle name="Cálculo 2 2 2 3 3 2 3 4" xfId="19349"/>
    <cellStyle name="Cálculo 2 2 2 3 3 2 4" xfId="3875"/>
    <cellStyle name="Cálculo 2 2 2 3 3 2 4 2" xfId="22621"/>
    <cellStyle name="Cálculo 2 2 2 3 3 2 5" xfId="15516"/>
    <cellStyle name="Cálculo 2 2 2 3 3 3" xfId="228"/>
    <cellStyle name="Cálculo 2 2 2 3 3 3 2" xfId="7123"/>
    <cellStyle name="Cálculo 2 2 2 3 3 3 2 2" xfId="9737"/>
    <cellStyle name="Cálculo 2 2 2 3 3 3 2 2 2" xfId="15999"/>
    <cellStyle name="Cálculo 2 2 2 3 3 3 2 2 2 2" xfId="29415"/>
    <cellStyle name="Cálculo 2 2 2 3 3 3 2 2 3" xfId="20744"/>
    <cellStyle name="Cálculo 2 2 2 3 3 3 2 3" xfId="13727"/>
    <cellStyle name="Cálculo 2 2 2 3 3 3 2 3 2" xfId="28049"/>
    <cellStyle name="Cálculo 2 2 2 3 3 3 2 4" xfId="19372"/>
    <cellStyle name="Cálculo 2 2 2 3 3 3 3" xfId="13078"/>
    <cellStyle name="Cálculo 2 2 2 3 3 3 3 2" xfId="27400"/>
    <cellStyle name="Cálculo 2 2 2 3 3 3 4" xfId="18723"/>
    <cellStyle name="Cálculo 2 2 2 3 3 4" xfId="5427"/>
    <cellStyle name="Cálculo 2 2 2 3 3 4 2" xfId="11978"/>
    <cellStyle name="Cálculo 2 2 2 3 3 4 2 2" xfId="26300"/>
    <cellStyle name="Cálculo 2 2 2 3 3 4 3" xfId="17623"/>
    <cellStyle name="Cálculo 2 2 2 3 3 5" xfId="3954"/>
    <cellStyle name="Cálculo 2 2 2 3 3 5 2" xfId="22667"/>
    <cellStyle name="Cálculo 2 2 2 3 3 6" xfId="16957"/>
    <cellStyle name="Cálculo 2 2 2 3 4" xfId="229"/>
    <cellStyle name="Cálculo 2 2 2 3 4 2" xfId="6883"/>
    <cellStyle name="Cálculo 2 2 2 3 4 2 2" xfId="13487"/>
    <cellStyle name="Cálculo 2 2 2 3 4 2 2 2" xfId="27809"/>
    <cellStyle name="Cálculo 2 2 2 3 4 2 3" xfId="19132"/>
    <cellStyle name="Cálculo 2 2 2 3 4 3" xfId="7549"/>
    <cellStyle name="Cálculo 2 2 2 3 4 3 2" xfId="10163"/>
    <cellStyle name="Cálculo 2 2 2 3 4 3 2 2" xfId="16425"/>
    <cellStyle name="Cálculo 2 2 2 3 4 3 2 2 2" xfId="29841"/>
    <cellStyle name="Cálculo 2 2 2 3 4 3 2 3" xfId="21170"/>
    <cellStyle name="Cálculo 2 2 2 3 4 3 3" xfId="14153"/>
    <cellStyle name="Cálculo 2 2 2 3 4 3 3 2" xfId="28475"/>
    <cellStyle name="Cálculo 2 2 2 3 4 3 4" xfId="19798"/>
    <cellStyle name="Cálculo 2 2 2 3 4 4" xfId="11357"/>
    <cellStyle name="Cálculo 2 2 2 3 4 4 2" xfId="25679"/>
    <cellStyle name="Cálculo 2 2 2 3 4 5" xfId="15077"/>
    <cellStyle name="Cálculo 2 2 2 3 5" xfId="230"/>
    <cellStyle name="Cálculo 2 2 2 3 5 2" xfId="7057"/>
    <cellStyle name="Cálculo 2 2 2 3 5 2 2" xfId="9671"/>
    <cellStyle name="Cálculo 2 2 2 3 5 2 2 2" xfId="15933"/>
    <cellStyle name="Cálculo 2 2 2 3 5 2 2 2 2" xfId="29349"/>
    <cellStyle name="Cálculo 2 2 2 3 5 2 2 3" xfId="20678"/>
    <cellStyle name="Cálculo 2 2 2 3 5 2 3" xfId="13661"/>
    <cellStyle name="Cálculo 2 2 2 3 5 2 3 2" xfId="27983"/>
    <cellStyle name="Cálculo 2 2 2 3 5 2 4" xfId="19306"/>
    <cellStyle name="Cálculo 2 2 2 3 5 3" xfId="12936"/>
    <cellStyle name="Cálculo 2 2 2 3 5 3 2" xfId="27258"/>
    <cellStyle name="Cálculo 2 2 2 3 5 4" xfId="18581"/>
    <cellStyle name="Cálculo 2 2 2 3 6" xfId="5560"/>
    <cellStyle name="Cálculo 2 2 2 3 6 2" xfId="12111"/>
    <cellStyle name="Cálculo 2 2 2 3 6 2 2" xfId="26433"/>
    <cellStyle name="Cálculo 2 2 2 3 6 3" xfId="17756"/>
    <cellStyle name="Cálculo 2 2 2 3 7" xfId="6787"/>
    <cellStyle name="Cálculo 2 2 2 3 7 2" xfId="23731"/>
    <cellStyle name="Cálculo 2 2 2 3 8" xfId="15437"/>
    <cellStyle name="Cálculo 2 2 2 4" xfId="231"/>
    <cellStyle name="Cálculo 2 2 2 4 2" xfId="232"/>
    <cellStyle name="Cálculo 2 2 2 4 2 2" xfId="233"/>
    <cellStyle name="Cálculo 2 2 2 4 2 2 2" xfId="6985"/>
    <cellStyle name="Cálculo 2 2 2 4 2 2 2 2" xfId="13589"/>
    <cellStyle name="Cálculo 2 2 2 4 2 2 2 2 2" xfId="27911"/>
    <cellStyle name="Cálculo 2 2 2 4 2 2 2 3" xfId="19234"/>
    <cellStyle name="Cálculo 2 2 2 4 2 2 3" xfId="7056"/>
    <cellStyle name="Cálculo 2 2 2 4 2 2 3 2" xfId="9670"/>
    <cellStyle name="Cálculo 2 2 2 4 2 2 3 2 2" xfId="15932"/>
    <cellStyle name="Cálculo 2 2 2 4 2 2 3 2 2 2" xfId="29348"/>
    <cellStyle name="Cálculo 2 2 2 4 2 2 3 2 3" xfId="20677"/>
    <cellStyle name="Cálculo 2 2 2 4 2 2 3 3" xfId="13660"/>
    <cellStyle name="Cálculo 2 2 2 4 2 2 3 3 2" xfId="27982"/>
    <cellStyle name="Cálculo 2 2 2 4 2 2 3 4" xfId="19305"/>
    <cellStyle name="Cálculo 2 2 2 4 2 2 4" xfId="11497"/>
    <cellStyle name="Cálculo 2 2 2 4 2 2 4 2" xfId="25819"/>
    <cellStyle name="Cálculo 2 2 2 4 2 2 5" xfId="17282"/>
    <cellStyle name="Cálculo 2 2 2 4 2 3" xfId="234"/>
    <cellStyle name="Cálculo 2 2 2 4 2 3 2" xfId="7606"/>
    <cellStyle name="Cálculo 2 2 2 4 2 3 2 2" xfId="10220"/>
    <cellStyle name="Cálculo 2 2 2 4 2 3 2 2 2" xfId="16482"/>
    <cellStyle name="Cálculo 2 2 2 4 2 3 2 2 2 2" xfId="29898"/>
    <cellStyle name="Cálculo 2 2 2 4 2 3 2 2 3" xfId="21227"/>
    <cellStyle name="Cálculo 2 2 2 4 2 3 2 3" xfId="14210"/>
    <cellStyle name="Cálculo 2 2 2 4 2 3 2 3 2" xfId="28532"/>
    <cellStyle name="Cálculo 2 2 2 4 2 3 2 4" xfId="19855"/>
    <cellStyle name="Cálculo 2 2 2 4 2 3 3" xfId="13364"/>
    <cellStyle name="Cálculo 2 2 2 4 2 3 3 2" xfId="27686"/>
    <cellStyle name="Cálculo 2 2 2 4 2 3 4" xfId="19009"/>
    <cellStyle name="Cálculo 2 2 2 4 2 4" xfId="5815"/>
    <cellStyle name="Cálculo 2 2 2 4 2 4 2" xfId="12368"/>
    <cellStyle name="Cálculo 2 2 2 4 2 4 2 2" xfId="26690"/>
    <cellStyle name="Cálculo 2 2 2 4 2 4 3" xfId="18013"/>
    <cellStyle name="Cálculo 2 2 2 4 2 5" xfId="4972"/>
    <cellStyle name="Cálculo 2 2 2 4 2 5 2" xfId="23288"/>
    <cellStyle name="Cálculo 2 2 2 4 2 6" xfId="17354"/>
    <cellStyle name="Cálculo 2 2 2 4 3" xfId="235"/>
    <cellStyle name="Cálculo 2 2 2 4 3 2" xfId="236"/>
    <cellStyle name="Cálculo 2 2 2 4 3 2 2" xfId="6899"/>
    <cellStyle name="Cálculo 2 2 2 4 3 2 2 2" xfId="13503"/>
    <cellStyle name="Cálculo 2 2 2 4 3 2 2 2 2" xfId="27825"/>
    <cellStyle name="Cálculo 2 2 2 4 3 2 2 3" xfId="19148"/>
    <cellStyle name="Cálculo 2 2 2 4 3 2 3" xfId="7307"/>
    <cellStyle name="Cálculo 2 2 2 4 3 2 3 2" xfId="9921"/>
    <cellStyle name="Cálculo 2 2 2 4 3 2 3 2 2" xfId="16183"/>
    <cellStyle name="Cálculo 2 2 2 4 3 2 3 2 2 2" xfId="29599"/>
    <cellStyle name="Cálculo 2 2 2 4 3 2 3 2 3" xfId="20928"/>
    <cellStyle name="Cálculo 2 2 2 4 3 2 3 3" xfId="13911"/>
    <cellStyle name="Cálculo 2 2 2 4 3 2 3 3 2" xfId="28233"/>
    <cellStyle name="Cálculo 2 2 2 4 3 2 3 4" xfId="19556"/>
    <cellStyle name="Cálculo 2 2 2 4 3 2 4" xfId="11378"/>
    <cellStyle name="Cálculo 2 2 2 4 3 2 4 2" xfId="25700"/>
    <cellStyle name="Cálculo 2 2 2 4 3 2 5" xfId="15591"/>
    <cellStyle name="Cálculo 2 2 2 4 3 3" xfId="237"/>
    <cellStyle name="Cálculo 2 2 2 4 3 3 2" xfId="7127"/>
    <cellStyle name="Cálculo 2 2 2 4 3 3 2 2" xfId="9741"/>
    <cellStyle name="Cálculo 2 2 2 4 3 3 2 2 2" xfId="16003"/>
    <cellStyle name="Cálculo 2 2 2 4 3 3 2 2 2 2" xfId="29419"/>
    <cellStyle name="Cálculo 2 2 2 4 3 3 2 2 3" xfId="20748"/>
    <cellStyle name="Cálculo 2 2 2 4 3 3 2 3" xfId="13731"/>
    <cellStyle name="Cálculo 2 2 2 4 3 3 2 3 2" xfId="28053"/>
    <cellStyle name="Cálculo 2 2 2 4 3 3 2 4" xfId="19376"/>
    <cellStyle name="Cálculo 2 2 2 4 3 3 3" xfId="12800"/>
    <cellStyle name="Cálculo 2 2 2 4 3 3 3 2" xfId="27122"/>
    <cellStyle name="Cálculo 2 2 2 4 3 3 4" xfId="18445"/>
    <cellStyle name="Cálculo 2 2 2 4 3 4" xfId="5167"/>
    <cellStyle name="Cálculo 2 2 2 4 3 4 2" xfId="11716"/>
    <cellStyle name="Cálculo 2 2 2 4 3 4 2 2" xfId="26038"/>
    <cellStyle name="Cálculo 2 2 2 4 3 4 3" xfId="3812"/>
    <cellStyle name="Cálculo 2 2 2 4 3 5" xfId="4947"/>
    <cellStyle name="Cálculo 2 2 2 4 3 5 2" xfId="23274"/>
    <cellStyle name="Cálculo 2 2 2 4 3 6" xfId="15239"/>
    <cellStyle name="Cálculo 2 2 2 4 4" xfId="238"/>
    <cellStyle name="Cálculo 2 2 2 4 4 2" xfId="6919"/>
    <cellStyle name="Cálculo 2 2 2 4 4 2 2" xfId="13523"/>
    <cellStyle name="Cálculo 2 2 2 4 4 2 2 2" xfId="27845"/>
    <cellStyle name="Cálculo 2 2 2 4 4 2 3" xfId="19168"/>
    <cellStyle name="Cálculo 2 2 2 4 4 3" xfId="7135"/>
    <cellStyle name="Cálculo 2 2 2 4 4 3 2" xfId="9749"/>
    <cellStyle name="Cálculo 2 2 2 4 4 3 2 2" xfId="16011"/>
    <cellStyle name="Cálculo 2 2 2 4 4 3 2 2 2" xfId="29427"/>
    <cellStyle name="Cálculo 2 2 2 4 4 3 2 3" xfId="20756"/>
    <cellStyle name="Cálculo 2 2 2 4 4 3 3" xfId="13739"/>
    <cellStyle name="Cálculo 2 2 2 4 4 3 3 2" xfId="28061"/>
    <cellStyle name="Cálculo 2 2 2 4 4 3 4" xfId="19384"/>
    <cellStyle name="Cálculo 2 2 2 4 4 4" xfId="11407"/>
    <cellStyle name="Cálculo 2 2 2 4 4 4 2" xfId="25729"/>
    <cellStyle name="Cálculo 2 2 2 4 4 5" xfId="14815"/>
    <cellStyle name="Cálculo 2 2 2 4 5" xfId="239"/>
    <cellStyle name="Cálculo 2 2 2 4 5 2" xfId="7545"/>
    <cellStyle name="Cálculo 2 2 2 4 5 2 2" xfId="10159"/>
    <cellStyle name="Cálculo 2 2 2 4 5 2 2 2" xfId="16421"/>
    <cellStyle name="Cálculo 2 2 2 4 5 2 2 2 2" xfId="29837"/>
    <cellStyle name="Cálculo 2 2 2 4 5 2 2 3" xfId="21166"/>
    <cellStyle name="Cálculo 2 2 2 4 5 2 3" xfId="14149"/>
    <cellStyle name="Cálculo 2 2 2 4 5 2 3 2" xfId="28471"/>
    <cellStyle name="Cálculo 2 2 2 4 5 2 4" xfId="19794"/>
    <cellStyle name="Cálculo 2 2 2 4 5 3" xfId="12941"/>
    <cellStyle name="Cálculo 2 2 2 4 5 3 2" xfId="27263"/>
    <cellStyle name="Cálculo 2 2 2 4 5 4" xfId="18586"/>
    <cellStyle name="Cálculo 2 2 2 4 6" xfId="5583"/>
    <cellStyle name="Cálculo 2 2 2 4 6 2" xfId="12135"/>
    <cellStyle name="Cálculo 2 2 2 4 6 2 2" xfId="26457"/>
    <cellStyle name="Cálculo 2 2 2 4 6 3" xfId="17780"/>
    <cellStyle name="Cálculo 2 2 2 4 7" xfId="4652"/>
    <cellStyle name="Cálculo 2 2 2 4 7 2" xfId="23094"/>
    <cellStyle name="Cálculo 2 2 2 4 8" xfId="17154"/>
    <cellStyle name="Cálculo 2 2 2 5" xfId="240"/>
    <cellStyle name="Cálculo 2 2 2 5 2" xfId="241"/>
    <cellStyle name="Cálculo 2 2 2 5 2 2" xfId="242"/>
    <cellStyle name="Cálculo 2 2 2 5 2 2 2" xfId="6949"/>
    <cellStyle name="Cálculo 2 2 2 5 2 2 2 2" xfId="13553"/>
    <cellStyle name="Cálculo 2 2 2 5 2 2 2 2 2" xfId="27875"/>
    <cellStyle name="Cálculo 2 2 2 5 2 2 2 3" xfId="19198"/>
    <cellStyle name="Cálculo 2 2 2 5 2 2 3" xfId="7812"/>
    <cellStyle name="Cálculo 2 2 2 5 2 2 3 2" xfId="10426"/>
    <cellStyle name="Cálculo 2 2 2 5 2 2 3 2 2" xfId="16688"/>
    <cellStyle name="Cálculo 2 2 2 5 2 2 3 2 2 2" xfId="30104"/>
    <cellStyle name="Cálculo 2 2 2 5 2 2 3 2 3" xfId="21433"/>
    <cellStyle name="Cálculo 2 2 2 5 2 2 3 3" xfId="14416"/>
    <cellStyle name="Cálculo 2 2 2 5 2 2 3 3 2" xfId="28738"/>
    <cellStyle name="Cálculo 2 2 2 5 2 2 3 4" xfId="20061"/>
    <cellStyle name="Cálculo 2 2 2 5 2 2 4" xfId="11444"/>
    <cellStyle name="Cálculo 2 2 2 5 2 2 4 2" xfId="25766"/>
    <cellStyle name="Cálculo 2 2 2 5 2 2 5" xfId="17343"/>
    <cellStyle name="Cálculo 2 2 2 5 2 3" xfId="243"/>
    <cellStyle name="Cálculo 2 2 2 5 2 3 2" xfId="7587"/>
    <cellStyle name="Cálculo 2 2 2 5 2 3 2 2" xfId="10201"/>
    <cellStyle name="Cálculo 2 2 2 5 2 3 2 2 2" xfId="16463"/>
    <cellStyle name="Cálculo 2 2 2 5 2 3 2 2 2 2" xfId="29879"/>
    <cellStyle name="Cálculo 2 2 2 5 2 3 2 2 3" xfId="21208"/>
    <cellStyle name="Cálculo 2 2 2 5 2 3 2 3" xfId="14191"/>
    <cellStyle name="Cálculo 2 2 2 5 2 3 2 3 2" xfId="28513"/>
    <cellStyle name="Cálculo 2 2 2 5 2 3 2 4" xfId="19836"/>
    <cellStyle name="Cálculo 2 2 2 5 2 3 3" xfId="13409"/>
    <cellStyle name="Cálculo 2 2 2 5 2 3 3 2" xfId="27731"/>
    <cellStyle name="Cálculo 2 2 2 5 2 3 4" xfId="19054"/>
    <cellStyle name="Cálculo 2 2 2 5 2 4" xfId="5877"/>
    <cellStyle name="Cálculo 2 2 2 5 2 4 2" xfId="12430"/>
    <cellStyle name="Cálculo 2 2 2 5 2 4 2 2" xfId="26752"/>
    <cellStyle name="Cálculo 2 2 2 5 2 4 3" xfId="18075"/>
    <cellStyle name="Cálculo 2 2 2 5 2 5" xfId="4222"/>
    <cellStyle name="Cálculo 2 2 2 5 2 5 2" xfId="22834"/>
    <cellStyle name="Cálculo 2 2 2 5 2 6" xfId="4051"/>
    <cellStyle name="Cálculo 2 2 2 5 3" xfId="244"/>
    <cellStyle name="Cálculo 2 2 2 5 3 2" xfId="6007"/>
    <cellStyle name="Cálculo 2 2 2 5 3 2 2" xfId="12566"/>
    <cellStyle name="Cálculo 2 2 2 5 3 2 2 2" xfId="26888"/>
    <cellStyle name="Cálculo 2 2 2 5 3 2 3" xfId="18211"/>
    <cellStyle name="Cálculo 2 2 2 5 3 3" xfId="4818"/>
    <cellStyle name="Cálculo 2 2 2 5 3 3 2" xfId="9495"/>
    <cellStyle name="Cálculo 2 2 2 5 3 3 2 2" xfId="15757"/>
    <cellStyle name="Cálculo 2 2 2 5 3 3 2 2 2" xfId="29173"/>
    <cellStyle name="Cálculo 2 2 2 5 3 3 2 3" xfId="20502"/>
    <cellStyle name="Cálculo 2 2 2 5 3 3 3" xfId="11350"/>
    <cellStyle name="Cálculo 2 2 2 5 3 3 3 2" xfId="25672"/>
    <cellStyle name="Cálculo 2 2 2 5 3 3 4" xfId="14963"/>
    <cellStyle name="Cálculo 2 2 2 5 3 4" xfId="5176"/>
    <cellStyle name="Cálculo 2 2 2 5 3 4 2" xfId="23332"/>
    <cellStyle name="Cálculo 2 2 2 5 3 5" xfId="17359"/>
    <cellStyle name="Cálculo 2 2 2 5 4" xfId="245"/>
    <cellStyle name="Cálculo 2 2 2 5 4 2" xfId="5298"/>
    <cellStyle name="Cálculo 2 2 2 5 4 2 2" xfId="9607"/>
    <cellStyle name="Cálculo 2 2 2 5 4 2 2 2" xfId="15869"/>
    <cellStyle name="Cálculo 2 2 2 5 4 2 2 2 2" xfId="29285"/>
    <cellStyle name="Cálculo 2 2 2 5 4 2 2 3" xfId="20614"/>
    <cellStyle name="Cálculo 2 2 2 5 4 2 3" xfId="11848"/>
    <cellStyle name="Cálculo 2 2 2 5 4 2 3 2" xfId="26170"/>
    <cellStyle name="Cálculo 2 2 2 5 4 2 4" xfId="17493"/>
    <cellStyle name="Cálculo 2 2 2 5 4 3" xfId="12949"/>
    <cellStyle name="Cálculo 2 2 2 5 4 3 2" xfId="27271"/>
    <cellStyle name="Cálculo 2 2 2 5 4 4" xfId="18594"/>
    <cellStyle name="Cálculo 2 2 2 5 5" xfId="5614"/>
    <cellStyle name="Cálculo 2 2 2 5 5 2" xfId="12167"/>
    <cellStyle name="Cálculo 2 2 2 5 5 2 2" xfId="26489"/>
    <cellStyle name="Cálculo 2 2 2 5 5 3" xfId="17812"/>
    <cellStyle name="Cálculo 2 2 2 5 6" xfId="4301"/>
    <cellStyle name="Cálculo 2 2 2 5 6 2" xfId="22880"/>
    <cellStyle name="Cálculo 2 2 2 5 7" xfId="15157"/>
    <cellStyle name="Cálculo 2 2 2 6" xfId="246"/>
    <cellStyle name="Cálculo 2 2 2 6 2" xfId="247"/>
    <cellStyle name="Cálculo 2 2 2 6 2 2" xfId="6903"/>
    <cellStyle name="Cálculo 2 2 2 6 2 2 2" xfId="13507"/>
    <cellStyle name="Cálculo 2 2 2 6 2 2 2 2" xfId="27829"/>
    <cellStyle name="Cálculo 2 2 2 6 2 2 3" xfId="19152"/>
    <cellStyle name="Cálculo 2 2 2 6 2 3" xfId="7651"/>
    <cellStyle name="Cálculo 2 2 2 6 2 3 2" xfId="10265"/>
    <cellStyle name="Cálculo 2 2 2 6 2 3 2 2" xfId="16527"/>
    <cellStyle name="Cálculo 2 2 2 6 2 3 2 2 2" xfId="29943"/>
    <cellStyle name="Cálculo 2 2 2 6 2 3 2 3" xfId="21272"/>
    <cellStyle name="Cálculo 2 2 2 6 2 3 3" xfId="14255"/>
    <cellStyle name="Cálculo 2 2 2 6 2 3 3 2" xfId="28577"/>
    <cellStyle name="Cálculo 2 2 2 6 2 3 4" xfId="19900"/>
    <cellStyle name="Cálculo 2 2 2 6 2 4" xfId="11385"/>
    <cellStyle name="Cálculo 2 2 2 6 2 4 2" xfId="25707"/>
    <cellStyle name="Cálculo 2 2 2 6 2 5" xfId="6681"/>
    <cellStyle name="Cálculo 2 2 2 6 3" xfId="248"/>
    <cellStyle name="Cálculo 2 2 2 6 3 2" xfId="7296"/>
    <cellStyle name="Cálculo 2 2 2 6 3 2 2" xfId="9910"/>
    <cellStyle name="Cálculo 2 2 2 6 3 2 2 2" xfId="16172"/>
    <cellStyle name="Cálculo 2 2 2 6 3 2 2 2 2" xfId="29588"/>
    <cellStyle name="Cálculo 2 2 2 6 3 2 2 3" xfId="20917"/>
    <cellStyle name="Cálculo 2 2 2 6 3 2 3" xfId="13900"/>
    <cellStyle name="Cálculo 2 2 2 6 3 2 3 2" xfId="28222"/>
    <cellStyle name="Cálculo 2 2 2 6 3 2 4" xfId="19545"/>
    <cellStyle name="Cálculo 2 2 2 6 3 3" xfId="13415"/>
    <cellStyle name="Cálculo 2 2 2 6 3 3 2" xfId="27737"/>
    <cellStyle name="Cálculo 2 2 2 6 3 4" xfId="19060"/>
    <cellStyle name="Cálculo 2 2 2 6 4" xfId="5884"/>
    <cellStyle name="Cálculo 2 2 2 6 4 2" xfId="12437"/>
    <cellStyle name="Cálculo 2 2 2 6 4 2 2" xfId="26759"/>
    <cellStyle name="Cálculo 2 2 2 6 4 3" xfId="18082"/>
    <cellStyle name="Cálculo 2 2 2 6 5" xfId="6724"/>
    <cellStyle name="Cálculo 2 2 2 6 5 2" xfId="23678"/>
    <cellStyle name="Cálculo 2 2 2 6 6" xfId="14704"/>
    <cellStyle name="Cálculo 2 2 2 7" xfId="249"/>
    <cellStyle name="Cálculo 2 2 2 7 2" xfId="6432"/>
    <cellStyle name="Cálculo 2 2 2 7 2 2" xfId="13015"/>
    <cellStyle name="Cálculo 2 2 2 7 2 2 2" xfId="27337"/>
    <cellStyle name="Cálculo 2 2 2 7 2 3" xfId="18660"/>
    <cellStyle name="Cálculo 2 2 2 7 3" xfId="7478"/>
    <cellStyle name="Cálculo 2 2 2 7 3 2" xfId="10092"/>
    <cellStyle name="Cálculo 2 2 2 7 3 2 2" xfId="16354"/>
    <cellStyle name="Cálculo 2 2 2 7 3 2 2 2" xfId="29770"/>
    <cellStyle name="Cálculo 2 2 2 7 3 2 3" xfId="21099"/>
    <cellStyle name="Cálculo 2 2 2 7 3 3" xfId="14082"/>
    <cellStyle name="Cálculo 2 2 2 7 3 3 2" xfId="28404"/>
    <cellStyle name="Cálculo 2 2 2 7 3 4" xfId="19727"/>
    <cellStyle name="Cálculo 2 2 2 7 4" xfId="4704"/>
    <cellStyle name="Cálculo 2 2 2 7 4 2" xfId="23137"/>
    <cellStyle name="Cálculo 2 2 2 7 5" xfId="17213"/>
    <cellStyle name="Cálculo 2 2 2 8" xfId="250"/>
    <cellStyle name="Cálculo 2 2 2 8 2" xfId="4390"/>
    <cellStyle name="Cálculo 2 2 2 8 2 2" xfId="9458"/>
    <cellStyle name="Cálculo 2 2 2 8 2 2 2" xfId="15720"/>
    <cellStyle name="Cálculo 2 2 2 8 2 2 2 2" xfId="29136"/>
    <cellStyle name="Cálculo 2 2 2 8 2 2 3" xfId="20465"/>
    <cellStyle name="Cálculo 2 2 2 8 2 3" xfId="4097"/>
    <cellStyle name="Cálculo 2 2 2 8 2 3 2" xfId="22756"/>
    <cellStyle name="Cálculo 2 2 2 8 2 4" xfId="17307"/>
    <cellStyle name="Cálculo 2 2 2 8 3" xfId="12764"/>
    <cellStyle name="Cálculo 2 2 2 8 3 2" xfId="27086"/>
    <cellStyle name="Cálculo 2 2 2 8 4" xfId="18409"/>
    <cellStyle name="Cálculo 2 2 2 9" xfId="5475"/>
    <cellStyle name="Cálculo 2 2 2 9 2" xfId="12026"/>
    <cellStyle name="Cálculo 2 2 2 9 2 2" xfId="26348"/>
    <cellStyle name="Cálculo 2 2 2 9 3" xfId="17671"/>
    <cellStyle name="Cálculo 2 2 3" xfId="251"/>
    <cellStyle name="Cálculo 2 2 3 2" xfId="252"/>
    <cellStyle name="Cálculo 2 2 3 2 2" xfId="253"/>
    <cellStyle name="Cálculo 2 2 3 2 2 2" xfId="6832"/>
    <cellStyle name="Cálculo 2 2 3 2 2 2 2" xfId="13436"/>
    <cellStyle name="Cálculo 2 2 3 2 2 2 2 2" xfId="27758"/>
    <cellStyle name="Cálculo 2 2 3 2 2 2 3" xfId="19081"/>
    <cellStyle name="Cálculo 2 2 3 2 2 3" xfId="3655"/>
    <cellStyle name="Cálculo 2 2 3 2 2 3 2" xfId="9353"/>
    <cellStyle name="Cálculo 2 2 3 2 2 3 2 2" xfId="15615"/>
    <cellStyle name="Cálculo 2 2 3 2 2 3 2 2 2" xfId="29031"/>
    <cellStyle name="Cálculo 2 2 3 2 2 3 2 3" xfId="20360"/>
    <cellStyle name="Cálculo 2 2 3 2 2 3 3" xfId="5133"/>
    <cellStyle name="Cálculo 2 2 3 2 2 3 3 2" xfId="23328"/>
    <cellStyle name="Cálculo 2 2 3 2 2 3 4" xfId="14994"/>
    <cellStyle name="Cálculo 2 2 3 2 2 4" xfId="2817"/>
    <cellStyle name="Cálculo 2 2 3 2 2 4 2" xfId="22380"/>
    <cellStyle name="Cálculo 2 2 3 2 2 5" xfId="15194"/>
    <cellStyle name="Cálculo 2 2 3 2 3" xfId="254"/>
    <cellStyle name="Cálculo 2 2 3 2 3 2" xfId="7933"/>
    <cellStyle name="Cálculo 2 2 3 2 3 2 2" xfId="10547"/>
    <cellStyle name="Cálculo 2 2 3 2 3 2 2 2" xfId="16809"/>
    <cellStyle name="Cálculo 2 2 3 2 3 2 2 2 2" xfId="30225"/>
    <cellStyle name="Cálculo 2 2 3 2 3 2 2 3" xfId="21554"/>
    <cellStyle name="Cálculo 2 2 3 2 3 2 3" xfId="14537"/>
    <cellStyle name="Cálculo 2 2 3 2 3 2 3 2" xfId="28859"/>
    <cellStyle name="Cálculo 2 2 3 2 3 2 4" xfId="20182"/>
    <cellStyle name="Cálculo 2 2 3 2 3 3" xfId="13310"/>
    <cellStyle name="Cálculo 2 2 3 2 3 3 2" xfId="27632"/>
    <cellStyle name="Cálculo 2 2 3 2 3 4" xfId="18955"/>
    <cellStyle name="Cálculo 2 2 3 2 4" xfId="5760"/>
    <cellStyle name="Cálculo 2 2 3 2 4 2" xfId="12313"/>
    <cellStyle name="Cálculo 2 2 3 2 4 2 2" xfId="26635"/>
    <cellStyle name="Cálculo 2 2 3 2 4 3" xfId="17958"/>
    <cellStyle name="Cálculo 2 2 3 2 5" xfId="4057"/>
    <cellStyle name="Cálculo 2 2 3 2 5 2" xfId="22732"/>
    <cellStyle name="Cálculo 2 2 3 2 6" xfId="6606"/>
    <cellStyle name="Cálculo 2 2 3 3" xfId="255"/>
    <cellStyle name="Cálculo 2 2 3 3 2" xfId="256"/>
    <cellStyle name="Cálculo 2 2 3 3 2 2" xfId="3890"/>
    <cellStyle name="Cálculo 2 2 3 3 2 2 2" xfId="6329"/>
    <cellStyle name="Cálculo 2 2 3 3 2 2 2 2" xfId="23518"/>
    <cellStyle name="Cálculo 2 2 3 3 2 2 3" xfId="14820"/>
    <cellStyle name="Cálculo 2 2 3 3 2 3" xfId="7885"/>
    <cellStyle name="Cálculo 2 2 3 3 2 3 2" xfId="10499"/>
    <cellStyle name="Cálculo 2 2 3 3 2 3 2 2" xfId="16761"/>
    <cellStyle name="Cálculo 2 2 3 3 2 3 2 2 2" xfId="30177"/>
    <cellStyle name="Cálculo 2 2 3 3 2 3 2 3" xfId="21506"/>
    <cellStyle name="Cálculo 2 2 3 3 2 3 3" xfId="14489"/>
    <cellStyle name="Cálculo 2 2 3 3 2 3 3 2" xfId="28811"/>
    <cellStyle name="Cálculo 2 2 3 3 2 3 4" xfId="20134"/>
    <cellStyle name="Cálculo 2 2 3 3 2 4" xfId="4627"/>
    <cellStyle name="Cálculo 2 2 3 3 2 4 2" xfId="23073"/>
    <cellStyle name="Cálculo 2 2 3 3 2 5" xfId="4841"/>
    <cellStyle name="Cálculo 2 2 3 3 3" xfId="257"/>
    <cellStyle name="Cálculo 2 2 3 3 3 2" xfId="5265"/>
    <cellStyle name="Cálculo 2 2 3 3 3 2 2" xfId="9574"/>
    <cellStyle name="Cálculo 2 2 3 3 3 2 2 2" xfId="15836"/>
    <cellStyle name="Cálculo 2 2 3 3 3 2 2 2 2" xfId="29252"/>
    <cellStyle name="Cálculo 2 2 3 3 3 2 2 3" xfId="20581"/>
    <cellStyle name="Cálculo 2 2 3 3 3 2 3" xfId="11815"/>
    <cellStyle name="Cálculo 2 2 3 3 3 2 3 2" xfId="26137"/>
    <cellStyle name="Cálculo 2 2 3 3 3 2 4" xfId="17460"/>
    <cellStyle name="Cálculo 2 2 3 3 3 3" xfId="13069"/>
    <cellStyle name="Cálculo 2 2 3 3 3 3 2" xfId="27391"/>
    <cellStyle name="Cálculo 2 2 3 3 3 4" xfId="18714"/>
    <cellStyle name="Cálculo 2 2 3 3 4" xfId="5408"/>
    <cellStyle name="Cálculo 2 2 3 3 4 2" xfId="11958"/>
    <cellStyle name="Cálculo 2 2 3 3 4 2 2" xfId="26280"/>
    <cellStyle name="Cálculo 2 2 3 3 4 3" xfId="17603"/>
    <cellStyle name="Cálculo 2 2 3 3 5" xfId="4514"/>
    <cellStyle name="Cálculo 2 2 3 3 5 2" xfId="23001"/>
    <cellStyle name="Cálculo 2 2 3 3 6" xfId="4094"/>
    <cellStyle name="Cálculo 2 2 3 4" xfId="258"/>
    <cellStyle name="Cálculo 2 2 3 4 2" xfId="6905"/>
    <cellStyle name="Cálculo 2 2 3 4 2 2" xfId="13509"/>
    <cellStyle name="Cálculo 2 2 3 4 2 2 2" xfId="27831"/>
    <cellStyle name="Cálculo 2 2 3 4 2 3" xfId="19154"/>
    <cellStyle name="Cálculo 2 2 3 4 3" xfId="7709"/>
    <cellStyle name="Cálculo 2 2 3 4 3 2" xfId="10323"/>
    <cellStyle name="Cálculo 2 2 3 4 3 2 2" xfId="16585"/>
    <cellStyle name="Cálculo 2 2 3 4 3 2 2 2" xfId="30001"/>
    <cellStyle name="Cálculo 2 2 3 4 3 2 3" xfId="21330"/>
    <cellStyle name="Cálculo 2 2 3 4 3 3" xfId="14313"/>
    <cellStyle name="Cálculo 2 2 3 4 3 3 2" xfId="28635"/>
    <cellStyle name="Cálculo 2 2 3 4 3 4" xfId="19958"/>
    <cellStyle name="Cálculo 2 2 3 4 4" xfId="11389"/>
    <cellStyle name="Cálculo 2 2 3 4 4 2" xfId="25711"/>
    <cellStyle name="Cálculo 2 2 3 4 5" xfId="15403"/>
    <cellStyle name="Cálculo 2 2 3 5" xfId="259"/>
    <cellStyle name="Cálculo 2 2 3 5 2" xfId="7398"/>
    <cellStyle name="Cálculo 2 2 3 5 2 2" xfId="10012"/>
    <cellStyle name="Cálculo 2 2 3 5 2 2 2" xfId="16274"/>
    <cellStyle name="Cálculo 2 2 3 5 2 2 2 2" xfId="29690"/>
    <cellStyle name="Cálculo 2 2 3 5 2 2 3" xfId="21019"/>
    <cellStyle name="Cálculo 2 2 3 5 2 3" xfId="14002"/>
    <cellStyle name="Cálculo 2 2 3 5 2 3 2" xfId="28324"/>
    <cellStyle name="Cálculo 2 2 3 5 2 4" xfId="19647"/>
    <cellStyle name="Cálculo 2 2 3 5 3" xfId="12886"/>
    <cellStyle name="Cálculo 2 2 3 5 3 2" xfId="27208"/>
    <cellStyle name="Cálculo 2 2 3 5 4" xfId="18531"/>
    <cellStyle name="Cálculo 2 2 3 6" xfId="5504"/>
    <cellStyle name="Cálculo 2 2 3 6 2" xfId="12055"/>
    <cellStyle name="Cálculo 2 2 3 6 2 2" xfId="26377"/>
    <cellStyle name="Cálculo 2 2 3 6 3" xfId="17700"/>
    <cellStyle name="Cálculo 2 2 3 7" xfId="5376"/>
    <cellStyle name="Cálculo 2 2 3 7 2" xfId="23342"/>
    <cellStyle name="Cálculo 2 2 3 8" xfId="15473"/>
    <cellStyle name="Cálculo 2 2 4" xfId="260"/>
    <cellStyle name="Cálculo 2 2 4 2" xfId="261"/>
    <cellStyle name="Cálculo 2 2 4 2 2" xfId="262"/>
    <cellStyle name="Cálculo 2 2 4 2 2 2" xfId="5063"/>
    <cellStyle name="Cálculo 2 2 4 2 2 2 2" xfId="11610"/>
    <cellStyle name="Cálculo 2 2 4 2 2 2 2 2" xfId="25932"/>
    <cellStyle name="Cálculo 2 2 4 2 2 2 3" xfId="4709"/>
    <cellStyle name="Cálculo 2 2 4 2 2 3" xfId="8017"/>
    <cellStyle name="Cálculo 2 2 4 2 2 3 2" xfId="10631"/>
    <cellStyle name="Cálculo 2 2 4 2 2 3 2 2" xfId="16893"/>
    <cellStyle name="Cálculo 2 2 4 2 2 3 2 2 2" xfId="30309"/>
    <cellStyle name="Cálculo 2 2 4 2 2 3 2 3" xfId="21638"/>
    <cellStyle name="Cálculo 2 2 4 2 2 3 3" xfId="14621"/>
    <cellStyle name="Cálculo 2 2 4 2 2 3 3 2" xfId="28943"/>
    <cellStyle name="Cálculo 2 2 4 2 2 3 4" xfId="20266"/>
    <cellStyle name="Cálculo 2 2 4 2 2 4" xfId="5113"/>
    <cellStyle name="Cálculo 2 2 4 2 2 4 2" xfId="23326"/>
    <cellStyle name="Cálculo 2 2 4 2 2 5" xfId="4794"/>
    <cellStyle name="Cálculo 2 2 4 2 3" xfId="263"/>
    <cellStyle name="Cálculo 2 2 4 2 3 2" xfId="7716"/>
    <cellStyle name="Cálculo 2 2 4 2 3 2 2" xfId="10330"/>
    <cellStyle name="Cálculo 2 2 4 2 3 2 2 2" xfId="16592"/>
    <cellStyle name="Cálculo 2 2 4 2 3 2 2 2 2" xfId="30008"/>
    <cellStyle name="Cálculo 2 2 4 2 3 2 2 3" xfId="21337"/>
    <cellStyle name="Cálculo 2 2 4 2 3 2 3" xfId="14320"/>
    <cellStyle name="Cálculo 2 2 4 2 3 2 3 2" xfId="28642"/>
    <cellStyle name="Cálculo 2 2 4 2 3 2 4" xfId="19965"/>
    <cellStyle name="Cálculo 2 2 4 2 3 3" xfId="13346"/>
    <cellStyle name="Cálculo 2 2 4 2 3 3 2" xfId="27668"/>
    <cellStyle name="Cálculo 2 2 4 2 3 4" xfId="18991"/>
    <cellStyle name="Cálculo 2 2 4 2 4" xfId="5796"/>
    <cellStyle name="Cálculo 2 2 4 2 4 2" xfId="12349"/>
    <cellStyle name="Cálculo 2 2 4 2 4 2 2" xfId="26671"/>
    <cellStyle name="Cálculo 2 2 4 2 4 3" xfId="17994"/>
    <cellStyle name="Cálculo 2 2 4 2 5" xfId="3847"/>
    <cellStyle name="Cálculo 2 2 4 2 5 2" xfId="22611"/>
    <cellStyle name="Cálculo 2 2 4 2 6" xfId="17073"/>
    <cellStyle name="Cálculo 2 2 4 3" xfId="264"/>
    <cellStyle name="Cálculo 2 2 4 3 2" xfId="265"/>
    <cellStyle name="Cálculo 2 2 4 3 2 2" xfId="6174"/>
    <cellStyle name="Cálculo 2 2 4 3 2 2 2" xfId="12747"/>
    <cellStyle name="Cálculo 2 2 4 3 2 2 2 2" xfId="27069"/>
    <cellStyle name="Cálculo 2 2 4 3 2 2 3" xfId="18392"/>
    <cellStyle name="Cálculo 2 2 4 3 2 3" xfId="7938"/>
    <cellStyle name="Cálculo 2 2 4 3 2 3 2" xfId="10552"/>
    <cellStyle name="Cálculo 2 2 4 3 2 3 2 2" xfId="16814"/>
    <cellStyle name="Cálculo 2 2 4 3 2 3 2 2 2" xfId="30230"/>
    <cellStyle name="Cálculo 2 2 4 3 2 3 2 3" xfId="21559"/>
    <cellStyle name="Cálculo 2 2 4 3 2 3 3" xfId="14542"/>
    <cellStyle name="Cálculo 2 2 4 3 2 3 3 2" xfId="28864"/>
    <cellStyle name="Cálculo 2 2 4 3 2 3 4" xfId="20187"/>
    <cellStyle name="Cálculo 2 2 4 3 2 4" xfId="6344"/>
    <cellStyle name="Cálculo 2 2 4 3 2 4 2" xfId="23530"/>
    <cellStyle name="Cálculo 2 2 4 3 2 5" xfId="15401"/>
    <cellStyle name="Cálculo 2 2 4 3 3" xfId="266"/>
    <cellStyle name="Cálculo 2 2 4 3 3 2" xfId="7963"/>
    <cellStyle name="Cálculo 2 2 4 3 3 2 2" xfId="10577"/>
    <cellStyle name="Cálculo 2 2 4 3 3 2 2 2" xfId="16839"/>
    <cellStyle name="Cálculo 2 2 4 3 3 2 2 2 2" xfId="30255"/>
    <cellStyle name="Cálculo 2 2 4 3 3 2 2 3" xfId="21584"/>
    <cellStyle name="Cálculo 2 2 4 3 3 2 3" xfId="14567"/>
    <cellStyle name="Cálculo 2 2 4 3 3 2 3 2" xfId="28889"/>
    <cellStyle name="Cálculo 2 2 4 3 3 2 4" xfId="20212"/>
    <cellStyle name="Cálculo 2 2 4 3 3 3" xfId="13387"/>
    <cellStyle name="Cálculo 2 2 4 3 3 3 2" xfId="27709"/>
    <cellStyle name="Cálculo 2 2 4 3 3 4" xfId="19032"/>
    <cellStyle name="Cálculo 2 2 4 3 4" xfId="5848"/>
    <cellStyle name="Cálculo 2 2 4 3 4 2" xfId="12401"/>
    <cellStyle name="Cálculo 2 2 4 3 4 2 2" xfId="26723"/>
    <cellStyle name="Cálculo 2 2 4 3 4 3" xfId="18046"/>
    <cellStyle name="Cálculo 2 2 4 3 5" xfId="4969"/>
    <cellStyle name="Cálculo 2 2 4 3 5 2" xfId="23286"/>
    <cellStyle name="Cálculo 2 2 4 3 6" xfId="6762"/>
    <cellStyle name="Cálculo 2 2 4 4" xfId="267"/>
    <cellStyle name="Cálculo 2 2 4 4 2" xfId="6831"/>
    <cellStyle name="Cálculo 2 2 4 4 2 2" xfId="13435"/>
    <cellStyle name="Cálculo 2 2 4 4 2 2 2" xfId="27757"/>
    <cellStyle name="Cálculo 2 2 4 4 2 3" xfId="19080"/>
    <cellStyle name="Cálculo 2 2 4 4 3" xfId="5306"/>
    <cellStyle name="Cálculo 2 2 4 4 3 2" xfId="9615"/>
    <cellStyle name="Cálculo 2 2 4 4 3 2 2" xfId="15877"/>
    <cellStyle name="Cálculo 2 2 4 4 3 2 2 2" xfId="29293"/>
    <cellStyle name="Cálculo 2 2 4 4 3 2 3" xfId="20622"/>
    <cellStyle name="Cálculo 2 2 4 4 3 3" xfId="11856"/>
    <cellStyle name="Cálculo 2 2 4 4 3 3 2" xfId="26178"/>
    <cellStyle name="Cálculo 2 2 4 4 3 4" xfId="17501"/>
    <cellStyle name="Cálculo 2 2 4 4 4" xfId="2819"/>
    <cellStyle name="Cálculo 2 2 4 4 4 2" xfId="22382"/>
    <cellStyle name="Cálculo 2 2 4 4 5" xfId="3608"/>
    <cellStyle name="Cálculo 2 2 4 5" xfId="268"/>
    <cellStyle name="Cálculo 2 2 4 5 2" xfId="7655"/>
    <cellStyle name="Cálculo 2 2 4 5 2 2" xfId="10269"/>
    <cellStyle name="Cálculo 2 2 4 5 2 2 2" xfId="16531"/>
    <cellStyle name="Cálculo 2 2 4 5 2 2 2 2" xfId="29947"/>
    <cellStyle name="Cálculo 2 2 4 5 2 2 3" xfId="21276"/>
    <cellStyle name="Cálculo 2 2 4 5 2 3" xfId="14259"/>
    <cellStyle name="Cálculo 2 2 4 5 2 3 2" xfId="28581"/>
    <cellStyle name="Cálculo 2 2 4 5 2 4" xfId="19904"/>
    <cellStyle name="Cálculo 2 2 4 5 3" xfId="12922"/>
    <cellStyle name="Cálculo 2 2 4 5 3 2" xfId="27244"/>
    <cellStyle name="Cálculo 2 2 4 5 4" xfId="18567"/>
    <cellStyle name="Cálculo 2 2 4 6" xfId="5546"/>
    <cellStyle name="Cálculo 2 2 4 6 2" xfId="12097"/>
    <cellStyle name="Cálculo 2 2 4 6 2 2" xfId="26419"/>
    <cellStyle name="Cálculo 2 2 4 6 3" xfId="17742"/>
    <cellStyle name="Cálculo 2 2 4 7" xfId="3821"/>
    <cellStyle name="Cálculo 2 2 4 7 2" xfId="22599"/>
    <cellStyle name="Cálculo 2 2 4 8" xfId="15047"/>
    <cellStyle name="Cálculo 2 2 5" xfId="269"/>
    <cellStyle name="Cálculo 2 2 5 2" xfId="270"/>
    <cellStyle name="Cálculo 2 2 5 2 2" xfId="271"/>
    <cellStyle name="Cálculo 2 2 5 2 2 2" xfId="6554"/>
    <cellStyle name="Cálculo 2 2 5 2 2 2 2" xfId="13142"/>
    <cellStyle name="Cálculo 2 2 5 2 2 2 2 2" xfId="27464"/>
    <cellStyle name="Cálculo 2 2 5 2 2 2 3" xfId="18787"/>
    <cellStyle name="Cálculo 2 2 5 2 2 3" xfId="3867"/>
    <cellStyle name="Cálculo 2 2 5 2 2 3 2" xfId="9386"/>
    <cellStyle name="Cálculo 2 2 5 2 2 3 2 2" xfId="15648"/>
    <cellStyle name="Cálculo 2 2 5 2 2 3 2 2 2" xfId="29064"/>
    <cellStyle name="Cálculo 2 2 5 2 2 3 2 3" xfId="20393"/>
    <cellStyle name="Cálculo 2 2 5 2 2 3 3" xfId="4266"/>
    <cellStyle name="Cálculo 2 2 5 2 2 3 3 2" xfId="22859"/>
    <cellStyle name="Cálculo 2 2 5 2 2 3 4" xfId="15108"/>
    <cellStyle name="Cálculo 2 2 5 2 2 4" xfId="5239"/>
    <cellStyle name="Cálculo 2 2 5 2 2 4 2" xfId="23339"/>
    <cellStyle name="Cálculo 2 2 5 2 2 5" xfId="17265"/>
    <cellStyle name="Cálculo 2 2 5 2 3" xfId="272"/>
    <cellStyle name="Cálculo 2 2 5 2 3 2" xfId="8015"/>
    <cellStyle name="Cálculo 2 2 5 2 3 2 2" xfId="10629"/>
    <cellStyle name="Cálculo 2 2 5 2 3 2 2 2" xfId="16891"/>
    <cellStyle name="Cálculo 2 2 5 2 3 2 2 2 2" xfId="30307"/>
    <cellStyle name="Cálculo 2 2 5 2 3 2 2 3" xfId="21636"/>
    <cellStyle name="Cálculo 2 2 5 2 3 2 3" xfId="14619"/>
    <cellStyle name="Cálculo 2 2 5 2 3 2 3 2" xfId="28941"/>
    <cellStyle name="Cálculo 2 2 5 2 3 2 4" xfId="20264"/>
    <cellStyle name="Cálculo 2 2 5 2 3 3" xfId="13203"/>
    <cellStyle name="Cálculo 2 2 5 2 3 3 2" xfId="27525"/>
    <cellStyle name="Cálculo 2 2 5 2 3 4" xfId="18848"/>
    <cellStyle name="Cálculo 2 2 5 2 4" xfId="5642"/>
    <cellStyle name="Cálculo 2 2 5 2 4 2" xfId="12195"/>
    <cellStyle name="Cálculo 2 2 5 2 4 2 2" xfId="26517"/>
    <cellStyle name="Cálculo 2 2 5 2 4 3" xfId="17840"/>
    <cellStyle name="Cálculo 2 2 5 2 5" xfId="4537"/>
    <cellStyle name="Cálculo 2 2 5 2 5 2" xfId="23017"/>
    <cellStyle name="Cálculo 2 2 5 2 6" xfId="4761"/>
    <cellStyle name="Cálculo 2 2 5 3" xfId="273"/>
    <cellStyle name="Cálculo 2 2 5 3 2" xfId="274"/>
    <cellStyle name="Cálculo 2 2 5 3 2 2" xfId="6894"/>
    <cellStyle name="Cálculo 2 2 5 3 2 2 2" xfId="13498"/>
    <cellStyle name="Cálculo 2 2 5 3 2 2 2 2" xfId="27820"/>
    <cellStyle name="Cálculo 2 2 5 3 2 2 3" xfId="19143"/>
    <cellStyle name="Cálculo 2 2 5 3 2 3" xfId="7941"/>
    <cellStyle name="Cálculo 2 2 5 3 2 3 2" xfId="10555"/>
    <cellStyle name="Cálculo 2 2 5 3 2 3 2 2" xfId="16817"/>
    <cellStyle name="Cálculo 2 2 5 3 2 3 2 2 2" xfId="30233"/>
    <cellStyle name="Cálculo 2 2 5 3 2 3 2 3" xfId="21562"/>
    <cellStyle name="Cálculo 2 2 5 3 2 3 3" xfId="14545"/>
    <cellStyle name="Cálculo 2 2 5 3 2 3 3 2" xfId="28867"/>
    <cellStyle name="Cálculo 2 2 5 3 2 3 4" xfId="20190"/>
    <cellStyle name="Cálculo 2 2 5 3 2 4" xfId="11373"/>
    <cellStyle name="Cálculo 2 2 5 3 2 4 2" xfId="25695"/>
    <cellStyle name="Cálculo 2 2 5 3 2 5" xfId="14998"/>
    <cellStyle name="Cálculo 2 2 5 3 3" xfId="275"/>
    <cellStyle name="Cálculo 2 2 5 3 3 2" xfId="7141"/>
    <cellStyle name="Cálculo 2 2 5 3 3 2 2" xfId="9755"/>
    <cellStyle name="Cálculo 2 2 5 3 3 2 2 2" xfId="16017"/>
    <cellStyle name="Cálculo 2 2 5 3 3 2 2 2 2" xfId="29433"/>
    <cellStyle name="Cálculo 2 2 5 3 3 2 2 3" xfId="20762"/>
    <cellStyle name="Cálculo 2 2 5 3 3 2 3" xfId="13745"/>
    <cellStyle name="Cálculo 2 2 5 3 3 2 3 2" xfId="28067"/>
    <cellStyle name="Cálculo 2 2 5 3 3 2 4" xfId="19390"/>
    <cellStyle name="Cálculo 2 2 5 3 3 3" xfId="13246"/>
    <cellStyle name="Cálculo 2 2 5 3 3 3 2" xfId="27568"/>
    <cellStyle name="Cálculo 2 2 5 3 3 4" xfId="18891"/>
    <cellStyle name="Cálculo 2 2 5 3 4" xfId="5688"/>
    <cellStyle name="Cálculo 2 2 5 3 4 2" xfId="12241"/>
    <cellStyle name="Cálculo 2 2 5 3 4 2 2" xfId="26563"/>
    <cellStyle name="Cálculo 2 2 5 3 4 3" xfId="17886"/>
    <cellStyle name="Cálculo 2 2 5 3 5" xfId="3724"/>
    <cellStyle name="Cálculo 2 2 5 3 5 2" xfId="22547"/>
    <cellStyle name="Cálculo 2 2 5 3 6" xfId="14739"/>
    <cellStyle name="Cálculo 2 2 5 4" xfId="276"/>
    <cellStyle name="Cálculo 2 2 5 4 2" xfId="6935"/>
    <cellStyle name="Cálculo 2 2 5 4 2 2" xfId="13539"/>
    <cellStyle name="Cálculo 2 2 5 4 2 2 2" xfId="27861"/>
    <cellStyle name="Cálculo 2 2 5 4 2 3" xfId="19184"/>
    <cellStyle name="Cálculo 2 2 5 4 3" xfId="4348"/>
    <cellStyle name="Cálculo 2 2 5 4 3 2" xfId="9453"/>
    <cellStyle name="Cálculo 2 2 5 4 3 2 2" xfId="15715"/>
    <cellStyle name="Cálculo 2 2 5 4 3 2 2 2" xfId="29131"/>
    <cellStyle name="Cálculo 2 2 5 4 3 2 3" xfId="20460"/>
    <cellStyle name="Cálculo 2 2 5 4 3 3" xfId="3760"/>
    <cellStyle name="Cálculo 2 2 5 4 3 3 2" xfId="22566"/>
    <cellStyle name="Cálculo 2 2 5 4 3 4" xfId="14819"/>
    <cellStyle name="Cálculo 2 2 5 4 4" xfId="11428"/>
    <cellStyle name="Cálculo 2 2 5 4 4 2" xfId="25750"/>
    <cellStyle name="Cálculo 2 2 5 4 5" xfId="3628"/>
    <cellStyle name="Cálculo 2 2 5 5" xfId="277"/>
    <cellStyle name="Cálculo 2 2 5 5 2" xfId="5313"/>
    <cellStyle name="Cálculo 2 2 5 5 2 2" xfId="9622"/>
    <cellStyle name="Cálculo 2 2 5 5 2 2 2" xfId="15884"/>
    <cellStyle name="Cálculo 2 2 5 5 2 2 2 2" xfId="29300"/>
    <cellStyle name="Cálculo 2 2 5 5 2 2 3" xfId="20629"/>
    <cellStyle name="Cálculo 2 2 5 5 2 3" xfId="11863"/>
    <cellStyle name="Cálculo 2 2 5 5 2 3 2" xfId="26185"/>
    <cellStyle name="Cálculo 2 2 5 5 2 4" xfId="17508"/>
    <cellStyle name="Cálculo 2 2 5 5 3" xfId="12497"/>
    <cellStyle name="Cálculo 2 2 5 5 3 2" xfId="26819"/>
    <cellStyle name="Cálculo 2 2 5 5 4" xfId="18142"/>
    <cellStyle name="Cálculo 2 2 5 6" xfId="5170"/>
    <cellStyle name="Cálculo 2 2 5 6 2" xfId="11719"/>
    <cellStyle name="Cálculo 2 2 5 6 2 2" xfId="26041"/>
    <cellStyle name="Cálculo 2 2 5 6 3" xfId="4722"/>
    <cellStyle name="Cálculo 2 2 5 7" xfId="6727"/>
    <cellStyle name="Cálculo 2 2 5 7 2" xfId="23681"/>
    <cellStyle name="Cálculo 2 2 5 8" xfId="17093"/>
    <cellStyle name="Cálculo 2 2 6" xfId="278"/>
    <cellStyle name="Cálculo 2 2 6 2" xfId="279"/>
    <cellStyle name="Cálculo 2 2 6 2 2" xfId="280"/>
    <cellStyle name="Cálculo 2 2 6 2 2 2" xfId="7007"/>
    <cellStyle name="Cálculo 2 2 6 2 2 2 2" xfId="13611"/>
    <cellStyle name="Cálculo 2 2 6 2 2 2 2 2" xfId="27933"/>
    <cellStyle name="Cálculo 2 2 6 2 2 2 3" xfId="19256"/>
    <cellStyle name="Cálculo 2 2 6 2 2 3" xfId="7563"/>
    <cellStyle name="Cálculo 2 2 6 2 2 3 2" xfId="10177"/>
    <cellStyle name="Cálculo 2 2 6 2 2 3 2 2" xfId="16439"/>
    <cellStyle name="Cálculo 2 2 6 2 2 3 2 2 2" xfId="29855"/>
    <cellStyle name="Cálculo 2 2 6 2 2 3 2 3" xfId="21184"/>
    <cellStyle name="Cálculo 2 2 6 2 2 3 3" xfId="14167"/>
    <cellStyle name="Cálculo 2 2 6 2 2 3 3 2" xfId="28489"/>
    <cellStyle name="Cálculo 2 2 6 2 2 3 4" xfId="19812"/>
    <cellStyle name="Cálculo 2 2 6 2 2 4" xfId="11527"/>
    <cellStyle name="Cálculo 2 2 6 2 2 4 2" xfId="25849"/>
    <cellStyle name="Cálculo 2 2 6 2 2 5" xfId="4897"/>
    <cellStyle name="Cálculo 2 2 6 2 3" xfId="281"/>
    <cellStyle name="Cálculo 2 2 6 2 3 2" xfId="7352"/>
    <cellStyle name="Cálculo 2 2 6 2 3 2 2" xfId="9966"/>
    <cellStyle name="Cálculo 2 2 6 2 3 2 2 2" xfId="16228"/>
    <cellStyle name="Cálculo 2 2 6 2 3 2 2 2 2" xfId="29644"/>
    <cellStyle name="Cálculo 2 2 6 2 3 2 2 3" xfId="20973"/>
    <cellStyle name="Cálculo 2 2 6 2 3 2 3" xfId="13956"/>
    <cellStyle name="Cálculo 2 2 6 2 3 2 3 2" xfId="28278"/>
    <cellStyle name="Cálculo 2 2 6 2 3 2 4" xfId="19601"/>
    <cellStyle name="Cálculo 2 2 6 2 3 3" xfId="13363"/>
    <cellStyle name="Cálculo 2 2 6 2 3 3 2" xfId="27685"/>
    <cellStyle name="Cálculo 2 2 6 2 3 4" xfId="19008"/>
    <cellStyle name="Cálculo 2 2 6 2 4" xfId="5814"/>
    <cellStyle name="Cálculo 2 2 6 2 4 2" xfId="12367"/>
    <cellStyle name="Cálculo 2 2 6 2 4 2 2" xfId="26689"/>
    <cellStyle name="Cálculo 2 2 6 2 4 3" xfId="18012"/>
    <cellStyle name="Cálculo 2 2 6 2 5" xfId="6325"/>
    <cellStyle name="Cálculo 2 2 6 2 5 2" xfId="23516"/>
    <cellStyle name="Cálculo 2 2 6 2 6" xfId="15558"/>
    <cellStyle name="Cálculo 2 2 6 3" xfId="282"/>
    <cellStyle name="Cálculo 2 2 6 3 2" xfId="6398"/>
    <cellStyle name="Cálculo 2 2 6 3 2 2" xfId="12981"/>
    <cellStyle name="Cálculo 2 2 6 3 2 2 2" xfId="27303"/>
    <cellStyle name="Cálculo 2 2 6 3 2 3" xfId="18626"/>
    <cellStyle name="Cálculo 2 2 6 3 3" xfId="7054"/>
    <cellStyle name="Cálculo 2 2 6 3 3 2" xfId="9668"/>
    <cellStyle name="Cálculo 2 2 6 3 3 2 2" xfId="15930"/>
    <cellStyle name="Cálculo 2 2 6 3 3 2 2 2" xfId="29346"/>
    <cellStyle name="Cálculo 2 2 6 3 3 2 3" xfId="20675"/>
    <cellStyle name="Cálculo 2 2 6 3 3 3" xfId="13658"/>
    <cellStyle name="Cálculo 2 2 6 3 3 3 2" xfId="27980"/>
    <cellStyle name="Cálculo 2 2 6 3 3 4" xfId="19303"/>
    <cellStyle name="Cálculo 2 2 6 3 4" xfId="2846"/>
    <cellStyle name="Cálculo 2 2 6 3 4 2" xfId="22404"/>
    <cellStyle name="Cálculo 2 2 6 3 5" xfId="15416"/>
    <cellStyle name="Cálculo 2 2 6 4" xfId="283"/>
    <cellStyle name="Cálculo 2 2 6 4 2" xfId="4252"/>
    <cellStyle name="Cálculo 2 2 6 4 2 2" xfId="9434"/>
    <cellStyle name="Cálculo 2 2 6 4 2 2 2" xfId="15696"/>
    <cellStyle name="Cálculo 2 2 6 4 2 2 2 2" xfId="29112"/>
    <cellStyle name="Cálculo 2 2 6 4 2 2 3" xfId="20441"/>
    <cellStyle name="Cálculo 2 2 6 4 2 3" xfId="4024"/>
    <cellStyle name="Cálculo 2 2 6 4 2 3 2" xfId="22707"/>
    <cellStyle name="Cálculo 2 2 6 4 2 4" xfId="17136"/>
    <cellStyle name="Cálculo 2 2 6 4 3" xfId="11760"/>
    <cellStyle name="Cálculo 2 2 6 4 3 2" xfId="26082"/>
    <cellStyle name="Cálculo 2 2 6 4 4" xfId="17405"/>
    <cellStyle name="Cálculo 2 2 6 5" xfId="5092"/>
    <cellStyle name="Cálculo 2 2 6 5 2" xfId="11639"/>
    <cellStyle name="Cálculo 2 2 6 5 2 2" xfId="25961"/>
    <cellStyle name="Cálculo 2 2 6 5 3" xfId="15208"/>
    <cellStyle name="Cálculo 2 2 6 6" xfId="3650"/>
    <cellStyle name="Cálculo 2 2 6 6 2" xfId="22507"/>
    <cellStyle name="Cálculo 2 2 6 7" xfId="17120"/>
    <cellStyle name="Cálculo 2 2 7" xfId="284"/>
    <cellStyle name="Cálculo 2 2 7 2" xfId="285"/>
    <cellStyle name="Cálculo 2 2 7 2 2" xfId="5836"/>
    <cellStyle name="Cálculo 2 2 7 2 2 2" xfId="12389"/>
    <cellStyle name="Cálculo 2 2 7 2 2 2 2" xfId="26711"/>
    <cellStyle name="Cálculo 2 2 7 2 2 3" xfId="18034"/>
    <cellStyle name="Cálculo 2 2 7 2 3" xfId="7164"/>
    <cellStyle name="Cálculo 2 2 7 2 3 2" xfId="9778"/>
    <cellStyle name="Cálculo 2 2 7 2 3 2 2" xfId="16040"/>
    <cellStyle name="Cálculo 2 2 7 2 3 2 2 2" xfId="29456"/>
    <cellStyle name="Cálculo 2 2 7 2 3 2 3" xfId="20785"/>
    <cellStyle name="Cálculo 2 2 7 2 3 3" xfId="13768"/>
    <cellStyle name="Cálculo 2 2 7 2 3 3 2" xfId="28090"/>
    <cellStyle name="Cálculo 2 2 7 2 3 4" xfId="19413"/>
    <cellStyle name="Cálculo 2 2 7 2 4" xfId="4871"/>
    <cellStyle name="Cálculo 2 2 7 2 4 2" xfId="23234"/>
    <cellStyle name="Cálculo 2 2 7 2 5" xfId="14703"/>
    <cellStyle name="Cálculo 2 2 7 3" xfId="286"/>
    <cellStyle name="Cálculo 2 2 7 3 2" xfId="7560"/>
    <cellStyle name="Cálculo 2 2 7 3 2 2" xfId="10174"/>
    <cellStyle name="Cálculo 2 2 7 3 2 2 2" xfId="16436"/>
    <cellStyle name="Cálculo 2 2 7 3 2 2 2 2" xfId="29852"/>
    <cellStyle name="Cálculo 2 2 7 3 2 2 3" xfId="21181"/>
    <cellStyle name="Cálculo 2 2 7 3 2 3" xfId="14164"/>
    <cellStyle name="Cálculo 2 2 7 3 2 3 2" xfId="28486"/>
    <cellStyle name="Cálculo 2 2 7 3 2 4" xfId="19809"/>
    <cellStyle name="Cálculo 2 2 7 3 3" xfId="13221"/>
    <cellStyle name="Cálculo 2 2 7 3 3 2" xfId="27543"/>
    <cellStyle name="Cálculo 2 2 7 3 4" xfId="18866"/>
    <cellStyle name="Cálculo 2 2 7 4" xfId="5662"/>
    <cellStyle name="Cálculo 2 2 7 4 2" xfId="12215"/>
    <cellStyle name="Cálculo 2 2 7 4 2 2" xfId="26537"/>
    <cellStyle name="Cálculo 2 2 7 4 3" xfId="17860"/>
    <cellStyle name="Cálculo 2 2 7 5" xfId="4635"/>
    <cellStyle name="Cálculo 2 2 7 5 2" xfId="23079"/>
    <cellStyle name="Cálculo 2 2 7 6" xfId="15031"/>
    <cellStyle name="Cálculo 2 2 8" xfId="287"/>
    <cellStyle name="Cálculo 2 2 8 2" xfId="6407"/>
    <cellStyle name="Cálculo 2 2 8 2 2" xfId="12990"/>
    <cellStyle name="Cálculo 2 2 8 2 2 2" xfId="27312"/>
    <cellStyle name="Cálculo 2 2 8 2 3" xfId="18635"/>
    <cellStyle name="Cálculo 2 2 8 3" xfId="4835"/>
    <cellStyle name="Cálculo 2 2 8 3 2" xfId="9497"/>
    <cellStyle name="Cálculo 2 2 8 3 2 2" xfId="15759"/>
    <cellStyle name="Cálculo 2 2 8 3 2 2 2" xfId="29175"/>
    <cellStyle name="Cálculo 2 2 8 3 2 3" xfId="20504"/>
    <cellStyle name="Cálculo 2 2 8 3 3" xfId="11368"/>
    <cellStyle name="Cálculo 2 2 8 3 3 2" xfId="25690"/>
    <cellStyle name="Cálculo 2 2 8 3 4" xfId="15204"/>
    <cellStyle name="Cálculo 2 2 8 4" xfId="3662"/>
    <cellStyle name="Cálculo 2 2 8 4 2" xfId="22512"/>
    <cellStyle name="Cálculo 2 2 8 5" xfId="15065"/>
    <cellStyle name="Cálculo 2 2 9" xfId="288"/>
    <cellStyle name="Cálculo 2 2 9 2" xfId="7457"/>
    <cellStyle name="Cálculo 2 2 9 2 2" xfId="10071"/>
    <cellStyle name="Cálculo 2 2 9 2 2 2" xfId="16333"/>
    <cellStyle name="Cálculo 2 2 9 2 2 2 2" xfId="29749"/>
    <cellStyle name="Cálculo 2 2 9 2 2 3" xfId="21078"/>
    <cellStyle name="Cálculo 2 2 9 2 3" xfId="14061"/>
    <cellStyle name="Cálculo 2 2 9 2 3 2" xfId="28383"/>
    <cellStyle name="Cálculo 2 2 9 2 4" xfId="19706"/>
    <cellStyle name="Cálculo 2 2 9 3" xfId="12727"/>
    <cellStyle name="Cálculo 2 2 9 3 2" xfId="27049"/>
    <cellStyle name="Cálculo 2 2 9 4" xfId="18372"/>
    <cellStyle name="Cálculo 2 3" xfId="289"/>
    <cellStyle name="Cálculo 2 3 10" xfId="4671"/>
    <cellStyle name="Cálculo 2 3 10 2" xfId="23110"/>
    <cellStyle name="Cálculo 2 3 11" xfId="3257"/>
    <cellStyle name="Cálculo 2 3 2" xfId="290"/>
    <cellStyle name="Cálculo 2 3 2 2" xfId="291"/>
    <cellStyle name="Cálculo 2 3 2 2 2" xfId="292"/>
    <cellStyle name="Cálculo 2 3 2 2 2 2" xfId="6385"/>
    <cellStyle name="Cálculo 2 3 2 2 2 2 2" xfId="12968"/>
    <cellStyle name="Cálculo 2 3 2 2 2 2 2 2" xfId="27290"/>
    <cellStyle name="Cálculo 2 3 2 2 2 2 3" xfId="18613"/>
    <cellStyle name="Cálculo 2 3 2 2 2 3" xfId="7297"/>
    <cellStyle name="Cálculo 2 3 2 2 2 3 2" xfId="9911"/>
    <cellStyle name="Cálculo 2 3 2 2 2 3 2 2" xfId="16173"/>
    <cellStyle name="Cálculo 2 3 2 2 2 3 2 2 2" xfId="29589"/>
    <cellStyle name="Cálculo 2 3 2 2 2 3 2 3" xfId="20918"/>
    <cellStyle name="Cálculo 2 3 2 2 2 3 3" xfId="13901"/>
    <cellStyle name="Cálculo 2 3 2 2 2 3 3 2" xfId="28223"/>
    <cellStyle name="Cálculo 2 3 2 2 2 3 4" xfId="19546"/>
    <cellStyle name="Cálculo 2 3 2 2 2 4" xfId="4221"/>
    <cellStyle name="Cálculo 2 3 2 2 2 4 2" xfId="22833"/>
    <cellStyle name="Cálculo 2 3 2 2 2 5" xfId="17243"/>
    <cellStyle name="Cálculo 2 3 2 2 3" xfId="293"/>
    <cellStyle name="Cálculo 2 3 2 2 3 2" xfId="7974"/>
    <cellStyle name="Cálculo 2 3 2 2 3 2 2" xfId="10588"/>
    <cellStyle name="Cálculo 2 3 2 2 3 2 2 2" xfId="16850"/>
    <cellStyle name="Cálculo 2 3 2 2 3 2 2 2 2" xfId="30266"/>
    <cellStyle name="Cálculo 2 3 2 2 3 2 2 3" xfId="21595"/>
    <cellStyle name="Cálculo 2 3 2 2 3 2 3" xfId="14578"/>
    <cellStyle name="Cálculo 2 3 2 2 3 2 3 2" xfId="28900"/>
    <cellStyle name="Cálculo 2 3 2 2 3 2 4" xfId="20223"/>
    <cellStyle name="Cálculo 2 3 2 2 3 3" xfId="13315"/>
    <cellStyle name="Cálculo 2 3 2 2 3 3 2" xfId="27637"/>
    <cellStyle name="Cálculo 2 3 2 2 3 4" xfId="18960"/>
    <cellStyle name="Cálculo 2 3 2 2 4" xfId="5765"/>
    <cellStyle name="Cálculo 2 3 2 2 4 2" xfId="12318"/>
    <cellStyle name="Cálculo 2 3 2 2 4 2 2" xfId="26640"/>
    <cellStyle name="Cálculo 2 3 2 2 4 3" xfId="17963"/>
    <cellStyle name="Cálculo 2 3 2 2 5" xfId="5483"/>
    <cellStyle name="Cálculo 2 3 2 2 5 2" xfId="23347"/>
    <cellStyle name="Cálculo 2 3 2 2 6" xfId="17271"/>
    <cellStyle name="Cálculo 2 3 2 3" xfId="294"/>
    <cellStyle name="Cálculo 2 3 2 3 2" xfId="295"/>
    <cellStyle name="Cálculo 2 3 2 3 2 2" xfId="5974"/>
    <cellStyle name="Cálculo 2 3 2 3 2 2 2" xfId="12532"/>
    <cellStyle name="Cálculo 2 3 2 3 2 2 2 2" xfId="26854"/>
    <cellStyle name="Cálculo 2 3 2 3 2 2 3" xfId="18177"/>
    <cellStyle name="Cálculo 2 3 2 3 2 3" xfId="7323"/>
    <cellStyle name="Cálculo 2 3 2 3 2 3 2" xfId="9937"/>
    <cellStyle name="Cálculo 2 3 2 3 2 3 2 2" xfId="16199"/>
    <cellStyle name="Cálculo 2 3 2 3 2 3 2 2 2" xfId="29615"/>
    <cellStyle name="Cálculo 2 3 2 3 2 3 2 3" xfId="20944"/>
    <cellStyle name="Cálculo 2 3 2 3 2 3 3" xfId="13927"/>
    <cellStyle name="Cálculo 2 3 2 3 2 3 3 2" xfId="28249"/>
    <cellStyle name="Cálculo 2 3 2 3 2 3 4" xfId="19572"/>
    <cellStyle name="Cálculo 2 3 2 3 2 4" xfId="4596"/>
    <cellStyle name="Cálculo 2 3 2 3 2 4 2" xfId="23057"/>
    <cellStyle name="Cálculo 2 3 2 3 2 5" xfId="17151"/>
    <cellStyle name="Cálculo 2 3 2 3 3" xfId="296"/>
    <cellStyle name="Cálculo 2 3 2 3 3 2" xfId="7324"/>
    <cellStyle name="Cálculo 2 3 2 3 3 2 2" xfId="9938"/>
    <cellStyle name="Cálculo 2 3 2 3 3 2 2 2" xfId="16200"/>
    <cellStyle name="Cálculo 2 3 2 3 3 2 2 2 2" xfId="29616"/>
    <cellStyle name="Cálculo 2 3 2 3 3 2 2 3" xfId="20945"/>
    <cellStyle name="Cálculo 2 3 2 3 3 2 3" xfId="13928"/>
    <cellStyle name="Cálculo 2 3 2 3 3 2 3 2" xfId="28250"/>
    <cellStyle name="Cálculo 2 3 2 3 3 2 4" xfId="19573"/>
    <cellStyle name="Cálculo 2 3 2 3 3 3" xfId="12116"/>
    <cellStyle name="Cálculo 2 3 2 3 3 3 2" xfId="26438"/>
    <cellStyle name="Cálculo 2 3 2 3 3 4" xfId="17761"/>
    <cellStyle name="Cálculo 2 3 2 3 4" xfId="3823"/>
    <cellStyle name="Cálculo 2 3 2 3 4 2" xfId="4328"/>
    <cellStyle name="Cálculo 2 3 2 3 4 2 2" xfId="22889"/>
    <cellStyle name="Cálculo 2 3 2 3 4 3" xfId="6272"/>
    <cellStyle name="Cálculo 2 3 2 3 5" xfId="4312"/>
    <cellStyle name="Cálculo 2 3 2 3 5 2" xfId="22884"/>
    <cellStyle name="Cálculo 2 3 2 3 6" xfId="15365"/>
    <cellStyle name="Cálculo 2 3 2 4" xfId="297"/>
    <cellStyle name="Cálculo 2 3 2 4 2" xfId="6123"/>
    <cellStyle name="Cálculo 2 3 2 4 2 2" xfId="12692"/>
    <cellStyle name="Cálculo 2 3 2 4 2 2 2" xfId="27014"/>
    <cellStyle name="Cálculo 2 3 2 4 2 3" xfId="18337"/>
    <cellStyle name="Cálculo 2 3 2 4 3" xfId="7142"/>
    <cellStyle name="Cálculo 2 3 2 4 3 2" xfId="9756"/>
    <cellStyle name="Cálculo 2 3 2 4 3 2 2" xfId="16018"/>
    <cellStyle name="Cálculo 2 3 2 4 3 2 2 2" xfId="29434"/>
    <cellStyle name="Cálculo 2 3 2 4 3 2 3" xfId="20763"/>
    <cellStyle name="Cálculo 2 3 2 4 3 3" xfId="13746"/>
    <cellStyle name="Cálculo 2 3 2 4 3 3 2" xfId="28068"/>
    <cellStyle name="Cálculo 2 3 2 4 3 4" xfId="19391"/>
    <cellStyle name="Cálculo 2 3 2 4 4" xfId="4227"/>
    <cellStyle name="Cálculo 2 3 2 4 4 2" xfId="22838"/>
    <cellStyle name="Cálculo 2 3 2 4 5" xfId="6365"/>
    <cellStyle name="Cálculo 2 3 2 5" xfId="298"/>
    <cellStyle name="Cálculo 2 3 2 5 2" xfId="7450"/>
    <cellStyle name="Cálculo 2 3 2 5 2 2" xfId="10064"/>
    <cellStyle name="Cálculo 2 3 2 5 2 2 2" xfId="16326"/>
    <cellStyle name="Cálculo 2 3 2 5 2 2 2 2" xfId="29742"/>
    <cellStyle name="Cálculo 2 3 2 5 2 2 3" xfId="21071"/>
    <cellStyle name="Cálculo 2 3 2 5 2 3" xfId="14054"/>
    <cellStyle name="Cálculo 2 3 2 5 2 3 2" xfId="28376"/>
    <cellStyle name="Cálculo 2 3 2 5 2 4" xfId="19699"/>
    <cellStyle name="Cálculo 2 3 2 5 3" xfId="12891"/>
    <cellStyle name="Cálculo 2 3 2 5 3 2" xfId="27213"/>
    <cellStyle name="Cálculo 2 3 2 5 4" xfId="18536"/>
    <cellStyle name="Cálculo 2 3 2 6" xfId="5509"/>
    <cellStyle name="Cálculo 2 3 2 6 2" xfId="12060"/>
    <cellStyle name="Cálculo 2 3 2 6 2 2" xfId="26382"/>
    <cellStyle name="Cálculo 2 3 2 6 3" xfId="17705"/>
    <cellStyle name="Cálculo 2 3 2 7" xfId="6604"/>
    <cellStyle name="Cálculo 2 3 2 7 2" xfId="23598"/>
    <cellStyle name="Cálculo 2 3 2 8" xfId="17190"/>
    <cellStyle name="Cálculo 2 3 3" xfId="299"/>
    <cellStyle name="Cálculo 2 3 3 2" xfId="300"/>
    <cellStyle name="Cálculo 2 3 3 2 2" xfId="301"/>
    <cellStyle name="Cálculo 2 3 3 2 2 2" xfId="5992"/>
    <cellStyle name="Cálculo 2 3 3 2 2 2 2" xfId="12550"/>
    <cellStyle name="Cálculo 2 3 3 2 2 2 2 2" xfId="26872"/>
    <cellStyle name="Cálculo 2 3 3 2 2 2 3" xfId="18195"/>
    <cellStyle name="Cálculo 2 3 3 2 2 3" xfId="7237"/>
    <cellStyle name="Cálculo 2 3 3 2 2 3 2" xfId="9851"/>
    <cellStyle name="Cálculo 2 3 3 2 2 3 2 2" xfId="16113"/>
    <cellStyle name="Cálculo 2 3 3 2 2 3 2 2 2" xfId="29529"/>
    <cellStyle name="Cálculo 2 3 3 2 2 3 2 3" xfId="20858"/>
    <cellStyle name="Cálculo 2 3 3 2 2 3 3" xfId="13841"/>
    <cellStyle name="Cálculo 2 3 3 2 2 3 3 2" xfId="28163"/>
    <cellStyle name="Cálculo 2 3 3 2 2 3 4" xfId="19486"/>
    <cellStyle name="Cálculo 2 3 3 2 2 4" xfId="4549"/>
    <cellStyle name="Cálculo 2 3 3 2 2 4 2" xfId="23026"/>
    <cellStyle name="Cálculo 2 3 3 2 2 5" xfId="15277"/>
    <cellStyle name="Cálculo 2 3 3 2 3" xfId="302"/>
    <cellStyle name="Cálculo 2 3 3 2 3 2" xfId="7299"/>
    <cellStyle name="Cálculo 2 3 3 2 3 2 2" xfId="9913"/>
    <cellStyle name="Cálculo 2 3 3 2 3 2 2 2" xfId="16175"/>
    <cellStyle name="Cálculo 2 3 3 2 3 2 2 2 2" xfId="29591"/>
    <cellStyle name="Cálculo 2 3 3 2 3 2 2 3" xfId="20920"/>
    <cellStyle name="Cálculo 2 3 3 2 3 2 3" xfId="13903"/>
    <cellStyle name="Cálculo 2 3 3 2 3 2 3 2" xfId="28225"/>
    <cellStyle name="Cálculo 2 3 3 2 3 2 4" xfId="19548"/>
    <cellStyle name="Cálculo 2 3 3 2 3 3" xfId="13351"/>
    <cellStyle name="Cálculo 2 3 3 2 3 3 2" xfId="27673"/>
    <cellStyle name="Cálculo 2 3 3 2 3 4" xfId="18996"/>
    <cellStyle name="Cálculo 2 3 3 2 4" xfId="5801"/>
    <cellStyle name="Cálculo 2 3 3 2 4 2" xfId="12354"/>
    <cellStyle name="Cálculo 2 3 3 2 4 2 2" xfId="26676"/>
    <cellStyle name="Cálculo 2 3 3 2 4 3" xfId="17999"/>
    <cellStyle name="Cálculo 2 3 3 2 5" xfId="3141"/>
    <cellStyle name="Cálculo 2 3 3 2 5 2" xfId="22418"/>
    <cellStyle name="Cálculo 2 3 3 2 6" xfId="4020"/>
    <cellStyle name="Cálculo 2 3 3 3" xfId="303"/>
    <cellStyle name="Cálculo 2 3 3 3 2" xfId="304"/>
    <cellStyle name="Cálculo 2 3 3 3 2 2" xfId="7021"/>
    <cellStyle name="Cálculo 2 3 3 3 2 2 2" xfId="13625"/>
    <cellStyle name="Cálculo 2 3 3 3 2 2 2 2" xfId="27947"/>
    <cellStyle name="Cálculo 2 3 3 3 2 2 3" xfId="19270"/>
    <cellStyle name="Cálculo 2 3 3 3 2 3" xfId="7341"/>
    <cellStyle name="Cálculo 2 3 3 3 2 3 2" xfId="9955"/>
    <cellStyle name="Cálculo 2 3 3 3 2 3 2 2" xfId="16217"/>
    <cellStyle name="Cálculo 2 3 3 3 2 3 2 2 2" xfId="29633"/>
    <cellStyle name="Cálculo 2 3 3 3 2 3 2 3" xfId="20962"/>
    <cellStyle name="Cálculo 2 3 3 3 2 3 3" xfId="13945"/>
    <cellStyle name="Cálculo 2 3 3 3 2 3 3 2" xfId="28267"/>
    <cellStyle name="Cálculo 2 3 3 3 2 3 4" xfId="19590"/>
    <cellStyle name="Cálculo 2 3 3 3 2 4" xfId="11554"/>
    <cellStyle name="Cálculo 2 3 3 3 2 4 2" xfId="25876"/>
    <cellStyle name="Cálculo 2 3 3 3 2 5" xfId="15583"/>
    <cellStyle name="Cálculo 2 3 3 3 3" xfId="305"/>
    <cellStyle name="Cálculo 2 3 3 3 3 2" xfId="7404"/>
    <cellStyle name="Cálculo 2 3 3 3 3 2 2" xfId="10018"/>
    <cellStyle name="Cálculo 2 3 3 3 3 2 2 2" xfId="16280"/>
    <cellStyle name="Cálculo 2 3 3 3 3 2 2 2 2" xfId="29696"/>
    <cellStyle name="Cálculo 2 3 3 3 3 2 2 3" xfId="21025"/>
    <cellStyle name="Cálculo 2 3 3 3 3 2 3" xfId="14008"/>
    <cellStyle name="Cálculo 2 3 3 3 3 2 3 2" xfId="28330"/>
    <cellStyle name="Cálculo 2 3 3 3 3 2 4" xfId="19653"/>
    <cellStyle name="Cálculo 2 3 3 3 3 3" xfId="13423"/>
    <cellStyle name="Cálculo 2 3 3 3 3 3 2" xfId="27745"/>
    <cellStyle name="Cálculo 2 3 3 3 3 4" xfId="19068"/>
    <cellStyle name="Cálculo 2 3 3 3 4" xfId="5896"/>
    <cellStyle name="Cálculo 2 3 3 3 4 2" xfId="12449"/>
    <cellStyle name="Cálculo 2 3 3 3 4 2 2" xfId="26771"/>
    <cellStyle name="Cálculo 2 3 3 3 4 3" xfId="18094"/>
    <cellStyle name="Cálculo 2 3 3 3 5" xfId="2784"/>
    <cellStyle name="Cálculo 2 3 3 3 5 2" xfId="22353"/>
    <cellStyle name="Cálculo 2 3 3 3 6" xfId="6288"/>
    <cellStyle name="Cálculo 2 3 3 4" xfId="306"/>
    <cellStyle name="Cálculo 2 3 3 4 2" xfId="6833"/>
    <cellStyle name="Cálculo 2 3 3 4 2 2" xfId="13437"/>
    <cellStyle name="Cálculo 2 3 3 4 2 2 2" xfId="27759"/>
    <cellStyle name="Cálculo 2 3 3 4 2 3" xfId="19082"/>
    <cellStyle name="Cálculo 2 3 3 4 3" xfId="4351"/>
    <cellStyle name="Cálculo 2 3 3 4 3 2" xfId="9454"/>
    <cellStyle name="Cálculo 2 3 3 4 3 2 2" xfId="15716"/>
    <cellStyle name="Cálculo 2 3 3 4 3 2 2 2" xfId="29132"/>
    <cellStyle name="Cálculo 2 3 3 4 3 2 3" xfId="20461"/>
    <cellStyle name="Cálculo 2 3 3 4 3 3" xfId="6326"/>
    <cellStyle name="Cálculo 2 3 3 4 3 3 2" xfId="23517"/>
    <cellStyle name="Cálculo 2 3 3 4 3 4" xfId="15021"/>
    <cellStyle name="Cálculo 2 3 3 4 4" xfId="2776"/>
    <cellStyle name="Cálculo 2 3 3 4 4 2" xfId="22345"/>
    <cellStyle name="Cálculo 2 3 3 4 5" xfId="14784"/>
    <cellStyle name="Cálculo 2 3 3 5" xfId="307"/>
    <cellStyle name="Cálculo 2 3 3 5 2" xfId="7867"/>
    <cellStyle name="Cálculo 2 3 3 5 2 2" xfId="10481"/>
    <cellStyle name="Cálculo 2 3 3 5 2 2 2" xfId="16743"/>
    <cellStyle name="Cálculo 2 3 3 5 2 2 2 2" xfId="30159"/>
    <cellStyle name="Cálculo 2 3 3 5 2 2 3" xfId="21488"/>
    <cellStyle name="Cálculo 2 3 3 5 2 3" xfId="14471"/>
    <cellStyle name="Cálculo 2 3 3 5 2 3 2" xfId="28793"/>
    <cellStyle name="Cálculo 2 3 3 5 2 4" xfId="20116"/>
    <cellStyle name="Cálculo 2 3 3 5 3" xfId="12927"/>
    <cellStyle name="Cálculo 2 3 3 5 3 2" xfId="27249"/>
    <cellStyle name="Cálculo 2 3 3 5 4" xfId="18572"/>
    <cellStyle name="Cálculo 2 3 3 6" xfId="5551"/>
    <cellStyle name="Cálculo 2 3 3 6 2" xfId="12102"/>
    <cellStyle name="Cálculo 2 3 3 6 2 2" xfId="26424"/>
    <cellStyle name="Cálculo 2 3 3 6 3" xfId="17747"/>
    <cellStyle name="Cálculo 2 3 3 7" xfId="6568"/>
    <cellStyle name="Cálculo 2 3 3 7 2" xfId="23580"/>
    <cellStyle name="Cálculo 2 3 3 8" xfId="14804"/>
    <cellStyle name="Cálculo 2 3 4" xfId="308"/>
    <cellStyle name="Cálculo 2 3 4 2" xfId="309"/>
    <cellStyle name="Cálculo 2 3 4 2 2" xfId="310"/>
    <cellStyle name="Cálculo 2 3 4 2 2 2" xfId="6906"/>
    <cellStyle name="Cálculo 2 3 4 2 2 2 2" xfId="13510"/>
    <cellStyle name="Cálculo 2 3 4 2 2 2 2 2" xfId="27832"/>
    <cellStyle name="Cálculo 2 3 4 2 2 2 3" xfId="19155"/>
    <cellStyle name="Cálculo 2 3 4 2 2 3" xfId="7805"/>
    <cellStyle name="Cálculo 2 3 4 2 2 3 2" xfId="10419"/>
    <cellStyle name="Cálculo 2 3 4 2 2 3 2 2" xfId="16681"/>
    <cellStyle name="Cálculo 2 3 4 2 2 3 2 2 2" xfId="30097"/>
    <cellStyle name="Cálculo 2 3 4 2 2 3 2 3" xfId="21426"/>
    <cellStyle name="Cálculo 2 3 4 2 2 3 3" xfId="14409"/>
    <cellStyle name="Cálculo 2 3 4 2 2 3 3 2" xfId="28731"/>
    <cellStyle name="Cálculo 2 3 4 2 2 3 4" xfId="20054"/>
    <cellStyle name="Cálculo 2 3 4 2 2 4" xfId="11391"/>
    <cellStyle name="Cálculo 2 3 4 2 2 4 2" xfId="25713"/>
    <cellStyle name="Cálculo 2 3 4 2 2 5" xfId="14731"/>
    <cellStyle name="Cálculo 2 3 4 2 3" xfId="311"/>
    <cellStyle name="Cálculo 2 3 4 2 3 2" xfId="7269"/>
    <cellStyle name="Cálculo 2 3 4 2 3 2 2" xfId="9883"/>
    <cellStyle name="Cálculo 2 3 4 2 3 2 2 2" xfId="16145"/>
    <cellStyle name="Cálculo 2 3 4 2 3 2 2 2 2" xfId="29561"/>
    <cellStyle name="Cálculo 2 3 4 2 3 2 2 3" xfId="20890"/>
    <cellStyle name="Cálculo 2 3 4 2 3 2 3" xfId="13873"/>
    <cellStyle name="Cálculo 2 3 4 2 3 2 3 2" xfId="28195"/>
    <cellStyle name="Cálculo 2 3 4 2 3 2 4" xfId="19518"/>
    <cellStyle name="Cálculo 2 3 4 2 3 3" xfId="13274"/>
    <cellStyle name="Cálculo 2 3 4 2 3 3 2" xfId="27596"/>
    <cellStyle name="Cálculo 2 3 4 2 3 4" xfId="18919"/>
    <cellStyle name="Cálculo 2 3 4 2 4" xfId="5720"/>
    <cellStyle name="Cálculo 2 3 4 2 4 2" xfId="12273"/>
    <cellStyle name="Cálculo 2 3 4 2 4 2 2" xfId="26595"/>
    <cellStyle name="Cálculo 2 3 4 2 4 3" xfId="17918"/>
    <cellStyle name="Cálculo 2 3 4 2 5" xfId="3617"/>
    <cellStyle name="Cálculo 2 3 4 2 5 2" xfId="22489"/>
    <cellStyle name="Cálculo 2 3 4 2 6" xfId="3247"/>
    <cellStyle name="Cálculo 2 3 4 3" xfId="312"/>
    <cellStyle name="Cálculo 2 3 4 3 2" xfId="313"/>
    <cellStyle name="Cálculo 2 3 4 3 2 2" xfId="6913"/>
    <cellStyle name="Cálculo 2 3 4 3 2 2 2" xfId="13517"/>
    <cellStyle name="Cálculo 2 3 4 3 2 2 2 2" xfId="27839"/>
    <cellStyle name="Cálculo 2 3 4 3 2 2 3" xfId="19162"/>
    <cellStyle name="Cálculo 2 3 4 3 2 3" xfId="7980"/>
    <cellStyle name="Cálculo 2 3 4 3 2 3 2" xfId="10594"/>
    <cellStyle name="Cálculo 2 3 4 3 2 3 2 2" xfId="16856"/>
    <cellStyle name="Cálculo 2 3 4 3 2 3 2 2 2" xfId="30272"/>
    <cellStyle name="Cálculo 2 3 4 3 2 3 2 3" xfId="21601"/>
    <cellStyle name="Cálculo 2 3 4 3 2 3 3" xfId="14584"/>
    <cellStyle name="Cálculo 2 3 4 3 2 3 3 2" xfId="28906"/>
    <cellStyle name="Cálculo 2 3 4 3 2 3 4" xfId="20229"/>
    <cellStyle name="Cálculo 2 3 4 3 2 4" xfId="11399"/>
    <cellStyle name="Cálculo 2 3 4 3 2 4 2" xfId="25721"/>
    <cellStyle name="Cálculo 2 3 4 3 2 5" xfId="14852"/>
    <cellStyle name="Cálculo 2 3 4 3 3" xfId="314"/>
    <cellStyle name="Cálculo 2 3 4 3 3 2" xfId="4986"/>
    <cellStyle name="Cálculo 2 3 4 3 3 2 2" xfId="9532"/>
    <cellStyle name="Cálculo 2 3 4 3 3 2 2 2" xfId="15794"/>
    <cellStyle name="Cálculo 2 3 4 3 3 2 2 2 2" xfId="29210"/>
    <cellStyle name="Cálculo 2 3 4 3 3 2 2 3" xfId="20539"/>
    <cellStyle name="Cálculo 2 3 4 3 3 2 3" xfId="11529"/>
    <cellStyle name="Cálculo 2 3 4 3 3 2 3 2" xfId="25851"/>
    <cellStyle name="Cálculo 2 3 4 3 3 2 4" xfId="17138"/>
    <cellStyle name="Cálculo 2 3 4 3 3 3" xfId="13391"/>
    <cellStyle name="Cálculo 2 3 4 3 3 3 2" xfId="27713"/>
    <cellStyle name="Cálculo 2 3 4 3 3 4" xfId="19036"/>
    <cellStyle name="Cálculo 2 3 4 3 4" xfId="5855"/>
    <cellStyle name="Cálculo 2 3 4 3 4 2" xfId="12408"/>
    <cellStyle name="Cálculo 2 3 4 3 4 2 2" xfId="26730"/>
    <cellStyle name="Cálculo 2 3 4 3 4 3" xfId="18053"/>
    <cellStyle name="Cálculo 2 3 4 3 5" xfId="4157"/>
    <cellStyle name="Cálculo 2 3 4 3 5 2" xfId="22788"/>
    <cellStyle name="Cálculo 2 3 4 3 6" xfId="15481"/>
    <cellStyle name="Cálculo 2 3 4 4" xfId="315"/>
    <cellStyle name="Cálculo 2 3 4 4 2" xfId="6887"/>
    <cellStyle name="Cálculo 2 3 4 4 2 2" xfId="13491"/>
    <cellStyle name="Cálculo 2 3 4 4 2 2 2" xfId="27813"/>
    <cellStyle name="Cálculo 2 3 4 4 2 3" xfId="19136"/>
    <cellStyle name="Cálculo 2 3 4 4 3" xfId="4254"/>
    <cellStyle name="Cálculo 2 3 4 4 3 2" xfId="9436"/>
    <cellStyle name="Cálculo 2 3 4 4 3 2 2" xfId="15698"/>
    <cellStyle name="Cálculo 2 3 4 4 3 2 2 2" xfId="29114"/>
    <cellStyle name="Cálculo 2 3 4 4 3 2 3" xfId="20443"/>
    <cellStyle name="Cálculo 2 3 4 4 3 3" xfId="6107"/>
    <cellStyle name="Cálculo 2 3 4 4 3 3 2" xfId="23417"/>
    <cellStyle name="Cálculo 2 3 4 4 3 4" xfId="15541"/>
    <cellStyle name="Cálculo 2 3 4 4 4" xfId="11362"/>
    <cellStyle name="Cálculo 2 3 4 4 4 2" xfId="25684"/>
    <cellStyle name="Cálculo 2 3 4 4 5" xfId="14835"/>
    <cellStyle name="Cálculo 2 3 4 5" xfId="316"/>
    <cellStyle name="Cálculo 2 3 4 5 2" xfId="8053"/>
    <cellStyle name="Cálculo 2 3 4 5 2 2" xfId="10667"/>
    <cellStyle name="Cálculo 2 3 4 5 2 2 2" xfId="16929"/>
    <cellStyle name="Cálculo 2 3 4 5 2 2 2 2" xfId="30345"/>
    <cellStyle name="Cálculo 2 3 4 5 2 2 3" xfId="21674"/>
    <cellStyle name="Cálculo 2 3 4 5 2 3" xfId="14657"/>
    <cellStyle name="Cálculo 2 3 4 5 2 3 2" xfId="28979"/>
    <cellStyle name="Cálculo 2 3 4 5 2 4" xfId="20302"/>
    <cellStyle name="Cálculo 2 3 4 5 3" xfId="12833"/>
    <cellStyle name="Cálculo 2 3 4 5 3 2" xfId="27155"/>
    <cellStyle name="Cálculo 2 3 4 5 4" xfId="18478"/>
    <cellStyle name="Cálculo 2 3 4 6" xfId="5402"/>
    <cellStyle name="Cálculo 2 3 4 6 2" xfId="11952"/>
    <cellStyle name="Cálculo 2 3 4 6 2 2" xfId="26274"/>
    <cellStyle name="Cálculo 2 3 4 6 3" xfId="17597"/>
    <cellStyle name="Cálculo 2 3 4 7" xfId="2757"/>
    <cellStyle name="Cálculo 2 3 4 7 2" xfId="22327"/>
    <cellStyle name="Cálculo 2 3 4 8" xfId="15232"/>
    <cellStyle name="Cálculo 2 3 5" xfId="317"/>
    <cellStyle name="Cálculo 2 3 5 2" xfId="318"/>
    <cellStyle name="Cálculo 2 3 5 2 2" xfId="319"/>
    <cellStyle name="Cálculo 2 3 5 2 2 2" xfId="7036"/>
    <cellStyle name="Cálculo 2 3 5 2 2 2 2" xfId="13640"/>
    <cellStyle name="Cálculo 2 3 5 2 2 2 2 2" xfId="27962"/>
    <cellStyle name="Cálculo 2 3 5 2 2 2 3" xfId="19285"/>
    <cellStyle name="Cálculo 2 3 5 2 2 3" xfId="5246"/>
    <cellStyle name="Cálculo 2 3 5 2 2 3 2" xfId="9556"/>
    <cellStyle name="Cálculo 2 3 5 2 2 3 2 2" xfId="15818"/>
    <cellStyle name="Cálculo 2 3 5 2 2 3 2 2 2" xfId="29234"/>
    <cellStyle name="Cálculo 2 3 5 2 2 3 2 3" xfId="20563"/>
    <cellStyle name="Cálculo 2 3 5 2 2 3 3" xfId="11796"/>
    <cellStyle name="Cálculo 2 3 5 2 2 3 3 2" xfId="26118"/>
    <cellStyle name="Cálculo 2 3 5 2 2 3 4" xfId="17441"/>
    <cellStyle name="Cálculo 2 3 5 2 2 4" xfId="11581"/>
    <cellStyle name="Cálculo 2 3 5 2 2 4 2" xfId="25903"/>
    <cellStyle name="Cálculo 2 3 5 2 2 5" xfId="17128"/>
    <cellStyle name="Cálculo 2 3 5 2 3" xfId="320"/>
    <cellStyle name="Cálculo 2 3 5 2 3 2" xfId="4373"/>
    <cellStyle name="Cálculo 2 3 5 2 3 2 2" xfId="9456"/>
    <cellStyle name="Cálculo 2 3 5 2 3 2 2 2" xfId="15718"/>
    <cellStyle name="Cálculo 2 3 5 2 3 2 2 2 2" xfId="29134"/>
    <cellStyle name="Cálculo 2 3 5 2 3 2 2 3" xfId="20463"/>
    <cellStyle name="Cálculo 2 3 5 2 3 2 3" xfId="6239"/>
    <cellStyle name="Cálculo 2 3 5 2 3 2 3 2" xfId="23465"/>
    <cellStyle name="Cálculo 2 3 5 2 3 2 4" xfId="14758"/>
    <cellStyle name="Cálculo 2 3 5 2 3 3" xfId="4205"/>
    <cellStyle name="Cálculo 2 3 5 2 3 3 2" xfId="22820"/>
    <cellStyle name="Cálculo 2 3 5 2 3 4" xfId="6303"/>
    <cellStyle name="Cálculo 2 3 5 2 4" xfId="5179"/>
    <cellStyle name="Cálculo 2 3 5 2 4 2" xfId="11728"/>
    <cellStyle name="Cálculo 2 3 5 2 4 2 2" xfId="26050"/>
    <cellStyle name="Cálculo 2 3 5 2 4 3" xfId="6237"/>
    <cellStyle name="Cálculo 2 3 5 2 5" xfId="6805"/>
    <cellStyle name="Cálculo 2 3 5 2 5 2" xfId="23744"/>
    <cellStyle name="Cálculo 2 3 5 2 6" xfId="17116"/>
    <cellStyle name="Cálculo 2 3 5 3" xfId="321"/>
    <cellStyle name="Cálculo 2 3 5 3 2" xfId="6496"/>
    <cellStyle name="Cálculo 2 3 5 3 2 2" xfId="13082"/>
    <cellStyle name="Cálculo 2 3 5 3 2 2 2" xfId="27404"/>
    <cellStyle name="Cálculo 2 3 5 3 2 3" xfId="18727"/>
    <cellStyle name="Cálculo 2 3 5 3 3" xfId="5000"/>
    <cellStyle name="Cálculo 2 3 5 3 3 2" xfId="9537"/>
    <cellStyle name="Cálculo 2 3 5 3 3 2 2" xfId="15799"/>
    <cellStyle name="Cálculo 2 3 5 3 3 2 2 2" xfId="29215"/>
    <cellStyle name="Cálculo 2 3 5 3 3 2 3" xfId="20544"/>
    <cellStyle name="Cálculo 2 3 5 3 3 3" xfId="11543"/>
    <cellStyle name="Cálculo 2 3 5 3 3 3 2" xfId="25865"/>
    <cellStyle name="Cálculo 2 3 5 3 3 4" xfId="4337"/>
    <cellStyle name="Cálculo 2 3 5 3 4" xfId="4973"/>
    <cellStyle name="Cálculo 2 3 5 3 4 2" xfId="23289"/>
    <cellStyle name="Cálculo 2 3 5 3 5" xfId="15348"/>
    <cellStyle name="Cálculo 2 3 5 4" xfId="322"/>
    <cellStyle name="Cálculo 2 3 5 4 2" xfId="4395"/>
    <cellStyle name="Cálculo 2 3 5 4 2 2" xfId="9459"/>
    <cellStyle name="Cálculo 2 3 5 4 2 2 2" xfId="15721"/>
    <cellStyle name="Cálculo 2 3 5 4 2 2 2 2" xfId="29137"/>
    <cellStyle name="Cálculo 2 3 5 4 2 2 3" xfId="20466"/>
    <cellStyle name="Cálculo 2 3 5 4 2 3" xfId="4209"/>
    <cellStyle name="Cálculo 2 3 5 4 2 3 2" xfId="22823"/>
    <cellStyle name="Cálculo 2 3 5 4 2 4" xfId="17065"/>
    <cellStyle name="Cálculo 2 3 5 4 3" xfId="12712"/>
    <cellStyle name="Cálculo 2 3 5 4 3 2" xfId="27034"/>
    <cellStyle name="Cálculo 2 3 5 4 4" xfId="18357"/>
    <cellStyle name="Cálculo 2 3 5 5" xfId="5195"/>
    <cellStyle name="Cálculo 2 3 5 5 2" xfId="11744"/>
    <cellStyle name="Cálculo 2 3 5 5 2 2" xfId="26066"/>
    <cellStyle name="Cálculo 2 3 5 5 3" xfId="6130"/>
    <cellStyle name="Cálculo 2 3 5 6" xfId="6355"/>
    <cellStyle name="Cálculo 2 3 5 6 2" xfId="23539"/>
    <cellStyle name="Cálculo 2 3 5 7" xfId="15165"/>
    <cellStyle name="Cálculo 2 3 6" xfId="323"/>
    <cellStyle name="Cálculo 2 3 6 2" xfId="324"/>
    <cellStyle name="Cálculo 2 3 6 2 2" xfId="5224"/>
    <cellStyle name="Cálculo 2 3 6 2 2 2" xfId="11774"/>
    <cellStyle name="Cálculo 2 3 6 2 2 2 2" xfId="26096"/>
    <cellStyle name="Cálculo 2 3 6 2 2 3" xfId="17419"/>
    <cellStyle name="Cálculo 2 3 6 2 3" xfId="5013"/>
    <cellStyle name="Cálculo 2 3 6 2 3 2" xfId="9543"/>
    <cellStyle name="Cálculo 2 3 6 2 3 2 2" xfId="15805"/>
    <cellStyle name="Cálculo 2 3 6 2 3 2 2 2" xfId="29221"/>
    <cellStyle name="Cálculo 2 3 6 2 3 2 3" xfId="20550"/>
    <cellStyle name="Cálculo 2 3 6 2 3 3" xfId="11559"/>
    <cellStyle name="Cálculo 2 3 6 2 3 3 2" xfId="25881"/>
    <cellStyle name="Cálculo 2 3 6 2 3 4" xfId="6663"/>
    <cellStyle name="Cálculo 2 3 6 2 4" xfId="4837"/>
    <cellStyle name="Cálculo 2 3 6 2 4 2" xfId="23214"/>
    <cellStyle name="Cálculo 2 3 6 2 5" xfId="14814"/>
    <cellStyle name="Cálculo 2 3 6 3" xfId="325"/>
    <cellStyle name="Cálculo 2 3 6 3 2" xfId="7883"/>
    <cellStyle name="Cálculo 2 3 6 3 2 2" xfId="10497"/>
    <cellStyle name="Cálculo 2 3 6 3 2 2 2" xfId="16759"/>
    <cellStyle name="Cálculo 2 3 6 3 2 2 2 2" xfId="30175"/>
    <cellStyle name="Cálculo 2 3 6 3 2 2 3" xfId="21504"/>
    <cellStyle name="Cálculo 2 3 6 3 2 3" xfId="14487"/>
    <cellStyle name="Cálculo 2 3 6 3 2 3 2" xfId="28809"/>
    <cellStyle name="Cálculo 2 3 6 3 2 4" xfId="20132"/>
    <cellStyle name="Cálculo 2 3 6 3 3" xfId="13227"/>
    <cellStyle name="Cálculo 2 3 6 3 3 2" xfId="27549"/>
    <cellStyle name="Cálculo 2 3 6 3 4" xfId="18872"/>
    <cellStyle name="Cálculo 2 3 6 4" xfId="5668"/>
    <cellStyle name="Cálculo 2 3 6 4 2" xfId="12221"/>
    <cellStyle name="Cálculo 2 3 6 4 2 2" xfId="26543"/>
    <cellStyle name="Cálculo 2 3 6 4 3" xfId="17866"/>
    <cellStyle name="Cálculo 2 3 6 5" xfId="4732"/>
    <cellStyle name="Cálculo 2 3 6 5 2" xfId="23158"/>
    <cellStyle name="Cálculo 2 3 6 6" xfId="15461"/>
    <cellStyle name="Cálculo 2 3 7" xfId="326"/>
    <cellStyle name="Cálculo 2 3 7 2" xfId="6984"/>
    <cellStyle name="Cálculo 2 3 7 2 2" xfId="13588"/>
    <cellStyle name="Cálculo 2 3 7 2 2 2" xfId="27910"/>
    <cellStyle name="Cálculo 2 3 7 2 3" xfId="19233"/>
    <cellStyle name="Cálculo 2 3 7 3" xfId="8068"/>
    <cellStyle name="Cálculo 2 3 7 3 2" xfId="10682"/>
    <cellStyle name="Cálculo 2 3 7 3 2 2" xfId="16944"/>
    <cellStyle name="Cálculo 2 3 7 3 2 2 2" xfId="30360"/>
    <cellStyle name="Cálculo 2 3 7 3 2 3" xfId="21689"/>
    <cellStyle name="Cálculo 2 3 7 3 3" xfId="14672"/>
    <cellStyle name="Cálculo 2 3 7 3 3 2" xfId="28994"/>
    <cellStyle name="Cálculo 2 3 7 3 4" xfId="20317"/>
    <cellStyle name="Cálculo 2 3 7 4" xfId="11496"/>
    <cellStyle name="Cálculo 2 3 7 4 2" xfId="25818"/>
    <cellStyle name="Cálculo 2 3 7 5" xfId="15484"/>
    <cellStyle name="Cálculo 2 3 8" xfId="327"/>
    <cellStyle name="Cálculo 2 3 8 2" xfId="5263"/>
    <cellStyle name="Cálculo 2 3 8 2 2" xfId="9572"/>
    <cellStyle name="Cálculo 2 3 8 2 2 2" xfId="15834"/>
    <cellStyle name="Cálculo 2 3 8 2 2 2 2" xfId="29250"/>
    <cellStyle name="Cálculo 2 3 8 2 2 3" xfId="20579"/>
    <cellStyle name="Cálculo 2 3 8 2 3" xfId="11813"/>
    <cellStyle name="Cálculo 2 3 8 2 3 2" xfId="26135"/>
    <cellStyle name="Cálculo 2 3 8 2 4" xfId="17458"/>
    <cellStyle name="Cálculo 2 3 8 3" xfId="12754"/>
    <cellStyle name="Cálculo 2 3 8 3 2" xfId="27076"/>
    <cellStyle name="Cálculo 2 3 8 4" xfId="18399"/>
    <cellStyle name="Cálculo 2 3 9" xfId="5449"/>
    <cellStyle name="Cálculo 2 3 9 2" xfId="12000"/>
    <cellStyle name="Cálculo 2 3 9 2 2" xfId="26322"/>
    <cellStyle name="Cálculo 2 3 9 3" xfId="17645"/>
    <cellStyle name="Cálculo 2 4" xfId="328"/>
    <cellStyle name="Cálculo 2 4 2" xfId="329"/>
    <cellStyle name="Cálculo 2 4 2 2" xfId="330"/>
    <cellStyle name="Cálculo 2 4 2 2 2" xfId="6003"/>
    <cellStyle name="Cálculo 2 4 2 2 2 2" xfId="12562"/>
    <cellStyle name="Cálculo 2 4 2 2 2 2 2" xfId="26884"/>
    <cellStyle name="Cálculo 2 4 2 2 2 3" xfId="18207"/>
    <cellStyle name="Cálculo 2 4 2 2 3" xfId="4797"/>
    <cellStyle name="Cálculo 2 4 2 2 3 2" xfId="9487"/>
    <cellStyle name="Cálculo 2 4 2 2 3 2 2" xfId="15749"/>
    <cellStyle name="Cálculo 2 4 2 2 3 2 2 2" xfId="29165"/>
    <cellStyle name="Cálculo 2 4 2 2 3 2 3" xfId="20494"/>
    <cellStyle name="Cálculo 2 4 2 2 3 3" xfId="11326"/>
    <cellStyle name="Cálculo 2 4 2 2 3 3 2" xfId="25648"/>
    <cellStyle name="Cálculo 2 4 2 2 3 4" xfId="17047"/>
    <cellStyle name="Cálculo 2 4 2 2 4" xfId="4890"/>
    <cellStyle name="Cálculo 2 4 2 2 4 2" xfId="23248"/>
    <cellStyle name="Cálculo 2 4 2 2 5" xfId="15441"/>
    <cellStyle name="Cálculo 2 4 2 3" xfId="331"/>
    <cellStyle name="Cálculo 2 4 2 3 2" xfId="5270"/>
    <cellStyle name="Cálculo 2 4 2 3 2 2" xfId="9579"/>
    <cellStyle name="Cálculo 2 4 2 3 2 2 2" xfId="15841"/>
    <cellStyle name="Cálculo 2 4 2 3 2 2 2 2" xfId="29257"/>
    <cellStyle name="Cálculo 2 4 2 3 2 2 3" xfId="20586"/>
    <cellStyle name="Cálculo 2 4 2 3 2 3" xfId="11820"/>
    <cellStyle name="Cálculo 2 4 2 3 2 3 2" xfId="26142"/>
    <cellStyle name="Cálculo 2 4 2 3 2 4" xfId="17465"/>
    <cellStyle name="Cálculo 2 4 2 3 3" xfId="13200"/>
    <cellStyle name="Cálculo 2 4 2 3 3 2" xfId="27522"/>
    <cellStyle name="Cálculo 2 4 2 3 4" xfId="18845"/>
    <cellStyle name="Cálculo 2 4 2 4" xfId="5639"/>
    <cellStyle name="Cálculo 2 4 2 4 2" xfId="12192"/>
    <cellStyle name="Cálculo 2 4 2 4 2 2" xfId="26514"/>
    <cellStyle name="Cálculo 2 4 2 4 3" xfId="17837"/>
    <cellStyle name="Cálculo 2 4 2 5" xfId="4576"/>
    <cellStyle name="Cálculo 2 4 2 5 2" xfId="23043"/>
    <cellStyle name="Cálculo 2 4 2 6" xfId="15422"/>
    <cellStyle name="Cálculo 2 4 3" xfId="332"/>
    <cellStyle name="Cálculo 2 4 3 2" xfId="333"/>
    <cellStyle name="Cálculo 2 4 3 2 2" xfId="6058"/>
    <cellStyle name="Cálculo 2 4 3 2 2 2" xfId="12624"/>
    <cellStyle name="Cálculo 2 4 3 2 2 2 2" xfId="26946"/>
    <cellStyle name="Cálculo 2 4 3 2 2 3" xfId="18269"/>
    <cellStyle name="Cálculo 2 4 3 2 3" xfId="7084"/>
    <cellStyle name="Cálculo 2 4 3 2 3 2" xfId="9698"/>
    <cellStyle name="Cálculo 2 4 3 2 3 2 2" xfId="15960"/>
    <cellStyle name="Cálculo 2 4 3 2 3 2 2 2" xfId="29376"/>
    <cellStyle name="Cálculo 2 4 3 2 3 2 3" xfId="20705"/>
    <cellStyle name="Cálculo 2 4 3 2 3 3" xfId="13688"/>
    <cellStyle name="Cálculo 2 4 3 2 3 3 2" xfId="28010"/>
    <cellStyle name="Cálculo 2 4 3 2 3 4" xfId="19333"/>
    <cellStyle name="Cálculo 2 4 3 2 4" xfId="4093"/>
    <cellStyle name="Cálculo 2 4 3 2 4 2" xfId="22754"/>
    <cellStyle name="Cálculo 2 4 3 2 5" xfId="4240"/>
    <cellStyle name="Cálculo 2 4 3 3" xfId="334"/>
    <cellStyle name="Cálculo 2 4 3 3 2" xfId="7455"/>
    <cellStyle name="Cálculo 2 4 3 3 2 2" xfId="10069"/>
    <cellStyle name="Cálculo 2 4 3 3 2 2 2" xfId="16331"/>
    <cellStyle name="Cálculo 2 4 3 3 2 2 2 2" xfId="29747"/>
    <cellStyle name="Cálculo 2 4 3 3 2 2 3" xfId="21076"/>
    <cellStyle name="Cálculo 2 4 3 3 2 3" xfId="14059"/>
    <cellStyle name="Cálculo 2 4 3 3 2 3 2" xfId="28381"/>
    <cellStyle name="Cálculo 2 4 3 3 2 4" xfId="19704"/>
    <cellStyle name="Cálculo 2 4 3 3 3" xfId="13166"/>
    <cellStyle name="Cálculo 2 4 3 3 3 2" xfId="27488"/>
    <cellStyle name="Cálculo 2 4 3 3 4" xfId="18811"/>
    <cellStyle name="Cálculo 2 4 3 4" xfId="5580"/>
    <cellStyle name="Cálculo 2 4 3 4 2" xfId="12132"/>
    <cellStyle name="Cálculo 2 4 3 4 2 2" xfId="26454"/>
    <cellStyle name="Cálculo 2 4 3 4 3" xfId="17777"/>
    <cellStyle name="Cálculo 2 4 3 5" xfId="4602"/>
    <cellStyle name="Cálculo 2 4 3 5 2" xfId="23061"/>
    <cellStyle name="Cálculo 2 4 3 6" xfId="15524"/>
    <cellStyle name="Cálculo 2 4 4" xfId="335"/>
    <cellStyle name="Cálculo 2 4 4 2" xfId="5187"/>
    <cellStyle name="Cálculo 2 4 4 2 2" xfId="11736"/>
    <cellStyle name="Cálculo 2 4 4 2 2 2" xfId="26058"/>
    <cellStyle name="Cálculo 2 4 4 2 3" xfId="3692"/>
    <cellStyle name="Cálculo 2 4 4 3" xfId="7322"/>
    <cellStyle name="Cálculo 2 4 4 3 2" xfId="9936"/>
    <cellStyle name="Cálculo 2 4 4 3 2 2" xfId="16198"/>
    <cellStyle name="Cálculo 2 4 4 3 2 2 2" xfId="29614"/>
    <cellStyle name="Cálculo 2 4 4 3 2 3" xfId="20943"/>
    <cellStyle name="Cálculo 2 4 4 3 3" xfId="13926"/>
    <cellStyle name="Cálculo 2 4 4 3 3 2" xfId="28248"/>
    <cellStyle name="Cálculo 2 4 4 3 4" xfId="19571"/>
    <cellStyle name="Cálculo 2 4 4 4" xfId="6671"/>
    <cellStyle name="Cálculo 2 4 4 4 2" xfId="23643"/>
    <cellStyle name="Cálculo 2 4 4 5" xfId="17067"/>
    <cellStyle name="Cálculo 2 4 5" xfId="336"/>
    <cellStyle name="Cálculo 2 4 5 2" xfId="7442"/>
    <cellStyle name="Cálculo 2 4 5 2 2" xfId="10056"/>
    <cellStyle name="Cálculo 2 4 5 2 2 2" xfId="16318"/>
    <cellStyle name="Cálculo 2 4 5 2 2 2 2" xfId="29734"/>
    <cellStyle name="Cálculo 2 4 5 2 2 3" xfId="21063"/>
    <cellStyle name="Cálculo 2 4 5 2 3" xfId="14046"/>
    <cellStyle name="Cálculo 2 4 5 2 3 2" xfId="28368"/>
    <cellStyle name="Cálculo 2 4 5 2 4" xfId="19691"/>
    <cellStyle name="Cálculo 2 4 5 3" xfId="11789"/>
    <cellStyle name="Cálculo 2 4 5 3 2" xfId="26111"/>
    <cellStyle name="Cálculo 2 4 5 4" xfId="17434"/>
    <cellStyle name="Cálculo 2 4 6" xfId="4133"/>
    <cellStyle name="Cálculo 2 4 6 2" xfId="2877"/>
    <cellStyle name="Cálculo 2 4 6 2 2" xfId="22407"/>
    <cellStyle name="Cálculo 2 4 6 3" xfId="17331"/>
    <cellStyle name="Cálculo 2 4 7" xfId="6350"/>
    <cellStyle name="Cálculo 2 4 7 2" xfId="23536"/>
    <cellStyle name="Cálculo 2 4 8" xfId="6652"/>
    <cellStyle name="Cálculo 2 5" xfId="337"/>
    <cellStyle name="Cálculo 2 5 2" xfId="338"/>
    <cellStyle name="Cálculo 2 5 2 2" xfId="339"/>
    <cellStyle name="Cálculo 2 5 2 2 2" xfId="5961"/>
    <cellStyle name="Cálculo 2 5 2 2 2 2" xfId="12519"/>
    <cellStyle name="Cálculo 2 5 2 2 2 2 2" xfId="26841"/>
    <cellStyle name="Cálculo 2 5 2 2 2 3" xfId="18164"/>
    <cellStyle name="Cálculo 2 5 2 2 3" xfId="5252"/>
    <cellStyle name="Cálculo 2 5 2 2 3 2" xfId="9561"/>
    <cellStyle name="Cálculo 2 5 2 2 3 2 2" xfId="15823"/>
    <cellStyle name="Cálculo 2 5 2 2 3 2 2 2" xfId="29239"/>
    <cellStyle name="Cálculo 2 5 2 2 3 2 3" xfId="20568"/>
    <cellStyle name="Cálculo 2 5 2 2 3 3" xfId="11802"/>
    <cellStyle name="Cálculo 2 5 2 2 3 3 2" xfId="26124"/>
    <cellStyle name="Cálculo 2 5 2 2 3 4" xfId="17447"/>
    <cellStyle name="Cálculo 2 5 2 2 4" xfId="4127"/>
    <cellStyle name="Cálculo 2 5 2 2 4 2" xfId="22769"/>
    <cellStyle name="Cálculo 2 5 2 2 5" xfId="14882"/>
    <cellStyle name="Cálculo 2 5 2 3" xfId="340"/>
    <cellStyle name="Cálculo 2 5 2 3 2" xfId="7227"/>
    <cellStyle name="Cálculo 2 5 2 3 2 2" xfId="9841"/>
    <cellStyle name="Cálculo 2 5 2 3 2 2 2" xfId="16103"/>
    <cellStyle name="Cálculo 2 5 2 3 2 2 2 2" xfId="29519"/>
    <cellStyle name="Cálculo 2 5 2 3 2 2 3" xfId="20848"/>
    <cellStyle name="Cálculo 2 5 2 3 2 3" xfId="13831"/>
    <cellStyle name="Cálculo 2 5 2 3 2 3 2" xfId="28153"/>
    <cellStyle name="Cálculo 2 5 2 3 2 4" xfId="19476"/>
    <cellStyle name="Cálculo 2 5 2 3 3" xfId="12826"/>
    <cellStyle name="Cálculo 2 5 2 3 3 2" xfId="27148"/>
    <cellStyle name="Cálculo 2 5 2 3 4" xfId="18471"/>
    <cellStyle name="Cálculo 2 5 2 4" xfId="5209"/>
    <cellStyle name="Cálculo 2 5 2 4 2" xfId="11758"/>
    <cellStyle name="Cálculo 2 5 2 4 2 2" xfId="26080"/>
    <cellStyle name="Cálculo 2 5 2 4 3" xfId="17403"/>
    <cellStyle name="Cálculo 2 5 2 5" xfId="3028"/>
    <cellStyle name="Cálculo 2 5 2 5 2" xfId="22415"/>
    <cellStyle name="Cálculo 2 5 2 6" xfId="6735"/>
    <cellStyle name="Cálculo 2 5 3" xfId="341"/>
    <cellStyle name="Cálculo 2 5 3 2" xfId="342"/>
    <cellStyle name="Cálculo 2 5 3 2 2" xfId="5873"/>
    <cellStyle name="Cálculo 2 5 3 2 2 2" xfId="12426"/>
    <cellStyle name="Cálculo 2 5 3 2 2 2 2" xfId="26748"/>
    <cellStyle name="Cálculo 2 5 3 2 2 3" xfId="18071"/>
    <cellStyle name="Cálculo 2 5 3 2 3" xfId="7226"/>
    <cellStyle name="Cálculo 2 5 3 2 3 2" xfId="9840"/>
    <cellStyle name="Cálculo 2 5 3 2 3 2 2" xfId="16102"/>
    <cellStyle name="Cálculo 2 5 3 2 3 2 2 2" xfId="29518"/>
    <cellStyle name="Cálculo 2 5 3 2 3 2 3" xfId="20847"/>
    <cellStyle name="Cálculo 2 5 3 2 3 3" xfId="13830"/>
    <cellStyle name="Cálculo 2 5 3 2 3 3 2" xfId="28152"/>
    <cellStyle name="Cálculo 2 5 3 2 3 4" xfId="19475"/>
    <cellStyle name="Cálculo 2 5 3 2 4" xfId="4562"/>
    <cellStyle name="Cálculo 2 5 3 2 4 2" xfId="23031"/>
    <cellStyle name="Cálculo 2 5 3 2 5" xfId="14842"/>
    <cellStyle name="Cálculo 2 5 3 3" xfId="343"/>
    <cellStyle name="Cálculo 2 5 3 3 2" xfId="5339"/>
    <cellStyle name="Cálculo 2 5 3 3 2 2" xfId="9648"/>
    <cellStyle name="Cálculo 2 5 3 3 2 2 2" xfId="15910"/>
    <cellStyle name="Cálculo 2 5 3 3 2 2 2 2" xfId="29326"/>
    <cellStyle name="Cálculo 2 5 3 3 2 2 3" xfId="20655"/>
    <cellStyle name="Cálculo 2 5 3 3 2 3" xfId="11889"/>
    <cellStyle name="Cálculo 2 5 3 3 2 3 2" xfId="26211"/>
    <cellStyle name="Cálculo 2 5 3 3 2 4" xfId="17534"/>
    <cellStyle name="Cálculo 2 5 3 3 3" xfId="12575"/>
    <cellStyle name="Cálculo 2 5 3 3 3 2" xfId="26897"/>
    <cellStyle name="Cálculo 2 5 3 3 4" xfId="18220"/>
    <cellStyle name="Cálculo 2 5 3 4" xfId="5190"/>
    <cellStyle name="Cálculo 2 5 3 4 2" xfId="11739"/>
    <cellStyle name="Cálculo 2 5 3 4 2 2" xfId="26061"/>
    <cellStyle name="Cálculo 2 5 3 4 3" xfId="3774"/>
    <cellStyle name="Cálculo 2 5 3 5" xfId="3021"/>
    <cellStyle name="Cálculo 2 5 3 5 2" xfId="22411"/>
    <cellStyle name="Cálculo 2 5 3 6" xfId="17014"/>
    <cellStyle name="Cálculo 2 5 4" xfId="344"/>
    <cellStyle name="Cálculo 2 5 4 2" xfId="6563"/>
    <cellStyle name="Cálculo 2 5 4 2 2" xfId="13151"/>
    <cellStyle name="Cálculo 2 5 4 2 2 2" xfId="27473"/>
    <cellStyle name="Cálculo 2 5 4 2 3" xfId="18796"/>
    <cellStyle name="Cálculo 2 5 4 3" xfId="4298"/>
    <cellStyle name="Cálculo 2 5 4 3 2" xfId="9443"/>
    <cellStyle name="Cálculo 2 5 4 3 2 2" xfId="15705"/>
    <cellStyle name="Cálculo 2 5 4 3 2 2 2" xfId="29121"/>
    <cellStyle name="Cálculo 2 5 4 3 2 3" xfId="20450"/>
    <cellStyle name="Cálculo 2 5 4 3 3" xfId="4558"/>
    <cellStyle name="Cálculo 2 5 4 3 3 2" xfId="23029"/>
    <cellStyle name="Cálculo 2 5 4 3 4" xfId="15538"/>
    <cellStyle name="Cálculo 2 5 4 4" xfId="6637"/>
    <cellStyle name="Cálculo 2 5 4 4 2" xfId="23619"/>
    <cellStyle name="Cálculo 2 5 4 5" xfId="4595"/>
    <cellStyle name="Cálculo 2 5 5" xfId="345"/>
    <cellStyle name="Cálculo 2 5 5 2" xfId="3753"/>
    <cellStyle name="Cálculo 2 5 5 2 2" xfId="9368"/>
    <cellStyle name="Cálculo 2 5 5 2 2 2" xfId="15630"/>
    <cellStyle name="Cálculo 2 5 5 2 2 2 2" xfId="29046"/>
    <cellStyle name="Cálculo 2 5 5 2 2 3" xfId="20375"/>
    <cellStyle name="Cálculo 2 5 5 2 3" xfId="4206"/>
    <cellStyle name="Cálculo 2 5 5 2 3 2" xfId="22821"/>
    <cellStyle name="Cálculo 2 5 5 2 4" xfId="14680"/>
    <cellStyle name="Cálculo 2 5 5 3" xfId="11748"/>
    <cellStyle name="Cálculo 2 5 5 3 2" xfId="26070"/>
    <cellStyle name="Cálculo 2 5 5 4" xfId="4428"/>
    <cellStyle name="Cálculo 2 5 6" xfId="5087"/>
    <cellStyle name="Cálculo 2 5 6 2" xfId="11634"/>
    <cellStyle name="Cálculo 2 5 6 2 2" xfId="25956"/>
    <cellStyle name="Cálculo 2 5 6 3" xfId="15513"/>
    <cellStyle name="Cálculo 2 5 7" xfId="4430"/>
    <cellStyle name="Cálculo 2 5 7 2" xfId="22947"/>
    <cellStyle name="Cálculo 2 5 8" xfId="6351"/>
    <cellStyle name="Cálculo 2 6" xfId="346"/>
    <cellStyle name="Cálculo 2 6 2" xfId="347"/>
    <cellStyle name="Cálculo 2 6 2 2" xfId="348"/>
    <cellStyle name="Cálculo 2 6 2 2 2" xfId="3706"/>
    <cellStyle name="Cálculo 2 6 2 2 2 2" xfId="3696"/>
    <cellStyle name="Cálculo 2 6 2 2 2 2 2" xfId="22535"/>
    <cellStyle name="Cálculo 2 6 2 2 2 3" xfId="14722"/>
    <cellStyle name="Cálculo 2 6 2 2 3" xfId="8020"/>
    <cellStyle name="Cálculo 2 6 2 2 3 2" xfId="10634"/>
    <cellStyle name="Cálculo 2 6 2 2 3 2 2" xfId="16896"/>
    <cellStyle name="Cálculo 2 6 2 2 3 2 2 2" xfId="30312"/>
    <cellStyle name="Cálculo 2 6 2 2 3 2 3" xfId="21641"/>
    <cellStyle name="Cálculo 2 6 2 2 3 3" xfId="14624"/>
    <cellStyle name="Cálculo 2 6 2 2 3 3 2" xfId="28946"/>
    <cellStyle name="Cálculo 2 6 2 2 3 4" xfId="20269"/>
    <cellStyle name="Cálculo 2 6 2 2 4" xfId="4334"/>
    <cellStyle name="Cálculo 2 6 2 2 4 2" xfId="22893"/>
    <cellStyle name="Cálculo 2 6 2 2 5" xfId="17200"/>
    <cellStyle name="Cálculo 2 6 2 3" xfId="349"/>
    <cellStyle name="Cálculo 2 6 2 3 2" xfId="7727"/>
    <cellStyle name="Cálculo 2 6 2 3 2 2" xfId="10341"/>
    <cellStyle name="Cálculo 2 6 2 3 2 2 2" xfId="16603"/>
    <cellStyle name="Cálculo 2 6 2 3 2 2 2 2" xfId="30019"/>
    <cellStyle name="Cálculo 2 6 2 3 2 2 3" xfId="21348"/>
    <cellStyle name="Cálculo 2 6 2 3 2 3" xfId="14331"/>
    <cellStyle name="Cálculo 2 6 2 3 2 3 2" xfId="28653"/>
    <cellStyle name="Cálculo 2 6 2 3 2 4" xfId="19976"/>
    <cellStyle name="Cálculo 2 6 2 3 3" xfId="13234"/>
    <cellStyle name="Cálculo 2 6 2 3 3 2" xfId="27556"/>
    <cellStyle name="Cálculo 2 6 2 3 4" xfId="18879"/>
    <cellStyle name="Cálculo 2 6 2 4" xfId="5675"/>
    <cellStyle name="Cálculo 2 6 2 4 2" xfId="12228"/>
    <cellStyle name="Cálculo 2 6 2 4 2 2" xfId="26550"/>
    <cellStyle name="Cálculo 2 6 2 4 3" xfId="17873"/>
    <cellStyle name="Cálculo 2 6 2 5" xfId="6358"/>
    <cellStyle name="Cálculo 2 6 2 5 2" xfId="23542"/>
    <cellStyle name="Cálculo 2 6 2 6" xfId="15584"/>
    <cellStyle name="Cálculo 2 6 3" xfId="350"/>
    <cellStyle name="Cálculo 2 6 3 2" xfId="351"/>
    <cellStyle name="Cálculo 2 6 3 2 2" xfId="6539"/>
    <cellStyle name="Cálculo 2 6 3 2 2 2" xfId="13127"/>
    <cellStyle name="Cálculo 2 6 3 2 2 2 2" xfId="27449"/>
    <cellStyle name="Cálculo 2 6 3 2 2 3" xfId="18772"/>
    <cellStyle name="Cálculo 2 6 3 2 3" xfId="3259"/>
    <cellStyle name="Cálculo 2 6 3 2 3 2" xfId="9049"/>
    <cellStyle name="Cálculo 2 6 3 2 3 2 2" xfId="15388"/>
    <cellStyle name="Cálculo 2 6 3 2 3 2 2 2" xfId="29007"/>
    <cellStyle name="Cálculo 2 6 3 2 3 2 3" xfId="20334"/>
    <cellStyle name="Cálculo 2 6 3 2 3 3" xfId="4467"/>
    <cellStyle name="Cálculo 2 6 3 2 3 3 2" xfId="22967"/>
    <cellStyle name="Cálculo 2 6 3 2 3 4" xfId="14802"/>
    <cellStyle name="Cálculo 2 6 3 2 4" xfId="4465"/>
    <cellStyle name="Cálculo 2 6 3 2 4 2" xfId="22966"/>
    <cellStyle name="Cálculo 2 6 3 2 5" xfId="15075"/>
    <cellStyle name="Cálculo 2 6 3 3" xfId="352"/>
    <cellStyle name="Cálculo 2 6 3 3 2" xfId="7711"/>
    <cellStyle name="Cálculo 2 6 3 3 2 2" xfId="10325"/>
    <cellStyle name="Cálculo 2 6 3 3 2 2 2" xfId="16587"/>
    <cellStyle name="Cálculo 2 6 3 3 2 2 2 2" xfId="30003"/>
    <cellStyle name="Cálculo 2 6 3 3 2 2 3" xfId="21332"/>
    <cellStyle name="Cálculo 2 6 3 3 2 3" xfId="14315"/>
    <cellStyle name="Cálculo 2 6 3 3 2 3 2" xfId="28637"/>
    <cellStyle name="Cálculo 2 6 3 3 2 4" xfId="19960"/>
    <cellStyle name="Cálculo 2 6 3 3 3" xfId="12160"/>
    <cellStyle name="Cálculo 2 6 3 3 3 2" xfId="26482"/>
    <cellStyle name="Cálculo 2 6 3 3 4" xfId="17805"/>
    <cellStyle name="Cálculo 2 6 3 4" xfId="5061"/>
    <cellStyle name="Cálculo 2 6 3 4 2" xfId="11608"/>
    <cellStyle name="Cálculo 2 6 3 4 2 2" xfId="25930"/>
    <cellStyle name="Cálculo 2 6 3 4 3" xfId="15102"/>
    <cellStyle name="Cálculo 2 6 3 5" xfId="4771"/>
    <cellStyle name="Cálculo 2 6 3 5 2" xfId="23179"/>
    <cellStyle name="Cálculo 2 6 3 6" xfId="17342"/>
    <cellStyle name="Cálculo 2 6 4" xfId="353"/>
    <cellStyle name="Cálculo 2 6 4 2" xfId="5823"/>
    <cellStyle name="Cálculo 2 6 4 2 2" xfId="12376"/>
    <cellStyle name="Cálculo 2 6 4 2 2 2" xfId="26698"/>
    <cellStyle name="Cálculo 2 6 4 2 3" xfId="18021"/>
    <cellStyle name="Cálculo 2 6 4 3" xfId="7144"/>
    <cellStyle name="Cálculo 2 6 4 3 2" xfId="9758"/>
    <cellStyle name="Cálculo 2 6 4 3 2 2" xfId="16020"/>
    <cellStyle name="Cálculo 2 6 4 3 2 2 2" xfId="29436"/>
    <cellStyle name="Cálculo 2 6 4 3 2 3" xfId="20765"/>
    <cellStyle name="Cálculo 2 6 4 3 3" xfId="13748"/>
    <cellStyle name="Cálculo 2 6 4 3 3 2" xfId="28070"/>
    <cellStyle name="Cálculo 2 6 4 3 4" xfId="19393"/>
    <cellStyle name="Cálculo 2 6 4 4" xfId="6182"/>
    <cellStyle name="Cálculo 2 6 4 4 2" xfId="23447"/>
    <cellStyle name="Cálculo 2 6 4 5" xfId="16974"/>
    <cellStyle name="Cálculo 2 6 5" xfId="354"/>
    <cellStyle name="Cálculo 2 6 5 2" xfId="5315"/>
    <cellStyle name="Cálculo 2 6 5 2 2" xfId="9624"/>
    <cellStyle name="Cálculo 2 6 5 2 2 2" xfId="15886"/>
    <cellStyle name="Cálculo 2 6 5 2 2 2 2" xfId="29302"/>
    <cellStyle name="Cálculo 2 6 5 2 2 3" xfId="20631"/>
    <cellStyle name="Cálculo 2 6 5 2 3" xfId="11865"/>
    <cellStyle name="Cálculo 2 6 5 2 3 2" xfId="26187"/>
    <cellStyle name="Cálculo 2 6 5 2 4" xfId="17510"/>
    <cellStyle name="Cálculo 2 6 5 3" xfId="12635"/>
    <cellStyle name="Cálculo 2 6 5 3 2" xfId="26957"/>
    <cellStyle name="Cálculo 2 6 5 4" xfId="18280"/>
    <cellStyle name="Cálculo 2 6 6" xfId="5164"/>
    <cellStyle name="Cálculo 2 6 6 2" xfId="11713"/>
    <cellStyle name="Cálculo 2 6 6 2 2" xfId="26035"/>
    <cellStyle name="Cálculo 2 6 6 3" xfId="6581"/>
    <cellStyle name="Cálculo 2 6 7" xfId="4743"/>
    <cellStyle name="Cálculo 2 6 7 2" xfId="23165"/>
    <cellStyle name="Cálculo 2 6 8" xfId="15310"/>
    <cellStyle name="Cálculo 2 7" xfId="355"/>
    <cellStyle name="Cálculo 2 7 2" xfId="356"/>
    <cellStyle name="Cálculo 2 7 2 2" xfId="357"/>
    <cellStyle name="Cálculo 2 7 2 2 2" xfId="5181"/>
    <cellStyle name="Cálculo 2 7 2 2 2 2" xfId="11730"/>
    <cellStyle name="Cálculo 2 7 2 2 2 2 2" xfId="26052"/>
    <cellStyle name="Cálculo 2 7 2 2 2 3" xfId="4151"/>
    <cellStyle name="Cálculo 2 7 2 2 3" xfId="7275"/>
    <cellStyle name="Cálculo 2 7 2 2 3 2" xfId="9889"/>
    <cellStyle name="Cálculo 2 7 2 2 3 2 2" xfId="16151"/>
    <cellStyle name="Cálculo 2 7 2 2 3 2 2 2" xfId="29567"/>
    <cellStyle name="Cálculo 2 7 2 2 3 2 3" xfId="20896"/>
    <cellStyle name="Cálculo 2 7 2 2 3 3" xfId="13879"/>
    <cellStyle name="Cálculo 2 7 2 2 3 3 2" xfId="28201"/>
    <cellStyle name="Cálculo 2 7 2 2 3 4" xfId="19524"/>
    <cellStyle name="Cálculo 2 7 2 2 4" xfId="6646"/>
    <cellStyle name="Cálculo 2 7 2 2 4 2" xfId="23625"/>
    <cellStyle name="Cálculo 2 7 2 2 5" xfId="15053"/>
    <cellStyle name="Cálculo 2 7 2 3" xfId="358"/>
    <cellStyle name="Cálculo 2 7 2 3 2" xfId="7215"/>
    <cellStyle name="Cálculo 2 7 2 3 2 2" xfId="9829"/>
    <cellStyle name="Cálculo 2 7 2 3 2 2 2" xfId="16091"/>
    <cellStyle name="Cálculo 2 7 2 3 2 2 2 2" xfId="29507"/>
    <cellStyle name="Cálculo 2 7 2 3 2 2 3" xfId="20836"/>
    <cellStyle name="Cálculo 2 7 2 3 2 3" xfId="13819"/>
    <cellStyle name="Cálculo 2 7 2 3 2 3 2" xfId="28141"/>
    <cellStyle name="Cálculo 2 7 2 3 2 4" xfId="19464"/>
    <cellStyle name="Cálculo 2 7 2 3 3" xfId="13403"/>
    <cellStyle name="Cálculo 2 7 2 3 3 2" xfId="27725"/>
    <cellStyle name="Cálculo 2 7 2 3 4" xfId="19048"/>
    <cellStyle name="Cálculo 2 7 2 4" xfId="5868"/>
    <cellStyle name="Cálculo 2 7 2 4 2" xfId="12421"/>
    <cellStyle name="Cálculo 2 7 2 4 2 2" xfId="26743"/>
    <cellStyle name="Cálculo 2 7 2 4 3" xfId="18066"/>
    <cellStyle name="Cálculo 2 7 2 5" xfId="6279"/>
    <cellStyle name="Cálculo 2 7 2 5 2" xfId="23488"/>
    <cellStyle name="Cálculo 2 7 2 6" xfId="15297"/>
    <cellStyle name="Cálculo 2 7 3" xfId="359"/>
    <cellStyle name="Cálculo 2 7 3 2" xfId="6873"/>
    <cellStyle name="Cálculo 2 7 3 2 2" xfId="13477"/>
    <cellStyle name="Cálculo 2 7 3 2 2 2" xfId="27799"/>
    <cellStyle name="Cálculo 2 7 3 2 3" xfId="19122"/>
    <cellStyle name="Cálculo 2 7 3 3" xfId="7776"/>
    <cellStyle name="Cálculo 2 7 3 3 2" xfId="10390"/>
    <cellStyle name="Cálculo 2 7 3 3 2 2" xfId="16652"/>
    <cellStyle name="Cálculo 2 7 3 3 2 2 2" xfId="30068"/>
    <cellStyle name="Cálculo 2 7 3 3 2 3" xfId="21397"/>
    <cellStyle name="Cálculo 2 7 3 3 3" xfId="14380"/>
    <cellStyle name="Cálculo 2 7 3 3 3 2" xfId="28702"/>
    <cellStyle name="Cálculo 2 7 3 3 4" xfId="20025"/>
    <cellStyle name="Cálculo 2 7 3 4" xfId="11340"/>
    <cellStyle name="Cálculo 2 7 3 4 2" xfId="25662"/>
    <cellStyle name="Cálculo 2 7 3 5" xfId="6284"/>
    <cellStyle name="Cálculo 2 7 4" xfId="360"/>
    <cellStyle name="Cálculo 2 7 4 2" xfId="5007"/>
    <cellStyle name="Cálculo 2 7 4 2 2" xfId="9539"/>
    <cellStyle name="Cálculo 2 7 4 2 2 2" xfId="15801"/>
    <cellStyle name="Cálculo 2 7 4 2 2 2 2" xfId="29217"/>
    <cellStyle name="Cálculo 2 7 4 2 2 3" xfId="20546"/>
    <cellStyle name="Cálculo 2 7 4 2 3" xfId="11552"/>
    <cellStyle name="Cálculo 2 7 4 2 3 2" xfId="25874"/>
    <cellStyle name="Cálculo 2 7 4 2 4" xfId="17177"/>
    <cellStyle name="Cálculo 2 7 4 3" xfId="12700"/>
    <cellStyle name="Cálculo 2 7 4 3 2" xfId="27022"/>
    <cellStyle name="Cálculo 2 7 4 4" xfId="18345"/>
    <cellStyle name="Cálculo 2 7 5" xfId="5080"/>
    <cellStyle name="Cálculo 2 7 5 2" xfId="11627"/>
    <cellStyle name="Cálculo 2 7 5 2 2" xfId="25949"/>
    <cellStyle name="Cálculo 2 7 5 3" xfId="17349"/>
    <cellStyle name="Cálculo 2 7 6" xfId="4646"/>
    <cellStyle name="Cálculo 2 7 6 2" xfId="23090"/>
    <cellStyle name="Cálculo 2 7 7" xfId="6328"/>
    <cellStyle name="Cálculo 2 8" xfId="361"/>
    <cellStyle name="Cálculo 2 8 2" xfId="362"/>
    <cellStyle name="Cálculo 2 8 2 2" xfId="5969"/>
    <cellStyle name="Cálculo 2 8 2 2 2" xfId="12527"/>
    <cellStyle name="Cálculo 2 8 2 2 2 2" xfId="26849"/>
    <cellStyle name="Cálculo 2 8 2 2 3" xfId="18172"/>
    <cellStyle name="Cálculo 2 8 2 3" xfId="7365"/>
    <cellStyle name="Cálculo 2 8 2 3 2" xfId="9979"/>
    <cellStyle name="Cálculo 2 8 2 3 2 2" xfId="16241"/>
    <cellStyle name="Cálculo 2 8 2 3 2 2 2" xfId="29657"/>
    <cellStyle name="Cálculo 2 8 2 3 2 3" xfId="20986"/>
    <cellStyle name="Cálculo 2 8 2 3 3" xfId="13969"/>
    <cellStyle name="Cálculo 2 8 2 3 3 2" xfId="28291"/>
    <cellStyle name="Cálculo 2 8 2 3 4" xfId="19614"/>
    <cellStyle name="Cálculo 2 8 2 4" xfId="4190"/>
    <cellStyle name="Cálculo 2 8 2 4 2" xfId="22812"/>
    <cellStyle name="Cálculo 2 8 2 5" xfId="17295"/>
    <cellStyle name="Cálculo 2 8 3" xfId="363"/>
    <cellStyle name="Cálculo 2 8 3 2" xfId="7729"/>
    <cellStyle name="Cálculo 2 8 3 2 2" xfId="10343"/>
    <cellStyle name="Cálculo 2 8 3 2 2 2" xfId="16605"/>
    <cellStyle name="Cálculo 2 8 3 2 2 2 2" xfId="30021"/>
    <cellStyle name="Cálculo 2 8 3 2 2 3" xfId="21350"/>
    <cellStyle name="Cálculo 2 8 3 2 3" xfId="14333"/>
    <cellStyle name="Cálculo 2 8 3 2 3 2" xfId="28655"/>
    <cellStyle name="Cálculo 2 8 3 2 4" xfId="19978"/>
    <cellStyle name="Cálculo 2 8 3 3" xfId="13192"/>
    <cellStyle name="Cálculo 2 8 3 3 2" xfId="27514"/>
    <cellStyle name="Cálculo 2 8 3 4" xfId="18837"/>
    <cellStyle name="Cálculo 2 8 4" xfId="5629"/>
    <cellStyle name="Cálculo 2 8 4 2" xfId="12182"/>
    <cellStyle name="Cálculo 2 8 4 2 2" xfId="26504"/>
    <cellStyle name="Cálculo 2 8 4 3" xfId="17827"/>
    <cellStyle name="Cálculo 2 8 5" xfId="6766"/>
    <cellStyle name="Cálculo 2 8 5 2" xfId="23712"/>
    <cellStyle name="Cálculo 2 8 6" xfId="17361"/>
    <cellStyle name="Cálculo 2 9" xfId="364"/>
    <cellStyle name="Cálculo 2 9 2" xfId="5106"/>
    <cellStyle name="Cálculo 2 9 2 2" xfId="11653"/>
    <cellStyle name="Cálculo 2 9 2 2 2" xfId="25975"/>
    <cellStyle name="Cálculo 2 9 2 3" xfId="4331"/>
    <cellStyle name="Cálculo 2 9 3" xfId="7557"/>
    <cellStyle name="Cálculo 2 9 3 2" xfId="10171"/>
    <cellStyle name="Cálculo 2 9 3 2 2" xfId="16433"/>
    <cellStyle name="Cálculo 2 9 3 2 2 2" xfId="29849"/>
    <cellStyle name="Cálculo 2 9 3 2 3" xfId="21178"/>
    <cellStyle name="Cálculo 2 9 3 3" xfId="14161"/>
    <cellStyle name="Cálculo 2 9 3 3 2" xfId="28483"/>
    <cellStyle name="Cálculo 2 9 3 4" xfId="19806"/>
    <cellStyle name="Cálculo 2 9 4" xfId="3613"/>
    <cellStyle name="Cálculo 2 9 4 2" xfId="22488"/>
    <cellStyle name="Cálculo 2 9 5" xfId="6337"/>
    <cellStyle name="Cálculo 3" xfId="365"/>
    <cellStyle name="Cálculo 3 2" xfId="6968"/>
    <cellStyle name="Cálculo 3 2 2" xfId="13572"/>
    <cellStyle name="Cálculo 3 2 2 2" xfId="27894"/>
    <cellStyle name="Cálculo 3 2 3" xfId="19217"/>
    <cellStyle name="Cálculo 3 3" xfId="7747"/>
    <cellStyle name="Cálculo 3 3 2" xfId="10361"/>
    <cellStyle name="Cálculo 3 3 2 2" xfId="16623"/>
    <cellStyle name="Cálculo 3 3 2 2 2" xfId="30039"/>
    <cellStyle name="Cálculo 3 3 2 3" xfId="21368"/>
    <cellStyle name="Cálculo 3 3 3" xfId="14351"/>
    <cellStyle name="Cálculo 3 3 3 2" xfId="28673"/>
    <cellStyle name="Cálculo 3 3 4" xfId="19996"/>
    <cellStyle name="Cálculo 3 4" xfId="11473"/>
    <cellStyle name="Cálculo 3 4 2" xfId="25795"/>
    <cellStyle name="Cálculo 3 5" xfId="6253"/>
    <cellStyle name="Cálculo 4" xfId="3851"/>
    <cellStyle name="Cálculo 4 2" xfId="6789"/>
    <cellStyle name="Cálculo 4 2 2" xfId="23733"/>
    <cellStyle name="Cálculo 4 3" xfId="17096"/>
    <cellStyle name="Cálculo 5" xfId="6825"/>
    <cellStyle name="Cálculo 5 2" xfId="23758"/>
    <cellStyle name="Cálculo 6" xfId="15498"/>
    <cellStyle name="Cálculo 7" xfId="21696"/>
    <cellStyle name="Cálculo 8" xfId="21699"/>
    <cellStyle name="Célula Ligada" xfId="366"/>
    <cellStyle name="Check Cell 2" xfId="367"/>
    <cellStyle name="Comma" xfId="1" builtinId="3"/>
    <cellStyle name="Cor1" xfId="368"/>
    <cellStyle name="Cor2" xfId="369"/>
    <cellStyle name="Cor3" xfId="370"/>
    <cellStyle name="Cor4" xfId="371"/>
    <cellStyle name="Cor5" xfId="372"/>
    <cellStyle name="Cor6" xfId="373"/>
    <cellStyle name="Correcto" xfId="374"/>
    <cellStyle name="Entrada" xfId="375"/>
    <cellStyle name="Entrada 2" xfId="376"/>
    <cellStyle name="Entrada 2 10" xfId="377"/>
    <cellStyle name="Entrada 2 10 2" xfId="7229"/>
    <cellStyle name="Entrada 2 10 2 2" xfId="9843"/>
    <cellStyle name="Entrada 2 10 2 2 2" xfId="16105"/>
    <cellStyle name="Entrada 2 10 2 2 2 2" xfId="29521"/>
    <cellStyle name="Entrada 2 10 2 2 3" xfId="20850"/>
    <cellStyle name="Entrada 2 10 2 3" xfId="13833"/>
    <cellStyle name="Entrada 2 10 2 3 2" xfId="28155"/>
    <cellStyle name="Entrada 2 10 2 4" xfId="19478"/>
    <cellStyle name="Entrada 2 10 3" xfId="12119"/>
    <cellStyle name="Entrada 2 10 3 2" xfId="26441"/>
    <cellStyle name="Entrada 2 10 4" xfId="17764"/>
    <cellStyle name="Entrada 2 11" xfId="4936"/>
    <cellStyle name="Entrada 2 11 2" xfId="11474"/>
    <cellStyle name="Entrada 2 11 2 2" xfId="25796"/>
    <cellStyle name="Entrada 2 11 3" xfId="15134"/>
    <cellStyle name="Entrada 2 12" xfId="6502"/>
    <cellStyle name="Entrada 2 12 2" xfId="23572"/>
    <cellStyle name="Entrada 2 13" xfId="14936"/>
    <cellStyle name="Entrada 2 2" xfId="378"/>
    <cellStyle name="Entrada 2 2 10" xfId="5355"/>
    <cellStyle name="Entrada 2 2 10 2" xfId="11905"/>
    <cellStyle name="Entrada 2 2 10 2 2" xfId="26227"/>
    <cellStyle name="Entrada 2 2 10 3" xfId="17550"/>
    <cellStyle name="Entrada 2 2 11" xfId="3985"/>
    <cellStyle name="Entrada 2 2 11 2" xfId="22686"/>
    <cellStyle name="Entrada 2 2 12" xfId="17345"/>
    <cellStyle name="Entrada 2 2 2" xfId="379"/>
    <cellStyle name="Entrada 2 2 2 10" xfId="6053"/>
    <cellStyle name="Entrada 2 2 2 10 2" xfId="23399"/>
    <cellStyle name="Entrada 2 2 2 11" xfId="15525"/>
    <cellStyle name="Entrada 2 2 2 2" xfId="380"/>
    <cellStyle name="Entrada 2 2 2 2 2" xfId="381"/>
    <cellStyle name="Entrada 2 2 2 2 2 2" xfId="382"/>
    <cellStyle name="Entrada 2 2 2 2 2 2 2" xfId="5404"/>
    <cellStyle name="Entrada 2 2 2 2 2 2 2 2" xfId="11954"/>
    <cellStyle name="Entrada 2 2 2 2 2 2 2 2 2" xfId="26276"/>
    <cellStyle name="Entrada 2 2 2 2 2 2 2 3" xfId="17599"/>
    <cellStyle name="Entrada 2 2 2 2 2 2 3" xfId="7264"/>
    <cellStyle name="Entrada 2 2 2 2 2 2 3 2" xfId="9878"/>
    <cellStyle name="Entrada 2 2 2 2 2 2 3 2 2" xfId="16140"/>
    <cellStyle name="Entrada 2 2 2 2 2 2 3 2 2 2" xfId="29556"/>
    <cellStyle name="Entrada 2 2 2 2 2 2 3 2 3" xfId="20885"/>
    <cellStyle name="Entrada 2 2 2 2 2 2 3 3" xfId="13868"/>
    <cellStyle name="Entrada 2 2 2 2 2 2 3 3 2" xfId="28190"/>
    <cellStyle name="Entrada 2 2 2 2 2 2 3 4" xfId="19513"/>
    <cellStyle name="Entrada 2 2 2 2 2 2 4" xfId="6659"/>
    <cellStyle name="Entrada 2 2 2 2 2 2 4 2" xfId="23635"/>
    <cellStyle name="Entrada 2 2 2 2 2 2 5" xfId="17152"/>
    <cellStyle name="Entrada 2 2 2 2 2 3" xfId="383"/>
    <cellStyle name="Entrada 2 2 2 2 2 3 2" xfId="4080"/>
    <cellStyle name="Entrada 2 2 2 2 2 3 2 2" xfId="9419"/>
    <cellStyle name="Entrada 2 2 2 2 2 3 2 2 2" xfId="15681"/>
    <cellStyle name="Entrada 2 2 2 2 2 3 2 2 2 2" xfId="29097"/>
    <cellStyle name="Entrada 2 2 2 2 2 3 2 2 3" xfId="20426"/>
    <cellStyle name="Entrada 2 2 2 2 2 3 2 3" xfId="3815"/>
    <cellStyle name="Entrada 2 2 2 2 2 3 2 3 2" xfId="22596"/>
    <cellStyle name="Entrada 2 2 2 2 2 3 2 4" xfId="15423"/>
    <cellStyle name="Entrada 2 2 2 2 2 3 3" xfId="13318"/>
    <cellStyle name="Entrada 2 2 2 2 2 3 3 2" xfId="27640"/>
    <cellStyle name="Entrada 2 2 2 2 2 3 4" xfId="18963"/>
    <cellStyle name="Entrada 2 2 2 2 2 4" xfId="5768"/>
    <cellStyle name="Entrada 2 2 2 2 2 4 2" xfId="12321"/>
    <cellStyle name="Entrada 2 2 2 2 2 4 2 2" xfId="26643"/>
    <cellStyle name="Entrada 2 2 2 2 2 4 3" xfId="17966"/>
    <cellStyle name="Entrada 2 2 2 2 2 5" xfId="4751"/>
    <cellStyle name="Entrada 2 2 2 2 2 5 2" xfId="23169"/>
    <cellStyle name="Entrada 2 2 2 2 2 6" xfId="15331"/>
    <cellStyle name="Entrada 2 2 2 2 3" xfId="384"/>
    <cellStyle name="Entrada 2 2 2 2 3 2" xfId="385"/>
    <cellStyle name="Entrada 2 2 2 2 3 2 2" xfId="6916"/>
    <cellStyle name="Entrada 2 2 2 2 3 2 2 2" xfId="13520"/>
    <cellStyle name="Entrada 2 2 2 2 3 2 2 2 2" xfId="27842"/>
    <cellStyle name="Entrada 2 2 2 2 3 2 2 3" xfId="19165"/>
    <cellStyle name="Entrada 2 2 2 2 3 2 3" xfId="7940"/>
    <cellStyle name="Entrada 2 2 2 2 3 2 3 2" xfId="10554"/>
    <cellStyle name="Entrada 2 2 2 2 3 2 3 2 2" xfId="16816"/>
    <cellStyle name="Entrada 2 2 2 2 3 2 3 2 2 2" xfId="30232"/>
    <cellStyle name="Entrada 2 2 2 2 3 2 3 2 3" xfId="21561"/>
    <cellStyle name="Entrada 2 2 2 2 3 2 3 3" xfId="14544"/>
    <cellStyle name="Entrada 2 2 2 2 3 2 3 3 2" xfId="28866"/>
    <cellStyle name="Entrada 2 2 2 2 3 2 3 4" xfId="20189"/>
    <cellStyle name="Entrada 2 2 2 2 3 2 4" xfId="11402"/>
    <cellStyle name="Entrada 2 2 2 2 3 2 4 2" xfId="25724"/>
    <cellStyle name="Entrada 2 2 2 2 3 2 5" xfId="15054"/>
    <cellStyle name="Entrada 2 2 2 2 3 3" xfId="386"/>
    <cellStyle name="Entrada 2 2 2 2 3 3 2" xfId="7178"/>
    <cellStyle name="Entrada 2 2 2 2 3 3 2 2" xfId="9792"/>
    <cellStyle name="Entrada 2 2 2 2 3 3 2 2 2" xfId="16054"/>
    <cellStyle name="Entrada 2 2 2 2 3 3 2 2 2 2" xfId="29470"/>
    <cellStyle name="Entrada 2 2 2 2 3 3 2 2 3" xfId="20799"/>
    <cellStyle name="Entrada 2 2 2 2 3 3 2 3" xfId="13782"/>
    <cellStyle name="Entrada 2 2 2 2 3 3 2 3 2" xfId="28104"/>
    <cellStyle name="Entrada 2 2 2 2 3 3 2 4" xfId="19427"/>
    <cellStyle name="Entrada 2 2 2 2 3 3 3" xfId="13421"/>
    <cellStyle name="Entrada 2 2 2 2 3 3 3 2" xfId="27743"/>
    <cellStyle name="Entrada 2 2 2 2 3 3 4" xfId="19066"/>
    <cellStyle name="Entrada 2 2 2 2 3 4" xfId="5894"/>
    <cellStyle name="Entrada 2 2 2 2 3 4 2" xfId="12447"/>
    <cellStyle name="Entrada 2 2 2 2 3 4 2 2" xfId="26769"/>
    <cellStyle name="Entrada 2 2 2 2 3 4 3" xfId="18092"/>
    <cellStyle name="Entrada 2 2 2 2 3 5" xfId="5603"/>
    <cellStyle name="Entrada 2 2 2 2 3 5 2" xfId="23356"/>
    <cellStyle name="Entrada 2 2 2 2 3 6" xfId="17220"/>
    <cellStyle name="Entrada 2 2 2 2 4" xfId="387"/>
    <cellStyle name="Entrada 2 2 2 2 4 2" xfId="6971"/>
    <cellStyle name="Entrada 2 2 2 2 4 2 2" xfId="13575"/>
    <cellStyle name="Entrada 2 2 2 2 4 2 2 2" xfId="27897"/>
    <cellStyle name="Entrada 2 2 2 2 4 2 3" xfId="19220"/>
    <cellStyle name="Entrada 2 2 2 2 4 3" xfId="7302"/>
    <cellStyle name="Entrada 2 2 2 2 4 3 2" xfId="9916"/>
    <cellStyle name="Entrada 2 2 2 2 4 3 2 2" xfId="16178"/>
    <cellStyle name="Entrada 2 2 2 2 4 3 2 2 2" xfId="29594"/>
    <cellStyle name="Entrada 2 2 2 2 4 3 2 3" xfId="20923"/>
    <cellStyle name="Entrada 2 2 2 2 4 3 3" xfId="13906"/>
    <cellStyle name="Entrada 2 2 2 2 4 3 3 2" xfId="28228"/>
    <cellStyle name="Entrada 2 2 2 2 4 3 4" xfId="19551"/>
    <cellStyle name="Entrada 2 2 2 2 4 4" xfId="11478"/>
    <cellStyle name="Entrada 2 2 2 2 4 4 2" xfId="25800"/>
    <cellStyle name="Entrada 2 2 2 2 4 5" xfId="16997"/>
    <cellStyle name="Entrada 2 2 2 2 5" xfId="388"/>
    <cellStyle name="Entrada 2 2 2 2 5 2" xfId="5029"/>
    <cellStyle name="Entrada 2 2 2 2 5 2 2" xfId="9548"/>
    <cellStyle name="Entrada 2 2 2 2 5 2 2 2" xfId="15810"/>
    <cellStyle name="Entrada 2 2 2 2 5 2 2 2 2" xfId="29226"/>
    <cellStyle name="Entrada 2 2 2 2 5 2 2 3" xfId="20555"/>
    <cellStyle name="Entrada 2 2 2 2 5 2 3" xfId="11576"/>
    <cellStyle name="Entrada 2 2 2 2 5 2 3 2" xfId="25898"/>
    <cellStyle name="Entrada 2 2 2 2 5 2 4" xfId="15362"/>
    <cellStyle name="Entrada 2 2 2 2 5 3" xfId="12894"/>
    <cellStyle name="Entrada 2 2 2 2 5 3 2" xfId="27216"/>
    <cellStyle name="Entrada 2 2 2 2 5 4" xfId="18539"/>
    <cellStyle name="Entrada 2 2 2 2 6" xfId="5512"/>
    <cellStyle name="Entrada 2 2 2 2 6 2" xfId="12063"/>
    <cellStyle name="Entrada 2 2 2 2 6 2 2" xfId="26385"/>
    <cellStyle name="Entrada 2 2 2 2 6 3" xfId="17708"/>
    <cellStyle name="Entrada 2 2 2 2 7" xfId="3605"/>
    <cellStyle name="Entrada 2 2 2 2 7 2" xfId="22484"/>
    <cellStyle name="Entrada 2 2 2 2 8" xfId="17392"/>
    <cellStyle name="Entrada 2 2 2 3" xfId="389"/>
    <cellStyle name="Entrada 2 2 2 3 2" xfId="390"/>
    <cellStyle name="Entrada 2 2 2 3 2 2" xfId="391"/>
    <cellStyle name="Entrada 2 2 2 3 2 2 2" xfId="6086"/>
    <cellStyle name="Entrada 2 2 2 3 2 2 2 2" xfId="12652"/>
    <cellStyle name="Entrada 2 2 2 3 2 2 2 2 2" xfId="26974"/>
    <cellStyle name="Entrada 2 2 2 3 2 2 2 3" xfId="18297"/>
    <cellStyle name="Entrada 2 2 2 3 2 2 3" xfId="7789"/>
    <cellStyle name="Entrada 2 2 2 3 2 2 3 2" xfId="10403"/>
    <cellStyle name="Entrada 2 2 2 3 2 2 3 2 2" xfId="16665"/>
    <cellStyle name="Entrada 2 2 2 3 2 2 3 2 2 2" xfId="30081"/>
    <cellStyle name="Entrada 2 2 2 3 2 2 3 2 3" xfId="21410"/>
    <cellStyle name="Entrada 2 2 2 3 2 2 3 3" xfId="14393"/>
    <cellStyle name="Entrada 2 2 2 3 2 2 3 3 2" xfId="28715"/>
    <cellStyle name="Entrada 2 2 2 3 2 2 3 4" xfId="20038"/>
    <cellStyle name="Entrada 2 2 2 3 2 2 4" xfId="6338"/>
    <cellStyle name="Entrada 2 2 2 3 2 2 4 2" xfId="23525"/>
    <cellStyle name="Entrada 2 2 2 3 2 2 5" xfId="4869"/>
    <cellStyle name="Entrada 2 2 2 3 2 3" xfId="392"/>
    <cellStyle name="Entrada 2 2 2 3 2 3 2" xfId="7618"/>
    <cellStyle name="Entrada 2 2 2 3 2 3 2 2" xfId="10232"/>
    <cellStyle name="Entrada 2 2 2 3 2 3 2 2 2" xfId="16494"/>
    <cellStyle name="Entrada 2 2 2 3 2 3 2 2 2 2" xfId="29910"/>
    <cellStyle name="Entrada 2 2 2 3 2 3 2 2 3" xfId="21239"/>
    <cellStyle name="Entrada 2 2 2 3 2 3 2 3" xfId="14222"/>
    <cellStyle name="Entrada 2 2 2 3 2 3 2 3 2" xfId="28544"/>
    <cellStyle name="Entrada 2 2 2 3 2 3 2 4" xfId="19867"/>
    <cellStyle name="Entrada 2 2 2 3 2 3 3" xfId="13354"/>
    <cellStyle name="Entrada 2 2 2 3 2 3 3 2" xfId="27676"/>
    <cellStyle name="Entrada 2 2 2 3 2 3 4" xfId="18999"/>
    <cellStyle name="Entrada 2 2 2 3 2 4" xfId="5804"/>
    <cellStyle name="Entrada 2 2 2 3 2 4 2" xfId="12357"/>
    <cellStyle name="Entrada 2 2 2 3 2 4 2 2" xfId="26679"/>
    <cellStyle name="Entrada 2 2 2 3 2 4 3" xfId="18002"/>
    <cellStyle name="Entrada 2 2 2 3 2 5" xfId="5418"/>
    <cellStyle name="Entrada 2 2 2 3 2 5 2" xfId="23345"/>
    <cellStyle name="Entrada 2 2 2 3 2 6" xfId="17033"/>
    <cellStyle name="Entrada 2 2 2 3 3" xfId="393"/>
    <cellStyle name="Entrada 2 2 2 3 3 2" xfId="394"/>
    <cellStyle name="Entrada 2 2 2 3 3 2 2" xfId="6114"/>
    <cellStyle name="Entrada 2 2 2 3 3 2 2 2" xfId="12682"/>
    <cellStyle name="Entrada 2 2 2 3 3 2 2 2 2" xfId="27004"/>
    <cellStyle name="Entrada 2 2 2 3 3 2 2 3" xfId="18327"/>
    <cellStyle name="Entrada 2 2 2 3 3 2 3" xfId="7064"/>
    <cellStyle name="Entrada 2 2 2 3 3 2 3 2" xfId="9678"/>
    <cellStyle name="Entrada 2 2 2 3 3 2 3 2 2" xfId="15940"/>
    <cellStyle name="Entrada 2 2 2 3 3 2 3 2 2 2" xfId="29356"/>
    <cellStyle name="Entrada 2 2 2 3 3 2 3 2 3" xfId="20685"/>
    <cellStyle name="Entrada 2 2 2 3 3 2 3 3" xfId="13668"/>
    <cellStyle name="Entrada 2 2 2 3 3 2 3 3 2" xfId="27990"/>
    <cellStyle name="Entrada 2 2 2 3 3 2 3 4" xfId="19313"/>
    <cellStyle name="Entrada 2 2 2 3 3 2 4" xfId="6642"/>
    <cellStyle name="Entrada 2 2 2 3 3 2 4 2" xfId="23622"/>
    <cellStyle name="Entrada 2 2 2 3 3 2 5" xfId="4297"/>
    <cellStyle name="Entrada 2 2 2 3 3 3" xfId="395"/>
    <cellStyle name="Entrada 2 2 2 3 3 3 2" xfId="8054"/>
    <cellStyle name="Entrada 2 2 2 3 3 3 2 2" xfId="10668"/>
    <cellStyle name="Entrada 2 2 2 3 3 3 2 2 2" xfId="16930"/>
    <cellStyle name="Entrada 2 2 2 3 3 3 2 2 2 2" xfId="30346"/>
    <cellStyle name="Entrada 2 2 2 3 3 3 2 2 3" xfId="21675"/>
    <cellStyle name="Entrada 2 2 2 3 3 3 2 3" xfId="14658"/>
    <cellStyle name="Entrada 2 2 2 3 3 3 2 3 2" xfId="28980"/>
    <cellStyle name="Entrada 2 2 2 3 3 3 2 4" xfId="20303"/>
    <cellStyle name="Entrada 2 2 2 3 3 3 3" xfId="13375"/>
    <cellStyle name="Entrada 2 2 2 3 3 3 3 2" xfId="27697"/>
    <cellStyle name="Entrada 2 2 2 3 3 3 4" xfId="19020"/>
    <cellStyle name="Entrada 2 2 2 3 3 4" xfId="5827"/>
    <cellStyle name="Entrada 2 2 2 3 3 4 2" xfId="12380"/>
    <cellStyle name="Entrada 2 2 2 3 3 4 2 2" xfId="26702"/>
    <cellStyle name="Entrada 2 2 2 3 3 4 3" xfId="18025"/>
    <cellStyle name="Entrada 2 2 2 3 3 5" xfId="4803"/>
    <cellStyle name="Entrada 2 2 2 3 3 5 2" xfId="23196"/>
    <cellStyle name="Entrada 2 2 2 3 3 6" xfId="6656"/>
    <cellStyle name="Entrada 2 2 2 3 4" xfId="396"/>
    <cellStyle name="Entrada 2 2 2 3 4 2" xfId="6085"/>
    <cellStyle name="Entrada 2 2 2 3 4 2 2" xfId="12651"/>
    <cellStyle name="Entrada 2 2 2 3 4 2 2 2" xfId="26973"/>
    <cellStyle name="Entrada 2 2 2 3 4 2 3" xfId="18296"/>
    <cellStyle name="Entrada 2 2 2 3 4 3" xfId="7253"/>
    <cellStyle name="Entrada 2 2 2 3 4 3 2" xfId="9867"/>
    <cellStyle name="Entrada 2 2 2 3 4 3 2 2" xfId="16129"/>
    <cellStyle name="Entrada 2 2 2 3 4 3 2 2 2" xfId="29545"/>
    <cellStyle name="Entrada 2 2 2 3 4 3 2 3" xfId="20874"/>
    <cellStyle name="Entrada 2 2 2 3 4 3 3" xfId="13857"/>
    <cellStyle name="Entrada 2 2 2 3 4 3 3 2" xfId="28179"/>
    <cellStyle name="Entrada 2 2 2 3 4 3 4" xfId="19502"/>
    <cellStyle name="Entrada 2 2 2 3 4 4" xfId="4538"/>
    <cellStyle name="Entrada 2 2 2 3 4 4 2" xfId="23018"/>
    <cellStyle name="Entrada 2 2 2 3 4 5" xfId="17348"/>
    <cellStyle name="Entrada 2 2 2 3 5" xfId="397"/>
    <cellStyle name="Entrada 2 2 2 3 5 2" xfId="7091"/>
    <cellStyle name="Entrada 2 2 2 3 5 2 2" xfId="9705"/>
    <cellStyle name="Entrada 2 2 2 3 5 2 2 2" xfId="15967"/>
    <cellStyle name="Entrada 2 2 2 3 5 2 2 2 2" xfId="29383"/>
    <cellStyle name="Entrada 2 2 2 3 5 2 2 3" xfId="20712"/>
    <cellStyle name="Entrada 2 2 2 3 5 2 3" xfId="13695"/>
    <cellStyle name="Entrada 2 2 2 3 5 2 3 2" xfId="28017"/>
    <cellStyle name="Entrada 2 2 2 3 5 2 4" xfId="19340"/>
    <cellStyle name="Entrada 2 2 2 3 5 3" xfId="12930"/>
    <cellStyle name="Entrada 2 2 2 3 5 3 2" xfId="27252"/>
    <cellStyle name="Entrada 2 2 2 3 5 4" xfId="18575"/>
    <cellStyle name="Entrada 2 2 2 3 6" xfId="5554"/>
    <cellStyle name="Entrada 2 2 2 3 6 2" xfId="12105"/>
    <cellStyle name="Entrada 2 2 2 3 6 2 2" xfId="26427"/>
    <cellStyle name="Entrada 2 2 2 3 6 3" xfId="17750"/>
    <cellStyle name="Entrada 2 2 2 3 7" xfId="6668"/>
    <cellStyle name="Entrada 2 2 2 3 7 2" xfId="23640"/>
    <cellStyle name="Entrada 2 2 2 3 8" xfId="15007"/>
    <cellStyle name="Entrada 2 2 2 4" xfId="398"/>
    <cellStyle name="Entrada 2 2 2 4 2" xfId="399"/>
    <cellStyle name="Entrada 2 2 2 4 2 2" xfId="400"/>
    <cellStyle name="Entrada 2 2 2 4 2 2 2" xfId="6009"/>
    <cellStyle name="Entrada 2 2 2 4 2 2 2 2" xfId="12568"/>
    <cellStyle name="Entrada 2 2 2 4 2 2 2 2 2" xfId="26890"/>
    <cellStyle name="Entrada 2 2 2 4 2 2 2 3" xfId="18213"/>
    <cellStyle name="Entrada 2 2 2 4 2 2 3" xfId="7396"/>
    <cellStyle name="Entrada 2 2 2 4 2 2 3 2" xfId="10010"/>
    <cellStyle name="Entrada 2 2 2 4 2 2 3 2 2" xfId="16272"/>
    <cellStyle name="Entrada 2 2 2 4 2 2 3 2 2 2" xfId="29688"/>
    <cellStyle name="Entrada 2 2 2 4 2 2 3 2 3" xfId="21017"/>
    <cellStyle name="Entrada 2 2 2 4 2 2 3 3" xfId="14000"/>
    <cellStyle name="Entrada 2 2 2 4 2 2 3 3 2" xfId="28322"/>
    <cellStyle name="Entrada 2 2 2 4 2 2 3 4" xfId="19645"/>
    <cellStyle name="Entrada 2 2 2 4 2 2 4" xfId="3466"/>
    <cellStyle name="Entrada 2 2 2 4 2 2 4 2" xfId="22470"/>
    <cellStyle name="Entrada 2 2 2 4 2 2 5" xfId="5610"/>
    <cellStyle name="Entrada 2 2 2 4 2 3" xfId="401"/>
    <cellStyle name="Entrada 2 2 2 4 2 3 2" xfId="5271"/>
    <cellStyle name="Entrada 2 2 2 4 2 3 2 2" xfId="9580"/>
    <cellStyle name="Entrada 2 2 2 4 2 3 2 2 2" xfId="15842"/>
    <cellStyle name="Entrada 2 2 2 4 2 3 2 2 2 2" xfId="29258"/>
    <cellStyle name="Entrada 2 2 2 4 2 3 2 2 3" xfId="20587"/>
    <cellStyle name="Entrada 2 2 2 4 2 3 2 3" xfId="11821"/>
    <cellStyle name="Entrada 2 2 2 4 2 3 2 3 2" xfId="26143"/>
    <cellStyle name="Entrada 2 2 2 4 2 3 2 4" xfId="17466"/>
    <cellStyle name="Entrada 2 2 2 4 2 3 3" xfId="13164"/>
    <cellStyle name="Entrada 2 2 2 4 2 3 3 2" xfId="27486"/>
    <cellStyle name="Entrada 2 2 2 4 2 3 4" xfId="18809"/>
    <cellStyle name="Entrada 2 2 2 4 2 4" xfId="5578"/>
    <cellStyle name="Entrada 2 2 2 4 2 4 2" xfId="12129"/>
    <cellStyle name="Entrada 2 2 2 4 2 4 2 2" xfId="26451"/>
    <cellStyle name="Entrada 2 2 2 4 2 4 3" xfId="17774"/>
    <cellStyle name="Entrada 2 2 2 4 2 5" xfId="6682"/>
    <cellStyle name="Entrada 2 2 2 4 2 5 2" xfId="23651"/>
    <cellStyle name="Entrada 2 2 2 4 2 6" xfId="17118"/>
    <cellStyle name="Entrada 2 2 2 4 3" xfId="402"/>
    <cellStyle name="Entrada 2 2 2 4 3 2" xfId="403"/>
    <cellStyle name="Entrada 2 2 2 4 3 2 2" xfId="7000"/>
    <cellStyle name="Entrada 2 2 2 4 3 2 2 2" xfId="13604"/>
    <cellStyle name="Entrada 2 2 2 4 3 2 2 2 2" xfId="27926"/>
    <cellStyle name="Entrada 2 2 2 4 3 2 2 3" xfId="19249"/>
    <cellStyle name="Entrada 2 2 2 4 3 2 3" xfId="5274"/>
    <cellStyle name="Entrada 2 2 2 4 3 2 3 2" xfId="9583"/>
    <cellStyle name="Entrada 2 2 2 4 3 2 3 2 2" xfId="15845"/>
    <cellStyle name="Entrada 2 2 2 4 3 2 3 2 2 2" xfId="29261"/>
    <cellStyle name="Entrada 2 2 2 4 3 2 3 2 3" xfId="20590"/>
    <cellStyle name="Entrada 2 2 2 4 3 2 3 3" xfId="11824"/>
    <cellStyle name="Entrada 2 2 2 4 3 2 3 3 2" xfId="26146"/>
    <cellStyle name="Entrada 2 2 2 4 3 2 3 4" xfId="17469"/>
    <cellStyle name="Entrada 2 2 2 4 3 2 4" xfId="11516"/>
    <cellStyle name="Entrada 2 2 2 4 3 2 4 2" xfId="25838"/>
    <cellStyle name="Entrada 2 2 2 4 3 2 5" xfId="2786"/>
    <cellStyle name="Entrada 2 2 2 4 3 3" xfId="404"/>
    <cellStyle name="Entrada 2 2 2 4 3 3 2" xfId="5336"/>
    <cellStyle name="Entrada 2 2 2 4 3 3 2 2" xfId="9645"/>
    <cellStyle name="Entrada 2 2 2 4 3 3 2 2 2" xfId="15907"/>
    <cellStyle name="Entrada 2 2 2 4 3 3 2 2 2 2" xfId="29323"/>
    <cellStyle name="Entrada 2 2 2 4 3 3 2 2 3" xfId="20652"/>
    <cellStyle name="Entrada 2 2 2 4 3 3 2 3" xfId="11886"/>
    <cellStyle name="Entrada 2 2 2 4 3 3 2 3 2" xfId="26208"/>
    <cellStyle name="Entrada 2 2 2 4 3 3 2 4" xfId="17531"/>
    <cellStyle name="Entrada 2 2 2 4 3 3 3" xfId="13063"/>
    <cellStyle name="Entrada 2 2 2 4 3 3 3 2" xfId="27385"/>
    <cellStyle name="Entrada 2 2 2 4 3 3 4" xfId="18708"/>
    <cellStyle name="Entrada 2 2 2 4 3 4" xfId="5399"/>
    <cellStyle name="Entrada 2 2 2 4 3 4 2" xfId="11949"/>
    <cellStyle name="Entrada 2 2 2 4 3 4 2 2" xfId="26271"/>
    <cellStyle name="Entrada 2 2 2 4 3 4 3" xfId="17594"/>
    <cellStyle name="Entrada 2 2 2 4 3 5" xfId="6745"/>
    <cellStyle name="Entrada 2 2 2 4 3 5 2" xfId="23693"/>
    <cellStyle name="Entrada 2 2 2 4 3 6" xfId="3610"/>
    <cellStyle name="Entrada 2 2 2 4 4" xfId="405"/>
    <cellStyle name="Entrada 2 2 2 4 4 2" xfId="6092"/>
    <cellStyle name="Entrada 2 2 2 4 4 2 2" xfId="12659"/>
    <cellStyle name="Entrada 2 2 2 4 4 2 2 2" xfId="26981"/>
    <cellStyle name="Entrada 2 2 2 4 4 2 3" xfId="18304"/>
    <cellStyle name="Entrada 2 2 2 4 4 3" xfId="7756"/>
    <cellStyle name="Entrada 2 2 2 4 4 3 2" xfId="10370"/>
    <cellStyle name="Entrada 2 2 2 4 4 3 2 2" xfId="16632"/>
    <cellStyle name="Entrada 2 2 2 4 4 3 2 2 2" xfId="30048"/>
    <cellStyle name="Entrada 2 2 2 4 4 3 2 3" xfId="21377"/>
    <cellStyle name="Entrada 2 2 2 4 4 3 3" xfId="14360"/>
    <cellStyle name="Entrada 2 2 2 4 4 3 3 2" xfId="28682"/>
    <cellStyle name="Entrada 2 2 2 4 4 3 4" xfId="20005"/>
    <cellStyle name="Entrada 2 2 2 4 4 4" xfId="4213"/>
    <cellStyle name="Entrada 2 2 2 4 4 4 2" xfId="22826"/>
    <cellStyle name="Entrada 2 2 2 4 4 5" xfId="4629"/>
    <cellStyle name="Entrada 2 2 2 4 5" xfId="406"/>
    <cellStyle name="Entrada 2 2 2 4 5 2" xfId="7432"/>
    <cellStyle name="Entrada 2 2 2 4 5 2 2" xfId="10046"/>
    <cellStyle name="Entrada 2 2 2 4 5 2 2 2" xfId="16308"/>
    <cellStyle name="Entrada 2 2 2 4 5 2 2 2 2" xfId="29724"/>
    <cellStyle name="Entrada 2 2 2 4 5 2 2 3" xfId="21053"/>
    <cellStyle name="Entrada 2 2 2 4 5 2 3" xfId="14036"/>
    <cellStyle name="Entrada 2 2 2 4 5 2 3 2" xfId="28358"/>
    <cellStyle name="Entrada 2 2 2 4 5 2 4" xfId="19681"/>
    <cellStyle name="Entrada 2 2 2 4 5 3" xfId="12425"/>
    <cellStyle name="Entrada 2 2 2 4 5 3 2" xfId="26747"/>
    <cellStyle name="Entrada 2 2 2 4 5 4" xfId="18070"/>
    <cellStyle name="Entrada 2 2 2 4 6" xfId="5056"/>
    <cellStyle name="Entrada 2 2 2 4 6 2" xfId="11603"/>
    <cellStyle name="Entrada 2 2 2 4 6 2 2" xfId="25925"/>
    <cellStyle name="Entrada 2 2 2 4 6 3" xfId="15311"/>
    <cellStyle name="Entrada 2 2 2 4 7" xfId="3799"/>
    <cellStyle name="Entrada 2 2 2 4 7 2" xfId="22587"/>
    <cellStyle name="Entrada 2 2 2 4 8" xfId="15040"/>
    <cellStyle name="Entrada 2 2 2 5" xfId="407"/>
    <cellStyle name="Entrada 2 2 2 5 2" xfId="408"/>
    <cellStyle name="Entrada 2 2 2 5 2 2" xfId="409"/>
    <cellStyle name="Entrada 2 2 2 5 2 2 2" xfId="6110"/>
    <cellStyle name="Entrada 2 2 2 5 2 2 2 2" xfId="12678"/>
    <cellStyle name="Entrada 2 2 2 5 2 2 2 2 2" xfId="27000"/>
    <cellStyle name="Entrada 2 2 2 5 2 2 2 3" xfId="18323"/>
    <cellStyle name="Entrada 2 2 2 5 2 2 3" xfId="7193"/>
    <cellStyle name="Entrada 2 2 2 5 2 2 3 2" xfId="9807"/>
    <cellStyle name="Entrada 2 2 2 5 2 2 3 2 2" xfId="16069"/>
    <cellStyle name="Entrada 2 2 2 5 2 2 3 2 2 2" xfId="29485"/>
    <cellStyle name="Entrada 2 2 2 5 2 2 3 2 3" xfId="20814"/>
    <cellStyle name="Entrada 2 2 2 5 2 2 3 3" xfId="13797"/>
    <cellStyle name="Entrada 2 2 2 5 2 2 3 3 2" xfId="28119"/>
    <cellStyle name="Entrada 2 2 2 5 2 2 3 4" xfId="19442"/>
    <cellStyle name="Entrada 2 2 2 5 2 2 4" xfId="4780"/>
    <cellStyle name="Entrada 2 2 2 5 2 2 4 2" xfId="23183"/>
    <cellStyle name="Entrada 2 2 2 5 2 2 5" xfId="14687"/>
    <cellStyle name="Entrada 2 2 2 5 2 3" xfId="410"/>
    <cellStyle name="Entrada 2 2 2 5 2 3 2" xfId="4856"/>
    <cellStyle name="Entrada 2 2 2 5 2 3 2 2" xfId="9505"/>
    <cellStyle name="Entrada 2 2 2 5 2 3 2 2 2" xfId="15767"/>
    <cellStyle name="Entrada 2 2 2 5 2 3 2 2 2 2" xfId="29183"/>
    <cellStyle name="Entrada 2 2 2 5 2 3 2 2 3" xfId="20512"/>
    <cellStyle name="Entrada 2 2 2 5 2 3 2 3" xfId="11390"/>
    <cellStyle name="Entrada 2 2 2 5 2 3 2 3 2" xfId="25712"/>
    <cellStyle name="Entrada 2 2 2 5 2 3 2 4" xfId="17001"/>
    <cellStyle name="Entrada 2 2 2 5 2 3 3" xfId="12784"/>
    <cellStyle name="Entrada 2 2 2 5 2 3 3 2" xfId="27106"/>
    <cellStyle name="Entrada 2 2 2 5 2 3 4" xfId="18429"/>
    <cellStyle name="Entrada 2 2 2 5 2 4" xfId="5174"/>
    <cellStyle name="Entrada 2 2 2 5 2 4 2" xfId="11723"/>
    <cellStyle name="Entrada 2 2 2 5 2 4 2 2" xfId="26045"/>
    <cellStyle name="Entrada 2 2 2 5 2 4 3" xfId="4555"/>
    <cellStyle name="Entrada 2 2 2 5 2 5" xfId="4772"/>
    <cellStyle name="Entrada 2 2 2 5 2 5 2" xfId="23180"/>
    <cellStyle name="Entrada 2 2 2 5 2 6" xfId="15093"/>
    <cellStyle name="Entrada 2 2 2 5 3" xfId="411"/>
    <cellStyle name="Entrada 2 2 2 5 3 2" xfId="7020"/>
    <cellStyle name="Entrada 2 2 2 5 3 2 2" xfId="13624"/>
    <cellStyle name="Entrada 2 2 2 5 3 2 2 2" xfId="27946"/>
    <cellStyle name="Entrada 2 2 2 5 3 2 3" xfId="19269"/>
    <cellStyle name="Entrada 2 2 2 5 3 3" xfId="3767"/>
    <cellStyle name="Entrada 2 2 2 5 3 3 2" xfId="9370"/>
    <cellStyle name="Entrada 2 2 2 5 3 3 2 2" xfId="15632"/>
    <cellStyle name="Entrada 2 2 2 5 3 3 2 2 2" xfId="29048"/>
    <cellStyle name="Entrada 2 2 2 5 3 3 2 3" xfId="20377"/>
    <cellStyle name="Entrada 2 2 2 5 3 3 3" xfId="4461"/>
    <cellStyle name="Entrada 2 2 2 5 3 3 3 2" xfId="22964"/>
    <cellStyle name="Entrada 2 2 2 5 3 3 4" xfId="17316"/>
    <cellStyle name="Entrada 2 2 2 5 3 4" xfId="11550"/>
    <cellStyle name="Entrada 2 2 2 5 3 4 2" xfId="25872"/>
    <cellStyle name="Entrada 2 2 2 5 3 5" xfId="6010"/>
    <cellStyle name="Entrada 2 2 2 5 4" xfId="412"/>
    <cellStyle name="Entrada 2 2 2 5 4 2" xfId="4850"/>
    <cellStyle name="Entrada 2 2 2 5 4 2 2" xfId="9502"/>
    <cellStyle name="Entrada 2 2 2 5 4 2 2 2" xfId="15764"/>
    <cellStyle name="Entrada 2 2 2 5 4 2 2 2 2" xfId="29180"/>
    <cellStyle name="Entrada 2 2 2 5 4 2 2 3" xfId="20509"/>
    <cellStyle name="Entrada 2 2 2 5 4 2 3" xfId="11383"/>
    <cellStyle name="Entrada 2 2 2 5 4 2 3 2" xfId="25705"/>
    <cellStyle name="Entrada 2 2 2 5 4 2 4" xfId="6083"/>
    <cellStyle name="Entrada 2 2 2 5 4 3" xfId="12571"/>
    <cellStyle name="Entrada 2 2 2 5 4 3 2" xfId="26893"/>
    <cellStyle name="Entrada 2 2 2 5 4 4" xfId="18216"/>
    <cellStyle name="Entrada 2 2 2 5 5" xfId="5205"/>
    <cellStyle name="Entrada 2 2 2 5 5 2" xfId="11754"/>
    <cellStyle name="Entrada 2 2 2 5 5 2 2" xfId="26076"/>
    <cellStyle name="Entrada 2 2 2 5 5 3" xfId="4242"/>
    <cellStyle name="Entrada 2 2 2 5 6" xfId="4644"/>
    <cellStyle name="Entrada 2 2 2 5 6 2" xfId="23088"/>
    <cellStyle name="Entrada 2 2 2 5 7" xfId="3884"/>
    <cellStyle name="Entrada 2 2 2 6" xfId="413"/>
    <cellStyle name="Entrada 2 2 2 6 2" xfId="414"/>
    <cellStyle name="Entrada 2 2 2 6 2 2" xfId="5609"/>
    <cellStyle name="Entrada 2 2 2 6 2 2 2" xfId="12161"/>
    <cellStyle name="Entrada 2 2 2 6 2 2 2 2" xfId="26483"/>
    <cellStyle name="Entrada 2 2 2 6 2 2 3" xfId="17806"/>
    <cellStyle name="Entrada 2 2 2 6 2 3" xfId="7143"/>
    <cellStyle name="Entrada 2 2 2 6 2 3 2" xfId="9757"/>
    <cellStyle name="Entrada 2 2 2 6 2 3 2 2" xfId="16019"/>
    <cellStyle name="Entrada 2 2 2 6 2 3 2 2 2" xfId="29435"/>
    <cellStyle name="Entrada 2 2 2 6 2 3 2 3" xfId="20764"/>
    <cellStyle name="Entrada 2 2 2 6 2 3 3" xfId="13747"/>
    <cellStyle name="Entrada 2 2 2 6 2 3 3 2" xfId="28069"/>
    <cellStyle name="Entrada 2 2 2 6 2 3 4" xfId="19392"/>
    <cellStyle name="Entrada 2 2 2 6 2 4" xfId="4753"/>
    <cellStyle name="Entrada 2 2 2 6 2 4 2" xfId="23170"/>
    <cellStyle name="Entrada 2 2 2 6 2 5" xfId="17131"/>
    <cellStyle name="Entrada 2 2 2 6 3" xfId="415"/>
    <cellStyle name="Entrada 2 2 2 6 3 2" xfId="7646"/>
    <cellStyle name="Entrada 2 2 2 6 3 2 2" xfId="10260"/>
    <cellStyle name="Entrada 2 2 2 6 3 2 2 2" xfId="16522"/>
    <cellStyle name="Entrada 2 2 2 6 3 2 2 2 2" xfId="29938"/>
    <cellStyle name="Entrada 2 2 2 6 3 2 2 3" xfId="21267"/>
    <cellStyle name="Entrada 2 2 2 6 3 2 3" xfId="14250"/>
    <cellStyle name="Entrada 2 2 2 6 3 2 3 2" xfId="28572"/>
    <cellStyle name="Entrada 2 2 2 6 3 2 4" xfId="19895"/>
    <cellStyle name="Entrada 2 2 2 6 3 3" xfId="13064"/>
    <cellStyle name="Entrada 2 2 2 6 3 3 2" xfId="27386"/>
    <cellStyle name="Entrada 2 2 2 6 3 4" xfId="18709"/>
    <cellStyle name="Entrada 2 2 2 6 4" xfId="5400"/>
    <cellStyle name="Entrada 2 2 2 6 4 2" xfId="11950"/>
    <cellStyle name="Entrada 2 2 2 6 4 2 2" xfId="26272"/>
    <cellStyle name="Entrada 2 2 2 6 4 3" xfId="17595"/>
    <cellStyle name="Entrada 2 2 2 6 5" xfId="3966"/>
    <cellStyle name="Entrada 2 2 2 6 5 2" xfId="22673"/>
    <cellStyle name="Entrada 2 2 2 6 6" xfId="5481"/>
    <cellStyle name="Entrada 2 2 2 7" xfId="416"/>
    <cellStyle name="Entrada 2 2 2 7 2" xfId="6384"/>
    <cellStyle name="Entrada 2 2 2 7 2 2" xfId="12967"/>
    <cellStyle name="Entrada 2 2 2 7 2 2 2" xfId="27289"/>
    <cellStyle name="Entrada 2 2 2 7 2 3" xfId="18612"/>
    <cellStyle name="Entrada 2 2 2 7 3" xfId="7294"/>
    <cellStyle name="Entrada 2 2 2 7 3 2" xfId="9908"/>
    <cellStyle name="Entrada 2 2 2 7 3 2 2" xfId="16170"/>
    <cellStyle name="Entrada 2 2 2 7 3 2 2 2" xfId="29586"/>
    <cellStyle name="Entrada 2 2 2 7 3 2 3" xfId="20915"/>
    <cellStyle name="Entrada 2 2 2 7 3 3" xfId="13898"/>
    <cellStyle name="Entrada 2 2 2 7 3 3 2" xfId="28220"/>
    <cellStyle name="Entrada 2 2 2 7 3 4" xfId="19543"/>
    <cellStyle name="Entrada 2 2 2 7 4" xfId="4339"/>
    <cellStyle name="Entrada 2 2 2 7 4 2" xfId="22896"/>
    <cellStyle name="Entrada 2 2 2 7 5" xfId="14768"/>
    <cellStyle name="Entrada 2 2 2 8" xfId="417"/>
    <cellStyle name="Entrada 2 2 2 8 2" xfId="7101"/>
    <cellStyle name="Entrada 2 2 2 8 2 2" xfId="9715"/>
    <cellStyle name="Entrada 2 2 2 8 2 2 2" xfId="15977"/>
    <cellStyle name="Entrada 2 2 2 8 2 2 2 2" xfId="29393"/>
    <cellStyle name="Entrada 2 2 2 8 2 2 3" xfId="20722"/>
    <cellStyle name="Entrada 2 2 2 8 2 3" xfId="13705"/>
    <cellStyle name="Entrada 2 2 2 8 2 3 2" xfId="28027"/>
    <cellStyle name="Entrada 2 2 2 8 2 4" xfId="19350"/>
    <cellStyle name="Entrada 2 2 2 8 3" xfId="12758"/>
    <cellStyle name="Entrada 2 2 2 8 3 2" xfId="27080"/>
    <cellStyle name="Entrada 2 2 2 8 4" xfId="18403"/>
    <cellStyle name="Entrada 2 2 2 9" xfId="5469"/>
    <cellStyle name="Entrada 2 2 2 9 2" xfId="12020"/>
    <cellStyle name="Entrada 2 2 2 9 2 2" xfId="26342"/>
    <cellStyle name="Entrada 2 2 2 9 3" xfId="17665"/>
    <cellStyle name="Entrada 2 2 3" xfId="418"/>
    <cellStyle name="Entrada 2 2 3 2" xfId="419"/>
    <cellStyle name="Entrada 2 2 3 2 2" xfId="420"/>
    <cellStyle name="Entrada 2 2 3 2 2 2" xfId="5728"/>
    <cellStyle name="Entrada 2 2 3 2 2 2 2" xfId="12281"/>
    <cellStyle name="Entrada 2 2 3 2 2 2 2 2" xfId="26603"/>
    <cellStyle name="Entrada 2 2 3 2 2 2 3" xfId="17926"/>
    <cellStyle name="Entrada 2 2 3 2 2 3" xfId="8057"/>
    <cellStyle name="Entrada 2 2 3 2 2 3 2" xfId="10671"/>
    <cellStyle name="Entrada 2 2 3 2 2 3 2 2" xfId="16933"/>
    <cellStyle name="Entrada 2 2 3 2 2 3 2 2 2" xfId="30349"/>
    <cellStyle name="Entrada 2 2 3 2 2 3 2 3" xfId="21678"/>
    <cellStyle name="Entrada 2 2 3 2 2 3 3" xfId="14661"/>
    <cellStyle name="Entrada 2 2 3 2 2 3 3 2" xfId="28983"/>
    <cellStyle name="Entrada 2 2 3 2 2 3 4" xfId="20306"/>
    <cellStyle name="Entrada 2 2 3 2 2 4" xfId="5975"/>
    <cellStyle name="Entrada 2 2 3 2 2 4 2" xfId="23387"/>
    <cellStyle name="Entrada 2 2 3 2 2 5" xfId="4268"/>
    <cellStyle name="Entrada 2 2 3 2 3" xfId="421"/>
    <cellStyle name="Entrada 2 2 3 2 3 2" xfId="5254"/>
    <cellStyle name="Entrada 2 2 3 2 3 2 2" xfId="9563"/>
    <cellStyle name="Entrada 2 2 3 2 3 2 2 2" xfId="15825"/>
    <cellStyle name="Entrada 2 2 3 2 3 2 2 2 2" xfId="29241"/>
    <cellStyle name="Entrada 2 2 3 2 3 2 2 3" xfId="20570"/>
    <cellStyle name="Entrada 2 2 3 2 3 2 3" xfId="11804"/>
    <cellStyle name="Entrada 2 2 3 2 3 2 3 2" xfId="26126"/>
    <cellStyle name="Entrada 2 2 3 2 3 2 4" xfId="17449"/>
    <cellStyle name="Entrada 2 2 3 2 3 3" xfId="13304"/>
    <cellStyle name="Entrada 2 2 3 2 3 3 2" xfId="27626"/>
    <cellStyle name="Entrada 2 2 3 2 3 4" xfId="18949"/>
    <cellStyle name="Entrada 2 2 3 2 4" xfId="5754"/>
    <cellStyle name="Entrada 2 2 3 2 4 2" xfId="12307"/>
    <cellStyle name="Entrada 2 2 3 2 4 2 2" xfId="26629"/>
    <cellStyle name="Entrada 2 2 3 2 4 3" xfId="17952"/>
    <cellStyle name="Entrada 2 2 3 2 5" xfId="6173"/>
    <cellStyle name="Entrada 2 2 3 2 5 2" xfId="23442"/>
    <cellStyle name="Entrada 2 2 3 2 6" xfId="17109"/>
    <cellStyle name="Entrada 2 2 3 3" xfId="422"/>
    <cellStyle name="Entrada 2 2 3 3 2" xfId="423"/>
    <cellStyle name="Entrada 2 2 3 3 2 2" xfId="6391"/>
    <cellStyle name="Entrada 2 2 3 3 2 2 2" xfId="12974"/>
    <cellStyle name="Entrada 2 2 3 3 2 2 2 2" xfId="27296"/>
    <cellStyle name="Entrada 2 2 3 3 2 2 3" xfId="18619"/>
    <cellStyle name="Entrada 2 2 3 3 2 3" xfId="7777"/>
    <cellStyle name="Entrada 2 2 3 3 2 3 2" xfId="10391"/>
    <cellStyle name="Entrada 2 2 3 3 2 3 2 2" xfId="16653"/>
    <cellStyle name="Entrada 2 2 3 3 2 3 2 2 2" xfId="30069"/>
    <cellStyle name="Entrada 2 2 3 3 2 3 2 3" xfId="21398"/>
    <cellStyle name="Entrada 2 2 3 3 2 3 3" xfId="14381"/>
    <cellStyle name="Entrada 2 2 3 3 2 3 3 2" xfId="28703"/>
    <cellStyle name="Entrada 2 2 3 3 2 3 4" xfId="20026"/>
    <cellStyle name="Entrada 2 2 3 3 2 4" xfId="4305"/>
    <cellStyle name="Entrada 2 2 3 3 2 4 2" xfId="22882"/>
    <cellStyle name="Entrada 2 2 3 3 2 5" xfId="17358"/>
    <cellStyle name="Entrada 2 2 3 3 3" xfId="424"/>
    <cellStyle name="Entrada 2 2 3 3 3 2" xfId="4434"/>
    <cellStyle name="Entrada 2 2 3 3 3 2 2" xfId="9466"/>
    <cellStyle name="Entrada 2 2 3 3 3 2 2 2" xfId="15728"/>
    <cellStyle name="Entrada 2 2 3 3 3 2 2 2 2" xfId="29144"/>
    <cellStyle name="Entrada 2 2 3 3 3 2 2 3" xfId="20473"/>
    <cellStyle name="Entrada 2 2 3 3 3 2 3" xfId="6817"/>
    <cellStyle name="Entrada 2 2 3 3 3 2 3 2" xfId="23753"/>
    <cellStyle name="Entrada 2 2 3 3 3 2 4" xfId="15018"/>
    <cellStyle name="Entrada 2 2 3 3 3 3" xfId="13178"/>
    <cellStyle name="Entrada 2 2 3 3 3 3 2" xfId="27500"/>
    <cellStyle name="Entrada 2 2 3 3 3 4" xfId="18823"/>
    <cellStyle name="Entrada 2 2 3 3 4" xfId="5601"/>
    <cellStyle name="Entrada 2 2 3 3 4 2" xfId="12153"/>
    <cellStyle name="Entrada 2 2 3 3 4 2 2" xfId="26475"/>
    <cellStyle name="Entrada 2 2 3 3 4 3" xfId="17798"/>
    <cellStyle name="Entrada 2 2 3 3 5" xfId="5565"/>
    <cellStyle name="Entrada 2 2 3 3 5 2" xfId="23349"/>
    <cellStyle name="Entrada 2 2 3 3 6" xfId="15181"/>
    <cellStyle name="Entrada 2 2 3 4" xfId="425"/>
    <cellStyle name="Entrada 2 2 3 4 2" xfId="6510"/>
    <cellStyle name="Entrada 2 2 3 4 2 2" xfId="13097"/>
    <cellStyle name="Entrada 2 2 3 4 2 2 2" xfId="27419"/>
    <cellStyle name="Entrada 2 2 3 4 2 3" xfId="18742"/>
    <cellStyle name="Entrada 2 2 3 4 3" xfId="7146"/>
    <cellStyle name="Entrada 2 2 3 4 3 2" xfId="9760"/>
    <cellStyle name="Entrada 2 2 3 4 3 2 2" xfId="16022"/>
    <cellStyle name="Entrada 2 2 3 4 3 2 2 2" xfId="29438"/>
    <cellStyle name="Entrada 2 2 3 4 3 2 3" xfId="20767"/>
    <cellStyle name="Entrada 2 2 3 4 3 3" xfId="13750"/>
    <cellStyle name="Entrada 2 2 3 4 3 3 2" xfId="28072"/>
    <cellStyle name="Entrada 2 2 3 4 3 4" xfId="19395"/>
    <cellStyle name="Entrada 2 2 3 4 4" xfId="6312"/>
    <cellStyle name="Entrada 2 2 3 4 4 2" xfId="23508"/>
    <cellStyle name="Entrada 2 2 3 4 5" xfId="15489"/>
    <cellStyle name="Entrada 2 2 3 5" xfId="426"/>
    <cellStyle name="Entrada 2 2 3 5 2" xfId="7250"/>
    <cellStyle name="Entrada 2 2 3 5 2 2" xfId="9864"/>
    <cellStyle name="Entrada 2 2 3 5 2 2 2" xfId="16126"/>
    <cellStyle name="Entrada 2 2 3 5 2 2 2 2" xfId="29542"/>
    <cellStyle name="Entrada 2 2 3 5 2 2 3" xfId="20871"/>
    <cellStyle name="Entrada 2 2 3 5 2 3" xfId="13854"/>
    <cellStyle name="Entrada 2 2 3 5 2 3 2" xfId="28176"/>
    <cellStyle name="Entrada 2 2 3 5 2 4" xfId="19499"/>
    <cellStyle name="Entrada 2 2 3 5 3" xfId="12880"/>
    <cellStyle name="Entrada 2 2 3 5 3 2" xfId="27202"/>
    <cellStyle name="Entrada 2 2 3 5 4" xfId="18525"/>
    <cellStyle name="Entrada 2 2 3 6" xfId="5498"/>
    <cellStyle name="Entrada 2 2 3 6 2" xfId="12049"/>
    <cellStyle name="Entrada 2 2 3 6 2 2" xfId="26371"/>
    <cellStyle name="Entrada 2 2 3 6 3" xfId="17694"/>
    <cellStyle name="Entrada 2 2 3 7" xfId="6270"/>
    <cellStyle name="Entrada 2 2 3 7 2" xfId="23485"/>
    <cellStyle name="Entrada 2 2 3 8" xfId="15043"/>
    <cellStyle name="Entrada 2 2 4" xfId="427"/>
    <cellStyle name="Entrada 2 2 4 2" xfId="428"/>
    <cellStyle name="Entrada 2 2 4 2 2" xfId="429"/>
    <cellStyle name="Entrada 2 2 4 2 2 2" xfId="6119"/>
    <cellStyle name="Entrada 2 2 4 2 2 2 2" xfId="12688"/>
    <cellStyle name="Entrada 2 2 4 2 2 2 2 2" xfId="27010"/>
    <cellStyle name="Entrada 2 2 4 2 2 2 3" xfId="18333"/>
    <cellStyle name="Entrada 2 2 4 2 2 3" xfId="7967"/>
    <cellStyle name="Entrada 2 2 4 2 2 3 2" xfId="10581"/>
    <cellStyle name="Entrada 2 2 4 2 2 3 2 2" xfId="16843"/>
    <cellStyle name="Entrada 2 2 4 2 2 3 2 2 2" xfId="30259"/>
    <cellStyle name="Entrada 2 2 4 2 2 3 2 3" xfId="21588"/>
    <cellStyle name="Entrada 2 2 4 2 2 3 3" xfId="14571"/>
    <cellStyle name="Entrada 2 2 4 2 2 3 3 2" xfId="28893"/>
    <cellStyle name="Entrada 2 2 4 2 2 3 4" xfId="20216"/>
    <cellStyle name="Entrada 2 2 4 2 2 4" xfId="4505"/>
    <cellStyle name="Entrada 2 2 4 2 2 4 2" xfId="22995"/>
    <cellStyle name="Entrada 2 2 4 2 2 5" xfId="15529"/>
    <cellStyle name="Entrada 2 2 4 2 3" xfId="430"/>
    <cellStyle name="Entrada 2 2 4 2 3 2" xfId="7289"/>
    <cellStyle name="Entrada 2 2 4 2 3 2 2" xfId="9903"/>
    <cellStyle name="Entrada 2 2 4 2 3 2 2 2" xfId="16165"/>
    <cellStyle name="Entrada 2 2 4 2 3 2 2 2 2" xfId="29581"/>
    <cellStyle name="Entrada 2 2 4 2 3 2 2 3" xfId="20910"/>
    <cellStyle name="Entrada 2 2 4 2 3 2 3" xfId="13893"/>
    <cellStyle name="Entrada 2 2 4 2 3 2 3 2" xfId="28215"/>
    <cellStyle name="Entrada 2 2 4 2 3 2 4" xfId="19538"/>
    <cellStyle name="Entrada 2 2 4 2 3 3" xfId="13340"/>
    <cellStyle name="Entrada 2 2 4 2 3 3 2" xfId="27662"/>
    <cellStyle name="Entrada 2 2 4 2 3 4" xfId="18985"/>
    <cellStyle name="Entrada 2 2 4 2 4" xfId="5790"/>
    <cellStyle name="Entrada 2 2 4 2 4 2" xfId="12343"/>
    <cellStyle name="Entrada 2 2 4 2 4 2 2" xfId="26665"/>
    <cellStyle name="Entrada 2 2 4 2 4 3" xfId="17988"/>
    <cellStyle name="Entrada 2 2 4 2 5" xfId="4636"/>
    <cellStyle name="Entrada 2 2 4 2 5 2" xfId="23080"/>
    <cellStyle name="Entrada 2 2 4 2 6" xfId="15340"/>
    <cellStyle name="Entrada 2 2 4 3" xfId="431"/>
    <cellStyle name="Entrada 2 2 4 3 2" xfId="432"/>
    <cellStyle name="Entrada 2 2 4 3 2 2" xfId="6226"/>
    <cellStyle name="Entrada 2 2 4 3 2 2 2" xfId="12801"/>
    <cellStyle name="Entrada 2 2 4 3 2 2 2 2" xfId="27123"/>
    <cellStyle name="Entrada 2 2 4 3 2 2 3" xfId="18446"/>
    <cellStyle name="Entrada 2 2 4 3 2 3" xfId="7814"/>
    <cellStyle name="Entrada 2 2 4 3 2 3 2" xfId="10428"/>
    <cellStyle name="Entrada 2 2 4 3 2 3 2 2" xfId="16690"/>
    <cellStyle name="Entrada 2 2 4 3 2 3 2 2 2" xfId="30106"/>
    <cellStyle name="Entrada 2 2 4 3 2 3 2 3" xfId="21435"/>
    <cellStyle name="Entrada 2 2 4 3 2 3 3" xfId="14418"/>
    <cellStyle name="Entrada 2 2 4 3 2 3 3 2" xfId="28740"/>
    <cellStyle name="Entrada 2 2 4 3 2 3 4" xfId="20063"/>
    <cellStyle name="Entrada 2 2 4 3 2 4" xfId="4911"/>
    <cellStyle name="Entrada 2 2 4 3 2 4 2" xfId="23261"/>
    <cellStyle name="Entrada 2 2 4 3 2 5" xfId="14830"/>
    <cellStyle name="Entrada 2 2 4 3 3" xfId="433"/>
    <cellStyle name="Entrada 2 2 4 3 3 2" xfId="7156"/>
    <cellStyle name="Entrada 2 2 4 3 3 2 2" xfId="9770"/>
    <cellStyle name="Entrada 2 2 4 3 3 2 2 2" xfId="16032"/>
    <cellStyle name="Entrada 2 2 4 3 3 2 2 2 2" xfId="29448"/>
    <cellStyle name="Entrada 2 2 4 3 3 2 2 3" xfId="20777"/>
    <cellStyle name="Entrada 2 2 4 3 3 2 3" xfId="13760"/>
    <cellStyle name="Entrada 2 2 4 3 3 2 3 2" xfId="28082"/>
    <cellStyle name="Entrada 2 2 4 3 3 2 4" xfId="19405"/>
    <cellStyle name="Entrada 2 2 4 3 3 3" xfId="13189"/>
    <cellStyle name="Entrada 2 2 4 3 3 3 2" xfId="27511"/>
    <cellStyle name="Entrada 2 2 4 3 3 4" xfId="18834"/>
    <cellStyle name="Entrada 2 2 4 3 4" xfId="5626"/>
    <cellStyle name="Entrada 2 2 4 3 4 2" xfId="12179"/>
    <cellStyle name="Entrada 2 2 4 3 4 2 2" xfId="26501"/>
    <cellStyle name="Entrada 2 2 4 3 4 3" xfId="17824"/>
    <cellStyle name="Entrada 2 2 4 3 5" xfId="4553"/>
    <cellStyle name="Entrada 2 2 4 3 5 2" xfId="23027"/>
    <cellStyle name="Entrada 2 2 4 3 6" xfId="17160"/>
    <cellStyle name="Entrada 2 2 4 4" xfId="434"/>
    <cellStyle name="Entrada 2 2 4 4 2" xfId="7037"/>
    <cellStyle name="Entrada 2 2 4 4 2 2" xfId="13641"/>
    <cellStyle name="Entrada 2 2 4 4 2 2 2" xfId="27963"/>
    <cellStyle name="Entrada 2 2 4 4 2 3" xfId="19286"/>
    <cellStyle name="Entrada 2 2 4 4 3" xfId="7168"/>
    <cellStyle name="Entrada 2 2 4 4 3 2" xfId="9782"/>
    <cellStyle name="Entrada 2 2 4 4 3 2 2" xfId="16044"/>
    <cellStyle name="Entrada 2 2 4 4 3 2 2 2" xfId="29460"/>
    <cellStyle name="Entrada 2 2 4 4 3 2 3" xfId="20789"/>
    <cellStyle name="Entrada 2 2 4 4 3 3" xfId="13772"/>
    <cellStyle name="Entrada 2 2 4 4 3 3 2" xfId="28094"/>
    <cellStyle name="Entrada 2 2 4 4 3 4" xfId="19417"/>
    <cellStyle name="Entrada 2 2 4 4 4" xfId="11582"/>
    <cellStyle name="Entrada 2 2 4 4 4 2" xfId="25904"/>
    <cellStyle name="Entrada 2 2 4 4 5" xfId="14859"/>
    <cellStyle name="Entrada 2 2 4 5" xfId="435"/>
    <cellStyle name="Entrada 2 2 4 5 2" xfId="3741"/>
    <cellStyle name="Entrada 2 2 4 5 2 2" xfId="9366"/>
    <cellStyle name="Entrada 2 2 4 5 2 2 2" xfId="15628"/>
    <cellStyle name="Entrada 2 2 4 5 2 2 2 2" xfId="29044"/>
    <cellStyle name="Entrada 2 2 4 5 2 2 3" xfId="20373"/>
    <cellStyle name="Entrada 2 2 4 5 2 3" xfId="6506"/>
    <cellStyle name="Entrada 2 2 4 5 2 3 2" xfId="23574"/>
    <cellStyle name="Entrada 2 2 4 5 2 4" xfId="15123"/>
    <cellStyle name="Entrada 2 2 4 5 3" xfId="12916"/>
    <cellStyle name="Entrada 2 2 4 5 3 2" xfId="27238"/>
    <cellStyle name="Entrada 2 2 4 5 4" xfId="18561"/>
    <cellStyle name="Entrada 2 2 4 6" xfId="5540"/>
    <cellStyle name="Entrada 2 2 4 6 2" xfId="12091"/>
    <cellStyle name="Entrada 2 2 4 6 2 2" xfId="26413"/>
    <cellStyle name="Entrada 2 2 4 6 3" xfId="17736"/>
    <cellStyle name="Entrada 2 2 4 7" xfId="6477"/>
    <cellStyle name="Entrada 2 2 4 7 2" xfId="23560"/>
    <cellStyle name="Entrada 2 2 4 8" xfId="6507"/>
    <cellStyle name="Entrada 2 2 5" xfId="436"/>
    <cellStyle name="Entrada 2 2 5 2" xfId="437"/>
    <cellStyle name="Entrada 2 2 5 2 2" xfId="438"/>
    <cellStyle name="Entrada 2 2 5 2 2 2" xfId="6369"/>
    <cellStyle name="Entrada 2 2 5 2 2 2 2" xfId="12952"/>
    <cellStyle name="Entrada 2 2 5 2 2 2 2 2" xfId="27274"/>
    <cellStyle name="Entrada 2 2 5 2 2 2 3" xfId="18597"/>
    <cellStyle name="Entrada 2 2 5 2 2 3" xfId="7645"/>
    <cellStyle name="Entrada 2 2 5 2 2 3 2" xfId="10259"/>
    <cellStyle name="Entrada 2 2 5 2 2 3 2 2" xfId="16521"/>
    <cellStyle name="Entrada 2 2 5 2 2 3 2 2 2" xfId="29937"/>
    <cellStyle name="Entrada 2 2 5 2 2 3 2 3" xfId="21266"/>
    <cellStyle name="Entrada 2 2 5 2 2 3 3" xfId="14249"/>
    <cellStyle name="Entrada 2 2 5 2 2 3 3 2" xfId="28571"/>
    <cellStyle name="Entrada 2 2 5 2 2 3 4" xfId="19894"/>
    <cellStyle name="Entrada 2 2 5 2 2 4" xfId="4886"/>
    <cellStyle name="Entrada 2 2 5 2 2 4 2" xfId="23244"/>
    <cellStyle name="Entrada 2 2 5 2 2 5" xfId="17016"/>
    <cellStyle name="Entrada 2 2 5 2 3" xfId="439"/>
    <cellStyle name="Entrada 2 2 5 2 3 2" xfId="7765"/>
    <cellStyle name="Entrada 2 2 5 2 3 2 2" xfId="10379"/>
    <cellStyle name="Entrada 2 2 5 2 3 2 2 2" xfId="16641"/>
    <cellStyle name="Entrada 2 2 5 2 3 2 2 2 2" xfId="30057"/>
    <cellStyle name="Entrada 2 2 5 2 3 2 2 3" xfId="21386"/>
    <cellStyle name="Entrada 2 2 5 2 3 2 3" xfId="14369"/>
    <cellStyle name="Entrada 2 2 5 2 3 2 3 2" xfId="28691"/>
    <cellStyle name="Entrada 2 2 5 2 3 2 4" xfId="20014"/>
    <cellStyle name="Entrada 2 2 5 2 3 3" xfId="12711"/>
    <cellStyle name="Entrada 2 2 5 2 3 3 2" xfId="27033"/>
    <cellStyle name="Entrada 2 2 5 2 3 4" xfId="18356"/>
    <cellStyle name="Entrada 2 2 5 2 4" xfId="5066"/>
    <cellStyle name="Entrada 2 2 5 2 4 2" xfId="11613"/>
    <cellStyle name="Entrada 2 2 5 2 4 2 2" xfId="25935"/>
    <cellStyle name="Entrada 2 2 5 2 4 3" xfId="16989"/>
    <cellStyle name="Entrada 2 2 5 2 5" xfId="4275"/>
    <cellStyle name="Entrada 2 2 5 2 5 2" xfId="22864"/>
    <cellStyle name="Entrada 2 2 5 2 6" xfId="6321"/>
    <cellStyle name="Entrada 2 2 5 3" xfId="440"/>
    <cellStyle name="Entrada 2 2 5 3 2" xfId="441"/>
    <cellStyle name="Entrada 2 2 5 3 2 2" xfId="5204"/>
    <cellStyle name="Entrada 2 2 5 3 2 2 2" xfId="11753"/>
    <cellStyle name="Entrada 2 2 5 3 2 2 2 2" xfId="26075"/>
    <cellStyle name="Entrada 2 2 5 3 2 2 3" xfId="6220"/>
    <cellStyle name="Entrada 2 2 5 3 2 3" xfId="4483"/>
    <cellStyle name="Entrada 2 2 5 3 2 3 2" xfId="9470"/>
    <cellStyle name="Entrada 2 2 5 3 2 3 2 2" xfId="15732"/>
    <cellStyle name="Entrada 2 2 5 3 2 3 2 2 2" xfId="29148"/>
    <cellStyle name="Entrada 2 2 5 3 2 3 2 3" xfId="20477"/>
    <cellStyle name="Entrada 2 2 5 3 2 3 3" xfId="6611"/>
    <cellStyle name="Entrada 2 2 5 3 2 3 3 2" xfId="23603"/>
    <cellStyle name="Entrada 2 2 5 3 2 3 4" xfId="14914"/>
    <cellStyle name="Entrada 2 2 5 3 2 4" xfId="4764"/>
    <cellStyle name="Entrada 2 2 5 3 2 4 2" xfId="23177"/>
    <cellStyle name="Entrada 2 2 5 3 2 5" xfId="17274"/>
    <cellStyle name="Entrada 2 2 5 3 3" xfId="442"/>
    <cellStyle name="Entrada 2 2 5 3 3 2" xfId="4310"/>
    <cellStyle name="Entrada 2 2 5 3 3 2 2" xfId="9445"/>
    <cellStyle name="Entrada 2 2 5 3 3 2 2 2" xfId="15707"/>
    <cellStyle name="Entrada 2 2 5 3 3 2 2 2 2" xfId="29123"/>
    <cellStyle name="Entrada 2 2 5 3 3 2 2 3" xfId="20452"/>
    <cellStyle name="Entrada 2 2 5 3 3 2 3" xfId="6616"/>
    <cellStyle name="Entrada 2 2 5 3 3 2 3 2" xfId="23608"/>
    <cellStyle name="Entrada 2 2 5 3 3 2 4" xfId="4090"/>
    <cellStyle name="Entrada 2 2 5 3 3 3" xfId="13094"/>
    <cellStyle name="Entrada 2 2 5 3 3 3 2" xfId="27416"/>
    <cellStyle name="Entrada 2 2 5 3 3 4" xfId="18739"/>
    <cellStyle name="Entrada 2 2 5 3 4" xfId="5450"/>
    <cellStyle name="Entrada 2 2 5 3 4 2" xfId="12001"/>
    <cellStyle name="Entrada 2 2 5 3 4 2 2" xfId="26323"/>
    <cellStyle name="Entrada 2 2 5 3 4 3" xfId="17646"/>
    <cellStyle name="Entrada 2 2 5 3 5" xfId="3927"/>
    <cellStyle name="Entrada 2 2 5 3 5 2" xfId="22649"/>
    <cellStyle name="Entrada 2 2 5 3 6" xfId="15225"/>
    <cellStyle name="Entrada 2 2 5 4" xfId="443"/>
    <cellStyle name="Entrada 2 2 5 4 2" xfId="6993"/>
    <cellStyle name="Entrada 2 2 5 4 2 2" xfId="13597"/>
    <cellStyle name="Entrada 2 2 5 4 2 2 2" xfId="27919"/>
    <cellStyle name="Entrada 2 2 5 4 2 3" xfId="19242"/>
    <cellStyle name="Entrada 2 2 5 4 3" xfId="7177"/>
    <cellStyle name="Entrada 2 2 5 4 3 2" xfId="9791"/>
    <cellStyle name="Entrada 2 2 5 4 3 2 2" xfId="16053"/>
    <cellStyle name="Entrada 2 2 5 4 3 2 2 2" xfId="29469"/>
    <cellStyle name="Entrada 2 2 5 4 3 2 3" xfId="20798"/>
    <cellStyle name="Entrada 2 2 5 4 3 3" xfId="13781"/>
    <cellStyle name="Entrada 2 2 5 4 3 3 2" xfId="28103"/>
    <cellStyle name="Entrada 2 2 5 4 3 4" xfId="19426"/>
    <cellStyle name="Entrada 2 2 5 4 4" xfId="11505"/>
    <cellStyle name="Entrada 2 2 5 4 4 2" xfId="25827"/>
    <cellStyle name="Entrada 2 2 5 4 5" xfId="17245"/>
    <cellStyle name="Entrada 2 2 5 5" xfId="444"/>
    <cellStyle name="Entrada 2 2 5 5 2" xfId="5338"/>
    <cellStyle name="Entrada 2 2 5 5 2 2" xfId="9647"/>
    <cellStyle name="Entrada 2 2 5 5 2 2 2" xfId="15909"/>
    <cellStyle name="Entrada 2 2 5 5 2 2 2 2" xfId="29325"/>
    <cellStyle name="Entrada 2 2 5 5 2 2 3" xfId="20654"/>
    <cellStyle name="Entrada 2 2 5 5 2 3" xfId="11888"/>
    <cellStyle name="Entrada 2 2 5 5 2 3 2" xfId="26210"/>
    <cellStyle name="Entrada 2 2 5 5 2 4" xfId="17533"/>
    <cellStyle name="Entrada 2 2 5 5 3" xfId="11624"/>
    <cellStyle name="Entrada 2 2 5 5 3 2" xfId="25946"/>
    <cellStyle name="Entrada 2 2 5 5 4" xfId="17148"/>
    <cellStyle name="Entrada 2 2 5 6" xfId="5135"/>
    <cellStyle name="Entrada 2 2 5 6 2" xfId="11684"/>
    <cellStyle name="Entrada 2 2 5 6 2 2" xfId="26006"/>
    <cellStyle name="Entrada 2 2 5 6 3" xfId="2798"/>
    <cellStyle name="Entrada 2 2 5 7" xfId="6294"/>
    <cellStyle name="Entrada 2 2 5 7 2" xfId="23493"/>
    <cellStyle name="Entrada 2 2 5 8" xfId="15216"/>
    <cellStyle name="Entrada 2 2 6" xfId="445"/>
    <cellStyle name="Entrada 2 2 6 2" xfId="446"/>
    <cellStyle name="Entrada 2 2 6 2 2" xfId="447"/>
    <cellStyle name="Entrada 2 2 6 2 2 2" xfId="6124"/>
    <cellStyle name="Entrada 2 2 6 2 2 2 2" xfId="12693"/>
    <cellStyle name="Entrada 2 2 6 2 2 2 2 2" xfId="27015"/>
    <cellStyle name="Entrada 2 2 6 2 2 2 3" xfId="18338"/>
    <cellStyle name="Entrada 2 2 6 2 2 3" xfId="7652"/>
    <cellStyle name="Entrada 2 2 6 2 2 3 2" xfId="10266"/>
    <cellStyle name="Entrada 2 2 6 2 2 3 2 2" xfId="16528"/>
    <cellStyle name="Entrada 2 2 6 2 2 3 2 2 2" xfId="29944"/>
    <cellStyle name="Entrada 2 2 6 2 2 3 2 3" xfId="21273"/>
    <cellStyle name="Entrada 2 2 6 2 2 3 3" xfId="14256"/>
    <cellStyle name="Entrada 2 2 6 2 2 3 3 2" xfId="28578"/>
    <cellStyle name="Entrada 2 2 6 2 2 3 4" xfId="19901"/>
    <cellStyle name="Entrada 2 2 6 2 2 4" xfId="6316"/>
    <cellStyle name="Entrada 2 2 6 2 2 4 2" xfId="23511"/>
    <cellStyle name="Entrada 2 2 6 2 2 5" xfId="15226"/>
    <cellStyle name="Entrada 2 2 6 2 3" xfId="448"/>
    <cellStyle name="Entrada 2 2 6 2 3 2" xfId="7497"/>
    <cellStyle name="Entrada 2 2 6 2 3 2 2" xfId="10111"/>
    <cellStyle name="Entrada 2 2 6 2 3 2 2 2" xfId="16373"/>
    <cellStyle name="Entrada 2 2 6 2 3 2 2 2 2" xfId="29789"/>
    <cellStyle name="Entrada 2 2 6 2 3 2 2 3" xfId="21118"/>
    <cellStyle name="Entrada 2 2 6 2 3 2 3" xfId="14101"/>
    <cellStyle name="Entrada 2 2 6 2 3 2 3 2" xfId="28423"/>
    <cellStyle name="Entrada 2 2 6 2 3 2 4" xfId="19746"/>
    <cellStyle name="Entrada 2 2 6 2 3 3" xfId="13385"/>
    <cellStyle name="Entrada 2 2 6 2 3 3 2" xfId="27707"/>
    <cellStyle name="Entrada 2 2 6 2 3 4" xfId="19030"/>
    <cellStyle name="Entrada 2 2 6 2 4" xfId="5845"/>
    <cellStyle name="Entrada 2 2 6 2 4 2" xfId="12398"/>
    <cellStyle name="Entrada 2 2 6 2 4 2 2" xfId="26720"/>
    <cellStyle name="Entrada 2 2 6 2 4 3" xfId="18043"/>
    <cellStyle name="Entrada 2 2 6 2 5" xfId="4688"/>
    <cellStyle name="Entrada 2 2 6 2 5 2" xfId="23124"/>
    <cellStyle name="Entrada 2 2 6 2 6" xfId="15067"/>
    <cellStyle name="Entrada 2 2 6 3" xfId="449"/>
    <cellStyle name="Entrada 2 2 6 3 2" xfId="5060"/>
    <cellStyle name="Entrada 2 2 6 3 2 2" xfId="11607"/>
    <cellStyle name="Entrada 2 2 6 3 2 2 2" xfId="25929"/>
    <cellStyle name="Entrada 2 2 6 3 2 3" xfId="17371"/>
    <cellStyle name="Entrada 2 2 6 3 3" xfId="7553"/>
    <cellStyle name="Entrada 2 2 6 3 3 2" xfId="10167"/>
    <cellStyle name="Entrada 2 2 6 3 3 2 2" xfId="16429"/>
    <cellStyle name="Entrada 2 2 6 3 3 2 2 2" xfId="29845"/>
    <cellStyle name="Entrada 2 2 6 3 3 2 3" xfId="21174"/>
    <cellStyle name="Entrada 2 2 6 3 3 3" xfId="14157"/>
    <cellStyle name="Entrada 2 2 6 3 3 3 2" xfId="28479"/>
    <cellStyle name="Entrada 2 2 6 3 3 4" xfId="19802"/>
    <cellStyle name="Entrada 2 2 6 3 4" xfId="6109"/>
    <cellStyle name="Entrada 2 2 6 3 4 2" xfId="23418"/>
    <cellStyle name="Entrada 2 2 6 3 5" xfId="15260"/>
    <cellStyle name="Entrada 2 2 6 4" xfId="450"/>
    <cellStyle name="Entrada 2 2 6 4 2" xfId="7446"/>
    <cellStyle name="Entrada 2 2 6 4 2 2" xfId="10060"/>
    <cellStyle name="Entrada 2 2 6 4 2 2 2" xfId="16322"/>
    <cellStyle name="Entrada 2 2 6 4 2 2 2 2" xfId="29738"/>
    <cellStyle name="Entrada 2 2 6 4 2 2 3" xfId="21067"/>
    <cellStyle name="Entrada 2 2 6 4 2 3" xfId="14050"/>
    <cellStyle name="Entrada 2 2 6 4 2 3 2" xfId="28372"/>
    <cellStyle name="Entrada 2 2 6 4 2 4" xfId="19695"/>
    <cellStyle name="Entrada 2 2 6 4 3" xfId="12815"/>
    <cellStyle name="Entrada 2 2 6 4 3 2" xfId="27137"/>
    <cellStyle name="Entrada 2 2 6 4 4" xfId="18460"/>
    <cellStyle name="Entrada 2 2 6 5" xfId="5351"/>
    <cellStyle name="Entrada 2 2 6 5 2" xfId="11901"/>
    <cellStyle name="Entrada 2 2 6 5 2 2" xfId="26223"/>
    <cellStyle name="Entrada 2 2 6 5 3" xfId="17546"/>
    <cellStyle name="Entrada 2 2 6 6" xfId="3792"/>
    <cellStyle name="Entrada 2 2 6 6 2" xfId="22581"/>
    <cellStyle name="Entrada 2 2 6 7" xfId="6051"/>
    <cellStyle name="Entrada 2 2 7" xfId="451"/>
    <cellStyle name="Entrada 2 2 7 2" xfId="452"/>
    <cellStyle name="Entrada 2 2 7 2 2" xfId="5729"/>
    <cellStyle name="Entrada 2 2 7 2 2 2" xfId="12282"/>
    <cellStyle name="Entrada 2 2 7 2 2 2 2" xfId="26604"/>
    <cellStyle name="Entrada 2 2 7 2 2 3" xfId="17927"/>
    <cellStyle name="Entrada 2 2 7 2 3" xfId="4976"/>
    <cellStyle name="Entrada 2 2 7 2 3 2" xfId="9528"/>
    <cellStyle name="Entrada 2 2 7 2 3 2 2" xfId="15790"/>
    <cellStyle name="Entrada 2 2 7 2 3 2 2 2" xfId="29206"/>
    <cellStyle name="Entrada 2 2 7 2 3 2 3" xfId="20535"/>
    <cellStyle name="Entrada 2 2 7 2 3 3" xfId="11519"/>
    <cellStyle name="Entrada 2 2 7 2 3 3 2" xfId="25841"/>
    <cellStyle name="Entrada 2 2 7 2 3 4" xfId="14707"/>
    <cellStyle name="Entrada 2 2 7 2 4" xfId="4568"/>
    <cellStyle name="Entrada 2 2 7 2 4 2" xfId="23036"/>
    <cellStyle name="Entrada 2 2 7 2 5" xfId="3837"/>
    <cellStyle name="Entrada 2 2 7 3" xfId="453"/>
    <cellStyle name="Entrada 2 2 7 3 2" xfId="7380"/>
    <cellStyle name="Entrada 2 2 7 3 2 2" xfId="9994"/>
    <cellStyle name="Entrada 2 2 7 3 2 2 2" xfId="16256"/>
    <cellStyle name="Entrada 2 2 7 3 2 2 2 2" xfId="29672"/>
    <cellStyle name="Entrada 2 2 7 3 2 2 3" xfId="21001"/>
    <cellStyle name="Entrada 2 2 7 3 2 3" xfId="13984"/>
    <cellStyle name="Entrada 2 2 7 3 2 3 2" xfId="28306"/>
    <cellStyle name="Entrada 2 2 7 3 2 4" xfId="19629"/>
    <cellStyle name="Entrada 2 2 7 3 3" xfId="13392"/>
    <cellStyle name="Entrada 2 2 7 3 3 2" xfId="27714"/>
    <cellStyle name="Entrada 2 2 7 3 4" xfId="19037"/>
    <cellStyle name="Entrada 2 2 7 4" xfId="5856"/>
    <cellStyle name="Entrada 2 2 7 4 2" xfId="12409"/>
    <cellStyle name="Entrada 2 2 7 4 2 2" xfId="26731"/>
    <cellStyle name="Entrada 2 2 7 4 3" xfId="18054"/>
    <cellStyle name="Entrada 2 2 7 5" xfId="6132"/>
    <cellStyle name="Entrada 2 2 7 5 2" xfId="23424"/>
    <cellStyle name="Entrada 2 2 7 6" xfId="17279"/>
    <cellStyle name="Entrada 2 2 8" xfId="454"/>
    <cellStyle name="Entrada 2 2 8 2" xfId="6005"/>
    <cellStyle name="Entrada 2 2 8 2 2" xfId="12564"/>
    <cellStyle name="Entrada 2 2 8 2 2 2" xfId="26886"/>
    <cellStyle name="Entrada 2 2 8 2 3" xfId="18209"/>
    <cellStyle name="Entrada 2 2 8 3" xfId="3683"/>
    <cellStyle name="Entrada 2 2 8 3 2" xfId="9360"/>
    <cellStyle name="Entrada 2 2 8 3 2 2" xfId="15622"/>
    <cellStyle name="Entrada 2 2 8 3 2 2 2" xfId="29038"/>
    <cellStyle name="Entrada 2 2 8 3 2 3" xfId="20367"/>
    <cellStyle name="Entrada 2 2 8 3 3" xfId="3788"/>
    <cellStyle name="Entrada 2 2 8 3 3 2" xfId="22579"/>
    <cellStyle name="Entrada 2 2 8 3 4" xfId="6691"/>
    <cellStyle name="Entrada 2 2 8 4" xfId="4224"/>
    <cellStyle name="Entrada 2 2 8 4 2" xfId="22836"/>
    <cellStyle name="Entrada 2 2 8 5" xfId="17158"/>
    <cellStyle name="Entrada 2 2 9" xfId="455"/>
    <cellStyle name="Entrada 2 2 9 2" xfId="7766"/>
    <cellStyle name="Entrada 2 2 9 2 2" xfId="10380"/>
    <cellStyle name="Entrada 2 2 9 2 2 2" xfId="16642"/>
    <cellStyle name="Entrada 2 2 9 2 2 2 2" xfId="30058"/>
    <cellStyle name="Entrada 2 2 9 2 2 3" xfId="21387"/>
    <cellStyle name="Entrada 2 2 9 2 3" xfId="14370"/>
    <cellStyle name="Entrada 2 2 9 2 3 2" xfId="28692"/>
    <cellStyle name="Entrada 2 2 9 2 4" xfId="20015"/>
    <cellStyle name="Entrada 2 2 9 3" xfId="12721"/>
    <cellStyle name="Entrada 2 2 9 3 2" xfId="27043"/>
    <cellStyle name="Entrada 2 2 9 4" xfId="18366"/>
    <cellStyle name="Entrada 2 3" xfId="456"/>
    <cellStyle name="Entrada 2 3 10" xfId="6300"/>
    <cellStyle name="Entrada 2 3 10 2" xfId="23498"/>
    <cellStyle name="Entrada 2 3 11" xfId="14831"/>
    <cellStyle name="Entrada 2 3 2" xfId="457"/>
    <cellStyle name="Entrada 2 3 2 2" xfId="458"/>
    <cellStyle name="Entrada 2 3 2 2 2" xfId="459"/>
    <cellStyle name="Entrada 2 3 2 2 2 2" xfId="6991"/>
    <cellStyle name="Entrada 2 3 2 2 2 2 2" xfId="13595"/>
    <cellStyle name="Entrada 2 3 2 2 2 2 2 2" xfId="27917"/>
    <cellStyle name="Entrada 2 3 2 2 2 2 3" xfId="19240"/>
    <cellStyle name="Entrada 2 3 2 2 2 3" xfId="7670"/>
    <cellStyle name="Entrada 2 3 2 2 2 3 2" xfId="10284"/>
    <cellStyle name="Entrada 2 3 2 2 2 3 2 2" xfId="16546"/>
    <cellStyle name="Entrada 2 3 2 2 2 3 2 2 2" xfId="29962"/>
    <cellStyle name="Entrada 2 3 2 2 2 3 2 3" xfId="21291"/>
    <cellStyle name="Entrada 2 3 2 2 2 3 3" xfId="14274"/>
    <cellStyle name="Entrada 2 3 2 2 2 3 3 2" xfId="28596"/>
    <cellStyle name="Entrada 2 3 2 2 2 3 4" xfId="19919"/>
    <cellStyle name="Entrada 2 3 2 2 2 4" xfId="11503"/>
    <cellStyle name="Entrada 2 3 2 2 2 4 2" xfId="25825"/>
    <cellStyle name="Entrada 2 3 2 2 2 5" xfId="14770"/>
    <cellStyle name="Entrada 2 3 2 2 3" xfId="460"/>
    <cellStyle name="Entrada 2 3 2 2 3 2" xfId="7068"/>
    <cellStyle name="Entrada 2 3 2 2 3 2 2" xfId="9682"/>
    <cellStyle name="Entrada 2 3 2 2 3 2 2 2" xfId="15944"/>
    <cellStyle name="Entrada 2 3 2 2 3 2 2 2 2" xfId="29360"/>
    <cellStyle name="Entrada 2 3 2 2 3 2 2 3" xfId="20689"/>
    <cellStyle name="Entrada 2 3 2 2 3 2 3" xfId="13672"/>
    <cellStyle name="Entrada 2 3 2 2 3 2 3 2" xfId="27994"/>
    <cellStyle name="Entrada 2 3 2 2 3 2 4" xfId="19317"/>
    <cellStyle name="Entrada 2 3 2 2 3 3" xfId="13296"/>
    <cellStyle name="Entrada 2 3 2 2 3 3 2" xfId="27618"/>
    <cellStyle name="Entrada 2 3 2 2 3 4" xfId="18941"/>
    <cellStyle name="Entrada 2 3 2 2 4" xfId="5746"/>
    <cellStyle name="Entrada 2 3 2 2 4 2" xfId="12299"/>
    <cellStyle name="Entrada 2 3 2 2 4 2 2" xfId="26621"/>
    <cellStyle name="Entrada 2 3 2 2 4 3" xfId="17944"/>
    <cellStyle name="Entrada 2 3 2 2 5" xfId="3775"/>
    <cellStyle name="Entrada 2 3 2 2 5 2" xfId="22572"/>
    <cellStyle name="Entrada 2 3 2 2 6" xfId="17149"/>
    <cellStyle name="Entrada 2 3 2 3" xfId="461"/>
    <cellStyle name="Entrada 2 3 2 3 2" xfId="462"/>
    <cellStyle name="Entrada 2 3 2 3 2 2" xfId="5834"/>
    <cellStyle name="Entrada 2 3 2 3 2 2 2" xfId="12387"/>
    <cellStyle name="Entrada 2 3 2 3 2 2 2 2" xfId="26709"/>
    <cellStyle name="Entrada 2 3 2 3 2 2 3" xfId="18032"/>
    <cellStyle name="Entrada 2 3 2 3 2 3" xfId="7872"/>
    <cellStyle name="Entrada 2 3 2 3 2 3 2" xfId="10486"/>
    <cellStyle name="Entrada 2 3 2 3 2 3 2 2" xfId="16748"/>
    <cellStyle name="Entrada 2 3 2 3 2 3 2 2 2" xfId="30164"/>
    <cellStyle name="Entrada 2 3 2 3 2 3 2 3" xfId="21493"/>
    <cellStyle name="Entrada 2 3 2 3 2 3 3" xfId="14476"/>
    <cellStyle name="Entrada 2 3 2 3 2 3 3 2" xfId="28798"/>
    <cellStyle name="Entrada 2 3 2 3 2 3 4" xfId="20121"/>
    <cellStyle name="Entrada 2 3 2 3 2 4" xfId="4124"/>
    <cellStyle name="Entrada 2 3 2 3 2 4 2" xfId="22768"/>
    <cellStyle name="Entrada 2 3 2 3 2 5" xfId="15116"/>
    <cellStyle name="Entrada 2 3 2 3 3" xfId="463"/>
    <cellStyle name="Entrada 2 3 2 3 3 2" xfId="7660"/>
    <cellStyle name="Entrada 2 3 2 3 3 2 2" xfId="10274"/>
    <cellStyle name="Entrada 2 3 2 3 3 2 2 2" xfId="16536"/>
    <cellStyle name="Entrada 2 3 2 3 3 2 2 2 2" xfId="29952"/>
    <cellStyle name="Entrada 2 3 2 3 3 2 2 3" xfId="21281"/>
    <cellStyle name="Entrada 2 3 2 3 3 2 3" xfId="14264"/>
    <cellStyle name="Entrada 2 3 2 3 3 2 3 2" xfId="28586"/>
    <cellStyle name="Entrada 2 3 2 3 3 2 4" xfId="19909"/>
    <cellStyle name="Entrada 2 3 2 3 3 3" xfId="13162"/>
    <cellStyle name="Entrada 2 3 2 3 3 3 2" xfId="27484"/>
    <cellStyle name="Entrada 2 3 2 3 3 4" xfId="18807"/>
    <cellStyle name="Entrada 2 3 2 3 4" xfId="5575"/>
    <cellStyle name="Entrada 2 3 2 3 4 2" xfId="12126"/>
    <cellStyle name="Entrada 2 3 2 3 4 2 2" xfId="26448"/>
    <cellStyle name="Entrada 2 3 2 3 4 3" xfId="17771"/>
    <cellStyle name="Entrada 2 3 2 3 5" xfId="4865"/>
    <cellStyle name="Entrada 2 3 2 3 5 2" xfId="23230"/>
    <cellStyle name="Entrada 2 3 2 3 6" xfId="6694"/>
    <cellStyle name="Entrada 2 3 2 4" xfId="464"/>
    <cellStyle name="Entrada 2 3 2 4 2" xfId="6390"/>
    <cellStyle name="Entrada 2 3 2 4 2 2" xfId="12973"/>
    <cellStyle name="Entrada 2 3 2 4 2 2 2" xfId="27295"/>
    <cellStyle name="Entrada 2 3 2 4 2 3" xfId="18618"/>
    <cellStyle name="Entrada 2 3 2 4 3" xfId="7558"/>
    <cellStyle name="Entrada 2 3 2 4 3 2" xfId="10172"/>
    <cellStyle name="Entrada 2 3 2 4 3 2 2" xfId="16434"/>
    <cellStyle name="Entrada 2 3 2 4 3 2 2 2" xfId="29850"/>
    <cellStyle name="Entrada 2 3 2 4 3 2 3" xfId="21179"/>
    <cellStyle name="Entrada 2 3 2 4 3 3" xfId="14162"/>
    <cellStyle name="Entrada 2 3 2 4 3 3 2" xfId="28484"/>
    <cellStyle name="Entrada 2 3 2 4 3 4" xfId="19807"/>
    <cellStyle name="Entrada 2 3 2 4 4" xfId="6723"/>
    <cellStyle name="Entrada 2 3 2 4 4 2" xfId="23677"/>
    <cellStyle name="Entrada 2 3 2 4 5" xfId="15562"/>
    <cellStyle name="Entrada 2 3 2 5" xfId="465"/>
    <cellStyle name="Entrada 2 3 2 5 2" xfId="7469"/>
    <cellStyle name="Entrada 2 3 2 5 2 2" xfId="10083"/>
    <cellStyle name="Entrada 2 3 2 5 2 2 2" xfId="16345"/>
    <cellStyle name="Entrada 2 3 2 5 2 2 2 2" xfId="29761"/>
    <cellStyle name="Entrada 2 3 2 5 2 2 3" xfId="21090"/>
    <cellStyle name="Entrada 2 3 2 5 2 3" xfId="14073"/>
    <cellStyle name="Entrada 2 3 2 5 2 3 2" xfId="28395"/>
    <cellStyle name="Entrada 2 3 2 5 2 4" xfId="19718"/>
    <cellStyle name="Entrada 2 3 2 5 3" xfId="12872"/>
    <cellStyle name="Entrada 2 3 2 5 3 2" xfId="27194"/>
    <cellStyle name="Entrada 2 3 2 5 4" xfId="18517"/>
    <cellStyle name="Entrada 2 3 2 6" xfId="5490"/>
    <cellStyle name="Entrada 2 3 2 6 2" xfId="12041"/>
    <cellStyle name="Entrada 2 3 2 6 2 2" xfId="26363"/>
    <cellStyle name="Entrada 2 3 2 6 3" xfId="17686"/>
    <cellStyle name="Entrada 2 3 2 7" xfId="4289"/>
    <cellStyle name="Entrada 2 3 2 7 2" xfId="22873"/>
    <cellStyle name="Entrada 2 3 2 8" xfId="15082"/>
    <cellStyle name="Entrada 2 3 3" xfId="466"/>
    <cellStyle name="Entrada 2 3 3 2" xfId="467"/>
    <cellStyle name="Entrada 2 3 3 2 2" xfId="468"/>
    <cellStyle name="Entrada 2 3 3 2 2 2" xfId="5981"/>
    <cellStyle name="Entrada 2 3 3 2 2 2 2" xfId="12539"/>
    <cellStyle name="Entrada 2 3 3 2 2 2 2 2" xfId="26861"/>
    <cellStyle name="Entrada 2 3 3 2 2 2 3" xfId="18184"/>
    <cellStyle name="Entrada 2 3 3 2 2 3" xfId="7131"/>
    <cellStyle name="Entrada 2 3 3 2 2 3 2" xfId="9745"/>
    <cellStyle name="Entrada 2 3 3 2 2 3 2 2" xfId="16007"/>
    <cellStyle name="Entrada 2 3 3 2 2 3 2 2 2" xfId="29423"/>
    <cellStyle name="Entrada 2 3 3 2 2 3 2 3" xfId="20752"/>
    <cellStyle name="Entrada 2 3 3 2 2 3 3" xfId="13735"/>
    <cellStyle name="Entrada 2 3 3 2 2 3 3 2" xfId="28057"/>
    <cellStyle name="Entrada 2 3 3 2 2 3 4" xfId="19380"/>
    <cellStyle name="Entrada 2 3 3 2 2 4" xfId="6299"/>
    <cellStyle name="Entrada 2 3 3 2 2 4 2" xfId="23497"/>
    <cellStyle name="Entrada 2 3 3 2 2 5" xfId="3663"/>
    <cellStyle name="Entrada 2 3 3 2 3" xfId="469"/>
    <cellStyle name="Entrada 2 3 3 2 3 2" xfId="3598"/>
    <cellStyle name="Entrada 2 3 3 2 3 2 2" xfId="9341"/>
    <cellStyle name="Entrada 2 3 3 2 3 2 2 2" xfId="15603"/>
    <cellStyle name="Entrada 2 3 3 2 3 2 2 2 2" xfId="29019"/>
    <cellStyle name="Entrada 2 3 3 2 3 2 2 3" xfId="20348"/>
    <cellStyle name="Entrada 2 3 3 2 3 2 3" xfId="3953"/>
    <cellStyle name="Entrada 2 3 3 2 3 2 3 2" xfId="22666"/>
    <cellStyle name="Entrada 2 3 3 2 3 2 4" xfId="15223"/>
    <cellStyle name="Entrada 2 3 3 2 3 3" xfId="13332"/>
    <cellStyle name="Entrada 2 3 3 2 3 3 2" xfId="27654"/>
    <cellStyle name="Entrada 2 3 3 2 3 4" xfId="18977"/>
    <cellStyle name="Entrada 2 3 3 2 4" xfId="5782"/>
    <cellStyle name="Entrada 2 3 3 2 4 2" xfId="12335"/>
    <cellStyle name="Entrada 2 3 3 2 4 2 2" xfId="26657"/>
    <cellStyle name="Entrada 2 3 3 2 4 3" xfId="17980"/>
    <cellStyle name="Entrada 2 3 3 2 5" xfId="4216"/>
    <cellStyle name="Entrada 2 3 3 2 5 2" xfId="22828"/>
    <cellStyle name="Entrada 2 3 3 2 6" xfId="17396"/>
    <cellStyle name="Entrada 2 3 3 3" xfId="470"/>
    <cellStyle name="Entrada 2 3 3 3 2" xfId="471"/>
    <cellStyle name="Entrada 2 3 3 3 2 2" xfId="5973"/>
    <cellStyle name="Entrada 2 3 3 3 2 2 2" xfId="12531"/>
    <cellStyle name="Entrada 2 3 3 3 2 2 2 2" xfId="26853"/>
    <cellStyle name="Entrada 2 3 3 3 2 2 3" xfId="18176"/>
    <cellStyle name="Entrada 2 3 3 3 2 3" xfId="7951"/>
    <cellStyle name="Entrada 2 3 3 3 2 3 2" xfId="10565"/>
    <cellStyle name="Entrada 2 3 3 3 2 3 2 2" xfId="16827"/>
    <cellStyle name="Entrada 2 3 3 3 2 3 2 2 2" xfId="30243"/>
    <cellStyle name="Entrada 2 3 3 3 2 3 2 3" xfId="21572"/>
    <cellStyle name="Entrada 2 3 3 3 2 3 3" xfId="14555"/>
    <cellStyle name="Entrada 2 3 3 3 2 3 3 2" xfId="28877"/>
    <cellStyle name="Entrada 2 3 3 3 2 3 4" xfId="20200"/>
    <cellStyle name="Entrada 2 3 3 3 2 4" xfId="4388"/>
    <cellStyle name="Entrada 2 3 3 3 2 4 2" xfId="22922"/>
    <cellStyle name="Entrada 2 3 3 3 2 5" xfId="15094"/>
    <cellStyle name="Entrada 2 3 3 3 3" xfId="472"/>
    <cellStyle name="Entrada 2 3 3 3 3 2" xfId="7219"/>
    <cellStyle name="Entrada 2 3 3 3 3 2 2" xfId="9833"/>
    <cellStyle name="Entrada 2 3 3 3 3 2 2 2" xfId="16095"/>
    <cellStyle name="Entrada 2 3 3 3 3 2 2 2 2" xfId="29511"/>
    <cellStyle name="Entrada 2 3 3 3 3 2 2 3" xfId="20840"/>
    <cellStyle name="Entrada 2 3 3 3 3 2 3" xfId="13823"/>
    <cellStyle name="Entrada 2 3 3 3 3 2 3 2" xfId="28145"/>
    <cellStyle name="Entrada 2 3 3 3 3 2 4" xfId="19468"/>
    <cellStyle name="Entrada 2 3 3 3 3 3" xfId="13425"/>
    <cellStyle name="Entrada 2 3 3 3 3 3 2" xfId="27747"/>
    <cellStyle name="Entrada 2 3 3 3 3 4" xfId="19070"/>
    <cellStyle name="Entrada 2 3 3 3 4" xfId="5899"/>
    <cellStyle name="Entrada 2 3 3 3 4 2" xfId="12453"/>
    <cellStyle name="Entrada 2 3 3 3 4 2 2" xfId="26775"/>
    <cellStyle name="Entrada 2 3 3 3 4 3" xfId="18098"/>
    <cellStyle name="Entrada 2 3 3 3 5" xfId="2825"/>
    <cellStyle name="Entrada 2 3 3 3 5 2" xfId="22388"/>
    <cellStyle name="Entrada 2 3 3 3 6" xfId="17132"/>
    <cellStyle name="Entrada 2 3 3 4" xfId="473"/>
    <cellStyle name="Entrada 2 3 3 4 2" xfId="6519"/>
    <cellStyle name="Entrada 2 3 3 4 2 2" xfId="13107"/>
    <cellStyle name="Entrada 2 3 3 4 2 2 2" xfId="27429"/>
    <cellStyle name="Entrada 2 3 3 4 2 3" xfId="18752"/>
    <cellStyle name="Entrada 2 3 3 4 3" xfId="4917"/>
    <cellStyle name="Entrada 2 3 3 4 3 2" xfId="9513"/>
    <cellStyle name="Entrada 2 3 3 4 3 2 2" xfId="15775"/>
    <cellStyle name="Entrada 2 3 3 4 3 2 2 2" xfId="29191"/>
    <cellStyle name="Entrada 2 3 3 4 3 2 3" xfId="20520"/>
    <cellStyle name="Entrada 2 3 3 4 3 3" xfId="11454"/>
    <cellStyle name="Entrada 2 3 3 4 3 3 2" xfId="25776"/>
    <cellStyle name="Entrada 2 3 3 4 3 4" xfId="6297"/>
    <cellStyle name="Entrada 2 3 3 4 4" xfId="5568"/>
    <cellStyle name="Entrada 2 3 3 4 4 2" xfId="23350"/>
    <cellStyle name="Entrada 2 3 3 4 5" xfId="4155"/>
    <cellStyle name="Entrada 2 3 3 5" xfId="474"/>
    <cellStyle name="Entrada 2 3 3 5 2" xfId="7528"/>
    <cellStyle name="Entrada 2 3 3 5 2 2" xfId="10142"/>
    <cellStyle name="Entrada 2 3 3 5 2 2 2" xfId="16404"/>
    <cellStyle name="Entrada 2 3 3 5 2 2 2 2" xfId="29820"/>
    <cellStyle name="Entrada 2 3 3 5 2 2 3" xfId="21149"/>
    <cellStyle name="Entrada 2 3 3 5 2 3" xfId="14132"/>
    <cellStyle name="Entrada 2 3 3 5 2 3 2" xfId="28454"/>
    <cellStyle name="Entrada 2 3 3 5 2 4" xfId="19777"/>
    <cellStyle name="Entrada 2 3 3 5 3" xfId="12908"/>
    <cellStyle name="Entrada 2 3 3 5 3 2" xfId="27230"/>
    <cellStyle name="Entrada 2 3 3 5 4" xfId="18553"/>
    <cellStyle name="Entrada 2 3 3 6" xfId="5532"/>
    <cellStyle name="Entrada 2 3 3 6 2" xfId="12083"/>
    <cellStyle name="Entrada 2 3 3 6 2 2" xfId="26405"/>
    <cellStyle name="Entrada 2 3 3 6 3" xfId="17728"/>
    <cellStyle name="Entrada 2 3 3 7" xfId="4583"/>
    <cellStyle name="Entrada 2 3 3 7 2" xfId="23049"/>
    <cellStyle name="Entrada 2 3 3 8" xfId="15397"/>
    <cellStyle name="Entrada 2 3 4" xfId="475"/>
    <cellStyle name="Entrada 2 3 4 2" xfId="476"/>
    <cellStyle name="Entrada 2 3 4 2 2" xfId="477"/>
    <cellStyle name="Entrada 2 3 4 2 2 2" xfId="5889"/>
    <cellStyle name="Entrada 2 3 4 2 2 2 2" xfId="12442"/>
    <cellStyle name="Entrada 2 3 4 2 2 2 2 2" xfId="26764"/>
    <cellStyle name="Entrada 2 3 4 2 2 2 3" xfId="18087"/>
    <cellStyle name="Entrada 2 3 4 2 2 3" xfId="7972"/>
    <cellStyle name="Entrada 2 3 4 2 2 3 2" xfId="10586"/>
    <cellStyle name="Entrada 2 3 4 2 2 3 2 2" xfId="16848"/>
    <cellStyle name="Entrada 2 3 4 2 2 3 2 2 2" xfId="30264"/>
    <cellStyle name="Entrada 2 3 4 2 2 3 2 3" xfId="21593"/>
    <cellStyle name="Entrada 2 3 4 2 2 3 3" xfId="14576"/>
    <cellStyle name="Entrada 2 3 4 2 2 3 3 2" xfId="28898"/>
    <cellStyle name="Entrada 2 3 4 2 2 3 4" xfId="20221"/>
    <cellStyle name="Entrada 2 3 4 2 2 4" xfId="3995"/>
    <cellStyle name="Entrada 2 3 4 2 2 4 2" xfId="22692"/>
    <cellStyle name="Entrada 2 3 4 2 2 5" xfId="14928"/>
    <cellStyle name="Entrada 2 3 4 2 3" xfId="478"/>
    <cellStyle name="Entrada 2 3 4 2 3 2" xfId="7666"/>
    <cellStyle name="Entrada 2 3 4 2 3 2 2" xfId="10280"/>
    <cellStyle name="Entrada 2 3 4 2 3 2 2 2" xfId="16542"/>
    <cellStyle name="Entrada 2 3 4 2 3 2 2 2 2" xfId="29958"/>
    <cellStyle name="Entrada 2 3 4 2 3 2 2 3" xfId="21287"/>
    <cellStyle name="Entrada 2 3 4 2 3 2 3" xfId="14270"/>
    <cellStyle name="Entrada 2 3 4 2 3 2 3 2" xfId="28592"/>
    <cellStyle name="Entrada 2 3 4 2 3 2 4" xfId="19915"/>
    <cellStyle name="Entrada 2 3 4 2 3 3" xfId="13278"/>
    <cellStyle name="Entrada 2 3 4 2 3 3 2" xfId="27600"/>
    <cellStyle name="Entrada 2 3 4 2 3 4" xfId="18923"/>
    <cellStyle name="Entrada 2 3 4 2 4" xfId="5726"/>
    <cellStyle name="Entrada 2 3 4 2 4 2" xfId="12279"/>
    <cellStyle name="Entrada 2 3 4 2 4 2 2" xfId="26601"/>
    <cellStyle name="Entrada 2 3 4 2 4 3" xfId="17924"/>
    <cellStyle name="Entrada 2 3 4 2 5" xfId="3732"/>
    <cellStyle name="Entrada 2 3 4 2 5 2" xfId="22552"/>
    <cellStyle name="Entrada 2 3 4 2 6" xfId="15576"/>
    <cellStyle name="Entrada 2 3 4 3" xfId="479"/>
    <cellStyle name="Entrada 2 3 4 3 2" xfId="480"/>
    <cellStyle name="Entrada 2 3 4 3 2 2" xfId="5086"/>
    <cellStyle name="Entrada 2 3 4 3 2 2 2" xfId="11633"/>
    <cellStyle name="Entrada 2 3 4 3 2 2 2 2" xfId="25955"/>
    <cellStyle name="Entrada 2 3 4 3 2 2 3" xfId="14839"/>
    <cellStyle name="Entrada 2 3 4 3 2 3" xfId="7782"/>
    <cellStyle name="Entrada 2 3 4 3 2 3 2" xfId="10396"/>
    <cellStyle name="Entrada 2 3 4 3 2 3 2 2" xfId="16658"/>
    <cellStyle name="Entrada 2 3 4 3 2 3 2 2 2" xfId="30074"/>
    <cellStyle name="Entrada 2 3 4 3 2 3 2 3" xfId="21403"/>
    <cellStyle name="Entrada 2 3 4 3 2 3 3" xfId="14386"/>
    <cellStyle name="Entrada 2 3 4 3 2 3 3 2" xfId="28708"/>
    <cellStyle name="Entrada 2 3 4 3 2 3 4" xfId="20031"/>
    <cellStyle name="Entrada 2 3 4 3 2 4" xfId="5020"/>
    <cellStyle name="Entrada 2 3 4 3 2 4 2" xfId="23309"/>
    <cellStyle name="Entrada 2 3 4 3 2 5" xfId="15479"/>
    <cellStyle name="Entrada 2 3 4 3 3" xfId="481"/>
    <cellStyle name="Entrada 2 3 4 3 3 2" xfId="8055"/>
    <cellStyle name="Entrada 2 3 4 3 3 2 2" xfId="10669"/>
    <cellStyle name="Entrada 2 3 4 3 3 2 2 2" xfId="16931"/>
    <cellStyle name="Entrada 2 3 4 3 3 2 2 2 2" xfId="30347"/>
    <cellStyle name="Entrada 2 3 4 3 3 2 2 3" xfId="21676"/>
    <cellStyle name="Entrada 2 3 4 3 3 2 3" xfId="14659"/>
    <cellStyle name="Entrada 2 3 4 3 3 2 3 2" xfId="28981"/>
    <cellStyle name="Entrada 2 3 4 3 3 2 4" xfId="20304"/>
    <cellStyle name="Entrada 2 3 4 3 3 3" xfId="12690"/>
    <cellStyle name="Entrada 2 3 4 3 3 3 2" xfId="27012"/>
    <cellStyle name="Entrada 2 3 4 3 3 4" xfId="18335"/>
    <cellStyle name="Entrada 2 3 4 3 4" xfId="5196"/>
    <cellStyle name="Entrada 2 3 4 3 4 2" xfId="11745"/>
    <cellStyle name="Entrada 2 3 4 3 4 2 2" xfId="26067"/>
    <cellStyle name="Entrada 2 3 4 3 4 3" xfId="4931"/>
    <cellStyle name="Entrada 2 3 4 3 5" xfId="4787"/>
    <cellStyle name="Entrada 2 3 4 3 5 2" xfId="23187"/>
    <cellStyle name="Entrada 2 3 4 3 6" xfId="15056"/>
    <cellStyle name="Entrada 2 3 4 4" xfId="482"/>
    <cellStyle name="Entrada 2 3 4 4 2" xfId="6863"/>
    <cellStyle name="Entrada 2 3 4 4 2 2" xfId="13467"/>
    <cellStyle name="Entrada 2 3 4 4 2 2 2" xfId="27789"/>
    <cellStyle name="Entrada 2 3 4 4 2 3" xfId="19112"/>
    <cellStyle name="Entrada 2 3 4 4 3" xfId="7817"/>
    <cellStyle name="Entrada 2 3 4 4 3 2" xfId="10431"/>
    <cellStyle name="Entrada 2 3 4 4 3 2 2" xfId="16693"/>
    <cellStyle name="Entrada 2 3 4 4 3 2 2 2" xfId="30109"/>
    <cellStyle name="Entrada 2 3 4 4 3 2 3" xfId="21438"/>
    <cellStyle name="Entrada 2 3 4 4 3 3" xfId="14421"/>
    <cellStyle name="Entrada 2 3 4 4 3 3 2" xfId="28743"/>
    <cellStyle name="Entrada 2 3 4 4 3 4" xfId="20066"/>
    <cellStyle name="Entrada 2 3 4 4 4" xfId="11322"/>
    <cellStyle name="Entrada 2 3 4 4 4 2" xfId="25644"/>
    <cellStyle name="Entrada 2 3 4 4 5" xfId="15020"/>
    <cellStyle name="Entrada 2 3 4 5" xfId="483"/>
    <cellStyle name="Entrada 2 3 4 5 2" xfId="7421"/>
    <cellStyle name="Entrada 2 3 4 5 2 2" xfId="10035"/>
    <cellStyle name="Entrada 2 3 4 5 2 2 2" xfId="16297"/>
    <cellStyle name="Entrada 2 3 4 5 2 2 2 2" xfId="29713"/>
    <cellStyle name="Entrada 2 3 4 5 2 2 3" xfId="21042"/>
    <cellStyle name="Entrada 2 3 4 5 2 3" xfId="14025"/>
    <cellStyle name="Entrada 2 3 4 5 2 3 2" xfId="28347"/>
    <cellStyle name="Entrada 2 3 4 5 2 4" xfId="19670"/>
    <cellStyle name="Entrada 2 3 4 5 3" xfId="12841"/>
    <cellStyle name="Entrada 2 3 4 5 3 2" xfId="27163"/>
    <cellStyle name="Entrada 2 3 4 5 4" xfId="18486"/>
    <cellStyle name="Entrada 2 3 4 6" xfId="5421"/>
    <cellStyle name="Entrada 2 3 4 6 2" xfId="11972"/>
    <cellStyle name="Entrada 2 3 4 6 2 2" xfId="26294"/>
    <cellStyle name="Entrada 2 3 4 6 3" xfId="17617"/>
    <cellStyle name="Entrada 2 3 4 7" xfId="4927"/>
    <cellStyle name="Entrada 2 3 4 7 2" xfId="23265"/>
    <cellStyle name="Entrada 2 3 4 8" xfId="15192"/>
    <cellStyle name="Entrada 2 3 5" xfId="484"/>
    <cellStyle name="Entrada 2 3 5 2" xfId="485"/>
    <cellStyle name="Entrada 2 3 5 2 2" xfId="486"/>
    <cellStyle name="Entrada 2 3 5 2 2 2" xfId="7024"/>
    <cellStyle name="Entrada 2 3 5 2 2 2 2" xfId="13628"/>
    <cellStyle name="Entrada 2 3 5 2 2 2 2 2" xfId="27950"/>
    <cellStyle name="Entrada 2 3 5 2 2 2 3" xfId="19273"/>
    <cellStyle name="Entrada 2 3 5 2 2 3" xfId="7725"/>
    <cellStyle name="Entrada 2 3 5 2 2 3 2" xfId="10339"/>
    <cellStyle name="Entrada 2 3 5 2 2 3 2 2" xfId="16601"/>
    <cellStyle name="Entrada 2 3 5 2 2 3 2 2 2" xfId="30017"/>
    <cellStyle name="Entrada 2 3 5 2 2 3 2 3" xfId="21346"/>
    <cellStyle name="Entrada 2 3 5 2 2 3 3" xfId="14329"/>
    <cellStyle name="Entrada 2 3 5 2 2 3 3 2" xfId="28651"/>
    <cellStyle name="Entrada 2 3 5 2 2 3 4" xfId="19974"/>
    <cellStyle name="Entrada 2 3 5 2 2 4" xfId="11561"/>
    <cellStyle name="Entrada 2 3 5 2 2 4 2" xfId="25883"/>
    <cellStyle name="Entrada 2 3 5 2 2 5" xfId="4714"/>
    <cellStyle name="Entrada 2 3 5 2 3" xfId="487"/>
    <cellStyle name="Entrada 2 3 5 2 3 2" xfId="7373"/>
    <cellStyle name="Entrada 2 3 5 2 3 2 2" xfId="9987"/>
    <cellStyle name="Entrada 2 3 5 2 3 2 2 2" xfId="16249"/>
    <cellStyle name="Entrada 2 3 5 2 3 2 2 2 2" xfId="29665"/>
    <cellStyle name="Entrada 2 3 5 2 3 2 2 3" xfId="20994"/>
    <cellStyle name="Entrada 2 3 5 2 3 2 3" xfId="13977"/>
    <cellStyle name="Entrada 2 3 5 2 3 2 3 2" xfId="28299"/>
    <cellStyle name="Entrada 2 3 5 2 3 2 4" xfId="19622"/>
    <cellStyle name="Entrada 2 3 5 2 3 3" xfId="13410"/>
    <cellStyle name="Entrada 2 3 5 2 3 3 2" xfId="27732"/>
    <cellStyle name="Entrada 2 3 5 2 3 4" xfId="19055"/>
    <cellStyle name="Entrada 2 3 5 2 4" xfId="5878"/>
    <cellStyle name="Entrada 2 3 5 2 4 2" xfId="12431"/>
    <cellStyle name="Entrada 2 3 5 2 4 2 2" xfId="26753"/>
    <cellStyle name="Entrada 2 3 5 2 4 3" xfId="18076"/>
    <cellStyle name="Entrada 2 3 5 2 5" xfId="6311"/>
    <cellStyle name="Entrada 2 3 5 2 5 2" xfId="23507"/>
    <cellStyle name="Entrada 2 3 5 2 6" xfId="3188"/>
    <cellStyle name="Entrada 2 3 5 3" xfId="488"/>
    <cellStyle name="Entrada 2 3 5 3 2" xfId="5920"/>
    <cellStyle name="Entrada 2 3 5 3 2 2" xfId="12475"/>
    <cellStyle name="Entrada 2 3 5 3 2 2 2" xfId="26797"/>
    <cellStyle name="Entrada 2 3 5 3 2 3" xfId="18120"/>
    <cellStyle name="Entrada 2 3 5 3 3" xfId="5316"/>
    <cellStyle name="Entrada 2 3 5 3 3 2" xfId="9625"/>
    <cellStyle name="Entrada 2 3 5 3 3 2 2" xfId="15887"/>
    <cellStyle name="Entrada 2 3 5 3 3 2 2 2" xfId="29303"/>
    <cellStyle name="Entrada 2 3 5 3 3 2 3" xfId="20632"/>
    <cellStyle name="Entrada 2 3 5 3 3 3" xfId="11866"/>
    <cellStyle name="Entrada 2 3 5 3 3 3 2" xfId="26188"/>
    <cellStyle name="Entrada 2 3 5 3 3 4" xfId="17511"/>
    <cellStyle name="Entrada 2 3 5 3 4" xfId="4645"/>
    <cellStyle name="Entrada 2 3 5 3 4 2" xfId="23089"/>
    <cellStyle name="Entrada 2 3 5 3 5" xfId="15497"/>
    <cellStyle name="Entrada 2 3 5 4" xfId="489"/>
    <cellStyle name="Entrada 2 3 5 4 2" xfId="4805"/>
    <cellStyle name="Entrada 2 3 5 4 2 2" xfId="9490"/>
    <cellStyle name="Entrada 2 3 5 4 2 2 2" xfId="15752"/>
    <cellStyle name="Entrada 2 3 5 4 2 2 2 2" xfId="29168"/>
    <cellStyle name="Entrada 2 3 5 4 2 2 3" xfId="20497"/>
    <cellStyle name="Entrada 2 3 5 4 2 3" xfId="11335"/>
    <cellStyle name="Entrada 2 3 5 4 2 3 2" xfId="25657"/>
    <cellStyle name="Entrada 2 3 5 4 2 4" xfId="15572"/>
    <cellStyle name="Entrada 2 3 5 4 3" xfId="12943"/>
    <cellStyle name="Entrada 2 3 5 4 3 2" xfId="27265"/>
    <cellStyle name="Entrada 2 3 5 4 4" xfId="18588"/>
    <cellStyle name="Entrada 2 3 5 5" xfId="5597"/>
    <cellStyle name="Entrada 2 3 5 5 2" xfId="12149"/>
    <cellStyle name="Entrada 2 3 5 5 2 2" xfId="26471"/>
    <cellStyle name="Entrada 2 3 5 5 3" xfId="17794"/>
    <cellStyle name="Entrada 2 3 5 6" xfId="6287"/>
    <cellStyle name="Entrada 2 3 5 6 2" xfId="23489"/>
    <cellStyle name="Entrada 2 3 5 7" xfId="15559"/>
    <cellStyle name="Entrada 2 3 6" xfId="490"/>
    <cellStyle name="Entrada 2 3 6 2" xfId="491"/>
    <cellStyle name="Entrada 2 3 6 2 2" xfId="6440"/>
    <cellStyle name="Entrada 2 3 6 2 2 2" xfId="13023"/>
    <cellStyle name="Entrada 2 3 6 2 2 2 2" xfId="27345"/>
    <cellStyle name="Entrada 2 3 6 2 2 3" xfId="18668"/>
    <cellStyle name="Entrada 2 3 6 2 3" xfId="4096"/>
    <cellStyle name="Entrada 2 3 6 2 3 2" xfId="9424"/>
    <cellStyle name="Entrada 2 3 6 2 3 2 2" xfId="15686"/>
    <cellStyle name="Entrada 2 3 6 2 3 2 2 2" xfId="29102"/>
    <cellStyle name="Entrada 2 3 6 2 3 2 3" xfId="20431"/>
    <cellStyle name="Entrada 2 3 6 2 3 3" xfId="6514"/>
    <cellStyle name="Entrada 2 3 6 2 3 3 2" xfId="23578"/>
    <cellStyle name="Entrada 2 3 6 2 3 4" xfId="17099"/>
    <cellStyle name="Entrada 2 3 6 2 4" xfId="6121"/>
    <cellStyle name="Entrada 2 3 6 2 4 2" xfId="23419"/>
    <cellStyle name="Entrada 2 3 6 2 5" xfId="4212"/>
    <cellStyle name="Entrada 2 3 6 3" xfId="492"/>
    <cellStyle name="Entrada 2 3 6 3 2" xfId="4765"/>
    <cellStyle name="Entrada 2 3 6 3 2 2" xfId="9478"/>
    <cellStyle name="Entrada 2 3 6 3 2 2 2" xfId="15740"/>
    <cellStyle name="Entrada 2 3 6 3 2 2 2 2" xfId="29156"/>
    <cellStyle name="Entrada 2 3 6 3 2 2 3" xfId="20485"/>
    <cellStyle name="Entrada 2 3 6 3 2 3" xfId="2813"/>
    <cellStyle name="Entrada 2 3 6 3 2 3 2" xfId="22376"/>
    <cellStyle name="Entrada 2 3 6 3 2 4" xfId="15580"/>
    <cellStyle name="Entrada 2 3 6 3 3" xfId="13384"/>
    <cellStyle name="Entrada 2 3 6 3 3 2" xfId="27706"/>
    <cellStyle name="Entrada 2 3 6 3 4" xfId="19029"/>
    <cellStyle name="Entrada 2 3 6 4" xfId="5844"/>
    <cellStyle name="Entrada 2 3 6 4 2" xfId="12397"/>
    <cellStyle name="Entrada 2 3 6 4 2 2" xfId="26719"/>
    <cellStyle name="Entrada 2 3 6 4 3" xfId="18042"/>
    <cellStyle name="Entrada 2 3 6 5" xfId="3785"/>
    <cellStyle name="Entrada 2 3 6 5 2" xfId="22577"/>
    <cellStyle name="Entrada 2 3 6 6" xfId="17336"/>
    <cellStyle name="Entrada 2 3 7" xfId="493"/>
    <cellStyle name="Entrada 2 3 7 2" xfId="7012"/>
    <cellStyle name="Entrada 2 3 7 2 2" xfId="13616"/>
    <cellStyle name="Entrada 2 3 7 2 2 2" xfId="27938"/>
    <cellStyle name="Entrada 2 3 7 2 3" xfId="19261"/>
    <cellStyle name="Entrada 2 3 7 3" xfId="3145"/>
    <cellStyle name="Entrada 2 3 7 3 2" xfId="8981"/>
    <cellStyle name="Entrada 2 3 7 3 2 2" xfId="15336"/>
    <cellStyle name="Entrada 2 3 7 3 2 2 2" xfId="28999"/>
    <cellStyle name="Entrada 2 3 7 3 2 3" xfId="20326"/>
    <cellStyle name="Entrada 2 3 7 3 3" xfId="6670"/>
    <cellStyle name="Entrada 2 3 7 3 3 2" xfId="23642"/>
    <cellStyle name="Entrada 2 3 7 3 4" xfId="6497"/>
    <cellStyle name="Entrada 2 3 7 4" xfId="11538"/>
    <cellStyle name="Entrada 2 3 7 4 2" xfId="25860"/>
    <cellStyle name="Entrada 2 3 7 5" xfId="14828"/>
    <cellStyle name="Entrada 2 3 8" xfId="494"/>
    <cellStyle name="Entrada 2 3 8 2" xfId="7171"/>
    <cellStyle name="Entrada 2 3 8 2 2" xfId="9785"/>
    <cellStyle name="Entrada 2 3 8 2 2 2" xfId="16047"/>
    <cellStyle name="Entrada 2 3 8 2 2 2 2" xfId="29463"/>
    <cellStyle name="Entrada 2 3 8 2 2 3" xfId="20792"/>
    <cellStyle name="Entrada 2 3 8 2 3" xfId="13775"/>
    <cellStyle name="Entrada 2 3 8 2 3 2" xfId="28097"/>
    <cellStyle name="Entrada 2 3 8 2 4" xfId="19420"/>
    <cellStyle name="Entrada 2 3 8 3" xfId="12536"/>
    <cellStyle name="Entrada 2 3 8 3 2" xfId="26858"/>
    <cellStyle name="Entrada 2 3 8 4" xfId="18181"/>
    <cellStyle name="Entrada 2 3 9" xfId="5076"/>
    <cellStyle name="Entrada 2 3 9 2" xfId="11623"/>
    <cellStyle name="Entrada 2 3 9 2 2" xfId="25945"/>
    <cellStyle name="Entrada 2 3 9 3" xfId="15289"/>
    <cellStyle name="Entrada 2 4" xfId="495"/>
    <cellStyle name="Entrada 2 4 2" xfId="496"/>
    <cellStyle name="Entrada 2 4 2 2" xfId="497"/>
    <cellStyle name="Entrada 2 4 2 2 2" xfId="6494"/>
    <cellStyle name="Entrada 2 4 2 2 2 2" xfId="13079"/>
    <cellStyle name="Entrada 2 4 2 2 2 2 2" xfId="27401"/>
    <cellStyle name="Entrada 2 4 2 2 2 3" xfId="18724"/>
    <cellStyle name="Entrada 2 4 2 2 3" xfId="7989"/>
    <cellStyle name="Entrada 2 4 2 2 3 2" xfId="10603"/>
    <cellStyle name="Entrada 2 4 2 2 3 2 2" xfId="16865"/>
    <cellStyle name="Entrada 2 4 2 2 3 2 2 2" xfId="30281"/>
    <cellStyle name="Entrada 2 4 2 2 3 2 3" xfId="21610"/>
    <cellStyle name="Entrada 2 4 2 2 3 3" xfId="14593"/>
    <cellStyle name="Entrada 2 4 2 2 3 3 2" xfId="28915"/>
    <cellStyle name="Entrada 2 4 2 2 3 4" xfId="20238"/>
    <cellStyle name="Entrada 2 4 2 2 4" xfId="4073"/>
    <cellStyle name="Entrada 2 4 2 2 4 2" xfId="22745"/>
    <cellStyle name="Entrada 2 4 2 2 5" xfId="14686"/>
    <cellStyle name="Entrada 2 4 2 3" xfId="498"/>
    <cellStyle name="Entrada 2 4 2 3 2" xfId="7263"/>
    <cellStyle name="Entrada 2 4 2 3 2 2" xfId="9877"/>
    <cellStyle name="Entrada 2 4 2 3 2 2 2" xfId="16139"/>
    <cellStyle name="Entrada 2 4 2 3 2 2 2 2" xfId="29555"/>
    <cellStyle name="Entrada 2 4 2 3 2 2 3" xfId="20884"/>
    <cellStyle name="Entrada 2 4 2 3 2 3" xfId="13867"/>
    <cellStyle name="Entrada 2 4 2 3 2 3 2" xfId="28189"/>
    <cellStyle name="Entrada 2 4 2 3 2 4" xfId="19512"/>
    <cellStyle name="Entrada 2 4 2 3 3" xfId="13264"/>
    <cellStyle name="Entrada 2 4 2 3 3 2" xfId="27586"/>
    <cellStyle name="Entrada 2 4 2 3 4" xfId="18909"/>
    <cellStyle name="Entrada 2 4 2 4" xfId="5710"/>
    <cellStyle name="Entrada 2 4 2 4 2" xfId="12263"/>
    <cellStyle name="Entrada 2 4 2 4 2 2" xfId="26585"/>
    <cellStyle name="Entrada 2 4 2 4 3" xfId="17908"/>
    <cellStyle name="Entrada 2 4 2 5" xfId="3024"/>
    <cellStyle name="Entrada 2 4 2 5 2" xfId="22412"/>
    <cellStyle name="Entrada 2 4 2 6" xfId="17293"/>
    <cellStyle name="Entrada 2 4 3" xfId="499"/>
    <cellStyle name="Entrada 2 4 3 2" xfId="500"/>
    <cellStyle name="Entrada 2 4 3 2 2" xfId="6566"/>
    <cellStyle name="Entrada 2 4 3 2 2 2" xfId="13154"/>
    <cellStyle name="Entrada 2 4 3 2 2 2 2" xfId="27476"/>
    <cellStyle name="Entrada 2 4 3 2 2 3" xfId="18799"/>
    <cellStyle name="Entrada 2 4 3 2 3" xfId="7052"/>
    <cellStyle name="Entrada 2 4 3 2 3 2" xfId="9666"/>
    <cellStyle name="Entrada 2 4 3 2 3 2 2" xfId="15928"/>
    <cellStyle name="Entrada 2 4 3 2 3 2 2 2" xfId="29344"/>
    <cellStyle name="Entrada 2 4 3 2 3 2 3" xfId="20673"/>
    <cellStyle name="Entrada 2 4 3 2 3 3" xfId="13656"/>
    <cellStyle name="Entrada 2 4 3 2 3 3 2" xfId="27978"/>
    <cellStyle name="Entrada 2 4 3 2 3 4" xfId="19301"/>
    <cellStyle name="Entrada 2 4 3 2 4" xfId="6142"/>
    <cellStyle name="Entrada 2 4 3 2 4 2" xfId="23427"/>
    <cellStyle name="Entrada 2 4 3 2 5" xfId="16954"/>
    <cellStyle name="Entrada 2 4 3 3" xfId="501"/>
    <cellStyle name="Entrada 2 4 3 3 2" xfId="7169"/>
    <cellStyle name="Entrada 2 4 3 3 2 2" xfId="9783"/>
    <cellStyle name="Entrada 2 4 3 3 2 2 2" xfId="16045"/>
    <cellStyle name="Entrada 2 4 3 3 2 2 2 2" xfId="29461"/>
    <cellStyle name="Entrada 2 4 3 3 2 2 3" xfId="20790"/>
    <cellStyle name="Entrada 2 4 3 3 2 3" xfId="13773"/>
    <cellStyle name="Entrada 2 4 3 3 2 3 2" xfId="28095"/>
    <cellStyle name="Entrada 2 4 3 3 2 4" xfId="19418"/>
    <cellStyle name="Entrada 2 4 3 3 3" xfId="13037"/>
    <cellStyle name="Entrada 2 4 3 3 3 2" xfId="27359"/>
    <cellStyle name="Entrada 2 4 3 3 4" xfId="18682"/>
    <cellStyle name="Entrada 2 4 3 4" xfId="5352"/>
    <cellStyle name="Entrada 2 4 3 4 2" xfId="11902"/>
    <cellStyle name="Entrada 2 4 3 4 2 2" xfId="26224"/>
    <cellStyle name="Entrada 2 4 3 4 3" xfId="17547"/>
    <cellStyle name="Entrada 2 4 3 5" xfId="6703"/>
    <cellStyle name="Entrada 2 4 3 5 2" xfId="23662"/>
    <cellStyle name="Entrada 2 4 3 6" xfId="17369"/>
    <cellStyle name="Entrada 2 4 4" xfId="502"/>
    <cellStyle name="Entrada 2 4 4 2" xfId="6094"/>
    <cellStyle name="Entrada 2 4 4 2 2" xfId="12661"/>
    <cellStyle name="Entrada 2 4 4 2 2 2" xfId="26983"/>
    <cellStyle name="Entrada 2 4 4 2 3" xfId="18306"/>
    <cellStyle name="Entrada 2 4 4 3" xfId="7527"/>
    <cellStyle name="Entrada 2 4 4 3 2" xfId="10141"/>
    <cellStyle name="Entrada 2 4 4 3 2 2" xfId="16403"/>
    <cellStyle name="Entrada 2 4 4 3 2 2 2" xfId="29819"/>
    <cellStyle name="Entrada 2 4 4 3 2 3" xfId="21148"/>
    <cellStyle name="Entrada 2 4 4 3 3" xfId="14131"/>
    <cellStyle name="Entrada 2 4 4 3 3 2" xfId="28453"/>
    <cellStyle name="Entrada 2 4 4 3 4" xfId="19776"/>
    <cellStyle name="Entrada 2 4 4 4" xfId="3898"/>
    <cellStyle name="Entrada 2 4 4 4 2" xfId="22634"/>
    <cellStyle name="Entrada 2 4 4 5" xfId="15206"/>
    <cellStyle name="Entrada 2 4 5" xfId="503"/>
    <cellStyle name="Entrada 2 4 5 2" xfId="5328"/>
    <cellStyle name="Entrada 2 4 5 2 2" xfId="9637"/>
    <cellStyle name="Entrada 2 4 5 2 2 2" xfId="15899"/>
    <cellStyle name="Entrada 2 4 5 2 2 2 2" xfId="29315"/>
    <cellStyle name="Entrada 2 4 5 2 2 3" xfId="20644"/>
    <cellStyle name="Entrada 2 4 5 2 3" xfId="11878"/>
    <cellStyle name="Entrada 2 4 5 2 3 2" xfId="26200"/>
    <cellStyle name="Entrada 2 4 5 2 4" xfId="17523"/>
    <cellStyle name="Entrada 2 4 5 3" xfId="12820"/>
    <cellStyle name="Entrada 2 4 5 3 2" xfId="27142"/>
    <cellStyle name="Entrada 2 4 5 4" xfId="18465"/>
    <cellStyle name="Entrada 2 4 6" xfId="5360"/>
    <cellStyle name="Entrada 2 4 6 2" xfId="11910"/>
    <cellStyle name="Entrada 2 4 6 2 2" xfId="26232"/>
    <cellStyle name="Entrada 2 4 6 3" xfId="17555"/>
    <cellStyle name="Entrada 2 4 7" xfId="4474"/>
    <cellStyle name="Entrada 2 4 7 2" xfId="22972"/>
    <cellStyle name="Entrada 2 4 8" xfId="17009"/>
    <cellStyle name="Entrada 2 5" xfId="504"/>
    <cellStyle name="Entrada 2 5 2" xfId="505"/>
    <cellStyle name="Entrada 2 5 2 2" xfId="506"/>
    <cellStyle name="Entrada 2 5 2 2 2" xfId="5905"/>
    <cellStyle name="Entrada 2 5 2 2 2 2" xfId="12459"/>
    <cellStyle name="Entrada 2 5 2 2 2 2 2" xfId="26781"/>
    <cellStyle name="Entrada 2 5 2 2 2 3" xfId="18104"/>
    <cellStyle name="Entrada 2 5 2 2 3" xfId="8023"/>
    <cellStyle name="Entrada 2 5 2 2 3 2" xfId="10637"/>
    <cellStyle name="Entrada 2 5 2 2 3 2 2" xfId="16899"/>
    <cellStyle name="Entrada 2 5 2 2 3 2 2 2" xfId="30315"/>
    <cellStyle name="Entrada 2 5 2 2 3 2 3" xfId="21644"/>
    <cellStyle name="Entrada 2 5 2 2 3 3" xfId="14627"/>
    <cellStyle name="Entrada 2 5 2 2 3 3 2" xfId="28949"/>
    <cellStyle name="Entrada 2 5 2 2 3 4" xfId="20272"/>
    <cellStyle name="Entrada 2 5 2 2 4" xfId="6452"/>
    <cellStyle name="Entrada 2 5 2 2 4 2" xfId="23551"/>
    <cellStyle name="Entrada 2 5 2 2 5" xfId="4938"/>
    <cellStyle name="Entrada 2 5 2 3" xfId="507"/>
    <cellStyle name="Entrada 2 5 2 3 2" xfId="7317"/>
    <cellStyle name="Entrada 2 5 2 3 2 2" xfId="9931"/>
    <cellStyle name="Entrada 2 5 2 3 2 2 2" xfId="16193"/>
    <cellStyle name="Entrada 2 5 2 3 2 2 2 2" xfId="29609"/>
    <cellStyle name="Entrada 2 5 2 3 2 2 3" xfId="20938"/>
    <cellStyle name="Entrada 2 5 2 3 2 3" xfId="13921"/>
    <cellStyle name="Entrada 2 5 2 3 2 3 2" xfId="28243"/>
    <cellStyle name="Entrada 2 5 2 3 2 4" xfId="19566"/>
    <cellStyle name="Entrada 2 5 2 3 3" xfId="13210"/>
    <cellStyle name="Entrada 2 5 2 3 3 2" xfId="27532"/>
    <cellStyle name="Entrada 2 5 2 3 4" xfId="18855"/>
    <cellStyle name="Entrada 2 5 2 4" xfId="5649"/>
    <cellStyle name="Entrada 2 5 2 4 2" xfId="12202"/>
    <cellStyle name="Entrada 2 5 2 4 2 2" xfId="26524"/>
    <cellStyle name="Entrada 2 5 2 4 3" xfId="17847"/>
    <cellStyle name="Entrada 2 5 2 5" xfId="6750"/>
    <cellStyle name="Entrada 2 5 2 5 2" xfId="23698"/>
    <cellStyle name="Entrada 2 5 2 6" xfId="14870"/>
    <cellStyle name="Entrada 2 5 3" xfId="508"/>
    <cellStyle name="Entrada 2 5 3 2" xfId="509"/>
    <cellStyle name="Entrada 2 5 3 2 2" xfId="5986"/>
    <cellStyle name="Entrada 2 5 3 2 2 2" xfId="12544"/>
    <cellStyle name="Entrada 2 5 3 2 2 2 2" xfId="26866"/>
    <cellStyle name="Entrada 2 5 3 2 2 3" xfId="18189"/>
    <cellStyle name="Entrada 2 5 3 2 3" xfId="7832"/>
    <cellStyle name="Entrada 2 5 3 2 3 2" xfId="10446"/>
    <cellStyle name="Entrada 2 5 3 2 3 2 2" xfId="16708"/>
    <cellStyle name="Entrada 2 5 3 2 3 2 2 2" xfId="30124"/>
    <cellStyle name="Entrada 2 5 3 2 3 2 3" xfId="21453"/>
    <cellStyle name="Entrada 2 5 3 2 3 3" xfId="14436"/>
    <cellStyle name="Entrada 2 5 3 2 3 3 2" xfId="28758"/>
    <cellStyle name="Entrada 2 5 3 2 3 4" xfId="20081"/>
    <cellStyle name="Entrada 2 5 3 2 4" xfId="4288"/>
    <cellStyle name="Entrada 2 5 3 2 4 2" xfId="22872"/>
    <cellStyle name="Entrada 2 5 3 2 5" xfId="17017"/>
    <cellStyle name="Entrada 2 5 3 3" xfId="510"/>
    <cellStyle name="Entrada 2 5 3 3 2" xfId="7378"/>
    <cellStyle name="Entrada 2 5 3 3 2 2" xfId="9992"/>
    <cellStyle name="Entrada 2 5 3 3 2 2 2" xfId="16254"/>
    <cellStyle name="Entrada 2 5 3 3 2 2 2 2" xfId="29670"/>
    <cellStyle name="Entrada 2 5 3 3 2 2 3" xfId="20999"/>
    <cellStyle name="Entrada 2 5 3 3 2 3" xfId="13982"/>
    <cellStyle name="Entrada 2 5 3 3 2 3 2" xfId="28304"/>
    <cellStyle name="Entrada 2 5 3 3 2 4" xfId="19627"/>
    <cellStyle name="Entrada 2 5 3 3 3" xfId="12647"/>
    <cellStyle name="Entrada 2 5 3 3 3 2" xfId="26969"/>
    <cellStyle name="Entrada 2 5 3 3 4" xfId="18292"/>
    <cellStyle name="Entrada 2 5 3 4" xfId="5222"/>
    <cellStyle name="Entrada 2 5 3 4 2" xfId="11771"/>
    <cellStyle name="Entrada 2 5 3 4 2 2" xfId="26093"/>
    <cellStyle name="Entrada 2 5 3 4 3" xfId="17416"/>
    <cellStyle name="Entrada 2 5 3 5" xfId="3287"/>
    <cellStyle name="Entrada 2 5 3 5 2" xfId="22462"/>
    <cellStyle name="Entrada 2 5 3 6" xfId="14965"/>
    <cellStyle name="Entrada 2 5 4" xfId="511"/>
    <cellStyle name="Entrada 2 5 4 2" xfId="6587"/>
    <cellStyle name="Entrada 2 5 4 2 2" xfId="13176"/>
    <cellStyle name="Entrada 2 5 4 2 2 2" xfId="27498"/>
    <cellStyle name="Entrada 2 5 4 2 3" xfId="18821"/>
    <cellStyle name="Entrada 2 5 4 3" xfId="7875"/>
    <cellStyle name="Entrada 2 5 4 3 2" xfId="10489"/>
    <cellStyle name="Entrada 2 5 4 3 2 2" xfId="16751"/>
    <cellStyle name="Entrada 2 5 4 3 2 2 2" xfId="30167"/>
    <cellStyle name="Entrada 2 5 4 3 2 3" xfId="21496"/>
    <cellStyle name="Entrada 2 5 4 3 3" xfId="14479"/>
    <cellStyle name="Entrada 2 5 4 3 3 2" xfId="28801"/>
    <cellStyle name="Entrada 2 5 4 3 4" xfId="20124"/>
    <cellStyle name="Entrada 2 5 4 4" xfId="6309"/>
    <cellStyle name="Entrada 2 5 4 4 2" xfId="23505"/>
    <cellStyle name="Entrada 2 5 4 5" xfId="3817"/>
    <cellStyle name="Entrada 2 5 5" xfId="512"/>
    <cellStyle name="Entrada 2 5 5 2" xfId="7462"/>
    <cellStyle name="Entrada 2 5 5 2 2" xfId="10076"/>
    <cellStyle name="Entrada 2 5 5 2 2 2" xfId="16338"/>
    <cellStyle name="Entrada 2 5 5 2 2 2 2" xfId="29754"/>
    <cellStyle name="Entrada 2 5 5 2 2 3" xfId="21083"/>
    <cellStyle name="Entrada 2 5 5 2 3" xfId="14066"/>
    <cellStyle name="Entrada 2 5 5 2 3 2" xfId="28388"/>
    <cellStyle name="Entrada 2 5 5 2 4" xfId="19711"/>
    <cellStyle name="Entrada 2 5 5 3" xfId="12071"/>
    <cellStyle name="Entrada 2 5 5 3 2" xfId="26393"/>
    <cellStyle name="Entrada 2 5 5 4" xfId="17716"/>
    <cellStyle name="Entrada 2 5 6" xfId="5185"/>
    <cellStyle name="Entrada 2 5 6 2" xfId="11734"/>
    <cellStyle name="Entrada 2 5 6 2 2" xfId="26056"/>
    <cellStyle name="Entrada 2 5 6 3" xfId="3977"/>
    <cellStyle name="Entrada 2 5 7" xfId="3658"/>
    <cellStyle name="Entrada 2 5 7 2" xfId="22509"/>
    <cellStyle name="Entrada 2 5 8" xfId="15211"/>
    <cellStyle name="Entrada 2 6" xfId="513"/>
    <cellStyle name="Entrada 2 6 2" xfId="514"/>
    <cellStyle name="Entrada 2 6 2 2" xfId="515"/>
    <cellStyle name="Entrada 2 6 2 2 2" xfId="6375"/>
    <cellStyle name="Entrada 2 6 2 2 2 2" xfId="12958"/>
    <cellStyle name="Entrada 2 6 2 2 2 2 2" xfId="27280"/>
    <cellStyle name="Entrada 2 6 2 2 2 3" xfId="18603"/>
    <cellStyle name="Entrada 2 6 2 2 3" xfId="7745"/>
    <cellStyle name="Entrada 2 6 2 2 3 2" xfId="10359"/>
    <cellStyle name="Entrada 2 6 2 2 3 2 2" xfId="16621"/>
    <cellStyle name="Entrada 2 6 2 2 3 2 2 2" xfId="30037"/>
    <cellStyle name="Entrada 2 6 2 2 3 2 3" xfId="21366"/>
    <cellStyle name="Entrada 2 6 2 2 3 3" xfId="14349"/>
    <cellStyle name="Entrada 2 6 2 2 3 3 2" xfId="28671"/>
    <cellStyle name="Entrada 2 6 2 2 3 4" xfId="19994"/>
    <cellStyle name="Entrada 2 6 2 2 4" xfId="6597"/>
    <cellStyle name="Entrada 2 6 2 2 4 2" xfId="23594"/>
    <cellStyle name="Entrada 2 6 2 2 5" xfId="15068"/>
    <cellStyle name="Entrada 2 6 2 3" xfId="516"/>
    <cellStyle name="Entrada 2 6 2 3 2" xfId="7911"/>
    <cellStyle name="Entrada 2 6 2 3 2 2" xfId="10525"/>
    <cellStyle name="Entrada 2 6 2 3 2 2 2" xfId="16787"/>
    <cellStyle name="Entrada 2 6 2 3 2 2 2 2" xfId="30203"/>
    <cellStyle name="Entrada 2 6 2 3 2 2 3" xfId="21532"/>
    <cellStyle name="Entrada 2 6 2 3 2 3" xfId="14515"/>
    <cellStyle name="Entrada 2 6 2 3 2 3 2" xfId="28837"/>
    <cellStyle name="Entrada 2 6 2 3 2 4" xfId="20160"/>
    <cellStyle name="Entrada 2 6 2 3 3" xfId="13205"/>
    <cellStyle name="Entrada 2 6 2 3 3 2" xfId="27527"/>
    <cellStyle name="Entrada 2 6 2 3 4" xfId="18850"/>
    <cellStyle name="Entrada 2 6 2 4" xfId="5644"/>
    <cellStyle name="Entrada 2 6 2 4 2" xfId="12197"/>
    <cellStyle name="Entrada 2 6 2 4 2 2" xfId="26519"/>
    <cellStyle name="Entrada 2 6 2 4 3" xfId="17842"/>
    <cellStyle name="Entrada 2 6 2 5" xfId="6340"/>
    <cellStyle name="Entrada 2 6 2 5 2" xfId="23526"/>
    <cellStyle name="Entrada 2 6 2 6" xfId="17224"/>
    <cellStyle name="Entrada 2 6 3" xfId="517"/>
    <cellStyle name="Entrada 2 6 3 2" xfId="518"/>
    <cellStyle name="Entrada 2 6 3 2 2" xfId="6082"/>
    <cellStyle name="Entrada 2 6 3 2 2 2" xfId="12648"/>
    <cellStyle name="Entrada 2 6 3 2 2 2 2" xfId="26970"/>
    <cellStyle name="Entrada 2 6 3 2 2 3" xfId="18293"/>
    <cellStyle name="Entrada 2 6 3 2 3" xfId="7312"/>
    <cellStyle name="Entrada 2 6 3 2 3 2" xfId="9926"/>
    <cellStyle name="Entrada 2 6 3 2 3 2 2" xfId="16188"/>
    <cellStyle name="Entrada 2 6 3 2 3 2 2 2" xfId="29604"/>
    <cellStyle name="Entrada 2 6 3 2 3 2 3" xfId="20933"/>
    <cellStyle name="Entrada 2 6 3 2 3 3" xfId="13916"/>
    <cellStyle name="Entrada 2 6 3 2 3 3 2" xfId="28238"/>
    <cellStyle name="Entrada 2 6 3 2 3 4" xfId="19561"/>
    <cellStyle name="Entrada 2 6 3 2 4" xfId="6129"/>
    <cellStyle name="Entrada 2 6 3 2 4 2" xfId="23422"/>
    <cellStyle name="Entrada 2 6 3 2 5" xfId="3728"/>
    <cellStyle name="Entrada 2 6 3 3" xfId="519"/>
    <cellStyle name="Entrada 2 6 3 3 2" xfId="5277"/>
    <cellStyle name="Entrada 2 6 3 3 2 2" xfId="9586"/>
    <cellStyle name="Entrada 2 6 3 3 2 2 2" xfId="15848"/>
    <cellStyle name="Entrada 2 6 3 3 2 2 2 2" xfId="29264"/>
    <cellStyle name="Entrada 2 6 3 3 2 2 3" xfId="20593"/>
    <cellStyle name="Entrada 2 6 3 3 2 3" xfId="11827"/>
    <cellStyle name="Entrada 2 6 3 3 2 3 2" xfId="26149"/>
    <cellStyle name="Entrada 2 6 3 3 2 4" xfId="17472"/>
    <cellStyle name="Entrada 2 6 3 3 3" xfId="12625"/>
    <cellStyle name="Entrada 2 6 3 3 3 2" xfId="26947"/>
    <cellStyle name="Entrada 2 6 3 3 4" xfId="18270"/>
    <cellStyle name="Entrada 2 6 3 4" xfId="4389"/>
    <cellStyle name="Entrada 2 6 3 4 2" xfId="6600"/>
    <cellStyle name="Entrada 2 6 3 4 2 2" xfId="23596"/>
    <cellStyle name="Entrada 2 6 3 4 3" xfId="15510"/>
    <cellStyle name="Entrada 2 6 3 5" xfId="4532"/>
    <cellStyle name="Entrada 2 6 3 5 2" xfId="23012"/>
    <cellStyle name="Entrada 2 6 3 6" xfId="15229"/>
    <cellStyle name="Entrada 2 6 4" xfId="520"/>
    <cellStyle name="Entrada 2 6 4 2" xfId="6544"/>
    <cellStyle name="Entrada 2 6 4 2 2" xfId="13132"/>
    <cellStyle name="Entrada 2 6 4 2 2 2" xfId="27454"/>
    <cellStyle name="Entrada 2 6 4 2 3" xfId="18777"/>
    <cellStyle name="Entrada 2 6 4 3" xfId="7720"/>
    <cellStyle name="Entrada 2 6 4 3 2" xfId="10334"/>
    <cellStyle name="Entrada 2 6 4 3 2 2" xfId="16596"/>
    <cellStyle name="Entrada 2 6 4 3 2 2 2" xfId="30012"/>
    <cellStyle name="Entrada 2 6 4 3 2 3" xfId="21341"/>
    <cellStyle name="Entrada 2 6 4 3 3" xfId="14324"/>
    <cellStyle name="Entrada 2 6 4 3 3 2" xfId="28646"/>
    <cellStyle name="Entrada 2 6 4 3 4" xfId="19969"/>
    <cellStyle name="Entrada 2 6 4 4" xfId="3902"/>
    <cellStyle name="Entrada 2 6 4 4 2" xfId="22636"/>
    <cellStyle name="Entrada 2 6 4 5" xfId="14833"/>
    <cellStyle name="Entrada 2 6 5" xfId="521"/>
    <cellStyle name="Entrada 2 6 5 2" xfId="7259"/>
    <cellStyle name="Entrada 2 6 5 2 2" xfId="9873"/>
    <cellStyle name="Entrada 2 6 5 2 2 2" xfId="16135"/>
    <cellStyle name="Entrada 2 6 5 2 2 2 2" xfId="29551"/>
    <cellStyle name="Entrada 2 6 5 2 2 3" xfId="20880"/>
    <cellStyle name="Entrada 2 6 5 2 3" xfId="13863"/>
    <cellStyle name="Entrada 2 6 5 2 3 2" xfId="28185"/>
    <cellStyle name="Entrada 2 6 5 2 4" xfId="19508"/>
    <cellStyle name="Entrada 2 6 5 3" xfId="12480"/>
    <cellStyle name="Entrada 2 6 5 3 2" xfId="26802"/>
    <cellStyle name="Entrada 2 6 5 4" xfId="18125"/>
    <cellStyle name="Entrada 2 6 6" xfId="5064"/>
    <cellStyle name="Entrada 2 6 6 2" xfId="11611"/>
    <cellStyle name="Entrada 2 6 6 2 2" xfId="25933"/>
    <cellStyle name="Entrada 2 6 6 3" xfId="4164"/>
    <cellStyle name="Entrada 2 6 7" xfId="4498"/>
    <cellStyle name="Entrada 2 6 7 2" xfId="22990"/>
    <cellStyle name="Entrada 2 6 8" xfId="15173"/>
    <cellStyle name="Entrada 2 7" xfId="522"/>
    <cellStyle name="Entrada 2 7 2" xfId="523"/>
    <cellStyle name="Entrada 2 7 2 2" xfId="524"/>
    <cellStyle name="Entrada 2 7 2 2 2" xfId="6511"/>
    <cellStyle name="Entrada 2 7 2 2 2 2" xfId="13098"/>
    <cellStyle name="Entrada 2 7 2 2 2 2 2" xfId="27420"/>
    <cellStyle name="Entrada 2 7 2 2 2 3" xfId="18743"/>
    <cellStyle name="Entrada 2 7 2 2 3" xfId="7635"/>
    <cellStyle name="Entrada 2 7 2 2 3 2" xfId="10249"/>
    <cellStyle name="Entrada 2 7 2 2 3 2 2" xfId="16511"/>
    <cellStyle name="Entrada 2 7 2 2 3 2 2 2" xfId="29927"/>
    <cellStyle name="Entrada 2 7 2 2 3 2 3" xfId="21256"/>
    <cellStyle name="Entrada 2 7 2 2 3 3" xfId="14239"/>
    <cellStyle name="Entrada 2 7 2 2 3 3 2" xfId="28561"/>
    <cellStyle name="Entrada 2 7 2 2 3 4" xfId="19884"/>
    <cellStyle name="Entrada 2 7 2 2 4" xfId="4939"/>
    <cellStyle name="Entrada 2 7 2 2 4 2" xfId="23271"/>
    <cellStyle name="Entrada 2 7 2 2 5" xfId="17287"/>
    <cellStyle name="Entrada 2 7 2 3" xfId="525"/>
    <cellStyle name="Entrada 2 7 2 3 2" xfId="7134"/>
    <cellStyle name="Entrada 2 7 2 3 2 2" xfId="9748"/>
    <cellStyle name="Entrada 2 7 2 3 2 2 2" xfId="16010"/>
    <cellStyle name="Entrada 2 7 2 3 2 2 2 2" xfId="29426"/>
    <cellStyle name="Entrada 2 7 2 3 2 2 3" xfId="20755"/>
    <cellStyle name="Entrada 2 7 2 3 2 3" xfId="13738"/>
    <cellStyle name="Entrada 2 7 2 3 2 3 2" xfId="28060"/>
    <cellStyle name="Entrada 2 7 2 3 2 4" xfId="19383"/>
    <cellStyle name="Entrada 2 7 2 3 3" xfId="13034"/>
    <cellStyle name="Entrada 2 7 2 3 3 2" xfId="27356"/>
    <cellStyle name="Entrada 2 7 2 3 4" xfId="18679"/>
    <cellStyle name="Entrada 2 7 2 4" xfId="5347"/>
    <cellStyle name="Entrada 2 7 2 4 2" xfId="11897"/>
    <cellStyle name="Entrada 2 7 2 4 2 2" xfId="26219"/>
    <cellStyle name="Entrada 2 7 2 4 3" xfId="17542"/>
    <cellStyle name="Entrada 2 7 2 5" xfId="4277"/>
    <cellStyle name="Entrada 2 7 2 5 2" xfId="22866"/>
    <cellStyle name="Entrada 2 7 2 6" xfId="15309"/>
    <cellStyle name="Entrada 2 7 3" xfId="526"/>
    <cellStyle name="Entrada 2 7 3 2" xfId="5850"/>
    <cellStyle name="Entrada 2 7 3 2 2" xfId="12403"/>
    <cellStyle name="Entrada 2 7 3 2 2 2" xfId="26725"/>
    <cellStyle name="Entrada 2 7 3 2 3" xfId="18048"/>
    <cellStyle name="Entrada 2 7 3 3" xfId="5269"/>
    <cellStyle name="Entrada 2 7 3 3 2" xfId="9578"/>
    <cellStyle name="Entrada 2 7 3 3 2 2" xfId="15840"/>
    <cellStyle name="Entrada 2 7 3 3 2 2 2" xfId="29256"/>
    <cellStyle name="Entrada 2 7 3 3 2 3" xfId="20585"/>
    <cellStyle name="Entrada 2 7 3 3 3" xfId="11819"/>
    <cellStyle name="Entrada 2 7 3 3 3 2" xfId="26141"/>
    <cellStyle name="Entrada 2 7 3 3 4" xfId="17464"/>
    <cellStyle name="Entrada 2 7 3 4" xfId="4002"/>
    <cellStyle name="Entrada 2 7 3 4 2" xfId="22696"/>
    <cellStyle name="Entrada 2 7 3 5" xfId="3193"/>
    <cellStyle name="Entrada 2 7 4" xfId="527"/>
    <cellStyle name="Entrada 2 7 4 2" xfId="8036"/>
    <cellStyle name="Entrada 2 7 4 2 2" xfId="10650"/>
    <cellStyle name="Entrada 2 7 4 2 2 2" xfId="16912"/>
    <cellStyle name="Entrada 2 7 4 2 2 2 2" xfId="30328"/>
    <cellStyle name="Entrada 2 7 4 2 2 3" xfId="21657"/>
    <cellStyle name="Entrada 2 7 4 2 3" xfId="14640"/>
    <cellStyle name="Entrada 2 7 4 2 3 2" xfId="28962"/>
    <cellStyle name="Entrada 2 7 4 2 4" xfId="20285"/>
    <cellStyle name="Entrada 2 7 4 3" xfId="12660"/>
    <cellStyle name="Entrada 2 7 4 3 2" xfId="26982"/>
    <cellStyle name="Entrada 2 7 4 4" xfId="18305"/>
    <cellStyle name="Entrada 2 7 5" xfId="4270"/>
    <cellStyle name="Entrada 2 7 5 2" xfId="4673"/>
    <cellStyle name="Entrada 2 7 5 2 2" xfId="23112"/>
    <cellStyle name="Entrada 2 7 5 3" xfId="15440"/>
    <cellStyle name="Entrada 2 7 6" xfId="6302"/>
    <cellStyle name="Entrada 2 7 6 2" xfId="23499"/>
    <cellStyle name="Entrada 2 7 7" xfId="4309"/>
    <cellStyle name="Entrada 2 8" xfId="528"/>
    <cellStyle name="Entrada 2 8 2" xfId="529"/>
    <cellStyle name="Entrada 2 8 2 2" xfId="6372"/>
    <cellStyle name="Entrada 2 8 2 2 2" xfId="12955"/>
    <cellStyle name="Entrada 2 8 2 2 2 2" xfId="27277"/>
    <cellStyle name="Entrada 2 8 2 2 3" xfId="18600"/>
    <cellStyle name="Entrada 2 8 2 3" xfId="4332"/>
    <cellStyle name="Entrada 2 8 2 3 2" xfId="9450"/>
    <cellStyle name="Entrada 2 8 2 3 2 2" xfId="15712"/>
    <cellStyle name="Entrada 2 8 2 3 2 2 2" xfId="29128"/>
    <cellStyle name="Entrada 2 8 2 3 2 3" xfId="20457"/>
    <cellStyle name="Entrada 2 8 2 3 3" xfId="4995"/>
    <cellStyle name="Entrada 2 8 2 3 3 2" xfId="23299"/>
    <cellStyle name="Entrada 2 8 2 3 4" xfId="14735"/>
    <cellStyle name="Entrada 2 8 2 4" xfId="6165"/>
    <cellStyle name="Entrada 2 8 2 4 2" xfId="23438"/>
    <cellStyle name="Entrada 2 8 2 5" xfId="6245"/>
    <cellStyle name="Entrada 2 8 3" xfId="530"/>
    <cellStyle name="Entrada 2 8 3 2" xfId="7679"/>
    <cellStyle name="Entrada 2 8 3 2 2" xfId="10293"/>
    <cellStyle name="Entrada 2 8 3 2 2 2" xfId="16555"/>
    <cellStyle name="Entrada 2 8 3 2 2 2 2" xfId="29971"/>
    <cellStyle name="Entrada 2 8 3 2 2 3" xfId="21300"/>
    <cellStyle name="Entrada 2 8 3 2 3" xfId="14283"/>
    <cellStyle name="Entrada 2 8 3 2 3 2" xfId="28605"/>
    <cellStyle name="Entrada 2 8 3 2 4" xfId="19928"/>
    <cellStyle name="Entrada 2 8 3 3" xfId="13226"/>
    <cellStyle name="Entrada 2 8 3 3 2" xfId="27548"/>
    <cellStyle name="Entrada 2 8 3 4" xfId="18871"/>
    <cellStyle name="Entrada 2 8 4" xfId="5667"/>
    <cellStyle name="Entrada 2 8 4 2" xfId="12220"/>
    <cellStyle name="Entrada 2 8 4 2 2" xfId="26542"/>
    <cellStyle name="Entrada 2 8 4 3" xfId="17865"/>
    <cellStyle name="Entrada 2 8 5" xfId="4852"/>
    <cellStyle name="Entrada 2 8 5 2" xfId="23223"/>
    <cellStyle name="Entrada 2 8 6" xfId="14788"/>
    <cellStyle name="Entrada 2 9" xfId="531"/>
    <cellStyle name="Entrada 2 9 2" xfId="6402"/>
    <cellStyle name="Entrada 2 9 2 2" xfId="12985"/>
    <cellStyle name="Entrada 2 9 2 2 2" xfId="27307"/>
    <cellStyle name="Entrada 2 9 2 3" xfId="18630"/>
    <cellStyle name="Entrada 2 9 3" xfId="7051"/>
    <cellStyle name="Entrada 2 9 3 2" xfId="9665"/>
    <cellStyle name="Entrada 2 9 3 2 2" xfId="15927"/>
    <cellStyle name="Entrada 2 9 3 2 2 2" xfId="29343"/>
    <cellStyle name="Entrada 2 9 3 2 3" xfId="20672"/>
    <cellStyle name="Entrada 2 9 3 3" xfId="13655"/>
    <cellStyle name="Entrada 2 9 3 3 2" xfId="27977"/>
    <cellStyle name="Entrada 2 9 3 4" xfId="19300"/>
    <cellStyle name="Entrada 2 9 4" xfId="2793"/>
    <cellStyle name="Entrada 2 9 4 2" xfId="22360"/>
    <cellStyle name="Entrada 2 9 5" xfId="15368"/>
    <cellStyle name="Entrada 3" xfId="532"/>
    <cellStyle name="Entrada 3 2" xfId="6232"/>
    <cellStyle name="Entrada 3 2 2" xfId="12807"/>
    <cellStyle name="Entrada 3 2 2 2" xfId="27129"/>
    <cellStyle name="Entrada 3 2 3" xfId="18452"/>
    <cellStyle name="Entrada 3 3" xfId="4064"/>
    <cellStyle name="Entrada 3 3 2" xfId="9417"/>
    <cellStyle name="Entrada 3 3 2 2" xfId="15679"/>
    <cellStyle name="Entrada 3 3 2 2 2" xfId="29095"/>
    <cellStyle name="Entrada 3 3 2 3" xfId="20424"/>
    <cellStyle name="Entrada 3 3 3" xfId="4435"/>
    <cellStyle name="Entrada 3 3 3 2" xfId="22950"/>
    <cellStyle name="Entrada 3 3 4" xfId="17042"/>
    <cellStyle name="Entrada 3 4" xfId="4696"/>
    <cellStyle name="Entrada 3 4 2" xfId="23132"/>
    <cellStyle name="Entrada 3 5" xfId="17059"/>
    <cellStyle name="Entrada 4" xfId="3790"/>
    <cellStyle name="Entrada 4 2" xfId="4210"/>
    <cellStyle name="Entrada 4 2 2" xfId="22824"/>
    <cellStyle name="Entrada 4 3" xfId="6728"/>
    <cellStyle name="Entrada 5" xfId="4139"/>
    <cellStyle name="Entrada 5 2" xfId="22777"/>
    <cellStyle name="Entrada 6" xfId="17256"/>
    <cellStyle name="Entrada 7" xfId="20322"/>
    <cellStyle name="Entrada 8" xfId="30367"/>
    <cellStyle name="Explanatory Text 2" xfId="533"/>
    <cellStyle name="Good 2" xfId="534"/>
    <cellStyle name="Heading 1 2" xfId="535"/>
    <cellStyle name="Heading 2 2" xfId="536"/>
    <cellStyle name="Heading 3 2" xfId="537"/>
    <cellStyle name="Heading 4 2" xfId="538"/>
    <cellStyle name="Hyperlink 2" xfId="539"/>
    <cellStyle name="Incorrecto" xfId="540"/>
    <cellStyle name="Input 2" xfId="541"/>
    <cellStyle name="Input 2 2" xfId="542"/>
    <cellStyle name="Input 2 2 10" xfId="543"/>
    <cellStyle name="Input 2 2 10 2" xfId="4083"/>
    <cellStyle name="Input 2 2 10 2 2" xfId="9420"/>
    <cellStyle name="Input 2 2 10 2 2 2" xfId="15682"/>
    <cellStyle name="Input 2 2 10 2 2 2 2" xfId="29098"/>
    <cellStyle name="Input 2 2 10 2 2 3" xfId="20427"/>
    <cellStyle name="Input 2 2 10 2 3" xfId="6575"/>
    <cellStyle name="Input 2 2 10 2 3 2" xfId="23585"/>
    <cellStyle name="Input 2 2 10 2 4" xfId="5604"/>
    <cellStyle name="Input 2 2 10 3" xfId="11920"/>
    <cellStyle name="Input 2 2 10 3 2" xfId="26242"/>
    <cellStyle name="Input 2 2 10 4" xfId="17565"/>
    <cellStyle name="Input 2 2 11" xfId="4357"/>
    <cellStyle name="Input 2 2 11 2" xfId="3791"/>
    <cellStyle name="Input 2 2 11 2 2" xfId="22580"/>
    <cellStyle name="Input 2 2 11 3" xfId="15450"/>
    <cellStyle name="Input 2 2 12" xfId="3961"/>
    <cellStyle name="Input 2 2 12 2" xfId="22671"/>
    <cellStyle name="Input 2 2 13" xfId="16959"/>
    <cellStyle name="Input 2 2 2" xfId="544"/>
    <cellStyle name="Input 2 2 2 10" xfId="3894"/>
    <cellStyle name="Input 2 2 2 10 2" xfId="4398"/>
    <cellStyle name="Input 2 2 2 10 2 2" xfId="22927"/>
    <cellStyle name="Input 2 2 2 10 3" xfId="3877"/>
    <cellStyle name="Input 2 2 2 11" xfId="6296"/>
    <cellStyle name="Input 2 2 2 11 2" xfId="23495"/>
    <cellStyle name="Input 2 2 2 12" xfId="14694"/>
    <cellStyle name="Input 2 2 2 2" xfId="545"/>
    <cellStyle name="Input 2 2 2 2 10" xfId="6308"/>
    <cellStyle name="Input 2 2 2 2 10 2" xfId="23504"/>
    <cellStyle name="Input 2 2 2 2 11" xfId="17119"/>
    <cellStyle name="Input 2 2 2 2 2" xfId="546"/>
    <cellStyle name="Input 2 2 2 2 2 2" xfId="547"/>
    <cellStyle name="Input 2 2 2 2 2 2 2" xfId="548"/>
    <cellStyle name="Input 2 2 2 2 2 2 2 2" xfId="6411"/>
    <cellStyle name="Input 2 2 2 2 2 2 2 2 2" xfId="12994"/>
    <cellStyle name="Input 2 2 2 2 2 2 2 2 2 2" xfId="27316"/>
    <cellStyle name="Input 2 2 2 2 2 2 2 2 3" xfId="18639"/>
    <cellStyle name="Input 2 2 2 2 2 2 2 3" xfId="7295"/>
    <cellStyle name="Input 2 2 2 2 2 2 2 3 2" xfId="9909"/>
    <cellStyle name="Input 2 2 2 2 2 2 2 3 2 2" xfId="16171"/>
    <cellStyle name="Input 2 2 2 2 2 2 2 3 2 2 2" xfId="29587"/>
    <cellStyle name="Input 2 2 2 2 2 2 2 3 2 3" xfId="20916"/>
    <cellStyle name="Input 2 2 2 2 2 2 2 3 3" xfId="13899"/>
    <cellStyle name="Input 2 2 2 2 2 2 2 3 3 2" xfId="28221"/>
    <cellStyle name="Input 2 2 2 2 2 2 2 3 4" xfId="19544"/>
    <cellStyle name="Input 2 2 2 2 2 2 2 4" xfId="5925"/>
    <cellStyle name="Input 2 2 2 2 2 2 2 4 2" xfId="23374"/>
    <cellStyle name="Input 2 2 2 2 2 2 2 5" xfId="14826"/>
    <cellStyle name="Input 2 2 2 2 2 2 3" xfId="549"/>
    <cellStyle name="Input 2 2 2 2 2 2 3 2" xfId="7934"/>
    <cellStyle name="Input 2 2 2 2 2 2 3 2 2" xfId="10548"/>
    <cellStyle name="Input 2 2 2 2 2 2 3 2 2 2" xfId="16810"/>
    <cellStyle name="Input 2 2 2 2 2 2 3 2 2 2 2" xfId="30226"/>
    <cellStyle name="Input 2 2 2 2 2 2 3 2 2 3" xfId="21555"/>
    <cellStyle name="Input 2 2 2 2 2 2 3 2 3" xfId="14538"/>
    <cellStyle name="Input 2 2 2 2 2 2 3 2 3 2" xfId="28860"/>
    <cellStyle name="Input 2 2 2 2 2 2 3 2 4" xfId="20183"/>
    <cellStyle name="Input 2 2 2 2 2 2 3 3" xfId="13316"/>
    <cellStyle name="Input 2 2 2 2 2 2 3 3 2" xfId="27638"/>
    <cellStyle name="Input 2 2 2 2 2 2 3 4" xfId="18961"/>
    <cellStyle name="Input 2 2 2 2 2 2 4" xfId="5766"/>
    <cellStyle name="Input 2 2 2 2 2 2 4 2" xfId="12319"/>
    <cellStyle name="Input 2 2 2 2 2 2 4 2 2" xfId="26641"/>
    <cellStyle name="Input 2 2 2 2 2 2 4 3" xfId="17964"/>
    <cellStyle name="Input 2 2 2 2 2 2 5" xfId="4842"/>
    <cellStyle name="Input 2 2 2 2 2 2 5 2" xfId="23216"/>
    <cellStyle name="Input 2 2 2 2 2 2 6" xfId="15002"/>
    <cellStyle name="Input 2 2 2 2 2 3" xfId="550"/>
    <cellStyle name="Input 2 2 2 2 2 3 2" xfId="551"/>
    <cellStyle name="Input 2 2 2 2 2 3 2 2" xfId="5936"/>
    <cellStyle name="Input 2 2 2 2 2 3 2 2 2" xfId="12493"/>
    <cellStyle name="Input 2 2 2 2 2 3 2 2 2 2" xfId="26815"/>
    <cellStyle name="Input 2 2 2 2 2 3 2 2 3" xfId="18138"/>
    <cellStyle name="Input 2 2 2 2 2 3 2 3" xfId="7244"/>
    <cellStyle name="Input 2 2 2 2 2 3 2 3 2" xfId="9858"/>
    <cellStyle name="Input 2 2 2 2 2 3 2 3 2 2" xfId="16120"/>
    <cellStyle name="Input 2 2 2 2 2 3 2 3 2 2 2" xfId="29536"/>
    <cellStyle name="Input 2 2 2 2 2 3 2 3 2 3" xfId="20865"/>
    <cellStyle name="Input 2 2 2 2 2 3 2 3 3" xfId="13848"/>
    <cellStyle name="Input 2 2 2 2 2 3 2 3 3 2" xfId="28170"/>
    <cellStyle name="Input 2 2 2 2 2 3 2 3 4" xfId="19493"/>
    <cellStyle name="Input 2 2 2 2 2 3 2 4" xfId="4016"/>
    <cellStyle name="Input 2 2 2 2 2 3 2 4 2" xfId="22703"/>
    <cellStyle name="Input 2 2 2 2 2 3 2 5" xfId="17255"/>
    <cellStyle name="Input 2 2 2 2 2 3 3" xfId="552"/>
    <cellStyle name="Input 2 2 2 2 2 3 3 2" xfId="7683"/>
    <cellStyle name="Input 2 2 2 2 2 3 3 2 2" xfId="10297"/>
    <cellStyle name="Input 2 2 2 2 2 3 3 2 2 2" xfId="16559"/>
    <cellStyle name="Input 2 2 2 2 2 3 3 2 2 2 2" xfId="29975"/>
    <cellStyle name="Input 2 2 2 2 2 3 3 2 2 3" xfId="21304"/>
    <cellStyle name="Input 2 2 2 2 2 3 3 2 3" xfId="14287"/>
    <cellStyle name="Input 2 2 2 2 2 3 3 2 3 2" xfId="28609"/>
    <cellStyle name="Input 2 2 2 2 2 3 3 2 4" xfId="19932"/>
    <cellStyle name="Input 2 2 2 2 2 3 3 3" xfId="13369"/>
    <cellStyle name="Input 2 2 2 2 2 3 3 3 2" xfId="27691"/>
    <cellStyle name="Input 2 2 2 2 2 3 3 4" xfId="19014"/>
    <cellStyle name="Input 2 2 2 2 2 3 4" xfId="5820"/>
    <cellStyle name="Input 2 2 2 2 2 3 4 2" xfId="12373"/>
    <cellStyle name="Input 2 2 2 2 2 3 4 2 2" xfId="26695"/>
    <cellStyle name="Input 2 2 2 2 2 3 4 3" xfId="18018"/>
    <cellStyle name="Input 2 2 2 2 2 3 5" xfId="4472"/>
    <cellStyle name="Input 2 2 2 2 2 3 5 2" xfId="22971"/>
    <cellStyle name="Input 2 2 2 2 2 3 6" xfId="15156"/>
    <cellStyle name="Input 2 2 2 2 2 4" xfId="553"/>
    <cellStyle name="Input 2 2 2 2 2 4 2" xfId="6528"/>
    <cellStyle name="Input 2 2 2 2 2 4 2 2" xfId="13116"/>
    <cellStyle name="Input 2 2 2 2 2 4 2 2 2" xfId="27438"/>
    <cellStyle name="Input 2 2 2 2 2 4 2 3" xfId="18761"/>
    <cellStyle name="Input 2 2 2 2 2 4 3" xfId="7073"/>
    <cellStyle name="Input 2 2 2 2 2 4 3 2" xfId="9687"/>
    <cellStyle name="Input 2 2 2 2 2 4 3 2 2" xfId="15949"/>
    <cellStyle name="Input 2 2 2 2 2 4 3 2 2 2" xfId="29365"/>
    <cellStyle name="Input 2 2 2 2 2 4 3 2 3" xfId="20694"/>
    <cellStyle name="Input 2 2 2 2 2 4 3 3" xfId="13677"/>
    <cellStyle name="Input 2 2 2 2 2 4 3 3 2" xfId="27999"/>
    <cellStyle name="Input 2 2 2 2 2 4 3 4" xfId="19322"/>
    <cellStyle name="Input 2 2 2 2 2 4 4" xfId="2799"/>
    <cellStyle name="Input 2 2 2 2 2 4 4 2" xfId="22365"/>
    <cellStyle name="Input 2 2 2 2 2 4 5" xfId="15164"/>
    <cellStyle name="Input 2 2 2 2 2 5" xfId="554"/>
    <cellStyle name="Input 2 2 2 2 2 5 2" xfId="5334"/>
    <cellStyle name="Input 2 2 2 2 2 5 2 2" xfId="9643"/>
    <cellStyle name="Input 2 2 2 2 2 5 2 2 2" xfId="15905"/>
    <cellStyle name="Input 2 2 2 2 2 5 2 2 2 2" xfId="29321"/>
    <cellStyle name="Input 2 2 2 2 2 5 2 2 3" xfId="20650"/>
    <cellStyle name="Input 2 2 2 2 2 5 2 3" xfId="11884"/>
    <cellStyle name="Input 2 2 2 2 2 5 2 3 2" xfId="26206"/>
    <cellStyle name="Input 2 2 2 2 2 5 2 4" xfId="17529"/>
    <cellStyle name="Input 2 2 2 2 2 5 3" xfId="12892"/>
    <cellStyle name="Input 2 2 2 2 2 5 3 2" xfId="27214"/>
    <cellStyle name="Input 2 2 2 2 2 5 4" xfId="18537"/>
    <cellStyle name="Input 2 2 2 2 2 6" xfId="5510"/>
    <cellStyle name="Input 2 2 2 2 2 6 2" xfId="12061"/>
    <cellStyle name="Input 2 2 2 2 2 6 2 2" xfId="26383"/>
    <cellStyle name="Input 2 2 2 2 2 6 3" xfId="17706"/>
    <cellStyle name="Input 2 2 2 2 2 7" xfId="3730"/>
    <cellStyle name="Input 2 2 2 2 2 7 2" xfId="22551"/>
    <cellStyle name="Input 2 2 2 2 2 8" xfId="14922"/>
    <cellStyle name="Input 2 2 2 2 3" xfId="555"/>
    <cellStyle name="Input 2 2 2 2 3 2" xfId="556"/>
    <cellStyle name="Input 2 2 2 2 3 2 2" xfId="557"/>
    <cellStyle name="Input 2 2 2 2 3 2 2 2" xfId="6436"/>
    <cellStyle name="Input 2 2 2 2 3 2 2 2 2" xfId="13019"/>
    <cellStyle name="Input 2 2 2 2 3 2 2 2 2 2" xfId="27341"/>
    <cellStyle name="Input 2 2 2 2 3 2 2 2 3" xfId="18664"/>
    <cellStyle name="Input 2 2 2 2 3 2 2 3" xfId="7043"/>
    <cellStyle name="Input 2 2 2 2 3 2 2 3 2" xfId="9657"/>
    <cellStyle name="Input 2 2 2 2 3 2 2 3 2 2" xfId="15919"/>
    <cellStyle name="Input 2 2 2 2 3 2 2 3 2 2 2" xfId="29335"/>
    <cellStyle name="Input 2 2 2 2 3 2 2 3 2 3" xfId="20664"/>
    <cellStyle name="Input 2 2 2 2 3 2 2 3 3" xfId="13647"/>
    <cellStyle name="Input 2 2 2 2 3 2 2 3 3 2" xfId="27969"/>
    <cellStyle name="Input 2 2 2 2 3 2 2 3 4" xfId="19292"/>
    <cellStyle name="Input 2 2 2 2 3 2 2 4" xfId="5015"/>
    <cellStyle name="Input 2 2 2 2 3 2 2 4 2" xfId="23307"/>
    <cellStyle name="Input 2 2 2 2 3 2 2 5" xfId="17125"/>
    <cellStyle name="Input 2 2 2 2 3 2 3" xfId="558"/>
    <cellStyle name="Input 2 2 2 2 3 2 3 2" xfId="7538"/>
    <cellStyle name="Input 2 2 2 2 3 2 3 2 2" xfId="10152"/>
    <cellStyle name="Input 2 2 2 2 3 2 3 2 2 2" xfId="16414"/>
    <cellStyle name="Input 2 2 2 2 3 2 3 2 2 2 2" xfId="29830"/>
    <cellStyle name="Input 2 2 2 2 3 2 3 2 2 3" xfId="21159"/>
    <cellStyle name="Input 2 2 2 2 3 2 3 2 3" xfId="14142"/>
    <cellStyle name="Input 2 2 2 2 3 2 3 2 3 2" xfId="28464"/>
    <cellStyle name="Input 2 2 2 2 3 2 3 2 4" xfId="19787"/>
    <cellStyle name="Input 2 2 2 2 3 2 3 3" xfId="13352"/>
    <cellStyle name="Input 2 2 2 2 3 2 3 3 2" xfId="27674"/>
    <cellStyle name="Input 2 2 2 2 3 2 3 4" xfId="18997"/>
    <cellStyle name="Input 2 2 2 2 3 2 4" xfId="5802"/>
    <cellStyle name="Input 2 2 2 2 3 2 4 2" xfId="12355"/>
    <cellStyle name="Input 2 2 2 2 3 2 4 2 2" xfId="26677"/>
    <cellStyle name="Input 2 2 2 2 3 2 4 3" xfId="18000"/>
    <cellStyle name="Input 2 2 2 2 3 2 5" xfId="3942"/>
    <cellStyle name="Input 2 2 2 2 3 2 5 2" xfId="22658"/>
    <cellStyle name="Input 2 2 2 2 3 2 6" xfId="3972"/>
    <cellStyle name="Input 2 2 2 2 3 3" xfId="559"/>
    <cellStyle name="Input 2 2 2 2 3 3 2" xfId="560"/>
    <cellStyle name="Input 2 2 2 2 3 3 2 2" xfId="6921"/>
    <cellStyle name="Input 2 2 2 2 3 3 2 2 2" xfId="13525"/>
    <cellStyle name="Input 2 2 2 2 3 3 2 2 2 2" xfId="27847"/>
    <cellStyle name="Input 2 2 2 2 3 3 2 2 3" xfId="19170"/>
    <cellStyle name="Input 2 2 2 2 3 3 2 3" xfId="7391"/>
    <cellStyle name="Input 2 2 2 2 3 3 2 3 2" xfId="10005"/>
    <cellStyle name="Input 2 2 2 2 3 3 2 3 2 2" xfId="16267"/>
    <cellStyle name="Input 2 2 2 2 3 3 2 3 2 2 2" xfId="29683"/>
    <cellStyle name="Input 2 2 2 2 3 3 2 3 2 3" xfId="21012"/>
    <cellStyle name="Input 2 2 2 2 3 3 2 3 3" xfId="13995"/>
    <cellStyle name="Input 2 2 2 2 3 3 2 3 3 2" xfId="28317"/>
    <cellStyle name="Input 2 2 2 2 3 3 2 3 4" xfId="19640"/>
    <cellStyle name="Input 2 2 2 2 3 3 2 4" xfId="11409"/>
    <cellStyle name="Input 2 2 2 2 3 3 2 4 2" xfId="25731"/>
    <cellStyle name="Input 2 2 2 2 3 3 2 5" xfId="17286"/>
    <cellStyle name="Input 2 2 2 2 3 3 3" xfId="561"/>
    <cellStyle name="Input 2 2 2 2 3 3 3 2" xfId="7339"/>
    <cellStyle name="Input 2 2 2 2 3 3 3 2 2" xfId="9953"/>
    <cellStyle name="Input 2 2 2 2 3 3 3 2 2 2" xfId="16215"/>
    <cellStyle name="Input 2 2 2 2 3 3 3 2 2 2 2" xfId="29631"/>
    <cellStyle name="Input 2 2 2 2 3 3 3 2 2 3" xfId="20960"/>
    <cellStyle name="Input 2 2 2 2 3 3 3 2 3" xfId="13943"/>
    <cellStyle name="Input 2 2 2 2 3 3 3 2 3 2" xfId="28265"/>
    <cellStyle name="Input 2 2 2 2 3 3 3 2 4" xfId="19588"/>
    <cellStyle name="Input 2 2 2 2 3 3 3 3" xfId="13196"/>
    <cellStyle name="Input 2 2 2 2 3 3 3 3 2" xfId="27518"/>
    <cellStyle name="Input 2 2 2 2 3 3 3 4" xfId="18841"/>
    <cellStyle name="Input 2 2 2 2 3 3 4" xfId="5633"/>
    <cellStyle name="Input 2 2 2 2 3 3 4 2" xfId="12186"/>
    <cellStyle name="Input 2 2 2 2 3 3 4 2 2" xfId="26508"/>
    <cellStyle name="Input 2 2 2 2 3 3 4 3" xfId="17831"/>
    <cellStyle name="Input 2 2 2 2 3 3 5" xfId="5940"/>
    <cellStyle name="Input 2 2 2 2 3 3 5 2" xfId="23378"/>
    <cellStyle name="Input 2 2 2 2 3 3 6" xfId="2844"/>
    <cellStyle name="Input 2 2 2 2 3 4" xfId="562"/>
    <cellStyle name="Input 2 2 2 2 3 4 2" xfId="5636"/>
    <cellStyle name="Input 2 2 2 2 3 4 2 2" xfId="12189"/>
    <cellStyle name="Input 2 2 2 2 3 4 2 2 2" xfId="26511"/>
    <cellStyle name="Input 2 2 2 2 3 4 2 3" xfId="17834"/>
    <cellStyle name="Input 2 2 2 2 3 4 3" xfId="7804"/>
    <cellStyle name="Input 2 2 2 2 3 4 3 2" xfId="10418"/>
    <cellStyle name="Input 2 2 2 2 3 4 3 2 2" xfId="16680"/>
    <cellStyle name="Input 2 2 2 2 3 4 3 2 2 2" xfId="30096"/>
    <cellStyle name="Input 2 2 2 2 3 4 3 2 3" xfId="21425"/>
    <cellStyle name="Input 2 2 2 2 3 4 3 3" xfId="14408"/>
    <cellStyle name="Input 2 2 2 2 3 4 3 3 2" xfId="28730"/>
    <cellStyle name="Input 2 2 2 2 3 4 3 4" xfId="20053"/>
    <cellStyle name="Input 2 2 2 2 3 4 4" xfId="3879"/>
    <cellStyle name="Input 2 2 2 2 3 4 4 2" xfId="22623"/>
    <cellStyle name="Input 2 2 2 2 3 4 5" xfId="6255"/>
    <cellStyle name="Input 2 2 2 2 3 5" xfId="563"/>
    <cellStyle name="Input 2 2 2 2 3 5 2" xfId="7561"/>
    <cellStyle name="Input 2 2 2 2 3 5 2 2" xfId="10175"/>
    <cellStyle name="Input 2 2 2 2 3 5 2 2 2" xfId="16437"/>
    <cellStyle name="Input 2 2 2 2 3 5 2 2 2 2" xfId="29853"/>
    <cellStyle name="Input 2 2 2 2 3 5 2 2 3" xfId="21182"/>
    <cellStyle name="Input 2 2 2 2 3 5 2 3" xfId="14165"/>
    <cellStyle name="Input 2 2 2 2 3 5 2 3 2" xfId="28487"/>
    <cellStyle name="Input 2 2 2 2 3 5 2 4" xfId="19810"/>
    <cellStyle name="Input 2 2 2 2 3 5 3" xfId="12928"/>
    <cellStyle name="Input 2 2 2 2 3 5 3 2" xfId="27250"/>
    <cellStyle name="Input 2 2 2 2 3 5 4" xfId="18573"/>
    <cellStyle name="Input 2 2 2 2 3 6" xfId="5552"/>
    <cellStyle name="Input 2 2 2 2 3 6 2" xfId="12103"/>
    <cellStyle name="Input 2 2 2 2 3 6 2 2" xfId="26425"/>
    <cellStyle name="Input 2 2 2 2 3 6 3" xfId="17748"/>
    <cellStyle name="Input 2 2 2 2 3 7" xfId="3156"/>
    <cellStyle name="Input 2 2 2 2 3 7 2" xfId="22424"/>
    <cellStyle name="Input 2 2 2 2 3 8" xfId="15477"/>
    <cellStyle name="Input 2 2 2 2 4" xfId="564"/>
    <cellStyle name="Input 2 2 2 2 4 2" xfId="565"/>
    <cellStyle name="Input 2 2 2 2 4 2 2" xfId="566"/>
    <cellStyle name="Input 2 2 2 2 4 2 2 2" xfId="6421"/>
    <cellStyle name="Input 2 2 2 2 4 2 2 2 2" xfId="13004"/>
    <cellStyle name="Input 2 2 2 2 4 2 2 2 2 2" xfId="27326"/>
    <cellStyle name="Input 2 2 2 2 4 2 2 2 3" xfId="18649"/>
    <cellStyle name="Input 2 2 2 2 4 2 2 3" xfId="7691"/>
    <cellStyle name="Input 2 2 2 2 4 2 2 3 2" xfId="10305"/>
    <cellStyle name="Input 2 2 2 2 4 2 2 3 2 2" xfId="16567"/>
    <cellStyle name="Input 2 2 2 2 4 2 2 3 2 2 2" xfId="29983"/>
    <cellStyle name="Input 2 2 2 2 4 2 2 3 2 3" xfId="21312"/>
    <cellStyle name="Input 2 2 2 2 4 2 2 3 3" xfId="14295"/>
    <cellStyle name="Input 2 2 2 2 4 2 2 3 3 2" xfId="28617"/>
    <cellStyle name="Input 2 2 2 2 4 2 2 3 4" xfId="19940"/>
    <cellStyle name="Input 2 2 2 2 4 2 2 4" xfId="3919"/>
    <cellStyle name="Input 2 2 2 2 4 2 2 4 2" xfId="22646"/>
    <cellStyle name="Input 2 2 2 2 4 2 2 5" xfId="15316"/>
    <cellStyle name="Input 2 2 2 2 4 2 3" xfId="567"/>
    <cellStyle name="Input 2 2 2 2 4 2 3 2" xfId="7246"/>
    <cellStyle name="Input 2 2 2 2 4 2 3 2 2" xfId="9860"/>
    <cellStyle name="Input 2 2 2 2 4 2 3 2 2 2" xfId="16122"/>
    <cellStyle name="Input 2 2 2 2 4 2 3 2 2 2 2" xfId="29538"/>
    <cellStyle name="Input 2 2 2 2 4 2 3 2 2 3" xfId="20867"/>
    <cellStyle name="Input 2 2 2 2 4 2 3 2 3" xfId="13850"/>
    <cellStyle name="Input 2 2 2 2 4 2 3 2 3 2" xfId="28172"/>
    <cellStyle name="Input 2 2 2 2 4 2 3 2 4" xfId="19495"/>
    <cellStyle name="Input 2 2 2 2 4 2 3 3" xfId="13236"/>
    <cellStyle name="Input 2 2 2 2 4 2 3 3 2" xfId="27558"/>
    <cellStyle name="Input 2 2 2 2 4 2 3 4" xfId="18881"/>
    <cellStyle name="Input 2 2 2 2 4 2 4" xfId="5677"/>
    <cellStyle name="Input 2 2 2 2 4 2 4 2" xfId="12230"/>
    <cellStyle name="Input 2 2 2 2 4 2 4 2 2" xfId="26552"/>
    <cellStyle name="Input 2 2 2 2 4 2 4 3" xfId="17875"/>
    <cellStyle name="Input 2 2 2 2 4 2 5" xfId="6225"/>
    <cellStyle name="Input 2 2 2 2 4 2 5 2" xfId="23463"/>
    <cellStyle name="Input 2 2 2 2 4 2 6" xfId="15110"/>
    <cellStyle name="Input 2 2 2 2 4 3" xfId="568"/>
    <cellStyle name="Input 2 2 2 2 4 3 2" xfId="569"/>
    <cellStyle name="Input 2 2 2 2 4 3 2 2" xfId="6395"/>
    <cellStyle name="Input 2 2 2 2 4 3 2 2 2" xfId="12978"/>
    <cellStyle name="Input 2 2 2 2 4 3 2 2 2 2" xfId="27300"/>
    <cellStyle name="Input 2 2 2 2 4 3 2 2 3" xfId="18623"/>
    <cellStyle name="Input 2 2 2 2 4 3 2 3" xfId="7087"/>
    <cellStyle name="Input 2 2 2 2 4 3 2 3 2" xfId="9701"/>
    <cellStyle name="Input 2 2 2 2 4 3 2 3 2 2" xfId="15963"/>
    <cellStyle name="Input 2 2 2 2 4 3 2 3 2 2 2" xfId="29379"/>
    <cellStyle name="Input 2 2 2 2 4 3 2 3 2 3" xfId="20708"/>
    <cellStyle name="Input 2 2 2 2 4 3 2 3 3" xfId="13691"/>
    <cellStyle name="Input 2 2 2 2 4 3 2 3 3 2" xfId="28013"/>
    <cellStyle name="Input 2 2 2 2 4 3 2 3 4" xfId="19336"/>
    <cellStyle name="Input 2 2 2 2 4 3 2 4" xfId="3018"/>
    <cellStyle name="Input 2 2 2 2 4 3 2 4 2" xfId="22409"/>
    <cellStyle name="Input 2 2 2 2 4 3 2 5" xfId="15153"/>
    <cellStyle name="Input 2 2 2 2 4 3 3" xfId="570"/>
    <cellStyle name="Input 2 2 2 2 4 3 3 2" xfId="3690"/>
    <cellStyle name="Input 2 2 2 2 4 3 3 2 2" xfId="9361"/>
    <cellStyle name="Input 2 2 2 2 4 3 3 2 2 2" xfId="15623"/>
    <cellStyle name="Input 2 2 2 2 4 3 3 2 2 2 2" xfId="29039"/>
    <cellStyle name="Input 2 2 2 2 4 3 3 2 2 3" xfId="20368"/>
    <cellStyle name="Input 2 2 2 2 4 3 3 2 3" xfId="5415"/>
    <cellStyle name="Input 2 2 2 2 4 3 3 2 3 2" xfId="23344"/>
    <cellStyle name="Input 2 2 2 2 4 3 3 2 4" xfId="6823"/>
    <cellStyle name="Input 2 2 2 2 4 3 3 3" xfId="13186"/>
    <cellStyle name="Input 2 2 2 2 4 3 3 3 2" xfId="27508"/>
    <cellStyle name="Input 2 2 2 2 4 3 3 4" xfId="18831"/>
    <cellStyle name="Input 2 2 2 2 4 3 4" xfId="5622"/>
    <cellStyle name="Input 2 2 2 2 4 3 4 2" xfId="12175"/>
    <cellStyle name="Input 2 2 2 2 4 3 4 2 2" xfId="26497"/>
    <cellStyle name="Input 2 2 2 2 4 3 4 3" xfId="17820"/>
    <cellStyle name="Input 2 2 2 2 4 3 5" xfId="4300"/>
    <cellStyle name="Input 2 2 2 2 4 3 5 2" xfId="22879"/>
    <cellStyle name="Input 2 2 2 2 4 3 6" xfId="14940"/>
    <cellStyle name="Input 2 2 2 2 4 4" xfId="571"/>
    <cellStyle name="Input 2 2 2 2 4 4 2" xfId="6890"/>
    <cellStyle name="Input 2 2 2 2 4 4 2 2" xfId="13494"/>
    <cellStyle name="Input 2 2 2 2 4 4 2 2 2" xfId="27816"/>
    <cellStyle name="Input 2 2 2 2 4 4 2 3" xfId="19139"/>
    <cellStyle name="Input 2 2 2 2 4 4 3" xfId="7568"/>
    <cellStyle name="Input 2 2 2 2 4 4 3 2" xfId="10182"/>
    <cellStyle name="Input 2 2 2 2 4 4 3 2 2" xfId="16444"/>
    <cellStyle name="Input 2 2 2 2 4 4 3 2 2 2" xfId="29860"/>
    <cellStyle name="Input 2 2 2 2 4 4 3 2 3" xfId="21189"/>
    <cellStyle name="Input 2 2 2 2 4 4 3 3" xfId="14172"/>
    <cellStyle name="Input 2 2 2 2 4 4 3 3 2" xfId="28494"/>
    <cellStyle name="Input 2 2 2 2 4 4 3 4" xfId="19817"/>
    <cellStyle name="Input 2 2 2 2 4 4 4" xfId="11366"/>
    <cellStyle name="Input 2 2 2 2 4 4 4 2" xfId="25688"/>
    <cellStyle name="Input 2 2 2 2 4 4 5" xfId="6710"/>
    <cellStyle name="Input 2 2 2 2 4 5" xfId="572"/>
    <cellStyle name="Input 2 2 2 2 4 5 2" xfId="7161"/>
    <cellStyle name="Input 2 2 2 2 4 5 2 2" xfId="9775"/>
    <cellStyle name="Input 2 2 2 2 4 5 2 2 2" xfId="16037"/>
    <cellStyle name="Input 2 2 2 2 4 5 2 2 2 2" xfId="29453"/>
    <cellStyle name="Input 2 2 2 2 4 5 2 2 3" xfId="20782"/>
    <cellStyle name="Input 2 2 2 2 4 5 2 3" xfId="13765"/>
    <cellStyle name="Input 2 2 2 2 4 5 2 3 2" xfId="28087"/>
    <cellStyle name="Input 2 2 2 2 4 5 2 4" xfId="19410"/>
    <cellStyle name="Input 2 2 2 2 4 5 3" xfId="12675"/>
    <cellStyle name="Input 2 2 2 2 4 5 3 2" xfId="26997"/>
    <cellStyle name="Input 2 2 2 2 4 5 4" xfId="18320"/>
    <cellStyle name="Input 2 2 2 2 4 6" xfId="5102"/>
    <cellStyle name="Input 2 2 2 2 4 6 2" xfId="11649"/>
    <cellStyle name="Input 2 2 2 2 4 6 2 2" xfId="25971"/>
    <cellStyle name="Input 2 2 2 2 4 6 3" xfId="15594"/>
    <cellStyle name="Input 2 2 2 2 4 7" xfId="4716"/>
    <cellStyle name="Input 2 2 2 2 4 7 2" xfId="23146"/>
    <cellStyle name="Input 2 2 2 2 4 8" xfId="4601"/>
    <cellStyle name="Input 2 2 2 2 5" xfId="573"/>
    <cellStyle name="Input 2 2 2 2 5 2" xfId="574"/>
    <cellStyle name="Input 2 2 2 2 5 2 2" xfId="575"/>
    <cellStyle name="Input 2 2 2 2 5 2 2 2" xfId="6176"/>
    <cellStyle name="Input 2 2 2 2 5 2 2 2 2" xfId="12749"/>
    <cellStyle name="Input 2 2 2 2 5 2 2 2 2 2" xfId="27071"/>
    <cellStyle name="Input 2 2 2 2 5 2 2 2 3" xfId="18394"/>
    <cellStyle name="Input 2 2 2 2 5 2 2 3" xfId="3893"/>
    <cellStyle name="Input 2 2 2 2 5 2 2 3 2" xfId="9389"/>
    <cellStyle name="Input 2 2 2 2 5 2 2 3 2 2" xfId="15651"/>
    <cellStyle name="Input 2 2 2 2 5 2 2 3 2 2 2" xfId="29067"/>
    <cellStyle name="Input 2 2 2 2 5 2 2 3 2 3" xfId="20396"/>
    <cellStyle name="Input 2 2 2 2 5 2 2 3 3" xfId="4391"/>
    <cellStyle name="Input 2 2 2 2 5 2 2 3 3 2" xfId="22923"/>
    <cellStyle name="Input 2 2 2 2 5 2 2 3 4" xfId="15022"/>
    <cellStyle name="Input 2 2 2 2 5 2 2 4" xfId="5904"/>
    <cellStyle name="Input 2 2 2 2 5 2 2 4 2" xfId="23369"/>
    <cellStyle name="Input 2 2 2 2 5 2 2 5" xfId="14729"/>
    <cellStyle name="Input 2 2 2 2 5 2 3" xfId="576"/>
    <cellStyle name="Input 2 2 2 2 5 2 3 2" xfId="7353"/>
    <cellStyle name="Input 2 2 2 2 5 2 3 2 2" xfId="9967"/>
    <cellStyle name="Input 2 2 2 2 5 2 3 2 2 2" xfId="16229"/>
    <cellStyle name="Input 2 2 2 2 5 2 3 2 2 2 2" xfId="29645"/>
    <cellStyle name="Input 2 2 2 2 5 2 3 2 2 3" xfId="20974"/>
    <cellStyle name="Input 2 2 2 2 5 2 3 2 3" xfId="13957"/>
    <cellStyle name="Input 2 2 2 2 5 2 3 2 3 2" xfId="28279"/>
    <cellStyle name="Input 2 2 2 2 5 2 3 2 4" xfId="19602"/>
    <cellStyle name="Input 2 2 2 2 5 2 3 3" xfId="12737"/>
    <cellStyle name="Input 2 2 2 2 5 2 3 3 2" xfId="27059"/>
    <cellStyle name="Input 2 2 2 2 5 2 3 4" xfId="18382"/>
    <cellStyle name="Input 2 2 2 2 5 2 4" xfId="5119"/>
    <cellStyle name="Input 2 2 2 2 5 2 4 2" xfId="11667"/>
    <cellStyle name="Input 2 2 2 2 5 2 4 2 2" xfId="25989"/>
    <cellStyle name="Input 2 2 2 2 5 2 4 3" xfId="15335"/>
    <cellStyle name="Input 2 2 2 2 5 2 5" xfId="5581"/>
    <cellStyle name="Input 2 2 2 2 5 2 5 2" xfId="23353"/>
    <cellStyle name="Input 2 2 2 2 5 2 6" xfId="15325"/>
    <cellStyle name="Input 2 2 2 2 5 3" xfId="577"/>
    <cellStyle name="Input 2 2 2 2 5 3 2" xfId="5960"/>
    <cellStyle name="Input 2 2 2 2 5 3 2 2" xfId="12518"/>
    <cellStyle name="Input 2 2 2 2 5 3 2 2 2" xfId="26840"/>
    <cellStyle name="Input 2 2 2 2 5 3 2 3" xfId="18163"/>
    <cellStyle name="Input 2 2 2 2 5 3 3" xfId="7641"/>
    <cellStyle name="Input 2 2 2 2 5 3 3 2" xfId="10255"/>
    <cellStyle name="Input 2 2 2 2 5 3 3 2 2" xfId="16517"/>
    <cellStyle name="Input 2 2 2 2 5 3 3 2 2 2" xfId="29933"/>
    <cellStyle name="Input 2 2 2 2 5 3 3 2 3" xfId="21262"/>
    <cellStyle name="Input 2 2 2 2 5 3 3 3" xfId="14245"/>
    <cellStyle name="Input 2 2 2 2 5 3 3 3 2" xfId="28567"/>
    <cellStyle name="Input 2 2 2 2 5 3 3 4" xfId="19890"/>
    <cellStyle name="Input 2 2 2 2 5 3 4" xfId="6584"/>
    <cellStyle name="Input 2 2 2 2 5 3 4 2" xfId="23590"/>
    <cellStyle name="Input 2 2 2 2 5 3 5" xfId="2843"/>
    <cellStyle name="Input 2 2 2 2 5 4" xfId="578"/>
    <cellStyle name="Input 2 2 2 2 5 4 2" xfId="8041"/>
    <cellStyle name="Input 2 2 2 2 5 4 2 2" xfId="10655"/>
    <cellStyle name="Input 2 2 2 2 5 4 2 2 2" xfId="16917"/>
    <cellStyle name="Input 2 2 2 2 5 4 2 2 2 2" xfId="30333"/>
    <cellStyle name="Input 2 2 2 2 5 4 2 2 3" xfId="21662"/>
    <cellStyle name="Input 2 2 2 2 5 4 2 3" xfId="14645"/>
    <cellStyle name="Input 2 2 2 2 5 4 2 3 2" xfId="28967"/>
    <cellStyle name="Input 2 2 2 2 5 4 2 4" xfId="20290"/>
    <cellStyle name="Input 2 2 2 2 5 4 3" xfId="11606"/>
    <cellStyle name="Input 2 2 2 2 5 4 3 2" xfId="25928"/>
    <cellStyle name="Input 2 2 2 2 5 4 4" xfId="15575"/>
    <cellStyle name="Input 2 2 2 2 5 5" xfId="4819"/>
    <cellStyle name="Input 2 2 2 2 5 5 2" xfId="11351"/>
    <cellStyle name="Input 2 2 2 2 5 5 2 2" xfId="25673"/>
    <cellStyle name="Input 2 2 2 2 5 5 3" xfId="3186"/>
    <cellStyle name="Input 2 2 2 2 5 6" xfId="4173"/>
    <cellStyle name="Input 2 2 2 2 5 6 2" xfId="22796"/>
    <cellStyle name="Input 2 2 2 2 5 7" xfId="4263"/>
    <cellStyle name="Input 2 2 2 2 6" xfId="579"/>
    <cellStyle name="Input 2 2 2 2 6 2" xfId="580"/>
    <cellStyle name="Input 2 2 2 2 6 2 2" xfId="6377"/>
    <cellStyle name="Input 2 2 2 2 6 2 2 2" xfId="12960"/>
    <cellStyle name="Input 2 2 2 2 6 2 2 2 2" xfId="27282"/>
    <cellStyle name="Input 2 2 2 2 6 2 2 3" xfId="18605"/>
    <cellStyle name="Input 2 2 2 2 6 2 3" xfId="7431"/>
    <cellStyle name="Input 2 2 2 2 6 2 3 2" xfId="10045"/>
    <cellStyle name="Input 2 2 2 2 6 2 3 2 2" xfId="16307"/>
    <cellStyle name="Input 2 2 2 2 6 2 3 2 2 2" xfId="29723"/>
    <cellStyle name="Input 2 2 2 2 6 2 3 2 3" xfId="21052"/>
    <cellStyle name="Input 2 2 2 2 6 2 3 3" xfId="14035"/>
    <cellStyle name="Input 2 2 2 2 6 2 3 3 2" xfId="28357"/>
    <cellStyle name="Input 2 2 2 2 6 2 3 4" xfId="19680"/>
    <cellStyle name="Input 2 2 2 2 6 2 4" xfId="4567"/>
    <cellStyle name="Input 2 2 2 2 6 2 4 2" xfId="23035"/>
    <cellStyle name="Input 2 2 2 2 6 2 5" xfId="14809"/>
    <cellStyle name="Input 2 2 2 2 6 3" xfId="581"/>
    <cellStyle name="Input 2 2 2 2 6 3 2" xfId="4108"/>
    <cellStyle name="Input 2 2 2 2 6 3 2 2" xfId="9427"/>
    <cellStyle name="Input 2 2 2 2 6 3 2 2 2" xfId="15689"/>
    <cellStyle name="Input 2 2 2 2 6 3 2 2 2 2" xfId="29105"/>
    <cellStyle name="Input 2 2 2 2 6 3 2 2 3" xfId="20434"/>
    <cellStyle name="Input 2 2 2 2 6 3 2 3" xfId="6343"/>
    <cellStyle name="Input 2 2 2 2 6 3 2 3 2" xfId="23529"/>
    <cellStyle name="Input 2 2 2 2 6 3 2 4" xfId="3831"/>
    <cellStyle name="Input 2 2 2 2 6 3 3" xfId="13057"/>
    <cellStyle name="Input 2 2 2 2 6 3 3 2" xfId="27379"/>
    <cellStyle name="Input 2 2 2 2 6 3 4" xfId="18702"/>
    <cellStyle name="Input 2 2 2 2 6 4" xfId="5387"/>
    <cellStyle name="Input 2 2 2 2 6 4 2" xfId="11937"/>
    <cellStyle name="Input 2 2 2 2 6 4 2 2" xfId="26259"/>
    <cellStyle name="Input 2 2 2 2 6 4 3" xfId="17582"/>
    <cellStyle name="Input 2 2 2 2 6 5" xfId="4245"/>
    <cellStyle name="Input 2 2 2 2 6 5 2" xfId="22850"/>
    <cellStyle name="Input 2 2 2 2 6 6" xfId="6796"/>
    <cellStyle name="Input 2 2 2 2 7" xfId="582"/>
    <cellStyle name="Input 2 2 2 2 7 2" xfId="6929"/>
    <cellStyle name="Input 2 2 2 2 7 2 2" xfId="13533"/>
    <cellStyle name="Input 2 2 2 2 7 2 2 2" xfId="27855"/>
    <cellStyle name="Input 2 2 2 2 7 2 3" xfId="19178"/>
    <cellStyle name="Input 2 2 2 2 7 3" xfId="7189"/>
    <cellStyle name="Input 2 2 2 2 7 3 2" xfId="9803"/>
    <cellStyle name="Input 2 2 2 2 7 3 2 2" xfId="16065"/>
    <cellStyle name="Input 2 2 2 2 7 3 2 2 2" xfId="29481"/>
    <cellStyle name="Input 2 2 2 2 7 3 2 3" xfId="20810"/>
    <cellStyle name="Input 2 2 2 2 7 3 3" xfId="13793"/>
    <cellStyle name="Input 2 2 2 2 7 3 3 2" xfId="28115"/>
    <cellStyle name="Input 2 2 2 2 7 3 4" xfId="19438"/>
    <cellStyle name="Input 2 2 2 2 7 4" xfId="11422"/>
    <cellStyle name="Input 2 2 2 2 7 4 2" xfId="25744"/>
    <cellStyle name="Input 2 2 2 2 7 5" xfId="14894"/>
    <cellStyle name="Input 2 2 2 2 8" xfId="583"/>
    <cellStyle name="Input 2 2 2 2 8 2" xfId="7202"/>
    <cellStyle name="Input 2 2 2 2 8 2 2" xfId="9816"/>
    <cellStyle name="Input 2 2 2 2 8 2 2 2" xfId="16078"/>
    <cellStyle name="Input 2 2 2 2 8 2 2 2 2" xfId="29494"/>
    <cellStyle name="Input 2 2 2 2 8 2 2 3" xfId="20823"/>
    <cellStyle name="Input 2 2 2 2 8 2 3" xfId="13806"/>
    <cellStyle name="Input 2 2 2 2 8 2 3 2" xfId="28128"/>
    <cellStyle name="Input 2 2 2 2 8 2 4" xfId="19451"/>
    <cellStyle name="Input 2 2 2 2 8 3" xfId="12756"/>
    <cellStyle name="Input 2 2 2 2 8 3 2" xfId="27078"/>
    <cellStyle name="Input 2 2 2 2 8 4" xfId="18401"/>
    <cellStyle name="Input 2 2 2 2 9" xfId="5467"/>
    <cellStyle name="Input 2 2 2 2 9 2" xfId="12018"/>
    <cellStyle name="Input 2 2 2 2 9 2 2" xfId="26340"/>
    <cellStyle name="Input 2 2 2 2 9 3" xfId="17663"/>
    <cellStyle name="Input 2 2 2 3" xfId="584"/>
    <cellStyle name="Input 2 2 2 3 2" xfId="585"/>
    <cellStyle name="Input 2 2 2 3 2 2" xfId="586"/>
    <cellStyle name="Input 2 2 2 3 2 2 2" xfId="6408"/>
    <cellStyle name="Input 2 2 2 3 2 2 2 2" xfId="12991"/>
    <cellStyle name="Input 2 2 2 3 2 2 2 2 2" xfId="27313"/>
    <cellStyle name="Input 2 2 2 3 2 2 2 3" xfId="18636"/>
    <cellStyle name="Input 2 2 2 3 2 2 3" xfId="4504"/>
    <cellStyle name="Input 2 2 2 3 2 2 3 2" xfId="9472"/>
    <cellStyle name="Input 2 2 2 3 2 2 3 2 2" xfId="15734"/>
    <cellStyle name="Input 2 2 2 3 2 2 3 2 2 2" xfId="29150"/>
    <cellStyle name="Input 2 2 2 3 2 2 3 2 3" xfId="20479"/>
    <cellStyle name="Input 2 2 2 3 2 2 3 3" xfId="4135"/>
    <cellStyle name="Input 2 2 2 3 2 2 3 3 2" xfId="22774"/>
    <cellStyle name="Input 2 2 2 3 2 2 3 4" xfId="17319"/>
    <cellStyle name="Input 2 2 2 3 2 2 4" xfId="6451"/>
    <cellStyle name="Input 2 2 2 3 2 2 4 2" xfId="23550"/>
    <cellStyle name="Input 2 2 2 3 2 2 5" xfId="3615"/>
    <cellStyle name="Input 2 2 2 3 2 3" xfId="587"/>
    <cellStyle name="Input 2 2 2 3 2 3 2" xfId="7470"/>
    <cellStyle name="Input 2 2 2 3 2 3 2 2" xfId="10084"/>
    <cellStyle name="Input 2 2 2 3 2 3 2 2 2" xfId="16346"/>
    <cellStyle name="Input 2 2 2 3 2 3 2 2 2 2" xfId="29762"/>
    <cellStyle name="Input 2 2 2 3 2 3 2 2 3" xfId="21091"/>
    <cellStyle name="Input 2 2 2 3 2 3 2 3" xfId="14074"/>
    <cellStyle name="Input 2 2 2 3 2 3 2 3 2" xfId="28396"/>
    <cellStyle name="Input 2 2 2 3 2 3 2 4" xfId="19719"/>
    <cellStyle name="Input 2 2 2 3 2 3 3" xfId="13293"/>
    <cellStyle name="Input 2 2 2 3 2 3 3 2" xfId="27615"/>
    <cellStyle name="Input 2 2 2 3 2 3 4" xfId="18938"/>
    <cellStyle name="Input 2 2 2 3 2 4" xfId="5743"/>
    <cellStyle name="Input 2 2 2 3 2 4 2" xfId="12296"/>
    <cellStyle name="Input 2 2 2 3 2 4 2 2" xfId="26618"/>
    <cellStyle name="Input 2 2 2 3 2 4 3" xfId="17941"/>
    <cellStyle name="Input 2 2 2 3 2 5" xfId="4615"/>
    <cellStyle name="Input 2 2 2 3 2 5 2" xfId="23068"/>
    <cellStyle name="Input 2 2 2 3 2 6" xfId="14967"/>
    <cellStyle name="Input 2 2 2 3 3" xfId="588"/>
    <cellStyle name="Input 2 2 2 3 3 2" xfId="589"/>
    <cellStyle name="Input 2 2 2 3 3 2 2" xfId="5851"/>
    <cellStyle name="Input 2 2 2 3 3 2 2 2" xfId="12404"/>
    <cellStyle name="Input 2 2 2 3 3 2 2 2 2" xfId="26726"/>
    <cellStyle name="Input 2 2 2 3 3 2 2 3" xfId="18049"/>
    <cellStyle name="Input 2 2 2 3 3 2 3" xfId="4253"/>
    <cellStyle name="Input 2 2 2 3 3 2 3 2" xfId="9435"/>
    <cellStyle name="Input 2 2 2 3 3 2 3 2 2" xfId="15697"/>
    <cellStyle name="Input 2 2 2 3 3 2 3 2 2 2" xfId="29113"/>
    <cellStyle name="Input 2 2 2 3 3 2 3 2 3" xfId="20442"/>
    <cellStyle name="Input 2 2 2 3 3 2 3 3" xfId="3762"/>
    <cellStyle name="Input 2 2 2 3 3 2 3 3 2" xfId="22568"/>
    <cellStyle name="Input 2 2 2 3 3 2 3 4" xfId="14867"/>
    <cellStyle name="Input 2 2 2 3 3 2 4" xfId="6640"/>
    <cellStyle name="Input 2 2 2 3 3 2 4 2" xfId="23620"/>
    <cellStyle name="Input 2 2 2 3 3 2 5" xfId="15251"/>
    <cellStyle name="Input 2 2 2 3 3 3" xfId="590"/>
    <cellStyle name="Input 2 2 2 3 3 3 2" xfId="7876"/>
    <cellStyle name="Input 2 2 2 3 3 3 2 2" xfId="10490"/>
    <cellStyle name="Input 2 2 2 3 3 3 2 2 2" xfId="16752"/>
    <cellStyle name="Input 2 2 2 3 3 3 2 2 2 2" xfId="30168"/>
    <cellStyle name="Input 2 2 2 3 3 3 2 2 3" xfId="21497"/>
    <cellStyle name="Input 2 2 2 3 3 3 2 3" xfId="14480"/>
    <cellStyle name="Input 2 2 2 3 3 3 2 3 2" xfId="28802"/>
    <cellStyle name="Input 2 2 2 3 3 3 2 4" xfId="20125"/>
    <cellStyle name="Input 2 2 2 3 3 3 3" xfId="11731"/>
    <cellStyle name="Input 2 2 2 3 3 3 3 2" xfId="26053"/>
    <cellStyle name="Input 2 2 2 3 3 3 4" xfId="4610"/>
    <cellStyle name="Input 2 2 2 3 3 4" xfId="5192"/>
    <cellStyle name="Input 2 2 2 3 3 4 2" xfId="11741"/>
    <cellStyle name="Input 2 2 2 3 3 4 2 2" xfId="26063"/>
    <cellStyle name="Input 2 2 2 3 3 4 3" xfId="4308"/>
    <cellStyle name="Input 2 2 2 3 3 5" xfId="5141"/>
    <cellStyle name="Input 2 2 2 3 3 5 2" xfId="23329"/>
    <cellStyle name="Input 2 2 2 3 3 6" xfId="15334"/>
    <cellStyle name="Input 2 2 2 3 4" xfId="591"/>
    <cellStyle name="Input 2 2 2 3 4 2" xfId="6064"/>
    <cellStyle name="Input 2 2 2 3 4 2 2" xfId="12630"/>
    <cellStyle name="Input 2 2 2 3 4 2 2 2" xfId="26952"/>
    <cellStyle name="Input 2 2 2 3 4 2 3" xfId="18275"/>
    <cellStyle name="Input 2 2 2 3 4 3" xfId="7673"/>
    <cellStyle name="Input 2 2 2 3 4 3 2" xfId="10287"/>
    <cellStyle name="Input 2 2 2 3 4 3 2 2" xfId="16549"/>
    <cellStyle name="Input 2 2 2 3 4 3 2 2 2" xfId="29965"/>
    <cellStyle name="Input 2 2 2 3 4 3 2 3" xfId="21294"/>
    <cellStyle name="Input 2 2 2 3 4 3 3" xfId="14277"/>
    <cellStyle name="Input 2 2 2 3 4 3 3 2" xfId="28599"/>
    <cellStyle name="Input 2 2 2 3 4 3 4" xfId="19922"/>
    <cellStyle name="Input 2 2 2 3 4 4" xfId="4352"/>
    <cellStyle name="Input 2 2 2 3 4 4 2" xfId="22901"/>
    <cellStyle name="Input 2 2 2 3 4 5" xfId="15189"/>
    <cellStyle name="Input 2 2 2 3 5" xfId="592"/>
    <cellStyle name="Input 2 2 2 3 5 2" xfId="3667"/>
    <cellStyle name="Input 2 2 2 3 5 2 2" xfId="9358"/>
    <cellStyle name="Input 2 2 2 3 5 2 2 2" xfId="15620"/>
    <cellStyle name="Input 2 2 2 3 5 2 2 2 2" xfId="29036"/>
    <cellStyle name="Input 2 2 2 3 5 2 2 3" xfId="20365"/>
    <cellStyle name="Input 2 2 2 3 5 2 3" xfId="4362"/>
    <cellStyle name="Input 2 2 2 3 5 2 3 2" xfId="22906"/>
    <cellStyle name="Input 2 2 2 3 5 2 4" xfId="16973"/>
    <cellStyle name="Input 2 2 2 3 5 3" xfId="12869"/>
    <cellStyle name="Input 2 2 2 3 5 3 2" xfId="27191"/>
    <cellStyle name="Input 2 2 2 3 5 4" xfId="18514"/>
    <cellStyle name="Input 2 2 2 3 6" xfId="5487"/>
    <cellStyle name="Input 2 2 2 3 6 2" xfId="12038"/>
    <cellStyle name="Input 2 2 2 3 6 2 2" xfId="26360"/>
    <cellStyle name="Input 2 2 2 3 6 3" xfId="17683"/>
    <cellStyle name="Input 2 2 2 3 7" xfId="3709"/>
    <cellStyle name="Input 2 2 2 3 7 2" xfId="22538"/>
    <cellStyle name="Input 2 2 2 3 8" xfId="14881"/>
    <cellStyle name="Input 2 2 2 4" xfId="593"/>
    <cellStyle name="Input 2 2 2 4 2" xfId="594"/>
    <cellStyle name="Input 2 2 2 4 2 2" xfId="595"/>
    <cellStyle name="Input 2 2 2 4 2 2 2" xfId="6923"/>
    <cellStyle name="Input 2 2 2 4 2 2 2 2" xfId="13527"/>
    <cellStyle name="Input 2 2 2 4 2 2 2 2 2" xfId="27849"/>
    <cellStyle name="Input 2 2 2 4 2 2 2 3" xfId="19172"/>
    <cellStyle name="Input 2 2 2 4 2 2 3" xfId="7423"/>
    <cellStyle name="Input 2 2 2 4 2 2 3 2" xfId="10037"/>
    <cellStyle name="Input 2 2 2 4 2 2 3 2 2" xfId="16299"/>
    <cellStyle name="Input 2 2 2 4 2 2 3 2 2 2" xfId="29715"/>
    <cellStyle name="Input 2 2 2 4 2 2 3 2 3" xfId="21044"/>
    <cellStyle name="Input 2 2 2 4 2 2 3 3" xfId="14027"/>
    <cellStyle name="Input 2 2 2 4 2 2 3 3 2" xfId="28349"/>
    <cellStyle name="Input 2 2 2 4 2 2 3 4" xfId="19672"/>
    <cellStyle name="Input 2 2 2 4 2 2 4" xfId="11411"/>
    <cellStyle name="Input 2 2 2 4 2 2 4 2" xfId="25733"/>
    <cellStyle name="Input 2 2 2 4 2 2 5" xfId="3782"/>
    <cellStyle name="Input 2 2 2 4 2 3" xfId="596"/>
    <cellStyle name="Input 2 2 2 4 2 3 2" xfId="4259"/>
    <cellStyle name="Input 2 2 2 4 2 3 2 2" xfId="9438"/>
    <cellStyle name="Input 2 2 2 4 2 3 2 2 2" xfId="15700"/>
    <cellStyle name="Input 2 2 2 4 2 3 2 2 2 2" xfId="29116"/>
    <cellStyle name="Input 2 2 2 4 2 3 2 2 3" xfId="20445"/>
    <cellStyle name="Input 2 2 2 4 2 3 2 3" xfId="6645"/>
    <cellStyle name="Input 2 2 2 4 2 3 2 3 2" xfId="23624"/>
    <cellStyle name="Input 2 2 2 4 2 3 2 4" xfId="15218"/>
    <cellStyle name="Input 2 2 2 4 2 3 3" xfId="13329"/>
    <cellStyle name="Input 2 2 2 4 2 3 3 2" xfId="27651"/>
    <cellStyle name="Input 2 2 2 4 2 3 4" xfId="18974"/>
    <cellStyle name="Input 2 2 2 4 2 4" xfId="5779"/>
    <cellStyle name="Input 2 2 2 4 2 4 2" xfId="12332"/>
    <cellStyle name="Input 2 2 2 4 2 4 2 2" xfId="26654"/>
    <cellStyle name="Input 2 2 2 4 2 4 3" xfId="17977"/>
    <cellStyle name="Input 2 2 2 4 2 5" xfId="6751"/>
    <cellStyle name="Input 2 2 2 4 2 5 2" xfId="23699"/>
    <cellStyle name="Input 2 2 2 4 2 6" xfId="15135"/>
    <cellStyle name="Input 2 2 2 4 3" xfId="597"/>
    <cellStyle name="Input 2 2 2 4 3 2" xfId="598"/>
    <cellStyle name="Input 2 2 2 4 3 2 2" xfId="6065"/>
    <cellStyle name="Input 2 2 2 4 3 2 2 2" xfId="12631"/>
    <cellStyle name="Input 2 2 2 4 3 2 2 2 2" xfId="26953"/>
    <cellStyle name="Input 2 2 2 4 3 2 2 3" xfId="18276"/>
    <cellStyle name="Input 2 2 2 4 3 2 3" xfId="7677"/>
    <cellStyle name="Input 2 2 2 4 3 2 3 2" xfId="10291"/>
    <cellStyle name="Input 2 2 2 4 3 2 3 2 2" xfId="16553"/>
    <cellStyle name="Input 2 2 2 4 3 2 3 2 2 2" xfId="29969"/>
    <cellStyle name="Input 2 2 2 4 3 2 3 2 3" xfId="21298"/>
    <cellStyle name="Input 2 2 2 4 3 2 3 3" xfId="14281"/>
    <cellStyle name="Input 2 2 2 4 3 2 3 3 2" xfId="28603"/>
    <cellStyle name="Input 2 2 2 4 3 2 3 4" xfId="19926"/>
    <cellStyle name="Input 2 2 2 4 3 2 4" xfId="4656"/>
    <cellStyle name="Input 2 2 2 4 3 2 4 2" xfId="23097"/>
    <cellStyle name="Input 2 2 2 4 3 2 5" xfId="17049"/>
    <cellStyle name="Input 2 2 2 4 3 3" xfId="599"/>
    <cellStyle name="Input 2 2 2 4 3 3 2" xfId="7434"/>
    <cellStyle name="Input 2 2 2 4 3 3 2 2" xfId="10048"/>
    <cellStyle name="Input 2 2 2 4 3 3 2 2 2" xfId="16310"/>
    <cellStyle name="Input 2 2 2 4 3 3 2 2 2 2" xfId="29726"/>
    <cellStyle name="Input 2 2 2 4 3 3 2 2 3" xfId="21055"/>
    <cellStyle name="Input 2 2 2 4 3 3 2 3" xfId="14038"/>
    <cellStyle name="Input 2 2 2 4 3 3 2 3 2" xfId="28360"/>
    <cellStyle name="Input 2 2 2 4 3 3 2 4" xfId="19683"/>
    <cellStyle name="Input 2 2 2 4 3 3 3" xfId="13386"/>
    <cellStyle name="Input 2 2 2 4 3 3 3 2" xfId="27708"/>
    <cellStyle name="Input 2 2 2 4 3 3 4" xfId="19031"/>
    <cellStyle name="Input 2 2 2 4 3 4" xfId="5846"/>
    <cellStyle name="Input 2 2 2 4 3 4 2" xfId="12399"/>
    <cellStyle name="Input 2 2 2 4 3 4 2 2" xfId="26721"/>
    <cellStyle name="Input 2 2 2 4 3 4 3" xfId="18044"/>
    <cellStyle name="Input 2 2 2 4 3 5" xfId="6274"/>
    <cellStyle name="Input 2 2 2 4 3 5 2" xfId="23486"/>
    <cellStyle name="Input 2 2 2 4 3 6" xfId="3930"/>
    <cellStyle name="Input 2 2 2 4 4" xfId="600"/>
    <cellStyle name="Input 2 2 2 4 4 2" xfId="5979"/>
    <cellStyle name="Input 2 2 2 4 4 2 2" xfId="12537"/>
    <cellStyle name="Input 2 2 2 4 4 2 2 2" xfId="26859"/>
    <cellStyle name="Input 2 2 2 4 4 2 3" xfId="18182"/>
    <cellStyle name="Input 2 2 2 4 4 3" xfId="7331"/>
    <cellStyle name="Input 2 2 2 4 4 3 2" xfId="9945"/>
    <cellStyle name="Input 2 2 2 4 4 3 2 2" xfId="16207"/>
    <cellStyle name="Input 2 2 2 4 4 3 2 2 2" xfId="29623"/>
    <cellStyle name="Input 2 2 2 4 4 3 2 3" xfId="20952"/>
    <cellStyle name="Input 2 2 2 4 4 3 3" xfId="13935"/>
    <cellStyle name="Input 2 2 2 4 4 3 3 2" xfId="28257"/>
    <cellStyle name="Input 2 2 2 4 4 3 4" xfId="19580"/>
    <cellStyle name="Input 2 2 2 4 4 4" xfId="4011"/>
    <cellStyle name="Input 2 2 2 4 4 4 2" xfId="22700"/>
    <cellStyle name="Input 2 2 2 4 4 5" xfId="6605"/>
    <cellStyle name="Input 2 2 2 4 5" xfId="601"/>
    <cellStyle name="Input 2 2 2 4 5 2" xfId="4923"/>
    <cellStyle name="Input 2 2 2 4 5 2 2" xfId="9516"/>
    <cellStyle name="Input 2 2 2 4 5 2 2 2" xfId="15778"/>
    <cellStyle name="Input 2 2 2 4 5 2 2 2 2" xfId="29194"/>
    <cellStyle name="Input 2 2 2 4 5 2 2 3" xfId="20523"/>
    <cellStyle name="Input 2 2 2 4 5 2 3" xfId="11461"/>
    <cellStyle name="Input 2 2 2 4 5 2 3 2" xfId="25783"/>
    <cellStyle name="Input 2 2 2 4 5 2 4" xfId="14995"/>
    <cellStyle name="Input 2 2 2 4 5 3" xfId="12905"/>
    <cellStyle name="Input 2 2 2 4 5 3 2" xfId="27227"/>
    <cellStyle name="Input 2 2 2 4 5 4" xfId="18550"/>
    <cellStyle name="Input 2 2 2 4 6" xfId="5529"/>
    <cellStyle name="Input 2 2 2 4 6 2" xfId="12080"/>
    <cellStyle name="Input 2 2 2 4 6 2 2" xfId="26402"/>
    <cellStyle name="Input 2 2 2 4 6 3" xfId="17725"/>
    <cellStyle name="Input 2 2 2 4 7" xfId="3646"/>
    <cellStyle name="Input 2 2 2 4 7 2" xfId="22505"/>
    <cellStyle name="Input 2 2 2 4 8" xfId="15127"/>
    <cellStyle name="Input 2 2 2 5" xfId="602"/>
    <cellStyle name="Input 2 2 2 5 2" xfId="603"/>
    <cellStyle name="Input 2 2 2 5 2 2" xfId="604"/>
    <cellStyle name="Input 2 2 2 5 2 2 2" xfId="6022"/>
    <cellStyle name="Input 2 2 2 5 2 2 2 2" xfId="12583"/>
    <cellStyle name="Input 2 2 2 5 2 2 2 2 2" xfId="26905"/>
    <cellStyle name="Input 2 2 2 5 2 2 2 3" xfId="18228"/>
    <cellStyle name="Input 2 2 2 5 2 2 3" xfId="7685"/>
    <cellStyle name="Input 2 2 2 5 2 2 3 2" xfId="10299"/>
    <cellStyle name="Input 2 2 2 5 2 2 3 2 2" xfId="16561"/>
    <cellStyle name="Input 2 2 2 5 2 2 3 2 2 2" xfId="29977"/>
    <cellStyle name="Input 2 2 2 5 2 2 3 2 3" xfId="21306"/>
    <cellStyle name="Input 2 2 2 5 2 2 3 3" xfId="14289"/>
    <cellStyle name="Input 2 2 2 5 2 2 3 3 2" xfId="28611"/>
    <cellStyle name="Input 2 2 2 5 2 2 3 4" xfId="19934"/>
    <cellStyle name="Input 2 2 2 5 2 2 4" xfId="6811"/>
    <cellStyle name="Input 2 2 2 5 2 2 4 2" xfId="23749"/>
    <cellStyle name="Input 2 2 2 5 2 2 5" xfId="15539"/>
    <cellStyle name="Input 2 2 2 5 2 3" xfId="605"/>
    <cellStyle name="Input 2 2 2 5 2 3 2" xfId="7535"/>
    <cellStyle name="Input 2 2 2 5 2 3 2 2" xfId="10149"/>
    <cellStyle name="Input 2 2 2 5 2 3 2 2 2" xfId="16411"/>
    <cellStyle name="Input 2 2 2 5 2 3 2 2 2 2" xfId="29827"/>
    <cellStyle name="Input 2 2 2 5 2 3 2 2 3" xfId="21156"/>
    <cellStyle name="Input 2 2 2 5 2 3 2 3" xfId="14139"/>
    <cellStyle name="Input 2 2 2 5 2 3 2 3 2" xfId="28461"/>
    <cellStyle name="Input 2 2 2 5 2 3 2 4" xfId="19784"/>
    <cellStyle name="Input 2 2 2 5 2 3 3" xfId="13259"/>
    <cellStyle name="Input 2 2 2 5 2 3 3 2" xfId="27581"/>
    <cellStyle name="Input 2 2 2 5 2 3 4" xfId="18904"/>
    <cellStyle name="Input 2 2 2 5 2 4" xfId="5704"/>
    <cellStyle name="Input 2 2 2 5 2 4 2" xfId="12257"/>
    <cellStyle name="Input 2 2 2 5 2 4 2 2" xfId="26579"/>
    <cellStyle name="Input 2 2 2 5 2 4 3" xfId="17902"/>
    <cellStyle name="Input 2 2 2 5 2 5" xfId="4648"/>
    <cellStyle name="Input 2 2 2 5 2 5 2" xfId="23091"/>
    <cellStyle name="Input 2 2 2 5 2 6" xfId="4336"/>
    <cellStyle name="Input 2 2 2 5 3" xfId="606"/>
    <cellStyle name="Input 2 2 2 5 3 2" xfId="607"/>
    <cellStyle name="Input 2 2 2 5 3 2 2" xfId="5350"/>
    <cellStyle name="Input 2 2 2 5 3 2 2 2" xfId="11900"/>
    <cellStyle name="Input 2 2 2 5 3 2 2 2 2" xfId="26222"/>
    <cellStyle name="Input 2 2 2 5 3 2 2 3" xfId="17545"/>
    <cellStyle name="Input 2 2 2 5 3 2 3" xfId="7631"/>
    <cellStyle name="Input 2 2 2 5 3 2 3 2" xfId="10245"/>
    <cellStyle name="Input 2 2 2 5 3 2 3 2 2" xfId="16507"/>
    <cellStyle name="Input 2 2 2 5 3 2 3 2 2 2" xfId="29923"/>
    <cellStyle name="Input 2 2 2 5 3 2 3 2 3" xfId="21252"/>
    <cellStyle name="Input 2 2 2 5 3 2 3 3" xfId="14235"/>
    <cellStyle name="Input 2 2 2 5 3 2 3 3 2" xfId="28557"/>
    <cellStyle name="Input 2 2 2 5 3 2 3 4" xfId="19880"/>
    <cellStyle name="Input 2 2 2 5 3 2 4" xfId="4471"/>
    <cellStyle name="Input 2 2 2 5 3 2 4 2" xfId="22970"/>
    <cellStyle name="Input 2 2 2 5 3 2 5" xfId="4355"/>
    <cellStyle name="Input 2 2 2 5 3 3" xfId="608"/>
    <cellStyle name="Input 2 2 2 5 3 3 2" xfId="7283"/>
    <cellStyle name="Input 2 2 2 5 3 3 2 2" xfId="9897"/>
    <cellStyle name="Input 2 2 2 5 3 3 2 2 2" xfId="16159"/>
    <cellStyle name="Input 2 2 2 5 3 3 2 2 2 2" xfId="29575"/>
    <cellStyle name="Input 2 2 2 5 3 3 2 2 3" xfId="20904"/>
    <cellStyle name="Input 2 2 2 5 3 3 2 3" xfId="13887"/>
    <cellStyle name="Input 2 2 2 5 3 3 2 3 2" xfId="28209"/>
    <cellStyle name="Input 2 2 2 5 3 3 2 4" xfId="19532"/>
    <cellStyle name="Input 2 2 2 5 3 3 3" xfId="13156"/>
    <cellStyle name="Input 2 2 2 5 3 3 3 2" xfId="27478"/>
    <cellStyle name="Input 2 2 2 5 3 3 4" xfId="18801"/>
    <cellStyle name="Input 2 2 2 5 3 4" xfId="5562"/>
    <cellStyle name="Input 2 2 2 5 3 4 2" xfId="12113"/>
    <cellStyle name="Input 2 2 2 5 3 4 2 2" xfId="26435"/>
    <cellStyle name="Input 2 2 2 5 3 4 3" xfId="17758"/>
    <cellStyle name="Input 2 2 2 5 3 5" xfId="3291"/>
    <cellStyle name="Input 2 2 2 5 3 5 2" xfId="22464"/>
    <cellStyle name="Input 2 2 2 5 3 6" xfId="15400"/>
    <cellStyle name="Input 2 2 2 5 4" xfId="609"/>
    <cellStyle name="Input 2 2 2 5 4 2" xfId="6394"/>
    <cellStyle name="Input 2 2 2 5 4 2 2" xfId="12977"/>
    <cellStyle name="Input 2 2 2 5 4 2 2 2" xfId="27299"/>
    <cellStyle name="Input 2 2 2 5 4 2 3" xfId="18622"/>
    <cellStyle name="Input 2 2 2 5 4 3" xfId="7504"/>
    <cellStyle name="Input 2 2 2 5 4 3 2" xfId="10118"/>
    <cellStyle name="Input 2 2 2 5 4 3 2 2" xfId="16380"/>
    <cellStyle name="Input 2 2 2 5 4 3 2 2 2" xfId="29796"/>
    <cellStyle name="Input 2 2 2 5 4 3 2 3" xfId="21125"/>
    <cellStyle name="Input 2 2 2 5 4 3 3" xfId="14108"/>
    <cellStyle name="Input 2 2 2 5 4 3 3 2" xfId="28430"/>
    <cellStyle name="Input 2 2 2 5 4 3 4" xfId="19753"/>
    <cellStyle name="Input 2 2 2 5 4 4" xfId="3607"/>
    <cellStyle name="Input 2 2 2 5 4 4 2" xfId="22486"/>
    <cellStyle name="Input 2 2 2 5 4 5" xfId="3262"/>
    <cellStyle name="Input 2 2 2 5 5" xfId="610"/>
    <cellStyle name="Input 2 2 2 5 5 2" xfId="3962"/>
    <cellStyle name="Input 2 2 2 5 5 2 2" xfId="9404"/>
    <cellStyle name="Input 2 2 2 5 5 2 2 2" xfId="15666"/>
    <cellStyle name="Input 2 2 2 5 5 2 2 2 2" xfId="29082"/>
    <cellStyle name="Input 2 2 2 5 5 2 2 3" xfId="20411"/>
    <cellStyle name="Input 2 2 2 5 5 2 3" xfId="6352"/>
    <cellStyle name="Input 2 2 2 5 5 2 3 2" xfId="23537"/>
    <cellStyle name="Input 2 2 2 5 5 2 4" xfId="4912"/>
    <cellStyle name="Input 2 2 2 5 5 3" xfId="12767"/>
    <cellStyle name="Input 2 2 2 5 5 3 2" xfId="27089"/>
    <cellStyle name="Input 2 2 2 5 5 4" xfId="18412"/>
    <cellStyle name="Input 2 2 2 5 6" xfId="4326"/>
    <cellStyle name="Input 2 2 2 5 6 2" xfId="4491"/>
    <cellStyle name="Input 2 2 2 5 6 2 2" xfId="22984"/>
    <cellStyle name="Input 2 2 2 5 6 3" xfId="4910"/>
    <cellStyle name="Input 2 2 2 5 7" xfId="4992"/>
    <cellStyle name="Input 2 2 2 5 7 2" xfId="23298"/>
    <cellStyle name="Input 2 2 2 5 8" xfId="17284"/>
    <cellStyle name="Input 2 2 2 6" xfId="611"/>
    <cellStyle name="Input 2 2 2 6 2" xfId="612"/>
    <cellStyle name="Input 2 2 2 6 2 2" xfId="613"/>
    <cellStyle name="Input 2 2 2 6 2 2 2" xfId="6004"/>
    <cellStyle name="Input 2 2 2 6 2 2 2 2" xfId="12563"/>
    <cellStyle name="Input 2 2 2 6 2 2 2 2 2" xfId="26885"/>
    <cellStyle name="Input 2 2 2 6 2 2 2 3" xfId="18208"/>
    <cellStyle name="Input 2 2 2 6 2 2 3" xfId="7617"/>
    <cellStyle name="Input 2 2 2 6 2 2 3 2" xfId="10231"/>
    <cellStyle name="Input 2 2 2 6 2 2 3 2 2" xfId="16493"/>
    <cellStyle name="Input 2 2 2 6 2 2 3 2 2 2" xfId="29909"/>
    <cellStyle name="Input 2 2 2 6 2 2 3 2 3" xfId="21238"/>
    <cellStyle name="Input 2 2 2 6 2 2 3 3" xfId="14221"/>
    <cellStyle name="Input 2 2 2 6 2 2 3 3 2" xfId="28543"/>
    <cellStyle name="Input 2 2 2 6 2 2 3 4" xfId="19866"/>
    <cellStyle name="Input 2 2 2 6 2 2 4" xfId="3180"/>
    <cellStyle name="Input 2 2 2 6 2 2 4 2" xfId="22426"/>
    <cellStyle name="Input 2 2 2 6 2 2 5" xfId="17244"/>
    <cellStyle name="Input 2 2 2 6 2 3" xfId="614"/>
    <cellStyle name="Input 2 2 2 6 2 3 2" xfId="7890"/>
    <cellStyle name="Input 2 2 2 6 2 3 2 2" xfId="10504"/>
    <cellStyle name="Input 2 2 2 6 2 3 2 2 2" xfId="16766"/>
    <cellStyle name="Input 2 2 2 6 2 3 2 2 2 2" xfId="30182"/>
    <cellStyle name="Input 2 2 2 6 2 3 2 2 3" xfId="21511"/>
    <cellStyle name="Input 2 2 2 6 2 3 2 3" xfId="14494"/>
    <cellStyle name="Input 2 2 2 6 2 3 2 3 2" xfId="28816"/>
    <cellStyle name="Input 2 2 2 6 2 3 2 4" xfId="20139"/>
    <cellStyle name="Input 2 2 2 6 2 3 3" xfId="13059"/>
    <cellStyle name="Input 2 2 2 6 2 3 3 2" xfId="27381"/>
    <cellStyle name="Input 2 2 2 6 2 3 4" xfId="18704"/>
    <cellStyle name="Input 2 2 2 6 2 4" xfId="5392"/>
    <cellStyle name="Input 2 2 2 6 2 4 2" xfId="11942"/>
    <cellStyle name="Input 2 2 2 6 2 4 2 2" xfId="26264"/>
    <cellStyle name="Input 2 2 2 6 2 4 3" xfId="17587"/>
    <cellStyle name="Input 2 2 2 6 2 5" xfId="3292"/>
    <cellStyle name="Input 2 2 2 6 2 5 2" xfId="22465"/>
    <cellStyle name="Input 2 2 2 6 2 6" xfId="15245"/>
    <cellStyle name="Input 2 2 2 6 3" xfId="615"/>
    <cellStyle name="Input 2 2 2 6 3 2" xfId="6964"/>
    <cellStyle name="Input 2 2 2 6 3 2 2" xfId="13568"/>
    <cellStyle name="Input 2 2 2 6 3 2 2 2" xfId="27890"/>
    <cellStyle name="Input 2 2 2 6 3 2 3" xfId="19213"/>
    <cellStyle name="Input 2 2 2 6 3 3" xfId="7411"/>
    <cellStyle name="Input 2 2 2 6 3 3 2" xfId="10025"/>
    <cellStyle name="Input 2 2 2 6 3 3 2 2" xfId="16287"/>
    <cellStyle name="Input 2 2 2 6 3 3 2 2 2" xfId="29703"/>
    <cellStyle name="Input 2 2 2 6 3 3 2 3" xfId="21032"/>
    <cellStyle name="Input 2 2 2 6 3 3 3" xfId="14015"/>
    <cellStyle name="Input 2 2 2 6 3 3 3 2" xfId="28337"/>
    <cellStyle name="Input 2 2 2 6 3 3 4" xfId="19660"/>
    <cellStyle name="Input 2 2 2 6 3 4" xfId="11468"/>
    <cellStyle name="Input 2 2 2 6 3 4 2" xfId="25790"/>
    <cellStyle name="Input 2 2 2 6 3 5" xfId="15113"/>
    <cellStyle name="Input 2 2 2 6 4" xfId="616"/>
    <cellStyle name="Input 2 2 2 6 4 2" xfId="3194"/>
    <cellStyle name="Input 2 2 2 6 4 2 2" xfId="9006"/>
    <cellStyle name="Input 2 2 2 6 4 2 2 2" xfId="15354"/>
    <cellStyle name="Input 2 2 2 6 4 2 2 2 2" xfId="29004"/>
    <cellStyle name="Input 2 2 2 6 4 2 2 3" xfId="20331"/>
    <cellStyle name="Input 2 2 2 6 4 2 3" xfId="4712"/>
    <cellStyle name="Input 2 2 2 6 4 2 3 2" xfId="23144"/>
    <cellStyle name="Input 2 2 2 6 4 2 4" xfId="14742"/>
    <cellStyle name="Input 2 2 2 6 4 3" xfId="12134"/>
    <cellStyle name="Input 2 2 2 6 4 3 2" xfId="26456"/>
    <cellStyle name="Input 2 2 2 6 4 4" xfId="17779"/>
    <cellStyle name="Input 2 2 2 6 5" xfId="5073"/>
    <cellStyle name="Input 2 2 2 6 5 2" xfId="11620"/>
    <cellStyle name="Input 2 2 2 6 5 2 2" xfId="25942"/>
    <cellStyle name="Input 2 2 2 6 5 3" xfId="17234"/>
    <cellStyle name="Input 2 2 2 6 6" xfId="4264"/>
    <cellStyle name="Input 2 2 2 6 6 2" xfId="22858"/>
    <cellStyle name="Input 2 2 2 6 7" xfId="17191"/>
    <cellStyle name="Input 2 2 2 7" xfId="617"/>
    <cellStyle name="Input 2 2 2 7 2" xfId="618"/>
    <cellStyle name="Input 2 2 2 7 2 2" xfId="6435"/>
    <cellStyle name="Input 2 2 2 7 2 2 2" xfId="13018"/>
    <cellStyle name="Input 2 2 2 7 2 2 2 2" xfId="27340"/>
    <cellStyle name="Input 2 2 2 7 2 2 3" xfId="18663"/>
    <cellStyle name="Input 2 2 2 7 2 3" xfId="7094"/>
    <cellStyle name="Input 2 2 2 7 2 3 2" xfId="9708"/>
    <cellStyle name="Input 2 2 2 7 2 3 2 2" xfId="15970"/>
    <cellStyle name="Input 2 2 2 7 2 3 2 2 2" xfId="29386"/>
    <cellStyle name="Input 2 2 2 7 2 3 2 3" xfId="20715"/>
    <cellStyle name="Input 2 2 2 7 2 3 3" xfId="13698"/>
    <cellStyle name="Input 2 2 2 7 2 3 3 2" xfId="28020"/>
    <cellStyle name="Input 2 2 2 7 2 3 4" xfId="19343"/>
    <cellStyle name="Input 2 2 2 7 2 4" xfId="6807"/>
    <cellStyle name="Input 2 2 2 7 2 4 2" xfId="23746"/>
    <cellStyle name="Input 2 2 2 7 2 5" xfId="15265"/>
    <cellStyle name="Input 2 2 2 7 3" xfId="619"/>
    <cellStyle name="Input 2 2 2 7 3 2" xfId="5262"/>
    <cellStyle name="Input 2 2 2 7 3 2 2" xfId="9571"/>
    <cellStyle name="Input 2 2 2 7 3 2 2 2" xfId="15833"/>
    <cellStyle name="Input 2 2 2 7 3 2 2 2 2" xfId="29249"/>
    <cellStyle name="Input 2 2 2 7 3 2 2 3" xfId="20578"/>
    <cellStyle name="Input 2 2 2 7 3 2 3" xfId="11812"/>
    <cellStyle name="Input 2 2 2 7 3 2 3 2" xfId="26134"/>
    <cellStyle name="Input 2 2 2 7 3 2 4" xfId="17457"/>
    <cellStyle name="Input 2 2 2 7 3 3" xfId="13060"/>
    <cellStyle name="Input 2 2 2 7 3 3 2" xfId="27382"/>
    <cellStyle name="Input 2 2 2 7 3 4" xfId="18705"/>
    <cellStyle name="Input 2 2 2 7 4" xfId="5393"/>
    <cellStyle name="Input 2 2 2 7 4 2" xfId="11943"/>
    <cellStyle name="Input 2 2 2 7 4 2 2" xfId="26265"/>
    <cellStyle name="Input 2 2 2 7 4 3" xfId="17588"/>
    <cellStyle name="Input 2 2 2 7 5" xfId="6334"/>
    <cellStyle name="Input 2 2 2 7 5 2" xfId="23522"/>
    <cellStyle name="Input 2 2 2 7 6" xfId="17105"/>
    <cellStyle name="Input 2 2 2 8" xfId="620"/>
    <cellStyle name="Input 2 2 2 8 2" xfId="6105"/>
    <cellStyle name="Input 2 2 2 8 2 2" xfId="12673"/>
    <cellStyle name="Input 2 2 2 8 2 2 2" xfId="26995"/>
    <cellStyle name="Input 2 2 2 8 2 3" xfId="18318"/>
    <cellStyle name="Input 2 2 2 8 3" xfId="7754"/>
    <cellStyle name="Input 2 2 2 8 3 2" xfId="10368"/>
    <cellStyle name="Input 2 2 2 8 3 2 2" xfId="16630"/>
    <cellStyle name="Input 2 2 2 8 3 2 2 2" xfId="30046"/>
    <cellStyle name="Input 2 2 2 8 3 2 3" xfId="21375"/>
    <cellStyle name="Input 2 2 2 8 3 3" xfId="14358"/>
    <cellStyle name="Input 2 2 2 8 3 3 2" xfId="28680"/>
    <cellStyle name="Input 2 2 2 8 3 4" xfId="20003"/>
    <cellStyle name="Input 2 2 2 8 4" xfId="4813"/>
    <cellStyle name="Input 2 2 2 8 4 2" xfId="23200"/>
    <cellStyle name="Input 2 2 2 8 5" xfId="4550"/>
    <cellStyle name="Input 2 2 2 9" xfId="621"/>
    <cellStyle name="Input 2 2 2 9 2" xfId="7857"/>
    <cellStyle name="Input 2 2 2 9 2 2" xfId="10471"/>
    <cellStyle name="Input 2 2 2 9 2 2 2" xfId="16733"/>
    <cellStyle name="Input 2 2 2 9 2 2 2 2" xfId="30149"/>
    <cellStyle name="Input 2 2 2 9 2 2 3" xfId="21478"/>
    <cellStyle name="Input 2 2 2 9 2 3" xfId="14461"/>
    <cellStyle name="Input 2 2 2 9 2 3 2" xfId="28783"/>
    <cellStyle name="Input 2 2 2 9 2 4" xfId="20106"/>
    <cellStyle name="Input 2 2 2 9 3" xfId="12507"/>
    <cellStyle name="Input 2 2 2 9 3 2" xfId="26829"/>
    <cellStyle name="Input 2 2 2 9 4" xfId="18152"/>
    <cellStyle name="Input 2 2 3" xfId="622"/>
    <cellStyle name="Input 2 2 3 10" xfId="4072"/>
    <cellStyle name="Input 2 2 3 10 2" xfId="22744"/>
    <cellStyle name="Input 2 2 3 11" xfId="16999"/>
    <cellStyle name="Input 2 2 3 2" xfId="623"/>
    <cellStyle name="Input 2 2 3 2 2" xfId="624"/>
    <cellStyle name="Input 2 2 3 2 2 2" xfId="625"/>
    <cellStyle name="Input 2 2 3 2 2 2 2" xfId="6942"/>
    <cellStyle name="Input 2 2 3 2 2 2 2 2" xfId="13546"/>
    <cellStyle name="Input 2 2 3 2 2 2 2 2 2" xfId="27868"/>
    <cellStyle name="Input 2 2 3 2 2 2 2 3" xfId="19191"/>
    <cellStyle name="Input 2 2 3 2 2 2 3" xfId="3246"/>
    <cellStyle name="Input 2 2 3 2 2 2 3 2" xfId="9048"/>
    <cellStyle name="Input 2 2 3 2 2 2 3 2 2" xfId="15387"/>
    <cellStyle name="Input 2 2 3 2 2 2 3 2 2 2" xfId="29006"/>
    <cellStyle name="Input 2 2 3 2 2 2 3 2 3" xfId="20333"/>
    <cellStyle name="Input 2 2 3 2 2 2 3 3" xfId="4034"/>
    <cellStyle name="Input 2 2 3 2 2 2 3 3 2" xfId="22712"/>
    <cellStyle name="Input 2 2 3 2 2 2 3 4" xfId="17353"/>
    <cellStyle name="Input 2 2 3 2 2 2 4" xfId="11435"/>
    <cellStyle name="Input 2 2 3 2 2 2 4 2" xfId="25757"/>
    <cellStyle name="Input 2 2 3 2 2 2 5" xfId="6680"/>
    <cellStyle name="Input 2 2 3 2 2 3" xfId="626"/>
    <cellStyle name="Input 2 2 3 2 2 3 2" xfId="7686"/>
    <cellStyle name="Input 2 2 3 2 2 3 2 2" xfId="10300"/>
    <cellStyle name="Input 2 2 3 2 2 3 2 2 2" xfId="16562"/>
    <cellStyle name="Input 2 2 3 2 2 3 2 2 2 2" xfId="29978"/>
    <cellStyle name="Input 2 2 3 2 2 3 2 2 3" xfId="21307"/>
    <cellStyle name="Input 2 2 3 2 2 3 2 3" xfId="14290"/>
    <cellStyle name="Input 2 2 3 2 2 3 2 3 2" xfId="28612"/>
    <cellStyle name="Input 2 2 3 2 2 3 2 4" xfId="19935"/>
    <cellStyle name="Input 2 2 3 2 2 3 3" xfId="13312"/>
    <cellStyle name="Input 2 2 3 2 2 3 3 2" xfId="27634"/>
    <cellStyle name="Input 2 2 3 2 2 3 4" xfId="18957"/>
    <cellStyle name="Input 2 2 3 2 2 4" xfId="5762"/>
    <cellStyle name="Input 2 2 3 2 2 4 2" xfId="12315"/>
    <cellStyle name="Input 2 2 3 2 2 4 2 2" xfId="26637"/>
    <cellStyle name="Input 2 2 3 2 2 4 3" xfId="17960"/>
    <cellStyle name="Input 2 2 3 2 2 5" xfId="3990"/>
    <cellStyle name="Input 2 2 3 2 2 5 2" xfId="22689"/>
    <cellStyle name="Input 2 2 3 2 2 6" xfId="17069"/>
    <cellStyle name="Input 2 2 3 2 3" xfId="627"/>
    <cellStyle name="Input 2 2 3 2 3 2" xfId="628"/>
    <cellStyle name="Input 2 2 3 2 3 2 2" xfId="5995"/>
    <cellStyle name="Input 2 2 3 2 3 2 2 2" xfId="12553"/>
    <cellStyle name="Input 2 2 3 2 3 2 2 2 2" xfId="26875"/>
    <cellStyle name="Input 2 2 3 2 3 2 2 3" xfId="18198"/>
    <cellStyle name="Input 2 2 3 2 3 2 3" xfId="7726"/>
    <cellStyle name="Input 2 2 3 2 3 2 3 2" xfId="10340"/>
    <cellStyle name="Input 2 2 3 2 3 2 3 2 2" xfId="16602"/>
    <cellStyle name="Input 2 2 3 2 3 2 3 2 2 2" xfId="30018"/>
    <cellStyle name="Input 2 2 3 2 3 2 3 2 3" xfId="21347"/>
    <cellStyle name="Input 2 2 3 2 3 2 3 3" xfId="14330"/>
    <cellStyle name="Input 2 2 3 2 3 2 3 3 2" xfId="28652"/>
    <cellStyle name="Input 2 2 3 2 3 2 3 4" xfId="19975"/>
    <cellStyle name="Input 2 2 3 2 3 2 4" xfId="4317"/>
    <cellStyle name="Input 2 2 3 2 3 2 4 2" xfId="22886"/>
    <cellStyle name="Input 2 2 3 2 3 2 5" xfId="17338"/>
    <cellStyle name="Input 2 2 3 2 3 3" xfId="629"/>
    <cellStyle name="Input 2 2 3 2 3 3 2" xfId="8028"/>
    <cellStyle name="Input 2 2 3 2 3 3 2 2" xfId="10642"/>
    <cellStyle name="Input 2 2 3 2 3 3 2 2 2" xfId="16904"/>
    <cellStyle name="Input 2 2 3 2 3 3 2 2 2 2" xfId="30320"/>
    <cellStyle name="Input 2 2 3 2 3 3 2 2 3" xfId="21649"/>
    <cellStyle name="Input 2 2 3 2 3 3 2 3" xfId="14632"/>
    <cellStyle name="Input 2 2 3 2 3 3 2 3 2" xfId="28954"/>
    <cellStyle name="Input 2 2 3 2 3 3 2 4" xfId="20277"/>
    <cellStyle name="Input 2 2 3 2 3 3 3" xfId="13253"/>
    <cellStyle name="Input 2 2 3 2 3 3 3 2" xfId="27575"/>
    <cellStyle name="Input 2 2 3 2 3 3 4" xfId="18898"/>
    <cellStyle name="Input 2 2 3 2 3 4" xfId="5696"/>
    <cellStyle name="Input 2 2 3 2 3 4 2" xfId="12249"/>
    <cellStyle name="Input 2 2 3 2 3 4 2 2" xfId="26571"/>
    <cellStyle name="Input 2 2 3 2 3 4 3" xfId="17894"/>
    <cellStyle name="Input 2 2 3 2 3 5" xfId="4163"/>
    <cellStyle name="Input 2 2 3 2 3 5 2" xfId="22791"/>
    <cellStyle name="Input 2 2 3 2 3 6" xfId="17129"/>
    <cellStyle name="Input 2 2 3 2 4" xfId="630"/>
    <cellStyle name="Input 2 2 3 2 4 2" xfId="5949"/>
    <cellStyle name="Input 2 2 3 2 4 2 2" xfId="12506"/>
    <cellStyle name="Input 2 2 3 2 4 2 2 2" xfId="26828"/>
    <cellStyle name="Input 2 2 3 2 4 2 3" xfId="18151"/>
    <cellStyle name="Input 2 2 3 2 4 3" xfId="5004"/>
    <cellStyle name="Input 2 2 3 2 4 3 2" xfId="9538"/>
    <cellStyle name="Input 2 2 3 2 4 3 2 2" xfId="15800"/>
    <cellStyle name="Input 2 2 3 2 4 3 2 2 2" xfId="29216"/>
    <cellStyle name="Input 2 2 3 2 4 3 2 3" xfId="20545"/>
    <cellStyle name="Input 2 2 3 2 4 3 3" xfId="11547"/>
    <cellStyle name="Input 2 2 3 2 4 3 3 2" xfId="25869"/>
    <cellStyle name="Input 2 2 3 2 4 3 4" xfId="15460"/>
    <cellStyle name="Input 2 2 3 2 4 4" xfId="4997"/>
    <cellStyle name="Input 2 2 3 2 4 4 2" xfId="23301"/>
    <cellStyle name="Input 2 2 3 2 4 5" xfId="15505"/>
    <cellStyle name="Input 2 2 3 2 5" xfId="631"/>
    <cellStyle name="Input 2 2 3 2 5 2" xfId="7490"/>
    <cellStyle name="Input 2 2 3 2 5 2 2" xfId="10104"/>
    <cellStyle name="Input 2 2 3 2 5 2 2 2" xfId="16366"/>
    <cellStyle name="Input 2 2 3 2 5 2 2 2 2" xfId="29782"/>
    <cellStyle name="Input 2 2 3 2 5 2 2 3" xfId="21111"/>
    <cellStyle name="Input 2 2 3 2 5 2 3" xfId="14094"/>
    <cellStyle name="Input 2 2 3 2 5 2 3 2" xfId="28416"/>
    <cellStyle name="Input 2 2 3 2 5 2 4" xfId="19739"/>
    <cellStyle name="Input 2 2 3 2 5 3" xfId="12888"/>
    <cellStyle name="Input 2 2 3 2 5 3 2" xfId="27210"/>
    <cellStyle name="Input 2 2 3 2 5 4" xfId="18533"/>
    <cellStyle name="Input 2 2 3 2 6" xfId="5506"/>
    <cellStyle name="Input 2 2 3 2 6 2" xfId="12057"/>
    <cellStyle name="Input 2 2 3 2 6 2 2" xfId="26379"/>
    <cellStyle name="Input 2 2 3 2 6 3" xfId="17702"/>
    <cellStyle name="Input 2 2 3 2 7" xfId="6492"/>
    <cellStyle name="Input 2 2 3 2 7 2" xfId="23568"/>
    <cellStyle name="Input 2 2 3 2 8" xfId="15003"/>
    <cellStyle name="Input 2 2 3 3" xfId="632"/>
    <cellStyle name="Input 2 2 3 3 2" xfId="633"/>
    <cellStyle name="Input 2 2 3 3 2 2" xfId="634"/>
    <cellStyle name="Input 2 2 3 3 2 2 2" xfId="6866"/>
    <cellStyle name="Input 2 2 3 3 2 2 2 2" xfId="13470"/>
    <cellStyle name="Input 2 2 3 3 2 2 2 2 2" xfId="27792"/>
    <cellStyle name="Input 2 2 3 3 2 2 2 3" xfId="19115"/>
    <cellStyle name="Input 2 2 3 3 2 2 3" xfId="7061"/>
    <cellStyle name="Input 2 2 3 3 2 2 3 2" xfId="9675"/>
    <cellStyle name="Input 2 2 3 3 2 2 3 2 2" xfId="15937"/>
    <cellStyle name="Input 2 2 3 3 2 2 3 2 2 2" xfId="29353"/>
    <cellStyle name="Input 2 2 3 3 2 2 3 2 3" xfId="20682"/>
    <cellStyle name="Input 2 2 3 3 2 2 3 3" xfId="13665"/>
    <cellStyle name="Input 2 2 3 3 2 2 3 3 2" xfId="27987"/>
    <cellStyle name="Input 2 2 3 3 2 2 3 4" xfId="19310"/>
    <cellStyle name="Input 2 2 3 3 2 2 4" xfId="11327"/>
    <cellStyle name="Input 2 2 3 3 2 2 4 2" xfId="25649"/>
    <cellStyle name="Input 2 2 3 3 2 2 5" xfId="14777"/>
    <cellStyle name="Input 2 2 3 3 2 3" xfId="635"/>
    <cellStyle name="Input 2 2 3 3 2 3 2" xfId="7099"/>
    <cellStyle name="Input 2 2 3 3 2 3 2 2" xfId="9713"/>
    <cellStyle name="Input 2 2 3 3 2 3 2 2 2" xfId="15975"/>
    <cellStyle name="Input 2 2 3 3 2 3 2 2 2 2" xfId="29391"/>
    <cellStyle name="Input 2 2 3 3 2 3 2 2 3" xfId="20720"/>
    <cellStyle name="Input 2 2 3 3 2 3 2 3" xfId="13703"/>
    <cellStyle name="Input 2 2 3 3 2 3 2 3 2" xfId="28025"/>
    <cellStyle name="Input 2 2 3 3 2 3 2 4" xfId="19348"/>
    <cellStyle name="Input 2 2 3 3 2 3 3" xfId="13348"/>
    <cellStyle name="Input 2 2 3 3 2 3 3 2" xfId="27670"/>
    <cellStyle name="Input 2 2 3 3 2 3 4" xfId="18993"/>
    <cellStyle name="Input 2 2 3 3 2 4" xfId="5798"/>
    <cellStyle name="Input 2 2 3 3 2 4 2" xfId="12351"/>
    <cellStyle name="Input 2 2 3 3 2 4 2 2" xfId="26673"/>
    <cellStyle name="Input 2 2 3 3 2 4 3" xfId="17996"/>
    <cellStyle name="Input 2 2 3 3 2 5" xfId="5653"/>
    <cellStyle name="Input 2 2 3 3 2 5 2" xfId="23359"/>
    <cellStyle name="Input 2 2 3 3 2 6" xfId="15476"/>
    <cellStyle name="Input 2 2 3 3 3" xfId="636"/>
    <cellStyle name="Input 2 2 3 3 3 2" xfId="637"/>
    <cellStyle name="Input 2 2 3 3 3 2 2" xfId="6033"/>
    <cellStyle name="Input 2 2 3 3 3 2 2 2" xfId="12594"/>
    <cellStyle name="Input 2 2 3 3 3 2 2 2 2" xfId="26916"/>
    <cellStyle name="Input 2 2 3 3 3 2 2 3" xfId="18239"/>
    <cellStyle name="Input 2 2 3 3 3 2 3" xfId="7484"/>
    <cellStyle name="Input 2 2 3 3 3 2 3 2" xfId="10098"/>
    <cellStyle name="Input 2 2 3 3 3 2 3 2 2" xfId="16360"/>
    <cellStyle name="Input 2 2 3 3 3 2 3 2 2 2" xfId="29776"/>
    <cellStyle name="Input 2 2 3 3 3 2 3 2 3" xfId="21105"/>
    <cellStyle name="Input 2 2 3 3 3 2 3 3" xfId="14088"/>
    <cellStyle name="Input 2 2 3 3 3 2 3 3 2" xfId="28410"/>
    <cellStyle name="Input 2 2 3 3 3 2 3 4" xfId="19733"/>
    <cellStyle name="Input 2 2 3 3 3 2 4" xfId="6193"/>
    <cellStyle name="Input 2 2 3 3 3 2 4 2" xfId="23455"/>
    <cellStyle name="Input 2 2 3 3 3 2 5" xfId="15196"/>
    <cellStyle name="Input 2 2 3 3 3 3" xfId="638"/>
    <cellStyle name="Input 2 2 3 3 3 3 2" xfId="7203"/>
    <cellStyle name="Input 2 2 3 3 3 3 2 2" xfId="9817"/>
    <cellStyle name="Input 2 2 3 3 3 3 2 2 2" xfId="16079"/>
    <cellStyle name="Input 2 2 3 3 3 3 2 2 2 2" xfId="29495"/>
    <cellStyle name="Input 2 2 3 3 3 3 2 2 3" xfId="20824"/>
    <cellStyle name="Input 2 2 3 3 3 3 2 3" xfId="13807"/>
    <cellStyle name="Input 2 2 3 3 3 3 2 3 2" xfId="28129"/>
    <cellStyle name="Input 2 2 3 3 3 3 2 4" xfId="19452"/>
    <cellStyle name="Input 2 2 3 3 3 3 3" xfId="13075"/>
    <cellStyle name="Input 2 2 3 3 3 3 3 2" xfId="27397"/>
    <cellStyle name="Input 2 2 3 3 3 3 4" xfId="18720"/>
    <cellStyle name="Input 2 2 3 3 3 4" xfId="5422"/>
    <cellStyle name="Input 2 2 3 3 3 4 2" xfId="11973"/>
    <cellStyle name="Input 2 2 3 3 3 4 2 2" xfId="26295"/>
    <cellStyle name="Input 2 2 3 3 3 4 3" xfId="17618"/>
    <cellStyle name="Input 2 2 3 3 3 5" xfId="4393"/>
    <cellStyle name="Input 2 2 3 3 3 5 2" xfId="22925"/>
    <cellStyle name="Input 2 2 3 3 3 6" xfId="5026"/>
    <cellStyle name="Input 2 2 3 3 4" xfId="639"/>
    <cellStyle name="Input 2 2 3 3 4 2" xfId="6430"/>
    <cellStyle name="Input 2 2 3 3 4 2 2" xfId="13013"/>
    <cellStyle name="Input 2 2 3 3 4 2 2 2" xfId="27335"/>
    <cellStyle name="Input 2 2 3 3 4 2 3" xfId="18658"/>
    <cellStyle name="Input 2 2 3 3 4 3" xfId="7340"/>
    <cellStyle name="Input 2 2 3 3 4 3 2" xfId="9954"/>
    <cellStyle name="Input 2 2 3 3 4 3 2 2" xfId="16216"/>
    <cellStyle name="Input 2 2 3 3 4 3 2 2 2" xfId="29632"/>
    <cellStyle name="Input 2 2 3 3 4 3 2 3" xfId="20961"/>
    <cellStyle name="Input 2 2 3 3 4 3 3" xfId="13944"/>
    <cellStyle name="Input 2 2 3 3 4 3 3 2" xfId="28266"/>
    <cellStyle name="Input 2 2 3 3 4 3 4" xfId="19589"/>
    <cellStyle name="Input 2 2 3 3 4 4" xfId="6785"/>
    <cellStyle name="Input 2 2 3 3 4 4 2" xfId="23729"/>
    <cellStyle name="Input 2 2 3 3 4 5" xfId="4697"/>
    <cellStyle name="Input 2 2 3 3 5" xfId="640"/>
    <cellStyle name="Input 2 2 3 3 5 2" xfId="8061"/>
    <cellStyle name="Input 2 2 3 3 5 2 2" xfId="10675"/>
    <cellStyle name="Input 2 2 3 3 5 2 2 2" xfId="16937"/>
    <cellStyle name="Input 2 2 3 3 5 2 2 2 2" xfId="30353"/>
    <cellStyle name="Input 2 2 3 3 5 2 2 3" xfId="21682"/>
    <cellStyle name="Input 2 2 3 3 5 2 3" xfId="14665"/>
    <cellStyle name="Input 2 2 3 3 5 2 3 2" xfId="28987"/>
    <cellStyle name="Input 2 2 3 3 5 2 4" xfId="20310"/>
    <cellStyle name="Input 2 2 3 3 5 3" xfId="12924"/>
    <cellStyle name="Input 2 2 3 3 5 3 2" xfId="27246"/>
    <cellStyle name="Input 2 2 3 3 5 4" xfId="18569"/>
    <cellStyle name="Input 2 2 3 3 6" xfId="5548"/>
    <cellStyle name="Input 2 2 3 3 6 2" xfId="12099"/>
    <cellStyle name="Input 2 2 3 3 6 2 2" xfId="26421"/>
    <cellStyle name="Input 2 2 3 3 6 3" xfId="17744"/>
    <cellStyle name="Input 2 2 3 3 7" xfId="3737"/>
    <cellStyle name="Input 2 2 3 3 7 2" xfId="22555"/>
    <cellStyle name="Input 2 2 3 3 8" xfId="4903"/>
    <cellStyle name="Input 2 2 3 4" xfId="641"/>
    <cellStyle name="Input 2 2 3 4 2" xfId="642"/>
    <cellStyle name="Input 2 2 3 4 2 2" xfId="643"/>
    <cellStyle name="Input 2 2 3 4 2 2 2" xfId="5485"/>
    <cellStyle name="Input 2 2 3 4 2 2 2 2" xfId="12036"/>
    <cellStyle name="Input 2 2 3 4 2 2 2 2 2" xfId="26358"/>
    <cellStyle name="Input 2 2 3 4 2 2 2 3" xfId="17681"/>
    <cellStyle name="Input 2 2 3 4 2 2 3" xfId="7607"/>
    <cellStyle name="Input 2 2 3 4 2 2 3 2" xfId="10221"/>
    <cellStyle name="Input 2 2 3 4 2 2 3 2 2" xfId="16483"/>
    <cellStyle name="Input 2 2 3 4 2 2 3 2 2 2" xfId="29899"/>
    <cellStyle name="Input 2 2 3 4 2 2 3 2 3" xfId="21228"/>
    <cellStyle name="Input 2 2 3 4 2 2 3 3" xfId="14211"/>
    <cellStyle name="Input 2 2 3 4 2 2 3 3 2" xfId="28533"/>
    <cellStyle name="Input 2 2 3 4 2 2 3 4" xfId="19856"/>
    <cellStyle name="Input 2 2 3 4 2 2 4" xfId="6266"/>
    <cellStyle name="Input 2 2 3 4 2 2 4 2" xfId="23483"/>
    <cellStyle name="Input 2 2 3 4 2 2 5" xfId="17071"/>
    <cellStyle name="Input 2 2 3 4 2 3" xfId="644"/>
    <cellStyle name="Input 2 2 3 4 2 3 2" xfId="7422"/>
    <cellStyle name="Input 2 2 3 4 2 3 2 2" xfId="10036"/>
    <cellStyle name="Input 2 2 3 4 2 3 2 2 2" xfId="16298"/>
    <cellStyle name="Input 2 2 3 4 2 3 2 2 2 2" xfId="29714"/>
    <cellStyle name="Input 2 2 3 4 2 3 2 2 3" xfId="21043"/>
    <cellStyle name="Input 2 2 3 4 2 3 2 3" xfId="14026"/>
    <cellStyle name="Input 2 2 3 4 2 3 2 3 2" xfId="28348"/>
    <cellStyle name="Input 2 2 3 4 2 3 2 4" xfId="19671"/>
    <cellStyle name="Input 2 2 3 4 2 3 3" xfId="13193"/>
    <cellStyle name="Input 2 2 3 4 2 3 3 2" xfId="27515"/>
    <cellStyle name="Input 2 2 3 4 2 3 4" xfId="18838"/>
    <cellStyle name="Input 2 2 3 4 2 4" xfId="5630"/>
    <cellStyle name="Input 2 2 3 4 2 4 2" xfId="12183"/>
    <cellStyle name="Input 2 2 3 4 2 4 2 2" xfId="26505"/>
    <cellStyle name="Input 2 2 3 4 2 4 3" xfId="17828"/>
    <cellStyle name="Input 2 2 3 4 2 5" xfId="4984"/>
    <cellStyle name="Input 2 2 3 4 2 5 2" xfId="23294"/>
    <cellStyle name="Input 2 2 3 4 2 6" xfId="15092"/>
    <cellStyle name="Input 2 2 3 4 3" xfId="645"/>
    <cellStyle name="Input 2 2 3 4 3 2" xfId="646"/>
    <cellStyle name="Input 2 2 3 4 3 2 2" xfId="6097"/>
    <cellStyle name="Input 2 2 3 4 3 2 2 2" xfId="12664"/>
    <cellStyle name="Input 2 2 3 4 3 2 2 2 2" xfId="26986"/>
    <cellStyle name="Input 2 2 3 4 3 2 2 3" xfId="18309"/>
    <cellStyle name="Input 2 2 3 4 3 2 3" xfId="7223"/>
    <cellStyle name="Input 2 2 3 4 3 2 3 2" xfId="9837"/>
    <cellStyle name="Input 2 2 3 4 3 2 3 2 2" xfId="16099"/>
    <cellStyle name="Input 2 2 3 4 3 2 3 2 2 2" xfId="29515"/>
    <cellStyle name="Input 2 2 3 4 3 2 3 2 3" xfId="20844"/>
    <cellStyle name="Input 2 2 3 4 3 2 3 3" xfId="13827"/>
    <cellStyle name="Input 2 2 3 4 3 2 3 3 2" xfId="28149"/>
    <cellStyle name="Input 2 2 3 4 3 2 3 4" xfId="19472"/>
    <cellStyle name="Input 2 2 3 4 3 2 4" xfId="3917"/>
    <cellStyle name="Input 2 2 3 4 3 2 4 2" xfId="22645"/>
    <cellStyle name="Input 2 2 3 4 3 2 5" xfId="15000"/>
    <cellStyle name="Input 2 2 3 4 3 3" xfId="647"/>
    <cellStyle name="Input 2 2 3 4 3 3 2" xfId="7267"/>
    <cellStyle name="Input 2 2 3 4 3 3 2 2" xfId="9881"/>
    <cellStyle name="Input 2 2 3 4 3 3 2 2 2" xfId="16143"/>
    <cellStyle name="Input 2 2 3 4 3 3 2 2 2 2" xfId="29559"/>
    <cellStyle name="Input 2 2 3 4 3 3 2 2 3" xfId="20888"/>
    <cellStyle name="Input 2 2 3 4 3 3 2 3" xfId="13871"/>
    <cellStyle name="Input 2 2 3 4 3 3 2 3 2" xfId="28193"/>
    <cellStyle name="Input 2 2 3 4 3 3 2 4" xfId="19516"/>
    <cellStyle name="Input 2 2 3 4 3 3 3" xfId="13077"/>
    <cellStyle name="Input 2 2 3 4 3 3 3 2" xfId="27399"/>
    <cellStyle name="Input 2 2 3 4 3 3 4" xfId="18722"/>
    <cellStyle name="Input 2 2 3 4 3 4" xfId="5425"/>
    <cellStyle name="Input 2 2 3 4 3 4 2" xfId="11976"/>
    <cellStyle name="Input 2 2 3 4 3 4 2 2" xfId="26298"/>
    <cellStyle name="Input 2 2 3 4 3 4 3" xfId="17621"/>
    <cellStyle name="Input 2 2 3 4 3 5" xfId="5005"/>
    <cellStyle name="Input 2 2 3 4 3 5 2" xfId="23305"/>
    <cellStyle name="Input 2 2 3 4 3 6" xfId="4925"/>
    <cellStyle name="Input 2 2 3 4 4" xfId="648"/>
    <cellStyle name="Input 2 2 3 4 4 2" xfId="6017"/>
    <cellStyle name="Input 2 2 3 4 4 2 2" xfId="12577"/>
    <cellStyle name="Input 2 2 3 4 4 2 2 2" xfId="26899"/>
    <cellStyle name="Input 2 2 3 4 4 2 3" xfId="18222"/>
    <cellStyle name="Input 2 2 3 4 4 3" xfId="7390"/>
    <cellStyle name="Input 2 2 3 4 4 3 2" xfId="10004"/>
    <cellStyle name="Input 2 2 3 4 4 3 2 2" xfId="16266"/>
    <cellStyle name="Input 2 2 3 4 4 3 2 2 2" xfId="29682"/>
    <cellStyle name="Input 2 2 3 4 4 3 2 3" xfId="21011"/>
    <cellStyle name="Input 2 2 3 4 4 3 3" xfId="13994"/>
    <cellStyle name="Input 2 2 3 4 4 3 3 2" xfId="28316"/>
    <cellStyle name="Input 2 2 3 4 4 3 4" xfId="19639"/>
    <cellStyle name="Input 2 2 3 4 4 4" xfId="2790"/>
    <cellStyle name="Input 2 2 3 4 4 4 2" xfId="22358"/>
    <cellStyle name="Input 2 2 3 4 4 5" xfId="5025"/>
    <cellStyle name="Input 2 2 3 4 5" xfId="649"/>
    <cellStyle name="Input 2 2 3 4 5 2" xfId="7664"/>
    <cellStyle name="Input 2 2 3 4 5 2 2" xfId="10278"/>
    <cellStyle name="Input 2 2 3 4 5 2 2 2" xfId="16540"/>
    <cellStyle name="Input 2 2 3 4 5 2 2 2 2" xfId="29956"/>
    <cellStyle name="Input 2 2 3 4 5 2 2 3" xfId="21285"/>
    <cellStyle name="Input 2 2 3 4 5 2 3" xfId="14268"/>
    <cellStyle name="Input 2 2 3 4 5 2 3 2" xfId="28590"/>
    <cellStyle name="Input 2 2 3 4 5 2 4" xfId="19913"/>
    <cellStyle name="Input 2 2 3 4 5 3" xfId="11926"/>
    <cellStyle name="Input 2 2 3 4 5 3 2" xfId="26248"/>
    <cellStyle name="Input 2 2 3 4 5 4" xfId="17571"/>
    <cellStyle name="Input 2 2 3 4 6" xfId="4994"/>
    <cellStyle name="Input 2 2 3 4 6 2" xfId="11537"/>
    <cellStyle name="Input 2 2 3 4 6 2 2" xfId="25859"/>
    <cellStyle name="Input 2 2 3 4 6 3" xfId="17097"/>
    <cellStyle name="Input 2 2 3 4 7" xfId="4659"/>
    <cellStyle name="Input 2 2 3 4 7 2" xfId="23100"/>
    <cellStyle name="Input 2 2 3 4 8" xfId="15183"/>
    <cellStyle name="Input 2 2 3 5" xfId="650"/>
    <cellStyle name="Input 2 2 3 5 2" xfId="651"/>
    <cellStyle name="Input 2 2 3 5 2 2" xfId="652"/>
    <cellStyle name="Input 2 2 3 5 2 2 2" xfId="5701"/>
    <cellStyle name="Input 2 2 3 5 2 2 2 2" xfId="12254"/>
    <cellStyle name="Input 2 2 3 5 2 2 2 2 2" xfId="26576"/>
    <cellStyle name="Input 2 2 3 5 2 2 2 3" xfId="17899"/>
    <cellStyle name="Input 2 2 3 5 2 2 3" xfId="4883"/>
    <cellStyle name="Input 2 2 3 5 2 2 3 2" xfId="9509"/>
    <cellStyle name="Input 2 2 3 5 2 2 3 2 2" xfId="15771"/>
    <cellStyle name="Input 2 2 3 5 2 2 3 2 2 2" xfId="29187"/>
    <cellStyle name="Input 2 2 3 5 2 2 3 2 3" xfId="20516"/>
    <cellStyle name="Input 2 2 3 5 2 2 3 3" xfId="11418"/>
    <cellStyle name="Input 2 2 3 5 2 2 3 3 2" xfId="25740"/>
    <cellStyle name="Input 2 2 3 5 2 2 3 4" xfId="14978"/>
    <cellStyle name="Input 2 2 3 5 2 2 4" xfId="3915"/>
    <cellStyle name="Input 2 2 3 5 2 2 4 2" xfId="22644"/>
    <cellStyle name="Input 2 2 3 5 2 2 5" xfId="14958"/>
    <cellStyle name="Input 2 2 3 5 2 3" xfId="653"/>
    <cellStyle name="Input 2 2 3 5 2 3 2" xfId="7045"/>
    <cellStyle name="Input 2 2 3 5 2 3 2 2" xfId="9659"/>
    <cellStyle name="Input 2 2 3 5 2 3 2 2 2" xfId="15921"/>
    <cellStyle name="Input 2 2 3 5 2 3 2 2 2 2" xfId="29337"/>
    <cellStyle name="Input 2 2 3 5 2 3 2 2 3" xfId="20666"/>
    <cellStyle name="Input 2 2 3 5 2 3 2 3" xfId="13649"/>
    <cellStyle name="Input 2 2 3 5 2 3 2 3 2" xfId="27971"/>
    <cellStyle name="Input 2 2 3 5 2 3 2 4" xfId="19294"/>
    <cellStyle name="Input 2 2 3 5 2 3 3" xfId="11609"/>
    <cellStyle name="Input 2 2 3 5 2 3 3 2" xfId="25931"/>
    <cellStyle name="Input 2 2 3 5 2 3 4" xfId="6471"/>
    <cellStyle name="Input 2 2 3 5 2 4" xfId="5006"/>
    <cellStyle name="Input 2 2 3 5 2 4 2" xfId="11551"/>
    <cellStyle name="Input 2 2 3 5 2 4 2 2" xfId="25873"/>
    <cellStyle name="Input 2 2 3 5 2 4 3" xfId="15319"/>
    <cellStyle name="Input 2 2 3 5 2 5" xfId="4440"/>
    <cellStyle name="Input 2 2 3 5 2 5 2" xfId="22954"/>
    <cellStyle name="Input 2 2 3 5 2 6" xfId="14846"/>
    <cellStyle name="Input 2 2 3 5 3" xfId="654"/>
    <cellStyle name="Input 2 2 3 5 3 2" xfId="5985"/>
    <cellStyle name="Input 2 2 3 5 3 2 2" xfId="12543"/>
    <cellStyle name="Input 2 2 3 5 3 2 2 2" xfId="26865"/>
    <cellStyle name="Input 2 2 3 5 3 2 3" xfId="18188"/>
    <cellStyle name="Input 2 2 3 5 3 3" xfId="7076"/>
    <cellStyle name="Input 2 2 3 5 3 3 2" xfId="9690"/>
    <cellStyle name="Input 2 2 3 5 3 3 2 2" xfId="15952"/>
    <cellStyle name="Input 2 2 3 5 3 3 2 2 2" xfId="29368"/>
    <cellStyle name="Input 2 2 3 5 3 3 2 3" xfId="20697"/>
    <cellStyle name="Input 2 2 3 5 3 3 3" xfId="13680"/>
    <cellStyle name="Input 2 2 3 5 3 3 3 2" xfId="28002"/>
    <cellStyle name="Input 2 2 3 5 3 3 4" xfId="19325"/>
    <cellStyle name="Input 2 2 3 5 3 4" xfId="6712"/>
    <cellStyle name="Input 2 2 3 5 3 4 2" xfId="23667"/>
    <cellStyle name="Input 2 2 3 5 3 5" xfId="15420"/>
    <cellStyle name="Input 2 2 3 5 4" xfId="655"/>
    <cellStyle name="Input 2 2 3 5 4 2" xfId="7512"/>
    <cellStyle name="Input 2 2 3 5 4 2 2" xfId="10126"/>
    <cellStyle name="Input 2 2 3 5 4 2 2 2" xfId="16388"/>
    <cellStyle name="Input 2 2 3 5 4 2 2 2 2" xfId="29804"/>
    <cellStyle name="Input 2 2 3 5 4 2 2 3" xfId="21133"/>
    <cellStyle name="Input 2 2 3 5 4 2 3" xfId="14116"/>
    <cellStyle name="Input 2 2 3 5 4 2 3 2" xfId="28438"/>
    <cellStyle name="Input 2 2 3 5 4 2 4" xfId="19761"/>
    <cellStyle name="Input 2 2 3 5 4 3" xfId="12850"/>
    <cellStyle name="Input 2 2 3 5 4 3 2" xfId="27172"/>
    <cellStyle name="Input 2 2 3 5 4 4" xfId="18495"/>
    <cellStyle name="Input 2 2 3 5 5" xfId="5439"/>
    <cellStyle name="Input 2 2 3 5 5 2" xfId="11990"/>
    <cellStyle name="Input 2 2 3 5 5 2 2" xfId="26312"/>
    <cellStyle name="Input 2 2 3 5 5 3" xfId="17635"/>
    <cellStyle name="Input 2 2 3 5 6" xfId="4801"/>
    <cellStyle name="Input 2 2 3 5 6 2" xfId="23194"/>
    <cellStyle name="Input 2 2 3 5 7" xfId="14903"/>
    <cellStyle name="Input 2 2 3 6" xfId="656"/>
    <cellStyle name="Input 2 2 3 6 2" xfId="657"/>
    <cellStyle name="Input 2 2 3 6 2 2" xfId="6948"/>
    <cellStyle name="Input 2 2 3 6 2 2 2" xfId="13552"/>
    <cellStyle name="Input 2 2 3 6 2 2 2 2" xfId="27874"/>
    <cellStyle name="Input 2 2 3 6 2 2 3" xfId="19197"/>
    <cellStyle name="Input 2 2 3 6 2 3" xfId="7369"/>
    <cellStyle name="Input 2 2 3 6 2 3 2" xfId="9983"/>
    <cellStyle name="Input 2 2 3 6 2 3 2 2" xfId="16245"/>
    <cellStyle name="Input 2 2 3 6 2 3 2 2 2" xfId="29661"/>
    <cellStyle name="Input 2 2 3 6 2 3 2 3" xfId="20990"/>
    <cellStyle name="Input 2 2 3 6 2 3 3" xfId="13973"/>
    <cellStyle name="Input 2 2 3 6 2 3 3 2" xfId="28295"/>
    <cellStyle name="Input 2 2 3 6 2 3 4" xfId="19618"/>
    <cellStyle name="Input 2 2 3 6 2 4" xfId="11442"/>
    <cellStyle name="Input 2 2 3 6 2 4 2" xfId="25764"/>
    <cellStyle name="Input 2 2 3 6 2 5" xfId="14873"/>
    <cellStyle name="Input 2 2 3 6 3" xfId="658"/>
    <cellStyle name="Input 2 2 3 6 3 2" xfId="5332"/>
    <cellStyle name="Input 2 2 3 6 3 2 2" xfId="9641"/>
    <cellStyle name="Input 2 2 3 6 3 2 2 2" xfId="15903"/>
    <cellStyle name="Input 2 2 3 6 3 2 2 2 2" xfId="29319"/>
    <cellStyle name="Input 2 2 3 6 3 2 2 3" xfId="20648"/>
    <cellStyle name="Input 2 2 3 6 3 2 3" xfId="11882"/>
    <cellStyle name="Input 2 2 3 6 3 2 3 2" xfId="26204"/>
    <cellStyle name="Input 2 2 3 6 3 2 4" xfId="17527"/>
    <cellStyle name="Input 2 2 3 6 3 3" xfId="13090"/>
    <cellStyle name="Input 2 2 3 6 3 3 2" xfId="27412"/>
    <cellStyle name="Input 2 2 3 6 3 4" xfId="18735"/>
    <cellStyle name="Input 2 2 3 6 4" xfId="5445"/>
    <cellStyle name="Input 2 2 3 6 4 2" xfId="11996"/>
    <cellStyle name="Input 2 2 3 6 4 2 2" xfId="26318"/>
    <cellStyle name="Input 2 2 3 6 4 3" xfId="17641"/>
    <cellStyle name="Input 2 2 3 6 5" xfId="6778"/>
    <cellStyle name="Input 2 2 3 6 5 2" xfId="23723"/>
    <cellStyle name="Input 2 2 3 6 6" xfId="17323"/>
    <cellStyle name="Input 2 2 3 7" xfId="659"/>
    <cellStyle name="Input 2 2 3 7 2" xfId="6488"/>
    <cellStyle name="Input 2 2 3 7 2 2" xfId="13071"/>
    <cellStyle name="Input 2 2 3 7 2 2 2" xfId="27393"/>
    <cellStyle name="Input 2 2 3 7 2 3" xfId="18716"/>
    <cellStyle name="Input 2 2 3 7 3" xfId="4789"/>
    <cellStyle name="Input 2 2 3 7 3 2" xfId="9485"/>
    <cellStyle name="Input 2 2 3 7 3 2 2" xfId="15747"/>
    <cellStyle name="Input 2 2 3 7 3 2 2 2" xfId="29163"/>
    <cellStyle name="Input 2 2 3 7 3 2 3" xfId="20492"/>
    <cellStyle name="Input 2 2 3 7 3 3" xfId="11318"/>
    <cellStyle name="Input 2 2 3 7 3 3 2" xfId="25640"/>
    <cellStyle name="Input 2 2 3 7 3 4" xfId="17087"/>
    <cellStyle name="Input 2 2 3 7 4" xfId="4175"/>
    <cellStyle name="Input 2 2 3 7 4 2" xfId="22798"/>
    <cellStyle name="Input 2 2 3 7 5" xfId="15592"/>
    <cellStyle name="Input 2 2 3 8" xfId="660"/>
    <cellStyle name="Input 2 2 3 8 2" xfId="7081"/>
    <cellStyle name="Input 2 2 3 8 2 2" xfId="9695"/>
    <cellStyle name="Input 2 2 3 8 2 2 2" xfId="15957"/>
    <cellStyle name="Input 2 2 3 8 2 2 2 2" xfId="29373"/>
    <cellStyle name="Input 2 2 3 8 2 2 3" xfId="20702"/>
    <cellStyle name="Input 2 2 3 8 2 3" xfId="13685"/>
    <cellStyle name="Input 2 2 3 8 2 3 2" xfId="28007"/>
    <cellStyle name="Input 2 2 3 8 2 4" xfId="19330"/>
    <cellStyle name="Input 2 2 3 8 3" xfId="12748"/>
    <cellStyle name="Input 2 2 3 8 3 2" xfId="27070"/>
    <cellStyle name="Input 2 2 3 8 4" xfId="18393"/>
    <cellStyle name="Input 2 2 3 9" xfId="5379"/>
    <cellStyle name="Input 2 2 3 9 2" xfId="11929"/>
    <cellStyle name="Input 2 2 3 9 2 2" xfId="26251"/>
    <cellStyle name="Input 2 2 3 9 3" xfId="17574"/>
    <cellStyle name="Input 2 2 4" xfId="661"/>
    <cellStyle name="Input 2 2 4 2" xfId="662"/>
    <cellStyle name="Input 2 2 4 2 2" xfId="663"/>
    <cellStyle name="Input 2 2 4 2 2 2" xfId="6400"/>
    <cellStyle name="Input 2 2 4 2 2 2 2" xfId="12983"/>
    <cellStyle name="Input 2 2 4 2 2 2 2 2" xfId="27305"/>
    <cellStyle name="Input 2 2 4 2 2 2 3" xfId="18628"/>
    <cellStyle name="Input 2 2 4 2 2 3" xfId="3899"/>
    <cellStyle name="Input 2 2 4 2 2 3 2" xfId="9390"/>
    <cellStyle name="Input 2 2 4 2 2 3 2 2" xfId="15652"/>
    <cellStyle name="Input 2 2 4 2 2 3 2 2 2" xfId="29068"/>
    <cellStyle name="Input 2 2 4 2 2 3 2 3" xfId="20397"/>
    <cellStyle name="Input 2 2 4 2 2 3 3" xfId="4920"/>
    <cellStyle name="Input 2 2 4 2 2 3 3 2" xfId="23263"/>
    <cellStyle name="Input 2 2 4 2 2 3 4" xfId="17251"/>
    <cellStyle name="Input 2 2 4 2 2 4" xfId="2795"/>
    <cellStyle name="Input 2 2 4 2 2 4 2" xfId="22362"/>
    <cellStyle name="Input 2 2 4 2 2 5" xfId="14744"/>
    <cellStyle name="Input 2 2 4 2 3" xfId="664"/>
    <cellStyle name="Input 2 2 4 2 3 2" xfId="4248"/>
    <cellStyle name="Input 2 2 4 2 3 2 2" xfId="9433"/>
    <cellStyle name="Input 2 2 4 2 3 2 2 2" xfId="15695"/>
    <cellStyle name="Input 2 2 4 2 3 2 2 2 2" xfId="29111"/>
    <cellStyle name="Input 2 2 4 2 3 2 2 3" xfId="20440"/>
    <cellStyle name="Input 2 2 4 2 3 2 3" xfId="5059"/>
    <cellStyle name="Input 2 2 4 2 3 2 3 2" xfId="23321"/>
    <cellStyle name="Input 2 2 4 2 3 2 4" xfId="17206"/>
    <cellStyle name="Input 2 2 4 2 3 3" xfId="13249"/>
    <cellStyle name="Input 2 2 4 2 3 3 2" xfId="27571"/>
    <cellStyle name="Input 2 2 4 2 3 4" xfId="18894"/>
    <cellStyle name="Input 2 2 4 2 4" xfId="5691"/>
    <cellStyle name="Input 2 2 4 2 4 2" xfId="12244"/>
    <cellStyle name="Input 2 2 4 2 4 2 2" xfId="26566"/>
    <cellStyle name="Input 2 2 4 2 4 3" xfId="17889"/>
    <cellStyle name="Input 2 2 4 2 5" xfId="5024"/>
    <cellStyle name="Input 2 2 4 2 5 2" xfId="23312"/>
    <cellStyle name="Input 2 2 4 2 6" xfId="17216"/>
    <cellStyle name="Input 2 2 4 3" xfId="665"/>
    <cellStyle name="Input 2 2 4 3 2" xfId="666"/>
    <cellStyle name="Input 2 2 4 3 2 2" xfId="5938"/>
    <cellStyle name="Input 2 2 4 3 2 2 2" xfId="12495"/>
    <cellStyle name="Input 2 2 4 3 2 2 2 2" xfId="26817"/>
    <cellStyle name="Input 2 2 4 3 2 2 3" xfId="18140"/>
    <cellStyle name="Input 2 2 4 3 2 3" xfId="5343"/>
    <cellStyle name="Input 2 2 4 3 2 3 2" xfId="9652"/>
    <cellStyle name="Input 2 2 4 3 2 3 2 2" xfId="15914"/>
    <cellStyle name="Input 2 2 4 3 2 3 2 2 2" xfId="29330"/>
    <cellStyle name="Input 2 2 4 3 2 3 2 3" xfId="20659"/>
    <cellStyle name="Input 2 2 4 3 2 3 3" xfId="11893"/>
    <cellStyle name="Input 2 2 4 3 2 3 3 2" xfId="26215"/>
    <cellStyle name="Input 2 2 4 3 2 3 4" xfId="17538"/>
    <cellStyle name="Input 2 2 4 3 2 4" xfId="6247"/>
    <cellStyle name="Input 2 2 4 3 2 4 2" xfId="23471"/>
    <cellStyle name="Input 2 2 4 3 2 5" xfId="14763"/>
    <cellStyle name="Input 2 2 4 3 3" xfId="667"/>
    <cellStyle name="Input 2 2 4 3 3 2" xfId="7997"/>
    <cellStyle name="Input 2 2 4 3 3 2 2" xfId="10611"/>
    <cellStyle name="Input 2 2 4 3 3 2 2 2" xfId="16873"/>
    <cellStyle name="Input 2 2 4 3 3 2 2 2 2" xfId="30289"/>
    <cellStyle name="Input 2 2 4 3 3 2 2 3" xfId="21618"/>
    <cellStyle name="Input 2 2 4 3 3 2 3" xfId="14601"/>
    <cellStyle name="Input 2 2 4 3 3 2 3 2" xfId="28923"/>
    <cellStyle name="Input 2 2 4 3 3 2 4" xfId="20246"/>
    <cellStyle name="Input 2 2 4 3 3 3" xfId="13378"/>
    <cellStyle name="Input 2 2 4 3 3 3 2" xfId="27700"/>
    <cellStyle name="Input 2 2 4 3 3 4" xfId="19023"/>
    <cellStyle name="Input 2 2 4 3 4" xfId="5832"/>
    <cellStyle name="Input 2 2 4 3 4 2" xfId="12385"/>
    <cellStyle name="Input 2 2 4 3 4 2 2" xfId="26707"/>
    <cellStyle name="Input 2 2 4 3 4 3" xfId="18030"/>
    <cellStyle name="Input 2 2 4 3 5" xfId="4748"/>
    <cellStyle name="Input 2 2 4 3 5 2" xfId="23168"/>
    <cellStyle name="Input 2 2 4 3 6" xfId="14937"/>
    <cellStyle name="Input 2 2 4 4" xfId="668"/>
    <cellStyle name="Input 2 2 4 4 2" xfId="7030"/>
    <cellStyle name="Input 2 2 4 4 2 2" xfId="13634"/>
    <cellStyle name="Input 2 2 4 4 2 2 2" xfId="27956"/>
    <cellStyle name="Input 2 2 4 4 2 3" xfId="19279"/>
    <cellStyle name="Input 2 2 4 4 3" xfId="8008"/>
    <cellStyle name="Input 2 2 4 4 3 2" xfId="10622"/>
    <cellStyle name="Input 2 2 4 4 3 2 2" xfId="16884"/>
    <cellStyle name="Input 2 2 4 4 3 2 2 2" xfId="30300"/>
    <cellStyle name="Input 2 2 4 4 3 2 3" xfId="21629"/>
    <cellStyle name="Input 2 2 4 4 3 3" xfId="14612"/>
    <cellStyle name="Input 2 2 4 4 3 3 2" xfId="28934"/>
    <cellStyle name="Input 2 2 4 4 3 4" xfId="20257"/>
    <cellStyle name="Input 2 2 4 4 4" xfId="11570"/>
    <cellStyle name="Input 2 2 4 4 4 2" xfId="25892"/>
    <cellStyle name="Input 2 2 4 4 5" xfId="16970"/>
    <cellStyle name="Input 2 2 4 5" xfId="669"/>
    <cellStyle name="Input 2 2 4 5 2" xfId="7834"/>
    <cellStyle name="Input 2 2 4 5 2 2" xfId="10448"/>
    <cellStyle name="Input 2 2 4 5 2 2 2" xfId="16710"/>
    <cellStyle name="Input 2 2 4 5 2 2 2 2" xfId="30126"/>
    <cellStyle name="Input 2 2 4 5 2 2 3" xfId="21455"/>
    <cellStyle name="Input 2 2 4 5 2 3" xfId="14438"/>
    <cellStyle name="Input 2 2 4 5 2 3 2" xfId="28760"/>
    <cellStyle name="Input 2 2 4 5 2 4" xfId="20083"/>
    <cellStyle name="Input 2 2 4 5 3" xfId="12735"/>
    <cellStyle name="Input 2 2 4 5 3 2" xfId="27057"/>
    <cellStyle name="Input 2 2 4 5 4" xfId="18380"/>
    <cellStyle name="Input 2 2 4 6" xfId="5151"/>
    <cellStyle name="Input 2 2 4 6 2" xfId="11700"/>
    <cellStyle name="Input 2 2 4 6 2 2" xfId="26022"/>
    <cellStyle name="Input 2 2 4 6 3" xfId="4623"/>
    <cellStyle name="Input 2 2 4 7" xfId="4571"/>
    <cellStyle name="Input 2 2 4 7 2" xfId="23038"/>
    <cellStyle name="Input 2 2 4 8" xfId="17266"/>
    <cellStyle name="Input 2 2 5" xfId="670"/>
    <cellStyle name="Input 2 2 5 2" xfId="671"/>
    <cellStyle name="Input 2 2 5 2 2" xfId="672"/>
    <cellStyle name="Input 2 2 5 2 2 2" xfId="6530"/>
    <cellStyle name="Input 2 2 5 2 2 2 2" xfId="13118"/>
    <cellStyle name="Input 2 2 5 2 2 2 2 2" xfId="27440"/>
    <cellStyle name="Input 2 2 5 2 2 2 3" xfId="18763"/>
    <cellStyle name="Input 2 2 5 2 2 3" xfId="7920"/>
    <cellStyle name="Input 2 2 5 2 2 3 2" xfId="10534"/>
    <cellStyle name="Input 2 2 5 2 2 3 2 2" xfId="16796"/>
    <cellStyle name="Input 2 2 5 2 2 3 2 2 2" xfId="30212"/>
    <cellStyle name="Input 2 2 5 2 2 3 2 3" xfId="21541"/>
    <cellStyle name="Input 2 2 5 2 2 3 3" xfId="14524"/>
    <cellStyle name="Input 2 2 5 2 2 3 3 2" xfId="28846"/>
    <cellStyle name="Input 2 2 5 2 2 3 4" xfId="20169"/>
    <cellStyle name="Input 2 2 5 2 2 4" xfId="4935"/>
    <cellStyle name="Input 2 2 5 2 2 4 2" xfId="23270"/>
    <cellStyle name="Input 2 2 5 2 2 5" xfId="14712"/>
    <cellStyle name="Input 2 2 5 2 3" xfId="673"/>
    <cellStyle name="Input 2 2 5 2 3 2" xfId="4944"/>
    <cellStyle name="Input 2 2 5 2 3 2 2" xfId="9522"/>
    <cellStyle name="Input 2 2 5 2 3 2 2 2" xfId="15784"/>
    <cellStyle name="Input 2 2 5 2 3 2 2 2 2" xfId="29200"/>
    <cellStyle name="Input 2 2 5 2 3 2 2 3" xfId="20529"/>
    <cellStyle name="Input 2 2 5 2 3 2 3" xfId="11483"/>
    <cellStyle name="Input 2 2 5 2 3 2 3 2" xfId="25805"/>
    <cellStyle name="Input 2 2 5 2 3 2 4" xfId="14933"/>
    <cellStyle name="Input 2 2 5 2 3 3" xfId="12492"/>
    <cellStyle name="Input 2 2 5 2 3 3 2" xfId="26814"/>
    <cellStyle name="Input 2 2 5 2 3 4" xfId="18137"/>
    <cellStyle name="Input 2 2 5 2 4" xfId="5116"/>
    <cellStyle name="Input 2 2 5 2 4 2" xfId="11664"/>
    <cellStyle name="Input 2 2 5 2 4 2 2" xfId="25986"/>
    <cellStyle name="Input 2 2 5 2 4 3" xfId="16993"/>
    <cellStyle name="Input 2 2 5 2 5" xfId="4692"/>
    <cellStyle name="Input 2 2 5 2 5 2" xfId="23128"/>
    <cellStyle name="Input 2 2 5 2 6" xfId="15112"/>
    <cellStyle name="Input 2 2 5 3" xfId="674"/>
    <cellStyle name="Input 2 2 5 3 2" xfId="675"/>
    <cellStyle name="Input 2 2 5 3 2 2" xfId="5699"/>
    <cellStyle name="Input 2 2 5 3 2 2 2" xfId="12252"/>
    <cellStyle name="Input 2 2 5 3 2 2 2 2" xfId="26574"/>
    <cellStyle name="Input 2 2 5 3 2 2 3" xfId="17897"/>
    <cellStyle name="Input 2 2 5 3 2 3" xfId="7374"/>
    <cellStyle name="Input 2 2 5 3 2 3 2" xfId="9988"/>
    <cellStyle name="Input 2 2 5 3 2 3 2 2" xfId="16250"/>
    <cellStyle name="Input 2 2 5 3 2 3 2 2 2" xfId="29666"/>
    <cellStyle name="Input 2 2 5 3 2 3 2 3" xfId="20995"/>
    <cellStyle name="Input 2 2 5 3 2 3 3" xfId="13978"/>
    <cellStyle name="Input 2 2 5 3 2 3 3 2" xfId="28300"/>
    <cellStyle name="Input 2 2 5 3 2 3 4" xfId="19623"/>
    <cellStyle name="Input 2 2 5 3 2 4" xfId="4058"/>
    <cellStyle name="Input 2 2 5 3 2 4 2" xfId="22733"/>
    <cellStyle name="Input 2 2 5 3 2 5" xfId="14886"/>
    <cellStyle name="Input 2 2 5 3 3" xfId="676"/>
    <cellStyle name="Input 2 2 5 3 3 2" xfId="7163"/>
    <cellStyle name="Input 2 2 5 3 3 2 2" xfId="9777"/>
    <cellStyle name="Input 2 2 5 3 3 2 2 2" xfId="16039"/>
    <cellStyle name="Input 2 2 5 3 3 2 2 2 2" xfId="29455"/>
    <cellStyle name="Input 2 2 5 3 3 2 2 3" xfId="20784"/>
    <cellStyle name="Input 2 2 5 3 3 2 3" xfId="13767"/>
    <cellStyle name="Input 2 2 5 3 3 2 3 2" xfId="28089"/>
    <cellStyle name="Input 2 2 5 3 3 2 4" xfId="19412"/>
    <cellStyle name="Input 2 2 5 3 3 3" xfId="12472"/>
    <cellStyle name="Input 2 2 5 3 3 3 2" xfId="26794"/>
    <cellStyle name="Input 2 2 5 3 3 4" xfId="18117"/>
    <cellStyle name="Input 2 2 5 3 4" xfId="5014"/>
    <cellStyle name="Input 2 2 5 3 4 2" xfId="11560"/>
    <cellStyle name="Input 2 2 5 3 4 2 2" xfId="25882"/>
    <cellStyle name="Input 2 2 5 3 4 3" xfId="5914"/>
    <cellStyle name="Input 2 2 5 3 5" xfId="4225"/>
    <cellStyle name="Input 2 2 5 3 5 2" xfId="22837"/>
    <cellStyle name="Input 2 2 5 3 6" xfId="15536"/>
    <cellStyle name="Input 2 2 5 4" xfId="677"/>
    <cellStyle name="Input 2 2 5 4 2" xfId="6273"/>
    <cellStyle name="Input 2 2 5 4 2 2" xfId="12854"/>
    <cellStyle name="Input 2 2 5 4 2 2 2" xfId="27176"/>
    <cellStyle name="Input 2 2 5 4 2 3" xfId="18499"/>
    <cellStyle name="Input 2 2 5 4 3" xfId="7451"/>
    <cellStyle name="Input 2 2 5 4 3 2" xfId="10065"/>
    <cellStyle name="Input 2 2 5 4 3 2 2" xfId="16327"/>
    <cellStyle name="Input 2 2 5 4 3 2 2 2" xfId="29743"/>
    <cellStyle name="Input 2 2 5 4 3 2 3" xfId="21072"/>
    <cellStyle name="Input 2 2 5 4 3 3" xfId="14055"/>
    <cellStyle name="Input 2 2 5 4 3 3 2" xfId="28377"/>
    <cellStyle name="Input 2 2 5 4 3 4" xfId="19700"/>
    <cellStyle name="Input 2 2 5 4 4" xfId="6608"/>
    <cellStyle name="Input 2 2 5 4 4 2" xfId="23600"/>
    <cellStyle name="Input 2 2 5 4 5" xfId="4380"/>
    <cellStyle name="Input 2 2 5 5" xfId="678"/>
    <cellStyle name="Input 2 2 5 5 2" xfId="7059"/>
    <cellStyle name="Input 2 2 5 5 2 2" xfId="9673"/>
    <cellStyle name="Input 2 2 5 5 2 2 2" xfId="15935"/>
    <cellStyle name="Input 2 2 5 5 2 2 2 2" xfId="29351"/>
    <cellStyle name="Input 2 2 5 5 2 2 3" xfId="20680"/>
    <cellStyle name="Input 2 2 5 5 2 3" xfId="13663"/>
    <cellStyle name="Input 2 2 5 5 2 3 2" xfId="27985"/>
    <cellStyle name="Input 2 2 5 5 2 4" xfId="19308"/>
    <cellStyle name="Input 2 2 5 5 3" xfId="12122"/>
    <cellStyle name="Input 2 2 5 5 3 2" xfId="26444"/>
    <cellStyle name="Input 2 2 5 5 4" xfId="17767"/>
    <cellStyle name="Input 2 2 5 6" xfId="5241"/>
    <cellStyle name="Input 2 2 5 6 2" xfId="11791"/>
    <cellStyle name="Input 2 2 5 6 2 2" xfId="26113"/>
    <cellStyle name="Input 2 2 5 6 3" xfId="17436"/>
    <cellStyle name="Input 2 2 5 7" xfId="4475"/>
    <cellStyle name="Input 2 2 5 7 2" xfId="22973"/>
    <cellStyle name="Input 2 2 5 8" xfId="4913"/>
    <cellStyle name="Input 2 2 6" xfId="679"/>
    <cellStyle name="Input 2 2 6 2" xfId="680"/>
    <cellStyle name="Input 2 2 6 2 2" xfId="681"/>
    <cellStyle name="Input 2 2 6 2 2 2" xfId="7016"/>
    <cellStyle name="Input 2 2 6 2 2 2 2" xfId="13620"/>
    <cellStyle name="Input 2 2 6 2 2 2 2 2" xfId="27942"/>
    <cellStyle name="Input 2 2 6 2 2 2 3" xfId="19265"/>
    <cellStyle name="Input 2 2 6 2 2 3" xfId="7878"/>
    <cellStyle name="Input 2 2 6 2 2 3 2" xfId="10492"/>
    <cellStyle name="Input 2 2 6 2 2 3 2 2" xfId="16754"/>
    <cellStyle name="Input 2 2 6 2 2 3 2 2 2" xfId="30170"/>
    <cellStyle name="Input 2 2 6 2 2 3 2 3" xfId="21499"/>
    <cellStyle name="Input 2 2 6 2 2 3 3" xfId="14482"/>
    <cellStyle name="Input 2 2 6 2 2 3 3 2" xfId="28804"/>
    <cellStyle name="Input 2 2 6 2 2 3 4" xfId="20127"/>
    <cellStyle name="Input 2 2 6 2 2 4" xfId="11545"/>
    <cellStyle name="Input 2 2 6 2 2 4 2" xfId="25867"/>
    <cellStyle name="Input 2 2 6 2 2 5" xfId="17057"/>
    <cellStyle name="Input 2 2 6 2 3" xfId="682"/>
    <cellStyle name="Input 2 2 6 2 3 2" xfId="7287"/>
    <cellStyle name="Input 2 2 6 2 3 2 2" xfId="9901"/>
    <cellStyle name="Input 2 2 6 2 3 2 2 2" xfId="16163"/>
    <cellStyle name="Input 2 2 6 2 3 2 2 2 2" xfId="29579"/>
    <cellStyle name="Input 2 2 6 2 3 2 2 3" xfId="20908"/>
    <cellStyle name="Input 2 2 6 2 3 2 3" xfId="13891"/>
    <cellStyle name="Input 2 2 6 2 3 2 3 2" xfId="28213"/>
    <cellStyle name="Input 2 2 6 2 3 2 4" xfId="19536"/>
    <cellStyle name="Input 2 2 6 2 3 3" xfId="13197"/>
    <cellStyle name="Input 2 2 6 2 3 3 2" xfId="27519"/>
    <cellStyle name="Input 2 2 6 2 3 4" xfId="18842"/>
    <cellStyle name="Input 2 2 6 2 4" xfId="5634"/>
    <cellStyle name="Input 2 2 6 2 4 2" xfId="12187"/>
    <cellStyle name="Input 2 2 6 2 4 2 2" xfId="26509"/>
    <cellStyle name="Input 2 2 6 2 4 3" xfId="17832"/>
    <cellStyle name="Input 2 2 6 2 5" xfId="4891"/>
    <cellStyle name="Input 2 2 6 2 5 2" xfId="23249"/>
    <cellStyle name="Input 2 2 6 2 6" xfId="15160"/>
    <cellStyle name="Input 2 2 6 3" xfId="683"/>
    <cellStyle name="Input 2 2 6 3 2" xfId="684"/>
    <cellStyle name="Input 2 2 6 3 2 2" xfId="6585"/>
    <cellStyle name="Input 2 2 6 3 2 2 2" xfId="13174"/>
    <cellStyle name="Input 2 2 6 3 2 2 2 2" xfId="27496"/>
    <cellStyle name="Input 2 2 6 3 2 2 3" xfId="18819"/>
    <cellStyle name="Input 2 2 6 3 2 3" xfId="7829"/>
    <cellStyle name="Input 2 2 6 3 2 3 2" xfId="10443"/>
    <cellStyle name="Input 2 2 6 3 2 3 2 2" xfId="16705"/>
    <cellStyle name="Input 2 2 6 3 2 3 2 2 2" xfId="30121"/>
    <cellStyle name="Input 2 2 6 3 2 3 2 3" xfId="21450"/>
    <cellStyle name="Input 2 2 6 3 2 3 3" xfId="14433"/>
    <cellStyle name="Input 2 2 6 3 2 3 3 2" xfId="28755"/>
    <cellStyle name="Input 2 2 6 3 2 3 4" xfId="20078"/>
    <cellStyle name="Input 2 2 6 3 2 4" xfId="4672"/>
    <cellStyle name="Input 2 2 6 3 2 4 2" xfId="23111"/>
    <cellStyle name="Input 2 2 6 3 2 5" xfId="17283"/>
    <cellStyle name="Input 2 2 6 3 3" xfId="685"/>
    <cellStyle name="Input 2 2 6 3 3 2" xfId="4854"/>
    <cellStyle name="Input 2 2 6 3 3 2 2" xfId="9504"/>
    <cellStyle name="Input 2 2 6 3 3 2 2 2" xfId="15766"/>
    <cellStyle name="Input 2 2 6 3 3 2 2 2 2" xfId="29182"/>
    <cellStyle name="Input 2 2 6 3 3 2 2 3" xfId="20511"/>
    <cellStyle name="Input 2 2 6 3 3 2 3" xfId="11388"/>
    <cellStyle name="Input 2 2 6 3 3 2 3 2" xfId="25710"/>
    <cellStyle name="Input 2 2 6 3 3 2 4" xfId="14695"/>
    <cellStyle name="Input 2 2 6 3 3 3" xfId="12665"/>
    <cellStyle name="Input 2 2 6 3 3 3 2" xfId="26987"/>
    <cellStyle name="Input 2 2 6 3 3 4" xfId="18310"/>
    <cellStyle name="Input 2 2 6 3 4" xfId="5127"/>
    <cellStyle name="Input 2 2 6 3 4 2" xfId="11676"/>
    <cellStyle name="Input 2 2 6 3 4 2 2" xfId="25998"/>
    <cellStyle name="Input 2 2 6 3 4 3" xfId="15046"/>
    <cellStyle name="Input 2 2 6 3 5" xfId="4633"/>
    <cellStyle name="Input 2 2 6 3 5 2" xfId="23078"/>
    <cellStyle name="Input 2 2 6 3 6" xfId="4617"/>
    <cellStyle name="Input 2 2 6 4" xfId="686"/>
    <cellStyle name="Input 2 2 6 4 2" xfId="6868"/>
    <cellStyle name="Input 2 2 6 4 2 2" xfId="13472"/>
    <cellStyle name="Input 2 2 6 4 2 2 2" xfId="27794"/>
    <cellStyle name="Input 2 2 6 4 2 3" xfId="19117"/>
    <cellStyle name="Input 2 2 6 4 3" xfId="4092"/>
    <cellStyle name="Input 2 2 6 4 3 2" xfId="9423"/>
    <cellStyle name="Input 2 2 6 4 3 2 2" xfId="15685"/>
    <cellStyle name="Input 2 2 6 4 3 2 2 2" xfId="29101"/>
    <cellStyle name="Input 2 2 6 4 3 2 3" xfId="20430"/>
    <cellStyle name="Input 2 2 6 4 3 3" xfId="5962"/>
    <cellStyle name="Input 2 2 6 4 3 3 2" xfId="23383"/>
    <cellStyle name="Input 2 2 6 4 3 4" xfId="17341"/>
    <cellStyle name="Input 2 2 6 4 4" xfId="11331"/>
    <cellStyle name="Input 2 2 6 4 4 2" xfId="25653"/>
    <cellStyle name="Input 2 2 6 4 5" xfId="4148"/>
    <cellStyle name="Input 2 2 6 5" xfId="687"/>
    <cellStyle name="Input 2 2 6 5 2" xfId="7728"/>
    <cellStyle name="Input 2 2 6 5 2 2" xfId="10342"/>
    <cellStyle name="Input 2 2 6 5 2 2 2" xfId="16604"/>
    <cellStyle name="Input 2 2 6 5 2 2 2 2" xfId="30020"/>
    <cellStyle name="Input 2 2 6 5 2 2 3" xfId="21349"/>
    <cellStyle name="Input 2 2 6 5 2 3" xfId="14332"/>
    <cellStyle name="Input 2 2 6 5 2 3 2" xfId="28654"/>
    <cellStyle name="Input 2 2 6 5 2 4" xfId="19977"/>
    <cellStyle name="Input 2 2 6 5 3" xfId="12177"/>
    <cellStyle name="Input 2 2 6 5 3 2" xfId="26499"/>
    <cellStyle name="Input 2 2 6 5 4" xfId="17822"/>
    <cellStyle name="Input 2 2 6 6" xfId="5122"/>
    <cellStyle name="Input 2 2 6 6 2" xfId="11670"/>
    <cellStyle name="Input 2 2 6 6 2 2" xfId="25992"/>
    <cellStyle name="Input 2 2 6 6 3" xfId="4560"/>
    <cellStyle name="Input 2 2 6 7" xfId="6799"/>
    <cellStyle name="Input 2 2 6 7 2" xfId="23740"/>
    <cellStyle name="Input 2 2 6 8" xfId="15546"/>
    <cellStyle name="Input 2 2 7" xfId="688"/>
    <cellStyle name="Input 2 2 7 2" xfId="689"/>
    <cellStyle name="Input 2 2 7 2 2" xfId="690"/>
    <cellStyle name="Input 2 2 7 2 2 2" xfId="6169"/>
    <cellStyle name="Input 2 2 7 2 2 2 2" xfId="12742"/>
    <cellStyle name="Input 2 2 7 2 2 2 2 2" xfId="27064"/>
    <cellStyle name="Input 2 2 7 2 2 2 3" xfId="18387"/>
    <cellStyle name="Input 2 2 7 2 2 3" xfId="4943"/>
    <cellStyle name="Input 2 2 7 2 2 3 2" xfId="9521"/>
    <cellStyle name="Input 2 2 7 2 2 3 2 2" xfId="15783"/>
    <cellStyle name="Input 2 2 7 2 2 3 2 2 2" xfId="29199"/>
    <cellStyle name="Input 2 2 7 2 2 3 2 3" xfId="20528"/>
    <cellStyle name="Input 2 2 7 2 2 3 3" xfId="11482"/>
    <cellStyle name="Input 2 2 7 2 2 3 3 2" xfId="25804"/>
    <cellStyle name="Input 2 2 7 2 2 3 4" xfId="17201"/>
    <cellStyle name="Input 2 2 7 2 2 4" xfId="4360"/>
    <cellStyle name="Input 2 2 7 2 2 4 2" xfId="22904"/>
    <cellStyle name="Input 2 2 7 2 2 5" xfId="4125"/>
    <cellStyle name="Input 2 2 7 2 3" xfId="691"/>
    <cellStyle name="Input 2 2 7 2 3 2" xfId="4458"/>
    <cellStyle name="Input 2 2 7 2 3 2 2" xfId="9468"/>
    <cellStyle name="Input 2 2 7 2 3 2 2 2" xfId="15730"/>
    <cellStyle name="Input 2 2 7 2 3 2 2 2 2" xfId="29146"/>
    <cellStyle name="Input 2 2 7 2 3 2 2 3" xfId="20475"/>
    <cellStyle name="Input 2 2 7 2 3 2 3" xfId="4809"/>
    <cellStyle name="Input 2 2 7 2 3 2 3 2" xfId="23198"/>
    <cellStyle name="Input 2 2 7 2 3 2 4" xfId="17228"/>
    <cellStyle name="Input 2 2 7 2 3 3" xfId="13383"/>
    <cellStyle name="Input 2 2 7 2 3 3 2" xfId="27705"/>
    <cellStyle name="Input 2 2 7 2 3 4" xfId="19028"/>
    <cellStyle name="Input 2 2 7 2 4" xfId="5843"/>
    <cellStyle name="Input 2 2 7 2 4 2" xfId="12396"/>
    <cellStyle name="Input 2 2 7 2 4 2 2" xfId="26718"/>
    <cellStyle name="Input 2 2 7 2 4 3" xfId="18041"/>
    <cellStyle name="Input 2 2 7 2 5" xfId="6770"/>
    <cellStyle name="Input 2 2 7 2 5 2" xfId="23716"/>
    <cellStyle name="Input 2 2 7 2 6" xfId="15540"/>
    <cellStyle name="Input 2 2 7 3" xfId="692"/>
    <cellStyle name="Input 2 2 7 3 2" xfId="5169"/>
    <cellStyle name="Input 2 2 7 3 2 2" xfId="11718"/>
    <cellStyle name="Input 2 2 7 3 2 2 2" xfId="26040"/>
    <cellStyle name="Input 2 2 7 3 2 3" xfId="6738"/>
    <cellStyle name="Input 2 2 7 3 3" xfId="7565"/>
    <cellStyle name="Input 2 2 7 3 3 2" xfId="10179"/>
    <cellStyle name="Input 2 2 7 3 3 2 2" xfId="16441"/>
    <cellStyle name="Input 2 2 7 3 3 2 2 2" xfId="29857"/>
    <cellStyle name="Input 2 2 7 3 3 2 3" xfId="21186"/>
    <cellStyle name="Input 2 2 7 3 3 3" xfId="14169"/>
    <cellStyle name="Input 2 2 7 3 3 3 2" xfId="28491"/>
    <cellStyle name="Input 2 2 7 3 3 4" xfId="19814"/>
    <cellStyle name="Input 2 2 7 3 4" xfId="6672"/>
    <cellStyle name="Input 2 2 7 3 4 2" xfId="23644"/>
    <cellStyle name="Input 2 2 7 3 5" xfId="17226"/>
    <cellStyle name="Input 2 2 7 4" xfId="693"/>
    <cellStyle name="Input 2 2 7 4 2" xfId="7400"/>
    <cellStyle name="Input 2 2 7 4 2 2" xfId="10014"/>
    <cellStyle name="Input 2 2 7 4 2 2 2" xfId="16276"/>
    <cellStyle name="Input 2 2 7 4 2 2 2 2" xfId="29692"/>
    <cellStyle name="Input 2 2 7 4 2 2 3" xfId="21021"/>
    <cellStyle name="Input 2 2 7 4 2 3" xfId="14004"/>
    <cellStyle name="Input 2 2 7 4 2 3 2" xfId="28326"/>
    <cellStyle name="Input 2 2 7 4 2 4" xfId="19649"/>
    <cellStyle name="Input 2 2 7 4 3" xfId="12697"/>
    <cellStyle name="Input 2 2 7 4 3 2" xfId="27019"/>
    <cellStyle name="Input 2 2 7 4 4" xfId="18342"/>
    <cellStyle name="Input 2 2 7 5" xfId="5098"/>
    <cellStyle name="Input 2 2 7 5 2" xfId="11645"/>
    <cellStyle name="Input 2 2 7 5 2 2" xfId="25967"/>
    <cellStyle name="Input 2 2 7 5 3" xfId="4918"/>
    <cellStyle name="Input 2 2 7 6" xfId="3250"/>
    <cellStyle name="Input 2 2 7 6 2" xfId="22444"/>
    <cellStyle name="Input 2 2 7 7" xfId="17288"/>
    <cellStyle name="Input 2 2 8" xfId="694"/>
    <cellStyle name="Input 2 2 8 2" xfId="695"/>
    <cellStyle name="Input 2 2 8 2 2" xfId="6962"/>
    <cellStyle name="Input 2 2 8 2 2 2" xfId="13566"/>
    <cellStyle name="Input 2 2 8 2 2 2 2" xfId="27888"/>
    <cellStyle name="Input 2 2 8 2 2 3" xfId="19211"/>
    <cellStyle name="Input 2 2 8 2 3" xfId="4804"/>
    <cellStyle name="Input 2 2 8 2 3 2" xfId="9489"/>
    <cellStyle name="Input 2 2 8 2 3 2 2" xfId="15751"/>
    <cellStyle name="Input 2 2 8 2 3 2 2 2" xfId="29167"/>
    <cellStyle name="Input 2 2 8 2 3 2 3" xfId="20496"/>
    <cellStyle name="Input 2 2 8 2 3 3" xfId="11334"/>
    <cellStyle name="Input 2 2 8 2 3 3 2" xfId="25656"/>
    <cellStyle name="Input 2 2 8 2 3 4" xfId="14898"/>
    <cellStyle name="Input 2 2 8 2 4" xfId="11465"/>
    <cellStyle name="Input 2 2 8 2 4 2" xfId="25787"/>
    <cellStyle name="Input 2 2 8 2 5" xfId="14913"/>
    <cellStyle name="Input 2 2 8 3" xfId="696"/>
    <cellStyle name="Input 2 2 8 3 2" xfId="7700"/>
    <cellStyle name="Input 2 2 8 3 2 2" xfId="10314"/>
    <cellStyle name="Input 2 2 8 3 2 2 2" xfId="16576"/>
    <cellStyle name="Input 2 2 8 3 2 2 2 2" xfId="29992"/>
    <cellStyle name="Input 2 2 8 3 2 2 3" xfId="21321"/>
    <cellStyle name="Input 2 2 8 3 2 3" xfId="14304"/>
    <cellStyle name="Input 2 2 8 3 2 3 2" xfId="28626"/>
    <cellStyle name="Input 2 2 8 3 2 4" xfId="19949"/>
    <cellStyle name="Input 2 2 8 3 3" xfId="12546"/>
    <cellStyle name="Input 2 2 8 3 3 2" xfId="26868"/>
    <cellStyle name="Input 2 2 8 3 4" xfId="18191"/>
    <cellStyle name="Input 2 2 8 4" xfId="3252"/>
    <cellStyle name="Input 2 2 8 4 2" xfId="4977"/>
    <cellStyle name="Input 2 2 8 4 2 2" xfId="23290"/>
    <cellStyle name="Input 2 2 8 4 3" xfId="15517"/>
    <cellStyle name="Input 2 2 8 5" xfId="4176"/>
    <cellStyle name="Input 2 2 8 5 2" xfId="22799"/>
    <cellStyle name="Input 2 2 8 6" xfId="4577"/>
    <cellStyle name="Input 2 2 9" xfId="697"/>
    <cellStyle name="Input 2 2 9 2" xfId="5605"/>
    <cellStyle name="Input 2 2 9 2 2" xfId="12157"/>
    <cellStyle name="Input 2 2 9 2 2 2" xfId="26479"/>
    <cellStyle name="Input 2 2 9 2 3" xfId="17802"/>
    <cellStyle name="Input 2 2 9 3" xfId="8005"/>
    <cellStyle name="Input 2 2 9 3 2" xfId="10619"/>
    <cellStyle name="Input 2 2 9 3 2 2" xfId="16881"/>
    <cellStyle name="Input 2 2 9 3 2 2 2" xfId="30297"/>
    <cellStyle name="Input 2 2 9 3 2 3" xfId="21626"/>
    <cellStyle name="Input 2 2 9 3 3" xfId="14609"/>
    <cellStyle name="Input 2 2 9 3 3 2" xfId="28931"/>
    <cellStyle name="Input 2 2 9 3 4" xfId="20254"/>
    <cellStyle name="Input 2 2 9 4" xfId="3869"/>
    <cellStyle name="Input 2 2 9 4 2" xfId="22619"/>
    <cellStyle name="Input 2 2 9 5" xfId="17285"/>
    <cellStyle name="Input 2 3" xfId="698"/>
    <cellStyle name="Input 2 3 2" xfId="6219"/>
    <cellStyle name="Input 2 3 2 2" xfId="12794"/>
    <cellStyle name="Input 2 3 2 2 2" xfId="27116"/>
    <cellStyle name="Input 2 3 2 3" xfId="18439"/>
    <cellStyle name="Input 2 3 3" xfId="7705"/>
    <cellStyle name="Input 2 3 3 2" xfId="10319"/>
    <cellStyle name="Input 2 3 3 2 2" xfId="16581"/>
    <cellStyle name="Input 2 3 3 2 2 2" xfId="29997"/>
    <cellStyle name="Input 2 3 3 2 3" xfId="21326"/>
    <cellStyle name="Input 2 3 3 3" xfId="14309"/>
    <cellStyle name="Input 2 3 3 3 2" xfId="28631"/>
    <cellStyle name="Input 2 3 3 4" xfId="19954"/>
    <cellStyle name="Input 2 3 4" xfId="3904"/>
    <cellStyle name="Input 2 3 4 2" xfId="22637"/>
    <cellStyle name="Input 2 3 5" xfId="4167"/>
    <cellStyle name="Input 2 4" xfId="3151"/>
    <cellStyle name="Input 2 4 2" xfId="3805"/>
    <cellStyle name="Input 2 4 2 2" xfId="22592"/>
    <cellStyle name="Input 2 4 3" xfId="15428"/>
    <cellStyle name="Input 2 5" xfId="4570"/>
    <cellStyle name="Input 2 5 2" xfId="23037"/>
    <cellStyle name="Input 2 6" xfId="17278"/>
    <cellStyle name="Input 2 7" xfId="20323"/>
    <cellStyle name="Input 2 8" xfId="21698"/>
    <cellStyle name="Linked Cell 2" xfId="699"/>
    <cellStyle name="Neutral 2" xfId="700"/>
    <cellStyle name="Neutro" xfId="701"/>
    <cellStyle name="Normal" xfId="0" builtinId="0"/>
    <cellStyle name="Normal 10" xfId="30369"/>
    <cellStyle name="Normal 11" xfId="2"/>
    <cellStyle name="Normal 2" xfId="702"/>
    <cellStyle name="Normal 2 2" xfId="703"/>
    <cellStyle name="Normal 2 2 2" xfId="704"/>
    <cellStyle name="Normal 2 2 3" xfId="705"/>
    <cellStyle name="Normal 3" xfId="706"/>
    <cellStyle name="Normal 3 10" xfId="707"/>
    <cellStyle name="Normal 3 10 2" xfId="708"/>
    <cellStyle name="Normal 3 10 2 2" xfId="8583"/>
    <cellStyle name="Normal 3 10 2 2 2" xfId="11196"/>
    <cellStyle name="Normal 3 10 2 2 2 2" xfId="25518"/>
    <cellStyle name="Normal 3 10 2 2 3" xfId="24270"/>
    <cellStyle name="Normal 3 10 2 3" xfId="9224"/>
    <cellStyle name="Normal 3 10 2 3 2" xfId="24896"/>
    <cellStyle name="Normal 3 10 2 4" xfId="3464"/>
    <cellStyle name="Normal 3 10 2 5" xfId="21707"/>
    <cellStyle name="Normal 3 10 3" xfId="8302"/>
    <cellStyle name="Normal 3 10 3 2" xfId="10915"/>
    <cellStyle name="Normal 3 10 3 2 2" xfId="25237"/>
    <cellStyle name="Normal 3 10 3 3" xfId="23989"/>
    <cellStyle name="Normal 3 10 4" xfId="8868"/>
    <cellStyle name="Normal 3 10 4 2" xfId="24555"/>
    <cellStyle name="Normal 3 10 5" xfId="3015"/>
    <cellStyle name="Normal 3 10 6" xfId="21706"/>
    <cellStyle name="Normal 3 11" xfId="709"/>
    <cellStyle name="Normal 3 11 2" xfId="8414"/>
    <cellStyle name="Normal 3 11 2 2" xfId="11027"/>
    <cellStyle name="Normal 3 11 2 2 2" xfId="25349"/>
    <cellStyle name="Normal 3 11 2 3" xfId="24101"/>
    <cellStyle name="Normal 3 11 3" xfId="8980"/>
    <cellStyle name="Normal 3 11 3 2" xfId="24667"/>
    <cellStyle name="Normal 3 11 4" xfId="3138"/>
    <cellStyle name="Normal 3 11 5" xfId="21708"/>
    <cellStyle name="Normal 3 12" xfId="710"/>
    <cellStyle name="Normal 3 12 2" xfId="8134"/>
    <cellStyle name="Normal 3 12 2 2" xfId="10747"/>
    <cellStyle name="Normal 3 12 2 2 2" xfId="25069"/>
    <cellStyle name="Normal 3 12 2 3" xfId="23821"/>
    <cellStyle name="Normal 3 12 3" xfId="9056"/>
    <cellStyle name="Normal 3 12 3 2" xfId="24728"/>
    <cellStyle name="Normal 3 12 4" xfId="3296"/>
    <cellStyle name="Normal 3 12 5" xfId="21709"/>
    <cellStyle name="Normal 3 13" xfId="8073"/>
    <cellStyle name="Normal 3 13 2" xfId="10686"/>
    <cellStyle name="Normal 3 13 2 2" xfId="25008"/>
    <cellStyle name="Normal 3 13 3" xfId="23760"/>
    <cellStyle name="Normal 3 14" xfId="8695"/>
    <cellStyle name="Normal 3 14 2" xfId="11308"/>
    <cellStyle name="Normal 3 14 2 2" xfId="25630"/>
    <cellStyle name="Normal 3 14 3" xfId="24382"/>
    <cellStyle name="Normal 3 15" xfId="8700"/>
    <cellStyle name="Normal 3 15 2" xfId="24387"/>
    <cellStyle name="Normal 3 16" xfId="2758"/>
    <cellStyle name="Normal 3 17" xfId="21705"/>
    <cellStyle name="Normal 3 2" xfId="711"/>
    <cellStyle name="Normal 3 2 2" xfId="712"/>
    <cellStyle name="Normal 3 2 2 10" xfId="2863"/>
    <cellStyle name="Normal 3 2 2 11" xfId="21711"/>
    <cellStyle name="Normal 3 2 2 2" xfId="713"/>
    <cellStyle name="Normal 3 2 2 2 10" xfId="21712"/>
    <cellStyle name="Normal 3 2 2 2 2" xfId="714"/>
    <cellStyle name="Normal 3 2 2 2 2 2" xfId="715"/>
    <cellStyle name="Normal 3 2 2 2 2 2 2" xfId="716"/>
    <cellStyle name="Normal 3 2 2 2 2 2 2 2" xfId="8690"/>
    <cellStyle name="Normal 3 2 2 2 2 2 2 2 2" xfId="11303"/>
    <cellStyle name="Normal 3 2 2 2 2 2 2 2 2 2" xfId="25625"/>
    <cellStyle name="Normal 3 2 2 2 2 2 2 2 3" xfId="24377"/>
    <cellStyle name="Normal 3 2 2 2 2 2 2 3" xfId="9332"/>
    <cellStyle name="Normal 3 2 2 2 2 2 2 3 2" xfId="25003"/>
    <cellStyle name="Normal 3 2 2 2 2 2 2 4" xfId="3580"/>
    <cellStyle name="Normal 3 2 2 2 2 2 2 5" xfId="21715"/>
    <cellStyle name="Normal 3 2 2 2 2 2 3" xfId="8409"/>
    <cellStyle name="Normal 3 2 2 2 2 2 3 2" xfId="11022"/>
    <cellStyle name="Normal 3 2 2 2 2 2 3 2 2" xfId="25344"/>
    <cellStyle name="Normal 3 2 2 2 2 2 3 3" xfId="24096"/>
    <cellStyle name="Normal 3 2 2 2 2 2 4" xfId="8975"/>
    <cellStyle name="Normal 3 2 2 2 2 2 4 2" xfId="24662"/>
    <cellStyle name="Normal 3 2 2 2 2 2 5" xfId="3132"/>
    <cellStyle name="Normal 3 2 2 2 2 2 6" xfId="21714"/>
    <cellStyle name="Normal 3 2 2 2 2 3" xfId="717"/>
    <cellStyle name="Normal 3 2 2 2 2 3 2" xfId="8522"/>
    <cellStyle name="Normal 3 2 2 2 2 3 2 2" xfId="11135"/>
    <cellStyle name="Normal 3 2 2 2 2 3 2 2 2" xfId="25457"/>
    <cellStyle name="Normal 3 2 2 2 2 3 2 3" xfId="24209"/>
    <cellStyle name="Normal 3 2 2 2 2 3 3" xfId="9163"/>
    <cellStyle name="Normal 3 2 2 2 2 3 3 2" xfId="24835"/>
    <cellStyle name="Normal 3 2 2 2 2 3 4" xfId="3403"/>
    <cellStyle name="Normal 3 2 2 2 2 3 5" xfId="21716"/>
    <cellStyle name="Normal 3 2 2 2 2 4" xfId="8241"/>
    <cellStyle name="Normal 3 2 2 2 2 4 2" xfId="10854"/>
    <cellStyle name="Normal 3 2 2 2 2 4 2 2" xfId="25176"/>
    <cellStyle name="Normal 3 2 2 2 2 4 3" xfId="23928"/>
    <cellStyle name="Normal 3 2 2 2 2 5" xfId="8807"/>
    <cellStyle name="Normal 3 2 2 2 2 5 2" xfId="24494"/>
    <cellStyle name="Normal 3 2 2 2 2 6" xfId="2954"/>
    <cellStyle name="Normal 3 2 2 2 2 7" xfId="21713"/>
    <cellStyle name="Normal 3 2 2 2 3" xfId="718"/>
    <cellStyle name="Normal 3 2 2 2 3 2" xfId="719"/>
    <cellStyle name="Normal 3 2 2 2 3 2 2" xfId="8578"/>
    <cellStyle name="Normal 3 2 2 2 3 2 2 2" xfId="11191"/>
    <cellStyle name="Normal 3 2 2 2 3 2 2 2 2" xfId="25513"/>
    <cellStyle name="Normal 3 2 2 2 3 2 2 3" xfId="24265"/>
    <cellStyle name="Normal 3 2 2 2 3 2 3" xfId="9219"/>
    <cellStyle name="Normal 3 2 2 2 3 2 3 2" xfId="24891"/>
    <cellStyle name="Normal 3 2 2 2 3 2 4" xfId="3459"/>
    <cellStyle name="Normal 3 2 2 2 3 2 5" xfId="21718"/>
    <cellStyle name="Normal 3 2 2 2 3 3" xfId="8297"/>
    <cellStyle name="Normal 3 2 2 2 3 3 2" xfId="10910"/>
    <cellStyle name="Normal 3 2 2 2 3 3 2 2" xfId="25232"/>
    <cellStyle name="Normal 3 2 2 2 3 3 3" xfId="23984"/>
    <cellStyle name="Normal 3 2 2 2 3 4" xfId="8863"/>
    <cellStyle name="Normal 3 2 2 2 3 4 2" xfId="24550"/>
    <cellStyle name="Normal 3 2 2 2 3 5" xfId="3010"/>
    <cellStyle name="Normal 3 2 2 2 3 6" xfId="21717"/>
    <cellStyle name="Normal 3 2 2 2 4" xfId="720"/>
    <cellStyle name="Normal 3 2 2 2 4 2" xfId="721"/>
    <cellStyle name="Normal 3 2 2 2 4 2 2" xfId="8633"/>
    <cellStyle name="Normal 3 2 2 2 4 2 2 2" xfId="11246"/>
    <cellStyle name="Normal 3 2 2 2 4 2 2 2 2" xfId="25568"/>
    <cellStyle name="Normal 3 2 2 2 4 2 2 3" xfId="24320"/>
    <cellStyle name="Normal 3 2 2 2 4 2 3" xfId="9275"/>
    <cellStyle name="Normal 3 2 2 2 4 2 3 2" xfId="24946"/>
    <cellStyle name="Normal 3 2 2 2 4 2 4" xfId="3523"/>
    <cellStyle name="Normal 3 2 2 2 4 2 5" xfId="21720"/>
    <cellStyle name="Normal 3 2 2 2 4 3" xfId="8352"/>
    <cellStyle name="Normal 3 2 2 2 4 3 2" xfId="10965"/>
    <cellStyle name="Normal 3 2 2 2 4 3 2 2" xfId="25287"/>
    <cellStyle name="Normal 3 2 2 2 4 3 3" xfId="24039"/>
    <cellStyle name="Normal 3 2 2 2 4 4" xfId="8918"/>
    <cellStyle name="Normal 3 2 2 2 4 4 2" xfId="24605"/>
    <cellStyle name="Normal 3 2 2 2 4 5" xfId="3075"/>
    <cellStyle name="Normal 3 2 2 2 4 6" xfId="21719"/>
    <cellStyle name="Normal 3 2 2 2 5" xfId="722"/>
    <cellStyle name="Normal 3 2 2 2 5 2" xfId="8470"/>
    <cellStyle name="Normal 3 2 2 2 5 2 2" xfId="11083"/>
    <cellStyle name="Normal 3 2 2 2 5 2 2 2" xfId="25405"/>
    <cellStyle name="Normal 3 2 2 2 5 2 3" xfId="24157"/>
    <cellStyle name="Normal 3 2 2 2 5 3" xfId="9042"/>
    <cellStyle name="Normal 3 2 2 2 5 3 2" xfId="24723"/>
    <cellStyle name="Normal 3 2 2 2 5 4" xfId="3234"/>
    <cellStyle name="Normal 3 2 2 2 5 5" xfId="21721"/>
    <cellStyle name="Normal 3 2 2 2 6" xfId="723"/>
    <cellStyle name="Normal 3 2 2 2 6 2" xfId="8184"/>
    <cellStyle name="Normal 3 2 2 2 6 2 2" xfId="10797"/>
    <cellStyle name="Normal 3 2 2 2 6 2 2 2" xfId="25119"/>
    <cellStyle name="Normal 3 2 2 2 6 2 3" xfId="23871"/>
    <cellStyle name="Normal 3 2 2 2 6 3" xfId="9106"/>
    <cellStyle name="Normal 3 2 2 2 6 3 2" xfId="24778"/>
    <cellStyle name="Normal 3 2 2 2 6 4" xfId="3346"/>
    <cellStyle name="Normal 3 2 2 2 6 5" xfId="21722"/>
    <cellStyle name="Normal 3 2 2 2 7" xfId="8129"/>
    <cellStyle name="Normal 3 2 2 2 7 2" xfId="10742"/>
    <cellStyle name="Normal 3 2 2 2 7 2 2" xfId="25064"/>
    <cellStyle name="Normal 3 2 2 2 7 3" xfId="23816"/>
    <cellStyle name="Normal 3 2 2 2 8" xfId="8750"/>
    <cellStyle name="Normal 3 2 2 2 8 2" xfId="24437"/>
    <cellStyle name="Normal 3 2 2 2 9" xfId="2897"/>
    <cellStyle name="Normal 3 2 2 3" xfId="724"/>
    <cellStyle name="Normal 3 2 2 3 2" xfId="725"/>
    <cellStyle name="Normal 3 2 2 3 2 2" xfId="726"/>
    <cellStyle name="Normal 3 2 2 3 2 2 2" xfId="8664"/>
    <cellStyle name="Normal 3 2 2 3 2 2 2 2" xfId="11277"/>
    <cellStyle name="Normal 3 2 2 3 2 2 2 2 2" xfId="25599"/>
    <cellStyle name="Normal 3 2 2 3 2 2 2 3" xfId="24351"/>
    <cellStyle name="Normal 3 2 2 3 2 2 3" xfId="9306"/>
    <cellStyle name="Normal 3 2 2 3 2 2 3 2" xfId="24977"/>
    <cellStyle name="Normal 3 2 2 3 2 2 4" xfId="3554"/>
    <cellStyle name="Normal 3 2 2 3 2 2 5" xfId="21725"/>
    <cellStyle name="Normal 3 2 2 3 2 3" xfId="8383"/>
    <cellStyle name="Normal 3 2 2 3 2 3 2" xfId="10996"/>
    <cellStyle name="Normal 3 2 2 3 2 3 2 2" xfId="25318"/>
    <cellStyle name="Normal 3 2 2 3 2 3 3" xfId="24070"/>
    <cellStyle name="Normal 3 2 2 3 2 4" xfId="8949"/>
    <cellStyle name="Normal 3 2 2 3 2 4 2" xfId="24636"/>
    <cellStyle name="Normal 3 2 2 3 2 5" xfId="3106"/>
    <cellStyle name="Normal 3 2 2 3 2 6" xfId="21724"/>
    <cellStyle name="Normal 3 2 2 3 3" xfId="727"/>
    <cellStyle name="Normal 3 2 2 3 3 2" xfId="8496"/>
    <cellStyle name="Normal 3 2 2 3 3 2 2" xfId="11109"/>
    <cellStyle name="Normal 3 2 2 3 3 2 2 2" xfId="25431"/>
    <cellStyle name="Normal 3 2 2 3 3 2 3" xfId="24183"/>
    <cellStyle name="Normal 3 2 2 3 3 3" xfId="9137"/>
    <cellStyle name="Normal 3 2 2 3 3 3 2" xfId="24809"/>
    <cellStyle name="Normal 3 2 2 3 3 4" xfId="3377"/>
    <cellStyle name="Normal 3 2 2 3 3 5" xfId="21726"/>
    <cellStyle name="Normal 3 2 2 3 4" xfId="8215"/>
    <cellStyle name="Normal 3 2 2 3 4 2" xfId="10828"/>
    <cellStyle name="Normal 3 2 2 3 4 2 2" xfId="25150"/>
    <cellStyle name="Normal 3 2 2 3 4 3" xfId="23902"/>
    <cellStyle name="Normal 3 2 2 3 5" xfId="8781"/>
    <cellStyle name="Normal 3 2 2 3 5 2" xfId="24468"/>
    <cellStyle name="Normal 3 2 2 3 6" xfId="2928"/>
    <cellStyle name="Normal 3 2 2 3 7" xfId="21723"/>
    <cellStyle name="Normal 3 2 2 4" xfId="728"/>
    <cellStyle name="Normal 3 2 2 4 2" xfId="729"/>
    <cellStyle name="Normal 3 2 2 4 2 2" xfId="8552"/>
    <cellStyle name="Normal 3 2 2 4 2 2 2" xfId="11165"/>
    <cellStyle name="Normal 3 2 2 4 2 2 2 2" xfId="25487"/>
    <cellStyle name="Normal 3 2 2 4 2 2 3" xfId="24239"/>
    <cellStyle name="Normal 3 2 2 4 2 3" xfId="9193"/>
    <cellStyle name="Normal 3 2 2 4 2 3 2" xfId="24865"/>
    <cellStyle name="Normal 3 2 2 4 2 4" xfId="3433"/>
    <cellStyle name="Normal 3 2 2 4 2 5" xfId="21728"/>
    <cellStyle name="Normal 3 2 2 4 3" xfId="8271"/>
    <cellStyle name="Normal 3 2 2 4 3 2" xfId="10884"/>
    <cellStyle name="Normal 3 2 2 4 3 2 2" xfId="25206"/>
    <cellStyle name="Normal 3 2 2 4 3 3" xfId="23958"/>
    <cellStyle name="Normal 3 2 2 4 4" xfId="8837"/>
    <cellStyle name="Normal 3 2 2 4 4 2" xfId="24524"/>
    <cellStyle name="Normal 3 2 2 4 5" xfId="2984"/>
    <cellStyle name="Normal 3 2 2 4 6" xfId="21727"/>
    <cellStyle name="Normal 3 2 2 5" xfId="730"/>
    <cellStyle name="Normal 3 2 2 5 2" xfId="731"/>
    <cellStyle name="Normal 3 2 2 5 2 2" xfId="8602"/>
    <cellStyle name="Normal 3 2 2 5 2 2 2" xfId="11215"/>
    <cellStyle name="Normal 3 2 2 5 2 2 2 2" xfId="25537"/>
    <cellStyle name="Normal 3 2 2 5 2 2 3" xfId="24289"/>
    <cellStyle name="Normal 3 2 2 5 2 3" xfId="9244"/>
    <cellStyle name="Normal 3 2 2 5 2 3 2" xfId="24915"/>
    <cellStyle name="Normal 3 2 2 5 2 4" xfId="3491"/>
    <cellStyle name="Normal 3 2 2 5 2 5" xfId="21730"/>
    <cellStyle name="Normal 3 2 2 5 3" xfId="8321"/>
    <cellStyle name="Normal 3 2 2 5 3 2" xfId="10934"/>
    <cellStyle name="Normal 3 2 2 5 3 2 2" xfId="25256"/>
    <cellStyle name="Normal 3 2 2 5 3 3" xfId="24008"/>
    <cellStyle name="Normal 3 2 2 5 4" xfId="8887"/>
    <cellStyle name="Normal 3 2 2 5 4 2" xfId="24574"/>
    <cellStyle name="Normal 3 2 2 5 5" xfId="3044"/>
    <cellStyle name="Normal 3 2 2 5 6" xfId="21729"/>
    <cellStyle name="Normal 3 2 2 6" xfId="732"/>
    <cellStyle name="Normal 3 2 2 6 2" xfId="8445"/>
    <cellStyle name="Normal 3 2 2 6 2 2" xfId="11058"/>
    <cellStyle name="Normal 3 2 2 6 2 2 2" xfId="25380"/>
    <cellStyle name="Normal 3 2 2 6 2 3" xfId="24132"/>
    <cellStyle name="Normal 3 2 2 6 3" xfId="9017"/>
    <cellStyle name="Normal 3 2 2 6 3 2" xfId="24698"/>
    <cellStyle name="Normal 3 2 2 6 4" xfId="3208"/>
    <cellStyle name="Normal 3 2 2 6 5" xfId="21731"/>
    <cellStyle name="Normal 3 2 2 7" xfId="733"/>
    <cellStyle name="Normal 3 2 2 7 2" xfId="8153"/>
    <cellStyle name="Normal 3 2 2 7 2 2" xfId="10766"/>
    <cellStyle name="Normal 3 2 2 7 2 2 2" xfId="25088"/>
    <cellStyle name="Normal 3 2 2 7 2 3" xfId="23840"/>
    <cellStyle name="Normal 3 2 2 7 3" xfId="9075"/>
    <cellStyle name="Normal 3 2 2 7 3 2" xfId="24747"/>
    <cellStyle name="Normal 3 2 2 7 4" xfId="3315"/>
    <cellStyle name="Normal 3 2 2 7 5" xfId="21732"/>
    <cellStyle name="Normal 3 2 2 8" xfId="8104"/>
    <cellStyle name="Normal 3 2 2 8 2" xfId="10717"/>
    <cellStyle name="Normal 3 2 2 8 2 2" xfId="25039"/>
    <cellStyle name="Normal 3 2 2 8 3" xfId="23791"/>
    <cellStyle name="Normal 3 2 2 9" xfId="8719"/>
    <cellStyle name="Normal 3 2 2 9 2" xfId="24406"/>
    <cellStyle name="Normal 3 2 3" xfId="734"/>
    <cellStyle name="Normal 3 2 4" xfId="735"/>
    <cellStyle name="Normal 3 2 4 2" xfId="8419"/>
    <cellStyle name="Normal 3 2 4 2 2" xfId="11032"/>
    <cellStyle name="Normal 3 2 4 2 2 2" xfId="25354"/>
    <cellStyle name="Normal 3 2 4 2 3" xfId="24106"/>
    <cellStyle name="Normal 3 2 4 3" xfId="8989"/>
    <cellStyle name="Normal 3 2 4 3 2" xfId="24672"/>
    <cellStyle name="Normal 3 2 4 4" xfId="3162"/>
    <cellStyle name="Normal 3 2 4 5" xfId="21733"/>
    <cellStyle name="Normal 3 2 5" xfId="8078"/>
    <cellStyle name="Normal 3 2 5 2" xfId="10691"/>
    <cellStyle name="Normal 3 2 5 2 2" xfId="25013"/>
    <cellStyle name="Normal 3 2 5 3" xfId="23765"/>
    <cellStyle name="Normal 3 2 6" xfId="21710"/>
    <cellStyle name="Normal 3 3" xfId="736"/>
    <cellStyle name="Normal 3 3 10" xfId="2848"/>
    <cellStyle name="Normal 3 3 11" xfId="21734"/>
    <cellStyle name="Normal 3 3 2" xfId="737"/>
    <cellStyle name="Normal 3 3 2 10" xfId="21735"/>
    <cellStyle name="Normal 3 3 2 2" xfId="738"/>
    <cellStyle name="Normal 3 3 2 2 2" xfId="739"/>
    <cellStyle name="Normal 3 3 2 2 2 2" xfId="740"/>
    <cellStyle name="Normal 3 3 2 2 2 2 2" xfId="8676"/>
    <cellStyle name="Normal 3 3 2 2 2 2 2 2" xfId="11289"/>
    <cellStyle name="Normal 3 3 2 2 2 2 2 2 2" xfId="25611"/>
    <cellStyle name="Normal 3 3 2 2 2 2 2 3" xfId="24363"/>
    <cellStyle name="Normal 3 3 2 2 2 2 3" xfId="9318"/>
    <cellStyle name="Normal 3 3 2 2 2 2 3 2" xfId="24989"/>
    <cellStyle name="Normal 3 3 2 2 2 2 4" xfId="3566"/>
    <cellStyle name="Normal 3 3 2 2 2 2 5" xfId="21738"/>
    <cellStyle name="Normal 3 3 2 2 2 3" xfId="8395"/>
    <cellStyle name="Normal 3 3 2 2 2 3 2" xfId="11008"/>
    <cellStyle name="Normal 3 3 2 2 2 3 2 2" xfId="25330"/>
    <cellStyle name="Normal 3 3 2 2 2 3 3" xfId="24082"/>
    <cellStyle name="Normal 3 3 2 2 2 4" xfId="8961"/>
    <cellStyle name="Normal 3 3 2 2 2 4 2" xfId="24648"/>
    <cellStyle name="Normal 3 3 2 2 2 5" xfId="3118"/>
    <cellStyle name="Normal 3 3 2 2 2 6" xfId="21737"/>
    <cellStyle name="Normal 3 3 2 2 3" xfId="741"/>
    <cellStyle name="Normal 3 3 2 2 3 2" xfId="8508"/>
    <cellStyle name="Normal 3 3 2 2 3 2 2" xfId="11121"/>
    <cellStyle name="Normal 3 3 2 2 3 2 2 2" xfId="25443"/>
    <cellStyle name="Normal 3 3 2 2 3 2 3" xfId="24195"/>
    <cellStyle name="Normal 3 3 2 2 3 3" xfId="9149"/>
    <cellStyle name="Normal 3 3 2 2 3 3 2" xfId="24821"/>
    <cellStyle name="Normal 3 3 2 2 3 4" xfId="3389"/>
    <cellStyle name="Normal 3 3 2 2 3 5" xfId="21739"/>
    <cellStyle name="Normal 3 3 2 2 4" xfId="8227"/>
    <cellStyle name="Normal 3 3 2 2 4 2" xfId="10840"/>
    <cellStyle name="Normal 3 3 2 2 4 2 2" xfId="25162"/>
    <cellStyle name="Normal 3 3 2 2 4 3" xfId="23914"/>
    <cellStyle name="Normal 3 3 2 2 5" xfId="8793"/>
    <cellStyle name="Normal 3 3 2 2 5 2" xfId="24480"/>
    <cellStyle name="Normal 3 3 2 2 6" xfId="2940"/>
    <cellStyle name="Normal 3 3 2 2 7" xfId="21736"/>
    <cellStyle name="Normal 3 3 2 3" xfId="742"/>
    <cellStyle name="Normal 3 3 2 3 2" xfId="743"/>
    <cellStyle name="Normal 3 3 2 3 2 2" xfId="8564"/>
    <cellStyle name="Normal 3 3 2 3 2 2 2" xfId="11177"/>
    <cellStyle name="Normal 3 3 2 3 2 2 2 2" xfId="25499"/>
    <cellStyle name="Normal 3 3 2 3 2 2 3" xfId="24251"/>
    <cellStyle name="Normal 3 3 2 3 2 3" xfId="9205"/>
    <cellStyle name="Normal 3 3 2 3 2 3 2" xfId="24877"/>
    <cellStyle name="Normal 3 3 2 3 2 4" xfId="3445"/>
    <cellStyle name="Normal 3 3 2 3 2 5" xfId="21741"/>
    <cellStyle name="Normal 3 3 2 3 3" xfId="8283"/>
    <cellStyle name="Normal 3 3 2 3 3 2" xfId="10896"/>
    <cellStyle name="Normal 3 3 2 3 3 2 2" xfId="25218"/>
    <cellStyle name="Normal 3 3 2 3 3 3" xfId="23970"/>
    <cellStyle name="Normal 3 3 2 3 4" xfId="8849"/>
    <cellStyle name="Normal 3 3 2 3 4 2" xfId="24536"/>
    <cellStyle name="Normal 3 3 2 3 5" xfId="2996"/>
    <cellStyle name="Normal 3 3 2 3 6" xfId="21740"/>
    <cellStyle name="Normal 3 3 2 4" xfId="744"/>
    <cellStyle name="Normal 3 3 2 4 2" xfId="745"/>
    <cellStyle name="Normal 3 3 2 4 2 2" xfId="8618"/>
    <cellStyle name="Normal 3 3 2 4 2 2 2" xfId="11231"/>
    <cellStyle name="Normal 3 3 2 4 2 2 2 2" xfId="25553"/>
    <cellStyle name="Normal 3 3 2 4 2 2 3" xfId="24305"/>
    <cellStyle name="Normal 3 3 2 4 2 3" xfId="9260"/>
    <cellStyle name="Normal 3 3 2 4 2 3 2" xfId="24931"/>
    <cellStyle name="Normal 3 3 2 4 2 4" xfId="3508"/>
    <cellStyle name="Normal 3 3 2 4 2 5" xfId="21743"/>
    <cellStyle name="Normal 3 3 2 4 3" xfId="8337"/>
    <cellStyle name="Normal 3 3 2 4 3 2" xfId="10950"/>
    <cellStyle name="Normal 3 3 2 4 3 2 2" xfId="25272"/>
    <cellStyle name="Normal 3 3 2 4 3 3" xfId="24024"/>
    <cellStyle name="Normal 3 3 2 4 4" xfId="8903"/>
    <cellStyle name="Normal 3 3 2 4 4 2" xfId="24590"/>
    <cellStyle name="Normal 3 3 2 4 5" xfId="3060"/>
    <cellStyle name="Normal 3 3 2 4 6" xfId="21742"/>
    <cellStyle name="Normal 3 3 2 5" xfId="746"/>
    <cellStyle name="Normal 3 3 2 5 2" xfId="8456"/>
    <cellStyle name="Normal 3 3 2 5 2 2" xfId="11069"/>
    <cellStyle name="Normal 3 3 2 5 2 2 2" xfId="25391"/>
    <cellStyle name="Normal 3 3 2 5 2 3" xfId="24143"/>
    <cellStyle name="Normal 3 3 2 5 3" xfId="9028"/>
    <cellStyle name="Normal 3 3 2 5 3 2" xfId="24709"/>
    <cellStyle name="Normal 3 3 2 5 4" xfId="3220"/>
    <cellStyle name="Normal 3 3 2 5 5" xfId="21744"/>
    <cellStyle name="Normal 3 3 2 6" xfId="747"/>
    <cellStyle name="Normal 3 3 2 6 2" xfId="8169"/>
    <cellStyle name="Normal 3 3 2 6 2 2" xfId="10782"/>
    <cellStyle name="Normal 3 3 2 6 2 2 2" xfId="25104"/>
    <cellStyle name="Normal 3 3 2 6 2 3" xfId="23856"/>
    <cellStyle name="Normal 3 3 2 6 3" xfId="9091"/>
    <cellStyle name="Normal 3 3 2 6 3 2" xfId="24763"/>
    <cellStyle name="Normal 3 3 2 6 4" xfId="3331"/>
    <cellStyle name="Normal 3 3 2 6 5" xfId="21745"/>
    <cellStyle name="Normal 3 3 2 7" xfId="8115"/>
    <cellStyle name="Normal 3 3 2 7 2" xfId="10728"/>
    <cellStyle name="Normal 3 3 2 7 2 2" xfId="25050"/>
    <cellStyle name="Normal 3 3 2 7 3" xfId="23802"/>
    <cellStyle name="Normal 3 3 2 8" xfId="8735"/>
    <cellStyle name="Normal 3 3 2 8 2" xfId="24422"/>
    <cellStyle name="Normal 3 3 2 9" xfId="2882"/>
    <cellStyle name="Normal 3 3 3" xfId="748"/>
    <cellStyle name="Normal 3 3 3 2" xfId="749"/>
    <cellStyle name="Normal 3 3 3 2 2" xfId="750"/>
    <cellStyle name="Normal 3 3 3 2 2 2" xfId="8649"/>
    <cellStyle name="Normal 3 3 3 2 2 2 2" xfId="11262"/>
    <cellStyle name="Normal 3 3 3 2 2 2 2 2" xfId="25584"/>
    <cellStyle name="Normal 3 3 3 2 2 2 3" xfId="24336"/>
    <cellStyle name="Normal 3 3 3 2 2 3" xfId="9291"/>
    <cellStyle name="Normal 3 3 3 2 2 3 2" xfId="24962"/>
    <cellStyle name="Normal 3 3 3 2 2 4" xfId="3539"/>
    <cellStyle name="Normal 3 3 3 2 2 5" xfId="21748"/>
    <cellStyle name="Normal 3 3 3 2 3" xfId="8368"/>
    <cellStyle name="Normal 3 3 3 2 3 2" xfId="10981"/>
    <cellStyle name="Normal 3 3 3 2 3 2 2" xfId="25303"/>
    <cellStyle name="Normal 3 3 3 2 3 3" xfId="24055"/>
    <cellStyle name="Normal 3 3 3 2 4" xfId="8934"/>
    <cellStyle name="Normal 3 3 3 2 4 2" xfId="24621"/>
    <cellStyle name="Normal 3 3 3 2 5" xfId="3091"/>
    <cellStyle name="Normal 3 3 3 2 6" xfId="21747"/>
    <cellStyle name="Normal 3 3 3 3" xfId="751"/>
    <cellStyle name="Normal 3 3 3 3 2" xfId="8485"/>
    <cellStyle name="Normal 3 3 3 3 2 2" xfId="11098"/>
    <cellStyle name="Normal 3 3 3 3 2 2 2" xfId="25420"/>
    <cellStyle name="Normal 3 3 3 3 2 3" xfId="24172"/>
    <cellStyle name="Normal 3 3 3 3 3" xfId="9122"/>
    <cellStyle name="Normal 3 3 3 3 3 2" xfId="24794"/>
    <cellStyle name="Normal 3 3 3 3 4" xfId="3362"/>
    <cellStyle name="Normal 3 3 3 3 5" xfId="21749"/>
    <cellStyle name="Normal 3 3 3 4" xfId="8200"/>
    <cellStyle name="Normal 3 3 3 4 2" xfId="10813"/>
    <cellStyle name="Normal 3 3 3 4 2 2" xfId="25135"/>
    <cellStyle name="Normal 3 3 3 4 3" xfId="23887"/>
    <cellStyle name="Normal 3 3 3 5" xfId="8766"/>
    <cellStyle name="Normal 3 3 3 5 2" xfId="24453"/>
    <cellStyle name="Normal 3 3 3 6" xfId="2913"/>
    <cellStyle name="Normal 3 3 3 7" xfId="21746"/>
    <cellStyle name="Normal 3 3 4" xfId="752"/>
    <cellStyle name="Normal 3 3 4 2" xfId="753"/>
    <cellStyle name="Normal 3 3 4 2 2" xfId="8537"/>
    <cellStyle name="Normal 3 3 4 2 2 2" xfId="11150"/>
    <cellStyle name="Normal 3 3 4 2 2 2 2" xfId="25472"/>
    <cellStyle name="Normal 3 3 4 2 2 3" xfId="24224"/>
    <cellStyle name="Normal 3 3 4 2 3" xfId="9178"/>
    <cellStyle name="Normal 3 3 4 2 3 2" xfId="24850"/>
    <cellStyle name="Normal 3 3 4 2 4" xfId="3418"/>
    <cellStyle name="Normal 3 3 4 2 5" xfId="21751"/>
    <cellStyle name="Normal 3 3 4 3" xfId="8256"/>
    <cellStyle name="Normal 3 3 4 3 2" xfId="10869"/>
    <cellStyle name="Normal 3 3 4 3 2 2" xfId="25191"/>
    <cellStyle name="Normal 3 3 4 3 3" xfId="23943"/>
    <cellStyle name="Normal 3 3 4 4" xfId="8822"/>
    <cellStyle name="Normal 3 3 4 4 2" xfId="24509"/>
    <cellStyle name="Normal 3 3 4 5" xfId="2969"/>
    <cellStyle name="Normal 3 3 4 6" xfId="21750"/>
    <cellStyle name="Normal 3 3 5" xfId="754"/>
    <cellStyle name="Normal 3 3 5 2" xfId="755"/>
    <cellStyle name="Normal 3 3 5 2 2" xfId="8587"/>
    <cellStyle name="Normal 3 3 5 2 2 2" xfId="11200"/>
    <cellStyle name="Normal 3 3 5 2 2 2 2" xfId="25522"/>
    <cellStyle name="Normal 3 3 5 2 2 3" xfId="24274"/>
    <cellStyle name="Normal 3 3 5 2 3" xfId="9229"/>
    <cellStyle name="Normal 3 3 5 2 3 2" xfId="24900"/>
    <cellStyle name="Normal 3 3 5 2 4" xfId="3476"/>
    <cellStyle name="Normal 3 3 5 2 5" xfId="21753"/>
    <cellStyle name="Normal 3 3 5 3" xfId="8306"/>
    <cellStyle name="Normal 3 3 5 3 2" xfId="10919"/>
    <cellStyle name="Normal 3 3 5 3 2 2" xfId="25241"/>
    <cellStyle name="Normal 3 3 5 3 3" xfId="23993"/>
    <cellStyle name="Normal 3 3 5 4" xfId="8872"/>
    <cellStyle name="Normal 3 3 5 4 2" xfId="24559"/>
    <cellStyle name="Normal 3 3 5 5" xfId="3029"/>
    <cellStyle name="Normal 3 3 5 6" xfId="21752"/>
    <cellStyle name="Normal 3 3 6" xfId="756"/>
    <cellStyle name="Normal 3 3 6 2" xfId="8425"/>
    <cellStyle name="Normal 3 3 6 2 2" xfId="11038"/>
    <cellStyle name="Normal 3 3 6 2 2 2" xfId="25360"/>
    <cellStyle name="Normal 3 3 6 2 3" xfId="24112"/>
    <cellStyle name="Normal 3 3 6 3" xfId="8995"/>
    <cellStyle name="Normal 3 3 6 3 2" xfId="24678"/>
    <cellStyle name="Normal 3 3 6 4" xfId="3169"/>
    <cellStyle name="Normal 3 3 6 5" xfId="21754"/>
    <cellStyle name="Normal 3 3 7" xfId="757"/>
    <cellStyle name="Normal 3 3 7 2" xfId="8138"/>
    <cellStyle name="Normal 3 3 7 2 2" xfId="10751"/>
    <cellStyle name="Normal 3 3 7 2 2 2" xfId="25073"/>
    <cellStyle name="Normal 3 3 7 2 3" xfId="23825"/>
    <cellStyle name="Normal 3 3 7 3" xfId="9060"/>
    <cellStyle name="Normal 3 3 7 3 2" xfId="24732"/>
    <cellStyle name="Normal 3 3 7 4" xfId="3300"/>
    <cellStyle name="Normal 3 3 7 5" xfId="21755"/>
    <cellStyle name="Normal 3 3 8" xfId="8084"/>
    <cellStyle name="Normal 3 3 8 2" xfId="10697"/>
    <cellStyle name="Normal 3 3 8 2 2" xfId="25019"/>
    <cellStyle name="Normal 3 3 8 3" xfId="23771"/>
    <cellStyle name="Normal 3 3 9" xfId="8704"/>
    <cellStyle name="Normal 3 3 9 2" xfId="24391"/>
    <cellStyle name="Normal 3 4" xfId="758"/>
    <cellStyle name="Normal 3 4 10" xfId="2853"/>
    <cellStyle name="Normal 3 4 11" xfId="21756"/>
    <cellStyle name="Normal 3 4 2" xfId="759"/>
    <cellStyle name="Normal 3 4 2 10" xfId="21757"/>
    <cellStyle name="Normal 3 4 2 2" xfId="760"/>
    <cellStyle name="Normal 3 4 2 2 2" xfId="761"/>
    <cellStyle name="Normal 3 4 2 2 2 2" xfId="762"/>
    <cellStyle name="Normal 3 4 2 2 2 2 2" xfId="8680"/>
    <cellStyle name="Normal 3 4 2 2 2 2 2 2" xfId="11293"/>
    <cellStyle name="Normal 3 4 2 2 2 2 2 2 2" xfId="25615"/>
    <cellStyle name="Normal 3 4 2 2 2 2 2 3" xfId="24367"/>
    <cellStyle name="Normal 3 4 2 2 2 2 3" xfId="9322"/>
    <cellStyle name="Normal 3 4 2 2 2 2 3 2" xfId="24993"/>
    <cellStyle name="Normal 3 4 2 2 2 2 4" xfId="3570"/>
    <cellStyle name="Normal 3 4 2 2 2 2 5" xfId="21760"/>
    <cellStyle name="Normal 3 4 2 2 2 3" xfId="8399"/>
    <cellStyle name="Normal 3 4 2 2 2 3 2" xfId="11012"/>
    <cellStyle name="Normal 3 4 2 2 2 3 2 2" xfId="25334"/>
    <cellStyle name="Normal 3 4 2 2 2 3 3" xfId="24086"/>
    <cellStyle name="Normal 3 4 2 2 2 4" xfId="8965"/>
    <cellStyle name="Normal 3 4 2 2 2 4 2" xfId="24652"/>
    <cellStyle name="Normal 3 4 2 2 2 5" xfId="3122"/>
    <cellStyle name="Normal 3 4 2 2 2 6" xfId="21759"/>
    <cellStyle name="Normal 3 4 2 2 3" xfId="763"/>
    <cellStyle name="Normal 3 4 2 2 3 2" xfId="8512"/>
    <cellStyle name="Normal 3 4 2 2 3 2 2" xfId="11125"/>
    <cellStyle name="Normal 3 4 2 2 3 2 2 2" xfId="25447"/>
    <cellStyle name="Normal 3 4 2 2 3 2 3" xfId="24199"/>
    <cellStyle name="Normal 3 4 2 2 3 3" xfId="9153"/>
    <cellStyle name="Normal 3 4 2 2 3 3 2" xfId="24825"/>
    <cellStyle name="Normal 3 4 2 2 3 4" xfId="3393"/>
    <cellStyle name="Normal 3 4 2 2 3 5" xfId="21761"/>
    <cellStyle name="Normal 3 4 2 2 4" xfId="8231"/>
    <cellStyle name="Normal 3 4 2 2 4 2" xfId="10844"/>
    <cellStyle name="Normal 3 4 2 2 4 2 2" xfId="25166"/>
    <cellStyle name="Normal 3 4 2 2 4 3" xfId="23918"/>
    <cellStyle name="Normal 3 4 2 2 5" xfId="8797"/>
    <cellStyle name="Normal 3 4 2 2 5 2" xfId="24484"/>
    <cellStyle name="Normal 3 4 2 2 6" xfId="2944"/>
    <cellStyle name="Normal 3 4 2 2 7" xfId="21758"/>
    <cellStyle name="Normal 3 4 2 3" xfId="764"/>
    <cellStyle name="Normal 3 4 2 3 2" xfId="765"/>
    <cellStyle name="Normal 3 4 2 3 2 2" xfId="8568"/>
    <cellStyle name="Normal 3 4 2 3 2 2 2" xfId="11181"/>
    <cellStyle name="Normal 3 4 2 3 2 2 2 2" xfId="25503"/>
    <cellStyle name="Normal 3 4 2 3 2 2 3" xfId="24255"/>
    <cellStyle name="Normal 3 4 2 3 2 3" xfId="9209"/>
    <cellStyle name="Normal 3 4 2 3 2 3 2" xfId="24881"/>
    <cellStyle name="Normal 3 4 2 3 2 4" xfId="3449"/>
    <cellStyle name="Normal 3 4 2 3 2 5" xfId="21763"/>
    <cellStyle name="Normal 3 4 2 3 3" xfId="8287"/>
    <cellStyle name="Normal 3 4 2 3 3 2" xfId="10900"/>
    <cellStyle name="Normal 3 4 2 3 3 2 2" xfId="25222"/>
    <cellStyle name="Normal 3 4 2 3 3 3" xfId="23974"/>
    <cellStyle name="Normal 3 4 2 3 4" xfId="8853"/>
    <cellStyle name="Normal 3 4 2 3 4 2" xfId="24540"/>
    <cellStyle name="Normal 3 4 2 3 5" xfId="3000"/>
    <cellStyle name="Normal 3 4 2 3 6" xfId="21762"/>
    <cellStyle name="Normal 3 4 2 4" xfId="766"/>
    <cellStyle name="Normal 3 4 2 4 2" xfId="767"/>
    <cellStyle name="Normal 3 4 2 4 2 2" xfId="8623"/>
    <cellStyle name="Normal 3 4 2 4 2 2 2" xfId="11236"/>
    <cellStyle name="Normal 3 4 2 4 2 2 2 2" xfId="25558"/>
    <cellStyle name="Normal 3 4 2 4 2 2 3" xfId="24310"/>
    <cellStyle name="Normal 3 4 2 4 2 3" xfId="9265"/>
    <cellStyle name="Normal 3 4 2 4 2 3 2" xfId="24936"/>
    <cellStyle name="Normal 3 4 2 4 2 4" xfId="3513"/>
    <cellStyle name="Normal 3 4 2 4 2 5" xfId="21765"/>
    <cellStyle name="Normal 3 4 2 4 3" xfId="8342"/>
    <cellStyle name="Normal 3 4 2 4 3 2" xfId="10955"/>
    <cellStyle name="Normal 3 4 2 4 3 2 2" xfId="25277"/>
    <cellStyle name="Normal 3 4 2 4 3 3" xfId="24029"/>
    <cellStyle name="Normal 3 4 2 4 4" xfId="8908"/>
    <cellStyle name="Normal 3 4 2 4 4 2" xfId="24595"/>
    <cellStyle name="Normal 3 4 2 4 5" xfId="3065"/>
    <cellStyle name="Normal 3 4 2 4 6" xfId="21764"/>
    <cellStyle name="Normal 3 4 2 5" xfId="768"/>
    <cellStyle name="Normal 3 4 2 5 2" xfId="8460"/>
    <cellStyle name="Normal 3 4 2 5 2 2" xfId="11073"/>
    <cellStyle name="Normal 3 4 2 5 2 2 2" xfId="25395"/>
    <cellStyle name="Normal 3 4 2 5 2 3" xfId="24147"/>
    <cellStyle name="Normal 3 4 2 5 3" xfId="9032"/>
    <cellStyle name="Normal 3 4 2 5 3 2" xfId="24713"/>
    <cellStyle name="Normal 3 4 2 5 4" xfId="3224"/>
    <cellStyle name="Normal 3 4 2 5 5" xfId="21766"/>
    <cellStyle name="Normal 3 4 2 6" xfId="769"/>
    <cellStyle name="Normal 3 4 2 6 2" xfId="8174"/>
    <cellStyle name="Normal 3 4 2 6 2 2" xfId="10787"/>
    <cellStyle name="Normal 3 4 2 6 2 2 2" xfId="25109"/>
    <cellStyle name="Normal 3 4 2 6 2 3" xfId="23861"/>
    <cellStyle name="Normal 3 4 2 6 3" xfId="9096"/>
    <cellStyle name="Normal 3 4 2 6 3 2" xfId="24768"/>
    <cellStyle name="Normal 3 4 2 6 4" xfId="3336"/>
    <cellStyle name="Normal 3 4 2 6 5" xfId="21767"/>
    <cellStyle name="Normal 3 4 2 7" xfId="8119"/>
    <cellStyle name="Normal 3 4 2 7 2" xfId="10732"/>
    <cellStyle name="Normal 3 4 2 7 2 2" xfId="25054"/>
    <cellStyle name="Normal 3 4 2 7 3" xfId="23806"/>
    <cellStyle name="Normal 3 4 2 8" xfId="8740"/>
    <cellStyle name="Normal 3 4 2 8 2" xfId="24427"/>
    <cellStyle name="Normal 3 4 2 9" xfId="2887"/>
    <cellStyle name="Normal 3 4 3" xfId="770"/>
    <cellStyle name="Normal 3 4 3 2" xfId="771"/>
    <cellStyle name="Normal 3 4 3 2 2" xfId="772"/>
    <cellStyle name="Normal 3 4 3 2 2 2" xfId="8654"/>
    <cellStyle name="Normal 3 4 3 2 2 2 2" xfId="11267"/>
    <cellStyle name="Normal 3 4 3 2 2 2 2 2" xfId="25589"/>
    <cellStyle name="Normal 3 4 3 2 2 2 3" xfId="24341"/>
    <cellStyle name="Normal 3 4 3 2 2 3" xfId="9296"/>
    <cellStyle name="Normal 3 4 3 2 2 3 2" xfId="24967"/>
    <cellStyle name="Normal 3 4 3 2 2 4" xfId="3544"/>
    <cellStyle name="Normal 3 4 3 2 2 5" xfId="21770"/>
    <cellStyle name="Normal 3 4 3 2 3" xfId="8373"/>
    <cellStyle name="Normal 3 4 3 2 3 2" xfId="10986"/>
    <cellStyle name="Normal 3 4 3 2 3 2 2" xfId="25308"/>
    <cellStyle name="Normal 3 4 3 2 3 3" xfId="24060"/>
    <cellStyle name="Normal 3 4 3 2 4" xfId="8939"/>
    <cellStyle name="Normal 3 4 3 2 4 2" xfId="24626"/>
    <cellStyle name="Normal 3 4 3 2 5" xfId="3096"/>
    <cellStyle name="Normal 3 4 3 2 6" xfId="21769"/>
    <cellStyle name="Normal 3 4 3 3" xfId="773"/>
    <cellStyle name="Normal 3 4 3 3 2" xfId="8487"/>
    <cellStyle name="Normal 3 4 3 3 2 2" xfId="11100"/>
    <cellStyle name="Normal 3 4 3 3 2 2 2" xfId="25422"/>
    <cellStyle name="Normal 3 4 3 3 2 3" xfId="24174"/>
    <cellStyle name="Normal 3 4 3 3 3" xfId="9127"/>
    <cellStyle name="Normal 3 4 3 3 3 2" xfId="24799"/>
    <cellStyle name="Normal 3 4 3 3 4" xfId="3367"/>
    <cellStyle name="Normal 3 4 3 3 5" xfId="21771"/>
    <cellStyle name="Normal 3 4 3 4" xfId="8205"/>
    <cellStyle name="Normal 3 4 3 4 2" xfId="10818"/>
    <cellStyle name="Normal 3 4 3 4 2 2" xfId="25140"/>
    <cellStyle name="Normal 3 4 3 4 3" xfId="23892"/>
    <cellStyle name="Normal 3 4 3 5" xfId="8771"/>
    <cellStyle name="Normal 3 4 3 5 2" xfId="24458"/>
    <cellStyle name="Normal 3 4 3 6" xfId="2918"/>
    <cellStyle name="Normal 3 4 3 7" xfId="21768"/>
    <cellStyle name="Normal 3 4 4" xfId="774"/>
    <cellStyle name="Normal 3 4 4 2" xfId="775"/>
    <cellStyle name="Normal 3 4 4 2 2" xfId="8542"/>
    <cellStyle name="Normal 3 4 4 2 2 2" xfId="11155"/>
    <cellStyle name="Normal 3 4 4 2 2 2 2" xfId="25477"/>
    <cellStyle name="Normal 3 4 4 2 2 3" xfId="24229"/>
    <cellStyle name="Normal 3 4 4 2 3" xfId="9183"/>
    <cellStyle name="Normal 3 4 4 2 3 2" xfId="24855"/>
    <cellStyle name="Normal 3 4 4 2 4" xfId="3423"/>
    <cellStyle name="Normal 3 4 4 2 5" xfId="21773"/>
    <cellStyle name="Normal 3 4 4 3" xfId="8261"/>
    <cellStyle name="Normal 3 4 4 3 2" xfId="10874"/>
    <cellStyle name="Normal 3 4 4 3 2 2" xfId="25196"/>
    <cellStyle name="Normal 3 4 4 3 3" xfId="23948"/>
    <cellStyle name="Normal 3 4 4 4" xfId="8827"/>
    <cellStyle name="Normal 3 4 4 4 2" xfId="24514"/>
    <cellStyle name="Normal 3 4 4 5" xfId="2974"/>
    <cellStyle name="Normal 3 4 4 6" xfId="21772"/>
    <cellStyle name="Normal 3 4 5" xfId="776"/>
    <cellStyle name="Normal 3 4 5 2" xfId="777"/>
    <cellStyle name="Normal 3 4 5 2 2" xfId="8592"/>
    <cellStyle name="Normal 3 4 5 2 2 2" xfId="11205"/>
    <cellStyle name="Normal 3 4 5 2 2 2 2" xfId="25527"/>
    <cellStyle name="Normal 3 4 5 2 2 3" xfId="24279"/>
    <cellStyle name="Normal 3 4 5 2 3" xfId="9234"/>
    <cellStyle name="Normal 3 4 5 2 3 2" xfId="24905"/>
    <cellStyle name="Normal 3 4 5 2 4" xfId="3481"/>
    <cellStyle name="Normal 3 4 5 2 5" xfId="21775"/>
    <cellStyle name="Normal 3 4 5 3" xfId="8311"/>
    <cellStyle name="Normal 3 4 5 3 2" xfId="10924"/>
    <cellStyle name="Normal 3 4 5 3 2 2" xfId="25246"/>
    <cellStyle name="Normal 3 4 5 3 3" xfId="23998"/>
    <cellStyle name="Normal 3 4 5 4" xfId="8877"/>
    <cellStyle name="Normal 3 4 5 4 2" xfId="24564"/>
    <cellStyle name="Normal 3 4 5 5" xfId="3034"/>
    <cellStyle name="Normal 3 4 5 6" xfId="21774"/>
    <cellStyle name="Normal 3 4 6" xfId="778"/>
    <cellStyle name="Normal 3 4 6 2" xfId="8439"/>
    <cellStyle name="Normal 3 4 6 2 2" xfId="11052"/>
    <cellStyle name="Normal 3 4 6 2 2 2" xfId="25374"/>
    <cellStyle name="Normal 3 4 6 2 3" xfId="24126"/>
    <cellStyle name="Normal 3 4 6 3" xfId="9011"/>
    <cellStyle name="Normal 3 4 6 3 2" xfId="24692"/>
    <cellStyle name="Normal 3 4 6 4" xfId="3202"/>
    <cellStyle name="Normal 3 4 6 5" xfId="21776"/>
    <cellStyle name="Normal 3 4 7" xfId="779"/>
    <cellStyle name="Normal 3 4 7 2" xfId="8143"/>
    <cellStyle name="Normal 3 4 7 2 2" xfId="10756"/>
    <cellStyle name="Normal 3 4 7 2 2 2" xfId="25078"/>
    <cellStyle name="Normal 3 4 7 2 3" xfId="23830"/>
    <cellStyle name="Normal 3 4 7 3" xfId="9065"/>
    <cellStyle name="Normal 3 4 7 3 2" xfId="24737"/>
    <cellStyle name="Normal 3 4 7 4" xfId="3305"/>
    <cellStyle name="Normal 3 4 7 5" xfId="21777"/>
    <cellStyle name="Normal 3 4 8" xfId="8098"/>
    <cellStyle name="Normal 3 4 8 2" xfId="10711"/>
    <cellStyle name="Normal 3 4 8 2 2" xfId="25033"/>
    <cellStyle name="Normal 3 4 8 3" xfId="23785"/>
    <cellStyle name="Normal 3 4 9" xfId="8709"/>
    <cellStyle name="Normal 3 4 9 2" xfId="24396"/>
    <cellStyle name="Normal 3 5" xfId="780"/>
    <cellStyle name="Normal 3 5 10" xfId="2858"/>
    <cellStyle name="Normal 3 5 11" xfId="21778"/>
    <cellStyle name="Normal 3 5 2" xfId="781"/>
    <cellStyle name="Normal 3 5 2 10" xfId="21779"/>
    <cellStyle name="Normal 3 5 2 2" xfId="782"/>
    <cellStyle name="Normal 3 5 2 2 2" xfId="783"/>
    <cellStyle name="Normal 3 5 2 2 2 2" xfId="784"/>
    <cellStyle name="Normal 3 5 2 2 2 2 2" xfId="8685"/>
    <cellStyle name="Normal 3 5 2 2 2 2 2 2" xfId="11298"/>
    <cellStyle name="Normal 3 5 2 2 2 2 2 2 2" xfId="25620"/>
    <cellStyle name="Normal 3 5 2 2 2 2 2 3" xfId="24372"/>
    <cellStyle name="Normal 3 5 2 2 2 2 3" xfId="9327"/>
    <cellStyle name="Normal 3 5 2 2 2 2 3 2" xfId="24998"/>
    <cellStyle name="Normal 3 5 2 2 2 2 4" xfId="3575"/>
    <cellStyle name="Normal 3 5 2 2 2 2 5" xfId="21782"/>
    <cellStyle name="Normal 3 5 2 2 2 3" xfId="8404"/>
    <cellStyle name="Normal 3 5 2 2 2 3 2" xfId="11017"/>
    <cellStyle name="Normal 3 5 2 2 2 3 2 2" xfId="25339"/>
    <cellStyle name="Normal 3 5 2 2 2 3 3" xfId="24091"/>
    <cellStyle name="Normal 3 5 2 2 2 4" xfId="8970"/>
    <cellStyle name="Normal 3 5 2 2 2 4 2" xfId="24657"/>
    <cellStyle name="Normal 3 5 2 2 2 5" xfId="3127"/>
    <cellStyle name="Normal 3 5 2 2 2 6" xfId="21781"/>
    <cellStyle name="Normal 3 5 2 2 3" xfId="785"/>
    <cellStyle name="Normal 3 5 2 2 3 2" xfId="8517"/>
    <cellStyle name="Normal 3 5 2 2 3 2 2" xfId="11130"/>
    <cellStyle name="Normal 3 5 2 2 3 2 2 2" xfId="25452"/>
    <cellStyle name="Normal 3 5 2 2 3 2 3" xfId="24204"/>
    <cellStyle name="Normal 3 5 2 2 3 3" xfId="9158"/>
    <cellStyle name="Normal 3 5 2 2 3 3 2" xfId="24830"/>
    <cellStyle name="Normal 3 5 2 2 3 4" xfId="3398"/>
    <cellStyle name="Normal 3 5 2 2 3 5" xfId="21783"/>
    <cellStyle name="Normal 3 5 2 2 4" xfId="8236"/>
    <cellStyle name="Normal 3 5 2 2 4 2" xfId="10849"/>
    <cellStyle name="Normal 3 5 2 2 4 2 2" xfId="25171"/>
    <cellStyle name="Normal 3 5 2 2 4 3" xfId="23923"/>
    <cellStyle name="Normal 3 5 2 2 5" xfId="8802"/>
    <cellStyle name="Normal 3 5 2 2 5 2" xfId="24489"/>
    <cellStyle name="Normal 3 5 2 2 6" xfId="2949"/>
    <cellStyle name="Normal 3 5 2 2 7" xfId="21780"/>
    <cellStyle name="Normal 3 5 2 3" xfId="786"/>
    <cellStyle name="Normal 3 5 2 3 2" xfId="787"/>
    <cellStyle name="Normal 3 5 2 3 2 2" xfId="8573"/>
    <cellStyle name="Normal 3 5 2 3 2 2 2" xfId="11186"/>
    <cellStyle name="Normal 3 5 2 3 2 2 2 2" xfId="25508"/>
    <cellStyle name="Normal 3 5 2 3 2 2 3" xfId="24260"/>
    <cellStyle name="Normal 3 5 2 3 2 3" xfId="9214"/>
    <cellStyle name="Normal 3 5 2 3 2 3 2" xfId="24886"/>
    <cellStyle name="Normal 3 5 2 3 2 4" xfId="3454"/>
    <cellStyle name="Normal 3 5 2 3 2 5" xfId="21785"/>
    <cellStyle name="Normal 3 5 2 3 3" xfId="8292"/>
    <cellStyle name="Normal 3 5 2 3 3 2" xfId="10905"/>
    <cellStyle name="Normal 3 5 2 3 3 2 2" xfId="25227"/>
    <cellStyle name="Normal 3 5 2 3 3 3" xfId="23979"/>
    <cellStyle name="Normal 3 5 2 3 4" xfId="8858"/>
    <cellStyle name="Normal 3 5 2 3 4 2" xfId="24545"/>
    <cellStyle name="Normal 3 5 2 3 5" xfId="3005"/>
    <cellStyle name="Normal 3 5 2 3 6" xfId="21784"/>
    <cellStyle name="Normal 3 5 2 4" xfId="788"/>
    <cellStyle name="Normal 3 5 2 4 2" xfId="789"/>
    <cellStyle name="Normal 3 5 2 4 2 2" xfId="8628"/>
    <cellStyle name="Normal 3 5 2 4 2 2 2" xfId="11241"/>
    <cellStyle name="Normal 3 5 2 4 2 2 2 2" xfId="25563"/>
    <cellStyle name="Normal 3 5 2 4 2 2 3" xfId="24315"/>
    <cellStyle name="Normal 3 5 2 4 2 3" xfId="9270"/>
    <cellStyle name="Normal 3 5 2 4 2 3 2" xfId="24941"/>
    <cellStyle name="Normal 3 5 2 4 2 4" xfId="3518"/>
    <cellStyle name="Normal 3 5 2 4 2 5" xfId="21787"/>
    <cellStyle name="Normal 3 5 2 4 3" xfId="8347"/>
    <cellStyle name="Normal 3 5 2 4 3 2" xfId="10960"/>
    <cellStyle name="Normal 3 5 2 4 3 2 2" xfId="25282"/>
    <cellStyle name="Normal 3 5 2 4 3 3" xfId="24034"/>
    <cellStyle name="Normal 3 5 2 4 4" xfId="8913"/>
    <cellStyle name="Normal 3 5 2 4 4 2" xfId="24600"/>
    <cellStyle name="Normal 3 5 2 4 5" xfId="3070"/>
    <cellStyle name="Normal 3 5 2 4 6" xfId="21786"/>
    <cellStyle name="Normal 3 5 2 5" xfId="790"/>
    <cellStyle name="Normal 3 5 2 5 2" xfId="8465"/>
    <cellStyle name="Normal 3 5 2 5 2 2" xfId="11078"/>
    <cellStyle name="Normal 3 5 2 5 2 2 2" xfId="25400"/>
    <cellStyle name="Normal 3 5 2 5 2 3" xfId="24152"/>
    <cellStyle name="Normal 3 5 2 5 3" xfId="9037"/>
    <cellStyle name="Normal 3 5 2 5 3 2" xfId="24718"/>
    <cellStyle name="Normal 3 5 2 5 4" xfId="3229"/>
    <cellStyle name="Normal 3 5 2 5 5" xfId="21788"/>
    <cellStyle name="Normal 3 5 2 6" xfId="791"/>
    <cellStyle name="Normal 3 5 2 6 2" xfId="8179"/>
    <cellStyle name="Normal 3 5 2 6 2 2" xfId="10792"/>
    <cellStyle name="Normal 3 5 2 6 2 2 2" xfId="25114"/>
    <cellStyle name="Normal 3 5 2 6 2 3" xfId="23866"/>
    <cellStyle name="Normal 3 5 2 6 3" xfId="9101"/>
    <cellStyle name="Normal 3 5 2 6 3 2" xfId="24773"/>
    <cellStyle name="Normal 3 5 2 6 4" xfId="3341"/>
    <cellStyle name="Normal 3 5 2 6 5" xfId="21789"/>
    <cellStyle name="Normal 3 5 2 7" xfId="8124"/>
    <cellStyle name="Normal 3 5 2 7 2" xfId="10737"/>
    <cellStyle name="Normal 3 5 2 7 2 2" xfId="25059"/>
    <cellStyle name="Normal 3 5 2 7 3" xfId="23811"/>
    <cellStyle name="Normal 3 5 2 8" xfId="8745"/>
    <cellStyle name="Normal 3 5 2 8 2" xfId="24432"/>
    <cellStyle name="Normal 3 5 2 9" xfId="2892"/>
    <cellStyle name="Normal 3 5 3" xfId="792"/>
    <cellStyle name="Normal 3 5 3 2" xfId="793"/>
    <cellStyle name="Normal 3 5 3 2 2" xfId="794"/>
    <cellStyle name="Normal 3 5 3 2 2 2" xfId="8659"/>
    <cellStyle name="Normal 3 5 3 2 2 2 2" xfId="11272"/>
    <cellStyle name="Normal 3 5 3 2 2 2 2 2" xfId="25594"/>
    <cellStyle name="Normal 3 5 3 2 2 2 3" xfId="24346"/>
    <cellStyle name="Normal 3 5 3 2 2 3" xfId="9301"/>
    <cellStyle name="Normal 3 5 3 2 2 3 2" xfId="24972"/>
    <cellStyle name="Normal 3 5 3 2 2 4" xfId="3549"/>
    <cellStyle name="Normal 3 5 3 2 2 5" xfId="21792"/>
    <cellStyle name="Normal 3 5 3 2 3" xfId="8378"/>
    <cellStyle name="Normal 3 5 3 2 3 2" xfId="10991"/>
    <cellStyle name="Normal 3 5 3 2 3 2 2" xfId="25313"/>
    <cellStyle name="Normal 3 5 3 2 3 3" xfId="24065"/>
    <cellStyle name="Normal 3 5 3 2 4" xfId="8944"/>
    <cellStyle name="Normal 3 5 3 2 4 2" xfId="24631"/>
    <cellStyle name="Normal 3 5 3 2 5" xfId="3101"/>
    <cellStyle name="Normal 3 5 3 2 6" xfId="21791"/>
    <cellStyle name="Normal 3 5 3 3" xfId="795"/>
    <cellStyle name="Normal 3 5 3 3 2" xfId="8491"/>
    <cellStyle name="Normal 3 5 3 3 2 2" xfId="11104"/>
    <cellStyle name="Normal 3 5 3 3 2 2 2" xfId="25426"/>
    <cellStyle name="Normal 3 5 3 3 2 3" xfId="24178"/>
    <cellStyle name="Normal 3 5 3 3 3" xfId="9132"/>
    <cellStyle name="Normal 3 5 3 3 3 2" xfId="24804"/>
    <cellStyle name="Normal 3 5 3 3 4" xfId="3372"/>
    <cellStyle name="Normal 3 5 3 3 5" xfId="21793"/>
    <cellStyle name="Normal 3 5 3 4" xfId="8210"/>
    <cellStyle name="Normal 3 5 3 4 2" xfId="10823"/>
    <cellStyle name="Normal 3 5 3 4 2 2" xfId="25145"/>
    <cellStyle name="Normal 3 5 3 4 3" xfId="23897"/>
    <cellStyle name="Normal 3 5 3 5" xfId="8776"/>
    <cellStyle name="Normal 3 5 3 5 2" xfId="24463"/>
    <cellStyle name="Normal 3 5 3 6" xfId="2923"/>
    <cellStyle name="Normal 3 5 3 7" xfId="21790"/>
    <cellStyle name="Normal 3 5 4" xfId="796"/>
    <cellStyle name="Normal 3 5 4 2" xfId="797"/>
    <cellStyle name="Normal 3 5 4 2 2" xfId="8547"/>
    <cellStyle name="Normal 3 5 4 2 2 2" xfId="11160"/>
    <cellStyle name="Normal 3 5 4 2 2 2 2" xfId="25482"/>
    <cellStyle name="Normal 3 5 4 2 2 3" xfId="24234"/>
    <cellStyle name="Normal 3 5 4 2 3" xfId="9188"/>
    <cellStyle name="Normal 3 5 4 2 3 2" xfId="24860"/>
    <cellStyle name="Normal 3 5 4 2 4" xfId="3428"/>
    <cellStyle name="Normal 3 5 4 2 5" xfId="21795"/>
    <cellStyle name="Normal 3 5 4 3" xfId="8266"/>
    <cellStyle name="Normal 3 5 4 3 2" xfId="10879"/>
    <cellStyle name="Normal 3 5 4 3 2 2" xfId="25201"/>
    <cellStyle name="Normal 3 5 4 3 3" xfId="23953"/>
    <cellStyle name="Normal 3 5 4 4" xfId="8832"/>
    <cellStyle name="Normal 3 5 4 4 2" xfId="24519"/>
    <cellStyle name="Normal 3 5 4 5" xfId="2979"/>
    <cellStyle name="Normal 3 5 4 6" xfId="21794"/>
    <cellStyle name="Normal 3 5 5" xfId="798"/>
    <cellStyle name="Normal 3 5 5 2" xfId="799"/>
    <cellStyle name="Normal 3 5 5 2 2" xfId="8597"/>
    <cellStyle name="Normal 3 5 5 2 2 2" xfId="11210"/>
    <cellStyle name="Normal 3 5 5 2 2 2 2" xfId="25532"/>
    <cellStyle name="Normal 3 5 5 2 2 3" xfId="24284"/>
    <cellStyle name="Normal 3 5 5 2 3" xfId="9239"/>
    <cellStyle name="Normal 3 5 5 2 3 2" xfId="24910"/>
    <cellStyle name="Normal 3 5 5 2 4" xfId="3486"/>
    <cellStyle name="Normal 3 5 5 2 5" xfId="21797"/>
    <cellStyle name="Normal 3 5 5 3" xfId="8316"/>
    <cellStyle name="Normal 3 5 5 3 2" xfId="10929"/>
    <cellStyle name="Normal 3 5 5 3 2 2" xfId="25251"/>
    <cellStyle name="Normal 3 5 5 3 3" xfId="24003"/>
    <cellStyle name="Normal 3 5 5 4" xfId="8882"/>
    <cellStyle name="Normal 3 5 5 4 2" xfId="24569"/>
    <cellStyle name="Normal 3 5 5 5" xfId="3039"/>
    <cellStyle name="Normal 3 5 5 6" xfId="21796"/>
    <cellStyle name="Normal 3 5 6" xfId="800"/>
    <cellStyle name="Normal 3 5 6 2" xfId="8441"/>
    <cellStyle name="Normal 3 5 6 2 2" xfId="11054"/>
    <cellStyle name="Normal 3 5 6 2 2 2" xfId="25376"/>
    <cellStyle name="Normal 3 5 6 2 3" xfId="24128"/>
    <cellStyle name="Normal 3 5 6 3" xfId="9013"/>
    <cellStyle name="Normal 3 5 6 3 2" xfId="24694"/>
    <cellStyle name="Normal 3 5 6 4" xfId="3204"/>
    <cellStyle name="Normal 3 5 6 5" xfId="21798"/>
    <cellStyle name="Normal 3 5 7" xfId="801"/>
    <cellStyle name="Normal 3 5 7 2" xfId="8148"/>
    <cellStyle name="Normal 3 5 7 2 2" xfId="10761"/>
    <cellStyle name="Normal 3 5 7 2 2 2" xfId="25083"/>
    <cellStyle name="Normal 3 5 7 2 3" xfId="23835"/>
    <cellStyle name="Normal 3 5 7 3" xfId="9070"/>
    <cellStyle name="Normal 3 5 7 3 2" xfId="24742"/>
    <cellStyle name="Normal 3 5 7 4" xfId="3310"/>
    <cellStyle name="Normal 3 5 7 5" xfId="21799"/>
    <cellStyle name="Normal 3 5 8" xfId="8100"/>
    <cellStyle name="Normal 3 5 8 2" xfId="10713"/>
    <cellStyle name="Normal 3 5 8 2 2" xfId="25035"/>
    <cellStyle name="Normal 3 5 8 3" xfId="23787"/>
    <cellStyle name="Normal 3 5 9" xfId="8714"/>
    <cellStyle name="Normal 3 5 9 2" xfId="24401"/>
    <cellStyle name="Normal 3 6" xfId="802"/>
    <cellStyle name="Normal 3 6 10" xfId="21800"/>
    <cellStyle name="Normal 3 6 2" xfId="803"/>
    <cellStyle name="Normal 3 6 2 2" xfId="804"/>
    <cellStyle name="Normal 3 6 2 2 2" xfId="805"/>
    <cellStyle name="Normal 3 6 2 2 2 2" xfId="8670"/>
    <cellStyle name="Normal 3 6 2 2 2 2 2" xfId="11283"/>
    <cellStyle name="Normal 3 6 2 2 2 2 2 2" xfId="25605"/>
    <cellStyle name="Normal 3 6 2 2 2 2 3" xfId="24357"/>
    <cellStyle name="Normal 3 6 2 2 2 3" xfId="9312"/>
    <cellStyle name="Normal 3 6 2 2 2 3 2" xfId="24983"/>
    <cellStyle name="Normal 3 6 2 2 2 4" xfId="3560"/>
    <cellStyle name="Normal 3 6 2 2 2 5" xfId="21803"/>
    <cellStyle name="Normal 3 6 2 2 3" xfId="8389"/>
    <cellStyle name="Normal 3 6 2 2 3 2" xfId="11002"/>
    <cellStyle name="Normal 3 6 2 2 3 2 2" xfId="25324"/>
    <cellStyle name="Normal 3 6 2 2 3 3" xfId="24076"/>
    <cellStyle name="Normal 3 6 2 2 4" xfId="8955"/>
    <cellStyle name="Normal 3 6 2 2 4 2" xfId="24642"/>
    <cellStyle name="Normal 3 6 2 2 5" xfId="3112"/>
    <cellStyle name="Normal 3 6 2 2 6" xfId="21802"/>
    <cellStyle name="Normal 3 6 2 3" xfId="806"/>
    <cellStyle name="Normal 3 6 2 3 2" xfId="8502"/>
    <cellStyle name="Normal 3 6 2 3 2 2" xfId="11115"/>
    <cellStyle name="Normal 3 6 2 3 2 2 2" xfId="25437"/>
    <cellStyle name="Normal 3 6 2 3 2 3" xfId="24189"/>
    <cellStyle name="Normal 3 6 2 3 3" xfId="9143"/>
    <cellStyle name="Normal 3 6 2 3 3 2" xfId="24815"/>
    <cellStyle name="Normal 3 6 2 3 4" xfId="3383"/>
    <cellStyle name="Normal 3 6 2 3 5" xfId="21804"/>
    <cellStyle name="Normal 3 6 2 4" xfId="8221"/>
    <cellStyle name="Normal 3 6 2 4 2" xfId="10834"/>
    <cellStyle name="Normal 3 6 2 4 2 2" xfId="25156"/>
    <cellStyle name="Normal 3 6 2 4 3" xfId="23908"/>
    <cellStyle name="Normal 3 6 2 5" xfId="8787"/>
    <cellStyle name="Normal 3 6 2 5 2" xfId="24474"/>
    <cellStyle name="Normal 3 6 2 6" xfId="2934"/>
    <cellStyle name="Normal 3 6 2 7" xfId="21801"/>
    <cellStyle name="Normal 3 6 3" xfId="807"/>
    <cellStyle name="Normal 3 6 3 2" xfId="808"/>
    <cellStyle name="Normal 3 6 3 2 2" xfId="8558"/>
    <cellStyle name="Normal 3 6 3 2 2 2" xfId="11171"/>
    <cellStyle name="Normal 3 6 3 2 2 2 2" xfId="25493"/>
    <cellStyle name="Normal 3 6 3 2 2 3" xfId="24245"/>
    <cellStyle name="Normal 3 6 3 2 3" xfId="9199"/>
    <cellStyle name="Normal 3 6 3 2 3 2" xfId="24871"/>
    <cellStyle name="Normal 3 6 3 2 4" xfId="3439"/>
    <cellStyle name="Normal 3 6 3 2 5" xfId="21806"/>
    <cellStyle name="Normal 3 6 3 3" xfId="8277"/>
    <cellStyle name="Normal 3 6 3 3 2" xfId="10890"/>
    <cellStyle name="Normal 3 6 3 3 2 2" xfId="25212"/>
    <cellStyle name="Normal 3 6 3 3 3" xfId="23964"/>
    <cellStyle name="Normal 3 6 3 4" xfId="8843"/>
    <cellStyle name="Normal 3 6 3 4 2" xfId="24530"/>
    <cellStyle name="Normal 3 6 3 5" xfId="2990"/>
    <cellStyle name="Normal 3 6 3 6" xfId="21805"/>
    <cellStyle name="Normal 3 6 4" xfId="809"/>
    <cellStyle name="Normal 3 6 4 2" xfId="810"/>
    <cellStyle name="Normal 3 6 4 2 2" xfId="8608"/>
    <cellStyle name="Normal 3 6 4 2 2 2" xfId="11221"/>
    <cellStyle name="Normal 3 6 4 2 2 2 2" xfId="25543"/>
    <cellStyle name="Normal 3 6 4 2 2 3" xfId="24295"/>
    <cellStyle name="Normal 3 6 4 2 3" xfId="9250"/>
    <cellStyle name="Normal 3 6 4 2 3 2" xfId="24921"/>
    <cellStyle name="Normal 3 6 4 2 4" xfId="3497"/>
    <cellStyle name="Normal 3 6 4 2 5" xfId="21808"/>
    <cellStyle name="Normal 3 6 4 3" xfId="8327"/>
    <cellStyle name="Normal 3 6 4 3 2" xfId="10940"/>
    <cellStyle name="Normal 3 6 4 3 2 2" xfId="25262"/>
    <cellStyle name="Normal 3 6 4 3 3" xfId="24014"/>
    <cellStyle name="Normal 3 6 4 4" xfId="8893"/>
    <cellStyle name="Normal 3 6 4 4 2" xfId="24580"/>
    <cellStyle name="Normal 3 6 4 5" xfId="3050"/>
    <cellStyle name="Normal 3 6 4 6" xfId="21807"/>
    <cellStyle name="Normal 3 6 5" xfId="811"/>
    <cellStyle name="Normal 3 6 5 2" xfId="8451"/>
    <cellStyle name="Normal 3 6 5 2 2" xfId="11064"/>
    <cellStyle name="Normal 3 6 5 2 2 2" xfId="25386"/>
    <cellStyle name="Normal 3 6 5 2 3" xfId="24138"/>
    <cellStyle name="Normal 3 6 5 3" xfId="9023"/>
    <cellStyle name="Normal 3 6 5 3 2" xfId="24704"/>
    <cellStyle name="Normal 3 6 5 4" xfId="3214"/>
    <cellStyle name="Normal 3 6 5 5" xfId="21809"/>
    <cellStyle name="Normal 3 6 6" xfId="812"/>
    <cellStyle name="Normal 3 6 6 2" xfId="8159"/>
    <cellStyle name="Normal 3 6 6 2 2" xfId="10772"/>
    <cellStyle name="Normal 3 6 6 2 2 2" xfId="25094"/>
    <cellStyle name="Normal 3 6 6 2 3" xfId="23846"/>
    <cellStyle name="Normal 3 6 6 3" xfId="9081"/>
    <cellStyle name="Normal 3 6 6 3 2" xfId="24753"/>
    <cellStyle name="Normal 3 6 6 4" xfId="3321"/>
    <cellStyle name="Normal 3 6 6 5" xfId="21810"/>
    <cellStyle name="Normal 3 6 7" xfId="8110"/>
    <cellStyle name="Normal 3 6 7 2" xfId="10723"/>
    <cellStyle name="Normal 3 6 7 2 2" xfId="25045"/>
    <cellStyle name="Normal 3 6 7 3" xfId="23797"/>
    <cellStyle name="Normal 3 6 8" xfId="8725"/>
    <cellStyle name="Normal 3 6 8 2" xfId="24412"/>
    <cellStyle name="Normal 3 6 9" xfId="2870"/>
    <cellStyle name="Normal 3 7" xfId="813"/>
    <cellStyle name="Normal 3 7 10" xfId="21811"/>
    <cellStyle name="Normal 3 7 2" xfId="814"/>
    <cellStyle name="Normal 3 7 2 2" xfId="815"/>
    <cellStyle name="Normal 3 7 2 2 2" xfId="816"/>
    <cellStyle name="Normal 3 7 2 2 2 2" xfId="8645"/>
    <cellStyle name="Normal 3 7 2 2 2 2 2" xfId="11258"/>
    <cellStyle name="Normal 3 7 2 2 2 2 2 2" xfId="25580"/>
    <cellStyle name="Normal 3 7 2 2 2 2 3" xfId="24332"/>
    <cellStyle name="Normal 3 7 2 2 2 3" xfId="9287"/>
    <cellStyle name="Normal 3 7 2 2 2 3 2" xfId="24958"/>
    <cellStyle name="Normal 3 7 2 2 2 4" xfId="3535"/>
    <cellStyle name="Normal 3 7 2 2 2 5" xfId="21814"/>
    <cellStyle name="Normal 3 7 2 2 3" xfId="8364"/>
    <cellStyle name="Normal 3 7 2 2 3 2" xfId="10977"/>
    <cellStyle name="Normal 3 7 2 2 3 2 2" xfId="25299"/>
    <cellStyle name="Normal 3 7 2 2 3 3" xfId="24051"/>
    <cellStyle name="Normal 3 7 2 2 4" xfId="8930"/>
    <cellStyle name="Normal 3 7 2 2 4 2" xfId="24617"/>
    <cellStyle name="Normal 3 7 2 2 5" xfId="3087"/>
    <cellStyle name="Normal 3 7 2 2 6" xfId="21813"/>
    <cellStyle name="Normal 3 7 2 3" xfId="817"/>
    <cellStyle name="Normal 3 7 2 3 2" xfId="8481"/>
    <cellStyle name="Normal 3 7 2 3 2 2" xfId="11094"/>
    <cellStyle name="Normal 3 7 2 3 2 2 2" xfId="25416"/>
    <cellStyle name="Normal 3 7 2 3 2 3" xfId="24168"/>
    <cellStyle name="Normal 3 7 2 3 3" xfId="9118"/>
    <cellStyle name="Normal 3 7 2 3 3 2" xfId="24790"/>
    <cellStyle name="Normal 3 7 2 3 4" xfId="3358"/>
    <cellStyle name="Normal 3 7 2 3 5" xfId="21815"/>
    <cellStyle name="Normal 3 7 2 4" xfId="8196"/>
    <cellStyle name="Normal 3 7 2 4 2" xfId="10809"/>
    <cellStyle name="Normal 3 7 2 4 2 2" xfId="25131"/>
    <cellStyle name="Normal 3 7 2 4 3" xfId="23883"/>
    <cellStyle name="Normal 3 7 2 5" xfId="8762"/>
    <cellStyle name="Normal 3 7 2 5 2" xfId="24449"/>
    <cellStyle name="Normal 3 7 2 6" xfId="2909"/>
    <cellStyle name="Normal 3 7 2 7" xfId="21812"/>
    <cellStyle name="Normal 3 7 3" xfId="818"/>
    <cellStyle name="Normal 3 7 3 2" xfId="819"/>
    <cellStyle name="Normal 3 7 3 2 2" xfId="8533"/>
    <cellStyle name="Normal 3 7 3 2 2 2" xfId="11146"/>
    <cellStyle name="Normal 3 7 3 2 2 2 2" xfId="25468"/>
    <cellStyle name="Normal 3 7 3 2 2 3" xfId="24220"/>
    <cellStyle name="Normal 3 7 3 2 3" xfId="9174"/>
    <cellStyle name="Normal 3 7 3 2 3 2" xfId="24846"/>
    <cellStyle name="Normal 3 7 3 2 4" xfId="3414"/>
    <cellStyle name="Normal 3 7 3 2 5" xfId="21817"/>
    <cellStyle name="Normal 3 7 3 3" xfId="8252"/>
    <cellStyle name="Normal 3 7 3 3 2" xfId="10865"/>
    <cellStyle name="Normal 3 7 3 3 2 2" xfId="25187"/>
    <cellStyle name="Normal 3 7 3 3 3" xfId="23939"/>
    <cellStyle name="Normal 3 7 3 4" xfId="8818"/>
    <cellStyle name="Normal 3 7 3 4 2" xfId="24505"/>
    <cellStyle name="Normal 3 7 3 5" xfId="2965"/>
    <cellStyle name="Normal 3 7 3 6" xfId="21816"/>
    <cellStyle name="Normal 3 7 4" xfId="820"/>
    <cellStyle name="Normal 3 7 4 2" xfId="821"/>
    <cellStyle name="Normal 3 7 4 2 2" xfId="8614"/>
    <cellStyle name="Normal 3 7 4 2 2 2" xfId="11227"/>
    <cellStyle name="Normal 3 7 4 2 2 2 2" xfId="25549"/>
    <cellStyle name="Normal 3 7 4 2 2 3" xfId="24301"/>
    <cellStyle name="Normal 3 7 4 2 3" xfId="9256"/>
    <cellStyle name="Normal 3 7 4 2 3 2" xfId="24927"/>
    <cellStyle name="Normal 3 7 4 2 4" xfId="3503"/>
    <cellStyle name="Normal 3 7 4 2 5" xfId="21819"/>
    <cellStyle name="Normal 3 7 4 3" xfId="8333"/>
    <cellStyle name="Normal 3 7 4 3 2" xfId="10946"/>
    <cellStyle name="Normal 3 7 4 3 2 2" xfId="25268"/>
    <cellStyle name="Normal 3 7 4 3 3" xfId="24020"/>
    <cellStyle name="Normal 3 7 4 4" xfId="8899"/>
    <cellStyle name="Normal 3 7 4 4 2" xfId="24586"/>
    <cellStyle name="Normal 3 7 4 5" xfId="3056"/>
    <cellStyle name="Normal 3 7 4 6" xfId="21818"/>
    <cellStyle name="Normal 3 7 5" xfId="822"/>
    <cellStyle name="Normal 3 7 5 2" xfId="8431"/>
    <cellStyle name="Normal 3 7 5 2 2" xfId="11044"/>
    <cellStyle name="Normal 3 7 5 2 2 2" xfId="25366"/>
    <cellStyle name="Normal 3 7 5 2 3" xfId="24118"/>
    <cellStyle name="Normal 3 7 5 3" xfId="9001"/>
    <cellStyle name="Normal 3 7 5 3 2" xfId="24684"/>
    <cellStyle name="Normal 3 7 5 4" xfId="3175"/>
    <cellStyle name="Normal 3 7 5 5" xfId="21820"/>
    <cellStyle name="Normal 3 7 6" xfId="823"/>
    <cellStyle name="Normal 3 7 6 2" xfId="8165"/>
    <cellStyle name="Normal 3 7 6 2 2" xfId="10778"/>
    <cellStyle name="Normal 3 7 6 2 2 2" xfId="25100"/>
    <cellStyle name="Normal 3 7 6 2 3" xfId="23852"/>
    <cellStyle name="Normal 3 7 6 3" xfId="9087"/>
    <cellStyle name="Normal 3 7 6 3 2" xfId="24759"/>
    <cellStyle name="Normal 3 7 6 4" xfId="3327"/>
    <cellStyle name="Normal 3 7 6 5" xfId="21821"/>
    <cellStyle name="Normal 3 7 7" xfId="8090"/>
    <cellStyle name="Normal 3 7 7 2" xfId="10703"/>
    <cellStyle name="Normal 3 7 7 2 2" xfId="25025"/>
    <cellStyle name="Normal 3 7 7 3" xfId="23777"/>
    <cellStyle name="Normal 3 7 8" xfId="8731"/>
    <cellStyle name="Normal 3 7 8 2" xfId="24418"/>
    <cellStyle name="Normal 3 7 9" xfId="2876"/>
    <cellStyle name="Normal 3 8" xfId="824"/>
    <cellStyle name="Normal 3 8 2" xfId="825"/>
    <cellStyle name="Normal 3 8 2 2" xfId="826"/>
    <cellStyle name="Normal 3 8 2 2 2" xfId="8639"/>
    <cellStyle name="Normal 3 8 2 2 2 2" xfId="11252"/>
    <cellStyle name="Normal 3 8 2 2 2 2 2" xfId="25574"/>
    <cellStyle name="Normal 3 8 2 2 2 3" xfId="24326"/>
    <cellStyle name="Normal 3 8 2 2 3" xfId="9281"/>
    <cellStyle name="Normal 3 8 2 2 3 2" xfId="24952"/>
    <cellStyle name="Normal 3 8 2 2 4" xfId="3529"/>
    <cellStyle name="Normal 3 8 2 2 5" xfId="21824"/>
    <cellStyle name="Normal 3 8 2 3" xfId="8358"/>
    <cellStyle name="Normal 3 8 2 3 2" xfId="10971"/>
    <cellStyle name="Normal 3 8 2 3 2 2" xfId="25293"/>
    <cellStyle name="Normal 3 8 2 3 3" xfId="24045"/>
    <cellStyle name="Normal 3 8 2 4" xfId="8924"/>
    <cellStyle name="Normal 3 8 2 4 2" xfId="24611"/>
    <cellStyle name="Normal 3 8 2 5" xfId="3081"/>
    <cellStyle name="Normal 3 8 2 6" xfId="21823"/>
    <cellStyle name="Normal 3 8 3" xfId="827"/>
    <cellStyle name="Normal 3 8 3 2" xfId="8475"/>
    <cellStyle name="Normal 3 8 3 2 2" xfId="11088"/>
    <cellStyle name="Normal 3 8 3 2 2 2" xfId="25410"/>
    <cellStyle name="Normal 3 8 3 2 3" xfId="24162"/>
    <cellStyle name="Normal 3 8 3 3" xfId="9112"/>
    <cellStyle name="Normal 3 8 3 3 2" xfId="24784"/>
    <cellStyle name="Normal 3 8 3 4" xfId="3352"/>
    <cellStyle name="Normal 3 8 3 5" xfId="21825"/>
    <cellStyle name="Normal 3 8 4" xfId="8190"/>
    <cellStyle name="Normal 3 8 4 2" xfId="10803"/>
    <cellStyle name="Normal 3 8 4 2 2" xfId="25125"/>
    <cellStyle name="Normal 3 8 4 3" xfId="23877"/>
    <cellStyle name="Normal 3 8 5" xfId="8756"/>
    <cellStyle name="Normal 3 8 5 2" xfId="24443"/>
    <cellStyle name="Normal 3 8 6" xfId="2903"/>
    <cellStyle name="Normal 3 8 7" xfId="21822"/>
    <cellStyle name="Normal 3 9" xfId="828"/>
    <cellStyle name="Normal 3 9 2" xfId="829"/>
    <cellStyle name="Normal 3 9 2 2" xfId="8527"/>
    <cellStyle name="Normal 3 9 2 2 2" xfId="11140"/>
    <cellStyle name="Normal 3 9 2 2 2 2" xfId="25462"/>
    <cellStyle name="Normal 3 9 2 2 3" xfId="24214"/>
    <cellStyle name="Normal 3 9 2 3" xfId="9168"/>
    <cellStyle name="Normal 3 9 2 3 2" xfId="24840"/>
    <cellStyle name="Normal 3 9 2 4" xfId="3408"/>
    <cellStyle name="Normal 3 9 2 5" xfId="21827"/>
    <cellStyle name="Normal 3 9 3" xfId="8246"/>
    <cellStyle name="Normal 3 9 3 2" xfId="10859"/>
    <cellStyle name="Normal 3 9 3 2 2" xfId="25181"/>
    <cellStyle name="Normal 3 9 3 3" xfId="23933"/>
    <cellStyle name="Normal 3 9 4" xfId="8812"/>
    <cellStyle name="Normal 3 9 4 2" xfId="24499"/>
    <cellStyle name="Normal 3 9 5" xfId="2959"/>
    <cellStyle name="Normal 3 9 6" xfId="21826"/>
    <cellStyle name="Normal 4" xfId="830"/>
    <cellStyle name="Normal 4 10" xfId="831"/>
    <cellStyle name="Normal 4 10 2" xfId="8415"/>
    <cellStyle name="Normal 4 10 2 2" xfId="11028"/>
    <cellStyle name="Normal 4 10 2 2 2" xfId="25350"/>
    <cellStyle name="Normal 4 10 2 3" xfId="24102"/>
    <cellStyle name="Normal 4 10 3" xfId="8985"/>
    <cellStyle name="Normal 4 10 3 2" xfId="24668"/>
    <cellStyle name="Normal 4 10 4" xfId="3158"/>
    <cellStyle name="Normal 4 10 5" xfId="21829"/>
    <cellStyle name="Normal 4 11" xfId="832"/>
    <cellStyle name="Normal 4 11 2" xfId="8135"/>
    <cellStyle name="Normal 4 11 2 2" xfId="10748"/>
    <cellStyle name="Normal 4 11 2 2 2" xfId="25070"/>
    <cellStyle name="Normal 4 11 2 3" xfId="23822"/>
    <cellStyle name="Normal 4 11 3" xfId="9057"/>
    <cellStyle name="Normal 4 11 3 2" xfId="24729"/>
    <cellStyle name="Normal 4 11 4" xfId="3297"/>
    <cellStyle name="Normal 4 11 5" xfId="21830"/>
    <cellStyle name="Normal 4 12" xfId="8074"/>
    <cellStyle name="Normal 4 12 2" xfId="10687"/>
    <cellStyle name="Normal 4 12 2 2" xfId="25009"/>
    <cellStyle name="Normal 4 12 3" xfId="23761"/>
    <cellStyle name="Normal 4 13" xfId="8696"/>
    <cellStyle name="Normal 4 13 2" xfId="11309"/>
    <cellStyle name="Normal 4 13 2 2" xfId="25631"/>
    <cellStyle name="Normal 4 13 3" xfId="24383"/>
    <cellStyle name="Normal 4 14" xfId="8701"/>
    <cellStyle name="Normal 4 14 2" xfId="24388"/>
    <cellStyle name="Normal 4 15" xfId="2801"/>
    <cellStyle name="Normal 4 16" xfId="21828"/>
    <cellStyle name="Normal 4 2" xfId="833"/>
    <cellStyle name="Normal 4 2 10" xfId="8705"/>
    <cellStyle name="Normal 4 2 10 2" xfId="24392"/>
    <cellStyle name="Normal 4 2 11" xfId="2849"/>
    <cellStyle name="Normal 4 2 12" xfId="21831"/>
    <cellStyle name="Normal 4 2 2" xfId="834"/>
    <cellStyle name="Normal 4 2 2 10" xfId="2865"/>
    <cellStyle name="Normal 4 2 2 11" xfId="21832"/>
    <cellStyle name="Normal 4 2 2 2" xfId="835"/>
    <cellStyle name="Normal 4 2 2 2 10" xfId="21833"/>
    <cellStyle name="Normal 4 2 2 2 2" xfId="836"/>
    <cellStyle name="Normal 4 2 2 2 2 2" xfId="837"/>
    <cellStyle name="Normal 4 2 2 2 2 2 2" xfId="838"/>
    <cellStyle name="Normal 4 2 2 2 2 2 2 2" xfId="8691"/>
    <cellStyle name="Normal 4 2 2 2 2 2 2 2 2" xfId="11304"/>
    <cellStyle name="Normal 4 2 2 2 2 2 2 2 2 2" xfId="25626"/>
    <cellStyle name="Normal 4 2 2 2 2 2 2 2 3" xfId="24378"/>
    <cellStyle name="Normal 4 2 2 2 2 2 2 3" xfId="9333"/>
    <cellStyle name="Normal 4 2 2 2 2 2 2 3 2" xfId="25004"/>
    <cellStyle name="Normal 4 2 2 2 2 2 2 4" xfId="3581"/>
    <cellStyle name="Normal 4 2 2 2 2 2 2 5" xfId="21836"/>
    <cellStyle name="Normal 4 2 2 2 2 2 3" xfId="8410"/>
    <cellStyle name="Normal 4 2 2 2 2 2 3 2" xfId="11023"/>
    <cellStyle name="Normal 4 2 2 2 2 2 3 2 2" xfId="25345"/>
    <cellStyle name="Normal 4 2 2 2 2 2 3 3" xfId="24097"/>
    <cellStyle name="Normal 4 2 2 2 2 2 4" xfId="8976"/>
    <cellStyle name="Normal 4 2 2 2 2 2 4 2" xfId="24663"/>
    <cellStyle name="Normal 4 2 2 2 2 2 5" xfId="3133"/>
    <cellStyle name="Normal 4 2 2 2 2 2 6" xfId="21835"/>
    <cellStyle name="Normal 4 2 2 2 2 3" xfId="839"/>
    <cellStyle name="Normal 4 2 2 2 2 3 2" xfId="8523"/>
    <cellStyle name="Normal 4 2 2 2 2 3 2 2" xfId="11136"/>
    <cellStyle name="Normal 4 2 2 2 2 3 2 2 2" xfId="25458"/>
    <cellStyle name="Normal 4 2 2 2 2 3 2 3" xfId="24210"/>
    <cellStyle name="Normal 4 2 2 2 2 3 3" xfId="9164"/>
    <cellStyle name="Normal 4 2 2 2 2 3 3 2" xfId="24836"/>
    <cellStyle name="Normal 4 2 2 2 2 3 4" xfId="3404"/>
    <cellStyle name="Normal 4 2 2 2 2 3 5" xfId="21837"/>
    <cellStyle name="Normal 4 2 2 2 2 4" xfId="8242"/>
    <cellStyle name="Normal 4 2 2 2 2 4 2" xfId="10855"/>
    <cellStyle name="Normal 4 2 2 2 2 4 2 2" xfId="25177"/>
    <cellStyle name="Normal 4 2 2 2 2 4 3" xfId="23929"/>
    <cellStyle name="Normal 4 2 2 2 2 5" xfId="8808"/>
    <cellStyle name="Normal 4 2 2 2 2 5 2" xfId="24495"/>
    <cellStyle name="Normal 4 2 2 2 2 6" xfId="2955"/>
    <cellStyle name="Normal 4 2 2 2 2 7" xfId="21834"/>
    <cellStyle name="Normal 4 2 2 2 3" xfId="840"/>
    <cellStyle name="Normal 4 2 2 2 3 2" xfId="841"/>
    <cellStyle name="Normal 4 2 2 2 3 2 2" xfId="8579"/>
    <cellStyle name="Normal 4 2 2 2 3 2 2 2" xfId="11192"/>
    <cellStyle name="Normal 4 2 2 2 3 2 2 2 2" xfId="25514"/>
    <cellStyle name="Normal 4 2 2 2 3 2 2 3" xfId="24266"/>
    <cellStyle name="Normal 4 2 2 2 3 2 3" xfId="9220"/>
    <cellStyle name="Normal 4 2 2 2 3 2 3 2" xfId="24892"/>
    <cellStyle name="Normal 4 2 2 2 3 2 4" xfId="3460"/>
    <cellStyle name="Normal 4 2 2 2 3 2 5" xfId="21839"/>
    <cellStyle name="Normal 4 2 2 2 3 3" xfId="8298"/>
    <cellStyle name="Normal 4 2 2 2 3 3 2" xfId="10911"/>
    <cellStyle name="Normal 4 2 2 2 3 3 2 2" xfId="25233"/>
    <cellStyle name="Normal 4 2 2 2 3 3 3" xfId="23985"/>
    <cellStyle name="Normal 4 2 2 2 3 4" xfId="8864"/>
    <cellStyle name="Normal 4 2 2 2 3 4 2" xfId="24551"/>
    <cellStyle name="Normal 4 2 2 2 3 5" xfId="3011"/>
    <cellStyle name="Normal 4 2 2 2 3 6" xfId="21838"/>
    <cellStyle name="Normal 4 2 2 2 4" xfId="842"/>
    <cellStyle name="Normal 4 2 2 2 4 2" xfId="843"/>
    <cellStyle name="Normal 4 2 2 2 4 2 2" xfId="8634"/>
    <cellStyle name="Normal 4 2 2 2 4 2 2 2" xfId="11247"/>
    <cellStyle name="Normal 4 2 2 2 4 2 2 2 2" xfId="25569"/>
    <cellStyle name="Normal 4 2 2 2 4 2 2 3" xfId="24321"/>
    <cellStyle name="Normal 4 2 2 2 4 2 3" xfId="9276"/>
    <cellStyle name="Normal 4 2 2 2 4 2 3 2" xfId="24947"/>
    <cellStyle name="Normal 4 2 2 2 4 2 4" xfId="3524"/>
    <cellStyle name="Normal 4 2 2 2 4 2 5" xfId="21841"/>
    <cellStyle name="Normal 4 2 2 2 4 3" xfId="8353"/>
    <cellStyle name="Normal 4 2 2 2 4 3 2" xfId="10966"/>
    <cellStyle name="Normal 4 2 2 2 4 3 2 2" xfId="25288"/>
    <cellStyle name="Normal 4 2 2 2 4 3 3" xfId="24040"/>
    <cellStyle name="Normal 4 2 2 2 4 4" xfId="8919"/>
    <cellStyle name="Normal 4 2 2 2 4 4 2" xfId="24606"/>
    <cellStyle name="Normal 4 2 2 2 4 5" xfId="3076"/>
    <cellStyle name="Normal 4 2 2 2 4 6" xfId="21840"/>
    <cellStyle name="Normal 4 2 2 2 5" xfId="844"/>
    <cellStyle name="Normal 4 2 2 2 5 2" xfId="8471"/>
    <cellStyle name="Normal 4 2 2 2 5 2 2" xfId="11084"/>
    <cellStyle name="Normal 4 2 2 2 5 2 2 2" xfId="25406"/>
    <cellStyle name="Normal 4 2 2 2 5 2 3" xfId="24158"/>
    <cellStyle name="Normal 4 2 2 2 5 3" xfId="9043"/>
    <cellStyle name="Normal 4 2 2 2 5 3 2" xfId="24724"/>
    <cellStyle name="Normal 4 2 2 2 5 4" xfId="3235"/>
    <cellStyle name="Normal 4 2 2 2 5 5" xfId="21842"/>
    <cellStyle name="Normal 4 2 2 2 6" xfId="845"/>
    <cellStyle name="Normal 4 2 2 2 6 2" xfId="8185"/>
    <cellStyle name="Normal 4 2 2 2 6 2 2" xfId="10798"/>
    <cellStyle name="Normal 4 2 2 2 6 2 2 2" xfId="25120"/>
    <cellStyle name="Normal 4 2 2 2 6 2 3" xfId="23872"/>
    <cellStyle name="Normal 4 2 2 2 6 3" xfId="9107"/>
    <cellStyle name="Normal 4 2 2 2 6 3 2" xfId="24779"/>
    <cellStyle name="Normal 4 2 2 2 6 4" xfId="3347"/>
    <cellStyle name="Normal 4 2 2 2 6 5" xfId="21843"/>
    <cellStyle name="Normal 4 2 2 2 7" xfId="8130"/>
    <cellStyle name="Normal 4 2 2 2 7 2" xfId="10743"/>
    <cellStyle name="Normal 4 2 2 2 7 2 2" xfId="25065"/>
    <cellStyle name="Normal 4 2 2 2 7 3" xfId="23817"/>
    <cellStyle name="Normal 4 2 2 2 8" xfId="8751"/>
    <cellStyle name="Normal 4 2 2 2 8 2" xfId="24438"/>
    <cellStyle name="Normal 4 2 2 2 9" xfId="2898"/>
    <cellStyle name="Normal 4 2 2 3" xfId="846"/>
    <cellStyle name="Normal 4 2 2 3 2" xfId="847"/>
    <cellStyle name="Normal 4 2 2 3 2 2" xfId="848"/>
    <cellStyle name="Normal 4 2 2 3 2 2 2" xfId="8665"/>
    <cellStyle name="Normal 4 2 2 3 2 2 2 2" xfId="11278"/>
    <cellStyle name="Normal 4 2 2 3 2 2 2 2 2" xfId="25600"/>
    <cellStyle name="Normal 4 2 2 3 2 2 2 3" xfId="24352"/>
    <cellStyle name="Normal 4 2 2 3 2 2 3" xfId="9307"/>
    <cellStyle name="Normal 4 2 2 3 2 2 3 2" xfId="24978"/>
    <cellStyle name="Normal 4 2 2 3 2 2 4" xfId="3555"/>
    <cellStyle name="Normal 4 2 2 3 2 2 5" xfId="21846"/>
    <cellStyle name="Normal 4 2 2 3 2 3" xfId="8384"/>
    <cellStyle name="Normal 4 2 2 3 2 3 2" xfId="10997"/>
    <cellStyle name="Normal 4 2 2 3 2 3 2 2" xfId="25319"/>
    <cellStyle name="Normal 4 2 2 3 2 3 3" xfId="24071"/>
    <cellStyle name="Normal 4 2 2 3 2 4" xfId="8950"/>
    <cellStyle name="Normal 4 2 2 3 2 4 2" xfId="24637"/>
    <cellStyle name="Normal 4 2 2 3 2 5" xfId="3107"/>
    <cellStyle name="Normal 4 2 2 3 2 6" xfId="21845"/>
    <cellStyle name="Normal 4 2 2 3 3" xfId="849"/>
    <cellStyle name="Normal 4 2 2 3 3 2" xfId="8497"/>
    <cellStyle name="Normal 4 2 2 3 3 2 2" xfId="11110"/>
    <cellStyle name="Normal 4 2 2 3 3 2 2 2" xfId="25432"/>
    <cellStyle name="Normal 4 2 2 3 3 2 3" xfId="24184"/>
    <cellStyle name="Normal 4 2 2 3 3 3" xfId="9138"/>
    <cellStyle name="Normal 4 2 2 3 3 3 2" xfId="24810"/>
    <cellStyle name="Normal 4 2 2 3 3 4" xfId="3378"/>
    <cellStyle name="Normal 4 2 2 3 3 5" xfId="21847"/>
    <cellStyle name="Normal 4 2 2 3 4" xfId="8216"/>
    <cellStyle name="Normal 4 2 2 3 4 2" xfId="10829"/>
    <cellStyle name="Normal 4 2 2 3 4 2 2" xfId="25151"/>
    <cellStyle name="Normal 4 2 2 3 4 3" xfId="23903"/>
    <cellStyle name="Normal 4 2 2 3 5" xfId="8782"/>
    <cellStyle name="Normal 4 2 2 3 5 2" xfId="24469"/>
    <cellStyle name="Normal 4 2 2 3 6" xfId="2929"/>
    <cellStyle name="Normal 4 2 2 3 7" xfId="21844"/>
    <cellStyle name="Normal 4 2 2 4" xfId="850"/>
    <cellStyle name="Normal 4 2 2 4 2" xfId="851"/>
    <cellStyle name="Normal 4 2 2 4 2 2" xfId="8553"/>
    <cellStyle name="Normal 4 2 2 4 2 2 2" xfId="11166"/>
    <cellStyle name="Normal 4 2 2 4 2 2 2 2" xfId="25488"/>
    <cellStyle name="Normal 4 2 2 4 2 2 3" xfId="24240"/>
    <cellStyle name="Normal 4 2 2 4 2 3" xfId="9194"/>
    <cellStyle name="Normal 4 2 2 4 2 3 2" xfId="24866"/>
    <cellStyle name="Normal 4 2 2 4 2 4" xfId="3434"/>
    <cellStyle name="Normal 4 2 2 4 2 5" xfId="21849"/>
    <cellStyle name="Normal 4 2 2 4 3" xfId="8272"/>
    <cellStyle name="Normal 4 2 2 4 3 2" xfId="10885"/>
    <cellStyle name="Normal 4 2 2 4 3 2 2" xfId="25207"/>
    <cellStyle name="Normal 4 2 2 4 3 3" xfId="23959"/>
    <cellStyle name="Normal 4 2 2 4 4" xfId="8838"/>
    <cellStyle name="Normal 4 2 2 4 4 2" xfId="24525"/>
    <cellStyle name="Normal 4 2 2 4 5" xfId="2985"/>
    <cellStyle name="Normal 4 2 2 4 6" xfId="21848"/>
    <cellStyle name="Normal 4 2 2 5" xfId="852"/>
    <cellStyle name="Normal 4 2 2 5 2" xfId="853"/>
    <cellStyle name="Normal 4 2 2 5 2 2" xfId="8603"/>
    <cellStyle name="Normal 4 2 2 5 2 2 2" xfId="11216"/>
    <cellStyle name="Normal 4 2 2 5 2 2 2 2" xfId="25538"/>
    <cellStyle name="Normal 4 2 2 5 2 2 3" xfId="24290"/>
    <cellStyle name="Normal 4 2 2 5 2 3" xfId="9245"/>
    <cellStyle name="Normal 4 2 2 5 2 3 2" xfId="24916"/>
    <cellStyle name="Normal 4 2 2 5 2 4" xfId="3492"/>
    <cellStyle name="Normal 4 2 2 5 2 5" xfId="21851"/>
    <cellStyle name="Normal 4 2 2 5 3" xfId="8322"/>
    <cellStyle name="Normal 4 2 2 5 3 2" xfId="10935"/>
    <cellStyle name="Normal 4 2 2 5 3 2 2" xfId="25257"/>
    <cellStyle name="Normal 4 2 2 5 3 3" xfId="24009"/>
    <cellStyle name="Normal 4 2 2 5 4" xfId="8888"/>
    <cellStyle name="Normal 4 2 2 5 4 2" xfId="24575"/>
    <cellStyle name="Normal 4 2 2 5 5" xfId="3045"/>
    <cellStyle name="Normal 4 2 2 5 6" xfId="21850"/>
    <cellStyle name="Normal 4 2 2 6" xfId="854"/>
    <cellStyle name="Normal 4 2 2 6 2" xfId="8446"/>
    <cellStyle name="Normal 4 2 2 6 2 2" xfId="11059"/>
    <cellStyle name="Normal 4 2 2 6 2 2 2" xfId="25381"/>
    <cellStyle name="Normal 4 2 2 6 2 3" xfId="24133"/>
    <cellStyle name="Normal 4 2 2 6 3" xfId="9018"/>
    <cellStyle name="Normal 4 2 2 6 3 2" xfId="24699"/>
    <cellStyle name="Normal 4 2 2 6 4" xfId="3209"/>
    <cellStyle name="Normal 4 2 2 6 5" xfId="21852"/>
    <cellStyle name="Normal 4 2 2 7" xfId="855"/>
    <cellStyle name="Normal 4 2 2 7 2" xfId="8154"/>
    <cellStyle name="Normal 4 2 2 7 2 2" xfId="10767"/>
    <cellStyle name="Normal 4 2 2 7 2 2 2" xfId="25089"/>
    <cellStyle name="Normal 4 2 2 7 2 3" xfId="23841"/>
    <cellStyle name="Normal 4 2 2 7 3" xfId="9076"/>
    <cellStyle name="Normal 4 2 2 7 3 2" xfId="24748"/>
    <cellStyle name="Normal 4 2 2 7 4" xfId="3316"/>
    <cellStyle name="Normal 4 2 2 7 5" xfId="21853"/>
    <cellStyle name="Normal 4 2 2 8" xfId="8105"/>
    <cellStyle name="Normal 4 2 2 8 2" xfId="10718"/>
    <cellStyle name="Normal 4 2 2 8 2 2" xfId="25040"/>
    <cellStyle name="Normal 4 2 2 8 3" xfId="23792"/>
    <cellStyle name="Normal 4 2 2 9" xfId="8720"/>
    <cellStyle name="Normal 4 2 2 9 2" xfId="24407"/>
    <cellStyle name="Normal 4 2 3" xfId="856"/>
    <cellStyle name="Normal 4 2 3 10" xfId="21854"/>
    <cellStyle name="Normal 4 2 3 2" xfId="857"/>
    <cellStyle name="Normal 4 2 3 2 2" xfId="858"/>
    <cellStyle name="Normal 4 2 3 2 2 2" xfId="859"/>
    <cellStyle name="Normal 4 2 3 2 2 2 2" xfId="8677"/>
    <cellStyle name="Normal 4 2 3 2 2 2 2 2" xfId="11290"/>
    <cellStyle name="Normal 4 2 3 2 2 2 2 2 2" xfId="25612"/>
    <cellStyle name="Normal 4 2 3 2 2 2 2 3" xfId="24364"/>
    <cellStyle name="Normal 4 2 3 2 2 2 3" xfId="9319"/>
    <cellStyle name="Normal 4 2 3 2 2 2 3 2" xfId="24990"/>
    <cellStyle name="Normal 4 2 3 2 2 2 4" xfId="3567"/>
    <cellStyle name="Normal 4 2 3 2 2 2 5" xfId="21857"/>
    <cellStyle name="Normal 4 2 3 2 2 3" xfId="8396"/>
    <cellStyle name="Normal 4 2 3 2 2 3 2" xfId="11009"/>
    <cellStyle name="Normal 4 2 3 2 2 3 2 2" xfId="25331"/>
    <cellStyle name="Normal 4 2 3 2 2 3 3" xfId="24083"/>
    <cellStyle name="Normal 4 2 3 2 2 4" xfId="8962"/>
    <cellStyle name="Normal 4 2 3 2 2 4 2" xfId="24649"/>
    <cellStyle name="Normal 4 2 3 2 2 5" xfId="3119"/>
    <cellStyle name="Normal 4 2 3 2 2 6" xfId="21856"/>
    <cellStyle name="Normal 4 2 3 2 3" xfId="860"/>
    <cellStyle name="Normal 4 2 3 2 3 2" xfId="8509"/>
    <cellStyle name="Normal 4 2 3 2 3 2 2" xfId="11122"/>
    <cellStyle name="Normal 4 2 3 2 3 2 2 2" xfId="25444"/>
    <cellStyle name="Normal 4 2 3 2 3 2 3" xfId="24196"/>
    <cellStyle name="Normal 4 2 3 2 3 3" xfId="9150"/>
    <cellStyle name="Normal 4 2 3 2 3 3 2" xfId="24822"/>
    <cellStyle name="Normal 4 2 3 2 3 4" xfId="3390"/>
    <cellStyle name="Normal 4 2 3 2 3 5" xfId="21858"/>
    <cellStyle name="Normal 4 2 3 2 4" xfId="8228"/>
    <cellStyle name="Normal 4 2 3 2 4 2" xfId="10841"/>
    <cellStyle name="Normal 4 2 3 2 4 2 2" xfId="25163"/>
    <cellStyle name="Normal 4 2 3 2 4 3" xfId="23915"/>
    <cellStyle name="Normal 4 2 3 2 5" xfId="8794"/>
    <cellStyle name="Normal 4 2 3 2 5 2" xfId="24481"/>
    <cellStyle name="Normal 4 2 3 2 6" xfId="2941"/>
    <cellStyle name="Normal 4 2 3 2 7" xfId="21855"/>
    <cellStyle name="Normal 4 2 3 3" xfId="861"/>
    <cellStyle name="Normal 4 2 3 3 2" xfId="862"/>
    <cellStyle name="Normal 4 2 3 3 2 2" xfId="8565"/>
    <cellStyle name="Normal 4 2 3 3 2 2 2" xfId="11178"/>
    <cellStyle name="Normal 4 2 3 3 2 2 2 2" xfId="25500"/>
    <cellStyle name="Normal 4 2 3 3 2 2 3" xfId="24252"/>
    <cellStyle name="Normal 4 2 3 3 2 3" xfId="9206"/>
    <cellStyle name="Normal 4 2 3 3 2 3 2" xfId="24878"/>
    <cellStyle name="Normal 4 2 3 3 2 4" xfId="3446"/>
    <cellStyle name="Normal 4 2 3 3 2 5" xfId="21860"/>
    <cellStyle name="Normal 4 2 3 3 3" xfId="8284"/>
    <cellStyle name="Normal 4 2 3 3 3 2" xfId="10897"/>
    <cellStyle name="Normal 4 2 3 3 3 2 2" xfId="25219"/>
    <cellStyle name="Normal 4 2 3 3 3 3" xfId="23971"/>
    <cellStyle name="Normal 4 2 3 3 4" xfId="8850"/>
    <cellStyle name="Normal 4 2 3 3 4 2" xfId="24537"/>
    <cellStyle name="Normal 4 2 3 3 5" xfId="2997"/>
    <cellStyle name="Normal 4 2 3 3 6" xfId="21859"/>
    <cellStyle name="Normal 4 2 3 4" xfId="863"/>
    <cellStyle name="Normal 4 2 3 4 2" xfId="864"/>
    <cellStyle name="Normal 4 2 3 4 2 2" xfId="8619"/>
    <cellStyle name="Normal 4 2 3 4 2 2 2" xfId="11232"/>
    <cellStyle name="Normal 4 2 3 4 2 2 2 2" xfId="25554"/>
    <cellStyle name="Normal 4 2 3 4 2 2 3" xfId="24306"/>
    <cellStyle name="Normal 4 2 3 4 2 3" xfId="9261"/>
    <cellStyle name="Normal 4 2 3 4 2 3 2" xfId="24932"/>
    <cellStyle name="Normal 4 2 3 4 2 4" xfId="3509"/>
    <cellStyle name="Normal 4 2 3 4 2 5" xfId="21862"/>
    <cellStyle name="Normal 4 2 3 4 3" xfId="8338"/>
    <cellStyle name="Normal 4 2 3 4 3 2" xfId="10951"/>
    <cellStyle name="Normal 4 2 3 4 3 2 2" xfId="25273"/>
    <cellStyle name="Normal 4 2 3 4 3 3" xfId="24025"/>
    <cellStyle name="Normal 4 2 3 4 4" xfId="8904"/>
    <cellStyle name="Normal 4 2 3 4 4 2" xfId="24591"/>
    <cellStyle name="Normal 4 2 3 4 5" xfId="3061"/>
    <cellStyle name="Normal 4 2 3 4 6" xfId="21861"/>
    <cellStyle name="Normal 4 2 3 5" xfId="865"/>
    <cellStyle name="Normal 4 2 3 5 2" xfId="8457"/>
    <cellStyle name="Normal 4 2 3 5 2 2" xfId="11070"/>
    <cellStyle name="Normal 4 2 3 5 2 2 2" xfId="25392"/>
    <cellStyle name="Normal 4 2 3 5 2 3" xfId="24144"/>
    <cellStyle name="Normal 4 2 3 5 3" xfId="9029"/>
    <cellStyle name="Normal 4 2 3 5 3 2" xfId="24710"/>
    <cellStyle name="Normal 4 2 3 5 4" xfId="3221"/>
    <cellStyle name="Normal 4 2 3 5 5" xfId="21863"/>
    <cellStyle name="Normal 4 2 3 6" xfId="866"/>
    <cellStyle name="Normal 4 2 3 6 2" xfId="8170"/>
    <cellStyle name="Normal 4 2 3 6 2 2" xfId="10783"/>
    <cellStyle name="Normal 4 2 3 6 2 2 2" xfId="25105"/>
    <cellStyle name="Normal 4 2 3 6 2 3" xfId="23857"/>
    <cellStyle name="Normal 4 2 3 6 3" xfId="9092"/>
    <cellStyle name="Normal 4 2 3 6 3 2" xfId="24764"/>
    <cellStyle name="Normal 4 2 3 6 4" xfId="3332"/>
    <cellStyle name="Normal 4 2 3 6 5" xfId="21864"/>
    <cellStyle name="Normal 4 2 3 7" xfId="8116"/>
    <cellStyle name="Normal 4 2 3 7 2" xfId="10729"/>
    <cellStyle name="Normal 4 2 3 7 2 2" xfId="25051"/>
    <cellStyle name="Normal 4 2 3 7 3" xfId="23803"/>
    <cellStyle name="Normal 4 2 3 8" xfId="8736"/>
    <cellStyle name="Normal 4 2 3 8 2" xfId="24423"/>
    <cellStyle name="Normal 4 2 3 9" xfId="2883"/>
    <cellStyle name="Normal 4 2 4" xfId="867"/>
    <cellStyle name="Normal 4 2 4 2" xfId="868"/>
    <cellStyle name="Normal 4 2 4 2 2" xfId="869"/>
    <cellStyle name="Normal 4 2 4 2 2 2" xfId="8650"/>
    <cellStyle name="Normal 4 2 4 2 2 2 2" xfId="11263"/>
    <cellStyle name="Normal 4 2 4 2 2 2 2 2" xfId="25585"/>
    <cellStyle name="Normal 4 2 4 2 2 2 3" xfId="24337"/>
    <cellStyle name="Normal 4 2 4 2 2 3" xfId="9292"/>
    <cellStyle name="Normal 4 2 4 2 2 3 2" xfId="24963"/>
    <cellStyle name="Normal 4 2 4 2 2 4" xfId="3540"/>
    <cellStyle name="Normal 4 2 4 2 2 5" xfId="21867"/>
    <cellStyle name="Normal 4 2 4 2 3" xfId="8369"/>
    <cellStyle name="Normal 4 2 4 2 3 2" xfId="10982"/>
    <cellStyle name="Normal 4 2 4 2 3 2 2" xfId="25304"/>
    <cellStyle name="Normal 4 2 4 2 3 3" xfId="24056"/>
    <cellStyle name="Normal 4 2 4 2 4" xfId="8935"/>
    <cellStyle name="Normal 4 2 4 2 4 2" xfId="24622"/>
    <cellStyle name="Normal 4 2 4 2 5" xfId="3092"/>
    <cellStyle name="Normal 4 2 4 2 6" xfId="21866"/>
    <cellStyle name="Normal 4 2 4 3" xfId="870"/>
    <cellStyle name="Normal 4 2 4 3 2" xfId="8435"/>
    <cellStyle name="Normal 4 2 4 3 2 2" xfId="11048"/>
    <cellStyle name="Normal 4 2 4 3 2 2 2" xfId="25370"/>
    <cellStyle name="Normal 4 2 4 3 2 3" xfId="24122"/>
    <cellStyle name="Normal 4 2 4 3 3" xfId="9007"/>
    <cellStyle name="Normal 4 2 4 3 3 2" xfId="24688"/>
    <cellStyle name="Normal 4 2 4 3 4" xfId="3198"/>
    <cellStyle name="Normal 4 2 4 3 5" xfId="21868"/>
    <cellStyle name="Normal 4 2 4 4" xfId="871"/>
    <cellStyle name="Normal 4 2 4 4 2" xfId="8201"/>
    <cellStyle name="Normal 4 2 4 4 2 2" xfId="10814"/>
    <cellStyle name="Normal 4 2 4 4 2 2 2" xfId="25136"/>
    <cellStyle name="Normal 4 2 4 4 2 3" xfId="23888"/>
    <cellStyle name="Normal 4 2 4 4 3" xfId="9123"/>
    <cellStyle name="Normal 4 2 4 4 3 2" xfId="24795"/>
    <cellStyle name="Normal 4 2 4 4 4" xfId="3363"/>
    <cellStyle name="Normal 4 2 4 4 5" xfId="21869"/>
    <cellStyle name="Normal 4 2 4 5" xfId="8094"/>
    <cellStyle name="Normal 4 2 4 5 2" xfId="10707"/>
    <cellStyle name="Normal 4 2 4 5 2 2" xfId="25029"/>
    <cellStyle name="Normal 4 2 4 5 3" xfId="23781"/>
    <cellStyle name="Normal 4 2 4 6" xfId="8767"/>
    <cellStyle name="Normal 4 2 4 6 2" xfId="24454"/>
    <cellStyle name="Normal 4 2 4 7" xfId="2914"/>
    <cellStyle name="Normal 4 2 4 8" xfId="21865"/>
    <cellStyle name="Normal 4 2 5" xfId="872"/>
    <cellStyle name="Normal 4 2 5 2" xfId="873"/>
    <cellStyle name="Normal 4 2 5 2 2" xfId="8538"/>
    <cellStyle name="Normal 4 2 5 2 2 2" xfId="11151"/>
    <cellStyle name="Normal 4 2 5 2 2 2 2" xfId="25473"/>
    <cellStyle name="Normal 4 2 5 2 2 3" xfId="24225"/>
    <cellStyle name="Normal 4 2 5 2 3" xfId="9179"/>
    <cellStyle name="Normal 4 2 5 2 3 2" xfId="24851"/>
    <cellStyle name="Normal 4 2 5 2 4" xfId="3419"/>
    <cellStyle name="Normal 4 2 5 2 5" xfId="21871"/>
    <cellStyle name="Normal 4 2 5 3" xfId="8257"/>
    <cellStyle name="Normal 4 2 5 3 2" xfId="10870"/>
    <cellStyle name="Normal 4 2 5 3 2 2" xfId="25192"/>
    <cellStyle name="Normal 4 2 5 3 3" xfId="23944"/>
    <cellStyle name="Normal 4 2 5 4" xfId="8823"/>
    <cellStyle name="Normal 4 2 5 4 2" xfId="24510"/>
    <cellStyle name="Normal 4 2 5 5" xfId="2970"/>
    <cellStyle name="Normal 4 2 5 6" xfId="21870"/>
    <cellStyle name="Normal 4 2 6" xfId="874"/>
    <cellStyle name="Normal 4 2 6 2" xfId="875"/>
    <cellStyle name="Normal 4 2 6 2 2" xfId="8588"/>
    <cellStyle name="Normal 4 2 6 2 2 2" xfId="11201"/>
    <cellStyle name="Normal 4 2 6 2 2 2 2" xfId="25523"/>
    <cellStyle name="Normal 4 2 6 2 2 3" xfId="24275"/>
    <cellStyle name="Normal 4 2 6 2 3" xfId="9230"/>
    <cellStyle name="Normal 4 2 6 2 3 2" xfId="24901"/>
    <cellStyle name="Normal 4 2 6 2 4" xfId="3477"/>
    <cellStyle name="Normal 4 2 6 2 5" xfId="21873"/>
    <cellStyle name="Normal 4 2 6 3" xfId="8307"/>
    <cellStyle name="Normal 4 2 6 3 2" xfId="10920"/>
    <cellStyle name="Normal 4 2 6 3 2 2" xfId="25242"/>
    <cellStyle name="Normal 4 2 6 3 3" xfId="23994"/>
    <cellStyle name="Normal 4 2 6 4" xfId="8873"/>
    <cellStyle name="Normal 4 2 6 4 2" xfId="24560"/>
    <cellStyle name="Normal 4 2 6 5" xfId="3030"/>
    <cellStyle name="Normal 4 2 6 6" xfId="21872"/>
    <cellStyle name="Normal 4 2 7" xfId="876"/>
    <cellStyle name="Normal 4 2 7 2" xfId="8420"/>
    <cellStyle name="Normal 4 2 7 2 2" xfId="11033"/>
    <cellStyle name="Normal 4 2 7 2 2 2" xfId="25355"/>
    <cellStyle name="Normal 4 2 7 2 3" xfId="24107"/>
    <cellStyle name="Normal 4 2 7 3" xfId="8990"/>
    <cellStyle name="Normal 4 2 7 3 2" xfId="24673"/>
    <cellStyle name="Normal 4 2 7 4" xfId="3164"/>
    <cellStyle name="Normal 4 2 7 5" xfId="21874"/>
    <cellStyle name="Normal 4 2 8" xfId="877"/>
    <cellStyle name="Normal 4 2 8 2" xfId="8139"/>
    <cellStyle name="Normal 4 2 8 2 2" xfId="10752"/>
    <cellStyle name="Normal 4 2 8 2 2 2" xfId="25074"/>
    <cellStyle name="Normal 4 2 8 2 3" xfId="23826"/>
    <cellStyle name="Normal 4 2 8 3" xfId="9061"/>
    <cellStyle name="Normal 4 2 8 3 2" xfId="24733"/>
    <cellStyle name="Normal 4 2 8 4" xfId="3301"/>
    <cellStyle name="Normal 4 2 8 5" xfId="21875"/>
    <cellStyle name="Normal 4 2 9" xfId="8079"/>
    <cellStyle name="Normal 4 2 9 2" xfId="10692"/>
    <cellStyle name="Normal 4 2 9 2 2" xfId="25014"/>
    <cellStyle name="Normal 4 2 9 3" xfId="23766"/>
    <cellStyle name="Normal 4 3" xfId="878"/>
    <cellStyle name="Normal 4 3 10" xfId="2854"/>
    <cellStyle name="Normal 4 3 11" xfId="21876"/>
    <cellStyle name="Normal 4 3 2" xfId="879"/>
    <cellStyle name="Normal 4 3 2 10" xfId="21877"/>
    <cellStyle name="Normal 4 3 2 2" xfId="880"/>
    <cellStyle name="Normal 4 3 2 2 2" xfId="881"/>
    <cellStyle name="Normal 4 3 2 2 2 2" xfId="882"/>
    <cellStyle name="Normal 4 3 2 2 2 2 2" xfId="8681"/>
    <cellStyle name="Normal 4 3 2 2 2 2 2 2" xfId="11294"/>
    <cellStyle name="Normal 4 3 2 2 2 2 2 2 2" xfId="25616"/>
    <cellStyle name="Normal 4 3 2 2 2 2 2 3" xfId="24368"/>
    <cellStyle name="Normal 4 3 2 2 2 2 3" xfId="9323"/>
    <cellStyle name="Normal 4 3 2 2 2 2 3 2" xfId="24994"/>
    <cellStyle name="Normal 4 3 2 2 2 2 4" xfId="3571"/>
    <cellStyle name="Normal 4 3 2 2 2 2 5" xfId="21880"/>
    <cellStyle name="Normal 4 3 2 2 2 3" xfId="8400"/>
    <cellStyle name="Normal 4 3 2 2 2 3 2" xfId="11013"/>
    <cellStyle name="Normal 4 3 2 2 2 3 2 2" xfId="25335"/>
    <cellStyle name="Normal 4 3 2 2 2 3 3" xfId="24087"/>
    <cellStyle name="Normal 4 3 2 2 2 4" xfId="8966"/>
    <cellStyle name="Normal 4 3 2 2 2 4 2" xfId="24653"/>
    <cellStyle name="Normal 4 3 2 2 2 5" xfId="3123"/>
    <cellStyle name="Normal 4 3 2 2 2 6" xfId="21879"/>
    <cellStyle name="Normal 4 3 2 2 3" xfId="883"/>
    <cellStyle name="Normal 4 3 2 2 3 2" xfId="8513"/>
    <cellStyle name="Normal 4 3 2 2 3 2 2" xfId="11126"/>
    <cellStyle name="Normal 4 3 2 2 3 2 2 2" xfId="25448"/>
    <cellStyle name="Normal 4 3 2 2 3 2 3" xfId="24200"/>
    <cellStyle name="Normal 4 3 2 2 3 3" xfId="9154"/>
    <cellStyle name="Normal 4 3 2 2 3 3 2" xfId="24826"/>
    <cellStyle name="Normal 4 3 2 2 3 4" xfId="3394"/>
    <cellStyle name="Normal 4 3 2 2 3 5" xfId="21881"/>
    <cellStyle name="Normal 4 3 2 2 4" xfId="8232"/>
    <cellStyle name="Normal 4 3 2 2 4 2" xfId="10845"/>
    <cellStyle name="Normal 4 3 2 2 4 2 2" xfId="25167"/>
    <cellStyle name="Normal 4 3 2 2 4 3" xfId="23919"/>
    <cellStyle name="Normal 4 3 2 2 5" xfId="8798"/>
    <cellStyle name="Normal 4 3 2 2 5 2" xfId="24485"/>
    <cellStyle name="Normal 4 3 2 2 6" xfId="2945"/>
    <cellStyle name="Normal 4 3 2 2 7" xfId="21878"/>
    <cellStyle name="Normal 4 3 2 3" xfId="884"/>
    <cellStyle name="Normal 4 3 2 3 2" xfId="885"/>
    <cellStyle name="Normal 4 3 2 3 2 2" xfId="8569"/>
    <cellStyle name="Normal 4 3 2 3 2 2 2" xfId="11182"/>
    <cellStyle name="Normal 4 3 2 3 2 2 2 2" xfId="25504"/>
    <cellStyle name="Normal 4 3 2 3 2 2 3" xfId="24256"/>
    <cellStyle name="Normal 4 3 2 3 2 3" xfId="9210"/>
    <cellStyle name="Normal 4 3 2 3 2 3 2" xfId="24882"/>
    <cellStyle name="Normal 4 3 2 3 2 4" xfId="3450"/>
    <cellStyle name="Normal 4 3 2 3 2 5" xfId="21883"/>
    <cellStyle name="Normal 4 3 2 3 3" xfId="8288"/>
    <cellStyle name="Normal 4 3 2 3 3 2" xfId="10901"/>
    <cellStyle name="Normal 4 3 2 3 3 2 2" xfId="25223"/>
    <cellStyle name="Normal 4 3 2 3 3 3" xfId="23975"/>
    <cellStyle name="Normal 4 3 2 3 4" xfId="8854"/>
    <cellStyle name="Normal 4 3 2 3 4 2" xfId="24541"/>
    <cellStyle name="Normal 4 3 2 3 5" xfId="3001"/>
    <cellStyle name="Normal 4 3 2 3 6" xfId="21882"/>
    <cellStyle name="Normal 4 3 2 4" xfId="886"/>
    <cellStyle name="Normal 4 3 2 4 2" xfId="887"/>
    <cellStyle name="Normal 4 3 2 4 2 2" xfId="8624"/>
    <cellStyle name="Normal 4 3 2 4 2 2 2" xfId="11237"/>
    <cellStyle name="Normal 4 3 2 4 2 2 2 2" xfId="25559"/>
    <cellStyle name="Normal 4 3 2 4 2 2 3" xfId="24311"/>
    <cellStyle name="Normal 4 3 2 4 2 3" xfId="9266"/>
    <cellStyle name="Normal 4 3 2 4 2 3 2" xfId="24937"/>
    <cellStyle name="Normal 4 3 2 4 2 4" xfId="3514"/>
    <cellStyle name="Normal 4 3 2 4 2 5" xfId="21885"/>
    <cellStyle name="Normal 4 3 2 4 3" xfId="8343"/>
    <cellStyle name="Normal 4 3 2 4 3 2" xfId="10956"/>
    <cellStyle name="Normal 4 3 2 4 3 2 2" xfId="25278"/>
    <cellStyle name="Normal 4 3 2 4 3 3" xfId="24030"/>
    <cellStyle name="Normal 4 3 2 4 4" xfId="8909"/>
    <cellStyle name="Normal 4 3 2 4 4 2" xfId="24596"/>
    <cellStyle name="Normal 4 3 2 4 5" xfId="3066"/>
    <cellStyle name="Normal 4 3 2 4 6" xfId="21884"/>
    <cellStyle name="Normal 4 3 2 5" xfId="888"/>
    <cellStyle name="Normal 4 3 2 5 2" xfId="8461"/>
    <cellStyle name="Normal 4 3 2 5 2 2" xfId="11074"/>
    <cellStyle name="Normal 4 3 2 5 2 2 2" xfId="25396"/>
    <cellStyle name="Normal 4 3 2 5 2 3" xfId="24148"/>
    <cellStyle name="Normal 4 3 2 5 3" xfId="9033"/>
    <cellStyle name="Normal 4 3 2 5 3 2" xfId="24714"/>
    <cellStyle name="Normal 4 3 2 5 4" xfId="3225"/>
    <cellStyle name="Normal 4 3 2 5 5" xfId="21886"/>
    <cellStyle name="Normal 4 3 2 6" xfId="889"/>
    <cellStyle name="Normal 4 3 2 6 2" xfId="8175"/>
    <cellStyle name="Normal 4 3 2 6 2 2" xfId="10788"/>
    <cellStyle name="Normal 4 3 2 6 2 2 2" xfId="25110"/>
    <cellStyle name="Normal 4 3 2 6 2 3" xfId="23862"/>
    <cellStyle name="Normal 4 3 2 6 3" xfId="9097"/>
    <cellStyle name="Normal 4 3 2 6 3 2" xfId="24769"/>
    <cellStyle name="Normal 4 3 2 6 4" xfId="3337"/>
    <cellStyle name="Normal 4 3 2 6 5" xfId="21887"/>
    <cellStyle name="Normal 4 3 2 7" xfId="8120"/>
    <cellStyle name="Normal 4 3 2 7 2" xfId="10733"/>
    <cellStyle name="Normal 4 3 2 7 2 2" xfId="25055"/>
    <cellStyle name="Normal 4 3 2 7 3" xfId="23807"/>
    <cellStyle name="Normal 4 3 2 8" xfId="8741"/>
    <cellStyle name="Normal 4 3 2 8 2" xfId="24428"/>
    <cellStyle name="Normal 4 3 2 9" xfId="2888"/>
    <cellStyle name="Normal 4 3 3" xfId="890"/>
    <cellStyle name="Normal 4 3 3 2" xfId="891"/>
    <cellStyle name="Normal 4 3 3 2 2" xfId="892"/>
    <cellStyle name="Normal 4 3 3 2 2 2" xfId="8655"/>
    <cellStyle name="Normal 4 3 3 2 2 2 2" xfId="11268"/>
    <cellStyle name="Normal 4 3 3 2 2 2 2 2" xfId="25590"/>
    <cellStyle name="Normal 4 3 3 2 2 2 3" xfId="24342"/>
    <cellStyle name="Normal 4 3 3 2 2 3" xfId="9297"/>
    <cellStyle name="Normal 4 3 3 2 2 3 2" xfId="24968"/>
    <cellStyle name="Normal 4 3 3 2 2 4" xfId="3545"/>
    <cellStyle name="Normal 4 3 3 2 2 5" xfId="21890"/>
    <cellStyle name="Normal 4 3 3 2 3" xfId="8374"/>
    <cellStyle name="Normal 4 3 3 2 3 2" xfId="10987"/>
    <cellStyle name="Normal 4 3 3 2 3 2 2" xfId="25309"/>
    <cellStyle name="Normal 4 3 3 2 3 3" xfId="24061"/>
    <cellStyle name="Normal 4 3 3 2 4" xfId="8940"/>
    <cellStyle name="Normal 4 3 3 2 4 2" xfId="24627"/>
    <cellStyle name="Normal 4 3 3 2 5" xfId="3097"/>
    <cellStyle name="Normal 4 3 3 2 6" xfId="21889"/>
    <cellStyle name="Normal 4 3 3 3" xfId="893"/>
    <cellStyle name="Normal 4 3 3 3 2" xfId="8488"/>
    <cellStyle name="Normal 4 3 3 3 2 2" xfId="11101"/>
    <cellStyle name="Normal 4 3 3 3 2 2 2" xfId="25423"/>
    <cellStyle name="Normal 4 3 3 3 2 3" xfId="24175"/>
    <cellStyle name="Normal 4 3 3 3 3" xfId="9128"/>
    <cellStyle name="Normal 4 3 3 3 3 2" xfId="24800"/>
    <cellStyle name="Normal 4 3 3 3 4" xfId="3368"/>
    <cellStyle name="Normal 4 3 3 3 5" xfId="21891"/>
    <cellStyle name="Normal 4 3 3 4" xfId="8206"/>
    <cellStyle name="Normal 4 3 3 4 2" xfId="10819"/>
    <cellStyle name="Normal 4 3 3 4 2 2" xfId="25141"/>
    <cellStyle name="Normal 4 3 3 4 3" xfId="23893"/>
    <cellStyle name="Normal 4 3 3 5" xfId="8772"/>
    <cellStyle name="Normal 4 3 3 5 2" xfId="24459"/>
    <cellStyle name="Normal 4 3 3 6" xfId="2919"/>
    <cellStyle name="Normal 4 3 3 7" xfId="21888"/>
    <cellStyle name="Normal 4 3 4" xfId="894"/>
    <cellStyle name="Normal 4 3 4 2" xfId="895"/>
    <cellStyle name="Normal 4 3 4 2 2" xfId="8543"/>
    <cellStyle name="Normal 4 3 4 2 2 2" xfId="11156"/>
    <cellStyle name="Normal 4 3 4 2 2 2 2" xfId="25478"/>
    <cellStyle name="Normal 4 3 4 2 2 3" xfId="24230"/>
    <cellStyle name="Normal 4 3 4 2 3" xfId="9184"/>
    <cellStyle name="Normal 4 3 4 2 3 2" xfId="24856"/>
    <cellStyle name="Normal 4 3 4 2 4" xfId="3424"/>
    <cellStyle name="Normal 4 3 4 2 5" xfId="21893"/>
    <cellStyle name="Normal 4 3 4 3" xfId="8262"/>
    <cellStyle name="Normal 4 3 4 3 2" xfId="10875"/>
    <cellStyle name="Normal 4 3 4 3 2 2" xfId="25197"/>
    <cellStyle name="Normal 4 3 4 3 3" xfId="23949"/>
    <cellStyle name="Normal 4 3 4 4" xfId="8828"/>
    <cellStyle name="Normal 4 3 4 4 2" xfId="24515"/>
    <cellStyle name="Normal 4 3 4 5" xfId="2975"/>
    <cellStyle name="Normal 4 3 4 6" xfId="21892"/>
    <cellStyle name="Normal 4 3 5" xfId="896"/>
    <cellStyle name="Normal 4 3 5 2" xfId="897"/>
    <cellStyle name="Normal 4 3 5 2 2" xfId="8593"/>
    <cellStyle name="Normal 4 3 5 2 2 2" xfId="11206"/>
    <cellStyle name="Normal 4 3 5 2 2 2 2" xfId="25528"/>
    <cellStyle name="Normal 4 3 5 2 2 3" xfId="24280"/>
    <cellStyle name="Normal 4 3 5 2 3" xfId="9235"/>
    <cellStyle name="Normal 4 3 5 2 3 2" xfId="24906"/>
    <cellStyle name="Normal 4 3 5 2 4" xfId="3482"/>
    <cellStyle name="Normal 4 3 5 2 5" xfId="21895"/>
    <cellStyle name="Normal 4 3 5 3" xfId="8312"/>
    <cellStyle name="Normal 4 3 5 3 2" xfId="10925"/>
    <cellStyle name="Normal 4 3 5 3 2 2" xfId="25247"/>
    <cellStyle name="Normal 4 3 5 3 3" xfId="23999"/>
    <cellStyle name="Normal 4 3 5 4" xfId="8878"/>
    <cellStyle name="Normal 4 3 5 4 2" xfId="24565"/>
    <cellStyle name="Normal 4 3 5 5" xfId="3035"/>
    <cellStyle name="Normal 4 3 5 6" xfId="21894"/>
    <cellStyle name="Normal 4 3 6" xfId="898"/>
    <cellStyle name="Normal 4 3 6 2" xfId="8426"/>
    <cellStyle name="Normal 4 3 6 2 2" xfId="11039"/>
    <cellStyle name="Normal 4 3 6 2 2 2" xfId="25361"/>
    <cellStyle name="Normal 4 3 6 2 3" xfId="24113"/>
    <cellStyle name="Normal 4 3 6 3" xfId="8996"/>
    <cellStyle name="Normal 4 3 6 3 2" xfId="24679"/>
    <cellStyle name="Normal 4 3 6 4" xfId="3170"/>
    <cellStyle name="Normal 4 3 6 5" xfId="21896"/>
    <cellStyle name="Normal 4 3 7" xfId="899"/>
    <cellStyle name="Normal 4 3 7 2" xfId="8144"/>
    <cellStyle name="Normal 4 3 7 2 2" xfId="10757"/>
    <cellStyle name="Normal 4 3 7 2 2 2" xfId="25079"/>
    <cellStyle name="Normal 4 3 7 2 3" xfId="23831"/>
    <cellStyle name="Normal 4 3 7 3" xfId="9066"/>
    <cellStyle name="Normal 4 3 7 3 2" xfId="24738"/>
    <cellStyle name="Normal 4 3 7 4" xfId="3306"/>
    <cellStyle name="Normal 4 3 7 5" xfId="21897"/>
    <cellStyle name="Normal 4 3 8" xfId="8085"/>
    <cellStyle name="Normal 4 3 8 2" xfId="10698"/>
    <cellStyle name="Normal 4 3 8 2 2" xfId="25020"/>
    <cellStyle name="Normal 4 3 8 3" xfId="23772"/>
    <cellStyle name="Normal 4 3 9" xfId="8710"/>
    <cellStyle name="Normal 4 3 9 2" xfId="24397"/>
    <cellStyle name="Normal 4 4" xfId="900"/>
    <cellStyle name="Normal 4 4 10" xfId="2859"/>
    <cellStyle name="Normal 4 4 11" xfId="21898"/>
    <cellStyle name="Normal 4 4 2" xfId="901"/>
    <cellStyle name="Normal 4 4 2 10" xfId="21899"/>
    <cellStyle name="Normal 4 4 2 2" xfId="902"/>
    <cellStyle name="Normal 4 4 2 2 2" xfId="903"/>
    <cellStyle name="Normal 4 4 2 2 2 2" xfId="904"/>
    <cellStyle name="Normal 4 4 2 2 2 2 2" xfId="8686"/>
    <cellStyle name="Normal 4 4 2 2 2 2 2 2" xfId="11299"/>
    <cellStyle name="Normal 4 4 2 2 2 2 2 2 2" xfId="25621"/>
    <cellStyle name="Normal 4 4 2 2 2 2 2 3" xfId="24373"/>
    <cellStyle name="Normal 4 4 2 2 2 2 3" xfId="9328"/>
    <cellStyle name="Normal 4 4 2 2 2 2 3 2" xfId="24999"/>
    <cellStyle name="Normal 4 4 2 2 2 2 4" xfId="3576"/>
    <cellStyle name="Normal 4 4 2 2 2 2 5" xfId="21902"/>
    <cellStyle name="Normal 4 4 2 2 2 3" xfId="8405"/>
    <cellStyle name="Normal 4 4 2 2 2 3 2" xfId="11018"/>
    <cellStyle name="Normal 4 4 2 2 2 3 2 2" xfId="25340"/>
    <cellStyle name="Normal 4 4 2 2 2 3 3" xfId="24092"/>
    <cellStyle name="Normal 4 4 2 2 2 4" xfId="8971"/>
    <cellStyle name="Normal 4 4 2 2 2 4 2" xfId="24658"/>
    <cellStyle name="Normal 4 4 2 2 2 5" xfId="3128"/>
    <cellStyle name="Normal 4 4 2 2 2 6" xfId="21901"/>
    <cellStyle name="Normal 4 4 2 2 3" xfId="905"/>
    <cellStyle name="Normal 4 4 2 2 3 2" xfId="8518"/>
    <cellStyle name="Normal 4 4 2 2 3 2 2" xfId="11131"/>
    <cellStyle name="Normal 4 4 2 2 3 2 2 2" xfId="25453"/>
    <cellStyle name="Normal 4 4 2 2 3 2 3" xfId="24205"/>
    <cellStyle name="Normal 4 4 2 2 3 3" xfId="9159"/>
    <cellStyle name="Normal 4 4 2 2 3 3 2" xfId="24831"/>
    <cellStyle name="Normal 4 4 2 2 3 4" xfId="3399"/>
    <cellStyle name="Normal 4 4 2 2 3 5" xfId="21903"/>
    <cellStyle name="Normal 4 4 2 2 4" xfId="8237"/>
    <cellStyle name="Normal 4 4 2 2 4 2" xfId="10850"/>
    <cellStyle name="Normal 4 4 2 2 4 2 2" xfId="25172"/>
    <cellStyle name="Normal 4 4 2 2 4 3" xfId="23924"/>
    <cellStyle name="Normal 4 4 2 2 5" xfId="8803"/>
    <cellStyle name="Normal 4 4 2 2 5 2" xfId="24490"/>
    <cellStyle name="Normal 4 4 2 2 6" xfId="2950"/>
    <cellStyle name="Normal 4 4 2 2 7" xfId="21900"/>
    <cellStyle name="Normal 4 4 2 3" xfId="906"/>
    <cellStyle name="Normal 4 4 2 3 2" xfId="907"/>
    <cellStyle name="Normal 4 4 2 3 2 2" xfId="8574"/>
    <cellStyle name="Normal 4 4 2 3 2 2 2" xfId="11187"/>
    <cellStyle name="Normal 4 4 2 3 2 2 2 2" xfId="25509"/>
    <cellStyle name="Normal 4 4 2 3 2 2 3" xfId="24261"/>
    <cellStyle name="Normal 4 4 2 3 2 3" xfId="9215"/>
    <cellStyle name="Normal 4 4 2 3 2 3 2" xfId="24887"/>
    <cellStyle name="Normal 4 4 2 3 2 4" xfId="3455"/>
    <cellStyle name="Normal 4 4 2 3 2 5" xfId="21905"/>
    <cellStyle name="Normal 4 4 2 3 3" xfId="8293"/>
    <cellStyle name="Normal 4 4 2 3 3 2" xfId="10906"/>
    <cellStyle name="Normal 4 4 2 3 3 2 2" xfId="25228"/>
    <cellStyle name="Normal 4 4 2 3 3 3" xfId="23980"/>
    <cellStyle name="Normal 4 4 2 3 4" xfId="8859"/>
    <cellStyle name="Normal 4 4 2 3 4 2" xfId="24546"/>
    <cellStyle name="Normal 4 4 2 3 5" xfId="3006"/>
    <cellStyle name="Normal 4 4 2 3 6" xfId="21904"/>
    <cellStyle name="Normal 4 4 2 4" xfId="908"/>
    <cellStyle name="Normal 4 4 2 4 2" xfId="909"/>
    <cellStyle name="Normal 4 4 2 4 2 2" xfId="8629"/>
    <cellStyle name="Normal 4 4 2 4 2 2 2" xfId="11242"/>
    <cellStyle name="Normal 4 4 2 4 2 2 2 2" xfId="25564"/>
    <cellStyle name="Normal 4 4 2 4 2 2 3" xfId="24316"/>
    <cellStyle name="Normal 4 4 2 4 2 3" xfId="9271"/>
    <cellStyle name="Normal 4 4 2 4 2 3 2" xfId="24942"/>
    <cellStyle name="Normal 4 4 2 4 2 4" xfId="3519"/>
    <cellStyle name="Normal 4 4 2 4 2 5" xfId="21907"/>
    <cellStyle name="Normal 4 4 2 4 3" xfId="8348"/>
    <cellStyle name="Normal 4 4 2 4 3 2" xfId="10961"/>
    <cellStyle name="Normal 4 4 2 4 3 2 2" xfId="25283"/>
    <cellStyle name="Normal 4 4 2 4 3 3" xfId="24035"/>
    <cellStyle name="Normal 4 4 2 4 4" xfId="8914"/>
    <cellStyle name="Normal 4 4 2 4 4 2" xfId="24601"/>
    <cellStyle name="Normal 4 4 2 4 5" xfId="3071"/>
    <cellStyle name="Normal 4 4 2 4 6" xfId="21906"/>
    <cellStyle name="Normal 4 4 2 5" xfId="910"/>
    <cellStyle name="Normal 4 4 2 5 2" xfId="8466"/>
    <cellStyle name="Normal 4 4 2 5 2 2" xfId="11079"/>
    <cellStyle name="Normal 4 4 2 5 2 2 2" xfId="25401"/>
    <cellStyle name="Normal 4 4 2 5 2 3" xfId="24153"/>
    <cellStyle name="Normal 4 4 2 5 3" xfId="9038"/>
    <cellStyle name="Normal 4 4 2 5 3 2" xfId="24719"/>
    <cellStyle name="Normal 4 4 2 5 4" xfId="3230"/>
    <cellStyle name="Normal 4 4 2 5 5" xfId="21908"/>
    <cellStyle name="Normal 4 4 2 6" xfId="911"/>
    <cellStyle name="Normal 4 4 2 6 2" xfId="8180"/>
    <cellStyle name="Normal 4 4 2 6 2 2" xfId="10793"/>
    <cellStyle name="Normal 4 4 2 6 2 2 2" xfId="25115"/>
    <cellStyle name="Normal 4 4 2 6 2 3" xfId="23867"/>
    <cellStyle name="Normal 4 4 2 6 3" xfId="9102"/>
    <cellStyle name="Normal 4 4 2 6 3 2" xfId="24774"/>
    <cellStyle name="Normal 4 4 2 6 4" xfId="3342"/>
    <cellStyle name="Normal 4 4 2 6 5" xfId="21909"/>
    <cellStyle name="Normal 4 4 2 7" xfId="8125"/>
    <cellStyle name="Normal 4 4 2 7 2" xfId="10738"/>
    <cellStyle name="Normal 4 4 2 7 2 2" xfId="25060"/>
    <cellStyle name="Normal 4 4 2 7 3" xfId="23812"/>
    <cellStyle name="Normal 4 4 2 8" xfId="8746"/>
    <cellStyle name="Normal 4 4 2 8 2" xfId="24433"/>
    <cellStyle name="Normal 4 4 2 9" xfId="2893"/>
    <cellStyle name="Normal 4 4 3" xfId="912"/>
    <cellStyle name="Normal 4 4 3 2" xfId="913"/>
    <cellStyle name="Normal 4 4 3 2 2" xfId="914"/>
    <cellStyle name="Normal 4 4 3 2 2 2" xfId="8660"/>
    <cellStyle name="Normal 4 4 3 2 2 2 2" xfId="11273"/>
    <cellStyle name="Normal 4 4 3 2 2 2 2 2" xfId="25595"/>
    <cellStyle name="Normal 4 4 3 2 2 2 3" xfId="24347"/>
    <cellStyle name="Normal 4 4 3 2 2 3" xfId="9302"/>
    <cellStyle name="Normal 4 4 3 2 2 3 2" xfId="24973"/>
    <cellStyle name="Normal 4 4 3 2 2 4" xfId="3550"/>
    <cellStyle name="Normal 4 4 3 2 2 5" xfId="21912"/>
    <cellStyle name="Normal 4 4 3 2 3" xfId="8379"/>
    <cellStyle name="Normal 4 4 3 2 3 2" xfId="10992"/>
    <cellStyle name="Normal 4 4 3 2 3 2 2" xfId="25314"/>
    <cellStyle name="Normal 4 4 3 2 3 3" xfId="24066"/>
    <cellStyle name="Normal 4 4 3 2 4" xfId="8945"/>
    <cellStyle name="Normal 4 4 3 2 4 2" xfId="24632"/>
    <cellStyle name="Normal 4 4 3 2 5" xfId="3102"/>
    <cellStyle name="Normal 4 4 3 2 6" xfId="21911"/>
    <cellStyle name="Normal 4 4 3 3" xfId="915"/>
    <cellStyle name="Normal 4 4 3 3 2" xfId="8492"/>
    <cellStyle name="Normal 4 4 3 3 2 2" xfId="11105"/>
    <cellStyle name="Normal 4 4 3 3 2 2 2" xfId="25427"/>
    <cellStyle name="Normal 4 4 3 3 2 3" xfId="24179"/>
    <cellStyle name="Normal 4 4 3 3 3" xfId="9133"/>
    <cellStyle name="Normal 4 4 3 3 3 2" xfId="24805"/>
    <cellStyle name="Normal 4 4 3 3 4" xfId="3373"/>
    <cellStyle name="Normal 4 4 3 3 5" xfId="21913"/>
    <cellStyle name="Normal 4 4 3 4" xfId="8211"/>
    <cellStyle name="Normal 4 4 3 4 2" xfId="10824"/>
    <cellStyle name="Normal 4 4 3 4 2 2" xfId="25146"/>
    <cellStyle name="Normal 4 4 3 4 3" xfId="23898"/>
    <cellStyle name="Normal 4 4 3 5" xfId="8777"/>
    <cellStyle name="Normal 4 4 3 5 2" xfId="24464"/>
    <cellStyle name="Normal 4 4 3 6" xfId="2924"/>
    <cellStyle name="Normal 4 4 3 7" xfId="21910"/>
    <cellStyle name="Normal 4 4 4" xfId="916"/>
    <cellStyle name="Normal 4 4 4 2" xfId="917"/>
    <cellStyle name="Normal 4 4 4 2 2" xfId="8548"/>
    <cellStyle name="Normal 4 4 4 2 2 2" xfId="11161"/>
    <cellStyle name="Normal 4 4 4 2 2 2 2" xfId="25483"/>
    <cellStyle name="Normal 4 4 4 2 2 3" xfId="24235"/>
    <cellStyle name="Normal 4 4 4 2 3" xfId="9189"/>
    <cellStyle name="Normal 4 4 4 2 3 2" xfId="24861"/>
    <cellStyle name="Normal 4 4 4 2 4" xfId="3429"/>
    <cellStyle name="Normal 4 4 4 2 5" xfId="21915"/>
    <cellStyle name="Normal 4 4 4 3" xfId="8267"/>
    <cellStyle name="Normal 4 4 4 3 2" xfId="10880"/>
    <cellStyle name="Normal 4 4 4 3 2 2" xfId="25202"/>
    <cellStyle name="Normal 4 4 4 3 3" xfId="23954"/>
    <cellStyle name="Normal 4 4 4 4" xfId="8833"/>
    <cellStyle name="Normal 4 4 4 4 2" xfId="24520"/>
    <cellStyle name="Normal 4 4 4 5" xfId="2980"/>
    <cellStyle name="Normal 4 4 4 6" xfId="21914"/>
    <cellStyle name="Normal 4 4 5" xfId="918"/>
    <cellStyle name="Normal 4 4 5 2" xfId="919"/>
    <cellStyle name="Normal 4 4 5 2 2" xfId="8598"/>
    <cellStyle name="Normal 4 4 5 2 2 2" xfId="11211"/>
    <cellStyle name="Normal 4 4 5 2 2 2 2" xfId="25533"/>
    <cellStyle name="Normal 4 4 5 2 2 3" xfId="24285"/>
    <cellStyle name="Normal 4 4 5 2 3" xfId="9240"/>
    <cellStyle name="Normal 4 4 5 2 3 2" xfId="24911"/>
    <cellStyle name="Normal 4 4 5 2 4" xfId="3487"/>
    <cellStyle name="Normal 4 4 5 2 5" xfId="21917"/>
    <cellStyle name="Normal 4 4 5 3" xfId="8317"/>
    <cellStyle name="Normal 4 4 5 3 2" xfId="10930"/>
    <cellStyle name="Normal 4 4 5 3 2 2" xfId="25252"/>
    <cellStyle name="Normal 4 4 5 3 3" xfId="24004"/>
    <cellStyle name="Normal 4 4 5 4" xfId="8883"/>
    <cellStyle name="Normal 4 4 5 4 2" xfId="24570"/>
    <cellStyle name="Normal 4 4 5 5" xfId="3040"/>
    <cellStyle name="Normal 4 4 5 6" xfId="21916"/>
    <cellStyle name="Normal 4 4 6" xfId="920"/>
    <cellStyle name="Normal 4 4 6 2" xfId="8442"/>
    <cellStyle name="Normal 4 4 6 2 2" xfId="11055"/>
    <cellStyle name="Normal 4 4 6 2 2 2" xfId="25377"/>
    <cellStyle name="Normal 4 4 6 2 3" xfId="24129"/>
    <cellStyle name="Normal 4 4 6 3" xfId="9014"/>
    <cellStyle name="Normal 4 4 6 3 2" xfId="24695"/>
    <cellStyle name="Normal 4 4 6 4" xfId="3205"/>
    <cellStyle name="Normal 4 4 6 5" xfId="21918"/>
    <cellStyle name="Normal 4 4 7" xfId="921"/>
    <cellStyle name="Normal 4 4 7 2" xfId="8149"/>
    <cellStyle name="Normal 4 4 7 2 2" xfId="10762"/>
    <cellStyle name="Normal 4 4 7 2 2 2" xfId="25084"/>
    <cellStyle name="Normal 4 4 7 2 3" xfId="23836"/>
    <cellStyle name="Normal 4 4 7 3" xfId="9071"/>
    <cellStyle name="Normal 4 4 7 3 2" xfId="24743"/>
    <cellStyle name="Normal 4 4 7 4" xfId="3311"/>
    <cellStyle name="Normal 4 4 7 5" xfId="21919"/>
    <cellStyle name="Normal 4 4 8" xfId="8101"/>
    <cellStyle name="Normal 4 4 8 2" xfId="10714"/>
    <cellStyle name="Normal 4 4 8 2 2" xfId="25036"/>
    <cellStyle name="Normal 4 4 8 3" xfId="23788"/>
    <cellStyle name="Normal 4 4 9" xfId="8715"/>
    <cellStyle name="Normal 4 4 9 2" xfId="24402"/>
    <cellStyle name="Normal 4 5" xfId="922"/>
    <cellStyle name="Normal 4 5 10" xfId="21920"/>
    <cellStyle name="Normal 4 5 2" xfId="923"/>
    <cellStyle name="Normal 4 5 2 2" xfId="924"/>
    <cellStyle name="Normal 4 5 2 2 2" xfId="925"/>
    <cellStyle name="Normal 4 5 2 2 2 2" xfId="8671"/>
    <cellStyle name="Normal 4 5 2 2 2 2 2" xfId="11284"/>
    <cellStyle name="Normal 4 5 2 2 2 2 2 2" xfId="25606"/>
    <cellStyle name="Normal 4 5 2 2 2 2 3" xfId="24358"/>
    <cellStyle name="Normal 4 5 2 2 2 3" xfId="9313"/>
    <cellStyle name="Normal 4 5 2 2 2 3 2" xfId="24984"/>
    <cellStyle name="Normal 4 5 2 2 2 4" xfId="3561"/>
    <cellStyle name="Normal 4 5 2 2 2 5" xfId="21923"/>
    <cellStyle name="Normal 4 5 2 2 3" xfId="8390"/>
    <cellStyle name="Normal 4 5 2 2 3 2" xfId="11003"/>
    <cellStyle name="Normal 4 5 2 2 3 2 2" xfId="25325"/>
    <cellStyle name="Normal 4 5 2 2 3 3" xfId="24077"/>
    <cellStyle name="Normal 4 5 2 2 4" xfId="8956"/>
    <cellStyle name="Normal 4 5 2 2 4 2" xfId="24643"/>
    <cellStyle name="Normal 4 5 2 2 5" xfId="3113"/>
    <cellStyle name="Normal 4 5 2 2 6" xfId="21922"/>
    <cellStyle name="Normal 4 5 2 3" xfId="926"/>
    <cellStyle name="Normal 4 5 2 3 2" xfId="8503"/>
    <cellStyle name="Normal 4 5 2 3 2 2" xfId="11116"/>
    <cellStyle name="Normal 4 5 2 3 2 2 2" xfId="25438"/>
    <cellStyle name="Normal 4 5 2 3 2 3" xfId="24190"/>
    <cellStyle name="Normal 4 5 2 3 3" xfId="9144"/>
    <cellStyle name="Normal 4 5 2 3 3 2" xfId="24816"/>
    <cellStyle name="Normal 4 5 2 3 4" xfId="3384"/>
    <cellStyle name="Normal 4 5 2 3 5" xfId="21924"/>
    <cellStyle name="Normal 4 5 2 4" xfId="8222"/>
    <cellStyle name="Normal 4 5 2 4 2" xfId="10835"/>
    <cellStyle name="Normal 4 5 2 4 2 2" xfId="25157"/>
    <cellStyle name="Normal 4 5 2 4 3" xfId="23909"/>
    <cellStyle name="Normal 4 5 2 5" xfId="8788"/>
    <cellStyle name="Normal 4 5 2 5 2" xfId="24475"/>
    <cellStyle name="Normal 4 5 2 6" xfId="2935"/>
    <cellStyle name="Normal 4 5 2 7" xfId="21921"/>
    <cellStyle name="Normal 4 5 3" xfId="927"/>
    <cellStyle name="Normal 4 5 3 2" xfId="928"/>
    <cellStyle name="Normal 4 5 3 2 2" xfId="8559"/>
    <cellStyle name="Normal 4 5 3 2 2 2" xfId="11172"/>
    <cellStyle name="Normal 4 5 3 2 2 2 2" xfId="25494"/>
    <cellStyle name="Normal 4 5 3 2 2 3" xfId="24246"/>
    <cellStyle name="Normal 4 5 3 2 3" xfId="9200"/>
    <cellStyle name="Normal 4 5 3 2 3 2" xfId="24872"/>
    <cellStyle name="Normal 4 5 3 2 4" xfId="3440"/>
    <cellStyle name="Normal 4 5 3 2 5" xfId="21926"/>
    <cellStyle name="Normal 4 5 3 3" xfId="8278"/>
    <cellStyle name="Normal 4 5 3 3 2" xfId="10891"/>
    <cellStyle name="Normal 4 5 3 3 2 2" xfId="25213"/>
    <cellStyle name="Normal 4 5 3 3 3" xfId="23965"/>
    <cellStyle name="Normal 4 5 3 4" xfId="8844"/>
    <cellStyle name="Normal 4 5 3 4 2" xfId="24531"/>
    <cellStyle name="Normal 4 5 3 5" xfId="2991"/>
    <cellStyle name="Normal 4 5 3 6" xfId="21925"/>
    <cellStyle name="Normal 4 5 4" xfId="929"/>
    <cellStyle name="Normal 4 5 4 2" xfId="930"/>
    <cellStyle name="Normal 4 5 4 2 2" xfId="8609"/>
    <cellStyle name="Normal 4 5 4 2 2 2" xfId="11222"/>
    <cellStyle name="Normal 4 5 4 2 2 2 2" xfId="25544"/>
    <cellStyle name="Normal 4 5 4 2 2 3" xfId="24296"/>
    <cellStyle name="Normal 4 5 4 2 3" xfId="9251"/>
    <cellStyle name="Normal 4 5 4 2 3 2" xfId="24922"/>
    <cellStyle name="Normal 4 5 4 2 4" xfId="3498"/>
    <cellStyle name="Normal 4 5 4 2 5" xfId="21928"/>
    <cellStyle name="Normal 4 5 4 3" xfId="8328"/>
    <cellStyle name="Normal 4 5 4 3 2" xfId="10941"/>
    <cellStyle name="Normal 4 5 4 3 2 2" xfId="25263"/>
    <cellStyle name="Normal 4 5 4 3 3" xfId="24015"/>
    <cellStyle name="Normal 4 5 4 4" xfId="8894"/>
    <cellStyle name="Normal 4 5 4 4 2" xfId="24581"/>
    <cellStyle name="Normal 4 5 4 5" xfId="3051"/>
    <cellStyle name="Normal 4 5 4 6" xfId="21927"/>
    <cellStyle name="Normal 4 5 5" xfId="931"/>
    <cellStyle name="Normal 4 5 5 2" xfId="8452"/>
    <cellStyle name="Normal 4 5 5 2 2" xfId="11065"/>
    <cellStyle name="Normal 4 5 5 2 2 2" xfId="25387"/>
    <cellStyle name="Normal 4 5 5 2 3" xfId="24139"/>
    <cellStyle name="Normal 4 5 5 3" xfId="9024"/>
    <cellStyle name="Normal 4 5 5 3 2" xfId="24705"/>
    <cellStyle name="Normal 4 5 5 4" xfId="3215"/>
    <cellStyle name="Normal 4 5 5 5" xfId="21929"/>
    <cellStyle name="Normal 4 5 6" xfId="932"/>
    <cellStyle name="Normal 4 5 6 2" xfId="8160"/>
    <cellStyle name="Normal 4 5 6 2 2" xfId="10773"/>
    <cellStyle name="Normal 4 5 6 2 2 2" xfId="25095"/>
    <cellStyle name="Normal 4 5 6 2 3" xfId="23847"/>
    <cellStyle name="Normal 4 5 6 3" xfId="9082"/>
    <cellStyle name="Normal 4 5 6 3 2" xfId="24754"/>
    <cellStyle name="Normal 4 5 6 4" xfId="3322"/>
    <cellStyle name="Normal 4 5 6 5" xfId="21930"/>
    <cellStyle name="Normal 4 5 7" xfId="8111"/>
    <cellStyle name="Normal 4 5 7 2" xfId="10724"/>
    <cellStyle name="Normal 4 5 7 2 2" xfId="25046"/>
    <cellStyle name="Normal 4 5 7 3" xfId="23798"/>
    <cellStyle name="Normal 4 5 8" xfId="8726"/>
    <cellStyle name="Normal 4 5 8 2" xfId="24413"/>
    <cellStyle name="Normal 4 5 9" xfId="2871"/>
    <cellStyle name="Normal 4 6" xfId="933"/>
    <cellStyle name="Normal 4 6 10" xfId="21931"/>
    <cellStyle name="Normal 4 6 2" xfId="934"/>
    <cellStyle name="Normal 4 6 2 2" xfId="935"/>
    <cellStyle name="Normal 4 6 2 2 2" xfId="936"/>
    <cellStyle name="Normal 4 6 2 2 2 2" xfId="8646"/>
    <cellStyle name="Normal 4 6 2 2 2 2 2" xfId="11259"/>
    <cellStyle name="Normal 4 6 2 2 2 2 2 2" xfId="25581"/>
    <cellStyle name="Normal 4 6 2 2 2 2 3" xfId="24333"/>
    <cellStyle name="Normal 4 6 2 2 2 3" xfId="9288"/>
    <cellStyle name="Normal 4 6 2 2 2 3 2" xfId="24959"/>
    <cellStyle name="Normal 4 6 2 2 2 4" xfId="3536"/>
    <cellStyle name="Normal 4 6 2 2 2 5" xfId="21934"/>
    <cellStyle name="Normal 4 6 2 2 3" xfId="8365"/>
    <cellStyle name="Normal 4 6 2 2 3 2" xfId="10978"/>
    <cellStyle name="Normal 4 6 2 2 3 2 2" xfId="25300"/>
    <cellStyle name="Normal 4 6 2 2 3 3" xfId="24052"/>
    <cellStyle name="Normal 4 6 2 2 4" xfId="8931"/>
    <cellStyle name="Normal 4 6 2 2 4 2" xfId="24618"/>
    <cellStyle name="Normal 4 6 2 2 5" xfId="3088"/>
    <cellStyle name="Normal 4 6 2 2 6" xfId="21933"/>
    <cellStyle name="Normal 4 6 2 3" xfId="937"/>
    <cellStyle name="Normal 4 6 2 3 2" xfId="8482"/>
    <cellStyle name="Normal 4 6 2 3 2 2" xfId="11095"/>
    <cellStyle name="Normal 4 6 2 3 2 2 2" xfId="25417"/>
    <cellStyle name="Normal 4 6 2 3 2 3" xfId="24169"/>
    <cellStyle name="Normal 4 6 2 3 3" xfId="9119"/>
    <cellStyle name="Normal 4 6 2 3 3 2" xfId="24791"/>
    <cellStyle name="Normal 4 6 2 3 4" xfId="3359"/>
    <cellStyle name="Normal 4 6 2 3 5" xfId="21935"/>
    <cellStyle name="Normal 4 6 2 4" xfId="8197"/>
    <cellStyle name="Normal 4 6 2 4 2" xfId="10810"/>
    <cellStyle name="Normal 4 6 2 4 2 2" xfId="25132"/>
    <cellStyle name="Normal 4 6 2 4 3" xfId="23884"/>
    <cellStyle name="Normal 4 6 2 5" xfId="8763"/>
    <cellStyle name="Normal 4 6 2 5 2" xfId="24450"/>
    <cellStyle name="Normal 4 6 2 6" xfId="2910"/>
    <cellStyle name="Normal 4 6 2 7" xfId="21932"/>
    <cellStyle name="Normal 4 6 3" xfId="938"/>
    <cellStyle name="Normal 4 6 3 2" xfId="939"/>
    <cellStyle name="Normal 4 6 3 2 2" xfId="8534"/>
    <cellStyle name="Normal 4 6 3 2 2 2" xfId="11147"/>
    <cellStyle name="Normal 4 6 3 2 2 2 2" xfId="25469"/>
    <cellStyle name="Normal 4 6 3 2 2 3" xfId="24221"/>
    <cellStyle name="Normal 4 6 3 2 3" xfId="9175"/>
    <cellStyle name="Normal 4 6 3 2 3 2" xfId="24847"/>
    <cellStyle name="Normal 4 6 3 2 4" xfId="3415"/>
    <cellStyle name="Normal 4 6 3 2 5" xfId="21937"/>
    <cellStyle name="Normal 4 6 3 3" xfId="8253"/>
    <cellStyle name="Normal 4 6 3 3 2" xfId="10866"/>
    <cellStyle name="Normal 4 6 3 3 2 2" xfId="25188"/>
    <cellStyle name="Normal 4 6 3 3 3" xfId="23940"/>
    <cellStyle name="Normal 4 6 3 4" xfId="8819"/>
    <cellStyle name="Normal 4 6 3 4 2" xfId="24506"/>
    <cellStyle name="Normal 4 6 3 5" xfId="2966"/>
    <cellStyle name="Normal 4 6 3 6" xfId="21936"/>
    <cellStyle name="Normal 4 6 4" xfId="940"/>
    <cellStyle name="Normal 4 6 4 2" xfId="941"/>
    <cellStyle name="Normal 4 6 4 2 2" xfId="8615"/>
    <cellStyle name="Normal 4 6 4 2 2 2" xfId="11228"/>
    <cellStyle name="Normal 4 6 4 2 2 2 2" xfId="25550"/>
    <cellStyle name="Normal 4 6 4 2 2 3" xfId="24302"/>
    <cellStyle name="Normal 4 6 4 2 3" xfId="9257"/>
    <cellStyle name="Normal 4 6 4 2 3 2" xfId="24928"/>
    <cellStyle name="Normal 4 6 4 2 4" xfId="3504"/>
    <cellStyle name="Normal 4 6 4 2 5" xfId="21939"/>
    <cellStyle name="Normal 4 6 4 3" xfId="8334"/>
    <cellStyle name="Normal 4 6 4 3 2" xfId="10947"/>
    <cellStyle name="Normal 4 6 4 3 2 2" xfId="25269"/>
    <cellStyle name="Normal 4 6 4 3 3" xfId="24021"/>
    <cellStyle name="Normal 4 6 4 4" xfId="8900"/>
    <cellStyle name="Normal 4 6 4 4 2" xfId="24587"/>
    <cellStyle name="Normal 4 6 4 5" xfId="3057"/>
    <cellStyle name="Normal 4 6 4 6" xfId="21938"/>
    <cellStyle name="Normal 4 6 5" xfId="942"/>
    <cellStyle name="Normal 4 6 5 2" xfId="8432"/>
    <cellStyle name="Normal 4 6 5 2 2" xfId="11045"/>
    <cellStyle name="Normal 4 6 5 2 2 2" xfId="25367"/>
    <cellStyle name="Normal 4 6 5 2 3" xfId="24119"/>
    <cellStyle name="Normal 4 6 5 3" xfId="9002"/>
    <cellStyle name="Normal 4 6 5 3 2" xfId="24685"/>
    <cellStyle name="Normal 4 6 5 4" xfId="3177"/>
    <cellStyle name="Normal 4 6 5 5" xfId="21940"/>
    <cellStyle name="Normal 4 6 6" xfId="943"/>
    <cellStyle name="Normal 4 6 6 2" xfId="8166"/>
    <cellStyle name="Normal 4 6 6 2 2" xfId="10779"/>
    <cellStyle name="Normal 4 6 6 2 2 2" xfId="25101"/>
    <cellStyle name="Normal 4 6 6 2 3" xfId="23853"/>
    <cellStyle name="Normal 4 6 6 3" xfId="9088"/>
    <cellStyle name="Normal 4 6 6 3 2" xfId="24760"/>
    <cellStyle name="Normal 4 6 6 4" xfId="3328"/>
    <cellStyle name="Normal 4 6 6 5" xfId="21941"/>
    <cellStyle name="Normal 4 6 7" xfId="8091"/>
    <cellStyle name="Normal 4 6 7 2" xfId="10704"/>
    <cellStyle name="Normal 4 6 7 2 2" xfId="25026"/>
    <cellStyle name="Normal 4 6 7 3" xfId="23778"/>
    <cellStyle name="Normal 4 6 8" xfId="8732"/>
    <cellStyle name="Normal 4 6 8 2" xfId="24419"/>
    <cellStyle name="Normal 4 6 9" xfId="2878"/>
    <cellStyle name="Normal 4 7" xfId="944"/>
    <cellStyle name="Normal 4 7 2" xfId="945"/>
    <cellStyle name="Normal 4 7 2 2" xfId="946"/>
    <cellStyle name="Normal 4 7 2 2 2" xfId="8640"/>
    <cellStyle name="Normal 4 7 2 2 2 2" xfId="11253"/>
    <cellStyle name="Normal 4 7 2 2 2 2 2" xfId="25575"/>
    <cellStyle name="Normal 4 7 2 2 2 3" xfId="24327"/>
    <cellStyle name="Normal 4 7 2 2 3" xfId="9282"/>
    <cellStyle name="Normal 4 7 2 2 3 2" xfId="24953"/>
    <cellStyle name="Normal 4 7 2 2 4" xfId="3530"/>
    <cellStyle name="Normal 4 7 2 2 5" xfId="21944"/>
    <cellStyle name="Normal 4 7 2 3" xfId="8359"/>
    <cellStyle name="Normal 4 7 2 3 2" xfId="10972"/>
    <cellStyle name="Normal 4 7 2 3 2 2" xfId="25294"/>
    <cellStyle name="Normal 4 7 2 3 3" xfId="24046"/>
    <cellStyle name="Normal 4 7 2 4" xfId="8925"/>
    <cellStyle name="Normal 4 7 2 4 2" xfId="24612"/>
    <cellStyle name="Normal 4 7 2 5" xfId="3082"/>
    <cellStyle name="Normal 4 7 2 6" xfId="21943"/>
    <cellStyle name="Normal 4 7 3" xfId="947"/>
    <cellStyle name="Normal 4 7 3 2" xfId="8476"/>
    <cellStyle name="Normal 4 7 3 2 2" xfId="11089"/>
    <cellStyle name="Normal 4 7 3 2 2 2" xfId="25411"/>
    <cellStyle name="Normal 4 7 3 2 3" xfId="24163"/>
    <cellStyle name="Normal 4 7 3 3" xfId="9113"/>
    <cellStyle name="Normal 4 7 3 3 2" xfId="24785"/>
    <cellStyle name="Normal 4 7 3 4" xfId="3353"/>
    <cellStyle name="Normal 4 7 3 5" xfId="21945"/>
    <cellStyle name="Normal 4 7 4" xfId="8191"/>
    <cellStyle name="Normal 4 7 4 2" xfId="10804"/>
    <cellStyle name="Normal 4 7 4 2 2" xfId="25126"/>
    <cellStyle name="Normal 4 7 4 3" xfId="23878"/>
    <cellStyle name="Normal 4 7 5" xfId="8757"/>
    <cellStyle name="Normal 4 7 5 2" xfId="24444"/>
    <cellStyle name="Normal 4 7 6" xfId="2904"/>
    <cellStyle name="Normal 4 7 7" xfId="21942"/>
    <cellStyle name="Normal 4 8" xfId="948"/>
    <cellStyle name="Normal 4 8 2" xfId="949"/>
    <cellStyle name="Normal 4 8 2 2" xfId="8528"/>
    <cellStyle name="Normal 4 8 2 2 2" xfId="11141"/>
    <cellStyle name="Normal 4 8 2 2 2 2" xfId="25463"/>
    <cellStyle name="Normal 4 8 2 2 3" xfId="24215"/>
    <cellStyle name="Normal 4 8 2 3" xfId="9169"/>
    <cellStyle name="Normal 4 8 2 3 2" xfId="24841"/>
    <cellStyle name="Normal 4 8 2 4" xfId="3409"/>
    <cellStyle name="Normal 4 8 2 5" xfId="21947"/>
    <cellStyle name="Normal 4 8 3" xfId="8247"/>
    <cellStyle name="Normal 4 8 3 2" xfId="10860"/>
    <cellStyle name="Normal 4 8 3 2 2" xfId="25182"/>
    <cellStyle name="Normal 4 8 3 3" xfId="23934"/>
    <cellStyle name="Normal 4 8 4" xfId="8813"/>
    <cellStyle name="Normal 4 8 4 2" xfId="24500"/>
    <cellStyle name="Normal 4 8 5" xfId="2960"/>
    <cellStyle name="Normal 4 8 6" xfId="21946"/>
    <cellStyle name="Normal 4 9" xfId="950"/>
    <cellStyle name="Normal 4 9 2" xfId="951"/>
    <cellStyle name="Normal 4 9 2 2" xfId="8584"/>
    <cellStyle name="Normal 4 9 2 2 2" xfId="11197"/>
    <cellStyle name="Normal 4 9 2 2 2 2" xfId="25519"/>
    <cellStyle name="Normal 4 9 2 2 3" xfId="24271"/>
    <cellStyle name="Normal 4 9 2 3" xfId="9225"/>
    <cellStyle name="Normal 4 9 2 3 2" xfId="24897"/>
    <cellStyle name="Normal 4 9 2 4" xfId="3470"/>
    <cellStyle name="Normal 4 9 2 5" xfId="21949"/>
    <cellStyle name="Normal 4 9 3" xfId="8303"/>
    <cellStyle name="Normal 4 9 3 2" xfId="10916"/>
    <cellStyle name="Normal 4 9 3 2 2" xfId="25238"/>
    <cellStyle name="Normal 4 9 3 3" xfId="23990"/>
    <cellStyle name="Normal 4 9 4" xfId="8869"/>
    <cellStyle name="Normal 4 9 4 2" xfId="24556"/>
    <cellStyle name="Normal 4 9 5" xfId="3020"/>
    <cellStyle name="Normal 4 9 6" xfId="21948"/>
    <cellStyle name="Normal 5" xfId="952"/>
    <cellStyle name="Normal 5 10" xfId="953"/>
    <cellStyle name="Normal 5 10 2" xfId="8416"/>
    <cellStyle name="Normal 5 10 2 2" xfId="11029"/>
    <cellStyle name="Normal 5 10 2 2 2" xfId="25351"/>
    <cellStyle name="Normal 5 10 2 3" xfId="24103"/>
    <cellStyle name="Normal 5 10 3" xfId="8986"/>
    <cellStyle name="Normal 5 10 3 2" xfId="24669"/>
    <cellStyle name="Normal 5 10 4" xfId="3159"/>
    <cellStyle name="Normal 5 10 5" xfId="21951"/>
    <cellStyle name="Normal 5 11" xfId="954"/>
    <cellStyle name="Normal 5 11 2" xfId="8136"/>
    <cellStyle name="Normal 5 11 2 2" xfId="10749"/>
    <cellStyle name="Normal 5 11 2 2 2" xfId="25071"/>
    <cellStyle name="Normal 5 11 2 3" xfId="23823"/>
    <cellStyle name="Normal 5 11 3" xfId="9058"/>
    <cellStyle name="Normal 5 11 3 2" xfId="24730"/>
    <cellStyle name="Normal 5 11 4" xfId="3298"/>
    <cellStyle name="Normal 5 11 5" xfId="21952"/>
    <cellStyle name="Normal 5 12" xfId="8075"/>
    <cellStyle name="Normal 5 12 2" xfId="10688"/>
    <cellStyle name="Normal 5 12 2 2" xfId="25010"/>
    <cellStyle name="Normal 5 12 3" xfId="23762"/>
    <cellStyle name="Normal 5 13" xfId="8697"/>
    <cellStyle name="Normal 5 13 2" xfId="11310"/>
    <cellStyle name="Normal 5 13 2 2" xfId="25632"/>
    <cellStyle name="Normal 5 13 3" xfId="24384"/>
    <cellStyle name="Normal 5 14" xfId="8702"/>
    <cellStyle name="Normal 5 14 2" xfId="24389"/>
    <cellStyle name="Normal 5 15" xfId="2803"/>
    <cellStyle name="Normal 5 16" xfId="21950"/>
    <cellStyle name="Normal 5 2" xfId="955"/>
    <cellStyle name="Normal 5 2 10" xfId="8706"/>
    <cellStyle name="Normal 5 2 10 2" xfId="24393"/>
    <cellStyle name="Normal 5 2 11" xfId="2850"/>
    <cellStyle name="Normal 5 2 12" xfId="21953"/>
    <cellStyle name="Normal 5 2 2" xfId="956"/>
    <cellStyle name="Normal 5 2 2 10" xfId="2866"/>
    <cellStyle name="Normal 5 2 2 11" xfId="21954"/>
    <cellStyle name="Normal 5 2 2 2" xfId="957"/>
    <cellStyle name="Normal 5 2 2 2 10" xfId="21955"/>
    <cellStyle name="Normal 5 2 2 2 2" xfId="958"/>
    <cellStyle name="Normal 5 2 2 2 2 2" xfId="959"/>
    <cellStyle name="Normal 5 2 2 2 2 2 2" xfId="960"/>
    <cellStyle name="Normal 5 2 2 2 2 2 2 2" xfId="8692"/>
    <cellStyle name="Normal 5 2 2 2 2 2 2 2 2" xfId="11305"/>
    <cellStyle name="Normal 5 2 2 2 2 2 2 2 2 2" xfId="25627"/>
    <cellStyle name="Normal 5 2 2 2 2 2 2 2 3" xfId="24379"/>
    <cellStyle name="Normal 5 2 2 2 2 2 2 3" xfId="9334"/>
    <cellStyle name="Normal 5 2 2 2 2 2 2 3 2" xfId="25005"/>
    <cellStyle name="Normal 5 2 2 2 2 2 2 4" xfId="3582"/>
    <cellStyle name="Normal 5 2 2 2 2 2 2 5" xfId="21958"/>
    <cellStyle name="Normal 5 2 2 2 2 2 3" xfId="8411"/>
    <cellStyle name="Normal 5 2 2 2 2 2 3 2" xfId="11024"/>
    <cellStyle name="Normal 5 2 2 2 2 2 3 2 2" xfId="25346"/>
    <cellStyle name="Normal 5 2 2 2 2 2 3 3" xfId="24098"/>
    <cellStyle name="Normal 5 2 2 2 2 2 4" xfId="8977"/>
    <cellStyle name="Normal 5 2 2 2 2 2 4 2" xfId="24664"/>
    <cellStyle name="Normal 5 2 2 2 2 2 5" xfId="3134"/>
    <cellStyle name="Normal 5 2 2 2 2 2 6" xfId="21957"/>
    <cellStyle name="Normal 5 2 2 2 2 3" xfId="961"/>
    <cellStyle name="Normal 5 2 2 2 2 3 2" xfId="8524"/>
    <cellStyle name="Normal 5 2 2 2 2 3 2 2" xfId="11137"/>
    <cellStyle name="Normal 5 2 2 2 2 3 2 2 2" xfId="25459"/>
    <cellStyle name="Normal 5 2 2 2 2 3 2 3" xfId="24211"/>
    <cellStyle name="Normal 5 2 2 2 2 3 3" xfId="9165"/>
    <cellStyle name="Normal 5 2 2 2 2 3 3 2" xfId="24837"/>
    <cellStyle name="Normal 5 2 2 2 2 3 4" xfId="3405"/>
    <cellStyle name="Normal 5 2 2 2 2 3 5" xfId="21959"/>
    <cellStyle name="Normal 5 2 2 2 2 4" xfId="8243"/>
    <cellStyle name="Normal 5 2 2 2 2 4 2" xfId="10856"/>
    <cellStyle name="Normal 5 2 2 2 2 4 2 2" xfId="25178"/>
    <cellStyle name="Normal 5 2 2 2 2 4 3" xfId="23930"/>
    <cellStyle name="Normal 5 2 2 2 2 5" xfId="8809"/>
    <cellStyle name="Normal 5 2 2 2 2 5 2" xfId="24496"/>
    <cellStyle name="Normal 5 2 2 2 2 6" xfId="2956"/>
    <cellStyle name="Normal 5 2 2 2 2 7" xfId="21956"/>
    <cellStyle name="Normal 5 2 2 2 3" xfId="962"/>
    <cellStyle name="Normal 5 2 2 2 3 2" xfId="963"/>
    <cellStyle name="Normal 5 2 2 2 3 2 2" xfId="8580"/>
    <cellStyle name="Normal 5 2 2 2 3 2 2 2" xfId="11193"/>
    <cellStyle name="Normal 5 2 2 2 3 2 2 2 2" xfId="25515"/>
    <cellStyle name="Normal 5 2 2 2 3 2 2 3" xfId="24267"/>
    <cellStyle name="Normal 5 2 2 2 3 2 3" xfId="9221"/>
    <cellStyle name="Normal 5 2 2 2 3 2 3 2" xfId="24893"/>
    <cellStyle name="Normal 5 2 2 2 3 2 4" xfId="3461"/>
    <cellStyle name="Normal 5 2 2 2 3 2 5" xfId="21961"/>
    <cellStyle name="Normal 5 2 2 2 3 3" xfId="8299"/>
    <cellStyle name="Normal 5 2 2 2 3 3 2" xfId="10912"/>
    <cellStyle name="Normal 5 2 2 2 3 3 2 2" xfId="25234"/>
    <cellStyle name="Normal 5 2 2 2 3 3 3" xfId="23986"/>
    <cellStyle name="Normal 5 2 2 2 3 4" xfId="8865"/>
    <cellStyle name="Normal 5 2 2 2 3 4 2" xfId="24552"/>
    <cellStyle name="Normal 5 2 2 2 3 5" xfId="3012"/>
    <cellStyle name="Normal 5 2 2 2 3 6" xfId="21960"/>
    <cellStyle name="Normal 5 2 2 2 4" xfId="964"/>
    <cellStyle name="Normal 5 2 2 2 4 2" xfId="965"/>
    <cellStyle name="Normal 5 2 2 2 4 2 2" xfId="8635"/>
    <cellStyle name="Normal 5 2 2 2 4 2 2 2" xfId="11248"/>
    <cellStyle name="Normal 5 2 2 2 4 2 2 2 2" xfId="25570"/>
    <cellStyle name="Normal 5 2 2 2 4 2 2 3" xfId="24322"/>
    <cellStyle name="Normal 5 2 2 2 4 2 3" xfId="9277"/>
    <cellStyle name="Normal 5 2 2 2 4 2 3 2" xfId="24948"/>
    <cellStyle name="Normal 5 2 2 2 4 2 4" xfId="3525"/>
    <cellStyle name="Normal 5 2 2 2 4 2 5" xfId="21963"/>
    <cellStyle name="Normal 5 2 2 2 4 3" xfId="8354"/>
    <cellStyle name="Normal 5 2 2 2 4 3 2" xfId="10967"/>
    <cellStyle name="Normal 5 2 2 2 4 3 2 2" xfId="25289"/>
    <cellStyle name="Normal 5 2 2 2 4 3 3" xfId="24041"/>
    <cellStyle name="Normal 5 2 2 2 4 4" xfId="8920"/>
    <cellStyle name="Normal 5 2 2 2 4 4 2" xfId="24607"/>
    <cellStyle name="Normal 5 2 2 2 4 5" xfId="3077"/>
    <cellStyle name="Normal 5 2 2 2 4 6" xfId="21962"/>
    <cellStyle name="Normal 5 2 2 2 5" xfId="966"/>
    <cellStyle name="Normal 5 2 2 2 5 2" xfId="8472"/>
    <cellStyle name="Normal 5 2 2 2 5 2 2" xfId="11085"/>
    <cellStyle name="Normal 5 2 2 2 5 2 2 2" xfId="25407"/>
    <cellStyle name="Normal 5 2 2 2 5 2 3" xfId="24159"/>
    <cellStyle name="Normal 5 2 2 2 5 3" xfId="9044"/>
    <cellStyle name="Normal 5 2 2 2 5 3 2" xfId="24725"/>
    <cellStyle name="Normal 5 2 2 2 5 4" xfId="3236"/>
    <cellStyle name="Normal 5 2 2 2 5 5" xfId="21964"/>
    <cellStyle name="Normal 5 2 2 2 6" xfId="967"/>
    <cellStyle name="Normal 5 2 2 2 6 2" xfId="8186"/>
    <cellStyle name="Normal 5 2 2 2 6 2 2" xfId="10799"/>
    <cellStyle name="Normal 5 2 2 2 6 2 2 2" xfId="25121"/>
    <cellStyle name="Normal 5 2 2 2 6 2 3" xfId="23873"/>
    <cellStyle name="Normal 5 2 2 2 6 3" xfId="9108"/>
    <cellStyle name="Normal 5 2 2 2 6 3 2" xfId="24780"/>
    <cellStyle name="Normal 5 2 2 2 6 4" xfId="3348"/>
    <cellStyle name="Normal 5 2 2 2 6 5" xfId="21965"/>
    <cellStyle name="Normal 5 2 2 2 7" xfId="8131"/>
    <cellStyle name="Normal 5 2 2 2 7 2" xfId="10744"/>
    <cellStyle name="Normal 5 2 2 2 7 2 2" xfId="25066"/>
    <cellStyle name="Normal 5 2 2 2 7 3" xfId="23818"/>
    <cellStyle name="Normal 5 2 2 2 8" xfId="8752"/>
    <cellStyle name="Normal 5 2 2 2 8 2" xfId="24439"/>
    <cellStyle name="Normal 5 2 2 2 9" xfId="2899"/>
    <cellStyle name="Normal 5 2 2 3" xfId="968"/>
    <cellStyle name="Normal 5 2 2 3 2" xfId="969"/>
    <cellStyle name="Normal 5 2 2 3 2 2" xfId="970"/>
    <cellStyle name="Normal 5 2 2 3 2 2 2" xfId="8666"/>
    <cellStyle name="Normal 5 2 2 3 2 2 2 2" xfId="11279"/>
    <cellStyle name="Normal 5 2 2 3 2 2 2 2 2" xfId="25601"/>
    <cellStyle name="Normal 5 2 2 3 2 2 2 3" xfId="24353"/>
    <cellStyle name="Normal 5 2 2 3 2 2 3" xfId="9308"/>
    <cellStyle name="Normal 5 2 2 3 2 2 3 2" xfId="24979"/>
    <cellStyle name="Normal 5 2 2 3 2 2 4" xfId="3556"/>
    <cellStyle name="Normal 5 2 2 3 2 2 5" xfId="21968"/>
    <cellStyle name="Normal 5 2 2 3 2 3" xfId="8385"/>
    <cellStyle name="Normal 5 2 2 3 2 3 2" xfId="10998"/>
    <cellStyle name="Normal 5 2 2 3 2 3 2 2" xfId="25320"/>
    <cellStyle name="Normal 5 2 2 3 2 3 3" xfId="24072"/>
    <cellStyle name="Normal 5 2 2 3 2 4" xfId="8951"/>
    <cellStyle name="Normal 5 2 2 3 2 4 2" xfId="24638"/>
    <cellStyle name="Normal 5 2 2 3 2 5" xfId="3108"/>
    <cellStyle name="Normal 5 2 2 3 2 6" xfId="21967"/>
    <cellStyle name="Normal 5 2 2 3 3" xfId="971"/>
    <cellStyle name="Normal 5 2 2 3 3 2" xfId="8498"/>
    <cellStyle name="Normal 5 2 2 3 3 2 2" xfId="11111"/>
    <cellStyle name="Normal 5 2 2 3 3 2 2 2" xfId="25433"/>
    <cellStyle name="Normal 5 2 2 3 3 2 3" xfId="24185"/>
    <cellStyle name="Normal 5 2 2 3 3 3" xfId="9139"/>
    <cellStyle name="Normal 5 2 2 3 3 3 2" xfId="24811"/>
    <cellStyle name="Normal 5 2 2 3 3 4" xfId="3379"/>
    <cellStyle name="Normal 5 2 2 3 3 5" xfId="21969"/>
    <cellStyle name="Normal 5 2 2 3 4" xfId="8217"/>
    <cellStyle name="Normal 5 2 2 3 4 2" xfId="10830"/>
    <cellStyle name="Normal 5 2 2 3 4 2 2" xfId="25152"/>
    <cellStyle name="Normal 5 2 2 3 4 3" xfId="23904"/>
    <cellStyle name="Normal 5 2 2 3 5" xfId="8783"/>
    <cellStyle name="Normal 5 2 2 3 5 2" xfId="24470"/>
    <cellStyle name="Normal 5 2 2 3 6" xfId="2930"/>
    <cellStyle name="Normal 5 2 2 3 7" xfId="21966"/>
    <cellStyle name="Normal 5 2 2 4" xfId="972"/>
    <cellStyle name="Normal 5 2 2 4 2" xfId="973"/>
    <cellStyle name="Normal 5 2 2 4 2 2" xfId="8554"/>
    <cellStyle name="Normal 5 2 2 4 2 2 2" xfId="11167"/>
    <cellStyle name="Normal 5 2 2 4 2 2 2 2" xfId="25489"/>
    <cellStyle name="Normal 5 2 2 4 2 2 3" xfId="24241"/>
    <cellStyle name="Normal 5 2 2 4 2 3" xfId="9195"/>
    <cellStyle name="Normal 5 2 2 4 2 3 2" xfId="24867"/>
    <cellStyle name="Normal 5 2 2 4 2 4" xfId="3435"/>
    <cellStyle name="Normal 5 2 2 4 2 5" xfId="21971"/>
    <cellStyle name="Normal 5 2 2 4 3" xfId="8273"/>
    <cellStyle name="Normal 5 2 2 4 3 2" xfId="10886"/>
    <cellStyle name="Normal 5 2 2 4 3 2 2" xfId="25208"/>
    <cellStyle name="Normal 5 2 2 4 3 3" xfId="23960"/>
    <cellStyle name="Normal 5 2 2 4 4" xfId="8839"/>
    <cellStyle name="Normal 5 2 2 4 4 2" xfId="24526"/>
    <cellStyle name="Normal 5 2 2 4 5" xfId="2986"/>
    <cellStyle name="Normal 5 2 2 4 6" xfId="21970"/>
    <cellStyle name="Normal 5 2 2 5" xfId="974"/>
    <cellStyle name="Normal 5 2 2 5 2" xfId="975"/>
    <cellStyle name="Normal 5 2 2 5 2 2" xfId="8604"/>
    <cellStyle name="Normal 5 2 2 5 2 2 2" xfId="11217"/>
    <cellStyle name="Normal 5 2 2 5 2 2 2 2" xfId="25539"/>
    <cellStyle name="Normal 5 2 2 5 2 2 3" xfId="24291"/>
    <cellStyle name="Normal 5 2 2 5 2 3" xfId="9246"/>
    <cellStyle name="Normal 5 2 2 5 2 3 2" xfId="24917"/>
    <cellStyle name="Normal 5 2 2 5 2 4" xfId="3493"/>
    <cellStyle name="Normal 5 2 2 5 2 5" xfId="21973"/>
    <cellStyle name="Normal 5 2 2 5 3" xfId="8323"/>
    <cellStyle name="Normal 5 2 2 5 3 2" xfId="10936"/>
    <cellStyle name="Normal 5 2 2 5 3 2 2" xfId="25258"/>
    <cellStyle name="Normal 5 2 2 5 3 3" xfId="24010"/>
    <cellStyle name="Normal 5 2 2 5 4" xfId="8889"/>
    <cellStyle name="Normal 5 2 2 5 4 2" xfId="24576"/>
    <cellStyle name="Normal 5 2 2 5 5" xfId="3046"/>
    <cellStyle name="Normal 5 2 2 5 6" xfId="21972"/>
    <cellStyle name="Normal 5 2 2 6" xfId="976"/>
    <cellStyle name="Normal 5 2 2 6 2" xfId="8447"/>
    <cellStyle name="Normal 5 2 2 6 2 2" xfId="11060"/>
    <cellStyle name="Normal 5 2 2 6 2 2 2" xfId="25382"/>
    <cellStyle name="Normal 5 2 2 6 2 3" xfId="24134"/>
    <cellStyle name="Normal 5 2 2 6 3" xfId="9019"/>
    <cellStyle name="Normal 5 2 2 6 3 2" xfId="24700"/>
    <cellStyle name="Normal 5 2 2 6 4" xfId="3210"/>
    <cellStyle name="Normal 5 2 2 6 5" xfId="21974"/>
    <cellStyle name="Normal 5 2 2 7" xfId="977"/>
    <cellStyle name="Normal 5 2 2 7 2" xfId="8155"/>
    <cellStyle name="Normal 5 2 2 7 2 2" xfId="10768"/>
    <cellStyle name="Normal 5 2 2 7 2 2 2" xfId="25090"/>
    <cellStyle name="Normal 5 2 2 7 2 3" xfId="23842"/>
    <cellStyle name="Normal 5 2 2 7 3" xfId="9077"/>
    <cellStyle name="Normal 5 2 2 7 3 2" xfId="24749"/>
    <cellStyle name="Normal 5 2 2 7 4" xfId="3317"/>
    <cellStyle name="Normal 5 2 2 7 5" xfId="21975"/>
    <cellStyle name="Normal 5 2 2 8" xfId="8106"/>
    <cellStyle name="Normal 5 2 2 8 2" xfId="10719"/>
    <cellStyle name="Normal 5 2 2 8 2 2" xfId="25041"/>
    <cellStyle name="Normal 5 2 2 8 3" xfId="23793"/>
    <cellStyle name="Normal 5 2 2 9" xfId="8721"/>
    <cellStyle name="Normal 5 2 2 9 2" xfId="24408"/>
    <cellStyle name="Normal 5 2 3" xfId="978"/>
    <cellStyle name="Normal 5 2 3 10" xfId="21976"/>
    <cellStyle name="Normal 5 2 3 2" xfId="979"/>
    <cellStyle name="Normal 5 2 3 2 2" xfId="980"/>
    <cellStyle name="Normal 5 2 3 2 2 2" xfId="981"/>
    <cellStyle name="Normal 5 2 3 2 2 2 2" xfId="8678"/>
    <cellStyle name="Normal 5 2 3 2 2 2 2 2" xfId="11291"/>
    <cellStyle name="Normal 5 2 3 2 2 2 2 2 2" xfId="25613"/>
    <cellStyle name="Normal 5 2 3 2 2 2 2 3" xfId="24365"/>
    <cellStyle name="Normal 5 2 3 2 2 2 3" xfId="9320"/>
    <cellStyle name="Normal 5 2 3 2 2 2 3 2" xfId="24991"/>
    <cellStyle name="Normal 5 2 3 2 2 2 4" xfId="3568"/>
    <cellStyle name="Normal 5 2 3 2 2 2 5" xfId="21979"/>
    <cellStyle name="Normal 5 2 3 2 2 3" xfId="8397"/>
    <cellStyle name="Normal 5 2 3 2 2 3 2" xfId="11010"/>
    <cellStyle name="Normal 5 2 3 2 2 3 2 2" xfId="25332"/>
    <cellStyle name="Normal 5 2 3 2 2 3 3" xfId="24084"/>
    <cellStyle name="Normal 5 2 3 2 2 4" xfId="8963"/>
    <cellStyle name="Normal 5 2 3 2 2 4 2" xfId="24650"/>
    <cellStyle name="Normal 5 2 3 2 2 5" xfId="3120"/>
    <cellStyle name="Normal 5 2 3 2 2 6" xfId="21978"/>
    <cellStyle name="Normal 5 2 3 2 3" xfId="982"/>
    <cellStyle name="Normal 5 2 3 2 3 2" xfId="8510"/>
    <cellStyle name="Normal 5 2 3 2 3 2 2" xfId="11123"/>
    <cellStyle name="Normal 5 2 3 2 3 2 2 2" xfId="25445"/>
    <cellStyle name="Normal 5 2 3 2 3 2 3" xfId="24197"/>
    <cellStyle name="Normal 5 2 3 2 3 3" xfId="9151"/>
    <cellStyle name="Normal 5 2 3 2 3 3 2" xfId="24823"/>
    <cellStyle name="Normal 5 2 3 2 3 4" xfId="3391"/>
    <cellStyle name="Normal 5 2 3 2 3 5" xfId="21980"/>
    <cellStyle name="Normal 5 2 3 2 4" xfId="8229"/>
    <cellStyle name="Normal 5 2 3 2 4 2" xfId="10842"/>
    <cellStyle name="Normal 5 2 3 2 4 2 2" xfId="25164"/>
    <cellStyle name="Normal 5 2 3 2 4 3" xfId="23916"/>
    <cellStyle name="Normal 5 2 3 2 5" xfId="8795"/>
    <cellStyle name="Normal 5 2 3 2 5 2" xfId="24482"/>
    <cellStyle name="Normal 5 2 3 2 6" xfId="2942"/>
    <cellStyle name="Normal 5 2 3 2 7" xfId="21977"/>
    <cellStyle name="Normal 5 2 3 3" xfId="983"/>
    <cellStyle name="Normal 5 2 3 3 2" xfId="984"/>
    <cellStyle name="Normal 5 2 3 3 2 2" xfId="8566"/>
    <cellStyle name="Normal 5 2 3 3 2 2 2" xfId="11179"/>
    <cellStyle name="Normal 5 2 3 3 2 2 2 2" xfId="25501"/>
    <cellStyle name="Normal 5 2 3 3 2 2 3" xfId="24253"/>
    <cellStyle name="Normal 5 2 3 3 2 3" xfId="9207"/>
    <cellStyle name="Normal 5 2 3 3 2 3 2" xfId="24879"/>
    <cellStyle name="Normal 5 2 3 3 2 4" xfId="3447"/>
    <cellStyle name="Normal 5 2 3 3 2 5" xfId="21982"/>
    <cellStyle name="Normal 5 2 3 3 3" xfId="8285"/>
    <cellStyle name="Normal 5 2 3 3 3 2" xfId="10898"/>
    <cellStyle name="Normal 5 2 3 3 3 2 2" xfId="25220"/>
    <cellStyle name="Normal 5 2 3 3 3 3" xfId="23972"/>
    <cellStyle name="Normal 5 2 3 3 4" xfId="8851"/>
    <cellStyle name="Normal 5 2 3 3 4 2" xfId="24538"/>
    <cellStyle name="Normal 5 2 3 3 5" xfId="2998"/>
    <cellStyle name="Normal 5 2 3 3 6" xfId="21981"/>
    <cellStyle name="Normal 5 2 3 4" xfId="985"/>
    <cellStyle name="Normal 5 2 3 4 2" xfId="986"/>
    <cellStyle name="Normal 5 2 3 4 2 2" xfId="8620"/>
    <cellStyle name="Normal 5 2 3 4 2 2 2" xfId="11233"/>
    <cellStyle name="Normal 5 2 3 4 2 2 2 2" xfId="25555"/>
    <cellStyle name="Normal 5 2 3 4 2 2 3" xfId="24307"/>
    <cellStyle name="Normal 5 2 3 4 2 3" xfId="9262"/>
    <cellStyle name="Normal 5 2 3 4 2 3 2" xfId="24933"/>
    <cellStyle name="Normal 5 2 3 4 2 4" xfId="3510"/>
    <cellStyle name="Normal 5 2 3 4 2 5" xfId="21984"/>
    <cellStyle name="Normal 5 2 3 4 3" xfId="8339"/>
    <cellStyle name="Normal 5 2 3 4 3 2" xfId="10952"/>
    <cellStyle name="Normal 5 2 3 4 3 2 2" xfId="25274"/>
    <cellStyle name="Normal 5 2 3 4 3 3" xfId="24026"/>
    <cellStyle name="Normal 5 2 3 4 4" xfId="8905"/>
    <cellStyle name="Normal 5 2 3 4 4 2" xfId="24592"/>
    <cellStyle name="Normal 5 2 3 4 5" xfId="3062"/>
    <cellStyle name="Normal 5 2 3 4 6" xfId="21983"/>
    <cellStyle name="Normal 5 2 3 5" xfId="987"/>
    <cellStyle name="Normal 5 2 3 5 2" xfId="8458"/>
    <cellStyle name="Normal 5 2 3 5 2 2" xfId="11071"/>
    <cellStyle name="Normal 5 2 3 5 2 2 2" xfId="25393"/>
    <cellStyle name="Normal 5 2 3 5 2 3" xfId="24145"/>
    <cellStyle name="Normal 5 2 3 5 3" xfId="9030"/>
    <cellStyle name="Normal 5 2 3 5 3 2" xfId="24711"/>
    <cellStyle name="Normal 5 2 3 5 4" xfId="3222"/>
    <cellStyle name="Normal 5 2 3 5 5" xfId="21985"/>
    <cellStyle name="Normal 5 2 3 6" xfId="988"/>
    <cellStyle name="Normal 5 2 3 6 2" xfId="8171"/>
    <cellStyle name="Normal 5 2 3 6 2 2" xfId="10784"/>
    <cellStyle name="Normal 5 2 3 6 2 2 2" xfId="25106"/>
    <cellStyle name="Normal 5 2 3 6 2 3" xfId="23858"/>
    <cellStyle name="Normal 5 2 3 6 3" xfId="9093"/>
    <cellStyle name="Normal 5 2 3 6 3 2" xfId="24765"/>
    <cellStyle name="Normal 5 2 3 6 4" xfId="3333"/>
    <cellStyle name="Normal 5 2 3 6 5" xfId="21986"/>
    <cellStyle name="Normal 5 2 3 7" xfId="8117"/>
    <cellStyle name="Normal 5 2 3 7 2" xfId="10730"/>
    <cellStyle name="Normal 5 2 3 7 2 2" xfId="25052"/>
    <cellStyle name="Normal 5 2 3 7 3" xfId="23804"/>
    <cellStyle name="Normal 5 2 3 8" xfId="8737"/>
    <cellStyle name="Normal 5 2 3 8 2" xfId="24424"/>
    <cellStyle name="Normal 5 2 3 9" xfId="2884"/>
    <cellStyle name="Normal 5 2 4" xfId="989"/>
    <cellStyle name="Normal 5 2 4 2" xfId="990"/>
    <cellStyle name="Normal 5 2 4 2 2" xfId="991"/>
    <cellStyle name="Normal 5 2 4 2 2 2" xfId="8651"/>
    <cellStyle name="Normal 5 2 4 2 2 2 2" xfId="11264"/>
    <cellStyle name="Normal 5 2 4 2 2 2 2 2" xfId="25586"/>
    <cellStyle name="Normal 5 2 4 2 2 2 3" xfId="24338"/>
    <cellStyle name="Normal 5 2 4 2 2 3" xfId="9293"/>
    <cellStyle name="Normal 5 2 4 2 2 3 2" xfId="24964"/>
    <cellStyle name="Normal 5 2 4 2 2 4" xfId="3541"/>
    <cellStyle name="Normal 5 2 4 2 2 5" xfId="21989"/>
    <cellStyle name="Normal 5 2 4 2 3" xfId="8370"/>
    <cellStyle name="Normal 5 2 4 2 3 2" xfId="10983"/>
    <cellStyle name="Normal 5 2 4 2 3 2 2" xfId="25305"/>
    <cellStyle name="Normal 5 2 4 2 3 3" xfId="24057"/>
    <cellStyle name="Normal 5 2 4 2 4" xfId="8936"/>
    <cellStyle name="Normal 5 2 4 2 4 2" xfId="24623"/>
    <cellStyle name="Normal 5 2 4 2 5" xfId="3093"/>
    <cellStyle name="Normal 5 2 4 2 6" xfId="21988"/>
    <cellStyle name="Normal 5 2 4 3" xfId="992"/>
    <cellStyle name="Normal 5 2 4 3 2" xfId="8436"/>
    <cellStyle name="Normal 5 2 4 3 2 2" xfId="11049"/>
    <cellStyle name="Normal 5 2 4 3 2 2 2" xfId="25371"/>
    <cellStyle name="Normal 5 2 4 3 2 3" xfId="24123"/>
    <cellStyle name="Normal 5 2 4 3 3" xfId="9008"/>
    <cellStyle name="Normal 5 2 4 3 3 2" xfId="24689"/>
    <cellStyle name="Normal 5 2 4 3 4" xfId="3199"/>
    <cellStyle name="Normal 5 2 4 3 5" xfId="21990"/>
    <cellStyle name="Normal 5 2 4 4" xfId="993"/>
    <cellStyle name="Normal 5 2 4 4 2" xfId="8202"/>
    <cellStyle name="Normal 5 2 4 4 2 2" xfId="10815"/>
    <cellStyle name="Normal 5 2 4 4 2 2 2" xfId="25137"/>
    <cellStyle name="Normal 5 2 4 4 2 3" xfId="23889"/>
    <cellStyle name="Normal 5 2 4 4 3" xfId="9124"/>
    <cellStyle name="Normal 5 2 4 4 3 2" xfId="24796"/>
    <cellStyle name="Normal 5 2 4 4 4" xfId="3364"/>
    <cellStyle name="Normal 5 2 4 4 5" xfId="21991"/>
    <cellStyle name="Normal 5 2 4 5" xfId="8095"/>
    <cellStyle name="Normal 5 2 4 5 2" xfId="10708"/>
    <cellStyle name="Normal 5 2 4 5 2 2" xfId="25030"/>
    <cellStyle name="Normal 5 2 4 5 3" xfId="23782"/>
    <cellStyle name="Normal 5 2 4 6" xfId="8768"/>
    <cellStyle name="Normal 5 2 4 6 2" xfId="24455"/>
    <cellStyle name="Normal 5 2 4 7" xfId="2915"/>
    <cellStyle name="Normal 5 2 4 8" xfId="21987"/>
    <cellStyle name="Normal 5 2 5" xfId="994"/>
    <cellStyle name="Normal 5 2 5 2" xfId="995"/>
    <cellStyle name="Normal 5 2 5 2 2" xfId="8539"/>
    <cellStyle name="Normal 5 2 5 2 2 2" xfId="11152"/>
    <cellStyle name="Normal 5 2 5 2 2 2 2" xfId="25474"/>
    <cellStyle name="Normal 5 2 5 2 2 3" xfId="24226"/>
    <cellStyle name="Normal 5 2 5 2 3" xfId="9180"/>
    <cellStyle name="Normal 5 2 5 2 3 2" xfId="24852"/>
    <cellStyle name="Normal 5 2 5 2 4" xfId="3420"/>
    <cellStyle name="Normal 5 2 5 2 5" xfId="21993"/>
    <cellStyle name="Normal 5 2 5 3" xfId="8258"/>
    <cellStyle name="Normal 5 2 5 3 2" xfId="10871"/>
    <cellStyle name="Normal 5 2 5 3 2 2" xfId="25193"/>
    <cellStyle name="Normal 5 2 5 3 3" xfId="23945"/>
    <cellStyle name="Normal 5 2 5 4" xfId="8824"/>
    <cellStyle name="Normal 5 2 5 4 2" xfId="24511"/>
    <cellStyle name="Normal 5 2 5 5" xfId="2971"/>
    <cellStyle name="Normal 5 2 5 6" xfId="21992"/>
    <cellStyle name="Normal 5 2 6" xfId="996"/>
    <cellStyle name="Normal 5 2 6 2" xfId="997"/>
    <cellStyle name="Normal 5 2 6 2 2" xfId="8589"/>
    <cellStyle name="Normal 5 2 6 2 2 2" xfId="11202"/>
    <cellStyle name="Normal 5 2 6 2 2 2 2" xfId="25524"/>
    <cellStyle name="Normal 5 2 6 2 2 3" xfId="24276"/>
    <cellStyle name="Normal 5 2 6 2 3" xfId="9231"/>
    <cellStyle name="Normal 5 2 6 2 3 2" xfId="24902"/>
    <cellStyle name="Normal 5 2 6 2 4" xfId="3478"/>
    <cellStyle name="Normal 5 2 6 2 5" xfId="21995"/>
    <cellStyle name="Normal 5 2 6 3" xfId="8308"/>
    <cellStyle name="Normal 5 2 6 3 2" xfId="10921"/>
    <cellStyle name="Normal 5 2 6 3 2 2" xfId="25243"/>
    <cellStyle name="Normal 5 2 6 3 3" xfId="23995"/>
    <cellStyle name="Normal 5 2 6 4" xfId="8874"/>
    <cellStyle name="Normal 5 2 6 4 2" xfId="24561"/>
    <cellStyle name="Normal 5 2 6 5" xfId="3031"/>
    <cellStyle name="Normal 5 2 6 6" xfId="21994"/>
    <cellStyle name="Normal 5 2 7" xfId="998"/>
    <cellStyle name="Normal 5 2 7 2" xfId="8421"/>
    <cellStyle name="Normal 5 2 7 2 2" xfId="11034"/>
    <cellStyle name="Normal 5 2 7 2 2 2" xfId="25356"/>
    <cellStyle name="Normal 5 2 7 2 3" xfId="24108"/>
    <cellStyle name="Normal 5 2 7 3" xfId="8991"/>
    <cellStyle name="Normal 5 2 7 3 2" xfId="24674"/>
    <cellStyle name="Normal 5 2 7 4" xfId="3165"/>
    <cellStyle name="Normal 5 2 7 5" xfId="21996"/>
    <cellStyle name="Normal 5 2 8" xfId="999"/>
    <cellStyle name="Normal 5 2 8 2" xfId="8140"/>
    <cellStyle name="Normal 5 2 8 2 2" xfId="10753"/>
    <cellStyle name="Normal 5 2 8 2 2 2" xfId="25075"/>
    <cellStyle name="Normal 5 2 8 2 3" xfId="23827"/>
    <cellStyle name="Normal 5 2 8 3" xfId="9062"/>
    <cellStyle name="Normal 5 2 8 3 2" xfId="24734"/>
    <cellStyle name="Normal 5 2 8 4" xfId="3302"/>
    <cellStyle name="Normal 5 2 8 5" xfId="21997"/>
    <cellStyle name="Normal 5 2 9" xfId="8080"/>
    <cellStyle name="Normal 5 2 9 2" xfId="10693"/>
    <cellStyle name="Normal 5 2 9 2 2" xfId="25015"/>
    <cellStyle name="Normal 5 2 9 3" xfId="23767"/>
    <cellStyle name="Normal 5 3" xfId="1000"/>
    <cellStyle name="Normal 5 3 10" xfId="2855"/>
    <cellStyle name="Normal 5 3 11" xfId="21998"/>
    <cellStyle name="Normal 5 3 2" xfId="1001"/>
    <cellStyle name="Normal 5 3 2 10" xfId="21999"/>
    <cellStyle name="Normal 5 3 2 2" xfId="1002"/>
    <cellStyle name="Normal 5 3 2 2 2" xfId="1003"/>
    <cellStyle name="Normal 5 3 2 2 2 2" xfId="1004"/>
    <cellStyle name="Normal 5 3 2 2 2 2 2" xfId="8682"/>
    <cellStyle name="Normal 5 3 2 2 2 2 2 2" xfId="11295"/>
    <cellStyle name="Normal 5 3 2 2 2 2 2 2 2" xfId="25617"/>
    <cellStyle name="Normal 5 3 2 2 2 2 2 3" xfId="24369"/>
    <cellStyle name="Normal 5 3 2 2 2 2 3" xfId="9324"/>
    <cellStyle name="Normal 5 3 2 2 2 2 3 2" xfId="24995"/>
    <cellStyle name="Normal 5 3 2 2 2 2 4" xfId="3572"/>
    <cellStyle name="Normal 5 3 2 2 2 2 5" xfId="22002"/>
    <cellStyle name="Normal 5 3 2 2 2 3" xfId="8401"/>
    <cellStyle name="Normal 5 3 2 2 2 3 2" xfId="11014"/>
    <cellStyle name="Normal 5 3 2 2 2 3 2 2" xfId="25336"/>
    <cellStyle name="Normal 5 3 2 2 2 3 3" xfId="24088"/>
    <cellStyle name="Normal 5 3 2 2 2 4" xfId="8967"/>
    <cellStyle name="Normal 5 3 2 2 2 4 2" xfId="24654"/>
    <cellStyle name="Normal 5 3 2 2 2 5" xfId="3124"/>
    <cellStyle name="Normal 5 3 2 2 2 6" xfId="22001"/>
    <cellStyle name="Normal 5 3 2 2 3" xfId="1005"/>
    <cellStyle name="Normal 5 3 2 2 3 2" xfId="8514"/>
    <cellStyle name="Normal 5 3 2 2 3 2 2" xfId="11127"/>
    <cellStyle name="Normal 5 3 2 2 3 2 2 2" xfId="25449"/>
    <cellStyle name="Normal 5 3 2 2 3 2 3" xfId="24201"/>
    <cellStyle name="Normal 5 3 2 2 3 3" xfId="9155"/>
    <cellStyle name="Normal 5 3 2 2 3 3 2" xfId="24827"/>
    <cellStyle name="Normal 5 3 2 2 3 4" xfId="3395"/>
    <cellStyle name="Normal 5 3 2 2 3 5" xfId="22003"/>
    <cellStyle name="Normal 5 3 2 2 4" xfId="8233"/>
    <cellStyle name="Normal 5 3 2 2 4 2" xfId="10846"/>
    <cellStyle name="Normal 5 3 2 2 4 2 2" xfId="25168"/>
    <cellStyle name="Normal 5 3 2 2 4 3" xfId="23920"/>
    <cellStyle name="Normal 5 3 2 2 5" xfId="8799"/>
    <cellStyle name="Normal 5 3 2 2 5 2" xfId="24486"/>
    <cellStyle name="Normal 5 3 2 2 6" xfId="2946"/>
    <cellStyle name="Normal 5 3 2 2 7" xfId="22000"/>
    <cellStyle name="Normal 5 3 2 3" xfId="1006"/>
    <cellStyle name="Normal 5 3 2 3 2" xfId="1007"/>
    <cellStyle name="Normal 5 3 2 3 2 2" xfId="8570"/>
    <cellStyle name="Normal 5 3 2 3 2 2 2" xfId="11183"/>
    <cellStyle name="Normal 5 3 2 3 2 2 2 2" xfId="25505"/>
    <cellStyle name="Normal 5 3 2 3 2 2 3" xfId="24257"/>
    <cellStyle name="Normal 5 3 2 3 2 3" xfId="9211"/>
    <cellStyle name="Normal 5 3 2 3 2 3 2" xfId="24883"/>
    <cellStyle name="Normal 5 3 2 3 2 4" xfId="3451"/>
    <cellStyle name="Normal 5 3 2 3 2 5" xfId="22005"/>
    <cellStyle name="Normal 5 3 2 3 3" xfId="8289"/>
    <cellStyle name="Normal 5 3 2 3 3 2" xfId="10902"/>
    <cellStyle name="Normal 5 3 2 3 3 2 2" xfId="25224"/>
    <cellStyle name="Normal 5 3 2 3 3 3" xfId="23976"/>
    <cellStyle name="Normal 5 3 2 3 4" xfId="8855"/>
    <cellStyle name="Normal 5 3 2 3 4 2" xfId="24542"/>
    <cellStyle name="Normal 5 3 2 3 5" xfId="3002"/>
    <cellStyle name="Normal 5 3 2 3 6" xfId="22004"/>
    <cellStyle name="Normal 5 3 2 4" xfId="1008"/>
    <cellStyle name="Normal 5 3 2 4 2" xfId="1009"/>
    <cellStyle name="Normal 5 3 2 4 2 2" xfId="8625"/>
    <cellStyle name="Normal 5 3 2 4 2 2 2" xfId="11238"/>
    <cellStyle name="Normal 5 3 2 4 2 2 2 2" xfId="25560"/>
    <cellStyle name="Normal 5 3 2 4 2 2 3" xfId="24312"/>
    <cellStyle name="Normal 5 3 2 4 2 3" xfId="9267"/>
    <cellStyle name="Normal 5 3 2 4 2 3 2" xfId="24938"/>
    <cellStyle name="Normal 5 3 2 4 2 4" xfId="3515"/>
    <cellStyle name="Normal 5 3 2 4 2 5" xfId="22007"/>
    <cellStyle name="Normal 5 3 2 4 3" xfId="8344"/>
    <cellStyle name="Normal 5 3 2 4 3 2" xfId="10957"/>
    <cellStyle name="Normal 5 3 2 4 3 2 2" xfId="25279"/>
    <cellStyle name="Normal 5 3 2 4 3 3" xfId="24031"/>
    <cellStyle name="Normal 5 3 2 4 4" xfId="8910"/>
    <cellStyle name="Normal 5 3 2 4 4 2" xfId="24597"/>
    <cellStyle name="Normal 5 3 2 4 5" xfId="3067"/>
    <cellStyle name="Normal 5 3 2 4 6" xfId="22006"/>
    <cellStyle name="Normal 5 3 2 5" xfId="1010"/>
    <cellStyle name="Normal 5 3 2 5 2" xfId="8462"/>
    <cellStyle name="Normal 5 3 2 5 2 2" xfId="11075"/>
    <cellStyle name="Normal 5 3 2 5 2 2 2" xfId="25397"/>
    <cellStyle name="Normal 5 3 2 5 2 3" xfId="24149"/>
    <cellStyle name="Normal 5 3 2 5 3" xfId="9034"/>
    <cellStyle name="Normal 5 3 2 5 3 2" xfId="24715"/>
    <cellStyle name="Normal 5 3 2 5 4" xfId="3226"/>
    <cellStyle name="Normal 5 3 2 5 5" xfId="22008"/>
    <cellStyle name="Normal 5 3 2 6" xfId="1011"/>
    <cellStyle name="Normal 5 3 2 6 2" xfId="8176"/>
    <cellStyle name="Normal 5 3 2 6 2 2" xfId="10789"/>
    <cellStyle name="Normal 5 3 2 6 2 2 2" xfId="25111"/>
    <cellStyle name="Normal 5 3 2 6 2 3" xfId="23863"/>
    <cellStyle name="Normal 5 3 2 6 3" xfId="9098"/>
    <cellStyle name="Normal 5 3 2 6 3 2" xfId="24770"/>
    <cellStyle name="Normal 5 3 2 6 4" xfId="3338"/>
    <cellStyle name="Normal 5 3 2 6 5" xfId="22009"/>
    <cellStyle name="Normal 5 3 2 7" xfId="8121"/>
    <cellStyle name="Normal 5 3 2 7 2" xfId="10734"/>
    <cellStyle name="Normal 5 3 2 7 2 2" xfId="25056"/>
    <cellStyle name="Normal 5 3 2 7 3" xfId="23808"/>
    <cellStyle name="Normal 5 3 2 8" xfId="8742"/>
    <cellStyle name="Normal 5 3 2 8 2" xfId="24429"/>
    <cellStyle name="Normal 5 3 2 9" xfId="2889"/>
    <cellStyle name="Normal 5 3 3" xfId="1012"/>
    <cellStyle name="Normal 5 3 3 2" xfId="1013"/>
    <cellStyle name="Normal 5 3 3 2 2" xfId="1014"/>
    <cellStyle name="Normal 5 3 3 2 2 2" xfId="8656"/>
    <cellStyle name="Normal 5 3 3 2 2 2 2" xfId="11269"/>
    <cellStyle name="Normal 5 3 3 2 2 2 2 2" xfId="25591"/>
    <cellStyle name="Normal 5 3 3 2 2 2 3" xfId="24343"/>
    <cellStyle name="Normal 5 3 3 2 2 3" xfId="9298"/>
    <cellStyle name="Normal 5 3 3 2 2 3 2" xfId="24969"/>
    <cellStyle name="Normal 5 3 3 2 2 4" xfId="3546"/>
    <cellStyle name="Normal 5 3 3 2 2 5" xfId="22012"/>
    <cellStyle name="Normal 5 3 3 2 3" xfId="8375"/>
    <cellStyle name="Normal 5 3 3 2 3 2" xfId="10988"/>
    <cellStyle name="Normal 5 3 3 2 3 2 2" xfId="25310"/>
    <cellStyle name="Normal 5 3 3 2 3 3" xfId="24062"/>
    <cellStyle name="Normal 5 3 3 2 4" xfId="8941"/>
    <cellStyle name="Normal 5 3 3 2 4 2" xfId="24628"/>
    <cellStyle name="Normal 5 3 3 2 5" xfId="3098"/>
    <cellStyle name="Normal 5 3 3 2 6" xfId="22011"/>
    <cellStyle name="Normal 5 3 3 3" xfId="1015"/>
    <cellStyle name="Normal 5 3 3 3 2" xfId="8489"/>
    <cellStyle name="Normal 5 3 3 3 2 2" xfId="11102"/>
    <cellStyle name="Normal 5 3 3 3 2 2 2" xfId="25424"/>
    <cellStyle name="Normal 5 3 3 3 2 3" xfId="24176"/>
    <cellStyle name="Normal 5 3 3 3 3" xfId="9129"/>
    <cellStyle name="Normal 5 3 3 3 3 2" xfId="24801"/>
    <cellStyle name="Normal 5 3 3 3 4" xfId="3369"/>
    <cellStyle name="Normal 5 3 3 3 5" xfId="22013"/>
    <cellStyle name="Normal 5 3 3 4" xfId="8207"/>
    <cellStyle name="Normal 5 3 3 4 2" xfId="10820"/>
    <cellStyle name="Normal 5 3 3 4 2 2" xfId="25142"/>
    <cellStyle name="Normal 5 3 3 4 3" xfId="23894"/>
    <cellStyle name="Normal 5 3 3 5" xfId="8773"/>
    <cellStyle name="Normal 5 3 3 5 2" xfId="24460"/>
    <cellStyle name="Normal 5 3 3 6" xfId="2920"/>
    <cellStyle name="Normal 5 3 3 7" xfId="22010"/>
    <cellStyle name="Normal 5 3 4" xfId="1016"/>
    <cellStyle name="Normal 5 3 4 2" xfId="1017"/>
    <cellStyle name="Normal 5 3 4 2 2" xfId="8544"/>
    <cellStyle name="Normal 5 3 4 2 2 2" xfId="11157"/>
    <cellStyle name="Normal 5 3 4 2 2 2 2" xfId="25479"/>
    <cellStyle name="Normal 5 3 4 2 2 3" xfId="24231"/>
    <cellStyle name="Normal 5 3 4 2 3" xfId="9185"/>
    <cellStyle name="Normal 5 3 4 2 3 2" xfId="24857"/>
    <cellStyle name="Normal 5 3 4 2 4" xfId="3425"/>
    <cellStyle name="Normal 5 3 4 2 5" xfId="22015"/>
    <cellStyle name="Normal 5 3 4 3" xfId="8263"/>
    <cellStyle name="Normal 5 3 4 3 2" xfId="10876"/>
    <cellStyle name="Normal 5 3 4 3 2 2" xfId="25198"/>
    <cellStyle name="Normal 5 3 4 3 3" xfId="23950"/>
    <cellStyle name="Normal 5 3 4 4" xfId="8829"/>
    <cellStyle name="Normal 5 3 4 4 2" xfId="24516"/>
    <cellStyle name="Normal 5 3 4 5" xfId="2976"/>
    <cellStyle name="Normal 5 3 4 6" xfId="22014"/>
    <cellStyle name="Normal 5 3 5" xfId="1018"/>
    <cellStyle name="Normal 5 3 5 2" xfId="1019"/>
    <cellStyle name="Normal 5 3 5 2 2" xfId="8594"/>
    <cellStyle name="Normal 5 3 5 2 2 2" xfId="11207"/>
    <cellStyle name="Normal 5 3 5 2 2 2 2" xfId="25529"/>
    <cellStyle name="Normal 5 3 5 2 2 3" xfId="24281"/>
    <cellStyle name="Normal 5 3 5 2 3" xfId="9236"/>
    <cellStyle name="Normal 5 3 5 2 3 2" xfId="24907"/>
    <cellStyle name="Normal 5 3 5 2 4" xfId="3483"/>
    <cellStyle name="Normal 5 3 5 2 5" xfId="22017"/>
    <cellStyle name="Normal 5 3 5 3" xfId="8313"/>
    <cellStyle name="Normal 5 3 5 3 2" xfId="10926"/>
    <cellStyle name="Normal 5 3 5 3 2 2" xfId="25248"/>
    <cellStyle name="Normal 5 3 5 3 3" xfId="24000"/>
    <cellStyle name="Normal 5 3 5 4" xfId="8879"/>
    <cellStyle name="Normal 5 3 5 4 2" xfId="24566"/>
    <cellStyle name="Normal 5 3 5 5" xfId="3036"/>
    <cellStyle name="Normal 5 3 5 6" xfId="22016"/>
    <cellStyle name="Normal 5 3 6" xfId="1020"/>
    <cellStyle name="Normal 5 3 6 2" xfId="8427"/>
    <cellStyle name="Normal 5 3 6 2 2" xfId="11040"/>
    <cellStyle name="Normal 5 3 6 2 2 2" xfId="25362"/>
    <cellStyle name="Normal 5 3 6 2 3" xfId="24114"/>
    <cellStyle name="Normal 5 3 6 3" xfId="8997"/>
    <cellStyle name="Normal 5 3 6 3 2" xfId="24680"/>
    <cellStyle name="Normal 5 3 6 4" xfId="3171"/>
    <cellStyle name="Normal 5 3 6 5" xfId="22018"/>
    <cellStyle name="Normal 5 3 7" xfId="1021"/>
    <cellStyle name="Normal 5 3 7 2" xfId="8145"/>
    <cellStyle name="Normal 5 3 7 2 2" xfId="10758"/>
    <cellStyle name="Normal 5 3 7 2 2 2" xfId="25080"/>
    <cellStyle name="Normal 5 3 7 2 3" xfId="23832"/>
    <cellStyle name="Normal 5 3 7 3" xfId="9067"/>
    <cellStyle name="Normal 5 3 7 3 2" xfId="24739"/>
    <cellStyle name="Normal 5 3 7 4" xfId="3307"/>
    <cellStyle name="Normal 5 3 7 5" xfId="22019"/>
    <cellStyle name="Normal 5 3 8" xfId="8086"/>
    <cellStyle name="Normal 5 3 8 2" xfId="10699"/>
    <cellStyle name="Normal 5 3 8 2 2" xfId="25021"/>
    <cellStyle name="Normal 5 3 8 3" xfId="23773"/>
    <cellStyle name="Normal 5 3 9" xfId="8711"/>
    <cellStyle name="Normal 5 3 9 2" xfId="24398"/>
    <cellStyle name="Normal 5 4" xfId="1022"/>
    <cellStyle name="Normal 5 4 10" xfId="2860"/>
    <cellStyle name="Normal 5 4 11" xfId="22020"/>
    <cellStyle name="Normal 5 4 2" xfId="1023"/>
    <cellStyle name="Normal 5 4 2 10" xfId="22021"/>
    <cellStyle name="Normal 5 4 2 2" xfId="1024"/>
    <cellStyle name="Normal 5 4 2 2 2" xfId="1025"/>
    <cellStyle name="Normal 5 4 2 2 2 2" xfId="1026"/>
    <cellStyle name="Normal 5 4 2 2 2 2 2" xfId="8687"/>
    <cellStyle name="Normal 5 4 2 2 2 2 2 2" xfId="11300"/>
    <cellStyle name="Normal 5 4 2 2 2 2 2 2 2" xfId="25622"/>
    <cellStyle name="Normal 5 4 2 2 2 2 2 3" xfId="24374"/>
    <cellStyle name="Normal 5 4 2 2 2 2 3" xfId="9329"/>
    <cellStyle name="Normal 5 4 2 2 2 2 3 2" xfId="25000"/>
    <cellStyle name="Normal 5 4 2 2 2 2 4" xfId="3577"/>
    <cellStyle name="Normal 5 4 2 2 2 2 5" xfId="22024"/>
    <cellStyle name="Normal 5 4 2 2 2 3" xfId="8406"/>
    <cellStyle name="Normal 5 4 2 2 2 3 2" xfId="11019"/>
    <cellStyle name="Normal 5 4 2 2 2 3 2 2" xfId="25341"/>
    <cellStyle name="Normal 5 4 2 2 2 3 3" xfId="24093"/>
    <cellStyle name="Normal 5 4 2 2 2 4" xfId="8972"/>
    <cellStyle name="Normal 5 4 2 2 2 4 2" xfId="24659"/>
    <cellStyle name="Normal 5 4 2 2 2 5" xfId="3129"/>
    <cellStyle name="Normal 5 4 2 2 2 6" xfId="22023"/>
    <cellStyle name="Normal 5 4 2 2 3" xfId="1027"/>
    <cellStyle name="Normal 5 4 2 2 3 2" xfId="8519"/>
    <cellStyle name="Normal 5 4 2 2 3 2 2" xfId="11132"/>
    <cellStyle name="Normal 5 4 2 2 3 2 2 2" xfId="25454"/>
    <cellStyle name="Normal 5 4 2 2 3 2 3" xfId="24206"/>
    <cellStyle name="Normal 5 4 2 2 3 3" xfId="9160"/>
    <cellStyle name="Normal 5 4 2 2 3 3 2" xfId="24832"/>
    <cellStyle name="Normal 5 4 2 2 3 4" xfId="3400"/>
    <cellStyle name="Normal 5 4 2 2 3 5" xfId="22025"/>
    <cellStyle name="Normal 5 4 2 2 4" xfId="8238"/>
    <cellStyle name="Normal 5 4 2 2 4 2" xfId="10851"/>
    <cellStyle name="Normal 5 4 2 2 4 2 2" xfId="25173"/>
    <cellStyle name="Normal 5 4 2 2 4 3" xfId="23925"/>
    <cellStyle name="Normal 5 4 2 2 5" xfId="8804"/>
    <cellStyle name="Normal 5 4 2 2 5 2" xfId="24491"/>
    <cellStyle name="Normal 5 4 2 2 6" xfId="2951"/>
    <cellStyle name="Normal 5 4 2 2 7" xfId="22022"/>
    <cellStyle name="Normal 5 4 2 3" xfId="1028"/>
    <cellStyle name="Normal 5 4 2 3 2" xfId="1029"/>
    <cellStyle name="Normal 5 4 2 3 2 2" xfId="8575"/>
    <cellStyle name="Normal 5 4 2 3 2 2 2" xfId="11188"/>
    <cellStyle name="Normal 5 4 2 3 2 2 2 2" xfId="25510"/>
    <cellStyle name="Normal 5 4 2 3 2 2 3" xfId="24262"/>
    <cellStyle name="Normal 5 4 2 3 2 3" xfId="9216"/>
    <cellStyle name="Normal 5 4 2 3 2 3 2" xfId="24888"/>
    <cellStyle name="Normal 5 4 2 3 2 4" xfId="3456"/>
    <cellStyle name="Normal 5 4 2 3 2 5" xfId="22027"/>
    <cellStyle name="Normal 5 4 2 3 3" xfId="8294"/>
    <cellStyle name="Normal 5 4 2 3 3 2" xfId="10907"/>
    <cellStyle name="Normal 5 4 2 3 3 2 2" xfId="25229"/>
    <cellStyle name="Normal 5 4 2 3 3 3" xfId="23981"/>
    <cellStyle name="Normal 5 4 2 3 4" xfId="8860"/>
    <cellStyle name="Normal 5 4 2 3 4 2" xfId="24547"/>
    <cellStyle name="Normal 5 4 2 3 5" xfId="3007"/>
    <cellStyle name="Normal 5 4 2 3 6" xfId="22026"/>
    <cellStyle name="Normal 5 4 2 4" xfId="1030"/>
    <cellStyle name="Normal 5 4 2 4 2" xfId="1031"/>
    <cellStyle name="Normal 5 4 2 4 2 2" xfId="8630"/>
    <cellStyle name="Normal 5 4 2 4 2 2 2" xfId="11243"/>
    <cellStyle name="Normal 5 4 2 4 2 2 2 2" xfId="25565"/>
    <cellStyle name="Normal 5 4 2 4 2 2 3" xfId="24317"/>
    <cellStyle name="Normal 5 4 2 4 2 3" xfId="9272"/>
    <cellStyle name="Normal 5 4 2 4 2 3 2" xfId="24943"/>
    <cellStyle name="Normal 5 4 2 4 2 4" xfId="3520"/>
    <cellStyle name="Normal 5 4 2 4 2 5" xfId="22029"/>
    <cellStyle name="Normal 5 4 2 4 3" xfId="8349"/>
    <cellStyle name="Normal 5 4 2 4 3 2" xfId="10962"/>
    <cellStyle name="Normal 5 4 2 4 3 2 2" xfId="25284"/>
    <cellStyle name="Normal 5 4 2 4 3 3" xfId="24036"/>
    <cellStyle name="Normal 5 4 2 4 4" xfId="8915"/>
    <cellStyle name="Normal 5 4 2 4 4 2" xfId="24602"/>
    <cellStyle name="Normal 5 4 2 4 5" xfId="3072"/>
    <cellStyle name="Normal 5 4 2 4 6" xfId="22028"/>
    <cellStyle name="Normal 5 4 2 5" xfId="1032"/>
    <cellStyle name="Normal 5 4 2 5 2" xfId="8467"/>
    <cellStyle name="Normal 5 4 2 5 2 2" xfId="11080"/>
    <cellStyle name="Normal 5 4 2 5 2 2 2" xfId="25402"/>
    <cellStyle name="Normal 5 4 2 5 2 3" xfId="24154"/>
    <cellStyle name="Normal 5 4 2 5 3" xfId="9039"/>
    <cellStyle name="Normal 5 4 2 5 3 2" xfId="24720"/>
    <cellStyle name="Normal 5 4 2 5 4" xfId="3231"/>
    <cellStyle name="Normal 5 4 2 5 5" xfId="22030"/>
    <cellStyle name="Normal 5 4 2 6" xfId="1033"/>
    <cellStyle name="Normal 5 4 2 6 2" xfId="8181"/>
    <cellStyle name="Normal 5 4 2 6 2 2" xfId="10794"/>
    <cellStyle name="Normal 5 4 2 6 2 2 2" xfId="25116"/>
    <cellStyle name="Normal 5 4 2 6 2 3" xfId="23868"/>
    <cellStyle name="Normal 5 4 2 6 3" xfId="9103"/>
    <cellStyle name="Normal 5 4 2 6 3 2" xfId="24775"/>
    <cellStyle name="Normal 5 4 2 6 4" xfId="3343"/>
    <cellStyle name="Normal 5 4 2 6 5" xfId="22031"/>
    <cellStyle name="Normal 5 4 2 7" xfId="8126"/>
    <cellStyle name="Normal 5 4 2 7 2" xfId="10739"/>
    <cellStyle name="Normal 5 4 2 7 2 2" xfId="25061"/>
    <cellStyle name="Normal 5 4 2 7 3" xfId="23813"/>
    <cellStyle name="Normal 5 4 2 8" xfId="8747"/>
    <cellStyle name="Normal 5 4 2 8 2" xfId="24434"/>
    <cellStyle name="Normal 5 4 2 9" xfId="2894"/>
    <cellStyle name="Normal 5 4 3" xfId="1034"/>
    <cellStyle name="Normal 5 4 3 2" xfId="1035"/>
    <cellStyle name="Normal 5 4 3 2 2" xfId="1036"/>
    <cellStyle name="Normal 5 4 3 2 2 2" xfId="8661"/>
    <cellStyle name="Normal 5 4 3 2 2 2 2" xfId="11274"/>
    <cellStyle name="Normal 5 4 3 2 2 2 2 2" xfId="25596"/>
    <cellStyle name="Normal 5 4 3 2 2 2 3" xfId="24348"/>
    <cellStyle name="Normal 5 4 3 2 2 3" xfId="9303"/>
    <cellStyle name="Normal 5 4 3 2 2 3 2" xfId="24974"/>
    <cellStyle name="Normal 5 4 3 2 2 4" xfId="3551"/>
    <cellStyle name="Normal 5 4 3 2 2 5" xfId="22034"/>
    <cellStyle name="Normal 5 4 3 2 3" xfId="8380"/>
    <cellStyle name="Normal 5 4 3 2 3 2" xfId="10993"/>
    <cellStyle name="Normal 5 4 3 2 3 2 2" xfId="25315"/>
    <cellStyle name="Normal 5 4 3 2 3 3" xfId="24067"/>
    <cellStyle name="Normal 5 4 3 2 4" xfId="8946"/>
    <cellStyle name="Normal 5 4 3 2 4 2" xfId="24633"/>
    <cellStyle name="Normal 5 4 3 2 5" xfId="3103"/>
    <cellStyle name="Normal 5 4 3 2 6" xfId="22033"/>
    <cellStyle name="Normal 5 4 3 3" xfId="1037"/>
    <cellStyle name="Normal 5 4 3 3 2" xfId="8493"/>
    <cellStyle name="Normal 5 4 3 3 2 2" xfId="11106"/>
    <cellStyle name="Normal 5 4 3 3 2 2 2" xfId="25428"/>
    <cellStyle name="Normal 5 4 3 3 2 3" xfId="24180"/>
    <cellStyle name="Normal 5 4 3 3 3" xfId="9134"/>
    <cellStyle name="Normal 5 4 3 3 3 2" xfId="24806"/>
    <cellStyle name="Normal 5 4 3 3 4" xfId="3374"/>
    <cellStyle name="Normal 5 4 3 3 5" xfId="22035"/>
    <cellStyle name="Normal 5 4 3 4" xfId="8212"/>
    <cellStyle name="Normal 5 4 3 4 2" xfId="10825"/>
    <cellStyle name="Normal 5 4 3 4 2 2" xfId="25147"/>
    <cellStyle name="Normal 5 4 3 4 3" xfId="23899"/>
    <cellStyle name="Normal 5 4 3 5" xfId="8778"/>
    <cellStyle name="Normal 5 4 3 5 2" xfId="24465"/>
    <cellStyle name="Normal 5 4 3 6" xfId="2925"/>
    <cellStyle name="Normal 5 4 3 7" xfId="22032"/>
    <cellStyle name="Normal 5 4 4" xfId="1038"/>
    <cellStyle name="Normal 5 4 4 2" xfId="1039"/>
    <cellStyle name="Normal 5 4 4 2 2" xfId="8549"/>
    <cellStyle name="Normal 5 4 4 2 2 2" xfId="11162"/>
    <cellStyle name="Normal 5 4 4 2 2 2 2" xfId="25484"/>
    <cellStyle name="Normal 5 4 4 2 2 3" xfId="24236"/>
    <cellStyle name="Normal 5 4 4 2 3" xfId="9190"/>
    <cellStyle name="Normal 5 4 4 2 3 2" xfId="24862"/>
    <cellStyle name="Normal 5 4 4 2 4" xfId="3430"/>
    <cellStyle name="Normal 5 4 4 2 5" xfId="22037"/>
    <cellStyle name="Normal 5 4 4 3" xfId="8268"/>
    <cellStyle name="Normal 5 4 4 3 2" xfId="10881"/>
    <cellStyle name="Normal 5 4 4 3 2 2" xfId="25203"/>
    <cellStyle name="Normal 5 4 4 3 3" xfId="23955"/>
    <cellStyle name="Normal 5 4 4 4" xfId="8834"/>
    <cellStyle name="Normal 5 4 4 4 2" xfId="24521"/>
    <cellStyle name="Normal 5 4 4 5" xfId="2981"/>
    <cellStyle name="Normal 5 4 4 6" xfId="22036"/>
    <cellStyle name="Normal 5 4 5" xfId="1040"/>
    <cellStyle name="Normal 5 4 5 2" xfId="1041"/>
    <cellStyle name="Normal 5 4 5 2 2" xfId="8599"/>
    <cellStyle name="Normal 5 4 5 2 2 2" xfId="11212"/>
    <cellStyle name="Normal 5 4 5 2 2 2 2" xfId="25534"/>
    <cellStyle name="Normal 5 4 5 2 2 3" xfId="24286"/>
    <cellStyle name="Normal 5 4 5 2 3" xfId="9241"/>
    <cellStyle name="Normal 5 4 5 2 3 2" xfId="24912"/>
    <cellStyle name="Normal 5 4 5 2 4" xfId="3488"/>
    <cellStyle name="Normal 5 4 5 2 5" xfId="22039"/>
    <cellStyle name="Normal 5 4 5 3" xfId="8318"/>
    <cellStyle name="Normal 5 4 5 3 2" xfId="10931"/>
    <cellStyle name="Normal 5 4 5 3 2 2" xfId="25253"/>
    <cellStyle name="Normal 5 4 5 3 3" xfId="24005"/>
    <cellStyle name="Normal 5 4 5 4" xfId="8884"/>
    <cellStyle name="Normal 5 4 5 4 2" xfId="24571"/>
    <cellStyle name="Normal 5 4 5 5" xfId="3041"/>
    <cellStyle name="Normal 5 4 5 6" xfId="22038"/>
    <cellStyle name="Normal 5 4 6" xfId="1042"/>
    <cellStyle name="Normal 5 4 6 2" xfId="8443"/>
    <cellStyle name="Normal 5 4 6 2 2" xfId="11056"/>
    <cellStyle name="Normal 5 4 6 2 2 2" xfId="25378"/>
    <cellStyle name="Normal 5 4 6 2 3" xfId="24130"/>
    <cellStyle name="Normal 5 4 6 3" xfId="9015"/>
    <cellStyle name="Normal 5 4 6 3 2" xfId="24696"/>
    <cellStyle name="Normal 5 4 6 4" xfId="3206"/>
    <cellStyle name="Normal 5 4 6 5" xfId="22040"/>
    <cellStyle name="Normal 5 4 7" xfId="1043"/>
    <cellStyle name="Normal 5 4 7 2" xfId="8150"/>
    <cellStyle name="Normal 5 4 7 2 2" xfId="10763"/>
    <cellStyle name="Normal 5 4 7 2 2 2" xfId="25085"/>
    <cellStyle name="Normal 5 4 7 2 3" xfId="23837"/>
    <cellStyle name="Normal 5 4 7 3" xfId="9072"/>
    <cellStyle name="Normal 5 4 7 3 2" xfId="24744"/>
    <cellStyle name="Normal 5 4 7 4" xfId="3312"/>
    <cellStyle name="Normal 5 4 7 5" xfId="22041"/>
    <cellStyle name="Normal 5 4 8" xfId="8102"/>
    <cellStyle name="Normal 5 4 8 2" xfId="10715"/>
    <cellStyle name="Normal 5 4 8 2 2" xfId="25037"/>
    <cellStyle name="Normal 5 4 8 3" xfId="23789"/>
    <cellStyle name="Normal 5 4 9" xfId="8716"/>
    <cellStyle name="Normal 5 4 9 2" xfId="24403"/>
    <cellStyle name="Normal 5 5" xfId="1044"/>
    <cellStyle name="Normal 5 5 10" xfId="22042"/>
    <cellStyle name="Normal 5 5 2" xfId="1045"/>
    <cellStyle name="Normal 5 5 2 2" xfId="1046"/>
    <cellStyle name="Normal 5 5 2 2 2" xfId="1047"/>
    <cellStyle name="Normal 5 5 2 2 2 2" xfId="8672"/>
    <cellStyle name="Normal 5 5 2 2 2 2 2" xfId="11285"/>
    <cellStyle name="Normal 5 5 2 2 2 2 2 2" xfId="25607"/>
    <cellStyle name="Normal 5 5 2 2 2 2 3" xfId="24359"/>
    <cellStyle name="Normal 5 5 2 2 2 3" xfId="9314"/>
    <cellStyle name="Normal 5 5 2 2 2 3 2" xfId="24985"/>
    <cellStyle name="Normal 5 5 2 2 2 4" xfId="3562"/>
    <cellStyle name="Normal 5 5 2 2 2 5" xfId="22045"/>
    <cellStyle name="Normal 5 5 2 2 3" xfId="8391"/>
    <cellStyle name="Normal 5 5 2 2 3 2" xfId="11004"/>
    <cellStyle name="Normal 5 5 2 2 3 2 2" xfId="25326"/>
    <cellStyle name="Normal 5 5 2 2 3 3" xfId="24078"/>
    <cellStyle name="Normal 5 5 2 2 4" xfId="8957"/>
    <cellStyle name="Normal 5 5 2 2 4 2" xfId="24644"/>
    <cellStyle name="Normal 5 5 2 2 5" xfId="3114"/>
    <cellStyle name="Normal 5 5 2 2 6" xfId="22044"/>
    <cellStyle name="Normal 5 5 2 3" xfId="1048"/>
    <cellStyle name="Normal 5 5 2 3 2" xfId="8504"/>
    <cellStyle name="Normal 5 5 2 3 2 2" xfId="11117"/>
    <cellStyle name="Normal 5 5 2 3 2 2 2" xfId="25439"/>
    <cellStyle name="Normal 5 5 2 3 2 3" xfId="24191"/>
    <cellStyle name="Normal 5 5 2 3 3" xfId="9145"/>
    <cellStyle name="Normal 5 5 2 3 3 2" xfId="24817"/>
    <cellStyle name="Normal 5 5 2 3 4" xfId="3385"/>
    <cellStyle name="Normal 5 5 2 3 5" xfId="22046"/>
    <cellStyle name="Normal 5 5 2 4" xfId="8223"/>
    <cellStyle name="Normal 5 5 2 4 2" xfId="10836"/>
    <cellStyle name="Normal 5 5 2 4 2 2" xfId="25158"/>
    <cellStyle name="Normal 5 5 2 4 3" xfId="23910"/>
    <cellStyle name="Normal 5 5 2 5" xfId="8789"/>
    <cellStyle name="Normal 5 5 2 5 2" xfId="24476"/>
    <cellStyle name="Normal 5 5 2 6" xfId="2936"/>
    <cellStyle name="Normal 5 5 2 7" xfId="22043"/>
    <cellStyle name="Normal 5 5 3" xfId="1049"/>
    <cellStyle name="Normal 5 5 3 2" xfId="1050"/>
    <cellStyle name="Normal 5 5 3 2 2" xfId="8560"/>
    <cellStyle name="Normal 5 5 3 2 2 2" xfId="11173"/>
    <cellStyle name="Normal 5 5 3 2 2 2 2" xfId="25495"/>
    <cellStyle name="Normal 5 5 3 2 2 3" xfId="24247"/>
    <cellStyle name="Normal 5 5 3 2 3" xfId="9201"/>
    <cellStyle name="Normal 5 5 3 2 3 2" xfId="24873"/>
    <cellStyle name="Normal 5 5 3 2 4" xfId="3441"/>
    <cellStyle name="Normal 5 5 3 2 5" xfId="22048"/>
    <cellStyle name="Normal 5 5 3 3" xfId="8279"/>
    <cellStyle name="Normal 5 5 3 3 2" xfId="10892"/>
    <cellStyle name="Normal 5 5 3 3 2 2" xfId="25214"/>
    <cellStyle name="Normal 5 5 3 3 3" xfId="23966"/>
    <cellStyle name="Normal 5 5 3 4" xfId="8845"/>
    <cellStyle name="Normal 5 5 3 4 2" xfId="24532"/>
    <cellStyle name="Normal 5 5 3 5" xfId="2992"/>
    <cellStyle name="Normal 5 5 3 6" xfId="22047"/>
    <cellStyle name="Normal 5 5 4" xfId="1051"/>
    <cellStyle name="Normal 5 5 4 2" xfId="1052"/>
    <cellStyle name="Normal 5 5 4 2 2" xfId="8610"/>
    <cellStyle name="Normal 5 5 4 2 2 2" xfId="11223"/>
    <cellStyle name="Normal 5 5 4 2 2 2 2" xfId="25545"/>
    <cellStyle name="Normal 5 5 4 2 2 3" xfId="24297"/>
    <cellStyle name="Normal 5 5 4 2 3" xfId="9252"/>
    <cellStyle name="Normal 5 5 4 2 3 2" xfId="24923"/>
    <cellStyle name="Normal 5 5 4 2 4" xfId="3499"/>
    <cellStyle name="Normal 5 5 4 2 5" xfId="22050"/>
    <cellStyle name="Normal 5 5 4 3" xfId="8329"/>
    <cellStyle name="Normal 5 5 4 3 2" xfId="10942"/>
    <cellStyle name="Normal 5 5 4 3 2 2" xfId="25264"/>
    <cellStyle name="Normal 5 5 4 3 3" xfId="24016"/>
    <cellStyle name="Normal 5 5 4 4" xfId="8895"/>
    <cellStyle name="Normal 5 5 4 4 2" xfId="24582"/>
    <cellStyle name="Normal 5 5 4 5" xfId="3052"/>
    <cellStyle name="Normal 5 5 4 6" xfId="22049"/>
    <cellStyle name="Normal 5 5 5" xfId="1053"/>
    <cellStyle name="Normal 5 5 5 2" xfId="8453"/>
    <cellStyle name="Normal 5 5 5 2 2" xfId="11066"/>
    <cellStyle name="Normal 5 5 5 2 2 2" xfId="25388"/>
    <cellStyle name="Normal 5 5 5 2 3" xfId="24140"/>
    <cellStyle name="Normal 5 5 5 3" xfId="9025"/>
    <cellStyle name="Normal 5 5 5 3 2" xfId="24706"/>
    <cellStyle name="Normal 5 5 5 4" xfId="3216"/>
    <cellStyle name="Normal 5 5 5 5" xfId="22051"/>
    <cellStyle name="Normal 5 5 6" xfId="1054"/>
    <cellStyle name="Normal 5 5 6 2" xfId="8161"/>
    <cellStyle name="Normal 5 5 6 2 2" xfId="10774"/>
    <cellStyle name="Normal 5 5 6 2 2 2" xfId="25096"/>
    <cellStyle name="Normal 5 5 6 2 3" xfId="23848"/>
    <cellStyle name="Normal 5 5 6 3" xfId="9083"/>
    <cellStyle name="Normal 5 5 6 3 2" xfId="24755"/>
    <cellStyle name="Normal 5 5 6 4" xfId="3323"/>
    <cellStyle name="Normal 5 5 6 5" xfId="22052"/>
    <cellStyle name="Normal 5 5 7" xfId="8112"/>
    <cellStyle name="Normal 5 5 7 2" xfId="10725"/>
    <cellStyle name="Normal 5 5 7 2 2" xfId="25047"/>
    <cellStyle name="Normal 5 5 7 3" xfId="23799"/>
    <cellStyle name="Normal 5 5 8" xfId="8727"/>
    <cellStyle name="Normal 5 5 8 2" xfId="24414"/>
    <cellStyle name="Normal 5 5 9" xfId="2872"/>
    <cellStyle name="Normal 5 6" xfId="1055"/>
    <cellStyle name="Normal 5 6 10" xfId="22053"/>
    <cellStyle name="Normal 5 6 2" xfId="1056"/>
    <cellStyle name="Normal 5 6 2 2" xfId="1057"/>
    <cellStyle name="Normal 5 6 2 2 2" xfId="1058"/>
    <cellStyle name="Normal 5 6 2 2 2 2" xfId="8647"/>
    <cellStyle name="Normal 5 6 2 2 2 2 2" xfId="11260"/>
    <cellStyle name="Normal 5 6 2 2 2 2 2 2" xfId="25582"/>
    <cellStyle name="Normal 5 6 2 2 2 2 3" xfId="24334"/>
    <cellStyle name="Normal 5 6 2 2 2 3" xfId="9289"/>
    <cellStyle name="Normal 5 6 2 2 2 3 2" xfId="24960"/>
    <cellStyle name="Normal 5 6 2 2 2 4" xfId="3537"/>
    <cellStyle name="Normal 5 6 2 2 2 5" xfId="22056"/>
    <cellStyle name="Normal 5 6 2 2 3" xfId="8366"/>
    <cellStyle name="Normal 5 6 2 2 3 2" xfId="10979"/>
    <cellStyle name="Normal 5 6 2 2 3 2 2" xfId="25301"/>
    <cellStyle name="Normal 5 6 2 2 3 3" xfId="24053"/>
    <cellStyle name="Normal 5 6 2 2 4" xfId="8932"/>
    <cellStyle name="Normal 5 6 2 2 4 2" xfId="24619"/>
    <cellStyle name="Normal 5 6 2 2 5" xfId="3089"/>
    <cellStyle name="Normal 5 6 2 2 6" xfId="22055"/>
    <cellStyle name="Normal 5 6 2 3" xfId="1059"/>
    <cellStyle name="Normal 5 6 2 3 2" xfId="8483"/>
    <cellStyle name="Normal 5 6 2 3 2 2" xfId="11096"/>
    <cellStyle name="Normal 5 6 2 3 2 2 2" xfId="25418"/>
    <cellStyle name="Normal 5 6 2 3 2 3" xfId="24170"/>
    <cellStyle name="Normal 5 6 2 3 3" xfId="9120"/>
    <cellStyle name="Normal 5 6 2 3 3 2" xfId="24792"/>
    <cellStyle name="Normal 5 6 2 3 4" xfId="3360"/>
    <cellStyle name="Normal 5 6 2 3 5" xfId="22057"/>
    <cellStyle name="Normal 5 6 2 4" xfId="8198"/>
    <cellStyle name="Normal 5 6 2 4 2" xfId="10811"/>
    <cellStyle name="Normal 5 6 2 4 2 2" xfId="25133"/>
    <cellStyle name="Normal 5 6 2 4 3" xfId="23885"/>
    <cellStyle name="Normal 5 6 2 5" xfId="8764"/>
    <cellStyle name="Normal 5 6 2 5 2" xfId="24451"/>
    <cellStyle name="Normal 5 6 2 6" xfId="2911"/>
    <cellStyle name="Normal 5 6 2 7" xfId="22054"/>
    <cellStyle name="Normal 5 6 3" xfId="1060"/>
    <cellStyle name="Normal 5 6 3 2" xfId="1061"/>
    <cellStyle name="Normal 5 6 3 2 2" xfId="8535"/>
    <cellStyle name="Normal 5 6 3 2 2 2" xfId="11148"/>
    <cellStyle name="Normal 5 6 3 2 2 2 2" xfId="25470"/>
    <cellStyle name="Normal 5 6 3 2 2 3" xfId="24222"/>
    <cellStyle name="Normal 5 6 3 2 3" xfId="9176"/>
    <cellStyle name="Normal 5 6 3 2 3 2" xfId="24848"/>
    <cellStyle name="Normal 5 6 3 2 4" xfId="3416"/>
    <cellStyle name="Normal 5 6 3 2 5" xfId="22059"/>
    <cellStyle name="Normal 5 6 3 3" xfId="8254"/>
    <cellStyle name="Normal 5 6 3 3 2" xfId="10867"/>
    <cellStyle name="Normal 5 6 3 3 2 2" xfId="25189"/>
    <cellStyle name="Normal 5 6 3 3 3" xfId="23941"/>
    <cellStyle name="Normal 5 6 3 4" xfId="8820"/>
    <cellStyle name="Normal 5 6 3 4 2" xfId="24507"/>
    <cellStyle name="Normal 5 6 3 5" xfId="2967"/>
    <cellStyle name="Normal 5 6 3 6" xfId="22058"/>
    <cellStyle name="Normal 5 6 4" xfId="1062"/>
    <cellStyle name="Normal 5 6 4 2" xfId="1063"/>
    <cellStyle name="Normal 5 6 4 2 2" xfId="8616"/>
    <cellStyle name="Normal 5 6 4 2 2 2" xfId="11229"/>
    <cellStyle name="Normal 5 6 4 2 2 2 2" xfId="25551"/>
    <cellStyle name="Normal 5 6 4 2 2 3" xfId="24303"/>
    <cellStyle name="Normal 5 6 4 2 3" xfId="9258"/>
    <cellStyle name="Normal 5 6 4 2 3 2" xfId="24929"/>
    <cellStyle name="Normal 5 6 4 2 4" xfId="3505"/>
    <cellStyle name="Normal 5 6 4 2 5" xfId="22061"/>
    <cellStyle name="Normal 5 6 4 3" xfId="8335"/>
    <cellStyle name="Normal 5 6 4 3 2" xfId="10948"/>
    <cellStyle name="Normal 5 6 4 3 2 2" xfId="25270"/>
    <cellStyle name="Normal 5 6 4 3 3" xfId="24022"/>
    <cellStyle name="Normal 5 6 4 4" xfId="8901"/>
    <cellStyle name="Normal 5 6 4 4 2" xfId="24588"/>
    <cellStyle name="Normal 5 6 4 5" xfId="3058"/>
    <cellStyle name="Normal 5 6 4 6" xfId="22060"/>
    <cellStyle name="Normal 5 6 5" xfId="1064"/>
    <cellStyle name="Normal 5 6 5 2" xfId="8433"/>
    <cellStyle name="Normal 5 6 5 2 2" xfId="11046"/>
    <cellStyle name="Normal 5 6 5 2 2 2" xfId="25368"/>
    <cellStyle name="Normal 5 6 5 2 3" xfId="24120"/>
    <cellStyle name="Normal 5 6 5 3" xfId="9003"/>
    <cellStyle name="Normal 5 6 5 3 2" xfId="24686"/>
    <cellStyle name="Normal 5 6 5 4" xfId="3178"/>
    <cellStyle name="Normal 5 6 5 5" xfId="22062"/>
    <cellStyle name="Normal 5 6 6" xfId="1065"/>
    <cellStyle name="Normal 5 6 6 2" xfId="8167"/>
    <cellStyle name="Normal 5 6 6 2 2" xfId="10780"/>
    <cellStyle name="Normal 5 6 6 2 2 2" xfId="25102"/>
    <cellStyle name="Normal 5 6 6 2 3" xfId="23854"/>
    <cellStyle name="Normal 5 6 6 3" xfId="9089"/>
    <cellStyle name="Normal 5 6 6 3 2" xfId="24761"/>
    <cellStyle name="Normal 5 6 6 4" xfId="3329"/>
    <cellStyle name="Normal 5 6 6 5" xfId="22063"/>
    <cellStyle name="Normal 5 6 7" xfId="8092"/>
    <cellStyle name="Normal 5 6 7 2" xfId="10705"/>
    <cellStyle name="Normal 5 6 7 2 2" xfId="25027"/>
    <cellStyle name="Normal 5 6 7 3" xfId="23779"/>
    <cellStyle name="Normal 5 6 8" xfId="8733"/>
    <cellStyle name="Normal 5 6 8 2" xfId="24420"/>
    <cellStyle name="Normal 5 6 9" xfId="2879"/>
    <cellStyle name="Normal 5 7" xfId="1066"/>
    <cellStyle name="Normal 5 7 2" xfId="1067"/>
    <cellStyle name="Normal 5 7 2 2" xfId="1068"/>
    <cellStyle name="Normal 5 7 2 2 2" xfId="8641"/>
    <cellStyle name="Normal 5 7 2 2 2 2" xfId="11254"/>
    <cellStyle name="Normal 5 7 2 2 2 2 2" xfId="25576"/>
    <cellStyle name="Normal 5 7 2 2 2 3" xfId="24328"/>
    <cellStyle name="Normal 5 7 2 2 3" xfId="9283"/>
    <cellStyle name="Normal 5 7 2 2 3 2" xfId="24954"/>
    <cellStyle name="Normal 5 7 2 2 4" xfId="3531"/>
    <cellStyle name="Normal 5 7 2 2 5" xfId="22066"/>
    <cellStyle name="Normal 5 7 2 3" xfId="8360"/>
    <cellStyle name="Normal 5 7 2 3 2" xfId="10973"/>
    <cellStyle name="Normal 5 7 2 3 2 2" xfId="25295"/>
    <cellStyle name="Normal 5 7 2 3 3" xfId="24047"/>
    <cellStyle name="Normal 5 7 2 4" xfId="8926"/>
    <cellStyle name="Normal 5 7 2 4 2" xfId="24613"/>
    <cellStyle name="Normal 5 7 2 5" xfId="3083"/>
    <cellStyle name="Normal 5 7 2 6" xfId="22065"/>
    <cellStyle name="Normal 5 7 3" xfId="1069"/>
    <cellStyle name="Normal 5 7 3 2" xfId="8477"/>
    <cellStyle name="Normal 5 7 3 2 2" xfId="11090"/>
    <cellStyle name="Normal 5 7 3 2 2 2" xfId="25412"/>
    <cellStyle name="Normal 5 7 3 2 3" xfId="24164"/>
    <cellStyle name="Normal 5 7 3 3" xfId="9114"/>
    <cellStyle name="Normal 5 7 3 3 2" xfId="24786"/>
    <cellStyle name="Normal 5 7 3 4" xfId="3354"/>
    <cellStyle name="Normal 5 7 3 5" xfId="22067"/>
    <cellStyle name="Normal 5 7 4" xfId="8192"/>
    <cellStyle name="Normal 5 7 4 2" xfId="10805"/>
    <cellStyle name="Normal 5 7 4 2 2" xfId="25127"/>
    <cellStyle name="Normal 5 7 4 3" xfId="23879"/>
    <cellStyle name="Normal 5 7 5" xfId="8758"/>
    <cellStyle name="Normal 5 7 5 2" xfId="24445"/>
    <cellStyle name="Normal 5 7 6" xfId="2905"/>
    <cellStyle name="Normal 5 7 7" xfId="22064"/>
    <cellStyle name="Normal 5 8" xfId="1070"/>
    <cellStyle name="Normal 5 8 2" xfId="1071"/>
    <cellStyle name="Normal 5 8 2 2" xfId="8529"/>
    <cellStyle name="Normal 5 8 2 2 2" xfId="11142"/>
    <cellStyle name="Normal 5 8 2 2 2 2" xfId="25464"/>
    <cellStyle name="Normal 5 8 2 2 3" xfId="24216"/>
    <cellStyle name="Normal 5 8 2 3" xfId="9170"/>
    <cellStyle name="Normal 5 8 2 3 2" xfId="24842"/>
    <cellStyle name="Normal 5 8 2 4" xfId="3410"/>
    <cellStyle name="Normal 5 8 2 5" xfId="22069"/>
    <cellStyle name="Normal 5 8 3" xfId="8248"/>
    <cellStyle name="Normal 5 8 3 2" xfId="10861"/>
    <cellStyle name="Normal 5 8 3 2 2" xfId="25183"/>
    <cellStyle name="Normal 5 8 3 3" xfId="23935"/>
    <cellStyle name="Normal 5 8 4" xfId="8814"/>
    <cellStyle name="Normal 5 8 4 2" xfId="24501"/>
    <cellStyle name="Normal 5 8 5" xfId="2961"/>
    <cellStyle name="Normal 5 8 6" xfId="22068"/>
    <cellStyle name="Normal 5 9" xfId="1072"/>
    <cellStyle name="Normal 5 9 2" xfId="1073"/>
    <cellStyle name="Normal 5 9 2 2" xfId="8585"/>
    <cellStyle name="Normal 5 9 2 2 2" xfId="11198"/>
    <cellStyle name="Normal 5 9 2 2 2 2" xfId="25520"/>
    <cellStyle name="Normal 5 9 2 2 3" xfId="24272"/>
    <cellStyle name="Normal 5 9 2 3" xfId="9226"/>
    <cellStyle name="Normal 5 9 2 3 2" xfId="24898"/>
    <cellStyle name="Normal 5 9 2 4" xfId="3472"/>
    <cellStyle name="Normal 5 9 2 5" xfId="22071"/>
    <cellStyle name="Normal 5 9 3" xfId="8304"/>
    <cellStyle name="Normal 5 9 3 2" xfId="10917"/>
    <cellStyle name="Normal 5 9 3 2 2" xfId="25239"/>
    <cellStyle name="Normal 5 9 3 3" xfId="23991"/>
    <cellStyle name="Normal 5 9 4" xfId="8870"/>
    <cellStyle name="Normal 5 9 4 2" xfId="24557"/>
    <cellStyle name="Normal 5 9 5" xfId="3022"/>
    <cellStyle name="Normal 5 9 6" xfId="22070"/>
    <cellStyle name="Normal 6" xfId="1074"/>
    <cellStyle name="Normal 6 10" xfId="1075"/>
    <cellStyle name="Normal 6 10 2" xfId="8417"/>
    <cellStyle name="Normal 6 10 2 2" xfId="11030"/>
    <cellStyle name="Normal 6 10 2 2 2" xfId="25352"/>
    <cellStyle name="Normal 6 10 2 3" xfId="24104"/>
    <cellStyle name="Normal 6 10 3" xfId="8987"/>
    <cellStyle name="Normal 6 10 3 2" xfId="24670"/>
    <cellStyle name="Normal 6 10 4" xfId="3160"/>
    <cellStyle name="Normal 6 10 5" xfId="22073"/>
    <cellStyle name="Normal 6 11" xfId="1076"/>
    <cellStyle name="Normal 6 11 2" xfId="8137"/>
    <cellStyle name="Normal 6 11 2 2" xfId="10750"/>
    <cellStyle name="Normal 6 11 2 2 2" xfId="25072"/>
    <cellStyle name="Normal 6 11 2 3" xfId="23824"/>
    <cellStyle name="Normal 6 11 3" xfId="9059"/>
    <cellStyle name="Normal 6 11 3 2" xfId="24731"/>
    <cellStyle name="Normal 6 11 4" xfId="3299"/>
    <cellStyle name="Normal 6 11 5" xfId="22074"/>
    <cellStyle name="Normal 6 12" xfId="8076"/>
    <cellStyle name="Normal 6 12 2" xfId="10689"/>
    <cellStyle name="Normal 6 12 2 2" xfId="25011"/>
    <cellStyle name="Normal 6 12 3" xfId="23763"/>
    <cellStyle name="Normal 6 13" xfId="8698"/>
    <cellStyle name="Normal 6 13 2" xfId="11311"/>
    <cellStyle name="Normal 6 13 2 2" xfId="25633"/>
    <cellStyle name="Normal 6 13 3" xfId="24385"/>
    <cellStyle name="Normal 6 14" xfId="8703"/>
    <cellStyle name="Normal 6 14 2" xfId="24390"/>
    <cellStyle name="Normal 6 15" xfId="2804"/>
    <cellStyle name="Normal 6 16" xfId="22072"/>
    <cellStyle name="Normal 6 2" xfId="1077"/>
    <cellStyle name="Normal 6 2 10" xfId="8707"/>
    <cellStyle name="Normal 6 2 10 2" xfId="24394"/>
    <cellStyle name="Normal 6 2 11" xfId="2851"/>
    <cellStyle name="Normal 6 2 12" xfId="22075"/>
    <cellStyle name="Normal 6 2 2" xfId="1078"/>
    <cellStyle name="Normal 6 2 2 10" xfId="2867"/>
    <cellStyle name="Normal 6 2 2 11" xfId="22076"/>
    <cellStyle name="Normal 6 2 2 2" xfId="1079"/>
    <cellStyle name="Normal 6 2 2 2 10" xfId="22077"/>
    <cellStyle name="Normal 6 2 2 2 2" xfId="1080"/>
    <cellStyle name="Normal 6 2 2 2 2 2" xfId="1081"/>
    <cellStyle name="Normal 6 2 2 2 2 2 2" xfId="1082"/>
    <cellStyle name="Normal 6 2 2 2 2 2 2 2" xfId="8693"/>
    <cellStyle name="Normal 6 2 2 2 2 2 2 2 2" xfId="11306"/>
    <cellStyle name="Normal 6 2 2 2 2 2 2 2 2 2" xfId="25628"/>
    <cellStyle name="Normal 6 2 2 2 2 2 2 2 3" xfId="24380"/>
    <cellStyle name="Normal 6 2 2 2 2 2 2 3" xfId="9335"/>
    <cellStyle name="Normal 6 2 2 2 2 2 2 3 2" xfId="25006"/>
    <cellStyle name="Normal 6 2 2 2 2 2 2 4" xfId="3583"/>
    <cellStyle name="Normal 6 2 2 2 2 2 2 5" xfId="22080"/>
    <cellStyle name="Normal 6 2 2 2 2 2 3" xfId="8412"/>
    <cellStyle name="Normal 6 2 2 2 2 2 3 2" xfId="11025"/>
    <cellStyle name="Normal 6 2 2 2 2 2 3 2 2" xfId="25347"/>
    <cellStyle name="Normal 6 2 2 2 2 2 3 3" xfId="24099"/>
    <cellStyle name="Normal 6 2 2 2 2 2 4" xfId="8978"/>
    <cellStyle name="Normal 6 2 2 2 2 2 4 2" xfId="24665"/>
    <cellStyle name="Normal 6 2 2 2 2 2 5" xfId="3135"/>
    <cellStyle name="Normal 6 2 2 2 2 2 6" xfId="22079"/>
    <cellStyle name="Normal 6 2 2 2 2 3" xfId="1083"/>
    <cellStyle name="Normal 6 2 2 2 2 3 2" xfId="8525"/>
    <cellStyle name="Normal 6 2 2 2 2 3 2 2" xfId="11138"/>
    <cellStyle name="Normal 6 2 2 2 2 3 2 2 2" xfId="25460"/>
    <cellStyle name="Normal 6 2 2 2 2 3 2 3" xfId="24212"/>
    <cellStyle name="Normal 6 2 2 2 2 3 3" xfId="9166"/>
    <cellStyle name="Normal 6 2 2 2 2 3 3 2" xfId="24838"/>
    <cellStyle name="Normal 6 2 2 2 2 3 4" xfId="3406"/>
    <cellStyle name="Normal 6 2 2 2 2 3 5" xfId="22081"/>
    <cellStyle name="Normal 6 2 2 2 2 4" xfId="8244"/>
    <cellStyle name="Normal 6 2 2 2 2 4 2" xfId="10857"/>
    <cellStyle name="Normal 6 2 2 2 2 4 2 2" xfId="25179"/>
    <cellStyle name="Normal 6 2 2 2 2 4 3" xfId="23931"/>
    <cellStyle name="Normal 6 2 2 2 2 5" xfId="8810"/>
    <cellStyle name="Normal 6 2 2 2 2 5 2" xfId="24497"/>
    <cellStyle name="Normal 6 2 2 2 2 6" xfId="2957"/>
    <cellStyle name="Normal 6 2 2 2 2 7" xfId="22078"/>
    <cellStyle name="Normal 6 2 2 2 3" xfId="1084"/>
    <cellStyle name="Normal 6 2 2 2 3 2" xfId="1085"/>
    <cellStyle name="Normal 6 2 2 2 3 2 2" xfId="8581"/>
    <cellStyle name="Normal 6 2 2 2 3 2 2 2" xfId="11194"/>
    <cellStyle name="Normal 6 2 2 2 3 2 2 2 2" xfId="25516"/>
    <cellStyle name="Normal 6 2 2 2 3 2 2 3" xfId="24268"/>
    <cellStyle name="Normal 6 2 2 2 3 2 3" xfId="9222"/>
    <cellStyle name="Normal 6 2 2 2 3 2 3 2" xfId="24894"/>
    <cellStyle name="Normal 6 2 2 2 3 2 4" xfId="3462"/>
    <cellStyle name="Normal 6 2 2 2 3 2 5" xfId="22083"/>
    <cellStyle name="Normal 6 2 2 2 3 3" xfId="8300"/>
    <cellStyle name="Normal 6 2 2 2 3 3 2" xfId="10913"/>
    <cellStyle name="Normal 6 2 2 2 3 3 2 2" xfId="25235"/>
    <cellStyle name="Normal 6 2 2 2 3 3 3" xfId="23987"/>
    <cellStyle name="Normal 6 2 2 2 3 4" xfId="8866"/>
    <cellStyle name="Normal 6 2 2 2 3 4 2" xfId="24553"/>
    <cellStyle name="Normal 6 2 2 2 3 5" xfId="3013"/>
    <cellStyle name="Normal 6 2 2 2 3 6" xfId="22082"/>
    <cellStyle name="Normal 6 2 2 2 4" xfId="1086"/>
    <cellStyle name="Normal 6 2 2 2 4 2" xfId="1087"/>
    <cellStyle name="Normal 6 2 2 2 4 2 2" xfId="8636"/>
    <cellStyle name="Normal 6 2 2 2 4 2 2 2" xfId="11249"/>
    <cellStyle name="Normal 6 2 2 2 4 2 2 2 2" xfId="25571"/>
    <cellStyle name="Normal 6 2 2 2 4 2 2 3" xfId="24323"/>
    <cellStyle name="Normal 6 2 2 2 4 2 3" xfId="9278"/>
    <cellStyle name="Normal 6 2 2 2 4 2 3 2" xfId="24949"/>
    <cellStyle name="Normal 6 2 2 2 4 2 4" xfId="3526"/>
    <cellStyle name="Normal 6 2 2 2 4 2 5" xfId="22085"/>
    <cellStyle name="Normal 6 2 2 2 4 3" xfId="8355"/>
    <cellStyle name="Normal 6 2 2 2 4 3 2" xfId="10968"/>
    <cellStyle name="Normal 6 2 2 2 4 3 2 2" xfId="25290"/>
    <cellStyle name="Normal 6 2 2 2 4 3 3" xfId="24042"/>
    <cellStyle name="Normal 6 2 2 2 4 4" xfId="8921"/>
    <cellStyle name="Normal 6 2 2 2 4 4 2" xfId="24608"/>
    <cellStyle name="Normal 6 2 2 2 4 5" xfId="3078"/>
    <cellStyle name="Normal 6 2 2 2 4 6" xfId="22084"/>
    <cellStyle name="Normal 6 2 2 2 5" xfId="1088"/>
    <cellStyle name="Normal 6 2 2 2 5 2" xfId="8473"/>
    <cellStyle name="Normal 6 2 2 2 5 2 2" xfId="11086"/>
    <cellStyle name="Normal 6 2 2 2 5 2 2 2" xfId="25408"/>
    <cellStyle name="Normal 6 2 2 2 5 2 3" xfId="24160"/>
    <cellStyle name="Normal 6 2 2 2 5 3" xfId="9045"/>
    <cellStyle name="Normal 6 2 2 2 5 3 2" xfId="24726"/>
    <cellStyle name="Normal 6 2 2 2 5 4" xfId="3237"/>
    <cellStyle name="Normal 6 2 2 2 5 5" xfId="22086"/>
    <cellStyle name="Normal 6 2 2 2 6" xfId="1089"/>
    <cellStyle name="Normal 6 2 2 2 6 2" xfId="8187"/>
    <cellStyle name="Normal 6 2 2 2 6 2 2" xfId="10800"/>
    <cellStyle name="Normal 6 2 2 2 6 2 2 2" xfId="25122"/>
    <cellStyle name="Normal 6 2 2 2 6 2 3" xfId="23874"/>
    <cellStyle name="Normal 6 2 2 2 6 3" xfId="9109"/>
    <cellStyle name="Normal 6 2 2 2 6 3 2" xfId="24781"/>
    <cellStyle name="Normal 6 2 2 2 6 4" xfId="3349"/>
    <cellStyle name="Normal 6 2 2 2 6 5" xfId="22087"/>
    <cellStyle name="Normal 6 2 2 2 7" xfId="8132"/>
    <cellStyle name="Normal 6 2 2 2 7 2" xfId="10745"/>
    <cellStyle name="Normal 6 2 2 2 7 2 2" xfId="25067"/>
    <cellStyle name="Normal 6 2 2 2 7 3" xfId="23819"/>
    <cellStyle name="Normal 6 2 2 2 8" xfId="8753"/>
    <cellStyle name="Normal 6 2 2 2 8 2" xfId="24440"/>
    <cellStyle name="Normal 6 2 2 2 9" xfId="2900"/>
    <cellStyle name="Normal 6 2 2 3" xfId="1090"/>
    <cellStyle name="Normal 6 2 2 3 2" xfId="1091"/>
    <cellStyle name="Normal 6 2 2 3 2 2" xfId="1092"/>
    <cellStyle name="Normal 6 2 2 3 2 2 2" xfId="8667"/>
    <cellStyle name="Normal 6 2 2 3 2 2 2 2" xfId="11280"/>
    <cellStyle name="Normal 6 2 2 3 2 2 2 2 2" xfId="25602"/>
    <cellStyle name="Normal 6 2 2 3 2 2 2 3" xfId="24354"/>
    <cellStyle name="Normal 6 2 2 3 2 2 3" xfId="9309"/>
    <cellStyle name="Normal 6 2 2 3 2 2 3 2" xfId="24980"/>
    <cellStyle name="Normal 6 2 2 3 2 2 4" xfId="3557"/>
    <cellStyle name="Normal 6 2 2 3 2 2 5" xfId="22090"/>
    <cellStyle name="Normal 6 2 2 3 2 3" xfId="8386"/>
    <cellStyle name="Normal 6 2 2 3 2 3 2" xfId="10999"/>
    <cellStyle name="Normal 6 2 2 3 2 3 2 2" xfId="25321"/>
    <cellStyle name="Normal 6 2 2 3 2 3 3" xfId="24073"/>
    <cellStyle name="Normal 6 2 2 3 2 4" xfId="8952"/>
    <cellStyle name="Normal 6 2 2 3 2 4 2" xfId="24639"/>
    <cellStyle name="Normal 6 2 2 3 2 5" xfId="3109"/>
    <cellStyle name="Normal 6 2 2 3 2 6" xfId="22089"/>
    <cellStyle name="Normal 6 2 2 3 3" xfId="1093"/>
    <cellStyle name="Normal 6 2 2 3 3 2" xfId="8499"/>
    <cellStyle name="Normal 6 2 2 3 3 2 2" xfId="11112"/>
    <cellStyle name="Normal 6 2 2 3 3 2 2 2" xfId="25434"/>
    <cellStyle name="Normal 6 2 2 3 3 2 3" xfId="24186"/>
    <cellStyle name="Normal 6 2 2 3 3 3" xfId="9140"/>
    <cellStyle name="Normal 6 2 2 3 3 3 2" xfId="24812"/>
    <cellStyle name="Normal 6 2 2 3 3 4" xfId="3380"/>
    <cellStyle name="Normal 6 2 2 3 3 5" xfId="22091"/>
    <cellStyle name="Normal 6 2 2 3 4" xfId="8218"/>
    <cellStyle name="Normal 6 2 2 3 4 2" xfId="10831"/>
    <cellStyle name="Normal 6 2 2 3 4 2 2" xfId="25153"/>
    <cellStyle name="Normal 6 2 2 3 4 3" xfId="23905"/>
    <cellStyle name="Normal 6 2 2 3 5" xfId="8784"/>
    <cellStyle name="Normal 6 2 2 3 5 2" xfId="24471"/>
    <cellStyle name="Normal 6 2 2 3 6" xfId="2931"/>
    <cellStyle name="Normal 6 2 2 3 7" xfId="22088"/>
    <cellStyle name="Normal 6 2 2 4" xfId="1094"/>
    <cellStyle name="Normal 6 2 2 4 2" xfId="1095"/>
    <cellStyle name="Normal 6 2 2 4 2 2" xfId="8555"/>
    <cellStyle name="Normal 6 2 2 4 2 2 2" xfId="11168"/>
    <cellStyle name="Normal 6 2 2 4 2 2 2 2" xfId="25490"/>
    <cellStyle name="Normal 6 2 2 4 2 2 3" xfId="24242"/>
    <cellStyle name="Normal 6 2 2 4 2 3" xfId="9196"/>
    <cellStyle name="Normal 6 2 2 4 2 3 2" xfId="24868"/>
    <cellStyle name="Normal 6 2 2 4 2 4" xfId="3436"/>
    <cellStyle name="Normal 6 2 2 4 2 5" xfId="22093"/>
    <cellStyle name="Normal 6 2 2 4 3" xfId="8274"/>
    <cellStyle name="Normal 6 2 2 4 3 2" xfId="10887"/>
    <cellStyle name="Normal 6 2 2 4 3 2 2" xfId="25209"/>
    <cellStyle name="Normal 6 2 2 4 3 3" xfId="23961"/>
    <cellStyle name="Normal 6 2 2 4 4" xfId="8840"/>
    <cellStyle name="Normal 6 2 2 4 4 2" xfId="24527"/>
    <cellStyle name="Normal 6 2 2 4 5" xfId="2987"/>
    <cellStyle name="Normal 6 2 2 4 6" xfId="22092"/>
    <cellStyle name="Normal 6 2 2 5" xfId="1096"/>
    <cellStyle name="Normal 6 2 2 5 2" xfId="1097"/>
    <cellStyle name="Normal 6 2 2 5 2 2" xfId="8605"/>
    <cellStyle name="Normal 6 2 2 5 2 2 2" xfId="11218"/>
    <cellStyle name="Normal 6 2 2 5 2 2 2 2" xfId="25540"/>
    <cellStyle name="Normal 6 2 2 5 2 2 3" xfId="24292"/>
    <cellStyle name="Normal 6 2 2 5 2 3" xfId="9247"/>
    <cellStyle name="Normal 6 2 2 5 2 3 2" xfId="24918"/>
    <cellStyle name="Normal 6 2 2 5 2 4" xfId="3494"/>
    <cellStyle name="Normal 6 2 2 5 2 5" xfId="22095"/>
    <cellStyle name="Normal 6 2 2 5 3" xfId="8324"/>
    <cellStyle name="Normal 6 2 2 5 3 2" xfId="10937"/>
    <cellStyle name="Normal 6 2 2 5 3 2 2" xfId="25259"/>
    <cellStyle name="Normal 6 2 2 5 3 3" xfId="24011"/>
    <cellStyle name="Normal 6 2 2 5 4" xfId="8890"/>
    <cellStyle name="Normal 6 2 2 5 4 2" xfId="24577"/>
    <cellStyle name="Normal 6 2 2 5 5" xfId="3047"/>
    <cellStyle name="Normal 6 2 2 5 6" xfId="22094"/>
    <cellStyle name="Normal 6 2 2 6" xfId="1098"/>
    <cellStyle name="Normal 6 2 2 6 2" xfId="8448"/>
    <cellStyle name="Normal 6 2 2 6 2 2" xfId="11061"/>
    <cellStyle name="Normal 6 2 2 6 2 2 2" xfId="25383"/>
    <cellStyle name="Normal 6 2 2 6 2 3" xfId="24135"/>
    <cellStyle name="Normal 6 2 2 6 3" xfId="9020"/>
    <cellStyle name="Normal 6 2 2 6 3 2" xfId="24701"/>
    <cellStyle name="Normal 6 2 2 6 4" xfId="3211"/>
    <cellStyle name="Normal 6 2 2 6 5" xfId="22096"/>
    <cellStyle name="Normal 6 2 2 7" xfId="1099"/>
    <cellStyle name="Normal 6 2 2 7 2" xfId="8156"/>
    <cellStyle name="Normal 6 2 2 7 2 2" xfId="10769"/>
    <cellStyle name="Normal 6 2 2 7 2 2 2" xfId="25091"/>
    <cellStyle name="Normal 6 2 2 7 2 3" xfId="23843"/>
    <cellStyle name="Normal 6 2 2 7 3" xfId="9078"/>
    <cellStyle name="Normal 6 2 2 7 3 2" xfId="24750"/>
    <cellStyle name="Normal 6 2 2 7 4" xfId="3318"/>
    <cellStyle name="Normal 6 2 2 7 5" xfId="22097"/>
    <cellStyle name="Normal 6 2 2 8" xfId="8107"/>
    <cellStyle name="Normal 6 2 2 8 2" xfId="10720"/>
    <cellStyle name="Normal 6 2 2 8 2 2" xfId="25042"/>
    <cellStyle name="Normal 6 2 2 8 3" xfId="23794"/>
    <cellStyle name="Normal 6 2 2 9" xfId="8722"/>
    <cellStyle name="Normal 6 2 2 9 2" xfId="24409"/>
    <cellStyle name="Normal 6 2 3" xfId="1100"/>
    <cellStyle name="Normal 6 2 3 10" xfId="22098"/>
    <cellStyle name="Normal 6 2 3 2" xfId="1101"/>
    <cellStyle name="Normal 6 2 3 2 2" xfId="1102"/>
    <cellStyle name="Normal 6 2 3 2 2 2" xfId="1103"/>
    <cellStyle name="Normal 6 2 3 2 2 2 2" xfId="8679"/>
    <cellStyle name="Normal 6 2 3 2 2 2 2 2" xfId="11292"/>
    <cellStyle name="Normal 6 2 3 2 2 2 2 2 2" xfId="25614"/>
    <cellStyle name="Normal 6 2 3 2 2 2 2 3" xfId="24366"/>
    <cellStyle name="Normal 6 2 3 2 2 2 3" xfId="9321"/>
    <cellStyle name="Normal 6 2 3 2 2 2 3 2" xfId="24992"/>
    <cellStyle name="Normal 6 2 3 2 2 2 4" xfId="3569"/>
    <cellStyle name="Normal 6 2 3 2 2 2 5" xfId="22101"/>
    <cellStyle name="Normal 6 2 3 2 2 3" xfId="8398"/>
    <cellStyle name="Normal 6 2 3 2 2 3 2" xfId="11011"/>
    <cellStyle name="Normal 6 2 3 2 2 3 2 2" xfId="25333"/>
    <cellStyle name="Normal 6 2 3 2 2 3 3" xfId="24085"/>
    <cellStyle name="Normal 6 2 3 2 2 4" xfId="8964"/>
    <cellStyle name="Normal 6 2 3 2 2 4 2" xfId="24651"/>
    <cellStyle name="Normal 6 2 3 2 2 5" xfId="3121"/>
    <cellStyle name="Normal 6 2 3 2 2 6" xfId="22100"/>
    <cellStyle name="Normal 6 2 3 2 3" xfId="1104"/>
    <cellStyle name="Normal 6 2 3 2 3 2" xfId="8511"/>
    <cellStyle name="Normal 6 2 3 2 3 2 2" xfId="11124"/>
    <cellStyle name="Normal 6 2 3 2 3 2 2 2" xfId="25446"/>
    <cellStyle name="Normal 6 2 3 2 3 2 3" xfId="24198"/>
    <cellStyle name="Normal 6 2 3 2 3 3" xfId="9152"/>
    <cellStyle name="Normal 6 2 3 2 3 3 2" xfId="24824"/>
    <cellStyle name="Normal 6 2 3 2 3 4" xfId="3392"/>
    <cellStyle name="Normal 6 2 3 2 3 5" xfId="22102"/>
    <cellStyle name="Normal 6 2 3 2 4" xfId="8230"/>
    <cellStyle name="Normal 6 2 3 2 4 2" xfId="10843"/>
    <cellStyle name="Normal 6 2 3 2 4 2 2" xfId="25165"/>
    <cellStyle name="Normal 6 2 3 2 4 3" xfId="23917"/>
    <cellStyle name="Normal 6 2 3 2 5" xfId="8796"/>
    <cellStyle name="Normal 6 2 3 2 5 2" xfId="24483"/>
    <cellStyle name="Normal 6 2 3 2 6" xfId="2943"/>
    <cellStyle name="Normal 6 2 3 2 7" xfId="22099"/>
    <cellStyle name="Normal 6 2 3 3" xfId="1105"/>
    <cellStyle name="Normal 6 2 3 3 2" xfId="1106"/>
    <cellStyle name="Normal 6 2 3 3 2 2" xfId="8567"/>
    <cellStyle name="Normal 6 2 3 3 2 2 2" xfId="11180"/>
    <cellStyle name="Normal 6 2 3 3 2 2 2 2" xfId="25502"/>
    <cellStyle name="Normal 6 2 3 3 2 2 3" xfId="24254"/>
    <cellStyle name="Normal 6 2 3 3 2 3" xfId="9208"/>
    <cellStyle name="Normal 6 2 3 3 2 3 2" xfId="24880"/>
    <cellStyle name="Normal 6 2 3 3 2 4" xfId="3448"/>
    <cellStyle name="Normal 6 2 3 3 2 5" xfId="22104"/>
    <cellStyle name="Normal 6 2 3 3 3" xfId="8286"/>
    <cellStyle name="Normal 6 2 3 3 3 2" xfId="10899"/>
    <cellStyle name="Normal 6 2 3 3 3 2 2" xfId="25221"/>
    <cellStyle name="Normal 6 2 3 3 3 3" xfId="23973"/>
    <cellStyle name="Normal 6 2 3 3 4" xfId="8852"/>
    <cellStyle name="Normal 6 2 3 3 4 2" xfId="24539"/>
    <cellStyle name="Normal 6 2 3 3 5" xfId="2999"/>
    <cellStyle name="Normal 6 2 3 3 6" xfId="22103"/>
    <cellStyle name="Normal 6 2 3 4" xfId="1107"/>
    <cellStyle name="Normal 6 2 3 4 2" xfId="1108"/>
    <cellStyle name="Normal 6 2 3 4 2 2" xfId="8621"/>
    <cellStyle name="Normal 6 2 3 4 2 2 2" xfId="11234"/>
    <cellStyle name="Normal 6 2 3 4 2 2 2 2" xfId="25556"/>
    <cellStyle name="Normal 6 2 3 4 2 2 3" xfId="24308"/>
    <cellStyle name="Normal 6 2 3 4 2 3" xfId="9263"/>
    <cellStyle name="Normal 6 2 3 4 2 3 2" xfId="24934"/>
    <cellStyle name="Normal 6 2 3 4 2 4" xfId="3511"/>
    <cellStyle name="Normal 6 2 3 4 2 5" xfId="22106"/>
    <cellStyle name="Normal 6 2 3 4 3" xfId="8340"/>
    <cellStyle name="Normal 6 2 3 4 3 2" xfId="10953"/>
    <cellStyle name="Normal 6 2 3 4 3 2 2" xfId="25275"/>
    <cellStyle name="Normal 6 2 3 4 3 3" xfId="24027"/>
    <cellStyle name="Normal 6 2 3 4 4" xfId="8906"/>
    <cellStyle name="Normal 6 2 3 4 4 2" xfId="24593"/>
    <cellStyle name="Normal 6 2 3 4 5" xfId="3063"/>
    <cellStyle name="Normal 6 2 3 4 6" xfId="22105"/>
    <cellStyle name="Normal 6 2 3 5" xfId="1109"/>
    <cellStyle name="Normal 6 2 3 5 2" xfId="8459"/>
    <cellStyle name="Normal 6 2 3 5 2 2" xfId="11072"/>
    <cellStyle name="Normal 6 2 3 5 2 2 2" xfId="25394"/>
    <cellStyle name="Normal 6 2 3 5 2 3" xfId="24146"/>
    <cellStyle name="Normal 6 2 3 5 3" xfId="9031"/>
    <cellStyle name="Normal 6 2 3 5 3 2" xfId="24712"/>
    <cellStyle name="Normal 6 2 3 5 4" xfId="3223"/>
    <cellStyle name="Normal 6 2 3 5 5" xfId="22107"/>
    <cellStyle name="Normal 6 2 3 6" xfId="1110"/>
    <cellStyle name="Normal 6 2 3 6 2" xfId="8172"/>
    <cellStyle name="Normal 6 2 3 6 2 2" xfId="10785"/>
    <cellStyle name="Normal 6 2 3 6 2 2 2" xfId="25107"/>
    <cellStyle name="Normal 6 2 3 6 2 3" xfId="23859"/>
    <cellStyle name="Normal 6 2 3 6 3" xfId="9094"/>
    <cellStyle name="Normal 6 2 3 6 3 2" xfId="24766"/>
    <cellStyle name="Normal 6 2 3 6 4" xfId="3334"/>
    <cellStyle name="Normal 6 2 3 6 5" xfId="22108"/>
    <cellStyle name="Normal 6 2 3 7" xfId="8118"/>
    <cellStyle name="Normal 6 2 3 7 2" xfId="10731"/>
    <cellStyle name="Normal 6 2 3 7 2 2" xfId="25053"/>
    <cellStyle name="Normal 6 2 3 7 3" xfId="23805"/>
    <cellStyle name="Normal 6 2 3 8" xfId="8738"/>
    <cellStyle name="Normal 6 2 3 8 2" xfId="24425"/>
    <cellStyle name="Normal 6 2 3 9" xfId="2885"/>
    <cellStyle name="Normal 6 2 4" xfId="1111"/>
    <cellStyle name="Normal 6 2 4 2" xfId="1112"/>
    <cellStyle name="Normal 6 2 4 2 2" xfId="1113"/>
    <cellStyle name="Normal 6 2 4 2 2 2" xfId="8652"/>
    <cellStyle name="Normal 6 2 4 2 2 2 2" xfId="11265"/>
    <cellStyle name="Normal 6 2 4 2 2 2 2 2" xfId="25587"/>
    <cellStyle name="Normal 6 2 4 2 2 2 3" xfId="24339"/>
    <cellStyle name="Normal 6 2 4 2 2 3" xfId="9294"/>
    <cellStyle name="Normal 6 2 4 2 2 3 2" xfId="24965"/>
    <cellStyle name="Normal 6 2 4 2 2 4" xfId="3542"/>
    <cellStyle name="Normal 6 2 4 2 2 5" xfId="22111"/>
    <cellStyle name="Normal 6 2 4 2 3" xfId="8371"/>
    <cellStyle name="Normal 6 2 4 2 3 2" xfId="10984"/>
    <cellStyle name="Normal 6 2 4 2 3 2 2" xfId="25306"/>
    <cellStyle name="Normal 6 2 4 2 3 3" xfId="24058"/>
    <cellStyle name="Normal 6 2 4 2 4" xfId="8937"/>
    <cellStyle name="Normal 6 2 4 2 4 2" xfId="24624"/>
    <cellStyle name="Normal 6 2 4 2 5" xfId="3094"/>
    <cellStyle name="Normal 6 2 4 2 6" xfId="22110"/>
    <cellStyle name="Normal 6 2 4 3" xfId="1114"/>
    <cellStyle name="Normal 6 2 4 3 2" xfId="8437"/>
    <cellStyle name="Normal 6 2 4 3 2 2" xfId="11050"/>
    <cellStyle name="Normal 6 2 4 3 2 2 2" xfId="25372"/>
    <cellStyle name="Normal 6 2 4 3 2 3" xfId="24124"/>
    <cellStyle name="Normal 6 2 4 3 3" xfId="9009"/>
    <cellStyle name="Normal 6 2 4 3 3 2" xfId="24690"/>
    <cellStyle name="Normal 6 2 4 3 4" xfId="3200"/>
    <cellStyle name="Normal 6 2 4 3 5" xfId="22112"/>
    <cellStyle name="Normal 6 2 4 4" xfId="1115"/>
    <cellStyle name="Normal 6 2 4 4 2" xfId="8203"/>
    <cellStyle name="Normal 6 2 4 4 2 2" xfId="10816"/>
    <cellStyle name="Normal 6 2 4 4 2 2 2" xfId="25138"/>
    <cellStyle name="Normal 6 2 4 4 2 3" xfId="23890"/>
    <cellStyle name="Normal 6 2 4 4 3" xfId="9125"/>
    <cellStyle name="Normal 6 2 4 4 3 2" xfId="24797"/>
    <cellStyle name="Normal 6 2 4 4 4" xfId="3365"/>
    <cellStyle name="Normal 6 2 4 4 5" xfId="22113"/>
    <cellStyle name="Normal 6 2 4 5" xfId="8096"/>
    <cellStyle name="Normal 6 2 4 5 2" xfId="10709"/>
    <cellStyle name="Normal 6 2 4 5 2 2" xfId="25031"/>
    <cellStyle name="Normal 6 2 4 5 3" xfId="23783"/>
    <cellStyle name="Normal 6 2 4 6" xfId="8769"/>
    <cellStyle name="Normal 6 2 4 6 2" xfId="24456"/>
    <cellStyle name="Normal 6 2 4 7" xfId="2916"/>
    <cellStyle name="Normal 6 2 4 8" xfId="22109"/>
    <cellStyle name="Normal 6 2 5" xfId="1116"/>
    <cellStyle name="Normal 6 2 5 2" xfId="1117"/>
    <cellStyle name="Normal 6 2 5 2 2" xfId="8540"/>
    <cellStyle name="Normal 6 2 5 2 2 2" xfId="11153"/>
    <cellStyle name="Normal 6 2 5 2 2 2 2" xfId="25475"/>
    <cellStyle name="Normal 6 2 5 2 2 3" xfId="24227"/>
    <cellStyle name="Normal 6 2 5 2 3" xfId="9181"/>
    <cellStyle name="Normal 6 2 5 2 3 2" xfId="24853"/>
    <cellStyle name="Normal 6 2 5 2 4" xfId="3421"/>
    <cellStyle name="Normal 6 2 5 2 5" xfId="22115"/>
    <cellStyle name="Normal 6 2 5 3" xfId="8259"/>
    <cellStyle name="Normal 6 2 5 3 2" xfId="10872"/>
    <cellStyle name="Normal 6 2 5 3 2 2" xfId="25194"/>
    <cellStyle name="Normal 6 2 5 3 3" xfId="23946"/>
    <cellStyle name="Normal 6 2 5 4" xfId="8825"/>
    <cellStyle name="Normal 6 2 5 4 2" xfId="24512"/>
    <cellStyle name="Normal 6 2 5 5" xfId="2972"/>
    <cellStyle name="Normal 6 2 5 6" xfId="22114"/>
    <cellStyle name="Normal 6 2 6" xfId="1118"/>
    <cellStyle name="Normal 6 2 6 2" xfId="1119"/>
    <cellStyle name="Normal 6 2 6 2 2" xfId="8590"/>
    <cellStyle name="Normal 6 2 6 2 2 2" xfId="11203"/>
    <cellStyle name="Normal 6 2 6 2 2 2 2" xfId="25525"/>
    <cellStyle name="Normal 6 2 6 2 2 3" xfId="24277"/>
    <cellStyle name="Normal 6 2 6 2 3" xfId="9232"/>
    <cellStyle name="Normal 6 2 6 2 3 2" xfId="24903"/>
    <cellStyle name="Normal 6 2 6 2 4" xfId="3479"/>
    <cellStyle name="Normal 6 2 6 2 5" xfId="22117"/>
    <cellStyle name="Normal 6 2 6 3" xfId="8309"/>
    <cellStyle name="Normal 6 2 6 3 2" xfId="10922"/>
    <cellStyle name="Normal 6 2 6 3 2 2" xfId="25244"/>
    <cellStyle name="Normal 6 2 6 3 3" xfId="23996"/>
    <cellStyle name="Normal 6 2 6 4" xfId="8875"/>
    <cellStyle name="Normal 6 2 6 4 2" xfId="24562"/>
    <cellStyle name="Normal 6 2 6 5" xfId="3032"/>
    <cellStyle name="Normal 6 2 6 6" xfId="22116"/>
    <cellStyle name="Normal 6 2 7" xfId="1120"/>
    <cellStyle name="Normal 6 2 7 2" xfId="8422"/>
    <cellStyle name="Normal 6 2 7 2 2" xfId="11035"/>
    <cellStyle name="Normal 6 2 7 2 2 2" xfId="25357"/>
    <cellStyle name="Normal 6 2 7 2 3" xfId="24109"/>
    <cellStyle name="Normal 6 2 7 3" xfId="8992"/>
    <cellStyle name="Normal 6 2 7 3 2" xfId="24675"/>
    <cellStyle name="Normal 6 2 7 4" xfId="3166"/>
    <cellStyle name="Normal 6 2 7 5" xfId="22118"/>
    <cellStyle name="Normal 6 2 8" xfId="1121"/>
    <cellStyle name="Normal 6 2 8 2" xfId="8141"/>
    <cellStyle name="Normal 6 2 8 2 2" xfId="10754"/>
    <cellStyle name="Normal 6 2 8 2 2 2" xfId="25076"/>
    <cellStyle name="Normal 6 2 8 2 3" xfId="23828"/>
    <cellStyle name="Normal 6 2 8 3" xfId="9063"/>
    <cellStyle name="Normal 6 2 8 3 2" xfId="24735"/>
    <cellStyle name="Normal 6 2 8 4" xfId="3303"/>
    <cellStyle name="Normal 6 2 8 5" xfId="22119"/>
    <cellStyle name="Normal 6 2 9" xfId="8081"/>
    <cellStyle name="Normal 6 2 9 2" xfId="10694"/>
    <cellStyle name="Normal 6 2 9 2 2" xfId="25016"/>
    <cellStyle name="Normal 6 2 9 3" xfId="23768"/>
    <cellStyle name="Normal 6 3" xfId="1122"/>
    <cellStyle name="Normal 6 3 10" xfId="2856"/>
    <cellStyle name="Normal 6 3 11" xfId="22120"/>
    <cellStyle name="Normal 6 3 2" xfId="1123"/>
    <cellStyle name="Normal 6 3 2 10" xfId="22121"/>
    <cellStyle name="Normal 6 3 2 2" xfId="1124"/>
    <cellStyle name="Normal 6 3 2 2 2" xfId="1125"/>
    <cellStyle name="Normal 6 3 2 2 2 2" xfId="1126"/>
    <cellStyle name="Normal 6 3 2 2 2 2 2" xfId="8683"/>
    <cellStyle name="Normal 6 3 2 2 2 2 2 2" xfId="11296"/>
    <cellStyle name="Normal 6 3 2 2 2 2 2 2 2" xfId="25618"/>
    <cellStyle name="Normal 6 3 2 2 2 2 2 3" xfId="24370"/>
    <cellStyle name="Normal 6 3 2 2 2 2 3" xfId="9325"/>
    <cellStyle name="Normal 6 3 2 2 2 2 3 2" xfId="24996"/>
    <cellStyle name="Normal 6 3 2 2 2 2 4" xfId="3573"/>
    <cellStyle name="Normal 6 3 2 2 2 2 5" xfId="22124"/>
    <cellStyle name="Normal 6 3 2 2 2 3" xfId="8402"/>
    <cellStyle name="Normal 6 3 2 2 2 3 2" xfId="11015"/>
    <cellStyle name="Normal 6 3 2 2 2 3 2 2" xfId="25337"/>
    <cellStyle name="Normal 6 3 2 2 2 3 3" xfId="24089"/>
    <cellStyle name="Normal 6 3 2 2 2 4" xfId="8968"/>
    <cellStyle name="Normal 6 3 2 2 2 4 2" xfId="24655"/>
    <cellStyle name="Normal 6 3 2 2 2 5" xfId="3125"/>
    <cellStyle name="Normal 6 3 2 2 2 6" xfId="22123"/>
    <cellStyle name="Normal 6 3 2 2 3" xfId="1127"/>
    <cellStyle name="Normal 6 3 2 2 3 2" xfId="8515"/>
    <cellStyle name="Normal 6 3 2 2 3 2 2" xfId="11128"/>
    <cellStyle name="Normal 6 3 2 2 3 2 2 2" xfId="25450"/>
    <cellStyle name="Normal 6 3 2 2 3 2 3" xfId="24202"/>
    <cellStyle name="Normal 6 3 2 2 3 3" xfId="9156"/>
    <cellStyle name="Normal 6 3 2 2 3 3 2" xfId="24828"/>
    <cellStyle name="Normal 6 3 2 2 3 4" xfId="3396"/>
    <cellStyle name="Normal 6 3 2 2 3 5" xfId="22125"/>
    <cellStyle name="Normal 6 3 2 2 4" xfId="8234"/>
    <cellStyle name="Normal 6 3 2 2 4 2" xfId="10847"/>
    <cellStyle name="Normal 6 3 2 2 4 2 2" xfId="25169"/>
    <cellStyle name="Normal 6 3 2 2 4 3" xfId="23921"/>
    <cellStyle name="Normal 6 3 2 2 5" xfId="8800"/>
    <cellStyle name="Normal 6 3 2 2 5 2" xfId="24487"/>
    <cellStyle name="Normal 6 3 2 2 6" xfId="2947"/>
    <cellStyle name="Normal 6 3 2 2 7" xfId="22122"/>
    <cellStyle name="Normal 6 3 2 3" xfId="1128"/>
    <cellStyle name="Normal 6 3 2 3 2" xfId="1129"/>
    <cellStyle name="Normal 6 3 2 3 2 2" xfId="8571"/>
    <cellStyle name="Normal 6 3 2 3 2 2 2" xfId="11184"/>
    <cellStyle name="Normal 6 3 2 3 2 2 2 2" xfId="25506"/>
    <cellStyle name="Normal 6 3 2 3 2 2 3" xfId="24258"/>
    <cellStyle name="Normal 6 3 2 3 2 3" xfId="9212"/>
    <cellStyle name="Normal 6 3 2 3 2 3 2" xfId="24884"/>
    <cellStyle name="Normal 6 3 2 3 2 4" xfId="3452"/>
    <cellStyle name="Normal 6 3 2 3 2 5" xfId="22127"/>
    <cellStyle name="Normal 6 3 2 3 3" xfId="8290"/>
    <cellStyle name="Normal 6 3 2 3 3 2" xfId="10903"/>
    <cellStyle name="Normal 6 3 2 3 3 2 2" xfId="25225"/>
    <cellStyle name="Normal 6 3 2 3 3 3" xfId="23977"/>
    <cellStyle name="Normal 6 3 2 3 4" xfId="8856"/>
    <cellStyle name="Normal 6 3 2 3 4 2" xfId="24543"/>
    <cellStyle name="Normal 6 3 2 3 5" xfId="3003"/>
    <cellStyle name="Normal 6 3 2 3 6" xfId="22126"/>
    <cellStyle name="Normal 6 3 2 4" xfId="1130"/>
    <cellStyle name="Normal 6 3 2 4 2" xfId="1131"/>
    <cellStyle name="Normal 6 3 2 4 2 2" xfId="8626"/>
    <cellStyle name="Normal 6 3 2 4 2 2 2" xfId="11239"/>
    <cellStyle name="Normal 6 3 2 4 2 2 2 2" xfId="25561"/>
    <cellStyle name="Normal 6 3 2 4 2 2 3" xfId="24313"/>
    <cellStyle name="Normal 6 3 2 4 2 3" xfId="9268"/>
    <cellStyle name="Normal 6 3 2 4 2 3 2" xfId="24939"/>
    <cellStyle name="Normal 6 3 2 4 2 4" xfId="3516"/>
    <cellStyle name="Normal 6 3 2 4 2 5" xfId="22129"/>
    <cellStyle name="Normal 6 3 2 4 3" xfId="8345"/>
    <cellStyle name="Normal 6 3 2 4 3 2" xfId="10958"/>
    <cellStyle name="Normal 6 3 2 4 3 2 2" xfId="25280"/>
    <cellStyle name="Normal 6 3 2 4 3 3" xfId="24032"/>
    <cellStyle name="Normal 6 3 2 4 4" xfId="8911"/>
    <cellStyle name="Normal 6 3 2 4 4 2" xfId="24598"/>
    <cellStyle name="Normal 6 3 2 4 5" xfId="3068"/>
    <cellStyle name="Normal 6 3 2 4 6" xfId="22128"/>
    <cellStyle name="Normal 6 3 2 5" xfId="1132"/>
    <cellStyle name="Normal 6 3 2 5 2" xfId="8463"/>
    <cellStyle name="Normal 6 3 2 5 2 2" xfId="11076"/>
    <cellStyle name="Normal 6 3 2 5 2 2 2" xfId="25398"/>
    <cellStyle name="Normal 6 3 2 5 2 3" xfId="24150"/>
    <cellStyle name="Normal 6 3 2 5 3" xfId="9035"/>
    <cellStyle name="Normal 6 3 2 5 3 2" xfId="24716"/>
    <cellStyle name="Normal 6 3 2 5 4" xfId="3227"/>
    <cellStyle name="Normal 6 3 2 5 5" xfId="22130"/>
    <cellStyle name="Normal 6 3 2 6" xfId="1133"/>
    <cellStyle name="Normal 6 3 2 6 2" xfId="8177"/>
    <cellStyle name="Normal 6 3 2 6 2 2" xfId="10790"/>
    <cellStyle name="Normal 6 3 2 6 2 2 2" xfId="25112"/>
    <cellStyle name="Normal 6 3 2 6 2 3" xfId="23864"/>
    <cellStyle name="Normal 6 3 2 6 3" xfId="9099"/>
    <cellStyle name="Normal 6 3 2 6 3 2" xfId="24771"/>
    <cellStyle name="Normal 6 3 2 6 4" xfId="3339"/>
    <cellStyle name="Normal 6 3 2 6 5" xfId="22131"/>
    <cellStyle name="Normal 6 3 2 7" xfId="8122"/>
    <cellStyle name="Normal 6 3 2 7 2" xfId="10735"/>
    <cellStyle name="Normal 6 3 2 7 2 2" xfId="25057"/>
    <cellStyle name="Normal 6 3 2 7 3" xfId="23809"/>
    <cellStyle name="Normal 6 3 2 8" xfId="8743"/>
    <cellStyle name="Normal 6 3 2 8 2" xfId="24430"/>
    <cellStyle name="Normal 6 3 2 9" xfId="2890"/>
    <cellStyle name="Normal 6 3 3" xfId="1134"/>
    <cellStyle name="Normal 6 3 3 2" xfId="1135"/>
    <cellStyle name="Normal 6 3 3 2 2" xfId="1136"/>
    <cellStyle name="Normal 6 3 3 2 2 2" xfId="8657"/>
    <cellStyle name="Normal 6 3 3 2 2 2 2" xfId="11270"/>
    <cellStyle name="Normal 6 3 3 2 2 2 2 2" xfId="25592"/>
    <cellStyle name="Normal 6 3 3 2 2 2 3" xfId="24344"/>
    <cellStyle name="Normal 6 3 3 2 2 3" xfId="9299"/>
    <cellStyle name="Normal 6 3 3 2 2 3 2" xfId="24970"/>
    <cellStyle name="Normal 6 3 3 2 2 4" xfId="3547"/>
    <cellStyle name="Normal 6 3 3 2 2 5" xfId="22134"/>
    <cellStyle name="Normal 6 3 3 2 3" xfId="8376"/>
    <cellStyle name="Normal 6 3 3 2 3 2" xfId="10989"/>
    <cellStyle name="Normal 6 3 3 2 3 2 2" xfId="25311"/>
    <cellStyle name="Normal 6 3 3 2 3 3" xfId="24063"/>
    <cellStyle name="Normal 6 3 3 2 4" xfId="8942"/>
    <cellStyle name="Normal 6 3 3 2 4 2" xfId="24629"/>
    <cellStyle name="Normal 6 3 3 2 5" xfId="3099"/>
    <cellStyle name="Normal 6 3 3 2 6" xfId="22133"/>
    <cellStyle name="Normal 6 3 3 3" xfId="1137"/>
    <cellStyle name="Normal 6 3 3 3 2" xfId="8490"/>
    <cellStyle name="Normal 6 3 3 3 2 2" xfId="11103"/>
    <cellStyle name="Normal 6 3 3 3 2 2 2" xfId="25425"/>
    <cellStyle name="Normal 6 3 3 3 2 3" xfId="24177"/>
    <cellStyle name="Normal 6 3 3 3 3" xfId="9130"/>
    <cellStyle name="Normal 6 3 3 3 3 2" xfId="24802"/>
    <cellStyle name="Normal 6 3 3 3 4" xfId="3370"/>
    <cellStyle name="Normal 6 3 3 3 5" xfId="22135"/>
    <cellStyle name="Normal 6 3 3 4" xfId="8208"/>
    <cellStyle name="Normal 6 3 3 4 2" xfId="10821"/>
    <cellStyle name="Normal 6 3 3 4 2 2" xfId="25143"/>
    <cellStyle name="Normal 6 3 3 4 3" xfId="23895"/>
    <cellStyle name="Normal 6 3 3 5" xfId="8774"/>
    <cellStyle name="Normal 6 3 3 5 2" xfId="24461"/>
    <cellStyle name="Normal 6 3 3 6" xfId="2921"/>
    <cellStyle name="Normal 6 3 3 7" xfId="22132"/>
    <cellStyle name="Normal 6 3 4" xfId="1138"/>
    <cellStyle name="Normal 6 3 4 2" xfId="1139"/>
    <cellStyle name="Normal 6 3 4 2 2" xfId="8545"/>
    <cellStyle name="Normal 6 3 4 2 2 2" xfId="11158"/>
    <cellStyle name="Normal 6 3 4 2 2 2 2" xfId="25480"/>
    <cellStyle name="Normal 6 3 4 2 2 3" xfId="24232"/>
    <cellStyle name="Normal 6 3 4 2 3" xfId="9186"/>
    <cellStyle name="Normal 6 3 4 2 3 2" xfId="24858"/>
    <cellStyle name="Normal 6 3 4 2 4" xfId="3426"/>
    <cellStyle name="Normal 6 3 4 2 5" xfId="22137"/>
    <cellStyle name="Normal 6 3 4 3" xfId="8264"/>
    <cellStyle name="Normal 6 3 4 3 2" xfId="10877"/>
    <cellStyle name="Normal 6 3 4 3 2 2" xfId="25199"/>
    <cellStyle name="Normal 6 3 4 3 3" xfId="23951"/>
    <cellStyle name="Normal 6 3 4 4" xfId="8830"/>
    <cellStyle name="Normal 6 3 4 4 2" xfId="24517"/>
    <cellStyle name="Normal 6 3 4 5" xfId="2977"/>
    <cellStyle name="Normal 6 3 4 6" xfId="22136"/>
    <cellStyle name="Normal 6 3 5" xfId="1140"/>
    <cellStyle name="Normal 6 3 5 2" xfId="1141"/>
    <cellStyle name="Normal 6 3 5 2 2" xfId="8595"/>
    <cellStyle name="Normal 6 3 5 2 2 2" xfId="11208"/>
    <cellStyle name="Normal 6 3 5 2 2 2 2" xfId="25530"/>
    <cellStyle name="Normal 6 3 5 2 2 3" xfId="24282"/>
    <cellStyle name="Normal 6 3 5 2 3" xfId="9237"/>
    <cellStyle name="Normal 6 3 5 2 3 2" xfId="24908"/>
    <cellStyle name="Normal 6 3 5 2 4" xfId="3484"/>
    <cellStyle name="Normal 6 3 5 2 5" xfId="22139"/>
    <cellStyle name="Normal 6 3 5 3" xfId="8314"/>
    <cellStyle name="Normal 6 3 5 3 2" xfId="10927"/>
    <cellStyle name="Normal 6 3 5 3 2 2" xfId="25249"/>
    <cellStyle name="Normal 6 3 5 3 3" xfId="24001"/>
    <cellStyle name="Normal 6 3 5 4" xfId="8880"/>
    <cellStyle name="Normal 6 3 5 4 2" xfId="24567"/>
    <cellStyle name="Normal 6 3 5 5" xfId="3037"/>
    <cellStyle name="Normal 6 3 5 6" xfId="22138"/>
    <cellStyle name="Normal 6 3 6" xfId="1142"/>
    <cellStyle name="Normal 6 3 6 2" xfId="8428"/>
    <cellStyle name="Normal 6 3 6 2 2" xfId="11041"/>
    <cellStyle name="Normal 6 3 6 2 2 2" xfId="25363"/>
    <cellStyle name="Normal 6 3 6 2 3" xfId="24115"/>
    <cellStyle name="Normal 6 3 6 3" xfId="8998"/>
    <cellStyle name="Normal 6 3 6 3 2" xfId="24681"/>
    <cellStyle name="Normal 6 3 6 4" xfId="3172"/>
    <cellStyle name="Normal 6 3 6 5" xfId="22140"/>
    <cellStyle name="Normal 6 3 7" xfId="1143"/>
    <cellStyle name="Normal 6 3 7 2" xfId="8146"/>
    <cellStyle name="Normal 6 3 7 2 2" xfId="10759"/>
    <cellStyle name="Normal 6 3 7 2 2 2" xfId="25081"/>
    <cellStyle name="Normal 6 3 7 2 3" xfId="23833"/>
    <cellStyle name="Normal 6 3 7 3" xfId="9068"/>
    <cellStyle name="Normal 6 3 7 3 2" xfId="24740"/>
    <cellStyle name="Normal 6 3 7 4" xfId="3308"/>
    <cellStyle name="Normal 6 3 7 5" xfId="22141"/>
    <cellStyle name="Normal 6 3 8" xfId="8087"/>
    <cellStyle name="Normal 6 3 8 2" xfId="10700"/>
    <cellStyle name="Normal 6 3 8 2 2" xfId="25022"/>
    <cellStyle name="Normal 6 3 8 3" xfId="23774"/>
    <cellStyle name="Normal 6 3 9" xfId="8712"/>
    <cellStyle name="Normal 6 3 9 2" xfId="24399"/>
    <cellStyle name="Normal 6 4" xfId="1144"/>
    <cellStyle name="Normal 6 4 10" xfId="2861"/>
    <cellStyle name="Normal 6 4 11" xfId="22142"/>
    <cellStyle name="Normal 6 4 2" xfId="1145"/>
    <cellStyle name="Normal 6 4 2 10" xfId="22143"/>
    <cellStyle name="Normal 6 4 2 2" xfId="1146"/>
    <cellStyle name="Normal 6 4 2 2 2" xfId="1147"/>
    <cellStyle name="Normal 6 4 2 2 2 2" xfId="1148"/>
    <cellStyle name="Normal 6 4 2 2 2 2 2" xfId="8688"/>
    <cellStyle name="Normal 6 4 2 2 2 2 2 2" xfId="11301"/>
    <cellStyle name="Normal 6 4 2 2 2 2 2 2 2" xfId="25623"/>
    <cellStyle name="Normal 6 4 2 2 2 2 2 3" xfId="24375"/>
    <cellStyle name="Normal 6 4 2 2 2 2 3" xfId="9330"/>
    <cellStyle name="Normal 6 4 2 2 2 2 3 2" xfId="25001"/>
    <cellStyle name="Normal 6 4 2 2 2 2 4" xfId="3578"/>
    <cellStyle name="Normal 6 4 2 2 2 2 5" xfId="22146"/>
    <cellStyle name="Normal 6 4 2 2 2 3" xfId="8407"/>
    <cellStyle name="Normal 6 4 2 2 2 3 2" xfId="11020"/>
    <cellStyle name="Normal 6 4 2 2 2 3 2 2" xfId="25342"/>
    <cellStyle name="Normal 6 4 2 2 2 3 3" xfId="24094"/>
    <cellStyle name="Normal 6 4 2 2 2 4" xfId="8973"/>
    <cellStyle name="Normal 6 4 2 2 2 4 2" xfId="24660"/>
    <cellStyle name="Normal 6 4 2 2 2 5" xfId="3130"/>
    <cellStyle name="Normal 6 4 2 2 2 6" xfId="22145"/>
    <cellStyle name="Normal 6 4 2 2 3" xfId="1149"/>
    <cellStyle name="Normal 6 4 2 2 3 2" xfId="8520"/>
    <cellStyle name="Normal 6 4 2 2 3 2 2" xfId="11133"/>
    <cellStyle name="Normal 6 4 2 2 3 2 2 2" xfId="25455"/>
    <cellStyle name="Normal 6 4 2 2 3 2 3" xfId="24207"/>
    <cellStyle name="Normal 6 4 2 2 3 3" xfId="9161"/>
    <cellStyle name="Normal 6 4 2 2 3 3 2" xfId="24833"/>
    <cellStyle name="Normal 6 4 2 2 3 4" xfId="3401"/>
    <cellStyle name="Normal 6 4 2 2 3 5" xfId="22147"/>
    <cellStyle name="Normal 6 4 2 2 4" xfId="8239"/>
    <cellStyle name="Normal 6 4 2 2 4 2" xfId="10852"/>
    <cellStyle name="Normal 6 4 2 2 4 2 2" xfId="25174"/>
    <cellStyle name="Normal 6 4 2 2 4 3" xfId="23926"/>
    <cellStyle name="Normal 6 4 2 2 5" xfId="8805"/>
    <cellStyle name="Normal 6 4 2 2 5 2" xfId="24492"/>
    <cellStyle name="Normal 6 4 2 2 6" xfId="2952"/>
    <cellStyle name="Normal 6 4 2 2 7" xfId="22144"/>
    <cellStyle name="Normal 6 4 2 3" xfId="1150"/>
    <cellStyle name="Normal 6 4 2 3 2" xfId="1151"/>
    <cellStyle name="Normal 6 4 2 3 2 2" xfId="8576"/>
    <cellStyle name="Normal 6 4 2 3 2 2 2" xfId="11189"/>
    <cellStyle name="Normal 6 4 2 3 2 2 2 2" xfId="25511"/>
    <cellStyle name="Normal 6 4 2 3 2 2 3" xfId="24263"/>
    <cellStyle name="Normal 6 4 2 3 2 3" xfId="9217"/>
    <cellStyle name="Normal 6 4 2 3 2 3 2" xfId="24889"/>
    <cellStyle name="Normal 6 4 2 3 2 4" xfId="3457"/>
    <cellStyle name="Normal 6 4 2 3 2 5" xfId="22149"/>
    <cellStyle name="Normal 6 4 2 3 3" xfId="8295"/>
    <cellStyle name="Normal 6 4 2 3 3 2" xfId="10908"/>
    <cellStyle name="Normal 6 4 2 3 3 2 2" xfId="25230"/>
    <cellStyle name="Normal 6 4 2 3 3 3" xfId="23982"/>
    <cellStyle name="Normal 6 4 2 3 4" xfId="8861"/>
    <cellStyle name="Normal 6 4 2 3 4 2" xfId="24548"/>
    <cellStyle name="Normal 6 4 2 3 5" xfId="3008"/>
    <cellStyle name="Normal 6 4 2 3 6" xfId="22148"/>
    <cellStyle name="Normal 6 4 2 4" xfId="1152"/>
    <cellStyle name="Normal 6 4 2 4 2" xfId="1153"/>
    <cellStyle name="Normal 6 4 2 4 2 2" xfId="8631"/>
    <cellStyle name="Normal 6 4 2 4 2 2 2" xfId="11244"/>
    <cellStyle name="Normal 6 4 2 4 2 2 2 2" xfId="25566"/>
    <cellStyle name="Normal 6 4 2 4 2 2 3" xfId="24318"/>
    <cellStyle name="Normal 6 4 2 4 2 3" xfId="9273"/>
    <cellStyle name="Normal 6 4 2 4 2 3 2" xfId="24944"/>
    <cellStyle name="Normal 6 4 2 4 2 4" xfId="3521"/>
    <cellStyle name="Normal 6 4 2 4 2 5" xfId="22151"/>
    <cellStyle name="Normal 6 4 2 4 3" xfId="8350"/>
    <cellStyle name="Normal 6 4 2 4 3 2" xfId="10963"/>
    <cellStyle name="Normal 6 4 2 4 3 2 2" xfId="25285"/>
    <cellStyle name="Normal 6 4 2 4 3 3" xfId="24037"/>
    <cellStyle name="Normal 6 4 2 4 4" xfId="8916"/>
    <cellStyle name="Normal 6 4 2 4 4 2" xfId="24603"/>
    <cellStyle name="Normal 6 4 2 4 5" xfId="3073"/>
    <cellStyle name="Normal 6 4 2 4 6" xfId="22150"/>
    <cellStyle name="Normal 6 4 2 5" xfId="1154"/>
    <cellStyle name="Normal 6 4 2 5 2" xfId="8468"/>
    <cellStyle name="Normal 6 4 2 5 2 2" xfId="11081"/>
    <cellStyle name="Normal 6 4 2 5 2 2 2" xfId="25403"/>
    <cellStyle name="Normal 6 4 2 5 2 3" xfId="24155"/>
    <cellStyle name="Normal 6 4 2 5 3" xfId="9040"/>
    <cellStyle name="Normal 6 4 2 5 3 2" xfId="24721"/>
    <cellStyle name="Normal 6 4 2 5 4" xfId="3232"/>
    <cellStyle name="Normal 6 4 2 5 5" xfId="22152"/>
    <cellStyle name="Normal 6 4 2 6" xfId="1155"/>
    <cellStyle name="Normal 6 4 2 6 2" xfId="8182"/>
    <cellStyle name="Normal 6 4 2 6 2 2" xfId="10795"/>
    <cellStyle name="Normal 6 4 2 6 2 2 2" xfId="25117"/>
    <cellStyle name="Normal 6 4 2 6 2 3" xfId="23869"/>
    <cellStyle name="Normal 6 4 2 6 3" xfId="9104"/>
    <cellStyle name="Normal 6 4 2 6 3 2" xfId="24776"/>
    <cellStyle name="Normal 6 4 2 6 4" xfId="3344"/>
    <cellStyle name="Normal 6 4 2 6 5" xfId="22153"/>
    <cellStyle name="Normal 6 4 2 7" xfId="8127"/>
    <cellStyle name="Normal 6 4 2 7 2" xfId="10740"/>
    <cellStyle name="Normal 6 4 2 7 2 2" xfId="25062"/>
    <cellStyle name="Normal 6 4 2 7 3" xfId="23814"/>
    <cellStyle name="Normal 6 4 2 8" xfId="8748"/>
    <cellStyle name="Normal 6 4 2 8 2" xfId="24435"/>
    <cellStyle name="Normal 6 4 2 9" xfId="2895"/>
    <cellStyle name="Normal 6 4 3" xfId="1156"/>
    <cellStyle name="Normal 6 4 3 2" xfId="1157"/>
    <cellStyle name="Normal 6 4 3 2 2" xfId="1158"/>
    <cellStyle name="Normal 6 4 3 2 2 2" xfId="8662"/>
    <cellStyle name="Normal 6 4 3 2 2 2 2" xfId="11275"/>
    <cellStyle name="Normal 6 4 3 2 2 2 2 2" xfId="25597"/>
    <cellStyle name="Normal 6 4 3 2 2 2 3" xfId="24349"/>
    <cellStyle name="Normal 6 4 3 2 2 3" xfId="9304"/>
    <cellStyle name="Normal 6 4 3 2 2 3 2" xfId="24975"/>
    <cellStyle name="Normal 6 4 3 2 2 4" xfId="3552"/>
    <cellStyle name="Normal 6 4 3 2 2 5" xfId="22156"/>
    <cellStyle name="Normal 6 4 3 2 3" xfId="8381"/>
    <cellStyle name="Normal 6 4 3 2 3 2" xfId="10994"/>
    <cellStyle name="Normal 6 4 3 2 3 2 2" xfId="25316"/>
    <cellStyle name="Normal 6 4 3 2 3 3" xfId="24068"/>
    <cellStyle name="Normal 6 4 3 2 4" xfId="8947"/>
    <cellStyle name="Normal 6 4 3 2 4 2" xfId="24634"/>
    <cellStyle name="Normal 6 4 3 2 5" xfId="3104"/>
    <cellStyle name="Normal 6 4 3 2 6" xfId="22155"/>
    <cellStyle name="Normal 6 4 3 3" xfId="1159"/>
    <cellStyle name="Normal 6 4 3 3 2" xfId="8494"/>
    <cellStyle name="Normal 6 4 3 3 2 2" xfId="11107"/>
    <cellStyle name="Normal 6 4 3 3 2 2 2" xfId="25429"/>
    <cellStyle name="Normal 6 4 3 3 2 3" xfId="24181"/>
    <cellStyle name="Normal 6 4 3 3 3" xfId="9135"/>
    <cellStyle name="Normal 6 4 3 3 3 2" xfId="24807"/>
    <cellStyle name="Normal 6 4 3 3 4" xfId="3375"/>
    <cellStyle name="Normal 6 4 3 3 5" xfId="22157"/>
    <cellStyle name="Normal 6 4 3 4" xfId="8213"/>
    <cellStyle name="Normal 6 4 3 4 2" xfId="10826"/>
    <cellStyle name="Normal 6 4 3 4 2 2" xfId="25148"/>
    <cellStyle name="Normal 6 4 3 4 3" xfId="23900"/>
    <cellStyle name="Normal 6 4 3 5" xfId="8779"/>
    <cellStyle name="Normal 6 4 3 5 2" xfId="24466"/>
    <cellStyle name="Normal 6 4 3 6" xfId="2926"/>
    <cellStyle name="Normal 6 4 3 7" xfId="22154"/>
    <cellStyle name="Normal 6 4 4" xfId="1160"/>
    <cellStyle name="Normal 6 4 4 2" xfId="1161"/>
    <cellStyle name="Normal 6 4 4 2 2" xfId="8550"/>
    <cellStyle name="Normal 6 4 4 2 2 2" xfId="11163"/>
    <cellStyle name="Normal 6 4 4 2 2 2 2" xfId="25485"/>
    <cellStyle name="Normal 6 4 4 2 2 3" xfId="24237"/>
    <cellStyle name="Normal 6 4 4 2 3" xfId="9191"/>
    <cellStyle name="Normal 6 4 4 2 3 2" xfId="24863"/>
    <cellStyle name="Normal 6 4 4 2 4" xfId="3431"/>
    <cellStyle name="Normal 6 4 4 2 5" xfId="22159"/>
    <cellStyle name="Normal 6 4 4 3" xfId="8269"/>
    <cellStyle name="Normal 6 4 4 3 2" xfId="10882"/>
    <cellStyle name="Normal 6 4 4 3 2 2" xfId="25204"/>
    <cellStyle name="Normal 6 4 4 3 3" xfId="23956"/>
    <cellStyle name="Normal 6 4 4 4" xfId="8835"/>
    <cellStyle name="Normal 6 4 4 4 2" xfId="24522"/>
    <cellStyle name="Normal 6 4 4 5" xfId="2982"/>
    <cellStyle name="Normal 6 4 4 6" xfId="22158"/>
    <cellStyle name="Normal 6 4 5" xfId="1162"/>
    <cellStyle name="Normal 6 4 5 2" xfId="1163"/>
    <cellStyle name="Normal 6 4 5 2 2" xfId="8600"/>
    <cellStyle name="Normal 6 4 5 2 2 2" xfId="11213"/>
    <cellStyle name="Normal 6 4 5 2 2 2 2" xfId="25535"/>
    <cellStyle name="Normal 6 4 5 2 2 3" xfId="24287"/>
    <cellStyle name="Normal 6 4 5 2 3" xfId="9242"/>
    <cellStyle name="Normal 6 4 5 2 3 2" xfId="24913"/>
    <cellStyle name="Normal 6 4 5 2 4" xfId="3489"/>
    <cellStyle name="Normal 6 4 5 2 5" xfId="22161"/>
    <cellStyle name="Normal 6 4 5 3" xfId="8319"/>
    <cellStyle name="Normal 6 4 5 3 2" xfId="10932"/>
    <cellStyle name="Normal 6 4 5 3 2 2" xfId="25254"/>
    <cellStyle name="Normal 6 4 5 3 3" xfId="24006"/>
    <cellStyle name="Normal 6 4 5 4" xfId="8885"/>
    <cellStyle name="Normal 6 4 5 4 2" xfId="24572"/>
    <cellStyle name="Normal 6 4 5 5" xfId="3042"/>
    <cellStyle name="Normal 6 4 5 6" xfId="22160"/>
    <cellStyle name="Normal 6 4 6" xfId="1164"/>
    <cellStyle name="Normal 6 4 6 2" xfId="8444"/>
    <cellStyle name="Normal 6 4 6 2 2" xfId="11057"/>
    <cellStyle name="Normal 6 4 6 2 2 2" xfId="25379"/>
    <cellStyle name="Normal 6 4 6 2 3" xfId="24131"/>
    <cellStyle name="Normal 6 4 6 3" xfId="9016"/>
    <cellStyle name="Normal 6 4 6 3 2" xfId="24697"/>
    <cellStyle name="Normal 6 4 6 4" xfId="3207"/>
    <cellStyle name="Normal 6 4 6 5" xfId="22162"/>
    <cellStyle name="Normal 6 4 7" xfId="1165"/>
    <cellStyle name="Normal 6 4 7 2" xfId="8151"/>
    <cellStyle name="Normal 6 4 7 2 2" xfId="10764"/>
    <cellStyle name="Normal 6 4 7 2 2 2" xfId="25086"/>
    <cellStyle name="Normal 6 4 7 2 3" xfId="23838"/>
    <cellStyle name="Normal 6 4 7 3" xfId="9073"/>
    <cellStyle name="Normal 6 4 7 3 2" xfId="24745"/>
    <cellStyle name="Normal 6 4 7 4" xfId="3313"/>
    <cellStyle name="Normal 6 4 7 5" xfId="22163"/>
    <cellStyle name="Normal 6 4 8" xfId="8103"/>
    <cellStyle name="Normal 6 4 8 2" xfId="10716"/>
    <cellStyle name="Normal 6 4 8 2 2" xfId="25038"/>
    <cellStyle name="Normal 6 4 8 3" xfId="23790"/>
    <cellStyle name="Normal 6 4 9" xfId="8717"/>
    <cellStyle name="Normal 6 4 9 2" xfId="24404"/>
    <cellStyle name="Normal 6 5" xfId="1166"/>
    <cellStyle name="Normal 6 5 10" xfId="22164"/>
    <cellStyle name="Normal 6 5 2" xfId="1167"/>
    <cellStyle name="Normal 6 5 2 2" xfId="1168"/>
    <cellStyle name="Normal 6 5 2 2 2" xfId="1169"/>
    <cellStyle name="Normal 6 5 2 2 2 2" xfId="8673"/>
    <cellStyle name="Normal 6 5 2 2 2 2 2" xfId="11286"/>
    <cellStyle name="Normal 6 5 2 2 2 2 2 2" xfId="25608"/>
    <cellStyle name="Normal 6 5 2 2 2 2 3" xfId="24360"/>
    <cellStyle name="Normal 6 5 2 2 2 3" xfId="9315"/>
    <cellStyle name="Normal 6 5 2 2 2 3 2" xfId="24986"/>
    <cellStyle name="Normal 6 5 2 2 2 4" xfId="3563"/>
    <cellStyle name="Normal 6 5 2 2 2 5" xfId="22167"/>
    <cellStyle name="Normal 6 5 2 2 3" xfId="8392"/>
    <cellStyle name="Normal 6 5 2 2 3 2" xfId="11005"/>
    <cellStyle name="Normal 6 5 2 2 3 2 2" xfId="25327"/>
    <cellStyle name="Normal 6 5 2 2 3 3" xfId="24079"/>
    <cellStyle name="Normal 6 5 2 2 4" xfId="8958"/>
    <cellStyle name="Normal 6 5 2 2 4 2" xfId="24645"/>
    <cellStyle name="Normal 6 5 2 2 5" xfId="3115"/>
    <cellStyle name="Normal 6 5 2 2 6" xfId="22166"/>
    <cellStyle name="Normal 6 5 2 3" xfId="1170"/>
    <cellStyle name="Normal 6 5 2 3 2" xfId="8505"/>
    <cellStyle name="Normal 6 5 2 3 2 2" xfId="11118"/>
    <cellStyle name="Normal 6 5 2 3 2 2 2" xfId="25440"/>
    <cellStyle name="Normal 6 5 2 3 2 3" xfId="24192"/>
    <cellStyle name="Normal 6 5 2 3 3" xfId="9146"/>
    <cellStyle name="Normal 6 5 2 3 3 2" xfId="24818"/>
    <cellStyle name="Normal 6 5 2 3 4" xfId="3386"/>
    <cellStyle name="Normal 6 5 2 3 5" xfId="22168"/>
    <cellStyle name="Normal 6 5 2 4" xfId="8224"/>
    <cellStyle name="Normal 6 5 2 4 2" xfId="10837"/>
    <cellStyle name="Normal 6 5 2 4 2 2" xfId="25159"/>
    <cellStyle name="Normal 6 5 2 4 3" xfId="23911"/>
    <cellStyle name="Normal 6 5 2 5" xfId="8790"/>
    <cellStyle name="Normal 6 5 2 5 2" xfId="24477"/>
    <cellStyle name="Normal 6 5 2 6" xfId="2937"/>
    <cellStyle name="Normal 6 5 2 7" xfId="22165"/>
    <cellStyle name="Normal 6 5 3" xfId="1171"/>
    <cellStyle name="Normal 6 5 3 2" xfId="1172"/>
    <cellStyle name="Normal 6 5 3 2 2" xfId="8561"/>
    <cellStyle name="Normal 6 5 3 2 2 2" xfId="11174"/>
    <cellStyle name="Normal 6 5 3 2 2 2 2" xfId="25496"/>
    <cellStyle name="Normal 6 5 3 2 2 3" xfId="24248"/>
    <cellStyle name="Normal 6 5 3 2 3" xfId="9202"/>
    <cellStyle name="Normal 6 5 3 2 3 2" xfId="24874"/>
    <cellStyle name="Normal 6 5 3 2 4" xfId="3442"/>
    <cellStyle name="Normal 6 5 3 2 5" xfId="22170"/>
    <cellStyle name="Normal 6 5 3 3" xfId="8280"/>
    <cellStyle name="Normal 6 5 3 3 2" xfId="10893"/>
    <cellStyle name="Normal 6 5 3 3 2 2" xfId="25215"/>
    <cellStyle name="Normal 6 5 3 3 3" xfId="23967"/>
    <cellStyle name="Normal 6 5 3 4" xfId="8846"/>
    <cellStyle name="Normal 6 5 3 4 2" xfId="24533"/>
    <cellStyle name="Normal 6 5 3 5" xfId="2993"/>
    <cellStyle name="Normal 6 5 3 6" xfId="22169"/>
    <cellStyle name="Normal 6 5 4" xfId="1173"/>
    <cellStyle name="Normal 6 5 4 2" xfId="1174"/>
    <cellStyle name="Normal 6 5 4 2 2" xfId="8611"/>
    <cellStyle name="Normal 6 5 4 2 2 2" xfId="11224"/>
    <cellStyle name="Normal 6 5 4 2 2 2 2" xfId="25546"/>
    <cellStyle name="Normal 6 5 4 2 2 3" xfId="24298"/>
    <cellStyle name="Normal 6 5 4 2 3" xfId="9253"/>
    <cellStyle name="Normal 6 5 4 2 3 2" xfId="24924"/>
    <cellStyle name="Normal 6 5 4 2 4" xfId="3500"/>
    <cellStyle name="Normal 6 5 4 2 5" xfId="22172"/>
    <cellStyle name="Normal 6 5 4 3" xfId="8330"/>
    <cellStyle name="Normal 6 5 4 3 2" xfId="10943"/>
    <cellStyle name="Normal 6 5 4 3 2 2" xfId="25265"/>
    <cellStyle name="Normal 6 5 4 3 3" xfId="24017"/>
    <cellStyle name="Normal 6 5 4 4" xfId="8896"/>
    <cellStyle name="Normal 6 5 4 4 2" xfId="24583"/>
    <cellStyle name="Normal 6 5 4 5" xfId="3053"/>
    <cellStyle name="Normal 6 5 4 6" xfId="22171"/>
    <cellStyle name="Normal 6 5 5" xfId="1175"/>
    <cellStyle name="Normal 6 5 5 2" xfId="8454"/>
    <cellStyle name="Normal 6 5 5 2 2" xfId="11067"/>
    <cellStyle name="Normal 6 5 5 2 2 2" xfId="25389"/>
    <cellStyle name="Normal 6 5 5 2 3" xfId="24141"/>
    <cellStyle name="Normal 6 5 5 3" xfId="9026"/>
    <cellStyle name="Normal 6 5 5 3 2" xfId="24707"/>
    <cellStyle name="Normal 6 5 5 4" xfId="3217"/>
    <cellStyle name="Normal 6 5 5 5" xfId="22173"/>
    <cellStyle name="Normal 6 5 6" xfId="1176"/>
    <cellStyle name="Normal 6 5 6 2" xfId="8162"/>
    <cellStyle name="Normal 6 5 6 2 2" xfId="10775"/>
    <cellStyle name="Normal 6 5 6 2 2 2" xfId="25097"/>
    <cellStyle name="Normal 6 5 6 2 3" xfId="23849"/>
    <cellStyle name="Normal 6 5 6 3" xfId="9084"/>
    <cellStyle name="Normal 6 5 6 3 2" xfId="24756"/>
    <cellStyle name="Normal 6 5 6 4" xfId="3324"/>
    <cellStyle name="Normal 6 5 6 5" xfId="22174"/>
    <cellStyle name="Normal 6 5 7" xfId="8113"/>
    <cellStyle name="Normal 6 5 7 2" xfId="10726"/>
    <cellStyle name="Normal 6 5 7 2 2" xfId="25048"/>
    <cellStyle name="Normal 6 5 7 3" xfId="23800"/>
    <cellStyle name="Normal 6 5 8" xfId="8728"/>
    <cellStyle name="Normal 6 5 8 2" xfId="24415"/>
    <cellStyle name="Normal 6 5 9" xfId="2873"/>
    <cellStyle name="Normal 6 6" xfId="1177"/>
    <cellStyle name="Normal 6 6 10" xfId="22175"/>
    <cellStyle name="Normal 6 6 2" xfId="1178"/>
    <cellStyle name="Normal 6 6 2 2" xfId="1179"/>
    <cellStyle name="Normal 6 6 2 2 2" xfId="1180"/>
    <cellStyle name="Normal 6 6 2 2 2 2" xfId="8648"/>
    <cellStyle name="Normal 6 6 2 2 2 2 2" xfId="11261"/>
    <cellStyle name="Normal 6 6 2 2 2 2 2 2" xfId="25583"/>
    <cellStyle name="Normal 6 6 2 2 2 2 3" xfId="24335"/>
    <cellStyle name="Normal 6 6 2 2 2 3" xfId="9290"/>
    <cellStyle name="Normal 6 6 2 2 2 3 2" xfId="24961"/>
    <cellStyle name="Normal 6 6 2 2 2 4" xfId="3538"/>
    <cellStyle name="Normal 6 6 2 2 2 5" xfId="22178"/>
    <cellStyle name="Normal 6 6 2 2 3" xfId="8367"/>
    <cellStyle name="Normal 6 6 2 2 3 2" xfId="10980"/>
    <cellStyle name="Normal 6 6 2 2 3 2 2" xfId="25302"/>
    <cellStyle name="Normal 6 6 2 2 3 3" xfId="24054"/>
    <cellStyle name="Normal 6 6 2 2 4" xfId="8933"/>
    <cellStyle name="Normal 6 6 2 2 4 2" xfId="24620"/>
    <cellStyle name="Normal 6 6 2 2 5" xfId="3090"/>
    <cellStyle name="Normal 6 6 2 2 6" xfId="22177"/>
    <cellStyle name="Normal 6 6 2 3" xfId="1181"/>
    <cellStyle name="Normal 6 6 2 3 2" xfId="8484"/>
    <cellStyle name="Normal 6 6 2 3 2 2" xfId="11097"/>
    <cellStyle name="Normal 6 6 2 3 2 2 2" xfId="25419"/>
    <cellStyle name="Normal 6 6 2 3 2 3" xfId="24171"/>
    <cellStyle name="Normal 6 6 2 3 3" xfId="9121"/>
    <cellStyle name="Normal 6 6 2 3 3 2" xfId="24793"/>
    <cellStyle name="Normal 6 6 2 3 4" xfId="3361"/>
    <cellStyle name="Normal 6 6 2 3 5" xfId="22179"/>
    <cellStyle name="Normal 6 6 2 4" xfId="8199"/>
    <cellStyle name="Normal 6 6 2 4 2" xfId="10812"/>
    <cellStyle name="Normal 6 6 2 4 2 2" xfId="25134"/>
    <cellStyle name="Normal 6 6 2 4 3" xfId="23886"/>
    <cellStyle name="Normal 6 6 2 5" xfId="8765"/>
    <cellStyle name="Normal 6 6 2 5 2" xfId="24452"/>
    <cellStyle name="Normal 6 6 2 6" xfId="2912"/>
    <cellStyle name="Normal 6 6 2 7" xfId="22176"/>
    <cellStyle name="Normal 6 6 3" xfId="1182"/>
    <cellStyle name="Normal 6 6 3 2" xfId="1183"/>
    <cellStyle name="Normal 6 6 3 2 2" xfId="8536"/>
    <cellStyle name="Normal 6 6 3 2 2 2" xfId="11149"/>
    <cellStyle name="Normal 6 6 3 2 2 2 2" xfId="25471"/>
    <cellStyle name="Normal 6 6 3 2 2 3" xfId="24223"/>
    <cellStyle name="Normal 6 6 3 2 3" xfId="9177"/>
    <cellStyle name="Normal 6 6 3 2 3 2" xfId="24849"/>
    <cellStyle name="Normal 6 6 3 2 4" xfId="3417"/>
    <cellStyle name="Normal 6 6 3 2 5" xfId="22181"/>
    <cellStyle name="Normal 6 6 3 3" xfId="8255"/>
    <cellStyle name="Normal 6 6 3 3 2" xfId="10868"/>
    <cellStyle name="Normal 6 6 3 3 2 2" xfId="25190"/>
    <cellStyle name="Normal 6 6 3 3 3" xfId="23942"/>
    <cellStyle name="Normal 6 6 3 4" xfId="8821"/>
    <cellStyle name="Normal 6 6 3 4 2" xfId="24508"/>
    <cellStyle name="Normal 6 6 3 5" xfId="2968"/>
    <cellStyle name="Normal 6 6 3 6" xfId="22180"/>
    <cellStyle name="Normal 6 6 4" xfId="1184"/>
    <cellStyle name="Normal 6 6 4 2" xfId="1185"/>
    <cellStyle name="Normal 6 6 4 2 2" xfId="8617"/>
    <cellStyle name="Normal 6 6 4 2 2 2" xfId="11230"/>
    <cellStyle name="Normal 6 6 4 2 2 2 2" xfId="25552"/>
    <cellStyle name="Normal 6 6 4 2 2 3" xfId="24304"/>
    <cellStyle name="Normal 6 6 4 2 3" xfId="9259"/>
    <cellStyle name="Normal 6 6 4 2 3 2" xfId="24930"/>
    <cellStyle name="Normal 6 6 4 2 4" xfId="3506"/>
    <cellStyle name="Normal 6 6 4 2 5" xfId="22183"/>
    <cellStyle name="Normal 6 6 4 3" xfId="8336"/>
    <cellStyle name="Normal 6 6 4 3 2" xfId="10949"/>
    <cellStyle name="Normal 6 6 4 3 2 2" xfId="25271"/>
    <cellStyle name="Normal 6 6 4 3 3" xfId="24023"/>
    <cellStyle name="Normal 6 6 4 4" xfId="8902"/>
    <cellStyle name="Normal 6 6 4 4 2" xfId="24589"/>
    <cellStyle name="Normal 6 6 4 5" xfId="3059"/>
    <cellStyle name="Normal 6 6 4 6" xfId="22182"/>
    <cellStyle name="Normal 6 6 5" xfId="1186"/>
    <cellStyle name="Normal 6 6 5 2" xfId="8434"/>
    <cellStyle name="Normal 6 6 5 2 2" xfId="11047"/>
    <cellStyle name="Normal 6 6 5 2 2 2" xfId="25369"/>
    <cellStyle name="Normal 6 6 5 2 3" xfId="24121"/>
    <cellStyle name="Normal 6 6 5 3" xfId="9004"/>
    <cellStyle name="Normal 6 6 5 3 2" xfId="24687"/>
    <cellStyle name="Normal 6 6 5 4" xfId="3179"/>
    <cellStyle name="Normal 6 6 5 5" xfId="22184"/>
    <cellStyle name="Normal 6 6 6" xfId="1187"/>
    <cellStyle name="Normal 6 6 6 2" xfId="8168"/>
    <cellStyle name="Normal 6 6 6 2 2" xfId="10781"/>
    <cellStyle name="Normal 6 6 6 2 2 2" xfId="25103"/>
    <cellStyle name="Normal 6 6 6 2 3" xfId="23855"/>
    <cellStyle name="Normal 6 6 6 3" xfId="9090"/>
    <cellStyle name="Normal 6 6 6 3 2" xfId="24762"/>
    <cellStyle name="Normal 6 6 6 4" xfId="3330"/>
    <cellStyle name="Normal 6 6 6 5" xfId="22185"/>
    <cellStyle name="Normal 6 6 7" xfId="8093"/>
    <cellStyle name="Normal 6 6 7 2" xfId="10706"/>
    <cellStyle name="Normal 6 6 7 2 2" xfId="25028"/>
    <cellStyle name="Normal 6 6 7 3" xfId="23780"/>
    <cellStyle name="Normal 6 6 8" xfId="8734"/>
    <cellStyle name="Normal 6 6 8 2" xfId="24421"/>
    <cellStyle name="Normal 6 6 9" xfId="2880"/>
    <cellStyle name="Normal 6 7" xfId="1188"/>
    <cellStyle name="Normal 6 7 2" xfId="1189"/>
    <cellStyle name="Normal 6 7 2 2" xfId="1190"/>
    <cellStyle name="Normal 6 7 2 2 2" xfId="8642"/>
    <cellStyle name="Normal 6 7 2 2 2 2" xfId="11255"/>
    <cellStyle name="Normal 6 7 2 2 2 2 2" xfId="25577"/>
    <cellStyle name="Normal 6 7 2 2 2 3" xfId="24329"/>
    <cellStyle name="Normal 6 7 2 2 3" xfId="9284"/>
    <cellStyle name="Normal 6 7 2 2 3 2" xfId="24955"/>
    <cellStyle name="Normal 6 7 2 2 4" xfId="3532"/>
    <cellStyle name="Normal 6 7 2 2 5" xfId="22188"/>
    <cellStyle name="Normal 6 7 2 3" xfId="8361"/>
    <cellStyle name="Normal 6 7 2 3 2" xfId="10974"/>
    <cellStyle name="Normal 6 7 2 3 2 2" xfId="25296"/>
    <cellStyle name="Normal 6 7 2 3 3" xfId="24048"/>
    <cellStyle name="Normal 6 7 2 4" xfId="8927"/>
    <cellStyle name="Normal 6 7 2 4 2" xfId="24614"/>
    <cellStyle name="Normal 6 7 2 5" xfId="3084"/>
    <cellStyle name="Normal 6 7 2 6" xfId="22187"/>
    <cellStyle name="Normal 6 7 3" xfId="1191"/>
    <cellStyle name="Normal 6 7 3 2" xfId="8478"/>
    <cellStyle name="Normal 6 7 3 2 2" xfId="11091"/>
    <cellStyle name="Normal 6 7 3 2 2 2" xfId="25413"/>
    <cellStyle name="Normal 6 7 3 2 3" xfId="24165"/>
    <cellStyle name="Normal 6 7 3 3" xfId="9115"/>
    <cellStyle name="Normal 6 7 3 3 2" xfId="24787"/>
    <cellStyle name="Normal 6 7 3 4" xfId="3355"/>
    <cellStyle name="Normal 6 7 3 5" xfId="22189"/>
    <cellStyle name="Normal 6 7 4" xfId="8193"/>
    <cellStyle name="Normal 6 7 4 2" xfId="10806"/>
    <cellStyle name="Normal 6 7 4 2 2" xfId="25128"/>
    <cellStyle name="Normal 6 7 4 3" xfId="23880"/>
    <cellStyle name="Normal 6 7 5" xfId="8759"/>
    <cellStyle name="Normal 6 7 5 2" xfId="24446"/>
    <cellStyle name="Normal 6 7 6" xfId="2906"/>
    <cellStyle name="Normal 6 7 7" xfId="22186"/>
    <cellStyle name="Normal 6 8" xfId="1192"/>
    <cellStyle name="Normal 6 8 2" xfId="1193"/>
    <cellStyle name="Normal 6 8 2 2" xfId="8530"/>
    <cellStyle name="Normal 6 8 2 2 2" xfId="11143"/>
    <cellStyle name="Normal 6 8 2 2 2 2" xfId="25465"/>
    <cellStyle name="Normal 6 8 2 2 3" xfId="24217"/>
    <cellStyle name="Normal 6 8 2 3" xfId="9171"/>
    <cellStyle name="Normal 6 8 2 3 2" xfId="24843"/>
    <cellStyle name="Normal 6 8 2 4" xfId="3411"/>
    <cellStyle name="Normal 6 8 2 5" xfId="22191"/>
    <cellStyle name="Normal 6 8 3" xfId="8249"/>
    <cellStyle name="Normal 6 8 3 2" xfId="10862"/>
    <cellStyle name="Normal 6 8 3 2 2" xfId="25184"/>
    <cellStyle name="Normal 6 8 3 3" xfId="23936"/>
    <cellStyle name="Normal 6 8 4" xfId="8815"/>
    <cellStyle name="Normal 6 8 4 2" xfId="24502"/>
    <cellStyle name="Normal 6 8 5" xfId="2962"/>
    <cellStyle name="Normal 6 8 6" xfId="22190"/>
    <cellStyle name="Normal 6 9" xfId="1194"/>
    <cellStyle name="Normal 6 9 2" xfId="1195"/>
    <cellStyle name="Normal 6 9 2 2" xfId="8586"/>
    <cellStyle name="Normal 6 9 2 2 2" xfId="11199"/>
    <cellStyle name="Normal 6 9 2 2 2 2" xfId="25521"/>
    <cellStyle name="Normal 6 9 2 2 3" xfId="24273"/>
    <cellStyle name="Normal 6 9 2 3" xfId="9227"/>
    <cellStyle name="Normal 6 9 2 3 2" xfId="24899"/>
    <cellStyle name="Normal 6 9 2 4" xfId="3473"/>
    <cellStyle name="Normal 6 9 2 5" xfId="22193"/>
    <cellStyle name="Normal 6 9 3" xfId="8305"/>
    <cellStyle name="Normal 6 9 3 2" xfId="10918"/>
    <cellStyle name="Normal 6 9 3 2 2" xfId="25240"/>
    <cellStyle name="Normal 6 9 3 3" xfId="23992"/>
    <cellStyle name="Normal 6 9 4" xfId="8871"/>
    <cellStyle name="Normal 6 9 4 2" xfId="24558"/>
    <cellStyle name="Normal 6 9 5" xfId="3023"/>
    <cellStyle name="Normal 6 9 6" xfId="22192"/>
    <cellStyle name="Normal 7" xfId="1196"/>
    <cellStyle name="Normal 7 10" xfId="1197"/>
    <cellStyle name="Normal 7 10 2" xfId="8142"/>
    <cellStyle name="Normal 7 10 2 2" xfId="10755"/>
    <cellStyle name="Normal 7 10 2 2 2" xfId="25077"/>
    <cellStyle name="Normal 7 10 2 3" xfId="23829"/>
    <cellStyle name="Normal 7 10 3" xfId="9064"/>
    <cellStyle name="Normal 7 10 3 2" xfId="24736"/>
    <cellStyle name="Normal 7 10 4" xfId="3304"/>
    <cellStyle name="Normal 7 10 5" xfId="22195"/>
    <cellStyle name="Normal 7 11" xfId="8077"/>
    <cellStyle name="Normal 7 11 2" xfId="10690"/>
    <cellStyle name="Normal 7 11 2 2" xfId="25012"/>
    <cellStyle name="Normal 7 11 3" xfId="23764"/>
    <cellStyle name="Normal 7 12" xfId="8708"/>
    <cellStyle name="Normal 7 12 2" xfId="24395"/>
    <cellStyle name="Normal 7 13" xfId="2852"/>
    <cellStyle name="Normal 7 14" xfId="22194"/>
    <cellStyle name="Normal 7 2" xfId="1198"/>
    <cellStyle name="Normal 7 2 10" xfId="8713"/>
    <cellStyle name="Normal 7 2 10 2" xfId="24400"/>
    <cellStyle name="Normal 7 2 11" xfId="2857"/>
    <cellStyle name="Normal 7 2 12" xfId="22196"/>
    <cellStyle name="Normal 7 2 2" xfId="1199"/>
    <cellStyle name="Normal 7 2 2 10" xfId="2868"/>
    <cellStyle name="Normal 7 2 2 11" xfId="22197"/>
    <cellStyle name="Normal 7 2 2 2" xfId="1200"/>
    <cellStyle name="Normal 7 2 2 2 10" xfId="22198"/>
    <cellStyle name="Normal 7 2 2 2 2" xfId="1201"/>
    <cellStyle name="Normal 7 2 2 2 2 2" xfId="1202"/>
    <cellStyle name="Normal 7 2 2 2 2 2 2" xfId="1203"/>
    <cellStyle name="Normal 7 2 2 2 2 2 2 2" xfId="8694"/>
    <cellStyle name="Normal 7 2 2 2 2 2 2 2 2" xfId="11307"/>
    <cellStyle name="Normal 7 2 2 2 2 2 2 2 2 2" xfId="25629"/>
    <cellStyle name="Normal 7 2 2 2 2 2 2 2 3" xfId="24381"/>
    <cellStyle name="Normal 7 2 2 2 2 2 2 3" xfId="9336"/>
    <cellStyle name="Normal 7 2 2 2 2 2 2 3 2" xfId="25007"/>
    <cellStyle name="Normal 7 2 2 2 2 2 2 4" xfId="3584"/>
    <cellStyle name="Normal 7 2 2 2 2 2 2 5" xfId="22201"/>
    <cellStyle name="Normal 7 2 2 2 2 2 3" xfId="8413"/>
    <cellStyle name="Normal 7 2 2 2 2 2 3 2" xfId="11026"/>
    <cellStyle name="Normal 7 2 2 2 2 2 3 2 2" xfId="25348"/>
    <cellStyle name="Normal 7 2 2 2 2 2 3 3" xfId="24100"/>
    <cellStyle name="Normal 7 2 2 2 2 2 4" xfId="8979"/>
    <cellStyle name="Normal 7 2 2 2 2 2 4 2" xfId="24666"/>
    <cellStyle name="Normal 7 2 2 2 2 2 5" xfId="3136"/>
    <cellStyle name="Normal 7 2 2 2 2 2 6" xfId="22200"/>
    <cellStyle name="Normal 7 2 2 2 2 3" xfId="1204"/>
    <cellStyle name="Normal 7 2 2 2 2 3 2" xfId="8526"/>
    <cellStyle name="Normal 7 2 2 2 2 3 2 2" xfId="11139"/>
    <cellStyle name="Normal 7 2 2 2 2 3 2 2 2" xfId="25461"/>
    <cellStyle name="Normal 7 2 2 2 2 3 2 3" xfId="24213"/>
    <cellStyle name="Normal 7 2 2 2 2 3 3" xfId="9167"/>
    <cellStyle name="Normal 7 2 2 2 2 3 3 2" xfId="24839"/>
    <cellStyle name="Normal 7 2 2 2 2 3 4" xfId="3407"/>
    <cellStyle name="Normal 7 2 2 2 2 3 5" xfId="22202"/>
    <cellStyle name="Normal 7 2 2 2 2 4" xfId="8245"/>
    <cellStyle name="Normal 7 2 2 2 2 4 2" xfId="10858"/>
    <cellStyle name="Normal 7 2 2 2 2 4 2 2" xfId="25180"/>
    <cellStyle name="Normal 7 2 2 2 2 4 3" xfId="23932"/>
    <cellStyle name="Normal 7 2 2 2 2 5" xfId="8811"/>
    <cellStyle name="Normal 7 2 2 2 2 5 2" xfId="24498"/>
    <cellStyle name="Normal 7 2 2 2 2 6" xfId="2958"/>
    <cellStyle name="Normal 7 2 2 2 2 7" xfId="22199"/>
    <cellStyle name="Normal 7 2 2 2 3" xfId="1205"/>
    <cellStyle name="Normal 7 2 2 2 3 2" xfId="1206"/>
    <cellStyle name="Normal 7 2 2 2 3 2 2" xfId="8582"/>
    <cellStyle name="Normal 7 2 2 2 3 2 2 2" xfId="11195"/>
    <cellStyle name="Normal 7 2 2 2 3 2 2 2 2" xfId="25517"/>
    <cellStyle name="Normal 7 2 2 2 3 2 2 3" xfId="24269"/>
    <cellStyle name="Normal 7 2 2 2 3 2 3" xfId="9223"/>
    <cellStyle name="Normal 7 2 2 2 3 2 3 2" xfId="24895"/>
    <cellStyle name="Normal 7 2 2 2 3 2 4" xfId="3463"/>
    <cellStyle name="Normal 7 2 2 2 3 2 5" xfId="22204"/>
    <cellStyle name="Normal 7 2 2 2 3 3" xfId="8301"/>
    <cellStyle name="Normal 7 2 2 2 3 3 2" xfId="10914"/>
    <cellStyle name="Normal 7 2 2 2 3 3 2 2" xfId="25236"/>
    <cellStyle name="Normal 7 2 2 2 3 3 3" xfId="23988"/>
    <cellStyle name="Normal 7 2 2 2 3 4" xfId="8867"/>
    <cellStyle name="Normal 7 2 2 2 3 4 2" xfId="24554"/>
    <cellStyle name="Normal 7 2 2 2 3 5" xfId="3014"/>
    <cellStyle name="Normal 7 2 2 2 3 6" xfId="22203"/>
    <cellStyle name="Normal 7 2 2 2 4" xfId="1207"/>
    <cellStyle name="Normal 7 2 2 2 4 2" xfId="1208"/>
    <cellStyle name="Normal 7 2 2 2 4 2 2" xfId="8637"/>
    <cellStyle name="Normal 7 2 2 2 4 2 2 2" xfId="11250"/>
    <cellStyle name="Normal 7 2 2 2 4 2 2 2 2" xfId="25572"/>
    <cellStyle name="Normal 7 2 2 2 4 2 2 3" xfId="24324"/>
    <cellStyle name="Normal 7 2 2 2 4 2 3" xfId="9279"/>
    <cellStyle name="Normal 7 2 2 2 4 2 3 2" xfId="24950"/>
    <cellStyle name="Normal 7 2 2 2 4 2 4" xfId="3527"/>
    <cellStyle name="Normal 7 2 2 2 4 2 5" xfId="22206"/>
    <cellStyle name="Normal 7 2 2 2 4 3" xfId="8356"/>
    <cellStyle name="Normal 7 2 2 2 4 3 2" xfId="10969"/>
    <cellStyle name="Normal 7 2 2 2 4 3 2 2" xfId="25291"/>
    <cellStyle name="Normal 7 2 2 2 4 3 3" xfId="24043"/>
    <cellStyle name="Normal 7 2 2 2 4 4" xfId="8922"/>
    <cellStyle name="Normal 7 2 2 2 4 4 2" xfId="24609"/>
    <cellStyle name="Normal 7 2 2 2 4 5" xfId="3079"/>
    <cellStyle name="Normal 7 2 2 2 4 6" xfId="22205"/>
    <cellStyle name="Normal 7 2 2 2 5" xfId="1209"/>
    <cellStyle name="Normal 7 2 2 2 5 2" xfId="8474"/>
    <cellStyle name="Normal 7 2 2 2 5 2 2" xfId="11087"/>
    <cellStyle name="Normal 7 2 2 2 5 2 2 2" xfId="25409"/>
    <cellStyle name="Normal 7 2 2 2 5 2 3" xfId="24161"/>
    <cellStyle name="Normal 7 2 2 2 5 3" xfId="9046"/>
    <cellStyle name="Normal 7 2 2 2 5 3 2" xfId="24727"/>
    <cellStyle name="Normal 7 2 2 2 5 4" xfId="3238"/>
    <cellStyle name="Normal 7 2 2 2 5 5" xfId="22207"/>
    <cellStyle name="Normal 7 2 2 2 6" xfId="1210"/>
    <cellStyle name="Normal 7 2 2 2 6 2" xfId="8188"/>
    <cellStyle name="Normal 7 2 2 2 6 2 2" xfId="10801"/>
    <cellStyle name="Normal 7 2 2 2 6 2 2 2" xfId="25123"/>
    <cellStyle name="Normal 7 2 2 2 6 2 3" xfId="23875"/>
    <cellStyle name="Normal 7 2 2 2 6 3" xfId="9110"/>
    <cellStyle name="Normal 7 2 2 2 6 3 2" xfId="24782"/>
    <cellStyle name="Normal 7 2 2 2 6 4" xfId="3350"/>
    <cellStyle name="Normal 7 2 2 2 6 5" xfId="22208"/>
    <cellStyle name="Normal 7 2 2 2 7" xfId="8133"/>
    <cellStyle name="Normal 7 2 2 2 7 2" xfId="10746"/>
    <cellStyle name="Normal 7 2 2 2 7 2 2" xfId="25068"/>
    <cellStyle name="Normal 7 2 2 2 7 3" xfId="23820"/>
    <cellStyle name="Normal 7 2 2 2 8" xfId="8754"/>
    <cellStyle name="Normal 7 2 2 2 8 2" xfId="24441"/>
    <cellStyle name="Normal 7 2 2 2 9" xfId="2901"/>
    <cellStyle name="Normal 7 2 2 3" xfId="1211"/>
    <cellStyle name="Normal 7 2 2 3 2" xfId="1212"/>
    <cellStyle name="Normal 7 2 2 3 2 2" xfId="1213"/>
    <cellStyle name="Normal 7 2 2 3 2 2 2" xfId="8668"/>
    <cellStyle name="Normal 7 2 2 3 2 2 2 2" xfId="11281"/>
    <cellStyle name="Normal 7 2 2 3 2 2 2 2 2" xfId="25603"/>
    <cellStyle name="Normal 7 2 2 3 2 2 2 3" xfId="24355"/>
    <cellStyle name="Normal 7 2 2 3 2 2 3" xfId="9310"/>
    <cellStyle name="Normal 7 2 2 3 2 2 3 2" xfId="24981"/>
    <cellStyle name="Normal 7 2 2 3 2 2 4" xfId="3558"/>
    <cellStyle name="Normal 7 2 2 3 2 2 5" xfId="22211"/>
    <cellStyle name="Normal 7 2 2 3 2 3" xfId="8387"/>
    <cellStyle name="Normal 7 2 2 3 2 3 2" xfId="11000"/>
    <cellStyle name="Normal 7 2 2 3 2 3 2 2" xfId="25322"/>
    <cellStyle name="Normal 7 2 2 3 2 3 3" xfId="24074"/>
    <cellStyle name="Normal 7 2 2 3 2 4" xfId="8953"/>
    <cellStyle name="Normal 7 2 2 3 2 4 2" xfId="24640"/>
    <cellStyle name="Normal 7 2 2 3 2 5" xfId="3110"/>
    <cellStyle name="Normal 7 2 2 3 2 6" xfId="22210"/>
    <cellStyle name="Normal 7 2 2 3 3" xfId="1214"/>
    <cellStyle name="Normal 7 2 2 3 3 2" xfId="8500"/>
    <cellStyle name="Normal 7 2 2 3 3 2 2" xfId="11113"/>
    <cellStyle name="Normal 7 2 2 3 3 2 2 2" xfId="25435"/>
    <cellStyle name="Normal 7 2 2 3 3 2 3" xfId="24187"/>
    <cellStyle name="Normal 7 2 2 3 3 3" xfId="9141"/>
    <cellStyle name="Normal 7 2 2 3 3 3 2" xfId="24813"/>
    <cellStyle name="Normal 7 2 2 3 3 4" xfId="3381"/>
    <cellStyle name="Normal 7 2 2 3 3 5" xfId="22212"/>
    <cellStyle name="Normal 7 2 2 3 4" xfId="8219"/>
    <cellStyle name="Normal 7 2 2 3 4 2" xfId="10832"/>
    <cellStyle name="Normal 7 2 2 3 4 2 2" xfId="25154"/>
    <cellStyle name="Normal 7 2 2 3 4 3" xfId="23906"/>
    <cellStyle name="Normal 7 2 2 3 5" xfId="8785"/>
    <cellStyle name="Normal 7 2 2 3 5 2" xfId="24472"/>
    <cellStyle name="Normal 7 2 2 3 6" xfId="2932"/>
    <cellStyle name="Normal 7 2 2 3 7" xfId="22209"/>
    <cellStyle name="Normal 7 2 2 4" xfId="1215"/>
    <cellStyle name="Normal 7 2 2 4 2" xfId="1216"/>
    <cellStyle name="Normal 7 2 2 4 2 2" xfId="8556"/>
    <cellStyle name="Normal 7 2 2 4 2 2 2" xfId="11169"/>
    <cellStyle name="Normal 7 2 2 4 2 2 2 2" xfId="25491"/>
    <cellStyle name="Normal 7 2 2 4 2 2 3" xfId="24243"/>
    <cellStyle name="Normal 7 2 2 4 2 3" xfId="9197"/>
    <cellStyle name="Normal 7 2 2 4 2 3 2" xfId="24869"/>
    <cellStyle name="Normal 7 2 2 4 2 4" xfId="3437"/>
    <cellStyle name="Normal 7 2 2 4 2 5" xfId="22214"/>
    <cellStyle name="Normal 7 2 2 4 3" xfId="8275"/>
    <cellStyle name="Normal 7 2 2 4 3 2" xfId="10888"/>
    <cellStyle name="Normal 7 2 2 4 3 2 2" xfId="25210"/>
    <cellStyle name="Normal 7 2 2 4 3 3" xfId="23962"/>
    <cellStyle name="Normal 7 2 2 4 4" xfId="8841"/>
    <cellStyle name="Normal 7 2 2 4 4 2" xfId="24528"/>
    <cellStyle name="Normal 7 2 2 4 5" xfId="2988"/>
    <cellStyle name="Normal 7 2 2 4 6" xfId="22213"/>
    <cellStyle name="Normal 7 2 2 5" xfId="1217"/>
    <cellStyle name="Normal 7 2 2 5 2" xfId="1218"/>
    <cellStyle name="Normal 7 2 2 5 2 2" xfId="8606"/>
    <cellStyle name="Normal 7 2 2 5 2 2 2" xfId="11219"/>
    <cellStyle name="Normal 7 2 2 5 2 2 2 2" xfId="25541"/>
    <cellStyle name="Normal 7 2 2 5 2 2 3" xfId="24293"/>
    <cellStyle name="Normal 7 2 2 5 2 3" xfId="9248"/>
    <cellStyle name="Normal 7 2 2 5 2 3 2" xfId="24919"/>
    <cellStyle name="Normal 7 2 2 5 2 4" xfId="3495"/>
    <cellStyle name="Normal 7 2 2 5 2 5" xfId="22216"/>
    <cellStyle name="Normal 7 2 2 5 3" xfId="8325"/>
    <cellStyle name="Normal 7 2 2 5 3 2" xfId="10938"/>
    <cellStyle name="Normal 7 2 2 5 3 2 2" xfId="25260"/>
    <cellStyle name="Normal 7 2 2 5 3 3" xfId="24012"/>
    <cellStyle name="Normal 7 2 2 5 4" xfId="8891"/>
    <cellStyle name="Normal 7 2 2 5 4 2" xfId="24578"/>
    <cellStyle name="Normal 7 2 2 5 5" xfId="3048"/>
    <cellStyle name="Normal 7 2 2 5 6" xfId="22215"/>
    <cellStyle name="Normal 7 2 2 6" xfId="1219"/>
    <cellStyle name="Normal 7 2 2 6 2" xfId="8449"/>
    <cellStyle name="Normal 7 2 2 6 2 2" xfId="11062"/>
    <cellStyle name="Normal 7 2 2 6 2 2 2" xfId="25384"/>
    <cellStyle name="Normal 7 2 2 6 2 3" xfId="24136"/>
    <cellStyle name="Normal 7 2 2 6 3" xfId="9021"/>
    <cellStyle name="Normal 7 2 2 6 3 2" xfId="24702"/>
    <cellStyle name="Normal 7 2 2 6 4" xfId="3212"/>
    <cellStyle name="Normal 7 2 2 6 5" xfId="22217"/>
    <cellStyle name="Normal 7 2 2 7" xfId="1220"/>
    <cellStyle name="Normal 7 2 2 7 2" xfId="8157"/>
    <cellStyle name="Normal 7 2 2 7 2 2" xfId="10770"/>
    <cellStyle name="Normal 7 2 2 7 2 2 2" xfId="25092"/>
    <cellStyle name="Normal 7 2 2 7 2 3" xfId="23844"/>
    <cellStyle name="Normal 7 2 2 7 3" xfId="9079"/>
    <cellStyle name="Normal 7 2 2 7 3 2" xfId="24751"/>
    <cellStyle name="Normal 7 2 2 7 4" xfId="3319"/>
    <cellStyle name="Normal 7 2 2 7 5" xfId="22218"/>
    <cellStyle name="Normal 7 2 2 8" xfId="8108"/>
    <cellStyle name="Normal 7 2 2 8 2" xfId="10721"/>
    <cellStyle name="Normal 7 2 2 8 2 2" xfId="25043"/>
    <cellStyle name="Normal 7 2 2 8 3" xfId="23795"/>
    <cellStyle name="Normal 7 2 2 9" xfId="8723"/>
    <cellStyle name="Normal 7 2 2 9 2" xfId="24410"/>
    <cellStyle name="Normal 7 2 3" xfId="1221"/>
    <cellStyle name="Normal 7 2 3 10" xfId="22219"/>
    <cellStyle name="Normal 7 2 3 2" xfId="1222"/>
    <cellStyle name="Normal 7 2 3 2 2" xfId="1223"/>
    <cellStyle name="Normal 7 2 3 2 2 2" xfId="1224"/>
    <cellStyle name="Normal 7 2 3 2 2 2 2" xfId="8684"/>
    <cellStyle name="Normal 7 2 3 2 2 2 2 2" xfId="11297"/>
    <cellStyle name="Normal 7 2 3 2 2 2 2 2 2" xfId="25619"/>
    <cellStyle name="Normal 7 2 3 2 2 2 2 3" xfId="24371"/>
    <cellStyle name="Normal 7 2 3 2 2 2 3" xfId="9326"/>
    <cellStyle name="Normal 7 2 3 2 2 2 3 2" xfId="24997"/>
    <cellStyle name="Normal 7 2 3 2 2 2 4" xfId="3574"/>
    <cellStyle name="Normal 7 2 3 2 2 2 5" xfId="22222"/>
    <cellStyle name="Normal 7 2 3 2 2 3" xfId="8403"/>
    <cellStyle name="Normal 7 2 3 2 2 3 2" xfId="11016"/>
    <cellStyle name="Normal 7 2 3 2 2 3 2 2" xfId="25338"/>
    <cellStyle name="Normal 7 2 3 2 2 3 3" xfId="24090"/>
    <cellStyle name="Normal 7 2 3 2 2 4" xfId="8969"/>
    <cellStyle name="Normal 7 2 3 2 2 4 2" xfId="24656"/>
    <cellStyle name="Normal 7 2 3 2 2 5" xfId="3126"/>
    <cellStyle name="Normal 7 2 3 2 2 6" xfId="22221"/>
    <cellStyle name="Normal 7 2 3 2 3" xfId="1225"/>
    <cellStyle name="Normal 7 2 3 2 3 2" xfId="8516"/>
    <cellStyle name="Normal 7 2 3 2 3 2 2" xfId="11129"/>
    <cellStyle name="Normal 7 2 3 2 3 2 2 2" xfId="25451"/>
    <cellStyle name="Normal 7 2 3 2 3 2 3" xfId="24203"/>
    <cellStyle name="Normal 7 2 3 2 3 3" xfId="9157"/>
    <cellStyle name="Normal 7 2 3 2 3 3 2" xfId="24829"/>
    <cellStyle name="Normal 7 2 3 2 3 4" xfId="3397"/>
    <cellStyle name="Normal 7 2 3 2 3 5" xfId="22223"/>
    <cellStyle name="Normal 7 2 3 2 4" xfId="8235"/>
    <cellStyle name="Normal 7 2 3 2 4 2" xfId="10848"/>
    <cellStyle name="Normal 7 2 3 2 4 2 2" xfId="25170"/>
    <cellStyle name="Normal 7 2 3 2 4 3" xfId="23922"/>
    <cellStyle name="Normal 7 2 3 2 5" xfId="8801"/>
    <cellStyle name="Normal 7 2 3 2 5 2" xfId="24488"/>
    <cellStyle name="Normal 7 2 3 2 6" xfId="2948"/>
    <cellStyle name="Normal 7 2 3 2 7" xfId="22220"/>
    <cellStyle name="Normal 7 2 3 3" xfId="1226"/>
    <cellStyle name="Normal 7 2 3 3 2" xfId="1227"/>
    <cellStyle name="Normal 7 2 3 3 2 2" xfId="8572"/>
    <cellStyle name="Normal 7 2 3 3 2 2 2" xfId="11185"/>
    <cellStyle name="Normal 7 2 3 3 2 2 2 2" xfId="25507"/>
    <cellStyle name="Normal 7 2 3 3 2 2 3" xfId="24259"/>
    <cellStyle name="Normal 7 2 3 3 2 3" xfId="9213"/>
    <cellStyle name="Normal 7 2 3 3 2 3 2" xfId="24885"/>
    <cellStyle name="Normal 7 2 3 3 2 4" xfId="3453"/>
    <cellStyle name="Normal 7 2 3 3 2 5" xfId="22225"/>
    <cellStyle name="Normal 7 2 3 3 3" xfId="8291"/>
    <cellStyle name="Normal 7 2 3 3 3 2" xfId="10904"/>
    <cellStyle name="Normal 7 2 3 3 3 2 2" xfId="25226"/>
    <cellStyle name="Normal 7 2 3 3 3 3" xfId="23978"/>
    <cellStyle name="Normal 7 2 3 3 4" xfId="8857"/>
    <cellStyle name="Normal 7 2 3 3 4 2" xfId="24544"/>
    <cellStyle name="Normal 7 2 3 3 5" xfId="3004"/>
    <cellStyle name="Normal 7 2 3 3 6" xfId="22224"/>
    <cellStyle name="Normal 7 2 3 4" xfId="1228"/>
    <cellStyle name="Normal 7 2 3 4 2" xfId="1229"/>
    <cellStyle name="Normal 7 2 3 4 2 2" xfId="8627"/>
    <cellStyle name="Normal 7 2 3 4 2 2 2" xfId="11240"/>
    <cellStyle name="Normal 7 2 3 4 2 2 2 2" xfId="25562"/>
    <cellStyle name="Normal 7 2 3 4 2 2 3" xfId="24314"/>
    <cellStyle name="Normal 7 2 3 4 2 3" xfId="9269"/>
    <cellStyle name="Normal 7 2 3 4 2 3 2" xfId="24940"/>
    <cellStyle name="Normal 7 2 3 4 2 4" xfId="3517"/>
    <cellStyle name="Normal 7 2 3 4 2 5" xfId="22227"/>
    <cellStyle name="Normal 7 2 3 4 3" xfId="8346"/>
    <cellStyle name="Normal 7 2 3 4 3 2" xfId="10959"/>
    <cellStyle name="Normal 7 2 3 4 3 2 2" xfId="25281"/>
    <cellStyle name="Normal 7 2 3 4 3 3" xfId="24033"/>
    <cellStyle name="Normal 7 2 3 4 4" xfId="8912"/>
    <cellStyle name="Normal 7 2 3 4 4 2" xfId="24599"/>
    <cellStyle name="Normal 7 2 3 4 5" xfId="3069"/>
    <cellStyle name="Normal 7 2 3 4 6" xfId="22226"/>
    <cellStyle name="Normal 7 2 3 5" xfId="1230"/>
    <cellStyle name="Normal 7 2 3 5 2" xfId="8464"/>
    <cellStyle name="Normal 7 2 3 5 2 2" xfId="11077"/>
    <cellStyle name="Normal 7 2 3 5 2 2 2" xfId="25399"/>
    <cellStyle name="Normal 7 2 3 5 2 3" xfId="24151"/>
    <cellStyle name="Normal 7 2 3 5 3" xfId="9036"/>
    <cellStyle name="Normal 7 2 3 5 3 2" xfId="24717"/>
    <cellStyle name="Normal 7 2 3 5 4" xfId="3228"/>
    <cellStyle name="Normal 7 2 3 5 5" xfId="22228"/>
    <cellStyle name="Normal 7 2 3 6" xfId="1231"/>
    <cellStyle name="Normal 7 2 3 6 2" xfId="8178"/>
    <cellStyle name="Normal 7 2 3 6 2 2" xfId="10791"/>
    <cellStyle name="Normal 7 2 3 6 2 2 2" xfId="25113"/>
    <cellStyle name="Normal 7 2 3 6 2 3" xfId="23865"/>
    <cellStyle name="Normal 7 2 3 6 3" xfId="9100"/>
    <cellStyle name="Normal 7 2 3 6 3 2" xfId="24772"/>
    <cellStyle name="Normal 7 2 3 6 4" xfId="3340"/>
    <cellStyle name="Normal 7 2 3 6 5" xfId="22229"/>
    <cellStyle name="Normal 7 2 3 7" xfId="8123"/>
    <cellStyle name="Normal 7 2 3 7 2" xfId="10736"/>
    <cellStyle name="Normal 7 2 3 7 2 2" xfId="25058"/>
    <cellStyle name="Normal 7 2 3 7 3" xfId="23810"/>
    <cellStyle name="Normal 7 2 3 8" xfId="8744"/>
    <cellStyle name="Normal 7 2 3 8 2" xfId="24431"/>
    <cellStyle name="Normal 7 2 3 9" xfId="2891"/>
    <cellStyle name="Normal 7 2 4" xfId="1232"/>
    <cellStyle name="Normal 7 2 4 2" xfId="1233"/>
    <cellStyle name="Normal 7 2 4 2 2" xfId="1234"/>
    <cellStyle name="Normal 7 2 4 2 2 2" xfId="8658"/>
    <cellStyle name="Normal 7 2 4 2 2 2 2" xfId="11271"/>
    <cellStyle name="Normal 7 2 4 2 2 2 2 2" xfId="25593"/>
    <cellStyle name="Normal 7 2 4 2 2 2 3" xfId="24345"/>
    <cellStyle name="Normal 7 2 4 2 2 3" xfId="9300"/>
    <cellStyle name="Normal 7 2 4 2 2 3 2" xfId="24971"/>
    <cellStyle name="Normal 7 2 4 2 2 4" xfId="3548"/>
    <cellStyle name="Normal 7 2 4 2 2 5" xfId="22232"/>
    <cellStyle name="Normal 7 2 4 2 3" xfId="8377"/>
    <cellStyle name="Normal 7 2 4 2 3 2" xfId="10990"/>
    <cellStyle name="Normal 7 2 4 2 3 2 2" xfId="25312"/>
    <cellStyle name="Normal 7 2 4 2 3 3" xfId="24064"/>
    <cellStyle name="Normal 7 2 4 2 4" xfId="8943"/>
    <cellStyle name="Normal 7 2 4 2 4 2" xfId="24630"/>
    <cellStyle name="Normal 7 2 4 2 5" xfId="3100"/>
    <cellStyle name="Normal 7 2 4 2 6" xfId="22231"/>
    <cellStyle name="Normal 7 2 4 3" xfId="1235"/>
    <cellStyle name="Normal 7 2 4 3 2" xfId="8440"/>
    <cellStyle name="Normal 7 2 4 3 2 2" xfId="11053"/>
    <cellStyle name="Normal 7 2 4 3 2 2 2" xfId="25375"/>
    <cellStyle name="Normal 7 2 4 3 2 3" xfId="24127"/>
    <cellStyle name="Normal 7 2 4 3 3" xfId="9012"/>
    <cellStyle name="Normal 7 2 4 3 3 2" xfId="24693"/>
    <cellStyle name="Normal 7 2 4 3 4" xfId="3203"/>
    <cellStyle name="Normal 7 2 4 3 5" xfId="22233"/>
    <cellStyle name="Normal 7 2 4 4" xfId="1236"/>
    <cellStyle name="Normal 7 2 4 4 2" xfId="8209"/>
    <cellStyle name="Normal 7 2 4 4 2 2" xfId="10822"/>
    <cellStyle name="Normal 7 2 4 4 2 2 2" xfId="25144"/>
    <cellStyle name="Normal 7 2 4 4 2 3" xfId="23896"/>
    <cellStyle name="Normal 7 2 4 4 3" xfId="9131"/>
    <cellStyle name="Normal 7 2 4 4 3 2" xfId="24803"/>
    <cellStyle name="Normal 7 2 4 4 4" xfId="3371"/>
    <cellStyle name="Normal 7 2 4 4 5" xfId="22234"/>
    <cellStyle name="Normal 7 2 4 5" xfId="8099"/>
    <cellStyle name="Normal 7 2 4 5 2" xfId="10712"/>
    <cellStyle name="Normal 7 2 4 5 2 2" xfId="25034"/>
    <cellStyle name="Normal 7 2 4 5 3" xfId="23786"/>
    <cellStyle name="Normal 7 2 4 6" xfId="8775"/>
    <cellStyle name="Normal 7 2 4 6 2" xfId="24462"/>
    <cellStyle name="Normal 7 2 4 7" xfId="2922"/>
    <cellStyle name="Normal 7 2 4 8" xfId="22230"/>
    <cellStyle name="Normal 7 2 5" xfId="1237"/>
    <cellStyle name="Normal 7 2 5 2" xfId="1238"/>
    <cellStyle name="Normal 7 2 5 2 2" xfId="8546"/>
    <cellStyle name="Normal 7 2 5 2 2 2" xfId="11159"/>
    <cellStyle name="Normal 7 2 5 2 2 2 2" xfId="25481"/>
    <cellStyle name="Normal 7 2 5 2 2 3" xfId="24233"/>
    <cellStyle name="Normal 7 2 5 2 3" xfId="9187"/>
    <cellStyle name="Normal 7 2 5 2 3 2" xfId="24859"/>
    <cellStyle name="Normal 7 2 5 2 4" xfId="3427"/>
    <cellStyle name="Normal 7 2 5 2 5" xfId="22236"/>
    <cellStyle name="Normal 7 2 5 3" xfId="8265"/>
    <cellStyle name="Normal 7 2 5 3 2" xfId="10878"/>
    <cellStyle name="Normal 7 2 5 3 2 2" xfId="25200"/>
    <cellStyle name="Normal 7 2 5 3 3" xfId="23952"/>
    <cellStyle name="Normal 7 2 5 4" xfId="8831"/>
    <cellStyle name="Normal 7 2 5 4 2" xfId="24518"/>
    <cellStyle name="Normal 7 2 5 5" xfId="2978"/>
    <cellStyle name="Normal 7 2 5 6" xfId="22235"/>
    <cellStyle name="Normal 7 2 6" xfId="1239"/>
    <cellStyle name="Normal 7 2 6 2" xfId="1240"/>
    <cellStyle name="Normal 7 2 6 2 2" xfId="8596"/>
    <cellStyle name="Normal 7 2 6 2 2 2" xfId="11209"/>
    <cellStyle name="Normal 7 2 6 2 2 2 2" xfId="25531"/>
    <cellStyle name="Normal 7 2 6 2 2 3" xfId="24283"/>
    <cellStyle name="Normal 7 2 6 2 3" xfId="9238"/>
    <cellStyle name="Normal 7 2 6 2 3 2" xfId="24909"/>
    <cellStyle name="Normal 7 2 6 2 4" xfId="3485"/>
    <cellStyle name="Normal 7 2 6 2 5" xfId="22238"/>
    <cellStyle name="Normal 7 2 6 3" xfId="8315"/>
    <cellStyle name="Normal 7 2 6 3 2" xfId="10928"/>
    <cellStyle name="Normal 7 2 6 3 2 2" xfId="25250"/>
    <cellStyle name="Normal 7 2 6 3 3" xfId="24002"/>
    <cellStyle name="Normal 7 2 6 4" xfId="8881"/>
    <cellStyle name="Normal 7 2 6 4 2" xfId="24568"/>
    <cellStyle name="Normal 7 2 6 5" xfId="3038"/>
    <cellStyle name="Normal 7 2 6 6" xfId="22237"/>
    <cellStyle name="Normal 7 2 7" xfId="1241"/>
    <cellStyle name="Normal 7 2 7 2" xfId="8423"/>
    <cellStyle name="Normal 7 2 7 2 2" xfId="11036"/>
    <cellStyle name="Normal 7 2 7 2 2 2" xfId="25358"/>
    <cellStyle name="Normal 7 2 7 2 3" xfId="24110"/>
    <cellStyle name="Normal 7 2 7 3" xfId="8993"/>
    <cellStyle name="Normal 7 2 7 3 2" xfId="24676"/>
    <cellStyle name="Normal 7 2 7 4" xfId="3167"/>
    <cellStyle name="Normal 7 2 7 5" xfId="22239"/>
    <cellStyle name="Normal 7 2 8" xfId="1242"/>
    <cellStyle name="Normal 7 2 8 2" xfId="8147"/>
    <cellStyle name="Normal 7 2 8 2 2" xfId="10760"/>
    <cellStyle name="Normal 7 2 8 2 2 2" xfId="25082"/>
    <cellStyle name="Normal 7 2 8 2 3" xfId="23834"/>
    <cellStyle name="Normal 7 2 8 3" xfId="9069"/>
    <cellStyle name="Normal 7 2 8 3 2" xfId="24741"/>
    <cellStyle name="Normal 7 2 8 4" xfId="3309"/>
    <cellStyle name="Normal 7 2 8 5" xfId="22240"/>
    <cellStyle name="Normal 7 2 9" xfId="8082"/>
    <cellStyle name="Normal 7 2 9 2" xfId="10695"/>
    <cellStyle name="Normal 7 2 9 2 2" xfId="25017"/>
    <cellStyle name="Normal 7 2 9 3" xfId="23769"/>
    <cellStyle name="Normal 7 3" xfId="1243"/>
    <cellStyle name="Normal 7 3 10" xfId="2862"/>
    <cellStyle name="Normal 7 3 11" xfId="22241"/>
    <cellStyle name="Normal 7 3 2" xfId="1244"/>
    <cellStyle name="Normal 7 3 2 10" xfId="22242"/>
    <cellStyle name="Normal 7 3 2 2" xfId="1245"/>
    <cellStyle name="Normal 7 3 2 2 2" xfId="1246"/>
    <cellStyle name="Normal 7 3 2 2 2 2" xfId="1247"/>
    <cellStyle name="Normal 7 3 2 2 2 2 2" xfId="8689"/>
    <cellStyle name="Normal 7 3 2 2 2 2 2 2" xfId="11302"/>
    <cellStyle name="Normal 7 3 2 2 2 2 2 2 2" xfId="25624"/>
    <cellStyle name="Normal 7 3 2 2 2 2 2 3" xfId="24376"/>
    <cellStyle name="Normal 7 3 2 2 2 2 3" xfId="9331"/>
    <cellStyle name="Normal 7 3 2 2 2 2 3 2" xfId="25002"/>
    <cellStyle name="Normal 7 3 2 2 2 2 4" xfId="3579"/>
    <cellStyle name="Normal 7 3 2 2 2 2 5" xfId="22245"/>
    <cellStyle name="Normal 7 3 2 2 2 3" xfId="8408"/>
    <cellStyle name="Normal 7 3 2 2 2 3 2" xfId="11021"/>
    <cellStyle name="Normal 7 3 2 2 2 3 2 2" xfId="25343"/>
    <cellStyle name="Normal 7 3 2 2 2 3 3" xfId="24095"/>
    <cellStyle name="Normal 7 3 2 2 2 4" xfId="8974"/>
    <cellStyle name="Normal 7 3 2 2 2 4 2" xfId="24661"/>
    <cellStyle name="Normal 7 3 2 2 2 5" xfId="3131"/>
    <cellStyle name="Normal 7 3 2 2 2 6" xfId="22244"/>
    <cellStyle name="Normal 7 3 2 2 3" xfId="1248"/>
    <cellStyle name="Normal 7 3 2 2 3 2" xfId="8521"/>
    <cellStyle name="Normal 7 3 2 2 3 2 2" xfId="11134"/>
    <cellStyle name="Normal 7 3 2 2 3 2 2 2" xfId="25456"/>
    <cellStyle name="Normal 7 3 2 2 3 2 3" xfId="24208"/>
    <cellStyle name="Normal 7 3 2 2 3 3" xfId="9162"/>
    <cellStyle name="Normal 7 3 2 2 3 3 2" xfId="24834"/>
    <cellStyle name="Normal 7 3 2 2 3 4" xfId="3402"/>
    <cellStyle name="Normal 7 3 2 2 3 5" xfId="22246"/>
    <cellStyle name="Normal 7 3 2 2 4" xfId="8240"/>
    <cellStyle name="Normal 7 3 2 2 4 2" xfId="10853"/>
    <cellStyle name="Normal 7 3 2 2 4 2 2" xfId="25175"/>
    <cellStyle name="Normal 7 3 2 2 4 3" xfId="23927"/>
    <cellStyle name="Normal 7 3 2 2 5" xfId="8806"/>
    <cellStyle name="Normal 7 3 2 2 5 2" xfId="24493"/>
    <cellStyle name="Normal 7 3 2 2 6" xfId="2953"/>
    <cellStyle name="Normal 7 3 2 2 7" xfId="22243"/>
    <cellStyle name="Normal 7 3 2 3" xfId="1249"/>
    <cellStyle name="Normal 7 3 2 3 2" xfId="1250"/>
    <cellStyle name="Normal 7 3 2 3 2 2" xfId="8577"/>
    <cellStyle name="Normal 7 3 2 3 2 2 2" xfId="11190"/>
    <cellStyle name="Normal 7 3 2 3 2 2 2 2" xfId="25512"/>
    <cellStyle name="Normal 7 3 2 3 2 2 3" xfId="24264"/>
    <cellStyle name="Normal 7 3 2 3 2 3" xfId="9218"/>
    <cellStyle name="Normal 7 3 2 3 2 3 2" xfId="24890"/>
    <cellStyle name="Normal 7 3 2 3 2 4" xfId="3458"/>
    <cellStyle name="Normal 7 3 2 3 2 5" xfId="22248"/>
    <cellStyle name="Normal 7 3 2 3 3" xfId="8296"/>
    <cellStyle name="Normal 7 3 2 3 3 2" xfId="10909"/>
    <cellStyle name="Normal 7 3 2 3 3 2 2" xfId="25231"/>
    <cellStyle name="Normal 7 3 2 3 3 3" xfId="23983"/>
    <cellStyle name="Normal 7 3 2 3 4" xfId="8862"/>
    <cellStyle name="Normal 7 3 2 3 4 2" xfId="24549"/>
    <cellStyle name="Normal 7 3 2 3 5" xfId="3009"/>
    <cellStyle name="Normal 7 3 2 3 6" xfId="22247"/>
    <cellStyle name="Normal 7 3 2 4" xfId="1251"/>
    <cellStyle name="Normal 7 3 2 4 2" xfId="1252"/>
    <cellStyle name="Normal 7 3 2 4 2 2" xfId="8632"/>
    <cellStyle name="Normal 7 3 2 4 2 2 2" xfId="11245"/>
    <cellStyle name="Normal 7 3 2 4 2 2 2 2" xfId="25567"/>
    <cellStyle name="Normal 7 3 2 4 2 2 3" xfId="24319"/>
    <cellStyle name="Normal 7 3 2 4 2 3" xfId="9274"/>
    <cellStyle name="Normal 7 3 2 4 2 3 2" xfId="24945"/>
    <cellStyle name="Normal 7 3 2 4 2 4" xfId="3522"/>
    <cellStyle name="Normal 7 3 2 4 2 5" xfId="22250"/>
    <cellStyle name="Normal 7 3 2 4 3" xfId="8351"/>
    <cellStyle name="Normal 7 3 2 4 3 2" xfId="10964"/>
    <cellStyle name="Normal 7 3 2 4 3 2 2" xfId="25286"/>
    <cellStyle name="Normal 7 3 2 4 3 3" xfId="24038"/>
    <cellStyle name="Normal 7 3 2 4 4" xfId="8917"/>
    <cellStyle name="Normal 7 3 2 4 4 2" xfId="24604"/>
    <cellStyle name="Normal 7 3 2 4 5" xfId="3074"/>
    <cellStyle name="Normal 7 3 2 4 6" xfId="22249"/>
    <cellStyle name="Normal 7 3 2 5" xfId="1253"/>
    <cellStyle name="Normal 7 3 2 5 2" xfId="8469"/>
    <cellStyle name="Normal 7 3 2 5 2 2" xfId="11082"/>
    <cellStyle name="Normal 7 3 2 5 2 2 2" xfId="25404"/>
    <cellStyle name="Normal 7 3 2 5 2 3" xfId="24156"/>
    <cellStyle name="Normal 7 3 2 5 3" xfId="9041"/>
    <cellStyle name="Normal 7 3 2 5 3 2" xfId="24722"/>
    <cellStyle name="Normal 7 3 2 5 4" xfId="3233"/>
    <cellStyle name="Normal 7 3 2 5 5" xfId="22251"/>
    <cellStyle name="Normal 7 3 2 6" xfId="1254"/>
    <cellStyle name="Normal 7 3 2 6 2" xfId="8183"/>
    <cellStyle name="Normal 7 3 2 6 2 2" xfId="10796"/>
    <cellStyle name="Normal 7 3 2 6 2 2 2" xfId="25118"/>
    <cellStyle name="Normal 7 3 2 6 2 3" xfId="23870"/>
    <cellStyle name="Normal 7 3 2 6 3" xfId="9105"/>
    <cellStyle name="Normal 7 3 2 6 3 2" xfId="24777"/>
    <cellStyle name="Normal 7 3 2 6 4" xfId="3345"/>
    <cellStyle name="Normal 7 3 2 6 5" xfId="22252"/>
    <cellStyle name="Normal 7 3 2 7" xfId="8128"/>
    <cellStyle name="Normal 7 3 2 7 2" xfId="10741"/>
    <cellStyle name="Normal 7 3 2 7 2 2" xfId="25063"/>
    <cellStyle name="Normal 7 3 2 7 3" xfId="23815"/>
    <cellStyle name="Normal 7 3 2 8" xfId="8749"/>
    <cellStyle name="Normal 7 3 2 8 2" xfId="24436"/>
    <cellStyle name="Normal 7 3 2 9" xfId="2896"/>
    <cellStyle name="Normal 7 3 3" xfId="1255"/>
    <cellStyle name="Normal 7 3 3 2" xfId="1256"/>
    <cellStyle name="Normal 7 3 3 2 2" xfId="1257"/>
    <cellStyle name="Normal 7 3 3 2 2 2" xfId="8663"/>
    <cellStyle name="Normal 7 3 3 2 2 2 2" xfId="11276"/>
    <cellStyle name="Normal 7 3 3 2 2 2 2 2" xfId="25598"/>
    <cellStyle name="Normal 7 3 3 2 2 2 3" xfId="24350"/>
    <cellStyle name="Normal 7 3 3 2 2 3" xfId="9305"/>
    <cellStyle name="Normal 7 3 3 2 2 3 2" xfId="24976"/>
    <cellStyle name="Normal 7 3 3 2 2 4" xfId="3553"/>
    <cellStyle name="Normal 7 3 3 2 2 5" xfId="22255"/>
    <cellStyle name="Normal 7 3 3 2 3" xfId="8382"/>
    <cellStyle name="Normal 7 3 3 2 3 2" xfId="10995"/>
    <cellStyle name="Normal 7 3 3 2 3 2 2" xfId="25317"/>
    <cellStyle name="Normal 7 3 3 2 3 3" xfId="24069"/>
    <cellStyle name="Normal 7 3 3 2 4" xfId="8948"/>
    <cellStyle name="Normal 7 3 3 2 4 2" xfId="24635"/>
    <cellStyle name="Normal 7 3 3 2 5" xfId="3105"/>
    <cellStyle name="Normal 7 3 3 2 6" xfId="22254"/>
    <cellStyle name="Normal 7 3 3 3" xfId="1258"/>
    <cellStyle name="Normal 7 3 3 3 2" xfId="8495"/>
    <cellStyle name="Normal 7 3 3 3 2 2" xfId="11108"/>
    <cellStyle name="Normal 7 3 3 3 2 2 2" xfId="25430"/>
    <cellStyle name="Normal 7 3 3 3 2 3" xfId="24182"/>
    <cellStyle name="Normal 7 3 3 3 3" xfId="9136"/>
    <cellStyle name="Normal 7 3 3 3 3 2" xfId="24808"/>
    <cellStyle name="Normal 7 3 3 3 4" xfId="3376"/>
    <cellStyle name="Normal 7 3 3 3 5" xfId="22256"/>
    <cellStyle name="Normal 7 3 3 4" xfId="8214"/>
    <cellStyle name="Normal 7 3 3 4 2" xfId="10827"/>
    <cellStyle name="Normal 7 3 3 4 2 2" xfId="25149"/>
    <cellStyle name="Normal 7 3 3 4 3" xfId="23901"/>
    <cellStyle name="Normal 7 3 3 5" xfId="8780"/>
    <cellStyle name="Normal 7 3 3 5 2" xfId="24467"/>
    <cellStyle name="Normal 7 3 3 6" xfId="2927"/>
    <cellStyle name="Normal 7 3 3 7" xfId="22253"/>
    <cellStyle name="Normal 7 3 4" xfId="1259"/>
    <cellStyle name="Normal 7 3 4 2" xfId="1260"/>
    <cellStyle name="Normal 7 3 4 2 2" xfId="8551"/>
    <cellStyle name="Normal 7 3 4 2 2 2" xfId="11164"/>
    <cellStyle name="Normal 7 3 4 2 2 2 2" xfId="25486"/>
    <cellStyle name="Normal 7 3 4 2 2 3" xfId="24238"/>
    <cellStyle name="Normal 7 3 4 2 3" xfId="9192"/>
    <cellStyle name="Normal 7 3 4 2 3 2" xfId="24864"/>
    <cellStyle name="Normal 7 3 4 2 4" xfId="3432"/>
    <cellStyle name="Normal 7 3 4 2 5" xfId="22258"/>
    <cellStyle name="Normal 7 3 4 3" xfId="8270"/>
    <cellStyle name="Normal 7 3 4 3 2" xfId="10883"/>
    <cellStyle name="Normal 7 3 4 3 2 2" xfId="25205"/>
    <cellStyle name="Normal 7 3 4 3 3" xfId="23957"/>
    <cellStyle name="Normal 7 3 4 4" xfId="8836"/>
    <cellStyle name="Normal 7 3 4 4 2" xfId="24523"/>
    <cellStyle name="Normal 7 3 4 5" xfId="2983"/>
    <cellStyle name="Normal 7 3 4 6" xfId="22257"/>
    <cellStyle name="Normal 7 3 5" xfId="1261"/>
    <cellStyle name="Normal 7 3 5 2" xfId="1262"/>
    <cellStyle name="Normal 7 3 5 2 2" xfId="8601"/>
    <cellStyle name="Normal 7 3 5 2 2 2" xfId="11214"/>
    <cellStyle name="Normal 7 3 5 2 2 2 2" xfId="25536"/>
    <cellStyle name="Normal 7 3 5 2 2 3" xfId="24288"/>
    <cellStyle name="Normal 7 3 5 2 3" xfId="9243"/>
    <cellStyle name="Normal 7 3 5 2 3 2" xfId="24914"/>
    <cellStyle name="Normal 7 3 5 2 4" xfId="3490"/>
    <cellStyle name="Normal 7 3 5 2 5" xfId="22260"/>
    <cellStyle name="Normal 7 3 5 3" xfId="8320"/>
    <cellStyle name="Normal 7 3 5 3 2" xfId="10933"/>
    <cellStyle name="Normal 7 3 5 3 2 2" xfId="25255"/>
    <cellStyle name="Normal 7 3 5 3 3" xfId="24007"/>
    <cellStyle name="Normal 7 3 5 4" xfId="8886"/>
    <cellStyle name="Normal 7 3 5 4 2" xfId="24573"/>
    <cellStyle name="Normal 7 3 5 5" xfId="3043"/>
    <cellStyle name="Normal 7 3 5 6" xfId="22259"/>
    <cellStyle name="Normal 7 3 6" xfId="1263"/>
    <cellStyle name="Normal 7 3 6 2" xfId="8429"/>
    <cellStyle name="Normal 7 3 6 2 2" xfId="11042"/>
    <cellStyle name="Normal 7 3 6 2 2 2" xfId="25364"/>
    <cellStyle name="Normal 7 3 6 2 3" xfId="24116"/>
    <cellStyle name="Normal 7 3 6 3" xfId="8999"/>
    <cellStyle name="Normal 7 3 6 3 2" xfId="24682"/>
    <cellStyle name="Normal 7 3 6 4" xfId="3173"/>
    <cellStyle name="Normal 7 3 6 5" xfId="22261"/>
    <cellStyle name="Normal 7 3 7" xfId="1264"/>
    <cellStyle name="Normal 7 3 7 2" xfId="8152"/>
    <cellStyle name="Normal 7 3 7 2 2" xfId="10765"/>
    <cellStyle name="Normal 7 3 7 2 2 2" xfId="25087"/>
    <cellStyle name="Normal 7 3 7 2 3" xfId="23839"/>
    <cellStyle name="Normal 7 3 7 3" xfId="9074"/>
    <cellStyle name="Normal 7 3 7 3 2" xfId="24746"/>
    <cellStyle name="Normal 7 3 7 4" xfId="3314"/>
    <cellStyle name="Normal 7 3 7 5" xfId="22262"/>
    <cellStyle name="Normal 7 3 8" xfId="8088"/>
    <cellStyle name="Normal 7 3 8 2" xfId="10701"/>
    <cellStyle name="Normal 7 3 8 2 2" xfId="25023"/>
    <cellStyle name="Normal 7 3 8 3" xfId="23775"/>
    <cellStyle name="Normal 7 3 9" xfId="8718"/>
    <cellStyle name="Normal 7 3 9 2" xfId="24405"/>
    <cellStyle name="Normal 7 4" xfId="1265"/>
    <cellStyle name="Normal 7 4 10" xfId="22263"/>
    <cellStyle name="Normal 7 4 2" xfId="1266"/>
    <cellStyle name="Normal 7 4 2 2" xfId="1267"/>
    <cellStyle name="Normal 7 4 2 2 2" xfId="1268"/>
    <cellStyle name="Normal 7 4 2 2 2 2" xfId="8674"/>
    <cellStyle name="Normal 7 4 2 2 2 2 2" xfId="11287"/>
    <cellStyle name="Normal 7 4 2 2 2 2 2 2" xfId="25609"/>
    <cellStyle name="Normal 7 4 2 2 2 2 3" xfId="24361"/>
    <cellStyle name="Normal 7 4 2 2 2 3" xfId="9316"/>
    <cellStyle name="Normal 7 4 2 2 2 3 2" xfId="24987"/>
    <cellStyle name="Normal 7 4 2 2 2 4" xfId="3564"/>
    <cellStyle name="Normal 7 4 2 2 2 5" xfId="22266"/>
    <cellStyle name="Normal 7 4 2 2 3" xfId="8393"/>
    <cellStyle name="Normal 7 4 2 2 3 2" xfId="11006"/>
    <cellStyle name="Normal 7 4 2 2 3 2 2" xfId="25328"/>
    <cellStyle name="Normal 7 4 2 2 3 3" xfId="24080"/>
    <cellStyle name="Normal 7 4 2 2 4" xfId="8959"/>
    <cellStyle name="Normal 7 4 2 2 4 2" xfId="24646"/>
    <cellStyle name="Normal 7 4 2 2 5" xfId="3116"/>
    <cellStyle name="Normal 7 4 2 2 6" xfId="22265"/>
    <cellStyle name="Normal 7 4 2 3" xfId="1269"/>
    <cellStyle name="Normal 7 4 2 3 2" xfId="8506"/>
    <cellStyle name="Normal 7 4 2 3 2 2" xfId="11119"/>
    <cellStyle name="Normal 7 4 2 3 2 2 2" xfId="25441"/>
    <cellStyle name="Normal 7 4 2 3 2 3" xfId="24193"/>
    <cellStyle name="Normal 7 4 2 3 3" xfId="9147"/>
    <cellStyle name="Normal 7 4 2 3 3 2" xfId="24819"/>
    <cellStyle name="Normal 7 4 2 3 4" xfId="3387"/>
    <cellStyle name="Normal 7 4 2 3 5" xfId="22267"/>
    <cellStyle name="Normal 7 4 2 4" xfId="8225"/>
    <cellStyle name="Normal 7 4 2 4 2" xfId="10838"/>
    <cellStyle name="Normal 7 4 2 4 2 2" xfId="25160"/>
    <cellStyle name="Normal 7 4 2 4 3" xfId="23912"/>
    <cellStyle name="Normal 7 4 2 5" xfId="8791"/>
    <cellStyle name="Normal 7 4 2 5 2" xfId="24478"/>
    <cellStyle name="Normal 7 4 2 6" xfId="2938"/>
    <cellStyle name="Normal 7 4 2 7" xfId="22264"/>
    <cellStyle name="Normal 7 4 3" xfId="1270"/>
    <cellStyle name="Normal 7 4 3 2" xfId="1271"/>
    <cellStyle name="Normal 7 4 3 2 2" xfId="8562"/>
    <cellStyle name="Normal 7 4 3 2 2 2" xfId="11175"/>
    <cellStyle name="Normal 7 4 3 2 2 2 2" xfId="25497"/>
    <cellStyle name="Normal 7 4 3 2 2 3" xfId="24249"/>
    <cellStyle name="Normal 7 4 3 2 3" xfId="9203"/>
    <cellStyle name="Normal 7 4 3 2 3 2" xfId="24875"/>
    <cellStyle name="Normal 7 4 3 2 4" xfId="3443"/>
    <cellStyle name="Normal 7 4 3 2 5" xfId="22269"/>
    <cellStyle name="Normal 7 4 3 3" xfId="8281"/>
    <cellStyle name="Normal 7 4 3 3 2" xfId="10894"/>
    <cellStyle name="Normal 7 4 3 3 2 2" xfId="25216"/>
    <cellStyle name="Normal 7 4 3 3 3" xfId="23968"/>
    <cellStyle name="Normal 7 4 3 4" xfId="8847"/>
    <cellStyle name="Normal 7 4 3 4 2" xfId="24534"/>
    <cellStyle name="Normal 7 4 3 5" xfId="2994"/>
    <cellStyle name="Normal 7 4 3 6" xfId="22268"/>
    <cellStyle name="Normal 7 4 4" xfId="1272"/>
    <cellStyle name="Normal 7 4 4 2" xfId="1273"/>
    <cellStyle name="Normal 7 4 4 2 2" xfId="8612"/>
    <cellStyle name="Normal 7 4 4 2 2 2" xfId="11225"/>
    <cellStyle name="Normal 7 4 4 2 2 2 2" xfId="25547"/>
    <cellStyle name="Normal 7 4 4 2 2 3" xfId="24299"/>
    <cellStyle name="Normal 7 4 4 2 3" xfId="9254"/>
    <cellStyle name="Normal 7 4 4 2 3 2" xfId="24925"/>
    <cellStyle name="Normal 7 4 4 2 4" xfId="3501"/>
    <cellStyle name="Normal 7 4 4 2 5" xfId="22271"/>
    <cellStyle name="Normal 7 4 4 3" xfId="8331"/>
    <cellStyle name="Normal 7 4 4 3 2" xfId="10944"/>
    <cellStyle name="Normal 7 4 4 3 2 2" xfId="25266"/>
    <cellStyle name="Normal 7 4 4 3 3" xfId="24018"/>
    <cellStyle name="Normal 7 4 4 4" xfId="8897"/>
    <cellStyle name="Normal 7 4 4 4 2" xfId="24584"/>
    <cellStyle name="Normal 7 4 4 5" xfId="3054"/>
    <cellStyle name="Normal 7 4 4 6" xfId="22270"/>
    <cellStyle name="Normal 7 4 5" xfId="1274"/>
    <cellStyle name="Normal 7 4 5 2" xfId="8455"/>
    <cellStyle name="Normal 7 4 5 2 2" xfId="11068"/>
    <cellStyle name="Normal 7 4 5 2 2 2" xfId="25390"/>
    <cellStyle name="Normal 7 4 5 2 3" xfId="24142"/>
    <cellStyle name="Normal 7 4 5 3" xfId="9027"/>
    <cellStyle name="Normal 7 4 5 3 2" xfId="24708"/>
    <cellStyle name="Normal 7 4 5 4" xfId="3218"/>
    <cellStyle name="Normal 7 4 5 5" xfId="22272"/>
    <cellStyle name="Normal 7 4 6" xfId="1275"/>
    <cellStyle name="Normal 7 4 6 2" xfId="8163"/>
    <cellStyle name="Normal 7 4 6 2 2" xfId="10776"/>
    <cellStyle name="Normal 7 4 6 2 2 2" xfId="25098"/>
    <cellStyle name="Normal 7 4 6 2 3" xfId="23850"/>
    <cellStyle name="Normal 7 4 6 3" xfId="9085"/>
    <cellStyle name="Normal 7 4 6 3 2" xfId="24757"/>
    <cellStyle name="Normal 7 4 6 4" xfId="3325"/>
    <cellStyle name="Normal 7 4 6 5" xfId="22273"/>
    <cellStyle name="Normal 7 4 7" xfId="8114"/>
    <cellStyle name="Normal 7 4 7 2" xfId="10727"/>
    <cellStyle name="Normal 7 4 7 2 2" xfId="25049"/>
    <cellStyle name="Normal 7 4 7 3" xfId="23801"/>
    <cellStyle name="Normal 7 4 8" xfId="8729"/>
    <cellStyle name="Normal 7 4 8 2" xfId="24416"/>
    <cellStyle name="Normal 7 4 9" xfId="2874"/>
    <cellStyle name="Normal 7 5" xfId="1276"/>
    <cellStyle name="Normal 7 5 10" xfId="22274"/>
    <cellStyle name="Normal 7 5 2" xfId="1277"/>
    <cellStyle name="Normal 7 5 2 2" xfId="1278"/>
    <cellStyle name="Normal 7 5 2 2 2" xfId="1279"/>
    <cellStyle name="Normal 7 5 2 2 2 2" xfId="8653"/>
    <cellStyle name="Normal 7 5 2 2 2 2 2" xfId="11266"/>
    <cellStyle name="Normal 7 5 2 2 2 2 2 2" xfId="25588"/>
    <cellStyle name="Normal 7 5 2 2 2 2 3" xfId="24340"/>
    <cellStyle name="Normal 7 5 2 2 2 3" xfId="9295"/>
    <cellStyle name="Normal 7 5 2 2 2 3 2" xfId="24966"/>
    <cellStyle name="Normal 7 5 2 2 2 4" xfId="3543"/>
    <cellStyle name="Normal 7 5 2 2 2 5" xfId="22277"/>
    <cellStyle name="Normal 7 5 2 2 3" xfId="8372"/>
    <cellStyle name="Normal 7 5 2 2 3 2" xfId="10985"/>
    <cellStyle name="Normal 7 5 2 2 3 2 2" xfId="25307"/>
    <cellStyle name="Normal 7 5 2 2 3 3" xfId="24059"/>
    <cellStyle name="Normal 7 5 2 2 4" xfId="8938"/>
    <cellStyle name="Normal 7 5 2 2 4 2" xfId="24625"/>
    <cellStyle name="Normal 7 5 2 2 5" xfId="3095"/>
    <cellStyle name="Normal 7 5 2 2 6" xfId="22276"/>
    <cellStyle name="Normal 7 5 2 3" xfId="1280"/>
    <cellStyle name="Normal 7 5 2 3 2" xfId="8486"/>
    <cellStyle name="Normal 7 5 2 3 2 2" xfId="11099"/>
    <cellStyle name="Normal 7 5 2 3 2 2 2" xfId="25421"/>
    <cellStyle name="Normal 7 5 2 3 2 3" xfId="24173"/>
    <cellStyle name="Normal 7 5 2 3 3" xfId="9126"/>
    <cellStyle name="Normal 7 5 2 3 3 2" xfId="24798"/>
    <cellStyle name="Normal 7 5 2 3 4" xfId="3366"/>
    <cellStyle name="Normal 7 5 2 3 5" xfId="22278"/>
    <cellStyle name="Normal 7 5 2 4" xfId="8204"/>
    <cellStyle name="Normal 7 5 2 4 2" xfId="10817"/>
    <cellStyle name="Normal 7 5 2 4 2 2" xfId="25139"/>
    <cellStyle name="Normal 7 5 2 4 3" xfId="23891"/>
    <cellStyle name="Normal 7 5 2 5" xfId="8770"/>
    <cellStyle name="Normal 7 5 2 5 2" xfId="24457"/>
    <cellStyle name="Normal 7 5 2 6" xfId="2917"/>
    <cellStyle name="Normal 7 5 2 7" xfId="22275"/>
    <cellStyle name="Normal 7 5 3" xfId="1281"/>
    <cellStyle name="Normal 7 5 3 2" xfId="1282"/>
    <cellStyle name="Normal 7 5 3 2 2" xfId="8541"/>
    <cellStyle name="Normal 7 5 3 2 2 2" xfId="11154"/>
    <cellStyle name="Normal 7 5 3 2 2 2 2" xfId="25476"/>
    <cellStyle name="Normal 7 5 3 2 2 3" xfId="24228"/>
    <cellStyle name="Normal 7 5 3 2 3" xfId="9182"/>
    <cellStyle name="Normal 7 5 3 2 3 2" xfId="24854"/>
    <cellStyle name="Normal 7 5 3 2 4" xfId="3422"/>
    <cellStyle name="Normal 7 5 3 2 5" xfId="22280"/>
    <cellStyle name="Normal 7 5 3 3" xfId="8260"/>
    <cellStyle name="Normal 7 5 3 3 2" xfId="10873"/>
    <cellStyle name="Normal 7 5 3 3 2 2" xfId="25195"/>
    <cellStyle name="Normal 7 5 3 3 3" xfId="23947"/>
    <cellStyle name="Normal 7 5 3 4" xfId="8826"/>
    <cellStyle name="Normal 7 5 3 4 2" xfId="24513"/>
    <cellStyle name="Normal 7 5 3 5" xfId="2973"/>
    <cellStyle name="Normal 7 5 3 6" xfId="22279"/>
    <cellStyle name="Normal 7 5 4" xfId="1283"/>
    <cellStyle name="Normal 7 5 4 2" xfId="1284"/>
    <cellStyle name="Normal 7 5 4 2 2" xfId="8622"/>
    <cellStyle name="Normal 7 5 4 2 2 2" xfId="11235"/>
    <cellStyle name="Normal 7 5 4 2 2 2 2" xfId="25557"/>
    <cellStyle name="Normal 7 5 4 2 2 3" xfId="24309"/>
    <cellStyle name="Normal 7 5 4 2 3" xfId="9264"/>
    <cellStyle name="Normal 7 5 4 2 3 2" xfId="24935"/>
    <cellStyle name="Normal 7 5 4 2 4" xfId="3512"/>
    <cellStyle name="Normal 7 5 4 2 5" xfId="22282"/>
    <cellStyle name="Normal 7 5 4 3" xfId="8341"/>
    <cellStyle name="Normal 7 5 4 3 2" xfId="10954"/>
    <cellStyle name="Normal 7 5 4 3 2 2" xfId="25276"/>
    <cellStyle name="Normal 7 5 4 3 3" xfId="24028"/>
    <cellStyle name="Normal 7 5 4 4" xfId="8907"/>
    <cellStyle name="Normal 7 5 4 4 2" xfId="24594"/>
    <cellStyle name="Normal 7 5 4 5" xfId="3064"/>
    <cellStyle name="Normal 7 5 4 6" xfId="22281"/>
    <cellStyle name="Normal 7 5 5" xfId="1285"/>
    <cellStyle name="Normal 7 5 5 2" xfId="8438"/>
    <cellStyle name="Normal 7 5 5 2 2" xfId="11051"/>
    <cellStyle name="Normal 7 5 5 2 2 2" xfId="25373"/>
    <cellStyle name="Normal 7 5 5 2 3" xfId="24125"/>
    <cellStyle name="Normal 7 5 5 3" xfId="9010"/>
    <cellStyle name="Normal 7 5 5 3 2" xfId="24691"/>
    <cellStyle name="Normal 7 5 5 4" xfId="3201"/>
    <cellStyle name="Normal 7 5 5 5" xfId="22283"/>
    <cellStyle name="Normal 7 5 6" xfId="1286"/>
    <cellStyle name="Normal 7 5 6 2" xfId="8173"/>
    <cellStyle name="Normal 7 5 6 2 2" xfId="10786"/>
    <cellStyle name="Normal 7 5 6 2 2 2" xfId="25108"/>
    <cellStyle name="Normal 7 5 6 2 3" xfId="23860"/>
    <cellStyle name="Normal 7 5 6 3" xfId="9095"/>
    <cellStyle name="Normal 7 5 6 3 2" xfId="24767"/>
    <cellStyle name="Normal 7 5 6 4" xfId="3335"/>
    <cellStyle name="Normal 7 5 6 5" xfId="22284"/>
    <cellStyle name="Normal 7 5 7" xfId="8097"/>
    <cellStyle name="Normal 7 5 7 2" xfId="10710"/>
    <cellStyle name="Normal 7 5 7 2 2" xfId="25032"/>
    <cellStyle name="Normal 7 5 7 3" xfId="23784"/>
    <cellStyle name="Normal 7 5 8" xfId="8739"/>
    <cellStyle name="Normal 7 5 8 2" xfId="24426"/>
    <cellStyle name="Normal 7 5 9" xfId="2886"/>
    <cellStyle name="Normal 7 6" xfId="1287"/>
    <cellStyle name="Normal 7 6 2" xfId="1288"/>
    <cellStyle name="Normal 7 6 2 2" xfId="1289"/>
    <cellStyle name="Normal 7 6 2 2 2" xfId="8643"/>
    <cellStyle name="Normal 7 6 2 2 2 2" xfId="11256"/>
    <cellStyle name="Normal 7 6 2 2 2 2 2" xfId="25578"/>
    <cellStyle name="Normal 7 6 2 2 2 3" xfId="24330"/>
    <cellStyle name="Normal 7 6 2 2 3" xfId="9285"/>
    <cellStyle name="Normal 7 6 2 2 3 2" xfId="24956"/>
    <cellStyle name="Normal 7 6 2 2 4" xfId="3533"/>
    <cellStyle name="Normal 7 6 2 2 5" xfId="22287"/>
    <cellStyle name="Normal 7 6 2 3" xfId="8362"/>
    <cellStyle name="Normal 7 6 2 3 2" xfId="10975"/>
    <cellStyle name="Normal 7 6 2 3 2 2" xfId="25297"/>
    <cellStyle name="Normal 7 6 2 3 3" xfId="24049"/>
    <cellStyle name="Normal 7 6 2 4" xfId="8928"/>
    <cellStyle name="Normal 7 6 2 4 2" xfId="24615"/>
    <cellStyle name="Normal 7 6 2 5" xfId="3085"/>
    <cellStyle name="Normal 7 6 2 6" xfId="22286"/>
    <cellStyle name="Normal 7 6 3" xfId="1290"/>
    <cellStyle name="Normal 7 6 3 2" xfId="8479"/>
    <cellStyle name="Normal 7 6 3 2 2" xfId="11092"/>
    <cellStyle name="Normal 7 6 3 2 2 2" xfId="25414"/>
    <cellStyle name="Normal 7 6 3 2 3" xfId="24166"/>
    <cellStyle name="Normal 7 6 3 3" xfId="9116"/>
    <cellStyle name="Normal 7 6 3 3 2" xfId="24788"/>
    <cellStyle name="Normal 7 6 3 4" xfId="3356"/>
    <cellStyle name="Normal 7 6 3 5" xfId="22288"/>
    <cellStyle name="Normal 7 6 4" xfId="8194"/>
    <cellStyle name="Normal 7 6 4 2" xfId="10807"/>
    <cellStyle name="Normal 7 6 4 2 2" xfId="25129"/>
    <cellStyle name="Normal 7 6 4 3" xfId="23881"/>
    <cellStyle name="Normal 7 6 5" xfId="8760"/>
    <cellStyle name="Normal 7 6 5 2" xfId="24447"/>
    <cellStyle name="Normal 7 6 6" xfId="2907"/>
    <cellStyle name="Normal 7 6 7" xfId="22285"/>
    <cellStyle name="Normal 7 7" xfId="1291"/>
    <cellStyle name="Normal 7 7 2" xfId="1292"/>
    <cellStyle name="Normal 7 7 2 2" xfId="8531"/>
    <cellStyle name="Normal 7 7 2 2 2" xfId="11144"/>
    <cellStyle name="Normal 7 7 2 2 2 2" xfId="25466"/>
    <cellStyle name="Normal 7 7 2 2 3" xfId="24218"/>
    <cellStyle name="Normal 7 7 2 3" xfId="9172"/>
    <cellStyle name="Normal 7 7 2 3 2" xfId="24844"/>
    <cellStyle name="Normal 7 7 2 4" xfId="3412"/>
    <cellStyle name="Normal 7 7 2 5" xfId="22290"/>
    <cellStyle name="Normal 7 7 3" xfId="8250"/>
    <cellStyle name="Normal 7 7 3 2" xfId="10863"/>
    <cellStyle name="Normal 7 7 3 2 2" xfId="25185"/>
    <cellStyle name="Normal 7 7 3 3" xfId="23937"/>
    <cellStyle name="Normal 7 7 4" xfId="8816"/>
    <cellStyle name="Normal 7 7 4 2" xfId="24503"/>
    <cellStyle name="Normal 7 7 5" xfId="2963"/>
    <cellStyle name="Normal 7 7 6" xfId="22289"/>
    <cellStyle name="Normal 7 8" xfId="1293"/>
    <cellStyle name="Normal 7 8 2" xfId="1294"/>
    <cellStyle name="Normal 7 8 2 2" xfId="8591"/>
    <cellStyle name="Normal 7 8 2 2 2" xfId="11204"/>
    <cellStyle name="Normal 7 8 2 2 2 2" xfId="25526"/>
    <cellStyle name="Normal 7 8 2 2 3" xfId="24278"/>
    <cellStyle name="Normal 7 8 2 3" xfId="9233"/>
    <cellStyle name="Normal 7 8 2 3 2" xfId="24904"/>
    <cellStyle name="Normal 7 8 2 4" xfId="3480"/>
    <cellStyle name="Normal 7 8 2 5" xfId="22292"/>
    <cellStyle name="Normal 7 8 3" xfId="8310"/>
    <cellStyle name="Normal 7 8 3 2" xfId="10923"/>
    <cellStyle name="Normal 7 8 3 2 2" xfId="25245"/>
    <cellStyle name="Normal 7 8 3 3" xfId="23997"/>
    <cellStyle name="Normal 7 8 4" xfId="8876"/>
    <cellStyle name="Normal 7 8 4 2" xfId="24563"/>
    <cellStyle name="Normal 7 8 5" xfId="3033"/>
    <cellStyle name="Normal 7 8 6" xfId="22291"/>
    <cellStyle name="Normal 7 9" xfId="1295"/>
    <cellStyle name="Normal 7 9 2" xfId="8418"/>
    <cellStyle name="Normal 7 9 2 2" xfId="11031"/>
    <cellStyle name="Normal 7 9 2 2 2" xfId="25353"/>
    <cellStyle name="Normal 7 9 2 3" xfId="24105"/>
    <cellStyle name="Normal 7 9 3" xfId="8988"/>
    <cellStyle name="Normal 7 9 3 2" xfId="24671"/>
    <cellStyle name="Normal 7 9 4" xfId="3161"/>
    <cellStyle name="Normal 7 9 5" xfId="22293"/>
    <cellStyle name="Normal 8" xfId="1296"/>
    <cellStyle name="Normal 8 10" xfId="8724"/>
    <cellStyle name="Normal 8 10 2" xfId="24411"/>
    <cellStyle name="Normal 8 11" xfId="2869"/>
    <cellStyle name="Normal 8 12" xfId="22294"/>
    <cellStyle name="Normal 8 2" xfId="1297"/>
    <cellStyle name="Normal 8 2 10" xfId="22295"/>
    <cellStyle name="Normal 8 2 2" xfId="1298"/>
    <cellStyle name="Normal 8 2 2 2" xfId="1299"/>
    <cellStyle name="Normal 8 2 2 2 2" xfId="1300"/>
    <cellStyle name="Normal 8 2 2 2 2 2" xfId="8675"/>
    <cellStyle name="Normal 8 2 2 2 2 2 2" xfId="11288"/>
    <cellStyle name="Normal 8 2 2 2 2 2 2 2" xfId="25610"/>
    <cellStyle name="Normal 8 2 2 2 2 2 3" xfId="24362"/>
    <cellStyle name="Normal 8 2 2 2 2 3" xfId="9317"/>
    <cellStyle name="Normal 8 2 2 2 2 3 2" xfId="24988"/>
    <cellStyle name="Normal 8 2 2 2 2 4" xfId="3565"/>
    <cellStyle name="Normal 8 2 2 2 2 5" xfId="22298"/>
    <cellStyle name="Normal 8 2 2 2 3" xfId="8394"/>
    <cellStyle name="Normal 8 2 2 2 3 2" xfId="11007"/>
    <cellStyle name="Normal 8 2 2 2 3 2 2" xfId="25329"/>
    <cellStyle name="Normal 8 2 2 2 3 3" xfId="24081"/>
    <cellStyle name="Normal 8 2 2 2 4" xfId="8960"/>
    <cellStyle name="Normal 8 2 2 2 4 2" xfId="24647"/>
    <cellStyle name="Normal 8 2 2 2 5" xfId="3117"/>
    <cellStyle name="Normal 8 2 2 2 6" xfId="22297"/>
    <cellStyle name="Normal 8 2 2 3" xfId="1301"/>
    <cellStyle name="Normal 8 2 2 3 2" xfId="8507"/>
    <cellStyle name="Normal 8 2 2 3 2 2" xfId="11120"/>
    <cellStyle name="Normal 8 2 2 3 2 2 2" xfId="25442"/>
    <cellStyle name="Normal 8 2 2 3 2 3" xfId="24194"/>
    <cellStyle name="Normal 8 2 2 3 3" xfId="9148"/>
    <cellStyle name="Normal 8 2 2 3 3 2" xfId="24820"/>
    <cellStyle name="Normal 8 2 2 3 4" xfId="3388"/>
    <cellStyle name="Normal 8 2 2 3 5" xfId="22299"/>
    <cellStyle name="Normal 8 2 2 4" xfId="8226"/>
    <cellStyle name="Normal 8 2 2 4 2" xfId="10839"/>
    <cellStyle name="Normal 8 2 2 4 2 2" xfId="25161"/>
    <cellStyle name="Normal 8 2 2 4 3" xfId="23913"/>
    <cellStyle name="Normal 8 2 2 5" xfId="8792"/>
    <cellStyle name="Normal 8 2 2 5 2" xfId="24479"/>
    <cellStyle name="Normal 8 2 2 6" xfId="2939"/>
    <cellStyle name="Normal 8 2 2 7" xfId="22296"/>
    <cellStyle name="Normal 8 2 3" xfId="1302"/>
    <cellStyle name="Normal 8 2 3 2" xfId="1303"/>
    <cellStyle name="Normal 8 2 3 2 2" xfId="8563"/>
    <cellStyle name="Normal 8 2 3 2 2 2" xfId="11176"/>
    <cellStyle name="Normal 8 2 3 2 2 2 2" xfId="25498"/>
    <cellStyle name="Normal 8 2 3 2 2 3" xfId="24250"/>
    <cellStyle name="Normal 8 2 3 2 3" xfId="9204"/>
    <cellStyle name="Normal 8 2 3 2 3 2" xfId="24876"/>
    <cellStyle name="Normal 8 2 3 2 4" xfId="3444"/>
    <cellStyle name="Normal 8 2 3 2 5" xfId="22301"/>
    <cellStyle name="Normal 8 2 3 3" xfId="8282"/>
    <cellStyle name="Normal 8 2 3 3 2" xfId="10895"/>
    <cellStyle name="Normal 8 2 3 3 2 2" xfId="25217"/>
    <cellStyle name="Normal 8 2 3 3 3" xfId="23969"/>
    <cellStyle name="Normal 8 2 3 4" xfId="8848"/>
    <cellStyle name="Normal 8 2 3 4 2" xfId="24535"/>
    <cellStyle name="Normal 8 2 3 5" xfId="2995"/>
    <cellStyle name="Normal 8 2 3 6" xfId="22300"/>
    <cellStyle name="Normal 8 2 4" xfId="1304"/>
    <cellStyle name="Normal 8 2 4 2" xfId="1305"/>
    <cellStyle name="Normal 8 2 4 2 2" xfId="8613"/>
    <cellStyle name="Normal 8 2 4 2 2 2" xfId="11226"/>
    <cellStyle name="Normal 8 2 4 2 2 2 2" xfId="25548"/>
    <cellStyle name="Normal 8 2 4 2 2 3" xfId="24300"/>
    <cellStyle name="Normal 8 2 4 2 3" xfId="9255"/>
    <cellStyle name="Normal 8 2 4 2 3 2" xfId="24926"/>
    <cellStyle name="Normal 8 2 4 2 4" xfId="3502"/>
    <cellStyle name="Normal 8 2 4 2 5" xfId="22303"/>
    <cellStyle name="Normal 8 2 4 3" xfId="8332"/>
    <cellStyle name="Normal 8 2 4 3 2" xfId="10945"/>
    <cellStyle name="Normal 8 2 4 3 2 2" xfId="25267"/>
    <cellStyle name="Normal 8 2 4 3 3" xfId="24019"/>
    <cellStyle name="Normal 8 2 4 4" xfId="8898"/>
    <cellStyle name="Normal 8 2 4 4 2" xfId="24585"/>
    <cellStyle name="Normal 8 2 4 5" xfId="3055"/>
    <cellStyle name="Normal 8 2 4 6" xfId="22302"/>
    <cellStyle name="Normal 8 2 5" xfId="1306"/>
    <cellStyle name="Normal 8 2 5 2" xfId="8430"/>
    <cellStyle name="Normal 8 2 5 2 2" xfId="11043"/>
    <cellStyle name="Normal 8 2 5 2 2 2" xfId="25365"/>
    <cellStyle name="Normal 8 2 5 2 3" xfId="24117"/>
    <cellStyle name="Normal 8 2 5 3" xfId="9000"/>
    <cellStyle name="Normal 8 2 5 3 2" xfId="24683"/>
    <cellStyle name="Normal 8 2 5 4" xfId="3174"/>
    <cellStyle name="Normal 8 2 5 5" xfId="22304"/>
    <cellStyle name="Normal 8 2 6" xfId="1307"/>
    <cellStyle name="Normal 8 2 6 2" xfId="8164"/>
    <cellStyle name="Normal 8 2 6 2 2" xfId="10777"/>
    <cellStyle name="Normal 8 2 6 2 2 2" xfId="25099"/>
    <cellStyle name="Normal 8 2 6 2 3" xfId="23851"/>
    <cellStyle name="Normal 8 2 6 3" xfId="9086"/>
    <cellStyle name="Normal 8 2 6 3 2" xfId="24758"/>
    <cellStyle name="Normal 8 2 6 4" xfId="3326"/>
    <cellStyle name="Normal 8 2 6 5" xfId="22305"/>
    <cellStyle name="Normal 8 2 7" xfId="8089"/>
    <cellStyle name="Normal 8 2 7 2" xfId="10702"/>
    <cellStyle name="Normal 8 2 7 2 2" xfId="25024"/>
    <cellStyle name="Normal 8 2 7 3" xfId="23776"/>
    <cellStyle name="Normal 8 2 8" xfId="8730"/>
    <cellStyle name="Normal 8 2 8 2" xfId="24417"/>
    <cellStyle name="Normal 8 2 9" xfId="2875"/>
    <cellStyle name="Normal 8 3" xfId="1308"/>
    <cellStyle name="Normal 8 3 10" xfId="22306"/>
    <cellStyle name="Normal 8 3 2" xfId="1309"/>
    <cellStyle name="Normal 8 3 2 2" xfId="1310"/>
    <cellStyle name="Normal 8 3 2 2 2" xfId="1311"/>
    <cellStyle name="Normal 8 3 2 2 2 2" xfId="8669"/>
    <cellStyle name="Normal 8 3 2 2 2 2 2" xfId="11282"/>
    <cellStyle name="Normal 8 3 2 2 2 2 2 2" xfId="25604"/>
    <cellStyle name="Normal 8 3 2 2 2 2 3" xfId="24356"/>
    <cellStyle name="Normal 8 3 2 2 2 3" xfId="9311"/>
    <cellStyle name="Normal 8 3 2 2 2 3 2" xfId="24982"/>
    <cellStyle name="Normal 8 3 2 2 2 4" xfId="3559"/>
    <cellStyle name="Normal 8 3 2 2 2 5" xfId="22309"/>
    <cellStyle name="Normal 8 3 2 2 3" xfId="8388"/>
    <cellStyle name="Normal 8 3 2 2 3 2" xfId="11001"/>
    <cellStyle name="Normal 8 3 2 2 3 2 2" xfId="25323"/>
    <cellStyle name="Normal 8 3 2 2 3 3" xfId="24075"/>
    <cellStyle name="Normal 8 3 2 2 4" xfId="8954"/>
    <cellStyle name="Normal 8 3 2 2 4 2" xfId="24641"/>
    <cellStyle name="Normal 8 3 2 2 5" xfId="3111"/>
    <cellStyle name="Normal 8 3 2 2 6" xfId="22308"/>
    <cellStyle name="Normal 8 3 2 3" xfId="1312"/>
    <cellStyle name="Normal 8 3 2 3 2" xfId="8501"/>
    <cellStyle name="Normal 8 3 2 3 2 2" xfId="11114"/>
    <cellStyle name="Normal 8 3 2 3 2 2 2" xfId="25436"/>
    <cellStyle name="Normal 8 3 2 3 2 3" xfId="24188"/>
    <cellStyle name="Normal 8 3 2 3 3" xfId="9142"/>
    <cellStyle name="Normal 8 3 2 3 3 2" xfId="24814"/>
    <cellStyle name="Normal 8 3 2 3 4" xfId="3382"/>
    <cellStyle name="Normal 8 3 2 3 5" xfId="22310"/>
    <cellStyle name="Normal 8 3 2 4" xfId="8220"/>
    <cellStyle name="Normal 8 3 2 4 2" xfId="10833"/>
    <cellStyle name="Normal 8 3 2 4 2 2" xfId="25155"/>
    <cellStyle name="Normal 8 3 2 4 3" xfId="23907"/>
    <cellStyle name="Normal 8 3 2 5" xfId="8786"/>
    <cellStyle name="Normal 8 3 2 5 2" xfId="24473"/>
    <cellStyle name="Normal 8 3 2 6" xfId="2933"/>
    <cellStyle name="Normal 8 3 2 7" xfId="22307"/>
    <cellStyle name="Normal 8 3 3" xfId="1313"/>
    <cellStyle name="Normal 8 3 3 2" xfId="1314"/>
    <cellStyle name="Normal 8 3 3 2 2" xfId="8557"/>
    <cellStyle name="Normal 8 3 3 2 2 2" xfId="11170"/>
    <cellStyle name="Normal 8 3 3 2 2 2 2" xfId="25492"/>
    <cellStyle name="Normal 8 3 3 2 2 3" xfId="24244"/>
    <cellStyle name="Normal 8 3 3 2 3" xfId="9198"/>
    <cellStyle name="Normal 8 3 3 2 3 2" xfId="24870"/>
    <cellStyle name="Normal 8 3 3 2 4" xfId="3438"/>
    <cellStyle name="Normal 8 3 3 2 5" xfId="22312"/>
    <cellStyle name="Normal 8 3 3 3" xfId="8276"/>
    <cellStyle name="Normal 8 3 3 3 2" xfId="10889"/>
    <cellStyle name="Normal 8 3 3 3 2 2" xfId="25211"/>
    <cellStyle name="Normal 8 3 3 3 3" xfId="23963"/>
    <cellStyle name="Normal 8 3 3 4" xfId="8842"/>
    <cellStyle name="Normal 8 3 3 4 2" xfId="24529"/>
    <cellStyle name="Normal 8 3 3 5" xfId="2989"/>
    <cellStyle name="Normal 8 3 3 6" xfId="22311"/>
    <cellStyle name="Normal 8 3 4" xfId="1315"/>
    <cellStyle name="Normal 8 3 4 2" xfId="1316"/>
    <cellStyle name="Normal 8 3 4 2 2" xfId="8638"/>
    <cellStyle name="Normal 8 3 4 2 2 2" xfId="11251"/>
    <cellStyle name="Normal 8 3 4 2 2 2 2" xfId="25573"/>
    <cellStyle name="Normal 8 3 4 2 2 3" xfId="24325"/>
    <cellStyle name="Normal 8 3 4 2 3" xfId="9280"/>
    <cellStyle name="Normal 8 3 4 2 3 2" xfId="24951"/>
    <cellStyle name="Normal 8 3 4 2 4" xfId="3528"/>
    <cellStyle name="Normal 8 3 4 2 5" xfId="22314"/>
    <cellStyle name="Normal 8 3 4 3" xfId="8357"/>
    <cellStyle name="Normal 8 3 4 3 2" xfId="10970"/>
    <cellStyle name="Normal 8 3 4 3 2 2" xfId="25292"/>
    <cellStyle name="Normal 8 3 4 3 3" xfId="24044"/>
    <cellStyle name="Normal 8 3 4 4" xfId="8923"/>
    <cellStyle name="Normal 8 3 4 4 2" xfId="24610"/>
    <cellStyle name="Normal 8 3 4 5" xfId="3080"/>
    <cellStyle name="Normal 8 3 4 6" xfId="22313"/>
    <cellStyle name="Normal 8 3 5" xfId="1317"/>
    <cellStyle name="Normal 8 3 5 2" xfId="8450"/>
    <cellStyle name="Normal 8 3 5 2 2" xfId="11063"/>
    <cellStyle name="Normal 8 3 5 2 2 2" xfId="25385"/>
    <cellStyle name="Normal 8 3 5 2 3" xfId="24137"/>
    <cellStyle name="Normal 8 3 5 3" xfId="9022"/>
    <cellStyle name="Normal 8 3 5 3 2" xfId="24703"/>
    <cellStyle name="Normal 8 3 5 4" xfId="3213"/>
    <cellStyle name="Normal 8 3 5 5" xfId="22315"/>
    <cellStyle name="Normal 8 3 6" xfId="1318"/>
    <cellStyle name="Normal 8 3 6 2" xfId="8189"/>
    <cellStyle name="Normal 8 3 6 2 2" xfId="10802"/>
    <cellStyle name="Normal 8 3 6 2 2 2" xfId="25124"/>
    <cellStyle name="Normal 8 3 6 2 3" xfId="23876"/>
    <cellStyle name="Normal 8 3 6 3" xfId="9111"/>
    <cellStyle name="Normal 8 3 6 3 2" xfId="24783"/>
    <cellStyle name="Normal 8 3 6 4" xfId="3351"/>
    <cellStyle name="Normal 8 3 6 5" xfId="22316"/>
    <cellStyle name="Normal 8 3 7" xfId="8109"/>
    <cellStyle name="Normal 8 3 7 2" xfId="10722"/>
    <cellStyle name="Normal 8 3 7 2 2" xfId="25044"/>
    <cellStyle name="Normal 8 3 7 3" xfId="23796"/>
    <cellStyle name="Normal 8 3 8" xfId="8755"/>
    <cellStyle name="Normal 8 3 8 2" xfId="24442"/>
    <cellStyle name="Normal 8 3 9" xfId="2902"/>
    <cellStyle name="Normal 8 4" xfId="1319"/>
    <cellStyle name="Normal 8 4 2" xfId="1320"/>
    <cellStyle name="Normal 8 4 2 2" xfId="1321"/>
    <cellStyle name="Normal 8 4 2 2 2" xfId="8644"/>
    <cellStyle name="Normal 8 4 2 2 2 2" xfId="11257"/>
    <cellStyle name="Normal 8 4 2 2 2 2 2" xfId="25579"/>
    <cellStyle name="Normal 8 4 2 2 2 3" xfId="24331"/>
    <cellStyle name="Normal 8 4 2 2 3" xfId="9286"/>
    <cellStyle name="Normal 8 4 2 2 3 2" xfId="24957"/>
    <cellStyle name="Normal 8 4 2 2 4" xfId="3534"/>
    <cellStyle name="Normal 8 4 2 2 5" xfId="22319"/>
    <cellStyle name="Normal 8 4 2 3" xfId="8363"/>
    <cellStyle name="Normal 8 4 2 3 2" xfId="10976"/>
    <cellStyle name="Normal 8 4 2 3 2 2" xfId="25298"/>
    <cellStyle name="Normal 8 4 2 3 3" xfId="24050"/>
    <cellStyle name="Normal 8 4 2 4" xfId="8929"/>
    <cellStyle name="Normal 8 4 2 4 2" xfId="24616"/>
    <cellStyle name="Normal 8 4 2 5" xfId="3086"/>
    <cellStyle name="Normal 8 4 2 6" xfId="22318"/>
    <cellStyle name="Normal 8 4 3" xfId="1322"/>
    <cellStyle name="Normal 8 4 3 2" xfId="8480"/>
    <cellStyle name="Normal 8 4 3 2 2" xfId="11093"/>
    <cellStyle name="Normal 8 4 3 2 2 2" xfId="25415"/>
    <cellStyle name="Normal 8 4 3 2 3" xfId="24167"/>
    <cellStyle name="Normal 8 4 3 3" xfId="9117"/>
    <cellStyle name="Normal 8 4 3 3 2" xfId="24789"/>
    <cellStyle name="Normal 8 4 3 4" xfId="3357"/>
    <cellStyle name="Normal 8 4 3 5" xfId="22320"/>
    <cellStyle name="Normal 8 4 4" xfId="8195"/>
    <cellStyle name="Normal 8 4 4 2" xfId="10808"/>
    <cellStyle name="Normal 8 4 4 2 2" xfId="25130"/>
    <cellStyle name="Normal 8 4 4 3" xfId="23882"/>
    <cellStyle name="Normal 8 4 5" xfId="8761"/>
    <cellStyle name="Normal 8 4 5 2" xfId="24448"/>
    <cellStyle name="Normal 8 4 6" xfId="2908"/>
    <cellStyle name="Normal 8 4 7" xfId="22317"/>
    <cellStyle name="Normal 8 5" xfId="1323"/>
    <cellStyle name="Normal 8 5 2" xfId="1324"/>
    <cellStyle name="Normal 8 5 2 2" xfId="8532"/>
    <cellStyle name="Normal 8 5 2 2 2" xfId="11145"/>
    <cellStyle name="Normal 8 5 2 2 2 2" xfId="25467"/>
    <cellStyle name="Normal 8 5 2 2 3" xfId="24219"/>
    <cellStyle name="Normal 8 5 2 3" xfId="9173"/>
    <cellStyle name="Normal 8 5 2 3 2" xfId="24845"/>
    <cellStyle name="Normal 8 5 2 4" xfId="3413"/>
    <cellStyle name="Normal 8 5 2 5" xfId="22322"/>
    <cellStyle name="Normal 8 5 3" xfId="8251"/>
    <cellStyle name="Normal 8 5 3 2" xfId="10864"/>
    <cellStyle name="Normal 8 5 3 2 2" xfId="25186"/>
    <cellStyle name="Normal 8 5 3 3" xfId="23938"/>
    <cellStyle name="Normal 8 5 4" xfId="8817"/>
    <cellStyle name="Normal 8 5 4 2" xfId="24504"/>
    <cellStyle name="Normal 8 5 5" xfId="2964"/>
    <cellStyle name="Normal 8 5 6" xfId="22321"/>
    <cellStyle name="Normal 8 6" xfId="1325"/>
    <cellStyle name="Normal 8 6 2" xfId="1326"/>
    <cellStyle name="Normal 8 6 2 2" xfId="8607"/>
    <cellStyle name="Normal 8 6 2 2 2" xfId="11220"/>
    <cellStyle name="Normal 8 6 2 2 2 2" xfId="25542"/>
    <cellStyle name="Normal 8 6 2 2 3" xfId="24294"/>
    <cellStyle name="Normal 8 6 2 3" xfId="9249"/>
    <cellStyle name="Normal 8 6 2 3 2" xfId="24920"/>
    <cellStyle name="Normal 8 6 2 4" xfId="3496"/>
    <cellStyle name="Normal 8 6 2 5" xfId="22324"/>
    <cellStyle name="Normal 8 6 3" xfId="8326"/>
    <cellStyle name="Normal 8 6 3 2" xfId="10939"/>
    <cellStyle name="Normal 8 6 3 2 2" xfId="25261"/>
    <cellStyle name="Normal 8 6 3 3" xfId="24013"/>
    <cellStyle name="Normal 8 6 4" xfId="8892"/>
    <cellStyle name="Normal 8 6 4 2" xfId="24579"/>
    <cellStyle name="Normal 8 6 5" xfId="3049"/>
    <cellStyle name="Normal 8 6 6" xfId="22323"/>
    <cellStyle name="Normal 8 7" xfId="1327"/>
    <cellStyle name="Normal 8 7 2" xfId="8424"/>
    <cellStyle name="Normal 8 7 2 2" xfId="11037"/>
    <cellStyle name="Normal 8 7 2 2 2" xfId="25359"/>
    <cellStyle name="Normal 8 7 2 3" xfId="24111"/>
    <cellStyle name="Normal 8 7 3" xfId="8994"/>
    <cellStyle name="Normal 8 7 3 2" xfId="24677"/>
    <cellStyle name="Normal 8 7 4" xfId="3168"/>
    <cellStyle name="Normal 8 7 5" xfId="22325"/>
    <cellStyle name="Normal 8 8" xfId="1328"/>
    <cellStyle name="Normal 8 8 2" xfId="8158"/>
    <cellStyle name="Normal 8 8 2 2" xfId="10771"/>
    <cellStyle name="Normal 8 8 2 2 2" xfId="25093"/>
    <cellStyle name="Normal 8 8 2 3" xfId="23845"/>
    <cellStyle name="Normal 8 8 3" xfId="9080"/>
    <cellStyle name="Normal 8 8 3 2" xfId="24752"/>
    <cellStyle name="Normal 8 8 4" xfId="3320"/>
    <cellStyle name="Normal 8 8 5" xfId="22326"/>
    <cellStyle name="Normal 8 9" xfId="8083"/>
    <cellStyle name="Normal 8 9 2" xfId="10696"/>
    <cellStyle name="Normal 8 9 2 2" xfId="25018"/>
    <cellStyle name="Normal 8 9 3" xfId="23770"/>
    <cellStyle name="Normal 9" xfId="30368"/>
    <cellStyle name="Nota" xfId="1329"/>
    <cellStyle name="Nota 2" xfId="1330"/>
    <cellStyle name="Nota 2 2" xfId="1331"/>
    <cellStyle name="Nota 2 2 10" xfId="1332"/>
    <cellStyle name="Nota 2 2 10 2" xfId="7912"/>
    <cellStyle name="Nota 2 2 10 2 2" xfId="10526"/>
    <cellStyle name="Nota 2 2 10 2 2 2" xfId="16788"/>
    <cellStyle name="Nota 2 2 10 2 2 2 2" xfId="30204"/>
    <cellStyle name="Nota 2 2 10 2 2 3" xfId="21533"/>
    <cellStyle name="Nota 2 2 10 2 3" xfId="14516"/>
    <cellStyle name="Nota 2 2 10 2 3 2" xfId="28838"/>
    <cellStyle name="Nota 2 2 10 2 4" xfId="20161"/>
    <cellStyle name="Nota 2 2 10 3" xfId="12436"/>
    <cellStyle name="Nota 2 2 10 3 2" xfId="26758"/>
    <cellStyle name="Nota 2 2 10 4" xfId="18081"/>
    <cellStyle name="Nota 2 2 11" xfId="3853"/>
    <cellStyle name="Nota 2 2 11 2" xfId="4708"/>
    <cellStyle name="Nota 2 2 11 2 2" xfId="23141"/>
    <cellStyle name="Nota 2 2 11 3" xfId="15501"/>
    <cellStyle name="Nota 2 2 12" xfId="4329"/>
    <cellStyle name="Nota 2 2 12 2" xfId="22890"/>
    <cellStyle name="Nota 2 2 13" xfId="14858"/>
    <cellStyle name="Nota 2 2 2" xfId="1333"/>
    <cellStyle name="Nota 2 2 2 10" xfId="5082"/>
    <cellStyle name="Nota 2 2 2 10 2" xfId="11629"/>
    <cellStyle name="Nota 2 2 2 10 2 2" xfId="25951"/>
    <cellStyle name="Nota 2 2 2 10 3" xfId="4359"/>
    <cellStyle name="Nota 2 2 2 11" xfId="4590"/>
    <cellStyle name="Nota 2 2 2 11 2" xfId="23053"/>
    <cellStyle name="Nota 2 2 2 12" xfId="4468"/>
    <cellStyle name="Nota 2 2 2 2" xfId="1334"/>
    <cellStyle name="Nota 2 2 2 2 10" xfId="3183"/>
    <cellStyle name="Nota 2 2 2 2 10 2" xfId="22429"/>
    <cellStyle name="Nota 2 2 2 2 11" xfId="15345"/>
    <cellStyle name="Nota 2 2 2 2 2" xfId="1335"/>
    <cellStyle name="Nota 2 2 2 2 2 2" xfId="1336"/>
    <cellStyle name="Nota 2 2 2 2 2 2 2" xfId="1337"/>
    <cellStyle name="Nota 2 2 2 2 2 2 2 2" xfId="6550"/>
    <cellStyle name="Nota 2 2 2 2 2 2 2 2 2" xfId="13138"/>
    <cellStyle name="Nota 2 2 2 2 2 2 2 2 2 2" xfId="27460"/>
    <cellStyle name="Nota 2 2 2 2 2 2 2 2 3" xfId="18783"/>
    <cellStyle name="Nota 2 2 2 2 2 2 2 3" xfId="7217"/>
    <cellStyle name="Nota 2 2 2 2 2 2 2 3 2" xfId="9831"/>
    <cellStyle name="Nota 2 2 2 2 2 2 2 3 2 2" xfId="16093"/>
    <cellStyle name="Nota 2 2 2 2 2 2 2 3 2 2 2" xfId="29509"/>
    <cellStyle name="Nota 2 2 2 2 2 2 2 3 2 3" xfId="20838"/>
    <cellStyle name="Nota 2 2 2 2 2 2 2 3 3" xfId="13821"/>
    <cellStyle name="Nota 2 2 2 2 2 2 2 3 3 2" xfId="28143"/>
    <cellStyle name="Nota 2 2 2 2 2 2 2 3 4" xfId="19466"/>
    <cellStyle name="Nota 2 2 2 2 2 2 2 4" xfId="6248"/>
    <cellStyle name="Nota 2 2 2 2 2 2 2 4 2" xfId="23472"/>
    <cellStyle name="Nota 2 2 2 2 2 2 2 5" xfId="15202"/>
    <cellStyle name="Nota 2 2 2 2 2 2 3" xfId="1338"/>
    <cellStyle name="Nota 2 2 2 2 2 2 3 2" xfId="7041"/>
    <cellStyle name="Nota 2 2 2 2 2 2 3 2 2" xfId="9655"/>
    <cellStyle name="Nota 2 2 2 2 2 2 3 2 2 2" xfId="15917"/>
    <cellStyle name="Nota 2 2 2 2 2 2 3 2 2 2 2" xfId="29333"/>
    <cellStyle name="Nota 2 2 2 2 2 2 3 2 2 3" xfId="20662"/>
    <cellStyle name="Nota 2 2 2 2 2 2 3 2 3" xfId="13645"/>
    <cellStyle name="Nota 2 2 2 2 2 2 3 2 3 2" xfId="27967"/>
    <cellStyle name="Nota 2 2 2 2 2 2 3 2 4" xfId="19290"/>
    <cellStyle name="Nota 2 2 2 2 2 2 3 3" xfId="13313"/>
    <cellStyle name="Nota 2 2 2 2 2 2 3 3 2" xfId="27635"/>
    <cellStyle name="Nota 2 2 2 2 2 2 3 4" xfId="18958"/>
    <cellStyle name="Nota 2 2 2 2 2 2 4" xfId="5763"/>
    <cellStyle name="Nota 2 2 2 2 2 2 4 2" xfId="12316"/>
    <cellStyle name="Nota 2 2 2 2 2 2 4 2 2" xfId="26638"/>
    <cellStyle name="Nota 2 2 2 2 2 2 4 3" xfId="17961"/>
    <cellStyle name="Nota 2 2 2 2 2 2 5" xfId="4723"/>
    <cellStyle name="Nota 2 2 2 2 2 2 5 2" xfId="23151"/>
    <cellStyle name="Nota 2 2 2 2 2 2 6" xfId="14799"/>
    <cellStyle name="Nota 2 2 2 2 2 3" xfId="1339"/>
    <cellStyle name="Nota 2 2 2 2 2 3 2" xfId="1340"/>
    <cellStyle name="Nota 2 2 2 2 2 3 2 2" xfId="6441"/>
    <cellStyle name="Nota 2 2 2 2 2 3 2 2 2" xfId="13024"/>
    <cellStyle name="Nota 2 2 2 2 2 3 2 2 2 2" xfId="27346"/>
    <cellStyle name="Nota 2 2 2 2 2 3 2 2 3" xfId="18669"/>
    <cellStyle name="Nota 2 2 2 2 2 3 2 3" xfId="7148"/>
    <cellStyle name="Nota 2 2 2 2 2 3 2 3 2" xfId="9762"/>
    <cellStyle name="Nota 2 2 2 2 2 3 2 3 2 2" xfId="16024"/>
    <cellStyle name="Nota 2 2 2 2 2 3 2 3 2 2 2" xfId="29440"/>
    <cellStyle name="Nota 2 2 2 2 2 3 2 3 2 3" xfId="20769"/>
    <cellStyle name="Nota 2 2 2 2 2 3 2 3 3" xfId="13752"/>
    <cellStyle name="Nota 2 2 2 2 2 3 2 3 3 2" xfId="28074"/>
    <cellStyle name="Nota 2 2 2 2 2 3 2 3 4" xfId="19397"/>
    <cellStyle name="Nota 2 2 2 2 2 3 2 4" xfId="3295"/>
    <cellStyle name="Nota 2 2 2 2 2 3 2 4 2" xfId="22468"/>
    <cellStyle name="Nota 2 2 2 2 2 3 2 5" xfId="4715"/>
    <cellStyle name="Nota 2 2 2 2 2 3 3" xfId="1341"/>
    <cellStyle name="Nota 2 2 2 2 2 3 3 2" xfId="7552"/>
    <cellStyle name="Nota 2 2 2 2 2 3 3 2 2" xfId="10166"/>
    <cellStyle name="Nota 2 2 2 2 2 3 3 2 2 2" xfId="16428"/>
    <cellStyle name="Nota 2 2 2 2 2 3 3 2 2 2 2" xfId="29844"/>
    <cellStyle name="Nota 2 2 2 2 2 3 3 2 2 3" xfId="21173"/>
    <cellStyle name="Nota 2 2 2 2 2 3 3 2 3" xfId="14156"/>
    <cellStyle name="Nota 2 2 2 2 2 3 3 2 3 2" xfId="28478"/>
    <cellStyle name="Nota 2 2 2 2 2 3 3 2 4" xfId="19801"/>
    <cellStyle name="Nota 2 2 2 2 2 3 3 3" xfId="13260"/>
    <cellStyle name="Nota 2 2 2 2 2 3 3 3 2" xfId="27582"/>
    <cellStyle name="Nota 2 2 2 2 2 3 3 4" xfId="18905"/>
    <cellStyle name="Nota 2 2 2 2 2 3 4" xfId="5705"/>
    <cellStyle name="Nota 2 2 2 2 2 3 4 2" xfId="12258"/>
    <cellStyle name="Nota 2 2 2 2 2 3 4 2 2" xfId="26580"/>
    <cellStyle name="Nota 2 2 2 2 2 3 4 3" xfId="17903"/>
    <cellStyle name="Nota 2 2 2 2 2 3 5" xfId="4194"/>
    <cellStyle name="Nota 2 2 2 2 2 3 5 2" xfId="22814"/>
    <cellStyle name="Nota 2 2 2 2 2 3 6" xfId="15231"/>
    <cellStyle name="Nota 2 2 2 2 2 4" xfId="1342"/>
    <cellStyle name="Nota 2 2 2 2 2 4 2" xfId="5982"/>
    <cellStyle name="Nota 2 2 2 2 2 4 2 2" xfId="12540"/>
    <cellStyle name="Nota 2 2 2 2 2 4 2 2 2" xfId="26862"/>
    <cellStyle name="Nota 2 2 2 2 2 4 2 3" xfId="18185"/>
    <cellStyle name="Nota 2 2 2 2 2 4 3" xfId="5291"/>
    <cellStyle name="Nota 2 2 2 2 2 4 3 2" xfId="9600"/>
    <cellStyle name="Nota 2 2 2 2 2 4 3 2 2" xfId="15862"/>
    <cellStyle name="Nota 2 2 2 2 2 4 3 2 2 2" xfId="29278"/>
    <cellStyle name="Nota 2 2 2 2 2 4 3 2 3" xfId="20607"/>
    <cellStyle name="Nota 2 2 2 2 2 4 3 3" xfId="11841"/>
    <cellStyle name="Nota 2 2 2 2 2 4 3 3 2" xfId="26163"/>
    <cellStyle name="Nota 2 2 2 2 2 4 3 4" xfId="17486"/>
    <cellStyle name="Nota 2 2 2 2 2 4 4" xfId="4102"/>
    <cellStyle name="Nota 2 2 2 2 2 4 4 2" xfId="22758"/>
    <cellStyle name="Nota 2 2 2 2 2 4 5" xfId="6699"/>
    <cellStyle name="Nota 2 2 2 2 2 5" xfId="1343"/>
    <cellStyle name="Nota 2 2 2 2 2 5 2" xfId="5301"/>
    <cellStyle name="Nota 2 2 2 2 2 5 2 2" xfId="9610"/>
    <cellStyle name="Nota 2 2 2 2 2 5 2 2 2" xfId="15872"/>
    <cellStyle name="Nota 2 2 2 2 2 5 2 2 2 2" xfId="29288"/>
    <cellStyle name="Nota 2 2 2 2 2 5 2 2 3" xfId="20617"/>
    <cellStyle name="Nota 2 2 2 2 2 5 2 3" xfId="11851"/>
    <cellStyle name="Nota 2 2 2 2 2 5 2 3 2" xfId="26173"/>
    <cellStyle name="Nota 2 2 2 2 2 5 2 4" xfId="17496"/>
    <cellStyle name="Nota 2 2 2 2 2 5 3" xfId="12889"/>
    <cellStyle name="Nota 2 2 2 2 2 5 3 2" xfId="27211"/>
    <cellStyle name="Nota 2 2 2 2 2 5 4" xfId="18534"/>
    <cellStyle name="Nota 2 2 2 2 2 6" xfId="5507"/>
    <cellStyle name="Nota 2 2 2 2 2 6 2" xfId="12058"/>
    <cellStyle name="Nota 2 2 2 2 2 6 2 2" xfId="26380"/>
    <cellStyle name="Nota 2 2 2 2 2 6 3" xfId="17703"/>
    <cellStyle name="Nota 2 2 2 2 2 7" xfId="3940"/>
    <cellStyle name="Nota 2 2 2 2 2 7 2" xfId="22656"/>
    <cellStyle name="Nota 2 2 2 2 2 8" xfId="3707"/>
    <cellStyle name="Nota 2 2 2 2 3" xfId="1344"/>
    <cellStyle name="Nota 2 2 2 2 3 2" xfId="1345"/>
    <cellStyle name="Nota 2 2 2 2 3 2 2" xfId="1346"/>
    <cellStyle name="Nota 2 2 2 2 3 2 2 2" xfId="6074"/>
    <cellStyle name="Nota 2 2 2 2 3 2 2 2 2" xfId="12640"/>
    <cellStyle name="Nota 2 2 2 2 3 2 2 2 2 2" xfId="26962"/>
    <cellStyle name="Nota 2 2 2 2 3 2 2 2 3" xfId="18285"/>
    <cellStyle name="Nota 2 2 2 2 3 2 2 3" xfId="8002"/>
    <cellStyle name="Nota 2 2 2 2 3 2 2 3 2" xfId="10616"/>
    <cellStyle name="Nota 2 2 2 2 3 2 2 3 2 2" xfId="16878"/>
    <cellStyle name="Nota 2 2 2 2 3 2 2 3 2 2 2" xfId="30294"/>
    <cellStyle name="Nota 2 2 2 2 3 2 2 3 2 3" xfId="21623"/>
    <cellStyle name="Nota 2 2 2 2 3 2 2 3 3" xfId="14606"/>
    <cellStyle name="Nota 2 2 2 2 3 2 2 3 3 2" xfId="28928"/>
    <cellStyle name="Nota 2 2 2 2 3 2 2 3 4" xfId="20251"/>
    <cellStyle name="Nota 2 2 2 2 3 2 2 4" xfId="4003"/>
    <cellStyle name="Nota 2 2 2 2 3 2 2 4 2" xfId="22697"/>
    <cellStyle name="Nota 2 2 2 2 3 2 2 5" xfId="3826"/>
    <cellStyle name="Nota 2 2 2 2 3 2 3" xfId="1347"/>
    <cellStyle name="Nota 2 2 2 2 3 2 3 2" xfId="7494"/>
    <cellStyle name="Nota 2 2 2 2 3 2 3 2 2" xfId="10108"/>
    <cellStyle name="Nota 2 2 2 2 3 2 3 2 2 2" xfId="16370"/>
    <cellStyle name="Nota 2 2 2 2 3 2 3 2 2 2 2" xfId="29786"/>
    <cellStyle name="Nota 2 2 2 2 3 2 3 2 2 3" xfId="21115"/>
    <cellStyle name="Nota 2 2 2 2 3 2 3 2 3" xfId="14098"/>
    <cellStyle name="Nota 2 2 2 2 3 2 3 2 3 2" xfId="28420"/>
    <cellStyle name="Nota 2 2 2 2 3 2 3 2 4" xfId="19743"/>
    <cellStyle name="Nota 2 2 2 2 3 2 3 3" xfId="13349"/>
    <cellStyle name="Nota 2 2 2 2 3 2 3 3 2" xfId="27671"/>
    <cellStyle name="Nota 2 2 2 2 3 2 3 4" xfId="18994"/>
    <cellStyle name="Nota 2 2 2 2 3 2 4" xfId="5799"/>
    <cellStyle name="Nota 2 2 2 2 3 2 4 2" xfId="12352"/>
    <cellStyle name="Nota 2 2 2 2 3 2 4 2 2" xfId="26674"/>
    <cellStyle name="Nota 2 2 2 2 3 2 4 3" xfId="17997"/>
    <cellStyle name="Nota 2 2 2 2 3 2 5" xfId="3268"/>
    <cellStyle name="Nota 2 2 2 2 3 2 5 2" xfId="22452"/>
    <cellStyle name="Nota 2 2 2 2 3 2 6" xfId="17275"/>
    <cellStyle name="Nota 2 2 2 2 3 3" xfId="1348"/>
    <cellStyle name="Nota 2 2 2 2 3 3 2" xfId="1349"/>
    <cellStyle name="Nota 2 2 2 2 3 3 2 2" xfId="6233"/>
    <cellStyle name="Nota 2 2 2 2 3 3 2 2 2" xfId="12808"/>
    <cellStyle name="Nota 2 2 2 2 3 3 2 2 2 2" xfId="27130"/>
    <cellStyle name="Nota 2 2 2 2 3 3 2 2 3" xfId="18453"/>
    <cellStyle name="Nota 2 2 2 2 3 3 2 3" xfId="7697"/>
    <cellStyle name="Nota 2 2 2 2 3 3 2 3 2" xfId="10311"/>
    <cellStyle name="Nota 2 2 2 2 3 3 2 3 2 2" xfId="16573"/>
    <cellStyle name="Nota 2 2 2 2 3 3 2 3 2 2 2" xfId="29989"/>
    <cellStyle name="Nota 2 2 2 2 3 3 2 3 2 3" xfId="21318"/>
    <cellStyle name="Nota 2 2 2 2 3 3 2 3 3" xfId="14301"/>
    <cellStyle name="Nota 2 2 2 2 3 3 2 3 3 2" xfId="28623"/>
    <cellStyle name="Nota 2 2 2 2 3 3 2 3 4" xfId="19946"/>
    <cellStyle name="Nota 2 2 2 2 3 3 2 4" xfId="6685"/>
    <cellStyle name="Nota 2 2 2 2 3 3 2 4 2" xfId="23653"/>
    <cellStyle name="Nota 2 2 2 2 3 3 2 5" xfId="14789"/>
    <cellStyle name="Nota 2 2 2 2 3 3 3" xfId="1350"/>
    <cellStyle name="Nota 2 2 2 2 3 3 3 2" xfId="7588"/>
    <cellStyle name="Nota 2 2 2 2 3 3 3 2 2" xfId="10202"/>
    <cellStyle name="Nota 2 2 2 2 3 3 3 2 2 2" xfId="16464"/>
    <cellStyle name="Nota 2 2 2 2 3 3 3 2 2 2 2" xfId="29880"/>
    <cellStyle name="Nota 2 2 2 2 3 3 3 2 2 3" xfId="21209"/>
    <cellStyle name="Nota 2 2 2 2 3 3 3 2 3" xfId="14192"/>
    <cellStyle name="Nota 2 2 2 2 3 3 3 2 3 2" xfId="28514"/>
    <cellStyle name="Nota 2 2 2 2 3 3 3 2 4" xfId="19837"/>
    <cellStyle name="Nota 2 2 2 2 3 3 3 3" xfId="13382"/>
    <cellStyle name="Nota 2 2 2 2 3 3 3 3 2" xfId="27704"/>
    <cellStyle name="Nota 2 2 2 2 3 3 3 4" xfId="19027"/>
    <cellStyle name="Nota 2 2 2 2 3 3 4" xfId="5841"/>
    <cellStyle name="Nota 2 2 2 2 3 3 4 2" xfId="12394"/>
    <cellStyle name="Nota 2 2 2 2 3 3 4 2 2" xfId="26716"/>
    <cellStyle name="Nota 2 2 2 2 3 3 4 3" xfId="18039"/>
    <cellStyle name="Nota 2 2 2 2 3 3 5" xfId="4031"/>
    <cellStyle name="Nota 2 2 2 2 3 3 5 2" xfId="22709"/>
    <cellStyle name="Nota 2 2 2 2 3 3 6" xfId="14866"/>
    <cellStyle name="Nota 2 2 2 2 3 4" xfId="1351"/>
    <cellStyle name="Nota 2 2 2 2 3 4 2" xfId="6924"/>
    <cellStyle name="Nota 2 2 2 2 3 4 2 2" xfId="13528"/>
    <cellStyle name="Nota 2 2 2 2 3 4 2 2 2" xfId="27850"/>
    <cellStyle name="Nota 2 2 2 2 3 4 2 3" xfId="19173"/>
    <cellStyle name="Nota 2 2 2 2 3 4 3" xfId="4800"/>
    <cellStyle name="Nota 2 2 2 2 3 4 3 2" xfId="9488"/>
    <cellStyle name="Nota 2 2 2 2 3 4 3 2 2" xfId="15750"/>
    <cellStyle name="Nota 2 2 2 2 3 4 3 2 2 2" xfId="29166"/>
    <cellStyle name="Nota 2 2 2 2 3 4 3 2 3" xfId="20495"/>
    <cellStyle name="Nota 2 2 2 2 3 4 3 3" xfId="11330"/>
    <cellStyle name="Nota 2 2 2 2 3 4 3 3 2" xfId="25652"/>
    <cellStyle name="Nota 2 2 2 2 3 4 3 4" xfId="14981"/>
    <cellStyle name="Nota 2 2 2 2 3 4 4" xfId="11412"/>
    <cellStyle name="Nota 2 2 2 2 3 4 4 2" xfId="25734"/>
    <cellStyle name="Nota 2 2 2 2 3 4 5" xfId="4603"/>
    <cellStyle name="Nota 2 2 2 2 3 5" xfId="1352"/>
    <cellStyle name="Nota 2 2 2 2 3 5 2" xfId="7239"/>
    <cellStyle name="Nota 2 2 2 2 3 5 2 2" xfId="9853"/>
    <cellStyle name="Nota 2 2 2 2 3 5 2 2 2" xfId="16115"/>
    <cellStyle name="Nota 2 2 2 2 3 5 2 2 2 2" xfId="29531"/>
    <cellStyle name="Nota 2 2 2 2 3 5 2 2 3" xfId="20860"/>
    <cellStyle name="Nota 2 2 2 2 3 5 2 3" xfId="13843"/>
    <cellStyle name="Nota 2 2 2 2 3 5 2 3 2" xfId="28165"/>
    <cellStyle name="Nota 2 2 2 2 3 5 2 4" xfId="19488"/>
    <cellStyle name="Nota 2 2 2 2 3 5 3" xfId="12925"/>
    <cellStyle name="Nota 2 2 2 2 3 5 3 2" xfId="27247"/>
    <cellStyle name="Nota 2 2 2 2 3 5 4" xfId="18570"/>
    <cellStyle name="Nota 2 2 2 2 3 6" xfId="5549"/>
    <cellStyle name="Nota 2 2 2 2 3 6 2" xfId="12100"/>
    <cellStyle name="Nota 2 2 2 2 3 6 2 2" xfId="26422"/>
    <cellStyle name="Nota 2 2 2 2 3 6 3" xfId="17745"/>
    <cellStyle name="Nota 2 2 2 2 3 7" xfId="6194"/>
    <cellStyle name="Nota 2 2 2 2 3 7 2" xfId="23456"/>
    <cellStyle name="Nota 2 2 2 2 3 8" xfId="15214"/>
    <cellStyle name="Nota 2 2 2 2 4" xfId="1353"/>
    <cellStyle name="Nota 2 2 2 2 4 2" xfId="1354"/>
    <cellStyle name="Nota 2 2 2 2 4 2 2" xfId="1355"/>
    <cellStyle name="Nota 2 2 2 2 4 2 2 2" xfId="6594"/>
    <cellStyle name="Nota 2 2 2 2 4 2 2 2 2" xfId="13183"/>
    <cellStyle name="Nota 2 2 2 2 4 2 2 2 2 2" xfId="27505"/>
    <cellStyle name="Nota 2 2 2 2 4 2 2 2 3" xfId="18828"/>
    <cellStyle name="Nota 2 2 2 2 4 2 2 3" xfId="3806"/>
    <cellStyle name="Nota 2 2 2 2 4 2 2 3 2" xfId="9376"/>
    <cellStyle name="Nota 2 2 2 2 4 2 2 3 2 2" xfId="15638"/>
    <cellStyle name="Nota 2 2 2 2 4 2 2 3 2 2 2" xfId="29054"/>
    <cellStyle name="Nota 2 2 2 2 4 2 2 3 2 3" xfId="20383"/>
    <cellStyle name="Nota 2 2 2 2 4 2 2 3 3" xfId="5954"/>
    <cellStyle name="Nota 2 2 2 2 4 2 2 3 3 2" xfId="23382"/>
    <cellStyle name="Nota 2 2 2 2 4 2 2 3 4" xfId="15542"/>
    <cellStyle name="Nota 2 2 2 2 4 2 2 4" xfId="4185"/>
    <cellStyle name="Nota 2 2 2 2 4 2 2 4 2" xfId="22807"/>
    <cellStyle name="Nota 2 2 2 2 4 2 2 5" xfId="4313"/>
    <cellStyle name="Nota 2 2 2 2 4 2 3" xfId="1356"/>
    <cellStyle name="Nota 2 2 2 2 4 2 3 2" xfId="7502"/>
    <cellStyle name="Nota 2 2 2 2 4 2 3 2 2" xfId="10116"/>
    <cellStyle name="Nota 2 2 2 2 4 2 3 2 2 2" xfId="16378"/>
    <cellStyle name="Nota 2 2 2 2 4 2 3 2 2 2 2" xfId="29794"/>
    <cellStyle name="Nota 2 2 2 2 4 2 3 2 2 3" xfId="21123"/>
    <cellStyle name="Nota 2 2 2 2 4 2 3 2 3" xfId="14106"/>
    <cellStyle name="Nota 2 2 2 2 4 2 3 2 3 2" xfId="28428"/>
    <cellStyle name="Nota 2 2 2 2 4 2 3 2 4" xfId="19751"/>
    <cellStyle name="Nota 2 2 2 2 4 2 3 3" xfId="13277"/>
    <cellStyle name="Nota 2 2 2 2 4 2 3 3 2" xfId="27599"/>
    <cellStyle name="Nota 2 2 2 2 4 2 3 4" xfId="18922"/>
    <cellStyle name="Nota 2 2 2 2 4 2 4" xfId="5725"/>
    <cellStyle name="Nota 2 2 2 2 4 2 4 2" xfId="12278"/>
    <cellStyle name="Nota 2 2 2 2 4 2 4 2 2" xfId="26600"/>
    <cellStyle name="Nota 2 2 2 2 4 2 4 3" xfId="17923"/>
    <cellStyle name="Nota 2 2 2 2 4 2 5" xfId="6319"/>
    <cellStyle name="Nota 2 2 2 2 4 2 5 2" xfId="23514"/>
    <cellStyle name="Nota 2 2 2 2 4 2 6" xfId="14902"/>
    <cellStyle name="Nota 2 2 2 2 4 3" xfId="1357"/>
    <cellStyle name="Nota 2 2 2 2 4 3 2" xfId="1358"/>
    <cellStyle name="Nota 2 2 2 2 4 3 2 2" xfId="7006"/>
    <cellStyle name="Nota 2 2 2 2 4 3 2 2 2" xfId="13610"/>
    <cellStyle name="Nota 2 2 2 2 4 3 2 2 2 2" xfId="27932"/>
    <cellStyle name="Nota 2 2 2 2 4 3 2 2 3" xfId="19255"/>
    <cellStyle name="Nota 2 2 2 2 4 3 2 3" xfId="8040"/>
    <cellStyle name="Nota 2 2 2 2 4 3 2 3 2" xfId="10654"/>
    <cellStyle name="Nota 2 2 2 2 4 3 2 3 2 2" xfId="16916"/>
    <cellStyle name="Nota 2 2 2 2 4 3 2 3 2 2 2" xfId="30332"/>
    <cellStyle name="Nota 2 2 2 2 4 3 2 3 2 3" xfId="21661"/>
    <cellStyle name="Nota 2 2 2 2 4 3 2 3 3" xfId="14644"/>
    <cellStyle name="Nota 2 2 2 2 4 3 2 3 3 2" xfId="28966"/>
    <cellStyle name="Nota 2 2 2 2 4 3 2 3 4" xfId="20289"/>
    <cellStyle name="Nota 2 2 2 2 4 3 2 4" xfId="11526"/>
    <cellStyle name="Nota 2 2 2 2 4 3 2 4 2" xfId="25848"/>
    <cellStyle name="Nota 2 2 2 2 4 3 2 5" xfId="14955"/>
    <cellStyle name="Nota 2 2 2 2 4 3 3" xfId="1359"/>
    <cellStyle name="Nota 2 2 2 2 4 3 3 2" xfId="7386"/>
    <cellStyle name="Nota 2 2 2 2 4 3 3 2 2" xfId="10000"/>
    <cellStyle name="Nota 2 2 2 2 4 3 3 2 2 2" xfId="16262"/>
    <cellStyle name="Nota 2 2 2 2 4 3 3 2 2 2 2" xfId="29678"/>
    <cellStyle name="Nota 2 2 2 2 4 3 3 2 2 3" xfId="21007"/>
    <cellStyle name="Nota 2 2 2 2 4 3 3 2 3" xfId="13990"/>
    <cellStyle name="Nota 2 2 2 2 4 3 3 2 3 2" xfId="28312"/>
    <cellStyle name="Nota 2 2 2 2 4 3 3 2 4" xfId="19635"/>
    <cellStyle name="Nota 2 2 2 2 4 3 3 3" xfId="13376"/>
    <cellStyle name="Nota 2 2 2 2 4 3 3 3 2" xfId="27698"/>
    <cellStyle name="Nota 2 2 2 2 4 3 3 4" xfId="19021"/>
    <cellStyle name="Nota 2 2 2 2 4 3 4" xfId="5829"/>
    <cellStyle name="Nota 2 2 2 2 4 3 4 2" xfId="12382"/>
    <cellStyle name="Nota 2 2 2 2 4 3 4 2 2" xfId="26704"/>
    <cellStyle name="Nota 2 2 2 2 4 3 4 3" xfId="18027"/>
    <cellStyle name="Nota 2 2 2 2 4 3 5" xfId="3271"/>
    <cellStyle name="Nota 2 2 2 2 4 3 5 2" xfId="22455"/>
    <cellStyle name="Nota 2 2 2 2 4 3 6" xfId="15350"/>
    <cellStyle name="Nota 2 2 2 2 4 4" xfId="1360"/>
    <cellStyle name="Nota 2 2 2 2 4 4 2" xfId="6163"/>
    <cellStyle name="Nota 2 2 2 2 4 4 2 2" xfId="12734"/>
    <cellStyle name="Nota 2 2 2 2 4 4 2 2 2" xfId="27056"/>
    <cellStyle name="Nota 2 2 2 2 4 4 2 3" xfId="18379"/>
    <cellStyle name="Nota 2 2 2 2 4 4 3" xfId="7866"/>
    <cellStyle name="Nota 2 2 2 2 4 4 3 2" xfId="10480"/>
    <cellStyle name="Nota 2 2 2 2 4 4 3 2 2" xfId="16742"/>
    <cellStyle name="Nota 2 2 2 2 4 4 3 2 2 2" xfId="30158"/>
    <cellStyle name="Nota 2 2 2 2 4 4 3 2 3" xfId="21487"/>
    <cellStyle name="Nota 2 2 2 2 4 4 3 3" xfId="14470"/>
    <cellStyle name="Nota 2 2 2 2 4 4 3 3 2" xfId="28792"/>
    <cellStyle name="Nota 2 2 2 2 4 4 3 4" xfId="20115"/>
    <cellStyle name="Nota 2 2 2 2 4 4 4" xfId="3676"/>
    <cellStyle name="Nota 2 2 2 2 4 4 4 2" xfId="22521"/>
    <cellStyle name="Nota 2 2 2 2 4 4 5" xfId="15466"/>
    <cellStyle name="Nota 2 2 2 2 4 5" xfId="1361"/>
    <cellStyle name="Nota 2 2 2 2 4 5 2" xfId="3150"/>
    <cellStyle name="Nota 2 2 2 2 4 5 2 2" xfId="8983"/>
    <cellStyle name="Nota 2 2 2 2 4 5 2 2 2" xfId="15338"/>
    <cellStyle name="Nota 2 2 2 2 4 5 2 2 2 2" xfId="29001"/>
    <cellStyle name="Nota 2 2 2 2 4 5 2 2 3" xfId="20328"/>
    <cellStyle name="Nota 2 2 2 2 4 5 2 3" xfId="5831"/>
    <cellStyle name="Nota 2 2 2 2 4 5 2 3 2" xfId="23364"/>
    <cellStyle name="Nota 2 2 2 2 4 5 2 4" xfId="14714"/>
    <cellStyle name="Nota 2 2 2 2 4 5 3" xfId="12840"/>
    <cellStyle name="Nota 2 2 2 2 4 5 3 2" xfId="27162"/>
    <cellStyle name="Nota 2 2 2 2 4 5 4" xfId="18485"/>
    <cellStyle name="Nota 2 2 2 2 4 6" xfId="5414"/>
    <cellStyle name="Nota 2 2 2 2 4 6 2" xfId="11964"/>
    <cellStyle name="Nota 2 2 2 2 4 6 2 2" xfId="26286"/>
    <cellStyle name="Nota 2 2 2 2 4 6 3" xfId="17609"/>
    <cellStyle name="Nota 2 2 2 2 4 7" xfId="5988"/>
    <cellStyle name="Nota 2 2 2 2 4 7 2" xfId="23390"/>
    <cellStyle name="Nota 2 2 2 2 4 8" xfId="5010"/>
    <cellStyle name="Nota 2 2 2 2 5" xfId="1362"/>
    <cellStyle name="Nota 2 2 2 2 5 2" xfId="1363"/>
    <cellStyle name="Nota 2 2 2 2 5 2 2" xfId="1364"/>
    <cellStyle name="Nota 2 2 2 2 5 2 2 2" xfId="6952"/>
    <cellStyle name="Nota 2 2 2 2 5 2 2 2 2" xfId="13556"/>
    <cellStyle name="Nota 2 2 2 2 5 2 2 2 2 2" xfId="27878"/>
    <cellStyle name="Nota 2 2 2 2 5 2 2 2 3" xfId="19201"/>
    <cellStyle name="Nota 2 2 2 2 5 2 2 3" xfId="7459"/>
    <cellStyle name="Nota 2 2 2 2 5 2 2 3 2" xfId="10073"/>
    <cellStyle name="Nota 2 2 2 2 5 2 2 3 2 2" xfId="16335"/>
    <cellStyle name="Nota 2 2 2 2 5 2 2 3 2 2 2" xfId="29751"/>
    <cellStyle name="Nota 2 2 2 2 5 2 2 3 2 3" xfId="21080"/>
    <cellStyle name="Nota 2 2 2 2 5 2 2 3 3" xfId="14063"/>
    <cellStyle name="Nota 2 2 2 2 5 2 2 3 3 2" xfId="28385"/>
    <cellStyle name="Nota 2 2 2 2 5 2 2 3 4" xfId="19708"/>
    <cellStyle name="Nota 2 2 2 2 5 2 2 4" xfId="11448"/>
    <cellStyle name="Nota 2 2 2 2 5 2 2 4 2" xfId="25770"/>
    <cellStyle name="Nota 2 2 2 2 5 2 2 5" xfId="15241"/>
    <cellStyle name="Nota 2 2 2 2 5 2 3" xfId="1365"/>
    <cellStyle name="Nota 2 2 2 2 5 2 3 2" xfId="5257"/>
    <cellStyle name="Nota 2 2 2 2 5 2 3 2 2" xfId="9566"/>
    <cellStyle name="Nota 2 2 2 2 5 2 3 2 2 2" xfId="15828"/>
    <cellStyle name="Nota 2 2 2 2 5 2 3 2 2 2 2" xfId="29244"/>
    <cellStyle name="Nota 2 2 2 2 5 2 3 2 2 3" xfId="20573"/>
    <cellStyle name="Nota 2 2 2 2 5 2 3 2 3" xfId="11807"/>
    <cellStyle name="Nota 2 2 2 2 5 2 3 2 3 2" xfId="26129"/>
    <cellStyle name="Nota 2 2 2 2 5 2 3 2 4" xfId="17452"/>
    <cellStyle name="Nota 2 2 2 2 5 2 3 3" xfId="13101"/>
    <cellStyle name="Nota 2 2 2 2 5 2 3 3 2" xfId="27423"/>
    <cellStyle name="Nota 2 2 2 2 5 2 3 4" xfId="18746"/>
    <cellStyle name="Nota 2 2 2 2 5 2 4" xfId="5462"/>
    <cellStyle name="Nota 2 2 2 2 5 2 4 2" xfId="12013"/>
    <cellStyle name="Nota 2 2 2 2 5 2 4 2 2" xfId="26335"/>
    <cellStyle name="Nota 2 2 2 2 5 2 4 3" xfId="17658"/>
    <cellStyle name="Nota 2 2 2 2 5 2 5" xfId="6725"/>
    <cellStyle name="Nota 2 2 2 2 5 2 5 2" xfId="23679"/>
    <cellStyle name="Nota 2 2 2 2 5 2 6" xfId="15185"/>
    <cellStyle name="Nota 2 2 2 2 5 3" xfId="1366"/>
    <cellStyle name="Nota 2 2 2 2 5 3 2" xfId="6976"/>
    <cellStyle name="Nota 2 2 2 2 5 3 2 2" xfId="13580"/>
    <cellStyle name="Nota 2 2 2 2 5 3 2 2 2" xfId="27902"/>
    <cellStyle name="Nota 2 2 2 2 5 3 2 3" xfId="19225"/>
    <cellStyle name="Nota 2 2 2 2 5 3 3" xfId="7828"/>
    <cellStyle name="Nota 2 2 2 2 5 3 3 2" xfId="10442"/>
    <cellStyle name="Nota 2 2 2 2 5 3 3 2 2" xfId="16704"/>
    <cellStyle name="Nota 2 2 2 2 5 3 3 2 2 2" xfId="30120"/>
    <cellStyle name="Nota 2 2 2 2 5 3 3 2 3" xfId="21449"/>
    <cellStyle name="Nota 2 2 2 2 5 3 3 3" xfId="14432"/>
    <cellStyle name="Nota 2 2 2 2 5 3 3 3 2" xfId="28754"/>
    <cellStyle name="Nota 2 2 2 2 5 3 3 4" xfId="20077"/>
    <cellStyle name="Nota 2 2 2 2 5 3 4" xfId="11486"/>
    <cellStyle name="Nota 2 2 2 2 5 3 4 2" xfId="25808"/>
    <cellStyle name="Nota 2 2 2 2 5 3 5" xfId="17117"/>
    <cellStyle name="Nota 2 2 2 2 5 4" xfId="1367"/>
    <cellStyle name="Nota 2 2 2 2 5 4 2" xfId="3631"/>
    <cellStyle name="Nota 2 2 2 2 5 4 2 2" xfId="9349"/>
    <cellStyle name="Nota 2 2 2 2 5 4 2 2 2" xfId="15611"/>
    <cellStyle name="Nota 2 2 2 2 5 4 2 2 2 2" xfId="29027"/>
    <cellStyle name="Nota 2 2 2 2 5 4 2 2 3" xfId="20356"/>
    <cellStyle name="Nota 2 2 2 2 5 4 2 3" xfId="4693"/>
    <cellStyle name="Nota 2 2 2 2 5 4 2 3 2" xfId="23129"/>
    <cellStyle name="Nota 2 2 2 2 5 4 2 4" xfId="15373"/>
    <cellStyle name="Nota 2 2 2 2 5 4 3" xfId="12814"/>
    <cellStyle name="Nota 2 2 2 2 5 4 3 2" xfId="27136"/>
    <cellStyle name="Nota 2 2 2 2 5 4 4" xfId="18459"/>
    <cellStyle name="Nota 2 2 2 2 5 5" xfId="5349"/>
    <cellStyle name="Nota 2 2 2 2 5 5 2" xfId="11899"/>
    <cellStyle name="Nota 2 2 2 2 5 5 2 2" xfId="26221"/>
    <cellStyle name="Nota 2 2 2 2 5 5 3" xfId="17544"/>
    <cellStyle name="Nota 2 2 2 2 5 6" xfId="6307"/>
    <cellStyle name="Nota 2 2 2 2 5 6 2" xfId="23503"/>
    <cellStyle name="Nota 2 2 2 2 5 7" xfId="4584"/>
    <cellStyle name="Nota 2 2 2 2 6" xfId="1368"/>
    <cellStyle name="Nota 2 2 2 2 6 2" xfId="1369"/>
    <cellStyle name="Nota 2 2 2 2 6 2 2" xfId="6198"/>
    <cellStyle name="Nota 2 2 2 2 6 2 2 2" xfId="12771"/>
    <cellStyle name="Nota 2 2 2 2 6 2 2 2 2" xfId="27093"/>
    <cellStyle name="Nota 2 2 2 2 6 2 2 3" xfId="18416"/>
    <cellStyle name="Nota 2 2 2 2 6 2 3" xfId="7403"/>
    <cellStyle name="Nota 2 2 2 2 6 2 3 2" xfId="10017"/>
    <cellStyle name="Nota 2 2 2 2 6 2 3 2 2" xfId="16279"/>
    <cellStyle name="Nota 2 2 2 2 6 2 3 2 2 2" xfId="29695"/>
    <cellStyle name="Nota 2 2 2 2 6 2 3 2 3" xfId="21024"/>
    <cellStyle name="Nota 2 2 2 2 6 2 3 3" xfId="14007"/>
    <cellStyle name="Nota 2 2 2 2 6 2 3 3 2" xfId="28329"/>
    <cellStyle name="Nota 2 2 2 2 6 2 3 4" xfId="19652"/>
    <cellStyle name="Nota 2 2 2 2 6 2 4" xfId="3750"/>
    <cellStyle name="Nota 2 2 2 2 6 2 4 2" xfId="22563"/>
    <cellStyle name="Nota 2 2 2 2 6 2 5" xfId="16964"/>
    <cellStyle name="Nota 2 2 2 2 6 3" xfId="1370"/>
    <cellStyle name="Nota 2 2 2 2 6 3 2" xfId="7696"/>
    <cellStyle name="Nota 2 2 2 2 6 3 2 2" xfId="10310"/>
    <cellStyle name="Nota 2 2 2 2 6 3 2 2 2" xfId="16572"/>
    <cellStyle name="Nota 2 2 2 2 6 3 2 2 2 2" xfId="29988"/>
    <cellStyle name="Nota 2 2 2 2 6 3 2 2 3" xfId="21317"/>
    <cellStyle name="Nota 2 2 2 2 6 3 2 3" xfId="14300"/>
    <cellStyle name="Nota 2 2 2 2 6 3 2 3 2" xfId="28622"/>
    <cellStyle name="Nota 2 2 2 2 6 3 2 4" xfId="19945"/>
    <cellStyle name="Nota 2 2 2 2 6 3 3" xfId="12520"/>
    <cellStyle name="Nota 2 2 2 2 6 3 3 2" xfId="26842"/>
    <cellStyle name="Nota 2 2 2 2 6 3 4" xfId="18165"/>
    <cellStyle name="Nota 2 2 2 2 6 4" xfId="5154"/>
    <cellStyle name="Nota 2 2 2 2 6 4 2" xfId="11703"/>
    <cellStyle name="Nota 2 2 2 2 6 4 2 2" xfId="26025"/>
    <cellStyle name="Nota 2 2 2 2 6 4 3" xfId="4745"/>
    <cellStyle name="Nota 2 2 2 2 6 5" xfId="6774"/>
    <cellStyle name="Nota 2 2 2 2 6 5 2" xfId="23720"/>
    <cellStyle name="Nota 2 2 2 2 6 6" xfId="15586"/>
    <cellStyle name="Nota 2 2 2 2 7" xfId="1371"/>
    <cellStyle name="Nota 2 2 2 2 7 2" xfId="5235"/>
    <cellStyle name="Nota 2 2 2 2 7 2 2" xfId="11785"/>
    <cellStyle name="Nota 2 2 2 2 7 2 2 2" xfId="26107"/>
    <cellStyle name="Nota 2 2 2 2 7 2 3" xfId="17430"/>
    <cellStyle name="Nota 2 2 2 2 7 3" xfId="7401"/>
    <cellStyle name="Nota 2 2 2 2 7 3 2" xfId="10015"/>
    <cellStyle name="Nota 2 2 2 2 7 3 2 2" xfId="16277"/>
    <cellStyle name="Nota 2 2 2 2 7 3 2 2 2" xfId="29693"/>
    <cellStyle name="Nota 2 2 2 2 7 3 2 3" xfId="21022"/>
    <cellStyle name="Nota 2 2 2 2 7 3 3" xfId="14005"/>
    <cellStyle name="Nota 2 2 2 2 7 3 3 2" xfId="28327"/>
    <cellStyle name="Nota 2 2 2 2 7 3 4" xfId="19650"/>
    <cellStyle name="Nota 2 2 2 2 7 4" xfId="4082"/>
    <cellStyle name="Nota 2 2 2 2 7 4 2" xfId="22750"/>
    <cellStyle name="Nota 2 2 2 2 7 5" xfId="17184"/>
    <cellStyle name="Nota 2 2 2 2 8" xfId="1372"/>
    <cellStyle name="Nota 2 2 2 2 8 2" xfId="7465"/>
    <cellStyle name="Nota 2 2 2 2 8 2 2" xfId="10079"/>
    <cellStyle name="Nota 2 2 2 2 8 2 2 2" xfId="16341"/>
    <cellStyle name="Nota 2 2 2 2 8 2 2 2 2" xfId="29757"/>
    <cellStyle name="Nota 2 2 2 2 8 2 2 3" xfId="21086"/>
    <cellStyle name="Nota 2 2 2 2 8 2 3" xfId="14069"/>
    <cellStyle name="Nota 2 2 2 2 8 2 3 2" xfId="28391"/>
    <cellStyle name="Nota 2 2 2 2 8 2 4" xfId="19714"/>
    <cellStyle name="Nota 2 2 2 2 8 3" xfId="12751"/>
    <cellStyle name="Nota 2 2 2 2 8 3 2" xfId="27073"/>
    <cellStyle name="Nota 2 2 2 2 8 4" xfId="18396"/>
    <cellStyle name="Nota 2 2 2 2 9" xfId="5403"/>
    <cellStyle name="Nota 2 2 2 2 9 2" xfId="11953"/>
    <cellStyle name="Nota 2 2 2 2 9 2 2" xfId="26275"/>
    <cellStyle name="Nota 2 2 2 2 9 3" xfId="17598"/>
    <cellStyle name="Nota 2 2 2 3" xfId="1373"/>
    <cellStyle name="Nota 2 2 2 3 2" xfId="1374"/>
    <cellStyle name="Nota 2 2 2 3 2 2" xfId="1375"/>
    <cellStyle name="Nota 2 2 2 3 2 2 2" xfId="6071"/>
    <cellStyle name="Nota 2 2 2 3 2 2 2 2" xfId="12637"/>
    <cellStyle name="Nota 2 2 2 3 2 2 2 2 2" xfId="26959"/>
    <cellStyle name="Nota 2 2 2 3 2 2 2 3" xfId="18282"/>
    <cellStyle name="Nota 2 2 2 3 2 2 3" xfId="8027"/>
    <cellStyle name="Nota 2 2 2 3 2 2 3 2" xfId="10641"/>
    <cellStyle name="Nota 2 2 2 3 2 2 3 2 2" xfId="16903"/>
    <cellStyle name="Nota 2 2 2 3 2 2 3 2 2 2" xfId="30319"/>
    <cellStyle name="Nota 2 2 2 3 2 2 3 2 3" xfId="21648"/>
    <cellStyle name="Nota 2 2 2 3 2 2 3 3" xfId="14631"/>
    <cellStyle name="Nota 2 2 2 3 2 2 3 3 2" xfId="28953"/>
    <cellStyle name="Nota 2 2 2 3 2 2 3 4" xfId="20276"/>
    <cellStyle name="Nota 2 2 2 3 2 2 4" xfId="3290"/>
    <cellStyle name="Nota 2 2 2 3 2 2 4 2" xfId="22463"/>
    <cellStyle name="Nota 2 2 2 3 2 2 5" xfId="14900"/>
    <cellStyle name="Nota 2 2 2 3 2 3" xfId="1376"/>
    <cellStyle name="Nota 2 2 2 3 2 3 2" xfId="7843"/>
    <cellStyle name="Nota 2 2 2 3 2 3 2 2" xfId="10457"/>
    <cellStyle name="Nota 2 2 2 3 2 3 2 2 2" xfId="16719"/>
    <cellStyle name="Nota 2 2 2 3 2 3 2 2 2 2" xfId="30135"/>
    <cellStyle name="Nota 2 2 2 3 2 3 2 2 3" xfId="21464"/>
    <cellStyle name="Nota 2 2 2 3 2 3 2 3" xfId="14447"/>
    <cellStyle name="Nota 2 2 2 3 2 3 2 3 2" xfId="28769"/>
    <cellStyle name="Nota 2 2 2 3 2 3 2 4" xfId="20092"/>
    <cellStyle name="Nota 2 2 2 3 2 3 3" xfId="13279"/>
    <cellStyle name="Nota 2 2 2 3 2 3 3 2" xfId="27601"/>
    <cellStyle name="Nota 2 2 2 3 2 3 4" xfId="18924"/>
    <cellStyle name="Nota 2 2 2 3 2 4" xfId="5727"/>
    <cellStyle name="Nota 2 2 2 3 2 4 2" xfId="12280"/>
    <cellStyle name="Nota 2 2 2 3 2 4 2 2" xfId="26602"/>
    <cellStyle name="Nota 2 2 2 3 2 4 3" xfId="17925"/>
    <cellStyle name="Nota 2 2 2 3 2 5" xfId="6816"/>
    <cellStyle name="Nota 2 2 2 3 2 5 2" xfId="23752"/>
    <cellStyle name="Nota 2 2 2 3 2 6" xfId="17372"/>
    <cellStyle name="Nota 2 2 2 3 3" xfId="1377"/>
    <cellStyle name="Nota 2 2 2 3 3 2" xfId="1378"/>
    <cellStyle name="Nota 2 2 2 3 3 2 2" xfId="6208"/>
    <cellStyle name="Nota 2 2 2 3 3 2 2 2" xfId="12781"/>
    <cellStyle name="Nota 2 2 2 3 3 2 2 2 2" xfId="27103"/>
    <cellStyle name="Nota 2 2 2 3 3 2 2 3" xfId="18426"/>
    <cellStyle name="Nota 2 2 2 3 3 2 3" xfId="4280"/>
    <cellStyle name="Nota 2 2 2 3 3 2 3 2" xfId="9441"/>
    <cellStyle name="Nota 2 2 2 3 3 2 3 2 2" xfId="15703"/>
    <cellStyle name="Nota 2 2 2 3 3 2 3 2 2 2" xfId="29119"/>
    <cellStyle name="Nota 2 2 2 3 3 2 3 2 3" xfId="20448"/>
    <cellStyle name="Nota 2 2 2 3 3 2 3 3" xfId="4186"/>
    <cellStyle name="Nota 2 2 2 3 3 2 3 3 2" xfId="22808"/>
    <cellStyle name="Nota 2 2 2 3 3 2 3 4" xfId="4012"/>
    <cellStyle name="Nota 2 2 2 3 3 2 4" xfId="4563"/>
    <cellStyle name="Nota 2 2 2 3 3 2 4 2" xfId="23032"/>
    <cellStyle name="Nota 2 2 2 3 3 2 5" xfId="14892"/>
    <cellStyle name="Nota 2 2 2 3 3 3" xfId="1379"/>
    <cellStyle name="Nota 2 2 2 3 3 3 2" xfId="4929"/>
    <cellStyle name="Nota 2 2 2 3 3 3 2 2" xfId="9518"/>
    <cellStyle name="Nota 2 2 2 3 3 3 2 2 2" xfId="15780"/>
    <cellStyle name="Nota 2 2 2 3 3 3 2 2 2 2" xfId="29196"/>
    <cellStyle name="Nota 2 2 2 3 3 3 2 2 3" xfId="20525"/>
    <cellStyle name="Nota 2 2 2 3 3 3 2 3" xfId="11467"/>
    <cellStyle name="Nota 2 2 2 3 3 3 2 3 2" xfId="25789"/>
    <cellStyle name="Nota 2 2 2 3 3 3 2 4" xfId="17383"/>
    <cellStyle name="Nota 2 2 2 3 3 3 3" xfId="13163"/>
    <cellStyle name="Nota 2 2 2 3 3 3 3 2" xfId="27485"/>
    <cellStyle name="Nota 2 2 2 3 3 3 4" xfId="18808"/>
    <cellStyle name="Nota 2 2 2 3 3 4" xfId="5576"/>
    <cellStyle name="Nota 2 2 2 3 3 4 2" xfId="12127"/>
    <cellStyle name="Nota 2 2 2 3 3 4 2 2" xfId="26449"/>
    <cellStyle name="Nota 2 2 2 3 3 4 3" xfId="17772"/>
    <cellStyle name="Nota 2 2 2 3 3 5" xfId="4710"/>
    <cellStyle name="Nota 2 2 2 3 3 5 2" xfId="23142"/>
    <cellStyle name="Nota 2 2 2 3 3 6" xfId="15258"/>
    <cellStyle name="Nota 2 2 2 3 4" xfId="1380"/>
    <cellStyle name="Nota 2 2 2 3 4 2" xfId="6945"/>
    <cellStyle name="Nota 2 2 2 3 4 2 2" xfId="13549"/>
    <cellStyle name="Nota 2 2 2 3 4 2 2 2" xfId="27871"/>
    <cellStyle name="Nota 2 2 2 3 4 2 3" xfId="19194"/>
    <cellStyle name="Nota 2 2 2 3 4 3" xfId="7449"/>
    <cellStyle name="Nota 2 2 2 3 4 3 2" xfId="10063"/>
    <cellStyle name="Nota 2 2 2 3 4 3 2 2" xfId="16325"/>
    <cellStyle name="Nota 2 2 2 3 4 3 2 2 2" xfId="29741"/>
    <cellStyle name="Nota 2 2 2 3 4 3 2 3" xfId="21070"/>
    <cellStyle name="Nota 2 2 2 3 4 3 3" xfId="14053"/>
    <cellStyle name="Nota 2 2 2 3 4 3 3 2" xfId="28375"/>
    <cellStyle name="Nota 2 2 2 3 4 3 4" xfId="19698"/>
    <cellStyle name="Nota 2 2 2 3 4 4" xfId="11438"/>
    <cellStyle name="Nota 2 2 2 3 4 4 2" xfId="25760"/>
    <cellStyle name="Nota 2 2 2 3 4 5" xfId="14959"/>
    <cellStyle name="Nota 2 2 2 3 5" xfId="1381"/>
    <cellStyle name="Nota 2 2 2 3 5 2" xfId="5320"/>
    <cellStyle name="Nota 2 2 2 3 5 2 2" xfId="9629"/>
    <cellStyle name="Nota 2 2 2 3 5 2 2 2" xfId="15891"/>
    <cellStyle name="Nota 2 2 2 3 5 2 2 2 2" xfId="29307"/>
    <cellStyle name="Nota 2 2 2 3 5 2 2 3" xfId="20636"/>
    <cellStyle name="Nota 2 2 2 3 5 2 3" xfId="11870"/>
    <cellStyle name="Nota 2 2 2 3 5 2 3 2" xfId="26192"/>
    <cellStyle name="Nota 2 2 2 3 5 2 4" xfId="17515"/>
    <cellStyle name="Nota 2 2 2 3 5 3" xfId="12842"/>
    <cellStyle name="Nota 2 2 2 3 5 3 2" xfId="27164"/>
    <cellStyle name="Nota 2 2 2 3 5 4" xfId="18487"/>
    <cellStyle name="Nota 2 2 2 3 6" xfId="5423"/>
    <cellStyle name="Nota 2 2 2 3 6 2" xfId="11974"/>
    <cellStyle name="Nota 2 2 2 3 6 2 2" xfId="26296"/>
    <cellStyle name="Nota 2 2 2 3 6 3" xfId="17619"/>
    <cellStyle name="Nota 2 2 2 3 7" xfId="3798"/>
    <cellStyle name="Nota 2 2 2 3 7 2" xfId="22586"/>
    <cellStyle name="Nota 2 2 2 3 8" xfId="17052"/>
    <cellStyle name="Nota 2 2 2 4" xfId="1382"/>
    <cellStyle name="Nota 2 2 2 4 2" xfId="1383"/>
    <cellStyle name="Nota 2 2 2 4 2 2" xfId="1384"/>
    <cellStyle name="Nota 2 2 2 4 2 2 2" xfId="6877"/>
    <cellStyle name="Nota 2 2 2 4 2 2 2 2" xfId="13481"/>
    <cellStyle name="Nota 2 2 2 4 2 2 2 2 2" xfId="27803"/>
    <cellStyle name="Nota 2 2 2 4 2 2 2 3" xfId="19126"/>
    <cellStyle name="Nota 2 2 2 4 2 2 3" xfId="3794"/>
    <cellStyle name="Nota 2 2 2 4 2 2 3 2" xfId="9375"/>
    <cellStyle name="Nota 2 2 2 4 2 2 3 2 2" xfId="15637"/>
    <cellStyle name="Nota 2 2 2 4 2 2 3 2 2 2" xfId="29053"/>
    <cellStyle name="Nota 2 2 2 4 2 2 3 2 3" xfId="20382"/>
    <cellStyle name="Nota 2 2 2 4 2 2 3 3" xfId="5021"/>
    <cellStyle name="Nota 2 2 2 4 2 2 3 3 2" xfId="23310"/>
    <cellStyle name="Nota 2 2 2 4 2 2 3 4" xfId="16962"/>
    <cellStyle name="Nota 2 2 2 4 2 2 4" xfId="11346"/>
    <cellStyle name="Nota 2 2 2 4 2 2 4 2" xfId="25668"/>
    <cellStyle name="Nota 2 2 2 4 2 2 5" xfId="14757"/>
    <cellStyle name="Nota 2 2 2 4 2 3" xfId="1385"/>
    <cellStyle name="Nota 2 2 2 4 2 3 2" xfId="7441"/>
    <cellStyle name="Nota 2 2 2 4 2 3 2 2" xfId="10055"/>
    <cellStyle name="Nota 2 2 2 4 2 3 2 2 2" xfId="16317"/>
    <cellStyle name="Nota 2 2 2 4 2 3 2 2 2 2" xfId="29733"/>
    <cellStyle name="Nota 2 2 2 4 2 3 2 2 3" xfId="21062"/>
    <cellStyle name="Nota 2 2 2 4 2 3 2 3" xfId="14045"/>
    <cellStyle name="Nota 2 2 2 4 2 3 2 3 2" xfId="28367"/>
    <cellStyle name="Nota 2 2 2 4 2 3 2 4" xfId="19690"/>
    <cellStyle name="Nota 2 2 2 4 2 3 3" xfId="13224"/>
    <cellStyle name="Nota 2 2 2 4 2 3 3 2" xfId="27546"/>
    <cellStyle name="Nota 2 2 2 4 2 3 4" xfId="18869"/>
    <cellStyle name="Nota 2 2 2 4 2 4" xfId="5665"/>
    <cellStyle name="Nota 2 2 2 4 2 4 2" xfId="12218"/>
    <cellStyle name="Nota 2 2 2 4 2 4 2 2" xfId="26540"/>
    <cellStyle name="Nota 2 2 2 4 2 4 3" xfId="17863"/>
    <cellStyle name="Nota 2 2 2 4 2 5" xfId="4335"/>
    <cellStyle name="Nota 2 2 2 4 2 5 2" xfId="22894"/>
    <cellStyle name="Nota 2 2 2 4 2 6" xfId="15198"/>
    <cellStyle name="Nota 2 2 2 4 3" xfId="1386"/>
    <cellStyle name="Nota 2 2 2 4 3 2" xfId="1387"/>
    <cellStyle name="Nota 2 2 2 4 3 2 2" xfId="7039"/>
    <cellStyle name="Nota 2 2 2 4 3 2 2 2" xfId="13643"/>
    <cellStyle name="Nota 2 2 2 4 3 2 2 2 2" xfId="27965"/>
    <cellStyle name="Nota 2 2 2 4 3 2 2 3" xfId="19288"/>
    <cellStyle name="Nota 2 2 2 4 3 2 3" xfId="7929"/>
    <cellStyle name="Nota 2 2 2 4 3 2 3 2" xfId="10543"/>
    <cellStyle name="Nota 2 2 2 4 3 2 3 2 2" xfId="16805"/>
    <cellStyle name="Nota 2 2 2 4 3 2 3 2 2 2" xfId="30221"/>
    <cellStyle name="Nota 2 2 2 4 3 2 3 2 3" xfId="21550"/>
    <cellStyle name="Nota 2 2 2 4 3 2 3 3" xfId="14533"/>
    <cellStyle name="Nota 2 2 2 4 3 2 3 3 2" xfId="28855"/>
    <cellStyle name="Nota 2 2 2 4 3 2 3 4" xfId="20178"/>
    <cellStyle name="Nota 2 2 2 4 3 2 4" xfId="11584"/>
    <cellStyle name="Nota 2 2 2 4 3 2 4 2" xfId="25906"/>
    <cellStyle name="Nota 2 2 2 4 3 2 5" xfId="17329"/>
    <cellStyle name="Nota 2 2 2 4 3 3" xfId="1388"/>
    <cellStyle name="Nota 2 2 2 4 3 3 2" xfId="7813"/>
    <cellStyle name="Nota 2 2 2 4 3 3 2 2" xfId="10427"/>
    <cellStyle name="Nota 2 2 2 4 3 3 2 2 2" xfId="16689"/>
    <cellStyle name="Nota 2 2 2 4 3 3 2 2 2 2" xfId="30105"/>
    <cellStyle name="Nota 2 2 2 4 3 3 2 2 3" xfId="21434"/>
    <cellStyle name="Nota 2 2 2 4 3 3 2 3" xfId="14417"/>
    <cellStyle name="Nota 2 2 2 4 3 3 2 3 2" xfId="28739"/>
    <cellStyle name="Nota 2 2 2 4 3 3 2 4" xfId="20062"/>
    <cellStyle name="Nota 2 2 2 4 3 3 3" xfId="12644"/>
    <cellStyle name="Nota 2 2 2 4 3 3 3 2" xfId="26966"/>
    <cellStyle name="Nota 2 2 2 4 3 3 4" xfId="18289"/>
    <cellStyle name="Nota 2 2 2 4 3 4" xfId="5137"/>
    <cellStyle name="Nota 2 2 2 4 3 4 2" xfId="11686"/>
    <cellStyle name="Nota 2 2 2 4 3 4 2 2" xfId="26008"/>
    <cellStyle name="Nota 2 2 2 4 3 4 3" xfId="6820"/>
    <cellStyle name="Nota 2 2 2 4 3 5" xfId="4403"/>
    <cellStyle name="Nota 2 2 2 4 3 5 2" xfId="22930"/>
    <cellStyle name="Nota 2 2 2 4 3 6" xfId="15431"/>
    <cellStyle name="Nota 2 2 2 4 4" xfId="1389"/>
    <cellStyle name="Nota 2 2 2 4 4 2" xfId="6845"/>
    <cellStyle name="Nota 2 2 2 4 4 2 2" xfId="13449"/>
    <cellStyle name="Nota 2 2 2 4 4 2 2 2" xfId="27771"/>
    <cellStyle name="Nota 2 2 2 4 4 2 3" xfId="19094"/>
    <cellStyle name="Nota 2 2 2 4 4 3" xfId="7622"/>
    <cellStyle name="Nota 2 2 2 4 4 3 2" xfId="10236"/>
    <cellStyle name="Nota 2 2 2 4 4 3 2 2" xfId="16498"/>
    <cellStyle name="Nota 2 2 2 4 4 3 2 2 2" xfId="29914"/>
    <cellStyle name="Nota 2 2 2 4 4 3 2 3" xfId="21243"/>
    <cellStyle name="Nota 2 2 2 4 4 3 3" xfId="14226"/>
    <cellStyle name="Nota 2 2 2 4 4 3 3 2" xfId="28548"/>
    <cellStyle name="Nota 2 2 2 4 4 3 4" xfId="19871"/>
    <cellStyle name="Nota 2 2 2 4 4 4" xfId="2767"/>
    <cellStyle name="Nota 2 2 2 4 4 4 2" xfId="22336"/>
    <cellStyle name="Nota 2 2 2 4 4 5" xfId="16967"/>
    <cellStyle name="Nota 2 2 2 4 5" xfId="1390"/>
    <cellStyle name="Nota 2 2 2 4 5 2" xfId="7044"/>
    <cellStyle name="Nota 2 2 2 4 5 2 2" xfId="9658"/>
    <cellStyle name="Nota 2 2 2 4 5 2 2 2" xfId="15920"/>
    <cellStyle name="Nota 2 2 2 4 5 2 2 2 2" xfId="29336"/>
    <cellStyle name="Nota 2 2 2 4 5 2 2 3" xfId="20665"/>
    <cellStyle name="Nota 2 2 2 4 5 2 3" xfId="13648"/>
    <cellStyle name="Nota 2 2 2 4 5 2 3 2" xfId="27970"/>
    <cellStyle name="Nota 2 2 2 4 5 2 4" xfId="19293"/>
    <cellStyle name="Nota 2 2 2 4 5 3" xfId="12558"/>
    <cellStyle name="Nota 2 2 2 4 5 3 2" xfId="26880"/>
    <cellStyle name="Nota 2 2 2 4 5 4" xfId="18203"/>
    <cellStyle name="Nota 2 2 2 4 6" xfId="5085"/>
    <cellStyle name="Nota 2 2 2 4 6 2" xfId="11632"/>
    <cellStyle name="Nota 2 2 2 4 6 2 2" xfId="25954"/>
    <cellStyle name="Nota 2 2 2 4 6 3" xfId="17108"/>
    <cellStyle name="Nota 2 2 2 4 7" xfId="4808"/>
    <cellStyle name="Nota 2 2 2 4 7 2" xfId="23197"/>
    <cellStyle name="Nota 2 2 2 4 8" xfId="15012"/>
    <cellStyle name="Nota 2 2 2 5" xfId="1391"/>
    <cellStyle name="Nota 2 2 2 5 2" xfId="1392"/>
    <cellStyle name="Nota 2 2 2 5 2 2" xfId="1393"/>
    <cellStyle name="Nota 2 2 2 5 2 2 2" xfId="5618"/>
    <cellStyle name="Nota 2 2 2 5 2 2 2 2" xfId="12171"/>
    <cellStyle name="Nota 2 2 2 5 2 2 2 2 2" xfId="26493"/>
    <cellStyle name="Nota 2 2 2 5 2 2 2 3" xfId="17816"/>
    <cellStyle name="Nota 2 2 2 5 2 2 3" xfId="3636"/>
    <cellStyle name="Nota 2 2 2 5 2 2 3 2" xfId="9351"/>
    <cellStyle name="Nota 2 2 2 5 2 2 3 2 2" xfId="15613"/>
    <cellStyle name="Nota 2 2 2 5 2 2 3 2 2 2" xfId="29029"/>
    <cellStyle name="Nota 2 2 2 5 2 2 3 2 3" xfId="20358"/>
    <cellStyle name="Nota 2 2 2 5 2 2 3 3" xfId="6336"/>
    <cellStyle name="Nota 2 2 2 5 2 2 3 3 2" xfId="23524"/>
    <cellStyle name="Nota 2 2 2 5 2 2 3 4" xfId="17141"/>
    <cellStyle name="Nota 2 2 2 5 2 2 4" xfId="4292"/>
    <cellStyle name="Nota 2 2 2 5 2 2 4 2" xfId="22876"/>
    <cellStyle name="Nota 2 2 2 5 2 2 5" xfId="3754"/>
    <cellStyle name="Nota 2 2 2 5 2 3" xfId="1394"/>
    <cellStyle name="Nota 2 2 2 5 2 3 2" xfId="7208"/>
    <cellStyle name="Nota 2 2 2 5 2 3 2 2" xfId="9822"/>
    <cellStyle name="Nota 2 2 2 5 2 3 2 2 2" xfId="16084"/>
    <cellStyle name="Nota 2 2 2 5 2 3 2 2 2 2" xfId="29500"/>
    <cellStyle name="Nota 2 2 2 5 2 3 2 2 3" xfId="20829"/>
    <cellStyle name="Nota 2 2 2 5 2 3 2 3" xfId="13812"/>
    <cellStyle name="Nota 2 2 2 5 2 3 2 3 2" xfId="28134"/>
    <cellStyle name="Nota 2 2 2 5 2 3 2 4" xfId="19457"/>
    <cellStyle name="Nota 2 2 2 5 2 3 3" xfId="13232"/>
    <cellStyle name="Nota 2 2 2 5 2 3 3 2" xfId="27554"/>
    <cellStyle name="Nota 2 2 2 5 2 3 4" xfId="18877"/>
    <cellStyle name="Nota 2 2 2 5 2 4" xfId="5673"/>
    <cellStyle name="Nota 2 2 2 5 2 4 2" xfId="12226"/>
    <cellStyle name="Nota 2 2 2 5 2 4 2 2" xfId="26548"/>
    <cellStyle name="Nota 2 2 2 5 2 4 3" xfId="17871"/>
    <cellStyle name="Nota 2 2 2 5 2 5" xfId="4726"/>
    <cellStyle name="Nota 2 2 2 5 2 5 2" xfId="23153"/>
    <cellStyle name="Nota 2 2 2 5 2 6" xfId="17178"/>
    <cellStyle name="Nota 2 2 2 5 3" xfId="1395"/>
    <cellStyle name="Nota 2 2 2 5 3 2" xfId="1396"/>
    <cellStyle name="Nota 2 2 2 5 3 2 2" xfId="6978"/>
    <cellStyle name="Nota 2 2 2 5 3 2 2 2" xfId="13582"/>
    <cellStyle name="Nota 2 2 2 5 3 2 2 2 2" xfId="27904"/>
    <cellStyle name="Nota 2 2 2 5 3 2 2 3" xfId="19227"/>
    <cellStyle name="Nota 2 2 2 5 3 2 3" xfId="4089"/>
    <cellStyle name="Nota 2 2 2 5 3 2 3 2" xfId="9421"/>
    <cellStyle name="Nota 2 2 2 5 3 2 3 2 2" xfId="15683"/>
    <cellStyle name="Nota 2 2 2 5 3 2 3 2 2 2" xfId="29099"/>
    <cellStyle name="Nota 2 2 2 5 3 2 3 2 3" xfId="20428"/>
    <cellStyle name="Nota 2 2 2 5 3 2 3 3" xfId="4144"/>
    <cellStyle name="Nota 2 2 2 5 3 2 3 3 2" xfId="22782"/>
    <cellStyle name="Nota 2 2 2 5 3 2 3 4" xfId="17140"/>
    <cellStyle name="Nota 2 2 2 5 3 2 4" xfId="11489"/>
    <cellStyle name="Nota 2 2 2 5 3 2 4 2" xfId="25811"/>
    <cellStyle name="Nota 2 2 2 5 3 2 5" xfId="17318"/>
    <cellStyle name="Nota 2 2 2 5 3 3" xfId="1397"/>
    <cellStyle name="Nota 2 2 2 5 3 3 2" xfId="7958"/>
    <cellStyle name="Nota 2 2 2 5 3 3 2 2" xfId="10572"/>
    <cellStyle name="Nota 2 2 2 5 3 3 2 2 2" xfId="16834"/>
    <cellStyle name="Nota 2 2 2 5 3 3 2 2 2 2" xfId="30250"/>
    <cellStyle name="Nota 2 2 2 5 3 3 2 2 3" xfId="21579"/>
    <cellStyle name="Nota 2 2 2 5 3 3 2 3" xfId="14562"/>
    <cellStyle name="Nota 2 2 2 5 3 3 2 3 2" xfId="28884"/>
    <cellStyle name="Nota 2 2 2 5 3 3 2 4" xfId="20207"/>
    <cellStyle name="Nota 2 2 2 5 3 3 3" xfId="13419"/>
    <cellStyle name="Nota 2 2 2 5 3 3 3 2" xfId="27741"/>
    <cellStyle name="Nota 2 2 2 5 3 3 4" xfId="19064"/>
    <cellStyle name="Nota 2 2 2 5 3 4" xfId="5890"/>
    <cellStyle name="Nota 2 2 2 5 3 4 2" xfId="12443"/>
    <cellStyle name="Nota 2 2 2 5 3 4 2 2" xfId="26765"/>
    <cellStyle name="Nota 2 2 2 5 3 4 3" xfId="18088"/>
    <cellStyle name="Nota 2 2 2 5 3 5" xfId="4047"/>
    <cellStyle name="Nota 2 2 2 5 3 5 2" xfId="22724"/>
    <cellStyle name="Nota 2 2 2 5 3 6" xfId="3987"/>
    <cellStyle name="Nota 2 2 2 5 4" xfId="1398"/>
    <cellStyle name="Nota 2 2 2 5 4 2" xfId="6967"/>
    <cellStyle name="Nota 2 2 2 5 4 2 2" xfId="13571"/>
    <cellStyle name="Nota 2 2 2 5 4 2 2 2" xfId="27893"/>
    <cellStyle name="Nota 2 2 2 5 4 2 3" xfId="19216"/>
    <cellStyle name="Nota 2 2 2 5 4 3" xfId="7907"/>
    <cellStyle name="Nota 2 2 2 5 4 3 2" xfId="10521"/>
    <cellStyle name="Nota 2 2 2 5 4 3 2 2" xfId="16783"/>
    <cellStyle name="Nota 2 2 2 5 4 3 2 2 2" xfId="30199"/>
    <cellStyle name="Nota 2 2 2 5 4 3 2 3" xfId="21528"/>
    <cellStyle name="Nota 2 2 2 5 4 3 3" xfId="14511"/>
    <cellStyle name="Nota 2 2 2 5 4 3 3 2" xfId="28833"/>
    <cellStyle name="Nota 2 2 2 5 4 3 4" xfId="20156"/>
    <cellStyle name="Nota 2 2 2 5 4 4" xfId="11472"/>
    <cellStyle name="Nota 2 2 2 5 4 4 2" xfId="25794"/>
    <cellStyle name="Nota 2 2 2 5 4 5" xfId="6619"/>
    <cellStyle name="Nota 2 2 2 5 5" xfId="1399"/>
    <cellStyle name="Nota 2 2 2 5 5 2" xfId="7586"/>
    <cellStyle name="Nota 2 2 2 5 5 2 2" xfId="10200"/>
    <cellStyle name="Nota 2 2 2 5 5 2 2 2" xfId="16462"/>
    <cellStyle name="Nota 2 2 2 5 5 2 2 2 2" xfId="29878"/>
    <cellStyle name="Nota 2 2 2 5 5 2 2 3" xfId="21207"/>
    <cellStyle name="Nota 2 2 2 5 5 2 3" xfId="14190"/>
    <cellStyle name="Nota 2 2 2 5 5 2 3 2" xfId="28512"/>
    <cellStyle name="Nota 2 2 2 5 5 2 4" xfId="19835"/>
    <cellStyle name="Nota 2 2 2 5 5 3" xfId="12627"/>
    <cellStyle name="Nota 2 2 2 5 5 3 2" xfId="26949"/>
    <cellStyle name="Nota 2 2 2 5 5 4" xfId="18272"/>
    <cellStyle name="Nota 2 2 2 5 6" xfId="5050"/>
    <cellStyle name="Nota 2 2 2 5 6 2" xfId="11597"/>
    <cellStyle name="Nota 2 2 2 5 6 2 2" xfId="25919"/>
    <cellStyle name="Nota 2 2 2 5 6 3" xfId="17050"/>
    <cellStyle name="Nota 2 2 2 5 7" xfId="3781"/>
    <cellStyle name="Nota 2 2 2 5 7 2" xfId="22574"/>
    <cellStyle name="Nota 2 2 2 5 8" xfId="15493"/>
    <cellStyle name="Nota 2 2 2 6" xfId="1400"/>
    <cellStyle name="Nota 2 2 2 6 2" xfId="1401"/>
    <cellStyle name="Nota 2 2 2 6 2 2" xfId="1402"/>
    <cellStyle name="Nota 2 2 2 6 2 2 2" xfId="7003"/>
    <cellStyle name="Nota 2 2 2 6 2 2 2 2" xfId="13607"/>
    <cellStyle name="Nota 2 2 2 6 2 2 2 2 2" xfId="27929"/>
    <cellStyle name="Nota 2 2 2 6 2 2 2 3" xfId="19252"/>
    <cellStyle name="Nota 2 2 2 6 2 2 3" xfId="7410"/>
    <cellStyle name="Nota 2 2 2 6 2 2 3 2" xfId="10024"/>
    <cellStyle name="Nota 2 2 2 6 2 2 3 2 2" xfId="16286"/>
    <cellStyle name="Nota 2 2 2 6 2 2 3 2 2 2" xfId="29702"/>
    <cellStyle name="Nota 2 2 2 6 2 2 3 2 3" xfId="21031"/>
    <cellStyle name="Nota 2 2 2 6 2 2 3 3" xfId="14014"/>
    <cellStyle name="Nota 2 2 2 6 2 2 3 3 2" xfId="28336"/>
    <cellStyle name="Nota 2 2 2 6 2 2 3 4" xfId="19659"/>
    <cellStyle name="Nota 2 2 2 6 2 2 4" xfId="11521"/>
    <cellStyle name="Nota 2 2 2 6 2 2 4 2" xfId="25843"/>
    <cellStyle name="Nota 2 2 2 6 2 2 5" xfId="17018"/>
    <cellStyle name="Nota 2 2 2 6 2 3" xfId="1403"/>
    <cellStyle name="Nota 2 2 2 6 2 3 2" xfId="7258"/>
    <cellStyle name="Nota 2 2 2 6 2 3 2 2" xfId="9872"/>
    <cellStyle name="Nota 2 2 2 6 2 3 2 2 2" xfId="16134"/>
    <cellStyle name="Nota 2 2 2 6 2 3 2 2 2 2" xfId="29550"/>
    <cellStyle name="Nota 2 2 2 6 2 3 2 2 3" xfId="20879"/>
    <cellStyle name="Nota 2 2 2 6 2 3 2 3" xfId="13862"/>
    <cellStyle name="Nota 2 2 2 6 2 3 2 3 2" xfId="28184"/>
    <cellStyle name="Nota 2 2 2 6 2 3 2 4" xfId="19507"/>
    <cellStyle name="Nota 2 2 2 6 2 3 3" xfId="13099"/>
    <cellStyle name="Nota 2 2 2 6 2 3 3 2" xfId="27421"/>
    <cellStyle name="Nota 2 2 2 6 2 3 4" xfId="18744"/>
    <cellStyle name="Nota 2 2 2 6 2 4" xfId="5460"/>
    <cellStyle name="Nota 2 2 2 6 2 4 2" xfId="12011"/>
    <cellStyle name="Nota 2 2 2 6 2 4 2 2" xfId="26333"/>
    <cellStyle name="Nota 2 2 2 6 2 4 3" xfId="17656"/>
    <cellStyle name="Nota 2 2 2 6 2 5" xfId="4868"/>
    <cellStyle name="Nota 2 2 2 6 2 5 2" xfId="23233"/>
    <cellStyle name="Nota 2 2 2 6 2 6" xfId="4506"/>
    <cellStyle name="Nota 2 2 2 6 3" xfId="1404"/>
    <cellStyle name="Nota 2 2 2 6 3 2" xfId="5410"/>
    <cellStyle name="Nota 2 2 2 6 3 2 2" xfId="11960"/>
    <cellStyle name="Nota 2 2 2 6 3 2 2 2" xfId="26282"/>
    <cellStyle name="Nota 2 2 2 6 3 2 3" xfId="17605"/>
    <cellStyle name="Nota 2 2 2 6 3 3" xfId="5309"/>
    <cellStyle name="Nota 2 2 2 6 3 3 2" xfId="9618"/>
    <cellStyle name="Nota 2 2 2 6 3 3 2 2" xfId="15880"/>
    <cellStyle name="Nota 2 2 2 6 3 3 2 2 2" xfId="29296"/>
    <cellStyle name="Nota 2 2 2 6 3 3 2 3" xfId="20625"/>
    <cellStyle name="Nota 2 2 2 6 3 3 3" xfId="11859"/>
    <cellStyle name="Nota 2 2 2 6 3 3 3 2" xfId="26181"/>
    <cellStyle name="Nota 2 2 2 6 3 3 4" xfId="17504"/>
    <cellStyle name="Nota 2 2 2 6 3 4" xfId="6742"/>
    <cellStyle name="Nota 2 2 2 6 3 4 2" xfId="23691"/>
    <cellStyle name="Nota 2 2 2 6 3 5" xfId="17398"/>
    <cellStyle name="Nota 2 2 2 6 4" xfId="1405"/>
    <cellStyle name="Nota 2 2 2 6 4 2" xfId="7820"/>
    <cellStyle name="Nota 2 2 2 6 4 2 2" xfId="10434"/>
    <cellStyle name="Nota 2 2 2 6 4 2 2 2" xfId="16696"/>
    <cellStyle name="Nota 2 2 2 6 4 2 2 2 2" xfId="30112"/>
    <cellStyle name="Nota 2 2 2 6 4 2 2 3" xfId="21441"/>
    <cellStyle name="Nota 2 2 2 6 4 2 3" xfId="14424"/>
    <cellStyle name="Nota 2 2 2 6 4 2 3 2" xfId="28746"/>
    <cellStyle name="Nota 2 2 2 6 4 2 4" xfId="20069"/>
    <cellStyle name="Nota 2 2 2 6 4 3" xfId="12529"/>
    <cellStyle name="Nota 2 2 2 6 4 3 2" xfId="26851"/>
    <cellStyle name="Nota 2 2 2 6 4 4" xfId="18174"/>
    <cellStyle name="Nota 2 2 2 6 5" xfId="5186"/>
    <cellStyle name="Nota 2 2 2 6 5 2" xfId="11735"/>
    <cellStyle name="Nota 2 2 2 6 5 2 2" xfId="26057"/>
    <cellStyle name="Nota 2 2 2 6 5 3" xfId="17399"/>
    <cellStyle name="Nota 2 2 2 6 6" xfId="6043"/>
    <cellStyle name="Nota 2 2 2 6 6 2" xfId="23397"/>
    <cellStyle name="Nota 2 2 2 6 7" xfId="17043"/>
    <cellStyle name="Nota 2 2 2 7" xfId="1406"/>
    <cellStyle name="Nota 2 2 2 7 2" xfId="1407"/>
    <cellStyle name="Nota 2 2 2 7 2 2" xfId="7025"/>
    <cellStyle name="Nota 2 2 2 7 2 2 2" xfId="13629"/>
    <cellStyle name="Nota 2 2 2 7 2 2 2 2" xfId="27951"/>
    <cellStyle name="Nota 2 2 2 7 2 2 3" xfId="19274"/>
    <cellStyle name="Nota 2 2 2 7 2 3" xfId="7382"/>
    <cellStyle name="Nota 2 2 2 7 2 3 2" xfId="9996"/>
    <cellStyle name="Nota 2 2 2 7 2 3 2 2" xfId="16258"/>
    <cellStyle name="Nota 2 2 2 7 2 3 2 2 2" xfId="29674"/>
    <cellStyle name="Nota 2 2 2 7 2 3 2 3" xfId="21003"/>
    <cellStyle name="Nota 2 2 2 7 2 3 3" xfId="13986"/>
    <cellStyle name="Nota 2 2 2 7 2 3 3 2" xfId="28308"/>
    <cellStyle name="Nota 2 2 2 7 2 3 4" xfId="19631"/>
    <cellStyle name="Nota 2 2 2 7 2 4" xfId="11562"/>
    <cellStyle name="Nota 2 2 2 7 2 4 2" xfId="25884"/>
    <cellStyle name="Nota 2 2 2 7 2 5" xfId="16953"/>
    <cellStyle name="Nota 2 2 2 7 3" xfId="1408"/>
    <cellStyle name="Nota 2 2 2 7 3 2" xfId="3627"/>
    <cellStyle name="Nota 2 2 2 7 3 2 2" xfId="9348"/>
    <cellStyle name="Nota 2 2 2 7 3 2 2 2" xfId="15610"/>
    <cellStyle name="Nota 2 2 2 7 3 2 2 2 2" xfId="29026"/>
    <cellStyle name="Nota 2 2 2 7 3 2 2 3" xfId="20355"/>
    <cellStyle name="Nota 2 2 2 7 3 2 3" xfId="6243"/>
    <cellStyle name="Nota 2 2 2 7 3 2 3 2" xfId="23468"/>
    <cellStyle name="Nota 2 2 2 7 3 2 4" xfId="15424"/>
    <cellStyle name="Nota 2 2 2 7 3 3" xfId="12638"/>
    <cellStyle name="Nota 2 2 2 7 3 3 2" xfId="26960"/>
    <cellStyle name="Nota 2 2 2 7 3 4" xfId="18283"/>
    <cellStyle name="Nota 2 2 2 7 4" xfId="5220"/>
    <cellStyle name="Nota 2 2 2 7 4 2" xfId="11769"/>
    <cellStyle name="Nota 2 2 2 7 4 2 2" xfId="26091"/>
    <cellStyle name="Nota 2 2 2 7 4 3" xfId="17414"/>
    <cellStyle name="Nota 2 2 2 7 5" xfId="4171"/>
    <cellStyle name="Nota 2 2 2 7 5 2" xfId="22795"/>
    <cellStyle name="Nota 2 2 2 7 6" xfId="17370"/>
    <cellStyle name="Nota 2 2 2 8" xfId="1409"/>
    <cellStyle name="Nota 2 2 2 8 2" xfId="7011"/>
    <cellStyle name="Nota 2 2 2 8 2 2" xfId="13615"/>
    <cellStyle name="Nota 2 2 2 8 2 2 2" xfId="27937"/>
    <cellStyle name="Nota 2 2 2 8 2 3" xfId="19260"/>
    <cellStyle name="Nota 2 2 2 8 3" xfId="7519"/>
    <cellStyle name="Nota 2 2 2 8 3 2" xfId="10133"/>
    <cellStyle name="Nota 2 2 2 8 3 2 2" xfId="16395"/>
    <cellStyle name="Nota 2 2 2 8 3 2 2 2" xfId="29811"/>
    <cellStyle name="Nota 2 2 2 8 3 2 3" xfId="21140"/>
    <cellStyle name="Nota 2 2 2 8 3 3" xfId="14123"/>
    <cellStyle name="Nota 2 2 2 8 3 3 2" xfId="28445"/>
    <cellStyle name="Nota 2 2 2 8 3 4" xfId="19768"/>
    <cellStyle name="Nota 2 2 2 8 4" xfId="11535"/>
    <cellStyle name="Nota 2 2 2 8 4 2" xfId="25857"/>
    <cellStyle name="Nota 2 2 2 8 5" xfId="3857"/>
    <cellStyle name="Nota 2 2 2 9" xfId="1410"/>
    <cellStyle name="Nota 2 2 2 9 2" xfId="5302"/>
    <cellStyle name="Nota 2 2 2 9 2 2" xfId="9611"/>
    <cellStyle name="Nota 2 2 2 9 2 2 2" xfId="15873"/>
    <cellStyle name="Nota 2 2 2 9 2 2 2 2" xfId="29289"/>
    <cellStyle name="Nota 2 2 2 9 2 2 3" xfId="20618"/>
    <cellStyle name="Nota 2 2 2 9 2 3" xfId="11852"/>
    <cellStyle name="Nota 2 2 2 9 2 3 2" xfId="26174"/>
    <cellStyle name="Nota 2 2 2 9 2 4" xfId="17497"/>
    <cellStyle name="Nota 2 2 2 9 3" xfId="11406"/>
    <cellStyle name="Nota 2 2 2 9 3 2" xfId="25728"/>
    <cellStyle name="Nota 2 2 2 9 4" xfId="17084"/>
    <cellStyle name="Nota 2 2 3" xfId="1411"/>
    <cellStyle name="Nota 2 2 3 10" xfId="4369"/>
    <cellStyle name="Nota 2 2 3 10 2" xfId="22911"/>
    <cellStyle name="Nota 2 2 3 11" xfId="14931"/>
    <cellStyle name="Nota 2 2 3 2" xfId="1412"/>
    <cellStyle name="Nota 2 2 3 2 2" xfId="1413"/>
    <cellStyle name="Nota 2 2 3 2 2 2" xfId="1414"/>
    <cellStyle name="Nota 2 2 3 2 2 2 2" xfId="6527"/>
    <cellStyle name="Nota 2 2 3 2 2 2 2 2" xfId="13115"/>
    <cellStyle name="Nota 2 2 3 2 2 2 2 2 2" xfId="27437"/>
    <cellStyle name="Nota 2 2 3 2 2 2 2 3" xfId="18760"/>
    <cellStyle name="Nota 2 2 3 2 2 2 3" xfId="7454"/>
    <cellStyle name="Nota 2 2 3 2 2 2 3 2" xfId="10068"/>
    <cellStyle name="Nota 2 2 3 2 2 2 3 2 2" xfId="16330"/>
    <cellStyle name="Nota 2 2 3 2 2 2 3 2 2 2" xfId="29746"/>
    <cellStyle name="Nota 2 2 3 2 2 2 3 2 3" xfId="21075"/>
    <cellStyle name="Nota 2 2 3 2 2 2 3 3" xfId="14058"/>
    <cellStyle name="Nota 2 2 3 2 2 2 3 3 2" xfId="28380"/>
    <cellStyle name="Nota 2 2 3 2 2 2 3 4" xfId="19703"/>
    <cellStyle name="Nota 2 2 3 2 2 2 4" xfId="2829"/>
    <cellStyle name="Nota 2 2 3 2 2 2 4 2" xfId="22392"/>
    <cellStyle name="Nota 2 2 3 2 2 2 5" xfId="3704"/>
    <cellStyle name="Nota 2 2 3 2 2 3" xfId="1415"/>
    <cellStyle name="Nota 2 2 3 2 2 3 2" xfId="7610"/>
    <cellStyle name="Nota 2 2 3 2 2 3 2 2" xfId="10224"/>
    <cellStyle name="Nota 2 2 3 2 2 3 2 2 2" xfId="16486"/>
    <cellStyle name="Nota 2 2 3 2 2 3 2 2 2 2" xfId="29902"/>
    <cellStyle name="Nota 2 2 3 2 2 3 2 2 3" xfId="21231"/>
    <cellStyle name="Nota 2 2 3 2 2 3 2 3" xfId="14214"/>
    <cellStyle name="Nota 2 2 3 2 2 3 2 3 2" xfId="28536"/>
    <cellStyle name="Nota 2 2 3 2 2 3 2 4" xfId="19859"/>
    <cellStyle name="Nota 2 2 3 2 2 3 3" xfId="13314"/>
    <cellStyle name="Nota 2 2 3 2 2 3 3 2" xfId="27636"/>
    <cellStyle name="Nota 2 2 3 2 2 3 4" xfId="18959"/>
    <cellStyle name="Nota 2 2 3 2 2 4" xfId="5764"/>
    <cellStyle name="Nota 2 2 3 2 2 4 2" xfId="12317"/>
    <cellStyle name="Nota 2 2 3 2 2 4 2 2" xfId="26639"/>
    <cellStyle name="Nota 2 2 3 2 2 4 3" xfId="17962"/>
    <cellStyle name="Nota 2 2 3 2 2 5" xfId="3712"/>
    <cellStyle name="Nota 2 2 3 2 2 5 2" xfId="22539"/>
    <cellStyle name="Nota 2 2 3 2 2 6" xfId="15472"/>
    <cellStyle name="Nota 2 2 3 2 3" xfId="1416"/>
    <cellStyle name="Nota 2 2 3 2 3 2" xfId="1417"/>
    <cellStyle name="Nota 2 2 3 2 3 2 2" xfId="6555"/>
    <cellStyle name="Nota 2 2 3 2 3 2 2 2" xfId="13143"/>
    <cellStyle name="Nota 2 2 3 2 3 2 2 2 2" xfId="27465"/>
    <cellStyle name="Nota 2 2 3 2 3 2 2 3" xfId="18788"/>
    <cellStyle name="Nota 2 2 3 2 3 2 3" xfId="7301"/>
    <cellStyle name="Nota 2 2 3 2 3 2 3 2" xfId="9915"/>
    <cellStyle name="Nota 2 2 3 2 3 2 3 2 2" xfId="16177"/>
    <cellStyle name="Nota 2 2 3 2 3 2 3 2 2 2" xfId="29593"/>
    <cellStyle name="Nota 2 2 3 2 3 2 3 2 3" xfId="20922"/>
    <cellStyle name="Nota 2 2 3 2 3 2 3 3" xfId="13905"/>
    <cellStyle name="Nota 2 2 3 2 3 2 3 3 2" xfId="28227"/>
    <cellStyle name="Nota 2 2 3 2 3 2 3 4" xfId="19550"/>
    <cellStyle name="Nota 2 2 3 2 3 2 4" xfId="3475"/>
    <cellStyle name="Nota 2 2 3 2 3 2 4 2" xfId="22473"/>
    <cellStyle name="Nota 2 2 3 2 3 2 5" xfId="14996"/>
    <cellStyle name="Nota 2 2 3 2 3 3" xfId="1418"/>
    <cellStyle name="Nota 2 2 3 2 3 3 2" xfId="7116"/>
    <cellStyle name="Nota 2 2 3 2 3 3 2 2" xfId="9730"/>
    <cellStyle name="Nota 2 2 3 2 3 3 2 2 2" xfId="15992"/>
    <cellStyle name="Nota 2 2 3 2 3 3 2 2 2 2" xfId="29408"/>
    <cellStyle name="Nota 2 2 3 2 3 3 2 2 3" xfId="20737"/>
    <cellStyle name="Nota 2 2 3 2 3 3 2 3" xfId="13720"/>
    <cellStyle name="Nota 2 2 3 2 3 3 2 3 2" xfId="28042"/>
    <cellStyle name="Nota 2 2 3 2 3 3 2 4" xfId="19365"/>
    <cellStyle name="Nota 2 2 3 2 3 3 3" xfId="12619"/>
    <cellStyle name="Nota 2 2 3 2 3 3 3 2" xfId="26941"/>
    <cellStyle name="Nota 2 2 3 2 3 3 4" xfId="18264"/>
    <cellStyle name="Nota 2 2 3 2 3 4" xfId="3703"/>
    <cellStyle name="Nota 2 2 3 2 3 4 2" xfId="6573"/>
    <cellStyle name="Nota 2 2 3 2 3 4 2 2" xfId="23583"/>
    <cellStyle name="Nota 2 2 3 2 3 4 3" xfId="4616"/>
    <cellStyle name="Nota 2 2 3 2 3 5" xfId="3945"/>
    <cellStyle name="Nota 2 2 3 2 3 5 2" xfId="22661"/>
    <cellStyle name="Nota 2 2 3 2 3 6" xfId="14857"/>
    <cellStyle name="Nota 2 2 3 2 4" xfId="1419"/>
    <cellStyle name="Nota 2 2 3 2 4 2" xfId="6900"/>
    <cellStyle name="Nota 2 2 3 2 4 2 2" xfId="13504"/>
    <cellStyle name="Nota 2 2 3 2 4 2 2 2" xfId="27826"/>
    <cellStyle name="Nota 2 2 3 2 4 2 3" xfId="19149"/>
    <cellStyle name="Nota 2 2 3 2 4 3" xfId="7291"/>
    <cellStyle name="Nota 2 2 3 2 4 3 2" xfId="9905"/>
    <cellStyle name="Nota 2 2 3 2 4 3 2 2" xfId="16167"/>
    <cellStyle name="Nota 2 2 3 2 4 3 2 2 2" xfId="29583"/>
    <cellStyle name="Nota 2 2 3 2 4 3 2 3" xfId="20912"/>
    <cellStyle name="Nota 2 2 3 2 4 3 3" xfId="13895"/>
    <cellStyle name="Nota 2 2 3 2 4 3 3 2" xfId="28217"/>
    <cellStyle name="Nota 2 2 3 2 4 3 4" xfId="19540"/>
    <cellStyle name="Nota 2 2 3 2 4 4" xfId="11379"/>
    <cellStyle name="Nota 2 2 3 2 4 4 2" xfId="25701"/>
    <cellStyle name="Nota 2 2 3 2 4 5" xfId="17387"/>
    <cellStyle name="Nota 2 2 3 2 5" xfId="1420"/>
    <cellStyle name="Nota 2 2 3 2 5 2" xfId="7437"/>
    <cellStyle name="Nota 2 2 3 2 5 2 2" xfId="10051"/>
    <cellStyle name="Nota 2 2 3 2 5 2 2 2" xfId="16313"/>
    <cellStyle name="Nota 2 2 3 2 5 2 2 2 2" xfId="29729"/>
    <cellStyle name="Nota 2 2 3 2 5 2 2 3" xfId="21058"/>
    <cellStyle name="Nota 2 2 3 2 5 2 3" xfId="14041"/>
    <cellStyle name="Nota 2 2 3 2 5 2 3 2" xfId="28363"/>
    <cellStyle name="Nota 2 2 3 2 5 2 4" xfId="19686"/>
    <cellStyle name="Nota 2 2 3 2 5 3" xfId="12890"/>
    <cellStyle name="Nota 2 2 3 2 5 3 2" xfId="27212"/>
    <cellStyle name="Nota 2 2 3 2 5 4" xfId="18535"/>
    <cellStyle name="Nota 2 2 3 2 6" xfId="5508"/>
    <cellStyle name="Nota 2 2 3 2 6 2" xfId="12059"/>
    <cellStyle name="Nota 2 2 3 2 6 2 2" xfId="26381"/>
    <cellStyle name="Nota 2 2 3 2 6 3" xfId="17704"/>
    <cellStyle name="Nota 2 2 3 2 7" xfId="4411"/>
    <cellStyle name="Nota 2 2 3 2 7 2" xfId="22935"/>
    <cellStyle name="Nota 2 2 3 2 8" xfId="15332"/>
    <cellStyle name="Nota 2 2 3 3" xfId="1421"/>
    <cellStyle name="Nota 2 2 3 3 2" xfId="1422"/>
    <cellStyle name="Nota 2 2 3 3 2 2" xfId="1423"/>
    <cellStyle name="Nota 2 2 3 3 2 2 2" xfId="6459"/>
    <cellStyle name="Nota 2 2 3 3 2 2 2 2" xfId="13042"/>
    <cellStyle name="Nota 2 2 3 3 2 2 2 2 2" xfId="27364"/>
    <cellStyle name="Nota 2 2 3 3 2 2 2 3" xfId="18687"/>
    <cellStyle name="Nota 2 2 3 3 2 2 3" xfId="7185"/>
    <cellStyle name="Nota 2 2 3 3 2 2 3 2" xfId="9799"/>
    <cellStyle name="Nota 2 2 3 3 2 2 3 2 2" xfId="16061"/>
    <cellStyle name="Nota 2 2 3 3 2 2 3 2 2 2" xfId="29477"/>
    <cellStyle name="Nota 2 2 3 3 2 2 3 2 3" xfId="20806"/>
    <cellStyle name="Nota 2 2 3 3 2 2 3 3" xfId="13789"/>
    <cellStyle name="Nota 2 2 3 3 2 2 3 3 2" xfId="28111"/>
    <cellStyle name="Nota 2 2 3 3 2 2 3 4" xfId="19434"/>
    <cellStyle name="Nota 2 2 3 3 2 2 4" xfId="6151"/>
    <cellStyle name="Nota 2 2 3 3 2 2 4 2" xfId="23431"/>
    <cellStyle name="Nota 2 2 3 3 2 2 5" xfId="15168"/>
    <cellStyle name="Nota 2 2 3 3 2 3" xfId="1424"/>
    <cellStyle name="Nota 2 2 3 3 2 3 2" xfId="7174"/>
    <cellStyle name="Nota 2 2 3 3 2 3 2 2" xfId="9788"/>
    <cellStyle name="Nota 2 2 3 3 2 3 2 2 2" xfId="16050"/>
    <cellStyle name="Nota 2 2 3 3 2 3 2 2 2 2" xfId="29466"/>
    <cellStyle name="Nota 2 2 3 3 2 3 2 2 3" xfId="20795"/>
    <cellStyle name="Nota 2 2 3 3 2 3 2 3" xfId="13778"/>
    <cellStyle name="Nota 2 2 3 3 2 3 2 3 2" xfId="28100"/>
    <cellStyle name="Nota 2 2 3 3 2 3 2 4" xfId="19423"/>
    <cellStyle name="Nota 2 2 3 3 2 3 3" xfId="13350"/>
    <cellStyle name="Nota 2 2 3 3 2 3 3 2" xfId="27672"/>
    <cellStyle name="Nota 2 2 3 3 2 3 4" xfId="18995"/>
    <cellStyle name="Nota 2 2 3 3 2 4" xfId="5800"/>
    <cellStyle name="Nota 2 2 3 3 2 4 2" xfId="12353"/>
    <cellStyle name="Nota 2 2 3 3 2 4 2 2" xfId="26675"/>
    <cellStyle name="Nota 2 2 3 3 2 4 3" xfId="17998"/>
    <cellStyle name="Nota 2 2 3 3 2 5" xfId="6099"/>
    <cellStyle name="Nota 2 2 3 3 2 5 2" xfId="23415"/>
    <cellStyle name="Nota 2 2 3 3 2 6" xfId="15006"/>
    <cellStyle name="Nota 2 2 3 3 3" xfId="1425"/>
    <cellStyle name="Nota 2 2 3 3 3 2" xfId="1426"/>
    <cellStyle name="Nota 2 2 3 3 3 2 2" xfId="6126"/>
    <cellStyle name="Nota 2 2 3 3 3 2 2 2" xfId="12695"/>
    <cellStyle name="Nota 2 2 3 3 3 2 2 2 2" xfId="27017"/>
    <cellStyle name="Nota 2 2 3 3 3 2 2 3" xfId="18340"/>
    <cellStyle name="Nota 2 2 3 3 3 2 3" xfId="8066"/>
    <cellStyle name="Nota 2 2 3 3 3 2 3 2" xfId="10680"/>
    <cellStyle name="Nota 2 2 3 3 3 2 3 2 2" xfId="16942"/>
    <cellStyle name="Nota 2 2 3 3 3 2 3 2 2 2" xfId="30358"/>
    <cellStyle name="Nota 2 2 3 3 3 2 3 2 3" xfId="21687"/>
    <cellStyle name="Nota 2 2 3 3 3 2 3 3" xfId="14670"/>
    <cellStyle name="Nota 2 2 3 3 3 2 3 3 2" xfId="28992"/>
    <cellStyle name="Nota 2 2 3 3 3 2 3 4" xfId="20315"/>
    <cellStyle name="Nota 2 2 3 3 3 2 4" xfId="5577"/>
    <cellStyle name="Nota 2 2 3 3 3 2 4 2" xfId="23352"/>
    <cellStyle name="Nota 2 2 3 3 3 2 5" xfId="14817"/>
    <cellStyle name="Nota 2 2 3 3 3 3" xfId="1427"/>
    <cellStyle name="Nota 2 2 3 3 3 3 2" xfId="7395"/>
    <cellStyle name="Nota 2 2 3 3 3 3 2 2" xfId="10009"/>
    <cellStyle name="Nota 2 2 3 3 3 3 2 2 2" xfId="16271"/>
    <cellStyle name="Nota 2 2 3 3 3 3 2 2 2 2" xfId="29687"/>
    <cellStyle name="Nota 2 2 3 3 3 3 2 2 3" xfId="21016"/>
    <cellStyle name="Nota 2 2 3 3 3 3 2 3" xfId="13999"/>
    <cellStyle name="Nota 2 2 3 3 3 3 2 3 2" xfId="28321"/>
    <cellStyle name="Nota 2 2 3 3 3 3 2 4" xfId="19644"/>
    <cellStyle name="Nota 2 2 3 3 3 3 3" xfId="12458"/>
    <cellStyle name="Nota 2 2 3 3 3 3 3 2" xfId="26780"/>
    <cellStyle name="Nota 2 2 3 3 3 3 4" xfId="18103"/>
    <cellStyle name="Nota 2 2 3 3 3 4" xfId="3616"/>
    <cellStyle name="Nota 2 2 3 3 3 4 2" xfId="3864"/>
    <cellStyle name="Nota 2 2 3 3 3 4 2 2" xfId="22618"/>
    <cellStyle name="Nota 2 2 3 3 3 4 3" xfId="15303"/>
    <cellStyle name="Nota 2 2 3 3 3 5" xfId="3293"/>
    <cellStyle name="Nota 2 2 3 3 3 5 2" xfId="22466"/>
    <cellStyle name="Nota 2 2 3 3 3 6" xfId="15590"/>
    <cellStyle name="Nota 2 2 3 3 4" xfId="1428"/>
    <cellStyle name="Nota 2 2 3 3 4 2" xfId="6210"/>
    <cellStyle name="Nota 2 2 3 3 4 2 2" xfId="12783"/>
    <cellStyle name="Nota 2 2 3 3 4 2 2 2" xfId="27105"/>
    <cellStyle name="Nota 2 2 3 3 4 2 3" xfId="18428"/>
    <cellStyle name="Nota 2 2 3 3 4 3" xfId="7126"/>
    <cellStyle name="Nota 2 2 3 3 4 3 2" xfId="9740"/>
    <cellStyle name="Nota 2 2 3 3 4 3 2 2" xfId="16002"/>
    <cellStyle name="Nota 2 2 3 3 4 3 2 2 2" xfId="29418"/>
    <cellStyle name="Nota 2 2 3 3 4 3 2 3" xfId="20747"/>
    <cellStyle name="Nota 2 2 3 3 4 3 3" xfId="13730"/>
    <cellStyle name="Nota 2 2 3 3 4 3 3 2" xfId="28052"/>
    <cellStyle name="Nota 2 2 3 3 4 3 4" xfId="19375"/>
    <cellStyle name="Nota 2 2 3 3 4 4" xfId="6000"/>
    <cellStyle name="Nota 2 2 3 3 4 4 2" xfId="23392"/>
    <cellStyle name="Nota 2 2 3 3 4 5" xfId="17362"/>
    <cellStyle name="Nota 2 2 3 3 5" xfId="1429"/>
    <cellStyle name="Nota 2 2 3 3 5 2" xfId="7151"/>
    <cellStyle name="Nota 2 2 3 3 5 2 2" xfId="9765"/>
    <cellStyle name="Nota 2 2 3 3 5 2 2 2" xfId="16027"/>
    <cellStyle name="Nota 2 2 3 3 5 2 2 2 2" xfId="29443"/>
    <cellStyle name="Nota 2 2 3 3 5 2 2 3" xfId="20772"/>
    <cellStyle name="Nota 2 2 3 3 5 2 3" xfId="13755"/>
    <cellStyle name="Nota 2 2 3 3 5 2 3 2" xfId="28077"/>
    <cellStyle name="Nota 2 2 3 3 5 2 4" xfId="19400"/>
    <cellStyle name="Nota 2 2 3 3 5 3" xfId="12926"/>
    <cellStyle name="Nota 2 2 3 3 5 3 2" xfId="27248"/>
    <cellStyle name="Nota 2 2 3 3 5 4" xfId="18571"/>
    <cellStyle name="Nota 2 2 3 3 6" xfId="5550"/>
    <cellStyle name="Nota 2 2 3 3 6 2" xfId="12101"/>
    <cellStyle name="Nota 2 2 3 3 6 2 2" xfId="26423"/>
    <cellStyle name="Nota 2 2 3 3 6 3" xfId="17746"/>
    <cellStyle name="Nota 2 2 3 3 7" xfId="4282"/>
    <cellStyle name="Nota 2 2 3 3 7 2" xfId="22868"/>
    <cellStyle name="Nota 2 2 3 3 8" xfId="17074"/>
    <cellStyle name="Nota 2 2 3 4" xfId="1430"/>
    <cellStyle name="Nota 2 2 3 4 2" xfId="1431"/>
    <cellStyle name="Nota 2 2 3 4 2 2" xfId="1432"/>
    <cellStyle name="Nota 2 2 3 4 2 2 2" xfId="6881"/>
    <cellStyle name="Nota 2 2 3 4 2 2 2 2" xfId="13485"/>
    <cellStyle name="Nota 2 2 3 4 2 2 2 2 2" xfId="27807"/>
    <cellStyle name="Nota 2 2 3 4 2 2 2 3" xfId="19130"/>
    <cellStyle name="Nota 2 2 3 4 2 2 3" xfId="7689"/>
    <cellStyle name="Nota 2 2 3 4 2 2 3 2" xfId="10303"/>
    <cellStyle name="Nota 2 2 3 4 2 2 3 2 2" xfId="16565"/>
    <cellStyle name="Nota 2 2 3 4 2 2 3 2 2 2" xfId="29981"/>
    <cellStyle name="Nota 2 2 3 4 2 2 3 2 3" xfId="21310"/>
    <cellStyle name="Nota 2 2 3 4 2 2 3 3" xfId="14293"/>
    <cellStyle name="Nota 2 2 3 4 2 2 3 3 2" xfId="28615"/>
    <cellStyle name="Nota 2 2 3 4 2 2 3 4" xfId="19938"/>
    <cellStyle name="Nota 2 2 3 4 2 2 4" xfId="11355"/>
    <cellStyle name="Nota 2 2 3 4 2 2 4 2" xfId="25677"/>
    <cellStyle name="Nota 2 2 3 4 2 2 5" xfId="15550"/>
    <cellStyle name="Nota 2 2 3 4 2 3" xfId="1433"/>
    <cellStyle name="Nota 2 2 3 4 2 3 2" xfId="7187"/>
    <cellStyle name="Nota 2 2 3 4 2 3 2 2" xfId="9801"/>
    <cellStyle name="Nota 2 2 3 4 2 3 2 2 2" xfId="16063"/>
    <cellStyle name="Nota 2 2 3 4 2 3 2 2 2 2" xfId="29479"/>
    <cellStyle name="Nota 2 2 3 4 2 3 2 2 3" xfId="20808"/>
    <cellStyle name="Nota 2 2 3 4 2 3 2 3" xfId="13791"/>
    <cellStyle name="Nota 2 2 3 4 2 3 2 3 2" xfId="28113"/>
    <cellStyle name="Nota 2 2 3 4 2 3 2 4" xfId="19436"/>
    <cellStyle name="Nota 2 2 3 4 2 3 3" xfId="13270"/>
    <cellStyle name="Nota 2 2 3 4 2 3 3 2" xfId="27592"/>
    <cellStyle name="Nota 2 2 3 4 2 3 4" xfId="18915"/>
    <cellStyle name="Nota 2 2 3 4 2 4" xfId="5716"/>
    <cellStyle name="Nota 2 2 3 4 2 4 2" xfId="12269"/>
    <cellStyle name="Nota 2 2 3 4 2 4 2 2" xfId="26591"/>
    <cellStyle name="Nota 2 2 3 4 2 4 3" xfId="17914"/>
    <cellStyle name="Nota 2 2 3 4 2 5" xfId="3793"/>
    <cellStyle name="Nota 2 2 3 4 2 5 2" xfId="22582"/>
    <cellStyle name="Nota 2 2 3 4 2 6" xfId="14781"/>
    <cellStyle name="Nota 2 2 3 4 3" xfId="1434"/>
    <cellStyle name="Nota 2 2 3 4 3 2" xfId="1435"/>
    <cellStyle name="Nota 2 2 3 4 3 2 2" xfId="6499"/>
    <cellStyle name="Nota 2 2 3 4 3 2 2 2" xfId="13085"/>
    <cellStyle name="Nota 2 2 3 4 3 2 2 2 2" xfId="27407"/>
    <cellStyle name="Nota 2 2 3 4 3 2 2 3" xfId="18730"/>
    <cellStyle name="Nota 2 2 3 4 3 2 3" xfId="3260"/>
    <cellStyle name="Nota 2 2 3 4 3 2 3 2" xfId="9050"/>
    <cellStyle name="Nota 2 2 3 4 3 2 3 2 2" xfId="15389"/>
    <cellStyle name="Nota 2 2 3 4 3 2 3 2 2 2" xfId="29008"/>
    <cellStyle name="Nota 2 2 3 4 3 2 3 2 3" xfId="20335"/>
    <cellStyle name="Nota 2 2 3 4 3 2 3 3" xfId="6620"/>
    <cellStyle name="Nota 2 2 3 4 3 2 3 3 2" xfId="23610"/>
    <cellStyle name="Nota 2 2 3 4 3 2 3 4" xfId="15475"/>
    <cellStyle name="Nota 2 2 3 4 3 2 4" xfId="3830"/>
    <cellStyle name="Nota 2 2 3 4 3 2 4 2" xfId="22602"/>
    <cellStyle name="Nota 2 2 3 4 3 2 5" xfId="6467"/>
    <cellStyle name="Nota 2 2 3 4 3 3" xfId="1436"/>
    <cellStyle name="Nota 2 2 3 4 3 3 2" xfId="7773"/>
    <cellStyle name="Nota 2 2 3 4 3 3 2 2" xfId="10387"/>
    <cellStyle name="Nota 2 2 3 4 3 3 2 2 2" xfId="16649"/>
    <cellStyle name="Nota 2 2 3 4 3 3 2 2 2 2" xfId="30065"/>
    <cellStyle name="Nota 2 2 3 4 3 3 2 2 3" xfId="21394"/>
    <cellStyle name="Nota 2 2 3 4 3 3 2 3" xfId="14377"/>
    <cellStyle name="Nota 2 2 3 4 3 3 2 3 2" xfId="28699"/>
    <cellStyle name="Nota 2 2 3 4 3 3 2 4" xfId="20022"/>
    <cellStyle name="Nota 2 2 3 4 3 3 3" xfId="13033"/>
    <cellStyle name="Nota 2 2 3 4 3 3 3 2" xfId="27355"/>
    <cellStyle name="Nota 2 2 3 4 3 3 4" xfId="18678"/>
    <cellStyle name="Nota 2 2 3 4 3 4" xfId="5346"/>
    <cellStyle name="Nota 2 2 3 4 3 4 2" xfId="11896"/>
    <cellStyle name="Nota 2 2 3 4 3 4 2 2" xfId="26218"/>
    <cellStyle name="Nota 2 2 3 4 3 4 3" xfId="17541"/>
    <cellStyle name="Nota 2 2 3 4 3 5" xfId="6290"/>
    <cellStyle name="Nota 2 2 3 4 3 5 2" xfId="23491"/>
    <cellStyle name="Nota 2 2 3 4 3 6" xfId="4416"/>
    <cellStyle name="Nota 2 2 3 4 4" xfId="1437"/>
    <cellStyle name="Nota 2 2 3 4 4 2" xfId="6983"/>
    <cellStyle name="Nota 2 2 3 4 4 2 2" xfId="13587"/>
    <cellStyle name="Nota 2 2 3 4 4 2 2 2" xfId="27909"/>
    <cellStyle name="Nota 2 2 3 4 4 2 3" xfId="19232"/>
    <cellStyle name="Nota 2 2 3 4 4 3" xfId="7348"/>
    <cellStyle name="Nota 2 2 3 4 4 3 2" xfId="9962"/>
    <cellStyle name="Nota 2 2 3 4 4 3 2 2" xfId="16224"/>
    <cellStyle name="Nota 2 2 3 4 4 3 2 2 2" xfId="29640"/>
    <cellStyle name="Nota 2 2 3 4 4 3 2 3" xfId="20969"/>
    <cellStyle name="Nota 2 2 3 4 4 3 3" xfId="13952"/>
    <cellStyle name="Nota 2 2 3 4 4 3 3 2" xfId="28274"/>
    <cellStyle name="Nota 2 2 3 4 4 3 4" xfId="19597"/>
    <cellStyle name="Nota 2 2 3 4 4 4" xfId="11495"/>
    <cellStyle name="Nota 2 2 3 4 4 4 2" xfId="25817"/>
    <cellStyle name="Nota 2 2 3 4 4 5" xfId="14811"/>
    <cellStyle name="Nota 2 2 3 4 5" xfId="1438"/>
    <cellStyle name="Nota 2 2 3 4 5 2" xfId="7511"/>
    <cellStyle name="Nota 2 2 3 4 5 2 2" xfId="10125"/>
    <cellStyle name="Nota 2 2 3 4 5 2 2 2" xfId="16387"/>
    <cellStyle name="Nota 2 2 3 4 5 2 2 2 2" xfId="29803"/>
    <cellStyle name="Nota 2 2 3 4 5 2 2 3" xfId="21132"/>
    <cellStyle name="Nota 2 2 3 4 5 2 3" xfId="14115"/>
    <cellStyle name="Nota 2 2 3 4 5 2 3 2" xfId="28437"/>
    <cellStyle name="Nota 2 2 3 4 5 2 4" xfId="19760"/>
    <cellStyle name="Nota 2 2 3 4 5 3" xfId="12828"/>
    <cellStyle name="Nota 2 2 3 4 5 3 2" xfId="27150"/>
    <cellStyle name="Nota 2 2 3 4 5 4" xfId="18473"/>
    <cellStyle name="Nota 2 2 3 4 6" xfId="5383"/>
    <cellStyle name="Nota 2 2 3 4 6 2" xfId="11933"/>
    <cellStyle name="Nota 2 2 3 4 6 2 2" xfId="26255"/>
    <cellStyle name="Nota 2 2 3 4 6 3" xfId="17578"/>
    <cellStyle name="Nota 2 2 3 4 7" xfId="2840"/>
    <cellStyle name="Nota 2 2 3 4 7 2" xfId="22403"/>
    <cellStyle name="Nota 2 2 3 4 8" xfId="17130"/>
    <cellStyle name="Nota 2 2 3 5" xfId="1439"/>
    <cellStyle name="Nota 2 2 3 5 2" xfId="1440"/>
    <cellStyle name="Nota 2 2 3 5 2 2" xfId="1441"/>
    <cellStyle name="Nota 2 2 3 5 2 2 2" xfId="6455"/>
    <cellStyle name="Nota 2 2 3 5 2 2 2 2" xfId="13038"/>
    <cellStyle name="Nota 2 2 3 5 2 2 2 2 2" xfId="27360"/>
    <cellStyle name="Nota 2 2 3 5 2 2 2 3" xfId="18683"/>
    <cellStyle name="Nota 2 2 3 5 2 2 3" xfId="7800"/>
    <cellStyle name="Nota 2 2 3 5 2 2 3 2" xfId="10414"/>
    <cellStyle name="Nota 2 2 3 5 2 2 3 2 2" xfId="16676"/>
    <cellStyle name="Nota 2 2 3 5 2 2 3 2 2 2" xfId="30092"/>
    <cellStyle name="Nota 2 2 3 5 2 2 3 2 3" xfId="21421"/>
    <cellStyle name="Nota 2 2 3 5 2 2 3 3" xfId="14404"/>
    <cellStyle name="Nota 2 2 3 5 2 2 3 3 2" xfId="28726"/>
    <cellStyle name="Nota 2 2 3 5 2 2 3 4" xfId="20049"/>
    <cellStyle name="Nota 2 2 3 5 2 2 4" xfId="4962"/>
    <cellStyle name="Nota 2 2 3 5 2 2 4 2" xfId="23283"/>
    <cellStyle name="Nota 2 2 3 5 2 2 5" xfId="15100"/>
    <cellStyle name="Nota 2 2 3 5 2 3" xfId="1442"/>
    <cellStyle name="Nota 2 2 3 5 2 3 2" xfId="3933"/>
    <cellStyle name="Nota 2 2 3 5 2 3 2 2" xfId="9399"/>
    <cellStyle name="Nota 2 2 3 5 2 3 2 2 2" xfId="15661"/>
    <cellStyle name="Nota 2 2 3 5 2 3 2 2 2 2" xfId="29077"/>
    <cellStyle name="Nota 2 2 3 5 2 3 2 2 3" xfId="20406"/>
    <cellStyle name="Nota 2 2 3 5 2 3 2 3" xfId="4665"/>
    <cellStyle name="Nota 2 2 3 5 2 3 2 3 2" xfId="23104"/>
    <cellStyle name="Nota 2 2 3 5 2 3 2 4" xfId="15039"/>
    <cellStyle name="Nota 2 2 3 5 2 3 3" xfId="12133"/>
    <cellStyle name="Nota 2 2 3 5 2 3 3 2" xfId="26455"/>
    <cellStyle name="Nota 2 2 3 5 2 3 4" xfId="17778"/>
    <cellStyle name="Nota 2 2 3 5 2 4" xfId="4487"/>
    <cellStyle name="Nota 2 2 3 5 2 4 2" xfId="6181"/>
    <cellStyle name="Nota 2 2 3 5 2 4 2 2" xfId="23446"/>
    <cellStyle name="Nota 2 2 3 5 2 4 3" xfId="4379"/>
    <cellStyle name="Nota 2 2 3 5 2 5" xfId="4718"/>
    <cellStyle name="Nota 2 2 3 5 2 5 2" xfId="23148"/>
    <cellStyle name="Nota 2 2 3 5 2 6" xfId="15073"/>
    <cellStyle name="Nota 2 2 3 5 3" xfId="1443"/>
    <cellStyle name="Nota 2 2 3 5 3 2" xfId="6884"/>
    <cellStyle name="Nota 2 2 3 5 3 2 2" xfId="13488"/>
    <cellStyle name="Nota 2 2 3 5 3 2 2 2" xfId="27810"/>
    <cellStyle name="Nota 2 2 3 5 3 2 3" xfId="19133"/>
    <cellStyle name="Nota 2 2 3 5 3 3" xfId="4953"/>
    <cellStyle name="Nota 2 2 3 5 3 3 2" xfId="9524"/>
    <cellStyle name="Nota 2 2 3 5 3 3 2 2" xfId="15786"/>
    <cellStyle name="Nota 2 2 3 5 3 3 2 2 2" xfId="29202"/>
    <cellStyle name="Nota 2 2 3 5 3 3 2 3" xfId="20531"/>
    <cellStyle name="Nota 2 2 3 5 3 3 3" xfId="11492"/>
    <cellStyle name="Nota 2 2 3 5 3 3 3 2" xfId="25814"/>
    <cellStyle name="Nota 2 2 3 5 3 3 4" xfId="4634"/>
    <cellStyle name="Nota 2 2 3 5 3 4" xfId="11358"/>
    <cellStyle name="Nota 2 2 3 5 3 4 2" xfId="25680"/>
    <cellStyle name="Nota 2 2 3 5 3 5" xfId="4768"/>
    <cellStyle name="Nota 2 2 3 5 4" xfId="1444"/>
    <cellStyle name="Nota 2 2 3 5 4 2" xfId="5256"/>
    <cellStyle name="Nota 2 2 3 5 4 2 2" xfId="9565"/>
    <cellStyle name="Nota 2 2 3 5 4 2 2 2" xfId="15827"/>
    <cellStyle name="Nota 2 2 3 5 4 2 2 2 2" xfId="29243"/>
    <cellStyle name="Nota 2 2 3 5 4 2 2 3" xfId="20572"/>
    <cellStyle name="Nota 2 2 3 5 4 2 3" xfId="11806"/>
    <cellStyle name="Nota 2 2 3 5 4 2 3 2" xfId="26128"/>
    <cellStyle name="Nota 2 2 3 5 4 2 4" xfId="17451"/>
    <cellStyle name="Nota 2 2 3 5 4 3" xfId="12843"/>
    <cellStyle name="Nota 2 2 3 5 4 3 2" xfId="27165"/>
    <cellStyle name="Nota 2 2 3 5 4 4" xfId="18488"/>
    <cellStyle name="Nota 2 2 3 5 5" xfId="5424"/>
    <cellStyle name="Nota 2 2 3 5 5 2" xfId="11975"/>
    <cellStyle name="Nota 2 2 3 5 5 2 2" xfId="26297"/>
    <cellStyle name="Nota 2 2 3 5 5 3" xfId="17620"/>
    <cellStyle name="Nota 2 2 3 5 6" xfId="6128"/>
    <cellStyle name="Nota 2 2 3 5 6 2" xfId="23421"/>
    <cellStyle name="Nota 2 2 3 5 7" xfId="14782"/>
    <cellStyle name="Nota 2 2 3 6" xfId="1445"/>
    <cellStyle name="Nota 2 2 3 6 2" xfId="1446"/>
    <cellStyle name="Nota 2 2 3 6 2 2" xfId="5929"/>
    <cellStyle name="Nota 2 2 3 6 2 2 2" xfId="12484"/>
    <cellStyle name="Nota 2 2 3 6 2 2 2 2" xfId="26806"/>
    <cellStyle name="Nota 2 2 3 6 2 2 3" xfId="18129"/>
    <cellStyle name="Nota 2 2 3 6 2 3" xfId="7488"/>
    <cellStyle name="Nota 2 2 3 6 2 3 2" xfId="10102"/>
    <cellStyle name="Nota 2 2 3 6 2 3 2 2" xfId="16364"/>
    <cellStyle name="Nota 2 2 3 6 2 3 2 2 2" xfId="29780"/>
    <cellStyle name="Nota 2 2 3 6 2 3 2 3" xfId="21109"/>
    <cellStyle name="Nota 2 2 3 6 2 3 3" xfId="14092"/>
    <cellStyle name="Nota 2 2 3 6 2 3 3 2" xfId="28414"/>
    <cellStyle name="Nota 2 2 3 6 2 3 4" xfId="19737"/>
    <cellStyle name="Nota 2 2 3 6 2 4" xfId="6760"/>
    <cellStyle name="Nota 2 2 3 6 2 4 2" xfId="23708"/>
    <cellStyle name="Nota 2 2 3 6 2 5" xfId="15271"/>
    <cellStyle name="Nota 2 2 3 6 3" xfId="1447"/>
    <cellStyle name="Nota 2 2 3 6 3 2" xfId="7797"/>
    <cellStyle name="Nota 2 2 3 6 3 2 2" xfId="10411"/>
    <cellStyle name="Nota 2 2 3 6 3 2 2 2" xfId="16673"/>
    <cellStyle name="Nota 2 2 3 6 3 2 2 2 2" xfId="30089"/>
    <cellStyle name="Nota 2 2 3 6 3 2 2 3" xfId="21418"/>
    <cellStyle name="Nota 2 2 3 6 3 2 3" xfId="14401"/>
    <cellStyle name="Nota 2 2 3 6 3 2 3 2" xfId="28723"/>
    <cellStyle name="Nota 2 2 3 6 3 2 4" xfId="20046"/>
    <cellStyle name="Nota 2 2 3 6 3 3" xfId="13240"/>
    <cellStyle name="Nota 2 2 3 6 3 3 2" xfId="27562"/>
    <cellStyle name="Nota 2 2 3 6 3 4" xfId="18885"/>
    <cellStyle name="Nota 2 2 3 6 4" xfId="5681"/>
    <cellStyle name="Nota 2 2 3 6 4 2" xfId="12234"/>
    <cellStyle name="Nota 2 2 3 6 4 2 2" xfId="26556"/>
    <cellStyle name="Nota 2 2 3 6 4 3" xfId="17879"/>
    <cellStyle name="Nota 2 2 3 6 5" xfId="4958"/>
    <cellStyle name="Nota 2 2 3 6 5 2" xfId="23280"/>
    <cellStyle name="Nota 2 2 3 6 6" xfId="4000"/>
    <cellStyle name="Nota 2 2 3 7" xfId="1448"/>
    <cellStyle name="Nota 2 2 3 7 2" xfId="5930"/>
    <cellStyle name="Nota 2 2 3 7 2 2" xfId="12485"/>
    <cellStyle name="Nota 2 2 3 7 2 2 2" xfId="26807"/>
    <cellStyle name="Nota 2 2 3 7 2 3" xfId="18130"/>
    <cellStyle name="Nota 2 2 3 7 3" xfId="7702"/>
    <cellStyle name="Nota 2 2 3 7 3 2" xfId="10316"/>
    <cellStyle name="Nota 2 2 3 7 3 2 2" xfId="16578"/>
    <cellStyle name="Nota 2 2 3 7 3 2 2 2" xfId="29994"/>
    <cellStyle name="Nota 2 2 3 7 3 2 3" xfId="21323"/>
    <cellStyle name="Nota 2 2 3 7 3 3" xfId="14306"/>
    <cellStyle name="Nota 2 2 3 7 3 3 2" xfId="28628"/>
    <cellStyle name="Nota 2 2 3 7 3 4" xfId="19951"/>
    <cellStyle name="Nota 2 2 3 7 4" xfId="6747"/>
    <cellStyle name="Nota 2 2 3 7 4 2" xfId="23695"/>
    <cellStyle name="Nota 2 2 3 7 5" xfId="3947"/>
    <cellStyle name="Nota 2 2 3 8" xfId="1449"/>
    <cellStyle name="Nota 2 2 3 8 2" xfId="7995"/>
    <cellStyle name="Nota 2 2 3 8 2 2" xfId="10609"/>
    <cellStyle name="Nota 2 2 3 8 2 2 2" xfId="16871"/>
    <cellStyle name="Nota 2 2 3 8 2 2 2 2" xfId="30287"/>
    <cellStyle name="Nota 2 2 3 8 2 2 3" xfId="21616"/>
    <cellStyle name="Nota 2 2 3 8 2 3" xfId="14599"/>
    <cellStyle name="Nota 2 2 3 8 2 3 2" xfId="28921"/>
    <cellStyle name="Nota 2 2 3 8 2 4" xfId="20244"/>
    <cellStyle name="Nota 2 2 3 8 3" xfId="12753"/>
    <cellStyle name="Nota 2 2 3 8 3 2" xfId="27075"/>
    <cellStyle name="Nota 2 2 3 8 4" xfId="18398"/>
    <cellStyle name="Nota 2 2 3 9" xfId="5429"/>
    <cellStyle name="Nota 2 2 3 9 2" xfId="11980"/>
    <cellStyle name="Nota 2 2 3 9 2 2" xfId="26302"/>
    <cellStyle name="Nota 2 2 3 9 3" xfId="17625"/>
    <cellStyle name="Nota 2 2 4" xfId="1450"/>
    <cellStyle name="Nota 2 2 4 2" xfId="1451"/>
    <cellStyle name="Nota 2 2 4 2 2" xfId="1452"/>
    <cellStyle name="Nota 2 2 4 2 2 2" xfId="6213"/>
    <cellStyle name="Nota 2 2 4 2 2 2 2" xfId="12787"/>
    <cellStyle name="Nota 2 2 4 2 2 2 2 2" xfId="27109"/>
    <cellStyle name="Nota 2 2 4 2 2 2 3" xfId="18432"/>
    <cellStyle name="Nota 2 2 4 2 2 3" xfId="7860"/>
    <cellStyle name="Nota 2 2 4 2 2 3 2" xfId="10474"/>
    <cellStyle name="Nota 2 2 4 2 2 3 2 2" xfId="16736"/>
    <cellStyle name="Nota 2 2 4 2 2 3 2 2 2" xfId="30152"/>
    <cellStyle name="Nota 2 2 4 2 2 3 2 3" xfId="21481"/>
    <cellStyle name="Nota 2 2 4 2 2 3 3" xfId="14464"/>
    <cellStyle name="Nota 2 2 4 2 2 3 3 2" xfId="28786"/>
    <cellStyle name="Nota 2 2 4 2 2 3 4" xfId="20109"/>
    <cellStyle name="Nota 2 2 4 2 2 4" xfId="6634"/>
    <cellStyle name="Nota 2 2 4 2 2 4 2" xfId="23617"/>
    <cellStyle name="Nota 2 2 4 2 2 5" xfId="15161"/>
    <cellStyle name="Nota 2 2 4 2 3" xfId="1453"/>
    <cellStyle name="Nota 2 2 4 2 3 2" xfId="7944"/>
    <cellStyle name="Nota 2 2 4 2 3 2 2" xfId="10558"/>
    <cellStyle name="Nota 2 2 4 2 3 2 2 2" xfId="16820"/>
    <cellStyle name="Nota 2 2 4 2 3 2 2 2 2" xfId="30236"/>
    <cellStyle name="Nota 2 2 4 2 3 2 2 3" xfId="21565"/>
    <cellStyle name="Nota 2 2 4 2 3 2 3" xfId="14548"/>
    <cellStyle name="Nota 2 2 4 2 3 2 3 2" xfId="28870"/>
    <cellStyle name="Nota 2 2 4 2 3 2 4" xfId="20193"/>
    <cellStyle name="Nota 2 2 4 2 3 3" xfId="13199"/>
    <cellStyle name="Nota 2 2 4 2 3 3 2" xfId="27521"/>
    <cellStyle name="Nota 2 2 4 2 3 4" xfId="18844"/>
    <cellStyle name="Nota 2 2 4 2 4" xfId="5638"/>
    <cellStyle name="Nota 2 2 4 2 4 2" xfId="12191"/>
    <cellStyle name="Nota 2 2 4 2 4 2 2" xfId="26513"/>
    <cellStyle name="Nota 2 2 4 2 4 3" xfId="17836"/>
    <cellStyle name="Nota 2 2 4 2 5" xfId="4840"/>
    <cellStyle name="Nota 2 2 4 2 5 2" xfId="23215"/>
    <cellStyle name="Nota 2 2 4 2 6" xfId="14708"/>
    <cellStyle name="Nota 2 2 4 3" xfId="1454"/>
    <cellStyle name="Nota 2 2 4 3 2" xfId="1455"/>
    <cellStyle name="Nota 2 2 4 3 2 2" xfId="7015"/>
    <cellStyle name="Nota 2 2 4 3 2 2 2" xfId="13619"/>
    <cellStyle name="Nota 2 2 4 3 2 2 2 2" xfId="27941"/>
    <cellStyle name="Nota 2 2 4 3 2 2 3" xfId="19264"/>
    <cellStyle name="Nota 2 2 4 3 2 3" xfId="7884"/>
    <cellStyle name="Nota 2 2 4 3 2 3 2" xfId="10498"/>
    <cellStyle name="Nota 2 2 4 3 2 3 2 2" xfId="16760"/>
    <cellStyle name="Nota 2 2 4 3 2 3 2 2 2" xfId="30176"/>
    <cellStyle name="Nota 2 2 4 3 2 3 2 3" xfId="21505"/>
    <cellStyle name="Nota 2 2 4 3 2 3 3" xfId="14488"/>
    <cellStyle name="Nota 2 2 4 3 2 3 3 2" xfId="28810"/>
    <cellStyle name="Nota 2 2 4 3 2 3 4" xfId="20133"/>
    <cellStyle name="Nota 2 2 4 3 2 4" xfId="11544"/>
    <cellStyle name="Nota 2 2 4 3 2 4 2" xfId="25866"/>
    <cellStyle name="Nota 2 2 4 3 2 5" xfId="15197"/>
    <cellStyle name="Nota 2 2 4 3 3" xfId="1456"/>
    <cellStyle name="Nota 2 2 4 3 3 2" xfId="7688"/>
    <cellStyle name="Nota 2 2 4 3 3 2 2" xfId="10302"/>
    <cellStyle name="Nota 2 2 4 3 3 2 2 2" xfId="16564"/>
    <cellStyle name="Nota 2 2 4 3 3 2 2 2 2" xfId="29980"/>
    <cellStyle name="Nota 2 2 4 3 3 2 2 3" xfId="21309"/>
    <cellStyle name="Nota 2 2 4 3 3 2 3" xfId="14292"/>
    <cellStyle name="Nota 2 2 4 3 3 2 3 2" xfId="28614"/>
    <cellStyle name="Nota 2 2 4 3 3 2 4" xfId="19937"/>
    <cellStyle name="Nota 2 2 4 3 3 3" xfId="13074"/>
    <cellStyle name="Nota 2 2 4 3 3 3 2" xfId="27396"/>
    <cellStyle name="Nota 2 2 4 3 3 4" xfId="18719"/>
    <cellStyle name="Nota 2 2 4 3 4" xfId="5420"/>
    <cellStyle name="Nota 2 2 4 3 4 2" xfId="11971"/>
    <cellStyle name="Nota 2 2 4 3 4 2 2" xfId="26293"/>
    <cellStyle name="Nota 2 2 4 3 4 3" xfId="17616"/>
    <cellStyle name="Nota 2 2 4 3 5" xfId="6481"/>
    <cellStyle name="Nota 2 2 4 3 5 2" xfId="23563"/>
    <cellStyle name="Nota 2 2 4 3 6" xfId="3273"/>
    <cellStyle name="Nota 2 2 4 4" xfId="1457"/>
    <cellStyle name="Nota 2 2 4 4 2" xfId="5213"/>
    <cellStyle name="Nota 2 2 4 4 2 2" xfId="11762"/>
    <cellStyle name="Nota 2 2 4 4 2 2 2" xfId="26084"/>
    <cellStyle name="Nota 2 2 4 4 2 3" xfId="17407"/>
    <cellStyle name="Nota 2 2 4 4 3" xfId="7332"/>
    <cellStyle name="Nota 2 2 4 4 3 2" xfId="9946"/>
    <cellStyle name="Nota 2 2 4 4 3 2 2" xfId="16208"/>
    <cellStyle name="Nota 2 2 4 4 3 2 2 2" xfId="29624"/>
    <cellStyle name="Nota 2 2 4 4 3 2 3" xfId="20953"/>
    <cellStyle name="Nota 2 2 4 4 3 3" xfId="13936"/>
    <cellStyle name="Nota 2 2 4 4 3 3 2" xfId="28258"/>
    <cellStyle name="Nota 2 2 4 4 3 4" xfId="19581"/>
    <cellStyle name="Nota 2 2 4 4 4" xfId="6054"/>
    <cellStyle name="Nota 2 2 4 4 4 2" xfId="23400"/>
    <cellStyle name="Nota 2 2 4 4 5" xfId="15138"/>
    <cellStyle name="Nota 2 2 4 5" xfId="1458"/>
    <cellStyle name="Nota 2 2 4 5 2" xfId="7517"/>
    <cellStyle name="Nota 2 2 4 5 2 2" xfId="10131"/>
    <cellStyle name="Nota 2 2 4 5 2 2 2" xfId="16393"/>
    <cellStyle name="Nota 2 2 4 5 2 2 2 2" xfId="29809"/>
    <cellStyle name="Nota 2 2 4 5 2 2 3" xfId="21138"/>
    <cellStyle name="Nota 2 2 4 5 2 3" xfId="14121"/>
    <cellStyle name="Nota 2 2 4 5 2 3 2" xfId="28443"/>
    <cellStyle name="Nota 2 2 4 5 2 4" xfId="19766"/>
    <cellStyle name="Nota 2 2 4 5 3" xfId="11916"/>
    <cellStyle name="Nota 2 2 4 5 3 2" xfId="26238"/>
    <cellStyle name="Nota 2 2 4 5 4" xfId="17561"/>
    <cellStyle name="Nota 2 2 4 6" xfId="3992"/>
    <cellStyle name="Nota 2 2 4 6 2" xfId="3892"/>
    <cellStyle name="Nota 2 2 4 6 2 2" xfId="22631"/>
    <cellStyle name="Nota 2 2 4 6 3" xfId="6698"/>
    <cellStyle name="Nota 2 2 4 7" xfId="6651"/>
    <cellStyle name="Nota 2 2 4 7 2" xfId="23629"/>
    <cellStyle name="Nota 2 2 4 8" xfId="14702"/>
    <cellStyle name="Nota 2 2 5" xfId="1459"/>
    <cellStyle name="Nota 2 2 5 2" xfId="1460"/>
    <cellStyle name="Nota 2 2 5 2 2" xfId="1461"/>
    <cellStyle name="Nota 2 2 5 2 2 2" xfId="6136"/>
    <cellStyle name="Nota 2 2 5 2 2 2 2" xfId="12705"/>
    <cellStyle name="Nota 2 2 5 2 2 2 2 2" xfId="27027"/>
    <cellStyle name="Nota 2 2 5 2 2 2 3" xfId="18350"/>
    <cellStyle name="Nota 2 2 5 2 2 3" xfId="7851"/>
    <cellStyle name="Nota 2 2 5 2 2 3 2" xfId="10465"/>
    <cellStyle name="Nota 2 2 5 2 2 3 2 2" xfId="16727"/>
    <cellStyle name="Nota 2 2 5 2 2 3 2 2 2" xfId="30143"/>
    <cellStyle name="Nota 2 2 5 2 2 3 2 3" xfId="21472"/>
    <cellStyle name="Nota 2 2 5 2 2 3 3" xfId="14455"/>
    <cellStyle name="Nota 2 2 5 2 2 3 3 2" xfId="28777"/>
    <cellStyle name="Nota 2 2 5 2 2 3 4" xfId="20100"/>
    <cellStyle name="Nota 2 2 5 2 2 4" xfId="4315"/>
    <cellStyle name="Nota 2 2 5 2 2 4 2" xfId="22885"/>
    <cellStyle name="Nota 2 2 5 2 2 5" xfId="6042"/>
    <cellStyle name="Nota 2 2 5 2 3" xfId="1462"/>
    <cellStyle name="Nota 2 2 5 2 3 2" xfId="7444"/>
    <cellStyle name="Nota 2 2 5 2 3 2 2" xfId="10058"/>
    <cellStyle name="Nota 2 2 5 2 3 2 2 2" xfId="16320"/>
    <cellStyle name="Nota 2 2 5 2 3 2 2 2 2" xfId="29736"/>
    <cellStyle name="Nota 2 2 5 2 3 2 2 3" xfId="21065"/>
    <cellStyle name="Nota 2 2 5 2 3 2 3" xfId="14048"/>
    <cellStyle name="Nota 2 2 5 2 3 2 3 2" xfId="28370"/>
    <cellStyle name="Nota 2 2 5 2 3 2 4" xfId="19693"/>
    <cellStyle name="Nota 2 2 5 2 3 3" xfId="13276"/>
    <cellStyle name="Nota 2 2 5 2 3 3 2" xfId="27598"/>
    <cellStyle name="Nota 2 2 5 2 3 4" xfId="18921"/>
    <cellStyle name="Nota 2 2 5 2 4" xfId="5723"/>
    <cellStyle name="Nota 2 2 5 2 4 2" xfId="12276"/>
    <cellStyle name="Nota 2 2 5 2 4 2 2" xfId="26598"/>
    <cellStyle name="Nota 2 2 5 2 4 3" xfId="17921"/>
    <cellStyle name="Nota 2 2 5 2 5" xfId="3938"/>
    <cellStyle name="Nota 2 2 5 2 5 2" xfId="22655"/>
    <cellStyle name="Nota 2 2 5 2 6" xfId="17171"/>
    <cellStyle name="Nota 2 2 5 3" xfId="1463"/>
    <cellStyle name="Nota 2 2 5 3 2" xfId="1464"/>
    <cellStyle name="Nota 2 2 5 3 2 2" xfId="6973"/>
    <cellStyle name="Nota 2 2 5 3 2 2 2" xfId="13577"/>
    <cellStyle name="Nota 2 2 5 3 2 2 2 2" xfId="27899"/>
    <cellStyle name="Nota 2 2 5 3 2 2 3" xfId="19222"/>
    <cellStyle name="Nota 2 2 5 3 2 3" xfId="7605"/>
    <cellStyle name="Nota 2 2 5 3 2 3 2" xfId="10219"/>
    <cellStyle name="Nota 2 2 5 3 2 3 2 2" xfId="16481"/>
    <cellStyle name="Nota 2 2 5 3 2 3 2 2 2" xfId="29897"/>
    <cellStyle name="Nota 2 2 5 3 2 3 2 3" xfId="21226"/>
    <cellStyle name="Nota 2 2 5 3 2 3 3" xfId="14209"/>
    <cellStyle name="Nota 2 2 5 3 2 3 3 2" xfId="28531"/>
    <cellStyle name="Nota 2 2 5 3 2 3 4" xfId="19854"/>
    <cellStyle name="Nota 2 2 5 3 2 4" xfId="11480"/>
    <cellStyle name="Nota 2 2 5 3 2 4 2" xfId="25802"/>
    <cellStyle name="Nota 2 2 5 3 2 5" xfId="4172"/>
    <cellStyle name="Nota 2 2 5 3 3" xfId="1465"/>
    <cellStyle name="Nota 2 2 5 3 3 2" xfId="7551"/>
    <cellStyle name="Nota 2 2 5 3 3 2 2" xfId="10165"/>
    <cellStyle name="Nota 2 2 5 3 3 2 2 2" xfId="16427"/>
    <cellStyle name="Nota 2 2 5 3 3 2 2 2 2" xfId="29843"/>
    <cellStyle name="Nota 2 2 5 3 3 2 2 3" xfId="21172"/>
    <cellStyle name="Nota 2 2 5 3 3 2 3" xfId="14155"/>
    <cellStyle name="Nota 2 2 5 3 3 2 3 2" xfId="28477"/>
    <cellStyle name="Nota 2 2 5 3 3 2 4" xfId="19800"/>
    <cellStyle name="Nota 2 2 5 3 3 3" xfId="13081"/>
    <cellStyle name="Nota 2 2 5 3 3 3 2" xfId="27403"/>
    <cellStyle name="Nota 2 2 5 3 3 4" xfId="18726"/>
    <cellStyle name="Nota 2 2 5 3 4" xfId="5431"/>
    <cellStyle name="Nota 2 2 5 3 4 2" xfId="11982"/>
    <cellStyle name="Nota 2 2 5 3 4 2 2" xfId="26304"/>
    <cellStyle name="Nota 2 2 5 3 4 3" xfId="17627"/>
    <cellStyle name="Nota 2 2 5 3 5" xfId="3934"/>
    <cellStyle name="Nota 2 2 5 3 5 2" xfId="22652"/>
    <cellStyle name="Nota 2 2 5 3 6" xfId="14732"/>
    <cellStyle name="Nota 2 2 5 4" xfId="1466"/>
    <cellStyle name="Nota 2 2 5 4 2" xfId="6992"/>
    <cellStyle name="Nota 2 2 5 4 2 2" xfId="13596"/>
    <cellStyle name="Nota 2 2 5 4 2 2 2" xfId="27918"/>
    <cellStyle name="Nota 2 2 5 4 2 3" xfId="19241"/>
    <cellStyle name="Nota 2 2 5 4 3" xfId="7608"/>
    <cellStyle name="Nota 2 2 5 4 3 2" xfId="10222"/>
    <cellStyle name="Nota 2 2 5 4 3 2 2" xfId="16484"/>
    <cellStyle name="Nota 2 2 5 4 3 2 2 2" xfId="29900"/>
    <cellStyle name="Nota 2 2 5 4 3 2 3" xfId="21229"/>
    <cellStyle name="Nota 2 2 5 4 3 3" xfId="14212"/>
    <cellStyle name="Nota 2 2 5 4 3 3 2" xfId="28534"/>
    <cellStyle name="Nota 2 2 5 4 3 4" xfId="19857"/>
    <cellStyle name="Nota 2 2 5 4 4" xfId="11504"/>
    <cellStyle name="Nota 2 2 5 4 4 2" xfId="25826"/>
    <cellStyle name="Nota 2 2 5 4 5" xfId="15442"/>
    <cellStyle name="Nota 2 2 5 5" xfId="1467"/>
    <cellStyle name="Nota 2 2 5 5 2" xfId="7476"/>
    <cellStyle name="Nota 2 2 5 5 2 2" xfId="10090"/>
    <cellStyle name="Nota 2 2 5 5 2 2 2" xfId="16352"/>
    <cellStyle name="Nota 2 2 5 5 2 2 2 2" xfId="29768"/>
    <cellStyle name="Nota 2 2 5 5 2 2 3" xfId="21097"/>
    <cellStyle name="Nota 2 2 5 5 2 3" xfId="14080"/>
    <cellStyle name="Nota 2 2 5 5 2 3 2" xfId="28402"/>
    <cellStyle name="Nota 2 2 5 5 2 4" xfId="19725"/>
    <cellStyle name="Nota 2 2 5 5 3" xfId="12836"/>
    <cellStyle name="Nota 2 2 5 5 3 2" xfId="27158"/>
    <cellStyle name="Nota 2 2 5 5 4" xfId="18481"/>
    <cellStyle name="Nota 2 2 5 6" xfId="5409"/>
    <cellStyle name="Nota 2 2 5 6 2" xfId="11959"/>
    <cellStyle name="Nota 2 2 5 6 2 2" xfId="26281"/>
    <cellStyle name="Nota 2 2 5 6 3" xfId="17604"/>
    <cellStyle name="Nota 2 2 5 7" xfId="8072"/>
    <cellStyle name="Nota 2 2 5 7 2" xfId="23759"/>
    <cellStyle name="Nota 2 2 5 8" xfId="15496"/>
    <cellStyle name="Nota 2 2 6" xfId="1468"/>
    <cellStyle name="Nota 2 2 6 2" xfId="1469"/>
    <cellStyle name="Nota 2 2 6 2 2" xfId="1470"/>
    <cellStyle name="Nota 2 2 6 2 2 2" xfId="5130"/>
    <cellStyle name="Nota 2 2 6 2 2 2 2" xfId="11679"/>
    <cellStyle name="Nota 2 2 6 2 2 2 2 2" xfId="26001"/>
    <cellStyle name="Nota 2 2 6 2 2 2 3" xfId="2845"/>
    <cellStyle name="Nota 2 2 6 2 2 3" xfId="3779"/>
    <cellStyle name="Nota 2 2 6 2 2 3 2" xfId="9373"/>
    <cellStyle name="Nota 2 2 6 2 2 3 2 2" xfId="15635"/>
    <cellStyle name="Nota 2 2 6 2 2 3 2 2 2" xfId="29051"/>
    <cellStyle name="Nota 2 2 6 2 2 3 2 3" xfId="20380"/>
    <cellStyle name="Nota 2 2 6 2 2 3 3" xfId="6660"/>
    <cellStyle name="Nota 2 2 6 2 2 3 3 2" xfId="23636"/>
    <cellStyle name="Nota 2 2 6 2 2 3 4" xfId="17035"/>
    <cellStyle name="Nota 2 2 6 2 2 4" xfId="4045"/>
    <cellStyle name="Nota 2 2 6 2 2 4 2" xfId="22722"/>
    <cellStyle name="Nota 2 2 6 2 2 5" xfId="3593"/>
    <cellStyle name="Nota 2 2 6 2 3" xfId="1471"/>
    <cellStyle name="Nota 2 2 6 2 3 2" xfId="8058"/>
    <cellStyle name="Nota 2 2 6 2 3 2 2" xfId="10672"/>
    <cellStyle name="Nota 2 2 6 2 3 2 2 2" xfId="16934"/>
    <cellStyle name="Nota 2 2 6 2 3 2 2 2 2" xfId="30350"/>
    <cellStyle name="Nota 2 2 6 2 3 2 2 3" xfId="21679"/>
    <cellStyle name="Nota 2 2 6 2 3 2 3" xfId="14662"/>
    <cellStyle name="Nota 2 2 6 2 3 2 3 2" xfId="28984"/>
    <cellStyle name="Nota 2 2 6 2 3 2 4" xfId="20307"/>
    <cellStyle name="Nota 2 2 6 2 3 3" xfId="13362"/>
    <cellStyle name="Nota 2 2 6 2 3 3 2" xfId="27684"/>
    <cellStyle name="Nota 2 2 6 2 3 4" xfId="19007"/>
    <cellStyle name="Nota 2 2 6 2 4" xfId="5812"/>
    <cellStyle name="Nota 2 2 6 2 4 2" xfId="12365"/>
    <cellStyle name="Nota 2 2 6 2 4 2 2" xfId="26687"/>
    <cellStyle name="Nota 2 2 6 2 4 3" xfId="18010"/>
    <cellStyle name="Nota 2 2 6 2 5" xfId="3673"/>
    <cellStyle name="Nota 2 2 6 2 5 2" xfId="22519"/>
    <cellStyle name="Nota 2 2 6 2 6" xfId="14884"/>
    <cellStyle name="Nota 2 2 6 3" xfId="1472"/>
    <cellStyle name="Nota 2 2 6 3 2" xfId="1473"/>
    <cellStyle name="Nota 2 2 6 3 2 2" xfId="6914"/>
    <cellStyle name="Nota 2 2 6 3 2 2 2" xfId="13518"/>
    <cellStyle name="Nota 2 2 6 3 2 2 2 2" xfId="27840"/>
    <cellStyle name="Nota 2 2 6 3 2 2 3" xfId="19163"/>
    <cellStyle name="Nota 2 2 6 3 2 3" xfId="7107"/>
    <cellStyle name="Nota 2 2 6 3 2 3 2" xfId="9721"/>
    <cellStyle name="Nota 2 2 6 3 2 3 2 2" xfId="15983"/>
    <cellStyle name="Nota 2 2 6 3 2 3 2 2 2" xfId="29399"/>
    <cellStyle name="Nota 2 2 6 3 2 3 2 3" xfId="20728"/>
    <cellStyle name="Nota 2 2 6 3 2 3 3" xfId="13711"/>
    <cellStyle name="Nota 2 2 6 3 2 3 3 2" xfId="28033"/>
    <cellStyle name="Nota 2 2 6 3 2 3 4" xfId="19356"/>
    <cellStyle name="Nota 2 2 6 3 2 4" xfId="11400"/>
    <cellStyle name="Nota 2 2 6 3 2 4 2" xfId="25722"/>
    <cellStyle name="Nota 2 2 6 3 2 5" xfId="15527"/>
    <cellStyle name="Nota 2 2 6 3 3" xfId="1474"/>
    <cellStyle name="Nota 2 2 6 3 3 2" xfId="7678"/>
    <cellStyle name="Nota 2 2 6 3 3 2 2" xfId="10292"/>
    <cellStyle name="Nota 2 2 6 3 3 2 2 2" xfId="16554"/>
    <cellStyle name="Nota 2 2 6 3 3 2 2 2 2" xfId="29970"/>
    <cellStyle name="Nota 2 2 6 3 3 2 2 3" xfId="21299"/>
    <cellStyle name="Nota 2 2 6 3 3 2 3" xfId="14282"/>
    <cellStyle name="Nota 2 2 6 3 3 2 3 2" xfId="28604"/>
    <cellStyle name="Nota 2 2 6 3 3 2 4" xfId="19927"/>
    <cellStyle name="Nota 2 2 6 3 3 3" xfId="13368"/>
    <cellStyle name="Nota 2 2 6 3 3 3 2" xfId="27690"/>
    <cellStyle name="Nota 2 2 6 3 3 4" xfId="19013"/>
    <cellStyle name="Nota 2 2 6 3 4" xfId="5819"/>
    <cellStyle name="Nota 2 2 6 3 4 2" xfId="12372"/>
    <cellStyle name="Nota 2 2 6 3 4 2 2" xfId="26694"/>
    <cellStyle name="Nota 2 2 6 3 4 3" xfId="18017"/>
    <cellStyle name="Nota 2 2 6 3 5" xfId="6736"/>
    <cellStyle name="Nota 2 2 6 3 5 2" xfId="23687"/>
    <cellStyle name="Nota 2 2 6 3 6" xfId="4322"/>
    <cellStyle name="Nota 2 2 6 4" xfId="1475"/>
    <cellStyle name="Nota 2 2 6 4 2" xfId="6145"/>
    <cellStyle name="Nota 2 2 6 4 2 2" xfId="12715"/>
    <cellStyle name="Nota 2 2 6 4 2 2 2" xfId="27037"/>
    <cellStyle name="Nota 2 2 6 4 2 3" xfId="18360"/>
    <cellStyle name="Nota 2 2 6 4 3" xfId="7112"/>
    <cellStyle name="Nota 2 2 6 4 3 2" xfId="9726"/>
    <cellStyle name="Nota 2 2 6 4 3 2 2" xfId="15988"/>
    <cellStyle name="Nota 2 2 6 4 3 2 2 2" xfId="29404"/>
    <cellStyle name="Nota 2 2 6 4 3 2 3" xfId="20733"/>
    <cellStyle name="Nota 2 2 6 4 3 3" xfId="13716"/>
    <cellStyle name="Nota 2 2 6 4 3 3 2" xfId="28038"/>
    <cellStyle name="Nota 2 2 6 4 3 4" xfId="19361"/>
    <cellStyle name="Nota 2 2 6 4 4" xfId="4689"/>
    <cellStyle name="Nota 2 2 6 4 4 2" xfId="23125"/>
    <cellStyle name="Nota 2 2 6 4 5" xfId="17024"/>
    <cellStyle name="Nota 2 2 6 5" xfId="1476"/>
    <cellStyle name="Nota 2 2 6 5 2" xfId="5249"/>
    <cellStyle name="Nota 2 2 6 5 2 2" xfId="9558"/>
    <cellStyle name="Nota 2 2 6 5 2 2 2" xfId="15820"/>
    <cellStyle name="Nota 2 2 6 5 2 2 2 2" xfId="29236"/>
    <cellStyle name="Nota 2 2 6 5 2 2 3" xfId="20565"/>
    <cellStyle name="Nota 2 2 6 5 2 3" xfId="11799"/>
    <cellStyle name="Nota 2 2 6 5 2 3 2" xfId="26121"/>
    <cellStyle name="Nota 2 2 6 5 2 4" xfId="17444"/>
    <cellStyle name="Nota 2 2 6 5 3" xfId="12938"/>
    <cellStyle name="Nota 2 2 6 5 3 2" xfId="27260"/>
    <cellStyle name="Nota 2 2 6 5 4" xfId="18583"/>
    <cellStyle name="Nota 2 2 6 6" xfId="5563"/>
    <cellStyle name="Nota 2 2 6 6 2" xfId="12114"/>
    <cellStyle name="Nota 2 2 6 6 2 2" xfId="26436"/>
    <cellStyle name="Nota 2 2 6 6 3" xfId="17759"/>
    <cellStyle name="Nota 2 2 6 7" xfId="4706"/>
    <cellStyle name="Nota 2 2 6 7 2" xfId="23139"/>
    <cellStyle name="Nota 2 2 6 8" xfId="14972"/>
    <cellStyle name="Nota 2 2 7" xfId="1477"/>
    <cellStyle name="Nota 2 2 7 2" xfId="1478"/>
    <cellStyle name="Nota 2 2 7 2 2" xfId="1479"/>
    <cellStyle name="Nota 2 2 7 2 2 2" xfId="6388"/>
    <cellStyle name="Nota 2 2 7 2 2 2 2" xfId="12971"/>
    <cellStyle name="Nota 2 2 7 2 2 2 2 2" xfId="27293"/>
    <cellStyle name="Nota 2 2 7 2 2 2 3" xfId="18616"/>
    <cellStyle name="Nota 2 2 7 2 2 3" xfId="7418"/>
    <cellStyle name="Nota 2 2 7 2 2 3 2" xfId="10032"/>
    <cellStyle name="Nota 2 2 7 2 2 3 2 2" xfId="16294"/>
    <cellStyle name="Nota 2 2 7 2 2 3 2 2 2" xfId="29710"/>
    <cellStyle name="Nota 2 2 7 2 2 3 2 3" xfId="21039"/>
    <cellStyle name="Nota 2 2 7 2 2 3 3" xfId="14022"/>
    <cellStyle name="Nota 2 2 7 2 2 3 3 2" xfId="28344"/>
    <cellStyle name="Nota 2 2 7 2 2 3 4" xfId="19667"/>
    <cellStyle name="Nota 2 2 7 2 2 4" xfId="3694"/>
    <cellStyle name="Nota 2 2 7 2 2 4 2" xfId="22533"/>
    <cellStyle name="Nota 2 2 7 2 2 5" xfId="17157"/>
    <cellStyle name="Nota 2 2 7 2 3" xfId="1480"/>
    <cellStyle name="Nota 2 2 7 2 3 2" xfId="7509"/>
    <cellStyle name="Nota 2 2 7 2 3 2 2" xfId="10123"/>
    <cellStyle name="Nota 2 2 7 2 3 2 2 2" xfId="16385"/>
    <cellStyle name="Nota 2 2 7 2 3 2 2 2 2" xfId="29801"/>
    <cellStyle name="Nota 2 2 7 2 3 2 2 3" xfId="21130"/>
    <cellStyle name="Nota 2 2 7 2 3 2 3" xfId="14113"/>
    <cellStyle name="Nota 2 2 7 2 3 2 3 2" xfId="28435"/>
    <cellStyle name="Nota 2 2 7 2 3 2 4" xfId="19758"/>
    <cellStyle name="Nota 2 2 7 2 3 3" xfId="12628"/>
    <cellStyle name="Nota 2 2 7 2 3 3 2" xfId="26950"/>
    <cellStyle name="Nota 2 2 7 2 3 4" xfId="18273"/>
    <cellStyle name="Nota 2 2 7 2 4" xfId="5134"/>
    <cellStyle name="Nota 2 2 7 2 4 2" xfId="11683"/>
    <cellStyle name="Nota 2 2 7 2 4 2 2" xfId="26005"/>
    <cellStyle name="Nota 2 2 7 2 4 3" xfId="4161"/>
    <cellStyle name="Nota 2 2 7 2 5" xfId="6484"/>
    <cellStyle name="Nota 2 2 7 2 5 2" xfId="23564"/>
    <cellStyle name="Nota 2 2 7 2 6" xfId="17291"/>
    <cellStyle name="Nota 2 2 7 3" xfId="1481"/>
    <cellStyle name="Nota 2 2 7 3 2" xfId="6002"/>
    <cellStyle name="Nota 2 2 7 3 2 2" xfId="12561"/>
    <cellStyle name="Nota 2 2 7 3 2 2 2" xfId="26883"/>
    <cellStyle name="Nota 2 2 7 3 2 3" xfId="18206"/>
    <cellStyle name="Nota 2 2 7 3 3" xfId="8019"/>
    <cellStyle name="Nota 2 2 7 3 3 2" xfId="10633"/>
    <cellStyle name="Nota 2 2 7 3 3 2 2" xfId="16895"/>
    <cellStyle name="Nota 2 2 7 3 3 2 2 2" xfId="30311"/>
    <cellStyle name="Nota 2 2 7 3 3 2 3" xfId="21640"/>
    <cellStyle name="Nota 2 2 7 3 3 3" xfId="14623"/>
    <cellStyle name="Nota 2 2 7 3 3 3 2" xfId="28945"/>
    <cellStyle name="Nota 2 2 7 3 3 4" xfId="20268"/>
    <cellStyle name="Nota 2 2 7 3 4" xfId="3652"/>
    <cellStyle name="Nota 2 2 7 3 4 2" xfId="22508"/>
    <cellStyle name="Nota 2 2 7 3 5" xfId="17039"/>
    <cellStyle name="Nota 2 2 7 4" xfId="1482"/>
    <cellStyle name="Nota 2 2 7 4 2" xfId="7407"/>
    <cellStyle name="Nota 2 2 7 4 2 2" xfId="10021"/>
    <cellStyle name="Nota 2 2 7 4 2 2 2" xfId="16283"/>
    <cellStyle name="Nota 2 2 7 4 2 2 2 2" xfId="29699"/>
    <cellStyle name="Nota 2 2 7 4 2 2 3" xfId="21028"/>
    <cellStyle name="Nota 2 2 7 4 2 3" xfId="14011"/>
    <cellStyle name="Nota 2 2 7 4 2 3 2" xfId="28333"/>
    <cellStyle name="Nota 2 2 7 4 2 4" xfId="19656"/>
    <cellStyle name="Nota 2 2 7 4 3" xfId="11514"/>
    <cellStyle name="Nota 2 2 7 4 3 2" xfId="25836"/>
    <cellStyle name="Nota 2 2 7 4 4" xfId="2881"/>
    <cellStyle name="Nota 2 2 7 5" xfId="5226"/>
    <cellStyle name="Nota 2 2 7 5 2" xfId="11776"/>
    <cellStyle name="Nota 2 2 7 5 2 2" xfId="26098"/>
    <cellStyle name="Nota 2 2 7 5 3" xfId="17421"/>
    <cellStyle name="Nota 2 2 7 6" xfId="3842"/>
    <cellStyle name="Nota 2 2 7 6 2" xfId="22607"/>
    <cellStyle name="Nota 2 2 7 7" xfId="5189"/>
    <cellStyle name="Nota 2 2 8" xfId="1483"/>
    <cellStyle name="Nota 2 2 8 2" xfId="1484"/>
    <cellStyle name="Nota 2 2 8 2 2" xfId="6485"/>
    <cellStyle name="Nota 2 2 8 2 2 2" xfId="13068"/>
    <cellStyle name="Nota 2 2 8 2 2 2 2" xfId="27390"/>
    <cellStyle name="Nota 2 2 8 2 2 3" xfId="18713"/>
    <cellStyle name="Nota 2 2 8 2 3" xfId="7458"/>
    <cellStyle name="Nota 2 2 8 2 3 2" xfId="10072"/>
    <cellStyle name="Nota 2 2 8 2 3 2 2" xfId="16334"/>
    <cellStyle name="Nota 2 2 8 2 3 2 2 2" xfId="29750"/>
    <cellStyle name="Nota 2 2 8 2 3 2 3" xfId="21079"/>
    <cellStyle name="Nota 2 2 8 2 3 3" xfId="14062"/>
    <cellStyle name="Nota 2 2 8 2 3 3 2" xfId="28384"/>
    <cellStyle name="Nota 2 2 8 2 3 4" xfId="19707"/>
    <cellStyle name="Nota 2 2 8 2 4" xfId="4278"/>
    <cellStyle name="Nota 2 2 8 2 4 2" xfId="22867"/>
    <cellStyle name="Nota 2 2 8 2 5" xfId="14999"/>
    <cellStyle name="Nota 2 2 8 3" xfId="1485"/>
    <cellStyle name="Nota 2 2 8 3 2" xfId="7286"/>
    <cellStyle name="Nota 2 2 8 3 2 2" xfId="9900"/>
    <cellStyle name="Nota 2 2 8 3 2 2 2" xfId="16162"/>
    <cellStyle name="Nota 2 2 8 3 2 2 2 2" xfId="29578"/>
    <cellStyle name="Nota 2 2 8 3 2 2 3" xfId="20907"/>
    <cellStyle name="Nota 2 2 8 3 2 3" xfId="13890"/>
    <cellStyle name="Nota 2 2 8 3 2 3 2" xfId="28212"/>
    <cellStyle name="Nota 2 2 8 3 2 4" xfId="19535"/>
    <cellStyle name="Nota 2 2 8 3 3" xfId="12390"/>
    <cellStyle name="Nota 2 2 8 3 3 2" xfId="26712"/>
    <cellStyle name="Nota 2 2 8 3 4" xfId="18035"/>
    <cellStyle name="Nota 2 2 8 4" xfId="4902"/>
    <cellStyle name="Nota 2 2 8 4 2" xfId="11439"/>
    <cellStyle name="Nota 2 2 8 4 2 2" xfId="25761"/>
    <cellStyle name="Nota 2 2 8 4 3" xfId="3258"/>
    <cellStyle name="Nota 2 2 8 5" xfId="4811"/>
    <cellStyle name="Nota 2 2 8 5 2" xfId="23199"/>
    <cellStyle name="Nota 2 2 8 6" xfId="3865"/>
    <cellStyle name="Nota 2 2 9" xfId="1486"/>
    <cellStyle name="Nota 2 2 9 2" xfId="6419"/>
    <cellStyle name="Nota 2 2 9 2 2" xfId="13002"/>
    <cellStyle name="Nota 2 2 9 2 2 2" xfId="27324"/>
    <cellStyle name="Nota 2 2 9 2 3" xfId="18647"/>
    <cellStyle name="Nota 2 2 9 3" xfId="3809"/>
    <cellStyle name="Nota 2 2 9 3 2" xfId="9377"/>
    <cellStyle name="Nota 2 2 9 3 2 2" xfId="15639"/>
    <cellStyle name="Nota 2 2 9 3 2 2 2" xfId="29055"/>
    <cellStyle name="Nota 2 2 9 3 2 3" xfId="20384"/>
    <cellStyle name="Nota 2 2 9 3 3" xfId="4231"/>
    <cellStyle name="Nota 2 2 9 3 3 2" xfId="22841"/>
    <cellStyle name="Nota 2 2 9 3 4" xfId="3861"/>
    <cellStyle name="Nota 2 2 9 4" xfId="4513"/>
    <cellStyle name="Nota 2 2 9 4 2" xfId="23000"/>
    <cellStyle name="Nota 2 2 9 5" xfId="17258"/>
    <cellStyle name="Nota 2 3" xfId="1487"/>
    <cellStyle name="Nota 2 3 2" xfId="6475"/>
    <cellStyle name="Nota 2 3 2 2" xfId="13058"/>
    <cellStyle name="Nota 2 3 2 2 2" xfId="27380"/>
    <cellStyle name="Nota 2 3 2 3" xfId="18703"/>
    <cellStyle name="Nota 2 3 3" xfId="4999"/>
    <cellStyle name="Nota 2 3 3 2" xfId="9536"/>
    <cellStyle name="Nota 2 3 3 2 2" xfId="15798"/>
    <cellStyle name="Nota 2 3 3 2 2 2" xfId="29214"/>
    <cellStyle name="Nota 2 3 3 2 3" xfId="20543"/>
    <cellStyle name="Nota 2 3 3 3" xfId="11542"/>
    <cellStyle name="Nota 2 3 3 3 2" xfId="25864"/>
    <cellStyle name="Nota 2 3 3 4" xfId="6744"/>
    <cellStyle name="Nota 2 3 4" xfId="3991"/>
    <cellStyle name="Nota 2 3 4 2" xfId="22690"/>
    <cellStyle name="Nota 2 3 5" xfId="3027"/>
    <cellStyle name="Nota 2 4" xfId="4084"/>
    <cellStyle name="Nota 2 4 2" xfId="4070"/>
    <cellStyle name="Nota 2 4 2 2" xfId="22742"/>
    <cellStyle name="Nota 2 4 3" xfId="15372"/>
    <cellStyle name="Nota 2 5" xfId="4945"/>
    <cellStyle name="Nota 2 5 2" xfId="23273"/>
    <cellStyle name="Nota 2 6" xfId="15155"/>
    <cellStyle name="Nota 2 7" xfId="21693"/>
    <cellStyle name="Nota 2 8" xfId="30364"/>
    <cellStyle name="Nota 3" xfId="1488"/>
    <cellStyle name="Nota 3 10" xfId="1489"/>
    <cellStyle name="Nota 3 10 2" xfId="7495"/>
    <cellStyle name="Nota 3 10 2 2" xfId="10109"/>
    <cellStyle name="Nota 3 10 2 2 2" xfId="16371"/>
    <cellStyle name="Nota 3 10 2 2 2 2" xfId="29787"/>
    <cellStyle name="Nota 3 10 2 2 3" xfId="21116"/>
    <cellStyle name="Nota 3 10 2 3" xfId="14099"/>
    <cellStyle name="Nota 3 10 2 3 2" xfId="28421"/>
    <cellStyle name="Nota 3 10 2 4" xfId="19744"/>
    <cellStyle name="Nota 3 10 3" xfId="11740"/>
    <cellStyle name="Nota 3 10 3 2" xfId="26062"/>
    <cellStyle name="Nota 3 10 4" xfId="4520"/>
    <cellStyle name="Nota 3 11" xfId="4749"/>
    <cellStyle name="Nota 3 11 2" xfId="2779"/>
    <cellStyle name="Nota 3 11 2 2" xfId="22348"/>
    <cellStyle name="Nota 3 11 3" xfId="17094"/>
    <cellStyle name="Nota 3 12" xfId="4863"/>
    <cellStyle name="Nota 3 12 2" xfId="23228"/>
    <cellStyle name="Nota 3 13" xfId="6629"/>
    <cellStyle name="Nota 3 2" xfId="1490"/>
    <cellStyle name="Nota 3 2 10" xfId="5398"/>
    <cellStyle name="Nota 3 2 10 2" xfId="11948"/>
    <cellStyle name="Nota 3 2 10 2 2" xfId="26270"/>
    <cellStyle name="Nota 3 2 10 3" xfId="17593"/>
    <cellStyle name="Nota 3 2 11" xfId="3276"/>
    <cellStyle name="Nota 3 2 11 2" xfId="22457"/>
    <cellStyle name="Nota 3 2 12" xfId="15243"/>
    <cellStyle name="Nota 3 2 2" xfId="1491"/>
    <cellStyle name="Nota 3 2 2 10" xfId="4450"/>
    <cellStyle name="Nota 3 2 2 10 2" xfId="22959"/>
    <cellStyle name="Nota 3 2 2 11" xfId="6190"/>
    <cellStyle name="Nota 3 2 2 2" xfId="1492"/>
    <cellStyle name="Nota 3 2 2 2 2" xfId="1493"/>
    <cellStyle name="Nota 3 2 2 2 2 2" xfId="1494"/>
    <cellStyle name="Nota 3 2 2 2 2 2 2" xfId="6396"/>
    <cellStyle name="Nota 3 2 2 2 2 2 2 2" xfId="12979"/>
    <cellStyle name="Nota 3 2 2 2 2 2 2 2 2" xfId="27301"/>
    <cellStyle name="Nota 3 2 2 2 2 2 2 3" xfId="18624"/>
    <cellStyle name="Nota 3 2 2 2 2 2 3" xfId="7078"/>
    <cellStyle name="Nota 3 2 2 2 2 2 3 2" xfId="9692"/>
    <cellStyle name="Nota 3 2 2 2 2 2 3 2 2" xfId="15954"/>
    <cellStyle name="Nota 3 2 2 2 2 2 3 2 2 2" xfId="29370"/>
    <cellStyle name="Nota 3 2 2 2 2 2 3 2 3" xfId="20699"/>
    <cellStyle name="Nota 3 2 2 2 2 2 3 3" xfId="13682"/>
    <cellStyle name="Nota 3 2 2 2 2 2 3 3 2" xfId="28004"/>
    <cellStyle name="Nota 3 2 2 2 2 2 3 4" xfId="19327"/>
    <cellStyle name="Nota 3 2 2 2 2 2 4" xfId="2785"/>
    <cellStyle name="Nota 3 2 2 2 2 2 4 2" xfId="22354"/>
    <cellStyle name="Nota 3 2 2 2 2 2 5" xfId="16976"/>
    <cellStyle name="Nota 3 2 2 2 2 3" xfId="1495"/>
    <cellStyle name="Nota 3 2 2 2 2 3 2" xfId="7888"/>
    <cellStyle name="Nota 3 2 2 2 2 3 2 2" xfId="10502"/>
    <cellStyle name="Nota 3 2 2 2 2 3 2 2 2" xfId="16764"/>
    <cellStyle name="Nota 3 2 2 2 2 3 2 2 2 2" xfId="30180"/>
    <cellStyle name="Nota 3 2 2 2 2 3 2 2 3" xfId="21509"/>
    <cellStyle name="Nota 3 2 2 2 2 3 2 3" xfId="14492"/>
    <cellStyle name="Nota 3 2 2 2 2 3 2 3 2" xfId="28814"/>
    <cellStyle name="Nota 3 2 2 2 2 3 2 4" xfId="20137"/>
    <cellStyle name="Nota 3 2 2 2 2 3 3" xfId="13322"/>
    <cellStyle name="Nota 3 2 2 2 2 3 3 2" xfId="27644"/>
    <cellStyle name="Nota 3 2 2 2 2 3 4" xfId="18967"/>
    <cellStyle name="Nota 3 2 2 2 2 4" xfId="5772"/>
    <cellStyle name="Nota 3 2 2 2 2 4 2" xfId="12325"/>
    <cellStyle name="Nota 3 2 2 2 2 4 2 2" xfId="26647"/>
    <cellStyle name="Nota 3 2 2 2 2 4 3" xfId="17970"/>
    <cellStyle name="Nota 3 2 2 2 2 5" xfId="4546"/>
    <cellStyle name="Nota 3 2 2 2 2 5 2" xfId="23024"/>
    <cellStyle name="Nota 3 2 2 2 2 6" xfId="17391"/>
    <cellStyle name="Nota 3 2 2 2 3" xfId="1496"/>
    <cellStyle name="Nota 3 2 2 2 3 2" xfId="1497"/>
    <cellStyle name="Nota 3 2 2 2 3 2 2" xfId="6557"/>
    <cellStyle name="Nota 3 2 2 2 3 2 2 2" xfId="13145"/>
    <cellStyle name="Nota 3 2 2 2 3 2 2 2 2" xfId="27467"/>
    <cellStyle name="Nota 3 2 2 2 3 2 2 3" xfId="18790"/>
    <cellStyle name="Nota 3 2 2 2 3 2 3" xfId="7554"/>
    <cellStyle name="Nota 3 2 2 2 3 2 3 2" xfId="10168"/>
    <cellStyle name="Nota 3 2 2 2 3 2 3 2 2" xfId="16430"/>
    <cellStyle name="Nota 3 2 2 2 3 2 3 2 2 2" xfId="29846"/>
    <cellStyle name="Nota 3 2 2 2 3 2 3 2 3" xfId="21175"/>
    <cellStyle name="Nota 3 2 2 2 3 2 3 3" xfId="14158"/>
    <cellStyle name="Nota 3 2 2 2 3 2 3 3 2" xfId="28480"/>
    <cellStyle name="Nota 3 2 2 2 3 2 3 4" xfId="19803"/>
    <cellStyle name="Nota 3 2 2 2 3 2 4" xfId="3887"/>
    <cellStyle name="Nota 3 2 2 2 3 2 4 2" xfId="22627"/>
    <cellStyle name="Nota 3 2 2 2 3 2 5" xfId="15324"/>
    <cellStyle name="Nota 3 2 2 2 3 3" xfId="1498"/>
    <cellStyle name="Nota 3 2 2 2 3 3 2" xfId="7853"/>
    <cellStyle name="Nota 3 2 2 2 3 3 2 2" xfId="10467"/>
    <cellStyle name="Nota 3 2 2 2 3 3 2 2 2" xfId="16729"/>
    <cellStyle name="Nota 3 2 2 2 3 3 2 2 2 2" xfId="30145"/>
    <cellStyle name="Nota 3 2 2 2 3 3 2 2 3" xfId="21474"/>
    <cellStyle name="Nota 3 2 2 2 3 3 2 3" xfId="14457"/>
    <cellStyle name="Nota 3 2 2 2 3 3 2 3 2" xfId="28779"/>
    <cellStyle name="Nota 3 2 2 2 3 3 2 4" xfId="20102"/>
    <cellStyle name="Nota 3 2 2 2 3 3 3" xfId="12128"/>
    <cellStyle name="Nota 3 2 2 2 3 3 3 2" xfId="26450"/>
    <cellStyle name="Nota 3 2 2 2 3 3 4" xfId="17773"/>
    <cellStyle name="Nota 3 2 2 2 3 4" xfId="5143"/>
    <cellStyle name="Nota 3 2 2 2 3 4 2" xfId="11692"/>
    <cellStyle name="Nota 3 2 2 2 3 4 2 2" xfId="26014"/>
    <cellStyle name="Nota 3 2 2 2 3 4 3" xfId="4153"/>
    <cellStyle name="Nota 3 2 2 2 3 5" xfId="4832"/>
    <cellStyle name="Nota 3 2 2 2 3 5 2" xfId="23210"/>
    <cellStyle name="Nota 3 2 2 2 3 6" xfId="15252"/>
    <cellStyle name="Nota 3 2 2 2 4" xfId="1499"/>
    <cellStyle name="Nota 3 2 2 2 4 2" xfId="6134"/>
    <cellStyle name="Nota 3 2 2 2 4 2 2" xfId="12703"/>
    <cellStyle name="Nota 3 2 2 2 4 2 2 2" xfId="27025"/>
    <cellStyle name="Nota 3 2 2 2 4 2 3" xfId="18348"/>
    <cellStyle name="Nota 3 2 2 2 4 3" xfId="7898"/>
    <cellStyle name="Nota 3 2 2 2 4 3 2" xfId="10512"/>
    <cellStyle name="Nota 3 2 2 2 4 3 2 2" xfId="16774"/>
    <cellStyle name="Nota 3 2 2 2 4 3 2 2 2" xfId="30190"/>
    <cellStyle name="Nota 3 2 2 2 4 3 2 3" xfId="21519"/>
    <cellStyle name="Nota 3 2 2 2 4 3 3" xfId="14502"/>
    <cellStyle name="Nota 3 2 2 2 4 3 3 2" xfId="28824"/>
    <cellStyle name="Nota 3 2 2 2 4 3 4" xfId="20147"/>
    <cellStyle name="Nota 3 2 2 2 4 4" xfId="5191"/>
    <cellStyle name="Nota 3 2 2 2 4 4 2" xfId="23334"/>
    <cellStyle name="Nota 3 2 2 2 4 5" xfId="15448"/>
    <cellStyle name="Nota 3 2 2 2 5" xfId="1500"/>
    <cellStyle name="Nota 3 2 2 2 5 2" xfId="5299"/>
    <cellStyle name="Nota 3 2 2 2 5 2 2" xfId="9608"/>
    <cellStyle name="Nota 3 2 2 2 5 2 2 2" xfId="15870"/>
    <cellStyle name="Nota 3 2 2 2 5 2 2 2 2" xfId="29286"/>
    <cellStyle name="Nota 3 2 2 2 5 2 2 3" xfId="20615"/>
    <cellStyle name="Nota 3 2 2 2 5 2 3" xfId="11849"/>
    <cellStyle name="Nota 3 2 2 2 5 2 3 2" xfId="26171"/>
    <cellStyle name="Nota 3 2 2 2 5 2 4" xfId="17494"/>
    <cellStyle name="Nota 3 2 2 2 5 3" xfId="12898"/>
    <cellStyle name="Nota 3 2 2 2 5 3 2" xfId="27220"/>
    <cellStyle name="Nota 3 2 2 2 5 4" xfId="18543"/>
    <cellStyle name="Nota 3 2 2 2 6" xfId="5516"/>
    <cellStyle name="Nota 3 2 2 2 6 2" xfId="12067"/>
    <cellStyle name="Nota 3 2 2 2 6 2 2" xfId="26389"/>
    <cellStyle name="Nota 3 2 2 2 6 3" xfId="17712"/>
    <cellStyle name="Nota 3 2 2 2 7" xfId="3858"/>
    <cellStyle name="Nota 3 2 2 2 7 2" xfId="22614"/>
    <cellStyle name="Nota 3 2 2 2 8" xfId="5970"/>
    <cellStyle name="Nota 3 2 2 3" xfId="1501"/>
    <cellStyle name="Nota 3 2 2 3 2" xfId="1502"/>
    <cellStyle name="Nota 3 2 2 3 2 2" xfId="1503"/>
    <cellStyle name="Nota 3 2 2 3 2 2 2" xfId="6858"/>
    <cellStyle name="Nota 3 2 2 3 2 2 2 2" xfId="13462"/>
    <cellStyle name="Nota 3 2 2 3 2 2 2 2 2" xfId="27784"/>
    <cellStyle name="Nota 3 2 2 3 2 2 2 3" xfId="19107"/>
    <cellStyle name="Nota 3 2 2 3 2 2 3" xfId="7879"/>
    <cellStyle name="Nota 3 2 2 3 2 2 3 2" xfId="10493"/>
    <cellStyle name="Nota 3 2 2 3 2 2 3 2 2" xfId="16755"/>
    <cellStyle name="Nota 3 2 2 3 2 2 3 2 2 2" xfId="30171"/>
    <cellStyle name="Nota 3 2 2 3 2 2 3 2 3" xfId="21500"/>
    <cellStyle name="Nota 3 2 2 3 2 2 3 3" xfId="14483"/>
    <cellStyle name="Nota 3 2 2 3 2 2 3 3 2" xfId="28805"/>
    <cellStyle name="Nota 3 2 2 3 2 2 3 4" xfId="20128"/>
    <cellStyle name="Nota 3 2 2 3 2 2 4" xfId="11316"/>
    <cellStyle name="Nota 3 2 2 3 2 2 4 2" xfId="25638"/>
    <cellStyle name="Nota 3 2 2 3 2 2 5" xfId="4900"/>
    <cellStyle name="Nota 3 2 2 3 2 3" xfId="1504"/>
    <cellStyle name="Nota 3 2 2 3 2 3 2" xfId="7159"/>
    <cellStyle name="Nota 3 2 2 3 2 3 2 2" xfId="9773"/>
    <cellStyle name="Nota 3 2 2 3 2 3 2 2 2" xfId="16035"/>
    <cellStyle name="Nota 3 2 2 3 2 3 2 2 2 2" xfId="29451"/>
    <cellStyle name="Nota 3 2 2 3 2 3 2 2 3" xfId="20780"/>
    <cellStyle name="Nota 3 2 2 3 2 3 2 3" xfId="13763"/>
    <cellStyle name="Nota 3 2 2 3 2 3 2 3 2" xfId="28085"/>
    <cellStyle name="Nota 3 2 2 3 2 3 2 4" xfId="19408"/>
    <cellStyle name="Nota 3 2 2 3 2 3 3" xfId="13358"/>
    <cellStyle name="Nota 3 2 2 3 2 3 3 2" xfId="27680"/>
    <cellStyle name="Nota 3 2 2 3 2 3 4" xfId="19003"/>
    <cellStyle name="Nota 3 2 2 3 2 4" xfId="5808"/>
    <cellStyle name="Nota 3 2 2 3 2 4 2" xfId="12361"/>
    <cellStyle name="Nota 3 2 2 3 2 4 2 2" xfId="26683"/>
    <cellStyle name="Nota 3 2 2 3 2 4 3" xfId="18006"/>
    <cellStyle name="Nota 3 2 2 3 2 5" xfId="4515"/>
    <cellStyle name="Nota 3 2 2 3 2 5 2" xfId="23002"/>
    <cellStyle name="Nota 3 2 2 3 2 6" xfId="14971"/>
    <cellStyle name="Nota 3 2 2 3 3" xfId="1505"/>
    <cellStyle name="Nota 3 2 2 3 3 2" xfId="1506"/>
    <cellStyle name="Nota 3 2 2 3 3 2 2" xfId="7038"/>
    <cellStyle name="Nota 3 2 2 3 3 2 2 2" xfId="13642"/>
    <cellStyle name="Nota 3 2 2 3 3 2 2 2 2" xfId="27964"/>
    <cellStyle name="Nota 3 2 2 3 3 2 2 3" xfId="19287"/>
    <cellStyle name="Nota 3 2 2 3 3 2 3" xfId="7826"/>
    <cellStyle name="Nota 3 2 2 3 3 2 3 2" xfId="10440"/>
    <cellStyle name="Nota 3 2 2 3 3 2 3 2 2" xfId="16702"/>
    <cellStyle name="Nota 3 2 2 3 3 2 3 2 2 2" xfId="30118"/>
    <cellStyle name="Nota 3 2 2 3 3 2 3 2 3" xfId="21447"/>
    <cellStyle name="Nota 3 2 2 3 3 2 3 3" xfId="14430"/>
    <cellStyle name="Nota 3 2 2 3 3 2 3 3 2" xfId="28752"/>
    <cellStyle name="Nota 3 2 2 3 3 2 3 4" xfId="20075"/>
    <cellStyle name="Nota 3 2 2 3 3 2 4" xfId="11583"/>
    <cellStyle name="Nota 3 2 2 3 3 2 4 2" xfId="25905"/>
    <cellStyle name="Nota 3 2 2 3 3 2 5" xfId="15533"/>
    <cellStyle name="Nota 3 2 2 3 3 3" xfId="1507"/>
    <cellStyle name="Nota 3 2 2 3 3 3 2" xfId="7574"/>
    <cellStyle name="Nota 3 2 2 3 3 3 2 2" xfId="10188"/>
    <cellStyle name="Nota 3 2 2 3 3 3 2 2 2" xfId="16450"/>
    <cellStyle name="Nota 3 2 2 3 3 3 2 2 2 2" xfId="29866"/>
    <cellStyle name="Nota 3 2 2 3 3 3 2 2 3" xfId="21195"/>
    <cellStyle name="Nota 3 2 2 3 3 3 2 3" xfId="14178"/>
    <cellStyle name="Nota 3 2 2 3 3 3 2 3 2" xfId="28500"/>
    <cellStyle name="Nota 3 2 2 3 3 3 2 4" xfId="19823"/>
    <cellStyle name="Nota 3 2 2 3 3 3 3" xfId="13167"/>
    <cellStyle name="Nota 3 2 2 3 3 3 3 2" xfId="27489"/>
    <cellStyle name="Nota 3 2 2 3 3 3 4" xfId="18812"/>
    <cellStyle name="Nota 3 2 2 3 3 4" xfId="5584"/>
    <cellStyle name="Nota 3 2 2 3 3 4 2" xfId="12136"/>
    <cellStyle name="Nota 3 2 2 3 3 4 2 2" xfId="26458"/>
    <cellStyle name="Nota 3 2 2 3 3 4 3" xfId="17781"/>
    <cellStyle name="Nota 3 2 2 3 3 5" xfId="6345"/>
    <cellStyle name="Nota 3 2 2 3 3 5 2" xfId="23531"/>
    <cellStyle name="Nota 3 2 2 3 3 6" xfId="15051"/>
    <cellStyle name="Nota 3 2 2 3 4" xfId="1508"/>
    <cellStyle name="Nota 3 2 2 3 4 2" xfId="5120"/>
    <cellStyle name="Nota 3 2 2 3 4 2 2" xfId="11668"/>
    <cellStyle name="Nota 3 2 2 3 4 2 2 2" xfId="25990"/>
    <cellStyle name="Nota 3 2 2 3 4 2 3" xfId="17193"/>
    <cellStyle name="Nota 3 2 2 3 4 3" xfId="8014"/>
    <cellStyle name="Nota 3 2 2 3 4 3 2" xfId="10628"/>
    <cellStyle name="Nota 3 2 2 3 4 3 2 2" xfId="16890"/>
    <cellStyle name="Nota 3 2 2 3 4 3 2 2 2" xfId="30306"/>
    <cellStyle name="Nota 3 2 2 3 4 3 2 3" xfId="21635"/>
    <cellStyle name="Nota 3 2 2 3 4 3 3" xfId="14618"/>
    <cellStyle name="Nota 3 2 2 3 4 3 3 2" xfId="28940"/>
    <cellStyle name="Nota 3 2 2 3 4 3 4" xfId="20263"/>
    <cellStyle name="Nota 3 2 2 3 4 4" xfId="4784"/>
    <cellStyle name="Nota 3 2 2 3 4 4 2" xfId="23185"/>
    <cellStyle name="Nota 3 2 2 3 4 5" xfId="17192"/>
    <cellStyle name="Nota 3 2 2 3 5" xfId="1509"/>
    <cellStyle name="Nota 3 2 2 3 5 2" xfId="7360"/>
    <cellStyle name="Nota 3 2 2 3 5 2 2" xfId="9974"/>
    <cellStyle name="Nota 3 2 2 3 5 2 2 2" xfId="16236"/>
    <cellStyle name="Nota 3 2 2 3 5 2 2 2 2" xfId="29652"/>
    <cellStyle name="Nota 3 2 2 3 5 2 2 3" xfId="20981"/>
    <cellStyle name="Nota 3 2 2 3 5 2 3" xfId="13964"/>
    <cellStyle name="Nota 3 2 2 3 5 2 3 2" xfId="28286"/>
    <cellStyle name="Nota 3 2 2 3 5 2 4" xfId="19609"/>
    <cellStyle name="Nota 3 2 2 3 5 3" xfId="12934"/>
    <cellStyle name="Nota 3 2 2 3 5 3 2" xfId="27256"/>
    <cellStyle name="Nota 3 2 2 3 5 4" xfId="18579"/>
    <cellStyle name="Nota 3 2 2 3 6" xfId="5558"/>
    <cellStyle name="Nota 3 2 2 3 6 2" xfId="12109"/>
    <cellStyle name="Nota 3 2 2 3 6 2 2" xfId="26431"/>
    <cellStyle name="Nota 3 2 2 3 6 3" xfId="17754"/>
    <cellStyle name="Nota 3 2 2 3 7" xfId="6323"/>
    <cellStyle name="Nota 3 2 2 3 7 2" xfId="23515"/>
    <cellStyle name="Nota 3 2 2 3 8" xfId="17034"/>
    <cellStyle name="Nota 3 2 2 4" xfId="1510"/>
    <cellStyle name="Nota 3 2 2 4 2" xfId="1511"/>
    <cellStyle name="Nota 3 2 2 4 2 2" xfId="1512"/>
    <cellStyle name="Nota 3 2 2 4 2 2 2" xfId="5944"/>
    <cellStyle name="Nota 3 2 2 4 2 2 2 2" xfId="12501"/>
    <cellStyle name="Nota 3 2 2 4 2 2 2 2 2" xfId="26823"/>
    <cellStyle name="Nota 3 2 2 4 2 2 2 3" xfId="18146"/>
    <cellStyle name="Nota 3 2 2 4 2 2 3" xfId="7409"/>
    <cellStyle name="Nota 3 2 2 4 2 2 3 2" xfId="10023"/>
    <cellStyle name="Nota 3 2 2 4 2 2 3 2 2" xfId="16285"/>
    <cellStyle name="Nota 3 2 2 4 2 2 3 2 2 2" xfId="29701"/>
    <cellStyle name="Nota 3 2 2 4 2 2 3 2 3" xfId="21030"/>
    <cellStyle name="Nota 3 2 2 4 2 2 3 3" xfId="14013"/>
    <cellStyle name="Nota 3 2 2 4 2 2 3 3 2" xfId="28335"/>
    <cellStyle name="Nota 3 2 2 4 2 2 3 4" xfId="19658"/>
    <cellStyle name="Nota 3 2 2 4 2 2 4" xfId="5932"/>
    <cellStyle name="Nota 3 2 2 4 2 2 4 2" xfId="23375"/>
    <cellStyle name="Nota 3 2 2 4 2 2 5" xfId="15455"/>
    <cellStyle name="Nota 3 2 2 4 2 3" xfId="1513"/>
    <cellStyle name="Nota 3 2 2 4 2 3 2" xfId="4816"/>
    <cellStyle name="Nota 3 2 2 4 2 3 2 2" xfId="9494"/>
    <cellStyle name="Nota 3 2 2 4 2 3 2 2 2" xfId="15756"/>
    <cellStyle name="Nota 3 2 2 4 2 3 2 2 2 2" xfId="29172"/>
    <cellStyle name="Nota 3 2 2 4 2 3 2 2 3" xfId="20501"/>
    <cellStyle name="Nota 3 2 2 4 2 3 2 3" xfId="11348"/>
    <cellStyle name="Nota 3 2 2 4 2 3 2 3 2" xfId="25670"/>
    <cellStyle name="Nota 3 2 2 4 2 3 2 4" xfId="15378"/>
    <cellStyle name="Nota 3 2 2 4 2 3 3" xfId="13233"/>
    <cellStyle name="Nota 3 2 2 4 2 3 3 2" xfId="27555"/>
    <cellStyle name="Nota 3 2 2 4 2 3 4" xfId="18878"/>
    <cellStyle name="Nota 3 2 2 4 2 4" xfId="5674"/>
    <cellStyle name="Nota 3 2 2 4 2 4 2" xfId="12227"/>
    <cellStyle name="Nota 3 2 2 4 2 4 2 2" xfId="26549"/>
    <cellStyle name="Nota 3 2 2 4 2 4 3" xfId="17872"/>
    <cellStyle name="Nota 3 2 2 4 2 5" xfId="4241"/>
    <cellStyle name="Nota 3 2 2 4 2 5 2" xfId="22849"/>
    <cellStyle name="Nota 3 2 2 4 2 6" xfId="14910"/>
    <cellStyle name="Nota 3 2 2 4 3" xfId="1514"/>
    <cellStyle name="Nota 3 2 2 4 3 2" xfId="1515"/>
    <cellStyle name="Nota 3 2 2 4 3 2 2" xfId="7034"/>
    <cellStyle name="Nota 3 2 2 4 3 2 2 2" xfId="13638"/>
    <cellStyle name="Nota 3 2 2 4 3 2 2 2 2" xfId="27960"/>
    <cellStyle name="Nota 3 2 2 4 3 2 2 3" xfId="19283"/>
    <cellStyle name="Nota 3 2 2 4 3 2 3" xfId="7175"/>
    <cellStyle name="Nota 3 2 2 4 3 2 3 2" xfId="9789"/>
    <cellStyle name="Nota 3 2 2 4 3 2 3 2 2" xfId="16051"/>
    <cellStyle name="Nota 3 2 2 4 3 2 3 2 2 2" xfId="29467"/>
    <cellStyle name="Nota 3 2 2 4 3 2 3 2 3" xfId="20796"/>
    <cellStyle name="Nota 3 2 2 4 3 2 3 3" xfId="13779"/>
    <cellStyle name="Nota 3 2 2 4 3 2 3 3 2" xfId="28101"/>
    <cellStyle name="Nota 3 2 2 4 3 2 3 4" xfId="19424"/>
    <cellStyle name="Nota 3 2 2 4 3 2 4" xfId="11575"/>
    <cellStyle name="Nota 3 2 2 4 3 2 4 2" xfId="25897"/>
    <cellStyle name="Nota 3 2 2 4 3 2 5" xfId="5927"/>
    <cellStyle name="Nota 3 2 2 4 3 3" xfId="1516"/>
    <cellStyle name="Nota 3 2 2 4 3 3 2" xfId="7413"/>
    <cellStyle name="Nota 3 2 2 4 3 3 2 2" xfId="10027"/>
    <cellStyle name="Nota 3 2 2 4 3 3 2 2 2" xfId="16289"/>
    <cellStyle name="Nota 3 2 2 4 3 3 2 2 2 2" xfId="29705"/>
    <cellStyle name="Nota 3 2 2 4 3 3 2 2 3" xfId="21034"/>
    <cellStyle name="Nota 3 2 2 4 3 3 2 3" xfId="14017"/>
    <cellStyle name="Nota 3 2 2 4 3 3 2 3 2" xfId="28339"/>
    <cellStyle name="Nota 3 2 2 4 3 3 2 4" xfId="19662"/>
    <cellStyle name="Nota 3 2 2 4 3 3 3" xfId="11701"/>
    <cellStyle name="Nota 3 2 2 4 3 3 3 2" xfId="26023"/>
    <cellStyle name="Nota 3 2 2 4 3 3 4" xfId="3149"/>
    <cellStyle name="Nota 3 2 2 4 3 4" xfId="4272"/>
    <cellStyle name="Nota 3 2 2 4 3 4 2" xfId="6310"/>
    <cellStyle name="Nota 3 2 2 4 3 4 2 2" xfId="23506"/>
    <cellStyle name="Nota 3 2 2 4 3 4 3" xfId="14975"/>
    <cellStyle name="Nota 3 2 2 4 3 5" xfId="4573"/>
    <cellStyle name="Nota 3 2 2 4 3 5 2" xfId="23040"/>
    <cellStyle name="Nota 3 2 2 4 3 6" xfId="17010"/>
    <cellStyle name="Nota 3 2 2 4 4" xfId="1517"/>
    <cellStyle name="Nota 3 2 2 4 4 2" xfId="6852"/>
    <cellStyle name="Nota 3 2 2 4 4 2 2" xfId="13456"/>
    <cellStyle name="Nota 3 2 2 4 4 2 2 2" xfId="27778"/>
    <cellStyle name="Nota 3 2 2 4 4 2 3" xfId="19101"/>
    <cellStyle name="Nota 3 2 2 4 4 3" xfId="7376"/>
    <cellStyle name="Nota 3 2 2 4 4 3 2" xfId="9990"/>
    <cellStyle name="Nota 3 2 2 4 4 3 2 2" xfId="16252"/>
    <cellStyle name="Nota 3 2 2 4 4 3 2 2 2" xfId="29668"/>
    <cellStyle name="Nota 3 2 2 4 4 3 2 3" xfId="20997"/>
    <cellStyle name="Nota 3 2 2 4 4 3 3" xfId="13980"/>
    <cellStyle name="Nota 3 2 2 4 4 3 3 2" xfId="28302"/>
    <cellStyle name="Nota 3 2 2 4 4 3 4" xfId="19625"/>
    <cellStyle name="Nota 3 2 2 4 4 4" xfId="2763"/>
    <cellStyle name="Nota 3 2 2 4 4 4 2" xfId="22332"/>
    <cellStyle name="Nota 3 2 2 4 4 5" xfId="15264"/>
    <cellStyle name="Nota 3 2 2 4 5" xfId="1518"/>
    <cellStyle name="Nota 3 2 2 4 5 2" xfId="7914"/>
    <cellStyle name="Nota 3 2 2 4 5 2 2" xfId="10528"/>
    <cellStyle name="Nota 3 2 2 4 5 2 2 2" xfId="16790"/>
    <cellStyle name="Nota 3 2 2 4 5 2 2 2 2" xfId="30206"/>
    <cellStyle name="Nota 3 2 2 4 5 2 2 3" xfId="21535"/>
    <cellStyle name="Nota 3 2 2 4 5 2 3" xfId="14518"/>
    <cellStyle name="Nota 3 2 2 4 5 2 3 2" xfId="28840"/>
    <cellStyle name="Nota 3 2 2 4 5 2 4" xfId="20163"/>
    <cellStyle name="Nota 3 2 2 4 5 3" xfId="12634"/>
    <cellStyle name="Nota 3 2 2 4 5 3 2" xfId="26956"/>
    <cellStyle name="Nota 3 2 2 4 5 4" xfId="18279"/>
    <cellStyle name="Nota 3 2 2 4 6" xfId="4060"/>
    <cellStyle name="Nota 3 2 2 4 6 2" xfId="5971"/>
    <cellStyle name="Nota 3 2 2 4 6 2 2" xfId="23385"/>
    <cellStyle name="Nota 3 2 2 4 6 3" xfId="15182"/>
    <cellStyle name="Nota 3 2 2 4 7" xfId="6822"/>
    <cellStyle name="Nota 3 2 2 4 7 2" xfId="23757"/>
    <cellStyle name="Nota 3 2 2 4 8" xfId="14983"/>
    <cellStyle name="Nota 3 2 2 5" xfId="1519"/>
    <cellStyle name="Nota 3 2 2 5 2" xfId="1520"/>
    <cellStyle name="Nota 3 2 2 5 2 2" xfId="1521"/>
    <cellStyle name="Nota 3 2 2 5 2 2 2" xfId="6448"/>
    <cellStyle name="Nota 3 2 2 5 2 2 2 2" xfId="13031"/>
    <cellStyle name="Nota 3 2 2 5 2 2 2 2 2" xfId="27353"/>
    <cellStyle name="Nota 3 2 2 5 2 2 2 3" xfId="18676"/>
    <cellStyle name="Nota 3 2 2 5 2 2 3" xfId="7644"/>
    <cellStyle name="Nota 3 2 2 5 2 2 3 2" xfId="10258"/>
    <cellStyle name="Nota 3 2 2 5 2 2 3 2 2" xfId="16520"/>
    <cellStyle name="Nota 3 2 2 5 2 2 3 2 2 2" xfId="29936"/>
    <cellStyle name="Nota 3 2 2 5 2 2 3 2 3" xfId="21265"/>
    <cellStyle name="Nota 3 2 2 5 2 2 3 3" xfId="14248"/>
    <cellStyle name="Nota 3 2 2 5 2 2 3 3 2" xfId="28570"/>
    <cellStyle name="Nota 3 2 2 5 2 2 3 4" xfId="19893"/>
    <cellStyle name="Nota 3 2 2 5 2 2 4" xfId="4654"/>
    <cellStyle name="Nota 3 2 2 5 2 2 4 2" xfId="23096"/>
    <cellStyle name="Nota 3 2 2 5 2 2 5" xfId="17250"/>
    <cellStyle name="Nota 3 2 2 5 2 3" xfId="1522"/>
    <cellStyle name="Nota 3 2 2 5 2 3 2" xfId="7623"/>
    <cellStyle name="Nota 3 2 2 5 2 3 2 2" xfId="10237"/>
    <cellStyle name="Nota 3 2 2 5 2 3 2 2 2" xfId="16499"/>
    <cellStyle name="Nota 3 2 2 5 2 3 2 2 2 2" xfId="29915"/>
    <cellStyle name="Nota 3 2 2 5 2 3 2 2 3" xfId="21244"/>
    <cellStyle name="Nota 3 2 2 5 2 3 2 3" xfId="14227"/>
    <cellStyle name="Nota 3 2 2 5 2 3 2 3 2" xfId="28549"/>
    <cellStyle name="Nota 3 2 2 5 2 3 2 4" xfId="19872"/>
    <cellStyle name="Nota 3 2 2 5 2 3 3" xfId="13398"/>
    <cellStyle name="Nota 3 2 2 5 2 3 3 2" xfId="27720"/>
    <cellStyle name="Nota 3 2 2 5 2 3 4" xfId="19043"/>
    <cellStyle name="Nota 3 2 2 5 2 4" xfId="5862"/>
    <cellStyle name="Nota 3 2 2 5 2 4 2" xfId="12415"/>
    <cellStyle name="Nota 3 2 2 5 2 4 2 2" xfId="26737"/>
    <cellStyle name="Nota 3 2 2 5 2 4 3" xfId="18060"/>
    <cellStyle name="Nota 3 2 2 5 2 5" xfId="4790"/>
    <cellStyle name="Nota 3 2 2 5 2 5 2" xfId="23189"/>
    <cellStyle name="Nota 3 2 2 5 2 6" xfId="14767"/>
    <cellStyle name="Nota 3 2 2 5 3" xfId="1523"/>
    <cellStyle name="Nota 3 2 2 5 3 2" xfId="6876"/>
    <cellStyle name="Nota 3 2 2 5 3 2 2" xfId="13480"/>
    <cellStyle name="Nota 3 2 2 5 3 2 2 2" xfId="27802"/>
    <cellStyle name="Nota 3 2 2 5 3 2 3" xfId="19125"/>
    <cellStyle name="Nota 3 2 2 5 3 3" xfId="7886"/>
    <cellStyle name="Nota 3 2 2 5 3 3 2" xfId="10500"/>
    <cellStyle name="Nota 3 2 2 5 3 3 2 2" xfId="16762"/>
    <cellStyle name="Nota 3 2 2 5 3 3 2 2 2" xfId="30178"/>
    <cellStyle name="Nota 3 2 2 5 3 3 2 3" xfId="21507"/>
    <cellStyle name="Nota 3 2 2 5 3 3 3" xfId="14490"/>
    <cellStyle name="Nota 3 2 2 5 3 3 3 2" xfId="28812"/>
    <cellStyle name="Nota 3 2 2 5 3 3 4" xfId="20135"/>
    <cellStyle name="Nota 3 2 2 5 3 4" xfId="11345"/>
    <cellStyle name="Nota 3 2 2 5 3 4 2" xfId="25667"/>
    <cellStyle name="Nota 3 2 2 5 3 5" xfId="17026"/>
    <cellStyle name="Nota 3 2 2 5 4" xfId="1524"/>
    <cellStyle name="Nota 3 2 2 5 4 2" xfId="8016"/>
    <cellStyle name="Nota 3 2 2 5 4 2 2" xfId="10630"/>
    <cellStyle name="Nota 3 2 2 5 4 2 2 2" xfId="16892"/>
    <cellStyle name="Nota 3 2 2 5 4 2 2 2 2" xfId="30308"/>
    <cellStyle name="Nota 3 2 2 5 4 2 2 3" xfId="21637"/>
    <cellStyle name="Nota 3 2 2 5 4 2 3" xfId="14620"/>
    <cellStyle name="Nota 3 2 2 5 4 2 3 2" xfId="28942"/>
    <cellStyle name="Nota 3 2 2 5 4 2 4" xfId="20265"/>
    <cellStyle name="Nota 3 2 2 5 4 3" xfId="12942"/>
    <cellStyle name="Nota 3 2 2 5 4 3 2" xfId="27264"/>
    <cellStyle name="Nota 3 2 2 5 4 4" xfId="18587"/>
    <cellStyle name="Nota 3 2 2 5 5" xfId="5595"/>
    <cellStyle name="Nota 3 2 2 5 5 2" xfId="12147"/>
    <cellStyle name="Nota 3 2 2 5 5 2 2" xfId="26469"/>
    <cellStyle name="Nota 3 2 2 5 5 3" xfId="17792"/>
    <cellStyle name="Nota 3 2 2 5 6" xfId="4199"/>
    <cellStyle name="Nota 3 2 2 5 6 2" xfId="22816"/>
    <cellStyle name="Nota 3 2 2 5 7" xfId="14885"/>
    <cellStyle name="Nota 3 2 2 6" xfId="1525"/>
    <cellStyle name="Nota 3 2 2 6 2" xfId="1526"/>
    <cellStyle name="Nota 3 2 2 6 2 2" xfId="6216"/>
    <cellStyle name="Nota 3 2 2 6 2 2 2" xfId="12790"/>
    <cellStyle name="Nota 3 2 2 6 2 2 2 2" xfId="27112"/>
    <cellStyle name="Nota 3 2 2 6 2 2 3" xfId="18435"/>
    <cellStyle name="Nota 3 2 2 6 2 3" xfId="7760"/>
    <cellStyle name="Nota 3 2 2 6 2 3 2" xfId="10374"/>
    <cellStyle name="Nota 3 2 2 6 2 3 2 2" xfId="16636"/>
    <cellStyle name="Nota 3 2 2 6 2 3 2 2 2" xfId="30052"/>
    <cellStyle name="Nota 3 2 2 6 2 3 2 3" xfId="21381"/>
    <cellStyle name="Nota 3 2 2 6 2 3 3" xfId="14364"/>
    <cellStyle name="Nota 3 2 2 6 2 3 3 2" xfId="28686"/>
    <cellStyle name="Nota 3 2 2 6 2 3 4" xfId="20009"/>
    <cellStyle name="Nota 3 2 2 6 2 4" xfId="6263"/>
    <cellStyle name="Nota 3 2 2 6 2 4 2" xfId="23481"/>
    <cellStyle name="Nota 3 2 2 6 2 5" xfId="17020"/>
    <cellStyle name="Nota 3 2 2 6 3" xfId="1527"/>
    <cellStyle name="Nota 3 2 2 6 3 2" xfId="4942"/>
    <cellStyle name="Nota 3 2 2 6 3 2 2" xfId="9520"/>
    <cellStyle name="Nota 3 2 2 6 3 2 2 2" xfId="15782"/>
    <cellStyle name="Nota 3 2 2 6 3 2 2 2 2" xfId="29198"/>
    <cellStyle name="Nota 3 2 2 6 3 2 2 3" xfId="20527"/>
    <cellStyle name="Nota 3 2 2 6 3 2 3" xfId="11481"/>
    <cellStyle name="Nota 3 2 2 6 3 2 3 2" xfId="25803"/>
    <cellStyle name="Nota 3 2 2 6 3 2 4" xfId="15347"/>
    <cellStyle name="Nota 3 2 2 6 3 3" xfId="12461"/>
    <cellStyle name="Nota 3 2 2 6 3 3 2" xfId="26783"/>
    <cellStyle name="Nota 3 2 2 6 3 4" xfId="18106"/>
    <cellStyle name="Nota 3 2 2 6 4" xfId="5065"/>
    <cellStyle name="Nota 3 2 2 6 4 2" xfId="11612"/>
    <cellStyle name="Nota 3 2 2 6 4 2 2" xfId="25934"/>
    <cellStyle name="Nota 3 2 2 6 4 3" xfId="15170"/>
    <cellStyle name="Nota 3 2 2 6 5" xfId="3778"/>
    <cellStyle name="Nota 3 2 2 6 5 2" xfId="22573"/>
    <cellStyle name="Nota 3 2 2 6 6" xfId="15256"/>
    <cellStyle name="Nota 3 2 2 7" xfId="1528"/>
    <cellStyle name="Nota 3 2 2 7 2" xfId="5891"/>
    <cellStyle name="Nota 3 2 2 7 2 2" xfId="12444"/>
    <cellStyle name="Nota 3 2 2 7 2 2 2" xfId="26766"/>
    <cellStyle name="Nota 3 2 2 7 2 3" xfId="18089"/>
    <cellStyle name="Nota 3 2 2 7 3" xfId="3868"/>
    <cellStyle name="Nota 3 2 2 7 3 2" xfId="9387"/>
    <cellStyle name="Nota 3 2 2 7 3 2 2" xfId="15649"/>
    <cellStyle name="Nota 3 2 2 7 3 2 2 2" xfId="29065"/>
    <cellStyle name="Nota 3 2 2 7 3 2 3" xfId="20394"/>
    <cellStyle name="Nota 3 2 2 7 3 3" xfId="4739"/>
    <cellStyle name="Nota 3 2 2 7 3 3 2" xfId="23162"/>
    <cellStyle name="Nota 3 2 2 7 3 4" xfId="3854"/>
    <cellStyle name="Nota 3 2 2 7 4" xfId="4238"/>
    <cellStyle name="Nota 3 2 2 7 4 2" xfId="22848"/>
    <cellStyle name="Nota 3 2 2 7 5" xfId="15512"/>
    <cellStyle name="Nota 3 2 2 8" xfId="1529"/>
    <cellStyle name="Nota 3 2 2 8 2" xfId="7680"/>
    <cellStyle name="Nota 3 2 2 8 2 2" xfId="10294"/>
    <cellStyle name="Nota 3 2 2 8 2 2 2" xfId="16556"/>
    <cellStyle name="Nota 3 2 2 8 2 2 2 2" xfId="29972"/>
    <cellStyle name="Nota 3 2 2 8 2 2 3" xfId="21301"/>
    <cellStyle name="Nota 3 2 2 8 2 3" xfId="14284"/>
    <cellStyle name="Nota 3 2 2 8 2 3 2" xfId="28606"/>
    <cellStyle name="Nota 3 2 2 8 2 4" xfId="19929"/>
    <cellStyle name="Nota 3 2 2 8 3" xfId="12762"/>
    <cellStyle name="Nota 3 2 2 8 3 2" xfId="27084"/>
    <cellStyle name="Nota 3 2 2 8 4" xfId="18407"/>
    <cellStyle name="Nota 3 2 2 9" xfId="5473"/>
    <cellStyle name="Nota 3 2 2 9 2" xfId="12024"/>
    <cellStyle name="Nota 3 2 2 9 2 2" xfId="26346"/>
    <cellStyle name="Nota 3 2 2 9 3" xfId="17669"/>
    <cellStyle name="Nota 3 2 3" xfId="1530"/>
    <cellStyle name="Nota 3 2 3 2" xfId="1531"/>
    <cellStyle name="Nota 3 2 3 2 2" xfId="1532"/>
    <cellStyle name="Nota 3 2 3 2 2 2" xfId="6080"/>
    <cellStyle name="Nota 3 2 3 2 2 2 2" xfId="12646"/>
    <cellStyle name="Nota 3 2 3 2 2 2 2 2" xfId="26968"/>
    <cellStyle name="Nota 3 2 3 2 2 2 3" xfId="18291"/>
    <cellStyle name="Nota 3 2 3 2 2 3" xfId="8009"/>
    <cellStyle name="Nota 3 2 3 2 2 3 2" xfId="10623"/>
    <cellStyle name="Nota 3 2 3 2 2 3 2 2" xfId="16885"/>
    <cellStyle name="Nota 3 2 3 2 2 3 2 2 2" xfId="30301"/>
    <cellStyle name="Nota 3 2 3 2 2 3 2 3" xfId="21630"/>
    <cellStyle name="Nota 3 2 3 2 2 3 3" xfId="14613"/>
    <cellStyle name="Nota 3 2 3 2 2 3 3 2" xfId="28935"/>
    <cellStyle name="Nota 3 2 3 2 2 3 4" xfId="20258"/>
    <cellStyle name="Nota 3 2 3 2 2 4" xfId="4236"/>
    <cellStyle name="Nota 3 2 3 2 2 4 2" xfId="22846"/>
    <cellStyle name="Nota 3 2 3 2 2 5" xfId="15380"/>
    <cellStyle name="Nota 3 2 3 2 3" xfId="1533"/>
    <cellStyle name="Nota 3 2 3 2 3 2" xfId="7593"/>
    <cellStyle name="Nota 3 2 3 2 3 2 2" xfId="10207"/>
    <cellStyle name="Nota 3 2 3 2 3 2 2 2" xfId="16469"/>
    <cellStyle name="Nota 3 2 3 2 3 2 2 2 2" xfId="29885"/>
    <cellStyle name="Nota 3 2 3 2 3 2 2 3" xfId="21214"/>
    <cellStyle name="Nota 3 2 3 2 3 2 3" xfId="14197"/>
    <cellStyle name="Nota 3 2 3 2 3 2 3 2" xfId="28519"/>
    <cellStyle name="Nota 3 2 3 2 3 2 4" xfId="19842"/>
    <cellStyle name="Nota 3 2 3 2 3 3" xfId="13308"/>
    <cellStyle name="Nota 3 2 3 2 3 3 2" xfId="27630"/>
    <cellStyle name="Nota 3 2 3 2 3 4" xfId="18953"/>
    <cellStyle name="Nota 3 2 3 2 4" xfId="5758"/>
    <cellStyle name="Nota 3 2 3 2 4 2" xfId="12311"/>
    <cellStyle name="Nota 3 2 3 2 4 2 2" xfId="26633"/>
    <cellStyle name="Nota 3 2 3 2 4 3" xfId="17956"/>
    <cellStyle name="Nota 3 2 3 2 5" xfId="4597"/>
    <cellStyle name="Nota 3 2 3 2 5 2" xfId="23058"/>
    <cellStyle name="Nota 3 2 3 2 6" xfId="15042"/>
    <cellStyle name="Nota 3 2 3 3" xfId="1534"/>
    <cellStyle name="Nota 3 2 3 3 2" xfId="1535"/>
    <cellStyle name="Nota 3 2 3 3 2 2" xfId="6101"/>
    <cellStyle name="Nota 3 2 3 3 2 2 2" xfId="12668"/>
    <cellStyle name="Nota 3 2 3 3 2 2 2 2" xfId="26990"/>
    <cellStyle name="Nota 3 2 3 3 2 2 3" xfId="18313"/>
    <cellStyle name="Nota 3 2 3 3 2 3" xfId="7961"/>
    <cellStyle name="Nota 3 2 3 3 2 3 2" xfId="10575"/>
    <cellStyle name="Nota 3 2 3 3 2 3 2 2" xfId="16837"/>
    <cellStyle name="Nota 3 2 3 3 2 3 2 2 2" xfId="30253"/>
    <cellStyle name="Nota 3 2 3 3 2 3 2 3" xfId="21582"/>
    <cellStyle name="Nota 3 2 3 3 2 3 3" xfId="14565"/>
    <cellStyle name="Nota 3 2 3 3 2 3 3 2" xfId="28887"/>
    <cellStyle name="Nota 3 2 3 3 2 3 4" xfId="20210"/>
    <cellStyle name="Nota 3 2 3 3 2 4" xfId="3469"/>
    <cellStyle name="Nota 3 2 3 3 2 4 2" xfId="22471"/>
    <cellStyle name="Nota 3 2 3 3 2 5" xfId="14919"/>
    <cellStyle name="Nota 3 2 3 3 3" xfId="1536"/>
    <cellStyle name="Nota 3 2 3 3 3 2" xfId="4769"/>
    <cellStyle name="Nota 3 2 3 3 3 2 2" xfId="9481"/>
    <cellStyle name="Nota 3 2 3 3 3 2 2 2" xfId="15743"/>
    <cellStyle name="Nota 3 2 3 3 3 2 2 2 2" xfId="29159"/>
    <cellStyle name="Nota 3 2 3 3 3 2 2 3" xfId="20488"/>
    <cellStyle name="Nota 3 2 3 3 3 2 3" xfId="2770"/>
    <cellStyle name="Nota 3 2 3 3 3 2 3 2" xfId="22339"/>
    <cellStyle name="Nota 3 2 3 3 3 2 4" xfId="6644"/>
    <cellStyle name="Nota 3 2 3 3 3 3" xfId="11992"/>
    <cellStyle name="Nota 3 2 3 3 3 3 2" xfId="26314"/>
    <cellStyle name="Nota 3 2 3 3 3 4" xfId="17637"/>
    <cellStyle name="Nota 3 2 3 3 4" xfId="4937"/>
    <cellStyle name="Nota 3 2 3 3 4 2" xfId="11475"/>
    <cellStyle name="Nota 3 2 3 3 4 2 2" xfId="25797"/>
    <cellStyle name="Nota 3 2 3 3 4 3" xfId="16956"/>
    <cellStyle name="Nota 3 2 3 3 5" xfId="4115"/>
    <cellStyle name="Nota 3 2 3 3 5 2" xfId="22761"/>
    <cellStyle name="Nota 3 2 3 3 6" xfId="6315"/>
    <cellStyle name="Nota 3 2 3 4" xfId="1537"/>
    <cellStyle name="Nota 3 2 3 4 2" xfId="6066"/>
    <cellStyle name="Nota 3 2 3 4 2 2" xfId="12632"/>
    <cellStyle name="Nota 3 2 3 4 2 2 2" xfId="26954"/>
    <cellStyle name="Nota 3 2 3 4 2 3" xfId="18277"/>
    <cellStyle name="Nota 3 2 3 4 3" xfId="7279"/>
    <cellStyle name="Nota 3 2 3 4 3 2" xfId="9893"/>
    <cellStyle name="Nota 3 2 3 4 3 2 2" xfId="16155"/>
    <cellStyle name="Nota 3 2 3 4 3 2 2 2" xfId="29571"/>
    <cellStyle name="Nota 3 2 3 4 3 2 3" xfId="20900"/>
    <cellStyle name="Nota 3 2 3 4 3 3" xfId="13883"/>
    <cellStyle name="Nota 3 2 3 4 3 3 2" xfId="28205"/>
    <cellStyle name="Nota 3 2 3 4 3 4" xfId="19528"/>
    <cellStyle name="Nota 3 2 3 4 4" xfId="4204"/>
    <cellStyle name="Nota 3 2 3 4 4 2" xfId="22819"/>
    <cellStyle name="Nota 3 2 3 4 5" xfId="14779"/>
    <cellStyle name="Nota 3 2 3 5" xfId="1538"/>
    <cellStyle name="Nota 3 2 3 5 2" xfId="7847"/>
    <cellStyle name="Nota 3 2 3 5 2 2" xfId="10461"/>
    <cellStyle name="Nota 3 2 3 5 2 2 2" xfId="16723"/>
    <cellStyle name="Nota 3 2 3 5 2 2 2 2" xfId="30139"/>
    <cellStyle name="Nota 3 2 3 5 2 2 3" xfId="21468"/>
    <cellStyle name="Nota 3 2 3 5 2 3" xfId="14451"/>
    <cellStyle name="Nota 3 2 3 5 2 3 2" xfId="28773"/>
    <cellStyle name="Nota 3 2 3 5 2 4" xfId="20096"/>
    <cellStyle name="Nota 3 2 3 5 3" xfId="12884"/>
    <cellStyle name="Nota 3 2 3 5 3 2" xfId="27206"/>
    <cellStyle name="Nota 3 2 3 5 4" xfId="18529"/>
    <cellStyle name="Nota 3 2 3 6" xfId="5502"/>
    <cellStyle name="Nota 3 2 3 6 2" xfId="12053"/>
    <cellStyle name="Nota 3 2 3 6 2 2" xfId="26375"/>
    <cellStyle name="Nota 3 2 3 6 3" xfId="17698"/>
    <cellStyle name="Nota 3 2 3 7" xfId="3765"/>
    <cellStyle name="Nota 3 2 3 7 2" xfId="22570"/>
    <cellStyle name="Nota 3 2 3 8" xfId="17070"/>
    <cellStyle name="Nota 3 2 4" xfId="1539"/>
    <cellStyle name="Nota 3 2 4 2" xfId="1540"/>
    <cellStyle name="Nota 3 2 4 2 2" xfId="1541"/>
    <cellStyle name="Nota 3 2 4 2 2 2" xfId="6406"/>
    <cellStyle name="Nota 3 2 4 2 2 2 2" xfId="12989"/>
    <cellStyle name="Nota 3 2 4 2 2 2 2 2" xfId="27311"/>
    <cellStyle name="Nota 3 2 4 2 2 2 3" xfId="18634"/>
    <cellStyle name="Nota 3 2 4 2 2 3" xfId="7580"/>
    <cellStyle name="Nota 3 2 4 2 2 3 2" xfId="10194"/>
    <cellStyle name="Nota 3 2 4 2 2 3 2 2" xfId="16456"/>
    <cellStyle name="Nota 3 2 4 2 2 3 2 2 2" xfId="29872"/>
    <cellStyle name="Nota 3 2 4 2 2 3 2 3" xfId="21201"/>
    <cellStyle name="Nota 3 2 4 2 2 3 3" xfId="14184"/>
    <cellStyle name="Nota 3 2 4 2 2 3 3 2" xfId="28506"/>
    <cellStyle name="Nota 3 2 4 2 2 3 4" xfId="19829"/>
    <cellStyle name="Nota 3 2 4 2 2 4" xfId="6093"/>
    <cellStyle name="Nota 3 2 4 2 2 4 2" xfId="23412"/>
    <cellStyle name="Nota 3 2 4 2 2 5" xfId="17334"/>
    <cellStyle name="Nota 3 2 4 2 3" xfId="1542"/>
    <cellStyle name="Nota 3 2 4 2 3 2" xfId="5330"/>
    <cellStyle name="Nota 3 2 4 2 3 2 2" xfId="9639"/>
    <cellStyle name="Nota 3 2 4 2 3 2 2 2" xfId="15901"/>
    <cellStyle name="Nota 3 2 4 2 3 2 2 2 2" xfId="29317"/>
    <cellStyle name="Nota 3 2 4 2 3 2 2 3" xfId="20646"/>
    <cellStyle name="Nota 3 2 4 2 3 2 3" xfId="11880"/>
    <cellStyle name="Nota 3 2 4 2 3 2 3 2" xfId="26202"/>
    <cellStyle name="Nota 3 2 4 2 3 2 4" xfId="17525"/>
    <cellStyle name="Nota 3 2 4 2 3 3" xfId="13344"/>
    <cellStyle name="Nota 3 2 4 2 3 3 2" xfId="27666"/>
    <cellStyle name="Nota 3 2 4 2 3 4" xfId="18989"/>
    <cellStyle name="Nota 3 2 4 2 4" xfId="5794"/>
    <cellStyle name="Nota 3 2 4 2 4 2" xfId="12347"/>
    <cellStyle name="Nota 3 2 4 2 4 2 2" xfId="26669"/>
    <cellStyle name="Nota 3 2 4 2 4 3" xfId="17992"/>
    <cellStyle name="Nota 3 2 4 2 5" xfId="3154"/>
    <cellStyle name="Nota 3 2 4 2 5 2" xfId="22422"/>
    <cellStyle name="Nota 3 2 4 2 6" xfId="6265"/>
    <cellStyle name="Nota 3 2 4 3" xfId="1543"/>
    <cellStyle name="Nota 3 2 4 3 2" xfId="1544"/>
    <cellStyle name="Nota 3 2 4 3 2 2" xfId="6912"/>
    <cellStyle name="Nota 3 2 4 3 2 2 2" xfId="13516"/>
    <cellStyle name="Nota 3 2 4 3 2 2 2 2" xfId="27838"/>
    <cellStyle name="Nota 3 2 4 3 2 2 3" xfId="19161"/>
    <cellStyle name="Nota 3 2 4 3 2 3" xfId="7152"/>
    <cellStyle name="Nota 3 2 4 3 2 3 2" xfId="9766"/>
    <cellStyle name="Nota 3 2 4 3 2 3 2 2" xfId="16028"/>
    <cellStyle name="Nota 3 2 4 3 2 3 2 2 2" xfId="29444"/>
    <cellStyle name="Nota 3 2 4 3 2 3 2 3" xfId="20773"/>
    <cellStyle name="Nota 3 2 4 3 2 3 3" xfId="13756"/>
    <cellStyle name="Nota 3 2 4 3 2 3 3 2" xfId="28078"/>
    <cellStyle name="Nota 3 2 4 3 2 3 4" xfId="19401"/>
    <cellStyle name="Nota 3 2 4 3 2 4" xfId="11398"/>
    <cellStyle name="Nota 3 2 4 3 2 4 2" xfId="25720"/>
    <cellStyle name="Nota 3 2 4 3 2 5" xfId="17121"/>
    <cellStyle name="Nota 3 2 4 3 3" xfId="1545"/>
    <cellStyle name="Nota 3 2 4 3 3 2" xfId="3725"/>
    <cellStyle name="Nota 3 2 4 3 3 2 2" xfId="9364"/>
    <cellStyle name="Nota 3 2 4 3 3 2 2 2" xfId="15626"/>
    <cellStyle name="Nota 3 2 4 3 3 2 2 2 2" xfId="29042"/>
    <cellStyle name="Nota 3 2 4 3 3 2 2 3" xfId="20371"/>
    <cellStyle name="Nota 3 2 4 3 3 2 3" xfId="6037"/>
    <cellStyle name="Nota 3 2 4 3 3 2 3 2" xfId="23396"/>
    <cellStyle name="Nota 3 2 4 3 3 2 4" xfId="17312"/>
    <cellStyle name="Nota 3 2 4 3 3 3" xfId="13399"/>
    <cellStyle name="Nota 3 2 4 3 3 3 2" xfId="27721"/>
    <cellStyle name="Nota 3 2 4 3 3 4" xfId="19044"/>
    <cellStyle name="Nota 3 2 4 3 4" xfId="5863"/>
    <cellStyle name="Nota 3 2 4 3 4 2" xfId="12416"/>
    <cellStyle name="Nota 3 2 4 3 4 2 2" xfId="26738"/>
    <cellStyle name="Nota 3 2 4 3 4 3" xfId="18061"/>
    <cellStyle name="Nota 3 2 4 3 5" xfId="4572"/>
    <cellStyle name="Nota 3 2 4 3 5 2" xfId="23039"/>
    <cellStyle name="Nota 3 2 4 3 6" xfId="15439"/>
    <cellStyle name="Nota 3 2 4 4" xfId="1546"/>
    <cellStyle name="Nota 3 2 4 4 2" xfId="6928"/>
    <cellStyle name="Nota 3 2 4 4 2 2" xfId="13532"/>
    <cellStyle name="Nota 3 2 4 4 2 2 2" xfId="27854"/>
    <cellStyle name="Nota 3 2 4 4 2 3" xfId="19177"/>
    <cellStyle name="Nota 3 2 4 4 3" xfId="4921"/>
    <cellStyle name="Nota 3 2 4 4 3 2" xfId="9515"/>
    <cellStyle name="Nota 3 2 4 4 3 2 2" xfId="15777"/>
    <cellStyle name="Nota 3 2 4 4 3 2 2 2" xfId="29193"/>
    <cellStyle name="Nota 3 2 4 4 3 2 3" xfId="20522"/>
    <cellStyle name="Nota 3 2 4 4 3 3" xfId="11458"/>
    <cellStyle name="Nota 3 2 4 4 3 3 2" xfId="25780"/>
    <cellStyle name="Nota 3 2 4 4 3 4" xfId="14791"/>
    <cellStyle name="Nota 3 2 4 4 4" xfId="11421"/>
    <cellStyle name="Nota 3 2 4 4 4 2" xfId="25743"/>
    <cellStyle name="Nota 3 2 4 4 5" xfId="17163"/>
    <cellStyle name="Nota 3 2 4 5" xfId="1547"/>
    <cellStyle name="Nota 3 2 4 5 2" xfId="7066"/>
    <cellStyle name="Nota 3 2 4 5 2 2" xfId="9680"/>
    <cellStyle name="Nota 3 2 4 5 2 2 2" xfId="15942"/>
    <cellStyle name="Nota 3 2 4 5 2 2 2 2" xfId="29358"/>
    <cellStyle name="Nota 3 2 4 5 2 2 3" xfId="20687"/>
    <cellStyle name="Nota 3 2 4 5 2 3" xfId="13670"/>
    <cellStyle name="Nota 3 2 4 5 2 3 2" xfId="27992"/>
    <cellStyle name="Nota 3 2 4 5 2 4" xfId="19315"/>
    <cellStyle name="Nota 3 2 4 5 3" xfId="12920"/>
    <cellStyle name="Nota 3 2 4 5 3 2" xfId="27242"/>
    <cellStyle name="Nota 3 2 4 5 4" xfId="18565"/>
    <cellStyle name="Nota 3 2 4 6" xfId="5544"/>
    <cellStyle name="Nota 3 2 4 6 2" xfId="12095"/>
    <cellStyle name="Nota 3 2 4 6 2 2" xfId="26417"/>
    <cellStyle name="Nota 3 2 4 6 3" xfId="17740"/>
    <cellStyle name="Nota 3 2 4 7" xfId="4930"/>
    <cellStyle name="Nota 3 2 4 7 2" xfId="23267"/>
    <cellStyle name="Nota 3 2 4 8" xfId="15519"/>
    <cellStyle name="Nota 3 2 5" xfId="1548"/>
    <cellStyle name="Nota 3 2 5 2" xfId="1549"/>
    <cellStyle name="Nota 3 2 5 2 2" xfId="1550"/>
    <cellStyle name="Nota 3 2 5 2 2 2" xfId="6090"/>
    <cellStyle name="Nota 3 2 5 2 2 2 2" xfId="12657"/>
    <cellStyle name="Nota 3 2 5 2 2 2 2 2" xfId="26979"/>
    <cellStyle name="Nota 3 2 5 2 2 2 3" xfId="18302"/>
    <cellStyle name="Nota 3 2 5 2 2 3" xfId="7079"/>
    <cellStyle name="Nota 3 2 5 2 2 3 2" xfId="9693"/>
    <cellStyle name="Nota 3 2 5 2 2 3 2 2" xfId="15955"/>
    <cellStyle name="Nota 3 2 5 2 2 3 2 2 2" xfId="29371"/>
    <cellStyle name="Nota 3 2 5 2 2 3 2 3" xfId="20700"/>
    <cellStyle name="Nota 3 2 5 2 2 3 3" xfId="13683"/>
    <cellStyle name="Nota 3 2 5 2 2 3 3 2" xfId="28005"/>
    <cellStyle name="Nota 3 2 5 2 2 3 4" xfId="19328"/>
    <cellStyle name="Nota 3 2 5 2 2 4" xfId="6748"/>
    <cellStyle name="Nota 3 2 5 2 2 4 2" xfId="23696"/>
    <cellStyle name="Nota 3 2 5 2 2 5" xfId="15511"/>
    <cellStyle name="Nota 3 2 5 2 3" xfId="1551"/>
    <cellStyle name="Nota 3 2 5 2 3 2" xfId="7093"/>
    <cellStyle name="Nota 3 2 5 2 3 2 2" xfId="9707"/>
    <cellStyle name="Nota 3 2 5 2 3 2 2 2" xfId="15969"/>
    <cellStyle name="Nota 3 2 5 2 3 2 2 2 2" xfId="29385"/>
    <cellStyle name="Nota 3 2 5 2 3 2 2 3" xfId="20714"/>
    <cellStyle name="Nota 3 2 5 2 3 2 3" xfId="13697"/>
    <cellStyle name="Nota 3 2 5 2 3 2 3 2" xfId="28019"/>
    <cellStyle name="Nota 3 2 5 2 3 2 4" xfId="19342"/>
    <cellStyle name="Nota 3 2 5 2 3 3" xfId="13204"/>
    <cellStyle name="Nota 3 2 5 2 3 3 2" xfId="27526"/>
    <cellStyle name="Nota 3 2 5 2 3 4" xfId="18849"/>
    <cellStyle name="Nota 3 2 5 2 4" xfId="5643"/>
    <cellStyle name="Nota 3 2 5 2 4 2" xfId="12196"/>
    <cellStyle name="Nota 3 2 5 2 4 2 2" xfId="26518"/>
    <cellStyle name="Nota 3 2 5 2 4 3" xfId="17841"/>
    <cellStyle name="Nota 3 2 5 2 5" xfId="3685"/>
    <cellStyle name="Nota 3 2 5 2 5 2" xfId="22527"/>
    <cellStyle name="Nota 3 2 5 2 6" xfId="15371"/>
    <cellStyle name="Nota 3 2 5 3" xfId="1552"/>
    <cellStyle name="Nota 3 2 5 3 2" xfId="1553"/>
    <cellStyle name="Nota 3 2 5 3 2 2" xfId="6447"/>
    <cellStyle name="Nota 3 2 5 3 2 2 2" xfId="13030"/>
    <cellStyle name="Nota 3 2 5 3 2 2 2 2" xfId="27352"/>
    <cellStyle name="Nota 3 2 5 3 2 2 3" xfId="18675"/>
    <cellStyle name="Nota 3 2 5 3 2 3" xfId="7746"/>
    <cellStyle name="Nota 3 2 5 3 2 3 2" xfId="10360"/>
    <cellStyle name="Nota 3 2 5 3 2 3 2 2" xfId="16622"/>
    <cellStyle name="Nota 3 2 5 3 2 3 2 2 2" xfId="30038"/>
    <cellStyle name="Nota 3 2 5 3 2 3 2 3" xfId="21367"/>
    <cellStyle name="Nota 3 2 5 3 2 3 3" xfId="14350"/>
    <cellStyle name="Nota 3 2 5 3 2 3 3 2" xfId="28672"/>
    <cellStyle name="Nota 3 2 5 3 2 3 4" xfId="19995"/>
    <cellStyle name="Nota 3 2 5 3 2 4" xfId="6737"/>
    <cellStyle name="Nota 3 2 5 3 2 4 2" xfId="23688"/>
    <cellStyle name="Nota 3 2 5 3 2 5" xfId="14778"/>
    <cellStyle name="Nota 3 2 5 3 3" xfId="1554"/>
    <cellStyle name="Nota 3 2 5 3 3 2" xfId="7714"/>
    <cellStyle name="Nota 3 2 5 3 3 2 2" xfId="10328"/>
    <cellStyle name="Nota 3 2 5 3 3 2 2 2" xfId="16590"/>
    <cellStyle name="Nota 3 2 5 3 3 2 2 2 2" xfId="30006"/>
    <cellStyle name="Nota 3 2 5 3 3 2 2 3" xfId="21335"/>
    <cellStyle name="Nota 3 2 5 3 3 2 3" xfId="14318"/>
    <cellStyle name="Nota 3 2 5 3 3 2 3 2" xfId="28640"/>
    <cellStyle name="Nota 3 2 5 3 3 2 4" xfId="19963"/>
    <cellStyle name="Nota 3 2 5 3 3 3" xfId="12698"/>
    <cellStyle name="Nota 3 2 5 3 3 3 2" xfId="27020"/>
    <cellStyle name="Nota 3 2 5 3 3 4" xfId="18343"/>
    <cellStyle name="Nota 3 2 5 3 4" xfId="3983"/>
    <cellStyle name="Nota 3 2 5 3 4 2" xfId="3026"/>
    <cellStyle name="Nota 3 2 5 3 4 2 2" xfId="22414"/>
    <cellStyle name="Nota 3 2 5 3 4 3" xfId="17248"/>
    <cellStyle name="Nota 3 2 5 3 5" xfId="6729"/>
    <cellStyle name="Nota 3 2 5 3 5 2" xfId="23682"/>
    <cellStyle name="Nota 3 2 5 3 6" xfId="15019"/>
    <cellStyle name="Nota 3 2 5 4" xfId="1555"/>
    <cellStyle name="Nota 3 2 5 4 2" xfId="5433"/>
    <cellStyle name="Nota 3 2 5 4 2 2" xfId="11984"/>
    <cellStyle name="Nota 3 2 5 4 2 2 2" xfId="26306"/>
    <cellStyle name="Nota 3 2 5 4 2 3" xfId="17629"/>
    <cellStyle name="Nota 3 2 5 4 3" xfId="7546"/>
    <cellStyle name="Nota 3 2 5 4 3 2" xfId="10160"/>
    <cellStyle name="Nota 3 2 5 4 3 2 2" xfId="16422"/>
    <cellStyle name="Nota 3 2 5 4 3 2 2 2" xfId="29838"/>
    <cellStyle name="Nota 3 2 5 4 3 2 3" xfId="21167"/>
    <cellStyle name="Nota 3 2 5 4 3 3" xfId="14150"/>
    <cellStyle name="Nota 3 2 5 4 3 3 2" xfId="28472"/>
    <cellStyle name="Nota 3 2 5 4 3 4" xfId="19795"/>
    <cellStyle name="Nota 3 2 5 4 4" xfId="4725"/>
    <cellStyle name="Nota 3 2 5 4 4 2" xfId="23152"/>
    <cellStyle name="Nota 3 2 5 4 5" xfId="15521"/>
    <cellStyle name="Nota 3 2 5 5" xfId="1556"/>
    <cellStyle name="Nota 3 2 5 5 2" xfId="4023"/>
    <cellStyle name="Nota 3 2 5 5 2 2" xfId="9413"/>
    <cellStyle name="Nota 3 2 5 5 2 2 2" xfId="15675"/>
    <cellStyle name="Nota 3 2 5 5 2 2 2 2" xfId="29091"/>
    <cellStyle name="Nota 3 2 5 5 2 2 3" xfId="20420"/>
    <cellStyle name="Nota 3 2 5 5 2 3" xfId="6264"/>
    <cellStyle name="Nota 3 2 5 5 2 3 2" xfId="23482"/>
    <cellStyle name="Nota 3 2 5 5 2 4" xfId="14997"/>
    <cellStyle name="Nota 3 2 5 5 3" xfId="12509"/>
    <cellStyle name="Nota 3 2 5 5 3 2" xfId="26831"/>
    <cellStyle name="Nota 3 2 5 5 4" xfId="18154"/>
    <cellStyle name="Nota 3 2 5 6" xfId="5219"/>
    <cellStyle name="Nota 3 2 5 6 2" xfId="11768"/>
    <cellStyle name="Nota 3 2 5 6 2 2" xfId="26090"/>
    <cellStyle name="Nota 3 2 5 6 3" xfId="17413"/>
    <cellStyle name="Nota 3 2 5 7" xfId="6161"/>
    <cellStyle name="Nota 3 2 5 7 2" xfId="23436"/>
    <cellStyle name="Nota 3 2 5 8" xfId="15105"/>
    <cellStyle name="Nota 3 2 6" xfId="1557"/>
    <cellStyle name="Nota 3 2 6 2" xfId="1558"/>
    <cellStyle name="Nota 3 2 6 2 2" xfId="1559"/>
    <cellStyle name="Nota 3 2 6 2 2 2" xfId="6980"/>
    <cellStyle name="Nota 3 2 6 2 2 2 2" xfId="13584"/>
    <cellStyle name="Nota 3 2 6 2 2 2 2 2" xfId="27906"/>
    <cellStyle name="Nota 3 2 6 2 2 2 3" xfId="19229"/>
    <cellStyle name="Nota 3 2 6 2 2 3" xfId="7863"/>
    <cellStyle name="Nota 3 2 6 2 2 3 2" xfId="10477"/>
    <cellStyle name="Nota 3 2 6 2 2 3 2 2" xfId="16739"/>
    <cellStyle name="Nota 3 2 6 2 2 3 2 2 2" xfId="30155"/>
    <cellStyle name="Nota 3 2 6 2 2 3 2 3" xfId="21484"/>
    <cellStyle name="Nota 3 2 6 2 2 3 3" xfId="14467"/>
    <cellStyle name="Nota 3 2 6 2 2 3 3 2" xfId="28789"/>
    <cellStyle name="Nota 3 2 6 2 2 3 4" xfId="20112"/>
    <cellStyle name="Nota 3 2 6 2 2 4" xfId="11491"/>
    <cellStyle name="Nota 3 2 6 2 2 4 2" xfId="25813"/>
    <cellStyle name="Nota 3 2 6 2 2 5" xfId="4079"/>
    <cellStyle name="Nota 3 2 6 2 3" xfId="1560"/>
    <cellStyle name="Nota 3 2 6 2 3 2" xfId="7309"/>
    <cellStyle name="Nota 3 2 6 2 3 2 2" xfId="9923"/>
    <cellStyle name="Nota 3 2 6 2 3 2 2 2" xfId="16185"/>
    <cellStyle name="Nota 3 2 6 2 3 2 2 2 2" xfId="29601"/>
    <cellStyle name="Nota 3 2 6 2 3 2 2 3" xfId="20930"/>
    <cellStyle name="Nota 3 2 6 2 3 2 3" xfId="13913"/>
    <cellStyle name="Nota 3 2 6 2 3 2 3 2" xfId="28235"/>
    <cellStyle name="Nota 3 2 6 2 3 2 4" xfId="19558"/>
    <cellStyle name="Nota 3 2 6 2 3 3" xfId="12770"/>
    <cellStyle name="Nota 3 2 6 2 3 3 2" xfId="27092"/>
    <cellStyle name="Nota 3 2 6 2 3 4" xfId="18415"/>
    <cellStyle name="Nota 3 2 6 2 4" xfId="4807"/>
    <cellStyle name="Nota 3 2 6 2 4 2" xfId="11338"/>
    <cellStyle name="Nota 3 2 6 2 4 2 2" xfId="25660"/>
    <cellStyle name="Nota 3 2 6 2 4 3" xfId="3283"/>
    <cellStyle name="Nota 3 2 6 2 5" xfId="3906"/>
    <cellStyle name="Nota 3 2 6 2 5 2" xfId="22638"/>
    <cellStyle name="Nota 3 2 6 2 6" xfId="4447"/>
    <cellStyle name="Nota 3 2 6 3" xfId="1561"/>
    <cellStyle name="Nota 3 2 6 3 2" xfId="6487"/>
    <cellStyle name="Nota 3 2 6 3 2 2" xfId="13070"/>
    <cellStyle name="Nota 3 2 6 3 2 2 2" xfId="27392"/>
    <cellStyle name="Nota 3 2 6 3 2 3" xfId="18715"/>
    <cellStyle name="Nota 3 2 6 3 3" xfId="7959"/>
    <cellStyle name="Nota 3 2 6 3 3 2" xfId="10573"/>
    <cellStyle name="Nota 3 2 6 3 3 2 2" xfId="16835"/>
    <cellStyle name="Nota 3 2 6 3 3 2 2 2" xfId="30251"/>
    <cellStyle name="Nota 3 2 6 3 3 2 3" xfId="21580"/>
    <cellStyle name="Nota 3 2 6 3 3 3" xfId="14563"/>
    <cellStyle name="Nota 3 2 6 3 3 3 2" xfId="28885"/>
    <cellStyle name="Nota 3 2 6 3 3 4" xfId="20208"/>
    <cellStyle name="Nota 3 2 6 3 4" xfId="4630"/>
    <cellStyle name="Nota 3 2 6 3 4 2" xfId="23075"/>
    <cellStyle name="Nota 3 2 6 3 5" xfId="14918"/>
    <cellStyle name="Nota 3 2 6 4" xfId="1562"/>
    <cellStyle name="Nota 3 2 6 4 2" xfId="7818"/>
    <cellStyle name="Nota 3 2 6 4 2 2" xfId="10432"/>
    <cellStyle name="Nota 3 2 6 4 2 2 2" xfId="16694"/>
    <cellStyle name="Nota 3 2 6 4 2 2 2 2" xfId="30110"/>
    <cellStyle name="Nota 3 2 6 4 2 2 3" xfId="21439"/>
    <cellStyle name="Nota 3 2 6 4 2 3" xfId="14422"/>
    <cellStyle name="Nota 3 2 6 4 2 3 2" xfId="28744"/>
    <cellStyle name="Nota 3 2 6 4 2 4" xfId="20067"/>
    <cellStyle name="Nota 3 2 6 4 3" xfId="12944"/>
    <cellStyle name="Nota 3 2 6 4 3 2" xfId="27266"/>
    <cellStyle name="Nota 3 2 6 4 4" xfId="18589"/>
    <cellStyle name="Nota 3 2 6 5" xfId="5599"/>
    <cellStyle name="Nota 3 2 6 5 2" xfId="12151"/>
    <cellStyle name="Nota 3 2 6 5 2 2" xfId="26473"/>
    <cellStyle name="Nota 3 2 6 5 3" xfId="17796"/>
    <cellStyle name="Nota 3 2 6 6" xfId="3896"/>
    <cellStyle name="Nota 3 2 6 6 2" xfId="22632"/>
    <cellStyle name="Nota 3 2 6 7" xfId="17355"/>
    <cellStyle name="Nota 3 2 7" xfId="1563"/>
    <cellStyle name="Nota 3 2 7 2" xfId="1564"/>
    <cellStyle name="Nota 3 2 7 2 2" xfId="5997"/>
    <cellStyle name="Nota 3 2 7 2 2 2" xfId="12555"/>
    <cellStyle name="Nota 3 2 7 2 2 2 2" xfId="26877"/>
    <cellStyle name="Nota 3 2 7 2 2 3" xfId="18200"/>
    <cellStyle name="Nota 3 2 7 2 3" xfId="7993"/>
    <cellStyle name="Nota 3 2 7 2 3 2" xfId="10607"/>
    <cellStyle name="Nota 3 2 7 2 3 2 2" xfId="16869"/>
    <cellStyle name="Nota 3 2 7 2 3 2 2 2" xfId="30285"/>
    <cellStyle name="Nota 3 2 7 2 3 2 3" xfId="21614"/>
    <cellStyle name="Nota 3 2 7 2 3 3" xfId="14597"/>
    <cellStyle name="Nota 3 2 7 2 3 3 2" xfId="28919"/>
    <cellStyle name="Nota 3 2 7 2 3 4" xfId="20242"/>
    <cellStyle name="Nota 3 2 7 2 4" xfId="3772"/>
    <cellStyle name="Nota 3 2 7 2 4 2" xfId="22571"/>
    <cellStyle name="Nota 3 2 7 2 5" xfId="15219"/>
    <cellStyle name="Nota 3 2 7 3" xfId="1565"/>
    <cellStyle name="Nota 3 2 7 3 2" xfId="7265"/>
    <cellStyle name="Nota 3 2 7 3 2 2" xfId="9879"/>
    <cellStyle name="Nota 3 2 7 3 2 2 2" xfId="16141"/>
    <cellStyle name="Nota 3 2 7 3 2 2 2 2" xfId="29557"/>
    <cellStyle name="Nota 3 2 7 3 2 2 3" xfId="20886"/>
    <cellStyle name="Nota 3 2 7 3 2 3" xfId="13869"/>
    <cellStyle name="Nota 3 2 7 3 2 3 2" xfId="28191"/>
    <cellStyle name="Nota 3 2 7 3 2 4" xfId="19514"/>
    <cellStyle name="Nota 3 2 7 3 3" xfId="12793"/>
    <cellStyle name="Nota 3 2 7 3 3 2" xfId="27115"/>
    <cellStyle name="Nota 3 2 7 3 4" xfId="18438"/>
    <cellStyle name="Nota 3 2 7 4" xfId="5139"/>
    <cellStyle name="Nota 3 2 7 4 2" xfId="11688"/>
    <cellStyle name="Nota 3 2 7 4 2 2" xfId="26010"/>
    <cellStyle name="Nota 3 2 7 4 3" xfId="3878"/>
    <cellStyle name="Nota 3 2 7 5" xfId="6687"/>
    <cellStyle name="Nota 3 2 7 5 2" xfId="23655"/>
    <cellStyle name="Nota 3 2 7 6" xfId="14957"/>
    <cellStyle name="Nota 3 2 8" xfId="1566"/>
    <cellStyle name="Nota 3 2 8 2" xfId="6150"/>
    <cellStyle name="Nota 3 2 8 2 2" xfId="12720"/>
    <cellStyle name="Nota 3 2 8 2 2 2" xfId="27042"/>
    <cellStyle name="Nota 3 2 8 2 3" xfId="18365"/>
    <cellStyle name="Nota 3 2 8 3" xfId="7734"/>
    <cellStyle name="Nota 3 2 8 3 2" xfId="10348"/>
    <cellStyle name="Nota 3 2 8 3 2 2" xfId="16610"/>
    <cellStyle name="Nota 3 2 8 3 2 2 2" xfId="30026"/>
    <cellStyle name="Nota 3 2 8 3 2 3" xfId="21355"/>
    <cellStyle name="Nota 3 2 8 3 3" xfId="14338"/>
    <cellStyle name="Nota 3 2 8 3 3 2" xfId="28660"/>
    <cellStyle name="Nota 3 2 8 3 4" xfId="19983"/>
    <cellStyle name="Nota 3 2 8 4" xfId="6257"/>
    <cellStyle name="Nota 3 2 8 4 2" xfId="23477"/>
    <cellStyle name="Nota 3 2 8 5" xfId="14961"/>
    <cellStyle name="Nota 3 2 9" xfId="1567"/>
    <cellStyle name="Nota 3 2 9 2" xfId="7629"/>
    <cellStyle name="Nota 3 2 9 2 2" xfId="10243"/>
    <cellStyle name="Nota 3 2 9 2 2 2" xfId="16505"/>
    <cellStyle name="Nota 3 2 9 2 2 2 2" xfId="29921"/>
    <cellStyle name="Nota 3 2 9 2 2 3" xfId="21250"/>
    <cellStyle name="Nota 3 2 9 2 3" xfId="14233"/>
    <cellStyle name="Nota 3 2 9 2 3 2" xfId="28555"/>
    <cellStyle name="Nota 3 2 9 2 4" xfId="19878"/>
    <cellStyle name="Nota 3 2 9 3" xfId="12725"/>
    <cellStyle name="Nota 3 2 9 3 2" xfId="27047"/>
    <cellStyle name="Nota 3 2 9 4" xfId="18370"/>
    <cellStyle name="Nota 3 3" xfId="1568"/>
    <cellStyle name="Nota 3 3 10" xfId="6617"/>
    <cellStyle name="Nota 3 3 10 2" xfId="23609"/>
    <cellStyle name="Nota 3 3 11" xfId="15137"/>
    <cellStyle name="Nota 3 3 2" xfId="1569"/>
    <cellStyle name="Nota 3 3 2 2" xfId="1570"/>
    <cellStyle name="Nota 3 3 2 2 2" xfId="1571"/>
    <cellStyle name="Nota 3 3 2 2 2 2" xfId="5570"/>
    <cellStyle name="Nota 3 3 2 2 2 2 2" xfId="12121"/>
    <cellStyle name="Nota 3 3 2 2 2 2 2 2" xfId="26443"/>
    <cellStyle name="Nota 3 3 2 2 2 2 3" xfId="17766"/>
    <cellStyle name="Nota 3 3 2 2 2 3" xfId="5331"/>
    <cellStyle name="Nota 3 3 2 2 2 3 2" xfId="9640"/>
    <cellStyle name="Nota 3 3 2 2 2 3 2 2" xfId="15902"/>
    <cellStyle name="Nota 3 3 2 2 2 3 2 2 2" xfId="29318"/>
    <cellStyle name="Nota 3 3 2 2 2 3 2 3" xfId="20647"/>
    <cellStyle name="Nota 3 3 2 2 2 3 3" xfId="11881"/>
    <cellStyle name="Nota 3 3 2 2 2 3 3 2" xfId="26203"/>
    <cellStyle name="Nota 3 3 2 2 2 3 4" xfId="17526"/>
    <cellStyle name="Nota 3 3 2 2 2 4" xfId="4657"/>
    <cellStyle name="Nota 3 3 2 2 2 4 2" xfId="23098"/>
    <cellStyle name="Nota 3 3 2 2 2 5" xfId="3932"/>
    <cellStyle name="Nota 3 3 2 2 3" xfId="1572"/>
    <cellStyle name="Nota 3 3 2 2 3 2" xfId="7979"/>
    <cellStyle name="Nota 3 3 2 2 3 2 2" xfId="10593"/>
    <cellStyle name="Nota 3 3 2 2 3 2 2 2" xfId="16855"/>
    <cellStyle name="Nota 3 3 2 2 3 2 2 2 2" xfId="30271"/>
    <cellStyle name="Nota 3 3 2 2 3 2 2 3" xfId="21600"/>
    <cellStyle name="Nota 3 3 2 2 3 2 3" xfId="14583"/>
    <cellStyle name="Nota 3 3 2 2 3 2 3 2" xfId="28905"/>
    <cellStyle name="Nota 3 3 2 2 3 2 4" xfId="20228"/>
    <cellStyle name="Nota 3 3 2 2 3 3" xfId="13299"/>
    <cellStyle name="Nota 3 3 2 2 3 3 2" xfId="27621"/>
    <cellStyle name="Nota 3 3 2 2 3 4" xfId="18944"/>
    <cellStyle name="Nota 3 3 2 2 4" xfId="5749"/>
    <cellStyle name="Nota 3 3 2 2 4 2" xfId="12302"/>
    <cellStyle name="Nota 3 3 2 2 4 2 2" xfId="26624"/>
    <cellStyle name="Nota 3 3 2 2 4 3" xfId="17947"/>
    <cellStyle name="Nota 3 3 2 2 5" xfId="3889"/>
    <cellStyle name="Nota 3 3 2 2 5 2" xfId="22629"/>
    <cellStyle name="Nota 3 3 2 2 6" xfId="17350"/>
    <cellStyle name="Nota 3 3 2 3" xfId="1573"/>
    <cellStyle name="Nota 3 3 2 3 2" xfId="1574"/>
    <cellStyle name="Nota 3 3 2 3 2 2" xfId="5045"/>
    <cellStyle name="Nota 3 3 2 3 2 2 2" xfId="11592"/>
    <cellStyle name="Nota 3 3 2 3 2 2 2 2" xfId="25914"/>
    <cellStyle name="Nota 3 3 2 3 2 2 3" xfId="17292"/>
    <cellStyle name="Nota 3 3 2 3 2 3" xfId="7802"/>
    <cellStyle name="Nota 3 3 2 3 2 3 2" xfId="10416"/>
    <cellStyle name="Nota 3 3 2 3 2 3 2 2" xfId="16678"/>
    <cellStyle name="Nota 3 3 2 3 2 3 2 2 2" xfId="30094"/>
    <cellStyle name="Nota 3 3 2 3 2 3 2 3" xfId="21423"/>
    <cellStyle name="Nota 3 3 2 3 2 3 3" xfId="14406"/>
    <cellStyle name="Nota 3 3 2 3 2 3 3 2" xfId="28728"/>
    <cellStyle name="Nota 3 3 2 3 2 3 4" xfId="20051"/>
    <cellStyle name="Nota 3 3 2 3 2 4" xfId="3883"/>
    <cellStyle name="Nota 3 3 2 3 2 4 2" xfId="22626"/>
    <cellStyle name="Nota 3 3 2 3 2 5" xfId="14681"/>
    <cellStyle name="Nota 3 3 2 3 3" xfId="1575"/>
    <cellStyle name="Nota 3 3 2 3 3 2" xfId="3840"/>
    <cellStyle name="Nota 3 3 2 3 3 2 2" xfId="9385"/>
    <cellStyle name="Nota 3 3 2 3 3 2 2 2" xfId="15647"/>
    <cellStyle name="Nota 3 3 2 3 3 2 2 2 2" xfId="29063"/>
    <cellStyle name="Nota 3 3 2 3 3 2 2 3" xfId="20392"/>
    <cellStyle name="Nota 3 3 2 3 3 2 3" xfId="3912"/>
    <cellStyle name="Nota 3 3 2 3 3 2 3 2" xfId="22642"/>
    <cellStyle name="Nota 3 3 2 3 3 2 4" xfId="17222"/>
    <cellStyle name="Nota 3 3 2 3 3 3" xfId="13426"/>
    <cellStyle name="Nota 3 3 2 3 3 3 2" xfId="27748"/>
    <cellStyle name="Nota 3 3 2 3 3 4" xfId="19071"/>
    <cellStyle name="Nota 3 3 2 3 4" xfId="5900"/>
    <cellStyle name="Nota 3 3 2 3 4 2" xfId="12454"/>
    <cellStyle name="Nota 3 3 2 3 4 2 2" xfId="26776"/>
    <cellStyle name="Nota 3 3 2 3 4 3" xfId="18099"/>
    <cellStyle name="Nota 3 3 2 3 5" xfId="2824"/>
    <cellStyle name="Nota 3 3 2 3 5 2" xfId="22387"/>
    <cellStyle name="Nota 3 3 2 3 6" xfId="14863"/>
    <cellStyle name="Nota 3 3 2 4" xfId="1576"/>
    <cellStyle name="Nota 3 3 2 4 2" xfId="6957"/>
    <cellStyle name="Nota 3 3 2 4 2 2" xfId="13561"/>
    <cellStyle name="Nota 3 3 2 4 2 2 2" xfId="27883"/>
    <cellStyle name="Nota 3 3 2 4 2 3" xfId="19206"/>
    <cellStyle name="Nota 3 3 2 4 3" xfId="7048"/>
    <cellStyle name="Nota 3 3 2 4 3 2" xfId="9662"/>
    <cellStyle name="Nota 3 3 2 4 3 2 2" xfId="15924"/>
    <cellStyle name="Nota 3 3 2 4 3 2 2 2" xfId="29340"/>
    <cellStyle name="Nota 3 3 2 4 3 2 3" xfId="20669"/>
    <cellStyle name="Nota 3 3 2 4 3 3" xfId="13652"/>
    <cellStyle name="Nota 3 3 2 4 3 3 2" xfId="27974"/>
    <cellStyle name="Nota 3 3 2 4 3 4" xfId="19297"/>
    <cellStyle name="Nota 3 3 2 4 4" xfId="11457"/>
    <cellStyle name="Nota 3 3 2 4 4 2" xfId="25779"/>
    <cellStyle name="Nota 3 3 2 4 5" xfId="17061"/>
    <cellStyle name="Nota 3 3 2 5" xfId="1577"/>
    <cellStyle name="Nota 3 3 2 5 2" xfId="7096"/>
    <cellStyle name="Nota 3 3 2 5 2 2" xfId="9710"/>
    <cellStyle name="Nota 3 3 2 5 2 2 2" xfId="15972"/>
    <cellStyle name="Nota 3 3 2 5 2 2 2 2" xfId="29388"/>
    <cellStyle name="Nota 3 3 2 5 2 2 3" xfId="20717"/>
    <cellStyle name="Nota 3 3 2 5 2 3" xfId="13700"/>
    <cellStyle name="Nota 3 3 2 5 2 3 2" xfId="28022"/>
    <cellStyle name="Nota 3 3 2 5 2 4" xfId="19345"/>
    <cellStyle name="Nota 3 3 2 5 3" xfId="12875"/>
    <cellStyle name="Nota 3 3 2 5 3 2" xfId="27197"/>
    <cellStyle name="Nota 3 3 2 5 4" xfId="18520"/>
    <cellStyle name="Nota 3 3 2 6" xfId="5493"/>
    <cellStyle name="Nota 3 3 2 6 2" xfId="12044"/>
    <cellStyle name="Nota 3 3 2 6 2 2" xfId="26366"/>
    <cellStyle name="Nota 3 3 2 6 3" xfId="17689"/>
    <cellStyle name="Nota 3 3 2 7" xfId="6175"/>
    <cellStyle name="Nota 3 3 2 7 2" xfId="23443"/>
    <cellStyle name="Nota 3 3 2 8" xfId="15250"/>
    <cellStyle name="Nota 3 3 3" xfId="1578"/>
    <cellStyle name="Nota 3 3 3 2" xfId="1579"/>
    <cellStyle name="Nota 3 3 3 2 2" xfId="1580"/>
    <cellStyle name="Nota 3 3 3 2 2 2" xfId="6444"/>
    <cellStyle name="Nota 3 3 3 2 2 2 2" xfId="13027"/>
    <cellStyle name="Nota 3 3 3 2 2 2 2 2" xfId="27349"/>
    <cellStyle name="Nota 3 3 3 2 2 2 3" xfId="18672"/>
    <cellStyle name="Nota 3 3 3 2 2 3" xfId="7718"/>
    <cellStyle name="Nota 3 3 3 2 2 3 2" xfId="10332"/>
    <cellStyle name="Nota 3 3 3 2 2 3 2 2" xfId="16594"/>
    <cellStyle name="Nota 3 3 3 2 2 3 2 2 2" xfId="30010"/>
    <cellStyle name="Nota 3 3 3 2 2 3 2 3" xfId="21339"/>
    <cellStyle name="Nota 3 3 3 2 2 3 3" xfId="14322"/>
    <cellStyle name="Nota 3 3 3 2 2 3 3 2" xfId="28644"/>
    <cellStyle name="Nota 3 3 3 2 2 3 4" xfId="19967"/>
    <cellStyle name="Nota 3 3 3 2 2 4" xfId="4443"/>
    <cellStyle name="Nota 3 3 3 2 2 4 2" xfId="22955"/>
    <cellStyle name="Nota 3 3 3 2 2 5" xfId="4076"/>
    <cellStyle name="Nota 3 3 3 2 3" xfId="1581"/>
    <cellStyle name="Nota 3 3 3 2 3 2" xfId="8037"/>
    <cellStyle name="Nota 3 3 3 2 3 2 2" xfId="10651"/>
    <cellStyle name="Nota 3 3 3 2 3 2 2 2" xfId="16913"/>
    <cellStyle name="Nota 3 3 3 2 3 2 2 2 2" xfId="30329"/>
    <cellStyle name="Nota 3 3 3 2 3 2 2 3" xfId="21658"/>
    <cellStyle name="Nota 3 3 3 2 3 2 3" xfId="14641"/>
    <cellStyle name="Nota 3 3 3 2 3 2 3 2" xfId="28963"/>
    <cellStyle name="Nota 3 3 3 2 3 2 4" xfId="20286"/>
    <cellStyle name="Nota 3 3 3 2 3 3" xfId="13335"/>
    <cellStyle name="Nota 3 3 3 2 3 3 2" xfId="27657"/>
    <cellStyle name="Nota 3 3 3 2 3 4" xfId="18980"/>
    <cellStyle name="Nota 3 3 3 2 4" xfId="5785"/>
    <cellStyle name="Nota 3 3 3 2 4 2" xfId="12338"/>
    <cellStyle name="Nota 3 3 3 2 4 2 2" xfId="26660"/>
    <cellStyle name="Nota 3 3 3 2 4 3" xfId="17983"/>
    <cellStyle name="Nota 3 3 3 2 5" xfId="5142"/>
    <cellStyle name="Nota 3 3 3 2 5 2" xfId="23330"/>
    <cellStyle name="Nota 3 3 3 2 6" xfId="14678"/>
    <cellStyle name="Nota 3 3 3 3" xfId="1582"/>
    <cellStyle name="Nota 3 3 3 3 2" xfId="1583"/>
    <cellStyle name="Nota 3 3 3 3 2 2" xfId="6479"/>
    <cellStyle name="Nota 3 3 3 3 2 2 2" xfId="13062"/>
    <cellStyle name="Nota 3 3 3 3 2 2 2 2" xfId="27384"/>
    <cellStyle name="Nota 3 3 3 3 2 2 3" xfId="18707"/>
    <cellStyle name="Nota 3 3 3 3 2 3" xfId="7825"/>
    <cellStyle name="Nota 3 3 3 3 2 3 2" xfId="10439"/>
    <cellStyle name="Nota 3 3 3 3 2 3 2 2" xfId="16701"/>
    <cellStyle name="Nota 3 3 3 3 2 3 2 2 2" xfId="30117"/>
    <cellStyle name="Nota 3 3 3 3 2 3 2 3" xfId="21446"/>
    <cellStyle name="Nota 3 3 3 3 2 3 3" xfId="14429"/>
    <cellStyle name="Nota 3 3 3 3 2 3 3 2" xfId="28751"/>
    <cellStyle name="Nota 3 3 3 3 2 3 4" xfId="20074"/>
    <cellStyle name="Nota 3 3 3 3 2 4" xfId="4524"/>
    <cellStyle name="Nota 3 3 3 3 2 4 2" xfId="23007"/>
    <cellStyle name="Nota 3 3 3 3 2 5" xfId="15038"/>
    <cellStyle name="Nota 3 3 3 3 3" xfId="1584"/>
    <cellStyle name="Nota 3 3 3 3 3 2" xfId="3589"/>
    <cellStyle name="Nota 3 3 3 3 3 2 2" xfId="9339"/>
    <cellStyle name="Nota 3 3 3 3 3 2 2 2" xfId="15601"/>
    <cellStyle name="Nota 3 3 3 3 3 2 2 2 2" xfId="29017"/>
    <cellStyle name="Nota 3 3 3 3 3 2 2 3" xfId="20346"/>
    <cellStyle name="Nota 3 3 3 3 3 2 3" xfId="4136"/>
    <cellStyle name="Nota 3 3 3 3 3 2 3 2" xfId="22775"/>
    <cellStyle name="Nota 3 3 3 3 3 2 4" xfId="4614"/>
    <cellStyle name="Nota 3 3 3 3 3 3" xfId="13067"/>
    <cellStyle name="Nota 3 3 3 3 3 3 2" xfId="27389"/>
    <cellStyle name="Nota 3 3 3 3 3 4" xfId="18712"/>
    <cellStyle name="Nota 3 3 3 3 4" xfId="5406"/>
    <cellStyle name="Nota 3 3 3 3 4 2" xfId="11956"/>
    <cellStyle name="Nota 3 3 3 3 4 2 2" xfId="26278"/>
    <cellStyle name="Nota 3 3 3 3 4 3" xfId="17601"/>
    <cellStyle name="Nota 3 3 3 3 5" xfId="6589"/>
    <cellStyle name="Nota 3 3 3 3 5 2" xfId="23592"/>
    <cellStyle name="Nota 3 3 3 3 6" xfId="17268"/>
    <cellStyle name="Nota 3 3 3 4" xfId="1585"/>
    <cellStyle name="Nota 3 3 3 4 2" xfId="5114"/>
    <cellStyle name="Nota 3 3 3 4 2 2" xfId="11662"/>
    <cellStyle name="Nota 3 3 3 4 2 2 2" xfId="25984"/>
    <cellStyle name="Nota 3 3 3 4 2 3" xfId="14677"/>
    <cellStyle name="Nota 3 3 3 4 3" xfId="7354"/>
    <cellStyle name="Nota 3 3 3 4 3 2" xfId="9968"/>
    <cellStyle name="Nota 3 3 3 4 3 2 2" xfId="16230"/>
    <cellStyle name="Nota 3 3 3 4 3 2 2 2" xfId="29646"/>
    <cellStyle name="Nota 3 3 3 4 3 2 3" xfId="20975"/>
    <cellStyle name="Nota 3 3 3 4 3 3" xfId="13958"/>
    <cellStyle name="Nota 3 3 3 4 3 3 2" xfId="28280"/>
    <cellStyle name="Nota 3 3 3 4 3 4" xfId="19603"/>
    <cellStyle name="Nota 3 3 3 4 4" xfId="4581"/>
    <cellStyle name="Nota 3 3 3 4 4 2" xfId="23047"/>
    <cellStyle name="Nota 3 3 3 4 5" xfId="15438"/>
    <cellStyle name="Nota 3 3 3 5" xfId="1586"/>
    <cellStyle name="Nota 3 3 3 5 2" xfId="7300"/>
    <cellStyle name="Nota 3 3 3 5 2 2" xfId="9914"/>
    <cellStyle name="Nota 3 3 3 5 2 2 2" xfId="16176"/>
    <cellStyle name="Nota 3 3 3 5 2 2 2 2" xfId="29592"/>
    <cellStyle name="Nota 3 3 3 5 2 2 3" xfId="20921"/>
    <cellStyle name="Nota 3 3 3 5 2 3" xfId="13904"/>
    <cellStyle name="Nota 3 3 3 5 2 3 2" xfId="28226"/>
    <cellStyle name="Nota 3 3 3 5 2 4" xfId="19549"/>
    <cellStyle name="Nota 3 3 3 5 3" xfId="12911"/>
    <cellStyle name="Nota 3 3 3 5 3 2" xfId="27233"/>
    <cellStyle name="Nota 3 3 3 5 4" xfId="18556"/>
    <cellStyle name="Nota 3 3 3 6" xfId="5535"/>
    <cellStyle name="Nota 3 3 3 6 2" xfId="12086"/>
    <cellStyle name="Nota 3 3 3 6 2 2" xfId="26408"/>
    <cellStyle name="Nota 3 3 3 6 3" xfId="17731"/>
    <cellStyle name="Nota 3 3 3 7" xfId="4637"/>
    <cellStyle name="Nota 3 3 3 7 2" xfId="23081"/>
    <cellStyle name="Nota 3 3 3 8" xfId="3735"/>
    <cellStyle name="Nota 3 3 4" xfId="1587"/>
    <cellStyle name="Nota 3 3 4 2" xfId="1588"/>
    <cellStyle name="Nota 3 3 4 2 2" xfId="1589"/>
    <cellStyle name="Nota 3 3 4 2 2 2" xfId="6222"/>
    <cellStyle name="Nota 3 3 4 2 2 2 2" xfId="12797"/>
    <cellStyle name="Nota 3 3 4 2 2 2 2 2" xfId="27119"/>
    <cellStyle name="Nota 3 3 4 2 2 2 3" xfId="18442"/>
    <cellStyle name="Nota 3 3 4 2 2 3" xfId="4993"/>
    <cellStyle name="Nota 3 3 4 2 2 3 2" xfId="9534"/>
    <cellStyle name="Nota 3 3 4 2 2 3 2 2" xfId="15796"/>
    <cellStyle name="Nota 3 3 4 2 2 3 2 2 2" xfId="29212"/>
    <cellStyle name="Nota 3 3 4 2 2 3 2 3" xfId="20541"/>
    <cellStyle name="Nota 3 3 4 2 2 3 3" xfId="11536"/>
    <cellStyle name="Nota 3 3 4 2 2 3 3 2" xfId="25858"/>
    <cellStyle name="Nota 3 3 4 2 2 3 4" xfId="15237"/>
    <cellStyle name="Nota 3 3 4 2 2 4" xfId="4061"/>
    <cellStyle name="Nota 3 3 4 2 2 4 2" xfId="22735"/>
    <cellStyle name="Nota 3 3 4 2 2 5" xfId="15072"/>
    <cellStyle name="Nota 3 3 4 2 3" xfId="1590"/>
    <cellStyle name="Nota 3 3 4 2 3 2" xfId="7477"/>
    <cellStyle name="Nota 3 3 4 2 3 2 2" xfId="10091"/>
    <cellStyle name="Nota 3 3 4 2 3 2 2 2" xfId="16353"/>
    <cellStyle name="Nota 3 3 4 2 3 2 2 2 2" xfId="29769"/>
    <cellStyle name="Nota 3 3 4 2 3 2 2 3" xfId="21098"/>
    <cellStyle name="Nota 3 3 4 2 3 2 3" xfId="14081"/>
    <cellStyle name="Nota 3 3 4 2 3 2 3 2" xfId="28403"/>
    <cellStyle name="Nota 3 3 4 2 3 2 4" xfId="19726"/>
    <cellStyle name="Nota 3 3 4 2 3 3" xfId="13198"/>
    <cellStyle name="Nota 3 3 4 2 3 3 2" xfId="27520"/>
    <cellStyle name="Nota 3 3 4 2 3 4" xfId="18843"/>
    <cellStyle name="Nota 3 3 4 2 4" xfId="5635"/>
    <cellStyle name="Nota 3 3 4 2 4 2" xfId="12188"/>
    <cellStyle name="Nota 3 3 4 2 4 2 2" xfId="26510"/>
    <cellStyle name="Nota 3 3 4 2 4 3" xfId="17833"/>
    <cellStyle name="Nota 3 3 4 2 5" xfId="6655"/>
    <cellStyle name="Nota 3 3 4 2 5 2" xfId="23632"/>
    <cellStyle name="Nota 3 3 4 2 6" xfId="16979"/>
    <cellStyle name="Nota 3 3 4 3" xfId="1591"/>
    <cellStyle name="Nota 3 3 4 3 2" xfId="1592"/>
    <cellStyle name="Nota 3 3 4 3 2 2" xfId="6556"/>
    <cellStyle name="Nota 3 3 4 3 2 2 2" xfId="13144"/>
    <cellStyle name="Nota 3 3 4 3 2 2 2 2" xfId="27466"/>
    <cellStyle name="Nota 3 3 4 3 2 2 3" xfId="18789"/>
    <cellStyle name="Nota 3 3 4 3 2 3" xfId="4462"/>
    <cellStyle name="Nota 3 3 4 3 2 3 2" xfId="9469"/>
    <cellStyle name="Nota 3 3 4 3 2 3 2 2" xfId="15731"/>
    <cellStyle name="Nota 3 3 4 3 2 3 2 2 2" xfId="29147"/>
    <cellStyle name="Nota 3 3 4 3 2 3 2 3" xfId="20476"/>
    <cellStyle name="Nota 3 3 4 3 2 3 3" xfId="3978"/>
    <cellStyle name="Nota 3 3 4 3 2 3 3 2" xfId="22682"/>
    <cellStyle name="Nota 3 3 4 3 2 3 4" xfId="17143"/>
    <cellStyle name="Nota 3 3 4 3 2 4" xfId="6578"/>
    <cellStyle name="Nota 3 3 4 3 2 4 2" xfId="23587"/>
    <cellStyle name="Nota 3 3 4 3 2 5" xfId="4107"/>
    <cellStyle name="Nota 3 3 4 3 3" xfId="1593"/>
    <cellStyle name="Nota 3 3 4 3 3 2" xfId="4397"/>
    <cellStyle name="Nota 3 3 4 3 3 2 2" xfId="9460"/>
    <cellStyle name="Nota 3 3 4 3 3 2 2 2" xfId="15722"/>
    <cellStyle name="Nota 3 3 4 3 3 2 2 2 2" xfId="29138"/>
    <cellStyle name="Nota 3 3 4 3 3 2 2 3" xfId="20467"/>
    <cellStyle name="Nota 3 3 4 3 3 2 3" xfId="4432"/>
    <cellStyle name="Nota 3 3 4 3 3 2 3 2" xfId="22948"/>
    <cellStyle name="Nota 3 3 4 3 3 2 4" xfId="15469"/>
    <cellStyle name="Nota 3 3 4 3 3 3" xfId="12489"/>
    <cellStyle name="Nota 3 3 4 3 3 3 2" xfId="26811"/>
    <cellStyle name="Nota 3 3 4 3 3 4" xfId="18134"/>
    <cellStyle name="Nota 3 3 4 3 4" xfId="5198"/>
    <cellStyle name="Nota 3 3 4 3 4 2" xfId="11747"/>
    <cellStyle name="Nota 3 3 4 3 4 2 2" xfId="26069"/>
    <cellStyle name="Nota 3 3 4 3 4 3" xfId="4146"/>
    <cellStyle name="Nota 3 3 4 3 5" xfId="3974"/>
    <cellStyle name="Nota 3 3 4 3 5 2" xfId="22679"/>
    <cellStyle name="Nota 3 3 4 3 6" xfId="4319"/>
    <cellStyle name="Nota 3 3 4 4" xfId="1594"/>
    <cellStyle name="Nota 3 3 4 4 2" xfId="6102"/>
    <cellStyle name="Nota 3 3 4 4 2 2" xfId="12669"/>
    <cellStyle name="Nota 3 3 4 4 2 2 2" xfId="26991"/>
    <cellStyle name="Nota 3 3 4 4 2 3" xfId="18314"/>
    <cellStyle name="Nota 3 3 4 4 3" xfId="7977"/>
    <cellStyle name="Nota 3 3 4 4 3 2" xfId="10591"/>
    <cellStyle name="Nota 3 3 4 4 3 2 2" xfId="16853"/>
    <cellStyle name="Nota 3 3 4 4 3 2 2 2" xfId="30269"/>
    <cellStyle name="Nota 3 3 4 4 3 2 3" xfId="21598"/>
    <cellStyle name="Nota 3 3 4 4 3 3" xfId="14581"/>
    <cellStyle name="Nota 3 3 4 4 3 3 2" xfId="28903"/>
    <cellStyle name="Nota 3 3 4 4 3 4" xfId="20226"/>
    <cellStyle name="Nota 3 3 4 4 4" xfId="5907"/>
    <cellStyle name="Nota 3 3 4 4 4 2" xfId="23370"/>
    <cellStyle name="Nota 3 3 4 4 5" xfId="15593"/>
    <cellStyle name="Nota 3 3 4 5" xfId="1595"/>
    <cellStyle name="Nota 3 3 4 5 2" xfId="3184"/>
    <cellStyle name="Nota 3 3 4 5 2 2" xfId="9005"/>
    <cellStyle name="Nota 3 3 4 5 2 2 2" xfId="15353"/>
    <cellStyle name="Nota 3 3 4 5 2 2 2 2" xfId="29003"/>
    <cellStyle name="Nota 3 3 4 5 2 2 3" xfId="20330"/>
    <cellStyle name="Nota 3 3 4 5 2 3" xfId="4594"/>
    <cellStyle name="Nota 3 3 4 5 2 3 2" xfId="23056"/>
    <cellStyle name="Nota 3 3 4 5 2 4" xfId="17386"/>
    <cellStyle name="Nota 3 3 4 5 3" xfId="12478"/>
    <cellStyle name="Nota 3 3 4 5 3 2" xfId="26800"/>
    <cellStyle name="Nota 3 3 4 5 4" xfId="18123"/>
    <cellStyle name="Nota 3 3 4 6" xfId="3819"/>
    <cellStyle name="Nota 3 3 4 6 2" xfId="5221"/>
    <cellStyle name="Nota 3 3 4 6 2 2" xfId="23337"/>
    <cellStyle name="Nota 3 3 4 6 3" xfId="14769"/>
    <cellStyle name="Nota 3 3 4 7" xfId="4663"/>
    <cellStyle name="Nota 3 3 4 7 2" xfId="23103"/>
    <cellStyle name="Nota 3 3 4 8" xfId="15240"/>
    <cellStyle name="Nota 3 3 5" xfId="1596"/>
    <cellStyle name="Nota 3 3 5 2" xfId="1597"/>
    <cellStyle name="Nota 3 3 5 2 2" xfId="1598"/>
    <cellStyle name="Nota 3 3 5 2 2 2" xfId="5591"/>
    <cellStyle name="Nota 3 3 5 2 2 2 2" xfId="12143"/>
    <cellStyle name="Nota 3 3 5 2 2 2 2 2" xfId="26465"/>
    <cellStyle name="Nota 3 3 5 2 2 2 3" xfId="17788"/>
    <cellStyle name="Nota 3 3 5 2 2 3" xfId="7819"/>
    <cellStyle name="Nota 3 3 5 2 2 3 2" xfId="10433"/>
    <cellStyle name="Nota 3 3 5 2 2 3 2 2" xfId="16695"/>
    <cellStyle name="Nota 3 3 5 2 2 3 2 2 2" xfId="30111"/>
    <cellStyle name="Nota 3 3 5 2 2 3 2 3" xfId="21440"/>
    <cellStyle name="Nota 3 3 5 2 2 3 3" xfId="14423"/>
    <cellStyle name="Nota 3 3 5 2 2 3 3 2" xfId="28745"/>
    <cellStyle name="Nota 3 3 5 2 2 3 4" xfId="20068"/>
    <cellStyle name="Nota 3 3 5 2 2 4" xfId="6708"/>
    <cellStyle name="Nota 3 3 5 2 2 4 2" xfId="23664"/>
    <cellStyle name="Nota 3 3 5 2 2 5" xfId="17196"/>
    <cellStyle name="Nota 3 3 5 2 3" xfId="1599"/>
    <cellStyle name="Nota 3 3 5 2 3 2" xfId="4008"/>
    <cellStyle name="Nota 3 3 5 2 3 2 2" xfId="9411"/>
    <cellStyle name="Nota 3 3 5 2 3 2 2 2" xfId="15673"/>
    <cellStyle name="Nota 3 3 5 2 3 2 2 2 2" xfId="29089"/>
    <cellStyle name="Nota 3 3 5 2 3 2 2 3" xfId="20418"/>
    <cellStyle name="Nota 3 3 5 2 3 2 3" xfId="6684"/>
    <cellStyle name="Nota 3 3 5 2 3 2 3 2" xfId="23652"/>
    <cellStyle name="Nota 3 3 5 2 3 2 4" xfId="15549"/>
    <cellStyle name="Nota 3 3 5 2 3 3" xfId="13326"/>
    <cellStyle name="Nota 3 3 5 2 3 3 2" xfId="27648"/>
    <cellStyle name="Nota 3 3 5 2 3 4" xfId="18971"/>
    <cellStyle name="Nota 3 3 5 2 4" xfId="5776"/>
    <cellStyle name="Nota 3 3 5 2 4 2" xfId="12329"/>
    <cellStyle name="Nota 3 3 5 2 4 2 2" xfId="26651"/>
    <cellStyle name="Nota 3 3 5 2 4 3" xfId="17974"/>
    <cellStyle name="Nota 3 3 5 2 5" xfId="5991"/>
    <cellStyle name="Nota 3 3 5 2 5 2" xfId="23391"/>
    <cellStyle name="Nota 3 3 5 2 6" xfId="3756"/>
    <cellStyle name="Nota 3 3 5 3" xfId="1600"/>
    <cellStyle name="Nota 3 3 5 3 2" xfId="6537"/>
    <cellStyle name="Nota 3 3 5 3 2 2" xfId="13125"/>
    <cellStyle name="Nota 3 3 5 3 2 2 2" xfId="27447"/>
    <cellStyle name="Nota 3 3 5 3 2 3" xfId="18770"/>
    <cellStyle name="Nota 3 3 5 3 3" xfId="7909"/>
    <cellStyle name="Nota 3 3 5 3 3 2" xfId="10523"/>
    <cellStyle name="Nota 3 3 5 3 3 2 2" xfId="16785"/>
    <cellStyle name="Nota 3 3 5 3 3 2 2 2" xfId="30201"/>
    <cellStyle name="Nota 3 3 5 3 3 2 3" xfId="21530"/>
    <cellStyle name="Nota 3 3 5 3 3 3" xfId="14513"/>
    <cellStyle name="Nota 3 3 5 3 3 3 2" xfId="28835"/>
    <cellStyle name="Nota 3 3 5 3 3 4" xfId="20158"/>
    <cellStyle name="Nota 3 3 5 3 4" xfId="3190"/>
    <cellStyle name="Nota 3 3 5 3 4 2" xfId="22433"/>
    <cellStyle name="Nota 3 3 5 3 5" xfId="15548"/>
    <cellStyle name="Nota 3 3 5 4" xfId="1601"/>
    <cellStyle name="Nota 3 3 5 4 2" xfId="7318"/>
    <cellStyle name="Nota 3 3 5 4 2 2" xfId="9932"/>
    <cellStyle name="Nota 3 3 5 4 2 2 2" xfId="16194"/>
    <cellStyle name="Nota 3 3 5 4 2 2 2 2" xfId="29610"/>
    <cellStyle name="Nota 3 3 5 4 2 2 3" xfId="20939"/>
    <cellStyle name="Nota 3 3 5 4 2 3" xfId="13922"/>
    <cellStyle name="Nota 3 3 5 4 2 3 2" xfId="28244"/>
    <cellStyle name="Nota 3 3 5 4 2 4" xfId="19567"/>
    <cellStyle name="Nota 3 3 5 4 3" xfId="12827"/>
    <cellStyle name="Nota 3 3 5 4 3 2" xfId="27149"/>
    <cellStyle name="Nota 3 3 5 4 4" xfId="18472"/>
    <cellStyle name="Nota 3 3 5 5" xfId="5380"/>
    <cellStyle name="Nota 3 3 5 5 2" xfId="11930"/>
    <cellStyle name="Nota 3 3 5 5 2 2" xfId="26252"/>
    <cellStyle name="Nota 3 3 5 5 3" xfId="17575"/>
    <cellStyle name="Nota 3 3 5 6" xfId="2847"/>
    <cellStyle name="Nota 3 3 5 6 2" xfId="22405"/>
    <cellStyle name="Nota 3 3 5 7" xfId="15270"/>
    <cellStyle name="Nota 3 3 6" xfId="1602"/>
    <cellStyle name="Nota 3 3 6 2" xfId="1603"/>
    <cellStyle name="Nota 3 3 6 2 2" xfId="6439"/>
    <cellStyle name="Nota 3 3 6 2 2 2" xfId="13022"/>
    <cellStyle name="Nota 3 3 6 2 2 2 2" xfId="27344"/>
    <cellStyle name="Nota 3 3 6 2 2 3" xfId="18667"/>
    <cellStyle name="Nota 3 3 6 2 3" xfId="7743"/>
    <cellStyle name="Nota 3 3 6 2 3 2" xfId="10357"/>
    <cellStyle name="Nota 3 3 6 2 3 2 2" xfId="16619"/>
    <cellStyle name="Nota 3 3 6 2 3 2 2 2" xfId="30035"/>
    <cellStyle name="Nota 3 3 6 2 3 2 3" xfId="21364"/>
    <cellStyle name="Nota 3 3 6 2 3 3" xfId="14347"/>
    <cellStyle name="Nota 3 3 6 2 3 3 2" xfId="28669"/>
    <cellStyle name="Nota 3 3 6 2 3 4" xfId="19992"/>
    <cellStyle name="Nota 3 3 6 2 4" xfId="4793"/>
    <cellStyle name="Nota 3 3 6 2 4 2" xfId="23192"/>
    <cellStyle name="Nota 3 3 6 2 5" xfId="15058"/>
    <cellStyle name="Nota 3 3 6 3" xfId="1604"/>
    <cellStyle name="Nota 3 3 6 3 2" xfId="7098"/>
    <cellStyle name="Nota 3 3 6 3 2 2" xfId="9712"/>
    <cellStyle name="Nota 3 3 6 3 2 2 2" xfId="15974"/>
    <cellStyle name="Nota 3 3 6 3 2 2 2 2" xfId="29390"/>
    <cellStyle name="Nota 3 3 6 3 2 2 3" xfId="20719"/>
    <cellStyle name="Nota 3 3 6 3 2 3" xfId="13702"/>
    <cellStyle name="Nota 3 3 6 3 2 3 2" xfId="28024"/>
    <cellStyle name="Nota 3 3 6 3 2 4" xfId="19347"/>
    <cellStyle name="Nota 3 3 6 3 3" xfId="13100"/>
    <cellStyle name="Nota 3 3 6 3 3 2" xfId="27422"/>
    <cellStyle name="Nota 3 3 6 3 4" xfId="18745"/>
    <cellStyle name="Nota 3 3 6 4" xfId="5461"/>
    <cellStyle name="Nota 3 3 6 4 2" xfId="12012"/>
    <cellStyle name="Nota 3 3 6 4 2 2" xfId="26334"/>
    <cellStyle name="Nota 3 3 6 4 3" xfId="17657"/>
    <cellStyle name="Nota 3 3 6 5" xfId="4738"/>
    <cellStyle name="Nota 3 3 6 5 2" xfId="23161"/>
    <cellStyle name="Nota 3 3 6 6" xfId="4137"/>
    <cellStyle name="Nota 3 3 7" xfId="1605"/>
    <cellStyle name="Nota 3 3 7 2" xfId="6931"/>
    <cellStyle name="Nota 3 3 7 2 2" xfId="13535"/>
    <cellStyle name="Nota 3 3 7 2 2 2" xfId="27857"/>
    <cellStyle name="Nota 3 3 7 2 3" xfId="19180"/>
    <cellStyle name="Nota 3 3 7 3" xfId="3755"/>
    <cellStyle name="Nota 3 3 7 3 2" xfId="9369"/>
    <cellStyle name="Nota 3 3 7 3 2 2" xfId="15631"/>
    <cellStyle name="Nota 3 3 7 3 2 2 2" xfId="29047"/>
    <cellStyle name="Nota 3 3 7 3 2 3" xfId="20376"/>
    <cellStyle name="Nota 3 3 7 3 3" xfId="4267"/>
    <cellStyle name="Nota 3 3 7 3 3 2" xfId="22860"/>
    <cellStyle name="Nota 3 3 7 3 4" xfId="16996"/>
    <cellStyle name="Nota 3 3 7 4" xfId="11424"/>
    <cellStyle name="Nota 3 3 7 4 2" xfId="25746"/>
    <cellStyle name="Nota 3 3 7 5" xfId="17364"/>
    <cellStyle name="Nota 3 3 8" xfId="1606"/>
    <cellStyle name="Nota 3 3 8 2" xfId="7430"/>
    <cellStyle name="Nota 3 3 8 2 2" xfId="10044"/>
    <cellStyle name="Nota 3 3 8 2 2 2" xfId="16306"/>
    <cellStyle name="Nota 3 3 8 2 2 2 2" xfId="29722"/>
    <cellStyle name="Nota 3 3 8 2 2 3" xfId="21051"/>
    <cellStyle name="Nota 3 3 8 2 3" xfId="14034"/>
    <cellStyle name="Nota 3 3 8 2 3 2" xfId="28356"/>
    <cellStyle name="Nota 3 3 8 2 4" xfId="19679"/>
    <cellStyle name="Nota 3 3 8 3" xfId="4427"/>
    <cellStyle name="Nota 3 3 8 3 2" xfId="22945"/>
    <cellStyle name="Nota 3 3 8 4" xfId="4521"/>
    <cellStyle name="Nota 3 3 9" xfId="3824"/>
    <cellStyle name="Nota 3 3 9 2" xfId="4676"/>
    <cellStyle name="Nota 3 3 9 2 2" xfId="23115"/>
    <cellStyle name="Nota 3 3 9 3" xfId="15299"/>
    <cellStyle name="Nota 3 4" xfId="1607"/>
    <cellStyle name="Nota 3 4 2" xfId="1608"/>
    <cellStyle name="Nota 3 4 2 2" xfId="1609"/>
    <cellStyle name="Nota 3 4 2 2 2" xfId="6203"/>
    <cellStyle name="Nota 3 4 2 2 2 2" xfId="12776"/>
    <cellStyle name="Nota 3 4 2 2 2 2 2" xfId="27098"/>
    <cellStyle name="Nota 3 4 2 2 2 3" xfId="18421"/>
    <cellStyle name="Nota 3 4 2 2 3" xfId="7968"/>
    <cellStyle name="Nota 3 4 2 2 3 2" xfId="10582"/>
    <cellStyle name="Nota 3 4 2 2 3 2 2" xfId="16844"/>
    <cellStyle name="Nota 3 4 2 2 3 2 2 2" xfId="30260"/>
    <cellStyle name="Nota 3 4 2 2 3 2 3" xfId="21589"/>
    <cellStyle name="Nota 3 4 2 2 3 3" xfId="14572"/>
    <cellStyle name="Nota 3 4 2 2 3 3 2" xfId="28894"/>
    <cellStyle name="Nota 3 4 2 2 3 4" xfId="20217"/>
    <cellStyle name="Nota 3 4 2 2 4" xfId="6815"/>
    <cellStyle name="Nota 3 4 2 2 4 2" xfId="23751"/>
    <cellStyle name="Nota 3 4 2 2 5" xfId="17209"/>
    <cellStyle name="Nota 3 4 2 3" xfId="1610"/>
    <cellStyle name="Nota 3 4 2 3 2" xfId="7824"/>
    <cellStyle name="Nota 3 4 2 3 2 2" xfId="10438"/>
    <cellStyle name="Nota 3 4 2 3 2 2 2" xfId="16700"/>
    <cellStyle name="Nota 3 4 2 3 2 2 2 2" xfId="30116"/>
    <cellStyle name="Nota 3 4 2 3 2 2 3" xfId="21445"/>
    <cellStyle name="Nota 3 4 2 3 2 3" xfId="14428"/>
    <cellStyle name="Nota 3 4 2 3 2 3 2" xfId="28750"/>
    <cellStyle name="Nota 3 4 2 3 2 4" xfId="20073"/>
    <cellStyle name="Nota 3 4 2 3 3" xfId="13281"/>
    <cellStyle name="Nota 3 4 2 3 3 2" xfId="27603"/>
    <cellStyle name="Nota 3 4 2 3 4" xfId="18926"/>
    <cellStyle name="Nota 3 4 2 4" xfId="5731"/>
    <cellStyle name="Nota 3 4 2 4 2" xfId="12284"/>
    <cellStyle name="Nota 3 4 2 4 2 2" xfId="26606"/>
    <cellStyle name="Nota 3 4 2 4 3" xfId="17929"/>
    <cellStyle name="Nota 3 4 2 5" xfId="4737"/>
    <cellStyle name="Nota 3 4 2 5 2" xfId="23160"/>
    <cellStyle name="Nota 3 4 2 6" xfId="4777"/>
    <cellStyle name="Nota 3 4 3" xfId="1611"/>
    <cellStyle name="Nota 3 4 3 2" xfId="1612"/>
    <cellStyle name="Nota 3 4 3 2 2" xfId="6381"/>
    <cellStyle name="Nota 3 4 3 2 2 2" xfId="12964"/>
    <cellStyle name="Nota 3 4 3 2 2 2 2" xfId="27286"/>
    <cellStyle name="Nota 3 4 3 2 2 3" xfId="18609"/>
    <cellStyle name="Nota 3 4 3 2 3" xfId="7902"/>
    <cellStyle name="Nota 3 4 3 2 3 2" xfId="10516"/>
    <cellStyle name="Nota 3 4 3 2 3 2 2" xfId="16778"/>
    <cellStyle name="Nota 3 4 3 2 3 2 2 2" xfId="30194"/>
    <cellStyle name="Nota 3 4 3 2 3 2 3" xfId="21523"/>
    <cellStyle name="Nota 3 4 3 2 3 3" xfId="14506"/>
    <cellStyle name="Nota 3 4 3 2 3 3 2" xfId="28828"/>
    <cellStyle name="Nota 3 4 3 2 3 4" xfId="20151"/>
    <cellStyle name="Nota 3 4 3 2 4" xfId="4874"/>
    <cellStyle name="Nota 3 4 3 2 4 2" xfId="23237"/>
    <cellStyle name="Nota 3 4 3 2 5" xfId="3769"/>
    <cellStyle name="Nota 3 4 3 3" xfId="1613"/>
    <cellStyle name="Nota 3 4 3 3 2" xfId="7654"/>
    <cellStyle name="Nota 3 4 3 3 2 2" xfId="10268"/>
    <cellStyle name="Nota 3 4 3 3 2 2 2" xfId="16530"/>
    <cellStyle name="Nota 3 4 3 3 2 2 2 2" xfId="29946"/>
    <cellStyle name="Nota 3 4 3 3 2 2 3" xfId="21275"/>
    <cellStyle name="Nota 3 4 3 3 2 3" xfId="14258"/>
    <cellStyle name="Nota 3 4 3 3 2 3 2" xfId="28580"/>
    <cellStyle name="Nota 3 4 3 3 2 4" xfId="19903"/>
    <cellStyle name="Nota 3 4 3 3 3" xfId="13422"/>
    <cellStyle name="Nota 3 4 3 3 3 2" xfId="27744"/>
    <cellStyle name="Nota 3 4 3 3 4" xfId="19067"/>
    <cellStyle name="Nota 3 4 3 4" xfId="5895"/>
    <cellStyle name="Nota 3 4 3 4 2" xfId="12448"/>
    <cellStyle name="Nota 3 4 3 4 2 2" xfId="26770"/>
    <cellStyle name="Nota 3 4 3 4 3" xfId="18093"/>
    <cellStyle name="Nota 3 4 3 5" xfId="3017"/>
    <cellStyle name="Nota 3 4 3 5 2" xfId="22408"/>
    <cellStyle name="Nota 3 4 3 6" xfId="14952"/>
    <cellStyle name="Nota 3 4 4" xfId="1614"/>
    <cellStyle name="Nota 3 4 4 2" xfId="6559"/>
    <cellStyle name="Nota 3 4 4 2 2" xfId="13147"/>
    <cellStyle name="Nota 3 4 4 2 2 2" xfId="27469"/>
    <cellStyle name="Nota 3 4 4 2 3" xfId="18792"/>
    <cellStyle name="Nota 3 4 4 3" xfId="7063"/>
    <cellStyle name="Nota 3 4 4 3 2" xfId="9677"/>
    <cellStyle name="Nota 3 4 4 3 2 2" xfId="15939"/>
    <cellStyle name="Nota 3 4 4 3 2 2 2" xfId="29355"/>
    <cellStyle name="Nota 3 4 4 3 2 3" xfId="20684"/>
    <cellStyle name="Nota 3 4 4 3 3" xfId="13667"/>
    <cellStyle name="Nota 3 4 4 3 3 2" xfId="27989"/>
    <cellStyle name="Nota 3 4 4 3 4" xfId="19312"/>
    <cellStyle name="Nota 3 4 4 4" xfId="3820"/>
    <cellStyle name="Nota 3 4 4 4 2" xfId="22598"/>
    <cellStyle name="Nota 3 4 4 5" xfId="15588"/>
    <cellStyle name="Nota 3 4 5" xfId="1615"/>
    <cellStyle name="Nota 3 4 5 2" xfId="7831"/>
    <cellStyle name="Nota 3 4 5 2 2" xfId="10445"/>
    <cellStyle name="Nota 3 4 5 2 2 2" xfId="16707"/>
    <cellStyle name="Nota 3 4 5 2 2 2 2" xfId="30123"/>
    <cellStyle name="Nota 3 4 5 2 2 3" xfId="21452"/>
    <cellStyle name="Nota 3 4 5 2 3" xfId="14435"/>
    <cellStyle name="Nota 3 4 5 2 3 2" xfId="28757"/>
    <cellStyle name="Nota 3 4 5 2 4" xfId="20080"/>
    <cellStyle name="Nota 3 4 5 3" xfId="12848"/>
    <cellStyle name="Nota 3 4 5 3 2" xfId="27170"/>
    <cellStyle name="Nota 3 4 5 4" xfId="18493"/>
    <cellStyle name="Nota 3 4 6" xfId="5435"/>
    <cellStyle name="Nota 3 4 6 2" xfId="11986"/>
    <cellStyle name="Nota 3 4 6 2 2" xfId="26308"/>
    <cellStyle name="Nota 3 4 6 3" xfId="17631"/>
    <cellStyle name="Nota 3 4 7" xfId="3975"/>
    <cellStyle name="Nota 3 4 7 2" xfId="22680"/>
    <cellStyle name="Nota 3 4 8" xfId="15313"/>
    <cellStyle name="Nota 3 5" xfId="1616"/>
    <cellStyle name="Nota 3 5 2" xfId="1617"/>
    <cellStyle name="Nota 3 5 2 2" xfId="1618"/>
    <cellStyle name="Nota 3 5 2 2 2" xfId="6826"/>
    <cellStyle name="Nota 3 5 2 2 2 2" xfId="13430"/>
    <cellStyle name="Nota 3 5 2 2 2 2 2" xfId="27752"/>
    <cellStyle name="Nota 3 5 2 2 2 3" xfId="19075"/>
    <cellStyle name="Nota 3 5 2 2 3" xfId="5322"/>
    <cellStyle name="Nota 3 5 2 2 3 2" xfId="9631"/>
    <cellStyle name="Nota 3 5 2 2 3 2 2" xfId="15893"/>
    <cellStyle name="Nota 3 5 2 2 3 2 2 2" xfId="29309"/>
    <cellStyle name="Nota 3 5 2 2 3 2 3" xfId="20638"/>
    <cellStyle name="Nota 3 5 2 2 3 3" xfId="11872"/>
    <cellStyle name="Nota 3 5 2 2 3 3 2" xfId="26194"/>
    <cellStyle name="Nota 3 5 2 2 3 4" xfId="17517"/>
    <cellStyle name="Nota 3 5 2 2 4" xfId="2782"/>
    <cellStyle name="Nota 3 5 2 2 4 2" xfId="22351"/>
    <cellStyle name="Nota 3 5 2 2 5" xfId="6188"/>
    <cellStyle name="Nota 3 5 2 3" xfId="1619"/>
    <cellStyle name="Nota 3 5 2 3 2" xfId="7522"/>
    <cellStyle name="Nota 3 5 2 3 2 2" xfId="10136"/>
    <cellStyle name="Nota 3 5 2 3 2 2 2" xfId="16398"/>
    <cellStyle name="Nota 3 5 2 3 2 2 2 2" xfId="29814"/>
    <cellStyle name="Nota 3 5 2 3 2 2 3" xfId="21143"/>
    <cellStyle name="Nota 3 5 2 3 2 3" xfId="14126"/>
    <cellStyle name="Nota 3 5 2 3 2 3 2" xfId="28448"/>
    <cellStyle name="Nota 3 5 2 3 2 4" xfId="19771"/>
    <cellStyle name="Nota 3 5 2 3 3" xfId="13258"/>
    <cellStyle name="Nota 3 5 2 3 3 2" xfId="27580"/>
    <cellStyle name="Nota 3 5 2 3 4" xfId="18903"/>
    <cellStyle name="Nota 3 5 2 4" xfId="5703"/>
    <cellStyle name="Nota 3 5 2 4 2" xfId="12256"/>
    <cellStyle name="Nota 3 5 2 4 2 2" xfId="26578"/>
    <cellStyle name="Nota 3 5 2 4 3" xfId="17901"/>
    <cellStyle name="Nota 3 5 2 5" xfId="4922"/>
    <cellStyle name="Nota 3 5 2 5 2" xfId="23264"/>
    <cellStyle name="Nota 3 5 2 6" xfId="4700"/>
    <cellStyle name="Nota 3 5 3" xfId="1620"/>
    <cellStyle name="Nota 3 5 3 2" xfId="1621"/>
    <cellStyle name="Nota 3 5 3 2 2" xfId="6021"/>
    <cellStyle name="Nota 3 5 3 2 2 2" xfId="12581"/>
    <cellStyle name="Nota 3 5 3 2 2 2 2" xfId="26903"/>
    <cellStyle name="Nota 3 5 3 2 2 3" xfId="18226"/>
    <cellStyle name="Nota 3 5 3 2 3" xfId="7841"/>
    <cellStyle name="Nota 3 5 3 2 3 2" xfId="10455"/>
    <cellStyle name="Nota 3 5 3 2 3 2 2" xfId="16717"/>
    <cellStyle name="Nota 3 5 3 2 3 2 2 2" xfId="30133"/>
    <cellStyle name="Nota 3 5 3 2 3 2 3" xfId="21462"/>
    <cellStyle name="Nota 3 5 3 2 3 3" xfId="14445"/>
    <cellStyle name="Nota 3 5 3 2 3 3 2" xfId="28767"/>
    <cellStyle name="Nota 3 5 3 2 3 4" xfId="20090"/>
    <cellStyle name="Nota 3 5 3 2 4" xfId="6148"/>
    <cellStyle name="Nota 3 5 3 2 4 2" xfId="23429"/>
    <cellStyle name="Nota 3 5 3 2 5" xfId="17134"/>
    <cellStyle name="Nota 3 5 3 3" xfId="1622"/>
    <cellStyle name="Nota 3 5 3 3 2" xfId="7074"/>
    <cellStyle name="Nota 3 5 3 3 2 2" xfId="9688"/>
    <cellStyle name="Nota 3 5 3 3 2 2 2" xfId="15950"/>
    <cellStyle name="Nota 3 5 3 3 2 2 2 2" xfId="29366"/>
    <cellStyle name="Nota 3 5 3 3 2 2 3" xfId="20695"/>
    <cellStyle name="Nota 3 5 3 3 2 3" xfId="13678"/>
    <cellStyle name="Nota 3 5 3 3 2 3 2" xfId="28000"/>
    <cellStyle name="Nota 3 5 3 3 2 4" xfId="19323"/>
    <cellStyle name="Nota 3 5 3 3 3" xfId="13379"/>
    <cellStyle name="Nota 3 5 3 3 3 2" xfId="27701"/>
    <cellStyle name="Nota 3 5 3 3 4" xfId="19024"/>
    <cellStyle name="Nota 3 5 3 4" xfId="5835"/>
    <cellStyle name="Nota 3 5 3 4 2" xfId="12388"/>
    <cellStyle name="Nota 3 5 3 4 2 2" xfId="26710"/>
    <cellStyle name="Nota 3 5 3 4 3" xfId="18033"/>
    <cellStyle name="Nota 3 5 3 5" xfId="4621"/>
    <cellStyle name="Nota 3 5 3 5 2" xfId="23070"/>
    <cellStyle name="Nota 3 5 3 6" xfId="4551"/>
    <cellStyle name="Nota 3 5 4" xfId="1623"/>
    <cellStyle name="Nota 3 5 4 2" xfId="6878"/>
    <cellStyle name="Nota 3 5 4 2 2" xfId="13482"/>
    <cellStyle name="Nota 3 5 4 2 2 2" xfId="27804"/>
    <cellStyle name="Nota 3 5 4 2 3" xfId="19127"/>
    <cellStyle name="Nota 3 5 4 3" xfId="7562"/>
    <cellStyle name="Nota 3 5 4 3 2" xfId="10176"/>
    <cellStyle name="Nota 3 5 4 3 2 2" xfId="16438"/>
    <cellStyle name="Nota 3 5 4 3 2 2 2" xfId="29854"/>
    <cellStyle name="Nota 3 5 4 3 2 3" xfId="21183"/>
    <cellStyle name="Nota 3 5 4 3 3" xfId="14166"/>
    <cellStyle name="Nota 3 5 4 3 3 2" xfId="28488"/>
    <cellStyle name="Nota 3 5 4 3 4" xfId="19811"/>
    <cellStyle name="Nota 3 5 4 4" xfId="11347"/>
    <cellStyle name="Nota 3 5 4 4 2" xfId="25669"/>
    <cellStyle name="Nota 3 5 4 5" xfId="3967"/>
    <cellStyle name="Nota 3 5 5" xfId="1624"/>
    <cellStyle name="Nota 3 5 5 2" xfId="7955"/>
    <cellStyle name="Nota 3 5 5 2 2" xfId="10569"/>
    <cellStyle name="Nota 3 5 5 2 2 2" xfId="16831"/>
    <cellStyle name="Nota 3 5 5 2 2 2 2" xfId="30247"/>
    <cellStyle name="Nota 3 5 5 2 2 3" xfId="21576"/>
    <cellStyle name="Nota 3 5 5 2 3" xfId="14559"/>
    <cellStyle name="Nota 3 5 5 2 3 2" xfId="28881"/>
    <cellStyle name="Nota 3 5 5 2 4" xfId="20204"/>
    <cellStyle name="Nota 3 5 5 3" xfId="12766"/>
    <cellStyle name="Nota 3 5 5 3 2" xfId="27088"/>
    <cellStyle name="Nota 3 5 5 4" xfId="18411"/>
    <cellStyle name="Nota 3 5 6" xfId="4113"/>
    <cellStyle name="Nota 3 5 6 2" xfId="6753"/>
    <cellStyle name="Nota 3 5 6 2 2" xfId="23701"/>
    <cellStyle name="Nota 3 5 6 3" xfId="17381"/>
    <cellStyle name="Nota 3 5 7" xfId="4872"/>
    <cellStyle name="Nota 3 5 7 2" xfId="23235"/>
    <cellStyle name="Nota 3 5 8" xfId="15486"/>
    <cellStyle name="Nota 3 6" xfId="1625"/>
    <cellStyle name="Nota 3 6 2" xfId="1626"/>
    <cellStyle name="Nota 3 6 2 2" xfId="1627"/>
    <cellStyle name="Nota 3 6 2 2 2" xfId="6112"/>
    <cellStyle name="Nota 3 6 2 2 2 2" xfId="12680"/>
    <cellStyle name="Nota 3 6 2 2 2 2 2" xfId="27002"/>
    <cellStyle name="Nota 3 6 2 2 2 3" xfId="18325"/>
    <cellStyle name="Nota 3 6 2 2 3" xfId="7926"/>
    <cellStyle name="Nota 3 6 2 2 3 2" xfId="10540"/>
    <cellStyle name="Nota 3 6 2 2 3 2 2" xfId="16802"/>
    <cellStyle name="Nota 3 6 2 2 3 2 2 2" xfId="30218"/>
    <cellStyle name="Nota 3 6 2 2 3 2 3" xfId="21547"/>
    <cellStyle name="Nota 3 6 2 2 3 3" xfId="14530"/>
    <cellStyle name="Nota 3 6 2 2 3 3 2" xfId="28852"/>
    <cellStyle name="Nota 3 6 2 2 3 4" xfId="20175"/>
    <cellStyle name="Nota 3 6 2 2 4" xfId="5028"/>
    <cellStyle name="Nota 3 6 2 2 4 2" xfId="23313"/>
    <cellStyle name="Nota 3 6 2 2 5" xfId="17003"/>
    <cellStyle name="Nota 3 6 2 3" xfId="1628"/>
    <cellStyle name="Nota 3 6 2 3 2" xfId="7922"/>
    <cellStyle name="Nota 3 6 2 3 2 2" xfId="10536"/>
    <cellStyle name="Nota 3 6 2 3 2 2 2" xfId="16798"/>
    <cellStyle name="Nota 3 6 2 3 2 2 2 2" xfId="30214"/>
    <cellStyle name="Nota 3 6 2 3 2 2 3" xfId="21543"/>
    <cellStyle name="Nota 3 6 2 3 2 3" xfId="14526"/>
    <cellStyle name="Nota 3 6 2 3 2 3 2" xfId="28848"/>
    <cellStyle name="Nota 3 6 2 3 2 4" xfId="20171"/>
    <cellStyle name="Nota 3 6 2 3 3" xfId="13244"/>
    <cellStyle name="Nota 3 6 2 3 3 2" xfId="27566"/>
    <cellStyle name="Nota 3 6 2 3 4" xfId="18889"/>
    <cellStyle name="Nota 3 6 2 4" xfId="5685"/>
    <cellStyle name="Nota 3 6 2 4 2" xfId="12238"/>
    <cellStyle name="Nota 3 6 2 4 2 2" xfId="26560"/>
    <cellStyle name="Nota 3 6 2 4 3" xfId="17883"/>
    <cellStyle name="Nota 3 6 2 5" xfId="4825"/>
    <cellStyle name="Nota 3 6 2 5 2" xfId="23206"/>
    <cellStyle name="Nota 3 6 2 6" xfId="15411"/>
    <cellStyle name="Nota 3 6 3" xfId="1629"/>
    <cellStyle name="Nota 3 6 3 2" xfId="1630"/>
    <cellStyle name="Nota 3 6 3 2 2" xfId="6374"/>
    <cellStyle name="Nota 3 6 3 2 2 2" xfId="12957"/>
    <cellStyle name="Nota 3 6 3 2 2 2 2" xfId="27279"/>
    <cellStyle name="Nota 3 6 3 2 2 3" xfId="18602"/>
    <cellStyle name="Nota 3 6 3 2 3" xfId="7155"/>
    <cellStyle name="Nota 3 6 3 2 3 2" xfId="9769"/>
    <cellStyle name="Nota 3 6 3 2 3 2 2" xfId="16031"/>
    <cellStyle name="Nota 3 6 3 2 3 2 2 2" xfId="29447"/>
    <cellStyle name="Nota 3 6 3 2 3 2 3" xfId="20776"/>
    <cellStyle name="Nota 3 6 3 2 3 3" xfId="13759"/>
    <cellStyle name="Nota 3 6 3 2 3 3 2" xfId="28081"/>
    <cellStyle name="Nota 3 6 3 2 3 4" xfId="19404"/>
    <cellStyle name="Nota 3 6 3 2 4" xfId="4833"/>
    <cellStyle name="Nota 3 6 3 2 4 2" xfId="23211"/>
    <cellStyle name="Nota 3 6 3 2 5" xfId="17337"/>
    <cellStyle name="Nota 3 6 3 3" xfId="1631"/>
    <cellStyle name="Nota 3 6 3 3 2" xfId="7966"/>
    <cellStyle name="Nota 3 6 3 3 2 2" xfId="10580"/>
    <cellStyle name="Nota 3 6 3 3 2 2 2" xfId="16842"/>
    <cellStyle name="Nota 3 6 3 3 2 2 2 2" xfId="30258"/>
    <cellStyle name="Nota 3 6 3 3 2 2 3" xfId="21587"/>
    <cellStyle name="Nota 3 6 3 3 2 3" xfId="14570"/>
    <cellStyle name="Nota 3 6 3 3 2 3 2" xfId="28892"/>
    <cellStyle name="Nota 3 6 3 3 2 4" xfId="20215"/>
    <cellStyle name="Nota 3 6 3 3 3" xfId="13388"/>
    <cellStyle name="Nota 3 6 3 3 3 2" xfId="27710"/>
    <cellStyle name="Nota 3 6 3 3 4" xfId="19033"/>
    <cellStyle name="Nota 3 6 3 4" xfId="5849"/>
    <cellStyle name="Nota 3 6 3 4 2" xfId="12402"/>
    <cellStyle name="Nota 3 6 3 4 2 2" xfId="26724"/>
    <cellStyle name="Nota 3 6 3 4 3" xfId="18047"/>
    <cellStyle name="Nota 3 6 3 5" xfId="5585"/>
    <cellStyle name="Nota 3 6 3 5 2" xfId="23355"/>
    <cellStyle name="Nota 3 6 3 6" xfId="15217"/>
    <cellStyle name="Nota 3 6 4" xfId="1632"/>
    <cellStyle name="Nota 3 6 4 2" xfId="6583"/>
    <cellStyle name="Nota 3 6 4 2 2" xfId="13172"/>
    <cellStyle name="Nota 3 6 4 2 2 2" xfId="27494"/>
    <cellStyle name="Nota 3 6 4 2 3" xfId="18817"/>
    <cellStyle name="Nota 3 6 4 3" xfId="3813"/>
    <cellStyle name="Nota 3 6 4 3 2" xfId="9379"/>
    <cellStyle name="Nota 3 6 4 3 2 2" xfId="15641"/>
    <cellStyle name="Nota 3 6 4 3 2 2 2" xfId="29057"/>
    <cellStyle name="Nota 3 6 4 3 2 3" xfId="20386"/>
    <cellStyle name="Nota 3 6 4 3 3" xfId="4324"/>
    <cellStyle name="Nota 3 6 4 3 3 2" xfId="22888"/>
    <cellStyle name="Nota 3 6 4 3 4" xfId="14810"/>
    <cellStyle name="Nota 3 6 4 4" xfId="6755"/>
    <cellStyle name="Nota 3 6 4 4 2" xfId="23703"/>
    <cellStyle name="Nota 3 6 4 5" xfId="14812"/>
    <cellStyle name="Nota 3 6 5" xfId="1633"/>
    <cellStyle name="Nota 3 6 5 2" xfId="7801"/>
    <cellStyle name="Nota 3 6 5 2 2" xfId="10415"/>
    <cellStyle name="Nota 3 6 5 2 2 2" xfId="16677"/>
    <cellStyle name="Nota 3 6 5 2 2 2 2" xfId="30093"/>
    <cellStyle name="Nota 3 6 5 2 2 3" xfId="21422"/>
    <cellStyle name="Nota 3 6 5 2 3" xfId="14405"/>
    <cellStyle name="Nota 3 6 5 2 3 2" xfId="28727"/>
    <cellStyle name="Nota 3 6 5 2 4" xfId="20050"/>
    <cellStyle name="Nota 3 6 5 3" xfId="12716"/>
    <cellStyle name="Nota 3 6 5 3 2" xfId="27038"/>
    <cellStyle name="Nota 3 6 5 4" xfId="18361"/>
    <cellStyle name="Nota 3 6 6" xfId="5115"/>
    <cellStyle name="Nota 3 6 6 2" xfId="11663"/>
    <cellStyle name="Nota 3 6 6 2 2" xfId="25985"/>
    <cellStyle name="Nota 3 6 6 3" xfId="15395"/>
    <cellStyle name="Nota 3 6 7" xfId="6765"/>
    <cellStyle name="Nota 3 6 7 2" xfId="23711"/>
    <cellStyle name="Nota 3 6 8" xfId="14755"/>
    <cellStyle name="Nota 3 7" xfId="1634"/>
    <cellStyle name="Nota 3 7 2" xfId="1635"/>
    <cellStyle name="Nota 3 7 2 2" xfId="1636"/>
    <cellStyle name="Nota 3 7 2 2 2" xfId="6212"/>
    <cellStyle name="Nota 3 7 2 2 2 2" xfId="12785"/>
    <cellStyle name="Nota 3 7 2 2 2 2 2" xfId="27107"/>
    <cellStyle name="Nota 3 7 2 2 2 3" xfId="18430"/>
    <cellStyle name="Nota 3 7 2 2 3" xfId="4774"/>
    <cellStyle name="Nota 3 7 2 2 3 2" xfId="9482"/>
    <cellStyle name="Nota 3 7 2 2 3 2 2" xfId="15744"/>
    <cellStyle name="Nota 3 7 2 2 3 2 2 2" xfId="29160"/>
    <cellStyle name="Nota 3 7 2 2 3 2 3" xfId="20489"/>
    <cellStyle name="Nota 3 7 2 2 3 3" xfId="2810"/>
    <cellStyle name="Nota 3 7 2 2 3 3 2" xfId="22373"/>
    <cellStyle name="Nota 3 7 2 2 3 4" xfId="15406"/>
    <cellStyle name="Nota 3 7 2 2 4" xfId="6078"/>
    <cellStyle name="Nota 3 7 2 2 4 2" xfId="23409"/>
    <cellStyle name="Nota 3 7 2 2 5" xfId="3834"/>
    <cellStyle name="Nota 3 7 2 3" xfId="1637"/>
    <cellStyle name="Nota 3 7 2 3 2" xfId="8013"/>
    <cellStyle name="Nota 3 7 2 3 2 2" xfId="10627"/>
    <cellStyle name="Nota 3 7 2 3 2 2 2" xfId="16889"/>
    <cellStyle name="Nota 3 7 2 3 2 2 2 2" xfId="30305"/>
    <cellStyle name="Nota 3 7 2 3 2 2 3" xfId="21634"/>
    <cellStyle name="Nota 3 7 2 3 2 3" xfId="14617"/>
    <cellStyle name="Nota 3 7 2 3 2 3 2" xfId="28939"/>
    <cellStyle name="Nota 3 7 2 3 2 4" xfId="20262"/>
    <cellStyle name="Nota 3 7 2 3 3" xfId="13414"/>
    <cellStyle name="Nota 3 7 2 3 3 2" xfId="27736"/>
    <cellStyle name="Nota 3 7 2 3 4" xfId="19059"/>
    <cellStyle name="Nota 3 7 2 4" xfId="5882"/>
    <cellStyle name="Nota 3 7 2 4 2" xfId="12435"/>
    <cellStyle name="Nota 3 7 2 4 2 2" xfId="26757"/>
    <cellStyle name="Nota 3 7 2 4 3" xfId="18080"/>
    <cellStyle name="Nota 3 7 2 5" xfId="4582"/>
    <cellStyle name="Nota 3 7 2 5 2" xfId="23048"/>
    <cellStyle name="Nota 3 7 2 6" xfId="16975"/>
    <cellStyle name="Nota 3 7 3" xfId="1638"/>
    <cellStyle name="Nota 3 7 3 2" xfId="5202"/>
    <cellStyle name="Nota 3 7 3 2 2" xfId="11751"/>
    <cellStyle name="Nota 3 7 3 2 2 2" xfId="26073"/>
    <cellStyle name="Nota 3 7 3 2 3" xfId="4088"/>
    <cellStyle name="Nota 3 7 3 3" xfId="7319"/>
    <cellStyle name="Nota 3 7 3 3 2" xfId="9933"/>
    <cellStyle name="Nota 3 7 3 3 2 2" xfId="16195"/>
    <cellStyle name="Nota 3 7 3 3 2 2 2" xfId="29611"/>
    <cellStyle name="Nota 3 7 3 3 2 3" xfId="20940"/>
    <cellStyle name="Nota 3 7 3 3 3" xfId="13923"/>
    <cellStyle name="Nota 3 7 3 3 3 2" xfId="28245"/>
    <cellStyle name="Nota 3 7 3 3 4" xfId="19568"/>
    <cellStyle name="Nota 3 7 3 4" xfId="4990"/>
    <cellStyle name="Nota 3 7 3 4 2" xfId="23297"/>
    <cellStyle name="Nota 3 7 3 5" xfId="17367"/>
    <cellStyle name="Nota 3 7 4" xfId="1639"/>
    <cellStyle name="Nota 3 7 4 2" xfId="7919"/>
    <cellStyle name="Nota 3 7 4 2 2" xfId="10533"/>
    <cellStyle name="Nota 3 7 4 2 2 2" xfId="16795"/>
    <cellStyle name="Nota 3 7 4 2 2 2 2" xfId="30211"/>
    <cellStyle name="Nota 3 7 4 2 2 3" xfId="21540"/>
    <cellStyle name="Nota 3 7 4 2 3" xfId="14523"/>
    <cellStyle name="Nota 3 7 4 2 3 2" xfId="28845"/>
    <cellStyle name="Nota 3 7 4 2 4" xfId="20168"/>
    <cellStyle name="Nota 3 7 4 3" xfId="12718"/>
    <cellStyle name="Nota 3 7 4 3 2" xfId="27040"/>
    <cellStyle name="Nota 3 7 4 4" xfId="18363"/>
    <cellStyle name="Nota 3 7 5" xfId="4914"/>
    <cellStyle name="Nota 3 7 5 2" xfId="11451"/>
    <cellStyle name="Nota 3 7 5 2 2" xfId="25773"/>
    <cellStyle name="Nota 3 7 5 3" xfId="15506"/>
    <cellStyle name="Nota 3 7 6" xfId="4683"/>
    <cellStyle name="Nota 3 7 6 2" xfId="23119"/>
    <cellStyle name="Nota 3 7 7" xfId="15376"/>
    <cellStyle name="Nota 3 8" xfId="1640"/>
    <cellStyle name="Nota 3 8 2" xfId="1641"/>
    <cellStyle name="Nota 3 8 2 2" xfId="6966"/>
    <cellStyle name="Nota 3 8 2 2 2" xfId="13570"/>
    <cellStyle name="Nota 3 8 2 2 2 2" xfId="27892"/>
    <cellStyle name="Nota 3 8 2 2 3" xfId="19215"/>
    <cellStyle name="Nota 3 8 2 3" xfId="7846"/>
    <cellStyle name="Nota 3 8 2 3 2" xfId="10460"/>
    <cellStyle name="Nota 3 8 2 3 2 2" xfId="16722"/>
    <cellStyle name="Nota 3 8 2 3 2 2 2" xfId="30138"/>
    <cellStyle name="Nota 3 8 2 3 2 3" xfId="21467"/>
    <cellStyle name="Nota 3 8 2 3 3" xfId="14450"/>
    <cellStyle name="Nota 3 8 2 3 3 2" xfId="28772"/>
    <cellStyle name="Nota 3 8 2 3 4" xfId="20095"/>
    <cellStyle name="Nota 3 8 2 4" xfId="11470"/>
    <cellStyle name="Nota 3 8 2 4 2" xfId="25792"/>
    <cellStyle name="Nota 3 8 2 5" xfId="5236"/>
    <cellStyle name="Nota 3 8 3" xfId="1642"/>
    <cellStyle name="Nota 3 8 3 2" xfId="5314"/>
    <cellStyle name="Nota 3 8 3 2 2" xfId="9623"/>
    <cellStyle name="Nota 3 8 3 2 2 2" xfId="15885"/>
    <cellStyle name="Nota 3 8 3 2 2 2 2" xfId="29301"/>
    <cellStyle name="Nota 3 8 3 2 2 3" xfId="20630"/>
    <cellStyle name="Nota 3 8 3 2 3" xfId="11864"/>
    <cellStyle name="Nota 3 8 3 2 3 2" xfId="26186"/>
    <cellStyle name="Nota 3 8 3 2 4" xfId="17509"/>
    <cellStyle name="Nota 3 8 3 3" xfId="13041"/>
    <cellStyle name="Nota 3 8 3 3 2" xfId="27363"/>
    <cellStyle name="Nota 3 8 3 4" xfId="18686"/>
    <cellStyle name="Nota 3 8 4" xfId="5359"/>
    <cellStyle name="Nota 3 8 4 2" xfId="11909"/>
    <cellStyle name="Nota 3 8 4 2 2" xfId="26231"/>
    <cellStyle name="Nota 3 8 4 3" xfId="17554"/>
    <cellStyle name="Nota 3 8 5" xfId="3645"/>
    <cellStyle name="Nota 3 8 5 2" xfId="22504"/>
    <cellStyle name="Nota 3 8 6" xfId="4955"/>
    <cellStyle name="Nota 3 9" xfId="1643"/>
    <cellStyle name="Nota 3 9 2" xfId="6077"/>
    <cellStyle name="Nota 3 9 2 2" xfId="12643"/>
    <cellStyle name="Nota 3 9 2 2 2" xfId="26965"/>
    <cellStyle name="Nota 3 9 2 3" xfId="18288"/>
    <cellStyle name="Nota 3 9 3" xfId="5255"/>
    <cellStyle name="Nota 3 9 3 2" xfId="9564"/>
    <cellStyle name="Nota 3 9 3 2 2" xfId="15826"/>
    <cellStyle name="Nota 3 9 3 2 2 2" xfId="29242"/>
    <cellStyle name="Nota 3 9 3 2 3" xfId="20571"/>
    <cellStyle name="Nota 3 9 3 3" xfId="11805"/>
    <cellStyle name="Nota 3 9 3 3 2" xfId="26127"/>
    <cellStyle name="Nota 3 9 3 4" xfId="17450"/>
    <cellStyle name="Nota 3 9 4" xfId="6361"/>
    <cellStyle name="Nota 3 9 4 2" xfId="23545"/>
    <cellStyle name="Nota 3 9 5" xfId="14717"/>
    <cellStyle name="Nota 4" xfId="1644"/>
    <cellStyle name="Nota 4 2" xfId="6115"/>
    <cellStyle name="Nota 4 2 2" xfId="12683"/>
    <cellStyle name="Nota 4 2 2 2" xfId="27005"/>
    <cellStyle name="Nota 4 2 3" xfId="18328"/>
    <cellStyle name="Nota 4 3" xfId="7154"/>
    <cellStyle name="Nota 4 3 2" xfId="9768"/>
    <cellStyle name="Nota 4 3 2 2" xfId="16030"/>
    <cellStyle name="Nota 4 3 2 2 2" xfId="29446"/>
    <cellStyle name="Nota 4 3 2 3" xfId="20775"/>
    <cellStyle name="Nota 4 3 3" xfId="13758"/>
    <cellStyle name="Nota 4 3 3 2" xfId="28080"/>
    <cellStyle name="Nota 4 3 4" xfId="19403"/>
    <cellStyle name="Nota 4 4" xfId="4564"/>
    <cellStyle name="Nota 4 4 2" xfId="23033"/>
    <cellStyle name="Nota 4 5" xfId="17203"/>
    <cellStyle name="Nota 5" xfId="4283"/>
    <cellStyle name="Nota 5 2" xfId="5370"/>
    <cellStyle name="Nota 5 2 2" xfId="23341"/>
    <cellStyle name="Nota 5 3" xfId="6588"/>
    <cellStyle name="Nota 6" xfId="4987"/>
    <cellStyle name="Nota 6 2" xfId="23295"/>
    <cellStyle name="Nota 7" xfId="14905"/>
    <cellStyle name="Nota 8" xfId="20343"/>
    <cellStyle name="Nota 9" xfId="30365"/>
    <cellStyle name="Note 2" xfId="1645"/>
    <cellStyle name="Note 2 2" xfId="1646"/>
    <cellStyle name="Note 2 2 2" xfId="1647"/>
    <cellStyle name="Note 2 2 2 10" xfId="1648"/>
    <cellStyle name="Note 2 2 2 10 2" xfId="7471"/>
    <cellStyle name="Note 2 2 2 10 2 2" xfId="10085"/>
    <cellStyle name="Note 2 2 2 10 2 2 2" xfId="16347"/>
    <cellStyle name="Note 2 2 2 10 2 2 2 2" xfId="29763"/>
    <cellStyle name="Note 2 2 2 10 2 2 3" xfId="21092"/>
    <cellStyle name="Note 2 2 2 10 2 3" xfId="14075"/>
    <cellStyle name="Note 2 2 2 10 2 3 2" xfId="28397"/>
    <cellStyle name="Note 2 2 2 10 2 4" xfId="19720"/>
    <cellStyle name="Note 2 2 2 10 3" xfId="12366"/>
    <cellStyle name="Note 2 2 2 10 3 2" xfId="26688"/>
    <cellStyle name="Note 2 2 2 10 4" xfId="18011"/>
    <cellStyle name="Note 2 2 2 11" xfId="3766"/>
    <cellStyle name="Note 2 2 2 11 2" xfId="6693"/>
    <cellStyle name="Note 2 2 2 11 2 2" xfId="23657"/>
    <cellStyle name="Note 2 2 2 11 3" xfId="15520"/>
    <cellStyle name="Note 2 2 2 12" xfId="4666"/>
    <cellStyle name="Note 2 2 2 12 2" xfId="23105"/>
    <cellStyle name="Note 2 2 2 13" xfId="14737"/>
    <cellStyle name="Note 2 2 2 2" xfId="1649"/>
    <cellStyle name="Note 2 2 2 2 10" xfId="5374"/>
    <cellStyle name="Note 2 2 2 2 10 2" xfId="11924"/>
    <cellStyle name="Note 2 2 2 2 10 2 2" xfId="26246"/>
    <cellStyle name="Note 2 2 2 2 10 3" xfId="17569"/>
    <cellStyle name="Note 2 2 2 2 11" xfId="4604"/>
    <cellStyle name="Note 2 2 2 2 11 2" xfId="23062"/>
    <cellStyle name="Note 2 2 2 2 12" xfId="15076"/>
    <cellStyle name="Note 2 2 2 2 2" xfId="1650"/>
    <cellStyle name="Note 2 2 2 2 2 10" xfId="4479"/>
    <cellStyle name="Note 2 2 2 2 2 10 2" xfId="22977"/>
    <cellStyle name="Note 2 2 2 2 2 11" xfId="17320"/>
    <cellStyle name="Note 2 2 2 2 2 2" xfId="1651"/>
    <cellStyle name="Note 2 2 2 2 2 2 2" xfId="1652"/>
    <cellStyle name="Note 2 2 2 2 2 2 2 2" xfId="1653"/>
    <cellStyle name="Note 2 2 2 2 2 2 2 2 2" xfId="6028"/>
    <cellStyle name="Note 2 2 2 2 2 2 2 2 2 2" xfId="12589"/>
    <cellStyle name="Note 2 2 2 2 2 2 2 2 2 2 2" xfId="26911"/>
    <cellStyle name="Note 2 2 2 2 2 2 2 2 2 3" xfId="18234"/>
    <cellStyle name="Note 2 2 2 2 2 2 2 2 3" xfId="7515"/>
    <cellStyle name="Note 2 2 2 2 2 2 2 2 3 2" xfId="10129"/>
    <cellStyle name="Note 2 2 2 2 2 2 2 2 3 2 2" xfId="16391"/>
    <cellStyle name="Note 2 2 2 2 2 2 2 2 3 2 2 2" xfId="29807"/>
    <cellStyle name="Note 2 2 2 2 2 2 2 2 3 2 3" xfId="21136"/>
    <cellStyle name="Note 2 2 2 2 2 2 2 2 3 3" xfId="14119"/>
    <cellStyle name="Note 2 2 2 2 2 2 2 2 3 3 2" xfId="28441"/>
    <cellStyle name="Note 2 2 2 2 2 2 2 2 3 4" xfId="19764"/>
    <cellStyle name="Note 2 2 2 2 2 2 2 2 4" xfId="4255"/>
    <cellStyle name="Note 2 2 2 2 2 2 2 2 4 2" xfId="22853"/>
    <cellStyle name="Note 2 2 2 2 2 2 2 2 5" xfId="14827"/>
    <cellStyle name="Note 2 2 2 2 2 2 2 3" xfId="1654"/>
    <cellStyle name="Note 2 2 2 2 2 2 2 3 2" xfId="7371"/>
    <cellStyle name="Note 2 2 2 2 2 2 2 3 2 2" xfId="9985"/>
    <cellStyle name="Note 2 2 2 2 2 2 2 3 2 2 2" xfId="16247"/>
    <cellStyle name="Note 2 2 2 2 2 2 2 3 2 2 2 2" xfId="29663"/>
    <cellStyle name="Note 2 2 2 2 2 2 2 3 2 2 3" xfId="20992"/>
    <cellStyle name="Note 2 2 2 2 2 2 2 3 2 3" xfId="13975"/>
    <cellStyle name="Note 2 2 2 2 2 2 2 3 2 3 2" xfId="28297"/>
    <cellStyle name="Note 2 2 2 2 2 2 2 3 2 4" xfId="19620"/>
    <cellStyle name="Note 2 2 2 2 2 2 2 3 3" xfId="13319"/>
    <cellStyle name="Note 2 2 2 2 2 2 2 3 3 2" xfId="27641"/>
    <cellStyle name="Note 2 2 2 2 2 2 2 3 4" xfId="18964"/>
    <cellStyle name="Note 2 2 2 2 2 2 2 4" xfId="5769"/>
    <cellStyle name="Note 2 2 2 2 2 2 2 4 2" xfId="12322"/>
    <cellStyle name="Note 2 2 2 2 2 2 2 4 2 2" xfId="26644"/>
    <cellStyle name="Note 2 2 2 2 2 2 2 4 3" xfId="17967"/>
    <cellStyle name="Note 2 2 2 2 2 2 2 5" xfId="4062"/>
    <cellStyle name="Note 2 2 2 2 2 2 2 5 2" xfId="22736"/>
    <cellStyle name="Note 2 2 2 2 2 2 2 6" xfId="17189"/>
    <cellStyle name="Note 2 2 2 2 2 2 3" xfId="1655"/>
    <cellStyle name="Note 2 2 2 2 2 2 3 2" xfId="1656"/>
    <cellStyle name="Note 2 2 2 2 2 2 3 2 2" xfId="5987"/>
    <cellStyle name="Note 2 2 2 2 2 2 3 2 2 2" xfId="12545"/>
    <cellStyle name="Note 2 2 2 2 2 2 3 2 2 2 2" xfId="26867"/>
    <cellStyle name="Note 2 2 2 2 2 2 3 2 2 3" xfId="18190"/>
    <cellStyle name="Note 2 2 2 2 2 2 3 2 3" xfId="7209"/>
    <cellStyle name="Note 2 2 2 2 2 2 3 2 3 2" xfId="9823"/>
    <cellStyle name="Note 2 2 2 2 2 2 3 2 3 2 2" xfId="16085"/>
    <cellStyle name="Note 2 2 2 2 2 2 3 2 3 2 2 2" xfId="29501"/>
    <cellStyle name="Note 2 2 2 2 2 2 3 2 3 2 3" xfId="20830"/>
    <cellStyle name="Note 2 2 2 2 2 2 3 2 3 3" xfId="13813"/>
    <cellStyle name="Note 2 2 2 2 2 2 3 2 3 3 2" xfId="28135"/>
    <cellStyle name="Note 2 2 2 2 2 2 3 2 3 4" xfId="19458"/>
    <cellStyle name="Note 2 2 2 2 2 2 3 2 4" xfId="4631"/>
    <cellStyle name="Note 2 2 2 2 2 2 3 2 4 2" xfId="23076"/>
    <cellStyle name="Note 2 2 2 2 2 2 3 2 5" xfId="14748"/>
    <cellStyle name="Note 2 2 2 2 2 2 3 3" xfId="1657"/>
    <cellStyle name="Note 2 2 2 2 2 2 3 3 2" xfId="7880"/>
    <cellStyle name="Note 2 2 2 2 2 2 3 3 2 2" xfId="10494"/>
    <cellStyle name="Note 2 2 2 2 2 2 3 3 2 2 2" xfId="16756"/>
    <cellStyle name="Note 2 2 2 2 2 2 3 3 2 2 2 2" xfId="30172"/>
    <cellStyle name="Note 2 2 2 2 2 2 3 3 2 2 3" xfId="21501"/>
    <cellStyle name="Note 2 2 2 2 2 2 3 3 2 3" xfId="14484"/>
    <cellStyle name="Note 2 2 2 2 2 2 3 3 2 3 2" xfId="28806"/>
    <cellStyle name="Note 2 2 2 2 2 2 3 3 2 4" xfId="20129"/>
    <cellStyle name="Note 2 2 2 2 2 2 3 3 3" xfId="11725"/>
    <cellStyle name="Note 2 2 2 2 2 2 3 3 3 2" xfId="26047"/>
    <cellStyle name="Note 2 2 2 2 2 2 3 3 4" xfId="6633"/>
    <cellStyle name="Note 2 2 2 2 2 2 3 4" xfId="5101"/>
    <cellStyle name="Note 2 2 2 2 2 2 3 4 2" xfId="11648"/>
    <cellStyle name="Note 2 2 2 2 2 2 3 4 2 2" xfId="25970"/>
    <cellStyle name="Note 2 2 2 2 2 2 3 4 3" xfId="14920"/>
    <cellStyle name="Note 2 2 2 2 2 2 3 5" xfId="5230"/>
    <cellStyle name="Note 2 2 2 2 2 2 3 5 2" xfId="23338"/>
    <cellStyle name="Note 2 2 2 2 2 2 3 6" xfId="15247"/>
    <cellStyle name="Note 2 2 2 2 2 2 4" xfId="1658"/>
    <cellStyle name="Note 2 2 2 2 2 2 4 2" xfId="6901"/>
    <cellStyle name="Note 2 2 2 2 2 2 4 2 2" xfId="13505"/>
    <cellStyle name="Note 2 2 2 2 2 2 4 2 2 2" xfId="27827"/>
    <cellStyle name="Note 2 2 2 2 2 2 4 2 3" xfId="19150"/>
    <cellStyle name="Note 2 2 2 2 2 2 4 3" xfId="4757"/>
    <cellStyle name="Note 2 2 2 2 2 2 4 3 2" xfId="9477"/>
    <cellStyle name="Note 2 2 2 2 2 2 4 3 2 2" xfId="15739"/>
    <cellStyle name="Note 2 2 2 2 2 2 4 3 2 2 2" xfId="29155"/>
    <cellStyle name="Note 2 2 2 2 2 2 4 3 2 3" xfId="20484"/>
    <cellStyle name="Note 2 2 2 2 2 2 4 3 3" xfId="2777"/>
    <cellStyle name="Note 2 2 2 2 2 2 4 3 3 2" xfId="22346"/>
    <cellStyle name="Note 2 2 2 2 2 2 4 3 4" xfId="17054"/>
    <cellStyle name="Note 2 2 2 2 2 2 4 4" xfId="11380"/>
    <cellStyle name="Note 2 2 2 2 2 2 4 4 2" xfId="25702"/>
    <cellStyle name="Note 2 2 2 2 2 2 4 5" xfId="15117"/>
    <cellStyle name="Note 2 2 2 2 2 2 5" xfId="1659"/>
    <cellStyle name="Note 2 2 2 2 2 2 5 2" xfId="3281"/>
    <cellStyle name="Note 2 2 2 2 2 2 5 2 2" xfId="9053"/>
    <cellStyle name="Note 2 2 2 2 2 2 5 2 2 2" xfId="15392"/>
    <cellStyle name="Note 2 2 2 2 2 2 5 2 2 2 2" xfId="29011"/>
    <cellStyle name="Note 2 2 2 2 2 2 5 2 2 3" xfId="20338"/>
    <cellStyle name="Note 2 2 2 2 2 2 5 2 3" xfId="4548"/>
    <cellStyle name="Note 2 2 2 2 2 2 5 2 3 2" xfId="23025"/>
    <cellStyle name="Note 2 2 2 2 2 2 5 2 4" xfId="14730"/>
    <cellStyle name="Note 2 2 2 2 2 2 5 3" xfId="12895"/>
    <cellStyle name="Note 2 2 2 2 2 2 5 3 2" xfId="27217"/>
    <cellStyle name="Note 2 2 2 2 2 2 5 4" xfId="18540"/>
    <cellStyle name="Note 2 2 2 2 2 2 6" xfId="5513"/>
    <cellStyle name="Note 2 2 2 2 2 2 6 2" xfId="12064"/>
    <cellStyle name="Note 2 2 2 2 2 2 6 2 2" xfId="26386"/>
    <cellStyle name="Note 2 2 2 2 2 2 6 3" xfId="17709"/>
    <cellStyle name="Note 2 2 2 2 2 2 7" xfId="6342"/>
    <cellStyle name="Note 2 2 2 2 2 2 7 2" xfId="23528"/>
    <cellStyle name="Note 2 2 2 2 2 2 8" xfId="15122"/>
    <cellStyle name="Note 2 2 2 2 2 3" xfId="1660"/>
    <cellStyle name="Note 2 2 2 2 2 3 2" xfId="1661"/>
    <cellStyle name="Note 2 2 2 2 2 3 2 2" xfId="1662"/>
    <cellStyle name="Note 2 2 2 2 2 3 2 2 2" xfId="6426"/>
    <cellStyle name="Note 2 2 2 2 2 3 2 2 2 2" xfId="13009"/>
    <cellStyle name="Note 2 2 2 2 2 3 2 2 2 2 2" xfId="27331"/>
    <cellStyle name="Note 2 2 2 2 2 3 2 2 2 3" xfId="18654"/>
    <cellStyle name="Note 2 2 2 2 2 3 2 2 3" xfId="7482"/>
    <cellStyle name="Note 2 2 2 2 2 3 2 2 3 2" xfId="10096"/>
    <cellStyle name="Note 2 2 2 2 2 3 2 2 3 2 2" xfId="16358"/>
    <cellStyle name="Note 2 2 2 2 2 3 2 2 3 2 2 2" xfId="29774"/>
    <cellStyle name="Note 2 2 2 2 2 3 2 2 3 2 3" xfId="21103"/>
    <cellStyle name="Note 2 2 2 2 2 3 2 2 3 3" xfId="14086"/>
    <cellStyle name="Note 2 2 2 2 2 3 2 2 3 3 2" xfId="28408"/>
    <cellStyle name="Note 2 2 2 2 2 3 2 2 3 4" xfId="19731"/>
    <cellStyle name="Note 2 2 2 2 2 3 2 2 4" xfId="6673"/>
    <cellStyle name="Note 2 2 2 2 2 3 2 2 4 2" xfId="23645"/>
    <cellStyle name="Note 2 2 2 2 2 3 2 2 5" xfId="15144"/>
    <cellStyle name="Note 2 2 2 2 2 3 2 3" xfId="1663"/>
    <cellStyle name="Note 2 2 2 2 2 3 2 3 2" xfId="7104"/>
    <cellStyle name="Note 2 2 2 2 2 3 2 3 2 2" xfId="9718"/>
    <cellStyle name="Note 2 2 2 2 2 3 2 3 2 2 2" xfId="15980"/>
    <cellStyle name="Note 2 2 2 2 2 3 2 3 2 2 2 2" xfId="29396"/>
    <cellStyle name="Note 2 2 2 2 2 3 2 3 2 2 3" xfId="20725"/>
    <cellStyle name="Note 2 2 2 2 2 3 2 3 2 3" xfId="13708"/>
    <cellStyle name="Note 2 2 2 2 2 3 2 3 2 3 2" xfId="28030"/>
    <cellStyle name="Note 2 2 2 2 2 3 2 3 2 4" xfId="19353"/>
    <cellStyle name="Note 2 2 2 2 2 3 2 3 3" xfId="13355"/>
    <cellStyle name="Note 2 2 2 2 2 3 2 3 3 2" xfId="27677"/>
    <cellStyle name="Note 2 2 2 2 2 3 2 3 4" xfId="19000"/>
    <cellStyle name="Note 2 2 2 2 2 3 2 4" xfId="5805"/>
    <cellStyle name="Note 2 2 2 2 2 3 2 4 2" xfId="12358"/>
    <cellStyle name="Note 2 2 2 2 2 3 2 4 2 2" xfId="26680"/>
    <cellStyle name="Note 2 2 2 2 2 3 2 4 3" xfId="18003"/>
    <cellStyle name="Note 2 2 2 2 2 3 2 5" xfId="4889"/>
    <cellStyle name="Note 2 2 2 2 2 3 2 5 2" xfId="23247"/>
    <cellStyle name="Note 2 2 2 2 2 3 2 6" xfId="14764"/>
    <cellStyle name="Note 2 2 2 2 2 3 3" xfId="1664"/>
    <cellStyle name="Note 2 2 2 2 2 3 3 2" xfId="1665"/>
    <cellStyle name="Note 2 2 2 2 2 3 3 2 2" xfId="6934"/>
    <cellStyle name="Note 2 2 2 2 2 3 3 2 2 2" xfId="13538"/>
    <cellStyle name="Note 2 2 2 2 2 3 3 2 2 2 2" xfId="27860"/>
    <cellStyle name="Note 2 2 2 2 2 3 3 2 2 3" xfId="19183"/>
    <cellStyle name="Note 2 2 2 2 2 3 3 2 3" xfId="7368"/>
    <cellStyle name="Note 2 2 2 2 2 3 3 2 3 2" xfId="9982"/>
    <cellStyle name="Note 2 2 2 2 2 3 3 2 3 2 2" xfId="16244"/>
    <cellStyle name="Note 2 2 2 2 2 3 3 2 3 2 2 2" xfId="29660"/>
    <cellStyle name="Note 2 2 2 2 2 3 3 2 3 2 3" xfId="20989"/>
    <cellStyle name="Note 2 2 2 2 2 3 3 2 3 3" xfId="13972"/>
    <cellStyle name="Note 2 2 2 2 2 3 3 2 3 3 2" xfId="28294"/>
    <cellStyle name="Note 2 2 2 2 2 3 3 2 3 4" xfId="19617"/>
    <cellStyle name="Note 2 2 2 2 2 3 3 2 4" xfId="11427"/>
    <cellStyle name="Note 2 2 2 2 2 3 3 2 4 2" xfId="25749"/>
    <cellStyle name="Note 2 2 2 2 2 3 3 2 5" xfId="3963"/>
    <cellStyle name="Note 2 2 2 2 2 3 3 3" xfId="1666"/>
    <cellStyle name="Note 2 2 2 2 2 3 3 3 2" xfId="7180"/>
    <cellStyle name="Note 2 2 2 2 2 3 3 3 2 2" xfId="9794"/>
    <cellStyle name="Note 2 2 2 2 2 3 3 3 2 2 2" xfId="16056"/>
    <cellStyle name="Note 2 2 2 2 2 3 3 3 2 2 2 2" xfId="29472"/>
    <cellStyle name="Note 2 2 2 2 2 3 3 3 2 2 3" xfId="20801"/>
    <cellStyle name="Note 2 2 2 2 2 3 3 3 2 3" xfId="13784"/>
    <cellStyle name="Note 2 2 2 2 2 3 3 3 2 3 2" xfId="28106"/>
    <cellStyle name="Note 2 2 2 2 2 3 3 3 2 4" xfId="19429"/>
    <cellStyle name="Note 2 2 2 2 2 3 3 3 3" xfId="11770"/>
    <cellStyle name="Note 2 2 2 2 2 3 3 3 3 2" xfId="26092"/>
    <cellStyle name="Note 2 2 2 2 2 3 3 3 4" xfId="17415"/>
    <cellStyle name="Note 2 2 2 2 2 3 3 4" xfId="3699"/>
    <cellStyle name="Note 2 2 2 2 2 3 3 4 2" xfId="4121"/>
    <cellStyle name="Note 2 2 2 2 2 3 3 4 2 2" xfId="22765"/>
    <cellStyle name="Note 2 2 2 2 2 3 3 4 3" xfId="15578"/>
    <cellStyle name="Note 2 2 2 2 2 3 3 5" xfId="4396"/>
    <cellStyle name="Note 2 2 2 2 2 3 3 5 2" xfId="22926"/>
    <cellStyle name="Note 2 2 2 2 2 3 3 6" xfId="15326"/>
    <cellStyle name="Note 2 2 2 2 2 3 4" xfId="1667"/>
    <cellStyle name="Note 2 2 2 2 2 3 4 2" xfId="5852"/>
    <cellStyle name="Note 2 2 2 2 2 3 4 2 2" xfId="12405"/>
    <cellStyle name="Note 2 2 2 2 2 3 4 2 2 2" xfId="26727"/>
    <cellStyle name="Note 2 2 2 2 2 3 4 2 3" xfId="18050"/>
    <cellStyle name="Note 2 2 2 2 2 3 4 3" xfId="7896"/>
    <cellStyle name="Note 2 2 2 2 2 3 4 3 2" xfId="10510"/>
    <cellStyle name="Note 2 2 2 2 2 3 4 3 2 2" xfId="16772"/>
    <cellStyle name="Note 2 2 2 2 2 3 4 3 2 2 2" xfId="30188"/>
    <cellStyle name="Note 2 2 2 2 2 3 4 3 2 3" xfId="21517"/>
    <cellStyle name="Note 2 2 2 2 2 3 4 3 3" xfId="14500"/>
    <cellStyle name="Note 2 2 2 2 2 3 4 3 3 2" xfId="28822"/>
    <cellStyle name="Note 2 2 2 2 2 3 4 3 4" xfId="20145"/>
    <cellStyle name="Note 2 2 2 2 2 3 4 4" xfId="4632"/>
    <cellStyle name="Note 2 2 2 2 2 3 4 4 2" xfId="23077"/>
    <cellStyle name="Note 2 2 2 2 2 3 4 5" xfId="17060"/>
    <cellStyle name="Note 2 2 2 2 2 3 5" xfId="1668"/>
    <cellStyle name="Note 2 2 2 2 2 3 5 2" xfId="7247"/>
    <cellStyle name="Note 2 2 2 2 2 3 5 2 2" xfId="9861"/>
    <cellStyle name="Note 2 2 2 2 2 3 5 2 2 2" xfId="16123"/>
    <cellStyle name="Note 2 2 2 2 2 3 5 2 2 2 2" xfId="29539"/>
    <cellStyle name="Note 2 2 2 2 2 3 5 2 2 3" xfId="20868"/>
    <cellStyle name="Note 2 2 2 2 2 3 5 2 3" xfId="13851"/>
    <cellStyle name="Note 2 2 2 2 2 3 5 2 3 2" xfId="28173"/>
    <cellStyle name="Note 2 2 2 2 2 3 5 2 4" xfId="19496"/>
    <cellStyle name="Note 2 2 2 2 2 3 5 3" xfId="12931"/>
    <cellStyle name="Note 2 2 2 2 2 3 5 3 2" xfId="27253"/>
    <cellStyle name="Note 2 2 2 2 2 3 5 4" xfId="18576"/>
    <cellStyle name="Note 2 2 2 2 2 3 6" xfId="5555"/>
    <cellStyle name="Note 2 2 2 2 2 3 6 2" xfId="12106"/>
    <cellStyle name="Note 2 2 2 2 2 3 6 2 2" xfId="26428"/>
    <cellStyle name="Note 2 2 2 2 2 3 6 3" xfId="17751"/>
    <cellStyle name="Note 2 2 2 2 2 3 7" xfId="3845"/>
    <cellStyle name="Note 2 2 2 2 2 3 7 2" xfId="22610"/>
    <cellStyle name="Note 2 2 2 2 2 3 8" xfId="4382"/>
    <cellStyle name="Note 2 2 2 2 2 4" xfId="1669"/>
    <cellStyle name="Note 2 2 2 2 2 4 2" xfId="1670"/>
    <cellStyle name="Note 2 2 2 2 2 4 2 2" xfId="1671"/>
    <cellStyle name="Note 2 2 2 2 2 4 2 2 2" xfId="6872"/>
    <cellStyle name="Note 2 2 2 2 2 4 2 2 2 2" xfId="13476"/>
    <cellStyle name="Note 2 2 2 2 2 4 2 2 2 2 2" xfId="27798"/>
    <cellStyle name="Note 2 2 2 2 2 4 2 2 2 3" xfId="19121"/>
    <cellStyle name="Note 2 2 2 2 2 4 2 2 3" xfId="7092"/>
    <cellStyle name="Note 2 2 2 2 2 4 2 2 3 2" xfId="9706"/>
    <cellStyle name="Note 2 2 2 2 2 4 2 2 3 2 2" xfId="15968"/>
    <cellStyle name="Note 2 2 2 2 2 4 2 2 3 2 2 2" xfId="29384"/>
    <cellStyle name="Note 2 2 2 2 2 4 2 2 3 2 3" xfId="20713"/>
    <cellStyle name="Note 2 2 2 2 2 4 2 2 3 3" xfId="13696"/>
    <cellStyle name="Note 2 2 2 2 2 4 2 2 3 3 2" xfId="28018"/>
    <cellStyle name="Note 2 2 2 2 2 4 2 2 3 4" xfId="19341"/>
    <cellStyle name="Note 2 2 2 2 2 4 2 2 4" xfId="11339"/>
    <cellStyle name="Note 2 2 2 2 2 4 2 2 4 2" xfId="25661"/>
    <cellStyle name="Note 2 2 2 2 2 4 2 2 5" xfId="4165"/>
    <cellStyle name="Note 2 2 2 2 2 4 2 3" xfId="1672"/>
    <cellStyle name="Note 2 2 2 2 2 4 2 3 2" xfId="7492"/>
    <cellStyle name="Note 2 2 2 2 2 4 2 3 2 2" xfId="10106"/>
    <cellStyle name="Note 2 2 2 2 2 4 2 3 2 2 2" xfId="16368"/>
    <cellStyle name="Note 2 2 2 2 2 4 2 3 2 2 2 2" xfId="29784"/>
    <cellStyle name="Note 2 2 2 2 2 4 2 3 2 2 3" xfId="21113"/>
    <cellStyle name="Note 2 2 2 2 2 4 2 3 2 3" xfId="14096"/>
    <cellStyle name="Note 2 2 2 2 2 4 2 3 2 3 2" xfId="28418"/>
    <cellStyle name="Note 2 2 2 2 2 4 2 3 2 4" xfId="19741"/>
    <cellStyle name="Note 2 2 2 2 2 4 2 3 3" xfId="13271"/>
    <cellStyle name="Note 2 2 2 2 2 4 2 3 3 2" xfId="27593"/>
    <cellStyle name="Note 2 2 2 2 2 4 2 3 4" xfId="18916"/>
    <cellStyle name="Note 2 2 2 2 2 4 2 4" xfId="5717"/>
    <cellStyle name="Note 2 2 2 2 2 4 2 4 2" xfId="12270"/>
    <cellStyle name="Note 2 2 2 2 2 4 2 4 2 2" xfId="26592"/>
    <cellStyle name="Note 2 2 2 2 2 4 2 4 3" xfId="17915"/>
    <cellStyle name="Note 2 2 2 2 2 4 2 5" xfId="6096"/>
    <cellStyle name="Note 2 2 2 2 2 4 2 5 2" xfId="23413"/>
    <cellStyle name="Note 2 2 2 2 2 4 2 6" xfId="15453"/>
    <cellStyle name="Note 2 2 2 2 2 4 3" xfId="1673"/>
    <cellStyle name="Note 2 2 2 2 2 4 3 2" xfId="1674"/>
    <cellStyle name="Note 2 2 2 2 2 4 3 2 2" xfId="6425"/>
    <cellStyle name="Note 2 2 2 2 2 4 3 2 2 2" xfId="13008"/>
    <cellStyle name="Note 2 2 2 2 2 4 3 2 2 2 2" xfId="27330"/>
    <cellStyle name="Note 2 2 2 2 2 4 3 2 2 3" xfId="18653"/>
    <cellStyle name="Note 2 2 2 2 2 4 3 2 3" xfId="7724"/>
    <cellStyle name="Note 2 2 2 2 2 4 3 2 3 2" xfId="10338"/>
    <cellStyle name="Note 2 2 2 2 2 4 3 2 3 2 2" xfId="16600"/>
    <cellStyle name="Note 2 2 2 2 2 4 3 2 3 2 2 2" xfId="30016"/>
    <cellStyle name="Note 2 2 2 2 2 4 3 2 3 2 3" xfId="21345"/>
    <cellStyle name="Note 2 2 2 2 2 4 3 2 3 3" xfId="14328"/>
    <cellStyle name="Note 2 2 2 2 2 4 3 2 3 3 2" xfId="28650"/>
    <cellStyle name="Note 2 2 2 2 2 4 3 2 3 4" xfId="19973"/>
    <cellStyle name="Note 2 2 2 2 2 4 3 2 4" xfId="3936"/>
    <cellStyle name="Note 2 2 2 2 2 4 3 2 4 2" xfId="22654"/>
    <cellStyle name="Note 2 2 2 2 2 4 3 2 5" xfId="5108"/>
    <cellStyle name="Note 2 2 2 2 2 4 3 3" xfId="1675"/>
    <cellStyle name="Note 2 2 2 2 2 4 3 3 2" xfId="4029"/>
    <cellStyle name="Note 2 2 2 2 2 4 3 3 2 2" xfId="9415"/>
    <cellStyle name="Note 2 2 2 2 2 4 3 3 2 2 2" xfId="15677"/>
    <cellStyle name="Note 2 2 2 2 2 4 3 3 2 2 2 2" xfId="29093"/>
    <cellStyle name="Note 2 2 2 2 2 4 3 3 2 2 3" xfId="20422"/>
    <cellStyle name="Note 2 2 2 2 2 4 3 3 2 3" xfId="4956"/>
    <cellStyle name="Note 2 2 2 2 2 4 3 3 2 3 2" xfId="23278"/>
    <cellStyle name="Note 2 2 2 2 2 4 3 3 2 4" xfId="15115"/>
    <cellStyle name="Note 2 2 2 2 2 4 3 3 3" xfId="13040"/>
    <cellStyle name="Note 2 2 2 2 2 4 3 3 3 2" xfId="27362"/>
    <cellStyle name="Note 2 2 2 2 2 4 3 3 4" xfId="18685"/>
    <cellStyle name="Note 2 2 2 2 2 4 3 4" xfId="5358"/>
    <cellStyle name="Note 2 2 2 2 2 4 3 4 2" xfId="11908"/>
    <cellStyle name="Note 2 2 2 2 2 4 3 4 2 2" xfId="26230"/>
    <cellStyle name="Note 2 2 2 2 2 4 3 4 3" xfId="17553"/>
    <cellStyle name="Note 2 2 2 2 2 4 3 5" xfId="4169"/>
    <cellStyle name="Note 2 2 2 2 2 4 3 5 2" xfId="22794"/>
    <cellStyle name="Note 2 2 2 2 2 4 3 6" xfId="6277"/>
    <cellStyle name="Note 2 2 2 2 2 4 4" xfId="1676"/>
    <cellStyle name="Note 2 2 2 2 2 4 4 2" xfId="5058"/>
    <cellStyle name="Note 2 2 2 2 2 4 4 2 2" xfId="11605"/>
    <cellStyle name="Note 2 2 2 2 2 4 4 2 2 2" xfId="25927"/>
    <cellStyle name="Note 2 2 2 2 2 4 4 2 3" xfId="14901"/>
    <cellStyle name="Note 2 2 2 2 2 4 4 3" xfId="7249"/>
    <cellStyle name="Note 2 2 2 2 2 4 4 3 2" xfId="9863"/>
    <cellStyle name="Note 2 2 2 2 2 4 4 3 2 2" xfId="16125"/>
    <cellStyle name="Note 2 2 2 2 2 4 4 3 2 2 2" xfId="29541"/>
    <cellStyle name="Note 2 2 2 2 2 4 4 3 2 3" xfId="20870"/>
    <cellStyle name="Note 2 2 2 2 2 4 4 3 3" xfId="13853"/>
    <cellStyle name="Note 2 2 2 2 2 4 4 3 3 2" xfId="28175"/>
    <cellStyle name="Note 2 2 2 2 2 4 4 3 4" xfId="19498"/>
    <cellStyle name="Note 2 2 2 2 2 4 4 4" xfId="3736"/>
    <cellStyle name="Note 2 2 2 2 2 4 4 4 2" xfId="22554"/>
    <cellStyle name="Note 2 2 2 2 2 4 4 5" xfId="17075"/>
    <cellStyle name="Note 2 2 2 2 2 4 5" xfId="1677"/>
    <cellStyle name="Note 2 2 2 2 2 4 5 2" xfId="8046"/>
    <cellStyle name="Note 2 2 2 2 2 4 5 2 2" xfId="10660"/>
    <cellStyle name="Note 2 2 2 2 2 4 5 2 2 2" xfId="16922"/>
    <cellStyle name="Note 2 2 2 2 2 4 5 2 2 2 2" xfId="30338"/>
    <cellStyle name="Note 2 2 2 2 2 4 5 2 2 3" xfId="21667"/>
    <cellStyle name="Note 2 2 2 2 2 4 5 2 3" xfId="14650"/>
    <cellStyle name="Note 2 2 2 2 2 4 5 2 3 2" xfId="28972"/>
    <cellStyle name="Note 2 2 2 2 2 4 5 2 4" xfId="20295"/>
    <cellStyle name="Note 2 2 2 2 2 4 5 3" xfId="12829"/>
    <cellStyle name="Note 2 2 2 2 2 4 5 3 2" xfId="27151"/>
    <cellStyle name="Note 2 2 2 2 2 4 5 4" xfId="18474"/>
    <cellStyle name="Note 2 2 2 2 2 4 6" xfId="5389"/>
    <cellStyle name="Note 2 2 2 2 2 4 6 2" xfId="11939"/>
    <cellStyle name="Note 2 2 2 2 2 4 6 2 2" xfId="26261"/>
    <cellStyle name="Note 2 2 2 2 2 4 6 3" xfId="17584"/>
    <cellStyle name="Note 2 2 2 2 2 4 7" xfId="3137"/>
    <cellStyle name="Note 2 2 2 2 2 4 7 2" xfId="22416"/>
    <cellStyle name="Note 2 2 2 2 2 4 8" xfId="14861"/>
    <cellStyle name="Note 2 2 2 2 2 5" xfId="1678"/>
    <cellStyle name="Note 2 2 2 2 2 5 2" xfId="1679"/>
    <cellStyle name="Note 2 2 2 2 2 5 2 2" xfId="1680"/>
    <cellStyle name="Note 2 2 2 2 2 5 2 2 2" xfId="6420"/>
    <cellStyle name="Note 2 2 2 2 2 5 2 2 2 2" xfId="13003"/>
    <cellStyle name="Note 2 2 2 2 2 5 2 2 2 2 2" xfId="27325"/>
    <cellStyle name="Note 2 2 2 2 2 5 2 2 2 3" xfId="18648"/>
    <cellStyle name="Note 2 2 2 2 2 5 2 2 3" xfId="7630"/>
    <cellStyle name="Note 2 2 2 2 2 5 2 2 3 2" xfId="10244"/>
    <cellStyle name="Note 2 2 2 2 2 5 2 2 3 2 2" xfId="16506"/>
    <cellStyle name="Note 2 2 2 2 2 5 2 2 3 2 2 2" xfId="29922"/>
    <cellStyle name="Note 2 2 2 2 2 5 2 2 3 2 3" xfId="21251"/>
    <cellStyle name="Note 2 2 2 2 2 5 2 2 3 3" xfId="14234"/>
    <cellStyle name="Note 2 2 2 2 2 5 2 2 3 3 2" xfId="28556"/>
    <cellStyle name="Note 2 2 2 2 2 5 2 2 3 4" xfId="19879"/>
    <cellStyle name="Note 2 2 2 2 2 5 2 2 4" xfId="3796"/>
    <cellStyle name="Note 2 2 2 2 2 5 2 2 4 2" xfId="22584"/>
    <cellStyle name="Note 2 2 2 2 2 5 2 2 5" xfId="3780"/>
    <cellStyle name="Note 2 2 2 2 2 5 2 3" xfId="1681"/>
    <cellStyle name="Note 2 2 2 2 2 5 2 3 2" xfId="3951"/>
    <cellStyle name="Note 2 2 2 2 2 5 2 3 2 2" xfId="9402"/>
    <cellStyle name="Note 2 2 2 2 2 5 2 3 2 2 2" xfId="15664"/>
    <cellStyle name="Note 2 2 2 2 2 5 2 3 2 2 2 2" xfId="29080"/>
    <cellStyle name="Note 2 2 2 2 2 5 2 3 2 2 3" xfId="20409"/>
    <cellStyle name="Note 2 2 2 2 2 5 2 3 2 3" xfId="4358"/>
    <cellStyle name="Note 2 2 2 2 2 5 2 3 2 3 2" xfId="22903"/>
    <cellStyle name="Note 2 2 2 2 2 5 2 3 2 4" xfId="4926"/>
    <cellStyle name="Note 2 2 2 2 2 5 2 3 3" xfId="12512"/>
    <cellStyle name="Note 2 2 2 2 2 5 2 3 3 2" xfId="26834"/>
    <cellStyle name="Note 2 2 2 2 2 5 2 3 4" xfId="18157"/>
    <cellStyle name="Note 2 2 2 2 2 5 2 4" xfId="5147"/>
    <cellStyle name="Note 2 2 2 2 2 5 2 4 2" xfId="11696"/>
    <cellStyle name="Note 2 2 2 2 2 5 2 4 2 2" xfId="26018"/>
    <cellStyle name="Note 2 2 2 2 2 5 2 4 3" xfId="6271"/>
    <cellStyle name="Note 2 2 2 2 2 5 2 5" xfId="4575"/>
    <cellStyle name="Note 2 2 2 2 2 5 2 5 2" xfId="23042"/>
    <cellStyle name="Note 2 2 2 2 2 5 2 6" xfId="4208"/>
    <cellStyle name="Note 2 2 2 2 2 5 3" xfId="1682"/>
    <cellStyle name="Note 2 2 2 2 2 5 3 2" xfId="6522"/>
    <cellStyle name="Note 2 2 2 2 2 5 3 2 2" xfId="13110"/>
    <cellStyle name="Note 2 2 2 2 2 5 3 2 2 2" xfId="27432"/>
    <cellStyle name="Note 2 2 2 2 2 5 3 2 3" xfId="18755"/>
    <cellStyle name="Note 2 2 2 2 2 5 3 3" xfId="7349"/>
    <cellStyle name="Note 2 2 2 2 2 5 3 3 2" xfId="9963"/>
    <cellStyle name="Note 2 2 2 2 2 5 3 3 2 2" xfId="16225"/>
    <cellStyle name="Note 2 2 2 2 2 5 3 3 2 2 2" xfId="29641"/>
    <cellStyle name="Note 2 2 2 2 2 5 3 3 2 3" xfId="20970"/>
    <cellStyle name="Note 2 2 2 2 2 5 3 3 3" xfId="13953"/>
    <cellStyle name="Note 2 2 2 2 2 5 3 3 3 2" xfId="28275"/>
    <cellStyle name="Note 2 2 2 2 2 5 3 3 4" xfId="19598"/>
    <cellStyle name="Note 2 2 2 2 2 5 3 4" xfId="2835"/>
    <cellStyle name="Note 2 2 2 2 2 5 3 4 2" xfId="22398"/>
    <cellStyle name="Note 2 2 2 2 2 5 3 5" xfId="14895"/>
    <cellStyle name="Note 2 2 2 2 2 5 4" xfId="1683"/>
    <cellStyle name="Note 2 2 2 2 2 5 4 2" xfId="7874"/>
    <cellStyle name="Note 2 2 2 2 2 5 4 2 2" xfId="10488"/>
    <cellStyle name="Note 2 2 2 2 2 5 4 2 2 2" xfId="16750"/>
    <cellStyle name="Note 2 2 2 2 2 5 4 2 2 2 2" xfId="30166"/>
    <cellStyle name="Note 2 2 2 2 2 5 4 2 2 3" xfId="21495"/>
    <cellStyle name="Note 2 2 2 2 2 5 4 2 3" xfId="14478"/>
    <cellStyle name="Note 2 2 2 2 2 5 4 2 3 2" xfId="28800"/>
    <cellStyle name="Note 2 2 2 2 2 5 4 2 4" xfId="20123"/>
    <cellStyle name="Note 2 2 2 2 2 5 4 3" xfId="12939"/>
    <cellStyle name="Note 2 2 2 2 2 5 4 3 2" xfId="27261"/>
    <cellStyle name="Note 2 2 2 2 2 5 4 4" xfId="18584"/>
    <cellStyle name="Note 2 2 2 2 2 5 5" xfId="5569"/>
    <cellStyle name="Note 2 2 2 2 2 5 5 2" xfId="12120"/>
    <cellStyle name="Note 2 2 2 2 2 5 5 2 2" xfId="26442"/>
    <cellStyle name="Note 2 2 2 2 2 5 5 3" xfId="17765"/>
    <cellStyle name="Note 2 2 2 2 2 5 6" xfId="6734"/>
    <cellStyle name="Note 2 2 2 2 2 5 6 2" xfId="23686"/>
    <cellStyle name="Note 2 2 2 2 2 5 7" xfId="5999"/>
    <cellStyle name="Note 2 2 2 2 2 6" xfId="1684"/>
    <cellStyle name="Note 2 2 2 2 2 6 2" xfId="1685"/>
    <cellStyle name="Note 2 2 2 2 2 6 2 2" xfId="5172"/>
    <cellStyle name="Note 2 2 2 2 2 6 2 2 2" xfId="11721"/>
    <cellStyle name="Note 2 2 2 2 2 6 2 2 2 2" xfId="26043"/>
    <cellStyle name="Note 2 2 2 2 2 6 2 2 3" xfId="6803"/>
    <cellStyle name="Note 2 2 2 2 2 6 2 3" xfId="5303"/>
    <cellStyle name="Note 2 2 2 2 2 6 2 3 2" xfId="9612"/>
    <cellStyle name="Note 2 2 2 2 2 6 2 3 2 2" xfId="15874"/>
    <cellStyle name="Note 2 2 2 2 2 6 2 3 2 2 2" xfId="29290"/>
    <cellStyle name="Note 2 2 2 2 2 6 2 3 2 3" xfId="20619"/>
    <cellStyle name="Note 2 2 2 2 2 6 2 3 3" xfId="11853"/>
    <cellStyle name="Note 2 2 2 2 2 6 2 3 3 2" xfId="26175"/>
    <cellStyle name="Note 2 2 2 2 2 6 2 3 4" xfId="17498"/>
    <cellStyle name="Note 2 2 2 2 2 6 2 4" xfId="3928"/>
    <cellStyle name="Note 2 2 2 2 2 6 2 4 2" xfId="22650"/>
    <cellStyle name="Note 2 2 2 2 2 6 2 5" xfId="17112"/>
    <cellStyle name="Note 2 2 2 2 2 6 3" xfId="1686"/>
    <cellStyle name="Note 2 2 2 2 2 6 3 2" xfId="7415"/>
    <cellStyle name="Note 2 2 2 2 2 6 3 2 2" xfId="10029"/>
    <cellStyle name="Note 2 2 2 2 2 6 3 2 2 2" xfId="16291"/>
    <cellStyle name="Note 2 2 2 2 2 6 3 2 2 2 2" xfId="29707"/>
    <cellStyle name="Note 2 2 2 2 2 6 3 2 2 3" xfId="21036"/>
    <cellStyle name="Note 2 2 2 2 2 6 3 2 3" xfId="14019"/>
    <cellStyle name="Note 2 2 2 2 2 6 3 2 3 2" xfId="28341"/>
    <cellStyle name="Note 2 2 2 2 2 6 3 2 4" xfId="19664"/>
    <cellStyle name="Note 2 2 2 2 2 6 3 3" xfId="13217"/>
    <cellStyle name="Note 2 2 2 2 2 6 3 3 2" xfId="27539"/>
    <cellStyle name="Note 2 2 2 2 2 6 3 4" xfId="18862"/>
    <cellStyle name="Note 2 2 2 2 2 6 4" xfId="5658"/>
    <cellStyle name="Note 2 2 2 2 2 6 4 2" xfId="12211"/>
    <cellStyle name="Note 2 2 2 2 2 6 4 2 2" xfId="26533"/>
    <cellStyle name="Note 2 2 2 2 2 6 4 3" xfId="17856"/>
    <cellStyle name="Note 2 2 2 2 2 6 5" xfId="3761"/>
    <cellStyle name="Note 2 2 2 2 2 6 5 2" xfId="22567"/>
    <cellStyle name="Note 2 2 2 2 2 6 6" xfId="17098"/>
    <cellStyle name="Note 2 2 2 2 2 7" xfId="1687"/>
    <cellStyle name="Note 2 2 2 2 2 7 2" xfId="6545"/>
    <cellStyle name="Note 2 2 2 2 2 7 2 2" xfId="13133"/>
    <cellStyle name="Note 2 2 2 2 2 7 2 2 2" xfId="27455"/>
    <cellStyle name="Note 2 2 2 2 2 7 2 3" xfId="18778"/>
    <cellStyle name="Note 2 2 2 2 2 7 3" xfId="7595"/>
    <cellStyle name="Note 2 2 2 2 2 7 3 2" xfId="10209"/>
    <cellStyle name="Note 2 2 2 2 2 7 3 2 2" xfId="16471"/>
    <cellStyle name="Note 2 2 2 2 2 7 3 2 2 2" xfId="29887"/>
    <cellStyle name="Note 2 2 2 2 2 7 3 2 3" xfId="21216"/>
    <cellStyle name="Note 2 2 2 2 2 7 3 3" xfId="14199"/>
    <cellStyle name="Note 2 2 2 2 2 7 3 3 2" xfId="28521"/>
    <cellStyle name="Note 2 2 2 2 2 7 3 4" xfId="19844"/>
    <cellStyle name="Note 2 2 2 2 2 7 4" xfId="5199"/>
    <cellStyle name="Note 2 2 2 2 2 7 4 2" xfId="23335"/>
    <cellStyle name="Note 2 2 2 2 2 7 5" xfId="15507"/>
    <cellStyle name="Note 2 2 2 2 2 8" xfId="1688"/>
    <cellStyle name="Note 2 2 2 2 2 8 2" xfId="7173"/>
    <cellStyle name="Note 2 2 2 2 2 8 2 2" xfId="9787"/>
    <cellStyle name="Note 2 2 2 2 2 8 2 2 2" xfId="16049"/>
    <cellStyle name="Note 2 2 2 2 2 8 2 2 2 2" xfId="29465"/>
    <cellStyle name="Note 2 2 2 2 2 8 2 2 3" xfId="20794"/>
    <cellStyle name="Note 2 2 2 2 2 8 2 3" xfId="13777"/>
    <cellStyle name="Note 2 2 2 2 2 8 2 3 2" xfId="28099"/>
    <cellStyle name="Note 2 2 2 2 2 8 2 4" xfId="19422"/>
    <cellStyle name="Note 2 2 2 2 2 8 3" xfId="12759"/>
    <cellStyle name="Note 2 2 2 2 2 8 3 2" xfId="27081"/>
    <cellStyle name="Note 2 2 2 2 2 8 4" xfId="18404"/>
    <cellStyle name="Note 2 2 2 2 2 9" xfId="5470"/>
    <cellStyle name="Note 2 2 2 2 2 9 2" xfId="12021"/>
    <cellStyle name="Note 2 2 2 2 2 9 2 2" xfId="26343"/>
    <cellStyle name="Note 2 2 2 2 2 9 3" xfId="17666"/>
    <cellStyle name="Note 2 2 2 2 3" xfId="1689"/>
    <cellStyle name="Note 2 2 2 2 3 2" xfId="1690"/>
    <cellStyle name="Note 2 2 2 2 3 2 2" xfId="1691"/>
    <cellStyle name="Note 2 2 2 2 3 2 2 2" xfId="6399"/>
    <cellStyle name="Note 2 2 2 2 3 2 2 2 2" xfId="12982"/>
    <cellStyle name="Note 2 2 2 2 3 2 2 2 2 2" xfId="27304"/>
    <cellStyle name="Note 2 2 2 2 3 2 2 2 3" xfId="18627"/>
    <cellStyle name="Note 2 2 2 2 3 2 2 3" xfId="7285"/>
    <cellStyle name="Note 2 2 2 2 3 2 2 3 2" xfId="9899"/>
    <cellStyle name="Note 2 2 2 2 3 2 2 3 2 2" xfId="16161"/>
    <cellStyle name="Note 2 2 2 2 3 2 2 3 2 2 2" xfId="29577"/>
    <cellStyle name="Note 2 2 2 2 3 2 2 3 2 3" xfId="20906"/>
    <cellStyle name="Note 2 2 2 2 3 2 2 3 3" xfId="13889"/>
    <cellStyle name="Note 2 2 2 2 3 2 2 3 3 2" xfId="28211"/>
    <cellStyle name="Note 2 2 2 2 3 2 2 3 4" xfId="19534"/>
    <cellStyle name="Note 2 2 2 2 3 2 2 4" xfId="2796"/>
    <cellStyle name="Note 2 2 2 2 3 2 2 4 2" xfId="22363"/>
    <cellStyle name="Note 2 2 2 2 3 2 2 5" xfId="17013"/>
    <cellStyle name="Note 2 2 2 2 3 2 3" xfId="1692"/>
    <cellStyle name="Note 2 2 2 2 3 2 3 2" xfId="7139"/>
    <cellStyle name="Note 2 2 2 2 3 2 3 2 2" xfId="9753"/>
    <cellStyle name="Note 2 2 2 2 3 2 3 2 2 2" xfId="16015"/>
    <cellStyle name="Note 2 2 2 2 3 2 3 2 2 2 2" xfId="29431"/>
    <cellStyle name="Note 2 2 2 2 3 2 3 2 2 3" xfId="20760"/>
    <cellStyle name="Note 2 2 2 2 3 2 3 2 3" xfId="13743"/>
    <cellStyle name="Note 2 2 2 2 3 2 3 2 3 2" xfId="28065"/>
    <cellStyle name="Note 2 2 2 2 3 2 3 2 4" xfId="19388"/>
    <cellStyle name="Note 2 2 2 2 3 2 3 3" xfId="13305"/>
    <cellStyle name="Note 2 2 2 2 3 2 3 3 2" xfId="27627"/>
    <cellStyle name="Note 2 2 2 2 3 2 3 4" xfId="18950"/>
    <cellStyle name="Note 2 2 2 2 3 2 4" xfId="5755"/>
    <cellStyle name="Note 2 2 2 2 3 2 4 2" xfId="12308"/>
    <cellStyle name="Note 2 2 2 2 3 2 4 2 2" xfId="26630"/>
    <cellStyle name="Note 2 2 2 2 3 2 4 3" xfId="17953"/>
    <cellStyle name="Note 2 2 2 2 3 2 5" xfId="3263"/>
    <cellStyle name="Note 2 2 2 2 3 2 5 2" xfId="22449"/>
    <cellStyle name="Note 2 2 2 2 3 2 6" xfId="14840"/>
    <cellStyle name="Note 2 2 2 2 3 3" xfId="1693"/>
    <cellStyle name="Note 2 2 2 2 3 3 2" xfId="1694"/>
    <cellStyle name="Note 2 2 2 2 3 3 2 2" xfId="7029"/>
    <cellStyle name="Note 2 2 2 2 3 3 2 2 2" xfId="13633"/>
    <cellStyle name="Note 2 2 2 2 3 3 2 2 2 2" xfId="27955"/>
    <cellStyle name="Note 2 2 2 2 3 3 2 2 3" xfId="19278"/>
    <cellStyle name="Note 2 2 2 2 3 3 2 3" xfId="7327"/>
    <cellStyle name="Note 2 2 2 2 3 3 2 3 2" xfId="9941"/>
    <cellStyle name="Note 2 2 2 2 3 3 2 3 2 2" xfId="16203"/>
    <cellStyle name="Note 2 2 2 2 3 3 2 3 2 2 2" xfId="29619"/>
    <cellStyle name="Note 2 2 2 2 3 3 2 3 2 3" xfId="20948"/>
    <cellStyle name="Note 2 2 2 2 3 3 2 3 3" xfId="13931"/>
    <cellStyle name="Note 2 2 2 2 3 3 2 3 3 2" xfId="28253"/>
    <cellStyle name="Note 2 2 2 2 3 3 2 3 4" xfId="19576"/>
    <cellStyle name="Note 2 2 2 2 3 3 2 4" xfId="11568"/>
    <cellStyle name="Note 2 2 2 2 3 3 2 4 2" xfId="25890"/>
    <cellStyle name="Note 2 2 2 2 3 3 2 5" xfId="4779"/>
    <cellStyle name="Note 2 2 2 2 3 3 3" xfId="1695"/>
    <cellStyle name="Note 2 2 2 2 3 3 3 2" xfId="3148"/>
    <cellStyle name="Note 2 2 2 2 3 3 3 2 2" xfId="8982"/>
    <cellStyle name="Note 2 2 2 2 3 3 3 2 2 2" xfId="15337"/>
    <cellStyle name="Note 2 2 2 2 3 3 3 2 2 2 2" xfId="29000"/>
    <cellStyle name="Note 2 2 2 2 3 3 3 2 2 3" xfId="20327"/>
    <cellStyle name="Note 2 2 2 2 3 3 3 2 3" xfId="4119"/>
    <cellStyle name="Note 2 2 2 2 3 3 3 2 3 2" xfId="22764"/>
    <cellStyle name="Note 2 2 2 2 3 3 3 2 4" xfId="15166"/>
    <cellStyle name="Note 2 2 2 2 3 3 3 3" xfId="12248"/>
    <cellStyle name="Note 2 2 2 2 3 3 3 3 2" xfId="26570"/>
    <cellStyle name="Note 2 2 2 2 3 3 3 4" xfId="17893"/>
    <cellStyle name="Note 2 2 2 2 3 3 4" xfId="5188"/>
    <cellStyle name="Note 2 2 2 2 3 3 4 2" xfId="11737"/>
    <cellStyle name="Note 2 2 2 2 3 3 4 2 2" xfId="26059"/>
    <cellStyle name="Note 2 2 2 2 3 3 4 3" xfId="15129"/>
    <cellStyle name="Note 2 2 2 2 3 3 5" xfId="6357"/>
    <cellStyle name="Note 2 2 2 2 3 3 5 2" xfId="23541"/>
    <cellStyle name="Note 2 2 2 2 3 3 6" xfId="15124"/>
    <cellStyle name="Note 2 2 2 2 3 4" xfId="1696"/>
    <cellStyle name="Note 2 2 2 2 3 4 2" xfId="6230"/>
    <cellStyle name="Note 2 2 2 2 3 4 2 2" xfId="12805"/>
    <cellStyle name="Note 2 2 2 2 3 4 2 2 2" xfId="27127"/>
    <cellStyle name="Note 2 2 2 2 3 4 2 3" xfId="18450"/>
    <cellStyle name="Note 2 2 2 2 3 4 3" xfId="7072"/>
    <cellStyle name="Note 2 2 2 2 3 4 3 2" xfId="9686"/>
    <cellStyle name="Note 2 2 2 2 3 4 3 2 2" xfId="15948"/>
    <cellStyle name="Note 2 2 2 2 3 4 3 2 2 2" xfId="29364"/>
    <cellStyle name="Note 2 2 2 2 3 4 3 2 3" xfId="20693"/>
    <cellStyle name="Note 2 2 2 2 3 4 3 3" xfId="13676"/>
    <cellStyle name="Note 2 2 2 2 3 4 3 3 2" xfId="27998"/>
    <cellStyle name="Note 2 2 2 2 3 4 3 4" xfId="19321"/>
    <cellStyle name="Note 2 2 2 2 3 4 4" xfId="6779"/>
    <cellStyle name="Note 2 2 2 2 3 4 4 2" xfId="23724"/>
    <cellStyle name="Note 2 2 2 2 3 4 5" xfId="3895"/>
    <cellStyle name="Note 2 2 2 2 3 5" xfId="1697"/>
    <cellStyle name="Note 2 2 2 2 3 5 2" xfId="5307"/>
    <cellStyle name="Note 2 2 2 2 3 5 2 2" xfId="9616"/>
    <cellStyle name="Note 2 2 2 2 3 5 2 2 2" xfId="15878"/>
    <cellStyle name="Note 2 2 2 2 3 5 2 2 2 2" xfId="29294"/>
    <cellStyle name="Note 2 2 2 2 3 5 2 2 3" xfId="20623"/>
    <cellStyle name="Note 2 2 2 2 3 5 2 3" xfId="11857"/>
    <cellStyle name="Note 2 2 2 2 3 5 2 3 2" xfId="26179"/>
    <cellStyle name="Note 2 2 2 2 3 5 2 4" xfId="17502"/>
    <cellStyle name="Note 2 2 2 2 3 5 3" xfId="12881"/>
    <cellStyle name="Note 2 2 2 2 3 5 3 2" xfId="27203"/>
    <cellStyle name="Note 2 2 2 2 3 5 4" xfId="18526"/>
    <cellStyle name="Note 2 2 2 2 3 6" xfId="5499"/>
    <cellStyle name="Note 2 2 2 2 3 6 2" xfId="12050"/>
    <cellStyle name="Note 2 2 2 2 3 6 2 2" xfId="26372"/>
    <cellStyle name="Note 2 2 2 2 3 6 3" xfId="17695"/>
    <cellStyle name="Note 2 2 2 2 3 7" xfId="3795"/>
    <cellStyle name="Note 2 2 2 2 3 7 2" xfId="22583"/>
    <cellStyle name="Note 2 2 2 2 3 8" xfId="6800"/>
    <cellStyle name="Note 2 2 2 2 4" xfId="1698"/>
    <cellStyle name="Note 2 2 2 2 4 2" xfId="1699"/>
    <cellStyle name="Note 2 2 2 2 4 2 2" xfId="1700"/>
    <cellStyle name="Note 2 2 2 2 4 2 2 2" xfId="5619"/>
    <cellStyle name="Note 2 2 2 2 4 2 2 2 2" xfId="12172"/>
    <cellStyle name="Note 2 2 2 2 4 2 2 2 2 2" xfId="26494"/>
    <cellStyle name="Note 2 2 2 2 4 2 2 2 3" xfId="17817"/>
    <cellStyle name="Note 2 2 2 2 4 2 2 3" xfId="7740"/>
    <cellStyle name="Note 2 2 2 2 4 2 2 3 2" xfId="10354"/>
    <cellStyle name="Note 2 2 2 2 4 2 2 3 2 2" xfId="16616"/>
    <cellStyle name="Note 2 2 2 2 4 2 2 3 2 2 2" xfId="30032"/>
    <cellStyle name="Note 2 2 2 2 4 2 2 3 2 3" xfId="21361"/>
    <cellStyle name="Note 2 2 2 2 4 2 2 3 3" xfId="14344"/>
    <cellStyle name="Note 2 2 2 2 4 2 2 3 3 2" xfId="28666"/>
    <cellStyle name="Note 2 2 2 2 4 2 2 3 4" xfId="19989"/>
    <cellStyle name="Note 2 2 2 2 4 2 2 4" xfId="6674"/>
    <cellStyle name="Note 2 2 2 2 4 2 2 4 2" xfId="23646"/>
    <cellStyle name="Note 2 2 2 2 4 2 2 5" xfId="14916"/>
    <cellStyle name="Note 2 2 2 2 4 2 3" xfId="1701"/>
    <cellStyle name="Note 2 2 2 2 4 2 3 2" xfId="3937"/>
    <cellStyle name="Note 2 2 2 2 4 2 3 2 2" xfId="9400"/>
    <cellStyle name="Note 2 2 2 2 4 2 3 2 2 2" xfId="15662"/>
    <cellStyle name="Note 2 2 2 2 4 2 3 2 2 2 2" xfId="29078"/>
    <cellStyle name="Note 2 2 2 2 4 2 3 2 2 3" xfId="20407"/>
    <cellStyle name="Note 2 2 2 2 4 2 3 2 3" xfId="5441"/>
    <cellStyle name="Note 2 2 2 2 4 2 3 2 3 2" xfId="23346"/>
    <cellStyle name="Note 2 2 2 2 4 2 3 2 4" xfId="17066"/>
    <cellStyle name="Note 2 2 2 2 4 2 3 3" xfId="13341"/>
    <cellStyle name="Note 2 2 2 2 4 2 3 3 2" xfId="27663"/>
    <cellStyle name="Note 2 2 2 2 4 2 3 4" xfId="18986"/>
    <cellStyle name="Note 2 2 2 2 4 2 4" xfId="5791"/>
    <cellStyle name="Note 2 2 2 2 4 2 4 2" xfId="12344"/>
    <cellStyle name="Note 2 2 2 2 4 2 4 2 2" xfId="26666"/>
    <cellStyle name="Note 2 2 2 2 4 2 4 3" xfId="17989"/>
    <cellStyle name="Note 2 2 2 2 4 2 5" xfId="4181"/>
    <cellStyle name="Note 2 2 2 2 4 2 5 2" xfId="22803"/>
    <cellStyle name="Note 2 2 2 2 4 2 6" xfId="17194"/>
    <cellStyle name="Note 2 2 2 2 4 3" xfId="1702"/>
    <cellStyle name="Note 2 2 2 2 4 3 2" xfId="1703"/>
    <cellStyle name="Note 2 2 2 2 4 3 2 2" xfId="6861"/>
    <cellStyle name="Note 2 2 2 2 4 3 2 2 2" xfId="13465"/>
    <cellStyle name="Note 2 2 2 2 4 3 2 2 2 2" xfId="27787"/>
    <cellStyle name="Note 2 2 2 2 4 3 2 2 3" xfId="19110"/>
    <cellStyle name="Note 2 2 2 2 4 3 2 3" xfId="7779"/>
    <cellStyle name="Note 2 2 2 2 4 3 2 3 2" xfId="10393"/>
    <cellStyle name="Note 2 2 2 2 4 3 2 3 2 2" xfId="16655"/>
    <cellStyle name="Note 2 2 2 2 4 3 2 3 2 2 2" xfId="30071"/>
    <cellStyle name="Note 2 2 2 2 4 3 2 3 2 3" xfId="21400"/>
    <cellStyle name="Note 2 2 2 2 4 3 2 3 3" xfId="14383"/>
    <cellStyle name="Note 2 2 2 2 4 3 2 3 3 2" xfId="28705"/>
    <cellStyle name="Note 2 2 2 2 4 3 2 3 4" xfId="20028"/>
    <cellStyle name="Note 2 2 2 2 4 3 2 4" xfId="11320"/>
    <cellStyle name="Note 2 2 2 2 4 3 2 4 2" xfId="25642"/>
    <cellStyle name="Note 2 2 2 2 4 3 2 5" xfId="15491"/>
    <cellStyle name="Note 2 2 2 2 4 3 3" xfId="1704"/>
    <cellStyle name="Note 2 2 2 2 4 3 3 2" xfId="7669"/>
    <cellStyle name="Note 2 2 2 2 4 3 3 2 2" xfId="10283"/>
    <cellStyle name="Note 2 2 2 2 4 3 3 2 2 2" xfId="16545"/>
    <cellStyle name="Note 2 2 2 2 4 3 3 2 2 2 2" xfId="29961"/>
    <cellStyle name="Note 2 2 2 2 4 3 3 2 2 3" xfId="21290"/>
    <cellStyle name="Note 2 2 2 2 4 3 3 2 3" xfId="14273"/>
    <cellStyle name="Note 2 2 2 2 4 3 3 2 3 2" xfId="28595"/>
    <cellStyle name="Note 2 2 2 2 4 3 3 2 4" xfId="19918"/>
    <cellStyle name="Note 2 2 2 2 4 3 3 3" xfId="12769"/>
    <cellStyle name="Note 2 2 2 2 4 3 3 3 2" xfId="27091"/>
    <cellStyle name="Note 2 2 2 2 4 3 3 4" xfId="18414"/>
    <cellStyle name="Note 2 2 2 2 4 3 4" xfId="5044"/>
    <cellStyle name="Note 2 2 2 2 4 3 4 2" xfId="11591"/>
    <cellStyle name="Note 2 2 2 2 4 3 4 2 2" xfId="25913"/>
    <cellStyle name="Note 2 2 2 2 4 3 4 3" xfId="15494"/>
    <cellStyle name="Note 2 2 2 2 4 3 5" xfId="5016"/>
    <cellStyle name="Note 2 2 2 2 4 3 5 2" xfId="23308"/>
    <cellStyle name="Note 2 2 2 2 4 3 6" xfId="6138"/>
    <cellStyle name="Note 2 2 2 2 4 4" xfId="1705"/>
    <cellStyle name="Note 2 2 2 2 4 4 2" xfId="5586"/>
    <cellStyle name="Note 2 2 2 2 4 4 2 2" xfId="12138"/>
    <cellStyle name="Note 2 2 2 2 4 4 2 2 2" xfId="26460"/>
    <cellStyle name="Note 2 2 2 2 4 4 2 3" xfId="17783"/>
    <cellStyle name="Note 2 2 2 2 4 4 3" xfId="7531"/>
    <cellStyle name="Note 2 2 2 2 4 4 3 2" xfId="10145"/>
    <cellStyle name="Note 2 2 2 2 4 4 3 2 2" xfId="16407"/>
    <cellStyle name="Note 2 2 2 2 4 4 3 2 2 2" xfId="29823"/>
    <cellStyle name="Note 2 2 2 2 4 4 3 2 3" xfId="21152"/>
    <cellStyle name="Note 2 2 2 2 4 4 3 3" xfId="14135"/>
    <cellStyle name="Note 2 2 2 2 4 4 3 3 2" xfId="28457"/>
    <cellStyle name="Note 2 2 2 2 4 4 3 4" xfId="19780"/>
    <cellStyle name="Note 2 2 2 2 4 4 4" xfId="4258"/>
    <cellStyle name="Note 2 2 2 2 4 4 4 2" xfId="22855"/>
    <cellStyle name="Note 2 2 2 2 4 4 5" xfId="4448"/>
    <cellStyle name="Note 2 2 2 2 4 5" xfId="1706"/>
    <cellStyle name="Note 2 2 2 2 4 5 2" xfId="7342"/>
    <cellStyle name="Note 2 2 2 2 4 5 2 2" xfId="9956"/>
    <cellStyle name="Note 2 2 2 2 4 5 2 2 2" xfId="16218"/>
    <cellStyle name="Note 2 2 2 2 4 5 2 2 2 2" xfId="29634"/>
    <cellStyle name="Note 2 2 2 2 4 5 2 2 3" xfId="20963"/>
    <cellStyle name="Note 2 2 2 2 4 5 2 3" xfId="13946"/>
    <cellStyle name="Note 2 2 2 2 4 5 2 3 2" xfId="28268"/>
    <cellStyle name="Note 2 2 2 2 4 5 2 4" xfId="19591"/>
    <cellStyle name="Note 2 2 2 2 4 5 3" xfId="12917"/>
    <cellStyle name="Note 2 2 2 2 4 5 3 2" xfId="27239"/>
    <cellStyle name="Note 2 2 2 2 4 5 4" xfId="18562"/>
    <cellStyle name="Note 2 2 2 2 4 6" xfId="5541"/>
    <cellStyle name="Note 2 2 2 2 4 6 2" xfId="12092"/>
    <cellStyle name="Note 2 2 2 2 4 6 2 2" xfId="26414"/>
    <cellStyle name="Note 2 2 2 2 4 6 3" xfId="17737"/>
    <cellStyle name="Note 2 2 2 2 4 7" xfId="4338"/>
    <cellStyle name="Note 2 2 2 2 4 7 2" xfId="22895"/>
    <cellStyle name="Note 2 2 2 2 4 8" xfId="15254"/>
    <cellStyle name="Note 2 2 2 2 5" xfId="1707"/>
    <cellStyle name="Note 2 2 2 2 5 2" xfId="1708"/>
    <cellStyle name="Note 2 2 2 2 5 2 2" xfId="1709"/>
    <cellStyle name="Note 2 2 2 2 5 2 2 2" xfId="5218"/>
    <cellStyle name="Note 2 2 2 2 5 2 2 2 2" xfId="11767"/>
    <cellStyle name="Note 2 2 2 2 5 2 2 2 2 2" xfId="26089"/>
    <cellStyle name="Note 2 2 2 2 5 2 2 2 3" xfId="17412"/>
    <cellStyle name="Note 2 2 2 2 5 2 2 3" xfId="5275"/>
    <cellStyle name="Note 2 2 2 2 5 2 2 3 2" xfId="9584"/>
    <cellStyle name="Note 2 2 2 2 5 2 2 3 2 2" xfId="15846"/>
    <cellStyle name="Note 2 2 2 2 5 2 2 3 2 2 2" xfId="29262"/>
    <cellStyle name="Note 2 2 2 2 5 2 2 3 2 3" xfId="20591"/>
    <cellStyle name="Note 2 2 2 2 5 2 2 3 3" xfId="11825"/>
    <cellStyle name="Note 2 2 2 2 5 2 2 3 3 2" xfId="26147"/>
    <cellStyle name="Note 2 2 2 2 5 2 2 3 4" xfId="17470"/>
    <cellStyle name="Note 2 2 2 2 5 2 2 4" xfId="4831"/>
    <cellStyle name="Note 2 2 2 2 5 2 2 4 2" xfId="23209"/>
    <cellStyle name="Note 2 2 2 2 5 2 2 5" xfId="4626"/>
    <cellStyle name="Note 2 2 2 2 5 2 3" xfId="1710"/>
    <cellStyle name="Note 2 2 2 2 5 2 3 2" xfId="7472"/>
    <cellStyle name="Note 2 2 2 2 5 2 3 2 2" xfId="10086"/>
    <cellStyle name="Note 2 2 2 2 5 2 3 2 2 2" xfId="16348"/>
    <cellStyle name="Note 2 2 2 2 5 2 3 2 2 2 2" xfId="29764"/>
    <cellStyle name="Note 2 2 2 2 5 2 3 2 2 3" xfId="21093"/>
    <cellStyle name="Note 2 2 2 2 5 2 3 2 3" xfId="14076"/>
    <cellStyle name="Note 2 2 2 2 5 2 3 2 3 2" xfId="28398"/>
    <cellStyle name="Note 2 2 2 2 5 2 3 2 4" xfId="19721"/>
    <cellStyle name="Note 2 2 2 2 5 2 3 3" xfId="13251"/>
    <cellStyle name="Note 2 2 2 2 5 2 3 3 2" xfId="27573"/>
    <cellStyle name="Note 2 2 2 2 5 2 3 4" xfId="18896"/>
    <cellStyle name="Note 2 2 2 2 5 2 4" xfId="5693"/>
    <cellStyle name="Note 2 2 2 2 5 2 4 2" xfId="12246"/>
    <cellStyle name="Note 2 2 2 2 5 2 4 2 2" xfId="26568"/>
    <cellStyle name="Note 2 2 2 2 5 2 4 3" xfId="17891"/>
    <cellStyle name="Note 2 2 2 2 5 2 5" xfId="4228"/>
    <cellStyle name="Note 2 2 2 2 5 2 5 2" xfId="22839"/>
    <cellStyle name="Note 2 2 2 2 5 2 6" xfId="3713"/>
    <cellStyle name="Note 2 2 2 2 5 3" xfId="1711"/>
    <cellStyle name="Note 2 2 2 2 5 3 2" xfId="1712"/>
    <cellStyle name="Note 2 2 2 2 5 3 2 2" xfId="6560"/>
    <cellStyle name="Note 2 2 2 2 5 3 2 2 2" xfId="13148"/>
    <cellStyle name="Note 2 2 2 2 5 3 2 2 2 2" xfId="27470"/>
    <cellStyle name="Note 2 2 2 2 5 3 2 2 3" xfId="18793"/>
    <cellStyle name="Note 2 2 2 2 5 3 2 3" xfId="7859"/>
    <cellStyle name="Note 2 2 2 2 5 3 2 3 2" xfId="10473"/>
    <cellStyle name="Note 2 2 2 2 5 3 2 3 2 2" xfId="16735"/>
    <cellStyle name="Note 2 2 2 2 5 3 2 3 2 2 2" xfId="30151"/>
    <cellStyle name="Note 2 2 2 2 5 3 2 3 2 3" xfId="21480"/>
    <cellStyle name="Note 2 2 2 2 5 3 2 3 3" xfId="14463"/>
    <cellStyle name="Note 2 2 2 2 5 3 2 3 3 2" xfId="28785"/>
    <cellStyle name="Note 2 2 2 2 5 3 2 3 4" xfId="20108"/>
    <cellStyle name="Note 2 2 2 2 5 3 2 4" xfId="4534"/>
    <cellStyle name="Note 2 2 2 2 5 3 2 4 2" xfId="23014"/>
    <cellStyle name="Note 2 2 2 2 5 3 2 5" xfId="17384"/>
    <cellStyle name="Note 2 2 2 2 5 3 3" xfId="1713"/>
    <cellStyle name="Note 2 2 2 2 5 3 3 2" xfId="7855"/>
    <cellStyle name="Note 2 2 2 2 5 3 3 2 2" xfId="10469"/>
    <cellStyle name="Note 2 2 2 2 5 3 3 2 2 2" xfId="16731"/>
    <cellStyle name="Note 2 2 2 2 5 3 3 2 2 2 2" xfId="30147"/>
    <cellStyle name="Note 2 2 2 2 5 3 3 2 2 3" xfId="21476"/>
    <cellStyle name="Note 2 2 2 2 5 3 3 2 3" xfId="14459"/>
    <cellStyle name="Note 2 2 2 2 5 3 3 2 3 2" xfId="28781"/>
    <cellStyle name="Note 2 2 2 2 5 3 3 2 4" xfId="20104"/>
    <cellStyle name="Note 2 2 2 2 5 3 3 3" xfId="13366"/>
    <cellStyle name="Note 2 2 2 2 5 3 3 3 2" xfId="27688"/>
    <cellStyle name="Note 2 2 2 2 5 3 3 4" xfId="19011"/>
    <cellStyle name="Note 2 2 2 2 5 3 4" xfId="5817"/>
    <cellStyle name="Note 2 2 2 2 5 3 4 2" xfId="12370"/>
    <cellStyle name="Note 2 2 2 2 5 3 4 2 2" xfId="26692"/>
    <cellStyle name="Note 2 2 2 2 5 3 4 3" xfId="18015"/>
    <cellStyle name="Note 2 2 2 2 5 3 5" xfId="3943"/>
    <cellStyle name="Note 2 2 2 2 5 3 5 2" xfId="22659"/>
    <cellStyle name="Note 2 2 2 2 5 3 6" xfId="4441"/>
    <cellStyle name="Note 2 2 2 2 5 4" xfId="1714"/>
    <cellStyle name="Note 2 2 2 2 5 4 2" xfId="6405"/>
    <cellStyle name="Note 2 2 2 2 5 4 2 2" xfId="12988"/>
    <cellStyle name="Note 2 2 2 2 5 4 2 2 2" xfId="27310"/>
    <cellStyle name="Note 2 2 2 2 5 4 2 3" xfId="18633"/>
    <cellStyle name="Note 2 2 2 2 5 4 3" xfId="7321"/>
    <cellStyle name="Note 2 2 2 2 5 4 3 2" xfId="9935"/>
    <cellStyle name="Note 2 2 2 2 5 4 3 2 2" xfId="16197"/>
    <cellStyle name="Note 2 2 2 2 5 4 3 2 2 2" xfId="29613"/>
    <cellStyle name="Note 2 2 2 2 5 4 3 2 3" xfId="20942"/>
    <cellStyle name="Note 2 2 2 2 5 4 3 3" xfId="13925"/>
    <cellStyle name="Note 2 2 2 2 5 4 3 3 2" xfId="28247"/>
    <cellStyle name="Note 2 2 2 2 5 4 3 4" xfId="19570"/>
    <cellStyle name="Note 2 2 2 2 5 4 4" xfId="4291"/>
    <cellStyle name="Note 2 2 2 2 5 4 4 2" xfId="22875"/>
    <cellStyle name="Note 2 2 2 2 5 4 5" xfId="15273"/>
    <cellStyle name="Note 2 2 2 2 5 5" xfId="1715"/>
    <cellStyle name="Note 2 2 2 2 5 5 2" xfId="4782"/>
    <cellStyle name="Note 2 2 2 2 5 5 2 2" xfId="9484"/>
    <cellStyle name="Note 2 2 2 2 5 5 2 2 2" xfId="15746"/>
    <cellStyle name="Note 2 2 2 2 5 5 2 2 2 2" xfId="29162"/>
    <cellStyle name="Note 2 2 2 2 5 5 2 2 3" xfId="20491"/>
    <cellStyle name="Note 2 2 2 2 5 5 2 3" xfId="2761"/>
    <cellStyle name="Note 2 2 2 2 5 5 2 3 2" xfId="22330"/>
    <cellStyle name="Note 2 2 2 2 5 5 2 4" xfId="14855"/>
    <cellStyle name="Note 2 2 2 2 5 5 3" xfId="12745"/>
    <cellStyle name="Note 2 2 2 2 5 5 3 2" xfId="27067"/>
    <cellStyle name="Note 2 2 2 2 5 5 4" xfId="18390"/>
    <cellStyle name="Note 2 2 2 2 5 6" xfId="4063"/>
    <cellStyle name="Note 2 2 2 2 5 6 2" xfId="4978"/>
    <cellStyle name="Note 2 2 2 2 5 6 2 2" xfId="23291"/>
    <cellStyle name="Note 2 2 2 2 5 6 3" xfId="15444"/>
    <cellStyle name="Note 2 2 2 2 5 7" xfId="4598"/>
    <cellStyle name="Note 2 2 2 2 5 7 2" xfId="23059"/>
    <cellStyle name="Note 2 2 2 2 5 8" xfId="16955"/>
    <cellStyle name="Note 2 2 2 2 6" xfId="1716"/>
    <cellStyle name="Note 2 2 2 2 6 2" xfId="1717"/>
    <cellStyle name="Note 2 2 2 2 6 2 2" xfId="1718"/>
    <cellStyle name="Note 2 2 2 2 6 2 2 2" xfId="5089"/>
    <cellStyle name="Note 2 2 2 2 6 2 2 2 2" xfId="11636"/>
    <cellStyle name="Note 2 2 2 2 6 2 2 2 2 2" xfId="25958"/>
    <cellStyle name="Note 2 2 2 2 6 2 2 2 3" xfId="15041"/>
    <cellStyle name="Note 2 2 2 2 6 2 2 3" xfId="7808"/>
    <cellStyle name="Note 2 2 2 2 6 2 2 3 2" xfId="10422"/>
    <cellStyle name="Note 2 2 2 2 6 2 2 3 2 2" xfId="16684"/>
    <cellStyle name="Note 2 2 2 2 6 2 2 3 2 2 2" xfId="30100"/>
    <cellStyle name="Note 2 2 2 2 6 2 2 3 2 3" xfId="21429"/>
    <cellStyle name="Note 2 2 2 2 6 2 2 3 3" xfId="14412"/>
    <cellStyle name="Note 2 2 2 2 6 2 2 3 3 2" xfId="28734"/>
    <cellStyle name="Note 2 2 2 2 6 2 2 3 4" xfId="20057"/>
    <cellStyle name="Note 2 2 2 2 6 2 2 4" xfId="5041"/>
    <cellStyle name="Note 2 2 2 2 6 2 2 4 2" xfId="23319"/>
    <cellStyle name="Note 2 2 2 2 6 2 2 5" xfId="15333"/>
    <cellStyle name="Note 2 2 2 2 6 2 3" xfId="1719"/>
    <cellStyle name="Note 2 2 2 2 6 2 3 2" xfId="8029"/>
    <cellStyle name="Note 2 2 2 2 6 2 3 2 2" xfId="10643"/>
    <cellStyle name="Note 2 2 2 2 6 2 3 2 2 2" xfId="16905"/>
    <cellStyle name="Note 2 2 2 2 6 2 3 2 2 2 2" xfId="30321"/>
    <cellStyle name="Note 2 2 2 2 6 2 3 2 2 3" xfId="21650"/>
    <cellStyle name="Note 2 2 2 2 6 2 3 2 3" xfId="14633"/>
    <cellStyle name="Note 2 2 2 2 6 2 3 2 3 2" xfId="28955"/>
    <cellStyle name="Note 2 2 2 2 6 2 3 2 4" xfId="20278"/>
    <cellStyle name="Note 2 2 2 2 6 2 3 3" xfId="13175"/>
    <cellStyle name="Note 2 2 2 2 6 2 3 3 2" xfId="27497"/>
    <cellStyle name="Note 2 2 2 2 6 2 3 4" xfId="18820"/>
    <cellStyle name="Note 2 2 2 2 6 2 4" xfId="5598"/>
    <cellStyle name="Note 2 2 2 2 6 2 4 2" xfId="12150"/>
    <cellStyle name="Note 2 2 2 2 6 2 4 2 2" xfId="26472"/>
    <cellStyle name="Note 2 2 2 2 6 2 4 3" xfId="17795"/>
    <cellStyle name="Note 2 2 2 2 6 2 5" xfId="4220"/>
    <cellStyle name="Note 2 2 2 2 6 2 5 2" xfId="22832"/>
    <cellStyle name="Note 2 2 2 2 6 2 6" xfId="15014"/>
    <cellStyle name="Note 2 2 2 2 6 3" xfId="1720"/>
    <cellStyle name="Note 2 2 2 2 6 3 2" xfId="6839"/>
    <cellStyle name="Note 2 2 2 2 6 3 2 2" xfId="13443"/>
    <cellStyle name="Note 2 2 2 2 6 3 2 2 2" xfId="27765"/>
    <cellStyle name="Note 2 2 2 2 6 3 2 3" xfId="19088"/>
    <cellStyle name="Note 2 2 2 2 6 3 3" xfId="7621"/>
    <cellStyle name="Note 2 2 2 2 6 3 3 2" xfId="10235"/>
    <cellStyle name="Note 2 2 2 2 6 3 3 2 2" xfId="16497"/>
    <cellStyle name="Note 2 2 2 2 6 3 3 2 2 2" xfId="29913"/>
    <cellStyle name="Note 2 2 2 2 6 3 3 2 3" xfId="21242"/>
    <cellStyle name="Note 2 2 2 2 6 3 3 3" xfId="14225"/>
    <cellStyle name="Note 2 2 2 2 6 3 3 3 2" xfId="28547"/>
    <cellStyle name="Note 2 2 2 2 6 3 3 4" xfId="19870"/>
    <cellStyle name="Note 2 2 2 2 6 3 4" xfId="2815"/>
    <cellStyle name="Note 2 2 2 2 6 3 4 2" xfId="22378"/>
    <cellStyle name="Note 2 2 2 2 6 3 5" xfId="17174"/>
    <cellStyle name="Note 2 2 2 2 6 4" xfId="1721"/>
    <cellStyle name="Note 2 2 2 2 6 4 2" xfId="7243"/>
    <cellStyle name="Note 2 2 2 2 6 4 2 2" xfId="9857"/>
    <cellStyle name="Note 2 2 2 2 6 4 2 2 2" xfId="16119"/>
    <cellStyle name="Note 2 2 2 2 6 4 2 2 2 2" xfId="29535"/>
    <cellStyle name="Note 2 2 2 2 6 4 2 2 3" xfId="20864"/>
    <cellStyle name="Note 2 2 2 2 6 4 2 3" xfId="13847"/>
    <cellStyle name="Note 2 2 2 2 6 4 2 3 2" xfId="28169"/>
    <cellStyle name="Note 2 2 2 2 6 4 2 4" xfId="19492"/>
    <cellStyle name="Note 2 2 2 2 6 4 3" xfId="12674"/>
    <cellStyle name="Note 2 2 2 2 6 4 3 2" xfId="26996"/>
    <cellStyle name="Note 2 2 2 2 6 4 4" xfId="18319"/>
    <cellStyle name="Note 2 2 2 2 6 5" xfId="4449"/>
    <cellStyle name="Note 2 2 2 2 6 5 2" xfId="2830"/>
    <cellStyle name="Note 2 2 2 2 6 5 2 2" xfId="22393"/>
    <cellStyle name="Note 2 2 2 2 6 5 3" xfId="4406"/>
    <cellStyle name="Note 2 2 2 2 6 6" xfId="6797"/>
    <cellStyle name="Note 2 2 2 2 6 6 2" xfId="23738"/>
    <cellStyle name="Note 2 2 2 2 6 7" xfId="3922"/>
    <cellStyle name="Note 2 2 2 2 7" xfId="1722"/>
    <cellStyle name="Note 2 2 2 2 7 2" xfId="1723"/>
    <cellStyle name="Note 2 2 2 2 7 2 2" xfId="6535"/>
    <cellStyle name="Note 2 2 2 2 7 2 2 2" xfId="13123"/>
    <cellStyle name="Note 2 2 2 2 7 2 2 2 2" xfId="27445"/>
    <cellStyle name="Note 2 2 2 2 7 2 2 3" xfId="18768"/>
    <cellStyle name="Note 2 2 2 2 7 2 3" xfId="4109"/>
    <cellStyle name="Note 2 2 2 2 7 2 3 2" xfId="9428"/>
    <cellStyle name="Note 2 2 2 2 7 2 3 2 2" xfId="15690"/>
    <cellStyle name="Note 2 2 2 2 7 2 3 2 2 2" xfId="29106"/>
    <cellStyle name="Note 2 2 2 2 7 2 3 2 3" xfId="20435"/>
    <cellStyle name="Note 2 2 2 2 7 2 3 3" xfId="4877"/>
    <cellStyle name="Note 2 2 2 2 7 2 3 3 2" xfId="23240"/>
    <cellStyle name="Note 2 2 2 2 7 2 3 4" xfId="15321"/>
    <cellStyle name="Note 2 2 2 2 7 2 4" xfId="4720"/>
    <cellStyle name="Note 2 2 2 2 7 2 4 2" xfId="23149"/>
    <cellStyle name="Note 2 2 2 2 7 2 5" xfId="15283"/>
    <cellStyle name="Note 2 2 2 2 7 3" xfId="1724"/>
    <cellStyle name="Note 2 2 2 2 7 3 2" xfId="7516"/>
    <cellStyle name="Note 2 2 2 2 7 3 2 2" xfId="10130"/>
    <cellStyle name="Note 2 2 2 2 7 3 2 2 2" xfId="16392"/>
    <cellStyle name="Note 2 2 2 2 7 3 2 2 2 2" xfId="29808"/>
    <cellStyle name="Note 2 2 2 2 7 3 2 2 3" xfId="21137"/>
    <cellStyle name="Note 2 2 2 2 7 3 2 3" xfId="14120"/>
    <cellStyle name="Note 2 2 2 2 7 3 2 3 2" xfId="28442"/>
    <cellStyle name="Note 2 2 2 2 7 3 2 4" xfId="19765"/>
    <cellStyle name="Note 2 2 2 2 7 3 3" xfId="13286"/>
    <cellStyle name="Note 2 2 2 2 7 3 3 2" xfId="27608"/>
    <cellStyle name="Note 2 2 2 2 7 3 4" xfId="18931"/>
    <cellStyle name="Note 2 2 2 2 7 4" xfId="5736"/>
    <cellStyle name="Note 2 2 2 2 7 4 2" xfId="12289"/>
    <cellStyle name="Note 2 2 2 2 7 4 2 2" xfId="26611"/>
    <cellStyle name="Note 2 2 2 2 7 4 3" xfId="17934"/>
    <cellStyle name="Note 2 2 2 2 7 5" xfId="6276"/>
    <cellStyle name="Note 2 2 2 2 7 5 2" xfId="23487"/>
    <cellStyle name="Note 2 2 2 2 7 6" xfId="14720"/>
    <cellStyle name="Note 2 2 2 2 8" xfId="1725"/>
    <cellStyle name="Note 2 2 2 2 8 2" xfId="6516"/>
    <cellStyle name="Note 2 2 2 2 8 2 2" xfId="13104"/>
    <cellStyle name="Note 2 2 2 2 8 2 2 2" xfId="27426"/>
    <cellStyle name="Note 2 2 2 2 8 2 3" xfId="18749"/>
    <cellStyle name="Note 2 2 2 2 8 3" xfId="7564"/>
    <cellStyle name="Note 2 2 2 2 8 3 2" xfId="10178"/>
    <cellStyle name="Note 2 2 2 2 8 3 2 2" xfId="16440"/>
    <cellStyle name="Note 2 2 2 2 8 3 2 2 2" xfId="29856"/>
    <cellStyle name="Note 2 2 2 2 8 3 2 3" xfId="21185"/>
    <cellStyle name="Note 2 2 2 2 8 3 3" xfId="14168"/>
    <cellStyle name="Note 2 2 2 2 8 3 3 2" xfId="28490"/>
    <cellStyle name="Note 2 2 2 2 8 3 4" xfId="19813"/>
    <cellStyle name="Note 2 2 2 2 8 4" xfId="4188"/>
    <cellStyle name="Note 2 2 2 2 8 4 2" xfId="22810"/>
    <cellStyle name="Note 2 2 2 2 8 5" xfId="15447"/>
    <cellStyle name="Note 2 2 2 2 9" xfId="1726"/>
    <cellStyle name="Note 2 2 2 2 9 2" xfId="4980"/>
    <cellStyle name="Note 2 2 2 2 9 2 2" xfId="9530"/>
    <cellStyle name="Note 2 2 2 2 9 2 2 2" xfId="15792"/>
    <cellStyle name="Note 2 2 2 2 9 2 2 2 2" xfId="29208"/>
    <cellStyle name="Note 2 2 2 2 9 2 2 3" xfId="20537"/>
    <cellStyle name="Note 2 2 2 2 9 2 3" xfId="11523"/>
    <cellStyle name="Note 2 2 2 2 9 2 3 2" xfId="25845"/>
    <cellStyle name="Note 2 2 2 2 9 2 4" xfId="6252"/>
    <cellStyle name="Note 2 2 2 2 9 3" xfId="12722"/>
    <cellStyle name="Note 2 2 2 2 9 3 2" xfId="27044"/>
    <cellStyle name="Note 2 2 2 2 9 4" xfId="18367"/>
    <cellStyle name="Note 2 2 2 3" xfId="1727"/>
    <cellStyle name="Note 2 2 2 3 10" xfId="4699"/>
    <cellStyle name="Note 2 2 2 3 10 2" xfId="23134"/>
    <cellStyle name="Note 2 2 2 3 11" xfId="17259"/>
    <cellStyle name="Note 2 2 2 3 2" xfId="1728"/>
    <cellStyle name="Note 2 2 2 3 2 2" xfId="1729"/>
    <cellStyle name="Note 2 2 2 3 2 2 2" xfId="1730"/>
    <cellStyle name="Note 2 2 2 3 2 2 2 2" xfId="6143"/>
    <cellStyle name="Note 2 2 2 3 2 2 2 2 2" xfId="12713"/>
    <cellStyle name="Note 2 2 2 3 2 2 2 2 2 2" xfId="27035"/>
    <cellStyle name="Note 2 2 2 3 2 2 2 2 3" xfId="18358"/>
    <cellStyle name="Note 2 2 2 3 2 2 2 3" xfId="7748"/>
    <cellStyle name="Note 2 2 2 3 2 2 2 3 2" xfId="10362"/>
    <cellStyle name="Note 2 2 2 3 2 2 2 3 2 2" xfId="16624"/>
    <cellStyle name="Note 2 2 2 3 2 2 2 3 2 2 2" xfId="30040"/>
    <cellStyle name="Note 2 2 2 3 2 2 2 3 2 3" xfId="21369"/>
    <cellStyle name="Note 2 2 2 3 2 2 2 3 3" xfId="14352"/>
    <cellStyle name="Note 2 2 2 3 2 2 2 3 3 2" xfId="28674"/>
    <cellStyle name="Note 2 2 2 3 2 2 2 3 4" xfId="19997"/>
    <cellStyle name="Note 2 2 2 3 2 2 2 4" xfId="3998"/>
    <cellStyle name="Note 2 2 2 3 2 2 2 4 2" xfId="22693"/>
    <cellStyle name="Note 2 2 2 3 2 2 2 5" xfId="16984"/>
    <cellStyle name="Note 2 2 2 3 2 2 3" xfId="1731"/>
    <cellStyle name="Note 2 2 2 3 2 2 3 2" xfId="4948"/>
    <cellStyle name="Note 2 2 2 3 2 2 3 2 2" xfId="9523"/>
    <cellStyle name="Note 2 2 2 3 2 2 3 2 2 2" xfId="15785"/>
    <cellStyle name="Note 2 2 2 3 2 2 3 2 2 2 2" xfId="29201"/>
    <cellStyle name="Note 2 2 2 3 2 2 3 2 2 3" xfId="20530"/>
    <cellStyle name="Note 2 2 2 3 2 2 3 2 3" xfId="11487"/>
    <cellStyle name="Note 2 2 2 3 2 2 3 2 3 2" xfId="25809"/>
    <cellStyle name="Note 2 2 2 3 2 2 3 2 4" xfId="14848"/>
    <cellStyle name="Note 2 2 2 3 2 2 3 3" xfId="13301"/>
    <cellStyle name="Note 2 2 2 3 2 2 3 3 2" xfId="27623"/>
    <cellStyle name="Note 2 2 2 3 2 2 3 4" xfId="18946"/>
    <cellStyle name="Note 2 2 2 3 2 2 4" xfId="5751"/>
    <cellStyle name="Note 2 2 2 3 2 2 4 2" xfId="12304"/>
    <cellStyle name="Note 2 2 2 3 2 2 4 2 2" xfId="26626"/>
    <cellStyle name="Note 2 2 2 3 2 2 4 3" xfId="17949"/>
    <cellStyle name="Note 2 2 2 3 2 2 5" xfId="4893"/>
    <cellStyle name="Note 2 2 2 3 2 2 5 2" xfId="23251"/>
    <cellStyle name="Note 2 2 2 3 2 2 6" xfId="4678"/>
    <cellStyle name="Note 2 2 2 3 2 3" xfId="1732"/>
    <cellStyle name="Note 2 2 2 3 2 3 2" xfId="1733"/>
    <cellStyle name="Note 2 2 2 3 2 3 2 2" xfId="6888"/>
    <cellStyle name="Note 2 2 2 3 2 3 2 2 2" xfId="13492"/>
    <cellStyle name="Note 2 2 2 3 2 3 2 2 2 2" xfId="27814"/>
    <cellStyle name="Note 2 2 2 3 2 3 2 2 3" xfId="19137"/>
    <cellStyle name="Note 2 2 2 3 2 3 2 3" xfId="7358"/>
    <cellStyle name="Note 2 2 2 3 2 3 2 3 2" xfId="9972"/>
    <cellStyle name="Note 2 2 2 3 2 3 2 3 2 2" xfId="16234"/>
    <cellStyle name="Note 2 2 2 3 2 3 2 3 2 2 2" xfId="29650"/>
    <cellStyle name="Note 2 2 2 3 2 3 2 3 2 3" xfId="20979"/>
    <cellStyle name="Note 2 2 2 3 2 3 2 3 3" xfId="13962"/>
    <cellStyle name="Note 2 2 2 3 2 3 2 3 3 2" xfId="28284"/>
    <cellStyle name="Note 2 2 2 3 2 3 2 3 4" xfId="19607"/>
    <cellStyle name="Note 2 2 2 3 2 3 2 4" xfId="11364"/>
    <cellStyle name="Note 2 2 2 3 2 3 2 4 2" xfId="25686"/>
    <cellStyle name="Note 2 2 2 3 2 3 2 5" xfId="17306"/>
    <cellStyle name="Note 2 2 2 3 2 3 3" xfId="1734"/>
    <cellStyle name="Note 2 2 2 3 2 3 3 2" xfId="8035"/>
    <cellStyle name="Note 2 2 2 3 2 3 3 2 2" xfId="10649"/>
    <cellStyle name="Note 2 2 2 3 2 3 3 2 2 2" xfId="16911"/>
    <cellStyle name="Note 2 2 2 3 2 3 3 2 2 2 2" xfId="30327"/>
    <cellStyle name="Note 2 2 2 3 2 3 3 2 2 3" xfId="21656"/>
    <cellStyle name="Note 2 2 2 3 2 3 3 2 3" xfId="14639"/>
    <cellStyle name="Note 2 2 2 3 2 3 3 2 3 2" xfId="28961"/>
    <cellStyle name="Note 2 2 2 3 2 3 3 2 4" xfId="20284"/>
    <cellStyle name="Note 2 2 2 3 2 3 3 3" xfId="13411"/>
    <cellStyle name="Note 2 2 2 3 2 3 3 3 2" xfId="27733"/>
    <cellStyle name="Note 2 2 2 3 2 3 3 4" xfId="19056"/>
    <cellStyle name="Note 2 2 2 3 2 3 4" xfId="5879"/>
    <cellStyle name="Note 2 2 2 3 2 3 4 2" xfId="12432"/>
    <cellStyle name="Note 2 2 2 3 2 3 4 2 2" xfId="26754"/>
    <cellStyle name="Note 2 2 2 3 2 3 4 3" xfId="18077"/>
    <cellStyle name="Note 2 2 2 3 2 3 5" xfId="4954"/>
    <cellStyle name="Note 2 2 2 3 2 3 5 2" xfId="23277"/>
    <cellStyle name="Note 2 2 2 3 2 3 6" xfId="3592"/>
    <cellStyle name="Note 2 2 2 3 2 4" xfId="1735"/>
    <cellStyle name="Note 2 2 2 3 2 4 2" xfId="6382"/>
    <cellStyle name="Note 2 2 2 3 2 4 2 2" xfId="12965"/>
    <cellStyle name="Note 2 2 2 3 2 4 2 2 2" xfId="27287"/>
    <cellStyle name="Note 2 2 2 3 2 4 2 3" xfId="18610"/>
    <cellStyle name="Note 2 2 2 3 2 4 3" xfId="7394"/>
    <cellStyle name="Note 2 2 2 3 2 4 3 2" xfId="10008"/>
    <cellStyle name="Note 2 2 2 3 2 4 3 2 2" xfId="16270"/>
    <cellStyle name="Note 2 2 2 3 2 4 3 2 2 2" xfId="29686"/>
    <cellStyle name="Note 2 2 2 3 2 4 3 2 3" xfId="21015"/>
    <cellStyle name="Note 2 2 2 3 2 4 3 3" xfId="13998"/>
    <cellStyle name="Note 2 2 2 3 2 4 3 3 2" xfId="28320"/>
    <cellStyle name="Note 2 2 2 3 2 4 3 4" xfId="19643"/>
    <cellStyle name="Note 2 2 2 3 2 4 4" xfId="4530"/>
    <cellStyle name="Note 2 2 2 3 2 4 4 2" xfId="23010"/>
    <cellStyle name="Note 2 2 2 3 2 4 5" xfId="15178"/>
    <cellStyle name="Note 2 2 2 3 2 5" xfId="1736"/>
    <cellStyle name="Note 2 2 2 3 2 5 2" xfId="7798"/>
    <cellStyle name="Note 2 2 2 3 2 5 2 2" xfId="10412"/>
    <cellStyle name="Note 2 2 2 3 2 5 2 2 2" xfId="16674"/>
    <cellStyle name="Note 2 2 2 3 2 5 2 2 2 2" xfId="30090"/>
    <cellStyle name="Note 2 2 2 3 2 5 2 2 3" xfId="21419"/>
    <cellStyle name="Note 2 2 2 3 2 5 2 3" xfId="14402"/>
    <cellStyle name="Note 2 2 2 3 2 5 2 3 2" xfId="28724"/>
    <cellStyle name="Note 2 2 2 3 2 5 2 4" xfId="20047"/>
    <cellStyle name="Note 2 2 2 3 2 5 3" xfId="12877"/>
    <cellStyle name="Note 2 2 2 3 2 5 3 2" xfId="27199"/>
    <cellStyle name="Note 2 2 2 3 2 5 4" xfId="18522"/>
    <cellStyle name="Note 2 2 2 3 2 6" xfId="5495"/>
    <cellStyle name="Note 2 2 2 3 2 6 2" xfId="12046"/>
    <cellStyle name="Note 2 2 2 3 2 6 2 2" xfId="26368"/>
    <cellStyle name="Note 2 2 2 3 2 6 3" xfId="17691"/>
    <cellStyle name="Note 2 2 2 3 2 7" xfId="6504"/>
    <cellStyle name="Note 2 2 2 3 2 7 2" xfId="23573"/>
    <cellStyle name="Note 2 2 2 3 2 8" xfId="14841"/>
    <cellStyle name="Note 2 2 2 3 3" xfId="1737"/>
    <cellStyle name="Note 2 2 2 3 3 2" xfId="1738"/>
    <cellStyle name="Note 2 2 2 3 3 2 2" xfId="1739"/>
    <cellStyle name="Note 2 2 2 3 3 2 2 2" xfId="6207"/>
    <cellStyle name="Note 2 2 2 3 3 2 2 2 2" xfId="12780"/>
    <cellStyle name="Note 2 2 2 3 3 2 2 2 2 2" xfId="27102"/>
    <cellStyle name="Note 2 2 2 3 3 2 2 2 3" xfId="18425"/>
    <cellStyle name="Note 2 2 2 3 3 2 2 3" xfId="7956"/>
    <cellStyle name="Note 2 2 2 3 3 2 2 3 2" xfId="10570"/>
    <cellStyle name="Note 2 2 2 3 3 2 2 3 2 2" xfId="16832"/>
    <cellStyle name="Note 2 2 2 3 3 2 2 3 2 2 2" xfId="30248"/>
    <cellStyle name="Note 2 2 2 3 3 2 2 3 2 3" xfId="21577"/>
    <cellStyle name="Note 2 2 2 3 3 2 2 3 3" xfId="14560"/>
    <cellStyle name="Note 2 2 2 3 3 2 2 3 3 2" xfId="28882"/>
    <cellStyle name="Note 2 2 2 3 3 2 2 3 4" xfId="20205"/>
    <cellStyle name="Note 2 2 2 3 3 2 2 4" xfId="3630"/>
    <cellStyle name="Note 2 2 2 3 3 2 2 4 2" xfId="22494"/>
    <cellStyle name="Note 2 2 2 3 3 2 2 5" xfId="17161"/>
    <cellStyle name="Note 2 2 2 3 3 2 3" xfId="1740"/>
    <cellStyle name="Note 2 2 2 3 3 2 3 2" xfId="7596"/>
    <cellStyle name="Note 2 2 2 3 3 2 3 2 2" xfId="10210"/>
    <cellStyle name="Note 2 2 2 3 3 2 3 2 2 2" xfId="16472"/>
    <cellStyle name="Note 2 2 2 3 3 2 3 2 2 2 2" xfId="29888"/>
    <cellStyle name="Note 2 2 2 3 3 2 3 2 2 3" xfId="21217"/>
    <cellStyle name="Note 2 2 2 3 3 2 3 2 3" xfId="14200"/>
    <cellStyle name="Note 2 2 2 3 3 2 3 2 3 2" xfId="28522"/>
    <cellStyle name="Note 2 2 2 3 3 2 3 2 4" xfId="19845"/>
    <cellStyle name="Note 2 2 2 3 3 2 3 3" xfId="13337"/>
    <cellStyle name="Note 2 2 2 3 3 2 3 3 2" xfId="27659"/>
    <cellStyle name="Note 2 2 2 3 3 2 3 4" xfId="18982"/>
    <cellStyle name="Note 2 2 2 3 3 2 4" xfId="5787"/>
    <cellStyle name="Note 2 2 2 3 3 2 4 2" xfId="12340"/>
    <cellStyle name="Note 2 2 2 3 3 2 4 2 2" xfId="26662"/>
    <cellStyle name="Note 2 2 2 3 3 2 4 3" xfId="17985"/>
    <cellStyle name="Note 2 2 2 3 3 2 5" xfId="3219"/>
    <cellStyle name="Note 2 2 2 3 3 2 5 2" xfId="22439"/>
    <cellStyle name="Note 2 2 2 3 3 2 6" xfId="16994"/>
    <cellStyle name="Note 2 2 2 3 3 3" xfId="1741"/>
    <cellStyle name="Note 2 2 2 3 3 3 2" xfId="1742"/>
    <cellStyle name="Note 2 2 2 3 3 3 2 2" xfId="6209"/>
    <cellStyle name="Note 2 2 2 3 3 3 2 2 2" xfId="12782"/>
    <cellStyle name="Note 2 2 2 3 3 3 2 2 2 2" xfId="27104"/>
    <cellStyle name="Note 2 2 2 3 3 3 2 2 3" xfId="18427"/>
    <cellStyle name="Note 2 2 2 3 3 3 2 3" xfId="7575"/>
    <cellStyle name="Note 2 2 2 3 3 3 2 3 2" xfId="10189"/>
    <cellStyle name="Note 2 2 2 3 3 3 2 3 2 2" xfId="16451"/>
    <cellStyle name="Note 2 2 2 3 3 3 2 3 2 2 2" xfId="29867"/>
    <cellStyle name="Note 2 2 2 3 3 3 2 3 2 3" xfId="21196"/>
    <cellStyle name="Note 2 2 2 3 3 3 2 3 3" xfId="14179"/>
    <cellStyle name="Note 2 2 2 3 3 3 2 3 3 2" xfId="28501"/>
    <cellStyle name="Note 2 2 2 3 3 3 2 3 4" xfId="19824"/>
    <cellStyle name="Note 2 2 2 3 3 3 2 4" xfId="3891"/>
    <cellStyle name="Note 2 2 2 3 3 3 2 4 2" xfId="22630"/>
    <cellStyle name="Note 2 2 2 3 3 3 2 5" xfId="15566"/>
    <cellStyle name="Note 2 2 2 3 3 3 3" xfId="1743"/>
    <cellStyle name="Note 2 2 2 3 3 3 3 2" xfId="7687"/>
    <cellStyle name="Note 2 2 2 3 3 3 3 2 2" xfId="10301"/>
    <cellStyle name="Note 2 2 2 3 3 3 3 2 2 2" xfId="16563"/>
    <cellStyle name="Note 2 2 2 3 3 3 3 2 2 2 2" xfId="29979"/>
    <cellStyle name="Note 2 2 2 3 3 3 3 2 2 3" xfId="21308"/>
    <cellStyle name="Note 2 2 2 3 3 3 3 2 3" xfId="14291"/>
    <cellStyle name="Note 2 2 2 3 3 3 3 2 3 2" xfId="28613"/>
    <cellStyle name="Note 2 2 2 3 3 3 3 2 4" xfId="19936"/>
    <cellStyle name="Note 2 2 2 3 3 3 3 3" xfId="13206"/>
    <cellStyle name="Note 2 2 2 3 3 3 3 3 2" xfId="27528"/>
    <cellStyle name="Note 2 2 2 3 3 3 3 4" xfId="18851"/>
    <cellStyle name="Note 2 2 2 3 3 3 4" xfId="5645"/>
    <cellStyle name="Note 2 2 2 3 3 3 4 2" xfId="12198"/>
    <cellStyle name="Note 2 2 2 3 3 3 4 2 2" xfId="26520"/>
    <cellStyle name="Note 2 2 2 3 3 3 4 3" xfId="17843"/>
    <cellStyle name="Note 2 2 2 3 3 3 5" xfId="4754"/>
    <cellStyle name="Note 2 2 2 3 3 3 5 2" xfId="23171"/>
    <cellStyle name="Note 2 2 2 3 3 3 6" xfId="14956"/>
    <cellStyle name="Note 2 2 2 3 3 4" xfId="1744"/>
    <cellStyle name="Note 2 2 2 3 3 4 2" xfId="5941"/>
    <cellStyle name="Note 2 2 2 3 3 4 2 2" xfId="12498"/>
    <cellStyle name="Note 2 2 2 3 3 4 2 2 2" xfId="26820"/>
    <cellStyle name="Note 2 2 2 3 3 4 2 3" xfId="18143"/>
    <cellStyle name="Note 2 2 2 3 3 4 3" xfId="7197"/>
    <cellStyle name="Note 2 2 2 3 3 4 3 2" xfId="9811"/>
    <cellStyle name="Note 2 2 2 3 3 4 3 2 2" xfId="16073"/>
    <cellStyle name="Note 2 2 2 3 3 4 3 2 2 2" xfId="29489"/>
    <cellStyle name="Note 2 2 2 3 3 4 3 2 3" xfId="20818"/>
    <cellStyle name="Note 2 2 2 3 3 4 3 3" xfId="13801"/>
    <cellStyle name="Note 2 2 2 3 3 4 3 3 2" xfId="28123"/>
    <cellStyle name="Note 2 2 2 3 3 4 3 4" xfId="19446"/>
    <cellStyle name="Note 2 2 2 3 3 4 4" xfId="4510"/>
    <cellStyle name="Note 2 2 2 3 3 4 4 2" xfId="22997"/>
    <cellStyle name="Note 2 2 2 3 3 4 5" xfId="16981"/>
    <cellStyle name="Note 2 2 2 3 3 5" xfId="1745"/>
    <cellStyle name="Note 2 2 2 3 3 5 2" xfId="7212"/>
    <cellStyle name="Note 2 2 2 3 3 5 2 2" xfId="9826"/>
    <cellStyle name="Note 2 2 2 3 3 5 2 2 2" xfId="16088"/>
    <cellStyle name="Note 2 2 2 3 3 5 2 2 2 2" xfId="29504"/>
    <cellStyle name="Note 2 2 2 3 3 5 2 2 3" xfId="20833"/>
    <cellStyle name="Note 2 2 2 3 3 5 2 3" xfId="13816"/>
    <cellStyle name="Note 2 2 2 3 3 5 2 3 2" xfId="28138"/>
    <cellStyle name="Note 2 2 2 3 3 5 2 4" xfId="19461"/>
    <cellStyle name="Note 2 2 2 3 3 5 3" xfId="12913"/>
    <cellStyle name="Note 2 2 2 3 3 5 3 2" xfId="27235"/>
    <cellStyle name="Note 2 2 2 3 3 5 4" xfId="18558"/>
    <cellStyle name="Note 2 2 2 3 3 6" xfId="5537"/>
    <cellStyle name="Note 2 2 2 3 3 6 2" xfId="12088"/>
    <cellStyle name="Note 2 2 2 3 3 6 2 2" xfId="26410"/>
    <cellStyle name="Note 2 2 2 3 3 6 3" xfId="17733"/>
    <cellStyle name="Note 2 2 2 3 3 7" xfId="4038"/>
    <cellStyle name="Note 2 2 2 3 3 7 2" xfId="22716"/>
    <cellStyle name="Note 2 2 2 3 3 8" xfId="17195"/>
    <cellStyle name="Note 2 2 2 3 4" xfId="1746"/>
    <cellStyle name="Note 2 2 2 3 4 2" xfId="1747"/>
    <cellStyle name="Note 2 2 2 3 4 2 2" xfId="1748"/>
    <cellStyle name="Note 2 2 2 3 4 2 2 2" xfId="6376"/>
    <cellStyle name="Note 2 2 2 3 4 2 2 2 2" xfId="12959"/>
    <cellStyle name="Note 2 2 2 3 4 2 2 2 2 2" xfId="27281"/>
    <cellStyle name="Note 2 2 2 3 4 2 2 2 3" xfId="18604"/>
    <cellStyle name="Note 2 2 2 3 4 2 2 3" xfId="5324"/>
    <cellStyle name="Note 2 2 2 3 4 2 2 3 2" xfId="9633"/>
    <cellStyle name="Note 2 2 2 3 4 2 2 3 2 2" xfId="15895"/>
    <cellStyle name="Note 2 2 2 3 4 2 2 3 2 2 2" xfId="29311"/>
    <cellStyle name="Note 2 2 2 3 4 2 2 3 2 3" xfId="20640"/>
    <cellStyle name="Note 2 2 2 3 4 2 2 3 3" xfId="11874"/>
    <cellStyle name="Note 2 2 2 3 4 2 2 3 3 2" xfId="26196"/>
    <cellStyle name="Note 2 2 2 3 4 2 2 3 4" xfId="17519"/>
    <cellStyle name="Note 2 2 2 3 4 2 2 4" xfId="4522"/>
    <cellStyle name="Note 2 2 2 3 4 2 2 4 2" xfId="23006"/>
    <cellStyle name="Note 2 2 2 3 4 2 2 5" xfId="3856"/>
    <cellStyle name="Note 2 2 2 3 4 2 3" xfId="1749"/>
    <cellStyle name="Note 2 2 2 3 4 2 3 2" xfId="3722"/>
    <cellStyle name="Note 2 2 2 3 4 2 3 2 2" xfId="9363"/>
    <cellStyle name="Note 2 2 2 3 4 2 3 2 2 2" xfId="15625"/>
    <cellStyle name="Note 2 2 2 3 4 2 3 2 2 2 2" xfId="29041"/>
    <cellStyle name="Note 2 2 2 3 4 2 3 2 2 3" xfId="20370"/>
    <cellStyle name="Note 2 2 2 3 4 2 3 2 3" xfId="4996"/>
    <cellStyle name="Note 2 2 2 3 4 2 3 2 3 2" xfId="23300"/>
    <cellStyle name="Note 2 2 2 3 4 2 3 2 4" xfId="17111"/>
    <cellStyle name="Note 2 2 2 3 4 2 3 3" xfId="13092"/>
    <cellStyle name="Note 2 2 2 3 4 2 3 3 2" xfId="27414"/>
    <cellStyle name="Note 2 2 2 3 4 2 3 4" xfId="18737"/>
    <cellStyle name="Note 2 2 2 3 4 2 4" xfId="5447"/>
    <cellStyle name="Note 2 2 2 3 4 2 4 2" xfId="11998"/>
    <cellStyle name="Note 2 2 2 3 4 2 4 2 2" xfId="26320"/>
    <cellStyle name="Note 2 2 2 3 4 2 4 3" xfId="17643"/>
    <cellStyle name="Note 2 2 2 3 4 2 5" xfId="4695"/>
    <cellStyle name="Note 2 2 2 3 4 2 5 2" xfId="23131"/>
    <cellStyle name="Note 2 2 2 3 4 2 6" xfId="4341"/>
    <cellStyle name="Note 2 2 2 3 4 3" xfId="1750"/>
    <cellStyle name="Note 2 2 2 3 4 3 2" xfId="1751"/>
    <cellStyle name="Note 2 2 2 3 4 3 2 2" xfId="6909"/>
    <cellStyle name="Note 2 2 2 3 4 3 2 2 2" xfId="13513"/>
    <cellStyle name="Note 2 2 2 3 4 3 2 2 2 2" xfId="27835"/>
    <cellStyle name="Note 2 2 2 3 4 3 2 2 3" xfId="19158"/>
    <cellStyle name="Note 2 2 2 3 4 3 2 3" xfId="7138"/>
    <cellStyle name="Note 2 2 2 3 4 3 2 3 2" xfId="9752"/>
    <cellStyle name="Note 2 2 2 3 4 3 2 3 2 2" xfId="16014"/>
    <cellStyle name="Note 2 2 2 3 4 3 2 3 2 2 2" xfId="29430"/>
    <cellStyle name="Note 2 2 2 3 4 3 2 3 2 3" xfId="20759"/>
    <cellStyle name="Note 2 2 2 3 4 3 2 3 3" xfId="13742"/>
    <cellStyle name="Note 2 2 2 3 4 3 2 3 3 2" xfId="28064"/>
    <cellStyle name="Note 2 2 2 3 4 3 2 3 4" xfId="19387"/>
    <cellStyle name="Note 2 2 2 3 4 3 2 4" xfId="11395"/>
    <cellStyle name="Note 2 2 2 3 4 3 2 4 2" xfId="25717"/>
    <cellStyle name="Note 2 2 2 3 4 3 2 5" xfId="14943"/>
    <cellStyle name="Note 2 2 2 3 4 3 3" xfId="1752"/>
    <cellStyle name="Note 2 2 2 3 4 3 3 2" xfId="7428"/>
    <cellStyle name="Note 2 2 2 3 4 3 3 2 2" xfId="10042"/>
    <cellStyle name="Note 2 2 2 3 4 3 3 2 2 2" xfId="16304"/>
    <cellStyle name="Note 2 2 2 3 4 3 3 2 2 2 2" xfId="29720"/>
    <cellStyle name="Note 2 2 2 3 4 3 3 2 2 3" xfId="21049"/>
    <cellStyle name="Note 2 2 2 3 4 3 3 2 3" xfId="14032"/>
    <cellStyle name="Note 2 2 2 3 4 3 3 2 3 2" xfId="28354"/>
    <cellStyle name="Note 2 2 2 3 4 3 3 2 4" xfId="19677"/>
    <cellStyle name="Note 2 2 2 3 4 3 3 3" xfId="13158"/>
    <cellStyle name="Note 2 2 2 3 4 3 3 3 2" xfId="27480"/>
    <cellStyle name="Note 2 2 2 3 4 3 3 4" xfId="18803"/>
    <cellStyle name="Note 2 2 2 3 4 3 4" xfId="5567"/>
    <cellStyle name="Note 2 2 2 3 4 3 4 2" xfId="12118"/>
    <cellStyle name="Note 2 2 2 3 4 3 4 2 2" xfId="26440"/>
    <cellStyle name="Note 2 2 2 3 4 3 4 3" xfId="17763"/>
    <cellStyle name="Note 2 2 2 3 4 3 5" xfId="3285"/>
    <cellStyle name="Note 2 2 2 3 4 3 5 2" xfId="22461"/>
    <cellStyle name="Note 2 2 2 3 4 3 6" xfId="14728"/>
    <cellStyle name="Note 2 2 2 3 4 4" xfId="1753"/>
    <cellStyle name="Note 2 2 2 3 4 4 2" xfId="6380"/>
    <cellStyle name="Note 2 2 2 3 4 4 2 2" xfId="12963"/>
    <cellStyle name="Note 2 2 2 3 4 4 2 2 2" xfId="27285"/>
    <cellStyle name="Note 2 2 2 3 4 4 2 3" xfId="18608"/>
    <cellStyle name="Note 2 2 2 3 4 4 3" xfId="7915"/>
    <cellStyle name="Note 2 2 2 3 4 4 3 2" xfId="10529"/>
    <cellStyle name="Note 2 2 2 3 4 4 3 2 2" xfId="16791"/>
    <cellStyle name="Note 2 2 2 3 4 4 3 2 2 2" xfId="30207"/>
    <cellStyle name="Note 2 2 2 3 4 4 3 2 3" xfId="21536"/>
    <cellStyle name="Note 2 2 2 3 4 4 3 3" xfId="14519"/>
    <cellStyle name="Note 2 2 2 3 4 4 3 3 2" xfId="28841"/>
    <cellStyle name="Note 2 2 2 3 4 4 3 4" xfId="20164"/>
    <cellStyle name="Note 2 2 2 3 4 4 4" xfId="3270"/>
    <cellStyle name="Note 2 2 2 3 4 4 4 2" xfId="22454"/>
    <cellStyle name="Note 2 2 2 3 4 4 5" xfId="15011"/>
    <cellStyle name="Note 2 2 2 3 4 5" xfId="1754"/>
    <cellStyle name="Note 2 2 2 3 4 5 2" xfId="7640"/>
    <cellStyle name="Note 2 2 2 3 4 5 2 2" xfId="10254"/>
    <cellStyle name="Note 2 2 2 3 4 5 2 2 2" xfId="16516"/>
    <cellStyle name="Note 2 2 2 3 4 5 2 2 2 2" xfId="29932"/>
    <cellStyle name="Note 2 2 2 3 4 5 2 2 3" xfId="21261"/>
    <cellStyle name="Note 2 2 2 3 4 5 2 3" xfId="14244"/>
    <cellStyle name="Note 2 2 2 3 4 5 2 3 2" xfId="28566"/>
    <cellStyle name="Note 2 2 2 3 4 5 2 4" xfId="19889"/>
    <cellStyle name="Note 2 2 2 3 4 5 3" xfId="11588"/>
    <cellStyle name="Note 2 2 2 3 4 5 3 2" xfId="25910"/>
    <cellStyle name="Note 2 2 2 3 4 5 4" xfId="15230"/>
    <cellStyle name="Note 2 2 2 3 4 6" xfId="5162"/>
    <cellStyle name="Note 2 2 2 3 4 6 2" xfId="11711"/>
    <cellStyle name="Note 2 2 2 3 4 6 2 2" xfId="26033"/>
    <cellStyle name="Note 2 2 2 3 4 6 3" xfId="4507"/>
    <cellStyle name="Note 2 2 2 3 4 7" xfId="4721"/>
    <cellStyle name="Note 2 2 2 3 4 7 2" xfId="23150"/>
    <cellStyle name="Note 2 2 2 3 4 8" xfId="5090"/>
    <cellStyle name="Note 2 2 2 3 5" xfId="1755"/>
    <cellStyle name="Note 2 2 2 3 5 2" xfId="1756"/>
    <cellStyle name="Note 2 2 2 3 5 2 2" xfId="1757"/>
    <cellStyle name="Note 2 2 2 3 5 2 2 2" xfId="6179"/>
    <cellStyle name="Note 2 2 2 3 5 2 2 2 2" xfId="12752"/>
    <cellStyle name="Note 2 2 2 3 5 2 2 2 2 2" xfId="27074"/>
    <cellStyle name="Note 2 2 2 3 5 2 2 2 3" xfId="18397"/>
    <cellStyle name="Note 2 2 2 3 5 2 2 3" xfId="7543"/>
    <cellStyle name="Note 2 2 2 3 5 2 2 3 2" xfId="10157"/>
    <cellStyle name="Note 2 2 2 3 5 2 2 3 2 2" xfId="16419"/>
    <cellStyle name="Note 2 2 2 3 5 2 2 3 2 2 2" xfId="29835"/>
    <cellStyle name="Note 2 2 2 3 5 2 2 3 2 3" xfId="21164"/>
    <cellStyle name="Note 2 2 2 3 5 2 2 3 3" xfId="14147"/>
    <cellStyle name="Note 2 2 2 3 5 2 2 3 3 2" xfId="28469"/>
    <cellStyle name="Note 2 2 2 3 5 2 2 3 4" xfId="19792"/>
    <cellStyle name="Note 2 2 2 3 5 2 2 4" xfId="6754"/>
    <cellStyle name="Note 2 2 2 3 5 2 2 4 2" xfId="23702"/>
    <cellStyle name="Note 2 2 2 3 5 2 2 5" xfId="17199"/>
    <cellStyle name="Note 2 2 2 3 5 2 3" xfId="1758"/>
    <cellStyle name="Note 2 2 2 3 5 2 3 2" xfId="7809"/>
    <cellStyle name="Note 2 2 2 3 5 2 3 2 2" xfId="10423"/>
    <cellStyle name="Note 2 2 2 3 5 2 3 2 2 2" xfId="16685"/>
    <cellStyle name="Note 2 2 2 3 5 2 3 2 2 2 2" xfId="30101"/>
    <cellStyle name="Note 2 2 2 3 5 2 3 2 2 3" xfId="21430"/>
    <cellStyle name="Note 2 2 2 3 5 2 3 2 3" xfId="14413"/>
    <cellStyle name="Note 2 2 2 3 5 2 3 2 3 2" xfId="28735"/>
    <cellStyle name="Note 2 2 2 3 5 2 3 2 4" xfId="20058"/>
    <cellStyle name="Note 2 2 2 3 5 2 3 3" xfId="12743"/>
    <cellStyle name="Note 2 2 2 3 5 2 3 3 2" xfId="27065"/>
    <cellStyle name="Note 2 2 2 3 5 2 3 4" xfId="18388"/>
    <cellStyle name="Note 2 2 2 3 5 2 4" xfId="4773"/>
    <cellStyle name="Note 2 2 2 3 5 2 4 2" xfId="2766"/>
    <cellStyle name="Note 2 2 2 3 5 2 4 2 2" xfId="22335"/>
    <cellStyle name="Note 2 2 2 3 5 2 4 3" xfId="14696"/>
    <cellStyle name="Note 2 2 2 3 5 2 5" xfId="6678"/>
    <cellStyle name="Note 2 2 2 3 5 2 5 2" xfId="23649"/>
    <cellStyle name="Note 2 2 2 3 5 2 6" xfId="4541"/>
    <cellStyle name="Note 2 2 2 3 5 3" xfId="1759"/>
    <cellStyle name="Note 2 2 2 3 5 3 2" xfId="6862"/>
    <cellStyle name="Note 2 2 2 3 5 3 2 2" xfId="13466"/>
    <cellStyle name="Note 2 2 2 3 5 3 2 2 2" xfId="27788"/>
    <cellStyle name="Note 2 2 2 3 5 3 2 3" xfId="19111"/>
    <cellStyle name="Note 2 2 2 3 5 3 3" xfId="5345"/>
    <cellStyle name="Note 2 2 2 3 5 3 3 2" xfId="9654"/>
    <cellStyle name="Note 2 2 2 3 5 3 3 2 2" xfId="15916"/>
    <cellStyle name="Note 2 2 2 3 5 3 3 2 2 2" xfId="29332"/>
    <cellStyle name="Note 2 2 2 3 5 3 3 2 3" xfId="20661"/>
    <cellStyle name="Note 2 2 2 3 5 3 3 3" xfId="11895"/>
    <cellStyle name="Note 2 2 2 3 5 3 3 3 2" xfId="26217"/>
    <cellStyle name="Note 2 2 2 3 5 3 3 4" xfId="17540"/>
    <cellStyle name="Note 2 2 2 3 5 3 4" xfId="11321"/>
    <cellStyle name="Note 2 2 2 3 5 3 4 2" xfId="25643"/>
    <cellStyle name="Note 2 2 2 3 5 3 5" xfId="17289"/>
    <cellStyle name="Note 2 2 2 3 5 4" xfId="1760"/>
    <cellStyle name="Note 2 2 2 3 5 4 2" xfId="7815"/>
    <cellStyle name="Note 2 2 2 3 5 4 2 2" xfId="10429"/>
    <cellStyle name="Note 2 2 2 3 5 4 2 2 2" xfId="16691"/>
    <cellStyle name="Note 2 2 2 3 5 4 2 2 2 2" xfId="30107"/>
    <cellStyle name="Note 2 2 2 3 5 4 2 2 3" xfId="21436"/>
    <cellStyle name="Note 2 2 2 3 5 4 2 3" xfId="14419"/>
    <cellStyle name="Note 2 2 2 3 5 4 2 3 2" xfId="28741"/>
    <cellStyle name="Note 2 2 2 3 5 4 2 4" xfId="20064"/>
    <cellStyle name="Note 2 2 2 3 5 4 3" xfId="12845"/>
    <cellStyle name="Note 2 2 2 3 5 4 3 2" xfId="27167"/>
    <cellStyle name="Note 2 2 2 3 5 4 4" xfId="18490"/>
    <cellStyle name="Note 2 2 2 3 5 5" xfId="5428"/>
    <cellStyle name="Note 2 2 2 3 5 5 2" xfId="11979"/>
    <cellStyle name="Note 2 2 2 3 5 5 2 2" xfId="26301"/>
    <cellStyle name="Note 2 2 2 3 5 5 3" xfId="17624"/>
    <cellStyle name="Note 2 2 2 3 5 6" xfId="6784"/>
    <cellStyle name="Note 2 2 2 3 5 6 2" xfId="23728"/>
    <cellStyle name="Note 2 2 2 3 5 7" xfId="17254"/>
    <cellStyle name="Note 2 2 2 3 6" xfId="1761"/>
    <cellStyle name="Note 2 2 2 3 6 2" xfId="1762"/>
    <cellStyle name="Note 2 2 2 3 6 2 2" xfId="6848"/>
    <cellStyle name="Note 2 2 2 3 6 2 2 2" xfId="13452"/>
    <cellStyle name="Note 2 2 2 3 6 2 2 2 2" xfId="27774"/>
    <cellStyle name="Note 2 2 2 3 6 2 2 3" xfId="19097"/>
    <cellStyle name="Note 2 2 2 3 6 2 3" xfId="7214"/>
    <cellStyle name="Note 2 2 2 3 6 2 3 2" xfId="9828"/>
    <cellStyle name="Note 2 2 2 3 6 2 3 2 2" xfId="16090"/>
    <cellStyle name="Note 2 2 2 3 6 2 3 2 2 2" xfId="29506"/>
    <cellStyle name="Note 2 2 2 3 6 2 3 2 3" xfId="20835"/>
    <cellStyle name="Note 2 2 2 3 6 2 3 3" xfId="13818"/>
    <cellStyle name="Note 2 2 2 3 6 2 3 3 2" xfId="28140"/>
    <cellStyle name="Note 2 2 2 3 6 2 3 4" xfId="19463"/>
    <cellStyle name="Note 2 2 2 3 6 2 4" xfId="2807"/>
    <cellStyle name="Note 2 2 2 3 6 2 4 2" xfId="22370"/>
    <cellStyle name="Note 2 2 2 3 6 2 5" xfId="3749"/>
    <cellStyle name="Note 2 2 2 3 6 3" xfId="1763"/>
    <cellStyle name="Note 2 2 2 3 6 3 2" xfId="5019"/>
    <cellStyle name="Note 2 2 2 3 6 3 2 2" xfId="9545"/>
    <cellStyle name="Note 2 2 2 3 6 3 2 2 2" xfId="15807"/>
    <cellStyle name="Note 2 2 2 3 6 3 2 2 2 2" xfId="29223"/>
    <cellStyle name="Note 2 2 2 3 6 3 2 2 3" xfId="20552"/>
    <cellStyle name="Note 2 2 2 3 6 3 2 3" xfId="11565"/>
    <cellStyle name="Note 2 2 2 3 6 3 2 3 2" xfId="25887"/>
    <cellStyle name="Note 2 2 2 3 6 3 2 4" xfId="17197"/>
    <cellStyle name="Note 2 2 2 3 6 3 3" xfId="12533"/>
    <cellStyle name="Note 2 2 2 3 6 3 3 2" xfId="26855"/>
    <cellStyle name="Note 2 2 2 3 6 3 4" xfId="18178"/>
    <cellStyle name="Note 2 2 2 3 6 4" xfId="4799"/>
    <cellStyle name="Note 2 2 2 3 6 4 2" xfId="11329"/>
    <cellStyle name="Note 2 2 2 3 6 4 2 2" xfId="25651"/>
    <cellStyle name="Note 2 2 2 3 6 4 3" xfId="17249"/>
    <cellStyle name="Note 2 2 2 3 6 5" xfId="4342"/>
    <cellStyle name="Note 2 2 2 3 6 5 2" xfId="22897"/>
    <cellStyle name="Note 2 2 2 3 6 6" xfId="14912"/>
    <cellStyle name="Note 2 2 2 3 7" xfId="1764"/>
    <cellStyle name="Note 2 2 2 3 7 2" xfId="6859"/>
    <cellStyle name="Note 2 2 2 3 7 2 2" xfId="13463"/>
    <cellStyle name="Note 2 2 2 3 7 2 2 2" xfId="27785"/>
    <cellStyle name="Note 2 2 2 3 7 2 3" xfId="19108"/>
    <cellStyle name="Note 2 2 2 3 7 3" xfId="7506"/>
    <cellStyle name="Note 2 2 2 3 7 3 2" xfId="10120"/>
    <cellStyle name="Note 2 2 2 3 7 3 2 2" xfId="16382"/>
    <cellStyle name="Note 2 2 2 3 7 3 2 2 2" xfId="29798"/>
    <cellStyle name="Note 2 2 2 3 7 3 2 3" xfId="21127"/>
    <cellStyle name="Note 2 2 2 3 7 3 3" xfId="14110"/>
    <cellStyle name="Note 2 2 2 3 7 3 3 2" xfId="28432"/>
    <cellStyle name="Note 2 2 2 3 7 3 4" xfId="19755"/>
    <cellStyle name="Note 2 2 2 3 7 4" xfId="11317"/>
    <cellStyle name="Note 2 2 2 3 7 4 2" xfId="25639"/>
    <cellStyle name="Note 2 2 2 3 7 5" xfId="15227"/>
    <cellStyle name="Note 2 2 2 3 8" xfId="1765"/>
    <cellStyle name="Note 2 2 2 3 8 2" xfId="7657"/>
    <cellStyle name="Note 2 2 2 3 8 2 2" xfId="10271"/>
    <cellStyle name="Note 2 2 2 3 8 2 2 2" xfId="16533"/>
    <cellStyle name="Note 2 2 2 3 8 2 2 2 2" xfId="29949"/>
    <cellStyle name="Note 2 2 2 3 8 2 2 3" xfId="21278"/>
    <cellStyle name="Note 2 2 2 3 8 2 3" xfId="14261"/>
    <cellStyle name="Note 2 2 2 3 8 2 3 2" xfId="28583"/>
    <cellStyle name="Note 2 2 2 3 8 2 4" xfId="19906"/>
    <cellStyle name="Note 2 2 2 3 8 3" xfId="12598"/>
    <cellStyle name="Note 2 2 2 3 8 3 2" xfId="26920"/>
    <cellStyle name="Note 2 2 2 3 8 4" xfId="18243"/>
    <cellStyle name="Note 2 2 2 3 9" xfId="5159"/>
    <cellStyle name="Note 2 2 2 3 9 2" xfId="11708"/>
    <cellStyle name="Note 2 2 2 3 9 2 2" xfId="26030"/>
    <cellStyle name="Note 2 2 2 3 9 3" xfId="4202"/>
    <cellStyle name="Note 2 2 2 4" xfId="1766"/>
    <cellStyle name="Note 2 2 2 4 2" xfId="1767"/>
    <cellStyle name="Note 2 2 2 4 2 2" xfId="1768"/>
    <cellStyle name="Note 2 2 2 4 2 2 2" xfId="7013"/>
    <cellStyle name="Note 2 2 2 4 2 2 2 2" xfId="13617"/>
    <cellStyle name="Note 2 2 2 4 2 2 2 2 2" xfId="27939"/>
    <cellStyle name="Note 2 2 2 4 2 2 2 3" xfId="19262"/>
    <cellStyle name="Note 2 2 2 4 2 2 3" xfId="7261"/>
    <cellStyle name="Note 2 2 2 4 2 2 3 2" xfId="9875"/>
    <cellStyle name="Note 2 2 2 4 2 2 3 2 2" xfId="16137"/>
    <cellStyle name="Note 2 2 2 4 2 2 3 2 2 2" xfId="29553"/>
    <cellStyle name="Note 2 2 2 4 2 2 3 2 3" xfId="20882"/>
    <cellStyle name="Note 2 2 2 4 2 2 3 3" xfId="13865"/>
    <cellStyle name="Note 2 2 2 4 2 2 3 3 2" xfId="28187"/>
    <cellStyle name="Note 2 2 2 4 2 2 3 4" xfId="19510"/>
    <cellStyle name="Note 2 2 2 4 2 2 4" xfId="11539"/>
    <cellStyle name="Note 2 2 2 4 2 2 4 2" xfId="25861"/>
    <cellStyle name="Note 2 2 2 4 2 2 5" xfId="15502"/>
    <cellStyle name="Note 2 2 2 4 2 3" xfId="1769"/>
    <cellStyle name="Note 2 2 2 4 2 3 2" xfId="4924"/>
    <cellStyle name="Note 2 2 2 4 2 3 2 2" xfId="9517"/>
    <cellStyle name="Note 2 2 2 4 2 3 2 2 2" xfId="15779"/>
    <cellStyle name="Note 2 2 2 4 2 3 2 2 2 2" xfId="29195"/>
    <cellStyle name="Note 2 2 2 4 2 3 2 2 3" xfId="20524"/>
    <cellStyle name="Note 2 2 2 4 2 3 2 3" xfId="11462"/>
    <cellStyle name="Note 2 2 2 4 2 3 2 3 2" xfId="25784"/>
    <cellStyle name="Note 2 2 2 4 2 3 2 4" xfId="6283"/>
    <cellStyle name="Note 2 2 2 4 2 3 3" xfId="13231"/>
    <cellStyle name="Note 2 2 2 4 2 3 3 2" xfId="27553"/>
    <cellStyle name="Note 2 2 2 4 2 3 4" xfId="18876"/>
    <cellStyle name="Note 2 2 2 4 2 4" xfId="5672"/>
    <cellStyle name="Note 2 2 2 4 2 4 2" xfId="12225"/>
    <cellStyle name="Note 2 2 2 4 2 4 2 2" xfId="26547"/>
    <cellStyle name="Note 2 2 2 4 2 4 3" xfId="17870"/>
    <cellStyle name="Note 2 2 2 4 2 5" xfId="4907"/>
    <cellStyle name="Note 2 2 2 4 2 5 2" xfId="23259"/>
    <cellStyle name="Note 2 2 2 4 2 6" xfId="15320"/>
    <cellStyle name="Note 2 2 2 4 3" xfId="1770"/>
    <cellStyle name="Note 2 2 2 4 3 2" xfId="1771"/>
    <cellStyle name="Note 2 2 2 4 3 2 2" xfId="6236"/>
    <cellStyle name="Note 2 2 2 4 3 2 2 2" xfId="12812"/>
    <cellStyle name="Note 2 2 2 4 3 2 2 2 2" xfId="27134"/>
    <cellStyle name="Note 2 2 2 4 3 2 2 3" xfId="18457"/>
    <cellStyle name="Note 2 2 2 4 3 2 3" xfId="8065"/>
    <cellStyle name="Note 2 2 2 4 3 2 3 2" xfId="10679"/>
    <cellStyle name="Note 2 2 2 4 3 2 3 2 2" xfId="16941"/>
    <cellStyle name="Note 2 2 2 4 3 2 3 2 2 2" xfId="30357"/>
    <cellStyle name="Note 2 2 2 4 3 2 3 2 3" xfId="21686"/>
    <cellStyle name="Note 2 2 2 4 3 2 3 3" xfId="14669"/>
    <cellStyle name="Note 2 2 2 4 3 2 3 3 2" xfId="28991"/>
    <cellStyle name="Note 2 2 2 4 3 2 3 4" xfId="20314"/>
    <cellStyle name="Note 2 2 2 4 3 2 4" xfId="4670"/>
    <cellStyle name="Note 2 2 2 4 3 2 4 2" xfId="23109"/>
    <cellStyle name="Note 2 2 2 4 3 2 5" xfId="3698"/>
    <cellStyle name="Note 2 2 2 4 3 3" xfId="1772"/>
    <cellStyle name="Note 2 2 2 4 3 3 2" xfId="7335"/>
    <cellStyle name="Note 2 2 2 4 3 3 2 2" xfId="9949"/>
    <cellStyle name="Note 2 2 2 4 3 3 2 2 2" xfId="16211"/>
    <cellStyle name="Note 2 2 2 4 3 3 2 2 2 2" xfId="29627"/>
    <cellStyle name="Note 2 2 2 4 3 3 2 2 3" xfId="20956"/>
    <cellStyle name="Note 2 2 2 4 3 3 2 3" xfId="13939"/>
    <cellStyle name="Note 2 2 2 4 3 3 2 3 2" xfId="28261"/>
    <cellStyle name="Note 2 2 2 4 3 3 2 4" xfId="19584"/>
    <cellStyle name="Note 2 2 2 4 3 3 3" xfId="12579"/>
    <cellStyle name="Note 2 2 2 4 3 3 3 2" xfId="26901"/>
    <cellStyle name="Note 2 2 2 4 3 3 4" xfId="18224"/>
    <cellStyle name="Note 2 2 2 4 3 4" xfId="5155"/>
    <cellStyle name="Note 2 2 2 4 3 4 2" xfId="11704"/>
    <cellStyle name="Note 2 2 2 4 3 4 2 2" xfId="26026"/>
    <cellStyle name="Note 2 2 2 4 3 4 3" xfId="4159"/>
    <cellStyle name="Note 2 2 2 4 3 5" xfId="4932"/>
    <cellStyle name="Note 2 2 2 4 3 5 2" xfId="23268"/>
    <cellStyle name="Note 2 2 2 4 3 6" xfId="6569"/>
    <cellStyle name="Note 2 2 2 4 4" xfId="1773"/>
    <cellStyle name="Note 2 2 2 4 4 2" xfId="6943"/>
    <cellStyle name="Note 2 2 2 4 4 2 2" xfId="13547"/>
    <cellStyle name="Note 2 2 2 4 4 2 2 2" xfId="27869"/>
    <cellStyle name="Note 2 2 2 4 4 2 3" xfId="19192"/>
    <cellStyle name="Note 2 2 2 4 4 3" xfId="7862"/>
    <cellStyle name="Note 2 2 2 4 4 3 2" xfId="10476"/>
    <cellStyle name="Note 2 2 2 4 4 3 2 2" xfId="16738"/>
    <cellStyle name="Note 2 2 2 4 4 3 2 2 2" xfId="30154"/>
    <cellStyle name="Note 2 2 2 4 4 3 2 3" xfId="21483"/>
    <cellStyle name="Note 2 2 2 4 4 3 3" xfId="14466"/>
    <cellStyle name="Note 2 2 2 4 4 3 3 2" xfId="28788"/>
    <cellStyle name="Note 2 2 2 4 4 3 4" xfId="20111"/>
    <cellStyle name="Note 2 2 2 4 4 4" xfId="11436"/>
    <cellStyle name="Note 2 2 2 4 4 4 2" xfId="25758"/>
    <cellStyle name="Note 2 2 2 4 4 5" xfId="15374"/>
    <cellStyle name="Note 2 2 2 4 5" xfId="1774"/>
    <cellStyle name="Note 2 2 2 4 5 2" xfId="3474"/>
    <cellStyle name="Note 2 2 2 4 5 2 2" xfId="9228"/>
    <cellStyle name="Note 2 2 2 4 5 2 2 2" xfId="15522"/>
    <cellStyle name="Note 2 2 2 4 5 2 2 2 2" xfId="29014"/>
    <cellStyle name="Note 2 2 2 4 5 2 2 3" xfId="20342"/>
    <cellStyle name="Note 2 2 2 4 5 2 3" xfId="4446"/>
    <cellStyle name="Note 2 2 2 4 5 2 3 2" xfId="22958"/>
    <cellStyle name="Note 2 2 2 4 5 2 4" xfId="15207"/>
    <cellStyle name="Note 2 2 2 4 5 3" xfId="12609"/>
    <cellStyle name="Note 2 2 2 4 5 3 2" xfId="26931"/>
    <cellStyle name="Note 2 2 2 4 5 4" xfId="18254"/>
    <cellStyle name="Note 2 2 2 4 6" xfId="5094"/>
    <cellStyle name="Note 2 2 2 4 6 2" xfId="11641"/>
    <cellStyle name="Note 2 2 2 4 6 2 2" xfId="25963"/>
    <cellStyle name="Note 2 2 2 4 6 3" xfId="14798"/>
    <cellStyle name="Note 2 2 2 4 7" xfId="6513"/>
    <cellStyle name="Note 2 2 2 4 7 2" xfId="23577"/>
    <cellStyle name="Note 2 2 2 4 8" xfId="15408"/>
    <cellStyle name="Note 2 2 2 5" xfId="1775"/>
    <cellStyle name="Note 2 2 2 5 2" xfId="1776"/>
    <cellStyle name="Note 2 2 2 5 2 2" xfId="1777"/>
    <cellStyle name="Note 2 2 2 5 2 2 2" xfId="6892"/>
    <cellStyle name="Note 2 2 2 5 2 2 2 2" xfId="13496"/>
    <cellStyle name="Note 2 2 2 5 2 2 2 2 2" xfId="27818"/>
    <cellStyle name="Note 2 2 2 5 2 2 2 3" xfId="19141"/>
    <cellStyle name="Note 2 2 2 5 2 2 3" xfId="7149"/>
    <cellStyle name="Note 2 2 2 5 2 2 3 2" xfId="9763"/>
    <cellStyle name="Note 2 2 2 5 2 2 3 2 2" xfId="16025"/>
    <cellStyle name="Note 2 2 2 5 2 2 3 2 2 2" xfId="29441"/>
    <cellStyle name="Note 2 2 2 5 2 2 3 2 3" xfId="20770"/>
    <cellStyle name="Note 2 2 2 5 2 2 3 3" xfId="13753"/>
    <cellStyle name="Note 2 2 2 5 2 2 3 3 2" xfId="28075"/>
    <cellStyle name="Note 2 2 2 5 2 2 3 4" xfId="19398"/>
    <cellStyle name="Note 2 2 2 5 2 2 4" xfId="11369"/>
    <cellStyle name="Note 2 2 2 5 2 2 4 2" xfId="25691"/>
    <cellStyle name="Note 2 2 2 5 2 2 5" xfId="17064"/>
    <cellStyle name="Note 2 2 2 5 2 3" xfId="1778"/>
    <cellStyle name="Note 2 2 2 5 2 3 2" xfId="7278"/>
    <cellStyle name="Note 2 2 2 5 2 3 2 2" xfId="9892"/>
    <cellStyle name="Note 2 2 2 5 2 3 2 2 2" xfId="16154"/>
    <cellStyle name="Note 2 2 2 5 2 3 2 2 2 2" xfId="29570"/>
    <cellStyle name="Note 2 2 2 5 2 3 2 2 3" xfId="20899"/>
    <cellStyle name="Note 2 2 2 5 2 3 2 3" xfId="13882"/>
    <cellStyle name="Note 2 2 2 5 2 3 2 3 2" xfId="28204"/>
    <cellStyle name="Note 2 2 2 5 2 3 2 4" xfId="19527"/>
    <cellStyle name="Note 2 2 2 5 2 3 3" xfId="13268"/>
    <cellStyle name="Note 2 2 2 5 2 3 3 2" xfId="27590"/>
    <cellStyle name="Note 2 2 2 5 2 3 4" xfId="18913"/>
    <cellStyle name="Note 2 2 2 5 2 4" xfId="5714"/>
    <cellStyle name="Note 2 2 2 5 2 4 2" xfId="12267"/>
    <cellStyle name="Note 2 2 2 5 2 4 2 2" xfId="26589"/>
    <cellStyle name="Note 2 2 2 5 2 4 3" xfId="17912"/>
    <cellStyle name="Note 2 2 2 5 2 5" xfId="5983"/>
    <cellStyle name="Note 2 2 2 5 2 5 2" xfId="23389"/>
    <cellStyle name="Note 2 2 2 5 2 6" xfId="15191"/>
    <cellStyle name="Note 2 2 2 5 3" xfId="1779"/>
    <cellStyle name="Note 2 2 2 5 3 2" xfId="1780"/>
    <cellStyle name="Note 2 2 2 5 3 2 2" xfId="6591"/>
    <cellStyle name="Note 2 2 2 5 3 2 2 2" xfId="13180"/>
    <cellStyle name="Note 2 2 2 5 3 2 2 2 2" xfId="27502"/>
    <cellStyle name="Note 2 2 2 5 3 2 2 3" xfId="18825"/>
    <cellStyle name="Note 2 2 2 5 3 2 3" xfId="7513"/>
    <cellStyle name="Note 2 2 2 5 3 2 3 2" xfId="10127"/>
    <cellStyle name="Note 2 2 2 5 3 2 3 2 2" xfId="16389"/>
    <cellStyle name="Note 2 2 2 5 3 2 3 2 2 2" xfId="29805"/>
    <cellStyle name="Note 2 2 2 5 3 2 3 2 3" xfId="21134"/>
    <cellStyle name="Note 2 2 2 5 3 2 3 3" xfId="14117"/>
    <cellStyle name="Note 2 2 2 5 3 2 3 3 2" xfId="28439"/>
    <cellStyle name="Note 2 2 2 5 3 2 3 4" xfId="19762"/>
    <cellStyle name="Note 2 2 2 5 3 2 4" xfId="3672"/>
    <cellStyle name="Note 2 2 2 5 3 2 4 2" xfId="22518"/>
    <cellStyle name="Note 2 2 2 5 3 2 5" xfId="14692"/>
    <cellStyle name="Note 2 2 2 5 3 3" xfId="1781"/>
    <cellStyle name="Note 2 2 2 5 3 3 2" xfId="7113"/>
    <cellStyle name="Note 2 2 2 5 3 3 2 2" xfId="9727"/>
    <cellStyle name="Note 2 2 2 5 3 3 2 2 2" xfId="15989"/>
    <cellStyle name="Note 2 2 2 5 3 3 2 2 2 2" xfId="29405"/>
    <cellStyle name="Note 2 2 2 5 3 3 2 2 3" xfId="20734"/>
    <cellStyle name="Note 2 2 2 5 3 3 2 3" xfId="13717"/>
    <cellStyle name="Note 2 2 2 5 3 3 2 3 2" xfId="28039"/>
    <cellStyle name="Note 2 2 2 5 3 3 2 4" xfId="19362"/>
    <cellStyle name="Note 2 2 2 5 3 3 3" xfId="13370"/>
    <cellStyle name="Note 2 2 2 5 3 3 3 2" xfId="27692"/>
    <cellStyle name="Note 2 2 2 5 3 3 4" xfId="19015"/>
    <cellStyle name="Note 2 2 2 5 3 4" xfId="5821"/>
    <cellStyle name="Note 2 2 2 5 3 4 2" xfId="12374"/>
    <cellStyle name="Note 2 2 2 5 3 4 2 2" xfId="26696"/>
    <cellStyle name="Note 2 2 2 5 3 4 3" xfId="18019"/>
    <cellStyle name="Note 2 2 2 5 3 5" xfId="4653"/>
    <cellStyle name="Note 2 2 2 5 3 5 2" xfId="23095"/>
    <cellStyle name="Note 2 2 2 5 3 6" xfId="16960"/>
    <cellStyle name="Note 2 2 2 5 4" xfId="1782"/>
    <cellStyle name="Note 2 2 2 5 4 2" xfId="6869"/>
    <cellStyle name="Note 2 2 2 5 4 2 2" xfId="13473"/>
    <cellStyle name="Note 2 2 2 5 4 2 2 2" xfId="27795"/>
    <cellStyle name="Note 2 2 2 5 4 2 3" xfId="19118"/>
    <cellStyle name="Note 2 2 2 5 4 3" xfId="7405"/>
    <cellStyle name="Note 2 2 2 5 4 3 2" xfId="10019"/>
    <cellStyle name="Note 2 2 2 5 4 3 2 2" xfId="16281"/>
    <cellStyle name="Note 2 2 2 5 4 3 2 2 2" xfId="29697"/>
    <cellStyle name="Note 2 2 2 5 4 3 2 3" xfId="21026"/>
    <cellStyle name="Note 2 2 2 5 4 3 3" xfId="14009"/>
    <cellStyle name="Note 2 2 2 5 4 3 3 2" xfId="28331"/>
    <cellStyle name="Note 2 2 2 5 4 3 4" xfId="19654"/>
    <cellStyle name="Note 2 2 2 5 4 4" xfId="11332"/>
    <cellStyle name="Note 2 2 2 5 4 4 2" xfId="25654"/>
    <cellStyle name="Note 2 2 2 5 4 5" xfId="15308"/>
    <cellStyle name="Note 2 2 2 5 5" xfId="1783"/>
    <cellStyle name="Note 2 2 2 5 5 2" xfId="7753"/>
    <cellStyle name="Note 2 2 2 5 5 2 2" xfId="10367"/>
    <cellStyle name="Note 2 2 2 5 5 2 2 2" xfId="16629"/>
    <cellStyle name="Note 2 2 2 5 5 2 2 2 2" xfId="30045"/>
    <cellStyle name="Note 2 2 2 5 5 2 2 3" xfId="21374"/>
    <cellStyle name="Note 2 2 2 5 5 2 3" xfId="14357"/>
    <cellStyle name="Note 2 2 2 5 5 2 3 2" xfId="28679"/>
    <cellStyle name="Note 2 2 2 5 5 2 4" xfId="20002"/>
    <cellStyle name="Note 2 2 2 5 5 3" xfId="12825"/>
    <cellStyle name="Note 2 2 2 5 5 3 2" xfId="27147"/>
    <cellStyle name="Note 2 2 2 5 5 4" xfId="18470"/>
    <cellStyle name="Note 2 2 2 5 6" xfId="5373"/>
    <cellStyle name="Note 2 2 2 5 6 2" xfId="11923"/>
    <cellStyle name="Note 2 2 2 5 6 2 2" xfId="26245"/>
    <cellStyle name="Note 2 2 2 5 6 3" xfId="17568"/>
    <cellStyle name="Note 2 2 2 5 7" xfId="5883"/>
    <cellStyle name="Note 2 2 2 5 7 2" xfId="23368"/>
    <cellStyle name="Note 2 2 2 5 8" xfId="14950"/>
    <cellStyle name="Note 2 2 2 6" xfId="1784"/>
    <cellStyle name="Note 2 2 2 6 2" xfId="1785"/>
    <cellStyle name="Note 2 2 2 6 2 2" xfId="1786"/>
    <cellStyle name="Note 2 2 2 6 2 2 2" xfId="5478"/>
    <cellStyle name="Note 2 2 2 6 2 2 2 2" xfId="12029"/>
    <cellStyle name="Note 2 2 2 6 2 2 2 2 2" xfId="26351"/>
    <cellStyle name="Note 2 2 2 6 2 2 2 3" xfId="17674"/>
    <cellStyle name="Note 2 2 2 6 2 2 3" xfId="4752"/>
    <cellStyle name="Note 2 2 2 6 2 2 3 2" xfId="9475"/>
    <cellStyle name="Note 2 2 2 6 2 2 3 2 2" xfId="15737"/>
    <cellStyle name="Note 2 2 2 6 2 2 3 2 2 2" xfId="29153"/>
    <cellStyle name="Note 2 2 2 6 2 2 3 2 3" xfId="20482"/>
    <cellStyle name="Note 2 2 2 6 2 2 3 3" xfId="2821"/>
    <cellStyle name="Note 2 2 2 6 2 2 3 3 2" xfId="22384"/>
    <cellStyle name="Note 2 2 2 6 2 2 3 4" xfId="17296"/>
    <cellStyle name="Note 2 2 2 6 2 2 4" xfId="6260"/>
    <cellStyle name="Note 2 2 2 6 2 2 4 2" xfId="23478"/>
    <cellStyle name="Note 2 2 2 6 2 2 5" xfId="5206"/>
    <cellStyle name="Note 2 2 2 6 2 3" xfId="1787"/>
    <cellStyle name="Note 2 2 2 6 2 3 2" xfId="3924"/>
    <cellStyle name="Note 2 2 2 6 2 3 2 2" xfId="9397"/>
    <cellStyle name="Note 2 2 2 6 2 3 2 2 2" xfId="15659"/>
    <cellStyle name="Note 2 2 2 6 2 3 2 2 2 2" xfId="29075"/>
    <cellStyle name="Note 2 2 2 6 2 3 2 2 3" xfId="20404"/>
    <cellStyle name="Note 2 2 2 6 2 3 2 3" xfId="3931"/>
    <cellStyle name="Note 2 2 2 6 2 3 2 3 2" xfId="22651"/>
    <cellStyle name="Note 2 2 2 6 2 3 2 4" xfId="15552"/>
    <cellStyle name="Note 2 2 2 6 2 3 3" xfId="13248"/>
    <cellStyle name="Note 2 2 2 6 2 3 3 2" xfId="27570"/>
    <cellStyle name="Note 2 2 2 6 2 3 4" xfId="18893"/>
    <cellStyle name="Note 2 2 2 6 2 4" xfId="5690"/>
    <cellStyle name="Note 2 2 2 6 2 4 2" xfId="12243"/>
    <cellStyle name="Note 2 2 2 6 2 4 2 2" xfId="26565"/>
    <cellStyle name="Note 2 2 2 6 2 4 3" xfId="17888"/>
    <cellStyle name="Note 2 2 2 6 2 5" xfId="6763"/>
    <cellStyle name="Note 2 2 2 6 2 5 2" xfId="23710"/>
    <cellStyle name="Note 2 2 2 6 2 6" xfId="15363"/>
    <cellStyle name="Note 2 2 2 6 3" xfId="1788"/>
    <cellStyle name="Note 2 2 2 6 3 2" xfId="1789"/>
    <cellStyle name="Note 2 2 2 6 3 2 2" xfId="6025"/>
    <cellStyle name="Note 2 2 2 6 3 2 2 2" xfId="12586"/>
    <cellStyle name="Note 2 2 2 6 3 2 2 2 2" xfId="26908"/>
    <cellStyle name="Note 2 2 2 6 3 2 2 3" xfId="18231"/>
    <cellStyle name="Note 2 2 2 6 3 2 3" xfId="7218"/>
    <cellStyle name="Note 2 2 2 6 3 2 3 2" xfId="9832"/>
    <cellStyle name="Note 2 2 2 6 3 2 3 2 2" xfId="16094"/>
    <cellStyle name="Note 2 2 2 6 3 2 3 2 2 2" xfId="29510"/>
    <cellStyle name="Note 2 2 2 6 3 2 3 2 3" xfId="20839"/>
    <cellStyle name="Note 2 2 2 6 3 2 3 3" xfId="13822"/>
    <cellStyle name="Note 2 2 2 6 3 2 3 3 2" xfId="28144"/>
    <cellStyle name="Note 2 2 2 6 3 2 3 4" xfId="19467"/>
    <cellStyle name="Note 2 2 2 6 3 2 4" xfId="4001"/>
    <cellStyle name="Note 2 2 2 6 3 2 4 2" xfId="22695"/>
    <cellStyle name="Note 2 2 2 6 3 2 5" xfId="6543"/>
    <cellStyle name="Note 2 2 2 6 3 3" xfId="1790"/>
    <cellStyle name="Note 2 2 2 6 3 3 2" xfId="7316"/>
    <cellStyle name="Note 2 2 2 6 3 3 2 2" xfId="9930"/>
    <cellStyle name="Note 2 2 2 6 3 3 2 2 2" xfId="16192"/>
    <cellStyle name="Note 2 2 2 6 3 3 2 2 2 2" xfId="29608"/>
    <cellStyle name="Note 2 2 2 6 3 3 2 2 3" xfId="20937"/>
    <cellStyle name="Note 2 2 2 6 3 3 2 3" xfId="13920"/>
    <cellStyle name="Note 2 2 2 6 3 3 2 3 2" xfId="28242"/>
    <cellStyle name="Note 2 2 2 6 3 3 2 4" xfId="19565"/>
    <cellStyle name="Note 2 2 2 6 3 3 3" xfId="13161"/>
    <cellStyle name="Note 2 2 2 6 3 3 3 2" xfId="27483"/>
    <cellStyle name="Note 2 2 2 6 3 3 4" xfId="18806"/>
    <cellStyle name="Note 2 2 2 6 3 4" xfId="5574"/>
    <cellStyle name="Note 2 2 2 6 3 4 2" xfId="12125"/>
    <cellStyle name="Note 2 2 2 6 3 4 2 2" xfId="26447"/>
    <cellStyle name="Note 2 2 2 6 3 4 3" xfId="17770"/>
    <cellStyle name="Note 2 2 2 6 3 5" xfId="6791"/>
    <cellStyle name="Note 2 2 2 6 3 5 2" xfId="23734"/>
    <cellStyle name="Note 2 2 2 6 3 6" xfId="14930"/>
    <cellStyle name="Note 2 2 2 6 4" xfId="1791"/>
    <cellStyle name="Note 2 2 2 6 4 2" xfId="6963"/>
    <cellStyle name="Note 2 2 2 6 4 2 2" xfId="13567"/>
    <cellStyle name="Note 2 2 2 6 4 2 2 2" xfId="27889"/>
    <cellStyle name="Note 2 2 2 6 4 2 3" xfId="19212"/>
    <cellStyle name="Note 2 2 2 6 4 3" xfId="7463"/>
    <cellStyle name="Note 2 2 2 6 4 3 2" xfId="10077"/>
    <cellStyle name="Note 2 2 2 6 4 3 2 2" xfId="16339"/>
    <cellStyle name="Note 2 2 2 6 4 3 2 2 2" xfId="29755"/>
    <cellStyle name="Note 2 2 2 6 4 3 2 3" xfId="21084"/>
    <cellStyle name="Note 2 2 2 6 4 3 3" xfId="14067"/>
    <cellStyle name="Note 2 2 2 6 4 3 3 2" xfId="28389"/>
    <cellStyle name="Note 2 2 2 6 4 3 4" xfId="19712"/>
    <cellStyle name="Note 2 2 2 6 4 4" xfId="11466"/>
    <cellStyle name="Note 2 2 2 6 4 4 2" xfId="25788"/>
    <cellStyle name="Note 2 2 2 6 4 5" xfId="15587"/>
    <cellStyle name="Note 2 2 2 6 5" xfId="1792"/>
    <cellStyle name="Note 2 2 2 6 5 2" xfId="7865"/>
    <cellStyle name="Note 2 2 2 6 5 2 2" xfId="10479"/>
    <cellStyle name="Note 2 2 2 6 5 2 2 2" xfId="16741"/>
    <cellStyle name="Note 2 2 2 6 5 2 2 2 2" xfId="30157"/>
    <cellStyle name="Note 2 2 2 6 5 2 2 3" xfId="21486"/>
    <cellStyle name="Note 2 2 2 6 5 2 3" xfId="14469"/>
    <cellStyle name="Note 2 2 2 6 5 2 3 2" xfId="28791"/>
    <cellStyle name="Note 2 2 2 6 5 2 4" xfId="20114"/>
    <cellStyle name="Note 2 2 2 6 5 3" xfId="12732"/>
    <cellStyle name="Note 2 2 2 6 5 3 2" xfId="27054"/>
    <cellStyle name="Note 2 2 2 6 5 4" xfId="18377"/>
    <cellStyle name="Note 2 2 2 6 6" xfId="4320"/>
    <cellStyle name="Note 2 2 2 6 6 2" xfId="3665"/>
    <cellStyle name="Note 2 2 2 6 6 2 2" xfId="22513"/>
    <cellStyle name="Note 2 2 2 6 6 3" xfId="14907"/>
    <cellStyle name="Note 2 2 2 6 7" xfId="3641"/>
    <cellStyle name="Note 2 2 2 6 7 2" xfId="22501"/>
    <cellStyle name="Note 2 2 2 6 8" xfId="17063"/>
    <cellStyle name="Note 2 2 2 7" xfId="1793"/>
    <cellStyle name="Note 2 2 2 7 2" xfId="1794"/>
    <cellStyle name="Note 2 2 2 7 2 2" xfId="1795"/>
    <cellStyle name="Note 2 2 2 7 2 2 2" xfId="6926"/>
    <cellStyle name="Note 2 2 2 7 2 2 2 2" xfId="13530"/>
    <cellStyle name="Note 2 2 2 7 2 2 2 2 2" xfId="27852"/>
    <cellStyle name="Note 2 2 2 7 2 2 2 3" xfId="19175"/>
    <cellStyle name="Note 2 2 2 7 2 2 3" xfId="5027"/>
    <cellStyle name="Note 2 2 2 7 2 2 3 2" xfId="9547"/>
    <cellStyle name="Note 2 2 2 7 2 2 3 2 2" xfId="15809"/>
    <cellStyle name="Note 2 2 2 7 2 2 3 2 2 2" xfId="29225"/>
    <cellStyle name="Note 2 2 2 7 2 2 3 2 3" xfId="20554"/>
    <cellStyle name="Note 2 2 2 7 2 2 3 3" xfId="11574"/>
    <cellStyle name="Note 2 2 2 7 2 2 3 3 2" xfId="25896"/>
    <cellStyle name="Note 2 2 2 7 2 2 3 4" xfId="14738"/>
    <cellStyle name="Note 2 2 2 7 2 2 4" xfId="11417"/>
    <cellStyle name="Note 2 2 2 7 2 2 4 2" xfId="25739"/>
    <cellStyle name="Note 2 2 2 7 2 2 5" xfId="17246"/>
    <cellStyle name="Note 2 2 2 7 2 3" xfId="1796"/>
    <cellStyle name="Note 2 2 2 7 2 3 2" xfId="7752"/>
    <cellStyle name="Note 2 2 2 7 2 3 2 2" xfId="10366"/>
    <cellStyle name="Note 2 2 2 7 2 3 2 2 2" xfId="16628"/>
    <cellStyle name="Note 2 2 2 7 2 3 2 2 2 2" xfId="30044"/>
    <cellStyle name="Note 2 2 2 7 2 3 2 2 3" xfId="21373"/>
    <cellStyle name="Note 2 2 2 7 2 3 2 3" xfId="14356"/>
    <cellStyle name="Note 2 2 2 7 2 3 2 3 2" xfId="28678"/>
    <cellStyle name="Note 2 2 2 7 2 3 2 4" xfId="20001"/>
    <cellStyle name="Note 2 2 2 7 2 3 3" xfId="12818"/>
    <cellStyle name="Note 2 2 2 7 2 3 3 2" xfId="27140"/>
    <cellStyle name="Note 2 2 2 7 2 3 4" xfId="18463"/>
    <cellStyle name="Note 2 2 2 7 2 4" xfId="5232"/>
    <cellStyle name="Note 2 2 2 7 2 4 2" xfId="11782"/>
    <cellStyle name="Note 2 2 2 7 2 4 2 2" xfId="26104"/>
    <cellStyle name="Note 2 2 2 7 2 4 3" xfId="17427"/>
    <cellStyle name="Note 2 2 2 7 2 5" xfId="4589"/>
    <cellStyle name="Note 2 2 2 7 2 5 2" xfId="23052"/>
    <cellStyle name="Note 2 2 2 7 2 6" xfId="14701"/>
    <cellStyle name="Note 2 2 2 7 3" xfId="1797"/>
    <cellStyle name="Note 2 2 2 7 3 2" xfId="6122"/>
    <cellStyle name="Note 2 2 2 7 3 2 2" xfId="12691"/>
    <cellStyle name="Note 2 2 2 7 3 2 2 2" xfId="27013"/>
    <cellStyle name="Note 2 2 2 7 3 2 3" xfId="18336"/>
    <cellStyle name="Note 2 2 2 7 3 3" xfId="5243"/>
    <cellStyle name="Note 2 2 2 7 3 3 2" xfId="9553"/>
    <cellStyle name="Note 2 2 2 7 3 3 2 2" xfId="15815"/>
    <cellStyle name="Note 2 2 2 7 3 3 2 2 2" xfId="29231"/>
    <cellStyle name="Note 2 2 2 7 3 3 2 3" xfId="20560"/>
    <cellStyle name="Note 2 2 2 7 3 3 3" xfId="11793"/>
    <cellStyle name="Note 2 2 2 7 3 3 3 2" xfId="26115"/>
    <cellStyle name="Note 2 2 2 7 3 3 4" xfId="17438"/>
    <cellStyle name="Note 2 2 2 7 3 4" xfId="4679"/>
    <cellStyle name="Note 2 2 2 7 3 4 2" xfId="23117"/>
    <cellStyle name="Note 2 2 2 7 3 5" xfId="4730"/>
    <cellStyle name="Note 2 2 2 7 4" xfId="1798"/>
    <cellStyle name="Note 2 2 2 7 4 2" xfId="5022"/>
    <cellStyle name="Note 2 2 2 7 4 2 2" xfId="9546"/>
    <cellStyle name="Note 2 2 2 7 4 2 2 2" xfId="15808"/>
    <cellStyle name="Note 2 2 2 7 4 2 2 2 2" xfId="29224"/>
    <cellStyle name="Note 2 2 2 7 4 2 2 3" xfId="20553"/>
    <cellStyle name="Note 2 2 2 7 4 2 3" xfId="11569"/>
    <cellStyle name="Note 2 2 2 7 4 2 3 2" xfId="25891"/>
    <cellStyle name="Note 2 2 2 7 4 2 4" xfId="15147"/>
    <cellStyle name="Note 2 2 2 7 4 3" xfId="12839"/>
    <cellStyle name="Note 2 2 2 7 4 3 2" xfId="27161"/>
    <cellStyle name="Note 2 2 2 7 4 4" xfId="18484"/>
    <cellStyle name="Note 2 2 2 7 5" xfId="5413"/>
    <cellStyle name="Note 2 2 2 7 5 2" xfId="11963"/>
    <cellStyle name="Note 2 2 2 7 5 2 2" xfId="26285"/>
    <cellStyle name="Note 2 2 2 7 5 3" xfId="17608"/>
    <cellStyle name="Note 2 2 2 7 6" xfId="3602"/>
    <cellStyle name="Note 2 2 2 7 6 2" xfId="22482"/>
    <cellStyle name="Note 2 2 2 7 7" xfId="4431"/>
    <cellStyle name="Note 2 2 2 8" xfId="1799"/>
    <cellStyle name="Note 2 2 2 8 2" xfId="1800"/>
    <cellStyle name="Note 2 2 2 8 2 2" xfId="6159"/>
    <cellStyle name="Note 2 2 2 8 2 2 2" xfId="12730"/>
    <cellStyle name="Note 2 2 2 8 2 2 2 2" xfId="27052"/>
    <cellStyle name="Note 2 2 2 8 2 2 3" xfId="18375"/>
    <cellStyle name="Note 2 2 2 8 2 3" xfId="7445"/>
    <cellStyle name="Note 2 2 2 8 2 3 2" xfId="10059"/>
    <cellStyle name="Note 2 2 2 8 2 3 2 2" xfId="16321"/>
    <cellStyle name="Note 2 2 2 8 2 3 2 2 2" xfId="29737"/>
    <cellStyle name="Note 2 2 2 8 2 3 2 3" xfId="21066"/>
    <cellStyle name="Note 2 2 2 8 2 3 3" xfId="14049"/>
    <cellStyle name="Note 2 2 2 8 2 3 3 2" xfId="28371"/>
    <cellStyle name="Note 2 2 2 8 2 3 4" xfId="19694"/>
    <cellStyle name="Note 2 2 2 8 2 4" xfId="4533"/>
    <cellStyle name="Note 2 2 2 8 2 4 2" xfId="23013"/>
    <cellStyle name="Note 2 2 2 8 2 5" xfId="6463"/>
    <cellStyle name="Note 2 2 2 8 3" xfId="1801"/>
    <cellStyle name="Note 2 2 2 8 3 2" xfId="7928"/>
    <cellStyle name="Note 2 2 2 8 3 2 2" xfId="10542"/>
    <cellStyle name="Note 2 2 2 8 3 2 2 2" xfId="16804"/>
    <cellStyle name="Note 2 2 2 8 3 2 2 2 2" xfId="30220"/>
    <cellStyle name="Note 2 2 2 8 3 2 2 3" xfId="21549"/>
    <cellStyle name="Note 2 2 2 8 3 2 3" xfId="14532"/>
    <cellStyle name="Note 2 2 2 8 3 2 3 2" xfId="28854"/>
    <cellStyle name="Note 2 2 2 8 3 2 4" xfId="20177"/>
    <cellStyle name="Note 2 2 2 8 3 3" xfId="12488"/>
    <cellStyle name="Note 2 2 2 8 3 3 2" xfId="26810"/>
    <cellStyle name="Note 2 2 2 8 3 4" xfId="18133"/>
    <cellStyle name="Note 2 2 2 8 4" xfId="5212"/>
    <cellStyle name="Note 2 2 2 8 4 2" xfId="11761"/>
    <cellStyle name="Note 2 2 2 8 4 2 2" xfId="26083"/>
    <cellStyle name="Note 2 2 2 8 4 3" xfId="17406"/>
    <cellStyle name="Note 2 2 2 8 5" xfId="6743"/>
    <cellStyle name="Note 2 2 2 8 5 2" xfId="23692"/>
    <cellStyle name="Note 2 2 2 8 6" xfId="3850"/>
    <cellStyle name="Note 2 2 2 9" xfId="1802"/>
    <cellStyle name="Note 2 2 2 9 2" xfId="6166"/>
    <cellStyle name="Note 2 2 2 9 2 2" xfId="12739"/>
    <cellStyle name="Note 2 2 2 9 2 2 2" xfId="27061"/>
    <cellStyle name="Note 2 2 2 9 2 3" xfId="18384"/>
    <cellStyle name="Note 2 2 2 9 3" xfId="4327"/>
    <cellStyle name="Note 2 2 2 9 3 2" xfId="9449"/>
    <cellStyle name="Note 2 2 2 9 3 2 2" xfId="15711"/>
    <cellStyle name="Note 2 2 2 9 3 2 2 2" xfId="29127"/>
    <cellStyle name="Note 2 2 2 9 3 2 3" xfId="20456"/>
    <cellStyle name="Note 2 2 2 9 3 3" xfId="4365"/>
    <cellStyle name="Note 2 2 2 9 3 3 2" xfId="22907"/>
    <cellStyle name="Note 2 2 2 9 3 4" xfId="5724"/>
    <cellStyle name="Note 2 2 2 9 4" xfId="3640"/>
    <cellStyle name="Note 2 2 2 9 4 2" xfId="22500"/>
    <cellStyle name="Note 2 2 2 9 5" xfId="14915"/>
    <cellStyle name="Note 2 2 3" xfId="1803"/>
    <cellStyle name="Note 2 2 3 2" xfId="6930"/>
    <cellStyle name="Note 2 2 3 2 2" xfId="13534"/>
    <cellStyle name="Note 2 2 3 2 2 2" xfId="27856"/>
    <cellStyle name="Note 2 2 3 2 3" xfId="19179"/>
    <cellStyle name="Note 2 2 3 3" xfId="7110"/>
    <cellStyle name="Note 2 2 3 3 2" xfId="9724"/>
    <cellStyle name="Note 2 2 3 3 2 2" xfId="15986"/>
    <cellStyle name="Note 2 2 3 3 2 2 2" xfId="29402"/>
    <cellStyle name="Note 2 2 3 3 2 3" xfId="20731"/>
    <cellStyle name="Note 2 2 3 3 3" xfId="13714"/>
    <cellStyle name="Note 2 2 3 3 3 2" xfId="28036"/>
    <cellStyle name="Note 2 2 3 3 4" xfId="19359"/>
    <cellStyle name="Note 2 2 3 4" xfId="11423"/>
    <cellStyle name="Note 2 2 3 4 2" xfId="25745"/>
    <cellStyle name="Note 2 2 3 5" xfId="15568"/>
    <cellStyle name="Note 2 2 4" xfId="3874"/>
    <cellStyle name="Note 2 2 4 2" xfId="4888"/>
    <cellStyle name="Note 2 2 4 2 2" xfId="23246"/>
    <cellStyle name="Note 2 2 4 3" xfId="14698"/>
    <cellStyle name="Note 2 2 5" xfId="4894"/>
    <cellStyle name="Note 2 2 5 2" xfId="23252"/>
    <cellStyle name="Note 2 2 6" xfId="4191"/>
    <cellStyle name="Note 2 2 7" xfId="14797"/>
    <cellStyle name="Note 2 2 8" xfId="21702"/>
    <cellStyle name="Note 2 3" xfId="1804"/>
    <cellStyle name="Note 2 3 10" xfId="1805"/>
    <cellStyle name="Note 2 3 10 2" xfId="7433"/>
    <cellStyle name="Note 2 3 10 2 2" xfId="10047"/>
    <cellStyle name="Note 2 3 10 2 2 2" xfId="16309"/>
    <cellStyle name="Note 2 3 10 2 2 2 2" xfId="29725"/>
    <cellStyle name="Note 2 3 10 2 2 3" xfId="21054"/>
    <cellStyle name="Note 2 3 10 2 3" xfId="14037"/>
    <cellStyle name="Note 2 3 10 2 3 2" xfId="28359"/>
    <cellStyle name="Note 2 3 10 2 4" xfId="19682"/>
    <cellStyle name="Note 2 3 10 3" xfId="11965"/>
    <cellStyle name="Note 2 3 10 3 2" xfId="26287"/>
    <cellStyle name="Note 2 3 10 4" xfId="17610"/>
    <cellStyle name="Note 2 3 11" xfId="4827"/>
    <cellStyle name="Note 2 3 11 2" xfId="11360"/>
    <cellStyle name="Note 2 3 11 2 2" xfId="25682"/>
    <cellStyle name="Note 2 3 11 3" xfId="15244"/>
    <cellStyle name="Note 2 3 12" xfId="6749"/>
    <cellStyle name="Note 2 3 12 2" xfId="23697"/>
    <cellStyle name="Note 2 3 13" xfId="15409"/>
    <cellStyle name="Note 2 3 2" xfId="1806"/>
    <cellStyle name="Note 2 3 2 10" xfId="5378"/>
    <cellStyle name="Note 2 3 2 10 2" xfId="11928"/>
    <cellStyle name="Note 2 3 2 10 2 2" xfId="26250"/>
    <cellStyle name="Note 2 3 2 10 3" xfId="17573"/>
    <cellStyle name="Note 2 3 2 11" xfId="4138"/>
    <cellStyle name="Note 2 3 2 11 2" xfId="22776"/>
    <cellStyle name="Note 2 3 2 12" xfId="4552"/>
    <cellStyle name="Note 2 3 2 2" xfId="1807"/>
    <cellStyle name="Note 2 3 2 2 10" xfId="3882"/>
    <cellStyle name="Note 2 3 2 2 10 2" xfId="22625"/>
    <cellStyle name="Note 2 3 2 2 11" xfId="15052"/>
    <cellStyle name="Note 2 3 2 2 2" xfId="1808"/>
    <cellStyle name="Note 2 3 2 2 2 2" xfId="1809"/>
    <cellStyle name="Note 2 3 2 2 2 2 2" xfId="1810"/>
    <cellStyle name="Note 2 3 2 2 2 2 2 2" xfId="6552"/>
    <cellStyle name="Note 2 3 2 2 2 2 2 2 2" xfId="13140"/>
    <cellStyle name="Note 2 3 2 2 2 2 2 2 2 2" xfId="27462"/>
    <cellStyle name="Note 2 3 2 2 2 2 2 2 3" xfId="18785"/>
    <cellStyle name="Note 2 3 2 2 2 2 2 3" xfId="7130"/>
    <cellStyle name="Note 2 3 2 2 2 2 2 3 2" xfId="9744"/>
    <cellStyle name="Note 2 3 2 2 2 2 2 3 2 2" xfId="16006"/>
    <cellStyle name="Note 2 3 2 2 2 2 2 3 2 2 2" xfId="29422"/>
    <cellStyle name="Note 2 3 2 2 2 2 2 3 2 3" xfId="20751"/>
    <cellStyle name="Note 2 3 2 2 2 2 2 3 3" xfId="13734"/>
    <cellStyle name="Note 2 3 2 2 2 2 2 3 3 2" xfId="28056"/>
    <cellStyle name="Note 2 3 2 2 2 2 2 3 4" xfId="19379"/>
    <cellStyle name="Note 2 3 2 2 2 2 2 4" xfId="4128"/>
    <cellStyle name="Note 2 3 2 2 2 2 2 4 2" xfId="22770"/>
    <cellStyle name="Note 2 3 2 2 2 2 2 5" xfId="14792"/>
    <cellStyle name="Note 2 3 2 2 2 2 3" xfId="1811"/>
    <cellStyle name="Note 2 3 2 2 2 2 3 2" xfId="5341"/>
    <cellStyle name="Note 2 3 2 2 2 2 3 2 2" xfId="9650"/>
    <cellStyle name="Note 2 3 2 2 2 2 3 2 2 2" xfId="15912"/>
    <cellStyle name="Note 2 3 2 2 2 2 3 2 2 2 2" xfId="29328"/>
    <cellStyle name="Note 2 3 2 2 2 2 3 2 2 3" xfId="20657"/>
    <cellStyle name="Note 2 3 2 2 2 2 3 2 3" xfId="11891"/>
    <cellStyle name="Note 2 3 2 2 2 2 3 2 3 2" xfId="26213"/>
    <cellStyle name="Note 2 3 2 2 2 2 3 2 4" xfId="17536"/>
    <cellStyle name="Note 2 3 2 2 2 2 3 3" xfId="13320"/>
    <cellStyle name="Note 2 3 2 2 2 2 3 3 2" xfId="27642"/>
    <cellStyle name="Note 2 3 2 2 2 2 3 4" xfId="18965"/>
    <cellStyle name="Note 2 3 2 2 2 2 4" xfId="5770"/>
    <cellStyle name="Note 2 3 2 2 2 2 4 2" xfId="12323"/>
    <cellStyle name="Note 2 3 2 2 2 2 4 2 2" xfId="26645"/>
    <cellStyle name="Note 2 3 2 2 2 2 4 3" xfId="17968"/>
    <cellStyle name="Note 2 3 2 2 2 2 5" xfId="6624"/>
    <cellStyle name="Note 2 3 2 2 2 2 5 2" xfId="23613"/>
    <cellStyle name="Note 2 3 2 2 2 2 6" xfId="14921"/>
    <cellStyle name="Note 2 3 2 2 2 3" xfId="1812"/>
    <cellStyle name="Note 2 3 2 2 2 3 2" xfId="1813"/>
    <cellStyle name="Note 2 3 2 2 2 3 2 2" xfId="5980"/>
    <cellStyle name="Note 2 3 2 2 2 3 2 2 2" xfId="12538"/>
    <cellStyle name="Note 2 3 2 2 2 3 2 2 2 2" xfId="26860"/>
    <cellStyle name="Note 2 3 2 2 2 3 2 2 3" xfId="18183"/>
    <cellStyle name="Note 2 3 2 2 2 3 2 3" xfId="7674"/>
    <cellStyle name="Note 2 3 2 2 2 3 2 3 2" xfId="10288"/>
    <cellStyle name="Note 2 3 2 2 2 3 2 3 2 2" xfId="16550"/>
    <cellStyle name="Note 2 3 2 2 2 3 2 3 2 2 2" xfId="29966"/>
    <cellStyle name="Note 2 3 2 2 2 3 2 3 2 3" xfId="21295"/>
    <cellStyle name="Note 2 3 2 2 2 3 2 3 3" xfId="14278"/>
    <cellStyle name="Note 2 3 2 2 2 3 2 3 3 2" xfId="28600"/>
    <cellStyle name="Note 2 3 2 2 2 3 2 3 4" xfId="19923"/>
    <cellStyle name="Note 2 3 2 2 2 3 2 4" xfId="3182"/>
    <cellStyle name="Note 2 3 2 2 2 3 2 4 2" xfId="22428"/>
    <cellStyle name="Note 2 3 2 2 2 3 2 5" xfId="17356"/>
    <cellStyle name="Note 2 3 2 2 2 3 3" xfId="1814"/>
    <cellStyle name="Note 2 3 2 2 2 3 3 2" xfId="7589"/>
    <cellStyle name="Note 2 3 2 2 2 3 3 2 2" xfId="10203"/>
    <cellStyle name="Note 2 3 2 2 2 3 3 2 2 2" xfId="16465"/>
    <cellStyle name="Note 2 3 2 2 2 3 3 2 2 2 2" xfId="29881"/>
    <cellStyle name="Note 2 3 2 2 2 3 3 2 2 3" xfId="21210"/>
    <cellStyle name="Note 2 3 2 2 2 3 3 2 3" xfId="14193"/>
    <cellStyle name="Note 2 3 2 2 2 3 3 2 3 2" xfId="28515"/>
    <cellStyle name="Note 2 3 2 2 2 3 3 2 4" xfId="19838"/>
    <cellStyle name="Note 2 3 2 2 2 3 3 3" xfId="12639"/>
    <cellStyle name="Note 2 3 2 2 2 3 3 3 2" xfId="26961"/>
    <cellStyle name="Note 2 3 2 2 2 3 3 4" xfId="18284"/>
    <cellStyle name="Note 2 3 2 2 2 3 4" xfId="5193"/>
    <cellStyle name="Note 2 3 2 2 2 3 4 2" xfId="11742"/>
    <cellStyle name="Note 2 3 2 2 2 3 4 2 2" xfId="26064"/>
    <cellStyle name="Note 2 3 2 2 2 3 4 3" xfId="6595"/>
    <cellStyle name="Note 2 3 2 2 2 3 5" xfId="3747"/>
    <cellStyle name="Note 2 3 2 2 2 3 5 2" xfId="22561"/>
    <cellStyle name="Note 2 3 2 2 2 3 6" xfId="15101"/>
    <cellStyle name="Note 2 3 2 2 2 4" xfId="1815"/>
    <cellStyle name="Note 2 3 2 2 2 4 2" xfId="6378"/>
    <cellStyle name="Note 2 3 2 2 2 4 2 2" xfId="12961"/>
    <cellStyle name="Note 2 3 2 2 2 4 2 2 2" xfId="27283"/>
    <cellStyle name="Note 2 3 2 2 2 4 2 3" xfId="18606"/>
    <cellStyle name="Note 2 3 2 2 2 4 3" xfId="7290"/>
    <cellStyle name="Note 2 3 2 2 2 4 3 2" xfId="9904"/>
    <cellStyle name="Note 2 3 2 2 2 4 3 2 2" xfId="16166"/>
    <cellStyle name="Note 2 3 2 2 2 4 3 2 2 2" xfId="29582"/>
    <cellStyle name="Note 2 3 2 2 2 4 3 2 3" xfId="20911"/>
    <cellStyle name="Note 2 3 2 2 2 4 3 3" xfId="13894"/>
    <cellStyle name="Note 2 3 2 2 2 4 3 3 2" xfId="28216"/>
    <cellStyle name="Note 2 3 2 2 2 4 3 4" xfId="19539"/>
    <cellStyle name="Note 2 3 2 2 2 4 4" xfId="3952"/>
    <cellStyle name="Note 2 3 2 2 2 4 4 2" xfId="22665"/>
    <cellStyle name="Note 2 3 2 2 2 4 5" xfId="15482"/>
    <cellStyle name="Note 2 3 2 2 2 5" xfId="1816"/>
    <cellStyle name="Note 2 3 2 2 2 5 2" xfId="7439"/>
    <cellStyle name="Note 2 3 2 2 2 5 2 2" xfId="10053"/>
    <cellStyle name="Note 2 3 2 2 2 5 2 2 2" xfId="16315"/>
    <cellStyle name="Note 2 3 2 2 2 5 2 2 2 2" xfId="29731"/>
    <cellStyle name="Note 2 3 2 2 2 5 2 2 3" xfId="21060"/>
    <cellStyle name="Note 2 3 2 2 2 5 2 3" xfId="14043"/>
    <cellStyle name="Note 2 3 2 2 2 5 2 3 2" xfId="28365"/>
    <cellStyle name="Note 2 3 2 2 2 5 2 4" xfId="19688"/>
    <cellStyle name="Note 2 3 2 2 2 5 3" xfId="12896"/>
    <cellStyle name="Note 2 3 2 2 2 5 3 2" xfId="27218"/>
    <cellStyle name="Note 2 3 2 2 2 5 4" xfId="18541"/>
    <cellStyle name="Note 2 3 2 2 2 6" xfId="5514"/>
    <cellStyle name="Note 2 3 2 2 2 6 2" xfId="12065"/>
    <cellStyle name="Note 2 3 2 2 2 6 2 2" xfId="26387"/>
    <cellStyle name="Note 2 3 2 2 2 6 3" xfId="17710"/>
    <cellStyle name="Note 2 3 2 2 2 7" xfId="4333"/>
    <cellStyle name="Note 2 3 2 2 2 7 2" xfId="22892"/>
    <cellStyle name="Note 2 3 2 2 2 8" xfId="4858"/>
    <cellStyle name="Note 2 3 2 2 3" xfId="1817"/>
    <cellStyle name="Note 2 3 2 2 3 2" xfId="1818"/>
    <cellStyle name="Note 2 3 2 2 3 2 2" xfId="1819"/>
    <cellStyle name="Note 2 3 2 2 3 2 2 2" xfId="6830"/>
    <cellStyle name="Note 2 3 2 2 3 2 2 2 2" xfId="13434"/>
    <cellStyle name="Note 2 3 2 2 3 2 2 2 2 2" xfId="27756"/>
    <cellStyle name="Note 2 3 2 2 3 2 2 2 3" xfId="19079"/>
    <cellStyle name="Note 2 3 2 2 3 2 2 3" xfId="5011"/>
    <cellStyle name="Note 2 3 2 2 3 2 2 3 2" xfId="9541"/>
    <cellStyle name="Note 2 3 2 2 3 2 2 3 2 2" xfId="15803"/>
    <cellStyle name="Note 2 3 2 2 3 2 2 3 2 2 2" xfId="29219"/>
    <cellStyle name="Note 2 3 2 2 3 2 2 3 2 3" xfId="20548"/>
    <cellStyle name="Note 2 3 2 2 3 2 2 3 3" xfId="11556"/>
    <cellStyle name="Note 2 3 2 2 3 2 2 3 3 2" xfId="25878"/>
    <cellStyle name="Note 2 3 2 2 3 2 2 3 4" xfId="15109"/>
    <cellStyle name="Note 2 3 2 2 3 2 2 4" xfId="2820"/>
    <cellStyle name="Note 2 3 2 2 3 2 2 4 2" xfId="22383"/>
    <cellStyle name="Note 2 3 2 2 3 2 2 5" xfId="15027"/>
    <cellStyle name="Note 2 3 2 2 3 2 3" xfId="1820"/>
    <cellStyle name="Note 2 3 2 2 3 2 3 2" xfId="7364"/>
    <cellStyle name="Note 2 3 2 2 3 2 3 2 2" xfId="9978"/>
    <cellStyle name="Note 2 3 2 2 3 2 3 2 2 2" xfId="16240"/>
    <cellStyle name="Note 2 3 2 2 3 2 3 2 2 2 2" xfId="29656"/>
    <cellStyle name="Note 2 3 2 2 3 2 3 2 2 3" xfId="20985"/>
    <cellStyle name="Note 2 3 2 2 3 2 3 2 3" xfId="13968"/>
    <cellStyle name="Note 2 3 2 2 3 2 3 2 3 2" xfId="28290"/>
    <cellStyle name="Note 2 3 2 2 3 2 3 2 4" xfId="19613"/>
    <cellStyle name="Note 2 3 2 2 3 2 3 3" xfId="13356"/>
    <cellStyle name="Note 2 3 2 2 3 2 3 3 2" xfId="27678"/>
    <cellStyle name="Note 2 3 2 2 3 2 3 4" xfId="19001"/>
    <cellStyle name="Note 2 3 2 2 3 2 4" xfId="5806"/>
    <cellStyle name="Note 2 3 2 2 3 2 4 2" xfId="12359"/>
    <cellStyle name="Note 2 3 2 2 3 2 4 2 2" xfId="26681"/>
    <cellStyle name="Note 2 3 2 2 3 2 4 3" xfId="18004"/>
    <cellStyle name="Note 2 3 2 2 3 2 5" xfId="6590"/>
    <cellStyle name="Note 2 3 2 2 3 2 5 2" xfId="23593"/>
    <cellStyle name="Note 2 3 2 2 3 2 6" xfId="15436"/>
    <cellStyle name="Note 2 3 2 2 3 3" xfId="1821"/>
    <cellStyle name="Note 2 3 2 2 3 3 2" xfId="1822"/>
    <cellStyle name="Note 2 3 2 2 3 3 2 2" xfId="6592"/>
    <cellStyle name="Note 2 3 2 2 3 3 2 2 2" xfId="13181"/>
    <cellStyle name="Note 2 3 2 2 3 3 2 2 2 2" xfId="27503"/>
    <cellStyle name="Note 2 3 2 2 3 3 2 2 3" xfId="18826"/>
    <cellStyle name="Note 2 3 2 2 3 3 2 3" xfId="4418"/>
    <cellStyle name="Note 2 3 2 2 3 3 2 3 2" xfId="9465"/>
    <cellStyle name="Note 2 3 2 2 3 3 2 3 2 2" xfId="15727"/>
    <cellStyle name="Note 2 3 2 2 3 3 2 3 2 2 2" xfId="29143"/>
    <cellStyle name="Note 2 3 2 2 3 3 2 3 2 3" xfId="20472"/>
    <cellStyle name="Note 2 3 2 2 3 3 2 3 3" xfId="6480"/>
    <cellStyle name="Note 2 3 2 2 3 3 2 3 3 2" xfId="23562"/>
    <cellStyle name="Note 2 3 2 2 3 3 2 3 4" xfId="4394"/>
    <cellStyle name="Note 2 3 2 2 3 3 2 4" xfId="4271"/>
    <cellStyle name="Note 2 3 2 2 3 3 2 4 2" xfId="22862"/>
    <cellStyle name="Note 2 3 2 2 3 3 2 5" xfId="17041"/>
    <cellStyle name="Note 2 3 2 2 3 3 3" xfId="1823"/>
    <cellStyle name="Note 2 3 2 2 3 3 3 2" xfId="7393"/>
    <cellStyle name="Note 2 3 2 2 3 3 3 2 2" xfId="10007"/>
    <cellStyle name="Note 2 3 2 2 3 3 3 2 2 2" xfId="16269"/>
    <cellStyle name="Note 2 3 2 2 3 3 3 2 2 2 2" xfId="29685"/>
    <cellStyle name="Note 2 3 2 2 3 3 3 2 2 3" xfId="21014"/>
    <cellStyle name="Note 2 3 2 2 3 3 3 2 3" xfId="13997"/>
    <cellStyle name="Note 2 3 2 2 3 3 3 2 3 2" xfId="28319"/>
    <cellStyle name="Note 2 3 2 2 3 3 3 2 4" xfId="19642"/>
    <cellStyle name="Note 2 3 2 2 3 3 3 3" xfId="12696"/>
    <cellStyle name="Note 2 3 2 2 3 3 3 3 2" xfId="27018"/>
    <cellStyle name="Note 2 3 2 2 3 3 3 4" xfId="18341"/>
    <cellStyle name="Note 2 3 2 2 3 3 4" xfId="5145"/>
    <cellStyle name="Note 2 3 2 2 3 3 4 2" xfId="11694"/>
    <cellStyle name="Note 2 3 2 2 3 3 4 2 2" xfId="26016"/>
    <cellStyle name="Note 2 3 2 2 3 3 4 3" xfId="3885"/>
    <cellStyle name="Note 2 3 2 2 3 3 5" xfId="4481"/>
    <cellStyle name="Note 2 3 2 2 3 3 5 2" xfId="22979"/>
    <cellStyle name="Note 2 3 2 2 3 3 6" xfId="15490"/>
    <cellStyle name="Note 2 3 2 2 3 4" xfId="1824"/>
    <cellStyle name="Note 2 3 2 2 3 4 2" xfId="6416"/>
    <cellStyle name="Note 2 3 2 2 3 4 2 2" xfId="12999"/>
    <cellStyle name="Note 2 3 2 2 3 4 2 2 2" xfId="27321"/>
    <cellStyle name="Note 2 3 2 2 3 4 2 3" xfId="18644"/>
    <cellStyle name="Note 2 3 2 2 3 4 3" xfId="3588"/>
    <cellStyle name="Note 2 3 2 2 3 4 3 2" xfId="9338"/>
    <cellStyle name="Note 2 3 2 2 3 4 3 2 2" xfId="15600"/>
    <cellStyle name="Note 2 3 2 2 3 4 3 2 2 2" xfId="29016"/>
    <cellStyle name="Note 2 3 2 2 3 4 3 2 3" xfId="20345"/>
    <cellStyle name="Note 2 3 2 2 3 4 3 3" xfId="4424"/>
    <cellStyle name="Note 2 3 2 2 3 4 3 3 2" xfId="22942"/>
    <cellStyle name="Note 2 3 2 2 3 4 3 4" xfId="14932"/>
    <cellStyle name="Note 2 3 2 2 3 4 4" xfId="4539"/>
    <cellStyle name="Note 2 3 2 2 3 4 4 2" xfId="23019"/>
    <cellStyle name="Note 2 3 2 2 3 4 5" xfId="17055"/>
    <cellStyle name="Note 2 3 2 2 3 5" xfId="1825"/>
    <cellStyle name="Note 2 3 2 2 3 5 2" xfId="7460"/>
    <cellStyle name="Note 2 3 2 2 3 5 2 2" xfId="10074"/>
    <cellStyle name="Note 2 3 2 2 3 5 2 2 2" xfId="16336"/>
    <cellStyle name="Note 2 3 2 2 3 5 2 2 2 2" xfId="29752"/>
    <cellStyle name="Note 2 3 2 2 3 5 2 2 3" xfId="21081"/>
    <cellStyle name="Note 2 3 2 2 3 5 2 3" xfId="14064"/>
    <cellStyle name="Note 2 3 2 2 3 5 2 3 2" xfId="28386"/>
    <cellStyle name="Note 2 3 2 2 3 5 2 4" xfId="19709"/>
    <cellStyle name="Note 2 3 2 2 3 5 3" xfId="12932"/>
    <cellStyle name="Note 2 3 2 2 3 5 3 2" xfId="27254"/>
    <cellStyle name="Note 2 3 2 2 3 5 4" xfId="18577"/>
    <cellStyle name="Note 2 3 2 2 3 6" xfId="5556"/>
    <cellStyle name="Note 2 3 2 2 3 6 2" xfId="12107"/>
    <cellStyle name="Note 2 3 2 2 3 6 2 2" xfId="26429"/>
    <cellStyle name="Note 2 3 2 2 3 6 3" xfId="17752"/>
    <cellStyle name="Note 2 3 2 2 3 7" xfId="4588"/>
    <cellStyle name="Note 2 3 2 2 3 7 2" xfId="23051"/>
    <cellStyle name="Note 2 3 2 2 3 8" xfId="4374"/>
    <cellStyle name="Note 2 3 2 2 4" xfId="1826"/>
    <cellStyle name="Note 2 3 2 2 4 2" xfId="1827"/>
    <cellStyle name="Note 2 3 2 2 4 2 2" xfId="1828"/>
    <cellStyle name="Note 2 3 2 2 4 2 2 2" xfId="6882"/>
    <cellStyle name="Note 2 3 2 2 4 2 2 2 2" xfId="13486"/>
    <cellStyle name="Note 2 3 2 2 4 2 2 2 2 2" xfId="27808"/>
    <cellStyle name="Note 2 3 2 2 4 2 2 2 3" xfId="19131"/>
    <cellStyle name="Note 2 3 2 2 4 2 2 3" xfId="7585"/>
    <cellStyle name="Note 2 3 2 2 4 2 2 3 2" xfId="10199"/>
    <cellStyle name="Note 2 3 2 2 4 2 2 3 2 2" xfId="16461"/>
    <cellStyle name="Note 2 3 2 2 4 2 2 3 2 2 2" xfId="29877"/>
    <cellStyle name="Note 2 3 2 2 4 2 2 3 2 3" xfId="21206"/>
    <cellStyle name="Note 2 3 2 2 4 2 2 3 3" xfId="14189"/>
    <cellStyle name="Note 2 3 2 2 4 2 2 3 3 2" xfId="28511"/>
    <cellStyle name="Note 2 3 2 2 4 2 2 3 4" xfId="19834"/>
    <cellStyle name="Note 2 3 2 2 4 2 2 4" xfId="11356"/>
    <cellStyle name="Note 2 3 2 2 4 2 2 4 2" xfId="25678"/>
    <cellStyle name="Note 2 3 2 2 4 2 2 5" xfId="17346"/>
    <cellStyle name="Note 2 3 2 2 4 2 3" xfId="1829"/>
    <cellStyle name="Note 2 3 2 2 4 2 3 2" xfId="4457"/>
    <cellStyle name="Note 2 3 2 2 4 2 3 2 2" xfId="9467"/>
    <cellStyle name="Note 2 3 2 2 4 2 3 2 2 2" xfId="15729"/>
    <cellStyle name="Note 2 3 2 2 4 2 3 2 2 2 2" xfId="29145"/>
    <cellStyle name="Note 2 3 2 2 4 2 3 2 2 3" xfId="20474"/>
    <cellStyle name="Note 2 3 2 2 4 2 3 2 3" xfId="6131"/>
    <cellStyle name="Note 2 3 2 2 4 2 3 2 3 2" xfId="23423"/>
    <cellStyle name="Note 2 3 2 2 4 2 3 2 4" xfId="15375"/>
    <cellStyle name="Note 2 3 2 2 4 2 3 3" xfId="13242"/>
    <cellStyle name="Note 2 3 2 2 4 2 3 3 2" xfId="27564"/>
    <cellStyle name="Note 2 3 2 2 4 2 3 4" xfId="18887"/>
    <cellStyle name="Note 2 3 2 2 4 2 4" xfId="5683"/>
    <cellStyle name="Note 2 3 2 2 4 2 4 2" xfId="12236"/>
    <cellStyle name="Note 2 3 2 2 4 2 4 2 2" xfId="26558"/>
    <cellStyle name="Note 2 3 2 2 4 2 4 3" xfId="17881"/>
    <cellStyle name="Note 2 3 2 2 4 2 5" xfId="4233"/>
    <cellStyle name="Note 2 3 2 2 4 2 5 2" xfId="22843"/>
    <cellStyle name="Note 2 3 2 2 4 2 6" xfId="16971"/>
    <cellStyle name="Note 2 3 2 2 4 3" xfId="1830"/>
    <cellStyle name="Note 2 3 2 2 4 3 2" xfId="1831"/>
    <cellStyle name="Note 2 3 2 2 4 3 2 2" xfId="6846"/>
    <cellStyle name="Note 2 3 2 2 4 3 2 2 2" xfId="13450"/>
    <cellStyle name="Note 2 3 2 2 4 3 2 2 2 2" xfId="27772"/>
    <cellStyle name="Note 2 3 2 2 4 3 2 2 3" xfId="19095"/>
    <cellStyle name="Note 2 3 2 2 4 3 2 3" xfId="5284"/>
    <cellStyle name="Note 2 3 2 2 4 3 2 3 2" xfId="9593"/>
    <cellStyle name="Note 2 3 2 2 4 3 2 3 2 2" xfId="15855"/>
    <cellStyle name="Note 2 3 2 2 4 3 2 3 2 2 2" xfId="29271"/>
    <cellStyle name="Note 2 3 2 2 4 3 2 3 2 3" xfId="20600"/>
    <cellStyle name="Note 2 3 2 2 4 3 2 3 3" xfId="11834"/>
    <cellStyle name="Note 2 3 2 2 4 3 2 3 3 2" xfId="26156"/>
    <cellStyle name="Note 2 3 2 2 4 3 2 3 4" xfId="17479"/>
    <cellStyle name="Note 2 3 2 2 4 3 2 4" xfId="2809"/>
    <cellStyle name="Note 2 3 2 2 4 3 2 4 2" xfId="22372"/>
    <cellStyle name="Note 2 3 2 2 4 3 2 5" xfId="17004"/>
    <cellStyle name="Note 2 3 2 2 4 3 3" xfId="1832"/>
    <cellStyle name="Note 2 3 2 2 4 3 3 2" xfId="7845"/>
    <cellStyle name="Note 2 3 2 2 4 3 3 2 2" xfId="10459"/>
    <cellStyle name="Note 2 3 2 2 4 3 3 2 2 2" xfId="16721"/>
    <cellStyle name="Note 2 3 2 2 4 3 3 2 2 2 2" xfId="30137"/>
    <cellStyle name="Note 2 3 2 2 4 3 3 2 2 3" xfId="21466"/>
    <cellStyle name="Note 2 3 2 2 4 3 3 2 3" xfId="14449"/>
    <cellStyle name="Note 2 3 2 2 4 3 3 2 3 2" xfId="28771"/>
    <cellStyle name="Note 2 3 2 2 4 3 3 2 4" xfId="20094"/>
    <cellStyle name="Note 2 3 2 2 4 3 3 3" xfId="13035"/>
    <cellStyle name="Note 2 3 2 2 4 3 3 3 2" xfId="27357"/>
    <cellStyle name="Note 2 3 2 2 4 3 3 4" xfId="18680"/>
    <cellStyle name="Note 2 3 2 2 4 3 4" xfId="5348"/>
    <cellStyle name="Note 2 3 2 2 4 3 4 2" xfId="11898"/>
    <cellStyle name="Note 2 3 2 2 4 3 4 2 2" xfId="26220"/>
    <cellStyle name="Note 2 3 2 2 4 3 4 3" xfId="17543"/>
    <cellStyle name="Note 2 3 2 2 4 3 5" xfId="6574"/>
    <cellStyle name="Note 2 3 2 2 4 3 5 2" xfId="23584"/>
    <cellStyle name="Note 2 3 2 2 4 3 6" xfId="17168"/>
    <cellStyle name="Note 2 3 2 2 4 4" xfId="1833"/>
    <cellStyle name="Note 2 3 2 2 4 4 2" xfId="6229"/>
    <cellStyle name="Note 2 3 2 2 4 4 2 2" xfId="12804"/>
    <cellStyle name="Note 2 3 2 2 4 4 2 2 2" xfId="27126"/>
    <cellStyle name="Note 2 3 2 2 4 4 2 3" xfId="18449"/>
    <cellStyle name="Note 2 3 2 2 4 4 3" xfId="7788"/>
    <cellStyle name="Note 2 3 2 2 4 4 3 2" xfId="10402"/>
    <cellStyle name="Note 2 3 2 2 4 4 3 2 2" xfId="16664"/>
    <cellStyle name="Note 2 3 2 2 4 4 3 2 2 2" xfId="30080"/>
    <cellStyle name="Note 2 3 2 2 4 4 3 2 3" xfId="21409"/>
    <cellStyle name="Note 2 3 2 2 4 4 3 3" xfId="14392"/>
    <cellStyle name="Note 2 3 2 2 4 4 3 3 2" xfId="28714"/>
    <cellStyle name="Note 2 3 2 2 4 4 3 4" xfId="20037"/>
    <cellStyle name="Note 2 3 2 2 4 4 4" xfId="6261"/>
    <cellStyle name="Note 2 3 2 2 4 4 4 2" xfId="23479"/>
    <cellStyle name="Note 2 3 2 2 4 4 5" xfId="15032"/>
    <cellStyle name="Note 2 3 2 2 4 5" xfId="1834"/>
    <cellStyle name="Note 2 3 2 2 4 5 2" xfId="7468"/>
    <cellStyle name="Note 2 3 2 2 4 5 2 2" xfId="10082"/>
    <cellStyle name="Note 2 3 2 2 4 5 2 2 2" xfId="16344"/>
    <cellStyle name="Note 2 3 2 2 4 5 2 2 2 2" xfId="29760"/>
    <cellStyle name="Note 2 3 2 2 4 5 2 2 3" xfId="21089"/>
    <cellStyle name="Note 2 3 2 2 4 5 2 3" xfId="14072"/>
    <cellStyle name="Note 2 3 2 2 4 5 2 3 2" xfId="28394"/>
    <cellStyle name="Note 2 3 2 2 4 5 2 4" xfId="19717"/>
    <cellStyle name="Note 2 3 2 2 4 5 3" xfId="12702"/>
    <cellStyle name="Note 2 3 2 2 4 5 3 2" xfId="27024"/>
    <cellStyle name="Note 2 3 2 2 4 5 4" xfId="18347"/>
    <cellStyle name="Note 2 3 2 2 4 6" xfId="5131"/>
    <cellStyle name="Note 2 3 2 2 4 6 2" xfId="11680"/>
    <cellStyle name="Note 2 3 2 2 4 6 2 2" xfId="26002"/>
    <cellStyle name="Note 2 3 2 2 4 6 3" xfId="3642"/>
    <cellStyle name="Note 2 3 2 2 4 7" xfId="4013"/>
    <cellStyle name="Note 2 3 2 2 4 7 2" xfId="22701"/>
    <cellStyle name="Note 2 3 2 2 4 8" xfId="14776"/>
    <cellStyle name="Note 2 3 2 2 5" xfId="1835"/>
    <cellStyle name="Note 2 3 2 2 5 2" xfId="1836"/>
    <cellStyle name="Note 2 3 2 2 5 2 2" xfId="1837"/>
    <cellStyle name="Note 2 3 2 2 5 2 2 2" xfId="6139"/>
    <cellStyle name="Note 2 3 2 2 5 2 2 2 2" xfId="12709"/>
    <cellStyle name="Note 2 3 2 2 5 2 2 2 2 2" xfId="27031"/>
    <cellStyle name="Note 2 3 2 2 5 2 2 2 3" xfId="18354"/>
    <cellStyle name="Note 2 3 2 2 5 2 2 3" xfId="4968"/>
    <cellStyle name="Note 2 3 2 2 5 2 2 3 2" xfId="9527"/>
    <cellStyle name="Note 2 3 2 2 5 2 2 3 2 2" xfId="15789"/>
    <cellStyle name="Note 2 3 2 2 5 2 2 3 2 2 2" xfId="29205"/>
    <cellStyle name="Note 2 3 2 2 5 2 2 3 2 3" xfId="20534"/>
    <cellStyle name="Note 2 3 2 2 5 2 2 3 3" xfId="11510"/>
    <cellStyle name="Note 2 3 2 2 5 2 2 3 3 2" xfId="25832"/>
    <cellStyle name="Note 2 3 2 2 5 2 2 3 4" xfId="14890"/>
    <cellStyle name="Note 2 3 2 2 5 2 2 4" xfId="3818"/>
    <cellStyle name="Note 2 3 2 2 5 2 2 4 2" xfId="22597"/>
    <cellStyle name="Note 2 3 2 2 5 2 2 5" xfId="17366"/>
    <cellStyle name="Note 2 3 2 2 5 2 3" xfId="1838"/>
    <cellStyle name="Note 2 3 2 2 5 2 3 2" xfId="7904"/>
    <cellStyle name="Note 2 3 2 2 5 2 3 2 2" xfId="10518"/>
    <cellStyle name="Note 2 3 2 2 5 2 3 2 2 2" xfId="16780"/>
    <cellStyle name="Note 2 3 2 2 5 2 3 2 2 2 2" xfId="30196"/>
    <cellStyle name="Note 2 3 2 2 5 2 3 2 2 3" xfId="21525"/>
    <cellStyle name="Note 2 3 2 2 5 2 3 2 3" xfId="14508"/>
    <cellStyle name="Note 2 3 2 2 5 2 3 2 3 2" xfId="28830"/>
    <cellStyle name="Note 2 3 2 2 5 2 3 2 4" xfId="20153"/>
    <cellStyle name="Note 2 3 2 2 5 2 3 3" xfId="13371"/>
    <cellStyle name="Note 2 3 2 2 5 2 3 3 2" xfId="27693"/>
    <cellStyle name="Note 2 3 2 2 5 2 3 4" xfId="19016"/>
    <cellStyle name="Note 2 3 2 2 5 2 4" xfId="5822"/>
    <cellStyle name="Note 2 3 2 2 5 2 4 2" xfId="12375"/>
    <cellStyle name="Note 2 3 2 2 5 2 4 2 2" xfId="26697"/>
    <cellStyle name="Note 2 3 2 2 5 2 4 3" xfId="18020"/>
    <cellStyle name="Note 2 3 2 2 5 2 5" xfId="4200"/>
    <cellStyle name="Note 2 3 2 2 5 2 5 2" xfId="22817"/>
    <cellStyle name="Note 2 3 2 2 5 2 6" xfId="14689"/>
    <cellStyle name="Note 2 3 2 2 5 3" xfId="1839"/>
    <cellStyle name="Note 2 3 2 2 5 3 2" xfId="6438"/>
    <cellStyle name="Note 2 3 2 2 5 3 2 2" xfId="13021"/>
    <cellStyle name="Note 2 3 2 2 5 3 2 2 2" xfId="27343"/>
    <cellStyle name="Note 2 3 2 2 5 3 2 3" xfId="18666"/>
    <cellStyle name="Note 2 3 2 2 5 3 3" xfId="7118"/>
    <cellStyle name="Note 2 3 2 2 5 3 3 2" xfId="9732"/>
    <cellStyle name="Note 2 3 2 2 5 3 3 2 2" xfId="15994"/>
    <cellStyle name="Note 2 3 2 2 5 3 3 2 2 2" xfId="29410"/>
    <cellStyle name="Note 2 3 2 2 5 3 3 2 3" xfId="20739"/>
    <cellStyle name="Note 2 3 2 2 5 3 3 3" xfId="13722"/>
    <cellStyle name="Note 2 3 2 2 5 3 3 3 2" xfId="28044"/>
    <cellStyle name="Note 2 3 2 2 5 3 3 4" xfId="19367"/>
    <cellStyle name="Note 2 3 2 2 5 3 4" xfId="6262"/>
    <cellStyle name="Note 2 3 2 2 5 3 4 2" xfId="23480"/>
    <cellStyle name="Note 2 3 2 2 5 3 5" xfId="17327"/>
    <cellStyle name="Note 2 3 2 2 5 4" xfId="1840"/>
    <cellStyle name="Note 2 3 2 2 5 4 2" xfId="5245"/>
    <cellStyle name="Note 2 3 2 2 5 4 2 2" xfId="9555"/>
    <cellStyle name="Note 2 3 2 2 5 4 2 2 2" xfId="15817"/>
    <cellStyle name="Note 2 3 2 2 5 4 2 2 2 2" xfId="29233"/>
    <cellStyle name="Note 2 3 2 2 5 4 2 2 3" xfId="20562"/>
    <cellStyle name="Note 2 3 2 2 5 4 2 3" xfId="11795"/>
    <cellStyle name="Note 2 3 2 2 5 4 2 3 2" xfId="26117"/>
    <cellStyle name="Note 2 3 2 2 5 4 2 4" xfId="17440"/>
    <cellStyle name="Note 2 3 2 2 5 4 3" xfId="12719"/>
    <cellStyle name="Note 2 3 2 2 5 4 3 2" xfId="27041"/>
    <cellStyle name="Note 2 3 2 2 5 4 4" xfId="18364"/>
    <cellStyle name="Note 2 3 2 2 5 5" xfId="3144"/>
    <cellStyle name="Note 2 3 2 2 5 5 2" xfId="4713"/>
    <cellStyle name="Note 2 3 2 2 5 5 2 2" xfId="23145"/>
    <cellStyle name="Note 2 3 2 2 5 5 3" xfId="15098"/>
    <cellStyle name="Note 2 3 2 2 5 6" xfId="4230"/>
    <cellStyle name="Note 2 3 2 2 5 6 2" xfId="22840"/>
    <cellStyle name="Note 2 3 2 2 5 7" xfId="17229"/>
    <cellStyle name="Note 2 3 2 2 6" xfId="1841"/>
    <cellStyle name="Note 2 3 2 2 6 2" xfId="1842"/>
    <cellStyle name="Note 2 3 2 2 6 2 2" xfId="5912"/>
    <cellStyle name="Note 2 3 2 2 6 2 2 2" xfId="12466"/>
    <cellStyle name="Note 2 3 2 2 6 2 2 2 2" xfId="26788"/>
    <cellStyle name="Note 2 3 2 2 6 2 2 3" xfId="18111"/>
    <cellStyle name="Note 2 3 2 2 6 2 3" xfId="7500"/>
    <cellStyle name="Note 2 3 2 2 6 2 3 2" xfId="10114"/>
    <cellStyle name="Note 2 3 2 2 6 2 3 2 2" xfId="16376"/>
    <cellStyle name="Note 2 3 2 2 6 2 3 2 2 2" xfId="29792"/>
    <cellStyle name="Note 2 3 2 2 6 2 3 2 3" xfId="21121"/>
    <cellStyle name="Note 2 3 2 2 6 2 3 3" xfId="14104"/>
    <cellStyle name="Note 2 3 2 2 6 2 3 3 2" xfId="28426"/>
    <cellStyle name="Note 2 3 2 2 6 2 3 4" xfId="19749"/>
    <cellStyle name="Note 2 3 2 2 6 2 4" xfId="4476"/>
    <cellStyle name="Note 2 3 2 2 6 2 4 2" xfId="22974"/>
    <cellStyle name="Note 2 3 2 2 6 2 5" xfId="14824"/>
    <cellStyle name="Note 2 3 2 2 6 3" xfId="1843"/>
    <cellStyle name="Note 2 3 2 2 6 3 2" xfId="7310"/>
    <cellStyle name="Note 2 3 2 2 6 3 2 2" xfId="9924"/>
    <cellStyle name="Note 2 3 2 2 6 3 2 2 2" xfId="16186"/>
    <cellStyle name="Note 2 3 2 2 6 3 2 2 2 2" xfId="29602"/>
    <cellStyle name="Note 2 3 2 2 6 3 2 2 3" xfId="20931"/>
    <cellStyle name="Note 2 3 2 2 6 3 2 3" xfId="13914"/>
    <cellStyle name="Note 2 3 2 2 6 3 2 3 2" xfId="28236"/>
    <cellStyle name="Note 2 3 2 2 6 3 2 4" xfId="19559"/>
    <cellStyle name="Note 2 3 2 2 6 3 3" xfId="11682"/>
    <cellStyle name="Note 2 3 2 2 6 3 3 2" xfId="26004"/>
    <cellStyle name="Note 2 3 2 2 6 3 4" xfId="3948"/>
    <cellStyle name="Note 2 3 2 2 6 4" xfId="5129"/>
    <cellStyle name="Note 2 3 2 2 6 4 2" xfId="11678"/>
    <cellStyle name="Note 2 3 2 2 6 4 2 2" xfId="26000"/>
    <cellStyle name="Note 2 3 2 2 6 4 3" xfId="6339"/>
    <cellStyle name="Note 2 3 2 2 6 5" xfId="3739"/>
    <cellStyle name="Note 2 3 2 2 6 5 2" xfId="22556"/>
    <cellStyle name="Note 2 3 2 2 6 6" xfId="15045"/>
    <cellStyle name="Note 2 3 2 2 7" xfId="1844"/>
    <cellStyle name="Note 2 3 2 2 7 2" xfId="6052"/>
    <cellStyle name="Note 2 3 2 2 7 2 2" xfId="12618"/>
    <cellStyle name="Note 2 3 2 2 7 2 2 2" xfId="26940"/>
    <cellStyle name="Note 2 3 2 2 7 2 3" xfId="18263"/>
    <cellStyle name="Note 2 3 2 2 7 3" xfId="7893"/>
    <cellStyle name="Note 2 3 2 2 7 3 2" xfId="10507"/>
    <cellStyle name="Note 2 3 2 2 7 3 2 2" xfId="16769"/>
    <cellStyle name="Note 2 3 2 2 7 3 2 2 2" xfId="30185"/>
    <cellStyle name="Note 2 3 2 2 7 3 2 3" xfId="21514"/>
    <cellStyle name="Note 2 3 2 2 7 3 3" xfId="14497"/>
    <cellStyle name="Note 2 3 2 2 7 3 3 2" xfId="28819"/>
    <cellStyle name="Note 2 3 2 2 7 3 4" xfId="20142"/>
    <cellStyle name="Note 2 3 2 2 7 4" xfId="5923"/>
    <cellStyle name="Note 2 3 2 2 7 4 2" xfId="23373"/>
    <cellStyle name="Note 2 3 2 2 7 5" xfId="17126"/>
    <cellStyle name="Note 2 3 2 2 8" xfId="1845"/>
    <cellStyle name="Note 2 3 2 2 8 2" xfId="7827"/>
    <cellStyle name="Note 2 3 2 2 8 2 2" xfId="10441"/>
    <cellStyle name="Note 2 3 2 2 8 2 2 2" xfId="16703"/>
    <cellStyle name="Note 2 3 2 2 8 2 2 2 2" xfId="30119"/>
    <cellStyle name="Note 2 3 2 2 8 2 2 3" xfId="21448"/>
    <cellStyle name="Note 2 3 2 2 8 2 3" xfId="14431"/>
    <cellStyle name="Note 2 3 2 2 8 2 3 2" xfId="28753"/>
    <cellStyle name="Note 2 3 2 2 8 2 4" xfId="20076"/>
    <cellStyle name="Note 2 3 2 2 8 3" xfId="12760"/>
    <cellStyle name="Note 2 3 2 2 8 3 2" xfId="27082"/>
    <cellStyle name="Note 2 3 2 2 8 4" xfId="18405"/>
    <cellStyle name="Note 2 3 2 2 9" xfId="5471"/>
    <cellStyle name="Note 2 3 2 2 9 2" xfId="12022"/>
    <cellStyle name="Note 2 3 2 2 9 2 2" xfId="26344"/>
    <cellStyle name="Note 2 3 2 2 9 3" xfId="17667"/>
    <cellStyle name="Note 2 3 2 3" xfId="1846"/>
    <cellStyle name="Note 2 3 2 3 2" xfId="1847"/>
    <cellStyle name="Note 2 3 2 3 2 2" xfId="1848"/>
    <cellStyle name="Note 2 3 2 3 2 2 2" xfId="6571"/>
    <cellStyle name="Note 2 3 2 3 2 2 2 2" xfId="13159"/>
    <cellStyle name="Note 2 3 2 3 2 2 2 2 2" xfId="27481"/>
    <cellStyle name="Note 2 3 2 3 2 2 2 3" xfId="18804"/>
    <cellStyle name="Note 2 3 2 3 2 2 3" xfId="7603"/>
    <cellStyle name="Note 2 3 2 3 2 2 3 2" xfId="10217"/>
    <cellStyle name="Note 2 3 2 3 2 2 3 2 2" xfId="16479"/>
    <cellStyle name="Note 2 3 2 3 2 2 3 2 2 2" xfId="29895"/>
    <cellStyle name="Note 2 3 2 3 2 2 3 2 3" xfId="21224"/>
    <cellStyle name="Note 2 3 2 3 2 2 3 3" xfId="14207"/>
    <cellStyle name="Note 2 3 2 3 2 2 3 3 2" xfId="28529"/>
    <cellStyle name="Note 2 3 2 3 2 2 3 4" xfId="19852"/>
    <cellStyle name="Note 2 3 2 3 2 2 4" xfId="3994"/>
    <cellStyle name="Note 2 3 2 3 2 2 4 2" xfId="22691"/>
    <cellStyle name="Note 2 3 2 3 2 2 5" xfId="3771"/>
    <cellStyle name="Note 2 3 2 3 2 3" xfId="1849"/>
    <cellStyle name="Note 2 3 2 3 2 3 2" xfId="7388"/>
    <cellStyle name="Note 2 3 2 3 2 3 2 2" xfId="10002"/>
    <cellStyle name="Note 2 3 2 3 2 3 2 2 2" xfId="16264"/>
    <cellStyle name="Note 2 3 2 3 2 3 2 2 2 2" xfId="29680"/>
    <cellStyle name="Note 2 3 2 3 2 3 2 2 3" xfId="21009"/>
    <cellStyle name="Note 2 3 2 3 2 3 2 3" xfId="13992"/>
    <cellStyle name="Note 2 3 2 3 2 3 2 3 2" xfId="28314"/>
    <cellStyle name="Note 2 3 2 3 2 3 2 4" xfId="19637"/>
    <cellStyle name="Note 2 3 2 3 2 3 3" xfId="13306"/>
    <cellStyle name="Note 2 3 2 3 2 3 3 2" xfId="27628"/>
    <cellStyle name="Note 2 3 2 3 2 3 4" xfId="18951"/>
    <cellStyle name="Note 2 3 2 3 2 4" xfId="5756"/>
    <cellStyle name="Note 2 3 2 3 2 4 2" xfId="12309"/>
    <cellStyle name="Note 2 3 2 3 2 4 2 2" xfId="26631"/>
    <cellStyle name="Note 2 3 2 3 2 4 3" xfId="17954"/>
    <cellStyle name="Note 2 3 2 3 2 5" xfId="6677"/>
    <cellStyle name="Note 2 3 2 3 2 5 2" xfId="23648"/>
    <cellStyle name="Note 2 3 2 3 2 6" xfId="15514"/>
    <cellStyle name="Note 2 3 2 3 3" xfId="1850"/>
    <cellStyle name="Note 2 3 2 3 3 2" xfId="1851"/>
    <cellStyle name="Note 2 3 2 3 3 2 2" xfId="6936"/>
    <cellStyle name="Note 2 3 2 3 3 2 2 2" xfId="13540"/>
    <cellStyle name="Note 2 3 2 3 3 2 2 2 2" xfId="27862"/>
    <cellStyle name="Note 2 3 2 3 3 2 2 3" xfId="19185"/>
    <cellStyle name="Note 2 3 2 3 3 2 3" xfId="7833"/>
    <cellStyle name="Note 2 3 2 3 3 2 3 2" xfId="10447"/>
    <cellStyle name="Note 2 3 2 3 3 2 3 2 2" xfId="16709"/>
    <cellStyle name="Note 2 3 2 3 3 2 3 2 2 2" xfId="30125"/>
    <cellStyle name="Note 2 3 2 3 3 2 3 2 3" xfId="21454"/>
    <cellStyle name="Note 2 3 2 3 3 2 3 3" xfId="14437"/>
    <cellStyle name="Note 2 3 2 3 3 2 3 3 2" xfId="28759"/>
    <cellStyle name="Note 2 3 2 3 3 2 3 4" xfId="20082"/>
    <cellStyle name="Note 2 3 2 3 3 2 4" xfId="11429"/>
    <cellStyle name="Note 2 3 2 3 3 2 4 2" xfId="25751"/>
    <cellStyle name="Note 2 3 2 3 3 2 5" xfId="15163"/>
    <cellStyle name="Note 2 3 2 3 3 3" xfId="1852"/>
    <cellStyle name="Note 2 3 2 3 3 3 2" xfId="7952"/>
    <cellStyle name="Note 2 3 2 3 3 3 2 2" xfId="10566"/>
    <cellStyle name="Note 2 3 2 3 3 3 2 2 2" xfId="16828"/>
    <cellStyle name="Note 2 3 2 3 3 3 2 2 2 2" xfId="30244"/>
    <cellStyle name="Note 2 3 2 3 3 3 2 2 3" xfId="21573"/>
    <cellStyle name="Note 2 3 2 3 3 3 2 3" xfId="14556"/>
    <cellStyle name="Note 2 3 2 3 3 3 2 3 2" xfId="28878"/>
    <cellStyle name="Note 2 3 2 3 3 3 2 4" xfId="20201"/>
    <cellStyle name="Note 2 3 2 3 3 3 3" xfId="13245"/>
    <cellStyle name="Note 2 3 2 3 3 3 3 2" xfId="27567"/>
    <cellStyle name="Note 2 3 2 3 3 3 4" xfId="18890"/>
    <cellStyle name="Note 2 3 2 3 3 4" xfId="5687"/>
    <cellStyle name="Note 2 3 2 3 3 4 2" xfId="12240"/>
    <cellStyle name="Note 2 3 2 3 3 4 2 2" xfId="26562"/>
    <cellStyle name="Note 2 3 2 3 3 4 3" xfId="17885"/>
    <cellStyle name="Note 2 3 2 3 3 5" xfId="6493"/>
    <cellStyle name="Note 2 3 2 3 3 5 2" xfId="23569"/>
    <cellStyle name="Note 2 3 2 3 3 6" xfId="17008"/>
    <cellStyle name="Note 2 3 2 3 4" xfId="1853"/>
    <cellStyle name="Note 2 3 2 3 4 2" xfId="7014"/>
    <cellStyle name="Note 2 3 2 3 4 2 2" xfId="13618"/>
    <cellStyle name="Note 2 3 2 3 4 2 2 2" xfId="27940"/>
    <cellStyle name="Note 2 3 2 3 4 2 3" xfId="19263"/>
    <cellStyle name="Note 2 3 2 3 4 3" xfId="8063"/>
    <cellStyle name="Note 2 3 2 3 4 3 2" xfId="10677"/>
    <cellStyle name="Note 2 3 2 3 4 3 2 2" xfId="16939"/>
    <cellStyle name="Note 2 3 2 3 4 3 2 2 2" xfId="30355"/>
    <cellStyle name="Note 2 3 2 3 4 3 2 3" xfId="21684"/>
    <cellStyle name="Note 2 3 2 3 4 3 3" xfId="14667"/>
    <cellStyle name="Note 2 3 2 3 4 3 3 2" xfId="28989"/>
    <cellStyle name="Note 2 3 2 3 4 3 4" xfId="20312"/>
    <cellStyle name="Note 2 3 2 3 4 4" xfId="11540"/>
    <cellStyle name="Note 2 3 2 3 4 4 2" xfId="25862"/>
    <cellStyle name="Note 2 3 2 3 4 5" xfId="17299"/>
    <cellStyle name="Note 2 3 2 3 5" xfId="1854"/>
    <cellStyle name="Note 2 3 2 3 5 2" xfId="8052"/>
    <cellStyle name="Note 2 3 2 3 5 2 2" xfId="10666"/>
    <cellStyle name="Note 2 3 2 3 5 2 2 2" xfId="16928"/>
    <cellStyle name="Note 2 3 2 3 5 2 2 2 2" xfId="30344"/>
    <cellStyle name="Note 2 3 2 3 5 2 2 3" xfId="21673"/>
    <cellStyle name="Note 2 3 2 3 5 2 3" xfId="14656"/>
    <cellStyle name="Note 2 3 2 3 5 2 3 2" xfId="28978"/>
    <cellStyle name="Note 2 3 2 3 5 2 4" xfId="20301"/>
    <cellStyle name="Note 2 3 2 3 5 3" xfId="12882"/>
    <cellStyle name="Note 2 3 2 3 5 3 2" xfId="27204"/>
    <cellStyle name="Note 2 3 2 3 5 4" xfId="18527"/>
    <cellStyle name="Note 2 3 2 3 6" xfId="5500"/>
    <cellStyle name="Note 2 3 2 3 6 2" xfId="12051"/>
    <cellStyle name="Note 2 3 2 3 6 2 2" xfId="26373"/>
    <cellStyle name="Note 2 3 2 3 6 3" xfId="17696"/>
    <cellStyle name="Note 2 3 2 3 7" xfId="5062"/>
    <cellStyle name="Note 2 3 2 3 7 2" xfId="23322"/>
    <cellStyle name="Note 2 3 2 3 8" xfId="4098"/>
    <cellStyle name="Note 2 3 2 4" xfId="1855"/>
    <cellStyle name="Note 2 3 2 4 2" xfId="1856"/>
    <cellStyle name="Note 2 3 2 4 2 2" xfId="1857"/>
    <cellStyle name="Note 2 3 2 4 2 2 2" xfId="6500"/>
    <cellStyle name="Note 2 3 2 4 2 2 2 2" xfId="13086"/>
    <cellStyle name="Note 2 3 2 4 2 2 2 2 2" xfId="27408"/>
    <cellStyle name="Note 2 3 2 4 2 2 2 3" xfId="18731"/>
    <cellStyle name="Note 2 3 2 4 2 2 3" xfId="7443"/>
    <cellStyle name="Note 2 3 2 4 2 2 3 2" xfId="10057"/>
    <cellStyle name="Note 2 3 2 4 2 2 3 2 2" xfId="16319"/>
    <cellStyle name="Note 2 3 2 4 2 2 3 2 2 2" xfId="29735"/>
    <cellStyle name="Note 2 3 2 4 2 2 3 2 3" xfId="21064"/>
    <cellStyle name="Note 2 3 2 4 2 2 3 3" xfId="14047"/>
    <cellStyle name="Note 2 3 2 4 2 2 3 3 2" xfId="28369"/>
    <cellStyle name="Note 2 3 2 4 2 2 3 4" xfId="19692"/>
    <cellStyle name="Note 2 3 2 4 2 2 4" xfId="4501"/>
    <cellStyle name="Note 2 3 2 4 2 2 4 2" xfId="22993"/>
    <cellStyle name="Note 2 3 2 4 2 2 5" xfId="15262"/>
    <cellStyle name="Note 2 3 2 4 2 3" xfId="1858"/>
    <cellStyle name="Note 2 3 2 4 2 3 2" xfId="5251"/>
    <cellStyle name="Note 2 3 2 4 2 3 2 2" xfId="9560"/>
    <cellStyle name="Note 2 3 2 4 2 3 2 2 2" xfId="15822"/>
    <cellStyle name="Note 2 3 2 4 2 3 2 2 2 2" xfId="29238"/>
    <cellStyle name="Note 2 3 2 4 2 3 2 2 3" xfId="20567"/>
    <cellStyle name="Note 2 3 2 4 2 3 2 3" xfId="11801"/>
    <cellStyle name="Note 2 3 2 4 2 3 2 3 2" xfId="26123"/>
    <cellStyle name="Note 2 3 2 4 2 3 2 4" xfId="17446"/>
    <cellStyle name="Note 2 3 2 4 2 3 3" xfId="13342"/>
    <cellStyle name="Note 2 3 2 4 2 3 3 2" xfId="27664"/>
    <cellStyle name="Note 2 3 2 4 2 3 4" xfId="18987"/>
    <cellStyle name="Note 2 3 2 4 2 4" xfId="5792"/>
    <cellStyle name="Note 2 3 2 4 2 4 2" xfId="12345"/>
    <cellStyle name="Note 2 3 2 4 2 4 2 2" xfId="26667"/>
    <cellStyle name="Note 2 3 2 4 2 4 3" xfId="17990"/>
    <cellStyle name="Note 2 3 2 4 2 5" xfId="4036"/>
    <cellStyle name="Note 2 3 2 4 2 5 2" xfId="22714"/>
    <cellStyle name="Note 2 3 2 4 2 6" xfId="14926"/>
    <cellStyle name="Note 2 3 2 4 3" xfId="1859"/>
    <cellStyle name="Note 2 3 2 4 3 2" xfId="1860"/>
    <cellStyle name="Note 2 3 2 4 3 2 2" xfId="6844"/>
    <cellStyle name="Note 2 3 2 4 3 2 2 2" xfId="13448"/>
    <cellStyle name="Note 2 3 2 4 3 2 2 2 2" xfId="27770"/>
    <cellStyle name="Note 2 3 2 4 3 2 2 3" xfId="19093"/>
    <cellStyle name="Note 2 3 2 4 3 2 3" xfId="8048"/>
    <cellStyle name="Note 2 3 2 4 3 2 3 2" xfId="10662"/>
    <cellStyle name="Note 2 3 2 4 3 2 3 2 2" xfId="16924"/>
    <cellStyle name="Note 2 3 2 4 3 2 3 2 2 2" xfId="30340"/>
    <cellStyle name="Note 2 3 2 4 3 2 3 2 3" xfId="21669"/>
    <cellStyle name="Note 2 3 2 4 3 2 3 3" xfId="14652"/>
    <cellStyle name="Note 2 3 2 4 3 2 3 3 2" xfId="28974"/>
    <cellStyle name="Note 2 3 2 4 3 2 3 4" xfId="20297"/>
    <cellStyle name="Note 2 3 2 4 3 2 4" xfId="2768"/>
    <cellStyle name="Note 2 3 2 4 3 2 4 2" xfId="22337"/>
    <cellStyle name="Note 2 3 2 4 3 2 5" xfId="15143"/>
    <cellStyle name="Note 2 3 2 4 3 3" xfId="1861"/>
    <cellStyle name="Note 2 3 2 4 3 3 2" xfId="5253"/>
    <cellStyle name="Note 2 3 2 4 3 3 2 2" xfId="9562"/>
    <cellStyle name="Note 2 3 2 4 3 3 2 2 2" xfId="15824"/>
    <cellStyle name="Note 2 3 2 4 3 3 2 2 2 2" xfId="29240"/>
    <cellStyle name="Note 2 3 2 4 3 3 2 2 3" xfId="20569"/>
    <cellStyle name="Note 2 3 2 4 3 3 2 3" xfId="11803"/>
    <cellStyle name="Note 2 3 2 4 3 3 2 3 2" xfId="26125"/>
    <cellStyle name="Note 2 3 2 4 3 3 2 4" xfId="17448"/>
    <cellStyle name="Note 2 3 2 4 3 3 3" xfId="13400"/>
    <cellStyle name="Note 2 3 2 4 3 3 3 2" xfId="27722"/>
    <cellStyle name="Note 2 3 2 4 3 3 4" xfId="19045"/>
    <cellStyle name="Note 2 3 2 4 3 4" xfId="5864"/>
    <cellStyle name="Note 2 3 2 4 3 4 2" xfId="12417"/>
    <cellStyle name="Note 2 3 2 4 3 4 2 2" xfId="26739"/>
    <cellStyle name="Note 2 3 2 4 3 4 3" xfId="18062"/>
    <cellStyle name="Note 2 3 2 4 3 5" xfId="3979"/>
    <cellStyle name="Note 2 3 2 4 3 5 2" xfId="22683"/>
    <cellStyle name="Note 2 3 2 4 3 6" xfId="17242"/>
    <cellStyle name="Note 2 3 2 4 4" xfId="1862"/>
    <cellStyle name="Note 2 3 2 4 4 2" xfId="5620"/>
    <cellStyle name="Note 2 3 2 4 4 2 2" xfId="12173"/>
    <cellStyle name="Note 2 3 2 4 4 2 2 2" xfId="26495"/>
    <cellStyle name="Note 2 3 2 4 4 2 3" xfId="17818"/>
    <cellStyle name="Note 2 3 2 4 4 3" xfId="7576"/>
    <cellStyle name="Note 2 3 2 4 4 3 2" xfId="10190"/>
    <cellStyle name="Note 2 3 2 4 4 3 2 2" xfId="16452"/>
    <cellStyle name="Note 2 3 2 4 4 3 2 2 2" xfId="29868"/>
    <cellStyle name="Note 2 3 2 4 4 3 2 3" xfId="21197"/>
    <cellStyle name="Note 2 3 2 4 4 3 3" xfId="14180"/>
    <cellStyle name="Note 2 3 2 4 4 3 3 2" xfId="28502"/>
    <cellStyle name="Note 2 3 2 4 4 3 4" xfId="19825"/>
    <cellStyle name="Note 2 3 2 4 4 4" xfId="3844"/>
    <cellStyle name="Note 2 3 2 4 4 4 2" xfId="22609"/>
    <cellStyle name="Note 2 3 2 4 4 5" xfId="17325"/>
    <cellStyle name="Note 2 3 2 4 5" xfId="1863"/>
    <cellStyle name="Note 2 3 2 4 5 2" xfId="5033"/>
    <cellStyle name="Note 2 3 2 4 5 2 2" xfId="9551"/>
    <cellStyle name="Note 2 3 2 4 5 2 2 2" xfId="15813"/>
    <cellStyle name="Note 2 3 2 4 5 2 2 2 2" xfId="29229"/>
    <cellStyle name="Note 2 3 2 4 5 2 2 3" xfId="20558"/>
    <cellStyle name="Note 2 3 2 4 5 2 3" xfId="11580"/>
    <cellStyle name="Note 2 3 2 4 5 2 3 2" xfId="25902"/>
    <cellStyle name="Note 2 3 2 4 5 2 4" xfId="15268"/>
    <cellStyle name="Note 2 3 2 4 5 3" xfId="12918"/>
    <cellStyle name="Note 2 3 2 4 5 3 2" xfId="27240"/>
    <cellStyle name="Note 2 3 2 4 5 4" xfId="18563"/>
    <cellStyle name="Note 2 3 2 4 6" xfId="5542"/>
    <cellStyle name="Note 2 3 2 4 6 2" xfId="12093"/>
    <cellStyle name="Note 2 3 2 4 6 2 2" xfId="26415"/>
    <cellStyle name="Note 2 3 2 4 6 3" xfId="17738"/>
    <cellStyle name="Note 2 3 2 4 7" xfId="4387"/>
    <cellStyle name="Note 2 3 2 4 7 2" xfId="22921"/>
    <cellStyle name="Note 2 3 2 4 8" xfId="17114"/>
    <cellStyle name="Note 2 3 2 5" xfId="1864"/>
    <cellStyle name="Note 2 3 2 5 2" xfId="1865"/>
    <cellStyle name="Note 2 3 2 5 2 2" xfId="1866"/>
    <cellStyle name="Note 2 3 2 5 2 2 2" xfId="6079"/>
    <cellStyle name="Note 2 3 2 5 2 2 2 2" xfId="12645"/>
    <cellStyle name="Note 2 3 2 5 2 2 2 2 2" xfId="26967"/>
    <cellStyle name="Note 2 3 2 5 2 2 2 3" xfId="18290"/>
    <cellStyle name="Note 2 3 2 5 2 2 3" xfId="7838"/>
    <cellStyle name="Note 2 3 2 5 2 2 3 2" xfId="10452"/>
    <cellStyle name="Note 2 3 2 5 2 2 3 2 2" xfId="16714"/>
    <cellStyle name="Note 2 3 2 5 2 2 3 2 2 2" xfId="30130"/>
    <cellStyle name="Note 2 3 2 5 2 2 3 2 3" xfId="21459"/>
    <cellStyle name="Note 2 3 2 5 2 2 3 3" xfId="14442"/>
    <cellStyle name="Note 2 3 2 5 2 2 3 3 2" xfId="28764"/>
    <cellStyle name="Note 2 3 2 5 2 2 3 4" xfId="20087"/>
    <cellStyle name="Note 2 3 2 5 2 2 4" xfId="4952"/>
    <cellStyle name="Note 2 3 2 5 2 2 4 2" xfId="23276"/>
    <cellStyle name="Note 2 3 2 5 2 2 5" xfId="14759"/>
    <cellStyle name="Note 2 3 2 5 2 3" xfId="1867"/>
    <cellStyle name="Note 2 3 2 5 2 3 2" xfId="5273"/>
    <cellStyle name="Note 2 3 2 5 2 3 2 2" xfId="9582"/>
    <cellStyle name="Note 2 3 2 5 2 3 2 2 2" xfId="15844"/>
    <cellStyle name="Note 2 3 2 5 2 3 2 2 2 2" xfId="29260"/>
    <cellStyle name="Note 2 3 2 5 2 3 2 2 3" xfId="20589"/>
    <cellStyle name="Note 2 3 2 5 2 3 2 3" xfId="11823"/>
    <cellStyle name="Note 2 3 2 5 2 3 2 3 2" xfId="26145"/>
    <cellStyle name="Note 2 3 2 5 2 3 2 4" xfId="17468"/>
    <cellStyle name="Note 2 3 2 5 2 3 3" xfId="13263"/>
    <cellStyle name="Note 2 3 2 5 2 3 3 2" xfId="27585"/>
    <cellStyle name="Note 2 3 2 5 2 3 4" xfId="18908"/>
    <cellStyle name="Note 2 3 2 5 2 4" xfId="5709"/>
    <cellStyle name="Note 2 3 2 5 2 4 2" xfId="12262"/>
    <cellStyle name="Note 2 3 2 5 2 4 2 2" xfId="26584"/>
    <cellStyle name="Note 2 3 2 5 2 4 3" xfId="17907"/>
    <cellStyle name="Note 2 3 2 5 2 5" xfId="5099"/>
    <cellStyle name="Note 2 3 2 5 2 5 2" xfId="23325"/>
    <cellStyle name="Note 2 3 2 5 2 6" xfId="15495"/>
    <cellStyle name="Note 2 3 2 5 3" xfId="1868"/>
    <cellStyle name="Note 2 3 2 5 3 2" xfId="1869"/>
    <cellStyle name="Note 2 3 2 5 3 2 2" xfId="6403"/>
    <cellStyle name="Note 2 3 2 5 3 2 2 2" xfId="12986"/>
    <cellStyle name="Note 2 3 2 5 3 2 2 2 2" xfId="27308"/>
    <cellStyle name="Note 2 3 2 5 3 2 2 3" xfId="18631"/>
    <cellStyle name="Note 2 3 2 5 3 2 3" xfId="7119"/>
    <cellStyle name="Note 2 3 2 5 3 2 3 2" xfId="9733"/>
    <cellStyle name="Note 2 3 2 5 3 2 3 2 2" xfId="15995"/>
    <cellStyle name="Note 2 3 2 5 3 2 3 2 2 2" xfId="29411"/>
    <cellStyle name="Note 2 3 2 5 3 2 3 2 3" xfId="20740"/>
    <cellStyle name="Note 2 3 2 5 3 2 3 3" xfId="13723"/>
    <cellStyle name="Note 2 3 2 5 3 2 3 3 2" xfId="28045"/>
    <cellStyle name="Note 2 3 2 5 3 2 3 4" xfId="19368"/>
    <cellStyle name="Note 2 3 2 5 3 2 4" xfId="2788"/>
    <cellStyle name="Note 2 3 2 5 3 2 4 2" xfId="22356"/>
    <cellStyle name="Note 2 3 2 5 3 2 5" xfId="17221"/>
    <cellStyle name="Note 2 3 2 5 3 3" xfId="1870"/>
    <cellStyle name="Note 2 3 2 5 3 3 2" xfId="7080"/>
    <cellStyle name="Note 2 3 2 5 3 3 2 2" xfId="9694"/>
    <cellStyle name="Note 2 3 2 5 3 3 2 2 2" xfId="15956"/>
    <cellStyle name="Note 2 3 2 5 3 3 2 2 2 2" xfId="29372"/>
    <cellStyle name="Note 2 3 2 5 3 3 2 2 3" xfId="20701"/>
    <cellStyle name="Note 2 3 2 5 3 3 2 3" xfId="13684"/>
    <cellStyle name="Note 2 3 2 5 3 3 2 3 2" xfId="28006"/>
    <cellStyle name="Note 2 3 2 5 3 3 2 4" xfId="19329"/>
    <cellStyle name="Note 2 3 2 5 3 3 3" xfId="13372"/>
    <cellStyle name="Note 2 3 2 5 3 3 3 2" xfId="27694"/>
    <cellStyle name="Note 2 3 2 5 3 3 4" xfId="19017"/>
    <cellStyle name="Note 2 3 2 5 3 4" xfId="5824"/>
    <cellStyle name="Note 2 3 2 5 3 4 2" xfId="12377"/>
    <cellStyle name="Note 2 3 2 5 3 4 2 2" xfId="26699"/>
    <cellStyle name="Note 2 3 2 5 3 4 3" xfId="18022"/>
    <cellStyle name="Note 2 3 2 5 3 5" xfId="6289"/>
    <cellStyle name="Note 2 3 2 5 3 5 2" xfId="23490"/>
    <cellStyle name="Note 2 3 2 5 3 6" xfId="15418"/>
    <cellStyle name="Note 2 3 2 5 4" xfId="1871"/>
    <cellStyle name="Note 2 3 2 5 4 2" xfId="6217"/>
    <cellStyle name="Note 2 3 2 5 4 2 2" xfId="12792"/>
    <cellStyle name="Note 2 3 2 5 4 2 2 2" xfId="27114"/>
    <cellStyle name="Note 2 3 2 5 4 2 3" xfId="18437"/>
    <cellStyle name="Note 2 3 2 5 4 3" xfId="3905"/>
    <cellStyle name="Note 2 3 2 5 4 3 2" xfId="9392"/>
    <cellStyle name="Note 2 3 2 5 4 3 2 2" xfId="15654"/>
    <cellStyle name="Note 2 3 2 5 4 3 2 2 2" xfId="29070"/>
    <cellStyle name="Note 2 3 2 5 4 3 2 3" xfId="20399"/>
    <cellStyle name="Note 2 3 2 5 4 3 3" xfId="4625"/>
    <cellStyle name="Note 2 3 2 5 4 3 3 2" xfId="23072"/>
    <cellStyle name="Note 2 3 2 5 4 3 4" xfId="15574"/>
    <cellStyle name="Note 2 3 2 5 4 4" xfId="4500"/>
    <cellStyle name="Note 2 3 2 5 4 4 2" xfId="22992"/>
    <cellStyle name="Note 2 3 2 5 4 5" xfId="17225"/>
    <cellStyle name="Note 2 3 2 5 5" xfId="1872"/>
    <cellStyle name="Note 2 3 2 5 5 2" xfId="7281"/>
    <cellStyle name="Note 2 3 2 5 5 2 2" xfId="9895"/>
    <cellStyle name="Note 2 3 2 5 5 2 2 2" xfId="16157"/>
    <cellStyle name="Note 2 3 2 5 5 2 2 2 2" xfId="29573"/>
    <cellStyle name="Note 2 3 2 5 5 2 2 3" xfId="20902"/>
    <cellStyle name="Note 2 3 2 5 5 2 3" xfId="13885"/>
    <cellStyle name="Note 2 3 2 5 5 2 3 2" xfId="28207"/>
    <cellStyle name="Note 2 3 2 5 5 2 4" xfId="19530"/>
    <cellStyle name="Note 2 3 2 5 5 3" xfId="12819"/>
    <cellStyle name="Note 2 3 2 5 5 3 2" xfId="27141"/>
    <cellStyle name="Note 2 3 2 5 5 4" xfId="18464"/>
    <cellStyle name="Note 2 3 2 5 6" xfId="5357"/>
    <cellStyle name="Note 2 3 2 5 6 2" xfId="11907"/>
    <cellStyle name="Note 2 3 2 5 6 2 2" xfId="26229"/>
    <cellStyle name="Note 2 3 2 5 6 3" xfId="17552"/>
    <cellStyle name="Note 2 3 2 5 7" xfId="6720"/>
    <cellStyle name="Note 2 3 2 5 7 2" xfId="23674"/>
    <cellStyle name="Note 2 3 2 5 8" xfId="15412"/>
    <cellStyle name="Note 2 3 2 6" xfId="1873"/>
    <cellStyle name="Note 2 3 2 6 2" xfId="1874"/>
    <cellStyle name="Note 2 3 2 6 2 2" xfId="1875"/>
    <cellStyle name="Note 2 3 2 6 2 2 2" xfId="6955"/>
    <cellStyle name="Note 2 3 2 6 2 2 2 2" xfId="13559"/>
    <cellStyle name="Note 2 3 2 6 2 2 2 2 2" xfId="27881"/>
    <cellStyle name="Note 2 3 2 6 2 2 2 3" xfId="19204"/>
    <cellStyle name="Note 2 3 2 6 2 2 3" xfId="5280"/>
    <cellStyle name="Note 2 3 2 6 2 2 3 2" xfId="9589"/>
    <cellStyle name="Note 2 3 2 6 2 2 3 2 2" xfId="15851"/>
    <cellStyle name="Note 2 3 2 6 2 2 3 2 2 2" xfId="29267"/>
    <cellStyle name="Note 2 3 2 6 2 2 3 2 3" xfId="20596"/>
    <cellStyle name="Note 2 3 2 6 2 2 3 3" xfId="11830"/>
    <cellStyle name="Note 2 3 2 6 2 2 3 3 2" xfId="26152"/>
    <cellStyle name="Note 2 3 2 6 2 2 3 4" xfId="17475"/>
    <cellStyle name="Note 2 3 2 6 2 2 4" xfId="11453"/>
    <cellStyle name="Note 2 3 2 6 2 2 4 2" xfId="25775"/>
    <cellStyle name="Note 2 3 2 6 2 2 5" xfId="15034"/>
    <cellStyle name="Note 2 3 2 6 2 3" xfId="1876"/>
    <cellStyle name="Note 2 3 2 6 2 3 2" xfId="3770"/>
    <cellStyle name="Note 2 3 2 6 2 3 2 2" xfId="9372"/>
    <cellStyle name="Note 2 3 2 6 2 3 2 2 2" xfId="15634"/>
    <cellStyle name="Note 2 3 2 6 2 3 2 2 2 2" xfId="29050"/>
    <cellStyle name="Note 2 3 2 6 2 3 2 2 3" xfId="20379"/>
    <cellStyle name="Note 2 3 2 6 2 3 2 3" xfId="4763"/>
    <cellStyle name="Note 2 3 2 6 2 3 2 3 2" xfId="23176"/>
    <cellStyle name="Note 2 3 2 6 2 3 2 4" xfId="4214"/>
    <cellStyle name="Note 2 3 2 6 2 3 3" xfId="13173"/>
    <cellStyle name="Note 2 3 2 6 2 3 3 2" xfId="27495"/>
    <cellStyle name="Note 2 3 2 6 2 3 4" xfId="18818"/>
    <cellStyle name="Note 2 3 2 6 2 4" xfId="5596"/>
    <cellStyle name="Note 2 3 2 6 2 4 2" xfId="12148"/>
    <cellStyle name="Note 2 3 2 6 2 4 2 2" xfId="26470"/>
    <cellStyle name="Note 2 3 2 6 2 4 3" xfId="17793"/>
    <cellStyle name="Note 2 3 2 6 2 5" xfId="3803"/>
    <cellStyle name="Note 2 3 2 6 2 5 2" xfId="22591"/>
    <cellStyle name="Note 2 3 2 6 2 6" xfId="15485"/>
    <cellStyle name="Note 2 3 2 6 3" xfId="1877"/>
    <cellStyle name="Note 2 3 2 6 3 2" xfId="6534"/>
    <cellStyle name="Note 2 3 2 6 3 2 2" xfId="13122"/>
    <cellStyle name="Note 2 3 2 6 3 2 2 2" xfId="27444"/>
    <cellStyle name="Note 2 3 2 6 3 2 3" xfId="18767"/>
    <cellStyle name="Note 2 3 2 6 3 3" xfId="7723"/>
    <cellStyle name="Note 2 3 2 6 3 3 2" xfId="10337"/>
    <cellStyle name="Note 2 3 2 6 3 3 2 2" xfId="16599"/>
    <cellStyle name="Note 2 3 2 6 3 3 2 2 2" xfId="30015"/>
    <cellStyle name="Note 2 3 2 6 3 3 2 3" xfId="21344"/>
    <cellStyle name="Note 2 3 2 6 3 3 3" xfId="14327"/>
    <cellStyle name="Note 2 3 2 6 3 3 3 2" xfId="28649"/>
    <cellStyle name="Note 2 3 2 6 3 3 4" xfId="19972"/>
    <cellStyle name="Note 2 3 2 6 3 4" xfId="3595"/>
    <cellStyle name="Note 2 3 2 6 3 4 2" xfId="22478"/>
    <cellStyle name="Note 2 3 2 6 3 5" xfId="5522"/>
    <cellStyle name="Note 2 3 2 6 4" xfId="1878"/>
    <cellStyle name="Note 2 3 2 6 4 2" xfId="7647"/>
    <cellStyle name="Note 2 3 2 6 4 2 2" xfId="10261"/>
    <cellStyle name="Note 2 3 2 6 4 2 2 2" xfId="16523"/>
    <cellStyle name="Note 2 3 2 6 4 2 2 2 2" xfId="29939"/>
    <cellStyle name="Note 2 3 2 6 4 2 2 3" xfId="21268"/>
    <cellStyle name="Note 2 3 2 6 4 2 3" xfId="14251"/>
    <cellStyle name="Note 2 3 2 6 4 2 3 2" xfId="28573"/>
    <cellStyle name="Note 2 3 2 6 4 2 4" xfId="19896"/>
    <cellStyle name="Note 2 3 2 6 4 3" xfId="12945"/>
    <cellStyle name="Note 2 3 2 6 4 3 2" xfId="27267"/>
    <cellStyle name="Note 2 3 2 6 4 4" xfId="18590"/>
    <cellStyle name="Note 2 3 2 6 5" xfId="5606"/>
    <cellStyle name="Note 2 3 2 6 5 2" xfId="12158"/>
    <cellStyle name="Note 2 3 2 6 5 2 2" xfId="26480"/>
    <cellStyle name="Note 2 3 2 6 5 3" xfId="17803"/>
    <cellStyle name="Note 2 3 2 6 6" xfId="5182"/>
    <cellStyle name="Note 2 3 2 6 6 2" xfId="23333"/>
    <cellStyle name="Note 2 3 2 6 7" xfId="15086"/>
    <cellStyle name="Note 2 3 2 7" xfId="1879"/>
    <cellStyle name="Note 2 3 2 7 2" xfId="1880"/>
    <cellStyle name="Note 2 3 2 7 2 2" xfId="7005"/>
    <cellStyle name="Note 2 3 2 7 2 2 2" xfId="13609"/>
    <cellStyle name="Note 2 3 2 7 2 2 2 2" xfId="27931"/>
    <cellStyle name="Note 2 3 2 7 2 2 3" xfId="19254"/>
    <cellStyle name="Note 2 3 2 7 2 3" xfId="7298"/>
    <cellStyle name="Note 2 3 2 7 2 3 2" xfId="9912"/>
    <cellStyle name="Note 2 3 2 7 2 3 2 2" xfId="16174"/>
    <cellStyle name="Note 2 3 2 7 2 3 2 2 2" xfId="29590"/>
    <cellStyle name="Note 2 3 2 7 2 3 2 3" xfId="20919"/>
    <cellStyle name="Note 2 3 2 7 2 3 3" xfId="13902"/>
    <cellStyle name="Note 2 3 2 7 2 3 3 2" xfId="28224"/>
    <cellStyle name="Note 2 3 2 7 2 3 4" xfId="19547"/>
    <cellStyle name="Note 2 3 2 7 2 4" xfId="11525"/>
    <cellStyle name="Note 2 3 2 7 2 4 2" xfId="25847"/>
    <cellStyle name="Note 2 3 2 7 2 5" xfId="17223"/>
    <cellStyle name="Note 2 3 2 7 3" xfId="1881"/>
    <cellStyle name="Note 2 3 2 7 3 2" xfId="3910"/>
    <cellStyle name="Note 2 3 2 7 3 2 2" xfId="9394"/>
    <cellStyle name="Note 2 3 2 7 3 2 2 2" xfId="15656"/>
    <cellStyle name="Note 2 3 2 7 3 2 2 2 2" xfId="29072"/>
    <cellStyle name="Note 2 3 2 7 3 2 2 3" xfId="20401"/>
    <cellStyle name="Note 2 3 2 7 3 2 3" xfId="3811"/>
    <cellStyle name="Note 2 3 2 7 3 2 3 2" xfId="22595"/>
    <cellStyle name="Note 2 3 2 7 3 2 4" xfId="15169"/>
    <cellStyle name="Note 2 3 2 7 3 3" xfId="13061"/>
    <cellStyle name="Note 2 3 2 7 3 3 2" xfId="27383"/>
    <cellStyle name="Note 2 3 2 7 3 4" xfId="18706"/>
    <cellStyle name="Note 2 3 2 7 4" xfId="5394"/>
    <cellStyle name="Note 2 3 2 7 4 2" xfId="11944"/>
    <cellStyle name="Note 2 3 2 7 4 2 2" xfId="26266"/>
    <cellStyle name="Note 2 3 2 7 4 3" xfId="17589"/>
    <cellStyle name="Note 2 3 2 7 5" xfId="5035"/>
    <cellStyle name="Note 2 3 2 7 5 2" xfId="23315"/>
    <cellStyle name="Note 2 3 2 7 6" xfId="14836"/>
    <cellStyle name="Note 2 3 2 8" xfId="1882"/>
    <cellStyle name="Note 2 3 2 8 2" xfId="5996"/>
    <cellStyle name="Note 2 3 2 8 2 2" xfId="12554"/>
    <cellStyle name="Note 2 3 2 8 2 2 2" xfId="26876"/>
    <cellStyle name="Note 2 3 2 8 2 3" xfId="18199"/>
    <cellStyle name="Note 2 3 2 8 3" xfId="7184"/>
    <cellStyle name="Note 2 3 2 8 3 2" xfId="9798"/>
    <cellStyle name="Note 2 3 2 8 3 2 2" xfId="16060"/>
    <cellStyle name="Note 2 3 2 8 3 2 2 2" xfId="29476"/>
    <cellStyle name="Note 2 3 2 8 3 2 3" xfId="20805"/>
    <cellStyle name="Note 2 3 2 8 3 3" xfId="13788"/>
    <cellStyle name="Note 2 3 2 8 3 3 2" xfId="28110"/>
    <cellStyle name="Note 2 3 2 8 3 4" xfId="19433"/>
    <cellStyle name="Note 2 3 2 8 4" xfId="3649"/>
    <cellStyle name="Note 2 3 2 8 4 2" xfId="22506"/>
    <cellStyle name="Note 2 3 2 8 5" xfId="15069"/>
    <cellStyle name="Note 2 3 2 9" xfId="1883"/>
    <cellStyle name="Note 2 3 2 9 2" xfId="7998"/>
    <cellStyle name="Note 2 3 2 9 2 2" xfId="10612"/>
    <cellStyle name="Note 2 3 2 9 2 2 2" xfId="16874"/>
    <cellStyle name="Note 2 3 2 9 2 2 2 2" xfId="30290"/>
    <cellStyle name="Note 2 3 2 9 2 2 3" xfId="21619"/>
    <cellStyle name="Note 2 3 2 9 2 3" xfId="14602"/>
    <cellStyle name="Note 2 3 2 9 2 3 2" xfId="28924"/>
    <cellStyle name="Note 2 3 2 9 2 4" xfId="20247"/>
    <cellStyle name="Note 2 3 2 9 3" xfId="12723"/>
    <cellStyle name="Note 2 3 2 9 3 2" xfId="27045"/>
    <cellStyle name="Note 2 3 2 9 4" xfId="18368"/>
    <cellStyle name="Note 2 3 3" xfId="1884"/>
    <cellStyle name="Note 2 3 3 10" xfId="4055"/>
    <cellStyle name="Note 2 3 3 10 2" xfId="22730"/>
    <cellStyle name="Note 2 3 3 11" xfId="17176"/>
    <cellStyle name="Note 2 3 3 2" xfId="1885"/>
    <cellStyle name="Note 2 3 3 2 2" xfId="1886"/>
    <cellStyle name="Note 2 3 3 2 2 2" xfId="1887"/>
    <cellStyle name="Note 2 3 3 2 2 2 2" xfId="6922"/>
    <cellStyle name="Note 2 3 3 2 2 2 2 2" xfId="13526"/>
    <cellStyle name="Note 2 3 3 2 2 2 2 2 2" xfId="27848"/>
    <cellStyle name="Note 2 3 3 2 2 2 2 3" xfId="19171"/>
    <cellStyle name="Note 2 3 3 2 2 2 3" xfId="5031"/>
    <cellStyle name="Note 2 3 3 2 2 2 3 2" xfId="9549"/>
    <cellStyle name="Note 2 3 3 2 2 2 3 2 2" xfId="15811"/>
    <cellStyle name="Note 2 3 3 2 2 2 3 2 2 2" xfId="29227"/>
    <cellStyle name="Note 2 3 3 2 2 2 3 2 3" xfId="20556"/>
    <cellStyle name="Note 2 3 3 2 2 2 3 3" xfId="11578"/>
    <cellStyle name="Note 2 3 3 2 2 2 3 3 2" xfId="25900"/>
    <cellStyle name="Note 2 3 3 2 2 2 3 4" xfId="14948"/>
    <cellStyle name="Note 2 3 3 2 2 2 4" xfId="11410"/>
    <cellStyle name="Note 2 3 3 2 2 2 4 2" xfId="25732"/>
    <cellStyle name="Note 2 3 3 2 2 2 5" xfId="15017"/>
    <cellStyle name="Note 2 3 3 2 2 3" xfId="1888"/>
    <cellStyle name="Note 2 3 3 2 2 3 2" xfId="7260"/>
    <cellStyle name="Note 2 3 3 2 2 3 2 2" xfId="9874"/>
    <cellStyle name="Note 2 3 3 2 2 3 2 2 2" xfId="16136"/>
    <cellStyle name="Note 2 3 3 2 2 3 2 2 2 2" xfId="29552"/>
    <cellStyle name="Note 2 3 3 2 2 3 2 2 3" xfId="20881"/>
    <cellStyle name="Note 2 3 3 2 2 3 2 3" xfId="13864"/>
    <cellStyle name="Note 2 3 3 2 2 3 2 3 2" xfId="28186"/>
    <cellStyle name="Note 2 3 3 2 2 3 2 4" xfId="19509"/>
    <cellStyle name="Note 2 3 3 2 2 3 3" xfId="13302"/>
    <cellStyle name="Note 2 3 3 2 2 3 3 2" xfId="27624"/>
    <cellStyle name="Note 2 3 3 2 2 3 4" xfId="18947"/>
    <cellStyle name="Note 2 3 3 2 2 4" xfId="5752"/>
    <cellStyle name="Note 2 3 3 2 2 4 2" xfId="12305"/>
    <cellStyle name="Note 2 3 3 2 2 4 2 2" xfId="26627"/>
    <cellStyle name="Note 2 3 3 2 2 4 3" xfId="17950"/>
    <cellStyle name="Note 2 3 3 2 2 5" xfId="4536"/>
    <cellStyle name="Note 2 3 3 2 2 5 2" xfId="23016"/>
    <cellStyle name="Note 2 3 3 2 2 6" xfId="3585"/>
    <cellStyle name="Note 2 3 3 2 3" xfId="1889"/>
    <cellStyle name="Note 2 3 3 2 3 2" xfId="1890"/>
    <cellStyle name="Note 2 3 3 2 3 2 2" xfId="6386"/>
    <cellStyle name="Note 2 3 3 2 3 2 2 2" xfId="12969"/>
    <cellStyle name="Note 2 3 3 2 3 2 2 2 2" xfId="27291"/>
    <cellStyle name="Note 2 3 3 2 3 2 2 3" xfId="18614"/>
    <cellStyle name="Note 2 3 3 2 3 2 3" xfId="7864"/>
    <cellStyle name="Note 2 3 3 2 3 2 3 2" xfId="10478"/>
    <cellStyle name="Note 2 3 3 2 3 2 3 2 2" xfId="16740"/>
    <cellStyle name="Note 2 3 3 2 3 2 3 2 2 2" xfId="30156"/>
    <cellStyle name="Note 2 3 3 2 3 2 3 2 3" xfId="21485"/>
    <cellStyle name="Note 2 3 3 2 3 2 3 3" xfId="14468"/>
    <cellStyle name="Note 2 3 3 2 3 2 3 3 2" xfId="28790"/>
    <cellStyle name="Note 2 3 3 2 3 2 3 4" xfId="20113"/>
    <cellStyle name="Note 2 3 3 2 3 2 4" xfId="4451"/>
    <cellStyle name="Note 2 3 3 2 3 2 4 2" xfId="22960"/>
    <cellStyle name="Note 2 3 3 2 3 2 5" xfId="3871"/>
    <cellStyle name="Note 2 3 3 2 3 3" xfId="1891"/>
    <cellStyle name="Note 2 3 3 2 3 3 2" xfId="7085"/>
    <cellStyle name="Note 2 3 3 2 3 3 2 2" xfId="9699"/>
    <cellStyle name="Note 2 3 3 2 3 3 2 2 2" xfId="15961"/>
    <cellStyle name="Note 2 3 3 2 3 3 2 2 2 2" xfId="29377"/>
    <cellStyle name="Note 2 3 3 2 3 3 2 2 3" xfId="20706"/>
    <cellStyle name="Note 2 3 3 2 3 3 2 3" xfId="13689"/>
    <cellStyle name="Note 2 3 3 2 3 3 2 3 2" xfId="28011"/>
    <cellStyle name="Note 2 3 3 2 3 3 2 4" xfId="19334"/>
    <cellStyle name="Note 2 3 3 2 3 3 3" xfId="12608"/>
    <cellStyle name="Note 2 3 3 2 3 3 3 2" xfId="26930"/>
    <cellStyle name="Note 2 3 3 2 3 3 4" xfId="18253"/>
    <cellStyle name="Note 2 3 3 2 3 4" xfId="5072"/>
    <cellStyle name="Note 2 3 3 2 3 4 2" xfId="11619"/>
    <cellStyle name="Note 2 3 3 2 3 4 2 2" xfId="25941"/>
    <cellStyle name="Note 2 3 3 2 3 4 3" xfId="15381"/>
    <cellStyle name="Note 2 3 3 2 3 5" xfId="3743"/>
    <cellStyle name="Note 2 3 3 2 3 5 2" xfId="22558"/>
    <cellStyle name="Note 2 3 3 2 3 6" xfId="16969"/>
    <cellStyle name="Note 2 3 3 2 4" xfId="1892"/>
    <cellStyle name="Note 2 3 3 2 4 2" xfId="6034"/>
    <cellStyle name="Note 2 3 3 2 4 2 2" xfId="12595"/>
    <cellStyle name="Note 2 3 3 2 4 2 2 2" xfId="26917"/>
    <cellStyle name="Note 2 3 3 2 4 2 3" xfId="18240"/>
    <cellStyle name="Note 2 3 3 2 4 3" xfId="7529"/>
    <cellStyle name="Note 2 3 3 2 4 3 2" xfId="10143"/>
    <cellStyle name="Note 2 3 3 2 4 3 2 2" xfId="16405"/>
    <cellStyle name="Note 2 3 3 2 4 3 2 2 2" xfId="29821"/>
    <cellStyle name="Note 2 3 3 2 4 3 2 3" xfId="21150"/>
    <cellStyle name="Note 2 3 3 2 4 3 3" xfId="14133"/>
    <cellStyle name="Note 2 3 3 2 4 3 3 2" xfId="28455"/>
    <cellStyle name="Note 2 3 3 2 4 3 4" xfId="19778"/>
    <cellStyle name="Note 2 3 3 2 4 4" xfId="4815"/>
    <cellStyle name="Note 2 3 3 2 4 4 2" xfId="23202"/>
    <cellStyle name="Note 2 3 3 2 4 5" xfId="17056"/>
    <cellStyle name="Note 2 3 3 2 5" xfId="1893"/>
    <cellStyle name="Note 2 3 3 2 5 2" xfId="7663"/>
    <cellStyle name="Note 2 3 3 2 5 2 2" xfId="10277"/>
    <cellStyle name="Note 2 3 3 2 5 2 2 2" xfId="16539"/>
    <cellStyle name="Note 2 3 3 2 5 2 2 2 2" xfId="29955"/>
    <cellStyle name="Note 2 3 3 2 5 2 2 3" xfId="21284"/>
    <cellStyle name="Note 2 3 3 2 5 2 3" xfId="14267"/>
    <cellStyle name="Note 2 3 3 2 5 2 3 2" xfId="28589"/>
    <cellStyle name="Note 2 3 3 2 5 2 4" xfId="19912"/>
    <cellStyle name="Note 2 3 3 2 5 3" xfId="12878"/>
    <cellStyle name="Note 2 3 3 2 5 3 2" xfId="27200"/>
    <cellStyle name="Note 2 3 3 2 5 4" xfId="18523"/>
    <cellStyle name="Note 2 3 3 2 6" xfId="5496"/>
    <cellStyle name="Note 2 3 3 2 6 2" xfId="12047"/>
    <cellStyle name="Note 2 3 3 2 6 2 2" xfId="26369"/>
    <cellStyle name="Note 2 3 3 2 6 3" xfId="17692"/>
    <cellStyle name="Note 2 3 3 2 7" xfId="4905"/>
    <cellStyle name="Note 2 3 3 2 7 2" xfId="23258"/>
    <cellStyle name="Note 2 3 3 2 8" xfId="15515"/>
    <cellStyle name="Note 2 3 3 3" xfId="1894"/>
    <cellStyle name="Note 2 3 3 3 2" xfId="1895"/>
    <cellStyle name="Note 2 3 3 3 2 2" xfId="1896"/>
    <cellStyle name="Note 2 3 3 3 2 2 2" xfId="6940"/>
    <cellStyle name="Note 2 3 3 3 2 2 2 2" xfId="13544"/>
    <cellStyle name="Note 2 3 3 3 2 2 2 2 2" xfId="27866"/>
    <cellStyle name="Note 2 3 3 3 2 2 2 3" xfId="19189"/>
    <cellStyle name="Note 2 3 3 3 2 2 3" xfId="8045"/>
    <cellStyle name="Note 2 3 3 3 2 2 3 2" xfId="10659"/>
    <cellStyle name="Note 2 3 3 3 2 2 3 2 2" xfId="16921"/>
    <cellStyle name="Note 2 3 3 3 2 2 3 2 2 2" xfId="30337"/>
    <cellStyle name="Note 2 3 3 3 2 2 3 2 3" xfId="21666"/>
    <cellStyle name="Note 2 3 3 3 2 2 3 3" xfId="14649"/>
    <cellStyle name="Note 2 3 3 3 2 2 3 3 2" xfId="28971"/>
    <cellStyle name="Note 2 3 3 3 2 2 3 4" xfId="20294"/>
    <cellStyle name="Note 2 3 3 3 2 2 4" xfId="11433"/>
    <cellStyle name="Note 2 3 3 3 2 2 4 2" xfId="25755"/>
    <cellStyle name="Note 2 3 3 3 2 2 5" xfId="17022"/>
    <cellStyle name="Note 2 3 3 3 2 3" xfId="1897"/>
    <cellStyle name="Note 2 3 3 3 2 3 2" xfId="4257"/>
    <cellStyle name="Note 2 3 3 3 2 3 2 2" xfId="9437"/>
    <cellStyle name="Note 2 3 3 3 2 3 2 2 2" xfId="15699"/>
    <cellStyle name="Note 2 3 3 3 2 3 2 2 2 2" xfId="29115"/>
    <cellStyle name="Note 2 3 3 3 2 3 2 2 3" xfId="20444"/>
    <cellStyle name="Note 2 3 3 3 2 3 2 3" xfId="4284"/>
    <cellStyle name="Note 2 3 3 3 2 3 2 3 2" xfId="22869"/>
    <cellStyle name="Note 2 3 3 3 2 3 2 4" xfId="6505"/>
    <cellStyle name="Note 2 3 3 3 2 3 3" xfId="13338"/>
    <cellStyle name="Note 2 3 3 3 2 3 3 2" xfId="27660"/>
    <cellStyle name="Note 2 3 3 3 2 3 4" xfId="18983"/>
    <cellStyle name="Note 2 3 3 3 2 4" xfId="5788"/>
    <cellStyle name="Note 2 3 3 3 2 4 2" xfId="12341"/>
    <cellStyle name="Note 2 3 3 3 2 4 2 2" xfId="26663"/>
    <cellStyle name="Note 2 3 3 3 2 4 3" xfId="17986"/>
    <cellStyle name="Note 2 3 3 3 2 5" xfId="6718"/>
    <cellStyle name="Note 2 3 3 3 2 5 2" xfId="23672"/>
    <cellStyle name="Note 2 3 3 3 2 6" xfId="14724"/>
    <cellStyle name="Note 2 3 3 3 3" xfId="1898"/>
    <cellStyle name="Note 2 3 3 3 3 2" xfId="1899"/>
    <cellStyle name="Note 2 3 3 3 3 2 2" xfId="6041"/>
    <cellStyle name="Note 2 3 3 3 3 2 2 2" xfId="12605"/>
    <cellStyle name="Note 2 3 3 3 3 2 2 2 2" xfId="26927"/>
    <cellStyle name="Note 2 3 3 3 3 2 2 3" xfId="18250"/>
    <cellStyle name="Note 2 3 3 3 3 2 3" xfId="7196"/>
    <cellStyle name="Note 2 3 3 3 3 2 3 2" xfId="9810"/>
    <cellStyle name="Note 2 3 3 3 3 2 3 2 2" xfId="16072"/>
    <cellStyle name="Note 2 3 3 3 3 2 3 2 2 2" xfId="29488"/>
    <cellStyle name="Note 2 3 3 3 3 2 3 2 3" xfId="20817"/>
    <cellStyle name="Note 2 3 3 3 3 2 3 3" xfId="13800"/>
    <cellStyle name="Note 2 3 3 3 3 2 3 3 2" xfId="28122"/>
    <cellStyle name="Note 2 3 3 3 3 2 3 4" xfId="19445"/>
    <cellStyle name="Note 2 3 3 3 3 2 4" xfId="6689"/>
    <cellStyle name="Note 2 3 3 3 3 2 4 2" xfId="23656"/>
    <cellStyle name="Note 2 3 3 3 3 2 5" xfId="4951"/>
    <cellStyle name="Note 2 3 3 3 3 3" xfId="1900"/>
    <cellStyle name="Note 2 3 3 3 3 3 2" xfId="4985"/>
    <cellStyle name="Note 2 3 3 3 3 3 2 2" xfId="9531"/>
    <cellStyle name="Note 2 3 3 3 3 3 2 2 2" xfId="15793"/>
    <cellStyle name="Note 2 3 3 3 3 3 2 2 2 2" xfId="29209"/>
    <cellStyle name="Note 2 3 3 3 3 3 2 2 3" xfId="20538"/>
    <cellStyle name="Note 2 3 3 3 3 3 2 3" xfId="11528"/>
    <cellStyle name="Note 2 3 3 3 3 3 2 3 2" xfId="25850"/>
    <cellStyle name="Note 2 3 3 3 3 3 2 4" xfId="15278"/>
    <cellStyle name="Note 2 3 3 3 3 3 3" xfId="13373"/>
    <cellStyle name="Note 2 3 3 3 3 3 3 2" xfId="27695"/>
    <cellStyle name="Note 2 3 3 3 3 3 4" xfId="19018"/>
    <cellStyle name="Note 2 3 3 3 3 4" xfId="5825"/>
    <cellStyle name="Note 2 3 3 3 3 4 2" xfId="12378"/>
    <cellStyle name="Note 2 3 3 3 3 4 2 2" xfId="26700"/>
    <cellStyle name="Note 2 3 3 3 3 4 3" xfId="18023"/>
    <cellStyle name="Note 2 3 3 3 3 5" xfId="3911"/>
    <cellStyle name="Note 2 3 3 3 3 5 2" xfId="22641"/>
    <cellStyle name="Note 2 3 3 3 3 6" xfId="17015"/>
    <cellStyle name="Note 2 3 3 3 4" xfId="1901"/>
    <cellStyle name="Note 2 3 3 3 4 2" xfId="6893"/>
    <cellStyle name="Note 2 3 3 3 4 2 2" xfId="13497"/>
    <cellStyle name="Note 2 3 3 3 4 2 2 2" xfId="27819"/>
    <cellStyle name="Note 2 3 3 3 4 2 3" xfId="19142"/>
    <cellStyle name="Note 2 3 3 3 4 3" xfId="5318"/>
    <cellStyle name="Note 2 3 3 3 4 3 2" xfId="9627"/>
    <cellStyle name="Note 2 3 3 3 4 3 2 2" xfId="15889"/>
    <cellStyle name="Note 2 3 3 3 4 3 2 2 2" xfId="29305"/>
    <cellStyle name="Note 2 3 3 3 4 3 2 3" xfId="20634"/>
    <cellStyle name="Note 2 3 3 3 4 3 3" xfId="11868"/>
    <cellStyle name="Note 2 3 3 3 4 3 3 2" xfId="26190"/>
    <cellStyle name="Note 2 3 3 3 4 3 4" xfId="17513"/>
    <cellStyle name="Note 2 3 3 3 4 4" xfId="11370"/>
    <cellStyle name="Note 2 3 3 3 4 4 2" xfId="25692"/>
    <cellStyle name="Note 2 3 3 3 4 5" xfId="14794"/>
    <cellStyle name="Note 2 3 3 3 5" xfId="1902"/>
    <cellStyle name="Note 2 3 3 3 5 2" xfId="7755"/>
    <cellStyle name="Note 2 3 3 3 5 2 2" xfId="10369"/>
    <cellStyle name="Note 2 3 3 3 5 2 2 2" xfId="16631"/>
    <cellStyle name="Note 2 3 3 3 5 2 2 2 2" xfId="30047"/>
    <cellStyle name="Note 2 3 3 3 5 2 2 3" xfId="21376"/>
    <cellStyle name="Note 2 3 3 3 5 2 3" xfId="14359"/>
    <cellStyle name="Note 2 3 3 3 5 2 3 2" xfId="28681"/>
    <cellStyle name="Note 2 3 3 3 5 2 4" xfId="20004"/>
    <cellStyle name="Note 2 3 3 3 5 3" xfId="12914"/>
    <cellStyle name="Note 2 3 3 3 5 3 2" xfId="27236"/>
    <cellStyle name="Note 2 3 3 3 5 4" xfId="18559"/>
    <cellStyle name="Note 2 3 3 3 6" xfId="5538"/>
    <cellStyle name="Note 2 3 3 3 6 2" xfId="12089"/>
    <cellStyle name="Note 2 3 3 3 6 2 2" xfId="26411"/>
    <cellStyle name="Note 2 3 3 3 6 3" xfId="17734"/>
    <cellStyle name="Note 2 3 3 3 7" xfId="5950"/>
    <cellStyle name="Note 2 3 3 3 7 2" xfId="23380"/>
    <cellStyle name="Note 2 3 3 3 8" xfId="14927"/>
    <cellStyle name="Note 2 3 3 4" xfId="1903"/>
    <cellStyle name="Note 2 3 3 4 2" xfId="1904"/>
    <cellStyle name="Note 2 3 3 4 2 2" xfId="1905"/>
    <cellStyle name="Note 2 3 3 4 2 2 2" xfId="5924"/>
    <cellStyle name="Note 2 3 3 4 2 2 2 2" xfId="12479"/>
    <cellStyle name="Note 2 3 3 4 2 2 2 2 2" xfId="26801"/>
    <cellStyle name="Note 2 3 3 4 2 2 2 3" xfId="18124"/>
    <cellStyle name="Note 2 3 3 4 2 2 3" xfId="7333"/>
    <cellStyle name="Note 2 3 3 4 2 2 3 2" xfId="9947"/>
    <cellStyle name="Note 2 3 3 4 2 2 3 2 2" xfId="16209"/>
    <cellStyle name="Note 2 3 3 4 2 2 3 2 2 2" xfId="29625"/>
    <cellStyle name="Note 2 3 3 4 2 2 3 2 3" xfId="20954"/>
    <cellStyle name="Note 2 3 3 4 2 2 3 3" xfId="13937"/>
    <cellStyle name="Note 2 3 3 4 2 2 3 3 2" xfId="28259"/>
    <cellStyle name="Note 2 3 3 4 2 2 3 4" xfId="19582"/>
    <cellStyle name="Note 2 3 3 4 2 2 4" xfId="4875"/>
    <cellStyle name="Note 2 3 3 4 2 2 4 2" xfId="23238"/>
    <cellStyle name="Note 2 3 3 4 2 2 5" xfId="17210"/>
    <cellStyle name="Note 2 3 3 4 2 3" xfId="1906"/>
    <cellStyle name="Note 2 3 3 4 2 3 2" xfId="3980"/>
    <cellStyle name="Note 2 3 3 4 2 3 2 2" xfId="9405"/>
    <cellStyle name="Note 2 3 3 4 2 3 2 2 2" xfId="15667"/>
    <cellStyle name="Note 2 3 3 4 2 3 2 2 2 2" xfId="29083"/>
    <cellStyle name="Note 2 3 3 4 2 3 2 2 3" xfId="20412"/>
    <cellStyle name="Note 2 3 3 4 2 3 2 3" xfId="4052"/>
    <cellStyle name="Note 2 3 3 4 2 3 2 3 2" xfId="22728"/>
    <cellStyle name="Note 2 3 3 4 2 3 2 4" xfId="17046"/>
    <cellStyle name="Note 2 3 3 4 2 3 3" xfId="13237"/>
    <cellStyle name="Note 2 3 3 4 2 3 3 2" xfId="27559"/>
    <cellStyle name="Note 2 3 3 4 2 3 4" xfId="18882"/>
    <cellStyle name="Note 2 3 3 4 2 4" xfId="5678"/>
    <cellStyle name="Note 2 3 3 4 2 4 2" xfId="12231"/>
    <cellStyle name="Note 2 3 3 4 2 4 2 2" xfId="26553"/>
    <cellStyle name="Note 2 3 3 4 2 4 3" xfId="17876"/>
    <cellStyle name="Note 2 3 3 4 2 5" xfId="4845"/>
    <cellStyle name="Note 2 3 3 4 2 5 2" xfId="23219"/>
    <cellStyle name="Note 2 3 3 4 2 6" xfId="4103"/>
    <cellStyle name="Note 2 3 3 4 3" xfId="1907"/>
    <cellStyle name="Note 2 3 3 4 3 2" xfId="1908"/>
    <cellStyle name="Note 2 3 3 4 3 2 2" xfId="5909"/>
    <cellStyle name="Note 2 3 3 4 3 2 2 2" xfId="12463"/>
    <cellStyle name="Note 2 3 3 4 3 2 2 2 2" xfId="26785"/>
    <cellStyle name="Note 2 3 3 4 3 2 2 3" xfId="18108"/>
    <cellStyle name="Note 2 3 3 4 3 2 3" xfId="7613"/>
    <cellStyle name="Note 2 3 3 4 3 2 3 2" xfId="10227"/>
    <cellStyle name="Note 2 3 3 4 3 2 3 2 2" xfId="16489"/>
    <cellStyle name="Note 2 3 3 4 3 2 3 2 2 2" xfId="29905"/>
    <cellStyle name="Note 2 3 3 4 3 2 3 2 3" xfId="21234"/>
    <cellStyle name="Note 2 3 3 4 3 2 3 3" xfId="14217"/>
    <cellStyle name="Note 2 3 3 4 3 2 3 3 2" xfId="28539"/>
    <cellStyle name="Note 2 3 3 4 3 2 3 4" xfId="19862"/>
    <cellStyle name="Note 2 3 3 4 3 2 4" xfId="5721"/>
    <cellStyle name="Note 2 3 3 4 3 2 4 2" xfId="23362"/>
    <cellStyle name="Note 2 3 3 4 3 2 5" xfId="4719"/>
    <cellStyle name="Note 2 3 3 4 3 3" xfId="1909"/>
    <cellStyle name="Note 2 3 3 4 3 3 2" xfId="8067"/>
    <cellStyle name="Note 2 3 3 4 3 3 2 2" xfId="10681"/>
    <cellStyle name="Note 2 3 3 4 3 3 2 2 2" xfId="16943"/>
    <cellStyle name="Note 2 3 3 4 3 3 2 2 2 2" xfId="30359"/>
    <cellStyle name="Note 2 3 3 4 3 3 2 2 3" xfId="21688"/>
    <cellStyle name="Note 2 3 3 4 3 3 2 3" xfId="14671"/>
    <cellStyle name="Note 2 3 3 4 3 3 2 3 2" xfId="28993"/>
    <cellStyle name="Note 2 3 3 4 3 3 2 4" xfId="20316"/>
    <cellStyle name="Note 2 3 3 4 3 3 3" xfId="13044"/>
    <cellStyle name="Note 2 3 3 4 3 3 3 2" xfId="27366"/>
    <cellStyle name="Note 2 3 3 4 3 3 4" xfId="18689"/>
    <cellStyle name="Note 2 3 3 4 3 4" xfId="5363"/>
    <cellStyle name="Note 2 3 3 4 3 4 2" xfId="11913"/>
    <cellStyle name="Note 2 3 3 4 3 4 2 2" xfId="26235"/>
    <cellStyle name="Note 2 3 3 4 3 4 3" xfId="17558"/>
    <cellStyle name="Note 2 3 3 4 3 5" xfId="6792"/>
    <cellStyle name="Note 2 3 3 4 3 5 2" xfId="23735"/>
    <cellStyle name="Note 2 3 3 4 3 6" xfId="14716"/>
    <cellStyle name="Note 2 3 3 4 4" xfId="1910"/>
    <cellStyle name="Note 2 3 3 4 4 2" xfId="5916"/>
    <cellStyle name="Note 2 3 3 4 4 2 2" xfId="12471"/>
    <cellStyle name="Note 2 3 3 4 4 2 2 2" xfId="26793"/>
    <cellStyle name="Note 2 3 3 4 4 2 3" xfId="18116"/>
    <cellStyle name="Note 2 3 3 4 4 3" xfId="7690"/>
    <cellStyle name="Note 2 3 3 4 4 3 2" xfId="10304"/>
    <cellStyle name="Note 2 3 3 4 4 3 2 2" xfId="16566"/>
    <cellStyle name="Note 2 3 3 4 4 3 2 2 2" xfId="29982"/>
    <cellStyle name="Note 2 3 3 4 4 3 2 3" xfId="21311"/>
    <cellStyle name="Note 2 3 3 4 4 3 3" xfId="14294"/>
    <cellStyle name="Note 2 3 3 4 4 3 3 2" xfId="28616"/>
    <cellStyle name="Note 2 3 3 4 4 3 4" xfId="19939"/>
    <cellStyle name="Note 2 3 3 4 4 4" xfId="6713"/>
    <cellStyle name="Note 2 3 3 4 4 4 2" xfId="23668"/>
    <cellStyle name="Note 2 3 3 4 4 5" xfId="4701"/>
    <cellStyle name="Note 2 3 3 4 5" xfId="1911"/>
    <cellStyle name="Note 2 3 3 4 5 2" xfId="8064"/>
    <cellStyle name="Note 2 3 3 4 5 2 2" xfId="10678"/>
    <cellStyle name="Note 2 3 3 4 5 2 2 2" xfId="16940"/>
    <cellStyle name="Note 2 3 3 4 5 2 2 2 2" xfId="30356"/>
    <cellStyle name="Note 2 3 3 4 5 2 2 3" xfId="21685"/>
    <cellStyle name="Note 2 3 3 4 5 2 3" xfId="14668"/>
    <cellStyle name="Note 2 3 3 4 5 2 3 2" xfId="28990"/>
    <cellStyle name="Note 2 3 3 4 5 2 4" xfId="20313"/>
    <cellStyle name="Note 2 3 3 4 5 3" xfId="12677"/>
    <cellStyle name="Note 2 3 3 4 5 3 2" xfId="26999"/>
    <cellStyle name="Note 2 3 3 4 5 4" xfId="18322"/>
    <cellStyle name="Note 2 3 3 4 6" xfId="5225"/>
    <cellStyle name="Note 2 3 3 4 6 2" xfId="11775"/>
    <cellStyle name="Note 2 3 3 4 6 2 2" xfId="26097"/>
    <cellStyle name="Note 2 3 3 4 6 3" xfId="17420"/>
    <cellStyle name="Note 2 3 3 4 7" xfId="6068"/>
    <cellStyle name="Note 2 3 3 4 7 2" xfId="23405"/>
    <cellStyle name="Note 2 3 3 4 8" xfId="16958"/>
    <cellStyle name="Note 2 3 3 5" xfId="1912"/>
    <cellStyle name="Note 2 3 3 5 2" xfId="1913"/>
    <cellStyle name="Note 2 3 3 5 2 2" xfId="1914"/>
    <cellStyle name="Note 2 3 3 5 2 2 2" xfId="6431"/>
    <cellStyle name="Note 2 3 3 5 2 2 2 2" xfId="13014"/>
    <cellStyle name="Note 2 3 3 5 2 2 2 2 2" xfId="27336"/>
    <cellStyle name="Note 2 3 3 5 2 2 2 3" xfId="18659"/>
    <cellStyle name="Note 2 3 3 5 2 2 3" xfId="7873"/>
    <cellStyle name="Note 2 3 3 5 2 2 3 2" xfId="10487"/>
    <cellStyle name="Note 2 3 3 5 2 2 3 2 2" xfId="16749"/>
    <cellStyle name="Note 2 3 3 5 2 2 3 2 2 2" xfId="30165"/>
    <cellStyle name="Note 2 3 3 5 2 2 3 2 3" xfId="21494"/>
    <cellStyle name="Note 2 3 3 5 2 2 3 3" xfId="14477"/>
    <cellStyle name="Note 2 3 3 5 2 2 3 3 2" xfId="28799"/>
    <cellStyle name="Note 2 3 3 5 2 2 3 4" xfId="20122"/>
    <cellStyle name="Note 2 3 3 5 2 2 4" xfId="4344"/>
    <cellStyle name="Note 2 3 3 5 2 2 4 2" xfId="22899"/>
    <cellStyle name="Note 2 3 3 5 2 2 5" xfId="15360"/>
    <cellStyle name="Note 2 3 3 5 2 3" xfId="1915"/>
    <cellStyle name="Note 2 3 3 5 2 3 2" xfId="8004"/>
    <cellStyle name="Note 2 3 3 5 2 3 2 2" xfId="10618"/>
    <cellStyle name="Note 2 3 3 5 2 3 2 2 2" xfId="16880"/>
    <cellStyle name="Note 2 3 3 5 2 3 2 2 2 2" xfId="30296"/>
    <cellStyle name="Note 2 3 3 5 2 3 2 2 3" xfId="21625"/>
    <cellStyle name="Note 2 3 3 5 2 3 2 3" xfId="14608"/>
    <cellStyle name="Note 2 3 3 5 2 3 2 3 2" xfId="28930"/>
    <cellStyle name="Note 2 3 3 5 2 3 2 4" xfId="20253"/>
    <cellStyle name="Note 2 3 3 5 2 3 3" xfId="13087"/>
    <cellStyle name="Note 2 3 3 5 2 3 3 2" xfId="27409"/>
    <cellStyle name="Note 2 3 3 5 2 3 4" xfId="18732"/>
    <cellStyle name="Note 2 3 3 5 2 4" xfId="5442"/>
    <cellStyle name="Note 2 3 3 5 2 4 2" xfId="11993"/>
    <cellStyle name="Note 2 3 3 5 2 4 2 2" xfId="26315"/>
    <cellStyle name="Note 2 3 3 5 2 4 3" xfId="17638"/>
    <cellStyle name="Note 2 3 3 5 2 5" xfId="3471"/>
    <cellStyle name="Note 2 3 3 5 2 5 2" xfId="22472"/>
    <cellStyle name="Note 2 3 3 5 2 6" xfId="17122"/>
    <cellStyle name="Note 2 3 3 5 3" xfId="1916"/>
    <cellStyle name="Note 2 3 3 5 3 2" xfId="6465"/>
    <cellStyle name="Note 2 3 3 5 3 2 2" xfId="13048"/>
    <cellStyle name="Note 2 3 3 5 3 2 2 2" xfId="27370"/>
    <cellStyle name="Note 2 3 3 5 3 2 3" xfId="18693"/>
    <cellStyle name="Note 2 3 3 5 3 3" xfId="7397"/>
    <cellStyle name="Note 2 3 3 5 3 3 2" xfId="10011"/>
    <cellStyle name="Note 2 3 3 5 3 3 2 2" xfId="16273"/>
    <cellStyle name="Note 2 3 3 5 3 3 2 2 2" xfId="29689"/>
    <cellStyle name="Note 2 3 3 5 3 3 2 3" xfId="21018"/>
    <cellStyle name="Note 2 3 3 5 3 3 3" xfId="14001"/>
    <cellStyle name="Note 2 3 3 5 3 3 3 2" xfId="28323"/>
    <cellStyle name="Note 2 3 3 5 3 3 4" xfId="19646"/>
    <cellStyle name="Note 2 3 3 5 3 4" xfId="6786"/>
    <cellStyle name="Note 2 3 3 5 3 4 2" xfId="23730"/>
    <cellStyle name="Note 2 3 3 5 3 5" xfId="15379"/>
    <cellStyle name="Note 2 3 3 5 4" xfId="1917"/>
    <cellStyle name="Note 2 3 3 5 4 2" xfId="4408"/>
    <cellStyle name="Note 2 3 3 5 4 2 2" xfId="9462"/>
    <cellStyle name="Note 2 3 3 5 4 2 2 2" xfId="15724"/>
    <cellStyle name="Note 2 3 3 5 4 2 2 2 2" xfId="29140"/>
    <cellStyle name="Note 2 3 3 5 4 2 2 3" xfId="20469"/>
    <cellStyle name="Note 2 3 3 5 4 2 3" xfId="3677"/>
    <cellStyle name="Note 2 3 3 5 4 2 3 2" xfId="22522"/>
    <cellStyle name="Note 2 3 3 5 4 2 4" xfId="3846"/>
    <cellStyle name="Note 2 3 3 5 4 3" xfId="12834"/>
    <cellStyle name="Note 2 3 3 5 4 3 2" xfId="27156"/>
    <cellStyle name="Note 2 3 3 5 4 4" xfId="18479"/>
    <cellStyle name="Note 2 3 3 5 5" xfId="5405"/>
    <cellStyle name="Note 2 3 3 5 5 2" xfId="11955"/>
    <cellStyle name="Note 2 3 3 5 5 2 2" xfId="26277"/>
    <cellStyle name="Note 2 3 3 5 5 3" xfId="17600"/>
    <cellStyle name="Note 2 3 3 5 6" xfId="2838"/>
    <cellStyle name="Note 2 3 3 5 6 2" xfId="22401"/>
    <cellStyle name="Note 2 3 3 5 7" xfId="17092"/>
    <cellStyle name="Note 2 3 3 6" xfId="1918"/>
    <cellStyle name="Note 2 3 3 6 2" xfId="1919"/>
    <cellStyle name="Note 2 3 3 6 2 2" xfId="6907"/>
    <cellStyle name="Note 2 3 3 6 2 2 2" xfId="13511"/>
    <cellStyle name="Note 2 3 3 6 2 2 2 2" xfId="27833"/>
    <cellStyle name="Note 2 3 3 6 2 2 3" xfId="19156"/>
    <cellStyle name="Note 2 3 3 6 2 3" xfId="7355"/>
    <cellStyle name="Note 2 3 3 6 2 3 2" xfId="9969"/>
    <cellStyle name="Note 2 3 3 6 2 3 2 2" xfId="16231"/>
    <cellStyle name="Note 2 3 3 6 2 3 2 2 2" xfId="29647"/>
    <cellStyle name="Note 2 3 3 6 2 3 2 3" xfId="20976"/>
    <cellStyle name="Note 2 3 3 6 2 3 3" xfId="13959"/>
    <cellStyle name="Note 2 3 3 6 2 3 3 2" xfId="28281"/>
    <cellStyle name="Note 2 3 3 6 2 3 4" xfId="19604"/>
    <cellStyle name="Note 2 3 3 6 2 4" xfId="11392"/>
    <cellStyle name="Note 2 3 3 6 2 4 2" xfId="25714"/>
    <cellStyle name="Note 2 3 3 6 2 5" xfId="3289"/>
    <cellStyle name="Note 2 3 3 6 3" xfId="1920"/>
    <cellStyle name="Note 2 3 3 6 3 2" xfId="7496"/>
    <cellStyle name="Note 2 3 3 6 3 2 2" xfId="10110"/>
    <cellStyle name="Note 2 3 3 6 3 2 2 2" xfId="16372"/>
    <cellStyle name="Note 2 3 3 6 3 2 2 2 2" xfId="29788"/>
    <cellStyle name="Note 2 3 3 6 3 2 2 3" xfId="21117"/>
    <cellStyle name="Note 2 3 3 6 3 2 3" xfId="14100"/>
    <cellStyle name="Note 2 3 3 6 3 2 3 2" xfId="28422"/>
    <cellStyle name="Note 2 3 3 6 3 2 4" xfId="19745"/>
    <cellStyle name="Note 2 3 3 6 3 3" xfId="13114"/>
    <cellStyle name="Note 2 3 3 6 3 3 2" xfId="27436"/>
    <cellStyle name="Note 2 3 3 6 3 4" xfId="18759"/>
    <cellStyle name="Note 2 3 3 6 4" xfId="5482"/>
    <cellStyle name="Note 2 3 3 6 4 2" xfId="12033"/>
    <cellStyle name="Note 2 3 3 6 4 2 2" xfId="26355"/>
    <cellStyle name="Note 2 3 3 6 4 3" xfId="17678"/>
    <cellStyle name="Note 2 3 3 6 5" xfId="2831"/>
    <cellStyle name="Note 2 3 3 6 5 2" xfId="22394"/>
    <cellStyle name="Note 2 3 3 6 6" xfId="4025"/>
    <cellStyle name="Note 2 3 3 7" xfId="1921"/>
    <cellStyle name="Note 2 3 3 7 2" xfId="6442"/>
    <cellStyle name="Note 2 3 3 7 2 2" xfId="13025"/>
    <cellStyle name="Note 2 3 3 7 2 2 2" xfId="27347"/>
    <cellStyle name="Note 2 3 3 7 2 3" xfId="18670"/>
    <cellStyle name="Note 2 3 3 7 3" xfId="7248"/>
    <cellStyle name="Note 2 3 3 7 3 2" xfId="9862"/>
    <cellStyle name="Note 2 3 3 7 3 2 2" xfId="16124"/>
    <cellStyle name="Note 2 3 3 7 3 2 2 2" xfId="29540"/>
    <cellStyle name="Note 2 3 3 7 3 2 3" xfId="20869"/>
    <cellStyle name="Note 2 3 3 7 3 3" xfId="13852"/>
    <cellStyle name="Note 2 3 3 7 3 3 2" xfId="28174"/>
    <cellStyle name="Note 2 3 3 7 3 4" xfId="19497"/>
    <cellStyle name="Note 2 3 3 7 4" xfId="6686"/>
    <cellStyle name="Note 2 3 3 7 4 2" xfId="23654"/>
    <cellStyle name="Note 2 3 3 7 5" xfId="17088"/>
    <cellStyle name="Note 2 3 3 8" xfId="1922"/>
    <cellStyle name="Note 2 3 3 8 2" xfId="7384"/>
    <cellStyle name="Note 2 3 3 8 2 2" xfId="9998"/>
    <cellStyle name="Note 2 3 3 8 2 2 2" xfId="16260"/>
    <cellStyle name="Note 2 3 3 8 2 2 2 2" xfId="29676"/>
    <cellStyle name="Note 2 3 3 8 2 2 3" xfId="21005"/>
    <cellStyle name="Note 2 3 3 8 2 3" xfId="13988"/>
    <cellStyle name="Note 2 3 3 8 2 3 2" xfId="28310"/>
    <cellStyle name="Note 2 3 3 8 2 4" xfId="19633"/>
    <cellStyle name="Note 2 3 3 8 3" xfId="12602"/>
    <cellStyle name="Note 2 3 3 8 3 2" xfId="26924"/>
    <cellStyle name="Note 2 3 3 8 4" xfId="18247"/>
    <cellStyle name="Note 2 3 3 9" xfId="5203"/>
    <cellStyle name="Note 2 3 3 9 2" xfId="11752"/>
    <cellStyle name="Note 2 3 3 9 2 2" xfId="26074"/>
    <cellStyle name="Note 2 3 3 9 3" xfId="3651"/>
    <cellStyle name="Note 2 3 4" xfId="1923"/>
    <cellStyle name="Note 2 3 4 2" xfId="1924"/>
    <cellStyle name="Note 2 3 4 2 2" xfId="1925"/>
    <cellStyle name="Note 2 3 4 2 2 2" xfId="5616"/>
    <cellStyle name="Note 2 3 4 2 2 2 2" xfId="12169"/>
    <cellStyle name="Note 2 3 4 2 2 2 2 2" xfId="26491"/>
    <cellStyle name="Note 2 3 4 2 2 2 3" xfId="17814"/>
    <cellStyle name="Note 2 3 4 2 2 3" xfId="7186"/>
    <cellStyle name="Note 2 3 4 2 2 3 2" xfId="9800"/>
    <cellStyle name="Note 2 3 4 2 2 3 2 2" xfId="16062"/>
    <cellStyle name="Note 2 3 4 2 2 3 2 2 2" xfId="29478"/>
    <cellStyle name="Note 2 3 4 2 2 3 2 3" xfId="20807"/>
    <cellStyle name="Note 2 3 4 2 2 3 3" xfId="13790"/>
    <cellStyle name="Note 2 3 4 2 2 3 3 2" xfId="28112"/>
    <cellStyle name="Note 2 3 4 2 2 3 4" xfId="19435"/>
    <cellStyle name="Note 2 3 4 2 2 4" xfId="4232"/>
    <cellStyle name="Note 2 3 4 2 2 4 2" xfId="22842"/>
    <cellStyle name="Note 2 3 4 2 2 5" xfId="5018"/>
    <cellStyle name="Note 2 3 4 2 3" xfId="1926"/>
    <cellStyle name="Note 2 3 4 2 3 2" xfId="7573"/>
    <cellStyle name="Note 2 3 4 2 3 2 2" xfId="10187"/>
    <cellStyle name="Note 2 3 4 2 3 2 2 2" xfId="16449"/>
    <cellStyle name="Note 2 3 4 2 3 2 2 2 2" xfId="29865"/>
    <cellStyle name="Note 2 3 4 2 3 2 2 3" xfId="21194"/>
    <cellStyle name="Note 2 3 4 2 3 2 3" xfId="14177"/>
    <cellStyle name="Note 2 3 4 2 3 2 3 2" xfId="28499"/>
    <cellStyle name="Note 2 3 4 2 3 2 4" xfId="19822"/>
    <cellStyle name="Note 2 3 4 2 3 3" xfId="13222"/>
    <cellStyle name="Note 2 3 4 2 3 3 2" xfId="27544"/>
    <cellStyle name="Note 2 3 4 2 3 4" xfId="18867"/>
    <cellStyle name="Note 2 3 4 2 4" xfId="5663"/>
    <cellStyle name="Note 2 3 4 2 4 2" xfId="12216"/>
    <cellStyle name="Note 2 3 4 2 4 2 2" xfId="26538"/>
    <cellStyle name="Note 2 3 4 2 4 3" xfId="17861"/>
    <cellStyle name="Note 2 3 4 2 5" xfId="4180"/>
    <cellStyle name="Note 2 3 4 2 5 2" xfId="22802"/>
    <cellStyle name="Note 2 3 4 2 6" xfId="4949"/>
    <cellStyle name="Note 2 3 4 3" xfId="1927"/>
    <cellStyle name="Note 2 3 4 3 2" xfId="1928"/>
    <cellStyle name="Note 2 3 4 3 2 2" xfId="6020"/>
    <cellStyle name="Note 2 3 4 3 2 2 2" xfId="12580"/>
    <cellStyle name="Note 2 3 4 3 2 2 2 2" xfId="26902"/>
    <cellStyle name="Note 2 3 4 3 2 2 3" xfId="18225"/>
    <cellStyle name="Note 2 3 4 3 2 3" xfId="7717"/>
    <cellStyle name="Note 2 3 4 3 2 3 2" xfId="10331"/>
    <cellStyle name="Note 2 3 4 3 2 3 2 2" xfId="16593"/>
    <cellStyle name="Note 2 3 4 3 2 3 2 2 2" xfId="30009"/>
    <cellStyle name="Note 2 3 4 3 2 3 2 3" xfId="21338"/>
    <cellStyle name="Note 2 3 4 3 2 3 3" xfId="14321"/>
    <cellStyle name="Note 2 3 4 3 2 3 3 2" xfId="28643"/>
    <cellStyle name="Note 2 3 4 3 2 3 4" xfId="19966"/>
    <cellStyle name="Note 2 3 4 3 2 4" xfId="4368"/>
    <cellStyle name="Note 2 3 4 3 2 4 2" xfId="22910"/>
    <cellStyle name="Note 2 3 4 3 2 5" xfId="15274"/>
    <cellStyle name="Note 2 3 4 3 3" xfId="1929"/>
    <cellStyle name="Note 2 3 4 3 3 2" xfId="7097"/>
    <cellStyle name="Note 2 3 4 3 3 2 2" xfId="9711"/>
    <cellStyle name="Note 2 3 4 3 3 2 2 2" xfId="15973"/>
    <cellStyle name="Note 2 3 4 3 3 2 2 2 2" xfId="29389"/>
    <cellStyle name="Note 2 3 4 3 3 2 2 3" xfId="20718"/>
    <cellStyle name="Note 2 3 4 3 3 2 3" xfId="13701"/>
    <cellStyle name="Note 2 3 4 3 3 2 3 2" xfId="28023"/>
    <cellStyle name="Note 2 3 4 3 3 2 4" xfId="19346"/>
    <cellStyle name="Note 2 3 4 3 3 3" xfId="13416"/>
    <cellStyle name="Note 2 3 4 3 3 3 2" xfId="27738"/>
    <cellStyle name="Note 2 3 4 3 3 4" xfId="19061"/>
    <cellStyle name="Note 2 3 4 3 4" xfId="5885"/>
    <cellStyle name="Note 2 3 4 3 4 2" xfId="12438"/>
    <cellStyle name="Note 2 3 4 3 4 2 2" xfId="26760"/>
    <cellStyle name="Note 2 3 4 3 4 3" xfId="18083"/>
    <cellStyle name="Note 2 3 4 3 5" xfId="4959"/>
    <cellStyle name="Note 2 3 4 3 5 2" xfId="23281"/>
    <cellStyle name="Note 2 3 4 3 6" xfId="15415"/>
    <cellStyle name="Note 2 3 4 4" xfId="1930"/>
    <cellStyle name="Note 2 3 4 4 2" xfId="6470"/>
    <cellStyle name="Note 2 3 4 4 2 2" xfId="13053"/>
    <cellStyle name="Note 2 3 4 4 2 2 2" xfId="27375"/>
    <cellStyle name="Note 2 3 4 4 2 3" xfId="18698"/>
    <cellStyle name="Note 2 3 4 4 3" xfId="7402"/>
    <cellStyle name="Note 2 3 4 4 3 2" xfId="10016"/>
    <cellStyle name="Note 2 3 4 4 3 2 2" xfId="16278"/>
    <cellStyle name="Note 2 3 4 4 3 2 2 2" xfId="29694"/>
    <cellStyle name="Note 2 3 4 4 3 2 3" xfId="21023"/>
    <cellStyle name="Note 2 3 4 4 3 3" xfId="14006"/>
    <cellStyle name="Note 2 3 4 4 3 3 2" xfId="28328"/>
    <cellStyle name="Note 2 3 4 4 3 4" xfId="19651"/>
    <cellStyle name="Note 2 3 4 4 4" xfId="4964"/>
    <cellStyle name="Note 2 3 4 4 4 2" xfId="23285"/>
    <cellStyle name="Note 2 3 4 4 5" xfId="17146"/>
    <cellStyle name="Note 2 3 4 5" xfId="1931"/>
    <cellStyle name="Note 2 3 4 5 2" xfId="7305"/>
    <cellStyle name="Note 2 3 4 5 2 2" xfId="9919"/>
    <cellStyle name="Note 2 3 4 5 2 2 2" xfId="16181"/>
    <cellStyle name="Note 2 3 4 5 2 2 2 2" xfId="29597"/>
    <cellStyle name="Note 2 3 4 5 2 2 3" xfId="20926"/>
    <cellStyle name="Note 2 3 4 5 2 3" xfId="13909"/>
    <cellStyle name="Note 2 3 4 5 2 3 2" xfId="28231"/>
    <cellStyle name="Note 2 3 4 5 2 4" xfId="19554"/>
    <cellStyle name="Note 2 3 4 5 3" xfId="12542"/>
    <cellStyle name="Note 2 3 4 5 3 2" xfId="26864"/>
    <cellStyle name="Note 2 3 4 5 4" xfId="18187"/>
    <cellStyle name="Note 2 3 4 6" xfId="5136"/>
    <cellStyle name="Note 2 3 4 6 2" xfId="11685"/>
    <cellStyle name="Note 2 3 4 6 2 2" xfId="26007"/>
    <cellStyle name="Note 2 3 4 6 3" xfId="4974"/>
    <cellStyle name="Note 2 3 4 7" xfId="3269"/>
    <cellStyle name="Note 2 3 4 7 2" xfId="22453"/>
    <cellStyle name="Note 2 3 4 8" xfId="14691"/>
    <cellStyle name="Note 2 3 5" xfId="1932"/>
    <cellStyle name="Note 2 3 5 2" xfId="1933"/>
    <cellStyle name="Note 2 3 5 2 2" xfId="1934"/>
    <cellStyle name="Note 2 3 5 2 2 2" xfId="6231"/>
    <cellStyle name="Note 2 3 5 2 2 2 2" xfId="12806"/>
    <cellStyle name="Note 2 3 5 2 2 2 2 2" xfId="27128"/>
    <cellStyle name="Note 2 3 5 2 2 2 3" xfId="18451"/>
    <cellStyle name="Note 2 3 5 2 2 3" xfId="7207"/>
    <cellStyle name="Note 2 3 5 2 2 3 2" xfId="9821"/>
    <cellStyle name="Note 2 3 5 2 2 3 2 2" xfId="16083"/>
    <cellStyle name="Note 2 3 5 2 2 3 2 2 2" xfId="29499"/>
    <cellStyle name="Note 2 3 5 2 2 3 2 3" xfId="20828"/>
    <cellStyle name="Note 2 3 5 2 2 3 3" xfId="13811"/>
    <cellStyle name="Note 2 3 5 2 2 3 3 2" xfId="28133"/>
    <cellStyle name="Note 2 3 5 2 2 3 4" xfId="19456"/>
    <cellStyle name="Note 2 3 5 2 2 4" xfId="4983"/>
    <cellStyle name="Note 2 3 5 2 2 4 2" xfId="23293"/>
    <cellStyle name="Note 2 3 5 2 2 5" xfId="15199"/>
    <cellStyle name="Note 2 3 5 2 3" xfId="1935"/>
    <cellStyle name="Note 2 3 5 2 3 2" xfId="7772"/>
    <cellStyle name="Note 2 3 5 2 3 2 2" xfId="10386"/>
    <cellStyle name="Note 2 3 5 2 3 2 2 2" xfId="16648"/>
    <cellStyle name="Note 2 3 5 2 3 2 2 2 2" xfId="30064"/>
    <cellStyle name="Note 2 3 5 2 3 2 2 3" xfId="21393"/>
    <cellStyle name="Note 2 3 5 2 3 2 3" xfId="14376"/>
    <cellStyle name="Note 2 3 5 2 3 2 3 2" xfId="28698"/>
    <cellStyle name="Note 2 3 5 2 3 2 4" xfId="20021"/>
    <cellStyle name="Note 2 3 5 2 3 3" xfId="12522"/>
    <cellStyle name="Note 2 3 5 2 3 3 2" xfId="26844"/>
    <cellStyle name="Note 2 3 5 2 3 4" xfId="18167"/>
    <cellStyle name="Note 2 3 5 2 4" xfId="4114"/>
    <cellStyle name="Note 2 3 5 2 4 2" xfId="3909"/>
    <cellStyle name="Note 2 3 5 2 4 2 2" xfId="22640"/>
    <cellStyle name="Note 2 3 5 2 4 3" xfId="15111"/>
    <cellStyle name="Note 2 3 5 2 5" xfId="4882"/>
    <cellStyle name="Note 2 3 5 2 5 2" xfId="23242"/>
    <cellStyle name="Note 2 3 5 2 6" xfId="14904"/>
    <cellStyle name="Note 2 3 5 3" xfId="1936"/>
    <cellStyle name="Note 2 3 5 3 2" xfId="1937"/>
    <cellStyle name="Note 2 3 5 3 2 2" xfId="7023"/>
    <cellStyle name="Note 2 3 5 3 2 2 2" xfId="13627"/>
    <cellStyle name="Note 2 3 5 3 2 2 2 2" xfId="27949"/>
    <cellStyle name="Note 2 3 5 3 2 2 3" xfId="19272"/>
    <cellStyle name="Note 2 3 5 3 2 3" xfId="4853"/>
    <cellStyle name="Note 2 3 5 3 2 3 2" xfId="9503"/>
    <cellStyle name="Note 2 3 5 3 2 3 2 2" xfId="15765"/>
    <cellStyle name="Note 2 3 5 3 2 3 2 2 2" xfId="29181"/>
    <cellStyle name="Note 2 3 5 3 2 3 2 3" xfId="20510"/>
    <cellStyle name="Note 2 3 5 3 2 3 3" xfId="11387"/>
    <cellStyle name="Note 2 3 5 3 2 3 3 2" xfId="25709"/>
    <cellStyle name="Note 2 3 5 3 2 3 4" xfId="16966"/>
    <cellStyle name="Note 2 3 5 3 2 4" xfId="11558"/>
    <cellStyle name="Note 2 3 5 3 2 4 2" xfId="25880"/>
    <cellStyle name="Note 2 3 5 3 2 5" xfId="5566"/>
    <cellStyle name="Note 2 3 5 3 3" xfId="1938"/>
    <cellStyle name="Note 2 3 5 3 3 2" xfId="7763"/>
    <cellStyle name="Note 2 3 5 3 3 2 2" xfId="10377"/>
    <cellStyle name="Note 2 3 5 3 3 2 2 2" xfId="16639"/>
    <cellStyle name="Note 2 3 5 3 3 2 2 2 2" xfId="30055"/>
    <cellStyle name="Note 2 3 5 3 3 2 2 3" xfId="21384"/>
    <cellStyle name="Note 2 3 5 3 3 2 3" xfId="14367"/>
    <cellStyle name="Note 2 3 5 3 3 2 3 2" xfId="28689"/>
    <cellStyle name="Note 2 3 5 3 3 2 4" xfId="20012"/>
    <cellStyle name="Note 2 3 5 3 3 3" xfId="12610"/>
    <cellStyle name="Note 2 3 5 3 3 3 2" xfId="26932"/>
    <cellStyle name="Note 2 3 5 3 3 4" xfId="18255"/>
    <cellStyle name="Note 2 3 5 3 4" xfId="5158"/>
    <cellStyle name="Note 2 3 5 3 4 2" xfId="11707"/>
    <cellStyle name="Note 2 3 5 3 4 2 2" xfId="26029"/>
    <cellStyle name="Note 2 3 5 3 4 3" xfId="6291"/>
    <cellStyle name="Note 2 3 5 3 5" xfId="4343"/>
    <cellStyle name="Note 2 3 5 3 5 2" xfId="22898"/>
    <cellStyle name="Note 2 3 5 3 6" xfId="17006"/>
    <cellStyle name="Note 2 3 5 4" xfId="1939"/>
    <cellStyle name="Note 2 3 5 4 2" xfId="6029"/>
    <cellStyle name="Note 2 3 5 4 2 2" xfId="12590"/>
    <cellStyle name="Note 2 3 5 4 2 2 2" xfId="26912"/>
    <cellStyle name="Note 2 3 5 4 2 3" xfId="18235"/>
    <cellStyle name="Note 2 3 5 4 3" xfId="3740"/>
    <cellStyle name="Note 2 3 5 4 3 2" xfId="9365"/>
    <cellStyle name="Note 2 3 5 4 3 2 2" xfId="15627"/>
    <cellStyle name="Note 2 3 5 4 3 2 2 2" xfId="29043"/>
    <cellStyle name="Note 2 3 5 4 3 2 3" xfId="20372"/>
    <cellStyle name="Note 2 3 5 4 3 3" xfId="4494"/>
    <cellStyle name="Note 2 3 5 4 3 3 2" xfId="22987"/>
    <cellStyle name="Note 2 3 5 4 3 4" xfId="17393"/>
    <cellStyle name="Note 2 3 5 4 4" xfId="6653"/>
    <cellStyle name="Note 2 3 5 4 4 2" xfId="23630"/>
    <cellStyle name="Note 2 3 5 4 5" xfId="17298"/>
    <cellStyle name="Note 2 3 5 5" xfId="1940"/>
    <cellStyle name="Note 2 3 5 5 2" xfId="3666"/>
    <cellStyle name="Note 2 3 5 5 2 2" xfId="9357"/>
    <cellStyle name="Note 2 3 5 5 2 2 2" xfId="15619"/>
    <cellStyle name="Note 2 3 5 5 2 2 2 2" xfId="29035"/>
    <cellStyle name="Note 2 3 5 5 2 2 3" xfId="20364"/>
    <cellStyle name="Note 2 3 5 5 2 3" xfId="4775"/>
    <cellStyle name="Note 2 3 5 5 2 3 2" xfId="23181"/>
    <cellStyle name="Note 2 3 5 5 2 4" xfId="15150"/>
    <cellStyle name="Note 2 3 5 5 3" xfId="11655"/>
    <cellStyle name="Note 2 3 5 5 3 2" xfId="25977"/>
    <cellStyle name="Note 2 3 5 5 4" xfId="3702"/>
    <cellStyle name="Note 2 3 5 6" xfId="5104"/>
    <cellStyle name="Note 2 3 5 6 2" xfId="11651"/>
    <cellStyle name="Note 2 3 5 6 2 2" xfId="25973"/>
    <cellStyle name="Note 2 3 5 6 3" xfId="15120"/>
    <cellStyle name="Note 2 3 5 7" xfId="4786"/>
    <cellStyle name="Note 2 3 5 7 2" xfId="23186"/>
    <cellStyle name="Note 2 3 5 8" xfId="17011"/>
    <cellStyle name="Note 2 3 6" xfId="1941"/>
    <cellStyle name="Note 2 3 6 2" xfId="1942"/>
    <cellStyle name="Note 2 3 6 2 2" xfId="1943"/>
    <cellStyle name="Note 2 3 6 2 2 2" xfId="6994"/>
    <cellStyle name="Note 2 3 6 2 2 2 2" xfId="13598"/>
    <cellStyle name="Note 2 3 6 2 2 2 2 2" xfId="27920"/>
    <cellStyle name="Note 2 3 6 2 2 2 3" xfId="19243"/>
    <cellStyle name="Note 2 3 6 2 2 3" xfId="7775"/>
    <cellStyle name="Note 2 3 6 2 2 3 2" xfId="10389"/>
    <cellStyle name="Note 2 3 6 2 2 3 2 2" xfId="16651"/>
    <cellStyle name="Note 2 3 6 2 2 3 2 2 2" xfId="30067"/>
    <cellStyle name="Note 2 3 6 2 2 3 2 3" xfId="21396"/>
    <cellStyle name="Note 2 3 6 2 2 3 3" xfId="14379"/>
    <cellStyle name="Note 2 3 6 2 2 3 3 2" xfId="28701"/>
    <cellStyle name="Note 2 3 6 2 2 3 4" xfId="20024"/>
    <cellStyle name="Note 2 3 6 2 2 4" xfId="11508"/>
    <cellStyle name="Note 2 3 6 2 2 4 2" xfId="25830"/>
    <cellStyle name="Note 2 3 6 2 2 5" xfId="15300"/>
    <cellStyle name="Note 2 3 6 2 3" xfId="1944"/>
    <cellStyle name="Note 2 3 6 2 3 2" xfId="7946"/>
    <cellStyle name="Note 2 3 6 2 3 2 2" xfId="10560"/>
    <cellStyle name="Note 2 3 6 2 3 2 2 2" xfId="16822"/>
    <cellStyle name="Note 2 3 6 2 3 2 2 2 2" xfId="30238"/>
    <cellStyle name="Note 2 3 6 2 3 2 2 3" xfId="21567"/>
    <cellStyle name="Note 2 3 6 2 3 2 3" xfId="14550"/>
    <cellStyle name="Note 2 3 6 2 3 2 3 2" xfId="28872"/>
    <cellStyle name="Note 2 3 6 2 3 2 4" xfId="20195"/>
    <cellStyle name="Note 2 3 6 2 3 3" xfId="13207"/>
    <cellStyle name="Note 2 3 6 2 3 3 2" xfId="27529"/>
    <cellStyle name="Note 2 3 6 2 3 4" xfId="18852"/>
    <cellStyle name="Note 2 3 6 2 4" xfId="5646"/>
    <cellStyle name="Note 2 3 6 2 4 2" xfId="12199"/>
    <cellStyle name="Note 2 3 6 2 4 2 2" xfId="26521"/>
    <cellStyle name="Note 2 3 6 2 4 3" xfId="17844"/>
    <cellStyle name="Note 2 3 6 2 5" xfId="6788"/>
    <cellStyle name="Note 2 3 6 2 5 2" xfId="23732"/>
    <cellStyle name="Note 2 3 6 2 6" xfId="4620"/>
    <cellStyle name="Note 2 3 6 3" xfId="1945"/>
    <cellStyle name="Note 2 3 6 3 2" xfId="1946"/>
    <cellStyle name="Note 2 3 6 3 2 2" xfId="6849"/>
    <cellStyle name="Note 2 3 6 3 2 2 2" xfId="13453"/>
    <cellStyle name="Note 2 3 6 3 2 2 2 2" xfId="27775"/>
    <cellStyle name="Note 2 3 6 3 2 2 3" xfId="19098"/>
    <cellStyle name="Note 2 3 6 3 2 3" xfId="7108"/>
    <cellStyle name="Note 2 3 6 3 2 3 2" xfId="9722"/>
    <cellStyle name="Note 2 3 6 3 2 3 2 2" xfId="15984"/>
    <cellStyle name="Note 2 3 6 3 2 3 2 2 2" xfId="29400"/>
    <cellStyle name="Note 2 3 6 3 2 3 2 3" xfId="20729"/>
    <cellStyle name="Note 2 3 6 3 2 3 3" xfId="13712"/>
    <cellStyle name="Note 2 3 6 3 2 3 3 2" xfId="28034"/>
    <cellStyle name="Note 2 3 6 3 2 3 4" xfId="19357"/>
    <cellStyle name="Note 2 3 6 3 2 4" xfId="2806"/>
    <cellStyle name="Note 2 3 6 3 2 4 2" xfId="22369"/>
    <cellStyle name="Note 2 3 6 3 2 5" xfId="15359"/>
    <cellStyle name="Note 2 3 6 3 3" xfId="1947"/>
    <cellStyle name="Note 2 3 6 3 3 2" xfId="4806"/>
    <cellStyle name="Note 2 3 6 3 3 2 2" xfId="9491"/>
    <cellStyle name="Note 2 3 6 3 3 2 2 2" xfId="15753"/>
    <cellStyle name="Note 2 3 6 3 3 2 2 2 2" xfId="29169"/>
    <cellStyle name="Note 2 3 6 3 3 2 2 3" xfId="20498"/>
    <cellStyle name="Note 2 3 6 3 3 2 3" xfId="11337"/>
    <cellStyle name="Note 2 3 6 3 3 2 3 2" xfId="25659"/>
    <cellStyle name="Note 2 3 6 3 3 2 4" xfId="15099"/>
    <cellStyle name="Note 2 3 6 3 3 3" xfId="13054"/>
    <cellStyle name="Note 2 3 6 3 3 3 2" xfId="27376"/>
    <cellStyle name="Note 2 3 6 3 3 4" xfId="18699"/>
    <cellStyle name="Note 2 3 6 3 4" xfId="5382"/>
    <cellStyle name="Note 2 3 6 3 4 2" xfId="11932"/>
    <cellStyle name="Note 2 3 6 3 4 2 2" xfId="26254"/>
    <cellStyle name="Note 2 3 6 3 4 3" xfId="17577"/>
    <cellStyle name="Note 2 3 6 3 5" xfId="6508"/>
    <cellStyle name="Note 2 3 6 3 5 2" xfId="23575"/>
    <cellStyle name="Note 2 3 6 3 6" xfId="14877"/>
    <cellStyle name="Note 2 3 6 4" xfId="1948"/>
    <cellStyle name="Note 2 3 6 4 2" xfId="6040"/>
    <cellStyle name="Note 2 3 6 4 2 2" xfId="12604"/>
    <cellStyle name="Note 2 3 6 4 2 2 2" xfId="26926"/>
    <cellStyle name="Note 2 3 6 4 2 3" xfId="18249"/>
    <cellStyle name="Note 2 3 6 4 3" xfId="7220"/>
    <cellStyle name="Note 2 3 6 4 3 2" xfId="9834"/>
    <cellStyle name="Note 2 3 6 4 3 2 2" xfId="16096"/>
    <cellStyle name="Note 2 3 6 4 3 2 2 2" xfId="29512"/>
    <cellStyle name="Note 2 3 6 4 3 2 3" xfId="20841"/>
    <cellStyle name="Note 2 3 6 4 3 3" xfId="13824"/>
    <cellStyle name="Note 2 3 6 4 3 3 2" xfId="28146"/>
    <cellStyle name="Note 2 3 6 4 3 4" xfId="19469"/>
    <cellStyle name="Note 2 3 6 4 4" xfId="4484"/>
    <cellStyle name="Note 2 3 6 4 4 2" xfId="22981"/>
    <cellStyle name="Note 2 3 6 4 5" xfId="15582"/>
    <cellStyle name="Note 2 3 6 5" xfId="1949"/>
    <cellStyle name="Note 2 3 6 5 2" xfId="7272"/>
    <cellStyle name="Note 2 3 6 5 2 2" xfId="9886"/>
    <cellStyle name="Note 2 3 6 5 2 2 2" xfId="16148"/>
    <cellStyle name="Note 2 3 6 5 2 2 2 2" xfId="29564"/>
    <cellStyle name="Note 2 3 6 5 2 2 3" xfId="20893"/>
    <cellStyle name="Note 2 3 6 5 2 3" xfId="13876"/>
    <cellStyle name="Note 2 3 6 5 2 3 2" xfId="28198"/>
    <cellStyle name="Note 2 3 6 5 2 4" xfId="19521"/>
    <cellStyle name="Note 2 3 6 5 3" xfId="12490"/>
    <cellStyle name="Note 2 3 6 5 3 2" xfId="26812"/>
    <cellStyle name="Note 2 3 6 5 4" xfId="18135"/>
    <cellStyle name="Note 2 3 6 6" xfId="5075"/>
    <cellStyle name="Note 2 3 6 6 2" xfId="11622"/>
    <cellStyle name="Note 2 3 6 6 2 2" xfId="25944"/>
    <cellStyle name="Note 2 3 6 6 3" xfId="3612"/>
    <cellStyle name="Note 2 3 6 7" xfId="4836"/>
    <cellStyle name="Note 2 3 6 7 2" xfId="23213"/>
    <cellStyle name="Note 2 3 6 8" xfId="15292"/>
    <cellStyle name="Note 2 3 7" xfId="1950"/>
    <cellStyle name="Note 2 3 7 2" xfId="1951"/>
    <cellStyle name="Note 2 3 7 2 2" xfId="1952"/>
    <cellStyle name="Note 2 3 7 2 2 2" xfId="3468"/>
    <cellStyle name="Note 2 3 7 2 2 2 2" xfId="3242"/>
    <cellStyle name="Note 2 3 7 2 2 2 2 2" xfId="22440"/>
    <cellStyle name="Note 2 3 7 2 2 2 3" xfId="14838"/>
    <cellStyle name="Note 2 3 7 2 2 3" xfId="7738"/>
    <cellStyle name="Note 2 3 7 2 2 3 2" xfId="10352"/>
    <cellStyle name="Note 2 3 7 2 2 3 2 2" xfId="16614"/>
    <cellStyle name="Note 2 3 7 2 2 3 2 2 2" xfId="30030"/>
    <cellStyle name="Note 2 3 7 2 2 3 2 3" xfId="21359"/>
    <cellStyle name="Note 2 3 7 2 2 3 3" xfId="14342"/>
    <cellStyle name="Note 2 3 7 2 2 3 3 2" xfId="28664"/>
    <cellStyle name="Note 2 3 7 2 2 3 4" xfId="19987"/>
    <cellStyle name="Note 2 3 7 2 2 4" xfId="6330"/>
    <cellStyle name="Note 2 3 7 2 2 4 2" xfId="23519"/>
    <cellStyle name="Note 2 3 7 2 2 5" xfId="4149"/>
    <cellStyle name="Note 2 3 7 2 3" xfId="1953"/>
    <cellStyle name="Note 2 3 7 2 3 2" xfId="7083"/>
    <cellStyle name="Note 2 3 7 2 3 2 2" xfId="9697"/>
    <cellStyle name="Note 2 3 7 2 3 2 2 2" xfId="15959"/>
    <cellStyle name="Note 2 3 7 2 3 2 2 2 2" xfId="29375"/>
    <cellStyle name="Note 2 3 7 2 3 2 2 3" xfId="20704"/>
    <cellStyle name="Note 2 3 7 2 3 2 3" xfId="13687"/>
    <cellStyle name="Note 2 3 7 2 3 2 3 2" xfId="28009"/>
    <cellStyle name="Note 2 3 7 2 3 2 4" xfId="19332"/>
    <cellStyle name="Note 2 3 7 2 3 3" xfId="13083"/>
    <cellStyle name="Note 2 3 7 2 3 3 2" xfId="27405"/>
    <cellStyle name="Note 2 3 7 2 3 4" xfId="18728"/>
    <cellStyle name="Note 2 3 7 2 4" xfId="5436"/>
    <cellStyle name="Note 2 3 7 2 4 2" xfId="11987"/>
    <cellStyle name="Note 2 3 7 2 4 2 2" xfId="26309"/>
    <cellStyle name="Note 2 3 7 2 4 3" xfId="17632"/>
    <cellStyle name="Note 2 3 7 2 5" xfId="4392"/>
    <cellStyle name="Note 2 3 7 2 5 2" xfId="22924"/>
    <cellStyle name="Note 2 3 7 2 6" xfId="17202"/>
    <cellStyle name="Note 2 3 7 3" xfId="1954"/>
    <cellStyle name="Note 2 3 7 3 2" xfId="6047"/>
    <cellStyle name="Note 2 3 7 3 2 2" xfId="12613"/>
    <cellStyle name="Note 2 3 7 3 2 2 2" xfId="26935"/>
    <cellStyle name="Note 2 3 7 3 2 3" xfId="18258"/>
    <cellStyle name="Note 2 3 7 3 3" xfId="7320"/>
    <cellStyle name="Note 2 3 7 3 3 2" xfId="9934"/>
    <cellStyle name="Note 2 3 7 3 3 2 2" xfId="16196"/>
    <cellStyle name="Note 2 3 7 3 3 2 2 2" xfId="29612"/>
    <cellStyle name="Note 2 3 7 3 3 2 3" xfId="20941"/>
    <cellStyle name="Note 2 3 7 3 3 3" xfId="13924"/>
    <cellStyle name="Note 2 3 7 3 3 3 2" xfId="28246"/>
    <cellStyle name="Note 2 3 7 3 3 4" xfId="19569"/>
    <cellStyle name="Note 2 3 7 3 4" xfId="4463"/>
    <cellStyle name="Note 2 3 7 3 4 2" xfId="22965"/>
    <cellStyle name="Note 2 3 7 3 5" xfId="15361"/>
    <cellStyle name="Note 2 3 7 4" xfId="1955"/>
    <cellStyle name="Note 2 3 7 4 2" xfId="7306"/>
    <cellStyle name="Note 2 3 7 4 2 2" xfId="9920"/>
    <cellStyle name="Note 2 3 7 4 2 2 2" xfId="16182"/>
    <cellStyle name="Note 2 3 7 4 2 2 2 2" xfId="29598"/>
    <cellStyle name="Note 2 3 7 4 2 2 3" xfId="20927"/>
    <cellStyle name="Note 2 3 7 4 2 3" xfId="13910"/>
    <cellStyle name="Note 2 3 7 4 2 3 2" xfId="28232"/>
    <cellStyle name="Note 2 3 7 4 2 4" xfId="19555"/>
    <cellStyle name="Note 2 3 7 4 3" xfId="12903"/>
    <cellStyle name="Note 2 3 7 4 3 2" xfId="27225"/>
    <cellStyle name="Note 2 3 7 4 4" xfId="18548"/>
    <cellStyle name="Note 2 3 7 5" xfId="5527"/>
    <cellStyle name="Note 2 3 7 5 2" xfId="12078"/>
    <cellStyle name="Note 2 3 7 5 2 2" xfId="26400"/>
    <cellStyle name="Note 2 3 7 5 3" xfId="17723"/>
    <cellStyle name="Note 2 3 7 6" xfId="4217"/>
    <cellStyle name="Note 2 3 7 6 2" xfId="22829"/>
    <cellStyle name="Note 2 3 7 7" xfId="15132"/>
    <cellStyle name="Note 2 3 8" xfId="1956"/>
    <cellStyle name="Note 2 3 8 2" xfId="1957"/>
    <cellStyle name="Note 2 3 8 2 2" xfId="6050"/>
    <cellStyle name="Note 2 3 8 2 2 2" xfId="12616"/>
    <cellStyle name="Note 2 3 8 2 2 2 2" xfId="26938"/>
    <cellStyle name="Note 2 3 8 2 2 3" xfId="18261"/>
    <cellStyle name="Note 2 3 8 2 3" xfId="7935"/>
    <cellStyle name="Note 2 3 8 2 3 2" xfId="10549"/>
    <cellStyle name="Note 2 3 8 2 3 2 2" xfId="16811"/>
    <cellStyle name="Note 2 3 8 2 3 2 2 2" xfId="30227"/>
    <cellStyle name="Note 2 3 8 2 3 2 3" xfId="21556"/>
    <cellStyle name="Note 2 3 8 2 3 3" xfId="14539"/>
    <cellStyle name="Note 2 3 8 2 3 3 2" xfId="28861"/>
    <cellStyle name="Note 2 3 8 2 3 4" xfId="20184"/>
    <cellStyle name="Note 2 3 8 2 4" xfId="4650"/>
    <cellStyle name="Note 2 3 8 2 4 2" xfId="23093"/>
    <cellStyle name="Note 2 3 8 2 5" xfId="3984"/>
    <cellStyle name="Note 2 3 8 3" xfId="1958"/>
    <cellStyle name="Note 2 3 8 3 2" xfId="7356"/>
    <cellStyle name="Note 2 3 8 3 2 2" xfId="9970"/>
    <cellStyle name="Note 2 3 8 3 2 2 2" xfId="16232"/>
    <cellStyle name="Note 2 3 8 3 2 2 2 2" xfId="29648"/>
    <cellStyle name="Note 2 3 8 3 2 2 3" xfId="20977"/>
    <cellStyle name="Note 2 3 8 3 2 3" xfId="13960"/>
    <cellStyle name="Note 2 3 8 3 2 3 2" xfId="28282"/>
    <cellStyle name="Note 2 3 8 3 2 4" xfId="19605"/>
    <cellStyle name="Note 2 3 8 3 3" xfId="12738"/>
    <cellStyle name="Note 2 3 8 3 3 2" xfId="27060"/>
    <cellStyle name="Note 2 3 8 3 4" xfId="18383"/>
    <cellStyle name="Note 2 3 8 4" xfId="5039"/>
    <cellStyle name="Note 2 3 8 4 2" xfId="11586"/>
    <cellStyle name="Note 2 3 8 4 2 2" xfId="25908"/>
    <cellStyle name="Note 2 3 8 4 3" xfId="4354"/>
    <cellStyle name="Note 2 3 8 5" xfId="4366"/>
    <cellStyle name="Note 2 3 8 5 2" xfId="22908"/>
    <cellStyle name="Note 2 3 8 6" xfId="17183"/>
    <cellStyle name="Note 2 3 9" xfId="1959"/>
    <cellStyle name="Note 2 3 9 2" xfId="6144"/>
    <cellStyle name="Note 2 3 9 2 2" xfId="12714"/>
    <cellStyle name="Note 2 3 9 2 2 2" xfId="27036"/>
    <cellStyle name="Note 2 3 9 2 3" xfId="18359"/>
    <cellStyle name="Note 2 3 9 3" xfId="7701"/>
    <cellStyle name="Note 2 3 9 3 2" xfId="10315"/>
    <cellStyle name="Note 2 3 9 3 2 2" xfId="16577"/>
    <cellStyle name="Note 2 3 9 3 2 2 2" xfId="29993"/>
    <cellStyle name="Note 2 3 9 3 2 3" xfId="21322"/>
    <cellStyle name="Note 2 3 9 3 3" xfId="14305"/>
    <cellStyle name="Note 2 3 9 3 3 2" xfId="28627"/>
    <cellStyle name="Note 2 3 9 3 4" xfId="19950"/>
    <cellStyle name="Note 2 3 9 4" xfId="6771"/>
    <cellStyle name="Note 2 3 9 4 2" xfId="23717"/>
    <cellStyle name="Note 2 3 9 5" xfId="14713"/>
    <cellStyle name="Note 2 4" xfId="1960"/>
    <cellStyle name="Note 2 4 2" xfId="6012"/>
    <cellStyle name="Note 2 4 2 2" xfId="12572"/>
    <cellStyle name="Note 2 4 2 2 2" xfId="26894"/>
    <cellStyle name="Note 2 4 2 3" xfId="18217"/>
    <cellStyle name="Note 2 4 3" xfId="5342"/>
    <cellStyle name="Note 2 4 3 2" xfId="9651"/>
    <cellStyle name="Note 2 4 3 2 2" xfId="15913"/>
    <cellStyle name="Note 2 4 3 2 2 2" xfId="29329"/>
    <cellStyle name="Note 2 4 3 2 3" xfId="20658"/>
    <cellStyle name="Note 2 4 3 3" xfId="11892"/>
    <cellStyle name="Note 2 4 3 3 2" xfId="26214"/>
    <cellStyle name="Note 2 4 3 4" xfId="17537"/>
    <cellStyle name="Note 2 4 4" xfId="4049"/>
    <cellStyle name="Note 2 4 4 2" xfId="22726"/>
    <cellStyle name="Note 2 4 5" xfId="16977"/>
    <cellStyle name="Note 2 5" xfId="3731"/>
    <cellStyle name="Note 2 5 2" xfId="4792"/>
    <cellStyle name="Note 2 5 2 2" xfId="23191"/>
    <cellStyle name="Note 2 5 3" xfId="14801"/>
    <cellStyle name="Note 2 6" xfId="4867"/>
    <cellStyle name="Note 2 6 2" xfId="23232"/>
    <cellStyle name="Note 2 7" xfId="17036"/>
    <cellStyle name="Note 2 8" xfId="20321"/>
    <cellStyle name="Note 2 9" xfId="21700"/>
    <cellStyle name="Note 3" xfId="1961"/>
    <cellStyle name="Note 3 2" xfId="1962"/>
    <cellStyle name="Note 3 2 2" xfId="1963"/>
    <cellStyle name="Note 3 2 2 10" xfId="1964"/>
    <cellStyle name="Note 3 2 2 10 2" xfId="3827"/>
    <cellStyle name="Note 3 2 2 10 2 2" xfId="9383"/>
    <cellStyle name="Note 3 2 2 10 2 2 2" xfId="15645"/>
    <cellStyle name="Note 3 2 2 10 2 2 2 2" xfId="29061"/>
    <cellStyle name="Note 3 2 2 10 2 2 3" xfId="20390"/>
    <cellStyle name="Note 3 2 2 10 2 3" xfId="4847"/>
    <cellStyle name="Note 3 2 2 10 2 3 2" xfId="23221"/>
    <cellStyle name="Note 3 2 2 10 2 4" xfId="15563"/>
    <cellStyle name="Note 3 2 2 10 3" xfId="12162"/>
    <cellStyle name="Note 3 2 2 10 3 2" xfId="26484"/>
    <cellStyle name="Note 3 2 2 10 4" xfId="17807"/>
    <cellStyle name="Note 3 2 2 11" xfId="3763"/>
    <cellStyle name="Note 3 2 2 11 2" xfId="3860"/>
    <cellStyle name="Note 3 2 2 11 2 2" xfId="22616"/>
    <cellStyle name="Note 3 2 2 11 3" xfId="15255"/>
    <cellStyle name="Note 3 2 2 12" xfId="6317"/>
    <cellStyle name="Note 3 2 2 12 2" xfId="23512"/>
    <cellStyle name="Note 3 2 2 13" xfId="14718"/>
    <cellStyle name="Note 3 2 2 2" xfId="1965"/>
    <cellStyle name="Note 3 2 2 2 10" xfId="5395"/>
    <cellStyle name="Note 3 2 2 2 10 2" xfId="11945"/>
    <cellStyle name="Note 3 2 2 2 10 2 2" xfId="26267"/>
    <cellStyle name="Note 3 2 2 2 10 3" xfId="17590"/>
    <cellStyle name="Note 3 2 2 2 11" xfId="5366"/>
    <cellStyle name="Note 3 2 2 2 11 2" xfId="23340"/>
    <cellStyle name="Note 3 2 2 2 12" xfId="4193"/>
    <cellStyle name="Note 3 2 2 2 2" xfId="1966"/>
    <cellStyle name="Note 3 2 2 2 2 10" xfId="6721"/>
    <cellStyle name="Note 3 2 2 2 2 10 2" xfId="23675"/>
    <cellStyle name="Note 3 2 2 2 2 11" xfId="4120"/>
    <cellStyle name="Note 3 2 2 2 2 2" xfId="1967"/>
    <cellStyle name="Note 3 2 2 2 2 2 2" xfId="1968"/>
    <cellStyle name="Note 3 2 2 2 2 2 2 2" xfId="1969"/>
    <cellStyle name="Note 3 2 2 2 2 2 2 2 2" xfId="6428"/>
    <cellStyle name="Note 3 2 2 2 2 2 2 2 2 2" xfId="13011"/>
    <cellStyle name="Note 3 2 2 2 2 2 2 2 2 2 2" xfId="27333"/>
    <cellStyle name="Note 3 2 2 2 2 2 2 2 2 3" xfId="18656"/>
    <cellStyle name="Note 3 2 2 2 2 2 2 2 3" xfId="4915"/>
    <cellStyle name="Note 3 2 2 2 2 2 2 2 3 2" xfId="9512"/>
    <cellStyle name="Note 3 2 2 2 2 2 2 2 3 2 2" xfId="15774"/>
    <cellStyle name="Note 3 2 2 2 2 2 2 2 3 2 2 2" xfId="29190"/>
    <cellStyle name="Note 3 2 2 2 2 2 2 2 3 2 3" xfId="20519"/>
    <cellStyle name="Note 3 2 2 2 2 2 2 2 3 3" xfId="11452"/>
    <cellStyle name="Note 3 2 2 2 2 2 2 2 3 3 2" xfId="25774"/>
    <cellStyle name="Note 3 2 2 2 2 2 2 2 3 4" xfId="17303"/>
    <cellStyle name="Note 3 2 2 2 2 2 2 2 4" xfId="4593"/>
    <cellStyle name="Note 3 2 2 2 2 2 2 2 4 2" xfId="23055"/>
    <cellStyle name="Note 3 2 2 2 2 2 2 2 5" xfId="14697"/>
    <cellStyle name="Note 3 2 2 2 2 2 2 3" xfId="1970"/>
    <cellStyle name="Note 3 2 2 2 2 2 2 3 2" xfId="3594"/>
    <cellStyle name="Note 3 2 2 2 2 2 2 3 2 2" xfId="9340"/>
    <cellStyle name="Note 3 2 2 2 2 2 2 3 2 2 2" xfId="15602"/>
    <cellStyle name="Note 3 2 2 2 2 2 2 3 2 2 2 2" xfId="29018"/>
    <cellStyle name="Note 3 2 2 2 2 2 2 3 2 2 3" xfId="20347"/>
    <cellStyle name="Note 3 2 2 2 2 2 2 3 2 3" xfId="4371"/>
    <cellStyle name="Note 3 2 2 2 2 2 2 3 2 3 2" xfId="22913"/>
    <cellStyle name="Note 3 2 2 2 2 2 2 3 2 4" xfId="17321"/>
    <cellStyle name="Note 3 2 2 2 2 2 2 3 3" xfId="13321"/>
    <cellStyle name="Note 3 2 2 2 2 2 2 3 3 2" xfId="27643"/>
    <cellStyle name="Note 3 2 2 2 2 2 2 3 4" xfId="18966"/>
    <cellStyle name="Note 3 2 2 2 2 2 2 4" xfId="5771"/>
    <cellStyle name="Note 3 2 2 2 2 2 2 4 2" xfId="12324"/>
    <cellStyle name="Note 3 2 2 2 2 2 2 4 2 2" xfId="26646"/>
    <cellStyle name="Note 3 2 2 2 2 2 2 4 3" xfId="17969"/>
    <cellStyle name="Note 3 2 2 2 2 2 2 5" xfId="4821"/>
    <cellStyle name="Note 3 2 2 2 2 2 2 5 2" xfId="23203"/>
    <cellStyle name="Note 3 2 2 2 2 2 2 6" xfId="15595"/>
    <cellStyle name="Note 3 2 2 2 2 2 3" xfId="1971"/>
    <cellStyle name="Note 3 2 2 2 2 2 3 2" xfId="1972"/>
    <cellStyle name="Note 3 2 2 2 2 2 3 2 2" xfId="6517"/>
    <cellStyle name="Note 3 2 2 2 2 2 3 2 2 2" xfId="13105"/>
    <cellStyle name="Note 3 2 2 2 2 2 3 2 2 2 2" xfId="27427"/>
    <cellStyle name="Note 3 2 2 2 2 2 3 2 2 3" xfId="18750"/>
    <cellStyle name="Note 3 2 2 2 2 2 3 2 3" xfId="5340"/>
    <cellStyle name="Note 3 2 2 2 2 2 3 2 3 2" xfId="9649"/>
    <cellStyle name="Note 3 2 2 2 2 2 3 2 3 2 2" xfId="15911"/>
    <cellStyle name="Note 3 2 2 2 2 2 3 2 3 2 2 2" xfId="29327"/>
    <cellStyle name="Note 3 2 2 2 2 2 3 2 3 2 3" xfId="20656"/>
    <cellStyle name="Note 3 2 2 2 2 2 3 2 3 3" xfId="11890"/>
    <cellStyle name="Note 3 2 2 2 2 2 3 2 3 3 2" xfId="26212"/>
    <cellStyle name="Note 3 2 2 2 2 2 3 2 3 4" xfId="17535"/>
    <cellStyle name="Note 3 2 2 2 2 2 3 2 4" xfId="4048"/>
    <cellStyle name="Note 3 2 2 2 2 2 3 2 4 2" xfId="22725"/>
    <cellStyle name="Note 3 2 2 2 2 2 3 2 5" xfId="17247"/>
    <cellStyle name="Note 3 2 2 2 2 2 3 3" xfId="1973"/>
    <cellStyle name="Note 3 2 2 2 2 2 3 3 2" xfId="7932"/>
    <cellStyle name="Note 3 2 2 2 2 2 3 3 2 2" xfId="10546"/>
    <cellStyle name="Note 3 2 2 2 2 2 3 3 2 2 2" xfId="16808"/>
    <cellStyle name="Note 3 2 2 2 2 2 3 3 2 2 2 2" xfId="30224"/>
    <cellStyle name="Note 3 2 2 2 2 2 3 3 2 2 3" xfId="21553"/>
    <cellStyle name="Note 3 2 2 2 2 2 3 3 2 3" xfId="14536"/>
    <cellStyle name="Note 3 2 2 2 2 2 3 3 2 3 2" xfId="28858"/>
    <cellStyle name="Note 3 2 2 2 2 2 3 3 2 4" xfId="20181"/>
    <cellStyle name="Note 3 2 2 2 2 2 3 3 3" xfId="12811"/>
    <cellStyle name="Note 3 2 2 2 2 2 3 3 3 2" xfId="27133"/>
    <cellStyle name="Note 3 2 2 2 2 2 3 3 4" xfId="18456"/>
    <cellStyle name="Note 3 2 2 2 2 2 3 4" xfId="5180"/>
    <cellStyle name="Note 3 2 2 2 2 2 3 4 2" xfId="11729"/>
    <cellStyle name="Note 3 2 2 2 2 2 3 4 2 2" xfId="26051"/>
    <cellStyle name="Note 3 2 2 2 2 2 3 4 3" xfId="6327"/>
    <cellStyle name="Note 3 2 2 2 2 2 3 5" xfId="4702"/>
    <cellStyle name="Note 3 2 2 2 2 2 3 5 2" xfId="23135"/>
    <cellStyle name="Note 3 2 2 2 2 2 3 6" xfId="15585"/>
    <cellStyle name="Note 3 2 2 2 2 2 4" xfId="1974"/>
    <cellStyle name="Note 3 2 2 2 2 2 4 2" xfId="6039"/>
    <cellStyle name="Note 3 2 2 2 2 2 4 2 2" xfId="12603"/>
    <cellStyle name="Note 3 2 2 2 2 2 4 2 2 2" xfId="26925"/>
    <cellStyle name="Note 3 2 2 2 2 2 4 2 3" xfId="18248"/>
    <cellStyle name="Note 3 2 2 2 2 2 4 3" xfId="7435"/>
    <cellStyle name="Note 3 2 2 2 2 2 4 3 2" xfId="10049"/>
    <cellStyle name="Note 3 2 2 2 2 2 4 3 2 2" xfId="16311"/>
    <cellStyle name="Note 3 2 2 2 2 2 4 3 2 2 2" xfId="29727"/>
    <cellStyle name="Note 3 2 2 2 2 2 4 3 2 3" xfId="21056"/>
    <cellStyle name="Note 3 2 2 2 2 2 4 3 3" xfId="14039"/>
    <cellStyle name="Note 3 2 2 2 2 2 4 3 3 2" xfId="28361"/>
    <cellStyle name="Note 3 2 2 2 2 2 4 3 4" xfId="19684"/>
    <cellStyle name="Note 3 2 2 2 2 2 4 4" xfId="6268"/>
    <cellStyle name="Note 3 2 2 2 2 2 4 4 2" xfId="23484"/>
    <cellStyle name="Note 3 2 2 2 2 2 4 5" xfId="14908"/>
    <cellStyle name="Note 3 2 2 2 2 2 5" xfId="1975"/>
    <cellStyle name="Note 3 2 2 2 2 2 5 2" xfId="7943"/>
    <cellStyle name="Note 3 2 2 2 2 2 5 2 2" xfId="10557"/>
    <cellStyle name="Note 3 2 2 2 2 2 5 2 2 2" xfId="16819"/>
    <cellStyle name="Note 3 2 2 2 2 2 5 2 2 2 2" xfId="30235"/>
    <cellStyle name="Note 3 2 2 2 2 2 5 2 2 3" xfId="21564"/>
    <cellStyle name="Note 3 2 2 2 2 2 5 2 3" xfId="14547"/>
    <cellStyle name="Note 3 2 2 2 2 2 5 2 3 2" xfId="28869"/>
    <cellStyle name="Note 3 2 2 2 2 2 5 2 4" xfId="20192"/>
    <cellStyle name="Note 3 2 2 2 2 2 5 3" xfId="12897"/>
    <cellStyle name="Note 3 2 2 2 2 2 5 3 2" xfId="27219"/>
    <cellStyle name="Note 3 2 2 2 2 2 5 4" xfId="18542"/>
    <cellStyle name="Note 3 2 2 2 2 2 6" xfId="5515"/>
    <cellStyle name="Note 3 2 2 2 2 2 6 2" xfId="12066"/>
    <cellStyle name="Note 3 2 2 2 2 2 6 2 2" xfId="26388"/>
    <cellStyle name="Note 3 2 2 2 2 2 6 3" xfId="17711"/>
    <cellStyle name="Note 3 2 2 2 2 2 7" xfId="6490"/>
    <cellStyle name="Note 3 2 2 2 2 2 7 2" xfId="23567"/>
    <cellStyle name="Note 3 2 2 2 2 2 8" xfId="4018"/>
    <cellStyle name="Note 3 2 2 2 2 3" xfId="1976"/>
    <cellStyle name="Note 3 2 2 2 2 3 2" xfId="1977"/>
    <cellStyle name="Note 3 2 2 2 2 3 2 2" xfId="1978"/>
    <cellStyle name="Note 3 2 2 2 2 3 2 2 2" xfId="6449"/>
    <cellStyle name="Note 3 2 2 2 2 3 2 2 2 2" xfId="13032"/>
    <cellStyle name="Note 3 2 2 2 2 3 2 2 2 2 2" xfId="27354"/>
    <cellStyle name="Note 3 2 2 2 2 3 2 2 2 3" xfId="18677"/>
    <cellStyle name="Note 3 2 2 2 2 3 2 2 3" xfId="4750"/>
    <cellStyle name="Note 3 2 2 2 2 3 2 2 3 2" xfId="9474"/>
    <cellStyle name="Note 3 2 2 2 2 3 2 2 3 2 2" xfId="15736"/>
    <cellStyle name="Note 3 2 2 2 2 3 2 2 3 2 2 2" xfId="29152"/>
    <cellStyle name="Note 3 2 2 2 2 3 2 2 3 2 3" xfId="20481"/>
    <cellStyle name="Note 3 2 2 2 2 3 2 2 3 3" xfId="2778"/>
    <cellStyle name="Note 3 2 2 2 2 3 2 2 3 3 2" xfId="22347"/>
    <cellStyle name="Note 3 2 2 2 2 3 2 2 3 4" xfId="14825"/>
    <cellStyle name="Note 3 2 2 2 2 3 2 2 4" xfId="4201"/>
    <cellStyle name="Note 3 2 2 2 2 3 2 2 4 2" xfId="22818"/>
    <cellStyle name="Note 3 2 2 2 2 3 2 2 5" xfId="14982"/>
    <cellStyle name="Note 3 2 2 2 2 3 2 3" xfId="1979"/>
    <cellStyle name="Note 3 2 2 2 2 3 2 3 2" xfId="7466"/>
    <cellStyle name="Note 3 2 2 2 2 3 2 3 2 2" xfId="10080"/>
    <cellStyle name="Note 3 2 2 2 2 3 2 3 2 2 2" xfId="16342"/>
    <cellStyle name="Note 3 2 2 2 2 3 2 3 2 2 2 2" xfId="29758"/>
    <cellStyle name="Note 3 2 2 2 2 3 2 3 2 2 3" xfId="21087"/>
    <cellStyle name="Note 3 2 2 2 2 3 2 3 2 3" xfId="14070"/>
    <cellStyle name="Note 3 2 2 2 2 3 2 3 2 3 2" xfId="28392"/>
    <cellStyle name="Note 3 2 2 2 2 3 2 3 2 4" xfId="19715"/>
    <cellStyle name="Note 3 2 2 2 2 3 2 3 3" xfId="13357"/>
    <cellStyle name="Note 3 2 2 2 2 3 2 3 3 2" xfId="27679"/>
    <cellStyle name="Note 3 2 2 2 2 3 2 3 4" xfId="19002"/>
    <cellStyle name="Note 3 2 2 2 2 3 2 4" xfId="5807"/>
    <cellStyle name="Note 3 2 2 2 2 3 2 4 2" xfId="12360"/>
    <cellStyle name="Note 3 2 2 2 2 3 2 4 2 2" xfId="26682"/>
    <cellStyle name="Note 3 2 2 2 2 3 2 4 3" xfId="18005"/>
    <cellStyle name="Note 3 2 2 2 2 3 2 5" xfId="4783"/>
    <cellStyle name="Note 3 2 2 2 2 3 2 5 2" xfId="23184"/>
    <cellStyle name="Note 3 2 2 2 2 3 2 6" xfId="17239"/>
    <cellStyle name="Note 3 2 2 2 2 3 3" xfId="1980"/>
    <cellStyle name="Note 3 2 2 2 2 3 3 2" xfId="1981"/>
    <cellStyle name="Note 3 2 2 2 2 3 3 2 2" xfId="6917"/>
    <cellStyle name="Note 3 2 2 2 2 3 3 2 2 2" xfId="13521"/>
    <cellStyle name="Note 3 2 2 2 2 3 3 2 2 2 2" xfId="27843"/>
    <cellStyle name="Note 3 2 2 2 2 3 3 2 2 3" xfId="19166"/>
    <cellStyle name="Note 3 2 2 2 2 3 3 2 3" xfId="7424"/>
    <cellStyle name="Note 3 2 2 2 2 3 3 2 3 2" xfId="10038"/>
    <cellStyle name="Note 3 2 2 2 2 3 3 2 3 2 2" xfId="16300"/>
    <cellStyle name="Note 3 2 2 2 2 3 3 2 3 2 2 2" xfId="29716"/>
    <cellStyle name="Note 3 2 2 2 2 3 3 2 3 2 3" xfId="21045"/>
    <cellStyle name="Note 3 2 2 2 2 3 3 2 3 3" xfId="14028"/>
    <cellStyle name="Note 3 2 2 2 2 3 3 2 3 3 2" xfId="28350"/>
    <cellStyle name="Note 3 2 2 2 2 3 3 2 3 4" xfId="19673"/>
    <cellStyle name="Note 3 2 2 2 2 3 3 2 4" xfId="11403"/>
    <cellStyle name="Note 3 2 2 2 2 3 3 2 4 2" xfId="25725"/>
    <cellStyle name="Note 3 2 2 2 2 3 3 2 5" xfId="6810"/>
    <cellStyle name="Note 3 2 2 2 2 3 3 3" xfId="1982"/>
    <cellStyle name="Note 3 2 2 2 2 3 3 3 2" xfId="7730"/>
    <cellStyle name="Note 3 2 2 2 2 3 3 3 2 2" xfId="10344"/>
    <cellStyle name="Note 3 2 2 2 2 3 3 3 2 2 2" xfId="16606"/>
    <cellStyle name="Note 3 2 2 2 2 3 3 3 2 2 2 2" xfId="30022"/>
    <cellStyle name="Note 3 2 2 2 2 3 3 3 2 2 3" xfId="21351"/>
    <cellStyle name="Note 3 2 2 2 2 3 3 3 2 3" xfId="14334"/>
    <cellStyle name="Note 3 2 2 2 2 3 3 3 2 3 2" xfId="28656"/>
    <cellStyle name="Note 3 2 2 2 2 3 3 3 2 4" xfId="19979"/>
    <cellStyle name="Note 3 2 2 2 2 3 3 3 3" xfId="13396"/>
    <cellStyle name="Note 3 2 2 2 2 3 3 3 3 2" xfId="27718"/>
    <cellStyle name="Note 3 2 2 2 2 3 3 3 4" xfId="19041"/>
    <cellStyle name="Note 3 2 2 2 2 3 3 4" xfId="5860"/>
    <cellStyle name="Note 3 2 2 2 2 3 3 4 2" xfId="12413"/>
    <cellStyle name="Note 3 2 2 2 2 3 3 4 2 2" xfId="26735"/>
    <cellStyle name="Note 3 2 2 2 2 3 3 4 3" xfId="18058"/>
    <cellStyle name="Note 3 2 2 2 2 3 3 5" xfId="3197"/>
    <cellStyle name="Note 3 2 2 2 2 3 3 5 2" xfId="22438"/>
    <cellStyle name="Note 3 2 2 2 2 3 3 6" xfId="15177"/>
    <cellStyle name="Note 3 2 2 2 2 3 4" xfId="1983"/>
    <cellStyle name="Note 3 2 2 2 2 3 4 2" xfId="6841"/>
    <cellStyle name="Note 3 2 2 2 2 3 4 2 2" xfId="13445"/>
    <cellStyle name="Note 3 2 2 2 2 3 4 2 2 2" xfId="27767"/>
    <cellStyle name="Note 3 2 2 2 2 3 4 2 3" xfId="19090"/>
    <cellStyle name="Note 3 2 2 2 2 3 4 3" xfId="7503"/>
    <cellStyle name="Note 3 2 2 2 2 3 4 3 2" xfId="10117"/>
    <cellStyle name="Note 3 2 2 2 2 3 4 3 2 2" xfId="16379"/>
    <cellStyle name="Note 3 2 2 2 2 3 4 3 2 2 2" xfId="29795"/>
    <cellStyle name="Note 3 2 2 2 2 3 4 3 2 3" xfId="21124"/>
    <cellStyle name="Note 3 2 2 2 2 3 4 3 3" xfId="14107"/>
    <cellStyle name="Note 3 2 2 2 2 3 4 3 3 2" xfId="28429"/>
    <cellStyle name="Note 3 2 2 2 2 3 4 3 4" xfId="19752"/>
    <cellStyle name="Note 3 2 2 2 2 3 4 4" xfId="2771"/>
    <cellStyle name="Note 3 2 2 2 2 3 4 4 2" xfId="22340"/>
    <cellStyle name="Note 3 2 2 2 2 3 4 5" xfId="3714"/>
    <cellStyle name="Note 3 2 2 2 2 3 5" xfId="1984"/>
    <cellStyle name="Note 3 2 2 2 2 3 5 2" xfId="7082"/>
    <cellStyle name="Note 3 2 2 2 2 3 5 2 2" xfId="9696"/>
    <cellStyle name="Note 3 2 2 2 2 3 5 2 2 2" xfId="15958"/>
    <cellStyle name="Note 3 2 2 2 2 3 5 2 2 2 2" xfId="29374"/>
    <cellStyle name="Note 3 2 2 2 2 3 5 2 2 3" xfId="20703"/>
    <cellStyle name="Note 3 2 2 2 2 3 5 2 3" xfId="13686"/>
    <cellStyle name="Note 3 2 2 2 2 3 5 2 3 2" xfId="28008"/>
    <cellStyle name="Note 3 2 2 2 2 3 5 2 4" xfId="19331"/>
    <cellStyle name="Note 3 2 2 2 2 3 5 3" xfId="12933"/>
    <cellStyle name="Note 3 2 2 2 2 3 5 3 2" xfId="27255"/>
    <cellStyle name="Note 3 2 2 2 2 3 5 4" xfId="18578"/>
    <cellStyle name="Note 3 2 2 2 2 3 6" xfId="5557"/>
    <cellStyle name="Note 3 2 2 2 2 3 6 2" xfId="12108"/>
    <cellStyle name="Note 3 2 2 2 2 3 6 2 2" xfId="26430"/>
    <cellStyle name="Note 3 2 2 2 2 3 6 3" xfId="17753"/>
    <cellStyle name="Note 3 2 2 2 2 3 7" xfId="4056"/>
    <cellStyle name="Note 3 2 2 2 2 3 7 2" xfId="22731"/>
    <cellStyle name="Note 3 2 2 2 2 3 8" xfId="15175"/>
    <cellStyle name="Note 3 2 2 2 2 4" xfId="1985"/>
    <cellStyle name="Note 3 2 2 2 2 4 2" xfId="1986"/>
    <cellStyle name="Note 3 2 2 2 2 4 2 2" xfId="1987"/>
    <cellStyle name="Note 3 2 2 2 2 4 2 2 2" xfId="6886"/>
    <cellStyle name="Note 3 2 2 2 2 4 2 2 2 2" xfId="13490"/>
    <cellStyle name="Note 3 2 2 2 2 4 2 2 2 2 2" xfId="27812"/>
    <cellStyle name="Note 3 2 2 2 2 4 2 2 2 3" xfId="19135"/>
    <cellStyle name="Note 3 2 2 2 2 4 2 2 3" xfId="7230"/>
    <cellStyle name="Note 3 2 2 2 2 4 2 2 3 2" xfId="9844"/>
    <cellStyle name="Note 3 2 2 2 2 4 2 2 3 2 2" xfId="16106"/>
    <cellStyle name="Note 3 2 2 2 2 4 2 2 3 2 2 2" xfId="29522"/>
    <cellStyle name="Note 3 2 2 2 2 4 2 2 3 2 3" xfId="20851"/>
    <cellStyle name="Note 3 2 2 2 2 4 2 2 3 3" xfId="13834"/>
    <cellStyle name="Note 3 2 2 2 2 4 2 2 3 3 2" xfId="28156"/>
    <cellStyle name="Note 3 2 2 2 2 4 2 2 3 4" xfId="19479"/>
    <cellStyle name="Note 3 2 2 2 2 4 2 2 4" xfId="11361"/>
    <cellStyle name="Note 3 2 2 2 2 4 2 2 4 2" xfId="25683"/>
    <cellStyle name="Note 3 2 2 2 2 4 2 2 5" xfId="17104"/>
    <cellStyle name="Note 3 2 2 2 2 4 2 3" xfId="1988"/>
    <cellStyle name="Note 3 2 2 2 2 4 2 3 2" xfId="4796"/>
    <cellStyle name="Note 3 2 2 2 2 4 2 3 2 2" xfId="9486"/>
    <cellStyle name="Note 3 2 2 2 2 4 2 3 2 2 2" xfId="15748"/>
    <cellStyle name="Note 3 2 2 2 2 4 2 3 2 2 2 2" xfId="29164"/>
    <cellStyle name="Note 3 2 2 2 2 4 2 3 2 2 3" xfId="20493"/>
    <cellStyle name="Note 3 2 2 2 2 4 2 3 2 3" xfId="11325"/>
    <cellStyle name="Note 3 2 2 2 2 4 2 3 2 3 2" xfId="25647"/>
    <cellStyle name="Note 3 2 2 2 2 4 2 3 2 4" xfId="15187"/>
    <cellStyle name="Note 3 2 2 2 2 4 2 3 3" xfId="13220"/>
    <cellStyle name="Note 3 2 2 2 2 4 2 3 3 2" xfId="27542"/>
    <cellStyle name="Note 3 2 2 2 2 4 2 3 4" xfId="18865"/>
    <cellStyle name="Note 3 2 2 2 2 4 2 4" xfId="5661"/>
    <cellStyle name="Note 3 2 2 2 2 4 2 4 2" xfId="12214"/>
    <cellStyle name="Note 3 2 2 2 2 4 2 4 2 2" xfId="26536"/>
    <cellStyle name="Note 3 2 2 2 2 4 2 4 3" xfId="17859"/>
    <cellStyle name="Note 3 2 2 2 2 4 2 5" xfId="4756"/>
    <cellStyle name="Note 3 2 2 2 2 4 2 5 2" xfId="23172"/>
    <cellStyle name="Note 3 2 2 2 2 4 2 6" xfId="17300"/>
    <cellStyle name="Note 3 2 2 2 2 4 3" xfId="1989"/>
    <cellStyle name="Note 3 2 2 2 2 4 3 2" xfId="1990"/>
    <cellStyle name="Note 3 2 2 2 2 4 3 2 2" xfId="6104"/>
    <cellStyle name="Note 3 2 2 2 2 4 3 2 2 2" xfId="12671"/>
    <cellStyle name="Note 3 2 2 2 2 4 3 2 2 2 2" xfId="26993"/>
    <cellStyle name="Note 3 2 2 2 2 4 3 2 2 3" xfId="18316"/>
    <cellStyle name="Note 3 2 2 2 2 4 3 2 3" xfId="8071"/>
    <cellStyle name="Note 3 2 2 2 2 4 3 2 3 2" xfId="10685"/>
    <cellStyle name="Note 3 2 2 2 2 4 3 2 3 2 2" xfId="16947"/>
    <cellStyle name="Note 3 2 2 2 2 4 3 2 3 2 2 2" xfId="30363"/>
    <cellStyle name="Note 3 2 2 2 2 4 3 2 3 2 3" xfId="21692"/>
    <cellStyle name="Note 3 2 2 2 2 4 3 2 3 3" xfId="14675"/>
    <cellStyle name="Note 3 2 2 2 2 4 3 2 3 3 2" xfId="28997"/>
    <cellStyle name="Note 3 2 2 2 2 4 3 2 3 4" xfId="20320"/>
    <cellStyle name="Note 3 2 2 2 2 4 3 2 4" xfId="3284"/>
    <cellStyle name="Note 3 2 2 2 2 4 3 2 4 2" xfId="22460"/>
    <cellStyle name="Note 3 2 2 2 2 4 3 2 5" xfId="15119"/>
    <cellStyle name="Note 3 2 2 2 2 4 3 3" xfId="1991"/>
    <cellStyle name="Note 3 2 2 2 2 4 3 3 2" xfId="7133"/>
    <cellStyle name="Note 3 2 2 2 2 4 3 3 2 2" xfId="9747"/>
    <cellStyle name="Note 3 2 2 2 2 4 3 3 2 2 2" xfId="16009"/>
    <cellStyle name="Note 3 2 2 2 2 4 3 3 2 2 2 2" xfId="29425"/>
    <cellStyle name="Note 3 2 2 2 2 4 3 3 2 2 3" xfId="20754"/>
    <cellStyle name="Note 3 2 2 2 2 4 3 3 2 3" xfId="13737"/>
    <cellStyle name="Note 3 2 2 2 2 4 3 3 2 3 2" xfId="28059"/>
    <cellStyle name="Note 3 2 2 2 2 4 3 3 2 4" xfId="19382"/>
    <cellStyle name="Note 3 2 2 2 2 4 3 3 3" xfId="12514"/>
    <cellStyle name="Note 3 2 2 2 2 4 3 3 3 2" xfId="26836"/>
    <cellStyle name="Note 3 2 2 2 2 4 3 3 4" xfId="18159"/>
    <cellStyle name="Note 3 2 2 2 2 4 3 4" xfId="5097"/>
    <cellStyle name="Note 3 2 2 2 2 4 3 4 2" xfId="11644"/>
    <cellStyle name="Note 3 2 2 2 2 4 3 4 2 2" xfId="25966"/>
    <cellStyle name="Note 3 2 2 2 2 4 3 4 3" xfId="15001"/>
    <cellStyle name="Note 3 2 2 2 2 4 3 5" xfId="4050"/>
    <cellStyle name="Note 3 2 2 2 2 4 3 5 2" xfId="22727"/>
    <cellStyle name="Note 3 2 2 2 2 4 3 6" xfId="15026"/>
    <cellStyle name="Note 3 2 2 2 2 4 4" xfId="1992"/>
    <cellStyle name="Note 3 2 2 2 2 4 4 2" xfId="6111"/>
    <cellStyle name="Note 3 2 2 2 2 4 4 2 2" xfId="12679"/>
    <cellStyle name="Note 3 2 2 2 2 4 4 2 2 2" xfId="27001"/>
    <cellStyle name="Note 3 2 2 2 2 4 4 2 3" xfId="18324"/>
    <cellStyle name="Note 3 2 2 2 2 4 4 3" xfId="7067"/>
    <cellStyle name="Note 3 2 2 2 2 4 4 3 2" xfId="9681"/>
    <cellStyle name="Note 3 2 2 2 2 4 4 3 2 2" xfId="15943"/>
    <cellStyle name="Note 3 2 2 2 2 4 4 3 2 2 2" xfId="29359"/>
    <cellStyle name="Note 3 2 2 2 2 4 4 3 2 3" xfId="20688"/>
    <cellStyle name="Note 3 2 2 2 2 4 4 3 3" xfId="13671"/>
    <cellStyle name="Note 3 2 2 2 2 4 4 3 3 2" xfId="27993"/>
    <cellStyle name="Note 3 2 2 2 2 4 4 3 4" xfId="19316"/>
    <cellStyle name="Note 3 2 2 2 2 4 4 4" xfId="5152"/>
    <cellStyle name="Note 3 2 2 2 2 4 4 4 2" xfId="23331"/>
    <cellStyle name="Note 3 2 2 2 2 4 4 5" xfId="15405"/>
    <cellStyle name="Note 3 2 2 2 2 4 5" xfId="1993"/>
    <cellStyle name="Note 3 2 2 2 2 4 5 2" xfId="7737"/>
    <cellStyle name="Note 3 2 2 2 2 4 5 2 2" xfId="10351"/>
    <cellStyle name="Note 3 2 2 2 2 4 5 2 2 2" xfId="16613"/>
    <cellStyle name="Note 3 2 2 2 2 4 5 2 2 2 2" xfId="30029"/>
    <cellStyle name="Note 3 2 2 2 2 4 5 2 2 3" xfId="21358"/>
    <cellStyle name="Note 3 2 2 2 2 4 5 2 3" xfId="14341"/>
    <cellStyle name="Note 3 2 2 2 2 4 5 2 3 2" xfId="28663"/>
    <cellStyle name="Note 3 2 2 2 2 4 5 2 4" xfId="19986"/>
    <cellStyle name="Note 3 2 2 2 2 4 5 3" xfId="12455"/>
    <cellStyle name="Note 3 2 2 2 2 4 5 3 2" xfId="26777"/>
    <cellStyle name="Note 3 2 2 2 2 4 5 4" xfId="18100"/>
    <cellStyle name="Note 3 2 2 2 2 4 6" xfId="4455"/>
    <cellStyle name="Note 3 2 2 2 2 4 6 2" xfId="3688"/>
    <cellStyle name="Note 3 2 2 2 2 4 6 2 2" xfId="22530"/>
    <cellStyle name="Note 3 2 2 2 2 4 6 3" xfId="14754"/>
    <cellStyle name="Note 3 2 2 2 2 4 7" xfId="4791"/>
    <cellStyle name="Note 3 2 2 2 2 4 7 2" xfId="23190"/>
    <cellStyle name="Note 3 2 2 2 2 4 8" xfId="17155"/>
    <cellStyle name="Note 3 2 2 2 2 5" xfId="1994"/>
    <cellStyle name="Note 3 2 2 2 2 5 2" xfId="1995"/>
    <cellStyle name="Note 3 2 2 2 2 5 2 2" xfId="1996"/>
    <cellStyle name="Note 3 2 2 2 2 5 2 2 2" xfId="6038"/>
    <cellStyle name="Note 3 2 2 2 2 5 2 2 2 2" xfId="12599"/>
    <cellStyle name="Note 3 2 2 2 2 5 2 2 2 2 2" xfId="26921"/>
    <cellStyle name="Note 3 2 2 2 2 5 2 2 2 3" xfId="18244"/>
    <cellStyle name="Note 3 2 2 2 2 5 2 2 3" xfId="7532"/>
    <cellStyle name="Note 3 2 2 2 2 5 2 2 3 2" xfId="10146"/>
    <cellStyle name="Note 3 2 2 2 2 5 2 2 3 2 2" xfId="16408"/>
    <cellStyle name="Note 3 2 2 2 2 5 2 2 3 2 2 2" xfId="29824"/>
    <cellStyle name="Note 3 2 2 2 2 5 2 2 3 2 3" xfId="21153"/>
    <cellStyle name="Note 3 2 2 2 2 5 2 2 3 3" xfId="14136"/>
    <cellStyle name="Note 3 2 2 2 2 5 2 2 3 3 2" xfId="28458"/>
    <cellStyle name="Note 3 2 2 2 2 5 2 2 3 4" xfId="19781"/>
    <cellStyle name="Note 3 2 2 2 2 5 2 2 4" xfId="6667"/>
    <cellStyle name="Note 3 2 2 2 2 5 2 2 4 2" xfId="23639"/>
    <cellStyle name="Note 3 2 2 2 2 5 2 2 5" xfId="14990"/>
    <cellStyle name="Note 3 2 2 2 2 5 2 3" xfId="1997"/>
    <cellStyle name="Note 3 2 2 2 2 5 2 3 2" xfId="7981"/>
    <cellStyle name="Note 3 2 2 2 2 5 2 3 2 2" xfId="10595"/>
    <cellStyle name="Note 3 2 2 2 2 5 2 3 2 2 2" xfId="16857"/>
    <cellStyle name="Note 3 2 2 2 2 5 2 3 2 2 2 2" xfId="30273"/>
    <cellStyle name="Note 3 2 2 2 2 5 2 3 2 2 3" xfId="21602"/>
    <cellStyle name="Note 3 2 2 2 2 5 2 3 2 3" xfId="14585"/>
    <cellStyle name="Note 3 2 2 2 2 5 2 3 2 3 2" xfId="28907"/>
    <cellStyle name="Note 3 2 2 2 2 5 2 3 2 4" xfId="20230"/>
    <cellStyle name="Note 3 2 2 2 2 5 2 3 3" xfId="13091"/>
    <cellStyle name="Note 3 2 2 2 2 5 2 3 3 2" xfId="27413"/>
    <cellStyle name="Note 3 2 2 2 2 5 2 3 4" xfId="18736"/>
    <cellStyle name="Note 3 2 2 2 2 5 2 4" xfId="5446"/>
    <cellStyle name="Note 3 2 2 2 2 5 2 4 2" xfId="11997"/>
    <cellStyle name="Note 3 2 2 2 2 5 2 4 2 2" xfId="26319"/>
    <cellStyle name="Note 3 2 2 2 2 5 2 4 3" xfId="17642"/>
    <cellStyle name="Note 3 2 2 2 2 5 2 5" xfId="3958"/>
    <cellStyle name="Note 3 2 2 2 2 5 2 5 2" xfId="22669"/>
    <cellStyle name="Note 3 2 2 2 2 5 2 6" xfId="15055"/>
    <cellStyle name="Note 3 2 2 2 2 5 3" xfId="1998"/>
    <cellStyle name="Note 3 2 2 2 2 5 3 2" xfId="6089"/>
    <cellStyle name="Note 3 2 2 2 2 5 3 2 2" xfId="12656"/>
    <cellStyle name="Note 3 2 2 2 2 5 3 2 2 2" xfId="26978"/>
    <cellStyle name="Note 3 2 2 2 2 5 3 2 3" xfId="18301"/>
    <cellStyle name="Note 3 2 2 2 2 5 3 3" xfId="7983"/>
    <cellStyle name="Note 3 2 2 2 2 5 3 3 2" xfId="10597"/>
    <cellStyle name="Note 3 2 2 2 2 5 3 3 2 2" xfId="16859"/>
    <cellStyle name="Note 3 2 2 2 2 5 3 3 2 2 2" xfId="30275"/>
    <cellStyle name="Note 3 2 2 2 2 5 3 3 2 3" xfId="21604"/>
    <cellStyle name="Note 3 2 2 2 2 5 3 3 3" xfId="14587"/>
    <cellStyle name="Note 3 2 2 2 2 5 3 3 3 2" xfId="28909"/>
    <cellStyle name="Note 3 2 2 2 2 5 3 3 4" xfId="20232"/>
    <cellStyle name="Note 3 2 2 2 2 5 3 4" xfId="4717"/>
    <cellStyle name="Note 3 2 2 2 2 5 3 4 2" xfId="23147"/>
    <cellStyle name="Note 3 2 2 2 2 5 3 5" xfId="14837"/>
    <cellStyle name="Note 3 2 2 2 2 5 4" xfId="1999"/>
    <cellStyle name="Note 3 2 2 2 2 5 4 2" xfId="5278"/>
    <cellStyle name="Note 3 2 2 2 2 5 4 2 2" xfId="9587"/>
    <cellStyle name="Note 3 2 2 2 2 5 4 2 2 2" xfId="15849"/>
    <cellStyle name="Note 3 2 2 2 2 5 4 2 2 2 2" xfId="29265"/>
    <cellStyle name="Note 3 2 2 2 2 5 4 2 2 3" xfId="20594"/>
    <cellStyle name="Note 3 2 2 2 2 5 4 2 3" xfId="11828"/>
    <cellStyle name="Note 3 2 2 2 2 5 4 2 3 2" xfId="26150"/>
    <cellStyle name="Note 3 2 2 2 2 5 4 2 4" xfId="17473"/>
    <cellStyle name="Note 3 2 2 2 2 5 4 3" xfId="12582"/>
    <cellStyle name="Note 3 2 2 2 2 5 4 3 2" xfId="26904"/>
    <cellStyle name="Note 3 2 2 2 2 5 4 4" xfId="18227"/>
    <cellStyle name="Note 3 2 2 2 2 5 5" xfId="5201"/>
    <cellStyle name="Note 3 2 2 2 2 5 5 2" xfId="11750"/>
    <cellStyle name="Note 3 2 2 2 2 5 5 2 2" xfId="26072"/>
    <cellStyle name="Note 3 2 2 2 2 5 5 3" xfId="5637"/>
    <cellStyle name="Note 3 2 2 2 2 5 6" xfId="3143"/>
    <cellStyle name="Note 3 2 2 2 2 5 6 2" xfId="22419"/>
    <cellStyle name="Note 3 2 2 2 2 5 7" xfId="14865"/>
    <cellStyle name="Note 3 2 2 2 2 6" xfId="2000"/>
    <cellStyle name="Note 3 2 2 2 2 6 2" xfId="2001"/>
    <cellStyle name="Note 3 2 2 2 2 6 2 2" xfId="6838"/>
    <cellStyle name="Note 3 2 2 2 2 6 2 2 2" xfId="13442"/>
    <cellStyle name="Note 3 2 2 2 2 6 2 2 2 2" xfId="27764"/>
    <cellStyle name="Note 3 2 2 2 2 6 2 2 3" xfId="19087"/>
    <cellStyle name="Note 3 2 2 2 2 6 2 3" xfId="7280"/>
    <cellStyle name="Note 3 2 2 2 2 6 2 3 2" xfId="9894"/>
    <cellStyle name="Note 3 2 2 2 2 6 2 3 2 2" xfId="16156"/>
    <cellStyle name="Note 3 2 2 2 2 6 2 3 2 2 2" xfId="29572"/>
    <cellStyle name="Note 3 2 2 2 2 6 2 3 2 3" xfId="20901"/>
    <cellStyle name="Note 3 2 2 2 2 6 2 3 3" xfId="13884"/>
    <cellStyle name="Note 3 2 2 2 2 6 2 3 3 2" xfId="28206"/>
    <cellStyle name="Note 3 2 2 2 2 6 2 3 4" xfId="19529"/>
    <cellStyle name="Note 3 2 2 2 2 6 2 4" xfId="2816"/>
    <cellStyle name="Note 3 2 2 2 2 6 2 4 2" xfId="22379"/>
    <cellStyle name="Note 3 2 2 2 2 6 2 5" xfId="15315"/>
    <cellStyle name="Note 3 2 2 2 2 6 3" xfId="2002"/>
    <cellStyle name="Note 3 2 2 2 2 6 3 2" xfId="7942"/>
    <cellStyle name="Note 3 2 2 2 2 6 3 2 2" xfId="10556"/>
    <cellStyle name="Note 3 2 2 2 2 6 3 2 2 2" xfId="16818"/>
    <cellStyle name="Note 3 2 2 2 2 6 3 2 2 2 2" xfId="30234"/>
    <cellStyle name="Note 3 2 2 2 2 6 3 2 2 3" xfId="21563"/>
    <cellStyle name="Note 3 2 2 2 2 6 3 2 3" xfId="14546"/>
    <cellStyle name="Note 3 2 2 2 2 6 3 2 3 2" xfId="28868"/>
    <cellStyle name="Note 3 2 2 2 2 6 3 2 4" xfId="20191"/>
    <cellStyle name="Note 3 2 2 2 2 6 3 3" xfId="13131"/>
    <cellStyle name="Note 3 2 2 2 2 6 3 3 2" xfId="27453"/>
    <cellStyle name="Note 3 2 2 2 2 6 3 4" xfId="18776"/>
    <cellStyle name="Note 3 2 2 2 2 6 4" xfId="5525"/>
    <cellStyle name="Note 3 2 2 2 2 6 4 2" xfId="12076"/>
    <cellStyle name="Note 3 2 2 2 2 6 4 2 2" xfId="26398"/>
    <cellStyle name="Note 3 2 2 2 2 6 4 3" xfId="17721"/>
    <cellStyle name="Note 3 2 2 2 2 6 5" xfId="4565"/>
    <cellStyle name="Note 3 2 2 2 2 6 5 2" xfId="23034"/>
    <cellStyle name="Note 3 2 2 2 2 6 6" xfId="17102"/>
    <cellStyle name="Note 3 2 2 2 2 7" xfId="2003"/>
    <cellStyle name="Note 3 2 2 2 2 7 2" xfId="5965"/>
    <cellStyle name="Note 3 2 2 2 2 7 2 2" xfId="12523"/>
    <cellStyle name="Note 3 2 2 2 2 7 2 2 2" xfId="26845"/>
    <cellStyle name="Note 3 2 2 2 2 7 2 3" xfId="18168"/>
    <cellStyle name="Note 3 2 2 2 2 7 3" xfId="7923"/>
    <cellStyle name="Note 3 2 2 2 2 7 3 2" xfId="10537"/>
    <cellStyle name="Note 3 2 2 2 2 7 3 2 2" xfId="16799"/>
    <cellStyle name="Note 3 2 2 2 2 7 3 2 2 2" xfId="30215"/>
    <cellStyle name="Note 3 2 2 2 2 7 3 2 3" xfId="21544"/>
    <cellStyle name="Note 3 2 2 2 2 7 3 3" xfId="14527"/>
    <cellStyle name="Note 3 2 2 2 2 7 3 3 2" xfId="28849"/>
    <cellStyle name="Note 3 2 2 2 2 7 3 4" xfId="20172"/>
    <cellStyle name="Note 3 2 2 2 2 7 4" xfId="4174"/>
    <cellStyle name="Note 3 2 2 2 2 7 4 2" xfId="22797"/>
    <cellStyle name="Note 3 2 2 2 2 7 5" xfId="4744"/>
    <cellStyle name="Note 3 2 2 2 2 8" xfId="2004"/>
    <cellStyle name="Note 3 2 2 2 2 8 2" xfId="5287"/>
    <cellStyle name="Note 3 2 2 2 2 8 2 2" xfId="9596"/>
    <cellStyle name="Note 3 2 2 2 2 8 2 2 2" xfId="15858"/>
    <cellStyle name="Note 3 2 2 2 2 8 2 2 2 2" xfId="29274"/>
    <cellStyle name="Note 3 2 2 2 2 8 2 2 3" xfId="20603"/>
    <cellStyle name="Note 3 2 2 2 2 8 2 3" xfId="11837"/>
    <cellStyle name="Note 3 2 2 2 2 8 2 3 2" xfId="26159"/>
    <cellStyle name="Note 3 2 2 2 2 8 2 4" xfId="17482"/>
    <cellStyle name="Note 3 2 2 2 2 8 3" xfId="12761"/>
    <cellStyle name="Note 3 2 2 2 2 8 3 2" xfId="27083"/>
    <cellStyle name="Note 3 2 2 2 2 8 4" xfId="18406"/>
    <cellStyle name="Note 3 2 2 2 2 9" xfId="5472"/>
    <cellStyle name="Note 3 2 2 2 2 9 2" xfId="12023"/>
    <cellStyle name="Note 3 2 2 2 2 9 2 2" xfId="26345"/>
    <cellStyle name="Note 3 2 2 2 2 9 3" xfId="17668"/>
    <cellStyle name="Note 3 2 2 2 3" xfId="2005"/>
    <cellStyle name="Note 3 2 2 2 3 2" xfId="2006"/>
    <cellStyle name="Note 3 2 2 2 3 2 2" xfId="2007"/>
    <cellStyle name="Note 3 2 2 2 3 2 2 2" xfId="6856"/>
    <cellStyle name="Note 3 2 2 2 3 2 2 2 2" xfId="13460"/>
    <cellStyle name="Note 3 2 2 2 3 2 2 2 2 2" xfId="27782"/>
    <cellStyle name="Note 3 2 2 2 3 2 2 2 3" xfId="19105"/>
    <cellStyle name="Note 3 2 2 2 3 2 2 3" xfId="7541"/>
    <cellStyle name="Note 3 2 2 2 3 2 2 3 2" xfId="10155"/>
    <cellStyle name="Note 3 2 2 2 3 2 2 3 2 2" xfId="16417"/>
    <cellStyle name="Note 3 2 2 2 3 2 2 3 2 2 2" xfId="29833"/>
    <cellStyle name="Note 3 2 2 2 3 2 2 3 2 3" xfId="21162"/>
    <cellStyle name="Note 3 2 2 2 3 2 2 3 3" xfId="14145"/>
    <cellStyle name="Note 3 2 2 2 3 2 2 3 3 2" xfId="28467"/>
    <cellStyle name="Note 3 2 2 2 3 2 2 3 4" xfId="19790"/>
    <cellStyle name="Note 3 2 2 2 3 2 2 4" xfId="11314"/>
    <cellStyle name="Note 3 2 2 2 3 2 2 4 2" xfId="25636"/>
    <cellStyle name="Note 3 2 2 2 3 2 2 5" xfId="15057"/>
    <cellStyle name="Note 3 2 2 2 3 2 3" xfId="2008"/>
    <cellStyle name="Note 3 2 2 2 3 2 3 2" xfId="5310"/>
    <cellStyle name="Note 3 2 2 2 3 2 3 2 2" xfId="9619"/>
    <cellStyle name="Note 3 2 2 2 3 2 3 2 2 2" xfId="15881"/>
    <cellStyle name="Note 3 2 2 2 3 2 3 2 2 2 2" xfId="29297"/>
    <cellStyle name="Note 3 2 2 2 3 2 3 2 2 3" xfId="20626"/>
    <cellStyle name="Note 3 2 2 2 3 2 3 2 3" xfId="11860"/>
    <cellStyle name="Note 3 2 2 2 3 2 3 2 3 2" xfId="26182"/>
    <cellStyle name="Note 3 2 2 2 3 2 3 2 4" xfId="17505"/>
    <cellStyle name="Note 3 2 2 2 3 2 3 3" xfId="13307"/>
    <cellStyle name="Note 3 2 2 2 3 2 3 3 2" xfId="27629"/>
    <cellStyle name="Note 3 2 2 2 3 2 3 4" xfId="18952"/>
    <cellStyle name="Note 3 2 2 2 3 2 4" xfId="5757"/>
    <cellStyle name="Note 3 2 2 2 3 2 4 2" xfId="12310"/>
    <cellStyle name="Note 3 2 2 2 3 2 4 2 2" xfId="26632"/>
    <cellStyle name="Note 3 2 2 2 3 2 4 3" xfId="17955"/>
    <cellStyle name="Note 3 2 2 2 3 2 5" xfId="4410"/>
    <cellStyle name="Note 3 2 2 2 3 2 5 2" xfId="22934"/>
    <cellStyle name="Note 3 2 2 2 3 2 6" xfId="17310"/>
    <cellStyle name="Note 3 2 2 2 3 3" xfId="2009"/>
    <cellStyle name="Note 3 2 2 2 3 3 2" xfId="2010"/>
    <cellStyle name="Note 3 2 2 2 3 3 2 2" xfId="6445"/>
    <cellStyle name="Note 3 2 2 2 3 3 2 2 2" xfId="13028"/>
    <cellStyle name="Note 3 2 2 2 3 3 2 2 2 2" xfId="27350"/>
    <cellStyle name="Note 3 2 2 2 3 3 2 2 3" xfId="18673"/>
    <cellStyle name="Note 3 2 2 2 3 3 2 3" xfId="7550"/>
    <cellStyle name="Note 3 2 2 2 3 3 2 3 2" xfId="10164"/>
    <cellStyle name="Note 3 2 2 2 3 3 2 3 2 2" xfId="16426"/>
    <cellStyle name="Note 3 2 2 2 3 3 2 3 2 2 2" xfId="29842"/>
    <cellStyle name="Note 3 2 2 2 3 3 2 3 2 3" xfId="21171"/>
    <cellStyle name="Note 3 2 2 2 3 3 2 3 3" xfId="14154"/>
    <cellStyle name="Note 3 2 2 2 3 3 2 3 3 2" xfId="28476"/>
    <cellStyle name="Note 3 2 2 2 3 3 2 3 4" xfId="19799"/>
    <cellStyle name="Note 3 2 2 2 3 3 2 4" xfId="3620"/>
    <cellStyle name="Note 3 2 2 2 3 3 2 4 2" xfId="22490"/>
    <cellStyle name="Note 3 2 2 2 3 3 2 5" xfId="15188"/>
    <cellStyle name="Note 3 2 2 2 3 3 3" xfId="2011"/>
    <cellStyle name="Note 3 2 2 2 3 3 3 2" xfId="4246"/>
    <cellStyle name="Note 3 2 2 2 3 3 3 2 2" xfId="9431"/>
    <cellStyle name="Note 3 2 2 2 3 3 3 2 2 2" xfId="15693"/>
    <cellStyle name="Note 3 2 2 2 3 3 3 2 2 2 2" xfId="29109"/>
    <cellStyle name="Note 3 2 2 2 3 3 3 2 2 3" xfId="20438"/>
    <cellStyle name="Note 3 2 2 2 3 3 3 2 3" xfId="4261"/>
    <cellStyle name="Note 3 2 2 2 3 3 3 2 3 2" xfId="22856"/>
    <cellStyle name="Note 3 2 2 2 3 3 3 2 4" xfId="4970"/>
    <cellStyle name="Note 3 2 2 2 3 3 3 3" xfId="13380"/>
    <cellStyle name="Note 3 2 2 2 3 3 3 3 2" xfId="27702"/>
    <cellStyle name="Note 3 2 2 2 3 3 3 4" xfId="19025"/>
    <cellStyle name="Note 3 2 2 2 3 3 4" xfId="5838"/>
    <cellStyle name="Note 3 2 2 2 3 3 4 2" xfId="12391"/>
    <cellStyle name="Note 3 2 2 2 3 3 4 2 2" xfId="26713"/>
    <cellStyle name="Note 3 2 2 2 3 3 4 3" xfId="18036"/>
    <cellStyle name="Note 3 2 2 2 3 3 5" xfId="4168"/>
    <cellStyle name="Note 3 2 2 2 3 3 5 2" xfId="22793"/>
    <cellStyle name="Note 3 2 2 2 3 3 6" xfId="15275"/>
    <cellStyle name="Note 3 2 2 2 3 4" xfId="2012"/>
    <cellStyle name="Note 3 2 2 2 3 4 2" xfId="6933"/>
    <cellStyle name="Note 3 2 2 2 3 4 2 2" xfId="13537"/>
    <cellStyle name="Note 3 2 2 2 3 4 2 2 2" xfId="27859"/>
    <cellStyle name="Note 3 2 2 2 3 4 2 3" xfId="19182"/>
    <cellStyle name="Note 3 2 2 2 3 4 3" xfId="7577"/>
    <cellStyle name="Note 3 2 2 2 3 4 3 2" xfId="10191"/>
    <cellStyle name="Note 3 2 2 2 3 4 3 2 2" xfId="16453"/>
    <cellStyle name="Note 3 2 2 2 3 4 3 2 2 2" xfId="29869"/>
    <cellStyle name="Note 3 2 2 2 3 4 3 2 3" xfId="21198"/>
    <cellStyle name="Note 3 2 2 2 3 4 3 3" xfId="14181"/>
    <cellStyle name="Note 3 2 2 2 3 4 3 3 2" xfId="28503"/>
    <cellStyle name="Note 3 2 2 2 3 4 3 4" xfId="19826"/>
    <cellStyle name="Note 3 2 2 2 3 4 4" xfId="11426"/>
    <cellStyle name="Note 3 2 2 2 3 4 4 2" xfId="25748"/>
    <cellStyle name="Note 3 2 2 2 3 4 5" xfId="3880"/>
    <cellStyle name="Note 3 2 2 2 3 5" xfId="2013"/>
    <cellStyle name="Note 3 2 2 2 3 5 2" xfId="7778"/>
    <cellStyle name="Note 3 2 2 2 3 5 2 2" xfId="10392"/>
    <cellStyle name="Note 3 2 2 2 3 5 2 2 2" xfId="16654"/>
    <cellStyle name="Note 3 2 2 2 3 5 2 2 2 2" xfId="30070"/>
    <cellStyle name="Note 3 2 2 2 3 5 2 2 3" xfId="21399"/>
    <cellStyle name="Note 3 2 2 2 3 5 2 3" xfId="14382"/>
    <cellStyle name="Note 3 2 2 2 3 5 2 3 2" xfId="28704"/>
    <cellStyle name="Note 3 2 2 2 3 5 2 4" xfId="20027"/>
    <cellStyle name="Note 3 2 2 2 3 5 3" xfId="12883"/>
    <cellStyle name="Note 3 2 2 2 3 5 3 2" xfId="27205"/>
    <cellStyle name="Note 3 2 2 2 3 5 4" xfId="18528"/>
    <cellStyle name="Note 3 2 2 2 3 6" xfId="5501"/>
    <cellStyle name="Note 3 2 2 2 3 6 2" xfId="12052"/>
    <cellStyle name="Note 3 2 2 2 3 6 2 2" xfId="26374"/>
    <cellStyle name="Note 3 2 2 2 3 6 3" xfId="17697"/>
    <cellStyle name="Note 3 2 2 2 3 7" xfId="3633"/>
    <cellStyle name="Note 3 2 2 2 3 7 2" xfId="22496"/>
    <cellStyle name="Note 3 2 2 2 3 8" xfId="15210"/>
    <cellStyle name="Note 3 2 2 2 4" xfId="2014"/>
    <cellStyle name="Note 3 2 2 2 4 2" xfId="2015"/>
    <cellStyle name="Note 3 2 2 2 4 2 2" xfId="2016"/>
    <cellStyle name="Note 3 2 2 2 4 2 2 2" xfId="5828"/>
    <cellStyle name="Note 3 2 2 2 4 2 2 2 2" xfId="12381"/>
    <cellStyle name="Note 3 2 2 2 4 2 2 2 2 2" xfId="26703"/>
    <cellStyle name="Note 3 2 2 2 4 2 2 2 3" xfId="18026"/>
    <cellStyle name="Note 3 2 2 2 4 2 2 3" xfId="3997"/>
    <cellStyle name="Note 3 2 2 2 4 2 2 3 2" xfId="9407"/>
    <cellStyle name="Note 3 2 2 2 4 2 2 3 2 2" xfId="15669"/>
    <cellStyle name="Note 3 2 2 2 4 2 2 3 2 2 2" xfId="29085"/>
    <cellStyle name="Note 3 2 2 2 4 2 2 3 2 3" xfId="20414"/>
    <cellStyle name="Note 3 2 2 2 4 2 2 3 3" xfId="4866"/>
    <cellStyle name="Note 3 2 2 2 4 2 2 3 3 2" xfId="23231"/>
    <cellStyle name="Note 3 2 2 2 4 2 2 3 4" xfId="15427"/>
    <cellStyle name="Note 3 2 2 2 4 2 2 4" xfId="3254"/>
    <cellStyle name="Note 3 2 2 2 4 2 2 4 2" xfId="22446"/>
    <cellStyle name="Note 3 2 2 2 4 2 2 5" xfId="15322"/>
    <cellStyle name="Note 3 2 2 2 4 2 3" xfId="2017"/>
    <cellStyle name="Note 3 2 2 2 4 2 3 2" xfId="7235"/>
    <cellStyle name="Note 3 2 2 2 4 2 3 2 2" xfId="9849"/>
    <cellStyle name="Note 3 2 2 2 4 2 3 2 2 2" xfId="16111"/>
    <cellStyle name="Note 3 2 2 2 4 2 3 2 2 2 2" xfId="29527"/>
    <cellStyle name="Note 3 2 2 2 4 2 3 2 2 3" xfId="20856"/>
    <cellStyle name="Note 3 2 2 2 4 2 3 2 3" xfId="13839"/>
    <cellStyle name="Note 3 2 2 2 4 2 3 2 3 2" xfId="28161"/>
    <cellStyle name="Note 3 2 2 2 4 2 3 2 4" xfId="19484"/>
    <cellStyle name="Note 3 2 2 2 4 2 3 3" xfId="13343"/>
    <cellStyle name="Note 3 2 2 2 4 2 3 3 2" xfId="27665"/>
    <cellStyle name="Note 3 2 2 2 4 2 3 4" xfId="18988"/>
    <cellStyle name="Note 3 2 2 2 4 2 4" xfId="5793"/>
    <cellStyle name="Note 3 2 2 2 4 2 4 2" xfId="12346"/>
    <cellStyle name="Note 3 2 2 2 4 2 4 2 2" xfId="26668"/>
    <cellStyle name="Note 3 2 2 2 4 2 4 3" xfId="17991"/>
    <cellStyle name="Note 3 2 2 2 4 2 5" xfId="5381"/>
    <cellStyle name="Note 3 2 2 2 4 2 5 2" xfId="23343"/>
    <cellStyle name="Note 3 2 2 2 4 2 6" xfId="4239"/>
    <cellStyle name="Note 3 2 2 2 4 3" xfId="2018"/>
    <cellStyle name="Note 3 2 2 2 4 3 2" xfId="2019"/>
    <cellStyle name="Note 3 2 2 2 4 3 2 2" xfId="6437"/>
    <cellStyle name="Note 3 2 2 2 4 3 2 2 2" xfId="13020"/>
    <cellStyle name="Note 3 2 2 2 4 3 2 2 2 2" xfId="27342"/>
    <cellStyle name="Note 3 2 2 2 4 3 2 2 3" xfId="18665"/>
    <cellStyle name="Note 3 2 2 2 4 3 2 3" xfId="7614"/>
    <cellStyle name="Note 3 2 2 2 4 3 2 3 2" xfId="10228"/>
    <cellStyle name="Note 3 2 2 2 4 3 2 3 2 2" xfId="16490"/>
    <cellStyle name="Note 3 2 2 2 4 3 2 3 2 2 2" xfId="29906"/>
    <cellStyle name="Note 3 2 2 2 4 3 2 3 2 3" xfId="21235"/>
    <cellStyle name="Note 3 2 2 2 4 3 2 3 3" xfId="14218"/>
    <cellStyle name="Note 3 2 2 2 4 3 2 3 3 2" xfId="28540"/>
    <cellStyle name="Note 3 2 2 2 4 3 2 3 4" xfId="19863"/>
    <cellStyle name="Note 3 2 2 2 4 3 2 4" xfId="4235"/>
    <cellStyle name="Note 3 2 2 2 4 3 2 4 2" xfId="22845"/>
    <cellStyle name="Note 3 2 2 2 4 3 2 5" xfId="15531"/>
    <cellStyle name="Note 3 2 2 2 4 3 3" xfId="2020"/>
    <cellStyle name="Note 3 2 2 2 4 3 3 2" xfId="3908"/>
    <cellStyle name="Note 3 2 2 2 4 3 3 2 2" xfId="9393"/>
    <cellStyle name="Note 3 2 2 2 4 3 3 2 2 2" xfId="15655"/>
    <cellStyle name="Note 3 2 2 2 4 3 3 2 2 2 2" xfId="29071"/>
    <cellStyle name="Note 3 2 2 2 4 3 3 2 2 3" xfId="20400"/>
    <cellStyle name="Note 3 2 2 2 4 3 3 2 3" xfId="6155"/>
    <cellStyle name="Note 3 2 2 2 4 3 3 2 3 2" xfId="23434"/>
    <cellStyle name="Note 3 2 2 2 4 3 3 2 4" xfId="4197"/>
    <cellStyle name="Note 3 2 2 2 4 3 3 3" xfId="13413"/>
    <cellStyle name="Note 3 2 2 2 4 3 3 3 2" xfId="27735"/>
    <cellStyle name="Note 3 2 2 2 4 3 3 4" xfId="19058"/>
    <cellStyle name="Note 3 2 2 2 4 3 4" xfId="5881"/>
    <cellStyle name="Note 3 2 2 2 4 3 4 2" xfId="12434"/>
    <cellStyle name="Note 3 2 2 2 4 3 4 2 2" xfId="26756"/>
    <cellStyle name="Note 3 2 2 2 4 3 4 3" xfId="18079"/>
    <cellStyle name="Note 3 2 2 2 4 3 5" xfId="3876"/>
    <cellStyle name="Note 3 2 2 2 4 3 5 2" xfId="22622"/>
    <cellStyle name="Note 3 2 2 2 4 3 6" xfId="15152"/>
    <cellStyle name="Note 3 2 2 2 4 4" xfId="2021"/>
    <cellStyle name="Note 3 2 2 2 4 4 2" xfId="6969"/>
    <cellStyle name="Note 3 2 2 2 4 4 2 2" xfId="13573"/>
    <cellStyle name="Note 3 2 2 2 4 4 2 2 2" xfId="27895"/>
    <cellStyle name="Note 3 2 2 2 4 4 2 3" xfId="19218"/>
    <cellStyle name="Note 3 2 2 2 4 4 3" xfId="4316"/>
    <cellStyle name="Note 3 2 2 2 4 4 3 2" xfId="9447"/>
    <cellStyle name="Note 3 2 2 2 4 4 3 2 2" xfId="15709"/>
    <cellStyle name="Note 3 2 2 2 4 4 3 2 2 2" xfId="29125"/>
    <cellStyle name="Note 3 2 2 2 4 4 3 2 3" xfId="20454"/>
    <cellStyle name="Note 3 2 2 2 4 4 3 3" xfId="6081"/>
    <cellStyle name="Note 3 2 2 2 4 4 3 3 2" xfId="23410"/>
    <cellStyle name="Note 3 2 2 2 4 4 3 4" xfId="14989"/>
    <cellStyle name="Note 3 2 2 2 4 4 4" xfId="11476"/>
    <cellStyle name="Note 3 2 2 2 4 4 4 2" xfId="25798"/>
    <cellStyle name="Note 3 2 2 2 4 4 5" xfId="14685"/>
    <cellStyle name="Note 3 2 2 2 4 5" xfId="2022"/>
    <cellStyle name="Note 3 2 2 2 4 5 2" xfId="7925"/>
    <cellStyle name="Note 3 2 2 2 4 5 2 2" xfId="10539"/>
    <cellStyle name="Note 3 2 2 2 4 5 2 2 2" xfId="16801"/>
    <cellStyle name="Note 3 2 2 2 4 5 2 2 2 2" xfId="30217"/>
    <cellStyle name="Note 3 2 2 2 4 5 2 2 3" xfId="21546"/>
    <cellStyle name="Note 3 2 2 2 4 5 2 3" xfId="14529"/>
    <cellStyle name="Note 3 2 2 2 4 5 2 3 2" xfId="28851"/>
    <cellStyle name="Note 3 2 2 2 4 5 2 4" xfId="20174"/>
    <cellStyle name="Note 3 2 2 2 4 5 3" xfId="12919"/>
    <cellStyle name="Note 3 2 2 2 4 5 3 2" xfId="27241"/>
    <cellStyle name="Note 3 2 2 2 4 5 4" xfId="18564"/>
    <cellStyle name="Note 3 2 2 2 4 6" xfId="5543"/>
    <cellStyle name="Note 3 2 2 2 4 6 2" xfId="12094"/>
    <cellStyle name="Note 3 2 2 2 4 6 2 2" xfId="26416"/>
    <cellStyle name="Note 3 2 2 2 4 6 3" xfId="17739"/>
    <cellStyle name="Note 3 2 2 2 4 7" xfId="5582"/>
    <cellStyle name="Note 3 2 2 2 4 7 2" xfId="23354"/>
    <cellStyle name="Note 3 2 2 2 4 8" xfId="14845"/>
    <cellStyle name="Note 3 2 2 2 5" xfId="2023"/>
    <cellStyle name="Note 3 2 2 2 5 2" xfId="2024"/>
    <cellStyle name="Note 3 2 2 2 5 2 2" xfId="2025"/>
    <cellStyle name="Note 3 2 2 2 5 2 2 2" xfId="6215"/>
    <cellStyle name="Note 3 2 2 2 5 2 2 2 2" xfId="12789"/>
    <cellStyle name="Note 3 2 2 2 5 2 2 2 2 2" xfId="27111"/>
    <cellStyle name="Note 3 2 2 2 5 2 2 2 3" xfId="18434"/>
    <cellStyle name="Note 3 2 2 2 5 2 2 3" xfId="7170"/>
    <cellStyle name="Note 3 2 2 2 5 2 2 3 2" xfId="9784"/>
    <cellStyle name="Note 3 2 2 2 5 2 2 3 2 2" xfId="16046"/>
    <cellStyle name="Note 3 2 2 2 5 2 2 3 2 2 2" xfId="29462"/>
    <cellStyle name="Note 3 2 2 2 5 2 2 3 2 3" xfId="20791"/>
    <cellStyle name="Note 3 2 2 2 5 2 2 3 3" xfId="13774"/>
    <cellStyle name="Note 3 2 2 2 5 2 2 3 3 2" xfId="28096"/>
    <cellStyle name="Note 3 2 2 2 5 2 2 3 4" xfId="19419"/>
    <cellStyle name="Note 3 2 2 2 5 2 2 4" xfId="4556"/>
    <cellStyle name="Note 3 2 2 2 5 2 2 4 2" xfId="23028"/>
    <cellStyle name="Note 3 2 2 2 5 2 2 5" xfId="14709"/>
    <cellStyle name="Note 3 2 2 2 5 2 3" xfId="2026"/>
    <cellStyle name="Note 3 2 2 2 5 2 3 2" xfId="8021"/>
    <cellStyle name="Note 3 2 2 2 5 2 3 2 2" xfId="10635"/>
    <cellStyle name="Note 3 2 2 2 5 2 3 2 2 2" xfId="16897"/>
    <cellStyle name="Note 3 2 2 2 5 2 3 2 2 2 2" xfId="30313"/>
    <cellStyle name="Note 3 2 2 2 5 2 3 2 2 3" xfId="21642"/>
    <cellStyle name="Note 3 2 2 2 5 2 3 2 3" xfId="14625"/>
    <cellStyle name="Note 3 2 2 2 5 2 3 2 3 2" xfId="28947"/>
    <cellStyle name="Note 3 2 2 2 5 2 3 2 4" xfId="20270"/>
    <cellStyle name="Note 3 2 2 2 5 2 3 3" xfId="13262"/>
    <cellStyle name="Note 3 2 2 2 5 2 3 3 2" xfId="27584"/>
    <cellStyle name="Note 3 2 2 2 5 2 3 4" xfId="18907"/>
    <cellStyle name="Note 3 2 2 2 5 2 4" xfId="5708"/>
    <cellStyle name="Note 3 2 2 2 5 2 4 2" xfId="12261"/>
    <cellStyle name="Note 3 2 2 2 5 2 4 2 2" xfId="26583"/>
    <cellStyle name="Note 3 2 2 2 5 2 4 3" xfId="17906"/>
    <cellStyle name="Note 3 2 2 2 5 2 5" xfId="4014"/>
    <cellStyle name="Note 3 2 2 2 5 2 5 2" xfId="22702"/>
    <cellStyle name="Note 3 2 2 2 5 2 6" xfId="14822"/>
    <cellStyle name="Note 3 2 2 2 5 3" xfId="2027"/>
    <cellStyle name="Note 3 2 2 2 5 3 2" xfId="2028"/>
    <cellStyle name="Note 3 2 2 2 5 3 2 2" xfId="6091"/>
    <cellStyle name="Note 3 2 2 2 5 3 2 2 2" xfId="12658"/>
    <cellStyle name="Note 3 2 2 2 5 3 2 2 2 2" xfId="26980"/>
    <cellStyle name="Note 3 2 2 2 5 3 2 2 3" xfId="18303"/>
    <cellStyle name="Note 3 2 2 2 5 3 2 3" xfId="3286"/>
    <cellStyle name="Note 3 2 2 2 5 3 2 3 2" xfId="9054"/>
    <cellStyle name="Note 3 2 2 2 5 3 2 3 2 2" xfId="15393"/>
    <cellStyle name="Note 3 2 2 2 5 3 2 3 2 2 2" xfId="29012"/>
    <cellStyle name="Note 3 2 2 2 5 3 2 3 2 3" xfId="20339"/>
    <cellStyle name="Note 3 2 2 2 5 3 2 3 3" xfId="4439"/>
    <cellStyle name="Note 3 2 2 2 5 3 2 3 3 2" xfId="22953"/>
    <cellStyle name="Note 3 2 2 2 5 3 2 3 4" xfId="14847"/>
    <cellStyle name="Note 3 2 2 2 5 3 2 4" xfId="4299"/>
    <cellStyle name="Note 3 2 2 2 5 3 2 4 2" xfId="22878"/>
    <cellStyle name="Note 3 2 2 2 5 3 2 5" xfId="17308"/>
    <cellStyle name="Note 3 2 2 2 5 3 3" xfId="2029"/>
    <cellStyle name="Note 3 2 2 2 5 3 3 2" xfId="7796"/>
    <cellStyle name="Note 3 2 2 2 5 3 3 2 2" xfId="10410"/>
    <cellStyle name="Note 3 2 2 2 5 3 3 2 2 2" xfId="16672"/>
    <cellStyle name="Note 3 2 2 2 5 3 3 2 2 2 2" xfId="30088"/>
    <cellStyle name="Note 3 2 2 2 5 3 3 2 2 3" xfId="21417"/>
    <cellStyle name="Note 3 2 2 2 5 3 3 2 3" xfId="14400"/>
    <cellStyle name="Note 3 2 2 2 5 3 3 2 3 2" xfId="28722"/>
    <cellStyle name="Note 3 2 2 2 5 3 3 2 4" xfId="20045"/>
    <cellStyle name="Note 3 2 2 2 5 3 3 3" xfId="13111"/>
    <cellStyle name="Note 3 2 2 2 5 3 3 3 2" xfId="27433"/>
    <cellStyle name="Note 3 2 2 2 5 3 3 4" xfId="18756"/>
    <cellStyle name="Note 3 2 2 2 5 3 4" xfId="5476"/>
    <cellStyle name="Note 3 2 2 2 5 3 4 2" xfId="12027"/>
    <cellStyle name="Note 3 2 2 2 5 3 4 2 2" xfId="26349"/>
    <cellStyle name="Note 3 2 2 2 5 3 4 3" xfId="17672"/>
    <cellStyle name="Note 3 2 2 2 5 3 5" xfId="2834"/>
    <cellStyle name="Note 3 2 2 2 5 3 5 2" xfId="22397"/>
    <cellStyle name="Note 3 2 2 2 5 3 6" xfId="15569"/>
    <cellStyle name="Note 3 2 2 2 5 4" xfId="2030"/>
    <cellStyle name="Note 3 2 2 2 5 4 2" xfId="5989"/>
    <cellStyle name="Note 3 2 2 2 5 4 2 2" xfId="12547"/>
    <cellStyle name="Note 3 2 2 2 5 4 2 2 2" xfId="26869"/>
    <cellStyle name="Note 3 2 2 2 5 4 2 3" xfId="18192"/>
    <cellStyle name="Note 3 2 2 2 5 4 3" xfId="8062"/>
    <cellStyle name="Note 3 2 2 2 5 4 3 2" xfId="10676"/>
    <cellStyle name="Note 3 2 2 2 5 4 3 2 2" xfId="16938"/>
    <cellStyle name="Note 3 2 2 2 5 4 3 2 2 2" xfId="30354"/>
    <cellStyle name="Note 3 2 2 2 5 4 3 2 3" xfId="21683"/>
    <cellStyle name="Note 3 2 2 2 5 4 3 3" xfId="14666"/>
    <cellStyle name="Note 3 2 2 2 5 4 3 3 2" xfId="28988"/>
    <cellStyle name="Note 3 2 2 2 5 4 3 4" xfId="20311"/>
    <cellStyle name="Note 3 2 2 2 5 4 4" xfId="6186"/>
    <cellStyle name="Note 3 2 2 2 5 4 4 2" xfId="23451"/>
    <cellStyle name="Note 3 2 2 2 5 4 5" xfId="15352"/>
    <cellStyle name="Note 3 2 2 2 5 5" xfId="2031"/>
    <cellStyle name="Note 3 2 2 2 5 5 2" xfId="7233"/>
    <cellStyle name="Note 3 2 2 2 5 5 2 2" xfId="9847"/>
    <cellStyle name="Note 3 2 2 2 5 5 2 2 2" xfId="16109"/>
    <cellStyle name="Note 3 2 2 2 5 5 2 2 2 2" xfId="29525"/>
    <cellStyle name="Note 3 2 2 2 5 5 2 2 3" xfId="20854"/>
    <cellStyle name="Note 3 2 2 2 5 5 2 3" xfId="13837"/>
    <cellStyle name="Note 3 2 2 2 5 5 2 3 2" xfId="28159"/>
    <cellStyle name="Note 3 2 2 2 5 5 2 4" xfId="19482"/>
    <cellStyle name="Note 3 2 2 2 5 5 3" xfId="12817"/>
    <cellStyle name="Note 3 2 2 2 5 5 3 2" xfId="27139"/>
    <cellStyle name="Note 3 2 2 2 5 5 4" xfId="18462"/>
    <cellStyle name="Note 3 2 2 2 5 6" xfId="5354"/>
    <cellStyle name="Note 3 2 2 2 5 6 2" xfId="11904"/>
    <cellStyle name="Note 3 2 2 2 5 6 2 2" xfId="26226"/>
    <cellStyle name="Note 3 2 2 2 5 6 3" xfId="17549"/>
    <cellStyle name="Note 3 2 2 2 5 7" xfId="4345"/>
    <cellStyle name="Note 3 2 2 2 5 7 2" xfId="22900"/>
    <cellStyle name="Note 3 2 2 2 5 8" xfId="16972"/>
    <cellStyle name="Note 3 2 2 2 6" xfId="2032"/>
    <cellStyle name="Note 3 2 2 2 6 2" xfId="2033"/>
    <cellStyle name="Note 3 2 2 2 6 2 2" xfId="2034"/>
    <cellStyle name="Note 3 2 2 2 6 2 2 2" xfId="5934"/>
    <cellStyle name="Note 3 2 2 2 6 2 2 2 2" xfId="12491"/>
    <cellStyle name="Note 3 2 2 2 6 2 2 2 2 2" xfId="26813"/>
    <cellStyle name="Note 3 2 2 2 6 2 2 2 3" xfId="18136"/>
    <cellStyle name="Note 3 2 2 2 6 2 2 3" xfId="7913"/>
    <cellStyle name="Note 3 2 2 2 6 2 2 3 2" xfId="10527"/>
    <cellStyle name="Note 3 2 2 2 6 2 2 3 2 2" xfId="16789"/>
    <cellStyle name="Note 3 2 2 2 6 2 2 3 2 2 2" xfId="30205"/>
    <cellStyle name="Note 3 2 2 2 6 2 2 3 2 3" xfId="21534"/>
    <cellStyle name="Note 3 2 2 2 6 2 2 3 3" xfId="14517"/>
    <cellStyle name="Note 3 2 2 2 6 2 2 3 3 2" xfId="28839"/>
    <cellStyle name="Note 3 2 2 2 6 2 2 3 4" xfId="20162"/>
    <cellStyle name="Note 3 2 2 2 6 2 2 4" xfId="6314"/>
    <cellStyle name="Note 3 2 2 2 6 2 2 4 2" xfId="23510"/>
    <cellStyle name="Note 3 2 2 2 6 2 2 5" xfId="17332"/>
    <cellStyle name="Note 3 2 2 2 6 2 3" xfId="2035"/>
    <cellStyle name="Note 3 2 2 2 6 2 3 2" xfId="7150"/>
    <cellStyle name="Note 3 2 2 2 6 2 3 2 2" xfId="9764"/>
    <cellStyle name="Note 3 2 2 2 6 2 3 2 2 2" xfId="16026"/>
    <cellStyle name="Note 3 2 2 2 6 2 3 2 2 2 2" xfId="29442"/>
    <cellStyle name="Note 3 2 2 2 6 2 3 2 2 3" xfId="20771"/>
    <cellStyle name="Note 3 2 2 2 6 2 3 2 3" xfId="13754"/>
    <cellStyle name="Note 3 2 2 2 6 2 3 2 3 2" xfId="28076"/>
    <cellStyle name="Note 3 2 2 2 6 2 3 2 4" xfId="19399"/>
    <cellStyle name="Note 3 2 2 2 6 2 3 3" xfId="11780"/>
    <cellStyle name="Note 3 2 2 2 6 2 3 3 2" xfId="26102"/>
    <cellStyle name="Note 3 2 2 2 6 2 3 4" xfId="17425"/>
    <cellStyle name="Note 3 2 2 2 6 2 4" xfId="3700"/>
    <cellStyle name="Note 3 2 2 2 6 2 4 2" xfId="4141"/>
    <cellStyle name="Note 3 2 2 2 6 2 4 2 2" xfId="22779"/>
    <cellStyle name="Note 3 2 2 2 6 2 4 3" xfId="17374"/>
    <cellStyle name="Note 3 2 2 2 6 2 5" xfId="4879"/>
    <cellStyle name="Note 3 2 2 2 6 2 5 2" xfId="23241"/>
    <cellStyle name="Note 3 2 2 2 6 2 6" xfId="3787"/>
    <cellStyle name="Note 3 2 2 2 6 3" xfId="2036"/>
    <cellStyle name="Note 3 2 2 2 6 3 2" xfId="6551"/>
    <cellStyle name="Note 3 2 2 2 6 3 2 2" xfId="13139"/>
    <cellStyle name="Note 3 2 2 2 6 3 2 2 2" xfId="27461"/>
    <cellStyle name="Note 3 2 2 2 6 3 2 3" xfId="18784"/>
    <cellStyle name="Note 3 2 2 2 6 3 3" xfId="5329"/>
    <cellStyle name="Note 3 2 2 2 6 3 3 2" xfId="9638"/>
    <cellStyle name="Note 3 2 2 2 6 3 3 2 2" xfId="15900"/>
    <cellStyle name="Note 3 2 2 2 6 3 3 2 2 2" xfId="29316"/>
    <cellStyle name="Note 3 2 2 2 6 3 3 2 3" xfId="20645"/>
    <cellStyle name="Note 3 2 2 2 6 3 3 3" xfId="11879"/>
    <cellStyle name="Note 3 2 2 2 6 3 3 3 2" xfId="26201"/>
    <cellStyle name="Note 3 2 2 2 6 3 3 4" xfId="17524"/>
    <cellStyle name="Note 3 2 2 2 6 3 4" xfId="3716"/>
    <cellStyle name="Note 3 2 2 2 6 3 4 2" xfId="22541"/>
    <cellStyle name="Note 3 2 2 2 6 3 5" xfId="17062"/>
    <cellStyle name="Note 3 2 2 2 6 4" xfId="2037"/>
    <cellStyle name="Note 3 2 2 2 6 4 2" xfId="7050"/>
    <cellStyle name="Note 3 2 2 2 6 4 2 2" xfId="9664"/>
    <cellStyle name="Note 3 2 2 2 6 4 2 2 2" xfId="15926"/>
    <cellStyle name="Note 3 2 2 2 6 4 2 2 2 2" xfId="29342"/>
    <cellStyle name="Note 3 2 2 2 6 4 2 2 3" xfId="20671"/>
    <cellStyle name="Note 3 2 2 2 6 4 2 3" xfId="13654"/>
    <cellStyle name="Note 3 2 2 2 6 4 2 3 2" xfId="27976"/>
    <cellStyle name="Note 3 2 2 2 6 4 2 4" xfId="19299"/>
    <cellStyle name="Note 3 2 2 2 6 4 3" xfId="12946"/>
    <cellStyle name="Note 3 2 2 2 6 4 3 2" xfId="27268"/>
    <cellStyle name="Note 3 2 2 2 6 4 4" xfId="18591"/>
    <cellStyle name="Note 3 2 2 2 6 5" xfId="5611"/>
    <cellStyle name="Note 3 2 2 2 6 5 2" xfId="12164"/>
    <cellStyle name="Note 3 2 2 2 6 5 2 2" xfId="26486"/>
    <cellStyle name="Note 3 2 2 2 6 5 3" xfId="17809"/>
    <cellStyle name="Note 3 2 2 2 6 6" xfId="3721"/>
    <cellStyle name="Note 3 2 2 2 6 6 2" xfId="22545"/>
    <cellStyle name="Note 3 2 2 2 6 7" xfId="4112"/>
    <cellStyle name="Note 3 2 2 2 7" xfId="2038"/>
    <cellStyle name="Note 3 2 2 2 7 2" xfId="2039"/>
    <cellStyle name="Note 3 2 2 2 7 2 2" xfId="6383"/>
    <cellStyle name="Note 3 2 2 2 7 2 2 2" xfId="12966"/>
    <cellStyle name="Note 3 2 2 2 7 2 2 2 2" xfId="27288"/>
    <cellStyle name="Note 3 2 2 2 7 2 2 3" xfId="18611"/>
    <cellStyle name="Note 3 2 2 2 7 2 3" xfId="3872"/>
    <cellStyle name="Note 3 2 2 2 7 2 3 2" xfId="9388"/>
    <cellStyle name="Note 3 2 2 2 7 2 3 2 2" xfId="15650"/>
    <cellStyle name="Note 3 2 2 2 7 2 3 2 2 2" xfId="29066"/>
    <cellStyle name="Note 3 2 2 2 7 2 3 2 3" xfId="20395"/>
    <cellStyle name="Note 3 2 2 2 7 2 3 3" xfId="4150"/>
    <cellStyle name="Note 3 2 2 2 7 2 3 3 2" xfId="22785"/>
    <cellStyle name="Note 3 2 2 2 7 2 3 4" xfId="15145"/>
    <cellStyle name="Note 3 2 2 2 7 2 4" xfId="6756"/>
    <cellStyle name="Note 3 2 2 2 7 2 4 2" xfId="23704"/>
    <cellStyle name="Note 3 2 2 2 7 2 5" xfId="17038"/>
    <cellStyle name="Note 3 2 2 2 7 3" xfId="2040"/>
    <cellStyle name="Note 3 2 2 2 7 3 2" xfId="8003"/>
    <cellStyle name="Note 3 2 2 2 7 3 2 2" xfId="10617"/>
    <cellStyle name="Note 3 2 2 2 7 3 2 2 2" xfId="16879"/>
    <cellStyle name="Note 3 2 2 2 7 3 2 2 2 2" xfId="30295"/>
    <cellStyle name="Note 3 2 2 2 7 3 2 2 3" xfId="21624"/>
    <cellStyle name="Note 3 2 2 2 7 3 2 3" xfId="14607"/>
    <cellStyle name="Note 3 2 2 2 7 3 2 3 2" xfId="28929"/>
    <cellStyle name="Note 3 2 2 2 7 3 2 4" xfId="20252"/>
    <cellStyle name="Note 3 2 2 2 7 3 3" xfId="13402"/>
    <cellStyle name="Note 3 2 2 2 7 3 3 2" xfId="27724"/>
    <cellStyle name="Note 3 2 2 2 7 3 4" xfId="19047"/>
    <cellStyle name="Note 3 2 2 2 7 4" xfId="5866"/>
    <cellStyle name="Note 3 2 2 2 7 4 2" xfId="12419"/>
    <cellStyle name="Note 3 2 2 2 7 4 2 2" xfId="26741"/>
    <cellStyle name="Note 3 2 2 2 7 4 3" xfId="18064"/>
    <cellStyle name="Note 3 2 2 2 7 5" xfId="3684"/>
    <cellStyle name="Note 3 2 2 2 7 5 2" xfId="22526"/>
    <cellStyle name="Note 3 2 2 2 7 6" xfId="4561"/>
    <cellStyle name="Note 3 2 2 2 8" xfId="2041"/>
    <cellStyle name="Note 3 2 2 2 8 2" xfId="6990"/>
    <cellStyle name="Note 3 2 2 2 8 2 2" xfId="13594"/>
    <cellStyle name="Note 3 2 2 2 8 2 2 2" xfId="27916"/>
    <cellStyle name="Note 3 2 2 2 8 2 3" xfId="19239"/>
    <cellStyle name="Note 3 2 2 2 8 3" xfId="7540"/>
    <cellStyle name="Note 3 2 2 2 8 3 2" xfId="10154"/>
    <cellStyle name="Note 3 2 2 2 8 3 2 2" xfId="16416"/>
    <cellStyle name="Note 3 2 2 2 8 3 2 2 2" xfId="29832"/>
    <cellStyle name="Note 3 2 2 2 8 3 2 3" xfId="21161"/>
    <cellStyle name="Note 3 2 2 2 8 3 3" xfId="14144"/>
    <cellStyle name="Note 3 2 2 2 8 3 3 2" xfId="28466"/>
    <cellStyle name="Note 3 2 2 2 8 3 4" xfId="19789"/>
    <cellStyle name="Note 3 2 2 2 8 4" xfId="11502"/>
    <cellStyle name="Note 3 2 2 2 8 4 2" xfId="25824"/>
    <cellStyle name="Note 3 2 2 2 8 5" xfId="17040"/>
    <cellStyle name="Note 3 2 2 2 9" xfId="2042"/>
    <cellStyle name="Note 3 2 2 2 9 2" xfId="7425"/>
    <cellStyle name="Note 3 2 2 2 9 2 2" xfId="10039"/>
    <cellStyle name="Note 3 2 2 2 9 2 2 2" xfId="16301"/>
    <cellStyle name="Note 3 2 2 2 9 2 2 2 2" xfId="29717"/>
    <cellStyle name="Note 3 2 2 2 9 2 2 3" xfId="21046"/>
    <cellStyle name="Note 3 2 2 2 9 2 3" xfId="14029"/>
    <cellStyle name="Note 3 2 2 2 9 2 3 2" xfId="28351"/>
    <cellStyle name="Note 3 2 2 2 9 2 4" xfId="19674"/>
    <cellStyle name="Note 3 2 2 2 9 3" xfId="12724"/>
    <cellStyle name="Note 3 2 2 2 9 3 2" xfId="27046"/>
    <cellStyle name="Note 3 2 2 2 9 4" xfId="18369"/>
    <cellStyle name="Note 3 2 2 3" xfId="2043"/>
    <cellStyle name="Note 3 2 2 3 10" xfId="4971"/>
    <cellStyle name="Note 3 2 2 3 10 2" xfId="23287"/>
    <cellStyle name="Note 3 2 2 3 11" xfId="15570"/>
    <cellStyle name="Note 3 2 2 3 2" xfId="2044"/>
    <cellStyle name="Note 3 2 2 3 2 2" xfId="2045"/>
    <cellStyle name="Note 3 2 2 3 2 2 2" xfId="2046"/>
    <cellStyle name="Note 3 2 2 3 2 2 2 2" xfId="5958"/>
    <cellStyle name="Note 3 2 2 3 2 2 2 2 2" xfId="12516"/>
    <cellStyle name="Note 3 2 2 3 2 2 2 2 2 2" xfId="26838"/>
    <cellStyle name="Note 3 2 2 3 2 2 2 2 3" xfId="18161"/>
    <cellStyle name="Note 3 2 2 3 2 2 2 3" xfId="7835"/>
    <cellStyle name="Note 3 2 2 3 2 2 2 3 2" xfId="10449"/>
    <cellStyle name="Note 3 2 2 3 2 2 2 3 2 2" xfId="16711"/>
    <cellStyle name="Note 3 2 2 3 2 2 2 3 2 2 2" xfId="30127"/>
    <cellStyle name="Note 3 2 2 3 2 2 2 3 2 3" xfId="21456"/>
    <cellStyle name="Note 3 2 2 3 2 2 2 3 3" xfId="14439"/>
    <cellStyle name="Note 3 2 2 3 2 2 2 3 3 2" xfId="28761"/>
    <cellStyle name="Note 3 2 2 3 2 2 2 3 4" xfId="20084"/>
    <cellStyle name="Note 3 2 2 3 2 2 2 4" xfId="4273"/>
    <cellStyle name="Note 3 2 2 3 2 2 2 4 2" xfId="22863"/>
    <cellStyle name="Note 3 2 2 3 2 2 2 5" xfId="14773"/>
    <cellStyle name="Note 3 2 2 3 2 2 3" xfId="2047"/>
    <cellStyle name="Note 3 2 2 3 2 2 3 2" xfId="7985"/>
    <cellStyle name="Note 3 2 2 3 2 2 3 2 2" xfId="10599"/>
    <cellStyle name="Note 3 2 2 3 2 2 3 2 2 2" xfId="16861"/>
    <cellStyle name="Note 3 2 2 3 2 2 3 2 2 2 2" xfId="30277"/>
    <cellStyle name="Note 3 2 2 3 2 2 3 2 2 3" xfId="21606"/>
    <cellStyle name="Note 3 2 2 3 2 2 3 2 3" xfId="14589"/>
    <cellStyle name="Note 3 2 2 3 2 2 3 2 3 2" xfId="28911"/>
    <cellStyle name="Note 3 2 2 3 2 2 3 2 4" xfId="20234"/>
    <cellStyle name="Note 3 2 2 3 2 2 3 3" xfId="13303"/>
    <cellStyle name="Note 3 2 2 3 2 2 3 3 2" xfId="27625"/>
    <cellStyle name="Note 3 2 2 3 2 2 3 4" xfId="18948"/>
    <cellStyle name="Note 3 2 2 3 2 2 4" xfId="5753"/>
    <cellStyle name="Note 3 2 2 3 2 2 4 2" xfId="12306"/>
    <cellStyle name="Note 3 2 2 3 2 2 4 2 2" xfId="26628"/>
    <cellStyle name="Note 3 2 2 3 2 2 4 3" xfId="17951"/>
    <cellStyle name="Note 3 2 2 3 2 2 5" xfId="3682"/>
    <cellStyle name="Note 3 2 2 3 2 2 5 2" xfId="22525"/>
    <cellStyle name="Note 3 2 2 3 2 2 6" xfId="15249"/>
    <cellStyle name="Note 3 2 2 3 2 3" xfId="2048"/>
    <cellStyle name="Note 3 2 2 3 2 3 2" xfId="2049"/>
    <cellStyle name="Note 3 2 2 3 2 3 2 2" xfId="5391"/>
    <cellStyle name="Note 3 2 2 3 2 3 2 2 2" xfId="11941"/>
    <cellStyle name="Note 3 2 2 3 2 3 2 2 2 2" xfId="26263"/>
    <cellStyle name="Note 3 2 2 3 2 3 2 2 3" xfId="17586"/>
    <cellStyle name="Note 3 2 2 3 2 3 2 3" xfId="7715"/>
    <cellStyle name="Note 3 2 2 3 2 3 2 3 2" xfId="10329"/>
    <cellStyle name="Note 3 2 2 3 2 3 2 3 2 2" xfId="16591"/>
    <cellStyle name="Note 3 2 2 3 2 3 2 3 2 2 2" xfId="30007"/>
    <cellStyle name="Note 3 2 2 3 2 3 2 3 2 3" xfId="21336"/>
    <cellStyle name="Note 3 2 2 3 2 3 2 3 3" xfId="14319"/>
    <cellStyle name="Note 3 2 2 3 2 3 2 3 3 2" xfId="28641"/>
    <cellStyle name="Note 3 2 2 3 2 3 2 3 4" xfId="19964"/>
    <cellStyle name="Note 3 2 2 3 2 3 2 4" xfId="4078"/>
    <cellStyle name="Note 3 2 2 3 2 3 2 4 2" xfId="22748"/>
    <cellStyle name="Note 3 2 2 3 2 3 2 5" xfId="15293"/>
    <cellStyle name="Note 3 2 2 3 2 3 3" xfId="2050"/>
    <cellStyle name="Note 3 2 2 3 2 3 3 2" xfId="3647"/>
    <cellStyle name="Note 3 2 2 3 2 3 3 2 2" xfId="9352"/>
    <cellStyle name="Note 3 2 2 3 2 3 3 2 2 2" xfId="15614"/>
    <cellStyle name="Note 3 2 2 3 2 3 3 2 2 2 2" xfId="29030"/>
    <cellStyle name="Note 3 2 2 3 2 3 3 2 2 3" xfId="20359"/>
    <cellStyle name="Note 3 2 2 3 2 3 3 2 3" xfId="6654"/>
    <cellStyle name="Note 3 2 2 3 2 3 3 2 3 2" xfId="23631"/>
    <cellStyle name="Note 3 2 2 3 2 3 3 2 4" xfId="17302"/>
    <cellStyle name="Note 3 2 2 3 2 3 3 3" xfId="13046"/>
    <cellStyle name="Note 3 2 2 3 2 3 3 3 2" xfId="27368"/>
    <cellStyle name="Note 3 2 2 3 2 3 3 4" xfId="18691"/>
    <cellStyle name="Note 3 2 2 3 2 3 4" xfId="5365"/>
    <cellStyle name="Note 3 2 2 3 2 3 4 2" xfId="11915"/>
    <cellStyle name="Note 3 2 2 3 2 3 4 2 2" xfId="26237"/>
    <cellStyle name="Note 3 2 2 3 2 3 4 3" xfId="17560"/>
    <cellStyle name="Note 3 2 2 3 2 3 5" xfId="4711"/>
    <cellStyle name="Note 3 2 2 3 2 3 5 2" xfId="23143"/>
    <cellStyle name="Note 3 2 2 3 2 3 6" xfId="17027"/>
    <cellStyle name="Note 3 2 2 3 2 4" xfId="2051"/>
    <cellStyle name="Note 3 2 2 3 2 4 2" xfId="6564"/>
    <cellStyle name="Note 3 2 2 3 2 4 2 2" xfId="13152"/>
    <cellStyle name="Note 3 2 2 3 2 4 2 2 2" xfId="27474"/>
    <cellStyle name="Note 3 2 2 3 2 4 2 3" xfId="18797"/>
    <cellStyle name="Note 3 2 2 3 2 4 3" xfId="5258"/>
    <cellStyle name="Note 3 2 2 3 2 4 3 2" xfId="9567"/>
    <cellStyle name="Note 3 2 2 3 2 4 3 2 2" xfId="15829"/>
    <cellStyle name="Note 3 2 2 3 2 4 3 2 2 2" xfId="29245"/>
    <cellStyle name="Note 3 2 2 3 2 4 3 2 3" xfId="20574"/>
    <cellStyle name="Note 3 2 2 3 2 4 3 3" xfId="11808"/>
    <cellStyle name="Note 3 2 2 3 2 4 3 3 2" xfId="26130"/>
    <cellStyle name="Note 3 2 2 3 2 4 3 4" xfId="17453"/>
    <cellStyle name="Note 3 2 2 3 2 4 4" xfId="3600"/>
    <cellStyle name="Note 3 2 2 3 2 4 4 2" xfId="22481"/>
    <cellStyle name="Note 3 2 2 3 2 4 5" xfId="3653"/>
    <cellStyle name="Note 3 2 2 3 2 5" xfId="2052"/>
    <cellStyle name="Note 3 2 2 3 2 5 2" xfId="7861"/>
    <cellStyle name="Note 3 2 2 3 2 5 2 2" xfId="10475"/>
    <cellStyle name="Note 3 2 2 3 2 5 2 2 2" xfId="16737"/>
    <cellStyle name="Note 3 2 2 3 2 5 2 2 2 2" xfId="30153"/>
    <cellStyle name="Note 3 2 2 3 2 5 2 2 3" xfId="21482"/>
    <cellStyle name="Note 3 2 2 3 2 5 2 3" xfId="14465"/>
    <cellStyle name="Note 3 2 2 3 2 5 2 3 2" xfId="28787"/>
    <cellStyle name="Note 3 2 2 3 2 5 2 4" xfId="20110"/>
    <cellStyle name="Note 3 2 2 3 2 5 3" xfId="12879"/>
    <cellStyle name="Note 3 2 2 3 2 5 3 2" xfId="27201"/>
    <cellStyle name="Note 3 2 2 3 2 5 4" xfId="18524"/>
    <cellStyle name="Note 3 2 2 3 2 6" xfId="5497"/>
    <cellStyle name="Note 3 2 2 3 2 6 2" xfId="12048"/>
    <cellStyle name="Note 3 2 2 3 2 6 2 2" xfId="26370"/>
    <cellStyle name="Note 3 2 2 3 2 6 3" xfId="17693"/>
    <cellStyle name="Note 3 2 2 3 2 7" xfId="4426"/>
    <cellStyle name="Note 3 2 2 3 2 7 2" xfId="22944"/>
    <cellStyle name="Note 3 2 2 3 2 8" xfId="17311"/>
    <cellStyle name="Note 3 2 2 3 3" xfId="2053"/>
    <cellStyle name="Note 3 2 2 3 3 2" xfId="2054"/>
    <cellStyle name="Note 3 2 2 3 3 2 2" xfId="2055"/>
    <cellStyle name="Note 3 2 2 3 3 2 2 2" xfId="6977"/>
    <cellStyle name="Note 3 2 2 3 3 2 2 2 2" xfId="13581"/>
    <cellStyle name="Note 3 2 2 3 3 2 2 2 2 2" xfId="27903"/>
    <cellStyle name="Note 3 2 2 3 3 2 2 2 3" xfId="19226"/>
    <cellStyle name="Note 3 2 2 3 3 2 2 3" xfId="7548"/>
    <cellStyle name="Note 3 2 2 3 3 2 2 3 2" xfId="10162"/>
    <cellStyle name="Note 3 2 2 3 3 2 2 3 2 2" xfId="16424"/>
    <cellStyle name="Note 3 2 2 3 3 2 2 3 2 2 2" xfId="29840"/>
    <cellStyle name="Note 3 2 2 3 3 2 2 3 2 3" xfId="21169"/>
    <cellStyle name="Note 3 2 2 3 3 2 2 3 3" xfId="14152"/>
    <cellStyle name="Note 3 2 2 3 3 2 2 3 3 2" xfId="28474"/>
    <cellStyle name="Note 3 2 2 3 3 2 2 3 4" xfId="19797"/>
    <cellStyle name="Note 3 2 2 3 3 2 2 4" xfId="11488"/>
    <cellStyle name="Note 3 2 2 3 3 2 2 4 2" xfId="25810"/>
    <cellStyle name="Note 3 2 2 3 3 2 2 5" xfId="15523"/>
    <cellStyle name="Note 3 2 2 3 3 2 3" xfId="2056"/>
    <cellStyle name="Note 3 2 2 3 3 2 3 2" xfId="7807"/>
    <cellStyle name="Note 3 2 2 3 3 2 3 2 2" xfId="10421"/>
    <cellStyle name="Note 3 2 2 3 3 2 3 2 2 2" xfId="16683"/>
    <cellStyle name="Note 3 2 2 3 3 2 3 2 2 2 2" xfId="30099"/>
    <cellStyle name="Note 3 2 2 3 3 2 3 2 2 3" xfId="21428"/>
    <cellStyle name="Note 3 2 2 3 3 2 3 2 3" xfId="14411"/>
    <cellStyle name="Note 3 2 2 3 3 2 3 2 3 2" xfId="28733"/>
    <cellStyle name="Note 3 2 2 3 3 2 3 2 4" xfId="20056"/>
    <cellStyle name="Note 3 2 2 3 3 2 3 3" xfId="13339"/>
    <cellStyle name="Note 3 2 2 3 3 2 3 3 2" xfId="27661"/>
    <cellStyle name="Note 3 2 2 3 3 2 3 4" xfId="18984"/>
    <cellStyle name="Note 3 2 2 3 3 2 4" xfId="5789"/>
    <cellStyle name="Note 3 2 2 3 3 2 4 2" xfId="12342"/>
    <cellStyle name="Note 3 2 2 3 3 2 4 2 2" xfId="26664"/>
    <cellStyle name="Note 3 2 2 3 3 2 4 3" xfId="17987"/>
    <cellStyle name="Note 3 2 2 3 3 2 5" xfId="4851"/>
    <cellStyle name="Note 3 2 2 3 3 2 5 2" xfId="23222"/>
    <cellStyle name="Note 3 2 2 3 3 2 6" xfId="6707"/>
    <cellStyle name="Note 3 2 2 3 3 3" xfId="2057"/>
    <cellStyle name="Note 3 2 2 3 3 3 2" xfId="2058"/>
    <cellStyle name="Note 3 2 2 3 3 3 2 2" xfId="6988"/>
    <cellStyle name="Note 3 2 2 3 3 3 2 2 2" xfId="13592"/>
    <cellStyle name="Note 3 2 2 3 3 3 2 2 2 2" xfId="27914"/>
    <cellStyle name="Note 3 2 2 3 3 3 2 2 3" xfId="19237"/>
    <cellStyle name="Note 3 2 2 3 3 3 2 3" xfId="7964"/>
    <cellStyle name="Note 3 2 2 3 3 3 2 3 2" xfId="10578"/>
    <cellStyle name="Note 3 2 2 3 3 3 2 3 2 2" xfId="16840"/>
    <cellStyle name="Note 3 2 2 3 3 3 2 3 2 2 2" xfId="30256"/>
    <cellStyle name="Note 3 2 2 3 3 3 2 3 2 3" xfId="21585"/>
    <cellStyle name="Note 3 2 2 3 3 3 2 3 3" xfId="14568"/>
    <cellStyle name="Note 3 2 2 3 3 3 2 3 3 2" xfId="28890"/>
    <cellStyle name="Note 3 2 2 3 3 3 2 3 4" xfId="20213"/>
    <cellStyle name="Note 3 2 2 3 3 3 2 4" xfId="11500"/>
    <cellStyle name="Note 3 2 2 3 3 3 2 4 2" xfId="25822"/>
    <cellStyle name="Note 3 2 2 3 3 3 2 5" xfId="6525"/>
    <cellStyle name="Note 3 2 2 3 3 3 3" xfId="2059"/>
    <cellStyle name="Note 3 2 2 3 3 3 3 2" xfId="7514"/>
    <cellStyle name="Note 3 2 2 3 3 3 3 2 2" xfId="10128"/>
    <cellStyle name="Note 3 2 2 3 3 3 3 2 2 2" xfId="16390"/>
    <cellStyle name="Note 3 2 2 3 3 3 3 2 2 2 2" xfId="29806"/>
    <cellStyle name="Note 3 2 2 3 3 3 3 2 2 3" xfId="21135"/>
    <cellStyle name="Note 3 2 2 3 3 3 3 2 3" xfId="14118"/>
    <cellStyle name="Note 3 2 2 3 3 3 3 2 3 2" xfId="28440"/>
    <cellStyle name="Note 3 2 2 3 3 3 3 2 4" xfId="19763"/>
    <cellStyle name="Note 3 2 2 3 3 3 3 3" xfId="12570"/>
    <cellStyle name="Note 3 2 2 3 3 3 3 3 2" xfId="26892"/>
    <cellStyle name="Note 3 2 2 3 3 3 3 4" xfId="18215"/>
    <cellStyle name="Note 3 2 2 3 3 3 4" xfId="5178"/>
    <cellStyle name="Note 3 2 2 3 3 3 4 2" xfId="11727"/>
    <cellStyle name="Note 3 2 2 3 3 3 4 2 2" xfId="26049"/>
    <cellStyle name="Note 3 2 2 3 3 3 4 3" xfId="3603"/>
    <cellStyle name="Note 3 2 2 3 3 3 5" xfId="3852"/>
    <cellStyle name="Note 3 2 2 3 3 3 5 2" xfId="22613"/>
    <cellStyle name="Note 3 2 2 3 3 3 6" xfId="5197"/>
    <cellStyle name="Note 3 2 2 3 3 4" xfId="2060"/>
    <cellStyle name="Note 3 2 2 3 3 4 2" xfId="6853"/>
    <cellStyle name="Note 3 2 2 3 3 4 2 2" xfId="13457"/>
    <cellStyle name="Note 3 2 2 3 3 4 2 2 2" xfId="27779"/>
    <cellStyle name="Note 3 2 2 3 3 4 2 3" xfId="19102"/>
    <cellStyle name="Note 3 2 2 3 3 4 3" xfId="7900"/>
    <cellStyle name="Note 3 2 2 3 3 4 3 2" xfId="10514"/>
    <cellStyle name="Note 3 2 2 3 3 4 3 2 2" xfId="16776"/>
    <cellStyle name="Note 3 2 2 3 3 4 3 2 2 2" xfId="30192"/>
    <cellStyle name="Note 3 2 2 3 3 4 3 2 3" xfId="21521"/>
    <cellStyle name="Note 3 2 2 3 3 4 3 3" xfId="14504"/>
    <cellStyle name="Note 3 2 2 3 3 4 3 3 2" xfId="28826"/>
    <cellStyle name="Note 3 2 2 3 3 4 3 4" xfId="20149"/>
    <cellStyle name="Note 3 2 2 3 3 4 4" xfId="2762"/>
    <cellStyle name="Note 3 2 2 3 3 4 4 2" xfId="22331"/>
    <cellStyle name="Note 3 2 2 3 3 4 5" xfId="17124"/>
    <cellStyle name="Note 3 2 2 3 3 5" xfId="2061"/>
    <cellStyle name="Note 3 2 2 3 3 5 2" xfId="3810"/>
    <cellStyle name="Note 3 2 2 3 3 5 2 2" xfId="9378"/>
    <cellStyle name="Note 3 2 2 3 3 5 2 2 2" xfId="15640"/>
    <cellStyle name="Note 3 2 2 3 3 5 2 2 2 2" xfId="29056"/>
    <cellStyle name="Note 3 2 2 3 3 5 2 2 3" xfId="20385"/>
    <cellStyle name="Note 3 2 2 3 3 5 2 3" xfId="6251"/>
    <cellStyle name="Note 3 2 2 3 3 5 2 3 2" xfId="23475"/>
    <cellStyle name="Note 3 2 2 3 3 5 2 4" xfId="4680"/>
    <cellStyle name="Note 3 2 2 3 3 5 3" xfId="12915"/>
    <cellStyle name="Note 3 2 2 3 3 5 3 2" xfId="27237"/>
    <cellStyle name="Note 3 2 2 3 3 5 4" xfId="18560"/>
    <cellStyle name="Note 3 2 2 3 3 6" xfId="5539"/>
    <cellStyle name="Note 3 2 2 3 3 6 2" xfId="12090"/>
    <cellStyle name="Note 3 2 2 3 3 6 2 2" xfId="26412"/>
    <cellStyle name="Note 3 2 2 3 3 6 3" xfId="17735"/>
    <cellStyle name="Note 3 2 2 3 3 7" xfId="3949"/>
    <cellStyle name="Note 3 2 2 3 3 7 2" xfId="22663"/>
    <cellStyle name="Note 3 2 2 3 3 8" xfId="6275"/>
    <cellStyle name="Note 3 2 2 3 4" xfId="2062"/>
    <cellStyle name="Note 3 2 2 3 4 2" xfId="2063"/>
    <cellStyle name="Note 3 2 2 3 4 2 2" xfId="2064"/>
    <cellStyle name="Note 3 2 2 3 4 2 2 2" xfId="5842"/>
    <cellStyle name="Note 3 2 2 3 4 2 2 2 2" xfId="12395"/>
    <cellStyle name="Note 3 2 2 3 4 2 2 2 2 2" xfId="26717"/>
    <cellStyle name="Note 3 2 2 3 4 2 2 2 3" xfId="18040"/>
    <cellStyle name="Note 3 2 2 3 4 2 2 3" xfId="7947"/>
    <cellStyle name="Note 3 2 2 3 4 2 2 3 2" xfId="10561"/>
    <cellStyle name="Note 3 2 2 3 4 2 2 3 2 2" xfId="16823"/>
    <cellStyle name="Note 3 2 2 3 4 2 2 3 2 2 2" xfId="30239"/>
    <cellStyle name="Note 3 2 2 3 4 2 2 3 2 3" xfId="21568"/>
    <cellStyle name="Note 3 2 2 3 4 2 2 3 3" xfId="14551"/>
    <cellStyle name="Note 3 2 2 3 4 2 2 3 3 2" xfId="28873"/>
    <cellStyle name="Note 3 2 2 3 4 2 2 3 4" xfId="20196"/>
    <cellStyle name="Note 3 2 2 3 4 2 2 4" xfId="6623"/>
    <cellStyle name="Note 3 2 2 3 4 2 2 4 2" xfId="23612"/>
    <cellStyle name="Note 3 2 2 3 4 2 2 5" xfId="14843"/>
    <cellStyle name="Note 3 2 2 3 4 2 3" xfId="2065"/>
    <cellStyle name="Note 3 2 2 3 4 2 3 2" xfId="5317"/>
    <cellStyle name="Note 3 2 2 3 4 2 3 2 2" xfId="9626"/>
    <cellStyle name="Note 3 2 2 3 4 2 3 2 2 2" xfId="15888"/>
    <cellStyle name="Note 3 2 2 3 4 2 3 2 2 2 2" xfId="29304"/>
    <cellStyle name="Note 3 2 2 3 4 2 3 2 2 3" xfId="20633"/>
    <cellStyle name="Note 3 2 2 3 4 2 3 2 3" xfId="11867"/>
    <cellStyle name="Note 3 2 2 3 4 2 3 2 3 2" xfId="26189"/>
    <cellStyle name="Note 3 2 2 3 4 2 3 2 4" xfId="17512"/>
    <cellStyle name="Note 3 2 2 3 4 2 3 3" xfId="13194"/>
    <cellStyle name="Note 3 2 2 3 4 2 3 3 2" xfId="27516"/>
    <cellStyle name="Note 3 2 2 3 4 2 3 4" xfId="18839"/>
    <cellStyle name="Note 3 2 2 3 4 2 4" xfId="5631"/>
    <cellStyle name="Note 3 2 2 3 4 2 4 2" xfId="12184"/>
    <cellStyle name="Note 3 2 2 3 4 2 4 2 2" xfId="26506"/>
    <cellStyle name="Note 3 2 2 3 4 2 4 3" xfId="17829"/>
    <cellStyle name="Note 3 2 2 3 4 2 5" xfId="4684"/>
    <cellStyle name="Note 3 2 2 3 4 2 5 2" xfId="23120"/>
    <cellStyle name="Note 3 2 2 3 4 2 6" xfId="2841"/>
    <cellStyle name="Note 3 2 2 3 4 3" xfId="2066"/>
    <cellStyle name="Note 3 2 2 3 4 3 2" xfId="2067"/>
    <cellStyle name="Note 3 2 2 3 4 3 2 2" xfId="5955"/>
    <cellStyle name="Note 3 2 2 3 4 3 2 2 2" xfId="12513"/>
    <cellStyle name="Note 3 2 2 3 4 3 2 2 2 2" xfId="26835"/>
    <cellStyle name="Note 3 2 2 3 4 3 2 2 3" xfId="18158"/>
    <cellStyle name="Note 3 2 2 3 4 3 2 3" xfId="7417"/>
    <cellStyle name="Note 3 2 2 3 4 3 2 3 2" xfId="10031"/>
    <cellStyle name="Note 3 2 2 3 4 3 2 3 2 2" xfId="16293"/>
    <cellStyle name="Note 3 2 2 3 4 3 2 3 2 2 2" xfId="29709"/>
    <cellStyle name="Note 3 2 2 3 4 3 2 3 2 3" xfId="21038"/>
    <cellStyle name="Note 3 2 2 3 4 3 2 3 3" xfId="14021"/>
    <cellStyle name="Note 3 2 2 3 4 3 2 3 3 2" xfId="28343"/>
    <cellStyle name="Note 3 2 2 3 4 3 2 3 4" xfId="19666"/>
    <cellStyle name="Note 3 2 2 3 4 3 2 4" xfId="6187"/>
    <cellStyle name="Note 3 2 2 3 4 3 2 4 2" xfId="23452"/>
    <cellStyle name="Note 3 2 2 3 4 3 2 5" xfId="15463"/>
    <cellStyle name="Note 3 2 2 3 4 3 3" xfId="2068"/>
    <cellStyle name="Note 3 2 2 3 4 3 3 2" xfId="8010"/>
    <cellStyle name="Note 3 2 2 3 4 3 3 2 2" xfId="10624"/>
    <cellStyle name="Note 3 2 2 3 4 3 3 2 2 2" xfId="16886"/>
    <cellStyle name="Note 3 2 2 3 4 3 3 2 2 2 2" xfId="30302"/>
    <cellStyle name="Note 3 2 2 3 4 3 3 2 2 3" xfId="21631"/>
    <cellStyle name="Note 3 2 2 3 4 3 3 2 3" xfId="14614"/>
    <cellStyle name="Note 3 2 2 3 4 3 3 2 3 2" xfId="28936"/>
    <cellStyle name="Note 3 2 2 3 4 3 3 2 4" xfId="20259"/>
    <cellStyle name="Note 3 2 2 3 4 3 3 3" xfId="13096"/>
    <cellStyle name="Note 3 2 2 3 4 3 3 3 2" xfId="27418"/>
    <cellStyle name="Note 3 2 2 3 4 3 3 4" xfId="18741"/>
    <cellStyle name="Note 3 2 2 3 4 3 4" xfId="5452"/>
    <cellStyle name="Note 3 2 2 3 4 3 4 2" xfId="12003"/>
    <cellStyle name="Note 3 2 2 3 4 3 4 2 2" xfId="26325"/>
    <cellStyle name="Note 3 2 2 3 4 3 4 3" xfId="17648"/>
    <cellStyle name="Note 3 2 2 3 4 3 5" xfId="4223"/>
    <cellStyle name="Note 3 2 2 3 4 3 5 2" xfId="22835"/>
    <cellStyle name="Note 3 2 2 3 4 3 6" xfId="14816"/>
    <cellStyle name="Note 3 2 2 3 4 4" xfId="2069"/>
    <cellStyle name="Note 3 2 2 3 4 4 2" xfId="6370"/>
    <cellStyle name="Note 3 2 2 3 4 4 2 2" xfId="12953"/>
    <cellStyle name="Note 3 2 2 3 4 4 2 2 2" xfId="27275"/>
    <cellStyle name="Note 3 2 2 3 4 4 2 3" xfId="18598"/>
    <cellStyle name="Note 3 2 2 3 4 4 3" xfId="7781"/>
    <cellStyle name="Note 3 2 2 3 4 4 3 2" xfId="10395"/>
    <cellStyle name="Note 3 2 2 3 4 4 3 2 2" xfId="16657"/>
    <cellStyle name="Note 3 2 2 3 4 4 3 2 2 2" xfId="30073"/>
    <cellStyle name="Note 3 2 2 3 4 4 3 2 3" xfId="21402"/>
    <cellStyle name="Note 3 2 2 3 4 4 3 3" xfId="14385"/>
    <cellStyle name="Note 3 2 2 3 4 4 3 3 2" xfId="28707"/>
    <cellStyle name="Note 3 2 2 3 4 4 3 4" xfId="20030"/>
    <cellStyle name="Note 3 2 2 3 4 4 4" xfId="6474"/>
    <cellStyle name="Note 3 2 2 3 4 4 4 2" xfId="23558"/>
    <cellStyle name="Note 3 2 2 3 4 4 5" xfId="14747"/>
    <cellStyle name="Note 3 2 2 3 4 5" xfId="2070"/>
    <cellStyle name="Note 3 2 2 3 4 5 2" xfId="7975"/>
    <cellStyle name="Note 3 2 2 3 4 5 2 2" xfId="10589"/>
    <cellStyle name="Note 3 2 2 3 4 5 2 2 2" xfId="16851"/>
    <cellStyle name="Note 3 2 2 3 4 5 2 2 2 2" xfId="30267"/>
    <cellStyle name="Note 3 2 2 3 4 5 2 2 3" xfId="21596"/>
    <cellStyle name="Note 3 2 2 3 4 5 2 3" xfId="14579"/>
    <cellStyle name="Note 3 2 2 3 4 5 2 3 2" xfId="28901"/>
    <cellStyle name="Note 3 2 2 3 4 5 2 4" xfId="20224"/>
    <cellStyle name="Note 3 2 2 3 4 5 3" xfId="12467"/>
    <cellStyle name="Note 3 2 2 3 4 5 3 2" xfId="26789"/>
    <cellStyle name="Note 3 2 2 3 4 5 4" xfId="18112"/>
    <cellStyle name="Note 3 2 2 3 4 6" xfId="5067"/>
    <cellStyle name="Note 3 2 2 3 4 6 2" xfId="11614"/>
    <cellStyle name="Note 3 2 2 3 4 6 2 2" xfId="25936"/>
    <cellStyle name="Note 3 2 2 3 4 6 3" xfId="14719"/>
    <cellStyle name="Note 3 2 2 3 4 7" xfId="3859"/>
    <cellStyle name="Note 3 2 2 3 4 7 2" xfId="22615"/>
    <cellStyle name="Note 3 2 2 3 4 8" xfId="15445"/>
    <cellStyle name="Note 3 2 2 3 5" xfId="2071"/>
    <cellStyle name="Note 3 2 2 3 5 2" xfId="2072"/>
    <cellStyle name="Note 3 2 2 3 5 2 2" xfId="2073"/>
    <cellStyle name="Note 3 2 2 3 5 2 2 2" xfId="7004"/>
    <cellStyle name="Note 3 2 2 3 5 2 2 2 2" xfId="13608"/>
    <cellStyle name="Note 3 2 2 3 5 2 2 2 2 2" xfId="27930"/>
    <cellStyle name="Note 3 2 2 3 5 2 2 2 3" xfId="19253"/>
    <cellStyle name="Note 3 2 2 3 5 2 2 3" xfId="7242"/>
    <cellStyle name="Note 3 2 2 3 5 2 2 3 2" xfId="9856"/>
    <cellStyle name="Note 3 2 2 3 5 2 2 3 2 2" xfId="16118"/>
    <cellStyle name="Note 3 2 2 3 5 2 2 3 2 2 2" xfId="29534"/>
    <cellStyle name="Note 3 2 2 3 5 2 2 3 2 3" xfId="20863"/>
    <cellStyle name="Note 3 2 2 3 5 2 2 3 3" xfId="13846"/>
    <cellStyle name="Note 3 2 2 3 5 2 2 3 3 2" xfId="28168"/>
    <cellStyle name="Note 3 2 2 3 5 2 2 3 4" xfId="19491"/>
    <cellStyle name="Note 3 2 2 3 5 2 2 4" xfId="11524"/>
    <cellStyle name="Note 3 2 2 3 5 2 2 4 2" xfId="25846"/>
    <cellStyle name="Note 3 2 2 3 5 2 2 5" xfId="15370"/>
    <cellStyle name="Note 3 2 2 3 5 2 3" xfId="2074"/>
    <cellStyle name="Note 3 2 2 3 5 2 3 2" xfId="7245"/>
    <cellStyle name="Note 3 2 2 3 5 2 3 2 2" xfId="9859"/>
    <cellStyle name="Note 3 2 2 3 5 2 3 2 2 2" xfId="16121"/>
    <cellStyle name="Note 3 2 2 3 5 2 3 2 2 2 2" xfId="29537"/>
    <cellStyle name="Note 3 2 2 3 5 2 3 2 2 3" xfId="20866"/>
    <cellStyle name="Note 3 2 2 3 5 2 3 2 3" xfId="13849"/>
    <cellStyle name="Note 3 2 2 3 5 2 3 2 3 2" xfId="28171"/>
    <cellStyle name="Note 3 2 2 3 5 2 3 2 4" xfId="19494"/>
    <cellStyle name="Note 3 2 2 3 5 2 3 3" xfId="12786"/>
    <cellStyle name="Note 3 2 2 3 5 2 3 3 2" xfId="27108"/>
    <cellStyle name="Note 3 2 2 3 5 2 3 4" xfId="18431"/>
    <cellStyle name="Note 3 2 2 3 5 2 4" xfId="3773"/>
    <cellStyle name="Note 3 2 2 3 5 2 4 2" xfId="4512"/>
    <cellStyle name="Note 3 2 2 3 5 2 4 2 2" xfId="22999"/>
    <cellStyle name="Note 3 2 2 3 5 2 4 3" xfId="14805"/>
    <cellStyle name="Note 3 2 2 3 5 2 5" xfId="3913"/>
    <cellStyle name="Note 3 2 2 3 5 2 5 2" xfId="22643"/>
    <cellStyle name="Note 3 2 2 3 5 2 6" xfId="2792"/>
    <cellStyle name="Note 3 2 2 3 5 3" xfId="2075"/>
    <cellStyle name="Note 3 2 2 3 5 3 2" xfId="6075"/>
    <cellStyle name="Note 3 2 2 3 5 3 2 2" xfId="12641"/>
    <cellStyle name="Note 3 2 2 3 5 3 2 2 2" xfId="26963"/>
    <cellStyle name="Note 3 2 2 3 5 3 2 3" xfId="18286"/>
    <cellStyle name="Note 3 2 2 3 5 3 3" xfId="4302"/>
    <cellStyle name="Note 3 2 2 3 5 3 3 2" xfId="9444"/>
    <cellStyle name="Note 3 2 2 3 5 3 3 2 2" xfId="15706"/>
    <cellStyle name="Note 3 2 2 3 5 3 3 2 2 2" xfId="29122"/>
    <cellStyle name="Note 3 2 2 3 5 3 3 2 3" xfId="20451"/>
    <cellStyle name="Note 3 2 2 3 5 3 3 3" xfId="4433"/>
    <cellStyle name="Note 3 2 2 3 5 3 3 3 2" xfId="22949"/>
    <cellStyle name="Note 3 2 2 3 5 3 3 4" xfId="6353"/>
    <cellStyle name="Note 3 2 2 3 5 3 4" xfId="6218"/>
    <cellStyle name="Note 3 2 2 3 5 3 4 2" xfId="23462"/>
    <cellStyle name="Note 3 2 2 3 5 3 5" xfId="6733"/>
    <cellStyle name="Note 3 2 2 3 5 4" xfId="2076"/>
    <cellStyle name="Note 3 2 2 3 5 4 2" xfId="5289"/>
    <cellStyle name="Note 3 2 2 3 5 4 2 2" xfId="9598"/>
    <cellStyle name="Note 3 2 2 3 5 4 2 2 2" xfId="15860"/>
    <cellStyle name="Note 3 2 2 3 5 4 2 2 2 2" xfId="29276"/>
    <cellStyle name="Note 3 2 2 3 5 4 2 2 3" xfId="20605"/>
    <cellStyle name="Note 3 2 2 3 5 4 2 3" xfId="11839"/>
    <cellStyle name="Note 3 2 2 3 5 4 2 3 2" xfId="26161"/>
    <cellStyle name="Note 3 2 2 3 5 4 2 4" xfId="17484"/>
    <cellStyle name="Note 3 2 2 3 5 4 3" xfId="12612"/>
    <cellStyle name="Note 3 2 2 3 5 4 3 2" xfId="26934"/>
    <cellStyle name="Note 3 2 2 3 5 4 4" xfId="18257"/>
    <cellStyle name="Note 3 2 2 3 5 5" xfId="3697"/>
    <cellStyle name="Note 3 2 2 3 5 5 2" xfId="3969"/>
    <cellStyle name="Note 3 2 2 3 5 5 2 2" xfId="22675"/>
    <cellStyle name="Note 3 2 2 3 5 5 3" xfId="15314"/>
    <cellStyle name="Note 3 2 2 3 5 6" xfId="6249"/>
    <cellStyle name="Note 3 2 2 3 5 6 2" xfId="23473"/>
    <cellStyle name="Note 3 2 2 3 5 7" xfId="3146"/>
    <cellStyle name="Note 3 2 2 3 6" xfId="2077"/>
    <cellStyle name="Note 3 2 2 3 6 2" xfId="2078"/>
    <cellStyle name="Note 3 2 2 3 6 2 2" xfId="5388"/>
    <cellStyle name="Note 3 2 2 3 6 2 2 2" xfId="11938"/>
    <cellStyle name="Note 3 2 2 3 6 2 2 2 2" xfId="26260"/>
    <cellStyle name="Note 3 2 2 3 6 2 2 3" xfId="17583"/>
    <cellStyle name="Note 3 2 2 3 6 2 3" xfId="7204"/>
    <cellStyle name="Note 3 2 2 3 6 2 3 2" xfId="9818"/>
    <cellStyle name="Note 3 2 2 3 6 2 3 2 2" xfId="16080"/>
    <cellStyle name="Note 3 2 2 3 6 2 3 2 2 2" xfId="29496"/>
    <cellStyle name="Note 3 2 2 3 6 2 3 2 3" xfId="20825"/>
    <cellStyle name="Note 3 2 2 3 6 2 3 3" xfId="13808"/>
    <cellStyle name="Note 3 2 2 3 6 2 3 3 2" xfId="28130"/>
    <cellStyle name="Note 3 2 2 3 6 2 3 4" xfId="19453"/>
    <cellStyle name="Note 3 2 2 3 6 2 4" xfId="4035"/>
    <cellStyle name="Note 3 2 2 3 6 2 4 2" xfId="22713"/>
    <cellStyle name="Note 3 2 2 3 6 2 5" xfId="17241"/>
    <cellStyle name="Note 3 2 2 3 6 3" xfId="2079"/>
    <cellStyle name="Note 3 2 2 3 6 3 2" xfId="7638"/>
    <cellStyle name="Note 3 2 2 3 6 3 2 2" xfId="10252"/>
    <cellStyle name="Note 3 2 2 3 6 3 2 2 2" xfId="16514"/>
    <cellStyle name="Note 3 2 2 3 6 3 2 2 2 2" xfId="29930"/>
    <cellStyle name="Note 3 2 2 3 6 3 2 2 3" xfId="21259"/>
    <cellStyle name="Note 3 2 2 3 6 3 2 3" xfId="14242"/>
    <cellStyle name="Note 3 2 2 3 6 3 2 3 2" xfId="28564"/>
    <cellStyle name="Note 3 2 2 3 6 3 2 4" xfId="19887"/>
    <cellStyle name="Note 3 2 2 3 6 3 3" xfId="13168"/>
    <cellStyle name="Note 3 2 2 3 6 3 3 2" xfId="27490"/>
    <cellStyle name="Note 3 2 2 3 6 3 4" xfId="18813"/>
    <cellStyle name="Note 3 2 2 3 6 4" xfId="5587"/>
    <cellStyle name="Note 3 2 2 3 6 4 2" xfId="12139"/>
    <cellStyle name="Note 3 2 2 3 6 4 2 2" xfId="26461"/>
    <cellStyle name="Note 3 2 2 3 6 4 3" xfId="17784"/>
    <cellStyle name="Note 3 2 2 3 6 5" xfId="4758"/>
    <cellStyle name="Note 3 2 2 3 6 5 2" xfId="23173"/>
    <cellStyle name="Note 3 2 2 3 6 6" xfId="4591"/>
    <cellStyle name="Note 3 2 2 3 7" xfId="2080"/>
    <cellStyle name="Note 3 2 2 3 7 2" xfId="6027"/>
    <cellStyle name="Note 3 2 2 3 7 2 2" xfId="12588"/>
    <cellStyle name="Note 3 2 2 3 7 2 2 2" xfId="26910"/>
    <cellStyle name="Note 3 2 2 3 7 2 3" xfId="18233"/>
    <cellStyle name="Note 3 2 2 3 7 3" xfId="7675"/>
    <cellStyle name="Note 3 2 2 3 7 3 2" xfId="10289"/>
    <cellStyle name="Note 3 2 2 3 7 3 2 2" xfId="16551"/>
    <cellStyle name="Note 3 2 2 3 7 3 2 2 2" xfId="29967"/>
    <cellStyle name="Note 3 2 2 3 7 3 2 3" xfId="21296"/>
    <cellStyle name="Note 3 2 2 3 7 3 3" xfId="14279"/>
    <cellStyle name="Note 3 2 2 3 7 3 3 2" xfId="28601"/>
    <cellStyle name="Note 3 2 2 3 7 3 4" xfId="19924"/>
    <cellStyle name="Note 3 2 2 3 7 4" xfId="4509"/>
    <cellStyle name="Note 3 2 2 3 7 4 2" xfId="22996"/>
    <cellStyle name="Note 3 2 2 3 7 5" xfId="15236"/>
    <cellStyle name="Note 3 2 2 3 8" xfId="2081"/>
    <cellStyle name="Note 3 2 2 3 8 2" xfId="4004"/>
    <cellStyle name="Note 3 2 2 3 8 2 2" xfId="9408"/>
    <cellStyle name="Note 3 2 2 3 8 2 2 2" xfId="15670"/>
    <cellStyle name="Note 3 2 2 3 8 2 2 2 2" xfId="29086"/>
    <cellStyle name="Note 3 2 2 3 8 2 2 3" xfId="20415"/>
    <cellStyle name="Note 3 2 2 3 8 2 3" xfId="4963"/>
    <cellStyle name="Note 3 2 2 3 8 2 3 2" xfId="23284"/>
    <cellStyle name="Note 3 2 2 3 8 2 4" xfId="3016"/>
    <cellStyle name="Note 3 2 2 3 8 3" xfId="12708"/>
    <cellStyle name="Note 3 2 2 3 8 3 2" xfId="27030"/>
    <cellStyle name="Note 3 2 2 3 8 4" xfId="18353"/>
    <cellStyle name="Note 3 2 2 3 9" xfId="5107"/>
    <cellStyle name="Note 3 2 2 3 9 2" xfId="11654"/>
    <cellStyle name="Note 3 2 2 3 9 2 2" xfId="25976"/>
    <cellStyle name="Note 3 2 2 3 9 3" xfId="4547"/>
    <cellStyle name="Note 3 2 2 4" xfId="2082"/>
    <cellStyle name="Note 3 2 2 4 2" xfId="2083"/>
    <cellStyle name="Note 3 2 2 4 2 2" xfId="2084"/>
    <cellStyle name="Note 3 2 2 4 2 2 2" xfId="6108"/>
    <cellStyle name="Note 3 2 2 4 2 2 2 2" xfId="12676"/>
    <cellStyle name="Note 3 2 2 4 2 2 2 2 2" xfId="26998"/>
    <cellStyle name="Note 3 2 2 4 2 2 2 3" xfId="18321"/>
    <cellStyle name="Note 3 2 2 4 2 2 3" xfId="7905"/>
    <cellStyle name="Note 3 2 2 4 2 2 3 2" xfId="10519"/>
    <cellStyle name="Note 3 2 2 4 2 2 3 2 2" xfId="16781"/>
    <cellStyle name="Note 3 2 2 4 2 2 3 2 2 2" xfId="30197"/>
    <cellStyle name="Note 3 2 2 4 2 2 3 2 3" xfId="21526"/>
    <cellStyle name="Note 3 2 2 4 2 2 3 3" xfId="14509"/>
    <cellStyle name="Note 3 2 2 4 2 2 3 3 2" xfId="28831"/>
    <cellStyle name="Note 3 2 2 4 2 2 3 4" xfId="20154"/>
    <cellStyle name="Note 3 2 2 4 2 2 4" xfId="4234"/>
    <cellStyle name="Note 3 2 2 4 2 2 4 2" xfId="22844"/>
    <cellStyle name="Note 3 2 2 4 2 2 5" xfId="15141"/>
    <cellStyle name="Note 3 2 2 4 2 3" xfId="2085"/>
    <cellStyle name="Note 3 2 2 4 2 3 2" xfId="7624"/>
    <cellStyle name="Note 3 2 2 4 2 3 2 2" xfId="10238"/>
    <cellStyle name="Note 3 2 2 4 2 3 2 2 2" xfId="16500"/>
    <cellStyle name="Note 3 2 2 4 2 3 2 2 2 2" xfId="29916"/>
    <cellStyle name="Note 3 2 2 4 2 3 2 2 3" xfId="21245"/>
    <cellStyle name="Note 3 2 2 4 2 3 2 3" xfId="14228"/>
    <cellStyle name="Note 3 2 2 4 2 3 2 3 2" xfId="28550"/>
    <cellStyle name="Note 3 2 2 4 2 3 2 4" xfId="19873"/>
    <cellStyle name="Note 3 2 2 4 2 3 3" xfId="13225"/>
    <cellStyle name="Note 3 2 2 4 2 3 3 2" xfId="27547"/>
    <cellStyle name="Note 3 2 2 4 2 3 4" xfId="18870"/>
    <cellStyle name="Note 3 2 2 4 2 4" xfId="5666"/>
    <cellStyle name="Note 3 2 2 4 2 4 2" xfId="12219"/>
    <cellStyle name="Note 3 2 2 4 2 4 2 2" xfId="26541"/>
    <cellStyle name="Note 3 2 2 4 2 4 3" xfId="17864"/>
    <cellStyle name="Note 3 2 2 4 2 5" xfId="6812"/>
    <cellStyle name="Note 3 2 2 4 2 5 2" xfId="23750"/>
    <cellStyle name="Note 3 2 2 4 2 6" xfId="17058"/>
    <cellStyle name="Note 3 2 2 4 3" xfId="2086"/>
    <cellStyle name="Note 3 2 2 4 3 2" xfId="2087"/>
    <cellStyle name="Note 3 2 2 4 3 2 2" xfId="6453"/>
    <cellStyle name="Note 3 2 2 4 3 2 2 2" xfId="13036"/>
    <cellStyle name="Note 3 2 2 4 3 2 2 2 2" xfId="27358"/>
    <cellStyle name="Note 3 2 2 4 3 2 2 3" xfId="18681"/>
    <cellStyle name="Note 3 2 2 4 3 2 3" xfId="7949"/>
    <cellStyle name="Note 3 2 2 4 3 2 3 2" xfId="10563"/>
    <cellStyle name="Note 3 2 2 4 3 2 3 2 2" xfId="16825"/>
    <cellStyle name="Note 3 2 2 4 3 2 3 2 2 2" xfId="30241"/>
    <cellStyle name="Note 3 2 2 4 3 2 3 2 3" xfId="21570"/>
    <cellStyle name="Note 3 2 2 4 3 2 3 3" xfId="14553"/>
    <cellStyle name="Note 3 2 2 4 3 2 3 3 2" xfId="28875"/>
    <cellStyle name="Note 3 2 2 4 3 2 3 4" xfId="20198"/>
    <cellStyle name="Note 3 2 2 4 3 2 4" xfId="3185"/>
    <cellStyle name="Note 3 2 2 4 3 2 4 2" xfId="22430"/>
    <cellStyle name="Note 3 2 2 4 3 2 5" xfId="14899"/>
    <cellStyle name="Note 3 2 2 4 3 3" xfId="2088"/>
    <cellStyle name="Note 3 2 2 4 3 3 2" xfId="7385"/>
    <cellStyle name="Note 3 2 2 4 3 3 2 2" xfId="9999"/>
    <cellStyle name="Note 3 2 2 4 3 3 2 2 2" xfId="16261"/>
    <cellStyle name="Note 3 2 2 4 3 3 2 2 2 2" xfId="29677"/>
    <cellStyle name="Note 3 2 2 4 3 3 2 2 3" xfId="21006"/>
    <cellStyle name="Note 3 2 2 4 3 3 2 3" xfId="13989"/>
    <cellStyle name="Note 3 2 2 4 3 3 2 3 2" xfId="28311"/>
    <cellStyle name="Note 3 2 2 4 3 3 2 4" xfId="19634"/>
    <cellStyle name="Note 3 2 2 4 3 3 3" xfId="12655"/>
    <cellStyle name="Note 3 2 2 4 3 3 3 2" xfId="26977"/>
    <cellStyle name="Note 3 2 2 4 3 3 4" xfId="18300"/>
    <cellStyle name="Note 3 2 2 4 3 4" xfId="3733"/>
    <cellStyle name="Note 3 2 2 4 3 4 2" xfId="4042"/>
    <cellStyle name="Note 3 2 2 4 3 4 2 2" xfId="22719"/>
    <cellStyle name="Note 3 2 2 4 3 4 3" xfId="17273"/>
    <cellStyle name="Note 3 2 2 4 3 5" xfId="4864"/>
    <cellStyle name="Note 3 2 2 4 3 5 2" xfId="23229"/>
    <cellStyle name="Note 3 2 2 4 3 6" xfId="17106"/>
    <cellStyle name="Note 3 2 2 4 4" xfId="2089"/>
    <cellStyle name="Note 3 2 2 4 4 2" xfId="7019"/>
    <cellStyle name="Note 3 2 2 4 4 2 2" xfId="13623"/>
    <cellStyle name="Note 3 2 2 4 4 2 2 2" xfId="27945"/>
    <cellStyle name="Note 3 2 2 4 4 2 3" xfId="19268"/>
    <cellStyle name="Note 3 2 2 4 4 3" xfId="7293"/>
    <cellStyle name="Note 3 2 2 4 4 3 2" xfId="9907"/>
    <cellStyle name="Note 3 2 2 4 4 3 2 2" xfId="16169"/>
    <cellStyle name="Note 3 2 2 4 4 3 2 2 2" xfId="29585"/>
    <cellStyle name="Note 3 2 2 4 4 3 2 3" xfId="20914"/>
    <cellStyle name="Note 3 2 2 4 4 3 3" xfId="13897"/>
    <cellStyle name="Note 3 2 2 4 4 3 3 2" xfId="28219"/>
    <cellStyle name="Note 3 2 2 4 4 3 4" xfId="19542"/>
    <cellStyle name="Note 3 2 2 4 4 4" xfId="11549"/>
    <cellStyle name="Note 3 2 2 4 4 4 2" xfId="25871"/>
    <cellStyle name="Note 3 2 2 4 4 5" xfId="14991"/>
    <cellStyle name="Note 3 2 2 4 5" xfId="2090"/>
    <cellStyle name="Note 3 2 2 4 5 2" xfId="4260"/>
    <cellStyle name="Note 3 2 2 4 5 2 2" xfId="9439"/>
    <cellStyle name="Note 3 2 2 4 5 2 2 2" xfId="15701"/>
    <cellStyle name="Note 3 2 2 4 5 2 2 2 2" xfId="29117"/>
    <cellStyle name="Note 3 2 2 4 5 2 2 3" xfId="20446"/>
    <cellStyle name="Note 3 2 2 4 5 2 3" xfId="4318"/>
    <cellStyle name="Note 3 2 2 4 5 2 3 2" xfId="22887"/>
    <cellStyle name="Note 3 2 2 4 5 2 4" xfId="17078"/>
    <cellStyle name="Note 3 2 2 4 5 3" xfId="12559"/>
    <cellStyle name="Note 3 2 2 4 5 3 2" xfId="26881"/>
    <cellStyle name="Note 3 2 2 4 5 4" xfId="18204"/>
    <cellStyle name="Note 3 2 2 4 6" xfId="5074"/>
    <cellStyle name="Note 3 2 2 4 6 2" xfId="11621"/>
    <cellStyle name="Note 3 2 2 4 6 2 2" xfId="25943"/>
    <cellStyle name="Note 3 2 2 4 6 3" xfId="14966"/>
    <cellStyle name="Note 3 2 2 4 7" xfId="4131"/>
    <cellStyle name="Note 3 2 2 4 7 2" xfId="22773"/>
    <cellStyle name="Note 3 2 2 4 8" xfId="6256"/>
    <cellStyle name="Note 3 2 2 5" xfId="2091"/>
    <cellStyle name="Note 3 2 2 5 2" xfId="2092"/>
    <cellStyle name="Note 3 2 2 5 2 2" xfId="2093"/>
    <cellStyle name="Note 3 2 2 5 2 2 2" xfId="6162"/>
    <cellStyle name="Note 3 2 2 5 2 2 2 2" xfId="12733"/>
    <cellStyle name="Note 3 2 2 5 2 2 2 2 2" xfId="27055"/>
    <cellStyle name="Note 3 2 2 5 2 2 2 3" xfId="18378"/>
    <cellStyle name="Note 3 2 2 5 2 2 3" xfId="7480"/>
    <cellStyle name="Note 3 2 2 5 2 2 3 2" xfId="10094"/>
    <cellStyle name="Note 3 2 2 5 2 2 3 2 2" xfId="16356"/>
    <cellStyle name="Note 3 2 2 5 2 2 3 2 2 2" xfId="29772"/>
    <cellStyle name="Note 3 2 2 5 2 2 3 2 3" xfId="21101"/>
    <cellStyle name="Note 3 2 2 5 2 2 3 3" xfId="14084"/>
    <cellStyle name="Note 3 2 2 5 2 2 3 3 2" xfId="28406"/>
    <cellStyle name="Note 3 2 2 5 2 2 3 4" xfId="19729"/>
    <cellStyle name="Note 3 2 2 5 2 2 4" xfId="6649"/>
    <cellStyle name="Note 3 2 2 5 2 2 4 2" xfId="23627"/>
    <cellStyle name="Note 3 2 2 5 2 2 5" xfId="14793"/>
    <cellStyle name="Note 3 2 2 5 2 3" xfId="2094"/>
    <cellStyle name="Note 3 2 2 5 2 3 2" xfId="3918"/>
    <cellStyle name="Note 3 2 2 5 2 3 2 2" xfId="9396"/>
    <cellStyle name="Note 3 2 2 5 2 3 2 2 2" xfId="15658"/>
    <cellStyle name="Note 3 2 2 5 2 3 2 2 2 2" xfId="29074"/>
    <cellStyle name="Note 3 2 2 5 2 3 2 2 3" xfId="20403"/>
    <cellStyle name="Note 3 2 2 5 2 3 2 3" xfId="5951"/>
    <cellStyle name="Note 3 2 2 5 2 3 2 3 2" xfId="23381"/>
    <cellStyle name="Note 3 2 2 5 2 3 2 4" xfId="17233"/>
    <cellStyle name="Note 3 2 2 5 2 3 3" xfId="13055"/>
    <cellStyle name="Note 3 2 2 5 2 3 3 2" xfId="27377"/>
    <cellStyle name="Note 3 2 2 5 2 3 4" xfId="18700"/>
    <cellStyle name="Note 3 2 2 5 2 4" xfId="5384"/>
    <cellStyle name="Note 3 2 2 5 2 4 2" xfId="11934"/>
    <cellStyle name="Note 3 2 2 5 2 4 2 2" xfId="26256"/>
    <cellStyle name="Note 3 2 2 5 2 4 3" xfId="17579"/>
    <cellStyle name="Note 3 2 2 5 2 5" xfId="4429"/>
    <cellStyle name="Note 3 2 2 5 2 5 2" xfId="22946"/>
    <cellStyle name="Note 3 2 2 5 2 6" xfId="17347"/>
    <cellStyle name="Note 3 2 2 5 3" xfId="2095"/>
    <cellStyle name="Note 3 2 2 5 3 2" xfId="2096"/>
    <cellStyle name="Note 3 2 2 5 3 2 2" xfId="5957"/>
    <cellStyle name="Note 3 2 2 5 3 2 2 2" xfId="12515"/>
    <cellStyle name="Note 3 2 2 5 3 2 2 2 2" xfId="26837"/>
    <cellStyle name="Note 3 2 2 5 3 2 2 3" xfId="18160"/>
    <cellStyle name="Note 3 2 2 5 3 2 3" xfId="4838"/>
    <cellStyle name="Note 3 2 2 5 3 2 3 2" xfId="9498"/>
    <cellStyle name="Note 3 2 2 5 3 2 3 2 2" xfId="15760"/>
    <cellStyle name="Note 3 2 2 5 3 2 3 2 2 2" xfId="29176"/>
    <cellStyle name="Note 3 2 2 5 3 2 3 2 3" xfId="20505"/>
    <cellStyle name="Note 3 2 2 5 3 2 3 3" xfId="11371"/>
    <cellStyle name="Note 3 2 2 5 3 2 3 3 2" xfId="25693"/>
    <cellStyle name="Note 3 2 2 5 3 2 3 4" xfId="15468"/>
    <cellStyle name="Note 3 2 2 5 3 2 4" xfId="4578"/>
    <cellStyle name="Note 3 2 2 5 3 2 4 2" xfId="23044"/>
    <cellStyle name="Note 3 2 2 5 3 2 5" xfId="15435"/>
    <cellStyle name="Note 3 2 2 5 3 3" xfId="2097"/>
    <cellStyle name="Note 3 2 2 5 3 3 2" xfId="7742"/>
    <cellStyle name="Note 3 2 2 5 3 3 2 2" xfId="10356"/>
    <cellStyle name="Note 3 2 2 5 3 3 2 2 2" xfId="16618"/>
    <cellStyle name="Note 3 2 2 5 3 3 2 2 2 2" xfId="30034"/>
    <cellStyle name="Note 3 2 2 5 3 3 2 2 3" xfId="21363"/>
    <cellStyle name="Note 3 2 2 5 3 3 2 3" xfId="14346"/>
    <cellStyle name="Note 3 2 2 5 3 3 2 3 2" xfId="28668"/>
    <cellStyle name="Note 3 2 2 5 3 3 2 4" xfId="19991"/>
    <cellStyle name="Note 3 2 2 5 3 3 3" xfId="13187"/>
    <cellStyle name="Note 3 2 2 5 3 3 3 2" xfId="27509"/>
    <cellStyle name="Note 3 2 2 5 3 3 4" xfId="18832"/>
    <cellStyle name="Note 3 2 2 5 3 4" xfId="5623"/>
    <cellStyle name="Note 3 2 2 5 3 4 2" xfId="12176"/>
    <cellStyle name="Note 3 2 2 5 3 4 2 2" xfId="26498"/>
    <cellStyle name="Note 3 2 2 5 3 4 3" xfId="17821"/>
    <cellStyle name="Note 3 2 2 5 3 5" xfId="6631"/>
    <cellStyle name="Note 3 2 2 5 3 5 2" xfId="23616"/>
    <cellStyle name="Note 3 2 2 5 3 6" xfId="6824"/>
    <cellStyle name="Note 3 2 2 5 4" xfId="2098"/>
    <cellStyle name="Note 3 2 2 5 4 2" xfId="6956"/>
    <cellStyle name="Note 3 2 2 5 4 2 2" xfId="13560"/>
    <cellStyle name="Note 3 2 2 5 4 2 2 2" xfId="27882"/>
    <cellStyle name="Note 3 2 2 5 4 2 3" xfId="19205"/>
    <cellStyle name="Note 3 2 2 5 4 3" xfId="7117"/>
    <cellStyle name="Note 3 2 2 5 4 3 2" xfId="9731"/>
    <cellStyle name="Note 3 2 2 5 4 3 2 2" xfId="15993"/>
    <cellStyle name="Note 3 2 2 5 4 3 2 2 2" xfId="29409"/>
    <cellStyle name="Note 3 2 2 5 4 3 2 3" xfId="20738"/>
    <cellStyle name="Note 3 2 2 5 4 3 3" xfId="13721"/>
    <cellStyle name="Note 3 2 2 5 4 3 3 2" xfId="28043"/>
    <cellStyle name="Note 3 2 2 5 4 3 4" xfId="19366"/>
    <cellStyle name="Note 3 2 2 5 4 4" xfId="11455"/>
    <cellStyle name="Note 3 2 2 5 4 4 2" xfId="25777"/>
    <cellStyle name="Note 3 2 2 5 4 5" xfId="6320"/>
    <cellStyle name="Note 3 2 2 5 5" xfId="2099"/>
    <cellStyle name="Note 3 2 2 5 5 2" xfId="4030"/>
    <cellStyle name="Note 3 2 2 5 5 2 2" xfId="9416"/>
    <cellStyle name="Note 3 2 2 5 5 2 2 2" xfId="15678"/>
    <cellStyle name="Note 3 2 2 5 5 2 2 2 2" xfId="29094"/>
    <cellStyle name="Note 3 2 2 5 5 2 2 3" xfId="20423"/>
    <cellStyle name="Note 3 2 2 5 5 2 3" xfId="6450"/>
    <cellStyle name="Note 3 2 2 5 5 2 3 2" xfId="23549"/>
    <cellStyle name="Note 3 2 2 5 5 2 4" xfId="6813"/>
    <cellStyle name="Note 3 2 2 5 5 3" xfId="11657"/>
    <cellStyle name="Note 3 2 2 5 5 3 2" xfId="25979"/>
    <cellStyle name="Note 3 2 2 5 5 4" xfId="4502"/>
    <cellStyle name="Note 3 2 2 5 6" xfId="5081"/>
    <cellStyle name="Note 3 2 2 5 6 2" xfId="11628"/>
    <cellStyle name="Note 3 2 2 5 6 2 2" xfId="25950"/>
    <cellStyle name="Note 3 2 2 5 6 3" xfId="15080"/>
    <cellStyle name="Note 3 2 2 5 7" xfId="6240"/>
    <cellStyle name="Note 3 2 2 5 7 2" xfId="23466"/>
    <cellStyle name="Note 3 2 2 5 8" xfId="17166"/>
    <cellStyle name="Note 3 2 2 6" xfId="2100"/>
    <cellStyle name="Note 3 2 2 6 2" xfId="2101"/>
    <cellStyle name="Note 3 2 2 6 2 2" xfId="2102"/>
    <cellStyle name="Note 3 2 2 6 2 2 2" xfId="6224"/>
    <cellStyle name="Note 3 2 2 6 2 2 2 2" xfId="12799"/>
    <cellStyle name="Note 3 2 2 6 2 2 2 2 2" xfId="27121"/>
    <cellStyle name="Note 3 2 2 6 2 2 2 3" xfId="18444"/>
    <cellStyle name="Note 3 2 2 6 2 2 3" xfId="3926"/>
    <cellStyle name="Note 3 2 2 6 2 2 3 2" xfId="9398"/>
    <cellStyle name="Note 3 2 2 6 2 2 3 2 2" xfId="15660"/>
    <cellStyle name="Note 3 2 2 6 2 2 3 2 2 2" xfId="29076"/>
    <cellStyle name="Note 3 2 2 6 2 2 3 2 3" xfId="20405"/>
    <cellStyle name="Note 3 2 2 6 2 2 3 3" xfId="3701"/>
    <cellStyle name="Note 3 2 2 6 2 2 3 3 2" xfId="22536"/>
    <cellStyle name="Note 3 2 2 6 2 2 3 4" xfId="15079"/>
    <cellStyle name="Note 3 2 2 6 2 2 4" xfId="6238"/>
    <cellStyle name="Note 3 2 2 6 2 2 4 2" xfId="23464"/>
    <cellStyle name="Note 3 2 2 6 2 2 5" xfId="3903"/>
    <cellStyle name="Note 3 2 2 6 2 3" xfId="2103"/>
    <cellStyle name="Note 3 2 2 6 2 3 2" xfId="7475"/>
    <cellStyle name="Note 3 2 2 6 2 3 2 2" xfId="10089"/>
    <cellStyle name="Note 3 2 2 6 2 3 2 2 2" xfId="16351"/>
    <cellStyle name="Note 3 2 2 6 2 3 2 2 2 2" xfId="29767"/>
    <cellStyle name="Note 3 2 2 6 2 3 2 2 3" xfId="21096"/>
    <cellStyle name="Note 3 2 2 6 2 3 2 3" xfId="14079"/>
    <cellStyle name="Note 3 2 2 6 2 3 2 3 2" xfId="28401"/>
    <cellStyle name="Note 3 2 2 6 2 3 2 4" xfId="19724"/>
    <cellStyle name="Note 3 2 2 6 2 3 3" xfId="13290"/>
    <cellStyle name="Note 3 2 2 6 2 3 3 2" xfId="27612"/>
    <cellStyle name="Note 3 2 2 6 2 3 4" xfId="18935"/>
    <cellStyle name="Note 3 2 2 6 2 4" xfId="5740"/>
    <cellStyle name="Note 3 2 2 6 2 4 2" xfId="12293"/>
    <cellStyle name="Note 3 2 2 6 2 4 2 2" xfId="26615"/>
    <cellStyle name="Note 3 2 2 6 2 4 3" xfId="17938"/>
    <cellStyle name="Note 3 2 2 6 2 5" xfId="3189"/>
    <cellStyle name="Note 3 2 2 6 2 5 2" xfId="22432"/>
    <cellStyle name="Note 3 2 2 6 2 6" xfId="6814"/>
    <cellStyle name="Note 3 2 2 6 3" xfId="2104"/>
    <cellStyle name="Note 3 2 2 6 3 2" xfId="2105"/>
    <cellStyle name="Note 3 2 2 6 3 2 2" xfId="6549"/>
    <cellStyle name="Note 3 2 2 6 3 2 2 2" xfId="13137"/>
    <cellStyle name="Note 3 2 2 6 3 2 2 2 2" xfId="27459"/>
    <cellStyle name="Note 3 2 2 6 3 2 2 3" xfId="18782"/>
    <cellStyle name="Note 3 2 2 6 3 2 3" xfId="3916"/>
    <cellStyle name="Note 3 2 2 6 3 2 3 2" xfId="9395"/>
    <cellStyle name="Note 3 2 2 6 3 2 3 2 2" xfId="15657"/>
    <cellStyle name="Note 3 2 2 6 3 2 3 2 2 2" xfId="29073"/>
    <cellStyle name="Note 3 2 2 6 3 2 3 2 3" xfId="20402"/>
    <cellStyle name="Note 3 2 2 6 3 2 3 3" xfId="4059"/>
    <cellStyle name="Note 3 2 2 6 3 2 3 3 2" xfId="22734"/>
    <cellStyle name="Note 3 2 2 6 3 2 3 4" xfId="3957"/>
    <cellStyle name="Note 3 2 2 6 3 2 4" xfId="3836"/>
    <cellStyle name="Note 3 2 2 6 3 2 4 2" xfId="22605"/>
    <cellStyle name="Note 3 2 2 6 3 2 5" xfId="4464"/>
    <cellStyle name="Note 3 2 2 6 3 3" xfId="2106"/>
    <cellStyle name="Note 3 2 2 6 3 3 2" xfId="3288"/>
    <cellStyle name="Note 3 2 2 6 3 3 2 2" xfId="9055"/>
    <cellStyle name="Note 3 2 2 6 3 3 2 2 2" xfId="15394"/>
    <cellStyle name="Note 3 2 2 6 3 3 2 2 2 2" xfId="29013"/>
    <cellStyle name="Note 3 2 2 6 3 3 2 2 3" xfId="20340"/>
    <cellStyle name="Note 3 2 2 6 3 3 2 3" xfId="6741"/>
    <cellStyle name="Note 3 2 2 6 3 3 2 3 2" xfId="23690"/>
    <cellStyle name="Note 3 2 2 6 3 3 2 4" xfId="17317"/>
    <cellStyle name="Note 3 2 2 6 3 3 3" xfId="13257"/>
    <cellStyle name="Note 3 2 2 6 3 3 3 2" xfId="27579"/>
    <cellStyle name="Note 3 2 2 6 3 3 4" xfId="18902"/>
    <cellStyle name="Note 3 2 2 6 3 4" xfId="5702"/>
    <cellStyle name="Note 3 2 2 6 3 4 2" xfId="12255"/>
    <cellStyle name="Note 3 2 2 6 3 4 2 2" xfId="26577"/>
    <cellStyle name="Note 3 2 2 6 3 4 3" xfId="17900"/>
    <cellStyle name="Note 3 2 2 6 3 5" xfId="6730"/>
    <cellStyle name="Note 3 2 2 6 3 5 2" xfId="23683"/>
    <cellStyle name="Note 3 2 2 6 3 6" xfId="15061"/>
    <cellStyle name="Note 3 2 2 6 4" xfId="2107"/>
    <cellStyle name="Note 3 2 2 6 4 2" xfId="6235"/>
    <cellStyle name="Note 3 2 2 6 4 2 2" xfId="12810"/>
    <cellStyle name="Note 3 2 2 6 4 2 2 2" xfId="27132"/>
    <cellStyle name="Note 3 2 2 6 4 2 3" xfId="18455"/>
    <cellStyle name="Note 3 2 2 6 4 3" xfId="7487"/>
    <cellStyle name="Note 3 2 2 6 4 3 2" xfId="10101"/>
    <cellStyle name="Note 3 2 2 6 4 3 2 2" xfId="16363"/>
    <cellStyle name="Note 3 2 2 6 4 3 2 2 2" xfId="29779"/>
    <cellStyle name="Note 3 2 2 6 4 3 2 3" xfId="21108"/>
    <cellStyle name="Note 3 2 2 6 4 3 3" xfId="14091"/>
    <cellStyle name="Note 3 2 2 6 4 3 3 2" xfId="28413"/>
    <cellStyle name="Note 3 2 2 6 4 3 4" xfId="19736"/>
    <cellStyle name="Note 3 2 2 6 4 4" xfId="4142"/>
    <cellStyle name="Note 3 2 2 6 4 4 2" xfId="22780"/>
    <cellStyle name="Note 3 2 2 6 4 5" xfId="14993"/>
    <cellStyle name="Note 3 2 2 6 5" xfId="2108"/>
    <cellStyle name="Note 3 2 2 6 5 2" xfId="7916"/>
    <cellStyle name="Note 3 2 2 6 5 2 2" xfId="10530"/>
    <cellStyle name="Note 3 2 2 6 5 2 2 2" xfId="16792"/>
    <cellStyle name="Note 3 2 2 6 5 2 2 2 2" xfId="30208"/>
    <cellStyle name="Note 3 2 2 6 5 2 2 3" xfId="21537"/>
    <cellStyle name="Note 3 2 2 6 5 2 3" xfId="14520"/>
    <cellStyle name="Note 3 2 2 6 5 2 3 2" xfId="28842"/>
    <cellStyle name="Note 3 2 2 6 5 2 4" xfId="20165"/>
    <cellStyle name="Note 3 2 2 6 5 3" xfId="12865"/>
    <cellStyle name="Note 3 2 2 6 5 3 2" xfId="27187"/>
    <cellStyle name="Note 3 2 2 6 5 4" xfId="18510"/>
    <cellStyle name="Note 3 2 2 6 6" xfId="5477"/>
    <cellStyle name="Note 3 2 2 6 6 2" xfId="12028"/>
    <cellStyle name="Note 3 2 2 6 6 2 2" xfId="26350"/>
    <cellStyle name="Note 3 2 2 6 6 3" xfId="17673"/>
    <cellStyle name="Note 3 2 2 6 7" xfId="3465"/>
    <cellStyle name="Note 3 2 2 6 7 2" xfId="22469"/>
    <cellStyle name="Note 3 2 2 6 8" xfId="14968"/>
    <cellStyle name="Note 3 2 2 7" xfId="2109"/>
    <cellStyle name="Note 3 2 2 7 2" xfId="2110"/>
    <cellStyle name="Note 3 2 2 7 2 2" xfId="2111"/>
    <cellStyle name="Note 3 2 2 7 2 2 2" xfId="6498"/>
    <cellStyle name="Note 3 2 2 7 2 2 2 2" xfId="13084"/>
    <cellStyle name="Note 3 2 2 7 2 2 2 2 2" xfId="27406"/>
    <cellStyle name="Note 3 2 2 7 2 2 2 3" xfId="18729"/>
    <cellStyle name="Note 3 2 2 7 2 2 3" xfId="7211"/>
    <cellStyle name="Note 3 2 2 7 2 2 3 2" xfId="9825"/>
    <cellStyle name="Note 3 2 2 7 2 2 3 2 2" xfId="16087"/>
    <cellStyle name="Note 3 2 2 7 2 2 3 2 2 2" xfId="29503"/>
    <cellStyle name="Note 3 2 2 7 2 2 3 2 3" xfId="20832"/>
    <cellStyle name="Note 3 2 2 7 2 2 3 3" xfId="13815"/>
    <cellStyle name="Note 3 2 2 7 2 2 3 3 2" xfId="28137"/>
    <cellStyle name="Note 3 2 2 7 2 2 3 4" xfId="19460"/>
    <cellStyle name="Note 3 2 2 7 2 2 4" xfId="6576"/>
    <cellStyle name="Note 3 2 2 7 2 2 4 2" xfId="23586"/>
    <cellStyle name="Note 3 2 2 7 2 2 5" xfId="14934"/>
    <cellStyle name="Note 3 2 2 7 2 3" xfId="2112"/>
    <cellStyle name="Note 3 2 2 7 2 3 2" xfId="7313"/>
    <cellStyle name="Note 3 2 2 7 2 3 2 2" xfId="9927"/>
    <cellStyle name="Note 3 2 2 7 2 3 2 2 2" xfId="16189"/>
    <cellStyle name="Note 3 2 2 7 2 3 2 2 2 2" xfId="29605"/>
    <cellStyle name="Note 3 2 2 7 2 3 2 2 3" xfId="20934"/>
    <cellStyle name="Note 3 2 2 7 2 3 2 3" xfId="13917"/>
    <cellStyle name="Note 3 2 2 7 2 3 2 3 2" xfId="28239"/>
    <cellStyle name="Note 3 2 2 7 2 3 2 4" xfId="19562"/>
    <cellStyle name="Note 3 2 2 7 2 3 3" xfId="12569"/>
    <cellStyle name="Note 3 2 2 7 2 3 3 2" xfId="26891"/>
    <cellStyle name="Note 3 2 2 7 2 3 4" xfId="18214"/>
    <cellStyle name="Note 3 2 2 7 2 4" xfId="5156"/>
    <cellStyle name="Note 3 2 2 7 2 4 2" xfId="11705"/>
    <cellStyle name="Note 3 2 2 7 2 4 2 2" xfId="26027"/>
    <cellStyle name="Note 3 2 2 7 2 4 3" xfId="3829"/>
    <cellStyle name="Note 3 2 2 7 2 5" xfId="6726"/>
    <cellStyle name="Note 3 2 2 7 2 5 2" xfId="23680"/>
    <cellStyle name="Note 3 2 2 7 2 6" xfId="6647"/>
    <cellStyle name="Note 3 2 2 7 3" xfId="2113"/>
    <cellStyle name="Note 3 2 2 7 3 2" xfId="5953"/>
    <cellStyle name="Note 3 2 2 7 3 2 2" xfId="12511"/>
    <cellStyle name="Note 3 2 2 7 3 2 2 2" xfId="26833"/>
    <cellStyle name="Note 3 2 2 7 3 2 3" xfId="18156"/>
    <cellStyle name="Note 3 2 2 7 3 3" xfId="7288"/>
    <cellStyle name="Note 3 2 2 7 3 3 2" xfId="9902"/>
    <cellStyle name="Note 3 2 2 7 3 3 2 2" xfId="16164"/>
    <cellStyle name="Note 3 2 2 7 3 3 2 2 2" xfId="29580"/>
    <cellStyle name="Note 3 2 2 7 3 3 2 3" xfId="20909"/>
    <cellStyle name="Note 3 2 2 7 3 3 3" xfId="13892"/>
    <cellStyle name="Note 3 2 2 7 3 3 3 2" xfId="28214"/>
    <cellStyle name="Note 3 2 2 7 3 3 4" xfId="19537"/>
    <cellStyle name="Note 3 2 2 7 3 4" xfId="4691"/>
    <cellStyle name="Note 3 2 2 7 3 4 2" xfId="23127"/>
    <cellStyle name="Note 3 2 2 7 3 5" xfId="14969"/>
    <cellStyle name="Note 3 2 2 7 4" xfId="2114"/>
    <cellStyle name="Note 3 2 2 7 4 2" xfId="5333"/>
    <cellStyle name="Note 3 2 2 7 4 2 2" xfId="9642"/>
    <cellStyle name="Note 3 2 2 7 4 2 2 2" xfId="15904"/>
    <cellStyle name="Note 3 2 2 7 4 2 2 2 2" xfId="29320"/>
    <cellStyle name="Note 3 2 2 7 4 2 2 3" xfId="20649"/>
    <cellStyle name="Note 3 2 2 7 4 2 3" xfId="11883"/>
    <cellStyle name="Note 3 2 2 7 4 2 3 2" xfId="26205"/>
    <cellStyle name="Note 3 2 2 7 4 2 4" xfId="17528"/>
    <cellStyle name="Note 3 2 2 7 4 3" xfId="12937"/>
    <cellStyle name="Note 3 2 2 7 4 3 2" xfId="27259"/>
    <cellStyle name="Note 3 2 2 7 4 4" xfId="18582"/>
    <cellStyle name="Note 3 2 2 7 5" xfId="5561"/>
    <cellStyle name="Note 3 2 2 7 5 2" xfId="12112"/>
    <cellStyle name="Note 3 2 2 7 5 2 2" xfId="26434"/>
    <cellStyle name="Note 3 2 2 7 5 3" xfId="17757"/>
    <cellStyle name="Note 3 2 2 7 6" xfId="3897"/>
    <cellStyle name="Note 3 2 2 7 6 2" xfId="22633"/>
    <cellStyle name="Note 3 2 2 7 7" xfId="17240"/>
    <cellStyle name="Note 3 2 2 8" xfId="2115"/>
    <cellStyle name="Note 3 2 2 8 2" xfId="2116"/>
    <cellStyle name="Note 3 2 2 8 2 2" xfId="6281"/>
    <cellStyle name="Note 3 2 2 8 2 2 2" xfId="12863"/>
    <cellStyle name="Note 3 2 2 8 2 2 2 2" xfId="27185"/>
    <cellStyle name="Note 3 2 2 8 2 2 3" xfId="18508"/>
    <cellStyle name="Note 3 2 2 8 2 3" xfId="3601"/>
    <cellStyle name="Note 3 2 2 8 2 3 2" xfId="9343"/>
    <cellStyle name="Note 3 2 2 8 2 3 2 2" xfId="15605"/>
    <cellStyle name="Note 3 2 2 8 2 3 2 2 2" xfId="29021"/>
    <cellStyle name="Note 3 2 2 8 2 3 2 3" xfId="20350"/>
    <cellStyle name="Note 3 2 2 8 2 3 3" xfId="6776"/>
    <cellStyle name="Note 3 2 2 8 2 3 3 2" xfId="23722"/>
    <cellStyle name="Note 3 2 2 8 2 3 4" xfId="15487"/>
    <cellStyle name="Note 3 2 2 8 2 4" xfId="5935"/>
    <cellStyle name="Note 3 2 2 8 2 4 2" xfId="23377"/>
    <cellStyle name="Note 3 2 2 8 2 5" xfId="3691"/>
    <cellStyle name="Note 3 2 2 8 3" xfId="2117"/>
    <cellStyle name="Note 3 2 2 8 3 2" xfId="7392"/>
    <cellStyle name="Note 3 2 2 8 3 2 2" xfId="10006"/>
    <cellStyle name="Note 3 2 2 8 3 2 2 2" xfId="16268"/>
    <cellStyle name="Note 3 2 2 8 3 2 2 2 2" xfId="29684"/>
    <cellStyle name="Note 3 2 2 8 3 2 2 3" xfId="21013"/>
    <cellStyle name="Note 3 2 2 8 3 2 3" xfId="13996"/>
    <cellStyle name="Note 3 2 2 8 3 2 3 2" xfId="28318"/>
    <cellStyle name="Note 3 2 2 8 3 2 4" xfId="19641"/>
    <cellStyle name="Note 3 2 2 8 3 3" xfId="3757"/>
    <cellStyle name="Note 3 2 2 8 3 3 2" xfId="22564"/>
    <cellStyle name="Note 3 2 2 8 3 4" xfId="14766"/>
    <cellStyle name="Note 3 2 2 8 4" xfId="5216"/>
    <cellStyle name="Note 3 2 2 8 4 2" xfId="11765"/>
    <cellStyle name="Note 3 2 2 8 4 2 2" xfId="26087"/>
    <cellStyle name="Note 3 2 2 8 4 3" xfId="17410"/>
    <cellStyle name="Note 3 2 2 8 5" xfId="6460"/>
    <cellStyle name="Note 3 2 2 8 5 2" xfId="23555"/>
    <cellStyle name="Note 3 2 2 8 6" xfId="14962"/>
    <cellStyle name="Note 3 2 2 9" xfId="2118"/>
    <cellStyle name="Note 3 2 2 9 2" xfId="5967"/>
    <cellStyle name="Note 3 2 2 9 2 2" xfId="12525"/>
    <cellStyle name="Note 3 2 2 9 2 2 2" xfId="26847"/>
    <cellStyle name="Note 3 2 2 9 2 3" xfId="18170"/>
    <cellStyle name="Note 3 2 2 9 3" xfId="7710"/>
    <cellStyle name="Note 3 2 2 9 3 2" xfId="10324"/>
    <cellStyle name="Note 3 2 2 9 3 2 2" xfId="16586"/>
    <cellStyle name="Note 3 2 2 9 3 2 2 2" xfId="30002"/>
    <cellStyle name="Note 3 2 2 9 3 2 3" xfId="21331"/>
    <cellStyle name="Note 3 2 2 9 3 3" xfId="14314"/>
    <cellStyle name="Note 3 2 2 9 3 3 2" xfId="28636"/>
    <cellStyle name="Note 3 2 2 9 3 4" xfId="19959"/>
    <cellStyle name="Note 3 2 2 9 4" xfId="4892"/>
    <cellStyle name="Note 3 2 2 9 4 2" xfId="23250"/>
    <cellStyle name="Note 3 2 2 9 5" xfId="15033"/>
    <cellStyle name="Note 3 2 3" xfId="2119"/>
    <cellStyle name="Note 3 2 3 2" xfId="6842"/>
    <cellStyle name="Note 3 2 3 2 2" xfId="13446"/>
    <cellStyle name="Note 3 2 3 2 2 2" xfId="27768"/>
    <cellStyle name="Note 3 2 3 2 3" xfId="19091"/>
    <cellStyle name="Note 3 2 3 3" xfId="5293"/>
    <cellStyle name="Note 3 2 3 3 2" xfId="9602"/>
    <cellStyle name="Note 3 2 3 3 2 2" xfId="15864"/>
    <cellStyle name="Note 3 2 3 3 2 2 2" xfId="29280"/>
    <cellStyle name="Note 3 2 3 3 2 3" xfId="20609"/>
    <cellStyle name="Note 3 2 3 3 3" xfId="11843"/>
    <cellStyle name="Note 3 2 3 3 3 2" xfId="26165"/>
    <cellStyle name="Note 3 2 3 3 4" xfId="17488"/>
    <cellStyle name="Note 3 2 3 4" xfId="8699"/>
    <cellStyle name="Note 3 2 3 4 2" xfId="24386"/>
    <cellStyle name="Note 3 2 3 5" xfId="3674"/>
    <cellStyle name="Note 3 2 4" xfId="4401"/>
    <cellStyle name="Note 3 2 4 2" xfId="6711"/>
    <cellStyle name="Note 3 2 4 2 2" xfId="23666"/>
    <cellStyle name="Note 3 2 4 3" xfId="15328"/>
    <cellStyle name="Note 3 2 5" xfId="4140"/>
    <cellStyle name="Note 3 2 5 2" xfId="22778"/>
    <cellStyle name="Note 3 2 6" xfId="15318"/>
    <cellStyle name="Note 3 2 7" xfId="21694"/>
    <cellStyle name="Note 3 2 8" xfId="20325"/>
    <cellStyle name="Note 3 3" xfId="2120"/>
    <cellStyle name="Note 3 3 10" xfId="2121"/>
    <cellStyle name="Note 3 3 10 2" xfId="7224"/>
    <cellStyle name="Note 3 3 10 2 2" xfId="9838"/>
    <cellStyle name="Note 3 3 10 2 2 2" xfId="16100"/>
    <cellStyle name="Note 3 3 10 2 2 2 2" xfId="29516"/>
    <cellStyle name="Note 3 3 10 2 2 3" xfId="20845"/>
    <cellStyle name="Note 3 3 10 2 3" xfId="13828"/>
    <cellStyle name="Note 3 3 10 2 3 2" xfId="28150"/>
    <cellStyle name="Note 3 3 10 2 4" xfId="19473"/>
    <cellStyle name="Note 3 3 10 3" xfId="11755"/>
    <cellStyle name="Note 3 3 10 3 2" xfId="26077"/>
    <cellStyle name="Note 3 3 10 4" xfId="17400"/>
    <cellStyle name="Note 3 3 11" xfId="4975"/>
    <cellStyle name="Note 3 3 11 2" xfId="11518"/>
    <cellStyle name="Note 3 3 11 2 2" xfId="25840"/>
    <cellStyle name="Note 3 3 11 3" xfId="16978"/>
    <cellStyle name="Note 3 3 12" xfId="4425"/>
    <cellStyle name="Note 3 3 12 2" xfId="22943"/>
    <cellStyle name="Note 3 3 13" xfId="15267"/>
    <cellStyle name="Note 3 3 2" xfId="2122"/>
    <cellStyle name="Note 3 3 2 10" xfId="5214"/>
    <cellStyle name="Note 3 3 2 10 2" xfId="11763"/>
    <cellStyle name="Note 3 3 2 10 2 2" xfId="26085"/>
    <cellStyle name="Note 3 3 2 10 3" xfId="17408"/>
    <cellStyle name="Note 3 3 2 11" xfId="4759"/>
    <cellStyle name="Note 3 3 2 11 2" xfId="23174"/>
    <cellStyle name="Note 3 3 2 12" xfId="3629"/>
    <cellStyle name="Note 3 3 2 2" xfId="2123"/>
    <cellStyle name="Note 3 3 2 2 10" xfId="3800"/>
    <cellStyle name="Note 3 3 2 2 10 2" xfId="22588"/>
    <cellStyle name="Note 3 3 2 2 11" xfId="15084"/>
    <cellStyle name="Note 3 3 2 2 2" xfId="2124"/>
    <cellStyle name="Note 3 3 2 2 2 2" xfId="2125"/>
    <cellStyle name="Note 3 3 2 2 2 2 2" xfId="2126"/>
    <cellStyle name="Note 3 3 2 2 2 2 2 2" xfId="6871"/>
    <cellStyle name="Note 3 3 2 2 2 2 2 2 2" xfId="13475"/>
    <cellStyle name="Note 3 3 2 2 2 2 2 2 2 2" xfId="27797"/>
    <cellStyle name="Note 3 3 2 2 2 2 2 2 3" xfId="19120"/>
    <cellStyle name="Note 3 3 2 2 2 2 2 3" xfId="7901"/>
    <cellStyle name="Note 3 3 2 2 2 2 2 3 2" xfId="10515"/>
    <cellStyle name="Note 3 3 2 2 2 2 2 3 2 2" xfId="16777"/>
    <cellStyle name="Note 3 3 2 2 2 2 2 3 2 2 2" xfId="30193"/>
    <cellStyle name="Note 3 3 2 2 2 2 2 3 2 3" xfId="21522"/>
    <cellStyle name="Note 3 3 2 2 2 2 2 3 3" xfId="14505"/>
    <cellStyle name="Note 3 3 2 2 2 2 2 3 3 2" xfId="28827"/>
    <cellStyle name="Note 3 3 2 2 2 2 2 3 4" xfId="20150"/>
    <cellStyle name="Note 3 3 2 2 2 2 2 4" xfId="11336"/>
    <cellStyle name="Note 3 3 2 2 2 2 2 4 2" xfId="25658"/>
    <cellStyle name="Note 3 3 2 2 2 2 2 5" xfId="17368"/>
    <cellStyle name="Note 3 3 2 2 2 2 3" xfId="2127"/>
    <cellStyle name="Note 3 3 2 2 2 2 3 2" xfId="5282"/>
    <cellStyle name="Note 3 3 2 2 2 2 3 2 2" xfId="9591"/>
    <cellStyle name="Note 3 3 2 2 2 2 3 2 2 2" xfId="15853"/>
    <cellStyle name="Note 3 3 2 2 2 2 3 2 2 2 2" xfId="29269"/>
    <cellStyle name="Note 3 3 2 2 2 2 3 2 2 3" xfId="20598"/>
    <cellStyle name="Note 3 3 2 2 2 2 3 2 3" xfId="11832"/>
    <cellStyle name="Note 3 3 2 2 2 2 3 2 3 2" xfId="26154"/>
    <cellStyle name="Note 3 3 2 2 2 2 3 2 4" xfId="17477"/>
    <cellStyle name="Note 3 3 2 2 2 2 3 3" xfId="13229"/>
    <cellStyle name="Note 3 3 2 2 2 2 3 3 2" xfId="27551"/>
    <cellStyle name="Note 3 3 2 2 2 2 3 4" xfId="18874"/>
    <cellStyle name="Note 3 3 2 2 2 2 4" xfId="5670"/>
    <cellStyle name="Note 3 3 2 2 2 2 4 2" xfId="12223"/>
    <cellStyle name="Note 3 3 2 2 2 2 4 2 2" xfId="26545"/>
    <cellStyle name="Note 3 3 2 2 2 2 4 3" xfId="17868"/>
    <cellStyle name="Note 3 3 2 2 2 2 5" xfId="3828"/>
    <cellStyle name="Note 3 3 2 2 2 2 5 2" xfId="22601"/>
    <cellStyle name="Note 3 3 2 2 2 2 6" xfId="14992"/>
    <cellStyle name="Note 3 3 2 2 2 3" xfId="2128"/>
    <cellStyle name="Note 3 3 2 2 2 3 2" xfId="2129"/>
    <cellStyle name="Note 3 3 2 2 2 3 2 2" xfId="6267"/>
    <cellStyle name="Note 3 3 2 2 2 3 2 2 2" xfId="12846"/>
    <cellStyle name="Note 3 3 2 2 2 3 2 2 2 2" xfId="27168"/>
    <cellStyle name="Note 3 3 2 2 2 3 2 2 3" xfId="18491"/>
    <cellStyle name="Note 3 3 2 2 2 3 2 3" xfId="8000"/>
    <cellStyle name="Note 3 3 2 2 2 3 2 3 2" xfId="10614"/>
    <cellStyle name="Note 3 3 2 2 2 3 2 3 2 2" xfId="16876"/>
    <cellStyle name="Note 3 3 2 2 2 3 2 3 2 2 2" xfId="30292"/>
    <cellStyle name="Note 3 3 2 2 2 3 2 3 2 3" xfId="21621"/>
    <cellStyle name="Note 3 3 2 2 2 3 2 3 3" xfId="14604"/>
    <cellStyle name="Note 3 3 2 2 2 3 2 3 3 2" xfId="28926"/>
    <cellStyle name="Note 3 3 2 2 2 3 2 3 4" xfId="20249"/>
    <cellStyle name="Note 3 3 2 2 2 3 2 4" xfId="4032"/>
    <cellStyle name="Note 3 3 2 2 2 3 2 4 2" xfId="22710"/>
    <cellStyle name="Note 3 3 2 2 2 3 2 5" xfId="14986"/>
    <cellStyle name="Note 3 3 2 2 2 3 3" xfId="2130"/>
    <cellStyle name="Note 3 3 2 2 2 3 3 2" xfId="7456"/>
    <cellStyle name="Note 3 3 2 2 2 3 3 2 2" xfId="10070"/>
    <cellStyle name="Note 3 3 2 2 2 3 3 2 2 2" xfId="16332"/>
    <cellStyle name="Note 3 3 2 2 2 3 3 2 2 2 2" xfId="29748"/>
    <cellStyle name="Note 3 3 2 2 2 3 3 2 2 3" xfId="21077"/>
    <cellStyle name="Note 3 3 2 2 2 3 3 2 3" xfId="14060"/>
    <cellStyle name="Note 3 3 2 2 2 3 3 2 3 2" xfId="28382"/>
    <cellStyle name="Note 3 3 2 2 2 3 3 2 4" xfId="19705"/>
    <cellStyle name="Note 3 3 2 2 2 3 3 3" xfId="13080"/>
    <cellStyle name="Note 3 3 2 2 2 3 3 3 2" xfId="27402"/>
    <cellStyle name="Note 3 3 2 2 2 3 3 4" xfId="18725"/>
    <cellStyle name="Note 3 3 2 2 2 3 4" xfId="5430"/>
    <cellStyle name="Note 3 3 2 2 2 3 4 2" xfId="11981"/>
    <cellStyle name="Note 3 3 2 2 2 3 4 2 2" xfId="26303"/>
    <cellStyle name="Note 3 3 2 2 2 3 4 3" xfId="17626"/>
    <cellStyle name="Note 3 3 2 2 2 3 5" xfId="5872"/>
    <cellStyle name="Note 3 3 2 2 2 3 5 2" xfId="23367"/>
    <cellStyle name="Note 3 3 2 2 2 3 6" xfId="17002"/>
    <cellStyle name="Note 3 3 2 2 2 4" xfId="2131"/>
    <cellStyle name="Note 3 3 2 2 2 4 2" xfId="5963"/>
    <cellStyle name="Note 3 3 2 2 2 4 2 2" xfId="12521"/>
    <cellStyle name="Note 3 3 2 2 2 4 2 2 2" xfId="26843"/>
    <cellStyle name="Note 3 3 2 2 2 4 2 3" xfId="18166"/>
    <cellStyle name="Note 3 3 2 2 2 4 3" xfId="7569"/>
    <cellStyle name="Note 3 3 2 2 2 4 3 2" xfId="10183"/>
    <cellStyle name="Note 3 3 2 2 2 4 3 2 2" xfId="16445"/>
    <cellStyle name="Note 3 3 2 2 2 4 3 2 2 2" xfId="29861"/>
    <cellStyle name="Note 3 3 2 2 2 4 3 2 3" xfId="21190"/>
    <cellStyle name="Note 3 3 2 2 2 4 3 3" xfId="14173"/>
    <cellStyle name="Note 3 3 2 2 2 4 3 3 2" xfId="28495"/>
    <cellStyle name="Note 3 3 2 2 2 4 3 4" xfId="19818"/>
    <cellStyle name="Note 3 3 2 2 2 4 4" xfId="4026"/>
    <cellStyle name="Note 3 3 2 2 2 4 4 2" xfId="22708"/>
    <cellStyle name="Note 3 3 2 2 2 4 5" xfId="14783"/>
    <cellStyle name="Note 3 3 2 2 2 5" xfId="2132"/>
    <cellStyle name="Note 3 3 2 2 2 5 2" xfId="8042"/>
    <cellStyle name="Note 3 3 2 2 2 5 2 2" xfId="10656"/>
    <cellStyle name="Note 3 3 2 2 2 5 2 2 2" xfId="16918"/>
    <cellStyle name="Note 3 3 2 2 2 5 2 2 2 2" xfId="30334"/>
    <cellStyle name="Note 3 3 2 2 2 5 2 2 3" xfId="21663"/>
    <cellStyle name="Note 3 3 2 2 2 5 2 3" xfId="14646"/>
    <cellStyle name="Note 3 3 2 2 2 5 2 3 2" xfId="28968"/>
    <cellStyle name="Note 3 3 2 2 2 5 2 4" xfId="20291"/>
    <cellStyle name="Note 3 3 2 2 2 5 3" xfId="12606"/>
    <cellStyle name="Note 3 3 2 2 2 5 3 2" xfId="26928"/>
    <cellStyle name="Note 3 3 2 2 2 5 4" xfId="18251"/>
    <cellStyle name="Note 3 3 2 2 2 6" xfId="5144"/>
    <cellStyle name="Note 3 3 2 2 2 6 2" xfId="11693"/>
    <cellStyle name="Note 3 3 2 2 2 6 2 2" xfId="26015"/>
    <cellStyle name="Note 3 3 2 2 2 6 3" xfId="4611"/>
    <cellStyle name="Note 3 3 2 2 2 7" xfId="4065"/>
    <cellStyle name="Note 3 3 2 2 2 7 2" xfId="22737"/>
    <cellStyle name="Note 3 3 2 2 2 8" xfId="4566"/>
    <cellStyle name="Note 3 3 2 2 3" xfId="2133"/>
    <cellStyle name="Note 3 3 2 2 3 2" xfId="2134"/>
    <cellStyle name="Note 3 3 2 2 3 2 2" xfId="2135"/>
    <cellStyle name="Note 3 3 2 2 3 2 2 2" xfId="5928"/>
    <cellStyle name="Note 3 3 2 2 3 2 2 2 2" xfId="12483"/>
    <cellStyle name="Note 3 3 2 2 3 2 2 2 2 2" xfId="26805"/>
    <cellStyle name="Note 3 3 2 2 3 2 2 2 3" xfId="18128"/>
    <cellStyle name="Note 3 3 2 2 3 2 2 3" xfId="7672"/>
    <cellStyle name="Note 3 3 2 2 3 2 2 3 2" xfId="10286"/>
    <cellStyle name="Note 3 3 2 2 3 2 2 3 2 2" xfId="16548"/>
    <cellStyle name="Note 3 3 2 2 3 2 2 3 2 2 2" xfId="29964"/>
    <cellStyle name="Note 3 3 2 2 3 2 2 3 2 3" xfId="21293"/>
    <cellStyle name="Note 3 3 2 2 3 2 2 3 3" xfId="14276"/>
    <cellStyle name="Note 3 3 2 2 3 2 2 3 3 2" xfId="28598"/>
    <cellStyle name="Note 3 3 2 2 3 2 2 3 4" xfId="19921"/>
    <cellStyle name="Note 3 3 2 2 3 2 2 4" xfId="3881"/>
    <cellStyle name="Note 3 3 2 2 3 2 2 4 2" xfId="22624"/>
    <cellStyle name="Note 3 3 2 2 3 2 2 5" xfId="17263"/>
    <cellStyle name="Note 3 3 2 2 3 2 3" xfId="2136"/>
    <cellStyle name="Note 3 3 2 2 3 2 3 2" xfId="5012"/>
    <cellStyle name="Note 3 3 2 2 3 2 3 2 2" xfId="9542"/>
    <cellStyle name="Note 3 3 2 2 3 2 3 2 2 2" xfId="15804"/>
    <cellStyle name="Note 3 3 2 2 3 2 3 2 2 2 2" xfId="29220"/>
    <cellStyle name="Note 3 3 2 2 3 2 3 2 2 3" xfId="20549"/>
    <cellStyle name="Note 3 3 2 2 3 2 3 2 3" xfId="11557"/>
    <cellStyle name="Note 3 3 2 2 3 2 3 2 3 2" xfId="25879"/>
    <cellStyle name="Note 3 3 2 2 3 2 3 2 4" xfId="5964"/>
    <cellStyle name="Note 3 3 2 2 3 2 3 3" xfId="13285"/>
    <cellStyle name="Note 3 3 2 2 3 2 3 3 2" xfId="27607"/>
    <cellStyle name="Note 3 3 2 2 3 2 3 4" xfId="18930"/>
    <cellStyle name="Note 3 3 2 2 3 2 4" xfId="5735"/>
    <cellStyle name="Note 3 3 2 2 3 2 4 2" xfId="12288"/>
    <cellStyle name="Note 3 3 2 2 3 2 4 2 2" xfId="26610"/>
    <cellStyle name="Note 3 3 2 2 3 2 4 3" xfId="17933"/>
    <cellStyle name="Note 3 3 2 2 3 2 5" xfId="4195"/>
    <cellStyle name="Note 3 3 2 2 3 2 5 2" xfId="22815"/>
    <cellStyle name="Note 3 3 2 2 3 2 6" xfId="16990"/>
    <cellStyle name="Note 3 3 2 2 3 3" xfId="2137"/>
    <cellStyle name="Note 3 3 2 2 3 3 2" xfId="2138"/>
    <cellStyle name="Note 3 3 2 2 3 3 2 2" xfId="6417"/>
    <cellStyle name="Note 3 3 2 2 3 3 2 2 2" xfId="13000"/>
    <cellStyle name="Note 3 3 2 2 3 3 2 2 2 2" xfId="27322"/>
    <cellStyle name="Note 3 3 2 2 3 3 2 2 3" xfId="18645"/>
    <cellStyle name="Note 3 3 2 2 3 3 2 3" xfId="7537"/>
    <cellStyle name="Note 3 3 2 2 3 3 2 3 2" xfId="10151"/>
    <cellStyle name="Note 3 3 2 2 3 3 2 3 2 2" xfId="16413"/>
    <cellStyle name="Note 3 3 2 2 3 3 2 3 2 2 2" xfId="29829"/>
    <cellStyle name="Note 3 3 2 2 3 3 2 3 2 3" xfId="21158"/>
    <cellStyle name="Note 3 3 2 2 3 3 2 3 3" xfId="14141"/>
    <cellStyle name="Note 3 3 2 2 3 3 2 3 3 2" xfId="28463"/>
    <cellStyle name="Note 3 3 2 2 3 3 2 3 4" xfId="19786"/>
    <cellStyle name="Note 3 3 2 2 3 3 2 4" xfId="3705"/>
    <cellStyle name="Note 3 3 2 2 3 3 2 4 2" xfId="22537"/>
    <cellStyle name="Note 3 3 2 2 3 3 2 5" xfId="14785"/>
    <cellStyle name="Note 3 3 2 2 3 3 3" xfId="2139"/>
    <cellStyle name="Note 3 3 2 2 3 3 3 2" xfId="7579"/>
    <cellStyle name="Note 3 3 2 2 3 3 3 2 2" xfId="10193"/>
    <cellStyle name="Note 3 3 2 2 3 3 3 2 2 2" xfId="16455"/>
    <cellStyle name="Note 3 3 2 2 3 3 3 2 2 2 2" xfId="29871"/>
    <cellStyle name="Note 3 3 2 2 3 3 3 2 2 3" xfId="21200"/>
    <cellStyle name="Note 3 3 2 2 3 3 3 2 3" xfId="14183"/>
    <cellStyle name="Note 3 3 2 2 3 3 3 2 3 2" xfId="28505"/>
    <cellStyle name="Note 3 3 2 2 3 3 3 2 4" xfId="19828"/>
    <cellStyle name="Note 3 3 2 2 3 3 3 3" xfId="13361"/>
    <cellStyle name="Note 3 3 2 2 3 3 3 3 2" xfId="27683"/>
    <cellStyle name="Note 3 3 2 2 3 3 3 4" xfId="19006"/>
    <cellStyle name="Note 3 3 2 2 3 3 4" xfId="5811"/>
    <cellStyle name="Note 3 3 2 2 3 3 4 2" xfId="12364"/>
    <cellStyle name="Note 3 3 2 2 3 3 4 2 2" xfId="26686"/>
    <cellStyle name="Note 3 3 2 2 3 3 4 3" xfId="18009"/>
    <cellStyle name="Note 3 3 2 2 3 3 5" xfId="4535"/>
    <cellStyle name="Note 3 3 2 2 3 3 5 2" xfId="23015"/>
    <cellStyle name="Note 3 3 2 2 3 3 6" xfId="17153"/>
    <cellStyle name="Note 3 3 2 2 3 4" xfId="2140"/>
    <cellStyle name="Note 3 3 2 2 3 4 2" xfId="6201"/>
    <cellStyle name="Note 3 3 2 2 3 4 2 2" xfId="12774"/>
    <cellStyle name="Note 3 3 2 2 3 4 2 2 2" xfId="27096"/>
    <cellStyle name="Note 3 3 2 2 3 4 2 3" xfId="18419"/>
    <cellStyle name="Note 3 3 2 2 3 4 3" xfId="7328"/>
    <cellStyle name="Note 3 3 2 2 3 4 3 2" xfId="9942"/>
    <cellStyle name="Note 3 3 2 2 3 4 3 2 2" xfId="16204"/>
    <cellStyle name="Note 3 3 2 2 3 4 3 2 2 2" xfId="29620"/>
    <cellStyle name="Note 3 3 2 2 3 4 3 2 3" xfId="20949"/>
    <cellStyle name="Note 3 3 2 2 3 4 3 3" xfId="13932"/>
    <cellStyle name="Note 3 3 2 2 3 4 3 3 2" xfId="28254"/>
    <cellStyle name="Note 3 3 2 2 3 4 3 4" xfId="19577"/>
    <cellStyle name="Note 3 3 2 2 3 4 4" xfId="6061"/>
    <cellStyle name="Note 3 3 2 2 3 4 4 2" xfId="23403"/>
    <cellStyle name="Note 3 3 2 2 3 4 5" xfId="4682"/>
    <cellStyle name="Note 3 3 2 2 3 5" xfId="2141"/>
    <cellStyle name="Note 3 3 2 2 3 5 2" xfId="7786"/>
    <cellStyle name="Note 3 3 2 2 3 5 2 2" xfId="10400"/>
    <cellStyle name="Note 3 3 2 2 3 5 2 2 2" xfId="16662"/>
    <cellStyle name="Note 3 3 2 2 3 5 2 2 2 2" xfId="30078"/>
    <cellStyle name="Note 3 3 2 2 3 5 2 2 3" xfId="21407"/>
    <cellStyle name="Note 3 3 2 2 3 5 2 3" xfId="14390"/>
    <cellStyle name="Note 3 3 2 2 3 5 2 3 2" xfId="28712"/>
    <cellStyle name="Note 3 3 2 2 3 5 2 4" xfId="20035"/>
    <cellStyle name="Note 3 3 2 2 3 5 3" xfId="12853"/>
    <cellStyle name="Note 3 3 2 2 3 5 3 2" xfId="27175"/>
    <cellStyle name="Note 3 3 2 2 3 5 4" xfId="18498"/>
    <cellStyle name="Note 3 3 2 2 3 6" xfId="5454"/>
    <cellStyle name="Note 3 3 2 2 3 6 2" xfId="12005"/>
    <cellStyle name="Note 3 3 2 2 3 6 2 2" xfId="26327"/>
    <cellStyle name="Note 3 3 2 2 3 6 3" xfId="17650"/>
    <cellStyle name="Note 3 3 2 2 3 7" xfId="3941"/>
    <cellStyle name="Note 3 3 2 2 3 7 2" xfId="22657"/>
    <cellStyle name="Note 3 3 2 2 3 8" xfId="15104"/>
    <cellStyle name="Note 3 3 2 2 4" xfId="2142"/>
    <cellStyle name="Note 3 3 2 2 4 2" xfId="2143"/>
    <cellStyle name="Note 3 3 2 2 4 2 2" xfId="2144"/>
    <cellStyle name="Note 3 3 2 2 4 2 2 2" xfId="6847"/>
    <cellStyle name="Note 3 3 2 2 4 2 2 2 2" xfId="13451"/>
    <cellStyle name="Note 3 3 2 2 4 2 2 2 2 2" xfId="27773"/>
    <cellStyle name="Note 3 3 2 2 4 2 2 2 3" xfId="19096"/>
    <cellStyle name="Note 3 3 2 2 4 2 2 3" xfId="7840"/>
    <cellStyle name="Note 3 3 2 2 4 2 2 3 2" xfId="10454"/>
    <cellStyle name="Note 3 3 2 2 4 2 2 3 2 2" xfId="16716"/>
    <cellStyle name="Note 3 3 2 2 4 2 2 3 2 2 2" xfId="30132"/>
    <cellStyle name="Note 3 3 2 2 4 2 2 3 2 3" xfId="21461"/>
    <cellStyle name="Note 3 3 2 2 4 2 2 3 3" xfId="14444"/>
    <cellStyle name="Note 3 3 2 2 4 2 2 3 3 2" xfId="28766"/>
    <cellStyle name="Note 3 3 2 2 4 2 2 3 4" xfId="20089"/>
    <cellStyle name="Note 3 3 2 2 4 2 2 4" xfId="2808"/>
    <cellStyle name="Note 3 3 2 2 4 2 2 4 2" xfId="22371"/>
    <cellStyle name="Note 3 3 2 2 4 2 2 5" xfId="14734"/>
    <cellStyle name="Note 3 3 2 2 4 2 3" xfId="2145"/>
    <cellStyle name="Note 3 3 2 2 4 2 3 2" xfId="7924"/>
    <cellStyle name="Note 3 3 2 2 4 2 3 2 2" xfId="10538"/>
    <cellStyle name="Note 3 3 2 2 4 2 3 2 2 2" xfId="16800"/>
    <cellStyle name="Note 3 3 2 2 4 2 3 2 2 2 2" xfId="30216"/>
    <cellStyle name="Note 3 3 2 2 4 2 3 2 2 3" xfId="21545"/>
    <cellStyle name="Note 3 3 2 2 4 2 3 2 3" xfId="14528"/>
    <cellStyle name="Note 3 3 2 2 4 2 3 2 3 2" xfId="28850"/>
    <cellStyle name="Note 3 3 2 2 4 2 3 2 4" xfId="20173"/>
    <cellStyle name="Note 3 3 2 2 4 2 3 3" xfId="13230"/>
    <cellStyle name="Note 3 3 2 2 4 2 3 3 2" xfId="27552"/>
    <cellStyle name="Note 3 3 2 2 4 2 3 4" xfId="18875"/>
    <cellStyle name="Note 3 3 2 2 4 2 4" xfId="5671"/>
    <cellStyle name="Note 3 3 2 2 4 2 4 2" xfId="12224"/>
    <cellStyle name="Note 3 3 2 2 4 2 4 2 2" xfId="26546"/>
    <cellStyle name="Note 3 3 2 2 4 2 4 3" xfId="17869"/>
    <cellStyle name="Note 3 3 2 2 4 2 5" xfId="6806"/>
    <cellStyle name="Note 3 3 2 2 4 2 5 2" xfId="23745"/>
    <cellStyle name="Note 3 3 2 2 4 2 6" xfId="4421"/>
    <cellStyle name="Note 3 3 2 2 4 3" xfId="2146"/>
    <cellStyle name="Note 3 3 2 2 4 3 2" xfId="2147"/>
    <cellStyle name="Note 3 3 2 2 4 3 2 2" xfId="6565"/>
    <cellStyle name="Note 3 3 2 2 4 3 2 2 2" xfId="13153"/>
    <cellStyle name="Note 3 3 2 2 4 3 2 2 2 2" xfId="27475"/>
    <cellStyle name="Note 3 3 2 2 4 3 2 2 3" xfId="18798"/>
    <cellStyle name="Note 3 3 2 2 4 3 2 3" xfId="4998"/>
    <cellStyle name="Note 3 3 2 2 4 3 2 3 2" xfId="9535"/>
    <cellStyle name="Note 3 3 2 2 4 3 2 3 2 2" xfId="15797"/>
    <cellStyle name="Note 3 3 2 2 4 3 2 3 2 2 2" xfId="29213"/>
    <cellStyle name="Note 3 3 2 2 4 3 2 3 2 3" xfId="20542"/>
    <cellStyle name="Note 3 3 2 2 4 3 2 3 3" xfId="11541"/>
    <cellStyle name="Note 3 3 2 2 4 3 2 3 3 2" xfId="25863"/>
    <cellStyle name="Note 3 3 2 2 4 3 2 3 4" xfId="15030"/>
    <cellStyle name="Note 3 3 2 2 4 3 2 4" xfId="4559"/>
    <cellStyle name="Note 3 3 2 2 4 3 2 4 2" xfId="23030"/>
    <cellStyle name="Note 3 3 2 2 4 3 2 5" xfId="3176"/>
    <cellStyle name="Note 3 3 2 2 4 3 3" xfId="2148"/>
    <cellStyle name="Note 3 3 2 2 4 3 3 2" xfId="7408"/>
    <cellStyle name="Note 3 3 2 2 4 3 3 2 2" xfId="10022"/>
    <cellStyle name="Note 3 3 2 2 4 3 3 2 2 2" xfId="16284"/>
    <cellStyle name="Note 3 3 2 2 4 3 3 2 2 2 2" xfId="29700"/>
    <cellStyle name="Note 3 3 2 2 4 3 3 2 2 3" xfId="21029"/>
    <cellStyle name="Note 3 3 2 2 4 3 3 2 3" xfId="14012"/>
    <cellStyle name="Note 3 3 2 2 4 3 3 2 3 2" xfId="28334"/>
    <cellStyle name="Note 3 3 2 2 4 3 3 2 4" xfId="19657"/>
    <cellStyle name="Note 3 3 2 2 4 3 3 3" xfId="12557"/>
    <cellStyle name="Note 3 3 2 2 4 3 3 3 2" xfId="26879"/>
    <cellStyle name="Note 3 3 2 2 4 3 3 4" xfId="18202"/>
    <cellStyle name="Note 3 3 2 2 4 3 4" xfId="5043"/>
    <cellStyle name="Note 3 3 2 2 4 3 4 2" xfId="11590"/>
    <cellStyle name="Note 3 3 2 2 4 3 4 2 2" xfId="25912"/>
    <cellStyle name="Note 3 3 2 2 4 3 4 3" xfId="14821"/>
    <cellStyle name="Note 3 3 2 2 4 3 5" xfId="4367"/>
    <cellStyle name="Note 3 3 2 2 4 3 5 2" xfId="22909"/>
    <cellStyle name="Note 3 3 2 2 4 3 6" xfId="15483"/>
    <cellStyle name="Note 3 3 2 2 4 4" xfId="2149"/>
    <cellStyle name="Note 3 3 2 2 4 4 2" xfId="6404"/>
    <cellStyle name="Note 3 3 2 2 4 4 2 2" xfId="12987"/>
    <cellStyle name="Note 3 3 2 2 4 4 2 2 2" xfId="27309"/>
    <cellStyle name="Note 3 3 2 2 4 4 2 3" xfId="18632"/>
    <cellStyle name="Note 3 3 2 2 4 4 3" xfId="7129"/>
    <cellStyle name="Note 3 3 2 2 4 4 3 2" xfId="9743"/>
    <cellStyle name="Note 3 3 2 2 4 4 3 2 2" xfId="16005"/>
    <cellStyle name="Note 3 3 2 2 4 4 3 2 2 2" xfId="29421"/>
    <cellStyle name="Note 3 3 2 2 4 4 3 2 3" xfId="20750"/>
    <cellStyle name="Note 3 3 2 2 4 4 3 3" xfId="13733"/>
    <cellStyle name="Note 3 3 2 2 4 4 3 3 2" xfId="28055"/>
    <cellStyle name="Note 3 3 2 2 4 4 3 4" xfId="19378"/>
    <cellStyle name="Note 3 3 2 2 4 4 4" xfId="4104"/>
    <cellStyle name="Note 3 3 2 2 4 4 4 2" xfId="22759"/>
    <cellStyle name="Note 3 3 2 2 4 4 5" xfId="4279"/>
    <cellStyle name="Note 3 3 2 2 4 5" xfId="2150"/>
    <cellStyle name="Note 3 3 2 2 4 5 2" xfId="7856"/>
    <cellStyle name="Note 3 3 2 2 4 5 2 2" xfId="10470"/>
    <cellStyle name="Note 3 3 2 2 4 5 2 2 2" xfId="16732"/>
    <cellStyle name="Note 3 3 2 2 4 5 2 2 2 2" xfId="30148"/>
    <cellStyle name="Note 3 3 2 2 4 5 2 2 3" xfId="21477"/>
    <cellStyle name="Note 3 3 2 2 4 5 2 3" xfId="14460"/>
    <cellStyle name="Note 3 3 2 2 4 5 2 3 2" xfId="28782"/>
    <cellStyle name="Note 3 3 2 2 4 5 2 4" xfId="20105"/>
    <cellStyle name="Note 3 3 2 2 4 5 3" xfId="12607"/>
    <cellStyle name="Note 3 3 2 2 4 5 3 2" xfId="26929"/>
    <cellStyle name="Note 3 3 2 2 4 5 4" xfId="18252"/>
    <cellStyle name="Note 3 3 2 2 4 6" xfId="5071"/>
    <cellStyle name="Note 3 3 2 2 4 6 2" xfId="11618"/>
    <cellStyle name="Note 3 3 2 2 4 6 2 2" xfId="25940"/>
    <cellStyle name="Note 3 3 2 2 4 6 3" xfId="4377"/>
    <cellStyle name="Note 3 3 2 2 4 7" xfId="4609"/>
    <cellStyle name="Note 3 3 2 2 4 7 2" xfId="23066"/>
    <cellStyle name="Note 3 3 2 2 4 8" xfId="4099"/>
    <cellStyle name="Note 3 3 2 2 5" xfId="2151"/>
    <cellStyle name="Note 3 3 2 2 5 2" xfId="2152"/>
    <cellStyle name="Note 3 3 2 2 5 2 2" xfId="2153"/>
    <cellStyle name="Note 3 3 2 2 5 2 2 2" xfId="5977"/>
    <cellStyle name="Note 3 3 2 2 5 2 2 2 2" xfId="12535"/>
    <cellStyle name="Note 3 3 2 2 5 2 2 2 2 2" xfId="26857"/>
    <cellStyle name="Note 3 3 2 2 5 2 2 2 3" xfId="18180"/>
    <cellStyle name="Note 3 3 2 2 5 2 2 3" xfId="3277"/>
    <cellStyle name="Note 3 3 2 2 5 2 2 3 2" xfId="9051"/>
    <cellStyle name="Note 3 3 2 2 5 2 2 3 2 2" xfId="15390"/>
    <cellStyle name="Note 3 3 2 2 5 2 2 3 2 2 2" xfId="29009"/>
    <cellStyle name="Note 3 3 2 2 5 2 2 3 2 3" xfId="20336"/>
    <cellStyle name="Note 3 3 2 2 5 2 2 3 3" xfId="3272"/>
    <cellStyle name="Note 3 3 2 2 5 2 2 3 3 2" xfId="22456"/>
    <cellStyle name="Note 3 3 2 2 5 2 2 3 4" xfId="16952"/>
    <cellStyle name="Note 3 3 2 2 5 2 2 4" xfId="3019"/>
    <cellStyle name="Note 3 3 2 2 5 2 2 4 2" xfId="22410"/>
    <cellStyle name="Note 3 3 2 2 5 2 2 5" xfId="15193"/>
    <cellStyle name="Note 3 3 2 2 5 2 3" xfId="2154"/>
    <cellStyle name="Note 3 3 2 2 5 2 3 2" xfId="7347"/>
    <cellStyle name="Note 3 3 2 2 5 2 3 2 2" xfId="9961"/>
    <cellStyle name="Note 3 3 2 2 5 2 3 2 2 2" xfId="16223"/>
    <cellStyle name="Note 3 3 2 2 5 2 3 2 2 2 2" xfId="29639"/>
    <cellStyle name="Note 3 3 2 2 5 2 3 2 2 3" xfId="20968"/>
    <cellStyle name="Note 3 3 2 2 5 2 3 2 3" xfId="13951"/>
    <cellStyle name="Note 3 3 2 2 5 2 3 2 3 2" xfId="28273"/>
    <cellStyle name="Note 3 3 2 2 5 2 3 2 4" xfId="19596"/>
    <cellStyle name="Note 3 3 2 2 5 2 3 3" xfId="13418"/>
    <cellStyle name="Note 3 3 2 2 5 2 3 3 2" xfId="27740"/>
    <cellStyle name="Note 3 3 2 2 5 2 3 4" xfId="19063"/>
    <cellStyle name="Note 3 3 2 2 5 2 4" xfId="5888"/>
    <cellStyle name="Note 3 3 2 2 5 2 4 2" xfId="12441"/>
    <cellStyle name="Note 3 3 2 2 5 2 4 2 2" xfId="26763"/>
    <cellStyle name="Note 3 3 2 2 5 2 4 3" xfId="18086"/>
    <cellStyle name="Note 3 3 2 2 5 2 5" xfId="4187"/>
    <cellStyle name="Note 3 3 2 2 5 2 5 2" xfId="22809"/>
    <cellStyle name="Note 3 3 2 2 5 2 6" xfId="14743"/>
    <cellStyle name="Note 3 3 2 2 5 3" xfId="2155"/>
    <cellStyle name="Note 3 3 2 2 5 3 2" xfId="6468"/>
    <cellStyle name="Note 3 3 2 2 5 3 2 2" xfId="13051"/>
    <cellStyle name="Note 3 3 2 2 5 3 2 2 2" xfId="27373"/>
    <cellStyle name="Note 3 3 2 2 5 3 2 3" xfId="18696"/>
    <cellStyle name="Note 3 3 2 2 5 3 3" xfId="7634"/>
    <cellStyle name="Note 3 3 2 2 5 3 3 2" xfId="10248"/>
    <cellStyle name="Note 3 3 2 2 5 3 3 2 2" xfId="16510"/>
    <cellStyle name="Note 3 3 2 2 5 3 3 2 2 2" xfId="29926"/>
    <cellStyle name="Note 3 3 2 2 5 3 3 2 3" xfId="21255"/>
    <cellStyle name="Note 3 3 2 2 5 3 3 3" xfId="14238"/>
    <cellStyle name="Note 3 3 2 2 5 3 3 3 2" xfId="28560"/>
    <cellStyle name="Note 3 3 2 2 5 3 3 4" xfId="19883"/>
    <cellStyle name="Note 3 3 2 2 5 3 4" xfId="4118"/>
    <cellStyle name="Note 3 3 2 2 5 3 4 2" xfId="22763"/>
    <cellStyle name="Note 3 3 2 2 5 3 5" xfId="6013"/>
    <cellStyle name="Note 3 3 2 2 5 4" xfId="2156"/>
    <cellStyle name="Note 3 3 2 2 5 4 2" xfId="7780"/>
    <cellStyle name="Note 3 3 2 2 5 4 2 2" xfId="10394"/>
    <cellStyle name="Note 3 3 2 2 5 4 2 2 2" xfId="16656"/>
    <cellStyle name="Note 3 3 2 2 5 4 2 2 2 2" xfId="30072"/>
    <cellStyle name="Note 3 3 2 2 5 4 2 2 3" xfId="21401"/>
    <cellStyle name="Note 3 3 2 2 5 4 2 3" xfId="14384"/>
    <cellStyle name="Note 3 3 2 2 5 4 2 3 2" xfId="28706"/>
    <cellStyle name="Note 3 3 2 2 5 4 2 4" xfId="20029"/>
    <cellStyle name="Note 3 3 2 2 5 4 3" xfId="12736"/>
    <cellStyle name="Note 3 3 2 2 5 4 3 2" xfId="27058"/>
    <cellStyle name="Note 3 3 2 2 5 4 4" xfId="18381"/>
    <cellStyle name="Note 3 3 2 2 5 5" xfId="5138"/>
    <cellStyle name="Note 3 3 2 2 5 5 2" xfId="11687"/>
    <cellStyle name="Note 3 3 2 2 5 5 2 2" xfId="26009"/>
    <cellStyle name="Note 3 3 2 2 5 5 3" xfId="14676"/>
    <cellStyle name="Note 3 3 2 2 5 6" xfId="4826"/>
    <cellStyle name="Note 3 3 2 2 5 6 2" xfId="23207"/>
    <cellStyle name="Note 3 3 2 2 5 7" xfId="6666"/>
    <cellStyle name="Note 3 3 2 2 6" xfId="2157"/>
    <cellStyle name="Note 3 3 2 2 6 2" xfId="2158"/>
    <cellStyle name="Note 3 3 2 2 6 2 2" xfId="6113"/>
    <cellStyle name="Note 3 3 2 2 6 2 2 2" xfId="12681"/>
    <cellStyle name="Note 3 3 2 2 6 2 2 2 2" xfId="27003"/>
    <cellStyle name="Note 3 3 2 2 6 2 2 3" xfId="18326"/>
    <cellStyle name="Note 3 3 2 2 6 2 3" xfId="7659"/>
    <cellStyle name="Note 3 3 2 2 6 2 3 2" xfId="10273"/>
    <cellStyle name="Note 3 3 2 2 6 2 3 2 2" xfId="16535"/>
    <cellStyle name="Note 3 3 2 2 6 2 3 2 2 2" xfId="29951"/>
    <cellStyle name="Note 3 3 2 2 6 2 3 2 3" xfId="21280"/>
    <cellStyle name="Note 3 3 2 2 6 2 3 3" xfId="14263"/>
    <cellStyle name="Note 3 3 2 2 6 2 3 3 2" xfId="28585"/>
    <cellStyle name="Note 3 3 2 2 6 2 3 4" xfId="19908"/>
    <cellStyle name="Note 3 3 2 2 6 2 4" xfId="3669"/>
    <cellStyle name="Note 3 3 2 2 6 2 4 2" xfId="22515"/>
    <cellStyle name="Note 3 3 2 2 6 2 5" xfId="14733"/>
    <cellStyle name="Note 3 3 2 2 6 3" xfId="2159"/>
    <cellStyle name="Note 3 3 2 2 6 3 2" xfId="7103"/>
    <cellStyle name="Note 3 3 2 2 6 3 2 2" xfId="9717"/>
    <cellStyle name="Note 3 3 2 2 6 3 2 2 2" xfId="15979"/>
    <cellStyle name="Note 3 3 2 2 6 3 2 2 2 2" xfId="29395"/>
    <cellStyle name="Note 3 3 2 2 6 3 2 2 3" xfId="20724"/>
    <cellStyle name="Note 3 3 2 2 6 3 2 3" xfId="13707"/>
    <cellStyle name="Note 3 3 2 2 6 3 2 3 2" xfId="28029"/>
    <cellStyle name="Note 3 3 2 2 6 3 2 4" xfId="19352"/>
    <cellStyle name="Note 3 3 2 2 6 3 3" xfId="13039"/>
    <cellStyle name="Note 3 3 2 2 6 3 3 2" xfId="27361"/>
    <cellStyle name="Note 3 3 2 2 6 3 4" xfId="18684"/>
    <cellStyle name="Note 3 3 2 2 6 4" xfId="5356"/>
    <cellStyle name="Note 3 3 2 2 6 4 2" xfId="11906"/>
    <cellStyle name="Note 3 3 2 2 6 4 2 2" xfId="26228"/>
    <cellStyle name="Note 3 3 2 2 6 4 3" xfId="17551"/>
    <cellStyle name="Note 3 3 2 2 6 5" xfId="4622"/>
    <cellStyle name="Note 3 3 2 2 6 5 2" xfId="23071"/>
    <cellStyle name="Note 3 3 2 2 6 6" xfId="4420"/>
    <cellStyle name="Note 3 3 2 2 7" xfId="2160"/>
    <cellStyle name="Note 3 3 2 2 7 2" xfId="6120"/>
    <cellStyle name="Note 3 3 2 2 7 2 2" xfId="12689"/>
    <cellStyle name="Note 3 3 2 2 7 2 2 2" xfId="27011"/>
    <cellStyle name="Note 3 3 2 2 7 2 3" xfId="18334"/>
    <cellStyle name="Note 3 3 2 2 7 3" xfId="7821"/>
    <cellStyle name="Note 3 3 2 2 7 3 2" xfId="10435"/>
    <cellStyle name="Note 3 3 2 2 7 3 2 2" xfId="16697"/>
    <cellStyle name="Note 3 3 2 2 7 3 2 2 2" xfId="30113"/>
    <cellStyle name="Note 3 3 2 2 7 3 2 3" xfId="21442"/>
    <cellStyle name="Note 3 3 2 2 7 3 3" xfId="14425"/>
    <cellStyle name="Note 3 3 2 2 7 3 3 2" xfId="28747"/>
    <cellStyle name="Note 3 3 2 2 7 3 4" xfId="20070"/>
    <cellStyle name="Note 3 3 2 2 7 4" xfId="6761"/>
    <cellStyle name="Note 3 3 2 2 7 4 2" xfId="23709"/>
    <cellStyle name="Note 3 3 2 2 7 5" xfId="17324"/>
    <cellStyle name="Note 3 3 2 2 8" xfId="2161"/>
    <cellStyle name="Note 3 3 2 2 8 2" xfId="7910"/>
    <cellStyle name="Note 3 3 2 2 8 2 2" xfId="10524"/>
    <cellStyle name="Note 3 3 2 2 8 2 2 2" xfId="16786"/>
    <cellStyle name="Note 3 3 2 2 8 2 2 2 2" xfId="30202"/>
    <cellStyle name="Note 3 3 2 2 8 2 2 3" xfId="21531"/>
    <cellStyle name="Note 3 3 2 2 8 2 3" xfId="14514"/>
    <cellStyle name="Note 3 3 2 2 8 2 3 2" xfId="28836"/>
    <cellStyle name="Note 3 3 2 2 8 2 4" xfId="20159"/>
    <cellStyle name="Note 3 3 2 2 8 3" xfId="11637"/>
    <cellStyle name="Note 3 3 2 2 8 3 2" xfId="25959"/>
    <cellStyle name="Note 3 3 2 2 8 4" xfId="6154"/>
    <cellStyle name="Note 3 3 2 2 9" xfId="4350"/>
    <cellStyle name="Note 3 3 2 2 9 2" xfId="4143"/>
    <cellStyle name="Note 3 3 2 2 9 2 2" xfId="22781"/>
    <cellStyle name="Note 3 3 2 2 9 3" xfId="17290"/>
    <cellStyle name="Note 3 3 2 3" xfId="2162"/>
    <cellStyle name="Note 3 3 2 3 2" xfId="2163"/>
    <cellStyle name="Note 3 3 2 3 2 2" xfId="2164"/>
    <cellStyle name="Note 3 3 2 3 2 2 2" xfId="6418"/>
    <cellStyle name="Note 3 3 2 3 2 2 2 2" xfId="13001"/>
    <cellStyle name="Note 3 3 2 3 2 2 2 2 2" xfId="27323"/>
    <cellStyle name="Note 3 3 2 3 2 2 2 3" xfId="18646"/>
    <cellStyle name="Note 3 3 2 3 2 2 3" xfId="7566"/>
    <cellStyle name="Note 3 3 2 3 2 2 3 2" xfId="10180"/>
    <cellStyle name="Note 3 3 2 3 2 2 3 2 2" xfId="16442"/>
    <cellStyle name="Note 3 3 2 3 2 2 3 2 2 2" xfId="29858"/>
    <cellStyle name="Note 3 3 2 3 2 2 3 2 3" xfId="21187"/>
    <cellStyle name="Note 3 3 2 3 2 2 3 3" xfId="14170"/>
    <cellStyle name="Note 3 3 2 3 2 2 3 3 2" xfId="28492"/>
    <cellStyle name="Note 3 3 2 3 2 2 3 4" xfId="19815"/>
    <cellStyle name="Note 3 3 2 3 2 2 4" xfId="5520"/>
    <cellStyle name="Note 3 3 2 3 2 2 4 2" xfId="23348"/>
    <cellStyle name="Note 3 3 2 3 2 2 5" xfId="15458"/>
    <cellStyle name="Note 3 3 2 3 2 3" xfId="2165"/>
    <cellStyle name="Note 3 3 2 3 2 3 2" xfId="8034"/>
    <cellStyle name="Note 3 3 2 3 2 3 2 2" xfId="10648"/>
    <cellStyle name="Note 3 3 2 3 2 3 2 2 2" xfId="16910"/>
    <cellStyle name="Note 3 3 2 3 2 3 2 2 2 2" xfId="30326"/>
    <cellStyle name="Note 3 3 2 3 2 3 2 2 3" xfId="21655"/>
    <cellStyle name="Note 3 3 2 3 2 3 2 3" xfId="14638"/>
    <cellStyle name="Note 3 3 2 3 2 3 2 3 2" xfId="28960"/>
    <cellStyle name="Note 3 3 2 3 2 3 2 4" xfId="20283"/>
    <cellStyle name="Note 3 3 2 3 2 3 3" xfId="13272"/>
    <cellStyle name="Note 3 3 2 3 2 3 3 2" xfId="27594"/>
    <cellStyle name="Note 3 3 2 3 2 3 4" xfId="18917"/>
    <cellStyle name="Note 3 3 2 3 2 4" xfId="5718"/>
    <cellStyle name="Note 3 3 2 3 2 4 2" xfId="12271"/>
    <cellStyle name="Note 3 3 2 3 2 4 2 2" xfId="26593"/>
    <cellStyle name="Note 3 3 2 3 2 4 3" xfId="17916"/>
    <cellStyle name="Note 3 3 2 3 2 5" xfId="4904"/>
    <cellStyle name="Note 3 3 2 3 2 5 2" xfId="23257"/>
    <cellStyle name="Note 3 3 2 3 2 6" xfId="17253"/>
    <cellStyle name="Note 3 3 2 3 3" xfId="2166"/>
    <cellStyle name="Note 3 3 2 3 3 2" xfId="2167"/>
    <cellStyle name="Note 3 3 2 3 3 2 2" xfId="3921"/>
    <cellStyle name="Note 3 3 2 3 3 2 2 2" xfId="4356"/>
    <cellStyle name="Note 3 3 2 3 3 2 2 2 2" xfId="22902"/>
    <cellStyle name="Note 3 3 2 3 3 2 2 3" xfId="15288"/>
    <cellStyle name="Note 3 3 2 3 3 2 3" xfId="7887"/>
    <cellStyle name="Note 3 3 2 3 3 2 3 2" xfId="10501"/>
    <cellStyle name="Note 3 3 2 3 3 2 3 2 2" xfId="16763"/>
    <cellStyle name="Note 3 3 2 3 3 2 3 2 2 2" xfId="30179"/>
    <cellStyle name="Note 3 3 2 3 3 2 3 2 3" xfId="21508"/>
    <cellStyle name="Note 3 3 2 3 3 2 3 3" xfId="14491"/>
    <cellStyle name="Note 3 3 2 3 3 2 3 3 2" xfId="28813"/>
    <cellStyle name="Note 3 3 2 3 3 2 3 4" xfId="20136"/>
    <cellStyle name="Note 3 3 2 3 3 2 4" xfId="6295"/>
    <cellStyle name="Note 3 3 2 3 3 2 4 2" xfId="23494"/>
    <cellStyle name="Note 3 3 2 3 3 2 5" xfId="15398"/>
    <cellStyle name="Note 3 3 2 3 3 3" xfId="2168"/>
    <cellStyle name="Note 3 3 2 3 3 3 2" xfId="7736"/>
    <cellStyle name="Note 3 3 2 3 3 3 2 2" xfId="10350"/>
    <cellStyle name="Note 3 3 2 3 3 3 2 2 2" xfId="16612"/>
    <cellStyle name="Note 3 3 2 3 3 3 2 2 2 2" xfId="30028"/>
    <cellStyle name="Note 3 3 2 3 3 3 2 2 3" xfId="21357"/>
    <cellStyle name="Note 3 3 2 3 3 3 2 3" xfId="14340"/>
    <cellStyle name="Note 3 3 2 3 3 3 2 3 2" xfId="28662"/>
    <cellStyle name="Note 3 3 2 3 3 3 2 4" xfId="19985"/>
    <cellStyle name="Note 3 3 2 3 3 3 3" xfId="12156"/>
    <cellStyle name="Note 3 3 2 3 3 3 3 2" xfId="26478"/>
    <cellStyle name="Note 3 3 2 3 3 3 4" xfId="17801"/>
    <cellStyle name="Note 3 3 2 3 3 4" xfId="5126"/>
    <cellStyle name="Note 3 3 2 3 3 4 2" xfId="11675"/>
    <cellStyle name="Note 3 3 2 3 3 4 2 2" xfId="25997"/>
    <cellStyle name="Note 3 3 2 3 3 4 3" xfId="17314"/>
    <cellStyle name="Note 3 3 2 3 3 5" xfId="5945"/>
    <cellStyle name="Note 3 3 2 3 3 5 2" xfId="23379"/>
    <cellStyle name="Note 3 3 2 3 3 6" xfId="4733"/>
    <cellStyle name="Note 3 3 2 3 4" xfId="2169"/>
    <cellStyle name="Note 3 3 2 3 4 2" xfId="6836"/>
    <cellStyle name="Note 3 3 2 3 4 2 2" xfId="13440"/>
    <cellStyle name="Note 3 3 2 3 4 2 2 2" xfId="27762"/>
    <cellStyle name="Note 3 3 2 3 4 2 3" xfId="19085"/>
    <cellStyle name="Note 3 3 2 3 4 3" xfId="7387"/>
    <cellStyle name="Note 3 3 2 3 4 3 2" xfId="10001"/>
    <cellStyle name="Note 3 3 2 3 4 3 2 2" xfId="16263"/>
    <cellStyle name="Note 3 3 2 3 4 3 2 2 2" xfId="29679"/>
    <cellStyle name="Note 3 3 2 3 4 3 2 3" xfId="21008"/>
    <cellStyle name="Note 3 3 2 3 4 3 3" xfId="13991"/>
    <cellStyle name="Note 3 3 2 3 4 3 3 2" xfId="28313"/>
    <cellStyle name="Note 3 3 2 3 4 3 4" xfId="19636"/>
    <cellStyle name="Note 3 3 2 3 4 4" xfId="2773"/>
    <cellStyle name="Note 3 3 2 3 4 4 2" xfId="22342"/>
    <cellStyle name="Note 3 3 2 3 4 5" xfId="14988"/>
    <cellStyle name="Note 3 3 2 3 5" xfId="2170"/>
    <cellStyle name="Note 3 3 2 3 5 2" xfId="7759"/>
    <cellStyle name="Note 3 3 2 3 5 2 2" xfId="10373"/>
    <cellStyle name="Note 3 3 2 3 5 2 2 2" xfId="16635"/>
    <cellStyle name="Note 3 3 2 3 5 2 2 2 2" xfId="30051"/>
    <cellStyle name="Note 3 3 2 3 5 2 2 3" xfId="21380"/>
    <cellStyle name="Note 3 3 2 3 5 2 3" xfId="14363"/>
    <cellStyle name="Note 3 3 2 3 5 2 3 2" xfId="28685"/>
    <cellStyle name="Note 3 3 2 3 5 2 4" xfId="20008"/>
    <cellStyle name="Note 3 3 2 3 5 3" xfId="12831"/>
    <cellStyle name="Note 3 3 2 3 5 3 2" xfId="27153"/>
    <cellStyle name="Note 3 3 2 3 5 4" xfId="18476"/>
    <cellStyle name="Note 3 3 2 3 6" xfId="5396"/>
    <cellStyle name="Note 3 3 2 3 6 2" xfId="11946"/>
    <cellStyle name="Note 3 3 2 3 6 2 2" xfId="26268"/>
    <cellStyle name="Note 3 3 2 3 6 3" xfId="17591"/>
    <cellStyle name="Note 3 3 2 3 7" xfId="2864"/>
    <cellStyle name="Note 3 3 2 3 7 2" xfId="22406"/>
    <cellStyle name="Note 3 3 2 3 8" xfId="15062"/>
    <cellStyle name="Note 3 3 2 4" xfId="2171"/>
    <cellStyle name="Note 3 3 2 4 2" xfId="2172"/>
    <cellStyle name="Note 3 3 2 4 2 2" xfId="2173"/>
    <cellStyle name="Note 3 3 2 4 2 2 2" xfId="6997"/>
    <cellStyle name="Note 3 3 2 4 2 2 2 2" xfId="13601"/>
    <cellStyle name="Note 3 3 2 4 2 2 2 2 2" xfId="27923"/>
    <cellStyle name="Note 3 3 2 4 2 2 2 3" xfId="19246"/>
    <cellStyle name="Note 3 3 2 4 2 2 3" xfId="7668"/>
    <cellStyle name="Note 3 3 2 4 2 2 3 2" xfId="10282"/>
    <cellStyle name="Note 3 3 2 4 2 2 3 2 2" xfId="16544"/>
    <cellStyle name="Note 3 3 2 4 2 2 3 2 2 2" xfId="29960"/>
    <cellStyle name="Note 3 3 2 4 2 2 3 2 3" xfId="21289"/>
    <cellStyle name="Note 3 3 2 4 2 2 3 3" xfId="14272"/>
    <cellStyle name="Note 3 3 2 4 2 2 3 3 2" xfId="28594"/>
    <cellStyle name="Note 3 3 2 4 2 2 3 4" xfId="19917"/>
    <cellStyle name="Note 3 3 2 4 2 2 4" xfId="11512"/>
    <cellStyle name="Note 3 3 2 4 2 2 4 2" xfId="25834"/>
    <cellStyle name="Note 3 3 2 4 2 2 5" xfId="17360"/>
    <cellStyle name="Note 3 3 2 4 2 3" xfId="2174"/>
    <cellStyle name="Note 3 3 2 4 2 3 2" xfId="7530"/>
    <cellStyle name="Note 3 3 2 4 2 3 2 2" xfId="10144"/>
    <cellStyle name="Note 3 3 2 4 2 3 2 2 2" xfId="16406"/>
    <cellStyle name="Note 3 3 2 4 2 3 2 2 2 2" xfId="29822"/>
    <cellStyle name="Note 3 3 2 4 2 3 2 2 3" xfId="21151"/>
    <cellStyle name="Note 3 3 2 4 2 3 2 3" xfId="14134"/>
    <cellStyle name="Note 3 3 2 4 2 3 2 3 2" xfId="28456"/>
    <cellStyle name="Note 3 3 2 4 2 3 2 4" xfId="19779"/>
    <cellStyle name="Note 3 3 2 4 2 3 3" xfId="13247"/>
    <cellStyle name="Note 3 3 2 4 2 3 3 2" xfId="27569"/>
    <cellStyle name="Note 3 3 2 4 2 3 4" xfId="18892"/>
    <cellStyle name="Note 3 3 2 4 2 4" xfId="5689"/>
    <cellStyle name="Note 3 3 2 4 2 4 2" xfId="12242"/>
    <cellStyle name="Note 3 3 2 4 2 4 2 2" xfId="26564"/>
    <cellStyle name="Note 3 3 2 4 2 4 3" xfId="17887"/>
    <cellStyle name="Note 3 3 2 4 2 5" xfId="4413"/>
    <cellStyle name="Note 3 3 2 4 2 5 2" xfId="22936"/>
    <cellStyle name="Note 3 3 2 4 2 6" xfId="4817"/>
    <cellStyle name="Note 3 3 2 4 3" xfId="2175"/>
    <cellStyle name="Note 3 3 2 4 3 2" xfId="2176"/>
    <cellStyle name="Note 3 3 2 4 3 2 2" xfId="5706"/>
    <cellStyle name="Note 3 3 2 4 3 2 2 2" xfId="12259"/>
    <cellStyle name="Note 3 3 2 4 3 2 2 2 2" xfId="26581"/>
    <cellStyle name="Note 3 3 2 4 3 2 2 3" xfId="17904"/>
    <cellStyle name="Note 3 3 2 4 3 2 3" xfId="7597"/>
    <cellStyle name="Note 3 3 2 4 3 2 3 2" xfId="10211"/>
    <cellStyle name="Note 3 3 2 4 3 2 3 2 2" xfId="16473"/>
    <cellStyle name="Note 3 3 2 4 3 2 3 2 2 2" xfId="29889"/>
    <cellStyle name="Note 3 3 2 4 3 2 3 2 3" xfId="21218"/>
    <cellStyle name="Note 3 3 2 4 3 2 3 3" xfId="14201"/>
    <cellStyle name="Note 3 3 2 4 3 2 3 3 2" xfId="28523"/>
    <cellStyle name="Note 3 3 2 4 3 2 3 4" xfId="19846"/>
    <cellStyle name="Note 3 3 2 4 3 2 4" xfId="6572"/>
    <cellStyle name="Note 3 3 2 4 3 2 4 2" xfId="23582"/>
    <cellStyle name="Note 3 3 2 4 3 2 5" xfId="6638"/>
    <cellStyle name="Note 3 3 2 4 3 3" xfId="2177"/>
    <cellStyle name="Note 3 3 2 4 3 3 2" xfId="7216"/>
    <cellStyle name="Note 3 3 2 4 3 3 2 2" xfId="9830"/>
    <cellStyle name="Note 3 3 2 4 3 3 2 2 2" xfId="16092"/>
    <cellStyle name="Note 3 3 2 4 3 3 2 2 2 2" xfId="29508"/>
    <cellStyle name="Note 3 3 2 4 3 3 2 2 3" xfId="20837"/>
    <cellStyle name="Note 3 3 2 4 3 3 2 3" xfId="13820"/>
    <cellStyle name="Note 3 3 2 4 3 3 2 3 2" xfId="28142"/>
    <cellStyle name="Note 3 3 2 4 3 3 2 4" xfId="19465"/>
    <cellStyle name="Note 3 3 2 4 3 3 3" xfId="11772"/>
    <cellStyle name="Note 3 3 2 4 3 3 3 2" xfId="26094"/>
    <cellStyle name="Note 3 3 2 4 3 3 4" xfId="17417"/>
    <cellStyle name="Note 3 3 2 4 3 4" xfId="5175"/>
    <cellStyle name="Note 3 3 2 4 3 4 2" xfId="11724"/>
    <cellStyle name="Note 3 3 2 4 3 4 2 2" xfId="26046"/>
    <cellStyle name="Note 3 3 2 4 3 4 3" xfId="3841"/>
    <cellStyle name="Note 3 3 2 4 3 5" xfId="6802"/>
    <cellStyle name="Note 3 3 2 4 3 5 2" xfId="23742"/>
    <cellStyle name="Note 3 3 2 4 3 6" xfId="17025"/>
    <cellStyle name="Note 3 3 2 4 4" xfId="2178"/>
    <cellStyle name="Note 3 3 2 4 4 2" xfId="7032"/>
    <cellStyle name="Note 3 3 2 4 4 2 2" xfId="13636"/>
    <cellStyle name="Note 3 3 2 4 4 2 2 2" xfId="27958"/>
    <cellStyle name="Note 3 3 2 4 4 2 3" xfId="19281"/>
    <cellStyle name="Note 3 3 2 4 4 3" xfId="5296"/>
    <cellStyle name="Note 3 3 2 4 4 3 2" xfId="9605"/>
    <cellStyle name="Note 3 3 2 4 4 3 2 2" xfId="15867"/>
    <cellStyle name="Note 3 3 2 4 4 3 2 2 2" xfId="29283"/>
    <cellStyle name="Note 3 3 2 4 4 3 2 3" xfId="20612"/>
    <cellStyle name="Note 3 3 2 4 4 3 3" xfId="11846"/>
    <cellStyle name="Note 3 3 2 4 4 3 3 2" xfId="26168"/>
    <cellStyle name="Note 3 3 2 4 4 3 4" xfId="17491"/>
    <cellStyle name="Note 3 3 2 4 4 4" xfId="11572"/>
    <cellStyle name="Note 3 3 2 4 4 4 2" xfId="25894"/>
    <cellStyle name="Note 3 3 2 4 4 5" xfId="15410"/>
    <cellStyle name="Note 3 3 2 4 5" xfId="2179"/>
    <cellStyle name="Note 3 3 2 4 5 2" xfId="4766"/>
    <cellStyle name="Note 3 3 2 4 5 2 2" xfId="9479"/>
    <cellStyle name="Note 3 3 2 4 5 2 2 2" xfId="15741"/>
    <cellStyle name="Note 3 3 2 4 5 2 2 2 2" xfId="29157"/>
    <cellStyle name="Note 3 3 2 4 5 2 2 3" xfId="20486"/>
    <cellStyle name="Note 3 3 2 4 5 2 3" xfId="2812"/>
    <cellStyle name="Note 3 3 2 4 5 2 3 2" xfId="22375"/>
    <cellStyle name="Note 3 3 2 4 5 2 4" xfId="17376"/>
    <cellStyle name="Note 3 3 2 4 5 3" xfId="12729"/>
    <cellStyle name="Note 3 3 2 4 5 3 2" xfId="27051"/>
    <cellStyle name="Note 3 3 2 4 5 4" xfId="18374"/>
    <cellStyle name="Note 3 3 2 4 6" xfId="5125"/>
    <cellStyle name="Note 3 3 2 4 6 2" xfId="11674"/>
    <cellStyle name="Note 3 3 2 4 6 2 2" xfId="25996"/>
    <cellStyle name="Note 3 3 2 4 6 3" xfId="15518"/>
    <cellStyle name="Note 3 3 2 4 7" xfId="6610"/>
    <cellStyle name="Note 3 3 2 4 7 2" xfId="23602"/>
    <cellStyle name="Note 3 3 2 4 8" xfId="17305"/>
    <cellStyle name="Note 3 3 2 5" xfId="2180"/>
    <cellStyle name="Note 3 3 2 5 2" xfId="2181"/>
    <cellStyle name="Note 3 3 2 5 2 2" xfId="2182"/>
    <cellStyle name="Note 3 3 2 5 2 2 2" xfId="5459"/>
    <cellStyle name="Note 3 3 2 5 2 2 2 2" xfId="12010"/>
    <cellStyle name="Note 3 3 2 5 2 2 2 2 2" xfId="26332"/>
    <cellStyle name="Note 3 3 2 5 2 2 2 3" xfId="17655"/>
    <cellStyle name="Note 3 3 2 5 2 2 3" xfId="3152"/>
    <cellStyle name="Note 3 3 2 5 2 2 3 2" xfId="8984"/>
    <cellStyle name="Note 3 3 2 5 2 2 3 2 2" xfId="15339"/>
    <cellStyle name="Note 3 3 2 5 2 2 3 2 2 2" xfId="29002"/>
    <cellStyle name="Note 3 3 2 5 2 2 3 2 3" xfId="20329"/>
    <cellStyle name="Note 3 3 2 5 2 2 3 3" xfId="5038"/>
    <cellStyle name="Note 3 3 2 5 2 2 3 3 2" xfId="23318"/>
    <cellStyle name="Note 3 3 2 5 2 2 3 4" xfId="14756"/>
    <cellStyle name="Note 3 3 2 5 2 2 4" xfId="3255"/>
    <cellStyle name="Note 3 3 2 5 2 2 4 2" xfId="22447"/>
    <cellStyle name="Note 3 3 2 5 2 2 5" xfId="15526"/>
    <cellStyle name="Note 3 3 2 5 2 3" xfId="2183"/>
    <cellStyle name="Note 3 3 2 5 2 3 2" xfId="7481"/>
    <cellStyle name="Note 3 3 2 5 2 3 2 2" xfId="10095"/>
    <cellStyle name="Note 3 3 2 5 2 3 2 2 2" xfId="16357"/>
    <cellStyle name="Note 3 3 2 5 2 3 2 2 2 2" xfId="29773"/>
    <cellStyle name="Note 3 3 2 5 2 3 2 2 3" xfId="21102"/>
    <cellStyle name="Note 3 3 2 5 2 3 2 3" xfId="14085"/>
    <cellStyle name="Note 3 3 2 5 2 3 2 3 2" xfId="28407"/>
    <cellStyle name="Note 3 3 2 5 2 3 2 4" xfId="19730"/>
    <cellStyle name="Note 3 3 2 5 2 3 3" xfId="13243"/>
    <cellStyle name="Note 3 3 2 5 2 3 3 2" xfId="27565"/>
    <cellStyle name="Note 3 3 2 5 2 3 4" xfId="18888"/>
    <cellStyle name="Note 3 3 2 5 2 4" xfId="5684"/>
    <cellStyle name="Note 3 3 2 5 2 4 2" xfId="12237"/>
    <cellStyle name="Note 3 3 2 5 2 4 2 2" xfId="26559"/>
    <cellStyle name="Note 3 3 2 5 2 4 3" xfId="17882"/>
    <cellStyle name="Note 3 3 2 5 2 5" xfId="6354"/>
    <cellStyle name="Note 3 3 2 5 2 5 2" xfId="23538"/>
    <cellStyle name="Note 3 3 2 5 2 6" xfId="14700"/>
    <cellStyle name="Note 3 3 2 5 3" xfId="2184"/>
    <cellStyle name="Note 3 3 2 5 3 2" xfId="2185"/>
    <cellStyle name="Note 3 3 2 5 3 2 2" xfId="6879"/>
    <cellStyle name="Note 3 3 2 5 3 2 2 2" xfId="13483"/>
    <cellStyle name="Note 3 3 2 5 3 2 2 2 2" xfId="27805"/>
    <cellStyle name="Note 3 3 2 5 3 2 2 3" xfId="19128"/>
    <cellStyle name="Note 3 3 2 5 3 2 3" xfId="7507"/>
    <cellStyle name="Note 3 3 2 5 3 2 3 2" xfId="10121"/>
    <cellStyle name="Note 3 3 2 5 3 2 3 2 2" xfId="16383"/>
    <cellStyle name="Note 3 3 2 5 3 2 3 2 2 2" xfId="29799"/>
    <cellStyle name="Note 3 3 2 5 3 2 3 2 3" xfId="21128"/>
    <cellStyle name="Note 3 3 2 5 3 2 3 3" xfId="14111"/>
    <cellStyle name="Note 3 3 2 5 3 2 3 3 2" xfId="28433"/>
    <cellStyle name="Note 3 3 2 5 3 2 3 4" xfId="19756"/>
    <cellStyle name="Note 3 3 2 5 3 2 4" xfId="11349"/>
    <cellStyle name="Note 3 3 2 5 3 2 4 2" xfId="25671"/>
    <cellStyle name="Note 3 3 2 5 3 2 5" xfId="17231"/>
    <cellStyle name="Note 3 3 2 5 3 3" xfId="2186"/>
    <cellStyle name="Note 3 3 2 5 3 3 2" xfId="7271"/>
    <cellStyle name="Note 3 3 2 5 3 3 2 2" xfId="9885"/>
    <cellStyle name="Note 3 3 2 5 3 3 2 2 2" xfId="16147"/>
    <cellStyle name="Note 3 3 2 5 3 3 2 2 2 2" xfId="29563"/>
    <cellStyle name="Note 3 3 2 5 3 3 2 2 3" xfId="20892"/>
    <cellStyle name="Note 3 3 2 5 3 3 2 3" xfId="13875"/>
    <cellStyle name="Note 3 3 2 5 3 3 2 3 2" xfId="28197"/>
    <cellStyle name="Note 3 3 2 5 3 3 2 4" xfId="19520"/>
    <cellStyle name="Note 3 3 2 5 3 3 3" xfId="12482"/>
    <cellStyle name="Note 3 3 2 5 3 3 3 2" xfId="26804"/>
    <cellStyle name="Note 3 3 2 5 3 3 4" xfId="18127"/>
    <cellStyle name="Note 3 3 2 5 3 4" xfId="3467"/>
    <cellStyle name="Note 3 3 2 5 3 4 2" xfId="3680"/>
    <cellStyle name="Note 3 3 2 5 3 4 2 2" xfId="22524"/>
    <cellStyle name="Note 3 3 2 5 3 4 3" xfId="17107"/>
    <cellStyle name="Note 3 3 2 5 3 5" xfId="4802"/>
    <cellStyle name="Note 3 3 2 5 3 5 2" xfId="23195"/>
    <cellStyle name="Note 3 3 2 5 3 6" xfId="4735"/>
    <cellStyle name="Note 3 3 2 5 4" xfId="2187"/>
    <cellStyle name="Note 3 3 2 5 4 2" xfId="6524"/>
    <cellStyle name="Note 3 3 2 5 4 2 2" xfId="13112"/>
    <cellStyle name="Note 3 3 2 5 4 2 2 2" xfId="27434"/>
    <cellStyle name="Note 3 3 2 5 4 2 3" xfId="18757"/>
    <cellStyle name="Note 3 3 2 5 4 3" xfId="7190"/>
    <cellStyle name="Note 3 3 2 5 4 3 2" xfId="9804"/>
    <cellStyle name="Note 3 3 2 5 4 3 2 2" xfId="16066"/>
    <cellStyle name="Note 3 3 2 5 4 3 2 2 2" xfId="29482"/>
    <cellStyle name="Note 3 3 2 5 4 3 2 3" xfId="20811"/>
    <cellStyle name="Note 3 3 2 5 4 3 3" xfId="13794"/>
    <cellStyle name="Note 3 3 2 5 4 3 3 2" xfId="28116"/>
    <cellStyle name="Note 3 3 2 5 4 3 4" xfId="19439"/>
    <cellStyle name="Note 3 3 2 5 4 4" xfId="2833"/>
    <cellStyle name="Note 3 3 2 5 4 4 2" xfId="22396"/>
    <cellStyle name="Note 3 3 2 5 4 5" xfId="17365"/>
    <cellStyle name="Note 3 3 2 5 5" xfId="2188"/>
    <cellStyle name="Note 3 3 2 5 5 2" xfId="7948"/>
    <cellStyle name="Note 3 3 2 5 5 2 2" xfId="10562"/>
    <cellStyle name="Note 3 3 2 5 5 2 2 2" xfId="16824"/>
    <cellStyle name="Note 3 3 2 5 5 2 2 2 2" xfId="30240"/>
    <cellStyle name="Note 3 3 2 5 5 2 2 3" xfId="21569"/>
    <cellStyle name="Note 3 3 2 5 5 2 3" xfId="14552"/>
    <cellStyle name="Note 3 3 2 5 5 2 3 2" xfId="28874"/>
    <cellStyle name="Note 3 3 2 5 5 2 4" xfId="20197"/>
    <cellStyle name="Note 3 3 2 5 5 3" xfId="12706"/>
    <cellStyle name="Note 3 3 2 5 5 3 2" xfId="27028"/>
    <cellStyle name="Note 3 3 2 5 5 4" xfId="18351"/>
    <cellStyle name="Note 3 3 2 5 6" xfId="5084"/>
    <cellStyle name="Note 3 3 2 5 6 2" xfId="11631"/>
    <cellStyle name="Note 3 3 2 5 6 2 2" xfId="25953"/>
    <cellStyle name="Note 3 3 2 5 6 3" xfId="15248"/>
    <cellStyle name="Note 3 3 2 5 7" xfId="4399"/>
    <cellStyle name="Note 3 3 2 5 7 2" xfId="22928"/>
    <cellStyle name="Note 3 3 2 5 8" xfId="17165"/>
    <cellStyle name="Note 3 3 2 6" xfId="2189"/>
    <cellStyle name="Note 3 3 2 6 2" xfId="2190"/>
    <cellStyle name="Note 3 3 2 6 2 2" xfId="2191"/>
    <cellStyle name="Note 3 3 2 6 2 2 2" xfId="5132"/>
    <cellStyle name="Note 3 3 2 6 2 2 2 2" xfId="11681"/>
    <cellStyle name="Note 3 3 2 6 2 2 2 2 2" xfId="26003"/>
    <cellStyle name="Note 3 3 2 6 2 2 2 3" xfId="6664"/>
    <cellStyle name="Note 3 3 2 6 2 2 3" xfId="7769"/>
    <cellStyle name="Note 3 3 2 6 2 2 3 2" xfId="10383"/>
    <cellStyle name="Note 3 3 2 6 2 2 3 2 2" xfId="16645"/>
    <cellStyle name="Note 3 3 2 6 2 2 3 2 2 2" xfId="30061"/>
    <cellStyle name="Note 3 3 2 6 2 2 3 2 3" xfId="21390"/>
    <cellStyle name="Note 3 3 2 6 2 2 3 3" xfId="14373"/>
    <cellStyle name="Note 3 3 2 6 2 2 3 3 2" xfId="28695"/>
    <cellStyle name="Note 3 3 2 6 2 2 3 4" xfId="20018"/>
    <cellStyle name="Note 3 3 2 6 2 2 4" xfId="4540"/>
    <cellStyle name="Note 3 3 2 6 2 2 4 2" xfId="23020"/>
    <cellStyle name="Note 3 3 2 6 2 2 5" xfId="15133"/>
    <cellStyle name="Note 3 3 2 6 2 3" xfId="2192"/>
    <cellStyle name="Note 3 3 2 6 2 3 2" xfId="7767"/>
    <cellStyle name="Note 3 3 2 6 2 3 2 2" xfId="10381"/>
    <cellStyle name="Note 3 3 2 6 2 3 2 2 2" xfId="16643"/>
    <cellStyle name="Note 3 3 2 6 2 3 2 2 2 2" xfId="30059"/>
    <cellStyle name="Note 3 3 2 6 2 3 2 2 3" xfId="21388"/>
    <cellStyle name="Note 3 3 2 6 2 3 2 3" xfId="14371"/>
    <cellStyle name="Note 3 3 2 6 2 3 2 3 2" xfId="28693"/>
    <cellStyle name="Note 3 3 2 6 2 3 2 4" xfId="20016"/>
    <cellStyle name="Note 3 3 2 6 2 3 3" xfId="13377"/>
    <cellStyle name="Note 3 3 2 6 2 3 3 2" xfId="27699"/>
    <cellStyle name="Note 3 3 2 6 2 3 4" xfId="19022"/>
    <cellStyle name="Note 3 3 2 6 2 4" xfId="5830"/>
    <cellStyle name="Note 3 3 2 6 2 4 2" xfId="12383"/>
    <cellStyle name="Note 3 3 2 6 2 4 2 2" xfId="26705"/>
    <cellStyle name="Note 3 3 2 6 2 4 3" xfId="18028"/>
    <cellStyle name="Note 3 3 2 6 2 5" xfId="6702"/>
    <cellStyle name="Note 3 3 2 6 2 5 2" xfId="23661"/>
    <cellStyle name="Note 3 3 2 6 2 6" xfId="17205"/>
    <cellStyle name="Note 3 3 2 6 3" xfId="2193"/>
    <cellStyle name="Note 3 3 2 6 3 2" xfId="6536"/>
    <cellStyle name="Note 3 3 2 6 3 2 2" xfId="13124"/>
    <cellStyle name="Note 3 3 2 6 3 2 2 2" xfId="27446"/>
    <cellStyle name="Note 3 3 2 6 3 2 3" xfId="18769"/>
    <cellStyle name="Note 3 3 2 6 3 3" xfId="7790"/>
    <cellStyle name="Note 3 3 2 6 3 3 2" xfId="10404"/>
    <cellStyle name="Note 3 3 2 6 3 3 2 2" xfId="16666"/>
    <cellStyle name="Note 3 3 2 6 3 3 2 2 2" xfId="30082"/>
    <cellStyle name="Note 3 3 2 6 3 3 2 3" xfId="21411"/>
    <cellStyle name="Note 3 3 2 6 3 3 3" xfId="14394"/>
    <cellStyle name="Note 3 3 2 6 3 3 3 2" xfId="28716"/>
    <cellStyle name="Note 3 3 2 6 3 3 4" xfId="20039"/>
    <cellStyle name="Note 3 3 2 6 3 4" xfId="6069"/>
    <cellStyle name="Note 3 3 2 6 3 4 2" xfId="23406"/>
    <cellStyle name="Note 3 3 2 6 3 5" xfId="14874"/>
    <cellStyle name="Note 3 3 2 6 4" xfId="2194"/>
    <cellStyle name="Note 3 3 2 6 4 2" xfId="7891"/>
    <cellStyle name="Note 3 3 2 6 4 2 2" xfId="10505"/>
    <cellStyle name="Note 3 3 2 6 4 2 2 2" xfId="16767"/>
    <cellStyle name="Note 3 3 2 6 4 2 2 2 2" xfId="30183"/>
    <cellStyle name="Note 3 3 2 6 4 2 2 3" xfId="21512"/>
    <cellStyle name="Note 3 3 2 6 4 2 3" xfId="14495"/>
    <cellStyle name="Note 3 3 2 6 4 2 3 2" xfId="28817"/>
    <cellStyle name="Note 3 3 2 6 4 2 4" xfId="20140"/>
    <cellStyle name="Note 3 3 2 6 4 3" xfId="4250"/>
    <cellStyle name="Note 3 3 2 6 4 3 2" xfId="22852"/>
    <cellStyle name="Note 3 3 2 6 4 4" xfId="14864"/>
    <cellStyle name="Note 3 3 2 6 5" xfId="5215"/>
    <cellStyle name="Note 3 3 2 6 5 2" xfId="11764"/>
    <cellStyle name="Note 3 3 2 6 5 2 2" xfId="26086"/>
    <cellStyle name="Note 3 3 2 6 5 3" xfId="17409"/>
    <cellStyle name="Note 3 3 2 6 6" xfId="4492"/>
    <cellStyle name="Note 3 3 2 6 6 2" xfId="22985"/>
    <cellStyle name="Note 3 3 2 6 7" xfId="4618"/>
    <cellStyle name="Note 3 3 2 7" xfId="2195"/>
    <cellStyle name="Note 3 3 2 7 2" xfId="2196"/>
    <cellStyle name="Note 3 3 2 7 2 2" xfId="5437"/>
    <cellStyle name="Note 3 3 2 7 2 2 2" xfId="11988"/>
    <cellStyle name="Note 3 3 2 7 2 2 2 2" xfId="26310"/>
    <cellStyle name="Note 3 3 2 7 2 2 3" xfId="17633"/>
    <cellStyle name="Note 3 3 2 7 2 3" xfId="7931"/>
    <cellStyle name="Note 3 3 2 7 2 3 2" xfId="10545"/>
    <cellStyle name="Note 3 3 2 7 2 3 2 2" xfId="16807"/>
    <cellStyle name="Note 3 3 2 7 2 3 2 2 2" xfId="30223"/>
    <cellStyle name="Note 3 3 2 7 2 3 2 3" xfId="21552"/>
    <cellStyle name="Note 3 3 2 7 2 3 3" xfId="14535"/>
    <cellStyle name="Note 3 3 2 7 2 3 3 2" xfId="28857"/>
    <cellStyle name="Note 3 3 2 7 2 3 4" xfId="20180"/>
    <cellStyle name="Note 3 3 2 7 2 4" xfId="4452"/>
    <cellStyle name="Note 3 3 2 7 2 4 2" xfId="22961"/>
    <cellStyle name="Note 3 3 2 7 2 5" xfId="15049"/>
    <cellStyle name="Note 3 3 2 7 3" xfId="2197"/>
    <cellStyle name="Note 3 3 2 7 3 2" xfId="4839"/>
    <cellStyle name="Note 3 3 2 7 3 2 2" xfId="9499"/>
    <cellStyle name="Note 3 3 2 7 3 2 2 2" xfId="15761"/>
    <cellStyle name="Note 3 3 2 7 3 2 2 2 2" xfId="29177"/>
    <cellStyle name="Note 3 3 2 7 3 2 2 3" xfId="20506"/>
    <cellStyle name="Note 3 3 2 7 3 2 3" xfId="11372"/>
    <cellStyle name="Note 3 3 2 7 3 2 3 2" xfId="25694"/>
    <cellStyle name="Note 3 3 2 7 3 2 4" xfId="17267"/>
    <cellStyle name="Note 3 3 2 7 3 3" xfId="13065"/>
    <cellStyle name="Note 3 3 2 7 3 3 2" xfId="27387"/>
    <cellStyle name="Note 3 3 2 7 3 4" xfId="18710"/>
    <cellStyle name="Note 3 3 2 7 4" xfId="5401"/>
    <cellStyle name="Note 3 3 2 7 4 2" xfId="11951"/>
    <cellStyle name="Note 3 3 2 7 4 2 2" xfId="26273"/>
    <cellStyle name="Note 3 3 2 7 4 3" xfId="17596"/>
    <cellStyle name="Note 3 3 2 7 5" xfId="4661"/>
    <cellStyle name="Note 3 3 2 7 5 2" xfId="23101"/>
    <cellStyle name="Note 3 3 2 7 6" xfId="15205"/>
    <cellStyle name="Note 3 3 2 8" xfId="2198"/>
    <cellStyle name="Note 3 3 2 8 2" xfId="7035"/>
    <cellStyle name="Note 3 3 2 8 2 2" xfId="13639"/>
    <cellStyle name="Note 3 3 2 8 2 2 2" xfId="27961"/>
    <cellStyle name="Note 3 3 2 8 2 3" xfId="19284"/>
    <cellStyle name="Note 3 3 2 8 3" xfId="7722"/>
    <cellStyle name="Note 3 3 2 8 3 2" xfId="10336"/>
    <cellStyle name="Note 3 3 2 8 3 2 2" xfId="16598"/>
    <cellStyle name="Note 3 3 2 8 3 2 2 2" xfId="30014"/>
    <cellStyle name="Note 3 3 2 8 3 2 3" xfId="21343"/>
    <cellStyle name="Note 3 3 2 8 3 3" xfId="14326"/>
    <cellStyle name="Note 3 3 2 8 3 3 2" xfId="28648"/>
    <cellStyle name="Note 3 3 2 8 3 4" xfId="19971"/>
    <cellStyle name="Note 3 3 2 8 4" xfId="11577"/>
    <cellStyle name="Note 3 3 2 8 4 2" xfId="25899"/>
    <cellStyle name="Note 3 3 2 8 5" xfId="17215"/>
    <cellStyle name="Note 3 3 2 9" xfId="2199"/>
    <cellStyle name="Note 3 3 2 9 2" xfId="7984"/>
    <cellStyle name="Note 3 3 2 9 2 2" xfId="10598"/>
    <cellStyle name="Note 3 3 2 9 2 2 2" xfId="16860"/>
    <cellStyle name="Note 3 3 2 9 2 2 2 2" xfId="30276"/>
    <cellStyle name="Note 3 3 2 9 2 2 3" xfId="21605"/>
    <cellStyle name="Note 3 3 2 9 2 3" xfId="14588"/>
    <cellStyle name="Note 3 3 2 9 2 3 2" xfId="28910"/>
    <cellStyle name="Note 3 3 2 9 2 4" xfId="20233"/>
    <cellStyle name="Note 3 3 2 9 3" xfId="11669"/>
    <cellStyle name="Note 3 3 2 9 3 2" xfId="25991"/>
    <cellStyle name="Note 3 3 2 9 4" xfId="14925"/>
    <cellStyle name="Note 3 3 3" xfId="2200"/>
    <cellStyle name="Note 3 3 3 10" xfId="6586"/>
    <cellStyle name="Note 3 3 3 10 2" xfId="23591"/>
    <cellStyle name="Note 3 3 3 11" xfId="15215"/>
    <cellStyle name="Note 3 3 3 2" xfId="2201"/>
    <cellStyle name="Note 3 3 3 2 2" xfId="2202"/>
    <cellStyle name="Note 3 3 3 2 2 2" xfId="2203"/>
    <cellStyle name="Note 3 3 3 2 2 2 2" xfId="5368"/>
    <cellStyle name="Note 3 3 3 2 2 2 2 2" xfId="11918"/>
    <cellStyle name="Note 3 3 3 2 2 2 2 2 2" xfId="26240"/>
    <cellStyle name="Note 3 3 3 2 2 2 2 3" xfId="17563"/>
    <cellStyle name="Note 3 3 3 2 2 2 3" xfId="7120"/>
    <cellStyle name="Note 3 3 3 2 2 2 3 2" xfId="9734"/>
    <cellStyle name="Note 3 3 3 2 2 2 3 2 2" xfId="15996"/>
    <cellStyle name="Note 3 3 3 2 2 2 3 2 2 2" xfId="29412"/>
    <cellStyle name="Note 3 3 3 2 2 2 3 2 3" xfId="20741"/>
    <cellStyle name="Note 3 3 3 2 2 2 3 3" xfId="13724"/>
    <cellStyle name="Note 3 3 3 2 2 2 3 3 2" xfId="28046"/>
    <cellStyle name="Note 3 3 3 2 2 2 3 4" xfId="19369"/>
    <cellStyle name="Note 3 3 3 2 2 2 4" xfId="4147"/>
    <cellStyle name="Note 3 3 3 2 2 2 4 2" xfId="22784"/>
    <cellStyle name="Note 3 3 3 2 2 2 5" xfId="4523"/>
    <cellStyle name="Note 3 3 3 2 2 3" xfId="2204"/>
    <cellStyle name="Note 3 3 3 2 2 3 2" xfId="7089"/>
    <cellStyle name="Note 3 3 3 2 2 3 2 2" xfId="9703"/>
    <cellStyle name="Note 3 3 3 2 2 3 2 2 2" xfId="15965"/>
    <cellStyle name="Note 3 3 3 2 2 3 2 2 2 2" xfId="29381"/>
    <cellStyle name="Note 3 3 3 2 2 3 2 2 3" xfId="20710"/>
    <cellStyle name="Note 3 3 3 2 2 3 2 3" xfId="13693"/>
    <cellStyle name="Note 3 3 3 2 2 3 2 3 2" xfId="28015"/>
    <cellStyle name="Note 3 3 3 2 2 3 2 4" xfId="19338"/>
    <cellStyle name="Note 3 3 3 2 2 3 3" xfId="13300"/>
    <cellStyle name="Note 3 3 3 2 2 3 3 2" xfId="27622"/>
    <cellStyle name="Note 3 3 3 2 2 3 4" xfId="18945"/>
    <cellStyle name="Note 3 3 3 2 2 4" xfId="5750"/>
    <cellStyle name="Note 3 3 3 2 2 4 2" xfId="12303"/>
    <cellStyle name="Note 3 3 3 2 2 4 2 2" xfId="26625"/>
    <cellStyle name="Note 3 3 3 2 2 4 3" xfId="17948"/>
    <cellStyle name="Note 3 3 3 2 2 5" xfId="6613"/>
    <cellStyle name="Note 3 3 3 2 2 5 2" xfId="23605"/>
    <cellStyle name="Note 3 3 3 2 2 6" xfId="15081"/>
    <cellStyle name="Note 3 3 3 2 3" xfId="2205"/>
    <cellStyle name="Note 3 3 3 2 3 2" xfId="2206"/>
    <cellStyle name="Note 3 3 3 2 3 2 2" xfId="7027"/>
    <cellStyle name="Note 3 3 3 2 3 2 2 2" xfId="13631"/>
    <cellStyle name="Note 3 3 3 2 3 2 2 2 2" xfId="27953"/>
    <cellStyle name="Note 3 3 3 2 3 2 2 3" xfId="19276"/>
    <cellStyle name="Note 3 3 3 2 3 2 3" xfId="7889"/>
    <cellStyle name="Note 3 3 3 2 3 2 3 2" xfId="10503"/>
    <cellStyle name="Note 3 3 3 2 3 2 3 2 2" xfId="16765"/>
    <cellStyle name="Note 3 3 3 2 3 2 3 2 2 2" xfId="30181"/>
    <cellStyle name="Note 3 3 3 2 3 2 3 2 3" xfId="21510"/>
    <cellStyle name="Note 3 3 3 2 3 2 3 3" xfId="14493"/>
    <cellStyle name="Note 3 3 3 2 3 2 3 3 2" xfId="28815"/>
    <cellStyle name="Note 3 3 3 2 3 2 3 4" xfId="20138"/>
    <cellStyle name="Note 3 3 3 2 3 2 4" xfId="11566"/>
    <cellStyle name="Note 3 3 3 2 3 2 4 2" xfId="25888"/>
    <cellStyle name="Note 3 3 3 2 3 2 5" xfId="14929"/>
    <cellStyle name="Note 3 3 3 2 3 3" xfId="2207"/>
    <cellStyle name="Note 3 3 3 2 3 3 2" xfId="7499"/>
    <cellStyle name="Note 3 3 3 2 3 3 2 2" xfId="10113"/>
    <cellStyle name="Note 3 3 3 2 3 3 2 2 2" xfId="16375"/>
    <cellStyle name="Note 3 3 3 2 3 3 2 2 2 2" xfId="29791"/>
    <cellStyle name="Note 3 3 3 2 3 3 2 2 3" xfId="21120"/>
    <cellStyle name="Note 3 3 3 2 3 3 2 3" xfId="14103"/>
    <cellStyle name="Note 3 3 3 2 3 3 2 3 2" xfId="28425"/>
    <cellStyle name="Note 3 3 3 2 3 3 2 4" xfId="19748"/>
    <cellStyle name="Note 3 3 3 2 3 3 3" xfId="13171"/>
    <cellStyle name="Note 3 3 3 2 3 3 3 2" xfId="27493"/>
    <cellStyle name="Note 3 3 3 2 3 3 4" xfId="18816"/>
    <cellStyle name="Note 3 3 3 2 3 4" xfId="5594"/>
    <cellStyle name="Note 3 3 3 2 3 4 2" xfId="12146"/>
    <cellStyle name="Note 3 3 3 2 3 4 2 2" xfId="26468"/>
    <cellStyle name="Note 3 3 3 2 3 4 3" xfId="17791"/>
    <cellStyle name="Note 3 3 3 2 3 5" xfId="4740"/>
    <cellStyle name="Note 3 3 3 2 3 5 2" xfId="23163"/>
    <cellStyle name="Note 3 3 3 2 3 6" xfId="17081"/>
    <cellStyle name="Note 3 3 3 2 4" xfId="2208"/>
    <cellStyle name="Note 3 3 3 2 4 2" xfId="6843"/>
    <cellStyle name="Note 3 3 3 2 4 2 2" xfId="13447"/>
    <cellStyle name="Note 3 3 3 2 4 2 2 2" xfId="27769"/>
    <cellStyle name="Note 3 3 3 2 4 2 3" xfId="19092"/>
    <cellStyle name="Note 3 3 3 2 4 3" xfId="7882"/>
    <cellStyle name="Note 3 3 3 2 4 3 2" xfId="10496"/>
    <cellStyle name="Note 3 3 3 2 4 3 2 2" xfId="16758"/>
    <cellStyle name="Note 3 3 3 2 4 3 2 2 2" xfId="30174"/>
    <cellStyle name="Note 3 3 3 2 4 3 2 3" xfId="21503"/>
    <cellStyle name="Note 3 3 3 2 4 3 3" xfId="14486"/>
    <cellStyle name="Note 3 3 3 2 4 3 3 2" xfId="28808"/>
    <cellStyle name="Note 3 3 3 2 4 3 4" xfId="20131"/>
    <cellStyle name="Note 3 3 3 2 4 4" xfId="2769"/>
    <cellStyle name="Note 3 3 3 2 4 4 2" xfId="22338"/>
    <cellStyle name="Note 3 3 3 2 4 5" xfId="3758"/>
    <cellStyle name="Note 3 3 3 2 5" xfId="2209"/>
    <cellStyle name="Note 3 3 3 2 5 2" xfId="8069"/>
    <cellStyle name="Note 3 3 3 2 5 2 2" xfId="10683"/>
    <cellStyle name="Note 3 3 3 2 5 2 2 2" xfId="16945"/>
    <cellStyle name="Note 3 3 3 2 5 2 2 2 2" xfId="30361"/>
    <cellStyle name="Note 3 3 3 2 5 2 2 3" xfId="21690"/>
    <cellStyle name="Note 3 3 3 2 5 2 3" xfId="14673"/>
    <cellStyle name="Note 3 3 3 2 5 2 3 2" xfId="28995"/>
    <cellStyle name="Note 3 3 3 2 5 2 4" xfId="20318"/>
    <cellStyle name="Note 3 3 3 2 5 3" xfId="12876"/>
    <cellStyle name="Note 3 3 3 2 5 3 2" xfId="27198"/>
    <cellStyle name="Note 3 3 3 2 5 4" xfId="18521"/>
    <cellStyle name="Note 3 3 3 2 6" xfId="5494"/>
    <cellStyle name="Note 3 3 3 2 6 2" xfId="12045"/>
    <cellStyle name="Note 3 3 3 2 6 2 2" xfId="26367"/>
    <cellStyle name="Note 3 3 3 2 6 3" xfId="17690"/>
    <cellStyle name="Note 3 3 3 2 7" xfId="4404"/>
    <cellStyle name="Note 3 3 3 2 7 2" xfId="22931"/>
    <cellStyle name="Note 3 3 3 2 8" xfId="17110"/>
    <cellStyle name="Note 3 3 3 3" xfId="2210"/>
    <cellStyle name="Note 3 3 3 3 2" xfId="2211"/>
    <cellStyle name="Note 3 3 3 3 2 2" xfId="2212"/>
    <cellStyle name="Note 3 3 3 3 2 2 2" xfId="6529"/>
    <cellStyle name="Note 3 3 3 3 2 2 2 2" xfId="13117"/>
    <cellStyle name="Note 3 3 3 3 2 2 2 2 2" xfId="27439"/>
    <cellStyle name="Note 3 3 3 3 2 2 2 3" xfId="18762"/>
    <cellStyle name="Note 3 3 3 3 2 2 3" xfId="4402"/>
    <cellStyle name="Note 3 3 3 3 2 2 3 2" xfId="9461"/>
    <cellStyle name="Note 3 3 3 3 2 2 3 2 2" xfId="15723"/>
    <cellStyle name="Note 3 3 3 3 2 2 3 2 2 2" xfId="29139"/>
    <cellStyle name="Note 3 3 3 3 2 2 3 2 3" xfId="20468"/>
    <cellStyle name="Note 3 3 3 3 2 2 3 3" xfId="3727"/>
    <cellStyle name="Note 3 3 3 3 2 2 3 3 2" xfId="22549"/>
    <cellStyle name="Note 3 3 3 3 2 2 3 4" xfId="17186"/>
    <cellStyle name="Note 3 3 3 3 2 2 4" xfId="2828"/>
    <cellStyle name="Note 3 3 3 3 2 2 4 2" xfId="22391"/>
    <cellStyle name="Note 3 3 3 3 2 2 5" xfId="16983"/>
    <cellStyle name="Note 3 3 3 3 2 3" xfId="2213"/>
    <cellStyle name="Note 3 3 3 3 2 3 2" xfId="7525"/>
    <cellStyle name="Note 3 3 3 3 2 3 2 2" xfId="10139"/>
    <cellStyle name="Note 3 3 3 3 2 3 2 2 2" xfId="16401"/>
    <cellStyle name="Note 3 3 3 3 2 3 2 2 2 2" xfId="29817"/>
    <cellStyle name="Note 3 3 3 3 2 3 2 2 3" xfId="21146"/>
    <cellStyle name="Note 3 3 3 3 2 3 2 3" xfId="14129"/>
    <cellStyle name="Note 3 3 3 3 2 3 2 3 2" xfId="28451"/>
    <cellStyle name="Note 3 3 3 3 2 3 2 4" xfId="19774"/>
    <cellStyle name="Note 3 3 3 3 2 3 3" xfId="13336"/>
    <cellStyle name="Note 3 3 3 3 2 3 3 2" xfId="27658"/>
    <cellStyle name="Note 3 3 3 3 2 3 4" xfId="18981"/>
    <cellStyle name="Note 3 3 3 3 2 4" xfId="5786"/>
    <cellStyle name="Note 3 3 3 3 2 4 2" xfId="12339"/>
    <cellStyle name="Note 3 3 3 3 2 4 2 2" xfId="26661"/>
    <cellStyle name="Note 3 3 3 3 2 4 3" xfId="17984"/>
    <cellStyle name="Note 3 3 3 3 2 5" xfId="4290"/>
    <cellStyle name="Note 3 3 3 3 2 5 2" xfId="22874"/>
    <cellStyle name="Note 3 3 3 3 2 6" xfId="15396"/>
    <cellStyle name="Note 3 3 3 3 3" xfId="2214"/>
    <cellStyle name="Note 3 3 3 3 3 2" xfId="2215"/>
    <cellStyle name="Note 3 3 3 3 3 2 2" xfId="6515"/>
    <cellStyle name="Note 3 3 3 3 3 2 2 2" xfId="13103"/>
    <cellStyle name="Note 3 3 3 3 3 2 2 2 2" xfId="27425"/>
    <cellStyle name="Note 3 3 3 3 3 2 2 3" xfId="18748"/>
    <cellStyle name="Note 3 3 3 3 3 2 3" xfId="5326"/>
    <cellStyle name="Note 3 3 3 3 3 2 3 2" xfId="9635"/>
    <cellStyle name="Note 3 3 3 3 3 2 3 2 2" xfId="15897"/>
    <cellStyle name="Note 3 3 3 3 3 2 3 2 2 2" xfId="29313"/>
    <cellStyle name="Note 3 3 3 3 3 2 3 2 3" xfId="20642"/>
    <cellStyle name="Note 3 3 3 3 3 2 3 3" xfId="11876"/>
    <cellStyle name="Note 3 3 3 3 3 2 3 3 2" xfId="26198"/>
    <cellStyle name="Note 3 3 3 3 3 2 3 4" xfId="17521"/>
    <cellStyle name="Note 3 3 3 3 3 2 4" xfId="4643"/>
    <cellStyle name="Note 3 3 3 3 3 2 4 2" xfId="23087"/>
    <cellStyle name="Note 3 3 3 3 3 2 5" xfId="14775"/>
    <cellStyle name="Note 3 3 3 3 3 3" xfId="2216"/>
    <cellStyle name="Note 3 3 3 3 3 3 2" xfId="7102"/>
    <cellStyle name="Note 3 3 3 3 3 3 2 2" xfId="9716"/>
    <cellStyle name="Note 3 3 3 3 3 3 2 2 2" xfId="15978"/>
    <cellStyle name="Note 3 3 3 3 3 3 2 2 2 2" xfId="29394"/>
    <cellStyle name="Note 3 3 3 3 3 3 2 2 3" xfId="20723"/>
    <cellStyle name="Note 3 3 3 3 3 3 2 3" xfId="13706"/>
    <cellStyle name="Note 3 3 3 3 3 3 2 3 2" xfId="28028"/>
    <cellStyle name="Note 3 3 3 3 3 3 2 4" xfId="19351"/>
    <cellStyle name="Note 3 3 3 3 3 3 3" xfId="13408"/>
    <cellStyle name="Note 3 3 3 3 3 3 3 2" xfId="27730"/>
    <cellStyle name="Note 3 3 3 3 3 3 4" xfId="19053"/>
    <cellStyle name="Note 3 3 3 3 3 4" xfId="5876"/>
    <cellStyle name="Note 3 3 3 3 3 4 2" xfId="12429"/>
    <cellStyle name="Note 3 3 3 3 3 4 2 2" xfId="26751"/>
    <cellStyle name="Note 3 3 3 3 3 4 3" xfId="18074"/>
    <cellStyle name="Note 3 3 3 3 3 5" xfId="4674"/>
    <cellStyle name="Note 3 3 3 3 3 5 2" xfId="23113"/>
    <cellStyle name="Note 3 3 3 3 3 6" xfId="15088"/>
    <cellStyle name="Note 3 3 3 3 4" xfId="2217"/>
    <cellStyle name="Note 3 3 3 3 4 2" xfId="5886"/>
    <cellStyle name="Note 3 3 3 3 4 2 2" xfId="12439"/>
    <cellStyle name="Note 3 3 3 3 4 2 2 2" xfId="26761"/>
    <cellStyle name="Note 3 3 3 3 4 2 3" xfId="18084"/>
    <cellStyle name="Note 3 3 3 3 4 3" xfId="7070"/>
    <cellStyle name="Note 3 3 3 3 4 3 2" xfId="9684"/>
    <cellStyle name="Note 3 3 3 3 4 3 2 2" xfId="15946"/>
    <cellStyle name="Note 3 3 3 3 4 3 2 2 2" xfId="29362"/>
    <cellStyle name="Note 3 3 3 3 4 3 2 3" xfId="20691"/>
    <cellStyle name="Note 3 3 3 3 4 3 3" xfId="13674"/>
    <cellStyle name="Note 3 3 3 3 4 3 3 2" xfId="27996"/>
    <cellStyle name="Note 3 3 3 3 4 3 4" xfId="19319"/>
    <cellStyle name="Note 3 3 3 3 4 4" xfId="4687"/>
    <cellStyle name="Note 3 3 3 3 4 4 2" xfId="23123"/>
    <cellStyle name="Note 3 3 3 3 4 5" xfId="15176"/>
    <cellStyle name="Note 3 3 3 3 5" xfId="2218"/>
    <cellStyle name="Note 3 3 3 3 5 2" xfId="5259"/>
    <cellStyle name="Note 3 3 3 3 5 2 2" xfId="9568"/>
    <cellStyle name="Note 3 3 3 3 5 2 2 2" xfId="15830"/>
    <cellStyle name="Note 3 3 3 3 5 2 2 2 2" xfId="29246"/>
    <cellStyle name="Note 3 3 3 3 5 2 2 3" xfId="20575"/>
    <cellStyle name="Note 3 3 3 3 5 2 3" xfId="11809"/>
    <cellStyle name="Note 3 3 3 3 5 2 3 2" xfId="26131"/>
    <cellStyle name="Note 3 3 3 3 5 2 4" xfId="17454"/>
    <cellStyle name="Note 3 3 3 3 5 3" xfId="12912"/>
    <cellStyle name="Note 3 3 3 3 5 3 2" xfId="27234"/>
    <cellStyle name="Note 3 3 3 3 5 4" xfId="18557"/>
    <cellStyle name="Note 3 3 3 3 6" xfId="5536"/>
    <cellStyle name="Note 3 3 3 3 6 2" xfId="12087"/>
    <cellStyle name="Note 3 3 3 3 6 2 2" xfId="26409"/>
    <cellStyle name="Note 3 3 3 3 6 3" xfId="17732"/>
    <cellStyle name="Note 3 3 3 3 7" xfId="4182"/>
    <cellStyle name="Note 3 3 3 3 7 2" xfId="22804"/>
    <cellStyle name="Note 3 3 3 3 8" xfId="15341"/>
    <cellStyle name="Note 3 3 3 4" xfId="2219"/>
    <cellStyle name="Note 3 3 3 4 2" xfId="2220"/>
    <cellStyle name="Note 3 3 3 4 2 2" xfId="2221"/>
    <cellStyle name="Note 3 3 3 4 2 2 2" xfId="6837"/>
    <cellStyle name="Note 3 3 3 4 2 2 2 2" xfId="13441"/>
    <cellStyle name="Note 3 3 3 4 2 2 2 2 2" xfId="27763"/>
    <cellStyle name="Note 3 3 3 4 2 2 2 3" xfId="19086"/>
    <cellStyle name="Note 3 3 3 4 2 2 3" xfId="7075"/>
    <cellStyle name="Note 3 3 3 4 2 2 3 2" xfId="9689"/>
    <cellStyle name="Note 3 3 3 4 2 2 3 2 2" xfId="15951"/>
    <cellStyle name="Note 3 3 3 4 2 2 3 2 2 2" xfId="29367"/>
    <cellStyle name="Note 3 3 3 4 2 2 3 2 3" xfId="20696"/>
    <cellStyle name="Note 3 3 3 4 2 2 3 3" xfId="13679"/>
    <cellStyle name="Note 3 3 3 4 2 2 3 3 2" xfId="28001"/>
    <cellStyle name="Note 3 3 3 4 2 2 3 4" xfId="19324"/>
    <cellStyle name="Note 3 3 3 4 2 2 4" xfId="2772"/>
    <cellStyle name="Note 3 3 3 4 2 2 4 2" xfId="22341"/>
    <cellStyle name="Note 3 3 3 4 2 2 5" xfId="3648"/>
    <cellStyle name="Note 3 3 3 4 2 3" xfId="2222"/>
    <cellStyle name="Note 3 3 3 4 2 3 2" xfId="7661"/>
    <cellStyle name="Note 3 3 3 4 2 3 2 2" xfId="10275"/>
    <cellStyle name="Note 3 3 3 4 2 3 2 2 2" xfId="16537"/>
    <cellStyle name="Note 3 3 3 4 2 3 2 2 2 2" xfId="29953"/>
    <cellStyle name="Note 3 3 3 4 2 3 2 2 3" xfId="21282"/>
    <cellStyle name="Note 3 3 3 4 2 3 2 3" xfId="14265"/>
    <cellStyle name="Note 3 3 3 4 2 3 2 3 2" xfId="28587"/>
    <cellStyle name="Note 3 3 3 4 2 3 2 4" xfId="19910"/>
    <cellStyle name="Note 3 3 3 4 2 3 3" xfId="13216"/>
    <cellStyle name="Note 3 3 3 4 2 3 3 2" xfId="27538"/>
    <cellStyle name="Note 3 3 3 4 2 3 4" xfId="18861"/>
    <cellStyle name="Note 3 3 3 4 2 4" xfId="5657"/>
    <cellStyle name="Note 3 3 3 4 2 4 2" xfId="12210"/>
    <cellStyle name="Note 3 3 3 4 2 4 2 2" xfId="26532"/>
    <cellStyle name="Note 3 3 3 4 2 4 3" xfId="17855"/>
    <cellStyle name="Note 3 3 3 4 2 5" xfId="6486"/>
    <cellStyle name="Note 3 3 3 4 2 5 2" xfId="23565"/>
    <cellStyle name="Note 3 3 3 4 2 6" xfId="15238"/>
    <cellStyle name="Note 3 3 3 4 3" xfId="2223"/>
    <cellStyle name="Note 3 3 3 4 3 2" xfId="2224"/>
    <cellStyle name="Note 3 3 3 4 3 2 2" xfId="5128"/>
    <cellStyle name="Note 3 3 3 4 3 2 2 2" xfId="11677"/>
    <cellStyle name="Note 3 3 3 4 3 2 2 2 2" xfId="25999"/>
    <cellStyle name="Note 3 3 3 4 3 2 2 3" xfId="6363"/>
    <cellStyle name="Note 3 3 3 4 3 2 3" xfId="7921"/>
    <cellStyle name="Note 3 3 3 4 3 2 3 2" xfId="10535"/>
    <cellStyle name="Note 3 3 3 4 3 2 3 2 2" xfId="16797"/>
    <cellStyle name="Note 3 3 3 4 3 2 3 2 2 2" xfId="30213"/>
    <cellStyle name="Note 3 3 3 4 3 2 3 2 3" xfId="21542"/>
    <cellStyle name="Note 3 3 3 4 3 2 3 3" xfId="14525"/>
    <cellStyle name="Note 3 3 3 4 3 2 3 3 2" xfId="28847"/>
    <cellStyle name="Note 3 3 3 4 3 2 3 4" xfId="20170"/>
    <cellStyle name="Note 3 3 3 4 3 2 4" xfId="4497"/>
    <cellStyle name="Note 3 3 3 4 3 2 4 2" xfId="22989"/>
    <cellStyle name="Note 3 3 3 4 3 2 5" xfId="4303"/>
    <cellStyle name="Note 3 3 3 4 3 3" xfId="2225"/>
    <cellStyle name="Note 3 3 3 4 3 3 2" xfId="7636"/>
    <cellStyle name="Note 3 3 3 4 3 3 2 2" xfId="10250"/>
    <cellStyle name="Note 3 3 3 4 3 3 2 2 2" xfId="16512"/>
    <cellStyle name="Note 3 3 3 4 3 3 2 2 2 2" xfId="29928"/>
    <cellStyle name="Note 3 3 3 4 3 3 2 2 3" xfId="21257"/>
    <cellStyle name="Note 3 3 3 4 3 3 2 3" xfId="14240"/>
    <cellStyle name="Note 3 3 3 4 3 3 2 3 2" xfId="28562"/>
    <cellStyle name="Note 3 3 3 4 3 3 2 4" xfId="19885"/>
    <cellStyle name="Note 3 3 3 4 3 3 3" xfId="12620"/>
    <cellStyle name="Note 3 3 3 4 3 3 3 2" xfId="26942"/>
    <cellStyle name="Note 3 3 3 4 3 3 4" xfId="18265"/>
    <cellStyle name="Note 3 3 3 4 3 4" xfId="5083"/>
    <cellStyle name="Note 3 3 3 4 3 4 2" xfId="11630"/>
    <cellStyle name="Note 3 3 3 4 3 4 2 2" xfId="25952"/>
    <cellStyle name="Note 3 3 3 4 3 4 3" xfId="5918"/>
    <cellStyle name="Note 3 3 3 4 3 5" xfId="5933"/>
    <cellStyle name="Note 3 3 3 4 3 5 2" xfId="23376"/>
    <cellStyle name="Note 3 3 3 4 3 6" xfId="15532"/>
    <cellStyle name="Note 3 3 3 4 4" xfId="2226"/>
    <cellStyle name="Note 3 3 3 4 4 2" xfId="6389"/>
    <cellStyle name="Note 3 3 3 4 4 2 2" xfId="12972"/>
    <cellStyle name="Note 3 3 3 4 4 2 2 2" xfId="27294"/>
    <cellStyle name="Note 3 3 3 4 4 2 3" xfId="18617"/>
    <cellStyle name="Note 3 3 3 4 4 3" xfId="7069"/>
    <cellStyle name="Note 3 3 3 4 4 3 2" xfId="9683"/>
    <cellStyle name="Note 3 3 3 4 4 3 2 2" xfId="15945"/>
    <cellStyle name="Note 3 3 3 4 4 3 2 2 2" xfId="29361"/>
    <cellStyle name="Note 3 3 3 4 4 3 2 3" xfId="20690"/>
    <cellStyle name="Note 3 3 3 4 4 3 3" xfId="13673"/>
    <cellStyle name="Note 3 3 3 4 4 3 3 2" xfId="27995"/>
    <cellStyle name="Note 3 3 3 4 4 3 4" xfId="19318"/>
    <cellStyle name="Note 3 3 3 4 4 4" xfId="4690"/>
    <cellStyle name="Note 3 3 3 4 4 4 2" xfId="23126"/>
    <cellStyle name="Note 3 3 3 4 4 5" xfId="14888"/>
    <cellStyle name="Note 3 3 3 4 5" xfId="2227"/>
    <cellStyle name="Note 3 3 3 4 5 2" xfId="7749"/>
    <cellStyle name="Note 3 3 3 4 5 2 2" xfId="10363"/>
    <cellStyle name="Note 3 3 3 4 5 2 2 2" xfId="16625"/>
    <cellStyle name="Note 3 3 3 4 5 2 2 2 2" xfId="30041"/>
    <cellStyle name="Note 3 3 3 4 5 2 2 3" xfId="21370"/>
    <cellStyle name="Note 3 3 3 4 5 2 3" xfId="14353"/>
    <cellStyle name="Note 3 3 3 4 5 2 3 2" xfId="28675"/>
    <cellStyle name="Note 3 3 3 4 5 2 4" xfId="19998"/>
    <cellStyle name="Note 3 3 3 4 5 3" xfId="4123"/>
    <cellStyle name="Note 3 3 3 4 5 3 2" xfId="22767"/>
    <cellStyle name="Note 3 3 3 4 5 4" xfId="15407"/>
    <cellStyle name="Note 3 3 3 4 6" xfId="5157"/>
    <cellStyle name="Note 3 3 3 4 6 2" xfId="11706"/>
    <cellStyle name="Note 3 3 3 4 6 2 2" xfId="26028"/>
    <cellStyle name="Note 3 3 3 4 6 3" xfId="4946"/>
    <cellStyle name="Note 3 3 3 4 7" xfId="6152"/>
    <cellStyle name="Note 3 3 3 4 7 2" xfId="23432"/>
    <cellStyle name="Note 3 3 3 4 8" xfId="17115"/>
    <cellStyle name="Note 3 3 3 5" xfId="2228"/>
    <cellStyle name="Note 3 3 3 5 2" xfId="2229"/>
    <cellStyle name="Note 3 3 3 5 2 2" xfId="2230"/>
    <cellStyle name="Note 3 3 3 5 2 2 2" xfId="6553"/>
    <cellStyle name="Note 3 3 3 5 2 2 2 2" xfId="13141"/>
    <cellStyle name="Note 3 3 3 5 2 2 2 2 2" xfId="27463"/>
    <cellStyle name="Note 3 3 3 5 2 2 2 3" xfId="18786"/>
    <cellStyle name="Note 3 3 3 5 2 2 3" xfId="4979"/>
    <cellStyle name="Note 3 3 3 5 2 2 3 2" xfId="9529"/>
    <cellStyle name="Note 3 3 3 5 2 2 3 2 2" xfId="15791"/>
    <cellStyle name="Note 3 3 3 5 2 2 3 2 2 2" xfId="29207"/>
    <cellStyle name="Note 3 3 3 5 2 2 3 2 3" xfId="20536"/>
    <cellStyle name="Note 3 3 3 5 2 2 3 3" xfId="11522"/>
    <cellStyle name="Note 3 3 3 5 2 2 3 3 2" xfId="25844"/>
    <cellStyle name="Note 3 3 3 5 2 2 3 4" xfId="14749"/>
    <cellStyle name="Note 3 3 3 5 2 2 4" xfId="3163"/>
    <cellStyle name="Note 3 3 3 5 2 2 4 2" xfId="22425"/>
    <cellStyle name="Note 3 3 3 5 2 2 5" xfId="15465"/>
    <cellStyle name="Note 3 3 3 5 2 3" xfId="2231"/>
    <cellStyle name="Note 3 3 3 5 2 3 2" xfId="8060"/>
    <cellStyle name="Note 3 3 3 5 2 3 2 2" xfId="10674"/>
    <cellStyle name="Note 3 3 3 5 2 3 2 2 2" xfId="16936"/>
    <cellStyle name="Note 3 3 3 5 2 3 2 2 2 2" xfId="30352"/>
    <cellStyle name="Note 3 3 3 5 2 3 2 2 3" xfId="21681"/>
    <cellStyle name="Note 3 3 3 5 2 3 2 3" xfId="14664"/>
    <cellStyle name="Note 3 3 3 5 2 3 2 3 2" xfId="28986"/>
    <cellStyle name="Note 3 3 3 5 2 3 2 4" xfId="20309"/>
    <cellStyle name="Note 3 3 3 5 2 3 3" xfId="13160"/>
    <cellStyle name="Note 3 3 3 5 2 3 3 2" xfId="27482"/>
    <cellStyle name="Note 3 3 3 5 2 3 4" xfId="18805"/>
    <cellStyle name="Note 3 3 3 5 2 4" xfId="5573"/>
    <cellStyle name="Note 3 3 3 5 2 4 2" xfId="12124"/>
    <cellStyle name="Note 3 3 3 5 2 4 2 2" xfId="26446"/>
    <cellStyle name="Note 3 3 3 5 2 4 3" xfId="17769"/>
    <cellStyle name="Note 3 3 3 5 2 5" xfId="4829"/>
    <cellStyle name="Note 3 3 3 5 2 5 2" xfId="23208"/>
    <cellStyle name="Note 3 3 3 5 2 6" xfId="17198"/>
    <cellStyle name="Note 3 3 3 5 3" xfId="2232"/>
    <cellStyle name="Note 3 3 3 5 3 2" xfId="6049"/>
    <cellStyle name="Note 3 3 3 5 3 2 2" xfId="12615"/>
    <cellStyle name="Note 3 3 3 5 3 2 2 2" xfId="26937"/>
    <cellStyle name="Note 3 3 3 5 3 2 3" xfId="18260"/>
    <cellStyle name="Note 3 3 3 5 3 3" xfId="7649"/>
    <cellStyle name="Note 3 3 3 5 3 3 2" xfId="10263"/>
    <cellStyle name="Note 3 3 3 5 3 3 2 2" xfId="16525"/>
    <cellStyle name="Note 3 3 3 5 3 3 2 2 2" xfId="29941"/>
    <cellStyle name="Note 3 3 3 5 3 3 2 3" xfId="21270"/>
    <cellStyle name="Note 3 3 3 5 3 3 3" xfId="14253"/>
    <cellStyle name="Note 3 3 3 5 3 3 3 2" xfId="28575"/>
    <cellStyle name="Note 3 3 3 5 3 3 4" xfId="19898"/>
    <cellStyle name="Note 3 3 3 5 3 4" xfId="3759"/>
    <cellStyle name="Note 3 3 3 5 3 4 2" xfId="22565"/>
    <cellStyle name="Note 3 3 3 5 3 5" xfId="14946"/>
    <cellStyle name="Note 3 3 3 5 4" xfId="2233"/>
    <cellStyle name="Note 3 3 3 5 4 2" xfId="7694"/>
    <cellStyle name="Note 3 3 3 5 4 2 2" xfId="10308"/>
    <cellStyle name="Note 3 3 3 5 4 2 2 2" xfId="16570"/>
    <cellStyle name="Note 3 3 3 5 4 2 2 2 2" xfId="29986"/>
    <cellStyle name="Note 3 3 3 5 4 2 2 3" xfId="21315"/>
    <cellStyle name="Note 3 3 3 5 4 2 3" xfId="14298"/>
    <cellStyle name="Note 3 3 3 5 4 2 3 2" xfId="28620"/>
    <cellStyle name="Note 3 3 3 5 4 2 4" xfId="19943"/>
    <cellStyle name="Note 3 3 3 5 4 3" xfId="12940"/>
    <cellStyle name="Note 3 3 3 5 4 3 2" xfId="27262"/>
    <cellStyle name="Note 3 3 3 5 4 4" xfId="18585"/>
    <cellStyle name="Note 3 3 3 5 5" xfId="5572"/>
    <cellStyle name="Note 3 3 3 5 5 2" xfId="12123"/>
    <cellStyle name="Note 3 3 3 5 5 2 2" xfId="26445"/>
    <cellStyle name="Note 3 3 3 5 5 3" xfId="17768"/>
    <cellStyle name="Note 3 3 3 5 6" xfId="4876"/>
    <cellStyle name="Note 3 3 3 5 6 2" xfId="23239"/>
    <cellStyle name="Note 3 3 3 5 7" xfId="15295"/>
    <cellStyle name="Note 3 3 3 6" xfId="2234"/>
    <cellStyle name="Note 3 3 3 6 2" xfId="2235"/>
    <cellStyle name="Note 3 3 3 6 2 2" xfId="5455"/>
    <cellStyle name="Note 3 3 3 6 2 2 2" xfId="12006"/>
    <cellStyle name="Note 3 3 3 6 2 2 2 2" xfId="26328"/>
    <cellStyle name="Note 3 3 3 6 2 2 3" xfId="17651"/>
    <cellStyle name="Note 3 3 3 6 2 3" xfId="7311"/>
    <cellStyle name="Note 3 3 3 6 2 3 2" xfId="9925"/>
    <cellStyle name="Note 3 3 3 6 2 3 2 2" xfId="16187"/>
    <cellStyle name="Note 3 3 3 6 2 3 2 2 2" xfId="29603"/>
    <cellStyle name="Note 3 3 3 6 2 3 2 3" xfId="20932"/>
    <cellStyle name="Note 3 3 3 6 2 3 3" xfId="13915"/>
    <cellStyle name="Note 3 3 3 6 2 3 3 2" xfId="28237"/>
    <cellStyle name="Note 3 3 3 6 2 3 4" xfId="19560"/>
    <cellStyle name="Note 3 3 3 6 2 4" xfId="3981"/>
    <cellStyle name="Note 3 3 3 6 2 4 2" xfId="22684"/>
    <cellStyle name="Note 3 3 3 6 2 5" xfId="14741"/>
    <cellStyle name="Note 3 3 3 6 3" xfId="2236"/>
    <cellStyle name="Note 3 3 3 6 3 2" xfId="7234"/>
    <cellStyle name="Note 3 3 3 6 3 2 2" xfId="9848"/>
    <cellStyle name="Note 3 3 3 6 3 2 2 2" xfId="16110"/>
    <cellStyle name="Note 3 3 3 6 3 2 2 2 2" xfId="29526"/>
    <cellStyle name="Note 3 3 3 6 3 2 2 3" xfId="20855"/>
    <cellStyle name="Note 3 3 3 6 3 2 3" xfId="13838"/>
    <cellStyle name="Note 3 3 3 6 3 2 3 2" xfId="28160"/>
    <cellStyle name="Note 3 3 3 6 3 2 4" xfId="19483"/>
    <cellStyle name="Note 3 3 3 6 3 3" xfId="11615"/>
    <cellStyle name="Note 3 3 3 6 3 3 2" xfId="25937"/>
    <cellStyle name="Note 3 3 3 6 3 4" xfId="15432"/>
    <cellStyle name="Note 3 3 3 6 4" xfId="4456"/>
    <cellStyle name="Note 3 3 3 6 4 2" xfId="4527"/>
    <cellStyle name="Note 3 3 3 6 4 2 2" xfId="23008"/>
    <cellStyle name="Note 3 3 3 6 4 3" xfId="4314"/>
    <cellStyle name="Note 3 3 3 6 5" xfId="6582"/>
    <cellStyle name="Note 3 3 3 6 5 2" xfId="23589"/>
    <cellStyle name="Note 3 3 3 6 6" xfId="14806"/>
    <cellStyle name="Note 3 3 3 7" xfId="2237"/>
    <cellStyle name="Note 3 3 3 7 2" xfId="6855"/>
    <cellStyle name="Note 3 3 3 7 2 2" xfId="13459"/>
    <cellStyle name="Note 3 3 3 7 2 2 2" xfId="27781"/>
    <cellStyle name="Note 3 3 3 7 2 3" xfId="19104"/>
    <cellStyle name="Note 3 3 3 7 3" xfId="5242"/>
    <cellStyle name="Note 3 3 3 7 3 2" xfId="9552"/>
    <cellStyle name="Note 3 3 3 7 3 2 2" xfId="15814"/>
    <cellStyle name="Note 3 3 3 7 3 2 2 2" xfId="29230"/>
    <cellStyle name="Note 3 3 3 7 3 2 3" xfId="20559"/>
    <cellStyle name="Note 3 3 3 7 3 3" xfId="11792"/>
    <cellStyle name="Note 3 3 3 7 3 3 2" xfId="26114"/>
    <cellStyle name="Note 3 3 3 7 3 4" xfId="17437"/>
    <cellStyle name="Note 3 3 3 7 4" xfId="11313"/>
    <cellStyle name="Note 3 3 3 7 4 2" xfId="25635"/>
    <cellStyle name="Note 3 3 3 7 5" xfId="17326"/>
    <cellStyle name="Note 3 3 3 8" xfId="2238"/>
    <cellStyle name="Note 3 3 3 8 2" xfId="7375"/>
    <cellStyle name="Note 3 3 3 8 2 2" xfId="9989"/>
    <cellStyle name="Note 3 3 3 8 2 2 2" xfId="16251"/>
    <cellStyle name="Note 3 3 3 8 2 2 2 2" xfId="29667"/>
    <cellStyle name="Note 3 3 3 8 2 2 3" xfId="20996"/>
    <cellStyle name="Note 3 3 3 8 2 3" xfId="13979"/>
    <cellStyle name="Note 3 3 3 8 2 3 2" xfId="28301"/>
    <cellStyle name="Note 3 3 3 8 2 4" xfId="19624"/>
    <cellStyle name="Note 3 3 3 8 3" xfId="11690"/>
    <cellStyle name="Note 3 3 3 8 3 2" xfId="26012"/>
    <cellStyle name="Note 3 3 3 8 4" xfId="6795"/>
    <cellStyle name="Note 3 3 3 9" xfId="5177"/>
    <cellStyle name="Note 3 3 3 9 2" xfId="11726"/>
    <cellStyle name="Note 3 3 3 9 2 2" xfId="26048"/>
    <cellStyle name="Note 3 3 3 9 3" xfId="4116"/>
    <cellStyle name="Note 3 3 4" xfId="2239"/>
    <cellStyle name="Note 3 3 4 2" xfId="2240"/>
    <cellStyle name="Note 3 3 4 2 2" xfId="2241"/>
    <cellStyle name="Note 3 3 4 2 2 2" xfId="6840"/>
    <cellStyle name="Note 3 3 4 2 2 2 2" xfId="13444"/>
    <cellStyle name="Note 3 3 4 2 2 2 2 2" xfId="27766"/>
    <cellStyle name="Note 3 3 4 2 2 2 3" xfId="19089"/>
    <cellStyle name="Note 3 3 4 2 2 3" xfId="7225"/>
    <cellStyle name="Note 3 3 4 2 2 3 2" xfId="9839"/>
    <cellStyle name="Note 3 3 4 2 2 3 2 2" xfId="16101"/>
    <cellStyle name="Note 3 3 4 2 2 3 2 2 2" xfId="29517"/>
    <cellStyle name="Note 3 3 4 2 2 3 2 3" xfId="20846"/>
    <cellStyle name="Note 3 3 4 2 2 3 3" xfId="13829"/>
    <cellStyle name="Note 3 3 4 2 2 3 3 2" xfId="28151"/>
    <cellStyle name="Note 3 3 4 2 2 3 4" xfId="19474"/>
    <cellStyle name="Note 3 3 4 2 2 4" xfId="2814"/>
    <cellStyle name="Note 3 3 4 2 2 4 2" xfId="22377"/>
    <cellStyle name="Note 3 3 4 2 2 5" xfId="14906"/>
    <cellStyle name="Note 3 3 4 2 3" xfId="2242"/>
    <cellStyle name="Note 3 3 4 2 3 2" xfId="7128"/>
    <cellStyle name="Note 3 3 4 2 3 2 2" xfId="9742"/>
    <cellStyle name="Note 3 3 4 2 3 2 2 2" xfId="16004"/>
    <cellStyle name="Note 3 3 4 2 3 2 2 2 2" xfId="29420"/>
    <cellStyle name="Note 3 3 4 2 3 2 2 3" xfId="20749"/>
    <cellStyle name="Note 3 3 4 2 3 2 3" xfId="13732"/>
    <cellStyle name="Note 3 3 4 2 3 2 3 2" xfId="28054"/>
    <cellStyle name="Note 3 3 4 2 3 2 4" xfId="19377"/>
    <cellStyle name="Note 3 3 4 2 3 3" xfId="13209"/>
    <cellStyle name="Note 3 3 4 2 3 3 2" xfId="27531"/>
    <cellStyle name="Note 3 3 4 2 3 4" xfId="18854"/>
    <cellStyle name="Note 3 3 4 2 4" xfId="5648"/>
    <cellStyle name="Note 3 3 4 2 4 2" xfId="12201"/>
    <cellStyle name="Note 3 3 4 2 4 2 2" xfId="26523"/>
    <cellStyle name="Note 3 3 4 2 4 3" xfId="17846"/>
    <cellStyle name="Note 3 3 4 2 5" xfId="4707"/>
    <cellStyle name="Note 3 3 4 2 5 2" xfId="23140"/>
    <cellStyle name="Note 3 3 4 2 6" xfId="17139"/>
    <cellStyle name="Note 3 3 4 3" xfId="2243"/>
    <cellStyle name="Note 3 3 4 3 2" xfId="2244"/>
    <cellStyle name="Note 3 3 4 3 2 2" xfId="6410"/>
    <cellStyle name="Note 3 3 4 3 2 2 2" xfId="12993"/>
    <cellStyle name="Note 3 3 4 3 2 2 2 2" xfId="27315"/>
    <cellStyle name="Note 3 3 4 3 2 2 3" xfId="18638"/>
    <cellStyle name="Note 3 3 4 3 2 3" xfId="7153"/>
    <cellStyle name="Note 3 3 4 3 2 3 2" xfId="9767"/>
    <cellStyle name="Note 3 3 4 3 2 3 2 2" xfId="16029"/>
    <cellStyle name="Note 3 3 4 3 2 3 2 2 2" xfId="29445"/>
    <cellStyle name="Note 3 3 4 3 2 3 2 3" xfId="20774"/>
    <cellStyle name="Note 3 3 4 3 2 3 3" xfId="13757"/>
    <cellStyle name="Note 3 3 4 3 2 3 3 2" xfId="28079"/>
    <cellStyle name="Note 3 3 4 3 2 3 4" xfId="19402"/>
    <cellStyle name="Note 3 3 4 3 2 4" xfId="3935"/>
    <cellStyle name="Note 3 3 4 3 2 4 2" xfId="22653"/>
    <cellStyle name="Note 3 3 4 3 2 5" xfId="17095"/>
    <cellStyle name="Note 3 3 4 3 3" xfId="2245"/>
    <cellStyle name="Note 3 3 4 3 3 2" xfId="5294"/>
    <cellStyle name="Note 3 3 4 3 3 2 2" xfId="9603"/>
    <cellStyle name="Note 3 3 4 3 3 2 2 2" xfId="15865"/>
    <cellStyle name="Note 3 3 4 3 3 2 2 2 2" xfId="29281"/>
    <cellStyle name="Note 3 3 4 3 3 2 2 3" xfId="20610"/>
    <cellStyle name="Note 3 3 4 3 3 2 3" xfId="11844"/>
    <cellStyle name="Note 3 3 4 3 3 2 3 2" xfId="26166"/>
    <cellStyle name="Note 3 3 4 3 3 2 4" xfId="17489"/>
    <cellStyle name="Note 3 3 4 3 3 3" xfId="13129"/>
    <cellStyle name="Note 3 3 4 3 3 3 2" xfId="27451"/>
    <cellStyle name="Note 3 3 4 3 3 4" xfId="18774"/>
    <cellStyle name="Note 3 3 4 3 4" xfId="5519"/>
    <cellStyle name="Note 3 3 4 3 4 2" xfId="12070"/>
    <cellStyle name="Note 3 3 4 3 4 2 2" xfId="26392"/>
    <cellStyle name="Note 3 3 4 3 4 3" xfId="17715"/>
    <cellStyle name="Note 3 3 4 3 5" xfId="6643"/>
    <cellStyle name="Note 3 3 4 3 5 2" xfId="23623"/>
    <cellStyle name="Note 3 3 4 3 6" xfId="4647"/>
    <cellStyle name="Note 3 3 4 4" xfId="2246"/>
    <cellStyle name="Note 3 3 4 4 2" xfId="6834"/>
    <cellStyle name="Note 3 3 4 4 2 2" xfId="13438"/>
    <cellStyle name="Note 3 3 4 4 2 2 2" xfId="27760"/>
    <cellStyle name="Note 3 3 4 4 2 3" xfId="19083"/>
    <cellStyle name="Note 3 3 4 4 3" xfId="7761"/>
    <cellStyle name="Note 3 3 4 4 3 2" xfId="10375"/>
    <cellStyle name="Note 3 3 4 4 3 2 2" xfId="16637"/>
    <cellStyle name="Note 3 3 4 4 3 2 2 2" xfId="30053"/>
    <cellStyle name="Note 3 3 4 4 3 2 3" xfId="21382"/>
    <cellStyle name="Note 3 3 4 4 3 3" xfId="14365"/>
    <cellStyle name="Note 3 3 4 4 3 3 2" xfId="28687"/>
    <cellStyle name="Note 3 3 4 4 3 4" xfId="20010"/>
    <cellStyle name="Note 3 3 4 4 4" xfId="2775"/>
    <cellStyle name="Note 3 3 4 4 4 2" xfId="22344"/>
    <cellStyle name="Note 3 3 4 4 5" xfId="15457"/>
    <cellStyle name="Note 3 3 4 5" xfId="2247"/>
    <cellStyle name="Note 3 3 4 5 2" xfId="5304"/>
    <cellStyle name="Note 3 3 4 5 2 2" xfId="9613"/>
    <cellStyle name="Note 3 3 4 5 2 2 2" xfId="15875"/>
    <cellStyle name="Note 3 3 4 5 2 2 2 2" xfId="29291"/>
    <cellStyle name="Note 3 3 4 5 2 2 3" xfId="20620"/>
    <cellStyle name="Note 3 3 4 5 2 3" xfId="11854"/>
    <cellStyle name="Note 3 3 4 5 2 3 2" xfId="26176"/>
    <cellStyle name="Note 3 3 4 5 2 4" xfId="17499"/>
    <cellStyle name="Note 3 3 4 5 3" xfId="12274"/>
    <cellStyle name="Note 3 3 4 5 3 2" xfId="26596"/>
    <cellStyle name="Note 3 3 4 5 4" xfId="17919"/>
    <cellStyle name="Note 3 3 4 6" xfId="5079"/>
    <cellStyle name="Note 3 3 4 6 2" xfId="11626"/>
    <cellStyle name="Note 3 3 4 6 2 2" xfId="25948"/>
    <cellStyle name="Note 3 3 4 6 3" xfId="15553"/>
    <cellStyle name="Note 3 3 4 7" xfId="4788"/>
    <cellStyle name="Note 3 3 4 7 2" xfId="23188"/>
    <cellStyle name="Note 3 3 4 8" xfId="15044"/>
    <cellStyle name="Note 3 3 5" xfId="2248"/>
    <cellStyle name="Note 3 3 5 2" xfId="2249"/>
    <cellStyle name="Note 3 3 5 2 2" xfId="2250"/>
    <cellStyle name="Note 3 3 5 2 2 2" xfId="7002"/>
    <cellStyle name="Note 3 3 5 2 2 2 2" xfId="13606"/>
    <cellStyle name="Note 3 3 5 2 2 2 2 2" xfId="27928"/>
    <cellStyle name="Note 3 3 5 2 2 2 3" xfId="19251"/>
    <cellStyle name="Note 3 3 5 2 2 3" xfId="3656"/>
    <cellStyle name="Note 3 3 5 2 2 3 2" xfId="9354"/>
    <cellStyle name="Note 3 3 5 2 2 3 2 2" xfId="15616"/>
    <cellStyle name="Note 3 3 5 2 2 3 2 2 2" xfId="29032"/>
    <cellStyle name="Note 3 3 5 2 2 3 2 3" xfId="20361"/>
    <cellStyle name="Note 3 3 5 2 2 3 3" xfId="3686"/>
    <cellStyle name="Note 3 3 5 2 2 3 3 2" xfId="22528"/>
    <cellStyle name="Note 3 3 5 2 2 3 4" xfId="4229"/>
    <cellStyle name="Note 3 3 5 2 2 4" xfId="11520"/>
    <cellStyle name="Note 3 3 5 2 2 4 2" xfId="25842"/>
    <cellStyle name="Note 3 3 5 2 2 5" xfId="15421"/>
    <cellStyle name="Note 3 3 5 2 3" xfId="2251"/>
    <cellStyle name="Note 3 3 5 2 3 2" xfId="4830"/>
    <cellStyle name="Note 3 3 5 2 3 2 2" xfId="9496"/>
    <cellStyle name="Note 3 3 5 2 3 2 2 2" xfId="15758"/>
    <cellStyle name="Note 3 3 5 2 3 2 2 2 2" xfId="29174"/>
    <cellStyle name="Note 3 3 5 2 3 2 2 3" xfId="20503"/>
    <cellStyle name="Note 3 3 5 2 3 2 3" xfId="11363"/>
    <cellStyle name="Note 3 3 5 2 3 2 3 2" xfId="25685"/>
    <cellStyle name="Note 3 3 5 2 3 2 4" xfId="15509"/>
    <cellStyle name="Note 3 3 5 2 3 3" xfId="13212"/>
    <cellStyle name="Note 3 3 5 2 3 3 2" xfId="27534"/>
    <cellStyle name="Note 3 3 5 2 3 4" xfId="18857"/>
    <cellStyle name="Note 3 3 5 2 4" xfId="5651"/>
    <cellStyle name="Note 3 3 5 2 4 2" xfId="12204"/>
    <cellStyle name="Note 3 3 5 2 4 2 2" xfId="26526"/>
    <cellStyle name="Note 3 3 5 2 4 3" xfId="17849"/>
    <cellStyle name="Note 3 3 5 2 5" xfId="4667"/>
    <cellStyle name="Note 3 3 5 2 5 2" xfId="23106"/>
    <cellStyle name="Note 3 3 5 2 6" xfId="17340"/>
    <cellStyle name="Note 3 3 5 3" xfId="2252"/>
    <cellStyle name="Note 3 3 5 3 2" xfId="2253"/>
    <cellStyle name="Note 3 3 5 3 2 2" xfId="6889"/>
    <cellStyle name="Note 3 3 5 3 2 2 2" xfId="13493"/>
    <cellStyle name="Note 3 3 5 3 2 2 2 2" xfId="27815"/>
    <cellStyle name="Note 3 3 5 3 2 2 3" xfId="19138"/>
    <cellStyle name="Note 3 3 5 3 2 3" xfId="7594"/>
    <cellStyle name="Note 3 3 5 3 2 3 2" xfId="10208"/>
    <cellStyle name="Note 3 3 5 3 2 3 2 2" xfId="16470"/>
    <cellStyle name="Note 3 3 5 3 2 3 2 2 2" xfId="29886"/>
    <cellStyle name="Note 3 3 5 3 2 3 2 3" xfId="21215"/>
    <cellStyle name="Note 3 3 5 3 2 3 3" xfId="14198"/>
    <cellStyle name="Note 3 3 5 3 2 3 3 2" xfId="28520"/>
    <cellStyle name="Note 3 3 5 3 2 3 4" xfId="19843"/>
    <cellStyle name="Note 3 3 5 3 2 4" xfId="11365"/>
    <cellStyle name="Note 3 3 5 3 2 4 2" xfId="25687"/>
    <cellStyle name="Note 3 3 5 3 2 5" xfId="15037"/>
    <cellStyle name="Note 3 3 5 3 3" xfId="2254"/>
    <cellStyle name="Note 3 3 5 3 3 2" xfId="7590"/>
    <cellStyle name="Note 3 3 5 3 3 2 2" xfId="10204"/>
    <cellStyle name="Note 3 3 5 3 3 2 2 2" xfId="16466"/>
    <cellStyle name="Note 3 3 5 3 3 2 2 2 2" xfId="29882"/>
    <cellStyle name="Note 3 3 5 3 3 2 2 3" xfId="21211"/>
    <cellStyle name="Note 3 3 5 3 3 2 3" xfId="14194"/>
    <cellStyle name="Note 3 3 5 3 3 2 3 2" xfId="28516"/>
    <cellStyle name="Note 3 3 5 3 3 2 4" xfId="19839"/>
    <cellStyle name="Note 3 3 5 3 3 3" xfId="12653"/>
    <cellStyle name="Note 3 3 5 3 3 3 2" xfId="26975"/>
    <cellStyle name="Note 3 3 5 3 3 4" xfId="18298"/>
    <cellStyle name="Note 3 3 5 3 4" xfId="4017"/>
    <cellStyle name="Note 3 3 5 3 4 2" xfId="3668"/>
    <cellStyle name="Note 3 3 5 3 4 2 2" xfId="22514"/>
    <cellStyle name="Note 3 3 5 3 4 3" xfId="6790"/>
    <cellStyle name="Note 3 3 5 3 5" xfId="4885"/>
    <cellStyle name="Note 3 3 5 3 5 2" xfId="23243"/>
    <cellStyle name="Note 3 3 5 3 6" xfId="2842"/>
    <cellStyle name="Note 3 3 5 4" xfId="2255"/>
    <cellStyle name="Note 3 3 5 4 2" xfId="6874"/>
    <cellStyle name="Note 3 3 5 4 2 2" xfId="13478"/>
    <cellStyle name="Note 3 3 5 4 2 2 2" xfId="27800"/>
    <cellStyle name="Note 3 3 5 4 2 3" xfId="19123"/>
    <cellStyle name="Note 3 3 5 4 3" xfId="7351"/>
    <cellStyle name="Note 3 3 5 4 3 2" xfId="9965"/>
    <cellStyle name="Note 3 3 5 4 3 2 2" xfId="16227"/>
    <cellStyle name="Note 3 3 5 4 3 2 2 2" xfId="29643"/>
    <cellStyle name="Note 3 3 5 4 3 2 3" xfId="20972"/>
    <cellStyle name="Note 3 3 5 4 3 3" xfId="13955"/>
    <cellStyle name="Note 3 3 5 4 3 3 2" xfId="28277"/>
    <cellStyle name="Note 3 3 5 4 3 4" xfId="19600"/>
    <cellStyle name="Note 3 3 5 4 4" xfId="11342"/>
    <cellStyle name="Note 3 3 5 4 4 2" xfId="25664"/>
    <cellStyle name="Note 3 3 5 4 5" xfId="16986"/>
    <cellStyle name="Note 3 3 5 5" xfId="2256"/>
    <cellStyle name="Note 3 3 5 5 2" xfId="7343"/>
    <cellStyle name="Note 3 3 5 5 2 2" xfId="9957"/>
    <cellStyle name="Note 3 3 5 5 2 2 2" xfId="16219"/>
    <cellStyle name="Note 3 3 5 5 2 2 2 2" xfId="29635"/>
    <cellStyle name="Note 3 3 5 5 2 2 3" xfId="20964"/>
    <cellStyle name="Note 3 3 5 5 2 3" xfId="13947"/>
    <cellStyle name="Note 3 3 5 5 2 3 2" xfId="28269"/>
    <cellStyle name="Note 3 3 5 5 2 4" xfId="19592"/>
    <cellStyle name="Note 3 3 5 5 3" xfId="4470"/>
    <cellStyle name="Note 3 3 5 5 3 2" xfId="22969"/>
    <cellStyle name="Note 3 3 5 5 4" xfId="17207"/>
    <cellStyle name="Note 3 3 5 6" xfId="5166"/>
    <cellStyle name="Note 3 3 5 6 2" xfId="11715"/>
    <cellStyle name="Note 3 3 5 6 2 2" xfId="26037"/>
    <cellStyle name="Note 3 3 5 6 3" xfId="6118"/>
    <cellStyle name="Note 3 3 5 7" xfId="4861"/>
    <cellStyle name="Note 3 3 5 7 2" xfId="23226"/>
    <cellStyle name="Note 3 3 5 8" xfId="15597"/>
    <cellStyle name="Note 3 3 6" xfId="2257"/>
    <cellStyle name="Note 3 3 6 2" xfId="2258"/>
    <cellStyle name="Note 3 3 6 2 2" xfId="2259"/>
    <cellStyle name="Note 3 3 6 2 2 2" xfId="6897"/>
    <cellStyle name="Note 3 3 6 2 2 2 2" xfId="13501"/>
    <cellStyle name="Note 3 3 6 2 2 2 2 2" xfId="27823"/>
    <cellStyle name="Note 3 3 6 2 2 2 3" xfId="19146"/>
    <cellStyle name="Note 3 3 6 2 2 3" xfId="4110"/>
    <cellStyle name="Note 3 3 6 2 2 3 2" xfId="9429"/>
    <cellStyle name="Note 3 3 6 2 2 3 2 2" xfId="15691"/>
    <cellStyle name="Note 3 3 6 2 2 3 2 2 2" xfId="29107"/>
    <cellStyle name="Note 3 3 6 2 2 3 2 3" xfId="20436"/>
    <cellStyle name="Note 3 3 6 2 2 3 3" xfId="6783"/>
    <cellStyle name="Note 3 3 6 2 2 3 3 2" xfId="23727"/>
    <cellStyle name="Note 3 3 6 2 2 3 4" xfId="17179"/>
    <cellStyle name="Note 3 3 6 2 2 4" xfId="11376"/>
    <cellStyle name="Note 3 3 6 2 2 4 2" xfId="25698"/>
    <cellStyle name="Note 3 3 6 2 2 5" xfId="17185"/>
    <cellStyle name="Note 3 3 6 2 3" xfId="2260"/>
    <cellStyle name="Note 3 3 6 2 3 2" xfId="5311"/>
    <cellStyle name="Note 3 3 6 2 3 2 2" xfId="9620"/>
    <cellStyle name="Note 3 3 6 2 3 2 2 2" xfId="15882"/>
    <cellStyle name="Note 3 3 6 2 3 2 2 2 2" xfId="29298"/>
    <cellStyle name="Note 3 3 6 2 3 2 2 3" xfId="20627"/>
    <cellStyle name="Note 3 3 6 2 3 2 3" xfId="11861"/>
    <cellStyle name="Note 3 3 6 2 3 2 3 2" xfId="26183"/>
    <cellStyle name="Note 3 3 6 2 3 2 4" xfId="17506"/>
    <cellStyle name="Note 3 3 6 2 3 3" xfId="13250"/>
    <cellStyle name="Note 3 3 6 2 3 3 2" xfId="27572"/>
    <cellStyle name="Note 3 3 6 2 3 4" xfId="18895"/>
    <cellStyle name="Note 3 3 6 2 4" xfId="5692"/>
    <cellStyle name="Note 3 3 6 2 4 2" xfId="12245"/>
    <cellStyle name="Note 3 3 6 2 4 2 2" xfId="26567"/>
    <cellStyle name="Note 3 3 6 2 4 3" xfId="17890"/>
    <cellStyle name="Note 3 3 6 2 5" xfId="4681"/>
    <cellStyle name="Note 3 3 6 2 5 2" xfId="23118"/>
    <cellStyle name="Note 3 3 6 2 6" xfId="14949"/>
    <cellStyle name="Note 3 3 6 3" xfId="2261"/>
    <cellStyle name="Note 3 3 6 3 2" xfId="2262"/>
    <cellStyle name="Note 3 3 6 3 2 2" xfId="6925"/>
    <cellStyle name="Note 3 3 6 3 2 2 2" xfId="13529"/>
    <cellStyle name="Note 3 3 6 3 2 2 2 2" xfId="27851"/>
    <cellStyle name="Note 3 3 6 3 2 2 3" xfId="19174"/>
    <cellStyle name="Note 3 3 6 3 2 3" xfId="7870"/>
    <cellStyle name="Note 3 3 6 3 2 3 2" xfId="10484"/>
    <cellStyle name="Note 3 3 6 3 2 3 2 2" xfId="16746"/>
    <cellStyle name="Note 3 3 6 3 2 3 2 2 2" xfId="30162"/>
    <cellStyle name="Note 3 3 6 3 2 3 2 3" xfId="21491"/>
    <cellStyle name="Note 3 3 6 3 2 3 3" xfId="14474"/>
    <cellStyle name="Note 3 3 6 3 2 3 3 2" xfId="28796"/>
    <cellStyle name="Note 3 3 6 3 2 3 4" xfId="20119"/>
    <cellStyle name="Note 3 3 6 3 2 4" xfId="11414"/>
    <cellStyle name="Note 3 3 6 3 2 4 2" xfId="25736"/>
    <cellStyle name="Note 3 3 6 3 2 5" xfId="17044"/>
    <cellStyle name="Note 3 3 6 3 3" xfId="2263"/>
    <cellStyle name="Note 3 3 6 3 3 2" xfId="7524"/>
    <cellStyle name="Note 3 3 6 3 3 2 2" xfId="10138"/>
    <cellStyle name="Note 3 3 6 3 3 2 2 2" xfId="16400"/>
    <cellStyle name="Note 3 3 6 3 3 2 2 2 2" xfId="29816"/>
    <cellStyle name="Note 3 3 6 3 3 2 2 3" xfId="21145"/>
    <cellStyle name="Note 3 3 6 3 3 2 3" xfId="14128"/>
    <cellStyle name="Note 3 3 6 3 3 2 3 2" xfId="28450"/>
    <cellStyle name="Note 3 3 6 3 3 2 4" xfId="19773"/>
    <cellStyle name="Note 3 3 6 3 3 3" xfId="12788"/>
    <cellStyle name="Note 3 3 6 3 3 3 2" xfId="27110"/>
    <cellStyle name="Note 3 3 6 3 3 4" xfId="18433"/>
    <cellStyle name="Note 3 3 6 3 4" xfId="4293"/>
    <cellStyle name="Note 3 3 6 3 4 2" xfId="2787"/>
    <cellStyle name="Note 3 3 6 3 4 2 2" xfId="22355"/>
    <cellStyle name="Note 3 3 6 3 4 3" xfId="14953"/>
    <cellStyle name="Note 3 3 6 3 5" xfId="4814"/>
    <cellStyle name="Note 3 3 6 3 5 2" xfId="23201"/>
    <cellStyle name="Note 3 3 6 3 6" xfId="16980"/>
    <cellStyle name="Note 3 3 6 4" xfId="2264"/>
    <cellStyle name="Note 3 3 6 4 2" xfId="6520"/>
    <cellStyle name="Note 3 3 6 4 2 2" xfId="13108"/>
    <cellStyle name="Note 3 3 6 4 2 2 2" xfId="27430"/>
    <cellStyle name="Note 3 3 6 4 2 3" xfId="18753"/>
    <cellStyle name="Note 3 3 6 4 3" xfId="3657"/>
    <cellStyle name="Note 3 3 6 4 3 2" xfId="9355"/>
    <cellStyle name="Note 3 3 6 4 3 2 2" xfId="15617"/>
    <cellStyle name="Note 3 3 6 4 3 2 2 2" xfId="29033"/>
    <cellStyle name="Note 3 3 6 4 3 2 3" xfId="20362"/>
    <cellStyle name="Note 3 3 6 4 3 3" xfId="6149"/>
    <cellStyle name="Note 3 3 6 4 3 3 2" xfId="23430"/>
    <cellStyle name="Note 3 3 6 4 3 4" xfId="17180"/>
    <cellStyle name="Note 3 3 6 4 4" xfId="3025"/>
    <cellStyle name="Note 3 3 6 4 4 2" xfId="22413"/>
    <cellStyle name="Note 3 3 6 4 5" xfId="15305"/>
    <cellStyle name="Note 3 3 6 5" xfId="2265"/>
    <cellStyle name="Note 3 3 6 5 2" xfId="7719"/>
    <cellStyle name="Note 3 3 6 5 2 2" xfId="10333"/>
    <cellStyle name="Note 3 3 6 5 2 2 2" xfId="16595"/>
    <cellStyle name="Note 3 3 6 5 2 2 2 2" xfId="30011"/>
    <cellStyle name="Note 3 3 6 5 2 2 3" xfId="21340"/>
    <cellStyle name="Note 3 3 6 5 2 3" xfId="14323"/>
    <cellStyle name="Note 3 3 6 5 2 3 2" xfId="28645"/>
    <cellStyle name="Note 3 3 6 5 2 4" xfId="19968"/>
    <cellStyle name="Note 3 3 6 5 3" xfId="12744"/>
    <cellStyle name="Note 3 3 6 5 3 2" xfId="27066"/>
    <cellStyle name="Note 3 3 6 5 4" xfId="18389"/>
    <cellStyle name="Note 3 3 6 6" xfId="5047"/>
    <cellStyle name="Note 3 3 6 6 2" xfId="11594"/>
    <cellStyle name="Note 3 3 6 6 2 2" xfId="25916"/>
    <cellStyle name="Note 3 3 6 6 3" xfId="6509"/>
    <cellStyle name="Note 3 3 6 7" xfId="4823"/>
    <cellStyle name="Note 3 3 6 7 2" xfId="23204"/>
    <cellStyle name="Note 3 3 6 8" xfId="6665"/>
    <cellStyle name="Note 3 3 7" xfId="2266"/>
    <cellStyle name="Note 3 3 7 2" xfId="2267"/>
    <cellStyle name="Note 3 3 7 2 2" xfId="2268"/>
    <cellStyle name="Note 3 3 7 2 2 2" xfId="6368"/>
    <cellStyle name="Note 3 3 7 2 2 2 2" xfId="12951"/>
    <cellStyle name="Note 3 3 7 2 2 2 2 2" xfId="27273"/>
    <cellStyle name="Note 3 3 7 2 2 2 3" xfId="18596"/>
    <cellStyle name="Note 3 3 7 2 2 3" xfId="7869"/>
    <cellStyle name="Note 3 3 7 2 2 3 2" xfId="10483"/>
    <cellStyle name="Note 3 3 7 2 2 3 2 2" xfId="16745"/>
    <cellStyle name="Note 3 3 7 2 2 3 2 2 2" xfId="30161"/>
    <cellStyle name="Note 3 3 7 2 2 3 2 3" xfId="21490"/>
    <cellStyle name="Note 3 3 7 2 2 3 3" xfId="14473"/>
    <cellStyle name="Note 3 3 7 2 2 3 3 2" xfId="28795"/>
    <cellStyle name="Note 3 3 7 2 2 3 4" xfId="20118"/>
    <cellStyle name="Note 3 3 7 2 2 4" xfId="4166"/>
    <cellStyle name="Note 3 3 7 2 2 4 2" xfId="22792"/>
    <cellStyle name="Note 3 3 7 2 2 5" xfId="14690"/>
    <cellStyle name="Note 3 3 7 2 3" xfId="2269"/>
    <cellStyle name="Note 3 3 7 2 3 2" xfId="7498"/>
    <cellStyle name="Note 3 3 7 2 3 2 2" xfId="10112"/>
    <cellStyle name="Note 3 3 7 2 3 2 2 2" xfId="16374"/>
    <cellStyle name="Note 3 3 7 2 3 2 2 2 2" xfId="29790"/>
    <cellStyle name="Note 3 3 7 2 3 2 2 3" xfId="21119"/>
    <cellStyle name="Note 3 3 7 2 3 2 3" xfId="14102"/>
    <cellStyle name="Note 3 3 7 2 3 2 3 2" xfId="28424"/>
    <cellStyle name="Note 3 3 7 2 3 2 4" xfId="19747"/>
    <cellStyle name="Note 3 3 7 2 3 3" xfId="13190"/>
    <cellStyle name="Note 3 3 7 2 3 3 2" xfId="27512"/>
    <cellStyle name="Note 3 3 7 2 3 4" xfId="18835"/>
    <cellStyle name="Note 3 3 7 2 4" xfId="5627"/>
    <cellStyle name="Note 3 3 7 2 4 2" xfId="12180"/>
    <cellStyle name="Note 3 3 7 2 4 2 2" xfId="26502"/>
    <cellStyle name="Note 3 3 7 2 4 3" xfId="17825"/>
    <cellStyle name="Note 3 3 7 2 5" xfId="5211"/>
    <cellStyle name="Note 3 3 7 2 5 2" xfId="23336"/>
    <cellStyle name="Note 3 3 7 2 6" xfId="14891"/>
    <cellStyle name="Note 3 3 7 3" xfId="2270"/>
    <cellStyle name="Note 3 3 7 3 2" xfId="5939"/>
    <cellStyle name="Note 3 3 7 3 2 2" xfId="12496"/>
    <cellStyle name="Note 3 3 7 3 2 2 2" xfId="26818"/>
    <cellStyle name="Note 3 3 7 3 2 3" xfId="18141"/>
    <cellStyle name="Note 3 3 7 3 3" xfId="7695"/>
    <cellStyle name="Note 3 3 7 3 3 2" xfId="10309"/>
    <cellStyle name="Note 3 3 7 3 3 2 2" xfId="16571"/>
    <cellStyle name="Note 3 3 7 3 3 2 2 2" xfId="29987"/>
    <cellStyle name="Note 3 3 7 3 3 2 3" xfId="21316"/>
    <cellStyle name="Note 3 3 7 3 3 3" xfId="14299"/>
    <cellStyle name="Note 3 3 7 3 3 3 2" xfId="28621"/>
    <cellStyle name="Note 3 3 7 3 3 4" xfId="19944"/>
    <cellStyle name="Note 3 3 7 3 4" xfId="6709"/>
    <cellStyle name="Note 3 3 7 3 4 2" xfId="23665"/>
    <cellStyle name="Note 3 3 7 3 5" xfId="15357"/>
    <cellStyle name="Note 3 3 7 4" xfId="2271"/>
    <cellStyle name="Note 3 3 7 4 2" xfId="7058"/>
    <cellStyle name="Note 3 3 7 4 2 2" xfId="9672"/>
    <cellStyle name="Note 3 3 7 4 2 2 2" xfId="15934"/>
    <cellStyle name="Note 3 3 7 4 2 2 2 2" xfId="29350"/>
    <cellStyle name="Note 3 3 7 4 2 2 3" xfId="20679"/>
    <cellStyle name="Note 3 3 7 4 2 3" xfId="13662"/>
    <cellStyle name="Note 3 3 7 4 2 3 2" xfId="27984"/>
    <cellStyle name="Note 3 3 7 4 2 4" xfId="19307"/>
    <cellStyle name="Note 3 3 7 4 3" xfId="11969"/>
    <cellStyle name="Note 3 3 7 4 3 2" xfId="26291"/>
    <cellStyle name="Note 3 3 7 4 4" xfId="17614"/>
    <cellStyle name="Note 3 3 7 5" xfId="5208"/>
    <cellStyle name="Note 3 3 7 5 2" xfId="11757"/>
    <cellStyle name="Note 3 3 7 5 2 2" xfId="26079"/>
    <cellStyle name="Note 3 3 7 5 3" xfId="17402"/>
    <cellStyle name="Note 3 3 7 6" xfId="6746"/>
    <cellStyle name="Note 3 3 7 6 2" xfId="23694"/>
    <cellStyle name="Note 3 3 7 7" xfId="15560"/>
    <cellStyle name="Note 3 3 8" xfId="2272"/>
    <cellStyle name="Note 3 3 8 2" xfId="2273"/>
    <cellStyle name="Note 3 3 8 2 2" xfId="4906"/>
    <cellStyle name="Note 3 3 8 2 2 2" xfId="11443"/>
    <cellStyle name="Note 3 3 8 2 2 2 2" xfId="25765"/>
    <cellStyle name="Note 3 3 8 2 2 3" xfId="15547"/>
    <cellStyle name="Note 3 3 8 2 3" xfId="8070"/>
    <cellStyle name="Note 3 3 8 2 3 2" xfId="10684"/>
    <cellStyle name="Note 3 3 8 2 3 2 2" xfId="16946"/>
    <cellStyle name="Note 3 3 8 2 3 2 2 2" xfId="30362"/>
    <cellStyle name="Note 3 3 8 2 3 2 3" xfId="21691"/>
    <cellStyle name="Note 3 3 8 2 3 3" xfId="14674"/>
    <cellStyle name="Note 3 3 8 2 3 3 2" xfId="28996"/>
    <cellStyle name="Note 3 3 8 2 3 4" xfId="20319"/>
    <cellStyle name="Note 3 3 8 2 4" xfId="4776"/>
    <cellStyle name="Note 3 3 8 2 4 2" xfId="23182"/>
    <cellStyle name="Note 3 3 8 2 5" xfId="4529"/>
    <cellStyle name="Note 3 3 8 3" xfId="2274"/>
    <cellStyle name="Note 3 3 8 3 2" xfId="7198"/>
    <cellStyle name="Note 3 3 8 3 2 2" xfId="9812"/>
    <cellStyle name="Note 3 3 8 3 2 2 2" xfId="16074"/>
    <cellStyle name="Note 3 3 8 3 2 2 2 2" xfId="29490"/>
    <cellStyle name="Note 3 3 8 3 2 2 3" xfId="20819"/>
    <cellStyle name="Note 3 3 8 3 2 3" xfId="13802"/>
    <cellStyle name="Note 3 3 8 3 2 3 2" xfId="28124"/>
    <cellStyle name="Note 3 3 8 3 2 4" xfId="19447"/>
    <cellStyle name="Note 3 3 8 3 3" xfId="12573"/>
    <cellStyle name="Note 3 3 8 3 3 2" xfId="26895"/>
    <cellStyle name="Note 3 3 8 3 4" xfId="18218"/>
    <cellStyle name="Note 3 3 8 4" xfId="5160"/>
    <cellStyle name="Note 3 3 8 4 2" xfId="11709"/>
    <cellStyle name="Note 3 3 8 4 2 2" xfId="26031"/>
    <cellStyle name="Note 3 3 8 4 3" xfId="4655"/>
    <cellStyle name="Note 3 3 8 5" xfId="4010"/>
    <cellStyle name="Note 3 3 8 5 2" xfId="22699"/>
    <cellStyle name="Note 3 3 8 6" xfId="14706"/>
    <cellStyle name="Note 3 3 9" xfId="2275"/>
    <cellStyle name="Note 3 3 9 2" xfId="5867"/>
    <cellStyle name="Note 3 3 9 2 2" xfId="12420"/>
    <cellStyle name="Note 3 3 9 2 2 2" xfId="26742"/>
    <cellStyle name="Note 3 3 9 2 3" xfId="18065"/>
    <cellStyle name="Note 3 3 9 3" xfId="7520"/>
    <cellStyle name="Note 3 3 9 3 2" xfId="10134"/>
    <cellStyle name="Note 3 3 9 3 2 2" xfId="16396"/>
    <cellStyle name="Note 3 3 9 3 2 2 2" xfId="29812"/>
    <cellStyle name="Note 3 3 9 3 2 3" xfId="21141"/>
    <cellStyle name="Note 3 3 9 3 3" xfId="14124"/>
    <cellStyle name="Note 3 3 9 3 3 2" xfId="28446"/>
    <cellStyle name="Note 3 3 9 3 4" xfId="19769"/>
    <cellStyle name="Note 3 3 9 4" xfId="4376"/>
    <cellStyle name="Note 3 3 9 4 2" xfId="22915"/>
    <cellStyle name="Note 3 3 9 5" xfId="4544"/>
    <cellStyle name="Note 3 4" xfId="2276"/>
    <cellStyle name="Note 3 4 2" xfId="6446"/>
    <cellStyle name="Note 3 4 2 2" xfId="13029"/>
    <cellStyle name="Note 3 4 2 2 2" xfId="27351"/>
    <cellStyle name="Note 3 4 2 3" xfId="18674"/>
    <cellStyle name="Note 3 4 3" xfId="7266"/>
    <cellStyle name="Note 3 4 3 2" xfId="9880"/>
    <cellStyle name="Note 3 4 3 2 2" xfId="16142"/>
    <cellStyle name="Note 3 4 3 2 2 2" xfId="29558"/>
    <cellStyle name="Note 3 4 3 2 3" xfId="20887"/>
    <cellStyle name="Note 3 4 3 3" xfId="13870"/>
    <cellStyle name="Note 3 4 3 3 2" xfId="28192"/>
    <cellStyle name="Note 3 4 3 4" xfId="19515"/>
    <cellStyle name="Note 3 4 4" xfId="4742"/>
    <cellStyle name="Note 3 4 4 2" xfId="23164"/>
    <cellStyle name="Note 3 4 5" xfId="17048"/>
    <cellStyle name="Note 3 5" xfId="4881"/>
    <cellStyle name="Note 3 5 2" xfId="11416"/>
    <cellStyle name="Note 3 5 2 2" xfId="25738"/>
    <cellStyle name="Note 3 5 3" xfId="15446"/>
    <cellStyle name="Note 3 6" xfId="6599"/>
    <cellStyle name="Note 3 6 2" xfId="23595"/>
    <cellStyle name="Note 3 7" xfId="15579"/>
    <cellStyle name="Note 3 8" xfId="21697"/>
    <cellStyle name="Note 3 9" xfId="30366"/>
    <cellStyle name="Output 2" xfId="2277"/>
    <cellStyle name="Output 2 2" xfId="2278"/>
    <cellStyle name="Output 2 2 10" xfId="2279"/>
    <cellStyle name="Output 2 2 10 2" xfId="3901"/>
    <cellStyle name="Output 2 2 10 2 2" xfId="9391"/>
    <cellStyle name="Output 2 2 10 2 2 2" xfId="15653"/>
    <cellStyle name="Output 2 2 10 2 2 2 2" xfId="29069"/>
    <cellStyle name="Output 2 2 10 2 2 3" xfId="20398"/>
    <cellStyle name="Output 2 2 10 2 3" xfId="3278"/>
    <cellStyle name="Output 2 2 10 2 3 2" xfId="22458"/>
    <cellStyle name="Output 2 2 10 2 4" xfId="6639"/>
    <cellStyle name="Output 2 2 10 3" xfId="12073"/>
    <cellStyle name="Output 2 2 10 3 2" xfId="26395"/>
    <cellStyle name="Output 2 2 10 4" xfId="17718"/>
    <cellStyle name="Output 2 2 11" xfId="4880"/>
    <cellStyle name="Output 2 2 11 2" xfId="11415"/>
    <cellStyle name="Output 2 2 11 2 2" xfId="25737"/>
    <cellStyle name="Output 2 2 11 3" xfId="14774"/>
    <cellStyle name="Output 2 2 12" xfId="3626"/>
    <cellStyle name="Output 2 2 12 2" xfId="22493"/>
    <cellStyle name="Output 2 2 13" xfId="3681"/>
    <cellStyle name="Output 2 2 2" xfId="2280"/>
    <cellStyle name="Output 2 2 2 10" xfId="5165"/>
    <cellStyle name="Output 2 2 2 10 2" xfId="11714"/>
    <cellStyle name="Output 2 2 2 10 2 2" xfId="26036"/>
    <cellStyle name="Output 2 2 2 10 3" xfId="3849"/>
    <cellStyle name="Output 2 2 2 11" xfId="4304"/>
    <cellStyle name="Output 2 2 2 11 2" xfId="22881"/>
    <cellStyle name="Output 2 2 2 12" xfId="17072"/>
    <cellStyle name="Output 2 2 2 2" xfId="2281"/>
    <cellStyle name="Output 2 2 2 2 10" xfId="4628"/>
    <cellStyle name="Output 2 2 2 2 10 2" xfId="23074"/>
    <cellStyle name="Output 2 2 2 2 11" xfId="14942"/>
    <cellStyle name="Output 2 2 2 2 2" xfId="2282"/>
    <cellStyle name="Output 2 2 2 2 2 2" xfId="2283"/>
    <cellStyle name="Output 2 2 2 2 2 2 2" xfId="2284"/>
    <cellStyle name="Output 2 2 2 2 2 2 2 2" xfId="6941"/>
    <cellStyle name="Output 2 2 2 2 2 2 2 2 2" xfId="13545"/>
    <cellStyle name="Output 2 2 2 2 2 2 2 2 2 2" xfId="27867"/>
    <cellStyle name="Output 2 2 2 2 2 2 2 2 3" xfId="19190"/>
    <cellStyle name="Output 2 2 2 2 2 2 2 3" xfId="7536"/>
    <cellStyle name="Output 2 2 2 2 2 2 2 3 2" xfId="10150"/>
    <cellStyle name="Output 2 2 2 2 2 2 2 3 2 2" xfId="16412"/>
    <cellStyle name="Output 2 2 2 2 2 2 2 3 2 2 2" xfId="29828"/>
    <cellStyle name="Output 2 2 2 2 2 2 2 3 2 3" xfId="21157"/>
    <cellStyle name="Output 2 2 2 2 2 2 2 3 3" xfId="14140"/>
    <cellStyle name="Output 2 2 2 2 2 2 2 3 3 2" xfId="28462"/>
    <cellStyle name="Output 2 2 2 2 2 2 2 3 4" xfId="19785"/>
    <cellStyle name="Output 2 2 2 2 2 2 2 4" xfId="11434"/>
    <cellStyle name="Output 2 2 2 2 2 2 2 4 2" xfId="25756"/>
    <cellStyle name="Output 2 2 2 2 2 2 2 5" xfId="14753"/>
    <cellStyle name="Output 2 2 2 2 2 2 3" xfId="2285"/>
    <cellStyle name="Output 2 2 2 2 2 2 3 2" xfId="7270"/>
    <cellStyle name="Output 2 2 2 2 2 2 3 2 2" xfId="9884"/>
    <cellStyle name="Output 2 2 2 2 2 2 3 2 2 2" xfId="16146"/>
    <cellStyle name="Output 2 2 2 2 2 2 3 2 2 2 2" xfId="29562"/>
    <cellStyle name="Output 2 2 2 2 2 2 3 2 2 3" xfId="20891"/>
    <cellStyle name="Output 2 2 2 2 2 2 3 2 3" xfId="13874"/>
    <cellStyle name="Output 2 2 2 2 2 2 3 2 3 2" xfId="28196"/>
    <cellStyle name="Output 2 2 2 2 2 2 3 2 4" xfId="19519"/>
    <cellStyle name="Output 2 2 2 2 2 2 3 3" xfId="13294"/>
    <cellStyle name="Output 2 2 2 2 2 2 3 3 2" xfId="27616"/>
    <cellStyle name="Output 2 2 2 2 2 2 3 4" xfId="18939"/>
    <cellStyle name="Output 2 2 2 2 2 2 4" xfId="5744"/>
    <cellStyle name="Output 2 2 2 2 2 2 4 2" xfId="12297"/>
    <cellStyle name="Output 2 2 2 2 2 2 4 2 2" xfId="26619"/>
    <cellStyle name="Output 2 2 2 2 2 2 4 3" xfId="17942"/>
    <cellStyle name="Output 2 2 2 2 2 2 5" xfId="4158"/>
    <cellStyle name="Output 2 2 2 2 2 2 5 2" xfId="22789"/>
    <cellStyle name="Output 2 2 2 2 2 2 6" xfId="6601"/>
    <cellStyle name="Output 2 2 2 2 2 3" xfId="2286"/>
    <cellStyle name="Output 2 2 2 2 2 3 2" xfId="2287"/>
    <cellStyle name="Output 2 2 2 2 2 3 2 2" xfId="6904"/>
    <cellStyle name="Output 2 2 2 2 2 3 2 2 2" xfId="13508"/>
    <cellStyle name="Output 2 2 2 2 2 3 2 2 2 2" xfId="27830"/>
    <cellStyle name="Output 2 2 2 2 2 3 2 2 3" xfId="19153"/>
    <cellStyle name="Output 2 2 2 2 2 3 2 3" xfId="7329"/>
    <cellStyle name="Output 2 2 2 2 2 3 2 3 2" xfId="9943"/>
    <cellStyle name="Output 2 2 2 2 2 3 2 3 2 2" xfId="16205"/>
    <cellStyle name="Output 2 2 2 2 2 3 2 3 2 2 2" xfId="29621"/>
    <cellStyle name="Output 2 2 2 2 2 3 2 3 2 3" xfId="20950"/>
    <cellStyle name="Output 2 2 2 2 2 3 2 3 3" xfId="13933"/>
    <cellStyle name="Output 2 2 2 2 2 3 2 3 3 2" xfId="28255"/>
    <cellStyle name="Output 2 2 2 2 2 3 2 3 4" xfId="19578"/>
    <cellStyle name="Output 2 2 2 2 2 3 2 4" xfId="11386"/>
    <cellStyle name="Output 2 2 2 2 2 3 2 4 2" xfId="25708"/>
    <cellStyle name="Output 2 2 2 2 2 3 2 5" xfId="15139"/>
    <cellStyle name="Output 2 2 2 2 2 3 3" xfId="2288"/>
    <cellStyle name="Output 2 2 2 2 2 3 3 2" xfId="5344"/>
    <cellStyle name="Output 2 2 2 2 2 3 3 2 2" xfId="9653"/>
    <cellStyle name="Output 2 2 2 2 2 3 3 2 2 2" xfId="15915"/>
    <cellStyle name="Output 2 2 2 2 2 3 3 2 2 2 2" xfId="29331"/>
    <cellStyle name="Output 2 2 2 2 2 3 3 2 2 3" xfId="20660"/>
    <cellStyle name="Output 2 2 2 2 2 3 3 2 3" xfId="11894"/>
    <cellStyle name="Output 2 2 2 2 2 3 3 2 3 2" xfId="26216"/>
    <cellStyle name="Output 2 2 2 2 2 3 3 2 4" xfId="17539"/>
    <cellStyle name="Output 2 2 2 2 2 3 3 3" xfId="13157"/>
    <cellStyle name="Output 2 2 2 2 2 3 3 3 2" xfId="27479"/>
    <cellStyle name="Output 2 2 2 2 2 3 3 4" xfId="18802"/>
    <cellStyle name="Output 2 2 2 2 2 3 4" xfId="5564"/>
    <cellStyle name="Output 2 2 2 2 2 3 4 2" xfId="12115"/>
    <cellStyle name="Output 2 2 2 2 2 3 4 2 2" xfId="26437"/>
    <cellStyle name="Output 2 2 2 2 2 3 4 3" xfId="17760"/>
    <cellStyle name="Output 2 2 2 2 2 3 5" xfId="5034"/>
    <cellStyle name="Output 2 2 2 2 2 3 5 2" xfId="23314"/>
    <cellStyle name="Output 2 2 2 2 2 3 6" xfId="16998"/>
    <cellStyle name="Output 2 2 2 2 2 4" xfId="2289"/>
    <cellStyle name="Output 2 2 2 2 2 4 2" xfId="6392"/>
    <cellStyle name="Output 2 2 2 2 2 4 2 2" xfId="12975"/>
    <cellStyle name="Output 2 2 2 2 2 4 2 2 2" xfId="27297"/>
    <cellStyle name="Output 2 2 2 2 2 4 2 3" xfId="18620"/>
    <cellStyle name="Output 2 2 2 2 2 4 3" xfId="5312"/>
    <cellStyle name="Output 2 2 2 2 2 4 3 2" xfId="9621"/>
    <cellStyle name="Output 2 2 2 2 2 4 3 2 2" xfId="15883"/>
    <cellStyle name="Output 2 2 2 2 2 4 3 2 2 2" xfId="29299"/>
    <cellStyle name="Output 2 2 2 2 2 4 3 2 3" xfId="20628"/>
    <cellStyle name="Output 2 2 2 2 2 4 3 3" xfId="11862"/>
    <cellStyle name="Output 2 2 2 2 2 4 3 3 2" xfId="26184"/>
    <cellStyle name="Output 2 2 2 2 2 4 3 4" xfId="17507"/>
    <cellStyle name="Output 2 2 2 2 2 4 4" xfId="4641"/>
    <cellStyle name="Output 2 2 2 2 2 4 4 2" xfId="23085"/>
    <cellStyle name="Output 2 2 2 2 2 4 5" xfId="15089"/>
    <cellStyle name="Output 2 2 2 2 2 5" xfId="2290"/>
    <cellStyle name="Output 2 2 2 2 2 5 2" xfId="5250"/>
    <cellStyle name="Output 2 2 2 2 2 5 2 2" xfId="9559"/>
    <cellStyle name="Output 2 2 2 2 2 5 2 2 2" xfId="15821"/>
    <cellStyle name="Output 2 2 2 2 2 5 2 2 2 2" xfId="29237"/>
    <cellStyle name="Output 2 2 2 2 2 5 2 2 3" xfId="20566"/>
    <cellStyle name="Output 2 2 2 2 2 5 2 3" xfId="11800"/>
    <cellStyle name="Output 2 2 2 2 2 5 2 3 2" xfId="26122"/>
    <cellStyle name="Output 2 2 2 2 2 5 2 4" xfId="17445"/>
    <cellStyle name="Output 2 2 2 2 2 5 3" xfId="12870"/>
    <cellStyle name="Output 2 2 2 2 2 5 3 2" xfId="27192"/>
    <cellStyle name="Output 2 2 2 2 2 5 4" xfId="18515"/>
    <cellStyle name="Output 2 2 2 2 2 6" xfId="5488"/>
    <cellStyle name="Output 2 2 2 2 2 6 2" xfId="12039"/>
    <cellStyle name="Output 2 2 2 2 2 6 2 2" xfId="26361"/>
    <cellStyle name="Output 2 2 2 2 2 6 3" xfId="17684"/>
    <cellStyle name="Output 2 2 2 2 2 7" xfId="4698"/>
    <cellStyle name="Output 2 2 2 2 2 7 2" xfId="23133"/>
    <cellStyle name="Output 2 2 2 2 2 8" xfId="15555"/>
    <cellStyle name="Output 2 2 2 2 3" xfId="2291"/>
    <cellStyle name="Output 2 2 2 2 3 2" xfId="2292"/>
    <cellStyle name="Output 2 2 2 2 3 2 2" xfId="2293"/>
    <cellStyle name="Output 2 2 2 2 3 2 2 2" xfId="6422"/>
    <cellStyle name="Output 2 2 2 2 3 2 2 2 2" xfId="13005"/>
    <cellStyle name="Output 2 2 2 2 3 2 2 2 2 2" xfId="27327"/>
    <cellStyle name="Output 2 2 2 2 3 2 2 2 3" xfId="18650"/>
    <cellStyle name="Output 2 2 2 2 3 2 2 3" xfId="4412"/>
    <cellStyle name="Output 2 2 2 2 3 2 2 3 2" xfId="9463"/>
    <cellStyle name="Output 2 2 2 2 3 2 2 3 2 2" xfId="15725"/>
    <cellStyle name="Output 2 2 2 2 3 2 2 3 2 2 2" xfId="29141"/>
    <cellStyle name="Output 2 2 2 2 3 2 2 3 2 3" xfId="20470"/>
    <cellStyle name="Output 2 2 2 2 3 2 2 3 3" xfId="6211"/>
    <cellStyle name="Output 2 2 2 2 3 2 2 3 3 2" xfId="23460"/>
    <cellStyle name="Output 2 2 2 2 3 2 2 3 4" xfId="15140"/>
    <cellStyle name="Output 2 2 2 2 3 2 2 4" xfId="6621"/>
    <cellStyle name="Output 2 2 2 2 3 2 2 4 2" xfId="23611"/>
    <cellStyle name="Output 2 2 2 2 3 2 2 5" xfId="17175"/>
    <cellStyle name="Output 2 2 2 2 3 2 3" xfId="2294"/>
    <cellStyle name="Output 2 2 2 2 3 2 3 2" xfId="7136"/>
    <cellStyle name="Output 2 2 2 2 3 2 3 2 2" xfId="9750"/>
    <cellStyle name="Output 2 2 2 2 3 2 3 2 2 2" xfId="16012"/>
    <cellStyle name="Output 2 2 2 2 3 2 3 2 2 2 2" xfId="29428"/>
    <cellStyle name="Output 2 2 2 2 3 2 3 2 2 3" xfId="20757"/>
    <cellStyle name="Output 2 2 2 2 3 2 3 2 3" xfId="13740"/>
    <cellStyle name="Output 2 2 2 2 3 2 3 2 3 2" xfId="28062"/>
    <cellStyle name="Output 2 2 2 2 3 2 3 2 4" xfId="19385"/>
    <cellStyle name="Output 2 2 2 2 3 2 3 3" xfId="13330"/>
    <cellStyle name="Output 2 2 2 2 3 2 3 3 2" xfId="27652"/>
    <cellStyle name="Output 2 2 2 2 3 2 3 4" xfId="18975"/>
    <cellStyle name="Output 2 2 2 2 3 2 4" xfId="5780"/>
    <cellStyle name="Output 2 2 2 2 3 2 4 2" xfId="12333"/>
    <cellStyle name="Output 2 2 2 2 3 2 4 2 2" xfId="26655"/>
    <cellStyle name="Output 2 2 2 2 3 2 4 3" xfId="17978"/>
    <cellStyle name="Output 2 2 2 2 3 2 5" xfId="4068"/>
    <cellStyle name="Output 2 2 2 2 3 2 5 2" xfId="22740"/>
    <cellStyle name="Output 2 2 2 2 3 2 6" xfId="6688"/>
    <cellStyle name="Output 2 2 2 2 3 3" xfId="2295"/>
    <cellStyle name="Output 2 2 2 2 3 3 2" xfId="2296"/>
    <cellStyle name="Output 2 2 2 2 3 3 2 2" xfId="6908"/>
    <cellStyle name="Output 2 2 2 2 3 3 2 2 2" xfId="13512"/>
    <cellStyle name="Output 2 2 2 2 3 3 2 2 2 2" xfId="27834"/>
    <cellStyle name="Output 2 2 2 2 3 3 2 2 3" xfId="19157"/>
    <cellStyle name="Output 2 2 2 2 3 3 2 3" xfId="7201"/>
    <cellStyle name="Output 2 2 2 2 3 3 2 3 2" xfId="9815"/>
    <cellStyle name="Output 2 2 2 2 3 3 2 3 2 2" xfId="16077"/>
    <cellStyle name="Output 2 2 2 2 3 3 2 3 2 2 2" xfId="29493"/>
    <cellStyle name="Output 2 2 2 2 3 3 2 3 2 3" xfId="20822"/>
    <cellStyle name="Output 2 2 2 2 3 3 2 3 3" xfId="13805"/>
    <cellStyle name="Output 2 2 2 2 3 3 2 3 3 2" xfId="28127"/>
    <cellStyle name="Output 2 2 2 2 3 3 2 3 4" xfId="19450"/>
    <cellStyle name="Output 2 2 2 2 3 3 2 4" xfId="11394"/>
    <cellStyle name="Output 2 2 2 2 3 3 2 4 2" xfId="25716"/>
    <cellStyle name="Output 2 2 2 2 3 3 2 5" xfId="17211"/>
    <cellStyle name="Output 2 2 2 2 3 3 3" xfId="2297"/>
    <cellStyle name="Output 2 2 2 2 3 3 3 2" xfId="7406"/>
    <cellStyle name="Output 2 2 2 2 3 3 3 2 2" xfId="10020"/>
    <cellStyle name="Output 2 2 2 2 3 3 3 2 2 2" xfId="16282"/>
    <cellStyle name="Output 2 2 2 2 3 3 3 2 2 2 2" xfId="29698"/>
    <cellStyle name="Output 2 2 2 2 3 3 3 2 2 3" xfId="21027"/>
    <cellStyle name="Output 2 2 2 2 3 3 3 2 3" xfId="14010"/>
    <cellStyle name="Output 2 2 2 2 3 3 3 2 3 2" xfId="28332"/>
    <cellStyle name="Output 2 2 2 2 3 3 3 2 4" xfId="19655"/>
    <cellStyle name="Output 2 2 2 2 3 3 3 3" xfId="12508"/>
    <cellStyle name="Output 2 2 2 2 3 3 3 3 2" xfId="26830"/>
    <cellStyle name="Output 2 2 2 2 3 3 3 4" xfId="18153"/>
    <cellStyle name="Output 2 2 2 2 3 3 4" xfId="5095"/>
    <cellStyle name="Output 2 2 2 2 3 3 4 2" xfId="11642"/>
    <cellStyle name="Output 2 2 2 2 3 3 4 2 2" xfId="25964"/>
    <cellStyle name="Output 2 2 2 2 3 3 4 3" xfId="15471"/>
    <cellStyle name="Output 2 2 2 2 3 3 5" xfId="6676"/>
    <cellStyle name="Output 2 2 2 2 3 3 5 2" xfId="23647"/>
    <cellStyle name="Output 2 2 2 2 3 3 6" xfId="4525"/>
    <cellStyle name="Output 2 2 2 2 3 4" xfId="2298"/>
    <cellStyle name="Output 2 2 2 2 3 4 2" xfId="6135"/>
    <cellStyle name="Output 2 2 2 2 3 4 2 2" xfId="12704"/>
    <cellStyle name="Output 2 2 2 2 3 4 2 2 2" xfId="27026"/>
    <cellStyle name="Output 2 2 2 2 3 4 2 3" xfId="18349"/>
    <cellStyle name="Output 2 2 2 2 3 4 3" xfId="7837"/>
    <cellStyle name="Output 2 2 2 2 3 4 3 2" xfId="10451"/>
    <cellStyle name="Output 2 2 2 2 3 4 3 2 2" xfId="16713"/>
    <cellStyle name="Output 2 2 2 2 3 4 3 2 2 2" xfId="30129"/>
    <cellStyle name="Output 2 2 2 2 3 4 3 2 3" xfId="21458"/>
    <cellStyle name="Output 2 2 2 2 3 4 3 3" xfId="14441"/>
    <cellStyle name="Output 2 2 2 2 3 4 3 3 2" xfId="28763"/>
    <cellStyle name="Output 2 2 2 2 3 4 3 4" xfId="20086"/>
    <cellStyle name="Output 2 2 2 2 3 4 4" xfId="4385"/>
    <cellStyle name="Output 2 2 2 2 3 4 4 2" xfId="22919"/>
    <cellStyle name="Output 2 2 2 2 3 4 5" xfId="14980"/>
    <cellStyle name="Output 2 2 2 2 3 5" xfId="2299"/>
    <cellStyle name="Output 2 2 2 2 3 5 2" xfId="7612"/>
    <cellStyle name="Output 2 2 2 2 3 5 2 2" xfId="10226"/>
    <cellStyle name="Output 2 2 2 2 3 5 2 2 2" xfId="16488"/>
    <cellStyle name="Output 2 2 2 2 3 5 2 2 2 2" xfId="29904"/>
    <cellStyle name="Output 2 2 2 2 3 5 2 2 3" xfId="21233"/>
    <cellStyle name="Output 2 2 2 2 3 5 2 3" xfId="14216"/>
    <cellStyle name="Output 2 2 2 2 3 5 2 3 2" xfId="28538"/>
    <cellStyle name="Output 2 2 2 2 3 5 2 4" xfId="19861"/>
    <cellStyle name="Output 2 2 2 2 3 5 3" xfId="12906"/>
    <cellStyle name="Output 2 2 2 2 3 5 3 2" xfId="27228"/>
    <cellStyle name="Output 2 2 2 2 3 5 4" xfId="18551"/>
    <cellStyle name="Output 2 2 2 2 3 6" xfId="5530"/>
    <cellStyle name="Output 2 2 2 2 3 6 2" xfId="12081"/>
    <cellStyle name="Output 2 2 2 2 3 6 2 2" xfId="26403"/>
    <cellStyle name="Output 2 2 2 2 3 6 3" xfId="17726"/>
    <cellStyle name="Output 2 2 2 2 3 7" xfId="6662"/>
    <cellStyle name="Output 2 2 2 2 3 7 2" xfId="23638"/>
    <cellStyle name="Output 2 2 2 2 3 8" xfId="16950"/>
    <cellStyle name="Output 2 2 2 2 4" xfId="2300"/>
    <cellStyle name="Output 2 2 2 2 4 2" xfId="2301"/>
    <cellStyle name="Output 2 2 2 2 4 2 2" xfId="2302"/>
    <cellStyle name="Output 2 2 2 2 4 2 2 2" xfId="5993"/>
    <cellStyle name="Output 2 2 2 2 4 2 2 2 2" xfId="12551"/>
    <cellStyle name="Output 2 2 2 2 4 2 2 2 2 2" xfId="26873"/>
    <cellStyle name="Output 2 2 2 2 4 2 2 2 3" xfId="18196"/>
    <cellStyle name="Output 2 2 2 2 4 2 2 3" xfId="7671"/>
    <cellStyle name="Output 2 2 2 2 4 2 2 3 2" xfId="10285"/>
    <cellStyle name="Output 2 2 2 2 4 2 2 3 2 2" xfId="16547"/>
    <cellStyle name="Output 2 2 2 2 4 2 2 3 2 2 2" xfId="29963"/>
    <cellStyle name="Output 2 2 2 2 4 2 2 3 2 3" xfId="21292"/>
    <cellStyle name="Output 2 2 2 2 4 2 2 3 3" xfId="14275"/>
    <cellStyle name="Output 2 2 2 2 4 2 2 3 3 2" xfId="28597"/>
    <cellStyle name="Output 2 2 2 2 4 2 2 3 4" xfId="19920"/>
    <cellStyle name="Output 2 2 2 2 4 2 2 4" xfId="6356"/>
    <cellStyle name="Output 2 2 2 2 4 2 2 4 2" xfId="23540"/>
    <cellStyle name="Output 2 2 2 2 4 2 2 5" xfId="17137"/>
    <cellStyle name="Output 2 2 2 2 4 2 3" xfId="2303"/>
    <cellStyle name="Output 2 2 2 2 4 2 3 2" xfId="7284"/>
    <cellStyle name="Output 2 2 2 2 4 2 3 2 2" xfId="9898"/>
    <cellStyle name="Output 2 2 2 2 4 2 3 2 2 2" xfId="16160"/>
    <cellStyle name="Output 2 2 2 2 4 2 3 2 2 2 2" xfId="29576"/>
    <cellStyle name="Output 2 2 2 2 4 2 3 2 2 3" xfId="20905"/>
    <cellStyle name="Output 2 2 2 2 4 2 3 2 3" xfId="13888"/>
    <cellStyle name="Output 2 2 2 2 4 2 3 2 3 2" xfId="28210"/>
    <cellStyle name="Output 2 2 2 2 4 2 3 2 4" xfId="19533"/>
    <cellStyle name="Output 2 2 2 2 4 2 3 3" xfId="13267"/>
    <cellStyle name="Output 2 2 2 2 4 2 3 3 2" xfId="27589"/>
    <cellStyle name="Output 2 2 2 2 4 2 3 4" xfId="18912"/>
    <cellStyle name="Output 2 2 2 2 4 2 4" xfId="5713"/>
    <cellStyle name="Output 2 2 2 2 4 2 4 2" xfId="12266"/>
    <cellStyle name="Output 2 2 2 2 4 2 4 2 2" xfId="26588"/>
    <cellStyle name="Output 2 2 2 2 4 2 4 3" xfId="17911"/>
    <cellStyle name="Output 2 2 2 2 4 2 5" xfId="3946"/>
    <cellStyle name="Output 2 2 2 2 4 2 5 2" xfId="22662"/>
    <cellStyle name="Output 2 2 2 2 4 2 6" xfId="6292"/>
    <cellStyle name="Output 2 2 2 2 4 3" xfId="2304"/>
    <cellStyle name="Output 2 2 2 2 4 3 2" xfId="2305"/>
    <cellStyle name="Output 2 2 2 2 4 3 2 2" xfId="6177"/>
    <cellStyle name="Output 2 2 2 2 4 3 2 2 2" xfId="12750"/>
    <cellStyle name="Output 2 2 2 2 4 3 2 2 2 2" xfId="27072"/>
    <cellStyle name="Output 2 2 2 2 4 3 2 2 3" xfId="18395"/>
    <cellStyle name="Output 2 2 2 2 4 3 2 3" xfId="4091"/>
    <cellStyle name="Output 2 2 2 2 4 3 2 3 2" xfId="9422"/>
    <cellStyle name="Output 2 2 2 2 4 3 2 3 2 2" xfId="15684"/>
    <cellStyle name="Output 2 2 2 2 4 3 2 3 2 2 2" xfId="29100"/>
    <cellStyle name="Output 2 2 2 2 4 3 2 3 2 3" xfId="20429"/>
    <cellStyle name="Output 2 2 2 2 4 3 2 3 3" xfId="3181"/>
    <cellStyle name="Output 2 2 2 2 4 3 2 3 3 2" xfId="22427"/>
    <cellStyle name="Output 2 2 2 2 4 3 2 3 4" xfId="15545"/>
    <cellStyle name="Output 2 2 2 2 4 3 2 4" xfId="3973"/>
    <cellStyle name="Output 2 2 2 2 4 3 2 4 2" xfId="22678"/>
    <cellStyle name="Output 2 2 2 2 4 3 2 5" xfId="5121"/>
    <cellStyle name="Output 2 2 2 2 4 3 3" xfId="2306"/>
    <cellStyle name="Output 2 2 2 2 4 3 3 2" xfId="7962"/>
    <cellStyle name="Output 2 2 2 2 4 3 3 2 2" xfId="10576"/>
    <cellStyle name="Output 2 2 2 2 4 3 3 2 2 2" xfId="16838"/>
    <cellStyle name="Output 2 2 2 2 4 3 3 2 2 2 2" xfId="30254"/>
    <cellStyle name="Output 2 2 2 2 4 3 3 2 2 3" xfId="21583"/>
    <cellStyle name="Output 2 2 2 2 4 3 3 2 3" xfId="14566"/>
    <cellStyle name="Output 2 2 2 2 4 3 3 2 3 2" xfId="28888"/>
    <cellStyle name="Output 2 2 2 2 4 3 3 2 4" xfId="20211"/>
    <cellStyle name="Output 2 2 2 2 4 3 3 3" xfId="13428"/>
    <cellStyle name="Output 2 2 2 2 4 3 3 3 2" xfId="27750"/>
    <cellStyle name="Output 2 2 2 2 4 3 3 4" xfId="19073"/>
    <cellStyle name="Output 2 2 2 2 4 3 4" xfId="5903"/>
    <cellStyle name="Output 2 2 2 2 4 3 4 2" xfId="12457"/>
    <cellStyle name="Output 2 2 2 2 4 3 4 2 2" xfId="26779"/>
    <cellStyle name="Output 2 2 2 2 4 3 4 3" xfId="18102"/>
    <cellStyle name="Output 2 2 2 2 4 3 5" xfId="2791"/>
    <cellStyle name="Output 2 2 2 2 4 3 5 2" xfId="22359"/>
    <cellStyle name="Output 2 2 2 2 4 3 6" xfId="17333"/>
    <cellStyle name="Output 2 2 2 2 4 4" xfId="2307"/>
    <cellStyle name="Output 2 2 2 2 4 4 2" xfId="5947"/>
    <cellStyle name="Output 2 2 2 2 4 4 2 2" xfId="12504"/>
    <cellStyle name="Output 2 2 2 2 4 4 2 2 2" xfId="26826"/>
    <cellStyle name="Output 2 2 2 2 4 4 2 3" xfId="18149"/>
    <cellStyle name="Output 2 2 2 2 4 4 3" xfId="7991"/>
    <cellStyle name="Output 2 2 2 2 4 4 3 2" xfId="10605"/>
    <cellStyle name="Output 2 2 2 2 4 4 3 2 2" xfId="16867"/>
    <cellStyle name="Output 2 2 2 2 4 4 3 2 2 2" xfId="30283"/>
    <cellStyle name="Output 2 2 2 2 4 4 3 2 3" xfId="21612"/>
    <cellStyle name="Output 2 2 2 2 4 4 3 3" xfId="14595"/>
    <cellStyle name="Output 2 2 2 2 4 4 3 3 2" xfId="28917"/>
    <cellStyle name="Output 2 2 2 2 4 4 3 4" xfId="20240"/>
    <cellStyle name="Output 2 2 2 2 4 4 4" xfId="4211"/>
    <cellStyle name="Output 2 2 2 2 4 4 4 2" xfId="22825"/>
    <cellStyle name="Output 2 2 2 2 4 4 5" xfId="17100"/>
    <cellStyle name="Output 2 2 2 2 4 5" xfId="2308"/>
    <cellStyle name="Output 2 2 2 2 4 5 2" xfId="7903"/>
    <cellStyle name="Output 2 2 2 2 4 5 2 2" xfId="10517"/>
    <cellStyle name="Output 2 2 2 2 4 5 2 2 2" xfId="16779"/>
    <cellStyle name="Output 2 2 2 2 4 5 2 2 2 2" xfId="30195"/>
    <cellStyle name="Output 2 2 2 2 4 5 2 2 3" xfId="21524"/>
    <cellStyle name="Output 2 2 2 2 4 5 2 3" xfId="14507"/>
    <cellStyle name="Output 2 2 2 2 4 5 2 3 2" xfId="28829"/>
    <cellStyle name="Output 2 2 2 2 4 5 2 4" xfId="20152"/>
    <cellStyle name="Output 2 2 2 2 4 5 3" xfId="12824"/>
    <cellStyle name="Output 2 2 2 2 4 5 3 2" xfId="27146"/>
    <cellStyle name="Output 2 2 2 2 4 5 4" xfId="18469"/>
    <cellStyle name="Output 2 2 2 2 4 6" xfId="5372"/>
    <cellStyle name="Output 2 2 2 2 4 6 2" xfId="11922"/>
    <cellStyle name="Output 2 2 2 2 4 6 2 2" xfId="26244"/>
    <cellStyle name="Output 2 2 2 2 4 6 3" xfId="17567"/>
    <cellStyle name="Output 2 2 2 2 4 7" xfId="3147"/>
    <cellStyle name="Output 2 2 2 2 4 7 2" xfId="22420"/>
    <cellStyle name="Output 2 2 2 2 4 8" xfId="17217"/>
    <cellStyle name="Output 2 2 2 2 5" xfId="2309"/>
    <cellStyle name="Output 2 2 2 2 5 2" xfId="2310"/>
    <cellStyle name="Output 2 2 2 2 5 2 2" xfId="2311"/>
    <cellStyle name="Output 2 2 2 2 5 2 2 2" xfId="6857"/>
    <cellStyle name="Output 2 2 2 2 5 2 2 2 2" xfId="13461"/>
    <cellStyle name="Output 2 2 2 2 5 2 2 2 2 2" xfId="27783"/>
    <cellStyle name="Output 2 2 2 2 5 2 2 2 3" xfId="19106"/>
    <cellStyle name="Output 2 2 2 2 5 2 2 3" xfId="7361"/>
    <cellStyle name="Output 2 2 2 2 5 2 2 3 2" xfId="9975"/>
    <cellStyle name="Output 2 2 2 2 5 2 2 3 2 2" xfId="16237"/>
    <cellStyle name="Output 2 2 2 2 5 2 2 3 2 2 2" xfId="29653"/>
    <cellStyle name="Output 2 2 2 2 5 2 2 3 2 3" xfId="20982"/>
    <cellStyle name="Output 2 2 2 2 5 2 2 3 3" xfId="13965"/>
    <cellStyle name="Output 2 2 2 2 5 2 2 3 3 2" xfId="28287"/>
    <cellStyle name="Output 2 2 2 2 5 2 2 3 4" xfId="19610"/>
    <cellStyle name="Output 2 2 2 2 5 2 2 4" xfId="11315"/>
    <cellStyle name="Output 2 2 2 2 5 2 2 4 2" xfId="25637"/>
    <cellStyle name="Output 2 2 2 2 5 2 2 5" xfId="4664"/>
    <cellStyle name="Output 2 2 2 2 5 2 3" xfId="2312"/>
    <cellStyle name="Output 2 2 2 2 5 2 3 2" xfId="5267"/>
    <cellStyle name="Output 2 2 2 2 5 2 3 2 2" xfId="9576"/>
    <cellStyle name="Output 2 2 2 2 5 2 3 2 2 2" xfId="15838"/>
    <cellStyle name="Output 2 2 2 2 5 2 3 2 2 2 2" xfId="29254"/>
    <cellStyle name="Output 2 2 2 2 5 2 3 2 2 3" xfId="20583"/>
    <cellStyle name="Output 2 2 2 2 5 2 3 2 3" xfId="11817"/>
    <cellStyle name="Output 2 2 2 2 5 2 3 2 3 2" xfId="26139"/>
    <cellStyle name="Output 2 2 2 2 5 2 3 2 4" xfId="17462"/>
    <cellStyle name="Output 2 2 2 2 5 2 3 3" xfId="13393"/>
    <cellStyle name="Output 2 2 2 2 5 2 3 3 2" xfId="27715"/>
    <cellStyle name="Output 2 2 2 2 5 2 3 4" xfId="19038"/>
    <cellStyle name="Output 2 2 2 2 5 2 4" xfId="5857"/>
    <cellStyle name="Output 2 2 2 2 5 2 4 2" xfId="12410"/>
    <cellStyle name="Output 2 2 2 2 5 2 4 2 2" xfId="26732"/>
    <cellStyle name="Output 2 2 2 2 5 2 4 3" xfId="18055"/>
    <cellStyle name="Output 2 2 2 2 5 2 5" xfId="4378"/>
    <cellStyle name="Output 2 2 2 2 5 2 5 2" xfId="22916"/>
    <cellStyle name="Output 2 2 2 2 5 2 6" xfId="15010"/>
    <cellStyle name="Output 2 2 2 2 5 3" xfId="2313"/>
    <cellStyle name="Output 2 2 2 2 5 3 2" xfId="6918"/>
    <cellStyle name="Output 2 2 2 2 5 3 2 2" xfId="13522"/>
    <cellStyle name="Output 2 2 2 2 5 3 2 2 2" xfId="27844"/>
    <cellStyle name="Output 2 2 2 2 5 3 2 3" xfId="19167"/>
    <cellStyle name="Output 2 2 2 2 5 3 3" xfId="7908"/>
    <cellStyle name="Output 2 2 2 2 5 3 3 2" xfId="10522"/>
    <cellStyle name="Output 2 2 2 2 5 3 3 2 2" xfId="16784"/>
    <cellStyle name="Output 2 2 2 2 5 3 3 2 2 2" xfId="30200"/>
    <cellStyle name="Output 2 2 2 2 5 3 3 2 3" xfId="21529"/>
    <cellStyle name="Output 2 2 2 2 5 3 3 3" xfId="14512"/>
    <cellStyle name="Output 2 2 2 2 5 3 3 3 2" xfId="28834"/>
    <cellStyle name="Output 2 2 2 2 5 3 3 4" xfId="20157"/>
    <cellStyle name="Output 2 2 2 2 5 3 4" xfId="11405"/>
    <cellStyle name="Output 2 2 2 2 5 3 4 2" xfId="25727"/>
    <cellStyle name="Output 2 2 2 2 5 3 5" xfId="15224"/>
    <cellStyle name="Output 2 2 2 2 5 4" xfId="2314"/>
    <cellStyle name="Output 2 2 2 2 5 4 2" xfId="8030"/>
    <cellStyle name="Output 2 2 2 2 5 4 2 2" xfId="10644"/>
    <cellStyle name="Output 2 2 2 2 5 4 2 2 2" xfId="16906"/>
    <cellStyle name="Output 2 2 2 2 5 4 2 2 2 2" xfId="30322"/>
    <cellStyle name="Output 2 2 2 2 5 4 2 2 3" xfId="21651"/>
    <cellStyle name="Output 2 2 2 2 5 4 2 3" xfId="14634"/>
    <cellStyle name="Output 2 2 2 2 5 4 2 3 2" xfId="28956"/>
    <cellStyle name="Output 2 2 2 2 5 4 2 4" xfId="20279"/>
    <cellStyle name="Output 2 2 2 2 5 4 3" xfId="12755"/>
    <cellStyle name="Output 2 2 2 2 5 4 3 2" xfId="27077"/>
    <cellStyle name="Output 2 2 2 2 5 4 4" xfId="18400"/>
    <cellStyle name="Output 2 2 2 2 5 5" xfId="5110"/>
    <cellStyle name="Output 2 2 2 2 5 5 2" xfId="11658"/>
    <cellStyle name="Output 2 2 2 2 5 5 2 2" xfId="25980"/>
    <cellStyle name="Output 2 2 2 2 5 5 3" xfId="15130"/>
    <cellStyle name="Output 2 2 2 2 5 6" xfId="4219"/>
    <cellStyle name="Output 2 2 2 2 5 6 2" xfId="22831"/>
    <cellStyle name="Output 2 2 2 2 5 7" xfId="15259"/>
    <cellStyle name="Output 2 2 2 2 6" xfId="2315"/>
    <cellStyle name="Output 2 2 2 2 6 2" xfId="2316"/>
    <cellStyle name="Output 2 2 2 2 6 2 2" xfId="6205"/>
    <cellStyle name="Output 2 2 2 2 6 2 2 2" xfId="12778"/>
    <cellStyle name="Output 2 2 2 2 6 2 2 2 2" xfId="27100"/>
    <cellStyle name="Output 2 2 2 2 6 2 2 3" xfId="18423"/>
    <cellStyle name="Output 2 2 2 2 6 2 3" xfId="7088"/>
    <cellStyle name="Output 2 2 2 2 6 2 3 2" xfId="9702"/>
    <cellStyle name="Output 2 2 2 2 6 2 3 2 2" xfId="15964"/>
    <cellStyle name="Output 2 2 2 2 6 2 3 2 2 2" xfId="29380"/>
    <cellStyle name="Output 2 2 2 2 6 2 3 2 3" xfId="20709"/>
    <cellStyle name="Output 2 2 2 2 6 2 3 3" xfId="13692"/>
    <cellStyle name="Output 2 2 2 2 6 2 3 3 2" xfId="28014"/>
    <cellStyle name="Output 2 2 2 2 6 2 3 4" xfId="19337"/>
    <cellStyle name="Output 2 2 2 2 6 2 4" xfId="4736"/>
    <cellStyle name="Output 2 2 2 2 6 2 4 2" xfId="23159"/>
    <cellStyle name="Output 2 2 2 2 6 2 5" xfId="4040"/>
    <cellStyle name="Output 2 2 2 2 6 3" xfId="2317"/>
    <cellStyle name="Output 2 2 2 2 6 3 2" xfId="3939"/>
    <cellStyle name="Output 2 2 2 2 6 3 2 2" xfId="9401"/>
    <cellStyle name="Output 2 2 2 2 6 3 2 2 2" xfId="15663"/>
    <cellStyle name="Output 2 2 2 2 6 3 2 2 2 2" xfId="29079"/>
    <cellStyle name="Output 2 2 2 2 6 3 2 2 3" xfId="20408"/>
    <cellStyle name="Output 2 2 2 2 6 3 2 3" xfId="6715"/>
    <cellStyle name="Output 2 2 2 2 6 3 2 3 2" xfId="23669"/>
    <cellStyle name="Output 2 2 2 2 6 3 2 4" xfId="17269"/>
    <cellStyle name="Output 2 2 2 2 6 3 3" xfId="11661"/>
    <cellStyle name="Output 2 2 2 2 6 3 3 2" xfId="25983"/>
    <cellStyle name="Output 2 2 2 2 6 3 4" xfId="16948"/>
    <cellStyle name="Output 2 2 2 2 6 4" xfId="5051"/>
    <cellStyle name="Output 2 2 2 2 6 4 2" xfId="11598"/>
    <cellStyle name="Output 2 2 2 2 6 4 2 2" xfId="25920"/>
    <cellStyle name="Output 2 2 2 2 6 4 3" xfId="14780"/>
    <cellStyle name="Output 2 2 2 2 6 5" xfId="3604"/>
    <cellStyle name="Output 2 2 2 2 6 5 2" xfId="22483"/>
    <cellStyle name="Output 2 2 2 2 6 6" xfId="14987"/>
    <cellStyle name="Output 2 2 2 2 7" xfId="2318"/>
    <cellStyle name="Output 2 2 2 2 7 2" xfId="6466"/>
    <cellStyle name="Output 2 2 2 2 7 2 2" xfId="13049"/>
    <cellStyle name="Output 2 2 2 2 7 2 2 2" xfId="27371"/>
    <cellStyle name="Output 2 2 2 2 7 2 3" xfId="18694"/>
    <cellStyle name="Output 2 2 2 2 7 3" xfId="7055"/>
    <cellStyle name="Output 2 2 2 2 7 3 2" xfId="9669"/>
    <cellStyle name="Output 2 2 2 2 7 3 2 2" xfId="15931"/>
    <cellStyle name="Output 2 2 2 2 7 3 2 2 2" xfId="29347"/>
    <cellStyle name="Output 2 2 2 2 7 3 2 3" xfId="20676"/>
    <cellStyle name="Output 2 2 2 2 7 3 3" xfId="13659"/>
    <cellStyle name="Output 2 2 2 2 7 3 3 2" xfId="27981"/>
    <cellStyle name="Output 2 2 2 2 7 3 4" xfId="19304"/>
    <cellStyle name="Output 2 2 2 2 7 4" xfId="3971"/>
    <cellStyle name="Output 2 2 2 2 7 4 2" xfId="22677"/>
    <cellStyle name="Output 2 2 2 2 7 5" xfId="17232"/>
    <cellStyle name="Output 2 2 2 2 8" xfId="2319"/>
    <cellStyle name="Output 2 2 2 2 8 2" xfId="7547"/>
    <cellStyle name="Output 2 2 2 2 8 2 2" xfId="10161"/>
    <cellStyle name="Output 2 2 2 2 8 2 2 2" xfId="16423"/>
    <cellStyle name="Output 2 2 2 2 8 2 2 2 2" xfId="29839"/>
    <cellStyle name="Output 2 2 2 2 8 2 2 3" xfId="21168"/>
    <cellStyle name="Output 2 2 2 2 8 2 3" xfId="14151"/>
    <cellStyle name="Output 2 2 2 2 8 2 3 2" xfId="28473"/>
    <cellStyle name="Output 2 2 2 2 8 2 4" xfId="19796"/>
    <cellStyle name="Output 2 2 2 2 8 3" xfId="12502"/>
    <cellStyle name="Output 2 2 2 2 8 3 2" xfId="26824"/>
    <cellStyle name="Output 2 2 2 2 8 4" xfId="18147"/>
    <cellStyle name="Output 2 2 2 2 9" xfId="5183"/>
    <cellStyle name="Output 2 2 2 2 9 2" xfId="11732"/>
    <cellStyle name="Output 2 2 2 2 9 2 2" xfId="26054"/>
    <cellStyle name="Output 2 2 2 2 9 3" xfId="4251"/>
    <cellStyle name="Output 2 2 2 3" xfId="2320"/>
    <cellStyle name="Output 2 2 2 3 2" xfId="2321"/>
    <cellStyle name="Output 2 2 2 3 2 2" xfId="2322"/>
    <cellStyle name="Output 2 2 2 3 2 2 2" xfId="5458"/>
    <cellStyle name="Output 2 2 2 3 2 2 2 2" xfId="12009"/>
    <cellStyle name="Output 2 2 2 3 2 2 2 2 2" xfId="26331"/>
    <cellStyle name="Output 2 2 2 3 2 2 2 3" xfId="17654"/>
    <cellStyle name="Output 2 2 2 3 2 2 3" xfId="7583"/>
    <cellStyle name="Output 2 2 2 3 2 2 3 2" xfId="10197"/>
    <cellStyle name="Output 2 2 2 3 2 2 3 2 2" xfId="16459"/>
    <cellStyle name="Output 2 2 2 3 2 2 3 2 2 2" xfId="29875"/>
    <cellStyle name="Output 2 2 2 3 2 2 3 2 3" xfId="21204"/>
    <cellStyle name="Output 2 2 2 3 2 2 3 3" xfId="14187"/>
    <cellStyle name="Output 2 2 2 3 2 2 3 3 2" xfId="28509"/>
    <cellStyle name="Output 2 2 2 3 2 2 3 4" xfId="19832"/>
    <cellStyle name="Output 2 2 2 3 2 2 4" xfId="4770"/>
    <cellStyle name="Output 2 2 2 3 2 2 4 2" xfId="23178"/>
    <cellStyle name="Output 2 2 2 3 2 2 5" xfId="17076"/>
    <cellStyle name="Output 2 2 2 3 2 3" xfId="2323"/>
    <cellStyle name="Output 2 2 2 3 2 3 2" xfId="7303"/>
    <cellStyle name="Output 2 2 2 3 2 3 2 2" xfId="9917"/>
    <cellStyle name="Output 2 2 2 3 2 3 2 2 2" xfId="16179"/>
    <cellStyle name="Output 2 2 2 3 2 3 2 2 2 2" xfId="29595"/>
    <cellStyle name="Output 2 2 2 3 2 3 2 2 3" xfId="20924"/>
    <cellStyle name="Output 2 2 2 3 2 3 2 3" xfId="13907"/>
    <cellStyle name="Output 2 2 2 3 2 3 2 3 2" xfId="28229"/>
    <cellStyle name="Output 2 2 2 3 2 3 2 4" xfId="19552"/>
    <cellStyle name="Output 2 2 2 3 2 3 3" xfId="13265"/>
    <cellStyle name="Output 2 2 2 3 2 3 3 2" xfId="27587"/>
    <cellStyle name="Output 2 2 2 3 2 3 4" xfId="18910"/>
    <cellStyle name="Output 2 2 2 3 2 4" xfId="5711"/>
    <cellStyle name="Output 2 2 2 3 2 4 2" xfId="12264"/>
    <cellStyle name="Output 2 2 2 3 2 4 2 2" xfId="26586"/>
    <cellStyle name="Output 2 2 2 3 2 4 3" xfId="17909"/>
    <cellStyle name="Output 2 2 2 3 2 5" xfId="2827"/>
    <cellStyle name="Output 2 2 2 3 2 5 2" xfId="22390"/>
    <cellStyle name="Output 2 2 2 3 2 6" xfId="15024"/>
    <cellStyle name="Output 2 2 2 3 3" xfId="2324"/>
    <cellStyle name="Output 2 2 2 3 3 2" xfId="2325"/>
    <cellStyle name="Output 2 2 2 3 3 2 2" xfId="6483"/>
    <cellStyle name="Output 2 2 2 3 3 2 2 2" xfId="13066"/>
    <cellStyle name="Output 2 2 2 3 3 2 2 2 2" xfId="27388"/>
    <cellStyle name="Output 2 2 2 3 3 2 2 3" xfId="18711"/>
    <cellStyle name="Output 2 2 2 3 3 2 3" xfId="7582"/>
    <cellStyle name="Output 2 2 2 3 3 2 3 2" xfId="10196"/>
    <cellStyle name="Output 2 2 2 3 3 2 3 2 2" xfId="16458"/>
    <cellStyle name="Output 2 2 2 3 3 2 3 2 2 2" xfId="29874"/>
    <cellStyle name="Output 2 2 2 3 3 2 3 2 3" xfId="21203"/>
    <cellStyle name="Output 2 2 2 3 3 2 3 3" xfId="14186"/>
    <cellStyle name="Output 2 2 2 3 3 2 3 3 2" xfId="28508"/>
    <cellStyle name="Output 2 2 2 3 3 2 3 4" xfId="19831"/>
    <cellStyle name="Output 2 2 2 3 3 2 4" xfId="6298"/>
    <cellStyle name="Output 2 2 2 3 3 2 4 2" xfId="23496"/>
    <cellStyle name="Output 2 2 2 3 3 2 5" xfId="14795"/>
    <cellStyle name="Output 2 2 2 3 3 3" xfId="2326"/>
    <cellStyle name="Output 2 2 2 3 3 3 2" xfId="3839"/>
    <cellStyle name="Output 2 2 2 3 3 3 2 2" xfId="9384"/>
    <cellStyle name="Output 2 2 2 3 3 3 2 2 2" xfId="15646"/>
    <cellStyle name="Output 2 2 2 3 3 3 2 2 2 2" xfId="29062"/>
    <cellStyle name="Output 2 2 2 3 3 3 2 2 3" xfId="20391"/>
    <cellStyle name="Output 2 2 2 3 3 3 2 3" xfId="3960"/>
    <cellStyle name="Output 2 2 2 3 3 3 2 3 2" xfId="22670"/>
    <cellStyle name="Output 2 2 2 3 3 3 2 4" xfId="15369"/>
    <cellStyle name="Output 2 2 2 3 3 3 3" xfId="12791"/>
    <cellStyle name="Output 2 2 2 3 3 3 3 2" xfId="27113"/>
    <cellStyle name="Output 2 2 2 3 3 3 4" xfId="18436"/>
    <cellStyle name="Output 2 2 2 3 3 4" xfId="5042"/>
    <cellStyle name="Output 2 2 2 3 3 4 2" xfId="11589"/>
    <cellStyle name="Output 2 2 2 3 3 4 2 2" xfId="25911"/>
    <cellStyle name="Output 2 2 2 3 3 4 3" xfId="17090"/>
    <cellStyle name="Output 2 2 2 3 3 5" xfId="4901"/>
    <cellStyle name="Output 2 2 2 3 3 5 2" xfId="23256"/>
    <cellStyle name="Output 2 2 2 3 3 6" xfId="14751"/>
    <cellStyle name="Output 2 2 2 3 4" xfId="2327"/>
    <cellStyle name="Output 2 2 2 3 4 2" xfId="6518"/>
    <cellStyle name="Output 2 2 2 3 4 2 2" xfId="13106"/>
    <cellStyle name="Output 2 2 2 3 4 2 2 2" xfId="27428"/>
    <cellStyle name="Output 2 2 2 3 4 2 3" xfId="18751"/>
    <cellStyle name="Output 2 2 2 3 4 3" xfId="7464"/>
    <cellStyle name="Output 2 2 2 3 4 3 2" xfId="10078"/>
    <cellStyle name="Output 2 2 2 3 4 3 2 2" xfId="16340"/>
    <cellStyle name="Output 2 2 2 3 4 3 2 2 2" xfId="29756"/>
    <cellStyle name="Output 2 2 2 3 4 3 2 3" xfId="21085"/>
    <cellStyle name="Output 2 2 2 3 4 3 3" xfId="14068"/>
    <cellStyle name="Output 2 2 2 3 4 3 3 2" xfId="28390"/>
    <cellStyle name="Output 2 2 2 3 4 3 4" xfId="19713"/>
    <cellStyle name="Output 2 2 2 3 4 4" xfId="4009"/>
    <cellStyle name="Output 2 2 2 3 4 4 2" xfId="22698"/>
    <cellStyle name="Output 2 2 2 3 4 5" xfId="14979"/>
    <cellStyle name="Output 2 2 2 3 5" xfId="2328"/>
    <cellStyle name="Output 2 2 2 3 5 2" xfId="7642"/>
    <cellStyle name="Output 2 2 2 3 5 2 2" xfId="10256"/>
    <cellStyle name="Output 2 2 2 3 5 2 2 2" xfId="16518"/>
    <cellStyle name="Output 2 2 2 3 5 2 2 2 2" xfId="29934"/>
    <cellStyle name="Output 2 2 2 3 5 2 2 3" xfId="21263"/>
    <cellStyle name="Output 2 2 2 3 5 2 3" xfId="14246"/>
    <cellStyle name="Output 2 2 2 3 5 2 3 2" xfId="28568"/>
    <cellStyle name="Output 2 2 2 3 5 2 4" xfId="19891"/>
    <cellStyle name="Output 2 2 2 3 5 3" xfId="12821"/>
    <cellStyle name="Output 2 2 2 3 5 3 2" xfId="27143"/>
    <cellStyle name="Output 2 2 2 3 5 4" xfId="18466"/>
    <cellStyle name="Output 2 2 2 3 6" xfId="5361"/>
    <cellStyle name="Output 2 2 2 3 6 2" xfId="11911"/>
    <cellStyle name="Output 2 2 2 3 6 2 2" xfId="26233"/>
    <cellStyle name="Output 2 2 2 3 6 3" xfId="17556"/>
    <cellStyle name="Output 2 2 2 3 7" xfId="4638"/>
    <cellStyle name="Output 2 2 2 3 7 2" xfId="23082"/>
    <cellStyle name="Output 2 2 2 3 8" xfId="14740"/>
    <cellStyle name="Output 2 2 2 4" xfId="2329"/>
    <cellStyle name="Output 2 2 2 4 2" xfId="2330"/>
    <cellStyle name="Output 2 2 2 4 2 2" xfId="2331"/>
    <cellStyle name="Output 2 2 2 4 2 2 2" xfId="6927"/>
    <cellStyle name="Output 2 2 2 4 2 2 2 2" xfId="13531"/>
    <cellStyle name="Output 2 2 2 4 2 2 2 2 2" xfId="27853"/>
    <cellStyle name="Output 2 2 2 4 2 2 2 3" xfId="19176"/>
    <cellStyle name="Output 2 2 2 4 2 2 3" xfId="3279"/>
    <cellStyle name="Output 2 2 2 4 2 2 3 2" xfId="9052"/>
    <cellStyle name="Output 2 2 2 4 2 2 3 2 2" xfId="15391"/>
    <cellStyle name="Output 2 2 2 4 2 2 3 2 2 2" xfId="29010"/>
    <cellStyle name="Output 2 2 2 4 2 2 3 2 3" xfId="20337"/>
    <cellStyle name="Output 2 2 2 4 2 2 3 3" xfId="6626"/>
    <cellStyle name="Output 2 2 2 4 2 2 3 3 2" xfId="23614"/>
    <cellStyle name="Output 2 2 2 4 2 2 3 4" xfId="15402"/>
    <cellStyle name="Output 2 2 2 4 2 2 4" xfId="11419"/>
    <cellStyle name="Output 2 2 2 4 2 2 4 2" xfId="25741"/>
    <cellStyle name="Output 2 2 2 4 2 2 5" xfId="4612"/>
    <cellStyle name="Output 2 2 2 4 2 3" xfId="2332"/>
    <cellStyle name="Output 2 2 2 4 2 3 2" xfId="7183"/>
    <cellStyle name="Output 2 2 2 4 2 3 2 2" xfId="9797"/>
    <cellStyle name="Output 2 2 2 4 2 3 2 2 2" xfId="16059"/>
    <cellStyle name="Output 2 2 2 4 2 3 2 2 2 2" xfId="29475"/>
    <cellStyle name="Output 2 2 2 4 2 3 2 2 3" xfId="20804"/>
    <cellStyle name="Output 2 2 2 4 2 3 2 3" xfId="13787"/>
    <cellStyle name="Output 2 2 2 4 2 3 2 3 2" xfId="28109"/>
    <cellStyle name="Output 2 2 2 4 2 3 2 4" xfId="19432"/>
    <cellStyle name="Output 2 2 2 4 2 3 3" xfId="13219"/>
    <cellStyle name="Output 2 2 2 4 2 3 3 2" xfId="27541"/>
    <cellStyle name="Output 2 2 2 4 2 3 4" xfId="18864"/>
    <cellStyle name="Output 2 2 2 4 2 4" xfId="5660"/>
    <cellStyle name="Output 2 2 2 4 2 4 2" xfId="12213"/>
    <cellStyle name="Output 2 2 2 4 2 4 2 2" xfId="26535"/>
    <cellStyle name="Output 2 2 2 4 2 4 3" xfId="17858"/>
    <cellStyle name="Output 2 2 2 4 2 5" xfId="6717"/>
    <cellStyle name="Output 2 2 2 4 2 5 2" xfId="23671"/>
    <cellStyle name="Output 2 2 2 4 2 6" xfId="15503"/>
    <cellStyle name="Output 2 2 2 4 3" xfId="2333"/>
    <cellStyle name="Output 2 2 2 4 3 2" xfId="2334"/>
    <cellStyle name="Output 2 2 2 4 3 2 2" xfId="6953"/>
    <cellStyle name="Output 2 2 2 4 3 2 2 2" xfId="13557"/>
    <cellStyle name="Output 2 2 2 4 3 2 2 2 2" xfId="27879"/>
    <cellStyle name="Output 2 2 2 4 3 2 2 3" xfId="19202"/>
    <cellStyle name="Output 2 2 2 4 3 2 3" xfId="5008"/>
    <cellStyle name="Output 2 2 2 4 3 2 3 2" xfId="9540"/>
    <cellStyle name="Output 2 2 2 4 3 2 3 2 2" xfId="15802"/>
    <cellStyle name="Output 2 2 2 4 3 2 3 2 2 2" xfId="29218"/>
    <cellStyle name="Output 2 2 2 4 3 2 3 2 3" xfId="20547"/>
    <cellStyle name="Output 2 2 2 4 3 2 3 3" xfId="11553"/>
    <cellStyle name="Output 2 2 2 4 3 2 3 3 2" xfId="25875"/>
    <cellStyle name="Output 2 2 2 4 3 2 3 4" xfId="14909"/>
    <cellStyle name="Output 2 2 2 4 3 2 4" xfId="11449"/>
    <cellStyle name="Output 2 2 2 4 3 2 4 2" xfId="25771"/>
    <cellStyle name="Output 2 2 2 4 3 2 5" xfId="17101"/>
    <cellStyle name="Output 2 2 2 4 3 3" xfId="2335"/>
    <cellStyle name="Output 2 2 2 4 3 3 2" xfId="3789"/>
    <cellStyle name="Output 2 2 2 4 3 3 2 2" xfId="9374"/>
    <cellStyle name="Output 2 2 2 4 3 3 2 2 2" xfId="15636"/>
    <cellStyle name="Output 2 2 2 4 3 3 2 2 2 2" xfId="29052"/>
    <cellStyle name="Output 2 2 2 4 3 3 2 2 3" xfId="20381"/>
    <cellStyle name="Output 2 2 2 4 3 3 2 3" xfId="4662"/>
    <cellStyle name="Output 2 2 2 4 3 3 2 3 2" xfId="23102"/>
    <cellStyle name="Output 2 2 2 4 3 3 2 4" xfId="15087"/>
    <cellStyle name="Output 2 2 2 4 3 3 3" xfId="13050"/>
    <cellStyle name="Output 2 2 2 4 3 3 3 2" xfId="27372"/>
    <cellStyle name="Output 2 2 2 4 3 3 4" xfId="18695"/>
    <cellStyle name="Output 2 2 2 4 3 4" xfId="5375"/>
    <cellStyle name="Output 2 2 2 4 3 4 2" xfId="11925"/>
    <cellStyle name="Output 2 2 2 4 3 4 2 2" xfId="26247"/>
    <cellStyle name="Output 2 2 2 4 3 4 3" xfId="17570"/>
    <cellStyle name="Output 2 2 2 4 3 5" xfId="4705"/>
    <cellStyle name="Output 2 2 2 4 3 5 2" xfId="23138"/>
    <cellStyle name="Output 2 2 2 4 3 6" xfId="14964"/>
    <cellStyle name="Output 2 2 2 4 4" xfId="2336"/>
    <cellStyle name="Output 2 2 2 4 4 2" xfId="6835"/>
    <cellStyle name="Output 2 2 2 4 4 2 2" xfId="13439"/>
    <cellStyle name="Output 2 2 2 4 4 2 2 2" xfId="27761"/>
    <cellStyle name="Output 2 2 2 4 4 2 3" xfId="19084"/>
    <cellStyle name="Output 2 2 2 4 4 3" xfId="7599"/>
    <cellStyle name="Output 2 2 2 4 4 3 2" xfId="10213"/>
    <cellStyle name="Output 2 2 2 4 4 3 2 2" xfId="16475"/>
    <cellStyle name="Output 2 2 2 4 4 3 2 2 2" xfId="29891"/>
    <cellStyle name="Output 2 2 2 4 4 3 2 3" xfId="21220"/>
    <cellStyle name="Output 2 2 2 4 4 3 3" xfId="14203"/>
    <cellStyle name="Output 2 2 2 4 4 3 3 2" xfId="28525"/>
    <cellStyle name="Output 2 2 2 4 4 3 4" xfId="19848"/>
    <cellStyle name="Output 2 2 2 4 4 4" xfId="2774"/>
    <cellStyle name="Output 2 2 2 4 4 4 2" xfId="22343"/>
    <cellStyle name="Output 2 2 2 4 4 5" xfId="17257"/>
    <cellStyle name="Output 2 2 2 4 5" xfId="2337"/>
    <cellStyle name="Output 2 2 2 4 5 2" xfId="7429"/>
    <cellStyle name="Output 2 2 2 4 5 2 2" xfId="10043"/>
    <cellStyle name="Output 2 2 2 4 5 2 2 2" xfId="16305"/>
    <cellStyle name="Output 2 2 2 4 5 2 2 2 2" xfId="29721"/>
    <cellStyle name="Output 2 2 2 4 5 2 2 3" xfId="21050"/>
    <cellStyle name="Output 2 2 2 4 5 2 3" xfId="14033"/>
    <cellStyle name="Output 2 2 2 4 5 2 3 2" xfId="28355"/>
    <cellStyle name="Output 2 2 2 4 5 2 4" xfId="19678"/>
    <cellStyle name="Output 2 2 2 4 5 3" xfId="12130"/>
    <cellStyle name="Output 2 2 2 4 5 3 2" xfId="26452"/>
    <cellStyle name="Output 2 2 2 4 5 4" xfId="17775"/>
    <cellStyle name="Output 2 2 2 4 6" xfId="3249"/>
    <cellStyle name="Output 2 2 2 4 6 2" xfId="6087"/>
    <cellStyle name="Output 2 2 2 4 6 2 2" xfId="23411"/>
    <cellStyle name="Output 2 2 2 4 6 3" xfId="4466"/>
    <cellStyle name="Output 2 2 2 4 7" xfId="3742"/>
    <cellStyle name="Output 2 2 2 4 7 2" xfId="22557"/>
    <cellStyle name="Output 2 2 2 4 8" xfId="4490"/>
    <cellStyle name="Output 2 2 2 5" xfId="2338"/>
    <cellStyle name="Output 2 2 2 5 2" xfId="2339"/>
    <cellStyle name="Output 2 2 2 5 2 2" xfId="2340"/>
    <cellStyle name="Output 2 2 2 5 2 2 2" xfId="5839"/>
    <cellStyle name="Output 2 2 2 5 2 2 2 2" xfId="12392"/>
    <cellStyle name="Output 2 2 2 5 2 2 2 2 2" xfId="26714"/>
    <cellStyle name="Output 2 2 2 5 2 2 2 3" xfId="18037"/>
    <cellStyle name="Output 2 2 2 5 2 2 3" xfId="4884"/>
    <cellStyle name="Output 2 2 2 5 2 2 3 2" xfId="9510"/>
    <cellStyle name="Output 2 2 2 5 2 2 3 2 2" xfId="15772"/>
    <cellStyle name="Output 2 2 2 5 2 2 3 2 2 2" xfId="29188"/>
    <cellStyle name="Output 2 2 2 5 2 2 3 2 3" xfId="20517"/>
    <cellStyle name="Output 2 2 2 5 2 2 3 3" xfId="11420"/>
    <cellStyle name="Output 2 2 2 5 2 2 3 3 2" xfId="25742"/>
    <cellStyle name="Output 2 2 2 5 2 2 3 4" xfId="15304"/>
    <cellStyle name="Output 2 2 2 5 2 2 4" xfId="6541"/>
    <cellStyle name="Output 2 2 2 5 2 2 4 2" xfId="23579"/>
    <cellStyle name="Output 2 2 2 5 2 2 5" xfId="15212"/>
    <cellStyle name="Output 2 2 2 5 2 3" xfId="2341"/>
    <cellStyle name="Output 2 2 2 5 2 3 2" xfId="7363"/>
    <cellStyle name="Output 2 2 2 5 2 3 2 2" xfId="9977"/>
    <cellStyle name="Output 2 2 2 5 2 3 2 2 2" xfId="16239"/>
    <cellStyle name="Output 2 2 2 5 2 3 2 2 2 2" xfId="29655"/>
    <cellStyle name="Output 2 2 2 5 2 3 2 2 3" xfId="20984"/>
    <cellStyle name="Output 2 2 2 5 2 3 2 3" xfId="13967"/>
    <cellStyle name="Output 2 2 2 5 2 3 2 3 2" xfId="28289"/>
    <cellStyle name="Output 2 2 2 5 2 3 2 4" xfId="19612"/>
    <cellStyle name="Output 2 2 2 5 2 3 3" xfId="13287"/>
    <cellStyle name="Output 2 2 2 5 2 3 3 2" xfId="27609"/>
    <cellStyle name="Output 2 2 2 5 2 3 4" xfId="18932"/>
    <cellStyle name="Output 2 2 2 5 2 4" xfId="5737"/>
    <cellStyle name="Output 2 2 2 5 2 4 2" xfId="12290"/>
    <cellStyle name="Output 2 2 2 5 2 4 2 2" xfId="26612"/>
    <cellStyle name="Output 2 2 2 5 2 4 3" xfId="17935"/>
    <cellStyle name="Output 2 2 2 5 2 5" xfId="3835"/>
    <cellStyle name="Output 2 2 2 5 2 5 2" xfId="22604"/>
    <cellStyle name="Output 2 2 2 5 2 6" xfId="15433"/>
    <cellStyle name="Output 2 2 2 5 3" xfId="2342"/>
    <cellStyle name="Output 2 2 2 5 3 2" xfId="2343"/>
    <cellStyle name="Output 2 2 2 5 3 2 2" xfId="6533"/>
    <cellStyle name="Output 2 2 2 5 3 2 2 2" xfId="13121"/>
    <cellStyle name="Output 2 2 2 5 3 2 2 2 2" xfId="27443"/>
    <cellStyle name="Output 2 2 2 5 3 2 2 3" xfId="18766"/>
    <cellStyle name="Output 2 2 2 5 3 2 3" xfId="3822"/>
    <cellStyle name="Output 2 2 2 5 3 2 3 2" xfId="9382"/>
    <cellStyle name="Output 2 2 2 5 3 2 3 2 2" xfId="15644"/>
    <cellStyle name="Output 2 2 2 5 3 2 3 2 2 2" xfId="29060"/>
    <cellStyle name="Output 2 2 2 5 3 2 3 2 3" xfId="20389"/>
    <cellStyle name="Output 2 2 2 5 3 2 3 3" xfId="6759"/>
    <cellStyle name="Output 2 2 2 5 3 2 3 3 2" xfId="23707"/>
    <cellStyle name="Output 2 2 2 5 3 2 3 4" xfId="14976"/>
    <cellStyle name="Output 2 2 2 5 3 2 4" xfId="6801"/>
    <cellStyle name="Output 2 2 2 5 3 2 4 2" xfId="23741"/>
    <cellStyle name="Output 2 2 2 5 3 2 5" xfId="14960"/>
    <cellStyle name="Output 2 2 2 5 3 3" xfId="2344"/>
    <cellStyle name="Output 2 2 2 5 3 3 2" xfId="7771"/>
    <cellStyle name="Output 2 2 2 5 3 3 2 2" xfId="10385"/>
    <cellStyle name="Output 2 2 2 5 3 3 2 2 2" xfId="16647"/>
    <cellStyle name="Output 2 2 2 5 3 3 2 2 2 2" xfId="30063"/>
    <cellStyle name="Output 2 2 2 5 3 3 2 2 3" xfId="21392"/>
    <cellStyle name="Output 2 2 2 5 3 3 2 3" xfId="14375"/>
    <cellStyle name="Output 2 2 2 5 3 3 2 3 2" xfId="28697"/>
    <cellStyle name="Output 2 2 2 5 3 3 2 4" xfId="20020"/>
    <cellStyle name="Output 2 2 2 5 3 3 3" xfId="13095"/>
    <cellStyle name="Output 2 2 2 5 3 3 3 2" xfId="27417"/>
    <cellStyle name="Output 2 2 2 5 3 3 4" xfId="18740"/>
    <cellStyle name="Output 2 2 2 5 3 4" xfId="5451"/>
    <cellStyle name="Output 2 2 2 5 3 4 2" xfId="12002"/>
    <cellStyle name="Output 2 2 2 5 3 4 2 2" xfId="26324"/>
    <cellStyle name="Output 2 2 2 5 3 4 3" xfId="17647"/>
    <cellStyle name="Output 2 2 2 5 3 5" xfId="4675"/>
    <cellStyle name="Output 2 2 2 5 3 5 2" xfId="23114"/>
    <cellStyle name="Output 2 2 2 5 3 6" xfId="17085"/>
    <cellStyle name="Output 2 2 2 5 4" xfId="2345"/>
    <cellStyle name="Output 2 2 2 5 4 2" xfId="6895"/>
    <cellStyle name="Output 2 2 2 5 4 2 2" xfId="13499"/>
    <cellStyle name="Output 2 2 2 5 4 2 2 2" xfId="27821"/>
    <cellStyle name="Output 2 2 2 5 4 2 3" xfId="19144"/>
    <cellStyle name="Output 2 2 2 5 4 3" xfId="7086"/>
    <cellStyle name="Output 2 2 2 5 4 3 2" xfId="9700"/>
    <cellStyle name="Output 2 2 2 5 4 3 2 2" xfId="15962"/>
    <cellStyle name="Output 2 2 2 5 4 3 2 2 2" xfId="29378"/>
    <cellStyle name="Output 2 2 2 5 4 3 2 3" xfId="20707"/>
    <cellStyle name="Output 2 2 2 5 4 3 3" xfId="13690"/>
    <cellStyle name="Output 2 2 2 5 4 3 3 2" xfId="28012"/>
    <cellStyle name="Output 2 2 2 5 4 3 4" xfId="19335"/>
    <cellStyle name="Output 2 2 2 5 4 4" xfId="11374"/>
    <cellStyle name="Output 2 2 2 5 4 4 2" xfId="25696"/>
    <cellStyle name="Output 2 2 2 5 4 5" xfId="6697"/>
    <cellStyle name="Output 2 2 2 5 5" xfId="2346"/>
    <cellStyle name="Output 2 2 2 5 5 2" xfId="7213"/>
    <cellStyle name="Output 2 2 2 5 5 2 2" xfId="9827"/>
    <cellStyle name="Output 2 2 2 5 5 2 2 2" xfId="16089"/>
    <cellStyle name="Output 2 2 2 5 5 2 2 2 2" xfId="29505"/>
    <cellStyle name="Output 2 2 2 5 5 2 2 3" xfId="20834"/>
    <cellStyle name="Output 2 2 2 5 5 2 3" xfId="13817"/>
    <cellStyle name="Output 2 2 2 5 5 2 3 2" xfId="28139"/>
    <cellStyle name="Output 2 2 2 5 5 2 4" xfId="19462"/>
    <cellStyle name="Output 2 2 2 5 5 3" xfId="12856"/>
    <cellStyle name="Output 2 2 2 5 5 3 2" xfId="27178"/>
    <cellStyle name="Output 2 2 2 5 5 4" xfId="18501"/>
    <cellStyle name="Output 2 2 2 5 6" xfId="5464"/>
    <cellStyle name="Output 2 2 2 5 6 2" xfId="12015"/>
    <cellStyle name="Output 2 2 2 5 6 2 2" xfId="26337"/>
    <cellStyle name="Output 2 2 2 5 6 3" xfId="17660"/>
    <cellStyle name="Output 2 2 2 5 7" xfId="4531"/>
    <cellStyle name="Output 2 2 2 5 7 2" xfId="23011"/>
    <cellStyle name="Output 2 2 2 5 8" xfId="3637"/>
    <cellStyle name="Output 2 2 2 6" xfId="2347"/>
    <cellStyle name="Output 2 2 2 6 2" xfId="2348"/>
    <cellStyle name="Output 2 2 2 6 2 2" xfId="2349"/>
    <cellStyle name="Output 2 2 2 6 2 2 2" xfId="6546"/>
    <cellStyle name="Output 2 2 2 6 2 2 2 2" xfId="13134"/>
    <cellStyle name="Output 2 2 2 6 2 2 2 2 2" xfId="27456"/>
    <cellStyle name="Output 2 2 2 6 2 2 2 3" xfId="18779"/>
    <cellStyle name="Output 2 2 2 6 2 2 3" xfId="5264"/>
    <cellStyle name="Output 2 2 2 6 2 2 3 2" xfId="9573"/>
    <cellStyle name="Output 2 2 2 6 2 2 3 2 2" xfId="15835"/>
    <cellStyle name="Output 2 2 2 6 2 2 3 2 2 2" xfId="29251"/>
    <cellStyle name="Output 2 2 2 6 2 2 3 2 3" xfId="20580"/>
    <cellStyle name="Output 2 2 2 6 2 2 3 3" xfId="11814"/>
    <cellStyle name="Output 2 2 2 6 2 2 3 3 2" xfId="26136"/>
    <cellStyle name="Output 2 2 2 6 2 2 3 4" xfId="17459"/>
    <cellStyle name="Output 2 2 2 6 2 2 4" xfId="4488"/>
    <cellStyle name="Output 2 2 2 6 2 2 4 2" xfId="22983"/>
    <cellStyle name="Output 2 2 2 6 2 2 5" xfId="17304"/>
    <cellStyle name="Output 2 2 2 6 2 3" xfId="2350"/>
    <cellStyle name="Output 2 2 2 6 2 3 2" xfId="5319"/>
    <cellStyle name="Output 2 2 2 6 2 3 2 2" xfId="9628"/>
    <cellStyle name="Output 2 2 2 6 2 3 2 2 2" xfId="15890"/>
    <cellStyle name="Output 2 2 2 6 2 3 2 2 2 2" xfId="29306"/>
    <cellStyle name="Output 2 2 2 6 2 3 2 2 3" xfId="20635"/>
    <cellStyle name="Output 2 2 2 6 2 3 2 3" xfId="11869"/>
    <cellStyle name="Output 2 2 2 6 2 3 2 3 2" xfId="26191"/>
    <cellStyle name="Output 2 2 2 6 2 3 2 4" xfId="17514"/>
    <cellStyle name="Output 2 2 2 6 2 3 3" xfId="13043"/>
    <cellStyle name="Output 2 2 2 6 2 3 3 2" xfId="27365"/>
    <cellStyle name="Output 2 2 2 6 2 3 4" xfId="18688"/>
    <cellStyle name="Output 2 2 2 6 2 4" xfId="5362"/>
    <cellStyle name="Output 2 2 2 6 2 4 2" xfId="11912"/>
    <cellStyle name="Output 2 2 2 6 2 4 2 2" xfId="26234"/>
    <cellStyle name="Output 2 2 2 6 2 4 3" xfId="17557"/>
    <cellStyle name="Output 2 2 2 6 2 5" xfId="3825"/>
    <cellStyle name="Output 2 2 2 6 2 5 2" xfId="22600"/>
    <cellStyle name="Output 2 2 2 6 2 6" xfId="16987"/>
    <cellStyle name="Output 2 2 2 6 3" xfId="2351"/>
    <cellStyle name="Output 2 2 2 6 3 2" xfId="5386"/>
    <cellStyle name="Output 2 2 2 6 3 2 2" xfId="11936"/>
    <cellStyle name="Output 2 2 2 6 3 2 2 2" xfId="26258"/>
    <cellStyle name="Output 2 2 2 6 3 2 3" xfId="17581"/>
    <cellStyle name="Output 2 2 2 6 3 3" xfId="7895"/>
    <cellStyle name="Output 2 2 2 6 3 3 2" xfId="10509"/>
    <cellStyle name="Output 2 2 2 6 3 3 2 2" xfId="16771"/>
    <cellStyle name="Output 2 2 2 6 3 3 2 2 2" xfId="30187"/>
    <cellStyle name="Output 2 2 2 6 3 3 2 3" xfId="21516"/>
    <cellStyle name="Output 2 2 2 6 3 3 3" xfId="14499"/>
    <cellStyle name="Output 2 2 2 6 3 3 3 2" xfId="28821"/>
    <cellStyle name="Output 2 2 2 6 3 3 4" xfId="20144"/>
    <cellStyle name="Output 2 2 2 6 3 4" xfId="3862"/>
    <cellStyle name="Output 2 2 2 6 3 4 2" xfId="22617"/>
    <cellStyle name="Output 2 2 2 6 3 5" xfId="15307"/>
    <cellStyle name="Output 2 2 2 6 4" xfId="2352"/>
    <cellStyle name="Output 2 2 2 6 4 2" xfId="8018"/>
    <cellStyle name="Output 2 2 2 6 4 2 2" xfId="10632"/>
    <cellStyle name="Output 2 2 2 6 4 2 2 2" xfId="16894"/>
    <cellStyle name="Output 2 2 2 6 4 2 2 2 2" xfId="30310"/>
    <cellStyle name="Output 2 2 2 6 4 2 2 3" xfId="21639"/>
    <cellStyle name="Output 2 2 2 6 4 2 3" xfId="14622"/>
    <cellStyle name="Output 2 2 2 6 4 2 3 2" xfId="28944"/>
    <cellStyle name="Output 2 2 2 6 4 2 4" xfId="20267"/>
    <cellStyle name="Output 2 2 2 6 4 3" xfId="12947"/>
    <cellStyle name="Output 2 2 2 6 4 3 2" xfId="27269"/>
    <cellStyle name="Output 2 2 2 6 4 4" xfId="18592"/>
    <cellStyle name="Output 2 2 2 6 5" xfId="5612"/>
    <cellStyle name="Output 2 2 2 6 5 2" xfId="12165"/>
    <cellStyle name="Output 2 2 2 6 5 2 2" xfId="26487"/>
    <cellStyle name="Output 2 2 2 6 5 3" xfId="17810"/>
    <cellStyle name="Output 2 2 2 6 6" xfId="3264"/>
    <cellStyle name="Output 2 2 2 6 6 2" xfId="22450"/>
    <cellStyle name="Output 2 2 2 6 7" xfId="4438"/>
    <cellStyle name="Output 2 2 2 7" xfId="2353"/>
    <cellStyle name="Output 2 2 2 7 2" xfId="2354"/>
    <cellStyle name="Output 2 2 2 7 2 2" xfId="7040"/>
    <cellStyle name="Output 2 2 2 7 2 2 2" xfId="13644"/>
    <cellStyle name="Output 2 2 2 7 2 2 2 2" xfId="27966"/>
    <cellStyle name="Output 2 2 2 7 2 2 3" xfId="19289"/>
    <cellStyle name="Output 2 2 2 7 2 3" xfId="8051"/>
    <cellStyle name="Output 2 2 2 7 2 3 2" xfId="10665"/>
    <cellStyle name="Output 2 2 2 7 2 3 2 2" xfId="16927"/>
    <cellStyle name="Output 2 2 2 7 2 3 2 2 2" xfId="30343"/>
    <cellStyle name="Output 2 2 2 7 2 3 2 3" xfId="21672"/>
    <cellStyle name="Output 2 2 2 7 2 3 3" xfId="14655"/>
    <cellStyle name="Output 2 2 2 7 2 3 3 2" xfId="28977"/>
    <cellStyle name="Output 2 2 2 7 2 3 4" xfId="20300"/>
    <cellStyle name="Output 2 2 2 7 2 4" xfId="11585"/>
    <cellStyle name="Output 2 2 2 7 2 4 2" xfId="25907"/>
    <cellStyle name="Output 2 2 2 7 2 5" xfId="15060"/>
    <cellStyle name="Output 2 2 2 7 3" xfId="2355"/>
    <cellStyle name="Output 2 2 2 7 3 2" xfId="7795"/>
    <cellStyle name="Output 2 2 2 7 3 2 2" xfId="10409"/>
    <cellStyle name="Output 2 2 2 7 3 2 2 2" xfId="16671"/>
    <cellStyle name="Output 2 2 2 7 3 2 2 2 2" xfId="30087"/>
    <cellStyle name="Output 2 2 2 7 3 2 2 3" xfId="21416"/>
    <cellStyle name="Output 2 2 2 7 3 2 3" xfId="14399"/>
    <cellStyle name="Output 2 2 2 7 3 2 3 2" xfId="28721"/>
    <cellStyle name="Output 2 2 2 7 3 2 4" xfId="20044"/>
    <cellStyle name="Output 2 2 2 7 3 3" xfId="13404"/>
    <cellStyle name="Output 2 2 2 7 3 3 2" xfId="27726"/>
    <cellStyle name="Output 2 2 2 7 3 4" xfId="19049"/>
    <cellStyle name="Output 2 2 2 7 4" xfId="5869"/>
    <cellStyle name="Output 2 2 2 7 4 2" xfId="12422"/>
    <cellStyle name="Output 2 2 2 7 4 2 2" xfId="26744"/>
    <cellStyle name="Output 2 2 2 7 4 3" xfId="18067"/>
    <cellStyle name="Output 2 2 2 7 5" xfId="4988"/>
    <cellStyle name="Output 2 2 2 7 5 2" xfId="23296"/>
    <cellStyle name="Output 2 2 2 7 6" xfId="17156"/>
    <cellStyle name="Output 2 2 2 8" xfId="2356"/>
    <cellStyle name="Output 2 2 2 8 2" xfId="5994"/>
    <cellStyle name="Output 2 2 2 8 2 2" xfId="12552"/>
    <cellStyle name="Output 2 2 2 8 2 2 2" xfId="26874"/>
    <cellStyle name="Output 2 2 2 8 2 3" xfId="18197"/>
    <cellStyle name="Output 2 2 2 8 3" xfId="7412"/>
    <cellStyle name="Output 2 2 2 8 3 2" xfId="10026"/>
    <cellStyle name="Output 2 2 2 8 3 2 2" xfId="16288"/>
    <cellStyle name="Output 2 2 2 8 3 2 2 2" xfId="29704"/>
    <cellStyle name="Output 2 2 2 8 3 2 3" xfId="21033"/>
    <cellStyle name="Output 2 2 2 8 3 3" xfId="14016"/>
    <cellStyle name="Output 2 2 2 8 3 3 2" xfId="28338"/>
    <cellStyle name="Output 2 2 2 8 3 4" xfId="19661"/>
    <cellStyle name="Output 2 2 2 8 4" xfId="4445"/>
    <cellStyle name="Output 2 2 2 8 4 2" xfId="22957"/>
    <cellStyle name="Output 2 2 2 8 5" xfId="14868"/>
    <cellStyle name="Output 2 2 2 9" xfId="2357"/>
    <cellStyle name="Output 2 2 2 9 2" xfId="7231"/>
    <cellStyle name="Output 2 2 2 9 2 2" xfId="9845"/>
    <cellStyle name="Output 2 2 2 9 2 2 2" xfId="16107"/>
    <cellStyle name="Output 2 2 2 9 2 2 2 2" xfId="29523"/>
    <cellStyle name="Output 2 2 2 9 2 2 3" xfId="20852"/>
    <cellStyle name="Output 2 2 2 9 2 3" xfId="13835"/>
    <cellStyle name="Output 2 2 2 9 2 3 2" xfId="28157"/>
    <cellStyle name="Output 2 2 2 9 2 4" xfId="19480"/>
    <cellStyle name="Output 2 2 2 9 3" xfId="12384"/>
    <cellStyle name="Output 2 2 2 9 3 2" xfId="26706"/>
    <cellStyle name="Output 2 2 2 9 4" xfId="18029"/>
    <cellStyle name="Output 2 2 3" xfId="2358"/>
    <cellStyle name="Output 2 2 3 10" xfId="3139"/>
    <cellStyle name="Output 2 2 3 10 2" xfId="22417"/>
    <cellStyle name="Output 2 2 3 11" xfId="17230"/>
    <cellStyle name="Output 2 2 3 2" xfId="2359"/>
    <cellStyle name="Output 2 2 3 2 2" xfId="2360"/>
    <cellStyle name="Output 2 2 3 2 2 2" xfId="2361"/>
    <cellStyle name="Output 2 2 3 2 2 2 2" xfId="6567"/>
    <cellStyle name="Output 2 2 3 2 2 2 2 2" xfId="13155"/>
    <cellStyle name="Output 2 2 3 2 2 2 2 2 2" xfId="27477"/>
    <cellStyle name="Output 2 2 3 2 2 2 2 3" xfId="18800"/>
    <cellStyle name="Output 2 2 3 2 2 2 3" xfId="7792"/>
    <cellStyle name="Output 2 2 3 2 2 2 3 2" xfId="10406"/>
    <cellStyle name="Output 2 2 3 2 2 2 3 2 2" xfId="16668"/>
    <cellStyle name="Output 2 2 3 2 2 2 3 2 2 2" xfId="30084"/>
    <cellStyle name="Output 2 2 3 2 2 2 3 2 3" xfId="21413"/>
    <cellStyle name="Output 2 2 3 2 2 2 3 3" xfId="14396"/>
    <cellStyle name="Output 2 2 3 2 2 2 3 3 2" xfId="28718"/>
    <cellStyle name="Output 2 2 3 2 2 2 3 4" xfId="20041"/>
    <cellStyle name="Output 2 2 3 2 2 2 4" xfId="4419"/>
    <cellStyle name="Output 2 2 3 2 2 2 4 2" xfId="22939"/>
    <cellStyle name="Output 2 2 3 2 2 2 5" xfId="14683"/>
    <cellStyle name="Output 2 2 3 2 2 3" xfId="2362"/>
    <cellStyle name="Output 2 2 3 2 2 3 2" xfId="7350"/>
    <cellStyle name="Output 2 2 3 2 2 3 2 2" xfId="9964"/>
    <cellStyle name="Output 2 2 3 2 2 3 2 2 2" xfId="16226"/>
    <cellStyle name="Output 2 2 3 2 2 3 2 2 2 2" xfId="29642"/>
    <cellStyle name="Output 2 2 3 2 2 3 2 2 3" xfId="20971"/>
    <cellStyle name="Output 2 2 3 2 2 3 2 3" xfId="13954"/>
    <cellStyle name="Output 2 2 3 2 2 3 2 3 2" xfId="28276"/>
    <cellStyle name="Output 2 2 3 2 2 3 2 4" xfId="19599"/>
    <cellStyle name="Output 2 2 3 2 2 3 3" xfId="13261"/>
    <cellStyle name="Output 2 2 3 2 2 3 3 2" xfId="27583"/>
    <cellStyle name="Output 2 2 3 2 2 3 4" xfId="18906"/>
    <cellStyle name="Output 2 2 3 2 2 4" xfId="5707"/>
    <cellStyle name="Output 2 2 3 2 2 4 2" xfId="12260"/>
    <cellStyle name="Output 2 2 3 2 2 4 2 2" xfId="26582"/>
    <cellStyle name="Output 2 2 3 2 2 4 3" xfId="17905"/>
    <cellStyle name="Output 2 2 3 2 2 5" xfId="4053"/>
    <cellStyle name="Output 2 2 3 2 2 5 2" xfId="22729"/>
    <cellStyle name="Output 2 2 3 2 2 6" xfId="17091"/>
    <cellStyle name="Output 2 2 3 2 3" xfId="2363"/>
    <cellStyle name="Output 2 2 3 2 3 2" xfId="2364"/>
    <cellStyle name="Output 2 2 3 2 3 2 2" xfId="7010"/>
    <cellStyle name="Output 2 2 3 2 3 2 2 2" xfId="13614"/>
    <cellStyle name="Output 2 2 3 2 3 2 2 2 2" xfId="27936"/>
    <cellStyle name="Output 2 2 3 2 3 2 2 3" xfId="19259"/>
    <cellStyle name="Output 2 2 3 2 3 2 3" xfId="7602"/>
    <cellStyle name="Output 2 2 3 2 3 2 3 2" xfId="10216"/>
    <cellStyle name="Output 2 2 3 2 3 2 3 2 2" xfId="16478"/>
    <cellStyle name="Output 2 2 3 2 3 2 3 2 2 2" xfId="29894"/>
    <cellStyle name="Output 2 2 3 2 3 2 3 2 3" xfId="21223"/>
    <cellStyle name="Output 2 2 3 2 3 2 3 3" xfId="14206"/>
    <cellStyle name="Output 2 2 3 2 3 2 3 3 2" xfId="28528"/>
    <cellStyle name="Output 2 2 3 2 3 2 3 4" xfId="19851"/>
    <cellStyle name="Output 2 2 3 2 3 2 4" xfId="11533"/>
    <cellStyle name="Output 2 2 3 2 3 2 4 2" xfId="25855"/>
    <cellStyle name="Output 2 2 3 2 3 2 5" xfId="15070"/>
    <cellStyle name="Output 2 2 3 2 3 3" xfId="2365"/>
    <cellStyle name="Output 2 2 3 2 3 3 2" xfId="5283"/>
    <cellStyle name="Output 2 2 3 2 3 3 2 2" xfId="9592"/>
    <cellStyle name="Output 2 2 3 2 3 3 2 2 2" xfId="15854"/>
    <cellStyle name="Output 2 2 3 2 3 3 2 2 2 2" xfId="29270"/>
    <cellStyle name="Output 2 2 3 2 3 3 2 2 3" xfId="20599"/>
    <cellStyle name="Output 2 2 3 2 3 3 2 3" xfId="11833"/>
    <cellStyle name="Output 2 2 3 2 3 3 2 3 2" xfId="26155"/>
    <cellStyle name="Output 2 2 3 2 3 3 2 4" xfId="17478"/>
    <cellStyle name="Output 2 2 3 2 3 3 3" xfId="13394"/>
    <cellStyle name="Output 2 2 3 2 3 3 3 2" xfId="27716"/>
    <cellStyle name="Output 2 2 3 2 3 3 4" xfId="19039"/>
    <cellStyle name="Output 2 2 3 2 3 4" xfId="5858"/>
    <cellStyle name="Output 2 2 3 2 3 4 2" xfId="12411"/>
    <cellStyle name="Output 2 2 3 2 3 4 2 2" xfId="26733"/>
    <cellStyle name="Output 2 2 3 2 3 4 3" xfId="18056"/>
    <cellStyle name="Output 2 2 3 2 3 5" xfId="5057"/>
    <cellStyle name="Output 2 2 3 2 3 5 2" xfId="23320"/>
    <cellStyle name="Output 2 2 3 2 3 6" xfId="4363"/>
    <cellStyle name="Output 2 2 3 2 4" xfId="2366"/>
    <cellStyle name="Output 2 2 3 2 4 2" xfId="6987"/>
    <cellStyle name="Output 2 2 3 2 4 2 2" xfId="13591"/>
    <cellStyle name="Output 2 2 3 2 4 2 2 2" xfId="27913"/>
    <cellStyle name="Output 2 2 3 2 4 2 3" xfId="19236"/>
    <cellStyle name="Output 2 2 3 2 4 3" xfId="7770"/>
    <cellStyle name="Output 2 2 3 2 4 3 2" xfId="10384"/>
    <cellStyle name="Output 2 2 3 2 4 3 2 2" xfId="16646"/>
    <cellStyle name="Output 2 2 3 2 4 3 2 2 2" xfId="30062"/>
    <cellStyle name="Output 2 2 3 2 4 3 2 3" xfId="21391"/>
    <cellStyle name="Output 2 2 3 2 4 3 3" xfId="14374"/>
    <cellStyle name="Output 2 2 3 2 4 3 3 2" xfId="28696"/>
    <cellStyle name="Output 2 2 3 2 4 3 4" xfId="20019"/>
    <cellStyle name="Output 2 2 3 2 4 4" xfId="11499"/>
    <cellStyle name="Output 2 2 3 2 4 4 2" xfId="25821"/>
    <cellStyle name="Output 2 2 3 2 4 5" xfId="4557"/>
    <cellStyle name="Output 2 2 3 2 5" xfId="2367"/>
    <cellStyle name="Output 2 2 3 2 5 2" xfId="7047"/>
    <cellStyle name="Output 2 2 3 2 5 2 2" xfId="9661"/>
    <cellStyle name="Output 2 2 3 2 5 2 2 2" xfId="15923"/>
    <cellStyle name="Output 2 2 3 2 5 2 2 2 2" xfId="29339"/>
    <cellStyle name="Output 2 2 3 2 5 2 2 3" xfId="20668"/>
    <cellStyle name="Output 2 2 3 2 5 2 3" xfId="13651"/>
    <cellStyle name="Output 2 2 3 2 5 2 3 2" xfId="27973"/>
    <cellStyle name="Output 2 2 3 2 5 2 4" xfId="19296"/>
    <cellStyle name="Output 2 2 3 2 5 3" xfId="12816"/>
    <cellStyle name="Output 2 2 3 2 5 3 2" xfId="27138"/>
    <cellStyle name="Output 2 2 3 2 5 4" xfId="18461"/>
    <cellStyle name="Output 2 2 3 2 6" xfId="5353"/>
    <cellStyle name="Output 2 2 3 2 6 2" xfId="11903"/>
    <cellStyle name="Output 2 2 3 2 6 2 2" xfId="26225"/>
    <cellStyle name="Output 2 2 3 2 6 3" xfId="17548"/>
    <cellStyle name="Output 2 2 3 2 7" xfId="6669"/>
    <cellStyle name="Output 2 2 3 2 7 2" xfId="23641"/>
    <cellStyle name="Output 2 2 3 2 8" xfId="15149"/>
    <cellStyle name="Output 2 2 3 3" xfId="2368"/>
    <cellStyle name="Output 2 2 3 3 2" xfId="2369"/>
    <cellStyle name="Output 2 2 3 3 2 2" xfId="2370"/>
    <cellStyle name="Output 2 2 3 3 2 2 2" xfId="6851"/>
    <cellStyle name="Output 2 2 3 3 2 2 2 2" xfId="13455"/>
    <cellStyle name="Output 2 2 3 3 2 2 2 2 2" xfId="27777"/>
    <cellStyle name="Output 2 2 3 3 2 2 2 3" xfId="19100"/>
    <cellStyle name="Output 2 2 3 3 2 2 3" xfId="7665"/>
    <cellStyle name="Output 2 2 3 3 2 2 3 2" xfId="10279"/>
    <cellStyle name="Output 2 2 3 3 2 2 3 2 2" xfId="16541"/>
    <cellStyle name="Output 2 2 3 3 2 2 3 2 2 2" xfId="29957"/>
    <cellStyle name="Output 2 2 3 3 2 2 3 2 3" xfId="21286"/>
    <cellStyle name="Output 2 2 3 3 2 2 3 3" xfId="14269"/>
    <cellStyle name="Output 2 2 3 3 2 2 3 3 2" xfId="28591"/>
    <cellStyle name="Output 2 2 3 3 2 2 3 4" xfId="19914"/>
    <cellStyle name="Output 2 2 3 3 2 2 4" xfId="2764"/>
    <cellStyle name="Output 2 2 3 3 2 2 4 2" xfId="22333"/>
    <cellStyle name="Output 2 2 3 3 2 2 5" xfId="4126"/>
    <cellStyle name="Output 2 2 3 3 2 3" xfId="2371"/>
    <cellStyle name="Output 2 2 3 3 2 3 2" xfId="7510"/>
    <cellStyle name="Output 2 2 3 3 2 3 2 2" xfId="10124"/>
    <cellStyle name="Output 2 2 3 3 2 3 2 2 2" xfId="16386"/>
    <cellStyle name="Output 2 2 3 3 2 3 2 2 2 2" xfId="29802"/>
    <cellStyle name="Output 2 2 3 3 2 3 2 2 3" xfId="21131"/>
    <cellStyle name="Output 2 2 3 3 2 3 2 3" xfId="14114"/>
    <cellStyle name="Output 2 2 3 3 2 3 2 3 2" xfId="28436"/>
    <cellStyle name="Output 2 2 3 3 2 3 2 4" xfId="19759"/>
    <cellStyle name="Output 2 2 3 3 2 3 3" xfId="13228"/>
    <cellStyle name="Output 2 2 3 3 2 3 3 2" xfId="27550"/>
    <cellStyle name="Output 2 2 3 3 2 3 4" xfId="18873"/>
    <cellStyle name="Output 2 2 3 3 2 4" xfId="5669"/>
    <cellStyle name="Output 2 2 3 3 2 4 2" xfId="12222"/>
    <cellStyle name="Output 2 2 3 3 2 4 2 2" xfId="26544"/>
    <cellStyle name="Output 2 2 3 3 2 4 3" xfId="17867"/>
    <cellStyle name="Output 2 2 3 3 2 5" xfId="6366"/>
    <cellStyle name="Output 2 2 3 3 2 5 2" xfId="23548"/>
    <cellStyle name="Output 2 2 3 3 2 6" xfId="17261"/>
    <cellStyle name="Output 2 2 3 3 3" xfId="2372"/>
    <cellStyle name="Output 2 2 3 3 3 2" xfId="2373"/>
    <cellStyle name="Output 2 2 3 3 3 2 2" xfId="6160"/>
    <cellStyle name="Output 2 2 3 3 3 2 2 2" xfId="12731"/>
    <cellStyle name="Output 2 2 3 3 3 2 2 2 2" xfId="27053"/>
    <cellStyle name="Output 2 2 3 3 3 2 2 3" xfId="18376"/>
    <cellStyle name="Output 2 2 3 3 3 2 3" xfId="7453"/>
    <cellStyle name="Output 2 2 3 3 3 2 3 2" xfId="10067"/>
    <cellStyle name="Output 2 2 3 3 3 2 3 2 2" xfId="16329"/>
    <cellStyle name="Output 2 2 3 3 3 2 3 2 2 2" xfId="29745"/>
    <cellStyle name="Output 2 2 3 3 3 2 3 2 3" xfId="21074"/>
    <cellStyle name="Output 2 2 3 3 3 2 3 3" xfId="14057"/>
    <cellStyle name="Output 2 2 3 3 3 2 3 3 2" xfId="28379"/>
    <cellStyle name="Output 2 2 3 3 3 2 3 4" xfId="19702"/>
    <cellStyle name="Output 2 2 3 3 3 2 4" xfId="6180"/>
    <cellStyle name="Output 2 2 3 3 3 2 4 2" xfId="23445"/>
    <cellStyle name="Output 2 2 3 3 3 2 5" xfId="15203"/>
    <cellStyle name="Output 2 2 3 3 3 3" xfId="2374"/>
    <cellStyle name="Output 2 2 3 3 3 3 2" xfId="7954"/>
    <cellStyle name="Output 2 2 3 3 3 3 2 2" xfId="10568"/>
    <cellStyle name="Output 2 2 3 3 3 3 2 2 2" xfId="16830"/>
    <cellStyle name="Output 2 2 3 3 3 3 2 2 2 2" xfId="30246"/>
    <cellStyle name="Output 2 2 3 3 3 3 2 2 3" xfId="21575"/>
    <cellStyle name="Output 2 2 3 3 3 3 2 3" xfId="14558"/>
    <cellStyle name="Output 2 2 3 3 3 3 2 3 2" xfId="28880"/>
    <cellStyle name="Output 2 2 3 3 3 3 2 4" xfId="20203"/>
    <cellStyle name="Output 2 2 3 3 3 3 3" xfId="13185"/>
    <cellStyle name="Output 2 2 3 3 3 3 3 2" xfId="27507"/>
    <cellStyle name="Output 2 2 3 3 3 3 4" xfId="18830"/>
    <cellStyle name="Output 2 2 3 3 3 4" xfId="5621"/>
    <cellStyle name="Output 2 2 3 3 3 4 2" xfId="12174"/>
    <cellStyle name="Output 2 2 3 3 3 4 2 2" xfId="26496"/>
    <cellStyle name="Output 2 2 3 3 3 4 3" xfId="17819"/>
    <cellStyle name="Output 2 2 3 3 3 5" xfId="6156"/>
    <cellStyle name="Output 2 2 3 3 3 5 2" xfId="23435"/>
    <cellStyle name="Output 2 2 3 3 3 6" xfId="17208"/>
    <cellStyle name="Output 2 2 3 3 4" xfId="2375"/>
    <cellStyle name="Output 2 2 3 3 4 2" xfId="6429"/>
    <cellStyle name="Output 2 2 3 3 4 2 2" xfId="13012"/>
    <cellStyle name="Output 2 2 3 3 4 2 2 2" xfId="27334"/>
    <cellStyle name="Output 2 2 3 3 4 2 3" xfId="18657"/>
    <cellStyle name="Output 2 2 3 3 4 3" xfId="7609"/>
    <cellStyle name="Output 2 2 3 3 4 3 2" xfId="10223"/>
    <cellStyle name="Output 2 2 3 3 4 3 2 2" xfId="16485"/>
    <cellStyle name="Output 2 2 3 3 4 3 2 2 2" xfId="29901"/>
    <cellStyle name="Output 2 2 3 3 4 3 2 3" xfId="21230"/>
    <cellStyle name="Output 2 2 3 3 4 3 3" xfId="14213"/>
    <cellStyle name="Output 2 2 3 3 4 3 3 2" xfId="28535"/>
    <cellStyle name="Output 2 2 3 3 4 3 4" xfId="19858"/>
    <cellStyle name="Output 2 2 3 3 4 4" xfId="5978"/>
    <cellStyle name="Output 2 2 3 3 4 4 2" xfId="23388"/>
    <cellStyle name="Output 2 2 3 3 4 5" xfId="17005"/>
    <cellStyle name="Output 2 2 3 3 5" xfId="2376"/>
    <cellStyle name="Output 2 2 3 3 5 2" xfId="7125"/>
    <cellStyle name="Output 2 2 3 3 5 2 2" xfId="9739"/>
    <cellStyle name="Output 2 2 3 3 5 2 2 2" xfId="16001"/>
    <cellStyle name="Output 2 2 3 3 5 2 2 2 2" xfId="29417"/>
    <cellStyle name="Output 2 2 3 3 5 2 2 3" xfId="20746"/>
    <cellStyle name="Output 2 2 3 3 5 2 3" xfId="13729"/>
    <cellStyle name="Output 2 2 3 3 5 2 3 2" xfId="28051"/>
    <cellStyle name="Output 2 2 3 3 5 2 4" xfId="19374"/>
    <cellStyle name="Output 2 2 3 3 5 3" xfId="12600"/>
    <cellStyle name="Output 2 2 3 3 5 3 2" xfId="26922"/>
    <cellStyle name="Output 2 2 3 3 5 4" xfId="18245"/>
    <cellStyle name="Output 2 2 3 3 6" xfId="5052"/>
    <cellStyle name="Output 2 2 3 3 6 2" xfId="11599"/>
    <cellStyle name="Output 2 2 3 3 6 2 2" xfId="25921"/>
    <cellStyle name="Output 2 2 3 3 6 3" xfId="15452"/>
    <cellStyle name="Output 2 2 3 3 7" xfId="4746"/>
    <cellStyle name="Output 2 2 3 3 7 2" xfId="23166"/>
    <cellStyle name="Output 2 2 3 3 8" xfId="4162"/>
    <cellStyle name="Output 2 2 3 4" xfId="2377"/>
    <cellStyle name="Output 2 2 3 4 2" xfId="2378"/>
    <cellStyle name="Output 2 2 3 4 2 2" xfId="2379"/>
    <cellStyle name="Output 2 2 3 4 2 2 2" xfId="6023"/>
    <cellStyle name="Output 2 2 3 4 2 2 2 2" xfId="12584"/>
    <cellStyle name="Output 2 2 3 4 2 2 2 2 2" xfId="26906"/>
    <cellStyle name="Output 2 2 3 4 2 2 2 3" xfId="18229"/>
    <cellStyle name="Output 2 2 3 4 2 2 3" xfId="7881"/>
    <cellStyle name="Output 2 2 3 4 2 2 3 2" xfId="10495"/>
    <cellStyle name="Output 2 2 3 4 2 2 3 2 2" xfId="16757"/>
    <cellStyle name="Output 2 2 3 4 2 2 3 2 2 2" xfId="30173"/>
    <cellStyle name="Output 2 2 3 4 2 2 3 2 3" xfId="21502"/>
    <cellStyle name="Output 2 2 3 4 2 2 3 3" xfId="14485"/>
    <cellStyle name="Output 2 2 3 4 2 2 3 3 2" xfId="28807"/>
    <cellStyle name="Output 2 2 3 4 2 2 3 4" xfId="20130"/>
    <cellStyle name="Output 2 2 3 4 2 2 4" xfId="4074"/>
    <cellStyle name="Output 2 2 3 4 2 2 4 2" xfId="22746"/>
    <cellStyle name="Output 2 2 3 4 2 2 5" xfId="17335"/>
    <cellStyle name="Output 2 2 3 4 2 3" xfId="2380"/>
    <cellStyle name="Output 2 2 3 4 2 3 2" xfId="7255"/>
    <cellStyle name="Output 2 2 3 4 2 3 2 2" xfId="9869"/>
    <cellStyle name="Output 2 2 3 4 2 3 2 2 2" xfId="16131"/>
    <cellStyle name="Output 2 2 3 4 2 3 2 2 2 2" xfId="29547"/>
    <cellStyle name="Output 2 2 3 4 2 3 2 2 3" xfId="20876"/>
    <cellStyle name="Output 2 2 3 4 2 3 2 3" xfId="13859"/>
    <cellStyle name="Output 2 2 3 4 2 3 2 3 2" xfId="28181"/>
    <cellStyle name="Output 2 2 3 4 2 3 2 4" xfId="19504"/>
    <cellStyle name="Output 2 2 3 4 2 3 3" xfId="13218"/>
    <cellStyle name="Output 2 2 3 4 2 3 3 2" xfId="27540"/>
    <cellStyle name="Output 2 2 3 4 2 3 4" xfId="18863"/>
    <cellStyle name="Output 2 2 3 4 2 4" xfId="5659"/>
    <cellStyle name="Output 2 2 3 4 2 4 2" xfId="12212"/>
    <cellStyle name="Output 2 2 3 4 2 4 2 2" xfId="26534"/>
    <cellStyle name="Output 2 2 3 4 2 4 3" xfId="17857"/>
    <cellStyle name="Output 2 2 3 4 2 5" xfId="4400"/>
    <cellStyle name="Output 2 2 3 4 2 5 2" xfId="22929"/>
    <cellStyle name="Output 2 2 3 4 2 6" xfId="14829"/>
    <cellStyle name="Output 2 2 3 4 3" xfId="2381"/>
    <cellStyle name="Output 2 2 3 4 3 2" xfId="2382"/>
    <cellStyle name="Output 2 2 3 4 3 2 2" xfId="6202"/>
    <cellStyle name="Output 2 2 3 4 3 2 2 2" xfId="12775"/>
    <cellStyle name="Output 2 2 3 4 3 2 2 2 2" xfId="27097"/>
    <cellStyle name="Output 2 2 3 4 3 2 2 3" xfId="18420"/>
    <cellStyle name="Output 2 2 3 4 3 2 3" xfId="7304"/>
    <cellStyle name="Output 2 2 3 4 3 2 3 2" xfId="9918"/>
    <cellStyle name="Output 2 2 3 4 3 2 3 2 2" xfId="16180"/>
    <cellStyle name="Output 2 2 3 4 3 2 3 2 2 2" xfId="29596"/>
    <cellStyle name="Output 2 2 3 4 3 2 3 2 3" xfId="20925"/>
    <cellStyle name="Output 2 2 3 4 3 2 3 3" xfId="13908"/>
    <cellStyle name="Output 2 2 3 4 3 2 3 3 2" xfId="28230"/>
    <cellStyle name="Output 2 2 3 4 3 2 3 4" xfId="19553"/>
    <cellStyle name="Output 2 2 3 4 3 2 4" xfId="4934"/>
    <cellStyle name="Output 2 2 3 4 3 2 4 2" xfId="23269"/>
    <cellStyle name="Output 2 2 3 4 3 2 5" xfId="15356"/>
    <cellStyle name="Output 2 2 3 4 3 3" xfId="2383"/>
    <cellStyle name="Output 2 2 3 4 3 3 2" xfId="7501"/>
    <cellStyle name="Output 2 2 3 4 3 3 2 2" xfId="10115"/>
    <cellStyle name="Output 2 2 3 4 3 3 2 2 2" xfId="16377"/>
    <cellStyle name="Output 2 2 3 4 3 3 2 2 2 2" xfId="29793"/>
    <cellStyle name="Output 2 2 3 4 3 3 2 2 3" xfId="21122"/>
    <cellStyle name="Output 2 2 3 4 3 3 2 3" xfId="14105"/>
    <cellStyle name="Output 2 2 3 4 3 3 2 3 2" xfId="28427"/>
    <cellStyle name="Output 2 2 3 4 3 3 2 4" xfId="19750"/>
    <cellStyle name="Output 2 2 3 4 3 3 3" xfId="13211"/>
    <cellStyle name="Output 2 2 3 4 3 3 3 2" xfId="27533"/>
    <cellStyle name="Output 2 2 3 4 3 3 4" xfId="18856"/>
    <cellStyle name="Output 2 2 3 4 3 4" xfId="5650"/>
    <cellStyle name="Output 2 2 3 4 3 4 2" xfId="12203"/>
    <cellStyle name="Output 2 2 3 4 3 4 2 2" xfId="26525"/>
    <cellStyle name="Output 2 2 3 4 3 4 3" xfId="17848"/>
    <cellStyle name="Output 2 2 3 4 3 5" xfId="3187"/>
    <cellStyle name="Output 2 2 3 4 3 5 2" xfId="22431"/>
    <cellStyle name="Output 2 2 3 4 3 6" xfId="15544"/>
    <cellStyle name="Output 2 2 3 4 4" xfId="2384"/>
    <cellStyle name="Output 2 2 3 4 4 2" xfId="6443"/>
    <cellStyle name="Output 2 2 3 4 4 2 2" xfId="13026"/>
    <cellStyle name="Output 2 2 3 4 4 2 2 2" xfId="27348"/>
    <cellStyle name="Output 2 2 3 4 4 2 3" xfId="18671"/>
    <cellStyle name="Output 2 2 3 4 4 3" xfId="7601"/>
    <cellStyle name="Output 2 2 3 4 4 3 2" xfId="10215"/>
    <cellStyle name="Output 2 2 3 4 4 3 2 2" xfId="16477"/>
    <cellStyle name="Output 2 2 3 4 4 3 2 2 2" xfId="29893"/>
    <cellStyle name="Output 2 2 3 4 4 3 2 3" xfId="21222"/>
    <cellStyle name="Output 2 2 3 4 4 3 3" xfId="14205"/>
    <cellStyle name="Output 2 2 3 4 4 3 3 2" xfId="28527"/>
    <cellStyle name="Output 2 2 3 4 4 3 4" xfId="19850"/>
    <cellStyle name="Output 2 2 3 4 4 4" xfId="4606"/>
    <cellStyle name="Output 2 2 3 4 4 4 2" xfId="23064"/>
    <cellStyle name="Output 2 2 3 4 4 5" xfId="15492"/>
    <cellStyle name="Output 2 2 3 4 5" xfId="2385"/>
    <cellStyle name="Output 2 2 3 4 5 2" xfId="7167"/>
    <cellStyle name="Output 2 2 3 4 5 2 2" xfId="9781"/>
    <cellStyle name="Output 2 2 3 4 5 2 2 2" xfId="16043"/>
    <cellStyle name="Output 2 2 3 4 5 2 2 2 2" xfId="29459"/>
    <cellStyle name="Output 2 2 3 4 5 2 2 3" xfId="20788"/>
    <cellStyle name="Output 2 2 3 4 5 2 3" xfId="13771"/>
    <cellStyle name="Output 2 2 3 4 5 2 3 2" xfId="28093"/>
    <cellStyle name="Output 2 2 3 4 5 2 4" xfId="19416"/>
    <cellStyle name="Output 2 2 3 4 5 3" xfId="11786"/>
    <cellStyle name="Output 2 2 3 4 5 3 2" xfId="26108"/>
    <cellStyle name="Output 2 2 3 4 5 4" xfId="17431"/>
    <cellStyle name="Output 2 2 3 4 6" xfId="3738"/>
    <cellStyle name="Output 2 2 3 4 6 2" xfId="6570"/>
    <cellStyle name="Output 2 2 3 4 6 2 2" xfId="23581"/>
    <cellStyle name="Output 2 2 3 4 6 3" xfId="14923"/>
    <cellStyle name="Output 2 2 3 4 7" xfId="6172"/>
    <cellStyle name="Output 2 2 3 4 7 2" xfId="23441"/>
    <cellStyle name="Output 2 2 3 4 8" xfId="17277"/>
    <cellStyle name="Output 2 2 3 5" xfId="2386"/>
    <cellStyle name="Output 2 2 3 5 2" xfId="2387"/>
    <cellStyle name="Output 2 2 3 5 2 2" xfId="2388"/>
    <cellStyle name="Output 2 2 3 5 2 2 2" xfId="6972"/>
    <cellStyle name="Output 2 2 3 5 2 2 2 2" xfId="13576"/>
    <cellStyle name="Output 2 2 3 5 2 2 2 2 2" xfId="27898"/>
    <cellStyle name="Output 2 2 3 5 2 2 2 3" xfId="19221"/>
    <cellStyle name="Output 2 2 3 5 2 2 3" xfId="8050"/>
    <cellStyle name="Output 2 2 3 5 2 2 3 2" xfId="10664"/>
    <cellStyle name="Output 2 2 3 5 2 2 3 2 2" xfId="16926"/>
    <cellStyle name="Output 2 2 3 5 2 2 3 2 2 2" xfId="30342"/>
    <cellStyle name="Output 2 2 3 5 2 2 3 2 3" xfId="21671"/>
    <cellStyle name="Output 2 2 3 5 2 2 3 3" xfId="14654"/>
    <cellStyle name="Output 2 2 3 5 2 2 3 3 2" xfId="28976"/>
    <cellStyle name="Output 2 2 3 5 2 2 3 4" xfId="20299"/>
    <cellStyle name="Output 2 2 3 5 2 2 4" xfId="11479"/>
    <cellStyle name="Output 2 2 3 5 2 2 4 2" xfId="25801"/>
    <cellStyle name="Output 2 2 3 5 2 2 5" xfId="14727"/>
    <cellStyle name="Output 2 2 3 5 2 3" xfId="2389"/>
    <cellStyle name="Output 2 2 3 5 2 3 2" xfId="7917"/>
    <cellStyle name="Output 2 2 3 5 2 3 2 2" xfId="10531"/>
    <cellStyle name="Output 2 2 3 5 2 3 2 2 2" xfId="16793"/>
    <cellStyle name="Output 2 2 3 5 2 3 2 2 2 2" xfId="30209"/>
    <cellStyle name="Output 2 2 3 5 2 3 2 2 3" xfId="21538"/>
    <cellStyle name="Output 2 2 3 5 2 3 2 3" xfId="14521"/>
    <cellStyle name="Output 2 2 3 5 2 3 2 3 2" xfId="28843"/>
    <cellStyle name="Output 2 2 3 5 2 3 2 4" xfId="20166"/>
    <cellStyle name="Output 2 2 3 5 2 3 3" xfId="12117"/>
    <cellStyle name="Output 2 2 3 5 2 3 3 2" xfId="26439"/>
    <cellStyle name="Output 2 2 3 5 2 3 4" xfId="17762"/>
    <cellStyle name="Output 2 2 3 5 2 4" xfId="3986"/>
    <cellStyle name="Output 2 2 3 5 2 4 2" xfId="5837"/>
    <cellStyle name="Output 2 2 3 5 2 4 2 2" xfId="23366"/>
    <cellStyle name="Output 2 2 3 5 2 4 3" xfId="15306"/>
    <cellStyle name="Output 2 2 3 5 2 5" xfId="4444"/>
    <cellStyle name="Output 2 2 3 5 2 5 2" xfId="22956"/>
    <cellStyle name="Output 2 2 3 5 2 6" xfId="17238"/>
    <cellStyle name="Output 2 2 3 5 3" xfId="2390"/>
    <cellStyle name="Output 2 2 3 5 3 2" xfId="7018"/>
    <cellStyle name="Output 2 2 3 5 3 2 2" xfId="13622"/>
    <cellStyle name="Output 2 2 3 5 3 2 2 2" xfId="27944"/>
    <cellStyle name="Output 2 2 3 5 3 2 3" xfId="19267"/>
    <cellStyle name="Output 2 2 3 5 3 3" xfId="7090"/>
    <cellStyle name="Output 2 2 3 5 3 3 2" xfId="9704"/>
    <cellStyle name="Output 2 2 3 5 3 3 2 2" xfId="15966"/>
    <cellStyle name="Output 2 2 3 5 3 3 2 2 2" xfId="29382"/>
    <cellStyle name="Output 2 2 3 5 3 3 2 3" xfId="20711"/>
    <cellStyle name="Output 2 2 3 5 3 3 3" xfId="13694"/>
    <cellStyle name="Output 2 2 3 5 3 3 3 2" xfId="28016"/>
    <cellStyle name="Output 2 2 3 5 3 3 4" xfId="19339"/>
    <cellStyle name="Output 2 2 3 5 3 4" xfId="11548"/>
    <cellStyle name="Output 2 2 3 5 3 4 2" xfId="25870"/>
    <cellStyle name="Output 2 2 3 5 3 5" xfId="17260"/>
    <cellStyle name="Output 2 2 3 5 4" xfId="2391"/>
    <cellStyle name="Output 2 2 3 5 4 2" xfId="7426"/>
    <cellStyle name="Output 2 2 3 5 4 2 2" xfId="10040"/>
    <cellStyle name="Output 2 2 3 5 4 2 2 2" xfId="16302"/>
    <cellStyle name="Output 2 2 3 5 4 2 2 2 2" xfId="29718"/>
    <cellStyle name="Output 2 2 3 5 4 2 2 3" xfId="21047"/>
    <cellStyle name="Output 2 2 3 5 4 2 3" xfId="14030"/>
    <cellStyle name="Output 2 2 3 5 4 2 3 2" xfId="28352"/>
    <cellStyle name="Output 2 2 3 5 4 2 4" xfId="19675"/>
    <cellStyle name="Output 2 2 3 5 4 3" xfId="12830"/>
    <cellStyle name="Output 2 2 3 5 4 3 2" xfId="27152"/>
    <cellStyle name="Output 2 2 3 5 4 4" xfId="18475"/>
    <cellStyle name="Output 2 2 3 5 5" xfId="5390"/>
    <cellStyle name="Output 2 2 3 5 5 2" xfId="11940"/>
    <cellStyle name="Output 2 2 3 5 5 2 2" xfId="26262"/>
    <cellStyle name="Output 2 2 3 5 5 3" xfId="17585"/>
    <cellStyle name="Output 2 2 3 5 6" xfId="2839"/>
    <cellStyle name="Output 2 2 3 5 6 2" xfId="22402"/>
    <cellStyle name="Output 2 2 3 5 7" xfId="15535"/>
    <cellStyle name="Output 2 2 3 6" xfId="2392"/>
    <cellStyle name="Output 2 2 3 6 2" xfId="2393"/>
    <cellStyle name="Output 2 2 3 6 2 2" xfId="6979"/>
    <cellStyle name="Output 2 2 3 6 2 2 2" xfId="13583"/>
    <cellStyle name="Output 2 2 3 6 2 2 2 2" xfId="27905"/>
    <cellStyle name="Output 2 2 3 6 2 2 3" xfId="19228"/>
    <cellStyle name="Output 2 2 3 6 2 3" xfId="7850"/>
    <cellStyle name="Output 2 2 3 6 2 3 2" xfId="10464"/>
    <cellStyle name="Output 2 2 3 6 2 3 2 2" xfId="16726"/>
    <cellStyle name="Output 2 2 3 6 2 3 2 2 2" xfId="30142"/>
    <cellStyle name="Output 2 2 3 6 2 3 2 3" xfId="21471"/>
    <cellStyle name="Output 2 2 3 6 2 3 3" xfId="14454"/>
    <cellStyle name="Output 2 2 3 6 2 3 3 2" xfId="28776"/>
    <cellStyle name="Output 2 2 3 6 2 3 4" xfId="20099"/>
    <cellStyle name="Output 2 2 3 6 2 4" xfId="11490"/>
    <cellStyle name="Output 2 2 3 6 2 4 2" xfId="25812"/>
    <cellStyle name="Output 2 2 3 6 2 5" xfId="15050"/>
    <cellStyle name="Output 2 2 3 6 3" xfId="2394"/>
    <cellStyle name="Output 2 2 3 6 3 2" xfId="5261"/>
    <cellStyle name="Output 2 2 3 6 3 2 2" xfId="9570"/>
    <cellStyle name="Output 2 2 3 6 3 2 2 2" xfId="15832"/>
    <cellStyle name="Output 2 2 3 6 3 2 2 2 2" xfId="29248"/>
    <cellStyle name="Output 2 2 3 6 3 2 2 3" xfId="20577"/>
    <cellStyle name="Output 2 2 3 6 3 2 3" xfId="11811"/>
    <cellStyle name="Output 2 2 3 6 3 2 3 2" xfId="26133"/>
    <cellStyle name="Output 2 2 3 6 3 2 4" xfId="17456"/>
    <cellStyle name="Output 2 2 3 6 3 3" xfId="13169"/>
    <cellStyle name="Output 2 2 3 6 3 3 2" xfId="27491"/>
    <cellStyle name="Output 2 2 3 6 3 4" xfId="18814"/>
    <cellStyle name="Output 2 2 3 6 4" xfId="5588"/>
    <cellStyle name="Output 2 2 3 6 4 2" xfId="12140"/>
    <cellStyle name="Output 2 2 3 6 4 2 2" xfId="26462"/>
    <cellStyle name="Output 2 2 3 6 4 3" xfId="17785"/>
    <cellStyle name="Output 2 2 3 6 5" xfId="6819"/>
    <cellStyle name="Output 2 2 3 6 5 2" xfId="23755"/>
    <cellStyle name="Output 2 2 3 6 6" xfId="4179"/>
    <cellStyle name="Output 2 2 3 7" xfId="2395"/>
    <cellStyle name="Output 2 2 3 7 2" xfId="5163"/>
    <cellStyle name="Output 2 2 3 7 2 2" xfId="11712"/>
    <cellStyle name="Output 2 2 3 7 2 2 2" xfId="26034"/>
    <cellStyle name="Output 2 2 3 7 2 3" xfId="4486"/>
    <cellStyle name="Output 2 2 3 7 3" xfId="7370"/>
    <cellStyle name="Output 2 2 3 7 3 2" xfId="9984"/>
    <cellStyle name="Output 2 2 3 7 3 2 2" xfId="16246"/>
    <cellStyle name="Output 2 2 3 7 3 2 2 2" xfId="29662"/>
    <cellStyle name="Output 2 2 3 7 3 2 3" xfId="20991"/>
    <cellStyle name="Output 2 2 3 7 3 3" xfId="13974"/>
    <cellStyle name="Output 2 2 3 7 3 3 2" xfId="28296"/>
    <cellStyle name="Output 2 2 3 7 3 4" xfId="19619"/>
    <cellStyle name="Output 2 2 3 7 4" xfId="4518"/>
    <cellStyle name="Output 2 2 3 7 4 2" xfId="23004"/>
    <cellStyle name="Output 2 2 3 7 5" xfId="14951"/>
    <cellStyle name="Output 2 2 3 8" xfId="2396"/>
    <cellStyle name="Output 2 2 3 8 2" xfId="7467"/>
    <cellStyle name="Output 2 2 3 8 2 2" xfId="10081"/>
    <cellStyle name="Output 2 2 3 8 2 2 2" xfId="16343"/>
    <cellStyle name="Output 2 2 3 8 2 2 2 2" xfId="29759"/>
    <cellStyle name="Output 2 2 3 8 2 2 3" xfId="21088"/>
    <cellStyle name="Output 2 2 3 8 2 3" xfId="14071"/>
    <cellStyle name="Output 2 2 3 8 2 3 2" xfId="28393"/>
    <cellStyle name="Output 2 2 3 8 2 4" xfId="19716"/>
    <cellStyle name="Output 2 2 3 8 3" xfId="3661"/>
    <cellStyle name="Output 2 2 3 8 3 2" xfId="22511"/>
    <cellStyle name="Output 2 2 3 8 4" xfId="17236"/>
    <cellStyle name="Output 2 2 3 9" xfId="5248"/>
    <cellStyle name="Output 2 2 3 9 2" xfId="11798"/>
    <cellStyle name="Output 2 2 3 9 2 2" xfId="26120"/>
    <cellStyle name="Output 2 2 3 9 3" xfId="17443"/>
    <cellStyle name="Output 2 2 4" xfId="2397"/>
    <cellStyle name="Output 2 2 4 2" xfId="2398"/>
    <cellStyle name="Output 2 2 4 2 2" xfId="2399"/>
    <cellStyle name="Output 2 2 4 2 2 2" xfId="6030"/>
    <cellStyle name="Output 2 2 4 2 2 2 2" xfId="12591"/>
    <cellStyle name="Output 2 2 4 2 2 2 2 2" xfId="26913"/>
    <cellStyle name="Output 2 2 4 2 2 2 3" xfId="18236"/>
    <cellStyle name="Output 2 2 4 2 2 3" xfId="7268"/>
    <cellStyle name="Output 2 2 4 2 2 3 2" xfId="9882"/>
    <cellStyle name="Output 2 2 4 2 2 3 2 2" xfId="16144"/>
    <cellStyle name="Output 2 2 4 2 2 3 2 2 2" xfId="29560"/>
    <cellStyle name="Output 2 2 4 2 2 3 2 3" xfId="20889"/>
    <cellStyle name="Output 2 2 4 2 2 3 3" xfId="13872"/>
    <cellStyle name="Output 2 2 4 2 2 3 3 2" xfId="28194"/>
    <cellStyle name="Output 2 2 4 2 2 3 4" xfId="19517"/>
    <cellStyle name="Output 2 2 4 2 2 4" xfId="3956"/>
    <cellStyle name="Output 2 2 4 2 2 4 2" xfId="22668"/>
    <cellStyle name="Output 2 2 4 2 2 5" xfId="15029"/>
    <cellStyle name="Output 2 2 4 2 3" xfId="2400"/>
    <cellStyle name="Output 2 2 4 2 3 2" xfId="7544"/>
    <cellStyle name="Output 2 2 4 2 3 2 2" xfId="10158"/>
    <cellStyle name="Output 2 2 4 2 3 2 2 2" xfId="16420"/>
    <cellStyle name="Output 2 2 4 2 3 2 2 2 2" xfId="29836"/>
    <cellStyle name="Output 2 2 4 2 3 2 2 3" xfId="21165"/>
    <cellStyle name="Output 2 2 4 2 3 2 3" xfId="14148"/>
    <cellStyle name="Output 2 2 4 2 3 2 3 2" xfId="28470"/>
    <cellStyle name="Output 2 2 4 2 3 2 4" xfId="19793"/>
    <cellStyle name="Output 2 2 4 2 3 3" xfId="13289"/>
    <cellStyle name="Output 2 2 4 2 3 3 2" xfId="27611"/>
    <cellStyle name="Output 2 2 4 2 3 4" xfId="18934"/>
    <cellStyle name="Output 2 2 4 2 4" xfId="5739"/>
    <cellStyle name="Output 2 2 4 2 4 2" xfId="12292"/>
    <cellStyle name="Output 2 2 4 2 4 2 2" xfId="26614"/>
    <cellStyle name="Output 2 2 4 2 4 3" xfId="17937"/>
    <cellStyle name="Output 2 2 4 2 5" xfId="5003"/>
    <cellStyle name="Output 2 2 4 2 5 2" xfId="23304"/>
    <cellStyle name="Output 2 2 4 2 6" xfId="14761"/>
    <cellStyle name="Output 2 2 4 3" xfId="2401"/>
    <cellStyle name="Output 2 2 4 3 2" xfId="2402"/>
    <cellStyle name="Output 2 2 4 3 2 2" xfId="7028"/>
    <cellStyle name="Output 2 2 4 3 2 2 2" xfId="13632"/>
    <cellStyle name="Output 2 2 4 3 2 2 2 2" xfId="27954"/>
    <cellStyle name="Output 2 2 4 3 2 2 3" xfId="19277"/>
    <cellStyle name="Output 2 2 4 3 2 3" xfId="7518"/>
    <cellStyle name="Output 2 2 4 3 2 3 2" xfId="10132"/>
    <cellStyle name="Output 2 2 4 3 2 3 2 2" xfId="16394"/>
    <cellStyle name="Output 2 2 4 3 2 3 2 2 2" xfId="29810"/>
    <cellStyle name="Output 2 2 4 3 2 3 2 3" xfId="21139"/>
    <cellStyle name="Output 2 2 4 3 2 3 3" xfId="14122"/>
    <cellStyle name="Output 2 2 4 3 2 3 3 2" xfId="28444"/>
    <cellStyle name="Output 2 2 4 3 2 3 4" xfId="19767"/>
    <cellStyle name="Output 2 2 4 3 2 4" xfId="11567"/>
    <cellStyle name="Output 2 2 4 3 2 4 2" xfId="25889"/>
    <cellStyle name="Output 2 2 4 3 2 5" xfId="4459"/>
    <cellStyle name="Output 2 2 4 3 3" xfId="2403"/>
    <cellStyle name="Output 2 2 4 3 3 2" xfId="8012"/>
    <cellStyle name="Output 2 2 4 3 3 2 2" xfId="10626"/>
    <cellStyle name="Output 2 2 4 3 3 2 2 2" xfId="16888"/>
    <cellStyle name="Output 2 2 4 3 3 2 2 2 2" xfId="30304"/>
    <cellStyle name="Output 2 2 4 3 3 2 2 3" xfId="21633"/>
    <cellStyle name="Output 2 2 4 3 3 2 3" xfId="14616"/>
    <cellStyle name="Output 2 2 4 3 3 2 3 2" xfId="28938"/>
    <cellStyle name="Output 2 2 4 3 3 2 4" xfId="20261"/>
    <cellStyle name="Output 2 2 4 3 3 3" xfId="13389"/>
    <cellStyle name="Output 2 2 4 3 3 3 2" xfId="27711"/>
    <cellStyle name="Output 2 2 4 3 3 4" xfId="19034"/>
    <cellStyle name="Output 2 2 4 3 4" xfId="5853"/>
    <cellStyle name="Output 2 2 4 3 4 2" xfId="12406"/>
    <cellStyle name="Output 2 2 4 3 4 2 2" xfId="26728"/>
    <cellStyle name="Output 2 2 4 3 4 3" xfId="18051"/>
    <cellStyle name="Output 2 2 4 3 5" xfId="4307"/>
    <cellStyle name="Output 2 2 4 3 5 2" xfId="22883"/>
    <cellStyle name="Output 2 2 4 3 6" xfId="17077"/>
    <cellStyle name="Output 2 2 4 4" xfId="2404"/>
    <cellStyle name="Output 2 2 4 4 2" xfId="6006"/>
    <cellStyle name="Output 2 2 4 4 2 2" xfId="12565"/>
    <cellStyle name="Output 2 2 4 4 2 2 2" xfId="26887"/>
    <cellStyle name="Output 2 2 4 4 2 3" xfId="18210"/>
    <cellStyle name="Output 2 2 4 4 3" xfId="7147"/>
    <cellStyle name="Output 2 2 4 4 3 2" xfId="9761"/>
    <cellStyle name="Output 2 2 4 4 3 2 2" xfId="16023"/>
    <cellStyle name="Output 2 2 4 4 3 2 2 2" xfId="29439"/>
    <cellStyle name="Output 2 2 4 4 3 2 3" xfId="20768"/>
    <cellStyle name="Output 2 2 4 4 3 3" xfId="13751"/>
    <cellStyle name="Output 2 2 4 4 3 3 2" xfId="28073"/>
    <cellStyle name="Output 2 2 4 4 3 4" xfId="19396"/>
    <cellStyle name="Output 2 2 4 4 4" xfId="6313"/>
    <cellStyle name="Output 2 2 4 4 4 2" xfId="23509"/>
    <cellStyle name="Output 2 2 4 4 5" xfId="14889"/>
    <cellStyle name="Output 2 2 4 5" xfId="2405"/>
    <cellStyle name="Output 2 2 4 5 2" xfId="7830"/>
    <cellStyle name="Output 2 2 4 5 2 2" xfId="10444"/>
    <cellStyle name="Output 2 2 4 5 2 2 2" xfId="16706"/>
    <cellStyle name="Output 2 2 4 5 2 2 2 2" xfId="30122"/>
    <cellStyle name="Output 2 2 4 5 2 2 3" xfId="21451"/>
    <cellStyle name="Output 2 2 4 5 2 3" xfId="14434"/>
    <cellStyle name="Output 2 2 4 5 2 3 2" xfId="28756"/>
    <cellStyle name="Output 2 2 4 5 2 4" xfId="20079"/>
    <cellStyle name="Output 2 2 4 5 3" xfId="12858"/>
    <cellStyle name="Output 2 2 4 5 3 2" xfId="27180"/>
    <cellStyle name="Output 2 2 4 5 4" xfId="18503"/>
    <cellStyle name="Output 2 2 4 6" xfId="5466"/>
    <cellStyle name="Output 2 2 4 6 2" xfId="12017"/>
    <cellStyle name="Output 2 2 4 6 2 2" xfId="26339"/>
    <cellStyle name="Output 2 2 4 6 3" xfId="17662"/>
    <cellStyle name="Output 2 2 4 7" xfId="5571"/>
    <cellStyle name="Output 2 2 4 7 2" xfId="23351"/>
    <cellStyle name="Output 2 2 4 8" xfId="16991"/>
    <cellStyle name="Output 2 2 5" xfId="2406"/>
    <cellStyle name="Output 2 2 5 2" xfId="2407"/>
    <cellStyle name="Output 2 2 5 2 2" xfId="2408"/>
    <cellStyle name="Output 2 2 5 2 2 2" xfId="6067"/>
    <cellStyle name="Output 2 2 5 2 2 2 2" xfId="12633"/>
    <cellStyle name="Output 2 2 5 2 2 2 2 2" xfId="26955"/>
    <cellStyle name="Output 2 2 5 2 2 2 3" xfId="18278"/>
    <cellStyle name="Output 2 2 5 2 2 3" xfId="8026"/>
    <cellStyle name="Output 2 2 5 2 2 3 2" xfId="10640"/>
    <cellStyle name="Output 2 2 5 2 2 3 2 2" xfId="16902"/>
    <cellStyle name="Output 2 2 5 2 2 3 2 2 2" xfId="30318"/>
    <cellStyle name="Output 2 2 5 2 2 3 2 3" xfId="21647"/>
    <cellStyle name="Output 2 2 5 2 2 3 3" xfId="14630"/>
    <cellStyle name="Output 2 2 5 2 2 3 3 2" xfId="28952"/>
    <cellStyle name="Output 2 2 5 2 2 3 4" xfId="20275"/>
    <cellStyle name="Output 2 2 5 2 2 4" xfId="6293"/>
    <cellStyle name="Output 2 2 5 2 2 4 2" xfId="23492"/>
    <cellStyle name="Output 2 2 5 2 2 5" xfId="15451"/>
    <cellStyle name="Output 2 2 5 2 3" xfId="2409"/>
    <cellStyle name="Output 2 2 5 2 3 2" xfId="7521"/>
    <cellStyle name="Output 2 2 5 2 3 2 2" xfId="10135"/>
    <cellStyle name="Output 2 2 5 2 3 2 2 2" xfId="16397"/>
    <cellStyle name="Output 2 2 5 2 3 2 2 2 2" xfId="29813"/>
    <cellStyle name="Output 2 2 5 2 3 2 2 3" xfId="21142"/>
    <cellStyle name="Output 2 2 5 2 3 2 3" xfId="14125"/>
    <cellStyle name="Output 2 2 5 2 3 2 3 2" xfId="28447"/>
    <cellStyle name="Output 2 2 5 2 3 2 4" xfId="19770"/>
    <cellStyle name="Output 2 2 5 2 3 3" xfId="13291"/>
    <cellStyle name="Output 2 2 5 2 3 3 2" xfId="27613"/>
    <cellStyle name="Output 2 2 5 2 3 4" xfId="18936"/>
    <cellStyle name="Output 2 2 5 2 4" xfId="5741"/>
    <cellStyle name="Output 2 2 5 2 4 2" xfId="12294"/>
    <cellStyle name="Output 2 2 5 2 4 2 2" xfId="26616"/>
    <cellStyle name="Output 2 2 5 2 4 3" xfId="17939"/>
    <cellStyle name="Output 2 2 5 2 5" xfId="6695"/>
    <cellStyle name="Output 2 2 5 2 5 2" xfId="23658"/>
    <cellStyle name="Output 2 2 5 2 6" xfId="15382"/>
    <cellStyle name="Output 2 2 5 3" xfId="2410"/>
    <cellStyle name="Output 2 2 5 3 2" xfId="2411"/>
    <cellStyle name="Output 2 2 5 3 2 2" xfId="6117"/>
    <cellStyle name="Output 2 2 5 3 2 2 2" xfId="12685"/>
    <cellStyle name="Output 2 2 5 3 2 2 2 2" xfId="27007"/>
    <cellStyle name="Output 2 2 5 3 2 2 3" xfId="18330"/>
    <cellStyle name="Output 2 2 5 3 2 3" xfId="7137"/>
    <cellStyle name="Output 2 2 5 3 2 3 2" xfId="9751"/>
    <cellStyle name="Output 2 2 5 3 2 3 2 2" xfId="16013"/>
    <cellStyle name="Output 2 2 5 3 2 3 2 2 2" xfId="29429"/>
    <cellStyle name="Output 2 2 5 3 2 3 2 3" xfId="20758"/>
    <cellStyle name="Output 2 2 5 3 2 3 3" xfId="13741"/>
    <cellStyle name="Output 2 2 5 3 2 3 3 2" xfId="28063"/>
    <cellStyle name="Output 2 2 5 3 2 3 4" xfId="19386"/>
    <cellStyle name="Output 2 2 5 3 2 4" xfId="3265"/>
    <cellStyle name="Output 2 2 5 3 2 4 2" xfId="22451"/>
    <cellStyle name="Output 2 2 5 3 2 5" xfId="15263"/>
    <cellStyle name="Output 2 2 5 3 3" xfId="2412"/>
    <cellStyle name="Output 2 2 5 3 3 2" xfId="5276"/>
    <cellStyle name="Output 2 2 5 3 3 2 2" xfId="9585"/>
    <cellStyle name="Output 2 2 5 3 3 2 2 2" xfId="15847"/>
    <cellStyle name="Output 2 2 5 3 3 2 2 2 2" xfId="29263"/>
    <cellStyle name="Output 2 2 5 3 3 2 2 3" xfId="20592"/>
    <cellStyle name="Output 2 2 5 3 3 2 3" xfId="11826"/>
    <cellStyle name="Output 2 2 5 3 3 2 3 2" xfId="26148"/>
    <cellStyle name="Output 2 2 5 3 3 2 4" xfId="17471"/>
    <cellStyle name="Output 2 2 5 3 3 3" xfId="13073"/>
    <cellStyle name="Output 2 2 5 3 3 3 2" xfId="27395"/>
    <cellStyle name="Output 2 2 5 3 3 4" xfId="18718"/>
    <cellStyle name="Output 2 2 5 3 4" xfId="5419"/>
    <cellStyle name="Output 2 2 5 3 4 2" xfId="11970"/>
    <cellStyle name="Output 2 2 5 3 4 2 2" xfId="26292"/>
    <cellStyle name="Output 2 2 5 3 4 3" xfId="17615"/>
    <cellStyle name="Output 2 2 5 3 5" xfId="4269"/>
    <cellStyle name="Output 2 2 5 3 5 2" xfId="22861"/>
    <cellStyle name="Output 2 2 5 3 6" xfId="15118"/>
    <cellStyle name="Output 2 2 5 4" xfId="2413"/>
    <cellStyle name="Output 2 2 5 4 2" xfId="6393"/>
    <cellStyle name="Output 2 2 5 4 2 2" xfId="12976"/>
    <cellStyle name="Output 2 2 5 4 2 2 2" xfId="27298"/>
    <cellStyle name="Output 2 2 5 4 2 3" xfId="18621"/>
    <cellStyle name="Output 2 2 5 4 3" xfId="4966"/>
    <cellStyle name="Output 2 2 5 4 3 2" xfId="9526"/>
    <cellStyle name="Output 2 2 5 4 3 2 2" xfId="15788"/>
    <cellStyle name="Output 2 2 5 4 3 2 2 2" xfId="29204"/>
    <cellStyle name="Output 2 2 5 4 3 2 3" xfId="20533"/>
    <cellStyle name="Output 2 2 5 4 3 3" xfId="11507"/>
    <cellStyle name="Output 2 2 5 4 3 3 2" xfId="25829"/>
    <cellStyle name="Output 2 2 5 4 3 4" xfId="6764"/>
    <cellStyle name="Output 2 2 5 4 4" xfId="4046"/>
    <cellStyle name="Output 2 2 5 4 4 2" xfId="22723"/>
    <cellStyle name="Output 2 2 5 4 5" xfId="4405"/>
    <cellStyle name="Output 2 2 5 5" xfId="2414"/>
    <cellStyle name="Output 2 2 5 5 2" xfId="7803"/>
    <cellStyle name="Output 2 2 5 5 2 2" xfId="10417"/>
    <cellStyle name="Output 2 2 5 5 2 2 2" xfId="16679"/>
    <cellStyle name="Output 2 2 5 5 2 2 2 2" xfId="30095"/>
    <cellStyle name="Output 2 2 5 5 2 2 3" xfId="21424"/>
    <cellStyle name="Output 2 2 5 5 2 3" xfId="14407"/>
    <cellStyle name="Output 2 2 5 5 2 3 2" xfId="28729"/>
    <cellStyle name="Output 2 2 5 5 2 4" xfId="20052"/>
    <cellStyle name="Output 2 2 5 5 3" xfId="12867"/>
    <cellStyle name="Output 2 2 5 5 3 2" xfId="27189"/>
    <cellStyle name="Output 2 2 5 5 4" xfId="18512"/>
    <cellStyle name="Output 2 2 5 6" xfId="5484"/>
    <cellStyle name="Output 2 2 5 6 2" xfId="12035"/>
    <cellStyle name="Output 2 2 5 6 2 2" xfId="26357"/>
    <cellStyle name="Output 2 2 5 6 3" xfId="17680"/>
    <cellStyle name="Output 2 2 5 7" xfId="5023"/>
    <cellStyle name="Output 2 2 5 7 2" xfId="23311"/>
    <cellStyle name="Output 2 2 5 8" xfId="15291"/>
    <cellStyle name="Output 2 2 6" xfId="2415"/>
    <cellStyle name="Output 2 2 6 2" xfId="2416"/>
    <cellStyle name="Output 2 2 6 2 2" xfId="2417"/>
    <cellStyle name="Output 2 2 6 2 2 2" xfId="6989"/>
    <cellStyle name="Output 2 2 6 2 2 2 2" xfId="13593"/>
    <cellStyle name="Output 2 2 6 2 2 2 2 2" xfId="27915"/>
    <cellStyle name="Output 2 2 6 2 2 2 3" xfId="19238"/>
    <cellStyle name="Output 2 2 6 2 2 3" xfId="7626"/>
    <cellStyle name="Output 2 2 6 2 2 3 2" xfId="10240"/>
    <cellStyle name="Output 2 2 6 2 2 3 2 2" xfId="16502"/>
    <cellStyle name="Output 2 2 6 2 2 3 2 2 2" xfId="29918"/>
    <cellStyle name="Output 2 2 6 2 2 3 2 3" xfId="21247"/>
    <cellStyle name="Output 2 2 6 2 2 3 3" xfId="14230"/>
    <cellStyle name="Output 2 2 6 2 2 3 3 2" xfId="28552"/>
    <cellStyle name="Output 2 2 6 2 2 3 4" xfId="19875"/>
    <cellStyle name="Output 2 2 6 2 2 4" xfId="11501"/>
    <cellStyle name="Output 2 2 6 2 2 4 2" xfId="25823"/>
    <cellStyle name="Output 2 2 6 2 2 5" xfId="15180"/>
    <cellStyle name="Output 2 2 6 2 3" xfId="2418"/>
    <cellStyle name="Output 2 2 6 2 3 2" xfId="4778"/>
    <cellStyle name="Output 2 2 6 2 3 2 2" xfId="9483"/>
    <cellStyle name="Output 2 2 6 2 3 2 2 2" xfId="15745"/>
    <cellStyle name="Output 2 2 6 2 3 2 2 2 2" xfId="29161"/>
    <cellStyle name="Output 2 2 6 2 3 2 2 3" xfId="20490"/>
    <cellStyle name="Output 2 2 6 2 3 2 3" xfId="2765"/>
    <cellStyle name="Output 2 2 6 2 3 2 3 2" xfId="22334"/>
    <cellStyle name="Output 2 2 6 2 3 2 4" xfId="14944"/>
    <cellStyle name="Output 2 2 6 2 3 3" xfId="13238"/>
    <cellStyle name="Output 2 2 6 2 3 3 2" xfId="27560"/>
    <cellStyle name="Output 2 2 6 2 3 4" xfId="18883"/>
    <cellStyle name="Output 2 2 6 2 4" xfId="5679"/>
    <cellStyle name="Output 2 2 6 2 4 2" xfId="12232"/>
    <cellStyle name="Output 2 2 6 2 4 2 2" xfId="26554"/>
    <cellStyle name="Output 2 2 6 2 4 3" xfId="17877"/>
    <cellStyle name="Output 2 2 6 2 5" xfId="4095"/>
    <cellStyle name="Output 2 2 6 2 5 2" xfId="22755"/>
    <cellStyle name="Output 2 2 6 2 6" xfId="4940"/>
    <cellStyle name="Output 2 2 6 3" xfId="2419"/>
    <cellStyle name="Output 2 2 6 3 2" xfId="2420"/>
    <cellStyle name="Output 2 2 6 3 2 2" xfId="5521"/>
    <cellStyle name="Output 2 2 6 3 2 2 2" xfId="12072"/>
    <cellStyle name="Output 2 2 6 3 2 2 2 2" xfId="26394"/>
    <cellStyle name="Output 2 2 6 3 2 2 3" xfId="17717"/>
    <cellStyle name="Output 2 2 6 3 2 3" xfId="7978"/>
    <cellStyle name="Output 2 2 6 3 2 3 2" xfId="10592"/>
    <cellStyle name="Output 2 2 6 3 2 3 2 2" xfId="16854"/>
    <cellStyle name="Output 2 2 6 3 2 3 2 2 2" xfId="30270"/>
    <cellStyle name="Output 2 2 6 3 2 3 2 3" xfId="21599"/>
    <cellStyle name="Output 2 2 6 3 2 3 3" xfId="14582"/>
    <cellStyle name="Output 2 2 6 3 2 3 3 2" xfId="28904"/>
    <cellStyle name="Output 2 2 6 3 2 3 4" xfId="20227"/>
    <cellStyle name="Output 2 2 6 3 2 4" xfId="4067"/>
    <cellStyle name="Output 2 2 6 3 2 4 2" xfId="22739"/>
    <cellStyle name="Output 2 2 6 3 2 5" xfId="6322"/>
    <cellStyle name="Output 2 2 6 3 3" xfId="2421"/>
    <cellStyle name="Output 2 2 6 3 3 2" xfId="7739"/>
    <cellStyle name="Output 2 2 6 3 3 2 2" xfId="10353"/>
    <cellStyle name="Output 2 2 6 3 3 2 2 2" xfId="16615"/>
    <cellStyle name="Output 2 2 6 3 3 2 2 2 2" xfId="30031"/>
    <cellStyle name="Output 2 2 6 3 3 2 2 3" xfId="21360"/>
    <cellStyle name="Output 2 2 6 3 3 2 3" xfId="14343"/>
    <cellStyle name="Output 2 2 6 3 3 2 3 2" xfId="28665"/>
    <cellStyle name="Output 2 2 6 3 3 2 4" xfId="19988"/>
    <cellStyle name="Output 2 2 6 3 3 3" xfId="13072"/>
    <cellStyle name="Output 2 2 6 3 3 3 2" xfId="27394"/>
    <cellStyle name="Output 2 2 6 3 3 4" xfId="18717"/>
    <cellStyle name="Output 2 2 6 3 4" xfId="5417"/>
    <cellStyle name="Output 2 2 6 3 4 2" xfId="11967"/>
    <cellStyle name="Output 2 2 6 3 4 2 2" xfId="26289"/>
    <cellStyle name="Output 2 2 6 3 4 3" xfId="17612"/>
    <cellStyle name="Output 2 2 6 3 5" xfId="6185"/>
    <cellStyle name="Output 2 2 6 3 5 2" xfId="23450"/>
    <cellStyle name="Output 2 2 6 3 6" xfId="17388"/>
    <cellStyle name="Output 2 2 6 4" xfId="2422"/>
    <cellStyle name="Output 2 2 6 4 2" xfId="6036"/>
    <cellStyle name="Output 2 2 6 4 2 2" xfId="12597"/>
    <cellStyle name="Output 2 2 6 4 2 2 2" xfId="26919"/>
    <cellStyle name="Output 2 2 6 4 2 3" xfId="18242"/>
    <cellStyle name="Output 2 2 6 4 3" xfId="7615"/>
    <cellStyle name="Output 2 2 6 4 3 2" xfId="10229"/>
    <cellStyle name="Output 2 2 6 4 3 2 2" xfId="16491"/>
    <cellStyle name="Output 2 2 6 4 3 2 2 2" xfId="29907"/>
    <cellStyle name="Output 2 2 6 4 3 2 3" xfId="21236"/>
    <cellStyle name="Output 2 2 6 4 3 3" xfId="14219"/>
    <cellStyle name="Output 2 2 6 4 3 3 2" xfId="28541"/>
    <cellStyle name="Output 2 2 6 4 3 4" xfId="19864"/>
    <cellStyle name="Output 2 2 6 4 4" xfId="3843"/>
    <cellStyle name="Output 2 2 6 4 4 2" xfId="22608"/>
    <cellStyle name="Output 2 2 6 4 5" xfId="15459"/>
    <cellStyle name="Output 2 2 6 5" xfId="2423"/>
    <cellStyle name="Output 2 2 6 5 2" xfId="7276"/>
    <cellStyle name="Output 2 2 6 5 2 2" xfId="9890"/>
    <cellStyle name="Output 2 2 6 5 2 2 2" xfId="16152"/>
    <cellStyle name="Output 2 2 6 5 2 2 2 2" xfId="29568"/>
    <cellStyle name="Output 2 2 6 5 2 2 3" xfId="20897"/>
    <cellStyle name="Output 2 2 6 5 2 3" xfId="13880"/>
    <cellStyle name="Output 2 2 6 5 2 3 2" xfId="28202"/>
    <cellStyle name="Output 2 2 6 5 2 4" xfId="19525"/>
    <cellStyle name="Output 2 2 6 5 3" xfId="12686"/>
    <cellStyle name="Output 2 2 6 5 3 2" xfId="27008"/>
    <cellStyle name="Output 2 2 6 5 4" xfId="18331"/>
    <cellStyle name="Output 2 2 6 6" xfId="5227"/>
    <cellStyle name="Output 2 2 6 6 2" xfId="11777"/>
    <cellStyle name="Output 2 2 6 6 2 2" xfId="26099"/>
    <cellStyle name="Output 2 2 6 6 3" xfId="17422"/>
    <cellStyle name="Output 2 2 6 7" xfId="6579"/>
    <cellStyle name="Output 2 2 6 7 2" xfId="23588"/>
    <cellStyle name="Output 2 2 6 8" xfId="17123"/>
    <cellStyle name="Output 2 2 7" xfId="2424"/>
    <cellStyle name="Output 2 2 7 2" xfId="2425"/>
    <cellStyle name="Output 2 2 7 2 2" xfId="2426"/>
    <cellStyle name="Output 2 2 7 2 2 2" xfId="6548"/>
    <cellStyle name="Output 2 2 7 2 2 2 2" xfId="13136"/>
    <cellStyle name="Output 2 2 7 2 2 2 2 2" xfId="27458"/>
    <cellStyle name="Output 2 2 7 2 2 2 3" xfId="18781"/>
    <cellStyle name="Output 2 2 7 2 2 3" xfId="7581"/>
    <cellStyle name="Output 2 2 7 2 2 3 2" xfId="10195"/>
    <cellStyle name="Output 2 2 7 2 2 3 2 2" xfId="16457"/>
    <cellStyle name="Output 2 2 7 2 2 3 2 2 2" xfId="29873"/>
    <cellStyle name="Output 2 2 7 2 2 3 2 3" xfId="21202"/>
    <cellStyle name="Output 2 2 7 2 2 3 3" xfId="14185"/>
    <cellStyle name="Output 2 2 7 2 2 3 3 2" xfId="28507"/>
    <cellStyle name="Output 2 2 7 2 2 3 4" xfId="19830"/>
    <cellStyle name="Output 2 2 7 2 2 4" xfId="3723"/>
    <cellStyle name="Output 2 2 7 2 2 4 2" xfId="22546"/>
    <cellStyle name="Output 2 2 7 2 2 5" xfId="4489"/>
    <cellStyle name="Output 2 2 7 2 3" xfId="2427"/>
    <cellStyle name="Output 2 2 7 2 3 2" xfId="8038"/>
    <cellStyle name="Output 2 2 7 2 3 2 2" xfId="10652"/>
    <cellStyle name="Output 2 2 7 2 3 2 2 2" xfId="16914"/>
    <cellStyle name="Output 2 2 7 2 3 2 2 2 2" xfId="30330"/>
    <cellStyle name="Output 2 2 7 2 3 2 2 3" xfId="21659"/>
    <cellStyle name="Output 2 2 7 2 3 2 3" xfId="14642"/>
    <cellStyle name="Output 2 2 7 2 3 2 3 2" xfId="28964"/>
    <cellStyle name="Output 2 2 7 2 3 2 4" xfId="20287"/>
    <cellStyle name="Output 2 2 7 2 3 3" xfId="13102"/>
    <cellStyle name="Output 2 2 7 2 3 3 2" xfId="27424"/>
    <cellStyle name="Output 2 2 7 2 3 4" xfId="18747"/>
    <cellStyle name="Output 2 2 7 2 4" xfId="5463"/>
    <cellStyle name="Output 2 2 7 2 4 2" xfId="12014"/>
    <cellStyle name="Output 2 2 7 2 4 2 2" xfId="26336"/>
    <cellStyle name="Output 2 2 7 2 4 3" xfId="17659"/>
    <cellStyle name="Output 2 2 7 2 5" xfId="3243"/>
    <cellStyle name="Output 2 2 7 2 5 2" xfId="22441"/>
    <cellStyle name="Output 2 2 7 2 6" xfId="17045"/>
    <cellStyle name="Output 2 2 7 3" xfId="2428"/>
    <cellStyle name="Output 2 2 7 3 2" xfId="6540"/>
    <cellStyle name="Output 2 2 7 3 2 2" xfId="13128"/>
    <cellStyle name="Output 2 2 7 3 2 2 2" xfId="27450"/>
    <cellStyle name="Output 2 2 7 3 2 3" xfId="18773"/>
    <cellStyle name="Output 2 2 7 3 3" xfId="7611"/>
    <cellStyle name="Output 2 2 7 3 3 2" xfId="10225"/>
    <cellStyle name="Output 2 2 7 3 3 2 2" xfId="16487"/>
    <cellStyle name="Output 2 2 7 3 3 2 2 2" xfId="29903"/>
    <cellStyle name="Output 2 2 7 3 3 2 3" xfId="21232"/>
    <cellStyle name="Output 2 2 7 3 3 3" xfId="14215"/>
    <cellStyle name="Output 2 2 7 3 3 3 2" xfId="28537"/>
    <cellStyle name="Output 2 2 7 3 3 4" xfId="19860"/>
    <cellStyle name="Output 2 2 7 3 4" xfId="3639"/>
    <cellStyle name="Output 2 2 7 3 4 2" xfId="22499"/>
    <cellStyle name="Output 2 2 7 3 5" xfId="4828"/>
    <cellStyle name="Output 2 2 7 4" xfId="2429"/>
    <cellStyle name="Output 2 2 7 4 2" xfId="7816"/>
    <cellStyle name="Output 2 2 7 4 2 2" xfId="10430"/>
    <cellStyle name="Output 2 2 7 4 2 2 2" xfId="16692"/>
    <cellStyle name="Output 2 2 7 4 2 2 2 2" xfId="30108"/>
    <cellStyle name="Output 2 2 7 4 2 2 3" xfId="21437"/>
    <cellStyle name="Output 2 2 7 4 2 3" xfId="14420"/>
    <cellStyle name="Output 2 2 7 4 2 3 2" xfId="28742"/>
    <cellStyle name="Output 2 2 7 4 2 4" xfId="20065"/>
    <cellStyle name="Output 2 2 7 4 3" xfId="11738"/>
    <cellStyle name="Output 2 2 7 4 3 2" xfId="26060"/>
    <cellStyle name="Output 2 2 7 4 4" xfId="5998"/>
    <cellStyle name="Output 2 2 7 5" xfId="5117"/>
    <cellStyle name="Output 2 2 7 5 2" xfId="11665"/>
    <cellStyle name="Output 2 2 7 5 2 2" xfId="25987"/>
    <cellStyle name="Output 2 2 7 5 3" xfId="14723"/>
    <cellStyle name="Output 2 2 7 6" xfId="6133"/>
    <cellStyle name="Output 2 2 7 6 2" xfId="23425"/>
    <cellStyle name="Output 2 2 7 7" xfId="4132"/>
    <cellStyle name="Output 2 2 8" xfId="2430"/>
    <cellStyle name="Output 2 2 8 2" xfId="2431"/>
    <cellStyle name="Output 2 2 8 2 2" xfId="5223"/>
    <cellStyle name="Output 2 2 8 2 2 2" xfId="11773"/>
    <cellStyle name="Output 2 2 8 2 2 2 2" xfId="26095"/>
    <cellStyle name="Output 2 2 8 2 2 3" xfId="17418"/>
    <cellStyle name="Output 2 2 8 2 3" xfId="8059"/>
    <cellStyle name="Output 2 2 8 2 3 2" xfId="10673"/>
    <cellStyle name="Output 2 2 8 2 3 2 2" xfId="16935"/>
    <cellStyle name="Output 2 2 8 2 3 2 2 2" xfId="30351"/>
    <cellStyle name="Output 2 2 8 2 3 2 3" xfId="21680"/>
    <cellStyle name="Output 2 2 8 2 3 3" xfId="14663"/>
    <cellStyle name="Output 2 2 8 2 3 3 2" xfId="28985"/>
    <cellStyle name="Output 2 2 8 2 3 4" xfId="20308"/>
    <cellStyle name="Output 2 2 8 2 4" xfId="4375"/>
    <cellStyle name="Output 2 2 8 2 4 2" xfId="22914"/>
    <cellStyle name="Output 2 2 8 2 5" xfId="5030"/>
    <cellStyle name="Output 2 2 8 3" xfId="2432"/>
    <cellStyle name="Output 2 2 8 3 2" xfId="5247"/>
    <cellStyle name="Output 2 2 8 3 2 2" xfId="9557"/>
    <cellStyle name="Output 2 2 8 3 2 2 2" xfId="15819"/>
    <cellStyle name="Output 2 2 8 3 2 2 2 2" xfId="29235"/>
    <cellStyle name="Output 2 2 8 3 2 2 3" xfId="20564"/>
    <cellStyle name="Output 2 2 8 3 2 3" xfId="11797"/>
    <cellStyle name="Output 2 2 8 3 2 3 2" xfId="26119"/>
    <cellStyle name="Output 2 2 8 3 2 4" xfId="17442"/>
    <cellStyle name="Output 2 2 8 3 3" xfId="12473"/>
    <cellStyle name="Output 2 2 8 3 3 2" xfId="26795"/>
    <cellStyle name="Output 2 2 8 3 4" xfId="18118"/>
    <cellStyle name="Output 2 2 8 4" xfId="5234"/>
    <cellStyle name="Output 2 2 8 4 2" xfId="11784"/>
    <cellStyle name="Output 2 2 8 4 2 2" xfId="26106"/>
    <cellStyle name="Output 2 2 8 4 3" xfId="17429"/>
    <cellStyle name="Output 2 2 8 5" xfId="6773"/>
    <cellStyle name="Output 2 2 8 5 2" xfId="23719"/>
    <cellStyle name="Output 2 2 8 6" xfId="15384"/>
    <cellStyle name="Output 2 2 9" xfId="2433"/>
    <cellStyle name="Output 2 2 9 2" xfId="6850"/>
    <cellStyle name="Output 2 2 9 2 2" xfId="13454"/>
    <cellStyle name="Output 2 2 9 2 2 2" xfId="27776"/>
    <cellStyle name="Output 2 2 9 2 3" xfId="19099"/>
    <cellStyle name="Output 2 2 9 3" xfId="7534"/>
    <cellStyle name="Output 2 2 9 3 2" xfId="10148"/>
    <cellStyle name="Output 2 2 9 3 2 2" xfId="16410"/>
    <cellStyle name="Output 2 2 9 3 2 2 2" xfId="29826"/>
    <cellStyle name="Output 2 2 9 3 2 3" xfId="21155"/>
    <cellStyle name="Output 2 2 9 3 3" xfId="14138"/>
    <cellStyle name="Output 2 2 9 3 3 2" xfId="28460"/>
    <cellStyle name="Output 2 2 9 3 4" xfId="19783"/>
    <cellStyle name="Output 2 2 9 4" xfId="2805"/>
    <cellStyle name="Output 2 2 9 4 2" xfId="22368"/>
    <cellStyle name="Output 2 2 9 5" xfId="17212"/>
    <cellStyle name="Output 2 3" xfId="2434"/>
    <cellStyle name="Output 2 3 2" xfId="6954"/>
    <cellStyle name="Output 2 3 2 2" xfId="13558"/>
    <cellStyle name="Output 2 3 2 2 2" xfId="27880"/>
    <cellStyle name="Output 2 3 2 3" xfId="19203"/>
    <cellStyle name="Output 2 3 3" xfId="4265"/>
    <cellStyle name="Output 2 3 3 2" xfId="9440"/>
    <cellStyle name="Output 2 3 3 2 2" xfId="15702"/>
    <cellStyle name="Output 2 3 3 2 2 2" xfId="29118"/>
    <cellStyle name="Output 2 3 3 2 3" xfId="20447"/>
    <cellStyle name="Output 2 3 3 3" xfId="6607"/>
    <cellStyle name="Output 2 3 3 3 2" xfId="23599"/>
    <cellStyle name="Output 2 3 3 4" xfId="3929"/>
    <cellStyle name="Output 2 3 4" xfId="11450"/>
    <cellStyle name="Output 2 3 4 2" xfId="25772"/>
    <cellStyle name="Output 2 3 5" xfId="14832"/>
    <cellStyle name="Output 2 4" xfId="4820"/>
    <cellStyle name="Output 2 4 2" xfId="11352"/>
    <cellStyle name="Output 2 4 2 2" xfId="25674"/>
    <cellStyle name="Output 2 4 3" xfId="15286"/>
    <cellStyle name="Output 2 5" xfId="6648"/>
    <cellStyle name="Output 2 5 2" xfId="23626"/>
    <cellStyle name="Output 2 6" xfId="14807"/>
    <cellStyle name="Output 2 7" xfId="20341"/>
    <cellStyle name="Output 2 8" xfId="21704"/>
    <cellStyle name="Saída" xfId="2435"/>
    <cellStyle name="Saída 2" xfId="2436"/>
    <cellStyle name="Saída 2 10" xfId="2437"/>
    <cellStyle name="Saída 2 10 2" xfId="3768"/>
    <cellStyle name="Saída 2 10 2 2" xfId="9371"/>
    <cellStyle name="Saída 2 10 2 2 2" xfId="15633"/>
    <cellStyle name="Saída 2 10 2 2 2 2" xfId="29049"/>
    <cellStyle name="Saída 2 10 2 2 3" xfId="20378"/>
    <cellStyle name="Saída 2 10 2 3" xfId="4613"/>
    <cellStyle name="Saída 2 10 2 3 2" xfId="23067"/>
    <cellStyle name="Saída 2 10 2 4" xfId="15048"/>
    <cellStyle name="Saída 2 10 3" xfId="12464"/>
    <cellStyle name="Saída 2 10 3 2" xfId="26786"/>
    <cellStyle name="Saída 2 10 4" xfId="18109"/>
    <cellStyle name="Saída 2 11" xfId="3833"/>
    <cellStyle name="Saída 2 11 2" xfId="4189"/>
    <cellStyle name="Saída 2 11 2 2" xfId="22811"/>
    <cellStyle name="Saída 2 11 3" xfId="15154"/>
    <cellStyle name="Saída 2 12" xfId="6716"/>
    <cellStyle name="Saída 2 12 2" xfId="23670"/>
    <cellStyle name="Saída 2 13" xfId="17127"/>
    <cellStyle name="Saída 2 2" xfId="2438"/>
    <cellStyle name="Saída 2 2 10" xfId="5411"/>
    <cellStyle name="Saída 2 2 10 2" xfId="11961"/>
    <cellStyle name="Saída 2 2 10 2 2" xfId="26283"/>
    <cellStyle name="Saída 2 2 10 3" xfId="17606"/>
    <cellStyle name="Saída 2 2 11" xfId="6489"/>
    <cellStyle name="Saída 2 2 11 2" xfId="23566"/>
    <cellStyle name="Saída 2 2 12" xfId="17103"/>
    <cellStyle name="Saída 2 2 2" xfId="2439"/>
    <cellStyle name="Saída 2 2 2 10" xfId="4639"/>
    <cellStyle name="Saída 2 2 2 10 2" xfId="23083"/>
    <cellStyle name="Saída 2 2 2 11" xfId="15222"/>
    <cellStyle name="Saída 2 2 2 2" xfId="2440"/>
    <cellStyle name="Saída 2 2 2 2 2" xfId="2441"/>
    <cellStyle name="Saída 2 2 2 2 2 2" xfId="2442"/>
    <cellStyle name="Saída 2 2 2 2 2 2 2" xfId="6939"/>
    <cellStyle name="Saída 2 2 2 2 2 2 2 2" xfId="13543"/>
    <cellStyle name="Saída 2 2 2 2 2 2 2 2 2" xfId="27865"/>
    <cellStyle name="Saída 2 2 2 2 2 2 2 3" xfId="19188"/>
    <cellStyle name="Saída 2 2 2 2 2 2 3" xfId="7637"/>
    <cellStyle name="Saída 2 2 2 2 2 2 3 2" xfId="10251"/>
    <cellStyle name="Saída 2 2 2 2 2 2 3 2 2" xfId="16513"/>
    <cellStyle name="Saída 2 2 2 2 2 2 3 2 2 2" xfId="29929"/>
    <cellStyle name="Saída 2 2 2 2 2 2 3 2 3" xfId="21258"/>
    <cellStyle name="Saída 2 2 2 2 2 2 3 3" xfId="14241"/>
    <cellStyle name="Saída 2 2 2 2 2 2 3 3 2" xfId="28563"/>
    <cellStyle name="Saída 2 2 2 2 2 2 3 4" xfId="19886"/>
    <cellStyle name="Saída 2 2 2 2 2 2 4" xfId="11432"/>
    <cellStyle name="Saída 2 2 2 2 2 2 4 2" xfId="25754"/>
    <cellStyle name="Saída 2 2 2 2 2 2 5" xfId="15425"/>
    <cellStyle name="Saída 2 2 2 2 2 3" xfId="2443"/>
    <cellStyle name="Saída 2 2 2 2 2 3 2" xfId="7768"/>
    <cellStyle name="Saída 2 2 2 2 2 3 2 2" xfId="10382"/>
    <cellStyle name="Saída 2 2 2 2 2 3 2 2 2" xfId="16644"/>
    <cellStyle name="Saída 2 2 2 2 2 3 2 2 2 2" xfId="30060"/>
    <cellStyle name="Saída 2 2 2 2 2 3 2 2 3" xfId="21389"/>
    <cellStyle name="Saída 2 2 2 2 2 3 2 3" xfId="14372"/>
    <cellStyle name="Saída 2 2 2 2 2 3 2 3 2" xfId="28694"/>
    <cellStyle name="Saída 2 2 2 2 2 3 2 4" xfId="20017"/>
    <cellStyle name="Saída 2 2 2 2 2 3 3" xfId="13323"/>
    <cellStyle name="Saída 2 2 2 2 2 3 3 2" xfId="27645"/>
    <cellStyle name="Saída 2 2 2 2 2 3 4" xfId="18968"/>
    <cellStyle name="Saída 2 2 2 2 2 4" xfId="5773"/>
    <cellStyle name="Saída 2 2 2 2 2 4 2" xfId="12326"/>
    <cellStyle name="Saída 2 2 2 2 2 4 2 2" xfId="26648"/>
    <cellStyle name="Saída 2 2 2 2 2 4 3" xfId="17971"/>
    <cellStyle name="Saída 2 2 2 2 2 5" xfId="3745"/>
    <cellStyle name="Saída 2 2 2 2 2 5 2" xfId="22559"/>
    <cellStyle name="Saída 2 2 2 2 2 6" xfId="15121"/>
    <cellStyle name="Saída 2 2 2 2 3" xfId="2444"/>
    <cellStyle name="Saída 2 2 2 2 3 2" xfId="2445"/>
    <cellStyle name="Saída 2 2 2 2 3 2 2" xfId="6070"/>
    <cellStyle name="Saída 2 2 2 2 3 2 2 2" xfId="12636"/>
    <cellStyle name="Saída 2 2 2 2 3 2 2 2 2" xfId="26958"/>
    <cellStyle name="Saída 2 2 2 2 3 2 2 3" xfId="18281"/>
    <cellStyle name="Saída 2 2 2 2 3 2 3" xfId="7793"/>
    <cellStyle name="Saída 2 2 2 2 3 2 3 2" xfId="10407"/>
    <cellStyle name="Saída 2 2 2 2 3 2 3 2 2" xfId="16669"/>
    <cellStyle name="Saída 2 2 2 2 3 2 3 2 2 2" xfId="30085"/>
    <cellStyle name="Saída 2 2 2 2 3 2 3 2 3" xfId="21414"/>
    <cellStyle name="Saída 2 2 2 2 3 2 3 3" xfId="14397"/>
    <cellStyle name="Saída 2 2 2 2 3 2 3 3 2" xfId="28719"/>
    <cellStyle name="Saída 2 2 2 2 3 2 3 4" xfId="20042"/>
    <cellStyle name="Saída 2 2 2 2 3 2 4" xfId="6706"/>
    <cellStyle name="Saída 2 2 2 2 3 2 4 2" xfId="23663"/>
    <cellStyle name="Saída 2 2 2 2 3 2 5" xfId="17169"/>
    <cellStyle name="Saída 2 2 2 2 3 3" xfId="2446"/>
    <cellStyle name="Saída 2 2 2 2 3 3 2" xfId="7858"/>
    <cellStyle name="Saída 2 2 2 2 3 3 2 2" xfId="10472"/>
    <cellStyle name="Saída 2 2 2 2 3 3 2 2 2" xfId="16734"/>
    <cellStyle name="Saída 2 2 2 2 3 3 2 2 2 2" xfId="30150"/>
    <cellStyle name="Saída 2 2 2 2 3 3 2 2 3" xfId="21479"/>
    <cellStyle name="Saída 2 2 2 2 3 3 2 3" xfId="14462"/>
    <cellStyle name="Saída 2 2 2 2 3 3 2 3 2" xfId="28784"/>
    <cellStyle name="Saída 2 2 2 2 3 3 2 4" xfId="20107"/>
    <cellStyle name="Saída 2 2 2 2 3 3 3" xfId="13045"/>
    <cellStyle name="Saída 2 2 2 2 3 3 3 2" xfId="27367"/>
    <cellStyle name="Saída 2 2 2 2 3 3 4" xfId="18690"/>
    <cellStyle name="Saída 2 2 2 2 3 4" xfId="5364"/>
    <cellStyle name="Saída 2 2 2 2 3 4 2" xfId="11914"/>
    <cellStyle name="Saída 2 2 2 2 3 4 2 2" xfId="26236"/>
    <cellStyle name="Saída 2 2 2 2 3 4 3" xfId="17559"/>
    <cellStyle name="Saída 2 2 2 2 3 5" xfId="3597"/>
    <cellStyle name="Saída 2 2 2 2 3 5 2" xfId="22480"/>
    <cellStyle name="Saída 2 2 2 2 3 6" xfId="15430"/>
    <cellStyle name="Saída 2 2 2 2 4" xfId="2447"/>
    <cellStyle name="Saída 2 2 2 2 4 2" xfId="6032"/>
    <cellStyle name="Saída 2 2 2 2 4 2 2" xfId="12593"/>
    <cellStyle name="Saída 2 2 2 2 4 2 2 2" xfId="26915"/>
    <cellStyle name="Saída 2 2 2 2 4 2 3" xfId="18238"/>
    <cellStyle name="Saída 2 2 2 2 4 3" xfId="3611"/>
    <cellStyle name="Saída 2 2 2 2 4 3 2" xfId="9344"/>
    <cellStyle name="Saída 2 2 2 2 4 3 2 2" xfId="15606"/>
    <cellStyle name="Saída 2 2 2 2 4 3 2 2 2" xfId="29022"/>
    <cellStyle name="Saída 2 2 2 2 4 3 2 3" xfId="20351"/>
    <cellStyle name="Saída 2 2 2 2 4 3 3" xfId="3873"/>
    <cellStyle name="Saída 2 2 2 2 4 3 3 2" xfId="22620"/>
    <cellStyle name="Saída 2 2 2 2 4 3 4" xfId="6692"/>
    <cellStyle name="Saída 2 2 2 2 4 4" xfId="3999"/>
    <cellStyle name="Saída 2 2 2 2 4 4 2" xfId="22694"/>
    <cellStyle name="Saída 2 2 2 2 4 5" xfId="4624"/>
    <cellStyle name="Saída 2 2 2 2 5" xfId="2448"/>
    <cellStyle name="Saída 2 2 2 2 5 2" xfId="7591"/>
    <cellStyle name="Saída 2 2 2 2 5 2 2" xfId="10205"/>
    <cellStyle name="Saída 2 2 2 2 5 2 2 2" xfId="16467"/>
    <cellStyle name="Saída 2 2 2 2 5 2 2 2 2" xfId="29883"/>
    <cellStyle name="Saída 2 2 2 2 5 2 2 3" xfId="21212"/>
    <cellStyle name="Saída 2 2 2 2 5 2 3" xfId="14195"/>
    <cellStyle name="Saída 2 2 2 2 5 2 3 2" xfId="28517"/>
    <cellStyle name="Saída 2 2 2 2 5 2 4" xfId="19840"/>
    <cellStyle name="Saída 2 2 2 2 5 3" xfId="12899"/>
    <cellStyle name="Saída 2 2 2 2 5 3 2" xfId="27221"/>
    <cellStyle name="Saída 2 2 2 2 5 4" xfId="18544"/>
    <cellStyle name="Saída 2 2 2 2 6" xfId="5517"/>
    <cellStyle name="Saída 2 2 2 2 6 2" xfId="12068"/>
    <cellStyle name="Saída 2 2 2 2 6 2 2" xfId="26390"/>
    <cellStyle name="Saída 2 2 2 2 6 3" xfId="17713"/>
    <cellStyle name="Saída 2 2 2 2 7" xfId="4409"/>
    <cellStyle name="Saída 2 2 2 2 7 2" xfId="22933"/>
    <cellStyle name="Saída 2 2 2 2 8" xfId="4198"/>
    <cellStyle name="Saída 2 2 2 3" xfId="2449"/>
    <cellStyle name="Saída 2 2 2 3 2" xfId="2450"/>
    <cellStyle name="Saída 2 2 2 3 2 2" xfId="2451"/>
    <cellStyle name="Saída 2 2 2 3 2 2 2" xfId="6031"/>
    <cellStyle name="Saída 2 2 2 3 2 2 2 2" xfId="12592"/>
    <cellStyle name="Saída 2 2 2 3 2 2 2 2 2" xfId="26914"/>
    <cellStyle name="Saída 2 2 2 3 2 2 2 3" xfId="18237"/>
    <cellStyle name="Saída 2 2 2 3 2 2 3" xfId="7650"/>
    <cellStyle name="Saída 2 2 2 3 2 2 3 2" xfId="10264"/>
    <cellStyle name="Saída 2 2 2 3 2 2 3 2 2" xfId="16526"/>
    <cellStyle name="Saída 2 2 2 3 2 2 3 2 2 2" xfId="29942"/>
    <cellStyle name="Saída 2 2 2 3 2 2 3 2 3" xfId="21271"/>
    <cellStyle name="Saída 2 2 2 3 2 2 3 3" xfId="14254"/>
    <cellStyle name="Saída 2 2 2 3 2 2 3 3 2" xfId="28576"/>
    <cellStyle name="Saída 2 2 2 3 2 2 3 4" xfId="19899"/>
    <cellStyle name="Saída 2 2 2 3 2 2 4" xfId="4574"/>
    <cellStyle name="Saída 2 2 2 3 2 2 4 2" xfId="23041"/>
    <cellStyle name="Saída 2 2 2 3 2 2 5" xfId="4781"/>
    <cellStyle name="Saída 2 2 2 3 2 3" xfId="2452"/>
    <cellStyle name="Saída 2 2 2 3 2 3 2" xfId="7971"/>
    <cellStyle name="Saída 2 2 2 3 2 3 2 2" xfId="10585"/>
    <cellStyle name="Saída 2 2 2 3 2 3 2 2 2" xfId="16847"/>
    <cellStyle name="Saída 2 2 2 3 2 3 2 2 2 2" xfId="30263"/>
    <cellStyle name="Saída 2 2 2 3 2 3 2 2 3" xfId="21592"/>
    <cellStyle name="Saída 2 2 2 3 2 3 2 3" xfId="14575"/>
    <cellStyle name="Saída 2 2 2 3 2 3 2 3 2" xfId="28897"/>
    <cellStyle name="Saída 2 2 2 3 2 3 2 4" xfId="20220"/>
    <cellStyle name="Saída 2 2 2 3 2 3 3" xfId="13359"/>
    <cellStyle name="Saída 2 2 2 3 2 3 3 2" xfId="27681"/>
    <cellStyle name="Saída 2 2 2 3 2 3 4" xfId="19004"/>
    <cellStyle name="Saída 2 2 2 3 2 4" xfId="5809"/>
    <cellStyle name="Saída 2 2 2 3 2 4 2" xfId="12362"/>
    <cellStyle name="Saída 2 2 2 3 2 4 2 2" xfId="26684"/>
    <cellStyle name="Saída 2 2 2 3 2 4 3" xfId="18007"/>
    <cellStyle name="Saída 2 2 2 3 2 5" xfId="6612"/>
    <cellStyle name="Saída 2 2 2 3 2 5 2" xfId="23604"/>
    <cellStyle name="Saída 2 2 2 3 2 6" xfId="4294"/>
    <cellStyle name="Saída 2 2 2 3 3" xfId="2453"/>
    <cellStyle name="Saída 2 2 2 3 3 2" xfId="2454"/>
    <cellStyle name="Saída 2 2 2 3 3 2 2" xfId="6885"/>
    <cellStyle name="Saída 2 2 2 3 3 2 2 2" xfId="13489"/>
    <cellStyle name="Saída 2 2 2 3 3 2 2 2 2" xfId="27811"/>
    <cellStyle name="Saída 2 2 2 3 3 2 2 3" xfId="19134"/>
    <cellStyle name="Saída 2 2 2 3 3 2 3" xfId="7785"/>
    <cellStyle name="Saída 2 2 2 3 3 2 3 2" xfId="10399"/>
    <cellStyle name="Saída 2 2 2 3 3 2 3 2 2" xfId="16661"/>
    <cellStyle name="Saída 2 2 2 3 3 2 3 2 2 2" xfId="30077"/>
    <cellStyle name="Saída 2 2 2 3 3 2 3 2 3" xfId="21406"/>
    <cellStyle name="Saída 2 2 2 3 3 2 3 3" xfId="14389"/>
    <cellStyle name="Saída 2 2 2 3 3 2 3 3 2" xfId="28711"/>
    <cellStyle name="Saída 2 2 2 3 3 2 3 4" xfId="20034"/>
    <cellStyle name="Saída 2 2 2 3 3 2 4" xfId="11359"/>
    <cellStyle name="Saída 2 2 2 3 3 2 4 2" xfId="25681"/>
    <cellStyle name="Saída 2 2 2 3 3 2 5" xfId="5910"/>
    <cellStyle name="Saída 2 2 2 3 3 3" xfId="2455"/>
    <cellStyle name="Saída 2 2 2 3 3 3 2" xfId="7794"/>
    <cellStyle name="Saída 2 2 2 3 3 3 2 2" xfId="10408"/>
    <cellStyle name="Saída 2 2 2 3 3 3 2 2 2" xfId="16670"/>
    <cellStyle name="Saída 2 2 2 3 3 3 2 2 2 2" xfId="30086"/>
    <cellStyle name="Saída 2 2 2 3 3 3 2 2 3" xfId="21415"/>
    <cellStyle name="Saída 2 2 2 3 3 3 2 3" xfId="14398"/>
    <cellStyle name="Saída 2 2 2 3 3 3 2 3 2" xfId="28720"/>
    <cellStyle name="Saída 2 2 2 3 3 3 2 4" xfId="20043"/>
    <cellStyle name="Saída 2 2 2 3 3 3 3" xfId="12859"/>
    <cellStyle name="Saída 2 2 2 3 3 3 3 2" xfId="27181"/>
    <cellStyle name="Saída 2 2 2 3 3 3 4" xfId="18504"/>
    <cellStyle name="Saída 2 2 2 3 3 4" xfId="5210"/>
    <cellStyle name="Saída 2 2 2 3 3 4 2" xfId="11759"/>
    <cellStyle name="Saída 2 2 2 3 3 4 2 2" xfId="26081"/>
    <cellStyle name="Saída 2 2 2 3 3 4 3" xfId="17404"/>
    <cellStyle name="Saída 2 2 2 3 3 5" xfId="4156"/>
    <cellStyle name="Saída 2 2 2 3 3 5 2" xfId="22787"/>
    <cellStyle name="Saída 2 2 2 3 3 6" xfId="14721"/>
    <cellStyle name="Saída 2 2 2 3 4" xfId="2456"/>
    <cellStyle name="Saída 2 2 2 3 4 2" xfId="4244"/>
    <cellStyle name="Saída 2 2 2 3 4 2 2" xfId="6183"/>
    <cellStyle name="Saída 2 2 2 3 4 2 2 2" xfId="23448"/>
    <cellStyle name="Saída 2 2 2 3 4 2 3" xfId="15419"/>
    <cellStyle name="Saída 2 2 2 3 4 3" xfId="7241"/>
    <cellStyle name="Saída 2 2 2 3 4 3 2" xfId="9855"/>
    <cellStyle name="Saída 2 2 2 3 4 3 2 2" xfId="16117"/>
    <cellStyle name="Saída 2 2 2 3 4 3 2 2 2" xfId="29533"/>
    <cellStyle name="Saída 2 2 2 3 4 3 2 3" xfId="20862"/>
    <cellStyle name="Saída 2 2 2 3 4 3 3" xfId="13845"/>
    <cellStyle name="Saída 2 2 2 3 4 3 3 2" xfId="28167"/>
    <cellStyle name="Saída 2 2 2 3 4 3 4" xfId="19490"/>
    <cellStyle name="Saída 2 2 2 3 4 4" xfId="6019"/>
    <cellStyle name="Saída 2 2 2 3 4 4 2" xfId="23395"/>
    <cellStyle name="Saída 2 2 2 3 4 5" xfId="15083"/>
    <cellStyle name="Saída 2 2 2 3 5" xfId="2457"/>
    <cellStyle name="Saída 2 2 2 3 5 2" xfId="4005"/>
    <cellStyle name="Saída 2 2 2 3 5 2 2" xfId="9409"/>
    <cellStyle name="Saída 2 2 2 3 5 2 2 2" xfId="15671"/>
    <cellStyle name="Saída 2 2 2 3 5 2 2 2 2" xfId="29087"/>
    <cellStyle name="Saída 2 2 2 3 5 2 2 3" xfId="20416"/>
    <cellStyle name="Saída 2 2 2 3 5 2 3" xfId="6495"/>
    <cellStyle name="Saída 2 2 2 3 5 2 3 2" xfId="23570"/>
    <cellStyle name="Saída 2 2 2 3 5 2 4" xfId="15284"/>
    <cellStyle name="Saída 2 2 2 3 5 3" xfId="12935"/>
    <cellStyle name="Saída 2 2 2 3 5 3 2" xfId="27257"/>
    <cellStyle name="Saída 2 2 2 3 5 4" xfId="18580"/>
    <cellStyle name="Saída 2 2 2 3 6" xfId="5559"/>
    <cellStyle name="Saída 2 2 2 3 6 2" xfId="12110"/>
    <cellStyle name="Saída 2 2 2 3 6 2 2" xfId="26432"/>
    <cellStyle name="Saída 2 2 2 3 6 3" xfId="17755"/>
    <cellStyle name="Saída 2 2 2 3 7" xfId="3689"/>
    <cellStyle name="Saída 2 2 2 3 7 2" xfId="22531"/>
    <cellStyle name="Saída 2 2 2 3 8" xfId="14765"/>
    <cellStyle name="Saída 2 2 2 4" xfId="2458"/>
    <cellStyle name="Saída 2 2 2 4 2" xfId="2459"/>
    <cellStyle name="Saída 2 2 2 4 2 2" xfId="2460"/>
    <cellStyle name="Saída 2 2 2 4 2 2 2" xfId="3618"/>
    <cellStyle name="Saída 2 2 2 4 2 2 2 2" xfId="3808"/>
    <cellStyle name="Saída 2 2 2 4 2 2 2 2 2" xfId="22594"/>
    <cellStyle name="Saída 2 2 2 4 2 2 2 3" xfId="14893"/>
    <cellStyle name="Saída 2 2 2 4 2 2 3" xfId="7106"/>
    <cellStyle name="Saída 2 2 2 4 2 2 3 2" xfId="9720"/>
    <cellStyle name="Saída 2 2 2 4 2 2 3 2 2" xfId="15982"/>
    <cellStyle name="Saída 2 2 2 4 2 2 3 2 2 2" xfId="29398"/>
    <cellStyle name="Saída 2 2 2 4 2 2 3 2 3" xfId="20727"/>
    <cellStyle name="Saída 2 2 2 4 2 2 3 3" xfId="13710"/>
    <cellStyle name="Saída 2 2 2 4 2 2 3 3 2" xfId="28032"/>
    <cellStyle name="Saída 2 2 2 4 2 2 3 4" xfId="19355"/>
    <cellStyle name="Saída 2 2 2 4 2 2 4" xfId="4824"/>
    <cellStyle name="Saída 2 2 2 4 2 2 4 2" xfId="23205"/>
    <cellStyle name="Saída 2 2 2 4 2 2 5" xfId="15413"/>
    <cellStyle name="Saída 2 2 2 4 2 3" xfId="2461"/>
    <cellStyle name="Saída 2 2 2 4 2 3 2" xfId="7676"/>
    <cellStyle name="Saída 2 2 2 4 2 3 2 2" xfId="10290"/>
    <cellStyle name="Saída 2 2 2 4 2 3 2 2 2" xfId="16552"/>
    <cellStyle name="Saída 2 2 2 4 2 3 2 2 2 2" xfId="29968"/>
    <cellStyle name="Saída 2 2 2 4 2 3 2 2 3" xfId="21297"/>
    <cellStyle name="Saída 2 2 2 4 2 3 2 3" xfId="14280"/>
    <cellStyle name="Saída 2 2 2 4 2 3 2 3 2" xfId="28602"/>
    <cellStyle name="Saída 2 2 2 4 2 3 2 4" xfId="19925"/>
    <cellStyle name="Saída 2 2 2 4 2 3 3" xfId="13284"/>
    <cellStyle name="Saída 2 2 2 4 2 3 3 2" xfId="27606"/>
    <cellStyle name="Saída 2 2 2 4 2 3 4" xfId="18929"/>
    <cellStyle name="Saída 2 2 2 4 2 4" xfId="5734"/>
    <cellStyle name="Saída 2 2 2 4 2 4 2" xfId="12287"/>
    <cellStyle name="Saída 2 2 2 4 2 4 2 2" xfId="26609"/>
    <cellStyle name="Saída 2 2 2 4 2 4 3" xfId="17932"/>
    <cellStyle name="Saída 2 2 2 4 2 5" xfId="4649"/>
    <cellStyle name="Saída 2 2 2 4 2 5 2" xfId="23092"/>
    <cellStyle name="Saída 2 2 2 4 2 6" xfId="15171"/>
    <cellStyle name="Saída 2 2 2 4 3" xfId="2462"/>
    <cellStyle name="Saída 2 2 2 4 3 2" xfId="2463"/>
    <cellStyle name="Saída 2 2 2 4 3 2 2" xfId="6433"/>
    <cellStyle name="Saída 2 2 2 4 3 2 2 2" xfId="13016"/>
    <cellStyle name="Saída 2 2 2 4 3 2 2 2 2" xfId="27338"/>
    <cellStyle name="Saída 2 2 2 4 3 2 2 3" xfId="18661"/>
    <cellStyle name="Saída 2 2 2 4 3 2 3" xfId="7505"/>
    <cellStyle name="Saída 2 2 2 4 3 2 3 2" xfId="10119"/>
    <cellStyle name="Saída 2 2 2 4 3 2 3 2 2" xfId="16381"/>
    <cellStyle name="Saída 2 2 2 4 3 2 3 2 2 2" xfId="29797"/>
    <cellStyle name="Saída 2 2 2 4 3 2 3 2 3" xfId="21126"/>
    <cellStyle name="Saída 2 2 2 4 3 2 3 3" xfId="14109"/>
    <cellStyle name="Saída 2 2 2 4 3 2 3 3 2" xfId="28431"/>
    <cellStyle name="Saída 2 2 2 4 3 2 3 4" xfId="19754"/>
    <cellStyle name="Saída 2 2 2 4 3 2 4" xfId="6360"/>
    <cellStyle name="Saída 2 2 2 4 3 2 4 2" xfId="23544"/>
    <cellStyle name="Saída 2 2 2 4 3 2 5" xfId="14945"/>
    <cellStyle name="Saída 2 2 2 4 3 3" xfId="2464"/>
    <cellStyle name="Saída 2 2 2 4 3 3 2" xfId="7205"/>
    <cellStyle name="Saída 2 2 2 4 3 3 2 2" xfId="9819"/>
    <cellStyle name="Saída 2 2 2 4 3 3 2 2 2" xfId="16081"/>
    <cellStyle name="Saída 2 2 2 4 3 3 2 2 2 2" xfId="29497"/>
    <cellStyle name="Saída 2 2 2 4 3 3 2 2 3" xfId="20826"/>
    <cellStyle name="Saída 2 2 2 4 3 3 2 3" xfId="13809"/>
    <cellStyle name="Saída 2 2 2 4 3 3 2 3 2" xfId="28131"/>
    <cellStyle name="Saída 2 2 2 4 3 3 2 4" xfId="19454"/>
    <cellStyle name="Saída 2 2 2 4 3 3 3" xfId="13191"/>
    <cellStyle name="Saída 2 2 2 4 3 3 3 2" xfId="27513"/>
    <cellStyle name="Saída 2 2 2 4 3 3 4" xfId="18836"/>
    <cellStyle name="Saída 2 2 2 4 3 4" xfId="5628"/>
    <cellStyle name="Saída 2 2 2 4 3 4 2" xfId="12181"/>
    <cellStyle name="Saída 2 2 2 4 3 4 2 2" xfId="26503"/>
    <cellStyle name="Saída 2 2 2 4 3 4 3" xfId="17826"/>
    <cellStyle name="Saída 2 2 2 4 3 5" xfId="4287"/>
    <cellStyle name="Saída 2 2 2 4 3 5 2" xfId="22871"/>
    <cellStyle name="Saída 2 2 2 4 3 6" xfId="15565"/>
    <cellStyle name="Saída 2 2 2 4 4" xfId="2465"/>
    <cellStyle name="Saída 2 2 2 4 4 2" xfId="6223"/>
    <cellStyle name="Saída 2 2 2 4 4 2 2" xfId="12798"/>
    <cellStyle name="Saída 2 2 2 4 4 2 2 2" xfId="27120"/>
    <cellStyle name="Saída 2 2 2 4 4 2 3" xfId="18443"/>
    <cellStyle name="Saída 2 2 2 4 4 3" xfId="7325"/>
    <cellStyle name="Saída 2 2 2 4 4 3 2" xfId="9939"/>
    <cellStyle name="Saída 2 2 2 4 4 3 2 2" xfId="16201"/>
    <cellStyle name="Saída 2 2 2 4 4 3 2 2 2" xfId="29617"/>
    <cellStyle name="Saída 2 2 2 4 4 3 2 3" xfId="20946"/>
    <cellStyle name="Saída 2 2 2 4 4 3 3" xfId="13929"/>
    <cellStyle name="Saída 2 2 2 4 4 3 3 2" xfId="28251"/>
    <cellStyle name="Saída 2 2 2 4 4 3 4" xfId="19574"/>
    <cellStyle name="Saída 2 2 2 4 4 4" xfId="3659"/>
    <cellStyle name="Saída 2 2 2 4 4 4 2" xfId="22510"/>
    <cellStyle name="Saída 2 2 2 4 4 5" xfId="5956"/>
    <cellStyle name="Saída 2 2 2 4 5" xfId="2466"/>
    <cellStyle name="Saída 2 2 2 4 5 2" xfId="5327"/>
    <cellStyle name="Saída 2 2 2 4 5 2 2" xfId="9636"/>
    <cellStyle name="Saída 2 2 2 4 5 2 2 2" xfId="15898"/>
    <cellStyle name="Saída 2 2 2 4 5 2 2 2 2" xfId="29314"/>
    <cellStyle name="Saída 2 2 2 4 5 2 2 3" xfId="20643"/>
    <cellStyle name="Saída 2 2 2 4 5 2 3" xfId="11877"/>
    <cellStyle name="Saída 2 2 2 4 5 2 3 2" xfId="26199"/>
    <cellStyle name="Saída 2 2 2 4 5 2 4" xfId="17522"/>
    <cellStyle name="Saída 2 2 2 4 5 3" xfId="12852"/>
    <cellStyle name="Saída 2 2 2 4 5 3 2" xfId="27174"/>
    <cellStyle name="Saída 2 2 2 4 5 4" xfId="18497"/>
    <cellStyle name="Saída 2 2 2 4 6" xfId="5453"/>
    <cellStyle name="Saída 2 2 2 4 6 2" xfId="12004"/>
    <cellStyle name="Saída 2 2 2 4 6 2 2" xfId="26326"/>
    <cellStyle name="Saída 2 2 2 4 6 3" xfId="17649"/>
    <cellStyle name="Saída 2 2 2 4 7" xfId="4511"/>
    <cellStyle name="Saída 2 2 2 4 7 2" xfId="22998"/>
    <cellStyle name="Saída 2 2 2 4 8" xfId="17373"/>
    <cellStyle name="Saída 2 2 2 5" xfId="2467"/>
    <cellStyle name="Saída 2 2 2 5 2" xfId="2468"/>
    <cellStyle name="Saída 2 2 2 5 2 2" xfId="2469"/>
    <cellStyle name="Saída 2 2 2 5 2 2 2" xfId="6944"/>
    <cellStyle name="Saída 2 2 2 5 2 2 2 2" xfId="13548"/>
    <cellStyle name="Saída 2 2 2 5 2 2 2 2 2" xfId="27870"/>
    <cellStyle name="Saída 2 2 2 5 2 2 2 3" xfId="19193"/>
    <cellStyle name="Saída 2 2 2 5 2 2 3" xfId="7308"/>
    <cellStyle name="Saída 2 2 2 5 2 2 3 2" xfId="9922"/>
    <cellStyle name="Saída 2 2 2 5 2 2 3 2 2" xfId="16184"/>
    <cellStyle name="Saída 2 2 2 5 2 2 3 2 2 2" xfId="29600"/>
    <cellStyle name="Saída 2 2 2 5 2 2 3 2 3" xfId="20929"/>
    <cellStyle name="Saída 2 2 2 5 2 2 3 3" xfId="13912"/>
    <cellStyle name="Saída 2 2 2 5 2 2 3 3 2" xfId="28234"/>
    <cellStyle name="Saída 2 2 2 5 2 2 3 4" xfId="19557"/>
    <cellStyle name="Saída 2 2 2 5 2 2 4" xfId="11437"/>
    <cellStyle name="Saída 2 2 2 5 2 2 4 2" xfId="25759"/>
    <cellStyle name="Saída 2 2 2 5 2 2 5" xfId="17227"/>
    <cellStyle name="Saída 2 2 2 5 2 3" xfId="2470"/>
    <cellStyle name="Saída 2 2 2 5 2 3 2" xfId="7848"/>
    <cellStyle name="Saída 2 2 2 5 2 3 2 2" xfId="10462"/>
    <cellStyle name="Saída 2 2 2 5 2 3 2 2 2" xfId="16724"/>
    <cellStyle name="Saída 2 2 2 5 2 3 2 2 2 2" xfId="30140"/>
    <cellStyle name="Saída 2 2 2 5 2 3 2 2 3" xfId="21469"/>
    <cellStyle name="Saída 2 2 2 5 2 3 2 3" xfId="14452"/>
    <cellStyle name="Saída 2 2 2 5 2 3 2 3 2" xfId="28774"/>
    <cellStyle name="Saída 2 2 2 5 2 3 2 4" xfId="20097"/>
    <cellStyle name="Saída 2 2 2 5 2 3 3" xfId="13397"/>
    <cellStyle name="Saída 2 2 2 5 2 3 3 2" xfId="27719"/>
    <cellStyle name="Saída 2 2 2 5 2 3 4" xfId="19042"/>
    <cellStyle name="Saída 2 2 2 5 2 4" xfId="5861"/>
    <cellStyle name="Saída 2 2 2 5 2 4 2" xfId="12414"/>
    <cellStyle name="Saída 2 2 2 5 2 4 2 2" xfId="26736"/>
    <cellStyle name="Saída 2 2 2 5 2 4 3" xfId="18059"/>
    <cellStyle name="Saída 2 2 2 5 2 5" xfId="6650"/>
    <cellStyle name="Saída 2 2 2 5 2 5 2" xfId="23628"/>
    <cellStyle name="Saída 2 2 2 5 2 6" xfId="17037"/>
    <cellStyle name="Saída 2 2 2 5 3" xfId="2471"/>
    <cellStyle name="Saída 2 2 2 5 3 2" xfId="5926"/>
    <cellStyle name="Saída 2 2 2 5 3 2 2" xfId="12481"/>
    <cellStyle name="Saída 2 2 2 5 3 2 2 2" xfId="26803"/>
    <cellStyle name="Saída 2 2 2 5 3 2 3" xfId="18126"/>
    <cellStyle name="Saída 2 2 2 5 3 3" xfId="7179"/>
    <cellStyle name="Saída 2 2 2 5 3 3 2" xfId="9793"/>
    <cellStyle name="Saída 2 2 2 5 3 3 2 2" xfId="16055"/>
    <cellStyle name="Saída 2 2 2 5 3 3 2 2 2" xfId="29471"/>
    <cellStyle name="Saída 2 2 2 5 3 3 2 3" xfId="20800"/>
    <cellStyle name="Saída 2 2 2 5 3 3 3" xfId="13783"/>
    <cellStyle name="Saída 2 2 2 5 3 3 3 2" xfId="28105"/>
    <cellStyle name="Saída 2 2 2 5 3 3 4" xfId="19428"/>
    <cellStyle name="Saída 2 2 2 5 3 4" xfId="6478"/>
    <cellStyle name="Saída 2 2 2 5 3 4 2" xfId="23561"/>
    <cellStyle name="Saída 2 2 2 5 3 5" xfId="15567"/>
    <cellStyle name="Saída 2 2 2 5 4" xfId="2472"/>
    <cellStyle name="Saída 2 2 2 5 4 2" xfId="7836"/>
    <cellStyle name="Saída 2 2 2 5 4 2 2" xfId="10450"/>
    <cellStyle name="Saída 2 2 2 5 4 2 2 2" xfId="16712"/>
    <cellStyle name="Saída 2 2 2 5 4 2 2 2 2" xfId="30128"/>
    <cellStyle name="Saída 2 2 2 5 4 2 2 3" xfId="21457"/>
    <cellStyle name="Saída 2 2 2 5 4 2 3" xfId="14440"/>
    <cellStyle name="Saída 2 2 2 5 4 2 3 2" xfId="28762"/>
    <cellStyle name="Saída 2 2 2 5 4 2 4" xfId="20085"/>
    <cellStyle name="Saída 2 2 2 5 4 3" xfId="12948"/>
    <cellStyle name="Saída 2 2 2 5 4 3 2" xfId="27270"/>
    <cellStyle name="Saída 2 2 2 5 4 4" xfId="18593"/>
    <cellStyle name="Saída 2 2 2 5 5" xfId="5613"/>
    <cellStyle name="Saída 2 2 2 5 5 2" xfId="12166"/>
    <cellStyle name="Saída 2 2 2 5 5 2 2" xfId="26488"/>
    <cellStyle name="Saída 2 2 2 5 5 3" xfId="17811"/>
    <cellStyle name="Saída 2 2 2 5 6" xfId="6700"/>
    <cellStyle name="Saída 2 2 2 5 6 2" xfId="23659"/>
    <cellStyle name="Saída 2 2 2 5 7" xfId="3863"/>
    <cellStyle name="Saída 2 2 2 6" xfId="2473"/>
    <cellStyle name="Saída 2 2 2 6 2" xfId="2474"/>
    <cellStyle name="Saída 2 2 2 6 2 2" xfId="6412"/>
    <cellStyle name="Saída 2 2 2 6 2 2 2" xfId="12995"/>
    <cellStyle name="Saída 2 2 2 6 2 2 2 2" xfId="27317"/>
    <cellStyle name="Saída 2 2 2 6 2 2 3" xfId="18640"/>
    <cellStyle name="Saída 2 2 2 6 2 3" xfId="7344"/>
    <cellStyle name="Saída 2 2 2 6 2 3 2" xfId="9958"/>
    <cellStyle name="Saída 2 2 2 6 2 3 2 2" xfId="16220"/>
    <cellStyle name="Saída 2 2 2 6 2 3 2 2 2" xfId="29636"/>
    <cellStyle name="Saída 2 2 2 6 2 3 2 3" xfId="20965"/>
    <cellStyle name="Saída 2 2 2 6 2 3 3" xfId="13948"/>
    <cellStyle name="Saída 2 2 2 6 2 3 3 2" xfId="28270"/>
    <cellStyle name="Saída 2 2 2 6 2 3 4" xfId="19593"/>
    <cellStyle name="Saída 2 2 2 6 2 4" xfId="4469"/>
    <cellStyle name="Saída 2 2 2 6 2 4 2" xfId="22968"/>
    <cellStyle name="Saída 2 2 2 6 2 5" xfId="15500"/>
    <cellStyle name="Saída 2 2 2 6 3" xfId="2475"/>
    <cellStyle name="Saída 2 2 2 6 3 2" xfId="7109"/>
    <cellStyle name="Saída 2 2 2 6 3 2 2" xfId="9723"/>
    <cellStyle name="Saída 2 2 2 6 3 2 2 2" xfId="15985"/>
    <cellStyle name="Saída 2 2 2 6 3 2 2 2 2" xfId="29401"/>
    <cellStyle name="Saída 2 2 2 6 3 2 2 3" xfId="20730"/>
    <cellStyle name="Saída 2 2 2 6 3 2 3" xfId="13713"/>
    <cellStyle name="Saída 2 2 2 6 3 2 3 2" xfId="28035"/>
    <cellStyle name="Saída 2 2 2 6 3 2 4" xfId="19358"/>
    <cellStyle name="Saída 2 2 2 6 3 3" xfId="13407"/>
    <cellStyle name="Saída 2 2 2 6 3 3 2" xfId="27729"/>
    <cellStyle name="Saída 2 2 2 6 3 4" xfId="19052"/>
    <cellStyle name="Saída 2 2 2 6 4" xfId="5875"/>
    <cellStyle name="Saída 2 2 2 6 4 2" xfId="12428"/>
    <cellStyle name="Saída 2 2 2 6 4 2 2" xfId="26750"/>
    <cellStyle name="Saída 2 2 2 6 4 3" xfId="18073"/>
    <cellStyle name="Saída 2 2 2 6 5" xfId="3192"/>
    <cellStyle name="Saída 2 2 2 6 5 2" xfId="22435"/>
    <cellStyle name="Saída 2 2 2 6 6" xfId="17357"/>
    <cellStyle name="Saída 2 2 2 7" xfId="2476"/>
    <cellStyle name="Saída 2 2 2 7 2" xfId="6016"/>
    <cellStyle name="Saída 2 2 2 7 2 2" xfId="12576"/>
    <cellStyle name="Saída 2 2 2 7 2 2 2" xfId="26898"/>
    <cellStyle name="Saída 2 2 2 7 2 3" xfId="18221"/>
    <cellStyle name="Saída 2 2 2 7 3" xfId="5244"/>
    <cellStyle name="Saída 2 2 2 7 3 2" xfId="9554"/>
    <cellStyle name="Saída 2 2 2 7 3 2 2" xfId="15816"/>
    <cellStyle name="Saída 2 2 2 7 3 2 2 2" xfId="29232"/>
    <cellStyle name="Saída 2 2 2 7 3 2 3" xfId="20561"/>
    <cellStyle name="Saída 2 2 2 7 3 3" xfId="11794"/>
    <cellStyle name="Saída 2 2 2 7 3 3 2" xfId="26116"/>
    <cellStyle name="Saída 2 2 2 7 3 4" xfId="17439"/>
    <cellStyle name="Saída 2 2 2 7 4" xfId="2802"/>
    <cellStyle name="Saída 2 2 2 7 4 2" xfId="22367"/>
    <cellStyle name="Saída 2 2 2 7 5" xfId="14745"/>
    <cellStyle name="Saída 2 2 2 8" xfId="2477"/>
    <cellStyle name="Saída 2 2 2 8 2" xfId="3678"/>
    <cellStyle name="Saída 2 2 2 8 2 2" xfId="9359"/>
    <cellStyle name="Saída 2 2 2 8 2 2 2" xfId="15621"/>
    <cellStyle name="Saída 2 2 2 8 2 2 2 2" xfId="29037"/>
    <cellStyle name="Saída 2 2 2 8 2 2 3" xfId="20366"/>
    <cellStyle name="Saída 2 2 2 8 2 3" xfId="4677"/>
    <cellStyle name="Saída 2 2 2 8 2 3 2" xfId="23116"/>
    <cellStyle name="Saída 2 2 2 8 2 4" xfId="14862"/>
    <cellStyle name="Saída 2 2 2 8 3" xfId="12763"/>
    <cellStyle name="Saída 2 2 2 8 3 2" xfId="27085"/>
    <cellStyle name="Saída 2 2 2 8 4" xfId="18408"/>
    <cellStyle name="Saída 2 2 2 9" xfId="5474"/>
    <cellStyle name="Saída 2 2 2 9 2" xfId="12025"/>
    <cellStyle name="Saída 2 2 2 9 2 2" xfId="26347"/>
    <cellStyle name="Saída 2 2 2 9 3" xfId="17670"/>
    <cellStyle name="Saída 2 2 3" xfId="2478"/>
    <cellStyle name="Saída 2 2 3 2" xfId="2479"/>
    <cellStyle name="Saída 2 2 3 2 2" xfId="2480"/>
    <cellStyle name="Saída 2 2 3 2 2 2" xfId="6427"/>
    <cellStyle name="Saída 2 2 3 2 2 2 2" xfId="13010"/>
    <cellStyle name="Saída 2 2 3 2 2 2 2 2" xfId="27332"/>
    <cellStyle name="Saída 2 2 3 2 2 2 3" xfId="18655"/>
    <cellStyle name="Saída 2 2 3 2 2 3" xfId="7584"/>
    <cellStyle name="Saída 2 2 3 2 2 3 2" xfId="10198"/>
    <cellStyle name="Saída 2 2 3 2 2 3 2 2" xfId="16460"/>
    <cellStyle name="Saída 2 2 3 2 2 3 2 2 2" xfId="29876"/>
    <cellStyle name="Saída 2 2 3 2 2 3 2 3" xfId="21205"/>
    <cellStyle name="Saída 2 2 3 2 2 3 3" xfId="14188"/>
    <cellStyle name="Saída 2 2 3 2 2 3 3 2" xfId="28510"/>
    <cellStyle name="Saída 2 2 3 2 2 3 4" xfId="19833"/>
    <cellStyle name="Saída 2 2 3 2 2 4" xfId="4414"/>
    <cellStyle name="Saída 2 2 3 2 2 4 2" xfId="22937"/>
    <cellStyle name="Saída 2 2 3 2 2 5" xfId="16968"/>
    <cellStyle name="Saída 2 2 3 2 3" xfId="2481"/>
    <cellStyle name="Saída 2 2 3 2 3 2" xfId="3816"/>
    <cellStyle name="Saída 2 2 3 2 3 2 2" xfId="9381"/>
    <cellStyle name="Saída 2 2 3 2 3 2 2 2" xfId="15643"/>
    <cellStyle name="Saída 2 2 3 2 3 2 2 2 2" xfId="29059"/>
    <cellStyle name="Saída 2 2 3 2 3 2 2 3" xfId="20388"/>
    <cellStyle name="Saída 2 2 3 2 3 2 3" xfId="4599"/>
    <cellStyle name="Saída 2 2 3 2 3 2 3 2" xfId="23060"/>
    <cellStyle name="Saída 2 2 3 2 3 2 4" xfId="6635"/>
    <cellStyle name="Saída 2 2 3 2 3 3" xfId="13309"/>
    <cellStyle name="Saída 2 2 3 2 3 3 2" xfId="27631"/>
    <cellStyle name="Saída 2 2 3 2 3 4" xfId="18954"/>
    <cellStyle name="Saída 2 2 3 2 4" xfId="5759"/>
    <cellStyle name="Saída 2 2 3 2 4 2" xfId="12312"/>
    <cellStyle name="Saída 2 2 3 2 4 2 2" xfId="26634"/>
    <cellStyle name="Saída 2 2 3 2 4 3" xfId="17957"/>
    <cellStyle name="Saída 2 2 3 2 5" xfId="5966"/>
    <cellStyle name="Saída 2 2 3 2 5 2" xfId="23384"/>
    <cellStyle name="Saída 2 2 3 2 6" xfId="4961"/>
    <cellStyle name="Saída 2 2 3 3" xfId="2482"/>
    <cellStyle name="Saída 2 2 3 3 2" xfId="2483"/>
    <cellStyle name="Saída 2 2 3 3 2 2" xfId="6911"/>
    <cellStyle name="Saída 2 2 3 3 2 2 2" xfId="13515"/>
    <cellStyle name="Saída 2 2 3 3 2 2 2 2" xfId="27837"/>
    <cellStyle name="Saída 2 2 3 3 2 2 3" xfId="19160"/>
    <cellStyle name="Saída 2 2 3 3 2 3" xfId="7251"/>
    <cellStyle name="Saída 2 2 3 3 2 3 2" xfId="9865"/>
    <cellStyle name="Saída 2 2 3 3 2 3 2 2" xfId="16127"/>
    <cellStyle name="Saída 2 2 3 3 2 3 2 2 2" xfId="29543"/>
    <cellStyle name="Saída 2 2 3 3 2 3 2 3" xfId="20872"/>
    <cellStyle name="Saída 2 2 3 3 2 3 3" xfId="13855"/>
    <cellStyle name="Saída 2 2 3 3 2 3 3 2" xfId="28177"/>
    <cellStyle name="Saída 2 2 3 3 2 3 4" xfId="19500"/>
    <cellStyle name="Saída 2 2 3 3 2 4" xfId="11397"/>
    <cellStyle name="Saída 2 2 3 3 2 4 2" xfId="25719"/>
    <cellStyle name="Saída 2 2 3 3 2 5" xfId="15261"/>
    <cellStyle name="Saída 2 2 3 3 3" xfId="2484"/>
    <cellStyle name="Saída 2 2 3 3 3 2" xfId="7346"/>
    <cellStyle name="Saída 2 2 3 3 3 2 2" xfId="9960"/>
    <cellStyle name="Saída 2 2 3 3 3 2 2 2" xfId="16222"/>
    <cellStyle name="Saída 2 2 3 3 3 2 2 2 2" xfId="29638"/>
    <cellStyle name="Saída 2 2 3 3 3 2 2 3" xfId="20967"/>
    <cellStyle name="Saída 2 2 3 3 3 2 3" xfId="13950"/>
    <cellStyle name="Saída 2 2 3 3 3 2 3 2" xfId="28272"/>
    <cellStyle name="Saída 2 2 3 3 3 2 4" xfId="19595"/>
    <cellStyle name="Saída 2 2 3 3 3 3" xfId="13088"/>
    <cellStyle name="Saída 2 2 3 3 3 3 2" xfId="27410"/>
    <cellStyle name="Saída 2 2 3 3 3 4" xfId="18733"/>
    <cellStyle name="Saída 2 2 3 3 4" xfId="5443"/>
    <cellStyle name="Saída 2 2 3 3 4 2" xfId="11994"/>
    <cellStyle name="Saída 2 2 3 3 4 2 2" xfId="26316"/>
    <cellStyle name="Saída 2 2 3 3 4 3" xfId="17639"/>
    <cellStyle name="Saída 2 2 3 3 5" xfId="6348"/>
    <cellStyle name="Saída 2 2 3 3 5 2" xfId="23534"/>
    <cellStyle name="Saída 2 2 3 3 6" xfId="14853"/>
    <cellStyle name="Saída 2 2 3 4" xfId="2485"/>
    <cellStyle name="Saída 2 2 3 4 2" xfId="6558"/>
    <cellStyle name="Saída 2 2 3 4 2 2" xfId="13146"/>
    <cellStyle name="Saída 2 2 3 4 2 2 2" xfId="27468"/>
    <cellStyle name="Saída 2 2 3 4 2 3" xfId="18791"/>
    <cellStyle name="Saída 2 2 3 4 3" xfId="7222"/>
    <cellStyle name="Saída 2 2 3 4 3 2" xfId="9836"/>
    <cellStyle name="Saída 2 2 3 4 3 2 2" xfId="16098"/>
    <cellStyle name="Saída 2 2 3 4 3 2 2 2" xfId="29514"/>
    <cellStyle name="Saída 2 2 3 4 3 2 3" xfId="20843"/>
    <cellStyle name="Saída 2 2 3 4 3 3" xfId="13826"/>
    <cellStyle name="Saída 2 2 3 4 3 3 2" xfId="28148"/>
    <cellStyle name="Saída 2 2 3 4 3 4" xfId="19471"/>
    <cellStyle name="Saída 2 2 3 4 4" xfId="4503"/>
    <cellStyle name="Saída 2 2 3 4 4 2" xfId="22994"/>
    <cellStyle name="Saída 2 2 3 4 5" xfId="17182"/>
    <cellStyle name="Saída 2 2 3 5" xfId="2486"/>
    <cellStyle name="Saída 2 2 3 5 2" xfId="4015"/>
    <cellStyle name="Saída 2 2 3 5 2 2" xfId="9412"/>
    <cellStyle name="Saída 2 2 3 5 2 2 2" xfId="15674"/>
    <cellStyle name="Saída 2 2 3 5 2 2 2 2" xfId="29090"/>
    <cellStyle name="Saída 2 2 3 5 2 2 3" xfId="20419"/>
    <cellStyle name="Saída 2 2 3 5 2 3" xfId="4077"/>
    <cellStyle name="Saída 2 2 3 5 2 3 2" xfId="22747"/>
    <cellStyle name="Saída 2 2 3 5 2 4" xfId="15036"/>
    <cellStyle name="Saída 2 2 3 5 3" xfId="12885"/>
    <cellStyle name="Saída 2 2 3 5 3 2" xfId="27207"/>
    <cellStyle name="Saída 2 2 3 5 4" xfId="18530"/>
    <cellStyle name="Saída 2 2 3 6" xfId="5503"/>
    <cellStyle name="Saída 2 2 3 6 2" xfId="12054"/>
    <cellStyle name="Saída 2 2 3 6 2 2" xfId="26376"/>
    <cellStyle name="Saída 2 2 3 6 3" xfId="17699"/>
    <cellStyle name="Saída 2 2 3 7" xfId="4152"/>
    <cellStyle name="Saída 2 2 3 7 2" xfId="22786"/>
    <cellStyle name="Saída 2 2 3 8" xfId="14800"/>
    <cellStyle name="Saída 2 2 4" xfId="2487"/>
    <cellStyle name="Saída 2 2 4 2" xfId="2488"/>
    <cellStyle name="Saída 2 2 4 2 2" xfId="2489"/>
    <cellStyle name="Saída 2 2 4 2 2 2" xfId="6946"/>
    <cellStyle name="Saída 2 2 4 2 2 2 2" xfId="13550"/>
    <cellStyle name="Saída 2 2 4 2 2 2 2 2" xfId="27872"/>
    <cellStyle name="Saída 2 2 4 2 2 2 3" xfId="19195"/>
    <cellStyle name="Saída 2 2 4 2 2 3" xfId="7604"/>
    <cellStyle name="Saída 2 2 4 2 2 3 2" xfId="10218"/>
    <cellStyle name="Saída 2 2 4 2 2 3 2 2" xfId="16480"/>
    <cellStyle name="Saída 2 2 4 2 2 3 2 2 2" xfId="29896"/>
    <cellStyle name="Saída 2 2 4 2 2 3 2 3" xfId="21225"/>
    <cellStyle name="Saída 2 2 4 2 2 3 3" xfId="14208"/>
    <cellStyle name="Saída 2 2 4 2 2 3 3 2" xfId="28530"/>
    <cellStyle name="Saída 2 2 4 2 2 3 4" xfId="19853"/>
    <cellStyle name="Saída 2 2 4 2 2 4" xfId="11440"/>
    <cellStyle name="Saída 2 2 4 2 2 4 2" xfId="25762"/>
    <cellStyle name="Saída 2 2 4 2 2 5" xfId="15282"/>
    <cellStyle name="Saída 2 2 4 2 3" xfId="2490"/>
    <cellStyle name="Saída 2 2 4 2 3 2" xfId="7493"/>
    <cellStyle name="Saída 2 2 4 2 3 2 2" xfId="10107"/>
    <cellStyle name="Saída 2 2 4 2 3 2 2 2" xfId="16369"/>
    <cellStyle name="Saída 2 2 4 2 3 2 2 2 2" xfId="29785"/>
    <cellStyle name="Saída 2 2 4 2 3 2 2 3" xfId="21114"/>
    <cellStyle name="Saída 2 2 4 2 3 2 3" xfId="14097"/>
    <cellStyle name="Saída 2 2 4 2 3 2 3 2" xfId="28419"/>
    <cellStyle name="Saída 2 2 4 2 3 2 4" xfId="19742"/>
    <cellStyle name="Saída 2 2 4 2 3 3" xfId="13345"/>
    <cellStyle name="Saída 2 2 4 2 3 3 2" xfId="27667"/>
    <cellStyle name="Saída 2 2 4 2 3 4" xfId="18990"/>
    <cellStyle name="Saída 2 2 4 2 4" xfId="5795"/>
    <cellStyle name="Saída 2 2 4 2 4 2" xfId="12348"/>
    <cellStyle name="Saída 2 2 4 2 4 2 2" xfId="26670"/>
    <cellStyle name="Saída 2 2 4 2 4 3" xfId="17993"/>
    <cellStyle name="Saída 2 2 4 2 5" xfId="5656"/>
    <cellStyle name="Saída 2 2 4 2 5 2" xfId="23360"/>
    <cellStyle name="Saída 2 2 4 2 6" xfId="15213"/>
    <cellStyle name="Saída 2 2 4 3" xfId="2491"/>
    <cellStyle name="Saída 2 2 4 3 2" xfId="2492"/>
    <cellStyle name="Saída 2 2 4 3 2 2" xfId="6116"/>
    <cellStyle name="Saída 2 2 4 3 2 2 2" xfId="12684"/>
    <cellStyle name="Saída 2 2 4 3 2 2 2 2" xfId="27006"/>
    <cellStyle name="Saída 2 2 4 3 2 2 3" xfId="18329"/>
    <cellStyle name="Saída 2 2 4 3 2 3" xfId="7176"/>
    <cellStyle name="Saída 2 2 4 3 2 3 2" xfId="9790"/>
    <cellStyle name="Saída 2 2 4 3 2 3 2 2" xfId="16052"/>
    <cellStyle name="Saída 2 2 4 3 2 3 2 2 2" xfId="29468"/>
    <cellStyle name="Saída 2 2 4 3 2 3 2 3" xfId="20797"/>
    <cellStyle name="Saída 2 2 4 3 2 3 3" xfId="13780"/>
    <cellStyle name="Saída 2 2 4 3 2 3 3 2" xfId="28102"/>
    <cellStyle name="Saída 2 2 4 3 2 3 4" xfId="19425"/>
    <cellStyle name="Saída 2 2 4 3 2 4" xfId="3900"/>
    <cellStyle name="Saída 2 2 4 3 2 4 2" xfId="22635"/>
    <cellStyle name="Saída 2 2 4 3 2 5" xfId="14935"/>
    <cellStyle name="Saída 2 2 4 3 3" xfId="2493"/>
    <cellStyle name="Saída 2 2 4 3 3 2" xfId="4296"/>
    <cellStyle name="Saída 2 2 4 3 3 2 2" xfId="9442"/>
    <cellStyle name="Saída 2 2 4 3 3 2 2 2" xfId="15704"/>
    <cellStyle name="Saída 2 2 4 3 3 2 2 2 2" xfId="29120"/>
    <cellStyle name="Saída 2 2 4 3 3 2 2 3" xfId="20449"/>
    <cellStyle name="Saída 2 2 4 3 3 2 3" xfId="6636"/>
    <cellStyle name="Saída 2 2 4 3 3 2 3 2" xfId="23618"/>
    <cellStyle name="Saída 2 2 4 3 3 2 4" xfId="17133"/>
    <cellStyle name="Saída 2 2 4 3 3 3" xfId="13412"/>
    <cellStyle name="Saída 2 2 4 3 3 3 2" xfId="27734"/>
    <cellStyle name="Saída 2 2 4 3 3 4" xfId="19057"/>
    <cellStyle name="Saída 2 2 4 3 4" xfId="5880"/>
    <cellStyle name="Saída 2 2 4 3 4 2" xfId="12433"/>
    <cellStyle name="Saída 2 2 4 3 4 2 2" xfId="26755"/>
    <cellStyle name="Saída 2 2 4 3 4 3" xfId="18078"/>
    <cellStyle name="Saída 2 2 4 3 5" xfId="6661"/>
    <cellStyle name="Saída 2 2 4 3 5 2" xfId="23637"/>
    <cellStyle name="Saída 2 2 4 3 6" xfId="6259"/>
    <cellStyle name="Saída 2 2 4 4" xfId="2494"/>
    <cellStyle name="Saída 2 2 4 4 2" xfId="5913"/>
    <cellStyle name="Saída 2 2 4 4 2 2" xfId="12468"/>
    <cellStyle name="Saída 2 2 4 4 2 2 2" xfId="26790"/>
    <cellStyle name="Saída 2 2 4 4 2 3" xfId="18113"/>
    <cellStyle name="Saída 2 2 4 4 3" xfId="7228"/>
    <cellStyle name="Saída 2 2 4 4 3 2" xfId="9842"/>
    <cellStyle name="Saída 2 2 4 4 3 2 2" xfId="16104"/>
    <cellStyle name="Saída 2 2 4 4 3 2 2 2" xfId="29520"/>
    <cellStyle name="Saída 2 2 4 4 3 2 3" xfId="20849"/>
    <cellStyle name="Saída 2 2 4 4 3 3" xfId="13832"/>
    <cellStyle name="Saída 2 2 4 4 3 3 2" xfId="28154"/>
    <cellStyle name="Saída 2 2 4 4 3 4" xfId="19477"/>
    <cellStyle name="Saída 2 2 4 4 4" xfId="4237"/>
    <cellStyle name="Saída 2 2 4 4 4 2" xfId="22847"/>
    <cellStyle name="Saída 2 2 4 4 5" xfId="14710"/>
    <cellStyle name="Saída 2 2 4 5" xfId="2495"/>
    <cellStyle name="Saída 2 2 4 5 2" xfId="7969"/>
    <cellStyle name="Saída 2 2 4 5 2 2" xfId="10583"/>
    <cellStyle name="Saída 2 2 4 5 2 2 2" xfId="16845"/>
    <cellStyle name="Saída 2 2 4 5 2 2 2 2" xfId="30261"/>
    <cellStyle name="Saída 2 2 4 5 2 2 3" xfId="21590"/>
    <cellStyle name="Saída 2 2 4 5 2 3" xfId="14573"/>
    <cellStyle name="Saída 2 2 4 5 2 3 2" xfId="28895"/>
    <cellStyle name="Saída 2 2 4 5 2 4" xfId="20218"/>
    <cellStyle name="Saída 2 2 4 5 3" xfId="12921"/>
    <cellStyle name="Saída 2 2 4 5 3 2" xfId="27243"/>
    <cellStyle name="Saída 2 2 4 5 4" xfId="18566"/>
    <cellStyle name="Saída 2 2 4 6" xfId="5545"/>
    <cellStyle name="Saída 2 2 4 6 2" xfId="12096"/>
    <cellStyle name="Saída 2 2 4 6 2 2" xfId="26418"/>
    <cellStyle name="Saída 2 2 4 6 3" xfId="17741"/>
    <cellStyle name="Saída 2 2 4 7" xfId="6476"/>
    <cellStyle name="Saída 2 2 4 7 2" xfId="23559"/>
    <cellStyle name="Saída 2 2 4 8" xfId="17315"/>
    <cellStyle name="Saída 2 2 5" xfId="2496"/>
    <cellStyle name="Saída 2 2 5 2" xfId="2497"/>
    <cellStyle name="Saída 2 2 5 2 2" xfId="2498"/>
    <cellStyle name="Saída 2 2 5 2 2 2" xfId="6227"/>
    <cellStyle name="Saída 2 2 5 2 2 2 2" xfId="12802"/>
    <cellStyle name="Saída 2 2 5 2 2 2 2 2" xfId="27124"/>
    <cellStyle name="Saída 2 2 5 2 2 2 3" xfId="18447"/>
    <cellStyle name="Saída 2 2 5 2 2 3" xfId="7906"/>
    <cellStyle name="Saída 2 2 5 2 2 3 2" xfId="10520"/>
    <cellStyle name="Saída 2 2 5 2 2 3 2 2" xfId="16782"/>
    <cellStyle name="Saída 2 2 5 2 2 3 2 2 2" xfId="30198"/>
    <cellStyle name="Saída 2 2 5 2 2 3 2 3" xfId="21527"/>
    <cellStyle name="Saída 2 2 5 2 2 3 3" xfId="14510"/>
    <cellStyle name="Saída 2 2 5 2 2 3 3 2" xfId="28832"/>
    <cellStyle name="Saída 2 2 5 2 2 3 4" xfId="20155"/>
    <cellStyle name="Saída 2 2 5 2 2 4" xfId="4437"/>
    <cellStyle name="Saída 2 2 5 2 2 4 2" xfId="22952"/>
    <cellStyle name="Saída 2 2 5 2 2 5" xfId="15504"/>
    <cellStyle name="Saída 2 2 5 2 3" xfId="2499"/>
    <cellStyle name="Saída 2 2 5 2 3 2" xfId="7852"/>
    <cellStyle name="Saída 2 2 5 2 3 2 2" xfId="10466"/>
    <cellStyle name="Saída 2 2 5 2 3 2 2 2" xfId="16728"/>
    <cellStyle name="Saída 2 2 5 2 3 2 2 2 2" xfId="30144"/>
    <cellStyle name="Saída 2 2 5 2 3 2 2 3" xfId="21473"/>
    <cellStyle name="Saída 2 2 5 2 3 2 3" xfId="14456"/>
    <cellStyle name="Saída 2 2 5 2 3 2 3 2" xfId="28778"/>
    <cellStyle name="Saída 2 2 5 2 3 2 4" xfId="20101"/>
    <cellStyle name="Saída 2 2 5 2 3 3" xfId="13195"/>
    <cellStyle name="Saída 2 2 5 2 3 3 2" xfId="27517"/>
    <cellStyle name="Saída 2 2 5 2 3 4" xfId="18840"/>
    <cellStyle name="Saída 2 2 5 2 4" xfId="5632"/>
    <cellStyle name="Saída 2 2 5 2 4 2" xfId="12185"/>
    <cellStyle name="Saída 2 2 5 2 4 2 2" xfId="26507"/>
    <cellStyle name="Saída 2 2 5 2 4 3" xfId="17830"/>
    <cellStyle name="Saída 2 2 5 2 5" xfId="3591"/>
    <cellStyle name="Saída 2 2 5 2 5 2" xfId="22477"/>
    <cellStyle name="Saída 2 2 5 2 6" xfId="3964"/>
    <cellStyle name="Saída 2 2 5 3" xfId="2500"/>
    <cellStyle name="Saída 2 2 5 3 2" xfId="2501"/>
    <cellStyle name="Saída 2 2 5 3 2 2" xfId="6867"/>
    <cellStyle name="Saída 2 2 5 3 2 2 2" xfId="13471"/>
    <cellStyle name="Saída 2 2 5 3 2 2 2 2" xfId="27793"/>
    <cellStyle name="Saída 2 2 5 3 2 2 3" xfId="19116"/>
    <cellStyle name="Saída 2 2 5 3 2 3" xfId="7330"/>
    <cellStyle name="Saída 2 2 5 3 2 3 2" xfId="9944"/>
    <cellStyle name="Saída 2 2 5 3 2 3 2 2" xfId="16206"/>
    <cellStyle name="Saída 2 2 5 3 2 3 2 2 2" xfId="29622"/>
    <cellStyle name="Saída 2 2 5 3 2 3 2 3" xfId="20951"/>
    <cellStyle name="Saída 2 2 5 3 2 3 3" xfId="13934"/>
    <cellStyle name="Saída 2 2 5 3 2 3 3 2" xfId="28256"/>
    <cellStyle name="Saída 2 2 5 3 2 3 4" xfId="19579"/>
    <cellStyle name="Saída 2 2 5 3 2 4" xfId="11328"/>
    <cellStyle name="Saída 2 2 5 3 2 4 2" xfId="25650"/>
    <cellStyle name="Saída 2 2 5 3 2 5" xfId="15449"/>
    <cellStyle name="Saída 2 2 5 3 3" xfId="2502"/>
    <cellStyle name="Saída 2 2 5 3 3 2" xfId="7315"/>
    <cellStyle name="Saída 2 2 5 3 3 2 2" xfId="9929"/>
    <cellStyle name="Saída 2 2 5 3 3 2 2 2" xfId="16191"/>
    <cellStyle name="Saída 2 2 5 3 3 2 2 2 2" xfId="29607"/>
    <cellStyle name="Saída 2 2 5 3 3 2 2 3" xfId="20936"/>
    <cellStyle name="Saída 2 2 5 3 3 2 3" xfId="13919"/>
    <cellStyle name="Saída 2 2 5 3 3 2 3 2" xfId="28241"/>
    <cellStyle name="Saída 2 2 5 3 3 2 4" xfId="19564"/>
    <cellStyle name="Saída 2 2 5 3 3 3" xfId="11672"/>
    <cellStyle name="Saída 2 2 5 3 3 3 2" xfId="25994"/>
    <cellStyle name="Saída 2 2 5 3 3 4" xfId="17113"/>
    <cellStyle name="Saída 2 2 5 3 4" xfId="5207"/>
    <cellStyle name="Saída 2 2 5 3 4 2" xfId="11756"/>
    <cellStyle name="Saída 2 2 5 3 4 2 2" xfId="26078"/>
    <cellStyle name="Saída 2 2 5 3 4 3" xfId="17401"/>
    <cellStyle name="Saída 2 2 5 3 5" xfId="4843"/>
    <cellStyle name="Saída 2 2 5 3 5 2" xfId="23217"/>
    <cellStyle name="Saída 2 2 5 3 6" xfId="14883"/>
    <cellStyle name="Saída 2 2 5 4" xfId="2503"/>
    <cellStyle name="Saída 2 2 5 4 2" xfId="6415"/>
    <cellStyle name="Saída 2 2 5 4 2 2" xfId="12998"/>
    <cellStyle name="Saída 2 2 5 4 2 2 2" xfId="27320"/>
    <cellStyle name="Saída 2 2 5 4 2 3" xfId="18643"/>
    <cellStyle name="Saída 2 2 5 4 3" xfId="7448"/>
    <cellStyle name="Saída 2 2 5 4 3 2" xfId="10062"/>
    <cellStyle name="Saída 2 2 5 4 3 2 2" xfId="16324"/>
    <cellStyle name="Saída 2 2 5 4 3 2 2 2" xfId="29740"/>
    <cellStyle name="Saída 2 2 5 4 3 2 3" xfId="21069"/>
    <cellStyle name="Saída 2 2 5 4 3 3" xfId="14052"/>
    <cellStyle name="Saída 2 2 5 4 3 3 2" xfId="28374"/>
    <cellStyle name="Saída 2 2 5 4 3 4" xfId="19697"/>
    <cellStyle name="Saída 2 2 5 4 4" xfId="3888"/>
    <cellStyle name="Saída 2 2 5 4 4 2" xfId="22628"/>
    <cellStyle name="Saída 2 2 5 4 5" xfId="6333"/>
    <cellStyle name="Saída 2 2 5 5" xfId="2504"/>
    <cellStyle name="Saída 2 2 5 5 2" xfId="7252"/>
    <cellStyle name="Saída 2 2 5 5 2 2" xfId="9866"/>
    <cellStyle name="Saída 2 2 5 5 2 2 2" xfId="16128"/>
    <cellStyle name="Saída 2 2 5 5 2 2 2 2" xfId="29544"/>
    <cellStyle name="Saída 2 2 5 5 2 2 3" xfId="20873"/>
    <cellStyle name="Saída 2 2 5 5 2 3" xfId="13856"/>
    <cellStyle name="Saída 2 2 5 5 2 3 2" xfId="28178"/>
    <cellStyle name="Saída 2 2 5 5 2 4" xfId="19501"/>
    <cellStyle name="Saída 2 2 5 5 3" xfId="12032"/>
    <cellStyle name="Saída 2 2 5 5 3 2" xfId="26354"/>
    <cellStyle name="Saída 2 2 5 5 4" xfId="17677"/>
    <cellStyle name="Saída 2 2 5 6" xfId="3267"/>
    <cellStyle name="Saída 2 2 5 6 2" xfId="3670"/>
    <cellStyle name="Saída 2 2 5 6 2 2" xfId="22516"/>
    <cellStyle name="Saída 2 2 5 6 3" xfId="15598"/>
    <cellStyle name="Saída 2 2 5 7" xfId="6775"/>
    <cellStyle name="Saída 2 2 5 7 2" xfId="23721"/>
    <cellStyle name="Saída 2 2 5 8" xfId="14752"/>
    <cellStyle name="Saída 2 2 6" xfId="2505"/>
    <cellStyle name="Saída 2 2 6 2" xfId="2506"/>
    <cellStyle name="Saída 2 2 6 2 2" xfId="2507"/>
    <cellStyle name="Saída 2 2 6 2 2 2" xfId="6157"/>
    <cellStyle name="Saída 2 2 6 2 2 2 2" xfId="12728"/>
    <cellStyle name="Saída 2 2 6 2 2 2 2 2" xfId="27050"/>
    <cellStyle name="Saída 2 2 6 2 2 2 3" xfId="18373"/>
    <cellStyle name="Saída 2 2 6 2 2 3" xfId="7791"/>
    <cellStyle name="Saída 2 2 6 2 2 3 2" xfId="10405"/>
    <cellStyle name="Saída 2 2 6 2 2 3 2 2" xfId="16667"/>
    <cellStyle name="Saída 2 2 6 2 2 3 2 2 2" xfId="30083"/>
    <cellStyle name="Saída 2 2 6 2 2 3 2 3" xfId="21412"/>
    <cellStyle name="Saída 2 2 6 2 2 3 3" xfId="14395"/>
    <cellStyle name="Saída 2 2 6 2 2 3 3 2" xfId="28717"/>
    <cellStyle name="Saída 2 2 6 2 2 3 4" xfId="20040"/>
    <cellStyle name="Saída 2 2 6 2 2 4" xfId="4407"/>
    <cellStyle name="Saída 2 2 6 2 2 4 2" xfId="22932"/>
    <cellStyle name="Saída 2 2 6 2 2 5" xfId="15508"/>
    <cellStyle name="Saída 2 2 6 2 3" xfId="2508"/>
    <cellStyle name="Saída 2 2 6 2 3 2" xfId="3708"/>
    <cellStyle name="Saída 2 2 6 2 3 2 2" xfId="9362"/>
    <cellStyle name="Saída 2 2 6 2 3 2 2 2" xfId="15624"/>
    <cellStyle name="Saída 2 2 6 2 3 2 2 2 2" xfId="29040"/>
    <cellStyle name="Saída 2 2 6 2 3 2 2 3" xfId="20369"/>
    <cellStyle name="Saída 2 2 6 2 3 2 3" xfId="4019"/>
    <cellStyle name="Saída 2 2 6 2 3 2 3 2" xfId="22704"/>
    <cellStyle name="Saída 2 2 6 2 3 2 4" xfId="17032"/>
    <cellStyle name="Saída 2 2 6 2 3 3" xfId="13390"/>
    <cellStyle name="Saída 2 2 6 2 3 3 2" xfId="27712"/>
    <cellStyle name="Saída 2 2 6 2 3 4" xfId="19035"/>
    <cellStyle name="Saída 2 2 6 2 4" xfId="5854"/>
    <cellStyle name="Saída 2 2 6 2 4 2" xfId="12407"/>
    <cellStyle name="Saída 2 2 6 2 4 2 2" xfId="26729"/>
    <cellStyle name="Saída 2 2 6 2 4 3" xfId="18052"/>
    <cellStyle name="Saída 2 2 6 2 5" xfId="3734"/>
    <cellStyle name="Saída 2 2 6 2 5 2" xfId="22553"/>
    <cellStyle name="Saída 2 2 6 2 6" xfId="14808"/>
    <cellStyle name="Saída 2 2 6 3" xfId="2509"/>
    <cellStyle name="Saída 2 2 6 3 2" xfId="6538"/>
    <cellStyle name="Saída 2 2 6 3 2 2" xfId="13126"/>
    <cellStyle name="Saída 2 2 6 3 2 2 2" xfId="27448"/>
    <cellStyle name="Saída 2 2 6 3 2 3" xfId="18771"/>
    <cellStyle name="Saída 2 2 6 3 3" xfId="4908"/>
    <cellStyle name="Saída 2 2 6 3 3 2" xfId="9511"/>
    <cellStyle name="Saída 2 2 6 3 3 2 2" xfId="15773"/>
    <cellStyle name="Saída 2 2 6 3 3 2 2 2" xfId="29189"/>
    <cellStyle name="Saída 2 2 6 3 3 2 3" xfId="20518"/>
    <cellStyle name="Saída 2 2 6 3 3 3" xfId="11445"/>
    <cellStyle name="Saída 2 2 6 3 3 3 2" xfId="25767"/>
    <cellStyle name="Saída 2 2 6 3 3 4" xfId="15074"/>
    <cellStyle name="Saída 2 2 6 3 4" xfId="5608"/>
    <cellStyle name="Saída 2 2 6 3 4 2" xfId="23357"/>
    <cellStyle name="Saída 2 2 6 3 5" xfId="17344"/>
    <cellStyle name="Saída 2 2 6 4" xfId="2510"/>
    <cellStyle name="Saída 2 2 6 4 2" xfId="5323"/>
    <cellStyle name="Saída 2 2 6 4 2 2" xfId="9632"/>
    <cellStyle name="Saída 2 2 6 4 2 2 2" xfId="15894"/>
    <cellStyle name="Saída 2 2 6 4 2 2 2 2" xfId="29310"/>
    <cellStyle name="Saída 2 2 6 4 2 2 3" xfId="20639"/>
    <cellStyle name="Saída 2 2 6 4 2 3" xfId="11873"/>
    <cellStyle name="Saída 2 2 6 4 2 3 2" xfId="26195"/>
    <cellStyle name="Saída 2 2 6 4 2 4" xfId="17518"/>
    <cellStyle name="Saída 2 2 6 4 3" xfId="12902"/>
    <cellStyle name="Saída 2 2 6 4 3 2" xfId="27224"/>
    <cellStyle name="Saída 2 2 6 4 4" xfId="18547"/>
    <cellStyle name="Saída 2 2 6 5" xfId="5526"/>
    <cellStyle name="Saída 2 2 6 5 2" xfId="12077"/>
    <cellStyle name="Saída 2 2 6 5 2 2" xfId="26399"/>
    <cellStyle name="Saída 2 2 6 5 3" xfId="17722"/>
    <cellStyle name="Saída 2 2 6 6" xfId="4669"/>
    <cellStyle name="Saída 2 2 6 6 2" xfId="23108"/>
    <cellStyle name="Saída 2 2 6 7" xfId="4323"/>
    <cellStyle name="Saída 2 2 7" xfId="2511"/>
    <cellStyle name="Saída 2 2 7 2" xfId="2512"/>
    <cellStyle name="Saída 2 2 7 2 2" xfId="6063"/>
    <cellStyle name="Saída 2 2 7 2 2 2" xfId="12629"/>
    <cellStyle name="Saída 2 2 7 2 2 2 2" xfId="26951"/>
    <cellStyle name="Saída 2 2 7 2 2 3" xfId="18274"/>
    <cellStyle name="Saída 2 2 7 2 3" xfId="7897"/>
    <cellStyle name="Saída 2 2 7 2 3 2" xfId="10511"/>
    <cellStyle name="Saída 2 2 7 2 3 2 2" xfId="16773"/>
    <cellStyle name="Saída 2 2 7 2 3 2 2 2" xfId="30189"/>
    <cellStyle name="Saída 2 2 7 2 3 2 3" xfId="21518"/>
    <cellStyle name="Saída 2 2 7 2 3 3" xfId="14501"/>
    <cellStyle name="Saída 2 2 7 2 3 3 2" xfId="28823"/>
    <cellStyle name="Saída 2 2 7 2 3 4" xfId="20146"/>
    <cellStyle name="Saída 2 2 7 2 4" xfId="6740"/>
    <cellStyle name="Saída 2 2 7 2 4 2" xfId="23689"/>
    <cellStyle name="Saída 2 2 7 2 5" xfId="6739"/>
    <cellStyle name="Saída 2 2 7 3" xfId="2513"/>
    <cellStyle name="Saída 2 2 7 3 2" xfId="8007"/>
    <cellStyle name="Saída 2 2 7 3 2 2" xfId="10621"/>
    <cellStyle name="Saída 2 2 7 3 2 2 2" xfId="16883"/>
    <cellStyle name="Saída 2 2 7 3 2 2 2 2" xfId="30299"/>
    <cellStyle name="Saída 2 2 7 3 2 2 3" xfId="21628"/>
    <cellStyle name="Saída 2 2 7 3 2 3" xfId="14611"/>
    <cellStyle name="Saída 2 2 7 3 2 3 2" xfId="28933"/>
    <cellStyle name="Saída 2 2 7 3 2 4" xfId="20256"/>
    <cellStyle name="Saída 2 2 7 3 3" xfId="13381"/>
    <cellStyle name="Saída 2 2 7 3 3 2" xfId="27703"/>
    <cellStyle name="Saída 2 2 7 3 4" xfId="19026"/>
    <cellStyle name="Saída 2 2 7 4" xfId="5840"/>
    <cellStyle name="Saída 2 2 7 4 2" xfId="12393"/>
    <cellStyle name="Saída 2 2 7 4 2 2" xfId="26715"/>
    <cellStyle name="Saída 2 2 7 4 3" xfId="18038"/>
    <cellStyle name="Saída 2 2 7 5" xfId="6184"/>
    <cellStyle name="Saída 2 2 7 5 2" xfId="23449"/>
    <cellStyle name="Saída 2 2 7 6" xfId="17135"/>
    <cellStyle name="Saída 2 2 8" xfId="2514"/>
    <cellStyle name="Saída 2 2 8 2" xfId="6434"/>
    <cellStyle name="Saída 2 2 8 2 2" xfId="13017"/>
    <cellStyle name="Saída 2 2 8 2 2 2" xfId="27339"/>
    <cellStyle name="Saída 2 2 8 2 3" xfId="18662"/>
    <cellStyle name="Saída 2 2 8 3" xfId="5288"/>
    <cellStyle name="Saída 2 2 8 3 2" xfId="9597"/>
    <cellStyle name="Saída 2 2 8 3 2 2" xfId="15859"/>
    <cellStyle name="Saída 2 2 8 3 2 2 2" xfId="29275"/>
    <cellStyle name="Saída 2 2 8 3 2 3" xfId="20604"/>
    <cellStyle name="Saída 2 2 8 3 3" xfId="11838"/>
    <cellStyle name="Saída 2 2 8 3 3 2" xfId="26160"/>
    <cellStyle name="Saída 2 2 8 3 4" xfId="17483"/>
    <cellStyle name="Saída 2 2 8 4" xfId="3687"/>
    <cellStyle name="Saída 2 2 8 4 2" xfId="22529"/>
    <cellStyle name="Saída 2 2 8 5" xfId="6324"/>
    <cellStyle name="Saída 2 2 9" xfId="2515"/>
    <cellStyle name="Saída 2 2 9 2" xfId="8033"/>
    <cellStyle name="Saída 2 2 9 2 2" xfId="10647"/>
    <cellStyle name="Saída 2 2 9 2 2 2" xfId="16909"/>
    <cellStyle name="Saída 2 2 9 2 2 2 2" xfId="30325"/>
    <cellStyle name="Saída 2 2 9 2 2 3" xfId="21654"/>
    <cellStyle name="Saída 2 2 9 2 3" xfId="14637"/>
    <cellStyle name="Saída 2 2 9 2 3 2" xfId="28959"/>
    <cellStyle name="Saída 2 2 9 2 4" xfId="20282"/>
    <cellStyle name="Saída 2 2 9 3" xfId="12726"/>
    <cellStyle name="Saída 2 2 9 3 2" xfId="27048"/>
    <cellStyle name="Saída 2 2 9 4" xfId="18371"/>
    <cellStyle name="Saída 2 3" xfId="2516"/>
    <cellStyle name="Saída 2 3 10" xfId="6657"/>
    <cellStyle name="Saída 2 3 10 2" xfId="23633"/>
    <cellStyle name="Saída 2 3 11" xfId="16992"/>
    <cellStyle name="Saída 2 3 2" xfId="2517"/>
    <cellStyle name="Saída 2 3 2 2" xfId="2518"/>
    <cellStyle name="Saída 2 3 2 2 2" xfId="2519"/>
    <cellStyle name="Saída 2 3 2 2 2 2" xfId="6221"/>
    <cellStyle name="Saída 2 3 2 2 2 2 2" xfId="12796"/>
    <cellStyle name="Saída 2 3 2 2 2 2 2 2" xfId="27118"/>
    <cellStyle name="Saída 2 3 2 2 2 2 3" xfId="18441"/>
    <cellStyle name="Saída 2 3 2 2 2 3" xfId="7419"/>
    <cellStyle name="Saída 2 3 2 2 2 3 2" xfId="10033"/>
    <cellStyle name="Saída 2 3 2 2 2 3 2 2" xfId="16295"/>
    <cellStyle name="Saída 2 3 2 2 2 3 2 2 2" xfId="29711"/>
    <cellStyle name="Saída 2 3 2 2 2 3 2 3" xfId="21040"/>
    <cellStyle name="Saída 2 3 2 2 2 3 3" xfId="14023"/>
    <cellStyle name="Saída 2 3 2 2 2 3 3 2" xfId="28345"/>
    <cellStyle name="Saída 2 3 2 2 2 3 4" xfId="19668"/>
    <cellStyle name="Saída 2 3 2 2 2 4" xfId="6178"/>
    <cellStyle name="Saída 2 3 2 2 2 4 2" xfId="23444"/>
    <cellStyle name="Saída 2 3 2 2 2 5" xfId="14871"/>
    <cellStyle name="Saída 2 3 2 2 3" xfId="2520"/>
    <cellStyle name="Saída 2 3 2 2 3 2" xfId="8039"/>
    <cellStyle name="Saída 2 3 2 2 3 2 2" xfId="10653"/>
    <cellStyle name="Saída 2 3 2 2 3 2 2 2" xfId="16915"/>
    <cellStyle name="Saída 2 3 2 2 3 2 2 2 2" xfId="30331"/>
    <cellStyle name="Saída 2 3 2 2 3 2 2 3" xfId="21660"/>
    <cellStyle name="Saída 2 3 2 2 3 2 3" xfId="14643"/>
    <cellStyle name="Saída 2 3 2 2 3 2 3 2" xfId="28965"/>
    <cellStyle name="Saída 2 3 2 2 3 2 4" xfId="20288"/>
    <cellStyle name="Saída 2 3 2 2 3 3" xfId="13298"/>
    <cellStyle name="Saída 2 3 2 2 3 3 2" xfId="27620"/>
    <cellStyle name="Saída 2 3 2 2 3 4" xfId="18943"/>
    <cellStyle name="Saída 2 3 2 2 4" xfId="5748"/>
    <cellStyle name="Saída 2 3 2 2 4 2" xfId="12301"/>
    <cellStyle name="Saída 2 3 2 2 4 2 2" xfId="26623"/>
    <cellStyle name="Saída 2 3 2 2 4 3" xfId="17946"/>
    <cellStyle name="Saída 2 3 2 2 5" xfId="3988"/>
    <cellStyle name="Saída 2 3 2 2 5 2" xfId="22687"/>
    <cellStyle name="Saída 2 3 2 2 6" xfId="15554"/>
    <cellStyle name="Saída 2 3 2 3" xfId="2521"/>
    <cellStyle name="Saída 2 3 2 3 2" xfId="2522"/>
    <cellStyle name="Saída 2 3 2 3 2 2" xfId="6532"/>
    <cellStyle name="Saída 2 3 2 3 2 2 2" xfId="13120"/>
    <cellStyle name="Saída 2 3 2 3 2 2 2 2" xfId="27442"/>
    <cellStyle name="Saída 2 3 2 3 2 2 3" xfId="18765"/>
    <cellStyle name="Saída 2 3 2 3 2 3" xfId="7236"/>
    <cellStyle name="Saída 2 3 2 3 2 3 2" xfId="9850"/>
    <cellStyle name="Saída 2 3 2 3 2 3 2 2" xfId="16112"/>
    <cellStyle name="Saída 2 3 2 3 2 3 2 2 2" xfId="29528"/>
    <cellStyle name="Saída 2 3 2 3 2 3 2 3" xfId="20857"/>
    <cellStyle name="Saída 2 3 2 3 2 3 3" xfId="13840"/>
    <cellStyle name="Saída 2 3 2 3 2 3 3 2" xfId="28162"/>
    <cellStyle name="Saída 2 3 2 3 2 3 4" xfId="19485"/>
    <cellStyle name="Saída 2 3 2 3 2 4" xfId="6603"/>
    <cellStyle name="Saída 2 3 2 3 2 4 2" xfId="23597"/>
    <cellStyle name="Saída 2 3 2 3 2 5" xfId="17023"/>
    <cellStyle name="Saída 2 3 2 3 3" xfId="2523"/>
    <cellStyle name="Saída 2 3 2 3 3 2" xfId="3621"/>
    <cellStyle name="Saída 2 3 2 3 3 2 2" xfId="9345"/>
    <cellStyle name="Saída 2 3 2 3 3 2 2 2" xfId="15607"/>
    <cellStyle name="Saída 2 3 2 3 3 2 2 2 2" xfId="29023"/>
    <cellStyle name="Saída 2 3 2 3 3 2 2 3" xfId="20352"/>
    <cellStyle name="Saída 2 3 2 3 3 2 3" xfId="6362"/>
    <cellStyle name="Saída 2 3 2 3 3 2 3 2" xfId="23546"/>
    <cellStyle name="Saída 2 3 2 3 3 2 4" xfId="3996"/>
    <cellStyle name="Saída 2 3 2 3 3 3" xfId="13427"/>
    <cellStyle name="Saída 2 3 2 3 3 3 2" xfId="27749"/>
    <cellStyle name="Saída 2 3 2 3 3 4" xfId="19072"/>
    <cellStyle name="Saída 2 3 2 3 4" xfId="5902"/>
    <cellStyle name="Saída 2 3 2 3 4 2" xfId="12456"/>
    <cellStyle name="Saída 2 3 2 3 4 2 2" xfId="26778"/>
    <cellStyle name="Saída 2 3 2 3 4 3" xfId="18101"/>
    <cellStyle name="Saída 2 3 2 3 5" xfId="2823"/>
    <cellStyle name="Saída 2 3 2 3 5 2" xfId="22386"/>
    <cellStyle name="Saída 2 3 2 3 6" xfId="15537"/>
    <cellStyle name="Saída 2 3 2 4" xfId="2524"/>
    <cellStyle name="Saída 2 3 2 4 2" xfId="7022"/>
    <cellStyle name="Saída 2 3 2 4 2 2" xfId="13626"/>
    <cellStyle name="Saída 2 3 2 4 2 2 2" xfId="27948"/>
    <cellStyle name="Saída 2 3 2 4 2 3" xfId="19271"/>
    <cellStyle name="Saída 2 3 2 4 3" xfId="5325"/>
    <cellStyle name="Saída 2 3 2 4 3 2" xfId="9634"/>
    <cellStyle name="Saída 2 3 2 4 3 2 2" xfId="15896"/>
    <cellStyle name="Saída 2 3 2 4 3 2 2 2" xfId="29312"/>
    <cellStyle name="Saída 2 3 2 4 3 2 3" xfId="20641"/>
    <cellStyle name="Saída 2 3 2 4 3 3" xfId="11875"/>
    <cellStyle name="Saída 2 3 2 4 3 3 2" xfId="26197"/>
    <cellStyle name="Saída 2 3 2 4 3 4" xfId="17520"/>
    <cellStyle name="Saída 2 3 2 4 4" xfId="11555"/>
    <cellStyle name="Saída 2 3 2 4 4 2" xfId="25877"/>
    <cellStyle name="Saída 2 3 2 4 5" xfId="17379"/>
    <cellStyle name="Saída 2 3 2 5" xfId="2525"/>
    <cellStyle name="Saída 2 3 2 5 2" xfId="7930"/>
    <cellStyle name="Saída 2 3 2 5 2 2" xfId="10544"/>
    <cellStyle name="Saída 2 3 2 5 2 2 2" xfId="16806"/>
    <cellStyle name="Saída 2 3 2 5 2 2 2 2" xfId="30222"/>
    <cellStyle name="Saída 2 3 2 5 2 2 3" xfId="21551"/>
    <cellStyle name="Saída 2 3 2 5 2 3" xfId="14534"/>
    <cellStyle name="Saída 2 3 2 5 2 3 2" xfId="28856"/>
    <cellStyle name="Saída 2 3 2 5 2 4" xfId="20179"/>
    <cellStyle name="Saída 2 3 2 5 3" xfId="12874"/>
    <cellStyle name="Saída 2 3 2 5 3 2" xfId="27196"/>
    <cellStyle name="Saída 2 3 2 5 4" xfId="18519"/>
    <cellStyle name="Saída 2 3 2 6" xfId="5492"/>
    <cellStyle name="Saída 2 3 2 6 2" xfId="12043"/>
    <cellStyle name="Saída 2 3 2 6 2 2" xfId="26365"/>
    <cellStyle name="Saída 2 3 2 6 3" xfId="17688"/>
    <cellStyle name="Saída 2 3 2 7" xfId="4022"/>
    <cellStyle name="Saída 2 3 2 7 2" xfId="22706"/>
    <cellStyle name="Saída 2 3 2 8" xfId="3711"/>
    <cellStyle name="Saída 2 3 3" xfId="2526"/>
    <cellStyle name="Saída 2 3 3 2" xfId="2527"/>
    <cellStyle name="Saída 2 3 3 2 2" xfId="2528"/>
    <cellStyle name="Saída 2 3 3 2 2 2" xfId="6875"/>
    <cellStyle name="Saída 2 3 3 2 2 2 2" xfId="13479"/>
    <cellStyle name="Saída 2 3 3 2 2 2 2 2" xfId="27801"/>
    <cellStyle name="Saída 2 3 3 2 2 2 3" xfId="19124"/>
    <cellStyle name="Saída 2 3 3 2 2 3" xfId="7957"/>
    <cellStyle name="Saída 2 3 3 2 2 3 2" xfId="10571"/>
    <cellStyle name="Saída 2 3 3 2 2 3 2 2" xfId="16833"/>
    <cellStyle name="Saída 2 3 3 2 2 3 2 2 2" xfId="30249"/>
    <cellStyle name="Saída 2 3 3 2 2 3 2 3" xfId="21578"/>
    <cellStyle name="Saída 2 3 3 2 2 3 3" xfId="14561"/>
    <cellStyle name="Saída 2 3 3 2 2 3 3 2" xfId="28883"/>
    <cellStyle name="Saída 2 3 3 2 2 3 4" xfId="20206"/>
    <cellStyle name="Saída 2 3 3 2 2 4" xfId="11343"/>
    <cellStyle name="Saída 2 3 3 2 2 4 2" xfId="25665"/>
    <cellStyle name="Saída 2 3 3 2 2 5" xfId="14715"/>
    <cellStyle name="Saída 2 3 3 2 3" xfId="2529"/>
    <cellStyle name="Saída 2 3 3 2 3 2" xfId="7994"/>
    <cellStyle name="Saída 2 3 3 2 3 2 2" xfId="10608"/>
    <cellStyle name="Saída 2 3 3 2 3 2 2 2" xfId="16870"/>
    <cellStyle name="Saída 2 3 3 2 3 2 2 2 2" xfId="30286"/>
    <cellStyle name="Saída 2 3 3 2 3 2 2 3" xfId="21615"/>
    <cellStyle name="Saída 2 3 3 2 3 2 3" xfId="14598"/>
    <cellStyle name="Saída 2 3 3 2 3 2 3 2" xfId="28920"/>
    <cellStyle name="Saída 2 3 3 2 3 2 4" xfId="20243"/>
    <cellStyle name="Saída 2 3 3 2 3 3" xfId="13334"/>
    <cellStyle name="Saída 2 3 3 2 3 3 2" xfId="27656"/>
    <cellStyle name="Saída 2 3 3 2 3 4" xfId="18979"/>
    <cellStyle name="Saída 2 3 3 2 4" xfId="5784"/>
    <cellStyle name="Saída 2 3 3 2 4 2" xfId="12337"/>
    <cellStyle name="Saída 2 3 3 2 4 2 2" xfId="26659"/>
    <cellStyle name="Saída 2 3 3 2 4 3" xfId="17982"/>
    <cellStyle name="Saída 2 3 3 2 5" xfId="3746"/>
    <cellStyle name="Saída 2 3 3 2 5 2" xfId="22560"/>
    <cellStyle name="Saída 2 3 3 2 6" xfId="16949"/>
    <cellStyle name="Saída 2 3 3 3" xfId="2530"/>
    <cellStyle name="Saída 2 3 3 3 2" xfId="2531"/>
    <cellStyle name="Saída 2 3 3 3 2 2" xfId="5118"/>
    <cellStyle name="Saída 2 3 3 3 2 2 2" xfId="11666"/>
    <cellStyle name="Saída 2 3 3 3 2 2 2 2" xfId="25988"/>
    <cellStyle name="Saída 2 3 3 3 2 2 3" xfId="4508"/>
    <cellStyle name="Saída 2 3 3 3 2 3" xfId="7114"/>
    <cellStyle name="Saída 2 3 3 3 2 3 2" xfId="9728"/>
    <cellStyle name="Saída 2 3 3 3 2 3 2 2" xfId="15990"/>
    <cellStyle name="Saída 2 3 3 3 2 3 2 2 2" xfId="29406"/>
    <cellStyle name="Saída 2 3 3 3 2 3 2 3" xfId="20735"/>
    <cellStyle name="Saída 2 3 3 3 2 3 3" xfId="13718"/>
    <cellStyle name="Saída 2 3 3 3 2 3 3 2" xfId="28040"/>
    <cellStyle name="Saída 2 3 3 3 2 3 4" xfId="19363"/>
    <cellStyle name="Saída 2 3 3 3 2 4" xfId="4485"/>
    <cellStyle name="Saída 2 3 3 3 2 4 2" xfId="22982"/>
    <cellStyle name="Saída 2 3 3 3 2 5" xfId="5871"/>
    <cellStyle name="Saída 2 3 3 3 3" xfId="2532"/>
    <cellStyle name="Saída 2 3 3 3 3 2" xfId="4919"/>
    <cellStyle name="Saída 2 3 3 3 3 2 2" xfId="9514"/>
    <cellStyle name="Saída 2 3 3 3 3 2 2 2" xfId="15776"/>
    <cellStyle name="Saída 2 3 3 3 3 2 2 2 2" xfId="29192"/>
    <cellStyle name="Saída 2 3 3 3 3 2 2 3" xfId="20521"/>
    <cellStyle name="Saída 2 3 3 3 3 2 3" xfId="11456"/>
    <cellStyle name="Saída 2 3 3 3 3 2 3 2" xfId="25778"/>
    <cellStyle name="Saída 2 3 3 3 3 2 4" xfId="15201"/>
    <cellStyle name="Saída 2 3 3 3 3 3" xfId="13417"/>
    <cellStyle name="Saída 2 3 3 3 3 3 2" xfId="27739"/>
    <cellStyle name="Saída 2 3 3 3 3 4" xfId="19062"/>
    <cellStyle name="Saída 2 3 3 3 4" xfId="5887"/>
    <cellStyle name="Saída 2 3 3 3 4 2" xfId="12440"/>
    <cellStyle name="Saída 2 3 3 3 4 2 2" xfId="26762"/>
    <cellStyle name="Saída 2 3 3 3 4 3" xfId="18085"/>
    <cellStyle name="Saída 2 3 3 3 5" xfId="4642"/>
    <cellStyle name="Saída 2 3 3 3 5 2" xfId="23086"/>
    <cellStyle name="Saída 2 3 3 3 6" xfId="17012"/>
    <cellStyle name="Saída 2 3 3 4" xfId="2533"/>
    <cellStyle name="Saída 2 3 3 4 2" xfId="6035"/>
    <cellStyle name="Saída 2 3 3 4 2 2" xfId="12596"/>
    <cellStyle name="Saída 2 3 3 4 2 2 2" xfId="26918"/>
    <cellStyle name="Saída 2 3 3 4 2 3" xfId="18241"/>
    <cellStyle name="Saída 2 3 3 4 3" xfId="7945"/>
    <cellStyle name="Saída 2 3 3 4 3 2" xfId="10559"/>
    <cellStyle name="Saída 2 3 3 4 3 2 2" xfId="16821"/>
    <cellStyle name="Saída 2 3 3 4 3 2 2 2" xfId="30237"/>
    <cellStyle name="Saída 2 3 3 4 3 2 3" xfId="21566"/>
    <cellStyle name="Saída 2 3 3 4 3 3" xfId="14549"/>
    <cellStyle name="Saída 2 3 3 4 3 3 2" xfId="28871"/>
    <cellStyle name="Saída 2 3 3 4 3 4" xfId="20194"/>
    <cellStyle name="Saída 2 3 3 4 4" xfId="6781"/>
    <cellStyle name="Saída 2 3 3 4 4 2" xfId="23726"/>
    <cellStyle name="Saída 2 3 3 4 5" xfId="14786"/>
    <cellStyle name="Saída 2 3 3 5" xfId="2534"/>
    <cellStyle name="Saída 2 3 3 5 2" xfId="7416"/>
    <cellStyle name="Saída 2 3 3 5 2 2" xfId="10030"/>
    <cellStyle name="Saída 2 3 3 5 2 2 2" xfId="16292"/>
    <cellStyle name="Saída 2 3 3 5 2 2 2 2" xfId="29708"/>
    <cellStyle name="Saída 2 3 3 5 2 2 3" xfId="21037"/>
    <cellStyle name="Saída 2 3 3 5 2 3" xfId="14020"/>
    <cellStyle name="Saída 2 3 3 5 2 3 2" xfId="28342"/>
    <cellStyle name="Saída 2 3 3 5 2 4" xfId="19665"/>
    <cellStyle name="Saída 2 3 3 5 3" xfId="12910"/>
    <cellStyle name="Saída 2 3 3 5 3 2" xfId="27232"/>
    <cellStyle name="Saída 2 3 3 5 4" xfId="18555"/>
    <cellStyle name="Saída 2 3 3 6" xfId="5534"/>
    <cellStyle name="Saída 2 3 3 6 2" xfId="12085"/>
    <cellStyle name="Saída 2 3 3 6 2 2" xfId="26407"/>
    <cellStyle name="Saída 2 3 3 6 3" xfId="17730"/>
    <cellStyle name="Saída 2 3 3 7" xfId="4898"/>
    <cellStyle name="Saída 2 3 3 7 2" xfId="23254"/>
    <cellStyle name="Saída 2 3 3 8" xfId="14725"/>
    <cellStyle name="Saída 2 3 4" xfId="2535"/>
    <cellStyle name="Saída 2 3 4 2" xfId="2536"/>
    <cellStyle name="Saída 2 3 4 2 2" xfId="2537"/>
    <cellStyle name="Saída 2 3 4 2 2 2" xfId="6958"/>
    <cellStyle name="Saída 2 3 4 2 2 2 2" xfId="13562"/>
    <cellStyle name="Saída 2 3 4 2 2 2 2 2" xfId="27884"/>
    <cellStyle name="Saída 2 3 4 2 2 2 3" xfId="19207"/>
    <cellStyle name="Saída 2 3 4 2 2 3" xfId="7708"/>
    <cellStyle name="Saída 2 3 4 2 2 3 2" xfId="10322"/>
    <cellStyle name="Saída 2 3 4 2 2 3 2 2" xfId="16584"/>
    <cellStyle name="Saída 2 3 4 2 2 3 2 2 2" xfId="30000"/>
    <cellStyle name="Saída 2 3 4 2 2 3 2 3" xfId="21329"/>
    <cellStyle name="Saída 2 3 4 2 2 3 3" xfId="14312"/>
    <cellStyle name="Saída 2 3 4 2 2 3 3 2" xfId="28634"/>
    <cellStyle name="Saída 2 3 4 2 2 3 4" xfId="19957"/>
    <cellStyle name="Saída 2 3 4 2 2 4" xfId="11459"/>
    <cellStyle name="Saída 2 3 4 2 2 4 2" xfId="25781"/>
    <cellStyle name="Saída 2 3 4 2 2 5" xfId="15464"/>
    <cellStyle name="Saída 2 3 4 2 3" xfId="2538"/>
    <cellStyle name="Saída 2 3 4 2 3 2" xfId="7799"/>
    <cellStyle name="Saída 2 3 4 2 3 2 2" xfId="10413"/>
    <cellStyle name="Saída 2 3 4 2 3 2 2 2" xfId="16675"/>
    <cellStyle name="Saída 2 3 4 2 3 2 2 2 2" xfId="30091"/>
    <cellStyle name="Saída 2 3 4 2 3 2 2 3" xfId="21420"/>
    <cellStyle name="Saída 2 3 4 2 3 2 3" xfId="14403"/>
    <cellStyle name="Saída 2 3 4 2 3 2 3 2" xfId="28725"/>
    <cellStyle name="Saída 2 3 4 2 3 2 4" xfId="20048"/>
    <cellStyle name="Saída 2 3 4 2 3 3" xfId="13275"/>
    <cellStyle name="Saída 2 3 4 2 3 3 2" xfId="27597"/>
    <cellStyle name="Saída 2 3 4 2 3 4" xfId="18920"/>
    <cellStyle name="Saída 2 3 4 2 4" xfId="5722"/>
    <cellStyle name="Saída 2 3 4 2 4 2" xfId="12275"/>
    <cellStyle name="Saída 2 3 4 2 4 2 2" xfId="26597"/>
    <cellStyle name="Saída 2 3 4 2 4 3" xfId="17920"/>
    <cellStyle name="Saída 2 3 4 2 5" xfId="3196"/>
    <cellStyle name="Saída 2 3 4 2 5 2" xfId="22437"/>
    <cellStyle name="Saída 2 3 4 2 6" xfId="15312"/>
    <cellStyle name="Saída 2 3 4 3" xfId="2539"/>
    <cellStyle name="Saída 2 3 4 3 2" xfId="2540"/>
    <cellStyle name="Saída 2 3 4 3 2 2" xfId="6387"/>
    <cellStyle name="Saída 2 3 4 3 2 2 2" xfId="12970"/>
    <cellStyle name="Saída 2 3 4 3 2 2 2 2" xfId="27292"/>
    <cellStyle name="Saída 2 3 4 3 2 2 3" xfId="18615"/>
    <cellStyle name="Saída 2 3 4 3 2 3" xfId="7232"/>
    <cellStyle name="Saída 2 3 4 3 2 3 2" xfId="9846"/>
    <cellStyle name="Saída 2 3 4 3 2 3 2 2" xfId="16108"/>
    <cellStyle name="Saída 2 3 4 3 2 3 2 2 2" xfId="29524"/>
    <cellStyle name="Saída 2 3 4 3 2 3 2 3" xfId="20853"/>
    <cellStyle name="Saída 2 3 4 3 2 3 3" xfId="13836"/>
    <cellStyle name="Saída 2 3 4 3 2 3 3 2" xfId="28158"/>
    <cellStyle name="Saída 2 3 4 3 2 3 4" xfId="19481"/>
    <cellStyle name="Saída 2 3 4 3 2 4" xfId="6772"/>
    <cellStyle name="Saída 2 3 4 3 2 4 2" xfId="23718"/>
    <cellStyle name="Saída 2 3 4 3 2 5" xfId="15298"/>
    <cellStyle name="Saída 2 3 4 3 3" xfId="2541"/>
    <cellStyle name="Saída 2 3 4 3 3 2" xfId="7182"/>
    <cellStyle name="Saída 2 3 4 3 3 2 2" xfId="9796"/>
    <cellStyle name="Saída 2 3 4 3 3 2 2 2" xfId="16058"/>
    <cellStyle name="Saída 2 3 4 3 3 2 2 2 2" xfId="29474"/>
    <cellStyle name="Saída 2 3 4 3 3 2 2 3" xfId="20803"/>
    <cellStyle name="Saída 2 3 4 3 3 2 3" xfId="13786"/>
    <cellStyle name="Saída 2 3 4 3 3 2 3 2" xfId="28108"/>
    <cellStyle name="Saída 2 3 4 3 3 2 4" xfId="19431"/>
    <cellStyle name="Saída 2 3 4 3 3 3" xfId="13113"/>
    <cellStyle name="Saída 2 3 4 3 3 3 2" xfId="27435"/>
    <cellStyle name="Saída 2 3 4 3 3 4" xfId="18758"/>
    <cellStyle name="Saída 2 3 4 3 4" xfId="5479"/>
    <cellStyle name="Saída 2 3 4 3 4 2" xfId="12030"/>
    <cellStyle name="Saída 2 3 4 3 4 2 2" xfId="26352"/>
    <cellStyle name="Saída 2 3 4 3 4 3" xfId="17675"/>
    <cellStyle name="Saída 2 3 4 3 5" xfId="2832"/>
    <cellStyle name="Saída 2 3 4 3 5 2" xfId="22395"/>
    <cellStyle name="Saída 2 3 4 3 6" xfId="15096"/>
    <cellStyle name="Saída 2 3 4 4" xfId="2542"/>
    <cellStyle name="Saída 2 3 4 4 2" xfId="6998"/>
    <cellStyle name="Saída 2 3 4 4 2 2" xfId="13602"/>
    <cellStyle name="Saída 2 3 4 4 2 2 2" xfId="27924"/>
    <cellStyle name="Saída 2 3 4 4 2 3" xfId="19247"/>
    <cellStyle name="Saída 2 3 4 4 3" xfId="5017"/>
    <cellStyle name="Saída 2 3 4 4 3 2" xfId="9544"/>
    <cellStyle name="Saída 2 3 4 4 3 2 2" xfId="15806"/>
    <cellStyle name="Saída 2 3 4 4 3 2 2 2" xfId="29222"/>
    <cellStyle name="Saída 2 3 4 4 3 2 3" xfId="20551"/>
    <cellStyle name="Saída 2 3 4 4 3 3" xfId="11563"/>
    <cellStyle name="Saída 2 3 4 4 3 3 2" xfId="25885"/>
    <cellStyle name="Saída 2 3 4 4 3 4" xfId="14682"/>
    <cellStyle name="Saída 2 3 4 4 4" xfId="11513"/>
    <cellStyle name="Saída 2 3 4 4 4 2" xfId="25835"/>
    <cellStyle name="Saída 2 3 4 4 5" xfId="15091"/>
    <cellStyle name="Saída 2 3 4 5" xfId="2543"/>
    <cellStyle name="Saída 2 3 4 5 2" xfId="7042"/>
    <cellStyle name="Saída 2 3 4 5 2 2" xfId="9656"/>
    <cellStyle name="Saída 2 3 4 5 2 2 2" xfId="15918"/>
    <cellStyle name="Saída 2 3 4 5 2 2 2 2" xfId="29334"/>
    <cellStyle name="Saída 2 3 4 5 2 2 3" xfId="20663"/>
    <cellStyle name="Saída 2 3 4 5 2 3" xfId="13646"/>
    <cellStyle name="Saída 2 3 4 5 2 3 2" xfId="27968"/>
    <cellStyle name="Saída 2 3 4 5 2 4" xfId="19291"/>
    <cellStyle name="Saída 2 3 4 5 3" xfId="12835"/>
    <cellStyle name="Saída 2 3 4 5 3 2" xfId="27157"/>
    <cellStyle name="Saída 2 3 4 5 4" xfId="18480"/>
    <cellStyle name="Saída 2 3 4 6" xfId="5407"/>
    <cellStyle name="Saída 2 3 4 6 2" xfId="11957"/>
    <cellStyle name="Saída 2 3 4 6 2 2" xfId="26279"/>
    <cellStyle name="Saída 2 3 4 6 3" xfId="17602"/>
    <cellStyle name="Saída 2 3 4 7" xfId="2789"/>
    <cellStyle name="Saída 2 3 4 7 2" xfId="22357"/>
    <cellStyle name="Saída 2 3 4 8" xfId="14823"/>
    <cellStyle name="Saída 2 3 5" xfId="2544"/>
    <cellStyle name="Saída 2 3 5 2" xfId="2545"/>
    <cellStyle name="Saída 2 3 5 2 2" xfId="2546"/>
    <cellStyle name="Saída 2 3 5 2 2 2" xfId="5915"/>
    <cellStyle name="Saída 2 3 5 2 2 2 2" xfId="12470"/>
    <cellStyle name="Saída 2 3 5 2 2 2 2 2" xfId="26792"/>
    <cellStyle name="Saída 2 3 5 2 2 2 3" xfId="18115"/>
    <cellStyle name="Saída 2 3 5 2 2 3" xfId="7447"/>
    <cellStyle name="Saída 2 3 5 2 2 3 2" xfId="10061"/>
    <cellStyle name="Saída 2 3 5 2 2 3 2 2" xfId="16323"/>
    <cellStyle name="Saída 2 3 5 2 2 3 2 2 2" xfId="29739"/>
    <cellStyle name="Saída 2 3 5 2 2 3 2 3" xfId="21068"/>
    <cellStyle name="Saída 2 3 5 2 2 3 3" xfId="14051"/>
    <cellStyle name="Saída 2 3 5 2 2 3 3 2" xfId="28373"/>
    <cellStyle name="Saída 2 3 5 2 2 3 4" xfId="19696"/>
    <cellStyle name="Saída 2 3 5 2 2 4" xfId="4896"/>
    <cellStyle name="Saída 2 3 5 2 2 4 2" xfId="23253"/>
    <cellStyle name="Saída 2 3 5 2 2 5" xfId="6683"/>
    <cellStyle name="Saída 2 3 5 2 3" xfId="2547"/>
    <cellStyle name="Saída 2 3 5 2 3 2" xfId="7556"/>
    <cellStyle name="Saída 2 3 5 2 3 2 2" xfId="10170"/>
    <cellStyle name="Saída 2 3 5 2 3 2 2 2" xfId="16432"/>
    <cellStyle name="Saída 2 3 5 2 3 2 2 2 2" xfId="29848"/>
    <cellStyle name="Saída 2 3 5 2 3 2 2 3" xfId="21177"/>
    <cellStyle name="Saída 2 3 5 2 3 2 3" xfId="14160"/>
    <cellStyle name="Saída 2 3 5 2 3 2 3 2" xfId="28482"/>
    <cellStyle name="Saída 2 3 5 2 3 2 4" xfId="19805"/>
    <cellStyle name="Saída 2 3 5 2 3 3" xfId="12487"/>
    <cellStyle name="Saída 2 3 5 2 3 3 2" xfId="26809"/>
    <cellStyle name="Saída 2 3 5 2 3 4" xfId="18132"/>
    <cellStyle name="Saída 2 3 5 2 4" xfId="5229"/>
    <cellStyle name="Saída 2 3 5 2 4 2" xfId="11779"/>
    <cellStyle name="Saída 2 3 5 2 4 2 2" xfId="26101"/>
    <cellStyle name="Saída 2 3 5 2 4 3" xfId="17424"/>
    <cellStyle name="Saída 2 3 5 2 5" xfId="4982"/>
    <cellStyle name="Saída 2 3 5 2 5 2" xfId="23292"/>
    <cellStyle name="Saída 2 3 5 2 6" xfId="17363"/>
    <cellStyle name="Saída 2 3 5 3" xfId="2548"/>
    <cellStyle name="Saída 2 3 5 3 2" xfId="6562"/>
    <cellStyle name="Saída 2 3 5 3 2 2" xfId="13150"/>
    <cellStyle name="Saída 2 3 5 3 2 2 2" xfId="27472"/>
    <cellStyle name="Saída 2 3 5 3 2 3" xfId="18795"/>
    <cellStyle name="Saída 2 3 5 3 3" xfId="7486"/>
    <cellStyle name="Saída 2 3 5 3 3 2" xfId="10100"/>
    <cellStyle name="Saída 2 3 5 3 3 2 2" xfId="16362"/>
    <cellStyle name="Saída 2 3 5 3 3 2 2 2" xfId="29778"/>
    <cellStyle name="Saída 2 3 5 3 3 2 3" xfId="21107"/>
    <cellStyle name="Saída 2 3 5 3 3 3" xfId="14090"/>
    <cellStyle name="Saída 2 3 5 3 3 3 2" xfId="28412"/>
    <cellStyle name="Saída 2 3 5 3 3 4" xfId="19735"/>
    <cellStyle name="Saída 2 3 5 3 4" xfId="4957"/>
    <cellStyle name="Saída 2 3 5 3 4 2" xfId="23279"/>
    <cellStyle name="Saída 2 3 5 3 5" xfId="4349"/>
    <cellStyle name="Saída 2 3 5 4" xfId="2549"/>
    <cellStyle name="Saída 2 3 5 4 2" xfId="7071"/>
    <cellStyle name="Saída 2 3 5 4 2 2" xfId="9685"/>
    <cellStyle name="Saída 2 3 5 4 2 2 2" xfId="15947"/>
    <cellStyle name="Saída 2 3 5 4 2 2 2 2" xfId="29363"/>
    <cellStyle name="Saída 2 3 5 4 2 2 3" xfId="20692"/>
    <cellStyle name="Saída 2 3 5 4 2 3" xfId="13675"/>
    <cellStyle name="Saída 2 3 5 4 2 3 2" xfId="27997"/>
    <cellStyle name="Saída 2 3 5 4 2 4" xfId="19320"/>
    <cellStyle name="Saída 2 3 5 4 3" xfId="12424"/>
    <cellStyle name="Saída 2 3 5 4 3 2" xfId="26746"/>
    <cellStyle name="Saída 2 3 5 4 4" xfId="18069"/>
    <cellStyle name="Saída 2 3 5 5" xfId="5046"/>
    <cellStyle name="Saída 2 3 5 5 2" xfId="11593"/>
    <cellStyle name="Saída 2 3 5 5 2 2" xfId="25915"/>
    <cellStyle name="Saída 2 3 5 5 3" xfId="15023"/>
    <cellStyle name="Saída 2 3 5 6" xfId="6106"/>
    <cellStyle name="Saída 2 3 5 6 2" xfId="23416"/>
    <cellStyle name="Saída 2 3 5 7" xfId="6523"/>
    <cellStyle name="Saída 2 3 6" xfId="2550"/>
    <cellStyle name="Saída 2 3 6 2" xfId="2551"/>
    <cellStyle name="Saída 2 3 6 2 2" xfId="6125"/>
    <cellStyle name="Saída 2 3 6 2 2 2" xfId="12694"/>
    <cellStyle name="Saída 2 3 6 2 2 2 2" xfId="27016"/>
    <cellStyle name="Saída 2 3 6 2 2 3" xfId="18339"/>
    <cellStyle name="Saída 2 3 6 2 3" xfId="7160"/>
    <cellStyle name="Saída 2 3 6 2 3 2" xfId="9774"/>
    <cellStyle name="Saída 2 3 6 2 3 2 2" xfId="16036"/>
    <cellStyle name="Saída 2 3 6 2 3 2 2 2" xfId="29452"/>
    <cellStyle name="Saída 2 3 6 2 3 2 3" xfId="20781"/>
    <cellStyle name="Saída 2 3 6 2 3 3" xfId="13764"/>
    <cellStyle name="Saída 2 3 6 2 3 3 2" xfId="28086"/>
    <cellStyle name="Saída 2 3 6 2 3 4" xfId="19409"/>
    <cellStyle name="Saída 2 3 6 2 4" xfId="3982"/>
    <cellStyle name="Saída 2 3 6 2 4 2" xfId="22685"/>
    <cellStyle name="Saída 2 3 6 2 5" xfId="17086"/>
    <cellStyle name="Saída 2 3 6 3" xfId="2552"/>
    <cellStyle name="Saída 2 3 6 3 2" xfId="7366"/>
    <cellStyle name="Saída 2 3 6 3 2 2" xfId="9980"/>
    <cellStyle name="Saída 2 3 6 3 2 2 2" xfId="16242"/>
    <cellStyle name="Saída 2 3 6 3 2 2 2 2" xfId="29658"/>
    <cellStyle name="Saída 2 3 6 3 2 2 3" xfId="20987"/>
    <cellStyle name="Saída 2 3 6 3 2 3" xfId="13970"/>
    <cellStyle name="Saída 2 3 6 3 2 3 2" xfId="28292"/>
    <cellStyle name="Saída 2 3 6 3 2 4" xfId="19615"/>
    <cellStyle name="Saída 2 3 6 3 3" xfId="13047"/>
    <cellStyle name="Saída 2 3 6 3 3 2" xfId="27369"/>
    <cellStyle name="Saída 2 3 6 3 4" xfId="18692"/>
    <cellStyle name="Saída 2 3 6 4" xfId="5369"/>
    <cellStyle name="Saída 2 3 6 4 2" xfId="11919"/>
    <cellStyle name="Saída 2 3 6 4 2 2" xfId="26241"/>
    <cellStyle name="Saída 2 3 6 4 3" xfId="17564"/>
    <cellStyle name="Saída 2 3 6 5" xfId="3590"/>
    <cellStyle name="Saída 2 3 6 5 2" xfId="22476"/>
    <cellStyle name="Saída 2 3 6 6" xfId="6456"/>
    <cellStyle name="Saída 2 3 7" xfId="2553"/>
    <cellStyle name="Saída 2 3 7 2" xfId="6167"/>
    <cellStyle name="Saída 2 3 7 2 2" xfId="12740"/>
    <cellStyle name="Saída 2 3 7 2 2 2" xfId="27062"/>
    <cellStyle name="Saída 2 3 7 2 3" xfId="18385"/>
    <cellStyle name="Saída 2 3 7 3" xfId="7111"/>
    <cellStyle name="Saída 2 3 7 3 2" xfId="9725"/>
    <cellStyle name="Saída 2 3 7 3 2 2" xfId="15987"/>
    <cellStyle name="Saída 2 3 7 3 2 2 2" xfId="29403"/>
    <cellStyle name="Saída 2 3 7 3 2 3" xfId="20732"/>
    <cellStyle name="Saída 2 3 7 3 3" xfId="13715"/>
    <cellStyle name="Saída 2 3 7 3 3 2" xfId="28037"/>
    <cellStyle name="Saída 2 3 7 3 4" xfId="19360"/>
    <cellStyle name="Saída 2 3 7 4" xfId="4145"/>
    <cellStyle name="Saída 2 3 7 4 2" xfId="22783"/>
    <cellStyle name="Saída 2 3 7 5" xfId="15589"/>
    <cellStyle name="Saída 2 3 8" xfId="2554"/>
    <cellStyle name="Saída 2 3 8 2" xfId="7326"/>
    <cellStyle name="Saída 2 3 8 2 2" xfId="9940"/>
    <cellStyle name="Saída 2 3 8 2 2 2" xfId="16202"/>
    <cellStyle name="Saída 2 3 8 2 2 2 2" xfId="29618"/>
    <cellStyle name="Saída 2 3 8 2 2 3" xfId="20947"/>
    <cellStyle name="Saída 2 3 8 2 3" xfId="13930"/>
    <cellStyle name="Saída 2 3 8 2 3 2" xfId="28252"/>
    <cellStyle name="Saída 2 3 8 2 4" xfId="19575"/>
    <cellStyle name="Saída 2 3 8 3" xfId="12528"/>
    <cellStyle name="Saída 2 3 8 3 2" xfId="26850"/>
    <cellStyle name="Saída 2 3 8 4" xfId="18173"/>
    <cellStyle name="Saída 2 3 9" xfId="4325"/>
    <cellStyle name="Saída 2 3 9 2" xfId="6454"/>
    <cellStyle name="Saída 2 3 9 2 2" xfId="23552"/>
    <cellStyle name="Saída 2 3 9 3" xfId="6580"/>
    <cellStyle name="Saída 2 4" xfId="2555"/>
    <cellStyle name="Saída 2 4 2" xfId="2556"/>
    <cellStyle name="Saída 2 4 2 2" xfId="2557"/>
    <cellStyle name="Saída 2 4 2 2 2" xfId="6920"/>
    <cellStyle name="Saída 2 4 2 2 2 2" xfId="13524"/>
    <cellStyle name="Saída 2 4 2 2 2 2 2" xfId="27846"/>
    <cellStyle name="Saída 2 4 2 2 2 3" xfId="19169"/>
    <cellStyle name="Saída 2 4 2 2 3" xfId="7489"/>
    <cellStyle name="Saída 2 4 2 2 3 2" xfId="10103"/>
    <cellStyle name="Saída 2 4 2 2 3 2 2" xfId="16365"/>
    <cellStyle name="Saída 2 4 2 2 3 2 2 2" xfId="29781"/>
    <cellStyle name="Saída 2 4 2 2 3 2 3" xfId="21110"/>
    <cellStyle name="Saída 2 4 2 2 3 3" xfId="14093"/>
    <cellStyle name="Saída 2 4 2 2 3 3 2" xfId="28415"/>
    <cellStyle name="Saída 2 4 2 2 3 4" xfId="19738"/>
    <cellStyle name="Saída 2 4 2 2 4" xfId="11408"/>
    <cellStyle name="Saída 2 4 2 2 4 2" xfId="25730"/>
    <cellStyle name="Saída 2 4 2 2 5" xfId="15488"/>
    <cellStyle name="Saída 2 4 2 3" xfId="2558"/>
    <cellStyle name="Saída 2 4 2 3 2" xfId="5032"/>
    <cellStyle name="Saída 2 4 2 3 2 2" xfId="9550"/>
    <cellStyle name="Saída 2 4 2 3 2 2 2" xfId="15812"/>
    <cellStyle name="Saída 2 4 2 3 2 2 2 2" xfId="29228"/>
    <cellStyle name="Saída 2 4 2 3 2 2 3" xfId="20557"/>
    <cellStyle name="Saída 2 4 2 3 2 3" xfId="11579"/>
    <cellStyle name="Saída 2 4 2 3 2 3 2" xfId="25901"/>
    <cellStyle name="Saída 2 4 2 3 2 4" xfId="4860"/>
    <cellStyle name="Saída 2 4 2 3 3" xfId="13214"/>
    <cellStyle name="Saída 2 4 2 3 3 2" xfId="27536"/>
    <cellStyle name="Saída 2 4 2 3 4" xfId="18859"/>
    <cellStyle name="Saída 2 4 2 4" xfId="5654"/>
    <cellStyle name="Saída 2 4 2 4 2" xfId="12207"/>
    <cellStyle name="Saída 2 4 2 4 2 2" xfId="26529"/>
    <cellStyle name="Saída 2 4 2 4 3" xfId="17852"/>
    <cellStyle name="Saída 2 4 2 5" xfId="6304"/>
    <cellStyle name="Saída 2 4 2 5 2" xfId="23500"/>
    <cellStyle name="Saída 2 4 2 6" xfId="3955"/>
    <cellStyle name="Saída 2 4 3" xfId="2559"/>
    <cellStyle name="Saída 2 4 3 2" xfId="2560"/>
    <cellStyle name="Saída 2 4 3 2 2" xfId="7033"/>
    <cellStyle name="Saída 2 4 3 2 2 2" xfId="13637"/>
    <cellStyle name="Saída 2 4 3 2 2 2 2" xfId="27959"/>
    <cellStyle name="Saída 2 4 3 2 2 3" xfId="19282"/>
    <cellStyle name="Saída 2 4 3 2 3" xfId="5272"/>
    <cellStyle name="Saída 2 4 3 2 3 2" xfId="9581"/>
    <cellStyle name="Saída 2 4 3 2 3 2 2" xfId="15843"/>
    <cellStyle name="Saída 2 4 3 2 3 2 2 2" xfId="29259"/>
    <cellStyle name="Saída 2 4 3 2 3 2 3" xfId="20588"/>
    <cellStyle name="Saída 2 4 3 2 3 3" xfId="11822"/>
    <cellStyle name="Saída 2 4 3 2 3 3 2" xfId="26144"/>
    <cellStyle name="Saída 2 4 3 2 3 4" xfId="17467"/>
    <cellStyle name="Saída 2 4 3 2 4" xfId="11573"/>
    <cellStyle name="Saída 2 4 3 2 4 2" xfId="25895"/>
    <cellStyle name="Saída 2 4 3 2 5" xfId="17007"/>
    <cellStyle name="Saída 2 4 3 3" xfId="2561"/>
    <cellStyle name="Saída 2 4 3 3 2" xfId="7600"/>
    <cellStyle name="Saída 2 4 3 3 2 2" xfId="10214"/>
    <cellStyle name="Saída 2 4 3 3 2 2 2" xfId="16476"/>
    <cellStyle name="Saída 2 4 3 3 2 2 2 2" xfId="29892"/>
    <cellStyle name="Saída 2 4 3 3 2 2 3" xfId="21221"/>
    <cellStyle name="Saída 2 4 3 3 2 3" xfId="14204"/>
    <cellStyle name="Saída 2 4 3 3 2 3 2" xfId="28526"/>
    <cellStyle name="Saída 2 4 3 3 2 4" xfId="19849"/>
    <cellStyle name="Saída 2 4 3 3 3" xfId="12649"/>
    <cellStyle name="Saída 2 4 3 3 3 2" xfId="26971"/>
    <cellStyle name="Saída 2 4 3 3 4" xfId="18294"/>
    <cellStyle name="Saída 2 4 3 4" xfId="5148"/>
    <cellStyle name="Saída 2 4 3 4 2" xfId="11697"/>
    <cellStyle name="Saída 2 4 3 4 2 2" xfId="26019"/>
    <cellStyle name="Saída 2 4 3 4 3" xfId="5897"/>
    <cellStyle name="Saída 2 4 3 5" xfId="3976"/>
    <cellStyle name="Saída 2 4 3 5 2" xfId="22681"/>
    <cellStyle name="Saída 2 4 3 6" xfId="17147"/>
    <cellStyle name="Saída 2 4 4" xfId="2562"/>
    <cellStyle name="Saída 2 4 4 2" xfId="6864"/>
    <cellStyle name="Saída 2 4 4 2 2" xfId="13468"/>
    <cellStyle name="Saída 2 4 4 2 2 2" xfId="27790"/>
    <cellStyle name="Saída 2 4 4 2 3" xfId="19113"/>
    <cellStyle name="Saída 2 4 4 3" xfId="7158"/>
    <cellStyle name="Saída 2 4 4 3 2" xfId="9772"/>
    <cellStyle name="Saída 2 4 4 3 2 2" xfId="16034"/>
    <cellStyle name="Saída 2 4 4 3 2 2 2" xfId="29450"/>
    <cellStyle name="Saída 2 4 4 3 2 3" xfId="20779"/>
    <cellStyle name="Saída 2 4 4 3 3" xfId="13762"/>
    <cellStyle name="Saída 2 4 4 3 3 2" xfId="28084"/>
    <cellStyle name="Saída 2 4 4 3 4" xfId="19407"/>
    <cellStyle name="Saída 2 4 4 4" xfId="11323"/>
    <cellStyle name="Saída 2 4 4 4 2" xfId="25645"/>
    <cellStyle name="Saída 2 4 4 5" xfId="4981"/>
    <cellStyle name="Saída 2 4 5" xfId="2563"/>
    <cellStyle name="Saída 2 4 5 2" xfId="7479"/>
    <cellStyle name="Saída 2 4 5 2 2" xfId="10093"/>
    <cellStyle name="Saída 2 4 5 2 2 2" xfId="16355"/>
    <cellStyle name="Saída 2 4 5 2 2 2 2" xfId="29771"/>
    <cellStyle name="Saída 2 4 5 2 2 3" xfId="21100"/>
    <cellStyle name="Saída 2 4 5 2 3" xfId="14083"/>
    <cellStyle name="Saída 2 4 5 2 3 2" xfId="28405"/>
    <cellStyle name="Saída 2 4 5 2 4" xfId="19728"/>
    <cellStyle name="Saída 2 4 5 3" xfId="12450"/>
    <cellStyle name="Saída 2 4 5 3 2" xfId="26772"/>
    <cellStyle name="Saída 2 4 5 4" xfId="18095"/>
    <cellStyle name="Saída 2 4 6" xfId="5123"/>
    <cellStyle name="Saída 2 4 6 2" xfId="11671"/>
    <cellStyle name="Saída 2 4 6 2 2" xfId="25993"/>
    <cellStyle name="Saída 2 4 6 3" xfId="15253"/>
    <cellStyle name="Saída 2 4 7" xfId="6808"/>
    <cellStyle name="Saída 2 4 7 2" xfId="23747"/>
    <cellStyle name="Saída 2 4 8" xfId="14726"/>
    <cellStyle name="Saída 2 5" xfId="2564"/>
    <cellStyle name="Saída 2 5 2" xfId="2565"/>
    <cellStyle name="Saída 2 5 2 2" xfId="2566"/>
    <cellStyle name="Saída 2 5 2 2 2" xfId="5109"/>
    <cellStyle name="Saída 2 5 2 2 2 2" xfId="11656"/>
    <cellStyle name="Saída 2 5 2 2 2 2 2" xfId="25978"/>
    <cellStyle name="Saída 2 5 2 2 2 3" xfId="4286"/>
    <cellStyle name="Saída 2 5 2 2 3" xfId="7314"/>
    <cellStyle name="Saída 2 5 2 2 3 2" xfId="9928"/>
    <cellStyle name="Saída 2 5 2 2 3 2 2" xfId="16190"/>
    <cellStyle name="Saída 2 5 2 2 3 2 2 2" xfId="29606"/>
    <cellStyle name="Saída 2 5 2 2 3 2 3" xfId="20935"/>
    <cellStyle name="Saída 2 5 2 2 3 3" xfId="13918"/>
    <cellStyle name="Saída 2 5 2 2 3 3 2" xfId="28240"/>
    <cellStyle name="Saída 2 5 2 2 3 4" xfId="19563"/>
    <cellStyle name="Saída 2 5 2 2 4" xfId="6794"/>
    <cellStyle name="Saída 2 5 2 2 4 2" xfId="23737"/>
    <cellStyle name="Saída 2 5 2 2 5" xfId="15571"/>
    <cellStyle name="Saída 2 5 2 3" xfId="2567"/>
    <cellStyle name="Saída 2 5 2 3 2" xfId="4321"/>
    <cellStyle name="Saída 2 5 2 3 2 2" xfId="9448"/>
    <cellStyle name="Saída 2 5 2 3 2 2 2" xfId="15710"/>
    <cellStyle name="Saída 2 5 2 3 2 2 2 2" xfId="29126"/>
    <cellStyle name="Saída 2 5 2 3 2 2 3" xfId="20455"/>
    <cellStyle name="Saída 2 5 2 3 2 3" xfId="4543"/>
    <cellStyle name="Saída 2 5 2 3 2 3 2" xfId="23022"/>
    <cellStyle name="Saída 2 5 2 3 2 4" xfId="15581"/>
    <cellStyle name="Saída 2 5 2 3 3" xfId="13266"/>
    <cellStyle name="Saída 2 5 2 3 3 2" xfId="27588"/>
    <cellStyle name="Saída 2 5 2 3 4" xfId="18911"/>
    <cellStyle name="Saída 2 5 2 4" xfId="5712"/>
    <cellStyle name="Saída 2 5 2 4 2" xfId="12265"/>
    <cellStyle name="Saída 2 5 2 4 2 2" xfId="26587"/>
    <cellStyle name="Saída 2 5 2 4 3" xfId="17910"/>
    <cellStyle name="Saída 2 5 2 5" xfId="3801"/>
    <cellStyle name="Saída 2 5 2 5 2" xfId="22589"/>
    <cellStyle name="Saída 2 5 2 6" xfId="3654"/>
    <cellStyle name="Saída 2 5 3" xfId="2568"/>
    <cellStyle name="Saída 2 5 3 2" xfId="2569"/>
    <cellStyle name="Saída 2 5 3 2 2" xfId="6057"/>
    <cellStyle name="Saída 2 5 3 2 2 2" xfId="12623"/>
    <cellStyle name="Saída 2 5 3 2 2 2 2" xfId="26945"/>
    <cellStyle name="Saída 2 5 3 2 2 3" xfId="18268"/>
    <cellStyle name="Saída 2 5 3 2 3" xfId="7927"/>
    <cellStyle name="Saída 2 5 3 2 3 2" xfId="10541"/>
    <cellStyle name="Saída 2 5 3 2 3 2 2" xfId="16803"/>
    <cellStyle name="Saída 2 5 3 2 3 2 2 2" xfId="30219"/>
    <cellStyle name="Saída 2 5 3 2 3 2 3" xfId="21548"/>
    <cellStyle name="Saída 2 5 3 2 3 3" xfId="14531"/>
    <cellStyle name="Saída 2 5 3 2 3 3 2" xfId="28853"/>
    <cellStyle name="Saída 2 5 3 2 3 4" xfId="20176"/>
    <cellStyle name="Saída 2 5 3 2 4" xfId="6609"/>
    <cellStyle name="Saída 2 5 3 2 4 2" xfId="23601"/>
    <cellStyle name="Saída 2 5 3 2 5" xfId="6301"/>
    <cellStyle name="Saída 2 5 3 3" xfId="2570"/>
    <cellStyle name="Saída 2 5 3 3 2" xfId="7854"/>
    <cellStyle name="Saída 2 5 3 3 2 2" xfId="10468"/>
    <cellStyle name="Saída 2 5 3 3 2 2 2" xfId="16730"/>
    <cellStyle name="Saída 2 5 3 3 2 2 2 2" xfId="30146"/>
    <cellStyle name="Saída 2 5 3 3 2 2 3" xfId="21475"/>
    <cellStyle name="Saída 2 5 3 3 2 3" xfId="14458"/>
    <cellStyle name="Saída 2 5 3 3 2 3 2" xfId="28780"/>
    <cellStyle name="Saída 2 5 3 3 2 4" xfId="20103"/>
    <cellStyle name="Saída 2 5 3 3 3" xfId="13254"/>
    <cellStyle name="Saída 2 5 3 3 3 2" xfId="27576"/>
    <cellStyle name="Saída 2 5 3 3 4" xfId="18899"/>
    <cellStyle name="Saída 2 5 3 4" xfId="5697"/>
    <cellStyle name="Saída 2 5 3 4 2" xfId="12250"/>
    <cellStyle name="Saída 2 5 3 4 2 2" xfId="26572"/>
    <cellStyle name="Saída 2 5 3 4 3" xfId="17895"/>
    <cellStyle name="Saída 2 5 3 5" xfId="6768"/>
    <cellStyle name="Saída 2 5 3 5 2" xfId="23714"/>
    <cellStyle name="Saída 2 5 3 6" xfId="14860"/>
    <cellStyle name="Saída 2 5 4" xfId="2571"/>
    <cellStyle name="Saída 2 5 4 2" xfId="6001"/>
    <cellStyle name="Saída 2 5 4 2 2" xfId="12560"/>
    <cellStyle name="Saída 2 5 4 2 2 2" xfId="26882"/>
    <cellStyle name="Saída 2 5 4 2 3" xfId="18205"/>
    <cellStyle name="Saída 2 5 4 3" xfId="4810"/>
    <cellStyle name="Saída 2 5 4 3 2" xfId="9492"/>
    <cellStyle name="Saída 2 5 4 3 2 2" xfId="15754"/>
    <cellStyle name="Saída 2 5 4 3 2 2 2" xfId="29170"/>
    <cellStyle name="Saída 2 5 4 3 2 3" xfId="20499"/>
    <cellStyle name="Saída 2 5 4 3 3" xfId="11341"/>
    <cellStyle name="Saída 2 5 4 3 3 2" xfId="25663"/>
    <cellStyle name="Saída 2 5 4 3 4" xfId="15167"/>
    <cellStyle name="Saída 2 5 4 4" xfId="6349"/>
    <cellStyle name="Saída 2 5 4 4 2" xfId="23535"/>
    <cellStyle name="Saída 2 5 4 5" xfId="15179"/>
    <cellStyle name="Saída 2 5 5" xfId="2572"/>
    <cellStyle name="Saída 2 5 5 2" xfId="7115"/>
    <cellStyle name="Saída 2 5 5 2 2" xfId="9729"/>
    <cellStyle name="Saída 2 5 5 2 2 2" xfId="15991"/>
    <cellStyle name="Saída 2 5 5 2 2 2 2" xfId="29407"/>
    <cellStyle name="Saída 2 5 5 2 2 3" xfId="20736"/>
    <cellStyle name="Saída 2 5 5 2 3" xfId="13719"/>
    <cellStyle name="Saída 2 5 5 2 3 2" xfId="28041"/>
    <cellStyle name="Saída 2 5 5 2 4" xfId="19364"/>
    <cellStyle name="Saída 2 5 5 3" xfId="12822"/>
    <cellStyle name="Saída 2 5 5 3 2" xfId="27144"/>
    <cellStyle name="Saída 2 5 5 4" xfId="18467"/>
    <cellStyle name="Saída 2 5 6" xfId="5367"/>
    <cellStyle name="Saída 2 5 6 2" xfId="11917"/>
    <cellStyle name="Saída 2 5 6 2 2" xfId="26239"/>
    <cellStyle name="Saída 2 5 6 3" xfId="17562"/>
    <cellStyle name="Saída 2 5 7" xfId="4183"/>
    <cellStyle name="Saída 2 5 7 2" xfId="22805"/>
    <cellStyle name="Saída 2 5 8" xfId="3710"/>
    <cellStyle name="Saída 2 6" xfId="2573"/>
    <cellStyle name="Saída 2 6 2" xfId="2574"/>
    <cellStyle name="Saída 2 6 2 2" xfId="2575"/>
    <cellStyle name="Saída 2 6 2 2 2" xfId="6951"/>
    <cellStyle name="Saída 2 6 2 2 2 2" xfId="13555"/>
    <cellStyle name="Saída 2 6 2 2 2 2 2" xfId="27877"/>
    <cellStyle name="Saída 2 6 2 2 2 3" xfId="19200"/>
    <cellStyle name="Saída 2 6 2 2 3" xfId="7965"/>
    <cellStyle name="Saída 2 6 2 2 3 2" xfId="10579"/>
    <cellStyle name="Saída 2 6 2 2 3 2 2" xfId="16841"/>
    <cellStyle name="Saída 2 6 2 2 3 2 2 2" xfId="30257"/>
    <cellStyle name="Saída 2 6 2 2 3 2 3" xfId="21586"/>
    <cellStyle name="Saída 2 6 2 2 3 3" xfId="14569"/>
    <cellStyle name="Saída 2 6 2 2 3 3 2" xfId="28891"/>
    <cellStyle name="Saída 2 6 2 2 3 4" xfId="20214"/>
    <cellStyle name="Saída 2 6 2 2 4" xfId="11447"/>
    <cellStyle name="Saída 2 6 2 2 4 2" xfId="25769"/>
    <cellStyle name="Saída 2 6 2 2 5" xfId="4895"/>
    <cellStyle name="Saída 2 6 2 3" xfId="2576"/>
    <cellStyle name="Saída 2 6 2 3 2" xfId="3959"/>
    <cellStyle name="Saída 2 6 2 3 2 2" xfId="9403"/>
    <cellStyle name="Saída 2 6 2 3 2 2 2" xfId="15665"/>
    <cellStyle name="Saída 2 6 2 3 2 2 2 2" xfId="29081"/>
    <cellStyle name="Saída 2 6 2 3 2 2 3" xfId="20410"/>
    <cellStyle name="Saída 2 6 2 3 2 3" xfId="3693"/>
    <cellStyle name="Saída 2 6 2 3 2 3 2" xfId="22532"/>
    <cellStyle name="Saída 2 6 2 3 2 4" xfId="15349"/>
    <cellStyle name="Saída 2 6 2 3 3" xfId="13235"/>
    <cellStyle name="Saída 2 6 2 3 3 2" xfId="27557"/>
    <cellStyle name="Saída 2 6 2 3 4" xfId="18880"/>
    <cellStyle name="Saída 2 6 2 4" xfId="5676"/>
    <cellStyle name="Saída 2 6 2 4 2" xfId="12229"/>
    <cellStyle name="Saída 2 6 2 4 2 2" xfId="26551"/>
    <cellStyle name="Saída 2 6 2 4 3" xfId="17874"/>
    <cellStyle name="Saída 2 6 2 5" xfId="4873"/>
    <cellStyle name="Saída 2 6 2 5 2" xfId="23236"/>
    <cellStyle name="Saída 2 6 2 6" xfId="17380"/>
    <cellStyle name="Saída 2 6 3" xfId="2577"/>
    <cellStyle name="Saída 2 6 3 2" xfId="2578"/>
    <cellStyle name="Saída 2 6 3 2 2" xfId="6200"/>
    <cellStyle name="Saída 2 6 3 2 2 2" xfId="12773"/>
    <cellStyle name="Saída 2 6 3 2 2 2 2" xfId="27095"/>
    <cellStyle name="Saída 2 6 3 2 2 3" xfId="18418"/>
    <cellStyle name="Saída 2 6 3 2 3" xfId="5290"/>
    <cellStyle name="Saída 2 6 3 2 3 2" xfId="9599"/>
    <cellStyle name="Saída 2 6 3 2 3 2 2" xfId="15861"/>
    <cellStyle name="Saída 2 6 3 2 3 2 2 2" xfId="29277"/>
    <cellStyle name="Saída 2 6 3 2 3 2 3" xfId="20606"/>
    <cellStyle name="Saída 2 6 3 2 3 3" xfId="11840"/>
    <cellStyle name="Saída 2 6 3 2 3 3 2" xfId="26162"/>
    <cellStyle name="Saída 2 6 3 2 3 4" xfId="17485"/>
    <cellStyle name="Saída 2 6 3 2 4" xfId="3609"/>
    <cellStyle name="Saída 2 6 3 2 4 2" xfId="22487"/>
    <cellStyle name="Saída 2 6 3 2 5" xfId="14772"/>
    <cellStyle name="Saída 2 6 3 3" xfId="2579"/>
    <cellStyle name="Saída 2 6 3 3 2" xfId="7238"/>
    <cellStyle name="Saída 2 6 3 3 2 2" xfId="9852"/>
    <cellStyle name="Saída 2 6 3 3 2 2 2" xfId="16114"/>
    <cellStyle name="Saída 2 6 3 3 2 2 2 2" xfId="29530"/>
    <cellStyle name="Saída 2 6 3 3 2 2 3" xfId="20859"/>
    <cellStyle name="Saída 2 6 3 3 2 3" xfId="13842"/>
    <cellStyle name="Saída 2 6 3 3 2 3 2" xfId="28164"/>
    <cellStyle name="Saída 2 6 3 3 2 4" xfId="19487"/>
    <cellStyle name="Saída 2 6 3 3 3" xfId="13089"/>
    <cellStyle name="Saída 2 6 3 3 3 2" xfId="27411"/>
    <cellStyle name="Saída 2 6 3 3 4" xfId="18734"/>
    <cellStyle name="Saída 2 6 3 4" xfId="5444"/>
    <cellStyle name="Saída 2 6 3 4 2" xfId="11995"/>
    <cellStyle name="Saída 2 6 3 4 2 2" xfId="26317"/>
    <cellStyle name="Saída 2 6 3 4 3" xfId="17640"/>
    <cellStyle name="Saída 2 6 3 5" xfId="3925"/>
    <cellStyle name="Saída 2 6 3 5 2" xfId="22648"/>
    <cellStyle name="Saída 2 6 3 6" xfId="15528"/>
    <cellStyle name="Saída 2 6 4" xfId="2580"/>
    <cellStyle name="Saída 2 6 4 2" xfId="5607"/>
    <cellStyle name="Saída 2 6 4 2 2" xfId="12159"/>
    <cellStyle name="Saída 2 6 4 2 2 2" xfId="26481"/>
    <cellStyle name="Saída 2 6 4 2 3" xfId="17804"/>
    <cellStyle name="Saída 2 6 4 3" xfId="7145"/>
    <cellStyle name="Saída 2 6 4 3 2" xfId="9759"/>
    <cellStyle name="Saída 2 6 4 3 2 2" xfId="16021"/>
    <cellStyle name="Saída 2 6 4 3 2 2 2" xfId="29437"/>
    <cellStyle name="Saída 2 6 4 3 2 3" xfId="20766"/>
    <cellStyle name="Saída 2 6 4 3 3" xfId="13749"/>
    <cellStyle name="Saída 2 6 4 3 3 2" xfId="28071"/>
    <cellStyle name="Saída 2 6 4 3 4" xfId="19394"/>
    <cellStyle name="Saída 2 6 4 4" xfId="3507"/>
    <cellStyle name="Saída 2 6 4 4 2" xfId="22474"/>
    <cellStyle name="Saída 2 6 4 5" xfId="14872"/>
    <cellStyle name="Saída 2 6 5" xfId="2581"/>
    <cellStyle name="Saída 2 6 5 2" xfId="7627"/>
    <cellStyle name="Saída 2 6 5 2 2" xfId="10241"/>
    <cellStyle name="Saída 2 6 5 2 2 2" xfId="16503"/>
    <cellStyle name="Saída 2 6 5 2 2 2 2" xfId="29919"/>
    <cellStyle name="Saída 2 6 5 2 2 3" xfId="21248"/>
    <cellStyle name="Saída 2 6 5 2 3" xfId="14231"/>
    <cellStyle name="Saída 2 6 5 2 3 2" xfId="28553"/>
    <cellStyle name="Saída 2 6 5 2 4" xfId="19876"/>
    <cellStyle name="Saída 2 6 5 3" xfId="12662"/>
    <cellStyle name="Saída 2 6 5 3 2" xfId="26984"/>
    <cellStyle name="Saída 2 6 5 4" xfId="18307"/>
    <cellStyle name="Saída 2 6 6" xfId="5149"/>
    <cellStyle name="Saída 2 6 6 2" xfId="11698"/>
    <cellStyle name="Saída 2 6 6 2 2" xfId="26020"/>
    <cellStyle name="Saída 2 6 6 3" xfId="3660"/>
    <cellStyle name="Saída 2 6 7" xfId="3944"/>
    <cellStyle name="Saída 2 6 7 2" xfId="22660"/>
    <cellStyle name="Saída 2 6 8" xfId="14796"/>
    <cellStyle name="Saída 2 7" xfId="2582"/>
    <cellStyle name="Saída 2 7 2" xfId="2583"/>
    <cellStyle name="Saída 2 7 2 2" xfId="2584"/>
    <cellStyle name="Saída 2 7 2 2 2" xfId="6088"/>
    <cellStyle name="Saída 2 7 2 2 2 2" xfId="12654"/>
    <cellStyle name="Saída 2 7 2 2 2 2 2" xfId="26976"/>
    <cellStyle name="Saída 2 7 2 2 2 3" xfId="18299"/>
    <cellStyle name="Saída 2 7 2 2 3" xfId="7523"/>
    <cellStyle name="Saída 2 7 2 2 3 2" xfId="10137"/>
    <cellStyle name="Saída 2 7 2 2 3 2 2" xfId="16399"/>
    <cellStyle name="Saída 2 7 2 2 3 2 2 2" xfId="29815"/>
    <cellStyle name="Saída 2 7 2 2 3 2 3" xfId="21144"/>
    <cellStyle name="Saída 2 7 2 2 3 3" xfId="14127"/>
    <cellStyle name="Saída 2 7 2 2 3 3 2" xfId="28449"/>
    <cellStyle name="Saída 2 7 2 2 3 4" xfId="19772"/>
    <cellStyle name="Saída 2 7 2 2 4" xfId="6798"/>
    <cellStyle name="Saída 2 7 2 2 4 2" xfId="23739"/>
    <cellStyle name="Saída 2 7 2 2 5" xfId="15246"/>
    <cellStyle name="Saída 2 7 2 3" xfId="2585"/>
    <cellStyle name="Saída 2 7 2 3 2" xfId="7345"/>
    <cellStyle name="Saída 2 7 2 3 2 2" xfId="9959"/>
    <cellStyle name="Saída 2 7 2 3 2 2 2" xfId="16221"/>
    <cellStyle name="Saída 2 7 2 3 2 2 2 2" xfId="29637"/>
    <cellStyle name="Saída 2 7 2 3 2 2 3" xfId="20966"/>
    <cellStyle name="Saída 2 7 2 3 2 3" xfId="13949"/>
    <cellStyle name="Saída 2 7 2 3 2 3 2" xfId="28271"/>
    <cellStyle name="Saída 2 7 2 3 2 4" xfId="19594"/>
    <cellStyle name="Saída 2 7 2 3 3" xfId="13327"/>
    <cellStyle name="Saída 2 7 2 3 3 2" xfId="27649"/>
    <cellStyle name="Saída 2 7 2 3 4" xfId="18972"/>
    <cellStyle name="Saída 2 7 2 4" xfId="5777"/>
    <cellStyle name="Saída 2 7 2 4 2" xfId="12330"/>
    <cellStyle name="Saída 2 7 2 4 2 2" xfId="26652"/>
    <cellStyle name="Saída 2 7 2 4 3" xfId="17975"/>
    <cellStyle name="Saída 2 7 2 5" xfId="4862"/>
    <cellStyle name="Saída 2 7 2 5 2" xfId="23227"/>
    <cellStyle name="Saída 2 7 2 6" xfId="4651"/>
    <cellStyle name="Saída 2 7 3" xfId="2586"/>
    <cellStyle name="Saída 2 7 3 2" xfId="6982"/>
    <cellStyle name="Saída 2 7 3 2 2" xfId="13586"/>
    <cellStyle name="Saída 2 7 3 2 2 2" xfId="27908"/>
    <cellStyle name="Saída 2 7 3 2 3" xfId="19231"/>
    <cellStyle name="Saída 2 7 3 3" xfId="7357"/>
    <cellStyle name="Saída 2 7 3 3 2" xfId="9971"/>
    <cellStyle name="Saída 2 7 3 3 2 2" xfId="16233"/>
    <cellStyle name="Saída 2 7 3 3 2 2 2" xfId="29649"/>
    <cellStyle name="Saída 2 7 3 3 2 3" xfId="20978"/>
    <cellStyle name="Saída 2 7 3 3 3" xfId="13961"/>
    <cellStyle name="Saída 2 7 3 3 3 2" xfId="28283"/>
    <cellStyle name="Saída 2 7 3 3 4" xfId="19606"/>
    <cellStyle name="Saída 2 7 3 4" xfId="11494"/>
    <cellStyle name="Saída 2 7 3 4 2" xfId="25816"/>
    <cellStyle name="Saída 2 7 3 5" xfId="17080"/>
    <cellStyle name="Saída 2 7 4" xfId="2587"/>
    <cellStyle name="Saída 2 7 4 2" xfId="7784"/>
    <cellStyle name="Saída 2 7 4 2 2" xfId="10398"/>
    <cellStyle name="Saída 2 7 4 2 2 2" xfId="16660"/>
    <cellStyle name="Saída 2 7 4 2 2 2 2" xfId="30076"/>
    <cellStyle name="Saída 2 7 4 2 2 3" xfId="21405"/>
    <cellStyle name="Saída 2 7 4 2 3" xfId="14388"/>
    <cellStyle name="Saída 2 7 4 2 3 2" xfId="28710"/>
    <cellStyle name="Saída 2 7 4 2 4" xfId="20033"/>
    <cellStyle name="Saída 2 7 4 3" xfId="12866"/>
    <cellStyle name="Saída 2 7 4 3 2" xfId="27188"/>
    <cellStyle name="Saída 2 7 4 4" xfId="18511"/>
    <cellStyle name="Saída 2 7 5" xfId="5480"/>
    <cellStyle name="Saída 2 7 5 2" xfId="12031"/>
    <cellStyle name="Saída 2 7 5 2 2" xfId="26353"/>
    <cellStyle name="Saída 2 7 5 3" xfId="17676"/>
    <cellStyle name="Saída 2 7 6" xfId="6164"/>
    <cellStyle name="Saída 2 7 6 2" xfId="23437"/>
    <cellStyle name="Saída 2 7 7" xfId="4243"/>
    <cellStyle name="Saída 2 8" xfId="2588"/>
    <cellStyle name="Saída 2 8 2" xfId="2589"/>
    <cellStyle name="Saída 2 8 2 2" xfId="5931"/>
    <cellStyle name="Saída 2 8 2 2 2" xfId="12486"/>
    <cellStyle name="Saída 2 8 2 2 2 2" xfId="26808"/>
    <cellStyle name="Saída 2 8 2 2 3" xfId="18131"/>
    <cellStyle name="Saída 2 8 2 3" xfId="7619"/>
    <cellStyle name="Saída 2 8 2 3 2" xfId="10233"/>
    <cellStyle name="Saída 2 8 2 3 2 2" xfId="16495"/>
    <cellStyle name="Saída 2 8 2 3 2 2 2" xfId="29911"/>
    <cellStyle name="Saída 2 8 2 3 2 3" xfId="21240"/>
    <cellStyle name="Saída 2 8 2 3 3" xfId="14223"/>
    <cellStyle name="Saída 2 8 2 3 3 2" xfId="28545"/>
    <cellStyle name="Saída 2 8 2 3 4" xfId="19868"/>
    <cellStyle name="Saída 2 8 2 4" xfId="6242"/>
    <cellStyle name="Saída 2 8 2 4 2" xfId="23467"/>
    <cellStyle name="Saída 2 8 2 5" xfId="17173"/>
    <cellStyle name="Saída 2 8 3" xfId="2590"/>
    <cellStyle name="Saída 2 8 3 2" xfId="4007"/>
    <cellStyle name="Saída 2 8 3 2 2" xfId="9410"/>
    <cellStyle name="Saída 2 8 3 2 2 2" xfId="15672"/>
    <cellStyle name="Saída 2 8 3 2 2 2 2" xfId="29088"/>
    <cellStyle name="Saída 2 8 3 2 2 3" xfId="20417"/>
    <cellStyle name="Saída 2 8 3 2 3" xfId="4417"/>
    <cellStyle name="Saída 2 8 3 2 3 2" xfId="22938"/>
    <cellStyle name="Saída 2 8 3 2 4" xfId="14875"/>
    <cellStyle name="Saída 2 8 3 3" xfId="13130"/>
    <cellStyle name="Saída 2 8 3 3 2" xfId="27452"/>
    <cellStyle name="Saída 2 8 3 4" xfId="18775"/>
    <cellStyle name="Saída 2 8 4" xfId="5523"/>
    <cellStyle name="Saída 2 8 4 2" xfId="12074"/>
    <cellStyle name="Saída 2 8 4 2 2" xfId="26396"/>
    <cellStyle name="Saída 2 8 4 3" xfId="17719"/>
    <cellStyle name="Saída 2 8 5" xfId="3587"/>
    <cellStyle name="Saída 2 8 5 2" xfId="22475"/>
    <cellStyle name="Saída 2 8 6" xfId="15242"/>
    <cellStyle name="Saída 2 9" xfId="2591"/>
    <cellStyle name="Saída 2 9 2" xfId="5922"/>
    <cellStyle name="Saída 2 9 2 2" xfId="12477"/>
    <cellStyle name="Saída 2 9 2 2 2" xfId="26799"/>
    <cellStyle name="Saída 2 9 2 3" xfId="18122"/>
    <cellStyle name="Saída 2 9 3" xfId="7682"/>
    <cellStyle name="Saída 2 9 3 2" xfId="10296"/>
    <cellStyle name="Saída 2 9 3 2 2" xfId="16558"/>
    <cellStyle name="Saída 2 9 3 2 2 2" xfId="29974"/>
    <cellStyle name="Saída 2 9 3 2 3" xfId="21303"/>
    <cellStyle name="Saída 2 9 3 3" xfId="14286"/>
    <cellStyle name="Saída 2 9 3 3 2" xfId="28608"/>
    <cellStyle name="Saída 2 9 3 4" xfId="19931"/>
    <cellStyle name="Saída 2 9 4" xfId="3848"/>
    <cellStyle name="Saída 2 9 4 2" xfId="22612"/>
    <cellStyle name="Saída 2 9 5" xfId="6503"/>
    <cellStyle name="Saída 3" xfId="2592"/>
    <cellStyle name="Saída 3 2" xfId="5040"/>
    <cellStyle name="Saída 3 2 2" xfId="11587"/>
    <cellStyle name="Saída 3 2 2 2" xfId="25909"/>
    <cellStyle name="Saída 3 2 3" xfId="6602"/>
    <cellStyle name="Saída 3 3" xfId="3241"/>
    <cellStyle name="Saída 3 3 2" xfId="9047"/>
    <cellStyle name="Saída 3 3 2 2" xfId="15386"/>
    <cellStyle name="Saída 3 3 2 2 2" xfId="29005"/>
    <cellStyle name="Saída 3 3 2 3" xfId="20332"/>
    <cellStyle name="Saída 3 3 3" xfId="6214"/>
    <cellStyle name="Saída 3 3 3 2" xfId="23461"/>
    <cellStyle name="Saída 3 3 4" xfId="14970"/>
    <cellStyle name="Saída 3 4" xfId="4085"/>
    <cellStyle name="Saída 3 4 2" xfId="22751"/>
    <cellStyle name="Saída 3 5" xfId="17021"/>
    <cellStyle name="Saída 4" xfId="4134"/>
    <cellStyle name="Saída 4 2" xfId="2759"/>
    <cellStyle name="Saída 4 2 2" xfId="22328"/>
    <cellStyle name="Saída 4 3" xfId="4526"/>
    <cellStyle name="Saída 5" xfId="3606"/>
    <cellStyle name="Saída 5 2" xfId="22485"/>
    <cellStyle name="Saída 6" xfId="17375"/>
    <cellStyle name="Saída 7" xfId="20324"/>
    <cellStyle name="Saída 8" xfId="21703"/>
    <cellStyle name="Texto de Aviso" xfId="2593"/>
    <cellStyle name="Texto Explicativo" xfId="2594"/>
    <cellStyle name="Title 2" xfId="2595"/>
    <cellStyle name="Título" xfId="2596"/>
    <cellStyle name="Total 2" xfId="2597"/>
    <cellStyle name="Total 2 2" xfId="2598"/>
    <cellStyle name="Total 2 2 10" xfId="2599"/>
    <cellStyle name="Total 2 2 10 2" xfId="3586"/>
    <cellStyle name="Total 2 2 10 2 2" xfId="9337"/>
    <cellStyle name="Total 2 2 10 2 2 2" xfId="15599"/>
    <cellStyle name="Total 2 2 10 2 2 2 2" xfId="29015"/>
    <cellStyle name="Total 2 2 10 2 2 3" xfId="20344"/>
    <cellStyle name="Total 2 2 10 2 3" xfId="6501"/>
    <cellStyle name="Total 2 2 10 2 3 2" xfId="23571"/>
    <cellStyle name="Total 2 2 10 2 4" xfId="15346"/>
    <cellStyle name="Total 2 2 10 3" xfId="11746"/>
    <cellStyle name="Total 2 2 10 3 2" xfId="26068"/>
    <cellStyle name="Total 2 2 10 4" xfId="6269"/>
    <cellStyle name="Total 2 2 11" xfId="3866"/>
    <cellStyle name="Total 2 2 11 2" xfId="6818"/>
    <cellStyle name="Total 2 2 11 2 2" xfId="23754"/>
    <cellStyle name="Total 2 2 11 3" xfId="17378"/>
    <cellStyle name="Total 2 2 12" xfId="4729"/>
    <cellStyle name="Total 2 2 12 2" xfId="23156"/>
    <cellStyle name="Total 2 2 13" xfId="14688"/>
    <cellStyle name="Total 2 2 2" xfId="2600"/>
    <cellStyle name="Total 2 2 2 10" xfId="5055"/>
    <cellStyle name="Total 2 2 2 10 2" xfId="11602"/>
    <cellStyle name="Total 2 2 2 10 2 2" xfId="25924"/>
    <cellStyle name="Total 2 2 2 10 3" xfId="3870"/>
    <cellStyle name="Total 2 2 2 11" xfId="4542"/>
    <cellStyle name="Total 2 2 2 11 2" xfId="23021"/>
    <cellStyle name="Total 2 2 2 12" xfId="15005"/>
    <cellStyle name="Total 2 2 2 2" xfId="2601"/>
    <cellStyle name="Total 2 2 2 2 10" xfId="6461"/>
    <cellStyle name="Total 2 2 2 2 10 2" xfId="23556"/>
    <cellStyle name="Total 2 2 2 2 11" xfId="14851"/>
    <cellStyle name="Total 2 2 2 2 2" xfId="2602"/>
    <cellStyle name="Total 2 2 2 2 2 2" xfId="2603"/>
    <cellStyle name="Total 2 2 2 2 2 2 2" xfId="2604"/>
    <cellStyle name="Total 2 2 2 2 2 2 2 2" xfId="6593"/>
    <cellStyle name="Total 2 2 2 2 2 2 2 2 2" xfId="13182"/>
    <cellStyle name="Total 2 2 2 2 2 2 2 2 2 2" xfId="27504"/>
    <cellStyle name="Total 2 2 2 2 2 2 2 2 3" xfId="18827"/>
    <cellStyle name="Total 2 2 2 2 2 2 2 3" xfId="7990"/>
    <cellStyle name="Total 2 2 2 2 2 2 2 3 2" xfId="10604"/>
    <cellStyle name="Total 2 2 2 2 2 2 2 3 2 2" xfId="16866"/>
    <cellStyle name="Total 2 2 2 2 2 2 2 3 2 2 2" xfId="30282"/>
    <cellStyle name="Total 2 2 2 2 2 2 2 3 2 3" xfId="21611"/>
    <cellStyle name="Total 2 2 2 2 2 2 2 3 3" xfId="14594"/>
    <cellStyle name="Total 2 2 2 2 2 2 2 3 3 2" xfId="28916"/>
    <cellStyle name="Total 2 2 2 2 2 2 2 3 4" xfId="20239"/>
    <cellStyle name="Total 2 2 2 2 2 2 2 4" xfId="4640"/>
    <cellStyle name="Total 2 2 2 2 2 2 2 4 2" xfId="23084"/>
    <cellStyle name="Total 2 2 2 2 2 2 2 5" xfId="14771"/>
    <cellStyle name="Total 2 2 2 2 2 2 3" xfId="2605"/>
    <cellStyle name="Total 2 2 2 2 2 2 3 2" xfId="3751"/>
    <cellStyle name="Total 2 2 2 2 2 2 3 2 2" xfId="9367"/>
    <cellStyle name="Total 2 2 2 2 2 2 3 2 2 2" xfId="15629"/>
    <cellStyle name="Total 2 2 2 2 2 2 3 2 2 2 2" xfId="29045"/>
    <cellStyle name="Total 2 2 2 2 2 2 3 2 2 3" xfId="20374"/>
    <cellStyle name="Total 2 2 2 2 2 2 3 2 3" xfId="4069"/>
    <cellStyle name="Total 2 2 2 2 2 2 3 2 3 2" xfId="22741"/>
    <cellStyle name="Total 2 2 2 2 2 2 3 2 4" xfId="15128"/>
    <cellStyle name="Total 2 2 2 2 2 2 3 3" xfId="13292"/>
    <cellStyle name="Total 2 2 2 2 2 2 3 3 2" xfId="27614"/>
    <cellStyle name="Total 2 2 2 2 2 2 3 4" xfId="18937"/>
    <cellStyle name="Total 2 2 2 2 2 2 4" xfId="5742"/>
    <cellStyle name="Total 2 2 2 2 2 2 4 2" xfId="12295"/>
    <cellStyle name="Total 2 2 2 2 2 2 4 2 2" xfId="26617"/>
    <cellStyle name="Total 2 2 2 2 2 2 4 3" xfId="17940"/>
    <cellStyle name="Total 2 2 2 2 2 2 5" xfId="4747"/>
    <cellStyle name="Total 2 2 2 2 2 2 5 2" xfId="23167"/>
    <cellStyle name="Total 2 2 2 2 2 2 6" xfId="17235"/>
    <cellStyle name="Total 2 2 2 2 2 3" xfId="2606"/>
    <cellStyle name="Total 2 2 2 2 2 3 2" xfId="2607"/>
    <cellStyle name="Total 2 2 2 2 2 3 2 2" xfId="6423"/>
    <cellStyle name="Total 2 2 2 2 2 3 2 2 2" xfId="13006"/>
    <cellStyle name="Total 2 2 2 2 2 3 2 2 2 2" xfId="27328"/>
    <cellStyle name="Total 2 2 2 2 2 3 2 2 3" xfId="18651"/>
    <cellStyle name="Total 2 2 2 2 2 3 2 3" xfId="7757"/>
    <cellStyle name="Total 2 2 2 2 2 3 2 3 2" xfId="10371"/>
    <cellStyle name="Total 2 2 2 2 2 3 2 3 2 2" xfId="16633"/>
    <cellStyle name="Total 2 2 2 2 2 3 2 3 2 2 2" xfId="30049"/>
    <cellStyle name="Total 2 2 2 2 2 3 2 3 2 3" xfId="21378"/>
    <cellStyle name="Total 2 2 2 2 2 3 2 3 3" xfId="14361"/>
    <cellStyle name="Total 2 2 2 2 2 3 2 3 3 2" xfId="28683"/>
    <cellStyle name="Total 2 2 2 2 2 3 2 3 4" xfId="20006"/>
    <cellStyle name="Total 2 2 2 2 2 3 2 4" xfId="3729"/>
    <cellStyle name="Total 2 2 2 2 2 3 2 4 2" xfId="22550"/>
    <cellStyle name="Total 2 2 2 2 2 3 2 5" xfId="17377"/>
    <cellStyle name="Total 2 2 2 2 2 3 3" xfId="2608"/>
    <cellStyle name="Total 2 2 2 2 2 3 3 2" xfId="7950"/>
    <cellStyle name="Total 2 2 2 2 2 3 3 2 2" xfId="10564"/>
    <cellStyle name="Total 2 2 2 2 2 3 3 2 2 2" xfId="16826"/>
    <cellStyle name="Total 2 2 2 2 2 3 3 2 2 2 2" xfId="30242"/>
    <cellStyle name="Total 2 2 2 2 2 3 3 2 2 3" xfId="21571"/>
    <cellStyle name="Total 2 2 2 2 2 3 3 2 3" xfId="14554"/>
    <cellStyle name="Total 2 2 2 2 2 3 3 2 3 2" xfId="28876"/>
    <cellStyle name="Total 2 2 2 2 2 3 3 2 4" xfId="20199"/>
    <cellStyle name="Total 2 2 2 2 2 3 3 3" xfId="12601"/>
    <cellStyle name="Total 2 2 2 2 2 3 3 3 2" xfId="26923"/>
    <cellStyle name="Total 2 2 2 2 2 3 3 4" xfId="18246"/>
    <cellStyle name="Total 2 2 2 2 2 3 4" xfId="5053"/>
    <cellStyle name="Total 2 2 2 2 2 3 4 2" xfId="11600"/>
    <cellStyle name="Total 2 2 2 2 2 3 4 2 2" xfId="25922"/>
    <cellStyle name="Total 2 2 2 2 2 3 4 3" xfId="17252"/>
    <cellStyle name="Total 2 2 2 2 2 3 5" xfId="4587"/>
    <cellStyle name="Total 2 2 2 2 2 3 5 2" xfId="23050"/>
    <cellStyle name="Total 2 2 2 2 2 3 6" xfId="15317"/>
    <cellStyle name="Total 2 2 2 2 2 4" xfId="2609"/>
    <cellStyle name="Total 2 2 2 2 2 4 2" xfId="6409"/>
    <cellStyle name="Total 2 2 2 2 2 4 2 2" xfId="12992"/>
    <cellStyle name="Total 2 2 2 2 2 4 2 2 2" xfId="27314"/>
    <cellStyle name="Total 2 2 2 2 2 4 2 3" xfId="18637"/>
    <cellStyle name="Total 2 2 2 2 2 4 3" xfId="7692"/>
    <cellStyle name="Total 2 2 2 2 2 4 3 2" xfId="10306"/>
    <cellStyle name="Total 2 2 2 2 2 4 3 2 2" xfId="16568"/>
    <cellStyle name="Total 2 2 2 2 2 4 3 2 2 2" xfId="29984"/>
    <cellStyle name="Total 2 2 2 2 2 4 3 2 3" xfId="21313"/>
    <cellStyle name="Total 2 2 2 2 2 4 3 3" xfId="14296"/>
    <cellStyle name="Total 2 2 2 2 2 4 3 3 2" xfId="28618"/>
    <cellStyle name="Total 2 2 2 2 2 4 3 4" xfId="19941"/>
    <cellStyle name="Total 2 2 2 2 2 4 4" xfId="4361"/>
    <cellStyle name="Total 2 2 2 2 2 4 4 2" xfId="22905"/>
    <cellStyle name="Total 2 2 2 2 2 4 5" xfId="15235"/>
    <cellStyle name="Total 2 2 2 2 2 5" xfId="2610"/>
    <cellStyle name="Total 2 2 2 2 2 5 2" xfId="7751"/>
    <cellStyle name="Total 2 2 2 2 2 5 2 2" xfId="10365"/>
    <cellStyle name="Total 2 2 2 2 2 5 2 2 2" xfId="16627"/>
    <cellStyle name="Total 2 2 2 2 2 5 2 2 2 2" xfId="30043"/>
    <cellStyle name="Total 2 2 2 2 2 5 2 2 3" xfId="21372"/>
    <cellStyle name="Total 2 2 2 2 2 5 2 3" xfId="14355"/>
    <cellStyle name="Total 2 2 2 2 2 5 2 3 2" xfId="28677"/>
    <cellStyle name="Total 2 2 2 2 2 5 2 4" xfId="20000"/>
    <cellStyle name="Total 2 2 2 2 2 5 3" xfId="12868"/>
    <cellStyle name="Total 2 2 2 2 2 5 3 2" xfId="27190"/>
    <cellStyle name="Total 2 2 2 2 2 5 4" xfId="18513"/>
    <cellStyle name="Total 2 2 2 2 2 6" xfId="5486"/>
    <cellStyle name="Total 2 2 2 2 2 6 2" xfId="12037"/>
    <cellStyle name="Total 2 2 2 2 2 6 2 2" xfId="26359"/>
    <cellStyle name="Total 2 2 2 2 2 6 3" xfId="17682"/>
    <cellStyle name="Total 2 2 2 2 2 7" xfId="6780"/>
    <cellStyle name="Total 2 2 2 2 2 7 2" xfId="23725"/>
    <cellStyle name="Total 2 2 2 2 2 8" xfId="17150"/>
    <cellStyle name="Total 2 2 2 2 3" xfId="2611"/>
    <cellStyle name="Total 2 2 2 2 3 2" xfId="2612"/>
    <cellStyle name="Total 2 2 2 2 3 2 2" xfId="2613"/>
    <cellStyle name="Total 2 2 2 2 3 2 2 2" xfId="5919"/>
    <cellStyle name="Total 2 2 2 2 3 2 2 2 2" xfId="12474"/>
    <cellStyle name="Total 2 2 2 2 3 2 2 2 2 2" xfId="26796"/>
    <cellStyle name="Total 2 2 2 2 3 2 2 2 3" xfId="18119"/>
    <cellStyle name="Total 2 2 2 2 3 2 2 3" xfId="5295"/>
    <cellStyle name="Total 2 2 2 2 3 2 2 3 2" xfId="9604"/>
    <cellStyle name="Total 2 2 2 2 3 2 2 3 2 2" xfId="15866"/>
    <cellStyle name="Total 2 2 2 2 3 2 2 3 2 2 2" xfId="29282"/>
    <cellStyle name="Total 2 2 2 2 3 2 2 3 2 3" xfId="20611"/>
    <cellStyle name="Total 2 2 2 2 3 2 2 3 3" xfId="11845"/>
    <cellStyle name="Total 2 2 2 2 3 2 2 3 3 2" xfId="26167"/>
    <cellStyle name="Total 2 2 2 2 3 2 2 3 4" xfId="17490"/>
    <cellStyle name="Total 2 2 2 2 3 2 2 4" xfId="4928"/>
    <cellStyle name="Total 2 2 2 2 3 2 2 4 2" xfId="23266"/>
    <cellStyle name="Total 2 2 2 2 3 2 2 5" xfId="6618"/>
    <cellStyle name="Total 2 2 2 2 3 2 3" xfId="2614"/>
    <cellStyle name="Total 2 2 2 2 3 2 3 2" xfId="7936"/>
    <cellStyle name="Total 2 2 2 2 3 2 3 2 2" xfId="10550"/>
    <cellStyle name="Total 2 2 2 2 3 2 3 2 2 2" xfId="16812"/>
    <cellStyle name="Total 2 2 2 2 3 2 3 2 2 2 2" xfId="30228"/>
    <cellStyle name="Total 2 2 2 2 3 2 3 2 2 3" xfId="21557"/>
    <cellStyle name="Total 2 2 2 2 3 2 3 2 3" xfId="14540"/>
    <cellStyle name="Total 2 2 2 2 3 2 3 2 3 2" xfId="28862"/>
    <cellStyle name="Total 2 2 2 2 3 2 3 2 4" xfId="20185"/>
    <cellStyle name="Total 2 2 2 2 3 2 3 3" xfId="13328"/>
    <cellStyle name="Total 2 2 2 2 3 2 3 3 2" xfId="27650"/>
    <cellStyle name="Total 2 2 2 2 3 2 3 4" xfId="18973"/>
    <cellStyle name="Total 2 2 2 2 3 2 4" xfId="5778"/>
    <cellStyle name="Total 2 2 2 2 3 2 4 2" xfId="12331"/>
    <cellStyle name="Total 2 2 2 2 3 2 4 2 2" xfId="26653"/>
    <cellStyle name="Total 2 2 2 2 3 2 4 3" xfId="17976"/>
    <cellStyle name="Total 2 2 2 2 3 2 5" xfId="3802"/>
    <cellStyle name="Total 2 2 2 2 3 2 5 2" xfId="22590"/>
    <cellStyle name="Total 2 2 2 2 3 2 6" xfId="3239"/>
    <cellStyle name="Total 2 2 2 2 3 3" xfId="2615"/>
    <cellStyle name="Total 2 2 2 2 3 3 2" xfId="2616"/>
    <cellStyle name="Total 2 2 2 2 3 3 2 2" xfId="6961"/>
    <cellStyle name="Total 2 2 2 2 3 3 2 2 2" xfId="13565"/>
    <cellStyle name="Total 2 2 2 2 3 3 2 2 2 2" xfId="27887"/>
    <cellStyle name="Total 2 2 2 2 3 3 2 2 3" xfId="19210"/>
    <cellStyle name="Total 2 2 2 2 3 3 2 3" xfId="7200"/>
    <cellStyle name="Total 2 2 2 2 3 3 2 3 2" xfId="9814"/>
    <cellStyle name="Total 2 2 2 2 3 3 2 3 2 2" xfId="16076"/>
    <cellStyle name="Total 2 2 2 2 3 3 2 3 2 2 2" xfId="29492"/>
    <cellStyle name="Total 2 2 2 2 3 3 2 3 2 3" xfId="20821"/>
    <cellStyle name="Total 2 2 2 2 3 3 2 3 3" xfId="13804"/>
    <cellStyle name="Total 2 2 2 2 3 3 2 3 3 2" xfId="28126"/>
    <cellStyle name="Total 2 2 2 2 3 3 2 3 4" xfId="19449"/>
    <cellStyle name="Total 2 2 2 2 3 3 2 4" xfId="11464"/>
    <cellStyle name="Total 2 2 2 2 3 3 2 4 2" xfId="25786"/>
    <cellStyle name="Total 2 2 2 2 3 3 2 5" xfId="17181"/>
    <cellStyle name="Total 2 2 2 2 3 3 3" xfId="2617"/>
    <cellStyle name="Total 2 2 2 2 3 3 3 2" xfId="8031"/>
    <cellStyle name="Total 2 2 2 2 3 3 3 2 2" xfId="10645"/>
    <cellStyle name="Total 2 2 2 2 3 3 3 2 2 2" xfId="16907"/>
    <cellStyle name="Total 2 2 2 2 3 3 3 2 2 2 2" xfId="30323"/>
    <cellStyle name="Total 2 2 2 2 3 3 3 2 2 3" xfId="21652"/>
    <cellStyle name="Total 2 2 2 2 3 3 3 2 3" xfId="14635"/>
    <cellStyle name="Total 2 2 2 2 3 3 3 2 3 2" xfId="28957"/>
    <cellStyle name="Total 2 2 2 2 3 3 3 2 4" xfId="20280"/>
    <cellStyle name="Total 2 2 2 2 3 3 3 3" xfId="13374"/>
    <cellStyle name="Total 2 2 2 2 3 3 3 3 2" xfId="27696"/>
    <cellStyle name="Total 2 2 2 2 3 3 3 4" xfId="19019"/>
    <cellStyle name="Total 2 2 2 2 3 3 4" xfId="5826"/>
    <cellStyle name="Total 2 2 2 2 3 3 4 2" xfId="12379"/>
    <cellStyle name="Total 2 2 2 2 3 3 4 2 2" xfId="26701"/>
    <cellStyle name="Total 2 2 2 2 3 3 4 3" xfId="18024"/>
    <cellStyle name="Total 2 2 2 2 3 3 5" xfId="5124"/>
    <cellStyle name="Total 2 2 2 2 3 3 5 2" xfId="23327"/>
    <cellStyle name="Total 2 2 2 2 3 3 6" xfId="14746"/>
    <cellStyle name="Total 2 2 2 2 3 4" xfId="2618"/>
    <cellStyle name="Total 2 2 2 2 3 4 2" xfId="6865"/>
    <cellStyle name="Total 2 2 2 2 3 4 2 2" xfId="13469"/>
    <cellStyle name="Total 2 2 2 2 3 4 2 2 2" xfId="27791"/>
    <cellStyle name="Total 2 2 2 2 3 4 2 3" xfId="19114"/>
    <cellStyle name="Total 2 2 2 2 3 4 3" xfId="7337"/>
    <cellStyle name="Total 2 2 2 2 3 4 3 2" xfId="9951"/>
    <cellStyle name="Total 2 2 2 2 3 4 3 2 2" xfId="16213"/>
    <cellStyle name="Total 2 2 2 2 3 4 3 2 2 2" xfId="29629"/>
    <cellStyle name="Total 2 2 2 2 3 4 3 2 3" xfId="20958"/>
    <cellStyle name="Total 2 2 2 2 3 4 3 3" xfId="13941"/>
    <cellStyle name="Total 2 2 2 2 3 4 3 3 2" xfId="28263"/>
    <cellStyle name="Total 2 2 2 2 3 4 3 4" xfId="19586"/>
    <cellStyle name="Total 2 2 2 2 3 4 4" xfId="11324"/>
    <cellStyle name="Total 2 2 2 2 3 4 4 2" xfId="25646"/>
    <cellStyle name="Total 2 2 2 2 3 4 5" xfId="3777"/>
    <cellStyle name="Total 2 2 2 2 3 5" xfId="2619"/>
    <cellStyle name="Total 2 2 2 2 3 5 2" xfId="7452"/>
    <cellStyle name="Total 2 2 2 2 3 5 2 2" xfId="10066"/>
    <cellStyle name="Total 2 2 2 2 3 5 2 2 2" xfId="16328"/>
    <cellStyle name="Total 2 2 2 2 3 5 2 2 2 2" xfId="29744"/>
    <cellStyle name="Total 2 2 2 2 3 5 2 2 3" xfId="21073"/>
    <cellStyle name="Total 2 2 2 2 3 5 2 3" xfId="14056"/>
    <cellStyle name="Total 2 2 2 2 3 5 2 3 2" xfId="28378"/>
    <cellStyle name="Total 2 2 2 2 3 5 2 4" xfId="19701"/>
    <cellStyle name="Total 2 2 2 2 3 5 3" xfId="12904"/>
    <cellStyle name="Total 2 2 2 2 3 5 3 2" xfId="27226"/>
    <cellStyle name="Total 2 2 2 2 3 5 4" xfId="18549"/>
    <cellStyle name="Total 2 2 2 2 3 6" xfId="5528"/>
    <cellStyle name="Total 2 2 2 2 3 6 2" xfId="12079"/>
    <cellStyle name="Total 2 2 2 2 3 6 2 2" xfId="26401"/>
    <cellStyle name="Total 2 2 2 2 3 6 3" xfId="17724"/>
    <cellStyle name="Total 2 2 2 2 3 7" xfId="6306"/>
    <cellStyle name="Total 2 2 2 2 3 7 2" xfId="23502"/>
    <cellStyle name="Total 2 2 2 2 3 8" xfId="17397"/>
    <cellStyle name="Total 2 2 2 2 4" xfId="2620"/>
    <cellStyle name="Total 2 2 2 2 4 2" xfId="2621"/>
    <cellStyle name="Total 2 2 2 2 4 2 2" xfId="2622"/>
    <cellStyle name="Total 2 2 2 2 4 2 2 2" xfId="5968"/>
    <cellStyle name="Total 2 2 2 2 4 2 2 2 2" xfId="12526"/>
    <cellStyle name="Total 2 2 2 2 4 2 2 2 2 2" xfId="26848"/>
    <cellStyle name="Total 2 2 2 2 4 2 2 2 3" xfId="18171"/>
    <cellStyle name="Total 2 2 2 2 4 2 2 3" xfId="5305"/>
    <cellStyle name="Total 2 2 2 2 4 2 2 3 2" xfId="9614"/>
    <cellStyle name="Total 2 2 2 2 4 2 2 3 2 2" xfId="15876"/>
    <cellStyle name="Total 2 2 2 2 4 2 2 3 2 2 2" xfId="29292"/>
    <cellStyle name="Total 2 2 2 2 4 2 2 3 2 3" xfId="20621"/>
    <cellStyle name="Total 2 2 2 2 4 2 2 3 3" xfId="11855"/>
    <cellStyle name="Total 2 2 2 2 4 2 2 3 3 2" xfId="26177"/>
    <cellStyle name="Total 2 2 2 2 4 2 2 3 4" xfId="17500"/>
    <cellStyle name="Total 2 2 2 2 4 2 2 4" xfId="4177"/>
    <cellStyle name="Total 2 2 2 2 4 2 2 4 2" xfId="22800"/>
    <cellStyle name="Total 2 2 2 2 4 2 2 5" xfId="14790"/>
    <cellStyle name="Total 2 2 2 2 4 2 3" xfId="2623"/>
    <cellStyle name="Total 2 2 2 2 4 2 3 2" xfId="7693"/>
    <cellStyle name="Total 2 2 2 2 4 2 3 2 2" xfId="10307"/>
    <cellStyle name="Total 2 2 2 2 4 2 3 2 2 2" xfId="16569"/>
    <cellStyle name="Total 2 2 2 2 4 2 3 2 2 2 2" xfId="29985"/>
    <cellStyle name="Total 2 2 2 2 4 2 3 2 2 3" xfId="21314"/>
    <cellStyle name="Total 2 2 2 2 4 2 3 2 3" xfId="14297"/>
    <cellStyle name="Total 2 2 2 2 4 2 3 2 3 2" xfId="28619"/>
    <cellStyle name="Total 2 2 2 2 4 2 3 2 4" xfId="19942"/>
    <cellStyle name="Total 2 2 2 2 4 2 3 3" xfId="13208"/>
    <cellStyle name="Total 2 2 2 2 4 2 3 3 2" xfId="27530"/>
    <cellStyle name="Total 2 2 2 2 4 2 3 4" xfId="18853"/>
    <cellStyle name="Total 2 2 2 2 4 2 4" xfId="5647"/>
    <cellStyle name="Total 2 2 2 2 4 2 4 2" xfId="12200"/>
    <cellStyle name="Total 2 2 2 2 4 2 4 2 2" xfId="26522"/>
    <cellStyle name="Total 2 2 2 2 4 2 4 3" xfId="17845"/>
    <cellStyle name="Total 2 2 2 2 4 2 5" xfId="4037"/>
    <cellStyle name="Total 2 2 2 2 4 2 5 2" xfId="22715"/>
    <cellStyle name="Total 2 2 2 2 4 2 6" xfId="15279"/>
    <cellStyle name="Total 2 2 2 2 4 3" xfId="2624"/>
    <cellStyle name="Total 2 2 2 2 4 3 2" xfId="2625"/>
    <cellStyle name="Total 2 2 2 2 4 3 2 2" xfId="6970"/>
    <cellStyle name="Total 2 2 2 2 4 3 2 2 2" xfId="13574"/>
    <cellStyle name="Total 2 2 2 2 4 3 2 2 2 2" xfId="27896"/>
    <cellStyle name="Total 2 2 2 2 4 3 2 2 3" xfId="19219"/>
    <cellStyle name="Total 2 2 2 2 4 3 2 3" xfId="5266"/>
    <cellStyle name="Total 2 2 2 2 4 3 2 3 2" xfId="9575"/>
    <cellStyle name="Total 2 2 2 2 4 3 2 3 2 2" xfId="15837"/>
    <cellStyle name="Total 2 2 2 2 4 3 2 3 2 2 2" xfId="29253"/>
    <cellStyle name="Total 2 2 2 2 4 3 2 3 2 3" xfId="20582"/>
    <cellStyle name="Total 2 2 2 2 4 3 2 3 3" xfId="11816"/>
    <cellStyle name="Total 2 2 2 2 4 3 2 3 3 2" xfId="26138"/>
    <cellStyle name="Total 2 2 2 2 4 3 2 3 4" xfId="17461"/>
    <cellStyle name="Total 2 2 2 2 4 3 2 4" xfId="11477"/>
    <cellStyle name="Total 2 2 2 2 4 3 2 4 2" xfId="25799"/>
    <cellStyle name="Total 2 2 2 2 4 3 2 5" xfId="15399"/>
    <cellStyle name="Total 2 2 2 2 4 3 3" xfId="2626"/>
    <cellStyle name="Total 2 2 2 2 4 3 3 2" xfId="4111"/>
    <cellStyle name="Total 2 2 2 2 4 3 3 2 2" xfId="9430"/>
    <cellStyle name="Total 2 2 2 2 4 3 3 2 2 2" xfId="15692"/>
    <cellStyle name="Total 2 2 2 2 4 3 3 2 2 2 2" xfId="29108"/>
    <cellStyle name="Total 2 2 2 2 4 3 3 2 2 3" xfId="20437"/>
    <cellStyle name="Total 2 2 2 2 4 3 3 2 3" xfId="4105"/>
    <cellStyle name="Total 2 2 2 2 4 3 3 2 3 2" xfId="22760"/>
    <cellStyle name="Total 2 2 2 2 4 3 3 2 4" xfId="14911"/>
    <cellStyle name="Total 2 2 2 2 4 3 3 3" xfId="12617"/>
    <cellStyle name="Total 2 2 2 2 4 3 3 3 2" xfId="26939"/>
    <cellStyle name="Total 2 2 2 2 4 3 3 4" xfId="18262"/>
    <cellStyle name="Total 2 2 2 2 4 3 4" xfId="5171"/>
    <cellStyle name="Total 2 2 2 2 4 3 4 2" xfId="11720"/>
    <cellStyle name="Total 2 2 2 2 4 3 4 2 2" xfId="26042"/>
    <cellStyle name="Total 2 2 2 2 4 3 4 3" xfId="3274"/>
    <cellStyle name="Total 2 2 2 2 4 3 5" xfId="4129"/>
    <cellStyle name="Total 2 2 2 2 4 3 5 2" xfId="22771"/>
    <cellStyle name="Total 2 2 2 2 4 3 6" xfId="15266"/>
    <cellStyle name="Total 2 2 2 2 4 4" xfId="2627"/>
    <cellStyle name="Total 2 2 2 2 4 4 2" xfId="6147"/>
    <cellStyle name="Total 2 2 2 2 4 4 2 2" xfId="12717"/>
    <cellStyle name="Total 2 2 2 2 4 4 2 2 2" xfId="27039"/>
    <cellStyle name="Total 2 2 2 2 4 4 2 3" xfId="18362"/>
    <cellStyle name="Total 2 2 2 2 4 4 3" xfId="7999"/>
    <cellStyle name="Total 2 2 2 2 4 4 3 2" xfId="10613"/>
    <cellStyle name="Total 2 2 2 2 4 4 3 2 2" xfId="16875"/>
    <cellStyle name="Total 2 2 2 2 4 4 3 2 2 2" xfId="30291"/>
    <cellStyle name="Total 2 2 2 2 4 4 3 2 3" xfId="21620"/>
    <cellStyle name="Total 2 2 2 2 4 4 3 3" xfId="14603"/>
    <cellStyle name="Total 2 2 2 2 4 4 3 3 2" xfId="28925"/>
    <cellStyle name="Total 2 2 2 2 4 4 3 4" xfId="20248"/>
    <cellStyle name="Total 2 2 2 2 4 4 4" xfId="3195"/>
    <cellStyle name="Total 2 2 2 2 4 4 4 2" xfId="22436"/>
    <cellStyle name="Total 2 2 2 2 4 4 5" xfId="4600"/>
    <cellStyle name="Total 2 2 2 2 4 5" xfId="2628"/>
    <cellStyle name="Total 2 2 2 2 4 5 2" xfId="8032"/>
    <cellStyle name="Total 2 2 2 2 4 5 2 2" xfId="10646"/>
    <cellStyle name="Total 2 2 2 2 4 5 2 2 2" xfId="16908"/>
    <cellStyle name="Total 2 2 2 2 4 5 2 2 2 2" xfId="30324"/>
    <cellStyle name="Total 2 2 2 2 4 5 2 2 3" xfId="21653"/>
    <cellStyle name="Total 2 2 2 2 4 5 2 3" xfId="14636"/>
    <cellStyle name="Total 2 2 2 2 4 5 2 3 2" xfId="28958"/>
    <cellStyle name="Total 2 2 2 2 4 5 2 4" xfId="20281"/>
    <cellStyle name="Total 2 2 2 2 4 5 3" xfId="12469"/>
    <cellStyle name="Total 2 2 2 2 4 5 3 2" xfId="26791"/>
    <cellStyle name="Total 2 2 2 2 4 5 4" xfId="18114"/>
    <cellStyle name="Total 2 2 2 2 4 6" xfId="5048"/>
    <cellStyle name="Total 2 2 2 2 4 6 2" xfId="11595"/>
    <cellStyle name="Total 2 2 2 2 4 6 2 2" xfId="25917"/>
    <cellStyle name="Total 2 2 2 2 4 6 3" xfId="4203"/>
    <cellStyle name="Total 2 2 2 2 4 7" xfId="4899"/>
    <cellStyle name="Total 2 2 2 2 4 7 2" xfId="23255"/>
    <cellStyle name="Total 2 2 2 2 4 8" xfId="17352"/>
    <cellStyle name="Total 2 2 2 2 5" xfId="2629"/>
    <cellStyle name="Total 2 2 2 2 5 2" xfId="2630"/>
    <cellStyle name="Total 2 2 2 2 5 2 2" xfId="2631"/>
    <cellStyle name="Total 2 2 2 2 5 2 2 2" xfId="6055"/>
    <cellStyle name="Total 2 2 2 2 5 2 2 2 2" xfId="12621"/>
    <cellStyle name="Total 2 2 2 2 5 2 2 2 2 2" xfId="26943"/>
    <cellStyle name="Total 2 2 2 2 5 2 2 2 3" xfId="18266"/>
    <cellStyle name="Total 2 2 2 2 5 2 2 3" xfId="7060"/>
    <cellStyle name="Total 2 2 2 2 5 2 2 3 2" xfId="9674"/>
    <cellStyle name="Total 2 2 2 2 5 2 2 3 2 2" xfId="15936"/>
    <cellStyle name="Total 2 2 2 2 5 2 2 3 2 2 2" xfId="29352"/>
    <cellStyle name="Total 2 2 2 2 5 2 2 3 2 3" xfId="20681"/>
    <cellStyle name="Total 2 2 2 2 5 2 2 3 3" xfId="13664"/>
    <cellStyle name="Total 2 2 2 2 5 2 2 3 3 2" xfId="27986"/>
    <cellStyle name="Total 2 2 2 2 5 2 2 3 4" xfId="19309"/>
    <cellStyle name="Total 2 2 2 2 5 2 2 4" xfId="4480"/>
    <cellStyle name="Total 2 2 2 2 5 2 2 4 2" xfId="22978"/>
    <cellStyle name="Total 2 2 2 2 5 2 2 5" xfId="17328"/>
    <cellStyle name="Total 2 2 2 2 5 2 3" xfId="2632"/>
    <cellStyle name="Total 2 2 2 2 5 2 3 2" xfId="7194"/>
    <cellStyle name="Total 2 2 2 2 5 2 3 2 2" xfId="9808"/>
    <cellStyle name="Total 2 2 2 2 5 2 3 2 2 2" xfId="16070"/>
    <cellStyle name="Total 2 2 2 2 5 2 3 2 2 2 2" xfId="29486"/>
    <cellStyle name="Total 2 2 2 2 5 2 3 2 2 3" xfId="20815"/>
    <cellStyle name="Total 2 2 2 2 5 2 3 2 3" xfId="13798"/>
    <cellStyle name="Total 2 2 2 2 5 2 3 2 3 2" xfId="28120"/>
    <cellStyle name="Total 2 2 2 2 5 2 3 2 4" xfId="19443"/>
    <cellStyle name="Total 2 2 2 2 5 2 3 3" xfId="13177"/>
    <cellStyle name="Total 2 2 2 2 5 2 3 3 2" xfId="27499"/>
    <cellStyle name="Total 2 2 2 2 5 2 3 4" xfId="18822"/>
    <cellStyle name="Total 2 2 2 2 5 2 4" xfId="5600"/>
    <cellStyle name="Total 2 2 2 2 5 2 4 2" xfId="12152"/>
    <cellStyle name="Total 2 2 2 2 5 2 4 2 2" xfId="26474"/>
    <cellStyle name="Total 2 2 2 2 5 2 4 3" xfId="17797"/>
    <cellStyle name="Total 2 2 2 2 5 2 5" xfId="3970"/>
    <cellStyle name="Total 2 2 2 2 5 2 5 2" xfId="22676"/>
    <cellStyle name="Total 2 2 2 2 5 2 6" xfId="4274"/>
    <cellStyle name="Total 2 2 2 2 5 3" xfId="2633"/>
    <cellStyle name="Total 2 2 2 2 5 3 2" xfId="5921"/>
    <cellStyle name="Total 2 2 2 2 5 3 2 2" xfId="12476"/>
    <cellStyle name="Total 2 2 2 2 5 3 2 2 2" xfId="26798"/>
    <cellStyle name="Total 2 2 2 2 5 3 2 3" xfId="18121"/>
    <cellStyle name="Total 2 2 2 2 5 3 3" xfId="7210"/>
    <cellStyle name="Total 2 2 2 2 5 3 3 2" xfId="9824"/>
    <cellStyle name="Total 2 2 2 2 5 3 3 2 2" xfId="16086"/>
    <cellStyle name="Total 2 2 2 2 5 3 3 2 2 2" xfId="29502"/>
    <cellStyle name="Total 2 2 2 2 5 3 3 2 3" xfId="20831"/>
    <cellStyle name="Total 2 2 2 2 5 3 3 3" xfId="13814"/>
    <cellStyle name="Total 2 2 2 2 5 3 3 3 2" xfId="28136"/>
    <cellStyle name="Total 2 2 2 2 5 3 3 4" xfId="19459"/>
    <cellStyle name="Total 2 2 2 2 5 3 4" xfId="4423"/>
    <cellStyle name="Total 2 2 2 2 5 3 4 2" xfId="22941"/>
    <cellStyle name="Total 2 2 2 2 5 3 5" xfId="4372"/>
    <cellStyle name="Total 2 2 2 2 5 4" xfId="2634"/>
    <cellStyle name="Total 2 2 2 2 5 4 2" xfId="7367"/>
    <cellStyle name="Total 2 2 2 2 5 4 2 2" xfId="9981"/>
    <cellStyle name="Total 2 2 2 2 5 4 2 2 2" xfId="16243"/>
    <cellStyle name="Total 2 2 2 2 5 4 2 2 2 2" xfId="29659"/>
    <cellStyle name="Total 2 2 2 2 5 4 2 2 3" xfId="20988"/>
    <cellStyle name="Total 2 2 2 2 5 4 2 3" xfId="13971"/>
    <cellStyle name="Total 2 2 2 2 5 4 2 3 2" xfId="28293"/>
    <cellStyle name="Total 2 2 2 2 5 4 2 4" xfId="19616"/>
    <cellStyle name="Total 2 2 2 2 5 4 3" xfId="12838"/>
    <cellStyle name="Total 2 2 2 2 5 4 3 2" xfId="27160"/>
    <cellStyle name="Total 2 2 2 2 5 4 4" xfId="18483"/>
    <cellStyle name="Total 2 2 2 2 5 5" xfId="5412"/>
    <cellStyle name="Total 2 2 2 2 5 5 2" xfId="11962"/>
    <cellStyle name="Total 2 2 2 2 5 5 2 2" xfId="26284"/>
    <cellStyle name="Total 2 2 2 2 5 5 3" xfId="17607"/>
    <cellStyle name="Total 2 2 2 2 5 6" xfId="4087"/>
    <cellStyle name="Total 2 2 2 2 5 6 2" xfId="22753"/>
    <cellStyle name="Total 2 2 2 2 5 7" xfId="15025"/>
    <cellStyle name="Total 2 2 2 2 6" xfId="2635"/>
    <cellStyle name="Total 2 2 2 2 6 2" xfId="2636"/>
    <cellStyle name="Total 2 2 2 2 6 2 2" xfId="5948"/>
    <cellStyle name="Total 2 2 2 2 6 2 2 2" xfId="12505"/>
    <cellStyle name="Total 2 2 2 2 6 2 2 2 2" xfId="26827"/>
    <cellStyle name="Total 2 2 2 2 6 2 2 3" xfId="18150"/>
    <cellStyle name="Total 2 2 2 2 6 2 3" xfId="7706"/>
    <cellStyle name="Total 2 2 2 2 6 2 3 2" xfId="10320"/>
    <cellStyle name="Total 2 2 2 2 6 2 3 2 2" xfId="16582"/>
    <cellStyle name="Total 2 2 2 2 6 2 3 2 2 2" xfId="29998"/>
    <cellStyle name="Total 2 2 2 2 6 2 3 2 3" xfId="21327"/>
    <cellStyle name="Total 2 2 2 2 6 2 3 3" xfId="14310"/>
    <cellStyle name="Total 2 2 2 2 6 2 3 3 2" xfId="28632"/>
    <cellStyle name="Total 2 2 2 2 6 2 3 4" xfId="19955"/>
    <cellStyle name="Total 2 2 2 2 6 2 4" xfId="4262"/>
    <cellStyle name="Total 2 2 2 2 6 2 4 2" xfId="22857"/>
    <cellStyle name="Total 2 2 2 2 6 2 5" xfId="15063"/>
    <cellStyle name="Total 2 2 2 2 6 3" xfId="2637"/>
    <cellStyle name="Total 2 2 2 2 6 3 2" xfId="7338"/>
    <cellStyle name="Total 2 2 2 2 6 3 2 2" xfId="9952"/>
    <cellStyle name="Total 2 2 2 2 6 3 2 2 2" xfId="16214"/>
    <cellStyle name="Total 2 2 2 2 6 3 2 2 2 2" xfId="29630"/>
    <cellStyle name="Total 2 2 2 2 6 3 2 2 3" xfId="20959"/>
    <cellStyle name="Total 2 2 2 2 6 3 2 3" xfId="13942"/>
    <cellStyle name="Total 2 2 2 2 6 3 2 3 2" xfId="28264"/>
    <cellStyle name="Total 2 2 2 2 6 3 2 4" xfId="19587"/>
    <cellStyle name="Total 2 2 2 2 6 3 3" xfId="13401"/>
    <cellStyle name="Total 2 2 2 2 6 3 3 2" xfId="27723"/>
    <cellStyle name="Total 2 2 2 2 6 3 4" xfId="19046"/>
    <cellStyle name="Total 2 2 2 2 6 4" xfId="5865"/>
    <cellStyle name="Total 2 2 2 2 6 4 2" xfId="12418"/>
    <cellStyle name="Total 2 2 2 2 6 4 2 2" xfId="26740"/>
    <cellStyle name="Total 2 2 2 2 6 4 3" xfId="18063"/>
    <cellStyle name="Total 2 2 2 2 6 5" xfId="6347"/>
    <cellStyle name="Total 2 2 2 2 6 5 2" xfId="23533"/>
    <cellStyle name="Total 2 2 2 2 6 6" xfId="14974"/>
    <cellStyle name="Total 2 2 2 2 7" xfId="2638"/>
    <cellStyle name="Total 2 2 2 2 7 2" xfId="6228"/>
    <cellStyle name="Total 2 2 2 2 7 2 2" xfId="12803"/>
    <cellStyle name="Total 2 2 2 2 7 2 2 2" xfId="27125"/>
    <cellStyle name="Total 2 2 2 2 7 2 3" xfId="18448"/>
    <cellStyle name="Total 2 2 2 2 7 3" xfId="7744"/>
    <cellStyle name="Total 2 2 2 2 7 3 2" xfId="10358"/>
    <cellStyle name="Total 2 2 2 2 7 3 2 2" xfId="16620"/>
    <cellStyle name="Total 2 2 2 2 7 3 2 2 2" xfId="30036"/>
    <cellStyle name="Total 2 2 2 2 7 3 2 3" xfId="21365"/>
    <cellStyle name="Total 2 2 2 2 7 3 3" xfId="14348"/>
    <cellStyle name="Total 2 2 2 2 7 3 3 2" xfId="28670"/>
    <cellStyle name="Total 2 2 2 2 7 3 4" xfId="19993"/>
    <cellStyle name="Total 2 2 2 2 7 4" xfId="4117"/>
    <cellStyle name="Total 2 2 2 2 7 4 2" xfId="22762"/>
    <cellStyle name="Total 2 2 2 2 7 5" xfId="17301"/>
    <cellStyle name="Total 2 2 2 2 8" xfId="2639"/>
    <cellStyle name="Total 2 2 2 2 8 2" xfId="7440"/>
    <cellStyle name="Total 2 2 2 2 8 2 2" xfId="10054"/>
    <cellStyle name="Total 2 2 2 2 8 2 2 2" xfId="16316"/>
    <cellStyle name="Total 2 2 2 2 8 2 2 2 2" xfId="29732"/>
    <cellStyle name="Total 2 2 2 2 8 2 2 3" xfId="21061"/>
    <cellStyle name="Total 2 2 2 2 8 2 3" xfId="14044"/>
    <cellStyle name="Total 2 2 2 2 8 2 3 2" xfId="28366"/>
    <cellStyle name="Total 2 2 2 2 8 2 4" xfId="19689"/>
    <cellStyle name="Total 2 2 2 2 8 3" xfId="12277"/>
    <cellStyle name="Total 2 2 2 2 8 3 2" xfId="26599"/>
    <cellStyle name="Total 2 2 2 2 8 4" xfId="17922"/>
    <cellStyle name="Total 2 2 2 2 9" xfId="5146"/>
    <cellStyle name="Total 2 2 2 2 9 2" xfId="11695"/>
    <cellStyle name="Total 2 2 2 2 9 2 2" xfId="26017"/>
    <cellStyle name="Total 2 2 2 2 9 3" xfId="3266"/>
    <cellStyle name="Total 2 2 2 3" xfId="2640"/>
    <cellStyle name="Total 2 2 2 3 2" xfId="2641"/>
    <cellStyle name="Total 2 2 2 3 2 2" xfId="2642"/>
    <cellStyle name="Total 2 2 2 3 2 2 2" xfId="7026"/>
    <cellStyle name="Total 2 2 2 3 2 2 2 2" xfId="13630"/>
    <cellStyle name="Total 2 2 2 3 2 2 2 2 2" xfId="27952"/>
    <cellStyle name="Total 2 2 2 3 2 2 2 3" xfId="19275"/>
    <cellStyle name="Total 2 2 2 3 2 2 3" xfId="7787"/>
    <cellStyle name="Total 2 2 2 3 2 2 3 2" xfId="10401"/>
    <cellStyle name="Total 2 2 2 3 2 2 3 2 2" xfId="16663"/>
    <cellStyle name="Total 2 2 2 3 2 2 3 2 2 2" xfId="30079"/>
    <cellStyle name="Total 2 2 2 3 2 2 3 2 3" xfId="21408"/>
    <cellStyle name="Total 2 2 2 3 2 2 3 3" xfId="14391"/>
    <cellStyle name="Total 2 2 2 3 2 2 3 3 2" xfId="28713"/>
    <cellStyle name="Total 2 2 2 3 2 2 3 4" xfId="20036"/>
    <cellStyle name="Total 2 2 2 3 2 2 4" xfId="11564"/>
    <cellStyle name="Total 2 2 2 3 2 2 4 2" xfId="25886"/>
    <cellStyle name="Total 2 2 2 3 2 2 5" xfId="15343"/>
    <cellStyle name="Total 2 2 2 3 2 3" xfId="2643"/>
    <cellStyle name="Total 2 2 2 3 2 3 2" xfId="7783"/>
    <cellStyle name="Total 2 2 2 3 2 3 2 2" xfId="10397"/>
    <cellStyle name="Total 2 2 2 3 2 3 2 2 2" xfId="16659"/>
    <cellStyle name="Total 2 2 2 3 2 3 2 2 2 2" xfId="30075"/>
    <cellStyle name="Total 2 2 2 3 2 3 2 2 3" xfId="21404"/>
    <cellStyle name="Total 2 2 2 3 2 3 2 3" xfId="14387"/>
    <cellStyle name="Total 2 2 2 3 2 3 2 3 2" xfId="28709"/>
    <cellStyle name="Total 2 2 2 3 2 3 2 4" xfId="20032"/>
    <cellStyle name="Total 2 2 2 3 2 3 3" xfId="13215"/>
    <cellStyle name="Total 2 2 2 3 2 3 3 2" xfId="27537"/>
    <cellStyle name="Total 2 2 2 3 2 3 4" xfId="18860"/>
    <cellStyle name="Total 2 2 2 3 2 4" xfId="5655"/>
    <cellStyle name="Total 2 2 2 3 2 4 2" xfId="12208"/>
    <cellStyle name="Total 2 2 2 3 2 4 2 2" xfId="26530"/>
    <cellStyle name="Total 2 2 2 3 2 4 3" xfId="17853"/>
    <cellStyle name="Total 2 2 2 3 2 5" xfId="4855"/>
    <cellStyle name="Total 2 2 2 3 2 5 2" xfId="23224"/>
    <cellStyle name="Total 2 2 2 3 2 6" xfId="6462"/>
    <cellStyle name="Total 2 2 2 3 3" xfId="2644"/>
    <cellStyle name="Total 2 2 2 3 3 2" xfId="2645"/>
    <cellStyle name="Total 2 2 2 3 3 2 2" xfId="5686"/>
    <cellStyle name="Total 2 2 2 3 3 2 2 2" xfId="12239"/>
    <cellStyle name="Total 2 2 2 3 3 2 2 2 2" xfId="26561"/>
    <cellStyle name="Total 2 2 2 3 3 2 2 3" xfId="17884"/>
    <cellStyle name="Total 2 2 2 3 3 2 3" xfId="7892"/>
    <cellStyle name="Total 2 2 2 3 3 2 3 2" xfId="10506"/>
    <cellStyle name="Total 2 2 2 3 3 2 3 2 2" xfId="16768"/>
    <cellStyle name="Total 2 2 2 3 3 2 3 2 2 2" xfId="30184"/>
    <cellStyle name="Total 2 2 2 3 3 2 3 2 3" xfId="21513"/>
    <cellStyle name="Total 2 2 2 3 3 2 3 3" xfId="14496"/>
    <cellStyle name="Total 2 2 2 3 3 2 3 3 2" xfId="28818"/>
    <cellStyle name="Total 2 2 2 3 3 2 3 4" xfId="20141"/>
    <cellStyle name="Total 2 2 2 3 3 2 4" xfId="6171"/>
    <cellStyle name="Total 2 2 2 3 3 2 4 2" xfId="23440"/>
    <cellStyle name="Total 2 2 2 3 3 2 5" xfId="15385"/>
    <cellStyle name="Total 2 2 2 3 3 3" xfId="2646"/>
    <cellStyle name="Total 2 2 2 3 3 3 2" xfId="7973"/>
    <cellStyle name="Total 2 2 2 3 3 3 2 2" xfId="10587"/>
    <cellStyle name="Total 2 2 2 3 3 3 2 2 2" xfId="16849"/>
    <cellStyle name="Total 2 2 2 3 3 3 2 2 2 2" xfId="30265"/>
    <cellStyle name="Total 2 2 2 3 3 3 2 2 3" xfId="21594"/>
    <cellStyle name="Total 2 2 2 3 3 3 2 3" xfId="14577"/>
    <cellStyle name="Total 2 2 2 3 3 3 2 3 2" xfId="28899"/>
    <cellStyle name="Total 2 2 2 3 3 3 2 4" xfId="20222"/>
    <cellStyle name="Total 2 2 2 3 3 3 3" xfId="13255"/>
    <cellStyle name="Total 2 2 2 3 3 3 3 2" xfId="27577"/>
    <cellStyle name="Total 2 2 2 3 3 3 4" xfId="18900"/>
    <cellStyle name="Total 2 2 2 3 3 4" xfId="5698"/>
    <cellStyle name="Total 2 2 2 3 3 4 2" xfId="12251"/>
    <cellStyle name="Total 2 2 2 3 3 4 2 2" xfId="26573"/>
    <cellStyle name="Total 2 2 2 3 3 4 3" xfId="17896"/>
    <cellStyle name="Total 2 2 2 3 3 5" xfId="4066"/>
    <cellStyle name="Total 2 2 2 3 3 5 2" xfId="22738"/>
    <cellStyle name="Total 2 2 2 3 3 6" xfId="15534"/>
    <cellStyle name="Total 2 2 2 3 4" xfId="2647"/>
    <cellStyle name="Total 2 2 2 3 4 2" xfId="6397"/>
    <cellStyle name="Total 2 2 2 3 4 2 2" xfId="12980"/>
    <cellStyle name="Total 2 2 2 3 4 2 2 2" xfId="27302"/>
    <cellStyle name="Total 2 2 2 3 4 2 3" xfId="18625"/>
    <cellStyle name="Total 2 2 2 3 4 3" xfId="7274"/>
    <cellStyle name="Total 2 2 2 3 4 3 2" xfId="9888"/>
    <cellStyle name="Total 2 2 2 3 4 3 2 2" xfId="16150"/>
    <cellStyle name="Total 2 2 2 3 4 3 2 2 2" xfId="29566"/>
    <cellStyle name="Total 2 2 2 3 4 3 2 3" xfId="20895"/>
    <cellStyle name="Total 2 2 2 3 4 3 3" xfId="13878"/>
    <cellStyle name="Total 2 2 2 3 4 3 3 2" xfId="28200"/>
    <cellStyle name="Total 2 2 2 3 4 3 4" xfId="19523"/>
    <cellStyle name="Total 2 2 2 3 4 4" xfId="2837"/>
    <cellStyle name="Total 2 2 2 3 4 4 2" xfId="22400"/>
    <cellStyle name="Total 2 2 2 3 4 5" xfId="14705"/>
    <cellStyle name="Total 2 2 2 3 5" xfId="2648"/>
    <cellStyle name="Total 2 2 2 3 5 2" xfId="7122"/>
    <cellStyle name="Total 2 2 2 3 5 2 2" xfId="9736"/>
    <cellStyle name="Total 2 2 2 3 5 2 2 2" xfId="15998"/>
    <cellStyle name="Total 2 2 2 3 5 2 2 2 2" xfId="29414"/>
    <cellStyle name="Total 2 2 2 3 5 2 2 3" xfId="20743"/>
    <cellStyle name="Total 2 2 2 3 5 2 3" xfId="13726"/>
    <cellStyle name="Total 2 2 2 3 5 2 3 2" xfId="28048"/>
    <cellStyle name="Total 2 2 2 3 5 2 4" xfId="19371"/>
    <cellStyle name="Total 2 2 2 3 5 3" xfId="12163"/>
    <cellStyle name="Total 2 2 2 3 5 3 2" xfId="26485"/>
    <cellStyle name="Total 2 2 2 3 5 4" xfId="17808"/>
    <cellStyle name="Total 2 2 2 3 6" xfId="5200"/>
    <cellStyle name="Total 2 2 2 3 6 2" xfId="11749"/>
    <cellStyle name="Total 2 2 2 3 6 2 2" xfId="26071"/>
    <cellStyle name="Total 2 2 2 3 6 3" xfId="3923"/>
    <cellStyle name="Total 2 2 2 3 7" xfId="4728"/>
    <cellStyle name="Total 2 2 2 3 7 2" xfId="23155"/>
    <cellStyle name="Total 2 2 2 3 8" xfId="15342"/>
    <cellStyle name="Total 2 2 2 4" xfId="2649"/>
    <cellStyle name="Total 2 2 2 4 2" xfId="2650"/>
    <cellStyle name="Total 2 2 2 4 2 2" xfId="2651"/>
    <cellStyle name="Total 2 2 2 4 2 2 2" xfId="6960"/>
    <cellStyle name="Total 2 2 2 4 2 2 2 2" xfId="13564"/>
    <cellStyle name="Total 2 2 2 4 2 2 2 2 2" xfId="27886"/>
    <cellStyle name="Total 2 2 2 4 2 2 2 3" xfId="19209"/>
    <cellStyle name="Total 2 2 2 4 2 2 3" xfId="7741"/>
    <cellStyle name="Total 2 2 2 4 2 2 3 2" xfId="10355"/>
    <cellStyle name="Total 2 2 2 4 2 2 3 2 2" xfId="16617"/>
    <cellStyle name="Total 2 2 2 4 2 2 3 2 2 2" xfId="30033"/>
    <cellStyle name="Total 2 2 2 4 2 2 3 2 3" xfId="21362"/>
    <cellStyle name="Total 2 2 2 4 2 2 3 3" xfId="14345"/>
    <cellStyle name="Total 2 2 2 4 2 2 3 3 2" xfId="28667"/>
    <cellStyle name="Total 2 2 2 4 2 2 3 4" xfId="19990"/>
    <cellStyle name="Total 2 2 2 4 2 2 4" xfId="11463"/>
    <cellStyle name="Total 2 2 2 4 2 2 4 2" xfId="25785"/>
    <cellStyle name="Total 2 2 2 4 2 2 5" xfId="15323"/>
    <cellStyle name="Total 2 2 2 4 2 3" xfId="2652"/>
    <cellStyle name="Total 2 2 2 4 2 3 2" xfId="7254"/>
    <cellStyle name="Total 2 2 2 4 2 3 2 2" xfId="9868"/>
    <cellStyle name="Total 2 2 2 4 2 3 2 2 2" xfId="16130"/>
    <cellStyle name="Total 2 2 2 4 2 3 2 2 2 2" xfId="29546"/>
    <cellStyle name="Total 2 2 2 4 2 3 2 2 3" xfId="20875"/>
    <cellStyle name="Total 2 2 2 4 2 3 2 3" xfId="13858"/>
    <cellStyle name="Total 2 2 2 4 2 3 2 3 2" xfId="28180"/>
    <cellStyle name="Total 2 2 2 4 2 3 2 4" xfId="19503"/>
    <cellStyle name="Total 2 2 2 4 2 3 3" xfId="13273"/>
    <cellStyle name="Total 2 2 2 4 2 3 3 2" xfId="27595"/>
    <cellStyle name="Total 2 2 2 4 2 3 4" xfId="18918"/>
    <cellStyle name="Total 2 2 2 4 2 4" xfId="5719"/>
    <cellStyle name="Total 2 2 2 4 2 4 2" xfId="12272"/>
    <cellStyle name="Total 2 2 2 4 2 4 2 2" xfId="26594"/>
    <cellStyle name="Total 2 2 2 4 2 4 3" xfId="17917"/>
    <cellStyle name="Total 2 2 2 4 2 5" xfId="5911"/>
    <cellStyle name="Total 2 2 2 4 2 5 2" xfId="23371"/>
    <cellStyle name="Total 2 2 2 4 2 6" xfId="14985"/>
    <cellStyle name="Total 2 2 2 4 3" xfId="2653"/>
    <cellStyle name="Total 2 2 2 4 3 2" xfId="2654"/>
    <cellStyle name="Total 2 2 2 4 3 2 2" xfId="6521"/>
    <cellStyle name="Total 2 2 2 4 3 2 2 2" xfId="13109"/>
    <cellStyle name="Total 2 2 2 4 3 2 2 2 2" xfId="27431"/>
    <cellStyle name="Total 2 2 2 4 3 2 2 3" xfId="18754"/>
    <cellStyle name="Total 2 2 2 4 3 2 3" xfId="7598"/>
    <cellStyle name="Total 2 2 2 4 3 2 3 2" xfId="10212"/>
    <cellStyle name="Total 2 2 2 4 3 2 3 2 2" xfId="16474"/>
    <cellStyle name="Total 2 2 2 4 3 2 3 2 2 2" xfId="29890"/>
    <cellStyle name="Total 2 2 2 4 3 2 3 2 3" xfId="21219"/>
    <cellStyle name="Total 2 2 2 4 3 2 3 3" xfId="14202"/>
    <cellStyle name="Total 2 2 2 4 3 2 3 3 2" xfId="28524"/>
    <cellStyle name="Total 2 2 2 4 3 2 3 4" xfId="19847"/>
    <cellStyle name="Total 2 2 2 4 3 2 4" xfId="2836"/>
    <cellStyle name="Total 2 2 2 4 3 2 4 2" xfId="22399"/>
    <cellStyle name="Total 2 2 2 4 3 2 5" xfId="17164"/>
    <cellStyle name="Total 2 2 2 4 3 3" xfId="2655"/>
    <cellStyle name="Total 2 2 2 4 3 3 2" xfId="8044"/>
    <cellStyle name="Total 2 2 2 4 3 3 2 2" xfId="10658"/>
    <cellStyle name="Total 2 2 2 4 3 3 2 2 2" xfId="16920"/>
    <cellStyle name="Total 2 2 2 4 3 3 2 2 2 2" xfId="30336"/>
    <cellStyle name="Total 2 2 2 4 3 3 2 2 3" xfId="21665"/>
    <cellStyle name="Total 2 2 2 4 3 3 2 3" xfId="14648"/>
    <cellStyle name="Total 2 2 2 4 3 3 2 3 2" xfId="28970"/>
    <cellStyle name="Total 2 2 2 4 3 3 2 4" xfId="20293"/>
    <cellStyle name="Total 2 2 2 4 3 3 3" xfId="13256"/>
    <cellStyle name="Total 2 2 2 4 3 3 3 2" xfId="27578"/>
    <cellStyle name="Total 2 2 2 4 3 3 4" xfId="18901"/>
    <cellStyle name="Total 2 2 2 4 3 4" xfId="5700"/>
    <cellStyle name="Total 2 2 2 4 3 4 2" xfId="12253"/>
    <cellStyle name="Total 2 2 2 4 3 4 2 2" xfId="26575"/>
    <cellStyle name="Total 2 2 2 4 3 4 3" xfId="17898"/>
    <cellStyle name="Total 2 2 2 4 3 5" xfId="4686"/>
    <cellStyle name="Total 2 2 2 4 3 5 2" xfId="23122"/>
    <cellStyle name="Total 2 2 2 4 3 6" xfId="17330"/>
    <cellStyle name="Total 2 2 2 4 4" xfId="2656"/>
    <cellStyle name="Total 2 2 2 4 4 2" xfId="5592"/>
    <cellStyle name="Total 2 2 2 4 4 2 2" xfId="12144"/>
    <cellStyle name="Total 2 2 2 4 4 2 2 2" xfId="26466"/>
    <cellStyle name="Total 2 2 2 4 4 2 3" xfId="17789"/>
    <cellStyle name="Total 2 2 2 4 4 3" xfId="7539"/>
    <cellStyle name="Total 2 2 2 4 4 3 2" xfId="10153"/>
    <cellStyle name="Total 2 2 2 4 4 3 2 2" xfId="16415"/>
    <cellStyle name="Total 2 2 2 4 4 3 2 2 2" xfId="29831"/>
    <cellStyle name="Total 2 2 2 4 4 3 2 3" xfId="21160"/>
    <cellStyle name="Total 2 2 2 4 4 3 3" xfId="14143"/>
    <cellStyle name="Total 2 2 2 4 4 3 3 2" xfId="28465"/>
    <cellStyle name="Total 2 2 2 4 4 3 4" xfId="19788"/>
    <cellStyle name="Total 2 2 2 4 4 4" xfId="3784"/>
    <cellStyle name="Total 2 2 2 4 4 4 2" xfId="22576"/>
    <cellStyle name="Total 2 2 2 4 4 5" xfId="15467"/>
    <cellStyle name="Total 2 2 2 4 5" xfId="2657"/>
    <cellStyle name="Total 2 2 2 4 5 2" xfId="7750"/>
    <cellStyle name="Total 2 2 2 4 5 2 2" xfId="10364"/>
    <cellStyle name="Total 2 2 2 4 5 2 2 2" xfId="16626"/>
    <cellStyle name="Total 2 2 2 4 5 2 2 2 2" xfId="30042"/>
    <cellStyle name="Total 2 2 2 4 5 2 2 3" xfId="21371"/>
    <cellStyle name="Total 2 2 2 4 5 2 3" xfId="14354"/>
    <cellStyle name="Total 2 2 2 4 5 2 3 2" xfId="28676"/>
    <cellStyle name="Total 2 2 2 4 5 2 4" xfId="19999"/>
    <cellStyle name="Total 2 2 2 4 5 3" xfId="12832"/>
    <cellStyle name="Total 2 2 2 4 5 3 2" xfId="27154"/>
    <cellStyle name="Total 2 2 2 4 5 4" xfId="18477"/>
    <cellStyle name="Total 2 2 2 4 6" xfId="5397"/>
    <cellStyle name="Total 2 2 2 4 6 2" xfId="11947"/>
    <cellStyle name="Total 2 2 2 4 6 2 2" xfId="26269"/>
    <cellStyle name="Total 2 2 2 4 6 3" xfId="17592"/>
    <cellStyle name="Total 2 2 2 4 7" xfId="2800"/>
    <cellStyle name="Total 2 2 2 4 7 2" xfId="22366"/>
    <cellStyle name="Total 2 2 2 4 8" xfId="6714"/>
    <cellStyle name="Total 2 2 2 5" xfId="2658"/>
    <cellStyle name="Total 2 2 2 5 2" xfId="2659"/>
    <cellStyle name="Total 2 2 2 5 2 2" xfId="2660"/>
    <cellStyle name="Total 2 2 2 5 2 2 2" xfId="6424"/>
    <cellStyle name="Total 2 2 2 5 2 2 2 2" xfId="13007"/>
    <cellStyle name="Total 2 2 2 5 2 2 2 2 2" xfId="27329"/>
    <cellStyle name="Total 2 2 2 5 2 2 2 3" xfId="18652"/>
    <cellStyle name="Total 2 2 2 5 2 2 3" xfId="7436"/>
    <cellStyle name="Total 2 2 2 5 2 2 3 2" xfId="10050"/>
    <cellStyle name="Total 2 2 2 5 2 2 3 2 2" xfId="16312"/>
    <cellStyle name="Total 2 2 2 5 2 2 3 2 2 2" xfId="29728"/>
    <cellStyle name="Total 2 2 2 5 2 2 3 2 3" xfId="21057"/>
    <cellStyle name="Total 2 2 2 5 2 2 3 3" xfId="14040"/>
    <cellStyle name="Total 2 2 2 5 2 2 3 3 2" xfId="28362"/>
    <cellStyle name="Total 2 2 2 5 2 2 3 4" xfId="19685"/>
    <cellStyle name="Total 2 2 2 5 2 2 4" xfId="6244"/>
    <cellStyle name="Total 2 2 2 5 2 2 4 2" xfId="23469"/>
    <cellStyle name="Total 2 2 2 5 2 2 5" xfId="15107"/>
    <cellStyle name="Total 2 2 2 5 2 3" xfId="2661"/>
    <cellStyle name="Total 2 2 2 5 2 3 2" xfId="7292"/>
    <cellStyle name="Total 2 2 2 5 2 3 2 2" xfId="9906"/>
    <cellStyle name="Total 2 2 2 5 2 3 2 2 2" xfId="16168"/>
    <cellStyle name="Total 2 2 2 5 2 3 2 2 2 2" xfId="29584"/>
    <cellStyle name="Total 2 2 2 5 2 3 2 2 3" xfId="20913"/>
    <cellStyle name="Total 2 2 2 5 2 3 2 3" xfId="13896"/>
    <cellStyle name="Total 2 2 2 5 2 3 2 3 2" xfId="28218"/>
    <cellStyle name="Total 2 2 2 5 2 3 2 4" xfId="19541"/>
    <cellStyle name="Total 2 2 2 5 2 3 3" xfId="13280"/>
    <cellStyle name="Total 2 2 2 5 2 3 3 2" xfId="27602"/>
    <cellStyle name="Total 2 2 2 5 2 3 4" xfId="18925"/>
    <cellStyle name="Total 2 2 2 5 2 4" xfId="5730"/>
    <cellStyle name="Total 2 2 2 5 2 4 2" xfId="12283"/>
    <cellStyle name="Total 2 2 2 5 2 4 2 2" xfId="26605"/>
    <cellStyle name="Total 2 2 2 5 2 4 3" xfId="17928"/>
    <cellStyle name="Total 2 2 2 5 2 5" xfId="4909"/>
    <cellStyle name="Total 2 2 2 5 2 5 2" xfId="23260"/>
    <cellStyle name="Total 2 2 2 5 2 6" xfId="15103"/>
    <cellStyle name="Total 2 2 2 5 3" xfId="2662"/>
    <cellStyle name="Total 2 2 2 5 3 2" xfId="2663"/>
    <cellStyle name="Total 2 2 2 5 3 2 2" xfId="6974"/>
    <cellStyle name="Total 2 2 2 5 3 2 2 2" xfId="13578"/>
    <cellStyle name="Total 2 2 2 5 3 2 2 2 2" xfId="27900"/>
    <cellStyle name="Total 2 2 2 5 3 2 2 3" xfId="19223"/>
    <cellStyle name="Total 2 2 2 5 3 2 3" xfId="4311"/>
    <cellStyle name="Total 2 2 2 5 3 2 3 2" xfId="9446"/>
    <cellStyle name="Total 2 2 2 5 3 2 3 2 2" xfId="15708"/>
    <cellStyle name="Total 2 2 2 5 3 2 3 2 2 2" xfId="29124"/>
    <cellStyle name="Total 2 2 2 5 3 2 3 2 3" xfId="20453"/>
    <cellStyle name="Total 2 2 2 5 3 2 3 3" xfId="4256"/>
    <cellStyle name="Total 2 2 2 5 3 2 3 3 2" xfId="22854"/>
    <cellStyle name="Total 2 2 2 5 3 2 3 4" xfId="15195"/>
    <cellStyle name="Total 2 2 2 5 3 2 4" xfId="11484"/>
    <cellStyle name="Total 2 2 2 5 3 2 4 2" xfId="25806"/>
    <cellStyle name="Total 2 2 2 5 3 2 5" xfId="4760"/>
    <cellStyle name="Total 2 2 2 5 3 3" xfId="2664"/>
    <cellStyle name="Total 2 2 2 5 3 3 2" xfId="8011"/>
    <cellStyle name="Total 2 2 2 5 3 3 2 2" xfId="10625"/>
    <cellStyle name="Total 2 2 2 5 3 3 2 2 2" xfId="16887"/>
    <cellStyle name="Total 2 2 2 5 3 3 2 2 2 2" xfId="30303"/>
    <cellStyle name="Total 2 2 2 5 3 3 2 2 3" xfId="21632"/>
    <cellStyle name="Total 2 2 2 5 3 3 2 3" xfId="14615"/>
    <cellStyle name="Total 2 2 2 5 3 3 2 3 2" xfId="28937"/>
    <cellStyle name="Total 2 2 2 5 3 3 2 4" xfId="20260"/>
    <cellStyle name="Total 2 2 2 5 3 3 3" xfId="13395"/>
    <cellStyle name="Total 2 2 2 5 3 3 3 2" xfId="27717"/>
    <cellStyle name="Total 2 2 2 5 3 3 4" xfId="19040"/>
    <cellStyle name="Total 2 2 2 5 3 4" xfId="5859"/>
    <cellStyle name="Total 2 2 2 5 3 4 2" xfId="12412"/>
    <cellStyle name="Total 2 2 2 5 3 4 2 2" xfId="26734"/>
    <cellStyle name="Total 2 2 2 5 3 4 3" xfId="18057"/>
    <cellStyle name="Total 2 2 2 5 3 5" xfId="4844"/>
    <cellStyle name="Total 2 2 2 5 3 5 2" xfId="23218"/>
    <cellStyle name="Total 2 2 2 5 3 6" xfId="3619"/>
    <cellStyle name="Total 2 2 2 5 4" xfId="2665"/>
    <cellStyle name="Total 2 2 2 5 4 2" xfId="6234"/>
    <cellStyle name="Total 2 2 2 5 4 2 2" xfId="12809"/>
    <cellStyle name="Total 2 2 2 5 4 2 2 2" xfId="27131"/>
    <cellStyle name="Total 2 2 2 5 4 2 3" xfId="18454"/>
    <cellStyle name="Total 2 2 2 5 4 3" xfId="7762"/>
    <cellStyle name="Total 2 2 2 5 4 3 2" xfId="10376"/>
    <cellStyle name="Total 2 2 2 5 4 3 2 2" xfId="16638"/>
    <cellStyle name="Total 2 2 2 5 4 3 2 2 2" xfId="30054"/>
    <cellStyle name="Total 2 2 2 5 4 3 2 3" xfId="21383"/>
    <cellStyle name="Total 2 2 2 5 4 3 3" xfId="14366"/>
    <cellStyle name="Total 2 2 2 5 4 3 3 2" xfId="28688"/>
    <cellStyle name="Total 2 2 2 5 4 3 4" xfId="20011"/>
    <cellStyle name="Total 2 2 2 5 4 4" xfId="4605"/>
    <cellStyle name="Total 2 2 2 5 4 4 2" xfId="23063"/>
    <cellStyle name="Total 2 2 2 5 4 5" xfId="17262"/>
    <cellStyle name="Total 2 2 2 5 5" xfId="2666"/>
    <cellStyle name="Total 2 2 2 5 5 2" xfId="5286"/>
    <cellStyle name="Total 2 2 2 5 5 2 2" xfId="9595"/>
    <cellStyle name="Total 2 2 2 5 5 2 2 2" xfId="15857"/>
    <cellStyle name="Total 2 2 2 5 5 2 2 2 2" xfId="29273"/>
    <cellStyle name="Total 2 2 2 5 5 2 2 3" xfId="20602"/>
    <cellStyle name="Total 2 2 2 5 5 2 3" xfId="11836"/>
    <cellStyle name="Total 2 2 2 5 5 2 3 2" xfId="26158"/>
    <cellStyle name="Total 2 2 2 5 5 2 4" xfId="17481"/>
    <cellStyle name="Total 2 2 2 5 5 3" xfId="12847"/>
    <cellStyle name="Total 2 2 2 5 5 3 2" xfId="27169"/>
    <cellStyle name="Total 2 2 2 5 5 4" xfId="18492"/>
    <cellStyle name="Total 2 2 2 5 6" xfId="5434"/>
    <cellStyle name="Total 2 2 2 5 6 2" xfId="11985"/>
    <cellStyle name="Total 2 2 2 5 6 2 2" xfId="26307"/>
    <cellStyle name="Total 2 2 2 5 6 3" xfId="17630"/>
    <cellStyle name="Total 2 2 2 5 7" xfId="4703"/>
    <cellStyle name="Total 2 2 2 5 7 2" xfId="23136"/>
    <cellStyle name="Total 2 2 2 5 8" xfId="3256"/>
    <cellStyle name="Total 2 2 2 6" xfId="2667"/>
    <cellStyle name="Total 2 2 2 6 2" xfId="2668"/>
    <cellStyle name="Total 2 2 2 6 2 2" xfId="2669"/>
    <cellStyle name="Total 2 2 2 6 2 2 2" xfId="5937"/>
    <cellStyle name="Total 2 2 2 6 2 2 2 2" xfId="12494"/>
    <cellStyle name="Total 2 2 2 6 2 2 2 2 2" xfId="26816"/>
    <cellStyle name="Total 2 2 2 6 2 2 2 3" xfId="18139"/>
    <cellStyle name="Total 2 2 2 6 2 2 3" xfId="7721"/>
    <cellStyle name="Total 2 2 2 6 2 2 3 2" xfId="10335"/>
    <cellStyle name="Total 2 2 2 6 2 2 3 2 2" xfId="16597"/>
    <cellStyle name="Total 2 2 2 6 2 2 3 2 2 2" xfId="30013"/>
    <cellStyle name="Total 2 2 2 6 2 2 3 2 3" xfId="21342"/>
    <cellStyle name="Total 2 2 2 6 2 2 3 3" xfId="14325"/>
    <cellStyle name="Total 2 2 2 6 2 2 3 3 2" xfId="28647"/>
    <cellStyle name="Total 2 2 2 6 2 2 3 4" xfId="19970"/>
    <cellStyle name="Total 2 2 2 6 2 2 4" xfId="4207"/>
    <cellStyle name="Total 2 2 2 6 2 2 4 2" xfId="22822"/>
    <cellStyle name="Total 2 2 2 6 2 2 5" xfId="16965"/>
    <cellStyle name="Total 2 2 2 6 2 3" xfId="2670"/>
    <cellStyle name="Total 2 2 2 6 2 3 2" xfId="7987"/>
    <cellStyle name="Total 2 2 2 6 2 3 2 2" xfId="10601"/>
    <cellStyle name="Total 2 2 2 6 2 3 2 2 2" xfId="16863"/>
    <cellStyle name="Total 2 2 2 6 2 3 2 2 2 2" xfId="30279"/>
    <cellStyle name="Total 2 2 2 6 2 3 2 2 3" xfId="21608"/>
    <cellStyle name="Total 2 2 2 6 2 3 2 3" xfId="14591"/>
    <cellStyle name="Total 2 2 2 6 2 3 2 3 2" xfId="28913"/>
    <cellStyle name="Total 2 2 2 6 2 3 2 4" xfId="20236"/>
    <cellStyle name="Total 2 2 2 6 2 3 3" xfId="13188"/>
    <cellStyle name="Total 2 2 2 6 2 3 3 2" xfId="27510"/>
    <cellStyle name="Total 2 2 2 6 2 3 4" xfId="18833"/>
    <cellStyle name="Total 2 2 2 6 2 4" xfId="5625"/>
    <cellStyle name="Total 2 2 2 6 2 4 2" xfId="12178"/>
    <cellStyle name="Total 2 2 2 6 2 4 2 2" xfId="26500"/>
    <cellStyle name="Total 2 2 2 6 2 4 3" xfId="17823"/>
    <cellStyle name="Total 2 2 2 6 2 5" xfId="3191"/>
    <cellStyle name="Total 2 2 2 6 2 5 2" xfId="22434"/>
    <cellStyle name="Total 2 2 2 6 2 6" xfId="15301"/>
    <cellStyle name="Total 2 2 2 6 3" xfId="2671"/>
    <cellStyle name="Total 2 2 2 6 3 2" xfId="7008"/>
    <cellStyle name="Total 2 2 2 6 3 2 2" xfId="13612"/>
    <cellStyle name="Total 2 2 2 6 3 2 2 2" xfId="27934"/>
    <cellStyle name="Total 2 2 2 6 3 2 3" xfId="19257"/>
    <cellStyle name="Total 2 2 2 6 3 3" xfId="7976"/>
    <cellStyle name="Total 2 2 2 6 3 3 2" xfId="10590"/>
    <cellStyle name="Total 2 2 2 6 3 3 2 2" xfId="16852"/>
    <cellStyle name="Total 2 2 2 6 3 3 2 2 2" xfId="30268"/>
    <cellStyle name="Total 2 2 2 6 3 3 2 3" xfId="21597"/>
    <cellStyle name="Total 2 2 2 6 3 3 3" xfId="14580"/>
    <cellStyle name="Total 2 2 2 6 3 3 3 2" xfId="28902"/>
    <cellStyle name="Total 2 2 2 6 3 3 4" xfId="20225"/>
    <cellStyle name="Total 2 2 2 6 3 4" xfId="11530"/>
    <cellStyle name="Total 2 2 2 6 3 4 2" xfId="25852"/>
    <cellStyle name="Total 2 2 2 6 3 5" xfId="14869"/>
    <cellStyle name="Total 2 2 2 6 4" xfId="2672"/>
    <cellStyle name="Total 2 2 2 6 4 2" xfId="4812"/>
    <cellStyle name="Total 2 2 2 6 4 2 2" xfId="9493"/>
    <cellStyle name="Total 2 2 2 6 4 2 2 2" xfId="15755"/>
    <cellStyle name="Total 2 2 2 6 4 2 2 2 2" xfId="29171"/>
    <cellStyle name="Total 2 2 2 6 4 2 2 3" xfId="20500"/>
    <cellStyle name="Total 2 2 2 6 4 2 3" xfId="11344"/>
    <cellStyle name="Total 2 2 2 6 4 2 3 2" xfId="25666"/>
    <cellStyle name="Total 2 2 2 6 4 2 4" xfId="15429"/>
    <cellStyle name="Total 2 2 2 6 4 3" xfId="12823"/>
    <cellStyle name="Total 2 2 2 6 4 3 2" xfId="27145"/>
    <cellStyle name="Total 2 2 2 6 4 4" xfId="18468"/>
    <cellStyle name="Total 2 2 2 6 5" xfId="5371"/>
    <cellStyle name="Total 2 2 2 6 5 2" xfId="11921"/>
    <cellStyle name="Total 2 2 2 6 5 2 2" xfId="26243"/>
    <cellStyle name="Total 2 2 2 6 5 3" xfId="17566"/>
    <cellStyle name="Total 2 2 2 6 6" xfId="4041"/>
    <cellStyle name="Total 2 2 2 6 6 2" xfId="22718"/>
    <cellStyle name="Total 2 2 2 6 7" xfId="15364"/>
    <cellStyle name="Total 2 2 2 7" xfId="2673"/>
    <cellStyle name="Total 2 2 2 7 2" xfId="2674"/>
    <cellStyle name="Total 2 2 2 7 2 2" xfId="7001"/>
    <cellStyle name="Total 2 2 2 7 2 2 2" xfId="13605"/>
    <cellStyle name="Total 2 2 2 7 2 2 2 2" xfId="27927"/>
    <cellStyle name="Total 2 2 2 7 2 2 3" xfId="19250"/>
    <cellStyle name="Total 2 2 2 7 2 3" xfId="5321"/>
    <cellStyle name="Total 2 2 2 7 2 3 2" xfId="9630"/>
    <cellStyle name="Total 2 2 2 7 2 3 2 2" xfId="15892"/>
    <cellStyle name="Total 2 2 2 7 2 3 2 2 2" xfId="29308"/>
    <cellStyle name="Total 2 2 2 7 2 3 2 3" xfId="20637"/>
    <cellStyle name="Total 2 2 2 7 2 3 3" xfId="11871"/>
    <cellStyle name="Total 2 2 2 7 2 3 3 2" xfId="26193"/>
    <cellStyle name="Total 2 2 2 7 2 3 4" xfId="17516"/>
    <cellStyle name="Total 2 2 2 7 2 4" xfId="11517"/>
    <cellStyle name="Total 2 2 2 7 2 4 2" xfId="25839"/>
    <cellStyle name="Total 2 2 2 7 2 5" xfId="15159"/>
    <cellStyle name="Total 2 2 2 7 3" xfId="2675"/>
    <cellStyle name="Total 2 2 2 7 3 2" xfId="5260"/>
    <cellStyle name="Total 2 2 2 7 3 2 2" xfId="9569"/>
    <cellStyle name="Total 2 2 2 7 3 2 2 2" xfId="15831"/>
    <cellStyle name="Total 2 2 2 7 3 2 2 2 2" xfId="29247"/>
    <cellStyle name="Total 2 2 2 7 3 2 2 3" xfId="20576"/>
    <cellStyle name="Total 2 2 2 7 3 2 3" xfId="11810"/>
    <cellStyle name="Total 2 2 2 7 3 2 3 2" xfId="26132"/>
    <cellStyle name="Total 2 2 2 7 3 2 4" xfId="17455"/>
    <cellStyle name="Total 2 2 2 7 3 3" xfId="13165"/>
    <cellStyle name="Total 2 2 2 7 3 3 2" xfId="27487"/>
    <cellStyle name="Total 2 2 2 7 3 4" xfId="18810"/>
    <cellStyle name="Total 2 2 2 7 4" xfId="5579"/>
    <cellStyle name="Total 2 2 2 7 4 2" xfId="12131"/>
    <cellStyle name="Total 2 2 2 7 4 2 2" xfId="26453"/>
    <cellStyle name="Total 2 2 2 7 4 3" xfId="17776"/>
    <cellStyle name="Total 2 2 2 7 5" xfId="4857"/>
    <cellStyle name="Total 2 2 2 7 5 2" xfId="23225"/>
    <cellStyle name="Total 2 2 2 7 6" xfId="14849"/>
    <cellStyle name="Total 2 2 2 8" xfId="2676"/>
    <cellStyle name="Total 2 2 2 8 2" xfId="6258"/>
    <cellStyle name="Total 2 2 2 8 2 2" xfId="12837"/>
    <cellStyle name="Total 2 2 2 8 2 2 2" xfId="27159"/>
    <cellStyle name="Total 2 2 2 8 2 3" xfId="18482"/>
    <cellStyle name="Total 2 2 2 8 3" xfId="3635"/>
    <cellStyle name="Total 2 2 2 8 3 2" xfId="9350"/>
    <cellStyle name="Total 2 2 2 8 3 2 2" xfId="15612"/>
    <cellStyle name="Total 2 2 2 8 3 2 2 2" xfId="29028"/>
    <cellStyle name="Total 2 2 2 8 3 2 3" xfId="20357"/>
    <cellStyle name="Total 2 2 2 8 3 3" xfId="4122"/>
    <cellStyle name="Total 2 2 2 8 3 3 2" xfId="22766"/>
    <cellStyle name="Total 2 2 2 8 3 4" xfId="15281"/>
    <cellStyle name="Total 2 2 2 8 4" xfId="2797"/>
    <cellStyle name="Total 2 2 2 8 4 2" xfId="22364"/>
    <cellStyle name="Total 2 2 2 8 5" xfId="17294"/>
    <cellStyle name="Total 2 2 2 9" xfId="2677"/>
    <cellStyle name="Total 2 2 2 9 2" xfId="7256"/>
    <cellStyle name="Total 2 2 2 9 2 2" xfId="9870"/>
    <cellStyle name="Total 2 2 2 9 2 2 2" xfId="16132"/>
    <cellStyle name="Total 2 2 2 9 2 2 2 2" xfId="29548"/>
    <cellStyle name="Total 2 2 2 9 2 2 3" xfId="20877"/>
    <cellStyle name="Total 2 2 2 9 2 3" xfId="13860"/>
    <cellStyle name="Total 2 2 2 9 2 3 2" xfId="28182"/>
    <cellStyle name="Total 2 2 2 9 2 4" xfId="19505"/>
    <cellStyle name="Total 2 2 2 9 3" xfId="12451"/>
    <cellStyle name="Total 2 2 2 9 3 2" xfId="26773"/>
    <cellStyle name="Total 2 2 2 9 4" xfId="18096"/>
    <cellStyle name="Total 2 2 3" xfId="2678"/>
    <cellStyle name="Total 2 2 3 10" xfId="3989"/>
    <cellStyle name="Total 2 2 3 10 2" xfId="22688"/>
    <cellStyle name="Total 2 2 3 11" xfId="17382"/>
    <cellStyle name="Total 2 2 3 2" xfId="2679"/>
    <cellStyle name="Total 2 2 3 2 2" xfId="2680"/>
    <cellStyle name="Total 2 2 3 2 2 2" xfId="2681"/>
    <cellStyle name="Total 2 2 3 2 2 2 2" xfId="5908"/>
    <cellStyle name="Total 2 2 3 2 2 2 2 2" xfId="12462"/>
    <cellStyle name="Total 2 2 3 2 2 2 2 2 2" xfId="26784"/>
    <cellStyle name="Total 2 2 3 2 2 2 2 3" xfId="18107"/>
    <cellStyle name="Total 2 2 3 2 2 2 3" xfId="7105"/>
    <cellStyle name="Total 2 2 3 2 2 2 3 2" xfId="9719"/>
    <cellStyle name="Total 2 2 3 2 2 2 3 2 2" xfId="15981"/>
    <cellStyle name="Total 2 2 3 2 2 2 3 2 2 2" xfId="29397"/>
    <cellStyle name="Total 2 2 3 2 2 2 3 2 3" xfId="20726"/>
    <cellStyle name="Total 2 2 3 2 2 2 3 3" xfId="13709"/>
    <cellStyle name="Total 2 2 3 2 2 2 3 3 2" xfId="28031"/>
    <cellStyle name="Total 2 2 3 2 2 2 3 4" xfId="19354"/>
    <cellStyle name="Total 2 2 3 2 2 2 4" xfId="3155"/>
    <cellStyle name="Total 2 2 3 2 2 2 4 2" xfId="22423"/>
    <cellStyle name="Total 2 2 3 2 2 2 5" xfId="16985"/>
    <cellStyle name="Total 2 2 3 2 2 3" xfId="2682"/>
    <cellStyle name="Total 2 2 3 2 2 3 2" xfId="5281"/>
    <cellStyle name="Total 2 2 3 2 2 3 2 2" xfId="9590"/>
    <cellStyle name="Total 2 2 3 2 2 3 2 2 2" xfId="15852"/>
    <cellStyle name="Total 2 2 3 2 2 3 2 2 2 2" xfId="29268"/>
    <cellStyle name="Total 2 2 3 2 2 3 2 2 3" xfId="20597"/>
    <cellStyle name="Total 2 2 3 2 2 3 2 3" xfId="11831"/>
    <cellStyle name="Total 2 2 3 2 2 3 2 3 2" xfId="26153"/>
    <cellStyle name="Total 2 2 3 2 2 3 2 4" xfId="17476"/>
    <cellStyle name="Total 2 2 3 2 2 3 3" xfId="13297"/>
    <cellStyle name="Total 2 2 3 2 2 3 3 2" xfId="27619"/>
    <cellStyle name="Total 2 2 3 2 2 3 4" xfId="18942"/>
    <cellStyle name="Total 2 2 3 2 2 4" xfId="5747"/>
    <cellStyle name="Total 2 2 3 2 2 4 2" xfId="12300"/>
    <cellStyle name="Total 2 2 3 2 2 4 2 2" xfId="26622"/>
    <cellStyle name="Total 2 2 3 2 2 4 3" xfId="17945"/>
    <cellStyle name="Total 2 2 3 2 2 5" xfId="6060"/>
    <cellStyle name="Total 2 2 3 2 2 5 2" xfId="23402"/>
    <cellStyle name="Total 2 2 3 2 2 6" xfId="14880"/>
    <cellStyle name="Total 2 2 3 2 3" xfId="2683"/>
    <cellStyle name="Total 2 2 3 2 3 2" xfId="2684"/>
    <cellStyle name="Total 2 2 3 2 3 2 2" xfId="6008"/>
    <cellStyle name="Total 2 2 3 2 3 2 2 2" xfId="12567"/>
    <cellStyle name="Total 2 2 3 2 3 2 2 2 2" xfId="26889"/>
    <cellStyle name="Total 2 2 3 2 3 2 2 3" xfId="18212"/>
    <cellStyle name="Total 2 2 3 2 3 2 3" xfId="7049"/>
    <cellStyle name="Total 2 2 3 2 3 2 3 2" xfId="9663"/>
    <cellStyle name="Total 2 2 3 2 3 2 3 2 2" xfId="15925"/>
    <cellStyle name="Total 2 2 3 2 3 2 3 2 2 2" xfId="29341"/>
    <cellStyle name="Total 2 2 3 2 3 2 3 2 3" xfId="20670"/>
    <cellStyle name="Total 2 2 3 2 3 2 3 3" xfId="13653"/>
    <cellStyle name="Total 2 2 3 2 3 2 3 3 2" xfId="27975"/>
    <cellStyle name="Total 2 2 3 2 3 2 3 4" xfId="19298"/>
    <cellStyle name="Total 2 2 3 2 3 2 4" xfId="3797"/>
    <cellStyle name="Total 2 2 3 2 3 2 4 2" xfId="22585"/>
    <cellStyle name="Total 2 2 3 2 3 2 5" xfId="15090"/>
    <cellStyle name="Total 2 2 3 2 3 3" xfId="2685"/>
    <cellStyle name="Total 2 2 3 2 3 3 2" xfId="7699"/>
    <cellStyle name="Total 2 2 3 2 3 3 2 2" xfId="10313"/>
    <cellStyle name="Total 2 2 3 2 3 3 2 2 2" xfId="16575"/>
    <cellStyle name="Total 2 2 3 2 3 3 2 2 2 2" xfId="29991"/>
    <cellStyle name="Total 2 2 3 2 3 3 2 2 3" xfId="21320"/>
    <cellStyle name="Total 2 2 3 2 3 3 2 3" xfId="14303"/>
    <cellStyle name="Total 2 2 3 2 3 3 2 3 2" xfId="28625"/>
    <cellStyle name="Total 2 2 3 2 3 3 2 4" xfId="19948"/>
    <cellStyle name="Total 2 2 3 2 3 3 3" xfId="13429"/>
    <cellStyle name="Total 2 2 3 2 3 3 3 2" xfId="27751"/>
    <cellStyle name="Total 2 2 3 2 3 3 4" xfId="19074"/>
    <cellStyle name="Total 2 2 3 2 3 4" xfId="5906"/>
    <cellStyle name="Total 2 2 3 2 3 4 2" xfId="12460"/>
    <cellStyle name="Total 2 2 3 2 3 4 2 2" xfId="26782"/>
    <cellStyle name="Total 2 2 3 2 3 4 3" xfId="18105"/>
    <cellStyle name="Total 2 2 3 2 3 5" xfId="2783"/>
    <cellStyle name="Total 2 2 3 2 3 5 2" xfId="22352"/>
    <cellStyle name="Total 2 2 3 2 3 6" xfId="15064"/>
    <cellStyle name="Total 2 2 3 2 4" xfId="2686"/>
    <cellStyle name="Total 2 2 3 2 4 2" xfId="6975"/>
    <cellStyle name="Total 2 2 3 2 4 2 2" xfId="13579"/>
    <cellStyle name="Total 2 2 3 2 4 2 2 2" xfId="27901"/>
    <cellStyle name="Total 2 2 3 2 4 2 3" xfId="19224"/>
    <cellStyle name="Total 2 2 3 2 4 3" xfId="4965"/>
    <cellStyle name="Total 2 2 3 2 4 3 2" xfId="9525"/>
    <cellStyle name="Total 2 2 3 2 4 3 2 2" xfId="15787"/>
    <cellStyle name="Total 2 2 3 2 4 3 2 2 2" xfId="29203"/>
    <cellStyle name="Total 2 2 3 2 4 3 2 3" xfId="20532"/>
    <cellStyle name="Total 2 2 3 2 4 3 3" xfId="11506"/>
    <cellStyle name="Total 2 2 3 2 4 3 3 2" xfId="25828"/>
    <cellStyle name="Total 2 2 3 2 4 3 4" xfId="14977"/>
    <cellStyle name="Total 2 2 3 2 4 4" xfId="11485"/>
    <cellStyle name="Total 2 2 3 2 4 4 2" xfId="25807"/>
    <cellStyle name="Total 2 2 3 2 4 5" xfId="15257"/>
    <cellStyle name="Total 2 2 3 2 5" xfId="2687"/>
    <cellStyle name="Total 2 2 3 2 5 2" xfId="7643"/>
    <cellStyle name="Total 2 2 3 2 5 2 2" xfId="10257"/>
    <cellStyle name="Total 2 2 3 2 5 2 2 2" xfId="16519"/>
    <cellStyle name="Total 2 2 3 2 5 2 2 2 2" xfId="29935"/>
    <cellStyle name="Total 2 2 3 2 5 2 2 3" xfId="21264"/>
    <cellStyle name="Total 2 2 3 2 5 2 3" xfId="14247"/>
    <cellStyle name="Total 2 2 3 2 5 2 3 2" xfId="28569"/>
    <cellStyle name="Total 2 2 3 2 5 2 4" xfId="19892"/>
    <cellStyle name="Total 2 2 3 2 5 3" xfId="12873"/>
    <cellStyle name="Total 2 2 3 2 5 3 2" xfId="27195"/>
    <cellStyle name="Total 2 2 3 2 5 4" xfId="18518"/>
    <cellStyle name="Total 2 2 3 2 6" xfId="5491"/>
    <cellStyle name="Total 2 2 3 2 6 2" xfId="12042"/>
    <cellStyle name="Total 2 2 3 2 6 2 2" xfId="26364"/>
    <cellStyle name="Total 2 2 3 2 6 3" xfId="17687"/>
    <cellStyle name="Total 2 2 3 2 7" xfId="4579"/>
    <cellStyle name="Total 2 2 3 2 7 2" xfId="23045"/>
    <cellStyle name="Total 2 2 3 2 8" xfId="4226"/>
    <cellStyle name="Total 2 2 3 3" xfId="2688"/>
    <cellStyle name="Total 2 2 3 3 2" xfId="2689"/>
    <cellStyle name="Total 2 2 3 3 2 2" xfId="2690"/>
    <cellStyle name="Total 2 2 3 3 2 2 2" xfId="6192"/>
    <cellStyle name="Total 2 2 3 3 2 2 2 2" xfId="12765"/>
    <cellStyle name="Total 2 2 3 3 2 2 2 2 2" xfId="27087"/>
    <cellStyle name="Total 2 2 3 3 2 2 2 3" xfId="18410"/>
    <cellStyle name="Total 2 2 3 3 2 2 3" xfId="8006"/>
    <cellStyle name="Total 2 2 3 3 2 2 3 2" xfId="10620"/>
    <cellStyle name="Total 2 2 3 3 2 2 3 2 2" xfId="16882"/>
    <cellStyle name="Total 2 2 3 3 2 2 3 2 2 2" xfId="30298"/>
    <cellStyle name="Total 2 2 3 3 2 2 3 2 3" xfId="21627"/>
    <cellStyle name="Total 2 2 3 3 2 2 3 3" xfId="14610"/>
    <cellStyle name="Total 2 2 3 3 2 2 3 3 2" xfId="28932"/>
    <cellStyle name="Total 2 2 3 3 2 2 3 4" xfId="20255"/>
    <cellStyle name="Total 2 2 3 3 2 2 4" xfId="4043"/>
    <cellStyle name="Total 2 2 3 3 2 2 4 2" xfId="22720"/>
    <cellStyle name="Total 2 2 3 3 2 2 5" xfId="14813"/>
    <cellStyle name="Total 2 2 3 3 2 3" xfId="2691"/>
    <cellStyle name="Total 2 2 3 3 2 3 2" xfId="7877"/>
    <cellStyle name="Total 2 2 3 3 2 3 2 2" xfId="10491"/>
    <cellStyle name="Total 2 2 3 3 2 3 2 2 2" xfId="16753"/>
    <cellStyle name="Total 2 2 3 3 2 3 2 2 2 2" xfId="30169"/>
    <cellStyle name="Total 2 2 3 3 2 3 2 2 3" xfId="21498"/>
    <cellStyle name="Total 2 2 3 3 2 3 2 3" xfId="14481"/>
    <cellStyle name="Total 2 2 3 3 2 3 2 3 2" xfId="28803"/>
    <cellStyle name="Total 2 2 3 3 2 3 2 4" xfId="20126"/>
    <cellStyle name="Total 2 2 3 3 2 3 3" xfId="13333"/>
    <cellStyle name="Total 2 2 3 3 2 3 3 2" xfId="27655"/>
    <cellStyle name="Total 2 2 3 3 2 3 4" xfId="18978"/>
    <cellStyle name="Total 2 2 3 3 2 4" xfId="5783"/>
    <cellStyle name="Total 2 2 3 3 2 4 2" xfId="12336"/>
    <cellStyle name="Total 2 2 3 3 2 4 2 2" xfId="26658"/>
    <cellStyle name="Total 2 2 3 3 2 4 3" xfId="17981"/>
    <cellStyle name="Total 2 2 3 3 2 5" xfId="6305"/>
    <cellStyle name="Total 2 2 3 3 2 5 2" xfId="23501"/>
    <cellStyle name="Total 2 2 3 3 2 6" xfId="15126"/>
    <cellStyle name="Total 2 2 3 3 3" xfId="2692"/>
    <cellStyle name="Total 2 2 3 3 3 2" xfId="2693"/>
    <cellStyle name="Total 2 2 3 3 3 2 2" xfId="4006"/>
    <cellStyle name="Total 2 2 3 3 3 2 2 2" xfId="4941"/>
    <cellStyle name="Total 2 2 3 3 3 2 2 2 2" xfId="23272"/>
    <cellStyle name="Total 2 2 3 3 3 2 2 3" xfId="17144"/>
    <cellStyle name="Total 2 2 3 3 3 2 3" xfId="7712"/>
    <cellStyle name="Total 2 2 3 3 3 2 3 2" xfId="10326"/>
    <cellStyle name="Total 2 2 3 3 3 2 3 2 2" xfId="16588"/>
    <cellStyle name="Total 2 2 3 3 3 2 3 2 2 2" xfId="30004"/>
    <cellStyle name="Total 2 2 3 3 3 2 3 2 3" xfId="21333"/>
    <cellStyle name="Total 2 2 3 3 3 2 3 3" xfId="14316"/>
    <cellStyle name="Total 2 2 3 3 3 2 3 3 2" xfId="28638"/>
    <cellStyle name="Total 2 2 3 3 3 2 3 4" xfId="19961"/>
    <cellStyle name="Total 2 2 3 3 3 2 4" xfId="4330"/>
    <cellStyle name="Total 2 2 3 3 3 2 4 2" xfId="22891"/>
    <cellStyle name="Total 2 2 3 3 3 2 5" xfId="15142"/>
    <cellStyle name="Total 2 2 3 3 3 3" xfId="2694"/>
    <cellStyle name="Total 2 2 3 3 3 3 2" xfId="7555"/>
    <cellStyle name="Total 2 2 3 3 3 3 2 2" xfId="10169"/>
    <cellStyle name="Total 2 2 3 3 3 3 2 2 2" xfId="16431"/>
    <cellStyle name="Total 2 2 3 3 3 3 2 2 2 2" xfId="29847"/>
    <cellStyle name="Total 2 2 3 3 3 3 2 2 3" xfId="21176"/>
    <cellStyle name="Total 2 2 3 3 3 3 2 3" xfId="14159"/>
    <cellStyle name="Total 2 2 3 3 3 3 2 3 2" xfId="28481"/>
    <cellStyle name="Total 2 2 3 3 3 3 2 4" xfId="19804"/>
    <cellStyle name="Total 2 2 3 3 3 3 3" xfId="13405"/>
    <cellStyle name="Total 2 2 3 3 3 3 3 2" xfId="27727"/>
    <cellStyle name="Total 2 2 3 3 3 3 4" xfId="19050"/>
    <cellStyle name="Total 2 2 3 3 3 4" xfId="5870"/>
    <cellStyle name="Total 2 2 3 3 3 4 2" xfId="12423"/>
    <cellStyle name="Total 2 2 3 3 3 4 2 2" xfId="26745"/>
    <cellStyle name="Total 2 2 3 3 3 4 3" xfId="18068"/>
    <cellStyle name="Total 2 2 3 3 3 5" xfId="4160"/>
    <cellStyle name="Total 2 2 3 3 3 5 2" xfId="22790"/>
    <cellStyle name="Total 2 2 3 3 3 6" xfId="14887"/>
    <cellStyle name="Total 2 2 3 3 4" xfId="2695"/>
    <cellStyle name="Total 2 2 3 3 4 2" xfId="6995"/>
    <cellStyle name="Total 2 2 3 3 4 2 2" xfId="13599"/>
    <cellStyle name="Total 2 2 3 3 4 2 2 2" xfId="27921"/>
    <cellStyle name="Total 2 2 3 3 4 2 3" xfId="19244"/>
    <cellStyle name="Total 2 2 3 3 4 3" xfId="7379"/>
    <cellStyle name="Total 2 2 3 3 4 3 2" xfId="9993"/>
    <cellStyle name="Total 2 2 3 3 4 3 2 2" xfId="16255"/>
    <cellStyle name="Total 2 2 3 3 4 3 2 2 2" xfId="29671"/>
    <cellStyle name="Total 2 2 3 3 4 3 2 3" xfId="21000"/>
    <cellStyle name="Total 2 2 3 3 4 3 3" xfId="13983"/>
    <cellStyle name="Total 2 2 3 3 4 3 3 2" xfId="28305"/>
    <cellStyle name="Total 2 2 3 3 4 3 4" xfId="19628"/>
    <cellStyle name="Total 2 2 3 3 4 4" xfId="11509"/>
    <cellStyle name="Total 2 2 3 3 4 4 2" xfId="25831"/>
    <cellStyle name="Total 2 2 3 3 4 5" xfId="17159"/>
    <cellStyle name="Total 2 2 3 3 5" xfId="2696"/>
    <cellStyle name="Total 2 2 3 3 5 2" xfId="5337"/>
    <cellStyle name="Total 2 2 3 3 5 2 2" xfId="9646"/>
    <cellStyle name="Total 2 2 3 3 5 2 2 2" xfId="15908"/>
    <cellStyle name="Total 2 2 3 3 5 2 2 2 2" xfId="29324"/>
    <cellStyle name="Total 2 2 3 3 5 2 2 3" xfId="20653"/>
    <cellStyle name="Total 2 2 3 3 5 2 3" xfId="11887"/>
    <cellStyle name="Total 2 2 3 3 5 2 3 2" xfId="26209"/>
    <cellStyle name="Total 2 2 3 3 5 2 4" xfId="17532"/>
    <cellStyle name="Total 2 2 3 3 5 3" xfId="12909"/>
    <cellStyle name="Total 2 2 3 3 5 3 2" xfId="27231"/>
    <cellStyle name="Total 2 2 3 3 5 4" xfId="18554"/>
    <cellStyle name="Total 2 2 3 3 6" xfId="5533"/>
    <cellStyle name="Total 2 2 3 3 6 2" xfId="12084"/>
    <cellStyle name="Total 2 2 3 3 6 2 2" xfId="26406"/>
    <cellStyle name="Total 2 2 3 3 6 3" xfId="17729"/>
    <cellStyle name="Total 2 2 3 3 7" xfId="6719"/>
    <cellStyle name="Total 2 2 3 3 7 2" xfId="23673"/>
    <cellStyle name="Total 2 2 3 3 8" xfId="16995"/>
    <cellStyle name="Total 2 2 3 4" xfId="2697"/>
    <cellStyle name="Total 2 2 3 4 2" xfId="2698"/>
    <cellStyle name="Total 2 2 3 4 2 2" xfId="2699"/>
    <cellStyle name="Total 2 2 3 4 2 2 2" xfId="6373"/>
    <cellStyle name="Total 2 2 3 4 2 2 2 2" xfId="12956"/>
    <cellStyle name="Total 2 2 3 4 2 2 2 2 2" xfId="27278"/>
    <cellStyle name="Total 2 2 3 4 2 2 2 3" xfId="18601"/>
    <cellStyle name="Total 2 2 3 4 2 2 3" xfId="7077"/>
    <cellStyle name="Total 2 2 3 4 2 2 3 2" xfId="9691"/>
    <cellStyle name="Total 2 2 3 4 2 2 3 2 2" xfId="15953"/>
    <cellStyle name="Total 2 2 3 4 2 2 3 2 2 2" xfId="29369"/>
    <cellStyle name="Total 2 2 3 4 2 2 3 2 3" xfId="20698"/>
    <cellStyle name="Total 2 2 3 4 2 2 3 3" xfId="13681"/>
    <cellStyle name="Total 2 2 3 4 2 2 3 3 2" xfId="28003"/>
    <cellStyle name="Total 2 2 3 4 2 2 3 4" xfId="19326"/>
    <cellStyle name="Total 2 2 3 4 2 2 4" xfId="4039"/>
    <cellStyle name="Total 2 2 3 4 2 2 4 2" xfId="22717"/>
    <cellStyle name="Total 2 2 3 4 2 2 5" xfId="15276"/>
    <cellStyle name="Total 2 2 3 4 2 3" xfId="2700"/>
    <cellStyle name="Total 2 2 3 4 2 3 2" xfId="7684"/>
    <cellStyle name="Total 2 2 3 4 2 3 2 2" xfId="10298"/>
    <cellStyle name="Total 2 2 3 4 2 3 2 2 2" xfId="16560"/>
    <cellStyle name="Total 2 2 3 4 2 3 2 2 2 2" xfId="29976"/>
    <cellStyle name="Total 2 2 3 4 2 3 2 2 3" xfId="21305"/>
    <cellStyle name="Total 2 2 3 4 2 3 2 3" xfId="14288"/>
    <cellStyle name="Total 2 2 3 4 2 3 2 3 2" xfId="28610"/>
    <cellStyle name="Total 2 2 3 4 2 3 2 4" xfId="19933"/>
    <cellStyle name="Total 2 2 3 4 2 3 3" xfId="13282"/>
    <cellStyle name="Total 2 2 3 4 2 3 3 2" xfId="27604"/>
    <cellStyle name="Total 2 2 3 4 2 3 4" xfId="18927"/>
    <cellStyle name="Total 2 2 3 4 2 4" xfId="5732"/>
    <cellStyle name="Total 2 2 3 4 2 4 2" xfId="12285"/>
    <cellStyle name="Total 2 2 3 4 2 4 2 2" xfId="26607"/>
    <cellStyle name="Total 2 2 3 4 2 4 3" xfId="17930"/>
    <cellStyle name="Total 2 2 3 4 2 5" xfId="6731"/>
    <cellStyle name="Total 2 2 3 4 2 5 2" xfId="23684"/>
    <cellStyle name="Total 2 2 3 4 2 6" xfId="6696"/>
    <cellStyle name="Total 2 2 3 4 3" xfId="2701"/>
    <cellStyle name="Total 2 2 3 4 3 2" xfId="2702"/>
    <cellStyle name="Total 2 2 3 4 3 2 2" xfId="6531"/>
    <cellStyle name="Total 2 2 3 4 3 2 2 2" xfId="13119"/>
    <cellStyle name="Total 2 2 3 4 3 2 2 2 2" xfId="27441"/>
    <cellStyle name="Total 2 2 3 4 3 2 2 3" xfId="18764"/>
    <cellStyle name="Total 2 2 3 4 3 2 3" xfId="7389"/>
    <cellStyle name="Total 2 2 3 4 3 2 3 2" xfId="10003"/>
    <cellStyle name="Total 2 2 3 4 3 2 3 2 2" xfId="16265"/>
    <cellStyle name="Total 2 2 3 4 3 2 3 2 2 2" xfId="29681"/>
    <cellStyle name="Total 2 2 3 4 3 2 3 2 3" xfId="21010"/>
    <cellStyle name="Total 2 2 3 4 3 2 3 3" xfId="13993"/>
    <cellStyle name="Total 2 2 3 4 3 2 3 3 2" xfId="28315"/>
    <cellStyle name="Total 2 2 3 4 3 2 3 4" xfId="19638"/>
    <cellStyle name="Total 2 2 3 4 3 2 4" xfId="3596"/>
    <cellStyle name="Total 2 2 3 4 3 2 4 2" xfId="22479"/>
    <cellStyle name="Total 2 2 3 4 3 2 5" xfId="15426"/>
    <cellStyle name="Total 2 2 3 4 3 3" xfId="2703"/>
    <cellStyle name="Total 2 2 3 4 3 3 2" xfId="7221"/>
    <cellStyle name="Total 2 2 3 4 3 3 2 2" xfId="9835"/>
    <cellStyle name="Total 2 2 3 4 3 3 2 2 2" xfId="16097"/>
    <cellStyle name="Total 2 2 3 4 3 3 2 2 2 2" xfId="29513"/>
    <cellStyle name="Total 2 2 3 4 3 3 2 2 3" xfId="20842"/>
    <cellStyle name="Total 2 2 3 4 3 3 2 3" xfId="13825"/>
    <cellStyle name="Total 2 2 3 4 3 3 2 3 2" xfId="28147"/>
    <cellStyle name="Total 2 2 3 4 3 3 2 4" xfId="19470"/>
    <cellStyle name="Total 2 2 3 4 3 3 3" xfId="12699"/>
    <cellStyle name="Total 2 2 3 4 3 3 3 2" xfId="27021"/>
    <cellStyle name="Total 2 2 3 4 3 3 4" xfId="18344"/>
    <cellStyle name="Total 2 2 3 4 3 4" xfId="5091"/>
    <cellStyle name="Total 2 2 3 4 3 4 2" xfId="11638"/>
    <cellStyle name="Total 2 2 3 4 3 4 2 2" xfId="25960"/>
    <cellStyle name="Total 2 2 3 4 3 4 3" xfId="3244"/>
    <cellStyle name="Total 2 2 3 4 3 5" xfId="4285"/>
    <cellStyle name="Total 2 2 3 4 3 5 2" xfId="22870"/>
    <cellStyle name="Total 2 2 3 4 3 6" xfId="6046"/>
    <cellStyle name="Total 2 2 3 4 4" xfId="2704"/>
    <cellStyle name="Total 2 2 3 4 4 2" xfId="6965"/>
    <cellStyle name="Total 2 2 3 4 4 2 2" xfId="13569"/>
    <cellStyle name="Total 2 2 3 4 4 2 2 2" xfId="27891"/>
    <cellStyle name="Total 2 2 3 4 4 2 3" xfId="19214"/>
    <cellStyle name="Total 2 2 3 4 4 3" xfId="7681"/>
    <cellStyle name="Total 2 2 3 4 4 3 2" xfId="10295"/>
    <cellStyle name="Total 2 2 3 4 4 3 2 2" xfId="16557"/>
    <cellStyle name="Total 2 2 3 4 4 3 2 2 2" xfId="29973"/>
    <cellStyle name="Total 2 2 3 4 4 3 2 3" xfId="21302"/>
    <cellStyle name="Total 2 2 3 4 4 3 3" xfId="14285"/>
    <cellStyle name="Total 2 2 3 4 4 3 3 2" xfId="28607"/>
    <cellStyle name="Total 2 2 3 4 4 3 4" xfId="19930"/>
    <cellStyle name="Total 2 2 3 4 4 4" xfId="11469"/>
    <cellStyle name="Total 2 2 3 4 4 4 2" xfId="25791"/>
    <cellStyle name="Total 2 2 3 4 4 5" xfId="5984"/>
    <cellStyle name="Total 2 2 3 4 5" xfId="2705"/>
    <cellStyle name="Total 2 2 3 4 5 2" xfId="8025"/>
    <cellStyle name="Total 2 2 3 4 5 2 2" xfId="10639"/>
    <cellStyle name="Total 2 2 3 4 5 2 2 2" xfId="16901"/>
    <cellStyle name="Total 2 2 3 4 5 2 2 2 2" xfId="30317"/>
    <cellStyle name="Total 2 2 3 4 5 2 2 3" xfId="21646"/>
    <cellStyle name="Total 2 2 3 4 5 2 3" xfId="14629"/>
    <cellStyle name="Total 2 2 3 4 5 2 3 2" xfId="28951"/>
    <cellStyle name="Total 2 2 3 4 5 2 4" xfId="20274"/>
    <cellStyle name="Total 2 2 3 4 5 3" xfId="12849"/>
    <cellStyle name="Total 2 2 3 4 5 3 2" xfId="27171"/>
    <cellStyle name="Total 2 2 3 4 5 4" xfId="18494"/>
    <cellStyle name="Total 2 2 3 4 6" xfId="5438"/>
    <cellStyle name="Total 2 2 3 4 6 2" xfId="11989"/>
    <cellStyle name="Total 2 2 3 4 6 2 2" xfId="26311"/>
    <cellStyle name="Total 2 2 3 4 6 3" xfId="17634"/>
    <cellStyle name="Total 2 2 3 4 7" xfId="5624"/>
    <cellStyle name="Total 2 2 3 4 7 2" xfId="23358"/>
    <cellStyle name="Total 2 2 3 4 8" xfId="17172"/>
    <cellStyle name="Total 2 2 3 5" xfId="2706"/>
    <cellStyle name="Total 2 2 3 5 2" xfId="2707"/>
    <cellStyle name="Total 2 2 3 5 2 2" xfId="2708"/>
    <cellStyle name="Total 2 2 3 5 2 2 2" xfId="6379"/>
    <cellStyle name="Total 2 2 3 5 2 2 2 2" xfId="12962"/>
    <cellStyle name="Total 2 2 3 5 2 2 2 2 2" xfId="27284"/>
    <cellStyle name="Total 2 2 3 5 2 2 2 3" xfId="18607"/>
    <cellStyle name="Total 2 2 3 5 2 2 3" xfId="7992"/>
    <cellStyle name="Total 2 2 3 5 2 2 3 2" xfId="10606"/>
    <cellStyle name="Total 2 2 3 5 2 2 3 2 2" xfId="16868"/>
    <cellStyle name="Total 2 2 3 5 2 2 3 2 2 2" xfId="30284"/>
    <cellStyle name="Total 2 2 3 5 2 2 3 2 3" xfId="21613"/>
    <cellStyle name="Total 2 2 3 5 2 2 3 3" xfId="14596"/>
    <cellStyle name="Total 2 2 3 5 2 2 3 3 2" xfId="28918"/>
    <cellStyle name="Total 2 2 3 5 2 2 3 4" xfId="20241"/>
    <cellStyle name="Total 2 2 3 5 2 2 4" xfId="6346"/>
    <cellStyle name="Total 2 2 3 5 2 2 4 2" xfId="23532"/>
    <cellStyle name="Total 2 2 3 5 2 2 5" xfId="17280"/>
    <cellStyle name="Total 2 2 3 5 2 3" xfId="2709"/>
    <cellStyle name="Total 2 2 3 5 2 3 2" xfId="7166"/>
    <cellStyle name="Total 2 2 3 5 2 3 2 2" xfId="9780"/>
    <cellStyle name="Total 2 2 3 5 2 3 2 2 2" xfId="16042"/>
    <cellStyle name="Total 2 2 3 5 2 3 2 2 2 2" xfId="29458"/>
    <cellStyle name="Total 2 2 3 5 2 3 2 2 3" xfId="20787"/>
    <cellStyle name="Total 2 2 3 5 2 3 2 3" xfId="13770"/>
    <cellStyle name="Total 2 2 3 5 2 3 2 3 2" xfId="28092"/>
    <cellStyle name="Total 2 2 3 5 2 3 2 4" xfId="19415"/>
    <cellStyle name="Total 2 2 3 5 2 3 3" xfId="13093"/>
    <cellStyle name="Total 2 2 3 5 2 3 3 2" xfId="27415"/>
    <cellStyle name="Total 2 2 3 5 2 3 4" xfId="18738"/>
    <cellStyle name="Total 2 2 3 5 2 4" xfId="5448"/>
    <cellStyle name="Total 2 2 3 5 2 4 2" xfId="11999"/>
    <cellStyle name="Total 2 2 3 5 2 4 2 2" xfId="26321"/>
    <cellStyle name="Total 2 2 3 5 2 4 3" xfId="17644"/>
    <cellStyle name="Total 2 2 3 5 2 5" xfId="6758"/>
    <cellStyle name="Total 2 2 3 5 2 5 2" xfId="23706"/>
    <cellStyle name="Total 2 2 3 5 2 6" xfId="4724"/>
    <cellStyle name="Total 2 2 3 5 3" xfId="2710"/>
    <cellStyle name="Total 2 2 3 5 3 2" xfId="6938"/>
    <cellStyle name="Total 2 2 3 5 3 2 2" xfId="13542"/>
    <cellStyle name="Total 2 2 3 5 3 2 2 2" xfId="27864"/>
    <cellStyle name="Total 2 2 3 5 3 2 3" xfId="19187"/>
    <cellStyle name="Total 2 2 3 5 3 3" xfId="7899"/>
    <cellStyle name="Total 2 2 3 5 3 3 2" xfId="10513"/>
    <cellStyle name="Total 2 2 3 5 3 3 2 2" xfId="16775"/>
    <cellStyle name="Total 2 2 3 5 3 3 2 2 2" xfId="30191"/>
    <cellStyle name="Total 2 2 3 5 3 3 2 3" xfId="21520"/>
    <cellStyle name="Total 2 2 3 5 3 3 3" xfId="14503"/>
    <cellStyle name="Total 2 2 3 5 3 3 3 2" xfId="28825"/>
    <cellStyle name="Total 2 2 3 5 3 3 4" xfId="20148"/>
    <cellStyle name="Total 2 2 3 5 3 4" xfId="11431"/>
    <cellStyle name="Total 2 2 3 5 3 4 2" xfId="25753"/>
    <cellStyle name="Total 2 2 3 5 3 5" xfId="14711"/>
    <cellStyle name="Total 2 2 3 5 4" xfId="2711"/>
    <cellStyle name="Total 2 2 3 5 4 2" xfId="7206"/>
    <cellStyle name="Total 2 2 3 5 4 2 2" xfId="9820"/>
    <cellStyle name="Total 2 2 3 5 4 2 2 2" xfId="16082"/>
    <cellStyle name="Total 2 2 3 5 4 2 2 2 2" xfId="29498"/>
    <cellStyle name="Total 2 2 3 5 4 2 2 3" xfId="20827"/>
    <cellStyle name="Total 2 2 3 5 4 2 3" xfId="13810"/>
    <cellStyle name="Total 2 2 3 5 4 2 3 2" xfId="28132"/>
    <cellStyle name="Total 2 2 3 5 4 2 4" xfId="19455"/>
    <cellStyle name="Total 2 2 3 5 4 3" xfId="12844"/>
    <cellStyle name="Total 2 2 3 5 4 3 2" xfId="27166"/>
    <cellStyle name="Total 2 2 3 5 4 4" xfId="18489"/>
    <cellStyle name="Total 2 2 3 5 5" xfId="5426"/>
    <cellStyle name="Total 2 2 3 5 5 2" xfId="11977"/>
    <cellStyle name="Total 2 2 3 5 5 2 2" xfId="26299"/>
    <cellStyle name="Total 2 2 3 5 5 3" xfId="17622"/>
    <cellStyle name="Total 2 2 3 5 6" xfId="3632"/>
    <cellStyle name="Total 2 2 3 5 6 2" xfId="22495"/>
    <cellStyle name="Total 2 2 3 5 7" xfId="15454"/>
    <cellStyle name="Total 2 2 3 6" xfId="2712"/>
    <cellStyle name="Total 2 2 3 6 2" xfId="2713"/>
    <cellStyle name="Total 2 2 3 6 2 2" xfId="6278"/>
    <cellStyle name="Total 2 2 3 6 2 2 2" xfId="12860"/>
    <cellStyle name="Total 2 2 3 6 2 2 2 2" xfId="27182"/>
    <cellStyle name="Total 2 2 3 6 2 2 3" xfId="18505"/>
    <cellStyle name="Total 2 2 3 6 2 3" xfId="4989"/>
    <cellStyle name="Total 2 2 3 6 2 3 2" xfId="9533"/>
    <cellStyle name="Total 2 2 3 6 2 3 2 2" xfId="15795"/>
    <cellStyle name="Total 2 2 3 6 2 3 2 2 2" xfId="29211"/>
    <cellStyle name="Total 2 2 3 6 2 3 2 3" xfId="20540"/>
    <cellStyle name="Total 2 2 3 6 2 3 3" xfId="11532"/>
    <cellStyle name="Total 2 2 3 6 2 3 3 2" xfId="25854"/>
    <cellStyle name="Total 2 2 3 6 2 3 4" xfId="17339"/>
    <cellStyle name="Total 2 2 3 6 2 4" xfId="5917"/>
    <cellStyle name="Total 2 2 3 6 2 4 2" xfId="23372"/>
    <cellStyle name="Total 2 2 3 6 2 5" xfId="15434"/>
    <cellStyle name="Total 2 2 3 6 3" xfId="2714"/>
    <cellStyle name="Total 2 2 3 6 3 2" xfId="7839"/>
    <cellStyle name="Total 2 2 3 6 3 2 2" xfId="10453"/>
    <cellStyle name="Total 2 2 3 6 3 2 2 2" xfId="16715"/>
    <cellStyle name="Total 2 2 3 6 3 2 2 2 2" xfId="30131"/>
    <cellStyle name="Total 2 2 3 6 3 2 2 3" xfId="21460"/>
    <cellStyle name="Total 2 2 3 6 3 2 3" xfId="14443"/>
    <cellStyle name="Total 2 2 3 6 3 2 3 2" xfId="28765"/>
    <cellStyle name="Total 2 2 3 6 3 2 4" xfId="20088"/>
    <cellStyle name="Total 2 2 3 6 3 3" xfId="12672"/>
    <cellStyle name="Total 2 2 3 6 3 3 2" xfId="26994"/>
    <cellStyle name="Total 2 2 3 6 3 4" xfId="18317"/>
    <cellStyle name="Total 2 2 3 6 4" xfId="5238"/>
    <cellStyle name="Total 2 2 3 6 4 2" xfId="11788"/>
    <cellStyle name="Total 2 2 3 6 4 2 2" xfId="26110"/>
    <cellStyle name="Total 2 2 3 6 4 3" xfId="17433"/>
    <cellStyle name="Total 2 2 3 6 5" xfId="6359"/>
    <cellStyle name="Total 2 2 3 6 5 2" xfId="23543"/>
    <cellStyle name="Total 2 2 3 6 6" xfId="4554"/>
    <cellStyle name="Total 2 2 3 7" xfId="2715"/>
    <cellStyle name="Total 2 2 3 7 2" xfId="6048"/>
    <cellStyle name="Total 2 2 3 7 2 2" xfId="12614"/>
    <cellStyle name="Total 2 2 3 7 2 2 2" xfId="26936"/>
    <cellStyle name="Total 2 2 3 7 2 3" xfId="18259"/>
    <cellStyle name="Total 2 2 3 7 3" xfId="7632"/>
    <cellStyle name="Total 2 2 3 7 3 2" xfId="10246"/>
    <cellStyle name="Total 2 2 3 7 3 2 2" xfId="16508"/>
    <cellStyle name="Total 2 2 3 7 3 2 2 2" xfId="29924"/>
    <cellStyle name="Total 2 2 3 7 3 2 3" xfId="21253"/>
    <cellStyle name="Total 2 2 3 7 3 3" xfId="14236"/>
    <cellStyle name="Total 2 2 3 7 3 3 2" xfId="28558"/>
    <cellStyle name="Total 2 2 3 7 3 4" xfId="19881"/>
    <cellStyle name="Total 2 2 3 7 4" xfId="6732"/>
    <cellStyle name="Total 2 2 3 7 4 2" xfId="23685"/>
    <cellStyle name="Total 2 2 3 7 5" xfId="17214"/>
    <cellStyle name="Total 2 2 3 8" xfId="2716"/>
    <cellStyle name="Total 2 2 3 8 2" xfId="7939"/>
    <cellStyle name="Total 2 2 3 8 2 2" xfId="10553"/>
    <cellStyle name="Total 2 2 3 8 2 2 2" xfId="16815"/>
    <cellStyle name="Total 2 2 3 8 2 2 2 2" xfId="30231"/>
    <cellStyle name="Total 2 2 3 8 2 2 3" xfId="21560"/>
    <cellStyle name="Total 2 2 3 8 2 3" xfId="14543"/>
    <cellStyle name="Total 2 2 3 8 2 3 2" xfId="28865"/>
    <cellStyle name="Total 2 2 3 8 2 4" xfId="20188"/>
    <cellStyle name="Total 2 2 3 8 3" xfId="12500"/>
    <cellStyle name="Total 2 2 3 8 3 2" xfId="26822"/>
    <cellStyle name="Total 2 2 3 8 4" xfId="18145"/>
    <cellStyle name="Total 2 2 3 9" xfId="5168"/>
    <cellStyle name="Total 2 2 3 9 2" xfId="11717"/>
    <cellStyle name="Total 2 2 3 9 2 2" xfId="26039"/>
    <cellStyle name="Total 2 2 3 9 3" xfId="4054"/>
    <cellStyle name="Total 2 2 4" xfId="2717"/>
    <cellStyle name="Total 2 2 4 2" xfId="2718"/>
    <cellStyle name="Total 2 2 4 2 2" xfId="2719"/>
    <cellStyle name="Total 2 2 4 2 2 2" xfId="6056"/>
    <cellStyle name="Total 2 2 4 2 2 2 2" xfId="12622"/>
    <cellStyle name="Total 2 2 4 2 2 2 2 2" xfId="26944"/>
    <cellStyle name="Total 2 2 4 2 2 2 3" xfId="18267"/>
    <cellStyle name="Total 2 2 4 2 2 3" xfId="7986"/>
    <cellStyle name="Total 2 2 4 2 2 3 2" xfId="10600"/>
    <cellStyle name="Total 2 2 4 2 2 3 2 2" xfId="16862"/>
    <cellStyle name="Total 2 2 4 2 2 3 2 2 2" xfId="30278"/>
    <cellStyle name="Total 2 2 4 2 2 3 2 3" xfId="21607"/>
    <cellStyle name="Total 2 2 4 2 2 3 3" xfId="14590"/>
    <cellStyle name="Total 2 2 4 2 2 3 3 2" xfId="28912"/>
    <cellStyle name="Total 2 2 4 2 2 3 4" xfId="20235"/>
    <cellStyle name="Total 2 2 4 2 2 4" xfId="3675"/>
    <cellStyle name="Total 2 2 4 2 2 4 2" xfId="22520"/>
    <cellStyle name="Total 2 2 4 2 2 5" xfId="15059"/>
    <cellStyle name="Total 2 2 4 2 3" xfId="2720"/>
    <cellStyle name="Total 2 2 4 2 3 2" xfId="7871"/>
    <cellStyle name="Total 2 2 4 2 3 2 2" xfId="10485"/>
    <cellStyle name="Total 2 2 4 2 3 2 2 2" xfId="16747"/>
    <cellStyle name="Total 2 2 4 2 3 2 2 2 2" xfId="30163"/>
    <cellStyle name="Total 2 2 4 2 3 2 2 3" xfId="21492"/>
    <cellStyle name="Total 2 2 4 2 3 2 3" xfId="14475"/>
    <cellStyle name="Total 2 2 4 2 3 2 3 2" xfId="28797"/>
    <cellStyle name="Total 2 2 4 2 3 2 4" xfId="20120"/>
    <cellStyle name="Total 2 2 4 2 3 3" xfId="13283"/>
    <cellStyle name="Total 2 2 4 2 3 3 2" xfId="27605"/>
    <cellStyle name="Total 2 2 4 2 3 4" xfId="18928"/>
    <cellStyle name="Total 2 2 4 2 4" xfId="5733"/>
    <cellStyle name="Total 2 2 4 2 4 2" xfId="12286"/>
    <cellStyle name="Total 2 2 4 2 4 2 2" xfId="26608"/>
    <cellStyle name="Total 2 2 4 2 4 3" xfId="17931"/>
    <cellStyle name="Total 2 2 4 2 5" xfId="3748"/>
    <cellStyle name="Total 2 2 4 2 5 2" xfId="22562"/>
    <cellStyle name="Total 2 2 4 2 6" xfId="6095"/>
    <cellStyle name="Total 2 2 4 3" xfId="2721"/>
    <cellStyle name="Total 2 2 4 3 2" xfId="2722"/>
    <cellStyle name="Total 2 2 4 3 2 2" xfId="6915"/>
    <cellStyle name="Total 2 2 4 3 2 2 2" xfId="13519"/>
    <cellStyle name="Total 2 2 4 3 2 2 2 2" xfId="27841"/>
    <cellStyle name="Total 2 2 4 3 2 2 3" xfId="19164"/>
    <cellStyle name="Total 2 2 4 3 2 3" xfId="7633"/>
    <cellStyle name="Total 2 2 4 3 2 3 2" xfId="10247"/>
    <cellStyle name="Total 2 2 4 3 2 3 2 2" xfId="16509"/>
    <cellStyle name="Total 2 2 4 3 2 3 2 2 2" xfId="29925"/>
    <cellStyle name="Total 2 2 4 3 2 3 2 3" xfId="21254"/>
    <cellStyle name="Total 2 2 4 3 2 3 3" xfId="14237"/>
    <cellStyle name="Total 2 2 4 3 2 3 3 2" xfId="28559"/>
    <cellStyle name="Total 2 2 4 3 2 3 4" xfId="19882"/>
    <cellStyle name="Total 2 2 4 3 2 4" xfId="11401"/>
    <cellStyle name="Total 2 2 4 3 2 4 2" xfId="25723"/>
    <cellStyle name="Total 2 2 4 3 2 5" xfId="17322"/>
    <cellStyle name="Total 2 2 4 3 3" xfId="2723"/>
    <cellStyle name="Total 2 2 4 3 3 2" xfId="7616"/>
    <cellStyle name="Total 2 2 4 3 3 2 2" xfId="10230"/>
    <cellStyle name="Total 2 2 4 3 3 2 2 2" xfId="16492"/>
    <cellStyle name="Total 2 2 4 3 3 2 2 2 2" xfId="29908"/>
    <cellStyle name="Total 2 2 4 3 3 2 2 3" xfId="21237"/>
    <cellStyle name="Total 2 2 4 3 3 2 3" xfId="14220"/>
    <cellStyle name="Total 2 2 4 3 3 2 3 2" xfId="28542"/>
    <cellStyle name="Total 2 2 4 3 3 2 4" xfId="19865"/>
    <cellStyle name="Total 2 2 4 3 3 3" xfId="13424"/>
    <cellStyle name="Total 2 2 4 3 3 3 2" xfId="27746"/>
    <cellStyle name="Total 2 2 4 3 3 4" xfId="19069"/>
    <cellStyle name="Total 2 2 4 3 4" xfId="5898"/>
    <cellStyle name="Total 2 2 4 3 4 2" xfId="12452"/>
    <cellStyle name="Total 2 2 4 3 4 2 2" xfId="26774"/>
    <cellStyle name="Total 2 2 4 3 4 3" xfId="18097"/>
    <cellStyle name="Total 2 2 4 3 5" xfId="2826"/>
    <cellStyle name="Total 2 2 4 3 5 2" xfId="22389"/>
    <cellStyle name="Total 2 2 4 3 6" xfId="15272"/>
    <cellStyle name="Total 2 2 4 4" xfId="2724"/>
    <cellStyle name="Total 2 2 4 4 2" xfId="5112"/>
    <cellStyle name="Total 2 2 4 4 2 2" xfId="11660"/>
    <cellStyle name="Total 2 2 4 4 2 2 2" xfId="25982"/>
    <cellStyle name="Total 2 2 4 4 2 3" xfId="15125"/>
    <cellStyle name="Total 2 2 4 4 3" xfId="4755"/>
    <cellStyle name="Total 2 2 4 4 3 2" xfId="9476"/>
    <cellStyle name="Total 2 2 4 4 3 2 2" xfId="15738"/>
    <cellStyle name="Total 2 2 4 4 3 2 2 2" xfId="29154"/>
    <cellStyle name="Total 2 2 4 4 3 2 3" xfId="20483"/>
    <cellStyle name="Total 2 2 4 4 3 3" xfId="2818"/>
    <cellStyle name="Total 2 2 4 4 3 3 2" xfId="22381"/>
    <cellStyle name="Total 2 2 4 4 3 4" xfId="6705"/>
    <cellStyle name="Total 2 2 4 4 4" xfId="5068"/>
    <cellStyle name="Total 2 2 4 4 4 2" xfId="23323"/>
    <cellStyle name="Total 2 2 4 4 5" xfId="14924"/>
    <cellStyle name="Total 2 2 4 5" xfId="2725"/>
    <cellStyle name="Total 2 2 4 5 2" xfId="7823"/>
    <cellStyle name="Total 2 2 4 5 2 2" xfId="10437"/>
    <cellStyle name="Total 2 2 4 5 2 2 2" xfId="16699"/>
    <cellStyle name="Total 2 2 4 5 2 2 2 2" xfId="30115"/>
    <cellStyle name="Total 2 2 4 5 2 2 3" xfId="21444"/>
    <cellStyle name="Total 2 2 4 5 2 3" xfId="14427"/>
    <cellStyle name="Total 2 2 4 5 2 3 2" xfId="28749"/>
    <cellStyle name="Total 2 2 4 5 2 4" xfId="20072"/>
    <cellStyle name="Total 2 2 4 5 3" xfId="12851"/>
    <cellStyle name="Total 2 2 4 5 3 2" xfId="27173"/>
    <cellStyle name="Total 2 2 4 5 4" xfId="18496"/>
    <cellStyle name="Total 2 2 4 6" xfId="5440"/>
    <cellStyle name="Total 2 2 4 6 2" xfId="11991"/>
    <cellStyle name="Total 2 2 4 6 2 2" xfId="26313"/>
    <cellStyle name="Total 2 2 4 6 3" xfId="17636"/>
    <cellStyle name="Total 2 2 4 7" xfId="6098"/>
    <cellStyle name="Total 2 2 4 7 2" xfId="23414"/>
    <cellStyle name="Total 2 2 4 8" xfId="15577"/>
    <cellStyle name="Total 2 2 5" xfId="2726"/>
    <cellStyle name="Total 2 2 5 2" xfId="2727"/>
    <cellStyle name="Total 2 2 5 2 2" xfId="2728"/>
    <cellStyle name="Total 2 2 5 2 2 2" xfId="6371"/>
    <cellStyle name="Total 2 2 5 2 2 2 2" xfId="12954"/>
    <cellStyle name="Total 2 2 5 2 2 2 2 2" xfId="27276"/>
    <cellStyle name="Total 2 2 5 2 2 2 3" xfId="18599"/>
    <cellStyle name="Total 2 2 5 2 2 3" xfId="7062"/>
    <cellStyle name="Total 2 2 5 2 2 3 2" xfId="9676"/>
    <cellStyle name="Total 2 2 5 2 2 3 2 2" xfId="15938"/>
    <cellStyle name="Total 2 2 5 2 2 3 2 2 2" xfId="29354"/>
    <cellStyle name="Total 2 2 5 2 2 3 2 3" xfId="20683"/>
    <cellStyle name="Total 2 2 5 2 2 3 3" xfId="13666"/>
    <cellStyle name="Total 2 2 5 2 2 3 3 2" xfId="27988"/>
    <cellStyle name="Total 2 2 5 2 2 3 4" xfId="19311"/>
    <cellStyle name="Total 2 2 5 2 2 4" xfId="3623"/>
    <cellStyle name="Total 2 2 5 2 2 4 2" xfId="22491"/>
    <cellStyle name="Total 2 2 5 2 2 5" xfId="14938"/>
    <cellStyle name="Total 2 2 5 2 3" xfId="2729"/>
    <cellStyle name="Total 2 2 5 2 3 2" xfId="5335"/>
    <cellStyle name="Total 2 2 5 2 3 2 2" xfId="9644"/>
    <cellStyle name="Total 2 2 5 2 3 2 2 2" xfId="15906"/>
    <cellStyle name="Total 2 2 5 2 3 2 2 2 2" xfId="29322"/>
    <cellStyle name="Total 2 2 5 2 3 2 2 3" xfId="20651"/>
    <cellStyle name="Total 2 2 5 2 3 2 3" xfId="11885"/>
    <cellStyle name="Total 2 2 5 2 3 2 3 2" xfId="26207"/>
    <cellStyle name="Total 2 2 5 2 3 2 4" xfId="17530"/>
    <cellStyle name="Total 2 2 5 2 3 3" xfId="13239"/>
    <cellStyle name="Total 2 2 5 2 3 3 2" xfId="27561"/>
    <cellStyle name="Total 2 2 5 2 3 4" xfId="18884"/>
    <cellStyle name="Total 2 2 5 2 4" xfId="5680"/>
    <cellStyle name="Total 2 2 5 2 4 2" xfId="12233"/>
    <cellStyle name="Total 2 2 5 2 4 2 2" xfId="26555"/>
    <cellStyle name="Total 2 2 5 2 4 3" xfId="17878"/>
    <cellStyle name="Total 2 2 5 2 5" xfId="6767"/>
    <cellStyle name="Total 2 2 5 2 5 2" xfId="23713"/>
    <cellStyle name="Total 2 2 5 2 6" xfId="3886"/>
    <cellStyle name="Total 2 2 5 3" xfId="2730"/>
    <cellStyle name="Total 2 2 5 3 2" xfId="2731"/>
    <cellStyle name="Total 2 2 5 3 2 2" xfId="6561"/>
    <cellStyle name="Total 2 2 5 3 2 2 2" xfId="13149"/>
    <cellStyle name="Total 2 2 5 3 2 2 2 2" xfId="27471"/>
    <cellStyle name="Total 2 2 5 3 2 2 3" xfId="18794"/>
    <cellStyle name="Total 2 2 5 3 2 3" xfId="8001"/>
    <cellStyle name="Total 2 2 5 3 2 3 2" xfId="10615"/>
    <cellStyle name="Total 2 2 5 3 2 3 2 2" xfId="16877"/>
    <cellStyle name="Total 2 2 5 3 2 3 2 2 2" xfId="30293"/>
    <cellStyle name="Total 2 2 5 3 2 3 2 3" xfId="21622"/>
    <cellStyle name="Total 2 2 5 3 2 3 3" xfId="14605"/>
    <cellStyle name="Total 2 2 5 3 2 3 3 2" xfId="28927"/>
    <cellStyle name="Total 2 2 5 3 2 3 4" xfId="20250"/>
    <cellStyle name="Total 2 2 5 3 2 4" xfId="3671"/>
    <cellStyle name="Total 2 2 5 3 2 4 2" xfId="22517"/>
    <cellStyle name="Total 2 2 5 3 2 5" xfId="15114"/>
    <cellStyle name="Total 2 2 5 3 3" xfId="2732"/>
    <cellStyle name="Total 2 2 5 3 3 2" xfId="8024"/>
    <cellStyle name="Total 2 2 5 3 3 2 2" xfId="10638"/>
    <cellStyle name="Total 2 2 5 3 3 2 2 2" xfId="16900"/>
    <cellStyle name="Total 2 2 5 3 3 2 2 2 2" xfId="30316"/>
    <cellStyle name="Total 2 2 5 3 3 2 2 3" xfId="21645"/>
    <cellStyle name="Total 2 2 5 3 3 2 3" xfId="14628"/>
    <cellStyle name="Total 2 2 5 3 3 2 3 2" xfId="28950"/>
    <cellStyle name="Total 2 2 5 3 3 2 4" xfId="20273"/>
    <cellStyle name="Total 2 2 5 3 3 3" xfId="13170"/>
    <cellStyle name="Total 2 2 5 3 3 3 2" xfId="27492"/>
    <cellStyle name="Total 2 2 5 3 3 4" xfId="18815"/>
    <cellStyle name="Total 2 2 5 3 4" xfId="5593"/>
    <cellStyle name="Total 2 2 5 3 4 2" xfId="12145"/>
    <cellStyle name="Total 2 2 5 3 4 2 2" xfId="26467"/>
    <cellStyle name="Total 2 2 5 3 4 3" xfId="17790"/>
    <cellStyle name="Total 2 2 5 3 5" xfId="5009"/>
    <cellStyle name="Total 2 2 5 3 5 2" xfId="23306"/>
    <cellStyle name="Total 2 2 5 3 6" xfId="15221"/>
    <cellStyle name="Total 2 2 5 4" xfId="2733"/>
    <cellStyle name="Total 2 2 5 4 2" xfId="6026"/>
    <cellStyle name="Total 2 2 5 4 2 2" xfId="12587"/>
    <cellStyle name="Total 2 2 5 4 2 2 2" xfId="26909"/>
    <cellStyle name="Total 2 2 5 4 2 3" xfId="18232"/>
    <cellStyle name="Total 2 2 5 4 3" xfId="7172"/>
    <cellStyle name="Total 2 2 5 4 3 2" xfId="9786"/>
    <cellStyle name="Total 2 2 5 4 3 2 2" xfId="16048"/>
    <cellStyle name="Total 2 2 5 4 3 2 2 2" xfId="29464"/>
    <cellStyle name="Total 2 2 5 4 3 2 3" xfId="20793"/>
    <cellStyle name="Total 2 2 5 4 3 3" xfId="13776"/>
    <cellStyle name="Total 2 2 5 4 3 3 2" xfId="28098"/>
    <cellStyle name="Total 2 2 5 4 3 4" xfId="19421"/>
    <cellStyle name="Total 2 2 5 4 4" xfId="6146"/>
    <cellStyle name="Total 2 2 5 4 4 2" xfId="23428"/>
    <cellStyle name="Total 2 2 5 4 5" xfId="3718"/>
    <cellStyle name="Total 2 2 5 5" xfId="2734"/>
    <cellStyle name="Total 2 2 5 5 2" xfId="5285"/>
    <cellStyle name="Total 2 2 5 5 2 2" xfId="9594"/>
    <cellStyle name="Total 2 2 5 5 2 2 2" xfId="15856"/>
    <cellStyle name="Total 2 2 5 5 2 2 2 2" xfId="29272"/>
    <cellStyle name="Total 2 2 5 5 2 2 3" xfId="20601"/>
    <cellStyle name="Total 2 2 5 5 2 3" xfId="11835"/>
    <cellStyle name="Total 2 2 5 5 2 3 2" xfId="26157"/>
    <cellStyle name="Total 2 2 5 5 2 4" xfId="17480"/>
    <cellStyle name="Total 2 2 5 5 3" xfId="12687"/>
    <cellStyle name="Total 2 2 5 5 3 2" xfId="27009"/>
    <cellStyle name="Total 2 2 5 5 4" xfId="18332"/>
    <cellStyle name="Total 2 2 5 6" xfId="5070"/>
    <cellStyle name="Total 2 2 5 6 2" xfId="11617"/>
    <cellStyle name="Total 2 2 5 6 2 2" xfId="25939"/>
    <cellStyle name="Total 2 2 5 6 3" xfId="14760"/>
    <cellStyle name="Total 2 2 5 7" xfId="5036"/>
    <cellStyle name="Total 2 2 5 7 2" xfId="23316"/>
    <cellStyle name="Total 2 2 5 8" xfId="14854"/>
    <cellStyle name="Total 2 2 6" xfId="2735"/>
    <cellStyle name="Total 2 2 6 2" xfId="2736"/>
    <cellStyle name="Total 2 2 6 2 2" xfId="2737"/>
    <cellStyle name="Total 2 2 6 2 2 2" xfId="6018"/>
    <cellStyle name="Total 2 2 6 2 2 2 2" xfId="12578"/>
    <cellStyle name="Total 2 2 6 2 2 2 2 2" xfId="26900"/>
    <cellStyle name="Total 2 2 6 2 2 2 3" xfId="18223"/>
    <cellStyle name="Total 2 2 6 2 2 3" xfId="7438"/>
    <cellStyle name="Total 2 2 6 2 2 3 2" xfId="10052"/>
    <cellStyle name="Total 2 2 6 2 2 3 2 2" xfId="16314"/>
    <cellStyle name="Total 2 2 6 2 2 3 2 2 2" xfId="29730"/>
    <cellStyle name="Total 2 2 6 2 2 3 2 3" xfId="21059"/>
    <cellStyle name="Total 2 2 6 2 2 3 3" xfId="14042"/>
    <cellStyle name="Total 2 2 6 2 2 3 3 2" xfId="28364"/>
    <cellStyle name="Total 2 2 6 2 2 3 4" xfId="19687"/>
    <cellStyle name="Total 2 2 6 2 2 4" xfId="6458"/>
    <cellStyle name="Total 2 2 6 2 2 4 2" xfId="23554"/>
    <cellStyle name="Total 2 2 6 2 2 5" xfId="14954"/>
    <cellStyle name="Total 2 2 6 2 3" xfId="2738"/>
    <cellStyle name="Total 2 2 6 2 3 2" xfId="7381"/>
    <cellStyle name="Total 2 2 6 2 3 2 2" xfId="9995"/>
    <cellStyle name="Total 2 2 6 2 3 2 2 2" xfId="16257"/>
    <cellStyle name="Total 2 2 6 2 3 2 2 2 2" xfId="29673"/>
    <cellStyle name="Total 2 2 6 2 3 2 2 3" xfId="21002"/>
    <cellStyle name="Total 2 2 6 2 3 2 3" xfId="13985"/>
    <cellStyle name="Total 2 2 6 2 3 2 3 2" xfId="28307"/>
    <cellStyle name="Total 2 2 6 2 3 2 4" xfId="19630"/>
    <cellStyle name="Total 2 2 6 2 3 3" xfId="13223"/>
    <cellStyle name="Total 2 2 6 2 3 3 2" xfId="27545"/>
    <cellStyle name="Total 2 2 6 2 3 4" xfId="18868"/>
    <cellStyle name="Total 2 2 6 2 4" xfId="5664"/>
    <cellStyle name="Total 2 2 6 2 4 2" xfId="12217"/>
    <cellStyle name="Total 2 2 6 2 4 2 2" xfId="26539"/>
    <cellStyle name="Total 2 2 6 2 4 3" xfId="17862"/>
    <cellStyle name="Total 2 2 6 2 5" xfId="6191"/>
    <cellStyle name="Total 2 2 6 2 5 2" xfId="23454"/>
    <cellStyle name="Total 2 2 6 2 6" xfId="6782"/>
    <cellStyle name="Total 2 2 6 3" xfId="2739"/>
    <cellStyle name="Total 2 2 6 3 2" xfId="2740"/>
    <cellStyle name="Total 2 2 6 3 2 2" xfId="5088"/>
    <cellStyle name="Total 2 2 6 3 2 2 2" xfId="11635"/>
    <cellStyle name="Total 2 2 6 3 2 2 2 2" xfId="25957"/>
    <cellStyle name="Total 2 2 6 3 2 2 3" xfId="17309"/>
    <cellStyle name="Total 2 2 6 3 2 3" xfId="4517"/>
    <cellStyle name="Total 2 2 6 3 2 3 2" xfId="9473"/>
    <cellStyle name="Total 2 2 6 3 2 3 2 2" xfId="15735"/>
    <cellStyle name="Total 2 2 6 3 2 3 2 2 2" xfId="29151"/>
    <cellStyle name="Total 2 2 6 3 2 3 2 3" xfId="20480"/>
    <cellStyle name="Total 2 2 6 3 2 3 3" xfId="6722"/>
    <cellStyle name="Total 2 2 6 3 2 3 3 2" xfId="23676"/>
    <cellStyle name="Total 2 2 6 3 2 3 4" xfId="15443"/>
    <cellStyle name="Total 2 2 6 3 2 4" xfId="4694"/>
    <cellStyle name="Total 2 2 6 3 2 4 2" xfId="23130"/>
    <cellStyle name="Total 2 2 6 3 2 5" xfId="15016"/>
    <cellStyle name="Total 2 2 6 3 3" xfId="2741"/>
    <cellStyle name="Total 2 2 6 3 3 2" xfId="7262"/>
    <cellStyle name="Total 2 2 6 3 3 2 2" xfId="9876"/>
    <cellStyle name="Total 2 2 6 3 3 2 2 2" xfId="16138"/>
    <cellStyle name="Total 2 2 6 3 3 2 2 2 2" xfId="29554"/>
    <cellStyle name="Total 2 2 6 3 3 2 2 3" xfId="20883"/>
    <cellStyle name="Total 2 2 6 3 3 2 3" xfId="13866"/>
    <cellStyle name="Total 2 2 6 3 3 2 3 2" xfId="28188"/>
    <cellStyle name="Total 2 2 6 3 3 2 4" xfId="19511"/>
    <cellStyle name="Total 2 2 6 3 3 3" xfId="12813"/>
    <cellStyle name="Total 2 2 6 3 3 3 2" xfId="27135"/>
    <cellStyle name="Total 2 2 6 3 3 4" xfId="18458"/>
    <cellStyle name="Total 2 2 6 3 4" xfId="3752"/>
    <cellStyle name="Total 2 2 6 3 4 2" xfId="4658"/>
    <cellStyle name="Total 2 2 6 3 4 2 2" xfId="23099"/>
    <cellStyle name="Total 2 2 6 3 4 3" xfId="16951"/>
    <cellStyle name="Total 2 2 6 3 5" xfId="4218"/>
    <cellStyle name="Total 2 2 6 3 5 2" xfId="22830"/>
    <cellStyle name="Total 2 2 6 3 6" xfId="3240"/>
    <cellStyle name="Total 2 2 6 4" xfId="2742"/>
    <cellStyle name="Total 2 2 6 4 2" xfId="5976"/>
    <cellStyle name="Total 2 2 6 4 2 2" xfId="12534"/>
    <cellStyle name="Total 2 2 6 4 2 2 2" xfId="26856"/>
    <cellStyle name="Total 2 2 6 4 2 3" xfId="18179"/>
    <cellStyle name="Total 2 2 6 4 3" xfId="7483"/>
    <cellStyle name="Total 2 2 6 4 3 2" xfId="10097"/>
    <cellStyle name="Total 2 2 6 4 3 2 2" xfId="16359"/>
    <cellStyle name="Total 2 2 6 4 3 2 2 2" xfId="29775"/>
    <cellStyle name="Total 2 2 6 4 3 2 3" xfId="21104"/>
    <cellStyle name="Total 2 2 6 4 3 3" xfId="14087"/>
    <cellStyle name="Total 2 2 6 4 3 3 2" xfId="28409"/>
    <cellStyle name="Total 2 2 6 4 3 4" xfId="19732"/>
    <cellStyle name="Total 2 2 6 4 4" xfId="4887"/>
    <cellStyle name="Total 2 2 6 4 4 2" xfId="23245"/>
    <cellStyle name="Total 2 2 6 4 5" xfId="17053"/>
    <cellStyle name="Total 2 2 6 5" xfId="2743"/>
    <cellStyle name="Total 2 2 6 5 2" xfId="7508"/>
    <cellStyle name="Total 2 2 6 5 2 2" xfId="10122"/>
    <cellStyle name="Total 2 2 6 5 2 2 2" xfId="16384"/>
    <cellStyle name="Total 2 2 6 5 2 2 2 2" xfId="29800"/>
    <cellStyle name="Total 2 2 6 5 2 2 3" xfId="21129"/>
    <cellStyle name="Total 2 2 6 5 2 3" xfId="14112"/>
    <cellStyle name="Total 2 2 6 5 2 3 2" xfId="28434"/>
    <cellStyle name="Total 2 2 6 5 2 4" xfId="19757"/>
    <cellStyle name="Total 2 2 6 5 3" xfId="12556"/>
    <cellStyle name="Total 2 2 6 5 3 2" xfId="26878"/>
    <cellStyle name="Total 2 2 6 5 4" xfId="18201"/>
    <cellStyle name="Total 2 2 6 6" xfId="5173"/>
    <cellStyle name="Total 2 2 6 6 2" xfId="11722"/>
    <cellStyle name="Total 2 2 6 6 2 2" xfId="26044"/>
    <cellStyle name="Total 2 2 6 6 3" xfId="4967"/>
    <cellStyle name="Total 2 2 6 7" xfId="6457"/>
    <cellStyle name="Total 2 2 6 7 2" xfId="23553"/>
    <cellStyle name="Total 2 2 6 8" xfId="17079"/>
    <cellStyle name="Total 2 2 7" xfId="2744"/>
    <cellStyle name="Total 2 2 7 2" xfId="2745"/>
    <cellStyle name="Total 2 2 7 2 2" xfId="2746"/>
    <cellStyle name="Total 2 2 7 2 2 2" xfId="6414"/>
    <cellStyle name="Total 2 2 7 2 2 2 2" xfId="12997"/>
    <cellStyle name="Total 2 2 7 2 2 2 2 2" xfId="27319"/>
    <cellStyle name="Total 2 2 7 2 2 2 3" xfId="18642"/>
    <cellStyle name="Total 2 2 7 2 2 3" xfId="7970"/>
    <cellStyle name="Total 2 2 7 2 2 3 2" xfId="10584"/>
    <cellStyle name="Total 2 2 7 2 2 3 2 2" xfId="16846"/>
    <cellStyle name="Total 2 2 7 2 2 3 2 2 2" xfId="30262"/>
    <cellStyle name="Total 2 2 7 2 2 3 2 3" xfId="21591"/>
    <cellStyle name="Total 2 2 7 2 2 3 3" xfId="14574"/>
    <cellStyle name="Total 2 2 7 2 2 3 3 2" xfId="28896"/>
    <cellStyle name="Total 2 2 7 2 2 3 4" xfId="20219"/>
    <cellStyle name="Total 2 2 7 2 2 4" xfId="3920"/>
    <cellStyle name="Total 2 2 7 2 2 4 2" xfId="22647"/>
    <cellStyle name="Total 2 2 7 2 2 5" xfId="15028"/>
    <cellStyle name="Total 2 2 7 2 3" xfId="2747"/>
    <cellStyle name="Total 2 2 7 2 3 2" xfId="4106"/>
    <cellStyle name="Total 2 2 7 2 3 2 2" xfId="9426"/>
    <cellStyle name="Total 2 2 7 2 3 2 2 2" xfId="15688"/>
    <cellStyle name="Total 2 2 7 2 3 2 2 2 2" xfId="29104"/>
    <cellStyle name="Total 2 2 7 2 3 2 2 3" xfId="20433"/>
    <cellStyle name="Total 2 2 7 2 3 2 3" xfId="4519"/>
    <cellStyle name="Total 2 2 7 2 3 2 3 2" xfId="23005"/>
    <cellStyle name="Total 2 2 7 2 3 2 4" xfId="15462"/>
    <cellStyle name="Total 2 2 7 2 3 3" xfId="13184"/>
    <cellStyle name="Total 2 2 7 2 3 3 2" xfId="27506"/>
    <cellStyle name="Total 2 2 7 2 3 4" xfId="18829"/>
    <cellStyle name="Total 2 2 7 2 4" xfId="5617"/>
    <cellStyle name="Total 2 2 7 2 4 2" xfId="12170"/>
    <cellStyle name="Total 2 2 7 2 4 2 2" xfId="26492"/>
    <cellStyle name="Total 2 2 7 2 4 3" xfId="17815"/>
    <cellStyle name="Total 2 2 7 2 5" xfId="4044"/>
    <cellStyle name="Total 2 2 7 2 5 2" xfId="22721"/>
    <cellStyle name="Total 2 2 7 2 6" xfId="15355"/>
    <cellStyle name="Total 2 2 7 3" xfId="2748"/>
    <cellStyle name="Total 2 2 7 3 2" xfId="6084"/>
    <cellStyle name="Total 2 2 7 3 2 2" xfId="12650"/>
    <cellStyle name="Total 2 2 7 3 2 2 2" xfId="26972"/>
    <cellStyle name="Total 2 2 7 3 2 3" xfId="18295"/>
    <cellStyle name="Total 2 2 7 3 3" xfId="7806"/>
    <cellStyle name="Total 2 2 7 3 3 2" xfId="10420"/>
    <cellStyle name="Total 2 2 7 3 3 2 2" xfId="16682"/>
    <cellStyle name="Total 2 2 7 3 3 2 2 2" xfId="30098"/>
    <cellStyle name="Total 2 2 7 3 3 2 3" xfId="21427"/>
    <cellStyle name="Total 2 2 7 3 3 3" xfId="14410"/>
    <cellStyle name="Total 2 2 7 3 3 3 2" xfId="28732"/>
    <cellStyle name="Total 2 2 7 3 3 4" xfId="20055"/>
    <cellStyle name="Total 2 2 7 3 4" xfId="6615"/>
    <cellStyle name="Total 2 2 7 3 4 2" xfId="23607"/>
    <cellStyle name="Total 2 2 7 3 5" xfId="14878"/>
    <cellStyle name="Total 2 2 7 4" xfId="2749"/>
    <cellStyle name="Total 2 2 7 4 2" xfId="7822"/>
    <cellStyle name="Total 2 2 7 4 2 2" xfId="10436"/>
    <cellStyle name="Total 2 2 7 4 2 2 2" xfId="16698"/>
    <cellStyle name="Total 2 2 7 4 2 2 2 2" xfId="30114"/>
    <cellStyle name="Total 2 2 7 4 2 2 3" xfId="21443"/>
    <cellStyle name="Total 2 2 7 4 2 3" xfId="14426"/>
    <cellStyle name="Total 2 2 7 4 2 3 2" xfId="28748"/>
    <cellStyle name="Total 2 2 7 4 2 4" xfId="20071"/>
    <cellStyle name="Total 2 2 7 4 3" xfId="12190"/>
    <cellStyle name="Total 2 2 7 4 3 2" xfId="26512"/>
    <cellStyle name="Total 2 2 7 4 4" xfId="17835"/>
    <cellStyle name="Total 2 2 7 5" xfId="5078"/>
    <cellStyle name="Total 2 2 7 5 2" xfId="11625"/>
    <cellStyle name="Total 2 2 7 5 2 2" xfId="25947"/>
    <cellStyle name="Total 2 2 7 5 3" xfId="14879"/>
    <cellStyle name="Total 2 2 7 6" xfId="3950"/>
    <cellStyle name="Total 2 2 7 6 2" xfId="22664"/>
    <cellStyle name="Total 2 2 7 7" xfId="15478"/>
    <cellStyle name="Total 2 2 8" xfId="2750"/>
    <cellStyle name="Total 2 2 8 2" xfId="2751"/>
    <cellStyle name="Total 2 2 8 2 2" xfId="5946"/>
    <cellStyle name="Total 2 2 8 2 2 2" xfId="12503"/>
    <cellStyle name="Total 2 2 8 2 2 2 2" xfId="26825"/>
    <cellStyle name="Total 2 2 8 2 2 3" xfId="18148"/>
    <cellStyle name="Total 2 2 8 2 3" xfId="7474"/>
    <cellStyle name="Total 2 2 8 2 3 2" xfId="10088"/>
    <cellStyle name="Total 2 2 8 2 3 2 2" xfId="16350"/>
    <cellStyle name="Total 2 2 8 2 3 2 2 2" xfId="29766"/>
    <cellStyle name="Total 2 2 8 2 3 2 3" xfId="21095"/>
    <cellStyle name="Total 2 2 8 2 3 3" xfId="14078"/>
    <cellStyle name="Total 2 2 8 2 3 3 2" xfId="28400"/>
    <cellStyle name="Total 2 2 8 2 3 4" xfId="19723"/>
    <cellStyle name="Total 2 2 8 2 4" xfId="4495"/>
    <cellStyle name="Total 2 2 8 2 4 2" xfId="22988"/>
    <cellStyle name="Total 2 2 8 2 5" xfId="15200"/>
    <cellStyle name="Total 2 2 8 3" xfId="2752"/>
    <cellStyle name="Total 2 2 8 3 2" xfId="7491"/>
    <cellStyle name="Total 2 2 8 3 2 2" xfId="10105"/>
    <cellStyle name="Total 2 2 8 3 2 2 2" xfId="16367"/>
    <cellStyle name="Total 2 2 8 3 2 2 2 2" xfId="29783"/>
    <cellStyle name="Total 2 2 8 3 2 2 3" xfId="21112"/>
    <cellStyle name="Total 2 2 8 3 2 3" xfId="14095"/>
    <cellStyle name="Total 2 2 8 3 2 3 2" xfId="28417"/>
    <cellStyle name="Total 2 2 8 3 2 4" xfId="19740"/>
    <cellStyle name="Total 2 2 8 3 3" xfId="12795"/>
    <cellStyle name="Total 2 2 8 3 3 2" xfId="27117"/>
    <cellStyle name="Total 2 2 8 3 4" xfId="18440"/>
    <cellStyle name="Total 2 2 8 4" xfId="5103"/>
    <cellStyle name="Total 2 2 8 4 2" xfId="11650"/>
    <cellStyle name="Total 2 2 8 4 2 2" xfId="25972"/>
    <cellStyle name="Total 2 2 8 4 3" xfId="17390"/>
    <cellStyle name="Total 2 2 8 5" xfId="4607"/>
    <cellStyle name="Total 2 2 8 5 2" xfId="23065"/>
    <cellStyle name="Total 2 2 8 6" xfId="15280"/>
    <cellStyle name="Total 2 2 9" xfId="2753"/>
    <cellStyle name="Total 2 2 9 2" xfId="6367"/>
    <cellStyle name="Total 2 2 9 2 2" xfId="12950"/>
    <cellStyle name="Total 2 2 9 2 2 2" xfId="27272"/>
    <cellStyle name="Total 2 2 9 2 3" xfId="18595"/>
    <cellStyle name="Total 2 2 9 3" xfId="7533"/>
    <cellStyle name="Total 2 2 9 3 2" xfId="10147"/>
    <cellStyle name="Total 2 2 9 3 2 2" xfId="16409"/>
    <cellStyle name="Total 2 2 9 3 2 2 2" xfId="29825"/>
    <cellStyle name="Total 2 2 9 3 2 3" xfId="21154"/>
    <cellStyle name="Total 2 2 9 3 3" xfId="14137"/>
    <cellStyle name="Total 2 2 9 3 3 2" xfId="28459"/>
    <cellStyle name="Total 2 2 9 3 4" xfId="19782"/>
    <cellStyle name="Total 2 2 9 4" xfId="4619"/>
    <cellStyle name="Total 2 2 9 4 2" xfId="23069"/>
    <cellStyle name="Total 2 2 9 5" xfId="16961"/>
    <cellStyle name="Total 2 3" xfId="2754"/>
    <cellStyle name="Total 2 3 2" xfId="6280"/>
    <cellStyle name="Total 2 3 2 2" xfId="12862"/>
    <cellStyle name="Total 2 3 2 2 2" xfId="27184"/>
    <cellStyle name="Total 2 3 2 3" xfId="18507"/>
    <cellStyle name="Total 2 3 3" xfId="7713"/>
    <cellStyle name="Total 2 3 3 2" xfId="10327"/>
    <cellStyle name="Total 2 3 3 2 2" xfId="16589"/>
    <cellStyle name="Total 2 3 3 2 2 2" xfId="30005"/>
    <cellStyle name="Total 2 3 3 2 3" xfId="21334"/>
    <cellStyle name="Total 2 3 3 3" xfId="14317"/>
    <cellStyle name="Total 2 3 3 3 2" xfId="28639"/>
    <cellStyle name="Total 2 3 3 4" xfId="19962"/>
    <cellStyle name="Total 2 3 4" xfId="3679"/>
    <cellStyle name="Total 2 3 4 2" xfId="22523"/>
    <cellStyle name="Total 2 3 5" xfId="14762"/>
    <cellStyle name="Total 2 4" xfId="4364"/>
    <cellStyle name="Total 2 4 2" xfId="4499"/>
    <cellStyle name="Total 2 4 2 2" xfId="22991"/>
    <cellStyle name="Total 2 4 3" xfId="15573"/>
    <cellStyle name="Total 2 5" xfId="3965"/>
    <cellStyle name="Total 2 5 2" xfId="22672"/>
    <cellStyle name="Total 2 6" xfId="15009"/>
    <cellStyle name="Total 2 7" xfId="14947"/>
    <cellStyle name="Total 2 8" xfId="28998"/>
    <cellStyle name="Verificar Célula" xfId="2755"/>
    <cellStyle name="Warning Text 2" xfId="2756"/>
  </cellStyles>
  <dxfs count="9">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s>
  <tableStyles count="0" defaultTableStyle="TableStyleMedium2" defaultPivotStyle="PivotStyleLight16"/>
  <colors>
    <mruColors>
      <color rgb="FFFFFF99"/>
      <color rgb="FFFCC5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495299</xdr:colOff>
      <xdr:row>1</xdr:row>
      <xdr:rowOff>91440</xdr:rowOff>
    </xdr:from>
    <xdr:to>
      <xdr:col>11</xdr:col>
      <xdr:colOff>428624</xdr:colOff>
      <xdr:row>17</xdr:row>
      <xdr:rowOff>114300</xdr:rowOff>
    </xdr:to>
    <xdr:sp macro="" textlink="">
      <xdr:nvSpPr>
        <xdr:cNvPr id="2" name="TextBox 1">
          <a:extLst>
            <a:ext uri="{FF2B5EF4-FFF2-40B4-BE49-F238E27FC236}">
              <a16:creationId xmlns:a16="http://schemas.microsoft.com/office/drawing/2014/main" id="{F3ED284B-661A-406D-BED8-0EB210A988DF}"/>
            </a:ext>
          </a:extLst>
        </xdr:cNvPr>
        <xdr:cNvSpPr txBox="1"/>
      </xdr:nvSpPr>
      <xdr:spPr>
        <a:xfrm>
          <a:off x="495299" y="281940"/>
          <a:ext cx="6638925" cy="3070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Times New Roman" panose="02020603050405020304" pitchFamily="18" charset="0"/>
              <a:cs typeface="Times New Roman" panose="02020603050405020304" pitchFamily="18" charset="0"/>
            </a:rPr>
            <a:t>PROTECTED RIGHTS NOTICE</a:t>
          </a:r>
        </a:p>
        <a:p>
          <a:pPr algn="ctr"/>
          <a:endParaRPr lang="en-US" sz="1600">
            <a:latin typeface="Times New Roman" panose="02020603050405020304" pitchFamily="18" charset="0"/>
            <a:cs typeface="Times New Roman" panose="02020603050405020304" pitchFamily="18" charset="0"/>
          </a:endParaRPr>
        </a:p>
        <a:p>
          <a:pPr algn="ctr"/>
          <a:r>
            <a:rPr lang="en-US" sz="1600">
              <a:latin typeface="Times New Roman" panose="02020603050405020304" pitchFamily="18" charset="0"/>
              <a:cs typeface="Times New Roman" panose="02020603050405020304" pitchFamily="18" charset="0"/>
            </a:rPr>
            <a:t>These protected data were produced under agreement no. DE-EE0007347 with the U.S. Department of Energy and may not be published, disseminated, or disclosed to others outside the Government until five (5) years from the date the data were first produced, unless express written authorization is obtained from the recipient. Upon expiration of the period of protection set forth in this Notice, the Government shall have unlimited rights in this data. This Notice shall be marked on any reproduction of this data, in whole or in part.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oleObject" Target="file:///Z:\Engineering\StingRAY%20V3.3\Project%20Management\Risk%20Analysis\FMECA%20Master%20v3.xlsx!set%20up!R1C1:R27C17"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EE0007347%20M3.4%20SR-RR-0100%20Hull%20v3.0%2007-25-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Excel.Sheet.12">
    <oleItems>
      <mc:AlternateContent xmlns:mc="http://schemas.openxmlformats.org/markup-compatibility/2006">
        <mc:Choice Requires="x14">
          <x14:oleItem name="!set up!R1C1:R27C17" advise="1">
            <x14:values rows="27" cols="17">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Risk = Occ + Sev</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val>
              </value>
              <value>
                <val>1</val>
              </value>
              <value>
                <val>2</val>
              </value>
              <value>
                <val>3</val>
              </value>
              <value>
                <val>4</val>
              </value>
              <value>
                <val>5</val>
              </value>
              <value>
                <val>6</val>
              </value>
              <value>
                <val>7</val>
              </value>
              <value>
                <val>8</val>
              </value>
              <value>
                <val>9</val>
              </value>
              <value>
                <val>10</val>
              </value>
              <value t="nil">
                <val>1</val>
              </value>
              <value t="nil">
                <val>1</val>
              </value>
              <value t="nil">
                <val>1</val>
              </value>
              <value t="nil">
                <val>1</val>
              </value>
              <value t="nil">
                <val>1</val>
              </value>
              <value t="nil">
                <val>1</val>
              </value>
              <value>
                <val>10</val>
              </value>
              <value t="str">
                <val>Low</val>
              </value>
              <value t="str">
                <val>Med</val>
              </value>
              <value t="str">
                <val>Med</val>
              </value>
              <value t="str">
                <val>Med</val>
              </value>
              <value t="str">
                <val>Med</val>
              </value>
              <value t="str">
                <val>High</val>
              </value>
              <value t="str">
                <val>High</val>
              </value>
              <value t="str">
                <val>High</val>
              </value>
              <value t="str">
                <val>High</val>
              </value>
              <value t="str">
                <val>High</val>
              </value>
              <value t="nil">
                <val>1</val>
              </value>
              <value t="nil">
                <val>1</val>
              </value>
              <value t="nil">
                <val>1</val>
              </value>
              <value t="nil">
                <val>1</val>
              </value>
              <value t="nil">
                <val>1</val>
              </value>
              <value t="nil">
                <val>1</val>
              </value>
              <value>
                <val>9</val>
              </value>
              <value t="str">
                <val>Low</val>
              </value>
              <value t="str">
                <val>Low</val>
              </value>
              <value t="str">
                <val>Med</val>
              </value>
              <value t="str">
                <val>Med</val>
              </value>
              <value t="str">
                <val>Med</val>
              </value>
              <value t="str">
                <val>Med</val>
              </value>
              <value t="str">
                <val>High</val>
              </value>
              <value t="str">
                <val>High</val>
              </value>
              <value t="str">
                <val>High</val>
              </value>
              <value t="str">
                <val>High</val>
              </value>
              <value t="str">
                <val>low &lt;=</val>
              </value>
              <value>
                <val>11</val>
              </value>
              <value t="nil">
                <val>1</val>
              </value>
              <value t="nil">
                <val>1</val>
              </value>
              <value t="nil">
                <val>1</val>
              </value>
              <value t="nil">
                <val>1</val>
              </value>
              <value>
                <val>8</val>
              </value>
              <value t="str">
                <val>Low</val>
              </value>
              <value t="str">
                <val>Low</val>
              </value>
              <value t="str">
                <val>Low</val>
              </value>
              <value t="str">
                <val>Med</val>
              </value>
              <value t="str">
                <val>Med</val>
              </value>
              <value t="str">
                <val>Med</val>
              </value>
              <value t="str">
                <val>Med</val>
              </value>
              <value t="str">
                <val>High</val>
              </value>
              <value t="str">
                <val>High</val>
              </value>
              <value t="str">
                <val>High</val>
              </value>
              <value t="str">
                <val>high&gt;</val>
              </value>
              <value>
                <val>15</val>
              </value>
              <value t="nil">
                <val>1</val>
              </value>
              <value t="nil">
                <val>1</val>
              </value>
              <value t="nil">
                <val>1</val>
              </value>
              <value t="nil">
                <val>1</val>
              </value>
              <value>
                <val>7</val>
              </value>
              <value t="str">
                <val>Low</val>
              </value>
              <value t="str">
                <val>Low</val>
              </value>
              <value t="str">
                <val>Low</val>
              </value>
              <value t="str">
                <val>Low</val>
              </value>
              <value t="str">
                <val>Med</val>
              </value>
              <value t="str">
                <val>Med</val>
              </value>
              <value t="str">
                <val>Med</val>
              </value>
              <value t="str">
                <val>Med</val>
              </value>
              <value t="str">
                <val>High</val>
              </value>
              <value t="str">
                <val>High</val>
              </value>
              <value t="nil">
                <val>1</val>
              </value>
              <value t="nil">
                <val>1</val>
              </value>
              <value t="nil">
                <val>1</val>
              </value>
              <value t="nil">
                <val>1</val>
              </value>
              <value t="nil">
                <val>1</val>
              </value>
              <value t="nil">
                <val>1</val>
              </value>
              <value>
                <val>6</val>
              </value>
              <value t="str">
                <val>Low</val>
              </value>
              <value t="str">
                <val>Low</val>
              </value>
              <value t="str">
                <val>Low</val>
              </value>
              <value t="str">
                <val>Low</val>
              </value>
              <value t="str">
                <val>Low</val>
              </value>
              <value t="str">
                <val>Med</val>
              </value>
              <value t="str">
                <val>Med</val>
              </value>
              <value t="str">
                <val>Med</val>
              </value>
              <value t="str">
                <val>Med</val>
              </value>
              <value t="str">
                <val>High</val>
              </value>
              <value t="nil">
                <val>1</val>
              </value>
              <value t="nil">
                <val>1</val>
              </value>
              <value t="nil">
                <val>1</val>
              </value>
              <value t="nil">
                <val>1</val>
              </value>
              <value t="nil">
                <val>1</val>
              </value>
              <value t="nil">
                <val>1</val>
              </value>
              <value>
                <val>5</val>
              </value>
              <value t="str">
                <val>Low</val>
              </value>
              <value t="str">
                <val>Low</val>
              </value>
              <value t="str">
                <val>Low</val>
              </value>
              <value t="str">
                <val>Low</val>
              </value>
              <value t="str">
                <val>Low</val>
              </value>
              <value t="str">
                <val>Low</val>
              </value>
              <value t="str">
                <val>Med</val>
              </value>
              <value t="str">
                <val>Med</val>
              </value>
              <value t="str">
                <val>Med</val>
              </value>
              <value t="str">
                <val>Med</val>
              </value>
              <value t="nil">
                <val>1</val>
              </value>
              <value t="nil">
                <val>1</val>
              </value>
              <value t="nil">
                <val>1</val>
              </value>
              <value t="nil">
                <val>1</val>
              </value>
              <value t="nil">
                <val>1</val>
              </value>
              <value t="nil">
                <val>1</val>
              </value>
              <value>
                <val>4</val>
              </value>
              <value t="str">
                <val>Low</val>
              </value>
              <value t="str">
                <val>Low</val>
              </value>
              <value t="str">
                <val>Low</val>
              </value>
              <value t="str">
                <val>Low</val>
              </value>
              <value t="str">
                <val>Low</val>
              </value>
              <value t="str">
                <val>Low</val>
              </value>
              <value t="str">
                <val>Low</val>
              </value>
              <value t="str">
                <val>Med</val>
              </value>
              <value t="str">
                <val>Med</val>
              </value>
              <value t="str">
                <val>Med</val>
              </value>
              <value t="nil">
                <val>1</val>
              </value>
              <value t="str">
                <val>Low</val>
              </value>
              <value t="str">
                <val>Tolerable, no engineer action required</val>
              </value>
              <value t="nil">
                <val>1</val>
              </value>
              <value t="nil">
                <val>1</val>
              </value>
              <value t="nil">
                <val>1</val>
              </value>
              <value>
                <val>3</val>
              </value>
              <value t="str">
                <val>Low</val>
              </value>
              <value t="str">
                <val>Low</val>
              </value>
              <value t="str">
                <val>Low</val>
              </value>
              <value t="str">
                <val>Low</val>
              </value>
              <value t="str">
                <val>Low</val>
              </value>
              <value t="str">
                <val>Low</val>
              </value>
              <value t="str">
                <val>Low</val>
              </value>
              <value t="str">
                <val>Low</val>
              </value>
              <value t="str">
                <val>Med</val>
              </value>
              <value t="str">
                <val>Med</val>
              </value>
              <value t="nil">
                <val>1</val>
              </value>
              <value t="str">
                <val>Med</val>
              </value>
              <value t="str">
                <val>Undesirable, consider engineer actions to mitigate risk</val>
              </value>
              <value t="nil">
                <val>1</val>
              </value>
              <value t="nil">
                <val>1</val>
              </value>
              <value t="nil">
                <val>1</val>
              </value>
              <value>
                <val>2</val>
              </value>
              <value t="str">
                <val>Low</val>
              </value>
              <value t="str">
                <val>Low</val>
              </value>
              <value t="str">
                <val>Low</val>
              </value>
              <value t="str">
                <val>Low</val>
              </value>
              <value t="str">
                <val>Low</val>
              </value>
              <value t="str">
                <val>Low</val>
              </value>
              <value t="str">
                <val>Low</val>
              </value>
              <value t="str">
                <val>Low</val>
              </value>
              <value t="str">
                <val>Low</val>
              </value>
              <value t="str">
                <val>Med</val>
              </value>
              <value t="nil">
                <val>1</val>
              </value>
              <value t="str">
                <val>High</val>
              </value>
              <value t="str">
                <val>Intolerable, engineering action required</val>
              </value>
              <value t="nil">
                <val>1</val>
              </value>
              <value t="nil">
                <val>1</val>
              </value>
              <value t="nil">
                <val>1</val>
              </value>
              <value>
                <val>1</val>
              </value>
              <value t="str">
                <val>Low</val>
              </value>
              <value t="str">
                <val>Low</val>
              </value>
              <value t="str">
                <val>Low</val>
              </value>
              <value t="str">
                <val>Low</val>
              </value>
              <value t="str">
                <val>Low</val>
              </value>
              <value t="str">
                <val>Low</val>
              </value>
              <value t="str">
                <val>Low</val>
              </value>
              <value t="str">
                <val>Low</val>
              </value>
              <value t="str">
                <val>Low</val>
              </value>
              <value t="str">
                <val>Low</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Occurrence</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str">
                <val>Rating</val>
              </value>
              <value t="str">
                <val>Occurrence</val>
              </value>
              <value t="nil">
                <val>1</val>
              </value>
              <value t="str">
                <val>Annual Failure Rate</val>
              </value>
              <value t="str">
                <val>Return Period [years]</val>
              </value>
              <value t="nil">
                <val>1</val>
              </value>
              <value t="str">
                <val>Rating</val>
              </value>
              <value t="str">
                <val>Severity</val>
              </value>
              <value t="str">
                <val>Human Safety</val>
              </value>
              <value t="nil">
                <val>1</val>
              </value>
              <value t="str">
                <val>Environment</val>
              </value>
              <value t="nil">
                <val>1</val>
              </value>
              <value t="str">
                <val>WEC Operation</val>
              </value>
              <value t="nil">
                <val>1</val>
              </value>
              <value t="str">
                <val xml:space="preserve">Assets </val>
              </value>
              <value t="nil">
                <val>1</val>
              </value>
              <value t="nil">
                <val>1</val>
              </value>
              <value>
                <val>1</val>
              </value>
              <value t="str">
                <val>Exceptionally unlikely to occur</val>
              </value>
              <value t="nil">
                <val>1</val>
              </value>
              <value>
                <val>1.0000000000000001E-5</val>
              </value>
              <value>
                <val>100000</val>
              </value>
              <value t="nil">
                <val>1</val>
              </value>
              <value>
                <val>1</val>
              </value>
              <value t="str">
                <val>Insignificant</val>
              </value>
              <value t="str">
                <val>Negligible injury, effect on health (e.g. band aid)</val>
              </value>
              <value t="nil">
                <val>1</val>
              </value>
              <value t="str">
                <val>Negligible pollution or no effect on environment</val>
              </value>
              <value t="nil">
                <val>1</val>
              </value>
              <value t="str">
                <val>Negligible effect on performance</val>
              </value>
              <value t="nil">
                <val>1</val>
              </value>
              <value t="str">
                <val>Negligible</val>
              </value>
              <value t="nil">
                <val>1</val>
              </value>
              <value t="nil">
                <val>1</val>
              </value>
              <value>
                <val>2</val>
              </value>
              <value t="nil">
                <val>1</val>
              </value>
              <value t="nil">
                <val>1</val>
              </value>
              <value>
                <val>3.1622776601683789E-5</val>
              </value>
              <value>
                <val>31600</val>
              </value>
              <value t="nil">
                <val>1</val>
              </value>
              <value>
                <val>2</val>
              </value>
              <value t="nil">
                <val>1</val>
              </value>
              <value t="nil">
                <val>1</val>
              </value>
              <value t="nil">
                <val>1</val>
              </value>
              <value t="nil">
                <val>1</val>
              </value>
              <value t="nil">
                <val>1</val>
              </value>
              <value t="nil">
                <val>1</val>
              </value>
              <value t="nil">
                <val>1</val>
              </value>
              <value t="str">
                <val>[1.5k USD]</val>
              </value>
              <value t="nil">
                <val>1</val>
              </value>
              <value t="nil">
                <val>1</val>
              </value>
              <value>
                <val>3</val>
              </value>
              <value t="str">
                <val>Extremely unlikely to occur</val>
              </value>
              <value t="nil">
                <val>1</val>
              </value>
              <value>
                <val>1E-4</val>
              </value>
              <value>
                <val>10000</val>
              </value>
              <value t="nil">
                <val>1</val>
              </value>
              <value>
                <val>3</val>
              </value>
              <value t="str">
                <val>Minor</val>
              </value>
              <value t="str">
                <val>Minor injuries, health effects (e.g. stitches)</val>
              </value>
              <value t="nil">
                <val>1</val>
              </value>
              <value t="str">
                <val>Minor pollution / slight effect on environment (min disruption on marine life)</val>
              </value>
              <value t="nil">
                <val>1</val>
              </value>
              <value t="str">
                <val>Minor system degradation</val>
              </value>
              <value t="nil">
                <val>1</val>
              </value>
              <value t="str">
                <val>Repairable in-situ, at next maintenance interval 
[5k USD]</val>
              </value>
              <value t="nil">
                <val>1</val>
              </value>
              <value t="nil">
                <val>1</val>
              </value>
              <value>
                <val>4</val>
              </value>
              <value t="nil">
                <val>1</val>
              </value>
              <value t="nil">
                <val>1</val>
              </value>
              <value>
                <val>3.1622776601683789E-4</val>
              </value>
              <value>
                <val>3160</val>
              </value>
              <value t="nil">
                <val>1</val>
              </value>
              <value>
                <val>4</val>
              </value>
              <value t="nil">
                <val>1</val>
              </value>
              <value t="str">
                <val>Moderate injuries and/or health effects (e.g. broken bone)</val>
              </value>
              <value t="nil">
                <val>1</val>
              </value>
              <value t="nil">
                <val>1</val>
              </value>
              <value t="nil">
                <val>1</val>
              </value>
              <value t="str">
                <val>Moderate system degradation (e.g. loss of MoMo)</val>
              </value>
              <value t="nil">
                <val>1</val>
              </value>
              <value t="str">
                <val>Repairable in-situ, outside maintenance interval 
(1 day) [15k USD]</val>
              </value>
              <value t="nil">
                <val>1</val>
              </value>
              <value t="nil">
                <val>1</val>
              </value>
              <value>
                <val>5</val>
              </value>
              <value t="str">
                <val>Very unlikely to occur</val>
              </value>
              <value t="nil">
                <val>1</val>
              </value>
              <value>
                <val>1E-3</val>
              </value>
              <value>
                <val>1000</val>
              </value>
              <value t="nil">
                <val>1</val>
              </value>
              <value>
                <val>5</val>
              </value>
              <value t="str">
                <val>Major</val>
              </value>
              <value t="nil">
                <val>1</val>
              </value>
              <value t="nil">
                <val>1</val>
              </value>
              <value t="str">
                <val>Limited levels of pollution, manageable / moderate effect on environment</val>
              </value>
              <value t="nil">
                <val>1</val>
              </value>
              <value t="nil">
                <val>1</val>
              </value>
              <value t="nil">
                <val>1</val>
              </value>
              <value t="str">
                <val>Repairable in-situ, outside maintenance interval 
(1 week) [50k USD]</val>
              </value>
              <value t="nil">
                <val>1</val>
              </value>
              <value t="nil">
                <val>1</val>
              </value>
              <value>
                <val>6</val>
              </value>
              <value t="nil">
                <val>1</val>
              </value>
              <value t="nil">
                <val>1</val>
              </value>
              <value>
                <val>3.162277660168379E-3</val>
              </value>
              <value>
                <val>316</val>
              </value>
              <value t="nil">
                <val>1</val>
              </value>
              <value>
                <val>6</val>
              </value>
              <value t="nil">
                <val>1</val>
              </value>
              <value t="nil">
                <val>1</val>
              </value>
              <value t="nil">
                <val>1</val>
              </value>
              <value t="nil">
                <val>1</val>
              </value>
              <value t="nil">
                <val>1</val>
              </value>
              <value t="str">
                <val>Major system degradation or loss of operation for 1 month</val>
              </value>
              <value t="nil">
                <val>1</val>
              </value>
              <value t="str">
                <val>[150k USD]</val>
              </value>
              <value t="nil">
                <val>1</val>
              </value>
              <value t="nil">
                <val>1</val>
              </value>
              <value>
                <val>7</val>
              </value>
              <value t="str">
                <val>Rarely expected to occur</val>
              </value>
              <value t="nil">
                <val>1</val>
              </value>
              <value>
                <val>0.01</val>
              </value>
              <value>
                <val>100</val>
              </value>
              <value t="nil">
                <val>1</val>
              </value>
              <value>
                <val>7</val>
              </value>
              <value t="str">
                <val>Critical</val>
              </value>
              <value t="str">
                <val>Hospitalization (with full recovery)</val>
              </value>
              <value t="nil">
                <val>1</val>
              </value>
              <value t="str">
                <val>Moderate pollution (some clean-up costs) / Serious effect on environment</val>
              </value>
              <value t="nil">
                <val>1</val>
              </value>
              <value t="str">
                <val>Major system degradation or loss of operation for 3 months</val>
              </value>
              <value t="nil">
                <val>1</val>
              </value>
              <value t="str">
                <val>Dry dock required for repair
[500k USD]</val>
              </value>
              <value t="nil">
                <val>1</val>
              </value>
              <value t="nil">
                <val>1</val>
              </value>
              <value>
                <val>8</val>
              </value>
              <value t="nil">
                <val>1</val>
              </value>
              <value t="nil">
                <val>1</val>
              </value>
              <value>
                <val>3.1622776601683791E-2</val>
              </value>
              <value>
                <val>31.6</val>
              </value>
              <value t="nil">
                <val>1</val>
              </value>
              <value>
                <val>8</val>
              </value>
              <value t="nil">
                <val>1</val>
              </value>
              <value t="nil">
                <val>1</val>
              </value>
              <value t="nil">
                <val>1</val>
              </value>
              <value t="nil">
                <val>1</val>
              </value>
              <value t="nil">
                <val>1</val>
              </value>
              <value t="str">
                <val>Critical system degradation or loss of operation for 6 months</val>
              </value>
              <value t="nil">
                <val>1</val>
              </value>
              <value t="str">
                <val>[1.5M USD]</val>
              </value>
              <value t="nil">
                <val>1</val>
              </value>
              <value t="nil">
                <val>1</val>
              </value>
              <value>
                <val>9</val>
              </value>
              <value t="str">
                <val>One or more during 20 yr lifetime</val>
              </value>
              <value t="nil">
                <val>1</val>
              </value>
              <value>
                <val>0.1</val>
              </value>
              <value>
                <val>10</val>
              </value>
              <value t="nil">
                <val>1</val>
              </value>
              <value>
                <val>9</val>
              </value>
              <value t="str">
                <val>Catastrophic</val>
              </value>
              <value t="str">
                <val>Hospitalization (with lasting disabilities)</val>
              </value>
              <value t="nil">
                <val>1</val>
              </value>
              <value t="str">
                <val>Major pollution (significant clean-up costs) / disastrous effects on the environment</val>
              </value>
              <value t="nil">
                <val>1</val>
              </value>
              <value t="str">
                <val>Failure to generate power for remainder of project, complete failure</val>
              </value>
              <value t="nil">
                <val>1</val>
              </value>
              <value t="str">
                <val>Loss of device
[5M USD]</val>
              </value>
              <value t="nil">
                <val>1</val>
              </value>
              <value t="nil">
                <val>1</val>
              </value>
              <value>
                <val>10</val>
              </value>
              <value t="nil">
                <val>1</val>
              </value>
              <value t="nil">
                <val>1</val>
              </value>
              <value>
                <val>0.31622776601683794</val>
              </value>
              <value>
                <val>3.16</val>
              </value>
              <value t="nil">
                <val>1</val>
              </value>
              <value>
                <val>10</val>
              </value>
              <value t="nil">
                <val>1</val>
              </value>
              <value t="str">
                <val>A fatality</val>
              </value>
              <value t="nil">
                <val>1</val>
              </value>
              <value t="nil">
                <val>1</val>
              </value>
              <value t="nil">
                <val>1</val>
              </value>
              <value t="nil">
                <val>1</val>
              </value>
              <value t="nil">
                <val>1</val>
              </value>
              <value t="nil">
                <val>1</val>
              </value>
              <value t="nil">
                <val>1</val>
              </value>
            </x14:values>
          </x14:oleItem>
        </mc:Choice>
        <mc:Fallback>
          <oleItem name="!set up!R1C1:R27C17" advise="1"/>
        </mc:Fallback>
      </mc:AlternateContent>
    </oleItems>
  </oleLin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Rights Notice"/>
      <sheetName val="0100 Hull System"/>
      <sheetName val="version history"/>
      <sheetName val="set up"/>
      <sheetName val="linkedPage"/>
    </sheetNames>
    <sheetDataSet>
      <sheetData sheetId="0"/>
      <sheetData sheetId="1"/>
      <sheetData sheetId="2"/>
      <sheetData sheetId="3">
        <row r="14">
          <cell r="C14" t="str">
            <v>Low</v>
          </cell>
        </row>
      </sheetData>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
  <sheetViews>
    <sheetView tabSelected="1" workbookViewId="0">
      <selection activeCell="F23" sqref="F23"/>
    </sheetView>
  </sheetViews>
  <sheetFormatPr defaultRowHeight="15" x14ac:dyDescent="0.25"/>
  <cols>
    <col min="1" max="16384" width="9.140625" style="7"/>
  </cols>
  <sheetData>
    <row r="1" spans="7:7" x14ac:dyDescent="0.25">
      <c r="G1" s="16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AW29"/>
  <sheetViews>
    <sheetView showZeros="0" zoomScale="80" zoomScaleNormal="80" workbookViewId="0">
      <selection activeCell="L5" sqref="L5"/>
    </sheetView>
  </sheetViews>
  <sheetFormatPr defaultRowHeight="15" x14ac:dyDescent="0.25"/>
  <cols>
    <col min="1" max="1" width="1.7109375" style="52" customWidth="1"/>
    <col min="2" max="2" width="9.140625" style="52" customWidth="1"/>
    <col min="3" max="3" width="22.28515625" style="52" customWidth="1"/>
    <col min="4" max="4" width="29.7109375" style="52" customWidth="1"/>
    <col min="5" max="5" width="8.5703125" style="52" customWidth="1"/>
    <col min="6" max="7" width="15.7109375" style="52" customWidth="1"/>
    <col min="8" max="9" width="26.85546875" style="52" customWidth="1"/>
    <col min="10" max="10" width="15" style="52" customWidth="1"/>
    <col min="11" max="14" width="26.85546875" style="52" customWidth="1"/>
    <col min="15" max="15" width="4.85546875" style="52" customWidth="1"/>
    <col min="16" max="19" width="4.85546875" style="53" customWidth="1"/>
    <col min="20" max="23" width="4.85546875" style="52" customWidth="1"/>
    <col min="24" max="24" width="49.85546875" style="52" customWidth="1"/>
    <col min="25" max="25" width="15" style="52" hidden="1" customWidth="1"/>
    <col min="26" max="26" width="25.7109375" style="52" hidden="1" customWidth="1"/>
    <col min="27" max="27" width="4.85546875" style="52" hidden="1" customWidth="1"/>
    <col min="28" max="31" width="4.85546875" style="53" hidden="1" customWidth="1"/>
    <col min="32" max="35" width="4.85546875" style="52" hidden="1" customWidth="1"/>
    <col min="36" max="36" width="33.5703125" style="52" hidden="1" customWidth="1"/>
    <col min="37" max="37" width="15" style="52" hidden="1" customWidth="1"/>
    <col min="38" max="38" width="25.7109375" style="52" hidden="1" customWidth="1"/>
    <col min="39" max="39" width="4.85546875" style="52" hidden="1" customWidth="1"/>
    <col min="40" max="43" width="4.85546875" style="53" hidden="1" customWidth="1"/>
    <col min="44" max="47" width="4.85546875" style="52" hidden="1" customWidth="1"/>
    <col min="48" max="48" width="10" style="52" hidden="1" customWidth="1"/>
    <col min="49" max="49" width="60.5703125" style="52" customWidth="1"/>
    <col min="50" max="16384" width="9.140625" style="52"/>
  </cols>
  <sheetData>
    <row r="1" spans="2:49" ht="12" customHeight="1" x14ac:dyDescent="0.25"/>
    <row r="2" spans="2:49" ht="15" customHeight="1" x14ac:dyDescent="0.25">
      <c r="O2" s="124" t="s">
        <v>27</v>
      </c>
      <c r="P2" s="124"/>
      <c r="Q2" s="124"/>
      <c r="R2" s="124"/>
      <c r="S2" s="124"/>
      <c r="T2" s="124"/>
      <c r="U2" s="124"/>
      <c r="V2" s="124"/>
      <c r="W2" s="124"/>
      <c r="AA2" s="124" t="s">
        <v>26</v>
      </c>
      <c r="AB2" s="124"/>
      <c r="AC2" s="124"/>
      <c r="AD2" s="124"/>
      <c r="AE2" s="124"/>
      <c r="AF2" s="124"/>
      <c r="AG2" s="124"/>
      <c r="AH2" s="124"/>
      <c r="AI2" s="124"/>
      <c r="AM2" s="124" t="s">
        <v>40</v>
      </c>
      <c r="AN2" s="124"/>
      <c r="AO2" s="124"/>
      <c r="AP2" s="124"/>
      <c r="AQ2" s="124"/>
      <c r="AR2" s="124"/>
      <c r="AS2" s="124"/>
      <c r="AT2" s="124"/>
      <c r="AU2" s="124"/>
    </row>
    <row r="3" spans="2:49" ht="15.75" customHeight="1" thickBot="1" x14ac:dyDescent="0.3">
      <c r="O3" s="124"/>
      <c r="P3" s="124"/>
      <c r="Q3" s="124"/>
      <c r="R3" s="124"/>
      <c r="S3" s="124"/>
      <c r="T3" s="124"/>
      <c r="U3" s="124"/>
      <c r="V3" s="124"/>
      <c r="W3" s="124"/>
      <c r="AA3" s="124"/>
      <c r="AB3" s="124"/>
      <c r="AC3" s="124"/>
      <c r="AD3" s="124"/>
      <c r="AE3" s="124"/>
      <c r="AF3" s="124"/>
      <c r="AG3" s="124"/>
      <c r="AH3" s="124"/>
      <c r="AI3" s="124"/>
      <c r="AM3" s="124"/>
      <c r="AN3" s="124"/>
      <c r="AO3" s="124"/>
      <c r="AP3" s="124"/>
      <c r="AQ3" s="124"/>
      <c r="AR3" s="124"/>
      <c r="AS3" s="124"/>
      <c r="AT3" s="124"/>
      <c r="AU3" s="124"/>
    </row>
    <row r="4" spans="2:49" ht="27" customHeight="1" thickBot="1" x14ac:dyDescent="0.4">
      <c r="B4" s="54" t="s">
        <v>56</v>
      </c>
      <c r="C4" s="55"/>
      <c r="P4" s="125" t="s">
        <v>32</v>
      </c>
      <c r="Q4" s="126"/>
      <c r="R4" s="126"/>
      <c r="S4" s="127"/>
      <c r="T4" s="128" t="s">
        <v>33</v>
      </c>
      <c r="U4" s="129"/>
      <c r="V4" s="129"/>
      <c r="W4" s="130"/>
      <c r="AB4" s="125" t="s">
        <v>32</v>
      </c>
      <c r="AC4" s="126"/>
      <c r="AD4" s="126"/>
      <c r="AE4" s="127"/>
      <c r="AF4" s="128" t="s">
        <v>33</v>
      </c>
      <c r="AG4" s="129"/>
      <c r="AH4" s="129"/>
      <c r="AI4" s="130"/>
      <c r="AN4" s="125" t="s">
        <v>32</v>
      </c>
      <c r="AO4" s="126"/>
      <c r="AP4" s="126"/>
      <c r="AQ4" s="127"/>
      <c r="AR4" s="128" t="s">
        <v>33</v>
      </c>
      <c r="AS4" s="129"/>
      <c r="AT4" s="129"/>
      <c r="AU4" s="130"/>
    </row>
    <row r="5" spans="2:49" s="62" customFormat="1" ht="80.25" customHeight="1" thickBot="1" x14ac:dyDescent="0.3">
      <c r="B5" s="56" t="s">
        <v>34</v>
      </c>
      <c r="C5" s="56" t="s">
        <v>2</v>
      </c>
      <c r="D5" s="56" t="s">
        <v>1</v>
      </c>
      <c r="E5" s="56" t="s">
        <v>22</v>
      </c>
      <c r="F5" s="56" t="s">
        <v>21</v>
      </c>
      <c r="G5" s="56" t="s">
        <v>3</v>
      </c>
      <c r="H5" s="56" t="s">
        <v>5</v>
      </c>
      <c r="I5" s="57" t="s">
        <v>11</v>
      </c>
      <c r="J5" s="56" t="s">
        <v>8</v>
      </c>
      <c r="K5" s="56" t="s">
        <v>7</v>
      </c>
      <c r="L5" s="56" t="s">
        <v>23</v>
      </c>
      <c r="M5" s="56" t="s">
        <v>24</v>
      </c>
      <c r="N5" s="56" t="s">
        <v>9</v>
      </c>
      <c r="O5" s="58" t="s">
        <v>30</v>
      </c>
      <c r="P5" s="59" t="s">
        <v>35</v>
      </c>
      <c r="Q5" s="60" t="s">
        <v>31</v>
      </c>
      <c r="R5" s="60" t="s">
        <v>28</v>
      </c>
      <c r="S5" s="61" t="s">
        <v>29</v>
      </c>
      <c r="T5" s="59" t="s">
        <v>35</v>
      </c>
      <c r="U5" s="60" t="s">
        <v>31</v>
      </c>
      <c r="V5" s="60" t="s">
        <v>28</v>
      </c>
      <c r="W5" s="61" t="s">
        <v>29</v>
      </c>
      <c r="X5" s="56" t="s">
        <v>4</v>
      </c>
      <c r="Y5" s="56" t="s">
        <v>25</v>
      </c>
      <c r="Z5" s="56" t="s">
        <v>39</v>
      </c>
      <c r="AA5" s="58" t="s">
        <v>30</v>
      </c>
      <c r="AB5" s="59" t="s">
        <v>35</v>
      </c>
      <c r="AC5" s="60" t="s">
        <v>31</v>
      </c>
      <c r="AD5" s="60" t="s">
        <v>28</v>
      </c>
      <c r="AE5" s="61" t="s">
        <v>29</v>
      </c>
      <c r="AF5" s="59" t="s">
        <v>35</v>
      </c>
      <c r="AG5" s="60" t="s">
        <v>31</v>
      </c>
      <c r="AH5" s="60" t="s">
        <v>28</v>
      </c>
      <c r="AI5" s="61" t="s">
        <v>29</v>
      </c>
      <c r="AJ5" s="56" t="s">
        <v>36</v>
      </c>
      <c r="AK5" s="56" t="s">
        <v>37</v>
      </c>
      <c r="AL5" s="56" t="s">
        <v>38</v>
      </c>
      <c r="AM5" s="58" t="s">
        <v>30</v>
      </c>
      <c r="AN5" s="59" t="s">
        <v>35</v>
      </c>
      <c r="AO5" s="60" t="s">
        <v>31</v>
      </c>
      <c r="AP5" s="60" t="s">
        <v>28</v>
      </c>
      <c r="AQ5" s="61" t="s">
        <v>29</v>
      </c>
      <c r="AR5" s="59" t="s">
        <v>35</v>
      </c>
      <c r="AS5" s="60" t="s">
        <v>31</v>
      </c>
      <c r="AT5" s="60" t="s">
        <v>28</v>
      </c>
      <c r="AU5" s="61" t="s">
        <v>29</v>
      </c>
      <c r="AV5" s="56" t="s">
        <v>10</v>
      </c>
      <c r="AW5" s="56" t="s">
        <v>6</v>
      </c>
    </row>
    <row r="6" spans="2:49" ht="180" x14ac:dyDescent="0.25">
      <c r="B6" s="63" t="s">
        <v>43</v>
      </c>
      <c r="C6" s="64" t="s">
        <v>45</v>
      </c>
      <c r="D6" s="64" t="s">
        <v>44</v>
      </c>
      <c r="E6" s="65">
        <v>2</v>
      </c>
      <c r="F6" s="64" t="s">
        <v>46</v>
      </c>
      <c r="G6" s="66" t="s">
        <v>52</v>
      </c>
      <c r="H6" s="66" t="s">
        <v>53</v>
      </c>
      <c r="I6" s="66" t="s">
        <v>51</v>
      </c>
      <c r="J6" s="67" t="s">
        <v>47</v>
      </c>
      <c r="K6" s="67" t="s">
        <v>54</v>
      </c>
      <c r="L6" s="67" t="s">
        <v>48</v>
      </c>
      <c r="M6" s="67" t="s">
        <v>49</v>
      </c>
      <c r="N6" s="67" t="s">
        <v>55</v>
      </c>
      <c r="O6" s="68">
        <v>4</v>
      </c>
      <c r="P6" s="69">
        <v>1</v>
      </c>
      <c r="Q6" s="70">
        <v>1</v>
      </c>
      <c r="R6" s="70">
        <v>7</v>
      </c>
      <c r="S6" s="71">
        <v>7</v>
      </c>
      <c r="T6" s="72" t="str">
        <f t="shared" ref="T6" ca="1" si="0">IF(AND(ISNUMBER(P6),ISNUMBER($O6)),OFFSET(RiskMatrixRef,-$O6+1,P6-1),"")</f>
        <v>Low</v>
      </c>
      <c r="U6" s="73" t="str">
        <f t="shared" ref="U6" ca="1" si="1">IF(AND(ISNUMBER(Q6),ISNUMBER($O6)),OFFSET(RiskMatrixRef,-$O6+1,Q6-1),"")</f>
        <v>Low</v>
      </c>
      <c r="V6" s="73" t="str">
        <f t="shared" ref="V6" ca="1" si="2">IF(AND(ISNUMBER(R6),ISNUMBER($O6)),OFFSET(RiskMatrixRef,-$O6+1,R6-1),"")</f>
        <v>Low</v>
      </c>
      <c r="W6" s="74" t="str">
        <f t="shared" ref="W6" ca="1" si="3">IF(AND(ISNUMBER(S6),ISNUMBER($O6)),OFFSET(RiskMatrixRef,-$O6+1,S6-1),"")</f>
        <v>Low</v>
      </c>
      <c r="X6" s="75" t="s">
        <v>50</v>
      </c>
      <c r="Y6" s="76"/>
      <c r="Z6" s="76"/>
      <c r="AA6" s="77"/>
      <c r="AB6" s="78"/>
      <c r="AC6" s="79"/>
      <c r="AD6" s="79"/>
      <c r="AE6" s="80"/>
      <c r="AF6" s="81" t="str">
        <f t="shared" ref="AF6:AF9" ca="1" si="4">IF(AND(ISNUMBER(AB6),ISNUMBER($AA6)),OFFSET(RiskMatrixRef,-$AA6+1,AB6-1),"")</f>
        <v/>
      </c>
      <c r="AG6" s="82" t="str">
        <f t="shared" ref="AG6:AG9" ca="1" si="5">IF(AND(ISNUMBER(AC6),ISNUMBER($AA6)),OFFSET(RiskMatrixRef,-$AA6+1,AC6-1),"")</f>
        <v/>
      </c>
      <c r="AH6" s="82" t="str">
        <f t="shared" ref="AH6:AH9" ca="1" si="6">IF(AND(ISNUMBER(AD6),ISNUMBER($AA6)),OFFSET(RiskMatrixRef,-$AA6+1,AD6-1),"")</f>
        <v/>
      </c>
      <c r="AI6" s="83" t="str">
        <f t="shared" ref="AI6:AI9" ca="1" si="7">IF(AND(ISNUMBER(AE6),ISNUMBER($AA6)),OFFSET(RiskMatrixRef,-$AA6+1,AE6-1),"")</f>
        <v/>
      </c>
      <c r="AJ6" s="76"/>
      <c r="AK6" s="76"/>
      <c r="AL6" s="76"/>
      <c r="AM6" s="77"/>
      <c r="AN6" s="78"/>
      <c r="AO6" s="79"/>
      <c r="AP6" s="79"/>
      <c r="AQ6" s="80"/>
      <c r="AR6" s="81" t="str">
        <f t="shared" ref="AR6:AR9" ca="1" si="8">IF(AND(ISNUMBER(AN6),ISNUMBER($AM6)),OFFSET(RiskMatrixRef,-$AM6+1,AN6-1),"")</f>
        <v/>
      </c>
      <c r="AS6" s="82" t="str">
        <f t="shared" ref="AS6:AS9" ca="1" si="9">IF(AND(ISNUMBER(AO6),ISNUMBER($AM6)),OFFSET(RiskMatrixRef,-$AM6+1,AO6-1),"")</f>
        <v/>
      </c>
      <c r="AT6" s="82" t="str">
        <f t="shared" ref="AT6:AT9" ca="1" si="10">IF(AND(ISNUMBER(AP6),ISNUMBER($AM6)),OFFSET(RiskMatrixRef,-$AM6+1,AP6-1),"")</f>
        <v/>
      </c>
      <c r="AU6" s="83" t="str">
        <f t="shared" ref="AU6:AU9" ca="1" si="11">IF(AND(ISNUMBER(AQ6),ISNUMBER($AM6)),OFFSET(RiskMatrixRef,-$AM6+1,AQ6-1),"")</f>
        <v/>
      </c>
      <c r="AV6" s="84"/>
      <c r="AW6" s="76"/>
    </row>
    <row r="7" spans="2:49" ht="15.75" x14ac:dyDescent="0.25">
      <c r="B7" s="85"/>
      <c r="C7" s="66"/>
      <c r="D7" s="66"/>
      <c r="E7" s="86"/>
      <c r="F7" s="87"/>
      <c r="G7" s="66"/>
      <c r="H7" s="66"/>
      <c r="I7" s="66"/>
      <c r="J7" s="67"/>
      <c r="K7" s="67"/>
      <c r="L7" s="67"/>
      <c r="M7" s="67"/>
      <c r="N7" s="67"/>
      <c r="O7" s="88"/>
      <c r="P7" s="69"/>
      <c r="Q7" s="70"/>
      <c r="R7" s="70"/>
      <c r="S7" s="89"/>
      <c r="T7" s="72" t="str">
        <f t="shared" ref="T7:T9" ca="1" si="12">IF(AND(ISNUMBER(P7),ISNUMBER($O7)),OFFSET(RiskMatrixRef,-$O7+1,P7-1),"")</f>
        <v/>
      </c>
      <c r="U7" s="73" t="str">
        <f t="shared" ref="U7:U9" ca="1" si="13">IF(AND(ISNUMBER(Q7),ISNUMBER($O7)),OFFSET(RiskMatrixRef,-$O7+1,Q7-1),"")</f>
        <v/>
      </c>
      <c r="V7" s="73" t="str">
        <f t="shared" ref="V7:V9" ca="1" si="14">IF(AND(ISNUMBER(R7),ISNUMBER($O7)),OFFSET(RiskMatrixRef,-$O7+1,R7-1),"")</f>
        <v/>
      </c>
      <c r="W7" s="74" t="str">
        <f t="shared" ref="W7:W9" ca="1" si="15">IF(AND(ISNUMBER(S7),ISNUMBER($O7)),OFFSET(RiskMatrixRef,-$O7+1,S7-1),"")</f>
        <v/>
      </c>
      <c r="X7" s="90"/>
      <c r="Y7" s="90"/>
      <c r="Z7" s="90"/>
      <c r="AA7" s="88"/>
      <c r="AB7" s="69"/>
      <c r="AC7" s="70"/>
      <c r="AD7" s="70"/>
      <c r="AE7" s="89"/>
      <c r="AF7" s="72" t="str">
        <f t="shared" ca="1" si="4"/>
        <v/>
      </c>
      <c r="AG7" s="73" t="str">
        <f t="shared" ca="1" si="5"/>
        <v/>
      </c>
      <c r="AH7" s="73" t="str">
        <f t="shared" ca="1" si="6"/>
        <v/>
      </c>
      <c r="AI7" s="74" t="str">
        <f t="shared" ca="1" si="7"/>
        <v/>
      </c>
      <c r="AJ7" s="90"/>
      <c r="AK7" s="90"/>
      <c r="AL7" s="90"/>
      <c r="AM7" s="88"/>
      <c r="AN7" s="69"/>
      <c r="AO7" s="70"/>
      <c r="AP7" s="70"/>
      <c r="AQ7" s="89"/>
      <c r="AR7" s="72" t="str">
        <f t="shared" ca="1" si="8"/>
        <v/>
      </c>
      <c r="AS7" s="73" t="str">
        <f t="shared" ca="1" si="9"/>
        <v/>
      </c>
      <c r="AT7" s="73" t="str">
        <f t="shared" ca="1" si="10"/>
        <v/>
      </c>
      <c r="AU7" s="74" t="str">
        <f t="shared" ca="1" si="11"/>
        <v/>
      </c>
      <c r="AV7" s="91"/>
      <c r="AW7" s="90"/>
    </row>
    <row r="8" spans="2:49" s="97" customFormat="1" ht="15.75" x14ac:dyDescent="0.25">
      <c r="B8" s="92"/>
      <c r="C8" s="93"/>
      <c r="D8" s="93"/>
      <c r="E8" s="94"/>
      <c r="F8" s="93"/>
      <c r="G8" s="93"/>
      <c r="H8" s="93"/>
      <c r="I8" s="93"/>
      <c r="J8" s="93"/>
      <c r="K8" s="67"/>
      <c r="L8" s="93"/>
      <c r="M8" s="93"/>
      <c r="N8" s="67"/>
      <c r="O8" s="88"/>
      <c r="P8" s="69"/>
      <c r="Q8" s="70"/>
      <c r="R8" s="70"/>
      <c r="S8" s="89"/>
      <c r="T8" s="72" t="str">
        <f t="shared" ca="1" si="12"/>
        <v/>
      </c>
      <c r="U8" s="73" t="str">
        <f t="shared" ca="1" si="13"/>
        <v/>
      </c>
      <c r="V8" s="73" t="str">
        <f t="shared" ca="1" si="14"/>
        <v/>
      </c>
      <c r="W8" s="74" t="str">
        <f t="shared" ca="1" si="15"/>
        <v/>
      </c>
      <c r="X8" s="95"/>
      <c r="Y8" s="95"/>
      <c r="Z8" s="95"/>
      <c r="AA8" s="88"/>
      <c r="AB8" s="69"/>
      <c r="AC8" s="70"/>
      <c r="AD8" s="70"/>
      <c r="AE8" s="89"/>
      <c r="AF8" s="72" t="str">
        <f t="shared" ca="1" si="4"/>
        <v/>
      </c>
      <c r="AG8" s="73" t="str">
        <f t="shared" ca="1" si="5"/>
        <v/>
      </c>
      <c r="AH8" s="73" t="str">
        <f t="shared" ca="1" si="6"/>
        <v/>
      </c>
      <c r="AI8" s="74" t="str">
        <f t="shared" ca="1" si="7"/>
        <v/>
      </c>
      <c r="AJ8" s="95"/>
      <c r="AK8" s="95"/>
      <c r="AL8" s="95"/>
      <c r="AM8" s="88"/>
      <c r="AN8" s="69"/>
      <c r="AO8" s="70"/>
      <c r="AP8" s="70"/>
      <c r="AQ8" s="89"/>
      <c r="AR8" s="72" t="str">
        <f t="shared" ca="1" si="8"/>
        <v/>
      </c>
      <c r="AS8" s="73" t="str">
        <f t="shared" ca="1" si="9"/>
        <v/>
      </c>
      <c r="AT8" s="73" t="str">
        <f t="shared" ca="1" si="10"/>
        <v/>
      </c>
      <c r="AU8" s="74" t="str">
        <f t="shared" ca="1" si="11"/>
        <v/>
      </c>
      <c r="AV8" s="96"/>
      <c r="AW8" s="95"/>
    </row>
    <row r="9" spans="2:49" ht="16.5" thickBot="1" x14ac:dyDescent="0.3">
      <c r="B9" s="98"/>
      <c r="C9" s="98"/>
      <c r="D9" s="98"/>
      <c r="E9" s="99"/>
      <c r="F9" s="98"/>
      <c r="G9" s="98"/>
      <c r="H9" s="98"/>
      <c r="I9" s="98"/>
      <c r="J9" s="100"/>
      <c r="K9" s="101"/>
      <c r="L9" s="101"/>
      <c r="M9" s="101"/>
      <c r="N9" s="101"/>
      <c r="O9" s="102"/>
      <c r="P9" s="103"/>
      <c r="Q9" s="104"/>
      <c r="R9" s="104"/>
      <c r="S9" s="105"/>
      <c r="T9" s="106" t="str">
        <f t="shared" ca="1" si="12"/>
        <v/>
      </c>
      <c r="U9" s="107" t="str">
        <f t="shared" ca="1" si="13"/>
        <v/>
      </c>
      <c r="V9" s="107" t="str">
        <f t="shared" ca="1" si="14"/>
        <v/>
      </c>
      <c r="W9" s="108" t="str">
        <f t="shared" ca="1" si="15"/>
        <v/>
      </c>
      <c r="X9" s="109"/>
      <c r="Y9" s="109"/>
      <c r="Z9" s="109"/>
      <c r="AA9" s="102"/>
      <c r="AB9" s="103"/>
      <c r="AC9" s="104"/>
      <c r="AD9" s="104"/>
      <c r="AE9" s="105"/>
      <c r="AF9" s="106" t="str">
        <f t="shared" ca="1" si="4"/>
        <v/>
      </c>
      <c r="AG9" s="107" t="str">
        <f t="shared" ca="1" si="5"/>
        <v/>
      </c>
      <c r="AH9" s="107" t="str">
        <f t="shared" ca="1" si="6"/>
        <v/>
      </c>
      <c r="AI9" s="108" t="str">
        <f t="shared" ca="1" si="7"/>
        <v/>
      </c>
      <c r="AJ9" s="109"/>
      <c r="AK9" s="109"/>
      <c r="AL9" s="109"/>
      <c r="AM9" s="102"/>
      <c r="AN9" s="103"/>
      <c r="AO9" s="104"/>
      <c r="AP9" s="104"/>
      <c r="AQ9" s="105"/>
      <c r="AR9" s="106" t="str">
        <f t="shared" ca="1" si="8"/>
        <v/>
      </c>
      <c r="AS9" s="107" t="str">
        <f t="shared" ca="1" si="9"/>
        <v/>
      </c>
      <c r="AT9" s="107" t="str">
        <f t="shared" ca="1" si="10"/>
        <v/>
      </c>
      <c r="AU9" s="108" t="str">
        <f t="shared" ca="1" si="11"/>
        <v/>
      </c>
      <c r="AV9" s="109"/>
      <c r="AW9" s="109"/>
    </row>
    <row r="11" spans="2:49" x14ac:dyDescent="0.25">
      <c r="B11" s="110"/>
      <c r="R11" s="111"/>
      <c r="S11" s="112"/>
      <c r="T11" s="87"/>
      <c r="U11" s="87"/>
      <c r="V11" s="87"/>
      <c r="W11" s="87"/>
      <c r="X11" s="87"/>
      <c r="AD11" s="111"/>
      <c r="AE11" s="112"/>
      <c r="AF11" s="87"/>
      <c r="AG11" s="87"/>
      <c r="AH11" s="87"/>
      <c r="AI11" s="87"/>
      <c r="AJ11" s="87"/>
      <c r="AP11" s="111"/>
      <c r="AQ11" s="112"/>
      <c r="AR11" s="87"/>
      <c r="AS11" s="87"/>
      <c r="AT11" s="87"/>
      <c r="AU11" s="87"/>
    </row>
    <row r="12" spans="2:49" x14ac:dyDescent="0.25">
      <c r="B12" s="110"/>
      <c r="R12" s="111"/>
      <c r="S12" s="113"/>
      <c r="T12" s="87"/>
      <c r="U12" s="87"/>
      <c r="V12" s="87"/>
      <c r="W12" s="87"/>
      <c r="X12" s="87"/>
      <c r="AD12" s="111"/>
      <c r="AE12" s="113"/>
      <c r="AF12" s="87"/>
      <c r="AG12" s="87"/>
      <c r="AH12" s="87"/>
      <c r="AI12" s="87"/>
      <c r="AJ12" s="87"/>
      <c r="AP12" s="111"/>
      <c r="AQ12" s="113"/>
      <c r="AR12" s="87"/>
      <c r="AS12" s="87"/>
      <c r="AT12" s="87"/>
      <c r="AU12" s="87"/>
    </row>
    <row r="13" spans="2:49" x14ac:dyDescent="0.25">
      <c r="B13" s="110"/>
      <c r="R13" s="111"/>
      <c r="S13" s="114"/>
      <c r="T13" s="115"/>
      <c r="U13" s="116"/>
      <c r="V13" s="116"/>
      <c r="W13" s="115"/>
      <c r="X13" s="87"/>
      <c r="AD13" s="111"/>
      <c r="AE13" s="114"/>
      <c r="AF13" s="115"/>
      <c r="AG13" s="116"/>
      <c r="AH13" s="116"/>
      <c r="AI13" s="115"/>
      <c r="AJ13" s="87"/>
      <c r="AP13" s="111"/>
      <c r="AQ13" s="114"/>
      <c r="AR13" s="115"/>
      <c r="AS13" s="116"/>
      <c r="AT13" s="116"/>
      <c r="AU13" s="115"/>
    </row>
    <row r="14" spans="2:49" x14ac:dyDescent="0.25">
      <c r="B14" s="110"/>
      <c r="R14" s="111"/>
      <c r="S14" s="114"/>
      <c r="T14" s="115"/>
      <c r="U14" s="115"/>
      <c r="V14" s="115"/>
      <c r="W14" s="115"/>
      <c r="X14" s="87"/>
      <c r="AD14" s="111"/>
      <c r="AE14" s="114"/>
      <c r="AF14" s="115"/>
      <c r="AG14" s="115"/>
      <c r="AH14" s="115"/>
      <c r="AI14" s="115"/>
      <c r="AJ14" s="87"/>
      <c r="AP14" s="111"/>
      <c r="AQ14" s="114"/>
      <c r="AR14" s="115"/>
      <c r="AS14" s="115"/>
      <c r="AT14" s="115"/>
      <c r="AU14" s="115"/>
    </row>
    <row r="15" spans="2:49" x14ac:dyDescent="0.25">
      <c r="B15" s="110"/>
      <c r="R15" s="111"/>
      <c r="S15" s="114"/>
      <c r="T15" s="115"/>
      <c r="U15" s="117"/>
      <c r="V15" s="117"/>
      <c r="W15" s="115"/>
      <c r="X15" s="87"/>
      <c r="AD15" s="111"/>
      <c r="AE15" s="114"/>
      <c r="AF15" s="115"/>
      <c r="AG15" s="117"/>
      <c r="AH15" s="117"/>
      <c r="AI15" s="115"/>
      <c r="AJ15" s="87"/>
      <c r="AP15" s="111"/>
      <c r="AQ15" s="114"/>
      <c r="AR15" s="115"/>
      <c r="AS15" s="117"/>
      <c r="AT15" s="117"/>
      <c r="AU15" s="115"/>
    </row>
    <row r="16" spans="2:49" x14ac:dyDescent="0.25">
      <c r="B16" s="110"/>
      <c r="R16" s="111"/>
      <c r="S16" s="113"/>
      <c r="T16" s="87"/>
      <c r="U16" s="87"/>
      <c r="V16" s="87"/>
      <c r="W16" s="87"/>
      <c r="X16" s="87"/>
      <c r="AD16" s="111"/>
      <c r="AE16" s="113"/>
      <c r="AF16" s="87"/>
      <c r="AG16" s="87"/>
      <c r="AH16" s="87"/>
      <c r="AI16" s="87"/>
      <c r="AJ16" s="87"/>
      <c r="AP16" s="111"/>
      <c r="AQ16" s="113"/>
      <c r="AR16" s="87"/>
      <c r="AS16" s="87"/>
      <c r="AT16" s="87"/>
      <c r="AU16" s="87"/>
    </row>
    <row r="17" spans="2:47" x14ac:dyDescent="0.25">
      <c r="B17" s="110"/>
      <c r="R17" s="111"/>
      <c r="S17" s="118"/>
      <c r="T17" s="115"/>
      <c r="U17" s="119"/>
      <c r="V17" s="119"/>
      <c r="W17" s="115"/>
      <c r="X17" s="87"/>
      <c r="AD17" s="111"/>
      <c r="AE17" s="118"/>
      <c r="AF17" s="115"/>
      <c r="AG17" s="119"/>
      <c r="AH17" s="119"/>
      <c r="AI17" s="115"/>
      <c r="AJ17" s="87"/>
      <c r="AP17" s="111"/>
      <c r="AQ17" s="118"/>
      <c r="AR17" s="115"/>
      <c r="AS17" s="119"/>
      <c r="AT17" s="119"/>
      <c r="AU17" s="115"/>
    </row>
    <row r="18" spans="2:47" x14ac:dyDescent="0.25">
      <c r="B18" s="110"/>
      <c r="R18" s="111"/>
      <c r="S18" s="118"/>
      <c r="T18" s="115"/>
      <c r="U18" s="120"/>
      <c r="V18" s="120"/>
      <c r="W18" s="115"/>
      <c r="X18" s="87"/>
      <c r="AD18" s="111"/>
      <c r="AE18" s="118"/>
      <c r="AF18" s="115"/>
      <c r="AG18" s="120"/>
      <c r="AH18" s="120"/>
      <c r="AI18" s="115"/>
      <c r="AJ18" s="87"/>
      <c r="AP18" s="111"/>
      <c r="AQ18" s="118"/>
      <c r="AR18" s="115"/>
      <c r="AS18" s="120"/>
      <c r="AT18" s="120"/>
      <c r="AU18" s="115"/>
    </row>
    <row r="19" spans="2:47" x14ac:dyDescent="0.25">
      <c r="B19" s="110"/>
      <c r="R19" s="111"/>
      <c r="S19" s="118"/>
      <c r="T19" s="115"/>
      <c r="U19" s="121"/>
      <c r="V19" s="121"/>
      <c r="W19" s="115"/>
      <c r="X19" s="87"/>
      <c r="AD19" s="111"/>
      <c r="AE19" s="118"/>
      <c r="AF19" s="115"/>
      <c r="AG19" s="121"/>
      <c r="AH19" s="121"/>
      <c r="AI19" s="115"/>
      <c r="AJ19" s="87"/>
      <c r="AP19" s="111"/>
      <c r="AQ19" s="118"/>
      <c r="AR19" s="115"/>
      <c r="AS19" s="121"/>
      <c r="AT19" s="121"/>
      <c r="AU19" s="115"/>
    </row>
    <row r="20" spans="2:47" x14ac:dyDescent="0.25">
      <c r="R20" s="111"/>
      <c r="S20" s="113"/>
      <c r="T20" s="87"/>
      <c r="U20" s="87"/>
      <c r="V20" s="87"/>
      <c r="W20" s="87"/>
      <c r="X20" s="87"/>
      <c r="AD20" s="111"/>
      <c r="AE20" s="113"/>
      <c r="AF20" s="87"/>
      <c r="AG20" s="87"/>
      <c r="AH20" s="87"/>
      <c r="AI20" s="87"/>
      <c r="AJ20" s="87"/>
      <c r="AP20" s="111"/>
      <c r="AQ20" s="113"/>
      <c r="AR20" s="87"/>
      <c r="AS20" s="87"/>
      <c r="AT20" s="87"/>
      <c r="AU20" s="87"/>
    </row>
    <row r="21" spans="2:47" x14ac:dyDescent="0.25">
      <c r="R21" s="111"/>
      <c r="S21" s="118"/>
      <c r="T21" s="115"/>
      <c r="U21" s="119"/>
      <c r="V21" s="119"/>
      <c r="W21" s="115"/>
      <c r="X21" s="87"/>
      <c r="AD21" s="111"/>
      <c r="AE21" s="118"/>
      <c r="AF21" s="115"/>
      <c r="AG21" s="119"/>
      <c r="AH21" s="119"/>
      <c r="AI21" s="115"/>
      <c r="AJ21" s="87"/>
      <c r="AP21" s="111"/>
      <c r="AQ21" s="118"/>
      <c r="AR21" s="115"/>
      <c r="AS21" s="119"/>
      <c r="AT21" s="119"/>
      <c r="AU21" s="115"/>
    </row>
    <row r="22" spans="2:47" x14ac:dyDescent="0.25">
      <c r="R22" s="111"/>
      <c r="S22" s="118"/>
      <c r="T22" s="115"/>
      <c r="U22" s="120"/>
      <c r="V22" s="120"/>
      <c r="W22" s="115"/>
      <c r="X22" s="87"/>
      <c r="AD22" s="111"/>
      <c r="AE22" s="118"/>
      <c r="AF22" s="115"/>
      <c r="AG22" s="120"/>
      <c r="AH22" s="120"/>
      <c r="AI22" s="115"/>
      <c r="AJ22" s="87"/>
      <c r="AP22" s="111"/>
      <c r="AQ22" s="118"/>
      <c r="AR22" s="115"/>
      <c r="AS22" s="120"/>
      <c r="AT22" s="120"/>
      <c r="AU22" s="115"/>
    </row>
    <row r="23" spans="2:47" x14ac:dyDescent="0.25">
      <c r="G23" s="53"/>
      <c r="H23" s="53"/>
      <c r="I23" s="53"/>
      <c r="J23" s="53"/>
      <c r="O23" s="53"/>
      <c r="P23" s="52"/>
      <c r="Q23" s="52"/>
      <c r="R23" s="87"/>
      <c r="S23" s="118"/>
      <c r="T23" s="115"/>
      <c r="U23" s="121"/>
      <c r="V23" s="121"/>
      <c r="W23" s="115"/>
      <c r="X23" s="87"/>
      <c r="AA23" s="53"/>
      <c r="AB23" s="52"/>
      <c r="AC23" s="52"/>
      <c r="AD23" s="87"/>
      <c r="AE23" s="118"/>
      <c r="AF23" s="115"/>
      <c r="AG23" s="121"/>
      <c r="AH23" s="121"/>
      <c r="AI23" s="115"/>
      <c r="AJ23" s="87"/>
      <c r="AM23" s="53"/>
      <c r="AN23" s="52"/>
      <c r="AO23" s="52"/>
      <c r="AP23" s="87"/>
      <c r="AQ23" s="118"/>
      <c r="AR23" s="115"/>
      <c r="AS23" s="121"/>
      <c r="AT23" s="121"/>
      <c r="AU23" s="115"/>
    </row>
    <row r="24" spans="2:47" ht="15.75" customHeight="1" x14ac:dyDescent="0.25">
      <c r="G24" s="53"/>
      <c r="H24" s="53"/>
      <c r="I24" s="53"/>
      <c r="J24" s="53"/>
      <c r="O24" s="53"/>
      <c r="P24" s="52"/>
      <c r="Q24" s="52"/>
      <c r="R24" s="87"/>
      <c r="S24" s="87"/>
      <c r="T24" s="87"/>
      <c r="U24" s="87"/>
      <c r="V24" s="87"/>
      <c r="W24" s="87"/>
      <c r="X24" s="87"/>
      <c r="AA24" s="53"/>
      <c r="AB24" s="52"/>
      <c r="AC24" s="52"/>
      <c r="AD24" s="87"/>
      <c r="AE24" s="87"/>
      <c r="AF24" s="87"/>
      <c r="AG24" s="87"/>
      <c r="AH24" s="87"/>
      <c r="AI24" s="87"/>
      <c r="AJ24" s="87"/>
      <c r="AM24" s="53"/>
      <c r="AN24" s="52"/>
      <c r="AO24" s="52"/>
      <c r="AP24" s="87"/>
      <c r="AQ24" s="87"/>
      <c r="AR24" s="87"/>
      <c r="AS24" s="87"/>
      <c r="AT24" s="87"/>
      <c r="AU24" s="87"/>
    </row>
    <row r="25" spans="2:47" x14ac:dyDescent="0.25">
      <c r="G25" s="53"/>
      <c r="H25" s="53"/>
      <c r="I25" s="53"/>
      <c r="J25" s="53"/>
      <c r="O25" s="53"/>
      <c r="P25" s="52"/>
      <c r="Q25" s="52"/>
      <c r="R25" s="87"/>
      <c r="S25" s="122"/>
      <c r="T25" s="122"/>
      <c r="U25" s="122"/>
      <c r="V25" s="122"/>
      <c r="W25" s="122"/>
      <c r="X25" s="87"/>
      <c r="AA25" s="53"/>
      <c r="AB25" s="52"/>
      <c r="AC25" s="52"/>
      <c r="AD25" s="87"/>
      <c r="AE25" s="122"/>
      <c r="AF25" s="122"/>
      <c r="AG25" s="122"/>
      <c r="AH25" s="122"/>
      <c r="AI25" s="122"/>
      <c r="AJ25" s="87"/>
      <c r="AM25" s="53"/>
      <c r="AN25" s="52"/>
      <c r="AO25" s="52"/>
      <c r="AP25" s="87"/>
      <c r="AQ25" s="122"/>
      <c r="AR25" s="122"/>
      <c r="AS25" s="122"/>
      <c r="AT25" s="122"/>
      <c r="AU25" s="122"/>
    </row>
    <row r="26" spans="2:47" x14ac:dyDescent="0.25">
      <c r="G26" s="53"/>
      <c r="H26" s="53"/>
      <c r="I26" s="53"/>
      <c r="J26" s="53"/>
      <c r="O26" s="53"/>
      <c r="P26" s="52"/>
      <c r="Q26" s="52"/>
      <c r="R26" s="87"/>
      <c r="S26" s="114"/>
      <c r="T26" s="115"/>
      <c r="U26" s="116"/>
      <c r="V26" s="116"/>
      <c r="W26" s="115"/>
      <c r="X26" s="87"/>
      <c r="AA26" s="53"/>
      <c r="AB26" s="52"/>
      <c r="AC26" s="52"/>
      <c r="AD26" s="87"/>
      <c r="AE26" s="114"/>
      <c r="AF26" s="115"/>
      <c r="AG26" s="116"/>
      <c r="AH26" s="116"/>
      <c r="AI26" s="115"/>
      <c r="AJ26" s="87"/>
      <c r="AM26" s="53"/>
      <c r="AN26" s="52"/>
      <c r="AO26" s="52"/>
      <c r="AP26" s="87"/>
      <c r="AQ26" s="114"/>
      <c r="AR26" s="115"/>
      <c r="AS26" s="116"/>
      <c r="AT26" s="116"/>
      <c r="AU26" s="115"/>
    </row>
    <row r="27" spans="2:47" x14ac:dyDescent="0.25">
      <c r="G27" s="53"/>
      <c r="H27" s="53"/>
      <c r="I27" s="53"/>
      <c r="J27" s="53"/>
      <c r="O27" s="53"/>
      <c r="P27" s="52"/>
      <c r="Q27" s="52"/>
      <c r="R27" s="87"/>
      <c r="S27" s="114"/>
      <c r="T27" s="115"/>
      <c r="U27" s="115"/>
      <c r="V27" s="115"/>
      <c r="W27" s="115"/>
      <c r="X27" s="87"/>
      <c r="AA27" s="53"/>
      <c r="AB27" s="52"/>
      <c r="AC27" s="52"/>
      <c r="AD27" s="87"/>
      <c r="AE27" s="114"/>
      <c r="AF27" s="115"/>
      <c r="AG27" s="115"/>
      <c r="AH27" s="115"/>
      <c r="AI27" s="115"/>
      <c r="AJ27" s="87"/>
      <c r="AM27" s="53"/>
      <c r="AN27" s="52"/>
      <c r="AO27" s="52"/>
      <c r="AP27" s="87"/>
      <c r="AQ27" s="114"/>
      <c r="AR27" s="115"/>
      <c r="AS27" s="115"/>
      <c r="AT27" s="115"/>
      <c r="AU27" s="115"/>
    </row>
    <row r="28" spans="2:47" x14ac:dyDescent="0.25">
      <c r="R28" s="111"/>
      <c r="S28" s="114"/>
      <c r="T28" s="115"/>
      <c r="U28" s="117"/>
      <c r="V28" s="117"/>
      <c r="W28" s="115"/>
      <c r="X28" s="87"/>
      <c r="AD28" s="111"/>
      <c r="AE28" s="114"/>
      <c r="AF28" s="115"/>
      <c r="AG28" s="117"/>
      <c r="AH28" s="117"/>
      <c r="AI28" s="115"/>
      <c r="AJ28" s="87"/>
      <c r="AP28" s="111"/>
      <c r="AQ28" s="114"/>
      <c r="AR28" s="115"/>
      <c r="AS28" s="117"/>
      <c r="AT28" s="117"/>
      <c r="AU28" s="115"/>
    </row>
    <row r="29" spans="2:47" x14ac:dyDescent="0.25">
      <c r="R29" s="111"/>
      <c r="S29" s="111"/>
      <c r="T29" s="87"/>
      <c r="U29" s="87"/>
      <c r="V29" s="87"/>
      <c r="W29" s="87"/>
      <c r="X29" s="87"/>
      <c r="AD29" s="111"/>
      <c r="AE29" s="111"/>
      <c r="AF29" s="87"/>
      <c r="AG29" s="87"/>
      <c r="AH29" s="87"/>
      <c r="AI29" s="87"/>
      <c r="AJ29" s="87"/>
      <c r="AP29" s="111"/>
      <c r="AQ29" s="111"/>
      <c r="AR29" s="87"/>
      <c r="AS29" s="87"/>
      <c r="AT29" s="87"/>
      <c r="AU29" s="87"/>
    </row>
  </sheetData>
  <sortState ref="B6:AI23">
    <sortCondition ref="C6:C23"/>
    <sortCondition ref="G6:G23"/>
    <sortCondition ref="I6:I23"/>
  </sortState>
  <customSheetViews>
    <customSheetView guid="{B34B7122-C738-4555-8537-3B6E30D60D80}" scale="90" showGridLines="0" zeroValues="0" topLeftCell="C1">
      <pane xSplit="6" ySplit="2" topLeftCell="I3" activePane="bottomRight" state="frozen"/>
      <selection pane="bottomRight" activeCell="F20" sqref="F20"/>
      <pageMargins left="0.7" right="0.7" top="0.75" bottom="0.75" header="0.3" footer="0.3"/>
      <pageSetup orientation="portrait" r:id="rId1"/>
    </customSheetView>
  </customSheetViews>
  <mergeCells count="9">
    <mergeCell ref="AM2:AU3"/>
    <mergeCell ref="AN4:AQ4"/>
    <mergeCell ref="AR4:AU4"/>
    <mergeCell ref="P4:S4"/>
    <mergeCell ref="T4:W4"/>
    <mergeCell ref="O2:W3"/>
    <mergeCell ref="AA2:AI3"/>
    <mergeCell ref="AB4:AE4"/>
    <mergeCell ref="AF4:AI4"/>
  </mergeCells>
  <conditionalFormatting sqref="T7:W9 AF6:AI9 AR6:AU9">
    <cfRule type="cellIs" dxfId="8" priority="23" operator="equal">
      <formula>"High"</formula>
    </cfRule>
    <cfRule type="cellIs" dxfId="7" priority="24" operator="equal">
      <formula>"Med"</formula>
    </cfRule>
    <cfRule type="cellIs" dxfId="6" priority="25" operator="equal">
      <formula>"Low"</formula>
    </cfRule>
  </conditionalFormatting>
  <conditionalFormatting sqref="T6:W6">
    <cfRule type="cellIs" dxfId="5" priority="1" operator="equal">
      <formula>"High"</formula>
    </cfRule>
    <cfRule type="cellIs" dxfId="4" priority="2" operator="equal">
      <formula>"Med"</formula>
    </cfRule>
    <cfRule type="cellIs" dxfId="3" priority="3" operator="equal">
      <formula>"Low"</formula>
    </cfRule>
  </conditionalFormatting>
  <pageMargins left="0.7" right="0.7" top="0.75" bottom="0.75" header="0.3" footer="0.3"/>
  <pageSetup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22"/>
  <sheetViews>
    <sheetView zoomScaleNormal="100" workbookViewId="0">
      <selection activeCell="B3" sqref="B3:C3"/>
    </sheetView>
  </sheetViews>
  <sheetFormatPr defaultRowHeight="15" x14ac:dyDescent="0.25"/>
  <cols>
    <col min="1" max="1" width="15.42578125" customWidth="1"/>
    <col min="2" max="2" width="17.5703125" customWidth="1"/>
    <col min="3" max="3" width="60.85546875" customWidth="1"/>
  </cols>
  <sheetData>
    <row r="1" spans="1:3" x14ac:dyDescent="0.25">
      <c r="A1" s="3" t="s">
        <v>12</v>
      </c>
      <c r="B1" s="132" t="s">
        <v>57</v>
      </c>
      <c r="C1" s="132"/>
    </row>
    <row r="2" spans="1:3" x14ac:dyDescent="0.25">
      <c r="A2" s="3" t="s">
        <v>13</v>
      </c>
      <c r="B2" s="132" t="s">
        <v>58</v>
      </c>
      <c r="C2" s="132"/>
    </row>
    <row r="3" spans="1:3" x14ac:dyDescent="0.25">
      <c r="A3" s="3" t="s">
        <v>14</v>
      </c>
      <c r="B3" s="133" t="s">
        <v>61</v>
      </c>
      <c r="C3" s="133"/>
    </row>
    <row r="4" spans="1:3" x14ac:dyDescent="0.25">
      <c r="A4" s="3" t="s">
        <v>15</v>
      </c>
      <c r="B4" s="132" t="s">
        <v>59</v>
      </c>
      <c r="C4" s="132"/>
    </row>
    <row r="5" spans="1:3" x14ac:dyDescent="0.25">
      <c r="A5" s="3" t="s">
        <v>16</v>
      </c>
      <c r="B5" s="132"/>
      <c r="C5" s="132"/>
    </row>
    <row r="6" spans="1:3" x14ac:dyDescent="0.25">
      <c r="A6" s="3" t="s">
        <v>19</v>
      </c>
      <c r="B6" s="131"/>
      <c r="C6" s="131"/>
    </row>
    <row r="7" spans="1:3" x14ac:dyDescent="0.25">
      <c r="A7" s="3" t="s">
        <v>20</v>
      </c>
      <c r="B7" s="131"/>
      <c r="C7" s="131"/>
    </row>
    <row r="8" spans="1:3" x14ac:dyDescent="0.25">
      <c r="A8" s="2"/>
      <c r="B8" s="2"/>
      <c r="C8" s="2"/>
    </row>
    <row r="9" spans="1:3" x14ac:dyDescent="0.25">
      <c r="A9" s="2"/>
      <c r="B9" s="2"/>
      <c r="C9" s="2"/>
    </row>
    <row r="10" spans="1:3" x14ac:dyDescent="0.25">
      <c r="A10" s="3" t="s">
        <v>14</v>
      </c>
      <c r="B10" s="3" t="s">
        <v>0</v>
      </c>
      <c r="C10" s="3" t="s">
        <v>17</v>
      </c>
    </row>
    <row r="11" spans="1:3" x14ac:dyDescent="0.25">
      <c r="A11" s="51" t="s">
        <v>42</v>
      </c>
      <c r="B11" s="4">
        <v>42397</v>
      </c>
      <c r="C11" s="50" t="s">
        <v>60</v>
      </c>
    </row>
    <row r="12" spans="1:3" x14ac:dyDescent="0.25">
      <c r="A12" s="123" t="s">
        <v>61</v>
      </c>
      <c r="B12" s="4">
        <v>42576</v>
      </c>
      <c r="C12" s="5" t="s">
        <v>62</v>
      </c>
    </row>
    <row r="13" spans="1:3" x14ac:dyDescent="0.25">
      <c r="B13" s="50"/>
      <c r="C13" s="50"/>
    </row>
    <row r="14" spans="1:3" x14ac:dyDescent="0.25">
      <c r="A14" s="5"/>
      <c r="B14" s="5"/>
      <c r="C14" s="5"/>
    </row>
    <row r="15" spans="1:3" x14ac:dyDescent="0.25">
      <c r="A15" s="5"/>
      <c r="B15" s="5"/>
      <c r="C15" s="5"/>
    </row>
    <row r="16" spans="1:3" x14ac:dyDescent="0.25">
      <c r="A16" s="5"/>
      <c r="B16" s="5"/>
      <c r="C16" s="5"/>
    </row>
    <row r="17" spans="1:3" x14ac:dyDescent="0.25">
      <c r="A17" s="5"/>
      <c r="B17" s="5"/>
      <c r="C17" s="5"/>
    </row>
    <row r="18" spans="1:3" x14ac:dyDescent="0.25">
      <c r="A18" s="5"/>
      <c r="B18" s="5"/>
      <c r="C18" s="5"/>
    </row>
    <row r="22" spans="1:3" x14ac:dyDescent="0.25">
      <c r="A22" s="6" t="s">
        <v>18</v>
      </c>
    </row>
  </sheetData>
  <mergeCells count="7">
    <mergeCell ref="B7:C7"/>
    <mergeCell ref="B6:C6"/>
    <mergeCell ref="B1:C1"/>
    <mergeCell ref="B2:C2"/>
    <mergeCell ref="B3:C3"/>
    <mergeCell ref="B4:C4"/>
    <mergeCell ref="B5:C5"/>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Z57"/>
  <sheetViews>
    <sheetView zoomScale="80" zoomScaleNormal="80" workbookViewId="0">
      <selection activeCell="O2" sqref="O2:O4"/>
    </sheetView>
  </sheetViews>
  <sheetFormatPr defaultRowHeight="15" x14ac:dyDescent="0.25"/>
  <cols>
    <col min="1" max="1" width="1.85546875" customWidth="1"/>
    <col min="2" max="3" width="12.7109375" customWidth="1"/>
    <col min="4" max="4" width="12.7109375" style="7" customWidth="1"/>
    <col min="5" max="10" width="12.7109375" customWidth="1"/>
    <col min="11" max="11" width="12.7109375" style="7" customWidth="1"/>
    <col min="12" max="12" width="12.7109375" customWidth="1"/>
    <col min="13" max="13" width="12.7109375" style="7" customWidth="1"/>
    <col min="14" max="14" width="12.7109375" customWidth="1"/>
    <col min="15" max="15" width="12.7109375" style="7" customWidth="1"/>
    <col min="16" max="16" width="12.7109375" customWidth="1"/>
    <col min="17" max="17" width="12.7109375" style="7" customWidth="1"/>
    <col min="18" max="28" width="12.7109375" customWidth="1"/>
  </cols>
  <sheetData>
    <row r="2" spans="2:19" ht="18.75" x14ac:dyDescent="0.3">
      <c r="C2" s="161" t="str">
        <f>linkedPage!C2</f>
        <v>Risk = Occ + Sev</v>
      </c>
      <c r="D2" s="161"/>
      <c r="E2" s="161"/>
      <c r="F2" s="161"/>
      <c r="G2" s="161"/>
      <c r="H2" s="161"/>
      <c r="I2" s="161"/>
      <c r="J2" s="161"/>
      <c r="K2" s="161"/>
      <c r="L2" s="161"/>
      <c r="O2" t="str">
        <f>linkedPage!T2</f>
        <v>Note:</v>
      </c>
    </row>
    <row r="3" spans="2:19" ht="18.75" x14ac:dyDescent="0.3">
      <c r="B3" s="5"/>
      <c r="C3" s="160" t="str">
        <f>linkedPage!C3</f>
        <v>Severity</v>
      </c>
      <c r="D3" s="160"/>
      <c r="E3" s="160"/>
      <c r="F3" s="160"/>
      <c r="G3" s="160"/>
      <c r="H3" s="160"/>
      <c r="I3" s="160"/>
      <c r="J3" s="160"/>
      <c r="K3" s="160"/>
      <c r="L3" s="160"/>
      <c r="O3" s="7" t="str">
        <f>linkedPage!T3</f>
        <v>- 'set up' and 'linkedPage' are both linked to workbook 'FMECA Master v3.xlsx'</v>
      </c>
    </row>
    <row r="4" spans="2:19" ht="18.75" x14ac:dyDescent="0.3">
      <c r="B4" s="48" t="str">
        <f>IF(linkedPage!B4=0,"",linkedPage!B4)</f>
        <v>Occ</v>
      </c>
      <c r="C4" s="29">
        <f>IF(linkedPage!C4=0,"",linkedPage!C4)</f>
        <v>1</v>
      </c>
      <c r="D4" s="29">
        <f>IF(linkedPage!D4=0,"",linkedPage!D4)</f>
        <v>2</v>
      </c>
      <c r="E4" s="29">
        <f>IF(linkedPage!E4=0,"",linkedPage!E4)</f>
        <v>3</v>
      </c>
      <c r="F4" s="29">
        <f>IF(linkedPage!F4=0,"",linkedPage!F4)</f>
        <v>4</v>
      </c>
      <c r="G4" s="29">
        <f>IF(linkedPage!G4=0,"",linkedPage!G4)</f>
        <v>5</v>
      </c>
      <c r="H4" s="29">
        <f>IF(linkedPage!H4=0,"",linkedPage!H4)</f>
        <v>6</v>
      </c>
      <c r="I4" s="29">
        <f>IF(linkedPage!I4=0,"",linkedPage!I4)</f>
        <v>7</v>
      </c>
      <c r="J4" s="29">
        <f>IF(linkedPage!J4=0,"",linkedPage!J4)</f>
        <v>8</v>
      </c>
      <c r="K4" s="29">
        <f>IF(linkedPage!K4=0,"",linkedPage!K4)</f>
        <v>9</v>
      </c>
      <c r="L4" s="29">
        <f>IF(linkedPage!L4=0,"",linkedPage!L4)</f>
        <v>10</v>
      </c>
      <c r="M4" s="7" t="str">
        <f>IF(linkedPage!M4=0,"",linkedPage!M4)</f>
        <v/>
      </c>
      <c r="N4" t="str">
        <f>IF(linkedPage!N4=0,"",linkedPage!N4)</f>
        <v/>
      </c>
      <c r="O4" s="7" t="str">
        <f>linkedPage!T4</f>
        <v>- changes to the tables, risk scores, etc must be made in 'FMECA Master v3.xlsx'</v>
      </c>
      <c r="P4" s="7"/>
    </row>
    <row r="5" spans="2:19" s="7" customFormat="1" x14ac:dyDescent="0.25">
      <c r="B5" s="29">
        <f>IF(linkedPage!B5=0,"",linkedPage!B5)</f>
        <v>10</v>
      </c>
      <c r="C5" s="5" t="str">
        <f>IF(linkedPage!C5=0,"",linkedPage!C5)</f>
        <v>Low</v>
      </c>
      <c r="D5" s="5" t="str">
        <f>IF(linkedPage!D5=0,"",linkedPage!D5)</f>
        <v>Med</v>
      </c>
      <c r="E5" s="5" t="str">
        <f>IF(linkedPage!E5=0,"",linkedPage!E5)</f>
        <v>Med</v>
      </c>
      <c r="F5" s="5" t="str">
        <f>IF(linkedPage!F5=0,"",linkedPage!F5)</f>
        <v>Med</v>
      </c>
      <c r="G5" s="5" t="str">
        <f>IF(linkedPage!G5=0,"",linkedPage!G5)</f>
        <v>Med</v>
      </c>
      <c r="H5" s="5" t="str">
        <f>IF(linkedPage!H5=0,"",linkedPage!H5)</f>
        <v>High</v>
      </c>
      <c r="I5" s="5" t="str">
        <f>IF(linkedPage!I5=0,"",linkedPage!I5)</f>
        <v>High</v>
      </c>
      <c r="J5" s="5" t="str">
        <f>IF(linkedPage!J5=0,"",linkedPage!J5)</f>
        <v>High</v>
      </c>
      <c r="K5" s="5" t="str">
        <f>IF(linkedPage!K5=0,"",linkedPage!K5)</f>
        <v>High</v>
      </c>
      <c r="L5" s="5" t="str">
        <f>IF(linkedPage!L5=0,"",linkedPage!L5)</f>
        <v>High</v>
      </c>
      <c r="M5" s="7" t="str">
        <f>IF(linkedPage!M5=0,"",linkedPage!M5)</f>
        <v/>
      </c>
      <c r="N5" t="str">
        <f>IF(linkedPage!N5=0,"",linkedPage!N5)</f>
        <v/>
      </c>
      <c r="O5" s="7" t="str">
        <f>IF(linkedPage!O5=0,"",linkedPage!O5)</f>
        <v/>
      </c>
    </row>
    <row r="6" spans="2:19" s="7" customFormat="1" ht="16.5" x14ac:dyDescent="0.35">
      <c r="B6" s="29">
        <f>IF(linkedPage!B6=0,"",linkedPage!B6)</f>
        <v>9</v>
      </c>
      <c r="C6" s="5" t="str">
        <f>IF(linkedPage!C6=0,"",linkedPage!C6)</f>
        <v>Low</v>
      </c>
      <c r="D6" s="5" t="str">
        <f>IF(linkedPage!D6=0,"",linkedPage!D6)</f>
        <v>Low</v>
      </c>
      <c r="E6" s="5" t="str">
        <f>IF(linkedPage!E6=0,"",linkedPage!E6)</f>
        <v>Med</v>
      </c>
      <c r="F6" s="5" t="str">
        <f>IF(linkedPage!F6=0,"",linkedPage!F6)</f>
        <v>Med</v>
      </c>
      <c r="G6" s="5" t="str">
        <f>IF(linkedPage!G6=0,"",linkedPage!G6)</f>
        <v>Med</v>
      </c>
      <c r="H6" s="5" t="str">
        <f>IF(linkedPage!H6=0,"",linkedPage!H6)</f>
        <v>Med</v>
      </c>
      <c r="I6" s="5" t="str">
        <f>IF(linkedPage!I6=0,"",linkedPage!I6)</f>
        <v>High</v>
      </c>
      <c r="J6" s="5" t="str">
        <f>IF(linkedPage!J6=0,"",linkedPage!J6)</f>
        <v>High</v>
      </c>
      <c r="K6" s="5" t="str">
        <f>IF(linkedPage!K6=0,"",linkedPage!K6)</f>
        <v>High</v>
      </c>
      <c r="L6" s="5" t="str">
        <f>IF(linkedPage!L6=0,"",linkedPage!L6)</f>
        <v>High</v>
      </c>
      <c r="M6" s="18" t="str">
        <f>IF(linkedPage!M6=0,"",linkedPage!M6)</f>
        <v>low &lt;=</v>
      </c>
      <c r="N6" s="2">
        <f>IF(linkedPage!N6=0,"",linkedPage!N6)</f>
        <v>11</v>
      </c>
      <c r="O6" s="7" t="str">
        <f>IF(linkedPage!O6=0,"",linkedPage!O6)</f>
        <v/>
      </c>
    </row>
    <row r="7" spans="2:19" s="7" customFormat="1" ht="16.5" x14ac:dyDescent="0.35">
      <c r="B7" s="29">
        <f>IF(linkedPage!B7=0,"",linkedPage!B7)</f>
        <v>8</v>
      </c>
      <c r="C7" s="5" t="str">
        <f>IF(linkedPage!C7=0,"",linkedPage!C7)</f>
        <v>Low</v>
      </c>
      <c r="D7" s="5" t="str">
        <f>IF(linkedPage!D7=0,"",linkedPage!D7)</f>
        <v>Low</v>
      </c>
      <c r="E7" s="5" t="str">
        <f>IF(linkedPage!E7=0,"",linkedPage!E7)</f>
        <v>Low</v>
      </c>
      <c r="F7" s="5" t="str">
        <f>IF(linkedPage!F7=0,"",linkedPage!F7)</f>
        <v>Med</v>
      </c>
      <c r="G7" s="5" t="str">
        <f>IF(linkedPage!G7=0,"",linkedPage!G7)</f>
        <v>Med</v>
      </c>
      <c r="H7" s="5" t="str">
        <f>IF(linkedPage!H7=0,"",linkedPage!H7)</f>
        <v>Med</v>
      </c>
      <c r="I7" s="5" t="str">
        <f>IF(linkedPage!I7=0,"",linkedPage!I7)</f>
        <v>Med</v>
      </c>
      <c r="J7" s="5" t="str">
        <f>IF(linkedPage!J7=0,"",linkedPage!J7)</f>
        <v>High</v>
      </c>
      <c r="K7" s="5" t="str">
        <f>IF(linkedPage!K7=0,"",linkedPage!K7)</f>
        <v>High</v>
      </c>
      <c r="L7" s="5" t="str">
        <f>IF(linkedPage!L7=0,"",linkedPage!L7)</f>
        <v>High</v>
      </c>
      <c r="M7" s="18" t="str">
        <f>IF(linkedPage!M7=0,"",linkedPage!M7)</f>
        <v>high&gt;</v>
      </c>
      <c r="N7" s="2">
        <f>IF(linkedPage!N7=0,"",linkedPage!N7)</f>
        <v>15</v>
      </c>
      <c r="O7" s="7" t="str">
        <f>IF(linkedPage!O7=0,"",linkedPage!O7)</f>
        <v/>
      </c>
    </row>
    <row r="8" spans="2:19" s="7" customFormat="1" x14ac:dyDescent="0.25">
      <c r="B8" s="29">
        <f>IF(linkedPage!B8=0,"",linkedPage!B8)</f>
        <v>7</v>
      </c>
      <c r="C8" s="5" t="str">
        <f>IF(linkedPage!C8=0,"",linkedPage!C8)</f>
        <v>Low</v>
      </c>
      <c r="D8" s="5" t="str">
        <f>IF(linkedPage!D8=0,"",linkedPage!D8)</f>
        <v>Low</v>
      </c>
      <c r="E8" s="5" t="str">
        <f>IF(linkedPage!E8=0,"",linkedPage!E8)</f>
        <v>Low</v>
      </c>
      <c r="F8" s="5" t="str">
        <f>IF(linkedPage!F8=0,"",linkedPage!F8)</f>
        <v>Low</v>
      </c>
      <c r="G8" s="5" t="str">
        <f>IF(linkedPage!G8=0,"",linkedPage!G8)</f>
        <v>Med</v>
      </c>
      <c r="H8" s="5" t="str">
        <f>IF(linkedPage!H8=0,"",linkedPage!H8)</f>
        <v>Med</v>
      </c>
      <c r="I8" s="5" t="str">
        <f>IF(linkedPage!I8=0,"",linkedPage!I8)</f>
        <v>Med</v>
      </c>
      <c r="J8" s="5" t="str">
        <f>IF(linkedPage!J8=0,"",linkedPage!J8)</f>
        <v>Med</v>
      </c>
      <c r="K8" s="5" t="str">
        <f>IF(linkedPage!K8=0,"",linkedPage!K8)</f>
        <v>High</v>
      </c>
      <c r="L8" s="5" t="str">
        <f>IF(linkedPage!L8=0,"",linkedPage!L8)</f>
        <v>High</v>
      </c>
      <c r="M8" s="7" t="str">
        <f>IF(linkedPage!M8=0,"",linkedPage!M8)</f>
        <v/>
      </c>
      <c r="N8" t="str">
        <f>IF(linkedPage!N8=0,"",linkedPage!N8)</f>
        <v/>
      </c>
      <c r="O8" s="7" t="str">
        <f>IF(linkedPage!O8=0,"",linkedPage!O8)</f>
        <v/>
      </c>
    </row>
    <row r="9" spans="2:19" s="7" customFormat="1" x14ac:dyDescent="0.25">
      <c r="B9" s="29">
        <f>IF(linkedPage!B9=0,"",linkedPage!B9)</f>
        <v>6</v>
      </c>
      <c r="C9" s="5" t="str">
        <f>IF(linkedPage!C9=0,"",linkedPage!C9)</f>
        <v>Low</v>
      </c>
      <c r="D9" s="5" t="str">
        <f>IF(linkedPage!D9=0,"",linkedPage!D9)</f>
        <v>Low</v>
      </c>
      <c r="E9" s="5" t="str">
        <f>IF(linkedPage!E9=0,"",linkedPage!E9)</f>
        <v>Low</v>
      </c>
      <c r="F9" s="5" t="str">
        <f>IF(linkedPage!F9=0,"",linkedPage!F9)</f>
        <v>Low</v>
      </c>
      <c r="G9" s="5" t="str">
        <f>IF(linkedPage!G9=0,"",linkedPage!G9)</f>
        <v>Low</v>
      </c>
      <c r="H9" s="5" t="str">
        <f>IF(linkedPage!H9=0,"",linkedPage!H9)</f>
        <v>Med</v>
      </c>
      <c r="I9" s="5" t="str">
        <f>IF(linkedPage!I9=0,"",linkedPage!I9)</f>
        <v>Med</v>
      </c>
      <c r="J9" s="5" t="str">
        <f>IF(linkedPage!J9=0,"",linkedPage!J9)</f>
        <v>Med</v>
      </c>
      <c r="K9" s="5" t="str">
        <f>IF(linkedPage!K9=0,"",linkedPage!K9)</f>
        <v>Med</v>
      </c>
      <c r="L9" s="5" t="str">
        <f>IF(linkedPage!L9=0,"",linkedPage!L9)</f>
        <v>High</v>
      </c>
      <c r="M9" s="7" t="str">
        <f>IF(linkedPage!M9=0,"",linkedPage!M9)</f>
        <v/>
      </c>
      <c r="N9" t="str">
        <f>IF(linkedPage!N9=0,"",linkedPage!N9)</f>
        <v/>
      </c>
      <c r="O9" s="7" t="str">
        <f>IF(linkedPage!O9=0,"",linkedPage!O9)</f>
        <v/>
      </c>
    </row>
    <row r="10" spans="2:19" s="7" customFormat="1" x14ac:dyDescent="0.25">
      <c r="B10" s="29">
        <f>IF(linkedPage!B10=0,"",linkedPage!B10)</f>
        <v>5</v>
      </c>
      <c r="C10" s="5" t="str">
        <f>IF(linkedPage!C10=0,"",linkedPage!C10)</f>
        <v>Low</v>
      </c>
      <c r="D10" s="5" t="str">
        <f>IF(linkedPage!D10=0,"",linkedPage!D10)</f>
        <v>Low</v>
      </c>
      <c r="E10" s="5" t="str">
        <f>IF(linkedPage!E10=0,"",linkedPage!E10)</f>
        <v>Low</v>
      </c>
      <c r="F10" s="5" t="str">
        <f>IF(linkedPage!F10=0,"",linkedPage!F10)</f>
        <v>Low</v>
      </c>
      <c r="G10" s="5" t="str">
        <f>IF(linkedPage!G10=0,"",linkedPage!G10)</f>
        <v>Low</v>
      </c>
      <c r="H10" s="5" t="str">
        <f>IF(linkedPage!H10=0,"",linkedPage!H10)</f>
        <v>Low</v>
      </c>
      <c r="I10" s="5" t="str">
        <f>IF(linkedPage!I10=0,"",linkedPage!I10)</f>
        <v>Med</v>
      </c>
      <c r="J10" s="5" t="str">
        <f>IF(linkedPage!J10=0,"",linkedPage!J10)</f>
        <v>Med</v>
      </c>
      <c r="K10" s="5" t="str">
        <f>IF(linkedPage!K10=0,"",linkedPage!K10)</f>
        <v>Med</v>
      </c>
      <c r="L10" s="5" t="str">
        <f>IF(linkedPage!L10=0,"",linkedPage!L10)</f>
        <v>Med</v>
      </c>
      <c r="M10" s="7" t="str">
        <f>IF(linkedPage!M10=0,"",linkedPage!M10)</f>
        <v/>
      </c>
      <c r="N10" s="7" t="str">
        <f>IF(linkedPage!N10=0,"",linkedPage!N10)</f>
        <v/>
      </c>
      <c r="O10" s="7" t="str">
        <f>IF(linkedPage!O10=0,"",linkedPage!O10)</f>
        <v/>
      </c>
    </row>
    <row r="11" spans="2:19" s="7" customFormat="1" x14ac:dyDescent="0.25">
      <c r="B11" s="29">
        <f>IF(linkedPage!B11=0,"",linkedPage!B11)</f>
        <v>4</v>
      </c>
      <c r="C11" s="5" t="str">
        <f>IF(linkedPage!C11=0,"",linkedPage!C11)</f>
        <v>Low</v>
      </c>
      <c r="D11" s="5" t="str">
        <f>IF(linkedPage!D11=0,"",linkedPage!D11)</f>
        <v>Low</v>
      </c>
      <c r="E11" s="5" t="str">
        <f>IF(linkedPage!E11=0,"",linkedPage!E11)</f>
        <v>Low</v>
      </c>
      <c r="F11" s="5" t="str">
        <f>IF(linkedPage!F11=0,"",linkedPage!F11)</f>
        <v>Low</v>
      </c>
      <c r="G11" s="5" t="str">
        <f>IF(linkedPage!G11=0,"",linkedPage!G11)</f>
        <v>Low</v>
      </c>
      <c r="H11" s="5" t="str">
        <f>IF(linkedPage!H11=0,"",linkedPage!H11)</f>
        <v>Low</v>
      </c>
      <c r="I11" s="5" t="str">
        <f>IF(linkedPage!I11=0,"",linkedPage!I11)</f>
        <v>Low</v>
      </c>
      <c r="J11" s="5" t="str">
        <f>IF(linkedPage!J11=0,"",linkedPage!J11)</f>
        <v>Med</v>
      </c>
      <c r="K11" s="5" t="str">
        <f>IF(linkedPage!K11=0,"",linkedPage!K11)</f>
        <v>Med</v>
      </c>
      <c r="L11" s="5" t="str">
        <f>IF(linkedPage!L11=0,"",linkedPage!L11)</f>
        <v>Med</v>
      </c>
      <c r="M11" s="7" t="str">
        <f>IF(linkedPage!M11=0,"",linkedPage!M11)</f>
        <v/>
      </c>
      <c r="N11" s="15" t="str">
        <f>IF(linkedPage!N11=0,"",linkedPage!N11)</f>
        <v>Low</v>
      </c>
      <c r="O11" s="17" t="str">
        <f>IF(linkedPage!O11=0,"",linkedPage!O11)</f>
        <v>Tolerable, no engineer action required</v>
      </c>
    </row>
    <row r="12" spans="2:19" s="7" customFormat="1" x14ac:dyDescent="0.25">
      <c r="B12" s="29">
        <f>IF(linkedPage!B12=0,"",linkedPage!B12)</f>
        <v>3</v>
      </c>
      <c r="C12" s="5" t="str">
        <f>IF(linkedPage!C12=0,"",linkedPage!C12)</f>
        <v>Low</v>
      </c>
      <c r="D12" s="5" t="str">
        <f>IF(linkedPage!D12=0,"",linkedPage!D12)</f>
        <v>Low</v>
      </c>
      <c r="E12" s="5" t="str">
        <f>IF(linkedPage!E12=0,"",linkedPage!E12)</f>
        <v>Low</v>
      </c>
      <c r="F12" s="5" t="str">
        <f>IF(linkedPage!F12=0,"",linkedPage!F12)</f>
        <v>Low</v>
      </c>
      <c r="G12" s="5" t="str">
        <f>IF(linkedPage!G12=0,"",linkedPage!G12)</f>
        <v>Low</v>
      </c>
      <c r="H12" s="5" t="str">
        <f>IF(linkedPage!H12=0,"",linkedPage!H12)</f>
        <v>Low</v>
      </c>
      <c r="I12" s="5" t="str">
        <f>IF(linkedPage!I12=0,"",linkedPage!I12)</f>
        <v>Low</v>
      </c>
      <c r="J12" s="5" t="str">
        <f>IF(linkedPage!J12=0,"",linkedPage!J12)</f>
        <v>Low</v>
      </c>
      <c r="K12" s="5" t="str">
        <f>IF(linkedPage!K12=0,"",linkedPage!K12)</f>
        <v>Med</v>
      </c>
      <c r="L12" s="5" t="str">
        <f>IF(linkedPage!L12=0,"",linkedPage!L12)</f>
        <v>Med</v>
      </c>
      <c r="M12" s="7" t="str">
        <f>IF(linkedPage!M12=0,"",linkedPage!M12)</f>
        <v/>
      </c>
      <c r="N12" s="13" t="str">
        <f>IF(linkedPage!N12=0,"",linkedPage!N12)</f>
        <v>Med</v>
      </c>
      <c r="O12" s="17" t="str">
        <f>IF(linkedPage!O12=0,"",linkedPage!O12)</f>
        <v>Undesirable, consider engineer actions to mitigate risk</v>
      </c>
    </row>
    <row r="13" spans="2:19" s="7" customFormat="1" x14ac:dyDescent="0.25">
      <c r="B13" s="29">
        <f>IF(linkedPage!B13=0,"",linkedPage!B13)</f>
        <v>2</v>
      </c>
      <c r="C13" s="5" t="str">
        <f>IF(linkedPage!C13=0,"",linkedPage!C13)</f>
        <v>Low</v>
      </c>
      <c r="D13" s="5" t="str">
        <f>IF(linkedPage!D13=0,"",linkedPage!D13)</f>
        <v>Low</v>
      </c>
      <c r="E13" s="5" t="str">
        <f>IF(linkedPage!E13=0,"",linkedPage!E13)</f>
        <v>Low</v>
      </c>
      <c r="F13" s="5" t="str">
        <f>IF(linkedPage!F13=0,"",linkedPage!F13)</f>
        <v>Low</v>
      </c>
      <c r="G13" s="5" t="str">
        <f>IF(linkedPage!G13=0,"",linkedPage!G13)</f>
        <v>Low</v>
      </c>
      <c r="H13" s="5" t="str">
        <f>IF(linkedPage!H13=0,"",linkedPage!H13)</f>
        <v>Low</v>
      </c>
      <c r="I13" s="5" t="str">
        <f>IF(linkedPage!I13=0,"",linkedPage!I13)</f>
        <v>Low</v>
      </c>
      <c r="J13" s="5" t="str">
        <f>IF(linkedPage!J13=0,"",linkedPage!J13)</f>
        <v>Low</v>
      </c>
      <c r="K13" s="5" t="str">
        <f>IF(linkedPage!K13=0,"",linkedPage!K13)</f>
        <v>Low</v>
      </c>
      <c r="L13" s="5" t="str">
        <f>IF(linkedPage!L13=0,"",linkedPage!L13)</f>
        <v>Med</v>
      </c>
      <c r="M13" s="7" t="str">
        <f>IF(linkedPage!M13=0,"",linkedPage!M13)</f>
        <v/>
      </c>
      <c r="N13" s="16" t="str">
        <f>IF(linkedPage!N13=0,"",linkedPage!N13)</f>
        <v>High</v>
      </c>
      <c r="O13" s="17" t="str">
        <f>IF(linkedPage!O13=0,"",linkedPage!O13)</f>
        <v>Intolerable, engineering action required</v>
      </c>
    </row>
    <row r="14" spans="2:19" s="7" customFormat="1" x14ac:dyDescent="0.25">
      <c r="B14" s="29">
        <f>IF(linkedPage!B14=0,"",linkedPage!B14)</f>
        <v>1</v>
      </c>
      <c r="C14" s="5" t="str">
        <f>IF(linkedPage!C14=0,"",linkedPage!C14)</f>
        <v>Low</v>
      </c>
      <c r="D14" s="5" t="str">
        <f>IF(linkedPage!D14=0,"",linkedPage!D14)</f>
        <v>Low</v>
      </c>
      <c r="E14" s="5" t="str">
        <f>IF(linkedPage!E14=0,"",linkedPage!E14)</f>
        <v>Low</v>
      </c>
      <c r="F14" s="5" t="str">
        <f>IF(linkedPage!F14=0,"",linkedPage!F14)</f>
        <v>Low</v>
      </c>
      <c r="G14" s="5" t="str">
        <f>IF(linkedPage!G14=0,"",linkedPage!G14)</f>
        <v>Low</v>
      </c>
      <c r="H14" s="5" t="str">
        <f>IF(linkedPage!H14=0,"",linkedPage!H14)</f>
        <v>Low</v>
      </c>
      <c r="I14" s="5" t="str">
        <f>IF(linkedPage!I14=0,"",linkedPage!I14)</f>
        <v>Low</v>
      </c>
      <c r="J14" s="5" t="str">
        <f>IF(linkedPage!J14=0,"",linkedPage!J14)</f>
        <v>Low</v>
      </c>
      <c r="K14" s="5" t="str">
        <f>IF(linkedPage!K14=0,"",linkedPage!K14)</f>
        <v>Low</v>
      </c>
      <c r="L14" s="5" t="str">
        <f>IF(linkedPage!L14=0,"",linkedPage!L14)</f>
        <v>Low</v>
      </c>
      <c r="M14" s="7" t="str">
        <f>IF(linkedPage!M14=0,"",linkedPage!M14)</f>
        <v/>
      </c>
      <c r="N14" t="str">
        <f>IF(linkedPage!N14=0,"",linkedPage!N14)</f>
        <v/>
      </c>
      <c r="O14" s="7" t="str">
        <f>IF(linkedPage!O14=0,"",linkedPage!O14)</f>
        <v/>
      </c>
    </row>
    <row r="16" spans="2:19" ht="19.5" thickBot="1" x14ac:dyDescent="0.35">
      <c r="B16" s="42" t="str">
        <f>IF(linkedPage!B16=0,"",linkedPage!B16)</f>
        <v>Occurrence</v>
      </c>
      <c r="C16" s="43"/>
      <c r="D16" s="43"/>
      <c r="E16" s="43"/>
      <c r="F16" s="43"/>
      <c r="H16" s="42" t="str">
        <f>IF(linkedPage!H16=0,"",linkedPage!H16)</f>
        <v>Severity</v>
      </c>
      <c r="I16" s="43"/>
      <c r="J16" s="43"/>
      <c r="K16" s="43"/>
      <c r="L16" s="43"/>
      <c r="M16" s="43"/>
      <c r="N16" s="43"/>
      <c r="O16" s="43"/>
      <c r="P16" s="43"/>
      <c r="Q16" s="43"/>
      <c r="R16" s="25"/>
      <c r="S16" s="25"/>
    </row>
    <row r="17" spans="1:23" ht="57" thickBot="1" x14ac:dyDescent="0.35">
      <c r="B17" s="44" t="str">
        <f>IF(linkedPage!B17=0,"",linkedPage!B17)</f>
        <v>Rating</v>
      </c>
      <c r="C17" s="152" t="str">
        <f>IF(linkedPage!C17=0,"",linkedPage!C17)</f>
        <v>Occurrence</v>
      </c>
      <c r="D17" s="153" t="str">
        <f>IF(linkedPage!D17=0,"",linkedPage!D17)</f>
        <v/>
      </c>
      <c r="E17" s="44" t="str">
        <f>IF(linkedPage!E17=0,"",linkedPage!E17)</f>
        <v>Annual Failure Rate</v>
      </c>
      <c r="F17" s="45" t="str">
        <f>IF(linkedPage!F17=0,"",linkedPage!F17)</f>
        <v>Return Period [years]</v>
      </c>
      <c r="G17" s="9"/>
      <c r="H17" s="46" t="str">
        <f>IF(linkedPage!H17=0,"",linkedPage!H17)</f>
        <v>Rating</v>
      </c>
      <c r="I17" s="47" t="str">
        <f>IF(linkedPage!I17=0,"",linkedPage!I17)</f>
        <v>Severity</v>
      </c>
      <c r="J17" s="158" t="str">
        <f>IF(linkedPage!J17=0,"",linkedPage!J17)</f>
        <v>Human Safety</v>
      </c>
      <c r="K17" s="151" t="str">
        <f>IF(linkedPage!K17=0,"",linkedPage!K17)</f>
        <v/>
      </c>
      <c r="L17" s="158" t="str">
        <f>IF(linkedPage!L17=0,"",linkedPage!L17)</f>
        <v>Environment</v>
      </c>
      <c r="M17" s="159" t="str">
        <f>IF(linkedPage!M17=0,"",linkedPage!M17)</f>
        <v/>
      </c>
      <c r="N17" s="150" t="str">
        <f>IF(linkedPage!N17=0,"",linkedPage!N17)</f>
        <v>WEC Operation</v>
      </c>
      <c r="O17" s="151" t="str">
        <f>IF(linkedPage!O17=0,"",linkedPage!O17)</f>
        <v/>
      </c>
      <c r="P17" s="154" t="str">
        <f>IF(linkedPage!P17=0,"",linkedPage!P17)</f>
        <v xml:space="preserve">Assets </v>
      </c>
      <c r="Q17" s="155" t="str">
        <f>IF(linkedPage!Q17=0,"",linkedPage!Q17)</f>
        <v/>
      </c>
      <c r="R17" s="26"/>
      <c r="S17" s="25"/>
    </row>
    <row r="18" spans="1:23" ht="42.75" customHeight="1" x14ac:dyDescent="0.25">
      <c r="A18" s="7"/>
      <c r="B18" s="12">
        <f>IF(linkedPage!B18=0,"",linkedPage!B18)</f>
        <v>1</v>
      </c>
      <c r="C18" s="162" t="str">
        <f>IF(linkedPage!C18=0,"",linkedPage!C18)</f>
        <v>Exceptionally unlikely to occur</v>
      </c>
      <c r="D18" s="163" t="str">
        <f>IF(linkedPage!D18=0,"",linkedPage!D18)</f>
        <v/>
      </c>
      <c r="E18" s="30">
        <f>IF(linkedPage!E18=0,"",linkedPage!E18)</f>
        <v>1.0000000000000001E-5</v>
      </c>
      <c r="F18" s="38">
        <f>IF(linkedPage!F18=0,"",linkedPage!F18)</f>
        <v>100000</v>
      </c>
      <c r="G18" s="9"/>
      <c r="H18" s="24">
        <f>IF(linkedPage!H18=0,"",linkedPage!H18)</f>
        <v>1</v>
      </c>
      <c r="I18" s="22" t="str">
        <f>IF(linkedPage!I18=0,"",linkedPage!I18)</f>
        <v>Insignificant</v>
      </c>
      <c r="J18" s="138" t="str">
        <f>IF(linkedPage!J18=0,"",linkedPage!J18)</f>
        <v>Negligible injury, effect on health (e.g. band aid)</v>
      </c>
      <c r="K18" s="157" t="str">
        <f>IF(linkedPage!K18=0,"",linkedPage!K18)</f>
        <v/>
      </c>
      <c r="L18" s="138" t="str">
        <f>IF(linkedPage!L18=0,"",linkedPage!L18)</f>
        <v>Negligible pollution or no effect on environment</v>
      </c>
      <c r="M18" s="139" t="str">
        <f>IF(linkedPage!M18=0,"",linkedPage!M18)</f>
        <v/>
      </c>
      <c r="N18" s="156" t="str">
        <f>IF(linkedPage!N18=0,"",linkedPage!N18)</f>
        <v>Negligible effect on performance</v>
      </c>
      <c r="O18" s="157" t="str">
        <f>IF(linkedPage!O18=0,"",linkedPage!O18)</f>
        <v/>
      </c>
      <c r="P18" s="138" t="str">
        <f>IF(linkedPage!P18=0,"",linkedPage!P18)</f>
        <v>Negligible</v>
      </c>
      <c r="Q18" s="139" t="str">
        <f>IF(linkedPage!Q18=0,"",linkedPage!Q18)</f>
        <v/>
      </c>
      <c r="R18" s="27"/>
      <c r="S18" s="25"/>
      <c r="U18" s="7"/>
    </row>
    <row r="19" spans="1:23" ht="42.75" customHeight="1" x14ac:dyDescent="0.25">
      <c r="A19" s="7"/>
      <c r="B19" s="10">
        <f>IF(linkedPage!B19=0,"",linkedPage!B19)</f>
        <v>2</v>
      </c>
      <c r="C19" s="144" t="str">
        <f>IF(linkedPage!C19=0,"",linkedPage!C19)</f>
        <v/>
      </c>
      <c r="D19" s="145" t="str">
        <f>IF(linkedPage!D19=0,"",linkedPage!D19)</f>
        <v/>
      </c>
      <c r="E19" s="31">
        <f>IF(linkedPage!E19=0,"",linkedPage!E19)</f>
        <v>3.1622776601683789E-5</v>
      </c>
      <c r="F19" s="39">
        <f>IF(linkedPage!F19=0,"",linkedPage!F19)</f>
        <v>31600</v>
      </c>
      <c r="G19" s="9"/>
      <c r="H19" s="10">
        <f>IF(linkedPage!H19=0,"",linkedPage!H19)</f>
        <v>2</v>
      </c>
      <c r="I19" s="23" t="str">
        <f>IF(linkedPage!I19=0,"",linkedPage!I19)</f>
        <v/>
      </c>
      <c r="J19" s="140" t="str">
        <f>IF(linkedPage!J19=0,"",linkedPage!J19)</f>
        <v/>
      </c>
      <c r="K19" s="135" t="str">
        <f>IF(linkedPage!K19=0,"",linkedPage!K19)</f>
        <v/>
      </c>
      <c r="L19" s="140" t="str">
        <f>IF(linkedPage!L19=0,"",linkedPage!L19)</f>
        <v/>
      </c>
      <c r="M19" s="141" t="str">
        <f>IF(linkedPage!M19=0,"",linkedPage!M19)</f>
        <v/>
      </c>
      <c r="N19" s="134" t="str">
        <f>IF(linkedPage!N19=0,"",linkedPage!N19)</f>
        <v/>
      </c>
      <c r="O19" s="135" t="str">
        <f>IF(linkedPage!O19=0,"",linkedPage!O19)</f>
        <v/>
      </c>
      <c r="P19" s="140" t="str">
        <f>IF(linkedPage!P19=0,"",linkedPage!P19)</f>
        <v>[1.5k USD]</v>
      </c>
      <c r="Q19" s="141" t="str">
        <f>IF(linkedPage!Q19=0,"",linkedPage!Q19)</f>
        <v/>
      </c>
      <c r="R19" s="27"/>
      <c r="S19" s="25"/>
    </row>
    <row r="20" spans="1:23" ht="42.75" customHeight="1" x14ac:dyDescent="0.25">
      <c r="A20" s="7"/>
      <c r="B20" s="10">
        <f>IF(linkedPage!B20=0,"",linkedPage!B20)</f>
        <v>3</v>
      </c>
      <c r="C20" s="144" t="str">
        <f>IF(linkedPage!C20=0,"",linkedPage!C20)</f>
        <v>Extremely unlikely to occur</v>
      </c>
      <c r="D20" s="145" t="str">
        <f>IF(linkedPage!D20=0,"",linkedPage!D20)</f>
        <v/>
      </c>
      <c r="E20" s="32">
        <f>IF(linkedPage!E20=0,"",linkedPage!E20)</f>
        <v>1E-4</v>
      </c>
      <c r="F20" s="39">
        <f>IF(linkedPage!F20=0,"",linkedPage!F20)</f>
        <v>10000</v>
      </c>
      <c r="G20" s="9"/>
      <c r="H20" s="10">
        <f>IF(linkedPage!H20=0,"",linkedPage!H20)</f>
        <v>3</v>
      </c>
      <c r="I20" s="23" t="str">
        <f>IF(linkedPage!I20=0,"",linkedPage!I20)</f>
        <v>Minor</v>
      </c>
      <c r="J20" s="140" t="str">
        <f>IF(linkedPage!J20=0,"",linkedPage!J20)</f>
        <v>Minor injuries, health effects (e.g. stitches)</v>
      </c>
      <c r="K20" s="135" t="str">
        <f>IF(linkedPage!K20=0,"",linkedPage!K20)</f>
        <v/>
      </c>
      <c r="L20" s="140" t="str">
        <f>IF(linkedPage!L20=0,"",linkedPage!L20)</f>
        <v>Minor pollution / slight effect on environment (min disruption on marine life)</v>
      </c>
      <c r="M20" s="141" t="str">
        <f>IF(linkedPage!M20=0,"",linkedPage!M20)</f>
        <v/>
      </c>
      <c r="N20" s="134" t="str">
        <f>IF(linkedPage!N20=0,"",linkedPage!N20)</f>
        <v>Minor system degradation</v>
      </c>
      <c r="O20" s="135" t="str">
        <f>IF(linkedPage!O20=0,"",linkedPage!O20)</f>
        <v/>
      </c>
      <c r="P20" s="140" t="str">
        <f>IF(linkedPage!P20=0,"",linkedPage!P20)</f>
        <v>Repairable in-situ, at next maintenance interval 
[5k USD]</v>
      </c>
      <c r="Q20" s="141" t="str">
        <f>IF(linkedPage!Q20=0,"",linkedPage!Q20)</f>
        <v/>
      </c>
      <c r="R20" s="27"/>
      <c r="S20" s="25"/>
      <c r="U20" s="7"/>
    </row>
    <row r="21" spans="1:23" ht="42.75" customHeight="1" x14ac:dyDescent="0.25">
      <c r="A21" s="7"/>
      <c r="B21" s="10">
        <f>IF(linkedPage!B21=0,"",linkedPage!B21)</f>
        <v>4</v>
      </c>
      <c r="C21" s="144" t="str">
        <f>IF(linkedPage!C21=0,"",linkedPage!C21)</f>
        <v/>
      </c>
      <c r="D21" s="145" t="str">
        <f>IF(linkedPage!D21=0,"",linkedPage!D21)</f>
        <v/>
      </c>
      <c r="E21" s="32">
        <f>IF(linkedPage!E21=0,"",linkedPage!E21)</f>
        <v>3.1622776601683789E-4</v>
      </c>
      <c r="F21" s="39">
        <f>IF(linkedPage!F21=0,"",linkedPage!F21)</f>
        <v>3160</v>
      </c>
      <c r="G21" s="9"/>
      <c r="H21" s="10">
        <f>IF(linkedPage!H21=0,"",linkedPage!H21)</f>
        <v>4</v>
      </c>
      <c r="I21" s="23" t="str">
        <f>IF(linkedPage!I21=0,"",linkedPage!I21)</f>
        <v/>
      </c>
      <c r="J21" s="140" t="str">
        <f>IF(linkedPage!J21=0,"",linkedPage!J21)</f>
        <v>Moderate injuries and/or health effects (e.g. broken bone)</v>
      </c>
      <c r="K21" s="135" t="str">
        <f>IF(linkedPage!K21=0,"",linkedPage!K21)</f>
        <v/>
      </c>
      <c r="L21" s="140" t="str">
        <f>IF(linkedPage!L21=0,"",linkedPage!L21)</f>
        <v/>
      </c>
      <c r="M21" s="141" t="str">
        <f>IF(linkedPage!M21=0,"",linkedPage!M21)</f>
        <v/>
      </c>
      <c r="N21" s="134" t="str">
        <f>IF(linkedPage!N21=0,"",linkedPage!N21)</f>
        <v>Moderate system degradation (e.g. loss of MoMo)</v>
      </c>
      <c r="O21" s="135" t="str">
        <f>IF(linkedPage!O21=0,"",linkedPage!O21)</f>
        <v/>
      </c>
      <c r="P21" s="140" t="str">
        <f>IF(linkedPage!P21=0,"",linkedPage!P21)</f>
        <v>Repairable in-situ, outside maintenance interval 
(1 day) [15k USD]</v>
      </c>
      <c r="Q21" s="141" t="str">
        <f>IF(linkedPage!Q21=0,"",linkedPage!Q21)</f>
        <v/>
      </c>
      <c r="R21" s="27"/>
      <c r="S21" s="25"/>
      <c r="U21" s="7"/>
    </row>
    <row r="22" spans="1:23" ht="42.75" customHeight="1" x14ac:dyDescent="0.25">
      <c r="A22" s="7"/>
      <c r="B22" s="10">
        <f>IF(linkedPage!B22=0,"",linkedPage!B22)</f>
        <v>5</v>
      </c>
      <c r="C22" s="144" t="str">
        <f>IF(linkedPage!C22=0,"",linkedPage!C22)</f>
        <v>Very unlikely to occur</v>
      </c>
      <c r="D22" s="145" t="str">
        <f>IF(linkedPage!D22=0,"",linkedPage!D22)</f>
        <v/>
      </c>
      <c r="E22" s="33">
        <f>IF(linkedPage!E22=0,"",linkedPage!E22)</f>
        <v>1E-3</v>
      </c>
      <c r="F22" s="39">
        <f>IF(linkedPage!F22=0,"",linkedPage!F22)</f>
        <v>1000</v>
      </c>
      <c r="G22" s="9"/>
      <c r="H22" s="10">
        <f>IF(linkedPage!H22=0,"",linkedPage!H22)</f>
        <v>5</v>
      </c>
      <c r="I22" s="23" t="str">
        <f>IF(linkedPage!I22=0,"",linkedPage!I22)</f>
        <v>Major</v>
      </c>
      <c r="J22" s="140" t="str">
        <f>IF(linkedPage!J22=0,"",linkedPage!J22)</f>
        <v/>
      </c>
      <c r="K22" s="135" t="str">
        <f>IF(linkedPage!K22=0,"",linkedPage!K22)</f>
        <v/>
      </c>
      <c r="L22" s="140" t="str">
        <f>IF(linkedPage!L22=0,"",linkedPage!L22)</f>
        <v>Limited levels of pollution, manageable / moderate effect on environment</v>
      </c>
      <c r="M22" s="141" t="str">
        <f>IF(linkedPage!M22=0,"",linkedPage!M22)</f>
        <v/>
      </c>
      <c r="N22" s="134" t="str">
        <f>IF(linkedPage!N22=0,"",linkedPage!N22)</f>
        <v/>
      </c>
      <c r="O22" s="135" t="str">
        <f>IF(linkedPage!O22=0,"",linkedPage!O22)</f>
        <v/>
      </c>
      <c r="P22" s="140" t="str">
        <f>IF(linkedPage!P22=0,"",linkedPage!P22)</f>
        <v>Repairable in-situ, outside maintenance interval 
(1 week) [50k USD]</v>
      </c>
      <c r="Q22" s="141" t="str">
        <f>IF(linkedPage!Q22=0,"",linkedPage!Q22)</f>
        <v/>
      </c>
      <c r="R22" s="27"/>
      <c r="S22" s="25"/>
      <c r="T22" s="7"/>
      <c r="U22" s="7"/>
    </row>
    <row r="23" spans="1:23" ht="42.75" customHeight="1" x14ac:dyDescent="0.25">
      <c r="A23" s="7"/>
      <c r="B23" s="10">
        <f>IF(linkedPage!B23=0,"",linkedPage!B23)</f>
        <v>6</v>
      </c>
      <c r="C23" s="144" t="str">
        <f>IF(linkedPage!C23=0,"",linkedPage!C23)</f>
        <v/>
      </c>
      <c r="D23" s="145" t="str">
        <f>IF(linkedPage!D23=0,"",linkedPage!D23)</f>
        <v/>
      </c>
      <c r="E23" s="33">
        <f>IF(linkedPage!E23=0,"",linkedPage!E23)</f>
        <v>3.162277660168379E-3</v>
      </c>
      <c r="F23" s="39">
        <f>IF(linkedPage!F23=0,"",linkedPage!F23)</f>
        <v>316</v>
      </c>
      <c r="G23" s="9"/>
      <c r="H23" s="10">
        <f>IF(linkedPage!H23=0,"",linkedPage!H23)</f>
        <v>6</v>
      </c>
      <c r="I23" s="23" t="str">
        <f>IF(linkedPage!I23=0,"",linkedPage!I23)</f>
        <v/>
      </c>
      <c r="J23" s="140" t="str">
        <f>IF(linkedPage!J23=0,"",linkedPage!J23)</f>
        <v/>
      </c>
      <c r="K23" s="135" t="str">
        <f>IF(linkedPage!K23=0,"",linkedPage!K23)</f>
        <v/>
      </c>
      <c r="L23" s="140" t="str">
        <f>IF(linkedPage!L23=0,"",linkedPage!L23)</f>
        <v/>
      </c>
      <c r="M23" s="141" t="str">
        <f>IF(linkedPage!M23=0,"",linkedPage!M23)</f>
        <v/>
      </c>
      <c r="N23" s="134" t="str">
        <f>IF(linkedPage!N23=0,"",linkedPage!N23)</f>
        <v>Major system degradation or loss of operation for 1 month</v>
      </c>
      <c r="O23" s="135" t="str">
        <f>IF(linkedPage!O23=0,"",linkedPage!O23)</f>
        <v/>
      </c>
      <c r="P23" s="140" t="str">
        <f>IF(linkedPage!P23=0,"",linkedPage!P23)</f>
        <v>[150k USD]</v>
      </c>
      <c r="Q23" s="141" t="str">
        <f>IF(linkedPage!Q23=0,"",linkedPage!Q23)</f>
        <v/>
      </c>
      <c r="R23" s="27"/>
      <c r="S23" s="27"/>
      <c r="T23" s="7"/>
      <c r="U23" s="7"/>
    </row>
    <row r="24" spans="1:23" ht="42.75" customHeight="1" x14ac:dyDescent="0.25">
      <c r="B24" s="10">
        <f>IF(linkedPage!B24=0,"",linkedPage!B24)</f>
        <v>7</v>
      </c>
      <c r="C24" s="144" t="str">
        <f>IF(linkedPage!C24=0,"",linkedPage!C24)</f>
        <v>Rarely expected to occur</v>
      </c>
      <c r="D24" s="145" t="str">
        <f>IF(linkedPage!D24=0,"",linkedPage!D24)</f>
        <v/>
      </c>
      <c r="E24" s="34">
        <f>IF(linkedPage!E24=0,"",linkedPage!E24)</f>
        <v>0.01</v>
      </c>
      <c r="F24" s="39">
        <f>IF(linkedPage!F24=0,"",linkedPage!F24)</f>
        <v>100</v>
      </c>
      <c r="G24" s="9"/>
      <c r="H24" s="10">
        <f>IF(linkedPage!H24=0,"",linkedPage!H24)</f>
        <v>7</v>
      </c>
      <c r="I24" s="23" t="str">
        <f>IF(linkedPage!I24=0,"",linkedPage!I24)</f>
        <v>Critical</v>
      </c>
      <c r="J24" s="140" t="str">
        <f>IF(linkedPage!J24=0,"",linkedPage!J24)</f>
        <v>Hospitalization (with full recovery)</v>
      </c>
      <c r="K24" s="135" t="str">
        <f>IF(linkedPage!K24=0,"",linkedPage!K24)</f>
        <v/>
      </c>
      <c r="L24" s="140" t="str">
        <f>IF(linkedPage!L24=0,"",linkedPage!L24)</f>
        <v>Moderate pollution (some clean-up costs) / Serious effect on environment</v>
      </c>
      <c r="M24" s="141" t="str">
        <f>IF(linkedPage!M24=0,"",linkedPage!M24)</f>
        <v/>
      </c>
      <c r="N24" s="134" t="str">
        <f>IF(linkedPage!N24=0,"",linkedPage!N24)</f>
        <v>Major system degradation or loss of operation for 3 months</v>
      </c>
      <c r="O24" s="135" t="str">
        <f>IF(linkedPage!O24=0,"",linkedPage!O24)</f>
        <v/>
      </c>
      <c r="P24" s="140" t="str">
        <f>IF(linkedPage!P24=0,"",linkedPage!P24)</f>
        <v>Dry dock required for repair
[500k USD]</v>
      </c>
      <c r="Q24" s="141" t="str">
        <f>IF(linkedPage!Q24=0,"",linkedPage!Q24)</f>
        <v/>
      </c>
      <c r="R24" s="27"/>
      <c r="S24" s="27"/>
      <c r="T24" s="7"/>
      <c r="U24" s="7"/>
    </row>
    <row r="25" spans="1:23" ht="42.75" customHeight="1" x14ac:dyDescent="0.25">
      <c r="B25" s="10">
        <f>IF(linkedPage!B25=0,"",linkedPage!B25)</f>
        <v>8</v>
      </c>
      <c r="C25" s="144" t="str">
        <f>IF(linkedPage!C25=0,"",linkedPage!C25)</f>
        <v/>
      </c>
      <c r="D25" s="145" t="str">
        <f>IF(linkedPage!D25=0,"",linkedPage!D25)</f>
        <v/>
      </c>
      <c r="E25" s="34">
        <f>IF(linkedPage!E25=0,"",linkedPage!E25)</f>
        <v>3.1622776601683791E-2</v>
      </c>
      <c r="F25" s="39">
        <f>IF(linkedPage!F25=0,"",linkedPage!F25)</f>
        <v>31.6</v>
      </c>
      <c r="G25" s="9"/>
      <c r="H25" s="10">
        <f>IF(linkedPage!H25=0,"",linkedPage!H25)</f>
        <v>8</v>
      </c>
      <c r="I25" s="23" t="str">
        <f>IF(linkedPage!I25=0,"",linkedPage!I25)</f>
        <v/>
      </c>
      <c r="J25" s="140" t="str">
        <f>IF(linkedPage!J25=0,"",linkedPage!J25)</f>
        <v/>
      </c>
      <c r="K25" s="135" t="str">
        <f>IF(linkedPage!K25=0,"",linkedPage!K25)</f>
        <v/>
      </c>
      <c r="L25" s="140" t="str">
        <f>IF(linkedPage!L25=0,"",linkedPage!L25)</f>
        <v/>
      </c>
      <c r="M25" s="141" t="str">
        <f>IF(linkedPage!M25=0,"",linkedPage!M25)</f>
        <v/>
      </c>
      <c r="N25" s="134" t="str">
        <f>IF(linkedPage!N25=0,"",linkedPage!N25)</f>
        <v>Critical system degradation or loss of operation for 6 months</v>
      </c>
      <c r="O25" s="135" t="str">
        <f>IF(linkedPage!O25=0,"",linkedPage!O25)</f>
        <v/>
      </c>
      <c r="P25" s="140" t="str">
        <f>IF(linkedPage!P25=0,"",linkedPage!P25)</f>
        <v>[1.5M USD]</v>
      </c>
      <c r="Q25" s="141" t="str">
        <f>IF(linkedPage!Q25=0,"",linkedPage!Q25)</f>
        <v/>
      </c>
      <c r="R25" s="27"/>
      <c r="S25" s="27"/>
      <c r="T25" s="7"/>
      <c r="U25" s="7"/>
    </row>
    <row r="26" spans="1:23" ht="42.75" customHeight="1" x14ac:dyDescent="0.25">
      <c r="B26" s="10">
        <f>IF(linkedPage!B26=0,"",linkedPage!B26)</f>
        <v>9</v>
      </c>
      <c r="C26" s="144" t="str">
        <f>IF(linkedPage!C26=0,"",linkedPage!C26)</f>
        <v>One or more during 20 yr lifetime</v>
      </c>
      <c r="D26" s="145" t="str">
        <f>IF(linkedPage!D26=0,"",linkedPage!D26)</f>
        <v/>
      </c>
      <c r="E26" s="35">
        <f>IF(linkedPage!E26=0,"",linkedPage!E26)</f>
        <v>0.1</v>
      </c>
      <c r="F26" s="39">
        <f>IF(linkedPage!F26=0,"",linkedPage!F26)</f>
        <v>10</v>
      </c>
      <c r="G26" s="9"/>
      <c r="H26" s="10">
        <f>IF(linkedPage!H26=0,"",linkedPage!H26)</f>
        <v>9</v>
      </c>
      <c r="I26" s="23" t="str">
        <f>IF(linkedPage!I26=0,"",linkedPage!I26)</f>
        <v>Catastrophic</v>
      </c>
      <c r="J26" s="140" t="str">
        <f>IF(linkedPage!J26=0,"",linkedPage!J26)</f>
        <v>Hospitalization (with lasting disabilities)</v>
      </c>
      <c r="K26" s="135" t="str">
        <f>IF(linkedPage!K26=0,"",linkedPage!K26)</f>
        <v/>
      </c>
      <c r="L26" s="140" t="str">
        <f>IF(linkedPage!L26=0,"",linkedPage!L26)</f>
        <v>Major pollution (significant clean-up costs) / disastrous effects on the environment</v>
      </c>
      <c r="M26" s="141" t="str">
        <f>IF(linkedPage!M26=0,"",linkedPage!M26)</f>
        <v/>
      </c>
      <c r="N26" s="134" t="str">
        <f>IF(linkedPage!N26=0,"",linkedPage!N26)</f>
        <v>Failure to generate power for remainder of project, complete failure</v>
      </c>
      <c r="O26" s="135" t="str">
        <f>IF(linkedPage!O26=0,"",linkedPage!O26)</f>
        <v/>
      </c>
      <c r="P26" s="140" t="str">
        <f>IF(linkedPage!P26=0,"",linkedPage!P26)</f>
        <v>Loss of device
[5M USD]</v>
      </c>
      <c r="Q26" s="141" t="str">
        <f>IF(linkedPage!Q26=0,"",linkedPage!Q26)</f>
        <v/>
      </c>
      <c r="R26" s="28"/>
      <c r="S26" s="28"/>
      <c r="T26" s="7"/>
      <c r="U26" s="7"/>
    </row>
    <row r="27" spans="1:23" ht="42.75" customHeight="1" thickBot="1" x14ac:dyDescent="0.3">
      <c r="A27" s="7"/>
      <c r="B27" s="11">
        <f>IF(linkedPage!B27=0,"",linkedPage!B27)</f>
        <v>10</v>
      </c>
      <c r="C27" s="146" t="str">
        <f>IF(linkedPage!C27=0,"",linkedPage!C27)</f>
        <v/>
      </c>
      <c r="D27" s="147" t="str">
        <f>IF(linkedPage!D27=0,"",linkedPage!D27)</f>
        <v/>
      </c>
      <c r="E27" s="36">
        <f>IF(linkedPage!E27=0,"",linkedPage!E27)</f>
        <v>0.31622776601683794</v>
      </c>
      <c r="F27" s="40">
        <f>IF(linkedPage!F27=0,"",linkedPage!F27)</f>
        <v>3.16</v>
      </c>
      <c r="G27" s="9"/>
      <c r="H27" s="11">
        <f>IF(linkedPage!H27=0,"",linkedPage!H27)</f>
        <v>10</v>
      </c>
      <c r="I27" s="37" t="str">
        <f>IF(linkedPage!I27=0,"",linkedPage!I27)</f>
        <v/>
      </c>
      <c r="J27" s="148" t="str">
        <f>IF(linkedPage!J27=0,"",linkedPage!J27)</f>
        <v>A fatality</v>
      </c>
      <c r="K27" s="149" t="str">
        <f>IF(linkedPage!K27=0,"",linkedPage!K27)</f>
        <v/>
      </c>
      <c r="L27" s="142" t="str">
        <f>IF(linkedPage!L27=0,"",linkedPage!L27)</f>
        <v/>
      </c>
      <c r="M27" s="143" t="str">
        <f>IF(linkedPage!M27=0,"",linkedPage!M27)</f>
        <v/>
      </c>
      <c r="N27" s="136" t="str">
        <f>IF(linkedPage!N27=0,"",linkedPage!N27)</f>
        <v/>
      </c>
      <c r="O27" s="137" t="str">
        <f>IF(linkedPage!O27=0,"",linkedPage!O27)</f>
        <v/>
      </c>
      <c r="P27" s="142" t="str">
        <f>IF(linkedPage!P27=0,"",linkedPage!P27)</f>
        <v/>
      </c>
      <c r="Q27" s="143" t="str">
        <f>IF(linkedPage!Q27=0,"",linkedPage!Q27)</f>
        <v/>
      </c>
      <c r="R27" s="28"/>
      <c r="S27" s="28"/>
    </row>
    <row r="28" spans="1:23" x14ac:dyDescent="0.25">
      <c r="R28" s="25"/>
      <c r="S28" s="25"/>
      <c r="T28" s="7"/>
      <c r="U28" s="7"/>
      <c r="V28" s="7"/>
      <c r="W28" s="7"/>
    </row>
    <row r="29" spans="1:23" ht="15" customHeight="1" x14ac:dyDescent="0.25">
      <c r="S29" s="7"/>
      <c r="T29" s="7"/>
      <c r="U29" s="7"/>
      <c r="V29" s="7"/>
      <c r="W29" s="7"/>
    </row>
    <row r="43" spans="2:26" x14ac:dyDescent="0.25">
      <c r="O43"/>
      <c r="X43" s="7"/>
      <c r="Z43" s="7"/>
    </row>
    <row r="44" spans="2:26" ht="15" customHeight="1" x14ac:dyDescent="0.25"/>
    <row r="45" spans="2:26" ht="15.75" x14ac:dyDescent="0.25">
      <c r="C45" s="21"/>
      <c r="D45" s="21"/>
      <c r="E45" s="21"/>
      <c r="F45" s="21"/>
      <c r="G45" s="21"/>
      <c r="H45" s="21"/>
      <c r="I45" s="21"/>
      <c r="J45" s="21"/>
      <c r="K45" s="21"/>
      <c r="L45" s="21"/>
    </row>
    <row r="46" spans="2:26" ht="16.5" x14ac:dyDescent="0.35">
      <c r="C46" s="20"/>
      <c r="D46" s="20"/>
      <c r="E46" s="20"/>
      <c r="F46" s="20"/>
      <c r="G46" s="20"/>
      <c r="H46" s="20"/>
      <c r="I46" s="20"/>
      <c r="J46" s="20"/>
      <c r="K46" s="20"/>
      <c r="L46" s="20"/>
      <c r="M46" s="8"/>
      <c r="N46" s="8"/>
    </row>
    <row r="47" spans="2:26" ht="16.5" x14ac:dyDescent="0.35">
      <c r="B47" s="14"/>
      <c r="C47" s="14"/>
      <c r="D47" s="14"/>
      <c r="E47" s="14"/>
      <c r="F47" s="14"/>
      <c r="G47" s="14"/>
      <c r="H47" s="14"/>
      <c r="I47" s="14"/>
      <c r="J47" s="14"/>
      <c r="K47" s="14"/>
      <c r="L47" s="14"/>
      <c r="M47" s="8"/>
      <c r="N47" s="8"/>
    </row>
    <row r="48" spans="2:26" ht="16.5" x14ac:dyDescent="0.35">
      <c r="B48" s="14"/>
      <c r="E48" s="7"/>
      <c r="F48" s="7"/>
      <c r="G48" s="7"/>
      <c r="H48" s="7"/>
      <c r="I48" s="7"/>
      <c r="J48" s="7"/>
      <c r="L48" s="7"/>
      <c r="M48" s="8"/>
      <c r="N48" s="8"/>
    </row>
    <row r="49" spans="2:14" ht="16.5" x14ac:dyDescent="0.35">
      <c r="B49" s="14"/>
      <c r="C49" s="7"/>
      <c r="E49" s="7"/>
      <c r="F49" s="7"/>
      <c r="G49" s="7"/>
      <c r="H49" s="7"/>
      <c r="I49" s="7"/>
      <c r="J49" s="7"/>
      <c r="L49" s="7"/>
      <c r="M49" s="18"/>
      <c r="N49" s="19"/>
    </row>
    <row r="50" spans="2:14" ht="16.5" x14ac:dyDescent="0.35">
      <c r="B50" s="14"/>
      <c r="C50" s="7"/>
      <c r="E50" s="7"/>
      <c r="F50" s="7"/>
      <c r="G50" s="7"/>
      <c r="H50" s="7"/>
      <c r="I50" s="7"/>
      <c r="J50" s="7"/>
      <c r="L50" s="7"/>
      <c r="M50" s="18"/>
      <c r="N50" s="19"/>
    </row>
    <row r="51" spans="2:14" x14ac:dyDescent="0.25">
      <c r="B51" s="14"/>
      <c r="C51" s="7"/>
      <c r="E51" s="7"/>
      <c r="F51" s="7"/>
      <c r="G51" s="7"/>
      <c r="H51" s="7"/>
      <c r="I51" s="7"/>
      <c r="J51" s="7"/>
      <c r="L51" s="7"/>
    </row>
    <row r="52" spans="2:14" x14ac:dyDescent="0.25">
      <c r="B52" s="14"/>
      <c r="C52" s="7"/>
      <c r="E52" s="7"/>
      <c r="F52" s="7"/>
      <c r="G52" s="7"/>
      <c r="H52" s="7"/>
      <c r="I52" s="7"/>
      <c r="J52" s="7"/>
      <c r="L52" s="7"/>
    </row>
    <row r="53" spans="2:14" x14ac:dyDescent="0.25">
      <c r="B53" s="14"/>
      <c r="C53" s="7"/>
      <c r="E53" s="7"/>
      <c r="F53" s="7"/>
      <c r="G53" s="7"/>
      <c r="H53" s="7"/>
      <c r="I53" s="7"/>
      <c r="J53" s="7"/>
      <c r="L53" s="7"/>
    </row>
    <row r="54" spans="2:14" x14ac:dyDescent="0.25">
      <c r="B54" s="14"/>
      <c r="C54" s="7"/>
      <c r="E54" s="7"/>
      <c r="F54" s="7"/>
      <c r="G54" s="7"/>
      <c r="H54" s="7"/>
      <c r="I54" s="7"/>
      <c r="J54" s="7"/>
      <c r="L54" s="7"/>
    </row>
    <row r="55" spans="2:14" x14ac:dyDescent="0.25">
      <c r="B55" s="14"/>
      <c r="C55" s="7"/>
      <c r="E55" s="7"/>
      <c r="F55" s="7"/>
      <c r="G55" s="7"/>
      <c r="H55" s="7"/>
      <c r="I55" s="7"/>
      <c r="J55" s="7"/>
      <c r="L55" s="7"/>
    </row>
    <row r="56" spans="2:14" x14ac:dyDescent="0.25">
      <c r="B56" s="14"/>
      <c r="C56" s="7"/>
      <c r="E56" s="7"/>
      <c r="F56" s="7"/>
      <c r="G56" s="7"/>
      <c r="H56" s="7"/>
      <c r="I56" s="7"/>
      <c r="J56" s="7"/>
      <c r="L56" s="7"/>
    </row>
    <row r="57" spans="2:14" x14ac:dyDescent="0.25">
      <c r="B57" s="14"/>
      <c r="C57" s="7"/>
      <c r="E57" s="7"/>
      <c r="F57" s="7"/>
      <c r="G57" s="7"/>
      <c r="H57" s="7"/>
      <c r="I57" s="7"/>
      <c r="J57" s="7"/>
      <c r="L57" s="7"/>
    </row>
  </sheetData>
  <mergeCells count="57">
    <mergeCell ref="C3:L3"/>
    <mergeCell ref="C2:L2"/>
    <mergeCell ref="L23:M23"/>
    <mergeCell ref="L24:M24"/>
    <mergeCell ref="L25:M25"/>
    <mergeCell ref="C18:D18"/>
    <mergeCell ref="C19:D19"/>
    <mergeCell ref="C20:D20"/>
    <mergeCell ref="J18:K18"/>
    <mergeCell ref="J19:K19"/>
    <mergeCell ref="L26:M26"/>
    <mergeCell ref="L27:M27"/>
    <mergeCell ref="J26:K26"/>
    <mergeCell ref="J17:K17"/>
    <mergeCell ref="L17:M17"/>
    <mergeCell ref="N17:O17"/>
    <mergeCell ref="C17:D17"/>
    <mergeCell ref="P17:Q17"/>
    <mergeCell ref="C24:D24"/>
    <mergeCell ref="C25:D25"/>
    <mergeCell ref="L18:M18"/>
    <mergeCell ref="L19:M19"/>
    <mergeCell ref="L20:M20"/>
    <mergeCell ref="L21:M21"/>
    <mergeCell ref="L22:M22"/>
    <mergeCell ref="N18:O18"/>
    <mergeCell ref="N19:O19"/>
    <mergeCell ref="N20:O20"/>
    <mergeCell ref="N21:O21"/>
    <mergeCell ref="N22:O22"/>
    <mergeCell ref="N23:O23"/>
    <mergeCell ref="C26:D26"/>
    <mergeCell ref="C27:D27"/>
    <mergeCell ref="J20:K20"/>
    <mergeCell ref="J21:K21"/>
    <mergeCell ref="J22:K22"/>
    <mergeCell ref="J23:K23"/>
    <mergeCell ref="J24:K24"/>
    <mergeCell ref="J25:K25"/>
    <mergeCell ref="J27:K27"/>
    <mergeCell ref="C21:D21"/>
    <mergeCell ref="C22:D22"/>
    <mergeCell ref="C23:D23"/>
    <mergeCell ref="N24:O24"/>
    <mergeCell ref="N25:O25"/>
    <mergeCell ref="N26:O26"/>
    <mergeCell ref="N27:O27"/>
    <mergeCell ref="P18:Q18"/>
    <mergeCell ref="P19:Q19"/>
    <mergeCell ref="P20:Q20"/>
    <mergeCell ref="P21:Q21"/>
    <mergeCell ref="P22:Q22"/>
    <mergeCell ref="P23:Q23"/>
    <mergeCell ref="P24:Q24"/>
    <mergeCell ref="P25:Q25"/>
    <mergeCell ref="P26:Q26"/>
    <mergeCell ref="P27:Q27"/>
  </mergeCells>
  <conditionalFormatting sqref="S28:W29">
    <cfRule type="colorScale" priority="11">
      <colorScale>
        <cfvo type="min"/>
        <cfvo type="percentile" val="50"/>
        <cfvo type="max"/>
        <color rgb="FF63BE7B"/>
        <color rgb="FFFFEB84"/>
        <color rgb="FFF8696B"/>
      </colorScale>
    </cfRule>
  </conditionalFormatting>
  <conditionalFormatting sqref="C48:L57 C5:L14">
    <cfRule type="cellIs" dxfId="2" priority="24" operator="equal">
      <formula>$N$13</formula>
    </cfRule>
    <cfRule type="cellIs" dxfId="1" priority="25" operator="equal">
      <formula>$N$12</formula>
    </cfRule>
    <cfRule type="cellIs" dxfId="0" priority="26" operator="equal">
      <formula>$N$11</formula>
    </cfRule>
  </conditionalFormatting>
  <pageMargins left="0.7" right="0.7" top="0.75" bottom="0.75" header="0.3" footer="0.3"/>
  <pageSetup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7"/>
  <sheetViews>
    <sheetView workbookViewId="0">
      <selection activeCell="T2" sqref="T2:T4"/>
    </sheetView>
  </sheetViews>
  <sheetFormatPr defaultRowHeight="15" x14ac:dyDescent="0.25"/>
  <sheetData>
    <row r="1" spans="1:20" x14ac:dyDescent="0.25">
      <c r="A1">
        <f t="array" ref="A1:Q27">[1]!'!set up!R1C1:R27C17'</f>
        <v>0</v>
      </c>
      <c r="B1">
        <v>0</v>
      </c>
      <c r="C1">
        <v>0</v>
      </c>
      <c r="D1">
        <v>0</v>
      </c>
      <c r="E1">
        <v>0</v>
      </c>
      <c r="F1">
        <v>0</v>
      </c>
      <c r="G1">
        <v>0</v>
      </c>
      <c r="H1">
        <v>0</v>
      </c>
      <c r="I1">
        <v>0</v>
      </c>
      <c r="J1">
        <v>0</v>
      </c>
      <c r="K1">
        <v>0</v>
      </c>
      <c r="L1">
        <v>0</v>
      </c>
      <c r="M1">
        <v>0</v>
      </c>
      <c r="N1">
        <v>0</v>
      </c>
      <c r="O1">
        <v>0</v>
      </c>
      <c r="P1">
        <v>0</v>
      </c>
      <c r="Q1">
        <v>0</v>
      </c>
    </row>
    <row r="2" spans="1:20" x14ac:dyDescent="0.25">
      <c r="A2">
        <v>0</v>
      </c>
      <c r="B2">
        <v>0</v>
      </c>
      <c r="C2" t="str">
        <v>Risk = Occ + Sev</v>
      </c>
      <c r="D2">
        <v>0</v>
      </c>
      <c r="E2">
        <v>0</v>
      </c>
      <c r="F2">
        <v>0</v>
      </c>
      <c r="G2">
        <v>0</v>
      </c>
      <c r="H2">
        <v>0</v>
      </c>
      <c r="I2">
        <v>0</v>
      </c>
      <c r="J2">
        <v>0</v>
      </c>
      <c r="K2">
        <v>0</v>
      </c>
      <c r="L2">
        <v>0</v>
      </c>
      <c r="M2">
        <v>0</v>
      </c>
      <c r="N2">
        <v>0</v>
      </c>
      <c r="O2">
        <v>0</v>
      </c>
      <c r="P2">
        <v>0</v>
      </c>
      <c r="Q2">
        <v>0</v>
      </c>
      <c r="T2" s="7" t="s">
        <v>41</v>
      </c>
    </row>
    <row r="3" spans="1:20" x14ac:dyDescent="0.25">
      <c r="A3">
        <v>0</v>
      </c>
      <c r="B3">
        <v>0</v>
      </c>
      <c r="C3" t="str">
        <v>Severity</v>
      </c>
      <c r="D3">
        <v>0</v>
      </c>
      <c r="E3">
        <v>0</v>
      </c>
      <c r="F3">
        <v>0</v>
      </c>
      <c r="G3">
        <v>0</v>
      </c>
      <c r="H3">
        <v>0</v>
      </c>
      <c r="I3">
        <v>0</v>
      </c>
      <c r="J3">
        <v>0</v>
      </c>
      <c r="K3">
        <v>0</v>
      </c>
      <c r="L3">
        <v>0</v>
      </c>
      <c r="M3">
        <v>0</v>
      </c>
      <c r="N3">
        <v>0</v>
      </c>
      <c r="O3">
        <v>0</v>
      </c>
      <c r="P3">
        <v>0</v>
      </c>
      <c r="Q3">
        <v>0</v>
      </c>
      <c r="T3" s="49" t="s">
        <v>63</v>
      </c>
    </row>
    <row r="4" spans="1:20" x14ac:dyDescent="0.25">
      <c r="A4">
        <v>0</v>
      </c>
      <c r="B4" t="str">
        <v>Occ</v>
      </c>
      <c r="C4">
        <v>1</v>
      </c>
      <c r="D4">
        <v>2</v>
      </c>
      <c r="E4">
        <v>3</v>
      </c>
      <c r="F4">
        <v>4</v>
      </c>
      <c r="G4">
        <v>5</v>
      </c>
      <c r="H4">
        <v>6</v>
      </c>
      <c r="I4">
        <v>7</v>
      </c>
      <c r="J4">
        <v>8</v>
      </c>
      <c r="K4">
        <v>9</v>
      </c>
      <c r="L4">
        <v>10</v>
      </c>
      <c r="M4">
        <v>0</v>
      </c>
      <c r="N4">
        <v>0</v>
      </c>
      <c r="O4">
        <v>0</v>
      </c>
      <c r="P4">
        <v>0</v>
      </c>
      <c r="Q4">
        <v>0</v>
      </c>
      <c r="T4" s="49" t="s">
        <v>64</v>
      </c>
    </row>
    <row r="5" spans="1:20" x14ac:dyDescent="0.25">
      <c r="A5">
        <v>0</v>
      </c>
      <c r="B5">
        <v>10</v>
      </c>
      <c r="C5" t="str">
        <v>Low</v>
      </c>
      <c r="D5" t="str">
        <v>Med</v>
      </c>
      <c r="E5" t="str">
        <v>Med</v>
      </c>
      <c r="F5" t="str">
        <v>Med</v>
      </c>
      <c r="G5" t="str">
        <v>Med</v>
      </c>
      <c r="H5" t="str">
        <v>High</v>
      </c>
      <c r="I5" t="str">
        <v>High</v>
      </c>
      <c r="J5" t="str">
        <v>High</v>
      </c>
      <c r="K5" t="str">
        <v>High</v>
      </c>
      <c r="L5" t="str">
        <v>High</v>
      </c>
      <c r="M5">
        <v>0</v>
      </c>
      <c r="N5">
        <v>0</v>
      </c>
      <c r="O5">
        <v>0</v>
      </c>
      <c r="P5">
        <v>0</v>
      </c>
      <c r="Q5">
        <v>0</v>
      </c>
    </row>
    <row r="6" spans="1:20" x14ac:dyDescent="0.25">
      <c r="A6">
        <v>0</v>
      </c>
      <c r="B6">
        <v>9</v>
      </c>
      <c r="C6" t="str">
        <v>Low</v>
      </c>
      <c r="D6" t="str">
        <v>Low</v>
      </c>
      <c r="E6" t="str">
        <v>Med</v>
      </c>
      <c r="F6" t="str">
        <v>Med</v>
      </c>
      <c r="G6" t="str">
        <v>Med</v>
      </c>
      <c r="H6" t="str">
        <v>Med</v>
      </c>
      <c r="I6" t="str">
        <v>High</v>
      </c>
      <c r="J6" t="str">
        <v>High</v>
      </c>
      <c r="K6" t="str">
        <v>High</v>
      </c>
      <c r="L6" t="str">
        <v>High</v>
      </c>
      <c r="M6" t="str">
        <v>low &lt;=</v>
      </c>
      <c r="N6">
        <v>11</v>
      </c>
      <c r="O6">
        <v>0</v>
      </c>
      <c r="P6">
        <v>0</v>
      </c>
      <c r="Q6">
        <v>0</v>
      </c>
    </row>
    <row r="7" spans="1:20" x14ac:dyDescent="0.25">
      <c r="A7">
        <v>0</v>
      </c>
      <c r="B7">
        <v>8</v>
      </c>
      <c r="C7" t="str">
        <v>Low</v>
      </c>
      <c r="D7" t="str">
        <v>Low</v>
      </c>
      <c r="E7" t="str">
        <v>Low</v>
      </c>
      <c r="F7" t="str">
        <v>Med</v>
      </c>
      <c r="G7" t="str">
        <v>Med</v>
      </c>
      <c r="H7" t="str">
        <v>Med</v>
      </c>
      <c r="I7" t="str">
        <v>Med</v>
      </c>
      <c r="J7" t="str">
        <v>High</v>
      </c>
      <c r="K7" t="str">
        <v>High</v>
      </c>
      <c r="L7" t="str">
        <v>High</v>
      </c>
      <c r="M7" t="str">
        <v>high&gt;</v>
      </c>
      <c r="N7">
        <v>15</v>
      </c>
      <c r="O7">
        <v>0</v>
      </c>
      <c r="P7">
        <v>0</v>
      </c>
      <c r="Q7">
        <v>0</v>
      </c>
    </row>
    <row r="8" spans="1:20" x14ac:dyDescent="0.25">
      <c r="A8">
        <v>0</v>
      </c>
      <c r="B8">
        <v>7</v>
      </c>
      <c r="C8" t="str">
        <v>Low</v>
      </c>
      <c r="D8" t="str">
        <v>Low</v>
      </c>
      <c r="E8" t="str">
        <v>Low</v>
      </c>
      <c r="F8" t="str">
        <v>Low</v>
      </c>
      <c r="G8" t="str">
        <v>Med</v>
      </c>
      <c r="H8" t="str">
        <v>Med</v>
      </c>
      <c r="I8" t="str">
        <v>Med</v>
      </c>
      <c r="J8" t="str">
        <v>Med</v>
      </c>
      <c r="K8" t="str">
        <v>High</v>
      </c>
      <c r="L8" t="str">
        <v>High</v>
      </c>
      <c r="M8">
        <v>0</v>
      </c>
      <c r="N8">
        <v>0</v>
      </c>
      <c r="O8">
        <v>0</v>
      </c>
      <c r="P8">
        <v>0</v>
      </c>
      <c r="Q8">
        <v>0</v>
      </c>
    </row>
    <row r="9" spans="1:20" x14ac:dyDescent="0.25">
      <c r="A9">
        <v>0</v>
      </c>
      <c r="B9">
        <v>6</v>
      </c>
      <c r="C9" t="str">
        <v>Low</v>
      </c>
      <c r="D9" t="str">
        <v>Low</v>
      </c>
      <c r="E9" t="str">
        <v>Low</v>
      </c>
      <c r="F9" t="str">
        <v>Low</v>
      </c>
      <c r="G9" t="str">
        <v>Low</v>
      </c>
      <c r="H9" t="str">
        <v>Med</v>
      </c>
      <c r="I9" t="str">
        <v>Med</v>
      </c>
      <c r="J9" t="str">
        <v>Med</v>
      </c>
      <c r="K9" t="str">
        <v>Med</v>
      </c>
      <c r="L9" t="str">
        <v>High</v>
      </c>
      <c r="M9">
        <v>0</v>
      </c>
      <c r="N9">
        <v>0</v>
      </c>
      <c r="O9">
        <v>0</v>
      </c>
      <c r="P9">
        <v>0</v>
      </c>
      <c r="Q9">
        <v>0</v>
      </c>
    </row>
    <row r="10" spans="1:20" x14ac:dyDescent="0.25">
      <c r="A10">
        <v>0</v>
      </c>
      <c r="B10">
        <v>5</v>
      </c>
      <c r="C10" t="str">
        <v>Low</v>
      </c>
      <c r="D10" t="str">
        <v>Low</v>
      </c>
      <c r="E10" t="str">
        <v>Low</v>
      </c>
      <c r="F10" t="str">
        <v>Low</v>
      </c>
      <c r="G10" t="str">
        <v>Low</v>
      </c>
      <c r="H10" t="str">
        <v>Low</v>
      </c>
      <c r="I10" t="str">
        <v>Med</v>
      </c>
      <c r="J10" t="str">
        <v>Med</v>
      </c>
      <c r="K10" t="str">
        <v>Med</v>
      </c>
      <c r="L10" t="str">
        <v>Med</v>
      </c>
      <c r="M10">
        <v>0</v>
      </c>
      <c r="N10">
        <v>0</v>
      </c>
      <c r="O10">
        <v>0</v>
      </c>
      <c r="P10">
        <v>0</v>
      </c>
      <c r="Q10">
        <v>0</v>
      </c>
    </row>
    <row r="11" spans="1:20" x14ac:dyDescent="0.25">
      <c r="A11">
        <v>0</v>
      </c>
      <c r="B11">
        <v>4</v>
      </c>
      <c r="C11" t="str">
        <v>Low</v>
      </c>
      <c r="D11" t="str">
        <v>Low</v>
      </c>
      <c r="E11" t="str">
        <v>Low</v>
      </c>
      <c r="F11" t="str">
        <v>Low</v>
      </c>
      <c r="G11" t="str">
        <v>Low</v>
      </c>
      <c r="H11" t="str">
        <v>Low</v>
      </c>
      <c r="I11" t="str">
        <v>Low</v>
      </c>
      <c r="J11" t="str">
        <v>Med</v>
      </c>
      <c r="K11" t="str">
        <v>Med</v>
      </c>
      <c r="L11" t="str">
        <v>Med</v>
      </c>
      <c r="M11">
        <v>0</v>
      </c>
      <c r="N11" t="str">
        <v>Low</v>
      </c>
      <c r="O11" t="str">
        <v>Tolerable, no engineer action required</v>
      </c>
      <c r="P11">
        <v>0</v>
      </c>
      <c r="Q11">
        <v>0</v>
      </c>
    </row>
    <row r="12" spans="1:20" x14ac:dyDescent="0.25">
      <c r="A12">
        <v>0</v>
      </c>
      <c r="B12">
        <v>3</v>
      </c>
      <c r="C12" t="str">
        <v>Low</v>
      </c>
      <c r="D12" t="str">
        <v>Low</v>
      </c>
      <c r="E12" t="str">
        <v>Low</v>
      </c>
      <c r="F12" t="str">
        <v>Low</v>
      </c>
      <c r="G12" t="str">
        <v>Low</v>
      </c>
      <c r="H12" t="str">
        <v>Low</v>
      </c>
      <c r="I12" t="str">
        <v>Low</v>
      </c>
      <c r="J12" t="str">
        <v>Low</v>
      </c>
      <c r="K12" t="str">
        <v>Med</v>
      </c>
      <c r="L12" t="str">
        <v>Med</v>
      </c>
      <c r="M12">
        <v>0</v>
      </c>
      <c r="N12" t="str">
        <v>Med</v>
      </c>
      <c r="O12" t="str">
        <v>Undesirable, consider engineer actions to mitigate risk</v>
      </c>
      <c r="P12">
        <v>0</v>
      </c>
      <c r="Q12">
        <v>0</v>
      </c>
    </row>
    <row r="13" spans="1:20" x14ac:dyDescent="0.25">
      <c r="A13">
        <v>0</v>
      </c>
      <c r="B13">
        <v>2</v>
      </c>
      <c r="C13" t="str">
        <v>Low</v>
      </c>
      <c r="D13" t="str">
        <v>Low</v>
      </c>
      <c r="E13" t="str">
        <v>Low</v>
      </c>
      <c r="F13" t="str">
        <v>Low</v>
      </c>
      <c r="G13" t="str">
        <v>Low</v>
      </c>
      <c r="H13" t="str">
        <v>Low</v>
      </c>
      <c r="I13" t="str">
        <v>Low</v>
      </c>
      <c r="J13" t="str">
        <v>Low</v>
      </c>
      <c r="K13" t="str">
        <v>Low</v>
      </c>
      <c r="L13" t="str">
        <v>Med</v>
      </c>
      <c r="M13">
        <v>0</v>
      </c>
      <c r="N13" t="str">
        <v>High</v>
      </c>
      <c r="O13" t="str">
        <v>Intolerable, engineering action required</v>
      </c>
      <c r="P13">
        <v>0</v>
      </c>
      <c r="Q13">
        <v>0</v>
      </c>
    </row>
    <row r="14" spans="1:20" x14ac:dyDescent="0.25">
      <c r="A14">
        <v>0</v>
      </c>
      <c r="B14">
        <v>1</v>
      </c>
      <c r="C14" t="str">
        <v>Low</v>
      </c>
      <c r="D14" t="str">
        <v>Low</v>
      </c>
      <c r="E14" t="str">
        <v>Low</v>
      </c>
      <c r="F14" t="str">
        <v>Low</v>
      </c>
      <c r="G14" t="str">
        <v>Low</v>
      </c>
      <c r="H14" t="str">
        <v>Low</v>
      </c>
      <c r="I14" t="str">
        <v>Low</v>
      </c>
      <c r="J14" t="str">
        <v>Low</v>
      </c>
      <c r="K14" t="str">
        <v>Low</v>
      </c>
      <c r="L14" t="str">
        <v>Low</v>
      </c>
      <c r="M14">
        <v>0</v>
      </c>
      <c r="N14">
        <v>0</v>
      </c>
      <c r="O14">
        <v>0</v>
      </c>
      <c r="P14">
        <v>0</v>
      </c>
      <c r="Q14">
        <v>0</v>
      </c>
    </row>
    <row r="15" spans="1:20" x14ac:dyDescent="0.25">
      <c r="A15">
        <v>0</v>
      </c>
      <c r="B15">
        <v>0</v>
      </c>
      <c r="C15">
        <v>0</v>
      </c>
      <c r="D15">
        <v>0</v>
      </c>
      <c r="E15">
        <v>0</v>
      </c>
      <c r="F15">
        <v>0</v>
      </c>
      <c r="G15">
        <v>0</v>
      </c>
      <c r="H15">
        <v>0</v>
      </c>
      <c r="I15">
        <v>0</v>
      </c>
      <c r="J15">
        <v>0</v>
      </c>
      <c r="K15">
        <v>0</v>
      </c>
      <c r="L15">
        <v>0</v>
      </c>
      <c r="M15">
        <v>0</v>
      </c>
      <c r="N15">
        <v>0</v>
      </c>
      <c r="O15">
        <v>0</v>
      </c>
      <c r="P15">
        <v>0</v>
      </c>
      <c r="Q15">
        <v>0</v>
      </c>
    </row>
    <row r="16" spans="1:20" x14ac:dyDescent="0.25">
      <c r="A16">
        <v>0</v>
      </c>
      <c r="B16" t="str">
        <v>Occurrence</v>
      </c>
      <c r="C16">
        <v>0</v>
      </c>
      <c r="D16">
        <v>0</v>
      </c>
      <c r="E16">
        <v>0</v>
      </c>
      <c r="F16">
        <v>0</v>
      </c>
      <c r="G16">
        <v>0</v>
      </c>
      <c r="H16" t="str">
        <v>Severity</v>
      </c>
      <c r="I16">
        <v>0</v>
      </c>
      <c r="J16">
        <v>0</v>
      </c>
      <c r="K16">
        <v>0</v>
      </c>
      <c r="L16">
        <v>0</v>
      </c>
      <c r="M16">
        <v>0</v>
      </c>
      <c r="N16">
        <v>0</v>
      </c>
      <c r="O16">
        <v>0</v>
      </c>
      <c r="P16">
        <v>0</v>
      </c>
      <c r="Q16">
        <v>0</v>
      </c>
    </row>
    <row r="17" spans="1:17" x14ac:dyDescent="0.25">
      <c r="A17">
        <v>0</v>
      </c>
      <c r="B17" t="str">
        <v>Rating</v>
      </c>
      <c r="C17" t="str">
        <v>Occurrence</v>
      </c>
      <c r="D17">
        <v>0</v>
      </c>
      <c r="E17" t="str">
        <v>Annual Failure Rate</v>
      </c>
      <c r="F17" t="str">
        <v>Return Period [years]</v>
      </c>
      <c r="G17">
        <v>0</v>
      </c>
      <c r="H17" t="str">
        <v>Rating</v>
      </c>
      <c r="I17" t="str">
        <v>Severity</v>
      </c>
      <c r="J17" t="str">
        <v>Human Safety</v>
      </c>
      <c r="K17">
        <v>0</v>
      </c>
      <c r="L17" t="str">
        <v>Environment</v>
      </c>
      <c r="M17">
        <v>0</v>
      </c>
      <c r="N17" t="str">
        <v>WEC Operation</v>
      </c>
      <c r="O17">
        <v>0</v>
      </c>
      <c r="P17" t="str">
        <v xml:space="preserve">Assets </v>
      </c>
      <c r="Q17">
        <v>0</v>
      </c>
    </row>
    <row r="18" spans="1:17" x14ac:dyDescent="0.25">
      <c r="A18">
        <v>0</v>
      </c>
      <c r="B18">
        <v>1</v>
      </c>
      <c r="C18" t="str">
        <v>Exceptionally unlikely to occur</v>
      </c>
      <c r="D18">
        <v>0</v>
      </c>
      <c r="E18">
        <v>1.0000000000000001E-5</v>
      </c>
      <c r="F18" s="41">
        <v>100000</v>
      </c>
      <c r="G18">
        <v>0</v>
      </c>
      <c r="H18">
        <v>1</v>
      </c>
      <c r="I18" t="str">
        <v>Insignificant</v>
      </c>
      <c r="J18" t="str">
        <v>Negligible injury, effect on health (e.g. band aid)</v>
      </c>
      <c r="K18">
        <v>0</v>
      </c>
      <c r="L18" t="str">
        <v>Negligible pollution or no effect on environment</v>
      </c>
      <c r="M18">
        <v>0</v>
      </c>
      <c r="N18" t="str">
        <v>Negligible effect on performance</v>
      </c>
      <c r="O18">
        <v>0</v>
      </c>
      <c r="P18" t="str">
        <v>Negligible</v>
      </c>
      <c r="Q18">
        <v>0</v>
      </c>
    </row>
    <row r="19" spans="1:17" x14ac:dyDescent="0.25">
      <c r="A19">
        <v>0</v>
      </c>
      <c r="B19">
        <v>2</v>
      </c>
      <c r="C19">
        <v>0</v>
      </c>
      <c r="D19">
        <v>0</v>
      </c>
      <c r="E19">
        <v>3.1622776601683789E-5</v>
      </c>
      <c r="F19" s="41">
        <v>31600</v>
      </c>
      <c r="G19">
        <v>0</v>
      </c>
      <c r="H19">
        <v>2</v>
      </c>
      <c r="I19">
        <v>0</v>
      </c>
      <c r="J19">
        <v>0</v>
      </c>
      <c r="K19">
        <v>0</v>
      </c>
      <c r="L19">
        <v>0</v>
      </c>
      <c r="M19">
        <v>0</v>
      </c>
      <c r="N19">
        <v>0</v>
      </c>
      <c r="O19">
        <v>0</v>
      </c>
      <c r="P19" t="str">
        <v>[1.5k USD]</v>
      </c>
      <c r="Q19">
        <v>0</v>
      </c>
    </row>
    <row r="20" spans="1:17" ht="120" x14ac:dyDescent="0.25">
      <c r="A20">
        <v>0</v>
      </c>
      <c r="B20">
        <v>3</v>
      </c>
      <c r="C20" t="str">
        <v>Extremely unlikely to occur</v>
      </c>
      <c r="D20">
        <v>0</v>
      </c>
      <c r="E20">
        <v>1E-4</v>
      </c>
      <c r="F20" s="41">
        <v>10000</v>
      </c>
      <c r="G20">
        <v>0</v>
      </c>
      <c r="H20">
        <v>3</v>
      </c>
      <c r="I20" t="str">
        <v>Minor</v>
      </c>
      <c r="J20" t="str">
        <v>Minor injuries, health effects (e.g. stitches)</v>
      </c>
      <c r="K20">
        <v>0</v>
      </c>
      <c r="L20" t="str">
        <v>Minor pollution / slight effect on environment (min disruption on marine life)</v>
      </c>
      <c r="M20">
        <v>0</v>
      </c>
      <c r="N20" t="str">
        <v>Minor system degradation</v>
      </c>
      <c r="O20">
        <v>0</v>
      </c>
      <c r="P20" s="1" t="str">
        <v>Repairable in-situ, at next maintenance interval 
[5k USD]</v>
      </c>
      <c r="Q20">
        <v>0</v>
      </c>
    </row>
    <row r="21" spans="1:17" ht="150" x14ac:dyDescent="0.25">
      <c r="A21">
        <v>0</v>
      </c>
      <c r="B21">
        <v>4</v>
      </c>
      <c r="C21">
        <v>0</v>
      </c>
      <c r="D21">
        <v>0</v>
      </c>
      <c r="E21">
        <v>3.1622776601683789E-4</v>
      </c>
      <c r="F21" s="41">
        <v>3160</v>
      </c>
      <c r="G21">
        <v>0</v>
      </c>
      <c r="H21">
        <v>4</v>
      </c>
      <c r="I21">
        <v>0</v>
      </c>
      <c r="J21" t="str">
        <v>Moderate injuries and/or health effects (e.g. broken bone)</v>
      </c>
      <c r="K21">
        <v>0</v>
      </c>
      <c r="L21">
        <v>0</v>
      </c>
      <c r="M21">
        <v>0</v>
      </c>
      <c r="N21" t="str">
        <v>Moderate system degradation (e.g. loss of MoMo)</v>
      </c>
      <c r="O21">
        <v>0</v>
      </c>
      <c r="P21" s="1" t="str">
        <v>Repairable in-situ, outside maintenance interval 
(1 day) [15k USD]</v>
      </c>
      <c r="Q21">
        <v>0</v>
      </c>
    </row>
    <row r="22" spans="1:17" ht="150" x14ac:dyDescent="0.25">
      <c r="A22">
        <v>0</v>
      </c>
      <c r="B22">
        <v>5</v>
      </c>
      <c r="C22" t="str">
        <v>Very unlikely to occur</v>
      </c>
      <c r="D22">
        <v>0</v>
      </c>
      <c r="E22">
        <v>1E-3</v>
      </c>
      <c r="F22" s="41">
        <v>1000</v>
      </c>
      <c r="G22">
        <v>0</v>
      </c>
      <c r="H22">
        <v>5</v>
      </c>
      <c r="I22" t="str">
        <v>Major</v>
      </c>
      <c r="J22">
        <v>0</v>
      </c>
      <c r="K22">
        <v>0</v>
      </c>
      <c r="L22" t="str">
        <v>Limited levels of pollution, manageable / moderate effect on environment</v>
      </c>
      <c r="M22">
        <v>0</v>
      </c>
      <c r="N22">
        <v>0</v>
      </c>
      <c r="O22">
        <v>0</v>
      </c>
      <c r="P22" s="1" t="str">
        <v>Repairable in-situ, outside maintenance interval 
(1 week) [50k USD]</v>
      </c>
      <c r="Q22">
        <v>0</v>
      </c>
    </row>
    <row r="23" spans="1:17" x14ac:dyDescent="0.25">
      <c r="A23">
        <v>0</v>
      </c>
      <c r="B23">
        <v>6</v>
      </c>
      <c r="C23">
        <v>0</v>
      </c>
      <c r="D23">
        <v>0</v>
      </c>
      <c r="E23">
        <v>3.162277660168379E-3</v>
      </c>
      <c r="F23">
        <v>316</v>
      </c>
      <c r="G23">
        <v>0</v>
      </c>
      <c r="H23">
        <v>6</v>
      </c>
      <c r="I23">
        <v>0</v>
      </c>
      <c r="J23">
        <v>0</v>
      </c>
      <c r="K23">
        <v>0</v>
      </c>
      <c r="L23">
        <v>0</v>
      </c>
      <c r="M23">
        <v>0</v>
      </c>
      <c r="N23" t="str">
        <v>Major system degradation or loss of operation for 1 month</v>
      </c>
      <c r="O23">
        <v>0</v>
      </c>
      <c r="P23" t="str">
        <v>[150k USD]</v>
      </c>
      <c r="Q23">
        <v>0</v>
      </c>
    </row>
    <row r="24" spans="1:17" ht="90" x14ac:dyDescent="0.25">
      <c r="A24">
        <v>0</v>
      </c>
      <c r="B24">
        <v>7</v>
      </c>
      <c r="C24" t="str">
        <v>Rarely expected to occur</v>
      </c>
      <c r="D24">
        <v>0</v>
      </c>
      <c r="E24">
        <v>0.01</v>
      </c>
      <c r="F24">
        <v>100</v>
      </c>
      <c r="G24">
        <v>0</v>
      </c>
      <c r="H24">
        <v>7</v>
      </c>
      <c r="I24" t="str">
        <v>Critical</v>
      </c>
      <c r="J24" t="str">
        <v>Hospitalization (with full recovery)</v>
      </c>
      <c r="K24">
        <v>0</v>
      </c>
      <c r="L24" t="str">
        <v>Moderate pollution (some clean-up costs) / Serious effect on environment</v>
      </c>
      <c r="M24">
        <v>0</v>
      </c>
      <c r="N24" t="str">
        <v>Major system degradation or loss of operation for 3 months</v>
      </c>
      <c r="O24">
        <v>0</v>
      </c>
      <c r="P24" s="1" t="str">
        <v>Dry dock required for repair
[500k USD]</v>
      </c>
      <c r="Q24">
        <v>0</v>
      </c>
    </row>
    <row r="25" spans="1:17" x14ac:dyDescent="0.25">
      <c r="A25">
        <v>0</v>
      </c>
      <c r="B25">
        <v>8</v>
      </c>
      <c r="C25">
        <v>0</v>
      </c>
      <c r="D25">
        <v>0</v>
      </c>
      <c r="E25">
        <v>3.1622776601683791E-2</v>
      </c>
      <c r="F25">
        <v>31.6</v>
      </c>
      <c r="G25">
        <v>0</v>
      </c>
      <c r="H25">
        <v>8</v>
      </c>
      <c r="I25">
        <v>0</v>
      </c>
      <c r="J25">
        <v>0</v>
      </c>
      <c r="K25">
        <v>0</v>
      </c>
      <c r="L25">
        <v>0</v>
      </c>
      <c r="M25">
        <v>0</v>
      </c>
      <c r="N25" t="str">
        <v>Critical system degradation or loss of operation for 6 months</v>
      </c>
      <c r="O25">
        <v>0</v>
      </c>
      <c r="P25" t="str">
        <v>[1.5M USD]</v>
      </c>
      <c r="Q25">
        <v>0</v>
      </c>
    </row>
    <row r="26" spans="1:17" ht="45" x14ac:dyDescent="0.25">
      <c r="A26">
        <v>0</v>
      </c>
      <c r="B26">
        <v>9</v>
      </c>
      <c r="C26" t="str">
        <v>One or more during 20 yr lifetime</v>
      </c>
      <c r="D26">
        <v>0</v>
      </c>
      <c r="E26">
        <v>0.1</v>
      </c>
      <c r="F26">
        <v>10</v>
      </c>
      <c r="G26">
        <v>0</v>
      </c>
      <c r="H26">
        <v>9</v>
      </c>
      <c r="I26" t="str">
        <v>Catastrophic</v>
      </c>
      <c r="J26" t="str">
        <v>Hospitalization (with lasting disabilities)</v>
      </c>
      <c r="K26">
        <v>0</v>
      </c>
      <c r="L26" t="str">
        <v>Major pollution (significant clean-up costs) / disastrous effects on the environment</v>
      </c>
      <c r="M26">
        <v>0</v>
      </c>
      <c r="N26" t="str">
        <v>Failure to generate power for remainder of project, complete failure</v>
      </c>
      <c r="O26">
        <v>0</v>
      </c>
      <c r="P26" s="1" t="str">
        <v>Loss of device
[5M USD]</v>
      </c>
      <c r="Q26">
        <v>0</v>
      </c>
    </row>
    <row r="27" spans="1:17" x14ac:dyDescent="0.25">
      <c r="A27">
        <v>0</v>
      </c>
      <c r="B27">
        <v>10</v>
      </c>
      <c r="C27">
        <v>0</v>
      </c>
      <c r="D27">
        <v>0</v>
      </c>
      <c r="E27">
        <v>0.31622776601683794</v>
      </c>
      <c r="F27">
        <v>3.16</v>
      </c>
      <c r="G27">
        <v>0</v>
      </c>
      <c r="H27">
        <v>10</v>
      </c>
      <c r="I27">
        <v>0</v>
      </c>
      <c r="J27" t="str">
        <v>A fatality</v>
      </c>
      <c r="K27">
        <v>0</v>
      </c>
      <c r="L27">
        <v>0</v>
      </c>
      <c r="M27">
        <v>0</v>
      </c>
      <c r="N27">
        <v>0</v>
      </c>
      <c r="O27">
        <v>0</v>
      </c>
      <c r="P27">
        <v>0</v>
      </c>
      <c r="Q2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Data Rights Notice</vt:lpstr>
      <vt:lpstr>0620 Hull Fitting</vt:lpstr>
      <vt:lpstr>version history</vt:lpstr>
      <vt:lpstr>set up</vt:lpstr>
      <vt:lpstr>linkedPage</vt:lpstr>
      <vt:lpstr>'set up'!Print_Area</vt:lpstr>
      <vt:lpstr>RiskMatrixRef</vt:lpstr>
    </vt:vector>
  </TitlesOfParts>
  <Company>Windows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Reenst Lesemann</dc:creator>
  <cp:lastModifiedBy>Bradford Lamb</cp:lastModifiedBy>
  <cp:lastPrinted>2014-09-10T21:26:31Z</cp:lastPrinted>
  <dcterms:created xsi:type="dcterms:W3CDTF">2013-05-20T22:14:35Z</dcterms:created>
  <dcterms:modified xsi:type="dcterms:W3CDTF">2017-03-03T17:48:53Z</dcterms:modified>
</cp:coreProperties>
</file>